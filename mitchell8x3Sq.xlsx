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Square Movement</t>
        </is>
      </c>
      <c r="C7" s="3" t="inlineStr"/>
    </row>
    <row r="9">
      <c r="A9" s="2" t="inlineStr">
        <is>
          <t>NS Pairs</t>
        </is>
      </c>
      <c r="D9" s="4">
        <f>SUMIF('By Board'!D3:D50,"="&amp;A9,'By Board'!O3:O50)/12</f>
        <v/>
      </c>
      <c r="E9" s="5">
        <f>SUMIF('By Board'!D3:D50,"="&amp;A9,'By Board'!M3:M50)</f>
        <v/>
      </c>
    </row>
    <row r="10">
      <c r="A10" s="2" t="n">
        <v>1</v>
      </c>
      <c r="B10" t="inlineStr">
        <is>
          <t>Name 32</t>
        </is>
      </c>
      <c r="C10" t="inlineStr">
        <is>
          <t>Name 86</t>
        </is>
      </c>
      <c r="D10" s="6">
        <f>SUMIF('By Board'!D3:D50,"="&amp;A10,'By Board'!O3:O50)/12</f>
        <v/>
      </c>
      <c r="E10" s="7">
        <f>SUMIF('By Board'!D3:D50,"="&amp;A10,'By Board'!M3:M50)</f>
        <v/>
      </c>
    </row>
    <row r="11">
      <c r="A11" s="2" t="n">
        <v>2</v>
      </c>
      <c r="B11" t="inlineStr">
        <is>
          <t>Name 16</t>
        </is>
      </c>
      <c r="C11" t="inlineStr">
        <is>
          <t>Name 84</t>
        </is>
      </c>
      <c r="D11" s="6">
        <f>SUMIF('By Board'!D3:D50,"="&amp;A11,'By Board'!O3:O50)/12</f>
        <v/>
      </c>
      <c r="E11" s="7">
        <f>SUMIF('By Board'!D3:D50,"="&amp;A11,'By Board'!M3:M50)</f>
        <v/>
      </c>
    </row>
    <row r="12">
      <c r="A12" s="2" t="n">
        <v>3</v>
      </c>
      <c r="B12" t="inlineStr">
        <is>
          <t>Name 59</t>
        </is>
      </c>
      <c r="C12" t="inlineStr">
        <is>
          <t>Name 17</t>
        </is>
      </c>
      <c r="D12" s="6">
        <f>SUMIF('By Board'!D3:D50,"="&amp;A12,'By Board'!O3:O50)/12</f>
        <v/>
      </c>
      <c r="E12" s="7">
        <f>SUMIF('By Board'!D3:D50,"="&amp;A12,'By Board'!M3:M50)</f>
        <v/>
      </c>
    </row>
    <row r="13">
      <c r="A13" s="8" t="n">
        <v>4</v>
      </c>
      <c r="B13" s="9" t="inlineStr">
        <is>
          <t>Name 38</t>
        </is>
      </c>
      <c r="C13" s="9" t="inlineStr">
        <is>
          <t>Name 18</t>
        </is>
      </c>
      <c r="D13" s="9" t="n"/>
      <c r="E13" s="9" t="n"/>
      <c r="F13" s="9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4">
        <f>SUMIF('By Board'!E3:E50,"="&amp;A16,'By Board'!P3:P50)/12</f>
        <v/>
      </c>
      <c r="E16" s="5">
        <f>SUMIF('By Board'!E3:E50,"="&amp;A16,'By Board'!N3:N50)</f>
        <v/>
      </c>
    </row>
    <row r="17">
      <c r="A17" s="2" t="n">
        <v>1</v>
      </c>
      <c r="B17" t="inlineStr">
        <is>
          <t>Name 61</t>
        </is>
      </c>
      <c r="C17" t="inlineStr">
        <is>
          <t>Name 71</t>
        </is>
      </c>
      <c r="D17" s="6">
        <f>SUMIF('By Board'!E3:E50,"="&amp;A17,'By Board'!P3:P50)/12</f>
        <v/>
      </c>
      <c r="E17" s="7">
        <f>SUMIF('By Board'!E3:E50,"="&amp;A17,'By Board'!N3:N50)</f>
        <v/>
      </c>
    </row>
    <row r="18">
      <c r="A18" s="2" t="n">
        <v>2</v>
      </c>
      <c r="B18" t="inlineStr">
        <is>
          <t>Name 15</t>
        </is>
      </c>
      <c r="C18" t="inlineStr">
        <is>
          <t>Name 59</t>
        </is>
      </c>
      <c r="D18" s="6">
        <f>SUMIF('By Board'!E3:E50,"="&amp;A18,'By Board'!P3:P50)/12</f>
        <v/>
      </c>
      <c r="E18" s="7">
        <f>SUMIF('By Board'!E3:E50,"="&amp;A18,'By Board'!N3:N50)</f>
        <v/>
      </c>
    </row>
    <row r="19">
      <c r="A19" s="2" t="n">
        <v>3</v>
      </c>
      <c r="B19" t="inlineStr">
        <is>
          <t>Name 16</t>
        </is>
      </c>
      <c r="C19" t="inlineStr">
        <is>
          <t>Name 15</t>
        </is>
      </c>
      <c r="D19" s="6">
        <f>SUMIF('By Board'!E3:E50,"="&amp;A19,'By Board'!P3:P50)/12</f>
        <v/>
      </c>
      <c r="E19" s="7">
        <f>SUMIF('By Board'!E3:E50,"="&amp;A19,'By Board'!N3:N50)</f>
        <v/>
      </c>
    </row>
    <row r="20">
      <c r="A20" s="8" t="n">
        <v>4</v>
      </c>
      <c r="B20" s="9" t="inlineStr">
        <is>
          <t>Name 43</t>
        </is>
      </c>
      <c r="C20" s="9" t="inlineStr">
        <is>
          <t>Name 32</t>
        </is>
      </c>
      <c r="D20" s="9" t="n"/>
      <c r="E20" s="9" t="n"/>
      <c r="F20" s="9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7">
        <f>AVERAGE(AD3:AF3)</f>
        <v/>
      </c>
      <c r="O3" s="6">
        <f>IF(COUNT(U3:W3)&gt;0,Q3/COUNT(U3:W3),0.5)</f>
        <v/>
      </c>
      <c r="P3" s="6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7">
        <f>AVERAGE(AD4:AF4)</f>
        <v/>
      </c>
      <c r="O4" s="6">
        <f>IF(COUNT(U4:W4)&gt;0,Q4/COUNT(U4:W4),0.5)</f>
        <v/>
      </c>
      <c r="P4" s="6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7">
        <f>AVERAGE(AD5:AF5)</f>
        <v/>
      </c>
      <c r="O5" s="6">
        <f>IF(COUNT(U5:W5)&gt;0,Q5/COUNT(U5:W5),0.5)</f>
        <v/>
      </c>
      <c r="P5" s="6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9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9">
        <f>IF(ISBLANK('By Round'!G24),"",'By Round'!G24)</f>
        <v/>
      </c>
      <c r="H6" s="9">
        <f>IF(ISBLANK('By Round'!H24),"",'By Round'!H24)</f>
        <v/>
      </c>
      <c r="I6" s="9">
        <f>IF(ISBLANK('By Round'!I24),"",'By Round'!I24)</f>
        <v/>
      </c>
      <c r="J6" s="9">
        <f>IF(ISBLANK('By Round'!J24),"",'By Round'!J24)</f>
        <v/>
      </c>
      <c r="K6" s="9">
        <f>IF(ISBLANK('By Round'!K24),"",'By Round'!K24)</f>
        <v/>
      </c>
      <c r="L6" s="9">
        <f>IF(ISBLANK('By Round'!L24),"",'By Round'!L24)</f>
        <v/>
      </c>
      <c r="M6" s="20">
        <f>AVERAGE(AA6:AC6)</f>
        <v/>
      </c>
      <c r="N6" s="21">
        <f>AVERAGE(AD6:AF6)</f>
        <v/>
      </c>
      <c r="O6" s="22">
        <f>IF(COUNT(U6:W6)&gt;0,Q6/COUNT(U6:W6),0.5)</f>
        <v/>
      </c>
      <c r="P6" s="22">
        <f>IF(COUNT(X6:Z6)&gt;0,R6/COUNT(X6:Z6),0.5)</f>
        <v/>
      </c>
      <c r="Q6" s="23">
        <f>SUM(U6:W6)</f>
        <v/>
      </c>
      <c r="R6" s="23">
        <f>SUM(X6:Z6)</f>
        <v/>
      </c>
      <c r="S6" s="24">
        <f>IF(ISNUMBER(K6),K6,IF(ISNUMBER(L6),-L6,""))</f>
        <v/>
      </c>
      <c r="T6" s="9">
        <f>IF(ISNUMBER(L6),L6,IF(ISNUMBER(K6),-K6,""))</f>
        <v/>
      </c>
      <c r="U6" s="24">
        <f>IF(ISNUMBER(S6),IF(ISNUMBER(S3),IF(S6&gt;S3,1.0,IF(S6=S3,0.5,0.0)),""),"")</f>
        <v/>
      </c>
      <c r="V6" s="9">
        <f>IF(ISNUMBER(S6),IF(ISNUMBER(S4),IF(S6&gt;S4,1.0,IF(S6=S4,0.5,0.0)),""),"")</f>
        <v/>
      </c>
      <c r="W6" s="9">
        <f>IF(ISNUMBER(S6),IF(ISNUMBER(S5),IF(S6&gt;S5,1.0,IF(S6=S5,0.5,0.0)),""),"")</f>
        <v/>
      </c>
      <c r="X6" s="9">
        <f>IF(ISNUMBER(T6),IF(ISNUMBER(T3),IF(T6&gt;T3,1.0,IF(T6=T3,0.5,0.0)),""),"")</f>
        <v/>
      </c>
      <c r="Y6" s="9">
        <f>IF(ISNUMBER(T6),IF(ISNUMBER(T4),IF(T6&gt;T4,1.0,IF(T6=T4,0.5,0.0)),""),"")</f>
        <v/>
      </c>
      <c r="Z6" s="9">
        <f>IF(ISNUMBER(T6),IF(ISNUMBER(T5),IF(T6&gt;T5,1.0,IF(T6=T5,0.5,0.0)),""),"")</f>
        <v/>
      </c>
      <c r="AA6" s="24">
        <f>IF(AND(ISNUMBER(S6),ISNUMBER(S3)),VLOOKUP(ABS(S6-S3),'IMP Table'!$A$2:$C$26,3)*SIGN(S6-S3),0)</f>
        <v/>
      </c>
      <c r="AB6" s="9">
        <f>IF(AND(ISNUMBER(S6),ISNUMBER(S4)),VLOOKUP(ABS(S6-S4),'IMP Table'!$A$2:$C$26,3)*SIGN(S6-S4),0)</f>
        <v/>
      </c>
      <c r="AC6" s="9">
        <f>IF(AND(ISNUMBER(S6),ISNUMBER(S5)),VLOOKUP(ABS(S6-S5),'IMP Table'!$A$2:$C$26,3)*SIGN(S6-S5),0)</f>
        <v/>
      </c>
      <c r="AD6" s="9">
        <f>IF(AND(ISNUMBER(T6),ISNUMBER(T3)),VLOOKUP(ABS(T6-T3),'IMP Table'!$A$2:$C$26,3)*SIGN(T6-T3),0)</f>
        <v/>
      </c>
      <c r="AE6" s="9">
        <f>IF(AND(ISNUMBER(T6),ISNUMBER(T4)),VLOOKUP(ABS(T6-T4),'IMP Table'!$A$2:$C$26,3)*SIGN(T6-T4),0)</f>
        <v/>
      </c>
      <c r="AF6" s="9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7">
        <f>AVERAGE(AD7:AF7)</f>
        <v/>
      </c>
      <c r="O7" s="6">
        <f>IF(COUNT(U7:W7)&gt;0,Q7/COUNT(U7:W7),0.5)</f>
        <v/>
      </c>
      <c r="P7" s="6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7">
        <f>AVERAGE(AD8:AF8)</f>
        <v/>
      </c>
      <c r="O8" s="6">
        <f>IF(COUNT(U8:W8)&gt;0,Q8/COUNT(U8:W8),0.5)</f>
        <v/>
      </c>
      <c r="P8" s="6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7">
        <f>AVERAGE(AD9:AF9)</f>
        <v/>
      </c>
      <c r="O9" s="6">
        <f>IF(COUNT(U9:W9)&gt;0,Q9/COUNT(U9:W9),0.5)</f>
        <v/>
      </c>
      <c r="P9" s="6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9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9">
        <f>IF(ISBLANK('By Round'!G25),"",'By Round'!G25)</f>
        <v/>
      </c>
      <c r="H10" s="9">
        <f>IF(ISBLANK('By Round'!H25),"",'By Round'!H25)</f>
        <v/>
      </c>
      <c r="I10" s="9">
        <f>IF(ISBLANK('By Round'!I25),"",'By Round'!I25)</f>
        <v/>
      </c>
      <c r="J10" s="9">
        <f>IF(ISBLANK('By Round'!J25),"",'By Round'!J25)</f>
        <v/>
      </c>
      <c r="K10" s="9">
        <f>IF(ISBLANK('By Round'!K25),"",'By Round'!K25)</f>
        <v/>
      </c>
      <c r="L10" s="9">
        <f>IF(ISBLANK('By Round'!L25),"",'By Round'!L25)</f>
        <v/>
      </c>
      <c r="M10" s="20">
        <f>AVERAGE(AA10:AC10)</f>
        <v/>
      </c>
      <c r="N10" s="21">
        <f>AVERAGE(AD10:AF10)</f>
        <v/>
      </c>
      <c r="O10" s="22">
        <f>IF(COUNT(U10:W10)&gt;0,Q10/COUNT(U10:W10),0.5)</f>
        <v/>
      </c>
      <c r="P10" s="22">
        <f>IF(COUNT(X10:Z10)&gt;0,R10/COUNT(X10:Z10),0.5)</f>
        <v/>
      </c>
      <c r="Q10" s="23">
        <f>SUM(U10:W10)</f>
        <v/>
      </c>
      <c r="R10" s="23">
        <f>SUM(X10:Z10)</f>
        <v/>
      </c>
      <c r="S10" s="24">
        <f>IF(ISNUMBER(K10),K10,IF(ISNUMBER(L10),-L10,""))</f>
        <v/>
      </c>
      <c r="T10" s="9">
        <f>IF(ISNUMBER(L10),L10,IF(ISNUMBER(K10),-K10,""))</f>
        <v/>
      </c>
      <c r="U10" s="24">
        <f>IF(ISNUMBER(S10),IF(ISNUMBER(S7),IF(S10&gt;S7,1.0,IF(S10=S7,0.5,0.0)),""),"")</f>
        <v/>
      </c>
      <c r="V10" s="9">
        <f>IF(ISNUMBER(S10),IF(ISNUMBER(S8),IF(S10&gt;S8,1.0,IF(S10=S8,0.5,0.0)),""),"")</f>
        <v/>
      </c>
      <c r="W10" s="9">
        <f>IF(ISNUMBER(S10),IF(ISNUMBER(S9),IF(S10&gt;S9,1.0,IF(S10=S9,0.5,0.0)),""),"")</f>
        <v/>
      </c>
      <c r="X10" s="9">
        <f>IF(ISNUMBER(T10),IF(ISNUMBER(T7),IF(T10&gt;T7,1.0,IF(T10=T7,0.5,0.0)),""),"")</f>
        <v/>
      </c>
      <c r="Y10" s="9">
        <f>IF(ISNUMBER(T10),IF(ISNUMBER(T8),IF(T10&gt;T8,1.0,IF(T10=T8,0.5,0.0)),""),"")</f>
        <v/>
      </c>
      <c r="Z10" s="9">
        <f>IF(ISNUMBER(T10),IF(ISNUMBER(T9),IF(T10&gt;T9,1.0,IF(T10=T9,0.5,0.0)),""),"")</f>
        <v/>
      </c>
      <c r="AA10" s="24">
        <f>IF(AND(ISNUMBER(S10),ISNUMBER(S7)),VLOOKUP(ABS(S10-S7),'IMP Table'!$A$2:$C$26,3)*SIGN(S10-S7),0)</f>
        <v/>
      </c>
      <c r="AB10" s="9">
        <f>IF(AND(ISNUMBER(S10),ISNUMBER(S8)),VLOOKUP(ABS(S10-S8),'IMP Table'!$A$2:$C$26,3)*SIGN(S10-S8),0)</f>
        <v/>
      </c>
      <c r="AC10" s="9">
        <f>IF(AND(ISNUMBER(S10),ISNUMBER(S9)),VLOOKUP(ABS(S10-S9),'IMP Table'!$A$2:$C$26,3)*SIGN(S10-S9),0)</f>
        <v/>
      </c>
      <c r="AD10" s="9">
        <f>IF(AND(ISNUMBER(T10),ISNUMBER(T7)),VLOOKUP(ABS(T10-T7),'IMP Table'!$A$2:$C$26,3)*SIGN(T10-T7),0)</f>
        <v/>
      </c>
      <c r="AE10" s="9">
        <f>IF(AND(ISNUMBER(T10),ISNUMBER(T8)),VLOOKUP(ABS(T10-T8),'IMP Table'!$A$2:$C$26,3)*SIGN(T10-T8),0)</f>
        <v/>
      </c>
      <c r="AF10" s="9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7">
        <f>AVERAGE(AD11:AF11)</f>
        <v/>
      </c>
      <c r="O11" s="6">
        <f>IF(COUNT(U11:W11)&gt;0,Q11/COUNT(U11:W11),0.5)</f>
        <v/>
      </c>
      <c r="P11" s="6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7">
        <f>AVERAGE(AD12:AF12)</f>
        <v/>
      </c>
      <c r="O12" s="6">
        <f>IF(COUNT(U12:W12)&gt;0,Q12/COUNT(U12:W12),0.5)</f>
        <v/>
      </c>
      <c r="P12" s="6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7">
        <f>AVERAGE(AD13:AF13)</f>
        <v/>
      </c>
      <c r="O13" s="6">
        <f>IF(COUNT(U13:W13)&gt;0,Q13/COUNT(U13:W13),0.5)</f>
        <v/>
      </c>
      <c r="P13" s="6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9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9">
        <f>IF(ISBLANK('By Round'!G26),"",'By Round'!G26)</f>
        <v/>
      </c>
      <c r="H14" s="9">
        <f>IF(ISBLANK('By Round'!H26),"",'By Round'!H26)</f>
        <v/>
      </c>
      <c r="I14" s="9">
        <f>IF(ISBLANK('By Round'!I26),"",'By Round'!I26)</f>
        <v/>
      </c>
      <c r="J14" s="9">
        <f>IF(ISBLANK('By Round'!J26),"",'By Round'!J26)</f>
        <v/>
      </c>
      <c r="K14" s="9">
        <f>IF(ISBLANK('By Round'!K26),"",'By Round'!K26)</f>
        <v/>
      </c>
      <c r="L14" s="9">
        <f>IF(ISBLANK('By Round'!L26),"",'By Round'!L26)</f>
        <v/>
      </c>
      <c r="M14" s="20">
        <f>AVERAGE(AA14:AC14)</f>
        <v/>
      </c>
      <c r="N14" s="21">
        <f>AVERAGE(AD14:AF14)</f>
        <v/>
      </c>
      <c r="O14" s="22">
        <f>IF(COUNT(U14:W14)&gt;0,Q14/COUNT(U14:W14),0.5)</f>
        <v/>
      </c>
      <c r="P14" s="22">
        <f>IF(COUNT(X14:Z14)&gt;0,R14/COUNT(X14:Z14),0.5)</f>
        <v/>
      </c>
      <c r="Q14" s="23">
        <f>SUM(U14:W14)</f>
        <v/>
      </c>
      <c r="R14" s="23">
        <f>SUM(X14:Z14)</f>
        <v/>
      </c>
      <c r="S14" s="24">
        <f>IF(ISNUMBER(K14),K14,IF(ISNUMBER(L14),-L14,""))</f>
        <v/>
      </c>
      <c r="T14" s="9">
        <f>IF(ISNUMBER(L14),L14,IF(ISNUMBER(K14),-K14,""))</f>
        <v/>
      </c>
      <c r="U14" s="24">
        <f>IF(ISNUMBER(S14),IF(ISNUMBER(S11),IF(S14&gt;S11,1.0,IF(S14=S11,0.5,0.0)),""),"")</f>
        <v/>
      </c>
      <c r="V14" s="9">
        <f>IF(ISNUMBER(S14),IF(ISNUMBER(S12),IF(S14&gt;S12,1.0,IF(S14=S12,0.5,0.0)),""),"")</f>
        <v/>
      </c>
      <c r="W14" s="9">
        <f>IF(ISNUMBER(S14),IF(ISNUMBER(S13),IF(S14&gt;S13,1.0,IF(S14=S13,0.5,0.0)),""),"")</f>
        <v/>
      </c>
      <c r="X14" s="9">
        <f>IF(ISNUMBER(T14),IF(ISNUMBER(T11),IF(T14&gt;T11,1.0,IF(T14=T11,0.5,0.0)),""),"")</f>
        <v/>
      </c>
      <c r="Y14" s="9">
        <f>IF(ISNUMBER(T14),IF(ISNUMBER(T12),IF(T14&gt;T12,1.0,IF(T14=T12,0.5,0.0)),""),"")</f>
        <v/>
      </c>
      <c r="Z14" s="9">
        <f>IF(ISNUMBER(T14),IF(ISNUMBER(T13),IF(T14&gt;T13,1.0,IF(T14=T13,0.5,0.0)),""),"")</f>
        <v/>
      </c>
      <c r="AA14" s="24">
        <f>IF(AND(ISNUMBER(S14),ISNUMBER(S11)),VLOOKUP(ABS(S14-S11),'IMP Table'!$A$2:$C$26,3)*SIGN(S14-S11),0)</f>
        <v/>
      </c>
      <c r="AB14" s="9">
        <f>IF(AND(ISNUMBER(S14),ISNUMBER(S12)),VLOOKUP(ABS(S14-S12),'IMP Table'!$A$2:$C$26,3)*SIGN(S14-S12),0)</f>
        <v/>
      </c>
      <c r="AC14" s="9">
        <f>IF(AND(ISNUMBER(S14),ISNUMBER(S13)),VLOOKUP(ABS(S14-S13),'IMP Table'!$A$2:$C$26,3)*SIGN(S14-S13),0)</f>
        <v/>
      </c>
      <c r="AD14" s="9">
        <f>IF(AND(ISNUMBER(T14),ISNUMBER(T11)),VLOOKUP(ABS(T14-T11),'IMP Table'!$A$2:$C$26,3)*SIGN(T14-T11),0)</f>
        <v/>
      </c>
      <c r="AE14" s="9">
        <f>IF(AND(ISNUMBER(T14),ISNUMBER(T12)),VLOOKUP(ABS(T14-T12),'IMP Table'!$A$2:$C$26,3)*SIGN(T14-T12),0)</f>
        <v/>
      </c>
      <c r="AF14" s="9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7">
        <f>AVERAGE(AD15:AF15)</f>
        <v/>
      </c>
      <c r="O15" s="6">
        <f>IF(COUNT(U15:W15)&gt;0,Q15/COUNT(U15:W15),0.5)</f>
        <v/>
      </c>
      <c r="P15" s="6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7">
        <f>AVERAGE(AD16:AF16)</f>
        <v/>
      </c>
      <c r="O16" s="6">
        <f>IF(COUNT(U16:W16)&gt;0,Q16/COUNT(U16:W16),0.5)</f>
        <v/>
      </c>
      <c r="P16" s="6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7">
        <f>AVERAGE(AD17:AF17)</f>
        <v/>
      </c>
      <c r="O17" s="6">
        <f>IF(COUNT(U17:W17)&gt;0,Q17/COUNT(U17:W17),0.5)</f>
        <v/>
      </c>
      <c r="P17" s="6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9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9">
        <f>IF(ISBLANK('By Round'!G36),"",'By Round'!G36)</f>
        <v/>
      </c>
      <c r="H18" s="9">
        <f>IF(ISBLANK('By Round'!H36),"",'By Round'!H36)</f>
        <v/>
      </c>
      <c r="I18" s="9">
        <f>IF(ISBLANK('By Round'!I36),"",'By Round'!I36)</f>
        <v/>
      </c>
      <c r="J18" s="9">
        <f>IF(ISBLANK('By Round'!J36),"",'By Round'!J36)</f>
        <v/>
      </c>
      <c r="K18" s="9">
        <f>IF(ISBLANK('By Round'!K36),"",'By Round'!K36)</f>
        <v/>
      </c>
      <c r="L18" s="9">
        <f>IF(ISBLANK('By Round'!L36),"",'By Round'!L36)</f>
        <v/>
      </c>
      <c r="M18" s="20">
        <f>AVERAGE(AA18:AC18)</f>
        <v/>
      </c>
      <c r="N18" s="21">
        <f>AVERAGE(AD18:AF18)</f>
        <v/>
      </c>
      <c r="O18" s="22">
        <f>IF(COUNT(U18:W18)&gt;0,Q18/COUNT(U18:W18),0.5)</f>
        <v/>
      </c>
      <c r="P18" s="22">
        <f>IF(COUNT(X18:Z18)&gt;0,R18/COUNT(X18:Z18),0.5)</f>
        <v/>
      </c>
      <c r="Q18" s="23">
        <f>SUM(U18:W18)</f>
        <v/>
      </c>
      <c r="R18" s="23">
        <f>SUM(X18:Z18)</f>
        <v/>
      </c>
      <c r="S18" s="24">
        <f>IF(ISNUMBER(K18),K18,IF(ISNUMBER(L18),-L18,""))</f>
        <v/>
      </c>
      <c r="T18" s="9">
        <f>IF(ISNUMBER(L18),L18,IF(ISNUMBER(K18),-K18,""))</f>
        <v/>
      </c>
      <c r="U18" s="24">
        <f>IF(ISNUMBER(S18),IF(ISNUMBER(S15),IF(S18&gt;S15,1.0,IF(S18=S15,0.5,0.0)),""),"")</f>
        <v/>
      </c>
      <c r="V18" s="9">
        <f>IF(ISNUMBER(S18),IF(ISNUMBER(S16),IF(S18&gt;S16,1.0,IF(S18=S16,0.5,0.0)),""),"")</f>
        <v/>
      </c>
      <c r="W18" s="9">
        <f>IF(ISNUMBER(S18),IF(ISNUMBER(S17),IF(S18&gt;S17,1.0,IF(S18=S17,0.5,0.0)),""),"")</f>
        <v/>
      </c>
      <c r="X18" s="9">
        <f>IF(ISNUMBER(T18),IF(ISNUMBER(T15),IF(T18&gt;T15,1.0,IF(T18=T15,0.5,0.0)),""),"")</f>
        <v/>
      </c>
      <c r="Y18" s="9">
        <f>IF(ISNUMBER(T18),IF(ISNUMBER(T16),IF(T18&gt;T16,1.0,IF(T18=T16,0.5,0.0)),""),"")</f>
        <v/>
      </c>
      <c r="Z18" s="9">
        <f>IF(ISNUMBER(T18),IF(ISNUMBER(T17),IF(T18&gt;T17,1.0,IF(T18=T17,0.5,0.0)),""),"")</f>
        <v/>
      </c>
      <c r="AA18" s="24">
        <f>IF(AND(ISNUMBER(S18),ISNUMBER(S15)),VLOOKUP(ABS(S18-S15),'IMP Table'!$A$2:$C$26,3)*SIGN(S18-S15),0)</f>
        <v/>
      </c>
      <c r="AB18" s="9">
        <f>IF(AND(ISNUMBER(S18),ISNUMBER(S16)),VLOOKUP(ABS(S18-S16),'IMP Table'!$A$2:$C$26,3)*SIGN(S18-S16),0)</f>
        <v/>
      </c>
      <c r="AC18" s="9">
        <f>IF(AND(ISNUMBER(S18),ISNUMBER(S17)),VLOOKUP(ABS(S18-S17),'IMP Table'!$A$2:$C$26,3)*SIGN(S18-S17),0)</f>
        <v/>
      </c>
      <c r="AD18" s="9">
        <f>IF(AND(ISNUMBER(T18),ISNUMBER(T15)),VLOOKUP(ABS(T18-T15),'IMP Table'!$A$2:$C$26,3)*SIGN(T18-T15),0)</f>
        <v/>
      </c>
      <c r="AE18" s="9">
        <f>IF(AND(ISNUMBER(T18),ISNUMBER(T16)),VLOOKUP(ABS(T18-T16),'IMP Table'!$A$2:$C$26,3)*SIGN(T18-T16),0)</f>
        <v/>
      </c>
      <c r="AF18" s="9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7">
        <f>AVERAGE(AD19:AF19)</f>
        <v/>
      </c>
      <c r="O19" s="6">
        <f>IF(COUNT(U19:W19)&gt;0,Q19/COUNT(U19:W19),0.5)</f>
        <v/>
      </c>
      <c r="P19" s="6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7">
        <f>AVERAGE(AD20:AF20)</f>
        <v/>
      </c>
      <c r="O20" s="6">
        <f>IF(COUNT(U20:W20)&gt;0,Q20/COUNT(U20:W20),0.5)</f>
        <v/>
      </c>
      <c r="P20" s="6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7">
        <f>AVERAGE(AD21:AF21)</f>
        <v/>
      </c>
      <c r="O21" s="6">
        <f>IF(COUNT(U21:W21)&gt;0,Q21/COUNT(U21:W21),0.5)</f>
        <v/>
      </c>
      <c r="P21" s="6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9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9">
        <f>IF(ISBLANK('By Round'!G37),"",'By Round'!G37)</f>
        <v/>
      </c>
      <c r="H22" s="9">
        <f>IF(ISBLANK('By Round'!H37),"",'By Round'!H37)</f>
        <v/>
      </c>
      <c r="I22" s="9">
        <f>IF(ISBLANK('By Round'!I37),"",'By Round'!I37)</f>
        <v/>
      </c>
      <c r="J22" s="9">
        <f>IF(ISBLANK('By Round'!J37),"",'By Round'!J37)</f>
        <v/>
      </c>
      <c r="K22" s="9">
        <f>IF(ISBLANK('By Round'!K37),"",'By Round'!K37)</f>
        <v/>
      </c>
      <c r="L22" s="9">
        <f>IF(ISBLANK('By Round'!L37),"",'By Round'!L37)</f>
        <v/>
      </c>
      <c r="M22" s="20">
        <f>AVERAGE(AA22:AC22)</f>
        <v/>
      </c>
      <c r="N22" s="21">
        <f>AVERAGE(AD22:AF22)</f>
        <v/>
      </c>
      <c r="O22" s="22">
        <f>IF(COUNT(U22:W22)&gt;0,Q22/COUNT(U22:W22),0.5)</f>
        <v/>
      </c>
      <c r="P22" s="22">
        <f>IF(COUNT(X22:Z22)&gt;0,R22/COUNT(X22:Z22),0.5)</f>
        <v/>
      </c>
      <c r="Q22" s="23">
        <f>SUM(U22:W22)</f>
        <v/>
      </c>
      <c r="R22" s="23">
        <f>SUM(X22:Z22)</f>
        <v/>
      </c>
      <c r="S22" s="24">
        <f>IF(ISNUMBER(K22),K22,IF(ISNUMBER(L22),-L22,""))</f>
        <v/>
      </c>
      <c r="T22" s="9">
        <f>IF(ISNUMBER(L22),L22,IF(ISNUMBER(K22),-K22,""))</f>
        <v/>
      </c>
      <c r="U22" s="24">
        <f>IF(ISNUMBER(S22),IF(ISNUMBER(S19),IF(S22&gt;S19,1.0,IF(S22=S19,0.5,0.0)),""),"")</f>
        <v/>
      </c>
      <c r="V22" s="9">
        <f>IF(ISNUMBER(S22),IF(ISNUMBER(S20),IF(S22&gt;S20,1.0,IF(S22=S20,0.5,0.0)),""),"")</f>
        <v/>
      </c>
      <c r="W22" s="9">
        <f>IF(ISNUMBER(S22),IF(ISNUMBER(S21),IF(S22&gt;S21,1.0,IF(S22=S21,0.5,0.0)),""),"")</f>
        <v/>
      </c>
      <c r="X22" s="9">
        <f>IF(ISNUMBER(T22),IF(ISNUMBER(T19),IF(T22&gt;T19,1.0,IF(T22=T19,0.5,0.0)),""),"")</f>
        <v/>
      </c>
      <c r="Y22" s="9">
        <f>IF(ISNUMBER(T22),IF(ISNUMBER(T20),IF(T22&gt;T20,1.0,IF(T22=T20,0.5,0.0)),""),"")</f>
        <v/>
      </c>
      <c r="Z22" s="9">
        <f>IF(ISNUMBER(T22),IF(ISNUMBER(T21),IF(T22&gt;T21,1.0,IF(T22=T21,0.5,0.0)),""),"")</f>
        <v/>
      </c>
      <c r="AA22" s="24">
        <f>IF(AND(ISNUMBER(S22),ISNUMBER(S19)),VLOOKUP(ABS(S22-S19),'IMP Table'!$A$2:$C$26,3)*SIGN(S22-S19),0)</f>
        <v/>
      </c>
      <c r="AB22" s="9">
        <f>IF(AND(ISNUMBER(S22),ISNUMBER(S20)),VLOOKUP(ABS(S22-S20),'IMP Table'!$A$2:$C$26,3)*SIGN(S22-S20),0)</f>
        <v/>
      </c>
      <c r="AC22" s="9">
        <f>IF(AND(ISNUMBER(S22),ISNUMBER(S21)),VLOOKUP(ABS(S22-S21),'IMP Table'!$A$2:$C$26,3)*SIGN(S22-S21),0)</f>
        <v/>
      </c>
      <c r="AD22" s="9">
        <f>IF(AND(ISNUMBER(T22),ISNUMBER(T19)),VLOOKUP(ABS(T22-T19),'IMP Table'!$A$2:$C$26,3)*SIGN(T22-T19),0)</f>
        <v/>
      </c>
      <c r="AE22" s="9">
        <f>IF(AND(ISNUMBER(T22),ISNUMBER(T20)),VLOOKUP(ABS(T22-T20),'IMP Table'!$A$2:$C$26,3)*SIGN(T22-T20),0)</f>
        <v/>
      </c>
      <c r="AF22" s="9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7">
        <f>AVERAGE(AD23:AF23)</f>
        <v/>
      </c>
      <c r="O23" s="6">
        <f>IF(COUNT(U23:W23)&gt;0,Q23/COUNT(U23:W23),0.5)</f>
        <v/>
      </c>
      <c r="P23" s="6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7">
        <f>AVERAGE(AD24:AF24)</f>
        <v/>
      </c>
      <c r="O24" s="6">
        <f>IF(COUNT(U24:W24)&gt;0,Q24/COUNT(U24:W24),0.5)</f>
        <v/>
      </c>
      <c r="P24" s="6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7">
        <f>AVERAGE(AD25:AF25)</f>
        <v/>
      </c>
      <c r="O25" s="6">
        <f>IF(COUNT(U25:W25)&gt;0,Q25/COUNT(U25:W25),0.5)</f>
        <v/>
      </c>
      <c r="P25" s="6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9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9">
        <f>IF(ISBLANK('By Round'!G38),"",'By Round'!G38)</f>
        <v/>
      </c>
      <c r="H26" s="9">
        <f>IF(ISBLANK('By Round'!H38),"",'By Round'!H38)</f>
        <v/>
      </c>
      <c r="I26" s="9">
        <f>IF(ISBLANK('By Round'!I38),"",'By Round'!I38)</f>
        <v/>
      </c>
      <c r="J26" s="9">
        <f>IF(ISBLANK('By Round'!J38),"",'By Round'!J38)</f>
        <v/>
      </c>
      <c r="K26" s="9">
        <f>IF(ISBLANK('By Round'!K38),"",'By Round'!K38)</f>
        <v/>
      </c>
      <c r="L26" s="9">
        <f>IF(ISBLANK('By Round'!L38),"",'By Round'!L38)</f>
        <v/>
      </c>
      <c r="M26" s="20">
        <f>AVERAGE(AA26:AC26)</f>
        <v/>
      </c>
      <c r="N26" s="21">
        <f>AVERAGE(AD26:AF26)</f>
        <v/>
      </c>
      <c r="O26" s="22">
        <f>IF(COUNT(U26:W26)&gt;0,Q26/COUNT(U26:W26),0.5)</f>
        <v/>
      </c>
      <c r="P26" s="22">
        <f>IF(COUNT(X26:Z26)&gt;0,R26/COUNT(X26:Z26),0.5)</f>
        <v/>
      </c>
      <c r="Q26" s="23">
        <f>SUM(U26:W26)</f>
        <v/>
      </c>
      <c r="R26" s="23">
        <f>SUM(X26:Z26)</f>
        <v/>
      </c>
      <c r="S26" s="24">
        <f>IF(ISNUMBER(K26),K26,IF(ISNUMBER(L26),-L26,""))</f>
        <v/>
      </c>
      <c r="T26" s="9">
        <f>IF(ISNUMBER(L26),L26,IF(ISNUMBER(K26),-K26,""))</f>
        <v/>
      </c>
      <c r="U26" s="24">
        <f>IF(ISNUMBER(S26),IF(ISNUMBER(S23),IF(S26&gt;S23,1.0,IF(S26=S23,0.5,0.0)),""),"")</f>
        <v/>
      </c>
      <c r="V26" s="9">
        <f>IF(ISNUMBER(S26),IF(ISNUMBER(S24),IF(S26&gt;S24,1.0,IF(S26=S24,0.5,0.0)),""),"")</f>
        <v/>
      </c>
      <c r="W26" s="9">
        <f>IF(ISNUMBER(S26),IF(ISNUMBER(S25),IF(S26&gt;S25,1.0,IF(S26=S25,0.5,0.0)),""),"")</f>
        <v/>
      </c>
      <c r="X26" s="9">
        <f>IF(ISNUMBER(T26),IF(ISNUMBER(T23),IF(T26&gt;T23,1.0,IF(T26=T23,0.5,0.0)),""),"")</f>
        <v/>
      </c>
      <c r="Y26" s="9">
        <f>IF(ISNUMBER(T26),IF(ISNUMBER(T24),IF(T26&gt;T24,1.0,IF(T26=T24,0.5,0.0)),""),"")</f>
        <v/>
      </c>
      <c r="Z26" s="9">
        <f>IF(ISNUMBER(T26),IF(ISNUMBER(T25),IF(T26&gt;T25,1.0,IF(T26=T25,0.5,0.0)),""),"")</f>
        <v/>
      </c>
      <c r="AA26" s="24">
        <f>IF(AND(ISNUMBER(S26),ISNUMBER(S23)),VLOOKUP(ABS(S26-S23),'IMP Table'!$A$2:$C$26,3)*SIGN(S26-S23),0)</f>
        <v/>
      </c>
      <c r="AB26" s="9">
        <f>IF(AND(ISNUMBER(S26),ISNUMBER(S24)),VLOOKUP(ABS(S26-S24),'IMP Table'!$A$2:$C$26,3)*SIGN(S26-S24),0)</f>
        <v/>
      </c>
      <c r="AC26" s="9">
        <f>IF(AND(ISNUMBER(S26),ISNUMBER(S25)),VLOOKUP(ABS(S26-S25),'IMP Table'!$A$2:$C$26,3)*SIGN(S26-S25),0)</f>
        <v/>
      </c>
      <c r="AD26" s="9">
        <f>IF(AND(ISNUMBER(T26),ISNUMBER(T23)),VLOOKUP(ABS(T26-T23),'IMP Table'!$A$2:$C$26,3)*SIGN(T26-T23),0)</f>
        <v/>
      </c>
      <c r="AE26" s="9">
        <f>IF(AND(ISNUMBER(T26),ISNUMBER(T24)),VLOOKUP(ABS(T26-T24),'IMP Table'!$A$2:$C$26,3)*SIGN(T26-T24),0)</f>
        <v/>
      </c>
      <c r="AF26" s="9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7">
        <f>AVERAGE(AD27:AF27)</f>
        <v/>
      </c>
      <c r="O27" s="6">
        <f>IF(COUNT(U27:W27)&gt;0,Q27/COUNT(U27:W27),0.5)</f>
        <v/>
      </c>
      <c r="P27" s="6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7">
        <f>AVERAGE(AD28:AF28)</f>
        <v/>
      </c>
      <c r="O28" s="6">
        <f>IF(COUNT(U28:W28)&gt;0,Q28/COUNT(U28:W28),0.5)</f>
        <v/>
      </c>
      <c r="P28" s="6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7">
        <f>AVERAGE(AD29:AF29)</f>
        <v/>
      </c>
      <c r="O29" s="6">
        <f>IF(COUNT(U29:W29)&gt;0,Q29/COUNT(U29:W29),0.5)</f>
        <v/>
      </c>
      <c r="P29" s="6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9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9">
        <f>IF(ISBLANK('By Round'!G48),"",'By Round'!G48)</f>
        <v/>
      </c>
      <c r="H30" s="9">
        <f>IF(ISBLANK('By Round'!H48),"",'By Round'!H48)</f>
        <v/>
      </c>
      <c r="I30" s="9">
        <f>IF(ISBLANK('By Round'!I48),"",'By Round'!I48)</f>
        <v/>
      </c>
      <c r="J30" s="9">
        <f>IF(ISBLANK('By Round'!J48),"",'By Round'!J48)</f>
        <v/>
      </c>
      <c r="K30" s="9">
        <f>IF(ISBLANK('By Round'!K48),"",'By Round'!K48)</f>
        <v/>
      </c>
      <c r="L30" s="9">
        <f>IF(ISBLANK('By Round'!L48),"",'By Round'!L48)</f>
        <v/>
      </c>
      <c r="M30" s="20">
        <f>AVERAGE(AA30:AC30)</f>
        <v/>
      </c>
      <c r="N30" s="21">
        <f>AVERAGE(AD30:AF30)</f>
        <v/>
      </c>
      <c r="O30" s="22">
        <f>IF(COUNT(U30:W30)&gt;0,Q30/COUNT(U30:W30),0.5)</f>
        <v/>
      </c>
      <c r="P30" s="22">
        <f>IF(COUNT(X30:Z30)&gt;0,R30/COUNT(X30:Z30),0.5)</f>
        <v/>
      </c>
      <c r="Q30" s="23">
        <f>SUM(U30:W30)</f>
        <v/>
      </c>
      <c r="R30" s="23">
        <f>SUM(X30:Z30)</f>
        <v/>
      </c>
      <c r="S30" s="24">
        <f>IF(ISNUMBER(K30),K30,IF(ISNUMBER(L30),-L30,""))</f>
        <v/>
      </c>
      <c r="T30" s="9">
        <f>IF(ISNUMBER(L30),L30,IF(ISNUMBER(K30),-K30,""))</f>
        <v/>
      </c>
      <c r="U30" s="24">
        <f>IF(ISNUMBER(S30),IF(ISNUMBER(S27),IF(S30&gt;S27,1.0,IF(S30=S27,0.5,0.0)),""),"")</f>
        <v/>
      </c>
      <c r="V30" s="9">
        <f>IF(ISNUMBER(S30),IF(ISNUMBER(S28),IF(S30&gt;S28,1.0,IF(S30=S28,0.5,0.0)),""),"")</f>
        <v/>
      </c>
      <c r="W30" s="9">
        <f>IF(ISNUMBER(S30),IF(ISNUMBER(S29),IF(S30&gt;S29,1.0,IF(S30=S29,0.5,0.0)),""),"")</f>
        <v/>
      </c>
      <c r="X30" s="9">
        <f>IF(ISNUMBER(T30),IF(ISNUMBER(T27),IF(T30&gt;T27,1.0,IF(T30=T27,0.5,0.0)),""),"")</f>
        <v/>
      </c>
      <c r="Y30" s="9">
        <f>IF(ISNUMBER(T30),IF(ISNUMBER(T28),IF(T30&gt;T28,1.0,IF(T30=T28,0.5,0.0)),""),"")</f>
        <v/>
      </c>
      <c r="Z30" s="9">
        <f>IF(ISNUMBER(T30),IF(ISNUMBER(T29),IF(T30&gt;T29,1.0,IF(T30=T29,0.5,0.0)),""),"")</f>
        <v/>
      </c>
      <c r="AA30" s="24">
        <f>IF(AND(ISNUMBER(S30),ISNUMBER(S27)),VLOOKUP(ABS(S30-S27),'IMP Table'!$A$2:$C$26,3)*SIGN(S30-S27),0)</f>
        <v/>
      </c>
      <c r="AB30" s="9">
        <f>IF(AND(ISNUMBER(S30),ISNUMBER(S28)),VLOOKUP(ABS(S30-S28),'IMP Table'!$A$2:$C$26,3)*SIGN(S30-S28),0)</f>
        <v/>
      </c>
      <c r="AC30" s="9">
        <f>IF(AND(ISNUMBER(S30),ISNUMBER(S29)),VLOOKUP(ABS(S30-S29),'IMP Table'!$A$2:$C$26,3)*SIGN(S30-S29),0)</f>
        <v/>
      </c>
      <c r="AD30" s="9">
        <f>IF(AND(ISNUMBER(T30),ISNUMBER(T27)),VLOOKUP(ABS(T30-T27),'IMP Table'!$A$2:$C$26,3)*SIGN(T30-T27),0)</f>
        <v/>
      </c>
      <c r="AE30" s="9">
        <f>IF(AND(ISNUMBER(T30),ISNUMBER(T28)),VLOOKUP(ABS(T30-T28),'IMP Table'!$A$2:$C$26,3)*SIGN(T30-T28),0)</f>
        <v/>
      </c>
      <c r="AF30" s="9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7">
        <f>AVERAGE(AD31:AF31)</f>
        <v/>
      </c>
      <c r="O31" s="6">
        <f>IF(COUNT(U31:W31)&gt;0,Q31/COUNT(U31:W31),0.5)</f>
        <v/>
      </c>
      <c r="P31" s="6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7">
        <f>AVERAGE(AD32:AF32)</f>
        <v/>
      </c>
      <c r="O32" s="6">
        <f>IF(COUNT(U32:W32)&gt;0,Q32/COUNT(U32:W32),0.5)</f>
        <v/>
      </c>
      <c r="P32" s="6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7">
        <f>AVERAGE(AD33:AF33)</f>
        <v/>
      </c>
      <c r="O33" s="6">
        <f>IF(COUNT(U33:W33)&gt;0,Q33/COUNT(U33:W33),0.5)</f>
        <v/>
      </c>
      <c r="P33" s="6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9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9">
        <f>IF(ISBLANK('By Round'!G49),"",'By Round'!G49)</f>
        <v/>
      </c>
      <c r="H34" s="9">
        <f>IF(ISBLANK('By Round'!H49),"",'By Round'!H49)</f>
        <v/>
      </c>
      <c r="I34" s="9">
        <f>IF(ISBLANK('By Round'!I49),"",'By Round'!I49)</f>
        <v/>
      </c>
      <c r="J34" s="9">
        <f>IF(ISBLANK('By Round'!J49),"",'By Round'!J49)</f>
        <v/>
      </c>
      <c r="K34" s="9">
        <f>IF(ISBLANK('By Round'!K49),"",'By Round'!K49)</f>
        <v/>
      </c>
      <c r="L34" s="9">
        <f>IF(ISBLANK('By Round'!L49),"",'By Round'!L49)</f>
        <v/>
      </c>
      <c r="M34" s="20">
        <f>AVERAGE(AA34:AC34)</f>
        <v/>
      </c>
      <c r="N34" s="21">
        <f>AVERAGE(AD34:AF34)</f>
        <v/>
      </c>
      <c r="O34" s="22">
        <f>IF(COUNT(U34:W34)&gt;0,Q34/COUNT(U34:W34),0.5)</f>
        <v/>
      </c>
      <c r="P34" s="22">
        <f>IF(COUNT(X34:Z34)&gt;0,R34/COUNT(X34:Z34),0.5)</f>
        <v/>
      </c>
      <c r="Q34" s="23">
        <f>SUM(U34:W34)</f>
        <v/>
      </c>
      <c r="R34" s="23">
        <f>SUM(X34:Z34)</f>
        <v/>
      </c>
      <c r="S34" s="24">
        <f>IF(ISNUMBER(K34),K34,IF(ISNUMBER(L34),-L34,""))</f>
        <v/>
      </c>
      <c r="T34" s="9">
        <f>IF(ISNUMBER(L34),L34,IF(ISNUMBER(K34),-K34,""))</f>
        <v/>
      </c>
      <c r="U34" s="24">
        <f>IF(ISNUMBER(S34),IF(ISNUMBER(S31),IF(S34&gt;S31,1.0,IF(S34=S31,0.5,0.0)),""),"")</f>
        <v/>
      </c>
      <c r="V34" s="9">
        <f>IF(ISNUMBER(S34),IF(ISNUMBER(S32),IF(S34&gt;S32,1.0,IF(S34=S32,0.5,0.0)),""),"")</f>
        <v/>
      </c>
      <c r="W34" s="9">
        <f>IF(ISNUMBER(S34),IF(ISNUMBER(S33),IF(S34&gt;S33,1.0,IF(S34=S33,0.5,0.0)),""),"")</f>
        <v/>
      </c>
      <c r="X34" s="9">
        <f>IF(ISNUMBER(T34),IF(ISNUMBER(T31),IF(T34&gt;T31,1.0,IF(T34=T31,0.5,0.0)),""),"")</f>
        <v/>
      </c>
      <c r="Y34" s="9">
        <f>IF(ISNUMBER(T34),IF(ISNUMBER(T32),IF(T34&gt;T32,1.0,IF(T34=T32,0.5,0.0)),""),"")</f>
        <v/>
      </c>
      <c r="Z34" s="9">
        <f>IF(ISNUMBER(T34),IF(ISNUMBER(T33),IF(T34&gt;T33,1.0,IF(T34=T33,0.5,0.0)),""),"")</f>
        <v/>
      </c>
      <c r="AA34" s="24">
        <f>IF(AND(ISNUMBER(S34),ISNUMBER(S31)),VLOOKUP(ABS(S34-S31),'IMP Table'!$A$2:$C$26,3)*SIGN(S34-S31),0)</f>
        <v/>
      </c>
      <c r="AB34" s="9">
        <f>IF(AND(ISNUMBER(S34),ISNUMBER(S32)),VLOOKUP(ABS(S34-S32),'IMP Table'!$A$2:$C$26,3)*SIGN(S34-S32),0)</f>
        <v/>
      </c>
      <c r="AC34" s="9">
        <f>IF(AND(ISNUMBER(S34),ISNUMBER(S33)),VLOOKUP(ABS(S34-S33),'IMP Table'!$A$2:$C$26,3)*SIGN(S34-S33),0)</f>
        <v/>
      </c>
      <c r="AD34" s="9">
        <f>IF(AND(ISNUMBER(T34),ISNUMBER(T31)),VLOOKUP(ABS(T34-T31),'IMP Table'!$A$2:$C$26,3)*SIGN(T34-T31),0)</f>
        <v/>
      </c>
      <c r="AE34" s="9">
        <f>IF(AND(ISNUMBER(T34),ISNUMBER(T32)),VLOOKUP(ABS(T34-T32),'IMP Table'!$A$2:$C$26,3)*SIGN(T34-T32),0)</f>
        <v/>
      </c>
      <c r="AF34" s="9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7">
        <f>AVERAGE(AD35:AF35)</f>
        <v/>
      </c>
      <c r="O35" s="6">
        <f>IF(COUNT(U35:W35)&gt;0,Q35/COUNT(U35:W35),0.5)</f>
        <v/>
      </c>
      <c r="P35" s="6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7">
        <f>AVERAGE(AD36:AF36)</f>
        <v/>
      </c>
      <c r="O36" s="6">
        <f>IF(COUNT(U36:W36)&gt;0,Q36/COUNT(U36:W36),0.5)</f>
        <v/>
      </c>
      <c r="P36" s="6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7">
        <f>AVERAGE(AD37:AF37)</f>
        <v/>
      </c>
      <c r="O37" s="6">
        <f>IF(COUNT(U37:W37)&gt;0,Q37/COUNT(U37:W37),0.5)</f>
        <v/>
      </c>
      <c r="P37" s="6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9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9">
        <f>IF(ISBLANK('By Round'!G50),"",'By Round'!G50)</f>
        <v/>
      </c>
      <c r="H38" s="9">
        <f>IF(ISBLANK('By Round'!H50),"",'By Round'!H50)</f>
        <v/>
      </c>
      <c r="I38" s="9">
        <f>IF(ISBLANK('By Round'!I50),"",'By Round'!I50)</f>
        <v/>
      </c>
      <c r="J38" s="9">
        <f>IF(ISBLANK('By Round'!J50),"",'By Round'!J50)</f>
        <v/>
      </c>
      <c r="K38" s="9">
        <f>IF(ISBLANK('By Round'!K50),"",'By Round'!K50)</f>
        <v/>
      </c>
      <c r="L38" s="9">
        <f>IF(ISBLANK('By Round'!L50),"",'By Round'!L50)</f>
        <v/>
      </c>
      <c r="M38" s="20">
        <f>AVERAGE(AA38:AC38)</f>
        <v/>
      </c>
      <c r="N38" s="21">
        <f>AVERAGE(AD38:AF38)</f>
        <v/>
      </c>
      <c r="O38" s="22">
        <f>IF(COUNT(U38:W38)&gt;0,Q38/COUNT(U38:W38),0.5)</f>
        <v/>
      </c>
      <c r="P38" s="22">
        <f>IF(COUNT(X38:Z38)&gt;0,R38/COUNT(X38:Z38),0.5)</f>
        <v/>
      </c>
      <c r="Q38" s="23">
        <f>SUM(U38:W38)</f>
        <v/>
      </c>
      <c r="R38" s="23">
        <f>SUM(X38:Z38)</f>
        <v/>
      </c>
      <c r="S38" s="24">
        <f>IF(ISNUMBER(K38),K38,IF(ISNUMBER(L38),-L38,""))</f>
        <v/>
      </c>
      <c r="T38" s="9">
        <f>IF(ISNUMBER(L38),L38,IF(ISNUMBER(K38),-K38,""))</f>
        <v/>
      </c>
      <c r="U38" s="24">
        <f>IF(ISNUMBER(S38),IF(ISNUMBER(S35),IF(S38&gt;S35,1.0,IF(S38=S35,0.5,0.0)),""),"")</f>
        <v/>
      </c>
      <c r="V38" s="9">
        <f>IF(ISNUMBER(S38),IF(ISNUMBER(S36),IF(S38&gt;S36,1.0,IF(S38=S36,0.5,0.0)),""),"")</f>
        <v/>
      </c>
      <c r="W38" s="9">
        <f>IF(ISNUMBER(S38),IF(ISNUMBER(S37),IF(S38&gt;S37,1.0,IF(S38=S37,0.5,0.0)),""),"")</f>
        <v/>
      </c>
      <c r="X38" s="9">
        <f>IF(ISNUMBER(T38),IF(ISNUMBER(T35),IF(T38&gt;T35,1.0,IF(T38=T35,0.5,0.0)),""),"")</f>
        <v/>
      </c>
      <c r="Y38" s="9">
        <f>IF(ISNUMBER(T38),IF(ISNUMBER(T36),IF(T38&gt;T36,1.0,IF(T38=T36,0.5,0.0)),""),"")</f>
        <v/>
      </c>
      <c r="Z38" s="9">
        <f>IF(ISNUMBER(T38),IF(ISNUMBER(T37),IF(T38&gt;T37,1.0,IF(T38=T37,0.5,0.0)),""),"")</f>
        <v/>
      </c>
      <c r="AA38" s="24">
        <f>IF(AND(ISNUMBER(S38),ISNUMBER(S35)),VLOOKUP(ABS(S38-S35),'IMP Table'!$A$2:$C$26,3)*SIGN(S38-S35),0)</f>
        <v/>
      </c>
      <c r="AB38" s="9">
        <f>IF(AND(ISNUMBER(S38),ISNUMBER(S36)),VLOOKUP(ABS(S38-S36),'IMP Table'!$A$2:$C$26,3)*SIGN(S38-S36),0)</f>
        <v/>
      </c>
      <c r="AC38" s="9">
        <f>IF(AND(ISNUMBER(S38),ISNUMBER(S37)),VLOOKUP(ABS(S38-S37),'IMP Table'!$A$2:$C$26,3)*SIGN(S38-S37),0)</f>
        <v/>
      </c>
      <c r="AD38" s="9">
        <f>IF(AND(ISNUMBER(T38),ISNUMBER(T35)),VLOOKUP(ABS(T38-T35),'IMP Table'!$A$2:$C$26,3)*SIGN(T38-T35),0)</f>
        <v/>
      </c>
      <c r="AE38" s="9">
        <f>IF(AND(ISNUMBER(T38),ISNUMBER(T36)),VLOOKUP(ABS(T38-T36),'IMP Table'!$A$2:$C$26,3)*SIGN(T38-T36),0)</f>
        <v/>
      </c>
      <c r="AF38" s="9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7">
        <f>AVERAGE(AD39:AF39)</f>
        <v/>
      </c>
      <c r="O39" s="6">
        <f>IF(COUNT(U39:W39)&gt;0,Q39/COUNT(U39:W39),0.5)</f>
        <v/>
      </c>
      <c r="P39" s="6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7">
        <f>AVERAGE(AD40:AF40)</f>
        <v/>
      </c>
      <c r="O40" s="6">
        <f>IF(COUNT(U40:W40)&gt;0,Q40/COUNT(U40:W40),0.5)</f>
        <v/>
      </c>
      <c r="P40" s="6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7">
        <f>AVERAGE(AD41:AF41)</f>
        <v/>
      </c>
      <c r="O41" s="6">
        <f>IF(COUNT(U41:W41)&gt;0,Q41/COUNT(U41:W41),0.5)</f>
        <v/>
      </c>
      <c r="P41" s="6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9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9">
        <f>IF(ISBLANK('By Round'!G12),"",'By Round'!G12)</f>
        <v/>
      </c>
      <c r="H42" s="9">
        <f>IF(ISBLANK('By Round'!H12),"",'By Round'!H12)</f>
        <v/>
      </c>
      <c r="I42" s="9">
        <f>IF(ISBLANK('By Round'!I12),"",'By Round'!I12)</f>
        <v/>
      </c>
      <c r="J42" s="9">
        <f>IF(ISBLANK('By Round'!J12),"",'By Round'!J12)</f>
        <v/>
      </c>
      <c r="K42" s="9">
        <f>IF(ISBLANK('By Round'!K12),"",'By Round'!K12)</f>
        <v/>
      </c>
      <c r="L42" s="9">
        <f>IF(ISBLANK('By Round'!L12),"",'By Round'!L12)</f>
        <v/>
      </c>
      <c r="M42" s="20">
        <f>AVERAGE(AA42:AC42)</f>
        <v/>
      </c>
      <c r="N42" s="21">
        <f>AVERAGE(AD42:AF42)</f>
        <v/>
      </c>
      <c r="O42" s="22">
        <f>IF(COUNT(U42:W42)&gt;0,Q42/COUNT(U42:W42),0.5)</f>
        <v/>
      </c>
      <c r="P42" s="22">
        <f>IF(COUNT(X42:Z42)&gt;0,R42/COUNT(X42:Z42),0.5)</f>
        <v/>
      </c>
      <c r="Q42" s="23">
        <f>SUM(U42:W42)</f>
        <v/>
      </c>
      <c r="R42" s="23">
        <f>SUM(X42:Z42)</f>
        <v/>
      </c>
      <c r="S42" s="24">
        <f>IF(ISNUMBER(K42),K42,IF(ISNUMBER(L42),-L42,""))</f>
        <v/>
      </c>
      <c r="T42" s="9">
        <f>IF(ISNUMBER(L42),L42,IF(ISNUMBER(K42),-K42,""))</f>
        <v/>
      </c>
      <c r="U42" s="24">
        <f>IF(ISNUMBER(S42),IF(ISNUMBER(S39),IF(S42&gt;S39,1.0,IF(S42=S39,0.5,0.0)),""),"")</f>
        <v/>
      </c>
      <c r="V42" s="9">
        <f>IF(ISNUMBER(S42),IF(ISNUMBER(S40),IF(S42&gt;S40,1.0,IF(S42=S40,0.5,0.0)),""),"")</f>
        <v/>
      </c>
      <c r="W42" s="9">
        <f>IF(ISNUMBER(S42),IF(ISNUMBER(S41),IF(S42&gt;S41,1.0,IF(S42=S41,0.5,0.0)),""),"")</f>
        <v/>
      </c>
      <c r="X42" s="9">
        <f>IF(ISNUMBER(T42),IF(ISNUMBER(T39),IF(T42&gt;T39,1.0,IF(T42=T39,0.5,0.0)),""),"")</f>
        <v/>
      </c>
      <c r="Y42" s="9">
        <f>IF(ISNUMBER(T42),IF(ISNUMBER(T40),IF(T42&gt;T40,1.0,IF(T42=T40,0.5,0.0)),""),"")</f>
        <v/>
      </c>
      <c r="Z42" s="9">
        <f>IF(ISNUMBER(T42),IF(ISNUMBER(T41),IF(T42&gt;T41,1.0,IF(T42=T41,0.5,0.0)),""),"")</f>
        <v/>
      </c>
      <c r="AA42" s="24">
        <f>IF(AND(ISNUMBER(S42),ISNUMBER(S39)),VLOOKUP(ABS(S42-S39),'IMP Table'!$A$2:$C$26,3)*SIGN(S42-S39),0)</f>
        <v/>
      </c>
      <c r="AB42" s="9">
        <f>IF(AND(ISNUMBER(S42),ISNUMBER(S40)),VLOOKUP(ABS(S42-S40),'IMP Table'!$A$2:$C$26,3)*SIGN(S42-S40),0)</f>
        <v/>
      </c>
      <c r="AC42" s="9">
        <f>IF(AND(ISNUMBER(S42),ISNUMBER(S41)),VLOOKUP(ABS(S42-S41),'IMP Table'!$A$2:$C$26,3)*SIGN(S42-S41),0)</f>
        <v/>
      </c>
      <c r="AD42" s="9">
        <f>IF(AND(ISNUMBER(T42),ISNUMBER(T39)),VLOOKUP(ABS(T42-T39),'IMP Table'!$A$2:$C$26,3)*SIGN(T42-T39),0)</f>
        <v/>
      </c>
      <c r="AE42" s="9">
        <f>IF(AND(ISNUMBER(T42),ISNUMBER(T40)),VLOOKUP(ABS(T42-T40),'IMP Table'!$A$2:$C$26,3)*SIGN(T42-T40),0)</f>
        <v/>
      </c>
      <c r="AF42" s="9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7">
        <f>AVERAGE(AD43:AF43)</f>
        <v/>
      </c>
      <c r="O43" s="6">
        <f>IF(COUNT(U43:W43)&gt;0,Q43/COUNT(U43:W43),0.5)</f>
        <v/>
      </c>
      <c r="P43" s="6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7">
        <f>AVERAGE(AD44:AF44)</f>
        <v/>
      </c>
      <c r="O44" s="6">
        <f>IF(COUNT(U44:W44)&gt;0,Q44/COUNT(U44:W44),0.5)</f>
        <v/>
      </c>
      <c r="P44" s="6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7">
        <f>AVERAGE(AD45:AF45)</f>
        <v/>
      </c>
      <c r="O45" s="6">
        <f>IF(COUNT(U45:W45)&gt;0,Q45/COUNT(U45:W45),0.5)</f>
        <v/>
      </c>
      <c r="P45" s="6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9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9">
        <f>IF(ISBLANK('By Round'!G13),"",'By Round'!G13)</f>
        <v/>
      </c>
      <c r="H46" s="9">
        <f>IF(ISBLANK('By Round'!H13),"",'By Round'!H13)</f>
        <v/>
      </c>
      <c r="I46" s="9">
        <f>IF(ISBLANK('By Round'!I13),"",'By Round'!I13)</f>
        <v/>
      </c>
      <c r="J46" s="9">
        <f>IF(ISBLANK('By Round'!J13),"",'By Round'!J13)</f>
        <v/>
      </c>
      <c r="K46" s="9">
        <f>IF(ISBLANK('By Round'!K13),"",'By Round'!K13)</f>
        <v/>
      </c>
      <c r="L46" s="9">
        <f>IF(ISBLANK('By Round'!L13),"",'By Round'!L13)</f>
        <v/>
      </c>
      <c r="M46" s="20">
        <f>AVERAGE(AA46:AC46)</f>
        <v/>
      </c>
      <c r="N46" s="21">
        <f>AVERAGE(AD46:AF46)</f>
        <v/>
      </c>
      <c r="O46" s="22">
        <f>IF(COUNT(U46:W46)&gt;0,Q46/COUNT(U46:W46),0.5)</f>
        <v/>
      </c>
      <c r="P46" s="22">
        <f>IF(COUNT(X46:Z46)&gt;0,R46/COUNT(X46:Z46),0.5)</f>
        <v/>
      </c>
      <c r="Q46" s="23">
        <f>SUM(U46:W46)</f>
        <v/>
      </c>
      <c r="R46" s="23">
        <f>SUM(X46:Z46)</f>
        <v/>
      </c>
      <c r="S46" s="24">
        <f>IF(ISNUMBER(K46),K46,IF(ISNUMBER(L46),-L46,""))</f>
        <v/>
      </c>
      <c r="T46" s="9">
        <f>IF(ISNUMBER(L46),L46,IF(ISNUMBER(K46),-K46,""))</f>
        <v/>
      </c>
      <c r="U46" s="24">
        <f>IF(ISNUMBER(S46),IF(ISNUMBER(S43),IF(S46&gt;S43,1.0,IF(S46=S43,0.5,0.0)),""),"")</f>
        <v/>
      </c>
      <c r="V46" s="9">
        <f>IF(ISNUMBER(S46),IF(ISNUMBER(S44),IF(S46&gt;S44,1.0,IF(S46=S44,0.5,0.0)),""),"")</f>
        <v/>
      </c>
      <c r="W46" s="9">
        <f>IF(ISNUMBER(S46),IF(ISNUMBER(S45),IF(S46&gt;S45,1.0,IF(S46=S45,0.5,0.0)),""),"")</f>
        <v/>
      </c>
      <c r="X46" s="9">
        <f>IF(ISNUMBER(T46),IF(ISNUMBER(T43),IF(T46&gt;T43,1.0,IF(T46=T43,0.5,0.0)),""),"")</f>
        <v/>
      </c>
      <c r="Y46" s="9">
        <f>IF(ISNUMBER(T46),IF(ISNUMBER(T44),IF(T46&gt;T44,1.0,IF(T46=T44,0.5,0.0)),""),"")</f>
        <v/>
      </c>
      <c r="Z46" s="9">
        <f>IF(ISNUMBER(T46),IF(ISNUMBER(T45),IF(T46&gt;T45,1.0,IF(T46=T45,0.5,0.0)),""),"")</f>
        <v/>
      </c>
      <c r="AA46" s="24">
        <f>IF(AND(ISNUMBER(S46),ISNUMBER(S43)),VLOOKUP(ABS(S46-S43),'IMP Table'!$A$2:$C$26,3)*SIGN(S46-S43),0)</f>
        <v/>
      </c>
      <c r="AB46" s="9">
        <f>IF(AND(ISNUMBER(S46),ISNUMBER(S44)),VLOOKUP(ABS(S46-S44),'IMP Table'!$A$2:$C$26,3)*SIGN(S46-S44),0)</f>
        <v/>
      </c>
      <c r="AC46" s="9">
        <f>IF(AND(ISNUMBER(S46),ISNUMBER(S45)),VLOOKUP(ABS(S46-S45),'IMP Table'!$A$2:$C$26,3)*SIGN(S46-S45),0)</f>
        <v/>
      </c>
      <c r="AD46" s="9">
        <f>IF(AND(ISNUMBER(T46),ISNUMBER(T43)),VLOOKUP(ABS(T46-T43),'IMP Table'!$A$2:$C$26,3)*SIGN(T46-T43),0)</f>
        <v/>
      </c>
      <c r="AE46" s="9">
        <f>IF(AND(ISNUMBER(T46),ISNUMBER(T44)),VLOOKUP(ABS(T46-T44),'IMP Table'!$A$2:$C$26,3)*SIGN(T46-T44),0)</f>
        <v/>
      </c>
      <c r="AF46" s="9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7">
        <f>AVERAGE(AD47:AF47)</f>
        <v/>
      </c>
      <c r="O47" s="6">
        <f>IF(COUNT(U47:W47)&gt;0,Q47/COUNT(U47:W47),0.5)</f>
        <v/>
      </c>
      <c r="P47" s="6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7">
        <f>AVERAGE(AD48:AF48)</f>
        <v/>
      </c>
      <c r="O48" s="6">
        <f>IF(COUNT(U48:W48)&gt;0,Q48/COUNT(U48:W48),0.5)</f>
        <v/>
      </c>
      <c r="P48" s="6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7">
        <f>AVERAGE(AD49:AF49)</f>
        <v/>
      </c>
      <c r="O49" s="6">
        <f>IF(COUNT(U49:W49)&gt;0,Q49/COUNT(U49:W49),0.5)</f>
        <v/>
      </c>
      <c r="P49" s="6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9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9">
        <f>IF(ISBLANK('By Round'!G14),"",'By Round'!G14)</f>
        <v/>
      </c>
      <c r="H50" s="9">
        <f>IF(ISBLANK('By Round'!H14),"",'By Round'!H14)</f>
        <v/>
      </c>
      <c r="I50" s="9">
        <f>IF(ISBLANK('By Round'!I14),"",'By Round'!I14)</f>
        <v/>
      </c>
      <c r="J50" s="9">
        <f>IF(ISBLANK('By Round'!J14),"",'By Round'!J14)</f>
        <v/>
      </c>
      <c r="K50" s="9">
        <f>IF(ISBLANK('By Round'!K14),"",'By Round'!K14)</f>
        <v/>
      </c>
      <c r="L50" s="9">
        <f>IF(ISBLANK('By Round'!L14),"",'By Round'!L14)</f>
        <v/>
      </c>
      <c r="M50" s="20">
        <f>AVERAGE(AA50:AC50)</f>
        <v/>
      </c>
      <c r="N50" s="21">
        <f>AVERAGE(AD50:AF50)</f>
        <v/>
      </c>
      <c r="O50" s="22">
        <f>IF(COUNT(U50:W50)&gt;0,Q50/COUNT(U50:W50),0.5)</f>
        <v/>
      </c>
      <c r="P50" s="22">
        <f>IF(COUNT(X50:Z50)&gt;0,R50/COUNT(X50:Z50),0.5)</f>
        <v/>
      </c>
      <c r="Q50" s="23">
        <f>SUM(U50:W50)</f>
        <v/>
      </c>
      <c r="R50" s="23">
        <f>SUM(X50:Z50)</f>
        <v/>
      </c>
      <c r="S50" s="24">
        <f>IF(ISNUMBER(K50),K50,IF(ISNUMBER(L50),-L50,""))</f>
        <v/>
      </c>
      <c r="T50" s="9">
        <f>IF(ISNUMBER(L50),L50,IF(ISNUMBER(K50),-K50,""))</f>
        <v/>
      </c>
      <c r="U50" s="24">
        <f>IF(ISNUMBER(S50),IF(ISNUMBER(S47),IF(S50&gt;S47,1.0,IF(S50=S47,0.5,0.0)),""),"")</f>
        <v/>
      </c>
      <c r="V50" s="9">
        <f>IF(ISNUMBER(S50),IF(ISNUMBER(S48),IF(S50&gt;S48,1.0,IF(S50=S48,0.5,0.0)),""),"")</f>
        <v/>
      </c>
      <c r="W50" s="9">
        <f>IF(ISNUMBER(S50),IF(ISNUMBER(S49),IF(S50&gt;S49,1.0,IF(S50=S49,0.5,0.0)),""),"")</f>
        <v/>
      </c>
      <c r="X50" s="9">
        <f>IF(ISNUMBER(T50),IF(ISNUMBER(T47),IF(T50&gt;T47,1.0,IF(T50=T47,0.5,0.0)),""),"")</f>
        <v/>
      </c>
      <c r="Y50" s="9">
        <f>IF(ISNUMBER(T50),IF(ISNUMBER(T48),IF(T50&gt;T48,1.0,IF(T50=T48,0.5,0.0)),""),"")</f>
        <v/>
      </c>
      <c r="Z50" s="9">
        <f>IF(ISNUMBER(T50),IF(ISNUMBER(T49),IF(T50&gt;T49,1.0,IF(T50=T49,0.5,0.0)),""),"")</f>
        <v/>
      </c>
      <c r="AA50" s="24">
        <f>IF(AND(ISNUMBER(S50),ISNUMBER(S47)),VLOOKUP(ABS(S50-S47),'IMP Table'!$A$2:$C$26,3)*SIGN(S50-S47),0)</f>
        <v/>
      </c>
      <c r="AB50" s="9">
        <f>IF(AND(ISNUMBER(S50),ISNUMBER(S48)),VLOOKUP(ABS(S50-S48),'IMP Table'!$A$2:$C$26,3)*SIGN(S50-S48),0)</f>
        <v/>
      </c>
      <c r="AC50" s="9">
        <f>IF(AND(ISNUMBER(S50),ISNUMBER(S49)),VLOOKUP(ABS(S50-S49),'IMP Table'!$A$2:$C$26,3)*SIGN(S50-S49),0)</f>
        <v/>
      </c>
      <c r="AD50" s="9">
        <f>IF(AND(ISNUMBER(T50),ISNUMBER(T47)),VLOOKUP(ABS(T50-T47),'IMP Table'!$A$2:$C$26,3)*SIGN(T50-T47),0)</f>
        <v/>
      </c>
      <c r="AE50" s="9">
        <f>IF(AND(ISNUMBER(T50),ISNUMBER(T48)),VLOOKUP(ABS(T50-T48),'IMP Table'!$A$2:$C$26,3)*SIGN(T50-T48),0)</f>
        <v/>
      </c>
      <c r="AF50" s="9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9" t="n"/>
      <c r="H5" s="9" t="n"/>
      <c r="I5" s="9" t="n"/>
      <c r="J5" s="9" t="n"/>
      <c r="K5" s="9" t="n"/>
      <c r="L5" s="9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9" t="n"/>
      <c r="H8" s="9" t="n"/>
      <c r="I8" s="9" t="n"/>
      <c r="J8" s="9" t="n"/>
      <c r="K8" s="9" t="n"/>
      <c r="L8" s="9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9" t="n"/>
      <c r="H11" s="9" t="n"/>
      <c r="I11" s="9" t="n"/>
      <c r="J11" s="9" t="n"/>
      <c r="K11" s="9" t="n"/>
      <c r="L11" s="9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9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9" t="n"/>
      <c r="H14" s="9" t="n"/>
      <c r="I14" s="9" t="n"/>
      <c r="J14" s="9" t="n"/>
      <c r="K14" s="9" t="n"/>
      <c r="L14" s="9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9" t="n"/>
      <c r="H17" s="9" t="n"/>
      <c r="I17" s="9" t="n"/>
      <c r="J17" s="9" t="n"/>
      <c r="K17" s="9" t="n"/>
      <c r="L17" s="9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9" t="n"/>
      <c r="H20" s="9" t="n"/>
      <c r="I20" s="9" t="n"/>
      <c r="J20" s="9" t="n"/>
      <c r="K20" s="9" t="n"/>
      <c r="L20" s="9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9" t="n"/>
      <c r="H23" s="9" t="n"/>
      <c r="I23" s="9" t="n"/>
      <c r="J23" s="9" t="n"/>
      <c r="K23" s="9" t="n"/>
      <c r="L23" s="9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9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9" t="n"/>
      <c r="H26" s="9" t="n"/>
      <c r="I26" s="9" t="n"/>
      <c r="J26" s="9" t="n"/>
      <c r="K26" s="9" t="n"/>
      <c r="L26" s="9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9" t="n"/>
      <c r="H29" s="9" t="n"/>
      <c r="I29" s="9" t="n"/>
      <c r="J29" s="9" t="n"/>
      <c r="K29" s="9" t="n"/>
      <c r="L29" s="9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9" t="n"/>
      <c r="H32" s="9" t="n"/>
      <c r="I32" s="9" t="n"/>
      <c r="J32" s="9" t="n"/>
      <c r="K32" s="9" t="n"/>
      <c r="L32" s="9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9" t="n"/>
      <c r="H35" s="9" t="n"/>
      <c r="I35" s="9" t="n"/>
      <c r="J35" s="9" t="n"/>
      <c r="K35" s="9" t="n"/>
      <c r="L35" s="9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9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9" t="n"/>
      <c r="H38" s="9" t="n"/>
      <c r="I38" s="9" t="n"/>
      <c r="J38" s="9" t="n"/>
      <c r="K38" s="9" t="n"/>
      <c r="L38" s="9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9" t="n"/>
      <c r="H41" s="9" t="n"/>
      <c r="I41" s="9" t="n"/>
      <c r="J41" s="9" t="n"/>
      <c r="K41" s="9" t="n"/>
      <c r="L41" s="9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9" t="n"/>
      <c r="H44" s="9" t="n"/>
      <c r="I44" s="9" t="n"/>
      <c r="J44" s="9" t="n"/>
      <c r="K44" s="9" t="n"/>
      <c r="L44" s="9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9" t="n"/>
      <c r="H47" s="9" t="n"/>
      <c r="I47" s="9" t="n"/>
      <c r="J47" s="9" t="n"/>
      <c r="K47" s="9" t="n"/>
      <c r="L47" s="9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9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9" t="n"/>
      <c r="H50" s="9" t="n"/>
      <c r="I50" s="9" t="n"/>
      <c r="J50" s="9" t="n"/>
      <c r="K50" s="9" t="n"/>
      <c r="L50" s="9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2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2" t="inlineStr">
        <is>
          <t>2 D/C</t>
        </is>
      </c>
      <c r="B24" t="n">
        <v>2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3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4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5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6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7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2" t="inlineStr">
        <is>
          <t>2 H/S</t>
        </is>
      </c>
      <c r="B30" t="n">
        <v>2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3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4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5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6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7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2" t="inlineStr">
        <is>
          <t>2 NT</t>
        </is>
      </c>
      <c r="B36" t="n">
        <v>2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3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4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5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6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7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2" t="inlineStr">
        <is>
          <t>3 D/C</t>
        </is>
      </c>
      <c r="B42" t="n">
        <v>3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4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5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6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7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2" t="inlineStr">
        <is>
          <t>3 H/S</t>
        </is>
      </c>
      <c r="B47" t="n">
        <v>3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4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5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6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7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2" t="inlineStr">
        <is>
          <t>3 NT</t>
        </is>
      </c>
      <c r="B52" t="n">
        <v>3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4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5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6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7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2" t="inlineStr">
        <is>
          <t>4 D/C</t>
        </is>
      </c>
      <c r="B57" t="n">
        <v>4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5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6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7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2" t="inlineStr">
        <is>
          <t>4 H/S</t>
        </is>
      </c>
      <c r="B61" t="n">
        <v>4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5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6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7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2" t="inlineStr">
        <is>
          <t>4 NT</t>
        </is>
      </c>
      <c r="B65" t="n">
        <v>4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5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6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7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2" t="inlineStr">
        <is>
          <t>5 D/C</t>
        </is>
      </c>
      <c r="B69" t="n">
        <v>5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6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7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2" t="inlineStr">
        <is>
          <t>5 H/S</t>
        </is>
      </c>
      <c r="B72" t="n">
        <v>5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6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7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2" t="inlineStr">
        <is>
          <t>5 NT</t>
        </is>
      </c>
      <c r="B75" t="n">
        <v>5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6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7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2" t="inlineStr">
        <is>
          <t>6 D/C</t>
        </is>
      </c>
      <c r="B78" t="n">
        <v>6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7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2" t="inlineStr">
        <is>
          <t>6 H/S</t>
        </is>
      </c>
      <c r="B80" t="n">
        <v>6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7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2" t="inlineStr">
        <is>
          <t>6 NT</t>
        </is>
      </c>
      <c r="B82" t="n">
        <v>6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7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2" t="inlineStr">
        <is>
          <t>7 D/C</t>
        </is>
      </c>
      <c r="B84" t="n">
        <v>7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2" t="inlineStr">
        <is>
          <t>7 H/S</t>
        </is>
      </c>
      <c r="B85" t="n">
        <v>7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2" t="inlineStr">
        <is>
          <t>7 NT</t>
        </is>
      </c>
      <c r="B86" t="n">
        <v>7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2026-03-08T17:15:59Z</dcterms:created>
  <dcterms:modified xsi:type="dcterms:W3CDTF">2026-03-08T17:15:59Z</dcterms:modified>
</cp:coreProperties>
</file>