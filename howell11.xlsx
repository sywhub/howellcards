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63</t>
        </is>
      </c>
      <c r="C10" t="inlineStr">
        <is>
          <t>Name 45</t>
        </is>
      </c>
      <c r="D10" s="4">
        <f>SUMIF('By Board'!$D$3:$D$122,"=1",'By Board'!$N$3:$N$122)/20+SUMIF('By Board'!$E$3:$E$122,"=1",'By Board'!$O$3:$O$122)/20</f>
        <v/>
      </c>
      <c r="E10" s="5">
        <f>SUMIF('By Board'!$D$3:$D$122,"=1",'By Board'!$L$3:$L$122)+SUMIF('By Board'!$E$3:$E$122,"=1",'By Board'!$M$3:$M$122)</f>
        <v/>
      </c>
    </row>
    <row r="11">
      <c r="A11" s="2" t="n">
        <v>2</v>
      </c>
      <c r="B11" t="inlineStr">
        <is>
          <t>Name 23</t>
        </is>
      </c>
      <c r="C11" t="inlineStr">
        <is>
          <t>Name 51</t>
        </is>
      </c>
      <c r="D11" s="4">
        <f>SUMIF('By Board'!$D$3:$D$122,"=2",'By Board'!$N$3:$N$122)/20+SUMIF('By Board'!$E$3:$E$122,"=2",'By Board'!$O$3:$O$122)/20</f>
        <v/>
      </c>
      <c r="E11" s="5">
        <f>SUMIF('By Board'!$D$3:$D$122,"=2",'By Board'!$L$3:$L$122)+SUMIF('By Board'!$E$3:$E$122,"=2",'By Board'!$M$3:$M$122)</f>
        <v/>
      </c>
    </row>
    <row r="12">
      <c r="A12" s="2" t="n">
        <v>3</v>
      </c>
      <c r="B12" t="inlineStr">
        <is>
          <t>Name 90</t>
        </is>
      </c>
      <c r="C12" t="inlineStr">
        <is>
          <t>Name 42</t>
        </is>
      </c>
      <c r="D12" s="4">
        <f>SUMIF('By Board'!$D$3:$D$122,"=3",'By Board'!$N$3:$N$122)/20+SUMIF('By Board'!$E$3:$E$122,"=3",'By Board'!$O$3:$O$122)/20</f>
        <v/>
      </c>
      <c r="E12" s="5">
        <f>SUMIF('By Board'!$D$3:$D$122,"=3",'By Board'!$L$3:$L$122)+SUMIF('By Board'!$E$3:$E$122,"=3",'By Board'!$M$3:$M$122)</f>
        <v/>
      </c>
    </row>
    <row r="13">
      <c r="A13" s="2" t="n">
        <v>4</v>
      </c>
      <c r="B13" t="inlineStr">
        <is>
          <t>Name 73</t>
        </is>
      </c>
      <c r="C13" t="inlineStr">
        <is>
          <t>Name 37</t>
        </is>
      </c>
      <c r="D13" s="4">
        <f>SUMIF('By Board'!$D$3:$D$122,"=4",'By Board'!$N$3:$N$122)/20+SUMIF('By Board'!$E$3:$E$122,"=4",'By Board'!$O$3:$O$122)/20</f>
        <v/>
      </c>
      <c r="E13" s="5">
        <f>SUMIF('By Board'!$D$3:$D$122,"=4",'By Board'!$L$3:$L$122)+SUMIF('By Board'!$E$3:$E$122,"=4",'By Board'!$M$3:$M$122)</f>
        <v/>
      </c>
    </row>
    <row r="14">
      <c r="A14" s="2" t="n">
        <v>5</v>
      </c>
      <c r="B14" t="inlineStr">
        <is>
          <t>Name 16</t>
        </is>
      </c>
      <c r="C14" t="inlineStr">
        <is>
          <t>Name 22</t>
        </is>
      </c>
      <c r="D14" s="4">
        <f>SUMIF('By Board'!$D$3:$D$122,"=5",'By Board'!$N$3:$N$122)/20+SUMIF('By Board'!$E$3:$E$122,"=5",'By Board'!$O$3:$O$122)/20</f>
        <v/>
      </c>
      <c r="E14" s="5">
        <f>SUMIF('By Board'!$D$3:$D$122,"=5",'By Board'!$L$3:$L$122)+SUMIF('By Board'!$E$3:$E$122,"=5",'By Board'!$M$3:$M$122)</f>
        <v/>
      </c>
    </row>
    <row r="15">
      <c r="A15" s="2" t="n">
        <v>6</v>
      </c>
      <c r="B15" t="inlineStr">
        <is>
          <t>Name 29</t>
        </is>
      </c>
      <c r="C15" t="inlineStr">
        <is>
          <t>Name 37</t>
        </is>
      </c>
      <c r="D15" s="4">
        <f>SUMIF('By Board'!$D$3:$D$122,"=6",'By Board'!$N$3:$N$122)/20+SUMIF('By Board'!$E$3:$E$122,"=6",'By Board'!$O$3:$O$122)/20</f>
        <v/>
      </c>
      <c r="E15" s="5">
        <f>SUMIF('By Board'!$D$3:$D$122,"=6",'By Board'!$L$3:$L$122)+SUMIF('By Board'!$E$3:$E$122,"=6",'By Board'!$M$3:$M$122)</f>
        <v/>
      </c>
    </row>
    <row r="16">
      <c r="A16" s="2" t="n">
        <v>7</v>
      </c>
      <c r="B16" t="inlineStr">
        <is>
          <t>Name 59</t>
        </is>
      </c>
      <c r="C16" t="inlineStr">
        <is>
          <t>Name 59</t>
        </is>
      </c>
      <c r="D16" s="4">
        <f>SUMIF('By Board'!$D$3:$D$122,"=7",'By Board'!$N$3:$N$122)/20+SUMIF('By Board'!$E$3:$E$122,"=7",'By Board'!$O$3:$O$122)/20</f>
        <v/>
      </c>
      <c r="E16" s="5">
        <f>SUMIF('By Board'!$D$3:$D$122,"=7",'By Board'!$L$3:$L$122)+SUMIF('By Board'!$E$3:$E$122,"=7",'By Board'!$M$3:$M$122)</f>
        <v/>
      </c>
    </row>
    <row r="17">
      <c r="A17" s="2" t="n">
        <v>8</v>
      </c>
      <c r="B17" t="inlineStr">
        <is>
          <t>Name 25</t>
        </is>
      </c>
      <c r="C17" t="inlineStr">
        <is>
          <t>Name 54</t>
        </is>
      </c>
      <c r="D17" s="4">
        <f>SUMIF('By Board'!$D$3:$D$122,"=8",'By Board'!$N$3:$N$122)/20+SUMIF('By Board'!$E$3:$E$122,"=8",'By Board'!$O$3:$O$122)/20</f>
        <v/>
      </c>
      <c r="E17" s="5">
        <f>SUMIF('By Board'!$D$3:$D$122,"=8",'By Board'!$L$3:$L$122)+SUMIF('By Board'!$E$3:$E$122,"=8",'By Board'!$M$3:$M$122)</f>
        <v/>
      </c>
    </row>
    <row r="18">
      <c r="A18" s="2" t="n">
        <v>9</v>
      </c>
      <c r="B18" t="inlineStr">
        <is>
          <t>Name 53</t>
        </is>
      </c>
      <c r="C18" t="inlineStr">
        <is>
          <t>Name 43</t>
        </is>
      </c>
      <c r="D18" s="4">
        <f>SUMIF('By Board'!$D$3:$D$122,"=9",'By Board'!$N$3:$N$122)/20+SUMIF('By Board'!$E$3:$E$122,"=9",'By Board'!$O$3:$O$122)/20</f>
        <v/>
      </c>
      <c r="E18" s="5">
        <f>SUMIF('By Board'!$D$3:$D$122,"=9",'By Board'!$L$3:$L$122)+SUMIF('By Board'!$E$3:$E$122,"=9",'By Board'!$M$3:$M$122)</f>
        <v/>
      </c>
    </row>
    <row r="19">
      <c r="A19" s="2" t="n">
        <v>10</v>
      </c>
      <c r="B19" t="inlineStr">
        <is>
          <t>Name 20</t>
        </is>
      </c>
      <c r="C19" t="inlineStr">
        <is>
          <t>Name 74</t>
        </is>
      </c>
      <c r="D19" s="4">
        <f>SUMIF('By Board'!$D$3:$D$122,"=10",'By Board'!$N$3:$N$122)/20+SUMIF('By Board'!$E$3:$E$122,"=10",'By Board'!$O$3:$O$122)/20</f>
        <v/>
      </c>
      <c r="E19" s="5">
        <f>SUMIF('By Board'!$D$3:$D$122,"=10",'By Board'!$L$3:$L$122)+SUMIF('By Board'!$E$3:$E$122,"=10",'By Board'!$M$3:$M$122)</f>
        <v/>
      </c>
    </row>
    <row r="20">
      <c r="A20" s="2" t="n">
        <v>11</v>
      </c>
      <c r="B20" t="inlineStr">
        <is>
          <t>Name 76</t>
        </is>
      </c>
      <c r="C20" t="inlineStr">
        <is>
          <t>Name 83</t>
        </is>
      </c>
      <c r="D20" s="4">
        <f>SUMIF('By Board'!$D$3:$D$122,"=11",'By Board'!$N$3:$N$122)/20+SUMIF('By Board'!$E$3:$E$122,"=11",'By Board'!$O$3:$O$122)/20</f>
        <v/>
      </c>
      <c r="E20" s="5">
        <f>SUMIF('By Board'!$D$3:$D$122,"=11",'By Board'!$L$3:$L$122)+SUMIF('By Board'!$E$3:$E$122,"=11",'By Board'!$M$3:$M$122)</f>
        <v/>
      </c>
    </row>
    <row r="21">
      <c r="D21" s="6">
        <f>AVERAGE(D10:D20)</f>
        <v/>
      </c>
      <c r="E21" s="7">
        <f>SUM(E10:E20)</f>
        <v/>
      </c>
    </row>
    <row r="23">
      <c r="A23" t="inlineStr">
        <is>
          <t>To sort, remove single quote below</t>
        </is>
      </c>
    </row>
    <row r="24">
      <c r="A24" s="2" t="inlineStr">
        <is>
          <t>IMP Ranking</t>
        </is>
      </c>
    </row>
    <row r="25">
      <c r="A25" t="inlineStr">
        <is>
          <t>'=SORT(A10:E20,4,-1)</t>
        </is>
      </c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40">
      <c r="A40" s="2" t="inlineStr">
        <is>
          <t>MP Ranking</t>
        </is>
      </c>
    </row>
    <row r="41">
      <c r="A41" t="inlineStr">
        <is>
          <t>'=SORT(A10:E20,5,-1)</t>
        </is>
      </c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</sheetData>
  <mergeCells count="9">
    <mergeCell ref="A4:B4"/>
    <mergeCell ref="A7:B7"/>
    <mergeCell ref="A2:E2"/>
    <mergeCell ref="A24:E24"/>
    <mergeCell ref="A5:B5"/>
    <mergeCell ref="A40:E40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 s="11">
        <f>'By Round'!A27</f>
        <v/>
      </c>
      <c r="C4" s="11">
        <f>'By Round'!B37</f>
        <v/>
      </c>
      <c r="D4" s="11">
        <f>'By Round'!C37</f>
        <v/>
      </c>
      <c r="E4" s="11">
        <f>'By Round'!D37</f>
        <v/>
      </c>
      <c r="F4" s="11">
        <f>IF(ISBLANK('By Round'!F37),"",'By Round'!F37)</f>
        <v/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 s="11">
        <f>'By Round'!A39</f>
        <v/>
      </c>
      <c r="C5" s="11">
        <f>'By Round'!B47</f>
        <v/>
      </c>
      <c r="D5" s="11">
        <f>'By Round'!C47</f>
        <v/>
      </c>
      <c r="E5" s="11">
        <f>'By Round'!D47</f>
        <v/>
      </c>
      <c r="F5" s="11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 s="11">
        <f>'By Round'!A51</f>
        <v/>
      </c>
      <c r="C6" s="11">
        <f>'By Round'!B57</f>
        <v/>
      </c>
      <c r="D6" s="11">
        <f>'By Round'!C57</f>
        <v/>
      </c>
      <c r="E6" s="11">
        <f>'By Round'!D57</f>
        <v/>
      </c>
      <c r="F6" s="11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 s="11">
        <f>'By Round'!A75</f>
        <v/>
      </c>
      <c r="C7" s="11">
        <f>'By Round'!B79</f>
        <v/>
      </c>
      <c r="D7" s="11">
        <f>'By Round'!C79</f>
        <v/>
      </c>
      <c r="E7" s="11">
        <f>'By Round'!D79</f>
        <v/>
      </c>
      <c r="F7" s="11">
        <f>IF(ISBLANK('By Round'!F79),"",'By Round'!F79)</f>
        <v/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6">
        <f>'By Round'!A87</f>
        <v/>
      </c>
      <c r="C8" s="16">
        <f>'By Round'!B89</f>
        <v/>
      </c>
      <c r="D8" s="16">
        <f>'By Round'!C89</f>
        <v/>
      </c>
      <c r="E8" s="16">
        <f>'By Round'!D89</f>
        <v/>
      </c>
      <c r="F8" s="16">
        <f>IF(ISBLANK('By Round'!F89),"",'By Round'!F89)</f>
        <v/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s="11" t="n">
        <v>2</v>
      </c>
      <c r="B9" s="11">
        <f>'By Round'!A3</f>
        <v/>
      </c>
      <c r="C9" s="11">
        <f>'By Round'!B3</f>
        <v/>
      </c>
      <c r="D9" s="11">
        <f>'By Round'!C3</f>
        <v/>
      </c>
      <c r="E9" s="11">
        <f>'By Round'!D3</f>
        <v/>
      </c>
      <c r="F9" s="11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 s="11">
        <f>'By Round'!A27</f>
        <v/>
      </c>
      <c r="C10" s="11">
        <f>'By Round'!B37</f>
        <v/>
      </c>
      <c r="D10" s="11">
        <f>'By Round'!C37</f>
        <v/>
      </c>
      <c r="E10" s="11">
        <f>'By Round'!D37</f>
        <v/>
      </c>
      <c r="F10" s="11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 s="11">
        <f>'By Round'!A39</f>
        <v/>
      </c>
      <c r="C11" s="11">
        <f>'By Round'!B47</f>
        <v/>
      </c>
      <c r="D11" s="11">
        <f>'By Round'!C47</f>
        <v/>
      </c>
      <c r="E11" s="11">
        <f>'By Round'!D47</f>
        <v/>
      </c>
      <c r="F11" s="11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 s="11">
        <f>'By Round'!A51</f>
        <v/>
      </c>
      <c r="C12" s="11">
        <f>'By Round'!B57</f>
        <v/>
      </c>
      <c r="D12" s="11">
        <f>'By Round'!C57</f>
        <v/>
      </c>
      <c r="E12" s="11">
        <f>'By Round'!D57</f>
        <v/>
      </c>
      <c r="F12" s="11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 s="11">
        <f>'By Round'!A75</f>
        <v/>
      </c>
      <c r="C13" s="11">
        <f>'By Round'!B79</f>
        <v/>
      </c>
      <c r="D13" s="11">
        <f>'By Round'!C79</f>
        <v/>
      </c>
      <c r="E13" s="11">
        <f>'By Round'!D79</f>
        <v/>
      </c>
      <c r="F13" s="11">
        <f>IF(ISBLANK('By Round'!F80),"",'By Round'!F80)</f>
        <v/>
      </c>
      <c r="G13">
        <f>IF(ISBLANK('By Round'!G80),"",'By Round'!G80)</f>
        <v/>
      </c>
      <c r="H13">
        <f>IF(ISBLANK('By Round'!H80),"",'By Round'!H80)</f>
        <v/>
      </c>
      <c r="I13">
        <f>IF(ISBLANK('By Round'!I80),"",'By Round'!I80)</f>
        <v/>
      </c>
      <c r="J13">
        <f>IF(ISBLANK('By Round'!J80),"",'By Round'!J80)</f>
        <v/>
      </c>
      <c r="K13">
        <f>IF(ISBLANK('By Round'!K80),"",'By Round'!K80)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6">
        <f>'By Round'!A87</f>
        <v/>
      </c>
      <c r="C14" s="16">
        <f>'By Round'!B89</f>
        <v/>
      </c>
      <c r="D14" s="16">
        <f>'By Round'!C89</f>
        <v/>
      </c>
      <c r="E14" s="16">
        <f>'By Round'!D89</f>
        <v/>
      </c>
      <c r="F14" s="16">
        <f>IF(ISBLANK('By Round'!F90),"",'By Round'!F90)</f>
        <v/>
      </c>
      <c r="G14" s="15">
        <f>IF(ISBLANK('By Round'!G90),"",'By Round'!G90)</f>
        <v/>
      </c>
      <c r="H14" s="15">
        <f>IF(ISBLANK('By Round'!H90),"",'By Round'!H90)</f>
        <v/>
      </c>
      <c r="I14" s="15">
        <f>IF(ISBLANK('By Round'!I90),"",'By Round'!I90)</f>
        <v/>
      </c>
      <c r="J14" s="15">
        <f>IF(ISBLANK('By Round'!J90),"",'By Round'!J90)</f>
        <v/>
      </c>
      <c r="K14" s="15">
        <f>IF(ISBLANK('By Round'!K90),"",'By Round'!K90)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s="11" t="n">
        <v>3</v>
      </c>
      <c r="B15" s="11">
        <f>'By Round'!A15</f>
        <v/>
      </c>
      <c r="C15" s="11">
        <f>'By Round'!B15</f>
        <v/>
      </c>
      <c r="D15" s="11">
        <f>'By Round'!C15</f>
        <v/>
      </c>
      <c r="E15" s="11">
        <f>'By Round'!D15</f>
        <v/>
      </c>
      <c r="F15" s="11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 s="11">
        <f>'By Round'!A39</f>
        <v/>
      </c>
      <c r="C16" s="11">
        <f>'By Round'!B49</f>
        <v/>
      </c>
      <c r="D16" s="11">
        <f>'By Round'!C49</f>
        <v/>
      </c>
      <c r="E16" s="11">
        <f>'By Round'!D49</f>
        <v/>
      </c>
      <c r="F16" s="11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 s="11">
        <f>'By Round'!A51</f>
        <v/>
      </c>
      <c r="C17" s="11">
        <f>'By Round'!B59</f>
        <v/>
      </c>
      <c r="D17" s="11">
        <f>'By Round'!C59</f>
        <v/>
      </c>
      <c r="E17" s="11">
        <f>'By Round'!D59</f>
        <v/>
      </c>
      <c r="F17" s="11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 s="11">
        <f>'By Round'!A63</f>
        <v/>
      </c>
      <c r="C18" s="11">
        <f>'By Round'!B69</f>
        <v/>
      </c>
      <c r="D18" s="11">
        <f>'By Round'!C69</f>
        <v/>
      </c>
      <c r="E18" s="11">
        <f>'By Round'!D69</f>
        <v/>
      </c>
      <c r="F18" s="11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 s="11">
        <f>'By Round'!A87</f>
        <v/>
      </c>
      <c r="C19" s="11">
        <f>'By Round'!B91</f>
        <v/>
      </c>
      <c r="D19" s="11">
        <f>'By Round'!C91</f>
        <v/>
      </c>
      <c r="E19" s="11">
        <f>'By Round'!D91</f>
        <v/>
      </c>
      <c r="F19" s="11">
        <f>IF(ISBLANK('By Round'!F91),"",'By Round'!F91)</f>
        <v/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s="11" t="n">
        <v>4</v>
      </c>
      <c r="B21" s="11">
        <f>'By Round'!A15</f>
        <v/>
      </c>
      <c r="C21" s="11">
        <f>'By Round'!B15</f>
        <v/>
      </c>
      <c r="D21" s="11">
        <f>'By Round'!C15</f>
        <v/>
      </c>
      <c r="E21" s="11">
        <f>'By Round'!D15</f>
        <v/>
      </c>
      <c r="F21" s="11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 s="11">
        <f>'By Round'!A39</f>
        <v/>
      </c>
      <c r="C22" s="11">
        <f>'By Round'!B49</f>
        <v/>
      </c>
      <c r="D22" s="11">
        <f>'By Round'!C49</f>
        <v/>
      </c>
      <c r="E22" s="11">
        <f>'By Round'!D49</f>
        <v/>
      </c>
      <c r="F22" s="11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 s="11">
        <f>'By Round'!A51</f>
        <v/>
      </c>
      <c r="C23" s="11">
        <f>'By Round'!B59</f>
        <v/>
      </c>
      <c r="D23" s="11">
        <f>'By Round'!C59</f>
        <v/>
      </c>
      <c r="E23" s="11">
        <f>'By Round'!D59</f>
        <v/>
      </c>
      <c r="F23" s="11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 s="11">
        <f>'By Round'!A63</f>
        <v/>
      </c>
      <c r="C24" s="11">
        <f>'By Round'!B69</f>
        <v/>
      </c>
      <c r="D24" s="11">
        <f>'By Round'!C69</f>
        <v/>
      </c>
      <c r="E24" s="11">
        <f>'By Round'!D69</f>
        <v/>
      </c>
      <c r="F24" s="11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 s="11">
        <f>'By Round'!A87</f>
        <v/>
      </c>
      <c r="C25" s="11">
        <f>'By Round'!B91</f>
        <v/>
      </c>
      <c r="D25" s="11">
        <f>'By Round'!C91</f>
        <v/>
      </c>
      <c r="E25" s="11">
        <f>'By Round'!D91</f>
        <v/>
      </c>
      <c r="F25" s="11">
        <f>IF(ISBLANK('By Round'!F92),"",'By Round'!F92)</f>
        <v/>
      </c>
      <c r="G25">
        <f>IF(ISBLANK('By Round'!G92),"",'By Round'!G92)</f>
        <v/>
      </c>
      <c r="H25">
        <f>IF(ISBLANK('By Round'!H92),"",'By Round'!H92)</f>
        <v/>
      </c>
      <c r="I25">
        <f>IF(ISBLANK('By Round'!I92),"",'By Round'!I92)</f>
        <v/>
      </c>
      <c r="J25">
        <f>IF(ISBLANK('By Round'!J92),"",'By Round'!J92)</f>
        <v/>
      </c>
      <c r="K25">
        <f>IF(ISBLANK('By Round'!K92),"",'By Round'!K92)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s="11" t="n">
        <v>5</v>
      </c>
      <c r="B27" s="11">
        <f>'By Round'!A27</f>
        <v/>
      </c>
      <c r="C27" s="11">
        <f>'By Round'!B27</f>
        <v/>
      </c>
      <c r="D27" s="11">
        <f>'By Round'!C27</f>
        <v/>
      </c>
      <c r="E27" s="11">
        <f>'By Round'!D27</f>
        <v/>
      </c>
      <c r="F27" s="11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 s="11">
        <f>'By Round'!A51</f>
        <v/>
      </c>
      <c r="C28" s="11">
        <f>'By Round'!B61</f>
        <v/>
      </c>
      <c r="D28" s="11">
        <f>'By Round'!C61</f>
        <v/>
      </c>
      <c r="E28" s="11">
        <f>'By Round'!D61</f>
        <v/>
      </c>
      <c r="F28" s="11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 s="11">
        <f>'By Round'!A63</f>
        <v/>
      </c>
      <c r="C29" s="11">
        <f>'By Round'!B71</f>
        <v/>
      </c>
      <c r="D29" s="11">
        <f>'By Round'!C71</f>
        <v/>
      </c>
      <c r="E29" s="11">
        <f>'By Round'!D71</f>
        <v/>
      </c>
      <c r="F29" s="11">
        <f>IF(ISBLANK('By Round'!F71),"",'By Round'!F71)</f>
        <v/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 s="11">
        <f>'By Round'!A75</f>
        <v/>
      </c>
      <c r="C30" s="11">
        <f>'By Round'!B81</f>
        <v/>
      </c>
      <c r="D30" s="11">
        <f>'By Round'!C81</f>
        <v/>
      </c>
      <c r="E30" s="11">
        <f>'By Round'!D81</f>
        <v/>
      </c>
      <c r="F30" s="11">
        <f>IF(ISBLANK('By Round'!F81),"",'By Round'!F81)</f>
        <v/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 s="11">
        <f>'By Round'!A99</f>
        <v/>
      </c>
      <c r="C31" s="11">
        <f>'By Round'!B103</f>
        <v/>
      </c>
      <c r="D31" s="11">
        <f>'By Round'!C103</f>
        <v/>
      </c>
      <c r="E31" s="11">
        <f>'By Round'!D103</f>
        <v/>
      </c>
      <c r="F31" s="11">
        <f>IF(ISBLANK('By Round'!F103),"",'By Round'!F103)</f>
        <v/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6">
        <f>'By Round'!A111</f>
        <v/>
      </c>
      <c r="C32" s="16">
        <f>'By Round'!B113</f>
        <v/>
      </c>
      <c r="D32" s="16">
        <f>'By Round'!C113</f>
        <v/>
      </c>
      <c r="E32" s="16">
        <f>'By Round'!D113</f>
        <v/>
      </c>
      <c r="F32" s="16">
        <f>IF(ISBLANK('By Round'!F113),"",'By Round'!F113)</f>
        <v/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s="11" t="n">
        <v>6</v>
      </c>
      <c r="B33" s="11">
        <f>'By Round'!A27</f>
        <v/>
      </c>
      <c r="C33" s="11">
        <f>'By Round'!B27</f>
        <v/>
      </c>
      <c r="D33" s="11">
        <f>'By Round'!C27</f>
        <v/>
      </c>
      <c r="E33" s="11">
        <f>'By Round'!D27</f>
        <v/>
      </c>
      <c r="F33" s="11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 s="11">
        <f>'By Round'!A51</f>
        <v/>
      </c>
      <c r="C34" s="11">
        <f>'By Round'!B61</f>
        <v/>
      </c>
      <c r="D34" s="11">
        <f>'By Round'!C61</f>
        <v/>
      </c>
      <c r="E34" s="11">
        <f>'By Round'!D61</f>
        <v/>
      </c>
      <c r="F34" s="11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 s="11">
        <f>'By Round'!A63</f>
        <v/>
      </c>
      <c r="C35" s="11">
        <f>'By Round'!B71</f>
        <v/>
      </c>
      <c r="D35" s="11">
        <f>'By Round'!C71</f>
        <v/>
      </c>
      <c r="E35" s="11">
        <f>'By Round'!D71</f>
        <v/>
      </c>
      <c r="F35" s="11">
        <f>IF(ISBLANK('By Round'!F72),"",'By Round'!F72)</f>
        <v/>
      </c>
      <c r="G35">
        <f>IF(ISBLANK('By Round'!G72),"",'By Round'!G72)</f>
        <v/>
      </c>
      <c r="H35">
        <f>IF(ISBLANK('By Round'!H72),"",'By Round'!H72)</f>
        <v/>
      </c>
      <c r="I35">
        <f>IF(ISBLANK('By Round'!I72),"",'By Round'!I72)</f>
        <v/>
      </c>
      <c r="J35">
        <f>IF(ISBLANK('By Round'!J72),"",'By Round'!J72)</f>
        <v/>
      </c>
      <c r="K35">
        <f>IF(ISBLANK('By Round'!K72),"",'By Round'!K72)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 s="11">
        <f>'By Round'!A75</f>
        <v/>
      </c>
      <c r="C36" s="11">
        <f>'By Round'!B81</f>
        <v/>
      </c>
      <c r="D36" s="11">
        <f>'By Round'!C81</f>
        <v/>
      </c>
      <c r="E36" s="11">
        <f>'By Round'!D81</f>
        <v/>
      </c>
      <c r="F36" s="11">
        <f>IF(ISBLANK('By Round'!F82),"",'By Round'!F82)</f>
        <v/>
      </c>
      <c r="G36">
        <f>IF(ISBLANK('By Round'!G82),"",'By Round'!G82)</f>
        <v/>
      </c>
      <c r="H36">
        <f>IF(ISBLANK('By Round'!H82),"",'By Round'!H82)</f>
        <v/>
      </c>
      <c r="I36">
        <f>IF(ISBLANK('By Round'!I82),"",'By Round'!I82)</f>
        <v/>
      </c>
      <c r="J36">
        <f>IF(ISBLANK('By Round'!J82),"",'By Round'!J82)</f>
        <v/>
      </c>
      <c r="K36">
        <f>IF(ISBLANK('By Round'!K82),"",'By Round'!K82)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 s="11">
        <f>'By Round'!A99</f>
        <v/>
      </c>
      <c r="C37" s="11">
        <f>'By Round'!B103</f>
        <v/>
      </c>
      <c r="D37" s="11">
        <f>'By Round'!C103</f>
        <v/>
      </c>
      <c r="E37" s="11">
        <f>'By Round'!D103</f>
        <v/>
      </c>
      <c r="F37" s="11">
        <f>IF(ISBLANK('By Round'!F104),"",'By Round'!F104)</f>
        <v/>
      </c>
      <c r="G37">
        <f>IF(ISBLANK('By Round'!G104),"",'By Round'!G104)</f>
        <v/>
      </c>
      <c r="H37">
        <f>IF(ISBLANK('By Round'!H104),"",'By Round'!H104)</f>
        <v/>
      </c>
      <c r="I37">
        <f>IF(ISBLANK('By Round'!I104),"",'By Round'!I104)</f>
        <v/>
      </c>
      <c r="J37">
        <f>IF(ISBLANK('By Round'!J104),"",'By Round'!J104)</f>
        <v/>
      </c>
      <c r="K37">
        <f>IF(ISBLANK('By Round'!K104),"",'By Round'!K104)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6">
        <f>'By Round'!A111</f>
        <v/>
      </c>
      <c r="C38" s="16">
        <f>'By Round'!B113</f>
        <v/>
      </c>
      <c r="D38" s="16">
        <f>'By Round'!C113</f>
        <v/>
      </c>
      <c r="E38" s="16">
        <f>'By Round'!D113</f>
        <v/>
      </c>
      <c r="F38" s="16">
        <f>IF(ISBLANK('By Round'!F114),"",'By Round'!F114)</f>
        <v/>
      </c>
      <c r="G38" s="15">
        <f>IF(ISBLANK('By Round'!G114),"",'By Round'!G114)</f>
        <v/>
      </c>
      <c r="H38" s="15">
        <f>IF(ISBLANK('By Round'!H114),"",'By Round'!H114)</f>
        <v/>
      </c>
      <c r="I38" s="15">
        <f>IF(ISBLANK('By Round'!I114),"",'By Round'!I114)</f>
        <v/>
      </c>
      <c r="J38" s="15">
        <f>IF(ISBLANK('By Round'!J114),"",'By Round'!J114)</f>
        <v/>
      </c>
      <c r="K38" s="15">
        <f>IF(ISBLANK('By Round'!K114),"",'By Round'!K114)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s="11" t="n">
        <v>7</v>
      </c>
      <c r="B39" s="11">
        <f>'By Round'!A39</f>
        <v/>
      </c>
      <c r="C39" s="11">
        <f>'By Round'!B39</f>
        <v/>
      </c>
      <c r="D39" s="11">
        <f>'By Round'!C39</f>
        <v/>
      </c>
      <c r="E39" s="11">
        <f>'By Round'!D39</f>
        <v/>
      </c>
      <c r="F39" s="11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 s="11">
        <f>'By Round'!A63</f>
        <v/>
      </c>
      <c r="C40" s="11">
        <f>'By Round'!B73</f>
        <v/>
      </c>
      <c r="D40" s="11">
        <f>'By Round'!C73</f>
        <v/>
      </c>
      <c r="E40" s="11">
        <f>'By Round'!D73</f>
        <v/>
      </c>
      <c r="F40" s="11">
        <f>IF(ISBLANK('By Round'!F73),"",'By Round'!F73)</f>
        <v/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 s="11">
        <f>'By Round'!A75</f>
        <v/>
      </c>
      <c r="C41" s="11">
        <f>'By Round'!B83</f>
        <v/>
      </c>
      <c r="D41" s="11">
        <f>'By Round'!C83</f>
        <v/>
      </c>
      <c r="E41" s="11">
        <f>'By Round'!D83</f>
        <v/>
      </c>
      <c r="F41" s="11">
        <f>IF(ISBLANK('By Round'!F83),"",'By Round'!F83)</f>
        <v/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 s="11">
        <f>'By Round'!A87</f>
        <v/>
      </c>
      <c r="C42" s="11">
        <f>'By Round'!B93</f>
        <v/>
      </c>
      <c r="D42" s="11">
        <f>'By Round'!C93</f>
        <v/>
      </c>
      <c r="E42" s="11">
        <f>'By Round'!D93</f>
        <v/>
      </c>
      <c r="F42" s="11">
        <f>IF(ISBLANK('By Round'!F93),"",'By Round'!F93)</f>
        <v/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 s="11">
        <f>'By Round'!A111</f>
        <v/>
      </c>
      <c r="C43" s="11">
        <f>'By Round'!B115</f>
        <v/>
      </c>
      <c r="D43" s="11">
        <f>'By Round'!C115</f>
        <v/>
      </c>
      <c r="E43" s="11">
        <f>'By Round'!D115</f>
        <v/>
      </c>
      <c r="F43" s="11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6">
        <f>'By Round'!A123</f>
        <v/>
      </c>
      <c r="C44" s="16">
        <f>'By Round'!B125</f>
        <v/>
      </c>
      <c r="D44" s="16">
        <f>'By Round'!C125</f>
        <v/>
      </c>
      <c r="E44" s="16">
        <f>'By Round'!D125</f>
        <v/>
      </c>
      <c r="F44" s="16">
        <f>IF(ISBLANK('By Round'!F125),"",'By Round'!F125)</f>
        <v/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s="11" t="n">
        <v>8</v>
      </c>
      <c r="B45" s="11">
        <f>'By Round'!A39</f>
        <v/>
      </c>
      <c r="C45" s="11">
        <f>'By Round'!B39</f>
        <v/>
      </c>
      <c r="D45" s="11">
        <f>'By Round'!C39</f>
        <v/>
      </c>
      <c r="E45" s="11">
        <f>'By Round'!D39</f>
        <v/>
      </c>
      <c r="F45" s="11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 s="11">
        <f>'By Round'!A63</f>
        <v/>
      </c>
      <c r="C46" s="11">
        <f>'By Round'!B73</f>
        <v/>
      </c>
      <c r="D46" s="11">
        <f>'By Round'!C73</f>
        <v/>
      </c>
      <c r="E46" s="11">
        <f>'By Round'!D73</f>
        <v/>
      </c>
      <c r="F46" s="11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 s="11">
        <f>'By Round'!A75</f>
        <v/>
      </c>
      <c r="C47" s="11">
        <f>'By Round'!B83</f>
        <v/>
      </c>
      <c r="D47" s="11">
        <f>'By Round'!C83</f>
        <v/>
      </c>
      <c r="E47" s="11">
        <f>'By Round'!D83</f>
        <v/>
      </c>
      <c r="F47" s="11">
        <f>IF(ISBLANK('By Round'!F84),"",'By Round'!F84)</f>
        <v/>
      </c>
      <c r="G47">
        <f>IF(ISBLANK('By Round'!G84),"",'By Round'!G84)</f>
        <v/>
      </c>
      <c r="H47">
        <f>IF(ISBLANK('By Round'!H84),"",'By Round'!H84)</f>
        <v/>
      </c>
      <c r="I47">
        <f>IF(ISBLANK('By Round'!I84),"",'By Round'!I84)</f>
        <v/>
      </c>
      <c r="J47">
        <f>IF(ISBLANK('By Round'!J84),"",'By Round'!J84)</f>
        <v/>
      </c>
      <c r="K47">
        <f>IF(ISBLANK('By Round'!K84),"",'By Round'!K84)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 s="11">
        <f>'By Round'!A87</f>
        <v/>
      </c>
      <c r="C48" s="11">
        <f>'By Round'!B93</f>
        <v/>
      </c>
      <c r="D48" s="11">
        <f>'By Round'!C93</f>
        <v/>
      </c>
      <c r="E48" s="11">
        <f>'By Round'!D93</f>
        <v/>
      </c>
      <c r="F48" s="11">
        <f>IF(ISBLANK('By Round'!F94),"",'By Round'!F94)</f>
        <v/>
      </c>
      <c r="G48">
        <f>IF(ISBLANK('By Round'!G94),"",'By Round'!G94)</f>
        <v/>
      </c>
      <c r="H48">
        <f>IF(ISBLANK('By Round'!H94),"",'By Round'!H94)</f>
        <v/>
      </c>
      <c r="I48">
        <f>IF(ISBLANK('By Round'!I94),"",'By Round'!I94)</f>
        <v/>
      </c>
      <c r="J48">
        <f>IF(ISBLANK('By Round'!J94),"",'By Round'!J94)</f>
        <v/>
      </c>
      <c r="K48">
        <f>IF(ISBLANK('By Round'!K94),"",'By Round'!K94)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 s="11">
        <f>'By Round'!A111</f>
        <v/>
      </c>
      <c r="C49" s="11">
        <f>'By Round'!B115</f>
        <v/>
      </c>
      <c r="D49" s="11">
        <f>'By Round'!C115</f>
        <v/>
      </c>
      <c r="E49" s="11">
        <f>'By Round'!D115</f>
        <v/>
      </c>
      <c r="F49" s="11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6">
        <f>'By Round'!A123</f>
        <v/>
      </c>
      <c r="C50" s="16">
        <f>'By Round'!B125</f>
        <v/>
      </c>
      <c r="D50" s="16">
        <f>'By Round'!C125</f>
        <v/>
      </c>
      <c r="E50" s="16">
        <f>'By Round'!D125</f>
        <v/>
      </c>
      <c r="F50" s="16">
        <f>IF(ISBLANK('By Round'!F126),"",'By Round'!F126)</f>
        <v/>
      </c>
      <c r="G50" s="15">
        <f>IF(ISBLANK('By Round'!G126),"",'By Round'!G126)</f>
        <v/>
      </c>
      <c r="H50" s="15">
        <f>IF(ISBLANK('By Round'!H126),"",'By Round'!H126)</f>
        <v/>
      </c>
      <c r="I50" s="15">
        <f>IF(ISBLANK('By Round'!I126),"",'By Round'!I126)</f>
        <v/>
      </c>
      <c r="J50" s="15">
        <f>IF(ISBLANK('By Round'!J126),"",'By Round'!J126)</f>
        <v/>
      </c>
      <c r="K50" s="15">
        <f>IF(ISBLANK('By Round'!K126),"",'By Round'!K126)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s="11" t="n">
        <v>9</v>
      </c>
      <c r="B51" s="11">
        <f>'By Round'!A3</f>
        <v/>
      </c>
      <c r="C51" s="11">
        <f>'By Round'!B5</f>
        <v/>
      </c>
      <c r="D51" s="11">
        <f>'By Round'!C5</f>
        <v/>
      </c>
      <c r="E51" s="11">
        <f>'By Round'!D5</f>
        <v/>
      </c>
      <c r="F51" s="11">
        <f>IF(ISBLANK('By Round'!F5),"",'By Round'!F5)</f>
        <v/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 s="11">
        <f>'By Round'!A51</f>
        <v/>
      </c>
      <c r="C52" s="11">
        <f>'By Round'!B51</f>
        <v/>
      </c>
      <c r="D52" s="11">
        <f>'By Round'!C51</f>
        <v/>
      </c>
      <c r="E52" s="11">
        <f>'By Round'!D51</f>
        <v/>
      </c>
      <c r="F52" s="11">
        <f>IF(ISBLANK('By Round'!F51),"",'By Round'!F51)</f>
        <v/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 s="11">
        <f>'By Round'!A75</f>
        <v/>
      </c>
      <c r="C53" s="11">
        <f>'By Round'!B85</f>
        <v/>
      </c>
      <c r="D53" s="11">
        <f>'By Round'!C85</f>
        <v/>
      </c>
      <c r="E53" s="11">
        <f>'By Round'!D85</f>
        <v/>
      </c>
      <c r="F53" s="11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 s="11">
        <f>'By Round'!A87</f>
        <v/>
      </c>
      <c r="C54" s="11">
        <f>'By Round'!B95</f>
        <v/>
      </c>
      <c r="D54" s="11">
        <f>'By Round'!C95</f>
        <v/>
      </c>
      <c r="E54" s="11">
        <f>'By Round'!D95</f>
        <v/>
      </c>
      <c r="F54" s="11">
        <f>IF(ISBLANK('By Round'!F95),"",'By Round'!F95)</f>
        <v/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 s="11">
        <f>'By Round'!A99</f>
        <v/>
      </c>
      <c r="C55" s="11">
        <f>'By Round'!B105</f>
        <v/>
      </c>
      <c r="D55" s="11">
        <f>'By Round'!C105</f>
        <v/>
      </c>
      <c r="E55" s="11">
        <f>'By Round'!D105</f>
        <v/>
      </c>
      <c r="F55" s="11">
        <f>IF(ISBLANK('By Round'!F105),"",'By Round'!F105)</f>
        <v/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6">
        <f>'By Round'!A123</f>
        <v/>
      </c>
      <c r="C56" s="16">
        <f>'By Round'!B127</f>
        <v/>
      </c>
      <c r="D56" s="16">
        <f>'By Round'!C127</f>
        <v/>
      </c>
      <c r="E56" s="16">
        <f>'By Round'!D127</f>
        <v/>
      </c>
      <c r="F56" s="16">
        <f>IF(ISBLANK('By Round'!F127),"",'By Round'!F127)</f>
        <v/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s="11" t="n">
        <v>10</v>
      </c>
      <c r="B57" s="11">
        <f>'By Round'!A3</f>
        <v/>
      </c>
      <c r="C57" s="11">
        <f>'By Round'!B5</f>
        <v/>
      </c>
      <c r="D57" s="11">
        <f>'By Round'!C5</f>
        <v/>
      </c>
      <c r="E57" s="11">
        <f>'By Round'!D5</f>
        <v/>
      </c>
      <c r="F57" s="11">
        <f>IF(ISBLANK('By Round'!F6),"",'By Round'!F6)</f>
        <v/>
      </c>
      <c r="G57">
        <f>IF(ISBLANK('By Round'!G6),"",'By Round'!G6)</f>
        <v/>
      </c>
      <c r="H57">
        <f>IF(ISBLANK('By Round'!H6),"",'By Round'!H6)</f>
        <v/>
      </c>
      <c r="I57">
        <f>IF(ISBLANK('By Round'!I6),"",'By Round'!I6)</f>
        <v/>
      </c>
      <c r="J57">
        <f>IF(ISBLANK('By Round'!J6),"",'By Round'!J6)</f>
        <v/>
      </c>
      <c r="K57">
        <f>IF(ISBLANK('By Round'!K6),"",'By Round'!K6)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 s="11">
        <f>'By Round'!A51</f>
        <v/>
      </c>
      <c r="C58" s="11">
        <f>'By Round'!B51</f>
        <v/>
      </c>
      <c r="D58" s="11">
        <f>'By Round'!C51</f>
        <v/>
      </c>
      <c r="E58" s="11">
        <f>'By Round'!D51</f>
        <v/>
      </c>
      <c r="F58" s="11">
        <f>IF(ISBLANK('By Round'!F52),"",'By Round'!F52)</f>
        <v/>
      </c>
      <c r="G58">
        <f>IF(ISBLANK('By Round'!G52),"",'By Round'!G52)</f>
        <v/>
      </c>
      <c r="H58">
        <f>IF(ISBLANK('By Round'!H52),"",'By Round'!H52)</f>
        <v/>
      </c>
      <c r="I58">
        <f>IF(ISBLANK('By Round'!I52),"",'By Round'!I52)</f>
        <v/>
      </c>
      <c r="J58">
        <f>IF(ISBLANK('By Round'!J52),"",'By Round'!J52)</f>
        <v/>
      </c>
      <c r="K58">
        <f>IF(ISBLANK('By Round'!K52),"",'By Round'!K52)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 s="11">
        <f>'By Round'!A75</f>
        <v/>
      </c>
      <c r="C59" s="11">
        <f>'By Round'!B85</f>
        <v/>
      </c>
      <c r="D59" s="11">
        <f>'By Round'!C85</f>
        <v/>
      </c>
      <c r="E59" s="11">
        <f>'By Round'!D85</f>
        <v/>
      </c>
      <c r="F59" s="11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 s="11">
        <f>'By Round'!A87</f>
        <v/>
      </c>
      <c r="C60" s="11">
        <f>'By Round'!B95</f>
        <v/>
      </c>
      <c r="D60" s="11">
        <f>'By Round'!C95</f>
        <v/>
      </c>
      <c r="E60" s="11">
        <f>'By Round'!D95</f>
        <v/>
      </c>
      <c r="F60" s="11">
        <f>IF(ISBLANK('By Round'!F96),"",'By Round'!F96)</f>
        <v/>
      </c>
      <c r="G60">
        <f>IF(ISBLANK('By Round'!G96),"",'By Round'!G96)</f>
        <v/>
      </c>
      <c r="H60">
        <f>IF(ISBLANK('By Round'!H96),"",'By Round'!H96)</f>
        <v/>
      </c>
      <c r="I60">
        <f>IF(ISBLANK('By Round'!I96),"",'By Round'!I96)</f>
        <v/>
      </c>
      <c r="J60">
        <f>IF(ISBLANK('By Round'!J96),"",'By Round'!J96)</f>
        <v/>
      </c>
      <c r="K60">
        <f>IF(ISBLANK('By Round'!K96),"",'By Round'!K96)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 s="11">
        <f>'By Round'!A99</f>
        <v/>
      </c>
      <c r="C61" s="11">
        <f>'By Round'!B105</f>
        <v/>
      </c>
      <c r="D61" s="11">
        <f>'By Round'!C105</f>
        <v/>
      </c>
      <c r="E61" s="11">
        <f>'By Round'!D105</f>
        <v/>
      </c>
      <c r="F61" s="11">
        <f>IF(ISBLANK('By Round'!F106),"",'By Round'!F106)</f>
        <v/>
      </c>
      <c r="G61">
        <f>IF(ISBLANK('By Round'!G106),"",'By Round'!G106)</f>
        <v/>
      </c>
      <c r="H61">
        <f>IF(ISBLANK('By Round'!H106),"",'By Round'!H106)</f>
        <v/>
      </c>
      <c r="I61">
        <f>IF(ISBLANK('By Round'!I106),"",'By Round'!I106)</f>
        <v/>
      </c>
      <c r="J61">
        <f>IF(ISBLANK('By Round'!J106),"",'By Round'!J106)</f>
        <v/>
      </c>
      <c r="K61">
        <f>IF(ISBLANK('By Round'!K106),"",'By Round'!K106)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6">
        <f>'By Round'!A123</f>
        <v/>
      </c>
      <c r="C62" s="16">
        <f>'By Round'!B127</f>
        <v/>
      </c>
      <c r="D62" s="16">
        <f>'By Round'!C127</f>
        <v/>
      </c>
      <c r="E62" s="16">
        <f>'By Round'!D127</f>
        <v/>
      </c>
      <c r="F62" s="16">
        <f>IF(ISBLANK('By Round'!F128),"",'By Round'!F128)</f>
        <v/>
      </c>
      <c r="G62" s="15">
        <f>IF(ISBLANK('By Round'!G128),"",'By Round'!G128)</f>
        <v/>
      </c>
      <c r="H62" s="15">
        <f>IF(ISBLANK('By Round'!H128),"",'By Round'!H128)</f>
        <v/>
      </c>
      <c r="I62" s="15">
        <f>IF(ISBLANK('By Round'!I128),"",'By Round'!I128)</f>
        <v/>
      </c>
      <c r="J62" s="15">
        <f>IF(ISBLANK('By Round'!J128),"",'By Round'!J128)</f>
        <v/>
      </c>
      <c r="K62" s="15">
        <f>IF(ISBLANK('By Round'!K128),"",'By Round'!K128)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s="11" t="n">
        <v>11</v>
      </c>
      <c r="B63" s="11">
        <f>'By Round'!A3</f>
        <v/>
      </c>
      <c r="C63" s="11">
        <f>'By Round'!B7</f>
        <v/>
      </c>
      <c r="D63" s="11">
        <f>'By Round'!C7</f>
        <v/>
      </c>
      <c r="E63" s="11">
        <f>'By Round'!D7</f>
        <v/>
      </c>
      <c r="F63" s="11">
        <f>IF(ISBLANK('By Round'!F7),"",'By Round'!F7)</f>
        <v/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 s="11">
        <f>'By Round'!A15</f>
        <v/>
      </c>
      <c r="C64" s="11">
        <f>'By Round'!B17</f>
        <v/>
      </c>
      <c r="D64" s="11">
        <f>'By Round'!C17</f>
        <v/>
      </c>
      <c r="E64" s="11">
        <f>'By Round'!D17</f>
        <v/>
      </c>
      <c r="F64" s="11">
        <f>IF(ISBLANK('By Round'!F17),"",'By Round'!F17)</f>
        <v/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 s="11">
        <f>'By Round'!A63</f>
        <v/>
      </c>
      <c r="C65" s="11">
        <f>'By Round'!B63</f>
        <v/>
      </c>
      <c r="D65" s="11">
        <f>'By Round'!C63</f>
        <v/>
      </c>
      <c r="E65" s="11">
        <f>'By Round'!D63</f>
        <v/>
      </c>
      <c r="F65" s="11">
        <f>IF(ISBLANK('By Round'!F63),"",'By Round'!F63)</f>
        <v/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 s="11">
        <f>'By Round'!A87</f>
        <v/>
      </c>
      <c r="C66" s="11">
        <f>'By Round'!B97</f>
        <v/>
      </c>
      <c r="D66" s="11">
        <f>'By Round'!C97</f>
        <v/>
      </c>
      <c r="E66" s="11">
        <f>'By Round'!D97</f>
        <v/>
      </c>
      <c r="F66" s="11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 s="11">
        <f>'By Round'!A99</f>
        <v/>
      </c>
      <c r="C67" s="11">
        <f>'By Round'!B107</f>
        <v/>
      </c>
      <c r="D67" s="11">
        <f>'By Round'!C107</f>
        <v/>
      </c>
      <c r="E67" s="11">
        <f>'By Round'!D107</f>
        <v/>
      </c>
      <c r="F67" s="11">
        <f>IF(ISBLANK('By Round'!F107),"",'By Round'!F107)</f>
        <v/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6">
        <f>'By Round'!A111</f>
        <v/>
      </c>
      <c r="C68" s="16">
        <f>'By Round'!B117</f>
        <v/>
      </c>
      <c r="D68" s="16">
        <f>'By Round'!C117</f>
        <v/>
      </c>
      <c r="E68" s="16">
        <f>'By Round'!D117</f>
        <v/>
      </c>
      <c r="F68" s="16">
        <f>IF(ISBLANK('By Round'!F117),"",'By Round'!F117)</f>
        <v/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s="11" t="n">
        <v>12</v>
      </c>
      <c r="B69" s="11">
        <f>'By Round'!A3</f>
        <v/>
      </c>
      <c r="C69" s="11">
        <f>'By Round'!B7</f>
        <v/>
      </c>
      <c r="D69" s="11">
        <f>'By Round'!C7</f>
        <v/>
      </c>
      <c r="E69" s="11">
        <f>'By Round'!D7</f>
        <v/>
      </c>
      <c r="F69" s="11">
        <f>IF(ISBLANK('By Round'!F8),"",'By Round'!F8)</f>
        <v/>
      </c>
      <c r="G69">
        <f>IF(ISBLANK('By Round'!G8),"",'By Round'!G8)</f>
        <v/>
      </c>
      <c r="H69">
        <f>IF(ISBLANK('By Round'!H8),"",'By Round'!H8)</f>
        <v/>
      </c>
      <c r="I69">
        <f>IF(ISBLANK('By Round'!I8),"",'By Round'!I8)</f>
        <v/>
      </c>
      <c r="J69">
        <f>IF(ISBLANK('By Round'!J8),"",'By Round'!J8)</f>
        <v/>
      </c>
      <c r="K69">
        <f>IF(ISBLANK('By Round'!K8),"",'By Round'!K8)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 s="11">
        <f>'By Round'!A15</f>
        <v/>
      </c>
      <c r="C70" s="11">
        <f>'By Round'!B17</f>
        <v/>
      </c>
      <c r="D70" s="11">
        <f>'By Round'!C17</f>
        <v/>
      </c>
      <c r="E70" s="11">
        <f>'By Round'!D17</f>
        <v/>
      </c>
      <c r="F70" s="11">
        <f>IF(ISBLANK('By Round'!F18),"",'By Round'!F18)</f>
        <v/>
      </c>
      <c r="G70">
        <f>IF(ISBLANK('By Round'!G18),"",'By Round'!G18)</f>
        <v/>
      </c>
      <c r="H70">
        <f>IF(ISBLANK('By Round'!H18),"",'By Round'!H18)</f>
        <v/>
      </c>
      <c r="I70">
        <f>IF(ISBLANK('By Round'!I18),"",'By Round'!I18)</f>
        <v/>
      </c>
      <c r="J70">
        <f>IF(ISBLANK('By Round'!J18),"",'By Round'!J18)</f>
        <v/>
      </c>
      <c r="K70">
        <f>IF(ISBLANK('By Round'!K18),"",'By Round'!K18)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 s="11">
        <f>'By Round'!A63</f>
        <v/>
      </c>
      <c r="C71" s="11">
        <f>'By Round'!B63</f>
        <v/>
      </c>
      <c r="D71" s="11">
        <f>'By Round'!C63</f>
        <v/>
      </c>
      <c r="E71" s="11">
        <f>'By Round'!D63</f>
        <v/>
      </c>
      <c r="F71" s="11">
        <f>IF(ISBLANK('By Round'!F64),"",'By Round'!F64)</f>
        <v/>
      </c>
      <c r="G71">
        <f>IF(ISBLANK('By Round'!G64),"",'By Round'!G64)</f>
        <v/>
      </c>
      <c r="H71">
        <f>IF(ISBLANK('By Round'!H64),"",'By Round'!H64)</f>
        <v/>
      </c>
      <c r="I71">
        <f>IF(ISBLANK('By Round'!I64),"",'By Round'!I64)</f>
        <v/>
      </c>
      <c r="J71">
        <f>IF(ISBLANK('By Round'!J64),"",'By Round'!J64)</f>
        <v/>
      </c>
      <c r="K71">
        <f>IF(ISBLANK('By Round'!K64),"",'By Round'!K64)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 s="11">
        <f>'By Round'!A87</f>
        <v/>
      </c>
      <c r="C72" s="11">
        <f>'By Round'!B97</f>
        <v/>
      </c>
      <c r="D72" s="11">
        <f>'By Round'!C97</f>
        <v/>
      </c>
      <c r="E72" s="11">
        <f>'By Round'!D97</f>
        <v/>
      </c>
      <c r="F72" s="11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 s="11">
        <f>'By Round'!A99</f>
        <v/>
      </c>
      <c r="C73" s="11">
        <f>'By Round'!B107</f>
        <v/>
      </c>
      <c r="D73" s="11">
        <f>'By Round'!C107</f>
        <v/>
      </c>
      <c r="E73" s="11">
        <f>'By Round'!D107</f>
        <v/>
      </c>
      <c r="F73" s="11">
        <f>IF(ISBLANK('By Round'!F108),"",'By Round'!F108)</f>
        <v/>
      </c>
      <c r="G73">
        <f>IF(ISBLANK('By Round'!G108),"",'By Round'!G108)</f>
        <v/>
      </c>
      <c r="H73">
        <f>IF(ISBLANK('By Round'!H108),"",'By Round'!H108)</f>
        <v/>
      </c>
      <c r="I73">
        <f>IF(ISBLANK('By Round'!I108),"",'By Round'!I108)</f>
        <v/>
      </c>
      <c r="J73">
        <f>IF(ISBLANK('By Round'!J108),"",'By Round'!J108)</f>
        <v/>
      </c>
      <c r="K73">
        <f>IF(ISBLANK('By Round'!K108),"",'By Round'!K108)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6">
        <f>'By Round'!A111</f>
        <v/>
      </c>
      <c r="C74" s="16">
        <f>'By Round'!B117</f>
        <v/>
      </c>
      <c r="D74" s="16">
        <f>'By Round'!C117</f>
        <v/>
      </c>
      <c r="E74" s="16">
        <f>'By Round'!D117</f>
        <v/>
      </c>
      <c r="F74" s="16">
        <f>IF(ISBLANK('By Round'!F118),"",'By Round'!F118)</f>
        <v/>
      </c>
      <c r="G74" s="15">
        <f>IF(ISBLANK('By Round'!G118),"",'By Round'!G118)</f>
        <v/>
      </c>
      <c r="H74" s="15">
        <f>IF(ISBLANK('By Round'!H118),"",'By Round'!H118)</f>
        <v/>
      </c>
      <c r="I74" s="15">
        <f>IF(ISBLANK('By Round'!I118),"",'By Round'!I118)</f>
        <v/>
      </c>
      <c r="J74" s="15">
        <f>IF(ISBLANK('By Round'!J118),"",'By Round'!J118)</f>
        <v/>
      </c>
      <c r="K74" s="15">
        <f>IF(ISBLANK('By Round'!K118),"",'By Round'!K118)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s="11" t="n">
        <v>13</v>
      </c>
      <c r="B75" s="11">
        <f>'By Round'!A15</f>
        <v/>
      </c>
      <c r="C75" s="11">
        <f>'By Round'!B19</f>
        <v/>
      </c>
      <c r="D75" s="11">
        <f>'By Round'!C19</f>
        <v/>
      </c>
      <c r="E75" s="11">
        <f>'By Round'!D19</f>
        <v/>
      </c>
      <c r="F75" s="11">
        <f>IF(ISBLANK('By Round'!F19),"",'By Round'!F19)</f>
        <v/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 s="11">
        <f>'By Round'!A27</f>
        <v/>
      </c>
      <c r="C76" s="11">
        <f>'By Round'!B29</f>
        <v/>
      </c>
      <c r="D76" s="11">
        <f>'By Round'!C29</f>
        <v/>
      </c>
      <c r="E76" s="11">
        <f>'By Round'!D29</f>
        <v/>
      </c>
      <c r="F76" s="11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 s="11">
        <f>'By Round'!A75</f>
        <v/>
      </c>
      <c r="C77" s="11">
        <f>'By Round'!B75</f>
        <v/>
      </c>
      <c r="D77" s="11">
        <f>'By Round'!C75</f>
        <v/>
      </c>
      <c r="E77" s="11">
        <f>'By Round'!D75</f>
        <v/>
      </c>
      <c r="F77" s="11">
        <f>IF(ISBLANK('By Round'!F75),"",'By Round'!F75)</f>
        <v/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 s="11">
        <f>'By Round'!A99</f>
        <v/>
      </c>
      <c r="C78" s="11">
        <f>'By Round'!B109</f>
        <v/>
      </c>
      <c r="D78" s="11">
        <f>'By Round'!C109</f>
        <v/>
      </c>
      <c r="E78" s="11">
        <f>'By Round'!D109</f>
        <v/>
      </c>
      <c r="F78" s="11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 s="11">
        <f>'By Round'!A111</f>
        <v/>
      </c>
      <c r="C79" s="11">
        <f>'By Round'!B119</f>
        <v/>
      </c>
      <c r="D79" s="11">
        <f>'By Round'!C119</f>
        <v/>
      </c>
      <c r="E79" s="11">
        <f>'By Round'!D119</f>
        <v/>
      </c>
      <c r="F79" s="11">
        <f>IF(ISBLANK('By Round'!F119),"",'By Round'!F119)</f>
        <v/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6">
        <f>'By Round'!A123</f>
        <v/>
      </c>
      <c r="C80" s="16">
        <f>'By Round'!B129</f>
        <v/>
      </c>
      <c r="D80" s="16">
        <f>'By Round'!C129</f>
        <v/>
      </c>
      <c r="E80" s="16">
        <f>'By Round'!D129</f>
        <v/>
      </c>
      <c r="F80" s="16">
        <f>IF(ISBLANK('By Round'!F129),"",'By Round'!F129)</f>
        <v/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s="11" t="n">
        <v>14</v>
      </c>
      <c r="B81" s="11">
        <f>'By Round'!A15</f>
        <v/>
      </c>
      <c r="C81" s="11">
        <f>'By Round'!B19</f>
        <v/>
      </c>
      <c r="D81" s="11">
        <f>'By Round'!C19</f>
        <v/>
      </c>
      <c r="E81" s="11">
        <f>'By Round'!D19</f>
        <v/>
      </c>
      <c r="F81" s="11">
        <f>IF(ISBLANK('By Round'!F20),"",'By Round'!F20)</f>
        <v/>
      </c>
      <c r="G81">
        <f>IF(ISBLANK('By Round'!G20),"",'By Round'!G20)</f>
        <v/>
      </c>
      <c r="H81">
        <f>IF(ISBLANK('By Round'!H20),"",'By Round'!H20)</f>
        <v/>
      </c>
      <c r="I81">
        <f>IF(ISBLANK('By Round'!I20),"",'By Round'!I20)</f>
        <v/>
      </c>
      <c r="J81">
        <f>IF(ISBLANK('By Round'!J20),"",'By Round'!J20)</f>
        <v/>
      </c>
      <c r="K81">
        <f>IF(ISBLANK('By Round'!K20),"",'By Round'!K20)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 s="11">
        <f>'By Round'!A27</f>
        <v/>
      </c>
      <c r="C82" s="11">
        <f>'By Round'!B29</f>
        <v/>
      </c>
      <c r="D82" s="11">
        <f>'By Round'!C29</f>
        <v/>
      </c>
      <c r="E82" s="11">
        <f>'By Round'!D29</f>
        <v/>
      </c>
      <c r="F82" s="11">
        <f>IF(ISBLANK('By Round'!F30),"",'By Round'!F30)</f>
        <v/>
      </c>
      <c r="G82">
        <f>IF(ISBLANK('By Round'!G30),"",'By Round'!G30)</f>
        <v/>
      </c>
      <c r="H82">
        <f>IF(ISBLANK('By Round'!H30),"",'By Round'!H30)</f>
        <v/>
      </c>
      <c r="I82">
        <f>IF(ISBLANK('By Round'!I30),"",'By Round'!I30)</f>
        <v/>
      </c>
      <c r="J82">
        <f>IF(ISBLANK('By Round'!J30),"",'By Round'!J30)</f>
        <v/>
      </c>
      <c r="K82">
        <f>IF(ISBLANK('By Round'!K30),"",'By Round'!K30)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 s="11">
        <f>'By Round'!A75</f>
        <v/>
      </c>
      <c r="C83" s="11">
        <f>'By Round'!B75</f>
        <v/>
      </c>
      <c r="D83" s="11">
        <f>'By Round'!C75</f>
        <v/>
      </c>
      <c r="E83" s="11">
        <f>'By Round'!D75</f>
        <v/>
      </c>
      <c r="F83" s="11">
        <f>IF(ISBLANK('By Round'!F76),"",'By Round'!F76)</f>
        <v/>
      </c>
      <c r="G83">
        <f>IF(ISBLANK('By Round'!G76),"",'By Round'!G76)</f>
        <v/>
      </c>
      <c r="H83">
        <f>IF(ISBLANK('By Round'!H76),"",'By Round'!H76)</f>
        <v/>
      </c>
      <c r="I83">
        <f>IF(ISBLANK('By Round'!I76),"",'By Round'!I76)</f>
        <v/>
      </c>
      <c r="J83">
        <f>IF(ISBLANK('By Round'!J76),"",'By Round'!J76)</f>
        <v/>
      </c>
      <c r="K83">
        <f>IF(ISBLANK('By Round'!K76),"",'By Round'!K76)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 s="11">
        <f>'By Round'!A99</f>
        <v/>
      </c>
      <c r="C84" s="11">
        <f>'By Round'!B109</f>
        <v/>
      </c>
      <c r="D84" s="11">
        <f>'By Round'!C109</f>
        <v/>
      </c>
      <c r="E84" s="11">
        <f>'By Round'!D109</f>
        <v/>
      </c>
      <c r="F84" s="11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 s="11">
        <f>'By Round'!A111</f>
        <v/>
      </c>
      <c r="C85" s="11">
        <f>'By Round'!B119</f>
        <v/>
      </c>
      <c r="D85" s="11">
        <f>'By Round'!C119</f>
        <v/>
      </c>
      <c r="E85" s="11">
        <f>'By Round'!D119</f>
        <v/>
      </c>
      <c r="F85" s="11">
        <f>IF(ISBLANK('By Round'!F120),"",'By Round'!F120)</f>
        <v/>
      </c>
      <c r="G85">
        <f>IF(ISBLANK('By Round'!G120),"",'By Round'!G120)</f>
        <v/>
      </c>
      <c r="H85">
        <f>IF(ISBLANK('By Round'!H120),"",'By Round'!H120)</f>
        <v/>
      </c>
      <c r="I85">
        <f>IF(ISBLANK('By Round'!I120),"",'By Round'!I120)</f>
        <v/>
      </c>
      <c r="J85">
        <f>IF(ISBLANK('By Round'!J120),"",'By Round'!J120)</f>
        <v/>
      </c>
      <c r="K85">
        <f>IF(ISBLANK('By Round'!K120),"",'By Round'!K120)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6">
        <f>'By Round'!A123</f>
        <v/>
      </c>
      <c r="C86" s="16">
        <f>'By Round'!B129</f>
        <v/>
      </c>
      <c r="D86" s="16">
        <f>'By Round'!C129</f>
        <v/>
      </c>
      <c r="E86" s="16">
        <f>'By Round'!D129</f>
        <v/>
      </c>
      <c r="F86" s="16">
        <f>IF(ISBLANK('By Round'!F130),"",'By Round'!F130)</f>
        <v/>
      </c>
      <c r="G86" s="15">
        <f>IF(ISBLANK('By Round'!G130),"",'By Round'!G130)</f>
        <v/>
      </c>
      <c r="H86" s="15">
        <f>IF(ISBLANK('By Round'!H130),"",'By Round'!H130)</f>
        <v/>
      </c>
      <c r="I86" s="15">
        <f>IF(ISBLANK('By Round'!I130),"",'By Round'!I130)</f>
        <v/>
      </c>
      <c r="J86" s="15">
        <f>IF(ISBLANK('By Round'!J130),"",'By Round'!J130)</f>
        <v/>
      </c>
      <c r="K86" s="15">
        <f>IF(ISBLANK('By Round'!K130),"",'By Round'!K130)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s="11" t="n">
        <v>15</v>
      </c>
      <c r="B87" s="11">
        <f>'By Round'!A3</f>
        <v/>
      </c>
      <c r="C87" s="11">
        <f>'By Round'!B9</f>
        <v/>
      </c>
      <c r="D87" s="11">
        <f>'By Round'!C9</f>
        <v/>
      </c>
      <c r="E87" s="11">
        <f>'By Round'!D9</f>
        <v/>
      </c>
      <c r="F87" s="11">
        <f>IF(ISBLANK('By Round'!F9),"",'By Round'!F9)</f>
        <v/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 s="11">
        <f>'By Round'!A27</f>
        <v/>
      </c>
      <c r="C88" s="11">
        <f>'By Round'!B31</f>
        <v/>
      </c>
      <c r="D88" s="11">
        <f>'By Round'!C31</f>
        <v/>
      </c>
      <c r="E88" s="11">
        <f>'By Round'!D31</f>
        <v/>
      </c>
      <c r="F88" s="11">
        <f>IF(ISBLANK('By Round'!F31),"",'By Round'!F31)</f>
        <v/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 s="11">
        <f>'By Round'!A39</f>
        <v/>
      </c>
      <c r="C89" s="11">
        <f>'By Round'!B41</f>
        <v/>
      </c>
      <c r="D89" s="11">
        <f>'By Round'!C41</f>
        <v/>
      </c>
      <c r="E89" s="11">
        <f>'By Round'!D41</f>
        <v/>
      </c>
      <c r="F89" s="11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 s="11">
        <f>'By Round'!A87</f>
        <v/>
      </c>
      <c r="C90" s="11">
        <f>'By Round'!B87</f>
        <v/>
      </c>
      <c r="D90" s="11">
        <f>'By Round'!C87</f>
        <v/>
      </c>
      <c r="E90" s="11">
        <f>'By Round'!D87</f>
        <v/>
      </c>
      <c r="F90" s="11">
        <f>IF(ISBLANK('By Round'!F87),"",'By Round'!F87)</f>
        <v/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 s="11">
        <f>'By Round'!A111</f>
        <v/>
      </c>
      <c r="C91" s="11">
        <f>'By Round'!B121</f>
        <v/>
      </c>
      <c r="D91" s="11">
        <f>'By Round'!C121</f>
        <v/>
      </c>
      <c r="E91" s="11">
        <f>'By Round'!D121</f>
        <v/>
      </c>
      <c r="F91" s="11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6">
        <f>'By Round'!A123</f>
        <v/>
      </c>
      <c r="C92" s="16">
        <f>'By Round'!B131</f>
        <v/>
      </c>
      <c r="D92" s="16">
        <f>'By Round'!C131</f>
        <v/>
      </c>
      <c r="E92" s="16">
        <f>'By Round'!D131</f>
        <v/>
      </c>
      <c r="F92" s="16">
        <f>IF(ISBLANK('By Round'!F131),"",'By Round'!F131)</f>
        <v/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s="11" t="n">
        <v>16</v>
      </c>
      <c r="B93" s="11">
        <f>'By Round'!A3</f>
        <v/>
      </c>
      <c r="C93" s="11">
        <f>'By Round'!B9</f>
        <v/>
      </c>
      <c r="D93" s="11">
        <f>'By Round'!C9</f>
        <v/>
      </c>
      <c r="E93" s="11">
        <f>'By Round'!D9</f>
        <v/>
      </c>
      <c r="F93" s="11">
        <f>IF(ISBLANK('By Round'!F10),"",'By Round'!F10)</f>
        <v/>
      </c>
      <c r="G93">
        <f>IF(ISBLANK('By Round'!G10),"",'By Round'!G10)</f>
        <v/>
      </c>
      <c r="H93">
        <f>IF(ISBLANK('By Round'!H10),"",'By Round'!H10)</f>
        <v/>
      </c>
      <c r="I93">
        <f>IF(ISBLANK('By Round'!I10),"",'By Round'!I10)</f>
        <v/>
      </c>
      <c r="J93">
        <f>IF(ISBLANK('By Round'!J10),"",'By Round'!J10)</f>
        <v/>
      </c>
      <c r="K93">
        <f>IF(ISBLANK('By Round'!K10),"",'By Round'!K10)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 s="11">
        <f>'By Round'!A27</f>
        <v/>
      </c>
      <c r="C94" s="11">
        <f>'By Round'!B31</f>
        <v/>
      </c>
      <c r="D94" s="11">
        <f>'By Round'!C31</f>
        <v/>
      </c>
      <c r="E94" s="11">
        <f>'By Round'!D31</f>
        <v/>
      </c>
      <c r="F94" s="11">
        <f>IF(ISBLANK('By Round'!F32),"",'By Round'!F32)</f>
        <v/>
      </c>
      <c r="G94">
        <f>IF(ISBLANK('By Round'!G32),"",'By Round'!G32)</f>
        <v/>
      </c>
      <c r="H94">
        <f>IF(ISBLANK('By Round'!H32),"",'By Round'!H32)</f>
        <v/>
      </c>
      <c r="I94">
        <f>IF(ISBLANK('By Round'!I32),"",'By Round'!I32)</f>
        <v/>
      </c>
      <c r="J94">
        <f>IF(ISBLANK('By Round'!J32),"",'By Round'!J32)</f>
        <v/>
      </c>
      <c r="K94">
        <f>IF(ISBLANK('By Round'!K32),"",'By Round'!K32)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 s="11">
        <f>'By Round'!A39</f>
        <v/>
      </c>
      <c r="C95" s="11">
        <f>'By Round'!B41</f>
        <v/>
      </c>
      <c r="D95" s="11">
        <f>'By Round'!C41</f>
        <v/>
      </c>
      <c r="E95" s="11">
        <f>'By Round'!D41</f>
        <v/>
      </c>
      <c r="F95" s="11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 s="11">
        <f>'By Round'!A87</f>
        <v/>
      </c>
      <c r="C96" s="11">
        <f>'By Round'!B87</f>
        <v/>
      </c>
      <c r="D96" s="11">
        <f>'By Round'!C87</f>
        <v/>
      </c>
      <c r="E96" s="11">
        <f>'By Round'!D87</f>
        <v/>
      </c>
      <c r="F96" s="11">
        <f>IF(ISBLANK('By Round'!F88),"",'By Round'!F88)</f>
        <v/>
      </c>
      <c r="G96">
        <f>IF(ISBLANK('By Round'!G88),"",'By Round'!G88)</f>
        <v/>
      </c>
      <c r="H96">
        <f>IF(ISBLANK('By Round'!H88),"",'By Round'!H88)</f>
        <v/>
      </c>
      <c r="I96">
        <f>IF(ISBLANK('By Round'!I88),"",'By Round'!I88)</f>
        <v/>
      </c>
      <c r="J96">
        <f>IF(ISBLANK('By Round'!J88),"",'By Round'!J88)</f>
        <v/>
      </c>
      <c r="K96">
        <f>IF(ISBLANK('By Round'!K88),"",'By Round'!K88)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 s="11">
        <f>'By Round'!A111</f>
        <v/>
      </c>
      <c r="C97" s="11">
        <f>'By Round'!B121</f>
        <v/>
      </c>
      <c r="D97" s="11">
        <f>'By Round'!C121</f>
        <v/>
      </c>
      <c r="E97" s="11">
        <f>'By Round'!D121</f>
        <v/>
      </c>
      <c r="F97" s="11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6">
        <f>'By Round'!A123</f>
        <v/>
      </c>
      <c r="C98" s="16">
        <f>'By Round'!B131</f>
        <v/>
      </c>
      <c r="D98" s="16">
        <f>'By Round'!C131</f>
        <v/>
      </c>
      <c r="E98" s="16">
        <f>'By Round'!D131</f>
        <v/>
      </c>
      <c r="F98" s="16">
        <f>IF(ISBLANK('By Round'!F132),"",'By Round'!F132)</f>
        <v/>
      </c>
      <c r="G98" s="15">
        <f>IF(ISBLANK('By Round'!G132),"",'By Round'!G132)</f>
        <v/>
      </c>
      <c r="H98" s="15">
        <f>IF(ISBLANK('By Round'!H132),"",'By Round'!H132)</f>
        <v/>
      </c>
      <c r="I98" s="15">
        <f>IF(ISBLANK('By Round'!I132),"",'By Round'!I132)</f>
        <v/>
      </c>
      <c r="J98" s="15">
        <f>IF(ISBLANK('By Round'!J132),"",'By Round'!J132)</f>
        <v/>
      </c>
      <c r="K98" s="15">
        <f>IF(ISBLANK('By Round'!K132),"",'By Round'!K132)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s="11" t="n">
        <v>17</v>
      </c>
      <c r="B99" s="11">
        <f>'By Round'!A3</f>
        <v/>
      </c>
      <c r="C99" s="11">
        <f>'By Round'!B11</f>
        <v/>
      </c>
      <c r="D99" s="11">
        <f>'By Round'!C11</f>
        <v/>
      </c>
      <c r="E99" s="11">
        <f>'By Round'!D11</f>
        <v/>
      </c>
      <c r="F99" s="11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 s="11">
        <f>'By Round'!A15</f>
        <v/>
      </c>
      <c r="C100" s="11">
        <f>'By Round'!B21</f>
        <v/>
      </c>
      <c r="D100" s="11">
        <f>'By Round'!C21</f>
        <v/>
      </c>
      <c r="E100" s="11">
        <f>'By Round'!D21</f>
        <v/>
      </c>
      <c r="F100" s="11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 s="11">
        <f>'By Round'!A39</f>
        <v/>
      </c>
      <c r="C101" s="11">
        <f>'By Round'!B43</f>
        <v/>
      </c>
      <c r="D101" s="11">
        <f>'By Round'!C43</f>
        <v/>
      </c>
      <c r="E101" s="11">
        <f>'By Round'!D43</f>
        <v/>
      </c>
      <c r="F101" s="11">
        <f>IF(ISBLANK('By Round'!F43),"",'By Round'!F43)</f>
        <v/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 s="11">
        <f>'By Round'!A51</f>
        <v/>
      </c>
      <c r="C102" s="11">
        <f>'By Round'!B53</f>
        <v/>
      </c>
      <c r="D102" s="11">
        <f>'By Round'!C53</f>
        <v/>
      </c>
      <c r="E102" s="11">
        <f>'By Round'!D53</f>
        <v/>
      </c>
      <c r="F102" s="11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 s="11">
        <f>'By Round'!A99</f>
        <v/>
      </c>
      <c r="C103" s="11">
        <f>'By Round'!B99</f>
        <v/>
      </c>
      <c r="D103" s="11">
        <f>'By Round'!C99</f>
        <v/>
      </c>
      <c r="E103" s="11">
        <f>'By Round'!D99</f>
        <v/>
      </c>
      <c r="F103" s="11">
        <f>IF(ISBLANK('By Round'!F99),"",'By Round'!F99)</f>
        <v/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6">
        <f>'By Round'!A123</f>
        <v/>
      </c>
      <c r="C104" s="16">
        <f>'By Round'!B133</f>
        <v/>
      </c>
      <c r="D104" s="16">
        <f>'By Round'!C133</f>
        <v/>
      </c>
      <c r="E104" s="16">
        <f>'By Round'!D133</f>
        <v/>
      </c>
      <c r="F104" s="16">
        <f>IF(ISBLANK('By Round'!F133),"",'By Round'!F133)</f>
        <v/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s="11" t="n">
        <v>18</v>
      </c>
      <c r="B105" s="11">
        <f>'By Round'!A3</f>
        <v/>
      </c>
      <c r="C105" s="11">
        <f>'By Round'!B11</f>
        <v/>
      </c>
      <c r="D105" s="11">
        <f>'By Round'!C11</f>
        <v/>
      </c>
      <c r="E105" s="11">
        <f>'By Round'!D11</f>
        <v/>
      </c>
      <c r="F105" s="11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 s="11">
        <f>'By Round'!A15</f>
        <v/>
      </c>
      <c r="C106" s="11">
        <f>'By Round'!B21</f>
        <v/>
      </c>
      <c r="D106" s="11">
        <f>'By Round'!C21</f>
        <v/>
      </c>
      <c r="E106" s="11">
        <f>'By Round'!D21</f>
        <v/>
      </c>
      <c r="F106" s="11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 s="11">
        <f>'By Round'!A39</f>
        <v/>
      </c>
      <c r="C107" s="11">
        <f>'By Round'!B43</f>
        <v/>
      </c>
      <c r="D107" s="11">
        <f>'By Round'!C43</f>
        <v/>
      </c>
      <c r="E107" s="11">
        <f>'By Round'!D43</f>
        <v/>
      </c>
      <c r="F107" s="11">
        <f>IF(ISBLANK('By Round'!F44),"",'By Round'!F44)</f>
        <v/>
      </c>
      <c r="G107">
        <f>IF(ISBLANK('By Round'!G44),"",'By Round'!G44)</f>
        <v/>
      </c>
      <c r="H107">
        <f>IF(ISBLANK('By Round'!H44),"",'By Round'!H44)</f>
        <v/>
      </c>
      <c r="I107">
        <f>IF(ISBLANK('By Round'!I44),"",'By Round'!I44)</f>
        <v/>
      </c>
      <c r="J107">
        <f>IF(ISBLANK('By Round'!J44),"",'By Round'!J44)</f>
        <v/>
      </c>
      <c r="K107">
        <f>IF(ISBLANK('By Round'!K44),"",'By Round'!K44)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 s="11">
        <f>'By Round'!A51</f>
        <v/>
      </c>
      <c r="C108" s="11">
        <f>'By Round'!B53</f>
        <v/>
      </c>
      <c r="D108" s="11">
        <f>'By Round'!C53</f>
        <v/>
      </c>
      <c r="E108" s="11">
        <f>'By Round'!D53</f>
        <v/>
      </c>
      <c r="F108" s="11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 s="11">
        <f>'By Round'!A99</f>
        <v/>
      </c>
      <c r="C109" s="11">
        <f>'By Round'!B99</f>
        <v/>
      </c>
      <c r="D109" s="11">
        <f>'By Round'!C99</f>
        <v/>
      </c>
      <c r="E109" s="11">
        <f>'By Round'!D99</f>
        <v/>
      </c>
      <c r="F109" s="11">
        <f>IF(ISBLANK('By Round'!F100),"",'By Round'!F100)</f>
        <v/>
      </c>
      <c r="G109">
        <f>IF(ISBLANK('By Round'!G100),"",'By Round'!G100)</f>
        <v/>
      </c>
      <c r="H109">
        <f>IF(ISBLANK('By Round'!H100),"",'By Round'!H100)</f>
        <v/>
      </c>
      <c r="I109">
        <f>IF(ISBLANK('By Round'!I100),"",'By Round'!I100)</f>
        <v/>
      </c>
      <c r="J109">
        <f>IF(ISBLANK('By Round'!J100),"",'By Round'!J100)</f>
        <v/>
      </c>
      <c r="K109">
        <f>IF(ISBLANK('By Round'!K100),"",'By Round'!K100)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6">
        <f>'By Round'!A123</f>
        <v/>
      </c>
      <c r="C110" s="16">
        <f>'By Round'!B133</f>
        <v/>
      </c>
      <c r="D110" s="16">
        <f>'By Round'!C133</f>
        <v/>
      </c>
      <c r="E110" s="16">
        <f>'By Round'!D133</f>
        <v/>
      </c>
      <c r="F110" s="16">
        <f>IF(ISBLANK('By Round'!F134),"",'By Round'!F134)</f>
        <v/>
      </c>
      <c r="G110" s="15">
        <f>IF(ISBLANK('By Round'!G134),"",'By Round'!G134)</f>
        <v/>
      </c>
      <c r="H110" s="15">
        <f>IF(ISBLANK('By Round'!H134),"",'By Round'!H134)</f>
        <v/>
      </c>
      <c r="I110" s="15">
        <f>IF(ISBLANK('By Round'!I134),"",'By Round'!I134)</f>
        <v/>
      </c>
      <c r="J110" s="15">
        <f>IF(ISBLANK('By Round'!J134),"",'By Round'!J134)</f>
        <v/>
      </c>
      <c r="K110" s="15">
        <f>IF(ISBLANK('By Round'!K134),"",'By Round'!K134)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s="11" t="n">
        <v>19</v>
      </c>
      <c r="B111" s="11">
        <f>'By Round'!A3</f>
        <v/>
      </c>
      <c r="C111" s="11">
        <f>'By Round'!B13</f>
        <v/>
      </c>
      <c r="D111" s="11">
        <f>'By Round'!C13</f>
        <v/>
      </c>
      <c r="E111" s="11">
        <f>'By Round'!D13</f>
        <v/>
      </c>
      <c r="F111" s="11">
        <f>IF(ISBLANK('By Round'!F13),"",'By Round'!F13)</f>
        <v/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 s="11">
        <f>'By Round'!A15</f>
        <v/>
      </c>
      <c r="C112" s="11">
        <f>'By Round'!B23</f>
        <v/>
      </c>
      <c r="D112" s="11">
        <f>'By Round'!C23</f>
        <v/>
      </c>
      <c r="E112" s="11">
        <f>'By Round'!D23</f>
        <v/>
      </c>
      <c r="F112" s="11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 s="11">
        <f>'By Round'!A27</f>
        <v/>
      </c>
      <c r="C113" s="11">
        <f>'By Round'!B33</f>
        <v/>
      </c>
      <c r="D113" s="11">
        <f>'By Round'!C33</f>
        <v/>
      </c>
      <c r="E113" s="11">
        <f>'By Round'!D33</f>
        <v/>
      </c>
      <c r="F113" s="11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 s="11">
        <f>'By Round'!A51</f>
        <v/>
      </c>
      <c r="C114" s="11">
        <f>'By Round'!B55</f>
        <v/>
      </c>
      <c r="D114" s="11">
        <f>'By Round'!C55</f>
        <v/>
      </c>
      <c r="E114" s="11">
        <f>'By Round'!D55</f>
        <v/>
      </c>
      <c r="F114" s="11">
        <f>IF(ISBLANK('By Round'!F55),"",'By Round'!F55)</f>
        <v/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 s="11">
        <f>'By Round'!A63</f>
        <v/>
      </c>
      <c r="C115" s="11">
        <f>'By Round'!B65</f>
        <v/>
      </c>
      <c r="D115" s="11">
        <f>'By Round'!C65</f>
        <v/>
      </c>
      <c r="E115" s="11">
        <f>'By Round'!D65</f>
        <v/>
      </c>
      <c r="F115" s="11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s="11" t="n">
        <v>20</v>
      </c>
      <c r="B117" s="11">
        <f>'By Round'!A3</f>
        <v/>
      </c>
      <c r="C117" s="11">
        <f>'By Round'!B13</f>
        <v/>
      </c>
      <c r="D117" s="11">
        <f>'By Round'!C13</f>
        <v/>
      </c>
      <c r="E117" s="11">
        <f>'By Round'!D13</f>
        <v/>
      </c>
      <c r="F117" s="11">
        <f>IF(ISBLANK('By Round'!F14),"",'By Round'!F14)</f>
        <v/>
      </c>
      <c r="G117">
        <f>IF(ISBLANK('By Round'!G14),"",'By Round'!G14)</f>
        <v/>
      </c>
      <c r="H117">
        <f>IF(ISBLANK('By Round'!H14),"",'By Round'!H14)</f>
        <v/>
      </c>
      <c r="I117">
        <f>IF(ISBLANK('By Round'!I14),"",'By Round'!I14)</f>
        <v/>
      </c>
      <c r="J117">
        <f>IF(ISBLANK('By Round'!J14),"",'By Round'!J14)</f>
        <v/>
      </c>
      <c r="K117">
        <f>IF(ISBLANK('By Round'!K14),"",'By Round'!K14)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 s="11">
        <f>'By Round'!A15</f>
        <v/>
      </c>
      <c r="C118" s="11">
        <f>'By Round'!B23</f>
        <v/>
      </c>
      <c r="D118" s="11">
        <f>'By Round'!C23</f>
        <v/>
      </c>
      <c r="E118" s="11">
        <f>'By Round'!D23</f>
        <v/>
      </c>
      <c r="F118" s="11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 s="11">
        <f>'By Round'!A27</f>
        <v/>
      </c>
      <c r="C119" s="11">
        <f>'By Round'!B33</f>
        <v/>
      </c>
      <c r="D119" s="11">
        <f>'By Round'!C33</f>
        <v/>
      </c>
      <c r="E119" s="11">
        <f>'By Round'!D33</f>
        <v/>
      </c>
      <c r="F119" s="11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 s="11">
        <f>'By Round'!A51</f>
        <v/>
      </c>
      <c r="C120" s="11">
        <f>'By Round'!B55</f>
        <v/>
      </c>
      <c r="D120" s="11">
        <f>'By Round'!C55</f>
        <v/>
      </c>
      <c r="E120" s="11">
        <f>'By Round'!D55</f>
        <v/>
      </c>
      <c r="F120" s="11">
        <f>IF(ISBLANK('By Round'!F56),"",'By Round'!F56)</f>
        <v/>
      </c>
      <c r="G120">
        <f>IF(ISBLANK('By Round'!G56),"",'By Round'!G56)</f>
        <v/>
      </c>
      <c r="H120">
        <f>IF(ISBLANK('By Round'!H56),"",'By Round'!H56)</f>
        <v/>
      </c>
      <c r="I120">
        <f>IF(ISBLANK('By Round'!I56),"",'By Round'!I56)</f>
        <v/>
      </c>
      <c r="J120">
        <f>IF(ISBLANK('By Round'!J56),"",'By Round'!J56)</f>
        <v/>
      </c>
      <c r="K120">
        <f>IF(ISBLANK('By Round'!K56),"",'By Round'!K56)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 s="11">
        <f>'By Round'!A63</f>
        <v/>
      </c>
      <c r="C121" s="11">
        <f>'By Round'!B65</f>
        <v/>
      </c>
      <c r="D121" s="11">
        <f>'By Round'!C65</f>
        <v/>
      </c>
      <c r="E121" s="11">
        <f>'By Round'!D65</f>
        <v/>
      </c>
      <c r="F121" s="11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s="11" t="n">
        <v>21</v>
      </c>
      <c r="B123" s="11">
        <f>'By Round'!A15</f>
        <v/>
      </c>
      <c r="C123" s="11">
        <f>'By Round'!B25</f>
        <v/>
      </c>
      <c r="D123" s="11">
        <f>'By Round'!C25</f>
        <v/>
      </c>
      <c r="E123" s="11">
        <f>'By Round'!D25</f>
        <v/>
      </c>
      <c r="F123" s="11">
        <f>IF(ISBLANK('By Round'!F25),"",'By Round'!F25)</f>
        <v/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 s="11">
        <f>'By Round'!A27</f>
        <v/>
      </c>
      <c r="C124" s="11">
        <f>'By Round'!B35</f>
        <v/>
      </c>
      <c r="D124" s="11">
        <f>'By Round'!C35</f>
        <v/>
      </c>
      <c r="E124" s="11">
        <f>'By Round'!D35</f>
        <v/>
      </c>
      <c r="F124" s="11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 s="11">
        <f>'By Round'!A39</f>
        <v/>
      </c>
      <c r="C125" s="11">
        <f>'By Round'!B45</f>
        <v/>
      </c>
      <c r="D125" s="11">
        <f>'By Round'!C45</f>
        <v/>
      </c>
      <c r="E125" s="11">
        <f>'By Round'!D45</f>
        <v/>
      </c>
      <c r="F125" s="11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 s="11">
        <f>'By Round'!A63</f>
        <v/>
      </c>
      <c r="C126" s="11">
        <f>'By Round'!B67</f>
        <v/>
      </c>
      <c r="D126" s="11">
        <f>'By Round'!C67</f>
        <v/>
      </c>
      <c r="E126" s="11">
        <f>'By Round'!D67</f>
        <v/>
      </c>
      <c r="F126" s="11">
        <f>IF(ISBLANK('By Round'!F67),"",'By Round'!F67)</f>
        <v/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 s="11">
        <f>'By Round'!A75</f>
        <v/>
      </c>
      <c r="C127" s="11">
        <f>'By Round'!B77</f>
        <v/>
      </c>
      <c r="D127" s="11">
        <f>'By Round'!C77</f>
        <v/>
      </c>
      <c r="E127" s="11">
        <f>'By Round'!D77</f>
        <v/>
      </c>
      <c r="F127" s="11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s="11" t="n">
        <v>22</v>
      </c>
      <c r="B129" s="11">
        <f>'By Round'!A15</f>
        <v/>
      </c>
      <c r="C129" s="11">
        <f>'By Round'!B25</f>
        <v/>
      </c>
      <c r="D129" s="11">
        <f>'By Round'!C25</f>
        <v/>
      </c>
      <c r="E129" s="11">
        <f>'By Round'!D25</f>
        <v/>
      </c>
      <c r="F129" s="11">
        <f>IF(ISBLANK('By Round'!F26),"",'By Round'!F26)</f>
        <v/>
      </c>
      <c r="G129">
        <f>IF(ISBLANK('By Round'!G26),"",'By Round'!G26)</f>
        <v/>
      </c>
      <c r="H129">
        <f>IF(ISBLANK('By Round'!H26),"",'By Round'!H26)</f>
        <v/>
      </c>
      <c r="I129">
        <f>IF(ISBLANK('By Round'!I26),"",'By Round'!I26)</f>
        <v/>
      </c>
      <c r="J129">
        <f>IF(ISBLANK('By Round'!J26),"",'By Round'!J26)</f>
        <v/>
      </c>
      <c r="K129">
        <f>IF(ISBLANK('By Round'!K26),"",'By Round'!K26)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 s="11">
        <f>'By Round'!A27</f>
        <v/>
      </c>
      <c r="C130" s="11">
        <f>'By Round'!B35</f>
        <v/>
      </c>
      <c r="D130" s="11">
        <f>'By Round'!C35</f>
        <v/>
      </c>
      <c r="E130" s="11">
        <f>'By Round'!D35</f>
        <v/>
      </c>
      <c r="F130" s="11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 s="11">
        <f>'By Round'!A39</f>
        <v/>
      </c>
      <c r="C131" s="11">
        <f>'By Round'!B45</f>
        <v/>
      </c>
      <c r="D131" s="11">
        <f>'By Round'!C45</f>
        <v/>
      </c>
      <c r="E131" s="11">
        <f>'By Round'!D45</f>
        <v/>
      </c>
      <c r="F131" s="11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 s="11">
        <f>'By Round'!A63</f>
        <v/>
      </c>
      <c r="C132" s="11">
        <f>'By Round'!B67</f>
        <v/>
      </c>
      <c r="D132" s="11">
        <f>'By Round'!C67</f>
        <v/>
      </c>
      <c r="E132" s="11">
        <f>'By Round'!D67</f>
        <v/>
      </c>
      <c r="F132" s="11">
        <f>IF(ISBLANK('By Round'!F68),"",'By Round'!F68)</f>
        <v/>
      </c>
      <c r="G132">
        <f>IF(ISBLANK('By Round'!G68),"",'By Round'!G68)</f>
        <v/>
      </c>
      <c r="H132">
        <f>IF(ISBLANK('By Round'!H68),"",'By Round'!H68)</f>
        <v/>
      </c>
      <c r="I132">
        <f>IF(ISBLANK('By Round'!I68),"",'By Round'!I68)</f>
        <v/>
      </c>
      <c r="J132">
        <f>IF(ISBLANK('By Round'!J68),"",'By Round'!J68)</f>
        <v/>
      </c>
      <c r="K132">
        <f>IF(ISBLANK('By Round'!K68),"",'By Round'!K68)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 s="11">
        <f>'By Round'!A75</f>
        <v/>
      </c>
      <c r="C133" s="11">
        <f>'By Round'!B77</f>
        <v/>
      </c>
      <c r="D133" s="11">
        <f>'By Round'!C77</f>
        <v/>
      </c>
      <c r="E133" s="11">
        <f>'By Round'!D77</f>
        <v/>
      </c>
      <c r="F133" s="11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inlineStr">
        <is>
          <t>Sit-Out</t>
        </is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inlineStr">
        <is>
          <t>Sit-Out</t>
        </is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inlineStr">
        <is>
          <t>Sit-Out</t>
        </is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inlineStr">
        <is>
          <t>Sit-Out</t>
        </is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inlineStr">
        <is>
          <t>Sit-Out</t>
        </is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inlineStr">
        <is>
          <t>Sit-Out</t>
        </is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inlineStr">
        <is>
          <t>Sit-Out</t>
        </is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inlineStr">
        <is>
          <t>Sit-Out</t>
        </is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inlineStr">
        <is>
          <t>Sit-Out</t>
        </is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inlineStr">
        <is>
          <t>Sit-Out</t>
        </is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2026-02-11T04:50:29Z</dcterms:created>
  <dcterms:modified xsi:type="dcterms:W3CDTF">2026-02-11T04:50:29Z</dcterms:modified>
</cp:coreProperties>
</file>