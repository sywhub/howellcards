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11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PH70</t>
        </is>
      </c>
      <c r="C2" t="inlineStr">
        <is>
          <t>PH80</t>
        </is>
      </c>
      <c r="D2" s="4">
        <f>SUMIF('By Board'!$D$3:$D$122,"=1",'By Board'!$L$3:$L$122)+SUMIF('By Board'!$E$3:$E$122,"=1",'By Board'!$M$3:$M$122)</f>
        <v/>
      </c>
    </row>
    <row r="3">
      <c r="A3" t="n">
        <v>2</v>
      </c>
      <c r="B3" t="inlineStr">
        <is>
          <t>PH78</t>
        </is>
      </c>
      <c r="C3" t="inlineStr">
        <is>
          <t>PH54</t>
        </is>
      </c>
      <c r="D3" s="4">
        <f>SUMIF('By Board'!$D$3:$D$122,"=2",'By Board'!$L$3:$L$122)+SUMIF('By Board'!$E$3:$E$122,"=2",'By Board'!$M$3:$M$122)</f>
        <v/>
      </c>
    </row>
    <row r="4">
      <c r="A4" t="n">
        <v>3</v>
      </c>
      <c r="B4" t="inlineStr">
        <is>
          <t>PH17</t>
        </is>
      </c>
      <c r="C4" t="inlineStr">
        <is>
          <t>PH78</t>
        </is>
      </c>
      <c r="D4" s="4">
        <f>SUMIF('By Board'!$D$3:$D$122,"=3",'By Board'!$L$3:$L$122)+SUMIF('By Board'!$E$3:$E$122,"=3",'By Board'!$M$3:$M$122)</f>
        <v/>
      </c>
    </row>
    <row r="5">
      <c r="A5" t="n">
        <v>4</v>
      </c>
      <c r="B5" t="inlineStr">
        <is>
          <t>PH76</t>
        </is>
      </c>
      <c r="C5" t="inlineStr">
        <is>
          <t>PH11</t>
        </is>
      </c>
      <c r="D5" s="4">
        <f>SUMIF('By Board'!$D$3:$D$122,"=4",'By Board'!$L$3:$L$122)+SUMIF('By Board'!$E$3:$E$122,"=4",'By Board'!$M$3:$M$122)</f>
        <v/>
      </c>
    </row>
    <row r="6">
      <c r="A6" t="n">
        <v>5</v>
      </c>
      <c r="B6" t="inlineStr">
        <is>
          <t>PH84</t>
        </is>
      </c>
      <c r="C6" t="inlineStr">
        <is>
          <t>PH44</t>
        </is>
      </c>
      <c r="D6" s="4">
        <f>SUMIF('By Board'!$D$3:$D$122,"=5",'By Board'!$L$3:$L$122)+SUMIF('By Board'!$E$3:$E$122,"=5",'By Board'!$M$3:$M$122)</f>
        <v/>
      </c>
    </row>
    <row r="7">
      <c r="A7" t="n">
        <v>6</v>
      </c>
      <c r="B7" t="inlineStr">
        <is>
          <t>PH97</t>
        </is>
      </c>
      <c r="C7" t="inlineStr">
        <is>
          <t>PH93</t>
        </is>
      </c>
      <c r="D7" s="4">
        <f>SUMIF('By Board'!$D$3:$D$122,"=6",'By Board'!$L$3:$L$122)+SUMIF('By Board'!$E$3:$E$122,"=6",'By Board'!$M$3:$M$122)</f>
        <v/>
      </c>
    </row>
    <row r="8">
      <c r="A8" t="n">
        <v>7</v>
      </c>
      <c r="B8" t="inlineStr">
        <is>
          <t>PH29</t>
        </is>
      </c>
      <c r="C8" t="inlineStr">
        <is>
          <t>PH82</t>
        </is>
      </c>
      <c r="D8" s="4">
        <f>SUMIF('By Board'!$D$3:$D$122,"=7",'By Board'!$L$3:$L$122)+SUMIF('By Board'!$E$3:$E$122,"=7",'By Board'!$M$3:$M$122)</f>
        <v/>
      </c>
    </row>
    <row r="9">
      <c r="A9" t="n">
        <v>8</v>
      </c>
      <c r="B9" t="inlineStr">
        <is>
          <t>PH98</t>
        </is>
      </c>
      <c r="C9" t="inlineStr">
        <is>
          <t>PH92</t>
        </is>
      </c>
      <c r="D9" s="4">
        <f>SUMIF('By Board'!$D$3:$D$122,"=8",'By Board'!$L$3:$L$122)+SUMIF('By Board'!$E$3:$E$122,"=8",'By Board'!$M$3:$M$122)</f>
        <v/>
      </c>
    </row>
    <row r="10">
      <c r="A10" t="n">
        <v>9</v>
      </c>
      <c r="B10" t="inlineStr">
        <is>
          <t>PH46</t>
        </is>
      </c>
      <c r="C10" t="inlineStr">
        <is>
          <t>PH46</t>
        </is>
      </c>
      <c r="D10" s="4">
        <f>SUMIF('By Board'!$D$3:$D$122,"=9",'By Board'!$L$3:$L$122)+SUMIF('By Board'!$E$3:$E$122,"=9",'By Board'!$M$3:$M$122)</f>
        <v/>
      </c>
    </row>
    <row r="11">
      <c r="A11" t="n">
        <v>10</v>
      </c>
      <c r="B11" t="inlineStr">
        <is>
          <t>PH32</t>
        </is>
      </c>
      <c r="C11" t="inlineStr">
        <is>
          <t>PH71</t>
        </is>
      </c>
      <c r="D11" s="4">
        <f>SUMIF('By Board'!$D$3:$D$122,"=10",'By Board'!$L$3:$L$122)+SUMIF('By Board'!$E$3:$E$122,"=10",'By Board'!$M$3:$M$122)</f>
        <v/>
      </c>
    </row>
    <row r="12">
      <c r="A12" t="n">
        <v>11</v>
      </c>
      <c r="B12" t="inlineStr">
        <is>
          <t>PH41</t>
        </is>
      </c>
      <c r="C12" t="inlineStr">
        <is>
          <t>PH62</t>
        </is>
      </c>
      <c r="D12" s="4">
        <f>SUMIF('By Board'!$D$3:$D$122,"=11",'By Board'!$L$3:$L$122)+SUMIF('By Board'!$E$3:$E$122,"=11",'By Board'!$M$3:$M$122)</f>
        <v/>
      </c>
    </row>
    <row r="13">
      <c r="C13" s="5" t="inlineStr">
        <is>
          <t>Sum to Zero</t>
        </is>
      </c>
      <c r="D13" s="6">
        <f>SUM(D2:D12)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U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IFERROR(AVERAGE(P3:T3),"")</f>
        <v/>
      </c>
      <c r="M3" s="4">
        <f>IFERROR(AVERAGE(U3:Y3),"")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IF(AND(ISNUMBER(O3),ISNUMBER(O4)),VLOOKUP(ABS(O3-O4),'IMP Table'!$A$2:$C$26,3)*SIGN(O3-O4),"")</f>
        <v/>
      </c>
      <c r="V3">
        <f>IF(AND(ISNUMBER(O3),ISNUMBER(O5)),VLOOKUP(ABS(O3-O5),'IMP Table'!$A$2:$C$26,3)*SIGN(O3-O5),"")</f>
        <v/>
      </c>
      <c r="W3">
        <f>IF(AND(ISNUMBER(O3),ISNUMBER(O6)),VLOOKUP(ABS(O3-O6),'IMP Table'!$A$2:$C$26,3)*SIGN(O3-O6),"")</f>
        <v/>
      </c>
      <c r="X3">
        <f>IF(AND(ISNUMBER(O3),ISNUMBER(O7)),VLOOKUP(ABS(O3-O7),'IMP Table'!$A$2:$C$26,3)*SIGN(O3-O7),"")</f>
        <v/>
      </c>
      <c r="Y3">
        <f>IF(AND(ISNUMBER(O3),ISNUMBER(O8)),VLOOKUP(ABS(O3-O8),'IMP Table'!$A$2:$C$26,3)*SIGN(O3-O8),"")</f>
        <v/>
      </c>
    </row>
    <row r="4">
      <c r="B4">
        <f>'By Round'!A26</f>
        <v/>
      </c>
      <c r="C4">
        <f>'By Round'!B36</f>
        <v/>
      </c>
      <c r="D4">
        <f>'By Round'!C36</f>
        <v/>
      </c>
      <c r="E4">
        <f>'By Round'!D36</f>
        <v/>
      </c>
      <c r="F4" s="10" t="inlineStr">
        <is>
          <t>None</t>
        </is>
      </c>
      <c r="G4">
        <f>'By Round'!G36</f>
        <v/>
      </c>
      <c r="H4">
        <f>'By Round'!H36</f>
        <v/>
      </c>
      <c r="I4">
        <f>'By Round'!I36</f>
        <v/>
      </c>
      <c r="J4">
        <f>'By Round'!J36</f>
        <v/>
      </c>
      <c r="K4">
        <f>'By Round'!K36</f>
        <v/>
      </c>
      <c r="L4" s="11">
        <f>IFERROR(AVERAGE(P4:T4),"")</f>
        <v/>
      </c>
      <c r="M4" s="4">
        <f>IFERROR(AVERAGE(U4:Y4),"")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IF(AND(ISNUMBER(O4),ISNUMBER(O3)),VLOOKUP(ABS(O4-O3),'IMP Table'!$A$2:$C$26,3)*SIGN(O4-O3),"")</f>
        <v/>
      </c>
      <c r="V4">
        <f>IF(AND(ISNUMBER(O4),ISNUMBER(O5)),VLOOKUP(ABS(O4-O5),'IMP Table'!$A$2:$C$26,3)*SIGN(O4-O5),"")</f>
        <v/>
      </c>
      <c r="W4">
        <f>IF(AND(ISNUMBER(O4),ISNUMBER(O6)),VLOOKUP(ABS(O4-O6),'IMP Table'!$A$2:$C$26,3)*SIGN(O4-O6),"")</f>
        <v/>
      </c>
      <c r="X4">
        <f>IF(AND(ISNUMBER(O4),ISNUMBER(O7)),VLOOKUP(ABS(O4-O7),'IMP Table'!$A$2:$C$26,3)*SIGN(O4-O7),"")</f>
        <v/>
      </c>
      <c r="Y4">
        <f>IF(AND(ISNUMBER(O4),ISNUMBER(O8)),VLOOKUP(ABS(O4-O8),'IMP Table'!$A$2:$C$26,3)*SIGN(O4-O8),"")</f>
        <v/>
      </c>
    </row>
    <row r="5">
      <c r="B5">
        <f>'By Round'!A38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IFERROR(AVERAGE(P5:T5),"")</f>
        <v/>
      </c>
      <c r="M5" s="4">
        <f>IFERROR(AVERAGE(U5:Y5),"")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IF(AND(ISNUMBER(O5),ISNUMBER(O3)),VLOOKUP(ABS(O5-O3),'IMP Table'!$A$2:$C$26,3)*SIGN(O5-O3),"")</f>
        <v/>
      </c>
      <c r="V5">
        <f>IF(AND(ISNUMBER(O5),ISNUMBER(O4)),VLOOKUP(ABS(O5-O4),'IMP Table'!$A$2:$C$26,3)*SIGN(O5-O4),"")</f>
        <v/>
      </c>
      <c r="W5">
        <f>IF(AND(ISNUMBER(O5),ISNUMBER(O6)),VLOOKUP(ABS(O5-O6),'IMP Table'!$A$2:$C$26,3)*SIGN(O5-O6),"")</f>
        <v/>
      </c>
      <c r="X5">
        <f>IF(AND(ISNUMBER(O5),ISNUMBER(O7)),VLOOKUP(ABS(O5-O7),'IMP Table'!$A$2:$C$26,3)*SIGN(O5-O7),"")</f>
        <v/>
      </c>
      <c r="Y5">
        <f>IF(AND(ISNUMBER(O5),ISNUMBER(O8)),VLOOKUP(ABS(O5-O8),'IMP Table'!$A$2:$C$26,3)*SIGN(O5-O8),"")</f>
        <v/>
      </c>
    </row>
    <row r="6">
      <c r="B6">
        <f>'By Round'!A50</f>
        <v/>
      </c>
      <c r="C6">
        <f>'By Round'!B56</f>
        <v/>
      </c>
      <c r="D6">
        <f>'By Round'!C56</f>
        <v/>
      </c>
      <c r="E6">
        <f>'By Round'!D56</f>
        <v/>
      </c>
      <c r="F6" s="10" t="inlineStr">
        <is>
          <t>None</t>
        </is>
      </c>
      <c r="G6">
        <f>'By Round'!G56</f>
        <v/>
      </c>
      <c r="H6">
        <f>'By Round'!H56</f>
        <v/>
      </c>
      <c r="I6">
        <f>'By Round'!I56</f>
        <v/>
      </c>
      <c r="J6">
        <f>'By Round'!J56</f>
        <v/>
      </c>
      <c r="K6">
        <f>'By Round'!K56</f>
        <v/>
      </c>
      <c r="L6" s="11">
        <f>IFERROR(AVERAGE(P6:T6),"")</f>
        <v/>
      </c>
      <c r="M6" s="4">
        <f>IFERROR(AVERAGE(U6:Y6),"")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IF(AND(ISNUMBER(O6),ISNUMBER(O3)),VLOOKUP(ABS(O6-O3),'IMP Table'!$A$2:$C$26,3)*SIGN(O6-O3),"")</f>
        <v/>
      </c>
      <c r="V6">
        <f>IF(AND(ISNUMBER(O6),ISNUMBER(O4)),VLOOKUP(ABS(O6-O4),'IMP Table'!$A$2:$C$26,3)*SIGN(O6-O4),"")</f>
        <v/>
      </c>
      <c r="W6">
        <f>IF(AND(ISNUMBER(O6),ISNUMBER(O5)),VLOOKUP(ABS(O6-O5),'IMP Table'!$A$2:$C$26,3)*SIGN(O6-O5),"")</f>
        <v/>
      </c>
      <c r="X6">
        <f>IF(AND(ISNUMBER(O6),ISNUMBER(O7)),VLOOKUP(ABS(O6-O7),'IMP Table'!$A$2:$C$26,3)*SIGN(O6-O7),"")</f>
        <v/>
      </c>
      <c r="Y6">
        <f>IF(AND(ISNUMBER(O6),ISNUMBER(O8)),VLOOKUP(ABS(O6-O8),'IMP Table'!$A$2:$C$26,3)*SIGN(O6-O8),"")</f>
        <v/>
      </c>
    </row>
    <row r="7">
      <c r="B7">
        <f>'By Round'!A74</f>
        <v/>
      </c>
      <c r="C7">
        <f>'By Round'!B78</f>
        <v/>
      </c>
      <c r="D7">
        <f>'By Round'!C78</f>
        <v/>
      </c>
      <c r="E7">
        <f>'By Round'!D78</f>
        <v/>
      </c>
      <c r="F7" s="10" t="inlineStr">
        <is>
          <t>None</t>
        </is>
      </c>
      <c r="G7">
        <f>'By Round'!G78</f>
        <v/>
      </c>
      <c r="H7">
        <f>'By Round'!H78</f>
        <v/>
      </c>
      <c r="I7">
        <f>'By Round'!I78</f>
        <v/>
      </c>
      <c r="J7">
        <f>'By Round'!J78</f>
        <v/>
      </c>
      <c r="K7">
        <f>'By Round'!K78</f>
        <v/>
      </c>
      <c r="L7" s="11">
        <f>IFERROR(AVERAGE(P7:T7),"")</f>
        <v/>
      </c>
      <c r="M7" s="4">
        <f>IFERROR(AVERAGE(U7:Y7),"")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IF(AND(ISNUMBER(O7),ISNUMBER(O3)),VLOOKUP(ABS(O7-O3),'IMP Table'!$A$2:$C$26,3)*SIGN(O7-O3),"")</f>
        <v/>
      </c>
      <c r="V7">
        <f>IF(AND(ISNUMBER(O7),ISNUMBER(O4)),VLOOKUP(ABS(O7-O4),'IMP Table'!$A$2:$C$26,3)*SIGN(O7-O4),"")</f>
        <v/>
      </c>
      <c r="W7">
        <f>IF(AND(ISNUMBER(O7),ISNUMBER(O5)),VLOOKUP(ABS(O7-O5),'IMP Table'!$A$2:$C$26,3)*SIGN(O7-O5),"")</f>
        <v/>
      </c>
      <c r="X7">
        <f>IF(AND(ISNUMBER(O7),ISNUMBER(O6)),VLOOKUP(ABS(O7-O6),'IMP Table'!$A$2:$C$26,3)*SIGN(O7-O6),"")</f>
        <v/>
      </c>
      <c r="Y7">
        <f>IF(AND(ISNUMBER(O7),ISNUMBER(O8)),VLOOKUP(ABS(O7-O8),'IMP Table'!$A$2:$C$26,3)*SIGN(O7-O8),"")</f>
        <v/>
      </c>
    </row>
    <row r="8">
      <c r="B8">
        <f>'By Round'!A86</f>
        <v/>
      </c>
      <c r="C8">
        <f>'By Round'!B88</f>
        <v/>
      </c>
      <c r="D8">
        <f>'By Round'!C88</f>
        <v/>
      </c>
      <c r="E8">
        <f>'By Round'!D88</f>
        <v/>
      </c>
      <c r="F8" s="10" t="inlineStr">
        <is>
          <t>None</t>
        </is>
      </c>
      <c r="G8">
        <f>'By Round'!G88</f>
        <v/>
      </c>
      <c r="H8">
        <f>'By Round'!H88</f>
        <v/>
      </c>
      <c r="I8">
        <f>'By Round'!I88</f>
        <v/>
      </c>
      <c r="J8">
        <f>'By Round'!J88</f>
        <v/>
      </c>
      <c r="K8">
        <f>'By Round'!K88</f>
        <v/>
      </c>
      <c r="L8" s="11">
        <f>IFERROR(AVERAGE(P8:T8),"")</f>
        <v/>
      </c>
      <c r="M8" s="4">
        <f>IFERROR(AVERAGE(U8:Y8),"")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IF(AND(ISNUMBER(O8),ISNUMBER(O3)),VLOOKUP(ABS(O8-O3),'IMP Table'!$A$2:$C$26,3)*SIGN(O8-O3),"")</f>
        <v/>
      </c>
      <c r="V8">
        <f>IF(AND(ISNUMBER(O8),ISNUMBER(O4)),VLOOKUP(ABS(O8-O4),'IMP Table'!$A$2:$C$26,3)*SIGN(O8-O4),"")</f>
        <v/>
      </c>
      <c r="W8">
        <f>IF(AND(ISNUMBER(O8),ISNUMBER(O5)),VLOOKUP(ABS(O8-O5),'IMP Table'!$A$2:$C$26,3)*SIGN(O8-O5),"")</f>
        <v/>
      </c>
      <c r="X8">
        <f>IF(AND(ISNUMBER(O8),ISNUMBER(O6)),VLOOKUP(ABS(O8-O6),'IMP Table'!$A$2:$C$26,3)*SIGN(O8-O6),"")</f>
        <v/>
      </c>
      <c r="Y8">
        <f>IF(AND(ISNUMBER(O8),ISNUMBER(O7)),VLOOKUP(ABS(O8-O7),'IMP Table'!$A$2:$C$26,3)*SIGN(O8-O7),"")</f>
        <v/>
      </c>
    </row>
    <row r="9">
      <c r="A9" t="n">
        <v>2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NS</t>
        </is>
      </c>
      <c r="G9">
        <f>'By Round'!G3</f>
        <v/>
      </c>
      <c r="H9">
        <f>'By Round'!H3</f>
        <v/>
      </c>
      <c r="I9">
        <f>'By Round'!I3</f>
        <v/>
      </c>
      <c r="J9">
        <f>'By Round'!J3</f>
        <v/>
      </c>
      <c r="K9">
        <f>'By Round'!K3</f>
        <v/>
      </c>
      <c r="L9" s="11">
        <f>IFERROR(AVERAGE(P9:T9),"")</f>
        <v/>
      </c>
      <c r="M9" s="4">
        <f>IFERROR(AVERAGE(U9:Y9),"")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IF(AND(ISNUMBER(N9),ISNUMBER(N12)),VLOOKUP(ABS(N9-N12),'IMP Table'!$A$2:$C$26,3)*SIGN(N9-N12),"")</f>
        <v/>
      </c>
      <c r="S9">
        <f>IF(AND(ISNUMBER(N9),ISNUMBER(N13)),VLOOKUP(ABS(N9-N13),'IMP Table'!$A$2:$C$26,3)*SIGN(N9-N13),"")</f>
        <v/>
      </c>
      <c r="T9">
        <f>IF(AND(ISNUMBER(N9),ISNUMBER(N14)),VLOOKUP(ABS(N9-N14),'IMP Table'!$A$2:$C$26,3)*SIGN(N9-N14),"")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  <c r="X9">
        <f>IF(AND(ISNUMBER(O9),ISNUMBER(O13)),VLOOKUP(ABS(O9-O13),'IMP Table'!$A$2:$C$26,3)*SIGN(O9-O13),"")</f>
        <v/>
      </c>
      <c r="Y9">
        <f>IF(AND(ISNUMBER(O9),ISNUMBER(O14)),VLOOKUP(ABS(O9-O14),'IMP Table'!$A$2:$C$26,3)*SIGN(O9-O14),"")</f>
        <v/>
      </c>
    </row>
    <row r="10">
      <c r="B10">
        <f>'By Round'!A26</f>
        <v/>
      </c>
      <c r="C10">
        <f>'By Round'!B36</f>
        <v/>
      </c>
      <c r="D10">
        <f>'By Round'!C36</f>
        <v/>
      </c>
      <c r="E10">
        <f>'By Round'!D36</f>
        <v/>
      </c>
      <c r="F10" s="10" t="inlineStr">
        <is>
          <t>NS</t>
        </is>
      </c>
      <c r="G10">
        <f>'By Round'!G37</f>
        <v/>
      </c>
      <c r="H10">
        <f>'By Round'!H37</f>
        <v/>
      </c>
      <c r="I10">
        <f>'By Round'!I37</f>
        <v/>
      </c>
      <c r="J10">
        <f>'By Round'!J37</f>
        <v/>
      </c>
      <c r="K10">
        <f>'By Round'!K37</f>
        <v/>
      </c>
      <c r="L10" s="11">
        <f>IFERROR(AVERAGE(P10:T10),"")</f>
        <v/>
      </c>
      <c r="M10" s="4">
        <f>IFERROR(AVERAGE(U10:Y10),"")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IF(AND(ISNUMBER(N10),ISNUMBER(N12)),VLOOKUP(ABS(N10-N12),'IMP Table'!$A$2:$C$26,3)*SIGN(N10-N12),"")</f>
        <v/>
      </c>
      <c r="S10">
        <f>IF(AND(ISNUMBER(N10),ISNUMBER(N13)),VLOOKUP(ABS(N10-N13),'IMP Table'!$A$2:$C$26,3)*SIGN(N10-N13),"")</f>
        <v/>
      </c>
      <c r="T10">
        <f>IF(AND(ISNUMBER(N10),ISNUMBER(N14)),VLOOKUP(ABS(N10-N14),'IMP Table'!$A$2:$C$26,3)*SIGN(N10-N14),"")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</row>
    <row r="11">
      <c r="B11">
        <f>'By Round'!A38</f>
        <v/>
      </c>
      <c r="C11">
        <f>'By Round'!B46</f>
        <v/>
      </c>
      <c r="D11">
        <f>'By Round'!C46</f>
        <v/>
      </c>
      <c r="E11">
        <f>'By Round'!D46</f>
        <v/>
      </c>
      <c r="F11" s="10" t="inlineStr">
        <is>
          <t>NS</t>
        </is>
      </c>
      <c r="G11">
        <f>'By Round'!G47</f>
        <v/>
      </c>
      <c r="H11">
        <f>'By Round'!H47</f>
        <v/>
      </c>
      <c r="I11">
        <f>'By Round'!I47</f>
        <v/>
      </c>
      <c r="J11">
        <f>'By Round'!J47</f>
        <v/>
      </c>
      <c r="K11">
        <f>'By Round'!K47</f>
        <v/>
      </c>
      <c r="L11" s="11">
        <f>IFERROR(AVERAGE(P11:T11),"")</f>
        <v/>
      </c>
      <c r="M11" s="4">
        <f>IFERROR(AVERAGE(U11:Y11),"")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IF(AND(ISNUMBER(N11),ISNUMBER(N12)),VLOOKUP(ABS(N11-N12),'IMP Table'!$A$2:$C$26,3)*SIGN(N11-N12),"")</f>
        <v/>
      </c>
      <c r="S11">
        <f>IF(AND(ISNUMBER(N11),ISNUMBER(N13)),VLOOKUP(ABS(N11-N13),'IMP Table'!$A$2:$C$26,3)*SIGN(N11-N13),"")</f>
        <v/>
      </c>
      <c r="T11">
        <f>IF(AND(ISNUMBER(N11),ISNUMBER(N14)),VLOOKUP(ABS(N11-N14),'IMP Table'!$A$2:$C$26,3)*SIGN(N11-N14),"")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</row>
    <row r="12">
      <c r="B12">
        <f>'By Round'!A50</f>
        <v/>
      </c>
      <c r="C12">
        <f>'By Round'!B56</f>
        <v/>
      </c>
      <c r="D12">
        <f>'By Round'!C56</f>
        <v/>
      </c>
      <c r="E12">
        <f>'By Round'!D56</f>
        <v/>
      </c>
      <c r="F12" s="10" t="inlineStr">
        <is>
          <t>NS</t>
        </is>
      </c>
      <c r="G12">
        <f>'By Round'!G57</f>
        <v/>
      </c>
      <c r="H12">
        <f>'By Round'!H57</f>
        <v/>
      </c>
      <c r="I12">
        <f>'By Round'!I57</f>
        <v/>
      </c>
      <c r="J12">
        <f>'By Round'!J57</f>
        <v/>
      </c>
      <c r="K12">
        <f>'By Round'!K57</f>
        <v/>
      </c>
      <c r="L12" s="11">
        <f>IFERROR(AVERAGE(P12:T12),"")</f>
        <v/>
      </c>
      <c r="M12" s="4">
        <f>IFERROR(AVERAGE(U12:Y12),"")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IF(AND(ISNUMBER(N12),ISNUMBER(N9)),VLOOKUP(ABS(N12-N9),'IMP Table'!$A$2:$C$26,3)*SIGN(N12-N9),"")</f>
        <v/>
      </c>
      <c r="Q12">
        <f>IF(AND(ISNUMBER(N12),ISNUMBER(N10)),VLOOKUP(ABS(N12-N10),'IMP Table'!$A$2:$C$26,3)*SIGN(N12-N10),"")</f>
        <v/>
      </c>
      <c r="R12">
        <f>IF(AND(ISNUMBER(N12),ISNUMBER(N11)),VLOOKUP(ABS(N12-N11),'IMP Table'!$A$2:$C$26,3)*SIGN(N12-N11),"")</f>
        <v/>
      </c>
      <c r="S12">
        <f>IF(AND(ISNUMBER(N12),ISNUMBER(N13)),VLOOKUP(ABS(N12-N13),'IMP Table'!$A$2:$C$26,3)*SIGN(N12-N13),"")</f>
        <v/>
      </c>
      <c r="T12">
        <f>IF(AND(ISNUMBER(N12),ISNUMBER(N14)),VLOOKUP(ABS(N12-N14),'IMP Table'!$A$2:$C$26,3)*SIGN(N12-N14),"")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</row>
    <row r="13">
      <c r="B13">
        <f>'By Round'!A74</f>
        <v/>
      </c>
      <c r="C13">
        <f>'By Round'!B78</f>
        <v/>
      </c>
      <c r="D13">
        <f>'By Round'!C78</f>
        <v/>
      </c>
      <c r="E13">
        <f>'By Round'!D78</f>
        <v/>
      </c>
      <c r="F13" s="10" t="inlineStr">
        <is>
          <t>NS</t>
        </is>
      </c>
      <c r="G13">
        <f>'By Round'!G79</f>
        <v/>
      </c>
      <c r="H13">
        <f>'By Round'!H79</f>
        <v/>
      </c>
      <c r="I13">
        <f>'By Round'!I79</f>
        <v/>
      </c>
      <c r="J13">
        <f>'By Round'!J79</f>
        <v/>
      </c>
      <c r="K13">
        <f>'By Round'!K79</f>
        <v/>
      </c>
      <c r="L13" s="11">
        <f>IFERROR(AVERAGE(P13:T13),"")</f>
        <v/>
      </c>
      <c r="M13" s="4">
        <f>IFERROR(AVERAGE(U13:Y13),"")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IF(AND(ISNUMBER(N13),ISNUMBER(N9)),VLOOKUP(ABS(N13-N9),'IMP Table'!$A$2:$C$26,3)*SIGN(N13-N9),"")</f>
        <v/>
      </c>
      <c r="Q13">
        <f>IF(AND(ISNUMBER(N13),ISNUMBER(N10)),VLOOKUP(ABS(N13-N10),'IMP Table'!$A$2:$C$26,3)*SIGN(N13-N10),"")</f>
        <v/>
      </c>
      <c r="R13">
        <f>IF(AND(ISNUMBER(N13),ISNUMBER(N11)),VLOOKUP(ABS(N13-N11),'IMP Table'!$A$2:$C$26,3)*SIGN(N13-N11),"")</f>
        <v/>
      </c>
      <c r="S13">
        <f>IF(AND(ISNUMBER(N13),ISNUMBER(N12)),VLOOKUP(ABS(N13-N12),'IMP Table'!$A$2:$C$26,3)*SIGN(N13-N12),"")</f>
        <v/>
      </c>
      <c r="T13">
        <f>IF(AND(ISNUMBER(N13),ISNUMBER(N14)),VLOOKUP(ABS(N13-N14),'IMP Table'!$A$2:$C$26,3)*SIGN(N13-N14),"")</f>
        <v/>
      </c>
      <c r="U13">
        <f>IF(AND(ISNUMBER(O13),ISNUMBER(O9)),VLOOKUP(ABS(O13-O9),'IMP Table'!$A$2:$C$26,3)*SIGN(O13-O9),"")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</row>
    <row r="14">
      <c r="B14">
        <f>'By Round'!A86</f>
        <v/>
      </c>
      <c r="C14">
        <f>'By Round'!B88</f>
        <v/>
      </c>
      <c r="D14">
        <f>'By Round'!C88</f>
        <v/>
      </c>
      <c r="E14">
        <f>'By Round'!D88</f>
        <v/>
      </c>
      <c r="F14" s="10" t="inlineStr">
        <is>
          <t>NS</t>
        </is>
      </c>
      <c r="G14">
        <f>'By Round'!G89</f>
        <v/>
      </c>
      <c r="H14">
        <f>'By Round'!H89</f>
        <v/>
      </c>
      <c r="I14">
        <f>'By Round'!I89</f>
        <v/>
      </c>
      <c r="J14">
        <f>'By Round'!J89</f>
        <v/>
      </c>
      <c r="K14">
        <f>'By Round'!K89</f>
        <v/>
      </c>
      <c r="L14" s="11">
        <f>IFERROR(AVERAGE(P14:T14),"")</f>
        <v/>
      </c>
      <c r="M14" s="4">
        <f>IFERROR(AVERAGE(U14:Y14),"")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IF(AND(ISNUMBER(N14),ISNUMBER(N9)),VLOOKUP(ABS(N14-N9),'IMP Table'!$A$2:$C$26,3)*SIGN(N14-N9),"")</f>
        <v/>
      </c>
      <c r="Q14">
        <f>IF(AND(ISNUMBER(N14),ISNUMBER(N10)),VLOOKUP(ABS(N14-N10),'IMP Table'!$A$2:$C$26,3)*SIGN(N14-N10),"")</f>
        <v/>
      </c>
      <c r="R14">
        <f>IF(AND(ISNUMBER(N14),ISNUMBER(N11)),VLOOKUP(ABS(N14-N11),'IMP Table'!$A$2:$C$26,3)*SIGN(N14-N11),"")</f>
        <v/>
      </c>
      <c r="S14">
        <f>IF(AND(ISNUMBER(N14),ISNUMBER(N12)),VLOOKUP(ABS(N14-N12),'IMP Table'!$A$2:$C$26,3)*SIGN(N14-N12),"")</f>
        <v/>
      </c>
      <c r="T14">
        <f>IF(AND(ISNUMBER(N14),ISNUMBER(N13)),VLOOKUP(ABS(N14-N13),'IMP Table'!$A$2:$C$26,3)*SIGN(N14-N13),"")</f>
        <v/>
      </c>
      <c r="U14">
        <f>IF(AND(ISNUMBER(O14),ISNUMBER(O9)),VLOOKUP(ABS(O14-O9),'IMP Table'!$A$2:$C$26,3)*SIGN(O14-O9),"")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</row>
    <row r="15">
      <c r="A15" t="n">
        <v>3</v>
      </c>
      <c r="B15">
        <f>'By Round'!A14</f>
        <v/>
      </c>
      <c r="C15">
        <f>'By Round'!B14</f>
        <v/>
      </c>
      <c r="D15">
        <f>'By Round'!C14</f>
        <v/>
      </c>
      <c r="E15">
        <f>'By Round'!D14</f>
        <v/>
      </c>
      <c r="F15" s="10" t="inlineStr">
        <is>
          <t>EW</t>
        </is>
      </c>
      <c r="G15">
        <f>'By Round'!G14</f>
        <v/>
      </c>
      <c r="H15">
        <f>'By Round'!H14</f>
        <v/>
      </c>
      <c r="I15">
        <f>'By Round'!I14</f>
        <v/>
      </c>
      <c r="J15">
        <f>'By Round'!J14</f>
        <v/>
      </c>
      <c r="K15">
        <f>'By Round'!K14</f>
        <v/>
      </c>
      <c r="L15" s="11">
        <f>IFERROR(AVERAGE(P15:T15),"")</f>
        <v/>
      </c>
      <c r="M15" s="4">
        <f>IFERROR(AVERAGE(U15:Y15),"")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IF(AND(ISNUMBER(N15),ISNUMBER(N19)),VLOOKUP(ABS(N15-N19),'IMP Table'!$A$2:$C$26,3)*SIGN(N15-N19),"")</f>
        <v/>
      </c>
      <c r="T15">
        <f>IF(AND(ISNUMBER(N15),ISNUMBER(N20)),VLOOKUP(ABS(N15-N20),'IMP Table'!$A$2:$C$26,3)*SIGN(N15-N20),"")</f>
        <v/>
      </c>
      <c r="U15">
        <f>IF(AND(ISNUMBER(O15),ISNUMBER(O16)),VLOOKUP(ABS(O15-O16),'IMP Table'!$A$2:$C$26,3)*SIGN(O15-O16),"")</f>
        <v/>
      </c>
      <c r="V15">
        <f>IF(AND(ISNUMBER(O15),ISNUMBER(O17)),VLOOKUP(ABS(O15-O17),'IMP Table'!$A$2:$C$26,3)*SIGN(O15-O17),"")</f>
        <v/>
      </c>
      <c r="W15">
        <f>IF(AND(ISNUMBER(O15),ISNUMBER(O18)),VLOOKUP(ABS(O15-O18),'IMP Table'!$A$2:$C$26,3)*SIGN(O15-O18),"")</f>
        <v/>
      </c>
      <c r="X15">
        <f>IF(AND(ISNUMBER(O15),ISNUMBER(O19)),VLOOKUP(ABS(O15-O19),'IMP Table'!$A$2:$C$26,3)*SIGN(O15-O19),"")</f>
        <v/>
      </c>
      <c r="Y15">
        <f>IF(AND(ISNUMBER(O15),ISNUMBER(O20)),VLOOKUP(ABS(O15-O20),'IMP Table'!$A$2:$C$26,3)*SIGN(O15-O20),"")</f>
        <v/>
      </c>
    </row>
    <row r="16">
      <c r="B16">
        <f>'By Round'!A38</f>
        <v/>
      </c>
      <c r="C16">
        <f>'By Round'!B48</f>
        <v/>
      </c>
      <c r="D16">
        <f>'By Round'!C48</f>
        <v/>
      </c>
      <c r="E16">
        <f>'By Round'!D48</f>
        <v/>
      </c>
      <c r="F16" s="10" t="inlineStr">
        <is>
          <t>EW</t>
        </is>
      </c>
      <c r="G16">
        <f>'By Round'!G48</f>
        <v/>
      </c>
      <c r="H16">
        <f>'By Round'!H48</f>
        <v/>
      </c>
      <c r="I16">
        <f>'By Round'!I48</f>
        <v/>
      </c>
      <c r="J16">
        <f>'By Round'!J48</f>
        <v/>
      </c>
      <c r="K16">
        <f>'By Round'!K48</f>
        <v/>
      </c>
      <c r="L16" s="11">
        <f>IFERROR(AVERAGE(P16:T16),"")</f>
        <v/>
      </c>
      <c r="M16" s="4">
        <f>IFERROR(AVERAGE(U16:Y16),"")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IF(AND(ISNUMBER(N16),ISNUMBER(N19)),VLOOKUP(ABS(N16-N19),'IMP Table'!$A$2:$C$26,3)*SIGN(N16-N19),"")</f>
        <v/>
      </c>
      <c r="T16">
        <f>IF(AND(ISNUMBER(N16),ISNUMBER(N20)),VLOOKUP(ABS(N16-N20),'IMP Table'!$A$2:$C$26,3)*SIGN(N16-N20),"")</f>
        <v/>
      </c>
      <c r="U16">
        <f>IF(AND(ISNUMBER(O16),ISNUMBER(O15)),VLOOKUP(ABS(O16-O15),'IMP Table'!$A$2:$C$26,3)*SIGN(O16-O15),"")</f>
        <v/>
      </c>
      <c r="V16">
        <f>IF(AND(ISNUMBER(O16),ISNUMBER(O17)),VLOOKUP(ABS(O16-O17),'IMP Table'!$A$2:$C$26,3)*SIGN(O16-O17),"")</f>
        <v/>
      </c>
      <c r="W16">
        <f>IF(AND(ISNUMBER(O16),ISNUMBER(O18)),VLOOKUP(ABS(O16-O18),'IMP Table'!$A$2:$C$26,3)*SIGN(O16-O18),"")</f>
        <v/>
      </c>
      <c r="X16">
        <f>IF(AND(ISNUMBER(O16),ISNUMBER(O19)),VLOOKUP(ABS(O16-O19),'IMP Table'!$A$2:$C$26,3)*SIGN(O16-O19),"")</f>
        <v/>
      </c>
      <c r="Y16">
        <f>IF(AND(ISNUMBER(O16),ISNUMBER(O20)),VLOOKUP(ABS(O16-O20),'IMP Table'!$A$2:$C$26,3)*SIGN(O16-O20),"")</f>
        <v/>
      </c>
    </row>
    <row r="17">
      <c r="B17">
        <f>'By Round'!A50</f>
        <v/>
      </c>
      <c r="C17">
        <f>'By Round'!B58</f>
        <v/>
      </c>
      <c r="D17">
        <f>'By Round'!C58</f>
        <v/>
      </c>
      <c r="E17">
        <f>'By Round'!D58</f>
        <v/>
      </c>
      <c r="F17" s="10" t="inlineStr">
        <is>
          <t>EW</t>
        </is>
      </c>
      <c r="G17">
        <f>'By Round'!G58</f>
        <v/>
      </c>
      <c r="H17">
        <f>'By Round'!H58</f>
        <v/>
      </c>
      <c r="I17">
        <f>'By Round'!I58</f>
        <v/>
      </c>
      <c r="J17">
        <f>'By Round'!J58</f>
        <v/>
      </c>
      <c r="K17">
        <f>'By Round'!K58</f>
        <v/>
      </c>
      <c r="L17" s="11">
        <f>IFERROR(AVERAGE(P17:T17),"")</f>
        <v/>
      </c>
      <c r="M17" s="4">
        <f>IFERROR(AVERAGE(U17:Y17),"")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IF(AND(ISNUMBER(N17),ISNUMBER(N19)),VLOOKUP(ABS(N17-N19),'IMP Table'!$A$2:$C$26,3)*SIGN(N17-N19),"")</f>
        <v/>
      </c>
      <c r="T17">
        <f>IF(AND(ISNUMBER(N17),ISNUMBER(N20)),VLOOKUP(ABS(N17-N20),'IMP Table'!$A$2:$C$26,3)*SIGN(N17-N20),"")</f>
        <v/>
      </c>
      <c r="U17">
        <f>IF(AND(ISNUMBER(O17),ISNUMBER(O15)),VLOOKUP(ABS(O17-O15),'IMP Table'!$A$2:$C$26,3)*SIGN(O17-O15),"")</f>
        <v/>
      </c>
      <c r="V17">
        <f>IF(AND(ISNUMBER(O17),ISNUMBER(O16)),VLOOKUP(ABS(O17-O16),'IMP Table'!$A$2:$C$26,3)*SIGN(O17-O16),"")</f>
        <v/>
      </c>
      <c r="W17">
        <f>IF(AND(ISNUMBER(O17),ISNUMBER(O18)),VLOOKUP(ABS(O17-O18),'IMP Table'!$A$2:$C$26,3)*SIGN(O17-O18),"")</f>
        <v/>
      </c>
      <c r="X17">
        <f>IF(AND(ISNUMBER(O17),ISNUMBER(O19)),VLOOKUP(ABS(O17-O19),'IMP Table'!$A$2:$C$26,3)*SIGN(O17-O19),"")</f>
        <v/>
      </c>
      <c r="Y17">
        <f>IF(AND(ISNUMBER(O17),ISNUMBER(O20)),VLOOKUP(ABS(O17-O20),'IMP Table'!$A$2:$C$26,3)*SIGN(O17-O20),"")</f>
        <v/>
      </c>
    </row>
    <row r="18">
      <c r="B18">
        <f>'By Round'!A62</f>
        <v/>
      </c>
      <c r="C18">
        <f>'By Round'!B68</f>
        <v/>
      </c>
      <c r="D18">
        <f>'By Round'!C68</f>
        <v/>
      </c>
      <c r="E18">
        <f>'By Round'!D68</f>
        <v/>
      </c>
      <c r="F18" s="10" t="inlineStr">
        <is>
          <t>EW</t>
        </is>
      </c>
      <c r="G18">
        <f>'By Round'!G68</f>
        <v/>
      </c>
      <c r="H18">
        <f>'By Round'!H68</f>
        <v/>
      </c>
      <c r="I18">
        <f>'By Round'!I68</f>
        <v/>
      </c>
      <c r="J18">
        <f>'By Round'!J68</f>
        <v/>
      </c>
      <c r="K18">
        <f>'By Round'!K68</f>
        <v/>
      </c>
      <c r="L18" s="11">
        <f>IFERROR(AVERAGE(P18:T18),"")</f>
        <v/>
      </c>
      <c r="M18" s="4">
        <f>IFERROR(AVERAGE(U18:Y18),"")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IF(AND(ISNUMBER(N18),ISNUMBER(N19)),VLOOKUP(ABS(N18-N19),'IMP Table'!$A$2:$C$26,3)*SIGN(N18-N19),"")</f>
        <v/>
      </c>
      <c r="T18">
        <f>IF(AND(ISNUMBER(N18),ISNUMBER(N20)),VLOOKUP(ABS(N18-N20),'IMP Table'!$A$2:$C$26,3)*SIGN(N18-N20),"")</f>
        <v/>
      </c>
      <c r="U18">
        <f>IF(AND(ISNUMBER(O18),ISNUMBER(O15)),VLOOKUP(ABS(O18-O15),'IMP Table'!$A$2:$C$26,3)*SIGN(O18-O15),"")</f>
        <v/>
      </c>
      <c r="V18">
        <f>IF(AND(ISNUMBER(O18),ISNUMBER(O16)),VLOOKUP(ABS(O18-O16),'IMP Table'!$A$2:$C$26,3)*SIGN(O18-O16),"")</f>
        <v/>
      </c>
      <c r="W18">
        <f>IF(AND(ISNUMBER(O18),ISNUMBER(O17)),VLOOKUP(ABS(O18-O17),'IMP Table'!$A$2:$C$26,3)*SIGN(O18-O17),"")</f>
        <v/>
      </c>
      <c r="X18">
        <f>IF(AND(ISNUMBER(O18),ISNUMBER(O19)),VLOOKUP(ABS(O18-O19),'IMP Table'!$A$2:$C$26,3)*SIGN(O18-O19),"")</f>
        <v/>
      </c>
      <c r="Y18">
        <f>IF(AND(ISNUMBER(O18),ISNUMBER(O20)),VLOOKUP(ABS(O18-O20),'IMP Table'!$A$2:$C$26,3)*SIGN(O18-O20),"")</f>
        <v/>
      </c>
    </row>
    <row r="19">
      <c r="B19">
        <f>'By Round'!A86</f>
        <v/>
      </c>
      <c r="C19">
        <f>'By Round'!B90</f>
        <v/>
      </c>
      <c r="D19">
        <f>'By Round'!C90</f>
        <v/>
      </c>
      <c r="E19">
        <f>'By Round'!D90</f>
        <v/>
      </c>
      <c r="F19" s="10" t="inlineStr">
        <is>
          <t>EW</t>
        </is>
      </c>
      <c r="G19">
        <f>'By Round'!G90</f>
        <v/>
      </c>
      <c r="H19">
        <f>'By Round'!H90</f>
        <v/>
      </c>
      <c r="I19">
        <f>'By Round'!I90</f>
        <v/>
      </c>
      <c r="J19">
        <f>'By Round'!J90</f>
        <v/>
      </c>
      <c r="K19">
        <f>'By Round'!K90</f>
        <v/>
      </c>
      <c r="L19" s="11">
        <f>IFERROR(AVERAGE(P19:T19),"")</f>
        <v/>
      </c>
      <c r="M19" s="4">
        <f>IFERROR(AVERAGE(U19:Y19),"")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IF(AND(ISNUMBER(N19),ISNUMBER(N15)),VLOOKUP(ABS(N19-N15),'IMP Table'!$A$2:$C$26,3)*SIGN(N19-N15),"")</f>
        <v/>
      </c>
      <c r="Q19">
        <f>IF(AND(ISNUMBER(N19),ISNUMBER(N16)),VLOOKUP(ABS(N19-N16),'IMP Table'!$A$2:$C$26,3)*SIGN(N19-N16),"")</f>
        <v/>
      </c>
      <c r="R19">
        <f>IF(AND(ISNUMBER(N19),ISNUMBER(N17)),VLOOKUP(ABS(N19-N17),'IMP Table'!$A$2:$C$26,3)*SIGN(N19-N17),"")</f>
        <v/>
      </c>
      <c r="S19">
        <f>IF(AND(ISNUMBER(N19),ISNUMBER(N18)),VLOOKUP(ABS(N19-N18),'IMP Table'!$A$2:$C$26,3)*SIGN(N19-N18),"")</f>
        <v/>
      </c>
      <c r="T19">
        <f>IF(AND(ISNUMBER(N19),ISNUMBER(N20)),VLOOKUP(ABS(N19-N20),'IMP Table'!$A$2:$C$26,3)*SIGN(N19-N20),"")</f>
        <v/>
      </c>
      <c r="U19">
        <f>IF(AND(ISNUMBER(O19),ISNUMBER(O15)),VLOOKUP(ABS(O19-O15),'IMP Table'!$A$2:$C$26,3)*SIGN(O19-O15),"")</f>
        <v/>
      </c>
      <c r="V19">
        <f>IF(AND(ISNUMBER(O19),ISNUMBER(O16)),VLOOKUP(ABS(O19-O16),'IMP Table'!$A$2:$C$26,3)*SIGN(O19-O16),"")</f>
        <v/>
      </c>
      <c r="W19">
        <f>IF(AND(ISNUMBER(O19),ISNUMBER(O17)),VLOOKUP(ABS(O19-O17),'IMP Table'!$A$2:$C$26,3)*SIGN(O19-O17),"")</f>
        <v/>
      </c>
      <c r="X19">
        <f>IF(AND(ISNUMBER(O19),ISNUMBER(O18)),VLOOKUP(ABS(O19-O18),'IMP Table'!$A$2:$C$26,3)*SIGN(O19-O18),"")</f>
        <v/>
      </c>
      <c r="Y19">
        <f>IF(AND(ISNUMBER(O19),ISNUMBER(O20)),VLOOKUP(ABS(O19-O20),'IMP Table'!$A$2:$C$26,3)*SIGN(O19-O20),"")</f>
        <v/>
      </c>
    </row>
    <row r="20">
      <c r="B20">
        <f>'By Round'!A98</f>
        <v/>
      </c>
      <c r="C20">
        <f>'By Round'!B100</f>
        <v/>
      </c>
      <c r="D20">
        <f>'By Round'!C100</f>
        <v/>
      </c>
      <c r="E20">
        <f>'By Round'!D100</f>
        <v/>
      </c>
      <c r="F20" s="10" t="inlineStr">
        <is>
          <t>EW</t>
        </is>
      </c>
      <c r="G20">
        <f>'By Round'!G100</f>
        <v/>
      </c>
      <c r="H20">
        <f>'By Round'!H100</f>
        <v/>
      </c>
      <c r="I20">
        <f>'By Round'!I100</f>
        <v/>
      </c>
      <c r="J20">
        <f>'By Round'!J100</f>
        <v/>
      </c>
      <c r="K20">
        <f>'By Round'!K100</f>
        <v/>
      </c>
      <c r="L20" s="11">
        <f>IFERROR(AVERAGE(P20:T20),"")</f>
        <v/>
      </c>
      <c r="M20" s="4">
        <f>IFERROR(AVERAGE(U20:Y20),"")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IF(AND(ISNUMBER(N20),ISNUMBER(N15)),VLOOKUP(ABS(N20-N15),'IMP Table'!$A$2:$C$26,3)*SIGN(N20-N15),"")</f>
        <v/>
      </c>
      <c r="Q20">
        <f>IF(AND(ISNUMBER(N20),ISNUMBER(N16)),VLOOKUP(ABS(N20-N16),'IMP Table'!$A$2:$C$26,3)*SIGN(N20-N16),"")</f>
        <v/>
      </c>
      <c r="R20">
        <f>IF(AND(ISNUMBER(N20),ISNUMBER(N17)),VLOOKUP(ABS(N20-N17),'IMP Table'!$A$2:$C$26,3)*SIGN(N20-N17),"")</f>
        <v/>
      </c>
      <c r="S20">
        <f>IF(AND(ISNUMBER(N20),ISNUMBER(N18)),VLOOKUP(ABS(N20-N18),'IMP Table'!$A$2:$C$26,3)*SIGN(N20-N18),"")</f>
        <v/>
      </c>
      <c r="T20">
        <f>IF(AND(ISNUMBER(N20),ISNUMBER(N19)),VLOOKUP(ABS(N20-N19),'IMP Table'!$A$2:$C$26,3)*SIGN(N20-N19),"")</f>
        <v/>
      </c>
      <c r="U20">
        <f>IF(AND(ISNUMBER(O20),ISNUMBER(O15)),VLOOKUP(ABS(O20-O15),'IMP Table'!$A$2:$C$26,3)*SIGN(O20-O15),"")</f>
        <v/>
      </c>
      <c r="V20">
        <f>IF(AND(ISNUMBER(O20),ISNUMBER(O16)),VLOOKUP(ABS(O20-O16),'IMP Table'!$A$2:$C$26,3)*SIGN(O20-O16),"")</f>
        <v/>
      </c>
      <c r="W20">
        <f>IF(AND(ISNUMBER(O20),ISNUMBER(O17)),VLOOKUP(ABS(O20-O17),'IMP Table'!$A$2:$C$26,3)*SIGN(O20-O17),"")</f>
        <v/>
      </c>
      <c r="X20">
        <f>IF(AND(ISNUMBER(O20),ISNUMBER(O18)),VLOOKUP(ABS(O20-O18),'IMP Table'!$A$2:$C$26,3)*SIGN(O20-O18),"")</f>
        <v/>
      </c>
      <c r="Y20">
        <f>IF(AND(ISNUMBER(O20),ISNUMBER(O19)),VLOOKUP(ABS(O20-O19),'IMP Table'!$A$2:$C$26,3)*SIGN(O20-O19),"")</f>
        <v/>
      </c>
    </row>
    <row r="21">
      <c r="A21" t="n">
        <v>4</v>
      </c>
      <c r="B21">
        <f>'By Round'!A14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Round'!G15</f>
        <v/>
      </c>
      <c r="H21">
        <f>'By Round'!H15</f>
        <v/>
      </c>
      <c r="I21">
        <f>'By Round'!I15</f>
        <v/>
      </c>
      <c r="J21">
        <f>'By Round'!J15</f>
        <v/>
      </c>
      <c r="K21">
        <f>'By Round'!K15</f>
        <v/>
      </c>
      <c r="L21" s="11">
        <f>IFERROR(AVERAGE(P21:T21),"")</f>
        <v/>
      </c>
      <c r="M21" s="4">
        <f>IFERROR(AVERAGE(U21:Y21),"")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IF(AND(ISNUMBER(N21),ISNUMBER(N24)),VLOOKUP(ABS(N21-N24),'IMP Table'!$A$2:$C$26,3)*SIGN(N21-N24),"")</f>
        <v/>
      </c>
      <c r="S21">
        <f>IF(AND(ISNUMBER(N21),ISNUMBER(N25)),VLOOKUP(ABS(N21-N25),'IMP Table'!$A$2:$C$26,3)*SIGN(N21-N25),"")</f>
        <v/>
      </c>
      <c r="T21">
        <f>IF(AND(ISNUMBER(N21),ISNUMBER(N26)),VLOOKUP(ABS(N21-N26),'IMP Table'!$A$2:$C$26,3)*SIGN(N21-N26),"")</f>
        <v/>
      </c>
      <c r="U21">
        <f>IF(AND(ISNUMBER(O21),ISNUMBER(O22)),VLOOKUP(ABS(O21-O22),'IMP Table'!$A$2:$C$26,3)*SIGN(O21-O22),"")</f>
        <v/>
      </c>
      <c r="V21">
        <f>IF(AND(ISNUMBER(O21),ISNUMBER(O23)),VLOOKUP(ABS(O21-O23),'IMP Table'!$A$2:$C$26,3)*SIGN(O21-O23),"")</f>
        <v/>
      </c>
      <c r="W21">
        <f>IF(AND(ISNUMBER(O21),ISNUMBER(O24)),VLOOKUP(ABS(O21-O24),'IMP Table'!$A$2:$C$26,3)*SIGN(O21-O24),"")</f>
        <v/>
      </c>
      <c r="X21">
        <f>IF(AND(ISNUMBER(O21),ISNUMBER(O25)),VLOOKUP(ABS(O21-O25),'IMP Table'!$A$2:$C$26,3)*SIGN(O21-O25),"")</f>
        <v/>
      </c>
      <c r="Y21">
        <f>IF(AND(ISNUMBER(O21),ISNUMBER(O26)),VLOOKUP(ABS(O21-O26),'IMP Table'!$A$2:$C$26,3)*SIGN(O21-O26),"")</f>
        <v/>
      </c>
    </row>
    <row r="22">
      <c r="B22">
        <f>'By Round'!A38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Both</t>
        </is>
      </c>
      <c r="G22">
        <f>'By Round'!G49</f>
        <v/>
      </c>
      <c r="H22">
        <f>'By Round'!H49</f>
        <v/>
      </c>
      <c r="I22">
        <f>'By Round'!I49</f>
        <v/>
      </c>
      <c r="J22">
        <f>'By Round'!J49</f>
        <v/>
      </c>
      <c r="K22">
        <f>'By Round'!K49</f>
        <v/>
      </c>
      <c r="L22" s="11">
        <f>IFERROR(AVERAGE(P22:T22),"")</f>
        <v/>
      </c>
      <c r="M22" s="4">
        <f>IFERROR(AVERAGE(U22:Y22),"")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IF(AND(ISNUMBER(N22),ISNUMBER(N24)),VLOOKUP(ABS(N22-N24),'IMP Table'!$A$2:$C$26,3)*SIGN(N22-N24),"")</f>
        <v/>
      </c>
      <c r="S22">
        <f>IF(AND(ISNUMBER(N22),ISNUMBER(N25)),VLOOKUP(ABS(N22-N25),'IMP Table'!$A$2:$C$26,3)*SIGN(N22-N25),"")</f>
        <v/>
      </c>
      <c r="T22">
        <f>IF(AND(ISNUMBER(N22),ISNUMBER(N26)),VLOOKUP(ABS(N22-N26),'IMP Table'!$A$2:$C$26,3)*SIGN(N22-N26),"")</f>
        <v/>
      </c>
      <c r="U22">
        <f>IF(AND(ISNUMBER(O22),ISNUMBER(O21)),VLOOKUP(ABS(O22-O21),'IMP Table'!$A$2:$C$26,3)*SIGN(O22-O21),"")</f>
        <v/>
      </c>
      <c r="V22">
        <f>IF(AND(ISNUMBER(O22),ISNUMBER(O23)),VLOOKUP(ABS(O22-O23),'IMP Table'!$A$2:$C$26,3)*SIGN(O22-O23),"")</f>
        <v/>
      </c>
      <c r="W22">
        <f>IF(AND(ISNUMBER(O22),ISNUMBER(O24)),VLOOKUP(ABS(O22-O24),'IMP Table'!$A$2:$C$26,3)*SIGN(O22-O24),"")</f>
        <v/>
      </c>
      <c r="X22">
        <f>IF(AND(ISNUMBER(O22),ISNUMBER(O25)),VLOOKUP(ABS(O22-O25),'IMP Table'!$A$2:$C$26,3)*SIGN(O22-O25),"")</f>
        <v/>
      </c>
      <c r="Y22">
        <f>IF(AND(ISNUMBER(O22),ISNUMBER(O26)),VLOOKUP(ABS(O22-O26),'IMP Table'!$A$2:$C$26,3)*SIGN(O22-O26),"")</f>
        <v/>
      </c>
    </row>
    <row r="23">
      <c r="B23">
        <f>'By Round'!A50</f>
        <v/>
      </c>
      <c r="C23">
        <f>'By Round'!B58</f>
        <v/>
      </c>
      <c r="D23">
        <f>'By Round'!C58</f>
        <v/>
      </c>
      <c r="E23">
        <f>'By Round'!D58</f>
        <v/>
      </c>
      <c r="F23" s="10" t="inlineStr">
        <is>
          <t>Both</t>
        </is>
      </c>
      <c r="G23">
        <f>'By Round'!G59</f>
        <v/>
      </c>
      <c r="H23">
        <f>'By Round'!H59</f>
        <v/>
      </c>
      <c r="I23">
        <f>'By Round'!I59</f>
        <v/>
      </c>
      <c r="J23">
        <f>'By Round'!J59</f>
        <v/>
      </c>
      <c r="K23">
        <f>'By Round'!K59</f>
        <v/>
      </c>
      <c r="L23" s="11">
        <f>IFERROR(AVERAGE(P23:T23),"")</f>
        <v/>
      </c>
      <c r="M23" s="4">
        <f>IFERROR(AVERAGE(U23:Y23),"")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IF(AND(ISNUMBER(N23),ISNUMBER(N24)),VLOOKUP(ABS(N23-N24),'IMP Table'!$A$2:$C$26,3)*SIGN(N23-N24),"")</f>
        <v/>
      </c>
      <c r="S23">
        <f>IF(AND(ISNUMBER(N23),ISNUMBER(N25)),VLOOKUP(ABS(N23-N25),'IMP Table'!$A$2:$C$26,3)*SIGN(N23-N25),"")</f>
        <v/>
      </c>
      <c r="T23">
        <f>IF(AND(ISNUMBER(N23),ISNUMBER(N26)),VLOOKUP(ABS(N23-N26),'IMP Table'!$A$2:$C$26,3)*SIGN(N23-N26),"")</f>
        <v/>
      </c>
      <c r="U23">
        <f>IF(AND(ISNUMBER(O23),ISNUMBER(O21)),VLOOKUP(ABS(O23-O21),'IMP Table'!$A$2:$C$26,3)*SIGN(O23-O21),"")</f>
        <v/>
      </c>
      <c r="V23">
        <f>IF(AND(ISNUMBER(O23),ISNUMBER(O22)),VLOOKUP(ABS(O23-O22),'IMP Table'!$A$2:$C$26,3)*SIGN(O23-O22),"")</f>
        <v/>
      </c>
      <c r="W23">
        <f>IF(AND(ISNUMBER(O23),ISNUMBER(O24)),VLOOKUP(ABS(O23-O24),'IMP Table'!$A$2:$C$26,3)*SIGN(O23-O24),"")</f>
        <v/>
      </c>
      <c r="X23">
        <f>IF(AND(ISNUMBER(O23),ISNUMBER(O25)),VLOOKUP(ABS(O23-O25),'IMP Table'!$A$2:$C$26,3)*SIGN(O23-O25),"")</f>
        <v/>
      </c>
      <c r="Y23">
        <f>IF(AND(ISNUMBER(O23),ISNUMBER(O26)),VLOOKUP(ABS(O23-O26),'IMP Table'!$A$2:$C$26,3)*SIGN(O23-O26),"")</f>
        <v/>
      </c>
    </row>
    <row r="24">
      <c r="B24">
        <f>'By Round'!A62</f>
        <v/>
      </c>
      <c r="C24">
        <f>'By Round'!B68</f>
        <v/>
      </c>
      <c r="D24">
        <f>'By Round'!C68</f>
        <v/>
      </c>
      <c r="E24">
        <f>'By Round'!D68</f>
        <v/>
      </c>
      <c r="F24" s="10" t="inlineStr">
        <is>
          <t>Both</t>
        </is>
      </c>
      <c r="G24">
        <f>'By Round'!G69</f>
        <v/>
      </c>
      <c r="H24">
        <f>'By Round'!H69</f>
        <v/>
      </c>
      <c r="I24">
        <f>'By Round'!I69</f>
        <v/>
      </c>
      <c r="J24">
        <f>'By Round'!J69</f>
        <v/>
      </c>
      <c r="K24">
        <f>'By Round'!K69</f>
        <v/>
      </c>
      <c r="L24" s="11">
        <f>IFERROR(AVERAGE(P24:T24),"")</f>
        <v/>
      </c>
      <c r="M24" s="4">
        <f>IFERROR(AVERAGE(U24:Y24),"")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IF(AND(ISNUMBER(N24),ISNUMBER(N21)),VLOOKUP(ABS(N24-N21),'IMP Table'!$A$2:$C$26,3)*SIGN(N24-N21),"")</f>
        <v/>
      </c>
      <c r="Q24">
        <f>IF(AND(ISNUMBER(N24),ISNUMBER(N22)),VLOOKUP(ABS(N24-N22),'IMP Table'!$A$2:$C$26,3)*SIGN(N24-N22),"")</f>
        <v/>
      </c>
      <c r="R24">
        <f>IF(AND(ISNUMBER(N24),ISNUMBER(N23)),VLOOKUP(ABS(N24-N23),'IMP Table'!$A$2:$C$26,3)*SIGN(N24-N23),"")</f>
        <v/>
      </c>
      <c r="S24">
        <f>IF(AND(ISNUMBER(N24),ISNUMBER(N25)),VLOOKUP(ABS(N24-N25),'IMP Table'!$A$2:$C$26,3)*SIGN(N24-N25),"")</f>
        <v/>
      </c>
      <c r="T24">
        <f>IF(AND(ISNUMBER(N24),ISNUMBER(N26)),VLOOKUP(ABS(N24-N26),'IMP Table'!$A$2:$C$26,3)*SIGN(N24-N26),"")</f>
        <v/>
      </c>
      <c r="U24">
        <f>IF(AND(ISNUMBER(O24),ISNUMBER(O21)),VLOOKUP(ABS(O24-O21),'IMP Table'!$A$2:$C$26,3)*SIGN(O24-O21),"")</f>
        <v/>
      </c>
      <c r="V24">
        <f>IF(AND(ISNUMBER(O24),ISNUMBER(O22)),VLOOKUP(ABS(O24-O22),'IMP Table'!$A$2:$C$26,3)*SIGN(O24-O22),"")</f>
        <v/>
      </c>
      <c r="W24">
        <f>IF(AND(ISNUMBER(O24),ISNUMBER(O23)),VLOOKUP(ABS(O24-O23),'IMP Table'!$A$2:$C$26,3)*SIGN(O24-O23),"")</f>
        <v/>
      </c>
      <c r="X24">
        <f>IF(AND(ISNUMBER(O24),ISNUMBER(O25)),VLOOKUP(ABS(O24-O25),'IMP Table'!$A$2:$C$26,3)*SIGN(O24-O25),"")</f>
        <v/>
      </c>
      <c r="Y24">
        <f>IF(AND(ISNUMBER(O24),ISNUMBER(O26)),VLOOKUP(ABS(O24-O26),'IMP Table'!$A$2:$C$26,3)*SIGN(O24-O26),"")</f>
        <v/>
      </c>
    </row>
    <row r="25">
      <c r="B25">
        <f>'By Round'!A86</f>
        <v/>
      </c>
      <c r="C25">
        <f>'By Round'!B90</f>
        <v/>
      </c>
      <c r="D25">
        <f>'By Round'!C90</f>
        <v/>
      </c>
      <c r="E25">
        <f>'By Round'!D90</f>
        <v/>
      </c>
      <c r="F25" s="10" t="inlineStr">
        <is>
          <t>Both</t>
        </is>
      </c>
      <c r="G25">
        <f>'By Round'!G91</f>
        <v/>
      </c>
      <c r="H25">
        <f>'By Round'!H91</f>
        <v/>
      </c>
      <c r="I25">
        <f>'By Round'!I91</f>
        <v/>
      </c>
      <c r="J25">
        <f>'By Round'!J91</f>
        <v/>
      </c>
      <c r="K25">
        <f>'By Round'!K91</f>
        <v/>
      </c>
      <c r="L25" s="11">
        <f>IFERROR(AVERAGE(P25:T25),"")</f>
        <v/>
      </c>
      <c r="M25" s="4">
        <f>IFERROR(AVERAGE(U25:Y25),"")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IF(AND(ISNUMBER(N25),ISNUMBER(N21)),VLOOKUP(ABS(N25-N21),'IMP Table'!$A$2:$C$26,3)*SIGN(N25-N21),"")</f>
        <v/>
      </c>
      <c r="Q25">
        <f>IF(AND(ISNUMBER(N25),ISNUMBER(N22)),VLOOKUP(ABS(N25-N22),'IMP Table'!$A$2:$C$26,3)*SIGN(N25-N22),"")</f>
        <v/>
      </c>
      <c r="R25">
        <f>IF(AND(ISNUMBER(N25),ISNUMBER(N23)),VLOOKUP(ABS(N25-N23),'IMP Table'!$A$2:$C$26,3)*SIGN(N25-N23),"")</f>
        <v/>
      </c>
      <c r="S25">
        <f>IF(AND(ISNUMBER(N25),ISNUMBER(N24)),VLOOKUP(ABS(N25-N24),'IMP Table'!$A$2:$C$26,3)*SIGN(N25-N24),"")</f>
        <v/>
      </c>
      <c r="T25">
        <f>IF(AND(ISNUMBER(N25),ISNUMBER(N26)),VLOOKUP(ABS(N25-N26),'IMP Table'!$A$2:$C$26,3)*SIGN(N25-N26),"")</f>
        <v/>
      </c>
      <c r="U25">
        <f>IF(AND(ISNUMBER(O25),ISNUMBER(O21)),VLOOKUP(ABS(O25-O21),'IMP Table'!$A$2:$C$26,3)*SIGN(O25-O21),"")</f>
        <v/>
      </c>
      <c r="V25">
        <f>IF(AND(ISNUMBER(O25),ISNUMBER(O22)),VLOOKUP(ABS(O25-O22),'IMP Table'!$A$2:$C$26,3)*SIGN(O25-O22),"")</f>
        <v/>
      </c>
      <c r="W25">
        <f>IF(AND(ISNUMBER(O25),ISNUMBER(O23)),VLOOKUP(ABS(O25-O23),'IMP Table'!$A$2:$C$26,3)*SIGN(O25-O23),"")</f>
        <v/>
      </c>
      <c r="X25">
        <f>IF(AND(ISNUMBER(O25),ISNUMBER(O24)),VLOOKUP(ABS(O25-O24),'IMP Table'!$A$2:$C$26,3)*SIGN(O25-O24),"")</f>
        <v/>
      </c>
      <c r="Y25">
        <f>IF(AND(ISNUMBER(O25),ISNUMBER(O26)),VLOOKUP(ABS(O25-O26),'IMP Table'!$A$2:$C$26,3)*SIGN(O25-O26),"")</f>
        <v/>
      </c>
    </row>
    <row r="26">
      <c r="B26">
        <f>'By Round'!A98</f>
        <v/>
      </c>
      <c r="C26">
        <f>'By Round'!B100</f>
        <v/>
      </c>
      <c r="D26">
        <f>'By Round'!C100</f>
        <v/>
      </c>
      <c r="E26">
        <f>'By Round'!D100</f>
        <v/>
      </c>
      <c r="F26" s="10" t="inlineStr">
        <is>
          <t>Both</t>
        </is>
      </c>
      <c r="G26">
        <f>'By Round'!G101</f>
        <v/>
      </c>
      <c r="H26">
        <f>'By Round'!H101</f>
        <v/>
      </c>
      <c r="I26">
        <f>'By Round'!I101</f>
        <v/>
      </c>
      <c r="J26">
        <f>'By Round'!J101</f>
        <v/>
      </c>
      <c r="K26">
        <f>'By Round'!K101</f>
        <v/>
      </c>
      <c r="L26" s="11">
        <f>IFERROR(AVERAGE(P26:T26),"")</f>
        <v/>
      </c>
      <c r="M26" s="4">
        <f>IFERROR(AVERAGE(U26:Y26),"")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IF(AND(ISNUMBER(N26),ISNUMBER(N21)),VLOOKUP(ABS(N26-N21),'IMP Table'!$A$2:$C$26,3)*SIGN(N26-N21),"")</f>
        <v/>
      </c>
      <c r="Q26">
        <f>IF(AND(ISNUMBER(N26),ISNUMBER(N22)),VLOOKUP(ABS(N26-N22),'IMP Table'!$A$2:$C$26,3)*SIGN(N26-N22),"")</f>
        <v/>
      </c>
      <c r="R26">
        <f>IF(AND(ISNUMBER(N26),ISNUMBER(N23)),VLOOKUP(ABS(N26-N23),'IMP Table'!$A$2:$C$26,3)*SIGN(N26-N23),"")</f>
        <v/>
      </c>
      <c r="S26">
        <f>IF(AND(ISNUMBER(N26),ISNUMBER(N24)),VLOOKUP(ABS(N26-N24),'IMP Table'!$A$2:$C$26,3)*SIGN(N26-N24),"")</f>
        <v/>
      </c>
      <c r="T26">
        <f>IF(AND(ISNUMBER(N26),ISNUMBER(N25)),VLOOKUP(ABS(N26-N25),'IMP Table'!$A$2:$C$26,3)*SIGN(N26-N25),"")</f>
        <v/>
      </c>
      <c r="U26">
        <f>IF(AND(ISNUMBER(O26),ISNUMBER(O21)),VLOOKUP(ABS(O26-O21),'IMP Table'!$A$2:$C$26,3)*SIGN(O26-O21),"")</f>
        <v/>
      </c>
      <c r="V26">
        <f>IF(AND(ISNUMBER(O26),ISNUMBER(O22)),VLOOKUP(ABS(O26-O22),'IMP Table'!$A$2:$C$26,3)*SIGN(O26-O22),"")</f>
        <v/>
      </c>
      <c r="W26">
        <f>IF(AND(ISNUMBER(O26),ISNUMBER(O23)),VLOOKUP(ABS(O26-O23),'IMP Table'!$A$2:$C$26,3)*SIGN(O26-O23),"")</f>
        <v/>
      </c>
      <c r="X26">
        <f>IF(AND(ISNUMBER(O26),ISNUMBER(O24)),VLOOKUP(ABS(O26-O24),'IMP Table'!$A$2:$C$26,3)*SIGN(O26-O24),"")</f>
        <v/>
      </c>
      <c r="Y26">
        <f>IF(AND(ISNUMBER(O26),ISNUMBER(O25)),VLOOKUP(ABS(O26-O25),'IMP Table'!$A$2:$C$26,3)*SIGN(O26-O25),"")</f>
        <v/>
      </c>
    </row>
    <row r="27">
      <c r="A27" t="n">
        <v>5</v>
      </c>
      <c r="B27">
        <f>'By Round'!A26</f>
        <v/>
      </c>
      <c r="C27">
        <f>'By Round'!B26</f>
        <v/>
      </c>
      <c r="D27">
        <f>'By Round'!C26</f>
        <v/>
      </c>
      <c r="E27">
        <f>'By Round'!D26</f>
        <v/>
      </c>
      <c r="F27" s="10" t="inlineStr">
        <is>
          <t>NS</t>
        </is>
      </c>
      <c r="G27">
        <f>'By Round'!G26</f>
        <v/>
      </c>
      <c r="H27">
        <f>'By Round'!H26</f>
        <v/>
      </c>
      <c r="I27">
        <f>'By Round'!I26</f>
        <v/>
      </c>
      <c r="J27">
        <f>'By Round'!J26</f>
        <v/>
      </c>
      <c r="K27">
        <f>'By Round'!K26</f>
        <v/>
      </c>
      <c r="L27" s="11">
        <f>IFERROR(AVERAGE(P27:T27),"")</f>
        <v/>
      </c>
      <c r="M27" s="4">
        <f>IFERROR(AVERAGE(U27:Y27),"")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IF(AND(ISNUMBER(N27),ISNUMBER(N31)),VLOOKUP(ABS(N27-N31),'IMP Table'!$A$2:$C$26,3)*SIGN(N27-N31),"")</f>
        <v/>
      </c>
      <c r="T27">
        <f>IF(AND(ISNUMBER(N27),ISNUMBER(N32)),VLOOKUP(ABS(N27-N32),'IMP Table'!$A$2:$C$26,3)*SIGN(N27-N32),"")</f>
        <v/>
      </c>
      <c r="U27">
        <f>IF(AND(ISNUMBER(O27),ISNUMBER(O28)),VLOOKUP(ABS(O27-O28),'IMP Table'!$A$2:$C$26,3)*SIGN(O27-O28),"")</f>
        <v/>
      </c>
      <c r="V27">
        <f>IF(AND(ISNUMBER(O27),ISNUMBER(O29)),VLOOKUP(ABS(O27-O29),'IMP Table'!$A$2:$C$26,3)*SIGN(O27-O29),"")</f>
        <v/>
      </c>
      <c r="W27">
        <f>IF(AND(ISNUMBER(O27),ISNUMBER(O30)),VLOOKUP(ABS(O27-O30),'IMP Table'!$A$2:$C$26,3)*SIGN(O27-O30),"")</f>
        <v/>
      </c>
      <c r="X27">
        <f>IF(AND(ISNUMBER(O27),ISNUMBER(O31)),VLOOKUP(ABS(O27-O31),'IMP Table'!$A$2:$C$26,3)*SIGN(O27-O31),"")</f>
        <v/>
      </c>
      <c r="Y27">
        <f>IF(AND(ISNUMBER(O27),ISNUMBER(O32)),VLOOKUP(ABS(O27-O32),'IMP Table'!$A$2:$C$26,3)*SIGN(O27-O32),"")</f>
        <v/>
      </c>
    </row>
    <row r="28">
      <c r="B28">
        <f>'By Round'!A50</f>
        <v/>
      </c>
      <c r="C28">
        <f>'By Round'!B60</f>
        <v/>
      </c>
      <c r="D28">
        <f>'By Round'!C60</f>
        <v/>
      </c>
      <c r="E28">
        <f>'By Round'!D60</f>
        <v/>
      </c>
      <c r="F28" s="10" t="inlineStr">
        <is>
          <t>NS</t>
        </is>
      </c>
      <c r="G28">
        <f>'By Round'!G60</f>
        <v/>
      </c>
      <c r="H28">
        <f>'By Round'!H60</f>
        <v/>
      </c>
      <c r="I28">
        <f>'By Round'!I60</f>
        <v/>
      </c>
      <c r="J28">
        <f>'By Round'!J60</f>
        <v/>
      </c>
      <c r="K28">
        <f>'By Round'!K60</f>
        <v/>
      </c>
      <c r="L28" s="11">
        <f>IFERROR(AVERAGE(P28:T28),"")</f>
        <v/>
      </c>
      <c r="M28" s="4">
        <f>IFERROR(AVERAGE(U28:Y28),"")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IF(AND(ISNUMBER(N28),ISNUMBER(N31)),VLOOKUP(ABS(N28-N31),'IMP Table'!$A$2:$C$26,3)*SIGN(N28-N31),"")</f>
        <v/>
      </c>
      <c r="T28">
        <f>IF(AND(ISNUMBER(N28),ISNUMBER(N32)),VLOOKUP(ABS(N28-N32),'IMP Table'!$A$2:$C$26,3)*SIGN(N28-N32),"")</f>
        <v/>
      </c>
      <c r="U28">
        <f>IF(AND(ISNUMBER(O28),ISNUMBER(O27)),VLOOKUP(ABS(O28-O27),'IMP Table'!$A$2:$C$26,3)*SIGN(O28-O27),"")</f>
        <v/>
      </c>
      <c r="V28">
        <f>IF(AND(ISNUMBER(O28),ISNUMBER(O29)),VLOOKUP(ABS(O28-O29),'IMP Table'!$A$2:$C$26,3)*SIGN(O28-O29),"")</f>
        <v/>
      </c>
      <c r="W28">
        <f>IF(AND(ISNUMBER(O28),ISNUMBER(O30)),VLOOKUP(ABS(O28-O30),'IMP Table'!$A$2:$C$26,3)*SIGN(O28-O30),"")</f>
        <v/>
      </c>
      <c r="X28">
        <f>IF(AND(ISNUMBER(O28),ISNUMBER(O31)),VLOOKUP(ABS(O28-O31),'IMP Table'!$A$2:$C$26,3)*SIGN(O28-O31),"")</f>
        <v/>
      </c>
      <c r="Y28">
        <f>IF(AND(ISNUMBER(O28),ISNUMBER(O32)),VLOOKUP(ABS(O28-O32),'IMP Table'!$A$2:$C$26,3)*SIGN(O28-O32),"")</f>
        <v/>
      </c>
    </row>
    <row r="29">
      <c r="B29">
        <f>'By Round'!A62</f>
        <v/>
      </c>
      <c r="C29">
        <f>'By Round'!B70</f>
        <v/>
      </c>
      <c r="D29">
        <f>'By Round'!C70</f>
        <v/>
      </c>
      <c r="E29">
        <f>'By Round'!D70</f>
        <v/>
      </c>
      <c r="F29" s="10" t="inlineStr">
        <is>
          <t>NS</t>
        </is>
      </c>
      <c r="G29">
        <f>'By Round'!G70</f>
        <v/>
      </c>
      <c r="H29">
        <f>'By Round'!H70</f>
        <v/>
      </c>
      <c r="I29">
        <f>'By Round'!I70</f>
        <v/>
      </c>
      <c r="J29">
        <f>'By Round'!J70</f>
        <v/>
      </c>
      <c r="K29">
        <f>'By Round'!K70</f>
        <v/>
      </c>
      <c r="L29" s="11">
        <f>IFERROR(AVERAGE(P29:T29),"")</f>
        <v/>
      </c>
      <c r="M29" s="4">
        <f>IFERROR(AVERAGE(U29:Y29),"")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IF(AND(ISNUMBER(N29),ISNUMBER(N31)),VLOOKUP(ABS(N29-N31),'IMP Table'!$A$2:$C$26,3)*SIGN(N29-N31),"")</f>
        <v/>
      </c>
      <c r="T29">
        <f>IF(AND(ISNUMBER(N29),ISNUMBER(N32)),VLOOKUP(ABS(N29-N32),'IMP Table'!$A$2:$C$26,3)*SIGN(N29-N32),"")</f>
        <v/>
      </c>
      <c r="U29">
        <f>IF(AND(ISNUMBER(O29),ISNUMBER(O27)),VLOOKUP(ABS(O29-O27),'IMP Table'!$A$2:$C$26,3)*SIGN(O29-O27),"")</f>
        <v/>
      </c>
      <c r="V29">
        <f>IF(AND(ISNUMBER(O29),ISNUMBER(O28)),VLOOKUP(ABS(O29-O28),'IMP Table'!$A$2:$C$26,3)*SIGN(O29-O28),"")</f>
        <v/>
      </c>
      <c r="W29">
        <f>IF(AND(ISNUMBER(O29),ISNUMBER(O30)),VLOOKUP(ABS(O29-O30),'IMP Table'!$A$2:$C$26,3)*SIGN(O29-O30),"")</f>
        <v/>
      </c>
      <c r="X29">
        <f>IF(AND(ISNUMBER(O29),ISNUMBER(O31)),VLOOKUP(ABS(O29-O31),'IMP Table'!$A$2:$C$26,3)*SIGN(O29-O31),"")</f>
        <v/>
      </c>
      <c r="Y29">
        <f>IF(AND(ISNUMBER(O29),ISNUMBER(O32)),VLOOKUP(ABS(O29-O32),'IMP Table'!$A$2:$C$26,3)*SIGN(O29-O32),"")</f>
        <v/>
      </c>
    </row>
    <row r="30">
      <c r="B30">
        <f>'By Round'!A74</f>
        <v/>
      </c>
      <c r="C30">
        <f>'By Round'!B80</f>
        <v/>
      </c>
      <c r="D30">
        <f>'By Round'!C80</f>
        <v/>
      </c>
      <c r="E30">
        <f>'By Round'!D80</f>
        <v/>
      </c>
      <c r="F30" s="10" t="inlineStr">
        <is>
          <t>NS</t>
        </is>
      </c>
      <c r="G30">
        <f>'By Round'!G80</f>
        <v/>
      </c>
      <c r="H30">
        <f>'By Round'!H80</f>
        <v/>
      </c>
      <c r="I30">
        <f>'By Round'!I80</f>
        <v/>
      </c>
      <c r="J30">
        <f>'By Round'!J80</f>
        <v/>
      </c>
      <c r="K30">
        <f>'By Round'!K80</f>
        <v/>
      </c>
      <c r="L30" s="11">
        <f>IFERROR(AVERAGE(P30:T30),"")</f>
        <v/>
      </c>
      <c r="M30" s="4">
        <f>IFERROR(AVERAGE(U30:Y30),"")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IF(AND(ISNUMBER(N30),ISNUMBER(N31)),VLOOKUP(ABS(N30-N31),'IMP Table'!$A$2:$C$26,3)*SIGN(N30-N31),"")</f>
        <v/>
      </c>
      <c r="T30">
        <f>IF(AND(ISNUMBER(N30),ISNUMBER(N32)),VLOOKUP(ABS(N30-N32),'IMP Table'!$A$2:$C$26,3)*SIGN(N30-N32),"")</f>
        <v/>
      </c>
      <c r="U30">
        <f>IF(AND(ISNUMBER(O30),ISNUMBER(O27)),VLOOKUP(ABS(O30-O27),'IMP Table'!$A$2:$C$26,3)*SIGN(O30-O27),"")</f>
        <v/>
      </c>
      <c r="V30">
        <f>IF(AND(ISNUMBER(O30),ISNUMBER(O28)),VLOOKUP(ABS(O30-O28),'IMP Table'!$A$2:$C$26,3)*SIGN(O30-O28),"")</f>
        <v/>
      </c>
      <c r="W30">
        <f>IF(AND(ISNUMBER(O30),ISNUMBER(O29)),VLOOKUP(ABS(O30-O29),'IMP Table'!$A$2:$C$26,3)*SIGN(O30-O29),"")</f>
        <v/>
      </c>
      <c r="X30">
        <f>IF(AND(ISNUMBER(O30),ISNUMBER(O31)),VLOOKUP(ABS(O30-O31),'IMP Table'!$A$2:$C$26,3)*SIGN(O30-O31),"")</f>
        <v/>
      </c>
      <c r="Y30">
        <f>IF(AND(ISNUMBER(O30),ISNUMBER(O32)),VLOOKUP(ABS(O30-O32),'IMP Table'!$A$2:$C$26,3)*SIGN(O30-O32),"")</f>
        <v/>
      </c>
    </row>
    <row r="31">
      <c r="B31">
        <f>'By Round'!A98</f>
        <v/>
      </c>
      <c r="C31">
        <f>'By Round'!B102</f>
        <v/>
      </c>
      <c r="D31">
        <f>'By Round'!C102</f>
        <v/>
      </c>
      <c r="E31">
        <f>'By Round'!D102</f>
        <v/>
      </c>
      <c r="F31" s="10" t="inlineStr">
        <is>
          <t>NS</t>
        </is>
      </c>
      <c r="G31">
        <f>'By Round'!G102</f>
        <v/>
      </c>
      <c r="H31">
        <f>'By Round'!H102</f>
        <v/>
      </c>
      <c r="I31">
        <f>'By Round'!I102</f>
        <v/>
      </c>
      <c r="J31">
        <f>'By Round'!J102</f>
        <v/>
      </c>
      <c r="K31">
        <f>'By Round'!K102</f>
        <v/>
      </c>
      <c r="L31" s="11">
        <f>IFERROR(AVERAGE(P31:T31),"")</f>
        <v/>
      </c>
      <c r="M31" s="4">
        <f>IFERROR(AVERAGE(U31:Y31),"")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IF(AND(ISNUMBER(N31),ISNUMBER(N27)),VLOOKUP(ABS(N31-N27),'IMP Table'!$A$2:$C$26,3)*SIGN(N31-N27),"")</f>
        <v/>
      </c>
      <c r="Q31">
        <f>IF(AND(ISNUMBER(N31),ISNUMBER(N28)),VLOOKUP(ABS(N31-N28),'IMP Table'!$A$2:$C$26,3)*SIGN(N31-N28),"")</f>
        <v/>
      </c>
      <c r="R31">
        <f>IF(AND(ISNUMBER(N31),ISNUMBER(N29)),VLOOKUP(ABS(N31-N29),'IMP Table'!$A$2:$C$26,3)*SIGN(N31-N29),"")</f>
        <v/>
      </c>
      <c r="S31">
        <f>IF(AND(ISNUMBER(N31),ISNUMBER(N30)),VLOOKUP(ABS(N31-N30),'IMP Table'!$A$2:$C$26,3)*SIGN(N31-N30),"")</f>
        <v/>
      </c>
      <c r="T31">
        <f>IF(AND(ISNUMBER(N31),ISNUMBER(N32)),VLOOKUP(ABS(N31-N32),'IMP Table'!$A$2:$C$26,3)*SIGN(N31-N32),"")</f>
        <v/>
      </c>
      <c r="U31">
        <f>IF(AND(ISNUMBER(O31),ISNUMBER(O27)),VLOOKUP(ABS(O31-O27),'IMP Table'!$A$2:$C$26,3)*SIGN(O31-O27),"")</f>
        <v/>
      </c>
      <c r="V31">
        <f>IF(AND(ISNUMBER(O31),ISNUMBER(O28)),VLOOKUP(ABS(O31-O28),'IMP Table'!$A$2:$C$26,3)*SIGN(O31-O28),"")</f>
        <v/>
      </c>
      <c r="W31">
        <f>IF(AND(ISNUMBER(O31),ISNUMBER(O29)),VLOOKUP(ABS(O31-O29),'IMP Table'!$A$2:$C$26,3)*SIGN(O31-O29),"")</f>
        <v/>
      </c>
      <c r="X31">
        <f>IF(AND(ISNUMBER(O31),ISNUMBER(O30)),VLOOKUP(ABS(O31-O30),'IMP Table'!$A$2:$C$26,3)*SIGN(O31-O30),"")</f>
        <v/>
      </c>
      <c r="Y31">
        <f>IF(AND(ISNUMBER(O31),ISNUMBER(O32)),VLOOKUP(ABS(O31-O32),'IMP Table'!$A$2:$C$26,3)*SIGN(O31-O32),"")</f>
        <v/>
      </c>
    </row>
    <row r="32">
      <c r="B32">
        <f>'By Round'!A110</f>
        <v/>
      </c>
      <c r="C32">
        <f>'By Round'!B112</f>
        <v/>
      </c>
      <c r="D32">
        <f>'By Round'!C112</f>
        <v/>
      </c>
      <c r="E32">
        <f>'By Round'!D112</f>
        <v/>
      </c>
      <c r="F32" s="10" t="inlineStr">
        <is>
          <t>NS</t>
        </is>
      </c>
      <c r="G32">
        <f>'By Round'!G112</f>
        <v/>
      </c>
      <c r="H32">
        <f>'By Round'!H112</f>
        <v/>
      </c>
      <c r="I32">
        <f>'By Round'!I112</f>
        <v/>
      </c>
      <c r="J32">
        <f>'By Round'!J112</f>
        <v/>
      </c>
      <c r="K32">
        <f>'By Round'!K112</f>
        <v/>
      </c>
      <c r="L32" s="11">
        <f>IFERROR(AVERAGE(P32:T32),"")</f>
        <v/>
      </c>
      <c r="M32" s="4">
        <f>IFERROR(AVERAGE(U32:Y32),"")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IF(AND(ISNUMBER(N32),ISNUMBER(N27)),VLOOKUP(ABS(N32-N27),'IMP Table'!$A$2:$C$26,3)*SIGN(N32-N27),"")</f>
        <v/>
      </c>
      <c r="Q32">
        <f>IF(AND(ISNUMBER(N32),ISNUMBER(N28)),VLOOKUP(ABS(N32-N28),'IMP Table'!$A$2:$C$26,3)*SIGN(N32-N28),"")</f>
        <v/>
      </c>
      <c r="R32">
        <f>IF(AND(ISNUMBER(N32),ISNUMBER(N29)),VLOOKUP(ABS(N32-N29),'IMP Table'!$A$2:$C$26,3)*SIGN(N32-N29),"")</f>
        <v/>
      </c>
      <c r="S32">
        <f>IF(AND(ISNUMBER(N32),ISNUMBER(N30)),VLOOKUP(ABS(N32-N30),'IMP Table'!$A$2:$C$26,3)*SIGN(N32-N30),"")</f>
        <v/>
      </c>
      <c r="T32">
        <f>IF(AND(ISNUMBER(N32),ISNUMBER(N31)),VLOOKUP(ABS(N32-N31),'IMP Table'!$A$2:$C$26,3)*SIGN(N32-N31),"")</f>
        <v/>
      </c>
      <c r="U32">
        <f>IF(AND(ISNUMBER(O32),ISNUMBER(O27)),VLOOKUP(ABS(O32-O27),'IMP Table'!$A$2:$C$26,3)*SIGN(O32-O27),"")</f>
        <v/>
      </c>
      <c r="V32">
        <f>IF(AND(ISNUMBER(O32),ISNUMBER(O28)),VLOOKUP(ABS(O32-O28),'IMP Table'!$A$2:$C$26,3)*SIGN(O32-O28),"")</f>
        <v/>
      </c>
      <c r="W32">
        <f>IF(AND(ISNUMBER(O32),ISNUMBER(O29)),VLOOKUP(ABS(O32-O29),'IMP Table'!$A$2:$C$26,3)*SIGN(O32-O29),"")</f>
        <v/>
      </c>
      <c r="X32">
        <f>IF(AND(ISNUMBER(O32),ISNUMBER(O30)),VLOOKUP(ABS(O32-O30),'IMP Table'!$A$2:$C$26,3)*SIGN(O32-O30),"")</f>
        <v/>
      </c>
      <c r="Y32">
        <f>IF(AND(ISNUMBER(O32),ISNUMBER(O31)),VLOOKUP(ABS(O32-O31),'IMP Table'!$A$2:$C$26,3)*SIGN(O32-O31),"")</f>
        <v/>
      </c>
    </row>
    <row r="33">
      <c r="A33" t="n">
        <v>6</v>
      </c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EW</t>
        </is>
      </c>
      <c r="G33">
        <f>'By Round'!G27</f>
        <v/>
      </c>
      <c r="H33">
        <f>'By Round'!H27</f>
        <v/>
      </c>
      <c r="I33">
        <f>'By Round'!I27</f>
        <v/>
      </c>
      <c r="J33">
        <f>'By Round'!J27</f>
        <v/>
      </c>
      <c r="K33">
        <f>'By Round'!K27</f>
        <v/>
      </c>
      <c r="L33" s="11">
        <f>IFERROR(AVERAGE(P33:T33),"")</f>
        <v/>
      </c>
      <c r="M33" s="4">
        <f>IFERROR(AVERAGE(U33:Y33),"")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IF(AND(ISNUMBER(N33),ISNUMBER(N38)),VLOOKUP(ABS(N33-N38),'IMP Table'!$A$2:$C$26,3)*SIGN(N33-N38),"")</f>
        <v/>
      </c>
      <c r="U33">
        <f>IF(AND(ISNUMBER(O33),ISNUMBER(O34)),VLOOKUP(ABS(O33-O34),'IMP Table'!$A$2:$C$26,3)*SIGN(O33-O34),"")</f>
        <v/>
      </c>
      <c r="V33">
        <f>IF(AND(ISNUMBER(O33),ISNUMBER(O35)),VLOOKUP(ABS(O33-O35),'IMP Table'!$A$2:$C$26,3)*SIGN(O33-O35),"")</f>
        <v/>
      </c>
      <c r="W33">
        <f>IF(AND(ISNUMBER(O33),ISNUMBER(O36)),VLOOKUP(ABS(O33-O36),'IMP Table'!$A$2:$C$26,3)*SIGN(O33-O36),"")</f>
        <v/>
      </c>
      <c r="X33">
        <f>IF(AND(ISNUMBER(O33),ISNUMBER(O37)),VLOOKUP(ABS(O33-O37),'IMP Table'!$A$2:$C$26,3)*SIGN(O33-O37),"")</f>
        <v/>
      </c>
      <c r="Y33">
        <f>IF(AND(ISNUMBER(O33),ISNUMBER(O38)),VLOOKUP(ABS(O33-O38),'IMP Table'!$A$2:$C$26,3)*SIGN(O33-O38),"")</f>
        <v/>
      </c>
    </row>
    <row r="34">
      <c r="B34">
        <f>'By Round'!A50</f>
        <v/>
      </c>
      <c r="C34">
        <f>'By Round'!B60</f>
        <v/>
      </c>
      <c r="D34">
        <f>'By Round'!C60</f>
        <v/>
      </c>
      <c r="E34">
        <f>'By Round'!D60</f>
        <v/>
      </c>
      <c r="F34" s="10" t="inlineStr">
        <is>
          <t>EW</t>
        </is>
      </c>
      <c r="G34">
        <f>'By Round'!G61</f>
        <v/>
      </c>
      <c r="H34">
        <f>'By Round'!H61</f>
        <v/>
      </c>
      <c r="I34">
        <f>'By Round'!I61</f>
        <v/>
      </c>
      <c r="J34">
        <f>'By Round'!J61</f>
        <v/>
      </c>
      <c r="K34">
        <f>'By Round'!K61</f>
        <v/>
      </c>
      <c r="L34" s="11">
        <f>IFERROR(AVERAGE(P34:T34),"")</f>
        <v/>
      </c>
      <c r="M34" s="4">
        <f>IFERROR(AVERAGE(U34:Y34),"")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IF(AND(ISNUMBER(N34),ISNUMBER(N38)),VLOOKUP(ABS(N34-N38),'IMP Table'!$A$2:$C$26,3)*SIGN(N34-N38),"")</f>
        <v/>
      </c>
      <c r="U34">
        <f>IF(AND(ISNUMBER(O34),ISNUMBER(O33)),VLOOKUP(ABS(O34-O33),'IMP Table'!$A$2:$C$26,3)*SIGN(O34-O33),"")</f>
        <v/>
      </c>
      <c r="V34">
        <f>IF(AND(ISNUMBER(O34),ISNUMBER(O35)),VLOOKUP(ABS(O34-O35),'IMP Table'!$A$2:$C$26,3)*SIGN(O34-O35),"")</f>
        <v/>
      </c>
      <c r="W34">
        <f>IF(AND(ISNUMBER(O34),ISNUMBER(O36)),VLOOKUP(ABS(O34-O36),'IMP Table'!$A$2:$C$26,3)*SIGN(O34-O36),"")</f>
        <v/>
      </c>
      <c r="X34">
        <f>IF(AND(ISNUMBER(O34),ISNUMBER(O37)),VLOOKUP(ABS(O34-O37),'IMP Table'!$A$2:$C$26,3)*SIGN(O34-O37),"")</f>
        <v/>
      </c>
      <c r="Y34">
        <f>IF(AND(ISNUMBER(O34),ISNUMBER(O38)),VLOOKUP(ABS(O34-O38),'IMP Table'!$A$2:$C$26,3)*SIGN(O34-O38),"")</f>
        <v/>
      </c>
    </row>
    <row r="35">
      <c r="B35">
        <f>'By Round'!A62</f>
        <v/>
      </c>
      <c r="C35">
        <f>'By Round'!B70</f>
        <v/>
      </c>
      <c r="D35">
        <f>'By Round'!C70</f>
        <v/>
      </c>
      <c r="E35">
        <f>'By Round'!D70</f>
        <v/>
      </c>
      <c r="F35" s="10" t="inlineStr">
        <is>
          <t>EW</t>
        </is>
      </c>
      <c r="G35">
        <f>'By Round'!G71</f>
        <v/>
      </c>
      <c r="H35">
        <f>'By Round'!H71</f>
        <v/>
      </c>
      <c r="I35">
        <f>'By Round'!I71</f>
        <v/>
      </c>
      <c r="J35">
        <f>'By Round'!J71</f>
        <v/>
      </c>
      <c r="K35">
        <f>'By Round'!K71</f>
        <v/>
      </c>
      <c r="L35" s="11">
        <f>IFERROR(AVERAGE(P35:T35),"")</f>
        <v/>
      </c>
      <c r="M35" s="4">
        <f>IFERROR(AVERAGE(U35:Y35),"")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IF(AND(ISNUMBER(N35),ISNUMBER(N38)),VLOOKUP(ABS(N35-N38),'IMP Table'!$A$2:$C$26,3)*SIGN(N35-N38),"")</f>
        <v/>
      </c>
      <c r="U35">
        <f>IF(AND(ISNUMBER(O35),ISNUMBER(O33)),VLOOKUP(ABS(O35-O33),'IMP Table'!$A$2:$C$26,3)*SIGN(O35-O33),"")</f>
        <v/>
      </c>
      <c r="V35">
        <f>IF(AND(ISNUMBER(O35),ISNUMBER(O34)),VLOOKUP(ABS(O35-O34),'IMP Table'!$A$2:$C$26,3)*SIGN(O35-O34),"")</f>
        <v/>
      </c>
      <c r="W35">
        <f>IF(AND(ISNUMBER(O35),ISNUMBER(O36)),VLOOKUP(ABS(O35-O36),'IMP Table'!$A$2:$C$26,3)*SIGN(O35-O36),"")</f>
        <v/>
      </c>
      <c r="X35">
        <f>IF(AND(ISNUMBER(O35),ISNUMBER(O37)),VLOOKUP(ABS(O35-O37),'IMP Table'!$A$2:$C$26,3)*SIGN(O35-O37),"")</f>
        <v/>
      </c>
      <c r="Y35">
        <f>IF(AND(ISNUMBER(O35),ISNUMBER(O38)),VLOOKUP(ABS(O35-O38),'IMP Table'!$A$2:$C$26,3)*SIGN(O35-O38),"")</f>
        <v/>
      </c>
    </row>
    <row r="36">
      <c r="B36">
        <f>'By Round'!A74</f>
        <v/>
      </c>
      <c r="C36">
        <f>'By Round'!B80</f>
        <v/>
      </c>
      <c r="D36">
        <f>'By Round'!C80</f>
        <v/>
      </c>
      <c r="E36">
        <f>'By Round'!D80</f>
        <v/>
      </c>
      <c r="F36" s="10" t="inlineStr">
        <is>
          <t>EW</t>
        </is>
      </c>
      <c r="G36">
        <f>'By Round'!G81</f>
        <v/>
      </c>
      <c r="H36">
        <f>'By Round'!H81</f>
        <v/>
      </c>
      <c r="I36">
        <f>'By Round'!I81</f>
        <v/>
      </c>
      <c r="J36">
        <f>'By Round'!J81</f>
        <v/>
      </c>
      <c r="K36">
        <f>'By Round'!K81</f>
        <v/>
      </c>
      <c r="L36" s="11">
        <f>IFERROR(AVERAGE(P36:T36),"")</f>
        <v/>
      </c>
      <c r="M36" s="4">
        <f>IFERROR(AVERAGE(U36:Y36),"")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IF(AND(ISNUMBER(N36),ISNUMBER(N38)),VLOOKUP(ABS(N36-N38),'IMP Table'!$A$2:$C$26,3)*SIGN(N36-N38),"")</f>
        <v/>
      </c>
      <c r="U36">
        <f>IF(AND(ISNUMBER(O36),ISNUMBER(O33)),VLOOKUP(ABS(O36-O33),'IMP Table'!$A$2:$C$26,3)*SIGN(O36-O33),"")</f>
        <v/>
      </c>
      <c r="V36">
        <f>IF(AND(ISNUMBER(O36),ISNUMBER(O34)),VLOOKUP(ABS(O36-O34),'IMP Table'!$A$2:$C$26,3)*SIGN(O36-O34),"")</f>
        <v/>
      </c>
      <c r="W36">
        <f>IF(AND(ISNUMBER(O36),ISNUMBER(O35)),VLOOKUP(ABS(O36-O35),'IMP Table'!$A$2:$C$26,3)*SIGN(O36-O35),"")</f>
        <v/>
      </c>
      <c r="X36">
        <f>IF(AND(ISNUMBER(O36),ISNUMBER(O37)),VLOOKUP(ABS(O36-O37),'IMP Table'!$A$2:$C$26,3)*SIGN(O36-O37),"")</f>
        <v/>
      </c>
      <c r="Y36">
        <f>IF(AND(ISNUMBER(O36),ISNUMBER(O38)),VLOOKUP(ABS(O36-O38),'IMP Table'!$A$2:$C$26,3)*SIGN(O36-O38),"")</f>
        <v/>
      </c>
    </row>
    <row r="37">
      <c r="B37">
        <f>'By Round'!A98</f>
        <v/>
      </c>
      <c r="C37">
        <f>'By Round'!B102</f>
        <v/>
      </c>
      <c r="D37">
        <f>'By Round'!C102</f>
        <v/>
      </c>
      <c r="E37">
        <f>'By Round'!D102</f>
        <v/>
      </c>
      <c r="F37" s="10" t="inlineStr">
        <is>
          <t>EW</t>
        </is>
      </c>
      <c r="G37">
        <f>'By Round'!G103</f>
        <v/>
      </c>
      <c r="H37">
        <f>'By Round'!H103</f>
        <v/>
      </c>
      <c r="I37">
        <f>'By Round'!I103</f>
        <v/>
      </c>
      <c r="J37">
        <f>'By Round'!J103</f>
        <v/>
      </c>
      <c r="K37">
        <f>'By Round'!K103</f>
        <v/>
      </c>
      <c r="L37" s="11">
        <f>IFERROR(AVERAGE(P37:T37),"")</f>
        <v/>
      </c>
      <c r="M37" s="4">
        <f>IFERROR(AVERAGE(U37:Y37),"")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IF(AND(ISNUMBER(N37),ISNUMBER(N38)),VLOOKUP(ABS(N37-N38),'IMP Table'!$A$2:$C$26,3)*SIGN(N37-N38),"")</f>
        <v/>
      </c>
      <c r="U37">
        <f>IF(AND(ISNUMBER(O37),ISNUMBER(O33)),VLOOKUP(ABS(O37-O33),'IMP Table'!$A$2:$C$26,3)*SIGN(O37-O33),"")</f>
        <v/>
      </c>
      <c r="V37">
        <f>IF(AND(ISNUMBER(O37),ISNUMBER(O34)),VLOOKUP(ABS(O37-O34),'IMP Table'!$A$2:$C$26,3)*SIGN(O37-O34),"")</f>
        <v/>
      </c>
      <c r="W37">
        <f>IF(AND(ISNUMBER(O37),ISNUMBER(O35)),VLOOKUP(ABS(O37-O35),'IMP Table'!$A$2:$C$26,3)*SIGN(O37-O35),"")</f>
        <v/>
      </c>
      <c r="X37">
        <f>IF(AND(ISNUMBER(O37),ISNUMBER(O36)),VLOOKUP(ABS(O37-O36),'IMP Table'!$A$2:$C$26,3)*SIGN(O37-O36),"")</f>
        <v/>
      </c>
      <c r="Y37">
        <f>IF(AND(ISNUMBER(O37),ISNUMBER(O38)),VLOOKUP(ABS(O37-O38),'IMP Table'!$A$2:$C$26,3)*SIGN(O37-O38),"")</f>
        <v/>
      </c>
    </row>
    <row r="38">
      <c r="B38">
        <f>'By Round'!A110</f>
        <v/>
      </c>
      <c r="C38">
        <f>'By Round'!B112</f>
        <v/>
      </c>
      <c r="D38">
        <f>'By Round'!C112</f>
        <v/>
      </c>
      <c r="E38">
        <f>'By Round'!D112</f>
        <v/>
      </c>
      <c r="F38" s="10" t="inlineStr">
        <is>
          <t>EW</t>
        </is>
      </c>
      <c r="G38">
        <f>'By Round'!G113</f>
        <v/>
      </c>
      <c r="H38">
        <f>'By Round'!H113</f>
        <v/>
      </c>
      <c r="I38">
        <f>'By Round'!I113</f>
        <v/>
      </c>
      <c r="J38">
        <f>'By Round'!J113</f>
        <v/>
      </c>
      <c r="K38">
        <f>'By Round'!K113</f>
        <v/>
      </c>
      <c r="L38" s="11">
        <f>IFERROR(AVERAGE(P38:T38),"")</f>
        <v/>
      </c>
      <c r="M38" s="4">
        <f>IFERROR(AVERAGE(U38:Y38),"")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IF(AND(ISNUMBER(N38),ISNUMBER(N33)),VLOOKUP(ABS(N38-N33),'IMP Table'!$A$2:$C$26,3)*SIGN(N38-N33),"")</f>
        <v/>
      </c>
      <c r="Q38">
        <f>IF(AND(ISNUMBER(N38),ISNUMBER(N34)),VLOOKUP(ABS(N38-N34),'IMP Table'!$A$2:$C$26,3)*SIGN(N38-N34),"")</f>
        <v/>
      </c>
      <c r="R38">
        <f>IF(AND(ISNUMBER(N38),ISNUMBER(N35)),VLOOKUP(ABS(N38-N35),'IMP Table'!$A$2:$C$26,3)*SIGN(N38-N35),"")</f>
        <v/>
      </c>
      <c r="S38">
        <f>IF(AND(ISNUMBER(N38),ISNUMBER(N36)),VLOOKUP(ABS(N38-N36),'IMP Table'!$A$2:$C$26,3)*SIGN(N38-N36),"")</f>
        <v/>
      </c>
      <c r="T38">
        <f>IF(AND(ISNUMBER(N38),ISNUMBER(N37)),VLOOKUP(ABS(N38-N37),'IMP Table'!$A$2:$C$26,3)*SIGN(N38-N37),"")</f>
        <v/>
      </c>
      <c r="U38">
        <f>IF(AND(ISNUMBER(O38),ISNUMBER(O33)),VLOOKUP(ABS(O38-O33),'IMP Table'!$A$2:$C$26,3)*SIGN(O38-O33),"")</f>
        <v/>
      </c>
      <c r="V38">
        <f>IF(AND(ISNUMBER(O38),ISNUMBER(O34)),VLOOKUP(ABS(O38-O34),'IMP Table'!$A$2:$C$26,3)*SIGN(O38-O34),"")</f>
        <v/>
      </c>
      <c r="W38">
        <f>IF(AND(ISNUMBER(O38),ISNUMBER(O35)),VLOOKUP(ABS(O38-O35),'IMP Table'!$A$2:$C$26,3)*SIGN(O38-O35),"")</f>
        <v/>
      </c>
      <c r="X38">
        <f>IF(AND(ISNUMBER(O38),ISNUMBER(O36)),VLOOKUP(ABS(O38-O36),'IMP Table'!$A$2:$C$26,3)*SIGN(O38-O36),"")</f>
        <v/>
      </c>
      <c r="Y38">
        <f>IF(AND(ISNUMBER(O38),ISNUMBER(O37)),VLOOKUP(ABS(O38-O37),'IMP Table'!$A$2:$C$26,3)*SIGN(O38-O37),"")</f>
        <v/>
      </c>
    </row>
    <row r="39">
      <c r="A39" t="n">
        <v>7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IFERROR(AVERAGE(P39:T39),"")</f>
        <v/>
      </c>
      <c r="M39" s="4">
        <f>IFERROR(AVERAGE(U39:Y39),"")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IF(AND(ISNUMBER(N39),ISNUMBER(N43)),VLOOKUP(ABS(N39-N43),'IMP Table'!$A$2:$C$26,3)*SIGN(N39-N43),"")</f>
        <v/>
      </c>
      <c r="T39">
        <f>IF(AND(ISNUMBER(N39),ISNUMBER(N44)),VLOOKUP(ABS(N39-N44),'IMP Table'!$A$2:$C$26,3)*SIGN(N39-N44),"")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  <c r="X39">
        <f>IF(AND(ISNUMBER(O39),ISNUMBER(O43)),VLOOKUP(ABS(O39-O43),'IMP Table'!$A$2:$C$26,3)*SIGN(O39-O43),"")</f>
        <v/>
      </c>
      <c r="Y39">
        <f>IF(AND(ISNUMBER(O39),ISNUMBER(O44)),VLOOKUP(ABS(O39-O44),'IMP Table'!$A$2:$C$26,3)*SIGN(O39-O44),"")</f>
        <v/>
      </c>
    </row>
    <row r="40">
      <c r="B40">
        <f>'By Round'!A62</f>
        <v/>
      </c>
      <c r="C40">
        <f>'By Round'!B72</f>
        <v/>
      </c>
      <c r="D40">
        <f>'By Round'!C72</f>
        <v/>
      </c>
      <c r="E40">
        <f>'By Round'!D72</f>
        <v/>
      </c>
      <c r="F40" s="10" t="inlineStr">
        <is>
          <t>Both</t>
        </is>
      </c>
      <c r="G40">
        <f>'By Round'!G72</f>
        <v/>
      </c>
      <c r="H40">
        <f>'By Round'!H72</f>
        <v/>
      </c>
      <c r="I40">
        <f>'By Round'!I72</f>
        <v/>
      </c>
      <c r="J40">
        <f>'By Round'!J72</f>
        <v/>
      </c>
      <c r="K40">
        <f>'By Round'!K72</f>
        <v/>
      </c>
      <c r="L40" s="11">
        <f>IFERROR(AVERAGE(P40:T40),"")</f>
        <v/>
      </c>
      <c r="M40" s="4">
        <f>IFERROR(AVERAGE(U40:Y40),"")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IF(AND(ISNUMBER(N40),ISNUMBER(N43)),VLOOKUP(ABS(N40-N43),'IMP Table'!$A$2:$C$26,3)*SIGN(N40-N43),"")</f>
        <v/>
      </c>
      <c r="T40">
        <f>IF(AND(ISNUMBER(N40),ISNUMBER(N44)),VLOOKUP(ABS(N40-N44),'IMP Table'!$A$2:$C$26,3)*SIGN(N40-N44),"")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  <c r="X40">
        <f>IF(AND(ISNUMBER(O40),ISNUMBER(O43)),VLOOKUP(ABS(O40-O43),'IMP Table'!$A$2:$C$26,3)*SIGN(O40-O43),"")</f>
        <v/>
      </c>
      <c r="Y40">
        <f>IF(AND(ISNUMBER(O40),ISNUMBER(O44)),VLOOKUP(ABS(O40-O44),'IMP Table'!$A$2:$C$26,3)*SIGN(O40-O44),"")</f>
        <v/>
      </c>
    </row>
    <row r="41">
      <c r="B41">
        <f>'By Round'!A74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Both</t>
        </is>
      </c>
      <c r="G41">
        <f>'By Round'!G82</f>
        <v/>
      </c>
      <c r="H41">
        <f>'By Round'!H82</f>
        <v/>
      </c>
      <c r="I41">
        <f>'By Round'!I82</f>
        <v/>
      </c>
      <c r="J41">
        <f>'By Round'!J82</f>
        <v/>
      </c>
      <c r="K41">
        <f>'By Round'!K82</f>
        <v/>
      </c>
      <c r="L41" s="11">
        <f>IFERROR(AVERAGE(P41:T41),"")</f>
        <v/>
      </c>
      <c r="M41" s="4">
        <f>IFERROR(AVERAGE(U41:Y41),"")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IF(AND(ISNUMBER(N41),ISNUMBER(N43)),VLOOKUP(ABS(N41-N43),'IMP Table'!$A$2:$C$26,3)*SIGN(N41-N43),"")</f>
        <v/>
      </c>
      <c r="T41">
        <f>IF(AND(ISNUMBER(N41),ISNUMBER(N44)),VLOOKUP(ABS(N41-N44),'IMP Table'!$A$2:$C$26,3)*SIGN(N41-N44),"")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  <c r="X41">
        <f>IF(AND(ISNUMBER(O41),ISNUMBER(O43)),VLOOKUP(ABS(O41-O43),'IMP Table'!$A$2:$C$26,3)*SIGN(O41-O43),"")</f>
        <v/>
      </c>
      <c r="Y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Round'!B92</f>
        <v/>
      </c>
      <c r="D42">
        <f>'By Round'!C92</f>
        <v/>
      </c>
      <c r="E42">
        <f>'By Round'!D92</f>
        <v/>
      </c>
      <c r="F42" s="10" t="inlineStr">
        <is>
          <t>Both</t>
        </is>
      </c>
      <c r="G42">
        <f>'By Round'!G92</f>
        <v/>
      </c>
      <c r="H42">
        <f>'By Round'!H92</f>
        <v/>
      </c>
      <c r="I42">
        <f>'By Round'!I92</f>
        <v/>
      </c>
      <c r="J42">
        <f>'By Round'!J92</f>
        <v/>
      </c>
      <c r="K42">
        <f>'By Round'!K92</f>
        <v/>
      </c>
      <c r="L42" s="11">
        <f>IFERROR(AVERAGE(P42:T42),"")</f>
        <v/>
      </c>
      <c r="M42" s="4">
        <f>IFERROR(AVERAGE(U42:Y42),"")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IF(AND(ISNUMBER(N42),ISNUMBER(N43)),VLOOKUP(ABS(N42-N43),'IMP Table'!$A$2:$C$26,3)*SIGN(N42-N43),"")</f>
        <v/>
      </c>
      <c r="T42">
        <f>IF(AND(ISNUMBER(N42),ISNUMBER(N44)),VLOOKUP(ABS(N42-N44),'IMP Table'!$A$2:$C$26,3)*SIGN(N42-N44),"")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  <c r="X42">
        <f>IF(AND(ISNUMBER(O42),ISNUMBER(O43)),VLOOKUP(ABS(O42-O43),'IMP Table'!$A$2:$C$26,3)*SIGN(O42-O43),"")</f>
        <v/>
      </c>
      <c r="Y42">
        <f>IF(AND(ISNUMBER(O42),ISNUMBER(O44)),VLOOKUP(ABS(O42-O44),'IMP Table'!$A$2:$C$26,3)*SIGN(O42-O44),"")</f>
        <v/>
      </c>
    </row>
    <row r="43">
      <c r="B43">
        <f>'By Round'!A110</f>
        <v/>
      </c>
      <c r="C43">
        <f>'By Round'!B114</f>
        <v/>
      </c>
      <c r="D43">
        <f>'By Round'!C114</f>
        <v/>
      </c>
      <c r="E43">
        <f>'By Round'!D114</f>
        <v/>
      </c>
      <c r="F43" s="10" t="inlineStr">
        <is>
          <t>Both</t>
        </is>
      </c>
      <c r="G43">
        <f>'By Round'!G114</f>
        <v/>
      </c>
      <c r="H43">
        <f>'By Round'!H114</f>
        <v/>
      </c>
      <c r="I43">
        <f>'By Round'!I114</f>
        <v/>
      </c>
      <c r="J43">
        <f>'By Round'!J114</f>
        <v/>
      </c>
      <c r="K43">
        <f>'By Round'!K114</f>
        <v/>
      </c>
      <c r="L43" s="11">
        <f>IFERROR(AVERAGE(P43:T43),"")</f>
        <v/>
      </c>
      <c r="M43" s="4">
        <f>IFERROR(AVERAGE(U43:Y43),"")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IF(AND(ISNUMBER(N43),ISNUMBER(N39)),VLOOKUP(ABS(N43-N39),'IMP Table'!$A$2:$C$26,3)*SIGN(N43-N39),"")</f>
        <v/>
      </c>
      <c r="Q43">
        <f>IF(AND(ISNUMBER(N43),ISNUMBER(N40)),VLOOKUP(ABS(N43-N40),'IMP Table'!$A$2:$C$26,3)*SIGN(N43-N40),"")</f>
        <v/>
      </c>
      <c r="R43">
        <f>IF(AND(ISNUMBER(N43),ISNUMBER(N41)),VLOOKUP(ABS(N43-N41),'IMP Table'!$A$2:$C$26,3)*SIGN(N43-N41),"")</f>
        <v/>
      </c>
      <c r="S43">
        <f>IF(AND(ISNUMBER(N43),ISNUMBER(N42)),VLOOKUP(ABS(N43-N42),'IMP Table'!$A$2:$C$26,3)*SIGN(N43-N42),"")</f>
        <v/>
      </c>
      <c r="T43">
        <f>IF(AND(ISNUMBER(N43),ISNUMBER(N44)),VLOOKUP(ABS(N43-N44),'IMP Table'!$A$2:$C$26,3)*SIGN(N43-N44),"")</f>
        <v/>
      </c>
      <c r="U43">
        <f>IF(AND(ISNUMBER(O43),ISNUMBER(O39)),VLOOKUP(ABS(O43-O39),'IMP Table'!$A$2:$C$26,3)*SIGN(O43-O39),"")</f>
        <v/>
      </c>
      <c r="V43">
        <f>IF(AND(ISNUMBER(O43),ISNUMBER(O40)),VLOOKUP(ABS(O43-O40),'IMP Table'!$A$2:$C$26,3)*SIGN(O43-O40),"")</f>
        <v/>
      </c>
      <c r="W43">
        <f>IF(AND(ISNUMBER(O43),ISNUMBER(O41)),VLOOKUP(ABS(O43-O41),'IMP Table'!$A$2:$C$26,3)*SIGN(O43-O41),"")</f>
        <v/>
      </c>
      <c r="X43">
        <f>IF(AND(ISNUMBER(O43),ISNUMBER(O42)),VLOOKUP(ABS(O43-O42),'IMP Table'!$A$2:$C$26,3)*SIGN(O43-O42),"")</f>
        <v/>
      </c>
      <c r="Y43">
        <f>IF(AND(ISNUMBER(O43),ISNUMBER(O44)),VLOOKUP(ABS(O43-O44),'IMP Table'!$A$2:$C$26,3)*SIGN(O43-O44),"")</f>
        <v/>
      </c>
    </row>
    <row r="44">
      <c r="B44">
        <f>'By Round'!A122</f>
        <v/>
      </c>
      <c r="C44">
        <f>'By Round'!B124</f>
        <v/>
      </c>
      <c r="D44">
        <f>'By Round'!C124</f>
        <v/>
      </c>
      <c r="E44">
        <f>'By Round'!D124</f>
        <v/>
      </c>
      <c r="F44" s="10" t="inlineStr">
        <is>
          <t>Both</t>
        </is>
      </c>
      <c r="G44">
        <f>'By Round'!G124</f>
        <v/>
      </c>
      <c r="H44">
        <f>'By Round'!H124</f>
        <v/>
      </c>
      <c r="I44">
        <f>'By Round'!I124</f>
        <v/>
      </c>
      <c r="J44">
        <f>'By Round'!J124</f>
        <v/>
      </c>
      <c r="K44">
        <f>'By Round'!K124</f>
        <v/>
      </c>
      <c r="L44" s="11">
        <f>IFERROR(AVERAGE(P44:T44),"")</f>
        <v/>
      </c>
      <c r="M44" s="4">
        <f>IFERROR(AVERAGE(U44:Y44),"")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IF(AND(ISNUMBER(N44),ISNUMBER(N39)),VLOOKUP(ABS(N44-N39),'IMP Table'!$A$2:$C$26,3)*SIGN(N44-N39),"")</f>
        <v/>
      </c>
      <c r="Q44">
        <f>IF(AND(ISNUMBER(N44),ISNUMBER(N40)),VLOOKUP(ABS(N44-N40),'IMP Table'!$A$2:$C$26,3)*SIGN(N44-N40),"")</f>
        <v/>
      </c>
      <c r="R44">
        <f>IF(AND(ISNUMBER(N44),ISNUMBER(N41)),VLOOKUP(ABS(N44-N41),'IMP Table'!$A$2:$C$26,3)*SIGN(N44-N41),"")</f>
        <v/>
      </c>
      <c r="S44">
        <f>IF(AND(ISNUMBER(N44),ISNUMBER(N42)),VLOOKUP(ABS(N44-N42),'IMP Table'!$A$2:$C$26,3)*SIGN(N44-N42),"")</f>
        <v/>
      </c>
      <c r="T44">
        <f>IF(AND(ISNUMBER(N44),ISNUMBER(N43)),VLOOKUP(ABS(N44-N43),'IMP Table'!$A$2:$C$26,3)*SIGN(N44-N43),"")</f>
        <v/>
      </c>
      <c r="U44">
        <f>IF(AND(ISNUMBER(O44),ISNUMBER(O39)),VLOOKUP(ABS(O44-O39),'IMP Table'!$A$2:$C$26,3)*SIGN(O44-O39),"")</f>
        <v/>
      </c>
      <c r="V44">
        <f>IF(AND(ISNUMBER(O44),ISNUMBER(O40)),VLOOKUP(ABS(O44-O40),'IMP Table'!$A$2:$C$26,3)*SIGN(O44-O40),"")</f>
        <v/>
      </c>
      <c r="W44">
        <f>IF(AND(ISNUMBER(O44),ISNUMBER(O41)),VLOOKUP(ABS(O44-O41),'IMP Table'!$A$2:$C$26,3)*SIGN(O44-O41),"")</f>
        <v/>
      </c>
      <c r="X44">
        <f>IF(AND(ISNUMBER(O44),ISNUMBER(O42)),VLOOKUP(ABS(O44-O42),'IMP Table'!$A$2:$C$26,3)*SIGN(O44-O42),"")</f>
        <v/>
      </c>
      <c r="Y44">
        <f>IF(AND(ISNUMBER(O44),ISNUMBER(O43)),VLOOKUP(ABS(O44-O43),'IMP Table'!$A$2:$C$26,3)*SIGN(O44-O43),"")</f>
        <v/>
      </c>
    </row>
    <row r="45">
      <c r="A45" t="n">
        <v>8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None</t>
        </is>
      </c>
      <c r="G45">
        <f>'By Round'!G39</f>
        <v/>
      </c>
      <c r="H45">
        <f>'By Round'!H39</f>
        <v/>
      </c>
      <c r="I45">
        <f>'By Round'!I39</f>
        <v/>
      </c>
      <c r="J45">
        <f>'By Round'!J39</f>
        <v/>
      </c>
      <c r="K45">
        <f>'By Round'!K39</f>
        <v/>
      </c>
      <c r="L45" s="11">
        <f>IFERROR(AVERAGE(P45:T45),"")</f>
        <v/>
      </c>
      <c r="M45" s="4">
        <f>IFERROR(AVERAGE(U45:Y45),"")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IF(AND(ISNUMBER(O45),ISNUMBER(O46)),VLOOKUP(ABS(O45-O46),'IMP Table'!$A$2:$C$26,3)*SIGN(O45-O46),"")</f>
        <v/>
      </c>
      <c r="V45">
        <f>IF(AND(ISNUMBER(O45),ISNUMBER(O47)),VLOOKUP(ABS(O45-O47),'IMP Table'!$A$2:$C$26,3)*SIGN(O45-O47),"")</f>
        <v/>
      </c>
      <c r="W45">
        <f>IF(AND(ISNUMBER(O45),ISNUMBER(O48)),VLOOKUP(ABS(O45-O48),'IMP Table'!$A$2:$C$26,3)*SIGN(O45-O48),"")</f>
        <v/>
      </c>
      <c r="X45">
        <f>IF(AND(ISNUMBER(O45),ISNUMBER(O49)),VLOOKUP(ABS(O45-O49),'IMP Table'!$A$2:$C$26,3)*SIGN(O45-O49),"")</f>
        <v/>
      </c>
      <c r="Y45">
        <f>IF(AND(ISNUMBER(O45),ISNUMBER(O50)),VLOOKUP(ABS(O45-O50),'IMP Table'!$A$2:$C$26,3)*SIGN(O45-O50),"")</f>
        <v/>
      </c>
    </row>
    <row r="46">
      <c r="B46">
        <f>'By Round'!A62</f>
        <v/>
      </c>
      <c r="C46">
        <f>'By Round'!B72</f>
        <v/>
      </c>
      <c r="D46">
        <f>'By Round'!C72</f>
        <v/>
      </c>
      <c r="E46">
        <f>'By Round'!D72</f>
        <v/>
      </c>
      <c r="F46" s="10" t="inlineStr">
        <is>
          <t>None</t>
        </is>
      </c>
      <c r="G46">
        <f>'By Round'!G73</f>
        <v/>
      </c>
      <c r="H46">
        <f>'By Round'!H73</f>
        <v/>
      </c>
      <c r="I46">
        <f>'By Round'!I73</f>
        <v/>
      </c>
      <c r="J46">
        <f>'By Round'!J73</f>
        <v/>
      </c>
      <c r="K46">
        <f>'By Round'!K73</f>
        <v/>
      </c>
      <c r="L46" s="11">
        <f>IFERROR(AVERAGE(P46:T46),"")</f>
        <v/>
      </c>
      <c r="M46" s="4">
        <f>IFERROR(AVERAGE(U46:Y46),"")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IF(AND(ISNUMBER(O46),ISNUMBER(O45)),VLOOKUP(ABS(O46-O45),'IMP Table'!$A$2:$C$26,3)*SIGN(O46-O45),"")</f>
        <v/>
      </c>
      <c r="V46">
        <f>IF(AND(ISNUMBER(O46),ISNUMBER(O47)),VLOOKUP(ABS(O46-O47),'IMP Table'!$A$2:$C$26,3)*SIGN(O46-O47),"")</f>
        <v/>
      </c>
      <c r="W46">
        <f>IF(AND(ISNUMBER(O46),ISNUMBER(O48)),VLOOKUP(ABS(O46-O48),'IMP Table'!$A$2:$C$26,3)*SIGN(O46-O48),"")</f>
        <v/>
      </c>
      <c r="X46">
        <f>IF(AND(ISNUMBER(O46),ISNUMBER(O49)),VLOOKUP(ABS(O46-O49),'IMP Table'!$A$2:$C$26,3)*SIGN(O46-O49),"")</f>
        <v/>
      </c>
      <c r="Y46">
        <f>IF(AND(ISNUMBER(O46),ISNUMBER(O50)),VLOOKUP(ABS(O46-O50),'IMP Table'!$A$2:$C$26,3)*SIGN(O46-O50),"")</f>
        <v/>
      </c>
    </row>
    <row r="47">
      <c r="B47">
        <f>'By Round'!A74</f>
        <v/>
      </c>
      <c r="C47">
        <f>'By Round'!B82</f>
        <v/>
      </c>
      <c r="D47">
        <f>'By Round'!C82</f>
        <v/>
      </c>
      <c r="E47">
        <f>'By Round'!D82</f>
        <v/>
      </c>
      <c r="F47" s="10" t="inlineStr">
        <is>
          <t>None</t>
        </is>
      </c>
      <c r="G47">
        <f>'By Round'!G83</f>
        <v/>
      </c>
      <c r="H47">
        <f>'By Round'!H83</f>
        <v/>
      </c>
      <c r="I47">
        <f>'By Round'!I83</f>
        <v/>
      </c>
      <c r="J47">
        <f>'By Round'!J83</f>
        <v/>
      </c>
      <c r="K47">
        <f>'By Round'!K83</f>
        <v/>
      </c>
      <c r="L47" s="11">
        <f>IFERROR(AVERAGE(P47:T47),"")</f>
        <v/>
      </c>
      <c r="M47" s="4">
        <f>IFERROR(AVERAGE(U47:Y47),"")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IF(AND(ISNUMBER(O47),ISNUMBER(O45)),VLOOKUP(ABS(O47-O45),'IMP Table'!$A$2:$C$26,3)*SIGN(O47-O45),"")</f>
        <v/>
      </c>
      <c r="V47">
        <f>IF(AND(ISNUMBER(O47),ISNUMBER(O46)),VLOOKUP(ABS(O47-O46),'IMP Table'!$A$2:$C$26,3)*SIGN(O47-O46),"")</f>
        <v/>
      </c>
      <c r="W47">
        <f>IF(AND(ISNUMBER(O47),ISNUMBER(O48)),VLOOKUP(ABS(O47-O48),'IMP Table'!$A$2:$C$26,3)*SIGN(O47-O48),"")</f>
        <v/>
      </c>
      <c r="X47">
        <f>IF(AND(ISNUMBER(O47),ISNUMBER(O49)),VLOOKUP(ABS(O47-O49),'IMP Table'!$A$2:$C$26,3)*SIGN(O47-O49),"")</f>
        <v/>
      </c>
      <c r="Y47">
        <f>IF(AND(ISNUMBER(O47),ISNUMBER(O50)),VLOOKUP(ABS(O47-O50),'IMP Table'!$A$2:$C$26,3)*SIGN(O47-O50),"")</f>
        <v/>
      </c>
    </row>
    <row r="48">
      <c r="B48">
        <f>'By Round'!A86</f>
        <v/>
      </c>
      <c r="C48">
        <f>'By Round'!B92</f>
        <v/>
      </c>
      <c r="D48">
        <f>'By Round'!C92</f>
        <v/>
      </c>
      <c r="E48">
        <f>'By Round'!D92</f>
        <v/>
      </c>
      <c r="F48" s="10" t="inlineStr">
        <is>
          <t>None</t>
        </is>
      </c>
      <c r="G48">
        <f>'By Round'!G93</f>
        <v/>
      </c>
      <c r="H48">
        <f>'By Round'!H93</f>
        <v/>
      </c>
      <c r="I48">
        <f>'By Round'!I93</f>
        <v/>
      </c>
      <c r="J48">
        <f>'By Round'!J93</f>
        <v/>
      </c>
      <c r="K48">
        <f>'By Round'!K93</f>
        <v/>
      </c>
      <c r="L48" s="11">
        <f>IFERROR(AVERAGE(P48:T48),"")</f>
        <v/>
      </c>
      <c r="M48" s="4">
        <f>IFERROR(AVERAGE(U48:Y48),"")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IF(AND(ISNUMBER(O48),ISNUMBER(O45)),VLOOKUP(ABS(O48-O45),'IMP Table'!$A$2:$C$26,3)*SIGN(O48-O45),"")</f>
        <v/>
      </c>
      <c r="V48">
        <f>IF(AND(ISNUMBER(O48),ISNUMBER(O46)),VLOOKUP(ABS(O48-O46),'IMP Table'!$A$2:$C$26,3)*SIGN(O48-O46),"")</f>
        <v/>
      </c>
      <c r="W48">
        <f>IF(AND(ISNUMBER(O48),ISNUMBER(O47)),VLOOKUP(ABS(O48-O47),'IMP Table'!$A$2:$C$26,3)*SIGN(O48-O47),"")</f>
        <v/>
      </c>
      <c r="X48">
        <f>IF(AND(ISNUMBER(O48),ISNUMBER(O49)),VLOOKUP(ABS(O48-O49),'IMP Table'!$A$2:$C$26,3)*SIGN(O48-O49),"")</f>
        <v/>
      </c>
      <c r="Y48">
        <f>IF(AND(ISNUMBER(O48),ISNUMBER(O50)),VLOOKUP(ABS(O48-O50),'IMP Table'!$A$2:$C$26,3)*SIGN(O48-O50),"")</f>
        <v/>
      </c>
    </row>
    <row r="49">
      <c r="B49">
        <f>'By Round'!A110</f>
        <v/>
      </c>
      <c r="C49">
        <f>'By Round'!B114</f>
        <v/>
      </c>
      <c r="D49">
        <f>'By Round'!C114</f>
        <v/>
      </c>
      <c r="E49">
        <f>'By Round'!D114</f>
        <v/>
      </c>
      <c r="F49" s="10" t="inlineStr">
        <is>
          <t>None</t>
        </is>
      </c>
      <c r="G49">
        <f>'By Round'!G115</f>
        <v/>
      </c>
      <c r="H49">
        <f>'By Round'!H115</f>
        <v/>
      </c>
      <c r="I49">
        <f>'By Round'!I115</f>
        <v/>
      </c>
      <c r="J49">
        <f>'By Round'!J115</f>
        <v/>
      </c>
      <c r="K49">
        <f>'By Round'!K115</f>
        <v/>
      </c>
      <c r="L49" s="11">
        <f>IFERROR(AVERAGE(P49:T49),"")</f>
        <v/>
      </c>
      <c r="M49" s="4">
        <f>IFERROR(AVERAGE(U49:Y49),"")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IF(AND(ISNUMBER(O49),ISNUMBER(O45)),VLOOKUP(ABS(O49-O45),'IMP Table'!$A$2:$C$26,3)*SIGN(O49-O45),"")</f>
        <v/>
      </c>
      <c r="V49">
        <f>IF(AND(ISNUMBER(O49),ISNUMBER(O46)),VLOOKUP(ABS(O49-O46),'IMP Table'!$A$2:$C$26,3)*SIGN(O49-O46),"")</f>
        <v/>
      </c>
      <c r="W49">
        <f>IF(AND(ISNUMBER(O49),ISNUMBER(O47)),VLOOKUP(ABS(O49-O47),'IMP Table'!$A$2:$C$26,3)*SIGN(O49-O47),"")</f>
        <v/>
      </c>
      <c r="X49">
        <f>IF(AND(ISNUMBER(O49),ISNUMBER(O48)),VLOOKUP(ABS(O49-O48),'IMP Table'!$A$2:$C$26,3)*SIGN(O49-O48),"")</f>
        <v/>
      </c>
      <c r="Y49">
        <f>IF(AND(ISNUMBER(O49),ISNUMBER(O50)),VLOOKUP(ABS(O49-O50),'IMP Table'!$A$2:$C$26,3)*SIGN(O49-O50),"")</f>
        <v/>
      </c>
    </row>
    <row r="50">
      <c r="B50">
        <f>'By Round'!A122</f>
        <v/>
      </c>
      <c r="C50">
        <f>'By Round'!B124</f>
        <v/>
      </c>
      <c r="D50">
        <f>'By Round'!C124</f>
        <v/>
      </c>
      <c r="E50">
        <f>'By Round'!D124</f>
        <v/>
      </c>
      <c r="F50" s="10" t="inlineStr">
        <is>
          <t>None</t>
        </is>
      </c>
      <c r="G50">
        <f>'By Round'!G125</f>
        <v/>
      </c>
      <c r="H50">
        <f>'By Round'!H125</f>
        <v/>
      </c>
      <c r="I50">
        <f>'By Round'!I125</f>
        <v/>
      </c>
      <c r="J50">
        <f>'By Round'!J125</f>
        <v/>
      </c>
      <c r="K50">
        <f>'By Round'!K125</f>
        <v/>
      </c>
      <c r="L50" s="11">
        <f>IFERROR(AVERAGE(P50:T50),"")</f>
        <v/>
      </c>
      <c r="M50" s="4">
        <f>IFERROR(AVERAGE(U50:Y50),"")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IF(AND(ISNUMBER(O50),ISNUMBER(O45)),VLOOKUP(ABS(O50-O45),'IMP Table'!$A$2:$C$26,3)*SIGN(O50-O45),"")</f>
        <v/>
      </c>
      <c r="V50">
        <f>IF(AND(ISNUMBER(O50),ISNUMBER(O46)),VLOOKUP(ABS(O50-O46),'IMP Table'!$A$2:$C$26,3)*SIGN(O50-O46),"")</f>
        <v/>
      </c>
      <c r="W50">
        <f>IF(AND(ISNUMBER(O50),ISNUMBER(O47)),VLOOKUP(ABS(O50-O47),'IMP Table'!$A$2:$C$26,3)*SIGN(O50-O47),"")</f>
        <v/>
      </c>
      <c r="X50">
        <f>IF(AND(ISNUMBER(O50),ISNUMBER(O48)),VLOOKUP(ABS(O50-O48),'IMP Table'!$A$2:$C$26,3)*SIGN(O50-O48),"")</f>
        <v/>
      </c>
      <c r="Y50">
        <f>IF(AND(ISNUMBER(O50),ISNUMBER(O49)),VLOOKUP(ABS(O50-O49),'IMP Table'!$A$2:$C$26,3)*SIGN(O50-O49),"")</f>
        <v/>
      </c>
    </row>
    <row r="51">
      <c r="A51" t="n">
        <v>9</v>
      </c>
      <c r="B51">
        <f>'By Round'!A2</f>
        <v/>
      </c>
      <c r="C51">
        <f>'By Round'!B4</f>
        <v/>
      </c>
      <c r="D51">
        <f>'By Round'!C4</f>
        <v/>
      </c>
      <c r="E51">
        <f>'By Round'!D4</f>
        <v/>
      </c>
      <c r="F51" s="10" t="inlineStr">
        <is>
          <t>EW</t>
        </is>
      </c>
      <c r="G51">
        <f>'By Round'!G4</f>
        <v/>
      </c>
      <c r="H51">
        <f>'By Round'!H4</f>
        <v/>
      </c>
      <c r="I51">
        <f>'By Round'!I4</f>
        <v/>
      </c>
      <c r="J51">
        <f>'By Round'!J4</f>
        <v/>
      </c>
      <c r="K51">
        <f>'By Round'!K4</f>
        <v/>
      </c>
      <c r="L51" s="11">
        <f>IFERROR(AVERAGE(P51:T51),"")</f>
        <v/>
      </c>
      <c r="M51" s="4">
        <f>IFERROR(AVERAGE(U51:Y51),"")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IF(AND(ISNUMBER(N51),ISNUMBER(N55)),VLOOKUP(ABS(N51-N55),'IMP Table'!$A$2:$C$26,3)*SIGN(N51-N55),"")</f>
        <v/>
      </c>
      <c r="T51">
        <f>IF(AND(ISNUMBER(N51),ISNUMBER(N56)),VLOOKUP(ABS(N51-N56),'IMP Table'!$A$2:$C$26,3)*SIGN(N51-N56),"")</f>
        <v/>
      </c>
      <c r="U51">
        <f>IF(AND(ISNUMBER(O51),ISNUMBER(O52)),VLOOKUP(ABS(O51-O52),'IMP Table'!$A$2:$C$26,3)*SIGN(O51-O52),"")</f>
        <v/>
      </c>
      <c r="V51">
        <f>IF(AND(ISNUMBER(O51),ISNUMBER(O53)),VLOOKUP(ABS(O51-O53),'IMP Table'!$A$2:$C$26,3)*SIGN(O51-O53),"")</f>
        <v/>
      </c>
      <c r="W51">
        <f>IF(AND(ISNUMBER(O51),ISNUMBER(O54)),VLOOKUP(ABS(O51-O54),'IMP Table'!$A$2:$C$26,3)*SIGN(O51-O54),"")</f>
        <v/>
      </c>
      <c r="X51">
        <f>IF(AND(ISNUMBER(O51),ISNUMBER(O55)),VLOOKUP(ABS(O51-O55),'IMP Table'!$A$2:$C$26,3)*SIGN(O51-O55),"")</f>
        <v/>
      </c>
      <c r="Y51">
        <f>IF(AND(ISNUMBER(O51),ISNUMBER(O56)),VLOOKUP(ABS(O51-O56),'IMP Table'!$A$2:$C$26,3)*SIGN(O51-O56),"")</f>
        <v/>
      </c>
    </row>
    <row r="52">
      <c r="B52">
        <f>'By Round'!A50</f>
        <v/>
      </c>
      <c r="C52">
        <f>'By Round'!B50</f>
        <v/>
      </c>
      <c r="D52">
        <f>'By Round'!C50</f>
        <v/>
      </c>
      <c r="E52">
        <f>'By Round'!D50</f>
        <v/>
      </c>
      <c r="F52" s="10" t="inlineStr">
        <is>
          <t>EW</t>
        </is>
      </c>
      <c r="G52">
        <f>'By Round'!G50</f>
        <v/>
      </c>
      <c r="H52">
        <f>'By Round'!H50</f>
        <v/>
      </c>
      <c r="I52">
        <f>'By Round'!I50</f>
        <v/>
      </c>
      <c r="J52">
        <f>'By Round'!J50</f>
        <v/>
      </c>
      <c r="K52">
        <f>'By Round'!K50</f>
        <v/>
      </c>
      <c r="L52" s="11">
        <f>IFERROR(AVERAGE(P52:T52),"")</f>
        <v/>
      </c>
      <c r="M52" s="4">
        <f>IFERROR(AVERAGE(U52:Y52),"")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IF(AND(ISNUMBER(N52),ISNUMBER(N55)),VLOOKUP(ABS(N52-N55),'IMP Table'!$A$2:$C$26,3)*SIGN(N52-N55),"")</f>
        <v/>
      </c>
      <c r="T52">
        <f>IF(AND(ISNUMBER(N52),ISNUMBER(N56)),VLOOKUP(ABS(N52-N56),'IMP Table'!$A$2:$C$26,3)*SIGN(N52-N56),"")</f>
        <v/>
      </c>
      <c r="U52">
        <f>IF(AND(ISNUMBER(O52),ISNUMBER(O51)),VLOOKUP(ABS(O52-O51),'IMP Table'!$A$2:$C$26,3)*SIGN(O52-O51),"")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</row>
    <row r="53">
      <c r="B53">
        <f>'By Round'!A74</f>
        <v/>
      </c>
      <c r="C53">
        <f>'By Round'!B84</f>
        <v/>
      </c>
      <c r="D53">
        <f>'By Round'!C84</f>
        <v/>
      </c>
      <c r="E53">
        <f>'By Round'!D84</f>
        <v/>
      </c>
      <c r="F53" s="10" t="inlineStr">
        <is>
          <t>EW</t>
        </is>
      </c>
      <c r="G53">
        <f>'By Round'!G84</f>
        <v/>
      </c>
      <c r="H53">
        <f>'By Round'!H84</f>
        <v/>
      </c>
      <c r="I53">
        <f>'By Round'!I84</f>
        <v/>
      </c>
      <c r="J53">
        <f>'By Round'!J84</f>
        <v/>
      </c>
      <c r="K53">
        <f>'By Round'!K84</f>
        <v/>
      </c>
      <c r="L53" s="11">
        <f>IFERROR(AVERAGE(P53:T53),"")</f>
        <v/>
      </c>
      <c r="M53" s="4">
        <f>IFERROR(AVERAGE(U53:Y53),"")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IF(AND(ISNUMBER(N53),ISNUMBER(N55)),VLOOKUP(ABS(N53-N55),'IMP Table'!$A$2:$C$26,3)*SIGN(N53-N55),"")</f>
        <v/>
      </c>
      <c r="T53">
        <f>IF(AND(ISNUMBER(N53),ISNUMBER(N56)),VLOOKUP(ABS(N53-N56),'IMP Table'!$A$2:$C$26,3)*SIGN(N53-N56),"")</f>
        <v/>
      </c>
      <c r="U53">
        <f>IF(AND(ISNUMBER(O53),ISNUMBER(O51)),VLOOKUP(ABS(O53-O51),'IMP Table'!$A$2:$C$26,3)*SIGN(O53-O51),"")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</row>
    <row r="54">
      <c r="B54">
        <f>'By Round'!A86</f>
        <v/>
      </c>
      <c r="C54">
        <f>'By Round'!B94</f>
        <v/>
      </c>
      <c r="D54">
        <f>'By Round'!C94</f>
        <v/>
      </c>
      <c r="E54">
        <f>'By Round'!D94</f>
        <v/>
      </c>
      <c r="F54" s="10" t="inlineStr">
        <is>
          <t>EW</t>
        </is>
      </c>
      <c r="G54">
        <f>'By Round'!G94</f>
        <v/>
      </c>
      <c r="H54">
        <f>'By Round'!H94</f>
        <v/>
      </c>
      <c r="I54">
        <f>'By Round'!I94</f>
        <v/>
      </c>
      <c r="J54">
        <f>'By Round'!J94</f>
        <v/>
      </c>
      <c r="K54">
        <f>'By Round'!K94</f>
        <v/>
      </c>
      <c r="L54" s="11">
        <f>IFERROR(AVERAGE(P54:T54),"")</f>
        <v/>
      </c>
      <c r="M54" s="4">
        <f>IFERROR(AVERAGE(U54:Y54),"")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IF(AND(ISNUMBER(N54),ISNUMBER(N55)),VLOOKUP(ABS(N54-N55),'IMP Table'!$A$2:$C$26,3)*SIGN(N54-N55),"")</f>
        <v/>
      </c>
      <c r="T54">
        <f>IF(AND(ISNUMBER(N54),ISNUMBER(N56)),VLOOKUP(ABS(N54-N56),'IMP Table'!$A$2:$C$26,3)*SIGN(N54-N56),"")</f>
        <v/>
      </c>
      <c r="U54">
        <f>IF(AND(ISNUMBER(O54),ISNUMBER(O51)),VLOOKUP(ABS(O54-O51),'IMP Table'!$A$2:$C$26,3)*SIGN(O54-O51),"")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</row>
    <row r="55">
      <c r="B55">
        <f>'By Round'!A98</f>
        <v/>
      </c>
      <c r="C55">
        <f>'By Round'!B104</f>
        <v/>
      </c>
      <c r="D55">
        <f>'By Round'!C104</f>
        <v/>
      </c>
      <c r="E55">
        <f>'By Round'!D104</f>
        <v/>
      </c>
      <c r="F55" s="10" t="inlineStr">
        <is>
          <t>EW</t>
        </is>
      </c>
      <c r="G55">
        <f>'By Round'!G104</f>
        <v/>
      </c>
      <c r="H55">
        <f>'By Round'!H104</f>
        <v/>
      </c>
      <c r="I55">
        <f>'By Round'!I104</f>
        <v/>
      </c>
      <c r="J55">
        <f>'By Round'!J104</f>
        <v/>
      </c>
      <c r="K55">
        <f>'By Round'!K104</f>
        <v/>
      </c>
      <c r="L55" s="11">
        <f>IFERROR(AVERAGE(P55:T55),"")</f>
        <v/>
      </c>
      <c r="M55" s="4">
        <f>IFERROR(AVERAGE(U55:Y55),"")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IF(AND(ISNUMBER(N55),ISNUMBER(N51)),VLOOKUP(ABS(N55-N51),'IMP Table'!$A$2:$C$26,3)*SIGN(N55-N51),"")</f>
        <v/>
      </c>
      <c r="Q55">
        <f>IF(AND(ISNUMBER(N55),ISNUMBER(N52)),VLOOKUP(ABS(N55-N52),'IMP Table'!$A$2:$C$26,3)*SIGN(N55-N52),"")</f>
        <v/>
      </c>
      <c r="R55">
        <f>IF(AND(ISNUMBER(N55),ISNUMBER(N53)),VLOOKUP(ABS(N55-N53),'IMP Table'!$A$2:$C$26,3)*SIGN(N55-N53),"")</f>
        <v/>
      </c>
      <c r="S55">
        <f>IF(AND(ISNUMBER(N55),ISNUMBER(N54)),VLOOKUP(ABS(N55-N54),'IMP Table'!$A$2:$C$26,3)*SIGN(N55-N54),"")</f>
        <v/>
      </c>
      <c r="T55">
        <f>IF(AND(ISNUMBER(N55),ISNUMBER(N56)),VLOOKUP(ABS(N55-N56),'IMP Table'!$A$2:$C$26,3)*SIGN(N55-N56),"")</f>
        <v/>
      </c>
      <c r="U55">
        <f>IF(AND(ISNUMBER(O55),ISNUMBER(O51)),VLOOKUP(ABS(O55-O51),'IMP Table'!$A$2:$C$26,3)*SIGN(O55-O51),"")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</row>
    <row r="56">
      <c r="B56">
        <f>'By Round'!A122</f>
        <v/>
      </c>
      <c r="C56">
        <f>'By Round'!B126</f>
        <v/>
      </c>
      <c r="D56">
        <f>'By Round'!C126</f>
        <v/>
      </c>
      <c r="E56">
        <f>'By Round'!D126</f>
        <v/>
      </c>
      <c r="F56" s="10" t="inlineStr">
        <is>
          <t>EW</t>
        </is>
      </c>
      <c r="G56">
        <f>'By Round'!G126</f>
        <v/>
      </c>
      <c r="H56">
        <f>'By Round'!H126</f>
        <v/>
      </c>
      <c r="I56">
        <f>'By Round'!I126</f>
        <v/>
      </c>
      <c r="J56">
        <f>'By Round'!J126</f>
        <v/>
      </c>
      <c r="K56">
        <f>'By Round'!K126</f>
        <v/>
      </c>
      <c r="L56" s="11">
        <f>IFERROR(AVERAGE(P56:T56),"")</f>
        <v/>
      </c>
      <c r="M56" s="4">
        <f>IFERROR(AVERAGE(U56:Y56),"")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IF(AND(ISNUMBER(N56),ISNUMBER(N51)),VLOOKUP(ABS(N56-N51),'IMP Table'!$A$2:$C$26,3)*SIGN(N56-N51),"")</f>
        <v/>
      </c>
      <c r="Q56">
        <f>IF(AND(ISNUMBER(N56),ISNUMBER(N52)),VLOOKUP(ABS(N56-N52),'IMP Table'!$A$2:$C$26,3)*SIGN(N56-N52),"")</f>
        <v/>
      </c>
      <c r="R56">
        <f>IF(AND(ISNUMBER(N56),ISNUMBER(N53)),VLOOKUP(ABS(N56-N53),'IMP Table'!$A$2:$C$26,3)*SIGN(N56-N53),"")</f>
        <v/>
      </c>
      <c r="S56">
        <f>IF(AND(ISNUMBER(N56),ISNUMBER(N54)),VLOOKUP(ABS(N56-N54),'IMP Table'!$A$2:$C$26,3)*SIGN(N56-N54),"")</f>
        <v/>
      </c>
      <c r="T56">
        <f>IF(AND(ISNUMBER(N56),ISNUMBER(N55)),VLOOKUP(ABS(N56-N55),'IMP Table'!$A$2:$C$26,3)*SIGN(N56-N55),"")</f>
        <v/>
      </c>
      <c r="U56">
        <f>IF(AND(ISNUMBER(O56),ISNUMBER(O51)),VLOOKUP(ABS(O56-O51),'IMP Table'!$A$2:$C$26,3)*SIGN(O56-O51),"")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</row>
    <row r="57">
      <c r="A57" t="n">
        <v>10</v>
      </c>
      <c r="B57">
        <f>'By Round'!A2</f>
        <v/>
      </c>
      <c r="C57">
        <f>'By Round'!B4</f>
        <v/>
      </c>
      <c r="D57">
        <f>'By Round'!C4</f>
        <v/>
      </c>
      <c r="E57">
        <f>'By Round'!D4</f>
        <v/>
      </c>
      <c r="F57" s="10" t="inlineStr">
        <is>
          <t>Both</t>
        </is>
      </c>
      <c r="G57">
        <f>'By Round'!G5</f>
        <v/>
      </c>
      <c r="H57">
        <f>'By Round'!H5</f>
        <v/>
      </c>
      <c r="I57">
        <f>'By Round'!I5</f>
        <v/>
      </c>
      <c r="J57">
        <f>'By Round'!J5</f>
        <v/>
      </c>
      <c r="K57">
        <f>'By Round'!K5</f>
        <v/>
      </c>
      <c r="L57" s="11">
        <f>IFERROR(AVERAGE(P57:T57),"")</f>
        <v/>
      </c>
      <c r="M57" s="4">
        <f>IFERROR(AVERAGE(U57:Y57),"")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IF(AND(ISNUMBER(N57),ISNUMBER(N58)),VLOOKUP(ABS(N57-N58),'IMP Table'!$A$2:$C$26,3)*SIGN(N57-N58),"")</f>
        <v/>
      </c>
      <c r="Q57">
        <f>IF(AND(ISNUMBER(N57),ISNUMBER(N59)),VLOOKUP(ABS(N57-N59),'IMP Table'!$A$2:$C$26,3)*SIGN(N57-N59),"")</f>
        <v/>
      </c>
      <c r="R57">
        <f>IF(AND(ISNUMBER(N57),ISNUMBER(N60)),VLOOKUP(ABS(N57-N60),'IMP Table'!$A$2:$C$26,3)*SIGN(N57-N60),"")</f>
        <v/>
      </c>
      <c r="S57">
        <f>IF(AND(ISNUMBER(N57),ISNUMBER(N61)),VLOOKUP(ABS(N57-N61),'IMP Table'!$A$2:$C$26,3)*SIGN(N57-N61),"")</f>
        <v/>
      </c>
      <c r="T57">
        <f>IF(AND(ISNUMBER(N57),ISNUMBER(N62)),VLOOKUP(ABS(N57-N62),'IMP Table'!$A$2:$C$26,3)*SIGN(N57-N62),"")</f>
        <v/>
      </c>
      <c r="U57">
        <f>IF(AND(ISNUMBER(O57),ISNUMBER(O58)),VLOOKUP(ABS(O57-O58),'IMP Table'!$A$2:$C$26,3)*SIGN(O57-O58),"")</f>
        <v/>
      </c>
      <c r="V57">
        <f>IF(AND(ISNUMBER(O57),ISNUMBER(O59)),VLOOKUP(ABS(O57-O59),'IMP Table'!$A$2:$C$26,3)*SIGN(O57-O59),"")</f>
        <v/>
      </c>
      <c r="W57">
        <f>IF(AND(ISNUMBER(O57),ISNUMBER(O60)),VLOOKUP(ABS(O57-O60),'IMP Table'!$A$2:$C$26,3)*SIGN(O57-O60),"")</f>
        <v/>
      </c>
      <c r="X57">
        <f>IF(AND(ISNUMBER(O57),ISNUMBER(O61)),VLOOKUP(ABS(O57-O61),'IMP Table'!$A$2:$C$26,3)*SIGN(O57-O61),"")</f>
        <v/>
      </c>
      <c r="Y57">
        <f>IF(AND(ISNUMBER(O57),ISNUMBER(O62)),VLOOKUP(ABS(O57-O62),'IMP Table'!$A$2:$C$26,3)*SIGN(O57-O62),"")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Both</t>
        </is>
      </c>
      <c r="G58">
        <f>'By Round'!G51</f>
        <v/>
      </c>
      <c r="H58">
        <f>'By Round'!H51</f>
        <v/>
      </c>
      <c r="I58">
        <f>'By Round'!I51</f>
        <v/>
      </c>
      <c r="J58">
        <f>'By Round'!J51</f>
        <v/>
      </c>
      <c r="K58">
        <f>'By Round'!K51</f>
        <v/>
      </c>
      <c r="L58" s="11">
        <f>IFERROR(AVERAGE(P58:T58),"")</f>
        <v/>
      </c>
      <c r="M58" s="4">
        <f>IFERROR(AVERAGE(U58:Y58),"")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IF(AND(ISNUMBER(N58),ISNUMBER(N57)),VLOOKUP(ABS(N58-N57),'IMP Table'!$A$2:$C$26,3)*SIGN(N58-N57),"")</f>
        <v/>
      </c>
      <c r="Q58">
        <f>IF(AND(ISNUMBER(N58),ISNUMBER(N59)),VLOOKUP(ABS(N58-N59),'IMP Table'!$A$2:$C$26,3)*SIGN(N58-N59),"")</f>
        <v/>
      </c>
      <c r="R58">
        <f>IF(AND(ISNUMBER(N58),ISNUMBER(N60)),VLOOKUP(ABS(N58-N60),'IMP Table'!$A$2:$C$26,3)*SIGN(N58-N60),"")</f>
        <v/>
      </c>
      <c r="S58">
        <f>IF(AND(ISNUMBER(N58),ISNUMBER(N61)),VLOOKUP(ABS(N58-N61),'IMP Table'!$A$2:$C$26,3)*SIGN(N58-N61),"")</f>
        <v/>
      </c>
      <c r="T58">
        <f>IF(AND(ISNUMBER(N58),ISNUMBER(N62)),VLOOKUP(ABS(N58-N62),'IMP Table'!$A$2:$C$26,3)*SIGN(N58-N62),"")</f>
        <v/>
      </c>
      <c r="U58">
        <f>IF(AND(ISNUMBER(O58),ISNUMBER(O57)),VLOOKUP(ABS(O58-O57),'IMP Table'!$A$2:$C$26,3)*SIGN(O58-O57),"")</f>
        <v/>
      </c>
      <c r="V58">
        <f>IF(AND(ISNUMBER(O58),ISNUMBER(O59)),VLOOKUP(ABS(O58-O59),'IMP Table'!$A$2:$C$26,3)*SIGN(O58-O59),"")</f>
        <v/>
      </c>
      <c r="W58">
        <f>IF(AND(ISNUMBER(O58),ISNUMBER(O60)),VLOOKUP(ABS(O58-O60),'IMP Table'!$A$2:$C$26,3)*SIGN(O58-O60),"")</f>
        <v/>
      </c>
      <c r="X58">
        <f>IF(AND(ISNUMBER(O58),ISNUMBER(O61)),VLOOKUP(ABS(O58-O61),'IMP Table'!$A$2:$C$26,3)*SIGN(O58-O61),"")</f>
        <v/>
      </c>
      <c r="Y58">
        <f>IF(AND(ISNUMBER(O58),ISNUMBER(O62)),VLOOKUP(ABS(O58-O62),'IMP Table'!$A$2:$C$26,3)*SIGN(O58-O62),"")</f>
        <v/>
      </c>
    </row>
    <row r="59">
      <c r="B59">
        <f>'By Round'!A74</f>
        <v/>
      </c>
      <c r="C59">
        <f>'By Round'!B84</f>
        <v/>
      </c>
      <c r="D59">
        <f>'By Round'!C84</f>
        <v/>
      </c>
      <c r="E59">
        <f>'By Round'!D84</f>
        <v/>
      </c>
      <c r="F59" s="10" t="inlineStr">
        <is>
          <t>Both</t>
        </is>
      </c>
      <c r="G59">
        <f>'By Round'!G85</f>
        <v/>
      </c>
      <c r="H59">
        <f>'By Round'!H85</f>
        <v/>
      </c>
      <c r="I59">
        <f>'By Round'!I85</f>
        <v/>
      </c>
      <c r="J59">
        <f>'By Round'!J85</f>
        <v/>
      </c>
      <c r="K59">
        <f>'By Round'!K85</f>
        <v/>
      </c>
      <c r="L59" s="11">
        <f>IFERROR(AVERAGE(P59:T59),"")</f>
        <v/>
      </c>
      <c r="M59" s="4">
        <f>IFERROR(AVERAGE(U59:Y59),"")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IF(AND(ISNUMBER(N59),ISNUMBER(N57)),VLOOKUP(ABS(N59-N57),'IMP Table'!$A$2:$C$26,3)*SIGN(N59-N57),"")</f>
        <v/>
      </c>
      <c r="Q59">
        <f>IF(AND(ISNUMBER(N59),ISNUMBER(N58)),VLOOKUP(ABS(N59-N58),'IMP Table'!$A$2:$C$26,3)*SIGN(N59-N58),"")</f>
        <v/>
      </c>
      <c r="R59">
        <f>IF(AND(ISNUMBER(N59),ISNUMBER(N60)),VLOOKUP(ABS(N59-N60),'IMP Table'!$A$2:$C$26,3)*SIGN(N59-N60),"")</f>
        <v/>
      </c>
      <c r="S59">
        <f>IF(AND(ISNUMBER(N59),ISNUMBER(N61)),VLOOKUP(ABS(N59-N61),'IMP Table'!$A$2:$C$26,3)*SIGN(N59-N61),"")</f>
        <v/>
      </c>
      <c r="T59">
        <f>IF(AND(ISNUMBER(N59),ISNUMBER(N62)),VLOOKUP(ABS(N59-N62),'IMP Table'!$A$2:$C$26,3)*SIGN(N59-N62),"")</f>
        <v/>
      </c>
      <c r="U59">
        <f>IF(AND(ISNUMBER(O59),ISNUMBER(O57)),VLOOKUP(ABS(O59-O57),'IMP Table'!$A$2:$C$26,3)*SIGN(O59-O57),"")</f>
        <v/>
      </c>
      <c r="V59">
        <f>IF(AND(ISNUMBER(O59),ISNUMBER(O58)),VLOOKUP(ABS(O59-O58),'IMP Table'!$A$2:$C$26,3)*SIGN(O59-O58),"")</f>
        <v/>
      </c>
      <c r="W59">
        <f>IF(AND(ISNUMBER(O59),ISNUMBER(O60)),VLOOKUP(ABS(O59-O60),'IMP Table'!$A$2:$C$26,3)*SIGN(O59-O60),"")</f>
        <v/>
      </c>
      <c r="X59">
        <f>IF(AND(ISNUMBER(O59),ISNUMBER(O61)),VLOOKUP(ABS(O59-O61),'IMP Table'!$A$2:$C$26,3)*SIGN(O59-O61),"")</f>
        <v/>
      </c>
      <c r="Y59">
        <f>IF(AND(ISNUMBER(O59),ISNUMBER(O62)),VLOOKUP(ABS(O59-O62),'IMP Table'!$A$2:$C$26,3)*SIGN(O59-O62),"")</f>
        <v/>
      </c>
    </row>
    <row r="60">
      <c r="B60">
        <f>'By Round'!A86</f>
        <v/>
      </c>
      <c r="C60">
        <f>'By Round'!B94</f>
        <v/>
      </c>
      <c r="D60">
        <f>'By Round'!C94</f>
        <v/>
      </c>
      <c r="E60">
        <f>'By Round'!D94</f>
        <v/>
      </c>
      <c r="F60" s="10" t="inlineStr">
        <is>
          <t>Both</t>
        </is>
      </c>
      <c r="G60">
        <f>'By Round'!G95</f>
        <v/>
      </c>
      <c r="H60">
        <f>'By Round'!H95</f>
        <v/>
      </c>
      <c r="I60">
        <f>'By Round'!I95</f>
        <v/>
      </c>
      <c r="J60">
        <f>'By Round'!J95</f>
        <v/>
      </c>
      <c r="K60">
        <f>'By Round'!K95</f>
        <v/>
      </c>
      <c r="L60" s="11">
        <f>IFERROR(AVERAGE(P60:T60),"")</f>
        <v/>
      </c>
      <c r="M60" s="4">
        <f>IFERROR(AVERAGE(U60:Y60),"")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IF(AND(ISNUMBER(N60),ISNUMBER(N57)),VLOOKUP(ABS(N60-N57),'IMP Table'!$A$2:$C$26,3)*SIGN(N60-N57),"")</f>
        <v/>
      </c>
      <c r="Q60">
        <f>IF(AND(ISNUMBER(N60),ISNUMBER(N58)),VLOOKUP(ABS(N60-N58),'IMP Table'!$A$2:$C$26,3)*SIGN(N60-N58),"")</f>
        <v/>
      </c>
      <c r="R60">
        <f>IF(AND(ISNUMBER(N60),ISNUMBER(N59)),VLOOKUP(ABS(N60-N59),'IMP Table'!$A$2:$C$26,3)*SIGN(N60-N59),"")</f>
        <v/>
      </c>
      <c r="S60">
        <f>IF(AND(ISNUMBER(N60),ISNUMBER(N61)),VLOOKUP(ABS(N60-N61),'IMP Table'!$A$2:$C$26,3)*SIGN(N60-N61),"")</f>
        <v/>
      </c>
      <c r="T60">
        <f>IF(AND(ISNUMBER(N60),ISNUMBER(N62)),VLOOKUP(ABS(N60-N62),'IMP Table'!$A$2:$C$26,3)*SIGN(N60-N62),"")</f>
        <v/>
      </c>
      <c r="U60">
        <f>IF(AND(ISNUMBER(O60),ISNUMBER(O57)),VLOOKUP(ABS(O60-O57),'IMP Table'!$A$2:$C$26,3)*SIGN(O60-O57),"")</f>
        <v/>
      </c>
      <c r="V60">
        <f>IF(AND(ISNUMBER(O60),ISNUMBER(O58)),VLOOKUP(ABS(O60-O58),'IMP Table'!$A$2:$C$26,3)*SIGN(O60-O58),"")</f>
        <v/>
      </c>
      <c r="W60">
        <f>IF(AND(ISNUMBER(O60),ISNUMBER(O59)),VLOOKUP(ABS(O60-O59),'IMP Table'!$A$2:$C$26,3)*SIGN(O60-O59),"")</f>
        <v/>
      </c>
      <c r="X60">
        <f>IF(AND(ISNUMBER(O60),ISNUMBER(O61)),VLOOKUP(ABS(O60-O61),'IMP Table'!$A$2:$C$26,3)*SIGN(O60-O61),"")</f>
        <v/>
      </c>
      <c r="Y60">
        <f>IF(AND(ISNUMBER(O60),ISNUMBER(O62)),VLOOKUP(ABS(O60-O62),'IMP Table'!$A$2:$C$26,3)*SIGN(O60-O62),"")</f>
        <v/>
      </c>
    </row>
    <row r="61">
      <c r="B61">
        <f>'By Round'!A98</f>
        <v/>
      </c>
      <c r="C61">
        <f>'By Round'!B104</f>
        <v/>
      </c>
      <c r="D61">
        <f>'By Round'!C104</f>
        <v/>
      </c>
      <c r="E61">
        <f>'By Round'!D104</f>
        <v/>
      </c>
      <c r="F61" s="10" t="inlineStr">
        <is>
          <t>Both</t>
        </is>
      </c>
      <c r="G61">
        <f>'By Round'!G105</f>
        <v/>
      </c>
      <c r="H61">
        <f>'By Round'!H105</f>
        <v/>
      </c>
      <c r="I61">
        <f>'By Round'!I105</f>
        <v/>
      </c>
      <c r="J61">
        <f>'By Round'!J105</f>
        <v/>
      </c>
      <c r="K61">
        <f>'By Round'!K105</f>
        <v/>
      </c>
      <c r="L61" s="11">
        <f>IFERROR(AVERAGE(P61:T61),"")</f>
        <v/>
      </c>
      <c r="M61" s="4">
        <f>IFERROR(AVERAGE(U61:Y61),"")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IF(AND(ISNUMBER(N61),ISNUMBER(N57)),VLOOKUP(ABS(N61-N57),'IMP Table'!$A$2:$C$26,3)*SIGN(N61-N57),"")</f>
        <v/>
      </c>
      <c r="Q61">
        <f>IF(AND(ISNUMBER(N61),ISNUMBER(N58)),VLOOKUP(ABS(N61-N58),'IMP Table'!$A$2:$C$26,3)*SIGN(N61-N58),"")</f>
        <v/>
      </c>
      <c r="R61">
        <f>IF(AND(ISNUMBER(N61),ISNUMBER(N59)),VLOOKUP(ABS(N61-N59),'IMP Table'!$A$2:$C$26,3)*SIGN(N61-N59),"")</f>
        <v/>
      </c>
      <c r="S61">
        <f>IF(AND(ISNUMBER(N61),ISNUMBER(N60)),VLOOKUP(ABS(N61-N60),'IMP Table'!$A$2:$C$26,3)*SIGN(N61-N60),"")</f>
        <v/>
      </c>
      <c r="T61">
        <f>IF(AND(ISNUMBER(N61),ISNUMBER(N62)),VLOOKUP(ABS(N61-N62),'IMP Table'!$A$2:$C$26,3)*SIGN(N61-N62),"")</f>
        <v/>
      </c>
      <c r="U61">
        <f>IF(AND(ISNUMBER(O61),ISNUMBER(O57)),VLOOKUP(ABS(O61-O57),'IMP Table'!$A$2:$C$26,3)*SIGN(O61-O57),"")</f>
        <v/>
      </c>
      <c r="V61">
        <f>IF(AND(ISNUMBER(O61),ISNUMBER(O58)),VLOOKUP(ABS(O61-O58),'IMP Table'!$A$2:$C$26,3)*SIGN(O61-O58),"")</f>
        <v/>
      </c>
      <c r="W61">
        <f>IF(AND(ISNUMBER(O61),ISNUMBER(O59)),VLOOKUP(ABS(O61-O59),'IMP Table'!$A$2:$C$26,3)*SIGN(O61-O59),"")</f>
        <v/>
      </c>
      <c r="X61">
        <f>IF(AND(ISNUMBER(O61),ISNUMBER(O60)),VLOOKUP(ABS(O61-O60),'IMP Table'!$A$2:$C$26,3)*SIGN(O61-O60),"")</f>
        <v/>
      </c>
      <c r="Y61">
        <f>IF(AND(ISNUMBER(O61),ISNUMBER(O62)),VLOOKUP(ABS(O61-O62),'IMP Table'!$A$2:$C$26,3)*SIGN(O61-O62),"")</f>
        <v/>
      </c>
    </row>
    <row r="62">
      <c r="B62">
        <f>'By Round'!A122</f>
        <v/>
      </c>
      <c r="C62">
        <f>'By Round'!B126</f>
        <v/>
      </c>
      <c r="D62">
        <f>'By Round'!C126</f>
        <v/>
      </c>
      <c r="E62">
        <f>'By Round'!D126</f>
        <v/>
      </c>
      <c r="F62" s="10" t="inlineStr">
        <is>
          <t>Both</t>
        </is>
      </c>
      <c r="G62">
        <f>'By Round'!G127</f>
        <v/>
      </c>
      <c r="H62">
        <f>'By Round'!H127</f>
        <v/>
      </c>
      <c r="I62">
        <f>'By Round'!I127</f>
        <v/>
      </c>
      <c r="J62">
        <f>'By Round'!J127</f>
        <v/>
      </c>
      <c r="K62">
        <f>'By Round'!K127</f>
        <v/>
      </c>
      <c r="L62" s="11">
        <f>IFERROR(AVERAGE(P62:T62),"")</f>
        <v/>
      </c>
      <c r="M62" s="4">
        <f>IFERROR(AVERAGE(U62:Y62),"")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IF(AND(ISNUMBER(N62),ISNUMBER(N57)),VLOOKUP(ABS(N62-N57),'IMP Table'!$A$2:$C$26,3)*SIGN(N62-N57),"")</f>
        <v/>
      </c>
      <c r="Q62">
        <f>IF(AND(ISNUMBER(N62),ISNUMBER(N58)),VLOOKUP(ABS(N62-N58),'IMP Table'!$A$2:$C$26,3)*SIGN(N62-N58),"")</f>
        <v/>
      </c>
      <c r="R62">
        <f>IF(AND(ISNUMBER(N62),ISNUMBER(N59)),VLOOKUP(ABS(N62-N59),'IMP Table'!$A$2:$C$26,3)*SIGN(N62-N59),"")</f>
        <v/>
      </c>
      <c r="S62">
        <f>IF(AND(ISNUMBER(N62),ISNUMBER(N60)),VLOOKUP(ABS(N62-N60),'IMP Table'!$A$2:$C$26,3)*SIGN(N62-N60),"")</f>
        <v/>
      </c>
      <c r="T62">
        <f>IF(AND(ISNUMBER(N62),ISNUMBER(N61)),VLOOKUP(ABS(N62-N61),'IMP Table'!$A$2:$C$26,3)*SIGN(N62-N61),"")</f>
        <v/>
      </c>
      <c r="U62">
        <f>IF(AND(ISNUMBER(O62),ISNUMBER(O57)),VLOOKUP(ABS(O62-O57),'IMP Table'!$A$2:$C$26,3)*SIGN(O62-O57),"")</f>
        <v/>
      </c>
      <c r="V62">
        <f>IF(AND(ISNUMBER(O62),ISNUMBER(O58)),VLOOKUP(ABS(O62-O58),'IMP Table'!$A$2:$C$26,3)*SIGN(O62-O58),"")</f>
        <v/>
      </c>
      <c r="W62">
        <f>IF(AND(ISNUMBER(O62),ISNUMBER(O59)),VLOOKUP(ABS(O62-O59),'IMP Table'!$A$2:$C$26,3)*SIGN(O62-O59),"")</f>
        <v/>
      </c>
      <c r="X62">
        <f>IF(AND(ISNUMBER(O62),ISNUMBER(O60)),VLOOKUP(ABS(O62-O60),'IMP Table'!$A$2:$C$26,3)*SIGN(O62-O60),"")</f>
        <v/>
      </c>
      <c r="Y62">
        <f>IF(AND(ISNUMBER(O62),ISNUMBER(O61)),VLOOKUP(ABS(O62-O61),'IMP Table'!$A$2:$C$26,3)*SIGN(O62-O61),"")</f>
        <v/>
      </c>
    </row>
    <row r="63">
      <c r="A63" t="n">
        <v>11</v>
      </c>
      <c r="B63">
        <f>'By Round'!A2</f>
        <v/>
      </c>
      <c r="C63">
        <f>'By Round'!B6</f>
        <v/>
      </c>
      <c r="D63">
        <f>'By Round'!C6</f>
        <v/>
      </c>
      <c r="E63">
        <f>'By Round'!D6</f>
        <v/>
      </c>
      <c r="F63" s="10" t="inlineStr">
        <is>
          <t>None</t>
        </is>
      </c>
      <c r="G63">
        <f>'By Round'!G6</f>
        <v/>
      </c>
      <c r="H63">
        <f>'By Round'!H6</f>
        <v/>
      </c>
      <c r="I63">
        <f>'By Round'!I6</f>
        <v/>
      </c>
      <c r="J63">
        <f>'By Round'!J6</f>
        <v/>
      </c>
      <c r="K63">
        <f>'By Round'!K6</f>
        <v/>
      </c>
      <c r="L63" s="11">
        <f>IFERROR(AVERAGE(P63:T63),"")</f>
        <v/>
      </c>
      <c r="M63" s="4">
        <f>IFERROR(AVERAGE(U63:Y63),"")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IF(AND(ISNUMBER(N63),ISNUMBER(N68)),VLOOKUP(ABS(N63-N68),'IMP Table'!$A$2:$C$26,3)*SIGN(N63-N68),"")</f>
        <v/>
      </c>
      <c r="U63">
        <f>IF(AND(ISNUMBER(O63),ISNUMBER(O64)),VLOOKUP(ABS(O63-O64),'IMP Table'!$A$2:$C$26,3)*SIGN(O63-O64),"")</f>
        <v/>
      </c>
      <c r="V63">
        <f>IF(AND(ISNUMBER(O63),ISNUMBER(O65)),VLOOKUP(ABS(O63-O65),'IMP Table'!$A$2:$C$26,3)*SIGN(O63-O65),"")</f>
        <v/>
      </c>
      <c r="W63">
        <f>IF(AND(ISNUMBER(O63),ISNUMBER(O66)),VLOOKUP(ABS(O63-O66),'IMP Table'!$A$2:$C$26,3)*SIGN(O63-O66),"")</f>
        <v/>
      </c>
      <c r="X63">
        <f>IF(AND(ISNUMBER(O63),ISNUMBER(O67)),VLOOKUP(ABS(O63-O67),'IMP Table'!$A$2:$C$26,3)*SIGN(O63-O67),"")</f>
        <v/>
      </c>
      <c r="Y63">
        <f>IF(AND(ISNUMBER(O63),ISNUMBER(O68)),VLOOKUP(ABS(O63-O68),'IMP Table'!$A$2:$C$26,3)*SIGN(O63-O68),"")</f>
        <v/>
      </c>
    </row>
    <row r="64">
      <c r="B64">
        <f>'By Round'!A14</f>
        <v/>
      </c>
      <c r="C64">
        <f>'By Round'!B16</f>
        <v/>
      </c>
      <c r="D64">
        <f>'By Round'!C16</f>
        <v/>
      </c>
      <c r="E64">
        <f>'By Round'!D16</f>
        <v/>
      </c>
      <c r="F64" s="10" t="inlineStr">
        <is>
          <t>None</t>
        </is>
      </c>
      <c r="G64">
        <f>'By Round'!G16</f>
        <v/>
      </c>
      <c r="H64">
        <f>'By Round'!H16</f>
        <v/>
      </c>
      <c r="I64">
        <f>'By Round'!I16</f>
        <v/>
      </c>
      <c r="J64">
        <f>'By Round'!J16</f>
        <v/>
      </c>
      <c r="K64">
        <f>'By Round'!K16</f>
        <v/>
      </c>
      <c r="L64" s="11">
        <f>IFERROR(AVERAGE(P64:T64),"")</f>
        <v/>
      </c>
      <c r="M64" s="4">
        <f>IFERROR(AVERAGE(U64:Y64),"")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IF(AND(ISNUMBER(N64),ISNUMBER(N68)),VLOOKUP(ABS(N64-N68),'IMP Table'!$A$2:$C$26,3)*SIGN(N64-N68),"")</f>
        <v/>
      </c>
      <c r="U64">
        <f>IF(AND(ISNUMBER(O64),ISNUMBER(O63)),VLOOKUP(ABS(O64-O63),'IMP Table'!$A$2:$C$26,3)*SIGN(O64-O63),"")</f>
        <v/>
      </c>
      <c r="V64">
        <f>IF(AND(ISNUMBER(O64),ISNUMBER(O65)),VLOOKUP(ABS(O64-O65),'IMP Table'!$A$2:$C$26,3)*SIGN(O64-O65),"")</f>
        <v/>
      </c>
      <c r="W64">
        <f>IF(AND(ISNUMBER(O64),ISNUMBER(O66)),VLOOKUP(ABS(O64-O66),'IMP Table'!$A$2:$C$26,3)*SIGN(O64-O66),"")</f>
        <v/>
      </c>
      <c r="X64">
        <f>IF(AND(ISNUMBER(O64),ISNUMBER(O67)),VLOOKUP(ABS(O64-O67),'IMP Table'!$A$2:$C$26,3)*SIGN(O64-O67),"")</f>
        <v/>
      </c>
      <c r="Y64">
        <f>IF(AND(ISNUMBER(O64),ISNUMBER(O68)),VLOOKUP(ABS(O64-O68),'IMP Table'!$A$2:$C$26,3)*SIGN(O64-O68),"")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None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IFERROR(AVERAGE(P65:T65),"")</f>
        <v/>
      </c>
      <c r="M65" s="4">
        <f>IFERROR(AVERAGE(U65:Y65),"")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IF(AND(ISNUMBER(N65),ISNUMBER(N68)),VLOOKUP(ABS(N65-N68),'IMP Table'!$A$2:$C$26,3)*SIGN(N65-N68),"")</f>
        <v/>
      </c>
      <c r="U65">
        <f>IF(AND(ISNUMBER(O65),ISNUMBER(O63)),VLOOKUP(ABS(O65-O63),'IMP Table'!$A$2:$C$26,3)*SIGN(O65-O63),"")</f>
        <v/>
      </c>
      <c r="V65">
        <f>IF(AND(ISNUMBER(O65),ISNUMBER(O64)),VLOOKUP(ABS(O65-O64),'IMP Table'!$A$2:$C$26,3)*SIGN(O65-O64),"")</f>
        <v/>
      </c>
      <c r="W65">
        <f>IF(AND(ISNUMBER(O65),ISNUMBER(O66)),VLOOKUP(ABS(O65-O66),'IMP Table'!$A$2:$C$26,3)*SIGN(O65-O66),"")</f>
        <v/>
      </c>
      <c r="X65">
        <f>IF(AND(ISNUMBER(O65),ISNUMBER(O67)),VLOOKUP(ABS(O65-O67),'IMP Table'!$A$2:$C$26,3)*SIGN(O65-O67),"")</f>
        <v/>
      </c>
      <c r="Y65">
        <f>IF(AND(ISNUMBER(O65),ISNUMBER(O68)),VLOOKUP(ABS(O65-O68),'IMP Table'!$A$2:$C$26,3)*SIGN(O65-O68),"")</f>
        <v/>
      </c>
    </row>
    <row r="66">
      <c r="B66">
        <f>'By Round'!A86</f>
        <v/>
      </c>
      <c r="C66">
        <f>'By Round'!B96</f>
        <v/>
      </c>
      <c r="D66">
        <f>'By Round'!C96</f>
        <v/>
      </c>
      <c r="E66">
        <f>'By Round'!D96</f>
        <v/>
      </c>
      <c r="F66" s="10" t="inlineStr">
        <is>
          <t>None</t>
        </is>
      </c>
      <c r="G66">
        <f>'By Round'!G96</f>
        <v/>
      </c>
      <c r="H66">
        <f>'By Round'!H96</f>
        <v/>
      </c>
      <c r="I66">
        <f>'By Round'!I96</f>
        <v/>
      </c>
      <c r="J66">
        <f>'By Round'!J96</f>
        <v/>
      </c>
      <c r="K66">
        <f>'By Round'!K96</f>
        <v/>
      </c>
      <c r="L66" s="11">
        <f>IFERROR(AVERAGE(P66:T66),"")</f>
        <v/>
      </c>
      <c r="M66" s="4">
        <f>IFERROR(AVERAGE(U66:Y66),"")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IF(AND(ISNUMBER(N66),ISNUMBER(N68)),VLOOKUP(ABS(N66-N68),'IMP Table'!$A$2:$C$26,3)*SIGN(N66-N68),"")</f>
        <v/>
      </c>
      <c r="U66">
        <f>IF(AND(ISNUMBER(O66),ISNUMBER(O63)),VLOOKUP(ABS(O66-O63),'IMP Table'!$A$2:$C$26,3)*SIGN(O66-O63),"")</f>
        <v/>
      </c>
      <c r="V66">
        <f>IF(AND(ISNUMBER(O66),ISNUMBER(O64)),VLOOKUP(ABS(O66-O64),'IMP Table'!$A$2:$C$26,3)*SIGN(O66-O64),"")</f>
        <v/>
      </c>
      <c r="W66">
        <f>IF(AND(ISNUMBER(O66),ISNUMBER(O65)),VLOOKUP(ABS(O66-O65),'IMP Table'!$A$2:$C$26,3)*SIGN(O66-O65),"")</f>
        <v/>
      </c>
      <c r="X66">
        <f>IF(AND(ISNUMBER(O66),ISNUMBER(O67)),VLOOKUP(ABS(O66-O67),'IMP Table'!$A$2:$C$26,3)*SIGN(O66-O67),"")</f>
        <v/>
      </c>
      <c r="Y66">
        <f>IF(AND(ISNUMBER(O66),ISNUMBER(O68)),VLOOKUP(ABS(O66-O68),'IMP Table'!$A$2:$C$26,3)*SIGN(O66-O68),"")</f>
        <v/>
      </c>
    </row>
    <row r="67">
      <c r="B67">
        <f>'By Round'!A98</f>
        <v/>
      </c>
      <c r="C67">
        <f>'By Round'!B106</f>
        <v/>
      </c>
      <c r="D67">
        <f>'By Round'!C106</f>
        <v/>
      </c>
      <c r="E67">
        <f>'By Round'!D106</f>
        <v/>
      </c>
      <c r="F67" s="10" t="inlineStr">
        <is>
          <t>None</t>
        </is>
      </c>
      <c r="G67">
        <f>'By Round'!G106</f>
        <v/>
      </c>
      <c r="H67">
        <f>'By Round'!H106</f>
        <v/>
      </c>
      <c r="I67">
        <f>'By Round'!I106</f>
        <v/>
      </c>
      <c r="J67">
        <f>'By Round'!J106</f>
        <v/>
      </c>
      <c r="K67">
        <f>'By Round'!K106</f>
        <v/>
      </c>
      <c r="L67" s="11">
        <f>IFERROR(AVERAGE(P67:T67),"")</f>
        <v/>
      </c>
      <c r="M67" s="4">
        <f>IFERROR(AVERAGE(U67:Y67),"")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IF(AND(ISNUMBER(N67),ISNUMBER(N68)),VLOOKUP(ABS(N67-N68),'IMP Table'!$A$2:$C$26,3)*SIGN(N67-N68),"")</f>
        <v/>
      </c>
      <c r="U67">
        <f>IF(AND(ISNUMBER(O67),ISNUMBER(O63)),VLOOKUP(ABS(O67-O63),'IMP Table'!$A$2:$C$26,3)*SIGN(O67-O63),"")</f>
        <v/>
      </c>
      <c r="V67">
        <f>IF(AND(ISNUMBER(O67),ISNUMBER(O64)),VLOOKUP(ABS(O67-O64),'IMP Table'!$A$2:$C$26,3)*SIGN(O67-O64),"")</f>
        <v/>
      </c>
      <c r="W67">
        <f>IF(AND(ISNUMBER(O67),ISNUMBER(O65)),VLOOKUP(ABS(O67-O65),'IMP Table'!$A$2:$C$26,3)*SIGN(O67-O65),"")</f>
        <v/>
      </c>
      <c r="X67">
        <f>IF(AND(ISNUMBER(O67),ISNUMBER(O66)),VLOOKUP(ABS(O67-O66),'IMP Table'!$A$2:$C$26,3)*SIGN(O67-O66),"")</f>
        <v/>
      </c>
      <c r="Y67">
        <f>IF(AND(ISNUMBER(O67),ISNUMBER(O68)),VLOOKUP(ABS(O67-O68),'IMP Table'!$A$2:$C$26,3)*SIGN(O67-O68),"")</f>
        <v/>
      </c>
    </row>
    <row r="68">
      <c r="B68">
        <f>'By Round'!A110</f>
        <v/>
      </c>
      <c r="C68">
        <f>'By Round'!B116</f>
        <v/>
      </c>
      <c r="D68">
        <f>'By Round'!C116</f>
        <v/>
      </c>
      <c r="E68">
        <f>'By Round'!D116</f>
        <v/>
      </c>
      <c r="F68" s="10" t="inlineStr">
        <is>
          <t>None</t>
        </is>
      </c>
      <c r="G68">
        <f>'By Round'!G116</f>
        <v/>
      </c>
      <c r="H68">
        <f>'By Round'!H116</f>
        <v/>
      </c>
      <c r="I68">
        <f>'By Round'!I116</f>
        <v/>
      </c>
      <c r="J68">
        <f>'By Round'!J116</f>
        <v/>
      </c>
      <c r="K68">
        <f>'By Round'!K116</f>
        <v/>
      </c>
      <c r="L68" s="11">
        <f>IFERROR(AVERAGE(P68:T68),"")</f>
        <v/>
      </c>
      <c r="M68" s="4">
        <f>IFERROR(AVERAGE(U68:Y68),"")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IF(AND(ISNUMBER(N68),ISNUMBER(N63)),VLOOKUP(ABS(N68-N63),'IMP Table'!$A$2:$C$26,3)*SIGN(N68-N63),"")</f>
        <v/>
      </c>
      <c r="Q68">
        <f>IF(AND(ISNUMBER(N68),ISNUMBER(N64)),VLOOKUP(ABS(N68-N64),'IMP Table'!$A$2:$C$26,3)*SIGN(N68-N64),"")</f>
        <v/>
      </c>
      <c r="R68">
        <f>IF(AND(ISNUMBER(N68),ISNUMBER(N65)),VLOOKUP(ABS(N68-N65),'IMP Table'!$A$2:$C$26,3)*SIGN(N68-N65),"")</f>
        <v/>
      </c>
      <c r="S68">
        <f>IF(AND(ISNUMBER(N68),ISNUMBER(N66)),VLOOKUP(ABS(N68-N66),'IMP Table'!$A$2:$C$26,3)*SIGN(N68-N66),"")</f>
        <v/>
      </c>
      <c r="T68">
        <f>IF(AND(ISNUMBER(N68),ISNUMBER(N67)),VLOOKUP(ABS(N68-N67),'IMP Table'!$A$2:$C$26,3)*SIGN(N68-N67),"")</f>
        <v/>
      </c>
      <c r="U68">
        <f>IF(AND(ISNUMBER(O68),ISNUMBER(O63)),VLOOKUP(ABS(O68-O63),'IMP Table'!$A$2:$C$26,3)*SIGN(O68-O63),"")</f>
        <v/>
      </c>
      <c r="V68">
        <f>IF(AND(ISNUMBER(O68),ISNUMBER(O64)),VLOOKUP(ABS(O68-O64),'IMP Table'!$A$2:$C$26,3)*SIGN(O68-O64),"")</f>
        <v/>
      </c>
      <c r="W68">
        <f>IF(AND(ISNUMBER(O68),ISNUMBER(O65)),VLOOKUP(ABS(O68-O65),'IMP Table'!$A$2:$C$26,3)*SIGN(O68-O65),"")</f>
        <v/>
      </c>
      <c r="X68">
        <f>IF(AND(ISNUMBER(O68),ISNUMBER(O66)),VLOOKUP(ABS(O68-O66),'IMP Table'!$A$2:$C$26,3)*SIGN(O68-O66),"")</f>
        <v/>
      </c>
      <c r="Y68">
        <f>IF(AND(ISNUMBER(O68),ISNUMBER(O67)),VLOOKUP(ABS(O68-O67),'IMP Table'!$A$2:$C$26,3)*SIGN(O68-O67),"")</f>
        <v/>
      </c>
    </row>
    <row r="69">
      <c r="A69" t="n">
        <v>12</v>
      </c>
      <c r="B69">
        <f>'By Round'!A2</f>
        <v/>
      </c>
      <c r="C69">
        <f>'By Round'!B6</f>
        <v/>
      </c>
      <c r="D69">
        <f>'By Round'!C6</f>
        <v/>
      </c>
      <c r="E69">
        <f>'By Round'!D6</f>
        <v/>
      </c>
      <c r="F69" s="10" t="inlineStr">
        <is>
          <t>NS</t>
        </is>
      </c>
      <c r="G69">
        <f>'By Round'!G7</f>
        <v/>
      </c>
      <c r="H69">
        <f>'By Round'!H7</f>
        <v/>
      </c>
      <c r="I69">
        <f>'By Round'!I7</f>
        <v/>
      </c>
      <c r="J69">
        <f>'By Round'!J7</f>
        <v/>
      </c>
      <c r="K69">
        <f>'By Round'!K7</f>
        <v/>
      </c>
      <c r="L69" s="11">
        <f>IFERROR(AVERAGE(P69:T69),"")</f>
        <v/>
      </c>
      <c r="M69" s="4">
        <f>IFERROR(AVERAGE(U69:Y69),"")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IF(AND(ISNUMBER(N69),ISNUMBER(N70)),VLOOKUP(ABS(N69-N70),'IMP Table'!$A$2:$C$26,3)*SIGN(N69-N70),"")</f>
        <v/>
      </c>
      <c r="Q69">
        <f>IF(AND(ISNUMBER(N69),ISNUMBER(N71)),VLOOKUP(ABS(N69-N71),'IMP Table'!$A$2:$C$26,3)*SIGN(N69-N71),"")</f>
        <v/>
      </c>
      <c r="R69">
        <f>IF(AND(ISNUMBER(N69),ISNUMBER(N72)),VLOOKUP(ABS(N69-N72),'IMP Table'!$A$2:$C$26,3)*SIGN(N69-N72),"")</f>
        <v/>
      </c>
      <c r="S69">
        <f>IF(AND(ISNUMBER(N69),ISNUMBER(N73)),VLOOKUP(ABS(N69-N73),'IMP Table'!$A$2:$C$26,3)*SIGN(N69-N73),"")</f>
        <v/>
      </c>
      <c r="T69">
        <f>IF(AND(ISNUMBER(N69),ISNUMBER(N74)),VLOOKUP(ABS(N69-N74),'IMP Table'!$A$2:$C$26,3)*SIGN(N69-N74),"")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  <c r="X69">
        <f>IF(AND(ISNUMBER(O69),ISNUMBER(O73)),VLOOKUP(ABS(O69-O73),'IMP Table'!$A$2:$C$26,3)*SIGN(O69-O73),"")</f>
        <v/>
      </c>
      <c r="Y69">
        <f>IF(AND(ISNUMBER(O69),ISNUMBER(O74)),VLOOKUP(ABS(O69-O74),'IMP Table'!$A$2:$C$26,3)*SIGN(O69-O74),"")</f>
        <v/>
      </c>
    </row>
    <row r="70">
      <c r="B70">
        <f>'By Round'!A14</f>
        <v/>
      </c>
      <c r="C70">
        <f>'By Round'!B16</f>
        <v/>
      </c>
      <c r="D70">
        <f>'By Round'!C16</f>
        <v/>
      </c>
      <c r="E70">
        <f>'By Round'!D16</f>
        <v/>
      </c>
      <c r="F70" s="10" t="inlineStr">
        <is>
          <t>NS</t>
        </is>
      </c>
      <c r="G70">
        <f>'By Round'!G17</f>
        <v/>
      </c>
      <c r="H70">
        <f>'By Round'!H17</f>
        <v/>
      </c>
      <c r="I70">
        <f>'By Round'!I17</f>
        <v/>
      </c>
      <c r="J70">
        <f>'By Round'!J17</f>
        <v/>
      </c>
      <c r="K70">
        <f>'By Round'!K17</f>
        <v/>
      </c>
      <c r="L70" s="11">
        <f>IFERROR(AVERAGE(P70:T70),"")</f>
        <v/>
      </c>
      <c r="M70" s="4">
        <f>IFERROR(AVERAGE(U70:Y70),"")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IF(AND(ISNUMBER(N70),ISNUMBER(N69)),VLOOKUP(ABS(N70-N69),'IMP Table'!$A$2:$C$26,3)*SIGN(N70-N69),"")</f>
        <v/>
      </c>
      <c r="Q70">
        <f>IF(AND(ISNUMBER(N70),ISNUMBER(N71)),VLOOKUP(ABS(N70-N71),'IMP Table'!$A$2:$C$26,3)*SIGN(N70-N71),"")</f>
        <v/>
      </c>
      <c r="R70">
        <f>IF(AND(ISNUMBER(N70),ISNUMBER(N72)),VLOOKUP(ABS(N70-N72),'IMP Table'!$A$2:$C$26,3)*SIGN(N70-N72),"")</f>
        <v/>
      </c>
      <c r="S70">
        <f>IF(AND(ISNUMBER(N70),ISNUMBER(N73)),VLOOKUP(ABS(N70-N73),'IMP Table'!$A$2:$C$26,3)*SIGN(N70-N73),"")</f>
        <v/>
      </c>
      <c r="T70">
        <f>IF(AND(ISNUMBER(N70),ISNUMBER(N74)),VLOOKUP(ABS(N70-N74),'IMP Table'!$A$2:$C$26,3)*SIGN(N70-N74),"")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  <c r="X70">
        <f>IF(AND(ISNUMBER(O70),ISNUMBER(O73)),VLOOKUP(ABS(O70-O73),'IMP Table'!$A$2:$C$26,3)*SIGN(O70-O73),"")</f>
        <v/>
      </c>
      <c r="Y70">
        <f>IF(AND(ISNUMBER(O70),ISNUMBER(O74)),VLOOKUP(ABS(O70-O74),'IMP Table'!$A$2:$C$26,3)*SIGN(O70-O74),"")</f>
        <v/>
      </c>
    </row>
    <row r="71">
      <c r="B71">
        <f>'By Round'!A62</f>
        <v/>
      </c>
      <c r="C71">
        <f>'By Round'!B62</f>
        <v/>
      </c>
      <c r="D71">
        <f>'By Round'!C62</f>
        <v/>
      </c>
      <c r="E71">
        <f>'By Round'!D62</f>
        <v/>
      </c>
      <c r="F71" s="10" t="inlineStr">
        <is>
          <t>NS</t>
        </is>
      </c>
      <c r="G71">
        <f>'By Round'!G63</f>
        <v/>
      </c>
      <c r="H71">
        <f>'By Round'!H63</f>
        <v/>
      </c>
      <c r="I71">
        <f>'By Round'!I63</f>
        <v/>
      </c>
      <c r="J71">
        <f>'By Round'!J63</f>
        <v/>
      </c>
      <c r="K71">
        <f>'By Round'!K63</f>
        <v/>
      </c>
      <c r="L71" s="11">
        <f>IFERROR(AVERAGE(P71:T71),"")</f>
        <v/>
      </c>
      <c r="M71" s="4">
        <f>IFERROR(AVERAGE(U71:Y71),"")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IF(AND(ISNUMBER(N71),ISNUMBER(N69)),VLOOKUP(ABS(N71-N69),'IMP Table'!$A$2:$C$26,3)*SIGN(N71-N69),"")</f>
        <v/>
      </c>
      <c r="Q71">
        <f>IF(AND(ISNUMBER(N71),ISNUMBER(N70)),VLOOKUP(ABS(N71-N70),'IMP Table'!$A$2:$C$26,3)*SIGN(N71-N70),"")</f>
        <v/>
      </c>
      <c r="R71">
        <f>IF(AND(ISNUMBER(N71),ISNUMBER(N72)),VLOOKUP(ABS(N71-N72),'IMP Table'!$A$2:$C$26,3)*SIGN(N71-N72),"")</f>
        <v/>
      </c>
      <c r="S71">
        <f>IF(AND(ISNUMBER(N71),ISNUMBER(N73)),VLOOKUP(ABS(N71-N73),'IMP Table'!$A$2:$C$26,3)*SIGN(N71-N73),"")</f>
        <v/>
      </c>
      <c r="T71">
        <f>IF(AND(ISNUMBER(N71),ISNUMBER(N74)),VLOOKUP(ABS(N71-N74),'IMP Table'!$A$2:$C$26,3)*SIGN(N71-N74),"")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  <c r="X71">
        <f>IF(AND(ISNUMBER(O71),ISNUMBER(O73)),VLOOKUP(ABS(O71-O73),'IMP Table'!$A$2:$C$26,3)*SIGN(O71-O73),"")</f>
        <v/>
      </c>
      <c r="Y71">
        <f>IF(AND(ISNUMBER(O71),ISNUMBER(O74)),VLOOKUP(ABS(O71-O74),'IMP Table'!$A$2:$C$26,3)*SIGN(O71-O74),"")</f>
        <v/>
      </c>
    </row>
    <row r="72">
      <c r="B72">
        <f>'By Round'!A86</f>
        <v/>
      </c>
      <c r="C72">
        <f>'By Round'!B96</f>
        <v/>
      </c>
      <c r="D72">
        <f>'By Round'!C96</f>
        <v/>
      </c>
      <c r="E72">
        <f>'By Round'!D96</f>
        <v/>
      </c>
      <c r="F72" s="10" t="inlineStr">
        <is>
          <t>NS</t>
        </is>
      </c>
      <c r="G72">
        <f>'By Round'!G97</f>
        <v/>
      </c>
      <c r="H72">
        <f>'By Round'!H97</f>
        <v/>
      </c>
      <c r="I72">
        <f>'By Round'!I97</f>
        <v/>
      </c>
      <c r="J72">
        <f>'By Round'!J97</f>
        <v/>
      </c>
      <c r="K72">
        <f>'By Round'!K97</f>
        <v/>
      </c>
      <c r="L72" s="11">
        <f>IFERROR(AVERAGE(P72:T72),"")</f>
        <v/>
      </c>
      <c r="M72" s="4">
        <f>IFERROR(AVERAGE(U72:Y72),"")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IF(AND(ISNUMBER(N72),ISNUMBER(N69)),VLOOKUP(ABS(N72-N69),'IMP Table'!$A$2:$C$26,3)*SIGN(N72-N69),"")</f>
        <v/>
      </c>
      <c r="Q72">
        <f>IF(AND(ISNUMBER(N72),ISNUMBER(N70)),VLOOKUP(ABS(N72-N70),'IMP Table'!$A$2:$C$26,3)*SIGN(N72-N70),"")</f>
        <v/>
      </c>
      <c r="R72">
        <f>IF(AND(ISNUMBER(N72),ISNUMBER(N71)),VLOOKUP(ABS(N72-N71),'IMP Table'!$A$2:$C$26,3)*SIGN(N72-N71),"")</f>
        <v/>
      </c>
      <c r="S72">
        <f>IF(AND(ISNUMBER(N72),ISNUMBER(N73)),VLOOKUP(ABS(N72-N73),'IMP Table'!$A$2:$C$26,3)*SIGN(N72-N73),"")</f>
        <v/>
      </c>
      <c r="T72">
        <f>IF(AND(ISNUMBER(N72),ISNUMBER(N74)),VLOOKUP(ABS(N72-N74),'IMP Table'!$A$2:$C$26,3)*SIGN(N72-N74),"")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  <c r="X72">
        <f>IF(AND(ISNUMBER(O72),ISNUMBER(O73)),VLOOKUP(ABS(O72-O73),'IMP Table'!$A$2:$C$26,3)*SIGN(O72-O73),"")</f>
        <v/>
      </c>
      <c r="Y72">
        <f>IF(AND(ISNUMBER(O72),ISNUMBER(O74)),VLOOKUP(ABS(O72-O74),'IMP Table'!$A$2:$C$26,3)*SIGN(O72-O74),"")</f>
        <v/>
      </c>
    </row>
    <row r="73">
      <c r="B73">
        <f>'By Round'!A98</f>
        <v/>
      </c>
      <c r="C73">
        <f>'By Round'!B106</f>
        <v/>
      </c>
      <c r="D73">
        <f>'By Round'!C106</f>
        <v/>
      </c>
      <c r="E73">
        <f>'By Round'!D106</f>
        <v/>
      </c>
      <c r="F73" s="10" t="inlineStr">
        <is>
          <t>NS</t>
        </is>
      </c>
      <c r="G73">
        <f>'By Round'!G107</f>
        <v/>
      </c>
      <c r="H73">
        <f>'By Round'!H107</f>
        <v/>
      </c>
      <c r="I73">
        <f>'By Round'!I107</f>
        <v/>
      </c>
      <c r="J73">
        <f>'By Round'!J107</f>
        <v/>
      </c>
      <c r="K73">
        <f>'By Round'!K107</f>
        <v/>
      </c>
      <c r="L73" s="11">
        <f>IFERROR(AVERAGE(P73:T73),"")</f>
        <v/>
      </c>
      <c r="M73" s="4">
        <f>IFERROR(AVERAGE(U73:Y73),"")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IF(AND(ISNUMBER(N73),ISNUMBER(N69)),VLOOKUP(ABS(N73-N69),'IMP Table'!$A$2:$C$26,3)*SIGN(N73-N69),"")</f>
        <v/>
      </c>
      <c r="Q73">
        <f>IF(AND(ISNUMBER(N73),ISNUMBER(N70)),VLOOKUP(ABS(N73-N70),'IMP Table'!$A$2:$C$26,3)*SIGN(N73-N70),"")</f>
        <v/>
      </c>
      <c r="R73">
        <f>IF(AND(ISNUMBER(N73),ISNUMBER(N71)),VLOOKUP(ABS(N73-N71),'IMP Table'!$A$2:$C$26,3)*SIGN(N73-N71),"")</f>
        <v/>
      </c>
      <c r="S73">
        <f>IF(AND(ISNUMBER(N73),ISNUMBER(N72)),VLOOKUP(ABS(N73-N72),'IMP Table'!$A$2:$C$26,3)*SIGN(N73-N72),"")</f>
        <v/>
      </c>
      <c r="T73">
        <f>IF(AND(ISNUMBER(N73),ISNUMBER(N74)),VLOOKUP(ABS(N73-N74),'IMP Table'!$A$2:$C$26,3)*SIGN(N73-N74),"")</f>
        <v/>
      </c>
      <c r="U73">
        <f>IF(AND(ISNUMBER(O73),ISNUMBER(O69)),VLOOKUP(ABS(O73-O69),'IMP Table'!$A$2:$C$26,3)*SIGN(O73-O69),"")</f>
        <v/>
      </c>
      <c r="V73">
        <f>IF(AND(ISNUMBER(O73),ISNUMBER(O70)),VLOOKUP(ABS(O73-O70),'IMP Table'!$A$2:$C$26,3)*SIGN(O73-O70),"")</f>
        <v/>
      </c>
      <c r="W73">
        <f>IF(AND(ISNUMBER(O73),ISNUMBER(O71)),VLOOKUP(ABS(O73-O71),'IMP Table'!$A$2:$C$26,3)*SIGN(O73-O71),"")</f>
        <v/>
      </c>
      <c r="X73">
        <f>IF(AND(ISNUMBER(O73),ISNUMBER(O72)),VLOOKUP(ABS(O73-O72),'IMP Table'!$A$2:$C$26,3)*SIGN(O73-O72),"")</f>
        <v/>
      </c>
      <c r="Y73">
        <f>IF(AND(ISNUMBER(O73),ISNUMBER(O74)),VLOOKUP(ABS(O73-O74),'IMP Table'!$A$2:$C$26,3)*SIGN(O73-O74),"")</f>
        <v/>
      </c>
    </row>
    <row r="74">
      <c r="B74">
        <f>'By Round'!A110</f>
        <v/>
      </c>
      <c r="C74">
        <f>'By Round'!B116</f>
        <v/>
      </c>
      <c r="D74">
        <f>'By Round'!C116</f>
        <v/>
      </c>
      <c r="E74">
        <f>'By Round'!D116</f>
        <v/>
      </c>
      <c r="F74" s="10" t="inlineStr">
        <is>
          <t>NS</t>
        </is>
      </c>
      <c r="G74">
        <f>'By Round'!G117</f>
        <v/>
      </c>
      <c r="H74">
        <f>'By Round'!H117</f>
        <v/>
      </c>
      <c r="I74">
        <f>'By Round'!I117</f>
        <v/>
      </c>
      <c r="J74">
        <f>'By Round'!J117</f>
        <v/>
      </c>
      <c r="K74">
        <f>'By Round'!K117</f>
        <v/>
      </c>
      <c r="L74" s="11">
        <f>IFERROR(AVERAGE(P74:T74),"")</f>
        <v/>
      </c>
      <c r="M74" s="4">
        <f>IFERROR(AVERAGE(U74:Y74),"")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IF(AND(ISNUMBER(N74),ISNUMBER(N69)),VLOOKUP(ABS(N74-N69),'IMP Table'!$A$2:$C$26,3)*SIGN(N74-N69),"")</f>
        <v/>
      </c>
      <c r="Q74">
        <f>IF(AND(ISNUMBER(N74),ISNUMBER(N70)),VLOOKUP(ABS(N74-N70),'IMP Table'!$A$2:$C$26,3)*SIGN(N74-N70),"")</f>
        <v/>
      </c>
      <c r="R74">
        <f>IF(AND(ISNUMBER(N74),ISNUMBER(N71)),VLOOKUP(ABS(N74-N71),'IMP Table'!$A$2:$C$26,3)*SIGN(N74-N71),"")</f>
        <v/>
      </c>
      <c r="S74">
        <f>IF(AND(ISNUMBER(N74),ISNUMBER(N72)),VLOOKUP(ABS(N74-N72),'IMP Table'!$A$2:$C$26,3)*SIGN(N74-N72),"")</f>
        <v/>
      </c>
      <c r="T74">
        <f>IF(AND(ISNUMBER(N74),ISNUMBER(N73)),VLOOKUP(ABS(N74-N73),'IMP Table'!$A$2:$C$26,3)*SIGN(N74-N73),"")</f>
        <v/>
      </c>
      <c r="U74">
        <f>IF(AND(ISNUMBER(O74),ISNUMBER(O69)),VLOOKUP(ABS(O74-O69),'IMP Table'!$A$2:$C$26,3)*SIGN(O74-O69),"")</f>
        <v/>
      </c>
      <c r="V74">
        <f>IF(AND(ISNUMBER(O74),ISNUMBER(O70)),VLOOKUP(ABS(O74-O70),'IMP Table'!$A$2:$C$26,3)*SIGN(O74-O70),"")</f>
        <v/>
      </c>
      <c r="W74">
        <f>IF(AND(ISNUMBER(O74),ISNUMBER(O71)),VLOOKUP(ABS(O74-O71),'IMP Table'!$A$2:$C$26,3)*SIGN(O74-O71),"")</f>
        <v/>
      </c>
      <c r="X74">
        <f>IF(AND(ISNUMBER(O74),ISNUMBER(O72)),VLOOKUP(ABS(O74-O72),'IMP Table'!$A$2:$C$26,3)*SIGN(O74-O72),"")</f>
        <v/>
      </c>
      <c r="Y74">
        <f>IF(AND(ISNUMBER(O74),ISNUMBER(O73)),VLOOKUP(ABS(O74-O73),'IMP Table'!$A$2:$C$26,3)*SIGN(O74-O73),"")</f>
        <v/>
      </c>
    </row>
    <row r="75">
      <c r="A75" t="n">
        <v>13</v>
      </c>
      <c r="B75">
        <f>'By Round'!A14</f>
        <v/>
      </c>
      <c r="C75">
        <f>'By Round'!B18</f>
        <v/>
      </c>
      <c r="D75">
        <f>'By Round'!C18</f>
        <v/>
      </c>
      <c r="E75">
        <f>'By Round'!D18</f>
        <v/>
      </c>
      <c r="F75" s="10" t="inlineStr">
        <is>
          <t>Both</t>
        </is>
      </c>
      <c r="G75">
        <f>'By Round'!G18</f>
        <v/>
      </c>
      <c r="H75">
        <f>'By Round'!H18</f>
        <v/>
      </c>
      <c r="I75">
        <f>'By Round'!I18</f>
        <v/>
      </c>
      <c r="J75">
        <f>'By Round'!J18</f>
        <v/>
      </c>
      <c r="K75">
        <f>'By Round'!K18</f>
        <v/>
      </c>
      <c r="L75" s="11">
        <f>IFERROR(AVERAGE(P75:T75),"")</f>
        <v/>
      </c>
      <c r="M75" s="4">
        <f>IFERROR(AVERAGE(U75:Y75),"")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IF(AND(ISNUMBER(N75),ISNUMBER(N76)),VLOOKUP(ABS(N75-N76),'IMP Table'!$A$2:$C$26,3)*SIGN(N75-N76),"")</f>
        <v/>
      </c>
      <c r="Q75">
        <f>IF(AND(ISNUMBER(N75),ISNUMBER(N77)),VLOOKUP(ABS(N75-N77),'IMP Table'!$A$2:$C$26,3)*SIGN(N75-N77),"")</f>
        <v/>
      </c>
      <c r="R75">
        <f>IF(AND(ISNUMBER(N75),ISNUMBER(N78)),VLOOKUP(ABS(N75-N78),'IMP Table'!$A$2:$C$26,3)*SIGN(N75-N78),"")</f>
        <v/>
      </c>
      <c r="S75">
        <f>IF(AND(ISNUMBER(N75),ISNUMBER(N79)),VLOOKUP(ABS(N75-N79),'IMP Table'!$A$2:$C$26,3)*SIGN(N75-N79),"")</f>
        <v/>
      </c>
      <c r="T75">
        <f>IF(AND(ISNUMBER(N75),ISNUMBER(N80)),VLOOKUP(ABS(N75-N80),'IMP Table'!$A$2:$C$26,3)*SIGN(N75-N80),"")</f>
        <v/>
      </c>
      <c r="U75">
        <f>IF(AND(ISNUMBER(O75),ISNUMBER(O76)),VLOOKUP(ABS(O75-O76),'IMP Table'!$A$2:$C$26,3)*SIGN(O75-O76),"")</f>
        <v/>
      </c>
      <c r="V75">
        <f>IF(AND(ISNUMBER(O75),ISNUMBER(O77)),VLOOKUP(ABS(O75-O77),'IMP Table'!$A$2:$C$26,3)*SIGN(O75-O77),"")</f>
        <v/>
      </c>
      <c r="W75">
        <f>IF(AND(ISNUMBER(O75),ISNUMBER(O78)),VLOOKUP(ABS(O75-O78),'IMP Table'!$A$2:$C$26,3)*SIGN(O75-O78),"")</f>
        <v/>
      </c>
      <c r="X75">
        <f>IF(AND(ISNUMBER(O75),ISNUMBER(O79)),VLOOKUP(ABS(O75-O79),'IMP Table'!$A$2:$C$26,3)*SIGN(O75-O79),"")</f>
        <v/>
      </c>
      <c r="Y75">
        <f>IF(AND(ISNUMBER(O75),ISNUMBER(O80)),VLOOKUP(ABS(O75-O80),'IMP Table'!$A$2:$C$26,3)*SIGN(O75-O80),"")</f>
        <v/>
      </c>
    </row>
    <row r="76">
      <c r="B76">
        <f>'By Round'!A26</f>
        <v/>
      </c>
      <c r="C76">
        <f>'By Round'!B28</f>
        <v/>
      </c>
      <c r="D76">
        <f>'By Round'!C28</f>
        <v/>
      </c>
      <c r="E76">
        <f>'By Round'!D28</f>
        <v/>
      </c>
      <c r="F76" s="10" t="inlineStr">
        <is>
          <t>Both</t>
        </is>
      </c>
      <c r="G76">
        <f>'By Round'!G28</f>
        <v/>
      </c>
      <c r="H76">
        <f>'By Round'!H28</f>
        <v/>
      </c>
      <c r="I76">
        <f>'By Round'!I28</f>
        <v/>
      </c>
      <c r="J76">
        <f>'By Round'!J28</f>
        <v/>
      </c>
      <c r="K76">
        <f>'By Round'!K28</f>
        <v/>
      </c>
      <c r="L76" s="11">
        <f>IFERROR(AVERAGE(P76:T76),"")</f>
        <v/>
      </c>
      <c r="M76" s="4">
        <f>IFERROR(AVERAGE(U76:Y76),"")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IF(AND(ISNUMBER(N76),ISNUMBER(N75)),VLOOKUP(ABS(N76-N75),'IMP Table'!$A$2:$C$26,3)*SIGN(N76-N75),"")</f>
        <v/>
      </c>
      <c r="Q76">
        <f>IF(AND(ISNUMBER(N76),ISNUMBER(N77)),VLOOKUP(ABS(N76-N77),'IMP Table'!$A$2:$C$26,3)*SIGN(N76-N77),"")</f>
        <v/>
      </c>
      <c r="R76">
        <f>IF(AND(ISNUMBER(N76),ISNUMBER(N78)),VLOOKUP(ABS(N76-N78),'IMP Table'!$A$2:$C$26,3)*SIGN(N76-N78),"")</f>
        <v/>
      </c>
      <c r="S76">
        <f>IF(AND(ISNUMBER(N76),ISNUMBER(N79)),VLOOKUP(ABS(N76-N79),'IMP Table'!$A$2:$C$26,3)*SIGN(N76-N79),"")</f>
        <v/>
      </c>
      <c r="T76">
        <f>IF(AND(ISNUMBER(N76),ISNUMBER(N80)),VLOOKUP(ABS(N76-N80),'IMP Table'!$A$2:$C$26,3)*SIGN(N76-N80),"")</f>
        <v/>
      </c>
      <c r="U76">
        <f>IF(AND(ISNUMBER(O76),ISNUMBER(O75)),VLOOKUP(ABS(O76-O75),'IMP Table'!$A$2:$C$26,3)*SIGN(O76-O75),"")</f>
        <v/>
      </c>
      <c r="V76">
        <f>IF(AND(ISNUMBER(O76),ISNUMBER(O77)),VLOOKUP(ABS(O76-O77),'IMP Table'!$A$2:$C$26,3)*SIGN(O76-O77),"")</f>
        <v/>
      </c>
      <c r="W76">
        <f>IF(AND(ISNUMBER(O76),ISNUMBER(O78)),VLOOKUP(ABS(O76-O78),'IMP Table'!$A$2:$C$26,3)*SIGN(O76-O78),"")</f>
        <v/>
      </c>
      <c r="X76">
        <f>IF(AND(ISNUMBER(O76),ISNUMBER(O79)),VLOOKUP(ABS(O76-O79),'IMP Table'!$A$2:$C$26,3)*SIGN(O76-O79),"")</f>
        <v/>
      </c>
      <c r="Y76">
        <f>IF(AND(ISNUMBER(O76),ISNUMBER(O80)),VLOOKUP(ABS(O76-O80),'IMP Table'!$A$2:$C$26,3)*SIGN(O76-O80),"")</f>
        <v/>
      </c>
    </row>
    <row r="77">
      <c r="B77">
        <f>'By Round'!A74</f>
        <v/>
      </c>
      <c r="C77">
        <f>'By Round'!B74</f>
        <v/>
      </c>
      <c r="D77">
        <f>'By Round'!C74</f>
        <v/>
      </c>
      <c r="E77">
        <f>'By Round'!D74</f>
        <v/>
      </c>
      <c r="F77" s="10" t="inlineStr">
        <is>
          <t>Both</t>
        </is>
      </c>
      <c r="G77">
        <f>'By Round'!G74</f>
        <v/>
      </c>
      <c r="H77">
        <f>'By Round'!H74</f>
        <v/>
      </c>
      <c r="I77">
        <f>'By Round'!I74</f>
        <v/>
      </c>
      <c r="J77">
        <f>'By Round'!J74</f>
        <v/>
      </c>
      <c r="K77">
        <f>'By Round'!K74</f>
        <v/>
      </c>
      <c r="L77" s="11">
        <f>IFERROR(AVERAGE(P77:T77),"")</f>
        <v/>
      </c>
      <c r="M77" s="4">
        <f>IFERROR(AVERAGE(U77:Y77),"")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IF(AND(ISNUMBER(N77),ISNUMBER(N75)),VLOOKUP(ABS(N77-N75),'IMP Table'!$A$2:$C$26,3)*SIGN(N77-N75),"")</f>
        <v/>
      </c>
      <c r="Q77">
        <f>IF(AND(ISNUMBER(N77),ISNUMBER(N76)),VLOOKUP(ABS(N77-N76),'IMP Table'!$A$2:$C$26,3)*SIGN(N77-N76),"")</f>
        <v/>
      </c>
      <c r="R77">
        <f>IF(AND(ISNUMBER(N77),ISNUMBER(N78)),VLOOKUP(ABS(N77-N78),'IMP Table'!$A$2:$C$26,3)*SIGN(N77-N78),"")</f>
        <v/>
      </c>
      <c r="S77">
        <f>IF(AND(ISNUMBER(N77),ISNUMBER(N79)),VLOOKUP(ABS(N77-N79),'IMP Table'!$A$2:$C$26,3)*SIGN(N77-N79),"")</f>
        <v/>
      </c>
      <c r="T77">
        <f>IF(AND(ISNUMBER(N77),ISNUMBER(N80)),VLOOKUP(ABS(N77-N80),'IMP Table'!$A$2:$C$26,3)*SIGN(N77-N80),"")</f>
        <v/>
      </c>
      <c r="U77">
        <f>IF(AND(ISNUMBER(O77),ISNUMBER(O75)),VLOOKUP(ABS(O77-O75),'IMP Table'!$A$2:$C$26,3)*SIGN(O77-O75),"")</f>
        <v/>
      </c>
      <c r="V77">
        <f>IF(AND(ISNUMBER(O77),ISNUMBER(O76)),VLOOKUP(ABS(O77-O76),'IMP Table'!$A$2:$C$26,3)*SIGN(O77-O76),"")</f>
        <v/>
      </c>
      <c r="W77">
        <f>IF(AND(ISNUMBER(O77),ISNUMBER(O78)),VLOOKUP(ABS(O77-O78),'IMP Table'!$A$2:$C$26,3)*SIGN(O77-O78),"")</f>
        <v/>
      </c>
      <c r="X77">
        <f>IF(AND(ISNUMBER(O77),ISNUMBER(O79)),VLOOKUP(ABS(O77-O79),'IMP Table'!$A$2:$C$26,3)*SIGN(O77-O79),"")</f>
        <v/>
      </c>
      <c r="Y77">
        <f>IF(AND(ISNUMBER(O77),ISNUMBER(O80)),VLOOKUP(ABS(O77-O80),'IMP Table'!$A$2:$C$26,3)*SIGN(O77-O80),"")</f>
        <v/>
      </c>
    </row>
    <row r="78">
      <c r="B78">
        <f>'By Round'!A98</f>
        <v/>
      </c>
      <c r="C78">
        <f>'By Round'!B108</f>
        <v/>
      </c>
      <c r="D78">
        <f>'By Round'!C108</f>
        <v/>
      </c>
      <c r="E78">
        <f>'By Round'!D108</f>
        <v/>
      </c>
      <c r="F78" s="10" t="inlineStr">
        <is>
          <t>Both</t>
        </is>
      </c>
      <c r="G78">
        <f>'By Round'!G108</f>
        <v/>
      </c>
      <c r="H78">
        <f>'By Round'!H108</f>
        <v/>
      </c>
      <c r="I78">
        <f>'By Round'!I108</f>
        <v/>
      </c>
      <c r="J78">
        <f>'By Round'!J108</f>
        <v/>
      </c>
      <c r="K78">
        <f>'By Round'!K108</f>
        <v/>
      </c>
      <c r="L78" s="11">
        <f>IFERROR(AVERAGE(P78:T78),"")</f>
        <v/>
      </c>
      <c r="M78" s="4">
        <f>IFERROR(AVERAGE(U78:Y78),"")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IF(AND(ISNUMBER(N78),ISNUMBER(N75)),VLOOKUP(ABS(N78-N75),'IMP Table'!$A$2:$C$26,3)*SIGN(N78-N75),"")</f>
        <v/>
      </c>
      <c r="Q78">
        <f>IF(AND(ISNUMBER(N78),ISNUMBER(N76)),VLOOKUP(ABS(N78-N76),'IMP Table'!$A$2:$C$26,3)*SIGN(N78-N76),"")</f>
        <v/>
      </c>
      <c r="R78">
        <f>IF(AND(ISNUMBER(N78),ISNUMBER(N77)),VLOOKUP(ABS(N78-N77),'IMP Table'!$A$2:$C$26,3)*SIGN(N78-N77),"")</f>
        <v/>
      </c>
      <c r="S78">
        <f>IF(AND(ISNUMBER(N78),ISNUMBER(N79)),VLOOKUP(ABS(N78-N79),'IMP Table'!$A$2:$C$26,3)*SIGN(N78-N79),"")</f>
        <v/>
      </c>
      <c r="T78">
        <f>IF(AND(ISNUMBER(N78),ISNUMBER(N80)),VLOOKUP(ABS(N78-N80),'IMP Table'!$A$2:$C$26,3)*SIGN(N78-N80),"")</f>
        <v/>
      </c>
      <c r="U78">
        <f>IF(AND(ISNUMBER(O78),ISNUMBER(O75)),VLOOKUP(ABS(O78-O75),'IMP Table'!$A$2:$C$26,3)*SIGN(O78-O75),"")</f>
        <v/>
      </c>
      <c r="V78">
        <f>IF(AND(ISNUMBER(O78),ISNUMBER(O76)),VLOOKUP(ABS(O78-O76),'IMP Table'!$A$2:$C$26,3)*SIGN(O78-O76),"")</f>
        <v/>
      </c>
      <c r="W78">
        <f>IF(AND(ISNUMBER(O78),ISNUMBER(O77)),VLOOKUP(ABS(O78-O77),'IMP Table'!$A$2:$C$26,3)*SIGN(O78-O77),"")</f>
        <v/>
      </c>
      <c r="X78">
        <f>IF(AND(ISNUMBER(O78),ISNUMBER(O79)),VLOOKUP(ABS(O78-O79),'IMP Table'!$A$2:$C$26,3)*SIGN(O78-O79),"")</f>
        <v/>
      </c>
      <c r="Y78">
        <f>IF(AND(ISNUMBER(O78),ISNUMBER(O80)),VLOOKUP(ABS(O78-O80),'IMP Table'!$A$2:$C$26,3)*SIGN(O78-O80),"")</f>
        <v/>
      </c>
    </row>
    <row r="79">
      <c r="B79">
        <f>'By Round'!A110</f>
        <v/>
      </c>
      <c r="C79">
        <f>'By Round'!B118</f>
        <v/>
      </c>
      <c r="D79">
        <f>'By Round'!C118</f>
        <v/>
      </c>
      <c r="E79">
        <f>'By Round'!D118</f>
        <v/>
      </c>
      <c r="F79" s="10" t="inlineStr">
        <is>
          <t>Both</t>
        </is>
      </c>
      <c r="G79">
        <f>'By Round'!G118</f>
        <v/>
      </c>
      <c r="H79">
        <f>'By Round'!H118</f>
        <v/>
      </c>
      <c r="I79">
        <f>'By Round'!I118</f>
        <v/>
      </c>
      <c r="J79">
        <f>'By Round'!J118</f>
        <v/>
      </c>
      <c r="K79">
        <f>'By Round'!K118</f>
        <v/>
      </c>
      <c r="L79" s="11">
        <f>IFERROR(AVERAGE(P79:T79),"")</f>
        <v/>
      </c>
      <c r="M79" s="4">
        <f>IFERROR(AVERAGE(U79:Y79),"")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IF(AND(ISNUMBER(N79),ISNUMBER(N75)),VLOOKUP(ABS(N79-N75),'IMP Table'!$A$2:$C$26,3)*SIGN(N79-N75),"")</f>
        <v/>
      </c>
      <c r="Q79">
        <f>IF(AND(ISNUMBER(N79),ISNUMBER(N76)),VLOOKUP(ABS(N79-N76),'IMP Table'!$A$2:$C$26,3)*SIGN(N79-N76),"")</f>
        <v/>
      </c>
      <c r="R79">
        <f>IF(AND(ISNUMBER(N79),ISNUMBER(N77)),VLOOKUP(ABS(N79-N77),'IMP Table'!$A$2:$C$26,3)*SIGN(N79-N77),"")</f>
        <v/>
      </c>
      <c r="S79">
        <f>IF(AND(ISNUMBER(N79),ISNUMBER(N78)),VLOOKUP(ABS(N79-N78),'IMP Table'!$A$2:$C$26,3)*SIGN(N79-N78),"")</f>
        <v/>
      </c>
      <c r="T79">
        <f>IF(AND(ISNUMBER(N79),ISNUMBER(N80)),VLOOKUP(ABS(N79-N80),'IMP Table'!$A$2:$C$26,3)*SIGN(N79-N80),"")</f>
        <v/>
      </c>
      <c r="U79">
        <f>IF(AND(ISNUMBER(O79),ISNUMBER(O75)),VLOOKUP(ABS(O79-O75),'IMP Table'!$A$2:$C$26,3)*SIGN(O79-O75),"")</f>
        <v/>
      </c>
      <c r="V79">
        <f>IF(AND(ISNUMBER(O79),ISNUMBER(O76)),VLOOKUP(ABS(O79-O76),'IMP Table'!$A$2:$C$26,3)*SIGN(O79-O76),"")</f>
        <v/>
      </c>
      <c r="W79">
        <f>IF(AND(ISNUMBER(O79),ISNUMBER(O77)),VLOOKUP(ABS(O79-O77),'IMP Table'!$A$2:$C$26,3)*SIGN(O79-O77),"")</f>
        <v/>
      </c>
      <c r="X79">
        <f>IF(AND(ISNUMBER(O79),ISNUMBER(O78)),VLOOKUP(ABS(O79-O78),'IMP Table'!$A$2:$C$26,3)*SIGN(O79-O78),"")</f>
        <v/>
      </c>
      <c r="Y79">
        <f>IF(AND(ISNUMBER(O79),ISNUMBER(O80)),VLOOKUP(ABS(O79-O80),'IMP Table'!$A$2:$C$26,3)*SIGN(O79-O80),"")</f>
        <v/>
      </c>
    </row>
    <row r="80">
      <c r="B80">
        <f>'By Round'!A122</f>
        <v/>
      </c>
      <c r="C80">
        <f>'By Round'!B128</f>
        <v/>
      </c>
      <c r="D80">
        <f>'By Round'!C128</f>
        <v/>
      </c>
      <c r="E80">
        <f>'By Round'!D128</f>
        <v/>
      </c>
      <c r="F80" s="10" t="inlineStr">
        <is>
          <t>Both</t>
        </is>
      </c>
      <c r="G80">
        <f>'By Round'!G128</f>
        <v/>
      </c>
      <c r="H80">
        <f>'By Round'!H128</f>
        <v/>
      </c>
      <c r="I80">
        <f>'By Round'!I128</f>
        <v/>
      </c>
      <c r="J80">
        <f>'By Round'!J128</f>
        <v/>
      </c>
      <c r="K80">
        <f>'By Round'!K128</f>
        <v/>
      </c>
      <c r="L80" s="11">
        <f>IFERROR(AVERAGE(P80:T80),"")</f>
        <v/>
      </c>
      <c r="M80" s="4">
        <f>IFERROR(AVERAGE(U80:Y80),"")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IF(AND(ISNUMBER(N80),ISNUMBER(N75)),VLOOKUP(ABS(N80-N75),'IMP Table'!$A$2:$C$26,3)*SIGN(N80-N75),"")</f>
        <v/>
      </c>
      <c r="Q80">
        <f>IF(AND(ISNUMBER(N80),ISNUMBER(N76)),VLOOKUP(ABS(N80-N76),'IMP Table'!$A$2:$C$26,3)*SIGN(N80-N76),"")</f>
        <v/>
      </c>
      <c r="R80">
        <f>IF(AND(ISNUMBER(N80),ISNUMBER(N77)),VLOOKUP(ABS(N80-N77),'IMP Table'!$A$2:$C$26,3)*SIGN(N80-N77),"")</f>
        <v/>
      </c>
      <c r="S80">
        <f>IF(AND(ISNUMBER(N80),ISNUMBER(N78)),VLOOKUP(ABS(N80-N78),'IMP Table'!$A$2:$C$26,3)*SIGN(N80-N78),"")</f>
        <v/>
      </c>
      <c r="T80">
        <f>IF(AND(ISNUMBER(N80),ISNUMBER(N79)),VLOOKUP(ABS(N80-N79),'IMP Table'!$A$2:$C$26,3)*SIGN(N80-N79),"")</f>
        <v/>
      </c>
      <c r="U80">
        <f>IF(AND(ISNUMBER(O80),ISNUMBER(O75)),VLOOKUP(ABS(O80-O75),'IMP Table'!$A$2:$C$26,3)*SIGN(O80-O75),"")</f>
        <v/>
      </c>
      <c r="V80">
        <f>IF(AND(ISNUMBER(O80),ISNUMBER(O76)),VLOOKUP(ABS(O80-O76),'IMP Table'!$A$2:$C$26,3)*SIGN(O80-O76),"")</f>
        <v/>
      </c>
      <c r="W80">
        <f>IF(AND(ISNUMBER(O80),ISNUMBER(O77)),VLOOKUP(ABS(O80-O77),'IMP Table'!$A$2:$C$26,3)*SIGN(O80-O77),"")</f>
        <v/>
      </c>
      <c r="X80">
        <f>IF(AND(ISNUMBER(O80),ISNUMBER(O78)),VLOOKUP(ABS(O80-O78),'IMP Table'!$A$2:$C$26,3)*SIGN(O80-O78),"")</f>
        <v/>
      </c>
      <c r="Y80">
        <f>IF(AND(ISNUMBER(O80),ISNUMBER(O79)),VLOOKUP(ABS(O80-O79),'IMP Table'!$A$2:$C$26,3)*SIGN(O80-O79),"")</f>
        <v/>
      </c>
    </row>
    <row r="81">
      <c r="A81" t="n">
        <v>14</v>
      </c>
      <c r="B81">
        <f>'By Round'!A14</f>
        <v/>
      </c>
      <c r="C81">
        <f>'By Round'!B18</f>
        <v/>
      </c>
      <c r="D81">
        <f>'By Round'!C18</f>
        <v/>
      </c>
      <c r="E81">
        <f>'By Round'!D18</f>
        <v/>
      </c>
      <c r="F81" s="10" t="inlineStr">
        <is>
          <t>None</t>
        </is>
      </c>
      <c r="G81">
        <f>'By Round'!G19</f>
        <v/>
      </c>
      <c r="H81">
        <f>'By Round'!H19</f>
        <v/>
      </c>
      <c r="I81">
        <f>'By Round'!I19</f>
        <v/>
      </c>
      <c r="J81">
        <f>'By Round'!J19</f>
        <v/>
      </c>
      <c r="K81">
        <f>'By Round'!K19</f>
        <v/>
      </c>
      <c r="L81" s="11">
        <f>IFERROR(AVERAGE(P81:T81),"")</f>
        <v/>
      </c>
      <c r="M81" s="4">
        <f>IFERROR(AVERAGE(U81:Y81),"")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IF(AND(ISNUMBER(N81),ISNUMBER(N82)),VLOOKUP(ABS(N81-N82),'IMP Table'!$A$2:$C$26,3)*SIGN(N81-N82),"")</f>
        <v/>
      </c>
      <c r="Q81">
        <f>IF(AND(ISNUMBER(N81),ISNUMBER(N83)),VLOOKUP(ABS(N81-N83),'IMP Table'!$A$2:$C$26,3)*SIGN(N81-N83),"")</f>
        <v/>
      </c>
      <c r="R81">
        <f>IF(AND(ISNUMBER(N81),ISNUMBER(N84)),VLOOKUP(ABS(N81-N84),'IMP Table'!$A$2:$C$26,3)*SIGN(N81-N84),"")</f>
        <v/>
      </c>
      <c r="S81">
        <f>IF(AND(ISNUMBER(N81),ISNUMBER(N85)),VLOOKUP(ABS(N81-N85),'IMP Table'!$A$2:$C$26,3)*SIGN(N81-N85),"")</f>
        <v/>
      </c>
      <c r="T81">
        <f>IF(AND(ISNUMBER(N81),ISNUMBER(N86)),VLOOKUP(ABS(N81-N86),'IMP Table'!$A$2:$C$26,3)*SIGN(N81-N86),"")</f>
        <v/>
      </c>
      <c r="U81">
        <f>IF(AND(ISNUMBER(O81),ISNUMBER(O82)),VLOOKUP(ABS(O81-O82),'IMP Table'!$A$2:$C$26,3)*SIGN(O81-O82),"")</f>
        <v/>
      </c>
      <c r="V81">
        <f>IF(AND(ISNUMBER(O81),ISNUMBER(O83)),VLOOKUP(ABS(O81-O83),'IMP Table'!$A$2:$C$26,3)*SIGN(O81-O83),"")</f>
        <v/>
      </c>
      <c r="W81">
        <f>IF(AND(ISNUMBER(O81),ISNUMBER(O84)),VLOOKUP(ABS(O81-O84),'IMP Table'!$A$2:$C$26,3)*SIGN(O81-O84),"")</f>
        <v/>
      </c>
      <c r="X81">
        <f>IF(AND(ISNUMBER(O81),ISNUMBER(O85)),VLOOKUP(ABS(O81-O85),'IMP Table'!$A$2:$C$26,3)*SIGN(O81-O85),"")</f>
        <v/>
      </c>
      <c r="Y81">
        <f>IF(AND(ISNUMBER(O81),ISNUMBER(O86)),VLOOKUP(ABS(O81-O86),'IMP Table'!$A$2:$C$26,3)*SIGN(O81-O86),"")</f>
        <v/>
      </c>
    </row>
    <row r="82">
      <c r="B82">
        <f>'By Round'!A26</f>
        <v/>
      </c>
      <c r="C82">
        <f>'By Round'!B28</f>
        <v/>
      </c>
      <c r="D82">
        <f>'By Round'!C28</f>
        <v/>
      </c>
      <c r="E82">
        <f>'By Round'!D28</f>
        <v/>
      </c>
      <c r="F82" s="10" t="inlineStr">
        <is>
          <t>None</t>
        </is>
      </c>
      <c r="G82">
        <f>'By Round'!G29</f>
        <v/>
      </c>
      <c r="H82">
        <f>'By Round'!H29</f>
        <v/>
      </c>
      <c r="I82">
        <f>'By Round'!I29</f>
        <v/>
      </c>
      <c r="J82">
        <f>'By Round'!J29</f>
        <v/>
      </c>
      <c r="K82">
        <f>'By Round'!K29</f>
        <v/>
      </c>
      <c r="L82" s="11">
        <f>IFERROR(AVERAGE(P82:T82),"")</f>
        <v/>
      </c>
      <c r="M82" s="4">
        <f>IFERROR(AVERAGE(U82:Y82),"")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IF(AND(ISNUMBER(N82),ISNUMBER(N81)),VLOOKUP(ABS(N82-N81),'IMP Table'!$A$2:$C$26,3)*SIGN(N82-N81),"")</f>
        <v/>
      </c>
      <c r="Q82">
        <f>IF(AND(ISNUMBER(N82),ISNUMBER(N83)),VLOOKUP(ABS(N82-N83),'IMP Table'!$A$2:$C$26,3)*SIGN(N82-N83),"")</f>
        <v/>
      </c>
      <c r="R82">
        <f>IF(AND(ISNUMBER(N82),ISNUMBER(N84)),VLOOKUP(ABS(N82-N84),'IMP Table'!$A$2:$C$26,3)*SIGN(N82-N84),"")</f>
        <v/>
      </c>
      <c r="S82">
        <f>IF(AND(ISNUMBER(N82),ISNUMBER(N85)),VLOOKUP(ABS(N82-N85),'IMP Table'!$A$2:$C$26,3)*SIGN(N82-N85),"")</f>
        <v/>
      </c>
      <c r="T82">
        <f>IF(AND(ISNUMBER(N82),ISNUMBER(N86)),VLOOKUP(ABS(N82-N86),'IMP Table'!$A$2:$C$26,3)*SIGN(N82-N86),"")</f>
        <v/>
      </c>
      <c r="U82">
        <f>IF(AND(ISNUMBER(O82),ISNUMBER(O81)),VLOOKUP(ABS(O82-O81),'IMP Table'!$A$2:$C$26,3)*SIGN(O82-O81),"")</f>
        <v/>
      </c>
      <c r="V82">
        <f>IF(AND(ISNUMBER(O82),ISNUMBER(O83)),VLOOKUP(ABS(O82-O83),'IMP Table'!$A$2:$C$26,3)*SIGN(O82-O83),"")</f>
        <v/>
      </c>
      <c r="W82">
        <f>IF(AND(ISNUMBER(O82),ISNUMBER(O84)),VLOOKUP(ABS(O82-O84),'IMP Table'!$A$2:$C$26,3)*SIGN(O82-O84),"")</f>
        <v/>
      </c>
      <c r="X82">
        <f>IF(AND(ISNUMBER(O82),ISNUMBER(O85)),VLOOKUP(ABS(O82-O85),'IMP Table'!$A$2:$C$26,3)*SIGN(O82-O85),"")</f>
        <v/>
      </c>
      <c r="Y82">
        <f>IF(AND(ISNUMBER(O82),ISNUMBER(O86)),VLOOKUP(ABS(O82-O86),'IMP Table'!$A$2:$C$26,3)*SIGN(O82-O86),"")</f>
        <v/>
      </c>
    </row>
    <row r="83">
      <c r="B83">
        <f>'By Round'!A74</f>
        <v/>
      </c>
      <c r="C83">
        <f>'By Round'!B74</f>
        <v/>
      </c>
      <c r="D83">
        <f>'By Round'!C74</f>
        <v/>
      </c>
      <c r="E83">
        <f>'By Round'!D74</f>
        <v/>
      </c>
      <c r="F83" s="10" t="inlineStr">
        <is>
          <t>None</t>
        </is>
      </c>
      <c r="G83">
        <f>'By Round'!G75</f>
        <v/>
      </c>
      <c r="H83">
        <f>'By Round'!H75</f>
        <v/>
      </c>
      <c r="I83">
        <f>'By Round'!I75</f>
        <v/>
      </c>
      <c r="J83">
        <f>'By Round'!J75</f>
        <v/>
      </c>
      <c r="K83">
        <f>'By Round'!K75</f>
        <v/>
      </c>
      <c r="L83" s="11">
        <f>IFERROR(AVERAGE(P83:T83),"")</f>
        <v/>
      </c>
      <c r="M83" s="4">
        <f>IFERROR(AVERAGE(U83:Y83),"")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IF(AND(ISNUMBER(N83),ISNUMBER(N81)),VLOOKUP(ABS(N83-N81),'IMP Table'!$A$2:$C$26,3)*SIGN(N83-N81),"")</f>
        <v/>
      </c>
      <c r="Q83">
        <f>IF(AND(ISNUMBER(N83),ISNUMBER(N82)),VLOOKUP(ABS(N83-N82),'IMP Table'!$A$2:$C$26,3)*SIGN(N83-N82),"")</f>
        <v/>
      </c>
      <c r="R83">
        <f>IF(AND(ISNUMBER(N83),ISNUMBER(N84)),VLOOKUP(ABS(N83-N84),'IMP Table'!$A$2:$C$26,3)*SIGN(N83-N84),"")</f>
        <v/>
      </c>
      <c r="S83">
        <f>IF(AND(ISNUMBER(N83),ISNUMBER(N85)),VLOOKUP(ABS(N83-N85),'IMP Table'!$A$2:$C$26,3)*SIGN(N83-N85),"")</f>
        <v/>
      </c>
      <c r="T83">
        <f>IF(AND(ISNUMBER(N83),ISNUMBER(N86)),VLOOKUP(ABS(N83-N86),'IMP Table'!$A$2:$C$26,3)*SIGN(N83-N86),"")</f>
        <v/>
      </c>
      <c r="U83">
        <f>IF(AND(ISNUMBER(O83),ISNUMBER(O81)),VLOOKUP(ABS(O83-O81),'IMP Table'!$A$2:$C$26,3)*SIGN(O83-O81),"")</f>
        <v/>
      </c>
      <c r="V83">
        <f>IF(AND(ISNUMBER(O83),ISNUMBER(O82)),VLOOKUP(ABS(O83-O82),'IMP Table'!$A$2:$C$26,3)*SIGN(O83-O82),"")</f>
        <v/>
      </c>
      <c r="W83">
        <f>IF(AND(ISNUMBER(O83),ISNUMBER(O84)),VLOOKUP(ABS(O83-O84),'IMP Table'!$A$2:$C$26,3)*SIGN(O83-O84),"")</f>
        <v/>
      </c>
      <c r="X83">
        <f>IF(AND(ISNUMBER(O83),ISNUMBER(O85)),VLOOKUP(ABS(O83-O85),'IMP Table'!$A$2:$C$26,3)*SIGN(O83-O85),"")</f>
        <v/>
      </c>
      <c r="Y83">
        <f>IF(AND(ISNUMBER(O83),ISNUMBER(O86)),VLOOKUP(ABS(O83-O86),'IMP Table'!$A$2:$C$26,3)*SIGN(O83-O86),"")</f>
        <v/>
      </c>
    </row>
    <row r="84">
      <c r="B84">
        <f>'By Round'!A98</f>
        <v/>
      </c>
      <c r="C84">
        <f>'By Round'!B108</f>
        <v/>
      </c>
      <c r="D84">
        <f>'By Round'!C108</f>
        <v/>
      </c>
      <c r="E84">
        <f>'By Round'!D108</f>
        <v/>
      </c>
      <c r="F84" s="10" t="inlineStr">
        <is>
          <t>None</t>
        </is>
      </c>
      <c r="G84">
        <f>'By Round'!G109</f>
        <v/>
      </c>
      <c r="H84">
        <f>'By Round'!H109</f>
        <v/>
      </c>
      <c r="I84">
        <f>'By Round'!I109</f>
        <v/>
      </c>
      <c r="J84">
        <f>'By Round'!J109</f>
        <v/>
      </c>
      <c r="K84">
        <f>'By Round'!K109</f>
        <v/>
      </c>
      <c r="L84" s="11">
        <f>IFERROR(AVERAGE(P84:T84),"")</f>
        <v/>
      </c>
      <c r="M84" s="4">
        <f>IFERROR(AVERAGE(U84:Y84),"")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IF(AND(ISNUMBER(N84),ISNUMBER(N81)),VLOOKUP(ABS(N84-N81),'IMP Table'!$A$2:$C$26,3)*SIGN(N84-N81),"")</f>
        <v/>
      </c>
      <c r="Q84">
        <f>IF(AND(ISNUMBER(N84),ISNUMBER(N82)),VLOOKUP(ABS(N84-N82),'IMP Table'!$A$2:$C$26,3)*SIGN(N84-N82),"")</f>
        <v/>
      </c>
      <c r="R84">
        <f>IF(AND(ISNUMBER(N84),ISNUMBER(N83)),VLOOKUP(ABS(N84-N83),'IMP Table'!$A$2:$C$26,3)*SIGN(N84-N83),"")</f>
        <v/>
      </c>
      <c r="S84">
        <f>IF(AND(ISNUMBER(N84),ISNUMBER(N85)),VLOOKUP(ABS(N84-N85),'IMP Table'!$A$2:$C$26,3)*SIGN(N84-N85),"")</f>
        <v/>
      </c>
      <c r="T84">
        <f>IF(AND(ISNUMBER(N84),ISNUMBER(N86)),VLOOKUP(ABS(N84-N86),'IMP Table'!$A$2:$C$26,3)*SIGN(N84-N86),"")</f>
        <v/>
      </c>
      <c r="U84">
        <f>IF(AND(ISNUMBER(O84),ISNUMBER(O81)),VLOOKUP(ABS(O84-O81),'IMP Table'!$A$2:$C$26,3)*SIGN(O84-O81),"")</f>
        <v/>
      </c>
      <c r="V84">
        <f>IF(AND(ISNUMBER(O84),ISNUMBER(O82)),VLOOKUP(ABS(O84-O82),'IMP Table'!$A$2:$C$26,3)*SIGN(O84-O82),"")</f>
        <v/>
      </c>
      <c r="W84">
        <f>IF(AND(ISNUMBER(O84),ISNUMBER(O83)),VLOOKUP(ABS(O84-O83),'IMP Table'!$A$2:$C$26,3)*SIGN(O84-O83),"")</f>
        <v/>
      </c>
      <c r="X84">
        <f>IF(AND(ISNUMBER(O84),ISNUMBER(O85)),VLOOKUP(ABS(O84-O85),'IMP Table'!$A$2:$C$26,3)*SIGN(O84-O85),"")</f>
        <v/>
      </c>
      <c r="Y84">
        <f>IF(AND(ISNUMBER(O84),ISNUMBER(O86)),VLOOKUP(ABS(O84-O86),'IMP Table'!$A$2:$C$26,3)*SIGN(O84-O86),"")</f>
        <v/>
      </c>
    </row>
    <row r="85">
      <c r="B85">
        <f>'By Round'!A110</f>
        <v/>
      </c>
      <c r="C85">
        <f>'By Round'!B118</f>
        <v/>
      </c>
      <c r="D85">
        <f>'By Round'!C118</f>
        <v/>
      </c>
      <c r="E85">
        <f>'By Round'!D118</f>
        <v/>
      </c>
      <c r="F85" s="10" t="inlineStr">
        <is>
          <t>None</t>
        </is>
      </c>
      <c r="G85">
        <f>'By Round'!G119</f>
        <v/>
      </c>
      <c r="H85">
        <f>'By Round'!H119</f>
        <v/>
      </c>
      <c r="I85">
        <f>'By Round'!I119</f>
        <v/>
      </c>
      <c r="J85">
        <f>'By Round'!J119</f>
        <v/>
      </c>
      <c r="K85">
        <f>'By Round'!K119</f>
        <v/>
      </c>
      <c r="L85" s="11">
        <f>IFERROR(AVERAGE(P85:T85),"")</f>
        <v/>
      </c>
      <c r="M85" s="4">
        <f>IFERROR(AVERAGE(U85:Y85),"")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IF(AND(ISNUMBER(N85),ISNUMBER(N81)),VLOOKUP(ABS(N85-N81),'IMP Table'!$A$2:$C$26,3)*SIGN(N85-N81),"")</f>
        <v/>
      </c>
      <c r="Q85">
        <f>IF(AND(ISNUMBER(N85),ISNUMBER(N82)),VLOOKUP(ABS(N85-N82),'IMP Table'!$A$2:$C$26,3)*SIGN(N85-N82),"")</f>
        <v/>
      </c>
      <c r="R85">
        <f>IF(AND(ISNUMBER(N85),ISNUMBER(N83)),VLOOKUP(ABS(N85-N83),'IMP Table'!$A$2:$C$26,3)*SIGN(N85-N83),"")</f>
        <v/>
      </c>
      <c r="S85">
        <f>IF(AND(ISNUMBER(N85),ISNUMBER(N84)),VLOOKUP(ABS(N85-N84),'IMP Table'!$A$2:$C$26,3)*SIGN(N85-N84),"")</f>
        <v/>
      </c>
      <c r="T85">
        <f>IF(AND(ISNUMBER(N85),ISNUMBER(N86)),VLOOKUP(ABS(N85-N86),'IMP Table'!$A$2:$C$26,3)*SIGN(N85-N86),"")</f>
        <v/>
      </c>
      <c r="U85">
        <f>IF(AND(ISNUMBER(O85),ISNUMBER(O81)),VLOOKUP(ABS(O85-O81),'IMP Table'!$A$2:$C$26,3)*SIGN(O85-O81),"")</f>
        <v/>
      </c>
      <c r="V85">
        <f>IF(AND(ISNUMBER(O85),ISNUMBER(O82)),VLOOKUP(ABS(O85-O82),'IMP Table'!$A$2:$C$26,3)*SIGN(O85-O82),"")</f>
        <v/>
      </c>
      <c r="W85">
        <f>IF(AND(ISNUMBER(O85),ISNUMBER(O83)),VLOOKUP(ABS(O85-O83),'IMP Table'!$A$2:$C$26,3)*SIGN(O85-O83),"")</f>
        <v/>
      </c>
      <c r="X85">
        <f>IF(AND(ISNUMBER(O85),ISNUMBER(O84)),VLOOKUP(ABS(O85-O84),'IMP Table'!$A$2:$C$26,3)*SIGN(O85-O84),"")</f>
        <v/>
      </c>
      <c r="Y85">
        <f>IF(AND(ISNUMBER(O85),ISNUMBER(O86)),VLOOKUP(ABS(O85-O86),'IMP Table'!$A$2:$C$26,3)*SIGN(O85-O86),"")</f>
        <v/>
      </c>
    </row>
    <row r="86">
      <c r="B86">
        <f>'By Round'!A122</f>
        <v/>
      </c>
      <c r="C86">
        <f>'By Round'!B128</f>
        <v/>
      </c>
      <c r="D86">
        <f>'By Round'!C128</f>
        <v/>
      </c>
      <c r="E86">
        <f>'By Round'!D128</f>
        <v/>
      </c>
      <c r="F86" s="10" t="inlineStr">
        <is>
          <t>None</t>
        </is>
      </c>
      <c r="G86">
        <f>'By Round'!G129</f>
        <v/>
      </c>
      <c r="H86">
        <f>'By Round'!H129</f>
        <v/>
      </c>
      <c r="I86">
        <f>'By Round'!I129</f>
        <v/>
      </c>
      <c r="J86">
        <f>'By Round'!J129</f>
        <v/>
      </c>
      <c r="K86">
        <f>'By Round'!K129</f>
        <v/>
      </c>
      <c r="L86" s="11">
        <f>IFERROR(AVERAGE(P86:T86),"")</f>
        <v/>
      </c>
      <c r="M86" s="4">
        <f>IFERROR(AVERAGE(U86:Y86),"")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IF(AND(ISNUMBER(N86),ISNUMBER(N81)),VLOOKUP(ABS(N86-N81),'IMP Table'!$A$2:$C$26,3)*SIGN(N86-N81),"")</f>
        <v/>
      </c>
      <c r="Q86">
        <f>IF(AND(ISNUMBER(N86),ISNUMBER(N82)),VLOOKUP(ABS(N86-N82),'IMP Table'!$A$2:$C$26,3)*SIGN(N86-N82),"")</f>
        <v/>
      </c>
      <c r="R86">
        <f>IF(AND(ISNUMBER(N86),ISNUMBER(N83)),VLOOKUP(ABS(N86-N83),'IMP Table'!$A$2:$C$26,3)*SIGN(N86-N83),"")</f>
        <v/>
      </c>
      <c r="S86">
        <f>IF(AND(ISNUMBER(N86),ISNUMBER(N84)),VLOOKUP(ABS(N86-N84),'IMP Table'!$A$2:$C$26,3)*SIGN(N86-N84),"")</f>
        <v/>
      </c>
      <c r="T86">
        <f>IF(AND(ISNUMBER(N86),ISNUMBER(N85)),VLOOKUP(ABS(N86-N85),'IMP Table'!$A$2:$C$26,3)*SIGN(N86-N85),"")</f>
        <v/>
      </c>
      <c r="U86">
        <f>IF(AND(ISNUMBER(O86),ISNUMBER(O81)),VLOOKUP(ABS(O86-O81),'IMP Table'!$A$2:$C$26,3)*SIGN(O86-O81),"")</f>
        <v/>
      </c>
      <c r="V86">
        <f>IF(AND(ISNUMBER(O86),ISNUMBER(O82)),VLOOKUP(ABS(O86-O82),'IMP Table'!$A$2:$C$26,3)*SIGN(O86-O82),"")</f>
        <v/>
      </c>
      <c r="W86">
        <f>IF(AND(ISNUMBER(O86),ISNUMBER(O83)),VLOOKUP(ABS(O86-O83),'IMP Table'!$A$2:$C$26,3)*SIGN(O86-O83),"")</f>
        <v/>
      </c>
      <c r="X86">
        <f>IF(AND(ISNUMBER(O86),ISNUMBER(O84)),VLOOKUP(ABS(O86-O84),'IMP Table'!$A$2:$C$26,3)*SIGN(O86-O84),"")</f>
        <v/>
      </c>
      <c r="Y86">
        <f>IF(AND(ISNUMBER(O86),ISNUMBER(O85)),VLOOKUP(ABS(O86-O85),'IMP Table'!$A$2:$C$26,3)*SIGN(O86-O85),"")</f>
        <v/>
      </c>
    </row>
    <row r="87">
      <c r="A87" t="n">
        <v>15</v>
      </c>
      <c r="B87">
        <f>'By Round'!A2</f>
        <v/>
      </c>
      <c r="C87">
        <f>'By Round'!B8</f>
        <v/>
      </c>
      <c r="D87">
        <f>'By Round'!C8</f>
        <v/>
      </c>
      <c r="E87">
        <f>'By Round'!D8</f>
        <v/>
      </c>
      <c r="F87" s="10" t="inlineStr">
        <is>
          <t>NS</t>
        </is>
      </c>
      <c r="G87">
        <f>'By Round'!G8</f>
        <v/>
      </c>
      <c r="H87">
        <f>'By Round'!H8</f>
        <v/>
      </c>
      <c r="I87">
        <f>'By Round'!I8</f>
        <v/>
      </c>
      <c r="J87">
        <f>'By Round'!J8</f>
        <v/>
      </c>
      <c r="K87">
        <f>'By Round'!K8</f>
        <v/>
      </c>
      <c r="L87" s="11">
        <f>IFERROR(AVERAGE(P87:T87),"")</f>
        <v/>
      </c>
      <c r="M87" s="4">
        <f>IFERROR(AVERAGE(U87:Y87),"")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IF(AND(ISNUMBER(O87),ISNUMBER(O88)),VLOOKUP(ABS(O87-O88),'IMP Table'!$A$2:$C$26,3)*SIGN(O87-O88),"")</f>
        <v/>
      </c>
      <c r="V87">
        <f>IF(AND(ISNUMBER(O87),ISNUMBER(O89)),VLOOKUP(ABS(O87-O89),'IMP Table'!$A$2:$C$26,3)*SIGN(O87-O89),"")</f>
        <v/>
      </c>
      <c r="W87">
        <f>IF(AND(ISNUMBER(O87),ISNUMBER(O90)),VLOOKUP(ABS(O87-O90),'IMP Table'!$A$2:$C$26,3)*SIGN(O87-O90),"")</f>
        <v/>
      </c>
      <c r="X87">
        <f>IF(AND(ISNUMBER(O87),ISNUMBER(O91)),VLOOKUP(ABS(O87-O91),'IMP Table'!$A$2:$C$26,3)*SIGN(O87-O91),"")</f>
        <v/>
      </c>
      <c r="Y87">
        <f>IF(AND(ISNUMBER(O87),ISNUMBER(O92)),VLOOKUP(ABS(O87-O92),'IMP Table'!$A$2:$C$26,3)*SIGN(O87-O92),"")</f>
        <v/>
      </c>
    </row>
    <row r="88">
      <c r="B88">
        <f>'By Round'!A26</f>
        <v/>
      </c>
      <c r="C88">
        <f>'By Round'!B30</f>
        <v/>
      </c>
      <c r="D88">
        <f>'By Round'!C30</f>
        <v/>
      </c>
      <c r="E88">
        <f>'By Round'!D30</f>
        <v/>
      </c>
      <c r="F88" s="10" t="inlineStr">
        <is>
          <t>NS</t>
        </is>
      </c>
      <c r="G88">
        <f>'By Round'!G30</f>
        <v/>
      </c>
      <c r="H88">
        <f>'By Round'!H30</f>
        <v/>
      </c>
      <c r="I88">
        <f>'By Round'!I30</f>
        <v/>
      </c>
      <c r="J88">
        <f>'By Round'!J30</f>
        <v/>
      </c>
      <c r="K88">
        <f>'By Round'!K30</f>
        <v/>
      </c>
      <c r="L88" s="11">
        <f>IFERROR(AVERAGE(P88:T88),"")</f>
        <v/>
      </c>
      <c r="M88" s="4">
        <f>IFERROR(AVERAGE(U88:Y88),"")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IF(AND(ISNUMBER(O88),ISNUMBER(O87)),VLOOKUP(ABS(O88-O87),'IMP Table'!$A$2:$C$26,3)*SIGN(O88-O87),"")</f>
        <v/>
      </c>
      <c r="V88">
        <f>IF(AND(ISNUMBER(O88),ISNUMBER(O89)),VLOOKUP(ABS(O88-O89),'IMP Table'!$A$2:$C$26,3)*SIGN(O88-O89),"")</f>
        <v/>
      </c>
      <c r="W88">
        <f>IF(AND(ISNUMBER(O88),ISNUMBER(O90)),VLOOKUP(ABS(O88-O90),'IMP Table'!$A$2:$C$26,3)*SIGN(O88-O90),"")</f>
        <v/>
      </c>
      <c r="X88">
        <f>IF(AND(ISNUMBER(O88),ISNUMBER(O91)),VLOOKUP(ABS(O88-O91),'IMP Table'!$A$2:$C$26,3)*SIGN(O88-O91),"")</f>
        <v/>
      </c>
      <c r="Y88">
        <f>IF(AND(ISNUMBER(O88),ISNUMBER(O92)),VLOOKUP(ABS(O88-O92),'IMP Table'!$A$2:$C$26,3)*SIGN(O88-O92),"")</f>
        <v/>
      </c>
    </row>
    <row r="89">
      <c r="B89">
        <f>'By Round'!A38</f>
        <v/>
      </c>
      <c r="C89">
        <f>'By Round'!B40</f>
        <v/>
      </c>
      <c r="D89">
        <f>'By Round'!C40</f>
        <v/>
      </c>
      <c r="E89">
        <f>'By Round'!D40</f>
        <v/>
      </c>
      <c r="F89" s="10" t="inlineStr">
        <is>
          <t>NS</t>
        </is>
      </c>
      <c r="G89">
        <f>'By Round'!G40</f>
        <v/>
      </c>
      <c r="H89">
        <f>'By Round'!H40</f>
        <v/>
      </c>
      <c r="I89">
        <f>'By Round'!I40</f>
        <v/>
      </c>
      <c r="J89">
        <f>'By Round'!J40</f>
        <v/>
      </c>
      <c r="K89">
        <f>'By Round'!K40</f>
        <v/>
      </c>
      <c r="L89" s="11">
        <f>IFERROR(AVERAGE(P89:T89),"")</f>
        <v/>
      </c>
      <c r="M89" s="4">
        <f>IFERROR(AVERAGE(U89:Y89),"")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IF(AND(ISNUMBER(O89),ISNUMBER(O87)),VLOOKUP(ABS(O89-O87),'IMP Table'!$A$2:$C$26,3)*SIGN(O89-O87),"")</f>
        <v/>
      </c>
      <c r="V89">
        <f>IF(AND(ISNUMBER(O89),ISNUMBER(O88)),VLOOKUP(ABS(O89-O88),'IMP Table'!$A$2:$C$26,3)*SIGN(O89-O88),"")</f>
        <v/>
      </c>
      <c r="W89">
        <f>IF(AND(ISNUMBER(O89),ISNUMBER(O90)),VLOOKUP(ABS(O89-O90),'IMP Table'!$A$2:$C$26,3)*SIGN(O89-O90),"")</f>
        <v/>
      </c>
      <c r="X89">
        <f>IF(AND(ISNUMBER(O89),ISNUMBER(O91)),VLOOKUP(ABS(O89-O91),'IMP Table'!$A$2:$C$26,3)*SIGN(O89-O91),"")</f>
        <v/>
      </c>
      <c r="Y89">
        <f>IF(AND(ISNUMBER(O89),ISNUMBER(O92)),VLOOKUP(ABS(O89-O92),'IMP Table'!$A$2:$C$26,3)*SIGN(O89-O92),"")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NS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IFERROR(AVERAGE(P90:T90),"")</f>
        <v/>
      </c>
      <c r="M90" s="4">
        <f>IFERROR(AVERAGE(U90:Y90),"")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IF(AND(ISNUMBER(O90),ISNUMBER(O87)),VLOOKUP(ABS(O90-O87),'IMP Table'!$A$2:$C$26,3)*SIGN(O90-O87),"")</f>
        <v/>
      </c>
      <c r="V90">
        <f>IF(AND(ISNUMBER(O90),ISNUMBER(O88)),VLOOKUP(ABS(O90-O88),'IMP Table'!$A$2:$C$26,3)*SIGN(O90-O88),"")</f>
        <v/>
      </c>
      <c r="W90">
        <f>IF(AND(ISNUMBER(O90),ISNUMBER(O89)),VLOOKUP(ABS(O90-O89),'IMP Table'!$A$2:$C$26,3)*SIGN(O90-O89),"")</f>
        <v/>
      </c>
      <c r="X90">
        <f>IF(AND(ISNUMBER(O90),ISNUMBER(O91)),VLOOKUP(ABS(O90-O91),'IMP Table'!$A$2:$C$26,3)*SIGN(O90-O91),"")</f>
        <v/>
      </c>
      <c r="Y90">
        <f>IF(AND(ISNUMBER(O90),ISNUMBER(O92)),VLOOKUP(ABS(O90-O92),'IMP Table'!$A$2:$C$26,3)*SIGN(O90-O92),"")</f>
        <v/>
      </c>
    </row>
    <row r="91">
      <c r="B91">
        <f>'By Round'!A110</f>
        <v/>
      </c>
      <c r="C91">
        <f>'By Round'!B120</f>
        <v/>
      </c>
      <c r="D91">
        <f>'By Round'!C120</f>
        <v/>
      </c>
      <c r="E91">
        <f>'By Round'!D120</f>
        <v/>
      </c>
      <c r="F91" s="10" t="inlineStr">
        <is>
          <t>NS</t>
        </is>
      </c>
      <c r="G91">
        <f>'By Round'!G120</f>
        <v/>
      </c>
      <c r="H91">
        <f>'By Round'!H120</f>
        <v/>
      </c>
      <c r="I91">
        <f>'By Round'!I120</f>
        <v/>
      </c>
      <c r="J91">
        <f>'By Round'!J120</f>
        <v/>
      </c>
      <c r="K91">
        <f>'By Round'!K120</f>
        <v/>
      </c>
      <c r="L91" s="11">
        <f>IFERROR(AVERAGE(P91:T91),"")</f>
        <v/>
      </c>
      <c r="M91" s="4">
        <f>IFERROR(AVERAGE(U91:Y91),"")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IF(AND(ISNUMBER(O91),ISNUMBER(O87)),VLOOKUP(ABS(O91-O87),'IMP Table'!$A$2:$C$26,3)*SIGN(O91-O87),"")</f>
        <v/>
      </c>
      <c r="V91">
        <f>IF(AND(ISNUMBER(O91),ISNUMBER(O88)),VLOOKUP(ABS(O91-O88),'IMP Table'!$A$2:$C$26,3)*SIGN(O91-O88),"")</f>
        <v/>
      </c>
      <c r="W91">
        <f>IF(AND(ISNUMBER(O91),ISNUMBER(O89)),VLOOKUP(ABS(O91-O89),'IMP Table'!$A$2:$C$26,3)*SIGN(O91-O89),"")</f>
        <v/>
      </c>
      <c r="X91">
        <f>IF(AND(ISNUMBER(O91),ISNUMBER(O90)),VLOOKUP(ABS(O91-O90),'IMP Table'!$A$2:$C$26,3)*SIGN(O91-O90),"")</f>
        <v/>
      </c>
      <c r="Y91">
        <f>IF(AND(ISNUMBER(O91),ISNUMBER(O92)),VLOOKUP(ABS(O91-O92),'IMP Table'!$A$2:$C$26,3)*SIGN(O91-O92),"")</f>
        <v/>
      </c>
    </row>
    <row r="92">
      <c r="B92">
        <f>'By Round'!A122</f>
        <v/>
      </c>
      <c r="C92">
        <f>'By Round'!B130</f>
        <v/>
      </c>
      <c r="D92">
        <f>'By Round'!C130</f>
        <v/>
      </c>
      <c r="E92">
        <f>'By Round'!D130</f>
        <v/>
      </c>
      <c r="F92" s="10" t="inlineStr">
        <is>
          <t>NS</t>
        </is>
      </c>
      <c r="G92">
        <f>'By Round'!G130</f>
        <v/>
      </c>
      <c r="H92">
        <f>'By Round'!H130</f>
        <v/>
      </c>
      <c r="I92">
        <f>'By Round'!I130</f>
        <v/>
      </c>
      <c r="J92">
        <f>'By Round'!J130</f>
        <v/>
      </c>
      <c r="K92">
        <f>'By Round'!K130</f>
        <v/>
      </c>
      <c r="L92" s="11">
        <f>IFERROR(AVERAGE(P92:T92),"")</f>
        <v/>
      </c>
      <c r="M92" s="4">
        <f>IFERROR(AVERAGE(U92:Y92),"")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IF(AND(ISNUMBER(O92),ISNUMBER(O87)),VLOOKUP(ABS(O92-O87),'IMP Table'!$A$2:$C$26,3)*SIGN(O92-O87),"")</f>
        <v/>
      </c>
      <c r="V92">
        <f>IF(AND(ISNUMBER(O92),ISNUMBER(O88)),VLOOKUP(ABS(O92-O88),'IMP Table'!$A$2:$C$26,3)*SIGN(O92-O88),"")</f>
        <v/>
      </c>
      <c r="W92">
        <f>IF(AND(ISNUMBER(O92),ISNUMBER(O89)),VLOOKUP(ABS(O92-O89),'IMP Table'!$A$2:$C$26,3)*SIGN(O92-O89),"")</f>
        <v/>
      </c>
      <c r="X92">
        <f>IF(AND(ISNUMBER(O92),ISNUMBER(O90)),VLOOKUP(ABS(O92-O90),'IMP Table'!$A$2:$C$26,3)*SIGN(O92-O90),"")</f>
        <v/>
      </c>
      <c r="Y92">
        <f>IF(AND(ISNUMBER(O92),ISNUMBER(O91)),VLOOKUP(ABS(O92-O91),'IMP Table'!$A$2:$C$26,3)*SIGN(O92-O91),"")</f>
        <v/>
      </c>
    </row>
    <row r="93">
      <c r="A93" t="n">
        <v>16</v>
      </c>
      <c r="B93">
        <f>'By Round'!A2</f>
        <v/>
      </c>
      <c r="C93">
        <f>'By Round'!B8</f>
        <v/>
      </c>
      <c r="D93">
        <f>'By Round'!C8</f>
        <v/>
      </c>
      <c r="E93">
        <f>'By Round'!D8</f>
        <v/>
      </c>
      <c r="F93" s="10" t="inlineStr">
        <is>
          <t>EW</t>
        </is>
      </c>
      <c r="G93">
        <f>'By Round'!G9</f>
        <v/>
      </c>
      <c r="H93">
        <f>'By Round'!H9</f>
        <v/>
      </c>
      <c r="I93">
        <f>'By Round'!I9</f>
        <v/>
      </c>
      <c r="J93">
        <f>'By Round'!J9</f>
        <v/>
      </c>
      <c r="K93">
        <f>'By Round'!K9</f>
        <v/>
      </c>
      <c r="L93" s="11">
        <f>IFERROR(AVERAGE(P93:T93),"")</f>
        <v/>
      </c>
      <c r="M93" s="4">
        <f>IFERROR(AVERAGE(U93:Y93),"")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IF(AND(ISNUMBER(N93),ISNUMBER(N94)),VLOOKUP(ABS(N93-N94),'IMP Table'!$A$2:$C$26,3)*SIGN(N93-N94),"")</f>
        <v/>
      </c>
      <c r="Q93">
        <f>IF(AND(ISNUMBER(N93),ISNUMBER(N95)),VLOOKUP(ABS(N93-N95),'IMP Table'!$A$2:$C$26,3)*SIGN(N93-N95),"")</f>
        <v/>
      </c>
      <c r="R93">
        <f>IF(AND(ISNUMBER(N93),ISNUMBER(N96)),VLOOKUP(ABS(N93-N96),'IMP Table'!$A$2:$C$26,3)*SIGN(N93-N96),"")</f>
        <v/>
      </c>
      <c r="S93">
        <f>IF(AND(ISNUMBER(N93),ISNUMBER(N97)),VLOOKUP(ABS(N93-N97),'IMP Table'!$A$2:$C$26,3)*SIGN(N93-N97),"")</f>
        <v/>
      </c>
      <c r="T93">
        <f>IF(AND(ISNUMBER(N93),ISNUMBER(N98)),VLOOKUP(ABS(N93-N98),'IMP Table'!$A$2:$C$26,3)*SIGN(N93-N98),"")</f>
        <v/>
      </c>
      <c r="U93">
        <f>IF(AND(ISNUMBER(O93),ISNUMBER(O94)),VLOOKUP(ABS(O93-O94),'IMP Table'!$A$2:$C$26,3)*SIGN(O93-O94),"")</f>
        <v/>
      </c>
      <c r="V93">
        <f>IF(AND(ISNUMBER(O93),ISNUMBER(O95)),VLOOKUP(ABS(O93-O95),'IMP Table'!$A$2:$C$26,3)*SIGN(O93-O95),"")</f>
        <v/>
      </c>
      <c r="W93">
        <f>IF(AND(ISNUMBER(O93),ISNUMBER(O96)),VLOOKUP(ABS(O93-O96),'IMP Table'!$A$2:$C$26,3)*SIGN(O93-O96),"")</f>
        <v/>
      </c>
      <c r="X93">
        <f>IF(AND(ISNUMBER(O93),ISNUMBER(O97)),VLOOKUP(ABS(O93-O97),'IMP Table'!$A$2:$C$26,3)*SIGN(O93-O97),"")</f>
        <v/>
      </c>
      <c r="Y93">
        <f>IF(AND(ISNUMBER(O93),ISNUMBER(O98)),VLOOKUP(ABS(O93-O98),'IMP Table'!$A$2:$C$26,3)*SIGN(O93-O98),"")</f>
        <v/>
      </c>
    </row>
    <row r="94">
      <c r="B94">
        <f>'By Round'!A26</f>
        <v/>
      </c>
      <c r="C94">
        <f>'By Round'!B30</f>
        <v/>
      </c>
      <c r="D94">
        <f>'By Round'!C30</f>
        <v/>
      </c>
      <c r="E94">
        <f>'By Round'!D30</f>
        <v/>
      </c>
      <c r="F94" s="10" t="inlineStr">
        <is>
          <t>EW</t>
        </is>
      </c>
      <c r="G94">
        <f>'By Round'!G31</f>
        <v/>
      </c>
      <c r="H94">
        <f>'By Round'!H31</f>
        <v/>
      </c>
      <c r="I94">
        <f>'By Round'!I31</f>
        <v/>
      </c>
      <c r="J94">
        <f>'By Round'!J31</f>
        <v/>
      </c>
      <c r="K94">
        <f>'By Round'!K31</f>
        <v/>
      </c>
      <c r="L94" s="11">
        <f>IFERROR(AVERAGE(P94:T94),"")</f>
        <v/>
      </c>
      <c r="M94" s="4">
        <f>IFERROR(AVERAGE(U94:Y94),"")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IF(AND(ISNUMBER(N94),ISNUMBER(N93)),VLOOKUP(ABS(N94-N93),'IMP Table'!$A$2:$C$26,3)*SIGN(N94-N93),"")</f>
        <v/>
      </c>
      <c r="Q94">
        <f>IF(AND(ISNUMBER(N94),ISNUMBER(N95)),VLOOKUP(ABS(N94-N95),'IMP Table'!$A$2:$C$26,3)*SIGN(N94-N95),"")</f>
        <v/>
      </c>
      <c r="R94">
        <f>IF(AND(ISNUMBER(N94),ISNUMBER(N96)),VLOOKUP(ABS(N94-N96),'IMP Table'!$A$2:$C$26,3)*SIGN(N94-N96),"")</f>
        <v/>
      </c>
      <c r="S94">
        <f>IF(AND(ISNUMBER(N94),ISNUMBER(N97)),VLOOKUP(ABS(N94-N97),'IMP Table'!$A$2:$C$26,3)*SIGN(N94-N97),"")</f>
        <v/>
      </c>
      <c r="T94">
        <f>IF(AND(ISNUMBER(N94),ISNUMBER(N98)),VLOOKUP(ABS(N94-N98),'IMP Table'!$A$2:$C$26,3)*SIGN(N94-N98),"")</f>
        <v/>
      </c>
      <c r="U94">
        <f>IF(AND(ISNUMBER(O94),ISNUMBER(O93)),VLOOKUP(ABS(O94-O93),'IMP Table'!$A$2:$C$26,3)*SIGN(O94-O93),"")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</row>
    <row r="95">
      <c r="B95">
        <f>'By Round'!A38</f>
        <v/>
      </c>
      <c r="C95">
        <f>'By Round'!B40</f>
        <v/>
      </c>
      <c r="D95">
        <f>'By Round'!C40</f>
        <v/>
      </c>
      <c r="E95">
        <f>'By Round'!D40</f>
        <v/>
      </c>
      <c r="F95" s="10" t="inlineStr">
        <is>
          <t>EW</t>
        </is>
      </c>
      <c r="G95">
        <f>'By Round'!G41</f>
        <v/>
      </c>
      <c r="H95">
        <f>'By Round'!H41</f>
        <v/>
      </c>
      <c r="I95">
        <f>'By Round'!I41</f>
        <v/>
      </c>
      <c r="J95">
        <f>'By Round'!J41</f>
        <v/>
      </c>
      <c r="K95">
        <f>'By Round'!K41</f>
        <v/>
      </c>
      <c r="L95" s="11">
        <f>IFERROR(AVERAGE(P95:T95),"")</f>
        <v/>
      </c>
      <c r="M95" s="4">
        <f>IFERROR(AVERAGE(U95:Y95),"")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IF(AND(ISNUMBER(N95),ISNUMBER(N93)),VLOOKUP(ABS(N95-N93),'IMP Table'!$A$2:$C$26,3)*SIGN(N95-N93),"")</f>
        <v/>
      </c>
      <c r="Q95">
        <f>IF(AND(ISNUMBER(N95),ISNUMBER(N94)),VLOOKUP(ABS(N95-N94),'IMP Table'!$A$2:$C$26,3)*SIGN(N95-N94),"")</f>
        <v/>
      </c>
      <c r="R95">
        <f>IF(AND(ISNUMBER(N95),ISNUMBER(N96)),VLOOKUP(ABS(N95-N96),'IMP Table'!$A$2:$C$26,3)*SIGN(N95-N96),"")</f>
        <v/>
      </c>
      <c r="S95">
        <f>IF(AND(ISNUMBER(N95),ISNUMBER(N97)),VLOOKUP(ABS(N95-N97),'IMP Table'!$A$2:$C$26,3)*SIGN(N95-N97),"")</f>
        <v/>
      </c>
      <c r="T95">
        <f>IF(AND(ISNUMBER(N95),ISNUMBER(N98)),VLOOKUP(ABS(N95-N98),'IMP Table'!$A$2:$C$26,3)*SIGN(N95-N98),"")</f>
        <v/>
      </c>
      <c r="U95">
        <f>IF(AND(ISNUMBER(O95),ISNUMBER(O93)),VLOOKUP(ABS(O95-O93),'IMP Table'!$A$2:$C$26,3)*SIGN(O95-O93),"")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</row>
    <row r="96">
      <c r="B96">
        <f>'By Round'!A86</f>
        <v/>
      </c>
      <c r="C96">
        <f>'By Round'!B86</f>
        <v/>
      </c>
      <c r="D96">
        <f>'By Round'!C86</f>
        <v/>
      </c>
      <c r="E96">
        <f>'By Round'!D86</f>
        <v/>
      </c>
      <c r="F96" s="10" t="inlineStr">
        <is>
          <t>EW</t>
        </is>
      </c>
      <c r="G96">
        <f>'By Round'!G87</f>
        <v/>
      </c>
      <c r="H96">
        <f>'By Round'!H87</f>
        <v/>
      </c>
      <c r="I96">
        <f>'By Round'!I87</f>
        <v/>
      </c>
      <c r="J96">
        <f>'By Round'!J87</f>
        <v/>
      </c>
      <c r="K96">
        <f>'By Round'!K87</f>
        <v/>
      </c>
      <c r="L96" s="11">
        <f>IFERROR(AVERAGE(P96:T96),"")</f>
        <v/>
      </c>
      <c r="M96" s="4">
        <f>IFERROR(AVERAGE(U96:Y96),"")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IF(AND(ISNUMBER(N96),ISNUMBER(N93)),VLOOKUP(ABS(N96-N93),'IMP Table'!$A$2:$C$26,3)*SIGN(N96-N93),"")</f>
        <v/>
      </c>
      <c r="Q96">
        <f>IF(AND(ISNUMBER(N96),ISNUMBER(N94)),VLOOKUP(ABS(N96-N94),'IMP Table'!$A$2:$C$26,3)*SIGN(N96-N94),"")</f>
        <v/>
      </c>
      <c r="R96">
        <f>IF(AND(ISNUMBER(N96),ISNUMBER(N95)),VLOOKUP(ABS(N96-N95),'IMP Table'!$A$2:$C$26,3)*SIGN(N96-N95),"")</f>
        <v/>
      </c>
      <c r="S96">
        <f>IF(AND(ISNUMBER(N96),ISNUMBER(N97)),VLOOKUP(ABS(N96-N97),'IMP Table'!$A$2:$C$26,3)*SIGN(N96-N97),"")</f>
        <v/>
      </c>
      <c r="T96">
        <f>IF(AND(ISNUMBER(N96),ISNUMBER(N98)),VLOOKUP(ABS(N96-N98),'IMP Table'!$A$2:$C$26,3)*SIGN(N96-N98),"")</f>
        <v/>
      </c>
      <c r="U96">
        <f>IF(AND(ISNUMBER(O96),ISNUMBER(O93)),VLOOKUP(ABS(O96-O93),'IMP Table'!$A$2:$C$26,3)*SIGN(O96-O93),"")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</row>
    <row r="97">
      <c r="B97">
        <f>'By Round'!A110</f>
        <v/>
      </c>
      <c r="C97">
        <f>'By Round'!B120</f>
        <v/>
      </c>
      <c r="D97">
        <f>'By Round'!C120</f>
        <v/>
      </c>
      <c r="E97">
        <f>'By Round'!D120</f>
        <v/>
      </c>
      <c r="F97" s="10" t="inlineStr">
        <is>
          <t>EW</t>
        </is>
      </c>
      <c r="G97">
        <f>'By Round'!G121</f>
        <v/>
      </c>
      <c r="H97">
        <f>'By Round'!H121</f>
        <v/>
      </c>
      <c r="I97">
        <f>'By Round'!I121</f>
        <v/>
      </c>
      <c r="J97">
        <f>'By Round'!J121</f>
        <v/>
      </c>
      <c r="K97">
        <f>'By Round'!K121</f>
        <v/>
      </c>
      <c r="L97" s="11">
        <f>IFERROR(AVERAGE(P97:T97),"")</f>
        <v/>
      </c>
      <c r="M97" s="4">
        <f>IFERROR(AVERAGE(U97:Y97),"")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IF(AND(ISNUMBER(N97),ISNUMBER(N93)),VLOOKUP(ABS(N97-N93),'IMP Table'!$A$2:$C$26,3)*SIGN(N97-N93),"")</f>
        <v/>
      </c>
      <c r="Q97">
        <f>IF(AND(ISNUMBER(N97),ISNUMBER(N94)),VLOOKUP(ABS(N97-N94),'IMP Table'!$A$2:$C$26,3)*SIGN(N97-N94),"")</f>
        <v/>
      </c>
      <c r="R97">
        <f>IF(AND(ISNUMBER(N97),ISNUMBER(N95)),VLOOKUP(ABS(N97-N95),'IMP Table'!$A$2:$C$26,3)*SIGN(N97-N95),"")</f>
        <v/>
      </c>
      <c r="S97">
        <f>IF(AND(ISNUMBER(N97),ISNUMBER(N96)),VLOOKUP(ABS(N97-N96),'IMP Table'!$A$2:$C$26,3)*SIGN(N97-N96),"")</f>
        <v/>
      </c>
      <c r="T97">
        <f>IF(AND(ISNUMBER(N97),ISNUMBER(N98)),VLOOKUP(ABS(N97-N98),'IMP Table'!$A$2:$C$26,3)*SIGN(N97-N98),"")</f>
        <v/>
      </c>
      <c r="U97">
        <f>IF(AND(ISNUMBER(O97),ISNUMBER(O93)),VLOOKUP(ABS(O97-O93),'IMP Table'!$A$2:$C$26,3)*SIGN(O97-O93),"")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</row>
    <row r="98">
      <c r="B98">
        <f>'By Round'!A122</f>
        <v/>
      </c>
      <c r="C98">
        <f>'By Round'!B130</f>
        <v/>
      </c>
      <c r="D98">
        <f>'By Round'!C130</f>
        <v/>
      </c>
      <c r="E98">
        <f>'By Round'!D130</f>
        <v/>
      </c>
      <c r="F98" s="10" t="inlineStr">
        <is>
          <t>EW</t>
        </is>
      </c>
      <c r="G98">
        <f>'By Round'!G131</f>
        <v/>
      </c>
      <c r="H98">
        <f>'By Round'!H131</f>
        <v/>
      </c>
      <c r="I98">
        <f>'By Round'!I131</f>
        <v/>
      </c>
      <c r="J98">
        <f>'By Round'!J131</f>
        <v/>
      </c>
      <c r="K98">
        <f>'By Round'!K131</f>
        <v/>
      </c>
      <c r="L98" s="11">
        <f>IFERROR(AVERAGE(P98:T98),"")</f>
        <v/>
      </c>
      <c r="M98" s="4">
        <f>IFERROR(AVERAGE(U98:Y98),"")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IF(AND(ISNUMBER(N98),ISNUMBER(N93)),VLOOKUP(ABS(N98-N93),'IMP Table'!$A$2:$C$26,3)*SIGN(N98-N93),"")</f>
        <v/>
      </c>
      <c r="Q98">
        <f>IF(AND(ISNUMBER(N98),ISNUMBER(N94)),VLOOKUP(ABS(N98-N94),'IMP Table'!$A$2:$C$26,3)*SIGN(N98-N94),"")</f>
        <v/>
      </c>
      <c r="R98">
        <f>IF(AND(ISNUMBER(N98),ISNUMBER(N95)),VLOOKUP(ABS(N98-N95),'IMP Table'!$A$2:$C$26,3)*SIGN(N98-N95),"")</f>
        <v/>
      </c>
      <c r="S98">
        <f>IF(AND(ISNUMBER(N98),ISNUMBER(N96)),VLOOKUP(ABS(N98-N96),'IMP Table'!$A$2:$C$26,3)*SIGN(N98-N96),"")</f>
        <v/>
      </c>
      <c r="T98">
        <f>IF(AND(ISNUMBER(N98),ISNUMBER(N97)),VLOOKUP(ABS(N98-N97),'IMP Table'!$A$2:$C$26,3)*SIGN(N98-N97),"")</f>
        <v/>
      </c>
      <c r="U98">
        <f>IF(AND(ISNUMBER(O98),ISNUMBER(O93)),VLOOKUP(ABS(O98-O93),'IMP Table'!$A$2:$C$26,3)*SIGN(O98-O93),"")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</row>
    <row r="99">
      <c r="A99" t="n">
        <v>17</v>
      </c>
      <c r="B99">
        <f>'By Round'!A2</f>
        <v/>
      </c>
      <c r="C99">
        <f>'By Round'!B10</f>
        <v/>
      </c>
      <c r="D99">
        <f>'By Round'!C10</f>
        <v/>
      </c>
      <c r="E99">
        <f>'By Round'!D10</f>
        <v/>
      </c>
      <c r="F99" s="10" t="inlineStr">
        <is>
          <t>None</t>
        </is>
      </c>
      <c r="G99">
        <f>'By Round'!G10</f>
        <v/>
      </c>
      <c r="H99">
        <f>'By Round'!H10</f>
        <v/>
      </c>
      <c r="I99">
        <f>'By Round'!I10</f>
        <v/>
      </c>
      <c r="J99">
        <f>'By Round'!J10</f>
        <v/>
      </c>
      <c r="K99">
        <f>'By Round'!K10</f>
        <v/>
      </c>
      <c r="L99" s="11">
        <f>IFERROR(AVERAGE(P99:T99),"")</f>
        <v/>
      </c>
      <c r="M99" s="4">
        <f>IFERROR(AVERAGE(U99:Y99),"")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IF(AND(ISNUMBER(N99),ISNUMBER(N100)),VLOOKUP(ABS(N99-N100),'IMP Table'!$A$2:$C$26,3)*SIGN(N99-N100),"")</f>
        <v/>
      </c>
      <c r="Q99">
        <f>IF(AND(ISNUMBER(N99),ISNUMBER(N101)),VLOOKUP(ABS(N99-N101),'IMP Table'!$A$2:$C$26,3)*SIGN(N99-N101),"")</f>
        <v/>
      </c>
      <c r="R99">
        <f>IF(AND(ISNUMBER(N99),ISNUMBER(N102)),VLOOKUP(ABS(N99-N102),'IMP Table'!$A$2:$C$26,3)*SIGN(N99-N102),"")</f>
        <v/>
      </c>
      <c r="S99">
        <f>IF(AND(ISNUMBER(N99),ISNUMBER(N103)),VLOOKUP(ABS(N99-N103),'IMP Table'!$A$2:$C$26,3)*SIGN(N99-N103),"")</f>
        <v/>
      </c>
      <c r="T99">
        <f>IF(AND(ISNUMBER(N99),ISNUMBER(N104)),VLOOKUP(ABS(N99-N104),'IMP Table'!$A$2:$C$26,3)*SIGN(N99-N104),"")</f>
        <v/>
      </c>
      <c r="U99">
        <f>IF(AND(ISNUMBER(O99),ISNUMBER(O100)),VLOOKUP(ABS(O99-O100),'IMP Table'!$A$2:$C$26,3)*SIGN(O99-O100),"")</f>
        <v/>
      </c>
      <c r="V99">
        <f>IF(AND(ISNUMBER(O99),ISNUMBER(O101)),VLOOKUP(ABS(O99-O101),'IMP Table'!$A$2:$C$26,3)*SIGN(O99-O101),"")</f>
        <v/>
      </c>
      <c r="W99">
        <f>IF(AND(ISNUMBER(O99),ISNUMBER(O102)),VLOOKUP(ABS(O99-O102),'IMP Table'!$A$2:$C$26,3)*SIGN(O99-O102),"")</f>
        <v/>
      </c>
      <c r="X99">
        <f>IF(AND(ISNUMBER(O99),ISNUMBER(O103)),VLOOKUP(ABS(O99-O103),'IMP Table'!$A$2:$C$26,3)*SIGN(O99-O103),"")</f>
        <v/>
      </c>
      <c r="Y99">
        <f>IF(AND(ISNUMBER(O99),ISNUMBER(O104)),VLOOKUP(ABS(O99-O104),'IMP Table'!$A$2:$C$26,3)*SIGN(O99-O104),"")</f>
        <v/>
      </c>
    </row>
    <row r="100">
      <c r="B100">
        <f>'By Round'!A14</f>
        <v/>
      </c>
      <c r="C100">
        <f>'By Round'!B20</f>
        <v/>
      </c>
      <c r="D100">
        <f>'By Round'!C20</f>
        <v/>
      </c>
      <c r="E100">
        <f>'By Round'!D20</f>
        <v/>
      </c>
      <c r="F100" s="10" t="inlineStr">
        <is>
          <t>None</t>
        </is>
      </c>
      <c r="G100">
        <f>'By Round'!G20</f>
        <v/>
      </c>
      <c r="H100">
        <f>'By Round'!H20</f>
        <v/>
      </c>
      <c r="I100">
        <f>'By Round'!I20</f>
        <v/>
      </c>
      <c r="J100">
        <f>'By Round'!J20</f>
        <v/>
      </c>
      <c r="K100">
        <f>'By Round'!K20</f>
        <v/>
      </c>
      <c r="L100" s="11">
        <f>IFERROR(AVERAGE(P100:T100),"")</f>
        <v/>
      </c>
      <c r="M100" s="4">
        <f>IFERROR(AVERAGE(U100:Y100),"")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IF(AND(ISNUMBER(N100),ISNUMBER(N99)),VLOOKUP(ABS(N100-N99),'IMP Table'!$A$2:$C$26,3)*SIGN(N100-N99),"")</f>
        <v/>
      </c>
      <c r="Q100">
        <f>IF(AND(ISNUMBER(N100),ISNUMBER(N101)),VLOOKUP(ABS(N100-N101),'IMP Table'!$A$2:$C$26,3)*SIGN(N100-N101),"")</f>
        <v/>
      </c>
      <c r="R100">
        <f>IF(AND(ISNUMBER(N100),ISNUMBER(N102)),VLOOKUP(ABS(N100-N102),'IMP Table'!$A$2:$C$26,3)*SIGN(N100-N102),"")</f>
        <v/>
      </c>
      <c r="S100">
        <f>IF(AND(ISNUMBER(N100),ISNUMBER(N103)),VLOOKUP(ABS(N100-N103),'IMP Table'!$A$2:$C$26,3)*SIGN(N100-N103),"")</f>
        <v/>
      </c>
      <c r="T100">
        <f>IF(AND(ISNUMBER(N100),ISNUMBER(N104)),VLOOKUP(ABS(N100-N104),'IMP Table'!$A$2:$C$26,3)*SIGN(N100-N104),"")</f>
        <v/>
      </c>
      <c r="U100">
        <f>IF(AND(ISNUMBER(O100),ISNUMBER(O99)),VLOOKUP(ABS(O100-O99),'IMP Table'!$A$2:$C$26,3)*SIGN(O100-O99),"")</f>
        <v/>
      </c>
      <c r="V100">
        <f>IF(AND(ISNUMBER(O100),ISNUMBER(O101)),VLOOKUP(ABS(O100-O101),'IMP Table'!$A$2:$C$26,3)*SIGN(O100-O101),"")</f>
        <v/>
      </c>
      <c r="W100">
        <f>IF(AND(ISNUMBER(O100),ISNUMBER(O102)),VLOOKUP(ABS(O100-O102),'IMP Table'!$A$2:$C$26,3)*SIGN(O100-O102),"")</f>
        <v/>
      </c>
      <c r="X100">
        <f>IF(AND(ISNUMBER(O100),ISNUMBER(O103)),VLOOKUP(ABS(O100-O103),'IMP Table'!$A$2:$C$26,3)*SIGN(O100-O103),"")</f>
        <v/>
      </c>
      <c r="Y100">
        <f>IF(AND(ISNUMBER(O100),ISNUMBER(O104)),VLOOKUP(ABS(O100-O104),'IMP Table'!$A$2:$C$26,3)*SIGN(O100-O104),"")</f>
        <v/>
      </c>
    </row>
    <row r="101">
      <c r="B101">
        <f>'By Round'!A38</f>
        <v/>
      </c>
      <c r="C101">
        <f>'By Round'!B42</f>
        <v/>
      </c>
      <c r="D101">
        <f>'By Round'!C42</f>
        <v/>
      </c>
      <c r="E101">
        <f>'By Round'!D42</f>
        <v/>
      </c>
      <c r="F101" s="10" t="inlineStr">
        <is>
          <t>None</t>
        </is>
      </c>
      <c r="G101">
        <f>'By Round'!G42</f>
        <v/>
      </c>
      <c r="H101">
        <f>'By Round'!H42</f>
        <v/>
      </c>
      <c r="I101">
        <f>'By Round'!I42</f>
        <v/>
      </c>
      <c r="J101">
        <f>'By Round'!J42</f>
        <v/>
      </c>
      <c r="K101">
        <f>'By Round'!K42</f>
        <v/>
      </c>
      <c r="L101" s="11">
        <f>IFERROR(AVERAGE(P101:T101),"")</f>
        <v/>
      </c>
      <c r="M101" s="4">
        <f>IFERROR(AVERAGE(U101:Y101),"")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IF(AND(ISNUMBER(N101),ISNUMBER(N99)),VLOOKUP(ABS(N101-N99),'IMP Table'!$A$2:$C$26,3)*SIGN(N101-N99),"")</f>
        <v/>
      </c>
      <c r="Q101">
        <f>IF(AND(ISNUMBER(N101),ISNUMBER(N100)),VLOOKUP(ABS(N101-N100),'IMP Table'!$A$2:$C$26,3)*SIGN(N101-N100),"")</f>
        <v/>
      </c>
      <c r="R101">
        <f>IF(AND(ISNUMBER(N101),ISNUMBER(N102)),VLOOKUP(ABS(N101-N102),'IMP Table'!$A$2:$C$26,3)*SIGN(N101-N102),"")</f>
        <v/>
      </c>
      <c r="S101">
        <f>IF(AND(ISNUMBER(N101),ISNUMBER(N103)),VLOOKUP(ABS(N101-N103),'IMP Table'!$A$2:$C$26,3)*SIGN(N101-N103),"")</f>
        <v/>
      </c>
      <c r="T101">
        <f>IF(AND(ISNUMBER(N101),ISNUMBER(N104)),VLOOKUP(ABS(N101-N104),'IMP Table'!$A$2:$C$26,3)*SIGN(N101-N104),"")</f>
        <v/>
      </c>
      <c r="U101">
        <f>IF(AND(ISNUMBER(O101),ISNUMBER(O99)),VLOOKUP(ABS(O101-O99),'IMP Table'!$A$2:$C$26,3)*SIGN(O101-O99),"")</f>
        <v/>
      </c>
      <c r="V101">
        <f>IF(AND(ISNUMBER(O101),ISNUMBER(O100)),VLOOKUP(ABS(O101-O100),'IMP Table'!$A$2:$C$26,3)*SIGN(O101-O100),"")</f>
        <v/>
      </c>
      <c r="W101">
        <f>IF(AND(ISNUMBER(O101),ISNUMBER(O102)),VLOOKUP(ABS(O101-O102),'IMP Table'!$A$2:$C$26,3)*SIGN(O101-O102),"")</f>
        <v/>
      </c>
      <c r="X101">
        <f>IF(AND(ISNUMBER(O101),ISNUMBER(O103)),VLOOKUP(ABS(O101-O103),'IMP Table'!$A$2:$C$26,3)*SIGN(O101-O103),"")</f>
        <v/>
      </c>
      <c r="Y101">
        <f>IF(AND(ISNUMBER(O101),ISNUMBER(O104)),VLOOKUP(ABS(O101-O104),'IMP Table'!$A$2:$C$26,3)*SIGN(O101-O104),"")</f>
        <v/>
      </c>
    </row>
    <row r="102">
      <c r="B102">
        <f>'By Round'!A50</f>
        <v/>
      </c>
      <c r="C102">
        <f>'By Round'!B52</f>
        <v/>
      </c>
      <c r="D102">
        <f>'By Round'!C52</f>
        <v/>
      </c>
      <c r="E102">
        <f>'By Round'!D52</f>
        <v/>
      </c>
      <c r="F102" s="10" t="inlineStr">
        <is>
          <t>None</t>
        </is>
      </c>
      <c r="G102">
        <f>'By Round'!G52</f>
        <v/>
      </c>
      <c r="H102">
        <f>'By Round'!H52</f>
        <v/>
      </c>
      <c r="I102">
        <f>'By Round'!I52</f>
        <v/>
      </c>
      <c r="J102">
        <f>'By Round'!J52</f>
        <v/>
      </c>
      <c r="K102">
        <f>'By Round'!K52</f>
        <v/>
      </c>
      <c r="L102" s="11">
        <f>IFERROR(AVERAGE(P102:T102),"")</f>
        <v/>
      </c>
      <c r="M102" s="4">
        <f>IFERROR(AVERAGE(U102:Y102),"")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IF(AND(ISNUMBER(N102),ISNUMBER(N99)),VLOOKUP(ABS(N102-N99),'IMP Table'!$A$2:$C$26,3)*SIGN(N102-N99),"")</f>
        <v/>
      </c>
      <c r="Q102">
        <f>IF(AND(ISNUMBER(N102),ISNUMBER(N100)),VLOOKUP(ABS(N102-N100),'IMP Table'!$A$2:$C$26,3)*SIGN(N102-N100),"")</f>
        <v/>
      </c>
      <c r="R102">
        <f>IF(AND(ISNUMBER(N102),ISNUMBER(N101)),VLOOKUP(ABS(N102-N101),'IMP Table'!$A$2:$C$26,3)*SIGN(N102-N101),"")</f>
        <v/>
      </c>
      <c r="S102">
        <f>IF(AND(ISNUMBER(N102),ISNUMBER(N103)),VLOOKUP(ABS(N102-N103),'IMP Table'!$A$2:$C$26,3)*SIGN(N102-N103),"")</f>
        <v/>
      </c>
      <c r="T102">
        <f>IF(AND(ISNUMBER(N102),ISNUMBER(N104)),VLOOKUP(ABS(N102-N104),'IMP Table'!$A$2:$C$26,3)*SIGN(N102-N104),"")</f>
        <v/>
      </c>
      <c r="U102">
        <f>IF(AND(ISNUMBER(O102),ISNUMBER(O99)),VLOOKUP(ABS(O102-O99),'IMP Table'!$A$2:$C$26,3)*SIGN(O102-O99),"")</f>
        <v/>
      </c>
      <c r="V102">
        <f>IF(AND(ISNUMBER(O102),ISNUMBER(O100)),VLOOKUP(ABS(O102-O100),'IMP Table'!$A$2:$C$26,3)*SIGN(O102-O100),"")</f>
        <v/>
      </c>
      <c r="W102">
        <f>IF(AND(ISNUMBER(O102),ISNUMBER(O101)),VLOOKUP(ABS(O102-O101),'IMP Table'!$A$2:$C$26,3)*SIGN(O102-O101),"")</f>
        <v/>
      </c>
      <c r="X102">
        <f>IF(AND(ISNUMBER(O102),ISNUMBER(O103)),VLOOKUP(ABS(O102-O103),'IMP Table'!$A$2:$C$26,3)*SIGN(O102-O103),"")</f>
        <v/>
      </c>
      <c r="Y102">
        <f>IF(AND(ISNUMBER(O102),ISNUMBER(O104)),VLOOKUP(ABS(O102-O104),'IMP Table'!$A$2:$C$26,3)*SIGN(O102-O104),"")</f>
        <v/>
      </c>
    </row>
    <row r="103">
      <c r="B103">
        <f>'By Round'!A98</f>
        <v/>
      </c>
      <c r="C103">
        <f>'By Round'!B98</f>
        <v/>
      </c>
      <c r="D103">
        <f>'By Round'!C98</f>
        <v/>
      </c>
      <c r="E103">
        <f>'By Round'!D98</f>
        <v/>
      </c>
      <c r="F103" s="10" t="inlineStr">
        <is>
          <t>None</t>
        </is>
      </c>
      <c r="G103">
        <f>'By Round'!G98</f>
        <v/>
      </c>
      <c r="H103">
        <f>'By Round'!H98</f>
        <v/>
      </c>
      <c r="I103">
        <f>'By Round'!I98</f>
        <v/>
      </c>
      <c r="J103">
        <f>'By Round'!J98</f>
        <v/>
      </c>
      <c r="K103">
        <f>'By Round'!K98</f>
        <v/>
      </c>
      <c r="L103" s="11">
        <f>IFERROR(AVERAGE(P103:T103),"")</f>
        <v/>
      </c>
      <c r="M103" s="4">
        <f>IFERROR(AVERAGE(U103:Y103),"")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IF(AND(ISNUMBER(N103),ISNUMBER(N99)),VLOOKUP(ABS(N103-N99),'IMP Table'!$A$2:$C$26,3)*SIGN(N103-N99),"")</f>
        <v/>
      </c>
      <c r="Q103">
        <f>IF(AND(ISNUMBER(N103),ISNUMBER(N100)),VLOOKUP(ABS(N103-N100),'IMP Table'!$A$2:$C$26,3)*SIGN(N103-N100),"")</f>
        <v/>
      </c>
      <c r="R103">
        <f>IF(AND(ISNUMBER(N103),ISNUMBER(N101)),VLOOKUP(ABS(N103-N101),'IMP Table'!$A$2:$C$26,3)*SIGN(N103-N101),"")</f>
        <v/>
      </c>
      <c r="S103">
        <f>IF(AND(ISNUMBER(N103),ISNUMBER(N102)),VLOOKUP(ABS(N103-N102),'IMP Table'!$A$2:$C$26,3)*SIGN(N103-N102),"")</f>
        <v/>
      </c>
      <c r="T103">
        <f>IF(AND(ISNUMBER(N103),ISNUMBER(N104)),VLOOKUP(ABS(N103-N104),'IMP Table'!$A$2:$C$26,3)*SIGN(N103-N104),"")</f>
        <v/>
      </c>
      <c r="U103">
        <f>IF(AND(ISNUMBER(O103),ISNUMBER(O99)),VLOOKUP(ABS(O103-O99),'IMP Table'!$A$2:$C$26,3)*SIGN(O103-O99),"")</f>
        <v/>
      </c>
      <c r="V103">
        <f>IF(AND(ISNUMBER(O103),ISNUMBER(O100)),VLOOKUP(ABS(O103-O100),'IMP Table'!$A$2:$C$26,3)*SIGN(O103-O100),"")</f>
        <v/>
      </c>
      <c r="W103">
        <f>IF(AND(ISNUMBER(O103),ISNUMBER(O101)),VLOOKUP(ABS(O103-O101),'IMP Table'!$A$2:$C$26,3)*SIGN(O103-O101),"")</f>
        <v/>
      </c>
      <c r="X103">
        <f>IF(AND(ISNUMBER(O103),ISNUMBER(O102)),VLOOKUP(ABS(O103-O102),'IMP Table'!$A$2:$C$26,3)*SIGN(O103-O102),"")</f>
        <v/>
      </c>
      <c r="Y103">
        <f>IF(AND(ISNUMBER(O103),ISNUMBER(O104)),VLOOKUP(ABS(O103-O104),'IMP Table'!$A$2:$C$26,3)*SIGN(O103-O104),"")</f>
        <v/>
      </c>
    </row>
    <row r="104">
      <c r="B104">
        <f>'By Round'!A122</f>
        <v/>
      </c>
      <c r="C104">
        <f>'By Round'!B132</f>
        <v/>
      </c>
      <c r="D104">
        <f>'By Round'!C132</f>
        <v/>
      </c>
      <c r="E104">
        <f>'By Round'!D132</f>
        <v/>
      </c>
      <c r="F104" s="10" t="inlineStr">
        <is>
          <t>None</t>
        </is>
      </c>
      <c r="G104">
        <f>'By Round'!G132</f>
        <v/>
      </c>
      <c r="H104">
        <f>'By Round'!H132</f>
        <v/>
      </c>
      <c r="I104">
        <f>'By Round'!I132</f>
        <v/>
      </c>
      <c r="J104">
        <f>'By Round'!J132</f>
        <v/>
      </c>
      <c r="K104">
        <f>'By Round'!K132</f>
        <v/>
      </c>
      <c r="L104" s="11">
        <f>IFERROR(AVERAGE(P104:T104),"")</f>
        <v/>
      </c>
      <c r="M104" s="4">
        <f>IFERROR(AVERAGE(U104:Y104),"")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IF(AND(ISNUMBER(N104),ISNUMBER(N99)),VLOOKUP(ABS(N104-N99),'IMP Table'!$A$2:$C$26,3)*SIGN(N104-N99),"")</f>
        <v/>
      </c>
      <c r="Q104">
        <f>IF(AND(ISNUMBER(N104),ISNUMBER(N100)),VLOOKUP(ABS(N104-N100),'IMP Table'!$A$2:$C$26,3)*SIGN(N104-N100),"")</f>
        <v/>
      </c>
      <c r="R104">
        <f>IF(AND(ISNUMBER(N104),ISNUMBER(N101)),VLOOKUP(ABS(N104-N101),'IMP Table'!$A$2:$C$26,3)*SIGN(N104-N101),"")</f>
        <v/>
      </c>
      <c r="S104">
        <f>IF(AND(ISNUMBER(N104),ISNUMBER(N102)),VLOOKUP(ABS(N104-N102),'IMP Table'!$A$2:$C$26,3)*SIGN(N104-N102),"")</f>
        <v/>
      </c>
      <c r="T104">
        <f>IF(AND(ISNUMBER(N104),ISNUMBER(N103)),VLOOKUP(ABS(N104-N103),'IMP Table'!$A$2:$C$26,3)*SIGN(N104-N103),"")</f>
        <v/>
      </c>
      <c r="U104">
        <f>IF(AND(ISNUMBER(O104),ISNUMBER(O99)),VLOOKUP(ABS(O104-O99),'IMP Table'!$A$2:$C$26,3)*SIGN(O104-O99),"")</f>
        <v/>
      </c>
      <c r="V104">
        <f>IF(AND(ISNUMBER(O104),ISNUMBER(O100)),VLOOKUP(ABS(O104-O100),'IMP Table'!$A$2:$C$26,3)*SIGN(O104-O100),"")</f>
        <v/>
      </c>
      <c r="W104">
        <f>IF(AND(ISNUMBER(O104),ISNUMBER(O101)),VLOOKUP(ABS(O104-O101),'IMP Table'!$A$2:$C$26,3)*SIGN(O104-O101),"")</f>
        <v/>
      </c>
      <c r="X104">
        <f>IF(AND(ISNUMBER(O104),ISNUMBER(O102)),VLOOKUP(ABS(O104-O102),'IMP Table'!$A$2:$C$26,3)*SIGN(O104-O102),"")</f>
        <v/>
      </c>
      <c r="Y104">
        <f>IF(AND(ISNUMBER(O104),ISNUMBER(O103)),VLOOKUP(ABS(O104-O103),'IMP Table'!$A$2:$C$26,3)*SIGN(O104-O103),"")</f>
        <v/>
      </c>
    </row>
    <row r="105">
      <c r="A105" t="n">
        <v>18</v>
      </c>
      <c r="B105">
        <f>'By Round'!A2</f>
        <v/>
      </c>
      <c r="C105">
        <f>'By Round'!B10</f>
        <v/>
      </c>
      <c r="D105">
        <f>'By Round'!C10</f>
        <v/>
      </c>
      <c r="E105">
        <f>'By Round'!D10</f>
        <v/>
      </c>
      <c r="F105" s="10" t="inlineStr">
        <is>
          <t>NS</t>
        </is>
      </c>
      <c r="G105">
        <f>'By Round'!G11</f>
        <v/>
      </c>
      <c r="H105">
        <f>'By Round'!H11</f>
        <v/>
      </c>
      <c r="I105">
        <f>'By Round'!I11</f>
        <v/>
      </c>
      <c r="J105">
        <f>'By Round'!J11</f>
        <v/>
      </c>
      <c r="K105">
        <f>'By Round'!K11</f>
        <v/>
      </c>
      <c r="L105" s="11">
        <f>IFERROR(AVERAGE(P105:T105),"")</f>
        <v/>
      </c>
      <c r="M105" s="4">
        <f>IFERROR(AVERAGE(U105:Y105),"")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IF(AND(ISNUMBER(N105),ISNUMBER(N106)),VLOOKUP(ABS(N105-N106),'IMP Table'!$A$2:$C$26,3)*SIGN(N105-N106),"")</f>
        <v/>
      </c>
      <c r="Q105">
        <f>IF(AND(ISNUMBER(N105),ISNUMBER(N107)),VLOOKUP(ABS(N105-N107),'IMP Table'!$A$2:$C$26,3)*SIGN(N105-N107),"")</f>
        <v/>
      </c>
      <c r="R105">
        <f>IF(AND(ISNUMBER(N105),ISNUMBER(N108)),VLOOKUP(ABS(N105-N108),'IMP Table'!$A$2:$C$26,3)*SIGN(N105-N108),"")</f>
        <v/>
      </c>
      <c r="S105">
        <f>IF(AND(ISNUMBER(N105),ISNUMBER(N109)),VLOOKUP(ABS(N105-N109),'IMP Table'!$A$2:$C$26,3)*SIGN(N105-N109),"")</f>
        <v/>
      </c>
      <c r="T105">
        <f>IF(AND(ISNUMBER(N105),ISNUMBER(N110)),VLOOKUP(ABS(N105-N110),'IMP Table'!$A$2:$C$26,3)*SIGN(N105-N110),"")</f>
        <v/>
      </c>
      <c r="U105">
        <f>IF(AND(ISNUMBER(O105),ISNUMBER(O106)),VLOOKUP(ABS(O105-O106),'IMP Table'!$A$2:$C$26,3)*SIGN(O105-O106),"")</f>
        <v/>
      </c>
      <c r="V105">
        <f>IF(AND(ISNUMBER(O105),ISNUMBER(O107)),VLOOKUP(ABS(O105-O107),'IMP Table'!$A$2:$C$26,3)*SIGN(O105-O107),"")</f>
        <v/>
      </c>
      <c r="W105">
        <f>IF(AND(ISNUMBER(O105),ISNUMBER(O108)),VLOOKUP(ABS(O105-O108),'IMP Table'!$A$2:$C$26,3)*SIGN(O105-O108),"")</f>
        <v/>
      </c>
      <c r="X105">
        <f>IF(AND(ISNUMBER(O105),ISNUMBER(O109)),VLOOKUP(ABS(O105-O109),'IMP Table'!$A$2:$C$26,3)*SIGN(O105-O109),"")</f>
        <v/>
      </c>
      <c r="Y105">
        <f>IF(AND(ISNUMBER(O105),ISNUMBER(O110)),VLOOKUP(ABS(O105-O110),'IMP Table'!$A$2:$C$26,3)*SIGN(O105-O110),"")</f>
        <v/>
      </c>
    </row>
    <row r="106">
      <c r="B106">
        <f>'By Round'!A14</f>
        <v/>
      </c>
      <c r="C106">
        <f>'By Round'!B20</f>
        <v/>
      </c>
      <c r="D106">
        <f>'By Round'!C20</f>
        <v/>
      </c>
      <c r="E106">
        <f>'By Round'!D20</f>
        <v/>
      </c>
      <c r="F106" s="10" t="inlineStr">
        <is>
          <t>NS</t>
        </is>
      </c>
      <c r="G106">
        <f>'By Round'!G21</f>
        <v/>
      </c>
      <c r="H106">
        <f>'By Round'!H21</f>
        <v/>
      </c>
      <c r="I106">
        <f>'By Round'!I21</f>
        <v/>
      </c>
      <c r="J106">
        <f>'By Round'!J21</f>
        <v/>
      </c>
      <c r="K106">
        <f>'By Round'!K21</f>
        <v/>
      </c>
      <c r="L106" s="11">
        <f>IFERROR(AVERAGE(P106:T106),"")</f>
        <v/>
      </c>
      <c r="M106" s="4">
        <f>IFERROR(AVERAGE(U106:Y106),"")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IF(AND(ISNUMBER(N106),ISNUMBER(N105)),VLOOKUP(ABS(N106-N105),'IMP Table'!$A$2:$C$26,3)*SIGN(N106-N105),"")</f>
        <v/>
      </c>
      <c r="Q106">
        <f>IF(AND(ISNUMBER(N106),ISNUMBER(N107)),VLOOKUP(ABS(N106-N107),'IMP Table'!$A$2:$C$26,3)*SIGN(N106-N107),"")</f>
        <v/>
      </c>
      <c r="R106">
        <f>IF(AND(ISNUMBER(N106),ISNUMBER(N108)),VLOOKUP(ABS(N106-N108),'IMP Table'!$A$2:$C$26,3)*SIGN(N106-N108),"")</f>
        <v/>
      </c>
      <c r="S106">
        <f>IF(AND(ISNUMBER(N106),ISNUMBER(N109)),VLOOKUP(ABS(N106-N109),'IMP Table'!$A$2:$C$26,3)*SIGN(N106-N109),"")</f>
        <v/>
      </c>
      <c r="T106">
        <f>IF(AND(ISNUMBER(N106),ISNUMBER(N110)),VLOOKUP(ABS(N106-N110),'IMP Table'!$A$2:$C$26,3)*SIGN(N106-N110),"")</f>
        <v/>
      </c>
      <c r="U106">
        <f>IF(AND(ISNUMBER(O106),ISNUMBER(O105)),VLOOKUP(ABS(O106-O105),'IMP Table'!$A$2:$C$26,3)*SIGN(O106-O105),"")</f>
        <v/>
      </c>
      <c r="V106">
        <f>IF(AND(ISNUMBER(O106),ISNUMBER(O107)),VLOOKUP(ABS(O106-O107),'IMP Table'!$A$2:$C$26,3)*SIGN(O106-O107),"")</f>
        <v/>
      </c>
      <c r="W106">
        <f>IF(AND(ISNUMBER(O106),ISNUMBER(O108)),VLOOKUP(ABS(O106-O108),'IMP Table'!$A$2:$C$26,3)*SIGN(O106-O108),"")</f>
        <v/>
      </c>
      <c r="X106">
        <f>IF(AND(ISNUMBER(O106),ISNUMBER(O109)),VLOOKUP(ABS(O106-O109),'IMP Table'!$A$2:$C$26,3)*SIGN(O106-O109),"")</f>
        <v/>
      </c>
      <c r="Y106">
        <f>IF(AND(ISNUMBER(O106),ISNUMBER(O110)),VLOOKUP(ABS(O106-O110),'IMP Table'!$A$2:$C$26,3)*SIGN(O106-O110),"")</f>
        <v/>
      </c>
    </row>
    <row r="107">
      <c r="B107">
        <f>'By Round'!A38</f>
        <v/>
      </c>
      <c r="C107">
        <f>'By Round'!B42</f>
        <v/>
      </c>
      <c r="D107">
        <f>'By Round'!C42</f>
        <v/>
      </c>
      <c r="E107">
        <f>'By Round'!D42</f>
        <v/>
      </c>
      <c r="F107" s="10" t="inlineStr">
        <is>
          <t>NS</t>
        </is>
      </c>
      <c r="G107">
        <f>'By Round'!G43</f>
        <v/>
      </c>
      <c r="H107">
        <f>'By Round'!H43</f>
        <v/>
      </c>
      <c r="I107">
        <f>'By Round'!I43</f>
        <v/>
      </c>
      <c r="J107">
        <f>'By Round'!J43</f>
        <v/>
      </c>
      <c r="K107">
        <f>'By Round'!K43</f>
        <v/>
      </c>
      <c r="L107" s="11">
        <f>IFERROR(AVERAGE(P107:T107),"")</f>
        <v/>
      </c>
      <c r="M107" s="4">
        <f>IFERROR(AVERAGE(U107:Y107),"")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IF(AND(ISNUMBER(N107),ISNUMBER(N105)),VLOOKUP(ABS(N107-N105),'IMP Table'!$A$2:$C$26,3)*SIGN(N107-N105),"")</f>
        <v/>
      </c>
      <c r="Q107">
        <f>IF(AND(ISNUMBER(N107),ISNUMBER(N106)),VLOOKUP(ABS(N107-N106),'IMP Table'!$A$2:$C$26,3)*SIGN(N107-N106),"")</f>
        <v/>
      </c>
      <c r="R107">
        <f>IF(AND(ISNUMBER(N107),ISNUMBER(N108)),VLOOKUP(ABS(N107-N108),'IMP Table'!$A$2:$C$26,3)*SIGN(N107-N108),"")</f>
        <v/>
      </c>
      <c r="S107">
        <f>IF(AND(ISNUMBER(N107),ISNUMBER(N109)),VLOOKUP(ABS(N107-N109),'IMP Table'!$A$2:$C$26,3)*SIGN(N107-N109),"")</f>
        <v/>
      </c>
      <c r="T107">
        <f>IF(AND(ISNUMBER(N107),ISNUMBER(N110)),VLOOKUP(ABS(N107-N110),'IMP Table'!$A$2:$C$26,3)*SIGN(N107-N110),"")</f>
        <v/>
      </c>
      <c r="U107">
        <f>IF(AND(ISNUMBER(O107),ISNUMBER(O105)),VLOOKUP(ABS(O107-O105),'IMP Table'!$A$2:$C$26,3)*SIGN(O107-O105),"")</f>
        <v/>
      </c>
      <c r="V107">
        <f>IF(AND(ISNUMBER(O107),ISNUMBER(O106)),VLOOKUP(ABS(O107-O106),'IMP Table'!$A$2:$C$26,3)*SIGN(O107-O106),"")</f>
        <v/>
      </c>
      <c r="W107">
        <f>IF(AND(ISNUMBER(O107),ISNUMBER(O108)),VLOOKUP(ABS(O107-O108),'IMP Table'!$A$2:$C$26,3)*SIGN(O107-O108),"")</f>
        <v/>
      </c>
      <c r="X107">
        <f>IF(AND(ISNUMBER(O107),ISNUMBER(O109)),VLOOKUP(ABS(O107-O109),'IMP Table'!$A$2:$C$26,3)*SIGN(O107-O109),"")</f>
        <v/>
      </c>
      <c r="Y107">
        <f>IF(AND(ISNUMBER(O107),ISNUMBER(O110)),VLOOKUP(ABS(O107-O110),'IMP Table'!$A$2:$C$26,3)*SIGN(O107-O110),"")</f>
        <v/>
      </c>
    </row>
    <row r="108">
      <c r="B108">
        <f>'By Round'!A50</f>
        <v/>
      </c>
      <c r="C108">
        <f>'By Round'!B52</f>
        <v/>
      </c>
      <c r="D108">
        <f>'By Round'!C52</f>
        <v/>
      </c>
      <c r="E108">
        <f>'By Round'!D52</f>
        <v/>
      </c>
      <c r="F108" s="10" t="inlineStr">
        <is>
          <t>NS</t>
        </is>
      </c>
      <c r="G108">
        <f>'By Round'!G53</f>
        <v/>
      </c>
      <c r="H108">
        <f>'By Round'!H53</f>
        <v/>
      </c>
      <c r="I108">
        <f>'By Round'!I53</f>
        <v/>
      </c>
      <c r="J108">
        <f>'By Round'!J53</f>
        <v/>
      </c>
      <c r="K108">
        <f>'By Round'!K53</f>
        <v/>
      </c>
      <c r="L108" s="11">
        <f>IFERROR(AVERAGE(P108:T108),"")</f>
        <v/>
      </c>
      <c r="M108" s="4">
        <f>IFERROR(AVERAGE(U108:Y108),"")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IF(AND(ISNUMBER(N108),ISNUMBER(N105)),VLOOKUP(ABS(N108-N105),'IMP Table'!$A$2:$C$26,3)*SIGN(N108-N105),"")</f>
        <v/>
      </c>
      <c r="Q108">
        <f>IF(AND(ISNUMBER(N108),ISNUMBER(N106)),VLOOKUP(ABS(N108-N106),'IMP Table'!$A$2:$C$26,3)*SIGN(N108-N106),"")</f>
        <v/>
      </c>
      <c r="R108">
        <f>IF(AND(ISNUMBER(N108),ISNUMBER(N107)),VLOOKUP(ABS(N108-N107),'IMP Table'!$A$2:$C$26,3)*SIGN(N108-N107),"")</f>
        <v/>
      </c>
      <c r="S108">
        <f>IF(AND(ISNUMBER(N108),ISNUMBER(N109)),VLOOKUP(ABS(N108-N109),'IMP Table'!$A$2:$C$26,3)*SIGN(N108-N109),"")</f>
        <v/>
      </c>
      <c r="T108">
        <f>IF(AND(ISNUMBER(N108),ISNUMBER(N110)),VLOOKUP(ABS(N108-N110),'IMP Table'!$A$2:$C$26,3)*SIGN(N108-N110),"")</f>
        <v/>
      </c>
      <c r="U108">
        <f>IF(AND(ISNUMBER(O108),ISNUMBER(O105)),VLOOKUP(ABS(O108-O105),'IMP Table'!$A$2:$C$26,3)*SIGN(O108-O105),"")</f>
        <v/>
      </c>
      <c r="V108">
        <f>IF(AND(ISNUMBER(O108),ISNUMBER(O106)),VLOOKUP(ABS(O108-O106),'IMP Table'!$A$2:$C$26,3)*SIGN(O108-O106),"")</f>
        <v/>
      </c>
      <c r="W108">
        <f>IF(AND(ISNUMBER(O108),ISNUMBER(O107)),VLOOKUP(ABS(O108-O107),'IMP Table'!$A$2:$C$26,3)*SIGN(O108-O107),"")</f>
        <v/>
      </c>
      <c r="X108">
        <f>IF(AND(ISNUMBER(O108),ISNUMBER(O109)),VLOOKUP(ABS(O108-O109),'IMP Table'!$A$2:$C$26,3)*SIGN(O108-O109),"")</f>
        <v/>
      </c>
      <c r="Y108">
        <f>IF(AND(ISNUMBER(O108),ISNUMBER(O110)),VLOOKUP(ABS(O108-O110),'IMP Table'!$A$2:$C$26,3)*SIGN(O108-O110),"")</f>
        <v/>
      </c>
    </row>
    <row r="109">
      <c r="B109">
        <f>'By Round'!A98</f>
        <v/>
      </c>
      <c r="C109">
        <f>'By Round'!B98</f>
        <v/>
      </c>
      <c r="D109">
        <f>'By Round'!C98</f>
        <v/>
      </c>
      <c r="E109">
        <f>'By Round'!D98</f>
        <v/>
      </c>
      <c r="F109" s="10" t="inlineStr">
        <is>
          <t>NS</t>
        </is>
      </c>
      <c r="G109">
        <f>'By Round'!G99</f>
        <v/>
      </c>
      <c r="H109">
        <f>'By Round'!H99</f>
        <v/>
      </c>
      <c r="I109">
        <f>'By Round'!I99</f>
        <v/>
      </c>
      <c r="J109">
        <f>'By Round'!J99</f>
        <v/>
      </c>
      <c r="K109">
        <f>'By Round'!K99</f>
        <v/>
      </c>
      <c r="L109" s="11">
        <f>IFERROR(AVERAGE(P109:T109),"")</f>
        <v/>
      </c>
      <c r="M109" s="4">
        <f>IFERROR(AVERAGE(U109:Y109),"")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IF(AND(ISNUMBER(N109),ISNUMBER(N105)),VLOOKUP(ABS(N109-N105),'IMP Table'!$A$2:$C$26,3)*SIGN(N109-N105),"")</f>
        <v/>
      </c>
      <c r="Q109">
        <f>IF(AND(ISNUMBER(N109),ISNUMBER(N106)),VLOOKUP(ABS(N109-N106),'IMP Table'!$A$2:$C$26,3)*SIGN(N109-N106),"")</f>
        <v/>
      </c>
      <c r="R109">
        <f>IF(AND(ISNUMBER(N109),ISNUMBER(N107)),VLOOKUP(ABS(N109-N107),'IMP Table'!$A$2:$C$26,3)*SIGN(N109-N107),"")</f>
        <v/>
      </c>
      <c r="S109">
        <f>IF(AND(ISNUMBER(N109),ISNUMBER(N108)),VLOOKUP(ABS(N109-N108),'IMP Table'!$A$2:$C$26,3)*SIGN(N109-N108),"")</f>
        <v/>
      </c>
      <c r="T109">
        <f>IF(AND(ISNUMBER(N109),ISNUMBER(N110)),VLOOKUP(ABS(N109-N110),'IMP Table'!$A$2:$C$26,3)*SIGN(N109-N110),"")</f>
        <v/>
      </c>
      <c r="U109">
        <f>IF(AND(ISNUMBER(O109),ISNUMBER(O105)),VLOOKUP(ABS(O109-O105),'IMP Table'!$A$2:$C$26,3)*SIGN(O109-O105),"")</f>
        <v/>
      </c>
      <c r="V109">
        <f>IF(AND(ISNUMBER(O109),ISNUMBER(O106)),VLOOKUP(ABS(O109-O106),'IMP Table'!$A$2:$C$26,3)*SIGN(O109-O106),"")</f>
        <v/>
      </c>
      <c r="W109">
        <f>IF(AND(ISNUMBER(O109),ISNUMBER(O107)),VLOOKUP(ABS(O109-O107),'IMP Table'!$A$2:$C$26,3)*SIGN(O109-O107),"")</f>
        <v/>
      </c>
      <c r="X109">
        <f>IF(AND(ISNUMBER(O109),ISNUMBER(O108)),VLOOKUP(ABS(O109-O108),'IMP Table'!$A$2:$C$26,3)*SIGN(O109-O108),"")</f>
        <v/>
      </c>
      <c r="Y109">
        <f>IF(AND(ISNUMBER(O109),ISNUMBER(O110)),VLOOKUP(ABS(O109-O110),'IMP Table'!$A$2:$C$26,3)*SIGN(O109-O110),"")</f>
        <v/>
      </c>
    </row>
    <row r="110">
      <c r="B110">
        <f>'By Round'!A122</f>
        <v/>
      </c>
      <c r="C110">
        <f>'By Round'!B132</f>
        <v/>
      </c>
      <c r="D110">
        <f>'By Round'!C132</f>
        <v/>
      </c>
      <c r="E110">
        <f>'By Round'!D132</f>
        <v/>
      </c>
      <c r="F110" s="10" t="inlineStr">
        <is>
          <t>NS</t>
        </is>
      </c>
      <c r="G110">
        <f>'By Round'!G133</f>
        <v/>
      </c>
      <c r="H110">
        <f>'By Round'!H133</f>
        <v/>
      </c>
      <c r="I110">
        <f>'By Round'!I133</f>
        <v/>
      </c>
      <c r="J110">
        <f>'By Round'!J133</f>
        <v/>
      </c>
      <c r="K110">
        <f>'By Round'!K133</f>
        <v/>
      </c>
      <c r="L110" s="11">
        <f>IFERROR(AVERAGE(P110:T110),"")</f>
        <v/>
      </c>
      <c r="M110" s="4">
        <f>IFERROR(AVERAGE(U110:Y110),"")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IF(AND(ISNUMBER(N110),ISNUMBER(N105)),VLOOKUP(ABS(N110-N105),'IMP Table'!$A$2:$C$26,3)*SIGN(N110-N105),"")</f>
        <v/>
      </c>
      <c r="Q110">
        <f>IF(AND(ISNUMBER(N110),ISNUMBER(N106)),VLOOKUP(ABS(N110-N106),'IMP Table'!$A$2:$C$26,3)*SIGN(N110-N106),"")</f>
        <v/>
      </c>
      <c r="R110">
        <f>IF(AND(ISNUMBER(N110),ISNUMBER(N107)),VLOOKUP(ABS(N110-N107),'IMP Table'!$A$2:$C$26,3)*SIGN(N110-N107),"")</f>
        <v/>
      </c>
      <c r="S110">
        <f>IF(AND(ISNUMBER(N110),ISNUMBER(N108)),VLOOKUP(ABS(N110-N108),'IMP Table'!$A$2:$C$26,3)*SIGN(N110-N108),"")</f>
        <v/>
      </c>
      <c r="T110">
        <f>IF(AND(ISNUMBER(N110),ISNUMBER(N109)),VLOOKUP(ABS(N110-N109),'IMP Table'!$A$2:$C$26,3)*SIGN(N110-N109),"")</f>
        <v/>
      </c>
      <c r="U110">
        <f>IF(AND(ISNUMBER(O110),ISNUMBER(O105)),VLOOKUP(ABS(O110-O105),'IMP Table'!$A$2:$C$26,3)*SIGN(O110-O105),"")</f>
        <v/>
      </c>
      <c r="V110">
        <f>IF(AND(ISNUMBER(O110),ISNUMBER(O106)),VLOOKUP(ABS(O110-O106),'IMP Table'!$A$2:$C$26,3)*SIGN(O110-O106),"")</f>
        <v/>
      </c>
      <c r="W110">
        <f>IF(AND(ISNUMBER(O110),ISNUMBER(O107)),VLOOKUP(ABS(O110-O107),'IMP Table'!$A$2:$C$26,3)*SIGN(O110-O107),"")</f>
        <v/>
      </c>
      <c r="X110">
        <f>IF(AND(ISNUMBER(O110),ISNUMBER(O108)),VLOOKUP(ABS(O110-O108),'IMP Table'!$A$2:$C$26,3)*SIGN(O110-O108),"")</f>
        <v/>
      </c>
      <c r="Y110">
        <f>IF(AND(ISNUMBER(O110),ISNUMBER(O109)),VLOOKUP(ABS(O110-O109),'IMP Table'!$A$2:$C$26,3)*SIGN(O110-O109),"")</f>
        <v/>
      </c>
    </row>
    <row r="111">
      <c r="A111" t="n">
        <v>19</v>
      </c>
      <c r="B111">
        <f>'By Round'!A2</f>
        <v/>
      </c>
      <c r="C111">
        <f>'By Round'!B12</f>
        <v/>
      </c>
      <c r="D111">
        <f>'By Round'!C12</f>
        <v/>
      </c>
      <c r="E111">
        <f>'By Round'!D12</f>
        <v/>
      </c>
      <c r="F111" s="10" t="inlineStr">
        <is>
          <t>EW</t>
        </is>
      </c>
      <c r="G111">
        <f>'By Round'!G12</f>
        <v/>
      </c>
      <c r="H111">
        <f>'By Round'!H12</f>
        <v/>
      </c>
      <c r="I111">
        <f>'By Round'!I12</f>
        <v/>
      </c>
      <c r="J111">
        <f>'By Round'!J12</f>
        <v/>
      </c>
      <c r="K111">
        <f>'By Round'!K12</f>
        <v/>
      </c>
      <c r="L111" s="11">
        <f>IFERROR(AVERAGE(P111:T111),"")</f>
        <v/>
      </c>
      <c r="M111" s="4">
        <f>IFERROR(AVERAGE(U111:Y111),"")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IF(AND(ISNUMBER(N111),ISNUMBER(N112)),VLOOKUP(ABS(N111-N112),'IMP Table'!$A$2:$C$26,3)*SIGN(N111-N112),"")</f>
        <v/>
      </c>
      <c r="Q111">
        <f>IF(AND(ISNUMBER(N111),ISNUMBER(N113)),VLOOKUP(ABS(N111-N113),'IMP Table'!$A$2:$C$26,3)*SIGN(N111-N113),"")</f>
        <v/>
      </c>
      <c r="R111">
        <f>IF(AND(ISNUMBER(N111),ISNUMBER(N114)),VLOOKUP(ABS(N111-N114),'IMP Table'!$A$2:$C$26,3)*SIGN(N111-N114),"")</f>
        <v/>
      </c>
      <c r="S111">
        <f>IF(AND(ISNUMBER(N111),ISNUMBER(N115)),VLOOKUP(ABS(N111-N115),'IMP Table'!$A$2:$C$26,3)*SIGN(N111-N115),"")</f>
        <v/>
      </c>
      <c r="T111">
        <f>IF(AND(ISNUMBER(N111),ISNUMBER(N116)),VLOOKUP(ABS(N111-N116),'IMP Table'!$A$2:$C$26,3)*SIGN(N111-N116),"")</f>
        <v/>
      </c>
      <c r="U111">
        <f>IF(AND(ISNUMBER(O111),ISNUMBER(O112)),VLOOKUP(ABS(O111-O112),'IMP Table'!$A$2:$C$26,3)*SIGN(O111-O112),"")</f>
        <v/>
      </c>
      <c r="V111">
        <f>IF(AND(ISNUMBER(O111),ISNUMBER(O113)),VLOOKUP(ABS(O111-O113),'IMP Table'!$A$2:$C$26,3)*SIGN(O111-O113),"")</f>
        <v/>
      </c>
      <c r="W111">
        <f>IF(AND(ISNUMBER(O111),ISNUMBER(O114)),VLOOKUP(ABS(O111-O114),'IMP Table'!$A$2:$C$26,3)*SIGN(O111-O114),"")</f>
        <v/>
      </c>
      <c r="X111">
        <f>IF(AND(ISNUMBER(O111),ISNUMBER(O115)),VLOOKUP(ABS(O111-O115),'IMP Table'!$A$2:$C$26,3)*SIGN(O111-O115),"")</f>
        <v/>
      </c>
      <c r="Y111">
        <f>IF(AND(ISNUMBER(O111),ISNUMBER(O116)),VLOOKUP(ABS(O111-O116),'IMP Table'!$A$2:$C$26,3)*SIGN(O111-O116),"")</f>
        <v/>
      </c>
    </row>
    <row r="112">
      <c r="B112">
        <f>'By Round'!A14</f>
        <v/>
      </c>
      <c r="C112">
        <f>'By Round'!B22</f>
        <v/>
      </c>
      <c r="D112">
        <f>'By Round'!C22</f>
        <v/>
      </c>
      <c r="E112">
        <f>'By Round'!D22</f>
        <v/>
      </c>
      <c r="F112" s="10" t="inlineStr">
        <is>
          <t>EW</t>
        </is>
      </c>
      <c r="G112">
        <f>'By Round'!G22</f>
        <v/>
      </c>
      <c r="H112">
        <f>'By Round'!H22</f>
        <v/>
      </c>
      <c r="I112">
        <f>'By Round'!I22</f>
        <v/>
      </c>
      <c r="J112">
        <f>'By Round'!J22</f>
        <v/>
      </c>
      <c r="K112">
        <f>'By Round'!K22</f>
        <v/>
      </c>
      <c r="L112" s="11">
        <f>IFERROR(AVERAGE(P112:T112),"")</f>
        <v/>
      </c>
      <c r="M112" s="4">
        <f>IFERROR(AVERAGE(U112:Y112),"")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IF(AND(ISNUMBER(N112),ISNUMBER(N111)),VLOOKUP(ABS(N112-N111),'IMP Table'!$A$2:$C$26,3)*SIGN(N112-N111),"")</f>
        <v/>
      </c>
      <c r="Q112">
        <f>IF(AND(ISNUMBER(N112),ISNUMBER(N113)),VLOOKUP(ABS(N112-N113),'IMP Table'!$A$2:$C$26,3)*SIGN(N112-N113),"")</f>
        <v/>
      </c>
      <c r="R112">
        <f>IF(AND(ISNUMBER(N112),ISNUMBER(N114)),VLOOKUP(ABS(N112-N114),'IMP Table'!$A$2:$C$26,3)*SIGN(N112-N114),"")</f>
        <v/>
      </c>
      <c r="S112">
        <f>IF(AND(ISNUMBER(N112),ISNUMBER(N115)),VLOOKUP(ABS(N112-N115),'IMP Table'!$A$2:$C$26,3)*SIGN(N112-N115),"")</f>
        <v/>
      </c>
      <c r="T112">
        <f>IF(AND(ISNUMBER(N112),ISNUMBER(N116)),VLOOKUP(ABS(N112-N116),'IMP Table'!$A$2:$C$26,3)*SIGN(N112-N116),"")</f>
        <v/>
      </c>
      <c r="U112">
        <f>IF(AND(ISNUMBER(O112),ISNUMBER(O111)),VLOOKUP(ABS(O112-O111),'IMP Table'!$A$2:$C$26,3)*SIGN(O112-O111),"")</f>
        <v/>
      </c>
      <c r="V112">
        <f>IF(AND(ISNUMBER(O112),ISNUMBER(O113)),VLOOKUP(ABS(O112-O113),'IMP Table'!$A$2:$C$26,3)*SIGN(O112-O113),"")</f>
        <v/>
      </c>
      <c r="W112">
        <f>IF(AND(ISNUMBER(O112),ISNUMBER(O114)),VLOOKUP(ABS(O112-O114),'IMP Table'!$A$2:$C$26,3)*SIGN(O112-O114),"")</f>
        <v/>
      </c>
      <c r="X112">
        <f>IF(AND(ISNUMBER(O112),ISNUMBER(O115)),VLOOKUP(ABS(O112-O115),'IMP Table'!$A$2:$C$26,3)*SIGN(O112-O115),"")</f>
        <v/>
      </c>
      <c r="Y112">
        <f>IF(AND(ISNUMBER(O112),ISNUMBER(O116)),VLOOKUP(ABS(O112-O116),'IMP Table'!$A$2:$C$26,3)*SIGN(O112-O116),"")</f>
        <v/>
      </c>
    </row>
    <row r="113">
      <c r="B113">
        <f>'By Round'!A26</f>
        <v/>
      </c>
      <c r="C113">
        <f>'By Round'!B32</f>
        <v/>
      </c>
      <c r="D113">
        <f>'By Round'!C32</f>
        <v/>
      </c>
      <c r="E113">
        <f>'By Round'!D32</f>
        <v/>
      </c>
      <c r="F113" s="10" t="inlineStr">
        <is>
          <t>EW</t>
        </is>
      </c>
      <c r="G113">
        <f>'By Round'!G32</f>
        <v/>
      </c>
      <c r="H113">
        <f>'By Round'!H32</f>
        <v/>
      </c>
      <c r="I113">
        <f>'By Round'!I32</f>
        <v/>
      </c>
      <c r="J113">
        <f>'By Round'!J32</f>
        <v/>
      </c>
      <c r="K113">
        <f>'By Round'!K32</f>
        <v/>
      </c>
      <c r="L113" s="11">
        <f>IFERROR(AVERAGE(P113:T113),"")</f>
        <v/>
      </c>
      <c r="M113" s="4">
        <f>IFERROR(AVERAGE(U113:Y113),"")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IF(AND(ISNUMBER(N113),ISNUMBER(N111)),VLOOKUP(ABS(N113-N111),'IMP Table'!$A$2:$C$26,3)*SIGN(N113-N111),"")</f>
        <v/>
      </c>
      <c r="Q113">
        <f>IF(AND(ISNUMBER(N113),ISNUMBER(N112)),VLOOKUP(ABS(N113-N112),'IMP Table'!$A$2:$C$26,3)*SIGN(N113-N112),"")</f>
        <v/>
      </c>
      <c r="R113">
        <f>IF(AND(ISNUMBER(N113),ISNUMBER(N114)),VLOOKUP(ABS(N113-N114),'IMP Table'!$A$2:$C$26,3)*SIGN(N113-N114),"")</f>
        <v/>
      </c>
      <c r="S113">
        <f>IF(AND(ISNUMBER(N113),ISNUMBER(N115)),VLOOKUP(ABS(N113-N115),'IMP Table'!$A$2:$C$26,3)*SIGN(N113-N115),"")</f>
        <v/>
      </c>
      <c r="T113">
        <f>IF(AND(ISNUMBER(N113),ISNUMBER(N116)),VLOOKUP(ABS(N113-N116),'IMP Table'!$A$2:$C$26,3)*SIGN(N113-N116),"")</f>
        <v/>
      </c>
      <c r="U113">
        <f>IF(AND(ISNUMBER(O113),ISNUMBER(O111)),VLOOKUP(ABS(O113-O111),'IMP Table'!$A$2:$C$26,3)*SIGN(O113-O111),"")</f>
        <v/>
      </c>
      <c r="V113">
        <f>IF(AND(ISNUMBER(O113),ISNUMBER(O112)),VLOOKUP(ABS(O113-O112),'IMP Table'!$A$2:$C$26,3)*SIGN(O113-O112),"")</f>
        <v/>
      </c>
      <c r="W113">
        <f>IF(AND(ISNUMBER(O113),ISNUMBER(O114)),VLOOKUP(ABS(O113-O114),'IMP Table'!$A$2:$C$26,3)*SIGN(O113-O114),"")</f>
        <v/>
      </c>
      <c r="X113">
        <f>IF(AND(ISNUMBER(O113),ISNUMBER(O115)),VLOOKUP(ABS(O113-O115),'IMP Table'!$A$2:$C$26,3)*SIGN(O113-O115),"")</f>
        <v/>
      </c>
      <c r="Y113">
        <f>IF(AND(ISNUMBER(O113),ISNUMBER(O116)),VLOOKUP(ABS(O113-O116),'IMP Table'!$A$2:$C$26,3)*SIGN(O113-O116),"")</f>
        <v/>
      </c>
    </row>
    <row r="114">
      <c r="B114">
        <f>'By Round'!A50</f>
        <v/>
      </c>
      <c r="C114">
        <f>'By Round'!B54</f>
        <v/>
      </c>
      <c r="D114">
        <f>'By Round'!C54</f>
        <v/>
      </c>
      <c r="E114">
        <f>'By Round'!D54</f>
        <v/>
      </c>
      <c r="F114" s="10" t="inlineStr">
        <is>
          <t>EW</t>
        </is>
      </c>
      <c r="G114">
        <f>'By Round'!G54</f>
        <v/>
      </c>
      <c r="H114">
        <f>'By Round'!H54</f>
        <v/>
      </c>
      <c r="I114">
        <f>'By Round'!I54</f>
        <v/>
      </c>
      <c r="J114">
        <f>'By Round'!J54</f>
        <v/>
      </c>
      <c r="K114">
        <f>'By Round'!K54</f>
        <v/>
      </c>
      <c r="L114" s="11">
        <f>IFERROR(AVERAGE(P114:T114),"")</f>
        <v/>
      </c>
      <c r="M114" s="4">
        <f>IFERROR(AVERAGE(U114:Y114),"")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IF(AND(ISNUMBER(N114),ISNUMBER(N111)),VLOOKUP(ABS(N114-N111),'IMP Table'!$A$2:$C$26,3)*SIGN(N114-N111),"")</f>
        <v/>
      </c>
      <c r="Q114">
        <f>IF(AND(ISNUMBER(N114),ISNUMBER(N112)),VLOOKUP(ABS(N114-N112),'IMP Table'!$A$2:$C$26,3)*SIGN(N114-N112),"")</f>
        <v/>
      </c>
      <c r="R114">
        <f>IF(AND(ISNUMBER(N114),ISNUMBER(N113)),VLOOKUP(ABS(N114-N113),'IMP Table'!$A$2:$C$26,3)*SIGN(N114-N113),"")</f>
        <v/>
      </c>
      <c r="S114">
        <f>IF(AND(ISNUMBER(N114),ISNUMBER(N115)),VLOOKUP(ABS(N114-N115),'IMP Table'!$A$2:$C$26,3)*SIGN(N114-N115),"")</f>
        <v/>
      </c>
      <c r="T114">
        <f>IF(AND(ISNUMBER(N114),ISNUMBER(N116)),VLOOKUP(ABS(N114-N116),'IMP Table'!$A$2:$C$26,3)*SIGN(N114-N116),"")</f>
        <v/>
      </c>
      <c r="U114">
        <f>IF(AND(ISNUMBER(O114),ISNUMBER(O111)),VLOOKUP(ABS(O114-O111),'IMP Table'!$A$2:$C$26,3)*SIGN(O114-O111),"")</f>
        <v/>
      </c>
      <c r="V114">
        <f>IF(AND(ISNUMBER(O114),ISNUMBER(O112)),VLOOKUP(ABS(O114-O112),'IMP Table'!$A$2:$C$26,3)*SIGN(O114-O112),"")</f>
        <v/>
      </c>
      <c r="W114">
        <f>IF(AND(ISNUMBER(O114),ISNUMBER(O113)),VLOOKUP(ABS(O114-O113),'IMP Table'!$A$2:$C$26,3)*SIGN(O114-O113),"")</f>
        <v/>
      </c>
      <c r="X114">
        <f>IF(AND(ISNUMBER(O114),ISNUMBER(O115)),VLOOKUP(ABS(O114-O115),'IMP Table'!$A$2:$C$26,3)*SIGN(O114-O115),"")</f>
        <v/>
      </c>
      <c r="Y114">
        <f>IF(AND(ISNUMBER(O114),ISNUMBER(O116)),VLOOKUP(ABS(O114-O116),'IMP Table'!$A$2:$C$26,3)*SIGN(O114-O116),"")</f>
        <v/>
      </c>
    </row>
    <row r="115">
      <c r="B115">
        <f>'By Round'!A62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EW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IFERROR(AVERAGE(P115:T115),"")</f>
        <v/>
      </c>
      <c r="M115" s="4">
        <f>IFERROR(AVERAGE(U115:Y115),"")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IF(AND(ISNUMBER(N115),ISNUMBER(N111)),VLOOKUP(ABS(N115-N111),'IMP Table'!$A$2:$C$26,3)*SIGN(N115-N111),"")</f>
        <v/>
      </c>
      <c r="Q115">
        <f>IF(AND(ISNUMBER(N115),ISNUMBER(N112)),VLOOKUP(ABS(N115-N112),'IMP Table'!$A$2:$C$26,3)*SIGN(N115-N112),"")</f>
        <v/>
      </c>
      <c r="R115">
        <f>IF(AND(ISNUMBER(N115),ISNUMBER(N113)),VLOOKUP(ABS(N115-N113),'IMP Table'!$A$2:$C$26,3)*SIGN(N115-N113),"")</f>
        <v/>
      </c>
      <c r="S115">
        <f>IF(AND(ISNUMBER(N115),ISNUMBER(N114)),VLOOKUP(ABS(N115-N114),'IMP Table'!$A$2:$C$26,3)*SIGN(N115-N114),"")</f>
        <v/>
      </c>
      <c r="T115">
        <f>IF(AND(ISNUMBER(N115),ISNUMBER(N116)),VLOOKUP(ABS(N115-N116),'IMP Table'!$A$2:$C$26,3)*SIGN(N115-N116),"")</f>
        <v/>
      </c>
      <c r="U115">
        <f>IF(AND(ISNUMBER(O115),ISNUMBER(O111)),VLOOKUP(ABS(O115-O111),'IMP Table'!$A$2:$C$26,3)*SIGN(O115-O111),"")</f>
        <v/>
      </c>
      <c r="V115">
        <f>IF(AND(ISNUMBER(O115),ISNUMBER(O112)),VLOOKUP(ABS(O115-O112),'IMP Table'!$A$2:$C$26,3)*SIGN(O115-O112),"")</f>
        <v/>
      </c>
      <c r="W115">
        <f>IF(AND(ISNUMBER(O115),ISNUMBER(O113)),VLOOKUP(ABS(O115-O113),'IMP Table'!$A$2:$C$26,3)*SIGN(O115-O113),"")</f>
        <v/>
      </c>
      <c r="X115">
        <f>IF(AND(ISNUMBER(O115),ISNUMBER(O114)),VLOOKUP(ABS(O115-O114),'IMP Table'!$A$2:$C$26,3)*SIGN(O115-O114),"")</f>
        <v/>
      </c>
      <c r="Y115">
        <f>IF(AND(ISNUMBER(O115),ISNUMBER(O116)),VLOOKUP(ABS(O115-O116),'IMP Table'!$A$2:$C$26,3)*SIGN(O115-O116),"")</f>
        <v/>
      </c>
    </row>
    <row r="116">
      <c r="B116">
        <f>'By Round'!A110</f>
        <v/>
      </c>
      <c r="C116">
        <f>'By Round'!B110</f>
        <v/>
      </c>
      <c r="D116">
        <f>'By Round'!C110</f>
        <v/>
      </c>
      <c r="E116">
        <f>'By Round'!D110</f>
        <v/>
      </c>
      <c r="F116" s="10" t="inlineStr">
        <is>
          <t>EW</t>
        </is>
      </c>
      <c r="G116">
        <f>'By Round'!G110</f>
        <v/>
      </c>
      <c r="H116">
        <f>'By Round'!H110</f>
        <v/>
      </c>
      <c r="I116">
        <f>'By Round'!I110</f>
        <v/>
      </c>
      <c r="J116">
        <f>'By Round'!J110</f>
        <v/>
      </c>
      <c r="K116">
        <f>'By Round'!K110</f>
        <v/>
      </c>
      <c r="L116" s="11">
        <f>IFERROR(AVERAGE(P116:T116),"")</f>
        <v/>
      </c>
      <c r="M116" s="4">
        <f>IFERROR(AVERAGE(U116:Y116),"")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IF(AND(ISNUMBER(N116),ISNUMBER(N111)),VLOOKUP(ABS(N116-N111),'IMP Table'!$A$2:$C$26,3)*SIGN(N116-N111),"")</f>
        <v/>
      </c>
      <c r="Q116">
        <f>IF(AND(ISNUMBER(N116),ISNUMBER(N112)),VLOOKUP(ABS(N116-N112),'IMP Table'!$A$2:$C$26,3)*SIGN(N116-N112),"")</f>
        <v/>
      </c>
      <c r="R116">
        <f>IF(AND(ISNUMBER(N116),ISNUMBER(N113)),VLOOKUP(ABS(N116-N113),'IMP Table'!$A$2:$C$26,3)*SIGN(N116-N113),"")</f>
        <v/>
      </c>
      <c r="S116">
        <f>IF(AND(ISNUMBER(N116),ISNUMBER(N114)),VLOOKUP(ABS(N116-N114),'IMP Table'!$A$2:$C$26,3)*SIGN(N116-N114),"")</f>
        <v/>
      </c>
      <c r="T116">
        <f>IF(AND(ISNUMBER(N116),ISNUMBER(N115)),VLOOKUP(ABS(N116-N115),'IMP Table'!$A$2:$C$26,3)*SIGN(N116-N115),"")</f>
        <v/>
      </c>
      <c r="U116">
        <f>IF(AND(ISNUMBER(O116),ISNUMBER(O111)),VLOOKUP(ABS(O116-O111),'IMP Table'!$A$2:$C$26,3)*SIGN(O116-O111),"")</f>
        <v/>
      </c>
      <c r="V116">
        <f>IF(AND(ISNUMBER(O116),ISNUMBER(O112)),VLOOKUP(ABS(O116-O112),'IMP Table'!$A$2:$C$26,3)*SIGN(O116-O112),"")</f>
        <v/>
      </c>
      <c r="W116">
        <f>IF(AND(ISNUMBER(O116),ISNUMBER(O113)),VLOOKUP(ABS(O116-O113),'IMP Table'!$A$2:$C$26,3)*SIGN(O116-O113),"")</f>
        <v/>
      </c>
      <c r="X116">
        <f>IF(AND(ISNUMBER(O116),ISNUMBER(O114)),VLOOKUP(ABS(O116-O114),'IMP Table'!$A$2:$C$26,3)*SIGN(O116-O114),"")</f>
        <v/>
      </c>
      <c r="Y116">
        <f>IF(AND(ISNUMBER(O116),ISNUMBER(O115)),VLOOKUP(ABS(O116-O115),'IMP Table'!$A$2:$C$26,3)*SIGN(O116-O115),"")</f>
        <v/>
      </c>
    </row>
    <row r="117">
      <c r="A117" t="n">
        <v>20</v>
      </c>
      <c r="B117">
        <f>'By Round'!A2</f>
        <v/>
      </c>
      <c r="C117">
        <f>'By Round'!B12</f>
        <v/>
      </c>
      <c r="D117">
        <f>'By Round'!C12</f>
        <v/>
      </c>
      <c r="E117">
        <f>'By Round'!D12</f>
        <v/>
      </c>
      <c r="F117" s="10" t="inlineStr">
        <is>
          <t>Both</t>
        </is>
      </c>
      <c r="G117">
        <f>'By Round'!G13</f>
        <v/>
      </c>
      <c r="H117">
        <f>'By Round'!H13</f>
        <v/>
      </c>
      <c r="I117">
        <f>'By Round'!I13</f>
        <v/>
      </c>
      <c r="J117">
        <f>'By Round'!J13</f>
        <v/>
      </c>
      <c r="K117">
        <f>'By Round'!K13</f>
        <v/>
      </c>
      <c r="L117" s="11">
        <f>IFERROR(AVERAGE(P117:T117),"")</f>
        <v/>
      </c>
      <c r="M117" s="4">
        <f>IFERROR(AVERAGE(U117:Y117),"")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IF(AND(ISNUMBER(N117),ISNUMBER(N118)),VLOOKUP(ABS(N117-N118),'IMP Table'!$A$2:$C$26,3)*SIGN(N117-N118),"")</f>
        <v/>
      </c>
      <c r="Q117">
        <f>IF(AND(ISNUMBER(N117),ISNUMBER(N119)),VLOOKUP(ABS(N117-N119),'IMP Table'!$A$2:$C$26,3)*SIGN(N117-N119),"")</f>
        <v/>
      </c>
      <c r="R117">
        <f>IF(AND(ISNUMBER(N117),ISNUMBER(N120)),VLOOKUP(ABS(N117-N120),'IMP Table'!$A$2:$C$26,3)*SIGN(N117-N120),"")</f>
        <v/>
      </c>
      <c r="S117">
        <f>IF(AND(ISNUMBER(N117),ISNUMBER(N121)),VLOOKUP(ABS(N117-N121),'IMP Table'!$A$2:$C$26,3)*SIGN(N117-N121),"")</f>
        <v/>
      </c>
      <c r="T117">
        <f>IF(AND(ISNUMBER(N117),ISNUMBER(N122)),VLOOKUP(ABS(N117-N122),'IMP Table'!$A$2:$C$26,3)*SIGN(N117-N122),"")</f>
        <v/>
      </c>
      <c r="U117">
        <f>IF(AND(ISNUMBER(O117),ISNUMBER(O118)),VLOOKUP(ABS(O117-O118),'IMP Table'!$A$2:$C$26,3)*SIGN(O117-O118),"")</f>
        <v/>
      </c>
      <c r="V117">
        <f>IF(AND(ISNUMBER(O117),ISNUMBER(O119)),VLOOKUP(ABS(O117-O119),'IMP Table'!$A$2:$C$26,3)*SIGN(O117-O119),"")</f>
        <v/>
      </c>
      <c r="W117">
        <f>IF(AND(ISNUMBER(O117),ISNUMBER(O120)),VLOOKUP(ABS(O117-O120),'IMP Table'!$A$2:$C$26,3)*SIGN(O117-O120),"")</f>
        <v/>
      </c>
      <c r="X117">
        <f>IF(AND(ISNUMBER(O117),ISNUMBER(O121)),VLOOKUP(ABS(O117-O121),'IMP Table'!$A$2:$C$26,3)*SIGN(O117-O121),"")</f>
        <v/>
      </c>
      <c r="Y117">
        <f>IF(AND(ISNUMBER(O117),ISNUMBER(O122)),VLOOKUP(ABS(O117-O122),'IMP Table'!$A$2:$C$26,3)*SIGN(O117-O122),"")</f>
        <v/>
      </c>
    </row>
    <row r="118">
      <c r="B118">
        <f>'By Round'!A14</f>
        <v/>
      </c>
      <c r="C118">
        <f>'By Round'!B22</f>
        <v/>
      </c>
      <c r="D118">
        <f>'By Round'!C22</f>
        <v/>
      </c>
      <c r="E118">
        <f>'By Round'!D22</f>
        <v/>
      </c>
      <c r="F118" s="10" t="inlineStr">
        <is>
          <t>Both</t>
        </is>
      </c>
      <c r="G118">
        <f>'By Round'!G23</f>
        <v/>
      </c>
      <c r="H118">
        <f>'By Round'!H23</f>
        <v/>
      </c>
      <c r="I118">
        <f>'By Round'!I23</f>
        <v/>
      </c>
      <c r="J118">
        <f>'By Round'!J23</f>
        <v/>
      </c>
      <c r="K118">
        <f>'By Round'!K23</f>
        <v/>
      </c>
      <c r="L118" s="11">
        <f>IFERROR(AVERAGE(P118:T118),"")</f>
        <v/>
      </c>
      <c r="M118" s="4">
        <f>IFERROR(AVERAGE(U118:Y118),"")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IF(AND(ISNUMBER(N118),ISNUMBER(N117)),VLOOKUP(ABS(N118-N117),'IMP Table'!$A$2:$C$26,3)*SIGN(N118-N117),"")</f>
        <v/>
      </c>
      <c r="Q118">
        <f>IF(AND(ISNUMBER(N118),ISNUMBER(N119)),VLOOKUP(ABS(N118-N119),'IMP Table'!$A$2:$C$26,3)*SIGN(N118-N119),"")</f>
        <v/>
      </c>
      <c r="R118">
        <f>IF(AND(ISNUMBER(N118),ISNUMBER(N120)),VLOOKUP(ABS(N118-N120),'IMP Table'!$A$2:$C$26,3)*SIGN(N118-N120),"")</f>
        <v/>
      </c>
      <c r="S118">
        <f>IF(AND(ISNUMBER(N118),ISNUMBER(N121)),VLOOKUP(ABS(N118-N121),'IMP Table'!$A$2:$C$26,3)*SIGN(N118-N121),"")</f>
        <v/>
      </c>
      <c r="T118">
        <f>IF(AND(ISNUMBER(N118),ISNUMBER(N122)),VLOOKUP(ABS(N118-N122),'IMP Table'!$A$2:$C$26,3)*SIGN(N118-N122),"")</f>
        <v/>
      </c>
      <c r="U118">
        <f>IF(AND(ISNUMBER(O118),ISNUMBER(O117)),VLOOKUP(ABS(O118-O117),'IMP Table'!$A$2:$C$26,3)*SIGN(O118-O117),"")</f>
        <v/>
      </c>
      <c r="V118">
        <f>IF(AND(ISNUMBER(O118),ISNUMBER(O119)),VLOOKUP(ABS(O118-O119),'IMP Table'!$A$2:$C$26,3)*SIGN(O118-O119),"")</f>
        <v/>
      </c>
      <c r="W118">
        <f>IF(AND(ISNUMBER(O118),ISNUMBER(O120)),VLOOKUP(ABS(O118-O120),'IMP Table'!$A$2:$C$26,3)*SIGN(O118-O120),"")</f>
        <v/>
      </c>
      <c r="X118">
        <f>IF(AND(ISNUMBER(O118),ISNUMBER(O121)),VLOOKUP(ABS(O118-O121),'IMP Table'!$A$2:$C$26,3)*SIGN(O118-O121),"")</f>
        <v/>
      </c>
      <c r="Y118">
        <f>IF(AND(ISNUMBER(O118),ISNUMBER(O122)),VLOOKUP(ABS(O118-O122),'IMP Table'!$A$2:$C$26,3)*SIGN(O118-O122),"")</f>
        <v/>
      </c>
    </row>
    <row r="119">
      <c r="B119">
        <f>'By Round'!A26</f>
        <v/>
      </c>
      <c r="C119">
        <f>'By Round'!B32</f>
        <v/>
      </c>
      <c r="D119">
        <f>'By Round'!C32</f>
        <v/>
      </c>
      <c r="E119">
        <f>'By Round'!D32</f>
        <v/>
      </c>
      <c r="F119" s="10" t="inlineStr">
        <is>
          <t>Both</t>
        </is>
      </c>
      <c r="G119">
        <f>'By Round'!G33</f>
        <v/>
      </c>
      <c r="H119">
        <f>'By Round'!H33</f>
        <v/>
      </c>
      <c r="I119">
        <f>'By Round'!I33</f>
        <v/>
      </c>
      <c r="J119">
        <f>'By Round'!J33</f>
        <v/>
      </c>
      <c r="K119">
        <f>'By Round'!K33</f>
        <v/>
      </c>
      <c r="L119" s="11">
        <f>IFERROR(AVERAGE(P119:T119),"")</f>
        <v/>
      </c>
      <c r="M119" s="4">
        <f>IFERROR(AVERAGE(U119:Y119),"")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IF(AND(ISNUMBER(N119),ISNUMBER(N117)),VLOOKUP(ABS(N119-N117),'IMP Table'!$A$2:$C$26,3)*SIGN(N119-N117),"")</f>
        <v/>
      </c>
      <c r="Q119">
        <f>IF(AND(ISNUMBER(N119),ISNUMBER(N118)),VLOOKUP(ABS(N119-N118),'IMP Table'!$A$2:$C$26,3)*SIGN(N119-N118),"")</f>
        <v/>
      </c>
      <c r="R119">
        <f>IF(AND(ISNUMBER(N119),ISNUMBER(N120)),VLOOKUP(ABS(N119-N120),'IMP Table'!$A$2:$C$26,3)*SIGN(N119-N120),"")</f>
        <v/>
      </c>
      <c r="S119">
        <f>IF(AND(ISNUMBER(N119),ISNUMBER(N121)),VLOOKUP(ABS(N119-N121),'IMP Table'!$A$2:$C$26,3)*SIGN(N119-N121),"")</f>
        <v/>
      </c>
      <c r="T119">
        <f>IF(AND(ISNUMBER(N119),ISNUMBER(N122)),VLOOKUP(ABS(N119-N122),'IMP Table'!$A$2:$C$26,3)*SIGN(N119-N122),"")</f>
        <v/>
      </c>
      <c r="U119">
        <f>IF(AND(ISNUMBER(O119),ISNUMBER(O117)),VLOOKUP(ABS(O119-O117),'IMP Table'!$A$2:$C$26,3)*SIGN(O119-O117),"")</f>
        <v/>
      </c>
      <c r="V119">
        <f>IF(AND(ISNUMBER(O119),ISNUMBER(O118)),VLOOKUP(ABS(O119-O118),'IMP Table'!$A$2:$C$26,3)*SIGN(O119-O118),"")</f>
        <v/>
      </c>
      <c r="W119">
        <f>IF(AND(ISNUMBER(O119),ISNUMBER(O120)),VLOOKUP(ABS(O119-O120),'IMP Table'!$A$2:$C$26,3)*SIGN(O119-O120),"")</f>
        <v/>
      </c>
      <c r="X119">
        <f>IF(AND(ISNUMBER(O119),ISNUMBER(O121)),VLOOKUP(ABS(O119-O121),'IMP Table'!$A$2:$C$26,3)*SIGN(O119-O121),"")</f>
        <v/>
      </c>
      <c r="Y119">
        <f>IF(AND(ISNUMBER(O119),ISNUMBER(O122)),VLOOKUP(ABS(O119-O122),'IMP Table'!$A$2:$C$26,3)*SIGN(O119-O122),"")</f>
        <v/>
      </c>
    </row>
    <row r="120">
      <c r="B120">
        <f>'By Round'!A50</f>
        <v/>
      </c>
      <c r="C120">
        <f>'By Round'!B54</f>
        <v/>
      </c>
      <c r="D120">
        <f>'By Round'!C54</f>
        <v/>
      </c>
      <c r="E120">
        <f>'By Round'!D54</f>
        <v/>
      </c>
      <c r="F120" s="10" t="inlineStr">
        <is>
          <t>Both</t>
        </is>
      </c>
      <c r="G120">
        <f>'By Round'!G55</f>
        <v/>
      </c>
      <c r="H120">
        <f>'By Round'!H55</f>
        <v/>
      </c>
      <c r="I120">
        <f>'By Round'!I55</f>
        <v/>
      </c>
      <c r="J120">
        <f>'By Round'!J55</f>
        <v/>
      </c>
      <c r="K120">
        <f>'By Round'!K55</f>
        <v/>
      </c>
      <c r="L120" s="11">
        <f>IFERROR(AVERAGE(P120:T120),"")</f>
        <v/>
      </c>
      <c r="M120" s="4">
        <f>IFERROR(AVERAGE(U120:Y120),"")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IF(AND(ISNUMBER(N120),ISNUMBER(N117)),VLOOKUP(ABS(N120-N117),'IMP Table'!$A$2:$C$26,3)*SIGN(N120-N117),"")</f>
        <v/>
      </c>
      <c r="Q120">
        <f>IF(AND(ISNUMBER(N120),ISNUMBER(N118)),VLOOKUP(ABS(N120-N118),'IMP Table'!$A$2:$C$26,3)*SIGN(N120-N118),"")</f>
        <v/>
      </c>
      <c r="R120">
        <f>IF(AND(ISNUMBER(N120),ISNUMBER(N119)),VLOOKUP(ABS(N120-N119),'IMP Table'!$A$2:$C$26,3)*SIGN(N120-N119),"")</f>
        <v/>
      </c>
      <c r="S120">
        <f>IF(AND(ISNUMBER(N120),ISNUMBER(N121)),VLOOKUP(ABS(N120-N121),'IMP Table'!$A$2:$C$26,3)*SIGN(N120-N121),"")</f>
        <v/>
      </c>
      <c r="T120">
        <f>IF(AND(ISNUMBER(N120),ISNUMBER(N122)),VLOOKUP(ABS(N120-N122),'IMP Table'!$A$2:$C$26,3)*SIGN(N120-N122),"")</f>
        <v/>
      </c>
      <c r="U120">
        <f>IF(AND(ISNUMBER(O120),ISNUMBER(O117)),VLOOKUP(ABS(O120-O117),'IMP Table'!$A$2:$C$26,3)*SIGN(O120-O117),"")</f>
        <v/>
      </c>
      <c r="V120">
        <f>IF(AND(ISNUMBER(O120),ISNUMBER(O118)),VLOOKUP(ABS(O120-O118),'IMP Table'!$A$2:$C$26,3)*SIGN(O120-O118),"")</f>
        <v/>
      </c>
      <c r="W120">
        <f>IF(AND(ISNUMBER(O120),ISNUMBER(O119)),VLOOKUP(ABS(O120-O119),'IMP Table'!$A$2:$C$26,3)*SIGN(O120-O119),"")</f>
        <v/>
      </c>
      <c r="X120">
        <f>IF(AND(ISNUMBER(O120),ISNUMBER(O121)),VLOOKUP(ABS(O120-O121),'IMP Table'!$A$2:$C$26,3)*SIGN(O120-O121),"")</f>
        <v/>
      </c>
      <c r="Y120">
        <f>IF(AND(ISNUMBER(O120),ISNUMBER(O122)),VLOOKUP(ABS(O120-O122),'IMP Table'!$A$2:$C$26,3)*SIGN(O120-O122),"")</f>
        <v/>
      </c>
    </row>
    <row r="121">
      <c r="B121">
        <f>'By Round'!A62</f>
        <v/>
      </c>
      <c r="C121">
        <f>'By Round'!B64</f>
        <v/>
      </c>
      <c r="D121">
        <f>'By Round'!C64</f>
        <v/>
      </c>
      <c r="E121">
        <f>'By Round'!D64</f>
        <v/>
      </c>
      <c r="F121" s="10" t="inlineStr">
        <is>
          <t>Both</t>
        </is>
      </c>
      <c r="G121">
        <f>'By Round'!G65</f>
        <v/>
      </c>
      <c r="H121">
        <f>'By Round'!H65</f>
        <v/>
      </c>
      <c r="I121">
        <f>'By Round'!I65</f>
        <v/>
      </c>
      <c r="J121">
        <f>'By Round'!J65</f>
        <v/>
      </c>
      <c r="K121">
        <f>'By Round'!K65</f>
        <v/>
      </c>
      <c r="L121" s="11">
        <f>IFERROR(AVERAGE(P121:T121),"")</f>
        <v/>
      </c>
      <c r="M121" s="4">
        <f>IFERROR(AVERAGE(U121:Y121),"")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IF(AND(ISNUMBER(N121),ISNUMBER(N117)),VLOOKUP(ABS(N121-N117),'IMP Table'!$A$2:$C$26,3)*SIGN(N121-N117),"")</f>
        <v/>
      </c>
      <c r="Q121">
        <f>IF(AND(ISNUMBER(N121),ISNUMBER(N118)),VLOOKUP(ABS(N121-N118),'IMP Table'!$A$2:$C$26,3)*SIGN(N121-N118),"")</f>
        <v/>
      </c>
      <c r="R121">
        <f>IF(AND(ISNUMBER(N121),ISNUMBER(N119)),VLOOKUP(ABS(N121-N119),'IMP Table'!$A$2:$C$26,3)*SIGN(N121-N119),"")</f>
        <v/>
      </c>
      <c r="S121">
        <f>IF(AND(ISNUMBER(N121),ISNUMBER(N120)),VLOOKUP(ABS(N121-N120),'IMP Table'!$A$2:$C$26,3)*SIGN(N121-N120),"")</f>
        <v/>
      </c>
      <c r="T121">
        <f>IF(AND(ISNUMBER(N121),ISNUMBER(N122)),VLOOKUP(ABS(N121-N122),'IMP Table'!$A$2:$C$26,3)*SIGN(N121-N122),"")</f>
        <v/>
      </c>
      <c r="U121">
        <f>IF(AND(ISNUMBER(O121),ISNUMBER(O117)),VLOOKUP(ABS(O121-O117),'IMP Table'!$A$2:$C$26,3)*SIGN(O121-O117),"")</f>
        <v/>
      </c>
      <c r="V121">
        <f>IF(AND(ISNUMBER(O121),ISNUMBER(O118)),VLOOKUP(ABS(O121-O118),'IMP Table'!$A$2:$C$26,3)*SIGN(O121-O118),"")</f>
        <v/>
      </c>
      <c r="W121">
        <f>IF(AND(ISNUMBER(O121),ISNUMBER(O119)),VLOOKUP(ABS(O121-O119),'IMP Table'!$A$2:$C$26,3)*SIGN(O121-O119),"")</f>
        <v/>
      </c>
      <c r="X121">
        <f>IF(AND(ISNUMBER(O121),ISNUMBER(O120)),VLOOKUP(ABS(O121-O120),'IMP Table'!$A$2:$C$26,3)*SIGN(O121-O120),"")</f>
        <v/>
      </c>
      <c r="Y121">
        <f>IF(AND(ISNUMBER(O121),ISNUMBER(O122)),VLOOKUP(ABS(O121-O122),'IMP Table'!$A$2:$C$26,3)*SIGN(O121-O122),"")</f>
        <v/>
      </c>
    </row>
    <row r="122">
      <c r="B122">
        <f>'By Round'!A110</f>
        <v/>
      </c>
      <c r="C122">
        <f>'By Round'!B110</f>
        <v/>
      </c>
      <c r="D122">
        <f>'By Round'!C110</f>
        <v/>
      </c>
      <c r="E122">
        <f>'By Round'!D110</f>
        <v/>
      </c>
      <c r="F122" s="10" t="inlineStr">
        <is>
          <t>Both</t>
        </is>
      </c>
      <c r="G122">
        <f>'By Round'!G111</f>
        <v/>
      </c>
      <c r="H122">
        <f>'By Round'!H111</f>
        <v/>
      </c>
      <c r="I122">
        <f>'By Round'!I111</f>
        <v/>
      </c>
      <c r="J122">
        <f>'By Round'!J111</f>
        <v/>
      </c>
      <c r="K122">
        <f>'By Round'!K111</f>
        <v/>
      </c>
      <c r="L122" s="11">
        <f>IFERROR(AVERAGE(P122:T122),"")</f>
        <v/>
      </c>
      <c r="M122" s="4">
        <f>IFERROR(AVERAGE(U122:Y122),"")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IF(AND(ISNUMBER(N122),ISNUMBER(N117)),VLOOKUP(ABS(N122-N117),'IMP Table'!$A$2:$C$26,3)*SIGN(N122-N117),"")</f>
        <v/>
      </c>
      <c r="Q122">
        <f>IF(AND(ISNUMBER(N122),ISNUMBER(N118)),VLOOKUP(ABS(N122-N118),'IMP Table'!$A$2:$C$26,3)*SIGN(N122-N118),"")</f>
        <v/>
      </c>
      <c r="R122">
        <f>IF(AND(ISNUMBER(N122),ISNUMBER(N119)),VLOOKUP(ABS(N122-N119),'IMP Table'!$A$2:$C$26,3)*SIGN(N122-N119),"")</f>
        <v/>
      </c>
      <c r="S122">
        <f>IF(AND(ISNUMBER(N122),ISNUMBER(N120)),VLOOKUP(ABS(N122-N120),'IMP Table'!$A$2:$C$26,3)*SIGN(N122-N120),"")</f>
        <v/>
      </c>
      <c r="T122">
        <f>IF(AND(ISNUMBER(N122),ISNUMBER(N121)),VLOOKUP(ABS(N122-N121),'IMP Table'!$A$2:$C$26,3)*SIGN(N122-N121),"")</f>
        <v/>
      </c>
      <c r="U122">
        <f>IF(AND(ISNUMBER(O122),ISNUMBER(O117)),VLOOKUP(ABS(O122-O117),'IMP Table'!$A$2:$C$26,3)*SIGN(O122-O117),"")</f>
        <v/>
      </c>
      <c r="V122">
        <f>IF(AND(ISNUMBER(O122),ISNUMBER(O118)),VLOOKUP(ABS(O122-O118),'IMP Table'!$A$2:$C$26,3)*SIGN(O122-O118),"")</f>
        <v/>
      </c>
      <c r="W122">
        <f>IF(AND(ISNUMBER(O122),ISNUMBER(O119)),VLOOKUP(ABS(O122-O119),'IMP Table'!$A$2:$C$26,3)*SIGN(O122-O119),"")</f>
        <v/>
      </c>
      <c r="X122">
        <f>IF(AND(ISNUMBER(O122),ISNUMBER(O120)),VLOOKUP(ABS(O122-O120),'IMP Table'!$A$2:$C$26,3)*SIGN(O122-O120),"")</f>
        <v/>
      </c>
      <c r="Y122">
        <f>IF(AND(ISNUMBER(O122),ISNUMBER(O121)),VLOOKUP(ABS(O122-O121),'IMP Table'!$A$2:$C$26,3)*SIGN(O122-O121),"")</f>
        <v/>
      </c>
    </row>
    <row r="123">
      <c r="A123" t="n">
        <v>21</v>
      </c>
      <c r="B123">
        <f>'By Round'!A14</f>
        <v/>
      </c>
      <c r="C123">
        <f>'By Round'!B24</f>
        <v/>
      </c>
      <c r="D123">
        <f>'By Round'!C24</f>
        <v/>
      </c>
      <c r="E123">
        <f>'By Round'!D24</f>
        <v/>
      </c>
      <c r="F123" s="10" t="inlineStr">
        <is>
          <t>NS</t>
        </is>
      </c>
      <c r="G123">
        <f>'By Round'!G24</f>
        <v/>
      </c>
      <c r="H123">
        <f>'By Round'!H24</f>
        <v/>
      </c>
      <c r="I123">
        <f>'By Round'!I24</f>
        <v/>
      </c>
      <c r="J123">
        <f>'By Round'!J24</f>
        <v/>
      </c>
      <c r="K123">
        <f>'By Round'!K24</f>
        <v/>
      </c>
      <c r="L123" s="11">
        <f>IFERROR(AVERAGE(P123:T123),"")</f>
        <v/>
      </c>
      <c r="M123" s="4">
        <f>IFERROR(AVERAGE(U123:Y123),"")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IF(AND(ISNUMBER(N123),ISNUMBER(N124)),VLOOKUP(ABS(N123-N124),'IMP Table'!$A$2:$C$26,3)*SIGN(N123-N124),"")</f>
        <v/>
      </c>
      <c r="Q123">
        <f>IF(AND(ISNUMBER(N123),ISNUMBER(N125)),VLOOKUP(ABS(N123-N125),'IMP Table'!$A$2:$C$26,3)*SIGN(N123-N125),"")</f>
        <v/>
      </c>
      <c r="R123">
        <f>IF(AND(ISNUMBER(N123),ISNUMBER(N126)),VLOOKUP(ABS(N123-N126),'IMP Table'!$A$2:$C$26,3)*SIGN(N123-N126),"")</f>
        <v/>
      </c>
      <c r="S123">
        <f>IF(AND(ISNUMBER(N123),ISNUMBER(N127)),VLOOKUP(ABS(N123-N127),'IMP Table'!$A$2:$C$26,3)*SIGN(N123-N127),"")</f>
        <v/>
      </c>
      <c r="T123">
        <f>IF(AND(ISNUMBER(N123),ISNUMBER(N128)),VLOOKUP(ABS(N123-N128),'IMP Table'!$A$2:$C$26,3)*SIGN(N123-N128),"")</f>
        <v/>
      </c>
      <c r="U123">
        <f>IF(AND(ISNUMBER(O123),ISNUMBER(O124)),VLOOKUP(ABS(O123-O124),'IMP Table'!$A$2:$C$26,3)*SIGN(O123-O124),"")</f>
        <v/>
      </c>
      <c r="V123">
        <f>IF(AND(ISNUMBER(O123),ISNUMBER(O125)),VLOOKUP(ABS(O123-O125),'IMP Table'!$A$2:$C$26,3)*SIGN(O123-O125),"")</f>
        <v/>
      </c>
      <c r="W123">
        <f>IF(AND(ISNUMBER(O123),ISNUMBER(O126)),VLOOKUP(ABS(O123-O126),'IMP Table'!$A$2:$C$26,3)*SIGN(O123-O126),"")</f>
        <v/>
      </c>
      <c r="X123">
        <f>IF(AND(ISNUMBER(O123),ISNUMBER(O127)),VLOOKUP(ABS(O123-O127),'IMP Table'!$A$2:$C$26,3)*SIGN(O123-O127),"")</f>
        <v/>
      </c>
      <c r="Y123">
        <f>IF(AND(ISNUMBER(O123),ISNUMBER(O128)),VLOOKUP(ABS(O123-O128),'IMP Table'!$A$2:$C$26,3)*SIGN(O123-O128),"")</f>
        <v/>
      </c>
    </row>
    <row r="124">
      <c r="B124">
        <f>'By Round'!A26</f>
        <v/>
      </c>
      <c r="C124">
        <f>'By Round'!B34</f>
        <v/>
      </c>
      <c r="D124">
        <f>'By Round'!C34</f>
        <v/>
      </c>
      <c r="E124">
        <f>'By Round'!D34</f>
        <v/>
      </c>
      <c r="F124" s="10" t="inlineStr">
        <is>
          <t>NS</t>
        </is>
      </c>
      <c r="G124">
        <f>'By Round'!G34</f>
        <v/>
      </c>
      <c r="H124">
        <f>'By Round'!H34</f>
        <v/>
      </c>
      <c r="I124">
        <f>'By Round'!I34</f>
        <v/>
      </c>
      <c r="J124">
        <f>'By Round'!J34</f>
        <v/>
      </c>
      <c r="K124">
        <f>'By Round'!K34</f>
        <v/>
      </c>
      <c r="L124" s="11">
        <f>IFERROR(AVERAGE(P124:T124),"")</f>
        <v/>
      </c>
      <c r="M124" s="4">
        <f>IFERROR(AVERAGE(U124:Y124),"")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IF(AND(ISNUMBER(N124),ISNUMBER(N123)),VLOOKUP(ABS(N124-N123),'IMP Table'!$A$2:$C$26,3)*SIGN(N124-N123),"")</f>
        <v/>
      </c>
      <c r="Q124">
        <f>IF(AND(ISNUMBER(N124),ISNUMBER(N125)),VLOOKUP(ABS(N124-N125),'IMP Table'!$A$2:$C$26,3)*SIGN(N124-N125),"")</f>
        <v/>
      </c>
      <c r="R124">
        <f>IF(AND(ISNUMBER(N124),ISNUMBER(N126)),VLOOKUP(ABS(N124-N126),'IMP Table'!$A$2:$C$26,3)*SIGN(N124-N126),"")</f>
        <v/>
      </c>
      <c r="S124">
        <f>IF(AND(ISNUMBER(N124),ISNUMBER(N127)),VLOOKUP(ABS(N124-N127),'IMP Table'!$A$2:$C$26,3)*SIGN(N124-N127),"")</f>
        <v/>
      </c>
      <c r="T124">
        <f>IF(AND(ISNUMBER(N124),ISNUMBER(N128)),VLOOKUP(ABS(N124-N128),'IMP Table'!$A$2:$C$26,3)*SIGN(N124-N128),"")</f>
        <v/>
      </c>
      <c r="U124">
        <f>IF(AND(ISNUMBER(O124),ISNUMBER(O123)),VLOOKUP(ABS(O124-O123),'IMP Table'!$A$2:$C$26,3)*SIGN(O124-O123),"")</f>
        <v/>
      </c>
      <c r="V124">
        <f>IF(AND(ISNUMBER(O124),ISNUMBER(O125)),VLOOKUP(ABS(O124-O125),'IMP Table'!$A$2:$C$26,3)*SIGN(O124-O125),"")</f>
        <v/>
      </c>
      <c r="W124">
        <f>IF(AND(ISNUMBER(O124),ISNUMBER(O126)),VLOOKUP(ABS(O124-O126),'IMP Table'!$A$2:$C$26,3)*SIGN(O124-O126),"")</f>
        <v/>
      </c>
      <c r="X124">
        <f>IF(AND(ISNUMBER(O124),ISNUMBER(O127)),VLOOKUP(ABS(O124-O127),'IMP Table'!$A$2:$C$26,3)*SIGN(O124-O127),"")</f>
        <v/>
      </c>
      <c r="Y124">
        <f>IF(AND(ISNUMBER(O124),ISNUMBER(O128)),VLOOKUP(ABS(O124-O128),'IMP Table'!$A$2:$C$26,3)*SIGN(O124-O128),"")</f>
        <v/>
      </c>
    </row>
    <row r="125">
      <c r="B125">
        <f>'By Round'!A38</f>
        <v/>
      </c>
      <c r="C125">
        <f>'By Round'!B44</f>
        <v/>
      </c>
      <c r="D125">
        <f>'By Round'!C44</f>
        <v/>
      </c>
      <c r="E125">
        <f>'By Round'!D44</f>
        <v/>
      </c>
      <c r="F125" s="10" t="inlineStr">
        <is>
          <t>NS</t>
        </is>
      </c>
      <c r="G125">
        <f>'By Round'!G44</f>
        <v/>
      </c>
      <c r="H125">
        <f>'By Round'!H44</f>
        <v/>
      </c>
      <c r="I125">
        <f>'By Round'!I44</f>
        <v/>
      </c>
      <c r="J125">
        <f>'By Round'!J44</f>
        <v/>
      </c>
      <c r="K125">
        <f>'By Round'!K44</f>
        <v/>
      </c>
      <c r="L125" s="11">
        <f>IFERROR(AVERAGE(P125:T125),"")</f>
        <v/>
      </c>
      <c r="M125" s="4">
        <f>IFERROR(AVERAGE(U125:Y125),"")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IF(AND(ISNUMBER(N125),ISNUMBER(N123)),VLOOKUP(ABS(N125-N123),'IMP Table'!$A$2:$C$26,3)*SIGN(N125-N123),"")</f>
        <v/>
      </c>
      <c r="Q125">
        <f>IF(AND(ISNUMBER(N125),ISNUMBER(N124)),VLOOKUP(ABS(N125-N124),'IMP Table'!$A$2:$C$26,3)*SIGN(N125-N124),"")</f>
        <v/>
      </c>
      <c r="R125">
        <f>IF(AND(ISNUMBER(N125),ISNUMBER(N126)),VLOOKUP(ABS(N125-N126),'IMP Table'!$A$2:$C$26,3)*SIGN(N125-N126),"")</f>
        <v/>
      </c>
      <c r="S125">
        <f>IF(AND(ISNUMBER(N125),ISNUMBER(N127)),VLOOKUP(ABS(N125-N127),'IMP Table'!$A$2:$C$26,3)*SIGN(N125-N127),"")</f>
        <v/>
      </c>
      <c r="T125">
        <f>IF(AND(ISNUMBER(N125),ISNUMBER(N128)),VLOOKUP(ABS(N125-N128),'IMP Table'!$A$2:$C$26,3)*SIGN(N125-N128),"")</f>
        <v/>
      </c>
      <c r="U125">
        <f>IF(AND(ISNUMBER(O125),ISNUMBER(O123)),VLOOKUP(ABS(O125-O123),'IMP Table'!$A$2:$C$26,3)*SIGN(O125-O123),"")</f>
        <v/>
      </c>
      <c r="V125">
        <f>IF(AND(ISNUMBER(O125),ISNUMBER(O124)),VLOOKUP(ABS(O125-O124),'IMP Table'!$A$2:$C$26,3)*SIGN(O125-O124),"")</f>
        <v/>
      </c>
      <c r="W125">
        <f>IF(AND(ISNUMBER(O125),ISNUMBER(O126)),VLOOKUP(ABS(O125-O126),'IMP Table'!$A$2:$C$26,3)*SIGN(O125-O126),"")</f>
        <v/>
      </c>
      <c r="X125">
        <f>IF(AND(ISNUMBER(O125),ISNUMBER(O127)),VLOOKUP(ABS(O125-O127),'IMP Table'!$A$2:$C$26,3)*SIGN(O125-O127),"")</f>
        <v/>
      </c>
      <c r="Y125">
        <f>IF(AND(ISNUMBER(O125),ISNUMBER(O128)),VLOOKUP(ABS(O125-O128),'IMP Table'!$A$2:$C$26,3)*SIGN(O125-O128),"")</f>
        <v/>
      </c>
    </row>
    <row r="126">
      <c r="B126">
        <f>'By Round'!A62</f>
        <v/>
      </c>
      <c r="C126">
        <f>'By Round'!B66</f>
        <v/>
      </c>
      <c r="D126">
        <f>'By Round'!C66</f>
        <v/>
      </c>
      <c r="E126">
        <f>'By Round'!D66</f>
        <v/>
      </c>
      <c r="F126" s="10" t="inlineStr">
        <is>
          <t>NS</t>
        </is>
      </c>
      <c r="G126">
        <f>'By Round'!G66</f>
        <v/>
      </c>
      <c r="H126">
        <f>'By Round'!H66</f>
        <v/>
      </c>
      <c r="I126">
        <f>'By Round'!I66</f>
        <v/>
      </c>
      <c r="J126">
        <f>'By Round'!J66</f>
        <v/>
      </c>
      <c r="K126">
        <f>'By Round'!K66</f>
        <v/>
      </c>
      <c r="L126" s="11">
        <f>IFERROR(AVERAGE(P126:T126),"")</f>
        <v/>
      </c>
      <c r="M126" s="4">
        <f>IFERROR(AVERAGE(U126:Y126),"")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IF(AND(ISNUMBER(N126),ISNUMBER(N123)),VLOOKUP(ABS(N126-N123),'IMP Table'!$A$2:$C$26,3)*SIGN(N126-N123),"")</f>
        <v/>
      </c>
      <c r="Q126">
        <f>IF(AND(ISNUMBER(N126),ISNUMBER(N124)),VLOOKUP(ABS(N126-N124),'IMP Table'!$A$2:$C$26,3)*SIGN(N126-N124),"")</f>
        <v/>
      </c>
      <c r="R126">
        <f>IF(AND(ISNUMBER(N126),ISNUMBER(N125)),VLOOKUP(ABS(N126-N125),'IMP Table'!$A$2:$C$26,3)*SIGN(N126-N125),"")</f>
        <v/>
      </c>
      <c r="S126">
        <f>IF(AND(ISNUMBER(N126),ISNUMBER(N127)),VLOOKUP(ABS(N126-N127),'IMP Table'!$A$2:$C$26,3)*SIGN(N126-N127),"")</f>
        <v/>
      </c>
      <c r="T126">
        <f>IF(AND(ISNUMBER(N126),ISNUMBER(N128)),VLOOKUP(ABS(N126-N128),'IMP Table'!$A$2:$C$26,3)*SIGN(N126-N128),"")</f>
        <v/>
      </c>
      <c r="U126">
        <f>IF(AND(ISNUMBER(O126),ISNUMBER(O123)),VLOOKUP(ABS(O126-O123),'IMP Table'!$A$2:$C$26,3)*SIGN(O126-O123),"")</f>
        <v/>
      </c>
      <c r="V126">
        <f>IF(AND(ISNUMBER(O126),ISNUMBER(O124)),VLOOKUP(ABS(O126-O124),'IMP Table'!$A$2:$C$26,3)*SIGN(O126-O124),"")</f>
        <v/>
      </c>
      <c r="W126">
        <f>IF(AND(ISNUMBER(O126),ISNUMBER(O125)),VLOOKUP(ABS(O126-O125),'IMP Table'!$A$2:$C$26,3)*SIGN(O126-O125),"")</f>
        <v/>
      </c>
      <c r="X126">
        <f>IF(AND(ISNUMBER(O126),ISNUMBER(O127)),VLOOKUP(ABS(O126-O127),'IMP Table'!$A$2:$C$26,3)*SIGN(O126-O127),"")</f>
        <v/>
      </c>
      <c r="Y126">
        <f>IF(AND(ISNUMBER(O126),ISNUMBER(O128)),VLOOKUP(ABS(O126-O128),'IMP Table'!$A$2:$C$26,3)*SIGN(O126-O128),"")</f>
        <v/>
      </c>
    </row>
    <row r="127">
      <c r="B127">
        <f>'By Round'!A74</f>
        <v/>
      </c>
      <c r="C127">
        <f>'By Round'!B76</f>
        <v/>
      </c>
      <c r="D127">
        <f>'By Round'!C76</f>
        <v/>
      </c>
      <c r="E127">
        <f>'By Round'!D76</f>
        <v/>
      </c>
      <c r="F127" s="10" t="inlineStr">
        <is>
          <t>NS</t>
        </is>
      </c>
      <c r="G127">
        <f>'By Round'!G76</f>
        <v/>
      </c>
      <c r="H127">
        <f>'By Round'!H76</f>
        <v/>
      </c>
      <c r="I127">
        <f>'By Round'!I76</f>
        <v/>
      </c>
      <c r="J127">
        <f>'By Round'!J76</f>
        <v/>
      </c>
      <c r="K127">
        <f>'By Round'!K76</f>
        <v/>
      </c>
      <c r="L127" s="11">
        <f>IFERROR(AVERAGE(P127:T127),"")</f>
        <v/>
      </c>
      <c r="M127" s="4">
        <f>IFERROR(AVERAGE(U127:Y127),"")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IF(AND(ISNUMBER(N127),ISNUMBER(N123)),VLOOKUP(ABS(N127-N123),'IMP Table'!$A$2:$C$26,3)*SIGN(N127-N123),"")</f>
        <v/>
      </c>
      <c r="Q127">
        <f>IF(AND(ISNUMBER(N127),ISNUMBER(N124)),VLOOKUP(ABS(N127-N124),'IMP Table'!$A$2:$C$26,3)*SIGN(N127-N124),"")</f>
        <v/>
      </c>
      <c r="R127">
        <f>IF(AND(ISNUMBER(N127),ISNUMBER(N125)),VLOOKUP(ABS(N127-N125),'IMP Table'!$A$2:$C$26,3)*SIGN(N127-N125),"")</f>
        <v/>
      </c>
      <c r="S127">
        <f>IF(AND(ISNUMBER(N127),ISNUMBER(N126)),VLOOKUP(ABS(N127-N126),'IMP Table'!$A$2:$C$26,3)*SIGN(N127-N126),"")</f>
        <v/>
      </c>
      <c r="T127">
        <f>IF(AND(ISNUMBER(N127),ISNUMBER(N128)),VLOOKUP(ABS(N127-N128),'IMP Table'!$A$2:$C$26,3)*SIGN(N127-N128),"")</f>
        <v/>
      </c>
      <c r="U127">
        <f>IF(AND(ISNUMBER(O127),ISNUMBER(O123)),VLOOKUP(ABS(O127-O123),'IMP Table'!$A$2:$C$26,3)*SIGN(O127-O123),"")</f>
        <v/>
      </c>
      <c r="V127">
        <f>IF(AND(ISNUMBER(O127),ISNUMBER(O124)),VLOOKUP(ABS(O127-O124),'IMP Table'!$A$2:$C$26,3)*SIGN(O127-O124),"")</f>
        <v/>
      </c>
      <c r="W127">
        <f>IF(AND(ISNUMBER(O127),ISNUMBER(O125)),VLOOKUP(ABS(O127-O125),'IMP Table'!$A$2:$C$26,3)*SIGN(O127-O125),"")</f>
        <v/>
      </c>
      <c r="X127">
        <f>IF(AND(ISNUMBER(O127),ISNUMBER(O126)),VLOOKUP(ABS(O127-O126),'IMP Table'!$A$2:$C$26,3)*SIGN(O127-O126),"")</f>
        <v/>
      </c>
      <c r="Y127">
        <f>IF(AND(ISNUMBER(O127),ISNUMBER(O128)),VLOOKUP(ABS(O127-O128),'IMP Table'!$A$2:$C$26,3)*SIGN(O127-O128),"")</f>
        <v/>
      </c>
    </row>
    <row r="128">
      <c r="B128">
        <f>'By Round'!A122</f>
        <v/>
      </c>
      <c r="C128">
        <f>'By Round'!B122</f>
        <v/>
      </c>
      <c r="D128">
        <f>'By Round'!C122</f>
        <v/>
      </c>
      <c r="E128">
        <f>'By Round'!D122</f>
        <v/>
      </c>
      <c r="F128" s="10" t="inlineStr">
        <is>
          <t>NS</t>
        </is>
      </c>
      <c r="G128">
        <f>'By Round'!G122</f>
        <v/>
      </c>
      <c r="H128">
        <f>'By Round'!H122</f>
        <v/>
      </c>
      <c r="I128">
        <f>'By Round'!I122</f>
        <v/>
      </c>
      <c r="J128">
        <f>'By Round'!J122</f>
        <v/>
      </c>
      <c r="K128">
        <f>'By Round'!K122</f>
        <v/>
      </c>
      <c r="L128" s="11">
        <f>IFERROR(AVERAGE(P128:T128),"")</f>
        <v/>
      </c>
      <c r="M128" s="4">
        <f>IFERROR(AVERAGE(U128:Y128),"")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IF(AND(ISNUMBER(N128),ISNUMBER(N123)),VLOOKUP(ABS(N128-N123),'IMP Table'!$A$2:$C$26,3)*SIGN(N128-N123),"")</f>
        <v/>
      </c>
      <c r="Q128">
        <f>IF(AND(ISNUMBER(N128),ISNUMBER(N124)),VLOOKUP(ABS(N128-N124),'IMP Table'!$A$2:$C$26,3)*SIGN(N128-N124),"")</f>
        <v/>
      </c>
      <c r="R128">
        <f>IF(AND(ISNUMBER(N128),ISNUMBER(N125)),VLOOKUP(ABS(N128-N125),'IMP Table'!$A$2:$C$26,3)*SIGN(N128-N125),"")</f>
        <v/>
      </c>
      <c r="S128">
        <f>IF(AND(ISNUMBER(N128),ISNUMBER(N126)),VLOOKUP(ABS(N128-N126),'IMP Table'!$A$2:$C$26,3)*SIGN(N128-N126),"")</f>
        <v/>
      </c>
      <c r="T128">
        <f>IF(AND(ISNUMBER(N128),ISNUMBER(N127)),VLOOKUP(ABS(N128-N127),'IMP Table'!$A$2:$C$26,3)*SIGN(N128-N127),"")</f>
        <v/>
      </c>
      <c r="U128">
        <f>IF(AND(ISNUMBER(O128),ISNUMBER(O123)),VLOOKUP(ABS(O128-O123),'IMP Table'!$A$2:$C$26,3)*SIGN(O128-O123),"")</f>
        <v/>
      </c>
      <c r="V128">
        <f>IF(AND(ISNUMBER(O128),ISNUMBER(O124)),VLOOKUP(ABS(O128-O124),'IMP Table'!$A$2:$C$26,3)*SIGN(O128-O124),"")</f>
        <v/>
      </c>
      <c r="W128">
        <f>IF(AND(ISNUMBER(O128),ISNUMBER(O125)),VLOOKUP(ABS(O128-O125),'IMP Table'!$A$2:$C$26,3)*SIGN(O128-O125),"")</f>
        <v/>
      </c>
      <c r="X128">
        <f>IF(AND(ISNUMBER(O128),ISNUMBER(O126)),VLOOKUP(ABS(O128-O126),'IMP Table'!$A$2:$C$26,3)*SIGN(O128-O126),"")</f>
        <v/>
      </c>
      <c r="Y128">
        <f>IF(AND(ISNUMBER(O128),ISNUMBER(O127)),VLOOKUP(ABS(O128-O127),'IMP Table'!$A$2:$C$26,3)*SIGN(O128-O127),"")</f>
        <v/>
      </c>
    </row>
    <row r="129">
      <c r="A129" t="n">
        <v>22</v>
      </c>
      <c r="B129">
        <f>'By Round'!A14</f>
        <v/>
      </c>
      <c r="C129">
        <f>'By Round'!B24</f>
        <v/>
      </c>
      <c r="D129">
        <f>'By Round'!C24</f>
        <v/>
      </c>
      <c r="E129">
        <f>'By Round'!D24</f>
        <v/>
      </c>
      <c r="F129" s="10" t="inlineStr">
        <is>
          <t>EW</t>
        </is>
      </c>
      <c r="G129">
        <f>'By Round'!G25</f>
        <v/>
      </c>
      <c r="H129">
        <f>'By Round'!H25</f>
        <v/>
      </c>
      <c r="I129">
        <f>'By Round'!I25</f>
        <v/>
      </c>
      <c r="J129">
        <f>'By Round'!J25</f>
        <v/>
      </c>
      <c r="K129">
        <f>'By Round'!K25</f>
        <v/>
      </c>
      <c r="L129" s="11">
        <f>IFERROR(AVERAGE(P129:T129),"")</f>
        <v/>
      </c>
      <c r="M129" s="4">
        <f>IFERROR(AVERAGE(U129:Y129),"")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IF(AND(ISNUMBER(O129),ISNUMBER(O130)),VLOOKUP(ABS(O129-O130),'IMP Table'!$A$2:$C$26,3)*SIGN(O129-O130),"")</f>
        <v/>
      </c>
      <c r="V129">
        <f>IF(AND(ISNUMBER(O129),ISNUMBER(O131)),VLOOKUP(ABS(O129-O131),'IMP Table'!$A$2:$C$26,3)*SIGN(O129-O131),"")</f>
        <v/>
      </c>
      <c r="W129">
        <f>IF(AND(ISNUMBER(O129),ISNUMBER(O132)),VLOOKUP(ABS(O129-O132),'IMP Table'!$A$2:$C$26,3)*SIGN(O129-O132),"")</f>
        <v/>
      </c>
      <c r="X129">
        <f>IF(AND(ISNUMBER(O129),ISNUMBER(O133)),VLOOKUP(ABS(O129-O133),'IMP Table'!$A$2:$C$26,3)*SIGN(O129-O133),"")</f>
        <v/>
      </c>
      <c r="Y129">
        <f>IF(AND(ISNUMBER(O129),ISNUMBER(O134)),VLOOKUP(ABS(O129-O134),'IMP Table'!$A$2:$C$26,3)*SIGN(O129-O134),"")</f>
        <v/>
      </c>
    </row>
    <row r="130">
      <c r="B130">
        <f>'By Round'!A26</f>
        <v/>
      </c>
      <c r="C130">
        <f>'By Round'!B34</f>
        <v/>
      </c>
      <c r="D130">
        <f>'By Round'!C34</f>
        <v/>
      </c>
      <c r="E130">
        <f>'By Round'!D34</f>
        <v/>
      </c>
      <c r="F130" s="10" t="inlineStr">
        <is>
          <t>EW</t>
        </is>
      </c>
      <c r="G130">
        <f>'By Round'!G35</f>
        <v/>
      </c>
      <c r="H130">
        <f>'By Round'!H35</f>
        <v/>
      </c>
      <c r="I130">
        <f>'By Round'!I35</f>
        <v/>
      </c>
      <c r="J130">
        <f>'By Round'!J35</f>
        <v/>
      </c>
      <c r="K130">
        <f>'By Round'!K35</f>
        <v/>
      </c>
      <c r="L130" s="11">
        <f>IFERROR(AVERAGE(P130:T130),"")</f>
        <v/>
      </c>
      <c r="M130" s="4">
        <f>IFERROR(AVERAGE(U130:Y130),"")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IF(AND(ISNUMBER(O130),ISNUMBER(O129)),VLOOKUP(ABS(O130-O129),'IMP Table'!$A$2:$C$26,3)*SIGN(O130-O129),"")</f>
        <v/>
      </c>
      <c r="V130">
        <f>IF(AND(ISNUMBER(O130),ISNUMBER(O131)),VLOOKUP(ABS(O130-O131),'IMP Table'!$A$2:$C$26,3)*SIGN(O130-O131),"")</f>
        <v/>
      </c>
      <c r="W130">
        <f>IF(AND(ISNUMBER(O130),ISNUMBER(O132)),VLOOKUP(ABS(O130-O132),'IMP Table'!$A$2:$C$26,3)*SIGN(O130-O132),"")</f>
        <v/>
      </c>
      <c r="X130">
        <f>IF(AND(ISNUMBER(O130),ISNUMBER(O133)),VLOOKUP(ABS(O130-O133),'IMP Table'!$A$2:$C$26,3)*SIGN(O130-O133),"")</f>
        <v/>
      </c>
      <c r="Y130">
        <f>IF(AND(ISNUMBER(O130),ISNUMBER(O134)),VLOOKUP(ABS(O130-O134),'IMP Table'!$A$2:$C$26,3)*SIGN(O130-O134),"")</f>
        <v/>
      </c>
    </row>
    <row r="131">
      <c r="B131">
        <f>'By Round'!A38</f>
        <v/>
      </c>
      <c r="C131">
        <f>'By Round'!B44</f>
        <v/>
      </c>
      <c r="D131">
        <f>'By Round'!C44</f>
        <v/>
      </c>
      <c r="E131">
        <f>'By Round'!D44</f>
        <v/>
      </c>
      <c r="F131" s="10" t="inlineStr">
        <is>
          <t>EW</t>
        </is>
      </c>
      <c r="G131">
        <f>'By Round'!G45</f>
        <v/>
      </c>
      <c r="H131">
        <f>'By Round'!H45</f>
        <v/>
      </c>
      <c r="I131">
        <f>'By Round'!I45</f>
        <v/>
      </c>
      <c r="J131">
        <f>'By Round'!J45</f>
        <v/>
      </c>
      <c r="K131">
        <f>'By Round'!K45</f>
        <v/>
      </c>
      <c r="L131" s="11">
        <f>IFERROR(AVERAGE(P131:T131),"")</f>
        <v/>
      </c>
      <c r="M131" s="4">
        <f>IFERROR(AVERAGE(U131:Y131),"")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IF(AND(ISNUMBER(O131),ISNUMBER(O129)),VLOOKUP(ABS(O131-O129),'IMP Table'!$A$2:$C$26,3)*SIGN(O131-O129),"")</f>
        <v/>
      </c>
      <c r="V131">
        <f>IF(AND(ISNUMBER(O131),ISNUMBER(O130)),VLOOKUP(ABS(O131-O130),'IMP Table'!$A$2:$C$26,3)*SIGN(O131-O130),"")</f>
        <v/>
      </c>
      <c r="W131">
        <f>IF(AND(ISNUMBER(O131),ISNUMBER(O132)),VLOOKUP(ABS(O131-O132),'IMP Table'!$A$2:$C$26,3)*SIGN(O131-O132),"")</f>
        <v/>
      </c>
      <c r="X131">
        <f>IF(AND(ISNUMBER(O131),ISNUMBER(O133)),VLOOKUP(ABS(O131-O133),'IMP Table'!$A$2:$C$26,3)*SIGN(O131-O133),"")</f>
        <v/>
      </c>
      <c r="Y131">
        <f>IF(AND(ISNUMBER(O131),ISNUMBER(O134)),VLOOKUP(ABS(O131-O134),'IMP Table'!$A$2:$C$26,3)*SIGN(O131-O134),"")</f>
        <v/>
      </c>
    </row>
    <row r="132">
      <c r="B132">
        <f>'By Round'!A62</f>
        <v/>
      </c>
      <c r="C132">
        <f>'By Round'!B66</f>
        <v/>
      </c>
      <c r="D132">
        <f>'By Round'!C66</f>
        <v/>
      </c>
      <c r="E132">
        <f>'By Round'!D66</f>
        <v/>
      </c>
      <c r="F132" s="10" t="inlineStr">
        <is>
          <t>EW</t>
        </is>
      </c>
      <c r="G132">
        <f>'By Round'!G67</f>
        <v/>
      </c>
      <c r="H132">
        <f>'By Round'!H67</f>
        <v/>
      </c>
      <c r="I132">
        <f>'By Round'!I67</f>
        <v/>
      </c>
      <c r="J132">
        <f>'By Round'!J67</f>
        <v/>
      </c>
      <c r="K132">
        <f>'By Round'!K67</f>
        <v/>
      </c>
      <c r="L132" s="11">
        <f>IFERROR(AVERAGE(P132:T132),"")</f>
        <v/>
      </c>
      <c r="M132" s="4">
        <f>IFERROR(AVERAGE(U132:Y132),"")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IF(AND(ISNUMBER(O132),ISNUMBER(O129)),VLOOKUP(ABS(O132-O129),'IMP Table'!$A$2:$C$26,3)*SIGN(O132-O129),"")</f>
        <v/>
      </c>
      <c r="V132">
        <f>IF(AND(ISNUMBER(O132),ISNUMBER(O130)),VLOOKUP(ABS(O132-O130),'IMP Table'!$A$2:$C$26,3)*SIGN(O132-O130),"")</f>
        <v/>
      </c>
      <c r="W132">
        <f>IF(AND(ISNUMBER(O132),ISNUMBER(O131)),VLOOKUP(ABS(O132-O131),'IMP Table'!$A$2:$C$26,3)*SIGN(O132-O131),"")</f>
        <v/>
      </c>
      <c r="X132">
        <f>IF(AND(ISNUMBER(O132),ISNUMBER(O133)),VLOOKUP(ABS(O132-O133),'IMP Table'!$A$2:$C$26,3)*SIGN(O132-O133),"")</f>
        <v/>
      </c>
      <c r="Y132">
        <f>IF(AND(ISNUMBER(O132),ISNUMBER(O134)),VLOOKUP(ABS(O132-O134),'IMP Table'!$A$2:$C$26,3)*SIGN(O132-O134),"")</f>
        <v/>
      </c>
    </row>
    <row r="133">
      <c r="B133">
        <f>'By Round'!A74</f>
        <v/>
      </c>
      <c r="C133">
        <f>'By Round'!B76</f>
        <v/>
      </c>
      <c r="D133">
        <f>'By Round'!C76</f>
        <v/>
      </c>
      <c r="E133">
        <f>'By Round'!D76</f>
        <v/>
      </c>
      <c r="F133" s="10" t="inlineStr">
        <is>
          <t>EW</t>
        </is>
      </c>
      <c r="G133">
        <f>'By Round'!G77</f>
        <v/>
      </c>
      <c r="H133">
        <f>'By Round'!H77</f>
        <v/>
      </c>
      <c r="I133">
        <f>'By Round'!I77</f>
        <v/>
      </c>
      <c r="J133">
        <f>'By Round'!J77</f>
        <v/>
      </c>
      <c r="K133">
        <f>'By Round'!K77</f>
        <v/>
      </c>
      <c r="L133" s="11">
        <f>IFERROR(AVERAGE(P133:T133),"")</f>
        <v/>
      </c>
      <c r="M133" s="4">
        <f>IFERROR(AVERAGE(U133:Y133),"")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IF(AND(ISNUMBER(O133),ISNUMBER(O129)),VLOOKUP(ABS(O133-O129),'IMP Table'!$A$2:$C$26,3)*SIGN(O133-O129),"")</f>
        <v/>
      </c>
      <c r="V133">
        <f>IF(AND(ISNUMBER(O133),ISNUMBER(O130)),VLOOKUP(ABS(O133-O130),'IMP Table'!$A$2:$C$26,3)*SIGN(O133-O130),"")</f>
        <v/>
      </c>
      <c r="W133">
        <f>IF(AND(ISNUMBER(O133),ISNUMBER(O131)),VLOOKUP(ABS(O133-O131),'IMP Table'!$A$2:$C$26,3)*SIGN(O133-O131),"")</f>
        <v/>
      </c>
      <c r="X133">
        <f>IF(AND(ISNUMBER(O133),ISNUMBER(O132)),VLOOKUP(ABS(O133-O132),'IMP Table'!$A$2:$C$26,3)*SIGN(O133-O132),"")</f>
        <v/>
      </c>
      <c r="Y133">
        <f>IF(AND(ISNUMBER(O133),ISNUMBER(O134)),VLOOKUP(ABS(O133-O134),'IMP Table'!$A$2:$C$26,3)*SIGN(O133-O134),"")</f>
        <v/>
      </c>
    </row>
    <row r="134">
      <c r="B134">
        <f>'By Round'!A122</f>
        <v/>
      </c>
      <c r="C134">
        <f>'By Round'!B122</f>
        <v/>
      </c>
      <c r="D134">
        <f>'By Round'!C122</f>
        <v/>
      </c>
      <c r="E134">
        <f>'By Round'!D122</f>
        <v/>
      </c>
      <c r="F134" s="10" t="inlineStr">
        <is>
          <t>EW</t>
        </is>
      </c>
      <c r="G134">
        <f>'By Round'!G123</f>
        <v/>
      </c>
      <c r="H134">
        <f>'By Round'!H123</f>
        <v/>
      </c>
      <c r="I134">
        <f>'By Round'!I123</f>
        <v/>
      </c>
      <c r="J134">
        <f>'By Round'!J123</f>
        <v/>
      </c>
      <c r="K134">
        <f>'By Round'!K123</f>
        <v/>
      </c>
      <c r="L134" s="11">
        <f>IFERROR(AVERAGE(P134:T134),"")</f>
        <v/>
      </c>
      <c r="M134" s="4">
        <f>IFERROR(AVERAGE(U134:Y134),"")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IF(AND(ISNUMBER(O134),ISNUMBER(O129)),VLOOKUP(ABS(O134-O129),'IMP Table'!$A$2:$C$26,3)*SIGN(O134-O129),"")</f>
        <v/>
      </c>
      <c r="V134">
        <f>IF(AND(ISNUMBER(O134),ISNUMBER(O130)),VLOOKUP(ABS(O134-O130),'IMP Table'!$A$2:$C$26,3)*SIGN(O134-O130),"")</f>
        <v/>
      </c>
      <c r="W134">
        <f>IF(AND(ISNUMBER(O134),ISNUMBER(O131)),VLOOKUP(ABS(O134-O131),'IMP Table'!$A$2:$C$26,3)*SIGN(O134-O131),"")</f>
        <v/>
      </c>
      <c r="X134">
        <f>IF(AND(ISNUMBER(O134),ISNUMBER(O132)),VLOOKUP(ABS(O134-O132),'IMP Table'!$A$2:$C$26,3)*SIGN(O134-O132),"")</f>
        <v/>
      </c>
      <c r="Y134">
        <f>IF(AND(ISNUMBER(O134),ISNUMBER(O133)),VLOOKUP(ABS(O134-O133),'IMP Table'!$A$2:$C$26,3)*SIGN(O134-O133),"")</f>
        <v/>
      </c>
    </row>
  </sheetData>
  <mergeCells count="5">
    <mergeCell ref="U2:Y2"/>
    <mergeCell ref="L1:M1"/>
    <mergeCell ref="J1:K1"/>
    <mergeCell ref="P2:T2"/>
    <mergeCell ref="N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3</v>
      </c>
      <c r="D4" s="12" t="n">
        <v>10</v>
      </c>
      <c r="E4" s="12" t="n">
        <v>9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10</v>
      </c>
      <c r="F5" s="10" t="inlineStr">
        <is>
          <t>NS</t>
        </is>
      </c>
    </row>
    <row r="6">
      <c r="B6" s="12" t="n">
        <v>3</v>
      </c>
      <c r="C6" s="12" t="n">
        <v>8</v>
      </c>
      <c r="D6" s="12" t="n">
        <v>7</v>
      </c>
      <c r="E6" s="12" t="n">
        <v>11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12</v>
      </c>
      <c r="F7" s="10" t="inlineStr">
        <is>
          <t>Both</t>
        </is>
      </c>
    </row>
    <row r="8">
      <c r="B8" s="12" t="n">
        <v>4</v>
      </c>
      <c r="C8" s="12" t="n">
        <v>5</v>
      </c>
      <c r="D8" s="12" t="n">
        <v>11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4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B12" s="12" t="n">
        <v>6</v>
      </c>
      <c r="C12" s="12" t="n">
        <v>9</v>
      </c>
      <c r="D12" s="12" t="n">
        <v>6</v>
      </c>
      <c r="E12" s="12" t="n">
        <v>19</v>
      </c>
      <c r="F12" s="13" t="inlineStr">
        <is>
          <t>EW</t>
        </is>
      </c>
      <c r="G12" s="12" t="n"/>
      <c r="H12" s="12" t="n"/>
      <c r="I12" s="12" t="n"/>
      <c r="J12" s="12" t="n"/>
      <c r="K12" s="12" t="n"/>
    </row>
    <row r="13">
      <c r="E13" t="n">
        <v>20</v>
      </c>
      <c r="F13" s="10" t="inlineStr">
        <is>
          <t>Both</t>
        </is>
      </c>
    </row>
    <row r="14">
      <c r="A14" s="14" t="n">
        <v>2</v>
      </c>
      <c r="B14" s="14" t="n">
        <v>1</v>
      </c>
      <c r="C14" s="14" t="inlineStr">
        <is>
          <t>Sit-Out</t>
        </is>
      </c>
      <c r="D14" s="14" t="n">
        <v>2</v>
      </c>
      <c r="E14" s="14" t="n">
        <v>3</v>
      </c>
      <c r="F14" s="15" t="inlineStr">
        <is>
          <t>EW</t>
        </is>
      </c>
      <c r="G14" s="14" t="n"/>
      <c r="H14" s="14" t="n"/>
      <c r="I14" s="14" t="n"/>
      <c r="J14" s="14" t="n"/>
      <c r="K14" s="14" t="n"/>
    </row>
    <row r="15">
      <c r="E15" t="n">
        <v>4</v>
      </c>
      <c r="F15" s="10" t="inlineStr">
        <is>
          <t>Both</t>
        </is>
      </c>
    </row>
    <row r="16">
      <c r="B16" s="12" t="n">
        <v>2</v>
      </c>
      <c r="C16" s="12" t="n">
        <v>4</v>
      </c>
      <c r="D16" s="12" t="n">
        <v>11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B18" s="12" t="n">
        <v>3</v>
      </c>
      <c r="C18" s="12" t="n">
        <v>9</v>
      </c>
      <c r="D18" s="12" t="n">
        <v>8</v>
      </c>
      <c r="E18" s="12" t="n">
        <v>13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14</v>
      </c>
      <c r="F19" s="10" t="inlineStr">
        <is>
          <t>NS</t>
        </is>
      </c>
    </row>
    <row r="20">
      <c r="B20" s="12" t="n">
        <v>4</v>
      </c>
      <c r="C20" s="12" t="n">
        <v>6</v>
      </c>
      <c r="D20" s="12" t="n">
        <v>1</v>
      </c>
      <c r="E20" s="12" t="n">
        <v>17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18</v>
      </c>
      <c r="F21" s="10" t="inlineStr">
        <is>
          <t>NS</t>
        </is>
      </c>
    </row>
    <row r="22">
      <c r="B22" s="12" t="n">
        <v>5</v>
      </c>
      <c r="C22" s="12" t="n">
        <v>5</v>
      </c>
      <c r="D22" s="12" t="n">
        <v>3</v>
      </c>
      <c r="E22" s="12" t="n">
        <v>19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20</v>
      </c>
      <c r="F23" s="10" t="inlineStr">
        <is>
          <t>Both</t>
        </is>
      </c>
    </row>
    <row r="24">
      <c r="B24" s="12" t="n">
        <v>6</v>
      </c>
      <c r="C24" s="12" t="n">
        <v>10</v>
      </c>
      <c r="D24" s="12" t="n">
        <v>7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A26" s="14" t="n">
        <v>3</v>
      </c>
      <c r="B26" s="14" t="n">
        <v>1</v>
      </c>
      <c r="C26" s="14" t="inlineStr">
        <is>
          <t>Sit-Out</t>
        </is>
      </c>
      <c r="D26" s="14" t="n">
        <v>3</v>
      </c>
      <c r="E26" s="14" t="n">
        <v>5</v>
      </c>
      <c r="F26" s="15" t="inlineStr">
        <is>
          <t>None</t>
        </is>
      </c>
      <c r="G26" s="14" t="n"/>
      <c r="H26" s="14" t="n"/>
      <c r="I26" s="14" t="n"/>
      <c r="J26" s="14" t="n"/>
      <c r="K26" s="14" t="n"/>
    </row>
    <row r="27">
      <c r="E27" t="n">
        <v>6</v>
      </c>
      <c r="F27" s="10" t="inlineStr">
        <is>
          <t>NS</t>
        </is>
      </c>
    </row>
    <row r="28">
      <c r="B28" s="12" t="n">
        <v>2</v>
      </c>
      <c r="C28" s="12" t="n">
        <v>5</v>
      </c>
      <c r="D28" s="12" t="n">
        <v>1</v>
      </c>
      <c r="E28" s="12" t="n">
        <v>13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14</v>
      </c>
      <c r="F29" s="10" t="inlineStr">
        <is>
          <t>NS</t>
        </is>
      </c>
    </row>
    <row r="30">
      <c r="B30" s="12" t="n">
        <v>3</v>
      </c>
      <c r="C30" s="12" t="n">
        <v>10</v>
      </c>
      <c r="D30" s="12" t="n">
        <v>9</v>
      </c>
      <c r="E30" s="12" t="n">
        <v>15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16</v>
      </c>
      <c r="F31" s="10" t="inlineStr">
        <is>
          <t>Both</t>
        </is>
      </c>
    </row>
    <row r="32">
      <c r="B32" s="12" t="n">
        <v>4</v>
      </c>
      <c r="C32" s="12" t="n">
        <v>7</v>
      </c>
      <c r="D32" s="12" t="n">
        <v>2</v>
      </c>
      <c r="E32" s="12" t="n">
        <v>19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20</v>
      </c>
      <c r="F33" s="10" t="inlineStr">
        <is>
          <t>Both</t>
        </is>
      </c>
    </row>
    <row r="34">
      <c r="B34" s="12" t="n">
        <v>5</v>
      </c>
      <c r="C34" s="12" t="n">
        <v>6</v>
      </c>
      <c r="D34" s="12" t="n">
        <v>4</v>
      </c>
      <c r="E34" s="12" t="n">
        <v>21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22</v>
      </c>
      <c r="F35" s="10" t="inlineStr">
        <is>
          <t>NS</t>
        </is>
      </c>
    </row>
    <row r="36">
      <c r="B36" s="12" t="n">
        <v>6</v>
      </c>
      <c r="C36" s="12" t="n">
        <v>11</v>
      </c>
      <c r="D36" s="12" t="n">
        <v>8</v>
      </c>
      <c r="E36" s="12" t="n">
        <v>1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2</v>
      </c>
      <c r="F37" s="10" t="inlineStr">
        <is>
          <t>NS</t>
        </is>
      </c>
    </row>
    <row r="38">
      <c r="A38" s="14" t="n">
        <v>4</v>
      </c>
      <c r="B38" s="14" t="n">
        <v>1</v>
      </c>
      <c r="C38" s="14" t="inlineStr">
        <is>
          <t>Sit-Out</t>
        </is>
      </c>
      <c r="D38" s="14" t="n">
        <v>4</v>
      </c>
      <c r="E38" s="14" t="n">
        <v>7</v>
      </c>
      <c r="F38" s="15" t="inlineStr">
        <is>
          <t>EW</t>
        </is>
      </c>
      <c r="G38" s="14" t="n"/>
      <c r="H38" s="14" t="n"/>
      <c r="I38" s="14" t="n"/>
      <c r="J38" s="14" t="n"/>
      <c r="K38" s="14" t="n"/>
    </row>
    <row r="39">
      <c r="E39" t="n">
        <v>8</v>
      </c>
      <c r="F39" s="10" t="inlineStr">
        <is>
          <t>Both</t>
        </is>
      </c>
    </row>
    <row r="40">
      <c r="B40" s="12" t="n">
        <v>2</v>
      </c>
      <c r="C40" s="12" t="n">
        <v>6</v>
      </c>
      <c r="D40" s="12" t="n">
        <v>2</v>
      </c>
      <c r="E40" s="12" t="n">
        <v>15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16</v>
      </c>
      <c r="F41" s="10" t="inlineStr">
        <is>
          <t>Both</t>
        </is>
      </c>
    </row>
    <row r="42">
      <c r="B42" s="12" t="n">
        <v>3</v>
      </c>
      <c r="C42" s="12" t="n">
        <v>11</v>
      </c>
      <c r="D42" s="12" t="n">
        <v>10</v>
      </c>
      <c r="E42" s="12" t="n">
        <v>17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18</v>
      </c>
      <c r="F43" s="10" t="inlineStr">
        <is>
          <t>NS</t>
        </is>
      </c>
    </row>
    <row r="44">
      <c r="B44" s="12" t="n">
        <v>4</v>
      </c>
      <c r="C44" s="12" t="n">
        <v>8</v>
      </c>
      <c r="D44" s="12" t="n">
        <v>3</v>
      </c>
      <c r="E44" s="12" t="n">
        <v>21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22</v>
      </c>
      <c r="F45" s="10" t="inlineStr">
        <is>
          <t>NS</t>
        </is>
      </c>
    </row>
    <row r="46">
      <c r="B46" s="12" t="n">
        <v>5</v>
      </c>
      <c r="C46" s="12" t="n">
        <v>7</v>
      </c>
      <c r="D46" s="12" t="n">
        <v>5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6</v>
      </c>
      <c r="C48" s="12" t="n">
        <v>1</v>
      </c>
      <c r="D48" s="12" t="n">
        <v>9</v>
      </c>
      <c r="E48" s="12" t="n">
        <v>3</v>
      </c>
      <c r="F48" s="13" t="inlineStr">
        <is>
          <t>EW</t>
        </is>
      </c>
      <c r="G48" s="12" t="n"/>
      <c r="H48" s="12" t="n"/>
      <c r="I48" s="12" t="n"/>
      <c r="J48" s="12" t="n"/>
      <c r="K48" s="12" t="n"/>
    </row>
    <row r="49">
      <c r="E49" t="n">
        <v>4</v>
      </c>
      <c r="F49" s="10" t="inlineStr">
        <is>
          <t>Both</t>
        </is>
      </c>
    </row>
    <row r="50">
      <c r="A50" s="14" t="n">
        <v>5</v>
      </c>
      <c r="B50" s="14" t="n">
        <v>1</v>
      </c>
      <c r="C50" s="14" t="inlineStr">
        <is>
          <t>Sit-Out</t>
        </is>
      </c>
      <c r="D50" s="14" t="n">
        <v>5</v>
      </c>
      <c r="E50" s="14" t="n">
        <v>9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10</v>
      </c>
      <c r="F51" s="10" t="inlineStr">
        <is>
          <t>NS</t>
        </is>
      </c>
    </row>
    <row r="52">
      <c r="B52" s="12" t="n">
        <v>2</v>
      </c>
      <c r="C52" s="12" t="n">
        <v>7</v>
      </c>
      <c r="D52" s="12" t="n">
        <v>3</v>
      </c>
      <c r="E52" s="12" t="n">
        <v>17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18</v>
      </c>
      <c r="F53" s="10" t="inlineStr">
        <is>
          <t>NS</t>
        </is>
      </c>
    </row>
    <row r="54">
      <c r="B54" s="12" t="n">
        <v>3</v>
      </c>
      <c r="C54" s="12" t="n">
        <v>1</v>
      </c>
      <c r="D54" s="12" t="n">
        <v>11</v>
      </c>
      <c r="E54" s="12" t="n">
        <v>19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20</v>
      </c>
      <c r="F55" s="10" t="inlineStr">
        <is>
          <t>Both</t>
        </is>
      </c>
    </row>
    <row r="56">
      <c r="B56" s="12" t="n">
        <v>4</v>
      </c>
      <c r="C56" s="12" t="n">
        <v>9</v>
      </c>
      <c r="D56" s="12" t="n">
        <v>4</v>
      </c>
      <c r="E56" s="12" t="n">
        <v>1</v>
      </c>
      <c r="F56" s="13" t="inlineStr">
        <is>
          <t>None</t>
        </is>
      </c>
      <c r="G56" s="12" t="n"/>
      <c r="H56" s="12" t="n"/>
      <c r="I56" s="12" t="n"/>
      <c r="J56" s="12" t="n"/>
      <c r="K56" s="12" t="n"/>
    </row>
    <row r="57">
      <c r="E57" t="n">
        <v>2</v>
      </c>
      <c r="F57" s="10" t="inlineStr">
        <is>
          <t>NS</t>
        </is>
      </c>
    </row>
    <row r="58">
      <c r="B58" s="12" t="n">
        <v>5</v>
      </c>
      <c r="C58" s="12" t="n">
        <v>8</v>
      </c>
      <c r="D58" s="12" t="n">
        <v>6</v>
      </c>
      <c r="E58" s="12" t="n">
        <v>3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4</v>
      </c>
      <c r="F59" s="10" t="inlineStr">
        <is>
          <t>Both</t>
        </is>
      </c>
    </row>
    <row r="60">
      <c r="B60" s="12" t="n">
        <v>6</v>
      </c>
      <c r="C60" s="12" t="n">
        <v>2</v>
      </c>
      <c r="D60" s="12" t="n">
        <v>10</v>
      </c>
      <c r="E60" s="12" t="n">
        <v>5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6</v>
      </c>
      <c r="F61" s="10" t="inlineStr">
        <is>
          <t>NS</t>
        </is>
      </c>
    </row>
    <row r="62">
      <c r="A62" s="14" t="n">
        <v>6</v>
      </c>
      <c r="B62" s="14" t="n">
        <v>1</v>
      </c>
      <c r="C62" s="14" t="inlineStr">
        <is>
          <t>Sit-Out</t>
        </is>
      </c>
      <c r="D62" s="14" t="n">
        <v>6</v>
      </c>
      <c r="E62" s="14" t="n">
        <v>11</v>
      </c>
      <c r="F62" s="15" t="inlineStr">
        <is>
          <t>EW</t>
        </is>
      </c>
      <c r="G62" s="14" t="n"/>
      <c r="H62" s="14" t="n"/>
      <c r="I62" s="14" t="n"/>
      <c r="J62" s="14" t="n"/>
      <c r="K62" s="14" t="n"/>
    </row>
    <row r="63">
      <c r="E63" t="n">
        <v>12</v>
      </c>
      <c r="F63" s="10" t="inlineStr">
        <is>
          <t>Both</t>
        </is>
      </c>
    </row>
    <row r="64">
      <c r="B64" s="12" t="n">
        <v>2</v>
      </c>
      <c r="C64" s="12" t="n">
        <v>8</v>
      </c>
      <c r="D64" s="12" t="n">
        <v>4</v>
      </c>
      <c r="E64" s="12" t="n">
        <v>19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20</v>
      </c>
      <c r="F65" s="10" t="inlineStr">
        <is>
          <t>Both</t>
        </is>
      </c>
    </row>
    <row r="66">
      <c r="B66" s="12" t="n">
        <v>3</v>
      </c>
      <c r="C66" s="12" t="n">
        <v>2</v>
      </c>
      <c r="D66" s="12" t="n">
        <v>1</v>
      </c>
      <c r="E66" s="12" t="n">
        <v>21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22</v>
      </c>
      <c r="F67" s="10" t="inlineStr">
        <is>
          <t>NS</t>
        </is>
      </c>
    </row>
    <row r="68">
      <c r="B68" s="12" t="n">
        <v>4</v>
      </c>
      <c r="C68" s="12" t="n">
        <v>10</v>
      </c>
      <c r="D68" s="12" t="n">
        <v>5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5</v>
      </c>
      <c r="C70" s="12" t="n">
        <v>9</v>
      </c>
      <c r="D70" s="12" t="n">
        <v>7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B72" s="12" t="n">
        <v>6</v>
      </c>
      <c r="C72" s="12" t="n">
        <v>3</v>
      </c>
      <c r="D72" s="12" t="n">
        <v>11</v>
      </c>
      <c r="E72" s="12" t="n">
        <v>7</v>
      </c>
      <c r="F72" s="13" t="inlineStr">
        <is>
          <t>EW</t>
        </is>
      </c>
      <c r="G72" s="12" t="n"/>
      <c r="H72" s="12" t="n"/>
      <c r="I72" s="12" t="n"/>
      <c r="J72" s="12" t="n"/>
      <c r="K72" s="12" t="n"/>
    </row>
    <row r="73">
      <c r="E73" t="n">
        <v>8</v>
      </c>
      <c r="F73" s="10" t="inlineStr">
        <is>
          <t>Both</t>
        </is>
      </c>
    </row>
    <row r="74">
      <c r="A74" s="14" t="n">
        <v>7</v>
      </c>
      <c r="B74" s="14" t="n">
        <v>1</v>
      </c>
      <c r="C74" s="14" t="inlineStr">
        <is>
          <t>Sit-Out</t>
        </is>
      </c>
      <c r="D74" s="14" t="n">
        <v>7</v>
      </c>
      <c r="E74" s="14" t="n">
        <v>13</v>
      </c>
      <c r="F74" s="15" t="inlineStr">
        <is>
          <t>None</t>
        </is>
      </c>
      <c r="G74" s="14" t="n"/>
      <c r="H74" s="14" t="n"/>
      <c r="I74" s="14" t="n"/>
      <c r="J74" s="14" t="n"/>
      <c r="K74" s="14" t="n"/>
    </row>
    <row r="75">
      <c r="E75" t="n">
        <v>14</v>
      </c>
      <c r="F75" s="10" t="inlineStr">
        <is>
          <t>NS</t>
        </is>
      </c>
    </row>
    <row r="76">
      <c r="B76" s="12" t="n">
        <v>2</v>
      </c>
      <c r="C76" s="12" t="n">
        <v>9</v>
      </c>
      <c r="D76" s="12" t="n">
        <v>5</v>
      </c>
      <c r="E76" s="12" t="n">
        <v>21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22</v>
      </c>
      <c r="F77" s="10" t="inlineStr">
        <is>
          <t>NS</t>
        </is>
      </c>
    </row>
    <row r="78">
      <c r="B78" s="12" t="n">
        <v>3</v>
      </c>
      <c r="C78" s="12" t="n">
        <v>3</v>
      </c>
      <c r="D78" s="12" t="n">
        <v>2</v>
      </c>
      <c r="E78" s="12" t="n">
        <v>1</v>
      </c>
      <c r="F78" s="13" t="inlineStr">
        <is>
          <t>None</t>
        </is>
      </c>
      <c r="G78" s="12" t="n"/>
      <c r="H78" s="12" t="n"/>
      <c r="I78" s="12" t="n"/>
      <c r="J78" s="12" t="n"/>
      <c r="K78" s="12" t="n"/>
    </row>
    <row r="79">
      <c r="E79" t="n">
        <v>2</v>
      </c>
      <c r="F79" s="10" t="inlineStr">
        <is>
          <t>NS</t>
        </is>
      </c>
    </row>
    <row r="80">
      <c r="B80" s="12" t="n">
        <v>4</v>
      </c>
      <c r="C80" s="12" t="n">
        <v>11</v>
      </c>
      <c r="D80" s="12" t="n">
        <v>6</v>
      </c>
      <c r="E80" s="12" t="n">
        <v>5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6</v>
      </c>
      <c r="F81" s="10" t="inlineStr">
        <is>
          <t>NS</t>
        </is>
      </c>
    </row>
    <row r="82">
      <c r="B82" s="12" t="n">
        <v>5</v>
      </c>
      <c r="C82" s="12" t="n">
        <v>10</v>
      </c>
      <c r="D82" s="12" t="n">
        <v>8</v>
      </c>
      <c r="E82" s="12" t="n">
        <v>7</v>
      </c>
      <c r="F82" s="13" t="inlineStr">
        <is>
          <t>EW</t>
        </is>
      </c>
      <c r="G82" s="12" t="n"/>
      <c r="H82" s="12" t="n"/>
      <c r="I82" s="12" t="n"/>
      <c r="J82" s="12" t="n"/>
      <c r="K82" s="12" t="n"/>
    </row>
    <row r="83">
      <c r="E83" t="n">
        <v>8</v>
      </c>
      <c r="F83" s="10" t="inlineStr">
        <is>
          <t>Both</t>
        </is>
      </c>
    </row>
    <row r="84">
      <c r="B84" s="12" t="n">
        <v>6</v>
      </c>
      <c r="C84" s="12" t="n">
        <v>4</v>
      </c>
      <c r="D84" s="12" t="n">
        <v>1</v>
      </c>
      <c r="E84" s="12" t="n">
        <v>9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10</v>
      </c>
      <c r="F85" s="10" t="inlineStr">
        <is>
          <t>NS</t>
        </is>
      </c>
    </row>
    <row r="86">
      <c r="A86" s="14" t="n">
        <v>8</v>
      </c>
      <c r="B86" s="14" t="n">
        <v>1</v>
      </c>
      <c r="C86" s="14" t="inlineStr">
        <is>
          <t>Sit-Out</t>
        </is>
      </c>
      <c r="D86" s="14" t="n">
        <v>8</v>
      </c>
      <c r="E86" s="14" t="n">
        <v>15</v>
      </c>
      <c r="F86" s="15" t="inlineStr">
        <is>
          <t>EW</t>
        </is>
      </c>
      <c r="G86" s="14" t="n"/>
      <c r="H86" s="14" t="n"/>
      <c r="I86" s="14" t="n"/>
      <c r="J86" s="14" t="n"/>
      <c r="K86" s="14" t="n"/>
    </row>
    <row r="87">
      <c r="E87" t="n">
        <v>16</v>
      </c>
      <c r="F87" s="10" t="inlineStr">
        <is>
          <t>Both</t>
        </is>
      </c>
    </row>
    <row r="88">
      <c r="B88" s="12" t="n">
        <v>2</v>
      </c>
      <c r="C88" s="12" t="n">
        <v>10</v>
      </c>
      <c r="D88" s="12" t="n">
        <v>6</v>
      </c>
      <c r="E88" s="12" t="n">
        <v>1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2</v>
      </c>
      <c r="F89" s="10" t="inlineStr">
        <is>
          <t>NS</t>
        </is>
      </c>
    </row>
    <row r="90">
      <c r="B90" s="12" t="n">
        <v>3</v>
      </c>
      <c r="C90" s="12" t="n">
        <v>4</v>
      </c>
      <c r="D90" s="12" t="n">
        <v>3</v>
      </c>
      <c r="E90" s="12" t="n">
        <v>3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4</v>
      </c>
      <c r="F91" s="10" t="inlineStr">
        <is>
          <t>Both</t>
        </is>
      </c>
    </row>
    <row r="92">
      <c r="B92" s="12" t="n">
        <v>4</v>
      </c>
      <c r="C92" s="12" t="n">
        <v>1</v>
      </c>
      <c r="D92" s="12" t="n">
        <v>7</v>
      </c>
      <c r="E92" s="12" t="n">
        <v>7</v>
      </c>
      <c r="F92" s="13" t="inlineStr">
        <is>
          <t>EW</t>
        </is>
      </c>
      <c r="G92" s="12" t="n"/>
      <c r="H92" s="12" t="n"/>
      <c r="I92" s="12" t="n"/>
      <c r="J92" s="12" t="n"/>
      <c r="K92" s="12" t="n"/>
    </row>
    <row r="93">
      <c r="E93" t="n">
        <v>8</v>
      </c>
      <c r="F93" s="10" t="inlineStr">
        <is>
          <t>Both</t>
        </is>
      </c>
    </row>
    <row r="94">
      <c r="B94" s="12" t="n">
        <v>5</v>
      </c>
      <c r="C94" s="12" t="n">
        <v>11</v>
      </c>
      <c r="D94" s="12" t="n">
        <v>9</v>
      </c>
      <c r="E94" s="12" t="n">
        <v>9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10</v>
      </c>
      <c r="F95" s="10" t="inlineStr">
        <is>
          <t>NS</t>
        </is>
      </c>
    </row>
    <row r="96">
      <c r="B96" s="12" t="n">
        <v>6</v>
      </c>
      <c r="C96" s="12" t="n">
        <v>5</v>
      </c>
      <c r="D96" s="12" t="n">
        <v>2</v>
      </c>
      <c r="E96" s="12" t="n">
        <v>11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12</v>
      </c>
      <c r="F97" s="10" t="inlineStr">
        <is>
          <t>Both</t>
        </is>
      </c>
    </row>
    <row r="98">
      <c r="A98" s="14" t="n">
        <v>9</v>
      </c>
      <c r="B98" s="14" t="n">
        <v>1</v>
      </c>
      <c r="C98" s="14" t="inlineStr">
        <is>
          <t>Sit-Out</t>
        </is>
      </c>
      <c r="D98" s="14" t="n">
        <v>9</v>
      </c>
      <c r="E98" s="14" t="n">
        <v>17</v>
      </c>
      <c r="F98" s="15" t="inlineStr">
        <is>
          <t>None</t>
        </is>
      </c>
      <c r="G98" s="14" t="n"/>
      <c r="H98" s="14" t="n"/>
      <c r="I98" s="14" t="n"/>
      <c r="J98" s="14" t="n"/>
      <c r="K98" s="14" t="n"/>
    </row>
    <row r="99">
      <c r="E99" t="n">
        <v>18</v>
      </c>
      <c r="F99" s="10" t="inlineStr">
        <is>
          <t>NS</t>
        </is>
      </c>
    </row>
    <row r="100">
      <c r="B100" s="12" t="n">
        <v>2</v>
      </c>
      <c r="C100" s="12" t="n">
        <v>11</v>
      </c>
      <c r="D100" s="12" t="n">
        <v>7</v>
      </c>
      <c r="E100" s="12" t="n">
        <v>3</v>
      </c>
      <c r="F100" s="13" t="inlineStr">
        <is>
          <t>EW</t>
        </is>
      </c>
      <c r="G100" s="12" t="n"/>
      <c r="H100" s="12" t="n"/>
      <c r="I100" s="12" t="n"/>
      <c r="J100" s="12" t="n"/>
      <c r="K100" s="12" t="n"/>
    </row>
    <row r="101">
      <c r="E101" t="n">
        <v>4</v>
      </c>
      <c r="F101" s="10" t="inlineStr">
        <is>
          <t>Both</t>
        </is>
      </c>
    </row>
    <row r="102">
      <c r="B102" s="12" t="n">
        <v>3</v>
      </c>
      <c r="C102" s="12" t="n">
        <v>5</v>
      </c>
      <c r="D102" s="12" t="n">
        <v>4</v>
      </c>
      <c r="E102" s="12" t="n">
        <v>5</v>
      </c>
      <c r="F102" s="13" t="inlineStr">
        <is>
          <t>None</t>
        </is>
      </c>
      <c r="G102" s="12" t="n"/>
      <c r="H102" s="12" t="n"/>
      <c r="I102" s="12" t="n"/>
      <c r="J102" s="12" t="n"/>
      <c r="K102" s="12" t="n"/>
    </row>
    <row r="103">
      <c r="E103" t="n">
        <v>6</v>
      </c>
      <c r="F103" s="10" t="inlineStr">
        <is>
          <t>NS</t>
        </is>
      </c>
    </row>
    <row r="104">
      <c r="B104" s="12" t="n">
        <v>4</v>
      </c>
      <c r="C104" s="12" t="n">
        <v>2</v>
      </c>
      <c r="D104" s="12" t="n">
        <v>8</v>
      </c>
      <c r="E104" s="12" t="n">
        <v>9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10</v>
      </c>
      <c r="F105" s="10" t="inlineStr">
        <is>
          <t>NS</t>
        </is>
      </c>
    </row>
    <row r="106">
      <c r="B106" s="12" t="n">
        <v>5</v>
      </c>
      <c r="C106" s="12" t="n">
        <v>1</v>
      </c>
      <c r="D106" s="12" t="n">
        <v>10</v>
      </c>
      <c r="E106" s="12" t="n">
        <v>11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12</v>
      </c>
      <c r="F107" s="10" t="inlineStr">
        <is>
          <t>Both</t>
        </is>
      </c>
    </row>
    <row r="108">
      <c r="B108" s="12" t="n">
        <v>6</v>
      </c>
      <c r="C108" s="12" t="n">
        <v>6</v>
      </c>
      <c r="D108" s="12" t="n">
        <v>3</v>
      </c>
      <c r="E108" s="12" t="n">
        <v>13</v>
      </c>
      <c r="F108" s="13" t="inlineStr">
        <is>
          <t>None</t>
        </is>
      </c>
      <c r="G108" s="12" t="n"/>
      <c r="H108" s="12" t="n"/>
      <c r="I108" s="12" t="n"/>
      <c r="J108" s="12" t="n"/>
      <c r="K108" s="12" t="n"/>
    </row>
    <row r="109">
      <c r="E109" t="n">
        <v>14</v>
      </c>
      <c r="F109" s="10" t="inlineStr">
        <is>
          <t>NS</t>
        </is>
      </c>
    </row>
    <row r="110">
      <c r="A110" s="14" t="n">
        <v>10</v>
      </c>
      <c r="B110" s="14" t="n">
        <v>1</v>
      </c>
      <c r="C110" s="14" t="inlineStr">
        <is>
          <t>Sit-Out</t>
        </is>
      </c>
      <c r="D110" s="14" t="n">
        <v>10</v>
      </c>
      <c r="E110" s="14" t="n">
        <v>19</v>
      </c>
      <c r="F110" s="15" t="inlineStr">
        <is>
          <t>EW</t>
        </is>
      </c>
      <c r="G110" s="14" t="n"/>
      <c r="H110" s="14" t="n"/>
      <c r="I110" s="14" t="n"/>
      <c r="J110" s="14" t="n"/>
      <c r="K110" s="14" t="n"/>
    </row>
    <row r="111">
      <c r="E111" t="n">
        <v>20</v>
      </c>
      <c r="F111" s="10" t="inlineStr">
        <is>
          <t>Both</t>
        </is>
      </c>
    </row>
    <row r="112">
      <c r="B112" s="12" t="n">
        <v>2</v>
      </c>
      <c r="C112" s="12" t="n">
        <v>1</v>
      </c>
      <c r="D112" s="12" t="n">
        <v>8</v>
      </c>
      <c r="E112" s="12" t="n">
        <v>5</v>
      </c>
      <c r="F112" s="13" t="inlineStr">
        <is>
          <t>None</t>
        </is>
      </c>
      <c r="G112" s="12" t="n"/>
      <c r="H112" s="12" t="n"/>
      <c r="I112" s="12" t="n"/>
      <c r="J112" s="12" t="n"/>
      <c r="K112" s="12" t="n"/>
    </row>
    <row r="113">
      <c r="E113" t="n">
        <v>6</v>
      </c>
      <c r="F113" s="10" t="inlineStr">
        <is>
          <t>NS</t>
        </is>
      </c>
    </row>
    <row r="114">
      <c r="B114" s="12" t="n">
        <v>3</v>
      </c>
      <c r="C114" s="12" t="n">
        <v>6</v>
      </c>
      <c r="D114" s="12" t="n">
        <v>5</v>
      </c>
      <c r="E114" s="12" t="n">
        <v>7</v>
      </c>
      <c r="F114" s="13" t="inlineStr">
        <is>
          <t>EW</t>
        </is>
      </c>
      <c r="G114" s="12" t="n"/>
      <c r="H114" s="12" t="n"/>
      <c r="I114" s="12" t="n"/>
      <c r="J114" s="12" t="n"/>
      <c r="K114" s="12" t="n"/>
    </row>
    <row r="115">
      <c r="E115" t="n">
        <v>8</v>
      </c>
      <c r="F115" s="10" t="inlineStr">
        <is>
          <t>Both</t>
        </is>
      </c>
    </row>
    <row r="116">
      <c r="B116" s="12" t="n">
        <v>4</v>
      </c>
      <c r="C116" s="12" t="n">
        <v>3</v>
      </c>
      <c r="D116" s="12" t="n">
        <v>9</v>
      </c>
      <c r="E116" s="12" t="n">
        <v>11</v>
      </c>
      <c r="F116" s="13" t="inlineStr">
        <is>
          <t>EW</t>
        </is>
      </c>
      <c r="G116" s="12" t="n"/>
      <c r="H116" s="12" t="n"/>
      <c r="I116" s="12" t="n"/>
      <c r="J116" s="12" t="n"/>
      <c r="K116" s="12" t="n"/>
    </row>
    <row r="117">
      <c r="E117" t="n">
        <v>12</v>
      </c>
      <c r="F117" s="10" t="inlineStr">
        <is>
          <t>Both</t>
        </is>
      </c>
    </row>
    <row r="118">
      <c r="B118" s="12" t="n">
        <v>5</v>
      </c>
      <c r="C118" s="12" t="n">
        <v>2</v>
      </c>
      <c r="D118" s="12" t="n">
        <v>11</v>
      </c>
      <c r="E118" s="12" t="n">
        <v>13</v>
      </c>
      <c r="F118" s="13" t="inlineStr">
        <is>
          <t>None</t>
        </is>
      </c>
      <c r="G118" s="12" t="n"/>
      <c r="H118" s="12" t="n"/>
      <c r="I118" s="12" t="n"/>
      <c r="J118" s="12" t="n"/>
      <c r="K118" s="12" t="n"/>
    </row>
    <row r="119">
      <c r="E119" t="n">
        <v>14</v>
      </c>
      <c r="F119" s="10" t="inlineStr">
        <is>
          <t>NS</t>
        </is>
      </c>
    </row>
    <row r="120">
      <c r="B120" s="12" t="n">
        <v>6</v>
      </c>
      <c r="C120" s="12" t="n">
        <v>7</v>
      </c>
      <c r="D120" s="12" t="n">
        <v>4</v>
      </c>
      <c r="E120" s="12" t="n">
        <v>15</v>
      </c>
      <c r="F120" s="13" t="inlineStr">
        <is>
          <t>EW</t>
        </is>
      </c>
      <c r="G120" s="12" t="n"/>
      <c r="H120" s="12" t="n"/>
      <c r="I120" s="12" t="n"/>
      <c r="J120" s="12" t="n"/>
      <c r="K120" s="12" t="n"/>
    </row>
    <row r="121">
      <c r="E121" t="n">
        <v>16</v>
      </c>
      <c r="F121" s="10" t="inlineStr">
        <is>
          <t>Both</t>
        </is>
      </c>
    </row>
    <row r="122">
      <c r="A122" s="14" t="n">
        <v>11</v>
      </c>
      <c r="B122" s="14" t="n">
        <v>1</v>
      </c>
      <c r="C122" s="14" t="inlineStr">
        <is>
          <t>Sit-Out</t>
        </is>
      </c>
      <c r="D122" s="14" t="n">
        <v>11</v>
      </c>
      <c r="E122" s="14" t="n">
        <v>21</v>
      </c>
      <c r="F122" s="15" t="inlineStr">
        <is>
          <t>None</t>
        </is>
      </c>
      <c r="G122" s="14" t="n"/>
      <c r="H122" s="14" t="n"/>
      <c r="I122" s="14" t="n"/>
      <c r="J122" s="14" t="n"/>
      <c r="K122" s="14" t="n"/>
    </row>
    <row r="123">
      <c r="E123" t="n">
        <v>22</v>
      </c>
      <c r="F123" s="10" t="inlineStr">
        <is>
          <t>NS</t>
        </is>
      </c>
    </row>
    <row r="124">
      <c r="B124" s="12" t="n">
        <v>2</v>
      </c>
      <c r="C124" s="12" t="n">
        <v>2</v>
      </c>
      <c r="D124" s="12" t="n">
        <v>9</v>
      </c>
      <c r="E124" s="12" t="n">
        <v>7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8</v>
      </c>
      <c r="F125" s="10" t="inlineStr">
        <is>
          <t>Both</t>
        </is>
      </c>
    </row>
    <row r="126">
      <c r="B126" s="12" t="n">
        <v>3</v>
      </c>
      <c r="C126" s="12" t="n">
        <v>7</v>
      </c>
      <c r="D126" s="12" t="n">
        <v>6</v>
      </c>
      <c r="E126" s="12" t="n">
        <v>9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10</v>
      </c>
      <c r="F127" s="10" t="inlineStr">
        <is>
          <t>NS</t>
        </is>
      </c>
    </row>
    <row r="128">
      <c r="B128" s="12" t="n">
        <v>4</v>
      </c>
      <c r="C128" s="12" t="n">
        <v>4</v>
      </c>
      <c r="D128" s="12" t="n">
        <v>10</v>
      </c>
      <c r="E128" s="12" t="n">
        <v>13</v>
      </c>
      <c r="F128" s="13" t="inlineStr">
        <is>
          <t>None</t>
        </is>
      </c>
      <c r="G128" s="12" t="n"/>
      <c r="H128" s="12" t="n"/>
      <c r="I128" s="12" t="n"/>
      <c r="J128" s="12" t="n"/>
      <c r="K128" s="12" t="n"/>
    </row>
    <row r="129">
      <c r="E129" t="n">
        <v>14</v>
      </c>
      <c r="F129" s="10" t="inlineStr">
        <is>
          <t>NS</t>
        </is>
      </c>
    </row>
    <row r="130">
      <c r="B130" s="12" t="n">
        <v>5</v>
      </c>
      <c r="C130" s="12" t="n">
        <v>3</v>
      </c>
      <c r="D130" s="12" t="n">
        <v>1</v>
      </c>
      <c r="E130" s="12" t="n">
        <v>15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16</v>
      </c>
      <c r="F131" s="10" t="inlineStr">
        <is>
          <t>Both</t>
        </is>
      </c>
    </row>
    <row r="132">
      <c r="B132" s="12" t="n">
        <v>6</v>
      </c>
      <c r="C132" s="12" t="n">
        <v>8</v>
      </c>
      <c r="D132" s="12" t="n">
        <v>5</v>
      </c>
      <c r="E132" s="12" t="n">
        <v>17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18</v>
      </c>
      <c r="F133" s="10" t="inlineStr">
        <is>
          <t>NS</t>
        </is>
      </c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2026-01-14T21:33:01Z</dcterms:created>
  <dcterms:modified xsi:type="dcterms:W3CDTF">2026-01-14T21:33:01Z</dcterms:modified>
</cp:coreProperties>
</file>