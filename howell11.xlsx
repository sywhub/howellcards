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By Round" sheetId="3" state="visible" r:id="rId3"/>
    <sheet name="IM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0.00"/>
    <numFmt numFmtId="166" formatCode="#0.0"/>
    <numFmt numFmtId="167" formatCode="#0"/>
  </numFmts>
  <fonts count="5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color rgb="00FF0000"/>
    </font>
    <font>
      <b val="1"/>
      <i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thin">
        <color rgb="00FF0000"/>
      </top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3" fillId="0" borderId="1" pivotButton="0" quotePrefix="0" xfId="0"/>
    <xf numFmtId="165" fontId="3" fillId="0" borderId="1" pivotButton="0" quotePrefix="0" xfId="0"/>
    <xf numFmtId="0" fontId="4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3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6" fontId="0" fillId="0" borderId="4" pivotButton="0" quotePrefix="0" xfId="0"/>
    <xf numFmtId="166" fontId="0" fillId="0" borderId="2" pivotButton="0" quotePrefix="0" xfId="0"/>
    <xf numFmtId="10" fontId="0" fillId="0" borderId="2" pivotButton="0" quotePrefix="0" xfId="0"/>
    <xf numFmtId="165" fontId="0" fillId="0" borderId="2" pivotButton="0" quotePrefix="0" xfId="0"/>
    <xf numFmtId="0" fontId="0" fillId="0" borderId="4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</cols>
  <sheetData>
    <row r="1">
      <c r="A1" s="1" t="inlineStr">
        <is>
          <t>For public domain. No rights reserved. Generated on Mar 18, 2026.</t>
        </is>
      </c>
    </row>
    <row r="2">
      <c r="A2" s="2" t="inlineStr">
        <is>
          <t>Howell Tournament</t>
        </is>
      </c>
    </row>
    <row r="3">
      <c r="A3" s="3" t="inlineStr">
        <is>
          <t>Pairs</t>
        </is>
      </c>
      <c r="C3" s="3" t="n">
        <v>11</v>
      </c>
    </row>
    <row r="4">
      <c r="A4" s="3" t="inlineStr">
        <is>
          <t>Tables</t>
        </is>
      </c>
      <c r="C4" s="3" t="n">
        <v>6</v>
      </c>
    </row>
    <row r="5">
      <c r="A5" s="3" t="inlineStr">
        <is>
          <t>Rounds</t>
        </is>
      </c>
      <c r="C5" s="3" t="n">
        <v>11</v>
      </c>
    </row>
    <row r="6">
      <c r="A6" s="3" t="inlineStr">
        <is>
          <t>Boards per round</t>
        </is>
      </c>
      <c r="C6" s="3" t="n">
        <v>2</v>
      </c>
    </row>
    <row r="7">
      <c r="A7" s="3" t="inlineStr">
        <is>
          <t>Total Boards to play</t>
        </is>
      </c>
      <c r="C7" s="3" t="n">
        <v>22</v>
      </c>
    </row>
    <row r="9">
      <c r="A9" s="2" t="inlineStr">
        <is>
          <t>Pairs</t>
        </is>
      </c>
      <c r="D9" s="2" t="inlineStr">
        <is>
          <t>MP</t>
        </is>
      </c>
      <c r="E9" s="2" t="inlineStr">
        <is>
          <t>IMP</t>
        </is>
      </c>
    </row>
    <row r="10">
      <c r="A10" s="2" t="n">
        <v>1</v>
      </c>
      <c r="B10" t="inlineStr">
        <is>
          <t>Name 19</t>
        </is>
      </c>
      <c r="C10" t="inlineStr">
        <is>
          <t>Name 40</t>
        </is>
      </c>
      <c r="D10" s="4">
        <f>SUMIF('By Board'!$D$3:$D$122,"=1",'By Board'!$O$3:$O$122)/20+SUMIF('By Board'!$E$3:$E$122,"=1",'By Board'!$P$3:$P$122)/20</f>
        <v/>
      </c>
      <c r="E10" s="5">
        <f>SUMIF('By Board'!$D$3:$D$122,"=1",'By Board'!$M$3:$M$122)+SUMIF('By Board'!$E$3:$E$122,"=1",'By Board'!$N$3:$N$122)</f>
        <v/>
      </c>
    </row>
    <row r="11">
      <c r="A11" s="2" t="n">
        <v>2</v>
      </c>
      <c r="B11" t="inlineStr">
        <is>
          <t>Name 32</t>
        </is>
      </c>
      <c r="C11" t="inlineStr">
        <is>
          <t>Name 50</t>
        </is>
      </c>
      <c r="D11" s="4">
        <f>SUMIF('By Board'!$D$3:$D$122,"=2",'By Board'!$O$3:$O$122)/20+SUMIF('By Board'!$E$3:$E$122,"=2",'By Board'!$P$3:$P$122)/20</f>
        <v/>
      </c>
      <c r="E11" s="5">
        <f>SUMIF('By Board'!$D$3:$D$122,"=2",'By Board'!$M$3:$M$122)+SUMIF('By Board'!$E$3:$E$122,"=2",'By Board'!$N$3:$N$122)</f>
        <v/>
      </c>
    </row>
    <row r="12">
      <c r="A12" s="2" t="n">
        <v>3</v>
      </c>
      <c r="B12" t="inlineStr">
        <is>
          <t>Name 18</t>
        </is>
      </c>
      <c r="C12" t="inlineStr">
        <is>
          <t>Name 31</t>
        </is>
      </c>
      <c r="D12" s="4">
        <f>SUMIF('By Board'!$D$3:$D$122,"=3",'By Board'!$O$3:$O$122)/20+SUMIF('By Board'!$E$3:$E$122,"=3",'By Board'!$P$3:$P$122)/20</f>
        <v/>
      </c>
      <c r="E12" s="5">
        <f>SUMIF('By Board'!$D$3:$D$122,"=3",'By Board'!$M$3:$M$122)+SUMIF('By Board'!$E$3:$E$122,"=3",'By Board'!$N$3:$N$122)</f>
        <v/>
      </c>
    </row>
    <row r="13">
      <c r="A13" s="2" t="n">
        <v>4</v>
      </c>
      <c r="B13" t="inlineStr">
        <is>
          <t>Name 32</t>
        </is>
      </c>
      <c r="C13" t="inlineStr">
        <is>
          <t>Name 81</t>
        </is>
      </c>
      <c r="D13" s="4">
        <f>SUMIF('By Board'!$D$3:$D$122,"=4",'By Board'!$O$3:$O$122)/20+SUMIF('By Board'!$E$3:$E$122,"=4",'By Board'!$P$3:$P$122)/20</f>
        <v/>
      </c>
      <c r="E13" s="5">
        <f>SUMIF('By Board'!$D$3:$D$122,"=4",'By Board'!$M$3:$M$122)+SUMIF('By Board'!$E$3:$E$122,"=4",'By Board'!$N$3:$N$122)</f>
        <v/>
      </c>
    </row>
    <row r="14">
      <c r="A14" s="2" t="n">
        <v>5</v>
      </c>
      <c r="B14" t="inlineStr">
        <is>
          <t>Name 77</t>
        </is>
      </c>
      <c r="C14" t="inlineStr">
        <is>
          <t>Name 75</t>
        </is>
      </c>
      <c r="D14" s="4">
        <f>SUMIF('By Board'!$D$3:$D$122,"=5",'By Board'!$O$3:$O$122)/20+SUMIF('By Board'!$E$3:$E$122,"=5",'By Board'!$P$3:$P$122)/20</f>
        <v/>
      </c>
      <c r="E14" s="5">
        <f>SUMIF('By Board'!$D$3:$D$122,"=5",'By Board'!$M$3:$M$122)+SUMIF('By Board'!$E$3:$E$122,"=5",'By Board'!$N$3:$N$122)</f>
        <v/>
      </c>
    </row>
    <row r="15">
      <c r="A15" s="2" t="n">
        <v>6</v>
      </c>
      <c r="B15" t="inlineStr">
        <is>
          <t>Name 70</t>
        </is>
      </c>
      <c r="C15" t="inlineStr">
        <is>
          <t>Name 69</t>
        </is>
      </c>
      <c r="D15" s="4">
        <f>SUMIF('By Board'!$D$3:$D$122,"=6",'By Board'!$O$3:$O$122)/20+SUMIF('By Board'!$E$3:$E$122,"=6",'By Board'!$P$3:$P$122)/20</f>
        <v/>
      </c>
      <c r="E15" s="5">
        <f>SUMIF('By Board'!$D$3:$D$122,"=6",'By Board'!$M$3:$M$122)+SUMIF('By Board'!$E$3:$E$122,"=6",'By Board'!$N$3:$N$122)</f>
        <v/>
      </c>
    </row>
    <row r="16">
      <c r="A16" s="2" t="n">
        <v>7</v>
      </c>
      <c r="B16" t="inlineStr">
        <is>
          <t>Name 11</t>
        </is>
      </c>
      <c r="C16" t="inlineStr">
        <is>
          <t>Name 47</t>
        </is>
      </c>
      <c r="D16" s="4">
        <f>SUMIF('By Board'!$D$3:$D$122,"=7",'By Board'!$O$3:$O$122)/20+SUMIF('By Board'!$E$3:$E$122,"=7",'By Board'!$P$3:$P$122)/20</f>
        <v/>
      </c>
      <c r="E16" s="5">
        <f>SUMIF('By Board'!$D$3:$D$122,"=7",'By Board'!$M$3:$M$122)+SUMIF('By Board'!$E$3:$E$122,"=7",'By Board'!$N$3:$N$122)</f>
        <v/>
      </c>
    </row>
    <row r="17">
      <c r="A17" s="2" t="n">
        <v>8</v>
      </c>
      <c r="B17" t="inlineStr">
        <is>
          <t>Name 31</t>
        </is>
      </c>
      <c r="C17" t="inlineStr">
        <is>
          <t>Name 21</t>
        </is>
      </c>
      <c r="D17" s="4">
        <f>SUMIF('By Board'!$D$3:$D$122,"=8",'By Board'!$O$3:$O$122)/20+SUMIF('By Board'!$E$3:$E$122,"=8",'By Board'!$P$3:$P$122)/20</f>
        <v/>
      </c>
      <c r="E17" s="5">
        <f>SUMIF('By Board'!$D$3:$D$122,"=8",'By Board'!$M$3:$M$122)+SUMIF('By Board'!$E$3:$E$122,"=8",'By Board'!$N$3:$N$122)</f>
        <v/>
      </c>
    </row>
    <row r="18">
      <c r="A18" s="2" t="n">
        <v>9</v>
      </c>
      <c r="B18" t="inlineStr">
        <is>
          <t>Name 66</t>
        </is>
      </c>
      <c r="C18" t="inlineStr">
        <is>
          <t>Name 32</t>
        </is>
      </c>
      <c r="D18" s="4">
        <f>SUMIF('By Board'!$D$3:$D$122,"=9",'By Board'!$O$3:$O$122)/20+SUMIF('By Board'!$E$3:$E$122,"=9",'By Board'!$P$3:$P$122)/20</f>
        <v/>
      </c>
      <c r="E18" s="5">
        <f>SUMIF('By Board'!$D$3:$D$122,"=9",'By Board'!$M$3:$M$122)+SUMIF('By Board'!$E$3:$E$122,"=9",'By Board'!$N$3:$N$122)</f>
        <v/>
      </c>
    </row>
    <row r="19">
      <c r="A19" s="2" t="n">
        <v>10</v>
      </c>
      <c r="B19" t="inlineStr">
        <is>
          <t>Name 40</t>
        </is>
      </c>
      <c r="C19" t="inlineStr">
        <is>
          <t>Name 43</t>
        </is>
      </c>
      <c r="D19" s="4">
        <f>SUMIF('By Board'!$D$3:$D$122,"=10",'By Board'!$O$3:$O$122)/20+SUMIF('By Board'!$E$3:$E$122,"=10",'By Board'!$P$3:$P$122)/20</f>
        <v/>
      </c>
      <c r="E19" s="5">
        <f>SUMIF('By Board'!$D$3:$D$122,"=10",'By Board'!$M$3:$M$122)+SUMIF('By Board'!$E$3:$E$122,"=10",'By Board'!$N$3:$N$122)</f>
        <v/>
      </c>
    </row>
    <row r="20">
      <c r="A20" s="2" t="n">
        <v>11</v>
      </c>
      <c r="B20" t="inlineStr">
        <is>
          <t>Name 39</t>
        </is>
      </c>
      <c r="C20" t="inlineStr">
        <is>
          <t>Name 11</t>
        </is>
      </c>
      <c r="D20" s="4">
        <f>SUMIF('By Board'!$D$3:$D$122,"=11",'By Board'!$O$3:$O$122)/20+SUMIF('By Board'!$E$3:$E$122,"=11",'By Board'!$P$3:$P$122)/20</f>
        <v/>
      </c>
      <c r="E20" s="5">
        <f>SUMIF('By Board'!$D$3:$D$122,"=11",'By Board'!$M$3:$M$122)+SUMIF('By Board'!$E$3:$E$122,"=11",'By Board'!$N$3:$N$122)</f>
        <v/>
      </c>
    </row>
    <row r="21">
      <c r="D21" s="6">
        <f>AVERAGE(D10:D20)</f>
        <v/>
      </c>
      <c r="E21" s="7">
        <f>SUM(E10:E20)</f>
        <v/>
      </c>
    </row>
  </sheetData>
  <mergeCells count="7">
    <mergeCell ref="A4:B4"/>
    <mergeCell ref="A7:B7"/>
    <mergeCell ref="A2:E2"/>
    <mergeCell ref="A5:B5"/>
    <mergeCell ref="A9:C9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34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  <c r="M1" s="8" t="inlineStr">
        <is>
          <t>IMP</t>
        </is>
      </c>
      <c r="O1" s="8" t="inlineStr">
        <is>
          <t>MP %</t>
        </is>
      </c>
      <c r="Q1" s="8" t="inlineStr">
        <is>
          <t>MP Pts</t>
        </is>
      </c>
      <c r="S1" s="8" t="inlineStr">
        <is>
          <t>Net</t>
        </is>
      </c>
      <c r="U1" s="8" t="inlineStr">
        <is>
          <t>MP Calculation</t>
        </is>
      </c>
      <c r="AE1" s="8" t="inlineStr">
        <is>
          <t>IMP Calculation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  <c r="M2" s="9" t="inlineStr">
        <is>
          <t>NS</t>
        </is>
      </c>
      <c r="N2" s="2" t="inlineStr">
        <is>
          <t>EW</t>
        </is>
      </c>
      <c r="O2" s="2" t="inlineStr">
        <is>
          <t>NS</t>
        </is>
      </c>
      <c r="P2" s="2" t="inlineStr">
        <is>
          <t>EW</t>
        </is>
      </c>
      <c r="Q2" s="2" t="inlineStr">
        <is>
          <t>NS</t>
        </is>
      </c>
      <c r="R2" s="2" t="inlineStr">
        <is>
          <t>EW</t>
        </is>
      </c>
      <c r="S2" s="9" t="inlineStr">
        <is>
          <t>NS</t>
        </is>
      </c>
      <c r="T2" s="2" t="inlineStr">
        <is>
          <t>EW</t>
        </is>
      </c>
      <c r="U2" s="9" t="inlineStr">
        <is>
          <t>NS MP Scores</t>
        </is>
      </c>
      <c r="Z2" s="2" t="inlineStr">
        <is>
          <t>EW MP Scores</t>
        </is>
      </c>
      <c r="AE2" s="9" t="inlineStr">
        <is>
          <t>NS IMP Pair-wise</t>
        </is>
      </c>
      <c r="AJ2" s="2" t="inlineStr">
        <is>
          <t>EW IMP Pair-wise</t>
        </is>
      </c>
    </row>
    <row r="3">
      <c r="A3" s="10" t="n">
        <v>1</v>
      </c>
      <c r="B3" s="10">
        <f>'By Round'!A3</f>
        <v/>
      </c>
      <c r="C3" s="10">
        <f>'By Round'!B3</f>
        <v/>
      </c>
      <c r="D3" s="10">
        <f>'By Round'!C3</f>
        <v/>
      </c>
      <c r="E3" s="10">
        <f>'By Round'!D3</f>
        <v/>
      </c>
      <c r="F3" s="10">
        <f>IF(ISBLANK('By Round'!F3),"",'By Round'!F3)</f>
        <v/>
      </c>
      <c r="G3">
        <f>IF(ISBLANK('By Round'!G3),"",'By Round'!G3)</f>
        <v/>
      </c>
      <c r="H3">
        <f>IF(ISBLANK('By Round'!H3),"",'By Round'!H3)</f>
        <v/>
      </c>
      <c r="I3">
        <f>IF(ISBLANK('By Round'!I3),"",'By Round'!I3)</f>
        <v/>
      </c>
      <c r="J3">
        <f>IF(ISBLANK('By Round'!J3),"",'By Round'!J3)</f>
        <v/>
      </c>
      <c r="K3">
        <f>IF(ISBLANK('By Round'!K3),"",'By Round'!K3)</f>
        <v/>
      </c>
      <c r="L3">
        <f>IF(ISBLANK('By Round'!L3),"",'By Round'!L3)</f>
        <v/>
      </c>
      <c r="M3" s="11">
        <f>AVERAGE(AE3:AI3)</f>
        <v/>
      </c>
      <c r="N3" s="12">
        <f>AVERAGE(AJ3:AN3)</f>
        <v/>
      </c>
      <c r="O3" s="13">
        <f>IF(COUNT(U3:Y3)&gt;0,Q3/COUNT(U3:Y3),0.5)</f>
        <v/>
      </c>
      <c r="P3" s="13">
        <f>IF(COUNT(Z3:AD3)&gt;0,R3/COUNT(Z3:AD3),0.5)</f>
        <v/>
      </c>
      <c r="Q3" s="5">
        <f>SUM(U3:Y3)</f>
        <v/>
      </c>
      <c r="R3" s="5">
        <f>SUM(Z3:AD3)</f>
        <v/>
      </c>
      <c r="S3" s="14">
        <f>IF(ISNUMBER(K3),K3,IF(ISNUMBER(L3),-L3,""))</f>
        <v/>
      </c>
      <c r="T3">
        <f>IF(ISNUMBER(L3),L3,IF(ISNUMBER(K3),-K3,""))</f>
        <v/>
      </c>
      <c r="U3" s="14">
        <f>IF(ISNUMBER(S3),IF(ISNUMBER(S4),IF(S3&gt;S4,1.0,IF(S3=S4,0.5,0.0)),""),"")</f>
        <v/>
      </c>
      <c r="V3">
        <f>IF(ISNUMBER(S3),IF(ISNUMBER(S5),IF(S3&gt;S5,1.0,IF(S3=S5,0.5,0.0)),""),"")</f>
        <v/>
      </c>
      <c r="W3">
        <f>IF(ISNUMBER(S3),IF(ISNUMBER(S6),IF(S3&gt;S6,1.0,IF(S3=S6,0.5,0.0)),""),"")</f>
        <v/>
      </c>
      <c r="X3">
        <f>IF(ISNUMBER(S3),IF(ISNUMBER(S7),IF(S3&gt;S7,1.0,IF(S3=S7,0.5,0.0)),""),"")</f>
        <v/>
      </c>
      <c r="Y3">
        <f>IF(ISNUMBER(S3),IF(ISNUMBER(S8),IF(S3&gt;S8,1.0,IF(S3=S8,0.5,0.0)),""),"")</f>
        <v/>
      </c>
      <c r="Z3">
        <f>IF(ISNUMBER(T3),IF(ISNUMBER(T4),IF(T3&gt;T4,1.0,IF(T3=T4,0.5,0.0)),""),"")</f>
        <v/>
      </c>
      <c r="AA3">
        <f>IF(ISNUMBER(T3),IF(ISNUMBER(T5),IF(T3&gt;T5,1.0,IF(T3=T5,0.5,0.0)),""),"")</f>
        <v/>
      </c>
      <c r="AB3">
        <f>IF(ISNUMBER(T3),IF(ISNUMBER(T6),IF(T3&gt;T6,1.0,IF(T3=T6,0.5,0.0)),""),"")</f>
        <v/>
      </c>
      <c r="AC3">
        <f>IF(ISNUMBER(T3),IF(ISNUMBER(T7),IF(T3&gt;T7,1.0,IF(T3=T7,0.5,0.0)),""),"")</f>
        <v/>
      </c>
      <c r="AD3">
        <f>IF(ISNUMBER(T3),IF(ISNUMBER(T8),IF(T3&gt;T8,1.0,IF(T3=T8,0.5,0.0)),""),"")</f>
        <v/>
      </c>
      <c r="AE3" s="14">
        <f>IF(AND(ISNUMBER(S3),ISNUMBER(S4)),VLOOKUP(ABS(S3-S4),'IMP Table'!$A$2:$C$26,3)*SIGN(S3-S4),0)</f>
        <v/>
      </c>
      <c r="AF3">
        <f>IF(AND(ISNUMBER(S3),ISNUMBER(S5)),VLOOKUP(ABS(S3-S5),'IMP Table'!$A$2:$C$26,3)*SIGN(S3-S5),0)</f>
        <v/>
      </c>
      <c r="AG3">
        <f>IF(AND(ISNUMBER(S3),ISNUMBER(S6)),VLOOKUP(ABS(S3-S6),'IMP Table'!$A$2:$C$26,3)*SIGN(S3-S6),0)</f>
        <v/>
      </c>
      <c r="AH3">
        <f>IF(AND(ISNUMBER(S3),ISNUMBER(S7)),VLOOKUP(ABS(S3-S7),'IMP Table'!$A$2:$C$26,3)*SIGN(S3-S7),0)</f>
        <v/>
      </c>
      <c r="AI3">
        <f>IF(AND(ISNUMBER(S3),ISNUMBER(S8)),VLOOKUP(ABS(S3-S8),'IMP Table'!$A$2:$C$26,3)*SIGN(S3-S8),0)</f>
        <v/>
      </c>
      <c r="AJ3">
        <f>IF(AND(ISNUMBER(T3),ISNUMBER(T4)),VLOOKUP(ABS(T3-T4),'IMP Table'!$A$2:$C$26,3)*SIGN(T3-T4),0)</f>
        <v/>
      </c>
      <c r="AK3">
        <f>IF(AND(ISNUMBER(T3),ISNUMBER(T5)),VLOOKUP(ABS(T3-T5),'IMP Table'!$A$2:$C$26,3)*SIGN(T3-T5),0)</f>
        <v/>
      </c>
      <c r="AL3">
        <f>IF(AND(ISNUMBER(T3),ISNUMBER(T6)),VLOOKUP(ABS(T3-T6),'IMP Table'!$A$2:$C$26,3)*SIGN(T3-T6),0)</f>
        <v/>
      </c>
      <c r="AM3">
        <f>IF(AND(ISNUMBER(T3),ISNUMBER(T7)),VLOOKUP(ABS(T3-T7),'IMP Table'!$A$2:$C$26,3)*SIGN(T3-T7),0)</f>
        <v/>
      </c>
      <c r="AN3">
        <f>IF(AND(ISNUMBER(T3),ISNUMBER(T8)),VLOOKUP(ABS(T3-T8),'IMP Table'!$A$2:$C$26,3)*SIGN(T3-T8),0)</f>
        <v/>
      </c>
    </row>
    <row r="4">
      <c r="B4" s="10">
        <f>'By Round'!A75</f>
        <v/>
      </c>
      <c r="C4" s="10">
        <f>'By Round'!B79</f>
        <v/>
      </c>
      <c r="D4" s="10">
        <f>'By Round'!C79</f>
        <v/>
      </c>
      <c r="E4" s="10">
        <f>'By Round'!D79</f>
        <v/>
      </c>
      <c r="F4" s="10">
        <f>IF(ISBLANK('By Round'!F79),"",'By Round'!F79)</f>
        <v/>
      </c>
      <c r="G4">
        <f>IF(ISBLANK('By Round'!G79),"",'By Round'!G79)</f>
        <v/>
      </c>
      <c r="H4">
        <f>IF(ISBLANK('By Round'!H79),"",'By Round'!H79)</f>
        <v/>
      </c>
      <c r="I4">
        <f>IF(ISBLANK('By Round'!I79),"",'By Round'!I79)</f>
        <v/>
      </c>
      <c r="J4">
        <f>IF(ISBLANK('By Round'!J79),"",'By Round'!J79)</f>
        <v/>
      </c>
      <c r="K4">
        <f>IF(ISBLANK('By Round'!K79),"",'By Round'!K79)</f>
        <v/>
      </c>
      <c r="L4">
        <f>IF(ISBLANK('By Round'!L79),"",'By Round'!L79)</f>
        <v/>
      </c>
      <c r="M4" s="11">
        <f>AVERAGE(AE4:AI4)</f>
        <v/>
      </c>
      <c r="N4" s="12">
        <f>AVERAGE(AJ4:AN4)</f>
        <v/>
      </c>
      <c r="O4" s="13">
        <f>IF(COUNT(U4:Y4)&gt;0,Q4/COUNT(U4:Y4),0.5)</f>
        <v/>
      </c>
      <c r="P4" s="13">
        <f>IF(COUNT(Z4:AD4)&gt;0,R4/COUNT(Z4:AD4),0.5)</f>
        <v/>
      </c>
      <c r="Q4" s="5">
        <f>SUM(U4:Y4)</f>
        <v/>
      </c>
      <c r="R4" s="5">
        <f>SUM(Z4:AD4)</f>
        <v/>
      </c>
      <c r="S4" s="14">
        <f>IF(ISNUMBER(K4),K4,IF(ISNUMBER(L4),-L4,""))</f>
        <v/>
      </c>
      <c r="T4">
        <f>IF(ISNUMBER(L4),L4,IF(ISNUMBER(K4),-K4,""))</f>
        <v/>
      </c>
      <c r="U4" s="14">
        <f>IF(ISNUMBER(S4),IF(ISNUMBER(S3),IF(S4&gt;S3,1.0,IF(S4=S3,0.5,0.0)),""),"")</f>
        <v/>
      </c>
      <c r="V4">
        <f>IF(ISNUMBER(S4),IF(ISNUMBER(S5),IF(S4&gt;S5,1.0,IF(S4=S5,0.5,0.0)),""),"")</f>
        <v/>
      </c>
      <c r="W4">
        <f>IF(ISNUMBER(S4),IF(ISNUMBER(S6),IF(S4&gt;S6,1.0,IF(S4=S6,0.5,0.0)),""),"")</f>
        <v/>
      </c>
      <c r="X4">
        <f>IF(ISNUMBER(S4),IF(ISNUMBER(S7),IF(S4&gt;S7,1.0,IF(S4=S7,0.5,0.0)),""),"")</f>
        <v/>
      </c>
      <c r="Y4">
        <f>IF(ISNUMBER(S4),IF(ISNUMBER(S8),IF(S4&gt;S8,1.0,IF(S4=S8,0.5,0.0)),""),"")</f>
        <v/>
      </c>
      <c r="Z4">
        <f>IF(ISNUMBER(T4),IF(ISNUMBER(T3),IF(T4&gt;T3,1.0,IF(T4=T3,0.5,0.0)),""),"")</f>
        <v/>
      </c>
      <c r="AA4">
        <f>IF(ISNUMBER(T4),IF(ISNUMBER(T5),IF(T4&gt;T5,1.0,IF(T4=T5,0.5,0.0)),""),"")</f>
        <v/>
      </c>
      <c r="AB4">
        <f>IF(ISNUMBER(T4),IF(ISNUMBER(T6),IF(T4&gt;T6,1.0,IF(T4=T6,0.5,0.0)),""),"")</f>
        <v/>
      </c>
      <c r="AC4">
        <f>IF(ISNUMBER(T4),IF(ISNUMBER(T7),IF(T4&gt;T7,1.0,IF(T4=T7,0.5,0.0)),""),"")</f>
        <v/>
      </c>
      <c r="AD4">
        <f>IF(ISNUMBER(T4),IF(ISNUMBER(T8),IF(T4&gt;T8,1.0,IF(T4=T8,0.5,0.0)),""),"")</f>
        <v/>
      </c>
      <c r="AE4" s="14">
        <f>IF(AND(ISNUMBER(S4),ISNUMBER(S3)),VLOOKUP(ABS(S4-S3),'IMP Table'!$A$2:$C$26,3)*SIGN(S4-S3),0)</f>
        <v/>
      </c>
      <c r="AF4">
        <f>IF(AND(ISNUMBER(S4),ISNUMBER(S5)),VLOOKUP(ABS(S4-S5),'IMP Table'!$A$2:$C$26,3)*SIGN(S4-S5),0)</f>
        <v/>
      </c>
      <c r="AG4">
        <f>IF(AND(ISNUMBER(S4),ISNUMBER(S6)),VLOOKUP(ABS(S4-S6),'IMP Table'!$A$2:$C$26,3)*SIGN(S4-S6),0)</f>
        <v/>
      </c>
      <c r="AH4">
        <f>IF(AND(ISNUMBER(S4),ISNUMBER(S7)),VLOOKUP(ABS(S4-S7),'IMP Table'!$A$2:$C$26,3)*SIGN(S4-S7),0)</f>
        <v/>
      </c>
      <c r="AI4">
        <f>IF(AND(ISNUMBER(S4),ISNUMBER(S8)),VLOOKUP(ABS(S4-S8),'IMP Table'!$A$2:$C$26,3)*SIGN(S4-S8),0)</f>
        <v/>
      </c>
      <c r="AJ4">
        <f>IF(AND(ISNUMBER(T4),ISNUMBER(T3)),VLOOKUP(ABS(T4-T3),'IMP Table'!$A$2:$C$26,3)*SIGN(T4-T3),0)</f>
        <v/>
      </c>
      <c r="AK4">
        <f>IF(AND(ISNUMBER(T4),ISNUMBER(T5)),VLOOKUP(ABS(T4-T5),'IMP Table'!$A$2:$C$26,3)*SIGN(T4-T5),0)</f>
        <v/>
      </c>
      <c r="AL4">
        <f>IF(AND(ISNUMBER(T4),ISNUMBER(T6)),VLOOKUP(ABS(T4-T6),'IMP Table'!$A$2:$C$26,3)*SIGN(T4-T6),0)</f>
        <v/>
      </c>
      <c r="AM4">
        <f>IF(AND(ISNUMBER(T4),ISNUMBER(T7)),VLOOKUP(ABS(T4-T7),'IMP Table'!$A$2:$C$26,3)*SIGN(T4-T7),0)</f>
        <v/>
      </c>
      <c r="AN4">
        <f>IF(AND(ISNUMBER(T4),ISNUMBER(T8)),VLOOKUP(ABS(T4-T8),'IMP Table'!$A$2:$C$26,3)*SIGN(T4-T8),0)</f>
        <v/>
      </c>
    </row>
    <row r="5">
      <c r="B5" s="10">
        <f>'By Round'!A39</f>
        <v/>
      </c>
      <c r="C5" s="10">
        <f>'By Round'!B47</f>
        <v/>
      </c>
      <c r="D5" s="10">
        <f>'By Round'!C47</f>
        <v/>
      </c>
      <c r="E5" s="10">
        <f>'By Round'!D47</f>
        <v/>
      </c>
      <c r="F5" s="10">
        <f>IF(ISBLANK('By Round'!F47),"",'By Round'!F47)</f>
        <v/>
      </c>
      <c r="G5">
        <f>IF(ISBLANK('By Round'!G47),"",'By Round'!G47)</f>
        <v/>
      </c>
      <c r="H5">
        <f>IF(ISBLANK('By Round'!H47),"",'By Round'!H47)</f>
        <v/>
      </c>
      <c r="I5">
        <f>IF(ISBLANK('By Round'!I47),"",'By Round'!I47)</f>
        <v/>
      </c>
      <c r="J5">
        <f>IF(ISBLANK('By Round'!J47),"",'By Round'!J47)</f>
        <v/>
      </c>
      <c r="K5">
        <f>IF(ISBLANK('By Round'!K47),"",'By Round'!K47)</f>
        <v/>
      </c>
      <c r="L5">
        <f>IF(ISBLANK('By Round'!L47),"",'By Round'!L47)</f>
        <v/>
      </c>
      <c r="M5" s="11">
        <f>AVERAGE(AE5:AI5)</f>
        <v/>
      </c>
      <c r="N5" s="12">
        <f>AVERAGE(AJ5:AN5)</f>
        <v/>
      </c>
      <c r="O5" s="13">
        <f>IF(COUNT(U5:Y5)&gt;0,Q5/COUNT(U5:Y5),0.5)</f>
        <v/>
      </c>
      <c r="P5" s="13">
        <f>IF(COUNT(Z5:AD5)&gt;0,R5/COUNT(Z5:AD5),0.5)</f>
        <v/>
      </c>
      <c r="Q5" s="5">
        <f>SUM(U5:Y5)</f>
        <v/>
      </c>
      <c r="R5" s="5">
        <f>SUM(Z5:AD5)</f>
        <v/>
      </c>
      <c r="S5" s="14">
        <f>IF(ISNUMBER(K5),K5,IF(ISNUMBER(L5),-L5,""))</f>
        <v/>
      </c>
      <c r="T5">
        <f>IF(ISNUMBER(L5),L5,IF(ISNUMBER(K5),-K5,""))</f>
        <v/>
      </c>
      <c r="U5" s="14">
        <f>IF(ISNUMBER(S5),IF(ISNUMBER(S3),IF(S5&gt;S3,1.0,IF(S5=S3,0.5,0.0)),""),"")</f>
        <v/>
      </c>
      <c r="V5">
        <f>IF(ISNUMBER(S5),IF(ISNUMBER(S4),IF(S5&gt;S4,1.0,IF(S5=S4,0.5,0.0)),""),"")</f>
        <v/>
      </c>
      <c r="W5">
        <f>IF(ISNUMBER(S5),IF(ISNUMBER(S6),IF(S5&gt;S6,1.0,IF(S5=S6,0.5,0.0)),""),"")</f>
        <v/>
      </c>
      <c r="X5">
        <f>IF(ISNUMBER(S5),IF(ISNUMBER(S7),IF(S5&gt;S7,1.0,IF(S5=S7,0.5,0.0)),""),"")</f>
        <v/>
      </c>
      <c r="Y5">
        <f>IF(ISNUMBER(S5),IF(ISNUMBER(S8),IF(S5&gt;S8,1.0,IF(S5=S8,0.5,0.0)),""),"")</f>
        <v/>
      </c>
      <c r="Z5">
        <f>IF(ISNUMBER(T5),IF(ISNUMBER(T3),IF(T5&gt;T3,1.0,IF(T5=T3,0.5,0.0)),""),"")</f>
        <v/>
      </c>
      <c r="AA5">
        <f>IF(ISNUMBER(T5),IF(ISNUMBER(T4),IF(T5&gt;T4,1.0,IF(T5=T4,0.5,0.0)),""),"")</f>
        <v/>
      </c>
      <c r="AB5">
        <f>IF(ISNUMBER(T5),IF(ISNUMBER(T6),IF(T5&gt;T6,1.0,IF(T5=T6,0.5,0.0)),""),"")</f>
        <v/>
      </c>
      <c r="AC5">
        <f>IF(ISNUMBER(T5),IF(ISNUMBER(T7),IF(T5&gt;T7,1.0,IF(T5=T7,0.5,0.0)),""),"")</f>
        <v/>
      </c>
      <c r="AD5">
        <f>IF(ISNUMBER(T5),IF(ISNUMBER(T8),IF(T5&gt;T8,1.0,IF(T5=T8,0.5,0.0)),""),"")</f>
        <v/>
      </c>
      <c r="AE5" s="14">
        <f>IF(AND(ISNUMBER(S5),ISNUMBER(S3)),VLOOKUP(ABS(S5-S3),'IMP Table'!$A$2:$C$26,3)*SIGN(S5-S3),0)</f>
        <v/>
      </c>
      <c r="AF5">
        <f>IF(AND(ISNUMBER(S5),ISNUMBER(S4)),VLOOKUP(ABS(S5-S4),'IMP Table'!$A$2:$C$26,3)*SIGN(S5-S4),0)</f>
        <v/>
      </c>
      <c r="AG5">
        <f>IF(AND(ISNUMBER(S5),ISNUMBER(S6)),VLOOKUP(ABS(S5-S6),'IMP Table'!$A$2:$C$26,3)*SIGN(S5-S6),0)</f>
        <v/>
      </c>
      <c r="AH5">
        <f>IF(AND(ISNUMBER(S5),ISNUMBER(S7)),VLOOKUP(ABS(S5-S7),'IMP Table'!$A$2:$C$26,3)*SIGN(S5-S7),0)</f>
        <v/>
      </c>
      <c r="AI5">
        <f>IF(AND(ISNUMBER(S5),ISNUMBER(S8)),VLOOKUP(ABS(S5-S8),'IMP Table'!$A$2:$C$26,3)*SIGN(S5-S8),0)</f>
        <v/>
      </c>
      <c r="AJ5">
        <f>IF(AND(ISNUMBER(T5),ISNUMBER(T3)),VLOOKUP(ABS(T5-T3),'IMP Table'!$A$2:$C$26,3)*SIGN(T5-T3),0)</f>
        <v/>
      </c>
      <c r="AK5">
        <f>IF(AND(ISNUMBER(T5),ISNUMBER(T4)),VLOOKUP(ABS(T5-T4),'IMP Table'!$A$2:$C$26,3)*SIGN(T5-T4),0)</f>
        <v/>
      </c>
      <c r="AL5">
        <f>IF(AND(ISNUMBER(T5),ISNUMBER(T6)),VLOOKUP(ABS(T5-T6),'IMP Table'!$A$2:$C$26,3)*SIGN(T5-T6),0)</f>
        <v/>
      </c>
      <c r="AM5">
        <f>IF(AND(ISNUMBER(T5),ISNUMBER(T7)),VLOOKUP(ABS(T5-T7),'IMP Table'!$A$2:$C$26,3)*SIGN(T5-T7),0)</f>
        <v/>
      </c>
      <c r="AN5">
        <f>IF(AND(ISNUMBER(T5),ISNUMBER(T8)),VLOOKUP(ABS(T5-T8),'IMP Table'!$A$2:$C$26,3)*SIGN(T5-T8),0)</f>
        <v/>
      </c>
    </row>
    <row r="6">
      <c r="B6" s="10">
        <f>'By Round'!A51</f>
        <v/>
      </c>
      <c r="C6" s="10">
        <f>'By Round'!B57</f>
        <v/>
      </c>
      <c r="D6" s="10">
        <f>'By Round'!C57</f>
        <v/>
      </c>
      <c r="E6" s="10">
        <f>'By Round'!D57</f>
        <v/>
      </c>
      <c r="F6" s="10">
        <f>IF(ISBLANK('By Round'!F57),"",'By Round'!F57)</f>
        <v/>
      </c>
      <c r="G6">
        <f>IF(ISBLANK('By Round'!G57),"",'By Round'!G57)</f>
        <v/>
      </c>
      <c r="H6">
        <f>IF(ISBLANK('By Round'!H57),"",'By Round'!H57)</f>
        <v/>
      </c>
      <c r="I6">
        <f>IF(ISBLANK('By Round'!I57),"",'By Round'!I57)</f>
        <v/>
      </c>
      <c r="J6">
        <f>IF(ISBLANK('By Round'!J57),"",'By Round'!J57)</f>
        <v/>
      </c>
      <c r="K6">
        <f>IF(ISBLANK('By Round'!K57),"",'By Round'!K57)</f>
        <v/>
      </c>
      <c r="L6">
        <f>IF(ISBLANK('By Round'!L57),"",'By Round'!L57)</f>
        <v/>
      </c>
      <c r="M6" s="11">
        <f>AVERAGE(AE6:AI6)</f>
        <v/>
      </c>
      <c r="N6" s="12">
        <f>AVERAGE(AJ6:AN6)</f>
        <v/>
      </c>
      <c r="O6" s="13">
        <f>IF(COUNT(U6:Y6)&gt;0,Q6/COUNT(U6:Y6),0.5)</f>
        <v/>
      </c>
      <c r="P6" s="13">
        <f>IF(COUNT(Z6:AD6)&gt;0,R6/COUNT(Z6:AD6),0.5)</f>
        <v/>
      </c>
      <c r="Q6" s="5">
        <f>SUM(U6:Y6)</f>
        <v/>
      </c>
      <c r="R6" s="5">
        <f>SUM(Z6:AD6)</f>
        <v/>
      </c>
      <c r="S6" s="14">
        <f>IF(ISNUMBER(K6),K6,IF(ISNUMBER(L6),-L6,""))</f>
        <v/>
      </c>
      <c r="T6">
        <f>IF(ISNUMBER(L6),L6,IF(ISNUMBER(K6),-K6,""))</f>
        <v/>
      </c>
      <c r="U6" s="14">
        <f>IF(ISNUMBER(S6),IF(ISNUMBER(S3),IF(S6&gt;S3,1.0,IF(S6=S3,0.5,0.0)),""),"")</f>
        <v/>
      </c>
      <c r="V6">
        <f>IF(ISNUMBER(S6),IF(ISNUMBER(S4),IF(S6&gt;S4,1.0,IF(S6=S4,0.5,0.0)),""),"")</f>
        <v/>
      </c>
      <c r="W6">
        <f>IF(ISNUMBER(S6),IF(ISNUMBER(S5),IF(S6&gt;S5,1.0,IF(S6=S5,0.5,0.0)),""),"")</f>
        <v/>
      </c>
      <c r="X6">
        <f>IF(ISNUMBER(S6),IF(ISNUMBER(S7),IF(S6&gt;S7,1.0,IF(S6=S7,0.5,0.0)),""),"")</f>
        <v/>
      </c>
      <c r="Y6">
        <f>IF(ISNUMBER(S6),IF(ISNUMBER(S8),IF(S6&gt;S8,1.0,IF(S6=S8,0.5,0.0)),""),"")</f>
        <v/>
      </c>
      <c r="Z6">
        <f>IF(ISNUMBER(T6),IF(ISNUMBER(T3),IF(T6&gt;T3,1.0,IF(T6=T3,0.5,0.0)),""),"")</f>
        <v/>
      </c>
      <c r="AA6">
        <f>IF(ISNUMBER(T6),IF(ISNUMBER(T4),IF(T6&gt;T4,1.0,IF(T6=T4,0.5,0.0)),""),"")</f>
        <v/>
      </c>
      <c r="AB6">
        <f>IF(ISNUMBER(T6),IF(ISNUMBER(T5),IF(T6&gt;T5,1.0,IF(T6=T5,0.5,0.0)),""),"")</f>
        <v/>
      </c>
      <c r="AC6">
        <f>IF(ISNUMBER(T6),IF(ISNUMBER(T7),IF(T6&gt;T7,1.0,IF(T6=T7,0.5,0.0)),""),"")</f>
        <v/>
      </c>
      <c r="AD6">
        <f>IF(ISNUMBER(T6),IF(ISNUMBER(T8),IF(T6&gt;T8,1.0,IF(T6=T8,0.5,0.0)),""),"")</f>
        <v/>
      </c>
      <c r="AE6" s="14">
        <f>IF(AND(ISNUMBER(S6),ISNUMBER(S3)),VLOOKUP(ABS(S6-S3),'IMP Table'!$A$2:$C$26,3)*SIGN(S6-S3),0)</f>
        <v/>
      </c>
      <c r="AF6">
        <f>IF(AND(ISNUMBER(S6),ISNUMBER(S4)),VLOOKUP(ABS(S6-S4),'IMP Table'!$A$2:$C$26,3)*SIGN(S6-S4),0)</f>
        <v/>
      </c>
      <c r="AG6">
        <f>IF(AND(ISNUMBER(S6),ISNUMBER(S5)),VLOOKUP(ABS(S6-S5),'IMP Table'!$A$2:$C$26,3)*SIGN(S6-S5),0)</f>
        <v/>
      </c>
      <c r="AH6">
        <f>IF(AND(ISNUMBER(S6),ISNUMBER(S7)),VLOOKUP(ABS(S6-S7),'IMP Table'!$A$2:$C$26,3)*SIGN(S6-S7),0)</f>
        <v/>
      </c>
      <c r="AI6">
        <f>IF(AND(ISNUMBER(S6),ISNUMBER(S8)),VLOOKUP(ABS(S6-S8),'IMP Table'!$A$2:$C$26,3)*SIGN(S6-S8),0)</f>
        <v/>
      </c>
      <c r="AJ6">
        <f>IF(AND(ISNUMBER(T6),ISNUMBER(T3)),VLOOKUP(ABS(T6-T3),'IMP Table'!$A$2:$C$26,3)*SIGN(T6-T3),0)</f>
        <v/>
      </c>
      <c r="AK6">
        <f>IF(AND(ISNUMBER(T6),ISNUMBER(T4)),VLOOKUP(ABS(T6-T4),'IMP Table'!$A$2:$C$26,3)*SIGN(T6-T4),0)</f>
        <v/>
      </c>
      <c r="AL6">
        <f>IF(AND(ISNUMBER(T6),ISNUMBER(T5)),VLOOKUP(ABS(T6-T5),'IMP Table'!$A$2:$C$26,3)*SIGN(T6-T5),0)</f>
        <v/>
      </c>
      <c r="AM6">
        <f>IF(AND(ISNUMBER(T6),ISNUMBER(T7)),VLOOKUP(ABS(T6-T7),'IMP Table'!$A$2:$C$26,3)*SIGN(T6-T7),0)</f>
        <v/>
      </c>
      <c r="AN6">
        <f>IF(AND(ISNUMBER(T6),ISNUMBER(T8)),VLOOKUP(ABS(T6-T8),'IMP Table'!$A$2:$C$26,3)*SIGN(T6-T8),0)</f>
        <v/>
      </c>
    </row>
    <row r="7">
      <c r="B7" s="10">
        <f>'By Round'!A87</f>
        <v/>
      </c>
      <c r="C7" s="10">
        <f>'By Round'!B89</f>
        <v/>
      </c>
      <c r="D7" s="10">
        <f>'By Round'!C89</f>
        <v/>
      </c>
      <c r="E7" s="10">
        <f>'By Round'!D89</f>
        <v/>
      </c>
      <c r="F7" s="10">
        <f>IF(ISBLANK('By Round'!F89),"",'By Round'!F89)</f>
        <v/>
      </c>
      <c r="G7">
        <f>IF(ISBLANK('By Round'!G89),"",'By Round'!G89)</f>
        <v/>
      </c>
      <c r="H7">
        <f>IF(ISBLANK('By Round'!H89),"",'By Round'!H89)</f>
        <v/>
      </c>
      <c r="I7">
        <f>IF(ISBLANK('By Round'!I89),"",'By Round'!I89)</f>
        <v/>
      </c>
      <c r="J7">
        <f>IF(ISBLANK('By Round'!J89),"",'By Round'!J89)</f>
        <v/>
      </c>
      <c r="K7">
        <f>IF(ISBLANK('By Round'!K89),"",'By Round'!K89)</f>
        <v/>
      </c>
      <c r="L7">
        <f>IF(ISBLANK('By Round'!L89),"",'By Round'!L89)</f>
        <v/>
      </c>
      <c r="M7" s="11">
        <f>AVERAGE(AE7:AI7)</f>
        <v/>
      </c>
      <c r="N7" s="12">
        <f>AVERAGE(AJ7:AN7)</f>
        <v/>
      </c>
      <c r="O7" s="13">
        <f>IF(COUNT(U7:Y7)&gt;0,Q7/COUNT(U7:Y7),0.5)</f>
        <v/>
      </c>
      <c r="P7" s="13">
        <f>IF(COUNT(Z7:AD7)&gt;0,R7/COUNT(Z7:AD7),0.5)</f>
        <v/>
      </c>
      <c r="Q7" s="5">
        <f>SUM(U7:Y7)</f>
        <v/>
      </c>
      <c r="R7" s="5">
        <f>SUM(Z7:AD7)</f>
        <v/>
      </c>
      <c r="S7" s="14">
        <f>IF(ISNUMBER(K7),K7,IF(ISNUMBER(L7),-L7,""))</f>
        <v/>
      </c>
      <c r="T7">
        <f>IF(ISNUMBER(L7),L7,IF(ISNUMBER(K7),-K7,""))</f>
        <v/>
      </c>
      <c r="U7" s="14">
        <f>IF(ISNUMBER(S7),IF(ISNUMBER(S3),IF(S7&gt;S3,1.0,IF(S7=S3,0.5,0.0)),""),"")</f>
        <v/>
      </c>
      <c r="V7">
        <f>IF(ISNUMBER(S7),IF(ISNUMBER(S4),IF(S7&gt;S4,1.0,IF(S7=S4,0.5,0.0)),""),"")</f>
        <v/>
      </c>
      <c r="W7">
        <f>IF(ISNUMBER(S7),IF(ISNUMBER(S5),IF(S7&gt;S5,1.0,IF(S7=S5,0.5,0.0)),""),"")</f>
        <v/>
      </c>
      <c r="X7">
        <f>IF(ISNUMBER(S7),IF(ISNUMBER(S6),IF(S7&gt;S6,1.0,IF(S7=S6,0.5,0.0)),""),"")</f>
        <v/>
      </c>
      <c r="Y7">
        <f>IF(ISNUMBER(S7),IF(ISNUMBER(S8),IF(S7&gt;S8,1.0,IF(S7=S8,0.5,0.0)),""),"")</f>
        <v/>
      </c>
      <c r="Z7">
        <f>IF(ISNUMBER(T7),IF(ISNUMBER(T3),IF(T7&gt;T3,1.0,IF(T7=T3,0.5,0.0)),""),"")</f>
        <v/>
      </c>
      <c r="AA7">
        <f>IF(ISNUMBER(T7),IF(ISNUMBER(T4),IF(T7&gt;T4,1.0,IF(T7=T4,0.5,0.0)),""),"")</f>
        <v/>
      </c>
      <c r="AB7">
        <f>IF(ISNUMBER(T7),IF(ISNUMBER(T5),IF(T7&gt;T5,1.0,IF(T7=T5,0.5,0.0)),""),"")</f>
        <v/>
      </c>
      <c r="AC7">
        <f>IF(ISNUMBER(T7),IF(ISNUMBER(T6),IF(T7&gt;T6,1.0,IF(T7=T6,0.5,0.0)),""),"")</f>
        <v/>
      </c>
      <c r="AD7">
        <f>IF(ISNUMBER(T7),IF(ISNUMBER(T8),IF(T7&gt;T8,1.0,IF(T7=T8,0.5,0.0)),""),"")</f>
        <v/>
      </c>
      <c r="AE7" s="14">
        <f>IF(AND(ISNUMBER(S7),ISNUMBER(S3)),VLOOKUP(ABS(S7-S3),'IMP Table'!$A$2:$C$26,3)*SIGN(S7-S3),0)</f>
        <v/>
      </c>
      <c r="AF7">
        <f>IF(AND(ISNUMBER(S7),ISNUMBER(S4)),VLOOKUP(ABS(S7-S4),'IMP Table'!$A$2:$C$26,3)*SIGN(S7-S4),0)</f>
        <v/>
      </c>
      <c r="AG7">
        <f>IF(AND(ISNUMBER(S7),ISNUMBER(S5)),VLOOKUP(ABS(S7-S5),'IMP Table'!$A$2:$C$26,3)*SIGN(S7-S5),0)</f>
        <v/>
      </c>
      <c r="AH7">
        <f>IF(AND(ISNUMBER(S7),ISNUMBER(S6)),VLOOKUP(ABS(S7-S6),'IMP Table'!$A$2:$C$26,3)*SIGN(S7-S6),0)</f>
        <v/>
      </c>
      <c r="AI7">
        <f>IF(AND(ISNUMBER(S7),ISNUMBER(S8)),VLOOKUP(ABS(S7-S8),'IMP Table'!$A$2:$C$26,3)*SIGN(S7-S8),0)</f>
        <v/>
      </c>
      <c r="AJ7">
        <f>IF(AND(ISNUMBER(T7),ISNUMBER(T3)),VLOOKUP(ABS(T7-T3),'IMP Table'!$A$2:$C$26,3)*SIGN(T7-T3),0)</f>
        <v/>
      </c>
      <c r="AK7">
        <f>IF(AND(ISNUMBER(T7),ISNUMBER(T4)),VLOOKUP(ABS(T7-T4),'IMP Table'!$A$2:$C$26,3)*SIGN(T7-T4),0)</f>
        <v/>
      </c>
      <c r="AL7">
        <f>IF(AND(ISNUMBER(T7),ISNUMBER(T5)),VLOOKUP(ABS(T7-T5),'IMP Table'!$A$2:$C$26,3)*SIGN(T7-T5),0)</f>
        <v/>
      </c>
      <c r="AM7">
        <f>IF(AND(ISNUMBER(T7),ISNUMBER(T6)),VLOOKUP(ABS(T7-T6),'IMP Table'!$A$2:$C$26,3)*SIGN(T7-T6),0)</f>
        <v/>
      </c>
      <c r="AN7">
        <f>IF(AND(ISNUMBER(T7),ISNUMBER(T8)),VLOOKUP(ABS(T7-T8),'IMP Table'!$A$2:$C$26,3)*SIGN(T7-T8),0)</f>
        <v/>
      </c>
    </row>
    <row r="8">
      <c r="A8" s="15" t="n"/>
      <c r="B8" s="16">
        <f>'By Round'!A27</f>
        <v/>
      </c>
      <c r="C8" s="16">
        <f>'By Round'!B37</f>
        <v/>
      </c>
      <c r="D8" s="16">
        <f>'By Round'!C37</f>
        <v/>
      </c>
      <c r="E8" s="16">
        <f>'By Round'!D37</f>
        <v/>
      </c>
      <c r="F8" s="16">
        <f>IF(ISBLANK('By Round'!F37),"",'By Round'!F37)</f>
        <v/>
      </c>
      <c r="G8" s="15">
        <f>IF(ISBLANK('By Round'!G37),"",'By Round'!G37)</f>
        <v/>
      </c>
      <c r="H8" s="15">
        <f>IF(ISBLANK('By Round'!H37),"",'By Round'!H37)</f>
        <v/>
      </c>
      <c r="I8" s="15">
        <f>IF(ISBLANK('By Round'!I37),"",'By Round'!I37)</f>
        <v/>
      </c>
      <c r="J8" s="15">
        <f>IF(ISBLANK('By Round'!J37),"",'By Round'!J37)</f>
        <v/>
      </c>
      <c r="K8" s="15">
        <f>IF(ISBLANK('By Round'!K37),"",'By Round'!K37)</f>
        <v/>
      </c>
      <c r="L8" s="15">
        <f>IF(ISBLANK('By Round'!L37),"",'By Round'!L37)</f>
        <v/>
      </c>
      <c r="M8" s="17">
        <f>AVERAGE(AE8:AI8)</f>
        <v/>
      </c>
      <c r="N8" s="18">
        <f>AVERAGE(AJ8:AN8)</f>
        <v/>
      </c>
      <c r="O8" s="19">
        <f>IF(COUNT(U8:Y8)&gt;0,Q8/COUNT(U8:Y8),0.5)</f>
        <v/>
      </c>
      <c r="P8" s="19">
        <f>IF(COUNT(Z8:AD8)&gt;0,R8/COUNT(Z8:AD8),0.5)</f>
        <v/>
      </c>
      <c r="Q8" s="20">
        <f>SUM(U8:Y8)</f>
        <v/>
      </c>
      <c r="R8" s="20">
        <f>SUM(Z8:AD8)</f>
        <v/>
      </c>
      <c r="S8" s="21">
        <f>IF(ISNUMBER(K8),K8,IF(ISNUMBER(L8),-L8,""))</f>
        <v/>
      </c>
      <c r="T8" s="15">
        <f>IF(ISNUMBER(L8),L8,IF(ISNUMBER(K8),-K8,""))</f>
        <v/>
      </c>
      <c r="U8" s="21">
        <f>IF(ISNUMBER(S8),IF(ISNUMBER(S3),IF(S8&gt;S3,1.0,IF(S8=S3,0.5,0.0)),""),"")</f>
        <v/>
      </c>
      <c r="V8" s="15">
        <f>IF(ISNUMBER(S8),IF(ISNUMBER(S4),IF(S8&gt;S4,1.0,IF(S8=S4,0.5,0.0)),""),"")</f>
        <v/>
      </c>
      <c r="W8" s="15">
        <f>IF(ISNUMBER(S8),IF(ISNUMBER(S5),IF(S8&gt;S5,1.0,IF(S8=S5,0.5,0.0)),""),"")</f>
        <v/>
      </c>
      <c r="X8" s="15">
        <f>IF(ISNUMBER(S8),IF(ISNUMBER(S6),IF(S8&gt;S6,1.0,IF(S8=S6,0.5,0.0)),""),"")</f>
        <v/>
      </c>
      <c r="Y8" s="15">
        <f>IF(ISNUMBER(S8),IF(ISNUMBER(S7),IF(S8&gt;S7,1.0,IF(S8=S7,0.5,0.0)),""),"")</f>
        <v/>
      </c>
      <c r="Z8" s="15">
        <f>IF(ISNUMBER(T8),IF(ISNUMBER(T3),IF(T8&gt;T3,1.0,IF(T8=T3,0.5,0.0)),""),"")</f>
        <v/>
      </c>
      <c r="AA8" s="15">
        <f>IF(ISNUMBER(T8),IF(ISNUMBER(T4),IF(T8&gt;T4,1.0,IF(T8=T4,0.5,0.0)),""),"")</f>
        <v/>
      </c>
      <c r="AB8" s="15">
        <f>IF(ISNUMBER(T8),IF(ISNUMBER(T5),IF(T8&gt;T5,1.0,IF(T8=T5,0.5,0.0)),""),"")</f>
        <v/>
      </c>
      <c r="AC8" s="15">
        <f>IF(ISNUMBER(T8),IF(ISNUMBER(T6),IF(T8&gt;T6,1.0,IF(T8=T6,0.5,0.0)),""),"")</f>
        <v/>
      </c>
      <c r="AD8" s="15">
        <f>IF(ISNUMBER(T8),IF(ISNUMBER(T7),IF(T8&gt;T7,1.0,IF(T8=T7,0.5,0.0)),""),"")</f>
        <v/>
      </c>
      <c r="AE8" s="21">
        <f>IF(AND(ISNUMBER(S8),ISNUMBER(S3)),VLOOKUP(ABS(S8-S3),'IMP Table'!$A$2:$C$26,3)*SIGN(S8-S3),0)</f>
        <v/>
      </c>
      <c r="AF8" s="15">
        <f>IF(AND(ISNUMBER(S8),ISNUMBER(S4)),VLOOKUP(ABS(S8-S4),'IMP Table'!$A$2:$C$26,3)*SIGN(S8-S4),0)</f>
        <v/>
      </c>
      <c r="AG8" s="15">
        <f>IF(AND(ISNUMBER(S8),ISNUMBER(S5)),VLOOKUP(ABS(S8-S5),'IMP Table'!$A$2:$C$26,3)*SIGN(S8-S5),0)</f>
        <v/>
      </c>
      <c r="AH8" s="15">
        <f>IF(AND(ISNUMBER(S8),ISNUMBER(S6)),VLOOKUP(ABS(S8-S6),'IMP Table'!$A$2:$C$26,3)*SIGN(S8-S6),0)</f>
        <v/>
      </c>
      <c r="AI8" s="15">
        <f>IF(AND(ISNUMBER(S8),ISNUMBER(S7)),VLOOKUP(ABS(S8-S7),'IMP Table'!$A$2:$C$26,3)*SIGN(S8-S7),0)</f>
        <v/>
      </c>
      <c r="AJ8" s="15">
        <f>IF(AND(ISNUMBER(T8),ISNUMBER(T3)),VLOOKUP(ABS(T8-T3),'IMP Table'!$A$2:$C$26,3)*SIGN(T8-T3),0)</f>
        <v/>
      </c>
      <c r="AK8" s="15">
        <f>IF(AND(ISNUMBER(T8),ISNUMBER(T4)),VLOOKUP(ABS(T8-T4),'IMP Table'!$A$2:$C$26,3)*SIGN(T8-T4),0)</f>
        <v/>
      </c>
      <c r="AL8" s="15">
        <f>IF(AND(ISNUMBER(T8),ISNUMBER(T5)),VLOOKUP(ABS(T8-T5),'IMP Table'!$A$2:$C$26,3)*SIGN(T8-T5),0)</f>
        <v/>
      </c>
      <c r="AM8" s="15">
        <f>IF(AND(ISNUMBER(T8),ISNUMBER(T6)),VLOOKUP(ABS(T8-T6),'IMP Table'!$A$2:$C$26,3)*SIGN(T8-T6),0)</f>
        <v/>
      </c>
      <c r="AN8" s="15">
        <f>IF(AND(ISNUMBER(T8),ISNUMBER(T7)),VLOOKUP(ABS(T8-T7),'IMP Table'!$A$2:$C$26,3)*SIGN(T8-T7),0)</f>
        <v/>
      </c>
    </row>
    <row r="9">
      <c r="A9" s="10" t="n">
        <v>2</v>
      </c>
      <c r="B9" s="10">
        <f>'By Round'!A3</f>
        <v/>
      </c>
      <c r="C9" s="10">
        <f>'By Round'!B3</f>
        <v/>
      </c>
      <c r="D9" s="10">
        <f>'By Round'!C3</f>
        <v/>
      </c>
      <c r="E9" s="10">
        <f>'By Round'!D3</f>
        <v/>
      </c>
      <c r="F9" s="10">
        <f>IF(ISBLANK('By Round'!F4),"",'By Round'!F4)</f>
        <v/>
      </c>
      <c r="G9">
        <f>IF(ISBLANK('By Round'!G4),"",'By Round'!G4)</f>
        <v/>
      </c>
      <c r="H9">
        <f>IF(ISBLANK('By Round'!H4),"",'By Round'!H4)</f>
        <v/>
      </c>
      <c r="I9">
        <f>IF(ISBLANK('By Round'!I4),"",'By Round'!I4)</f>
        <v/>
      </c>
      <c r="J9">
        <f>IF(ISBLANK('By Round'!J4),"",'By Round'!J4)</f>
        <v/>
      </c>
      <c r="K9">
        <f>IF(ISBLANK('By Round'!K4),"",'By Round'!K4)</f>
        <v/>
      </c>
      <c r="L9">
        <f>IF(ISBLANK('By Round'!L4),"",'By Round'!L4)</f>
        <v/>
      </c>
      <c r="M9" s="11">
        <f>AVERAGE(AE9:AI9)</f>
        <v/>
      </c>
      <c r="N9" s="12">
        <f>AVERAGE(AJ9:AN9)</f>
        <v/>
      </c>
      <c r="O9" s="13">
        <f>IF(COUNT(U9:Y9)&gt;0,Q9/COUNT(U9:Y9),0.5)</f>
        <v/>
      </c>
      <c r="P9" s="13">
        <f>IF(COUNT(Z9:AD9)&gt;0,R9/COUNT(Z9:AD9),0.5)</f>
        <v/>
      </c>
      <c r="Q9" s="5">
        <f>SUM(U9:Y9)</f>
        <v/>
      </c>
      <c r="R9" s="5">
        <f>SUM(Z9:AD9)</f>
        <v/>
      </c>
      <c r="S9" s="14">
        <f>IF(ISNUMBER(K9),K9,IF(ISNUMBER(L9),-L9,""))</f>
        <v/>
      </c>
      <c r="T9">
        <f>IF(ISNUMBER(L9),L9,IF(ISNUMBER(K9),-K9,""))</f>
        <v/>
      </c>
      <c r="U9" s="14">
        <f>IF(ISNUMBER(S9),IF(ISNUMBER(S10),IF(S9&gt;S10,1.0,IF(S9=S10,0.5,0.0)),""),"")</f>
        <v/>
      </c>
      <c r="V9">
        <f>IF(ISNUMBER(S9),IF(ISNUMBER(S11),IF(S9&gt;S11,1.0,IF(S9=S11,0.5,0.0)),""),"")</f>
        <v/>
      </c>
      <c r="W9">
        <f>IF(ISNUMBER(S9),IF(ISNUMBER(S12),IF(S9&gt;S12,1.0,IF(S9=S12,0.5,0.0)),""),"")</f>
        <v/>
      </c>
      <c r="X9">
        <f>IF(ISNUMBER(S9),IF(ISNUMBER(S13),IF(S9&gt;S13,1.0,IF(S9=S13,0.5,0.0)),""),"")</f>
        <v/>
      </c>
      <c r="Y9">
        <f>IF(ISNUMBER(S9),IF(ISNUMBER(S14),IF(S9&gt;S14,1.0,IF(S9=S14,0.5,0.0)),""),"")</f>
        <v/>
      </c>
      <c r="Z9">
        <f>IF(ISNUMBER(T9),IF(ISNUMBER(T10),IF(T9&gt;T10,1.0,IF(T9=T10,0.5,0.0)),""),"")</f>
        <v/>
      </c>
      <c r="AA9">
        <f>IF(ISNUMBER(T9),IF(ISNUMBER(T11),IF(T9&gt;T11,1.0,IF(T9=T11,0.5,0.0)),""),"")</f>
        <v/>
      </c>
      <c r="AB9">
        <f>IF(ISNUMBER(T9),IF(ISNUMBER(T12),IF(T9&gt;T12,1.0,IF(T9=T12,0.5,0.0)),""),"")</f>
        <v/>
      </c>
      <c r="AC9">
        <f>IF(ISNUMBER(T9),IF(ISNUMBER(T13),IF(T9&gt;T13,1.0,IF(T9=T13,0.5,0.0)),""),"")</f>
        <v/>
      </c>
      <c r="AD9">
        <f>IF(ISNUMBER(T9),IF(ISNUMBER(T14),IF(T9&gt;T14,1.0,IF(T9=T14,0.5,0.0)),""),"")</f>
        <v/>
      </c>
      <c r="AE9" s="14">
        <f>IF(AND(ISNUMBER(S9),ISNUMBER(S10)),VLOOKUP(ABS(S9-S10),'IMP Table'!$A$2:$C$26,3)*SIGN(S9-S10),0)</f>
        <v/>
      </c>
      <c r="AF9">
        <f>IF(AND(ISNUMBER(S9),ISNUMBER(S11)),VLOOKUP(ABS(S9-S11),'IMP Table'!$A$2:$C$26,3)*SIGN(S9-S11),0)</f>
        <v/>
      </c>
      <c r="AG9">
        <f>IF(AND(ISNUMBER(S9),ISNUMBER(S12)),VLOOKUP(ABS(S9-S12),'IMP Table'!$A$2:$C$26,3)*SIGN(S9-S12),0)</f>
        <v/>
      </c>
      <c r="AH9">
        <f>IF(AND(ISNUMBER(S9),ISNUMBER(S13)),VLOOKUP(ABS(S9-S13),'IMP Table'!$A$2:$C$26,3)*SIGN(S9-S13),0)</f>
        <v/>
      </c>
      <c r="AI9">
        <f>IF(AND(ISNUMBER(S9),ISNUMBER(S14)),VLOOKUP(ABS(S9-S14),'IMP Table'!$A$2:$C$26,3)*SIGN(S9-S14),0)</f>
        <v/>
      </c>
      <c r="AJ9">
        <f>IF(AND(ISNUMBER(T9),ISNUMBER(T10)),VLOOKUP(ABS(T9-T10),'IMP Table'!$A$2:$C$26,3)*SIGN(T9-T10),0)</f>
        <v/>
      </c>
      <c r="AK9">
        <f>IF(AND(ISNUMBER(T9),ISNUMBER(T11)),VLOOKUP(ABS(T9-T11),'IMP Table'!$A$2:$C$26,3)*SIGN(T9-T11),0)</f>
        <v/>
      </c>
      <c r="AL9">
        <f>IF(AND(ISNUMBER(T9),ISNUMBER(T12)),VLOOKUP(ABS(T9-T12),'IMP Table'!$A$2:$C$26,3)*SIGN(T9-T12),0)</f>
        <v/>
      </c>
      <c r="AM9">
        <f>IF(AND(ISNUMBER(T9),ISNUMBER(T13)),VLOOKUP(ABS(T9-T13),'IMP Table'!$A$2:$C$26,3)*SIGN(T9-T13),0)</f>
        <v/>
      </c>
      <c r="AN9">
        <f>IF(AND(ISNUMBER(T9),ISNUMBER(T14)),VLOOKUP(ABS(T9-T14),'IMP Table'!$A$2:$C$26,3)*SIGN(T9-T14),0)</f>
        <v/>
      </c>
    </row>
    <row r="10">
      <c r="B10" s="10">
        <f>'By Round'!A75</f>
        <v/>
      </c>
      <c r="C10" s="10">
        <f>'By Round'!B79</f>
        <v/>
      </c>
      <c r="D10" s="10">
        <f>'By Round'!C79</f>
        <v/>
      </c>
      <c r="E10" s="10">
        <f>'By Round'!D79</f>
        <v/>
      </c>
      <c r="F10" s="10">
        <f>IF(ISBLANK('By Round'!F80),"",'By Round'!F80)</f>
        <v/>
      </c>
      <c r="G10">
        <f>IF(ISBLANK('By Round'!G80),"",'By Round'!G80)</f>
        <v/>
      </c>
      <c r="H10">
        <f>IF(ISBLANK('By Round'!H80),"",'By Round'!H80)</f>
        <v/>
      </c>
      <c r="I10">
        <f>IF(ISBLANK('By Round'!I80),"",'By Round'!I80)</f>
        <v/>
      </c>
      <c r="J10">
        <f>IF(ISBLANK('By Round'!J80),"",'By Round'!J80)</f>
        <v/>
      </c>
      <c r="K10">
        <f>IF(ISBLANK('By Round'!K80),"",'By Round'!K80)</f>
        <v/>
      </c>
      <c r="L10">
        <f>IF(ISBLANK('By Round'!L80),"",'By Round'!L80)</f>
        <v/>
      </c>
      <c r="M10" s="11">
        <f>AVERAGE(AE10:AI10)</f>
        <v/>
      </c>
      <c r="N10" s="12">
        <f>AVERAGE(AJ10:AN10)</f>
        <v/>
      </c>
      <c r="O10" s="13">
        <f>IF(COUNT(U10:Y10)&gt;0,Q10/COUNT(U10:Y10),0.5)</f>
        <v/>
      </c>
      <c r="P10" s="13">
        <f>IF(COUNT(Z10:AD10)&gt;0,R10/COUNT(Z10:AD10),0.5)</f>
        <v/>
      </c>
      <c r="Q10" s="5">
        <f>SUM(U10:Y10)</f>
        <v/>
      </c>
      <c r="R10" s="5">
        <f>SUM(Z10:AD10)</f>
        <v/>
      </c>
      <c r="S10" s="14">
        <f>IF(ISNUMBER(K10),K10,IF(ISNUMBER(L10),-L10,""))</f>
        <v/>
      </c>
      <c r="T10">
        <f>IF(ISNUMBER(L10),L10,IF(ISNUMBER(K10),-K10,""))</f>
        <v/>
      </c>
      <c r="U10" s="14">
        <f>IF(ISNUMBER(S10),IF(ISNUMBER(S9),IF(S10&gt;S9,1.0,IF(S10=S9,0.5,0.0)),""),"")</f>
        <v/>
      </c>
      <c r="V10">
        <f>IF(ISNUMBER(S10),IF(ISNUMBER(S11),IF(S10&gt;S11,1.0,IF(S10=S11,0.5,0.0)),""),"")</f>
        <v/>
      </c>
      <c r="W10">
        <f>IF(ISNUMBER(S10),IF(ISNUMBER(S12),IF(S10&gt;S12,1.0,IF(S10=S12,0.5,0.0)),""),"")</f>
        <v/>
      </c>
      <c r="X10">
        <f>IF(ISNUMBER(S10),IF(ISNUMBER(S13),IF(S10&gt;S13,1.0,IF(S10=S13,0.5,0.0)),""),"")</f>
        <v/>
      </c>
      <c r="Y10">
        <f>IF(ISNUMBER(S10),IF(ISNUMBER(S14),IF(S10&gt;S14,1.0,IF(S10=S14,0.5,0.0)),""),"")</f>
        <v/>
      </c>
      <c r="Z10">
        <f>IF(ISNUMBER(T10),IF(ISNUMBER(T9),IF(T10&gt;T9,1.0,IF(T10=T9,0.5,0.0)),""),"")</f>
        <v/>
      </c>
      <c r="AA10">
        <f>IF(ISNUMBER(T10),IF(ISNUMBER(T11),IF(T10&gt;T11,1.0,IF(T10=T11,0.5,0.0)),""),"")</f>
        <v/>
      </c>
      <c r="AB10">
        <f>IF(ISNUMBER(T10),IF(ISNUMBER(T12),IF(T10&gt;T12,1.0,IF(T10=T12,0.5,0.0)),""),"")</f>
        <v/>
      </c>
      <c r="AC10">
        <f>IF(ISNUMBER(T10),IF(ISNUMBER(T13),IF(T10&gt;T13,1.0,IF(T10=T13,0.5,0.0)),""),"")</f>
        <v/>
      </c>
      <c r="AD10">
        <f>IF(ISNUMBER(T10),IF(ISNUMBER(T14),IF(T10&gt;T14,1.0,IF(T10=T14,0.5,0.0)),""),"")</f>
        <v/>
      </c>
      <c r="AE10" s="14">
        <f>IF(AND(ISNUMBER(S10),ISNUMBER(S9)),VLOOKUP(ABS(S10-S9),'IMP Table'!$A$2:$C$26,3)*SIGN(S10-S9),0)</f>
        <v/>
      </c>
      <c r="AF10">
        <f>IF(AND(ISNUMBER(S10),ISNUMBER(S11)),VLOOKUP(ABS(S10-S11),'IMP Table'!$A$2:$C$26,3)*SIGN(S10-S11),0)</f>
        <v/>
      </c>
      <c r="AG10">
        <f>IF(AND(ISNUMBER(S10),ISNUMBER(S12)),VLOOKUP(ABS(S10-S12),'IMP Table'!$A$2:$C$26,3)*SIGN(S10-S12),0)</f>
        <v/>
      </c>
      <c r="AH10">
        <f>IF(AND(ISNUMBER(S10),ISNUMBER(S13)),VLOOKUP(ABS(S10-S13),'IMP Table'!$A$2:$C$26,3)*SIGN(S10-S13),0)</f>
        <v/>
      </c>
      <c r="AI10">
        <f>IF(AND(ISNUMBER(S10),ISNUMBER(S14)),VLOOKUP(ABS(S10-S14),'IMP Table'!$A$2:$C$26,3)*SIGN(S10-S14),0)</f>
        <v/>
      </c>
      <c r="AJ10">
        <f>IF(AND(ISNUMBER(T10),ISNUMBER(T9)),VLOOKUP(ABS(T10-T9),'IMP Table'!$A$2:$C$26,3)*SIGN(T10-T9),0)</f>
        <v/>
      </c>
      <c r="AK10">
        <f>IF(AND(ISNUMBER(T10),ISNUMBER(T11)),VLOOKUP(ABS(T10-T11),'IMP Table'!$A$2:$C$26,3)*SIGN(T10-T11),0)</f>
        <v/>
      </c>
      <c r="AL10">
        <f>IF(AND(ISNUMBER(T10),ISNUMBER(T12)),VLOOKUP(ABS(T10-T12),'IMP Table'!$A$2:$C$26,3)*SIGN(T10-T12),0)</f>
        <v/>
      </c>
      <c r="AM10">
        <f>IF(AND(ISNUMBER(T10),ISNUMBER(T13)),VLOOKUP(ABS(T10-T13),'IMP Table'!$A$2:$C$26,3)*SIGN(T10-T13),0)</f>
        <v/>
      </c>
      <c r="AN10">
        <f>IF(AND(ISNUMBER(T10),ISNUMBER(T14)),VLOOKUP(ABS(T10-T14),'IMP Table'!$A$2:$C$26,3)*SIGN(T10-T14),0)</f>
        <v/>
      </c>
    </row>
    <row r="11">
      <c r="B11" s="10">
        <f>'By Round'!A39</f>
        <v/>
      </c>
      <c r="C11" s="10">
        <f>'By Round'!B47</f>
        <v/>
      </c>
      <c r="D11" s="10">
        <f>'By Round'!C47</f>
        <v/>
      </c>
      <c r="E11" s="10">
        <f>'By Round'!D47</f>
        <v/>
      </c>
      <c r="F11" s="10">
        <f>IF(ISBLANK('By Round'!F48),"",'By Round'!F48)</f>
        <v/>
      </c>
      <c r="G11">
        <f>IF(ISBLANK('By Round'!G48),"",'By Round'!G48)</f>
        <v/>
      </c>
      <c r="H11">
        <f>IF(ISBLANK('By Round'!H48),"",'By Round'!H48)</f>
        <v/>
      </c>
      <c r="I11">
        <f>IF(ISBLANK('By Round'!I48),"",'By Round'!I48)</f>
        <v/>
      </c>
      <c r="J11">
        <f>IF(ISBLANK('By Round'!J48),"",'By Round'!J48)</f>
        <v/>
      </c>
      <c r="K11">
        <f>IF(ISBLANK('By Round'!K48),"",'By Round'!K48)</f>
        <v/>
      </c>
      <c r="L11">
        <f>IF(ISBLANK('By Round'!L48),"",'By Round'!L48)</f>
        <v/>
      </c>
      <c r="M11" s="11">
        <f>AVERAGE(AE11:AI11)</f>
        <v/>
      </c>
      <c r="N11" s="12">
        <f>AVERAGE(AJ11:AN11)</f>
        <v/>
      </c>
      <c r="O11" s="13">
        <f>IF(COUNT(U11:Y11)&gt;0,Q11/COUNT(U11:Y11),0.5)</f>
        <v/>
      </c>
      <c r="P11" s="13">
        <f>IF(COUNT(Z11:AD11)&gt;0,R11/COUNT(Z11:AD11),0.5)</f>
        <v/>
      </c>
      <c r="Q11" s="5">
        <f>SUM(U11:Y11)</f>
        <v/>
      </c>
      <c r="R11" s="5">
        <f>SUM(Z11:AD11)</f>
        <v/>
      </c>
      <c r="S11" s="14">
        <f>IF(ISNUMBER(K11),K11,IF(ISNUMBER(L11),-L11,""))</f>
        <v/>
      </c>
      <c r="T11">
        <f>IF(ISNUMBER(L11),L11,IF(ISNUMBER(K11),-K11,""))</f>
        <v/>
      </c>
      <c r="U11" s="14">
        <f>IF(ISNUMBER(S11),IF(ISNUMBER(S9),IF(S11&gt;S9,1.0,IF(S11=S9,0.5,0.0)),""),"")</f>
        <v/>
      </c>
      <c r="V11">
        <f>IF(ISNUMBER(S11),IF(ISNUMBER(S10),IF(S11&gt;S10,1.0,IF(S11=S10,0.5,0.0)),""),"")</f>
        <v/>
      </c>
      <c r="W11">
        <f>IF(ISNUMBER(S11),IF(ISNUMBER(S12),IF(S11&gt;S12,1.0,IF(S11=S12,0.5,0.0)),""),"")</f>
        <v/>
      </c>
      <c r="X11">
        <f>IF(ISNUMBER(S11),IF(ISNUMBER(S13),IF(S11&gt;S13,1.0,IF(S11=S13,0.5,0.0)),""),"")</f>
        <v/>
      </c>
      <c r="Y11">
        <f>IF(ISNUMBER(S11),IF(ISNUMBER(S14),IF(S11&gt;S14,1.0,IF(S11=S14,0.5,0.0)),""),"")</f>
        <v/>
      </c>
      <c r="Z11">
        <f>IF(ISNUMBER(T11),IF(ISNUMBER(T9),IF(T11&gt;T9,1.0,IF(T11=T9,0.5,0.0)),""),"")</f>
        <v/>
      </c>
      <c r="AA11">
        <f>IF(ISNUMBER(T11),IF(ISNUMBER(T10),IF(T11&gt;T10,1.0,IF(T11=T10,0.5,0.0)),""),"")</f>
        <v/>
      </c>
      <c r="AB11">
        <f>IF(ISNUMBER(T11),IF(ISNUMBER(T12),IF(T11&gt;T12,1.0,IF(T11=T12,0.5,0.0)),""),"")</f>
        <v/>
      </c>
      <c r="AC11">
        <f>IF(ISNUMBER(T11),IF(ISNUMBER(T13),IF(T11&gt;T13,1.0,IF(T11=T13,0.5,0.0)),""),"")</f>
        <v/>
      </c>
      <c r="AD11">
        <f>IF(ISNUMBER(T11),IF(ISNUMBER(T14),IF(T11&gt;T14,1.0,IF(T11=T14,0.5,0.0)),""),"")</f>
        <v/>
      </c>
      <c r="AE11" s="14">
        <f>IF(AND(ISNUMBER(S11),ISNUMBER(S9)),VLOOKUP(ABS(S11-S9),'IMP Table'!$A$2:$C$26,3)*SIGN(S11-S9),0)</f>
        <v/>
      </c>
      <c r="AF11">
        <f>IF(AND(ISNUMBER(S11),ISNUMBER(S10)),VLOOKUP(ABS(S11-S10),'IMP Table'!$A$2:$C$26,3)*SIGN(S11-S10),0)</f>
        <v/>
      </c>
      <c r="AG11">
        <f>IF(AND(ISNUMBER(S11),ISNUMBER(S12)),VLOOKUP(ABS(S11-S12),'IMP Table'!$A$2:$C$26,3)*SIGN(S11-S12),0)</f>
        <v/>
      </c>
      <c r="AH11">
        <f>IF(AND(ISNUMBER(S11),ISNUMBER(S13)),VLOOKUP(ABS(S11-S13),'IMP Table'!$A$2:$C$26,3)*SIGN(S11-S13),0)</f>
        <v/>
      </c>
      <c r="AI11">
        <f>IF(AND(ISNUMBER(S11),ISNUMBER(S14)),VLOOKUP(ABS(S11-S14),'IMP Table'!$A$2:$C$26,3)*SIGN(S11-S14),0)</f>
        <v/>
      </c>
      <c r="AJ11">
        <f>IF(AND(ISNUMBER(T11),ISNUMBER(T9)),VLOOKUP(ABS(T11-T9),'IMP Table'!$A$2:$C$26,3)*SIGN(T11-T9),0)</f>
        <v/>
      </c>
      <c r="AK11">
        <f>IF(AND(ISNUMBER(T11),ISNUMBER(T10)),VLOOKUP(ABS(T11-T10),'IMP Table'!$A$2:$C$26,3)*SIGN(T11-T10),0)</f>
        <v/>
      </c>
      <c r="AL11">
        <f>IF(AND(ISNUMBER(T11),ISNUMBER(T12)),VLOOKUP(ABS(T11-T12),'IMP Table'!$A$2:$C$26,3)*SIGN(T11-T12),0)</f>
        <v/>
      </c>
      <c r="AM11">
        <f>IF(AND(ISNUMBER(T11),ISNUMBER(T13)),VLOOKUP(ABS(T11-T13),'IMP Table'!$A$2:$C$26,3)*SIGN(T11-T13),0)</f>
        <v/>
      </c>
      <c r="AN11">
        <f>IF(AND(ISNUMBER(T11),ISNUMBER(T14)),VLOOKUP(ABS(T11-T14),'IMP Table'!$A$2:$C$26,3)*SIGN(T11-T14),0)</f>
        <v/>
      </c>
    </row>
    <row r="12">
      <c r="B12" s="10">
        <f>'By Round'!A51</f>
        <v/>
      </c>
      <c r="C12" s="10">
        <f>'By Round'!B57</f>
        <v/>
      </c>
      <c r="D12" s="10">
        <f>'By Round'!C57</f>
        <v/>
      </c>
      <c r="E12" s="10">
        <f>'By Round'!D57</f>
        <v/>
      </c>
      <c r="F12" s="10">
        <f>IF(ISBLANK('By Round'!F58),"",'By Round'!F58)</f>
        <v/>
      </c>
      <c r="G12">
        <f>IF(ISBLANK('By Round'!G58),"",'By Round'!G58)</f>
        <v/>
      </c>
      <c r="H12">
        <f>IF(ISBLANK('By Round'!H58),"",'By Round'!H58)</f>
        <v/>
      </c>
      <c r="I12">
        <f>IF(ISBLANK('By Round'!I58),"",'By Round'!I58)</f>
        <v/>
      </c>
      <c r="J12">
        <f>IF(ISBLANK('By Round'!J58),"",'By Round'!J58)</f>
        <v/>
      </c>
      <c r="K12">
        <f>IF(ISBLANK('By Round'!K58),"",'By Round'!K58)</f>
        <v/>
      </c>
      <c r="L12">
        <f>IF(ISBLANK('By Round'!L58),"",'By Round'!L58)</f>
        <v/>
      </c>
      <c r="M12" s="11">
        <f>AVERAGE(AE12:AI12)</f>
        <v/>
      </c>
      <c r="N12" s="12">
        <f>AVERAGE(AJ12:AN12)</f>
        <v/>
      </c>
      <c r="O12" s="13">
        <f>IF(COUNT(U12:Y12)&gt;0,Q12/COUNT(U12:Y12),0.5)</f>
        <v/>
      </c>
      <c r="P12" s="13">
        <f>IF(COUNT(Z12:AD12)&gt;0,R12/COUNT(Z12:AD12),0.5)</f>
        <v/>
      </c>
      <c r="Q12" s="5">
        <f>SUM(U12:Y12)</f>
        <v/>
      </c>
      <c r="R12" s="5">
        <f>SUM(Z12:AD12)</f>
        <v/>
      </c>
      <c r="S12" s="14">
        <f>IF(ISNUMBER(K12),K12,IF(ISNUMBER(L12),-L12,""))</f>
        <v/>
      </c>
      <c r="T12">
        <f>IF(ISNUMBER(L12),L12,IF(ISNUMBER(K12),-K12,""))</f>
        <v/>
      </c>
      <c r="U12" s="14">
        <f>IF(ISNUMBER(S12),IF(ISNUMBER(S9),IF(S12&gt;S9,1.0,IF(S12=S9,0.5,0.0)),""),"")</f>
        <v/>
      </c>
      <c r="V12">
        <f>IF(ISNUMBER(S12),IF(ISNUMBER(S10),IF(S12&gt;S10,1.0,IF(S12=S10,0.5,0.0)),""),"")</f>
        <v/>
      </c>
      <c r="W12">
        <f>IF(ISNUMBER(S12),IF(ISNUMBER(S11),IF(S12&gt;S11,1.0,IF(S12=S11,0.5,0.0)),""),"")</f>
        <v/>
      </c>
      <c r="X12">
        <f>IF(ISNUMBER(S12),IF(ISNUMBER(S13),IF(S12&gt;S13,1.0,IF(S12=S13,0.5,0.0)),""),"")</f>
        <v/>
      </c>
      <c r="Y12">
        <f>IF(ISNUMBER(S12),IF(ISNUMBER(S14),IF(S12&gt;S14,1.0,IF(S12=S14,0.5,0.0)),""),"")</f>
        <v/>
      </c>
      <c r="Z12">
        <f>IF(ISNUMBER(T12),IF(ISNUMBER(T9),IF(T12&gt;T9,1.0,IF(T12=T9,0.5,0.0)),""),"")</f>
        <v/>
      </c>
      <c r="AA12">
        <f>IF(ISNUMBER(T12),IF(ISNUMBER(T10),IF(T12&gt;T10,1.0,IF(T12=T10,0.5,0.0)),""),"")</f>
        <v/>
      </c>
      <c r="AB12">
        <f>IF(ISNUMBER(T12),IF(ISNUMBER(T11),IF(T12&gt;T11,1.0,IF(T12=T11,0.5,0.0)),""),"")</f>
        <v/>
      </c>
      <c r="AC12">
        <f>IF(ISNUMBER(T12),IF(ISNUMBER(T13),IF(T12&gt;T13,1.0,IF(T12=T13,0.5,0.0)),""),"")</f>
        <v/>
      </c>
      <c r="AD12">
        <f>IF(ISNUMBER(T12),IF(ISNUMBER(T14),IF(T12&gt;T14,1.0,IF(T12=T14,0.5,0.0)),""),"")</f>
        <v/>
      </c>
      <c r="AE12" s="14">
        <f>IF(AND(ISNUMBER(S12),ISNUMBER(S9)),VLOOKUP(ABS(S12-S9),'IMP Table'!$A$2:$C$26,3)*SIGN(S12-S9),0)</f>
        <v/>
      </c>
      <c r="AF12">
        <f>IF(AND(ISNUMBER(S12),ISNUMBER(S10)),VLOOKUP(ABS(S12-S10),'IMP Table'!$A$2:$C$26,3)*SIGN(S12-S10),0)</f>
        <v/>
      </c>
      <c r="AG12">
        <f>IF(AND(ISNUMBER(S12),ISNUMBER(S11)),VLOOKUP(ABS(S12-S11),'IMP Table'!$A$2:$C$26,3)*SIGN(S12-S11),0)</f>
        <v/>
      </c>
      <c r="AH12">
        <f>IF(AND(ISNUMBER(S12),ISNUMBER(S13)),VLOOKUP(ABS(S12-S13),'IMP Table'!$A$2:$C$26,3)*SIGN(S12-S13),0)</f>
        <v/>
      </c>
      <c r="AI12">
        <f>IF(AND(ISNUMBER(S12),ISNUMBER(S14)),VLOOKUP(ABS(S12-S14),'IMP Table'!$A$2:$C$26,3)*SIGN(S12-S14),0)</f>
        <v/>
      </c>
      <c r="AJ12">
        <f>IF(AND(ISNUMBER(T12),ISNUMBER(T9)),VLOOKUP(ABS(T12-T9),'IMP Table'!$A$2:$C$26,3)*SIGN(T12-T9),0)</f>
        <v/>
      </c>
      <c r="AK12">
        <f>IF(AND(ISNUMBER(T12),ISNUMBER(T10)),VLOOKUP(ABS(T12-T10),'IMP Table'!$A$2:$C$26,3)*SIGN(T12-T10),0)</f>
        <v/>
      </c>
      <c r="AL12">
        <f>IF(AND(ISNUMBER(T12),ISNUMBER(T11)),VLOOKUP(ABS(T12-T11),'IMP Table'!$A$2:$C$26,3)*SIGN(T12-T11),0)</f>
        <v/>
      </c>
      <c r="AM12">
        <f>IF(AND(ISNUMBER(T12),ISNUMBER(T13)),VLOOKUP(ABS(T12-T13),'IMP Table'!$A$2:$C$26,3)*SIGN(T12-T13),0)</f>
        <v/>
      </c>
      <c r="AN12">
        <f>IF(AND(ISNUMBER(T12),ISNUMBER(T14)),VLOOKUP(ABS(T12-T14),'IMP Table'!$A$2:$C$26,3)*SIGN(T12-T14),0)</f>
        <v/>
      </c>
    </row>
    <row r="13">
      <c r="B13" s="10">
        <f>'By Round'!A87</f>
        <v/>
      </c>
      <c r="C13" s="10">
        <f>'By Round'!B89</f>
        <v/>
      </c>
      <c r="D13" s="10">
        <f>'By Round'!C89</f>
        <v/>
      </c>
      <c r="E13" s="10">
        <f>'By Round'!D89</f>
        <v/>
      </c>
      <c r="F13" s="10">
        <f>IF(ISBLANK('By Round'!F90),"",'By Round'!F90)</f>
        <v/>
      </c>
      <c r="G13">
        <f>IF(ISBLANK('By Round'!G90),"",'By Round'!G90)</f>
        <v/>
      </c>
      <c r="H13">
        <f>IF(ISBLANK('By Round'!H90),"",'By Round'!H90)</f>
        <v/>
      </c>
      <c r="I13">
        <f>IF(ISBLANK('By Round'!I90),"",'By Round'!I90)</f>
        <v/>
      </c>
      <c r="J13">
        <f>IF(ISBLANK('By Round'!J90),"",'By Round'!J90)</f>
        <v/>
      </c>
      <c r="K13">
        <f>IF(ISBLANK('By Round'!K90),"",'By Round'!K90)</f>
        <v/>
      </c>
      <c r="L13">
        <f>IF(ISBLANK('By Round'!L90),"",'By Round'!L90)</f>
        <v/>
      </c>
      <c r="M13" s="11">
        <f>AVERAGE(AE13:AI13)</f>
        <v/>
      </c>
      <c r="N13" s="12">
        <f>AVERAGE(AJ13:AN13)</f>
        <v/>
      </c>
      <c r="O13" s="13">
        <f>IF(COUNT(U13:Y13)&gt;0,Q13/COUNT(U13:Y13),0.5)</f>
        <v/>
      </c>
      <c r="P13" s="13">
        <f>IF(COUNT(Z13:AD13)&gt;0,R13/COUNT(Z13:AD13),0.5)</f>
        <v/>
      </c>
      <c r="Q13" s="5">
        <f>SUM(U13:Y13)</f>
        <v/>
      </c>
      <c r="R13" s="5">
        <f>SUM(Z13:AD13)</f>
        <v/>
      </c>
      <c r="S13" s="14">
        <f>IF(ISNUMBER(K13),K13,IF(ISNUMBER(L13),-L13,""))</f>
        <v/>
      </c>
      <c r="T13">
        <f>IF(ISNUMBER(L13),L13,IF(ISNUMBER(K13),-K13,""))</f>
        <v/>
      </c>
      <c r="U13" s="14">
        <f>IF(ISNUMBER(S13),IF(ISNUMBER(S9),IF(S13&gt;S9,1.0,IF(S13=S9,0.5,0.0)),""),"")</f>
        <v/>
      </c>
      <c r="V13">
        <f>IF(ISNUMBER(S13),IF(ISNUMBER(S10),IF(S13&gt;S10,1.0,IF(S13=S10,0.5,0.0)),""),"")</f>
        <v/>
      </c>
      <c r="W13">
        <f>IF(ISNUMBER(S13),IF(ISNUMBER(S11),IF(S13&gt;S11,1.0,IF(S13=S11,0.5,0.0)),""),"")</f>
        <v/>
      </c>
      <c r="X13">
        <f>IF(ISNUMBER(S13),IF(ISNUMBER(S12),IF(S13&gt;S12,1.0,IF(S13=S12,0.5,0.0)),""),"")</f>
        <v/>
      </c>
      <c r="Y13">
        <f>IF(ISNUMBER(S13),IF(ISNUMBER(S14),IF(S13&gt;S14,1.0,IF(S13=S14,0.5,0.0)),""),"")</f>
        <v/>
      </c>
      <c r="Z13">
        <f>IF(ISNUMBER(T13),IF(ISNUMBER(T9),IF(T13&gt;T9,1.0,IF(T13=T9,0.5,0.0)),""),"")</f>
        <v/>
      </c>
      <c r="AA13">
        <f>IF(ISNUMBER(T13),IF(ISNUMBER(T10),IF(T13&gt;T10,1.0,IF(T13=T10,0.5,0.0)),""),"")</f>
        <v/>
      </c>
      <c r="AB13">
        <f>IF(ISNUMBER(T13),IF(ISNUMBER(T11),IF(T13&gt;T11,1.0,IF(T13=T11,0.5,0.0)),""),"")</f>
        <v/>
      </c>
      <c r="AC13">
        <f>IF(ISNUMBER(T13),IF(ISNUMBER(T12),IF(T13&gt;T12,1.0,IF(T13=T12,0.5,0.0)),""),"")</f>
        <v/>
      </c>
      <c r="AD13">
        <f>IF(ISNUMBER(T13),IF(ISNUMBER(T14),IF(T13&gt;T14,1.0,IF(T13=T14,0.5,0.0)),""),"")</f>
        <v/>
      </c>
      <c r="AE13" s="14">
        <f>IF(AND(ISNUMBER(S13),ISNUMBER(S9)),VLOOKUP(ABS(S13-S9),'IMP Table'!$A$2:$C$26,3)*SIGN(S13-S9),0)</f>
        <v/>
      </c>
      <c r="AF13">
        <f>IF(AND(ISNUMBER(S13),ISNUMBER(S10)),VLOOKUP(ABS(S13-S10),'IMP Table'!$A$2:$C$26,3)*SIGN(S13-S10),0)</f>
        <v/>
      </c>
      <c r="AG13">
        <f>IF(AND(ISNUMBER(S13),ISNUMBER(S11)),VLOOKUP(ABS(S13-S11),'IMP Table'!$A$2:$C$26,3)*SIGN(S13-S11),0)</f>
        <v/>
      </c>
      <c r="AH13">
        <f>IF(AND(ISNUMBER(S13),ISNUMBER(S12)),VLOOKUP(ABS(S13-S12),'IMP Table'!$A$2:$C$26,3)*SIGN(S13-S12),0)</f>
        <v/>
      </c>
      <c r="AI13">
        <f>IF(AND(ISNUMBER(S13),ISNUMBER(S14)),VLOOKUP(ABS(S13-S14),'IMP Table'!$A$2:$C$26,3)*SIGN(S13-S14),0)</f>
        <v/>
      </c>
      <c r="AJ13">
        <f>IF(AND(ISNUMBER(T13),ISNUMBER(T9)),VLOOKUP(ABS(T13-T9),'IMP Table'!$A$2:$C$26,3)*SIGN(T13-T9),0)</f>
        <v/>
      </c>
      <c r="AK13">
        <f>IF(AND(ISNUMBER(T13),ISNUMBER(T10)),VLOOKUP(ABS(T13-T10),'IMP Table'!$A$2:$C$26,3)*SIGN(T13-T10),0)</f>
        <v/>
      </c>
      <c r="AL13">
        <f>IF(AND(ISNUMBER(T13),ISNUMBER(T11)),VLOOKUP(ABS(T13-T11),'IMP Table'!$A$2:$C$26,3)*SIGN(T13-T11),0)</f>
        <v/>
      </c>
      <c r="AM13">
        <f>IF(AND(ISNUMBER(T13),ISNUMBER(T12)),VLOOKUP(ABS(T13-T12),'IMP Table'!$A$2:$C$26,3)*SIGN(T13-T12),0)</f>
        <v/>
      </c>
      <c r="AN13">
        <f>IF(AND(ISNUMBER(T13),ISNUMBER(T14)),VLOOKUP(ABS(T13-T14),'IMP Table'!$A$2:$C$26,3)*SIGN(T13-T14),0)</f>
        <v/>
      </c>
    </row>
    <row r="14">
      <c r="A14" s="15" t="n"/>
      <c r="B14" s="16">
        <f>'By Round'!A27</f>
        <v/>
      </c>
      <c r="C14" s="16">
        <f>'By Round'!B37</f>
        <v/>
      </c>
      <c r="D14" s="16">
        <f>'By Round'!C37</f>
        <v/>
      </c>
      <c r="E14" s="16">
        <f>'By Round'!D37</f>
        <v/>
      </c>
      <c r="F14" s="16">
        <f>IF(ISBLANK('By Round'!F38),"",'By Round'!F38)</f>
        <v/>
      </c>
      <c r="G14" s="15">
        <f>IF(ISBLANK('By Round'!G38),"",'By Round'!G38)</f>
        <v/>
      </c>
      <c r="H14" s="15">
        <f>IF(ISBLANK('By Round'!H38),"",'By Round'!H38)</f>
        <v/>
      </c>
      <c r="I14" s="15">
        <f>IF(ISBLANK('By Round'!I38),"",'By Round'!I38)</f>
        <v/>
      </c>
      <c r="J14" s="15">
        <f>IF(ISBLANK('By Round'!J38),"",'By Round'!J38)</f>
        <v/>
      </c>
      <c r="K14" s="15">
        <f>IF(ISBLANK('By Round'!K38),"",'By Round'!K38)</f>
        <v/>
      </c>
      <c r="L14" s="15">
        <f>IF(ISBLANK('By Round'!L38),"",'By Round'!L38)</f>
        <v/>
      </c>
      <c r="M14" s="17">
        <f>AVERAGE(AE14:AI14)</f>
        <v/>
      </c>
      <c r="N14" s="18">
        <f>AVERAGE(AJ14:AN14)</f>
        <v/>
      </c>
      <c r="O14" s="19">
        <f>IF(COUNT(U14:Y14)&gt;0,Q14/COUNT(U14:Y14),0.5)</f>
        <v/>
      </c>
      <c r="P14" s="19">
        <f>IF(COUNT(Z14:AD14)&gt;0,R14/COUNT(Z14:AD14),0.5)</f>
        <v/>
      </c>
      <c r="Q14" s="20">
        <f>SUM(U14:Y14)</f>
        <v/>
      </c>
      <c r="R14" s="20">
        <f>SUM(Z14:AD14)</f>
        <v/>
      </c>
      <c r="S14" s="21">
        <f>IF(ISNUMBER(K14),K14,IF(ISNUMBER(L14),-L14,""))</f>
        <v/>
      </c>
      <c r="T14" s="15">
        <f>IF(ISNUMBER(L14),L14,IF(ISNUMBER(K14),-K14,""))</f>
        <v/>
      </c>
      <c r="U14" s="21">
        <f>IF(ISNUMBER(S14),IF(ISNUMBER(S9),IF(S14&gt;S9,1.0,IF(S14=S9,0.5,0.0)),""),"")</f>
        <v/>
      </c>
      <c r="V14" s="15">
        <f>IF(ISNUMBER(S14),IF(ISNUMBER(S10),IF(S14&gt;S10,1.0,IF(S14=S10,0.5,0.0)),""),"")</f>
        <v/>
      </c>
      <c r="W14" s="15">
        <f>IF(ISNUMBER(S14),IF(ISNUMBER(S11),IF(S14&gt;S11,1.0,IF(S14=S11,0.5,0.0)),""),"")</f>
        <v/>
      </c>
      <c r="X14" s="15">
        <f>IF(ISNUMBER(S14),IF(ISNUMBER(S12),IF(S14&gt;S12,1.0,IF(S14=S12,0.5,0.0)),""),"")</f>
        <v/>
      </c>
      <c r="Y14" s="15">
        <f>IF(ISNUMBER(S14),IF(ISNUMBER(S13),IF(S14&gt;S13,1.0,IF(S14=S13,0.5,0.0)),""),"")</f>
        <v/>
      </c>
      <c r="Z14" s="15">
        <f>IF(ISNUMBER(T14),IF(ISNUMBER(T9),IF(T14&gt;T9,1.0,IF(T14=T9,0.5,0.0)),""),"")</f>
        <v/>
      </c>
      <c r="AA14" s="15">
        <f>IF(ISNUMBER(T14),IF(ISNUMBER(T10),IF(T14&gt;T10,1.0,IF(T14=T10,0.5,0.0)),""),"")</f>
        <v/>
      </c>
      <c r="AB14" s="15">
        <f>IF(ISNUMBER(T14),IF(ISNUMBER(T11),IF(T14&gt;T11,1.0,IF(T14=T11,0.5,0.0)),""),"")</f>
        <v/>
      </c>
      <c r="AC14" s="15">
        <f>IF(ISNUMBER(T14),IF(ISNUMBER(T12),IF(T14&gt;T12,1.0,IF(T14=T12,0.5,0.0)),""),"")</f>
        <v/>
      </c>
      <c r="AD14" s="15">
        <f>IF(ISNUMBER(T14),IF(ISNUMBER(T13),IF(T14&gt;T13,1.0,IF(T14=T13,0.5,0.0)),""),"")</f>
        <v/>
      </c>
      <c r="AE14" s="21">
        <f>IF(AND(ISNUMBER(S14),ISNUMBER(S9)),VLOOKUP(ABS(S14-S9),'IMP Table'!$A$2:$C$26,3)*SIGN(S14-S9),0)</f>
        <v/>
      </c>
      <c r="AF14" s="15">
        <f>IF(AND(ISNUMBER(S14),ISNUMBER(S10)),VLOOKUP(ABS(S14-S10),'IMP Table'!$A$2:$C$26,3)*SIGN(S14-S10),0)</f>
        <v/>
      </c>
      <c r="AG14" s="15">
        <f>IF(AND(ISNUMBER(S14),ISNUMBER(S11)),VLOOKUP(ABS(S14-S11),'IMP Table'!$A$2:$C$26,3)*SIGN(S14-S11),0)</f>
        <v/>
      </c>
      <c r="AH14" s="15">
        <f>IF(AND(ISNUMBER(S14),ISNUMBER(S12)),VLOOKUP(ABS(S14-S12),'IMP Table'!$A$2:$C$26,3)*SIGN(S14-S12),0)</f>
        <v/>
      </c>
      <c r="AI14" s="15">
        <f>IF(AND(ISNUMBER(S14),ISNUMBER(S13)),VLOOKUP(ABS(S14-S13),'IMP Table'!$A$2:$C$26,3)*SIGN(S14-S13),0)</f>
        <v/>
      </c>
      <c r="AJ14" s="15">
        <f>IF(AND(ISNUMBER(T14),ISNUMBER(T9)),VLOOKUP(ABS(T14-T9),'IMP Table'!$A$2:$C$26,3)*SIGN(T14-T9),0)</f>
        <v/>
      </c>
      <c r="AK14" s="15">
        <f>IF(AND(ISNUMBER(T14),ISNUMBER(T10)),VLOOKUP(ABS(T14-T10),'IMP Table'!$A$2:$C$26,3)*SIGN(T14-T10),0)</f>
        <v/>
      </c>
      <c r="AL14" s="15">
        <f>IF(AND(ISNUMBER(T14),ISNUMBER(T11)),VLOOKUP(ABS(T14-T11),'IMP Table'!$A$2:$C$26,3)*SIGN(T14-T11),0)</f>
        <v/>
      </c>
      <c r="AM14" s="15">
        <f>IF(AND(ISNUMBER(T14),ISNUMBER(T12)),VLOOKUP(ABS(T14-T12),'IMP Table'!$A$2:$C$26,3)*SIGN(T14-T12),0)</f>
        <v/>
      </c>
      <c r="AN14" s="15">
        <f>IF(AND(ISNUMBER(T14),ISNUMBER(T13)),VLOOKUP(ABS(T14-T13),'IMP Table'!$A$2:$C$26,3)*SIGN(T14-T13),0)</f>
        <v/>
      </c>
    </row>
    <row r="15">
      <c r="A15" s="10" t="n">
        <v>3</v>
      </c>
      <c r="B15" s="10">
        <f>'By Round'!A15</f>
        <v/>
      </c>
      <c r="C15" s="10">
        <f>'By Round'!B15</f>
        <v/>
      </c>
      <c r="D15" s="10">
        <f>'By Round'!C15</f>
        <v/>
      </c>
      <c r="E15" s="10">
        <f>'By Round'!D15</f>
        <v/>
      </c>
      <c r="F15" s="10">
        <f>IF(ISBLANK('By Round'!F15),"",'By Round'!F15)</f>
        <v/>
      </c>
      <c r="G15">
        <f>IF(ISBLANK('By Round'!G15),"",'By Round'!G15)</f>
        <v/>
      </c>
      <c r="H15">
        <f>IF(ISBLANK('By Round'!H15),"",'By Round'!H15)</f>
        <v/>
      </c>
      <c r="I15">
        <f>IF(ISBLANK('By Round'!I15),"",'By Round'!I15)</f>
        <v/>
      </c>
      <c r="J15">
        <f>IF(ISBLANK('By Round'!J15),"",'By Round'!J15)</f>
        <v/>
      </c>
      <c r="K15">
        <f>IF(ISBLANK('By Round'!K15),"",'By Round'!K15)</f>
        <v/>
      </c>
      <c r="L15">
        <f>IF(ISBLANK('By Round'!L15),"",'By Round'!L15)</f>
        <v/>
      </c>
      <c r="M15" s="11">
        <f>AVERAGE(AE15:AI15)</f>
        <v/>
      </c>
      <c r="N15" s="12">
        <f>AVERAGE(AJ15:AN15)</f>
        <v/>
      </c>
      <c r="O15" s="13">
        <f>IF(COUNT(U15:Y15)&gt;0,Q15/COUNT(U15:Y15),0.5)</f>
        <v/>
      </c>
      <c r="P15" s="13">
        <f>IF(COUNT(Z15:AD15)&gt;0,R15/COUNT(Z15:AD15),0.5)</f>
        <v/>
      </c>
      <c r="Q15" s="5">
        <f>SUM(U15:Y15)</f>
        <v/>
      </c>
      <c r="R15" s="5">
        <f>SUM(Z15:AD15)</f>
        <v/>
      </c>
      <c r="S15" s="14">
        <f>IF(ISNUMBER(K15),K15,IF(ISNUMBER(L15),-L15,""))</f>
        <v/>
      </c>
      <c r="T15">
        <f>IF(ISNUMBER(L15),L15,IF(ISNUMBER(K15),-K15,""))</f>
        <v/>
      </c>
      <c r="U15" s="14">
        <f>IF(ISNUMBER(S15),IF(ISNUMBER(S16),IF(S15&gt;S16,1.0,IF(S15=S16,0.5,0.0)),""),"")</f>
        <v/>
      </c>
      <c r="V15">
        <f>IF(ISNUMBER(S15),IF(ISNUMBER(S17),IF(S15&gt;S17,1.0,IF(S15=S17,0.5,0.0)),""),"")</f>
        <v/>
      </c>
      <c r="W15">
        <f>IF(ISNUMBER(S15),IF(ISNUMBER(S18),IF(S15&gt;S18,1.0,IF(S15=S18,0.5,0.0)),""),"")</f>
        <v/>
      </c>
      <c r="X15">
        <f>IF(ISNUMBER(S15),IF(ISNUMBER(S19),IF(S15&gt;S19,1.0,IF(S15=S19,0.5,0.0)),""),"")</f>
        <v/>
      </c>
      <c r="Y15">
        <f>IF(ISNUMBER(S15),IF(ISNUMBER(S20),IF(S15&gt;S20,1.0,IF(S15=S20,0.5,0.0)),""),"")</f>
        <v/>
      </c>
      <c r="Z15">
        <f>IF(ISNUMBER(T15),IF(ISNUMBER(T16),IF(T15&gt;T16,1.0,IF(T15=T16,0.5,0.0)),""),"")</f>
        <v/>
      </c>
      <c r="AA15">
        <f>IF(ISNUMBER(T15),IF(ISNUMBER(T17),IF(T15&gt;T17,1.0,IF(T15=T17,0.5,0.0)),""),"")</f>
        <v/>
      </c>
      <c r="AB15">
        <f>IF(ISNUMBER(T15),IF(ISNUMBER(T18),IF(T15&gt;T18,1.0,IF(T15=T18,0.5,0.0)),""),"")</f>
        <v/>
      </c>
      <c r="AC15">
        <f>IF(ISNUMBER(T15),IF(ISNUMBER(T19),IF(T15&gt;T19,1.0,IF(T15=T19,0.5,0.0)),""),"")</f>
        <v/>
      </c>
      <c r="AD15">
        <f>IF(ISNUMBER(T15),IF(ISNUMBER(T20),IF(T15&gt;T20,1.0,IF(T15=T20,0.5,0.0)),""),"")</f>
        <v/>
      </c>
      <c r="AE15" s="14">
        <f>IF(AND(ISNUMBER(S15),ISNUMBER(S16)),VLOOKUP(ABS(S15-S16),'IMP Table'!$A$2:$C$26,3)*SIGN(S15-S16),0)</f>
        <v/>
      </c>
      <c r="AF15">
        <f>IF(AND(ISNUMBER(S15),ISNUMBER(S17)),VLOOKUP(ABS(S15-S17),'IMP Table'!$A$2:$C$26,3)*SIGN(S15-S17),0)</f>
        <v/>
      </c>
      <c r="AG15">
        <f>IF(AND(ISNUMBER(S15),ISNUMBER(S18)),VLOOKUP(ABS(S15-S18),'IMP Table'!$A$2:$C$26,3)*SIGN(S15-S18),0)</f>
        <v/>
      </c>
      <c r="AH15">
        <f>IF(AND(ISNUMBER(S15),ISNUMBER(S19)),VLOOKUP(ABS(S15-S19),'IMP Table'!$A$2:$C$26,3)*SIGN(S15-S19),0)</f>
        <v/>
      </c>
      <c r="AI15">
        <f>IF(AND(ISNUMBER(S15),ISNUMBER(S20)),VLOOKUP(ABS(S15-S20),'IMP Table'!$A$2:$C$26,3)*SIGN(S15-S20),0)</f>
        <v/>
      </c>
      <c r="AJ15">
        <f>IF(AND(ISNUMBER(T15),ISNUMBER(T16)),VLOOKUP(ABS(T15-T16),'IMP Table'!$A$2:$C$26,3)*SIGN(T15-T16),0)</f>
        <v/>
      </c>
      <c r="AK15">
        <f>IF(AND(ISNUMBER(T15),ISNUMBER(T17)),VLOOKUP(ABS(T15-T17),'IMP Table'!$A$2:$C$26,3)*SIGN(T15-T17),0)</f>
        <v/>
      </c>
      <c r="AL15">
        <f>IF(AND(ISNUMBER(T15),ISNUMBER(T18)),VLOOKUP(ABS(T15-T18),'IMP Table'!$A$2:$C$26,3)*SIGN(T15-T18),0)</f>
        <v/>
      </c>
      <c r="AM15">
        <f>IF(AND(ISNUMBER(T15),ISNUMBER(T19)),VLOOKUP(ABS(T15-T19),'IMP Table'!$A$2:$C$26,3)*SIGN(T15-T19),0)</f>
        <v/>
      </c>
      <c r="AN15">
        <f>IF(AND(ISNUMBER(T15),ISNUMBER(T20)),VLOOKUP(ABS(T15-T20),'IMP Table'!$A$2:$C$26,3)*SIGN(T15-T20),0)</f>
        <v/>
      </c>
    </row>
    <row r="16">
      <c r="B16" s="10">
        <f>'By Round'!A39</f>
        <v/>
      </c>
      <c r="C16" s="10">
        <f>'By Round'!B49</f>
        <v/>
      </c>
      <c r="D16" s="10">
        <f>'By Round'!C49</f>
        <v/>
      </c>
      <c r="E16" s="10">
        <f>'By Round'!D49</f>
        <v/>
      </c>
      <c r="F16" s="10">
        <f>IF(ISBLANK('By Round'!F49),"",'By Round'!F49)</f>
        <v/>
      </c>
      <c r="G16">
        <f>IF(ISBLANK('By Round'!G49),"",'By Round'!G49)</f>
        <v/>
      </c>
      <c r="H16">
        <f>IF(ISBLANK('By Round'!H49),"",'By Round'!H49)</f>
        <v/>
      </c>
      <c r="I16">
        <f>IF(ISBLANK('By Round'!I49),"",'By Round'!I49)</f>
        <v/>
      </c>
      <c r="J16">
        <f>IF(ISBLANK('By Round'!J49),"",'By Round'!J49)</f>
        <v/>
      </c>
      <c r="K16">
        <f>IF(ISBLANK('By Round'!K49),"",'By Round'!K49)</f>
        <v/>
      </c>
      <c r="L16">
        <f>IF(ISBLANK('By Round'!L49),"",'By Round'!L49)</f>
        <v/>
      </c>
      <c r="M16" s="11">
        <f>AVERAGE(AE16:AI16)</f>
        <v/>
      </c>
      <c r="N16" s="12">
        <f>AVERAGE(AJ16:AN16)</f>
        <v/>
      </c>
      <c r="O16" s="13">
        <f>IF(COUNT(U16:Y16)&gt;0,Q16/COUNT(U16:Y16),0.5)</f>
        <v/>
      </c>
      <c r="P16" s="13">
        <f>IF(COUNT(Z16:AD16)&gt;0,R16/COUNT(Z16:AD16),0.5)</f>
        <v/>
      </c>
      <c r="Q16" s="5">
        <f>SUM(U16:Y16)</f>
        <v/>
      </c>
      <c r="R16" s="5">
        <f>SUM(Z16:AD16)</f>
        <v/>
      </c>
      <c r="S16" s="14">
        <f>IF(ISNUMBER(K16),K16,IF(ISNUMBER(L16),-L16,""))</f>
        <v/>
      </c>
      <c r="T16">
        <f>IF(ISNUMBER(L16),L16,IF(ISNUMBER(K16),-K16,""))</f>
        <v/>
      </c>
      <c r="U16" s="14">
        <f>IF(ISNUMBER(S16),IF(ISNUMBER(S15),IF(S16&gt;S15,1.0,IF(S16=S15,0.5,0.0)),""),"")</f>
        <v/>
      </c>
      <c r="V16">
        <f>IF(ISNUMBER(S16),IF(ISNUMBER(S17),IF(S16&gt;S17,1.0,IF(S16=S17,0.5,0.0)),""),"")</f>
        <v/>
      </c>
      <c r="W16">
        <f>IF(ISNUMBER(S16),IF(ISNUMBER(S18),IF(S16&gt;S18,1.0,IF(S16=S18,0.5,0.0)),""),"")</f>
        <v/>
      </c>
      <c r="X16">
        <f>IF(ISNUMBER(S16),IF(ISNUMBER(S19),IF(S16&gt;S19,1.0,IF(S16=S19,0.5,0.0)),""),"")</f>
        <v/>
      </c>
      <c r="Y16">
        <f>IF(ISNUMBER(S16),IF(ISNUMBER(S20),IF(S16&gt;S20,1.0,IF(S16=S20,0.5,0.0)),""),"")</f>
        <v/>
      </c>
      <c r="Z16">
        <f>IF(ISNUMBER(T16),IF(ISNUMBER(T15),IF(T16&gt;T15,1.0,IF(T16=T15,0.5,0.0)),""),"")</f>
        <v/>
      </c>
      <c r="AA16">
        <f>IF(ISNUMBER(T16),IF(ISNUMBER(T17),IF(T16&gt;T17,1.0,IF(T16=T17,0.5,0.0)),""),"")</f>
        <v/>
      </c>
      <c r="AB16">
        <f>IF(ISNUMBER(T16),IF(ISNUMBER(T18),IF(T16&gt;T18,1.0,IF(T16=T18,0.5,0.0)),""),"")</f>
        <v/>
      </c>
      <c r="AC16">
        <f>IF(ISNUMBER(T16),IF(ISNUMBER(T19),IF(T16&gt;T19,1.0,IF(T16=T19,0.5,0.0)),""),"")</f>
        <v/>
      </c>
      <c r="AD16">
        <f>IF(ISNUMBER(T16),IF(ISNUMBER(T20),IF(T16&gt;T20,1.0,IF(T16=T20,0.5,0.0)),""),"")</f>
        <v/>
      </c>
      <c r="AE16" s="14">
        <f>IF(AND(ISNUMBER(S16),ISNUMBER(S15)),VLOOKUP(ABS(S16-S15),'IMP Table'!$A$2:$C$26,3)*SIGN(S16-S15),0)</f>
        <v/>
      </c>
      <c r="AF16">
        <f>IF(AND(ISNUMBER(S16),ISNUMBER(S17)),VLOOKUP(ABS(S16-S17),'IMP Table'!$A$2:$C$26,3)*SIGN(S16-S17),0)</f>
        <v/>
      </c>
      <c r="AG16">
        <f>IF(AND(ISNUMBER(S16),ISNUMBER(S18)),VLOOKUP(ABS(S16-S18),'IMP Table'!$A$2:$C$26,3)*SIGN(S16-S18),0)</f>
        <v/>
      </c>
      <c r="AH16">
        <f>IF(AND(ISNUMBER(S16),ISNUMBER(S19)),VLOOKUP(ABS(S16-S19),'IMP Table'!$A$2:$C$26,3)*SIGN(S16-S19),0)</f>
        <v/>
      </c>
      <c r="AI16">
        <f>IF(AND(ISNUMBER(S16),ISNUMBER(S20)),VLOOKUP(ABS(S16-S20),'IMP Table'!$A$2:$C$26,3)*SIGN(S16-S20),0)</f>
        <v/>
      </c>
      <c r="AJ16">
        <f>IF(AND(ISNUMBER(T16),ISNUMBER(T15)),VLOOKUP(ABS(T16-T15),'IMP Table'!$A$2:$C$26,3)*SIGN(T16-T15),0)</f>
        <v/>
      </c>
      <c r="AK16">
        <f>IF(AND(ISNUMBER(T16),ISNUMBER(T17)),VLOOKUP(ABS(T16-T17),'IMP Table'!$A$2:$C$26,3)*SIGN(T16-T17),0)</f>
        <v/>
      </c>
      <c r="AL16">
        <f>IF(AND(ISNUMBER(T16),ISNUMBER(T18)),VLOOKUP(ABS(T16-T18),'IMP Table'!$A$2:$C$26,3)*SIGN(T16-T18),0)</f>
        <v/>
      </c>
      <c r="AM16">
        <f>IF(AND(ISNUMBER(T16),ISNUMBER(T19)),VLOOKUP(ABS(T16-T19),'IMP Table'!$A$2:$C$26,3)*SIGN(T16-T19),0)</f>
        <v/>
      </c>
      <c r="AN16">
        <f>IF(AND(ISNUMBER(T16),ISNUMBER(T20)),VLOOKUP(ABS(T16-T20),'IMP Table'!$A$2:$C$26,3)*SIGN(T16-T20),0)</f>
        <v/>
      </c>
    </row>
    <row r="17">
      <c r="B17" s="10">
        <f>'By Round'!A87</f>
        <v/>
      </c>
      <c r="C17" s="10">
        <f>'By Round'!B91</f>
        <v/>
      </c>
      <c r="D17" s="10">
        <f>'By Round'!C91</f>
        <v/>
      </c>
      <c r="E17" s="10">
        <f>'By Round'!D91</f>
        <v/>
      </c>
      <c r="F17" s="10">
        <f>IF(ISBLANK('By Round'!F91),"",'By Round'!F91)</f>
        <v/>
      </c>
      <c r="G17">
        <f>IF(ISBLANK('By Round'!G91),"",'By Round'!G91)</f>
        <v/>
      </c>
      <c r="H17">
        <f>IF(ISBLANK('By Round'!H91),"",'By Round'!H91)</f>
        <v/>
      </c>
      <c r="I17">
        <f>IF(ISBLANK('By Round'!I91),"",'By Round'!I91)</f>
        <v/>
      </c>
      <c r="J17">
        <f>IF(ISBLANK('By Round'!J91),"",'By Round'!J91)</f>
        <v/>
      </c>
      <c r="K17">
        <f>IF(ISBLANK('By Round'!K91),"",'By Round'!K91)</f>
        <v/>
      </c>
      <c r="L17">
        <f>IF(ISBLANK('By Round'!L91),"",'By Round'!L91)</f>
        <v/>
      </c>
      <c r="M17" s="11">
        <f>AVERAGE(AE17:AI17)</f>
        <v/>
      </c>
      <c r="N17" s="12">
        <f>AVERAGE(AJ17:AN17)</f>
        <v/>
      </c>
      <c r="O17" s="13">
        <f>IF(COUNT(U17:Y17)&gt;0,Q17/COUNT(U17:Y17),0.5)</f>
        <v/>
      </c>
      <c r="P17" s="13">
        <f>IF(COUNT(Z17:AD17)&gt;0,R17/COUNT(Z17:AD17),0.5)</f>
        <v/>
      </c>
      <c r="Q17" s="5">
        <f>SUM(U17:Y17)</f>
        <v/>
      </c>
      <c r="R17" s="5">
        <f>SUM(Z17:AD17)</f>
        <v/>
      </c>
      <c r="S17" s="14">
        <f>IF(ISNUMBER(K17),K17,IF(ISNUMBER(L17),-L17,""))</f>
        <v/>
      </c>
      <c r="T17">
        <f>IF(ISNUMBER(L17),L17,IF(ISNUMBER(K17),-K17,""))</f>
        <v/>
      </c>
      <c r="U17" s="14">
        <f>IF(ISNUMBER(S17),IF(ISNUMBER(S15),IF(S17&gt;S15,1.0,IF(S17=S15,0.5,0.0)),""),"")</f>
        <v/>
      </c>
      <c r="V17">
        <f>IF(ISNUMBER(S17),IF(ISNUMBER(S16),IF(S17&gt;S16,1.0,IF(S17=S16,0.5,0.0)),""),"")</f>
        <v/>
      </c>
      <c r="W17">
        <f>IF(ISNUMBER(S17),IF(ISNUMBER(S18),IF(S17&gt;S18,1.0,IF(S17=S18,0.5,0.0)),""),"")</f>
        <v/>
      </c>
      <c r="X17">
        <f>IF(ISNUMBER(S17),IF(ISNUMBER(S19),IF(S17&gt;S19,1.0,IF(S17=S19,0.5,0.0)),""),"")</f>
        <v/>
      </c>
      <c r="Y17">
        <f>IF(ISNUMBER(S17),IF(ISNUMBER(S20),IF(S17&gt;S20,1.0,IF(S17=S20,0.5,0.0)),""),"")</f>
        <v/>
      </c>
      <c r="Z17">
        <f>IF(ISNUMBER(T17),IF(ISNUMBER(T15),IF(T17&gt;T15,1.0,IF(T17=T15,0.5,0.0)),""),"")</f>
        <v/>
      </c>
      <c r="AA17">
        <f>IF(ISNUMBER(T17),IF(ISNUMBER(T16),IF(T17&gt;T16,1.0,IF(T17=T16,0.5,0.0)),""),"")</f>
        <v/>
      </c>
      <c r="AB17">
        <f>IF(ISNUMBER(T17),IF(ISNUMBER(T18),IF(T17&gt;T18,1.0,IF(T17=T18,0.5,0.0)),""),"")</f>
        <v/>
      </c>
      <c r="AC17">
        <f>IF(ISNUMBER(T17),IF(ISNUMBER(T19),IF(T17&gt;T19,1.0,IF(T17=T19,0.5,0.0)),""),"")</f>
        <v/>
      </c>
      <c r="AD17">
        <f>IF(ISNUMBER(T17),IF(ISNUMBER(T20),IF(T17&gt;T20,1.0,IF(T17=T20,0.5,0.0)),""),"")</f>
        <v/>
      </c>
      <c r="AE17" s="14">
        <f>IF(AND(ISNUMBER(S17),ISNUMBER(S15)),VLOOKUP(ABS(S17-S15),'IMP Table'!$A$2:$C$26,3)*SIGN(S17-S15),0)</f>
        <v/>
      </c>
      <c r="AF17">
        <f>IF(AND(ISNUMBER(S17),ISNUMBER(S16)),VLOOKUP(ABS(S17-S16),'IMP Table'!$A$2:$C$26,3)*SIGN(S17-S16),0)</f>
        <v/>
      </c>
      <c r="AG17">
        <f>IF(AND(ISNUMBER(S17),ISNUMBER(S18)),VLOOKUP(ABS(S17-S18),'IMP Table'!$A$2:$C$26,3)*SIGN(S17-S18),0)</f>
        <v/>
      </c>
      <c r="AH17">
        <f>IF(AND(ISNUMBER(S17),ISNUMBER(S19)),VLOOKUP(ABS(S17-S19),'IMP Table'!$A$2:$C$26,3)*SIGN(S17-S19),0)</f>
        <v/>
      </c>
      <c r="AI17">
        <f>IF(AND(ISNUMBER(S17),ISNUMBER(S20)),VLOOKUP(ABS(S17-S20),'IMP Table'!$A$2:$C$26,3)*SIGN(S17-S20),0)</f>
        <v/>
      </c>
      <c r="AJ17">
        <f>IF(AND(ISNUMBER(T17),ISNUMBER(T15)),VLOOKUP(ABS(T17-T15),'IMP Table'!$A$2:$C$26,3)*SIGN(T17-T15),0)</f>
        <v/>
      </c>
      <c r="AK17">
        <f>IF(AND(ISNUMBER(T17),ISNUMBER(T16)),VLOOKUP(ABS(T17-T16),'IMP Table'!$A$2:$C$26,3)*SIGN(T17-T16),0)</f>
        <v/>
      </c>
      <c r="AL17">
        <f>IF(AND(ISNUMBER(T17),ISNUMBER(T18)),VLOOKUP(ABS(T17-T18),'IMP Table'!$A$2:$C$26,3)*SIGN(T17-T18),0)</f>
        <v/>
      </c>
      <c r="AM17">
        <f>IF(AND(ISNUMBER(T17),ISNUMBER(T19)),VLOOKUP(ABS(T17-T19),'IMP Table'!$A$2:$C$26,3)*SIGN(T17-T19),0)</f>
        <v/>
      </c>
      <c r="AN17">
        <f>IF(AND(ISNUMBER(T17),ISNUMBER(T20)),VLOOKUP(ABS(T17-T20),'IMP Table'!$A$2:$C$26,3)*SIGN(T17-T20),0)</f>
        <v/>
      </c>
    </row>
    <row r="18">
      <c r="B18" s="10">
        <f>'By Round'!A51</f>
        <v/>
      </c>
      <c r="C18" s="10">
        <f>'By Round'!B59</f>
        <v/>
      </c>
      <c r="D18" s="10">
        <f>'By Round'!C59</f>
        <v/>
      </c>
      <c r="E18" s="10">
        <f>'By Round'!D59</f>
        <v/>
      </c>
      <c r="F18" s="10">
        <f>IF(ISBLANK('By Round'!F59),"",'By Round'!F59)</f>
        <v/>
      </c>
      <c r="G18">
        <f>IF(ISBLANK('By Round'!G59),"",'By Round'!G59)</f>
        <v/>
      </c>
      <c r="H18">
        <f>IF(ISBLANK('By Round'!H59),"",'By Round'!H59)</f>
        <v/>
      </c>
      <c r="I18">
        <f>IF(ISBLANK('By Round'!I59),"",'By Round'!I59)</f>
        <v/>
      </c>
      <c r="J18">
        <f>IF(ISBLANK('By Round'!J59),"",'By Round'!J59)</f>
        <v/>
      </c>
      <c r="K18">
        <f>IF(ISBLANK('By Round'!K59),"",'By Round'!K59)</f>
        <v/>
      </c>
      <c r="L18">
        <f>IF(ISBLANK('By Round'!L59),"",'By Round'!L59)</f>
        <v/>
      </c>
      <c r="M18" s="11">
        <f>AVERAGE(AE18:AI18)</f>
        <v/>
      </c>
      <c r="N18" s="12">
        <f>AVERAGE(AJ18:AN18)</f>
        <v/>
      </c>
      <c r="O18" s="13">
        <f>IF(COUNT(U18:Y18)&gt;0,Q18/COUNT(U18:Y18),0.5)</f>
        <v/>
      </c>
      <c r="P18" s="13">
        <f>IF(COUNT(Z18:AD18)&gt;0,R18/COUNT(Z18:AD18),0.5)</f>
        <v/>
      </c>
      <c r="Q18" s="5">
        <f>SUM(U18:Y18)</f>
        <v/>
      </c>
      <c r="R18" s="5">
        <f>SUM(Z18:AD18)</f>
        <v/>
      </c>
      <c r="S18" s="14">
        <f>IF(ISNUMBER(K18),K18,IF(ISNUMBER(L18),-L18,""))</f>
        <v/>
      </c>
      <c r="T18">
        <f>IF(ISNUMBER(L18),L18,IF(ISNUMBER(K18),-K18,""))</f>
        <v/>
      </c>
      <c r="U18" s="14">
        <f>IF(ISNUMBER(S18),IF(ISNUMBER(S15),IF(S18&gt;S15,1.0,IF(S18=S15,0.5,0.0)),""),"")</f>
        <v/>
      </c>
      <c r="V18">
        <f>IF(ISNUMBER(S18),IF(ISNUMBER(S16),IF(S18&gt;S16,1.0,IF(S18=S16,0.5,0.0)),""),"")</f>
        <v/>
      </c>
      <c r="W18">
        <f>IF(ISNUMBER(S18),IF(ISNUMBER(S17),IF(S18&gt;S17,1.0,IF(S18=S17,0.5,0.0)),""),"")</f>
        <v/>
      </c>
      <c r="X18">
        <f>IF(ISNUMBER(S18),IF(ISNUMBER(S19),IF(S18&gt;S19,1.0,IF(S18=S19,0.5,0.0)),""),"")</f>
        <v/>
      </c>
      <c r="Y18">
        <f>IF(ISNUMBER(S18),IF(ISNUMBER(S20),IF(S18&gt;S20,1.0,IF(S18=S20,0.5,0.0)),""),"")</f>
        <v/>
      </c>
      <c r="Z18">
        <f>IF(ISNUMBER(T18),IF(ISNUMBER(T15),IF(T18&gt;T15,1.0,IF(T18=T15,0.5,0.0)),""),"")</f>
        <v/>
      </c>
      <c r="AA18">
        <f>IF(ISNUMBER(T18),IF(ISNUMBER(T16),IF(T18&gt;T16,1.0,IF(T18=T16,0.5,0.0)),""),"")</f>
        <v/>
      </c>
      <c r="AB18">
        <f>IF(ISNUMBER(T18),IF(ISNUMBER(T17),IF(T18&gt;T17,1.0,IF(T18=T17,0.5,0.0)),""),"")</f>
        <v/>
      </c>
      <c r="AC18">
        <f>IF(ISNUMBER(T18),IF(ISNUMBER(T19),IF(T18&gt;T19,1.0,IF(T18=T19,0.5,0.0)),""),"")</f>
        <v/>
      </c>
      <c r="AD18">
        <f>IF(ISNUMBER(T18),IF(ISNUMBER(T20),IF(T18&gt;T20,1.0,IF(T18=T20,0.5,0.0)),""),"")</f>
        <v/>
      </c>
      <c r="AE18" s="14">
        <f>IF(AND(ISNUMBER(S18),ISNUMBER(S15)),VLOOKUP(ABS(S18-S15),'IMP Table'!$A$2:$C$26,3)*SIGN(S18-S15),0)</f>
        <v/>
      </c>
      <c r="AF18">
        <f>IF(AND(ISNUMBER(S18),ISNUMBER(S16)),VLOOKUP(ABS(S18-S16),'IMP Table'!$A$2:$C$26,3)*SIGN(S18-S16),0)</f>
        <v/>
      </c>
      <c r="AG18">
        <f>IF(AND(ISNUMBER(S18),ISNUMBER(S17)),VLOOKUP(ABS(S18-S17),'IMP Table'!$A$2:$C$26,3)*SIGN(S18-S17),0)</f>
        <v/>
      </c>
      <c r="AH18">
        <f>IF(AND(ISNUMBER(S18),ISNUMBER(S19)),VLOOKUP(ABS(S18-S19),'IMP Table'!$A$2:$C$26,3)*SIGN(S18-S19),0)</f>
        <v/>
      </c>
      <c r="AI18">
        <f>IF(AND(ISNUMBER(S18),ISNUMBER(S20)),VLOOKUP(ABS(S18-S20),'IMP Table'!$A$2:$C$26,3)*SIGN(S18-S20),0)</f>
        <v/>
      </c>
      <c r="AJ18">
        <f>IF(AND(ISNUMBER(T18),ISNUMBER(T15)),VLOOKUP(ABS(T18-T15),'IMP Table'!$A$2:$C$26,3)*SIGN(T18-T15),0)</f>
        <v/>
      </c>
      <c r="AK18">
        <f>IF(AND(ISNUMBER(T18),ISNUMBER(T16)),VLOOKUP(ABS(T18-T16),'IMP Table'!$A$2:$C$26,3)*SIGN(T18-T16),0)</f>
        <v/>
      </c>
      <c r="AL18">
        <f>IF(AND(ISNUMBER(T18),ISNUMBER(T17)),VLOOKUP(ABS(T18-T17),'IMP Table'!$A$2:$C$26,3)*SIGN(T18-T17),0)</f>
        <v/>
      </c>
      <c r="AM18">
        <f>IF(AND(ISNUMBER(T18),ISNUMBER(T19)),VLOOKUP(ABS(T18-T19),'IMP Table'!$A$2:$C$26,3)*SIGN(T18-T19),0)</f>
        <v/>
      </c>
      <c r="AN18">
        <f>IF(AND(ISNUMBER(T18),ISNUMBER(T20)),VLOOKUP(ABS(T18-T20),'IMP Table'!$A$2:$C$26,3)*SIGN(T18-T20),0)</f>
        <v/>
      </c>
    </row>
    <row r="19">
      <c r="B19" s="10">
        <f>'By Round'!A63</f>
        <v/>
      </c>
      <c r="C19" s="10">
        <f>'By Round'!B69</f>
        <v/>
      </c>
      <c r="D19" s="10">
        <f>'By Round'!C69</f>
        <v/>
      </c>
      <c r="E19" s="10">
        <f>'By Round'!D69</f>
        <v/>
      </c>
      <c r="F19" s="10">
        <f>IF(ISBLANK('By Round'!F69),"",'By Round'!F69)</f>
        <v/>
      </c>
      <c r="G19">
        <f>IF(ISBLANK('By Round'!G69),"",'By Round'!G69)</f>
        <v/>
      </c>
      <c r="H19">
        <f>IF(ISBLANK('By Round'!H69),"",'By Round'!H69)</f>
        <v/>
      </c>
      <c r="I19">
        <f>IF(ISBLANK('By Round'!I69),"",'By Round'!I69)</f>
        <v/>
      </c>
      <c r="J19">
        <f>IF(ISBLANK('By Round'!J69),"",'By Round'!J69)</f>
        <v/>
      </c>
      <c r="K19">
        <f>IF(ISBLANK('By Round'!K69),"",'By Round'!K69)</f>
        <v/>
      </c>
      <c r="L19">
        <f>IF(ISBLANK('By Round'!L69),"",'By Round'!L69)</f>
        <v/>
      </c>
      <c r="M19" s="11">
        <f>AVERAGE(AE19:AI19)</f>
        <v/>
      </c>
      <c r="N19" s="12">
        <f>AVERAGE(AJ19:AN19)</f>
        <v/>
      </c>
      <c r="O19" s="13">
        <f>IF(COUNT(U19:Y19)&gt;0,Q19/COUNT(U19:Y19),0.5)</f>
        <v/>
      </c>
      <c r="P19" s="13">
        <f>IF(COUNT(Z19:AD19)&gt;0,R19/COUNT(Z19:AD19),0.5)</f>
        <v/>
      </c>
      <c r="Q19" s="5">
        <f>SUM(U19:Y19)</f>
        <v/>
      </c>
      <c r="R19" s="5">
        <f>SUM(Z19:AD19)</f>
        <v/>
      </c>
      <c r="S19" s="14">
        <f>IF(ISNUMBER(K19),K19,IF(ISNUMBER(L19),-L19,""))</f>
        <v/>
      </c>
      <c r="T19">
        <f>IF(ISNUMBER(L19),L19,IF(ISNUMBER(K19),-K19,""))</f>
        <v/>
      </c>
      <c r="U19" s="14">
        <f>IF(ISNUMBER(S19),IF(ISNUMBER(S15),IF(S19&gt;S15,1.0,IF(S19=S15,0.5,0.0)),""),"")</f>
        <v/>
      </c>
      <c r="V19">
        <f>IF(ISNUMBER(S19),IF(ISNUMBER(S16),IF(S19&gt;S16,1.0,IF(S19=S16,0.5,0.0)),""),"")</f>
        <v/>
      </c>
      <c r="W19">
        <f>IF(ISNUMBER(S19),IF(ISNUMBER(S17),IF(S19&gt;S17,1.0,IF(S19=S17,0.5,0.0)),""),"")</f>
        <v/>
      </c>
      <c r="X19">
        <f>IF(ISNUMBER(S19),IF(ISNUMBER(S18),IF(S19&gt;S18,1.0,IF(S19=S18,0.5,0.0)),""),"")</f>
        <v/>
      </c>
      <c r="Y19">
        <f>IF(ISNUMBER(S19),IF(ISNUMBER(S20),IF(S19&gt;S20,1.0,IF(S19=S20,0.5,0.0)),""),"")</f>
        <v/>
      </c>
      <c r="Z19">
        <f>IF(ISNUMBER(T19),IF(ISNUMBER(T15),IF(T19&gt;T15,1.0,IF(T19=T15,0.5,0.0)),""),"")</f>
        <v/>
      </c>
      <c r="AA19">
        <f>IF(ISNUMBER(T19),IF(ISNUMBER(T16),IF(T19&gt;T16,1.0,IF(T19=T16,0.5,0.0)),""),"")</f>
        <v/>
      </c>
      <c r="AB19">
        <f>IF(ISNUMBER(T19),IF(ISNUMBER(T17),IF(T19&gt;T17,1.0,IF(T19=T17,0.5,0.0)),""),"")</f>
        <v/>
      </c>
      <c r="AC19">
        <f>IF(ISNUMBER(T19),IF(ISNUMBER(T18),IF(T19&gt;T18,1.0,IF(T19=T18,0.5,0.0)),""),"")</f>
        <v/>
      </c>
      <c r="AD19">
        <f>IF(ISNUMBER(T19),IF(ISNUMBER(T20),IF(T19&gt;T20,1.0,IF(T19=T20,0.5,0.0)),""),"")</f>
        <v/>
      </c>
      <c r="AE19" s="14">
        <f>IF(AND(ISNUMBER(S19),ISNUMBER(S15)),VLOOKUP(ABS(S19-S15),'IMP Table'!$A$2:$C$26,3)*SIGN(S19-S15),0)</f>
        <v/>
      </c>
      <c r="AF19">
        <f>IF(AND(ISNUMBER(S19),ISNUMBER(S16)),VLOOKUP(ABS(S19-S16),'IMP Table'!$A$2:$C$26,3)*SIGN(S19-S16),0)</f>
        <v/>
      </c>
      <c r="AG19">
        <f>IF(AND(ISNUMBER(S19),ISNUMBER(S17)),VLOOKUP(ABS(S19-S17),'IMP Table'!$A$2:$C$26,3)*SIGN(S19-S17),0)</f>
        <v/>
      </c>
      <c r="AH19">
        <f>IF(AND(ISNUMBER(S19),ISNUMBER(S18)),VLOOKUP(ABS(S19-S18),'IMP Table'!$A$2:$C$26,3)*SIGN(S19-S18),0)</f>
        <v/>
      </c>
      <c r="AI19">
        <f>IF(AND(ISNUMBER(S19),ISNUMBER(S20)),VLOOKUP(ABS(S19-S20),'IMP Table'!$A$2:$C$26,3)*SIGN(S19-S20),0)</f>
        <v/>
      </c>
      <c r="AJ19">
        <f>IF(AND(ISNUMBER(T19),ISNUMBER(T15)),VLOOKUP(ABS(T19-T15),'IMP Table'!$A$2:$C$26,3)*SIGN(T19-T15),0)</f>
        <v/>
      </c>
      <c r="AK19">
        <f>IF(AND(ISNUMBER(T19),ISNUMBER(T16)),VLOOKUP(ABS(T19-T16),'IMP Table'!$A$2:$C$26,3)*SIGN(T19-T16),0)</f>
        <v/>
      </c>
      <c r="AL19">
        <f>IF(AND(ISNUMBER(T19),ISNUMBER(T17)),VLOOKUP(ABS(T19-T17),'IMP Table'!$A$2:$C$26,3)*SIGN(T19-T17),0)</f>
        <v/>
      </c>
      <c r="AM19">
        <f>IF(AND(ISNUMBER(T19),ISNUMBER(T18)),VLOOKUP(ABS(T19-T18),'IMP Table'!$A$2:$C$26,3)*SIGN(T19-T18),0)</f>
        <v/>
      </c>
      <c r="AN19">
        <f>IF(AND(ISNUMBER(T19),ISNUMBER(T20)),VLOOKUP(ABS(T19-T20),'IMP Table'!$A$2:$C$26,3)*SIGN(T19-T20),0)</f>
        <v/>
      </c>
    </row>
    <row r="20">
      <c r="A20" s="15" t="n"/>
      <c r="B20" s="16">
        <f>'By Round'!A99</f>
        <v/>
      </c>
      <c r="C20" s="16">
        <f>'By Round'!B101</f>
        <v/>
      </c>
      <c r="D20" s="16">
        <f>'By Round'!C101</f>
        <v/>
      </c>
      <c r="E20" s="16">
        <f>'By Round'!D101</f>
        <v/>
      </c>
      <c r="F20" s="16">
        <f>IF(ISBLANK('By Round'!F101),"",'By Round'!F101)</f>
        <v/>
      </c>
      <c r="G20" s="15">
        <f>IF(ISBLANK('By Round'!G101),"",'By Round'!G101)</f>
        <v/>
      </c>
      <c r="H20" s="15">
        <f>IF(ISBLANK('By Round'!H101),"",'By Round'!H101)</f>
        <v/>
      </c>
      <c r="I20" s="15">
        <f>IF(ISBLANK('By Round'!I101),"",'By Round'!I101)</f>
        <v/>
      </c>
      <c r="J20" s="15">
        <f>IF(ISBLANK('By Round'!J101),"",'By Round'!J101)</f>
        <v/>
      </c>
      <c r="K20" s="15">
        <f>IF(ISBLANK('By Round'!K101),"",'By Round'!K101)</f>
        <v/>
      </c>
      <c r="L20" s="15">
        <f>IF(ISBLANK('By Round'!L101),"",'By Round'!L101)</f>
        <v/>
      </c>
      <c r="M20" s="17">
        <f>AVERAGE(AE20:AI20)</f>
        <v/>
      </c>
      <c r="N20" s="18">
        <f>AVERAGE(AJ20:AN20)</f>
        <v/>
      </c>
      <c r="O20" s="19">
        <f>IF(COUNT(U20:Y20)&gt;0,Q20/COUNT(U20:Y20),0.5)</f>
        <v/>
      </c>
      <c r="P20" s="19">
        <f>IF(COUNT(Z20:AD20)&gt;0,R20/COUNT(Z20:AD20),0.5)</f>
        <v/>
      </c>
      <c r="Q20" s="20">
        <f>SUM(U20:Y20)</f>
        <v/>
      </c>
      <c r="R20" s="20">
        <f>SUM(Z20:AD20)</f>
        <v/>
      </c>
      <c r="S20" s="21">
        <f>IF(ISNUMBER(K20),K20,IF(ISNUMBER(L20),-L20,""))</f>
        <v/>
      </c>
      <c r="T20" s="15">
        <f>IF(ISNUMBER(L20),L20,IF(ISNUMBER(K20),-K20,""))</f>
        <v/>
      </c>
      <c r="U20" s="21">
        <f>IF(ISNUMBER(S20),IF(ISNUMBER(S15),IF(S20&gt;S15,1.0,IF(S20=S15,0.5,0.0)),""),"")</f>
        <v/>
      </c>
      <c r="V20" s="15">
        <f>IF(ISNUMBER(S20),IF(ISNUMBER(S16),IF(S20&gt;S16,1.0,IF(S20=S16,0.5,0.0)),""),"")</f>
        <v/>
      </c>
      <c r="W20" s="15">
        <f>IF(ISNUMBER(S20),IF(ISNUMBER(S17),IF(S20&gt;S17,1.0,IF(S20=S17,0.5,0.0)),""),"")</f>
        <v/>
      </c>
      <c r="X20" s="15">
        <f>IF(ISNUMBER(S20),IF(ISNUMBER(S18),IF(S20&gt;S18,1.0,IF(S20=S18,0.5,0.0)),""),"")</f>
        <v/>
      </c>
      <c r="Y20" s="15">
        <f>IF(ISNUMBER(S20),IF(ISNUMBER(S19),IF(S20&gt;S19,1.0,IF(S20=S19,0.5,0.0)),""),"")</f>
        <v/>
      </c>
      <c r="Z20" s="15">
        <f>IF(ISNUMBER(T20),IF(ISNUMBER(T15),IF(T20&gt;T15,1.0,IF(T20=T15,0.5,0.0)),""),"")</f>
        <v/>
      </c>
      <c r="AA20" s="15">
        <f>IF(ISNUMBER(T20),IF(ISNUMBER(T16),IF(T20&gt;T16,1.0,IF(T20=T16,0.5,0.0)),""),"")</f>
        <v/>
      </c>
      <c r="AB20" s="15">
        <f>IF(ISNUMBER(T20),IF(ISNUMBER(T17),IF(T20&gt;T17,1.0,IF(T20=T17,0.5,0.0)),""),"")</f>
        <v/>
      </c>
      <c r="AC20" s="15">
        <f>IF(ISNUMBER(T20),IF(ISNUMBER(T18),IF(T20&gt;T18,1.0,IF(T20=T18,0.5,0.0)),""),"")</f>
        <v/>
      </c>
      <c r="AD20" s="15">
        <f>IF(ISNUMBER(T20),IF(ISNUMBER(T19),IF(T20&gt;T19,1.0,IF(T20=T19,0.5,0.0)),""),"")</f>
        <v/>
      </c>
      <c r="AE20" s="21">
        <f>IF(AND(ISNUMBER(S20),ISNUMBER(S15)),VLOOKUP(ABS(S20-S15),'IMP Table'!$A$2:$C$26,3)*SIGN(S20-S15),0)</f>
        <v/>
      </c>
      <c r="AF20" s="15">
        <f>IF(AND(ISNUMBER(S20),ISNUMBER(S16)),VLOOKUP(ABS(S20-S16),'IMP Table'!$A$2:$C$26,3)*SIGN(S20-S16),0)</f>
        <v/>
      </c>
      <c r="AG20" s="15">
        <f>IF(AND(ISNUMBER(S20),ISNUMBER(S17)),VLOOKUP(ABS(S20-S17),'IMP Table'!$A$2:$C$26,3)*SIGN(S20-S17),0)</f>
        <v/>
      </c>
      <c r="AH20" s="15">
        <f>IF(AND(ISNUMBER(S20),ISNUMBER(S18)),VLOOKUP(ABS(S20-S18),'IMP Table'!$A$2:$C$26,3)*SIGN(S20-S18),0)</f>
        <v/>
      </c>
      <c r="AI20" s="15">
        <f>IF(AND(ISNUMBER(S20),ISNUMBER(S19)),VLOOKUP(ABS(S20-S19),'IMP Table'!$A$2:$C$26,3)*SIGN(S20-S19),0)</f>
        <v/>
      </c>
      <c r="AJ20" s="15">
        <f>IF(AND(ISNUMBER(T20),ISNUMBER(T15)),VLOOKUP(ABS(T20-T15),'IMP Table'!$A$2:$C$26,3)*SIGN(T20-T15),0)</f>
        <v/>
      </c>
      <c r="AK20" s="15">
        <f>IF(AND(ISNUMBER(T20),ISNUMBER(T16)),VLOOKUP(ABS(T20-T16),'IMP Table'!$A$2:$C$26,3)*SIGN(T20-T16),0)</f>
        <v/>
      </c>
      <c r="AL20" s="15">
        <f>IF(AND(ISNUMBER(T20),ISNUMBER(T17)),VLOOKUP(ABS(T20-T17),'IMP Table'!$A$2:$C$26,3)*SIGN(T20-T17),0)</f>
        <v/>
      </c>
      <c r="AM20" s="15">
        <f>IF(AND(ISNUMBER(T20),ISNUMBER(T18)),VLOOKUP(ABS(T20-T18),'IMP Table'!$A$2:$C$26,3)*SIGN(T20-T18),0)</f>
        <v/>
      </c>
      <c r="AN20" s="15">
        <f>IF(AND(ISNUMBER(T20),ISNUMBER(T19)),VLOOKUP(ABS(T20-T19),'IMP Table'!$A$2:$C$26,3)*SIGN(T20-T19),0)</f>
        <v/>
      </c>
    </row>
    <row r="21">
      <c r="A21" s="10" t="n">
        <v>4</v>
      </c>
      <c r="B21" s="10">
        <f>'By Round'!A15</f>
        <v/>
      </c>
      <c r="C21" s="10">
        <f>'By Round'!B15</f>
        <v/>
      </c>
      <c r="D21" s="10">
        <f>'By Round'!C15</f>
        <v/>
      </c>
      <c r="E21" s="10">
        <f>'By Round'!D15</f>
        <v/>
      </c>
      <c r="F21" s="10">
        <f>IF(ISBLANK('By Round'!F16),"",'By Round'!F16)</f>
        <v/>
      </c>
      <c r="G21">
        <f>IF(ISBLANK('By Round'!G16),"",'By Round'!G16)</f>
        <v/>
      </c>
      <c r="H21">
        <f>IF(ISBLANK('By Round'!H16),"",'By Round'!H16)</f>
        <v/>
      </c>
      <c r="I21">
        <f>IF(ISBLANK('By Round'!I16),"",'By Round'!I16)</f>
        <v/>
      </c>
      <c r="J21">
        <f>IF(ISBLANK('By Round'!J16),"",'By Round'!J16)</f>
        <v/>
      </c>
      <c r="K21">
        <f>IF(ISBLANK('By Round'!K16),"",'By Round'!K16)</f>
        <v/>
      </c>
      <c r="L21">
        <f>IF(ISBLANK('By Round'!L16),"",'By Round'!L16)</f>
        <v/>
      </c>
      <c r="M21" s="11">
        <f>AVERAGE(AE21:AI21)</f>
        <v/>
      </c>
      <c r="N21" s="12">
        <f>AVERAGE(AJ21:AN21)</f>
        <v/>
      </c>
      <c r="O21" s="13">
        <f>IF(COUNT(U21:Y21)&gt;0,Q21/COUNT(U21:Y21),0.5)</f>
        <v/>
      </c>
      <c r="P21" s="13">
        <f>IF(COUNT(Z21:AD21)&gt;0,R21/COUNT(Z21:AD21),0.5)</f>
        <v/>
      </c>
      <c r="Q21" s="5">
        <f>SUM(U21:Y21)</f>
        <v/>
      </c>
      <c r="R21" s="5">
        <f>SUM(Z21:AD21)</f>
        <v/>
      </c>
      <c r="S21" s="14">
        <f>IF(ISNUMBER(K21),K21,IF(ISNUMBER(L21),-L21,""))</f>
        <v/>
      </c>
      <c r="T21">
        <f>IF(ISNUMBER(L21),L21,IF(ISNUMBER(K21),-K21,""))</f>
        <v/>
      </c>
      <c r="U21" s="14">
        <f>IF(ISNUMBER(S21),IF(ISNUMBER(S22),IF(S21&gt;S22,1.0,IF(S21=S22,0.5,0.0)),""),"")</f>
        <v/>
      </c>
      <c r="V21">
        <f>IF(ISNUMBER(S21),IF(ISNUMBER(S23),IF(S21&gt;S23,1.0,IF(S21=S23,0.5,0.0)),""),"")</f>
        <v/>
      </c>
      <c r="W21">
        <f>IF(ISNUMBER(S21),IF(ISNUMBER(S24),IF(S21&gt;S24,1.0,IF(S21=S24,0.5,0.0)),""),"")</f>
        <v/>
      </c>
      <c r="X21">
        <f>IF(ISNUMBER(S21),IF(ISNUMBER(S25),IF(S21&gt;S25,1.0,IF(S21=S25,0.5,0.0)),""),"")</f>
        <v/>
      </c>
      <c r="Y21">
        <f>IF(ISNUMBER(S21),IF(ISNUMBER(S26),IF(S21&gt;S26,1.0,IF(S21=S26,0.5,0.0)),""),"")</f>
        <v/>
      </c>
      <c r="Z21">
        <f>IF(ISNUMBER(T21),IF(ISNUMBER(T22),IF(T21&gt;T22,1.0,IF(T21=T22,0.5,0.0)),""),"")</f>
        <v/>
      </c>
      <c r="AA21">
        <f>IF(ISNUMBER(T21),IF(ISNUMBER(T23),IF(T21&gt;T23,1.0,IF(T21=T23,0.5,0.0)),""),"")</f>
        <v/>
      </c>
      <c r="AB21">
        <f>IF(ISNUMBER(T21),IF(ISNUMBER(T24),IF(T21&gt;T24,1.0,IF(T21=T24,0.5,0.0)),""),"")</f>
        <v/>
      </c>
      <c r="AC21">
        <f>IF(ISNUMBER(T21),IF(ISNUMBER(T25),IF(T21&gt;T25,1.0,IF(T21=T25,0.5,0.0)),""),"")</f>
        <v/>
      </c>
      <c r="AD21">
        <f>IF(ISNUMBER(T21),IF(ISNUMBER(T26),IF(T21&gt;T26,1.0,IF(T21=T26,0.5,0.0)),""),"")</f>
        <v/>
      </c>
      <c r="AE21" s="14">
        <f>IF(AND(ISNUMBER(S21),ISNUMBER(S22)),VLOOKUP(ABS(S21-S22),'IMP Table'!$A$2:$C$26,3)*SIGN(S21-S22),0)</f>
        <v/>
      </c>
      <c r="AF21">
        <f>IF(AND(ISNUMBER(S21),ISNUMBER(S23)),VLOOKUP(ABS(S21-S23),'IMP Table'!$A$2:$C$26,3)*SIGN(S21-S23),0)</f>
        <v/>
      </c>
      <c r="AG21">
        <f>IF(AND(ISNUMBER(S21),ISNUMBER(S24)),VLOOKUP(ABS(S21-S24),'IMP Table'!$A$2:$C$26,3)*SIGN(S21-S24),0)</f>
        <v/>
      </c>
      <c r="AH21">
        <f>IF(AND(ISNUMBER(S21),ISNUMBER(S25)),VLOOKUP(ABS(S21-S25),'IMP Table'!$A$2:$C$26,3)*SIGN(S21-S25),0)</f>
        <v/>
      </c>
      <c r="AI21">
        <f>IF(AND(ISNUMBER(S21),ISNUMBER(S26)),VLOOKUP(ABS(S21-S26),'IMP Table'!$A$2:$C$26,3)*SIGN(S21-S26),0)</f>
        <v/>
      </c>
      <c r="AJ21">
        <f>IF(AND(ISNUMBER(T21),ISNUMBER(T22)),VLOOKUP(ABS(T21-T22),'IMP Table'!$A$2:$C$26,3)*SIGN(T21-T22),0)</f>
        <v/>
      </c>
      <c r="AK21">
        <f>IF(AND(ISNUMBER(T21),ISNUMBER(T23)),VLOOKUP(ABS(T21-T23),'IMP Table'!$A$2:$C$26,3)*SIGN(T21-T23),0)</f>
        <v/>
      </c>
      <c r="AL21">
        <f>IF(AND(ISNUMBER(T21),ISNUMBER(T24)),VLOOKUP(ABS(T21-T24),'IMP Table'!$A$2:$C$26,3)*SIGN(T21-T24),0)</f>
        <v/>
      </c>
      <c r="AM21">
        <f>IF(AND(ISNUMBER(T21),ISNUMBER(T25)),VLOOKUP(ABS(T21-T25),'IMP Table'!$A$2:$C$26,3)*SIGN(T21-T25),0)</f>
        <v/>
      </c>
      <c r="AN21">
        <f>IF(AND(ISNUMBER(T21),ISNUMBER(T26)),VLOOKUP(ABS(T21-T26),'IMP Table'!$A$2:$C$26,3)*SIGN(T21-T26),0)</f>
        <v/>
      </c>
    </row>
    <row r="22">
      <c r="B22" s="10">
        <f>'By Round'!A39</f>
        <v/>
      </c>
      <c r="C22" s="10">
        <f>'By Round'!B49</f>
        <v/>
      </c>
      <c r="D22" s="10">
        <f>'By Round'!C49</f>
        <v/>
      </c>
      <c r="E22" s="10">
        <f>'By Round'!D49</f>
        <v/>
      </c>
      <c r="F22" s="10">
        <f>IF(ISBLANK('By Round'!F50),"",'By Round'!F50)</f>
        <v/>
      </c>
      <c r="G22">
        <f>IF(ISBLANK('By Round'!G50),"",'By Round'!G50)</f>
        <v/>
      </c>
      <c r="H22">
        <f>IF(ISBLANK('By Round'!H50),"",'By Round'!H50)</f>
        <v/>
      </c>
      <c r="I22">
        <f>IF(ISBLANK('By Round'!I50),"",'By Round'!I50)</f>
        <v/>
      </c>
      <c r="J22">
        <f>IF(ISBLANK('By Round'!J50),"",'By Round'!J50)</f>
        <v/>
      </c>
      <c r="K22">
        <f>IF(ISBLANK('By Round'!K50),"",'By Round'!K50)</f>
        <v/>
      </c>
      <c r="L22">
        <f>IF(ISBLANK('By Round'!L50),"",'By Round'!L50)</f>
        <v/>
      </c>
      <c r="M22" s="11">
        <f>AVERAGE(AE22:AI22)</f>
        <v/>
      </c>
      <c r="N22" s="12">
        <f>AVERAGE(AJ22:AN22)</f>
        <v/>
      </c>
      <c r="O22" s="13">
        <f>IF(COUNT(U22:Y22)&gt;0,Q22/COUNT(U22:Y22),0.5)</f>
        <v/>
      </c>
      <c r="P22" s="13">
        <f>IF(COUNT(Z22:AD22)&gt;0,R22/COUNT(Z22:AD22),0.5)</f>
        <v/>
      </c>
      <c r="Q22" s="5">
        <f>SUM(U22:Y22)</f>
        <v/>
      </c>
      <c r="R22" s="5">
        <f>SUM(Z22:AD22)</f>
        <v/>
      </c>
      <c r="S22" s="14">
        <f>IF(ISNUMBER(K22),K22,IF(ISNUMBER(L22),-L22,""))</f>
        <v/>
      </c>
      <c r="T22">
        <f>IF(ISNUMBER(L22),L22,IF(ISNUMBER(K22),-K22,""))</f>
        <v/>
      </c>
      <c r="U22" s="14">
        <f>IF(ISNUMBER(S22),IF(ISNUMBER(S21),IF(S22&gt;S21,1.0,IF(S22=S21,0.5,0.0)),""),"")</f>
        <v/>
      </c>
      <c r="V22">
        <f>IF(ISNUMBER(S22),IF(ISNUMBER(S23),IF(S22&gt;S23,1.0,IF(S22=S23,0.5,0.0)),""),"")</f>
        <v/>
      </c>
      <c r="W22">
        <f>IF(ISNUMBER(S22),IF(ISNUMBER(S24),IF(S22&gt;S24,1.0,IF(S22=S24,0.5,0.0)),""),"")</f>
        <v/>
      </c>
      <c r="X22">
        <f>IF(ISNUMBER(S22),IF(ISNUMBER(S25),IF(S22&gt;S25,1.0,IF(S22=S25,0.5,0.0)),""),"")</f>
        <v/>
      </c>
      <c r="Y22">
        <f>IF(ISNUMBER(S22),IF(ISNUMBER(S26),IF(S22&gt;S26,1.0,IF(S22=S26,0.5,0.0)),""),"")</f>
        <v/>
      </c>
      <c r="Z22">
        <f>IF(ISNUMBER(T22),IF(ISNUMBER(T21),IF(T22&gt;T21,1.0,IF(T22=T21,0.5,0.0)),""),"")</f>
        <v/>
      </c>
      <c r="AA22">
        <f>IF(ISNUMBER(T22),IF(ISNUMBER(T23),IF(T22&gt;T23,1.0,IF(T22=T23,0.5,0.0)),""),"")</f>
        <v/>
      </c>
      <c r="AB22">
        <f>IF(ISNUMBER(T22),IF(ISNUMBER(T24),IF(T22&gt;T24,1.0,IF(T22=T24,0.5,0.0)),""),"")</f>
        <v/>
      </c>
      <c r="AC22">
        <f>IF(ISNUMBER(T22),IF(ISNUMBER(T25),IF(T22&gt;T25,1.0,IF(T22=T25,0.5,0.0)),""),"")</f>
        <v/>
      </c>
      <c r="AD22">
        <f>IF(ISNUMBER(T22),IF(ISNUMBER(T26),IF(T22&gt;T26,1.0,IF(T22=T26,0.5,0.0)),""),"")</f>
        <v/>
      </c>
      <c r="AE22" s="14">
        <f>IF(AND(ISNUMBER(S22),ISNUMBER(S21)),VLOOKUP(ABS(S22-S21),'IMP Table'!$A$2:$C$26,3)*SIGN(S22-S21),0)</f>
        <v/>
      </c>
      <c r="AF22">
        <f>IF(AND(ISNUMBER(S22),ISNUMBER(S23)),VLOOKUP(ABS(S22-S23),'IMP Table'!$A$2:$C$26,3)*SIGN(S22-S23),0)</f>
        <v/>
      </c>
      <c r="AG22">
        <f>IF(AND(ISNUMBER(S22),ISNUMBER(S24)),VLOOKUP(ABS(S22-S24),'IMP Table'!$A$2:$C$26,3)*SIGN(S22-S24),0)</f>
        <v/>
      </c>
      <c r="AH22">
        <f>IF(AND(ISNUMBER(S22),ISNUMBER(S25)),VLOOKUP(ABS(S22-S25),'IMP Table'!$A$2:$C$26,3)*SIGN(S22-S25),0)</f>
        <v/>
      </c>
      <c r="AI22">
        <f>IF(AND(ISNUMBER(S22),ISNUMBER(S26)),VLOOKUP(ABS(S22-S26),'IMP Table'!$A$2:$C$26,3)*SIGN(S22-S26),0)</f>
        <v/>
      </c>
      <c r="AJ22">
        <f>IF(AND(ISNUMBER(T22),ISNUMBER(T21)),VLOOKUP(ABS(T22-T21),'IMP Table'!$A$2:$C$26,3)*SIGN(T22-T21),0)</f>
        <v/>
      </c>
      <c r="AK22">
        <f>IF(AND(ISNUMBER(T22),ISNUMBER(T23)),VLOOKUP(ABS(T22-T23),'IMP Table'!$A$2:$C$26,3)*SIGN(T22-T23),0)</f>
        <v/>
      </c>
      <c r="AL22">
        <f>IF(AND(ISNUMBER(T22),ISNUMBER(T24)),VLOOKUP(ABS(T22-T24),'IMP Table'!$A$2:$C$26,3)*SIGN(T22-T24),0)</f>
        <v/>
      </c>
      <c r="AM22">
        <f>IF(AND(ISNUMBER(T22),ISNUMBER(T25)),VLOOKUP(ABS(T22-T25),'IMP Table'!$A$2:$C$26,3)*SIGN(T22-T25),0)</f>
        <v/>
      </c>
      <c r="AN22">
        <f>IF(AND(ISNUMBER(T22),ISNUMBER(T26)),VLOOKUP(ABS(T22-T26),'IMP Table'!$A$2:$C$26,3)*SIGN(T22-T26),0)</f>
        <v/>
      </c>
    </row>
    <row r="23">
      <c r="B23" s="10">
        <f>'By Round'!A87</f>
        <v/>
      </c>
      <c r="C23" s="10">
        <f>'By Round'!B91</f>
        <v/>
      </c>
      <c r="D23" s="10">
        <f>'By Round'!C91</f>
        <v/>
      </c>
      <c r="E23" s="10">
        <f>'By Round'!D91</f>
        <v/>
      </c>
      <c r="F23" s="10">
        <f>IF(ISBLANK('By Round'!F92),"",'By Round'!F92)</f>
        <v/>
      </c>
      <c r="G23">
        <f>IF(ISBLANK('By Round'!G92),"",'By Round'!G92)</f>
        <v/>
      </c>
      <c r="H23">
        <f>IF(ISBLANK('By Round'!H92),"",'By Round'!H92)</f>
        <v/>
      </c>
      <c r="I23">
        <f>IF(ISBLANK('By Round'!I92),"",'By Round'!I92)</f>
        <v/>
      </c>
      <c r="J23">
        <f>IF(ISBLANK('By Round'!J92),"",'By Round'!J92)</f>
        <v/>
      </c>
      <c r="K23">
        <f>IF(ISBLANK('By Round'!K92),"",'By Round'!K92)</f>
        <v/>
      </c>
      <c r="L23">
        <f>IF(ISBLANK('By Round'!L92),"",'By Round'!L92)</f>
        <v/>
      </c>
      <c r="M23" s="11">
        <f>AVERAGE(AE23:AI23)</f>
        <v/>
      </c>
      <c r="N23" s="12">
        <f>AVERAGE(AJ23:AN23)</f>
        <v/>
      </c>
      <c r="O23" s="13">
        <f>IF(COUNT(U23:Y23)&gt;0,Q23/COUNT(U23:Y23),0.5)</f>
        <v/>
      </c>
      <c r="P23" s="13">
        <f>IF(COUNT(Z23:AD23)&gt;0,R23/COUNT(Z23:AD23),0.5)</f>
        <v/>
      </c>
      <c r="Q23" s="5">
        <f>SUM(U23:Y23)</f>
        <v/>
      </c>
      <c r="R23" s="5">
        <f>SUM(Z23:AD23)</f>
        <v/>
      </c>
      <c r="S23" s="14">
        <f>IF(ISNUMBER(K23),K23,IF(ISNUMBER(L23),-L23,""))</f>
        <v/>
      </c>
      <c r="T23">
        <f>IF(ISNUMBER(L23),L23,IF(ISNUMBER(K23),-K23,""))</f>
        <v/>
      </c>
      <c r="U23" s="14">
        <f>IF(ISNUMBER(S23),IF(ISNUMBER(S21),IF(S23&gt;S21,1.0,IF(S23=S21,0.5,0.0)),""),"")</f>
        <v/>
      </c>
      <c r="V23">
        <f>IF(ISNUMBER(S23),IF(ISNUMBER(S22),IF(S23&gt;S22,1.0,IF(S23=S22,0.5,0.0)),""),"")</f>
        <v/>
      </c>
      <c r="W23">
        <f>IF(ISNUMBER(S23),IF(ISNUMBER(S24),IF(S23&gt;S24,1.0,IF(S23=S24,0.5,0.0)),""),"")</f>
        <v/>
      </c>
      <c r="X23">
        <f>IF(ISNUMBER(S23),IF(ISNUMBER(S25),IF(S23&gt;S25,1.0,IF(S23=S25,0.5,0.0)),""),"")</f>
        <v/>
      </c>
      <c r="Y23">
        <f>IF(ISNUMBER(S23),IF(ISNUMBER(S26),IF(S23&gt;S26,1.0,IF(S23=S26,0.5,0.0)),""),"")</f>
        <v/>
      </c>
      <c r="Z23">
        <f>IF(ISNUMBER(T23),IF(ISNUMBER(T21),IF(T23&gt;T21,1.0,IF(T23=T21,0.5,0.0)),""),"")</f>
        <v/>
      </c>
      <c r="AA23">
        <f>IF(ISNUMBER(T23),IF(ISNUMBER(T22),IF(T23&gt;T22,1.0,IF(T23=T22,0.5,0.0)),""),"")</f>
        <v/>
      </c>
      <c r="AB23">
        <f>IF(ISNUMBER(T23),IF(ISNUMBER(T24),IF(T23&gt;T24,1.0,IF(T23=T24,0.5,0.0)),""),"")</f>
        <v/>
      </c>
      <c r="AC23">
        <f>IF(ISNUMBER(T23),IF(ISNUMBER(T25),IF(T23&gt;T25,1.0,IF(T23=T25,0.5,0.0)),""),"")</f>
        <v/>
      </c>
      <c r="AD23">
        <f>IF(ISNUMBER(T23),IF(ISNUMBER(T26),IF(T23&gt;T26,1.0,IF(T23=T26,0.5,0.0)),""),"")</f>
        <v/>
      </c>
      <c r="AE23" s="14">
        <f>IF(AND(ISNUMBER(S23),ISNUMBER(S21)),VLOOKUP(ABS(S23-S21),'IMP Table'!$A$2:$C$26,3)*SIGN(S23-S21),0)</f>
        <v/>
      </c>
      <c r="AF23">
        <f>IF(AND(ISNUMBER(S23),ISNUMBER(S22)),VLOOKUP(ABS(S23-S22),'IMP Table'!$A$2:$C$26,3)*SIGN(S23-S22),0)</f>
        <v/>
      </c>
      <c r="AG23">
        <f>IF(AND(ISNUMBER(S23),ISNUMBER(S24)),VLOOKUP(ABS(S23-S24),'IMP Table'!$A$2:$C$26,3)*SIGN(S23-S24),0)</f>
        <v/>
      </c>
      <c r="AH23">
        <f>IF(AND(ISNUMBER(S23),ISNUMBER(S25)),VLOOKUP(ABS(S23-S25),'IMP Table'!$A$2:$C$26,3)*SIGN(S23-S25),0)</f>
        <v/>
      </c>
      <c r="AI23">
        <f>IF(AND(ISNUMBER(S23),ISNUMBER(S26)),VLOOKUP(ABS(S23-S26),'IMP Table'!$A$2:$C$26,3)*SIGN(S23-S26),0)</f>
        <v/>
      </c>
      <c r="AJ23">
        <f>IF(AND(ISNUMBER(T23),ISNUMBER(T21)),VLOOKUP(ABS(T23-T21),'IMP Table'!$A$2:$C$26,3)*SIGN(T23-T21),0)</f>
        <v/>
      </c>
      <c r="AK23">
        <f>IF(AND(ISNUMBER(T23),ISNUMBER(T22)),VLOOKUP(ABS(T23-T22),'IMP Table'!$A$2:$C$26,3)*SIGN(T23-T22),0)</f>
        <v/>
      </c>
      <c r="AL23">
        <f>IF(AND(ISNUMBER(T23),ISNUMBER(T24)),VLOOKUP(ABS(T23-T24),'IMP Table'!$A$2:$C$26,3)*SIGN(T23-T24),0)</f>
        <v/>
      </c>
      <c r="AM23">
        <f>IF(AND(ISNUMBER(T23),ISNUMBER(T25)),VLOOKUP(ABS(T23-T25),'IMP Table'!$A$2:$C$26,3)*SIGN(T23-T25),0)</f>
        <v/>
      </c>
      <c r="AN23">
        <f>IF(AND(ISNUMBER(T23),ISNUMBER(T26)),VLOOKUP(ABS(T23-T26),'IMP Table'!$A$2:$C$26,3)*SIGN(T23-T26),0)</f>
        <v/>
      </c>
    </row>
    <row r="24">
      <c r="B24" s="10">
        <f>'By Round'!A51</f>
        <v/>
      </c>
      <c r="C24" s="10">
        <f>'By Round'!B59</f>
        <v/>
      </c>
      <c r="D24" s="10">
        <f>'By Round'!C59</f>
        <v/>
      </c>
      <c r="E24" s="10">
        <f>'By Round'!D59</f>
        <v/>
      </c>
      <c r="F24" s="10">
        <f>IF(ISBLANK('By Round'!F60),"",'By Round'!F60)</f>
        <v/>
      </c>
      <c r="G24">
        <f>IF(ISBLANK('By Round'!G60),"",'By Round'!G60)</f>
        <v/>
      </c>
      <c r="H24">
        <f>IF(ISBLANK('By Round'!H60),"",'By Round'!H60)</f>
        <v/>
      </c>
      <c r="I24">
        <f>IF(ISBLANK('By Round'!I60),"",'By Round'!I60)</f>
        <v/>
      </c>
      <c r="J24">
        <f>IF(ISBLANK('By Round'!J60),"",'By Round'!J60)</f>
        <v/>
      </c>
      <c r="K24">
        <f>IF(ISBLANK('By Round'!K60),"",'By Round'!K60)</f>
        <v/>
      </c>
      <c r="L24">
        <f>IF(ISBLANK('By Round'!L60),"",'By Round'!L60)</f>
        <v/>
      </c>
      <c r="M24" s="11">
        <f>AVERAGE(AE24:AI24)</f>
        <v/>
      </c>
      <c r="N24" s="12">
        <f>AVERAGE(AJ24:AN24)</f>
        <v/>
      </c>
      <c r="O24" s="13">
        <f>IF(COUNT(U24:Y24)&gt;0,Q24/COUNT(U24:Y24),0.5)</f>
        <v/>
      </c>
      <c r="P24" s="13">
        <f>IF(COUNT(Z24:AD24)&gt;0,R24/COUNT(Z24:AD24),0.5)</f>
        <v/>
      </c>
      <c r="Q24" s="5">
        <f>SUM(U24:Y24)</f>
        <v/>
      </c>
      <c r="R24" s="5">
        <f>SUM(Z24:AD24)</f>
        <v/>
      </c>
      <c r="S24" s="14">
        <f>IF(ISNUMBER(K24),K24,IF(ISNUMBER(L24),-L24,""))</f>
        <v/>
      </c>
      <c r="T24">
        <f>IF(ISNUMBER(L24),L24,IF(ISNUMBER(K24),-K24,""))</f>
        <v/>
      </c>
      <c r="U24" s="14">
        <f>IF(ISNUMBER(S24),IF(ISNUMBER(S21),IF(S24&gt;S21,1.0,IF(S24=S21,0.5,0.0)),""),"")</f>
        <v/>
      </c>
      <c r="V24">
        <f>IF(ISNUMBER(S24),IF(ISNUMBER(S22),IF(S24&gt;S22,1.0,IF(S24=S22,0.5,0.0)),""),"")</f>
        <v/>
      </c>
      <c r="W24">
        <f>IF(ISNUMBER(S24),IF(ISNUMBER(S23),IF(S24&gt;S23,1.0,IF(S24=S23,0.5,0.0)),""),"")</f>
        <v/>
      </c>
      <c r="X24">
        <f>IF(ISNUMBER(S24),IF(ISNUMBER(S25),IF(S24&gt;S25,1.0,IF(S24=S25,0.5,0.0)),""),"")</f>
        <v/>
      </c>
      <c r="Y24">
        <f>IF(ISNUMBER(S24),IF(ISNUMBER(S26),IF(S24&gt;S26,1.0,IF(S24=S26,0.5,0.0)),""),"")</f>
        <v/>
      </c>
      <c r="Z24">
        <f>IF(ISNUMBER(T24),IF(ISNUMBER(T21),IF(T24&gt;T21,1.0,IF(T24=T21,0.5,0.0)),""),"")</f>
        <v/>
      </c>
      <c r="AA24">
        <f>IF(ISNUMBER(T24),IF(ISNUMBER(T22),IF(T24&gt;T22,1.0,IF(T24=T22,0.5,0.0)),""),"")</f>
        <v/>
      </c>
      <c r="AB24">
        <f>IF(ISNUMBER(T24),IF(ISNUMBER(T23),IF(T24&gt;T23,1.0,IF(T24=T23,0.5,0.0)),""),"")</f>
        <v/>
      </c>
      <c r="AC24">
        <f>IF(ISNUMBER(T24),IF(ISNUMBER(T25),IF(T24&gt;T25,1.0,IF(T24=T25,0.5,0.0)),""),"")</f>
        <v/>
      </c>
      <c r="AD24">
        <f>IF(ISNUMBER(T24),IF(ISNUMBER(T26),IF(T24&gt;T26,1.0,IF(T24=T26,0.5,0.0)),""),"")</f>
        <v/>
      </c>
      <c r="AE24" s="14">
        <f>IF(AND(ISNUMBER(S24),ISNUMBER(S21)),VLOOKUP(ABS(S24-S21),'IMP Table'!$A$2:$C$26,3)*SIGN(S24-S21),0)</f>
        <v/>
      </c>
      <c r="AF24">
        <f>IF(AND(ISNUMBER(S24),ISNUMBER(S22)),VLOOKUP(ABS(S24-S22),'IMP Table'!$A$2:$C$26,3)*SIGN(S24-S22),0)</f>
        <v/>
      </c>
      <c r="AG24">
        <f>IF(AND(ISNUMBER(S24),ISNUMBER(S23)),VLOOKUP(ABS(S24-S23),'IMP Table'!$A$2:$C$26,3)*SIGN(S24-S23),0)</f>
        <v/>
      </c>
      <c r="AH24">
        <f>IF(AND(ISNUMBER(S24),ISNUMBER(S25)),VLOOKUP(ABS(S24-S25),'IMP Table'!$A$2:$C$26,3)*SIGN(S24-S25),0)</f>
        <v/>
      </c>
      <c r="AI24">
        <f>IF(AND(ISNUMBER(S24),ISNUMBER(S26)),VLOOKUP(ABS(S24-S26),'IMP Table'!$A$2:$C$26,3)*SIGN(S24-S26),0)</f>
        <v/>
      </c>
      <c r="AJ24">
        <f>IF(AND(ISNUMBER(T24),ISNUMBER(T21)),VLOOKUP(ABS(T24-T21),'IMP Table'!$A$2:$C$26,3)*SIGN(T24-T21),0)</f>
        <v/>
      </c>
      <c r="AK24">
        <f>IF(AND(ISNUMBER(T24),ISNUMBER(T22)),VLOOKUP(ABS(T24-T22),'IMP Table'!$A$2:$C$26,3)*SIGN(T24-T22),0)</f>
        <v/>
      </c>
      <c r="AL24">
        <f>IF(AND(ISNUMBER(T24),ISNUMBER(T23)),VLOOKUP(ABS(T24-T23),'IMP Table'!$A$2:$C$26,3)*SIGN(T24-T23),0)</f>
        <v/>
      </c>
      <c r="AM24">
        <f>IF(AND(ISNUMBER(T24),ISNUMBER(T25)),VLOOKUP(ABS(T24-T25),'IMP Table'!$A$2:$C$26,3)*SIGN(T24-T25),0)</f>
        <v/>
      </c>
      <c r="AN24">
        <f>IF(AND(ISNUMBER(T24),ISNUMBER(T26)),VLOOKUP(ABS(T24-T26),'IMP Table'!$A$2:$C$26,3)*SIGN(T24-T26),0)</f>
        <v/>
      </c>
    </row>
    <row r="25">
      <c r="B25" s="10">
        <f>'By Round'!A63</f>
        <v/>
      </c>
      <c r="C25" s="10">
        <f>'By Round'!B69</f>
        <v/>
      </c>
      <c r="D25" s="10">
        <f>'By Round'!C69</f>
        <v/>
      </c>
      <c r="E25" s="10">
        <f>'By Round'!D69</f>
        <v/>
      </c>
      <c r="F25" s="10">
        <f>IF(ISBLANK('By Round'!F70),"",'By Round'!F70)</f>
        <v/>
      </c>
      <c r="G25">
        <f>IF(ISBLANK('By Round'!G70),"",'By Round'!G70)</f>
        <v/>
      </c>
      <c r="H25">
        <f>IF(ISBLANK('By Round'!H70),"",'By Round'!H70)</f>
        <v/>
      </c>
      <c r="I25">
        <f>IF(ISBLANK('By Round'!I70),"",'By Round'!I70)</f>
        <v/>
      </c>
      <c r="J25">
        <f>IF(ISBLANK('By Round'!J70),"",'By Round'!J70)</f>
        <v/>
      </c>
      <c r="K25">
        <f>IF(ISBLANK('By Round'!K70),"",'By Round'!K70)</f>
        <v/>
      </c>
      <c r="L25">
        <f>IF(ISBLANK('By Round'!L70),"",'By Round'!L70)</f>
        <v/>
      </c>
      <c r="M25" s="11">
        <f>AVERAGE(AE25:AI25)</f>
        <v/>
      </c>
      <c r="N25" s="12">
        <f>AVERAGE(AJ25:AN25)</f>
        <v/>
      </c>
      <c r="O25" s="13">
        <f>IF(COUNT(U25:Y25)&gt;0,Q25/COUNT(U25:Y25),0.5)</f>
        <v/>
      </c>
      <c r="P25" s="13">
        <f>IF(COUNT(Z25:AD25)&gt;0,R25/COUNT(Z25:AD25),0.5)</f>
        <v/>
      </c>
      <c r="Q25" s="5">
        <f>SUM(U25:Y25)</f>
        <v/>
      </c>
      <c r="R25" s="5">
        <f>SUM(Z25:AD25)</f>
        <v/>
      </c>
      <c r="S25" s="14">
        <f>IF(ISNUMBER(K25),K25,IF(ISNUMBER(L25),-L25,""))</f>
        <v/>
      </c>
      <c r="T25">
        <f>IF(ISNUMBER(L25),L25,IF(ISNUMBER(K25),-K25,""))</f>
        <v/>
      </c>
      <c r="U25" s="14">
        <f>IF(ISNUMBER(S25),IF(ISNUMBER(S21),IF(S25&gt;S21,1.0,IF(S25=S21,0.5,0.0)),""),"")</f>
        <v/>
      </c>
      <c r="V25">
        <f>IF(ISNUMBER(S25),IF(ISNUMBER(S22),IF(S25&gt;S22,1.0,IF(S25=S22,0.5,0.0)),""),"")</f>
        <v/>
      </c>
      <c r="W25">
        <f>IF(ISNUMBER(S25),IF(ISNUMBER(S23),IF(S25&gt;S23,1.0,IF(S25=S23,0.5,0.0)),""),"")</f>
        <v/>
      </c>
      <c r="X25">
        <f>IF(ISNUMBER(S25),IF(ISNUMBER(S24),IF(S25&gt;S24,1.0,IF(S25=S24,0.5,0.0)),""),"")</f>
        <v/>
      </c>
      <c r="Y25">
        <f>IF(ISNUMBER(S25),IF(ISNUMBER(S26),IF(S25&gt;S26,1.0,IF(S25=S26,0.5,0.0)),""),"")</f>
        <v/>
      </c>
      <c r="Z25">
        <f>IF(ISNUMBER(T25),IF(ISNUMBER(T21),IF(T25&gt;T21,1.0,IF(T25=T21,0.5,0.0)),""),"")</f>
        <v/>
      </c>
      <c r="AA25">
        <f>IF(ISNUMBER(T25),IF(ISNUMBER(T22),IF(T25&gt;T22,1.0,IF(T25=T22,0.5,0.0)),""),"")</f>
        <v/>
      </c>
      <c r="AB25">
        <f>IF(ISNUMBER(T25),IF(ISNUMBER(T23),IF(T25&gt;T23,1.0,IF(T25=T23,0.5,0.0)),""),"")</f>
        <v/>
      </c>
      <c r="AC25">
        <f>IF(ISNUMBER(T25),IF(ISNUMBER(T24),IF(T25&gt;T24,1.0,IF(T25=T24,0.5,0.0)),""),"")</f>
        <v/>
      </c>
      <c r="AD25">
        <f>IF(ISNUMBER(T25),IF(ISNUMBER(T26),IF(T25&gt;T26,1.0,IF(T25=T26,0.5,0.0)),""),"")</f>
        <v/>
      </c>
      <c r="AE25" s="14">
        <f>IF(AND(ISNUMBER(S25),ISNUMBER(S21)),VLOOKUP(ABS(S25-S21),'IMP Table'!$A$2:$C$26,3)*SIGN(S25-S21),0)</f>
        <v/>
      </c>
      <c r="AF25">
        <f>IF(AND(ISNUMBER(S25),ISNUMBER(S22)),VLOOKUP(ABS(S25-S22),'IMP Table'!$A$2:$C$26,3)*SIGN(S25-S22),0)</f>
        <v/>
      </c>
      <c r="AG25">
        <f>IF(AND(ISNUMBER(S25),ISNUMBER(S23)),VLOOKUP(ABS(S25-S23),'IMP Table'!$A$2:$C$26,3)*SIGN(S25-S23),0)</f>
        <v/>
      </c>
      <c r="AH25">
        <f>IF(AND(ISNUMBER(S25),ISNUMBER(S24)),VLOOKUP(ABS(S25-S24),'IMP Table'!$A$2:$C$26,3)*SIGN(S25-S24),0)</f>
        <v/>
      </c>
      <c r="AI25">
        <f>IF(AND(ISNUMBER(S25),ISNUMBER(S26)),VLOOKUP(ABS(S25-S26),'IMP Table'!$A$2:$C$26,3)*SIGN(S25-S26),0)</f>
        <v/>
      </c>
      <c r="AJ25">
        <f>IF(AND(ISNUMBER(T25),ISNUMBER(T21)),VLOOKUP(ABS(T25-T21),'IMP Table'!$A$2:$C$26,3)*SIGN(T25-T21),0)</f>
        <v/>
      </c>
      <c r="AK25">
        <f>IF(AND(ISNUMBER(T25),ISNUMBER(T22)),VLOOKUP(ABS(T25-T22),'IMP Table'!$A$2:$C$26,3)*SIGN(T25-T22),0)</f>
        <v/>
      </c>
      <c r="AL25">
        <f>IF(AND(ISNUMBER(T25),ISNUMBER(T23)),VLOOKUP(ABS(T25-T23),'IMP Table'!$A$2:$C$26,3)*SIGN(T25-T23),0)</f>
        <v/>
      </c>
      <c r="AM25">
        <f>IF(AND(ISNUMBER(T25),ISNUMBER(T24)),VLOOKUP(ABS(T25-T24),'IMP Table'!$A$2:$C$26,3)*SIGN(T25-T24),0)</f>
        <v/>
      </c>
      <c r="AN25">
        <f>IF(AND(ISNUMBER(T25),ISNUMBER(T26)),VLOOKUP(ABS(T25-T26),'IMP Table'!$A$2:$C$26,3)*SIGN(T25-T26),0)</f>
        <v/>
      </c>
    </row>
    <row r="26">
      <c r="A26" s="15" t="n"/>
      <c r="B26" s="16">
        <f>'By Round'!A99</f>
        <v/>
      </c>
      <c r="C26" s="16">
        <f>'By Round'!B101</f>
        <v/>
      </c>
      <c r="D26" s="16">
        <f>'By Round'!C101</f>
        <v/>
      </c>
      <c r="E26" s="16">
        <f>'By Round'!D101</f>
        <v/>
      </c>
      <c r="F26" s="16">
        <f>IF(ISBLANK('By Round'!F102),"",'By Round'!F102)</f>
        <v/>
      </c>
      <c r="G26" s="15">
        <f>IF(ISBLANK('By Round'!G102),"",'By Round'!G102)</f>
        <v/>
      </c>
      <c r="H26" s="15">
        <f>IF(ISBLANK('By Round'!H102),"",'By Round'!H102)</f>
        <v/>
      </c>
      <c r="I26" s="15">
        <f>IF(ISBLANK('By Round'!I102),"",'By Round'!I102)</f>
        <v/>
      </c>
      <c r="J26" s="15">
        <f>IF(ISBLANK('By Round'!J102),"",'By Round'!J102)</f>
        <v/>
      </c>
      <c r="K26" s="15">
        <f>IF(ISBLANK('By Round'!K102),"",'By Round'!K102)</f>
        <v/>
      </c>
      <c r="L26" s="15">
        <f>IF(ISBLANK('By Round'!L102),"",'By Round'!L102)</f>
        <v/>
      </c>
      <c r="M26" s="17">
        <f>AVERAGE(AE26:AI26)</f>
        <v/>
      </c>
      <c r="N26" s="18">
        <f>AVERAGE(AJ26:AN26)</f>
        <v/>
      </c>
      <c r="O26" s="19">
        <f>IF(COUNT(U26:Y26)&gt;0,Q26/COUNT(U26:Y26),0.5)</f>
        <v/>
      </c>
      <c r="P26" s="19">
        <f>IF(COUNT(Z26:AD26)&gt;0,R26/COUNT(Z26:AD26),0.5)</f>
        <v/>
      </c>
      <c r="Q26" s="20">
        <f>SUM(U26:Y26)</f>
        <v/>
      </c>
      <c r="R26" s="20">
        <f>SUM(Z26:AD26)</f>
        <v/>
      </c>
      <c r="S26" s="21">
        <f>IF(ISNUMBER(K26),K26,IF(ISNUMBER(L26),-L26,""))</f>
        <v/>
      </c>
      <c r="T26" s="15">
        <f>IF(ISNUMBER(L26),L26,IF(ISNUMBER(K26),-K26,""))</f>
        <v/>
      </c>
      <c r="U26" s="21">
        <f>IF(ISNUMBER(S26),IF(ISNUMBER(S21),IF(S26&gt;S21,1.0,IF(S26=S21,0.5,0.0)),""),"")</f>
        <v/>
      </c>
      <c r="V26" s="15">
        <f>IF(ISNUMBER(S26),IF(ISNUMBER(S22),IF(S26&gt;S22,1.0,IF(S26=S22,0.5,0.0)),""),"")</f>
        <v/>
      </c>
      <c r="W26" s="15">
        <f>IF(ISNUMBER(S26),IF(ISNUMBER(S23),IF(S26&gt;S23,1.0,IF(S26=S23,0.5,0.0)),""),"")</f>
        <v/>
      </c>
      <c r="X26" s="15">
        <f>IF(ISNUMBER(S26),IF(ISNUMBER(S24),IF(S26&gt;S24,1.0,IF(S26=S24,0.5,0.0)),""),"")</f>
        <v/>
      </c>
      <c r="Y26" s="15">
        <f>IF(ISNUMBER(S26),IF(ISNUMBER(S25),IF(S26&gt;S25,1.0,IF(S26=S25,0.5,0.0)),""),"")</f>
        <v/>
      </c>
      <c r="Z26" s="15">
        <f>IF(ISNUMBER(T26),IF(ISNUMBER(T21),IF(T26&gt;T21,1.0,IF(T26=T21,0.5,0.0)),""),"")</f>
        <v/>
      </c>
      <c r="AA26" s="15">
        <f>IF(ISNUMBER(T26),IF(ISNUMBER(T22),IF(T26&gt;T22,1.0,IF(T26=T22,0.5,0.0)),""),"")</f>
        <v/>
      </c>
      <c r="AB26" s="15">
        <f>IF(ISNUMBER(T26),IF(ISNUMBER(T23),IF(T26&gt;T23,1.0,IF(T26=T23,0.5,0.0)),""),"")</f>
        <v/>
      </c>
      <c r="AC26" s="15">
        <f>IF(ISNUMBER(T26),IF(ISNUMBER(T24),IF(T26&gt;T24,1.0,IF(T26=T24,0.5,0.0)),""),"")</f>
        <v/>
      </c>
      <c r="AD26" s="15">
        <f>IF(ISNUMBER(T26),IF(ISNUMBER(T25),IF(T26&gt;T25,1.0,IF(T26=T25,0.5,0.0)),""),"")</f>
        <v/>
      </c>
      <c r="AE26" s="21">
        <f>IF(AND(ISNUMBER(S26),ISNUMBER(S21)),VLOOKUP(ABS(S26-S21),'IMP Table'!$A$2:$C$26,3)*SIGN(S26-S21),0)</f>
        <v/>
      </c>
      <c r="AF26" s="15">
        <f>IF(AND(ISNUMBER(S26),ISNUMBER(S22)),VLOOKUP(ABS(S26-S22),'IMP Table'!$A$2:$C$26,3)*SIGN(S26-S22),0)</f>
        <v/>
      </c>
      <c r="AG26" s="15">
        <f>IF(AND(ISNUMBER(S26),ISNUMBER(S23)),VLOOKUP(ABS(S26-S23),'IMP Table'!$A$2:$C$26,3)*SIGN(S26-S23),0)</f>
        <v/>
      </c>
      <c r="AH26" s="15">
        <f>IF(AND(ISNUMBER(S26),ISNUMBER(S24)),VLOOKUP(ABS(S26-S24),'IMP Table'!$A$2:$C$26,3)*SIGN(S26-S24),0)</f>
        <v/>
      </c>
      <c r="AI26" s="15">
        <f>IF(AND(ISNUMBER(S26),ISNUMBER(S25)),VLOOKUP(ABS(S26-S25),'IMP Table'!$A$2:$C$26,3)*SIGN(S26-S25),0)</f>
        <v/>
      </c>
      <c r="AJ26" s="15">
        <f>IF(AND(ISNUMBER(T26),ISNUMBER(T21)),VLOOKUP(ABS(T26-T21),'IMP Table'!$A$2:$C$26,3)*SIGN(T26-T21),0)</f>
        <v/>
      </c>
      <c r="AK26" s="15">
        <f>IF(AND(ISNUMBER(T26),ISNUMBER(T22)),VLOOKUP(ABS(T26-T22),'IMP Table'!$A$2:$C$26,3)*SIGN(T26-T22),0)</f>
        <v/>
      </c>
      <c r="AL26" s="15">
        <f>IF(AND(ISNUMBER(T26),ISNUMBER(T23)),VLOOKUP(ABS(T26-T23),'IMP Table'!$A$2:$C$26,3)*SIGN(T26-T23),0)</f>
        <v/>
      </c>
      <c r="AM26" s="15">
        <f>IF(AND(ISNUMBER(T26),ISNUMBER(T24)),VLOOKUP(ABS(T26-T24),'IMP Table'!$A$2:$C$26,3)*SIGN(T26-T24),0)</f>
        <v/>
      </c>
      <c r="AN26" s="15">
        <f>IF(AND(ISNUMBER(T26),ISNUMBER(T25)),VLOOKUP(ABS(T26-T25),'IMP Table'!$A$2:$C$26,3)*SIGN(T26-T25),0)</f>
        <v/>
      </c>
    </row>
    <row r="27">
      <c r="A27" s="10" t="n">
        <v>5</v>
      </c>
      <c r="B27" s="10">
        <f>'By Round'!A27</f>
        <v/>
      </c>
      <c r="C27" s="10">
        <f>'By Round'!B27</f>
        <v/>
      </c>
      <c r="D27" s="10">
        <f>'By Round'!C27</f>
        <v/>
      </c>
      <c r="E27" s="10">
        <f>'By Round'!D27</f>
        <v/>
      </c>
      <c r="F27" s="10">
        <f>IF(ISBLANK('By Round'!F27),"",'By Round'!F27)</f>
        <v/>
      </c>
      <c r="G27">
        <f>IF(ISBLANK('By Round'!G27),"",'By Round'!G27)</f>
        <v/>
      </c>
      <c r="H27">
        <f>IF(ISBLANK('By Round'!H27),"",'By Round'!H27)</f>
        <v/>
      </c>
      <c r="I27">
        <f>IF(ISBLANK('By Round'!I27),"",'By Round'!I27)</f>
        <v/>
      </c>
      <c r="J27">
        <f>IF(ISBLANK('By Round'!J27),"",'By Round'!J27)</f>
        <v/>
      </c>
      <c r="K27">
        <f>IF(ISBLANK('By Round'!K27),"",'By Round'!K27)</f>
        <v/>
      </c>
      <c r="L27">
        <f>IF(ISBLANK('By Round'!L27),"",'By Round'!L27)</f>
        <v/>
      </c>
      <c r="M27" s="11">
        <f>AVERAGE(AE27:AI27)</f>
        <v/>
      </c>
      <c r="N27" s="12">
        <f>AVERAGE(AJ27:AN27)</f>
        <v/>
      </c>
      <c r="O27" s="13">
        <f>IF(COUNT(U27:Y27)&gt;0,Q27/COUNT(U27:Y27),0.5)</f>
        <v/>
      </c>
      <c r="P27" s="13">
        <f>IF(COUNT(Z27:AD27)&gt;0,R27/COUNT(Z27:AD27),0.5)</f>
        <v/>
      </c>
      <c r="Q27" s="5">
        <f>SUM(U27:Y27)</f>
        <v/>
      </c>
      <c r="R27" s="5">
        <f>SUM(Z27:AD27)</f>
        <v/>
      </c>
      <c r="S27" s="14">
        <f>IF(ISNUMBER(K27),K27,IF(ISNUMBER(L27),-L27,""))</f>
        <v/>
      </c>
      <c r="T27">
        <f>IF(ISNUMBER(L27),L27,IF(ISNUMBER(K27),-K27,""))</f>
        <v/>
      </c>
      <c r="U27" s="14">
        <f>IF(ISNUMBER(S27),IF(ISNUMBER(S28),IF(S27&gt;S28,1.0,IF(S27=S28,0.5,0.0)),""),"")</f>
        <v/>
      </c>
      <c r="V27">
        <f>IF(ISNUMBER(S27),IF(ISNUMBER(S29),IF(S27&gt;S29,1.0,IF(S27=S29,0.5,0.0)),""),"")</f>
        <v/>
      </c>
      <c r="W27">
        <f>IF(ISNUMBER(S27),IF(ISNUMBER(S30),IF(S27&gt;S30,1.0,IF(S27=S30,0.5,0.0)),""),"")</f>
        <v/>
      </c>
      <c r="X27">
        <f>IF(ISNUMBER(S27),IF(ISNUMBER(S31),IF(S27&gt;S31,1.0,IF(S27=S31,0.5,0.0)),""),"")</f>
        <v/>
      </c>
      <c r="Y27">
        <f>IF(ISNUMBER(S27),IF(ISNUMBER(S32),IF(S27&gt;S32,1.0,IF(S27=S32,0.5,0.0)),""),"")</f>
        <v/>
      </c>
      <c r="Z27">
        <f>IF(ISNUMBER(T27),IF(ISNUMBER(T28),IF(T27&gt;T28,1.0,IF(T27=T28,0.5,0.0)),""),"")</f>
        <v/>
      </c>
      <c r="AA27">
        <f>IF(ISNUMBER(T27),IF(ISNUMBER(T29),IF(T27&gt;T29,1.0,IF(T27=T29,0.5,0.0)),""),"")</f>
        <v/>
      </c>
      <c r="AB27">
        <f>IF(ISNUMBER(T27),IF(ISNUMBER(T30),IF(T27&gt;T30,1.0,IF(T27=T30,0.5,0.0)),""),"")</f>
        <v/>
      </c>
      <c r="AC27">
        <f>IF(ISNUMBER(T27),IF(ISNUMBER(T31),IF(T27&gt;T31,1.0,IF(T27=T31,0.5,0.0)),""),"")</f>
        <v/>
      </c>
      <c r="AD27">
        <f>IF(ISNUMBER(T27),IF(ISNUMBER(T32),IF(T27&gt;T32,1.0,IF(T27=T32,0.5,0.0)),""),"")</f>
        <v/>
      </c>
      <c r="AE27" s="14">
        <f>IF(AND(ISNUMBER(S27),ISNUMBER(S28)),VLOOKUP(ABS(S27-S28),'IMP Table'!$A$2:$C$26,3)*SIGN(S27-S28),0)</f>
        <v/>
      </c>
      <c r="AF27">
        <f>IF(AND(ISNUMBER(S27),ISNUMBER(S29)),VLOOKUP(ABS(S27-S29),'IMP Table'!$A$2:$C$26,3)*SIGN(S27-S29),0)</f>
        <v/>
      </c>
      <c r="AG27">
        <f>IF(AND(ISNUMBER(S27),ISNUMBER(S30)),VLOOKUP(ABS(S27-S30),'IMP Table'!$A$2:$C$26,3)*SIGN(S27-S30),0)</f>
        <v/>
      </c>
      <c r="AH27">
        <f>IF(AND(ISNUMBER(S27),ISNUMBER(S31)),VLOOKUP(ABS(S27-S31),'IMP Table'!$A$2:$C$26,3)*SIGN(S27-S31),0)</f>
        <v/>
      </c>
      <c r="AI27">
        <f>IF(AND(ISNUMBER(S27),ISNUMBER(S32)),VLOOKUP(ABS(S27-S32),'IMP Table'!$A$2:$C$26,3)*SIGN(S27-S32),0)</f>
        <v/>
      </c>
      <c r="AJ27">
        <f>IF(AND(ISNUMBER(T27),ISNUMBER(T28)),VLOOKUP(ABS(T27-T28),'IMP Table'!$A$2:$C$26,3)*SIGN(T27-T28),0)</f>
        <v/>
      </c>
      <c r="AK27">
        <f>IF(AND(ISNUMBER(T27),ISNUMBER(T29)),VLOOKUP(ABS(T27-T29),'IMP Table'!$A$2:$C$26,3)*SIGN(T27-T29),0)</f>
        <v/>
      </c>
      <c r="AL27">
        <f>IF(AND(ISNUMBER(T27),ISNUMBER(T30)),VLOOKUP(ABS(T27-T30),'IMP Table'!$A$2:$C$26,3)*SIGN(T27-T30),0)</f>
        <v/>
      </c>
      <c r="AM27">
        <f>IF(AND(ISNUMBER(T27),ISNUMBER(T31)),VLOOKUP(ABS(T27-T31),'IMP Table'!$A$2:$C$26,3)*SIGN(T27-T31),0)</f>
        <v/>
      </c>
      <c r="AN27">
        <f>IF(AND(ISNUMBER(T27),ISNUMBER(T32)),VLOOKUP(ABS(T27-T32),'IMP Table'!$A$2:$C$26,3)*SIGN(T27-T32),0)</f>
        <v/>
      </c>
    </row>
    <row r="28">
      <c r="B28" s="10">
        <f>'By Round'!A111</f>
        <v/>
      </c>
      <c r="C28" s="10">
        <f>'By Round'!B113</f>
        <v/>
      </c>
      <c r="D28" s="10">
        <f>'By Round'!C113</f>
        <v/>
      </c>
      <c r="E28" s="10">
        <f>'By Round'!D113</f>
        <v/>
      </c>
      <c r="F28" s="10">
        <f>IF(ISBLANK('By Round'!F113),"",'By Round'!F113)</f>
        <v/>
      </c>
      <c r="G28">
        <f>IF(ISBLANK('By Round'!G113),"",'By Round'!G113)</f>
        <v/>
      </c>
      <c r="H28">
        <f>IF(ISBLANK('By Round'!H113),"",'By Round'!H113)</f>
        <v/>
      </c>
      <c r="I28">
        <f>IF(ISBLANK('By Round'!I113),"",'By Round'!I113)</f>
        <v/>
      </c>
      <c r="J28">
        <f>IF(ISBLANK('By Round'!J113),"",'By Round'!J113)</f>
        <v/>
      </c>
      <c r="K28">
        <f>IF(ISBLANK('By Round'!K113),"",'By Round'!K113)</f>
        <v/>
      </c>
      <c r="L28">
        <f>IF(ISBLANK('By Round'!L113),"",'By Round'!L113)</f>
        <v/>
      </c>
      <c r="M28" s="11">
        <f>AVERAGE(AE28:AI28)</f>
        <v/>
      </c>
      <c r="N28" s="12">
        <f>AVERAGE(AJ28:AN28)</f>
        <v/>
      </c>
      <c r="O28" s="13">
        <f>IF(COUNT(U28:Y28)&gt;0,Q28/COUNT(U28:Y28),0.5)</f>
        <v/>
      </c>
      <c r="P28" s="13">
        <f>IF(COUNT(Z28:AD28)&gt;0,R28/COUNT(Z28:AD28),0.5)</f>
        <v/>
      </c>
      <c r="Q28" s="5">
        <f>SUM(U28:Y28)</f>
        <v/>
      </c>
      <c r="R28" s="5">
        <f>SUM(Z28:AD28)</f>
        <v/>
      </c>
      <c r="S28" s="14">
        <f>IF(ISNUMBER(K28),K28,IF(ISNUMBER(L28),-L28,""))</f>
        <v/>
      </c>
      <c r="T28">
        <f>IF(ISNUMBER(L28),L28,IF(ISNUMBER(K28),-K28,""))</f>
        <v/>
      </c>
      <c r="U28" s="14">
        <f>IF(ISNUMBER(S28),IF(ISNUMBER(S27),IF(S28&gt;S27,1.0,IF(S28=S27,0.5,0.0)),""),"")</f>
        <v/>
      </c>
      <c r="V28">
        <f>IF(ISNUMBER(S28),IF(ISNUMBER(S29),IF(S28&gt;S29,1.0,IF(S28=S29,0.5,0.0)),""),"")</f>
        <v/>
      </c>
      <c r="W28">
        <f>IF(ISNUMBER(S28),IF(ISNUMBER(S30),IF(S28&gt;S30,1.0,IF(S28=S30,0.5,0.0)),""),"")</f>
        <v/>
      </c>
      <c r="X28">
        <f>IF(ISNUMBER(S28),IF(ISNUMBER(S31),IF(S28&gt;S31,1.0,IF(S28=S31,0.5,0.0)),""),"")</f>
        <v/>
      </c>
      <c r="Y28">
        <f>IF(ISNUMBER(S28),IF(ISNUMBER(S32),IF(S28&gt;S32,1.0,IF(S28=S32,0.5,0.0)),""),"")</f>
        <v/>
      </c>
      <c r="Z28">
        <f>IF(ISNUMBER(T28),IF(ISNUMBER(T27),IF(T28&gt;T27,1.0,IF(T28=T27,0.5,0.0)),""),"")</f>
        <v/>
      </c>
      <c r="AA28">
        <f>IF(ISNUMBER(T28),IF(ISNUMBER(T29),IF(T28&gt;T29,1.0,IF(T28=T29,0.5,0.0)),""),"")</f>
        <v/>
      </c>
      <c r="AB28">
        <f>IF(ISNUMBER(T28),IF(ISNUMBER(T30),IF(T28&gt;T30,1.0,IF(T28=T30,0.5,0.0)),""),"")</f>
        <v/>
      </c>
      <c r="AC28">
        <f>IF(ISNUMBER(T28),IF(ISNUMBER(T31),IF(T28&gt;T31,1.0,IF(T28=T31,0.5,0.0)),""),"")</f>
        <v/>
      </c>
      <c r="AD28">
        <f>IF(ISNUMBER(T28),IF(ISNUMBER(T32),IF(T28&gt;T32,1.0,IF(T28=T32,0.5,0.0)),""),"")</f>
        <v/>
      </c>
      <c r="AE28" s="14">
        <f>IF(AND(ISNUMBER(S28),ISNUMBER(S27)),VLOOKUP(ABS(S28-S27),'IMP Table'!$A$2:$C$26,3)*SIGN(S28-S27),0)</f>
        <v/>
      </c>
      <c r="AF28">
        <f>IF(AND(ISNUMBER(S28),ISNUMBER(S29)),VLOOKUP(ABS(S28-S29),'IMP Table'!$A$2:$C$26,3)*SIGN(S28-S29),0)</f>
        <v/>
      </c>
      <c r="AG28">
        <f>IF(AND(ISNUMBER(S28),ISNUMBER(S30)),VLOOKUP(ABS(S28-S30),'IMP Table'!$A$2:$C$26,3)*SIGN(S28-S30),0)</f>
        <v/>
      </c>
      <c r="AH28">
        <f>IF(AND(ISNUMBER(S28),ISNUMBER(S31)),VLOOKUP(ABS(S28-S31),'IMP Table'!$A$2:$C$26,3)*SIGN(S28-S31),0)</f>
        <v/>
      </c>
      <c r="AI28">
        <f>IF(AND(ISNUMBER(S28),ISNUMBER(S32)),VLOOKUP(ABS(S28-S32),'IMP Table'!$A$2:$C$26,3)*SIGN(S28-S32),0)</f>
        <v/>
      </c>
      <c r="AJ28">
        <f>IF(AND(ISNUMBER(T28),ISNUMBER(T27)),VLOOKUP(ABS(T28-T27),'IMP Table'!$A$2:$C$26,3)*SIGN(T28-T27),0)</f>
        <v/>
      </c>
      <c r="AK28">
        <f>IF(AND(ISNUMBER(T28),ISNUMBER(T29)),VLOOKUP(ABS(T28-T29),'IMP Table'!$A$2:$C$26,3)*SIGN(T28-T29),0)</f>
        <v/>
      </c>
      <c r="AL28">
        <f>IF(AND(ISNUMBER(T28),ISNUMBER(T30)),VLOOKUP(ABS(T28-T30),'IMP Table'!$A$2:$C$26,3)*SIGN(T28-T30),0)</f>
        <v/>
      </c>
      <c r="AM28">
        <f>IF(AND(ISNUMBER(T28),ISNUMBER(T31)),VLOOKUP(ABS(T28-T31),'IMP Table'!$A$2:$C$26,3)*SIGN(T28-T31),0)</f>
        <v/>
      </c>
      <c r="AN28">
        <f>IF(AND(ISNUMBER(T28),ISNUMBER(T32)),VLOOKUP(ABS(T28-T32),'IMP Table'!$A$2:$C$26,3)*SIGN(T28-T32),0)</f>
        <v/>
      </c>
    </row>
    <row r="29">
      <c r="B29" s="10">
        <f>'By Round'!A51</f>
        <v/>
      </c>
      <c r="C29" s="10">
        <f>'By Round'!B61</f>
        <v/>
      </c>
      <c r="D29" s="10">
        <f>'By Round'!C61</f>
        <v/>
      </c>
      <c r="E29" s="10">
        <f>'By Round'!D61</f>
        <v/>
      </c>
      <c r="F29" s="10">
        <f>IF(ISBLANK('By Round'!F61),"",'By Round'!F61)</f>
        <v/>
      </c>
      <c r="G29">
        <f>IF(ISBLANK('By Round'!G61),"",'By Round'!G61)</f>
        <v/>
      </c>
      <c r="H29">
        <f>IF(ISBLANK('By Round'!H61),"",'By Round'!H61)</f>
        <v/>
      </c>
      <c r="I29">
        <f>IF(ISBLANK('By Round'!I61),"",'By Round'!I61)</f>
        <v/>
      </c>
      <c r="J29">
        <f>IF(ISBLANK('By Round'!J61),"",'By Round'!J61)</f>
        <v/>
      </c>
      <c r="K29">
        <f>IF(ISBLANK('By Round'!K61),"",'By Round'!K61)</f>
        <v/>
      </c>
      <c r="L29">
        <f>IF(ISBLANK('By Round'!L61),"",'By Round'!L61)</f>
        <v/>
      </c>
      <c r="M29" s="11">
        <f>AVERAGE(AE29:AI29)</f>
        <v/>
      </c>
      <c r="N29" s="12">
        <f>AVERAGE(AJ29:AN29)</f>
        <v/>
      </c>
      <c r="O29" s="13">
        <f>IF(COUNT(U29:Y29)&gt;0,Q29/COUNT(U29:Y29),0.5)</f>
        <v/>
      </c>
      <c r="P29" s="13">
        <f>IF(COUNT(Z29:AD29)&gt;0,R29/COUNT(Z29:AD29),0.5)</f>
        <v/>
      </c>
      <c r="Q29" s="5">
        <f>SUM(U29:Y29)</f>
        <v/>
      </c>
      <c r="R29" s="5">
        <f>SUM(Z29:AD29)</f>
        <v/>
      </c>
      <c r="S29" s="14">
        <f>IF(ISNUMBER(K29),K29,IF(ISNUMBER(L29),-L29,""))</f>
        <v/>
      </c>
      <c r="T29">
        <f>IF(ISNUMBER(L29),L29,IF(ISNUMBER(K29),-K29,""))</f>
        <v/>
      </c>
      <c r="U29" s="14">
        <f>IF(ISNUMBER(S29),IF(ISNUMBER(S27),IF(S29&gt;S27,1.0,IF(S29=S27,0.5,0.0)),""),"")</f>
        <v/>
      </c>
      <c r="V29">
        <f>IF(ISNUMBER(S29),IF(ISNUMBER(S28),IF(S29&gt;S28,1.0,IF(S29=S28,0.5,0.0)),""),"")</f>
        <v/>
      </c>
      <c r="W29">
        <f>IF(ISNUMBER(S29),IF(ISNUMBER(S30),IF(S29&gt;S30,1.0,IF(S29=S30,0.5,0.0)),""),"")</f>
        <v/>
      </c>
      <c r="X29">
        <f>IF(ISNUMBER(S29),IF(ISNUMBER(S31),IF(S29&gt;S31,1.0,IF(S29=S31,0.5,0.0)),""),"")</f>
        <v/>
      </c>
      <c r="Y29">
        <f>IF(ISNUMBER(S29),IF(ISNUMBER(S32),IF(S29&gt;S32,1.0,IF(S29=S32,0.5,0.0)),""),"")</f>
        <v/>
      </c>
      <c r="Z29">
        <f>IF(ISNUMBER(T29),IF(ISNUMBER(T27),IF(T29&gt;T27,1.0,IF(T29=T27,0.5,0.0)),""),"")</f>
        <v/>
      </c>
      <c r="AA29">
        <f>IF(ISNUMBER(T29),IF(ISNUMBER(T28),IF(T29&gt;T28,1.0,IF(T29=T28,0.5,0.0)),""),"")</f>
        <v/>
      </c>
      <c r="AB29">
        <f>IF(ISNUMBER(T29),IF(ISNUMBER(T30),IF(T29&gt;T30,1.0,IF(T29=T30,0.5,0.0)),""),"")</f>
        <v/>
      </c>
      <c r="AC29">
        <f>IF(ISNUMBER(T29),IF(ISNUMBER(T31),IF(T29&gt;T31,1.0,IF(T29=T31,0.5,0.0)),""),"")</f>
        <v/>
      </c>
      <c r="AD29">
        <f>IF(ISNUMBER(T29),IF(ISNUMBER(T32),IF(T29&gt;T32,1.0,IF(T29=T32,0.5,0.0)),""),"")</f>
        <v/>
      </c>
      <c r="AE29" s="14">
        <f>IF(AND(ISNUMBER(S29),ISNUMBER(S27)),VLOOKUP(ABS(S29-S27),'IMP Table'!$A$2:$C$26,3)*SIGN(S29-S27),0)</f>
        <v/>
      </c>
      <c r="AF29">
        <f>IF(AND(ISNUMBER(S29),ISNUMBER(S28)),VLOOKUP(ABS(S29-S28),'IMP Table'!$A$2:$C$26,3)*SIGN(S29-S28),0)</f>
        <v/>
      </c>
      <c r="AG29">
        <f>IF(AND(ISNUMBER(S29),ISNUMBER(S30)),VLOOKUP(ABS(S29-S30),'IMP Table'!$A$2:$C$26,3)*SIGN(S29-S30),0)</f>
        <v/>
      </c>
      <c r="AH29">
        <f>IF(AND(ISNUMBER(S29),ISNUMBER(S31)),VLOOKUP(ABS(S29-S31),'IMP Table'!$A$2:$C$26,3)*SIGN(S29-S31),0)</f>
        <v/>
      </c>
      <c r="AI29">
        <f>IF(AND(ISNUMBER(S29),ISNUMBER(S32)),VLOOKUP(ABS(S29-S32),'IMP Table'!$A$2:$C$26,3)*SIGN(S29-S32),0)</f>
        <v/>
      </c>
      <c r="AJ29">
        <f>IF(AND(ISNUMBER(T29),ISNUMBER(T27)),VLOOKUP(ABS(T29-T27),'IMP Table'!$A$2:$C$26,3)*SIGN(T29-T27),0)</f>
        <v/>
      </c>
      <c r="AK29">
        <f>IF(AND(ISNUMBER(T29),ISNUMBER(T28)),VLOOKUP(ABS(T29-T28),'IMP Table'!$A$2:$C$26,3)*SIGN(T29-T28),0)</f>
        <v/>
      </c>
      <c r="AL29">
        <f>IF(AND(ISNUMBER(T29),ISNUMBER(T30)),VLOOKUP(ABS(T29-T30),'IMP Table'!$A$2:$C$26,3)*SIGN(T29-T30),0)</f>
        <v/>
      </c>
      <c r="AM29">
        <f>IF(AND(ISNUMBER(T29),ISNUMBER(T31)),VLOOKUP(ABS(T29-T31),'IMP Table'!$A$2:$C$26,3)*SIGN(T29-T31),0)</f>
        <v/>
      </c>
      <c r="AN29">
        <f>IF(AND(ISNUMBER(T29),ISNUMBER(T32)),VLOOKUP(ABS(T29-T32),'IMP Table'!$A$2:$C$26,3)*SIGN(T29-T32),0)</f>
        <v/>
      </c>
    </row>
    <row r="30">
      <c r="B30" s="10">
        <f>'By Round'!A99</f>
        <v/>
      </c>
      <c r="C30" s="10">
        <f>'By Round'!B103</f>
        <v/>
      </c>
      <c r="D30" s="10">
        <f>'By Round'!C103</f>
        <v/>
      </c>
      <c r="E30" s="10">
        <f>'By Round'!D103</f>
        <v/>
      </c>
      <c r="F30" s="10">
        <f>IF(ISBLANK('By Round'!F103),"",'By Round'!F103)</f>
        <v/>
      </c>
      <c r="G30">
        <f>IF(ISBLANK('By Round'!G103),"",'By Round'!G103)</f>
        <v/>
      </c>
      <c r="H30">
        <f>IF(ISBLANK('By Round'!H103),"",'By Round'!H103)</f>
        <v/>
      </c>
      <c r="I30">
        <f>IF(ISBLANK('By Round'!I103),"",'By Round'!I103)</f>
        <v/>
      </c>
      <c r="J30">
        <f>IF(ISBLANK('By Round'!J103),"",'By Round'!J103)</f>
        <v/>
      </c>
      <c r="K30">
        <f>IF(ISBLANK('By Round'!K103),"",'By Round'!K103)</f>
        <v/>
      </c>
      <c r="L30">
        <f>IF(ISBLANK('By Round'!L103),"",'By Round'!L103)</f>
        <v/>
      </c>
      <c r="M30" s="11">
        <f>AVERAGE(AE30:AI30)</f>
        <v/>
      </c>
      <c r="N30" s="12">
        <f>AVERAGE(AJ30:AN30)</f>
        <v/>
      </c>
      <c r="O30" s="13">
        <f>IF(COUNT(U30:Y30)&gt;0,Q30/COUNT(U30:Y30),0.5)</f>
        <v/>
      </c>
      <c r="P30" s="13">
        <f>IF(COUNT(Z30:AD30)&gt;0,R30/COUNT(Z30:AD30),0.5)</f>
        <v/>
      </c>
      <c r="Q30" s="5">
        <f>SUM(U30:Y30)</f>
        <v/>
      </c>
      <c r="R30" s="5">
        <f>SUM(Z30:AD30)</f>
        <v/>
      </c>
      <c r="S30" s="14">
        <f>IF(ISNUMBER(K30),K30,IF(ISNUMBER(L30),-L30,""))</f>
        <v/>
      </c>
      <c r="T30">
        <f>IF(ISNUMBER(L30),L30,IF(ISNUMBER(K30),-K30,""))</f>
        <v/>
      </c>
      <c r="U30" s="14">
        <f>IF(ISNUMBER(S30),IF(ISNUMBER(S27),IF(S30&gt;S27,1.0,IF(S30=S27,0.5,0.0)),""),"")</f>
        <v/>
      </c>
      <c r="V30">
        <f>IF(ISNUMBER(S30),IF(ISNUMBER(S28),IF(S30&gt;S28,1.0,IF(S30=S28,0.5,0.0)),""),"")</f>
        <v/>
      </c>
      <c r="W30">
        <f>IF(ISNUMBER(S30),IF(ISNUMBER(S29),IF(S30&gt;S29,1.0,IF(S30=S29,0.5,0.0)),""),"")</f>
        <v/>
      </c>
      <c r="X30">
        <f>IF(ISNUMBER(S30),IF(ISNUMBER(S31),IF(S30&gt;S31,1.0,IF(S30=S31,0.5,0.0)),""),"")</f>
        <v/>
      </c>
      <c r="Y30">
        <f>IF(ISNUMBER(S30),IF(ISNUMBER(S32),IF(S30&gt;S32,1.0,IF(S30=S32,0.5,0.0)),""),"")</f>
        <v/>
      </c>
      <c r="Z30">
        <f>IF(ISNUMBER(T30),IF(ISNUMBER(T27),IF(T30&gt;T27,1.0,IF(T30=T27,0.5,0.0)),""),"")</f>
        <v/>
      </c>
      <c r="AA30">
        <f>IF(ISNUMBER(T30),IF(ISNUMBER(T28),IF(T30&gt;T28,1.0,IF(T30=T28,0.5,0.0)),""),"")</f>
        <v/>
      </c>
      <c r="AB30">
        <f>IF(ISNUMBER(T30),IF(ISNUMBER(T29),IF(T30&gt;T29,1.0,IF(T30=T29,0.5,0.0)),""),"")</f>
        <v/>
      </c>
      <c r="AC30">
        <f>IF(ISNUMBER(T30),IF(ISNUMBER(T31),IF(T30&gt;T31,1.0,IF(T30=T31,0.5,0.0)),""),"")</f>
        <v/>
      </c>
      <c r="AD30">
        <f>IF(ISNUMBER(T30),IF(ISNUMBER(T32),IF(T30&gt;T32,1.0,IF(T30=T32,0.5,0.0)),""),"")</f>
        <v/>
      </c>
      <c r="AE30" s="14">
        <f>IF(AND(ISNUMBER(S30),ISNUMBER(S27)),VLOOKUP(ABS(S30-S27),'IMP Table'!$A$2:$C$26,3)*SIGN(S30-S27),0)</f>
        <v/>
      </c>
      <c r="AF30">
        <f>IF(AND(ISNUMBER(S30),ISNUMBER(S28)),VLOOKUP(ABS(S30-S28),'IMP Table'!$A$2:$C$26,3)*SIGN(S30-S28),0)</f>
        <v/>
      </c>
      <c r="AG30">
        <f>IF(AND(ISNUMBER(S30),ISNUMBER(S29)),VLOOKUP(ABS(S30-S29),'IMP Table'!$A$2:$C$26,3)*SIGN(S30-S29),0)</f>
        <v/>
      </c>
      <c r="AH30">
        <f>IF(AND(ISNUMBER(S30),ISNUMBER(S31)),VLOOKUP(ABS(S30-S31),'IMP Table'!$A$2:$C$26,3)*SIGN(S30-S31),0)</f>
        <v/>
      </c>
      <c r="AI30">
        <f>IF(AND(ISNUMBER(S30),ISNUMBER(S32)),VLOOKUP(ABS(S30-S32),'IMP Table'!$A$2:$C$26,3)*SIGN(S30-S32),0)</f>
        <v/>
      </c>
      <c r="AJ30">
        <f>IF(AND(ISNUMBER(T30),ISNUMBER(T27)),VLOOKUP(ABS(T30-T27),'IMP Table'!$A$2:$C$26,3)*SIGN(T30-T27),0)</f>
        <v/>
      </c>
      <c r="AK30">
        <f>IF(AND(ISNUMBER(T30),ISNUMBER(T28)),VLOOKUP(ABS(T30-T28),'IMP Table'!$A$2:$C$26,3)*SIGN(T30-T28),0)</f>
        <v/>
      </c>
      <c r="AL30">
        <f>IF(AND(ISNUMBER(T30),ISNUMBER(T29)),VLOOKUP(ABS(T30-T29),'IMP Table'!$A$2:$C$26,3)*SIGN(T30-T29),0)</f>
        <v/>
      </c>
      <c r="AM30">
        <f>IF(AND(ISNUMBER(T30),ISNUMBER(T31)),VLOOKUP(ABS(T30-T31),'IMP Table'!$A$2:$C$26,3)*SIGN(T30-T31),0)</f>
        <v/>
      </c>
      <c r="AN30">
        <f>IF(AND(ISNUMBER(T30),ISNUMBER(T32)),VLOOKUP(ABS(T30-T32),'IMP Table'!$A$2:$C$26,3)*SIGN(T30-T32),0)</f>
        <v/>
      </c>
    </row>
    <row r="31">
      <c r="B31" s="10">
        <f>'By Round'!A63</f>
        <v/>
      </c>
      <c r="C31" s="10">
        <f>'By Round'!B71</f>
        <v/>
      </c>
      <c r="D31" s="10">
        <f>'By Round'!C71</f>
        <v/>
      </c>
      <c r="E31" s="10">
        <f>'By Round'!D71</f>
        <v/>
      </c>
      <c r="F31" s="10">
        <f>IF(ISBLANK('By Round'!F71),"",'By Round'!F71)</f>
        <v/>
      </c>
      <c r="G31">
        <f>IF(ISBLANK('By Round'!G71),"",'By Round'!G71)</f>
        <v/>
      </c>
      <c r="H31">
        <f>IF(ISBLANK('By Round'!H71),"",'By Round'!H71)</f>
        <v/>
      </c>
      <c r="I31">
        <f>IF(ISBLANK('By Round'!I71),"",'By Round'!I71)</f>
        <v/>
      </c>
      <c r="J31">
        <f>IF(ISBLANK('By Round'!J71),"",'By Round'!J71)</f>
        <v/>
      </c>
      <c r="K31">
        <f>IF(ISBLANK('By Round'!K71),"",'By Round'!K71)</f>
        <v/>
      </c>
      <c r="L31">
        <f>IF(ISBLANK('By Round'!L71),"",'By Round'!L71)</f>
        <v/>
      </c>
      <c r="M31" s="11">
        <f>AVERAGE(AE31:AI31)</f>
        <v/>
      </c>
      <c r="N31" s="12">
        <f>AVERAGE(AJ31:AN31)</f>
        <v/>
      </c>
      <c r="O31" s="13">
        <f>IF(COUNT(U31:Y31)&gt;0,Q31/COUNT(U31:Y31),0.5)</f>
        <v/>
      </c>
      <c r="P31" s="13">
        <f>IF(COUNT(Z31:AD31)&gt;0,R31/COUNT(Z31:AD31),0.5)</f>
        <v/>
      </c>
      <c r="Q31" s="5">
        <f>SUM(U31:Y31)</f>
        <v/>
      </c>
      <c r="R31" s="5">
        <f>SUM(Z31:AD31)</f>
        <v/>
      </c>
      <c r="S31" s="14">
        <f>IF(ISNUMBER(K31),K31,IF(ISNUMBER(L31),-L31,""))</f>
        <v/>
      </c>
      <c r="T31">
        <f>IF(ISNUMBER(L31),L31,IF(ISNUMBER(K31),-K31,""))</f>
        <v/>
      </c>
      <c r="U31" s="14">
        <f>IF(ISNUMBER(S31),IF(ISNUMBER(S27),IF(S31&gt;S27,1.0,IF(S31=S27,0.5,0.0)),""),"")</f>
        <v/>
      </c>
      <c r="V31">
        <f>IF(ISNUMBER(S31),IF(ISNUMBER(S28),IF(S31&gt;S28,1.0,IF(S31=S28,0.5,0.0)),""),"")</f>
        <v/>
      </c>
      <c r="W31">
        <f>IF(ISNUMBER(S31),IF(ISNUMBER(S29),IF(S31&gt;S29,1.0,IF(S31=S29,0.5,0.0)),""),"")</f>
        <v/>
      </c>
      <c r="X31">
        <f>IF(ISNUMBER(S31),IF(ISNUMBER(S30),IF(S31&gt;S30,1.0,IF(S31=S30,0.5,0.0)),""),"")</f>
        <v/>
      </c>
      <c r="Y31">
        <f>IF(ISNUMBER(S31),IF(ISNUMBER(S32),IF(S31&gt;S32,1.0,IF(S31=S32,0.5,0.0)),""),"")</f>
        <v/>
      </c>
      <c r="Z31">
        <f>IF(ISNUMBER(T31),IF(ISNUMBER(T27),IF(T31&gt;T27,1.0,IF(T31=T27,0.5,0.0)),""),"")</f>
        <v/>
      </c>
      <c r="AA31">
        <f>IF(ISNUMBER(T31),IF(ISNUMBER(T28),IF(T31&gt;T28,1.0,IF(T31=T28,0.5,0.0)),""),"")</f>
        <v/>
      </c>
      <c r="AB31">
        <f>IF(ISNUMBER(T31),IF(ISNUMBER(T29),IF(T31&gt;T29,1.0,IF(T31=T29,0.5,0.0)),""),"")</f>
        <v/>
      </c>
      <c r="AC31">
        <f>IF(ISNUMBER(T31),IF(ISNUMBER(T30),IF(T31&gt;T30,1.0,IF(T31=T30,0.5,0.0)),""),"")</f>
        <v/>
      </c>
      <c r="AD31">
        <f>IF(ISNUMBER(T31),IF(ISNUMBER(T32),IF(T31&gt;T32,1.0,IF(T31=T32,0.5,0.0)),""),"")</f>
        <v/>
      </c>
      <c r="AE31" s="14">
        <f>IF(AND(ISNUMBER(S31),ISNUMBER(S27)),VLOOKUP(ABS(S31-S27),'IMP Table'!$A$2:$C$26,3)*SIGN(S31-S27),0)</f>
        <v/>
      </c>
      <c r="AF31">
        <f>IF(AND(ISNUMBER(S31),ISNUMBER(S28)),VLOOKUP(ABS(S31-S28),'IMP Table'!$A$2:$C$26,3)*SIGN(S31-S28),0)</f>
        <v/>
      </c>
      <c r="AG31">
        <f>IF(AND(ISNUMBER(S31),ISNUMBER(S29)),VLOOKUP(ABS(S31-S29),'IMP Table'!$A$2:$C$26,3)*SIGN(S31-S29),0)</f>
        <v/>
      </c>
      <c r="AH31">
        <f>IF(AND(ISNUMBER(S31),ISNUMBER(S30)),VLOOKUP(ABS(S31-S30),'IMP Table'!$A$2:$C$26,3)*SIGN(S31-S30),0)</f>
        <v/>
      </c>
      <c r="AI31">
        <f>IF(AND(ISNUMBER(S31),ISNUMBER(S32)),VLOOKUP(ABS(S31-S32),'IMP Table'!$A$2:$C$26,3)*SIGN(S31-S32),0)</f>
        <v/>
      </c>
      <c r="AJ31">
        <f>IF(AND(ISNUMBER(T31),ISNUMBER(T27)),VLOOKUP(ABS(T31-T27),'IMP Table'!$A$2:$C$26,3)*SIGN(T31-T27),0)</f>
        <v/>
      </c>
      <c r="AK31">
        <f>IF(AND(ISNUMBER(T31),ISNUMBER(T28)),VLOOKUP(ABS(T31-T28),'IMP Table'!$A$2:$C$26,3)*SIGN(T31-T28),0)</f>
        <v/>
      </c>
      <c r="AL31">
        <f>IF(AND(ISNUMBER(T31),ISNUMBER(T29)),VLOOKUP(ABS(T31-T29),'IMP Table'!$A$2:$C$26,3)*SIGN(T31-T29),0)</f>
        <v/>
      </c>
      <c r="AM31">
        <f>IF(AND(ISNUMBER(T31),ISNUMBER(T30)),VLOOKUP(ABS(T31-T30),'IMP Table'!$A$2:$C$26,3)*SIGN(T31-T30),0)</f>
        <v/>
      </c>
      <c r="AN31">
        <f>IF(AND(ISNUMBER(T31),ISNUMBER(T32)),VLOOKUP(ABS(T31-T32),'IMP Table'!$A$2:$C$26,3)*SIGN(T31-T32),0)</f>
        <v/>
      </c>
    </row>
    <row r="32">
      <c r="A32" s="15" t="n"/>
      <c r="B32" s="16">
        <f>'By Round'!A75</f>
        <v/>
      </c>
      <c r="C32" s="16">
        <f>'By Round'!B81</f>
        <v/>
      </c>
      <c r="D32" s="16">
        <f>'By Round'!C81</f>
        <v/>
      </c>
      <c r="E32" s="16">
        <f>'By Round'!D81</f>
        <v/>
      </c>
      <c r="F32" s="16">
        <f>IF(ISBLANK('By Round'!F81),"",'By Round'!F81)</f>
        <v/>
      </c>
      <c r="G32" s="15">
        <f>IF(ISBLANK('By Round'!G81),"",'By Round'!G81)</f>
        <v/>
      </c>
      <c r="H32" s="15">
        <f>IF(ISBLANK('By Round'!H81),"",'By Round'!H81)</f>
        <v/>
      </c>
      <c r="I32" s="15">
        <f>IF(ISBLANK('By Round'!I81),"",'By Round'!I81)</f>
        <v/>
      </c>
      <c r="J32" s="15">
        <f>IF(ISBLANK('By Round'!J81),"",'By Round'!J81)</f>
        <v/>
      </c>
      <c r="K32" s="15">
        <f>IF(ISBLANK('By Round'!K81),"",'By Round'!K81)</f>
        <v/>
      </c>
      <c r="L32" s="15">
        <f>IF(ISBLANK('By Round'!L81),"",'By Round'!L81)</f>
        <v/>
      </c>
      <c r="M32" s="17">
        <f>AVERAGE(AE32:AI32)</f>
        <v/>
      </c>
      <c r="N32" s="18">
        <f>AVERAGE(AJ32:AN32)</f>
        <v/>
      </c>
      <c r="O32" s="19">
        <f>IF(COUNT(U32:Y32)&gt;0,Q32/COUNT(U32:Y32),0.5)</f>
        <v/>
      </c>
      <c r="P32" s="19">
        <f>IF(COUNT(Z32:AD32)&gt;0,R32/COUNT(Z32:AD32),0.5)</f>
        <v/>
      </c>
      <c r="Q32" s="20">
        <f>SUM(U32:Y32)</f>
        <v/>
      </c>
      <c r="R32" s="20">
        <f>SUM(Z32:AD32)</f>
        <v/>
      </c>
      <c r="S32" s="21">
        <f>IF(ISNUMBER(K32),K32,IF(ISNUMBER(L32),-L32,""))</f>
        <v/>
      </c>
      <c r="T32" s="15">
        <f>IF(ISNUMBER(L32),L32,IF(ISNUMBER(K32),-K32,""))</f>
        <v/>
      </c>
      <c r="U32" s="21">
        <f>IF(ISNUMBER(S32),IF(ISNUMBER(S27),IF(S32&gt;S27,1.0,IF(S32=S27,0.5,0.0)),""),"")</f>
        <v/>
      </c>
      <c r="V32" s="15">
        <f>IF(ISNUMBER(S32),IF(ISNUMBER(S28),IF(S32&gt;S28,1.0,IF(S32=S28,0.5,0.0)),""),"")</f>
        <v/>
      </c>
      <c r="W32" s="15">
        <f>IF(ISNUMBER(S32),IF(ISNUMBER(S29),IF(S32&gt;S29,1.0,IF(S32=S29,0.5,0.0)),""),"")</f>
        <v/>
      </c>
      <c r="X32" s="15">
        <f>IF(ISNUMBER(S32),IF(ISNUMBER(S30),IF(S32&gt;S30,1.0,IF(S32=S30,0.5,0.0)),""),"")</f>
        <v/>
      </c>
      <c r="Y32" s="15">
        <f>IF(ISNUMBER(S32),IF(ISNUMBER(S31),IF(S32&gt;S31,1.0,IF(S32=S31,0.5,0.0)),""),"")</f>
        <v/>
      </c>
      <c r="Z32" s="15">
        <f>IF(ISNUMBER(T32),IF(ISNUMBER(T27),IF(T32&gt;T27,1.0,IF(T32=T27,0.5,0.0)),""),"")</f>
        <v/>
      </c>
      <c r="AA32" s="15">
        <f>IF(ISNUMBER(T32),IF(ISNUMBER(T28),IF(T32&gt;T28,1.0,IF(T32=T28,0.5,0.0)),""),"")</f>
        <v/>
      </c>
      <c r="AB32" s="15">
        <f>IF(ISNUMBER(T32),IF(ISNUMBER(T29),IF(T32&gt;T29,1.0,IF(T32=T29,0.5,0.0)),""),"")</f>
        <v/>
      </c>
      <c r="AC32" s="15">
        <f>IF(ISNUMBER(T32),IF(ISNUMBER(T30),IF(T32&gt;T30,1.0,IF(T32=T30,0.5,0.0)),""),"")</f>
        <v/>
      </c>
      <c r="AD32" s="15">
        <f>IF(ISNUMBER(T32),IF(ISNUMBER(T31),IF(T32&gt;T31,1.0,IF(T32=T31,0.5,0.0)),""),"")</f>
        <v/>
      </c>
      <c r="AE32" s="21">
        <f>IF(AND(ISNUMBER(S32),ISNUMBER(S27)),VLOOKUP(ABS(S32-S27),'IMP Table'!$A$2:$C$26,3)*SIGN(S32-S27),0)</f>
        <v/>
      </c>
      <c r="AF32" s="15">
        <f>IF(AND(ISNUMBER(S32),ISNUMBER(S28)),VLOOKUP(ABS(S32-S28),'IMP Table'!$A$2:$C$26,3)*SIGN(S32-S28),0)</f>
        <v/>
      </c>
      <c r="AG32" s="15">
        <f>IF(AND(ISNUMBER(S32),ISNUMBER(S29)),VLOOKUP(ABS(S32-S29),'IMP Table'!$A$2:$C$26,3)*SIGN(S32-S29),0)</f>
        <v/>
      </c>
      <c r="AH32" s="15">
        <f>IF(AND(ISNUMBER(S32),ISNUMBER(S30)),VLOOKUP(ABS(S32-S30),'IMP Table'!$A$2:$C$26,3)*SIGN(S32-S30),0)</f>
        <v/>
      </c>
      <c r="AI32" s="15">
        <f>IF(AND(ISNUMBER(S32),ISNUMBER(S31)),VLOOKUP(ABS(S32-S31),'IMP Table'!$A$2:$C$26,3)*SIGN(S32-S31),0)</f>
        <v/>
      </c>
      <c r="AJ32" s="15">
        <f>IF(AND(ISNUMBER(T32),ISNUMBER(T27)),VLOOKUP(ABS(T32-T27),'IMP Table'!$A$2:$C$26,3)*SIGN(T32-T27),0)</f>
        <v/>
      </c>
      <c r="AK32" s="15">
        <f>IF(AND(ISNUMBER(T32),ISNUMBER(T28)),VLOOKUP(ABS(T32-T28),'IMP Table'!$A$2:$C$26,3)*SIGN(T32-T28),0)</f>
        <v/>
      </c>
      <c r="AL32" s="15">
        <f>IF(AND(ISNUMBER(T32),ISNUMBER(T29)),VLOOKUP(ABS(T32-T29),'IMP Table'!$A$2:$C$26,3)*SIGN(T32-T29),0)</f>
        <v/>
      </c>
      <c r="AM32" s="15">
        <f>IF(AND(ISNUMBER(T32),ISNUMBER(T30)),VLOOKUP(ABS(T32-T30),'IMP Table'!$A$2:$C$26,3)*SIGN(T32-T30),0)</f>
        <v/>
      </c>
      <c r="AN32" s="15">
        <f>IF(AND(ISNUMBER(T32),ISNUMBER(T31)),VLOOKUP(ABS(T32-T31),'IMP Table'!$A$2:$C$26,3)*SIGN(T32-T31),0)</f>
        <v/>
      </c>
    </row>
    <row r="33">
      <c r="A33" s="10" t="n">
        <v>6</v>
      </c>
      <c r="B33" s="10">
        <f>'By Round'!A27</f>
        <v/>
      </c>
      <c r="C33" s="10">
        <f>'By Round'!B27</f>
        <v/>
      </c>
      <c r="D33" s="10">
        <f>'By Round'!C27</f>
        <v/>
      </c>
      <c r="E33" s="10">
        <f>'By Round'!D27</f>
        <v/>
      </c>
      <c r="F33" s="10">
        <f>IF(ISBLANK('By Round'!F28),"",'By Round'!F28)</f>
        <v/>
      </c>
      <c r="G33">
        <f>IF(ISBLANK('By Round'!G28),"",'By Round'!G28)</f>
        <v/>
      </c>
      <c r="H33">
        <f>IF(ISBLANK('By Round'!H28),"",'By Round'!H28)</f>
        <v/>
      </c>
      <c r="I33">
        <f>IF(ISBLANK('By Round'!I28),"",'By Round'!I28)</f>
        <v/>
      </c>
      <c r="J33">
        <f>IF(ISBLANK('By Round'!J28),"",'By Round'!J28)</f>
        <v/>
      </c>
      <c r="K33">
        <f>IF(ISBLANK('By Round'!K28),"",'By Round'!K28)</f>
        <v/>
      </c>
      <c r="L33">
        <f>IF(ISBLANK('By Round'!L28),"",'By Round'!L28)</f>
        <v/>
      </c>
      <c r="M33" s="11">
        <f>AVERAGE(AE33:AI33)</f>
        <v/>
      </c>
      <c r="N33" s="12">
        <f>AVERAGE(AJ33:AN33)</f>
        <v/>
      </c>
      <c r="O33" s="13">
        <f>IF(COUNT(U33:Y33)&gt;0,Q33/COUNT(U33:Y33),0.5)</f>
        <v/>
      </c>
      <c r="P33" s="13">
        <f>IF(COUNT(Z33:AD33)&gt;0,R33/COUNT(Z33:AD33),0.5)</f>
        <v/>
      </c>
      <c r="Q33" s="5">
        <f>SUM(U33:Y33)</f>
        <v/>
      </c>
      <c r="R33" s="5">
        <f>SUM(Z33:AD33)</f>
        <v/>
      </c>
      <c r="S33" s="14">
        <f>IF(ISNUMBER(K33),K33,IF(ISNUMBER(L33),-L33,""))</f>
        <v/>
      </c>
      <c r="T33">
        <f>IF(ISNUMBER(L33),L33,IF(ISNUMBER(K33),-K33,""))</f>
        <v/>
      </c>
      <c r="U33" s="14">
        <f>IF(ISNUMBER(S33),IF(ISNUMBER(S34),IF(S33&gt;S34,1.0,IF(S33=S34,0.5,0.0)),""),"")</f>
        <v/>
      </c>
      <c r="V33">
        <f>IF(ISNUMBER(S33),IF(ISNUMBER(S35),IF(S33&gt;S35,1.0,IF(S33=S35,0.5,0.0)),""),"")</f>
        <v/>
      </c>
      <c r="W33">
        <f>IF(ISNUMBER(S33),IF(ISNUMBER(S36),IF(S33&gt;S36,1.0,IF(S33=S36,0.5,0.0)),""),"")</f>
        <v/>
      </c>
      <c r="X33">
        <f>IF(ISNUMBER(S33),IF(ISNUMBER(S37),IF(S33&gt;S37,1.0,IF(S33=S37,0.5,0.0)),""),"")</f>
        <v/>
      </c>
      <c r="Y33">
        <f>IF(ISNUMBER(S33),IF(ISNUMBER(S38),IF(S33&gt;S38,1.0,IF(S33=S38,0.5,0.0)),""),"")</f>
        <v/>
      </c>
      <c r="Z33">
        <f>IF(ISNUMBER(T33),IF(ISNUMBER(T34),IF(T33&gt;T34,1.0,IF(T33=T34,0.5,0.0)),""),"")</f>
        <v/>
      </c>
      <c r="AA33">
        <f>IF(ISNUMBER(T33),IF(ISNUMBER(T35),IF(T33&gt;T35,1.0,IF(T33=T35,0.5,0.0)),""),"")</f>
        <v/>
      </c>
      <c r="AB33">
        <f>IF(ISNUMBER(T33),IF(ISNUMBER(T36),IF(T33&gt;T36,1.0,IF(T33=T36,0.5,0.0)),""),"")</f>
        <v/>
      </c>
      <c r="AC33">
        <f>IF(ISNUMBER(T33),IF(ISNUMBER(T37),IF(T33&gt;T37,1.0,IF(T33=T37,0.5,0.0)),""),"")</f>
        <v/>
      </c>
      <c r="AD33">
        <f>IF(ISNUMBER(T33),IF(ISNUMBER(T38),IF(T33&gt;T38,1.0,IF(T33=T38,0.5,0.0)),""),"")</f>
        <v/>
      </c>
      <c r="AE33" s="14">
        <f>IF(AND(ISNUMBER(S33),ISNUMBER(S34)),VLOOKUP(ABS(S33-S34),'IMP Table'!$A$2:$C$26,3)*SIGN(S33-S34),0)</f>
        <v/>
      </c>
      <c r="AF33">
        <f>IF(AND(ISNUMBER(S33),ISNUMBER(S35)),VLOOKUP(ABS(S33-S35),'IMP Table'!$A$2:$C$26,3)*SIGN(S33-S35),0)</f>
        <v/>
      </c>
      <c r="AG33">
        <f>IF(AND(ISNUMBER(S33),ISNUMBER(S36)),VLOOKUP(ABS(S33-S36),'IMP Table'!$A$2:$C$26,3)*SIGN(S33-S36),0)</f>
        <v/>
      </c>
      <c r="AH33">
        <f>IF(AND(ISNUMBER(S33),ISNUMBER(S37)),VLOOKUP(ABS(S33-S37),'IMP Table'!$A$2:$C$26,3)*SIGN(S33-S37),0)</f>
        <v/>
      </c>
      <c r="AI33">
        <f>IF(AND(ISNUMBER(S33),ISNUMBER(S38)),VLOOKUP(ABS(S33-S38),'IMP Table'!$A$2:$C$26,3)*SIGN(S33-S38),0)</f>
        <v/>
      </c>
      <c r="AJ33">
        <f>IF(AND(ISNUMBER(T33),ISNUMBER(T34)),VLOOKUP(ABS(T33-T34),'IMP Table'!$A$2:$C$26,3)*SIGN(T33-T34),0)</f>
        <v/>
      </c>
      <c r="AK33">
        <f>IF(AND(ISNUMBER(T33),ISNUMBER(T35)),VLOOKUP(ABS(T33-T35),'IMP Table'!$A$2:$C$26,3)*SIGN(T33-T35),0)</f>
        <v/>
      </c>
      <c r="AL33">
        <f>IF(AND(ISNUMBER(T33),ISNUMBER(T36)),VLOOKUP(ABS(T33-T36),'IMP Table'!$A$2:$C$26,3)*SIGN(T33-T36),0)</f>
        <v/>
      </c>
      <c r="AM33">
        <f>IF(AND(ISNUMBER(T33),ISNUMBER(T37)),VLOOKUP(ABS(T33-T37),'IMP Table'!$A$2:$C$26,3)*SIGN(T33-T37),0)</f>
        <v/>
      </c>
      <c r="AN33">
        <f>IF(AND(ISNUMBER(T33),ISNUMBER(T38)),VLOOKUP(ABS(T33-T38),'IMP Table'!$A$2:$C$26,3)*SIGN(T33-T38),0)</f>
        <v/>
      </c>
    </row>
    <row r="34">
      <c r="B34" s="10">
        <f>'By Round'!A111</f>
        <v/>
      </c>
      <c r="C34" s="10">
        <f>'By Round'!B113</f>
        <v/>
      </c>
      <c r="D34" s="10">
        <f>'By Round'!C113</f>
        <v/>
      </c>
      <c r="E34" s="10">
        <f>'By Round'!D113</f>
        <v/>
      </c>
      <c r="F34" s="10">
        <f>IF(ISBLANK('By Round'!F114),"",'By Round'!F114)</f>
        <v/>
      </c>
      <c r="G34">
        <f>IF(ISBLANK('By Round'!G114),"",'By Round'!G114)</f>
        <v/>
      </c>
      <c r="H34">
        <f>IF(ISBLANK('By Round'!H114),"",'By Round'!H114)</f>
        <v/>
      </c>
      <c r="I34">
        <f>IF(ISBLANK('By Round'!I114),"",'By Round'!I114)</f>
        <v/>
      </c>
      <c r="J34">
        <f>IF(ISBLANK('By Round'!J114),"",'By Round'!J114)</f>
        <v/>
      </c>
      <c r="K34">
        <f>IF(ISBLANK('By Round'!K114),"",'By Round'!K114)</f>
        <v/>
      </c>
      <c r="L34">
        <f>IF(ISBLANK('By Round'!L114),"",'By Round'!L114)</f>
        <v/>
      </c>
      <c r="M34" s="11">
        <f>AVERAGE(AE34:AI34)</f>
        <v/>
      </c>
      <c r="N34" s="12">
        <f>AVERAGE(AJ34:AN34)</f>
        <v/>
      </c>
      <c r="O34" s="13">
        <f>IF(COUNT(U34:Y34)&gt;0,Q34/COUNT(U34:Y34),0.5)</f>
        <v/>
      </c>
      <c r="P34" s="13">
        <f>IF(COUNT(Z34:AD34)&gt;0,R34/COUNT(Z34:AD34),0.5)</f>
        <v/>
      </c>
      <c r="Q34" s="5">
        <f>SUM(U34:Y34)</f>
        <v/>
      </c>
      <c r="R34" s="5">
        <f>SUM(Z34:AD34)</f>
        <v/>
      </c>
      <c r="S34" s="14">
        <f>IF(ISNUMBER(K34),K34,IF(ISNUMBER(L34),-L34,""))</f>
        <v/>
      </c>
      <c r="T34">
        <f>IF(ISNUMBER(L34),L34,IF(ISNUMBER(K34),-K34,""))</f>
        <v/>
      </c>
      <c r="U34" s="14">
        <f>IF(ISNUMBER(S34),IF(ISNUMBER(S33),IF(S34&gt;S33,1.0,IF(S34=S33,0.5,0.0)),""),"")</f>
        <v/>
      </c>
      <c r="V34">
        <f>IF(ISNUMBER(S34),IF(ISNUMBER(S35),IF(S34&gt;S35,1.0,IF(S34=S35,0.5,0.0)),""),"")</f>
        <v/>
      </c>
      <c r="W34">
        <f>IF(ISNUMBER(S34),IF(ISNUMBER(S36),IF(S34&gt;S36,1.0,IF(S34=S36,0.5,0.0)),""),"")</f>
        <v/>
      </c>
      <c r="X34">
        <f>IF(ISNUMBER(S34),IF(ISNUMBER(S37),IF(S34&gt;S37,1.0,IF(S34=S37,0.5,0.0)),""),"")</f>
        <v/>
      </c>
      <c r="Y34">
        <f>IF(ISNUMBER(S34),IF(ISNUMBER(S38),IF(S34&gt;S38,1.0,IF(S34=S38,0.5,0.0)),""),"")</f>
        <v/>
      </c>
      <c r="Z34">
        <f>IF(ISNUMBER(T34),IF(ISNUMBER(T33),IF(T34&gt;T33,1.0,IF(T34=T33,0.5,0.0)),""),"")</f>
        <v/>
      </c>
      <c r="AA34">
        <f>IF(ISNUMBER(T34),IF(ISNUMBER(T35),IF(T34&gt;T35,1.0,IF(T34=T35,0.5,0.0)),""),"")</f>
        <v/>
      </c>
      <c r="AB34">
        <f>IF(ISNUMBER(T34),IF(ISNUMBER(T36),IF(T34&gt;T36,1.0,IF(T34=T36,0.5,0.0)),""),"")</f>
        <v/>
      </c>
      <c r="AC34">
        <f>IF(ISNUMBER(T34),IF(ISNUMBER(T37),IF(T34&gt;T37,1.0,IF(T34=T37,0.5,0.0)),""),"")</f>
        <v/>
      </c>
      <c r="AD34">
        <f>IF(ISNUMBER(T34),IF(ISNUMBER(T38),IF(T34&gt;T38,1.0,IF(T34=T38,0.5,0.0)),""),"")</f>
        <v/>
      </c>
      <c r="AE34" s="14">
        <f>IF(AND(ISNUMBER(S34),ISNUMBER(S33)),VLOOKUP(ABS(S34-S33),'IMP Table'!$A$2:$C$26,3)*SIGN(S34-S33),0)</f>
        <v/>
      </c>
      <c r="AF34">
        <f>IF(AND(ISNUMBER(S34),ISNUMBER(S35)),VLOOKUP(ABS(S34-S35),'IMP Table'!$A$2:$C$26,3)*SIGN(S34-S35),0)</f>
        <v/>
      </c>
      <c r="AG34">
        <f>IF(AND(ISNUMBER(S34),ISNUMBER(S36)),VLOOKUP(ABS(S34-S36),'IMP Table'!$A$2:$C$26,3)*SIGN(S34-S36),0)</f>
        <v/>
      </c>
      <c r="AH34">
        <f>IF(AND(ISNUMBER(S34),ISNUMBER(S37)),VLOOKUP(ABS(S34-S37),'IMP Table'!$A$2:$C$26,3)*SIGN(S34-S37),0)</f>
        <v/>
      </c>
      <c r="AI34">
        <f>IF(AND(ISNUMBER(S34),ISNUMBER(S38)),VLOOKUP(ABS(S34-S38),'IMP Table'!$A$2:$C$26,3)*SIGN(S34-S38),0)</f>
        <v/>
      </c>
      <c r="AJ34">
        <f>IF(AND(ISNUMBER(T34),ISNUMBER(T33)),VLOOKUP(ABS(T34-T33),'IMP Table'!$A$2:$C$26,3)*SIGN(T34-T33),0)</f>
        <v/>
      </c>
      <c r="AK34">
        <f>IF(AND(ISNUMBER(T34),ISNUMBER(T35)),VLOOKUP(ABS(T34-T35),'IMP Table'!$A$2:$C$26,3)*SIGN(T34-T35),0)</f>
        <v/>
      </c>
      <c r="AL34">
        <f>IF(AND(ISNUMBER(T34),ISNUMBER(T36)),VLOOKUP(ABS(T34-T36),'IMP Table'!$A$2:$C$26,3)*SIGN(T34-T36),0)</f>
        <v/>
      </c>
      <c r="AM34">
        <f>IF(AND(ISNUMBER(T34),ISNUMBER(T37)),VLOOKUP(ABS(T34-T37),'IMP Table'!$A$2:$C$26,3)*SIGN(T34-T37),0)</f>
        <v/>
      </c>
      <c r="AN34">
        <f>IF(AND(ISNUMBER(T34),ISNUMBER(T38)),VLOOKUP(ABS(T34-T38),'IMP Table'!$A$2:$C$26,3)*SIGN(T34-T38),0)</f>
        <v/>
      </c>
    </row>
    <row r="35">
      <c r="B35" s="10">
        <f>'By Round'!A51</f>
        <v/>
      </c>
      <c r="C35" s="10">
        <f>'By Round'!B61</f>
        <v/>
      </c>
      <c r="D35" s="10">
        <f>'By Round'!C61</f>
        <v/>
      </c>
      <c r="E35" s="10">
        <f>'By Round'!D61</f>
        <v/>
      </c>
      <c r="F35" s="10">
        <f>IF(ISBLANK('By Round'!F62),"",'By Round'!F62)</f>
        <v/>
      </c>
      <c r="G35">
        <f>IF(ISBLANK('By Round'!G62),"",'By Round'!G62)</f>
        <v/>
      </c>
      <c r="H35">
        <f>IF(ISBLANK('By Round'!H62),"",'By Round'!H62)</f>
        <v/>
      </c>
      <c r="I35">
        <f>IF(ISBLANK('By Round'!I62),"",'By Round'!I62)</f>
        <v/>
      </c>
      <c r="J35">
        <f>IF(ISBLANK('By Round'!J62),"",'By Round'!J62)</f>
        <v/>
      </c>
      <c r="K35">
        <f>IF(ISBLANK('By Round'!K62),"",'By Round'!K62)</f>
        <v/>
      </c>
      <c r="L35">
        <f>IF(ISBLANK('By Round'!L62),"",'By Round'!L62)</f>
        <v/>
      </c>
      <c r="M35" s="11">
        <f>AVERAGE(AE35:AI35)</f>
        <v/>
      </c>
      <c r="N35" s="12">
        <f>AVERAGE(AJ35:AN35)</f>
        <v/>
      </c>
      <c r="O35" s="13">
        <f>IF(COUNT(U35:Y35)&gt;0,Q35/COUNT(U35:Y35),0.5)</f>
        <v/>
      </c>
      <c r="P35" s="13">
        <f>IF(COUNT(Z35:AD35)&gt;0,R35/COUNT(Z35:AD35),0.5)</f>
        <v/>
      </c>
      <c r="Q35" s="5">
        <f>SUM(U35:Y35)</f>
        <v/>
      </c>
      <c r="R35" s="5">
        <f>SUM(Z35:AD35)</f>
        <v/>
      </c>
      <c r="S35" s="14">
        <f>IF(ISNUMBER(K35),K35,IF(ISNUMBER(L35),-L35,""))</f>
        <v/>
      </c>
      <c r="T35">
        <f>IF(ISNUMBER(L35),L35,IF(ISNUMBER(K35),-K35,""))</f>
        <v/>
      </c>
      <c r="U35" s="14">
        <f>IF(ISNUMBER(S35),IF(ISNUMBER(S33),IF(S35&gt;S33,1.0,IF(S35=S33,0.5,0.0)),""),"")</f>
        <v/>
      </c>
      <c r="V35">
        <f>IF(ISNUMBER(S35),IF(ISNUMBER(S34),IF(S35&gt;S34,1.0,IF(S35=S34,0.5,0.0)),""),"")</f>
        <v/>
      </c>
      <c r="W35">
        <f>IF(ISNUMBER(S35),IF(ISNUMBER(S36),IF(S35&gt;S36,1.0,IF(S35=S36,0.5,0.0)),""),"")</f>
        <v/>
      </c>
      <c r="X35">
        <f>IF(ISNUMBER(S35),IF(ISNUMBER(S37),IF(S35&gt;S37,1.0,IF(S35=S37,0.5,0.0)),""),"")</f>
        <v/>
      </c>
      <c r="Y35">
        <f>IF(ISNUMBER(S35),IF(ISNUMBER(S38),IF(S35&gt;S38,1.0,IF(S35=S38,0.5,0.0)),""),"")</f>
        <v/>
      </c>
      <c r="Z35">
        <f>IF(ISNUMBER(T35),IF(ISNUMBER(T33),IF(T35&gt;T33,1.0,IF(T35=T33,0.5,0.0)),""),"")</f>
        <v/>
      </c>
      <c r="AA35">
        <f>IF(ISNUMBER(T35),IF(ISNUMBER(T34),IF(T35&gt;T34,1.0,IF(T35=T34,0.5,0.0)),""),"")</f>
        <v/>
      </c>
      <c r="AB35">
        <f>IF(ISNUMBER(T35),IF(ISNUMBER(T36),IF(T35&gt;T36,1.0,IF(T35=T36,0.5,0.0)),""),"")</f>
        <v/>
      </c>
      <c r="AC35">
        <f>IF(ISNUMBER(T35),IF(ISNUMBER(T37),IF(T35&gt;T37,1.0,IF(T35=T37,0.5,0.0)),""),"")</f>
        <v/>
      </c>
      <c r="AD35">
        <f>IF(ISNUMBER(T35),IF(ISNUMBER(T38),IF(T35&gt;T38,1.0,IF(T35=T38,0.5,0.0)),""),"")</f>
        <v/>
      </c>
      <c r="AE35" s="14">
        <f>IF(AND(ISNUMBER(S35),ISNUMBER(S33)),VLOOKUP(ABS(S35-S33),'IMP Table'!$A$2:$C$26,3)*SIGN(S35-S33),0)</f>
        <v/>
      </c>
      <c r="AF35">
        <f>IF(AND(ISNUMBER(S35),ISNUMBER(S34)),VLOOKUP(ABS(S35-S34),'IMP Table'!$A$2:$C$26,3)*SIGN(S35-S34),0)</f>
        <v/>
      </c>
      <c r="AG35">
        <f>IF(AND(ISNUMBER(S35),ISNUMBER(S36)),VLOOKUP(ABS(S35-S36),'IMP Table'!$A$2:$C$26,3)*SIGN(S35-S36),0)</f>
        <v/>
      </c>
      <c r="AH35">
        <f>IF(AND(ISNUMBER(S35),ISNUMBER(S37)),VLOOKUP(ABS(S35-S37),'IMP Table'!$A$2:$C$26,3)*SIGN(S35-S37),0)</f>
        <v/>
      </c>
      <c r="AI35">
        <f>IF(AND(ISNUMBER(S35),ISNUMBER(S38)),VLOOKUP(ABS(S35-S38),'IMP Table'!$A$2:$C$26,3)*SIGN(S35-S38),0)</f>
        <v/>
      </c>
      <c r="AJ35">
        <f>IF(AND(ISNUMBER(T35),ISNUMBER(T33)),VLOOKUP(ABS(T35-T33),'IMP Table'!$A$2:$C$26,3)*SIGN(T35-T33),0)</f>
        <v/>
      </c>
      <c r="AK35">
        <f>IF(AND(ISNUMBER(T35),ISNUMBER(T34)),VLOOKUP(ABS(T35-T34),'IMP Table'!$A$2:$C$26,3)*SIGN(T35-T34),0)</f>
        <v/>
      </c>
      <c r="AL35">
        <f>IF(AND(ISNUMBER(T35),ISNUMBER(T36)),VLOOKUP(ABS(T35-T36),'IMP Table'!$A$2:$C$26,3)*SIGN(T35-T36),0)</f>
        <v/>
      </c>
      <c r="AM35">
        <f>IF(AND(ISNUMBER(T35),ISNUMBER(T37)),VLOOKUP(ABS(T35-T37),'IMP Table'!$A$2:$C$26,3)*SIGN(T35-T37),0)</f>
        <v/>
      </c>
      <c r="AN35">
        <f>IF(AND(ISNUMBER(T35),ISNUMBER(T38)),VLOOKUP(ABS(T35-T38),'IMP Table'!$A$2:$C$26,3)*SIGN(T35-T38),0)</f>
        <v/>
      </c>
    </row>
    <row r="36">
      <c r="B36" s="10">
        <f>'By Round'!A99</f>
        <v/>
      </c>
      <c r="C36" s="10">
        <f>'By Round'!B103</f>
        <v/>
      </c>
      <c r="D36" s="10">
        <f>'By Round'!C103</f>
        <v/>
      </c>
      <c r="E36" s="10">
        <f>'By Round'!D103</f>
        <v/>
      </c>
      <c r="F36" s="10">
        <f>IF(ISBLANK('By Round'!F104),"",'By Round'!F104)</f>
        <v/>
      </c>
      <c r="G36">
        <f>IF(ISBLANK('By Round'!G104),"",'By Round'!G104)</f>
        <v/>
      </c>
      <c r="H36">
        <f>IF(ISBLANK('By Round'!H104),"",'By Round'!H104)</f>
        <v/>
      </c>
      <c r="I36">
        <f>IF(ISBLANK('By Round'!I104),"",'By Round'!I104)</f>
        <v/>
      </c>
      <c r="J36">
        <f>IF(ISBLANK('By Round'!J104),"",'By Round'!J104)</f>
        <v/>
      </c>
      <c r="K36">
        <f>IF(ISBLANK('By Round'!K104),"",'By Round'!K104)</f>
        <v/>
      </c>
      <c r="L36">
        <f>IF(ISBLANK('By Round'!L104),"",'By Round'!L104)</f>
        <v/>
      </c>
      <c r="M36" s="11">
        <f>AVERAGE(AE36:AI36)</f>
        <v/>
      </c>
      <c r="N36" s="12">
        <f>AVERAGE(AJ36:AN36)</f>
        <v/>
      </c>
      <c r="O36" s="13">
        <f>IF(COUNT(U36:Y36)&gt;0,Q36/COUNT(U36:Y36),0.5)</f>
        <v/>
      </c>
      <c r="P36" s="13">
        <f>IF(COUNT(Z36:AD36)&gt;0,R36/COUNT(Z36:AD36),0.5)</f>
        <v/>
      </c>
      <c r="Q36" s="5">
        <f>SUM(U36:Y36)</f>
        <v/>
      </c>
      <c r="R36" s="5">
        <f>SUM(Z36:AD36)</f>
        <v/>
      </c>
      <c r="S36" s="14">
        <f>IF(ISNUMBER(K36),K36,IF(ISNUMBER(L36),-L36,""))</f>
        <v/>
      </c>
      <c r="T36">
        <f>IF(ISNUMBER(L36),L36,IF(ISNUMBER(K36),-K36,""))</f>
        <v/>
      </c>
      <c r="U36" s="14">
        <f>IF(ISNUMBER(S36),IF(ISNUMBER(S33),IF(S36&gt;S33,1.0,IF(S36=S33,0.5,0.0)),""),"")</f>
        <v/>
      </c>
      <c r="V36">
        <f>IF(ISNUMBER(S36),IF(ISNUMBER(S34),IF(S36&gt;S34,1.0,IF(S36=S34,0.5,0.0)),""),"")</f>
        <v/>
      </c>
      <c r="W36">
        <f>IF(ISNUMBER(S36),IF(ISNUMBER(S35),IF(S36&gt;S35,1.0,IF(S36=S35,0.5,0.0)),""),"")</f>
        <v/>
      </c>
      <c r="X36">
        <f>IF(ISNUMBER(S36),IF(ISNUMBER(S37),IF(S36&gt;S37,1.0,IF(S36=S37,0.5,0.0)),""),"")</f>
        <v/>
      </c>
      <c r="Y36">
        <f>IF(ISNUMBER(S36),IF(ISNUMBER(S38),IF(S36&gt;S38,1.0,IF(S36=S38,0.5,0.0)),""),"")</f>
        <v/>
      </c>
      <c r="Z36">
        <f>IF(ISNUMBER(T36),IF(ISNUMBER(T33),IF(T36&gt;T33,1.0,IF(T36=T33,0.5,0.0)),""),"")</f>
        <v/>
      </c>
      <c r="AA36">
        <f>IF(ISNUMBER(T36),IF(ISNUMBER(T34),IF(T36&gt;T34,1.0,IF(T36=T34,0.5,0.0)),""),"")</f>
        <v/>
      </c>
      <c r="AB36">
        <f>IF(ISNUMBER(T36),IF(ISNUMBER(T35),IF(T36&gt;T35,1.0,IF(T36=T35,0.5,0.0)),""),"")</f>
        <v/>
      </c>
      <c r="AC36">
        <f>IF(ISNUMBER(T36),IF(ISNUMBER(T37),IF(T36&gt;T37,1.0,IF(T36=T37,0.5,0.0)),""),"")</f>
        <v/>
      </c>
      <c r="AD36">
        <f>IF(ISNUMBER(T36),IF(ISNUMBER(T38),IF(T36&gt;T38,1.0,IF(T36=T38,0.5,0.0)),""),"")</f>
        <v/>
      </c>
      <c r="AE36" s="14">
        <f>IF(AND(ISNUMBER(S36),ISNUMBER(S33)),VLOOKUP(ABS(S36-S33),'IMP Table'!$A$2:$C$26,3)*SIGN(S36-S33),0)</f>
        <v/>
      </c>
      <c r="AF36">
        <f>IF(AND(ISNUMBER(S36),ISNUMBER(S34)),VLOOKUP(ABS(S36-S34),'IMP Table'!$A$2:$C$26,3)*SIGN(S36-S34),0)</f>
        <v/>
      </c>
      <c r="AG36">
        <f>IF(AND(ISNUMBER(S36),ISNUMBER(S35)),VLOOKUP(ABS(S36-S35),'IMP Table'!$A$2:$C$26,3)*SIGN(S36-S35),0)</f>
        <v/>
      </c>
      <c r="AH36">
        <f>IF(AND(ISNUMBER(S36),ISNUMBER(S37)),VLOOKUP(ABS(S36-S37),'IMP Table'!$A$2:$C$26,3)*SIGN(S36-S37),0)</f>
        <v/>
      </c>
      <c r="AI36">
        <f>IF(AND(ISNUMBER(S36),ISNUMBER(S38)),VLOOKUP(ABS(S36-S38),'IMP Table'!$A$2:$C$26,3)*SIGN(S36-S38),0)</f>
        <v/>
      </c>
      <c r="AJ36">
        <f>IF(AND(ISNUMBER(T36),ISNUMBER(T33)),VLOOKUP(ABS(T36-T33),'IMP Table'!$A$2:$C$26,3)*SIGN(T36-T33),0)</f>
        <v/>
      </c>
      <c r="AK36">
        <f>IF(AND(ISNUMBER(T36),ISNUMBER(T34)),VLOOKUP(ABS(T36-T34),'IMP Table'!$A$2:$C$26,3)*SIGN(T36-T34),0)</f>
        <v/>
      </c>
      <c r="AL36">
        <f>IF(AND(ISNUMBER(T36),ISNUMBER(T35)),VLOOKUP(ABS(T36-T35),'IMP Table'!$A$2:$C$26,3)*SIGN(T36-T35),0)</f>
        <v/>
      </c>
      <c r="AM36">
        <f>IF(AND(ISNUMBER(T36),ISNUMBER(T37)),VLOOKUP(ABS(T36-T37),'IMP Table'!$A$2:$C$26,3)*SIGN(T36-T37),0)</f>
        <v/>
      </c>
      <c r="AN36">
        <f>IF(AND(ISNUMBER(T36),ISNUMBER(T38)),VLOOKUP(ABS(T36-T38),'IMP Table'!$A$2:$C$26,3)*SIGN(T36-T38),0)</f>
        <v/>
      </c>
    </row>
    <row r="37">
      <c r="B37" s="10">
        <f>'By Round'!A63</f>
        <v/>
      </c>
      <c r="C37" s="10">
        <f>'By Round'!B71</f>
        <v/>
      </c>
      <c r="D37" s="10">
        <f>'By Round'!C71</f>
        <v/>
      </c>
      <c r="E37" s="10">
        <f>'By Round'!D71</f>
        <v/>
      </c>
      <c r="F37" s="10">
        <f>IF(ISBLANK('By Round'!F72),"",'By Round'!F72)</f>
        <v/>
      </c>
      <c r="G37">
        <f>IF(ISBLANK('By Round'!G72),"",'By Round'!G72)</f>
        <v/>
      </c>
      <c r="H37">
        <f>IF(ISBLANK('By Round'!H72),"",'By Round'!H72)</f>
        <v/>
      </c>
      <c r="I37">
        <f>IF(ISBLANK('By Round'!I72),"",'By Round'!I72)</f>
        <v/>
      </c>
      <c r="J37">
        <f>IF(ISBLANK('By Round'!J72),"",'By Round'!J72)</f>
        <v/>
      </c>
      <c r="K37">
        <f>IF(ISBLANK('By Round'!K72),"",'By Round'!K72)</f>
        <v/>
      </c>
      <c r="L37">
        <f>IF(ISBLANK('By Round'!L72),"",'By Round'!L72)</f>
        <v/>
      </c>
      <c r="M37" s="11">
        <f>AVERAGE(AE37:AI37)</f>
        <v/>
      </c>
      <c r="N37" s="12">
        <f>AVERAGE(AJ37:AN37)</f>
        <v/>
      </c>
      <c r="O37" s="13">
        <f>IF(COUNT(U37:Y37)&gt;0,Q37/COUNT(U37:Y37),0.5)</f>
        <v/>
      </c>
      <c r="P37" s="13">
        <f>IF(COUNT(Z37:AD37)&gt;0,R37/COUNT(Z37:AD37),0.5)</f>
        <v/>
      </c>
      <c r="Q37" s="5">
        <f>SUM(U37:Y37)</f>
        <v/>
      </c>
      <c r="R37" s="5">
        <f>SUM(Z37:AD37)</f>
        <v/>
      </c>
      <c r="S37" s="14">
        <f>IF(ISNUMBER(K37),K37,IF(ISNUMBER(L37),-L37,""))</f>
        <v/>
      </c>
      <c r="T37">
        <f>IF(ISNUMBER(L37),L37,IF(ISNUMBER(K37),-K37,""))</f>
        <v/>
      </c>
      <c r="U37" s="14">
        <f>IF(ISNUMBER(S37),IF(ISNUMBER(S33),IF(S37&gt;S33,1.0,IF(S37=S33,0.5,0.0)),""),"")</f>
        <v/>
      </c>
      <c r="V37">
        <f>IF(ISNUMBER(S37),IF(ISNUMBER(S34),IF(S37&gt;S34,1.0,IF(S37=S34,0.5,0.0)),""),"")</f>
        <v/>
      </c>
      <c r="W37">
        <f>IF(ISNUMBER(S37),IF(ISNUMBER(S35),IF(S37&gt;S35,1.0,IF(S37=S35,0.5,0.0)),""),"")</f>
        <v/>
      </c>
      <c r="X37">
        <f>IF(ISNUMBER(S37),IF(ISNUMBER(S36),IF(S37&gt;S36,1.0,IF(S37=S36,0.5,0.0)),""),"")</f>
        <v/>
      </c>
      <c r="Y37">
        <f>IF(ISNUMBER(S37),IF(ISNUMBER(S38),IF(S37&gt;S38,1.0,IF(S37=S38,0.5,0.0)),""),"")</f>
        <v/>
      </c>
      <c r="Z37">
        <f>IF(ISNUMBER(T37),IF(ISNUMBER(T33),IF(T37&gt;T33,1.0,IF(T37=T33,0.5,0.0)),""),"")</f>
        <v/>
      </c>
      <c r="AA37">
        <f>IF(ISNUMBER(T37),IF(ISNUMBER(T34),IF(T37&gt;T34,1.0,IF(T37=T34,0.5,0.0)),""),"")</f>
        <v/>
      </c>
      <c r="AB37">
        <f>IF(ISNUMBER(T37),IF(ISNUMBER(T35),IF(T37&gt;T35,1.0,IF(T37=T35,0.5,0.0)),""),"")</f>
        <v/>
      </c>
      <c r="AC37">
        <f>IF(ISNUMBER(T37),IF(ISNUMBER(T36),IF(T37&gt;T36,1.0,IF(T37=T36,0.5,0.0)),""),"")</f>
        <v/>
      </c>
      <c r="AD37">
        <f>IF(ISNUMBER(T37),IF(ISNUMBER(T38),IF(T37&gt;T38,1.0,IF(T37=T38,0.5,0.0)),""),"")</f>
        <v/>
      </c>
      <c r="AE37" s="14">
        <f>IF(AND(ISNUMBER(S37),ISNUMBER(S33)),VLOOKUP(ABS(S37-S33),'IMP Table'!$A$2:$C$26,3)*SIGN(S37-S33),0)</f>
        <v/>
      </c>
      <c r="AF37">
        <f>IF(AND(ISNUMBER(S37),ISNUMBER(S34)),VLOOKUP(ABS(S37-S34),'IMP Table'!$A$2:$C$26,3)*SIGN(S37-S34),0)</f>
        <v/>
      </c>
      <c r="AG37">
        <f>IF(AND(ISNUMBER(S37),ISNUMBER(S35)),VLOOKUP(ABS(S37-S35),'IMP Table'!$A$2:$C$26,3)*SIGN(S37-S35),0)</f>
        <v/>
      </c>
      <c r="AH37">
        <f>IF(AND(ISNUMBER(S37),ISNUMBER(S36)),VLOOKUP(ABS(S37-S36),'IMP Table'!$A$2:$C$26,3)*SIGN(S37-S36),0)</f>
        <v/>
      </c>
      <c r="AI37">
        <f>IF(AND(ISNUMBER(S37),ISNUMBER(S38)),VLOOKUP(ABS(S37-S38),'IMP Table'!$A$2:$C$26,3)*SIGN(S37-S38),0)</f>
        <v/>
      </c>
      <c r="AJ37">
        <f>IF(AND(ISNUMBER(T37),ISNUMBER(T33)),VLOOKUP(ABS(T37-T33),'IMP Table'!$A$2:$C$26,3)*SIGN(T37-T33),0)</f>
        <v/>
      </c>
      <c r="AK37">
        <f>IF(AND(ISNUMBER(T37),ISNUMBER(T34)),VLOOKUP(ABS(T37-T34),'IMP Table'!$A$2:$C$26,3)*SIGN(T37-T34),0)</f>
        <v/>
      </c>
      <c r="AL37">
        <f>IF(AND(ISNUMBER(T37),ISNUMBER(T35)),VLOOKUP(ABS(T37-T35),'IMP Table'!$A$2:$C$26,3)*SIGN(T37-T35),0)</f>
        <v/>
      </c>
      <c r="AM37">
        <f>IF(AND(ISNUMBER(T37),ISNUMBER(T36)),VLOOKUP(ABS(T37-T36),'IMP Table'!$A$2:$C$26,3)*SIGN(T37-T36),0)</f>
        <v/>
      </c>
      <c r="AN37">
        <f>IF(AND(ISNUMBER(T37),ISNUMBER(T38)),VLOOKUP(ABS(T37-T38),'IMP Table'!$A$2:$C$26,3)*SIGN(T37-T38),0)</f>
        <v/>
      </c>
    </row>
    <row r="38">
      <c r="A38" s="15" t="n"/>
      <c r="B38" s="16">
        <f>'By Round'!A75</f>
        <v/>
      </c>
      <c r="C38" s="16">
        <f>'By Round'!B81</f>
        <v/>
      </c>
      <c r="D38" s="16">
        <f>'By Round'!C81</f>
        <v/>
      </c>
      <c r="E38" s="16">
        <f>'By Round'!D81</f>
        <v/>
      </c>
      <c r="F38" s="16">
        <f>IF(ISBLANK('By Round'!F82),"",'By Round'!F82)</f>
        <v/>
      </c>
      <c r="G38" s="15">
        <f>IF(ISBLANK('By Round'!G82),"",'By Round'!G82)</f>
        <v/>
      </c>
      <c r="H38" s="15">
        <f>IF(ISBLANK('By Round'!H82),"",'By Round'!H82)</f>
        <v/>
      </c>
      <c r="I38" s="15">
        <f>IF(ISBLANK('By Round'!I82),"",'By Round'!I82)</f>
        <v/>
      </c>
      <c r="J38" s="15">
        <f>IF(ISBLANK('By Round'!J82),"",'By Round'!J82)</f>
        <v/>
      </c>
      <c r="K38" s="15">
        <f>IF(ISBLANK('By Round'!K82),"",'By Round'!K82)</f>
        <v/>
      </c>
      <c r="L38" s="15">
        <f>IF(ISBLANK('By Round'!L82),"",'By Round'!L82)</f>
        <v/>
      </c>
      <c r="M38" s="17">
        <f>AVERAGE(AE38:AI38)</f>
        <v/>
      </c>
      <c r="N38" s="18">
        <f>AVERAGE(AJ38:AN38)</f>
        <v/>
      </c>
      <c r="O38" s="19">
        <f>IF(COUNT(U38:Y38)&gt;0,Q38/COUNT(U38:Y38),0.5)</f>
        <v/>
      </c>
      <c r="P38" s="19">
        <f>IF(COUNT(Z38:AD38)&gt;0,R38/COUNT(Z38:AD38),0.5)</f>
        <v/>
      </c>
      <c r="Q38" s="20">
        <f>SUM(U38:Y38)</f>
        <v/>
      </c>
      <c r="R38" s="20">
        <f>SUM(Z38:AD38)</f>
        <v/>
      </c>
      <c r="S38" s="21">
        <f>IF(ISNUMBER(K38),K38,IF(ISNUMBER(L38),-L38,""))</f>
        <v/>
      </c>
      <c r="T38" s="15">
        <f>IF(ISNUMBER(L38),L38,IF(ISNUMBER(K38),-K38,""))</f>
        <v/>
      </c>
      <c r="U38" s="21">
        <f>IF(ISNUMBER(S38),IF(ISNUMBER(S33),IF(S38&gt;S33,1.0,IF(S38=S33,0.5,0.0)),""),"")</f>
        <v/>
      </c>
      <c r="V38" s="15">
        <f>IF(ISNUMBER(S38),IF(ISNUMBER(S34),IF(S38&gt;S34,1.0,IF(S38=S34,0.5,0.0)),""),"")</f>
        <v/>
      </c>
      <c r="W38" s="15">
        <f>IF(ISNUMBER(S38),IF(ISNUMBER(S35),IF(S38&gt;S35,1.0,IF(S38=S35,0.5,0.0)),""),"")</f>
        <v/>
      </c>
      <c r="X38" s="15">
        <f>IF(ISNUMBER(S38),IF(ISNUMBER(S36),IF(S38&gt;S36,1.0,IF(S38=S36,0.5,0.0)),""),"")</f>
        <v/>
      </c>
      <c r="Y38" s="15">
        <f>IF(ISNUMBER(S38),IF(ISNUMBER(S37),IF(S38&gt;S37,1.0,IF(S38=S37,0.5,0.0)),""),"")</f>
        <v/>
      </c>
      <c r="Z38" s="15">
        <f>IF(ISNUMBER(T38),IF(ISNUMBER(T33),IF(T38&gt;T33,1.0,IF(T38=T33,0.5,0.0)),""),"")</f>
        <v/>
      </c>
      <c r="AA38" s="15">
        <f>IF(ISNUMBER(T38),IF(ISNUMBER(T34),IF(T38&gt;T34,1.0,IF(T38=T34,0.5,0.0)),""),"")</f>
        <v/>
      </c>
      <c r="AB38" s="15">
        <f>IF(ISNUMBER(T38),IF(ISNUMBER(T35),IF(T38&gt;T35,1.0,IF(T38=T35,0.5,0.0)),""),"")</f>
        <v/>
      </c>
      <c r="AC38" s="15">
        <f>IF(ISNUMBER(T38),IF(ISNUMBER(T36),IF(T38&gt;T36,1.0,IF(T38=T36,0.5,0.0)),""),"")</f>
        <v/>
      </c>
      <c r="AD38" s="15">
        <f>IF(ISNUMBER(T38),IF(ISNUMBER(T37),IF(T38&gt;T37,1.0,IF(T38=T37,0.5,0.0)),""),"")</f>
        <v/>
      </c>
      <c r="AE38" s="21">
        <f>IF(AND(ISNUMBER(S38),ISNUMBER(S33)),VLOOKUP(ABS(S38-S33),'IMP Table'!$A$2:$C$26,3)*SIGN(S38-S33),0)</f>
        <v/>
      </c>
      <c r="AF38" s="15">
        <f>IF(AND(ISNUMBER(S38),ISNUMBER(S34)),VLOOKUP(ABS(S38-S34),'IMP Table'!$A$2:$C$26,3)*SIGN(S38-S34),0)</f>
        <v/>
      </c>
      <c r="AG38" s="15">
        <f>IF(AND(ISNUMBER(S38),ISNUMBER(S35)),VLOOKUP(ABS(S38-S35),'IMP Table'!$A$2:$C$26,3)*SIGN(S38-S35),0)</f>
        <v/>
      </c>
      <c r="AH38" s="15">
        <f>IF(AND(ISNUMBER(S38),ISNUMBER(S36)),VLOOKUP(ABS(S38-S36),'IMP Table'!$A$2:$C$26,3)*SIGN(S38-S36),0)</f>
        <v/>
      </c>
      <c r="AI38" s="15">
        <f>IF(AND(ISNUMBER(S38),ISNUMBER(S37)),VLOOKUP(ABS(S38-S37),'IMP Table'!$A$2:$C$26,3)*SIGN(S38-S37),0)</f>
        <v/>
      </c>
      <c r="AJ38" s="15">
        <f>IF(AND(ISNUMBER(T38),ISNUMBER(T33)),VLOOKUP(ABS(T38-T33),'IMP Table'!$A$2:$C$26,3)*SIGN(T38-T33),0)</f>
        <v/>
      </c>
      <c r="AK38" s="15">
        <f>IF(AND(ISNUMBER(T38),ISNUMBER(T34)),VLOOKUP(ABS(T38-T34),'IMP Table'!$A$2:$C$26,3)*SIGN(T38-T34),0)</f>
        <v/>
      </c>
      <c r="AL38" s="15">
        <f>IF(AND(ISNUMBER(T38),ISNUMBER(T35)),VLOOKUP(ABS(T38-T35),'IMP Table'!$A$2:$C$26,3)*SIGN(T38-T35),0)</f>
        <v/>
      </c>
      <c r="AM38" s="15">
        <f>IF(AND(ISNUMBER(T38),ISNUMBER(T36)),VLOOKUP(ABS(T38-T36),'IMP Table'!$A$2:$C$26,3)*SIGN(T38-T36),0)</f>
        <v/>
      </c>
      <c r="AN38" s="15">
        <f>IF(AND(ISNUMBER(T38),ISNUMBER(T37)),VLOOKUP(ABS(T38-T37),'IMP Table'!$A$2:$C$26,3)*SIGN(T38-T37),0)</f>
        <v/>
      </c>
    </row>
    <row r="39">
      <c r="A39" s="10" t="n">
        <v>7</v>
      </c>
      <c r="B39" s="10">
        <f>'By Round'!A39</f>
        <v/>
      </c>
      <c r="C39" s="10">
        <f>'By Round'!B39</f>
        <v/>
      </c>
      <c r="D39" s="10">
        <f>'By Round'!C39</f>
        <v/>
      </c>
      <c r="E39" s="10">
        <f>'By Round'!D39</f>
        <v/>
      </c>
      <c r="F39" s="10">
        <f>IF(ISBLANK('By Round'!F39),"",'By Round'!F39)</f>
        <v/>
      </c>
      <c r="G39">
        <f>IF(ISBLANK('By Round'!G39),"",'By Round'!G39)</f>
        <v/>
      </c>
      <c r="H39">
        <f>IF(ISBLANK('By Round'!H39),"",'By Round'!H39)</f>
        <v/>
      </c>
      <c r="I39">
        <f>IF(ISBLANK('By Round'!I39),"",'By Round'!I39)</f>
        <v/>
      </c>
      <c r="J39">
        <f>IF(ISBLANK('By Round'!J39),"",'By Round'!J39)</f>
        <v/>
      </c>
      <c r="K39">
        <f>IF(ISBLANK('By Round'!K39),"",'By Round'!K39)</f>
        <v/>
      </c>
      <c r="L39">
        <f>IF(ISBLANK('By Round'!L39),"",'By Round'!L39)</f>
        <v/>
      </c>
      <c r="M39" s="11">
        <f>AVERAGE(AE39:AI39)</f>
        <v/>
      </c>
      <c r="N39" s="12">
        <f>AVERAGE(AJ39:AN39)</f>
        <v/>
      </c>
      <c r="O39" s="13">
        <f>IF(COUNT(U39:Y39)&gt;0,Q39/COUNT(U39:Y39),0.5)</f>
        <v/>
      </c>
      <c r="P39" s="13">
        <f>IF(COUNT(Z39:AD39)&gt;0,R39/COUNT(Z39:AD39),0.5)</f>
        <v/>
      </c>
      <c r="Q39" s="5">
        <f>SUM(U39:Y39)</f>
        <v/>
      </c>
      <c r="R39" s="5">
        <f>SUM(Z39:AD39)</f>
        <v/>
      </c>
      <c r="S39" s="14">
        <f>IF(ISNUMBER(K39),K39,IF(ISNUMBER(L39),-L39,""))</f>
        <v/>
      </c>
      <c r="T39">
        <f>IF(ISNUMBER(L39),L39,IF(ISNUMBER(K39),-K39,""))</f>
        <v/>
      </c>
      <c r="U39" s="14">
        <f>IF(ISNUMBER(S39),IF(ISNUMBER(S40),IF(S39&gt;S40,1.0,IF(S39=S40,0.5,0.0)),""),"")</f>
        <v/>
      </c>
      <c r="V39">
        <f>IF(ISNUMBER(S39),IF(ISNUMBER(S41),IF(S39&gt;S41,1.0,IF(S39=S41,0.5,0.0)),""),"")</f>
        <v/>
      </c>
      <c r="W39">
        <f>IF(ISNUMBER(S39),IF(ISNUMBER(S42),IF(S39&gt;S42,1.0,IF(S39=S42,0.5,0.0)),""),"")</f>
        <v/>
      </c>
      <c r="X39">
        <f>IF(ISNUMBER(S39),IF(ISNUMBER(S43),IF(S39&gt;S43,1.0,IF(S39=S43,0.5,0.0)),""),"")</f>
        <v/>
      </c>
      <c r="Y39">
        <f>IF(ISNUMBER(S39),IF(ISNUMBER(S44),IF(S39&gt;S44,1.0,IF(S39=S44,0.5,0.0)),""),"")</f>
        <v/>
      </c>
      <c r="Z39">
        <f>IF(ISNUMBER(T39),IF(ISNUMBER(T40),IF(T39&gt;T40,1.0,IF(T39=T40,0.5,0.0)),""),"")</f>
        <v/>
      </c>
      <c r="AA39">
        <f>IF(ISNUMBER(T39),IF(ISNUMBER(T41),IF(T39&gt;T41,1.0,IF(T39=T41,0.5,0.0)),""),"")</f>
        <v/>
      </c>
      <c r="AB39">
        <f>IF(ISNUMBER(T39),IF(ISNUMBER(T42),IF(T39&gt;T42,1.0,IF(T39=T42,0.5,0.0)),""),"")</f>
        <v/>
      </c>
      <c r="AC39">
        <f>IF(ISNUMBER(T39),IF(ISNUMBER(T43),IF(T39&gt;T43,1.0,IF(T39=T43,0.5,0.0)),""),"")</f>
        <v/>
      </c>
      <c r="AD39">
        <f>IF(ISNUMBER(T39),IF(ISNUMBER(T44),IF(T39&gt;T44,1.0,IF(T39=T44,0.5,0.0)),""),"")</f>
        <v/>
      </c>
      <c r="AE39" s="14">
        <f>IF(AND(ISNUMBER(S39),ISNUMBER(S40)),VLOOKUP(ABS(S39-S40),'IMP Table'!$A$2:$C$26,3)*SIGN(S39-S40),0)</f>
        <v/>
      </c>
      <c r="AF39">
        <f>IF(AND(ISNUMBER(S39),ISNUMBER(S41)),VLOOKUP(ABS(S39-S41),'IMP Table'!$A$2:$C$26,3)*SIGN(S39-S41),0)</f>
        <v/>
      </c>
      <c r="AG39">
        <f>IF(AND(ISNUMBER(S39),ISNUMBER(S42)),VLOOKUP(ABS(S39-S42),'IMP Table'!$A$2:$C$26,3)*SIGN(S39-S42),0)</f>
        <v/>
      </c>
      <c r="AH39">
        <f>IF(AND(ISNUMBER(S39),ISNUMBER(S43)),VLOOKUP(ABS(S39-S43),'IMP Table'!$A$2:$C$26,3)*SIGN(S39-S43),0)</f>
        <v/>
      </c>
      <c r="AI39">
        <f>IF(AND(ISNUMBER(S39),ISNUMBER(S44)),VLOOKUP(ABS(S39-S44),'IMP Table'!$A$2:$C$26,3)*SIGN(S39-S44),0)</f>
        <v/>
      </c>
      <c r="AJ39">
        <f>IF(AND(ISNUMBER(T39),ISNUMBER(T40)),VLOOKUP(ABS(T39-T40),'IMP Table'!$A$2:$C$26,3)*SIGN(T39-T40),0)</f>
        <v/>
      </c>
      <c r="AK39">
        <f>IF(AND(ISNUMBER(T39),ISNUMBER(T41)),VLOOKUP(ABS(T39-T41),'IMP Table'!$A$2:$C$26,3)*SIGN(T39-T41),0)</f>
        <v/>
      </c>
      <c r="AL39">
        <f>IF(AND(ISNUMBER(T39),ISNUMBER(T42)),VLOOKUP(ABS(T39-T42),'IMP Table'!$A$2:$C$26,3)*SIGN(T39-T42),0)</f>
        <v/>
      </c>
      <c r="AM39">
        <f>IF(AND(ISNUMBER(T39),ISNUMBER(T43)),VLOOKUP(ABS(T39-T43),'IMP Table'!$A$2:$C$26,3)*SIGN(T39-T43),0)</f>
        <v/>
      </c>
      <c r="AN39">
        <f>IF(AND(ISNUMBER(T39),ISNUMBER(T44)),VLOOKUP(ABS(T39-T44),'IMP Table'!$A$2:$C$26,3)*SIGN(T39-T44),0)</f>
        <v/>
      </c>
    </row>
    <row r="40">
      <c r="B40" s="10">
        <f>'By Round'!A87</f>
        <v/>
      </c>
      <c r="C40" s="10">
        <f>'By Round'!B93</f>
        <v/>
      </c>
      <c r="D40" s="10">
        <f>'By Round'!C93</f>
        <v/>
      </c>
      <c r="E40" s="10">
        <f>'By Round'!D93</f>
        <v/>
      </c>
      <c r="F40" s="10">
        <f>IF(ISBLANK('By Round'!F93),"",'By Round'!F93)</f>
        <v/>
      </c>
      <c r="G40">
        <f>IF(ISBLANK('By Round'!G93),"",'By Round'!G93)</f>
        <v/>
      </c>
      <c r="H40">
        <f>IF(ISBLANK('By Round'!H93),"",'By Round'!H93)</f>
        <v/>
      </c>
      <c r="I40">
        <f>IF(ISBLANK('By Round'!I93),"",'By Round'!I93)</f>
        <v/>
      </c>
      <c r="J40">
        <f>IF(ISBLANK('By Round'!J93),"",'By Round'!J93)</f>
        <v/>
      </c>
      <c r="K40">
        <f>IF(ISBLANK('By Round'!K93),"",'By Round'!K93)</f>
        <v/>
      </c>
      <c r="L40">
        <f>IF(ISBLANK('By Round'!L93),"",'By Round'!L93)</f>
        <v/>
      </c>
      <c r="M40" s="11">
        <f>AVERAGE(AE40:AI40)</f>
        <v/>
      </c>
      <c r="N40" s="12">
        <f>AVERAGE(AJ40:AN40)</f>
        <v/>
      </c>
      <c r="O40" s="13">
        <f>IF(COUNT(U40:Y40)&gt;0,Q40/COUNT(U40:Y40),0.5)</f>
        <v/>
      </c>
      <c r="P40" s="13">
        <f>IF(COUNT(Z40:AD40)&gt;0,R40/COUNT(Z40:AD40),0.5)</f>
        <v/>
      </c>
      <c r="Q40" s="5">
        <f>SUM(U40:Y40)</f>
        <v/>
      </c>
      <c r="R40" s="5">
        <f>SUM(Z40:AD40)</f>
        <v/>
      </c>
      <c r="S40" s="14">
        <f>IF(ISNUMBER(K40),K40,IF(ISNUMBER(L40),-L40,""))</f>
        <v/>
      </c>
      <c r="T40">
        <f>IF(ISNUMBER(L40),L40,IF(ISNUMBER(K40),-K40,""))</f>
        <v/>
      </c>
      <c r="U40" s="14">
        <f>IF(ISNUMBER(S40),IF(ISNUMBER(S39),IF(S40&gt;S39,1.0,IF(S40=S39,0.5,0.0)),""),"")</f>
        <v/>
      </c>
      <c r="V40">
        <f>IF(ISNUMBER(S40),IF(ISNUMBER(S41),IF(S40&gt;S41,1.0,IF(S40=S41,0.5,0.0)),""),"")</f>
        <v/>
      </c>
      <c r="W40">
        <f>IF(ISNUMBER(S40),IF(ISNUMBER(S42),IF(S40&gt;S42,1.0,IF(S40=S42,0.5,0.0)),""),"")</f>
        <v/>
      </c>
      <c r="X40">
        <f>IF(ISNUMBER(S40),IF(ISNUMBER(S43),IF(S40&gt;S43,1.0,IF(S40=S43,0.5,0.0)),""),"")</f>
        <v/>
      </c>
      <c r="Y40">
        <f>IF(ISNUMBER(S40),IF(ISNUMBER(S44),IF(S40&gt;S44,1.0,IF(S40=S44,0.5,0.0)),""),"")</f>
        <v/>
      </c>
      <c r="Z40">
        <f>IF(ISNUMBER(T40),IF(ISNUMBER(T39),IF(T40&gt;T39,1.0,IF(T40=T39,0.5,0.0)),""),"")</f>
        <v/>
      </c>
      <c r="AA40">
        <f>IF(ISNUMBER(T40),IF(ISNUMBER(T41),IF(T40&gt;T41,1.0,IF(T40=T41,0.5,0.0)),""),"")</f>
        <v/>
      </c>
      <c r="AB40">
        <f>IF(ISNUMBER(T40),IF(ISNUMBER(T42),IF(T40&gt;T42,1.0,IF(T40=T42,0.5,0.0)),""),"")</f>
        <v/>
      </c>
      <c r="AC40">
        <f>IF(ISNUMBER(T40),IF(ISNUMBER(T43),IF(T40&gt;T43,1.0,IF(T40=T43,0.5,0.0)),""),"")</f>
        <v/>
      </c>
      <c r="AD40">
        <f>IF(ISNUMBER(T40),IF(ISNUMBER(T44),IF(T40&gt;T44,1.0,IF(T40=T44,0.5,0.0)),""),"")</f>
        <v/>
      </c>
      <c r="AE40" s="14">
        <f>IF(AND(ISNUMBER(S40),ISNUMBER(S39)),VLOOKUP(ABS(S40-S39),'IMP Table'!$A$2:$C$26,3)*SIGN(S40-S39),0)</f>
        <v/>
      </c>
      <c r="AF40">
        <f>IF(AND(ISNUMBER(S40),ISNUMBER(S41)),VLOOKUP(ABS(S40-S41),'IMP Table'!$A$2:$C$26,3)*SIGN(S40-S41),0)</f>
        <v/>
      </c>
      <c r="AG40">
        <f>IF(AND(ISNUMBER(S40),ISNUMBER(S42)),VLOOKUP(ABS(S40-S42),'IMP Table'!$A$2:$C$26,3)*SIGN(S40-S42),0)</f>
        <v/>
      </c>
      <c r="AH40">
        <f>IF(AND(ISNUMBER(S40),ISNUMBER(S43)),VLOOKUP(ABS(S40-S43),'IMP Table'!$A$2:$C$26,3)*SIGN(S40-S43),0)</f>
        <v/>
      </c>
      <c r="AI40">
        <f>IF(AND(ISNUMBER(S40),ISNUMBER(S44)),VLOOKUP(ABS(S40-S44),'IMP Table'!$A$2:$C$26,3)*SIGN(S40-S44),0)</f>
        <v/>
      </c>
      <c r="AJ40">
        <f>IF(AND(ISNUMBER(T40),ISNUMBER(T39)),VLOOKUP(ABS(T40-T39),'IMP Table'!$A$2:$C$26,3)*SIGN(T40-T39),0)</f>
        <v/>
      </c>
      <c r="AK40">
        <f>IF(AND(ISNUMBER(T40),ISNUMBER(T41)),VLOOKUP(ABS(T40-T41),'IMP Table'!$A$2:$C$26,3)*SIGN(T40-T41),0)</f>
        <v/>
      </c>
      <c r="AL40">
        <f>IF(AND(ISNUMBER(T40),ISNUMBER(T42)),VLOOKUP(ABS(T40-T42),'IMP Table'!$A$2:$C$26,3)*SIGN(T40-T42),0)</f>
        <v/>
      </c>
      <c r="AM40">
        <f>IF(AND(ISNUMBER(T40),ISNUMBER(T43)),VLOOKUP(ABS(T40-T43),'IMP Table'!$A$2:$C$26,3)*SIGN(T40-T43),0)</f>
        <v/>
      </c>
      <c r="AN40">
        <f>IF(AND(ISNUMBER(T40),ISNUMBER(T44)),VLOOKUP(ABS(T40-T44),'IMP Table'!$A$2:$C$26,3)*SIGN(T40-T44),0)</f>
        <v/>
      </c>
    </row>
    <row r="41">
      <c r="B41" s="10">
        <f>'By Round'!A123</f>
        <v/>
      </c>
      <c r="C41" s="10">
        <f>'By Round'!B125</f>
        <v/>
      </c>
      <c r="D41" s="10">
        <f>'By Round'!C125</f>
        <v/>
      </c>
      <c r="E41" s="10">
        <f>'By Round'!D125</f>
        <v/>
      </c>
      <c r="F41" s="10">
        <f>IF(ISBLANK('By Round'!F125),"",'By Round'!F125)</f>
        <v/>
      </c>
      <c r="G41">
        <f>IF(ISBLANK('By Round'!G125),"",'By Round'!G125)</f>
        <v/>
      </c>
      <c r="H41">
        <f>IF(ISBLANK('By Round'!H125),"",'By Round'!H125)</f>
        <v/>
      </c>
      <c r="I41">
        <f>IF(ISBLANK('By Round'!I125),"",'By Round'!I125)</f>
        <v/>
      </c>
      <c r="J41">
        <f>IF(ISBLANK('By Round'!J125),"",'By Round'!J125)</f>
        <v/>
      </c>
      <c r="K41">
        <f>IF(ISBLANK('By Round'!K125),"",'By Round'!K125)</f>
        <v/>
      </c>
      <c r="L41">
        <f>IF(ISBLANK('By Round'!L125),"",'By Round'!L125)</f>
        <v/>
      </c>
      <c r="M41" s="11">
        <f>AVERAGE(AE41:AI41)</f>
        <v/>
      </c>
      <c r="N41" s="12">
        <f>AVERAGE(AJ41:AN41)</f>
        <v/>
      </c>
      <c r="O41" s="13">
        <f>IF(COUNT(U41:Y41)&gt;0,Q41/COUNT(U41:Y41),0.5)</f>
        <v/>
      </c>
      <c r="P41" s="13">
        <f>IF(COUNT(Z41:AD41)&gt;0,R41/COUNT(Z41:AD41),0.5)</f>
        <v/>
      </c>
      <c r="Q41" s="5">
        <f>SUM(U41:Y41)</f>
        <v/>
      </c>
      <c r="R41" s="5">
        <f>SUM(Z41:AD41)</f>
        <v/>
      </c>
      <c r="S41" s="14">
        <f>IF(ISNUMBER(K41),K41,IF(ISNUMBER(L41),-L41,""))</f>
        <v/>
      </c>
      <c r="T41">
        <f>IF(ISNUMBER(L41),L41,IF(ISNUMBER(K41),-K41,""))</f>
        <v/>
      </c>
      <c r="U41" s="14">
        <f>IF(ISNUMBER(S41),IF(ISNUMBER(S39),IF(S41&gt;S39,1.0,IF(S41=S39,0.5,0.0)),""),"")</f>
        <v/>
      </c>
      <c r="V41">
        <f>IF(ISNUMBER(S41),IF(ISNUMBER(S40),IF(S41&gt;S40,1.0,IF(S41=S40,0.5,0.0)),""),"")</f>
        <v/>
      </c>
      <c r="W41">
        <f>IF(ISNUMBER(S41),IF(ISNUMBER(S42),IF(S41&gt;S42,1.0,IF(S41=S42,0.5,0.0)),""),"")</f>
        <v/>
      </c>
      <c r="X41">
        <f>IF(ISNUMBER(S41),IF(ISNUMBER(S43),IF(S41&gt;S43,1.0,IF(S41=S43,0.5,0.0)),""),"")</f>
        <v/>
      </c>
      <c r="Y41">
        <f>IF(ISNUMBER(S41),IF(ISNUMBER(S44),IF(S41&gt;S44,1.0,IF(S41=S44,0.5,0.0)),""),"")</f>
        <v/>
      </c>
      <c r="Z41">
        <f>IF(ISNUMBER(T41),IF(ISNUMBER(T39),IF(T41&gt;T39,1.0,IF(T41=T39,0.5,0.0)),""),"")</f>
        <v/>
      </c>
      <c r="AA41">
        <f>IF(ISNUMBER(T41),IF(ISNUMBER(T40),IF(T41&gt;T40,1.0,IF(T41=T40,0.5,0.0)),""),"")</f>
        <v/>
      </c>
      <c r="AB41">
        <f>IF(ISNUMBER(T41),IF(ISNUMBER(T42),IF(T41&gt;T42,1.0,IF(T41=T42,0.5,0.0)),""),"")</f>
        <v/>
      </c>
      <c r="AC41">
        <f>IF(ISNUMBER(T41),IF(ISNUMBER(T43),IF(T41&gt;T43,1.0,IF(T41=T43,0.5,0.0)),""),"")</f>
        <v/>
      </c>
      <c r="AD41">
        <f>IF(ISNUMBER(T41),IF(ISNUMBER(T44),IF(T41&gt;T44,1.0,IF(T41=T44,0.5,0.0)),""),"")</f>
        <v/>
      </c>
      <c r="AE41" s="14">
        <f>IF(AND(ISNUMBER(S41),ISNUMBER(S39)),VLOOKUP(ABS(S41-S39),'IMP Table'!$A$2:$C$26,3)*SIGN(S41-S39),0)</f>
        <v/>
      </c>
      <c r="AF41">
        <f>IF(AND(ISNUMBER(S41),ISNUMBER(S40)),VLOOKUP(ABS(S41-S40),'IMP Table'!$A$2:$C$26,3)*SIGN(S41-S40),0)</f>
        <v/>
      </c>
      <c r="AG41">
        <f>IF(AND(ISNUMBER(S41),ISNUMBER(S42)),VLOOKUP(ABS(S41-S42),'IMP Table'!$A$2:$C$26,3)*SIGN(S41-S42),0)</f>
        <v/>
      </c>
      <c r="AH41">
        <f>IF(AND(ISNUMBER(S41),ISNUMBER(S43)),VLOOKUP(ABS(S41-S43),'IMP Table'!$A$2:$C$26,3)*SIGN(S41-S43),0)</f>
        <v/>
      </c>
      <c r="AI41">
        <f>IF(AND(ISNUMBER(S41),ISNUMBER(S44)),VLOOKUP(ABS(S41-S44),'IMP Table'!$A$2:$C$26,3)*SIGN(S41-S44),0)</f>
        <v/>
      </c>
      <c r="AJ41">
        <f>IF(AND(ISNUMBER(T41),ISNUMBER(T39)),VLOOKUP(ABS(T41-T39),'IMP Table'!$A$2:$C$26,3)*SIGN(T41-T39),0)</f>
        <v/>
      </c>
      <c r="AK41">
        <f>IF(AND(ISNUMBER(T41),ISNUMBER(T40)),VLOOKUP(ABS(T41-T40),'IMP Table'!$A$2:$C$26,3)*SIGN(T41-T40),0)</f>
        <v/>
      </c>
      <c r="AL41">
        <f>IF(AND(ISNUMBER(T41),ISNUMBER(T42)),VLOOKUP(ABS(T41-T42),'IMP Table'!$A$2:$C$26,3)*SIGN(T41-T42),0)</f>
        <v/>
      </c>
      <c r="AM41">
        <f>IF(AND(ISNUMBER(T41),ISNUMBER(T43)),VLOOKUP(ABS(T41-T43),'IMP Table'!$A$2:$C$26,3)*SIGN(T41-T43),0)</f>
        <v/>
      </c>
      <c r="AN41">
        <f>IF(AND(ISNUMBER(T41),ISNUMBER(T44)),VLOOKUP(ABS(T41-T44),'IMP Table'!$A$2:$C$26,3)*SIGN(T41-T44),0)</f>
        <v/>
      </c>
    </row>
    <row r="42">
      <c r="B42" s="10">
        <f>'By Round'!A63</f>
        <v/>
      </c>
      <c r="C42" s="10">
        <f>'By Round'!B73</f>
        <v/>
      </c>
      <c r="D42" s="10">
        <f>'By Round'!C73</f>
        <v/>
      </c>
      <c r="E42" s="10">
        <f>'By Round'!D73</f>
        <v/>
      </c>
      <c r="F42" s="10">
        <f>IF(ISBLANK('By Round'!F73),"",'By Round'!F73)</f>
        <v/>
      </c>
      <c r="G42">
        <f>IF(ISBLANK('By Round'!G73),"",'By Round'!G73)</f>
        <v/>
      </c>
      <c r="H42">
        <f>IF(ISBLANK('By Round'!H73),"",'By Round'!H73)</f>
        <v/>
      </c>
      <c r="I42">
        <f>IF(ISBLANK('By Round'!I73),"",'By Round'!I73)</f>
        <v/>
      </c>
      <c r="J42">
        <f>IF(ISBLANK('By Round'!J73),"",'By Round'!J73)</f>
        <v/>
      </c>
      <c r="K42">
        <f>IF(ISBLANK('By Round'!K73),"",'By Round'!K73)</f>
        <v/>
      </c>
      <c r="L42">
        <f>IF(ISBLANK('By Round'!L73),"",'By Round'!L73)</f>
        <v/>
      </c>
      <c r="M42" s="11">
        <f>AVERAGE(AE42:AI42)</f>
        <v/>
      </c>
      <c r="N42" s="12">
        <f>AVERAGE(AJ42:AN42)</f>
        <v/>
      </c>
      <c r="O42" s="13">
        <f>IF(COUNT(U42:Y42)&gt;0,Q42/COUNT(U42:Y42),0.5)</f>
        <v/>
      </c>
      <c r="P42" s="13">
        <f>IF(COUNT(Z42:AD42)&gt;0,R42/COUNT(Z42:AD42),0.5)</f>
        <v/>
      </c>
      <c r="Q42" s="5">
        <f>SUM(U42:Y42)</f>
        <v/>
      </c>
      <c r="R42" s="5">
        <f>SUM(Z42:AD42)</f>
        <v/>
      </c>
      <c r="S42" s="14">
        <f>IF(ISNUMBER(K42),K42,IF(ISNUMBER(L42),-L42,""))</f>
        <v/>
      </c>
      <c r="T42">
        <f>IF(ISNUMBER(L42),L42,IF(ISNUMBER(K42),-K42,""))</f>
        <v/>
      </c>
      <c r="U42" s="14">
        <f>IF(ISNUMBER(S42),IF(ISNUMBER(S39),IF(S42&gt;S39,1.0,IF(S42=S39,0.5,0.0)),""),"")</f>
        <v/>
      </c>
      <c r="V42">
        <f>IF(ISNUMBER(S42),IF(ISNUMBER(S40),IF(S42&gt;S40,1.0,IF(S42=S40,0.5,0.0)),""),"")</f>
        <v/>
      </c>
      <c r="W42">
        <f>IF(ISNUMBER(S42),IF(ISNUMBER(S41),IF(S42&gt;S41,1.0,IF(S42=S41,0.5,0.0)),""),"")</f>
        <v/>
      </c>
      <c r="X42">
        <f>IF(ISNUMBER(S42),IF(ISNUMBER(S43),IF(S42&gt;S43,1.0,IF(S42=S43,0.5,0.0)),""),"")</f>
        <v/>
      </c>
      <c r="Y42">
        <f>IF(ISNUMBER(S42),IF(ISNUMBER(S44),IF(S42&gt;S44,1.0,IF(S42=S44,0.5,0.0)),""),"")</f>
        <v/>
      </c>
      <c r="Z42">
        <f>IF(ISNUMBER(T42),IF(ISNUMBER(T39),IF(T42&gt;T39,1.0,IF(T42=T39,0.5,0.0)),""),"")</f>
        <v/>
      </c>
      <c r="AA42">
        <f>IF(ISNUMBER(T42),IF(ISNUMBER(T40),IF(T42&gt;T40,1.0,IF(T42=T40,0.5,0.0)),""),"")</f>
        <v/>
      </c>
      <c r="AB42">
        <f>IF(ISNUMBER(T42),IF(ISNUMBER(T41),IF(T42&gt;T41,1.0,IF(T42=T41,0.5,0.0)),""),"")</f>
        <v/>
      </c>
      <c r="AC42">
        <f>IF(ISNUMBER(T42),IF(ISNUMBER(T43),IF(T42&gt;T43,1.0,IF(T42=T43,0.5,0.0)),""),"")</f>
        <v/>
      </c>
      <c r="AD42">
        <f>IF(ISNUMBER(T42),IF(ISNUMBER(T44),IF(T42&gt;T44,1.0,IF(T42=T44,0.5,0.0)),""),"")</f>
        <v/>
      </c>
      <c r="AE42" s="14">
        <f>IF(AND(ISNUMBER(S42),ISNUMBER(S39)),VLOOKUP(ABS(S42-S39),'IMP Table'!$A$2:$C$26,3)*SIGN(S42-S39),0)</f>
        <v/>
      </c>
      <c r="AF42">
        <f>IF(AND(ISNUMBER(S42),ISNUMBER(S40)),VLOOKUP(ABS(S42-S40),'IMP Table'!$A$2:$C$26,3)*SIGN(S42-S40),0)</f>
        <v/>
      </c>
      <c r="AG42">
        <f>IF(AND(ISNUMBER(S42),ISNUMBER(S41)),VLOOKUP(ABS(S42-S41),'IMP Table'!$A$2:$C$26,3)*SIGN(S42-S41),0)</f>
        <v/>
      </c>
      <c r="AH42">
        <f>IF(AND(ISNUMBER(S42),ISNUMBER(S43)),VLOOKUP(ABS(S42-S43),'IMP Table'!$A$2:$C$26,3)*SIGN(S42-S43),0)</f>
        <v/>
      </c>
      <c r="AI42">
        <f>IF(AND(ISNUMBER(S42),ISNUMBER(S44)),VLOOKUP(ABS(S42-S44),'IMP Table'!$A$2:$C$26,3)*SIGN(S42-S44),0)</f>
        <v/>
      </c>
      <c r="AJ42">
        <f>IF(AND(ISNUMBER(T42),ISNUMBER(T39)),VLOOKUP(ABS(T42-T39),'IMP Table'!$A$2:$C$26,3)*SIGN(T42-T39),0)</f>
        <v/>
      </c>
      <c r="AK42">
        <f>IF(AND(ISNUMBER(T42),ISNUMBER(T40)),VLOOKUP(ABS(T42-T40),'IMP Table'!$A$2:$C$26,3)*SIGN(T42-T40),0)</f>
        <v/>
      </c>
      <c r="AL42">
        <f>IF(AND(ISNUMBER(T42),ISNUMBER(T41)),VLOOKUP(ABS(T42-T41),'IMP Table'!$A$2:$C$26,3)*SIGN(T42-T41),0)</f>
        <v/>
      </c>
      <c r="AM42">
        <f>IF(AND(ISNUMBER(T42),ISNUMBER(T43)),VLOOKUP(ABS(T42-T43),'IMP Table'!$A$2:$C$26,3)*SIGN(T42-T43),0)</f>
        <v/>
      </c>
      <c r="AN42">
        <f>IF(AND(ISNUMBER(T42),ISNUMBER(T44)),VLOOKUP(ABS(T42-T44),'IMP Table'!$A$2:$C$26,3)*SIGN(T42-T44),0)</f>
        <v/>
      </c>
    </row>
    <row r="43">
      <c r="B43" s="10">
        <f>'By Round'!A111</f>
        <v/>
      </c>
      <c r="C43" s="10">
        <f>'By Round'!B115</f>
        <v/>
      </c>
      <c r="D43" s="10">
        <f>'By Round'!C115</f>
        <v/>
      </c>
      <c r="E43" s="10">
        <f>'By Round'!D115</f>
        <v/>
      </c>
      <c r="F43" s="10">
        <f>IF(ISBLANK('By Round'!F115),"",'By Round'!F115)</f>
        <v/>
      </c>
      <c r="G43">
        <f>IF(ISBLANK('By Round'!G115),"",'By Round'!G115)</f>
        <v/>
      </c>
      <c r="H43">
        <f>IF(ISBLANK('By Round'!H115),"",'By Round'!H115)</f>
        <v/>
      </c>
      <c r="I43">
        <f>IF(ISBLANK('By Round'!I115),"",'By Round'!I115)</f>
        <v/>
      </c>
      <c r="J43">
        <f>IF(ISBLANK('By Round'!J115),"",'By Round'!J115)</f>
        <v/>
      </c>
      <c r="K43">
        <f>IF(ISBLANK('By Round'!K115),"",'By Round'!K115)</f>
        <v/>
      </c>
      <c r="L43">
        <f>IF(ISBLANK('By Round'!L115),"",'By Round'!L115)</f>
        <v/>
      </c>
      <c r="M43" s="11">
        <f>AVERAGE(AE43:AI43)</f>
        <v/>
      </c>
      <c r="N43" s="12">
        <f>AVERAGE(AJ43:AN43)</f>
        <v/>
      </c>
      <c r="O43" s="13">
        <f>IF(COUNT(U43:Y43)&gt;0,Q43/COUNT(U43:Y43),0.5)</f>
        <v/>
      </c>
      <c r="P43" s="13">
        <f>IF(COUNT(Z43:AD43)&gt;0,R43/COUNT(Z43:AD43),0.5)</f>
        <v/>
      </c>
      <c r="Q43" s="5">
        <f>SUM(U43:Y43)</f>
        <v/>
      </c>
      <c r="R43" s="5">
        <f>SUM(Z43:AD43)</f>
        <v/>
      </c>
      <c r="S43" s="14">
        <f>IF(ISNUMBER(K43),K43,IF(ISNUMBER(L43),-L43,""))</f>
        <v/>
      </c>
      <c r="T43">
        <f>IF(ISNUMBER(L43),L43,IF(ISNUMBER(K43),-K43,""))</f>
        <v/>
      </c>
      <c r="U43" s="14">
        <f>IF(ISNUMBER(S43),IF(ISNUMBER(S39),IF(S43&gt;S39,1.0,IF(S43=S39,0.5,0.0)),""),"")</f>
        <v/>
      </c>
      <c r="V43">
        <f>IF(ISNUMBER(S43),IF(ISNUMBER(S40),IF(S43&gt;S40,1.0,IF(S43=S40,0.5,0.0)),""),"")</f>
        <v/>
      </c>
      <c r="W43">
        <f>IF(ISNUMBER(S43),IF(ISNUMBER(S41),IF(S43&gt;S41,1.0,IF(S43=S41,0.5,0.0)),""),"")</f>
        <v/>
      </c>
      <c r="X43">
        <f>IF(ISNUMBER(S43),IF(ISNUMBER(S42),IF(S43&gt;S42,1.0,IF(S43=S42,0.5,0.0)),""),"")</f>
        <v/>
      </c>
      <c r="Y43">
        <f>IF(ISNUMBER(S43),IF(ISNUMBER(S44),IF(S43&gt;S44,1.0,IF(S43=S44,0.5,0.0)),""),"")</f>
        <v/>
      </c>
      <c r="Z43">
        <f>IF(ISNUMBER(T43),IF(ISNUMBER(T39),IF(T43&gt;T39,1.0,IF(T43=T39,0.5,0.0)),""),"")</f>
        <v/>
      </c>
      <c r="AA43">
        <f>IF(ISNUMBER(T43),IF(ISNUMBER(T40),IF(T43&gt;T40,1.0,IF(T43=T40,0.5,0.0)),""),"")</f>
        <v/>
      </c>
      <c r="AB43">
        <f>IF(ISNUMBER(T43),IF(ISNUMBER(T41),IF(T43&gt;T41,1.0,IF(T43=T41,0.5,0.0)),""),"")</f>
        <v/>
      </c>
      <c r="AC43">
        <f>IF(ISNUMBER(T43),IF(ISNUMBER(T42),IF(T43&gt;T42,1.0,IF(T43=T42,0.5,0.0)),""),"")</f>
        <v/>
      </c>
      <c r="AD43">
        <f>IF(ISNUMBER(T43),IF(ISNUMBER(T44),IF(T43&gt;T44,1.0,IF(T43=T44,0.5,0.0)),""),"")</f>
        <v/>
      </c>
      <c r="AE43" s="14">
        <f>IF(AND(ISNUMBER(S43),ISNUMBER(S39)),VLOOKUP(ABS(S43-S39),'IMP Table'!$A$2:$C$26,3)*SIGN(S43-S39),0)</f>
        <v/>
      </c>
      <c r="AF43">
        <f>IF(AND(ISNUMBER(S43),ISNUMBER(S40)),VLOOKUP(ABS(S43-S40),'IMP Table'!$A$2:$C$26,3)*SIGN(S43-S40),0)</f>
        <v/>
      </c>
      <c r="AG43">
        <f>IF(AND(ISNUMBER(S43),ISNUMBER(S41)),VLOOKUP(ABS(S43-S41),'IMP Table'!$A$2:$C$26,3)*SIGN(S43-S41),0)</f>
        <v/>
      </c>
      <c r="AH43">
        <f>IF(AND(ISNUMBER(S43),ISNUMBER(S42)),VLOOKUP(ABS(S43-S42),'IMP Table'!$A$2:$C$26,3)*SIGN(S43-S42),0)</f>
        <v/>
      </c>
      <c r="AI43">
        <f>IF(AND(ISNUMBER(S43),ISNUMBER(S44)),VLOOKUP(ABS(S43-S44),'IMP Table'!$A$2:$C$26,3)*SIGN(S43-S44),0)</f>
        <v/>
      </c>
      <c r="AJ43">
        <f>IF(AND(ISNUMBER(T43),ISNUMBER(T39)),VLOOKUP(ABS(T43-T39),'IMP Table'!$A$2:$C$26,3)*SIGN(T43-T39),0)</f>
        <v/>
      </c>
      <c r="AK43">
        <f>IF(AND(ISNUMBER(T43),ISNUMBER(T40)),VLOOKUP(ABS(T43-T40),'IMP Table'!$A$2:$C$26,3)*SIGN(T43-T40),0)</f>
        <v/>
      </c>
      <c r="AL43">
        <f>IF(AND(ISNUMBER(T43),ISNUMBER(T41)),VLOOKUP(ABS(T43-T41),'IMP Table'!$A$2:$C$26,3)*SIGN(T43-T41),0)</f>
        <v/>
      </c>
      <c r="AM43">
        <f>IF(AND(ISNUMBER(T43),ISNUMBER(T42)),VLOOKUP(ABS(T43-T42),'IMP Table'!$A$2:$C$26,3)*SIGN(T43-T42),0)</f>
        <v/>
      </c>
      <c r="AN43">
        <f>IF(AND(ISNUMBER(T43),ISNUMBER(T44)),VLOOKUP(ABS(T43-T44),'IMP Table'!$A$2:$C$26,3)*SIGN(T43-T44),0)</f>
        <v/>
      </c>
    </row>
    <row r="44">
      <c r="A44" s="15" t="n"/>
      <c r="B44" s="16">
        <f>'By Round'!A75</f>
        <v/>
      </c>
      <c r="C44" s="16">
        <f>'By Round'!B83</f>
        <v/>
      </c>
      <c r="D44" s="16">
        <f>'By Round'!C83</f>
        <v/>
      </c>
      <c r="E44" s="16">
        <f>'By Round'!D83</f>
        <v/>
      </c>
      <c r="F44" s="16">
        <f>IF(ISBLANK('By Round'!F83),"",'By Round'!F83)</f>
        <v/>
      </c>
      <c r="G44" s="15">
        <f>IF(ISBLANK('By Round'!G83),"",'By Round'!G83)</f>
        <v/>
      </c>
      <c r="H44" s="15">
        <f>IF(ISBLANK('By Round'!H83),"",'By Round'!H83)</f>
        <v/>
      </c>
      <c r="I44" s="15">
        <f>IF(ISBLANK('By Round'!I83),"",'By Round'!I83)</f>
        <v/>
      </c>
      <c r="J44" s="15">
        <f>IF(ISBLANK('By Round'!J83),"",'By Round'!J83)</f>
        <v/>
      </c>
      <c r="K44" s="15">
        <f>IF(ISBLANK('By Round'!K83),"",'By Round'!K83)</f>
        <v/>
      </c>
      <c r="L44" s="15">
        <f>IF(ISBLANK('By Round'!L83),"",'By Round'!L83)</f>
        <v/>
      </c>
      <c r="M44" s="17">
        <f>AVERAGE(AE44:AI44)</f>
        <v/>
      </c>
      <c r="N44" s="18">
        <f>AVERAGE(AJ44:AN44)</f>
        <v/>
      </c>
      <c r="O44" s="19">
        <f>IF(COUNT(U44:Y44)&gt;0,Q44/COUNT(U44:Y44),0.5)</f>
        <v/>
      </c>
      <c r="P44" s="19">
        <f>IF(COUNT(Z44:AD44)&gt;0,R44/COUNT(Z44:AD44),0.5)</f>
        <v/>
      </c>
      <c r="Q44" s="20">
        <f>SUM(U44:Y44)</f>
        <v/>
      </c>
      <c r="R44" s="20">
        <f>SUM(Z44:AD44)</f>
        <v/>
      </c>
      <c r="S44" s="21">
        <f>IF(ISNUMBER(K44),K44,IF(ISNUMBER(L44),-L44,""))</f>
        <v/>
      </c>
      <c r="T44" s="15">
        <f>IF(ISNUMBER(L44),L44,IF(ISNUMBER(K44),-K44,""))</f>
        <v/>
      </c>
      <c r="U44" s="21">
        <f>IF(ISNUMBER(S44),IF(ISNUMBER(S39),IF(S44&gt;S39,1.0,IF(S44=S39,0.5,0.0)),""),"")</f>
        <v/>
      </c>
      <c r="V44" s="15">
        <f>IF(ISNUMBER(S44),IF(ISNUMBER(S40),IF(S44&gt;S40,1.0,IF(S44=S40,0.5,0.0)),""),"")</f>
        <v/>
      </c>
      <c r="W44" s="15">
        <f>IF(ISNUMBER(S44),IF(ISNUMBER(S41),IF(S44&gt;S41,1.0,IF(S44=S41,0.5,0.0)),""),"")</f>
        <v/>
      </c>
      <c r="X44" s="15">
        <f>IF(ISNUMBER(S44),IF(ISNUMBER(S42),IF(S44&gt;S42,1.0,IF(S44=S42,0.5,0.0)),""),"")</f>
        <v/>
      </c>
      <c r="Y44" s="15">
        <f>IF(ISNUMBER(S44),IF(ISNUMBER(S43),IF(S44&gt;S43,1.0,IF(S44=S43,0.5,0.0)),""),"")</f>
        <v/>
      </c>
      <c r="Z44" s="15">
        <f>IF(ISNUMBER(T44),IF(ISNUMBER(T39),IF(T44&gt;T39,1.0,IF(T44=T39,0.5,0.0)),""),"")</f>
        <v/>
      </c>
      <c r="AA44" s="15">
        <f>IF(ISNUMBER(T44),IF(ISNUMBER(T40),IF(T44&gt;T40,1.0,IF(T44=T40,0.5,0.0)),""),"")</f>
        <v/>
      </c>
      <c r="AB44" s="15">
        <f>IF(ISNUMBER(T44),IF(ISNUMBER(T41),IF(T44&gt;T41,1.0,IF(T44=T41,0.5,0.0)),""),"")</f>
        <v/>
      </c>
      <c r="AC44" s="15">
        <f>IF(ISNUMBER(T44),IF(ISNUMBER(T42),IF(T44&gt;T42,1.0,IF(T44=T42,0.5,0.0)),""),"")</f>
        <v/>
      </c>
      <c r="AD44" s="15">
        <f>IF(ISNUMBER(T44),IF(ISNUMBER(T43),IF(T44&gt;T43,1.0,IF(T44=T43,0.5,0.0)),""),"")</f>
        <v/>
      </c>
      <c r="AE44" s="21">
        <f>IF(AND(ISNUMBER(S44),ISNUMBER(S39)),VLOOKUP(ABS(S44-S39),'IMP Table'!$A$2:$C$26,3)*SIGN(S44-S39),0)</f>
        <v/>
      </c>
      <c r="AF44" s="15">
        <f>IF(AND(ISNUMBER(S44),ISNUMBER(S40)),VLOOKUP(ABS(S44-S40),'IMP Table'!$A$2:$C$26,3)*SIGN(S44-S40),0)</f>
        <v/>
      </c>
      <c r="AG44" s="15">
        <f>IF(AND(ISNUMBER(S44),ISNUMBER(S41)),VLOOKUP(ABS(S44-S41),'IMP Table'!$A$2:$C$26,3)*SIGN(S44-S41),0)</f>
        <v/>
      </c>
      <c r="AH44" s="15">
        <f>IF(AND(ISNUMBER(S44),ISNUMBER(S42)),VLOOKUP(ABS(S44-S42),'IMP Table'!$A$2:$C$26,3)*SIGN(S44-S42),0)</f>
        <v/>
      </c>
      <c r="AI44" s="15">
        <f>IF(AND(ISNUMBER(S44),ISNUMBER(S43)),VLOOKUP(ABS(S44-S43),'IMP Table'!$A$2:$C$26,3)*SIGN(S44-S43),0)</f>
        <v/>
      </c>
      <c r="AJ44" s="15">
        <f>IF(AND(ISNUMBER(T44),ISNUMBER(T39)),VLOOKUP(ABS(T44-T39),'IMP Table'!$A$2:$C$26,3)*SIGN(T44-T39),0)</f>
        <v/>
      </c>
      <c r="AK44" s="15">
        <f>IF(AND(ISNUMBER(T44),ISNUMBER(T40)),VLOOKUP(ABS(T44-T40),'IMP Table'!$A$2:$C$26,3)*SIGN(T44-T40),0)</f>
        <v/>
      </c>
      <c r="AL44" s="15">
        <f>IF(AND(ISNUMBER(T44),ISNUMBER(T41)),VLOOKUP(ABS(T44-T41),'IMP Table'!$A$2:$C$26,3)*SIGN(T44-T41),0)</f>
        <v/>
      </c>
      <c r="AM44" s="15">
        <f>IF(AND(ISNUMBER(T44),ISNUMBER(T42)),VLOOKUP(ABS(T44-T42),'IMP Table'!$A$2:$C$26,3)*SIGN(T44-T42),0)</f>
        <v/>
      </c>
      <c r="AN44" s="15">
        <f>IF(AND(ISNUMBER(T44),ISNUMBER(T43)),VLOOKUP(ABS(T44-T43),'IMP Table'!$A$2:$C$26,3)*SIGN(T44-T43),0)</f>
        <v/>
      </c>
    </row>
    <row r="45">
      <c r="A45" s="10" t="n">
        <v>8</v>
      </c>
      <c r="B45" s="10">
        <f>'By Round'!A39</f>
        <v/>
      </c>
      <c r="C45" s="10">
        <f>'By Round'!B39</f>
        <v/>
      </c>
      <c r="D45" s="10">
        <f>'By Round'!C39</f>
        <v/>
      </c>
      <c r="E45" s="10">
        <f>'By Round'!D39</f>
        <v/>
      </c>
      <c r="F45" s="10">
        <f>IF(ISBLANK('By Round'!F40),"",'By Round'!F40)</f>
        <v/>
      </c>
      <c r="G45">
        <f>IF(ISBLANK('By Round'!G40),"",'By Round'!G40)</f>
        <v/>
      </c>
      <c r="H45">
        <f>IF(ISBLANK('By Round'!H40),"",'By Round'!H40)</f>
        <v/>
      </c>
      <c r="I45">
        <f>IF(ISBLANK('By Round'!I40),"",'By Round'!I40)</f>
        <v/>
      </c>
      <c r="J45">
        <f>IF(ISBLANK('By Round'!J40),"",'By Round'!J40)</f>
        <v/>
      </c>
      <c r="K45">
        <f>IF(ISBLANK('By Round'!K40),"",'By Round'!K40)</f>
        <v/>
      </c>
      <c r="L45">
        <f>IF(ISBLANK('By Round'!L40),"",'By Round'!L40)</f>
        <v/>
      </c>
      <c r="M45" s="11">
        <f>AVERAGE(AE45:AI45)</f>
        <v/>
      </c>
      <c r="N45" s="12">
        <f>AVERAGE(AJ45:AN45)</f>
        <v/>
      </c>
      <c r="O45" s="13">
        <f>IF(COUNT(U45:Y45)&gt;0,Q45/COUNT(U45:Y45),0.5)</f>
        <v/>
      </c>
      <c r="P45" s="13">
        <f>IF(COUNT(Z45:AD45)&gt;0,R45/COUNT(Z45:AD45),0.5)</f>
        <v/>
      </c>
      <c r="Q45" s="5">
        <f>SUM(U45:Y45)</f>
        <v/>
      </c>
      <c r="R45" s="5">
        <f>SUM(Z45:AD45)</f>
        <v/>
      </c>
      <c r="S45" s="14">
        <f>IF(ISNUMBER(K45),K45,IF(ISNUMBER(L45),-L45,""))</f>
        <v/>
      </c>
      <c r="T45">
        <f>IF(ISNUMBER(L45),L45,IF(ISNUMBER(K45),-K45,""))</f>
        <v/>
      </c>
      <c r="U45" s="14">
        <f>IF(ISNUMBER(S45),IF(ISNUMBER(S46),IF(S45&gt;S46,1.0,IF(S45=S46,0.5,0.0)),""),"")</f>
        <v/>
      </c>
      <c r="V45">
        <f>IF(ISNUMBER(S45),IF(ISNUMBER(S47),IF(S45&gt;S47,1.0,IF(S45=S47,0.5,0.0)),""),"")</f>
        <v/>
      </c>
      <c r="W45">
        <f>IF(ISNUMBER(S45),IF(ISNUMBER(S48),IF(S45&gt;S48,1.0,IF(S45=S48,0.5,0.0)),""),"")</f>
        <v/>
      </c>
      <c r="X45">
        <f>IF(ISNUMBER(S45),IF(ISNUMBER(S49),IF(S45&gt;S49,1.0,IF(S45=S49,0.5,0.0)),""),"")</f>
        <v/>
      </c>
      <c r="Y45">
        <f>IF(ISNUMBER(S45),IF(ISNUMBER(S50),IF(S45&gt;S50,1.0,IF(S45=S50,0.5,0.0)),""),"")</f>
        <v/>
      </c>
      <c r="Z45">
        <f>IF(ISNUMBER(T45),IF(ISNUMBER(T46),IF(T45&gt;T46,1.0,IF(T45=T46,0.5,0.0)),""),"")</f>
        <v/>
      </c>
      <c r="AA45">
        <f>IF(ISNUMBER(T45),IF(ISNUMBER(T47),IF(T45&gt;T47,1.0,IF(T45=T47,0.5,0.0)),""),"")</f>
        <v/>
      </c>
      <c r="AB45">
        <f>IF(ISNUMBER(T45),IF(ISNUMBER(T48),IF(T45&gt;T48,1.0,IF(T45=T48,0.5,0.0)),""),"")</f>
        <v/>
      </c>
      <c r="AC45">
        <f>IF(ISNUMBER(T45),IF(ISNUMBER(T49),IF(T45&gt;T49,1.0,IF(T45=T49,0.5,0.0)),""),"")</f>
        <v/>
      </c>
      <c r="AD45">
        <f>IF(ISNUMBER(T45),IF(ISNUMBER(T50),IF(T45&gt;T50,1.0,IF(T45=T50,0.5,0.0)),""),"")</f>
        <v/>
      </c>
      <c r="AE45" s="14">
        <f>IF(AND(ISNUMBER(S45),ISNUMBER(S46)),VLOOKUP(ABS(S45-S46),'IMP Table'!$A$2:$C$26,3)*SIGN(S45-S46),0)</f>
        <v/>
      </c>
      <c r="AF45">
        <f>IF(AND(ISNUMBER(S45),ISNUMBER(S47)),VLOOKUP(ABS(S45-S47),'IMP Table'!$A$2:$C$26,3)*SIGN(S45-S47),0)</f>
        <v/>
      </c>
      <c r="AG45">
        <f>IF(AND(ISNUMBER(S45),ISNUMBER(S48)),VLOOKUP(ABS(S45-S48),'IMP Table'!$A$2:$C$26,3)*SIGN(S45-S48),0)</f>
        <v/>
      </c>
      <c r="AH45">
        <f>IF(AND(ISNUMBER(S45),ISNUMBER(S49)),VLOOKUP(ABS(S45-S49),'IMP Table'!$A$2:$C$26,3)*SIGN(S45-S49),0)</f>
        <v/>
      </c>
      <c r="AI45">
        <f>IF(AND(ISNUMBER(S45),ISNUMBER(S50)),VLOOKUP(ABS(S45-S50),'IMP Table'!$A$2:$C$26,3)*SIGN(S45-S50),0)</f>
        <v/>
      </c>
      <c r="AJ45">
        <f>IF(AND(ISNUMBER(T45),ISNUMBER(T46)),VLOOKUP(ABS(T45-T46),'IMP Table'!$A$2:$C$26,3)*SIGN(T45-T46),0)</f>
        <v/>
      </c>
      <c r="AK45">
        <f>IF(AND(ISNUMBER(T45),ISNUMBER(T47)),VLOOKUP(ABS(T45-T47),'IMP Table'!$A$2:$C$26,3)*SIGN(T45-T47),0)</f>
        <v/>
      </c>
      <c r="AL45">
        <f>IF(AND(ISNUMBER(T45),ISNUMBER(T48)),VLOOKUP(ABS(T45-T48),'IMP Table'!$A$2:$C$26,3)*SIGN(T45-T48),0)</f>
        <v/>
      </c>
      <c r="AM45">
        <f>IF(AND(ISNUMBER(T45),ISNUMBER(T49)),VLOOKUP(ABS(T45-T49),'IMP Table'!$A$2:$C$26,3)*SIGN(T45-T49),0)</f>
        <v/>
      </c>
      <c r="AN45">
        <f>IF(AND(ISNUMBER(T45),ISNUMBER(T50)),VLOOKUP(ABS(T45-T50),'IMP Table'!$A$2:$C$26,3)*SIGN(T45-T50),0)</f>
        <v/>
      </c>
    </row>
    <row r="46">
      <c r="B46" s="10">
        <f>'By Round'!A87</f>
        <v/>
      </c>
      <c r="C46" s="10">
        <f>'By Round'!B93</f>
        <v/>
      </c>
      <c r="D46" s="10">
        <f>'By Round'!C93</f>
        <v/>
      </c>
      <c r="E46" s="10">
        <f>'By Round'!D93</f>
        <v/>
      </c>
      <c r="F46" s="10">
        <f>IF(ISBLANK('By Round'!F94),"",'By Round'!F94)</f>
        <v/>
      </c>
      <c r="G46">
        <f>IF(ISBLANK('By Round'!G94),"",'By Round'!G94)</f>
        <v/>
      </c>
      <c r="H46">
        <f>IF(ISBLANK('By Round'!H94),"",'By Round'!H94)</f>
        <v/>
      </c>
      <c r="I46">
        <f>IF(ISBLANK('By Round'!I94),"",'By Round'!I94)</f>
        <v/>
      </c>
      <c r="J46">
        <f>IF(ISBLANK('By Round'!J94),"",'By Round'!J94)</f>
        <v/>
      </c>
      <c r="K46">
        <f>IF(ISBLANK('By Round'!K94),"",'By Round'!K94)</f>
        <v/>
      </c>
      <c r="L46">
        <f>IF(ISBLANK('By Round'!L94),"",'By Round'!L94)</f>
        <v/>
      </c>
      <c r="M46" s="11">
        <f>AVERAGE(AE46:AI46)</f>
        <v/>
      </c>
      <c r="N46" s="12">
        <f>AVERAGE(AJ46:AN46)</f>
        <v/>
      </c>
      <c r="O46" s="13">
        <f>IF(COUNT(U46:Y46)&gt;0,Q46/COUNT(U46:Y46),0.5)</f>
        <v/>
      </c>
      <c r="P46" s="13">
        <f>IF(COUNT(Z46:AD46)&gt;0,R46/COUNT(Z46:AD46),0.5)</f>
        <v/>
      </c>
      <c r="Q46" s="5">
        <f>SUM(U46:Y46)</f>
        <v/>
      </c>
      <c r="R46" s="5">
        <f>SUM(Z46:AD46)</f>
        <v/>
      </c>
      <c r="S46" s="14">
        <f>IF(ISNUMBER(K46),K46,IF(ISNUMBER(L46),-L46,""))</f>
        <v/>
      </c>
      <c r="T46">
        <f>IF(ISNUMBER(L46),L46,IF(ISNUMBER(K46),-K46,""))</f>
        <v/>
      </c>
      <c r="U46" s="14">
        <f>IF(ISNUMBER(S46),IF(ISNUMBER(S45),IF(S46&gt;S45,1.0,IF(S46=S45,0.5,0.0)),""),"")</f>
        <v/>
      </c>
      <c r="V46">
        <f>IF(ISNUMBER(S46),IF(ISNUMBER(S47),IF(S46&gt;S47,1.0,IF(S46=S47,0.5,0.0)),""),"")</f>
        <v/>
      </c>
      <c r="W46">
        <f>IF(ISNUMBER(S46),IF(ISNUMBER(S48),IF(S46&gt;S48,1.0,IF(S46=S48,0.5,0.0)),""),"")</f>
        <v/>
      </c>
      <c r="X46">
        <f>IF(ISNUMBER(S46),IF(ISNUMBER(S49),IF(S46&gt;S49,1.0,IF(S46=S49,0.5,0.0)),""),"")</f>
        <v/>
      </c>
      <c r="Y46">
        <f>IF(ISNUMBER(S46),IF(ISNUMBER(S50),IF(S46&gt;S50,1.0,IF(S46=S50,0.5,0.0)),""),"")</f>
        <v/>
      </c>
      <c r="Z46">
        <f>IF(ISNUMBER(T46),IF(ISNUMBER(T45),IF(T46&gt;T45,1.0,IF(T46=T45,0.5,0.0)),""),"")</f>
        <v/>
      </c>
      <c r="AA46">
        <f>IF(ISNUMBER(T46),IF(ISNUMBER(T47),IF(T46&gt;T47,1.0,IF(T46=T47,0.5,0.0)),""),"")</f>
        <v/>
      </c>
      <c r="AB46">
        <f>IF(ISNUMBER(T46),IF(ISNUMBER(T48),IF(T46&gt;T48,1.0,IF(T46=T48,0.5,0.0)),""),"")</f>
        <v/>
      </c>
      <c r="AC46">
        <f>IF(ISNUMBER(T46),IF(ISNUMBER(T49),IF(T46&gt;T49,1.0,IF(T46=T49,0.5,0.0)),""),"")</f>
        <v/>
      </c>
      <c r="AD46">
        <f>IF(ISNUMBER(T46),IF(ISNUMBER(T50),IF(T46&gt;T50,1.0,IF(T46=T50,0.5,0.0)),""),"")</f>
        <v/>
      </c>
      <c r="AE46" s="14">
        <f>IF(AND(ISNUMBER(S46),ISNUMBER(S45)),VLOOKUP(ABS(S46-S45),'IMP Table'!$A$2:$C$26,3)*SIGN(S46-S45),0)</f>
        <v/>
      </c>
      <c r="AF46">
        <f>IF(AND(ISNUMBER(S46),ISNUMBER(S47)),VLOOKUP(ABS(S46-S47),'IMP Table'!$A$2:$C$26,3)*SIGN(S46-S47),0)</f>
        <v/>
      </c>
      <c r="AG46">
        <f>IF(AND(ISNUMBER(S46),ISNUMBER(S48)),VLOOKUP(ABS(S46-S48),'IMP Table'!$A$2:$C$26,3)*SIGN(S46-S48),0)</f>
        <v/>
      </c>
      <c r="AH46">
        <f>IF(AND(ISNUMBER(S46),ISNUMBER(S49)),VLOOKUP(ABS(S46-S49),'IMP Table'!$A$2:$C$26,3)*SIGN(S46-S49),0)</f>
        <v/>
      </c>
      <c r="AI46">
        <f>IF(AND(ISNUMBER(S46),ISNUMBER(S50)),VLOOKUP(ABS(S46-S50),'IMP Table'!$A$2:$C$26,3)*SIGN(S46-S50),0)</f>
        <v/>
      </c>
      <c r="AJ46">
        <f>IF(AND(ISNUMBER(T46),ISNUMBER(T45)),VLOOKUP(ABS(T46-T45),'IMP Table'!$A$2:$C$26,3)*SIGN(T46-T45),0)</f>
        <v/>
      </c>
      <c r="AK46">
        <f>IF(AND(ISNUMBER(T46),ISNUMBER(T47)),VLOOKUP(ABS(T46-T47),'IMP Table'!$A$2:$C$26,3)*SIGN(T46-T47),0)</f>
        <v/>
      </c>
      <c r="AL46">
        <f>IF(AND(ISNUMBER(T46),ISNUMBER(T48)),VLOOKUP(ABS(T46-T48),'IMP Table'!$A$2:$C$26,3)*SIGN(T46-T48),0)</f>
        <v/>
      </c>
      <c r="AM46">
        <f>IF(AND(ISNUMBER(T46),ISNUMBER(T49)),VLOOKUP(ABS(T46-T49),'IMP Table'!$A$2:$C$26,3)*SIGN(T46-T49),0)</f>
        <v/>
      </c>
      <c r="AN46">
        <f>IF(AND(ISNUMBER(T46),ISNUMBER(T50)),VLOOKUP(ABS(T46-T50),'IMP Table'!$A$2:$C$26,3)*SIGN(T46-T50),0)</f>
        <v/>
      </c>
    </row>
    <row r="47">
      <c r="B47" s="10">
        <f>'By Round'!A123</f>
        <v/>
      </c>
      <c r="C47" s="10">
        <f>'By Round'!B125</f>
        <v/>
      </c>
      <c r="D47" s="10">
        <f>'By Round'!C125</f>
        <v/>
      </c>
      <c r="E47" s="10">
        <f>'By Round'!D125</f>
        <v/>
      </c>
      <c r="F47" s="10">
        <f>IF(ISBLANK('By Round'!F126),"",'By Round'!F126)</f>
        <v/>
      </c>
      <c r="G47">
        <f>IF(ISBLANK('By Round'!G126),"",'By Round'!G126)</f>
        <v/>
      </c>
      <c r="H47">
        <f>IF(ISBLANK('By Round'!H126),"",'By Round'!H126)</f>
        <v/>
      </c>
      <c r="I47">
        <f>IF(ISBLANK('By Round'!I126),"",'By Round'!I126)</f>
        <v/>
      </c>
      <c r="J47">
        <f>IF(ISBLANK('By Round'!J126),"",'By Round'!J126)</f>
        <v/>
      </c>
      <c r="K47">
        <f>IF(ISBLANK('By Round'!K126),"",'By Round'!K126)</f>
        <v/>
      </c>
      <c r="L47">
        <f>IF(ISBLANK('By Round'!L126),"",'By Round'!L126)</f>
        <v/>
      </c>
      <c r="M47" s="11">
        <f>AVERAGE(AE47:AI47)</f>
        <v/>
      </c>
      <c r="N47" s="12">
        <f>AVERAGE(AJ47:AN47)</f>
        <v/>
      </c>
      <c r="O47" s="13">
        <f>IF(COUNT(U47:Y47)&gt;0,Q47/COUNT(U47:Y47),0.5)</f>
        <v/>
      </c>
      <c r="P47" s="13">
        <f>IF(COUNT(Z47:AD47)&gt;0,R47/COUNT(Z47:AD47),0.5)</f>
        <v/>
      </c>
      <c r="Q47" s="5">
        <f>SUM(U47:Y47)</f>
        <v/>
      </c>
      <c r="R47" s="5">
        <f>SUM(Z47:AD47)</f>
        <v/>
      </c>
      <c r="S47" s="14">
        <f>IF(ISNUMBER(K47),K47,IF(ISNUMBER(L47),-L47,""))</f>
        <v/>
      </c>
      <c r="T47">
        <f>IF(ISNUMBER(L47),L47,IF(ISNUMBER(K47),-K47,""))</f>
        <v/>
      </c>
      <c r="U47" s="14">
        <f>IF(ISNUMBER(S47),IF(ISNUMBER(S45),IF(S47&gt;S45,1.0,IF(S47=S45,0.5,0.0)),""),"")</f>
        <v/>
      </c>
      <c r="V47">
        <f>IF(ISNUMBER(S47),IF(ISNUMBER(S46),IF(S47&gt;S46,1.0,IF(S47=S46,0.5,0.0)),""),"")</f>
        <v/>
      </c>
      <c r="W47">
        <f>IF(ISNUMBER(S47),IF(ISNUMBER(S48),IF(S47&gt;S48,1.0,IF(S47=S48,0.5,0.0)),""),"")</f>
        <v/>
      </c>
      <c r="X47">
        <f>IF(ISNUMBER(S47),IF(ISNUMBER(S49),IF(S47&gt;S49,1.0,IF(S47=S49,0.5,0.0)),""),"")</f>
        <v/>
      </c>
      <c r="Y47">
        <f>IF(ISNUMBER(S47),IF(ISNUMBER(S50),IF(S47&gt;S50,1.0,IF(S47=S50,0.5,0.0)),""),"")</f>
        <v/>
      </c>
      <c r="Z47">
        <f>IF(ISNUMBER(T47),IF(ISNUMBER(T45),IF(T47&gt;T45,1.0,IF(T47=T45,0.5,0.0)),""),"")</f>
        <v/>
      </c>
      <c r="AA47">
        <f>IF(ISNUMBER(T47),IF(ISNUMBER(T46),IF(T47&gt;T46,1.0,IF(T47=T46,0.5,0.0)),""),"")</f>
        <v/>
      </c>
      <c r="AB47">
        <f>IF(ISNUMBER(T47),IF(ISNUMBER(T48),IF(T47&gt;T48,1.0,IF(T47=T48,0.5,0.0)),""),"")</f>
        <v/>
      </c>
      <c r="AC47">
        <f>IF(ISNUMBER(T47),IF(ISNUMBER(T49),IF(T47&gt;T49,1.0,IF(T47=T49,0.5,0.0)),""),"")</f>
        <v/>
      </c>
      <c r="AD47">
        <f>IF(ISNUMBER(T47),IF(ISNUMBER(T50),IF(T47&gt;T50,1.0,IF(T47=T50,0.5,0.0)),""),"")</f>
        <v/>
      </c>
      <c r="AE47" s="14">
        <f>IF(AND(ISNUMBER(S47),ISNUMBER(S45)),VLOOKUP(ABS(S47-S45),'IMP Table'!$A$2:$C$26,3)*SIGN(S47-S45),0)</f>
        <v/>
      </c>
      <c r="AF47">
        <f>IF(AND(ISNUMBER(S47),ISNUMBER(S46)),VLOOKUP(ABS(S47-S46),'IMP Table'!$A$2:$C$26,3)*SIGN(S47-S46),0)</f>
        <v/>
      </c>
      <c r="AG47">
        <f>IF(AND(ISNUMBER(S47),ISNUMBER(S48)),VLOOKUP(ABS(S47-S48),'IMP Table'!$A$2:$C$26,3)*SIGN(S47-S48),0)</f>
        <v/>
      </c>
      <c r="AH47">
        <f>IF(AND(ISNUMBER(S47),ISNUMBER(S49)),VLOOKUP(ABS(S47-S49),'IMP Table'!$A$2:$C$26,3)*SIGN(S47-S49),0)</f>
        <v/>
      </c>
      <c r="AI47">
        <f>IF(AND(ISNUMBER(S47),ISNUMBER(S50)),VLOOKUP(ABS(S47-S50),'IMP Table'!$A$2:$C$26,3)*SIGN(S47-S50),0)</f>
        <v/>
      </c>
      <c r="AJ47">
        <f>IF(AND(ISNUMBER(T47),ISNUMBER(T45)),VLOOKUP(ABS(T47-T45),'IMP Table'!$A$2:$C$26,3)*SIGN(T47-T45),0)</f>
        <v/>
      </c>
      <c r="AK47">
        <f>IF(AND(ISNUMBER(T47),ISNUMBER(T46)),VLOOKUP(ABS(T47-T46),'IMP Table'!$A$2:$C$26,3)*SIGN(T47-T46),0)</f>
        <v/>
      </c>
      <c r="AL47">
        <f>IF(AND(ISNUMBER(T47),ISNUMBER(T48)),VLOOKUP(ABS(T47-T48),'IMP Table'!$A$2:$C$26,3)*SIGN(T47-T48),0)</f>
        <v/>
      </c>
      <c r="AM47">
        <f>IF(AND(ISNUMBER(T47),ISNUMBER(T49)),VLOOKUP(ABS(T47-T49),'IMP Table'!$A$2:$C$26,3)*SIGN(T47-T49),0)</f>
        <v/>
      </c>
      <c r="AN47">
        <f>IF(AND(ISNUMBER(T47),ISNUMBER(T50)),VLOOKUP(ABS(T47-T50),'IMP Table'!$A$2:$C$26,3)*SIGN(T47-T50),0)</f>
        <v/>
      </c>
    </row>
    <row r="48">
      <c r="B48" s="10">
        <f>'By Round'!A63</f>
        <v/>
      </c>
      <c r="C48" s="10">
        <f>'By Round'!B73</f>
        <v/>
      </c>
      <c r="D48" s="10">
        <f>'By Round'!C73</f>
        <v/>
      </c>
      <c r="E48" s="10">
        <f>'By Round'!D73</f>
        <v/>
      </c>
      <c r="F48" s="10">
        <f>IF(ISBLANK('By Round'!F74),"",'By Round'!F74)</f>
        <v/>
      </c>
      <c r="G48">
        <f>IF(ISBLANK('By Round'!G74),"",'By Round'!G74)</f>
        <v/>
      </c>
      <c r="H48">
        <f>IF(ISBLANK('By Round'!H74),"",'By Round'!H74)</f>
        <v/>
      </c>
      <c r="I48">
        <f>IF(ISBLANK('By Round'!I74),"",'By Round'!I74)</f>
        <v/>
      </c>
      <c r="J48">
        <f>IF(ISBLANK('By Round'!J74),"",'By Round'!J74)</f>
        <v/>
      </c>
      <c r="K48">
        <f>IF(ISBLANK('By Round'!K74),"",'By Round'!K74)</f>
        <v/>
      </c>
      <c r="L48">
        <f>IF(ISBLANK('By Round'!L74),"",'By Round'!L74)</f>
        <v/>
      </c>
      <c r="M48" s="11">
        <f>AVERAGE(AE48:AI48)</f>
        <v/>
      </c>
      <c r="N48" s="12">
        <f>AVERAGE(AJ48:AN48)</f>
        <v/>
      </c>
      <c r="O48" s="13">
        <f>IF(COUNT(U48:Y48)&gt;0,Q48/COUNT(U48:Y48),0.5)</f>
        <v/>
      </c>
      <c r="P48" s="13">
        <f>IF(COUNT(Z48:AD48)&gt;0,R48/COUNT(Z48:AD48),0.5)</f>
        <v/>
      </c>
      <c r="Q48" s="5">
        <f>SUM(U48:Y48)</f>
        <v/>
      </c>
      <c r="R48" s="5">
        <f>SUM(Z48:AD48)</f>
        <v/>
      </c>
      <c r="S48" s="14">
        <f>IF(ISNUMBER(K48),K48,IF(ISNUMBER(L48),-L48,""))</f>
        <v/>
      </c>
      <c r="T48">
        <f>IF(ISNUMBER(L48),L48,IF(ISNUMBER(K48),-K48,""))</f>
        <v/>
      </c>
      <c r="U48" s="14">
        <f>IF(ISNUMBER(S48),IF(ISNUMBER(S45),IF(S48&gt;S45,1.0,IF(S48=S45,0.5,0.0)),""),"")</f>
        <v/>
      </c>
      <c r="V48">
        <f>IF(ISNUMBER(S48),IF(ISNUMBER(S46),IF(S48&gt;S46,1.0,IF(S48=S46,0.5,0.0)),""),"")</f>
        <v/>
      </c>
      <c r="W48">
        <f>IF(ISNUMBER(S48),IF(ISNUMBER(S47),IF(S48&gt;S47,1.0,IF(S48=S47,0.5,0.0)),""),"")</f>
        <v/>
      </c>
      <c r="X48">
        <f>IF(ISNUMBER(S48),IF(ISNUMBER(S49),IF(S48&gt;S49,1.0,IF(S48=S49,0.5,0.0)),""),"")</f>
        <v/>
      </c>
      <c r="Y48">
        <f>IF(ISNUMBER(S48),IF(ISNUMBER(S50),IF(S48&gt;S50,1.0,IF(S48=S50,0.5,0.0)),""),"")</f>
        <v/>
      </c>
      <c r="Z48">
        <f>IF(ISNUMBER(T48),IF(ISNUMBER(T45),IF(T48&gt;T45,1.0,IF(T48=T45,0.5,0.0)),""),"")</f>
        <v/>
      </c>
      <c r="AA48">
        <f>IF(ISNUMBER(T48),IF(ISNUMBER(T46),IF(T48&gt;T46,1.0,IF(T48=T46,0.5,0.0)),""),"")</f>
        <v/>
      </c>
      <c r="AB48">
        <f>IF(ISNUMBER(T48),IF(ISNUMBER(T47),IF(T48&gt;T47,1.0,IF(T48=T47,0.5,0.0)),""),"")</f>
        <v/>
      </c>
      <c r="AC48">
        <f>IF(ISNUMBER(T48),IF(ISNUMBER(T49),IF(T48&gt;T49,1.0,IF(T48=T49,0.5,0.0)),""),"")</f>
        <v/>
      </c>
      <c r="AD48">
        <f>IF(ISNUMBER(T48),IF(ISNUMBER(T50),IF(T48&gt;T50,1.0,IF(T48=T50,0.5,0.0)),""),"")</f>
        <v/>
      </c>
      <c r="AE48" s="14">
        <f>IF(AND(ISNUMBER(S48),ISNUMBER(S45)),VLOOKUP(ABS(S48-S45),'IMP Table'!$A$2:$C$26,3)*SIGN(S48-S45),0)</f>
        <v/>
      </c>
      <c r="AF48">
        <f>IF(AND(ISNUMBER(S48),ISNUMBER(S46)),VLOOKUP(ABS(S48-S46),'IMP Table'!$A$2:$C$26,3)*SIGN(S48-S46),0)</f>
        <v/>
      </c>
      <c r="AG48">
        <f>IF(AND(ISNUMBER(S48),ISNUMBER(S47)),VLOOKUP(ABS(S48-S47),'IMP Table'!$A$2:$C$26,3)*SIGN(S48-S47),0)</f>
        <v/>
      </c>
      <c r="AH48">
        <f>IF(AND(ISNUMBER(S48),ISNUMBER(S49)),VLOOKUP(ABS(S48-S49),'IMP Table'!$A$2:$C$26,3)*SIGN(S48-S49),0)</f>
        <v/>
      </c>
      <c r="AI48">
        <f>IF(AND(ISNUMBER(S48),ISNUMBER(S50)),VLOOKUP(ABS(S48-S50),'IMP Table'!$A$2:$C$26,3)*SIGN(S48-S50),0)</f>
        <v/>
      </c>
      <c r="AJ48">
        <f>IF(AND(ISNUMBER(T48),ISNUMBER(T45)),VLOOKUP(ABS(T48-T45),'IMP Table'!$A$2:$C$26,3)*SIGN(T48-T45),0)</f>
        <v/>
      </c>
      <c r="AK48">
        <f>IF(AND(ISNUMBER(T48),ISNUMBER(T46)),VLOOKUP(ABS(T48-T46),'IMP Table'!$A$2:$C$26,3)*SIGN(T48-T46),0)</f>
        <v/>
      </c>
      <c r="AL48">
        <f>IF(AND(ISNUMBER(T48),ISNUMBER(T47)),VLOOKUP(ABS(T48-T47),'IMP Table'!$A$2:$C$26,3)*SIGN(T48-T47),0)</f>
        <v/>
      </c>
      <c r="AM48">
        <f>IF(AND(ISNUMBER(T48),ISNUMBER(T49)),VLOOKUP(ABS(T48-T49),'IMP Table'!$A$2:$C$26,3)*SIGN(T48-T49),0)</f>
        <v/>
      </c>
      <c r="AN48">
        <f>IF(AND(ISNUMBER(T48),ISNUMBER(T50)),VLOOKUP(ABS(T48-T50),'IMP Table'!$A$2:$C$26,3)*SIGN(T48-T50),0)</f>
        <v/>
      </c>
    </row>
    <row r="49">
      <c r="B49" s="10">
        <f>'By Round'!A111</f>
        <v/>
      </c>
      <c r="C49" s="10">
        <f>'By Round'!B115</f>
        <v/>
      </c>
      <c r="D49" s="10">
        <f>'By Round'!C115</f>
        <v/>
      </c>
      <c r="E49" s="10">
        <f>'By Round'!D115</f>
        <v/>
      </c>
      <c r="F49" s="10">
        <f>IF(ISBLANK('By Round'!F116),"",'By Round'!F116)</f>
        <v/>
      </c>
      <c r="G49">
        <f>IF(ISBLANK('By Round'!G116),"",'By Round'!G116)</f>
        <v/>
      </c>
      <c r="H49">
        <f>IF(ISBLANK('By Round'!H116),"",'By Round'!H116)</f>
        <v/>
      </c>
      <c r="I49">
        <f>IF(ISBLANK('By Round'!I116),"",'By Round'!I116)</f>
        <v/>
      </c>
      <c r="J49">
        <f>IF(ISBLANK('By Round'!J116),"",'By Round'!J116)</f>
        <v/>
      </c>
      <c r="K49">
        <f>IF(ISBLANK('By Round'!K116),"",'By Round'!K116)</f>
        <v/>
      </c>
      <c r="L49">
        <f>IF(ISBLANK('By Round'!L116),"",'By Round'!L116)</f>
        <v/>
      </c>
      <c r="M49" s="11">
        <f>AVERAGE(AE49:AI49)</f>
        <v/>
      </c>
      <c r="N49" s="12">
        <f>AVERAGE(AJ49:AN49)</f>
        <v/>
      </c>
      <c r="O49" s="13">
        <f>IF(COUNT(U49:Y49)&gt;0,Q49/COUNT(U49:Y49),0.5)</f>
        <v/>
      </c>
      <c r="P49" s="13">
        <f>IF(COUNT(Z49:AD49)&gt;0,R49/COUNT(Z49:AD49),0.5)</f>
        <v/>
      </c>
      <c r="Q49" s="5">
        <f>SUM(U49:Y49)</f>
        <v/>
      </c>
      <c r="R49" s="5">
        <f>SUM(Z49:AD49)</f>
        <v/>
      </c>
      <c r="S49" s="14">
        <f>IF(ISNUMBER(K49),K49,IF(ISNUMBER(L49),-L49,""))</f>
        <v/>
      </c>
      <c r="T49">
        <f>IF(ISNUMBER(L49),L49,IF(ISNUMBER(K49),-K49,""))</f>
        <v/>
      </c>
      <c r="U49" s="14">
        <f>IF(ISNUMBER(S49),IF(ISNUMBER(S45),IF(S49&gt;S45,1.0,IF(S49=S45,0.5,0.0)),""),"")</f>
        <v/>
      </c>
      <c r="V49">
        <f>IF(ISNUMBER(S49),IF(ISNUMBER(S46),IF(S49&gt;S46,1.0,IF(S49=S46,0.5,0.0)),""),"")</f>
        <v/>
      </c>
      <c r="W49">
        <f>IF(ISNUMBER(S49),IF(ISNUMBER(S47),IF(S49&gt;S47,1.0,IF(S49=S47,0.5,0.0)),""),"")</f>
        <v/>
      </c>
      <c r="X49">
        <f>IF(ISNUMBER(S49),IF(ISNUMBER(S48),IF(S49&gt;S48,1.0,IF(S49=S48,0.5,0.0)),""),"")</f>
        <v/>
      </c>
      <c r="Y49">
        <f>IF(ISNUMBER(S49),IF(ISNUMBER(S50),IF(S49&gt;S50,1.0,IF(S49=S50,0.5,0.0)),""),"")</f>
        <v/>
      </c>
      <c r="Z49">
        <f>IF(ISNUMBER(T49),IF(ISNUMBER(T45),IF(T49&gt;T45,1.0,IF(T49=T45,0.5,0.0)),""),"")</f>
        <v/>
      </c>
      <c r="AA49">
        <f>IF(ISNUMBER(T49),IF(ISNUMBER(T46),IF(T49&gt;T46,1.0,IF(T49=T46,0.5,0.0)),""),"")</f>
        <v/>
      </c>
      <c r="AB49">
        <f>IF(ISNUMBER(T49),IF(ISNUMBER(T47),IF(T49&gt;T47,1.0,IF(T49=T47,0.5,0.0)),""),"")</f>
        <v/>
      </c>
      <c r="AC49">
        <f>IF(ISNUMBER(T49),IF(ISNUMBER(T48),IF(T49&gt;T48,1.0,IF(T49=T48,0.5,0.0)),""),"")</f>
        <v/>
      </c>
      <c r="AD49">
        <f>IF(ISNUMBER(T49),IF(ISNUMBER(T50),IF(T49&gt;T50,1.0,IF(T49=T50,0.5,0.0)),""),"")</f>
        <v/>
      </c>
      <c r="AE49" s="14">
        <f>IF(AND(ISNUMBER(S49),ISNUMBER(S45)),VLOOKUP(ABS(S49-S45),'IMP Table'!$A$2:$C$26,3)*SIGN(S49-S45),0)</f>
        <v/>
      </c>
      <c r="AF49">
        <f>IF(AND(ISNUMBER(S49),ISNUMBER(S46)),VLOOKUP(ABS(S49-S46),'IMP Table'!$A$2:$C$26,3)*SIGN(S49-S46),0)</f>
        <v/>
      </c>
      <c r="AG49">
        <f>IF(AND(ISNUMBER(S49),ISNUMBER(S47)),VLOOKUP(ABS(S49-S47),'IMP Table'!$A$2:$C$26,3)*SIGN(S49-S47),0)</f>
        <v/>
      </c>
      <c r="AH49">
        <f>IF(AND(ISNUMBER(S49),ISNUMBER(S48)),VLOOKUP(ABS(S49-S48),'IMP Table'!$A$2:$C$26,3)*SIGN(S49-S48),0)</f>
        <v/>
      </c>
      <c r="AI49">
        <f>IF(AND(ISNUMBER(S49),ISNUMBER(S50)),VLOOKUP(ABS(S49-S50),'IMP Table'!$A$2:$C$26,3)*SIGN(S49-S50),0)</f>
        <v/>
      </c>
      <c r="AJ49">
        <f>IF(AND(ISNUMBER(T49),ISNUMBER(T45)),VLOOKUP(ABS(T49-T45),'IMP Table'!$A$2:$C$26,3)*SIGN(T49-T45),0)</f>
        <v/>
      </c>
      <c r="AK49">
        <f>IF(AND(ISNUMBER(T49),ISNUMBER(T46)),VLOOKUP(ABS(T49-T46),'IMP Table'!$A$2:$C$26,3)*SIGN(T49-T46),0)</f>
        <v/>
      </c>
      <c r="AL49">
        <f>IF(AND(ISNUMBER(T49),ISNUMBER(T47)),VLOOKUP(ABS(T49-T47),'IMP Table'!$A$2:$C$26,3)*SIGN(T49-T47),0)</f>
        <v/>
      </c>
      <c r="AM49">
        <f>IF(AND(ISNUMBER(T49),ISNUMBER(T48)),VLOOKUP(ABS(T49-T48),'IMP Table'!$A$2:$C$26,3)*SIGN(T49-T48),0)</f>
        <v/>
      </c>
      <c r="AN49">
        <f>IF(AND(ISNUMBER(T49),ISNUMBER(T50)),VLOOKUP(ABS(T49-T50),'IMP Table'!$A$2:$C$26,3)*SIGN(T49-T50),0)</f>
        <v/>
      </c>
    </row>
    <row r="50">
      <c r="A50" s="15" t="n"/>
      <c r="B50" s="16">
        <f>'By Round'!A75</f>
        <v/>
      </c>
      <c r="C50" s="16">
        <f>'By Round'!B83</f>
        <v/>
      </c>
      <c r="D50" s="16">
        <f>'By Round'!C83</f>
        <v/>
      </c>
      <c r="E50" s="16">
        <f>'By Round'!D83</f>
        <v/>
      </c>
      <c r="F50" s="16">
        <f>IF(ISBLANK('By Round'!F84),"",'By Round'!F84)</f>
        <v/>
      </c>
      <c r="G50" s="15">
        <f>IF(ISBLANK('By Round'!G84),"",'By Round'!G84)</f>
        <v/>
      </c>
      <c r="H50" s="15">
        <f>IF(ISBLANK('By Round'!H84),"",'By Round'!H84)</f>
        <v/>
      </c>
      <c r="I50" s="15">
        <f>IF(ISBLANK('By Round'!I84),"",'By Round'!I84)</f>
        <v/>
      </c>
      <c r="J50" s="15">
        <f>IF(ISBLANK('By Round'!J84),"",'By Round'!J84)</f>
        <v/>
      </c>
      <c r="K50" s="15">
        <f>IF(ISBLANK('By Round'!K84),"",'By Round'!K84)</f>
        <v/>
      </c>
      <c r="L50" s="15">
        <f>IF(ISBLANK('By Round'!L84),"",'By Round'!L84)</f>
        <v/>
      </c>
      <c r="M50" s="17">
        <f>AVERAGE(AE50:AI50)</f>
        <v/>
      </c>
      <c r="N50" s="18">
        <f>AVERAGE(AJ50:AN50)</f>
        <v/>
      </c>
      <c r="O50" s="19">
        <f>IF(COUNT(U50:Y50)&gt;0,Q50/COUNT(U50:Y50),0.5)</f>
        <v/>
      </c>
      <c r="P50" s="19">
        <f>IF(COUNT(Z50:AD50)&gt;0,R50/COUNT(Z50:AD50),0.5)</f>
        <v/>
      </c>
      <c r="Q50" s="20">
        <f>SUM(U50:Y50)</f>
        <v/>
      </c>
      <c r="R50" s="20">
        <f>SUM(Z50:AD50)</f>
        <v/>
      </c>
      <c r="S50" s="21">
        <f>IF(ISNUMBER(K50),K50,IF(ISNUMBER(L50),-L50,""))</f>
        <v/>
      </c>
      <c r="T50" s="15">
        <f>IF(ISNUMBER(L50),L50,IF(ISNUMBER(K50),-K50,""))</f>
        <v/>
      </c>
      <c r="U50" s="21">
        <f>IF(ISNUMBER(S50),IF(ISNUMBER(S45),IF(S50&gt;S45,1.0,IF(S50=S45,0.5,0.0)),""),"")</f>
        <v/>
      </c>
      <c r="V50" s="15">
        <f>IF(ISNUMBER(S50),IF(ISNUMBER(S46),IF(S50&gt;S46,1.0,IF(S50=S46,0.5,0.0)),""),"")</f>
        <v/>
      </c>
      <c r="W50" s="15">
        <f>IF(ISNUMBER(S50),IF(ISNUMBER(S47),IF(S50&gt;S47,1.0,IF(S50=S47,0.5,0.0)),""),"")</f>
        <v/>
      </c>
      <c r="X50" s="15">
        <f>IF(ISNUMBER(S50),IF(ISNUMBER(S48),IF(S50&gt;S48,1.0,IF(S50=S48,0.5,0.0)),""),"")</f>
        <v/>
      </c>
      <c r="Y50" s="15">
        <f>IF(ISNUMBER(S50),IF(ISNUMBER(S49),IF(S50&gt;S49,1.0,IF(S50=S49,0.5,0.0)),""),"")</f>
        <v/>
      </c>
      <c r="Z50" s="15">
        <f>IF(ISNUMBER(T50),IF(ISNUMBER(T45),IF(T50&gt;T45,1.0,IF(T50=T45,0.5,0.0)),""),"")</f>
        <v/>
      </c>
      <c r="AA50" s="15">
        <f>IF(ISNUMBER(T50),IF(ISNUMBER(T46),IF(T50&gt;T46,1.0,IF(T50=T46,0.5,0.0)),""),"")</f>
        <v/>
      </c>
      <c r="AB50" s="15">
        <f>IF(ISNUMBER(T50),IF(ISNUMBER(T47),IF(T50&gt;T47,1.0,IF(T50=T47,0.5,0.0)),""),"")</f>
        <v/>
      </c>
      <c r="AC50" s="15">
        <f>IF(ISNUMBER(T50),IF(ISNUMBER(T48),IF(T50&gt;T48,1.0,IF(T50=T48,0.5,0.0)),""),"")</f>
        <v/>
      </c>
      <c r="AD50" s="15">
        <f>IF(ISNUMBER(T50),IF(ISNUMBER(T49),IF(T50&gt;T49,1.0,IF(T50=T49,0.5,0.0)),""),"")</f>
        <v/>
      </c>
      <c r="AE50" s="21">
        <f>IF(AND(ISNUMBER(S50),ISNUMBER(S45)),VLOOKUP(ABS(S50-S45),'IMP Table'!$A$2:$C$26,3)*SIGN(S50-S45),0)</f>
        <v/>
      </c>
      <c r="AF50" s="15">
        <f>IF(AND(ISNUMBER(S50),ISNUMBER(S46)),VLOOKUP(ABS(S50-S46),'IMP Table'!$A$2:$C$26,3)*SIGN(S50-S46),0)</f>
        <v/>
      </c>
      <c r="AG50" s="15">
        <f>IF(AND(ISNUMBER(S50),ISNUMBER(S47)),VLOOKUP(ABS(S50-S47),'IMP Table'!$A$2:$C$26,3)*SIGN(S50-S47),0)</f>
        <v/>
      </c>
      <c r="AH50" s="15">
        <f>IF(AND(ISNUMBER(S50),ISNUMBER(S48)),VLOOKUP(ABS(S50-S48),'IMP Table'!$A$2:$C$26,3)*SIGN(S50-S48),0)</f>
        <v/>
      </c>
      <c r="AI50" s="15">
        <f>IF(AND(ISNUMBER(S50),ISNUMBER(S49)),VLOOKUP(ABS(S50-S49),'IMP Table'!$A$2:$C$26,3)*SIGN(S50-S49),0)</f>
        <v/>
      </c>
      <c r="AJ50" s="15">
        <f>IF(AND(ISNUMBER(T50),ISNUMBER(T45)),VLOOKUP(ABS(T50-T45),'IMP Table'!$A$2:$C$26,3)*SIGN(T50-T45),0)</f>
        <v/>
      </c>
      <c r="AK50" s="15">
        <f>IF(AND(ISNUMBER(T50),ISNUMBER(T46)),VLOOKUP(ABS(T50-T46),'IMP Table'!$A$2:$C$26,3)*SIGN(T50-T46),0)</f>
        <v/>
      </c>
      <c r="AL50" s="15">
        <f>IF(AND(ISNUMBER(T50),ISNUMBER(T47)),VLOOKUP(ABS(T50-T47),'IMP Table'!$A$2:$C$26,3)*SIGN(T50-T47),0)</f>
        <v/>
      </c>
      <c r="AM50" s="15">
        <f>IF(AND(ISNUMBER(T50),ISNUMBER(T48)),VLOOKUP(ABS(T50-T48),'IMP Table'!$A$2:$C$26,3)*SIGN(T50-T48),0)</f>
        <v/>
      </c>
      <c r="AN50" s="15">
        <f>IF(AND(ISNUMBER(T50),ISNUMBER(T49)),VLOOKUP(ABS(T50-T49),'IMP Table'!$A$2:$C$26,3)*SIGN(T50-T49),0)</f>
        <v/>
      </c>
    </row>
    <row r="51">
      <c r="A51" s="10" t="n">
        <v>9</v>
      </c>
      <c r="B51" s="10">
        <f>'By Round'!A51</f>
        <v/>
      </c>
      <c r="C51" s="10">
        <f>'By Round'!B51</f>
        <v/>
      </c>
      <c r="D51" s="10">
        <f>'By Round'!C51</f>
        <v/>
      </c>
      <c r="E51" s="10">
        <f>'By Round'!D51</f>
        <v/>
      </c>
      <c r="F51" s="10">
        <f>IF(ISBLANK('By Round'!F51),"",'By Round'!F51)</f>
        <v/>
      </c>
      <c r="G51">
        <f>IF(ISBLANK('By Round'!G51),"",'By Round'!G51)</f>
        <v/>
      </c>
      <c r="H51">
        <f>IF(ISBLANK('By Round'!H51),"",'By Round'!H51)</f>
        <v/>
      </c>
      <c r="I51">
        <f>IF(ISBLANK('By Round'!I51),"",'By Round'!I51)</f>
        <v/>
      </c>
      <c r="J51">
        <f>IF(ISBLANK('By Round'!J51),"",'By Round'!J51)</f>
        <v/>
      </c>
      <c r="K51">
        <f>IF(ISBLANK('By Round'!K51),"",'By Round'!K51)</f>
        <v/>
      </c>
      <c r="L51">
        <f>IF(ISBLANK('By Round'!L51),"",'By Round'!L51)</f>
        <v/>
      </c>
      <c r="M51" s="11">
        <f>AVERAGE(AE51:AI51)</f>
        <v/>
      </c>
      <c r="N51" s="12">
        <f>AVERAGE(AJ51:AN51)</f>
        <v/>
      </c>
      <c r="O51" s="13">
        <f>IF(COUNT(U51:Y51)&gt;0,Q51/COUNT(U51:Y51),0.5)</f>
        <v/>
      </c>
      <c r="P51" s="13">
        <f>IF(COUNT(Z51:AD51)&gt;0,R51/COUNT(Z51:AD51),0.5)</f>
        <v/>
      </c>
      <c r="Q51" s="5">
        <f>SUM(U51:Y51)</f>
        <v/>
      </c>
      <c r="R51" s="5">
        <f>SUM(Z51:AD51)</f>
        <v/>
      </c>
      <c r="S51" s="14">
        <f>IF(ISNUMBER(K51),K51,IF(ISNUMBER(L51),-L51,""))</f>
        <v/>
      </c>
      <c r="T51">
        <f>IF(ISNUMBER(L51),L51,IF(ISNUMBER(K51),-K51,""))</f>
        <v/>
      </c>
      <c r="U51" s="14">
        <f>IF(ISNUMBER(S51),IF(ISNUMBER(S52),IF(S51&gt;S52,1.0,IF(S51=S52,0.5,0.0)),""),"")</f>
        <v/>
      </c>
      <c r="V51">
        <f>IF(ISNUMBER(S51),IF(ISNUMBER(S53),IF(S51&gt;S53,1.0,IF(S51=S53,0.5,0.0)),""),"")</f>
        <v/>
      </c>
      <c r="W51">
        <f>IF(ISNUMBER(S51),IF(ISNUMBER(S54),IF(S51&gt;S54,1.0,IF(S51=S54,0.5,0.0)),""),"")</f>
        <v/>
      </c>
      <c r="X51">
        <f>IF(ISNUMBER(S51),IF(ISNUMBER(S55),IF(S51&gt;S55,1.0,IF(S51=S55,0.5,0.0)),""),"")</f>
        <v/>
      </c>
      <c r="Y51">
        <f>IF(ISNUMBER(S51),IF(ISNUMBER(S56),IF(S51&gt;S56,1.0,IF(S51=S56,0.5,0.0)),""),"")</f>
        <v/>
      </c>
      <c r="Z51">
        <f>IF(ISNUMBER(T51),IF(ISNUMBER(T52),IF(T51&gt;T52,1.0,IF(T51=T52,0.5,0.0)),""),"")</f>
        <v/>
      </c>
      <c r="AA51">
        <f>IF(ISNUMBER(T51),IF(ISNUMBER(T53),IF(T51&gt;T53,1.0,IF(T51=T53,0.5,0.0)),""),"")</f>
        <v/>
      </c>
      <c r="AB51">
        <f>IF(ISNUMBER(T51),IF(ISNUMBER(T54),IF(T51&gt;T54,1.0,IF(T51=T54,0.5,0.0)),""),"")</f>
        <v/>
      </c>
      <c r="AC51">
        <f>IF(ISNUMBER(T51),IF(ISNUMBER(T55),IF(T51&gt;T55,1.0,IF(T51=T55,0.5,0.0)),""),"")</f>
        <v/>
      </c>
      <c r="AD51">
        <f>IF(ISNUMBER(T51),IF(ISNUMBER(T56),IF(T51&gt;T56,1.0,IF(T51=T56,0.5,0.0)),""),"")</f>
        <v/>
      </c>
      <c r="AE51" s="14">
        <f>IF(AND(ISNUMBER(S51),ISNUMBER(S52)),VLOOKUP(ABS(S51-S52),'IMP Table'!$A$2:$C$26,3)*SIGN(S51-S52),0)</f>
        <v/>
      </c>
      <c r="AF51">
        <f>IF(AND(ISNUMBER(S51),ISNUMBER(S53)),VLOOKUP(ABS(S51-S53),'IMP Table'!$A$2:$C$26,3)*SIGN(S51-S53),0)</f>
        <v/>
      </c>
      <c r="AG51">
        <f>IF(AND(ISNUMBER(S51),ISNUMBER(S54)),VLOOKUP(ABS(S51-S54),'IMP Table'!$A$2:$C$26,3)*SIGN(S51-S54),0)</f>
        <v/>
      </c>
      <c r="AH51">
        <f>IF(AND(ISNUMBER(S51),ISNUMBER(S55)),VLOOKUP(ABS(S51-S55),'IMP Table'!$A$2:$C$26,3)*SIGN(S51-S55),0)</f>
        <v/>
      </c>
      <c r="AI51">
        <f>IF(AND(ISNUMBER(S51),ISNUMBER(S56)),VLOOKUP(ABS(S51-S56),'IMP Table'!$A$2:$C$26,3)*SIGN(S51-S56),0)</f>
        <v/>
      </c>
      <c r="AJ51">
        <f>IF(AND(ISNUMBER(T51),ISNUMBER(T52)),VLOOKUP(ABS(T51-T52),'IMP Table'!$A$2:$C$26,3)*SIGN(T51-T52),0)</f>
        <v/>
      </c>
      <c r="AK51">
        <f>IF(AND(ISNUMBER(T51),ISNUMBER(T53)),VLOOKUP(ABS(T51-T53),'IMP Table'!$A$2:$C$26,3)*SIGN(T51-T53),0)</f>
        <v/>
      </c>
      <c r="AL51">
        <f>IF(AND(ISNUMBER(T51),ISNUMBER(T54)),VLOOKUP(ABS(T51-T54),'IMP Table'!$A$2:$C$26,3)*SIGN(T51-T54),0)</f>
        <v/>
      </c>
      <c r="AM51">
        <f>IF(AND(ISNUMBER(T51),ISNUMBER(T55)),VLOOKUP(ABS(T51-T55),'IMP Table'!$A$2:$C$26,3)*SIGN(T51-T55),0)</f>
        <v/>
      </c>
      <c r="AN51">
        <f>IF(AND(ISNUMBER(T51),ISNUMBER(T56)),VLOOKUP(ABS(T51-T56),'IMP Table'!$A$2:$C$26,3)*SIGN(T51-T56),0)</f>
        <v/>
      </c>
    </row>
    <row r="52">
      <c r="B52" s="10">
        <f>'By Round'!A99</f>
        <v/>
      </c>
      <c r="C52" s="10">
        <f>'By Round'!B105</f>
        <v/>
      </c>
      <c r="D52" s="10">
        <f>'By Round'!C105</f>
        <v/>
      </c>
      <c r="E52" s="10">
        <f>'By Round'!D105</f>
        <v/>
      </c>
      <c r="F52" s="10">
        <f>IF(ISBLANK('By Round'!F105),"",'By Round'!F105)</f>
        <v/>
      </c>
      <c r="G52">
        <f>IF(ISBLANK('By Round'!G105),"",'By Round'!G105)</f>
        <v/>
      </c>
      <c r="H52">
        <f>IF(ISBLANK('By Round'!H105),"",'By Round'!H105)</f>
        <v/>
      </c>
      <c r="I52">
        <f>IF(ISBLANK('By Round'!I105),"",'By Round'!I105)</f>
        <v/>
      </c>
      <c r="J52">
        <f>IF(ISBLANK('By Round'!J105),"",'By Round'!J105)</f>
        <v/>
      </c>
      <c r="K52">
        <f>IF(ISBLANK('By Round'!K105),"",'By Round'!K105)</f>
        <v/>
      </c>
      <c r="L52">
        <f>IF(ISBLANK('By Round'!L105),"",'By Round'!L105)</f>
        <v/>
      </c>
      <c r="M52" s="11">
        <f>AVERAGE(AE52:AI52)</f>
        <v/>
      </c>
      <c r="N52" s="12">
        <f>AVERAGE(AJ52:AN52)</f>
        <v/>
      </c>
      <c r="O52" s="13">
        <f>IF(COUNT(U52:Y52)&gt;0,Q52/COUNT(U52:Y52),0.5)</f>
        <v/>
      </c>
      <c r="P52" s="13">
        <f>IF(COUNT(Z52:AD52)&gt;0,R52/COUNT(Z52:AD52),0.5)</f>
        <v/>
      </c>
      <c r="Q52" s="5">
        <f>SUM(U52:Y52)</f>
        <v/>
      </c>
      <c r="R52" s="5">
        <f>SUM(Z52:AD52)</f>
        <v/>
      </c>
      <c r="S52" s="14">
        <f>IF(ISNUMBER(K52),K52,IF(ISNUMBER(L52),-L52,""))</f>
        <v/>
      </c>
      <c r="T52">
        <f>IF(ISNUMBER(L52),L52,IF(ISNUMBER(K52),-K52,""))</f>
        <v/>
      </c>
      <c r="U52" s="14">
        <f>IF(ISNUMBER(S52),IF(ISNUMBER(S51),IF(S52&gt;S51,1.0,IF(S52=S51,0.5,0.0)),""),"")</f>
        <v/>
      </c>
      <c r="V52">
        <f>IF(ISNUMBER(S52),IF(ISNUMBER(S53),IF(S52&gt;S53,1.0,IF(S52=S53,0.5,0.0)),""),"")</f>
        <v/>
      </c>
      <c r="W52">
        <f>IF(ISNUMBER(S52),IF(ISNUMBER(S54),IF(S52&gt;S54,1.0,IF(S52=S54,0.5,0.0)),""),"")</f>
        <v/>
      </c>
      <c r="X52">
        <f>IF(ISNUMBER(S52),IF(ISNUMBER(S55),IF(S52&gt;S55,1.0,IF(S52=S55,0.5,0.0)),""),"")</f>
        <v/>
      </c>
      <c r="Y52">
        <f>IF(ISNUMBER(S52),IF(ISNUMBER(S56),IF(S52&gt;S56,1.0,IF(S52=S56,0.5,0.0)),""),"")</f>
        <v/>
      </c>
      <c r="Z52">
        <f>IF(ISNUMBER(T52),IF(ISNUMBER(T51),IF(T52&gt;T51,1.0,IF(T52=T51,0.5,0.0)),""),"")</f>
        <v/>
      </c>
      <c r="AA52">
        <f>IF(ISNUMBER(T52),IF(ISNUMBER(T53),IF(T52&gt;T53,1.0,IF(T52=T53,0.5,0.0)),""),"")</f>
        <v/>
      </c>
      <c r="AB52">
        <f>IF(ISNUMBER(T52),IF(ISNUMBER(T54),IF(T52&gt;T54,1.0,IF(T52=T54,0.5,0.0)),""),"")</f>
        <v/>
      </c>
      <c r="AC52">
        <f>IF(ISNUMBER(T52),IF(ISNUMBER(T55),IF(T52&gt;T55,1.0,IF(T52=T55,0.5,0.0)),""),"")</f>
        <v/>
      </c>
      <c r="AD52">
        <f>IF(ISNUMBER(T52),IF(ISNUMBER(T56),IF(T52&gt;T56,1.0,IF(T52=T56,0.5,0.0)),""),"")</f>
        <v/>
      </c>
      <c r="AE52" s="14">
        <f>IF(AND(ISNUMBER(S52),ISNUMBER(S51)),VLOOKUP(ABS(S52-S51),'IMP Table'!$A$2:$C$26,3)*SIGN(S52-S51),0)</f>
        <v/>
      </c>
      <c r="AF52">
        <f>IF(AND(ISNUMBER(S52),ISNUMBER(S53)),VLOOKUP(ABS(S52-S53),'IMP Table'!$A$2:$C$26,3)*SIGN(S52-S53),0)</f>
        <v/>
      </c>
      <c r="AG52">
        <f>IF(AND(ISNUMBER(S52),ISNUMBER(S54)),VLOOKUP(ABS(S52-S54),'IMP Table'!$A$2:$C$26,3)*SIGN(S52-S54),0)</f>
        <v/>
      </c>
      <c r="AH52">
        <f>IF(AND(ISNUMBER(S52),ISNUMBER(S55)),VLOOKUP(ABS(S52-S55),'IMP Table'!$A$2:$C$26,3)*SIGN(S52-S55),0)</f>
        <v/>
      </c>
      <c r="AI52">
        <f>IF(AND(ISNUMBER(S52),ISNUMBER(S56)),VLOOKUP(ABS(S52-S56),'IMP Table'!$A$2:$C$26,3)*SIGN(S52-S56),0)</f>
        <v/>
      </c>
      <c r="AJ52">
        <f>IF(AND(ISNUMBER(T52),ISNUMBER(T51)),VLOOKUP(ABS(T52-T51),'IMP Table'!$A$2:$C$26,3)*SIGN(T52-T51),0)</f>
        <v/>
      </c>
      <c r="AK52">
        <f>IF(AND(ISNUMBER(T52),ISNUMBER(T53)),VLOOKUP(ABS(T52-T53),'IMP Table'!$A$2:$C$26,3)*SIGN(T52-T53),0)</f>
        <v/>
      </c>
      <c r="AL52">
        <f>IF(AND(ISNUMBER(T52),ISNUMBER(T54)),VLOOKUP(ABS(T52-T54),'IMP Table'!$A$2:$C$26,3)*SIGN(T52-T54),0)</f>
        <v/>
      </c>
      <c r="AM52">
        <f>IF(AND(ISNUMBER(T52),ISNUMBER(T55)),VLOOKUP(ABS(T52-T55),'IMP Table'!$A$2:$C$26,3)*SIGN(T52-T55),0)</f>
        <v/>
      </c>
      <c r="AN52">
        <f>IF(AND(ISNUMBER(T52),ISNUMBER(T56)),VLOOKUP(ABS(T52-T56),'IMP Table'!$A$2:$C$26,3)*SIGN(T52-T56),0)</f>
        <v/>
      </c>
    </row>
    <row r="53">
      <c r="B53" s="10">
        <f>'By Round'!A3</f>
        <v/>
      </c>
      <c r="C53" s="10">
        <f>'By Round'!B5</f>
        <v/>
      </c>
      <c r="D53" s="10">
        <f>'By Round'!C5</f>
        <v/>
      </c>
      <c r="E53" s="10">
        <f>'By Round'!D5</f>
        <v/>
      </c>
      <c r="F53" s="10">
        <f>IF(ISBLANK('By Round'!F5),"",'By Round'!F5)</f>
        <v/>
      </c>
      <c r="G53">
        <f>IF(ISBLANK('By Round'!G5),"",'By Round'!G5)</f>
        <v/>
      </c>
      <c r="H53">
        <f>IF(ISBLANK('By Round'!H5),"",'By Round'!H5)</f>
        <v/>
      </c>
      <c r="I53">
        <f>IF(ISBLANK('By Round'!I5),"",'By Round'!I5)</f>
        <v/>
      </c>
      <c r="J53">
        <f>IF(ISBLANK('By Round'!J5),"",'By Round'!J5)</f>
        <v/>
      </c>
      <c r="K53">
        <f>IF(ISBLANK('By Round'!K5),"",'By Round'!K5)</f>
        <v/>
      </c>
      <c r="L53">
        <f>IF(ISBLANK('By Round'!L5),"",'By Round'!L5)</f>
        <v/>
      </c>
      <c r="M53" s="11">
        <f>AVERAGE(AE53:AI53)</f>
        <v/>
      </c>
      <c r="N53" s="12">
        <f>AVERAGE(AJ53:AN53)</f>
        <v/>
      </c>
      <c r="O53" s="13">
        <f>IF(COUNT(U53:Y53)&gt;0,Q53/COUNT(U53:Y53),0.5)</f>
        <v/>
      </c>
      <c r="P53" s="13">
        <f>IF(COUNT(Z53:AD53)&gt;0,R53/COUNT(Z53:AD53),0.5)</f>
        <v/>
      </c>
      <c r="Q53" s="5">
        <f>SUM(U53:Y53)</f>
        <v/>
      </c>
      <c r="R53" s="5">
        <f>SUM(Z53:AD53)</f>
        <v/>
      </c>
      <c r="S53" s="14">
        <f>IF(ISNUMBER(K53),K53,IF(ISNUMBER(L53),-L53,""))</f>
        <v/>
      </c>
      <c r="T53">
        <f>IF(ISNUMBER(L53),L53,IF(ISNUMBER(K53),-K53,""))</f>
        <v/>
      </c>
      <c r="U53" s="14">
        <f>IF(ISNUMBER(S53),IF(ISNUMBER(S51),IF(S53&gt;S51,1.0,IF(S53=S51,0.5,0.0)),""),"")</f>
        <v/>
      </c>
      <c r="V53">
        <f>IF(ISNUMBER(S53),IF(ISNUMBER(S52),IF(S53&gt;S52,1.0,IF(S53=S52,0.5,0.0)),""),"")</f>
        <v/>
      </c>
      <c r="W53">
        <f>IF(ISNUMBER(S53),IF(ISNUMBER(S54),IF(S53&gt;S54,1.0,IF(S53=S54,0.5,0.0)),""),"")</f>
        <v/>
      </c>
      <c r="X53">
        <f>IF(ISNUMBER(S53),IF(ISNUMBER(S55),IF(S53&gt;S55,1.0,IF(S53=S55,0.5,0.0)),""),"")</f>
        <v/>
      </c>
      <c r="Y53">
        <f>IF(ISNUMBER(S53),IF(ISNUMBER(S56),IF(S53&gt;S56,1.0,IF(S53=S56,0.5,0.0)),""),"")</f>
        <v/>
      </c>
      <c r="Z53">
        <f>IF(ISNUMBER(T53),IF(ISNUMBER(T51),IF(T53&gt;T51,1.0,IF(T53=T51,0.5,0.0)),""),"")</f>
        <v/>
      </c>
      <c r="AA53">
        <f>IF(ISNUMBER(T53),IF(ISNUMBER(T52),IF(T53&gt;T52,1.0,IF(T53=T52,0.5,0.0)),""),"")</f>
        <v/>
      </c>
      <c r="AB53">
        <f>IF(ISNUMBER(T53),IF(ISNUMBER(T54),IF(T53&gt;T54,1.0,IF(T53=T54,0.5,0.0)),""),"")</f>
        <v/>
      </c>
      <c r="AC53">
        <f>IF(ISNUMBER(T53),IF(ISNUMBER(T55),IF(T53&gt;T55,1.0,IF(T53=T55,0.5,0.0)),""),"")</f>
        <v/>
      </c>
      <c r="AD53">
        <f>IF(ISNUMBER(T53),IF(ISNUMBER(T56),IF(T53&gt;T56,1.0,IF(T53=T56,0.5,0.0)),""),"")</f>
        <v/>
      </c>
      <c r="AE53" s="14">
        <f>IF(AND(ISNUMBER(S53),ISNUMBER(S51)),VLOOKUP(ABS(S53-S51),'IMP Table'!$A$2:$C$26,3)*SIGN(S53-S51),0)</f>
        <v/>
      </c>
      <c r="AF53">
        <f>IF(AND(ISNUMBER(S53),ISNUMBER(S52)),VLOOKUP(ABS(S53-S52),'IMP Table'!$A$2:$C$26,3)*SIGN(S53-S52),0)</f>
        <v/>
      </c>
      <c r="AG53">
        <f>IF(AND(ISNUMBER(S53),ISNUMBER(S54)),VLOOKUP(ABS(S53-S54),'IMP Table'!$A$2:$C$26,3)*SIGN(S53-S54),0)</f>
        <v/>
      </c>
      <c r="AH53">
        <f>IF(AND(ISNUMBER(S53),ISNUMBER(S55)),VLOOKUP(ABS(S53-S55),'IMP Table'!$A$2:$C$26,3)*SIGN(S53-S55),0)</f>
        <v/>
      </c>
      <c r="AI53">
        <f>IF(AND(ISNUMBER(S53),ISNUMBER(S56)),VLOOKUP(ABS(S53-S56),'IMP Table'!$A$2:$C$26,3)*SIGN(S53-S56),0)</f>
        <v/>
      </c>
      <c r="AJ53">
        <f>IF(AND(ISNUMBER(T53),ISNUMBER(T51)),VLOOKUP(ABS(T53-T51),'IMP Table'!$A$2:$C$26,3)*SIGN(T53-T51),0)</f>
        <v/>
      </c>
      <c r="AK53">
        <f>IF(AND(ISNUMBER(T53),ISNUMBER(T52)),VLOOKUP(ABS(T53-T52),'IMP Table'!$A$2:$C$26,3)*SIGN(T53-T52),0)</f>
        <v/>
      </c>
      <c r="AL53">
        <f>IF(AND(ISNUMBER(T53),ISNUMBER(T54)),VLOOKUP(ABS(T53-T54),'IMP Table'!$A$2:$C$26,3)*SIGN(T53-T54),0)</f>
        <v/>
      </c>
      <c r="AM53">
        <f>IF(AND(ISNUMBER(T53),ISNUMBER(T55)),VLOOKUP(ABS(T53-T55),'IMP Table'!$A$2:$C$26,3)*SIGN(T53-T55),0)</f>
        <v/>
      </c>
      <c r="AN53">
        <f>IF(AND(ISNUMBER(T53),ISNUMBER(T56)),VLOOKUP(ABS(T53-T56),'IMP Table'!$A$2:$C$26,3)*SIGN(T53-T56),0)</f>
        <v/>
      </c>
    </row>
    <row r="54">
      <c r="B54" s="10">
        <f>'By Round'!A75</f>
        <v/>
      </c>
      <c r="C54" s="10">
        <f>'By Round'!B85</f>
        <v/>
      </c>
      <c r="D54" s="10">
        <f>'By Round'!C85</f>
        <v/>
      </c>
      <c r="E54" s="10">
        <f>'By Round'!D85</f>
        <v/>
      </c>
      <c r="F54" s="10">
        <f>IF(ISBLANK('By Round'!F85),"",'By Round'!F85)</f>
        <v/>
      </c>
      <c r="G54">
        <f>IF(ISBLANK('By Round'!G85),"",'By Round'!G85)</f>
        <v/>
      </c>
      <c r="H54">
        <f>IF(ISBLANK('By Round'!H85),"",'By Round'!H85)</f>
        <v/>
      </c>
      <c r="I54">
        <f>IF(ISBLANK('By Round'!I85),"",'By Round'!I85)</f>
        <v/>
      </c>
      <c r="J54">
        <f>IF(ISBLANK('By Round'!J85),"",'By Round'!J85)</f>
        <v/>
      </c>
      <c r="K54">
        <f>IF(ISBLANK('By Round'!K85),"",'By Round'!K85)</f>
        <v/>
      </c>
      <c r="L54">
        <f>IF(ISBLANK('By Round'!L85),"",'By Round'!L85)</f>
        <v/>
      </c>
      <c r="M54" s="11">
        <f>AVERAGE(AE54:AI54)</f>
        <v/>
      </c>
      <c r="N54" s="12">
        <f>AVERAGE(AJ54:AN54)</f>
        <v/>
      </c>
      <c r="O54" s="13">
        <f>IF(COUNT(U54:Y54)&gt;0,Q54/COUNT(U54:Y54),0.5)</f>
        <v/>
      </c>
      <c r="P54" s="13">
        <f>IF(COUNT(Z54:AD54)&gt;0,R54/COUNT(Z54:AD54),0.5)</f>
        <v/>
      </c>
      <c r="Q54" s="5">
        <f>SUM(U54:Y54)</f>
        <v/>
      </c>
      <c r="R54" s="5">
        <f>SUM(Z54:AD54)</f>
        <v/>
      </c>
      <c r="S54" s="14">
        <f>IF(ISNUMBER(K54),K54,IF(ISNUMBER(L54),-L54,""))</f>
        <v/>
      </c>
      <c r="T54">
        <f>IF(ISNUMBER(L54),L54,IF(ISNUMBER(K54),-K54,""))</f>
        <v/>
      </c>
      <c r="U54" s="14">
        <f>IF(ISNUMBER(S54),IF(ISNUMBER(S51),IF(S54&gt;S51,1.0,IF(S54=S51,0.5,0.0)),""),"")</f>
        <v/>
      </c>
      <c r="V54">
        <f>IF(ISNUMBER(S54),IF(ISNUMBER(S52),IF(S54&gt;S52,1.0,IF(S54=S52,0.5,0.0)),""),"")</f>
        <v/>
      </c>
      <c r="W54">
        <f>IF(ISNUMBER(S54),IF(ISNUMBER(S53),IF(S54&gt;S53,1.0,IF(S54=S53,0.5,0.0)),""),"")</f>
        <v/>
      </c>
      <c r="X54">
        <f>IF(ISNUMBER(S54),IF(ISNUMBER(S55),IF(S54&gt;S55,1.0,IF(S54=S55,0.5,0.0)),""),"")</f>
        <v/>
      </c>
      <c r="Y54">
        <f>IF(ISNUMBER(S54),IF(ISNUMBER(S56),IF(S54&gt;S56,1.0,IF(S54=S56,0.5,0.0)),""),"")</f>
        <v/>
      </c>
      <c r="Z54">
        <f>IF(ISNUMBER(T54),IF(ISNUMBER(T51),IF(T54&gt;T51,1.0,IF(T54=T51,0.5,0.0)),""),"")</f>
        <v/>
      </c>
      <c r="AA54">
        <f>IF(ISNUMBER(T54),IF(ISNUMBER(T52),IF(T54&gt;T52,1.0,IF(T54=T52,0.5,0.0)),""),"")</f>
        <v/>
      </c>
      <c r="AB54">
        <f>IF(ISNUMBER(T54),IF(ISNUMBER(T53),IF(T54&gt;T53,1.0,IF(T54=T53,0.5,0.0)),""),"")</f>
        <v/>
      </c>
      <c r="AC54">
        <f>IF(ISNUMBER(T54),IF(ISNUMBER(T55),IF(T54&gt;T55,1.0,IF(T54=T55,0.5,0.0)),""),"")</f>
        <v/>
      </c>
      <c r="AD54">
        <f>IF(ISNUMBER(T54),IF(ISNUMBER(T56),IF(T54&gt;T56,1.0,IF(T54=T56,0.5,0.0)),""),"")</f>
        <v/>
      </c>
      <c r="AE54" s="14">
        <f>IF(AND(ISNUMBER(S54),ISNUMBER(S51)),VLOOKUP(ABS(S54-S51),'IMP Table'!$A$2:$C$26,3)*SIGN(S54-S51),0)</f>
        <v/>
      </c>
      <c r="AF54">
        <f>IF(AND(ISNUMBER(S54),ISNUMBER(S52)),VLOOKUP(ABS(S54-S52),'IMP Table'!$A$2:$C$26,3)*SIGN(S54-S52),0)</f>
        <v/>
      </c>
      <c r="AG54">
        <f>IF(AND(ISNUMBER(S54),ISNUMBER(S53)),VLOOKUP(ABS(S54-S53),'IMP Table'!$A$2:$C$26,3)*SIGN(S54-S53),0)</f>
        <v/>
      </c>
      <c r="AH54">
        <f>IF(AND(ISNUMBER(S54),ISNUMBER(S55)),VLOOKUP(ABS(S54-S55),'IMP Table'!$A$2:$C$26,3)*SIGN(S54-S55),0)</f>
        <v/>
      </c>
      <c r="AI54">
        <f>IF(AND(ISNUMBER(S54),ISNUMBER(S56)),VLOOKUP(ABS(S54-S56),'IMP Table'!$A$2:$C$26,3)*SIGN(S54-S56),0)</f>
        <v/>
      </c>
      <c r="AJ54">
        <f>IF(AND(ISNUMBER(T54),ISNUMBER(T51)),VLOOKUP(ABS(T54-T51),'IMP Table'!$A$2:$C$26,3)*SIGN(T54-T51),0)</f>
        <v/>
      </c>
      <c r="AK54">
        <f>IF(AND(ISNUMBER(T54),ISNUMBER(T52)),VLOOKUP(ABS(T54-T52),'IMP Table'!$A$2:$C$26,3)*SIGN(T54-T52),0)</f>
        <v/>
      </c>
      <c r="AL54">
        <f>IF(AND(ISNUMBER(T54),ISNUMBER(T53)),VLOOKUP(ABS(T54-T53),'IMP Table'!$A$2:$C$26,3)*SIGN(T54-T53),0)</f>
        <v/>
      </c>
      <c r="AM54">
        <f>IF(AND(ISNUMBER(T54),ISNUMBER(T55)),VLOOKUP(ABS(T54-T55),'IMP Table'!$A$2:$C$26,3)*SIGN(T54-T55),0)</f>
        <v/>
      </c>
      <c r="AN54">
        <f>IF(AND(ISNUMBER(T54),ISNUMBER(T56)),VLOOKUP(ABS(T54-T56),'IMP Table'!$A$2:$C$26,3)*SIGN(T54-T56),0)</f>
        <v/>
      </c>
    </row>
    <row r="55">
      <c r="B55" s="10">
        <f>'By Round'!A123</f>
        <v/>
      </c>
      <c r="C55" s="10">
        <f>'By Round'!B127</f>
        <v/>
      </c>
      <c r="D55" s="10">
        <f>'By Round'!C127</f>
        <v/>
      </c>
      <c r="E55" s="10">
        <f>'By Round'!D127</f>
        <v/>
      </c>
      <c r="F55" s="10">
        <f>IF(ISBLANK('By Round'!F127),"",'By Round'!F127)</f>
        <v/>
      </c>
      <c r="G55">
        <f>IF(ISBLANK('By Round'!G127),"",'By Round'!G127)</f>
        <v/>
      </c>
      <c r="H55">
        <f>IF(ISBLANK('By Round'!H127),"",'By Round'!H127)</f>
        <v/>
      </c>
      <c r="I55">
        <f>IF(ISBLANK('By Round'!I127),"",'By Round'!I127)</f>
        <v/>
      </c>
      <c r="J55">
        <f>IF(ISBLANK('By Round'!J127),"",'By Round'!J127)</f>
        <v/>
      </c>
      <c r="K55">
        <f>IF(ISBLANK('By Round'!K127),"",'By Round'!K127)</f>
        <v/>
      </c>
      <c r="L55">
        <f>IF(ISBLANK('By Round'!L127),"",'By Round'!L127)</f>
        <v/>
      </c>
      <c r="M55" s="11">
        <f>AVERAGE(AE55:AI55)</f>
        <v/>
      </c>
      <c r="N55" s="12">
        <f>AVERAGE(AJ55:AN55)</f>
        <v/>
      </c>
      <c r="O55" s="13">
        <f>IF(COUNT(U55:Y55)&gt;0,Q55/COUNT(U55:Y55),0.5)</f>
        <v/>
      </c>
      <c r="P55" s="13">
        <f>IF(COUNT(Z55:AD55)&gt;0,R55/COUNT(Z55:AD55),0.5)</f>
        <v/>
      </c>
      <c r="Q55" s="5">
        <f>SUM(U55:Y55)</f>
        <v/>
      </c>
      <c r="R55" s="5">
        <f>SUM(Z55:AD55)</f>
        <v/>
      </c>
      <c r="S55" s="14">
        <f>IF(ISNUMBER(K55),K55,IF(ISNUMBER(L55),-L55,""))</f>
        <v/>
      </c>
      <c r="T55">
        <f>IF(ISNUMBER(L55),L55,IF(ISNUMBER(K55),-K55,""))</f>
        <v/>
      </c>
      <c r="U55" s="14">
        <f>IF(ISNUMBER(S55),IF(ISNUMBER(S51),IF(S55&gt;S51,1.0,IF(S55=S51,0.5,0.0)),""),"")</f>
        <v/>
      </c>
      <c r="V55">
        <f>IF(ISNUMBER(S55),IF(ISNUMBER(S52),IF(S55&gt;S52,1.0,IF(S55=S52,0.5,0.0)),""),"")</f>
        <v/>
      </c>
      <c r="W55">
        <f>IF(ISNUMBER(S55),IF(ISNUMBER(S53),IF(S55&gt;S53,1.0,IF(S55=S53,0.5,0.0)),""),"")</f>
        <v/>
      </c>
      <c r="X55">
        <f>IF(ISNUMBER(S55),IF(ISNUMBER(S54),IF(S55&gt;S54,1.0,IF(S55=S54,0.5,0.0)),""),"")</f>
        <v/>
      </c>
      <c r="Y55">
        <f>IF(ISNUMBER(S55),IF(ISNUMBER(S56),IF(S55&gt;S56,1.0,IF(S55=S56,0.5,0.0)),""),"")</f>
        <v/>
      </c>
      <c r="Z55">
        <f>IF(ISNUMBER(T55),IF(ISNUMBER(T51),IF(T55&gt;T51,1.0,IF(T55=T51,0.5,0.0)),""),"")</f>
        <v/>
      </c>
      <c r="AA55">
        <f>IF(ISNUMBER(T55),IF(ISNUMBER(T52),IF(T55&gt;T52,1.0,IF(T55=T52,0.5,0.0)),""),"")</f>
        <v/>
      </c>
      <c r="AB55">
        <f>IF(ISNUMBER(T55),IF(ISNUMBER(T53),IF(T55&gt;T53,1.0,IF(T55=T53,0.5,0.0)),""),"")</f>
        <v/>
      </c>
      <c r="AC55">
        <f>IF(ISNUMBER(T55),IF(ISNUMBER(T54),IF(T55&gt;T54,1.0,IF(T55=T54,0.5,0.0)),""),"")</f>
        <v/>
      </c>
      <c r="AD55">
        <f>IF(ISNUMBER(T55),IF(ISNUMBER(T56),IF(T55&gt;T56,1.0,IF(T55=T56,0.5,0.0)),""),"")</f>
        <v/>
      </c>
      <c r="AE55" s="14">
        <f>IF(AND(ISNUMBER(S55),ISNUMBER(S51)),VLOOKUP(ABS(S55-S51),'IMP Table'!$A$2:$C$26,3)*SIGN(S55-S51),0)</f>
        <v/>
      </c>
      <c r="AF55">
        <f>IF(AND(ISNUMBER(S55),ISNUMBER(S52)),VLOOKUP(ABS(S55-S52),'IMP Table'!$A$2:$C$26,3)*SIGN(S55-S52),0)</f>
        <v/>
      </c>
      <c r="AG55">
        <f>IF(AND(ISNUMBER(S55),ISNUMBER(S53)),VLOOKUP(ABS(S55-S53),'IMP Table'!$A$2:$C$26,3)*SIGN(S55-S53),0)</f>
        <v/>
      </c>
      <c r="AH55">
        <f>IF(AND(ISNUMBER(S55),ISNUMBER(S54)),VLOOKUP(ABS(S55-S54),'IMP Table'!$A$2:$C$26,3)*SIGN(S55-S54),0)</f>
        <v/>
      </c>
      <c r="AI55">
        <f>IF(AND(ISNUMBER(S55),ISNUMBER(S56)),VLOOKUP(ABS(S55-S56),'IMP Table'!$A$2:$C$26,3)*SIGN(S55-S56),0)</f>
        <v/>
      </c>
      <c r="AJ55">
        <f>IF(AND(ISNUMBER(T55),ISNUMBER(T51)),VLOOKUP(ABS(T55-T51),'IMP Table'!$A$2:$C$26,3)*SIGN(T55-T51),0)</f>
        <v/>
      </c>
      <c r="AK55">
        <f>IF(AND(ISNUMBER(T55),ISNUMBER(T52)),VLOOKUP(ABS(T55-T52),'IMP Table'!$A$2:$C$26,3)*SIGN(T55-T52),0)</f>
        <v/>
      </c>
      <c r="AL55">
        <f>IF(AND(ISNUMBER(T55),ISNUMBER(T53)),VLOOKUP(ABS(T55-T53),'IMP Table'!$A$2:$C$26,3)*SIGN(T55-T53),0)</f>
        <v/>
      </c>
      <c r="AM55">
        <f>IF(AND(ISNUMBER(T55),ISNUMBER(T54)),VLOOKUP(ABS(T55-T54),'IMP Table'!$A$2:$C$26,3)*SIGN(T55-T54),0)</f>
        <v/>
      </c>
      <c r="AN55">
        <f>IF(AND(ISNUMBER(T55),ISNUMBER(T56)),VLOOKUP(ABS(T55-T56),'IMP Table'!$A$2:$C$26,3)*SIGN(T55-T56),0)</f>
        <v/>
      </c>
    </row>
    <row r="56">
      <c r="A56" s="15" t="n"/>
      <c r="B56" s="16">
        <f>'By Round'!A87</f>
        <v/>
      </c>
      <c r="C56" s="16">
        <f>'By Round'!B95</f>
        <v/>
      </c>
      <c r="D56" s="16">
        <f>'By Round'!C95</f>
        <v/>
      </c>
      <c r="E56" s="16">
        <f>'By Round'!D95</f>
        <v/>
      </c>
      <c r="F56" s="16">
        <f>IF(ISBLANK('By Round'!F95),"",'By Round'!F95)</f>
        <v/>
      </c>
      <c r="G56" s="15">
        <f>IF(ISBLANK('By Round'!G95),"",'By Round'!G95)</f>
        <v/>
      </c>
      <c r="H56" s="15">
        <f>IF(ISBLANK('By Round'!H95),"",'By Round'!H95)</f>
        <v/>
      </c>
      <c r="I56" s="15">
        <f>IF(ISBLANK('By Round'!I95),"",'By Round'!I95)</f>
        <v/>
      </c>
      <c r="J56" s="15">
        <f>IF(ISBLANK('By Round'!J95),"",'By Round'!J95)</f>
        <v/>
      </c>
      <c r="K56" s="15">
        <f>IF(ISBLANK('By Round'!K95),"",'By Round'!K95)</f>
        <v/>
      </c>
      <c r="L56" s="15">
        <f>IF(ISBLANK('By Round'!L95),"",'By Round'!L95)</f>
        <v/>
      </c>
      <c r="M56" s="17">
        <f>AVERAGE(AE56:AI56)</f>
        <v/>
      </c>
      <c r="N56" s="18">
        <f>AVERAGE(AJ56:AN56)</f>
        <v/>
      </c>
      <c r="O56" s="19">
        <f>IF(COUNT(U56:Y56)&gt;0,Q56/COUNT(U56:Y56),0.5)</f>
        <v/>
      </c>
      <c r="P56" s="19">
        <f>IF(COUNT(Z56:AD56)&gt;0,R56/COUNT(Z56:AD56),0.5)</f>
        <v/>
      </c>
      <c r="Q56" s="20">
        <f>SUM(U56:Y56)</f>
        <v/>
      </c>
      <c r="R56" s="20">
        <f>SUM(Z56:AD56)</f>
        <v/>
      </c>
      <c r="S56" s="21">
        <f>IF(ISNUMBER(K56),K56,IF(ISNUMBER(L56),-L56,""))</f>
        <v/>
      </c>
      <c r="T56" s="15">
        <f>IF(ISNUMBER(L56),L56,IF(ISNUMBER(K56),-K56,""))</f>
        <v/>
      </c>
      <c r="U56" s="21">
        <f>IF(ISNUMBER(S56),IF(ISNUMBER(S51),IF(S56&gt;S51,1.0,IF(S56=S51,0.5,0.0)),""),"")</f>
        <v/>
      </c>
      <c r="V56" s="15">
        <f>IF(ISNUMBER(S56),IF(ISNUMBER(S52),IF(S56&gt;S52,1.0,IF(S56=S52,0.5,0.0)),""),"")</f>
        <v/>
      </c>
      <c r="W56" s="15">
        <f>IF(ISNUMBER(S56),IF(ISNUMBER(S53),IF(S56&gt;S53,1.0,IF(S56=S53,0.5,0.0)),""),"")</f>
        <v/>
      </c>
      <c r="X56" s="15">
        <f>IF(ISNUMBER(S56),IF(ISNUMBER(S54),IF(S56&gt;S54,1.0,IF(S56=S54,0.5,0.0)),""),"")</f>
        <v/>
      </c>
      <c r="Y56" s="15">
        <f>IF(ISNUMBER(S56),IF(ISNUMBER(S55),IF(S56&gt;S55,1.0,IF(S56=S55,0.5,0.0)),""),"")</f>
        <v/>
      </c>
      <c r="Z56" s="15">
        <f>IF(ISNUMBER(T56),IF(ISNUMBER(T51),IF(T56&gt;T51,1.0,IF(T56=T51,0.5,0.0)),""),"")</f>
        <v/>
      </c>
      <c r="AA56" s="15">
        <f>IF(ISNUMBER(T56),IF(ISNUMBER(T52),IF(T56&gt;T52,1.0,IF(T56=T52,0.5,0.0)),""),"")</f>
        <v/>
      </c>
      <c r="AB56" s="15">
        <f>IF(ISNUMBER(T56),IF(ISNUMBER(T53),IF(T56&gt;T53,1.0,IF(T56=T53,0.5,0.0)),""),"")</f>
        <v/>
      </c>
      <c r="AC56" s="15">
        <f>IF(ISNUMBER(T56),IF(ISNUMBER(T54),IF(T56&gt;T54,1.0,IF(T56=T54,0.5,0.0)),""),"")</f>
        <v/>
      </c>
      <c r="AD56" s="15">
        <f>IF(ISNUMBER(T56),IF(ISNUMBER(T55),IF(T56&gt;T55,1.0,IF(T56=T55,0.5,0.0)),""),"")</f>
        <v/>
      </c>
      <c r="AE56" s="21">
        <f>IF(AND(ISNUMBER(S56),ISNUMBER(S51)),VLOOKUP(ABS(S56-S51),'IMP Table'!$A$2:$C$26,3)*SIGN(S56-S51),0)</f>
        <v/>
      </c>
      <c r="AF56" s="15">
        <f>IF(AND(ISNUMBER(S56),ISNUMBER(S52)),VLOOKUP(ABS(S56-S52),'IMP Table'!$A$2:$C$26,3)*SIGN(S56-S52),0)</f>
        <v/>
      </c>
      <c r="AG56" s="15">
        <f>IF(AND(ISNUMBER(S56),ISNUMBER(S53)),VLOOKUP(ABS(S56-S53),'IMP Table'!$A$2:$C$26,3)*SIGN(S56-S53),0)</f>
        <v/>
      </c>
      <c r="AH56" s="15">
        <f>IF(AND(ISNUMBER(S56),ISNUMBER(S54)),VLOOKUP(ABS(S56-S54),'IMP Table'!$A$2:$C$26,3)*SIGN(S56-S54),0)</f>
        <v/>
      </c>
      <c r="AI56" s="15">
        <f>IF(AND(ISNUMBER(S56),ISNUMBER(S55)),VLOOKUP(ABS(S56-S55),'IMP Table'!$A$2:$C$26,3)*SIGN(S56-S55),0)</f>
        <v/>
      </c>
      <c r="AJ56" s="15">
        <f>IF(AND(ISNUMBER(T56),ISNUMBER(T51)),VLOOKUP(ABS(T56-T51),'IMP Table'!$A$2:$C$26,3)*SIGN(T56-T51),0)</f>
        <v/>
      </c>
      <c r="AK56" s="15">
        <f>IF(AND(ISNUMBER(T56),ISNUMBER(T52)),VLOOKUP(ABS(T56-T52),'IMP Table'!$A$2:$C$26,3)*SIGN(T56-T52),0)</f>
        <v/>
      </c>
      <c r="AL56" s="15">
        <f>IF(AND(ISNUMBER(T56),ISNUMBER(T53)),VLOOKUP(ABS(T56-T53),'IMP Table'!$A$2:$C$26,3)*SIGN(T56-T53),0)</f>
        <v/>
      </c>
      <c r="AM56" s="15">
        <f>IF(AND(ISNUMBER(T56),ISNUMBER(T54)),VLOOKUP(ABS(T56-T54),'IMP Table'!$A$2:$C$26,3)*SIGN(T56-T54),0)</f>
        <v/>
      </c>
      <c r="AN56" s="15">
        <f>IF(AND(ISNUMBER(T56),ISNUMBER(T55)),VLOOKUP(ABS(T56-T55),'IMP Table'!$A$2:$C$26,3)*SIGN(T56-T55),0)</f>
        <v/>
      </c>
    </row>
    <row r="57">
      <c r="A57" s="10" t="n">
        <v>10</v>
      </c>
      <c r="B57" s="10">
        <f>'By Round'!A51</f>
        <v/>
      </c>
      <c r="C57" s="10">
        <f>'By Round'!B51</f>
        <v/>
      </c>
      <c r="D57" s="10">
        <f>'By Round'!C51</f>
        <v/>
      </c>
      <c r="E57" s="10">
        <f>'By Round'!D51</f>
        <v/>
      </c>
      <c r="F57" s="10">
        <f>IF(ISBLANK('By Round'!F52),"",'By Round'!F52)</f>
        <v/>
      </c>
      <c r="G57">
        <f>IF(ISBLANK('By Round'!G52),"",'By Round'!G52)</f>
        <v/>
      </c>
      <c r="H57">
        <f>IF(ISBLANK('By Round'!H52),"",'By Round'!H52)</f>
        <v/>
      </c>
      <c r="I57">
        <f>IF(ISBLANK('By Round'!I52),"",'By Round'!I52)</f>
        <v/>
      </c>
      <c r="J57">
        <f>IF(ISBLANK('By Round'!J52),"",'By Round'!J52)</f>
        <v/>
      </c>
      <c r="K57">
        <f>IF(ISBLANK('By Round'!K52),"",'By Round'!K52)</f>
        <v/>
      </c>
      <c r="L57">
        <f>IF(ISBLANK('By Round'!L52),"",'By Round'!L52)</f>
        <v/>
      </c>
      <c r="M57" s="11">
        <f>AVERAGE(AE57:AI57)</f>
        <v/>
      </c>
      <c r="N57" s="12">
        <f>AVERAGE(AJ57:AN57)</f>
        <v/>
      </c>
      <c r="O57" s="13">
        <f>IF(COUNT(U57:Y57)&gt;0,Q57/COUNT(U57:Y57),0.5)</f>
        <v/>
      </c>
      <c r="P57" s="13">
        <f>IF(COUNT(Z57:AD57)&gt;0,R57/COUNT(Z57:AD57),0.5)</f>
        <v/>
      </c>
      <c r="Q57" s="5">
        <f>SUM(U57:Y57)</f>
        <v/>
      </c>
      <c r="R57" s="5">
        <f>SUM(Z57:AD57)</f>
        <v/>
      </c>
      <c r="S57" s="14">
        <f>IF(ISNUMBER(K57),K57,IF(ISNUMBER(L57),-L57,""))</f>
        <v/>
      </c>
      <c r="T57">
        <f>IF(ISNUMBER(L57),L57,IF(ISNUMBER(K57),-K57,""))</f>
        <v/>
      </c>
      <c r="U57" s="14">
        <f>IF(ISNUMBER(S57),IF(ISNUMBER(S58),IF(S57&gt;S58,1.0,IF(S57=S58,0.5,0.0)),""),"")</f>
        <v/>
      </c>
      <c r="V57">
        <f>IF(ISNUMBER(S57),IF(ISNUMBER(S59),IF(S57&gt;S59,1.0,IF(S57=S59,0.5,0.0)),""),"")</f>
        <v/>
      </c>
      <c r="W57">
        <f>IF(ISNUMBER(S57),IF(ISNUMBER(S60),IF(S57&gt;S60,1.0,IF(S57=S60,0.5,0.0)),""),"")</f>
        <v/>
      </c>
      <c r="X57">
        <f>IF(ISNUMBER(S57),IF(ISNUMBER(S61),IF(S57&gt;S61,1.0,IF(S57=S61,0.5,0.0)),""),"")</f>
        <v/>
      </c>
      <c r="Y57">
        <f>IF(ISNUMBER(S57),IF(ISNUMBER(S62),IF(S57&gt;S62,1.0,IF(S57=S62,0.5,0.0)),""),"")</f>
        <v/>
      </c>
      <c r="Z57">
        <f>IF(ISNUMBER(T57),IF(ISNUMBER(T58),IF(T57&gt;T58,1.0,IF(T57=T58,0.5,0.0)),""),"")</f>
        <v/>
      </c>
      <c r="AA57">
        <f>IF(ISNUMBER(T57),IF(ISNUMBER(T59),IF(T57&gt;T59,1.0,IF(T57=T59,0.5,0.0)),""),"")</f>
        <v/>
      </c>
      <c r="AB57">
        <f>IF(ISNUMBER(T57),IF(ISNUMBER(T60),IF(T57&gt;T60,1.0,IF(T57=T60,0.5,0.0)),""),"")</f>
        <v/>
      </c>
      <c r="AC57">
        <f>IF(ISNUMBER(T57),IF(ISNUMBER(T61),IF(T57&gt;T61,1.0,IF(T57=T61,0.5,0.0)),""),"")</f>
        <v/>
      </c>
      <c r="AD57">
        <f>IF(ISNUMBER(T57),IF(ISNUMBER(T62),IF(T57&gt;T62,1.0,IF(T57=T62,0.5,0.0)),""),"")</f>
        <v/>
      </c>
      <c r="AE57" s="14">
        <f>IF(AND(ISNUMBER(S57),ISNUMBER(S58)),VLOOKUP(ABS(S57-S58),'IMP Table'!$A$2:$C$26,3)*SIGN(S57-S58),0)</f>
        <v/>
      </c>
      <c r="AF57">
        <f>IF(AND(ISNUMBER(S57),ISNUMBER(S59)),VLOOKUP(ABS(S57-S59),'IMP Table'!$A$2:$C$26,3)*SIGN(S57-S59),0)</f>
        <v/>
      </c>
      <c r="AG57">
        <f>IF(AND(ISNUMBER(S57),ISNUMBER(S60)),VLOOKUP(ABS(S57-S60),'IMP Table'!$A$2:$C$26,3)*SIGN(S57-S60),0)</f>
        <v/>
      </c>
      <c r="AH57">
        <f>IF(AND(ISNUMBER(S57),ISNUMBER(S61)),VLOOKUP(ABS(S57-S61),'IMP Table'!$A$2:$C$26,3)*SIGN(S57-S61),0)</f>
        <v/>
      </c>
      <c r="AI57">
        <f>IF(AND(ISNUMBER(S57),ISNUMBER(S62)),VLOOKUP(ABS(S57-S62),'IMP Table'!$A$2:$C$26,3)*SIGN(S57-S62),0)</f>
        <v/>
      </c>
      <c r="AJ57">
        <f>IF(AND(ISNUMBER(T57),ISNUMBER(T58)),VLOOKUP(ABS(T57-T58),'IMP Table'!$A$2:$C$26,3)*SIGN(T57-T58),0)</f>
        <v/>
      </c>
      <c r="AK57">
        <f>IF(AND(ISNUMBER(T57),ISNUMBER(T59)),VLOOKUP(ABS(T57-T59),'IMP Table'!$A$2:$C$26,3)*SIGN(T57-T59),0)</f>
        <v/>
      </c>
      <c r="AL57">
        <f>IF(AND(ISNUMBER(T57),ISNUMBER(T60)),VLOOKUP(ABS(T57-T60),'IMP Table'!$A$2:$C$26,3)*SIGN(T57-T60),0)</f>
        <v/>
      </c>
      <c r="AM57">
        <f>IF(AND(ISNUMBER(T57),ISNUMBER(T61)),VLOOKUP(ABS(T57-T61),'IMP Table'!$A$2:$C$26,3)*SIGN(T57-T61),0)</f>
        <v/>
      </c>
      <c r="AN57">
        <f>IF(AND(ISNUMBER(T57),ISNUMBER(T62)),VLOOKUP(ABS(T57-T62),'IMP Table'!$A$2:$C$26,3)*SIGN(T57-T62),0)</f>
        <v/>
      </c>
    </row>
    <row r="58">
      <c r="B58" s="10">
        <f>'By Round'!A99</f>
        <v/>
      </c>
      <c r="C58" s="10">
        <f>'By Round'!B105</f>
        <v/>
      </c>
      <c r="D58" s="10">
        <f>'By Round'!C105</f>
        <v/>
      </c>
      <c r="E58" s="10">
        <f>'By Round'!D105</f>
        <v/>
      </c>
      <c r="F58" s="10">
        <f>IF(ISBLANK('By Round'!F106),"",'By Round'!F106)</f>
        <v/>
      </c>
      <c r="G58">
        <f>IF(ISBLANK('By Round'!G106),"",'By Round'!G106)</f>
        <v/>
      </c>
      <c r="H58">
        <f>IF(ISBLANK('By Round'!H106),"",'By Round'!H106)</f>
        <v/>
      </c>
      <c r="I58">
        <f>IF(ISBLANK('By Round'!I106),"",'By Round'!I106)</f>
        <v/>
      </c>
      <c r="J58">
        <f>IF(ISBLANK('By Round'!J106),"",'By Round'!J106)</f>
        <v/>
      </c>
      <c r="K58">
        <f>IF(ISBLANK('By Round'!K106),"",'By Round'!K106)</f>
        <v/>
      </c>
      <c r="L58">
        <f>IF(ISBLANK('By Round'!L106),"",'By Round'!L106)</f>
        <v/>
      </c>
      <c r="M58" s="11">
        <f>AVERAGE(AE58:AI58)</f>
        <v/>
      </c>
      <c r="N58" s="12">
        <f>AVERAGE(AJ58:AN58)</f>
        <v/>
      </c>
      <c r="O58" s="13">
        <f>IF(COUNT(U58:Y58)&gt;0,Q58/COUNT(U58:Y58),0.5)</f>
        <v/>
      </c>
      <c r="P58" s="13">
        <f>IF(COUNT(Z58:AD58)&gt;0,R58/COUNT(Z58:AD58),0.5)</f>
        <v/>
      </c>
      <c r="Q58" s="5">
        <f>SUM(U58:Y58)</f>
        <v/>
      </c>
      <c r="R58" s="5">
        <f>SUM(Z58:AD58)</f>
        <v/>
      </c>
      <c r="S58" s="14">
        <f>IF(ISNUMBER(K58),K58,IF(ISNUMBER(L58),-L58,""))</f>
        <v/>
      </c>
      <c r="T58">
        <f>IF(ISNUMBER(L58),L58,IF(ISNUMBER(K58),-K58,""))</f>
        <v/>
      </c>
      <c r="U58" s="14">
        <f>IF(ISNUMBER(S58),IF(ISNUMBER(S57),IF(S58&gt;S57,1.0,IF(S58=S57,0.5,0.0)),""),"")</f>
        <v/>
      </c>
      <c r="V58">
        <f>IF(ISNUMBER(S58),IF(ISNUMBER(S59),IF(S58&gt;S59,1.0,IF(S58=S59,0.5,0.0)),""),"")</f>
        <v/>
      </c>
      <c r="W58">
        <f>IF(ISNUMBER(S58),IF(ISNUMBER(S60),IF(S58&gt;S60,1.0,IF(S58=S60,0.5,0.0)),""),"")</f>
        <v/>
      </c>
      <c r="X58">
        <f>IF(ISNUMBER(S58),IF(ISNUMBER(S61),IF(S58&gt;S61,1.0,IF(S58=S61,0.5,0.0)),""),"")</f>
        <v/>
      </c>
      <c r="Y58">
        <f>IF(ISNUMBER(S58),IF(ISNUMBER(S62),IF(S58&gt;S62,1.0,IF(S58=S62,0.5,0.0)),""),"")</f>
        <v/>
      </c>
      <c r="Z58">
        <f>IF(ISNUMBER(T58),IF(ISNUMBER(T57),IF(T58&gt;T57,1.0,IF(T58=T57,0.5,0.0)),""),"")</f>
        <v/>
      </c>
      <c r="AA58">
        <f>IF(ISNUMBER(T58),IF(ISNUMBER(T59),IF(T58&gt;T59,1.0,IF(T58=T59,0.5,0.0)),""),"")</f>
        <v/>
      </c>
      <c r="AB58">
        <f>IF(ISNUMBER(T58),IF(ISNUMBER(T60),IF(T58&gt;T60,1.0,IF(T58=T60,0.5,0.0)),""),"")</f>
        <v/>
      </c>
      <c r="AC58">
        <f>IF(ISNUMBER(T58),IF(ISNUMBER(T61),IF(T58&gt;T61,1.0,IF(T58=T61,0.5,0.0)),""),"")</f>
        <v/>
      </c>
      <c r="AD58">
        <f>IF(ISNUMBER(T58),IF(ISNUMBER(T62),IF(T58&gt;T62,1.0,IF(T58=T62,0.5,0.0)),""),"")</f>
        <v/>
      </c>
      <c r="AE58" s="14">
        <f>IF(AND(ISNUMBER(S58),ISNUMBER(S57)),VLOOKUP(ABS(S58-S57),'IMP Table'!$A$2:$C$26,3)*SIGN(S58-S57),0)</f>
        <v/>
      </c>
      <c r="AF58">
        <f>IF(AND(ISNUMBER(S58),ISNUMBER(S59)),VLOOKUP(ABS(S58-S59),'IMP Table'!$A$2:$C$26,3)*SIGN(S58-S59),0)</f>
        <v/>
      </c>
      <c r="AG58">
        <f>IF(AND(ISNUMBER(S58),ISNUMBER(S60)),VLOOKUP(ABS(S58-S60),'IMP Table'!$A$2:$C$26,3)*SIGN(S58-S60),0)</f>
        <v/>
      </c>
      <c r="AH58">
        <f>IF(AND(ISNUMBER(S58),ISNUMBER(S61)),VLOOKUP(ABS(S58-S61),'IMP Table'!$A$2:$C$26,3)*SIGN(S58-S61),0)</f>
        <v/>
      </c>
      <c r="AI58">
        <f>IF(AND(ISNUMBER(S58),ISNUMBER(S62)),VLOOKUP(ABS(S58-S62),'IMP Table'!$A$2:$C$26,3)*SIGN(S58-S62),0)</f>
        <v/>
      </c>
      <c r="AJ58">
        <f>IF(AND(ISNUMBER(T58),ISNUMBER(T57)),VLOOKUP(ABS(T58-T57),'IMP Table'!$A$2:$C$26,3)*SIGN(T58-T57),0)</f>
        <v/>
      </c>
      <c r="AK58">
        <f>IF(AND(ISNUMBER(T58),ISNUMBER(T59)),VLOOKUP(ABS(T58-T59),'IMP Table'!$A$2:$C$26,3)*SIGN(T58-T59),0)</f>
        <v/>
      </c>
      <c r="AL58">
        <f>IF(AND(ISNUMBER(T58),ISNUMBER(T60)),VLOOKUP(ABS(T58-T60),'IMP Table'!$A$2:$C$26,3)*SIGN(T58-T60),0)</f>
        <v/>
      </c>
      <c r="AM58">
        <f>IF(AND(ISNUMBER(T58),ISNUMBER(T61)),VLOOKUP(ABS(T58-T61),'IMP Table'!$A$2:$C$26,3)*SIGN(T58-T61),0)</f>
        <v/>
      </c>
      <c r="AN58">
        <f>IF(AND(ISNUMBER(T58),ISNUMBER(T62)),VLOOKUP(ABS(T58-T62),'IMP Table'!$A$2:$C$26,3)*SIGN(T58-T62),0)</f>
        <v/>
      </c>
    </row>
    <row r="59">
      <c r="B59" s="10">
        <f>'By Round'!A3</f>
        <v/>
      </c>
      <c r="C59" s="10">
        <f>'By Round'!B5</f>
        <v/>
      </c>
      <c r="D59" s="10">
        <f>'By Round'!C5</f>
        <v/>
      </c>
      <c r="E59" s="10">
        <f>'By Round'!D5</f>
        <v/>
      </c>
      <c r="F59" s="10">
        <f>IF(ISBLANK('By Round'!F6),"",'By Round'!F6)</f>
        <v/>
      </c>
      <c r="G59">
        <f>IF(ISBLANK('By Round'!G6),"",'By Round'!G6)</f>
        <v/>
      </c>
      <c r="H59">
        <f>IF(ISBLANK('By Round'!H6),"",'By Round'!H6)</f>
        <v/>
      </c>
      <c r="I59">
        <f>IF(ISBLANK('By Round'!I6),"",'By Round'!I6)</f>
        <v/>
      </c>
      <c r="J59">
        <f>IF(ISBLANK('By Round'!J6),"",'By Round'!J6)</f>
        <v/>
      </c>
      <c r="K59">
        <f>IF(ISBLANK('By Round'!K6),"",'By Round'!K6)</f>
        <v/>
      </c>
      <c r="L59">
        <f>IF(ISBLANK('By Round'!L6),"",'By Round'!L6)</f>
        <v/>
      </c>
      <c r="M59" s="11">
        <f>AVERAGE(AE59:AI59)</f>
        <v/>
      </c>
      <c r="N59" s="12">
        <f>AVERAGE(AJ59:AN59)</f>
        <v/>
      </c>
      <c r="O59" s="13">
        <f>IF(COUNT(U59:Y59)&gt;0,Q59/COUNT(U59:Y59),0.5)</f>
        <v/>
      </c>
      <c r="P59" s="13">
        <f>IF(COUNT(Z59:AD59)&gt;0,R59/COUNT(Z59:AD59),0.5)</f>
        <v/>
      </c>
      <c r="Q59" s="5">
        <f>SUM(U59:Y59)</f>
        <v/>
      </c>
      <c r="R59" s="5">
        <f>SUM(Z59:AD59)</f>
        <v/>
      </c>
      <c r="S59" s="14">
        <f>IF(ISNUMBER(K59),K59,IF(ISNUMBER(L59),-L59,""))</f>
        <v/>
      </c>
      <c r="T59">
        <f>IF(ISNUMBER(L59),L59,IF(ISNUMBER(K59),-K59,""))</f>
        <v/>
      </c>
      <c r="U59" s="14">
        <f>IF(ISNUMBER(S59),IF(ISNUMBER(S57),IF(S59&gt;S57,1.0,IF(S59=S57,0.5,0.0)),""),"")</f>
        <v/>
      </c>
      <c r="V59">
        <f>IF(ISNUMBER(S59),IF(ISNUMBER(S58),IF(S59&gt;S58,1.0,IF(S59=S58,0.5,0.0)),""),"")</f>
        <v/>
      </c>
      <c r="W59">
        <f>IF(ISNUMBER(S59),IF(ISNUMBER(S60),IF(S59&gt;S60,1.0,IF(S59=S60,0.5,0.0)),""),"")</f>
        <v/>
      </c>
      <c r="X59">
        <f>IF(ISNUMBER(S59),IF(ISNUMBER(S61),IF(S59&gt;S61,1.0,IF(S59=S61,0.5,0.0)),""),"")</f>
        <v/>
      </c>
      <c r="Y59">
        <f>IF(ISNUMBER(S59),IF(ISNUMBER(S62),IF(S59&gt;S62,1.0,IF(S59=S62,0.5,0.0)),""),"")</f>
        <v/>
      </c>
      <c r="Z59">
        <f>IF(ISNUMBER(T59),IF(ISNUMBER(T57),IF(T59&gt;T57,1.0,IF(T59=T57,0.5,0.0)),""),"")</f>
        <v/>
      </c>
      <c r="AA59">
        <f>IF(ISNUMBER(T59),IF(ISNUMBER(T58),IF(T59&gt;T58,1.0,IF(T59=T58,0.5,0.0)),""),"")</f>
        <v/>
      </c>
      <c r="AB59">
        <f>IF(ISNUMBER(T59),IF(ISNUMBER(T60),IF(T59&gt;T60,1.0,IF(T59=T60,0.5,0.0)),""),"")</f>
        <v/>
      </c>
      <c r="AC59">
        <f>IF(ISNUMBER(T59),IF(ISNUMBER(T61),IF(T59&gt;T61,1.0,IF(T59=T61,0.5,0.0)),""),"")</f>
        <v/>
      </c>
      <c r="AD59">
        <f>IF(ISNUMBER(T59),IF(ISNUMBER(T62),IF(T59&gt;T62,1.0,IF(T59=T62,0.5,0.0)),""),"")</f>
        <v/>
      </c>
      <c r="AE59" s="14">
        <f>IF(AND(ISNUMBER(S59),ISNUMBER(S57)),VLOOKUP(ABS(S59-S57),'IMP Table'!$A$2:$C$26,3)*SIGN(S59-S57),0)</f>
        <v/>
      </c>
      <c r="AF59">
        <f>IF(AND(ISNUMBER(S59),ISNUMBER(S58)),VLOOKUP(ABS(S59-S58),'IMP Table'!$A$2:$C$26,3)*SIGN(S59-S58),0)</f>
        <v/>
      </c>
      <c r="AG59">
        <f>IF(AND(ISNUMBER(S59),ISNUMBER(S60)),VLOOKUP(ABS(S59-S60),'IMP Table'!$A$2:$C$26,3)*SIGN(S59-S60),0)</f>
        <v/>
      </c>
      <c r="AH59">
        <f>IF(AND(ISNUMBER(S59),ISNUMBER(S61)),VLOOKUP(ABS(S59-S61),'IMP Table'!$A$2:$C$26,3)*SIGN(S59-S61),0)</f>
        <v/>
      </c>
      <c r="AI59">
        <f>IF(AND(ISNUMBER(S59),ISNUMBER(S62)),VLOOKUP(ABS(S59-S62),'IMP Table'!$A$2:$C$26,3)*SIGN(S59-S62),0)</f>
        <v/>
      </c>
      <c r="AJ59">
        <f>IF(AND(ISNUMBER(T59),ISNUMBER(T57)),VLOOKUP(ABS(T59-T57),'IMP Table'!$A$2:$C$26,3)*SIGN(T59-T57),0)</f>
        <v/>
      </c>
      <c r="AK59">
        <f>IF(AND(ISNUMBER(T59),ISNUMBER(T58)),VLOOKUP(ABS(T59-T58),'IMP Table'!$A$2:$C$26,3)*SIGN(T59-T58),0)</f>
        <v/>
      </c>
      <c r="AL59">
        <f>IF(AND(ISNUMBER(T59),ISNUMBER(T60)),VLOOKUP(ABS(T59-T60),'IMP Table'!$A$2:$C$26,3)*SIGN(T59-T60),0)</f>
        <v/>
      </c>
      <c r="AM59">
        <f>IF(AND(ISNUMBER(T59),ISNUMBER(T61)),VLOOKUP(ABS(T59-T61),'IMP Table'!$A$2:$C$26,3)*SIGN(T59-T61),0)</f>
        <v/>
      </c>
      <c r="AN59">
        <f>IF(AND(ISNUMBER(T59),ISNUMBER(T62)),VLOOKUP(ABS(T59-T62),'IMP Table'!$A$2:$C$26,3)*SIGN(T59-T62),0)</f>
        <v/>
      </c>
    </row>
    <row r="60">
      <c r="B60" s="10">
        <f>'By Round'!A75</f>
        <v/>
      </c>
      <c r="C60" s="10">
        <f>'By Round'!B85</f>
        <v/>
      </c>
      <c r="D60" s="10">
        <f>'By Round'!C85</f>
        <v/>
      </c>
      <c r="E60" s="10">
        <f>'By Round'!D85</f>
        <v/>
      </c>
      <c r="F60" s="10">
        <f>IF(ISBLANK('By Round'!F86),"",'By Round'!F86)</f>
        <v/>
      </c>
      <c r="G60">
        <f>IF(ISBLANK('By Round'!G86),"",'By Round'!G86)</f>
        <v/>
      </c>
      <c r="H60">
        <f>IF(ISBLANK('By Round'!H86),"",'By Round'!H86)</f>
        <v/>
      </c>
      <c r="I60">
        <f>IF(ISBLANK('By Round'!I86),"",'By Round'!I86)</f>
        <v/>
      </c>
      <c r="J60">
        <f>IF(ISBLANK('By Round'!J86),"",'By Round'!J86)</f>
        <v/>
      </c>
      <c r="K60">
        <f>IF(ISBLANK('By Round'!K86),"",'By Round'!K86)</f>
        <v/>
      </c>
      <c r="L60">
        <f>IF(ISBLANK('By Round'!L86),"",'By Round'!L86)</f>
        <v/>
      </c>
      <c r="M60" s="11">
        <f>AVERAGE(AE60:AI60)</f>
        <v/>
      </c>
      <c r="N60" s="12">
        <f>AVERAGE(AJ60:AN60)</f>
        <v/>
      </c>
      <c r="O60" s="13">
        <f>IF(COUNT(U60:Y60)&gt;0,Q60/COUNT(U60:Y60),0.5)</f>
        <v/>
      </c>
      <c r="P60" s="13">
        <f>IF(COUNT(Z60:AD60)&gt;0,R60/COUNT(Z60:AD60),0.5)</f>
        <v/>
      </c>
      <c r="Q60" s="5">
        <f>SUM(U60:Y60)</f>
        <v/>
      </c>
      <c r="R60" s="5">
        <f>SUM(Z60:AD60)</f>
        <v/>
      </c>
      <c r="S60" s="14">
        <f>IF(ISNUMBER(K60),K60,IF(ISNUMBER(L60),-L60,""))</f>
        <v/>
      </c>
      <c r="T60">
        <f>IF(ISNUMBER(L60),L60,IF(ISNUMBER(K60),-K60,""))</f>
        <v/>
      </c>
      <c r="U60" s="14">
        <f>IF(ISNUMBER(S60),IF(ISNUMBER(S57),IF(S60&gt;S57,1.0,IF(S60=S57,0.5,0.0)),""),"")</f>
        <v/>
      </c>
      <c r="V60">
        <f>IF(ISNUMBER(S60),IF(ISNUMBER(S58),IF(S60&gt;S58,1.0,IF(S60=S58,0.5,0.0)),""),"")</f>
        <v/>
      </c>
      <c r="W60">
        <f>IF(ISNUMBER(S60),IF(ISNUMBER(S59),IF(S60&gt;S59,1.0,IF(S60=S59,0.5,0.0)),""),"")</f>
        <v/>
      </c>
      <c r="X60">
        <f>IF(ISNUMBER(S60),IF(ISNUMBER(S61),IF(S60&gt;S61,1.0,IF(S60=S61,0.5,0.0)),""),"")</f>
        <v/>
      </c>
      <c r="Y60">
        <f>IF(ISNUMBER(S60),IF(ISNUMBER(S62),IF(S60&gt;S62,1.0,IF(S60=S62,0.5,0.0)),""),"")</f>
        <v/>
      </c>
      <c r="Z60">
        <f>IF(ISNUMBER(T60),IF(ISNUMBER(T57),IF(T60&gt;T57,1.0,IF(T60=T57,0.5,0.0)),""),"")</f>
        <v/>
      </c>
      <c r="AA60">
        <f>IF(ISNUMBER(T60),IF(ISNUMBER(T58),IF(T60&gt;T58,1.0,IF(T60=T58,0.5,0.0)),""),"")</f>
        <v/>
      </c>
      <c r="AB60">
        <f>IF(ISNUMBER(T60),IF(ISNUMBER(T59),IF(T60&gt;T59,1.0,IF(T60=T59,0.5,0.0)),""),"")</f>
        <v/>
      </c>
      <c r="AC60">
        <f>IF(ISNUMBER(T60),IF(ISNUMBER(T61),IF(T60&gt;T61,1.0,IF(T60=T61,0.5,0.0)),""),"")</f>
        <v/>
      </c>
      <c r="AD60">
        <f>IF(ISNUMBER(T60),IF(ISNUMBER(T62),IF(T60&gt;T62,1.0,IF(T60=T62,0.5,0.0)),""),"")</f>
        <v/>
      </c>
      <c r="AE60" s="14">
        <f>IF(AND(ISNUMBER(S60),ISNUMBER(S57)),VLOOKUP(ABS(S60-S57),'IMP Table'!$A$2:$C$26,3)*SIGN(S60-S57),0)</f>
        <v/>
      </c>
      <c r="AF60">
        <f>IF(AND(ISNUMBER(S60),ISNUMBER(S58)),VLOOKUP(ABS(S60-S58),'IMP Table'!$A$2:$C$26,3)*SIGN(S60-S58),0)</f>
        <v/>
      </c>
      <c r="AG60">
        <f>IF(AND(ISNUMBER(S60),ISNUMBER(S59)),VLOOKUP(ABS(S60-S59),'IMP Table'!$A$2:$C$26,3)*SIGN(S60-S59),0)</f>
        <v/>
      </c>
      <c r="AH60">
        <f>IF(AND(ISNUMBER(S60),ISNUMBER(S61)),VLOOKUP(ABS(S60-S61),'IMP Table'!$A$2:$C$26,3)*SIGN(S60-S61),0)</f>
        <v/>
      </c>
      <c r="AI60">
        <f>IF(AND(ISNUMBER(S60),ISNUMBER(S62)),VLOOKUP(ABS(S60-S62),'IMP Table'!$A$2:$C$26,3)*SIGN(S60-S62),0)</f>
        <v/>
      </c>
      <c r="AJ60">
        <f>IF(AND(ISNUMBER(T60),ISNUMBER(T57)),VLOOKUP(ABS(T60-T57),'IMP Table'!$A$2:$C$26,3)*SIGN(T60-T57),0)</f>
        <v/>
      </c>
      <c r="AK60">
        <f>IF(AND(ISNUMBER(T60),ISNUMBER(T58)),VLOOKUP(ABS(T60-T58),'IMP Table'!$A$2:$C$26,3)*SIGN(T60-T58),0)</f>
        <v/>
      </c>
      <c r="AL60">
        <f>IF(AND(ISNUMBER(T60),ISNUMBER(T59)),VLOOKUP(ABS(T60-T59),'IMP Table'!$A$2:$C$26,3)*SIGN(T60-T59),0)</f>
        <v/>
      </c>
      <c r="AM60">
        <f>IF(AND(ISNUMBER(T60),ISNUMBER(T61)),VLOOKUP(ABS(T60-T61),'IMP Table'!$A$2:$C$26,3)*SIGN(T60-T61),0)</f>
        <v/>
      </c>
      <c r="AN60">
        <f>IF(AND(ISNUMBER(T60),ISNUMBER(T62)),VLOOKUP(ABS(T60-T62),'IMP Table'!$A$2:$C$26,3)*SIGN(T60-T62),0)</f>
        <v/>
      </c>
    </row>
    <row r="61">
      <c r="B61" s="10">
        <f>'By Round'!A123</f>
        <v/>
      </c>
      <c r="C61" s="10">
        <f>'By Round'!B127</f>
        <v/>
      </c>
      <c r="D61" s="10">
        <f>'By Round'!C127</f>
        <v/>
      </c>
      <c r="E61" s="10">
        <f>'By Round'!D127</f>
        <v/>
      </c>
      <c r="F61" s="10">
        <f>IF(ISBLANK('By Round'!F128),"",'By Round'!F128)</f>
        <v/>
      </c>
      <c r="G61">
        <f>IF(ISBLANK('By Round'!G128),"",'By Round'!G128)</f>
        <v/>
      </c>
      <c r="H61">
        <f>IF(ISBLANK('By Round'!H128),"",'By Round'!H128)</f>
        <v/>
      </c>
      <c r="I61">
        <f>IF(ISBLANK('By Round'!I128),"",'By Round'!I128)</f>
        <v/>
      </c>
      <c r="J61">
        <f>IF(ISBLANK('By Round'!J128),"",'By Round'!J128)</f>
        <v/>
      </c>
      <c r="K61">
        <f>IF(ISBLANK('By Round'!K128),"",'By Round'!K128)</f>
        <v/>
      </c>
      <c r="L61">
        <f>IF(ISBLANK('By Round'!L128),"",'By Round'!L128)</f>
        <v/>
      </c>
      <c r="M61" s="11">
        <f>AVERAGE(AE61:AI61)</f>
        <v/>
      </c>
      <c r="N61" s="12">
        <f>AVERAGE(AJ61:AN61)</f>
        <v/>
      </c>
      <c r="O61" s="13">
        <f>IF(COUNT(U61:Y61)&gt;0,Q61/COUNT(U61:Y61),0.5)</f>
        <v/>
      </c>
      <c r="P61" s="13">
        <f>IF(COUNT(Z61:AD61)&gt;0,R61/COUNT(Z61:AD61),0.5)</f>
        <v/>
      </c>
      <c r="Q61" s="5">
        <f>SUM(U61:Y61)</f>
        <v/>
      </c>
      <c r="R61" s="5">
        <f>SUM(Z61:AD61)</f>
        <v/>
      </c>
      <c r="S61" s="14">
        <f>IF(ISNUMBER(K61),K61,IF(ISNUMBER(L61),-L61,""))</f>
        <v/>
      </c>
      <c r="T61">
        <f>IF(ISNUMBER(L61),L61,IF(ISNUMBER(K61),-K61,""))</f>
        <v/>
      </c>
      <c r="U61" s="14">
        <f>IF(ISNUMBER(S61),IF(ISNUMBER(S57),IF(S61&gt;S57,1.0,IF(S61=S57,0.5,0.0)),""),"")</f>
        <v/>
      </c>
      <c r="V61">
        <f>IF(ISNUMBER(S61),IF(ISNUMBER(S58),IF(S61&gt;S58,1.0,IF(S61=S58,0.5,0.0)),""),"")</f>
        <v/>
      </c>
      <c r="W61">
        <f>IF(ISNUMBER(S61),IF(ISNUMBER(S59),IF(S61&gt;S59,1.0,IF(S61=S59,0.5,0.0)),""),"")</f>
        <v/>
      </c>
      <c r="X61">
        <f>IF(ISNUMBER(S61),IF(ISNUMBER(S60),IF(S61&gt;S60,1.0,IF(S61=S60,0.5,0.0)),""),"")</f>
        <v/>
      </c>
      <c r="Y61">
        <f>IF(ISNUMBER(S61),IF(ISNUMBER(S62),IF(S61&gt;S62,1.0,IF(S61=S62,0.5,0.0)),""),"")</f>
        <v/>
      </c>
      <c r="Z61">
        <f>IF(ISNUMBER(T61),IF(ISNUMBER(T57),IF(T61&gt;T57,1.0,IF(T61=T57,0.5,0.0)),""),"")</f>
        <v/>
      </c>
      <c r="AA61">
        <f>IF(ISNUMBER(T61),IF(ISNUMBER(T58),IF(T61&gt;T58,1.0,IF(T61=T58,0.5,0.0)),""),"")</f>
        <v/>
      </c>
      <c r="AB61">
        <f>IF(ISNUMBER(T61),IF(ISNUMBER(T59),IF(T61&gt;T59,1.0,IF(T61=T59,0.5,0.0)),""),"")</f>
        <v/>
      </c>
      <c r="AC61">
        <f>IF(ISNUMBER(T61),IF(ISNUMBER(T60),IF(T61&gt;T60,1.0,IF(T61=T60,0.5,0.0)),""),"")</f>
        <v/>
      </c>
      <c r="AD61">
        <f>IF(ISNUMBER(T61),IF(ISNUMBER(T62),IF(T61&gt;T62,1.0,IF(T61=T62,0.5,0.0)),""),"")</f>
        <v/>
      </c>
      <c r="AE61" s="14">
        <f>IF(AND(ISNUMBER(S61),ISNUMBER(S57)),VLOOKUP(ABS(S61-S57),'IMP Table'!$A$2:$C$26,3)*SIGN(S61-S57),0)</f>
        <v/>
      </c>
      <c r="AF61">
        <f>IF(AND(ISNUMBER(S61),ISNUMBER(S58)),VLOOKUP(ABS(S61-S58),'IMP Table'!$A$2:$C$26,3)*SIGN(S61-S58),0)</f>
        <v/>
      </c>
      <c r="AG61">
        <f>IF(AND(ISNUMBER(S61),ISNUMBER(S59)),VLOOKUP(ABS(S61-S59),'IMP Table'!$A$2:$C$26,3)*SIGN(S61-S59),0)</f>
        <v/>
      </c>
      <c r="AH61">
        <f>IF(AND(ISNUMBER(S61),ISNUMBER(S60)),VLOOKUP(ABS(S61-S60),'IMP Table'!$A$2:$C$26,3)*SIGN(S61-S60),0)</f>
        <v/>
      </c>
      <c r="AI61">
        <f>IF(AND(ISNUMBER(S61),ISNUMBER(S62)),VLOOKUP(ABS(S61-S62),'IMP Table'!$A$2:$C$26,3)*SIGN(S61-S62),0)</f>
        <v/>
      </c>
      <c r="AJ61">
        <f>IF(AND(ISNUMBER(T61),ISNUMBER(T57)),VLOOKUP(ABS(T61-T57),'IMP Table'!$A$2:$C$26,3)*SIGN(T61-T57),0)</f>
        <v/>
      </c>
      <c r="AK61">
        <f>IF(AND(ISNUMBER(T61),ISNUMBER(T58)),VLOOKUP(ABS(T61-T58),'IMP Table'!$A$2:$C$26,3)*SIGN(T61-T58),0)</f>
        <v/>
      </c>
      <c r="AL61">
        <f>IF(AND(ISNUMBER(T61),ISNUMBER(T59)),VLOOKUP(ABS(T61-T59),'IMP Table'!$A$2:$C$26,3)*SIGN(T61-T59),0)</f>
        <v/>
      </c>
      <c r="AM61">
        <f>IF(AND(ISNUMBER(T61),ISNUMBER(T60)),VLOOKUP(ABS(T61-T60),'IMP Table'!$A$2:$C$26,3)*SIGN(T61-T60),0)</f>
        <v/>
      </c>
      <c r="AN61">
        <f>IF(AND(ISNUMBER(T61),ISNUMBER(T62)),VLOOKUP(ABS(T61-T62),'IMP Table'!$A$2:$C$26,3)*SIGN(T61-T62),0)</f>
        <v/>
      </c>
    </row>
    <row r="62">
      <c r="A62" s="15" t="n"/>
      <c r="B62" s="16">
        <f>'By Round'!A87</f>
        <v/>
      </c>
      <c r="C62" s="16">
        <f>'By Round'!B95</f>
        <v/>
      </c>
      <c r="D62" s="16">
        <f>'By Round'!C95</f>
        <v/>
      </c>
      <c r="E62" s="16">
        <f>'By Round'!D95</f>
        <v/>
      </c>
      <c r="F62" s="16">
        <f>IF(ISBLANK('By Round'!F96),"",'By Round'!F96)</f>
        <v/>
      </c>
      <c r="G62" s="15">
        <f>IF(ISBLANK('By Round'!G96),"",'By Round'!G96)</f>
        <v/>
      </c>
      <c r="H62" s="15">
        <f>IF(ISBLANK('By Round'!H96),"",'By Round'!H96)</f>
        <v/>
      </c>
      <c r="I62" s="15">
        <f>IF(ISBLANK('By Round'!I96),"",'By Round'!I96)</f>
        <v/>
      </c>
      <c r="J62" s="15">
        <f>IF(ISBLANK('By Round'!J96),"",'By Round'!J96)</f>
        <v/>
      </c>
      <c r="K62" s="15">
        <f>IF(ISBLANK('By Round'!K96),"",'By Round'!K96)</f>
        <v/>
      </c>
      <c r="L62" s="15">
        <f>IF(ISBLANK('By Round'!L96),"",'By Round'!L96)</f>
        <v/>
      </c>
      <c r="M62" s="17">
        <f>AVERAGE(AE62:AI62)</f>
        <v/>
      </c>
      <c r="N62" s="18">
        <f>AVERAGE(AJ62:AN62)</f>
        <v/>
      </c>
      <c r="O62" s="19">
        <f>IF(COUNT(U62:Y62)&gt;0,Q62/COUNT(U62:Y62),0.5)</f>
        <v/>
      </c>
      <c r="P62" s="19">
        <f>IF(COUNT(Z62:AD62)&gt;0,R62/COUNT(Z62:AD62),0.5)</f>
        <v/>
      </c>
      <c r="Q62" s="20">
        <f>SUM(U62:Y62)</f>
        <v/>
      </c>
      <c r="R62" s="20">
        <f>SUM(Z62:AD62)</f>
        <v/>
      </c>
      <c r="S62" s="21">
        <f>IF(ISNUMBER(K62),K62,IF(ISNUMBER(L62),-L62,""))</f>
        <v/>
      </c>
      <c r="T62" s="15">
        <f>IF(ISNUMBER(L62),L62,IF(ISNUMBER(K62),-K62,""))</f>
        <v/>
      </c>
      <c r="U62" s="21">
        <f>IF(ISNUMBER(S62),IF(ISNUMBER(S57),IF(S62&gt;S57,1.0,IF(S62=S57,0.5,0.0)),""),"")</f>
        <v/>
      </c>
      <c r="V62" s="15">
        <f>IF(ISNUMBER(S62),IF(ISNUMBER(S58),IF(S62&gt;S58,1.0,IF(S62=S58,0.5,0.0)),""),"")</f>
        <v/>
      </c>
      <c r="W62" s="15">
        <f>IF(ISNUMBER(S62),IF(ISNUMBER(S59),IF(S62&gt;S59,1.0,IF(S62=S59,0.5,0.0)),""),"")</f>
        <v/>
      </c>
      <c r="X62" s="15">
        <f>IF(ISNUMBER(S62),IF(ISNUMBER(S60),IF(S62&gt;S60,1.0,IF(S62=S60,0.5,0.0)),""),"")</f>
        <v/>
      </c>
      <c r="Y62" s="15">
        <f>IF(ISNUMBER(S62),IF(ISNUMBER(S61),IF(S62&gt;S61,1.0,IF(S62=S61,0.5,0.0)),""),"")</f>
        <v/>
      </c>
      <c r="Z62" s="15">
        <f>IF(ISNUMBER(T62),IF(ISNUMBER(T57),IF(T62&gt;T57,1.0,IF(T62=T57,0.5,0.0)),""),"")</f>
        <v/>
      </c>
      <c r="AA62" s="15">
        <f>IF(ISNUMBER(T62),IF(ISNUMBER(T58),IF(T62&gt;T58,1.0,IF(T62=T58,0.5,0.0)),""),"")</f>
        <v/>
      </c>
      <c r="AB62" s="15">
        <f>IF(ISNUMBER(T62),IF(ISNUMBER(T59),IF(T62&gt;T59,1.0,IF(T62=T59,0.5,0.0)),""),"")</f>
        <v/>
      </c>
      <c r="AC62" s="15">
        <f>IF(ISNUMBER(T62),IF(ISNUMBER(T60),IF(T62&gt;T60,1.0,IF(T62=T60,0.5,0.0)),""),"")</f>
        <v/>
      </c>
      <c r="AD62" s="15">
        <f>IF(ISNUMBER(T62),IF(ISNUMBER(T61),IF(T62&gt;T61,1.0,IF(T62=T61,0.5,0.0)),""),"")</f>
        <v/>
      </c>
      <c r="AE62" s="21">
        <f>IF(AND(ISNUMBER(S62),ISNUMBER(S57)),VLOOKUP(ABS(S62-S57),'IMP Table'!$A$2:$C$26,3)*SIGN(S62-S57),0)</f>
        <v/>
      </c>
      <c r="AF62" s="15">
        <f>IF(AND(ISNUMBER(S62),ISNUMBER(S58)),VLOOKUP(ABS(S62-S58),'IMP Table'!$A$2:$C$26,3)*SIGN(S62-S58),0)</f>
        <v/>
      </c>
      <c r="AG62" s="15">
        <f>IF(AND(ISNUMBER(S62),ISNUMBER(S59)),VLOOKUP(ABS(S62-S59),'IMP Table'!$A$2:$C$26,3)*SIGN(S62-S59),0)</f>
        <v/>
      </c>
      <c r="AH62" s="15">
        <f>IF(AND(ISNUMBER(S62),ISNUMBER(S60)),VLOOKUP(ABS(S62-S60),'IMP Table'!$A$2:$C$26,3)*SIGN(S62-S60),0)</f>
        <v/>
      </c>
      <c r="AI62" s="15">
        <f>IF(AND(ISNUMBER(S62),ISNUMBER(S61)),VLOOKUP(ABS(S62-S61),'IMP Table'!$A$2:$C$26,3)*SIGN(S62-S61),0)</f>
        <v/>
      </c>
      <c r="AJ62" s="15">
        <f>IF(AND(ISNUMBER(T62),ISNUMBER(T57)),VLOOKUP(ABS(T62-T57),'IMP Table'!$A$2:$C$26,3)*SIGN(T62-T57),0)</f>
        <v/>
      </c>
      <c r="AK62" s="15">
        <f>IF(AND(ISNUMBER(T62),ISNUMBER(T58)),VLOOKUP(ABS(T62-T58),'IMP Table'!$A$2:$C$26,3)*SIGN(T62-T58),0)</f>
        <v/>
      </c>
      <c r="AL62" s="15">
        <f>IF(AND(ISNUMBER(T62),ISNUMBER(T59)),VLOOKUP(ABS(T62-T59),'IMP Table'!$A$2:$C$26,3)*SIGN(T62-T59),0)</f>
        <v/>
      </c>
      <c r="AM62" s="15">
        <f>IF(AND(ISNUMBER(T62),ISNUMBER(T60)),VLOOKUP(ABS(T62-T60),'IMP Table'!$A$2:$C$26,3)*SIGN(T62-T60),0)</f>
        <v/>
      </c>
      <c r="AN62" s="15">
        <f>IF(AND(ISNUMBER(T62),ISNUMBER(T61)),VLOOKUP(ABS(T62-T61),'IMP Table'!$A$2:$C$26,3)*SIGN(T62-T61),0)</f>
        <v/>
      </c>
    </row>
    <row r="63">
      <c r="A63" s="10" t="n">
        <v>11</v>
      </c>
      <c r="B63" s="10">
        <f>'By Round'!A63</f>
        <v/>
      </c>
      <c r="C63" s="10">
        <f>'By Round'!B63</f>
        <v/>
      </c>
      <c r="D63" s="10">
        <f>'By Round'!C63</f>
        <v/>
      </c>
      <c r="E63" s="10">
        <f>'By Round'!D63</f>
        <v/>
      </c>
      <c r="F63" s="10">
        <f>IF(ISBLANK('By Round'!F63),"",'By Round'!F63)</f>
        <v/>
      </c>
      <c r="G63">
        <f>IF(ISBLANK('By Round'!G63),"",'By Round'!G63)</f>
        <v/>
      </c>
      <c r="H63">
        <f>IF(ISBLANK('By Round'!H63),"",'By Round'!H63)</f>
        <v/>
      </c>
      <c r="I63">
        <f>IF(ISBLANK('By Round'!I63),"",'By Round'!I63)</f>
        <v/>
      </c>
      <c r="J63">
        <f>IF(ISBLANK('By Round'!J63),"",'By Round'!J63)</f>
        <v/>
      </c>
      <c r="K63">
        <f>IF(ISBLANK('By Round'!K63),"",'By Round'!K63)</f>
        <v/>
      </c>
      <c r="L63">
        <f>IF(ISBLANK('By Round'!L63),"",'By Round'!L63)</f>
        <v/>
      </c>
      <c r="M63" s="11">
        <f>AVERAGE(AE63:AI63)</f>
        <v/>
      </c>
      <c r="N63" s="12">
        <f>AVERAGE(AJ63:AN63)</f>
        <v/>
      </c>
      <c r="O63" s="13">
        <f>IF(COUNT(U63:Y63)&gt;0,Q63/COUNT(U63:Y63),0.5)</f>
        <v/>
      </c>
      <c r="P63" s="13">
        <f>IF(COUNT(Z63:AD63)&gt;0,R63/COUNT(Z63:AD63),0.5)</f>
        <v/>
      </c>
      <c r="Q63" s="5">
        <f>SUM(U63:Y63)</f>
        <v/>
      </c>
      <c r="R63" s="5">
        <f>SUM(Z63:AD63)</f>
        <v/>
      </c>
      <c r="S63" s="14">
        <f>IF(ISNUMBER(K63),K63,IF(ISNUMBER(L63),-L63,""))</f>
        <v/>
      </c>
      <c r="T63">
        <f>IF(ISNUMBER(L63),L63,IF(ISNUMBER(K63),-K63,""))</f>
        <v/>
      </c>
      <c r="U63" s="14">
        <f>IF(ISNUMBER(S63),IF(ISNUMBER(S64),IF(S63&gt;S64,1.0,IF(S63=S64,0.5,0.0)),""),"")</f>
        <v/>
      </c>
      <c r="V63">
        <f>IF(ISNUMBER(S63),IF(ISNUMBER(S65),IF(S63&gt;S65,1.0,IF(S63=S65,0.5,0.0)),""),"")</f>
        <v/>
      </c>
      <c r="W63">
        <f>IF(ISNUMBER(S63),IF(ISNUMBER(S66),IF(S63&gt;S66,1.0,IF(S63=S66,0.5,0.0)),""),"")</f>
        <v/>
      </c>
      <c r="X63">
        <f>IF(ISNUMBER(S63),IF(ISNUMBER(S67),IF(S63&gt;S67,1.0,IF(S63=S67,0.5,0.0)),""),"")</f>
        <v/>
      </c>
      <c r="Y63">
        <f>IF(ISNUMBER(S63),IF(ISNUMBER(S68),IF(S63&gt;S68,1.0,IF(S63=S68,0.5,0.0)),""),"")</f>
        <v/>
      </c>
      <c r="Z63">
        <f>IF(ISNUMBER(T63),IF(ISNUMBER(T64),IF(T63&gt;T64,1.0,IF(T63=T64,0.5,0.0)),""),"")</f>
        <v/>
      </c>
      <c r="AA63">
        <f>IF(ISNUMBER(T63),IF(ISNUMBER(T65),IF(T63&gt;T65,1.0,IF(T63=T65,0.5,0.0)),""),"")</f>
        <v/>
      </c>
      <c r="AB63">
        <f>IF(ISNUMBER(T63),IF(ISNUMBER(T66),IF(T63&gt;T66,1.0,IF(T63=T66,0.5,0.0)),""),"")</f>
        <v/>
      </c>
      <c r="AC63">
        <f>IF(ISNUMBER(T63),IF(ISNUMBER(T67),IF(T63&gt;T67,1.0,IF(T63=T67,0.5,0.0)),""),"")</f>
        <v/>
      </c>
      <c r="AD63">
        <f>IF(ISNUMBER(T63),IF(ISNUMBER(T68),IF(T63&gt;T68,1.0,IF(T63=T68,0.5,0.0)),""),"")</f>
        <v/>
      </c>
      <c r="AE63" s="14">
        <f>IF(AND(ISNUMBER(S63),ISNUMBER(S64)),VLOOKUP(ABS(S63-S64),'IMP Table'!$A$2:$C$26,3)*SIGN(S63-S64),0)</f>
        <v/>
      </c>
      <c r="AF63">
        <f>IF(AND(ISNUMBER(S63),ISNUMBER(S65)),VLOOKUP(ABS(S63-S65),'IMP Table'!$A$2:$C$26,3)*SIGN(S63-S65),0)</f>
        <v/>
      </c>
      <c r="AG63">
        <f>IF(AND(ISNUMBER(S63),ISNUMBER(S66)),VLOOKUP(ABS(S63-S66),'IMP Table'!$A$2:$C$26,3)*SIGN(S63-S66),0)</f>
        <v/>
      </c>
      <c r="AH63">
        <f>IF(AND(ISNUMBER(S63),ISNUMBER(S67)),VLOOKUP(ABS(S63-S67),'IMP Table'!$A$2:$C$26,3)*SIGN(S63-S67),0)</f>
        <v/>
      </c>
      <c r="AI63">
        <f>IF(AND(ISNUMBER(S63),ISNUMBER(S68)),VLOOKUP(ABS(S63-S68),'IMP Table'!$A$2:$C$26,3)*SIGN(S63-S68),0)</f>
        <v/>
      </c>
      <c r="AJ63">
        <f>IF(AND(ISNUMBER(T63),ISNUMBER(T64)),VLOOKUP(ABS(T63-T64),'IMP Table'!$A$2:$C$26,3)*SIGN(T63-T64),0)</f>
        <v/>
      </c>
      <c r="AK63">
        <f>IF(AND(ISNUMBER(T63),ISNUMBER(T65)),VLOOKUP(ABS(T63-T65),'IMP Table'!$A$2:$C$26,3)*SIGN(T63-T65),0)</f>
        <v/>
      </c>
      <c r="AL63">
        <f>IF(AND(ISNUMBER(T63),ISNUMBER(T66)),VLOOKUP(ABS(T63-T66),'IMP Table'!$A$2:$C$26,3)*SIGN(T63-T66),0)</f>
        <v/>
      </c>
      <c r="AM63">
        <f>IF(AND(ISNUMBER(T63),ISNUMBER(T67)),VLOOKUP(ABS(T63-T67),'IMP Table'!$A$2:$C$26,3)*SIGN(T63-T67),0)</f>
        <v/>
      </c>
      <c r="AN63">
        <f>IF(AND(ISNUMBER(T63),ISNUMBER(T68)),VLOOKUP(ABS(T63-T68),'IMP Table'!$A$2:$C$26,3)*SIGN(T63-T68),0)</f>
        <v/>
      </c>
    </row>
    <row r="64">
      <c r="B64" s="10">
        <f>'By Round'!A99</f>
        <v/>
      </c>
      <c r="C64" s="10">
        <f>'By Round'!B107</f>
        <v/>
      </c>
      <c r="D64" s="10">
        <f>'By Round'!C107</f>
        <v/>
      </c>
      <c r="E64" s="10">
        <f>'By Round'!D107</f>
        <v/>
      </c>
      <c r="F64" s="10">
        <f>IF(ISBLANK('By Round'!F107),"",'By Round'!F107)</f>
        <v/>
      </c>
      <c r="G64">
        <f>IF(ISBLANK('By Round'!G107),"",'By Round'!G107)</f>
        <v/>
      </c>
      <c r="H64">
        <f>IF(ISBLANK('By Round'!H107),"",'By Round'!H107)</f>
        <v/>
      </c>
      <c r="I64">
        <f>IF(ISBLANK('By Round'!I107),"",'By Round'!I107)</f>
        <v/>
      </c>
      <c r="J64">
        <f>IF(ISBLANK('By Round'!J107),"",'By Round'!J107)</f>
        <v/>
      </c>
      <c r="K64">
        <f>IF(ISBLANK('By Round'!K107),"",'By Round'!K107)</f>
        <v/>
      </c>
      <c r="L64">
        <f>IF(ISBLANK('By Round'!L107),"",'By Round'!L107)</f>
        <v/>
      </c>
      <c r="M64" s="11">
        <f>AVERAGE(AE64:AI64)</f>
        <v/>
      </c>
      <c r="N64" s="12">
        <f>AVERAGE(AJ64:AN64)</f>
        <v/>
      </c>
      <c r="O64" s="13">
        <f>IF(COUNT(U64:Y64)&gt;0,Q64/COUNT(U64:Y64),0.5)</f>
        <v/>
      </c>
      <c r="P64" s="13">
        <f>IF(COUNT(Z64:AD64)&gt;0,R64/COUNT(Z64:AD64),0.5)</f>
        <v/>
      </c>
      <c r="Q64" s="5">
        <f>SUM(U64:Y64)</f>
        <v/>
      </c>
      <c r="R64" s="5">
        <f>SUM(Z64:AD64)</f>
        <v/>
      </c>
      <c r="S64" s="14">
        <f>IF(ISNUMBER(K64),K64,IF(ISNUMBER(L64),-L64,""))</f>
        <v/>
      </c>
      <c r="T64">
        <f>IF(ISNUMBER(L64),L64,IF(ISNUMBER(K64),-K64,""))</f>
        <v/>
      </c>
      <c r="U64" s="14">
        <f>IF(ISNUMBER(S64),IF(ISNUMBER(S63),IF(S64&gt;S63,1.0,IF(S64=S63,0.5,0.0)),""),"")</f>
        <v/>
      </c>
      <c r="V64">
        <f>IF(ISNUMBER(S64),IF(ISNUMBER(S65),IF(S64&gt;S65,1.0,IF(S64=S65,0.5,0.0)),""),"")</f>
        <v/>
      </c>
      <c r="W64">
        <f>IF(ISNUMBER(S64),IF(ISNUMBER(S66),IF(S64&gt;S66,1.0,IF(S64=S66,0.5,0.0)),""),"")</f>
        <v/>
      </c>
      <c r="X64">
        <f>IF(ISNUMBER(S64),IF(ISNUMBER(S67),IF(S64&gt;S67,1.0,IF(S64=S67,0.5,0.0)),""),"")</f>
        <v/>
      </c>
      <c r="Y64">
        <f>IF(ISNUMBER(S64),IF(ISNUMBER(S68),IF(S64&gt;S68,1.0,IF(S64=S68,0.5,0.0)),""),"")</f>
        <v/>
      </c>
      <c r="Z64">
        <f>IF(ISNUMBER(T64),IF(ISNUMBER(T63),IF(T64&gt;T63,1.0,IF(T64=T63,0.5,0.0)),""),"")</f>
        <v/>
      </c>
      <c r="AA64">
        <f>IF(ISNUMBER(T64),IF(ISNUMBER(T65),IF(T64&gt;T65,1.0,IF(T64=T65,0.5,0.0)),""),"")</f>
        <v/>
      </c>
      <c r="AB64">
        <f>IF(ISNUMBER(T64),IF(ISNUMBER(T66),IF(T64&gt;T66,1.0,IF(T64=T66,0.5,0.0)),""),"")</f>
        <v/>
      </c>
      <c r="AC64">
        <f>IF(ISNUMBER(T64),IF(ISNUMBER(T67),IF(T64&gt;T67,1.0,IF(T64=T67,0.5,0.0)),""),"")</f>
        <v/>
      </c>
      <c r="AD64">
        <f>IF(ISNUMBER(T64),IF(ISNUMBER(T68),IF(T64&gt;T68,1.0,IF(T64=T68,0.5,0.0)),""),"")</f>
        <v/>
      </c>
      <c r="AE64" s="14">
        <f>IF(AND(ISNUMBER(S64),ISNUMBER(S63)),VLOOKUP(ABS(S64-S63),'IMP Table'!$A$2:$C$26,3)*SIGN(S64-S63),0)</f>
        <v/>
      </c>
      <c r="AF64">
        <f>IF(AND(ISNUMBER(S64),ISNUMBER(S65)),VLOOKUP(ABS(S64-S65),'IMP Table'!$A$2:$C$26,3)*SIGN(S64-S65),0)</f>
        <v/>
      </c>
      <c r="AG64">
        <f>IF(AND(ISNUMBER(S64),ISNUMBER(S66)),VLOOKUP(ABS(S64-S66),'IMP Table'!$A$2:$C$26,3)*SIGN(S64-S66),0)</f>
        <v/>
      </c>
      <c r="AH64">
        <f>IF(AND(ISNUMBER(S64),ISNUMBER(S67)),VLOOKUP(ABS(S64-S67),'IMP Table'!$A$2:$C$26,3)*SIGN(S64-S67),0)</f>
        <v/>
      </c>
      <c r="AI64">
        <f>IF(AND(ISNUMBER(S64),ISNUMBER(S68)),VLOOKUP(ABS(S64-S68),'IMP Table'!$A$2:$C$26,3)*SIGN(S64-S68),0)</f>
        <v/>
      </c>
      <c r="AJ64">
        <f>IF(AND(ISNUMBER(T64),ISNUMBER(T63)),VLOOKUP(ABS(T64-T63),'IMP Table'!$A$2:$C$26,3)*SIGN(T64-T63),0)</f>
        <v/>
      </c>
      <c r="AK64">
        <f>IF(AND(ISNUMBER(T64),ISNUMBER(T65)),VLOOKUP(ABS(T64-T65),'IMP Table'!$A$2:$C$26,3)*SIGN(T64-T65),0)</f>
        <v/>
      </c>
      <c r="AL64">
        <f>IF(AND(ISNUMBER(T64),ISNUMBER(T66)),VLOOKUP(ABS(T64-T66),'IMP Table'!$A$2:$C$26,3)*SIGN(T64-T66),0)</f>
        <v/>
      </c>
      <c r="AM64">
        <f>IF(AND(ISNUMBER(T64),ISNUMBER(T67)),VLOOKUP(ABS(T64-T67),'IMP Table'!$A$2:$C$26,3)*SIGN(T64-T67),0)</f>
        <v/>
      </c>
      <c r="AN64">
        <f>IF(AND(ISNUMBER(T64),ISNUMBER(T68)),VLOOKUP(ABS(T64-T68),'IMP Table'!$A$2:$C$26,3)*SIGN(T64-T68),0)</f>
        <v/>
      </c>
    </row>
    <row r="65">
      <c r="B65" s="10">
        <f>'By Round'!A111</f>
        <v/>
      </c>
      <c r="C65" s="10">
        <f>'By Round'!B117</f>
        <v/>
      </c>
      <c r="D65" s="10">
        <f>'By Round'!C117</f>
        <v/>
      </c>
      <c r="E65" s="10">
        <f>'By Round'!D117</f>
        <v/>
      </c>
      <c r="F65" s="10">
        <f>IF(ISBLANK('By Round'!F117),"",'By Round'!F117)</f>
        <v/>
      </c>
      <c r="G65">
        <f>IF(ISBLANK('By Round'!G117),"",'By Round'!G117)</f>
        <v/>
      </c>
      <c r="H65">
        <f>IF(ISBLANK('By Round'!H117),"",'By Round'!H117)</f>
        <v/>
      </c>
      <c r="I65">
        <f>IF(ISBLANK('By Round'!I117),"",'By Round'!I117)</f>
        <v/>
      </c>
      <c r="J65">
        <f>IF(ISBLANK('By Round'!J117),"",'By Round'!J117)</f>
        <v/>
      </c>
      <c r="K65">
        <f>IF(ISBLANK('By Round'!K117),"",'By Round'!K117)</f>
        <v/>
      </c>
      <c r="L65">
        <f>IF(ISBLANK('By Round'!L117),"",'By Round'!L117)</f>
        <v/>
      </c>
      <c r="M65" s="11">
        <f>AVERAGE(AE65:AI65)</f>
        <v/>
      </c>
      <c r="N65" s="12">
        <f>AVERAGE(AJ65:AN65)</f>
        <v/>
      </c>
      <c r="O65" s="13">
        <f>IF(COUNT(U65:Y65)&gt;0,Q65/COUNT(U65:Y65),0.5)</f>
        <v/>
      </c>
      <c r="P65" s="13">
        <f>IF(COUNT(Z65:AD65)&gt;0,R65/COUNT(Z65:AD65),0.5)</f>
        <v/>
      </c>
      <c r="Q65" s="5">
        <f>SUM(U65:Y65)</f>
        <v/>
      </c>
      <c r="R65" s="5">
        <f>SUM(Z65:AD65)</f>
        <v/>
      </c>
      <c r="S65" s="14">
        <f>IF(ISNUMBER(K65),K65,IF(ISNUMBER(L65),-L65,""))</f>
        <v/>
      </c>
      <c r="T65">
        <f>IF(ISNUMBER(L65),L65,IF(ISNUMBER(K65),-K65,""))</f>
        <v/>
      </c>
      <c r="U65" s="14">
        <f>IF(ISNUMBER(S65),IF(ISNUMBER(S63),IF(S65&gt;S63,1.0,IF(S65=S63,0.5,0.0)),""),"")</f>
        <v/>
      </c>
      <c r="V65">
        <f>IF(ISNUMBER(S65),IF(ISNUMBER(S64),IF(S65&gt;S64,1.0,IF(S65=S64,0.5,0.0)),""),"")</f>
        <v/>
      </c>
      <c r="W65">
        <f>IF(ISNUMBER(S65),IF(ISNUMBER(S66),IF(S65&gt;S66,1.0,IF(S65=S66,0.5,0.0)),""),"")</f>
        <v/>
      </c>
      <c r="X65">
        <f>IF(ISNUMBER(S65),IF(ISNUMBER(S67),IF(S65&gt;S67,1.0,IF(S65=S67,0.5,0.0)),""),"")</f>
        <v/>
      </c>
      <c r="Y65">
        <f>IF(ISNUMBER(S65),IF(ISNUMBER(S68),IF(S65&gt;S68,1.0,IF(S65=S68,0.5,0.0)),""),"")</f>
        <v/>
      </c>
      <c r="Z65">
        <f>IF(ISNUMBER(T65),IF(ISNUMBER(T63),IF(T65&gt;T63,1.0,IF(T65=T63,0.5,0.0)),""),"")</f>
        <v/>
      </c>
      <c r="AA65">
        <f>IF(ISNUMBER(T65),IF(ISNUMBER(T64),IF(T65&gt;T64,1.0,IF(T65=T64,0.5,0.0)),""),"")</f>
        <v/>
      </c>
      <c r="AB65">
        <f>IF(ISNUMBER(T65),IF(ISNUMBER(T66),IF(T65&gt;T66,1.0,IF(T65=T66,0.5,0.0)),""),"")</f>
        <v/>
      </c>
      <c r="AC65">
        <f>IF(ISNUMBER(T65),IF(ISNUMBER(T67),IF(T65&gt;T67,1.0,IF(T65=T67,0.5,0.0)),""),"")</f>
        <v/>
      </c>
      <c r="AD65">
        <f>IF(ISNUMBER(T65),IF(ISNUMBER(T68),IF(T65&gt;T68,1.0,IF(T65=T68,0.5,0.0)),""),"")</f>
        <v/>
      </c>
      <c r="AE65" s="14">
        <f>IF(AND(ISNUMBER(S65),ISNUMBER(S63)),VLOOKUP(ABS(S65-S63),'IMP Table'!$A$2:$C$26,3)*SIGN(S65-S63),0)</f>
        <v/>
      </c>
      <c r="AF65">
        <f>IF(AND(ISNUMBER(S65),ISNUMBER(S64)),VLOOKUP(ABS(S65-S64),'IMP Table'!$A$2:$C$26,3)*SIGN(S65-S64),0)</f>
        <v/>
      </c>
      <c r="AG65">
        <f>IF(AND(ISNUMBER(S65),ISNUMBER(S66)),VLOOKUP(ABS(S65-S66),'IMP Table'!$A$2:$C$26,3)*SIGN(S65-S66),0)</f>
        <v/>
      </c>
      <c r="AH65">
        <f>IF(AND(ISNUMBER(S65),ISNUMBER(S67)),VLOOKUP(ABS(S65-S67),'IMP Table'!$A$2:$C$26,3)*SIGN(S65-S67),0)</f>
        <v/>
      </c>
      <c r="AI65">
        <f>IF(AND(ISNUMBER(S65),ISNUMBER(S68)),VLOOKUP(ABS(S65-S68),'IMP Table'!$A$2:$C$26,3)*SIGN(S65-S68),0)</f>
        <v/>
      </c>
      <c r="AJ65">
        <f>IF(AND(ISNUMBER(T65),ISNUMBER(T63)),VLOOKUP(ABS(T65-T63),'IMP Table'!$A$2:$C$26,3)*SIGN(T65-T63),0)</f>
        <v/>
      </c>
      <c r="AK65">
        <f>IF(AND(ISNUMBER(T65),ISNUMBER(T64)),VLOOKUP(ABS(T65-T64),'IMP Table'!$A$2:$C$26,3)*SIGN(T65-T64),0)</f>
        <v/>
      </c>
      <c r="AL65">
        <f>IF(AND(ISNUMBER(T65),ISNUMBER(T66)),VLOOKUP(ABS(T65-T66),'IMP Table'!$A$2:$C$26,3)*SIGN(T65-T66),0)</f>
        <v/>
      </c>
      <c r="AM65">
        <f>IF(AND(ISNUMBER(T65),ISNUMBER(T67)),VLOOKUP(ABS(T65-T67),'IMP Table'!$A$2:$C$26,3)*SIGN(T65-T67),0)</f>
        <v/>
      </c>
      <c r="AN65">
        <f>IF(AND(ISNUMBER(T65),ISNUMBER(T68)),VLOOKUP(ABS(T65-T68),'IMP Table'!$A$2:$C$26,3)*SIGN(T65-T68),0)</f>
        <v/>
      </c>
    </row>
    <row r="66">
      <c r="B66" s="10">
        <f>'By Round'!A15</f>
        <v/>
      </c>
      <c r="C66" s="10">
        <f>'By Round'!B17</f>
        <v/>
      </c>
      <c r="D66" s="10">
        <f>'By Round'!C17</f>
        <v/>
      </c>
      <c r="E66" s="10">
        <f>'By Round'!D17</f>
        <v/>
      </c>
      <c r="F66" s="10">
        <f>IF(ISBLANK('By Round'!F17),"",'By Round'!F17)</f>
        <v/>
      </c>
      <c r="G66">
        <f>IF(ISBLANK('By Round'!G17),"",'By Round'!G17)</f>
        <v/>
      </c>
      <c r="H66">
        <f>IF(ISBLANK('By Round'!H17),"",'By Round'!H17)</f>
        <v/>
      </c>
      <c r="I66">
        <f>IF(ISBLANK('By Round'!I17),"",'By Round'!I17)</f>
        <v/>
      </c>
      <c r="J66">
        <f>IF(ISBLANK('By Round'!J17),"",'By Round'!J17)</f>
        <v/>
      </c>
      <c r="K66">
        <f>IF(ISBLANK('By Round'!K17),"",'By Round'!K17)</f>
        <v/>
      </c>
      <c r="L66">
        <f>IF(ISBLANK('By Round'!L17),"",'By Round'!L17)</f>
        <v/>
      </c>
      <c r="M66" s="11">
        <f>AVERAGE(AE66:AI66)</f>
        <v/>
      </c>
      <c r="N66" s="12">
        <f>AVERAGE(AJ66:AN66)</f>
        <v/>
      </c>
      <c r="O66" s="13">
        <f>IF(COUNT(U66:Y66)&gt;0,Q66/COUNT(U66:Y66),0.5)</f>
        <v/>
      </c>
      <c r="P66" s="13">
        <f>IF(COUNT(Z66:AD66)&gt;0,R66/COUNT(Z66:AD66),0.5)</f>
        <v/>
      </c>
      <c r="Q66" s="5">
        <f>SUM(U66:Y66)</f>
        <v/>
      </c>
      <c r="R66" s="5">
        <f>SUM(Z66:AD66)</f>
        <v/>
      </c>
      <c r="S66" s="14">
        <f>IF(ISNUMBER(K66),K66,IF(ISNUMBER(L66),-L66,""))</f>
        <v/>
      </c>
      <c r="T66">
        <f>IF(ISNUMBER(L66),L66,IF(ISNUMBER(K66),-K66,""))</f>
        <v/>
      </c>
      <c r="U66" s="14">
        <f>IF(ISNUMBER(S66),IF(ISNUMBER(S63),IF(S66&gt;S63,1.0,IF(S66=S63,0.5,0.0)),""),"")</f>
        <v/>
      </c>
      <c r="V66">
        <f>IF(ISNUMBER(S66),IF(ISNUMBER(S64),IF(S66&gt;S64,1.0,IF(S66=S64,0.5,0.0)),""),"")</f>
        <v/>
      </c>
      <c r="W66">
        <f>IF(ISNUMBER(S66),IF(ISNUMBER(S65),IF(S66&gt;S65,1.0,IF(S66=S65,0.5,0.0)),""),"")</f>
        <v/>
      </c>
      <c r="X66">
        <f>IF(ISNUMBER(S66),IF(ISNUMBER(S67),IF(S66&gt;S67,1.0,IF(S66=S67,0.5,0.0)),""),"")</f>
        <v/>
      </c>
      <c r="Y66">
        <f>IF(ISNUMBER(S66),IF(ISNUMBER(S68),IF(S66&gt;S68,1.0,IF(S66=S68,0.5,0.0)),""),"")</f>
        <v/>
      </c>
      <c r="Z66">
        <f>IF(ISNUMBER(T66),IF(ISNUMBER(T63),IF(T66&gt;T63,1.0,IF(T66=T63,0.5,0.0)),""),"")</f>
        <v/>
      </c>
      <c r="AA66">
        <f>IF(ISNUMBER(T66),IF(ISNUMBER(T64),IF(T66&gt;T64,1.0,IF(T66=T64,0.5,0.0)),""),"")</f>
        <v/>
      </c>
      <c r="AB66">
        <f>IF(ISNUMBER(T66),IF(ISNUMBER(T65),IF(T66&gt;T65,1.0,IF(T66=T65,0.5,0.0)),""),"")</f>
        <v/>
      </c>
      <c r="AC66">
        <f>IF(ISNUMBER(T66),IF(ISNUMBER(T67),IF(T66&gt;T67,1.0,IF(T66=T67,0.5,0.0)),""),"")</f>
        <v/>
      </c>
      <c r="AD66">
        <f>IF(ISNUMBER(T66),IF(ISNUMBER(T68),IF(T66&gt;T68,1.0,IF(T66=T68,0.5,0.0)),""),"")</f>
        <v/>
      </c>
      <c r="AE66" s="14">
        <f>IF(AND(ISNUMBER(S66),ISNUMBER(S63)),VLOOKUP(ABS(S66-S63),'IMP Table'!$A$2:$C$26,3)*SIGN(S66-S63),0)</f>
        <v/>
      </c>
      <c r="AF66">
        <f>IF(AND(ISNUMBER(S66),ISNUMBER(S64)),VLOOKUP(ABS(S66-S64),'IMP Table'!$A$2:$C$26,3)*SIGN(S66-S64),0)</f>
        <v/>
      </c>
      <c r="AG66">
        <f>IF(AND(ISNUMBER(S66),ISNUMBER(S65)),VLOOKUP(ABS(S66-S65),'IMP Table'!$A$2:$C$26,3)*SIGN(S66-S65),0)</f>
        <v/>
      </c>
      <c r="AH66">
        <f>IF(AND(ISNUMBER(S66),ISNUMBER(S67)),VLOOKUP(ABS(S66-S67),'IMP Table'!$A$2:$C$26,3)*SIGN(S66-S67),0)</f>
        <v/>
      </c>
      <c r="AI66">
        <f>IF(AND(ISNUMBER(S66),ISNUMBER(S68)),VLOOKUP(ABS(S66-S68),'IMP Table'!$A$2:$C$26,3)*SIGN(S66-S68),0)</f>
        <v/>
      </c>
      <c r="AJ66">
        <f>IF(AND(ISNUMBER(T66),ISNUMBER(T63)),VLOOKUP(ABS(T66-T63),'IMP Table'!$A$2:$C$26,3)*SIGN(T66-T63),0)</f>
        <v/>
      </c>
      <c r="AK66">
        <f>IF(AND(ISNUMBER(T66),ISNUMBER(T64)),VLOOKUP(ABS(T66-T64),'IMP Table'!$A$2:$C$26,3)*SIGN(T66-T64),0)</f>
        <v/>
      </c>
      <c r="AL66">
        <f>IF(AND(ISNUMBER(T66),ISNUMBER(T65)),VLOOKUP(ABS(T66-T65),'IMP Table'!$A$2:$C$26,3)*SIGN(T66-T65),0)</f>
        <v/>
      </c>
      <c r="AM66">
        <f>IF(AND(ISNUMBER(T66),ISNUMBER(T67)),VLOOKUP(ABS(T66-T67),'IMP Table'!$A$2:$C$26,3)*SIGN(T66-T67),0)</f>
        <v/>
      </c>
      <c r="AN66">
        <f>IF(AND(ISNUMBER(T66),ISNUMBER(T68)),VLOOKUP(ABS(T66-T68),'IMP Table'!$A$2:$C$26,3)*SIGN(T66-T68),0)</f>
        <v/>
      </c>
    </row>
    <row r="67">
      <c r="B67" s="10">
        <f>'By Round'!A87</f>
        <v/>
      </c>
      <c r="C67" s="10">
        <f>'By Round'!B97</f>
        <v/>
      </c>
      <c r="D67" s="10">
        <f>'By Round'!C97</f>
        <v/>
      </c>
      <c r="E67" s="10">
        <f>'By Round'!D97</f>
        <v/>
      </c>
      <c r="F67" s="10">
        <f>IF(ISBLANK('By Round'!F97),"",'By Round'!F97)</f>
        <v/>
      </c>
      <c r="G67">
        <f>IF(ISBLANK('By Round'!G97),"",'By Round'!G97)</f>
        <v/>
      </c>
      <c r="H67">
        <f>IF(ISBLANK('By Round'!H97),"",'By Round'!H97)</f>
        <v/>
      </c>
      <c r="I67">
        <f>IF(ISBLANK('By Round'!I97),"",'By Round'!I97)</f>
        <v/>
      </c>
      <c r="J67">
        <f>IF(ISBLANK('By Round'!J97),"",'By Round'!J97)</f>
        <v/>
      </c>
      <c r="K67">
        <f>IF(ISBLANK('By Round'!K97),"",'By Round'!K97)</f>
        <v/>
      </c>
      <c r="L67">
        <f>IF(ISBLANK('By Round'!L97),"",'By Round'!L97)</f>
        <v/>
      </c>
      <c r="M67" s="11">
        <f>AVERAGE(AE67:AI67)</f>
        <v/>
      </c>
      <c r="N67" s="12">
        <f>AVERAGE(AJ67:AN67)</f>
        <v/>
      </c>
      <c r="O67" s="13">
        <f>IF(COUNT(U67:Y67)&gt;0,Q67/COUNT(U67:Y67),0.5)</f>
        <v/>
      </c>
      <c r="P67" s="13">
        <f>IF(COUNT(Z67:AD67)&gt;0,R67/COUNT(Z67:AD67),0.5)</f>
        <v/>
      </c>
      <c r="Q67" s="5">
        <f>SUM(U67:Y67)</f>
        <v/>
      </c>
      <c r="R67" s="5">
        <f>SUM(Z67:AD67)</f>
        <v/>
      </c>
      <c r="S67" s="14">
        <f>IF(ISNUMBER(K67),K67,IF(ISNUMBER(L67),-L67,""))</f>
        <v/>
      </c>
      <c r="T67">
        <f>IF(ISNUMBER(L67),L67,IF(ISNUMBER(K67),-K67,""))</f>
        <v/>
      </c>
      <c r="U67" s="14">
        <f>IF(ISNUMBER(S67),IF(ISNUMBER(S63),IF(S67&gt;S63,1.0,IF(S67=S63,0.5,0.0)),""),"")</f>
        <v/>
      </c>
      <c r="V67">
        <f>IF(ISNUMBER(S67),IF(ISNUMBER(S64),IF(S67&gt;S64,1.0,IF(S67=S64,0.5,0.0)),""),"")</f>
        <v/>
      </c>
      <c r="W67">
        <f>IF(ISNUMBER(S67),IF(ISNUMBER(S65),IF(S67&gt;S65,1.0,IF(S67=S65,0.5,0.0)),""),"")</f>
        <v/>
      </c>
      <c r="X67">
        <f>IF(ISNUMBER(S67),IF(ISNUMBER(S66),IF(S67&gt;S66,1.0,IF(S67=S66,0.5,0.0)),""),"")</f>
        <v/>
      </c>
      <c r="Y67">
        <f>IF(ISNUMBER(S67),IF(ISNUMBER(S68),IF(S67&gt;S68,1.0,IF(S67=S68,0.5,0.0)),""),"")</f>
        <v/>
      </c>
      <c r="Z67">
        <f>IF(ISNUMBER(T67),IF(ISNUMBER(T63),IF(T67&gt;T63,1.0,IF(T67=T63,0.5,0.0)),""),"")</f>
        <v/>
      </c>
      <c r="AA67">
        <f>IF(ISNUMBER(T67),IF(ISNUMBER(T64),IF(T67&gt;T64,1.0,IF(T67=T64,0.5,0.0)),""),"")</f>
        <v/>
      </c>
      <c r="AB67">
        <f>IF(ISNUMBER(T67),IF(ISNUMBER(T65),IF(T67&gt;T65,1.0,IF(T67=T65,0.5,0.0)),""),"")</f>
        <v/>
      </c>
      <c r="AC67">
        <f>IF(ISNUMBER(T67),IF(ISNUMBER(T66),IF(T67&gt;T66,1.0,IF(T67=T66,0.5,0.0)),""),"")</f>
        <v/>
      </c>
      <c r="AD67">
        <f>IF(ISNUMBER(T67),IF(ISNUMBER(T68),IF(T67&gt;T68,1.0,IF(T67=T68,0.5,0.0)),""),"")</f>
        <v/>
      </c>
      <c r="AE67" s="14">
        <f>IF(AND(ISNUMBER(S67),ISNUMBER(S63)),VLOOKUP(ABS(S67-S63),'IMP Table'!$A$2:$C$26,3)*SIGN(S67-S63),0)</f>
        <v/>
      </c>
      <c r="AF67">
        <f>IF(AND(ISNUMBER(S67),ISNUMBER(S64)),VLOOKUP(ABS(S67-S64),'IMP Table'!$A$2:$C$26,3)*SIGN(S67-S64),0)</f>
        <v/>
      </c>
      <c r="AG67">
        <f>IF(AND(ISNUMBER(S67),ISNUMBER(S65)),VLOOKUP(ABS(S67-S65),'IMP Table'!$A$2:$C$26,3)*SIGN(S67-S65),0)</f>
        <v/>
      </c>
      <c r="AH67">
        <f>IF(AND(ISNUMBER(S67),ISNUMBER(S66)),VLOOKUP(ABS(S67-S66),'IMP Table'!$A$2:$C$26,3)*SIGN(S67-S66),0)</f>
        <v/>
      </c>
      <c r="AI67">
        <f>IF(AND(ISNUMBER(S67),ISNUMBER(S68)),VLOOKUP(ABS(S67-S68),'IMP Table'!$A$2:$C$26,3)*SIGN(S67-S68),0)</f>
        <v/>
      </c>
      <c r="AJ67">
        <f>IF(AND(ISNUMBER(T67),ISNUMBER(T63)),VLOOKUP(ABS(T67-T63),'IMP Table'!$A$2:$C$26,3)*SIGN(T67-T63),0)</f>
        <v/>
      </c>
      <c r="AK67">
        <f>IF(AND(ISNUMBER(T67),ISNUMBER(T64)),VLOOKUP(ABS(T67-T64),'IMP Table'!$A$2:$C$26,3)*SIGN(T67-T64),0)</f>
        <v/>
      </c>
      <c r="AL67">
        <f>IF(AND(ISNUMBER(T67),ISNUMBER(T65)),VLOOKUP(ABS(T67-T65),'IMP Table'!$A$2:$C$26,3)*SIGN(T67-T65),0)</f>
        <v/>
      </c>
      <c r="AM67">
        <f>IF(AND(ISNUMBER(T67),ISNUMBER(T66)),VLOOKUP(ABS(T67-T66),'IMP Table'!$A$2:$C$26,3)*SIGN(T67-T66),0)</f>
        <v/>
      </c>
      <c r="AN67">
        <f>IF(AND(ISNUMBER(T67),ISNUMBER(T68)),VLOOKUP(ABS(T67-T68),'IMP Table'!$A$2:$C$26,3)*SIGN(T67-T68),0)</f>
        <v/>
      </c>
    </row>
    <row r="68">
      <c r="A68" s="15" t="n"/>
      <c r="B68" s="16">
        <f>'By Round'!A3</f>
        <v/>
      </c>
      <c r="C68" s="16">
        <f>'By Round'!B7</f>
        <v/>
      </c>
      <c r="D68" s="16">
        <f>'By Round'!C7</f>
        <v/>
      </c>
      <c r="E68" s="16">
        <f>'By Round'!D7</f>
        <v/>
      </c>
      <c r="F68" s="16">
        <f>IF(ISBLANK('By Round'!F7),"",'By Round'!F7)</f>
        <v/>
      </c>
      <c r="G68" s="15">
        <f>IF(ISBLANK('By Round'!G7),"",'By Round'!G7)</f>
        <v/>
      </c>
      <c r="H68" s="15">
        <f>IF(ISBLANK('By Round'!H7),"",'By Round'!H7)</f>
        <v/>
      </c>
      <c r="I68" s="15">
        <f>IF(ISBLANK('By Round'!I7),"",'By Round'!I7)</f>
        <v/>
      </c>
      <c r="J68" s="15">
        <f>IF(ISBLANK('By Round'!J7),"",'By Round'!J7)</f>
        <v/>
      </c>
      <c r="K68" s="15">
        <f>IF(ISBLANK('By Round'!K7),"",'By Round'!K7)</f>
        <v/>
      </c>
      <c r="L68" s="15">
        <f>IF(ISBLANK('By Round'!L7),"",'By Round'!L7)</f>
        <v/>
      </c>
      <c r="M68" s="17">
        <f>AVERAGE(AE68:AI68)</f>
        <v/>
      </c>
      <c r="N68" s="18">
        <f>AVERAGE(AJ68:AN68)</f>
        <v/>
      </c>
      <c r="O68" s="19">
        <f>IF(COUNT(U68:Y68)&gt;0,Q68/COUNT(U68:Y68),0.5)</f>
        <v/>
      </c>
      <c r="P68" s="19">
        <f>IF(COUNT(Z68:AD68)&gt;0,R68/COUNT(Z68:AD68),0.5)</f>
        <v/>
      </c>
      <c r="Q68" s="20">
        <f>SUM(U68:Y68)</f>
        <v/>
      </c>
      <c r="R68" s="20">
        <f>SUM(Z68:AD68)</f>
        <v/>
      </c>
      <c r="S68" s="21">
        <f>IF(ISNUMBER(K68),K68,IF(ISNUMBER(L68),-L68,""))</f>
        <v/>
      </c>
      <c r="T68" s="15">
        <f>IF(ISNUMBER(L68),L68,IF(ISNUMBER(K68),-K68,""))</f>
        <v/>
      </c>
      <c r="U68" s="21">
        <f>IF(ISNUMBER(S68),IF(ISNUMBER(S63),IF(S68&gt;S63,1.0,IF(S68=S63,0.5,0.0)),""),"")</f>
        <v/>
      </c>
      <c r="V68" s="15">
        <f>IF(ISNUMBER(S68),IF(ISNUMBER(S64),IF(S68&gt;S64,1.0,IF(S68=S64,0.5,0.0)),""),"")</f>
        <v/>
      </c>
      <c r="W68" s="15">
        <f>IF(ISNUMBER(S68),IF(ISNUMBER(S65),IF(S68&gt;S65,1.0,IF(S68=S65,0.5,0.0)),""),"")</f>
        <v/>
      </c>
      <c r="X68" s="15">
        <f>IF(ISNUMBER(S68),IF(ISNUMBER(S66),IF(S68&gt;S66,1.0,IF(S68=S66,0.5,0.0)),""),"")</f>
        <v/>
      </c>
      <c r="Y68" s="15">
        <f>IF(ISNUMBER(S68),IF(ISNUMBER(S67),IF(S68&gt;S67,1.0,IF(S68=S67,0.5,0.0)),""),"")</f>
        <v/>
      </c>
      <c r="Z68" s="15">
        <f>IF(ISNUMBER(T68),IF(ISNUMBER(T63),IF(T68&gt;T63,1.0,IF(T68=T63,0.5,0.0)),""),"")</f>
        <v/>
      </c>
      <c r="AA68" s="15">
        <f>IF(ISNUMBER(T68),IF(ISNUMBER(T64),IF(T68&gt;T64,1.0,IF(T68=T64,0.5,0.0)),""),"")</f>
        <v/>
      </c>
      <c r="AB68" s="15">
        <f>IF(ISNUMBER(T68),IF(ISNUMBER(T65),IF(T68&gt;T65,1.0,IF(T68=T65,0.5,0.0)),""),"")</f>
        <v/>
      </c>
      <c r="AC68" s="15">
        <f>IF(ISNUMBER(T68),IF(ISNUMBER(T66),IF(T68&gt;T66,1.0,IF(T68=T66,0.5,0.0)),""),"")</f>
        <v/>
      </c>
      <c r="AD68" s="15">
        <f>IF(ISNUMBER(T68),IF(ISNUMBER(T67),IF(T68&gt;T67,1.0,IF(T68=T67,0.5,0.0)),""),"")</f>
        <v/>
      </c>
      <c r="AE68" s="21">
        <f>IF(AND(ISNUMBER(S68),ISNUMBER(S63)),VLOOKUP(ABS(S68-S63),'IMP Table'!$A$2:$C$26,3)*SIGN(S68-S63),0)</f>
        <v/>
      </c>
      <c r="AF68" s="15">
        <f>IF(AND(ISNUMBER(S68),ISNUMBER(S64)),VLOOKUP(ABS(S68-S64),'IMP Table'!$A$2:$C$26,3)*SIGN(S68-S64),0)</f>
        <v/>
      </c>
      <c r="AG68" s="15">
        <f>IF(AND(ISNUMBER(S68),ISNUMBER(S65)),VLOOKUP(ABS(S68-S65),'IMP Table'!$A$2:$C$26,3)*SIGN(S68-S65),0)</f>
        <v/>
      </c>
      <c r="AH68" s="15">
        <f>IF(AND(ISNUMBER(S68),ISNUMBER(S66)),VLOOKUP(ABS(S68-S66),'IMP Table'!$A$2:$C$26,3)*SIGN(S68-S66),0)</f>
        <v/>
      </c>
      <c r="AI68" s="15">
        <f>IF(AND(ISNUMBER(S68),ISNUMBER(S67)),VLOOKUP(ABS(S68-S67),'IMP Table'!$A$2:$C$26,3)*SIGN(S68-S67),0)</f>
        <v/>
      </c>
      <c r="AJ68" s="15">
        <f>IF(AND(ISNUMBER(T68),ISNUMBER(T63)),VLOOKUP(ABS(T68-T63),'IMP Table'!$A$2:$C$26,3)*SIGN(T68-T63),0)</f>
        <v/>
      </c>
      <c r="AK68" s="15">
        <f>IF(AND(ISNUMBER(T68),ISNUMBER(T64)),VLOOKUP(ABS(T68-T64),'IMP Table'!$A$2:$C$26,3)*SIGN(T68-T64),0)</f>
        <v/>
      </c>
      <c r="AL68" s="15">
        <f>IF(AND(ISNUMBER(T68),ISNUMBER(T65)),VLOOKUP(ABS(T68-T65),'IMP Table'!$A$2:$C$26,3)*SIGN(T68-T65),0)</f>
        <v/>
      </c>
      <c r="AM68" s="15">
        <f>IF(AND(ISNUMBER(T68),ISNUMBER(T66)),VLOOKUP(ABS(T68-T66),'IMP Table'!$A$2:$C$26,3)*SIGN(T68-T66),0)</f>
        <v/>
      </c>
      <c r="AN68" s="15">
        <f>IF(AND(ISNUMBER(T68),ISNUMBER(T67)),VLOOKUP(ABS(T68-T67),'IMP Table'!$A$2:$C$26,3)*SIGN(T68-T67),0)</f>
        <v/>
      </c>
    </row>
    <row r="69">
      <c r="A69" s="10" t="n">
        <v>12</v>
      </c>
      <c r="B69" s="10">
        <f>'By Round'!A63</f>
        <v/>
      </c>
      <c r="C69" s="10">
        <f>'By Round'!B63</f>
        <v/>
      </c>
      <c r="D69" s="10">
        <f>'By Round'!C63</f>
        <v/>
      </c>
      <c r="E69" s="10">
        <f>'By Round'!D63</f>
        <v/>
      </c>
      <c r="F69" s="10">
        <f>IF(ISBLANK('By Round'!F64),"",'By Round'!F64)</f>
        <v/>
      </c>
      <c r="G69">
        <f>IF(ISBLANK('By Round'!G64),"",'By Round'!G64)</f>
        <v/>
      </c>
      <c r="H69">
        <f>IF(ISBLANK('By Round'!H64),"",'By Round'!H64)</f>
        <v/>
      </c>
      <c r="I69">
        <f>IF(ISBLANK('By Round'!I64),"",'By Round'!I64)</f>
        <v/>
      </c>
      <c r="J69">
        <f>IF(ISBLANK('By Round'!J64),"",'By Round'!J64)</f>
        <v/>
      </c>
      <c r="K69">
        <f>IF(ISBLANK('By Round'!K64),"",'By Round'!K64)</f>
        <v/>
      </c>
      <c r="L69">
        <f>IF(ISBLANK('By Round'!L64),"",'By Round'!L64)</f>
        <v/>
      </c>
      <c r="M69" s="11">
        <f>AVERAGE(AE69:AI69)</f>
        <v/>
      </c>
      <c r="N69" s="12">
        <f>AVERAGE(AJ69:AN69)</f>
        <v/>
      </c>
      <c r="O69" s="13">
        <f>IF(COUNT(U69:Y69)&gt;0,Q69/COUNT(U69:Y69),0.5)</f>
        <v/>
      </c>
      <c r="P69" s="13">
        <f>IF(COUNT(Z69:AD69)&gt;0,R69/COUNT(Z69:AD69),0.5)</f>
        <v/>
      </c>
      <c r="Q69" s="5">
        <f>SUM(U69:Y69)</f>
        <v/>
      </c>
      <c r="R69" s="5">
        <f>SUM(Z69:AD69)</f>
        <v/>
      </c>
      <c r="S69" s="14">
        <f>IF(ISNUMBER(K69),K69,IF(ISNUMBER(L69),-L69,""))</f>
        <v/>
      </c>
      <c r="T69">
        <f>IF(ISNUMBER(L69),L69,IF(ISNUMBER(K69),-K69,""))</f>
        <v/>
      </c>
      <c r="U69" s="14">
        <f>IF(ISNUMBER(S69),IF(ISNUMBER(S70),IF(S69&gt;S70,1.0,IF(S69=S70,0.5,0.0)),""),"")</f>
        <v/>
      </c>
      <c r="V69">
        <f>IF(ISNUMBER(S69),IF(ISNUMBER(S71),IF(S69&gt;S71,1.0,IF(S69=S71,0.5,0.0)),""),"")</f>
        <v/>
      </c>
      <c r="W69">
        <f>IF(ISNUMBER(S69),IF(ISNUMBER(S72),IF(S69&gt;S72,1.0,IF(S69=S72,0.5,0.0)),""),"")</f>
        <v/>
      </c>
      <c r="X69">
        <f>IF(ISNUMBER(S69),IF(ISNUMBER(S73),IF(S69&gt;S73,1.0,IF(S69=S73,0.5,0.0)),""),"")</f>
        <v/>
      </c>
      <c r="Y69">
        <f>IF(ISNUMBER(S69),IF(ISNUMBER(S74),IF(S69&gt;S74,1.0,IF(S69=S74,0.5,0.0)),""),"")</f>
        <v/>
      </c>
      <c r="Z69">
        <f>IF(ISNUMBER(T69),IF(ISNUMBER(T70),IF(T69&gt;T70,1.0,IF(T69=T70,0.5,0.0)),""),"")</f>
        <v/>
      </c>
      <c r="AA69">
        <f>IF(ISNUMBER(T69),IF(ISNUMBER(T71),IF(T69&gt;T71,1.0,IF(T69=T71,0.5,0.0)),""),"")</f>
        <v/>
      </c>
      <c r="AB69">
        <f>IF(ISNUMBER(T69),IF(ISNUMBER(T72),IF(T69&gt;T72,1.0,IF(T69=T72,0.5,0.0)),""),"")</f>
        <v/>
      </c>
      <c r="AC69">
        <f>IF(ISNUMBER(T69),IF(ISNUMBER(T73),IF(T69&gt;T73,1.0,IF(T69=T73,0.5,0.0)),""),"")</f>
        <v/>
      </c>
      <c r="AD69">
        <f>IF(ISNUMBER(T69),IF(ISNUMBER(T74),IF(T69&gt;T74,1.0,IF(T69=T74,0.5,0.0)),""),"")</f>
        <v/>
      </c>
      <c r="AE69" s="14">
        <f>IF(AND(ISNUMBER(S69),ISNUMBER(S70)),VLOOKUP(ABS(S69-S70),'IMP Table'!$A$2:$C$26,3)*SIGN(S69-S70),0)</f>
        <v/>
      </c>
      <c r="AF69">
        <f>IF(AND(ISNUMBER(S69),ISNUMBER(S71)),VLOOKUP(ABS(S69-S71),'IMP Table'!$A$2:$C$26,3)*SIGN(S69-S71),0)</f>
        <v/>
      </c>
      <c r="AG69">
        <f>IF(AND(ISNUMBER(S69),ISNUMBER(S72)),VLOOKUP(ABS(S69-S72),'IMP Table'!$A$2:$C$26,3)*SIGN(S69-S72),0)</f>
        <v/>
      </c>
      <c r="AH69">
        <f>IF(AND(ISNUMBER(S69),ISNUMBER(S73)),VLOOKUP(ABS(S69-S73),'IMP Table'!$A$2:$C$26,3)*SIGN(S69-S73),0)</f>
        <v/>
      </c>
      <c r="AI69">
        <f>IF(AND(ISNUMBER(S69),ISNUMBER(S74)),VLOOKUP(ABS(S69-S74),'IMP Table'!$A$2:$C$26,3)*SIGN(S69-S74),0)</f>
        <v/>
      </c>
      <c r="AJ69">
        <f>IF(AND(ISNUMBER(T69),ISNUMBER(T70)),VLOOKUP(ABS(T69-T70),'IMP Table'!$A$2:$C$26,3)*SIGN(T69-T70),0)</f>
        <v/>
      </c>
      <c r="AK69">
        <f>IF(AND(ISNUMBER(T69),ISNUMBER(T71)),VLOOKUP(ABS(T69-T71),'IMP Table'!$A$2:$C$26,3)*SIGN(T69-T71),0)</f>
        <v/>
      </c>
      <c r="AL69">
        <f>IF(AND(ISNUMBER(T69),ISNUMBER(T72)),VLOOKUP(ABS(T69-T72),'IMP Table'!$A$2:$C$26,3)*SIGN(T69-T72),0)</f>
        <v/>
      </c>
      <c r="AM69">
        <f>IF(AND(ISNUMBER(T69),ISNUMBER(T73)),VLOOKUP(ABS(T69-T73),'IMP Table'!$A$2:$C$26,3)*SIGN(T69-T73),0)</f>
        <v/>
      </c>
      <c r="AN69">
        <f>IF(AND(ISNUMBER(T69),ISNUMBER(T74)),VLOOKUP(ABS(T69-T74),'IMP Table'!$A$2:$C$26,3)*SIGN(T69-T74),0)</f>
        <v/>
      </c>
    </row>
    <row r="70">
      <c r="B70" s="10">
        <f>'By Round'!A99</f>
        <v/>
      </c>
      <c r="C70" s="10">
        <f>'By Round'!B107</f>
        <v/>
      </c>
      <c r="D70" s="10">
        <f>'By Round'!C107</f>
        <v/>
      </c>
      <c r="E70" s="10">
        <f>'By Round'!D107</f>
        <v/>
      </c>
      <c r="F70" s="10">
        <f>IF(ISBLANK('By Round'!F108),"",'By Round'!F108)</f>
        <v/>
      </c>
      <c r="G70">
        <f>IF(ISBLANK('By Round'!G108),"",'By Round'!G108)</f>
        <v/>
      </c>
      <c r="H70">
        <f>IF(ISBLANK('By Round'!H108),"",'By Round'!H108)</f>
        <v/>
      </c>
      <c r="I70">
        <f>IF(ISBLANK('By Round'!I108),"",'By Round'!I108)</f>
        <v/>
      </c>
      <c r="J70">
        <f>IF(ISBLANK('By Round'!J108),"",'By Round'!J108)</f>
        <v/>
      </c>
      <c r="K70">
        <f>IF(ISBLANK('By Round'!K108),"",'By Round'!K108)</f>
        <v/>
      </c>
      <c r="L70">
        <f>IF(ISBLANK('By Round'!L108),"",'By Round'!L108)</f>
        <v/>
      </c>
      <c r="M70" s="11">
        <f>AVERAGE(AE70:AI70)</f>
        <v/>
      </c>
      <c r="N70" s="12">
        <f>AVERAGE(AJ70:AN70)</f>
        <v/>
      </c>
      <c r="O70" s="13">
        <f>IF(COUNT(U70:Y70)&gt;0,Q70/COUNT(U70:Y70),0.5)</f>
        <v/>
      </c>
      <c r="P70" s="13">
        <f>IF(COUNT(Z70:AD70)&gt;0,R70/COUNT(Z70:AD70),0.5)</f>
        <v/>
      </c>
      <c r="Q70" s="5">
        <f>SUM(U70:Y70)</f>
        <v/>
      </c>
      <c r="R70" s="5">
        <f>SUM(Z70:AD70)</f>
        <v/>
      </c>
      <c r="S70" s="14">
        <f>IF(ISNUMBER(K70),K70,IF(ISNUMBER(L70),-L70,""))</f>
        <v/>
      </c>
      <c r="T70">
        <f>IF(ISNUMBER(L70),L70,IF(ISNUMBER(K70),-K70,""))</f>
        <v/>
      </c>
      <c r="U70" s="14">
        <f>IF(ISNUMBER(S70),IF(ISNUMBER(S69),IF(S70&gt;S69,1.0,IF(S70=S69,0.5,0.0)),""),"")</f>
        <v/>
      </c>
      <c r="V70">
        <f>IF(ISNUMBER(S70),IF(ISNUMBER(S71),IF(S70&gt;S71,1.0,IF(S70=S71,0.5,0.0)),""),"")</f>
        <v/>
      </c>
      <c r="W70">
        <f>IF(ISNUMBER(S70),IF(ISNUMBER(S72),IF(S70&gt;S72,1.0,IF(S70=S72,0.5,0.0)),""),"")</f>
        <v/>
      </c>
      <c r="X70">
        <f>IF(ISNUMBER(S70),IF(ISNUMBER(S73),IF(S70&gt;S73,1.0,IF(S70=S73,0.5,0.0)),""),"")</f>
        <v/>
      </c>
      <c r="Y70">
        <f>IF(ISNUMBER(S70),IF(ISNUMBER(S74),IF(S70&gt;S74,1.0,IF(S70=S74,0.5,0.0)),""),"")</f>
        <v/>
      </c>
      <c r="Z70">
        <f>IF(ISNUMBER(T70),IF(ISNUMBER(T69),IF(T70&gt;T69,1.0,IF(T70=T69,0.5,0.0)),""),"")</f>
        <v/>
      </c>
      <c r="AA70">
        <f>IF(ISNUMBER(T70),IF(ISNUMBER(T71),IF(T70&gt;T71,1.0,IF(T70=T71,0.5,0.0)),""),"")</f>
        <v/>
      </c>
      <c r="AB70">
        <f>IF(ISNUMBER(T70),IF(ISNUMBER(T72),IF(T70&gt;T72,1.0,IF(T70=T72,0.5,0.0)),""),"")</f>
        <v/>
      </c>
      <c r="AC70">
        <f>IF(ISNUMBER(T70),IF(ISNUMBER(T73),IF(T70&gt;T73,1.0,IF(T70=T73,0.5,0.0)),""),"")</f>
        <v/>
      </c>
      <c r="AD70">
        <f>IF(ISNUMBER(T70),IF(ISNUMBER(T74),IF(T70&gt;T74,1.0,IF(T70=T74,0.5,0.0)),""),"")</f>
        <v/>
      </c>
      <c r="AE70" s="14">
        <f>IF(AND(ISNUMBER(S70),ISNUMBER(S69)),VLOOKUP(ABS(S70-S69),'IMP Table'!$A$2:$C$26,3)*SIGN(S70-S69),0)</f>
        <v/>
      </c>
      <c r="AF70">
        <f>IF(AND(ISNUMBER(S70),ISNUMBER(S71)),VLOOKUP(ABS(S70-S71),'IMP Table'!$A$2:$C$26,3)*SIGN(S70-S71),0)</f>
        <v/>
      </c>
      <c r="AG70">
        <f>IF(AND(ISNUMBER(S70),ISNUMBER(S72)),VLOOKUP(ABS(S70-S72),'IMP Table'!$A$2:$C$26,3)*SIGN(S70-S72),0)</f>
        <v/>
      </c>
      <c r="AH70">
        <f>IF(AND(ISNUMBER(S70),ISNUMBER(S73)),VLOOKUP(ABS(S70-S73),'IMP Table'!$A$2:$C$26,3)*SIGN(S70-S73),0)</f>
        <v/>
      </c>
      <c r="AI70">
        <f>IF(AND(ISNUMBER(S70),ISNUMBER(S74)),VLOOKUP(ABS(S70-S74),'IMP Table'!$A$2:$C$26,3)*SIGN(S70-S74),0)</f>
        <v/>
      </c>
      <c r="AJ70">
        <f>IF(AND(ISNUMBER(T70),ISNUMBER(T69)),VLOOKUP(ABS(T70-T69),'IMP Table'!$A$2:$C$26,3)*SIGN(T70-T69),0)</f>
        <v/>
      </c>
      <c r="AK70">
        <f>IF(AND(ISNUMBER(T70),ISNUMBER(T71)),VLOOKUP(ABS(T70-T71),'IMP Table'!$A$2:$C$26,3)*SIGN(T70-T71),0)</f>
        <v/>
      </c>
      <c r="AL70">
        <f>IF(AND(ISNUMBER(T70),ISNUMBER(T72)),VLOOKUP(ABS(T70-T72),'IMP Table'!$A$2:$C$26,3)*SIGN(T70-T72),0)</f>
        <v/>
      </c>
      <c r="AM70">
        <f>IF(AND(ISNUMBER(T70),ISNUMBER(T73)),VLOOKUP(ABS(T70-T73),'IMP Table'!$A$2:$C$26,3)*SIGN(T70-T73),0)</f>
        <v/>
      </c>
      <c r="AN70">
        <f>IF(AND(ISNUMBER(T70),ISNUMBER(T74)),VLOOKUP(ABS(T70-T74),'IMP Table'!$A$2:$C$26,3)*SIGN(T70-T74),0)</f>
        <v/>
      </c>
    </row>
    <row r="71">
      <c r="B71" s="10">
        <f>'By Round'!A111</f>
        <v/>
      </c>
      <c r="C71" s="10">
        <f>'By Round'!B117</f>
        <v/>
      </c>
      <c r="D71" s="10">
        <f>'By Round'!C117</f>
        <v/>
      </c>
      <c r="E71" s="10">
        <f>'By Round'!D117</f>
        <v/>
      </c>
      <c r="F71" s="10">
        <f>IF(ISBLANK('By Round'!F118),"",'By Round'!F118)</f>
        <v/>
      </c>
      <c r="G71">
        <f>IF(ISBLANK('By Round'!G118),"",'By Round'!G118)</f>
        <v/>
      </c>
      <c r="H71">
        <f>IF(ISBLANK('By Round'!H118),"",'By Round'!H118)</f>
        <v/>
      </c>
      <c r="I71">
        <f>IF(ISBLANK('By Round'!I118),"",'By Round'!I118)</f>
        <v/>
      </c>
      <c r="J71">
        <f>IF(ISBLANK('By Round'!J118),"",'By Round'!J118)</f>
        <v/>
      </c>
      <c r="K71">
        <f>IF(ISBLANK('By Round'!K118),"",'By Round'!K118)</f>
        <v/>
      </c>
      <c r="L71">
        <f>IF(ISBLANK('By Round'!L118),"",'By Round'!L118)</f>
        <v/>
      </c>
      <c r="M71" s="11">
        <f>AVERAGE(AE71:AI71)</f>
        <v/>
      </c>
      <c r="N71" s="12">
        <f>AVERAGE(AJ71:AN71)</f>
        <v/>
      </c>
      <c r="O71" s="13">
        <f>IF(COUNT(U71:Y71)&gt;0,Q71/COUNT(U71:Y71),0.5)</f>
        <v/>
      </c>
      <c r="P71" s="13">
        <f>IF(COUNT(Z71:AD71)&gt;0,R71/COUNT(Z71:AD71),0.5)</f>
        <v/>
      </c>
      <c r="Q71" s="5">
        <f>SUM(U71:Y71)</f>
        <v/>
      </c>
      <c r="R71" s="5">
        <f>SUM(Z71:AD71)</f>
        <v/>
      </c>
      <c r="S71" s="14">
        <f>IF(ISNUMBER(K71),K71,IF(ISNUMBER(L71),-L71,""))</f>
        <v/>
      </c>
      <c r="T71">
        <f>IF(ISNUMBER(L71),L71,IF(ISNUMBER(K71),-K71,""))</f>
        <v/>
      </c>
      <c r="U71" s="14">
        <f>IF(ISNUMBER(S71),IF(ISNUMBER(S69),IF(S71&gt;S69,1.0,IF(S71=S69,0.5,0.0)),""),"")</f>
        <v/>
      </c>
      <c r="V71">
        <f>IF(ISNUMBER(S71),IF(ISNUMBER(S70),IF(S71&gt;S70,1.0,IF(S71=S70,0.5,0.0)),""),"")</f>
        <v/>
      </c>
      <c r="W71">
        <f>IF(ISNUMBER(S71),IF(ISNUMBER(S72),IF(S71&gt;S72,1.0,IF(S71=S72,0.5,0.0)),""),"")</f>
        <v/>
      </c>
      <c r="X71">
        <f>IF(ISNUMBER(S71),IF(ISNUMBER(S73),IF(S71&gt;S73,1.0,IF(S71=S73,0.5,0.0)),""),"")</f>
        <v/>
      </c>
      <c r="Y71">
        <f>IF(ISNUMBER(S71),IF(ISNUMBER(S74),IF(S71&gt;S74,1.0,IF(S71=S74,0.5,0.0)),""),"")</f>
        <v/>
      </c>
      <c r="Z71">
        <f>IF(ISNUMBER(T71),IF(ISNUMBER(T69),IF(T71&gt;T69,1.0,IF(T71=T69,0.5,0.0)),""),"")</f>
        <v/>
      </c>
      <c r="AA71">
        <f>IF(ISNUMBER(T71),IF(ISNUMBER(T70),IF(T71&gt;T70,1.0,IF(T71=T70,0.5,0.0)),""),"")</f>
        <v/>
      </c>
      <c r="AB71">
        <f>IF(ISNUMBER(T71),IF(ISNUMBER(T72),IF(T71&gt;T72,1.0,IF(T71=T72,0.5,0.0)),""),"")</f>
        <v/>
      </c>
      <c r="AC71">
        <f>IF(ISNUMBER(T71),IF(ISNUMBER(T73),IF(T71&gt;T73,1.0,IF(T71=T73,0.5,0.0)),""),"")</f>
        <v/>
      </c>
      <c r="AD71">
        <f>IF(ISNUMBER(T71),IF(ISNUMBER(T74),IF(T71&gt;T74,1.0,IF(T71=T74,0.5,0.0)),""),"")</f>
        <v/>
      </c>
      <c r="AE71" s="14">
        <f>IF(AND(ISNUMBER(S71),ISNUMBER(S69)),VLOOKUP(ABS(S71-S69),'IMP Table'!$A$2:$C$26,3)*SIGN(S71-S69),0)</f>
        <v/>
      </c>
      <c r="AF71">
        <f>IF(AND(ISNUMBER(S71),ISNUMBER(S70)),VLOOKUP(ABS(S71-S70),'IMP Table'!$A$2:$C$26,3)*SIGN(S71-S70),0)</f>
        <v/>
      </c>
      <c r="AG71">
        <f>IF(AND(ISNUMBER(S71),ISNUMBER(S72)),VLOOKUP(ABS(S71-S72),'IMP Table'!$A$2:$C$26,3)*SIGN(S71-S72),0)</f>
        <v/>
      </c>
      <c r="AH71">
        <f>IF(AND(ISNUMBER(S71),ISNUMBER(S73)),VLOOKUP(ABS(S71-S73),'IMP Table'!$A$2:$C$26,3)*SIGN(S71-S73),0)</f>
        <v/>
      </c>
      <c r="AI71">
        <f>IF(AND(ISNUMBER(S71),ISNUMBER(S74)),VLOOKUP(ABS(S71-S74),'IMP Table'!$A$2:$C$26,3)*SIGN(S71-S74),0)</f>
        <v/>
      </c>
      <c r="AJ71">
        <f>IF(AND(ISNUMBER(T71),ISNUMBER(T69)),VLOOKUP(ABS(T71-T69),'IMP Table'!$A$2:$C$26,3)*SIGN(T71-T69),0)</f>
        <v/>
      </c>
      <c r="AK71">
        <f>IF(AND(ISNUMBER(T71),ISNUMBER(T70)),VLOOKUP(ABS(T71-T70),'IMP Table'!$A$2:$C$26,3)*SIGN(T71-T70),0)</f>
        <v/>
      </c>
      <c r="AL71">
        <f>IF(AND(ISNUMBER(T71),ISNUMBER(T72)),VLOOKUP(ABS(T71-T72),'IMP Table'!$A$2:$C$26,3)*SIGN(T71-T72),0)</f>
        <v/>
      </c>
      <c r="AM71">
        <f>IF(AND(ISNUMBER(T71),ISNUMBER(T73)),VLOOKUP(ABS(T71-T73),'IMP Table'!$A$2:$C$26,3)*SIGN(T71-T73),0)</f>
        <v/>
      </c>
      <c r="AN71">
        <f>IF(AND(ISNUMBER(T71),ISNUMBER(T74)),VLOOKUP(ABS(T71-T74),'IMP Table'!$A$2:$C$26,3)*SIGN(T71-T74),0)</f>
        <v/>
      </c>
    </row>
    <row r="72">
      <c r="B72" s="10">
        <f>'By Round'!A15</f>
        <v/>
      </c>
      <c r="C72" s="10">
        <f>'By Round'!B17</f>
        <v/>
      </c>
      <c r="D72" s="10">
        <f>'By Round'!C17</f>
        <v/>
      </c>
      <c r="E72" s="10">
        <f>'By Round'!D17</f>
        <v/>
      </c>
      <c r="F72" s="10">
        <f>IF(ISBLANK('By Round'!F18),"",'By Round'!F18)</f>
        <v/>
      </c>
      <c r="G72">
        <f>IF(ISBLANK('By Round'!G18),"",'By Round'!G18)</f>
        <v/>
      </c>
      <c r="H72">
        <f>IF(ISBLANK('By Round'!H18),"",'By Round'!H18)</f>
        <v/>
      </c>
      <c r="I72">
        <f>IF(ISBLANK('By Round'!I18),"",'By Round'!I18)</f>
        <v/>
      </c>
      <c r="J72">
        <f>IF(ISBLANK('By Round'!J18),"",'By Round'!J18)</f>
        <v/>
      </c>
      <c r="K72">
        <f>IF(ISBLANK('By Round'!K18),"",'By Round'!K18)</f>
        <v/>
      </c>
      <c r="L72">
        <f>IF(ISBLANK('By Round'!L18),"",'By Round'!L18)</f>
        <v/>
      </c>
      <c r="M72" s="11">
        <f>AVERAGE(AE72:AI72)</f>
        <v/>
      </c>
      <c r="N72" s="12">
        <f>AVERAGE(AJ72:AN72)</f>
        <v/>
      </c>
      <c r="O72" s="13">
        <f>IF(COUNT(U72:Y72)&gt;0,Q72/COUNT(U72:Y72),0.5)</f>
        <v/>
      </c>
      <c r="P72" s="13">
        <f>IF(COUNT(Z72:AD72)&gt;0,R72/COUNT(Z72:AD72),0.5)</f>
        <v/>
      </c>
      <c r="Q72" s="5">
        <f>SUM(U72:Y72)</f>
        <v/>
      </c>
      <c r="R72" s="5">
        <f>SUM(Z72:AD72)</f>
        <v/>
      </c>
      <c r="S72" s="14">
        <f>IF(ISNUMBER(K72),K72,IF(ISNUMBER(L72),-L72,""))</f>
        <v/>
      </c>
      <c r="T72">
        <f>IF(ISNUMBER(L72),L72,IF(ISNUMBER(K72),-K72,""))</f>
        <v/>
      </c>
      <c r="U72" s="14">
        <f>IF(ISNUMBER(S72),IF(ISNUMBER(S69),IF(S72&gt;S69,1.0,IF(S72=S69,0.5,0.0)),""),"")</f>
        <v/>
      </c>
      <c r="V72">
        <f>IF(ISNUMBER(S72),IF(ISNUMBER(S70),IF(S72&gt;S70,1.0,IF(S72=S70,0.5,0.0)),""),"")</f>
        <v/>
      </c>
      <c r="W72">
        <f>IF(ISNUMBER(S72),IF(ISNUMBER(S71),IF(S72&gt;S71,1.0,IF(S72=S71,0.5,0.0)),""),"")</f>
        <v/>
      </c>
      <c r="X72">
        <f>IF(ISNUMBER(S72),IF(ISNUMBER(S73),IF(S72&gt;S73,1.0,IF(S72=S73,0.5,0.0)),""),"")</f>
        <v/>
      </c>
      <c r="Y72">
        <f>IF(ISNUMBER(S72),IF(ISNUMBER(S74),IF(S72&gt;S74,1.0,IF(S72=S74,0.5,0.0)),""),"")</f>
        <v/>
      </c>
      <c r="Z72">
        <f>IF(ISNUMBER(T72),IF(ISNUMBER(T69),IF(T72&gt;T69,1.0,IF(T72=T69,0.5,0.0)),""),"")</f>
        <v/>
      </c>
      <c r="AA72">
        <f>IF(ISNUMBER(T72),IF(ISNUMBER(T70),IF(T72&gt;T70,1.0,IF(T72=T70,0.5,0.0)),""),"")</f>
        <v/>
      </c>
      <c r="AB72">
        <f>IF(ISNUMBER(T72),IF(ISNUMBER(T71),IF(T72&gt;T71,1.0,IF(T72=T71,0.5,0.0)),""),"")</f>
        <v/>
      </c>
      <c r="AC72">
        <f>IF(ISNUMBER(T72),IF(ISNUMBER(T73),IF(T72&gt;T73,1.0,IF(T72=T73,0.5,0.0)),""),"")</f>
        <v/>
      </c>
      <c r="AD72">
        <f>IF(ISNUMBER(T72),IF(ISNUMBER(T74),IF(T72&gt;T74,1.0,IF(T72=T74,0.5,0.0)),""),"")</f>
        <v/>
      </c>
      <c r="AE72" s="14">
        <f>IF(AND(ISNUMBER(S72),ISNUMBER(S69)),VLOOKUP(ABS(S72-S69),'IMP Table'!$A$2:$C$26,3)*SIGN(S72-S69),0)</f>
        <v/>
      </c>
      <c r="AF72">
        <f>IF(AND(ISNUMBER(S72),ISNUMBER(S70)),VLOOKUP(ABS(S72-S70),'IMP Table'!$A$2:$C$26,3)*SIGN(S72-S70),0)</f>
        <v/>
      </c>
      <c r="AG72">
        <f>IF(AND(ISNUMBER(S72),ISNUMBER(S71)),VLOOKUP(ABS(S72-S71),'IMP Table'!$A$2:$C$26,3)*SIGN(S72-S71),0)</f>
        <v/>
      </c>
      <c r="AH72">
        <f>IF(AND(ISNUMBER(S72),ISNUMBER(S73)),VLOOKUP(ABS(S72-S73),'IMP Table'!$A$2:$C$26,3)*SIGN(S72-S73),0)</f>
        <v/>
      </c>
      <c r="AI72">
        <f>IF(AND(ISNUMBER(S72),ISNUMBER(S74)),VLOOKUP(ABS(S72-S74),'IMP Table'!$A$2:$C$26,3)*SIGN(S72-S74),0)</f>
        <v/>
      </c>
      <c r="AJ72">
        <f>IF(AND(ISNUMBER(T72),ISNUMBER(T69)),VLOOKUP(ABS(T72-T69),'IMP Table'!$A$2:$C$26,3)*SIGN(T72-T69),0)</f>
        <v/>
      </c>
      <c r="AK72">
        <f>IF(AND(ISNUMBER(T72),ISNUMBER(T70)),VLOOKUP(ABS(T72-T70),'IMP Table'!$A$2:$C$26,3)*SIGN(T72-T70),0)</f>
        <v/>
      </c>
      <c r="AL72">
        <f>IF(AND(ISNUMBER(T72),ISNUMBER(T71)),VLOOKUP(ABS(T72-T71),'IMP Table'!$A$2:$C$26,3)*SIGN(T72-T71),0)</f>
        <v/>
      </c>
      <c r="AM72">
        <f>IF(AND(ISNUMBER(T72),ISNUMBER(T73)),VLOOKUP(ABS(T72-T73),'IMP Table'!$A$2:$C$26,3)*SIGN(T72-T73),0)</f>
        <v/>
      </c>
      <c r="AN72">
        <f>IF(AND(ISNUMBER(T72),ISNUMBER(T74)),VLOOKUP(ABS(T72-T74),'IMP Table'!$A$2:$C$26,3)*SIGN(T72-T74),0)</f>
        <v/>
      </c>
    </row>
    <row r="73">
      <c r="B73" s="10">
        <f>'By Round'!A87</f>
        <v/>
      </c>
      <c r="C73" s="10">
        <f>'By Round'!B97</f>
        <v/>
      </c>
      <c r="D73" s="10">
        <f>'By Round'!C97</f>
        <v/>
      </c>
      <c r="E73" s="10">
        <f>'By Round'!D97</f>
        <v/>
      </c>
      <c r="F73" s="10">
        <f>IF(ISBLANK('By Round'!F98),"",'By Round'!F98)</f>
        <v/>
      </c>
      <c r="G73">
        <f>IF(ISBLANK('By Round'!G98),"",'By Round'!G98)</f>
        <v/>
      </c>
      <c r="H73">
        <f>IF(ISBLANK('By Round'!H98),"",'By Round'!H98)</f>
        <v/>
      </c>
      <c r="I73">
        <f>IF(ISBLANK('By Round'!I98),"",'By Round'!I98)</f>
        <v/>
      </c>
      <c r="J73">
        <f>IF(ISBLANK('By Round'!J98),"",'By Round'!J98)</f>
        <v/>
      </c>
      <c r="K73">
        <f>IF(ISBLANK('By Round'!K98),"",'By Round'!K98)</f>
        <v/>
      </c>
      <c r="L73">
        <f>IF(ISBLANK('By Round'!L98),"",'By Round'!L98)</f>
        <v/>
      </c>
      <c r="M73" s="11">
        <f>AVERAGE(AE73:AI73)</f>
        <v/>
      </c>
      <c r="N73" s="12">
        <f>AVERAGE(AJ73:AN73)</f>
        <v/>
      </c>
      <c r="O73" s="13">
        <f>IF(COUNT(U73:Y73)&gt;0,Q73/COUNT(U73:Y73),0.5)</f>
        <v/>
      </c>
      <c r="P73" s="13">
        <f>IF(COUNT(Z73:AD73)&gt;0,R73/COUNT(Z73:AD73),0.5)</f>
        <v/>
      </c>
      <c r="Q73" s="5">
        <f>SUM(U73:Y73)</f>
        <v/>
      </c>
      <c r="R73" s="5">
        <f>SUM(Z73:AD73)</f>
        <v/>
      </c>
      <c r="S73" s="14">
        <f>IF(ISNUMBER(K73),K73,IF(ISNUMBER(L73),-L73,""))</f>
        <v/>
      </c>
      <c r="T73">
        <f>IF(ISNUMBER(L73),L73,IF(ISNUMBER(K73),-K73,""))</f>
        <v/>
      </c>
      <c r="U73" s="14">
        <f>IF(ISNUMBER(S73),IF(ISNUMBER(S69),IF(S73&gt;S69,1.0,IF(S73=S69,0.5,0.0)),""),"")</f>
        <v/>
      </c>
      <c r="V73">
        <f>IF(ISNUMBER(S73),IF(ISNUMBER(S70),IF(S73&gt;S70,1.0,IF(S73=S70,0.5,0.0)),""),"")</f>
        <v/>
      </c>
      <c r="W73">
        <f>IF(ISNUMBER(S73),IF(ISNUMBER(S71),IF(S73&gt;S71,1.0,IF(S73=S71,0.5,0.0)),""),"")</f>
        <v/>
      </c>
      <c r="X73">
        <f>IF(ISNUMBER(S73),IF(ISNUMBER(S72),IF(S73&gt;S72,1.0,IF(S73=S72,0.5,0.0)),""),"")</f>
        <v/>
      </c>
      <c r="Y73">
        <f>IF(ISNUMBER(S73),IF(ISNUMBER(S74),IF(S73&gt;S74,1.0,IF(S73=S74,0.5,0.0)),""),"")</f>
        <v/>
      </c>
      <c r="Z73">
        <f>IF(ISNUMBER(T73),IF(ISNUMBER(T69),IF(T73&gt;T69,1.0,IF(T73=T69,0.5,0.0)),""),"")</f>
        <v/>
      </c>
      <c r="AA73">
        <f>IF(ISNUMBER(T73),IF(ISNUMBER(T70),IF(T73&gt;T70,1.0,IF(T73=T70,0.5,0.0)),""),"")</f>
        <v/>
      </c>
      <c r="AB73">
        <f>IF(ISNUMBER(T73),IF(ISNUMBER(T71),IF(T73&gt;T71,1.0,IF(T73=T71,0.5,0.0)),""),"")</f>
        <v/>
      </c>
      <c r="AC73">
        <f>IF(ISNUMBER(T73),IF(ISNUMBER(T72),IF(T73&gt;T72,1.0,IF(T73=T72,0.5,0.0)),""),"")</f>
        <v/>
      </c>
      <c r="AD73">
        <f>IF(ISNUMBER(T73),IF(ISNUMBER(T74),IF(T73&gt;T74,1.0,IF(T73=T74,0.5,0.0)),""),"")</f>
        <v/>
      </c>
      <c r="AE73" s="14">
        <f>IF(AND(ISNUMBER(S73),ISNUMBER(S69)),VLOOKUP(ABS(S73-S69),'IMP Table'!$A$2:$C$26,3)*SIGN(S73-S69),0)</f>
        <v/>
      </c>
      <c r="AF73">
        <f>IF(AND(ISNUMBER(S73),ISNUMBER(S70)),VLOOKUP(ABS(S73-S70),'IMP Table'!$A$2:$C$26,3)*SIGN(S73-S70),0)</f>
        <v/>
      </c>
      <c r="AG73">
        <f>IF(AND(ISNUMBER(S73),ISNUMBER(S71)),VLOOKUP(ABS(S73-S71),'IMP Table'!$A$2:$C$26,3)*SIGN(S73-S71),0)</f>
        <v/>
      </c>
      <c r="AH73">
        <f>IF(AND(ISNUMBER(S73),ISNUMBER(S72)),VLOOKUP(ABS(S73-S72),'IMP Table'!$A$2:$C$26,3)*SIGN(S73-S72),0)</f>
        <v/>
      </c>
      <c r="AI73">
        <f>IF(AND(ISNUMBER(S73),ISNUMBER(S74)),VLOOKUP(ABS(S73-S74),'IMP Table'!$A$2:$C$26,3)*SIGN(S73-S74),0)</f>
        <v/>
      </c>
      <c r="AJ73">
        <f>IF(AND(ISNUMBER(T73),ISNUMBER(T69)),VLOOKUP(ABS(T73-T69),'IMP Table'!$A$2:$C$26,3)*SIGN(T73-T69),0)</f>
        <v/>
      </c>
      <c r="AK73">
        <f>IF(AND(ISNUMBER(T73),ISNUMBER(T70)),VLOOKUP(ABS(T73-T70),'IMP Table'!$A$2:$C$26,3)*SIGN(T73-T70),0)</f>
        <v/>
      </c>
      <c r="AL73">
        <f>IF(AND(ISNUMBER(T73),ISNUMBER(T71)),VLOOKUP(ABS(T73-T71),'IMP Table'!$A$2:$C$26,3)*SIGN(T73-T71),0)</f>
        <v/>
      </c>
      <c r="AM73">
        <f>IF(AND(ISNUMBER(T73),ISNUMBER(T72)),VLOOKUP(ABS(T73-T72),'IMP Table'!$A$2:$C$26,3)*SIGN(T73-T72),0)</f>
        <v/>
      </c>
      <c r="AN73">
        <f>IF(AND(ISNUMBER(T73),ISNUMBER(T74)),VLOOKUP(ABS(T73-T74),'IMP Table'!$A$2:$C$26,3)*SIGN(T73-T74),0)</f>
        <v/>
      </c>
    </row>
    <row r="74">
      <c r="A74" s="15" t="n"/>
      <c r="B74" s="16">
        <f>'By Round'!A3</f>
        <v/>
      </c>
      <c r="C74" s="16">
        <f>'By Round'!B7</f>
        <v/>
      </c>
      <c r="D74" s="16">
        <f>'By Round'!C7</f>
        <v/>
      </c>
      <c r="E74" s="16">
        <f>'By Round'!D7</f>
        <v/>
      </c>
      <c r="F74" s="16">
        <f>IF(ISBLANK('By Round'!F8),"",'By Round'!F8)</f>
        <v/>
      </c>
      <c r="G74" s="15">
        <f>IF(ISBLANK('By Round'!G8),"",'By Round'!G8)</f>
        <v/>
      </c>
      <c r="H74" s="15">
        <f>IF(ISBLANK('By Round'!H8),"",'By Round'!H8)</f>
        <v/>
      </c>
      <c r="I74" s="15">
        <f>IF(ISBLANK('By Round'!I8),"",'By Round'!I8)</f>
        <v/>
      </c>
      <c r="J74" s="15">
        <f>IF(ISBLANK('By Round'!J8),"",'By Round'!J8)</f>
        <v/>
      </c>
      <c r="K74" s="15">
        <f>IF(ISBLANK('By Round'!K8),"",'By Round'!K8)</f>
        <v/>
      </c>
      <c r="L74" s="15">
        <f>IF(ISBLANK('By Round'!L8),"",'By Round'!L8)</f>
        <v/>
      </c>
      <c r="M74" s="17">
        <f>AVERAGE(AE74:AI74)</f>
        <v/>
      </c>
      <c r="N74" s="18">
        <f>AVERAGE(AJ74:AN74)</f>
        <v/>
      </c>
      <c r="O74" s="19">
        <f>IF(COUNT(U74:Y74)&gt;0,Q74/COUNT(U74:Y74),0.5)</f>
        <v/>
      </c>
      <c r="P74" s="19">
        <f>IF(COUNT(Z74:AD74)&gt;0,R74/COUNT(Z74:AD74),0.5)</f>
        <v/>
      </c>
      <c r="Q74" s="20">
        <f>SUM(U74:Y74)</f>
        <v/>
      </c>
      <c r="R74" s="20">
        <f>SUM(Z74:AD74)</f>
        <v/>
      </c>
      <c r="S74" s="21">
        <f>IF(ISNUMBER(K74),K74,IF(ISNUMBER(L74),-L74,""))</f>
        <v/>
      </c>
      <c r="T74" s="15">
        <f>IF(ISNUMBER(L74),L74,IF(ISNUMBER(K74),-K74,""))</f>
        <v/>
      </c>
      <c r="U74" s="21">
        <f>IF(ISNUMBER(S74),IF(ISNUMBER(S69),IF(S74&gt;S69,1.0,IF(S74=S69,0.5,0.0)),""),"")</f>
        <v/>
      </c>
      <c r="V74" s="15">
        <f>IF(ISNUMBER(S74),IF(ISNUMBER(S70),IF(S74&gt;S70,1.0,IF(S74=S70,0.5,0.0)),""),"")</f>
        <v/>
      </c>
      <c r="W74" s="15">
        <f>IF(ISNUMBER(S74),IF(ISNUMBER(S71),IF(S74&gt;S71,1.0,IF(S74=S71,0.5,0.0)),""),"")</f>
        <v/>
      </c>
      <c r="X74" s="15">
        <f>IF(ISNUMBER(S74),IF(ISNUMBER(S72),IF(S74&gt;S72,1.0,IF(S74=S72,0.5,0.0)),""),"")</f>
        <v/>
      </c>
      <c r="Y74" s="15">
        <f>IF(ISNUMBER(S74),IF(ISNUMBER(S73),IF(S74&gt;S73,1.0,IF(S74=S73,0.5,0.0)),""),"")</f>
        <v/>
      </c>
      <c r="Z74" s="15">
        <f>IF(ISNUMBER(T74),IF(ISNUMBER(T69),IF(T74&gt;T69,1.0,IF(T74=T69,0.5,0.0)),""),"")</f>
        <v/>
      </c>
      <c r="AA74" s="15">
        <f>IF(ISNUMBER(T74),IF(ISNUMBER(T70),IF(T74&gt;T70,1.0,IF(T74=T70,0.5,0.0)),""),"")</f>
        <v/>
      </c>
      <c r="AB74" s="15">
        <f>IF(ISNUMBER(T74),IF(ISNUMBER(T71),IF(T74&gt;T71,1.0,IF(T74=T71,0.5,0.0)),""),"")</f>
        <v/>
      </c>
      <c r="AC74" s="15">
        <f>IF(ISNUMBER(T74),IF(ISNUMBER(T72),IF(T74&gt;T72,1.0,IF(T74=T72,0.5,0.0)),""),"")</f>
        <v/>
      </c>
      <c r="AD74" s="15">
        <f>IF(ISNUMBER(T74),IF(ISNUMBER(T73),IF(T74&gt;T73,1.0,IF(T74=T73,0.5,0.0)),""),"")</f>
        <v/>
      </c>
      <c r="AE74" s="21">
        <f>IF(AND(ISNUMBER(S74),ISNUMBER(S69)),VLOOKUP(ABS(S74-S69),'IMP Table'!$A$2:$C$26,3)*SIGN(S74-S69),0)</f>
        <v/>
      </c>
      <c r="AF74" s="15">
        <f>IF(AND(ISNUMBER(S74),ISNUMBER(S70)),VLOOKUP(ABS(S74-S70),'IMP Table'!$A$2:$C$26,3)*SIGN(S74-S70),0)</f>
        <v/>
      </c>
      <c r="AG74" s="15">
        <f>IF(AND(ISNUMBER(S74),ISNUMBER(S71)),VLOOKUP(ABS(S74-S71),'IMP Table'!$A$2:$C$26,3)*SIGN(S74-S71),0)</f>
        <v/>
      </c>
      <c r="AH74" s="15">
        <f>IF(AND(ISNUMBER(S74),ISNUMBER(S72)),VLOOKUP(ABS(S74-S72),'IMP Table'!$A$2:$C$26,3)*SIGN(S74-S72),0)</f>
        <v/>
      </c>
      <c r="AI74" s="15">
        <f>IF(AND(ISNUMBER(S74),ISNUMBER(S73)),VLOOKUP(ABS(S74-S73),'IMP Table'!$A$2:$C$26,3)*SIGN(S74-S73),0)</f>
        <v/>
      </c>
      <c r="AJ74" s="15">
        <f>IF(AND(ISNUMBER(T74),ISNUMBER(T69)),VLOOKUP(ABS(T74-T69),'IMP Table'!$A$2:$C$26,3)*SIGN(T74-T69),0)</f>
        <v/>
      </c>
      <c r="AK74" s="15">
        <f>IF(AND(ISNUMBER(T74),ISNUMBER(T70)),VLOOKUP(ABS(T74-T70),'IMP Table'!$A$2:$C$26,3)*SIGN(T74-T70),0)</f>
        <v/>
      </c>
      <c r="AL74" s="15">
        <f>IF(AND(ISNUMBER(T74),ISNUMBER(T71)),VLOOKUP(ABS(T74-T71),'IMP Table'!$A$2:$C$26,3)*SIGN(T74-T71),0)</f>
        <v/>
      </c>
      <c r="AM74" s="15">
        <f>IF(AND(ISNUMBER(T74),ISNUMBER(T72)),VLOOKUP(ABS(T74-T72),'IMP Table'!$A$2:$C$26,3)*SIGN(T74-T72),0)</f>
        <v/>
      </c>
      <c r="AN74" s="15">
        <f>IF(AND(ISNUMBER(T74),ISNUMBER(T73)),VLOOKUP(ABS(T74-T73),'IMP Table'!$A$2:$C$26,3)*SIGN(T74-T73),0)</f>
        <v/>
      </c>
    </row>
    <row r="75">
      <c r="A75" s="10" t="n">
        <v>13</v>
      </c>
      <c r="B75" s="10">
        <f>'By Round'!A75</f>
        <v/>
      </c>
      <c r="C75" s="10">
        <f>'By Round'!B75</f>
        <v/>
      </c>
      <c r="D75" s="10">
        <f>'By Round'!C75</f>
        <v/>
      </c>
      <c r="E75" s="10">
        <f>'By Round'!D75</f>
        <v/>
      </c>
      <c r="F75" s="10">
        <f>IF(ISBLANK('By Round'!F75),"",'By Round'!F75)</f>
        <v/>
      </c>
      <c r="G75">
        <f>IF(ISBLANK('By Round'!G75),"",'By Round'!G75)</f>
        <v/>
      </c>
      <c r="H75">
        <f>IF(ISBLANK('By Round'!H75),"",'By Round'!H75)</f>
        <v/>
      </c>
      <c r="I75">
        <f>IF(ISBLANK('By Round'!I75),"",'By Round'!I75)</f>
        <v/>
      </c>
      <c r="J75">
        <f>IF(ISBLANK('By Round'!J75),"",'By Round'!J75)</f>
        <v/>
      </c>
      <c r="K75">
        <f>IF(ISBLANK('By Round'!K75),"",'By Round'!K75)</f>
        <v/>
      </c>
      <c r="L75">
        <f>IF(ISBLANK('By Round'!L75),"",'By Round'!L75)</f>
        <v/>
      </c>
      <c r="M75" s="11">
        <f>AVERAGE(AE75:AI75)</f>
        <v/>
      </c>
      <c r="N75" s="12">
        <f>AVERAGE(AJ75:AN75)</f>
        <v/>
      </c>
      <c r="O75" s="13">
        <f>IF(COUNT(U75:Y75)&gt;0,Q75/COUNT(U75:Y75),0.5)</f>
        <v/>
      </c>
      <c r="P75" s="13">
        <f>IF(COUNT(Z75:AD75)&gt;0,R75/COUNT(Z75:AD75),0.5)</f>
        <v/>
      </c>
      <c r="Q75" s="5">
        <f>SUM(U75:Y75)</f>
        <v/>
      </c>
      <c r="R75" s="5">
        <f>SUM(Z75:AD75)</f>
        <v/>
      </c>
      <c r="S75" s="14">
        <f>IF(ISNUMBER(K75),K75,IF(ISNUMBER(L75),-L75,""))</f>
        <v/>
      </c>
      <c r="T75">
        <f>IF(ISNUMBER(L75),L75,IF(ISNUMBER(K75),-K75,""))</f>
        <v/>
      </c>
      <c r="U75" s="14">
        <f>IF(ISNUMBER(S75),IF(ISNUMBER(S76),IF(S75&gt;S76,1.0,IF(S75=S76,0.5,0.0)),""),"")</f>
        <v/>
      </c>
      <c r="V75">
        <f>IF(ISNUMBER(S75),IF(ISNUMBER(S77),IF(S75&gt;S77,1.0,IF(S75=S77,0.5,0.0)),""),"")</f>
        <v/>
      </c>
      <c r="W75">
        <f>IF(ISNUMBER(S75),IF(ISNUMBER(S78),IF(S75&gt;S78,1.0,IF(S75=S78,0.5,0.0)),""),"")</f>
        <v/>
      </c>
      <c r="X75">
        <f>IF(ISNUMBER(S75),IF(ISNUMBER(S79),IF(S75&gt;S79,1.0,IF(S75=S79,0.5,0.0)),""),"")</f>
        <v/>
      </c>
      <c r="Y75">
        <f>IF(ISNUMBER(S75),IF(ISNUMBER(S80),IF(S75&gt;S80,1.0,IF(S75=S80,0.5,0.0)),""),"")</f>
        <v/>
      </c>
      <c r="Z75">
        <f>IF(ISNUMBER(T75),IF(ISNUMBER(T76),IF(T75&gt;T76,1.0,IF(T75=T76,0.5,0.0)),""),"")</f>
        <v/>
      </c>
      <c r="AA75">
        <f>IF(ISNUMBER(T75),IF(ISNUMBER(T77),IF(T75&gt;T77,1.0,IF(T75=T77,0.5,0.0)),""),"")</f>
        <v/>
      </c>
      <c r="AB75">
        <f>IF(ISNUMBER(T75),IF(ISNUMBER(T78),IF(T75&gt;T78,1.0,IF(T75=T78,0.5,0.0)),""),"")</f>
        <v/>
      </c>
      <c r="AC75">
        <f>IF(ISNUMBER(T75),IF(ISNUMBER(T79),IF(T75&gt;T79,1.0,IF(T75=T79,0.5,0.0)),""),"")</f>
        <v/>
      </c>
      <c r="AD75">
        <f>IF(ISNUMBER(T75),IF(ISNUMBER(T80),IF(T75&gt;T80,1.0,IF(T75=T80,0.5,0.0)),""),"")</f>
        <v/>
      </c>
      <c r="AE75" s="14">
        <f>IF(AND(ISNUMBER(S75),ISNUMBER(S76)),VLOOKUP(ABS(S75-S76),'IMP Table'!$A$2:$C$26,3)*SIGN(S75-S76),0)</f>
        <v/>
      </c>
      <c r="AF75">
        <f>IF(AND(ISNUMBER(S75),ISNUMBER(S77)),VLOOKUP(ABS(S75-S77),'IMP Table'!$A$2:$C$26,3)*SIGN(S75-S77),0)</f>
        <v/>
      </c>
      <c r="AG75">
        <f>IF(AND(ISNUMBER(S75),ISNUMBER(S78)),VLOOKUP(ABS(S75-S78),'IMP Table'!$A$2:$C$26,3)*SIGN(S75-S78),0)</f>
        <v/>
      </c>
      <c r="AH75">
        <f>IF(AND(ISNUMBER(S75),ISNUMBER(S79)),VLOOKUP(ABS(S75-S79),'IMP Table'!$A$2:$C$26,3)*SIGN(S75-S79),0)</f>
        <v/>
      </c>
      <c r="AI75">
        <f>IF(AND(ISNUMBER(S75),ISNUMBER(S80)),VLOOKUP(ABS(S75-S80),'IMP Table'!$A$2:$C$26,3)*SIGN(S75-S80),0)</f>
        <v/>
      </c>
      <c r="AJ75">
        <f>IF(AND(ISNUMBER(T75),ISNUMBER(T76)),VLOOKUP(ABS(T75-T76),'IMP Table'!$A$2:$C$26,3)*SIGN(T75-T76),0)</f>
        <v/>
      </c>
      <c r="AK75">
        <f>IF(AND(ISNUMBER(T75),ISNUMBER(T77)),VLOOKUP(ABS(T75-T77),'IMP Table'!$A$2:$C$26,3)*SIGN(T75-T77),0)</f>
        <v/>
      </c>
      <c r="AL75">
        <f>IF(AND(ISNUMBER(T75),ISNUMBER(T78)),VLOOKUP(ABS(T75-T78),'IMP Table'!$A$2:$C$26,3)*SIGN(T75-T78),0)</f>
        <v/>
      </c>
      <c r="AM75">
        <f>IF(AND(ISNUMBER(T75),ISNUMBER(T79)),VLOOKUP(ABS(T75-T79),'IMP Table'!$A$2:$C$26,3)*SIGN(T75-T79),0)</f>
        <v/>
      </c>
      <c r="AN75">
        <f>IF(AND(ISNUMBER(T75),ISNUMBER(T80)),VLOOKUP(ABS(T75-T80),'IMP Table'!$A$2:$C$26,3)*SIGN(T75-T80),0)</f>
        <v/>
      </c>
    </row>
    <row r="76">
      <c r="B76" s="10">
        <f>'By Round'!A111</f>
        <v/>
      </c>
      <c r="C76" s="10">
        <f>'By Round'!B119</f>
        <v/>
      </c>
      <c r="D76" s="10">
        <f>'By Round'!C119</f>
        <v/>
      </c>
      <c r="E76" s="10">
        <f>'By Round'!D119</f>
        <v/>
      </c>
      <c r="F76" s="10">
        <f>IF(ISBLANK('By Round'!F119),"",'By Round'!F119)</f>
        <v/>
      </c>
      <c r="G76">
        <f>IF(ISBLANK('By Round'!G119),"",'By Round'!G119)</f>
        <v/>
      </c>
      <c r="H76">
        <f>IF(ISBLANK('By Round'!H119),"",'By Round'!H119)</f>
        <v/>
      </c>
      <c r="I76">
        <f>IF(ISBLANK('By Round'!I119),"",'By Round'!I119)</f>
        <v/>
      </c>
      <c r="J76">
        <f>IF(ISBLANK('By Round'!J119),"",'By Round'!J119)</f>
        <v/>
      </c>
      <c r="K76">
        <f>IF(ISBLANK('By Round'!K119),"",'By Round'!K119)</f>
        <v/>
      </c>
      <c r="L76">
        <f>IF(ISBLANK('By Round'!L119),"",'By Round'!L119)</f>
        <v/>
      </c>
      <c r="M76" s="11">
        <f>AVERAGE(AE76:AI76)</f>
        <v/>
      </c>
      <c r="N76" s="12">
        <f>AVERAGE(AJ76:AN76)</f>
        <v/>
      </c>
      <c r="O76" s="13">
        <f>IF(COUNT(U76:Y76)&gt;0,Q76/COUNT(U76:Y76),0.5)</f>
        <v/>
      </c>
      <c r="P76" s="13">
        <f>IF(COUNT(Z76:AD76)&gt;0,R76/COUNT(Z76:AD76),0.5)</f>
        <v/>
      </c>
      <c r="Q76" s="5">
        <f>SUM(U76:Y76)</f>
        <v/>
      </c>
      <c r="R76" s="5">
        <f>SUM(Z76:AD76)</f>
        <v/>
      </c>
      <c r="S76" s="14">
        <f>IF(ISNUMBER(K76),K76,IF(ISNUMBER(L76),-L76,""))</f>
        <v/>
      </c>
      <c r="T76">
        <f>IF(ISNUMBER(L76),L76,IF(ISNUMBER(K76),-K76,""))</f>
        <v/>
      </c>
      <c r="U76" s="14">
        <f>IF(ISNUMBER(S76),IF(ISNUMBER(S75),IF(S76&gt;S75,1.0,IF(S76=S75,0.5,0.0)),""),"")</f>
        <v/>
      </c>
      <c r="V76">
        <f>IF(ISNUMBER(S76),IF(ISNUMBER(S77),IF(S76&gt;S77,1.0,IF(S76=S77,0.5,0.0)),""),"")</f>
        <v/>
      </c>
      <c r="W76">
        <f>IF(ISNUMBER(S76),IF(ISNUMBER(S78),IF(S76&gt;S78,1.0,IF(S76=S78,0.5,0.0)),""),"")</f>
        <v/>
      </c>
      <c r="X76">
        <f>IF(ISNUMBER(S76),IF(ISNUMBER(S79),IF(S76&gt;S79,1.0,IF(S76=S79,0.5,0.0)),""),"")</f>
        <v/>
      </c>
      <c r="Y76">
        <f>IF(ISNUMBER(S76),IF(ISNUMBER(S80),IF(S76&gt;S80,1.0,IF(S76=S80,0.5,0.0)),""),"")</f>
        <v/>
      </c>
      <c r="Z76">
        <f>IF(ISNUMBER(T76),IF(ISNUMBER(T75),IF(T76&gt;T75,1.0,IF(T76=T75,0.5,0.0)),""),"")</f>
        <v/>
      </c>
      <c r="AA76">
        <f>IF(ISNUMBER(T76),IF(ISNUMBER(T77),IF(T76&gt;T77,1.0,IF(T76=T77,0.5,0.0)),""),"")</f>
        <v/>
      </c>
      <c r="AB76">
        <f>IF(ISNUMBER(T76),IF(ISNUMBER(T78),IF(T76&gt;T78,1.0,IF(T76=T78,0.5,0.0)),""),"")</f>
        <v/>
      </c>
      <c r="AC76">
        <f>IF(ISNUMBER(T76),IF(ISNUMBER(T79),IF(T76&gt;T79,1.0,IF(T76=T79,0.5,0.0)),""),"")</f>
        <v/>
      </c>
      <c r="AD76">
        <f>IF(ISNUMBER(T76),IF(ISNUMBER(T80),IF(T76&gt;T80,1.0,IF(T76=T80,0.5,0.0)),""),"")</f>
        <v/>
      </c>
      <c r="AE76" s="14">
        <f>IF(AND(ISNUMBER(S76),ISNUMBER(S75)),VLOOKUP(ABS(S76-S75),'IMP Table'!$A$2:$C$26,3)*SIGN(S76-S75),0)</f>
        <v/>
      </c>
      <c r="AF76">
        <f>IF(AND(ISNUMBER(S76),ISNUMBER(S77)),VLOOKUP(ABS(S76-S77),'IMP Table'!$A$2:$C$26,3)*SIGN(S76-S77),0)</f>
        <v/>
      </c>
      <c r="AG76">
        <f>IF(AND(ISNUMBER(S76),ISNUMBER(S78)),VLOOKUP(ABS(S76-S78),'IMP Table'!$A$2:$C$26,3)*SIGN(S76-S78),0)</f>
        <v/>
      </c>
      <c r="AH76">
        <f>IF(AND(ISNUMBER(S76),ISNUMBER(S79)),VLOOKUP(ABS(S76-S79),'IMP Table'!$A$2:$C$26,3)*SIGN(S76-S79),0)</f>
        <v/>
      </c>
      <c r="AI76">
        <f>IF(AND(ISNUMBER(S76),ISNUMBER(S80)),VLOOKUP(ABS(S76-S80),'IMP Table'!$A$2:$C$26,3)*SIGN(S76-S80),0)</f>
        <v/>
      </c>
      <c r="AJ76">
        <f>IF(AND(ISNUMBER(T76),ISNUMBER(T75)),VLOOKUP(ABS(T76-T75),'IMP Table'!$A$2:$C$26,3)*SIGN(T76-T75),0)</f>
        <v/>
      </c>
      <c r="AK76">
        <f>IF(AND(ISNUMBER(T76),ISNUMBER(T77)),VLOOKUP(ABS(T76-T77),'IMP Table'!$A$2:$C$26,3)*SIGN(T76-T77),0)</f>
        <v/>
      </c>
      <c r="AL76">
        <f>IF(AND(ISNUMBER(T76),ISNUMBER(T78)),VLOOKUP(ABS(T76-T78),'IMP Table'!$A$2:$C$26,3)*SIGN(T76-T78),0)</f>
        <v/>
      </c>
      <c r="AM76">
        <f>IF(AND(ISNUMBER(T76),ISNUMBER(T79)),VLOOKUP(ABS(T76-T79),'IMP Table'!$A$2:$C$26,3)*SIGN(T76-T79),0)</f>
        <v/>
      </c>
      <c r="AN76">
        <f>IF(AND(ISNUMBER(T76),ISNUMBER(T80)),VLOOKUP(ABS(T76-T80),'IMP Table'!$A$2:$C$26,3)*SIGN(T76-T80),0)</f>
        <v/>
      </c>
    </row>
    <row r="77">
      <c r="B77" s="10">
        <f>'By Round'!A123</f>
        <v/>
      </c>
      <c r="C77" s="10">
        <f>'By Round'!B129</f>
        <v/>
      </c>
      <c r="D77" s="10">
        <f>'By Round'!C129</f>
        <v/>
      </c>
      <c r="E77" s="10">
        <f>'By Round'!D129</f>
        <v/>
      </c>
      <c r="F77" s="10">
        <f>IF(ISBLANK('By Round'!F129),"",'By Round'!F129)</f>
        <v/>
      </c>
      <c r="G77">
        <f>IF(ISBLANK('By Round'!G129),"",'By Round'!G129)</f>
        <v/>
      </c>
      <c r="H77">
        <f>IF(ISBLANK('By Round'!H129),"",'By Round'!H129)</f>
        <v/>
      </c>
      <c r="I77">
        <f>IF(ISBLANK('By Round'!I129),"",'By Round'!I129)</f>
        <v/>
      </c>
      <c r="J77">
        <f>IF(ISBLANK('By Round'!J129),"",'By Round'!J129)</f>
        <v/>
      </c>
      <c r="K77">
        <f>IF(ISBLANK('By Round'!K129),"",'By Round'!K129)</f>
        <v/>
      </c>
      <c r="L77">
        <f>IF(ISBLANK('By Round'!L129),"",'By Round'!L129)</f>
        <v/>
      </c>
      <c r="M77" s="11">
        <f>AVERAGE(AE77:AI77)</f>
        <v/>
      </c>
      <c r="N77" s="12">
        <f>AVERAGE(AJ77:AN77)</f>
        <v/>
      </c>
      <c r="O77" s="13">
        <f>IF(COUNT(U77:Y77)&gt;0,Q77/COUNT(U77:Y77),0.5)</f>
        <v/>
      </c>
      <c r="P77" s="13">
        <f>IF(COUNT(Z77:AD77)&gt;0,R77/COUNT(Z77:AD77),0.5)</f>
        <v/>
      </c>
      <c r="Q77" s="5">
        <f>SUM(U77:Y77)</f>
        <v/>
      </c>
      <c r="R77" s="5">
        <f>SUM(Z77:AD77)</f>
        <v/>
      </c>
      <c r="S77" s="14">
        <f>IF(ISNUMBER(K77),K77,IF(ISNUMBER(L77),-L77,""))</f>
        <v/>
      </c>
      <c r="T77">
        <f>IF(ISNUMBER(L77),L77,IF(ISNUMBER(K77),-K77,""))</f>
        <v/>
      </c>
      <c r="U77" s="14">
        <f>IF(ISNUMBER(S77),IF(ISNUMBER(S75),IF(S77&gt;S75,1.0,IF(S77=S75,0.5,0.0)),""),"")</f>
        <v/>
      </c>
      <c r="V77">
        <f>IF(ISNUMBER(S77),IF(ISNUMBER(S76),IF(S77&gt;S76,1.0,IF(S77=S76,0.5,0.0)),""),"")</f>
        <v/>
      </c>
      <c r="W77">
        <f>IF(ISNUMBER(S77),IF(ISNUMBER(S78),IF(S77&gt;S78,1.0,IF(S77=S78,0.5,0.0)),""),"")</f>
        <v/>
      </c>
      <c r="X77">
        <f>IF(ISNUMBER(S77),IF(ISNUMBER(S79),IF(S77&gt;S79,1.0,IF(S77=S79,0.5,0.0)),""),"")</f>
        <v/>
      </c>
      <c r="Y77">
        <f>IF(ISNUMBER(S77),IF(ISNUMBER(S80),IF(S77&gt;S80,1.0,IF(S77=S80,0.5,0.0)),""),"")</f>
        <v/>
      </c>
      <c r="Z77">
        <f>IF(ISNUMBER(T77),IF(ISNUMBER(T75),IF(T77&gt;T75,1.0,IF(T77=T75,0.5,0.0)),""),"")</f>
        <v/>
      </c>
      <c r="AA77">
        <f>IF(ISNUMBER(T77),IF(ISNUMBER(T76),IF(T77&gt;T76,1.0,IF(T77=T76,0.5,0.0)),""),"")</f>
        <v/>
      </c>
      <c r="AB77">
        <f>IF(ISNUMBER(T77),IF(ISNUMBER(T78),IF(T77&gt;T78,1.0,IF(T77=T78,0.5,0.0)),""),"")</f>
        <v/>
      </c>
      <c r="AC77">
        <f>IF(ISNUMBER(T77),IF(ISNUMBER(T79),IF(T77&gt;T79,1.0,IF(T77=T79,0.5,0.0)),""),"")</f>
        <v/>
      </c>
      <c r="AD77">
        <f>IF(ISNUMBER(T77),IF(ISNUMBER(T80),IF(T77&gt;T80,1.0,IF(T77=T80,0.5,0.0)),""),"")</f>
        <v/>
      </c>
      <c r="AE77" s="14">
        <f>IF(AND(ISNUMBER(S77),ISNUMBER(S75)),VLOOKUP(ABS(S77-S75),'IMP Table'!$A$2:$C$26,3)*SIGN(S77-S75),0)</f>
        <v/>
      </c>
      <c r="AF77">
        <f>IF(AND(ISNUMBER(S77),ISNUMBER(S76)),VLOOKUP(ABS(S77-S76),'IMP Table'!$A$2:$C$26,3)*SIGN(S77-S76),0)</f>
        <v/>
      </c>
      <c r="AG77">
        <f>IF(AND(ISNUMBER(S77),ISNUMBER(S78)),VLOOKUP(ABS(S77-S78),'IMP Table'!$A$2:$C$26,3)*SIGN(S77-S78),0)</f>
        <v/>
      </c>
      <c r="AH77">
        <f>IF(AND(ISNUMBER(S77),ISNUMBER(S79)),VLOOKUP(ABS(S77-S79),'IMP Table'!$A$2:$C$26,3)*SIGN(S77-S79),0)</f>
        <v/>
      </c>
      <c r="AI77">
        <f>IF(AND(ISNUMBER(S77),ISNUMBER(S80)),VLOOKUP(ABS(S77-S80),'IMP Table'!$A$2:$C$26,3)*SIGN(S77-S80),0)</f>
        <v/>
      </c>
      <c r="AJ77">
        <f>IF(AND(ISNUMBER(T77),ISNUMBER(T75)),VLOOKUP(ABS(T77-T75),'IMP Table'!$A$2:$C$26,3)*SIGN(T77-T75),0)</f>
        <v/>
      </c>
      <c r="AK77">
        <f>IF(AND(ISNUMBER(T77),ISNUMBER(T76)),VLOOKUP(ABS(T77-T76),'IMP Table'!$A$2:$C$26,3)*SIGN(T77-T76),0)</f>
        <v/>
      </c>
      <c r="AL77">
        <f>IF(AND(ISNUMBER(T77),ISNUMBER(T78)),VLOOKUP(ABS(T77-T78),'IMP Table'!$A$2:$C$26,3)*SIGN(T77-T78),0)</f>
        <v/>
      </c>
      <c r="AM77">
        <f>IF(AND(ISNUMBER(T77),ISNUMBER(T79)),VLOOKUP(ABS(T77-T79),'IMP Table'!$A$2:$C$26,3)*SIGN(T77-T79),0)</f>
        <v/>
      </c>
      <c r="AN77">
        <f>IF(AND(ISNUMBER(T77),ISNUMBER(T80)),VLOOKUP(ABS(T77-T80),'IMP Table'!$A$2:$C$26,3)*SIGN(T77-T80),0)</f>
        <v/>
      </c>
    </row>
    <row r="78">
      <c r="B78" s="10">
        <f>'By Round'!A27</f>
        <v/>
      </c>
      <c r="C78" s="10">
        <f>'By Round'!B29</f>
        <v/>
      </c>
      <c r="D78" s="10">
        <f>'By Round'!C29</f>
        <v/>
      </c>
      <c r="E78" s="10">
        <f>'By Round'!D29</f>
        <v/>
      </c>
      <c r="F78" s="10">
        <f>IF(ISBLANK('By Round'!F29),"",'By Round'!F29)</f>
        <v/>
      </c>
      <c r="G78">
        <f>IF(ISBLANK('By Round'!G29),"",'By Round'!G29)</f>
        <v/>
      </c>
      <c r="H78">
        <f>IF(ISBLANK('By Round'!H29),"",'By Round'!H29)</f>
        <v/>
      </c>
      <c r="I78">
        <f>IF(ISBLANK('By Round'!I29),"",'By Round'!I29)</f>
        <v/>
      </c>
      <c r="J78">
        <f>IF(ISBLANK('By Round'!J29),"",'By Round'!J29)</f>
        <v/>
      </c>
      <c r="K78">
        <f>IF(ISBLANK('By Round'!K29),"",'By Round'!K29)</f>
        <v/>
      </c>
      <c r="L78">
        <f>IF(ISBLANK('By Round'!L29),"",'By Round'!L29)</f>
        <v/>
      </c>
      <c r="M78" s="11">
        <f>AVERAGE(AE78:AI78)</f>
        <v/>
      </c>
      <c r="N78" s="12">
        <f>AVERAGE(AJ78:AN78)</f>
        <v/>
      </c>
      <c r="O78" s="13">
        <f>IF(COUNT(U78:Y78)&gt;0,Q78/COUNT(U78:Y78),0.5)</f>
        <v/>
      </c>
      <c r="P78" s="13">
        <f>IF(COUNT(Z78:AD78)&gt;0,R78/COUNT(Z78:AD78),0.5)</f>
        <v/>
      </c>
      <c r="Q78" s="5">
        <f>SUM(U78:Y78)</f>
        <v/>
      </c>
      <c r="R78" s="5">
        <f>SUM(Z78:AD78)</f>
        <v/>
      </c>
      <c r="S78" s="14">
        <f>IF(ISNUMBER(K78),K78,IF(ISNUMBER(L78),-L78,""))</f>
        <v/>
      </c>
      <c r="T78">
        <f>IF(ISNUMBER(L78),L78,IF(ISNUMBER(K78),-K78,""))</f>
        <v/>
      </c>
      <c r="U78" s="14">
        <f>IF(ISNUMBER(S78),IF(ISNUMBER(S75),IF(S78&gt;S75,1.0,IF(S78=S75,0.5,0.0)),""),"")</f>
        <v/>
      </c>
      <c r="V78">
        <f>IF(ISNUMBER(S78),IF(ISNUMBER(S76),IF(S78&gt;S76,1.0,IF(S78=S76,0.5,0.0)),""),"")</f>
        <v/>
      </c>
      <c r="W78">
        <f>IF(ISNUMBER(S78),IF(ISNUMBER(S77),IF(S78&gt;S77,1.0,IF(S78=S77,0.5,0.0)),""),"")</f>
        <v/>
      </c>
      <c r="X78">
        <f>IF(ISNUMBER(S78),IF(ISNUMBER(S79),IF(S78&gt;S79,1.0,IF(S78=S79,0.5,0.0)),""),"")</f>
        <v/>
      </c>
      <c r="Y78">
        <f>IF(ISNUMBER(S78),IF(ISNUMBER(S80),IF(S78&gt;S80,1.0,IF(S78=S80,0.5,0.0)),""),"")</f>
        <v/>
      </c>
      <c r="Z78">
        <f>IF(ISNUMBER(T78),IF(ISNUMBER(T75),IF(T78&gt;T75,1.0,IF(T78=T75,0.5,0.0)),""),"")</f>
        <v/>
      </c>
      <c r="AA78">
        <f>IF(ISNUMBER(T78),IF(ISNUMBER(T76),IF(T78&gt;T76,1.0,IF(T78=T76,0.5,0.0)),""),"")</f>
        <v/>
      </c>
      <c r="AB78">
        <f>IF(ISNUMBER(T78),IF(ISNUMBER(T77),IF(T78&gt;T77,1.0,IF(T78=T77,0.5,0.0)),""),"")</f>
        <v/>
      </c>
      <c r="AC78">
        <f>IF(ISNUMBER(T78),IF(ISNUMBER(T79),IF(T78&gt;T79,1.0,IF(T78=T79,0.5,0.0)),""),"")</f>
        <v/>
      </c>
      <c r="AD78">
        <f>IF(ISNUMBER(T78),IF(ISNUMBER(T80),IF(T78&gt;T80,1.0,IF(T78=T80,0.5,0.0)),""),"")</f>
        <v/>
      </c>
      <c r="AE78" s="14">
        <f>IF(AND(ISNUMBER(S78),ISNUMBER(S75)),VLOOKUP(ABS(S78-S75),'IMP Table'!$A$2:$C$26,3)*SIGN(S78-S75),0)</f>
        <v/>
      </c>
      <c r="AF78">
        <f>IF(AND(ISNUMBER(S78),ISNUMBER(S76)),VLOOKUP(ABS(S78-S76),'IMP Table'!$A$2:$C$26,3)*SIGN(S78-S76),0)</f>
        <v/>
      </c>
      <c r="AG78">
        <f>IF(AND(ISNUMBER(S78),ISNUMBER(S77)),VLOOKUP(ABS(S78-S77),'IMP Table'!$A$2:$C$26,3)*SIGN(S78-S77),0)</f>
        <v/>
      </c>
      <c r="AH78">
        <f>IF(AND(ISNUMBER(S78),ISNUMBER(S79)),VLOOKUP(ABS(S78-S79),'IMP Table'!$A$2:$C$26,3)*SIGN(S78-S79),0)</f>
        <v/>
      </c>
      <c r="AI78">
        <f>IF(AND(ISNUMBER(S78),ISNUMBER(S80)),VLOOKUP(ABS(S78-S80),'IMP Table'!$A$2:$C$26,3)*SIGN(S78-S80),0)</f>
        <v/>
      </c>
      <c r="AJ78">
        <f>IF(AND(ISNUMBER(T78),ISNUMBER(T75)),VLOOKUP(ABS(T78-T75),'IMP Table'!$A$2:$C$26,3)*SIGN(T78-T75),0)</f>
        <v/>
      </c>
      <c r="AK78">
        <f>IF(AND(ISNUMBER(T78),ISNUMBER(T76)),VLOOKUP(ABS(T78-T76),'IMP Table'!$A$2:$C$26,3)*SIGN(T78-T76),0)</f>
        <v/>
      </c>
      <c r="AL78">
        <f>IF(AND(ISNUMBER(T78),ISNUMBER(T77)),VLOOKUP(ABS(T78-T77),'IMP Table'!$A$2:$C$26,3)*SIGN(T78-T77),0)</f>
        <v/>
      </c>
      <c r="AM78">
        <f>IF(AND(ISNUMBER(T78),ISNUMBER(T79)),VLOOKUP(ABS(T78-T79),'IMP Table'!$A$2:$C$26,3)*SIGN(T78-T79),0)</f>
        <v/>
      </c>
      <c r="AN78">
        <f>IF(AND(ISNUMBER(T78),ISNUMBER(T80)),VLOOKUP(ABS(T78-T80),'IMP Table'!$A$2:$C$26,3)*SIGN(T78-T80),0)</f>
        <v/>
      </c>
    </row>
    <row r="79">
      <c r="B79" s="10">
        <f>'By Round'!A99</f>
        <v/>
      </c>
      <c r="C79" s="10">
        <f>'By Round'!B109</f>
        <v/>
      </c>
      <c r="D79" s="10">
        <f>'By Round'!C109</f>
        <v/>
      </c>
      <c r="E79" s="10">
        <f>'By Round'!D109</f>
        <v/>
      </c>
      <c r="F79" s="10">
        <f>IF(ISBLANK('By Round'!F109),"",'By Round'!F109)</f>
        <v/>
      </c>
      <c r="G79">
        <f>IF(ISBLANK('By Round'!G109),"",'By Round'!G109)</f>
        <v/>
      </c>
      <c r="H79">
        <f>IF(ISBLANK('By Round'!H109),"",'By Round'!H109)</f>
        <v/>
      </c>
      <c r="I79">
        <f>IF(ISBLANK('By Round'!I109),"",'By Round'!I109)</f>
        <v/>
      </c>
      <c r="J79">
        <f>IF(ISBLANK('By Round'!J109),"",'By Round'!J109)</f>
        <v/>
      </c>
      <c r="K79">
        <f>IF(ISBLANK('By Round'!K109),"",'By Round'!K109)</f>
        <v/>
      </c>
      <c r="L79">
        <f>IF(ISBLANK('By Round'!L109),"",'By Round'!L109)</f>
        <v/>
      </c>
      <c r="M79" s="11">
        <f>AVERAGE(AE79:AI79)</f>
        <v/>
      </c>
      <c r="N79" s="12">
        <f>AVERAGE(AJ79:AN79)</f>
        <v/>
      </c>
      <c r="O79" s="13">
        <f>IF(COUNT(U79:Y79)&gt;0,Q79/COUNT(U79:Y79),0.5)</f>
        <v/>
      </c>
      <c r="P79" s="13">
        <f>IF(COUNT(Z79:AD79)&gt;0,R79/COUNT(Z79:AD79),0.5)</f>
        <v/>
      </c>
      <c r="Q79" s="5">
        <f>SUM(U79:Y79)</f>
        <v/>
      </c>
      <c r="R79" s="5">
        <f>SUM(Z79:AD79)</f>
        <v/>
      </c>
      <c r="S79" s="14">
        <f>IF(ISNUMBER(K79),K79,IF(ISNUMBER(L79),-L79,""))</f>
        <v/>
      </c>
      <c r="T79">
        <f>IF(ISNUMBER(L79),L79,IF(ISNUMBER(K79),-K79,""))</f>
        <v/>
      </c>
      <c r="U79" s="14">
        <f>IF(ISNUMBER(S79),IF(ISNUMBER(S75),IF(S79&gt;S75,1.0,IF(S79=S75,0.5,0.0)),""),"")</f>
        <v/>
      </c>
      <c r="V79">
        <f>IF(ISNUMBER(S79),IF(ISNUMBER(S76),IF(S79&gt;S76,1.0,IF(S79=S76,0.5,0.0)),""),"")</f>
        <v/>
      </c>
      <c r="W79">
        <f>IF(ISNUMBER(S79),IF(ISNUMBER(S77),IF(S79&gt;S77,1.0,IF(S79=S77,0.5,0.0)),""),"")</f>
        <v/>
      </c>
      <c r="X79">
        <f>IF(ISNUMBER(S79),IF(ISNUMBER(S78),IF(S79&gt;S78,1.0,IF(S79=S78,0.5,0.0)),""),"")</f>
        <v/>
      </c>
      <c r="Y79">
        <f>IF(ISNUMBER(S79),IF(ISNUMBER(S80),IF(S79&gt;S80,1.0,IF(S79=S80,0.5,0.0)),""),"")</f>
        <v/>
      </c>
      <c r="Z79">
        <f>IF(ISNUMBER(T79),IF(ISNUMBER(T75),IF(T79&gt;T75,1.0,IF(T79=T75,0.5,0.0)),""),"")</f>
        <v/>
      </c>
      <c r="AA79">
        <f>IF(ISNUMBER(T79),IF(ISNUMBER(T76),IF(T79&gt;T76,1.0,IF(T79=T76,0.5,0.0)),""),"")</f>
        <v/>
      </c>
      <c r="AB79">
        <f>IF(ISNUMBER(T79),IF(ISNUMBER(T77),IF(T79&gt;T77,1.0,IF(T79=T77,0.5,0.0)),""),"")</f>
        <v/>
      </c>
      <c r="AC79">
        <f>IF(ISNUMBER(T79),IF(ISNUMBER(T78),IF(T79&gt;T78,1.0,IF(T79=T78,0.5,0.0)),""),"")</f>
        <v/>
      </c>
      <c r="AD79">
        <f>IF(ISNUMBER(T79),IF(ISNUMBER(T80),IF(T79&gt;T80,1.0,IF(T79=T80,0.5,0.0)),""),"")</f>
        <v/>
      </c>
      <c r="AE79" s="14">
        <f>IF(AND(ISNUMBER(S79),ISNUMBER(S75)),VLOOKUP(ABS(S79-S75),'IMP Table'!$A$2:$C$26,3)*SIGN(S79-S75),0)</f>
        <v/>
      </c>
      <c r="AF79">
        <f>IF(AND(ISNUMBER(S79),ISNUMBER(S76)),VLOOKUP(ABS(S79-S76),'IMP Table'!$A$2:$C$26,3)*SIGN(S79-S76),0)</f>
        <v/>
      </c>
      <c r="AG79">
        <f>IF(AND(ISNUMBER(S79),ISNUMBER(S77)),VLOOKUP(ABS(S79-S77),'IMP Table'!$A$2:$C$26,3)*SIGN(S79-S77),0)</f>
        <v/>
      </c>
      <c r="AH79">
        <f>IF(AND(ISNUMBER(S79),ISNUMBER(S78)),VLOOKUP(ABS(S79-S78),'IMP Table'!$A$2:$C$26,3)*SIGN(S79-S78),0)</f>
        <v/>
      </c>
      <c r="AI79">
        <f>IF(AND(ISNUMBER(S79),ISNUMBER(S80)),VLOOKUP(ABS(S79-S80),'IMP Table'!$A$2:$C$26,3)*SIGN(S79-S80),0)</f>
        <v/>
      </c>
      <c r="AJ79">
        <f>IF(AND(ISNUMBER(T79),ISNUMBER(T75)),VLOOKUP(ABS(T79-T75),'IMP Table'!$A$2:$C$26,3)*SIGN(T79-T75),0)</f>
        <v/>
      </c>
      <c r="AK79">
        <f>IF(AND(ISNUMBER(T79),ISNUMBER(T76)),VLOOKUP(ABS(T79-T76),'IMP Table'!$A$2:$C$26,3)*SIGN(T79-T76),0)</f>
        <v/>
      </c>
      <c r="AL79">
        <f>IF(AND(ISNUMBER(T79),ISNUMBER(T77)),VLOOKUP(ABS(T79-T77),'IMP Table'!$A$2:$C$26,3)*SIGN(T79-T77),0)</f>
        <v/>
      </c>
      <c r="AM79">
        <f>IF(AND(ISNUMBER(T79),ISNUMBER(T78)),VLOOKUP(ABS(T79-T78),'IMP Table'!$A$2:$C$26,3)*SIGN(T79-T78),0)</f>
        <v/>
      </c>
      <c r="AN79">
        <f>IF(AND(ISNUMBER(T79),ISNUMBER(T80)),VLOOKUP(ABS(T79-T80),'IMP Table'!$A$2:$C$26,3)*SIGN(T79-T80),0)</f>
        <v/>
      </c>
    </row>
    <row r="80">
      <c r="A80" s="15" t="n"/>
      <c r="B80" s="16">
        <f>'By Round'!A15</f>
        <v/>
      </c>
      <c r="C80" s="16">
        <f>'By Round'!B19</f>
        <v/>
      </c>
      <c r="D80" s="16">
        <f>'By Round'!C19</f>
        <v/>
      </c>
      <c r="E80" s="16">
        <f>'By Round'!D19</f>
        <v/>
      </c>
      <c r="F80" s="16">
        <f>IF(ISBLANK('By Round'!F19),"",'By Round'!F19)</f>
        <v/>
      </c>
      <c r="G80" s="15">
        <f>IF(ISBLANK('By Round'!G19),"",'By Round'!G19)</f>
        <v/>
      </c>
      <c r="H80" s="15">
        <f>IF(ISBLANK('By Round'!H19),"",'By Round'!H19)</f>
        <v/>
      </c>
      <c r="I80" s="15">
        <f>IF(ISBLANK('By Round'!I19),"",'By Round'!I19)</f>
        <v/>
      </c>
      <c r="J80" s="15">
        <f>IF(ISBLANK('By Round'!J19),"",'By Round'!J19)</f>
        <v/>
      </c>
      <c r="K80" s="15">
        <f>IF(ISBLANK('By Round'!K19),"",'By Round'!K19)</f>
        <v/>
      </c>
      <c r="L80" s="15">
        <f>IF(ISBLANK('By Round'!L19),"",'By Round'!L19)</f>
        <v/>
      </c>
      <c r="M80" s="17">
        <f>AVERAGE(AE80:AI80)</f>
        <v/>
      </c>
      <c r="N80" s="18">
        <f>AVERAGE(AJ80:AN80)</f>
        <v/>
      </c>
      <c r="O80" s="19">
        <f>IF(COUNT(U80:Y80)&gt;0,Q80/COUNT(U80:Y80),0.5)</f>
        <v/>
      </c>
      <c r="P80" s="19">
        <f>IF(COUNT(Z80:AD80)&gt;0,R80/COUNT(Z80:AD80),0.5)</f>
        <v/>
      </c>
      <c r="Q80" s="20">
        <f>SUM(U80:Y80)</f>
        <v/>
      </c>
      <c r="R80" s="20">
        <f>SUM(Z80:AD80)</f>
        <v/>
      </c>
      <c r="S80" s="21">
        <f>IF(ISNUMBER(K80),K80,IF(ISNUMBER(L80),-L80,""))</f>
        <v/>
      </c>
      <c r="T80" s="15">
        <f>IF(ISNUMBER(L80),L80,IF(ISNUMBER(K80),-K80,""))</f>
        <v/>
      </c>
      <c r="U80" s="21">
        <f>IF(ISNUMBER(S80),IF(ISNUMBER(S75),IF(S80&gt;S75,1.0,IF(S80=S75,0.5,0.0)),""),"")</f>
        <v/>
      </c>
      <c r="V80" s="15">
        <f>IF(ISNUMBER(S80),IF(ISNUMBER(S76),IF(S80&gt;S76,1.0,IF(S80=S76,0.5,0.0)),""),"")</f>
        <v/>
      </c>
      <c r="W80" s="15">
        <f>IF(ISNUMBER(S80),IF(ISNUMBER(S77),IF(S80&gt;S77,1.0,IF(S80=S77,0.5,0.0)),""),"")</f>
        <v/>
      </c>
      <c r="X80" s="15">
        <f>IF(ISNUMBER(S80),IF(ISNUMBER(S78),IF(S80&gt;S78,1.0,IF(S80=S78,0.5,0.0)),""),"")</f>
        <v/>
      </c>
      <c r="Y80" s="15">
        <f>IF(ISNUMBER(S80),IF(ISNUMBER(S79),IF(S80&gt;S79,1.0,IF(S80=S79,0.5,0.0)),""),"")</f>
        <v/>
      </c>
      <c r="Z80" s="15">
        <f>IF(ISNUMBER(T80),IF(ISNUMBER(T75),IF(T80&gt;T75,1.0,IF(T80=T75,0.5,0.0)),""),"")</f>
        <v/>
      </c>
      <c r="AA80" s="15">
        <f>IF(ISNUMBER(T80),IF(ISNUMBER(T76),IF(T80&gt;T76,1.0,IF(T80=T76,0.5,0.0)),""),"")</f>
        <v/>
      </c>
      <c r="AB80" s="15">
        <f>IF(ISNUMBER(T80),IF(ISNUMBER(T77),IF(T80&gt;T77,1.0,IF(T80=T77,0.5,0.0)),""),"")</f>
        <v/>
      </c>
      <c r="AC80" s="15">
        <f>IF(ISNUMBER(T80),IF(ISNUMBER(T78),IF(T80&gt;T78,1.0,IF(T80=T78,0.5,0.0)),""),"")</f>
        <v/>
      </c>
      <c r="AD80" s="15">
        <f>IF(ISNUMBER(T80),IF(ISNUMBER(T79),IF(T80&gt;T79,1.0,IF(T80=T79,0.5,0.0)),""),"")</f>
        <v/>
      </c>
      <c r="AE80" s="21">
        <f>IF(AND(ISNUMBER(S80),ISNUMBER(S75)),VLOOKUP(ABS(S80-S75),'IMP Table'!$A$2:$C$26,3)*SIGN(S80-S75),0)</f>
        <v/>
      </c>
      <c r="AF80" s="15">
        <f>IF(AND(ISNUMBER(S80),ISNUMBER(S76)),VLOOKUP(ABS(S80-S76),'IMP Table'!$A$2:$C$26,3)*SIGN(S80-S76),0)</f>
        <v/>
      </c>
      <c r="AG80" s="15">
        <f>IF(AND(ISNUMBER(S80),ISNUMBER(S77)),VLOOKUP(ABS(S80-S77),'IMP Table'!$A$2:$C$26,3)*SIGN(S80-S77),0)</f>
        <v/>
      </c>
      <c r="AH80" s="15">
        <f>IF(AND(ISNUMBER(S80),ISNUMBER(S78)),VLOOKUP(ABS(S80-S78),'IMP Table'!$A$2:$C$26,3)*SIGN(S80-S78),0)</f>
        <v/>
      </c>
      <c r="AI80" s="15">
        <f>IF(AND(ISNUMBER(S80),ISNUMBER(S79)),VLOOKUP(ABS(S80-S79),'IMP Table'!$A$2:$C$26,3)*SIGN(S80-S79),0)</f>
        <v/>
      </c>
      <c r="AJ80" s="15">
        <f>IF(AND(ISNUMBER(T80),ISNUMBER(T75)),VLOOKUP(ABS(T80-T75),'IMP Table'!$A$2:$C$26,3)*SIGN(T80-T75),0)</f>
        <v/>
      </c>
      <c r="AK80" s="15">
        <f>IF(AND(ISNUMBER(T80),ISNUMBER(T76)),VLOOKUP(ABS(T80-T76),'IMP Table'!$A$2:$C$26,3)*SIGN(T80-T76),0)</f>
        <v/>
      </c>
      <c r="AL80" s="15">
        <f>IF(AND(ISNUMBER(T80),ISNUMBER(T77)),VLOOKUP(ABS(T80-T77),'IMP Table'!$A$2:$C$26,3)*SIGN(T80-T77),0)</f>
        <v/>
      </c>
      <c r="AM80" s="15">
        <f>IF(AND(ISNUMBER(T80),ISNUMBER(T78)),VLOOKUP(ABS(T80-T78),'IMP Table'!$A$2:$C$26,3)*SIGN(T80-T78),0)</f>
        <v/>
      </c>
      <c r="AN80" s="15">
        <f>IF(AND(ISNUMBER(T80),ISNUMBER(T79)),VLOOKUP(ABS(T80-T79),'IMP Table'!$A$2:$C$26,3)*SIGN(T80-T79),0)</f>
        <v/>
      </c>
    </row>
    <row r="81">
      <c r="A81" s="10" t="n">
        <v>14</v>
      </c>
      <c r="B81" s="10">
        <f>'By Round'!A75</f>
        <v/>
      </c>
      <c r="C81" s="10">
        <f>'By Round'!B75</f>
        <v/>
      </c>
      <c r="D81" s="10">
        <f>'By Round'!C75</f>
        <v/>
      </c>
      <c r="E81" s="10">
        <f>'By Round'!D75</f>
        <v/>
      </c>
      <c r="F81" s="10">
        <f>IF(ISBLANK('By Round'!F76),"",'By Round'!F76)</f>
        <v/>
      </c>
      <c r="G81">
        <f>IF(ISBLANK('By Round'!G76),"",'By Round'!G76)</f>
        <v/>
      </c>
      <c r="H81">
        <f>IF(ISBLANK('By Round'!H76),"",'By Round'!H76)</f>
        <v/>
      </c>
      <c r="I81">
        <f>IF(ISBLANK('By Round'!I76),"",'By Round'!I76)</f>
        <v/>
      </c>
      <c r="J81">
        <f>IF(ISBLANK('By Round'!J76),"",'By Round'!J76)</f>
        <v/>
      </c>
      <c r="K81">
        <f>IF(ISBLANK('By Round'!K76),"",'By Round'!K76)</f>
        <v/>
      </c>
      <c r="L81">
        <f>IF(ISBLANK('By Round'!L76),"",'By Round'!L76)</f>
        <v/>
      </c>
      <c r="M81" s="11">
        <f>AVERAGE(AE81:AI81)</f>
        <v/>
      </c>
      <c r="N81" s="12">
        <f>AVERAGE(AJ81:AN81)</f>
        <v/>
      </c>
      <c r="O81" s="13">
        <f>IF(COUNT(U81:Y81)&gt;0,Q81/COUNT(U81:Y81),0.5)</f>
        <v/>
      </c>
      <c r="P81" s="13">
        <f>IF(COUNT(Z81:AD81)&gt;0,R81/COUNT(Z81:AD81),0.5)</f>
        <v/>
      </c>
      <c r="Q81" s="5">
        <f>SUM(U81:Y81)</f>
        <v/>
      </c>
      <c r="R81" s="5">
        <f>SUM(Z81:AD81)</f>
        <v/>
      </c>
      <c r="S81" s="14">
        <f>IF(ISNUMBER(K81),K81,IF(ISNUMBER(L81),-L81,""))</f>
        <v/>
      </c>
      <c r="T81">
        <f>IF(ISNUMBER(L81),L81,IF(ISNUMBER(K81),-K81,""))</f>
        <v/>
      </c>
      <c r="U81" s="14">
        <f>IF(ISNUMBER(S81),IF(ISNUMBER(S82),IF(S81&gt;S82,1.0,IF(S81=S82,0.5,0.0)),""),"")</f>
        <v/>
      </c>
      <c r="V81">
        <f>IF(ISNUMBER(S81),IF(ISNUMBER(S83),IF(S81&gt;S83,1.0,IF(S81=S83,0.5,0.0)),""),"")</f>
        <v/>
      </c>
      <c r="W81">
        <f>IF(ISNUMBER(S81),IF(ISNUMBER(S84),IF(S81&gt;S84,1.0,IF(S81=S84,0.5,0.0)),""),"")</f>
        <v/>
      </c>
      <c r="X81">
        <f>IF(ISNUMBER(S81),IF(ISNUMBER(S85),IF(S81&gt;S85,1.0,IF(S81=S85,0.5,0.0)),""),"")</f>
        <v/>
      </c>
      <c r="Y81">
        <f>IF(ISNUMBER(S81),IF(ISNUMBER(S86),IF(S81&gt;S86,1.0,IF(S81=S86,0.5,0.0)),""),"")</f>
        <v/>
      </c>
      <c r="Z81">
        <f>IF(ISNUMBER(T81),IF(ISNUMBER(T82),IF(T81&gt;T82,1.0,IF(T81=T82,0.5,0.0)),""),"")</f>
        <v/>
      </c>
      <c r="AA81">
        <f>IF(ISNUMBER(T81),IF(ISNUMBER(T83),IF(T81&gt;T83,1.0,IF(T81=T83,0.5,0.0)),""),"")</f>
        <v/>
      </c>
      <c r="AB81">
        <f>IF(ISNUMBER(T81),IF(ISNUMBER(T84),IF(T81&gt;T84,1.0,IF(T81=T84,0.5,0.0)),""),"")</f>
        <v/>
      </c>
      <c r="AC81">
        <f>IF(ISNUMBER(T81),IF(ISNUMBER(T85),IF(T81&gt;T85,1.0,IF(T81=T85,0.5,0.0)),""),"")</f>
        <v/>
      </c>
      <c r="AD81">
        <f>IF(ISNUMBER(T81),IF(ISNUMBER(T86),IF(T81&gt;T86,1.0,IF(T81=T86,0.5,0.0)),""),"")</f>
        <v/>
      </c>
      <c r="AE81" s="14">
        <f>IF(AND(ISNUMBER(S81),ISNUMBER(S82)),VLOOKUP(ABS(S81-S82),'IMP Table'!$A$2:$C$26,3)*SIGN(S81-S82),0)</f>
        <v/>
      </c>
      <c r="AF81">
        <f>IF(AND(ISNUMBER(S81),ISNUMBER(S83)),VLOOKUP(ABS(S81-S83),'IMP Table'!$A$2:$C$26,3)*SIGN(S81-S83),0)</f>
        <v/>
      </c>
      <c r="AG81">
        <f>IF(AND(ISNUMBER(S81),ISNUMBER(S84)),VLOOKUP(ABS(S81-S84),'IMP Table'!$A$2:$C$26,3)*SIGN(S81-S84),0)</f>
        <v/>
      </c>
      <c r="AH81">
        <f>IF(AND(ISNUMBER(S81),ISNUMBER(S85)),VLOOKUP(ABS(S81-S85),'IMP Table'!$A$2:$C$26,3)*SIGN(S81-S85),0)</f>
        <v/>
      </c>
      <c r="AI81">
        <f>IF(AND(ISNUMBER(S81),ISNUMBER(S86)),VLOOKUP(ABS(S81-S86),'IMP Table'!$A$2:$C$26,3)*SIGN(S81-S86),0)</f>
        <v/>
      </c>
      <c r="AJ81">
        <f>IF(AND(ISNUMBER(T81),ISNUMBER(T82)),VLOOKUP(ABS(T81-T82),'IMP Table'!$A$2:$C$26,3)*SIGN(T81-T82),0)</f>
        <v/>
      </c>
      <c r="AK81">
        <f>IF(AND(ISNUMBER(T81),ISNUMBER(T83)),VLOOKUP(ABS(T81-T83),'IMP Table'!$A$2:$C$26,3)*SIGN(T81-T83),0)</f>
        <v/>
      </c>
      <c r="AL81">
        <f>IF(AND(ISNUMBER(T81),ISNUMBER(T84)),VLOOKUP(ABS(T81-T84),'IMP Table'!$A$2:$C$26,3)*SIGN(T81-T84),0)</f>
        <v/>
      </c>
      <c r="AM81">
        <f>IF(AND(ISNUMBER(T81),ISNUMBER(T85)),VLOOKUP(ABS(T81-T85),'IMP Table'!$A$2:$C$26,3)*SIGN(T81-T85),0)</f>
        <v/>
      </c>
      <c r="AN81">
        <f>IF(AND(ISNUMBER(T81),ISNUMBER(T86)),VLOOKUP(ABS(T81-T86),'IMP Table'!$A$2:$C$26,3)*SIGN(T81-T86),0)</f>
        <v/>
      </c>
    </row>
    <row r="82">
      <c r="B82" s="10">
        <f>'By Round'!A111</f>
        <v/>
      </c>
      <c r="C82" s="10">
        <f>'By Round'!B119</f>
        <v/>
      </c>
      <c r="D82" s="10">
        <f>'By Round'!C119</f>
        <v/>
      </c>
      <c r="E82" s="10">
        <f>'By Round'!D119</f>
        <v/>
      </c>
      <c r="F82" s="10">
        <f>IF(ISBLANK('By Round'!F120),"",'By Round'!F120)</f>
        <v/>
      </c>
      <c r="G82">
        <f>IF(ISBLANK('By Round'!G120),"",'By Round'!G120)</f>
        <v/>
      </c>
      <c r="H82">
        <f>IF(ISBLANK('By Round'!H120),"",'By Round'!H120)</f>
        <v/>
      </c>
      <c r="I82">
        <f>IF(ISBLANK('By Round'!I120),"",'By Round'!I120)</f>
        <v/>
      </c>
      <c r="J82">
        <f>IF(ISBLANK('By Round'!J120),"",'By Round'!J120)</f>
        <v/>
      </c>
      <c r="K82">
        <f>IF(ISBLANK('By Round'!K120),"",'By Round'!K120)</f>
        <v/>
      </c>
      <c r="L82">
        <f>IF(ISBLANK('By Round'!L120),"",'By Round'!L120)</f>
        <v/>
      </c>
      <c r="M82" s="11">
        <f>AVERAGE(AE82:AI82)</f>
        <v/>
      </c>
      <c r="N82" s="12">
        <f>AVERAGE(AJ82:AN82)</f>
        <v/>
      </c>
      <c r="O82" s="13">
        <f>IF(COUNT(U82:Y82)&gt;0,Q82/COUNT(U82:Y82),0.5)</f>
        <v/>
      </c>
      <c r="P82" s="13">
        <f>IF(COUNT(Z82:AD82)&gt;0,R82/COUNT(Z82:AD82),0.5)</f>
        <v/>
      </c>
      <c r="Q82" s="5">
        <f>SUM(U82:Y82)</f>
        <v/>
      </c>
      <c r="R82" s="5">
        <f>SUM(Z82:AD82)</f>
        <v/>
      </c>
      <c r="S82" s="14">
        <f>IF(ISNUMBER(K82),K82,IF(ISNUMBER(L82),-L82,""))</f>
        <v/>
      </c>
      <c r="T82">
        <f>IF(ISNUMBER(L82),L82,IF(ISNUMBER(K82),-K82,""))</f>
        <v/>
      </c>
      <c r="U82" s="14">
        <f>IF(ISNUMBER(S82),IF(ISNUMBER(S81),IF(S82&gt;S81,1.0,IF(S82=S81,0.5,0.0)),""),"")</f>
        <v/>
      </c>
      <c r="V82">
        <f>IF(ISNUMBER(S82),IF(ISNUMBER(S83),IF(S82&gt;S83,1.0,IF(S82=S83,0.5,0.0)),""),"")</f>
        <v/>
      </c>
      <c r="W82">
        <f>IF(ISNUMBER(S82),IF(ISNUMBER(S84),IF(S82&gt;S84,1.0,IF(S82=S84,0.5,0.0)),""),"")</f>
        <v/>
      </c>
      <c r="X82">
        <f>IF(ISNUMBER(S82),IF(ISNUMBER(S85),IF(S82&gt;S85,1.0,IF(S82=S85,0.5,0.0)),""),"")</f>
        <v/>
      </c>
      <c r="Y82">
        <f>IF(ISNUMBER(S82),IF(ISNUMBER(S86),IF(S82&gt;S86,1.0,IF(S82=S86,0.5,0.0)),""),"")</f>
        <v/>
      </c>
      <c r="Z82">
        <f>IF(ISNUMBER(T82),IF(ISNUMBER(T81),IF(T82&gt;T81,1.0,IF(T82=T81,0.5,0.0)),""),"")</f>
        <v/>
      </c>
      <c r="AA82">
        <f>IF(ISNUMBER(T82),IF(ISNUMBER(T83),IF(T82&gt;T83,1.0,IF(T82=T83,0.5,0.0)),""),"")</f>
        <v/>
      </c>
      <c r="AB82">
        <f>IF(ISNUMBER(T82),IF(ISNUMBER(T84),IF(T82&gt;T84,1.0,IF(T82=T84,0.5,0.0)),""),"")</f>
        <v/>
      </c>
      <c r="AC82">
        <f>IF(ISNUMBER(T82),IF(ISNUMBER(T85),IF(T82&gt;T85,1.0,IF(T82=T85,0.5,0.0)),""),"")</f>
        <v/>
      </c>
      <c r="AD82">
        <f>IF(ISNUMBER(T82),IF(ISNUMBER(T86),IF(T82&gt;T86,1.0,IF(T82=T86,0.5,0.0)),""),"")</f>
        <v/>
      </c>
      <c r="AE82" s="14">
        <f>IF(AND(ISNUMBER(S82),ISNUMBER(S81)),VLOOKUP(ABS(S82-S81),'IMP Table'!$A$2:$C$26,3)*SIGN(S82-S81),0)</f>
        <v/>
      </c>
      <c r="AF82">
        <f>IF(AND(ISNUMBER(S82),ISNUMBER(S83)),VLOOKUP(ABS(S82-S83),'IMP Table'!$A$2:$C$26,3)*SIGN(S82-S83),0)</f>
        <v/>
      </c>
      <c r="AG82">
        <f>IF(AND(ISNUMBER(S82),ISNUMBER(S84)),VLOOKUP(ABS(S82-S84),'IMP Table'!$A$2:$C$26,3)*SIGN(S82-S84),0)</f>
        <v/>
      </c>
      <c r="AH82">
        <f>IF(AND(ISNUMBER(S82),ISNUMBER(S85)),VLOOKUP(ABS(S82-S85),'IMP Table'!$A$2:$C$26,3)*SIGN(S82-S85),0)</f>
        <v/>
      </c>
      <c r="AI82">
        <f>IF(AND(ISNUMBER(S82),ISNUMBER(S86)),VLOOKUP(ABS(S82-S86),'IMP Table'!$A$2:$C$26,3)*SIGN(S82-S86),0)</f>
        <v/>
      </c>
      <c r="AJ82">
        <f>IF(AND(ISNUMBER(T82),ISNUMBER(T81)),VLOOKUP(ABS(T82-T81),'IMP Table'!$A$2:$C$26,3)*SIGN(T82-T81),0)</f>
        <v/>
      </c>
      <c r="AK82">
        <f>IF(AND(ISNUMBER(T82),ISNUMBER(T83)),VLOOKUP(ABS(T82-T83),'IMP Table'!$A$2:$C$26,3)*SIGN(T82-T83),0)</f>
        <v/>
      </c>
      <c r="AL82">
        <f>IF(AND(ISNUMBER(T82),ISNUMBER(T84)),VLOOKUP(ABS(T82-T84),'IMP Table'!$A$2:$C$26,3)*SIGN(T82-T84),0)</f>
        <v/>
      </c>
      <c r="AM82">
        <f>IF(AND(ISNUMBER(T82),ISNUMBER(T85)),VLOOKUP(ABS(T82-T85),'IMP Table'!$A$2:$C$26,3)*SIGN(T82-T85),0)</f>
        <v/>
      </c>
      <c r="AN82">
        <f>IF(AND(ISNUMBER(T82),ISNUMBER(T86)),VLOOKUP(ABS(T82-T86),'IMP Table'!$A$2:$C$26,3)*SIGN(T82-T86),0)</f>
        <v/>
      </c>
    </row>
    <row r="83">
      <c r="B83" s="10">
        <f>'By Round'!A123</f>
        <v/>
      </c>
      <c r="C83" s="10">
        <f>'By Round'!B129</f>
        <v/>
      </c>
      <c r="D83" s="10">
        <f>'By Round'!C129</f>
        <v/>
      </c>
      <c r="E83" s="10">
        <f>'By Round'!D129</f>
        <v/>
      </c>
      <c r="F83" s="10">
        <f>IF(ISBLANK('By Round'!F130),"",'By Round'!F130)</f>
        <v/>
      </c>
      <c r="G83">
        <f>IF(ISBLANK('By Round'!G130),"",'By Round'!G130)</f>
        <v/>
      </c>
      <c r="H83">
        <f>IF(ISBLANK('By Round'!H130),"",'By Round'!H130)</f>
        <v/>
      </c>
      <c r="I83">
        <f>IF(ISBLANK('By Round'!I130),"",'By Round'!I130)</f>
        <v/>
      </c>
      <c r="J83">
        <f>IF(ISBLANK('By Round'!J130),"",'By Round'!J130)</f>
        <v/>
      </c>
      <c r="K83">
        <f>IF(ISBLANK('By Round'!K130),"",'By Round'!K130)</f>
        <v/>
      </c>
      <c r="L83">
        <f>IF(ISBLANK('By Round'!L130),"",'By Round'!L130)</f>
        <v/>
      </c>
      <c r="M83" s="11">
        <f>AVERAGE(AE83:AI83)</f>
        <v/>
      </c>
      <c r="N83" s="12">
        <f>AVERAGE(AJ83:AN83)</f>
        <v/>
      </c>
      <c r="O83" s="13">
        <f>IF(COUNT(U83:Y83)&gt;0,Q83/COUNT(U83:Y83),0.5)</f>
        <v/>
      </c>
      <c r="P83" s="13">
        <f>IF(COUNT(Z83:AD83)&gt;0,R83/COUNT(Z83:AD83),0.5)</f>
        <v/>
      </c>
      <c r="Q83" s="5">
        <f>SUM(U83:Y83)</f>
        <v/>
      </c>
      <c r="R83" s="5">
        <f>SUM(Z83:AD83)</f>
        <v/>
      </c>
      <c r="S83" s="14">
        <f>IF(ISNUMBER(K83),K83,IF(ISNUMBER(L83),-L83,""))</f>
        <v/>
      </c>
      <c r="T83">
        <f>IF(ISNUMBER(L83),L83,IF(ISNUMBER(K83),-K83,""))</f>
        <v/>
      </c>
      <c r="U83" s="14">
        <f>IF(ISNUMBER(S83),IF(ISNUMBER(S81),IF(S83&gt;S81,1.0,IF(S83=S81,0.5,0.0)),""),"")</f>
        <v/>
      </c>
      <c r="V83">
        <f>IF(ISNUMBER(S83),IF(ISNUMBER(S82),IF(S83&gt;S82,1.0,IF(S83=S82,0.5,0.0)),""),"")</f>
        <v/>
      </c>
      <c r="W83">
        <f>IF(ISNUMBER(S83),IF(ISNUMBER(S84),IF(S83&gt;S84,1.0,IF(S83=S84,0.5,0.0)),""),"")</f>
        <v/>
      </c>
      <c r="X83">
        <f>IF(ISNUMBER(S83),IF(ISNUMBER(S85),IF(S83&gt;S85,1.0,IF(S83=S85,0.5,0.0)),""),"")</f>
        <v/>
      </c>
      <c r="Y83">
        <f>IF(ISNUMBER(S83),IF(ISNUMBER(S86),IF(S83&gt;S86,1.0,IF(S83=S86,0.5,0.0)),""),"")</f>
        <v/>
      </c>
      <c r="Z83">
        <f>IF(ISNUMBER(T83),IF(ISNUMBER(T81),IF(T83&gt;T81,1.0,IF(T83=T81,0.5,0.0)),""),"")</f>
        <v/>
      </c>
      <c r="AA83">
        <f>IF(ISNUMBER(T83),IF(ISNUMBER(T82),IF(T83&gt;T82,1.0,IF(T83=T82,0.5,0.0)),""),"")</f>
        <v/>
      </c>
      <c r="AB83">
        <f>IF(ISNUMBER(T83),IF(ISNUMBER(T84),IF(T83&gt;T84,1.0,IF(T83=T84,0.5,0.0)),""),"")</f>
        <v/>
      </c>
      <c r="AC83">
        <f>IF(ISNUMBER(T83),IF(ISNUMBER(T85),IF(T83&gt;T85,1.0,IF(T83=T85,0.5,0.0)),""),"")</f>
        <v/>
      </c>
      <c r="AD83">
        <f>IF(ISNUMBER(T83),IF(ISNUMBER(T86),IF(T83&gt;T86,1.0,IF(T83=T86,0.5,0.0)),""),"")</f>
        <v/>
      </c>
      <c r="AE83" s="14">
        <f>IF(AND(ISNUMBER(S83),ISNUMBER(S81)),VLOOKUP(ABS(S83-S81),'IMP Table'!$A$2:$C$26,3)*SIGN(S83-S81),0)</f>
        <v/>
      </c>
      <c r="AF83">
        <f>IF(AND(ISNUMBER(S83),ISNUMBER(S82)),VLOOKUP(ABS(S83-S82),'IMP Table'!$A$2:$C$26,3)*SIGN(S83-S82),0)</f>
        <v/>
      </c>
      <c r="AG83">
        <f>IF(AND(ISNUMBER(S83),ISNUMBER(S84)),VLOOKUP(ABS(S83-S84),'IMP Table'!$A$2:$C$26,3)*SIGN(S83-S84),0)</f>
        <v/>
      </c>
      <c r="AH83">
        <f>IF(AND(ISNUMBER(S83),ISNUMBER(S85)),VLOOKUP(ABS(S83-S85),'IMP Table'!$A$2:$C$26,3)*SIGN(S83-S85),0)</f>
        <v/>
      </c>
      <c r="AI83">
        <f>IF(AND(ISNUMBER(S83),ISNUMBER(S86)),VLOOKUP(ABS(S83-S86),'IMP Table'!$A$2:$C$26,3)*SIGN(S83-S86),0)</f>
        <v/>
      </c>
      <c r="AJ83">
        <f>IF(AND(ISNUMBER(T83),ISNUMBER(T81)),VLOOKUP(ABS(T83-T81),'IMP Table'!$A$2:$C$26,3)*SIGN(T83-T81),0)</f>
        <v/>
      </c>
      <c r="AK83">
        <f>IF(AND(ISNUMBER(T83),ISNUMBER(T82)),VLOOKUP(ABS(T83-T82),'IMP Table'!$A$2:$C$26,3)*SIGN(T83-T82),0)</f>
        <v/>
      </c>
      <c r="AL83">
        <f>IF(AND(ISNUMBER(T83),ISNUMBER(T84)),VLOOKUP(ABS(T83-T84),'IMP Table'!$A$2:$C$26,3)*SIGN(T83-T84),0)</f>
        <v/>
      </c>
      <c r="AM83">
        <f>IF(AND(ISNUMBER(T83),ISNUMBER(T85)),VLOOKUP(ABS(T83-T85),'IMP Table'!$A$2:$C$26,3)*SIGN(T83-T85),0)</f>
        <v/>
      </c>
      <c r="AN83">
        <f>IF(AND(ISNUMBER(T83),ISNUMBER(T86)),VLOOKUP(ABS(T83-T86),'IMP Table'!$A$2:$C$26,3)*SIGN(T83-T86),0)</f>
        <v/>
      </c>
    </row>
    <row r="84">
      <c r="B84" s="10">
        <f>'By Round'!A27</f>
        <v/>
      </c>
      <c r="C84" s="10">
        <f>'By Round'!B29</f>
        <v/>
      </c>
      <c r="D84" s="10">
        <f>'By Round'!C29</f>
        <v/>
      </c>
      <c r="E84" s="10">
        <f>'By Round'!D29</f>
        <v/>
      </c>
      <c r="F84" s="10">
        <f>IF(ISBLANK('By Round'!F30),"",'By Round'!F30)</f>
        <v/>
      </c>
      <c r="G84">
        <f>IF(ISBLANK('By Round'!G30),"",'By Round'!G30)</f>
        <v/>
      </c>
      <c r="H84">
        <f>IF(ISBLANK('By Round'!H30),"",'By Round'!H30)</f>
        <v/>
      </c>
      <c r="I84">
        <f>IF(ISBLANK('By Round'!I30),"",'By Round'!I30)</f>
        <v/>
      </c>
      <c r="J84">
        <f>IF(ISBLANK('By Round'!J30),"",'By Round'!J30)</f>
        <v/>
      </c>
      <c r="K84">
        <f>IF(ISBLANK('By Round'!K30),"",'By Round'!K30)</f>
        <v/>
      </c>
      <c r="L84">
        <f>IF(ISBLANK('By Round'!L30),"",'By Round'!L30)</f>
        <v/>
      </c>
      <c r="M84" s="11">
        <f>AVERAGE(AE84:AI84)</f>
        <v/>
      </c>
      <c r="N84" s="12">
        <f>AVERAGE(AJ84:AN84)</f>
        <v/>
      </c>
      <c r="O84" s="13">
        <f>IF(COUNT(U84:Y84)&gt;0,Q84/COUNT(U84:Y84),0.5)</f>
        <v/>
      </c>
      <c r="P84" s="13">
        <f>IF(COUNT(Z84:AD84)&gt;0,R84/COUNT(Z84:AD84),0.5)</f>
        <v/>
      </c>
      <c r="Q84" s="5">
        <f>SUM(U84:Y84)</f>
        <v/>
      </c>
      <c r="R84" s="5">
        <f>SUM(Z84:AD84)</f>
        <v/>
      </c>
      <c r="S84" s="14">
        <f>IF(ISNUMBER(K84),K84,IF(ISNUMBER(L84),-L84,""))</f>
        <v/>
      </c>
      <c r="T84">
        <f>IF(ISNUMBER(L84),L84,IF(ISNUMBER(K84),-K84,""))</f>
        <v/>
      </c>
      <c r="U84" s="14">
        <f>IF(ISNUMBER(S84),IF(ISNUMBER(S81),IF(S84&gt;S81,1.0,IF(S84=S81,0.5,0.0)),""),"")</f>
        <v/>
      </c>
      <c r="V84">
        <f>IF(ISNUMBER(S84),IF(ISNUMBER(S82),IF(S84&gt;S82,1.0,IF(S84=S82,0.5,0.0)),""),"")</f>
        <v/>
      </c>
      <c r="W84">
        <f>IF(ISNUMBER(S84),IF(ISNUMBER(S83),IF(S84&gt;S83,1.0,IF(S84=S83,0.5,0.0)),""),"")</f>
        <v/>
      </c>
      <c r="X84">
        <f>IF(ISNUMBER(S84),IF(ISNUMBER(S85),IF(S84&gt;S85,1.0,IF(S84=S85,0.5,0.0)),""),"")</f>
        <v/>
      </c>
      <c r="Y84">
        <f>IF(ISNUMBER(S84),IF(ISNUMBER(S86),IF(S84&gt;S86,1.0,IF(S84=S86,0.5,0.0)),""),"")</f>
        <v/>
      </c>
      <c r="Z84">
        <f>IF(ISNUMBER(T84),IF(ISNUMBER(T81),IF(T84&gt;T81,1.0,IF(T84=T81,0.5,0.0)),""),"")</f>
        <v/>
      </c>
      <c r="AA84">
        <f>IF(ISNUMBER(T84),IF(ISNUMBER(T82),IF(T84&gt;T82,1.0,IF(T84=T82,0.5,0.0)),""),"")</f>
        <v/>
      </c>
      <c r="AB84">
        <f>IF(ISNUMBER(T84),IF(ISNUMBER(T83),IF(T84&gt;T83,1.0,IF(T84=T83,0.5,0.0)),""),"")</f>
        <v/>
      </c>
      <c r="AC84">
        <f>IF(ISNUMBER(T84),IF(ISNUMBER(T85),IF(T84&gt;T85,1.0,IF(T84=T85,0.5,0.0)),""),"")</f>
        <v/>
      </c>
      <c r="AD84">
        <f>IF(ISNUMBER(T84),IF(ISNUMBER(T86),IF(T84&gt;T86,1.0,IF(T84=T86,0.5,0.0)),""),"")</f>
        <v/>
      </c>
      <c r="AE84" s="14">
        <f>IF(AND(ISNUMBER(S84),ISNUMBER(S81)),VLOOKUP(ABS(S84-S81),'IMP Table'!$A$2:$C$26,3)*SIGN(S84-S81),0)</f>
        <v/>
      </c>
      <c r="AF84">
        <f>IF(AND(ISNUMBER(S84),ISNUMBER(S82)),VLOOKUP(ABS(S84-S82),'IMP Table'!$A$2:$C$26,3)*SIGN(S84-S82),0)</f>
        <v/>
      </c>
      <c r="AG84">
        <f>IF(AND(ISNUMBER(S84),ISNUMBER(S83)),VLOOKUP(ABS(S84-S83),'IMP Table'!$A$2:$C$26,3)*SIGN(S84-S83),0)</f>
        <v/>
      </c>
      <c r="AH84">
        <f>IF(AND(ISNUMBER(S84),ISNUMBER(S85)),VLOOKUP(ABS(S84-S85),'IMP Table'!$A$2:$C$26,3)*SIGN(S84-S85),0)</f>
        <v/>
      </c>
      <c r="AI84">
        <f>IF(AND(ISNUMBER(S84),ISNUMBER(S86)),VLOOKUP(ABS(S84-S86),'IMP Table'!$A$2:$C$26,3)*SIGN(S84-S86),0)</f>
        <v/>
      </c>
      <c r="AJ84">
        <f>IF(AND(ISNUMBER(T84),ISNUMBER(T81)),VLOOKUP(ABS(T84-T81),'IMP Table'!$A$2:$C$26,3)*SIGN(T84-T81),0)</f>
        <v/>
      </c>
      <c r="AK84">
        <f>IF(AND(ISNUMBER(T84),ISNUMBER(T82)),VLOOKUP(ABS(T84-T82),'IMP Table'!$A$2:$C$26,3)*SIGN(T84-T82),0)</f>
        <v/>
      </c>
      <c r="AL84">
        <f>IF(AND(ISNUMBER(T84),ISNUMBER(T83)),VLOOKUP(ABS(T84-T83),'IMP Table'!$A$2:$C$26,3)*SIGN(T84-T83),0)</f>
        <v/>
      </c>
      <c r="AM84">
        <f>IF(AND(ISNUMBER(T84),ISNUMBER(T85)),VLOOKUP(ABS(T84-T85),'IMP Table'!$A$2:$C$26,3)*SIGN(T84-T85),0)</f>
        <v/>
      </c>
      <c r="AN84">
        <f>IF(AND(ISNUMBER(T84),ISNUMBER(T86)),VLOOKUP(ABS(T84-T86),'IMP Table'!$A$2:$C$26,3)*SIGN(T84-T86),0)</f>
        <v/>
      </c>
    </row>
    <row r="85">
      <c r="B85" s="10">
        <f>'By Round'!A99</f>
        <v/>
      </c>
      <c r="C85" s="10">
        <f>'By Round'!B109</f>
        <v/>
      </c>
      <c r="D85" s="10">
        <f>'By Round'!C109</f>
        <v/>
      </c>
      <c r="E85" s="10">
        <f>'By Round'!D109</f>
        <v/>
      </c>
      <c r="F85" s="10">
        <f>IF(ISBLANK('By Round'!F110),"",'By Round'!F110)</f>
        <v/>
      </c>
      <c r="G85">
        <f>IF(ISBLANK('By Round'!G110),"",'By Round'!G110)</f>
        <v/>
      </c>
      <c r="H85">
        <f>IF(ISBLANK('By Round'!H110),"",'By Round'!H110)</f>
        <v/>
      </c>
      <c r="I85">
        <f>IF(ISBLANK('By Round'!I110),"",'By Round'!I110)</f>
        <v/>
      </c>
      <c r="J85">
        <f>IF(ISBLANK('By Round'!J110),"",'By Round'!J110)</f>
        <v/>
      </c>
      <c r="K85">
        <f>IF(ISBLANK('By Round'!K110),"",'By Round'!K110)</f>
        <v/>
      </c>
      <c r="L85">
        <f>IF(ISBLANK('By Round'!L110),"",'By Round'!L110)</f>
        <v/>
      </c>
      <c r="M85" s="11">
        <f>AVERAGE(AE85:AI85)</f>
        <v/>
      </c>
      <c r="N85" s="12">
        <f>AVERAGE(AJ85:AN85)</f>
        <v/>
      </c>
      <c r="O85" s="13">
        <f>IF(COUNT(U85:Y85)&gt;0,Q85/COUNT(U85:Y85),0.5)</f>
        <v/>
      </c>
      <c r="P85" s="13">
        <f>IF(COUNT(Z85:AD85)&gt;0,R85/COUNT(Z85:AD85),0.5)</f>
        <v/>
      </c>
      <c r="Q85" s="5">
        <f>SUM(U85:Y85)</f>
        <v/>
      </c>
      <c r="R85" s="5">
        <f>SUM(Z85:AD85)</f>
        <v/>
      </c>
      <c r="S85" s="14">
        <f>IF(ISNUMBER(K85),K85,IF(ISNUMBER(L85),-L85,""))</f>
        <v/>
      </c>
      <c r="T85">
        <f>IF(ISNUMBER(L85),L85,IF(ISNUMBER(K85),-K85,""))</f>
        <v/>
      </c>
      <c r="U85" s="14">
        <f>IF(ISNUMBER(S85),IF(ISNUMBER(S81),IF(S85&gt;S81,1.0,IF(S85=S81,0.5,0.0)),""),"")</f>
        <v/>
      </c>
      <c r="V85">
        <f>IF(ISNUMBER(S85),IF(ISNUMBER(S82),IF(S85&gt;S82,1.0,IF(S85=S82,0.5,0.0)),""),"")</f>
        <v/>
      </c>
      <c r="W85">
        <f>IF(ISNUMBER(S85),IF(ISNUMBER(S83),IF(S85&gt;S83,1.0,IF(S85=S83,0.5,0.0)),""),"")</f>
        <v/>
      </c>
      <c r="X85">
        <f>IF(ISNUMBER(S85),IF(ISNUMBER(S84),IF(S85&gt;S84,1.0,IF(S85=S84,0.5,0.0)),""),"")</f>
        <v/>
      </c>
      <c r="Y85">
        <f>IF(ISNUMBER(S85),IF(ISNUMBER(S86),IF(S85&gt;S86,1.0,IF(S85=S86,0.5,0.0)),""),"")</f>
        <v/>
      </c>
      <c r="Z85">
        <f>IF(ISNUMBER(T85),IF(ISNUMBER(T81),IF(T85&gt;T81,1.0,IF(T85=T81,0.5,0.0)),""),"")</f>
        <v/>
      </c>
      <c r="AA85">
        <f>IF(ISNUMBER(T85),IF(ISNUMBER(T82),IF(T85&gt;T82,1.0,IF(T85=T82,0.5,0.0)),""),"")</f>
        <v/>
      </c>
      <c r="AB85">
        <f>IF(ISNUMBER(T85),IF(ISNUMBER(T83),IF(T85&gt;T83,1.0,IF(T85=T83,0.5,0.0)),""),"")</f>
        <v/>
      </c>
      <c r="AC85">
        <f>IF(ISNUMBER(T85),IF(ISNUMBER(T84),IF(T85&gt;T84,1.0,IF(T85=T84,0.5,0.0)),""),"")</f>
        <v/>
      </c>
      <c r="AD85">
        <f>IF(ISNUMBER(T85),IF(ISNUMBER(T86),IF(T85&gt;T86,1.0,IF(T85=T86,0.5,0.0)),""),"")</f>
        <v/>
      </c>
      <c r="AE85" s="14">
        <f>IF(AND(ISNUMBER(S85),ISNUMBER(S81)),VLOOKUP(ABS(S85-S81),'IMP Table'!$A$2:$C$26,3)*SIGN(S85-S81),0)</f>
        <v/>
      </c>
      <c r="AF85">
        <f>IF(AND(ISNUMBER(S85),ISNUMBER(S82)),VLOOKUP(ABS(S85-S82),'IMP Table'!$A$2:$C$26,3)*SIGN(S85-S82),0)</f>
        <v/>
      </c>
      <c r="AG85">
        <f>IF(AND(ISNUMBER(S85),ISNUMBER(S83)),VLOOKUP(ABS(S85-S83),'IMP Table'!$A$2:$C$26,3)*SIGN(S85-S83),0)</f>
        <v/>
      </c>
      <c r="AH85">
        <f>IF(AND(ISNUMBER(S85),ISNUMBER(S84)),VLOOKUP(ABS(S85-S84),'IMP Table'!$A$2:$C$26,3)*SIGN(S85-S84),0)</f>
        <v/>
      </c>
      <c r="AI85">
        <f>IF(AND(ISNUMBER(S85),ISNUMBER(S86)),VLOOKUP(ABS(S85-S86),'IMP Table'!$A$2:$C$26,3)*SIGN(S85-S86),0)</f>
        <v/>
      </c>
      <c r="AJ85">
        <f>IF(AND(ISNUMBER(T85),ISNUMBER(T81)),VLOOKUP(ABS(T85-T81),'IMP Table'!$A$2:$C$26,3)*SIGN(T85-T81),0)</f>
        <v/>
      </c>
      <c r="AK85">
        <f>IF(AND(ISNUMBER(T85),ISNUMBER(T82)),VLOOKUP(ABS(T85-T82),'IMP Table'!$A$2:$C$26,3)*SIGN(T85-T82),0)</f>
        <v/>
      </c>
      <c r="AL85">
        <f>IF(AND(ISNUMBER(T85),ISNUMBER(T83)),VLOOKUP(ABS(T85-T83),'IMP Table'!$A$2:$C$26,3)*SIGN(T85-T83),0)</f>
        <v/>
      </c>
      <c r="AM85">
        <f>IF(AND(ISNUMBER(T85),ISNUMBER(T84)),VLOOKUP(ABS(T85-T84),'IMP Table'!$A$2:$C$26,3)*SIGN(T85-T84),0)</f>
        <v/>
      </c>
      <c r="AN85">
        <f>IF(AND(ISNUMBER(T85),ISNUMBER(T86)),VLOOKUP(ABS(T85-T86),'IMP Table'!$A$2:$C$26,3)*SIGN(T85-T86),0)</f>
        <v/>
      </c>
    </row>
    <row r="86">
      <c r="A86" s="15" t="n"/>
      <c r="B86" s="16">
        <f>'By Round'!A15</f>
        <v/>
      </c>
      <c r="C86" s="16">
        <f>'By Round'!B19</f>
        <v/>
      </c>
      <c r="D86" s="16">
        <f>'By Round'!C19</f>
        <v/>
      </c>
      <c r="E86" s="16">
        <f>'By Round'!D19</f>
        <v/>
      </c>
      <c r="F86" s="16">
        <f>IF(ISBLANK('By Round'!F20),"",'By Round'!F20)</f>
        <v/>
      </c>
      <c r="G86" s="15">
        <f>IF(ISBLANK('By Round'!G20),"",'By Round'!G20)</f>
        <v/>
      </c>
      <c r="H86" s="15">
        <f>IF(ISBLANK('By Round'!H20),"",'By Round'!H20)</f>
        <v/>
      </c>
      <c r="I86" s="15">
        <f>IF(ISBLANK('By Round'!I20),"",'By Round'!I20)</f>
        <v/>
      </c>
      <c r="J86" s="15">
        <f>IF(ISBLANK('By Round'!J20),"",'By Round'!J20)</f>
        <v/>
      </c>
      <c r="K86" s="15">
        <f>IF(ISBLANK('By Round'!K20),"",'By Round'!K20)</f>
        <v/>
      </c>
      <c r="L86" s="15">
        <f>IF(ISBLANK('By Round'!L20),"",'By Round'!L20)</f>
        <v/>
      </c>
      <c r="M86" s="17">
        <f>AVERAGE(AE86:AI86)</f>
        <v/>
      </c>
      <c r="N86" s="18">
        <f>AVERAGE(AJ86:AN86)</f>
        <v/>
      </c>
      <c r="O86" s="19">
        <f>IF(COUNT(U86:Y86)&gt;0,Q86/COUNT(U86:Y86),0.5)</f>
        <v/>
      </c>
      <c r="P86" s="19">
        <f>IF(COUNT(Z86:AD86)&gt;0,R86/COUNT(Z86:AD86),0.5)</f>
        <v/>
      </c>
      <c r="Q86" s="20">
        <f>SUM(U86:Y86)</f>
        <v/>
      </c>
      <c r="R86" s="20">
        <f>SUM(Z86:AD86)</f>
        <v/>
      </c>
      <c r="S86" s="21">
        <f>IF(ISNUMBER(K86),K86,IF(ISNUMBER(L86),-L86,""))</f>
        <v/>
      </c>
      <c r="T86" s="15">
        <f>IF(ISNUMBER(L86),L86,IF(ISNUMBER(K86),-K86,""))</f>
        <v/>
      </c>
      <c r="U86" s="21">
        <f>IF(ISNUMBER(S86),IF(ISNUMBER(S81),IF(S86&gt;S81,1.0,IF(S86=S81,0.5,0.0)),""),"")</f>
        <v/>
      </c>
      <c r="V86" s="15">
        <f>IF(ISNUMBER(S86),IF(ISNUMBER(S82),IF(S86&gt;S82,1.0,IF(S86=S82,0.5,0.0)),""),"")</f>
        <v/>
      </c>
      <c r="W86" s="15">
        <f>IF(ISNUMBER(S86),IF(ISNUMBER(S83),IF(S86&gt;S83,1.0,IF(S86=S83,0.5,0.0)),""),"")</f>
        <v/>
      </c>
      <c r="X86" s="15">
        <f>IF(ISNUMBER(S86),IF(ISNUMBER(S84),IF(S86&gt;S84,1.0,IF(S86=S84,0.5,0.0)),""),"")</f>
        <v/>
      </c>
      <c r="Y86" s="15">
        <f>IF(ISNUMBER(S86),IF(ISNUMBER(S85),IF(S86&gt;S85,1.0,IF(S86=S85,0.5,0.0)),""),"")</f>
        <v/>
      </c>
      <c r="Z86" s="15">
        <f>IF(ISNUMBER(T86),IF(ISNUMBER(T81),IF(T86&gt;T81,1.0,IF(T86=T81,0.5,0.0)),""),"")</f>
        <v/>
      </c>
      <c r="AA86" s="15">
        <f>IF(ISNUMBER(T86),IF(ISNUMBER(T82),IF(T86&gt;T82,1.0,IF(T86=T82,0.5,0.0)),""),"")</f>
        <v/>
      </c>
      <c r="AB86" s="15">
        <f>IF(ISNUMBER(T86),IF(ISNUMBER(T83),IF(T86&gt;T83,1.0,IF(T86=T83,0.5,0.0)),""),"")</f>
        <v/>
      </c>
      <c r="AC86" s="15">
        <f>IF(ISNUMBER(T86),IF(ISNUMBER(T84),IF(T86&gt;T84,1.0,IF(T86=T84,0.5,0.0)),""),"")</f>
        <v/>
      </c>
      <c r="AD86" s="15">
        <f>IF(ISNUMBER(T86),IF(ISNUMBER(T85),IF(T86&gt;T85,1.0,IF(T86=T85,0.5,0.0)),""),"")</f>
        <v/>
      </c>
      <c r="AE86" s="21">
        <f>IF(AND(ISNUMBER(S86),ISNUMBER(S81)),VLOOKUP(ABS(S86-S81),'IMP Table'!$A$2:$C$26,3)*SIGN(S86-S81),0)</f>
        <v/>
      </c>
      <c r="AF86" s="15">
        <f>IF(AND(ISNUMBER(S86),ISNUMBER(S82)),VLOOKUP(ABS(S86-S82),'IMP Table'!$A$2:$C$26,3)*SIGN(S86-S82),0)</f>
        <v/>
      </c>
      <c r="AG86" s="15">
        <f>IF(AND(ISNUMBER(S86),ISNUMBER(S83)),VLOOKUP(ABS(S86-S83),'IMP Table'!$A$2:$C$26,3)*SIGN(S86-S83),0)</f>
        <v/>
      </c>
      <c r="AH86" s="15">
        <f>IF(AND(ISNUMBER(S86),ISNUMBER(S84)),VLOOKUP(ABS(S86-S84),'IMP Table'!$A$2:$C$26,3)*SIGN(S86-S84),0)</f>
        <v/>
      </c>
      <c r="AI86" s="15">
        <f>IF(AND(ISNUMBER(S86),ISNUMBER(S85)),VLOOKUP(ABS(S86-S85),'IMP Table'!$A$2:$C$26,3)*SIGN(S86-S85),0)</f>
        <v/>
      </c>
      <c r="AJ86" s="15">
        <f>IF(AND(ISNUMBER(T86),ISNUMBER(T81)),VLOOKUP(ABS(T86-T81),'IMP Table'!$A$2:$C$26,3)*SIGN(T86-T81),0)</f>
        <v/>
      </c>
      <c r="AK86" s="15">
        <f>IF(AND(ISNUMBER(T86),ISNUMBER(T82)),VLOOKUP(ABS(T86-T82),'IMP Table'!$A$2:$C$26,3)*SIGN(T86-T82),0)</f>
        <v/>
      </c>
      <c r="AL86" s="15">
        <f>IF(AND(ISNUMBER(T86),ISNUMBER(T83)),VLOOKUP(ABS(T86-T83),'IMP Table'!$A$2:$C$26,3)*SIGN(T86-T83),0)</f>
        <v/>
      </c>
      <c r="AM86" s="15">
        <f>IF(AND(ISNUMBER(T86),ISNUMBER(T84)),VLOOKUP(ABS(T86-T84),'IMP Table'!$A$2:$C$26,3)*SIGN(T86-T84),0)</f>
        <v/>
      </c>
      <c r="AN86" s="15">
        <f>IF(AND(ISNUMBER(T86),ISNUMBER(T85)),VLOOKUP(ABS(T86-T85),'IMP Table'!$A$2:$C$26,3)*SIGN(T86-T85),0)</f>
        <v/>
      </c>
    </row>
    <row r="87">
      <c r="A87" s="10" t="n">
        <v>15</v>
      </c>
      <c r="B87" s="10">
        <f>'By Round'!A87</f>
        <v/>
      </c>
      <c r="C87" s="10">
        <f>'By Round'!B87</f>
        <v/>
      </c>
      <c r="D87" s="10">
        <f>'By Round'!C87</f>
        <v/>
      </c>
      <c r="E87" s="10">
        <f>'By Round'!D87</f>
        <v/>
      </c>
      <c r="F87" s="10">
        <f>IF(ISBLANK('By Round'!F87),"",'By Round'!F87)</f>
        <v/>
      </c>
      <c r="G87">
        <f>IF(ISBLANK('By Round'!G87),"",'By Round'!G87)</f>
        <v/>
      </c>
      <c r="H87">
        <f>IF(ISBLANK('By Round'!H87),"",'By Round'!H87)</f>
        <v/>
      </c>
      <c r="I87">
        <f>IF(ISBLANK('By Round'!I87),"",'By Round'!I87)</f>
        <v/>
      </c>
      <c r="J87">
        <f>IF(ISBLANK('By Round'!J87),"",'By Round'!J87)</f>
        <v/>
      </c>
      <c r="K87">
        <f>IF(ISBLANK('By Round'!K87),"",'By Round'!K87)</f>
        <v/>
      </c>
      <c r="L87">
        <f>IF(ISBLANK('By Round'!L87),"",'By Round'!L87)</f>
        <v/>
      </c>
      <c r="M87" s="11">
        <f>AVERAGE(AE87:AI87)</f>
        <v/>
      </c>
      <c r="N87" s="12">
        <f>AVERAGE(AJ87:AN87)</f>
        <v/>
      </c>
      <c r="O87" s="13">
        <f>IF(COUNT(U87:Y87)&gt;0,Q87/COUNT(U87:Y87),0.5)</f>
        <v/>
      </c>
      <c r="P87" s="13">
        <f>IF(COUNT(Z87:AD87)&gt;0,R87/COUNT(Z87:AD87),0.5)</f>
        <v/>
      </c>
      <c r="Q87" s="5">
        <f>SUM(U87:Y87)</f>
        <v/>
      </c>
      <c r="R87" s="5">
        <f>SUM(Z87:AD87)</f>
        <v/>
      </c>
      <c r="S87" s="14">
        <f>IF(ISNUMBER(K87),K87,IF(ISNUMBER(L87),-L87,""))</f>
        <v/>
      </c>
      <c r="T87">
        <f>IF(ISNUMBER(L87),L87,IF(ISNUMBER(K87),-K87,""))</f>
        <v/>
      </c>
      <c r="U87" s="14">
        <f>IF(ISNUMBER(S87),IF(ISNUMBER(S88),IF(S87&gt;S88,1.0,IF(S87=S88,0.5,0.0)),""),"")</f>
        <v/>
      </c>
      <c r="V87">
        <f>IF(ISNUMBER(S87),IF(ISNUMBER(S89),IF(S87&gt;S89,1.0,IF(S87=S89,0.5,0.0)),""),"")</f>
        <v/>
      </c>
      <c r="W87">
        <f>IF(ISNUMBER(S87),IF(ISNUMBER(S90),IF(S87&gt;S90,1.0,IF(S87=S90,0.5,0.0)),""),"")</f>
        <v/>
      </c>
      <c r="X87">
        <f>IF(ISNUMBER(S87),IF(ISNUMBER(S91),IF(S87&gt;S91,1.0,IF(S87=S91,0.5,0.0)),""),"")</f>
        <v/>
      </c>
      <c r="Y87">
        <f>IF(ISNUMBER(S87),IF(ISNUMBER(S92),IF(S87&gt;S92,1.0,IF(S87=S92,0.5,0.0)),""),"")</f>
        <v/>
      </c>
      <c r="Z87">
        <f>IF(ISNUMBER(T87),IF(ISNUMBER(T88),IF(T87&gt;T88,1.0,IF(T87=T88,0.5,0.0)),""),"")</f>
        <v/>
      </c>
      <c r="AA87">
        <f>IF(ISNUMBER(T87),IF(ISNUMBER(T89),IF(T87&gt;T89,1.0,IF(T87=T89,0.5,0.0)),""),"")</f>
        <v/>
      </c>
      <c r="AB87">
        <f>IF(ISNUMBER(T87),IF(ISNUMBER(T90),IF(T87&gt;T90,1.0,IF(T87=T90,0.5,0.0)),""),"")</f>
        <v/>
      </c>
      <c r="AC87">
        <f>IF(ISNUMBER(T87),IF(ISNUMBER(T91),IF(T87&gt;T91,1.0,IF(T87=T91,0.5,0.0)),""),"")</f>
        <v/>
      </c>
      <c r="AD87">
        <f>IF(ISNUMBER(T87),IF(ISNUMBER(T92),IF(T87&gt;T92,1.0,IF(T87=T92,0.5,0.0)),""),"")</f>
        <v/>
      </c>
      <c r="AE87" s="14">
        <f>IF(AND(ISNUMBER(S87),ISNUMBER(S88)),VLOOKUP(ABS(S87-S88),'IMP Table'!$A$2:$C$26,3)*SIGN(S87-S88),0)</f>
        <v/>
      </c>
      <c r="AF87">
        <f>IF(AND(ISNUMBER(S87),ISNUMBER(S89)),VLOOKUP(ABS(S87-S89),'IMP Table'!$A$2:$C$26,3)*SIGN(S87-S89),0)</f>
        <v/>
      </c>
      <c r="AG87">
        <f>IF(AND(ISNUMBER(S87),ISNUMBER(S90)),VLOOKUP(ABS(S87-S90),'IMP Table'!$A$2:$C$26,3)*SIGN(S87-S90),0)</f>
        <v/>
      </c>
      <c r="AH87">
        <f>IF(AND(ISNUMBER(S87),ISNUMBER(S91)),VLOOKUP(ABS(S87-S91),'IMP Table'!$A$2:$C$26,3)*SIGN(S87-S91),0)</f>
        <v/>
      </c>
      <c r="AI87">
        <f>IF(AND(ISNUMBER(S87),ISNUMBER(S92)),VLOOKUP(ABS(S87-S92),'IMP Table'!$A$2:$C$26,3)*SIGN(S87-S92),0)</f>
        <v/>
      </c>
      <c r="AJ87">
        <f>IF(AND(ISNUMBER(T87),ISNUMBER(T88)),VLOOKUP(ABS(T87-T88),'IMP Table'!$A$2:$C$26,3)*SIGN(T87-T88),0)</f>
        <v/>
      </c>
      <c r="AK87">
        <f>IF(AND(ISNUMBER(T87),ISNUMBER(T89)),VLOOKUP(ABS(T87-T89),'IMP Table'!$A$2:$C$26,3)*SIGN(T87-T89),0)</f>
        <v/>
      </c>
      <c r="AL87">
        <f>IF(AND(ISNUMBER(T87),ISNUMBER(T90)),VLOOKUP(ABS(T87-T90),'IMP Table'!$A$2:$C$26,3)*SIGN(T87-T90),0)</f>
        <v/>
      </c>
      <c r="AM87">
        <f>IF(AND(ISNUMBER(T87),ISNUMBER(T91)),VLOOKUP(ABS(T87-T91),'IMP Table'!$A$2:$C$26,3)*SIGN(T87-T91),0)</f>
        <v/>
      </c>
      <c r="AN87">
        <f>IF(AND(ISNUMBER(T87),ISNUMBER(T92)),VLOOKUP(ABS(T87-T92),'IMP Table'!$A$2:$C$26,3)*SIGN(T87-T92),0)</f>
        <v/>
      </c>
    </row>
    <row r="88">
      <c r="B88" s="10">
        <f>'By Round'!A123</f>
        <v/>
      </c>
      <c r="C88" s="10">
        <f>'By Round'!B131</f>
        <v/>
      </c>
      <c r="D88" s="10">
        <f>'By Round'!C131</f>
        <v/>
      </c>
      <c r="E88" s="10">
        <f>'By Round'!D131</f>
        <v/>
      </c>
      <c r="F88" s="10">
        <f>IF(ISBLANK('By Round'!F131),"",'By Round'!F131)</f>
        <v/>
      </c>
      <c r="G88">
        <f>IF(ISBLANK('By Round'!G131),"",'By Round'!G131)</f>
        <v/>
      </c>
      <c r="H88">
        <f>IF(ISBLANK('By Round'!H131),"",'By Round'!H131)</f>
        <v/>
      </c>
      <c r="I88">
        <f>IF(ISBLANK('By Round'!I131),"",'By Round'!I131)</f>
        <v/>
      </c>
      <c r="J88">
        <f>IF(ISBLANK('By Round'!J131),"",'By Round'!J131)</f>
        <v/>
      </c>
      <c r="K88">
        <f>IF(ISBLANK('By Round'!K131),"",'By Round'!K131)</f>
        <v/>
      </c>
      <c r="L88">
        <f>IF(ISBLANK('By Round'!L131),"",'By Round'!L131)</f>
        <v/>
      </c>
      <c r="M88" s="11">
        <f>AVERAGE(AE88:AI88)</f>
        <v/>
      </c>
      <c r="N88" s="12">
        <f>AVERAGE(AJ88:AN88)</f>
        <v/>
      </c>
      <c r="O88" s="13">
        <f>IF(COUNT(U88:Y88)&gt;0,Q88/COUNT(U88:Y88),0.5)</f>
        <v/>
      </c>
      <c r="P88" s="13">
        <f>IF(COUNT(Z88:AD88)&gt;0,R88/COUNT(Z88:AD88),0.5)</f>
        <v/>
      </c>
      <c r="Q88" s="5">
        <f>SUM(U88:Y88)</f>
        <v/>
      </c>
      <c r="R88" s="5">
        <f>SUM(Z88:AD88)</f>
        <v/>
      </c>
      <c r="S88" s="14">
        <f>IF(ISNUMBER(K88),K88,IF(ISNUMBER(L88),-L88,""))</f>
        <v/>
      </c>
      <c r="T88">
        <f>IF(ISNUMBER(L88),L88,IF(ISNUMBER(K88),-K88,""))</f>
        <v/>
      </c>
      <c r="U88" s="14">
        <f>IF(ISNUMBER(S88),IF(ISNUMBER(S87),IF(S88&gt;S87,1.0,IF(S88=S87,0.5,0.0)),""),"")</f>
        <v/>
      </c>
      <c r="V88">
        <f>IF(ISNUMBER(S88),IF(ISNUMBER(S89),IF(S88&gt;S89,1.0,IF(S88=S89,0.5,0.0)),""),"")</f>
        <v/>
      </c>
      <c r="W88">
        <f>IF(ISNUMBER(S88),IF(ISNUMBER(S90),IF(S88&gt;S90,1.0,IF(S88=S90,0.5,0.0)),""),"")</f>
        <v/>
      </c>
      <c r="X88">
        <f>IF(ISNUMBER(S88),IF(ISNUMBER(S91),IF(S88&gt;S91,1.0,IF(S88=S91,0.5,0.0)),""),"")</f>
        <v/>
      </c>
      <c r="Y88">
        <f>IF(ISNUMBER(S88),IF(ISNUMBER(S92),IF(S88&gt;S92,1.0,IF(S88=S92,0.5,0.0)),""),"")</f>
        <v/>
      </c>
      <c r="Z88">
        <f>IF(ISNUMBER(T88),IF(ISNUMBER(T87),IF(T88&gt;T87,1.0,IF(T88=T87,0.5,0.0)),""),"")</f>
        <v/>
      </c>
      <c r="AA88">
        <f>IF(ISNUMBER(T88),IF(ISNUMBER(T89),IF(T88&gt;T89,1.0,IF(T88=T89,0.5,0.0)),""),"")</f>
        <v/>
      </c>
      <c r="AB88">
        <f>IF(ISNUMBER(T88),IF(ISNUMBER(T90),IF(T88&gt;T90,1.0,IF(T88=T90,0.5,0.0)),""),"")</f>
        <v/>
      </c>
      <c r="AC88">
        <f>IF(ISNUMBER(T88),IF(ISNUMBER(T91),IF(T88&gt;T91,1.0,IF(T88=T91,0.5,0.0)),""),"")</f>
        <v/>
      </c>
      <c r="AD88">
        <f>IF(ISNUMBER(T88),IF(ISNUMBER(T92),IF(T88&gt;T92,1.0,IF(T88=T92,0.5,0.0)),""),"")</f>
        <v/>
      </c>
      <c r="AE88" s="14">
        <f>IF(AND(ISNUMBER(S88),ISNUMBER(S87)),VLOOKUP(ABS(S88-S87),'IMP Table'!$A$2:$C$26,3)*SIGN(S88-S87),0)</f>
        <v/>
      </c>
      <c r="AF88">
        <f>IF(AND(ISNUMBER(S88),ISNUMBER(S89)),VLOOKUP(ABS(S88-S89),'IMP Table'!$A$2:$C$26,3)*SIGN(S88-S89),0)</f>
        <v/>
      </c>
      <c r="AG88">
        <f>IF(AND(ISNUMBER(S88),ISNUMBER(S90)),VLOOKUP(ABS(S88-S90),'IMP Table'!$A$2:$C$26,3)*SIGN(S88-S90),0)</f>
        <v/>
      </c>
      <c r="AH88">
        <f>IF(AND(ISNUMBER(S88),ISNUMBER(S91)),VLOOKUP(ABS(S88-S91),'IMP Table'!$A$2:$C$26,3)*SIGN(S88-S91),0)</f>
        <v/>
      </c>
      <c r="AI88">
        <f>IF(AND(ISNUMBER(S88),ISNUMBER(S92)),VLOOKUP(ABS(S88-S92),'IMP Table'!$A$2:$C$26,3)*SIGN(S88-S92),0)</f>
        <v/>
      </c>
      <c r="AJ88">
        <f>IF(AND(ISNUMBER(T88),ISNUMBER(T87)),VLOOKUP(ABS(T88-T87),'IMP Table'!$A$2:$C$26,3)*SIGN(T88-T87),0)</f>
        <v/>
      </c>
      <c r="AK88">
        <f>IF(AND(ISNUMBER(T88),ISNUMBER(T89)),VLOOKUP(ABS(T88-T89),'IMP Table'!$A$2:$C$26,3)*SIGN(T88-T89),0)</f>
        <v/>
      </c>
      <c r="AL88">
        <f>IF(AND(ISNUMBER(T88),ISNUMBER(T90)),VLOOKUP(ABS(T88-T90),'IMP Table'!$A$2:$C$26,3)*SIGN(T88-T90),0)</f>
        <v/>
      </c>
      <c r="AM88">
        <f>IF(AND(ISNUMBER(T88),ISNUMBER(T91)),VLOOKUP(ABS(T88-T91),'IMP Table'!$A$2:$C$26,3)*SIGN(T88-T91),0)</f>
        <v/>
      </c>
      <c r="AN88">
        <f>IF(AND(ISNUMBER(T88),ISNUMBER(T92)),VLOOKUP(ABS(T88-T92),'IMP Table'!$A$2:$C$26,3)*SIGN(T88-T92),0)</f>
        <v/>
      </c>
    </row>
    <row r="89">
      <c r="B89" s="10">
        <f>'By Round'!A3</f>
        <v/>
      </c>
      <c r="C89" s="10">
        <f>'By Round'!B9</f>
        <v/>
      </c>
      <c r="D89" s="10">
        <f>'By Round'!C9</f>
        <v/>
      </c>
      <c r="E89" s="10">
        <f>'By Round'!D9</f>
        <v/>
      </c>
      <c r="F89" s="10">
        <f>IF(ISBLANK('By Round'!F9),"",'By Round'!F9)</f>
        <v/>
      </c>
      <c r="G89">
        <f>IF(ISBLANK('By Round'!G9),"",'By Round'!G9)</f>
        <v/>
      </c>
      <c r="H89">
        <f>IF(ISBLANK('By Round'!H9),"",'By Round'!H9)</f>
        <v/>
      </c>
      <c r="I89">
        <f>IF(ISBLANK('By Round'!I9),"",'By Round'!I9)</f>
        <v/>
      </c>
      <c r="J89">
        <f>IF(ISBLANK('By Round'!J9),"",'By Round'!J9)</f>
        <v/>
      </c>
      <c r="K89">
        <f>IF(ISBLANK('By Round'!K9),"",'By Round'!K9)</f>
        <v/>
      </c>
      <c r="L89">
        <f>IF(ISBLANK('By Round'!L9),"",'By Round'!L9)</f>
        <v/>
      </c>
      <c r="M89" s="11">
        <f>AVERAGE(AE89:AI89)</f>
        <v/>
      </c>
      <c r="N89" s="12">
        <f>AVERAGE(AJ89:AN89)</f>
        <v/>
      </c>
      <c r="O89" s="13">
        <f>IF(COUNT(U89:Y89)&gt;0,Q89/COUNT(U89:Y89),0.5)</f>
        <v/>
      </c>
      <c r="P89" s="13">
        <f>IF(COUNT(Z89:AD89)&gt;0,R89/COUNT(Z89:AD89),0.5)</f>
        <v/>
      </c>
      <c r="Q89" s="5">
        <f>SUM(U89:Y89)</f>
        <v/>
      </c>
      <c r="R89" s="5">
        <f>SUM(Z89:AD89)</f>
        <v/>
      </c>
      <c r="S89" s="14">
        <f>IF(ISNUMBER(K89),K89,IF(ISNUMBER(L89),-L89,""))</f>
        <v/>
      </c>
      <c r="T89">
        <f>IF(ISNUMBER(L89),L89,IF(ISNUMBER(K89),-K89,""))</f>
        <v/>
      </c>
      <c r="U89" s="14">
        <f>IF(ISNUMBER(S89),IF(ISNUMBER(S87),IF(S89&gt;S87,1.0,IF(S89=S87,0.5,0.0)),""),"")</f>
        <v/>
      </c>
      <c r="V89">
        <f>IF(ISNUMBER(S89),IF(ISNUMBER(S88),IF(S89&gt;S88,1.0,IF(S89=S88,0.5,0.0)),""),"")</f>
        <v/>
      </c>
      <c r="W89">
        <f>IF(ISNUMBER(S89),IF(ISNUMBER(S90),IF(S89&gt;S90,1.0,IF(S89=S90,0.5,0.0)),""),"")</f>
        <v/>
      </c>
      <c r="X89">
        <f>IF(ISNUMBER(S89),IF(ISNUMBER(S91),IF(S89&gt;S91,1.0,IF(S89=S91,0.5,0.0)),""),"")</f>
        <v/>
      </c>
      <c r="Y89">
        <f>IF(ISNUMBER(S89),IF(ISNUMBER(S92),IF(S89&gt;S92,1.0,IF(S89=S92,0.5,0.0)),""),"")</f>
        <v/>
      </c>
      <c r="Z89">
        <f>IF(ISNUMBER(T89),IF(ISNUMBER(T87),IF(T89&gt;T87,1.0,IF(T89=T87,0.5,0.0)),""),"")</f>
        <v/>
      </c>
      <c r="AA89">
        <f>IF(ISNUMBER(T89),IF(ISNUMBER(T88),IF(T89&gt;T88,1.0,IF(T89=T88,0.5,0.0)),""),"")</f>
        <v/>
      </c>
      <c r="AB89">
        <f>IF(ISNUMBER(T89),IF(ISNUMBER(T90),IF(T89&gt;T90,1.0,IF(T89=T90,0.5,0.0)),""),"")</f>
        <v/>
      </c>
      <c r="AC89">
        <f>IF(ISNUMBER(T89),IF(ISNUMBER(T91),IF(T89&gt;T91,1.0,IF(T89=T91,0.5,0.0)),""),"")</f>
        <v/>
      </c>
      <c r="AD89">
        <f>IF(ISNUMBER(T89),IF(ISNUMBER(T92),IF(T89&gt;T92,1.0,IF(T89=T92,0.5,0.0)),""),"")</f>
        <v/>
      </c>
      <c r="AE89" s="14">
        <f>IF(AND(ISNUMBER(S89),ISNUMBER(S87)),VLOOKUP(ABS(S89-S87),'IMP Table'!$A$2:$C$26,3)*SIGN(S89-S87),0)</f>
        <v/>
      </c>
      <c r="AF89">
        <f>IF(AND(ISNUMBER(S89),ISNUMBER(S88)),VLOOKUP(ABS(S89-S88),'IMP Table'!$A$2:$C$26,3)*SIGN(S89-S88),0)</f>
        <v/>
      </c>
      <c r="AG89">
        <f>IF(AND(ISNUMBER(S89),ISNUMBER(S90)),VLOOKUP(ABS(S89-S90),'IMP Table'!$A$2:$C$26,3)*SIGN(S89-S90),0)</f>
        <v/>
      </c>
      <c r="AH89">
        <f>IF(AND(ISNUMBER(S89),ISNUMBER(S91)),VLOOKUP(ABS(S89-S91),'IMP Table'!$A$2:$C$26,3)*SIGN(S89-S91),0)</f>
        <v/>
      </c>
      <c r="AI89">
        <f>IF(AND(ISNUMBER(S89),ISNUMBER(S92)),VLOOKUP(ABS(S89-S92),'IMP Table'!$A$2:$C$26,3)*SIGN(S89-S92),0)</f>
        <v/>
      </c>
      <c r="AJ89">
        <f>IF(AND(ISNUMBER(T89),ISNUMBER(T87)),VLOOKUP(ABS(T89-T87),'IMP Table'!$A$2:$C$26,3)*SIGN(T89-T87),0)</f>
        <v/>
      </c>
      <c r="AK89">
        <f>IF(AND(ISNUMBER(T89),ISNUMBER(T88)),VLOOKUP(ABS(T89-T88),'IMP Table'!$A$2:$C$26,3)*SIGN(T89-T88),0)</f>
        <v/>
      </c>
      <c r="AL89">
        <f>IF(AND(ISNUMBER(T89),ISNUMBER(T90)),VLOOKUP(ABS(T89-T90),'IMP Table'!$A$2:$C$26,3)*SIGN(T89-T90),0)</f>
        <v/>
      </c>
      <c r="AM89">
        <f>IF(AND(ISNUMBER(T89),ISNUMBER(T91)),VLOOKUP(ABS(T89-T91),'IMP Table'!$A$2:$C$26,3)*SIGN(T89-T91),0)</f>
        <v/>
      </c>
      <c r="AN89">
        <f>IF(AND(ISNUMBER(T89),ISNUMBER(T92)),VLOOKUP(ABS(T89-T92),'IMP Table'!$A$2:$C$26,3)*SIGN(T89-T92),0)</f>
        <v/>
      </c>
    </row>
    <row r="90">
      <c r="B90" s="10">
        <f>'By Round'!A39</f>
        <v/>
      </c>
      <c r="C90" s="10">
        <f>'By Round'!B41</f>
        <v/>
      </c>
      <c r="D90" s="10">
        <f>'By Round'!C41</f>
        <v/>
      </c>
      <c r="E90" s="10">
        <f>'By Round'!D41</f>
        <v/>
      </c>
      <c r="F90" s="10">
        <f>IF(ISBLANK('By Round'!F41),"",'By Round'!F41)</f>
        <v/>
      </c>
      <c r="G90">
        <f>IF(ISBLANK('By Round'!G41),"",'By Round'!G41)</f>
        <v/>
      </c>
      <c r="H90">
        <f>IF(ISBLANK('By Round'!H41),"",'By Round'!H41)</f>
        <v/>
      </c>
      <c r="I90">
        <f>IF(ISBLANK('By Round'!I41),"",'By Round'!I41)</f>
        <v/>
      </c>
      <c r="J90">
        <f>IF(ISBLANK('By Round'!J41),"",'By Round'!J41)</f>
        <v/>
      </c>
      <c r="K90">
        <f>IF(ISBLANK('By Round'!K41),"",'By Round'!K41)</f>
        <v/>
      </c>
      <c r="L90">
        <f>IF(ISBLANK('By Round'!L41),"",'By Round'!L41)</f>
        <v/>
      </c>
      <c r="M90" s="11">
        <f>AVERAGE(AE90:AI90)</f>
        <v/>
      </c>
      <c r="N90" s="12">
        <f>AVERAGE(AJ90:AN90)</f>
        <v/>
      </c>
      <c r="O90" s="13">
        <f>IF(COUNT(U90:Y90)&gt;0,Q90/COUNT(U90:Y90),0.5)</f>
        <v/>
      </c>
      <c r="P90" s="13">
        <f>IF(COUNT(Z90:AD90)&gt;0,R90/COUNT(Z90:AD90),0.5)</f>
        <v/>
      </c>
      <c r="Q90" s="5">
        <f>SUM(U90:Y90)</f>
        <v/>
      </c>
      <c r="R90" s="5">
        <f>SUM(Z90:AD90)</f>
        <v/>
      </c>
      <c r="S90" s="14">
        <f>IF(ISNUMBER(K90),K90,IF(ISNUMBER(L90),-L90,""))</f>
        <v/>
      </c>
      <c r="T90">
        <f>IF(ISNUMBER(L90),L90,IF(ISNUMBER(K90),-K90,""))</f>
        <v/>
      </c>
      <c r="U90" s="14">
        <f>IF(ISNUMBER(S90),IF(ISNUMBER(S87),IF(S90&gt;S87,1.0,IF(S90=S87,0.5,0.0)),""),"")</f>
        <v/>
      </c>
      <c r="V90">
        <f>IF(ISNUMBER(S90),IF(ISNUMBER(S88),IF(S90&gt;S88,1.0,IF(S90=S88,0.5,0.0)),""),"")</f>
        <v/>
      </c>
      <c r="W90">
        <f>IF(ISNUMBER(S90),IF(ISNUMBER(S89),IF(S90&gt;S89,1.0,IF(S90=S89,0.5,0.0)),""),"")</f>
        <v/>
      </c>
      <c r="X90">
        <f>IF(ISNUMBER(S90),IF(ISNUMBER(S91),IF(S90&gt;S91,1.0,IF(S90=S91,0.5,0.0)),""),"")</f>
        <v/>
      </c>
      <c r="Y90">
        <f>IF(ISNUMBER(S90),IF(ISNUMBER(S92),IF(S90&gt;S92,1.0,IF(S90=S92,0.5,0.0)),""),"")</f>
        <v/>
      </c>
      <c r="Z90">
        <f>IF(ISNUMBER(T90),IF(ISNUMBER(T87),IF(T90&gt;T87,1.0,IF(T90=T87,0.5,0.0)),""),"")</f>
        <v/>
      </c>
      <c r="AA90">
        <f>IF(ISNUMBER(T90),IF(ISNUMBER(T88),IF(T90&gt;T88,1.0,IF(T90=T88,0.5,0.0)),""),"")</f>
        <v/>
      </c>
      <c r="AB90">
        <f>IF(ISNUMBER(T90),IF(ISNUMBER(T89),IF(T90&gt;T89,1.0,IF(T90=T89,0.5,0.0)),""),"")</f>
        <v/>
      </c>
      <c r="AC90">
        <f>IF(ISNUMBER(T90),IF(ISNUMBER(T91),IF(T90&gt;T91,1.0,IF(T90=T91,0.5,0.0)),""),"")</f>
        <v/>
      </c>
      <c r="AD90">
        <f>IF(ISNUMBER(T90),IF(ISNUMBER(T92),IF(T90&gt;T92,1.0,IF(T90=T92,0.5,0.0)),""),"")</f>
        <v/>
      </c>
      <c r="AE90" s="14">
        <f>IF(AND(ISNUMBER(S90),ISNUMBER(S87)),VLOOKUP(ABS(S90-S87),'IMP Table'!$A$2:$C$26,3)*SIGN(S90-S87),0)</f>
        <v/>
      </c>
      <c r="AF90">
        <f>IF(AND(ISNUMBER(S90),ISNUMBER(S88)),VLOOKUP(ABS(S90-S88),'IMP Table'!$A$2:$C$26,3)*SIGN(S90-S88),0)</f>
        <v/>
      </c>
      <c r="AG90">
        <f>IF(AND(ISNUMBER(S90),ISNUMBER(S89)),VLOOKUP(ABS(S90-S89),'IMP Table'!$A$2:$C$26,3)*SIGN(S90-S89),0)</f>
        <v/>
      </c>
      <c r="AH90">
        <f>IF(AND(ISNUMBER(S90),ISNUMBER(S91)),VLOOKUP(ABS(S90-S91),'IMP Table'!$A$2:$C$26,3)*SIGN(S90-S91),0)</f>
        <v/>
      </c>
      <c r="AI90">
        <f>IF(AND(ISNUMBER(S90),ISNUMBER(S92)),VLOOKUP(ABS(S90-S92),'IMP Table'!$A$2:$C$26,3)*SIGN(S90-S92),0)</f>
        <v/>
      </c>
      <c r="AJ90">
        <f>IF(AND(ISNUMBER(T90),ISNUMBER(T87)),VLOOKUP(ABS(T90-T87),'IMP Table'!$A$2:$C$26,3)*SIGN(T90-T87),0)</f>
        <v/>
      </c>
      <c r="AK90">
        <f>IF(AND(ISNUMBER(T90),ISNUMBER(T88)),VLOOKUP(ABS(T90-T88),'IMP Table'!$A$2:$C$26,3)*SIGN(T90-T88),0)</f>
        <v/>
      </c>
      <c r="AL90">
        <f>IF(AND(ISNUMBER(T90),ISNUMBER(T89)),VLOOKUP(ABS(T90-T89),'IMP Table'!$A$2:$C$26,3)*SIGN(T90-T89),0)</f>
        <v/>
      </c>
      <c r="AM90">
        <f>IF(AND(ISNUMBER(T90),ISNUMBER(T91)),VLOOKUP(ABS(T90-T91),'IMP Table'!$A$2:$C$26,3)*SIGN(T90-T91),0)</f>
        <v/>
      </c>
      <c r="AN90">
        <f>IF(AND(ISNUMBER(T90),ISNUMBER(T92)),VLOOKUP(ABS(T90-T92),'IMP Table'!$A$2:$C$26,3)*SIGN(T90-T92),0)</f>
        <v/>
      </c>
    </row>
    <row r="91">
      <c r="B91" s="10">
        <f>'By Round'!A111</f>
        <v/>
      </c>
      <c r="C91" s="10">
        <f>'By Round'!B121</f>
        <v/>
      </c>
      <c r="D91" s="10">
        <f>'By Round'!C121</f>
        <v/>
      </c>
      <c r="E91" s="10">
        <f>'By Round'!D121</f>
        <v/>
      </c>
      <c r="F91" s="10">
        <f>IF(ISBLANK('By Round'!F121),"",'By Round'!F121)</f>
        <v/>
      </c>
      <c r="G91">
        <f>IF(ISBLANK('By Round'!G121),"",'By Round'!G121)</f>
        <v/>
      </c>
      <c r="H91">
        <f>IF(ISBLANK('By Round'!H121),"",'By Round'!H121)</f>
        <v/>
      </c>
      <c r="I91">
        <f>IF(ISBLANK('By Round'!I121),"",'By Round'!I121)</f>
        <v/>
      </c>
      <c r="J91">
        <f>IF(ISBLANK('By Round'!J121),"",'By Round'!J121)</f>
        <v/>
      </c>
      <c r="K91">
        <f>IF(ISBLANK('By Round'!K121),"",'By Round'!K121)</f>
        <v/>
      </c>
      <c r="L91">
        <f>IF(ISBLANK('By Round'!L121),"",'By Round'!L121)</f>
        <v/>
      </c>
      <c r="M91" s="11">
        <f>AVERAGE(AE91:AI91)</f>
        <v/>
      </c>
      <c r="N91" s="12">
        <f>AVERAGE(AJ91:AN91)</f>
        <v/>
      </c>
      <c r="O91" s="13">
        <f>IF(COUNT(U91:Y91)&gt;0,Q91/COUNT(U91:Y91),0.5)</f>
        <v/>
      </c>
      <c r="P91" s="13">
        <f>IF(COUNT(Z91:AD91)&gt;0,R91/COUNT(Z91:AD91),0.5)</f>
        <v/>
      </c>
      <c r="Q91" s="5">
        <f>SUM(U91:Y91)</f>
        <v/>
      </c>
      <c r="R91" s="5">
        <f>SUM(Z91:AD91)</f>
        <v/>
      </c>
      <c r="S91" s="14">
        <f>IF(ISNUMBER(K91),K91,IF(ISNUMBER(L91),-L91,""))</f>
        <v/>
      </c>
      <c r="T91">
        <f>IF(ISNUMBER(L91),L91,IF(ISNUMBER(K91),-K91,""))</f>
        <v/>
      </c>
      <c r="U91" s="14">
        <f>IF(ISNUMBER(S91),IF(ISNUMBER(S87),IF(S91&gt;S87,1.0,IF(S91=S87,0.5,0.0)),""),"")</f>
        <v/>
      </c>
      <c r="V91">
        <f>IF(ISNUMBER(S91),IF(ISNUMBER(S88),IF(S91&gt;S88,1.0,IF(S91=S88,0.5,0.0)),""),"")</f>
        <v/>
      </c>
      <c r="W91">
        <f>IF(ISNUMBER(S91),IF(ISNUMBER(S89),IF(S91&gt;S89,1.0,IF(S91=S89,0.5,0.0)),""),"")</f>
        <v/>
      </c>
      <c r="X91">
        <f>IF(ISNUMBER(S91),IF(ISNUMBER(S90),IF(S91&gt;S90,1.0,IF(S91=S90,0.5,0.0)),""),"")</f>
        <v/>
      </c>
      <c r="Y91">
        <f>IF(ISNUMBER(S91),IF(ISNUMBER(S92),IF(S91&gt;S92,1.0,IF(S91=S92,0.5,0.0)),""),"")</f>
        <v/>
      </c>
      <c r="Z91">
        <f>IF(ISNUMBER(T91),IF(ISNUMBER(T87),IF(T91&gt;T87,1.0,IF(T91=T87,0.5,0.0)),""),"")</f>
        <v/>
      </c>
      <c r="AA91">
        <f>IF(ISNUMBER(T91),IF(ISNUMBER(T88),IF(T91&gt;T88,1.0,IF(T91=T88,0.5,0.0)),""),"")</f>
        <v/>
      </c>
      <c r="AB91">
        <f>IF(ISNUMBER(T91),IF(ISNUMBER(T89),IF(T91&gt;T89,1.0,IF(T91=T89,0.5,0.0)),""),"")</f>
        <v/>
      </c>
      <c r="AC91">
        <f>IF(ISNUMBER(T91),IF(ISNUMBER(T90),IF(T91&gt;T90,1.0,IF(T91=T90,0.5,0.0)),""),"")</f>
        <v/>
      </c>
      <c r="AD91">
        <f>IF(ISNUMBER(T91),IF(ISNUMBER(T92),IF(T91&gt;T92,1.0,IF(T91=T92,0.5,0.0)),""),"")</f>
        <v/>
      </c>
      <c r="AE91" s="14">
        <f>IF(AND(ISNUMBER(S91),ISNUMBER(S87)),VLOOKUP(ABS(S91-S87),'IMP Table'!$A$2:$C$26,3)*SIGN(S91-S87),0)</f>
        <v/>
      </c>
      <c r="AF91">
        <f>IF(AND(ISNUMBER(S91),ISNUMBER(S88)),VLOOKUP(ABS(S91-S88),'IMP Table'!$A$2:$C$26,3)*SIGN(S91-S88),0)</f>
        <v/>
      </c>
      <c r="AG91">
        <f>IF(AND(ISNUMBER(S91),ISNUMBER(S89)),VLOOKUP(ABS(S91-S89),'IMP Table'!$A$2:$C$26,3)*SIGN(S91-S89),0)</f>
        <v/>
      </c>
      <c r="AH91">
        <f>IF(AND(ISNUMBER(S91),ISNUMBER(S90)),VLOOKUP(ABS(S91-S90),'IMP Table'!$A$2:$C$26,3)*SIGN(S91-S90),0)</f>
        <v/>
      </c>
      <c r="AI91">
        <f>IF(AND(ISNUMBER(S91),ISNUMBER(S92)),VLOOKUP(ABS(S91-S92),'IMP Table'!$A$2:$C$26,3)*SIGN(S91-S92),0)</f>
        <v/>
      </c>
      <c r="AJ91">
        <f>IF(AND(ISNUMBER(T91),ISNUMBER(T87)),VLOOKUP(ABS(T91-T87),'IMP Table'!$A$2:$C$26,3)*SIGN(T91-T87),0)</f>
        <v/>
      </c>
      <c r="AK91">
        <f>IF(AND(ISNUMBER(T91),ISNUMBER(T88)),VLOOKUP(ABS(T91-T88),'IMP Table'!$A$2:$C$26,3)*SIGN(T91-T88),0)</f>
        <v/>
      </c>
      <c r="AL91">
        <f>IF(AND(ISNUMBER(T91),ISNUMBER(T89)),VLOOKUP(ABS(T91-T89),'IMP Table'!$A$2:$C$26,3)*SIGN(T91-T89),0)</f>
        <v/>
      </c>
      <c r="AM91">
        <f>IF(AND(ISNUMBER(T91),ISNUMBER(T90)),VLOOKUP(ABS(T91-T90),'IMP Table'!$A$2:$C$26,3)*SIGN(T91-T90),0)</f>
        <v/>
      </c>
      <c r="AN91">
        <f>IF(AND(ISNUMBER(T91),ISNUMBER(T92)),VLOOKUP(ABS(T91-T92),'IMP Table'!$A$2:$C$26,3)*SIGN(T91-T92),0)</f>
        <v/>
      </c>
    </row>
    <row r="92">
      <c r="A92" s="15" t="n"/>
      <c r="B92" s="16">
        <f>'By Round'!A27</f>
        <v/>
      </c>
      <c r="C92" s="16">
        <f>'By Round'!B31</f>
        <v/>
      </c>
      <c r="D92" s="16">
        <f>'By Round'!C31</f>
        <v/>
      </c>
      <c r="E92" s="16">
        <f>'By Round'!D31</f>
        <v/>
      </c>
      <c r="F92" s="16">
        <f>IF(ISBLANK('By Round'!F31),"",'By Round'!F31)</f>
        <v/>
      </c>
      <c r="G92" s="15">
        <f>IF(ISBLANK('By Round'!G31),"",'By Round'!G31)</f>
        <v/>
      </c>
      <c r="H92" s="15">
        <f>IF(ISBLANK('By Round'!H31),"",'By Round'!H31)</f>
        <v/>
      </c>
      <c r="I92" s="15">
        <f>IF(ISBLANK('By Round'!I31),"",'By Round'!I31)</f>
        <v/>
      </c>
      <c r="J92" s="15">
        <f>IF(ISBLANK('By Round'!J31),"",'By Round'!J31)</f>
        <v/>
      </c>
      <c r="K92" s="15">
        <f>IF(ISBLANK('By Round'!K31),"",'By Round'!K31)</f>
        <v/>
      </c>
      <c r="L92" s="15">
        <f>IF(ISBLANK('By Round'!L31),"",'By Round'!L31)</f>
        <v/>
      </c>
      <c r="M92" s="17">
        <f>AVERAGE(AE92:AI92)</f>
        <v/>
      </c>
      <c r="N92" s="18">
        <f>AVERAGE(AJ92:AN92)</f>
        <v/>
      </c>
      <c r="O92" s="19">
        <f>IF(COUNT(U92:Y92)&gt;0,Q92/COUNT(U92:Y92),0.5)</f>
        <v/>
      </c>
      <c r="P92" s="19">
        <f>IF(COUNT(Z92:AD92)&gt;0,R92/COUNT(Z92:AD92),0.5)</f>
        <v/>
      </c>
      <c r="Q92" s="20">
        <f>SUM(U92:Y92)</f>
        <v/>
      </c>
      <c r="R92" s="20">
        <f>SUM(Z92:AD92)</f>
        <v/>
      </c>
      <c r="S92" s="21">
        <f>IF(ISNUMBER(K92),K92,IF(ISNUMBER(L92),-L92,""))</f>
        <v/>
      </c>
      <c r="T92" s="15">
        <f>IF(ISNUMBER(L92),L92,IF(ISNUMBER(K92),-K92,""))</f>
        <v/>
      </c>
      <c r="U92" s="21">
        <f>IF(ISNUMBER(S92),IF(ISNUMBER(S87),IF(S92&gt;S87,1.0,IF(S92=S87,0.5,0.0)),""),"")</f>
        <v/>
      </c>
      <c r="V92" s="15">
        <f>IF(ISNUMBER(S92),IF(ISNUMBER(S88),IF(S92&gt;S88,1.0,IF(S92=S88,0.5,0.0)),""),"")</f>
        <v/>
      </c>
      <c r="W92" s="15">
        <f>IF(ISNUMBER(S92),IF(ISNUMBER(S89),IF(S92&gt;S89,1.0,IF(S92=S89,0.5,0.0)),""),"")</f>
        <v/>
      </c>
      <c r="X92" s="15">
        <f>IF(ISNUMBER(S92),IF(ISNUMBER(S90),IF(S92&gt;S90,1.0,IF(S92=S90,0.5,0.0)),""),"")</f>
        <v/>
      </c>
      <c r="Y92" s="15">
        <f>IF(ISNUMBER(S92),IF(ISNUMBER(S91),IF(S92&gt;S91,1.0,IF(S92=S91,0.5,0.0)),""),"")</f>
        <v/>
      </c>
      <c r="Z92" s="15">
        <f>IF(ISNUMBER(T92),IF(ISNUMBER(T87),IF(T92&gt;T87,1.0,IF(T92=T87,0.5,0.0)),""),"")</f>
        <v/>
      </c>
      <c r="AA92" s="15">
        <f>IF(ISNUMBER(T92),IF(ISNUMBER(T88),IF(T92&gt;T88,1.0,IF(T92=T88,0.5,0.0)),""),"")</f>
        <v/>
      </c>
      <c r="AB92" s="15">
        <f>IF(ISNUMBER(T92),IF(ISNUMBER(T89),IF(T92&gt;T89,1.0,IF(T92=T89,0.5,0.0)),""),"")</f>
        <v/>
      </c>
      <c r="AC92" s="15">
        <f>IF(ISNUMBER(T92),IF(ISNUMBER(T90),IF(T92&gt;T90,1.0,IF(T92=T90,0.5,0.0)),""),"")</f>
        <v/>
      </c>
      <c r="AD92" s="15">
        <f>IF(ISNUMBER(T92),IF(ISNUMBER(T91),IF(T92&gt;T91,1.0,IF(T92=T91,0.5,0.0)),""),"")</f>
        <v/>
      </c>
      <c r="AE92" s="21">
        <f>IF(AND(ISNUMBER(S92),ISNUMBER(S87)),VLOOKUP(ABS(S92-S87),'IMP Table'!$A$2:$C$26,3)*SIGN(S92-S87),0)</f>
        <v/>
      </c>
      <c r="AF92" s="15">
        <f>IF(AND(ISNUMBER(S92),ISNUMBER(S88)),VLOOKUP(ABS(S92-S88),'IMP Table'!$A$2:$C$26,3)*SIGN(S92-S88),0)</f>
        <v/>
      </c>
      <c r="AG92" s="15">
        <f>IF(AND(ISNUMBER(S92),ISNUMBER(S89)),VLOOKUP(ABS(S92-S89),'IMP Table'!$A$2:$C$26,3)*SIGN(S92-S89),0)</f>
        <v/>
      </c>
      <c r="AH92" s="15">
        <f>IF(AND(ISNUMBER(S92),ISNUMBER(S90)),VLOOKUP(ABS(S92-S90),'IMP Table'!$A$2:$C$26,3)*SIGN(S92-S90),0)</f>
        <v/>
      </c>
      <c r="AI92" s="15">
        <f>IF(AND(ISNUMBER(S92),ISNUMBER(S91)),VLOOKUP(ABS(S92-S91),'IMP Table'!$A$2:$C$26,3)*SIGN(S92-S91),0)</f>
        <v/>
      </c>
      <c r="AJ92" s="15">
        <f>IF(AND(ISNUMBER(T92),ISNUMBER(T87)),VLOOKUP(ABS(T92-T87),'IMP Table'!$A$2:$C$26,3)*SIGN(T92-T87),0)</f>
        <v/>
      </c>
      <c r="AK92" s="15">
        <f>IF(AND(ISNUMBER(T92),ISNUMBER(T88)),VLOOKUP(ABS(T92-T88),'IMP Table'!$A$2:$C$26,3)*SIGN(T92-T88),0)</f>
        <v/>
      </c>
      <c r="AL92" s="15">
        <f>IF(AND(ISNUMBER(T92),ISNUMBER(T89)),VLOOKUP(ABS(T92-T89),'IMP Table'!$A$2:$C$26,3)*SIGN(T92-T89),0)</f>
        <v/>
      </c>
      <c r="AM92" s="15">
        <f>IF(AND(ISNUMBER(T92),ISNUMBER(T90)),VLOOKUP(ABS(T92-T90),'IMP Table'!$A$2:$C$26,3)*SIGN(T92-T90),0)</f>
        <v/>
      </c>
      <c r="AN92" s="15">
        <f>IF(AND(ISNUMBER(T92),ISNUMBER(T91)),VLOOKUP(ABS(T92-T91),'IMP Table'!$A$2:$C$26,3)*SIGN(T92-T91),0)</f>
        <v/>
      </c>
    </row>
    <row r="93">
      <c r="A93" s="10" t="n">
        <v>16</v>
      </c>
      <c r="B93" s="10">
        <f>'By Round'!A87</f>
        <v/>
      </c>
      <c r="C93" s="10">
        <f>'By Round'!B87</f>
        <v/>
      </c>
      <c r="D93" s="10">
        <f>'By Round'!C87</f>
        <v/>
      </c>
      <c r="E93" s="10">
        <f>'By Round'!D87</f>
        <v/>
      </c>
      <c r="F93" s="10">
        <f>IF(ISBLANK('By Round'!F88),"",'By Round'!F88)</f>
        <v/>
      </c>
      <c r="G93">
        <f>IF(ISBLANK('By Round'!G88),"",'By Round'!G88)</f>
        <v/>
      </c>
      <c r="H93">
        <f>IF(ISBLANK('By Round'!H88),"",'By Round'!H88)</f>
        <v/>
      </c>
      <c r="I93">
        <f>IF(ISBLANK('By Round'!I88),"",'By Round'!I88)</f>
        <v/>
      </c>
      <c r="J93">
        <f>IF(ISBLANK('By Round'!J88),"",'By Round'!J88)</f>
        <v/>
      </c>
      <c r="K93">
        <f>IF(ISBLANK('By Round'!K88),"",'By Round'!K88)</f>
        <v/>
      </c>
      <c r="L93">
        <f>IF(ISBLANK('By Round'!L88),"",'By Round'!L88)</f>
        <v/>
      </c>
      <c r="M93" s="11">
        <f>AVERAGE(AE93:AI93)</f>
        <v/>
      </c>
      <c r="N93" s="12">
        <f>AVERAGE(AJ93:AN93)</f>
        <v/>
      </c>
      <c r="O93" s="13">
        <f>IF(COUNT(U93:Y93)&gt;0,Q93/COUNT(U93:Y93),0.5)</f>
        <v/>
      </c>
      <c r="P93" s="13">
        <f>IF(COUNT(Z93:AD93)&gt;0,R93/COUNT(Z93:AD93),0.5)</f>
        <v/>
      </c>
      <c r="Q93" s="5">
        <f>SUM(U93:Y93)</f>
        <v/>
      </c>
      <c r="R93" s="5">
        <f>SUM(Z93:AD93)</f>
        <v/>
      </c>
      <c r="S93" s="14">
        <f>IF(ISNUMBER(K93),K93,IF(ISNUMBER(L93),-L93,""))</f>
        <v/>
      </c>
      <c r="T93">
        <f>IF(ISNUMBER(L93),L93,IF(ISNUMBER(K93),-K93,""))</f>
        <v/>
      </c>
      <c r="U93" s="14">
        <f>IF(ISNUMBER(S93),IF(ISNUMBER(S94),IF(S93&gt;S94,1.0,IF(S93=S94,0.5,0.0)),""),"")</f>
        <v/>
      </c>
      <c r="V93">
        <f>IF(ISNUMBER(S93),IF(ISNUMBER(S95),IF(S93&gt;S95,1.0,IF(S93=S95,0.5,0.0)),""),"")</f>
        <v/>
      </c>
      <c r="W93">
        <f>IF(ISNUMBER(S93),IF(ISNUMBER(S96),IF(S93&gt;S96,1.0,IF(S93=S96,0.5,0.0)),""),"")</f>
        <v/>
      </c>
      <c r="X93">
        <f>IF(ISNUMBER(S93),IF(ISNUMBER(S97),IF(S93&gt;S97,1.0,IF(S93=S97,0.5,0.0)),""),"")</f>
        <v/>
      </c>
      <c r="Y93">
        <f>IF(ISNUMBER(S93),IF(ISNUMBER(S98),IF(S93&gt;S98,1.0,IF(S93=S98,0.5,0.0)),""),"")</f>
        <v/>
      </c>
      <c r="Z93">
        <f>IF(ISNUMBER(T93),IF(ISNUMBER(T94),IF(T93&gt;T94,1.0,IF(T93=T94,0.5,0.0)),""),"")</f>
        <v/>
      </c>
      <c r="AA93">
        <f>IF(ISNUMBER(T93),IF(ISNUMBER(T95),IF(T93&gt;T95,1.0,IF(T93=T95,0.5,0.0)),""),"")</f>
        <v/>
      </c>
      <c r="AB93">
        <f>IF(ISNUMBER(T93),IF(ISNUMBER(T96),IF(T93&gt;T96,1.0,IF(T93=T96,0.5,0.0)),""),"")</f>
        <v/>
      </c>
      <c r="AC93">
        <f>IF(ISNUMBER(T93),IF(ISNUMBER(T97),IF(T93&gt;T97,1.0,IF(T93=T97,0.5,0.0)),""),"")</f>
        <v/>
      </c>
      <c r="AD93">
        <f>IF(ISNUMBER(T93),IF(ISNUMBER(T98),IF(T93&gt;T98,1.0,IF(T93=T98,0.5,0.0)),""),"")</f>
        <v/>
      </c>
      <c r="AE93" s="14">
        <f>IF(AND(ISNUMBER(S93),ISNUMBER(S94)),VLOOKUP(ABS(S93-S94),'IMP Table'!$A$2:$C$26,3)*SIGN(S93-S94),0)</f>
        <v/>
      </c>
      <c r="AF93">
        <f>IF(AND(ISNUMBER(S93),ISNUMBER(S95)),VLOOKUP(ABS(S93-S95),'IMP Table'!$A$2:$C$26,3)*SIGN(S93-S95),0)</f>
        <v/>
      </c>
      <c r="AG93">
        <f>IF(AND(ISNUMBER(S93),ISNUMBER(S96)),VLOOKUP(ABS(S93-S96),'IMP Table'!$A$2:$C$26,3)*SIGN(S93-S96),0)</f>
        <v/>
      </c>
      <c r="AH93">
        <f>IF(AND(ISNUMBER(S93),ISNUMBER(S97)),VLOOKUP(ABS(S93-S97),'IMP Table'!$A$2:$C$26,3)*SIGN(S93-S97),0)</f>
        <v/>
      </c>
      <c r="AI93">
        <f>IF(AND(ISNUMBER(S93),ISNUMBER(S98)),VLOOKUP(ABS(S93-S98),'IMP Table'!$A$2:$C$26,3)*SIGN(S93-S98),0)</f>
        <v/>
      </c>
      <c r="AJ93">
        <f>IF(AND(ISNUMBER(T93),ISNUMBER(T94)),VLOOKUP(ABS(T93-T94),'IMP Table'!$A$2:$C$26,3)*SIGN(T93-T94),0)</f>
        <v/>
      </c>
      <c r="AK93">
        <f>IF(AND(ISNUMBER(T93),ISNUMBER(T95)),VLOOKUP(ABS(T93-T95),'IMP Table'!$A$2:$C$26,3)*SIGN(T93-T95),0)</f>
        <v/>
      </c>
      <c r="AL93">
        <f>IF(AND(ISNUMBER(T93),ISNUMBER(T96)),VLOOKUP(ABS(T93-T96),'IMP Table'!$A$2:$C$26,3)*SIGN(T93-T96),0)</f>
        <v/>
      </c>
      <c r="AM93">
        <f>IF(AND(ISNUMBER(T93),ISNUMBER(T97)),VLOOKUP(ABS(T93-T97),'IMP Table'!$A$2:$C$26,3)*SIGN(T93-T97),0)</f>
        <v/>
      </c>
      <c r="AN93">
        <f>IF(AND(ISNUMBER(T93),ISNUMBER(T98)),VLOOKUP(ABS(T93-T98),'IMP Table'!$A$2:$C$26,3)*SIGN(T93-T98),0)</f>
        <v/>
      </c>
    </row>
    <row r="94">
      <c r="B94" s="10">
        <f>'By Round'!A123</f>
        <v/>
      </c>
      <c r="C94" s="10">
        <f>'By Round'!B131</f>
        <v/>
      </c>
      <c r="D94" s="10">
        <f>'By Round'!C131</f>
        <v/>
      </c>
      <c r="E94" s="10">
        <f>'By Round'!D131</f>
        <v/>
      </c>
      <c r="F94" s="10">
        <f>IF(ISBLANK('By Round'!F132),"",'By Round'!F132)</f>
        <v/>
      </c>
      <c r="G94">
        <f>IF(ISBLANK('By Round'!G132),"",'By Round'!G132)</f>
        <v/>
      </c>
      <c r="H94">
        <f>IF(ISBLANK('By Round'!H132),"",'By Round'!H132)</f>
        <v/>
      </c>
      <c r="I94">
        <f>IF(ISBLANK('By Round'!I132),"",'By Round'!I132)</f>
        <v/>
      </c>
      <c r="J94">
        <f>IF(ISBLANK('By Round'!J132),"",'By Round'!J132)</f>
        <v/>
      </c>
      <c r="K94">
        <f>IF(ISBLANK('By Round'!K132),"",'By Round'!K132)</f>
        <v/>
      </c>
      <c r="L94">
        <f>IF(ISBLANK('By Round'!L132),"",'By Round'!L132)</f>
        <v/>
      </c>
      <c r="M94" s="11">
        <f>AVERAGE(AE94:AI94)</f>
        <v/>
      </c>
      <c r="N94" s="12">
        <f>AVERAGE(AJ94:AN94)</f>
        <v/>
      </c>
      <c r="O94" s="13">
        <f>IF(COUNT(U94:Y94)&gt;0,Q94/COUNT(U94:Y94),0.5)</f>
        <v/>
      </c>
      <c r="P94" s="13">
        <f>IF(COUNT(Z94:AD94)&gt;0,R94/COUNT(Z94:AD94),0.5)</f>
        <v/>
      </c>
      <c r="Q94" s="5">
        <f>SUM(U94:Y94)</f>
        <v/>
      </c>
      <c r="R94" s="5">
        <f>SUM(Z94:AD94)</f>
        <v/>
      </c>
      <c r="S94" s="14">
        <f>IF(ISNUMBER(K94),K94,IF(ISNUMBER(L94),-L94,""))</f>
        <v/>
      </c>
      <c r="T94">
        <f>IF(ISNUMBER(L94),L94,IF(ISNUMBER(K94),-K94,""))</f>
        <v/>
      </c>
      <c r="U94" s="14">
        <f>IF(ISNUMBER(S94),IF(ISNUMBER(S93),IF(S94&gt;S93,1.0,IF(S94=S93,0.5,0.0)),""),"")</f>
        <v/>
      </c>
      <c r="V94">
        <f>IF(ISNUMBER(S94),IF(ISNUMBER(S95),IF(S94&gt;S95,1.0,IF(S94=S95,0.5,0.0)),""),"")</f>
        <v/>
      </c>
      <c r="W94">
        <f>IF(ISNUMBER(S94),IF(ISNUMBER(S96),IF(S94&gt;S96,1.0,IF(S94=S96,0.5,0.0)),""),"")</f>
        <v/>
      </c>
      <c r="X94">
        <f>IF(ISNUMBER(S94),IF(ISNUMBER(S97),IF(S94&gt;S97,1.0,IF(S94=S97,0.5,0.0)),""),"")</f>
        <v/>
      </c>
      <c r="Y94">
        <f>IF(ISNUMBER(S94),IF(ISNUMBER(S98),IF(S94&gt;S98,1.0,IF(S94=S98,0.5,0.0)),""),"")</f>
        <v/>
      </c>
      <c r="Z94">
        <f>IF(ISNUMBER(T94),IF(ISNUMBER(T93),IF(T94&gt;T93,1.0,IF(T94=T93,0.5,0.0)),""),"")</f>
        <v/>
      </c>
      <c r="AA94">
        <f>IF(ISNUMBER(T94),IF(ISNUMBER(T95),IF(T94&gt;T95,1.0,IF(T94=T95,0.5,0.0)),""),"")</f>
        <v/>
      </c>
      <c r="AB94">
        <f>IF(ISNUMBER(T94),IF(ISNUMBER(T96),IF(T94&gt;T96,1.0,IF(T94=T96,0.5,0.0)),""),"")</f>
        <v/>
      </c>
      <c r="AC94">
        <f>IF(ISNUMBER(T94),IF(ISNUMBER(T97),IF(T94&gt;T97,1.0,IF(T94=T97,0.5,0.0)),""),"")</f>
        <v/>
      </c>
      <c r="AD94">
        <f>IF(ISNUMBER(T94),IF(ISNUMBER(T98),IF(T94&gt;T98,1.0,IF(T94=T98,0.5,0.0)),""),"")</f>
        <v/>
      </c>
      <c r="AE94" s="14">
        <f>IF(AND(ISNUMBER(S94),ISNUMBER(S93)),VLOOKUP(ABS(S94-S93),'IMP Table'!$A$2:$C$26,3)*SIGN(S94-S93),0)</f>
        <v/>
      </c>
      <c r="AF94">
        <f>IF(AND(ISNUMBER(S94),ISNUMBER(S95)),VLOOKUP(ABS(S94-S95),'IMP Table'!$A$2:$C$26,3)*SIGN(S94-S95),0)</f>
        <v/>
      </c>
      <c r="AG94">
        <f>IF(AND(ISNUMBER(S94),ISNUMBER(S96)),VLOOKUP(ABS(S94-S96),'IMP Table'!$A$2:$C$26,3)*SIGN(S94-S96),0)</f>
        <v/>
      </c>
      <c r="AH94">
        <f>IF(AND(ISNUMBER(S94),ISNUMBER(S97)),VLOOKUP(ABS(S94-S97),'IMP Table'!$A$2:$C$26,3)*SIGN(S94-S97),0)</f>
        <v/>
      </c>
      <c r="AI94">
        <f>IF(AND(ISNUMBER(S94),ISNUMBER(S98)),VLOOKUP(ABS(S94-S98),'IMP Table'!$A$2:$C$26,3)*SIGN(S94-S98),0)</f>
        <v/>
      </c>
      <c r="AJ94">
        <f>IF(AND(ISNUMBER(T94),ISNUMBER(T93)),VLOOKUP(ABS(T94-T93),'IMP Table'!$A$2:$C$26,3)*SIGN(T94-T93),0)</f>
        <v/>
      </c>
      <c r="AK94">
        <f>IF(AND(ISNUMBER(T94),ISNUMBER(T95)),VLOOKUP(ABS(T94-T95),'IMP Table'!$A$2:$C$26,3)*SIGN(T94-T95),0)</f>
        <v/>
      </c>
      <c r="AL94">
        <f>IF(AND(ISNUMBER(T94),ISNUMBER(T96)),VLOOKUP(ABS(T94-T96),'IMP Table'!$A$2:$C$26,3)*SIGN(T94-T96),0)</f>
        <v/>
      </c>
      <c r="AM94">
        <f>IF(AND(ISNUMBER(T94),ISNUMBER(T97)),VLOOKUP(ABS(T94-T97),'IMP Table'!$A$2:$C$26,3)*SIGN(T94-T97),0)</f>
        <v/>
      </c>
      <c r="AN94">
        <f>IF(AND(ISNUMBER(T94),ISNUMBER(T98)),VLOOKUP(ABS(T94-T98),'IMP Table'!$A$2:$C$26,3)*SIGN(T94-T98),0)</f>
        <v/>
      </c>
    </row>
    <row r="95">
      <c r="B95" s="10">
        <f>'By Round'!A3</f>
        <v/>
      </c>
      <c r="C95" s="10">
        <f>'By Round'!B9</f>
        <v/>
      </c>
      <c r="D95" s="10">
        <f>'By Round'!C9</f>
        <v/>
      </c>
      <c r="E95" s="10">
        <f>'By Round'!D9</f>
        <v/>
      </c>
      <c r="F95" s="10">
        <f>IF(ISBLANK('By Round'!F10),"",'By Round'!F10)</f>
        <v/>
      </c>
      <c r="G95">
        <f>IF(ISBLANK('By Round'!G10),"",'By Round'!G10)</f>
        <v/>
      </c>
      <c r="H95">
        <f>IF(ISBLANK('By Round'!H10),"",'By Round'!H10)</f>
        <v/>
      </c>
      <c r="I95">
        <f>IF(ISBLANK('By Round'!I10),"",'By Round'!I10)</f>
        <v/>
      </c>
      <c r="J95">
        <f>IF(ISBLANK('By Round'!J10),"",'By Round'!J10)</f>
        <v/>
      </c>
      <c r="K95">
        <f>IF(ISBLANK('By Round'!K10),"",'By Round'!K10)</f>
        <v/>
      </c>
      <c r="L95">
        <f>IF(ISBLANK('By Round'!L10),"",'By Round'!L10)</f>
        <v/>
      </c>
      <c r="M95" s="11">
        <f>AVERAGE(AE95:AI95)</f>
        <v/>
      </c>
      <c r="N95" s="12">
        <f>AVERAGE(AJ95:AN95)</f>
        <v/>
      </c>
      <c r="O95" s="13">
        <f>IF(COUNT(U95:Y95)&gt;0,Q95/COUNT(U95:Y95),0.5)</f>
        <v/>
      </c>
      <c r="P95" s="13">
        <f>IF(COUNT(Z95:AD95)&gt;0,R95/COUNT(Z95:AD95),0.5)</f>
        <v/>
      </c>
      <c r="Q95" s="5">
        <f>SUM(U95:Y95)</f>
        <v/>
      </c>
      <c r="R95" s="5">
        <f>SUM(Z95:AD95)</f>
        <v/>
      </c>
      <c r="S95" s="14">
        <f>IF(ISNUMBER(K95),K95,IF(ISNUMBER(L95),-L95,""))</f>
        <v/>
      </c>
      <c r="T95">
        <f>IF(ISNUMBER(L95),L95,IF(ISNUMBER(K95),-K95,""))</f>
        <v/>
      </c>
      <c r="U95" s="14">
        <f>IF(ISNUMBER(S95),IF(ISNUMBER(S93),IF(S95&gt;S93,1.0,IF(S95=S93,0.5,0.0)),""),"")</f>
        <v/>
      </c>
      <c r="V95">
        <f>IF(ISNUMBER(S95),IF(ISNUMBER(S94),IF(S95&gt;S94,1.0,IF(S95=S94,0.5,0.0)),""),"")</f>
        <v/>
      </c>
      <c r="W95">
        <f>IF(ISNUMBER(S95),IF(ISNUMBER(S96),IF(S95&gt;S96,1.0,IF(S95=S96,0.5,0.0)),""),"")</f>
        <v/>
      </c>
      <c r="X95">
        <f>IF(ISNUMBER(S95),IF(ISNUMBER(S97),IF(S95&gt;S97,1.0,IF(S95=S97,0.5,0.0)),""),"")</f>
        <v/>
      </c>
      <c r="Y95">
        <f>IF(ISNUMBER(S95),IF(ISNUMBER(S98),IF(S95&gt;S98,1.0,IF(S95=S98,0.5,0.0)),""),"")</f>
        <v/>
      </c>
      <c r="Z95">
        <f>IF(ISNUMBER(T95),IF(ISNUMBER(T93),IF(T95&gt;T93,1.0,IF(T95=T93,0.5,0.0)),""),"")</f>
        <v/>
      </c>
      <c r="AA95">
        <f>IF(ISNUMBER(T95),IF(ISNUMBER(T94),IF(T95&gt;T94,1.0,IF(T95=T94,0.5,0.0)),""),"")</f>
        <v/>
      </c>
      <c r="AB95">
        <f>IF(ISNUMBER(T95),IF(ISNUMBER(T96),IF(T95&gt;T96,1.0,IF(T95=T96,0.5,0.0)),""),"")</f>
        <v/>
      </c>
      <c r="AC95">
        <f>IF(ISNUMBER(T95),IF(ISNUMBER(T97),IF(T95&gt;T97,1.0,IF(T95=T97,0.5,0.0)),""),"")</f>
        <v/>
      </c>
      <c r="AD95">
        <f>IF(ISNUMBER(T95),IF(ISNUMBER(T98),IF(T95&gt;T98,1.0,IF(T95=T98,0.5,0.0)),""),"")</f>
        <v/>
      </c>
      <c r="AE95" s="14">
        <f>IF(AND(ISNUMBER(S95),ISNUMBER(S93)),VLOOKUP(ABS(S95-S93),'IMP Table'!$A$2:$C$26,3)*SIGN(S95-S93),0)</f>
        <v/>
      </c>
      <c r="AF95">
        <f>IF(AND(ISNUMBER(S95),ISNUMBER(S94)),VLOOKUP(ABS(S95-S94),'IMP Table'!$A$2:$C$26,3)*SIGN(S95-S94),0)</f>
        <v/>
      </c>
      <c r="AG95">
        <f>IF(AND(ISNUMBER(S95),ISNUMBER(S96)),VLOOKUP(ABS(S95-S96),'IMP Table'!$A$2:$C$26,3)*SIGN(S95-S96),0)</f>
        <v/>
      </c>
      <c r="AH95">
        <f>IF(AND(ISNUMBER(S95),ISNUMBER(S97)),VLOOKUP(ABS(S95-S97),'IMP Table'!$A$2:$C$26,3)*SIGN(S95-S97),0)</f>
        <v/>
      </c>
      <c r="AI95">
        <f>IF(AND(ISNUMBER(S95),ISNUMBER(S98)),VLOOKUP(ABS(S95-S98),'IMP Table'!$A$2:$C$26,3)*SIGN(S95-S98),0)</f>
        <v/>
      </c>
      <c r="AJ95">
        <f>IF(AND(ISNUMBER(T95),ISNUMBER(T93)),VLOOKUP(ABS(T95-T93),'IMP Table'!$A$2:$C$26,3)*SIGN(T95-T93),0)</f>
        <v/>
      </c>
      <c r="AK95">
        <f>IF(AND(ISNUMBER(T95),ISNUMBER(T94)),VLOOKUP(ABS(T95-T94),'IMP Table'!$A$2:$C$26,3)*SIGN(T95-T94),0)</f>
        <v/>
      </c>
      <c r="AL95">
        <f>IF(AND(ISNUMBER(T95),ISNUMBER(T96)),VLOOKUP(ABS(T95-T96),'IMP Table'!$A$2:$C$26,3)*SIGN(T95-T96),0)</f>
        <v/>
      </c>
      <c r="AM95">
        <f>IF(AND(ISNUMBER(T95),ISNUMBER(T97)),VLOOKUP(ABS(T95-T97),'IMP Table'!$A$2:$C$26,3)*SIGN(T95-T97),0)</f>
        <v/>
      </c>
      <c r="AN95">
        <f>IF(AND(ISNUMBER(T95),ISNUMBER(T98)),VLOOKUP(ABS(T95-T98),'IMP Table'!$A$2:$C$26,3)*SIGN(T95-T98),0)</f>
        <v/>
      </c>
    </row>
    <row r="96">
      <c r="B96" s="10">
        <f>'By Round'!A39</f>
        <v/>
      </c>
      <c r="C96" s="10">
        <f>'By Round'!B41</f>
        <v/>
      </c>
      <c r="D96" s="10">
        <f>'By Round'!C41</f>
        <v/>
      </c>
      <c r="E96" s="10">
        <f>'By Round'!D41</f>
        <v/>
      </c>
      <c r="F96" s="10">
        <f>IF(ISBLANK('By Round'!F42),"",'By Round'!F42)</f>
        <v/>
      </c>
      <c r="G96">
        <f>IF(ISBLANK('By Round'!G42),"",'By Round'!G42)</f>
        <v/>
      </c>
      <c r="H96">
        <f>IF(ISBLANK('By Round'!H42),"",'By Round'!H42)</f>
        <v/>
      </c>
      <c r="I96">
        <f>IF(ISBLANK('By Round'!I42),"",'By Round'!I42)</f>
        <v/>
      </c>
      <c r="J96">
        <f>IF(ISBLANK('By Round'!J42),"",'By Round'!J42)</f>
        <v/>
      </c>
      <c r="K96">
        <f>IF(ISBLANK('By Round'!K42),"",'By Round'!K42)</f>
        <v/>
      </c>
      <c r="L96">
        <f>IF(ISBLANK('By Round'!L42),"",'By Round'!L42)</f>
        <v/>
      </c>
      <c r="M96" s="11">
        <f>AVERAGE(AE96:AI96)</f>
        <v/>
      </c>
      <c r="N96" s="12">
        <f>AVERAGE(AJ96:AN96)</f>
        <v/>
      </c>
      <c r="O96" s="13">
        <f>IF(COUNT(U96:Y96)&gt;0,Q96/COUNT(U96:Y96),0.5)</f>
        <v/>
      </c>
      <c r="P96" s="13">
        <f>IF(COUNT(Z96:AD96)&gt;0,R96/COUNT(Z96:AD96),0.5)</f>
        <v/>
      </c>
      <c r="Q96" s="5">
        <f>SUM(U96:Y96)</f>
        <v/>
      </c>
      <c r="R96" s="5">
        <f>SUM(Z96:AD96)</f>
        <v/>
      </c>
      <c r="S96" s="14">
        <f>IF(ISNUMBER(K96),K96,IF(ISNUMBER(L96),-L96,""))</f>
        <v/>
      </c>
      <c r="T96">
        <f>IF(ISNUMBER(L96),L96,IF(ISNUMBER(K96),-K96,""))</f>
        <v/>
      </c>
      <c r="U96" s="14">
        <f>IF(ISNUMBER(S96),IF(ISNUMBER(S93),IF(S96&gt;S93,1.0,IF(S96=S93,0.5,0.0)),""),"")</f>
        <v/>
      </c>
      <c r="V96">
        <f>IF(ISNUMBER(S96),IF(ISNUMBER(S94),IF(S96&gt;S94,1.0,IF(S96=S94,0.5,0.0)),""),"")</f>
        <v/>
      </c>
      <c r="W96">
        <f>IF(ISNUMBER(S96),IF(ISNUMBER(S95),IF(S96&gt;S95,1.0,IF(S96=S95,0.5,0.0)),""),"")</f>
        <v/>
      </c>
      <c r="X96">
        <f>IF(ISNUMBER(S96),IF(ISNUMBER(S97),IF(S96&gt;S97,1.0,IF(S96=S97,0.5,0.0)),""),"")</f>
        <v/>
      </c>
      <c r="Y96">
        <f>IF(ISNUMBER(S96),IF(ISNUMBER(S98),IF(S96&gt;S98,1.0,IF(S96=S98,0.5,0.0)),""),"")</f>
        <v/>
      </c>
      <c r="Z96">
        <f>IF(ISNUMBER(T96),IF(ISNUMBER(T93),IF(T96&gt;T93,1.0,IF(T96=T93,0.5,0.0)),""),"")</f>
        <v/>
      </c>
      <c r="AA96">
        <f>IF(ISNUMBER(T96),IF(ISNUMBER(T94),IF(T96&gt;T94,1.0,IF(T96=T94,0.5,0.0)),""),"")</f>
        <v/>
      </c>
      <c r="AB96">
        <f>IF(ISNUMBER(T96),IF(ISNUMBER(T95),IF(T96&gt;T95,1.0,IF(T96=T95,0.5,0.0)),""),"")</f>
        <v/>
      </c>
      <c r="AC96">
        <f>IF(ISNUMBER(T96),IF(ISNUMBER(T97),IF(T96&gt;T97,1.0,IF(T96=T97,0.5,0.0)),""),"")</f>
        <v/>
      </c>
      <c r="AD96">
        <f>IF(ISNUMBER(T96),IF(ISNUMBER(T98),IF(T96&gt;T98,1.0,IF(T96=T98,0.5,0.0)),""),"")</f>
        <v/>
      </c>
      <c r="AE96" s="14">
        <f>IF(AND(ISNUMBER(S96),ISNUMBER(S93)),VLOOKUP(ABS(S96-S93),'IMP Table'!$A$2:$C$26,3)*SIGN(S96-S93),0)</f>
        <v/>
      </c>
      <c r="AF96">
        <f>IF(AND(ISNUMBER(S96),ISNUMBER(S94)),VLOOKUP(ABS(S96-S94),'IMP Table'!$A$2:$C$26,3)*SIGN(S96-S94),0)</f>
        <v/>
      </c>
      <c r="AG96">
        <f>IF(AND(ISNUMBER(S96),ISNUMBER(S95)),VLOOKUP(ABS(S96-S95),'IMP Table'!$A$2:$C$26,3)*SIGN(S96-S95),0)</f>
        <v/>
      </c>
      <c r="AH96">
        <f>IF(AND(ISNUMBER(S96),ISNUMBER(S97)),VLOOKUP(ABS(S96-S97),'IMP Table'!$A$2:$C$26,3)*SIGN(S96-S97),0)</f>
        <v/>
      </c>
      <c r="AI96">
        <f>IF(AND(ISNUMBER(S96),ISNUMBER(S98)),VLOOKUP(ABS(S96-S98),'IMP Table'!$A$2:$C$26,3)*SIGN(S96-S98),0)</f>
        <v/>
      </c>
      <c r="AJ96">
        <f>IF(AND(ISNUMBER(T96),ISNUMBER(T93)),VLOOKUP(ABS(T96-T93),'IMP Table'!$A$2:$C$26,3)*SIGN(T96-T93),0)</f>
        <v/>
      </c>
      <c r="AK96">
        <f>IF(AND(ISNUMBER(T96),ISNUMBER(T94)),VLOOKUP(ABS(T96-T94),'IMP Table'!$A$2:$C$26,3)*SIGN(T96-T94),0)</f>
        <v/>
      </c>
      <c r="AL96">
        <f>IF(AND(ISNUMBER(T96),ISNUMBER(T95)),VLOOKUP(ABS(T96-T95),'IMP Table'!$A$2:$C$26,3)*SIGN(T96-T95),0)</f>
        <v/>
      </c>
      <c r="AM96">
        <f>IF(AND(ISNUMBER(T96),ISNUMBER(T97)),VLOOKUP(ABS(T96-T97),'IMP Table'!$A$2:$C$26,3)*SIGN(T96-T97),0)</f>
        <v/>
      </c>
      <c r="AN96">
        <f>IF(AND(ISNUMBER(T96),ISNUMBER(T98)),VLOOKUP(ABS(T96-T98),'IMP Table'!$A$2:$C$26,3)*SIGN(T96-T98),0)</f>
        <v/>
      </c>
    </row>
    <row r="97">
      <c r="B97" s="10">
        <f>'By Round'!A111</f>
        <v/>
      </c>
      <c r="C97" s="10">
        <f>'By Round'!B121</f>
        <v/>
      </c>
      <c r="D97" s="10">
        <f>'By Round'!C121</f>
        <v/>
      </c>
      <c r="E97" s="10">
        <f>'By Round'!D121</f>
        <v/>
      </c>
      <c r="F97" s="10">
        <f>IF(ISBLANK('By Round'!F122),"",'By Round'!F122)</f>
        <v/>
      </c>
      <c r="G97">
        <f>IF(ISBLANK('By Round'!G122),"",'By Round'!G122)</f>
        <v/>
      </c>
      <c r="H97">
        <f>IF(ISBLANK('By Round'!H122),"",'By Round'!H122)</f>
        <v/>
      </c>
      <c r="I97">
        <f>IF(ISBLANK('By Round'!I122),"",'By Round'!I122)</f>
        <v/>
      </c>
      <c r="J97">
        <f>IF(ISBLANK('By Round'!J122),"",'By Round'!J122)</f>
        <v/>
      </c>
      <c r="K97">
        <f>IF(ISBLANK('By Round'!K122),"",'By Round'!K122)</f>
        <v/>
      </c>
      <c r="L97">
        <f>IF(ISBLANK('By Round'!L122),"",'By Round'!L122)</f>
        <v/>
      </c>
      <c r="M97" s="11">
        <f>AVERAGE(AE97:AI97)</f>
        <v/>
      </c>
      <c r="N97" s="12">
        <f>AVERAGE(AJ97:AN97)</f>
        <v/>
      </c>
      <c r="O97" s="13">
        <f>IF(COUNT(U97:Y97)&gt;0,Q97/COUNT(U97:Y97),0.5)</f>
        <v/>
      </c>
      <c r="P97" s="13">
        <f>IF(COUNT(Z97:AD97)&gt;0,R97/COUNT(Z97:AD97),0.5)</f>
        <v/>
      </c>
      <c r="Q97" s="5">
        <f>SUM(U97:Y97)</f>
        <v/>
      </c>
      <c r="R97" s="5">
        <f>SUM(Z97:AD97)</f>
        <v/>
      </c>
      <c r="S97" s="14">
        <f>IF(ISNUMBER(K97),K97,IF(ISNUMBER(L97),-L97,""))</f>
        <v/>
      </c>
      <c r="T97">
        <f>IF(ISNUMBER(L97),L97,IF(ISNUMBER(K97),-K97,""))</f>
        <v/>
      </c>
      <c r="U97" s="14">
        <f>IF(ISNUMBER(S97),IF(ISNUMBER(S93),IF(S97&gt;S93,1.0,IF(S97=S93,0.5,0.0)),""),"")</f>
        <v/>
      </c>
      <c r="V97">
        <f>IF(ISNUMBER(S97),IF(ISNUMBER(S94),IF(S97&gt;S94,1.0,IF(S97=S94,0.5,0.0)),""),"")</f>
        <v/>
      </c>
      <c r="W97">
        <f>IF(ISNUMBER(S97),IF(ISNUMBER(S95),IF(S97&gt;S95,1.0,IF(S97=S95,0.5,0.0)),""),"")</f>
        <v/>
      </c>
      <c r="X97">
        <f>IF(ISNUMBER(S97),IF(ISNUMBER(S96),IF(S97&gt;S96,1.0,IF(S97=S96,0.5,0.0)),""),"")</f>
        <v/>
      </c>
      <c r="Y97">
        <f>IF(ISNUMBER(S97),IF(ISNUMBER(S98),IF(S97&gt;S98,1.0,IF(S97=S98,0.5,0.0)),""),"")</f>
        <v/>
      </c>
      <c r="Z97">
        <f>IF(ISNUMBER(T97),IF(ISNUMBER(T93),IF(T97&gt;T93,1.0,IF(T97=T93,0.5,0.0)),""),"")</f>
        <v/>
      </c>
      <c r="AA97">
        <f>IF(ISNUMBER(T97),IF(ISNUMBER(T94),IF(T97&gt;T94,1.0,IF(T97=T94,0.5,0.0)),""),"")</f>
        <v/>
      </c>
      <c r="AB97">
        <f>IF(ISNUMBER(T97),IF(ISNUMBER(T95),IF(T97&gt;T95,1.0,IF(T97=T95,0.5,0.0)),""),"")</f>
        <v/>
      </c>
      <c r="AC97">
        <f>IF(ISNUMBER(T97),IF(ISNUMBER(T96),IF(T97&gt;T96,1.0,IF(T97=T96,0.5,0.0)),""),"")</f>
        <v/>
      </c>
      <c r="AD97">
        <f>IF(ISNUMBER(T97),IF(ISNUMBER(T98),IF(T97&gt;T98,1.0,IF(T97=T98,0.5,0.0)),""),"")</f>
        <v/>
      </c>
      <c r="AE97" s="14">
        <f>IF(AND(ISNUMBER(S97),ISNUMBER(S93)),VLOOKUP(ABS(S97-S93),'IMP Table'!$A$2:$C$26,3)*SIGN(S97-S93),0)</f>
        <v/>
      </c>
      <c r="AF97">
        <f>IF(AND(ISNUMBER(S97),ISNUMBER(S94)),VLOOKUP(ABS(S97-S94),'IMP Table'!$A$2:$C$26,3)*SIGN(S97-S94),0)</f>
        <v/>
      </c>
      <c r="AG97">
        <f>IF(AND(ISNUMBER(S97),ISNUMBER(S95)),VLOOKUP(ABS(S97-S95),'IMP Table'!$A$2:$C$26,3)*SIGN(S97-S95),0)</f>
        <v/>
      </c>
      <c r="AH97">
        <f>IF(AND(ISNUMBER(S97),ISNUMBER(S96)),VLOOKUP(ABS(S97-S96),'IMP Table'!$A$2:$C$26,3)*SIGN(S97-S96),0)</f>
        <v/>
      </c>
      <c r="AI97">
        <f>IF(AND(ISNUMBER(S97),ISNUMBER(S98)),VLOOKUP(ABS(S97-S98),'IMP Table'!$A$2:$C$26,3)*SIGN(S97-S98),0)</f>
        <v/>
      </c>
      <c r="AJ97">
        <f>IF(AND(ISNUMBER(T97),ISNUMBER(T93)),VLOOKUP(ABS(T97-T93),'IMP Table'!$A$2:$C$26,3)*SIGN(T97-T93),0)</f>
        <v/>
      </c>
      <c r="AK97">
        <f>IF(AND(ISNUMBER(T97),ISNUMBER(T94)),VLOOKUP(ABS(T97-T94),'IMP Table'!$A$2:$C$26,3)*SIGN(T97-T94),0)</f>
        <v/>
      </c>
      <c r="AL97">
        <f>IF(AND(ISNUMBER(T97),ISNUMBER(T95)),VLOOKUP(ABS(T97-T95),'IMP Table'!$A$2:$C$26,3)*SIGN(T97-T95),0)</f>
        <v/>
      </c>
      <c r="AM97">
        <f>IF(AND(ISNUMBER(T97),ISNUMBER(T96)),VLOOKUP(ABS(T97-T96),'IMP Table'!$A$2:$C$26,3)*SIGN(T97-T96),0)</f>
        <v/>
      </c>
      <c r="AN97">
        <f>IF(AND(ISNUMBER(T97),ISNUMBER(T98)),VLOOKUP(ABS(T97-T98),'IMP Table'!$A$2:$C$26,3)*SIGN(T97-T98),0)</f>
        <v/>
      </c>
    </row>
    <row r="98">
      <c r="A98" s="15" t="n"/>
      <c r="B98" s="16">
        <f>'By Round'!A27</f>
        <v/>
      </c>
      <c r="C98" s="16">
        <f>'By Round'!B31</f>
        <v/>
      </c>
      <c r="D98" s="16">
        <f>'By Round'!C31</f>
        <v/>
      </c>
      <c r="E98" s="16">
        <f>'By Round'!D31</f>
        <v/>
      </c>
      <c r="F98" s="16">
        <f>IF(ISBLANK('By Round'!F32),"",'By Round'!F32)</f>
        <v/>
      </c>
      <c r="G98" s="15">
        <f>IF(ISBLANK('By Round'!G32),"",'By Round'!G32)</f>
        <v/>
      </c>
      <c r="H98" s="15">
        <f>IF(ISBLANK('By Round'!H32),"",'By Round'!H32)</f>
        <v/>
      </c>
      <c r="I98" s="15">
        <f>IF(ISBLANK('By Round'!I32),"",'By Round'!I32)</f>
        <v/>
      </c>
      <c r="J98" s="15">
        <f>IF(ISBLANK('By Round'!J32),"",'By Round'!J32)</f>
        <v/>
      </c>
      <c r="K98" s="15">
        <f>IF(ISBLANK('By Round'!K32),"",'By Round'!K32)</f>
        <v/>
      </c>
      <c r="L98" s="15">
        <f>IF(ISBLANK('By Round'!L32),"",'By Round'!L32)</f>
        <v/>
      </c>
      <c r="M98" s="17">
        <f>AVERAGE(AE98:AI98)</f>
        <v/>
      </c>
      <c r="N98" s="18">
        <f>AVERAGE(AJ98:AN98)</f>
        <v/>
      </c>
      <c r="O98" s="19">
        <f>IF(COUNT(U98:Y98)&gt;0,Q98/COUNT(U98:Y98),0.5)</f>
        <v/>
      </c>
      <c r="P98" s="19">
        <f>IF(COUNT(Z98:AD98)&gt;0,R98/COUNT(Z98:AD98),0.5)</f>
        <v/>
      </c>
      <c r="Q98" s="20">
        <f>SUM(U98:Y98)</f>
        <v/>
      </c>
      <c r="R98" s="20">
        <f>SUM(Z98:AD98)</f>
        <v/>
      </c>
      <c r="S98" s="21">
        <f>IF(ISNUMBER(K98),K98,IF(ISNUMBER(L98),-L98,""))</f>
        <v/>
      </c>
      <c r="T98" s="15">
        <f>IF(ISNUMBER(L98),L98,IF(ISNUMBER(K98),-K98,""))</f>
        <v/>
      </c>
      <c r="U98" s="21">
        <f>IF(ISNUMBER(S98),IF(ISNUMBER(S93),IF(S98&gt;S93,1.0,IF(S98=S93,0.5,0.0)),""),"")</f>
        <v/>
      </c>
      <c r="V98" s="15">
        <f>IF(ISNUMBER(S98),IF(ISNUMBER(S94),IF(S98&gt;S94,1.0,IF(S98=S94,0.5,0.0)),""),"")</f>
        <v/>
      </c>
      <c r="W98" s="15">
        <f>IF(ISNUMBER(S98),IF(ISNUMBER(S95),IF(S98&gt;S95,1.0,IF(S98=S95,0.5,0.0)),""),"")</f>
        <v/>
      </c>
      <c r="X98" s="15">
        <f>IF(ISNUMBER(S98),IF(ISNUMBER(S96),IF(S98&gt;S96,1.0,IF(S98=S96,0.5,0.0)),""),"")</f>
        <v/>
      </c>
      <c r="Y98" s="15">
        <f>IF(ISNUMBER(S98),IF(ISNUMBER(S97),IF(S98&gt;S97,1.0,IF(S98=S97,0.5,0.0)),""),"")</f>
        <v/>
      </c>
      <c r="Z98" s="15">
        <f>IF(ISNUMBER(T98),IF(ISNUMBER(T93),IF(T98&gt;T93,1.0,IF(T98=T93,0.5,0.0)),""),"")</f>
        <v/>
      </c>
      <c r="AA98" s="15">
        <f>IF(ISNUMBER(T98),IF(ISNUMBER(T94),IF(T98&gt;T94,1.0,IF(T98=T94,0.5,0.0)),""),"")</f>
        <v/>
      </c>
      <c r="AB98" s="15">
        <f>IF(ISNUMBER(T98),IF(ISNUMBER(T95),IF(T98&gt;T95,1.0,IF(T98=T95,0.5,0.0)),""),"")</f>
        <v/>
      </c>
      <c r="AC98" s="15">
        <f>IF(ISNUMBER(T98),IF(ISNUMBER(T96),IF(T98&gt;T96,1.0,IF(T98=T96,0.5,0.0)),""),"")</f>
        <v/>
      </c>
      <c r="AD98" s="15">
        <f>IF(ISNUMBER(T98),IF(ISNUMBER(T97),IF(T98&gt;T97,1.0,IF(T98=T97,0.5,0.0)),""),"")</f>
        <v/>
      </c>
      <c r="AE98" s="21">
        <f>IF(AND(ISNUMBER(S98),ISNUMBER(S93)),VLOOKUP(ABS(S98-S93),'IMP Table'!$A$2:$C$26,3)*SIGN(S98-S93),0)</f>
        <v/>
      </c>
      <c r="AF98" s="15">
        <f>IF(AND(ISNUMBER(S98),ISNUMBER(S94)),VLOOKUP(ABS(S98-S94),'IMP Table'!$A$2:$C$26,3)*SIGN(S98-S94),0)</f>
        <v/>
      </c>
      <c r="AG98" s="15">
        <f>IF(AND(ISNUMBER(S98),ISNUMBER(S95)),VLOOKUP(ABS(S98-S95),'IMP Table'!$A$2:$C$26,3)*SIGN(S98-S95),0)</f>
        <v/>
      </c>
      <c r="AH98" s="15">
        <f>IF(AND(ISNUMBER(S98),ISNUMBER(S96)),VLOOKUP(ABS(S98-S96),'IMP Table'!$A$2:$C$26,3)*SIGN(S98-S96),0)</f>
        <v/>
      </c>
      <c r="AI98" s="15">
        <f>IF(AND(ISNUMBER(S98),ISNUMBER(S97)),VLOOKUP(ABS(S98-S97),'IMP Table'!$A$2:$C$26,3)*SIGN(S98-S97),0)</f>
        <v/>
      </c>
      <c r="AJ98" s="15">
        <f>IF(AND(ISNUMBER(T98),ISNUMBER(T93)),VLOOKUP(ABS(T98-T93),'IMP Table'!$A$2:$C$26,3)*SIGN(T98-T93),0)</f>
        <v/>
      </c>
      <c r="AK98" s="15">
        <f>IF(AND(ISNUMBER(T98),ISNUMBER(T94)),VLOOKUP(ABS(T98-T94),'IMP Table'!$A$2:$C$26,3)*SIGN(T98-T94),0)</f>
        <v/>
      </c>
      <c r="AL98" s="15">
        <f>IF(AND(ISNUMBER(T98),ISNUMBER(T95)),VLOOKUP(ABS(T98-T95),'IMP Table'!$A$2:$C$26,3)*SIGN(T98-T95),0)</f>
        <v/>
      </c>
      <c r="AM98" s="15">
        <f>IF(AND(ISNUMBER(T98),ISNUMBER(T96)),VLOOKUP(ABS(T98-T96),'IMP Table'!$A$2:$C$26,3)*SIGN(T98-T96),0)</f>
        <v/>
      </c>
      <c r="AN98" s="15">
        <f>IF(AND(ISNUMBER(T98),ISNUMBER(T97)),VLOOKUP(ABS(T98-T97),'IMP Table'!$A$2:$C$26,3)*SIGN(T98-T97),0)</f>
        <v/>
      </c>
    </row>
    <row r="99">
      <c r="A99" s="10" t="n">
        <v>17</v>
      </c>
      <c r="B99" s="10">
        <f>'By Round'!A99</f>
        <v/>
      </c>
      <c r="C99" s="10">
        <f>'By Round'!B99</f>
        <v/>
      </c>
      <c r="D99" s="10">
        <f>'By Round'!C99</f>
        <v/>
      </c>
      <c r="E99" s="10">
        <f>'By Round'!D99</f>
        <v/>
      </c>
      <c r="F99" s="10">
        <f>IF(ISBLANK('By Round'!F99),"",'By Round'!F99)</f>
        <v/>
      </c>
      <c r="G99">
        <f>IF(ISBLANK('By Round'!G99),"",'By Round'!G99)</f>
        <v/>
      </c>
      <c r="H99">
        <f>IF(ISBLANK('By Round'!H99),"",'By Round'!H99)</f>
        <v/>
      </c>
      <c r="I99">
        <f>IF(ISBLANK('By Round'!I99),"",'By Round'!I99)</f>
        <v/>
      </c>
      <c r="J99">
        <f>IF(ISBLANK('By Round'!J99),"",'By Round'!J99)</f>
        <v/>
      </c>
      <c r="K99">
        <f>IF(ISBLANK('By Round'!K99),"",'By Round'!K99)</f>
        <v/>
      </c>
      <c r="L99">
        <f>IF(ISBLANK('By Round'!L99),"",'By Round'!L99)</f>
        <v/>
      </c>
      <c r="M99" s="11">
        <f>AVERAGE(AE99:AI99)</f>
        <v/>
      </c>
      <c r="N99" s="12">
        <f>AVERAGE(AJ99:AN99)</f>
        <v/>
      </c>
      <c r="O99" s="13">
        <f>IF(COUNT(U99:Y99)&gt;0,Q99/COUNT(U99:Y99),0.5)</f>
        <v/>
      </c>
      <c r="P99" s="13">
        <f>IF(COUNT(Z99:AD99)&gt;0,R99/COUNT(Z99:AD99),0.5)</f>
        <v/>
      </c>
      <c r="Q99" s="5">
        <f>SUM(U99:Y99)</f>
        <v/>
      </c>
      <c r="R99" s="5">
        <f>SUM(Z99:AD99)</f>
        <v/>
      </c>
      <c r="S99" s="14">
        <f>IF(ISNUMBER(K99),K99,IF(ISNUMBER(L99),-L99,""))</f>
        <v/>
      </c>
      <c r="T99">
        <f>IF(ISNUMBER(L99),L99,IF(ISNUMBER(K99),-K99,""))</f>
        <v/>
      </c>
      <c r="U99" s="14">
        <f>IF(ISNUMBER(S99),IF(ISNUMBER(S100),IF(S99&gt;S100,1.0,IF(S99=S100,0.5,0.0)),""),"")</f>
        <v/>
      </c>
      <c r="V99">
        <f>IF(ISNUMBER(S99),IF(ISNUMBER(S101),IF(S99&gt;S101,1.0,IF(S99=S101,0.5,0.0)),""),"")</f>
        <v/>
      </c>
      <c r="W99">
        <f>IF(ISNUMBER(S99),IF(ISNUMBER(S102),IF(S99&gt;S102,1.0,IF(S99=S102,0.5,0.0)),""),"")</f>
        <v/>
      </c>
      <c r="X99">
        <f>IF(ISNUMBER(S99),IF(ISNUMBER(S103),IF(S99&gt;S103,1.0,IF(S99=S103,0.5,0.0)),""),"")</f>
        <v/>
      </c>
      <c r="Y99">
        <f>IF(ISNUMBER(S99),IF(ISNUMBER(S104),IF(S99&gt;S104,1.0,IF(S99=S104,0.5,0.0)),""),"")</f>
        <v/>
      </c>
      <c r="Z99">
        <f>IF(ISNUMBER(T99),IF(ISNUMBER(T100),IF(T99&gt;T100,1.0,IF(T99=T100,0.5,0.0)),""),"")</f>
        <v/>
      </c>
      <c r="AA99">
        <f>IF(ISNUMBER(T99),IF(ISNUMBER(T101),IF(T99&gt;T101,1.0,IF(T99=T101,0.5,0.0)),""),"")</f>
        <v/>
      </c>
      <c r="AB99">
        <f>IF(ISNUMBER(T99),IF(ISNUMBER(T102),IF(T99&gt;T102,1.0,IF(T99=T102,0.5,0.0)),""),"")</f>
        <v/>
      </c>
      <c r="AC99">
        <f>IF(ISNUMBER(T99),IF(ISNUMBER(T103),IF(T99&gt;T103,1.0,IF(T99=T103,0.5,0.0)),""),"")</f>
        <v/>
      </c>
      <c r="AD99">
        <f>IF(ISNUMBER(T99),IF(ISNUMBER(T104),IF(T99&gt;T104,1.0,IF(T99=T104,0.5,0.0)),""),"")</f>
        <v/>
      </c>
      <c r="AE99" s="14">
        <f>IF(AND(ISNUMBER(S99),ISNUMBER(S100)),VLOOKUP(ABS(S99-S100),'IMP Table'!$A$2:$C$26,3)*SIGN(S99-S100),0)</f>
        <v/>
      </c>
      <c r="AF99">
        <f>IF(AND(ISNUMBER(S99),ISNUMBER(S101)),VLOOKUP(ABS(S99-S101),'IMP Table'!$A$2:$C$26,3)*SIGN(S99-S101),0)</f>
        <v/>
      </c>
      <c r="AG99">
        <f>IF(AND(ISNUMBER(S99),ISNUMBER(S102)),VLOOKUP(ABS(S99-S102),'IMP Table'!$A$2:$C$26,3)*SIGN(S99-S102),0)</f>
        <v/>
      </c>
      <c r="AH99">
        <f>IF(AND(ISNUMBER(S99),ISNUMBER(S103)),VLOOKUP(ABS(S99-S103),'IMP Table'!$A$2:$C$26,3)*SIGN(S99-S103),0)</f>
        <v/>
      </c>
      <c r="AI99">
        <f>IF(AND(ISNUMBER(S99),ISNUMBER(S104)),VLOOKUP(ABS(S99-S104),'IMP Table'!$A$2:$C$26,3)*SIGN(S99-S104),0)</f>
        <v/>
      </c>
      <c r="AJ99">
        <f>IF(AND(ISNUMBER(T99),ISNUMBER(T100)),VLOOKUP(ABS(T99-T100),'IMP Table'!$A$2:$C$26,3)*SIGN(T99-T100),0)</f>
        <v/>
      </c>
      <c r="AK99">
        <f>IF(AND(ISNUMBER(T99),ISNUMBER(T101)),VLOOKUP(ABS(T99-T101),'IMP Table'!$A$2:$C$26,3)*SIGN(T99-T101),0)</f>
        <v/>
      </c>
      <c r="AL99">
        <f>IF(AND(ISNUMBER(T99),ISNUMBER(T102)),VLOOKUP(ABS(T99-T102),'IMP Table'!$A$2:$C$26,3)*SIGN(T99-T102),0)</f>
        <v/>
      </c>
      <c r="AM99">
        <f>IF(AND(ISNUMBER(T99),ISNUMBER(T103)),VLOOKUP(ABS(T99-T103),'IMP Table'!$A$2:$C$26,3)*SIGN(T99-T103),0)</f>
        <v/>
      </c>
      <c r="AN99">
        <f>IF(AND(ISNUMBER(T99),ISNUMBER(T104)),VLOOKUP(ABS(T99-T104),'IMP Table'!$A$2:$C$26,3)*SIGN(T99-T104),0)</f>
        <v/>
      </c>
    </row>
    <row r="100">
      <c r="B100" s="10">
        <f>'By Round'!A3</f>
        <v/>
      </c>
      <c r="C100" s="10">
        <f>'By Round'!B11</f>
        <v/>
      </c>
      <c r="D100" s="10">
        <f>'By Round'!C11</f>
        <v/>
      </c>
      <c r="E100" s="10">
        <f>'By Round'!D11</f>
        <v/>
      </c>
      <c r="F100" s="10">
        <f>IF(ISBLANK('By Round'!F11),"",'By Round'!F11)</f>
        <v/>
      </c>
      <c r="G100">
        <f>IF(ISBLANK('By Round'!G11),"",'By Round'!G11)</f>
        <v/>
      </c>
      <c r="H100">
        <f>IF(ISBLANK('By Round'!H11),"",'By Round'!H11)</f>
        <v/>
      </c>
      <c r="I100">
        <f>IF(ISBLANK('By Round'!I11),"",'By Round'!I11)</f>
        <v/>
      </c>
      <c r="J100">
        <f>IF(ISBLANK('By Round'!J11),"",'By Round'!J11)</f>
        <v/>
      </c>
      <c r="K100">
        <f>IF(ISBLANK('By Round'!K11),"",'By Round'!K11)</f>
        <v/>
      </c>
      <c r="L100">
        <f>IF(ISBLANK('By Round'!L11),"",'By Round'!L11)</f>
        <v/>
      </c>
      <c r="M100" s="11">
        <f>AVERAGE(AE100:AI100)</f>
        <v/>
      </c>
      <c r="N100" s="12">
        <f>AVERAGE(AJ100:AN100)</f>
        <v/>
      </c>
      <c r="O100" s="13">
        <f>IF(COUNT(U100:Y100)&gt;0,Q100/COUNT(U100:Y100),0.5)</f>
        <v/>
      </c>
      <c r="P100" s="13">
        <f>IF(COUNT(Z100:AD100)&gt;0,R100/COUNT(Z100:AD100),0.5)</f>
        <v/>
      </c>
      <c r="Q100" s="5">
        <f>SUM(U100:Y100)</f>
        <v/>
      </c>
      <c r="R100" s="5">
        <f>SUM(Z100:AD100)</f>
        <v/>
      </c>
      <c r="S100" s="14">
        <f>IF(ISNUMBER(K100),K100,IF(ISNUMBER(L100),-L100,""))</f>
        <v/>
      </c>
      <c r="T100">
        <f>IF(ISNUMBER(L100),L100,IF(ISNUMBER(K100),-K100,""))</f>
        <v/>
      </c>
      <c r="U100" s="14">
        <f>IF(ISNUMBER(S100),IF(ISNUMBER(S99),IF(S100&gt;S99,1.0,IF(S100=S99,0.5,0.0)),""),"")</f>
        <v/>
      </c>
      <c r="V100">
        <f>IF(ISNUMBER(S100),IF(ISNUMBER(S101),IF(S100&gt;S101,1.0,IF(S100=S101,0.5,0.0)),""),"")</f>
        <v/>
      </c>
      <c r="W100">
        <f>IF(ISNUMBER(S100),IF(ISNUMBER(S102),IF(S100&gt;S102,1.0,IF(S100=S102,0.5,0.0)),""),"")</f>
        <v/>
      </c>
      <c r="X100">
        <f>IF(ISNUMBER(S100),IF(ISNUMBER(S103),IF(S100&gt;S103,1.0,IF(S100=S103,0.5,0.0)),""),"")</f>
        <v/>
      </c>
      <c r="Y100">
        <f>IF(ISNUMBER(S100),IF(ISNUMBER(S104),IF(S100&gt;S104,1.0,IF(S100=S104,0.5,0.0)),""),"")</f>
        <v/>
      </c>
      <c r="Z100">
        <f>IF(ISNUMBER(T100),IF(ISNUMBER(T99),IF(T100&gt;T99,1.0,IF(T100=T99,0.5,0.0)),""),"")</f>
        <v/>
      </c>
      <c r="AA100">
        <f>IF(ISNUMBER(T100),IF(ISNUMBER(T101),IF(T100&gt;T101,1.0,IF(T100=T101,0.5,0.0)),""),"")</f>
        <v/>
      </c>
      <c r="AB100">
        <f>IF(ISNUMBER(T100),IF(ISNUMBER(T102),IF(T100&gt;T102,1.0,IF(T100=T102,0.5,0.0)),""),"")</f>
        <v/>
      </c>
      <c r="AC100">
        <f>IF(ISNUMBER(T100),IF(ISNUMBER(T103),IF(T100&gt;T103,1.0,IF(T100=T103,0.5,0.0)),""),"")</f>
        <v/>
      </c>
      <c r="AD100">
        <f>IF(ISNUMBER(T100),IF(ISNUMBER(T104),IF(T100&gt;T104,1.0,IF(T100=T104,0.5,0.0)),""),"")</f>
        <v/>
      </c>
      <c r="AE100" s="14">
        <f>IF(AND(ISNUMBER(S100),ISNUMBER(S99)),VLOOKUP(ABS(S100-S99),'IMP Table'!$A$2:$C$26,3)*SIGN(S100-S99),0)</f>
        <v/>
      </c>
      <c r="AF100">
        <f>IF(AND(ISNUMBER(S100),ISNUMBER(S101)),VLOOKUP(ABS(S100-S101),'IMP Table'!$A$2:$C$26,3)*SIGN(S100-S101),0)</f>
        <v/>
      </c>
      <c r="AG100">
        <f>IF(AND(ISNUMBER(S100),ISNUMBER(S102)),VLOOKUP(ABS(S100-S102),'IMP Table'!$A$2:$C$26,3)*SIGN(S100-S102),0)</f>
        <v/>
      </c>
      <c r="AH100">
        <f>IF(AND(ISNUMBER(S100),ISNUMBER(S103)),VLOOKUP(ABS(S100-S103),'IMP Table'!$A$2:$C$26,3)*SIGN(S100-S103),0)</f>
        <v/>
      </c>
      <c r="AI100">
        <f>IF(AND(ISNUMBER(S100),ISNUMBER(S104)),VLOOKUP(ABS(S100-S104),'IMP Table'!$A$2:$C$26,3)*SIGN(S100-S104),0)</f>
        <v/>
      </c>
      <c r="AJ100">
        <f>IF(AND(ISNUMBER(T100),ISNUMBER(T99)),VLOOKUP(ABS(T100-T99),'IMP Table'!$A$2:$C$26,3)*SIGN(T100-T99),0)</f>
        <v/>
      </c>
      <c r="AK100">
        <f>IF(AND(ISNUMBER(T100),ISNUMBER(T101)),VLOOKUP(ABS(T100-T101),'IMP Table'!$A$2:$C$26,3)*SIGN(T100-T101),0)</f>
        <v/>
      </c>
      <c r="AL100">
        <f>IF(AND(ISNUMBER(T100),ISNUMBER(T102)),VLOOKUP(ABS(T100-T102),'IMP Table'!$A$2:$C$26,3)*SIGN(T100-T102),0)</f>
        <v/>
      </c>
      <c r="AM100">
        <f>IF(AND(ISNUMBER(T100),ISNUMBER(T103)),VLOOKUP(ABS(T100-T103),'IMP Table'!$A$2:$C$26,3)*SIGN(T100-T103),0)</f>
        <v/>
      </c>
      <c r="AN100">
        <f>IF(AND(ISNUMBER(T100),ISNUMBER(T104)),VLOOKUP(ABS(T100-T104),'IMP Table'!$A$2:$C$26,3)*SIGN(T100-T104),0)</f>
        <v/>
      </c>
    </row>
    <row r="101">
      <c r="B101" s="10">
        <f>'By Round'!A15</f>
        <v/>
      </c>
      <c r="C101" s="10">
        <f>'By Round'!B21</f>
        <v/>
      </c>
      <c r="D101" s="10">
        <f>'By Round'!C21</f>
        <v/>
      </c>
      <c r="E101" s="10">
        <f>'By Round'!D21</f>
        <v/>
      </c>
      <c r="F101" s="10">
        <f>IF(ISBLANK('By Round'!F21),"",'By Round'!F21)</f>
        <v/>
      </c>
      <c r="G101">
        <f>IF(ISBLANK('By Round'!G21),"",'By Round'!G21)</f>
        <v/>
      </c>
      <c r="H101">
        <f>IF(ISBLANK('By Round'!H21),"",'By Round'!H21)</f>
        <v/>
      </c>
      <c r="I101">
        <f>IF(ISBLANK('By Round'!I21),"",'By Round'!I21)</f>
        <v/>
      </c>
      <c r="J101">
        <f>IF(ISBLANK('By Round'!J21),"",'By Round'!J21)</f>
        <v/>
      </c>
      <c r="K101">
        <f>IF(ISBLANK('By Round'!K21),"",'By Round'!K21)</f>
        <v/>
      </c>
      <c r="L101">
        <f>IF(ISBLANK('By Round'!L21),"",'By Round'!L21)</f>
        <v/>
      </c>
      <c r="M101" s="11">
        <f>AVERAGE(AE101:AI101)</f>
        <v/>
      </c>
      <c r="N101" s="12">
        <f>AVERAGE(AJ101:AN101)</f>
        <v/>
      </c>
      <c r="O101" s="13">
        <f>IF(COUNT(U101:Y101)&gt;0,Q101/COUNT(U101:Y101),0.5)</f>
        <v/>
      </c>
      <c r="P101" s="13">
        <f>IF(COUNT(Z101:AD101)&gt;0,R101/COUNT(Z101:AD101),0.5)</f>
        <v/>
      </c>
      <c r="Q101" s="5">
        <f>SUM(U101:Y101)</f>
        <v/>
      </c>
      <c r="R101" s="5">
        <f>SUM(Z101:AD101)</f>
        <v/>
      </c>
      <c r="S101" s="14">
        <f>IF(ISNUMBER(K101),K101,IF(ISNUMBER(L101),-L101,""))</f>
        <v/>
      </c>
      <c r="T101">
        <f>IF(ISNUMBER(L101),L101,IF(ISNUMBER(K101),-K101,""))</f>
        <v/>
      </c>
      <c r="U101" s="14">
        <f>IF(ISNUMBER(S101),IF(ISNUMBER(S99),IF(S101&gt;S99,1.0,IF(S101=S99,0.5,0.0)),""),"")</f>
        <v/>
      </c>
      <c r="V101">
        <f>IF(ISNUMBER(S101),IF(ISNUMBER(S100),IF(S101&gt;S100,1.0,IF(S101=S100,0.5,0.0)),""),"")</f>
        <v/>
      </c>
      <c r="W101">
        <f>IF(ISNUMBER(S101),IF(ISNUMBER(S102),IF(S101&gt;S102,1.0,IF(S101=S102,0.5,0.0)),""),"")</f>
        <v/>
      </c>
      <c r="X101">
        <f>IF(ISNUMBER(S101),IF(ISNUMBER(S103),IF(S101&gt;S103,1.0,IF(S101=S103,0.5,0.0)),""),"")</f>
        <v/>
      </c>
      <c r="Y101">
        <f>IF(ISNUMBER(S101),IF(ISNUMBER(S104),IF(S101&gt;S104,1.0,IF(S101=S104,0.5,0.0)),""),"")</f>
        <v/>
      </c>
      <c r="Z101">
        <f>IF(ISNUMBER(T101),IF(ISNUMBER(T99),IF(T101&gt;T99,1.0,IF(T101=T99,0.5,0.0)),""),"")</f>
        <v/>
      </c>
      <c r="AA101">
        <f>IF(ISNUMBER(T101),IF(ISNUMBER(T100),IF(T101&gt;T100,1.0,IF(T101=T100,0.5,0.0)),""),"")</f>
        <v/>
      </c>
      <c r="AB101">
        <f>IF(ISNUMBER(T101),IF(ISNUMBER(T102),IF(T101&gt;T102,1.0,IF(T101=T102,0.5,0.0)),""),"")</f>
        <v/>
      </c>
      <c r="AC101">
        <f>IF(ISNUMBER(T101),IF(ISNUMBER(T103),IF(T101&gt;T103,1.0,IF(T101=T103,0.5,0.0)),""),"")</f>
        <v/>
      </c>
      <c r="AD101">
        <f>IF(ISNUMBER(T101),IF(ISNUMBER(T104),IF(T101&gt;T104,1.0,IF(T101=T104,0.5,0.0)),""),"")</f>
        <v/>
      </c>
      <c r="AE101" s="14">
        <f>IF(AND(ISNUMBER(S101),ISNUMBER(S99)),VLOOKUP(ABS(S101-S99),'IMP Table'!$A$2:$C$26,3)*SIGN(S101-S99),0)</f>
        <v/>
      </c>
      <c r="AF101">
        <f>IF(AND(ISNUMBER(S101),ISNUMBER(S100)),VLOOKUP(ABS(S101-S100),'IMP Table'!$A$2:$C$26,3)*SIGN(S101-S100),0)</f>
        <v/>
      </c>
      <c r="AG101">
        <f>IF(AND(ISNUMBER(S101),ISNUMBER(S102)),VLOOKUP(ABS(S101-S102),'IMP Table'!$A$2:$C$26,3)*SIGN(S101-S102),0)</f>
        <v/>
      </c>
      <c r="AH101">
        <f>IF(AND(ISNUMBER(S101),ISNUMBER(S103)),VLOOKUP(ABS(S101-S103),'IMP Table'!$A$2:$C$26,3)*SIGN(S101-S103),0)</f>
        <v/>
      </c>
      <c r="AI101">
        <f>IF(AND(ISNUMBER(S101),ISNUMBER(S104)),VLOOKUP(ABS(S101-S104),'IMP Table'!$A$2:$C$26,3)*SIGN(S101-S104),0)</f>
        <v/>
      </c>
      <c r="AJ101">
        <f>IF(AND(ISNUMBER(T101),ISNUMBER(T99)),VLOOKUP(ABS(T101-T99),'IMP Table'!$A$2:$C$26,3)*SIGN(T101-T99),0)</f>
        <v/>
      </c>
      <c r="AK101">
        <f>IF(AND(ISNUMBER(T101),ISNUMBER(T100)),VLOOKUP(ABS(T101-T100),'IMP Table'!$A$2:$C$26,3)*SIGN(T101-T100),0)</f>
        <v/>
      </c>
      <c r="AL101">
        <f>IF(AND(ISNUMBER(T101),ISNUMBER(T102)),VLOOKUP(ABS(T101-T102),'IMP Table'!$A$2:$C$26,3)*SIGN(T101-T102),0)</f>
        <v/>
      </c>
      <c r="AM101">
        <f>IF(AND(ISNUMBER(T101),ISNUMBER(T103)),VLOOKUP(ABS(T101-T103),'IMP Table'!$A$2:$C$26,3)*SIGN(T101-T103),0)</f>
        <v/>
      </c>
      <c r="AN101">
        <f>IF(AND(ISNUMBER(T101),ISNUMBER(T104)),VLOOKUP(ABS(T101-T104),'IMP Table'!$A$2:$C$26,3)*SIGN(T101-T104),0)</f>
        <v/>
      </c>
    </row>
    <row r="102">
      <c r="B102" s="10">
        <f>'By Round'!A51</f>
        <v/>
      </c>
      <c r="C102" s="10">
        <f>'By Round'!B53</f>
        <v/>
      </c>
      <c r="D102" s="10">
        <f>'By Round'!C53</f>
        <v/>
      </c>
      <c r="E102" s="10">
        <f>'By Round'!D53</f>
        <v/>
      </c>
      <c r="F102" s="10">
        <f>IF(ISBLANK('By Round'!F53),"",'By Round'!F53)</f>
        <v/>
      </c>
      <c r="G102">
        <f>IF(ISBLANK('By Round'!G53),"",'By Round'!G53)</f>
        <v/>
      </c>
      <c r="H102">
        <f>IF(ISBLANK('By Round'!H53),"",'By Round'!H53)</f>
        <v/>
      </c>
      <c r="I102">
        <f>IF(ISBLANK('By Round'!I53),"",'By Round'!I53)</f>
        <v/>
      </c>
      <c r="J102">
        <f>IF(ISBLANK('By Round'!J53),"",'By Round'!J53)</f>
        <v/>
      </c>
      <c r="K102">
        <f>IF(ISBLANK('By Round'!K53),"",'By Round'!K53)</f>
        <v/>
      </c>
      <c r="L102">
        <f>IF(ISBLANK('By Round'!L53),"",'By Round'!L53)</f>
        <v/>
      </c>
      <c r="M102" s="11">
        <f>AVERAGE(AE102:AI102)</f>
        <v/>
      </c>
      <c r="N102" s="12">
        <f>AVERAGE(AJ102:AN102)</f>
        <v/>
      </c>
      <c r="O102" s="13">
        <f>IF(COUNT(U102:Y102)&gt;0,Q102/COUNT(U102:Y102),0.5)</f>
        <v/>
      </c>
      <c r="P102" s="13">
        <f>IF(COUNT(Z102:AD102)&gt;0,R102/COUNT(Z102:AD102),0.5)</f>
        <v/>
      </c>
      <c r="Q102" s="5">
        <f>SUM(U102:Y102)</f>
        <v/>
      </c>
      <c r="R102" s="5">
        <f>SUM(Z102:AD102)</f>
        <v/>
      </c>
      <c r="S102" s="14">
        <f>IF(ISNUMBER(K102),K102,IF(ISNUMBER(L102),-L102,""))</f>
        <v/>
      </c>
      <c r="T102">
        <f>IF(ISNUMBER(L102),L102,IF(ISNUMBER(K102),-K102,""))</f>
        <v/>
      </c>
      <c r="U102" s="14">
        <f>IF(ISNUMBER(S102),IF(ISNUMBER(S99),IF(S102&gt;S99,1.0,IF(S102=S99,0.5,0.0)),""),"")</f>
        <v/>
      </c>
      <c r="V102">
        <f>IF(ISNUMBER(S102),IF(ISNUMBER(S100),IF(S102&gt;S100,1.0,IF(S102=S100,0.5,0.0)),""),"")</f>
        <v/>
      </c>
      <c r="W102">
        <f>IF(ISNUMBER(S102),IF(ISNUMBER(S101),IF(S102&gt;S101,1.0,IF(S102=S101,0.5,0.0)),""),"")</f>
        <v/>
      </c>
      <c r="X102">
        <f>IF(ISNUMBER(S102),IF(ISNUMBER(S103),IF(S102&gt;S103,1.0,IF(S102=S103,0.5,0.0)),""),"")</f>
        <v/>
      </c>
      <c r="Y102">
        <f>IF(ISNUMBER(S102),IF(ISNUMBER(S104),IF(S102&gt;S104,1.0,IF(S102=S104,0.5,0.0)),""),"")</f>
        <v/>
      </c>
      <c r="Z102">
        <f>IF(ISNUMBER(T102),IF(ISNUMBER(T99),IF(T102&gt;T99,1.0,IF(T102=T99,0.5,0.0)),""),"")</f>
        <v/>
      </c>
      <c r="AA102">
        <f>IF(ISNUMBER(T102),IF(ISNUMBER(T100),IF(T102&gt;T100,1.0,IF(T102=T100,0.5,0.0)),""),"")</f>
        <v/>
      </c>
      <c r="AB102">
        <f>IF(ISNUMBER(T102),IF(ISNUMBER(T101),IF(T102&gt;T101,1.0,IF(T102=T101,0.5,0.0)),""),"")</f>
        <v/>
      </c>
      <c r="AC102">
        <f>IF(ISNUMBER(T102),IF(ISNUMBER(T103),IF(T102&gt;T103,1.0,IF(T102=T103,0.5,0.0)),""),"")</f>
        <v/>
      </c>
      <c r="AD102">
        <f>IF(ISNUMBER(T102),IF(ISNUMBER(T104),IF(T102&gt;T104,1.0,IF(T102=T104,0.5,0.0)),""),"")</f>
        <v/>
      </c>
      <c r="AE102" s="14">
        <f>IF(AND(ISNUMBER(S102),ISNUMBER(S99)),VLOOKUP(ABS(S102-S99),'IMP Table'!$A$2:$C$26,3)*SIGN(S102-S99),0)</f>
        <v/>
      </c>
      <c r="AF102">
        <f>IF(AND(ISNUMBER(S102),ISNUMBER(S100)),VLOOKUP(ABS(S102-S100),'IMP Table'!$A$2:$C$26,3)*SIGN(S102-S100),0)</f>
        <v/>
      </c>
      <c r="AG102">
        <f>IF(AND(ISNUMBER(S102),ISNUMBER(S101)),VLOOKUP(ABS(S102-S101),'IMP Table'!$A$2:$C$26,3)*SIGN(S102-S101),0)</f>
        <v/>
      </c>
      <c r="AH102">
        <f>IF(AND(ISNUMBER(S102),ISNUMBER(S103)),VLOOKUP(ABS(S102-S103),'IMP Table'!$A$2:$C$26,3)*SIGN(S102-S103),0)</f>
        <v/>
      </c>
      <c r="AI102">
        <f>IF(AND(ISNUMBER(S102),ISNUMBER(S104)),VLOOKUP(ABS(S102-S104),'IMP Table'!$A$2:$C$26,3)*SIGN(S102-S104),0)</f>
        <v/>
      </c>
      <c r="AJ102">
        <f>IF(AND(ISNUMBER(T102),ISNUMBER(T99)),VLOOKUP(ABS(T102-T99),'IMP Table'!$A$2:$C$26,3)*SIGN(T102-T99),0)</f>
        <v/>
      </c>
      <c r="AK102">
        <f>IF(AND(ISNUMBER(T102),ISNUMBER(T100)),VLOOKUP(ABS(T102-T100),'IMP Table'!$A$2:$C$26,3)*SIGN(T102-T100),0)</f>
        <v/>
      </c>
      <c r="AL102">
        <f>IF(AND(ISNUMBER(T102),ISNUMBER(T101)),VLOOKUP(ABS(T102-T101),'IMP Table'!$A$2:$C$26,3)*SIGN(T102-T101),0)</f>
        <v/>
      </c>
      <c r="AM102">
        <f>IF(AND(ISNUMBER(T102),ISNUMBER(T103)),VLOOKUP(ABS(T102-T103),'IMP Table'!$A$2:$C$26,3)*SIGN(T102-T103),0)</f>
        <v/>
      </c>
      <c r="AN102">
        <f>IF(AND(ISNUMBER(T102),ISNUMBER(T104)),VLOOKUP(ABS(T102-T104),'IMP Table'!$A$2:$C$26,3)*SIGN(T102-T104),0)</f>
        <v/>
      </c>
    </row>
    <row r="103">
      <c r="B103" s="10">
        <f>'By Round'!A123</f>
        <v/>
      </c>
      <c r="C103" s="10">
        <f>'By Round'!B133</f>
        <v/>
      </c>
      <c r="D103" s="10">
        <f>'By Round'!C133</f>
        <v/>
      </c>
      <c r="E103" s="10">
        <f>'By Round'!D133</f>
        <v/>
      </c>
      <c r="F103" s="10">
        <f>IF(ISBLANK('By Round'!F133),"",'By Round'!F133)</f>
        <v/>
      </c>
      <c r="G103">
        <f>IF(ISBLANK('By Round'!G133),"",'By Round'!G133)</f>
        <v/>
      </c>
      <c r="H103">
        <f>IF(ISBLANK('By Round'!H133),"",'By Round'!H133)</f>
        <v/>
      </c>
      <c r="I103">
        <f>IF(ISBLANK('By Round'!I133),"",'By Round'!I133)</f>
        <v/>
      </c>
      <c r="J103">
        <f>IF(ISBLANK('By Round'!J133),"",'By Round'!J133)</f>
        <v/>
      </c>
      <c r="K103">
        <f>IF(ISBLANK('By Round'!K133),"",'By Round'!K133)</f>
        <v/>
      </c>
      <c r="L103">
        <f>IF(ISBLANK('By Round'!L133),"",'By Round'!L133)</f>
        <v/>
      </c>
      <c r="M103" s="11">
        <f>AVERAGE(AE103:AI103)</f>
        <v/>
      </c>
      <c r="N103" s="12">
        <f>AVERAGE(AJ103:AN103)</f>
        <v/>
      </c>
      <c r="O103" s="13">
        <f>IF(COUNT(U103:Y103)&gt;0,Q103/COUNT(U103:Y103),0.5)</f>
        <v/>
      </c>
      <c r="P103" s="13">
        <f>IF(COUNT(Z103:AD103)&gt;0,R103/COUNT(Z103:AD103),0.5)</f>
        <v/>
      </c>
      <c r="Q103" s="5">
        <f>SUM(U103:Y103)</f>
        <v/>
      </c>
      <c r="R103" s="5">
        <f>SUM(Z103:AD103)</f>
        <v/>
      </c>
      <c r="S103" s="14">
        <f>IF(ISNUMBER(K103),K103,IF(ISNUMBER(L103),-L103,""))</f>
        <v/>
      </c>
      <c r="T103">
        <f>IF(ISNUMBER(L103),L103,IF(ISNUMBER(K103),-K103,""))</f>
        <v/>
      </c>
      <c r="U103" s="14">
        <f>IF(ISNUMBER(S103),IF(ISNUMBER(S99),IF(S103&gt;S99,1.0,IF(S103=S99,0.5,0.0)),""),"")</f>
        <v/>
      </c>
      <c r="V103">
        <f>IF(ISNUMBER(S103),IF(ISNUMBER(S100),IF(S103&gt;S100,1.0,IF(S103=S100,0.5,0.0)),""),"")</f>
        <v/>
      </c>
      <c r="W103">
        <f>IF(ISNUMBER(S103),IF(ISNUMBER(S101),IF(S103&gt;S101,1.0,IF(S103=S101,0.5,0.0)),""),"")</f>
        <v/>
      </c>
      <c r="X103">
        <f>IF(ISNUMBER(S103),IF(ISNUMBER(S102),IF(S103&gt;S102,1.0,IF(S103=S102,0.5,0.0)),""),"")</f>
        <v/>
      </c>
      <c r="Y103">
        <f>IF(ISNUMBER(S103),IF(ISNUMBER(S104),IF(S103&gt;S104,1.0,IF(S103=S104,0.5,0.0)),""),"")</f>
        <v/>
      </c>
      <c r="Z103">
        <f>IF(ISNUMBER(T103),IF(ISNUMBER(T99),IF(T103&gt;T99,1.0,IF(T103=T99,0.5,0.0)),""),"")</f>
        <v/>
      </c>
      <c r="AA103">
        <f>IF(ISNUMBER(T103),IF(ISNUMBER(T100),IF(T103&gt;T100,1.0,IF(T103=T100,0.5,0.0)),""),"")</f>
        <v/>
      </c>
      <c r="AB103">
        <f>IF(ISNUMBER(T103),IF(ISNUMBER(T101),IF(T103&gt;T101,1.0,IF(T103=T101,0.5,0.0)),""),"")</f>
        <v/>
      </c>
      <c r="AC103">
        <f>IF(ISNUMBER(T103),IF(ISNUMBER(T102),IF(T103&gt;T102,1.0,IF(T103=T102,0.5,0.0)),""),"")</f>
        <v/>
      </c>
      <c r="AD103">
        <f>IF(ISNUMBER(T103),IF(ISNUMBER(T104),IF(T103&gt;T104,1.0,IF(T103=T104,0.5,0.0)),""),"")</f>
        <v/>
      </c>
      <c r="AE103" s="14">
        <f>IF(AND(ISNUMBER(S103),ISNUMBER(S99)),VLOOKUP(ABS(S103-S99),'IMP Table'!$A$2:$C$26,3)*SIGN(S103-S99),0)</f>
        <v/>
      </c>
      <c r="AF103">
        <f>IF(AND(ISNUMBER(S103),ISNUMBER(S100)),VLOOKUP(ABS(S103-S100),'IMP Table'!$A$2:$C$26,3)*SIGN(S103-S100),0)</f>
        <v/>
      </c>
      <c r="AG103">
        <f>IF(AND(ISNUMBER(S103),ISNUMBER(S101)),VLOOKUP(ABS(S103-S101),'IMP Table'!$A$2:$C$26,3)*SIGN(S103-S101),0)</f>
        <v/>
      </c>
      <c r="AH103">
        <f>IF(AND(ISNUMBER(S103),ISNUMBER(S102)),VLOOKUP(ABS(S103-S102),'IMP Table'!$A$2:$C$26,3)*SIGN(S103-S102),0)</f>
        <v/>
      </c>
      <c r="AI103">
        <f>IF(AND(ISNUMBER(S103),ISNUMBER(S104)),VLOOKUP(ABS(S103-S104),'IMP Table'!$A$2:$C$26,3)*SIGN(S103-S104),0)</f>
        <v/>
      </c>
      <c r="AJ103">
        <f>IF(AND(ISNUMBER(T103),ISNUMBER(T99)),VLOOKUP(ABS(T103-T99),'IMP Table'!$A$2:$C$26,3)*SIGN(T103-T99),0)</f>
        <v/>
      </c>
      <c r="AK103">
        <f>IF(AND(ISNUMBER(T103),ISNUMBER(T100)),VLOOKUP(ABS(T103-T100),'IMP Table'!$A$2:$C$26,3)*SIGN(T103-T100),0)</f>
        <v/>
      </c>
      <c r="AL103">
        <f>IF(AND(ISNUMBER(T103),ISNUMBER(T101)),VLOOKUP(ABS(T103-T101),'IMP Table'!$A$2:$C$26,3)*SIGN(T103-T101),0)</f>
        <v/>
      </c>
      <c r="AM103">
        <f>IF(AND(ISNUMBER(T103),ISNUMBER(T102)),VLOOKUP(ABS(T103-T102),'IMP Table'!$A$2:$C$26,3)*SIGN(T103-T102),0)</f>
        <v/>
      </c>
      <c r="AN103">
        <f>IF(AND(ISNUMBER(T103),ISNUMBER(T104)),VLOOKUP(ABS(T103-T104),'IMP Table'!$A$2:$C$26,3)*SIGN(T103-T104),0)</f>
        <v/>
      </c>
    </row>
    <row r="104">
      <c r="A104" s="15" t="n"/>
      <c r="B104" s="16">
        <f>'By Round'!A39</f>
        <v/>
      </c>
      <c r="C104" s="16">
        <f>'By Round'!B43</f>
        <v/>
      </c>
      <c r="D104" s="16">
        <f>'By Round'!C43</f>
        <v/>
      </c>
      <c r="E104" s="16">
        <f>'By Round'!D43</f>
        <v/>
      </c>
      <c r="F104" s="16">
        <f>IF(ISBLANK('By Round'!F43),"",'By Round'!F43)</f>
        <v/>
      </c>
      <c r="G104" s="15">
        <f>IF(ISBLANK('By Round'!G43),"",'By Round'!G43)</f>
        <v/>
      </c>
      <c r="H104" s="15">
        <f>IF(ISBLANK('By Round'!H43),"",'By Round'!H43)</f>
        <v/>
      </c>
      <c r="I104" s="15">
        <f>IF(ISBLANK('By Round'!I43),"",'By Round'!I43)</f>
        <v/>
      </c>
      <c r="J104" s="15">
        <f>IF(ISBLANK('By Round'!J43),"",'By Round'!J43)</f>
        <v/>
      </c>
      <c r="K104" s="15">
        <f>IF(ISBLANK('By Round'!K43),"",'By Round'!K43)</f>
        <v/>
      </c>
      <c r="L104" s="15">
        <f>IF(ISBLANK('By Round'!L43),"",'By Round'!L43)</f>
        <v/>
      </c>
      <c r="M104" s="17">
        <f>AVERAGE(AE104:AI104)</f>
        <v/>
      </c>
      <c r="N104" s="18">
        <f>AVERAGE(AJ104:AN104)</f>
        <v/>
      </c>
      <c r="O104" s="19">
        <f>IF(COUNT(U104:Y104)&gt;0,Q104/COUNT(U104:Y104),0.5)</f>
        <v/>
      </c>
      <c r="P104" s="19">
        <f>IF(COUNT(Z104:AD104)&gt;0,R104/COUNT(Z104:AD104),0.5)</f>
        <v/>
      </c>
      <c r="Q104" s="20">
        <f>SUM(U104:Y104)</f>
        <v/>
      </c>
      <c r="R104" s="20">
        <f>SUM(Z104:AD104)</f>
        <v/>
      </c>
      <c r="S104" s="21">
        <f>IF(ISNUMBER(K104),K104,IF(ISNUMBER(L104),-L104,""))</f>
        <v/>
      </c>
      <c r="T104" s="15">
        <f>IF(ISNUMBER(L104),L104,IF(ISNUMBER(K104),-K104,""))</f>
        <v/>
      </c>
      <c r="U104" s="21">
        <f>IF(ISNUMBER(S104),IF(ISNUMBER(S99),IF(S104&gt;S99,1.0,IF(S104=S99,0.5,0.0)),""),"")</f>
        <v/>
      </c>
      <c r="V104" s="15">
        <f>IF(ISNUMBER(S104),IF(ISNUMBER(S100),IF(S104&gt;S100,1.0,IF(S104=S100,0.5,0.0)),""),"")</f>
        <v/>
      </c>
      <c r="W104" s="15">
        <f>IF(ISNUMBER(S104),IF(ISNUMBER(S101),IF(S104&gt;S101,1.0,IF(S104=S101,0.5,0.0)),""),"")</f>
        <v/>
      </c>
      <c r="X104" s="15">
        <f>IF(ISNUMBER(S104),IF(ISNUMBER(S102),IF(S104&gt;S102,1.0,IF(S104=S102,0.5,0.0)),""),"")</f>
        <v/>
      </c>
      <c r="Y104" s="15">
        <f>IF(ISNUMBER(S104),IF(ISNUMBER(S103),IF(S104&gt;S103,1.0,IF(S104=S103,0.5,0.0)),""),"")</f>
        <v/>
      </c>
      <c r="Z104" s="15">
        <f>IF(ISNUMBER(T104),IF(ISNUMBER(T99),IF(T104&gt;T99,1.0,IF(T104=T99,0.5,0.0)),""),"")</f>
        <v/>
      </c>
      <c r="AA104" s="15">
        <f>IF(ISNUMBER(T104),IF(ISNUMBER(T100),IF(T104&gt;T100,1.0,IF(T104=T100,0.5,0.0)),""),"")</f>
        <v/>
      </c>
      <c r="AB104" s="15">
        <f>IF(ISNUMBER(T104),IF(ISNUMBER(T101),IF(T104&gt;T101,1.0,IF(T104=T101,0.5,0.0)),""),"")</f>
        <v/>
      </c>
      <c r="AC104" s="15">
        <f>IF(ISNUMBER(T104),IF(ISNUMBER(T102),IF(T104&gt;T102,1.0,IF(T104=T102,0.5,0.0)),""),"")</f>
        <v/>
      </c>
      <c r="AD104" s="15">
        <f>IF(ISNUMBER(T104),IF(ISNUMBER(T103),IF(T104&gt;T103,1.0,IF(T104=T103,0.5,0.0)),""),"")</f>
        <v/>
      </c>
      <c r="AE104" s="21">
        <f>IF(AND(ISNUMBER(S104),ISNUMBER(S99)),VLOOKUP(ABS(S104-S99),'IMP Table'!$A$2:$C$26,3)*SIGN(S104-S99),0)</f>
        <v/>
      </c>
      <c r="AF104" s="15">
        <f>IF(AND(ISNUMBER(S104),ISNUMBER(S100)),VLOOKUP(ABS(S104-S100),'IMP Table'!$A$2:$C$26,3)*SIGN(S104-S100),0)</f>
        <v/>
      </c>
      <c r="AG104" s="15">
        <f>IF(AND(ISNUMBER(S104),ISNUMBER(S101)),VLOOKUP(ABS(S104-S101),'IMP Table'!$A$2:$C$26,3)*SIGN(S104-S101),0)</f>
        <v/>
      </c>
      <c r="AH104" s="15">
        <f>IF(AND(ISNUMBER(S104),ISNUMBER(S102)),VLOOKUP(ABS(S104-S102),'IMP Table'!$A$2:$C$26,3)*SIGN(S104-S102),0)</f>
        <v/>
      </c>
      <c r="AI104" s="15">
        <f>IF(AND(ISNUMBER(S104),ISNUMBER(S103)),VLOOKUP(ABS(S104-S103),'IMP Table'!$A$2:$C$26,3)*SIGN(S104-S103),0)</f>
        <v/>
      </c>
      <c r="AJ104" s="15">
        <f>IF(AND(ISNUMBER(T104),ISNUMBER(T99)),VLOOKUP(ABS(T104-T99),'IMP Table'!$A$2:$C$26,3)*SIGN(T104-T99),0)</f>
        <v/>
      </c>
      <c r="AK104" s="15">
        <f>IF(AND(ISNUMBER(T104),ISNUMBER(T100)),VLOOKUP(ABS(T104-T100),'IMP Table'!$A$2:$C$26,3)*SIGN(T104-T100),0)</f>
        <v/>
      </c>
      <c r="AL104" s="15">
        <f>IF(AND(ISNUMBER(T104),ISNUMBER(T101)),VLOOKUP(ABS(T104-T101),'IMP Table'!$A$2:$C$26,3)*SIGN(T104-T101),0)</f>
        <v/>
      </c>
      <c r="AM104" s="15">
        <f>IF(AND(ISNUMBER(T104),ISNUMBER(T102)),VLOOKUP(ABS(T104-T102),'IMP Table'!$A$2:$C$26,3)*SIGN(T104-T102),0)</f>
        <v/>
      </c>
      <c r="AN104" s="15">
        <f>IF(AND(ISNUMBER(T104),ISNUMBER(T103)),VLOOKUP(ABS(T104-T103),'IMP Table'!$A$2:$C$26,3)*SIGN(T104-T103),0)</f>
        <v/>
      </c>
    </row>
    <row r="105">
      <c r="A105" s="10" t="n">
        <v>18</v>
      </c>
      <c r="B105" s="10">
        <f>'By Round'!A99</f>
        <v/>
      </c>
      <c r="C105" s="10">
        <f>'By Round'!B99</f>
        <v/>
      </c>
      <c r="D105" s="10">
        <f>'By Round'!C99</f>
        <v/>
      </c>
      <c r="E105" s="10">
        <f>'By Round'!D99</f>
        <v/>
      </c>
      <c r="F105" s="10">
        <f>IF(ISBLANK('By Round'!F100),"",'By Round'!F100)</f>
        <v/>
      </c>
      <c r="G105">
        <f>IF(ISBLANK('By Round'!G100),"",'By Round'!G100)</f>
        <v/>
      </c>
      <c r="H105">
        <f>IF(ISBLANK('By Round'!H100),"",'By Round'!H100)</f>
        <v/>
      </c>
      <c r="I105">
        <f>IF(ISBLANK('By Round'!I100),"",'By Round'!I100)</f>
        <v/>
      </c>
      <c r="J105">
        <f>IF(ISBLANK('By Round'!J100),"",'By Round'!J100)</f>
        <v/>
      </c>
      <c r="K105">
        <f>IF(ISBLANK('By Round'!K100),"",'By Round'!K100)</f>
        <v/>
      </c>
      <c r="L105">
        <f>IF(ISBLANK('By Round'!L100),"",'By Round'!L100)</f>
        <v/>
      </c>
      <c r="M105" s="11">
        <f>AVERAGE(AE105:AI105)</f>
        <v/>
      </c>
      <c r="N105" s="12">
        <f>AVERAGE(AJ105:AN105)</f>
        <v/>
      </c>
      <c r="O105" s="13">
        <f>IF(COUNT(U105:Y105)&gt;0,Q105/COUNT(U105:Y105),0.5)</f>
        <v/>
      </c>
      <c r="P105" s="13">
        <f>IF(COUNT(Z105:AD105)&gt;0,R105/COUNT(Z105:AD105),0.5)</f>
        <v/>
      </c>
      <c r="Q105" s="5">
        <f>SUM(U105:Y105)</f>
        <v/>
      </c>
      <c r="R105" s="5">
        <f>SUM(Z105:AD105)</f>
        <v/>
      </c>
      <c r="S105" s="14">
        <f>IF(ISNUMBER(K105),K105,IF(ISNUMBER(L105),-L105,""))</f>
        <v/>
      </c>
      <c r="T105">
        <f>IF(ISNUMBER(L105),L105,IF(ISNUMBER(K105),-K105,""))</f>
        <v/>
      </c>
      <c r="U105" s="14">
        <f>IF(ISNUMBER(S105),IF(ISNUMBER(S106),IF(S105&gt;S106,1.0,IF(S105=S106,0.5,0.0)),""),"")</f>
        <v/>
      </c>
      <c r="V105">
        <f>IF(ISNUMBER(S105),IF(ISNUMBER(S107),IF(S105&gt;S107,1.0,IF(S105=S107,0.5,0.0)),""),"")</f>
        <v/>
      </c>
      <c r="W105">
        <f>IF(ISNUMBER(S105),IF(ISNUMBER(S108),IF(S105&gt;S108,1.0,IF(S105=S108,0.5,0.0)),""),"")</f>
        <v/>
      </c>
      <c r="X105">
        <f>IF(ISNUMBER(S105),IF(ISNUMBER(S109),IF(S105&gt;S109,1.0,IF(S105=S109,0.5,0.0)),""),"")</f>
        <v/>
      </c>
      <c r="Y105">
        <f>IF(ISNUMBER(S105),IF(ISNUMBER(S110),IF(S105&gt;S110,1.0,IF(S105=S110,0.5,0.0)),""),"")</f>
        <v/>
      </c>
      <c r="Z105">
        <f>IF(ISNUMBER(T105),IF(ISNUMBER(T106),IF(T105&gt;T106,1.0,IF(T105=T106,0.5,0.0)),""),"")</f>
        <v/>
      </c>
      <c r="AA105">
        <f>IF(ISNUMBER(T105),IF(ISNUMBER(T107),IF(T105&gt;T107,1.0,IF(T105=T107,0.5,0.0)),""),"")</f>
        <v/>
      </c>
      <c r="AB105">
        <f>IF(ISNUMBER(T105),IF(ISNUMBER(T108),IF(T105&gt;T108,1.0,IF(T105=T108,0.5,0.0)),""),"")</f>
        <v/>
      </c>
      <c r="AC105">
        <f>IF(ISNUMBER(T105),IF(ISNUMBER(T109),IF(T105&gt;T109,1.0,IF(T105=T109,0.5,0.0)),""),"")</f>
        <v/>
      </c>
      <c r="AD105">
        <f>IF(ISNUMBER(T105),IF(ISNUMBER(T110),IF(T105&gt;T110,1.0,IF(T105=T110,0.5,0.0)),""),"")</f>
        <v/>
      </c>
      <c r="AE105" s="14">
        <f>IF(AND(ISNUMBER(S105),ISNUMBER(S106)),VLOOKUP(ABS(S105-S106),'IMP Table'!$A$2:$C$26,3)*SIGN(S105-S106),0)</f>
        <v/>
      </c>
      <c r="AF105">
        <f>IF(AND(ISNUMBER(S105),ISNUMBER(S107)),VLOOKUP(ABS(S105-S107),'IMP Table'!$A$2:$C$26,3)*SIGN(S105-S107),0)</f>
        <v/>
      </c>
      <c r="AG105">
        <f>IF(AND(ISNUMBER(S105),ISNUMBER(S108)),VLOOKUP(ABS(S105-S108),'IMP Table'!$A$2:$C$26,3)*SIGN(S105-S108),0)</f>
        <v/>
      </c>
      <c r="AH105">
        <f>IF(AND(ISNUMBER(S105),ISNUMBER(S109)),VLOOKUP(ABS(S105-S109),'IMP Table'!$A$2:$C$26,3)*SIGN(S105-S109),0)</f>
        <v/>
      </c>
      <c r="AI105">
        <f>IF(AND(ISNUMBER(S105),ISNUMBER(S110)),VLOOKUP(ABS(S105-S110),'IMP Table'!$A$2:$C$26,3)*SIGN(S105-S110),0)</f>
        <v/>
      </c>
      <c r="AJ105">
        <f>IF(AND(ISNUMBER(T105),ISNUMBER(T106)),VLOOKUP(ABS(T105-T106),'IMP Table'!$A$2:$C$26,3)*SIGN(T105-T106),0)</f>
        <v/>
      </c>
      <c r="AK105">
        <f>IF(AND(ISNUMBER(T105),ISNUMBER(T107)),VLOOKUP(ABS(T105-T107),'IMP Table'!$A$2:$C$26,3)*SIGN(T105-T107),0)</f>
        <v/>
      </c>
      <c r="AL105">
        <f>IF(AND(ISNUMBER(T105),ISNUMBER(T108)),VLOOKUP(ABS(T105-T108),'IMP Table'!$A$2:$C$26,3)*SIGN(T105-T108),0)</f>
        <v/>
      </c>
      <c r="AM105">
        <f>IF(AND(ISNUMBER(T105),ISNUMBER(T109)),VLOOKUP(ABS(T105-T109),'IMP Table'!$A$2:$C$26,3)*SIGN(T105-T109),0)</f>
        <v/>
      </c>
      <c r="AN105">
        <f>IF(AND(ISNUMBER(T105),ISNUMBER(T110)),VLOOKUP(ABS(T105-T110),'IMP Table'!$A$2:$C$26,3)*SIGN(T105-T110),0)</f>
        <v/>
      </c>
    </row>
    <row r="106">
      <c r="B106" s="10">
        <f>'By Round'!A3</f>
        <v/>
      </c>
      <c r="C106" s="10">
        <f>'By Round'!B11</f>
        <v/>
      </c>
      <c r="D106" s="10">
        <f>'By Round'!C11</f>
        <v/>
      </c>
      <c r="E106" s="10">
        <f>'By Round'!D11</f>
        <v/>
      </c>
      <c r="F106" s="10">
        <f>IF(ISBLANK('By Round'!F12),"",'By Round'!F12)</f>
        <v/>
      </c>
      <c r="G106">
        <f>IF(ISBLANK('By Round'!G12),"",'By Round'!G12)</f>
        <v/>
      </c>
      <c r="H106">
        <f>IF(ISBLANK('By Round'!H12),"",'By Round'!H12)</f>
        <v/>
      </c>
      <c r="I106">
        <f>IF(ISBLANK('By Round'!I12),"",'By Round'!I12)</f>
        <v/>
      </c>
      <c r="J106">
        <f>IF(ISBLANK('By Round'!J12),"",'By Round'!J12)</f>
        <v/>
      </c>
      <c r="K106">
        <f>IF(ISBLANK('By Round'!K12),"",'By Round'!K12)</f>
        <v/>
      </c>
      <c r="L106">
        <f>IF(ISBLANK('By Round'!L12),"",'By Round'!L12)</f>
        <v/>
      </c>
      <c r="M106" s="11">
        <f>AVERAGE(AE106:AI106)</f>
        <v/>
      </c>
      <c r="N106" s="12">
        <f>AVERAGE(AJ106:AN106)</f>
        <v/>
      </c>
      <c r="O106" s="13">
        <f>IF(COUNT(U106:Y106)&gt;0,Q106/COUNT(U106:Y106),0.5)</f>
        <v/>
      </c>
      <c r="P106" s="13">
        <f>IF(COUNT(Z106:AD106)&gt;0,R106/COUNT(Z106:AD106),0.5)</f>
        <v/>
      </c>
      <c r="Q106" s="5">
        <f>SUM(U106:Y106)</f>
        <v/>
      </c>
      <c r="R106" s="5">
        <f>SUM(Z106:AD106)</f>
        <v/>
      </c>
      <c r="S106" s="14">
        <f>IF(ISNUMBER(K106),K106,IF(ISNUMBER(L106),-L106,""))</f>
        <v/>
      </c>
      <c r="T106">
        <f>IF(ISNUMBER(L106),L106,IF(ISNUMBER(K106),-K106,""))</f>
        <v/>
      </c>
      <c r="U106" s="14">
        <f>IF(ISNUMBER(S106),IF(ISNUMBER(S105),IF(S106&gt;S105,1.0,IF(S106=S105,0.5,0.0)),""),"")</f>
        <v/>
      </c>
      <c r="V106">
        <f>IF(ISNUMBER(S106),IF(ISNUMBER(S107),IF(S106&gt;S107,1.0,IF(S106=S107,0.5,0.0)),""),"")</f>
        <v/>
      </c>
      <c r="W106">
        <f>IF(ISNUMBER(S106),IF(ISNUMBER(S108),IF(S106&gt;S108,1.0,IF(S106=S108,0.5,0.0)),""),"")</f>
        <v/>
      </c>
      <c r="X106">
        <f>IF(ISNUMBER(S106),IF(ISNUMBER(S109),IF(S106&gt;S109,1.0,IF(S106=S109,0.5,0.0)),""),"")</f>
        <v/>
      </c>
      <c r="Y106">
        <f>IF(ISNUMBER(S106),IF(ISNUMBER(S110),IF(S106&gt;S110,1.0,IF(S106=S110,0.5,0.0)),""),"")</f>
        <v/>
      </c>
      <c r="Z106">
        <f>IF(ISNUMBER(T106),IF(ISNUMBER(T105),IF(T106&gt;T105,1.0,IF(T106=T105,0.5,0.0)),""),"")</f>
        <v/>
      </c>
      <c r="AA106">
        <f>IF(ISNUMBER(T106),IF(ISNUMBER(T107),IF(T106&gt;T107,1.0,IF(T106=T107,0.5,0.0)),""),"")</f>
        <v/>
      </c>
      <c r="AB106">
        <f>IF(ISNUMBER(T106),IF(ISNUMBER(T108),IF(T106&gt;T108,1.0,IF(T106=T108,0.5,0.0)),""),"")</f>
        <v/>
      </c>
      <c r="AC106">
        <f>IF(ISNUMBER(T106),IF(ISNUMBER(T109),IF(T106&gt;T109,1.0,IF(T106=T109,0.5,0.0)),""),"")</f>
        <v/>
      </c>
      <c r="AD106">
        <f>IF(ISNUMBER(T106),IF(ISNUMBER(T110),IF(T106&gt;T110,1.0,IF(T106=T110,0.5,0.0)),""),"")</f>
        <v/>
      </c>
      <c r="AE106" s="14">
        <f>IF(AND(ISNUMBER(S106),ISNUMBER(S105)),VLOOKUP(ABS(S106-S105),'IMP Table'!$A$2:$C$26,3)*SIGN(S106-S105),0)</f>
        <v/>
      </c>
      <c r="AF106">
        <f>IF(AND(ISNUMBER(S106),ISNUMBER(S107)),VLOOKUP(ABS(S106-S107),'IMP Table'!$A$2:$C$26,3)*SIGN(S106-S107),0)</f>
        <v/>
      </c>
      <c r="AG106">
        <f>IF(AND(ISNUMBER(S106),ISNUMBER(S108)),VLOOKUP(ABS(S106-S108),'IMP Table'!$A$2:$C$26,3)*SIGN(S106-S108),0)</f>
        <v/>
      </c>
      <c r="AH106">
        <f>IF(AND(ISNUMBER(S106),ISNUMBER(S109)),VLOOKUP(ABS(S106-S109),'IMP Table'!$A$2:$C$26,3)*SIGN(S106-S109),0)</f>
        <v/>
      </c>
      <c r="AI106">
        <f>IF(AND(ISNUMBER(S106),ISNUMBER(S110)),VLOOKUP(ABS(S106-S110),'IMP Table'!$A$2:$C$26,3)*SIGN(S106-S110),0)</f>
        <v/>
      </c>
      <c r="AJ106">
        <f>IF(AND(ISNUMBER(T106),ISNUMBER(T105)),VLOOKUP(ABS(T106-T105),'IMP Table'!$A$2:$C$26,3)*SIGN(T106-T105),0)</f>
        <v/>
      </c>
      <c r="AK106">
        <f>IF(AND(ISNUMBER(T106),ISNUMBER(T107)),VLOOKUP(ABS(T106-T107),'IMP Table'!$A$2:$C$26,3)*SIGN(T106-T107),0)</f>
        <v/>
      </c>
      <c r="AL106">
        <f>IF(AND(ISNUMBER(T106),ISNUMBER(T108)),VLOOKUP(ABS(T106-T108),'IMP Table'!$A$2:$C$26,3)*SIGN(T106-T108),0)</f>
        <v/>
      </c>
      <c r="AM106">
        <f>IF(AND(ISNUMBER(T106),ISNUMBER(T109)),VLOOKUP(ABS(T106-T109),'IMP Table'!$A$2:$C$26,3)*SIGN(T106-T109),0)</f>
        <v/>
      </c>
      <c r="AN106">
        <f>IF(AND(ISNUMBER(T106),ISNUMBER(T110)),VLOOKUP(ABS(T106-T110),'IMP Table'!$A$2:$C$26,3)*SIGN(T106-T110),0)</f>
        <v/>
      </c>
    </row>
    <row r="107">
      <c r="B107" s="10">
        <f>'By Round'!A15</f>
        <v/>
      </c>
      <c r="C107" s="10">
        <f>'By Round'!B21</f>
        <v/>
      </c>
      <c r="D107" s="10">
        <f>'By Round'!C21</f>
        <v/>
      </c>
      <c r="E107" s="10">
        <f>'By Round'!D21</f>
        <v/>
      </c>
      <c r="F107" s="10">
        <f>IF(ISBLANK('By Round'!F22),"",'By Round'!F22)</f>
        <v/>
      </c>
      <c r="G107">
        <f>IF(ISBLANK('By Round'!G22),"",'By Round'!G22)</f>
        <v/>
      </c>
      <c r="H107">
        <f>IF(ISBLANK('By Round'!H22),"",'By Round'!H22)</f>
        <v/>
      </c>
      <c r="I107">
        <f>IF(ISBLANK('By Round'!I22),"",'By Round'!I22)</f>
        <v/>
      </c>
      <c r="J107">
        <f>IF(ISBLANK('By Round'!J22),"",'By Round'!J22)</f>
        <v/>
      </c>
      <c r="K107">
        <f>IF(ISBLANK('By Round'!K22),"",'By Round'!K22)</f>
        <v/>
      </c>
      <c r="L107">
        <f>IF(ISBLANK('By Round'!L22),"",'By Round'!L22)</f>
        <v/>
      </c>
      <c r="M107" s="11">
        <f>AVERAGE(AE107:AI107)</f>
        <v/>
      </c>
      <c r="N107" s="12">
        <f>AVERAGE(AJ107:AN107)</f>
        <v/>
      </c>
      <c r="O107" s="13">
        <f>IF(COUNT(U107:Y107)&gt;0,Q107/COUNT(U107:Y107),0.5)</f>
        <v/>
      </c>
      <c r="P107" s="13">
        <f>IF(COUNT(Z107:AD107)&gt;0,R107/COUNT(Z107:AD107),0.5)</f>
        <v/>
      </c>
      <c r="Q107" s="5">
        <f>SUM(U107:Y107)</f>
        <v/>
      </c>
      <c r="R107" s="5">
        <f>SUM(Z107:AD107)</f>
        <v/>
      </c>
      <c r="S107" s="14">
        <f>IF(ISNUMBER(K107),K107,IF(ISNUMBER(L107),-L107,""))</f>
        <v/>
      </c>
      <c r="T107">
        <f>IF(ISNUMBER(L107),L107,IF(ISNUMBER(K107),-K107,""))</f>
        <v/>
      </c>
      <c r="U107" s="14">
        <f>IF(ISNUMBER(S107),IF(ISNUMBER(S105),IF(S107&gt;S105,1.0,IF(S107=S105,0.5,0.0)),""),"")</f>
        <v/>
      </c>
      <c r="V107">
        <f>IF(ISNUMBER(S107),IF(ISNUMBER(S106),IF(S107&gt;S106,1.0,IF(S107=S106,0.5,0.0)),""),"")</f>
        <v/>
      </c>
      <c r="W107">
        <f>IF(ISNUMBER(S107),IF(ISNUMBER(S108),IF(S107&gt;S108,1.0,IF(S107=S108,0.5,0.0)),""),"")</f>
        <v/>
      </c>
      <c r="X107">
        <f>IF(ISNUMBER(S107),IF(ISNUMBER(S109),IF(S107&gt;S109,1.0,IF(S107=S109,0.5,0.0)),""),"")</f>
        <v/>
      </c>
      <c r="Y107">
        <f>IF(ISNUMBER(S107),IF(ISNUMBER(S110),IF(S107&gt;S110,1.0,IF(S107=S110,0.5,0.0)),""),"")</f>
        <v/>
      </c>
      <c r="Z107">
        <f>IF(ISNUMBER(T107),IF(ISNUMBER(T105),IF(T107&gt;T105,1.0,IF(T107=T105,0.5,0.0)),""),"")</f>
        <v/>
      </c>
      <c r="AA107">
        <f>IF(ISNUMBER(T107),IF(ISNUMBER(T106),IF(T107&gt;T106,1.0,IF(T107=T106,0.5,0.0)),""),"")</f>
        <v/>
      </c>
      <c r="AB107">
        <f>IF(ISNUMBER(T107),IF(ISNUMBER(T108),IF(T107&gt;T108,1.0,IF(T107=T108,0.5,0.0)),""),"")</f>
        <v/>
      </c>
      <c r="AC107">
        <f>IF(ISNUMBER(T107),IF(ISNUMBER(T109),IF(T107&gt;T109,1.0,IF(T107=T109,0.5,0.0)),""),"")</f>
        <v/>
      </c>
      <c r="AD107">
        <f>IF(ISNUMBER(T107),IF(ISNUMBER(T110),IF(T107&gt;T110,1.0,IF(T107=T110,0.5,0.0)),""),"")</f>
        <v/>
      </c>
      <c r="AE107" s="14">
        <f>IF(AND(ISNUMBER(S107),ISNUMBER(S105)),VLOOKUP(ABS(S107-S105),'IMP Table'!$A$2:$C$26,3)*SIGN(S107-S105),0)</f>
        <v/>
      </c>
      <c r="AF107">
        <f>IF(AND(ISNUMBER(S107),ISNUMBER(S106)),VLOOKUP(ABS(S107-S106),'IMP Table'!$A$2:$C$26,3)*SIGN(S107-S106),0)</f>
        <v/>
      </c>
      <c r="AG107">
        <f>IF(AND(ISNUMBER(S107),ISNUMBER(S108)),VLOOKUP(ABS(S107-S108),'IMP Table'!$A$2:$C$26,3)*SIGN(S107-S108),0)</f>
        <v/>
      </c>
      <c r="AH107">
        <f>IF(AND(ISNUMBER(S107),ISNUMBER(S109)),VLOOKUP(ABS(S107-S109),'IMP Table'!$A$2:$C$26,3)*SIGN(S107-S109),0)</f>
        <v/>
      </c>
      <c r="AI107">
        <f>IF(AND(ISNUMBER(S107),ISNUMBER(S110)),VLOOKUP(ABS(S107-S110),'IMP Table'!$A$2:$C$26,3)*SIGN(S107-S110),0)</f>
        <v/>
      </c>
      <c r="AJ107">
        <f>IF(AND(ISNUMBER(T107),ISNUMBER(T105)),VLOOKUP(ABS(T107-T105),'IMP Table'!$A$2:$C$26,3)*SIGN(T107-T105),0)</f>
        <v/>
      </c>
      <c r="AK107">
        <f>IF(AND(ISNUMBER(T107),ISNUMBER(T106)),VLOOKUP(ABS(T107-T106),'IMP Table'!$A$2:$C$26,3)*SIGN(T107-T106),0)</f>
        <v/>
      </c>
      <c r="AL107">
        <f>IF(AND(ISNUMBER(T107),ISNUMBER(T108)),VLOOKUP(ABS(T107-T108),'IMP Table'!$A$2:$C$26,3)*SIGN(T107-T108),0)</f>
        <v/>
      </c>
      <c r="AM107">
        <f>IF(AND(ISNUMBER(T107),ISNUMBER(T109)),VLOOKUP(ABS(T107-T109),'IMP Table'!$A$2:$C$26,3)*SIGN(T107-T109),0)</f>
        <v/>
      </c>
      <c r="AN107">
        <f>IF(AND(ISNUMBER(T107),ISNUMBER(T110)),VLOOKUP(ABS(T107-T110),'IMP Table'!$A$2:$C$26,3)*SIGN(T107-T110),0)</f>
        <v/>
      </c>
    </row>
    <row r="108">
      <c r="B108" s="10">
        <f>'By Round'!A51</f>
        <v/>
      </c>
      <c r="C108" s="10">
        <f>'By Round'!B53</f>
        <v/>
      </c>
      <c r="D108" s="10">
        <f>'By Round'!C53</f>
        <v/>
      </c>
      <c r="E108" s="10">
        <f>'By Round'!D53</f>
        <v/>
      </c>
      <c r="F108" s="10">
        <f>IF(ISBLANK('By Round'!F54),"",'By Round'!F54)</f>
        <v/>
      </c>
      <c r="G108">
        <f>IF(ISBLANK('By Round'!G54),"",'By Round'!G54)</f>
        <v/>
      </c>
      <c r="H108">
        <f>IF(ISBLANK('By Round'!H54),"",'By Round'!H54)</f>
        <v/>
      </c>
      <c r="I108">
        <f>IF(ISBLANK('By Round'!I54),"",'By Round'!I54)</f>
        <v/>
      </c>
      <c r="J108">
        <f>IF(ISBLANK('By Round'!J54),"",'By Round'!J54)</f>
        <v/>
      </c>
      <c r="K108">
        <f>IF(ISBLANK('By Round'!K54),"",'By Round'!K54)</f>
        <v/>
      </c>
      <c r="L108">
        <f>IF(ISBLANK('By Round'!L54),"",'By Round'!L54)</f>
        <v/>
      </c>
      <c r="M108" s="11">
        <f>AVERAGE(AE108:AI108)</f>
        <v/>
      </c>
      <c r="N108" s="12">
        <f>AVERAGE(AJ108:AN108)</f>
        <v/>
      </c>
      <c r="O108" s="13">
        <f>IF(COUNT(U108:Y108)&gt;0,Q108/COUNT(U108:Y108),0.5)</f>
        <v/>
      </c>
      <c r="P108" s="13">
        <f>IF(COUNT(Z108:AD108)&gt;0,R108/COUNT(Z108:AD108),0.5)</f>
        <v/>
      </c>
      <c r="Q108" s="5">
        <f>SUM(U108:Y108)</f>
        <v/>
      </c>
      <c r="R108" s="5">
        <f>SUM(Z108:AD108)</f>
        <v/>
      </c>
      <c r="S108" s="14">
        <f>IF(ISNUMBER(K108),K108,IF(ISNUMBER(L108),-L108,""))</f>
        <v/>
      </c>
      <c r="T108">
        <f>IF(ISNUMBER(L108),L108,IF(ISNUMBER(K108),-K108,""))</f>
        <v/>
      </c>
      <c r="U108" s="14">
        <f>IF(ISNUMBER(S108),IF(ISNUMBER(S105),IF(S108&gt;S105,1.0,IF(S108=S105,0.5,0.0)),""),"")</f>
        <v/>
      </c>
      <c r="V108">
        <f>IF(ISNUMBER(S108),IF(ISNUMBER(S106),IF(S108&gt;S106,1.0,IF(S108=S106,0.5,0.0)),""),"")</f>
        <v/>
      </c>
      <c r="W108">
        <f>IF(ISNUMBER(S108),IF(ISNUMBER(S107),IF(S108&gt;S107,1.0,IF(S108=S107,0.5,0.0)),""),"")</f>
        <v/>
      </c>
      <c r="X108">
        <f>IF(ISNUMBER(S108),IF(ISNUMBER(S109),IF(S108&gt;S109,1.0,IF(S108=S109,0.5,0.0)),""),"")</f>
        <v/>
      </c>
      <c r="Y108">
        <f>IF(ISNUMBER(S108),IF(ISNUMBER(S110),IF(S108&gt;S110,1.0,IF(S108=S110,0.5,0.0)),""),"")</f>
        <v/>
      </c>
      <c r="Z108">
        <f>IF(ISNUMBER(T108),IF(ISNUMBER(T105),IF(T108&gt;T105,1.0,IF(T108=T105,0.5,0.0)),""),"")</f>
        <v/>
      </c>
      <c r="AA108">
        <f>IF(ISNUMBER(T108),IF(ISNUMBER(T106),IF(T108&gt;T106,1.0,IF(T108=T106,0.5,0.0)),""),"")</f>
        <v/>
      </c>
      <c r="AB108">
        <f>IF(ISNUMBER(T108),IF(ISNUMBER(T107),IF(T108&gt;T107,1.0,IF(T108=T107,0.5,0.0)),""),"")</f>
        <v/>
      </c>
      <c r="AC108">
        <f>IF(ISNUMBER(T108),IF(ISNUMBER(T109),IF(T108&gt;T109,1.0,IF(T108=T109,0.5,0.0)),""),"")</f>
        <v/>
      </c>
      <c r="AD108">
        <f>IF(ISNUMBER(T108),IF(ISNUMBER(T110),IF(T108&gt;T110,1.0,IF(T108=T110,0.5,0.0)),""),"")</f>
        <v/>
      </c>
      <c r="AE108" s="14">
        <f>IF(AND(ISNUMBER(S108),ISNUMBER(S105)),VLOOKUP(ABS(S108-S105),'IMP Table'!$A$2:$C$26,3)*SIGN(S108-S105),0)</f>
        <v/>
      </c>
      <c r="AF108">
        <f>IF(AND(ISNUMBER(S108),ISNUMBER(S106)),VLOOKUP(ABS(S108-S106),'IMP Table'!$A$2:$C$26,3)*SIGN(S108-S106),0)</f>
        <v/>
      </c>
      <c r="AG108">
        <f>IF(AND(ISNUMBER(S108),ISNUMBER(S107)),VLOOKUP(ABS(S108-S107),'IMP Table'!$A$2:$C$26,3)*SIGN(S108-S107),0)</f>
        <v/>
      </c>
      <c r="AH108">
        <f>IF(AND(ISNUMBER(S108),ISNUMBER(S109)),VLOOKUP(ABS(S108-S109),'IMP Table'!$A$2:$C$26,3)*SIGN(S108-S109),0)</f>
        <v/>
      </c>
      <c r="AI108">
        <f>IF(AND(ISNUMBER(S108),ISNUMBER(S110)),VLOOKUP(ABS(S108-S110),'IMP Table'!$A$2:$C$26,3)*SIGN(S108-S110),0)</f>
        <v/>
      </c>
      <c r="AJ108">
        <f>IF(AND(ISNUMBER(T108),ISNUMBER(T105)),VLOOKUP(ABS(T108-T105),'IMP Table'!$A$2:$C$26,3)*SIGN(T108-T105),0)</f>
        <v/>
      </c>
      <c r="AK108">
        <f>IF(AND(ISNUMBER(T108),ISNUMBER(T106)),VLOOKUP(ABS(T108-T106),'IMP Table'!$A$2:$C$26,3)*SIGN(T108-T106),0)</f>
        <v/>
      </c>
      <c r="AL108">
        <f>IF(AND(ISNUMBER(T108),ISNUMBER(T107)),VLOOKUP(ABS(T108-T107),'IMP Table'!$A$2:$C$26,3)*SIGN(T108-T107),0)</f>
        <v/>
      </c>
      <c r="AM108">
        <f>IF(AND(ISNUMBER(T108),ISNUMBER(T109)),VLOOKUP(ABS(T108-T109),'IMP Table'!$A$2:$C$26,3)*SIGN(T108-T109),0)</f>
        <v/>
      </c>
      <c r="AN108">
        <f>IF(AND(ISNUMBER(T108),ISNUMBER(T110)),VLOOKUP(ABS(T108-T110),'IMP Table'!$A$2:$C$26,3)*SIGN(T108-T110),0)</f>
        <v/>
      </c>
    </row>
    <row r="109">
      <c r="B109" s="10">
        <f>'By Round'!A123</f>
        <v/>
      </c>
      <c r="C109" s="10">
        <f>'By Round'!B133</f>
        <v/>
      </c>
      <c r="D109" s="10">
        <f>'By Round'!C133</f>
        <v/>
      </c>
      <c r="E109" s="10">
        <f>'By Round'!D133</f>
        <v/>
      </c>
      <c r="F109" s="10">
        <f>IF(ISBLANK('By Round'!F134),"",'By Round'!F134)</f>
        <v/>
      </c>
      <c r="G109">
        <f>IF(ISBLANK('By Round'!G134),"",'By Round'!G134)</f>
        <v/>
      </c>
      <c r="H109">
        <f>IF(ISBLANK('By Round'!H134),"",'By Round'!H134)</f>
        <v/>
      </c>
      <c r="I109">
        <f>IF(ISBLANK('By Round'!I134),"",'By Round'!I134)</f>
        <v/>
      </c>
      <c r="J109">
        <f>IF(ISBLANK('By Round'!J134),"",'By Round'!J134)</f>
        <v/>
      </c>
      <c r="K109">
        <f>IF(ISBLANK('By Round'!K134),"",'By Round'!K134)</f>
        <v/>
      </c>
      <c r="L109">
        <f>IF(ISBLANK('By Round'!L134),"",'By Round'!L134)</f>
        <v/>
      </c>
      <c r="M109" s="11">
        <f>AVERAGE(AE109:AI109)</f>
        <v/>
      </c>
      <c r="N109" s="12">
        <f>AVERAGE(AJ109:AN109)</f>
        <v/>
      </c>
      <c r="O109" s="13">
        <f>IF(COUNT(U109:Y109)&gt;0,Q109/COUNT(U109:Y109),0.5)</f>
        <v/>
      </c>
      <c r="P109" s="13">
        <f>IF(COUNT(Z109:AD109)&gt;0,R109/COUNT(Z109:AD109),0.5)</f>
        <v/>
      </c>
      <c r="Q109" s="5">
        <f>SUM(U109:Y109)</f>
        <v/>
      </c>
      <c r="R109" s="5">
        <f>SUM(Z109:AD109)</f>
        <v/>
      </c>
      <c r="S109" s="14">
        <f>IF(ISNUMBER(K109),K109,IF(ISNUMBER(L109),-L109,""))</f>
        <v/>
      </c>
      <c r="T109">
        <f>IF(ISNUMBER(L109),L109,IF(ISNUMBER(K109),-K109,""))</f>
        <v/>
      </c>
      <c r="U109" s="14">
        <f>IF(ISNUMBER(S109),IF(ISNUMBER(S105),IF(S109&gt;S105,1.0,IF(S109=S105,0.5,0.0)),""),"")</f>
        <v/>
      </c>
      <c r="V109">
        <f>IF(ISNUMBER(S109),IF(ISNUMBER(S106),IF(S109&gt;S106,1.0,IF(S109=S106,0.5,0.0)),""),"")</f>
        <v/>
      </c>
      <c r="W109">
        <f>IF(ISNUMBER(S109),IF(ISNUMBER(S107),IF(S109&gt;S107,1.0,IF(S109=S107,0.5,0.0)),""),"")</f>
        <v/>
      </c>
      <c r="X109">
        <f>IF(ISNUMBER(S109),IF(ISNUMBER(S108),IF(S109&gt;S108,1.0,IF(S109=S108,0.5,0.0)),""),"")</f>
        <v/>
      </c>
      <c r="Y109">
        <f>IF(ISNUMBER(S109),IF(ISNUMBER(S110),IF(S109&gt;S110,1.0,IF(S109=S110,0.5,0.0)),""),"")</f>
        <v/>
      </c>
      <c r="Z109">
        <f>IF(ISNUMBER(T109),IF(ISNUMBER(T105),IF(T109&gt;T105,1.0,IF(T109=T105,0.5,0.0)),""),"")</f>
        <v/>
      </c>
      <c r="AA109">
        <f>IF(ISNUMBER(T109),IF(ISNUMBER(T106),IF(T109&gt;T106,1.0,IF(T109=T106,0.5,0.0)),""),"")</f>
        <v/>
      </c>
      <c r="AB109">
        <f>IF(ISNUMBER(T109),IF(ISNUMBER(T107),IF(T109&gt;T107,1.0,IF(T109=T107,0.5,0.0)),""),"")</f>
        <v/>
      </c>
      <c r="AC109">
        <f>IF(ISNUMBER(T109),IF(ISNUMBER(T108),IF(T109&gt;T108,1.0,IF(T109=T108,0.5,0.0)),""),"")</f>
        <v/>
      </c>
      <c r="AD109">
        <f>IF(ISNUMBER(T109),IF(ISNUMBER(T110),IF(T109&gt;T110,1.0,IF(T109=T110,0.5,0.0)),""),"")</f>
        <v/>
      </c>
      <c r="AE109" s="14">
        <f>IF(AND(ISNUMBER(S109),ISNUMBER(S105)),VLOOKUP(ABS(S109-S105),'IMP Table'!$A$2:$C$26,3)*SIGN(S109-S105),0)</f>
        <v/>
      </c>
      <c r="AF109">
        <f>IF(AND(ISNUMBER(S109),ISNUMBER(S106)),VLOOKUP(ABS(S109-S106),'IMP Table'!$A$2:$C$26,3)*SIGN(S109-S106),0)</f>
        <v/>
      </c>
      <c r="AG109">
        <f>IF(AND(ISNUMBER(S109),ISNUMBER(S107)),VLOOKUP(ABS(S109-S107),'IMP Table'!$A$2:$C$26,3)*SIGN(S109-S107),0)</f>
        <v/>
      </c>
      <c r="AH109">
        <f>IF(AND(ISNUMBER(S109),ISNUMBER(S108)),VLOOKUP(ABS(S109-S108),'IMP Table'!$A$2:$C$26,3)*SIGN(S109-S108),0)</f>
        <v/>
      </c>
      <c r="AI109">
        <f>IF(AND(ISNUMBER(S109),ISNUMBER(S110)),VLOOKUP(ABS(S109-S110),'IMP Table'!$A$2:$C$26,3)*SIGN(S109-S110),0)</f>
        <v/>
      </c>
      <c r="AJ109">
        <f>IF(AND(ISNUMBER(T109),ISNUMBER(T105)),VLOOKUP(ABS(T109-T105),'IMP Table'!$A$2:$C$26,3)*SIGN(T109-T105),0)</f>
        <v/>
      </c>
      <c r="AK109">
        <f>IF(AND(ISNUMBER(T109),ISNUMBER(T106)),VLOOKUP(ABS(T109-T106),'IMP Table'!$A$2:$C$26,3)*SIGN(T109-T106),0)</f>
        <v/>
      </c>
      <c r="AL109">
        <f>IF(AND(ISNUMBER(T109),ISNUMBER(T107)),VLOOKUP(ABS(T109-T107),'IMP Table'!$A$2:$C$26,3)*SIGN(T109-T107),0)</f>
        <v/>
      </c>
      <c r="AM109">
        <f>IF(AND(ISNUMBER(T109),ISNUMBER(T108)),VLOOKUP(ABS(T109-T108),'IMP Table'!$A$2:$C$26,3)*SIGN(T109-T108),0)</f>
        <v/>
      </c>
      <c r="AN109">
        <f>IF(AND(ISNUMBER(T109),ISNUMBER(T110)),VLOOKUP(ABS(T109-T110),'IMP Table'!$A$2:$C$26,3)*SIGN(T109-T110),0)</f>
        <v/>
      </c>
    </row>
    <row r="110">
      <c r="A110" s="15" t="n"/>
      <c r="B110" s="16">
        <f>'By Round'!A39</f>
        <v/>
      </c>
      <c r="C110" s="16">
        <f>'By Round'!B43</f>
        <v/>
      </c>
      <c r="D110" s="16">
        <f>'By Round'!C43</f>
        <v/>
      </c>
      <c r="E110" s="16">
        <f>'By Round'!D43</f>
        <v/>
      </c>
      <c r="F110" s="16">
        <f>IF(ISBLANK('By Round'!F44),"",'By Round'!F44)</f>
        <v/>
      </c>
      <c r="G110" s="15">
        <f>IF(ISBLANK('By Round'!G44),"",'By Round'!G44)</f>
        <v/>
      </c>
      <c r="H110" s="15">
        <f>IF(ISBLANK('By Round'!H44),"",'By Round'!H44)</f>
        <v/>
      </c>
      <c r="I110" s="15">
        <f>IF(ISBLANK('By Round'!I44),"",'By Round'!I44)</f>
        <v/>
      </c>
      <c r="J110" s="15">
        <f>IF(ISBLANK('By Round'!J44),"",'By Round'!J44)</f>
        <v/>
      </c>
      <c r="K110" s="15">
        <f>IF(ISBLANK('By Round'!K44),"",'By Round'!K44)</f>
        <v/>
      </c>
      <c r="L110" s="15">
        <f>IF(ISBLANK('By Round'!L44),"",'By Round'!L44)</f>
        <v/>
      </c>
      <c r="M110" s="17">
        <f>AVERAGE(AE110:AI110)</f>
        <v/>
      </c>
      <c r="N110" s="18">
        <f>AVERAGE(AJ110:AN110)</f>
        <v/>
      </c>
      <c r="O110" s="19">
        <f>IF(COUNT(U110:Y110)&gt;0,Q110/COUNT(U110:Y110),0.5)</f>
        <v/>
      </c>
      <c r="P110" s="19">
        <f>IF(COUNT(Z110:AD110)&gt;0,R110/COUNT(Z110:AD110),0.5)</f>
        <v/>
      </c>
      <c r="Q110" s="20">
        <f>SUM(U110:Y110)</f>
        <v/>
      </c>
      <c r="R110" s="20">
        <f>SUM(Z110:AD110)</f>
        <v/>
      </c>
      <c r="S110" s="21">
        <f>IF(ISNUMBER(K110),K110,IF(ISNUMBER(L110),-L110,""))</f>
        <v/>
      </c>
      <c r="T110" s="15">
        <f>IF(ISNUMBER(L110),L110,IF(ISNUMBER(K110),-K110,""))</f>
        <v/>
      </c>
      <c r="U110" s="21">
        <f>IF(ISNUMBER(S110),IF(ISNUMBER(S105),IF(S110&gt;S105,1.0,IF(S110=S105,0.5,0.0)),""),"")</f>
        <v/>
      </c>
      <c r="V110" s="15">
        <f>IF(ISNUMBER(S110),IF(ISNUMBER(S106),IF(S110&gt;S106,1.0,IF(S110=S106,0.5,0.0)),""),"")</f>
        <v/>
      </c>
      <c r="W110" s="15">
        <f>IF(ISNUMBER(S110),IF(ISNUMBER(S107),IF(S110&gt;S107,1.0,IF(S110=S107,0.5,0.0)),""),"")</f>
        <v/>
      </c>
      <c r="X110" s="15">
        <f>IF(ISNUMBER(S110),IF(ISNUMBER(S108),IF(S110&gt;S108,1.0,IF(S110=S108,0.5,0.0)),""),"")</f>
        <v/>
      </c>
      <c r="Y110" s="15">
        <f>IF(ISNUMBER(S110),IF(ISNUMBER(S109),IF(S110&gt;S109,1.0,IF(S110=S109,0.5,0.0)),""),"")</f>
        <v/>
      </c>
      <c r="Z110" s="15">
        <f>IF(ISNUMBER(T110),IF(ISNUMBER(T105),IF(T110&gt;T105,1.0,IF(T110=T105,0.5,0.0)),""),"")</f>
        <v/>
      </c>
      <c r="AA110" s="15">
        <f>IF(ISNUMBER(T110),IF(ISNUMBER(T106),IF(T110&gt;T106,1.0,IF(T110=T106,0.5,0.0)),""),"")</f>
        <v/>
      </c>
      <c r="AB110" s="15">
        <f>IF(ISNUMBER(T110),IF(ISNUMBER(T107),IF(T110&gt;T107,1.0,IF(T110=T107,0.5,0.0)),""),"")</f>
        <v/>
      </c>
      <c r="AC110" s="15">
        <f>IF(ISNUMBER(T110),IF(ISNUMBER(T108),IF(T110&gt;T108,1.0,IF(T110=T108,0.5,0.0)),""),"")</f>
        <v/>
      </c>
      <c r="AD110" s="15">
        <f>IF(ISNUMBER(T110),IF(ISNUMBER(T109),IF(T110&gt;T109,1.0,IF(T110=T109,0.5,0.0)),""),"")</f>
        <v/>
      </c>
      <c r="AE110" s="21">
        <f>IF(AND(ISNUMBER(S110),ISNUMBER(S105)),VLOOKUP(ABS(S110-S105),'IMP Table'!$A$2:$C$26,3)*SIGN(S110-S105),0)</f>
        <v/>
      </c>
      <c r="AF110" s="15">
        <f>IF(AND(ISNUMBER(S110),ISNUMBER(S106)),VLOOKUP(ABS(S110-S106),'IMP Table'!$A$2:$C$26,3)*SIGN(S110-S106),0)</f>
        <v/>
      </c>
      <c r="AG110" s="15">
        <f>IF(AND(ISNUMBER(S110),ISNUMBER(S107)),VLOOKUP(ABS(S110-S107),'IMP Table'!$A$2:$C$26,3)*SIGN(S110-S107),0)</f>
        <v/>
      </c>
      <c r="AH110" s="15">
        <f>IF(AND(ISNUMBER(S110),ISNUMBER(S108)),VLOOKUP(ABS(S110-S108),'IMP Table'!$A$2:$C$26,3)*SIGN(S110-S108),0)</f>
        <v/>
      </c>
      <c r="AI110" s="15">
        <f>IF(AND(ISNUMBER(S110),ISNUMBER(S109)),VLOOKUP(ABS(S110-S109),'IMP Table'!$A$2:$C$26,3)*SIGN(S110-S109),0)</f>
        <v/>
      </c>
      <c r="AJ110" s="15">
        <f>IF(AND(ISNUMBER(T110),ISNUMBER(T105)),VLOOKUP(ABS(T110-T105),'IMP Table'!$A$2:$C$26,3)*SIGN(T110-T105),0)</f>
        <v/>
      </c>
      <c r="AK110" s="15">
        <f>IF(AND(ISNUMBER(T110),ISNUMBER(T106)),VLOOKUP(ABS(T110-T106),'IMP Table'!$A$2:$C$26,3)*SIGN(T110-T106),0)</f>
        <v/>
      </c>
      <c r="AL110" s="15">
        <f>IF(AND(ISNUMBER(T110),ISNUMBER(T107)),VLOOKUP(ABS(T110-T107),'IMP Table'!$A$2:$C$26,3)*SIGN(T110-T107),0)</f>
        <v/>
      </c>
      <c r="AM110" s="15">
        <f>IF(AND(ISNUMBER(T110),ISNUMBER(T108)),VLOOKUP(ABS(T110-T108),'IMP Table'!$A$2:$C$26,3)*SIGN(T110-T108),0)</f>
        <v/>
      </c>
      <c r="AN110" s="15">
        <f>IF(AND(ISNUMBER(T110),ISNUMBER(T109)),VLOOKUP(ABS(T110-T109),'IMP Table'!$A$2:$C$26,3)*SIGN(T110-T109),0)</f>
        <v/>
      </c>
    </row>
    <row r="111">
      <c r="A111" s="10" t="n">
        <v>19</v>
      </c>
      <c r="B111" s="10">
        <f>'By Round'!A111</f>
        <v/>
      </c>
      <c r="C111" s="10">
        <f>'By Round'!B111</f>
        <v/>
      </c>
      <c r="D111" s="10">
        <f>'By Round'!C111</f>
        <v/>
      </c>
      <c r="E111" s="10">
        <f>'By Round'!D111</f>
        <v/>
      </c>
      <c r="F111" s="10">
        <f>IF(ISBLANK('By Round'!F111),"",'By Round'!F111)</f>
        <v/>
      </c>
      <c r="G111">
        <f>IF(ISBLANK('By Round'!G111),"",'By Round'!G111)</f>
        <v/>
      </c>
      <c r="H111">
        <f>IF(ISBLANK('By Round'!H111),"",'By Round'!H111)</f>
        <v/>
      </c>
      <c r="I111">
        <f>IF(ISBLANK('By Round'!I111),"",'By Round'!I111)</f>
        <v/>
      </c>
      <c r="J111">
        <f>IF(ISBLANK('By Round'!J111),"",'By Round'!J111)</f>
        <v/>
      </c>
      <c r="K111">
        <f>IF(ISBLANK('By Round'!K111),"",'By Round'!K111)</f>
        <v/>
      </c>
      <c r="L111">
        <f>IF(ISBLANK('By Round'!L111),"",'By Round'!L111)</f>
        <v/>
      </c>
      <c r="M111" s="11">
        <f>AVERAGE(AE111:AI111)</f>
        <v/>
      </c>
      <c r="N111" s="12">
        <f>AVERAGE(AJ111:AN111)</f>
        <v/>
      </c>
      <c r="O111" s="13">
        <f>IF(COUNT(U111:Y111)&gt;0,Q111/COUNT(U111:Y111),0.5)</f>
        <v/>
      </c>
      <c r="P111" s="13">
        <f>IF(COUNT(Z111:AD111)&gt;0,R111/COUNT(Z111:AD111),0.5)</f>
        <v/>
      </c>
      <c r="Q111" s="5">
        <f>SUM(U111:Y111)</f>
        <v/>
      </c>
      <c r="R111" s="5">
        <f>SUM(Z111:AD111)</f>
        <v/>
      </c>
      <c r="S111" s="14">
        <f>IF(ISNUMBER(K111),K111,IF(ISNUMBER(L111),-L111,""))</f>
        <v/>
      </c>
      <c r="T111">
        <f>IF(ISNUMBER(L111),L111,IF(ISNUMBER(K111),-K111,""))</f>
        <v/>
      </c>
      <c r="U111" s="14">
        <f>IF(ISNUMBER(S111),IF(ISNUMBER(S112),IF(S111&gt;S112,1.0,IF(S111=S112,0.5,0.0)),""),"")</f>
        <v/>
      </c>
      <c r="V111">
        <f>IF(ISNUMBER(S111),IF(ISNUMBER(S113),IF(S111&gt;S113,1.0,IF(S111=S113,0.5,0.0)),""),"")</f>
        <v/>
      </c>
      <c r="W111">
        <f>IF(ISNUMBER(S111),IF(ISNUMBER(S114),IF(S111&gt;S114,1.0,IF(S111=S114,0.5,0.0)),""),"")</f>
        <v/>
      </c>
      <c r="X111">
        <f>IF(ISNUMBER(S111),IF(ISNUMBER(S115),IF(S111&gt;S115,1.0,IF(S111=S115,0.5,0.0)),""),"")</f>
        <v/>
      </c>
      <c r="Y111">
        <f>IF(ISNUMBER(S111),IF(ISNUMBER(S116),IF(S111&gt;S116,1.0,IF(S111=S116,0.5,0.0)),""),"")</f>
        <v/>
      </c>
      <c r="Z111">
        <f>IF(ISNUMBER(T111),IF(ISNUMBER(T112),IF(T111&gt;T112,1.0,IF(T111=T112,0.5,0.0)),""),"")</f>
        <v/>
      </c>
      <c r="AA111">
        <f>IF(ISNUMBER(T111),IF(ISNUMBER(T113),IF(T111&gt;T113,1.0,IF(T111=T113,0.5,0.0)),""),"")</f>
        <v/>
      </c>
      <c r="AB111">
        <f>IF(ISNUMBER(T111),IF(ISNUMBER(T114),IF(T111&gt;T114,1.0,IF(T111=T114,0.5,0.0)),""),"")</f>
        <v/>
      </c>
      <c r="AC111">
        <f>IF(ISNUMBER(T111),IF(ISNUMBER(T115),IF(T111&gt;T115,1.0,IF(T111=T115,0.5,0.0)),""),"")</f>
        <v/>
      </c>
      <c r="AD111">
        <f>IF(ISNUMBER(T111),IF(ISNUMBER(T116),IF(T111&gt;T116,1.0,IF(T111=T116,0.5,0.0)),""),"")</f>
        <v/>
      </c>
      <c r="AE111" s="14">
        <f>IF(AND(ISNUMBER(S111),ISNUMBER(S112)),VLOOKUP(ABS(S111-S112),'IMP Table'!$A$2:$C$26,3)*SIGN(S111-S112),0)</f>
        <v/>
      </c>
      <c r="AF111">
        <f>IF(AND(ISNUMBER(S111),ISNUMBER(S113)),VLOOKUP(ABS(S111-S113),'IMP Table'!$A$2:$C$26,3)*SIGN(S111-S113),0)</f>
        <v/>
      </c>
      <c r="AG111">
        <f>IF(AND(ISNUMBER(S111),ISNUMBER(S114)),VLOOKUP(ABS(S111-S114),'IMP Table'!$A$2:$C$26,3)*SIGN(S111-S114),0)</f>
        <v/>
      </c>
      <c r="AH111">
        <f>IF(AND(ISNUMBER(S111),ISNUMBER(S115)),VLOOKUP(ABS(S111-S115),'IMP Table'!$A$2:$C$26,3)*SIGN(S111-S115),0)</f>
        <v/>
      </c>
      <c r="AI111">
        <f>IF(AND(ISNUMBER(S111),ISNUMBER(S116)),VLOOKUP(ABS(S111-S116),'IMP Table'!$A$2:$C$26,3)*SIGN(S111-S116),0)</f>
        <v/>
      </c>
      <c r="AJ111">
        <f>IF(AND(ISNUMBER(T111),ISNUMBER(T112)),VLOOKUP(ABS(T111-T112),'IMP Table'!$A$2:$C$26,3)*SIGN(T111-T112),0)</f>
        <v/>
      </c>
      <c r="AK111">
        <f>IF(AND(ISNUMBER(T111),ISNUMBER(T113)),VLOOKUP(ABS(T111-T113),'IMP Table'!$A$2:$C$26,3)*SIGN(T111-T113),0)</f>
        <v/>
      </c>
      <c r="AL111">
        <f>IF(AND(ISNUMBER(T111),ISNUMBER(T114)),VLOOKUP(ABS(T111-T114),'IMP Table'!$A$2:$C$26,3)*SIGN(T111-T114),0)</f>
        <v/>
      </c>
      <c r="AM111">
        <f>IF(AND(ISNUMBER(T111),ISNUMBER(T115)),VLOOKUP(ABS(T111-T115),'IMP Table'!$A$2:$C$26,3)*SIGN(T111-T115),0)</f>
        <v/>
      </c>
      <c r="AN111">
        <f>IF(AND(ISNUMBER(T111),ISNUMBER(T116)),VLOOKUP(ABS(T111-T116),'IMP Table'!$A$2:$C$26,3)*SIGN(T111-T116),0)</f>
        <v/>
      </c>
    </row>
    <row r="112">
      <c r="B112" s="10">
        <f>'By Round'!A51</f>
        <v/>
      </c>
      <c r="C112" s="10">
        <f>'By Round'!B55</f>
        <v/>
      </c>
      <c r="D112" s="10">
        <f>'By Round'!C55</f>
        <v/>
      </c>
      <c r="E112" s="10">
        <f>'By Round'!D55</f>
        <v/>
      </c>
      <c r="F112" s="10">
        <f>IF(ISBLANK('By Round'!F55),"",'By Round'!F55)</f>
        <v/>
      </c>
      <c r="G112">
        <f>IF(ISBLANK('By Round'!G55),"",'By Round'!G55)</f>
        <v/>
      </c>
      <c r="H112">
        <f>IF(ISBLANK('By Round'!H55),"",'By Round'!H55)</f>
        <v/>
      </c>
      <c r="I112">
        <f>IF(ISBLANK('By Round'!I55),"",'By Round'!I55)</f>
        <v/>
      </c>
      <c r="J112">
        <f>IF(ISBLANK('By Round'!J55),"",'By Round'!J55)</f>
        <v/>
      </c>
      <c r="K112">
        <f>IF(ISBLANK('By Round'!K55),"",'By Round'!K55)</f>
        <v/>
      </c>
      <c r="L112">
        <f>IF(ISBLANK('By Round'!L55),"",'By Round'!L55)</f>
        <v/>
      </c>
      <c r="M112" s="11">
        <f>AVERAGE(AE112:AI112)</f>
        <v/>
      </c>
      <c r="N112" s="12">
        <f>AVERAGE(AJ112:AN112)</f>
        <v/>
      </c>
      <c r="O112" s="13">
        <f>IF(COUNT(U112:Y112)&gt;0,Q112/COUNT(U112:Y112),0.5)</f>
        <v/>
      </c>
      <c r="P112" s="13">
        <f>IF(COUNT(Z112:AD112)&gt;0,R112/COUNT(Z112:AD112),0.5)</f>
        <v/>
      </c>
      <c r="Q112" s="5">
        <f>SUM(U112:Y112)</f>
        <v/>
      </c>
      <c r="R112" s="5">
        <f>SUM(Z112:AD112)</f>
        <v/>
      </c>
      <c r="S112" s="14">
        <f>IF(ISNUMBER(K112),K112,IF(ISNUMBER(L112),-L112,""))</f>
        <v/>
      </c>
      <c r="T112">
        <f>IF(ISNUMBER(L112),L112,IF(ISNUMBER(K112),-K112,""))</f>
        <v/>
      </c>
      <c r="U112" s="14">
        <f>IF(ISNUMBER(S112),IF(ISNUMBER(S111),IF(S112&gt;S111,1.0,IF(S112=S111,0.5,0.0)),""),"")</f>
        <v/>
      </c>
      <c r="V112">
        <f>IF(ISNUMBER(S112),IF(ISNUMBER(S113),IF(S112&gt;S113,1.0,IF(S112=S113,0.5,0.0)),""),"")</f>
        <v/>
      </c>
      <c r="W112">
        <f>IF(ISNUMBER(S112),IF(ISNUMBER(S114),IF(S112&gt;S114,1.0,IF(S112=S114,0.5,0.0)),""),"")</f>
        <v/>
      </c>
      <c r="X112">
        <f>IF(ISNUMBER(S112),IF(ISNUMBER(S115),IF(S112&gt;S115,1.0,IF(S112=S115,0.5,0.0)),""),"")</f>
        <v/>
      </c>
      <c r="Y112">
        <f>IF(ISNUMBER(S112),IF(ISNUMBER(S116),IF(S112&gt;S116,1.0,IF(S112=S116,0.5,0.0)),""),"")</f>
        <v/>
      </c>
      <c r="Z112">
        <f>IF(ISNUMBER(T112),IF(ISNUMBER(T111),IF(T112&gt;T111,1.0,IF(T112=T111,0.5,0.0)),""),"")</f>
        <v/>
      </c>
      <c r="AA112">
        <f>IF(ISNUMBER(T112),IF(ISNUMBER(T113),IF(T112&gt;T113,1.0,IF(T112=T113,0.5,0.0)),""),"")</f>
        <v/>
      </c>
      <c r="AB112">
        <f>IF(ISNUMBER(T112),IF(ISNUMBER(T114),IF(T112&gt;T114,1.0,IF(T112=T114,0.5,0.0)),""),"")</f>
        <v/>
      </c>
      <c r="AC112">
        <f>IF(ISNUMBER(T112),IF(ISNUMBER(T115),IF(T112&gt;T115,1.0,IF(T112=T115,0.5,0.0)),""),"")</f>
        <v/>
      </c>
      <c r="AD112">
        <f>IF(ISNUMBER(T112),IF(ISNUMBER(T116),IF(T112&gt;T116,1.0,IF(T112=T116,0.5,0.0)),""),"")</f>
        <v/>
      </c>
      <c r="AE112" s="14">
        <f>IF(AND(ISNUMBER(S112),ISNUMBER(S111)),VLOOKUP(ABS(S112-S111),'IMP Table'!$A$2:$C$26,3)*SIGN(S112-S111),0)</f>
        <v/>
      </c>
      <c r="AF112">
        <f>IF(AND(ISNUMBER(S112),ISNUMBER(S113)),VLOOKUP(ABS(S112-S113),'IMP Table'!$A$2:$C$26,3)*SIGN(S112-S113),0)</f>
        <v/>
      </c>
      <c r="AG112">
        <f>IF(AND(ISNUMBER(S112),ISNUMBER(S114)),VLOOKUP(ABS(S112-S114),'IMP Table'!$A$2:$C$26,3)*SIGN(S112-S114),0)</f>
        <v/>
      </c>
      <c r="AH112">
        <f>IF(AND(ISNUMBER(S112),ISNUMBER(S115)),VLOOKUP(ABS(S112-S115),'IMP Table'!$A$2:$C$26,3)*SIGN(S112-S115),0)</f>
        <v/>
      </c>
      <c r="AI112">
        <f>IF(AND(ISNUMBER(S112),ISNUMBER(S116)),VLOOKUP(ABS(S112-S116),'IMP Table'!$A$2:$C$26,3)*SIGN(S112-S116),0)</f>
        <v/>
      </c>
      <c r="AJ112">
        <f>IF(AND(ISNUMBER(T112),ISNUMBER(T111)),VLOOKUP(ABS(T112-T111),'IMP Table'!$A$2:$C$26,3)*SIGN(T112-T111),0)</f>
        <v/>
      </c>
      <c r="AK112">
        <f>IF(AND(ISNUMBER(T112),ISNUMBER(T113)),VLOOKUP(ABS(T112-T113),'IMP Table'!$A$2:$C$26,3)*SIGN(T112-T113),0)</f>
        <v/>
      </c>
      <c r="AL112">
        <f>IF(AND(ISNUMBER(T112),ISNUMBER(T114)),VLOOKUP(ABS(T112-T114),'IMP Table'!$A$2:$C$26,3)*SIGN(T112-T114),0)</f>
        <v/>
      </c>
      <c r="AM112">
        <f>IF(AND(ISNUMBER(T112),ISNUMBER(T115)),VLOOKUP(ABS(T112-T115),'IMP Table'!$A$2:$C$26,3)*SIGN(T112-T115),0)</f>
        <v/>
      </c>
      <c r="AN112">
        <f>IF(AND(ISNUMBER(T112),ISNUMBER(T116)),VLOOKUP(ABS(T112-T116),'IMP Table'!$A$2:$C$26,3)*SIGN(T112-T116),0)</f>
        <v/>
      </c>
    </row>
    <row r="113">
      <c r="B113" s="10">
        <f>'By Round'!A15</f>
        <v/>
      </c>
      <c r="C113" s="10">
        <f>'By Round'!B23</f>
        <v/>
      </c>
      <c r="D113" s="10">
        <f>'By Round'!C23</f>
        <v/>
      </c>
      <c r="E113" s="10">
        <f>'By Round'!D23</f>
        <v/>
      </c>
      <c r="F113" s="10">
        <f>IF(ISBLANK('By Round'!F23),"",'By Round'!F23)</f>
        <v/>
      </c>
      <c r="G113">
        <f>IF(ISBLANK('By Round'!G23),"",'By Round'!G23)</f>
        <v/>
      </c>
      <c r="H113">
        <f>IF(ISBLANK('By Round'!H23),"",'By Round'!H23)</f>
        <v/>
      </c>
      <c r="I113">
        <f>IF(ISBLANK('By Round'!I23),"",'By Round'!I23)</f>
        <v/>
      </c>
      <c r="J113">
        <f>IF(ISBLANK('By Round'!J23),"",'By Round'!J23)</f>
        <v/>
      </c>
      <c r="K113">
        <f>IF(ISBLANK('By Round'!K23),"",'By Round'!K23)</f>
        <v/>
      </c>
      <c r="L113">
        <f>IF(ISBLANK('By Round'!L23),"",'By Round'!L23)</f>
        <v/>
      </c>
      <c r="M113" s="11">
        <f>AVERAGE(AE113:AI113)</f>
        <v/>
      </c>
      <c r="N113" s="12">
        <f>AVERAGE(AJ113:AN113)</f>
        <v/>
      </c>
      <c r="O113" s="13">
        <f>IF(COUNT(U113:Y113)&gt;0,Q113/COUNT(U113:Y113),0.5)</f>
        <v/>
      </c>
      <c r="P113" s="13">
        <f>IF(COUNT(Z113:AD113)&gt;0,R113/COUNT(Z113:AD113),0.5)</f>
        <v/>
      </c>
      <c r="Q113" s="5">
        <f>SUM(U113:Y113)</f>
        <v/>
      </c>
      <c r="R113" s="5">
        <f>SUM(Z113:AD113)</f>
        <v/>
      </c>
      <c r="S113" s="14">
        <f>IF(ISNUMBER(K113),K113,IF(ISNUMBER(L113),-L113,""))</f>
        <v/>
      </c>
      <c r="T113">
        <f>IF(ISNUMBER(L113),L113,IF(ISNUMBER(K113),-K113,""))</f>
        <v/>
      </c>
      <c r="U113" s="14">
        <f>IF(ISNUMBER(S113),IF(ISNUMBER(S111),IF(S113&gt;S111,1.0,IF(S113=S111,0.5,0.0)),""),"")</f>
        <v/>
      </c>
      <c r="V113">
        <f>IF(ISNUMBER(S113),IF(ISNUMBER(S112),IF(S113&gt;S112,1.0,IF(S113=S112,0.5,0.0)),""),"")</f>
        <v/>
      </c>
      <c r="W113">
        <f>IF(ISNUMBER(S113),IF(ISNUMBER(S114),IF(S113&gt;S114,1.0,IF(S113=S114,0.5,0.0)),""),"")</f>
        <v/>
      </c>
      <c r="X113">
        <f>IF(ISNUMBER(S113),IF(ISNUMBER(S115),IF(S113&gt;S115,1.0,IF(S113=S115,0.5,0.0)),""),"")</f>
        <v/>
      </c>
      <c r="Y113">
        <f>IF(ISNUMBER(S113),IF(ISNUMBER(S116),IF(S113&gt;S116,1.0,IF(S113=S116,0.5,0.0)),""),"")</f>
        <v/>
      </c>
      <c r="Z113">
        <f>IF(ISNUMBER(T113),IF(ISNUMBER(T111),IF(T113&gt;T111,1.0,IF(T113=T111,0.5,0.0)),""),"")</f>
        <v/>
      </c>
      <c r="AA113">
        <f>IF(ISNUMBER(T113),IF(ISNUMBER(T112),IF(T113&gt;T112,1.0,IF(T113=T112,0.5,0.0)),""),"")</f>
        <v/>
      </c>
      <c r="AB113">
        <f>IF(ISNUMBER(T113),IF(ISNUMBER(T114),IF(T113&gt;T114,1.0,IF(T113=T114,0.5,0.0)),""),"")</f>
        <v/>
      </c>
      <c r="AC113">
        <f>IF(ISNUMBER(T113),IF(ISNUMBER(T115),IF(T113&gt;T115,1.0,IF(T113=T115,0.5,0.0)),""),"")</f>
        <v/>
      </c>
      <c r="AD113">
        <f>IF(ISNUMBER(T113),IF(ISNUMBER(T116),IF(T113&gt;T116,1.0,IF(T113=T116,0.5,0.0)),""),"")</f>
        <v/>
      </c>
      <c r="AE113" s="14">
        <f>IF(AND(ISNUMBER(S113),ISNUMBER(S111)),VLOOKUP(ABS(S113-S111),'IMP Table'!$A$2:$C$26,3)*SIGN(S113-S111),0)</f>
        <v/>
      </c>
      <c r="AF113">
        <f>IF(AND(ISNUMBER(S113),ISNUMBER(S112)),VLOOKUP(ABS(S113-S112),'IMP Table'!$A$2:$C$26,3)*SIGN(S113-S112),0)</f>
        <v/>
      </c>
      <c r="AG113">
        <f>IF(AND(ISNUMBER(S113),ISNUMBER(S114)),VLOOKUP(ABS(S113-S114),'IMP Table'!$A$2:$C$26,3)*SIGN(S113-S114),0)</f>
        <v/>
      </c>
      <c r="AH113">
        <f>IF(AND(ISNUMBER(S113),ISNUMBER(S115)),VLOOKUP(ABS(S113-S115),'IMP Table'!$A$2:$C$26,3)*SIGN(S113-S115),0)</f>
        <v/>
      </c>
      <c r="AI113">
        <f>IF(AND(ISNUMBER(S113),ISNUMBER(S116)),VLOOKUP(ABS(S113-S116),'IMP Table'!$A$2:$C$26,3)*SIGN(S113-S116),0)</f>
        <v/>
      </c>
      <c r="AJ113">
        <f>IF(AND(ISNUMBER(T113),ISNUMBER(T111)),VLOOKUP(ABS(T113-T111),'IMP Table'!$A$2:$C$26,3)*SIGN(T113-T111),0)</f>
        <v/>
      </c>
      <c r="AK113">
        <f>IF(AND(ISNUMBER(T113),ISNUMBER(T112)),VLOOKUP(ABS(T113-T112),'IMP Table'!$A$2:$C$26,3)*SIGN(T113-T112),0)</f>
        <v/>
      </c>
      <c r="AL113">
        <f>IF(AND(ISNUMBER(T113),ISNUMBER(T114)),VLOOKUP(ABS(T113-T114),'IMP Table'!$A$2:$C$26,3)*SIGN(T113-T114),0)</f>
        <v/>
      </c>
      <c r="AM113">
        <f>IF(AND(ISNUMBER(T113),ISNUMBER(T115)),VLOOKUP(ABS(T113-T115),'IMP Table'!$A$2:$C$26,3)*SIGN(T113-T115),0)</f>
        <v/>
      </c>
      <c r="AN113">
        <f>IF(AND(ISNUMBER(T113),ISNUMBER(T116)),VLOOKUP(ABS(T113-T116),'IMP Table'!$A$2:$C$26,3)*SIGN(T113-T116),0)</f>
        <v/>
      </c>
    </row>
    <row r="114">
      <c r="B114" s="10">
        <f>'By Round'!A27</f>
        <v/>
      </c>
      <c r="C114" s="10">
        <f>'By Round'!B33</f>
        <v/>
      </c>
      <c r="D114" s="10">
        <f>'By Round'!C33</f>
        <v/>
      </c>
      <c r="E114" s="10">
        <f>'By Round'!D33</f>
        <v/>
      </c>
      <c r="F114" s="10">
        <f>IF(ISBLANK('By Round'!F33),"",'By Round'!F33)</f>
        <v/>
      </c>
      <c r="G114">
        <f>IF(ISBLANK('By Round'!G33),"",'By Round'!G33)</f>
        <v/>
      </c>
      <c r="H114">
        <f>IF(ISBLANK('By Round'!H33),"",'By Round'!H33)</f>
        <v/>
      </c>
      <c r="I114">
        <f>IF(ISBLANK('By Round'!I33),"",'By Round'!I33)</f>
        <v/>
      </c>
      <c r="J114">
        <f>IF(ISBLANK('By Round'!J33),"",'By Round'!J33)</f>
        <v/>
      </c>
      <c r="K114">
        <f>IF(ISBLANK('By Round'!K33),"",'By Round'!K33)</f>
        <v/>
      </c>
      <c r="L114">
        <f>IF(ISBLANK('By Round'!L33),"",'By Round'!L33)</f>
        <v/>
      </c>
      <c r="M114" s="11">
        <f>AVERAGE(AE114:AI114)</f>
        <v/>
      </c>
      <c r="N114" s="12">
        <f>AVERAGE(AJ114:AN114)</f>
        <v/>
      </c>
      <c r="O114" s="13">
        <f>IF(COUNT(U114:Y114)&gt;0,Q114/COUNT(U114:Y114),0.5)</f>
        <v/>
      </c>
      <c r="P114" s="13">
        <f>IF(COUNT(Z114:AD114)&gt;0,R114/COUNT(Z114:AD114),0.5)</f>
        <v/>
      </c>
      <c r="Q114" s="5">
        <f>SUM(U114:Y114)</f>
        <v/>
      </c>
      <c r="R114" s="5">
        <f>SUM(Z114:AD114)</f>
        <v/>
      </c>
      <c r="S114" s="14">
        <f>IF(ISNUMBER(K114),K114,IF(ISNUMBER(L114),-L114,""))</f>
        <v/>
      </c>
      <c r="T114">
        <f>IF(ISNUMBER(L114),L114,IF(ISNUMBER(K114),-K114,""))</f>
        <v/>
      </c>
      <c r="U114" s="14">
        <f>IF(ISNUMBER(S114),IF(ISNUMBER(S111),IF(S114&gt;S111,1.0,IF(S114=S111,0.5,0.0)),""),"")</f>
        <v/>
      </c>
      <c r="V114">
        <f>IF(ISNUMBER(S114),IF(ISNUMBER(S112),IF(S114&gt;S112,1.0,IF(S114=S112,0.5,0.0)),""),"")</f>
        <v/>
      </c>
      <c r="W114">
        <f>IF(ISNUMBER(S114),IF(ISNUMBER(S113),IF(S114&gt;S113,1.0,IF(S114=S113,0.5,0.0)),""),"")</f>
        <v/>
      </c>
      <c r="X114">
        <f>IF(ISNUMBER(S114),IF(ISNUMBER(S115),IF(S114&gt;S115,1.0,IF(S114=S115,0.5,0.0)),""),"")</f>
        <v/>
      </c>
      <c r="Y114">
        <f>IF(ISNUMBER(S114),IF(ISNUMBER(S116),IF(S114&gt;S116,1.0,IF(S114=S116,0.5,0.0)),""),"")</f>
        <v/>
      </c>
      <c r="Z114">
        <f>IF(ISNUMBER(T114),IF(ISNUMBER(T111),IF(T114&gt;T111,1.0,IF(T114=T111,0.5,0.0)),""),"")</f>
        <v/>
      </c>
      <c r="AA114">
        <f>IF(ISNUMBER(T114),IF(ISNUMBER(T112),IF(T114&gt;T112,1.0,IF(T114=T112,0.5,0.0)),""),"")</f>
        <v/>
      </c>
      <c r="AB114">
        <f>IF(ISNUMBER(T114),IF(ISNUMBER(T113),IF(T114&gt;T113,1.0,IF(T114=T113,0.5,0.0)),""),"")</f>
        <v/>
      </c>
      <c r="AC114">
        <f>IF(ISNUMBER(T114),IF(ISNUMBER(T115),IF(T114&gt;T115,1.0,IF(T114=T115,0.5,0.0)),""),"")</f>
        <v/>
      </c>
      <c r="AD114">
        <f>IF(ISNUMBER(T114),IF(ISNUMBER(T116),IF(T114&gt;T116,1.0,IF(T114=T116,0.5,0.0)),""),"")</f>
        <v/>
      </c>
      <c r="AE114" s="14">
        <f>IF(AND(ISNUMBER(S114),ISNUMBER(S111)),VLOOKUP(ABS(S114-S111),'IMP Table'!$A$2:$C$26,3)*SIGN(S114-S111),0)</f>
        <v/>
      </c>
      <c r="AF114">
        <f>IF(AND(ISNUMBER(S114),ISNUMBER(S112)),VLOOKUP(ABS(S114-S112),'IMP Table'!$A$2:$C$26,3)*SIGN(S114-S112),0)</f>
        <v/>
      </c>
      <c r="AG114">
        <f>IF(AND(ISNUMBER(S114),ISNUMBER(S113)),VLOOKUP(ABS(S114-S113),'IMP Table'!$A$2:$C$26,3)*SIGN(S114-S113),0)</f>
        <v/>
      </c>
      <c r="AH114">
        <f>IF(AND(ISNUMBER(S114),ISNUMBER(S115)),VLOOKUP(ABS(S114-S115),'IMP Table'!$A$2:$C$26,3)*SIGN(S114-S115),0)</f>
        <v/>
      </c>
      <c r="AI114">
        <f>IF(AND(ISNUMBER(S114),ISNUMBER(S116)),VLOOKUP(ABS(S114-S116),'IMP Table'!$A$2:$C$26,3)*SIGN(S114-S116),0)</f>
        <v/>
      </c>
      <c r="AJ114">
        <f>IF(AND(ISNUMBER(T114),ISNUMBER(T111)),VLOOKUP(ABS(T114-T111),'IMP Table'!$A$2:$C$26,3)*SIGN(T114-T111),0)</f>
        <v/>
      </c>
      <c r="AK114">
        <f>IF(AND(ISNUMBER(T114),ISNUMBER(T112)),VLOOKUP(ABS(T114-T112),'IMP Table'!$A$2:$C$26,3)*SIGN(T114-T112),0)</f>
        <v/>
      </c>
      <c r="AL114">
        <f>IF(AND(ISNUMBER(T114),ISNUMBER(T113)),VLOOKUP(ABS(T114-T113),'IMP Table'!$A$2:$C$26,3)*SIGN(T114-T113),0)</f>
        <v/>
      </c>
      <c r="AM114">
        <f>IF(AND(ISNUMBER(T114),ISNUMBER(T115)),VLOOKUP(ABS(T114-T115),'IMP Table'!$A$2:$C$26,3)*SIGN(T114-T115),0)</f>
        <v/>
      </c>
      <c r="AN114">
        <f>IF(AND(ISNUMBER(T114),ISNUMBER(T116)),VLOOKUP(ABS(T114-T116),'IMP Table'!$A$2:$C$26,3)*SIGN(T114-T116),0)</f>
        <v/>
      </c>
    </row>
    <row r="115">
      <c r="B115" s="10">
        <f>'By Round'!A63</f>
        <v/>
      </c>
      <c r="C115" s="10">
        <f>'By Round'!B65</f>
        <v/>
      </c>
      <c r="D115" s="10">
        <f>'By Round'!C65</f>
        <v/>
      </c>
      <c r="E115" s="10">
        <f>'By Round'!D65</f>
        <v/>
      </c>
      <c r="F115" s="10">
        <f>IF(ISBLANK('By Round'!F65),"",'By Round'!F65)</f>
        <v/>
      </c>
      <c r="G115">
        <f>IF(ISBLANK('By Round'!G65),"",'By Round'!G65)</f>
        <v/>
      </c>
      <c r="H115">
        <f>IF(ISBLANK('By Round'!H65),"",'By Round'!H65)</f>
        <v/>
      </c>
      <c r="I115">
        <f>IF(ISBLANK('By Round'!I65),"",'By Round'!I65)</f>
        <v/>
      </c>
      <c r="J115">
        <f>IF(ISBLANK('By Round'!J65),"",'By Round'!J65)</f>
        <v/>
      </c>
      <c r="K115">
        <f>IF(ISBLANK('By Round'!K65),"",'By Round'!K65)</f>
        <v/>
      </c>
      <c r="L115">
        <f>IF(ISBLANK('By Round'!L65),"",'By Round'!L65)</f>
        <v/>
      </c>
      <c r="M115" s="11">
        <f>AVERAGE(AE115:AI115)</f>
        <v/>
      </c>
      <c r="N115" s="12">
        <f>AVERAGE(AJ115:AN115)</f>
        <v/>
      </c>
      <c r="O115" s="13">
        <f>IF(COUNT(U115:Y115)&gt;0,Q115/COUNT(U115:Y115),0.5)</f>
        <v/>
      </c>
      <c r="P115" s="13">
        <f>IF(COUNT(Z115:AD115)&gt;0,R115/COUNT(Z115:AD115),0.5)</f>
        <v/>
      </c>
      <c r="Q115" s="5">
        <f>SUM(U115:Y115)</f>
        <v/>
      </c>
      <c r="R115" s="5">
        <f>SUM(Z115:AD115)</f>
        <v/>
      </c>
      <c r="S115" s="14">
        <f>IF(ISNUMBER(K115),K115,IF(ISNUMBER(L115),-L115,""))</f>
        <v/>
      </c>
      <c r="T115">
        <f>IF(ISNUMBER(L115),L115,IF(ISNUMBER(K115),-K115,""))</f>
        <v/>
      </c>
      <c r="U115" s="14">
        <f>IF(ISNUMBER(S115),IF(ISNUMBER(S111),IF(S115&gt;S111,1.0,IF(S115=S111,0.5,0.0)),""),"")</f>
        <v/>
      </c>
      <c r="V115">
        <f>IF(ISNUMBER(S115),IF(ISNUMBER(S112),IF(S115&gt;S112,1.0,IF(S115=S112,0.5,0.0)),""),"")</f>
        <v/>
      </c>
      <c r="W115">
        <f>IF(ISNUMBER(S115),IF(ISNUMBER(S113),IF(S115&gt;S113,1.0,IF(S115=S113,0.5,0.0)),""),"")</f>
        <v/>
      </c>
      <c r="X115">
        <f>IF(ISNUMBER(S115),IF(ISNUMBER(S114),IF(S115&gt;S114,1.0,IF(S115=S114,0.5,0.0)),""),"")</f>
        <v/>
      </c>
      <c r="Y115">
        <f>IF(ISNUMBER(S115),IF(ISNUMBER(S116),IF(S115&gt;S116,1.0,IF(S115=S116,0.5,0.0)),""),"")</f>
        <v/>
      </c>
      <c r="Z115">
        <f>IF(ISNUMBER(T115),IF(ISNUMBER(T111),IF(T115&gt;T111,1.0,IF(T115=T111,0.5,0.0)),""),"")</f>
        <v/>
      </c>
      <c r="AA115">
        <f>IF(ISNUMBER(T115),IF(ISNUMBER(T112),IF(T115&gt;T112,1.0,IF(T115=T112,0.5,0.0)),""),"")</f>
        <v/>
      </c>
      <c r="AB115">
        <f>IF(ISNUMBER(T115),IF(ISNUMBER(T113),IF(T115&gt;T113,1.0,IF(T115=T113,0.5,0.0)),""),"")</f>
        <v/>
      </c>
      <c r="AC115">
        <f>IF(ISNUMBER(T115),IF(ISNUMBER(T114),IF(T115&gt;T114,1.0,IF(T115=T114,0.5,0.0)),""),"")</f>
        <v/>
      </c>
      <c r="AD115">
        <f>IF(ISNUMBER(T115),IF(ISNUMBER(T116),IF(T115&gt;T116,1.0,IF(T115=T116,0.5,0.0)),""),"")</f>
        <v/>
      </c>
      <c r="AE115" s="14">
        <f>IF(AND(ISNUMBER(S115),ISNUMBER(S111)),VLOOKUP(ABS(S115-S111),'IMP Table'!$A$2:$C$26,3)*SIGN(S115-S111),0)</f>
        <v/>
      </c>
      <c r="AF115">
        <f>IF(AND(ISNUMBER(S115),ISNUMBER(S112)),VLOOKUP(ABS(S115-S112),'IMP Table'!$A$2:$C$26,3)*SIGN(S115-S112),0)</f>
        <v/>
      </c>
      <c r="AG115">
        <f>IF(AND(ISNUMBER(S115),ISNUMBER(S113)),VLOOKUP(ABS(S115-S113),'IMP Table'!$A$2:$C$26,3)*SIGN(S115-S113),0)</f>
        <v/>
      </c>
      <c r="AH115">
        <f>IF(AND(ISNUMBER(S115),ISNUMBER(S114)),VLOOKUP(ABS(S115-S114),'IMP Table'!$A$2:$C$26,3)*SIGN(S115-S114),0)</f>
        <v/>
      </c>
      <c r="AI115">
        <f>IF(AND(ISNUMBER(S115),ISNUMBER(S116)),VLOOKUP(ABS(S115-S116),'IMP Table'!$A$2:$C$26,3)*SIGN(S115-S116),0)</f>
        <v/>
      </c>
      <c r="AJ115">
        <f>IF(AND(ISNUMBER(T115),ISNUMBER(T111)),VLOOKUP(ABS(T115-T111),'IMP Table'!$A$2:$C$26,3)*SIGN(T115-T111),0)</f>
        <v/>
      </c>
      <c r="AK115">
        <f>IF(AND(ISNUMBER(T115),ISNUMBER(T112)),VLOOKUP(ABS(T115-T112),'IMP Table'!$A$2:$C$26,3)*SIGN(T115-T112),0)</f>
        <v/>
      </c>
      <c r="AL115">
        <f>IF(AND(ISNUMBER(T115),ISNUMBER(T113)),VLOOKUP(ABS(T115-T113),'IMP Table'!$A$2:$C$26,3)*SIGN(T115-T113),0)</f>
        <v/>
      </c>
      <c r="AM115">
        <f>IF(AND(ISNUMBER(T115),ISNUMBER(T114)),VLOOKUP(ABS(T115-T114),'IMP Table'!$A$2:$C$26,3)*SIGN(T115-T114),0)</f>
        <v/>
      </c>
      <c r="AN115">
        <f>IF(AND(ISNUMBER(T115),ISNUMBER(T116)),VLOOKUP(ABS(T115-T116),'IMP Table'!$A$2:$C$26,3)*SIGN(T115-T116),0)</f>
        <v/>
      </c>
    </row>
    <row r="116">
      <c r="A116" s="15" t="n"/>
      <c r="B116" s="16">
        <f>'By Round'!A3</f>
        <v/>
      </c>
      <c r="C116" s="16">
        <f>'By Round'!B13</f>
        <v/>
      </c>
      <c r="D116" s="16">
        <f>'By Round'!C13</f>
        <v/>
      </c>
      <c r="E116" s="16">
        <f>'By Round'!D13</f>
        <v/>
      </c>
      <c r="F116" s="16">
        <f>IF(ISBLANK('By Round'!F13),"",'By Round'!F13)</f>
        <v/>
      </c>
      <c r="G116" s="15">
        <f>IF(ISBLANK('By Round'!G13),"",'By Round'!G13)</f>
        <v/>
      </c>
      <c r="H116" s="15">
        <f>IF(ISBLANK('By Round'!H13),"",'By Round'!H13)</f>
        <v/>
      </c>
      <c r="I116" s="15">
        <f>IF(ISBLANK('By Round'!I13),"",'By Round'!I13)</f>
        <v/>
      </c>
      <c r="J116" s="15">
        <f>IF(ISBLANK('By Round'!J13),"",'By Round'!J13)</f>
        <v/>
      </c>
      <c r="K116" s="15">
        <f>IF(ISBLANK('By Round'!K13),"",'By Round'!K13)</f>
        <v/>
      </c>
      <c r="L116" s="15">
        <f>IF(ISBLANK('By Round'!L13),"",'By Round'!L13)</f>
        <v/>
      </c>
      <c r="M116" s="17">
        <f>AVERAGE(AE116:AI116)</f>
        <v/>
      </c>
      <c r="N116" s="18">
        <f>AVERAGE(AJ116:AN116)</f>
        <v/>
      </c>
      <c r="O116" s="19">
        <f>IF(COUNT(U116:Y116)&gt;0,Q116/COUNT(U116:Y116),0.5)</f>
        <v/>
      </c>
      <c r="P116" s="19">
        <f>IF(COUNT(Z116:AD116)&gt;0,R116/COUNT(Z116:AD116),0.5)</f>
        <v/>
      </c>
      <c r="Q116" s="20">
        <f>SUM(U116:Y116)</f>
        <v/>
      </c>
      <c r="R116" s="20">
        <f>SUM(Z116:AD116)</f>
        <v/>
      </c>
      <c r="S116" s="21">
        <f>IF(ISNUMBER(K116),K116,IF(ISNUMBER(L116),-L116,""))</f>
        <v/>
      </c>
      <c r="T116" s="15">
        <f>IF(ISNUMBER(L116),L116,IF(ISNUMBER(K116),-K116,""))</f>
        <v/>
      </c>
      <c r="U116" s="21">
        <f>IF(ISNUMBER(S116),IF(ISNUMBER(S111),IF(S116&gt;S111,1.0,IF(S116=S111,0.5,0.0)),""),"")</f>
        <v/>
      </c>
      <c r="V116" s="15">
        <f>IF(ISNUMBER(S116),IF(ISNUMBER(S112),IF(S116&gt;S112,1.0,IF(S116=S112,0.5,0.0)),""),"")</f>
        <v/>
      </c>
      <c r="W116" s="15">
        <f>IF(ISNUMBER(S116),IF(ISNUMBER(S113),IF(S116&gt;S113,1.0,IF(S116=S113,0.5,0.0)),""),"")</f>
        <v/>
      </c>
      <c r="X116" s="15">
        <f>IF(ISNUMBER(S116),IF(ISNUMBER(S114),IF(S116&gt;S114,1.0,IF(S116=S114,0.5,0.0)),""),"")</f>
        <v/>
      </c>
      <c r="Y116" s="15">
        <f>IF(ISNUMBER(S116),IF(ISNUMBER(S115),IF(S116&gt;S115,1.0,IF(S116=S115,0.5,0.0)),""),"")</f>
        <v/>
      </c>
      <c r="Z116" s="15">
        <f>IF(ISNUMBER(T116),IF(ISNUMBER(T111),IF(T116&gt;T111,1.0,IF(T116=T111,0.5,0.0)),""),"")</f>
        <v/>
      </c>
      <c r="AA116" s="15">
        <f>IF(ISNUMBER(T116),IF(ISNUMBER(T112),IF(T116&gt;T112,1.0,IF(T116=T112,0.5,0.0)),""),"")</f>
        <v/>
      </c>
      <c r="AB116" s="15">
        <f>IF(ISNUMBER(T116),IF(ISNUMBER(T113),IF(T116&gt;T113,1.0,IF(T116=T113,0.5,0.0)),""),"")</f>
        <v/>
      </c>
      <c r="AC116" s="15">
        <f>IF(ISNUMBER(T116),IF(ISNUMBER(T114),IF(T116&gt;T114,1.0,IF(T116=T114,0.5,0.0)),""),"")</f>
        <v/>
      </c>
      <c r="AD116" s="15">
        <f>IF(ISNUMBER(T116),IF(ISNUMBER(T115),IF(T116&gt;T115,1.0,IF(T116=T115,0.5,0.0)),""),"")</f>
        <v/>
      </c>
      <c r="AE116" s="21">
        <f>IF(AND(ISNUMBER(S116),ISNUMBER(S111)),VLOOKUP(ABS(S116-S111),'IMP Table'!$A$2:$C$26,3)*SIGN(S116-S111),0)</f>
        <v/>
      </c>
      <c r="AF116" s="15">
        <f>IF(AND(ISNUMBER(S116),ISNUMBER(S112)),VLOOKUP(ABS(S116-S112),'IMP Table'!$A$2:$C$26,3)*SIGN(S116-S112),0)</f>
        <v/>
      </c>
      <c r="AG116" s="15">
        <f>IF(AND(ISNUMBER(S116),ISNUMBER(S113)),VLOOKUP(ABS(S116-S113),'IMP Table'!$A$2:$C$26,3)*SIGN(S116-S113),0)</f>
        <v/>
      </c>
      <c r="AH116" s="15">
        <f>IF(AND(ISNUMBER(S116),ISNUMBER(S114)),VLOOKUP(ABS(S116-S114),'IMP Table'!$A$2:$C$26,3)*SIGN(S116-S114),0)</f>
        <v/>
      </c>
      <c r="AI116" s="15">
        <f>IF(AND(ISNUMBER(S116),ISNUMBER(S115)),VLOOKUP(ABS(S116-S115),'IMP Table'!$A$2:$C$26,3)*SIGN(S116-S115),0)</f>
        <v/>
      </c>
      <c r="AJ116" s="15">
        <f>IF(AND(ISNUMBER(T116),ISNUMBER(T111)),VLOOKUP(ABS(T116-T111),'IMP Table'!$A$2:$C$26,3)*SIGN(T116-T111),0)</f>
        <v/>
      </c>
      <c r="AK116" s="15">
        <f>IF(AND(ISNUMBER(T116),ISNUMBER(T112)),VLOOKUP(ABS(T116-T112),'IMP Table'!$A$2:$C$26,3)*SIGN(T116-T112),0)</f>
        <v/>
      </c>
      <c r="AL116" s="15">
        <f>IF(AND(ISNUMBER(T116),ISNUMBER(T113)),VLOOKUP(ABS(T116-T113),'IMP Table'!$A$2:$C$26,3)*SIGN(T116-T113),0)</f>
        <v/>
      </c>
      <c r="AM116" s="15">
        <f>IF(AND(ISNUMBER(T116),ISNUMBER(T114)),VLOOKUP(ABS(T116-T114),'IMP Table'!$A$2:$C$26,3)*SIGN(T116-T114),0)</f>
        <v/>
      </c>
      <c r="AN116" s="15">
        <f>IF(AND(ISNUMBER(T116),ISNUMBER(T115)),VLOOKUP(ABS(T116-T115),'IMP Table'!$A$2:$C$26,3)*SIGN(T116-T115),0)</f>
        <v/>
      </c>
    </row>
    <row r="117">
      <c r="A117" s="10" t="n">
        <v>20</v>
      </c>
      <c r="B117" s="10">
        <f>'By Round'!A111</f>
        <v/>
      </c>
      <c r="C117" s="10">
        <f>'By Round'!B111</f>
        <v/>
      </c>
      <c r="D117" s="10">
        <f>'By Round'!C111</f>
        <v/>
      </c>
      <c r="E117" s="10">
        <f>'By Round'!D111</f>
        <v/>
      </c>
      <c r="F117" s="10">
        <f>IF(ISBLANK('By Round'!F112),"",'By Round'!F112)</f>
        <v/>
      </c>
      <c r="G117">
        <f>IF(ISBLANK('By Round'!G112),"",'By Round'!G112)</f>
        <v/>
      </c>
      <c r="H117">
        <f>IF(ISBLANK('By Round'!H112),"",'By Round'!H112)</f>
        <v/>
      </c>
      <c r="I117">
        <f>IF(ISBLANK('By Round'!I112),"",'By Round'!I112)</f>
        <v/>
      </c>
      <c r="J117">
        <f>IF(ISBLANK('By Round'!J112),"",'By Round'!J112)</f>
        <v/>
      </c>
      <c r="K117">
        <f>IF(ISBLANK('By Round'!K112),"",'By Round'!K112)</f>
        <v/>
      </c>
      <c r="L117">
        <f>IF(ISBLANK('By Round'!L112),"",'By Round'!L112)</f>
        <v/>
      </c>
      <c r="M117" s="11">
        <f>AVERAGE(AE117:AI117)</f>
        <v/>
      </c>
      <c r="N117" s="12">
        <f>AVERAGE(AJ117:AN117)</f>
        <v/>
      </c>
      <c r="O117" s="13">
        <f>IF(COUNT(U117:Y117)&gt;0,Q117/COUNT(U117:Y117),0.5)</f>
        <v/>
      </c>
      <c r="P117" s="13">
        <f>IF(COUNT(Z117:AD117)&gt;0,R117/COUNT(Z117:AD117),0.5)</f>
        <v/>
      </c>
      <c r="Q117" s="5">
        <f>SUM(U117:Y117)</f>
        <v/>
      </c>
      <c r="R117" s="5">
        <f>SUM(Z117:AD117)</f>
        <v/>
      </c>
      <c r="S117" s="14">
        <f>IF(ISNUMBER(K117),K117,IF(ISNUMBER(L117),-L117,""))</f>
        <v/>
      </c>
      <c r="T117">
        <f>IF(ISNUMBER(L117),L117,IF(ISNUMBER(K117),-K117,""))</f>
        <v/>
      </c>
      <c r="U117" s="14">
        <f>IF(ISNUMBER(S117),IF(ISNUMBER(S118),IF(S117&gt;S118,1.0,IF(S117=S118,0.5,0.0)),""),"")</f>
        <v/>
      </c>
      <c r="V117">
        <f>IF(ISNUMBER(S117),IF(ISNUMBER(S119),IF(S117&gt;S119,1.0,IF(S117=S119,0.5,0.0)),""),"")</f>
        <v/>
      </c>
      <c r="W117">
        <f>IF(ISNUMBER(S117),IF(ISNUMBER(S120),IF(S117&gt;S120,1.0,IF(S117=S120,0.5,0.0)),""),"")</f>
        <v/>
      </c>
      <c r="X117">
        <f>IF(ISNUMBER(S117),IF(ISNUMBER(S121),IF(S117&gt;S121,1.0,IF(S117=S121,0.5,0.0)),""),"")</f>
        <v/>
      </c>
      <c r="Y117">
        <f>IF(ISNUMBER(S117),IF(ISNUMBER(S122),IF(S117&gt;S122,1.0,IF(S117=S122,0.5,0.0)),""),"")</f>
        <v/>
      </c>
      <c r="Z117">
        <f>IF(ISNUMBER(T117),IF(ISNUMBER(T118),IF(T117&gt;T118,1.0,IF(T117=T118,0.5,0.0)),""),"")</f>
        <v/>
      </c>
      <c r="AA117">
        <f>IF(ISNUMBER(T117),IF(ISNUMBER(T119),IF(T117&gt;T119,1.0,IF(T117=T119,0.5,0.0)),""),"")</f>
        <v/>
      </c>
      <c r="AB117">
        <f>IF(ISNUMBER(T117),IF(ISNUMBER(T120),IF(T117&gt;T120,1.0,IF(T117=T120,0.5,0.0)),""),"")</f>
        <v/>
      </c>
      <c r="AC117">
        <f>IF(ISNUMBER(T117),IF(ISNUMBER(T121),IF(T117&gt;T121,1.0,IF(T117=T121,0.5,0.0)),""),"")</f>
        <v/>
      </c>
      <c r="AD117">
        <f>IF(ISNUMBER(T117),IF(ISNUMBER(T122),IF(T117&gt;T122,1.0,IF(T117=T122,0.5,0.0)),""),"")</f>
        <v/>
      </c>
      <c r="AE117" s="14">
        <f>IF(AND(ISNUMBER(S117),ISNUMBER(S118)),VLOOKUP(ABS(S117-S118),'IMP Table'!$A$2:$C$26,3)*SIGN(S117-S118),0)</f>
        <v/>
      </c>
      <c r="AF117">
        <f>IF(AND(ISNUMBER(S117),ISNUMBER(S119)),VLOOKUP(ABS(S117-S119),'IMP Table'!$A$2:$C$26,3)*SIGN(S117-S119),0)</f>
        <v/>
      </c>
      <c r="AG117">
        <f>IF(AND(ISNUMBER(S117),ISNUMBER(S120)),VLOOKUP(ABS(S117-S120),'IMP Table'!$A$2:$C$26,3)*SIGN(S117-S120),0)</f>
        <v/>
      </c>
      <c r="AH117">
        <f>IF(AND(ISNUMBER(S117),ISNUMBER(S121)),VLOOKUP(ABS(S117-S121),'IMP Table'!$A$2:$C$26,3)*SIGN(S117-S121),0)</f>
        <v/>
      </c>
      <c r="AI117">
        <f>IF(AND(ISNUMBER(S117),ISNUMBER(S122)),VLOOKUP(ABS(S117-S122),'IMP Table'!$A$2:$C$26,3)*SIGN(S117-S122),0)</f>
        <v/>
      </c>
      <c r="AJ117">
        <f>IF(AND(ISNUMBER(T117),ISNUMBER(T118)),VLOOKUP(ABS(T117-T118),'IMP Table'!$A$2:$C$26,3)*SIGN(T117-T118),0)</f>
        <v/>
      </c>
      <c r="AK117">
        <f>IF(AND(ISNUMBER(T117),ISNUMBER(T119)),VLOOKUP(ABS(T117-T119),'IMP Table'!$A$2:$C$26,3)*SIGN(T117-T119),0)</f>
        <v/>
      </c>
      <c r="AL117">
        <f>IF(AND(ISNUMBER(T117),ISNUMBER(T120)),VLOOKUP(ABS(T117-T120),'IMP Table'!$A$2:$C$26,3)*SIGN(T117-T120),0)</f>
        <v/>
      </c>
      <c r="AM117">
        <f>IF(AND(ISNUMBER(T117),ISNUMBER(T121)),VLOOKUP(ABS(T117-T121),'IMP Table'!$A$2:$C$26,3)*SIGN(T117-T121),0)</f>
        <v/>
      </c>
      <c r="AN117">
        <f>IF(AND(ISNUMBER(T117),ISNUMBER(T122)),VLOOKUP(ABS(T117-T122),'IMP Table'!$A$2:$C$26,3)*SIGN(T117-T122),0)</f>
        <v/>
      </c>
    </row>
    <row r="118">
      <c r="B118" s="10">
        <f>'By Round'!A51</f>
        <v/>
      </c>
      <c r="C118" s="10">
        <f>'By Round'!B55</f>
        <v/>
      </c>
      <c r="D118" s="10">
        <f>'By Round'!C55</f>
        <v/>
      </c>
      <c r="E118" s="10">
        <f>'By Round'!D55</f>
        <v/>
      </c>
      <c r="F118" s="10">
        <f>IF(ISBLANK('By Round'!F56),"",'By Round'!F56)</f>
        <v/>
      </c>
      <c r="G118">
        <f>IF(ISBLANK('By Round'!G56),"",'By Round'!G56)</f>
        <v/>
      </c>
      <c r="H118">
        <f>IF(ISBLANK('By Round'!H56),"",'By Round'!H56)</f>
        <v/>
      </c>
      <c r="I118">
        <f>IF(ISBLANK('By Round'!I56),"",'By Round'!I56)</f>
        <v/>
      </c>
      <c r="J118">
        <f>IF(ISBLANK('By Round'!J56),"",'By Round'!J56)</f>
        <v/>
      </c>
      <c r="K118">
        <f>IF(ISBLANK('By Round'!K56),"",'By Round'!K56)</f>
        <v/>
      </c>
      <c r="L118">
        <f>IF(ISBLANK('By Round'!L56),"",'By Round'!L56)</f>
        <v/>
      </c>
      <c r="M118" s="11">
        <f>AVERAGE(AE118:AI118)</f>
        <v/>
      </c>
      <c r="N118" s="12">
        <f>AVERAGE(AJ118:AN118)</f>
        <v/>
      </c>
      <c r="O118" s="13">
        <f>IF(COUNT(U118:Y118)&gt;0,Q118/COUNT(U118:Y118),0.5)</f>
        <v/>
      </c>
      <c r="P118" s="13">
        <f>IF(COUNT(Z118:AD118)&gt;0,R118/COUNT(Z118:AD118),0.5)</f>
        <v/>
      </c>
      <c r="Q118" s="5">
        <f>SUM(U118:Y118)</f>
        <v/>
      </c>
      <c r="R118" s="5">
        <f>SUM(Z118:AD118)</f>
        <v/>
      </c>
      <c r="S118" s="14">
        <f>IF(ISNUMBER(K118),K118,IF(ISNUMBER(L118),-L118,""))</f>
        <v/>
      </c>
      <c r="T118">
        <f>IF(ISNUMBER(L118),L118,IF(ISNUMBER(K118),-K118,""))</f>
        <v/>
      </c>
      <c r="U118" s="14">
        <f>IF(ISNUMBER(S118),IF(ISNUMBER(S117),IF(S118&gt;S117,1.0,IF(S118=S117,0.5,0.0)),""),"")</f>
        <v/>
      </c>
      <c r="V118">
        <f>IF(ISNUMBER(S118),IF(ISNUMBER(S119),IF(S118&gt;S119,1.0,IF(S118=S119,0.5,0.0)),""),"")</f>
        <v/>
      </c>
      <c r="W118">
        <f>IF(ISNUMBER(S118),IF(ISNUMBER(S120),IF(S118&gt;S120,1.0,IF(S118=S120,0.5,0.0)),""),"")</f>
        <v/>
      </c>
      <c r="X118">
        <f>IF(ISNUMBER(S118),IF(ISNUMBER(S121),IF(S118&gt;S121,1.0,IF(S118=S121,0.5,0.0)),""),"")</f>
        <v/>
      </c>
      <c r="Y118">
        <f>IF(ISNUMBER(S118),IF(ISNUMBER(S122),IF(S118&gt;S122,1.0,IF(S118=S122,0.5,0.0)),""),"")</f>
        <v/>
      </c>
      <c r="Z118">
        <f>IF(ISNUMBER(T118),IF(ISNUMBER(T117),IF(T118&gt;T117,1.0,IF(T118=T117,0.5,0.0)),""),"")</f>
        <v/>
      </c>
      <c r="AA118">
        <f>IF(ISNUMBER(T118),IF(ISNUMBER(T119),IF(T118&gt;T119,1.0,IF(T118=T119,0.5,0.0)),""),"")</f>
        <v/>
      </c>
      <c r="AB118">
        <f>IF(ISNUMBER(T118),IF(ISNUMBER(T120),IF(T118&gt;T120,1.0,IF(T118=T120,0.5,0.0)),""),"")</f>
        <v/>
      </c>
      <c r="AC118">
        <f>IF(ISNUMBER(T118),IF(ISNUMBER(T121),IF(T118&gt;T121,1.0,IF(T118=T121,0.5,0.0)),""),"")</f>
        <v/>
      </c>
      <c r="AD118">
        <f>IF(ISNUMBER(T118),IF(ISNUMBER(T122),IF(T118&gt;T122,1.0,IF(T118=T122,0.5,0.0)),""),"")</f>
        <v/>
      </c>
      <c r="AE118" s="14">
        <f>IF(AND(ISNUMBER(S118),ISNUMBER(S117)),VLOOKUP(ABS(S118-S117),'IMP Table'!$A$2:$C$26,3)*SIGN(S118-S117),0)</f>
        <v/>
      </c>
      <c r="AF118">
        <f>IF(AND(ISNUMBER(S118),ISNUMBER(S119)),VLOOKUP(ABS(S118-S119),'IMP Table'!$A$2:$C$26,3)*SIGN(S118-S119),0)</f>
        <v/>
      </c>
      <c r="AG118">
        <f>IF(AND(ISNUMBER(S118),ISNUMBER(S120)),VLOOKUP(ABS(S118-S120),'IMP Table'!$A$2:$C$26,3)*SIGN(S118-S120),0)</f>
        <v/>
      </c>
      <c r="AH118">
        <f>IF(AND(ISNUMBER(S118),ISNUMBER(S121)),VLOOKUP(ABS(S118-S121),'IMP Table'!$A$2:$C$26,3)*SIGN(S118-S121),0)</f>
        <v/>
      </c>
      <c r="AI118">
        <f>IF(AND(ISNUMBER(S118),ISNUMBER(S122)),VLOOKUP(ABS(S118-S122),'IMP Table'!$A$2:$C$26,3)*SIGN(S118-S122),0)</f>
        <v/>
      </c>
      <c r="AJ118">
        <f>IF(AND(ISNUMBER(T118),ISNUMBER(T117)),VLOOKUP(ABS(T118-T117),'IMP Table'!$A$2:$C$26,3)*SIGN(T118-T117),0)</f>
        <v/>
      </c>
      <c r="AK118">
        <f>IF(AND(ISNUMBER(T118),ISNUMBER(T119)),VLOOKUP(ABS(T118-T119),'IMP Table'!$A$2:$C$26,3)*SIGN(T118-T119),0)</f>
        <v/>
      </c>
      <c r="AL118">
        <f>IF(AND(ISNUMBER(T118),ISNUMBER(T120)),VLOOKUP(ABS(T118-T120),'IMP Table'!$A$2:$C$26,3)*SIGN(T118-T120),0)</f>
        <v/>
      </c>
      <c r="AM118">
        <f>IF(AND(ISNUMBER(T118),ISNUMBER(T121)),VLOOKUP(ABS(T118-T121),'IMP Table'!$A$2:$C$26,3)*SIGN(T118-T121),0)</f>
        <v/>
      </c>
      <c r="AN118">
        <f>IF(AND(ISNUMBER(T118),ISNUMBER(T122)),VLOOKUP(ABS(T118-T122),'IMP Table'!$A$2:$C$26,3)*SIGN(T118-T122),0)</f>
        <v/>
      </c>
    </row>
    <row r="119">
      <c r="B119" s="10">
        <f>'By Round'!A15</f>
        <v/>
      </c>
      <c r="C119" s="10">
        <f>'By Round'!B23</f>
        <v/>
      </c>
      <c r="D119" s="10">
        <f>'By Round'!C23</f>
        <v/>
      </c>
      <c r="E119" s="10">
        <f>'By Round'!D23</f>
        <v/>
      </c>
      <c r="F119" s="10">
        <f>IF(ISBLANK('By Round'!F24),"",'By Round'!F24)</f>
        <v/>
      </c>
      <c r="G119">
        <f>IF(ISBLANK('By Round'!G24),"",'By Round'!G24)</f>
        <v/>
      </c>
      <c r="H119">
        <f>IF(ISBLANK('By Round'!H24),"",'By Round'!H24)</f>
        <v/>
      </c>
      <c r="I119">
        <f>IF(ISBLANK('By Round'!I24),"",'By Round'!I24)</f>
        <v/>
      </c>
      <c r="J119">
        <f>IF(ISBLANK('By Round'!J24),"",'By Round'!J24)</f>
        <v/>
      </c>
      <c r="K119">
        <f>IF(ISBLANK('By Round'!K24),"",'By Round'!K24)</f>
        <v/>
      </c>
      <c r="L119">
        <f>IF(ISBLANK('By Round'!L24),"",'By Round'!L24)</f>
        <v/>
      </c>
      <c r="M119" s="11">
        <f>AVERAGE(AE119:AI119)</f>
        <v/>
      </c>
      <c r="N119" s="12">
        <f>AVERAGE(AJ119:AN119)</f>
        <v/>
      </c>
      <c r="O119" s="13">
        <f>IF(COUNT(U119:Y119)&gt;0,Q119/COUNT(U119:Y119),0.5)</f>
        <v/>
      </c>
      <c r="P119" s="13">
        <f>IF(COUNT(Z119:AD119)&gt;0,R119/COUNT(Z119:AD119),0.5)</f>
        <v/>
      </c>
      <c r="Q119" s="5">
        <f>SUM(U119:Y119)</f>
        <v/>
      </c>
      <c r="R119" s="5">
        <f>SUM(Z119:AD119)</f>
        <v/>
      </c>
      <c r="S119" s="14">
        <f>IF(ISNUMBER(K119),K119,IF(ISNUMBER(L119),-L119,""))</f>
        <v/>
      </c>
      <c r="T119">
        <f>IF(ISNUMBER(L119),L119,IF(ISNUMBER(K119),-K119,""))</f>
        <v/>
      </c>
      <c r="U119" s="14">
        <f>IF(ISNUMBER(S119),IF(ISNUMBER(S117),IF(S119&gt;S117,1.0,IF(S119=S117,0.5,0.0)),""),"")</f>
        <v/>
      </c>
      <c r="V119">
        <f>IF(ISNUMBER(S119),IF(ISNUMBER(S118),IF(S119&gt;S118,1.0,IF(S119=S118,0.5,0.0)),""),"")</f>
        <v/>
      </c>
      <c r="W119">
        <f>IF(ISNUMBER(S119),IF(ISNUMBER(S120),IF(S119&gt;S120,1.0,IF(S119=S120,0.5,0.0)),""),"")</f>
        <v/>
      </c>
      <c r="X119">
        <f>IF(ISNUMBER(S119),IF(ISNUMBER(S121),IF(S119&gt;S121,1.0,IF(S119=S121,0.5,0.0)),""),"")</f>
        <v/>
      </c>
      <c r="Y119">
        <f>IF(ISNUMBER(S119),IF(ISNUMBER(S122),IF(S119&gt;S122,1.0,IF(S119=S122,0.5,0.0)),""),"")</f>
        <v/>
      </c>
      <c r="Z119">
        <f>IF(ISNUMBER(T119),IF(ISNUMBER(T117),IF(T119&gt;T117,1.0,IF(T119=T117,0.5,0.0)),""),"")</f>
        <v/>
      </c>
      <c r="AA119">
        <f>IF(ISNUMBER(T119),IF(ISNUMBER(T118),IF(T119&gt;T118,1.0,IF(T119=T118,0.5,0.0)),""),"")</f>
        <v/>
      </c>
      <c r="AB119">
        <f>IF(ISNUMBER(T119),IF(ISNUMBER(T120),IF(T119&gt;T120,1.0,IF(T119=T120,0.5,0.0)),""),"")</f>
        <v/>
      </c>
      <c r="AC119">
        <f>IF(ISNUMBER(T119),IF(ISNUMBER(T121),IF(T119&gt;T121,1.0,IF(T119=T121,0.5,0.0)),""),"")</f>
        <v/>
      </c>
      <c r="AD119">
        <f>IF(ISNUMBER(T119),IF(ISNUMBER(T122),IF(T119&gt;T122,1.0,IF(T119=T122,0.5,0.0)),""),"")</f>
        <v/>
      </c>
      <c r="AE119" s="14">
        <f>IF(AND(ISNUMBER(S119),ISNUMBER(S117)),VLOOKUP(ABS(S119-S117),'IMP Table'!$A$2:$C$26,3)*SIGN(S119-S117),0)</f>
        <v/>
      </c>
      <c r="AF119">
        <f>IF(AND(ISNUMBER(S119),ISNUMBER(S118)),VLOOKUP(ABS(S119-S118),'IMP Table'!$A$2:$C$26,3)*SIGN(S119-S118),0)</f>
        <v/>
      </c>
      <c r="AG119">
        <f>IF(AND(ISNUMBER(S119),ISNUMBER(S120)),VLOOKUP(ABS(S119-S120),'IMP Table'!$A$2:$C$26,3)*SIGN(S119-S120),0)</f>
        <v/>
      </c>
      <c r="AH119">
        <f>IF(AND(ISNUMBER(S119),ISNUMBER(S121)),VLOOKUP(ABS(S119-S121),'IMP Table'!$A$2:$C$26,3)*SIGN(S119-S121),0)</f>
        <v/>
      </c>
      <c r="AI119">
        <f>IF(AND(ISNUMBER(S119),ISNUMBER(S122)),VLOOKUP(ABS(S119-S122),'IMP Table'!$A$2:$C$26,3)*SIGN(S119-S122),0)</f>
        <v/>
      </c>
      <c r="AJ119">
        <f>IF(AND(ISNUMBER(T119),ISNUMBER(T117)),VLOOKUP(ABS(T119-T117),'IMP Table'!$A$2:$C$26,3)*SIGN(T119-T117),0)</f>
        <v/>
      </c>
      <c r="AK119">
        <f>IF(AND(ISNUMBER(T119),ISNUMBER(T118)),VLOOKUP(ABS(T119-T118),'IMP Table'!$A$2:$C$26,3)*SIGN(T119-T118),0)</f>
        <v/>
      </c>
      <c r="AL119">
        <f>IF(AND(ISNUMBER(T119),ISNUMBER(T120)),VLOOKUP(ABS(T119-T120),'IMP Table'!$A$2:$C$26,3)*SIGN(T119-T120),0)</f>
        <v/>
      </c>
      <c r="AM119">
        <f>IF(AND(ISNUMBER(T119),ISNUMBER(T121)),VLOOKUP(ABS(T119-T121),'IMP Table'!$A$2:$C$26,3)*SIGN(T119-T121),0)</f>
        <v/>
      </c>
      <c r="AN119">
        <f>IF(AND(ISNUMBER(T119),ISNUMBER(T122)),VLOOKUP(ABS(T119-T122),'IMP Table'!$A$2:$C$26,3)*SIGN(T119-T122),0)</f>
        <v/>
      </c>
    </row>
    <row r="120">
      <c r="B120" s="10">
        <f>'By Round'!A27</f>
        <v/>
      </c>
      <c r="C120" s="10">
        <f>'By Round'!B33</f>
        <v/>
      </c>
      <c r="D120" s="10">
        <f>'By Round'!C33</f>
        <v/>
      </c>
      <c r="E120" s="10">
        <f>'By Round'!D33</f>
        <v/>
      </c>
      <c r="F120" s="10">
        <f>IF(ISBLANK('By Round'!F34),"",'By Round'!F34)</f>
        <v/>
      </c>
      <c r="G120">
        <f>IF(ISBLANK('By Round'!G34),"",'By Round'!G34)</f>
        <v/>
      </c>
      <c r="H120">
        <f>IF(ISBLANK('By Round'!H34),"",'By Round'!H34)</f>
        <v/>
      </c>
      <c r="I120">
        <f>IF(ISBLANK('By Round'!I34),"",'By Round'!I34)</f>
        <v/>
      </c>
      <c r="J120">
        <f>IF(ISBLANK('By Round'!J34),"",'By Round'!J34)</f>
        <v/>
      </c>
      <c r="K120">
        <f>IF(ISBLANK('By Round'!K34),"",'By Round'!K34)</f>
        <v/>
      </c>
      <c r="L120">
        <f>IF(ISBLANK('By Round'!L34),"",'By Round'!L34)</f>
        <v/>
      </c>
      <c r="M120" s="11">
        <f>AVERAGE(AE120:AI120)</f>
        <v/>
      </c>
      <c r="N120" s="12">
        <f>AVERAGE(AJ120:AN120)</f>
        <v/>
      </c>
      <c r="O120" s="13">
        <f>IF(COUNT(U120:Y120)&gt;0,Q120/COUNT(U120:Y120),0.5)</f>
        <v/>
      </c>
      <c r="P120" s="13">
        <f>IF(COUNT(Z120:AD120)&gt;0,R120/COUNT(Z120:AD120),0.5)</f>
        <v/>
      </c>
      <c r="Q120" s="5">
        <f>SUM(U120:Y120)</f>
        <v/>
      </c>
      <c r="R120" s="5">
        <f>SUM(Z120:AD120)</f>
        <v/>
      </c>
      <c r="S120" s="14">
        <f>IF(ISNUMBER(K120),K120,IF(ISNUMBER(L120),-L120,""))</f>
        <v/>
      </c>
      <c r="T120">
        <f>IF(ISNUMBER(L120),L120,IF(ISNUMBER(K120),-K120,""))</f>
        <v/>
      </c>
      <c r="U120" s="14">
        <f>IF(ISNUMBER(S120),IF(ISNUMBER(S117),IF(S120&gt;S117,1.0,IF(S120=S117,0.5,0.0)),""),"")</f>
        <v/>
      </c>
      <c r="V120">
        <f>IF(ISNUMBER(S120),IF(ISNUMBER(S118),IF(S120&gt;S118,1.0,IF(S120=S118,0.5,0.0)),""),"")</f>
        <v/>
      </c>
      <c r="W120">
        <f>IF(ISNUMBER(S120),IF(ISNUMBER(S119),IF(S120&gt;S119,1.0,IF(S120=S119,0.5,0.0)),""),"")</f>
        <v/>
      </c>
      <c r="X120">
        <f>IF(ISNUMBER(S120),IF(ISNUMBER(S121),IF(S120&gt;S121,1.0,IF(S120=S121,0.5,0.0)),""),"")</f>
        <v/>
      </c>
      <c r="Y120">
        <f>IF(ISNUMBER(S120),IF(ISNUMBER(S122),IF(S120&gt;S122,1.0,IF(S120=S122,0.5,0.0)),""),"")</f>
        <v/>
      </c>
      <c r="Z120">
        <f>IF(ISNUMBER(T120),IF(ISNUMBER(T117),IF(T120&gt;T117,1.0,IF(T120=T117,0.5,0.0)),""),"")</f>
        <v/>
      </c>
      <c r="AA120">
        <f>IF(ISNUMBER(T120),IF(ISNUMBER(T118),IF(T120&gt;T118,1.0,IF(T120=T118,0.5,0.0)),""),"")</f>
        <v/>
      </c>
      <c r="AB120">
        <f>IF(ISNUMBER(T120),IF(ISNUMBER(T119),IF(T120&gt;T119,1.0,IF(T120=T119,0.5,0.0)),""),"")</f>
        <v/>
      </c>
      <c r="AC120">
        <f>IF(ISNUMBER(T120),IF(ISNUMBER(T121),IF(T120&gt;T121,1.0,IF(T120=T121,0.5,0.0)),""),"")</f>
        <v/>
      </c>
      <c r="AD120">
        <f>IF(ISNUMBER(T120),IF(ISNUMBER(T122),IF(T120&gt;T122,1.0,IF(T120=T122,0.5,0.0)),""),"")</f>
        <v/>
      </c>
      <c r="AE120" s="14">
        <f>IF(AND(ISNUMBER(S120),ISNUMBER(S117)),VLOOKUP(ABS(S120-S117),'IMP Table'!$A$2:$C$26,3)*SIGN(S120-S117),0)</f>
        <v/>
      </c>
      <c r="AF120">
        <f>IF(AND(ISNUMBER(S120),ISNUMBER(S118)),VLOOKUP(ABS(S120-S118),'IMP Table'!$A$2:$C$26,3)*SIGN(S120-S118),0)</f>
        <v/>
      </c>
      <c r="AG120">
        <f>IF(AND(ISNUMBER(S120),ISNUMBER(S119)),VLOOKUP(ABS(S120-S119),'IMP Table'!$A$2:$C$26,3)*SIGN(S120-S119),0)</f>
        <v/>
      </c>
      <c r="AH120">
        <f>IF(AND(ISNUMBER(S120),ISNUMBER(S121)),VLOOKUP(ABS(S120-S121),'IMP Table'!$A$2:$C$26,3)*SIGN(S120-S121),0)</f>
        <v/>
      </c>
      <c r="AI120">
        <f>IF(AND(ISNUMBER(S120),ISNUMBER(S122)),VLOOKUP(ABS(S120-S122),'IMP Table'!$A$2:$C$26,3)*SIGN(S120-S122),0)</f>
        <v/>
      </c>
      <c r="AJ120">
        <f>IF(AND(ISNUMBER(T120),ISNUMBER(T117)),VLOOKUP(ABS(T120-T117),'IMP Table'!$A$2:$C$26,3)*SIGN(T120-T117),0)</f>
        <v/>
      </c>
      <c r="AK120">
        <f>IF(AND(ISNUMBER(T120),ISNUMBER(T118)),VLOOKUP(ABS(T120-T118),'IMP Table'!$A$2:$C$26,3)*SIGN(T120-T118),0)</f>
        <v/>
      </c>
      <c r="AL120">
        <f>IF(AND(ISNUMBER(T120),ISNUMBER(T119)),VLOOKUP(ABS(T120-T119),'IMP Table'!$A$2:$C$26,3)*SIGN(T120-T119),0)</f>
        <v/>
      </c>
      <c r="AM120">
        <f>IF(AND(ISNUMBER(T120),ISNUMBER(T121)),VLOOKUP(ABS(T120-T121),'IMP Table'!$A$2:$C$26,3)*SIGN(T120-T121),0)</f>
        <v/>
      </c>
      <c r="AN120">
        <f>IF(AND(ISNUMBER(T120),ISNUMBER(T122)),VLOOKUP(ABS(T120-T122),'IMP Table'!$A$2:$C$26,3)*SIGN(T120-T122),0)</f>
        <v/>
      </c>
    </row>
    <row r="121">
      <c r="B121" s="10">
        <f>'By Round'!A63</f>
        <v/>
      </c>
      <c r="C121" s="10">
        <f>'By Round'!B65</f>
        <v/>
      </c>
      <c r="D121" s="10">
        <f>'By Round'!C65</f>
        <v/>
      </c>
      <c r="E121" s="10">
        <f>'By Round'!D65</f>
        <v/>
      </c>
      <c r="F121" s="10">
        <f>IF(ISBLANK('By Round'!F66),"",'By Round'!F66)</f>
        <v/>
      </c>
      <c r="G121">
        <f>IF(ISBLANK('By Round'!G66),"",'By Round'!G66)</f>
        <v/>
      </c>
      <c r="H121">
        <f>IF(ISBLANK('By Round'!H66),"",'By Round'!H66)</f>
        <v/>
      </c>
      <c r="I121">
        <f>IF(ISBLANK('By Round'!I66),"",'By Round'!I66)</f>
        <v/>
      </c>
      <c r="J121">
        <f>IF(ISBLANK('By Round'!J66),"",'By Round'!J66)</f>
        <v/>
      </c>
      <c r="K121">
        <f>IF(ISBLANK('By Round'!K66),"",'By Round'!K66)</f>
        <v/>
      </c>
      <c r="L121">
        <f>IF(ISBLANK('By Round'!L66),"",'By Round'!L66)</f>
        <v/>
      </c>
      <c r="M121" s="11">
        <f>AVERAGE(AE121:AI121)</f>
        <v/>
      </c>
      <c r="N121" s="12">
        <f>AVERAGE(AJ121:AN121)</f>
        <v/>
      </c>
      <c r="O121" s="13">
        <f>IF(COUNT(U121:Y121)&gt;0,Q121/COUNT(U121:Y121),0.5)</f>
        <v/>
      </c>
      <c r="P121" s="13">
        <f>IF(COUNT(Z121:AD121)&gt;0,R121/COUNT(Z121:AD121),0.5)</f>
        <v/>
      </c>
      <c r="Q121" s="5">
        <f>SUM(U121:Y121)</f>
        <v/>
      </c>
      <c r="R121" s="5">
        <f>SUM(Z121:AD121)</f>
        <v/>
      </c>
      <c r="S121" s="14">
        <f>IF(ISNUMBER(K121),K121,IF(ISNUMBER(L121),-L121,""))</f>
        <v/>
      </c>
      <c r="T121">
        <f>IF(ISNUMBER(L121),L121,IF(ISNUMBER(K121),-K121,""))</f>
        <v/>
      </c>
      <c r="U121" s="14">
        <f>IF(ISNUMBER(S121),IF(ISNUMBER(S117),IF(S121&gt;S117,1.0,IF(S121=S117,0.5,0.0)),""),"")</f>
        <v/>
      </c>
      <c r="V121">
        <f>IF(ISNUMBER(S121),IF(ISNUMBER(S118),IF(S121&gt;S118,1.0,IF(S121=S118,0.5,0.0)),""),"")</f>
        <v/>
      </c>
      <c r="W121">
        <f>IF(ISNUMBER(S121),IF(ISNUMBER(S119),IF(S121&gt;S119,1.0,IF(S121=S119,0.5,0.0)),""),"")</f>
        <v/>
      </c>
      <c r="X121">
        <f>IF(ISNUMBER(S121),IF(ISNUMBER(S120),IF(S121&gt;S120,1.0,IF(S121=S120,0.5,0.0)),""),"")</f>
        <v/>
      </c>
      <c r="Y121">
        <f>IF(ISNUMBER(S121),IF(ISNUMBER(S122),IF(S121&gt;S122,1.0,IF(S121=S122,0.5,0.0)),""),"")</f>
        <v/>
      </c>
      <c r="Z121">
        <f>IF(ISNUMBER(T121),IF(ISNUMBER(T117),IF(T121&gt;T117,1.0,IF(T121=T117,0.5,0.0)),""),"")</f>
        <v/>
      </c>
      <c r="AA121">
        <f>IF(ISNUMBER(T121),IF(ISNUMBER(T118),IF(T121&gt;T118,1.0,IF(T121=T118,0.5,0.0)),""),"")</f>
        <v/>
      </c>
      <c r="AB121">
        <f>IF(ISNUMBER(T121),IF(ISNUMBER(T119),IF(T121&gt;T119,1.0,IF(T121=T119,0.5,0.0)),""),"")</f>
        <v/>
      </c>
      <c r="AC121">
        <f>IF(ISNUMBER(T121),IF(ISNUMBER(T120),IF(T121&gt;T120,1.0,IF(T121=T120,0.5,0.0)),""),"")</f>
        <v/>
      </c>
      <c r="AD121">
        <f>IF(ISNUMBER(T121),IF(ISNUMBER(T122),IF(T121&gt;T122,1.0,IF(T121=T122,0.5,0.0)),""),"")</f>
        <v/>
      </c>
      <c r="AE121" s="14">
        <f>IF(AND(ISNUMBER(S121),ISNUMBER(S117)),VLOOKUP(ABS(S121-S117),'IMP Table'!$A$2:$C$26,3)*SIGN(S121-S117),0)</f>
        <v/>
      </c>
      <c r="AF121">
        <f>IF(AND(ISNUMBER(S121),ISNUMBER(S118)),VLOOKUP(ABS(S121-S118),'IMP Table'!$A$2:$C$26,3)*SIGN(S121-S118),0)</f>
        <v/>
      </c>
      <c r="AG121">
        <f>IF(AND(ISNUMBER(S121),ISNUMBER(S119)),VLOOKUP(ABS(S121-S119),'IMP Table'!$A$2:$C$26,3)*SIGN(S121-S119),0)</f>
        <v/>
      </c>
      <c r="AH121">
        <f>IF(AND(ISNUMBER(S121),ISNUMBER(S120)),VLOOKUP(ABS(S121-S120),'IMP Table'!$A$2:$C$26,3)*SIGN(S121-S120),0)</f>
        <v/>
      </c>
      <c r="AI121">
        <f>IF(AND(ISNUMBER(S121),ISNUMBER(S122)),VLOOKUP(ABS(S121-S122),'IMP Table'!$A$2:$C$26,3)*SIGN(S121-S122),0)</f>
        <v/>
      </c>
      <c r="AJ121">
        <f>IF(AND(ISNUMBER(T121),ISNUMBER(T117)),VLOOKUP(ABS(T121-T117),'IMP Table'!$A$2:$C$26,3)*SIGN(T121-T117),0)</f>
        <v/>
      </c>
      <c r="AK121">
        <f>IF(AND(ISNUMBER(T121),ISNUMBER(T118)),VLOOKUP(ABS(T121-T118),'IMP Table'!$A$2:$C$26,3)*SIGN(T121-T118),0)</f>
        <v/>
      </c>
      <c r="AL121">
        <f>IF(AND(ISNUMBER(T121),ISNUMBER(T119)),VLOOKUP(ABS(T121-T119),'IMP Table'!$A$2:$C$26,3)*SIGN(T121-T119),0)</f>
        <v/>
      </c>
      <c r="AM121">
        <f>IF(AND(ISNUMBER(T121),ISNUMBER(T120)),VLOOKUP(ABS(T121-T120),'IMP Table'!$A$2:$C$26,3)*SIGN(T121-T120),0)</f>
        <v/>
      </c>
      <c r="AN121">
        <f>IF(AND(ISNUMBER(T121),ISNUMBER(T122)),VLOOKUP(ABS(T121-T122),'IMP Table'!$A$2:$C$26,3)*SIGN(T121-T122),0)</f>
        <v/>
      </c>
    </row>
    <row r="122">
      <c r="A122" s="15" t="n"/>
      <c r="B122" s="16">
        <f>'By Round'!A3</f>
        <v/>
      </c>
      <c r="C122" s="16">
        <f>'By Round'!B13</f>
        <v/>
      </c>
      <c r="D122" s="16">
        <f>'By Round'!C13</f>
        <v/>
      </c>
      <c r="E122" s="16">
        <f>'By Round'!D13</f>
        <v/>
      </c>
      <c r="F122" s="16">
        <f>IF(ISBLANK('By Round'!F14),"",'By Round'!F14)</f>
        <v/>
      </c>
      <c r="G122" s="15">
        <f>IF(ISBLANK('By Round'!G14),"",'By Round'!G14)</f>
        <v/>
      </c>
      <c r="H122" s="15">
        <f>IF(ISBLANK('By Round'!H14),"",'By Round'!H14)</f>
        <v/>
      </c>
      <c r="I122" s="15">
        <f>IF(ISBLANK('By Round'!I14),"",'By Round'!I14)</f>
        <v/>
      </c>
      <c r="J122" s="15">
        <f>IF(ISBLANK('By Round'!J14),"",'By Round'!J14)</f>
        <v/>
      </c>
      <c r="K122" s="15">
        <f>IF(ISBLANK('By Round'!K14),"",'By Round'!K14)</f>
        <v/>
      </c>
      <c r="L122" s="15">
        <f>IF(ISBLANK('By Round'!L14),"",'By Round'!L14)</f>
        <v/>
      </c>
      <c r="M122" s="17">
        <f>AVERAGE(AE122:AI122)</f>
        <v/>
      </c>
      <c r="N122" s="18">
        <f>AVERAGE(AJ122:AN122)</f>
        <v/>
      </c>
      <c r="O122" s="19">
        <f>IF(COUNT(U122:Y122)&gt;0,Q122/COUNT(U122:Y122),0.5)</f>
        <v/>
      </c>
      <c r="P122" s="19">
        <f>IF(COUNT(Z122:AD122)&gt;0,R122/COUNT(Z122:AD122),0.5)</f>
        <v/>
      </c>
      <c r="Q122" s="20">
        <f>SUM(U122:Y122)</f>
        <v/>
      </c>
      <c r="R122" s="20">
        <f>SUM(Z122:AD122)</f>
        <v/>
      </c>
      <c r="S122" s="21">
        <f>IF(ISNUMBER(K122),K122,IF(ISNUMBER(L122),-L122,""))</f>
        <v/>
      </c>
      <c r="T122" s="15">
        <f>IF(ISNUMBER(L122),L122,IF(ISNUMBER(K122),-K122,""))</f>
        <v/>
      </c>
      <c r="U122" s="21">
        <f>IF(ISNUMBER(S122),IF(ISNUMBER(S117),IF(S122&gt;S117,1.0,IF(S122=S117,0.5,0.0)),""),"")</f>
        <v/>
      </c>
      <c r="V122" s="15">
        <f>IF(ISNUMBER(S122),IF(ISNUMBER(S118),IF(S122&gt;S118,1.0,IF(S122=S118,0.5,0.0)),""),"")</f>
        <v/>
      </c>
      <c r="W122" s="15">
        <f>IF(ISNUMBER(S122),IF(ISNUMBER(S119),IF(S122&gt;S119,1.0,IF(S122=S119,0.5,0.0)),""),"")</f>
        <v/>
      </c>
      <c r="X122" s="15">
        <f>IF(ISNUMBER(S122),IF(ISNUMBER(S120),IF(S122&gt;S120,1.0,IF(S122=S120,0.5,0.0)),""),"")</f>
        <v/>
      </c>
      <c r="Y122" s="15">
        <f>IF(ISNUMBER(S122),IF(ISNUMBER(S121),IF(S122&gt;S121,1.0,IF(S122=S121,0.5,0.0)),""),"")</f>
        <v/>
      </c>
      <c r="Z122" s="15">
        <f>IF(ISNUMBER(T122),IF(ISNUMBER(T117),IF(T122&gt;T117,1.0,IF(T122=T117,0.5,0.0)),""),"")</f>
        <v/>
      </c>
      <c r="AA122" s="15">
        <f>IF(ISNUMBER(T122),IF(ISNUMBER(T118),IF(T122&gt;T118,1.0,IF(T122=T118,0.5,0.0)),""),"")</f>
        <v/>
      </c>
      <c r="AB122" s="15">
        <f>IF(ISNUMBER(T122),IF(ISNUMBER(T119),IF(T122&gt;T119,1.0,IF(T122=T119,0.5,0.0)),""),"")</f>
        <v/>
      </c>
      <c r="AC122" s="15">
        <f>IF(ISNUMBER(T122),IF(ISNUMBER(T120),IF(T122&gt;T120,1.0,IF(T122=T120,0.5,0.0)),""),"")</f>
        <v/>
      </c>
      <c r="AD122" s="15">
        <f>IF(ISNUMBER(T122),IF(ISNUMBER(T121),IF(T122&gt;T121,1.0,IF(T122=T121,0.5,0.0)),""),"")</f>
        <v/>
      </c>
      <c r="AE122" s="21">
        <f>IF(AND(ISNUMBER(S122),ISNUMBER(S117)),VLOOKUP(ABS(S122-S117),'IMP Table'!$A$2:$C$26,3)*SIGN(S122-S117),0)</f>
        <v/>
      </c>
      <c r="AF122" s="15">
        <f>IF(AND(ISNUMBER(S122),ISNUMBER(S118)),VLOOKUP(ABS(S122-S118),'IMP Table'!$A$2:$C$26,3)*SIGN(S122-S118),0)</f>
        <v/>
      </c>
      <c r="AG122" s="15">
        <f>IF(AND(ISNUMBER(S122),ISNUMBER(S119)),VLOOKUP(ABS(S122-S119),'IMP Table'!$A$2:$C$26,3)*SIGN(S122-S119),0)</f>
        <v/>
      </c>
      <c r="AH122" s="15">
        <f>IF(AND(ISNUMBER(S122),ISNUMBER(S120)),VLOOKUP(ABS(S122-S120),'IMP Table'!$A$2:$C$26,3)*SIGN(S122-S120),0)</f>
        <v/>
      </c>
      <c r="AI122" s="15">
        <f>IF(AND(ISNUMBER(S122),ISNUMBER(S121)),VLOOKUP(ABS(S122-S121),'IMP Table'!$A$2:$C$26,3)*SIGN(S122-S121),0)</f>
        <v/>
      </c>
      <c r="AJ122" s="15">
        <f>IF(AND(ISNUMBER(T122),ISNUMBER(T117)),VLOOKUP(ABS(T122-T117),'IMP Table'!$A$2:$C$26,3)*SIGN(T122-T117),0)</f>
        <v/>
      </c>
      <c r="AK122" s="15">
        <f>IF(AND(ISNUMBER(T122),ISNUMBER(T118)),VLOOKUP(ABS(T122-T118),'IMP Table'!$A$2:$C$26,3)*SIGN(T122-T118),0)</f>
        <v/>
      </c>
      <c r="AL122" s="15">
        <f>IF(AND(ISNUMBER(T122),ISNUMBER(T119)),VLOOKUP(ABS(T122-T119),'IMP Table'!$A$2:$C$26,3)*SIGN(T122-T119),0)</f>
        <v/>
      </c>
      <c r="AM122" s="15">
        <f>IF(AND(ISNUMBER(T122),ISNUMBER(T120)),VLOOKUP(ABS(T122-T120),'IMP Table'!$A$2:$C$26,3)*SIGN(T122-T120),0)</f>
        <v/>
      </c>
      <c r="AN122" s="15">
        <f>IF(AND(ISNUMBER(T122),ISNUMBER(T121)),VLOOKUP(ABS(T122-T121),'IMP Table'!$A$2:$C$26,3)*SIGN(T122-T121),0)</f>
        <v/>
      </c>
    </row>
    <row r="123">
      <c r="A123" s="10" t="n">
        <v>21</v>
      </c>
      <c r="B123" s="10">
        <f>'By Round'!A123</f>
        <v/>
      </c>
      <c r="C123" s="10">
        <f>'By Round'!B123</f>
        <v/>
      </c>
      <c r="D123" s="10">
        <f>'By Round'!C123</f>
        <v/>
      </c>
      <c r="E123" s="10">
        <f>'By Round'!D123</f>
        <v/>
      </c>
      <c r="F123" s="10">
        <f>IF(ISBLANK('By Round'!F123),"",'By Round'!F123)</f>
        <v/>
      </c>
      <c r="G123">
        <f>IF(ISBLANK('By Round'!G123),"",'By Round'!G123)</f>
        <v/>
      </c>
      <c r="H123">
        <f>IF(ISBLANK('By Round'!H123),"",'By Round'!H123)</f>
        <v/>
      </c>
      <c r="I123">
        <f>IF(ISBLANK('By Round'!I123),"",'By Round'!I123)</f>
        <v/>
      </c>
      <c r="J123">
        <f>IF(ISBLANK('By Round'!J123),"",'By Round'!J123)</f>
        <v/>
      </c>
      <c r="K123">
        <f>IF(ISBLANK('By Round'!K123),"",'By Round'!K123)</f>
        <v/>
      </c>
      <c r="L123">
        <f>IF(ISBLANK('By Round'!L123),"",'By Round'!L123)</f>
        <v/>
      </c>
      <c r="M123" s="11">
        <f>AVERAGE(AE123:AI123)</f>
        <v/>
      </c>
      <c r="N123" s="12">
        <f>AVERAGE(AJ123:AN123)</f>
        <v/>
      </c>
      <c r="O123" s="13">
        <f>IF(COUNT(U123:Y123)&gt;0,Q123/COUNT(U123:Y123),0.5)</f>
        <v/>
      </c>
      <c r="P123" s="13">
        <f>IF(COUNT(Z123:AD123)&gt;0,R123/COUNT(Z123:AD123),0.5)</f>
        <v/>
      </c>
      <c r="Q123" s="5">
        <f>SUM(U123:Y123)</f>
        <v/>
      </c>
      <c r="R123" s="5">
        <f>SUM(Z123:AD123)</f>
        <v/>
      </c>
      <c r="S123" s="14">
        <f>IF(ISNUMBER(K123),K123,IF(ISNUMBER(L123),-L123,""))</f>
        <v/>
      </c>
      <c r="T123">
        <f>IF(ISNUMBER(L123),L123,IF(ISNUMBER(K123),-K123,""))</f>
        <v/>
      </c>
      <c r="U123" s="14">
        <f>IF(ISNUMBER(S123),IF(ISNUMBER(S124),IF(S123&gt;S124,1.0,IF(S123=S124,0.5,0.0)),""),"")</f>
        <v/>
      </c>
      <c r="V123">
        <f>IF(ISNUMBER(S123),IF(ISNUMBER(S125),IF(S123&gt;S125,1.0,IF(S123=S125,0.5,0.0)),""),"")</f>
        <v/>
      </c>
      <c r="W123">
        <f>IF(ISNUMBER(S123),IF(ISNUMBER(S126),IF(S123&gt;S126,1.0,IF(S123=S126,0.5,0.0)),""),"")</f>
        <v/>
      </c>
      <c r="X123">
        <f>IF(ISNUMBER(S123),IF(ISNUMBER(S127),IF(S123&gt;S127,1.0,IF(S123=S127,0.5,0.0)),""),"")</f>
        <v/>
      </c>
      <c r="Y123">
        <f>IF(ISNUMBER(S123),IF(ISNUMBER(S128),IF(S123&gt;S128,1.0,IF(S123=S128,0.5,0.0)),""),"")</f>
        <v/>
      </c>
      <c r="Z123">
        <f>IF(ISNUMBER(T123),IF(ISNUMBER(T124),IF(T123&gt;T124,1.0,IF(T123=T124,0.5,0.0)),""),"")</f>
        <v/>
      </c>
      <c r="AA123">
        <f>IF(ISNUMBER(T123),IF(ISNUMBER(T125),IF(T123&gt;T125,1.0,IF(T123=T125,0.5,0.0)),""),"")</f>
        <v/>
      </c>
      <c r="AB123">
        <f>IF(ISNUMBER(T123),IF(ISNUMBER(T126),IF(T123&gt;T126,1.0,IF(T123=T126,0.5,0.0)),""),"")</f>
        <v/>
      </c>
      <c r="AC123">
        <f>IF(ISNUMBER(T123),IF(ISNUMBER(T127),IF(T123&gt;T127,1.0,IF(T123=T127,0.5,0.0)),""),"")</f>
        <v/>
      </c>
      <c r="AD123">
        <f>IF(ISNUMBER(T123),IF(ISNUMBER(T128),IF(T123&gt;T128,1.0,IF(T123=T128,0.5,0.0)),""),"")</f>
        <v/>
      </c>
      <c r="AE123" s="14">
        <f>IF(AND(ISNUMBER(S123),ISNUMBER(S124)),VLOOKUP(ABS(S123-S124),'IMP Table'!$A$2:$C$26,3)*SIGN(S123-S124),0)</f>
        <v/>
      </c>
      <c r="AF123">
        <f>IF(AND(ISNUMBER(S123),ISNUMBER(S125)),VLOOKUP(ABS(S123-S125),'IMP Table'!$A$2:$C$26,3)*SIGN(S123-S125),0)</f>
        <v/>
      </c>
      <c r="AG123">
        <f>IF(AND(ISNUMBER(S123),ISNUMBER(S126)),VLOOKUP(ABS(S123-S126),'IMP Table'!$A$2:$C$26,3)*SIGN(S123-S126),0)</f>
        <v/>
      </c>
      <c r="AH123">
        <f>IF(AND(ISNUMBER(S123),ISNUMBER(S127)),VLOOKUP(ABS(S123-S127),'IMP Table'!$A$2:$C$26,3)*SIGN(S123-S127),0)</f>
        <v/>
      </c>
      <c r="AI123">
        <f>IF(AND(ISNUMBER(S123),ISNUMBER(S128)),VLOOKUP(ABS(S123-S128),'IMP Table'!$A$2:$C$26,3)*SIGN(S123-S128),0)</f>
        <v/>
      </c>
      <c r="AJ123">
        <f>IF(AND(ISNUMBER(T123),ISNUMBER(T124)),VLOOKUP(ABS(T123-T124),'IMP Table'!$A$2:$C$26,3)*SIGN(T123-T124),0)</f>
        <v/>
      </c>
      <c r="AK123">
        <f>IF(AND(ISNUMBER(T123),ISNUMBER(T125)),VLOOKUP(ABS(T123-T125),'IMP Table'!$A$2:$C$26,3)*SIGN(T123-T125),0)</f>
        <v/>
      </c>
      <c r="AL123">
        <f>IF(AND(ISNUMBER(T123),ISNUMBER(T126)),VLOOKUP(ABS(T123-T126),'IMP Table'!$A$2:$C$26,3)*SIGN(T123-T126),0)</f>
        <v/>
      </c>
      <c r="AM123">
        <f>IF(AND(ISNUMBER(T123),ISNUMBER(T127)),VLOOKUP(ABS(T123-T127),'IMP Table'!$A$2:$C$26,3)*SIGN(T123-T127),0)</f>
        <v/>
      </c>
      <c r="AN123">
        <f>IF(AND(ISNUMBER(T123),ISNUMBER(T128)),VLOOKUP(ABS(T123-T128),'IMP Table'!$A$2:$C$26,3)*SIGN(T123-T128),0)</f>
        <v/>
      </c>
    </row>
    <row r="124">
      <c r="B124" s="10">
        <f>'By Round'!A63</f>
        <v/>
      </c>
      <c r="C124" s="10">
        <f>'By Round'!B67</f>
        <v/>
      </c>
      <c r="D124" s="10">
        <f>'By Round'!C67</f>
        <v/>
      </c>
      <c r="E124" s="10">
        <f>'By Round'!D67</f>
        <v/>
      </c>
      <c r="F124" s="10">
        <f>IF(ISBLANK('By Round'!F67),"",'By Round'!F67)</f>
        <v/>
      </c>
      <c r="G124">
        <f>IF(ISBLANK('By Round'!G67),"",'By Round'!G67)</f>
        <v/>
      </c>
      <c r="H124">
        <f>IF(ISBLANK('By Round'!H67),"",'By Round'!H67)</f>
        <v/>
      </c>
      <c r="I124">
        <f>IF(ISBLANK('By Round'!I67),"",'By Round'!I67)</f>
        <v/>
      </c>
      <c r="J124">
        <f>IF(ISBLANK('By Round'!J67),"",'By Round'!J67)</f>
        <v/>
      </c>
      <c r="K124">
        <f>IF(ISBLANK('By Round'!K67),"",'By Round'!K67)</f>
        <v/>
      </c>
      <c r="L124">
        <f>IF(ISBLANK('By Round'!L67),"",'By Round'!L67)</f>
        <v/>
      </c>
      <c r="M124" s="11">
        <f>AVERAGE(AE124:AI124)</f>
        <v/>
      </c>
      <c r="N124" s="12">
        <f>AVERAGE(AJ124:AN124)</f>
        <v/>
      </c>
      <c r="O124" s="13">
        <f>IF(COUNT(U124:Y124)&gt;0,Q124/COUNT(U124:Y124),0.5)</f>
        <v/>
      </c>
      <c r="P124" s="13">
        <f>IF(COUNT(Z124:AD124)&gt;0,R124/COUNT(Z124:AD124),0.5)</f>
        <v/>
      </c>
      <c r="Q124" s="5">
        <f>SUM(U124:Y124)</f>
        <v/>
      </c>
      <c r="R124" s="5">
        <f>SUM(Z124:AD124)</f>
        <v/>
      </c>
      <c r="S124" s="14">
        <f>IF(ISNUMBER(K124),K124,IF(ISNUMBER(L124),-L124,""))</f>
        <v/>
      </c>
      <c r="T124">
        <f>IF(ISNUMBER(L124),L124,IF(ISNUMBER(K124),-K124,""))</f>
        <v/>
      </c>
      <c r="U124" s="14">
        <f>IF(ISNUMBER(S124),IF(ISNUMBER(S123),IF(S124&gt;S123,1.0,IF(S124=S123,0.5,0.0)),""),"")</f>
        <v/>
      </c>
      <c r="V124">
        <f>IF(ISNUMBER(S124),IF(ISNUMBER(S125),IF(S124&gt;S125,1.0,IF(S124=S125,0.5,0.0)),""),"")</f>
        <v/>
      </c>
      <c r="W124">
        <f>IF(ISNUMBER(S124),IF(ISNUMBER(S126),IF(S124&gt;S126,1.0,IF(S124=S126,0.5,0.0)),""),"")</f>
        <v/>
      </c>
      <c r="X124">
        <f>IF(ISNUMBER(S124),IF(ISNUMBER(S127),IF(S124&gt;S127,1.0,IF(S124=S127,0.5,0.0)),""),"")</f>
        <v/>
      </c>
      <c r="Y124">
        <f>IF(ISNUMBER(S124),IF(ISNUMBER(S128),IF(S124&gt;S128,1.0,IF(S124=S128,0.5,0.0)),""),"")</f>
        <v/>
      </c>
      <c r="Z124">
        <f>IF(ISNUMBER(T124),IF(ISNUMBER(T123),IF(T124&gt;T123,1.0,IF(T124=T123,0.5,0.0)),""),"")</f>
        <v/>
      </c>
      <c r="AA124">
        <f>IF(ISNUMBER(T124),IF(ISNUMBER(T125),IF(T124&gt;T125,1.0,IF(T124=T125,0.5,0.0)),""),"")</f>
        <v/>
      </c>
      <c r="AB124">
        <f>IF(ISNUMBER(T124),IF(ISNUMBER(T126),IF(T124&gt;T126,1.0,IF(T124=T126,0.5,0.0)),""),"")</f>
        <v/>
      </c>
      <c r="AC124">
        <f>IF(ISNUMBER(T124),IF(ISNUMBER(T127),IF(T124&gt;T127,1.0,IF(T124=T127,0.5,0.0)),""),"")</f>
        <v/>
      </c>
      <c r="AD124">
        <f>IF(ISNUMBER(T124),IF(ISNUMBER(T128),IF(T124&gt;T128,1.0,IF(T124=T128,0.5,0.0)),""),"")</f>
        <v/>
      </c>
      <c r="AE124" s="14">
        <f>IF(AND(ISNUMBER(S124),ISNUMBER(S123)),VLOOKUP(ABS(S124-S123),'IMP Table'!$A$2:$C$26,3)*SIGN(S124-S123),0)</f>
        <v/>
      </c>
      <c r="AF124">
        <f>IF(AND(ISNUMBER(S124),ISNUMBER(S125)),VLOOKUP(ABS(S124-S125),'IMP Table'!$A$2:$C$26,3)*SIGN(S124-S125),0)</f>
        <v/>
      </c>
      <c r="AG124">
        <f>IF(AND(ISNUMBER(S124),ISNUMBER(S126)),VLOOKUP(ABS(S124-S126),'IMP Table'!$A$2:$C$26,3)*SIGN(S124-S126),0)</f>
        <v/>
      </c>
      <c r="AH124">
        <f>IF(AND(ISNUMBER(S124),ISNUMBER(S127)),VLOOKUP(ABS(S124-S127),'IMP Table'!$A$2:$C$26,3)*SIGN(S124-S127),0)</f>
        <v/>
      </c>
      <c r="AI124">
        <f>IF(AND(ISNUMBER(S124),ISNUMBER(S128)),VLOOKUP(ABS(S124-S128),'IMP Table'!$A$2:$C$26,3)*SIGN(S124-S128),0)</f>
        <v/>
      </c>
      <c r="AJ124">
        <f>IF(AND(ISNUMBER(T124),ISNUMBER(T123)),VLOOKUP(ABS(T124-T123),'IMP Table'!$A$2:$C$26,3)*SIGN(T124-T123),0)</f>
        <v/>
      </c>
      <c r="AK124">
        <f>IF(AND(ISNUMBER(T124),ISNUMBER(T125)),VLOOKUP(ABS(T124-T125),'IMP Table'!$A$2:$C$26,3)*SIGN(T124-T125),0)</f>
        <v/>
      </c>
      <c r="AL124">
        <f>IF(AND(ISNUMBER(T124),ISNUMBER(T126)),VLOOKUP(ABS(T124-T126),'IMP Table'!$A$2:$C$26,3)*SIGN(T124-T126),0)</f>
        <v/>
      </c>
      <c r="AM124">
        <f>IF(AND(ISNUMBER(T124),ISNUMBER(T127)),VLOOKUP(ABS(T124-T127),'IMP Table'!$A$2:$C$26,3)*SIGN(T124-T127),0)</f>
        <v/>
      </c>
      <c r="AN124">
        <f>IF(AND(ISNUMBER(T124),ISNUMBER(T128)),VLOOKUP(ABS(T124-T128),'IMP Table'!$A$2:$C$26,3)*SIGN(T124-T128),0)</f>
        <v/>
      </c>
    </row>
    <row r="125">
      <c r="B125" s="10">
        <f>'By Round'!A27</f>
        <v/>
      </c>
      <c r="C125" s="10">
        <f>'By Round'!B35</f>
        <v/>
      </c>
      <c r="D125" s="10">
        <f>'By Round'!C35</f>
        <v/>
      </c>
      <c r="E125" s="10">
        <f>'By Round'!D35</f>
        <v/>
      </c>
      <c r="F125" s="10">
        <f>IF(ISBLANK('By Round'!F35),"",'By Round'!F35)</f>
        <v/>
      </c>
      <c r="G125">
        <f>IF(ISBLANK('By Round'!G35),"",'By Round'!G35)</f>
        <v/>
      </c>
      <c r="H125">
        <f>IF(ISBLANK('By Round'!H35),"",'By Round'!H35)</f>
        <v/>
      </c>
      <c r="I125">
        <f>IF(ISBLANK('By Round'!I35),"",'By Round'!I35)</f>
        <v/>
      </c>
      <c r="J125">
        <f>IF(ISBLANK('By Round'!J35),"",'By Round'!J35)</f>
        <v/>
      </c>
      <c r="K125">
        <f>IF(ISBLANK('By Round'!K35),"",'By Round'!K35)</f>
        <v/>
      </c>
      <c r="L125">
        <f>IF(ISBLANK('By Round'!L35),"",'By Round'!L35)</f>
        <v/>
      </c>
      <c r="M125" s="11">
        <f>AVERAGE(AE125:AI125)</f>
        <v/>
      </c>
      <c r="N125" s="12">
        <f>AVERAGE(AJ125:AN125)</f>
        <v/>
      </c>
      <c r="O125" s="13">
        <f>IF(COUNT(U125:Y125)&gt;0,Q125/COUNT(U125:Y125),0.5)</f>
        <v/>
      </c>
      <c r="P125" s="13">
        <f>IF(COUNT(Z125:AD125)&gt;0,R125/COUNT(Z125:AD125),0.5)</f>
        <v/>
      </c>
      <c r="Q125" s="5">
        <f>SUM(U125:Y125)</f>
        <v/>
      </c>
      <c r="R125" s="5">
        <f>SUM(Z125:AD125)</f>
        <v/>
      </c>
      <c r="S125" s="14">
        <f>IF(ISNUMBER(K125),K125,IF(ISNUMBER(L125),-L125,""))</f>
        <v/>
      </c>
      <c r="T125">
        <f>IF(ISNUMBER(L125),L125,IF(ISNUMBER(K125),-K125,""))</f>
        <v/>
      </c>
      <c r="U125" s="14">
        <f>IF(ISNUMBER(S125),IF(ISNUMBER(S123),IF(S125&gt;S123,1.0,IF(S125=S123,0.5,0.0)),""),"")</f>
        <v/>
      </c>
      <c r="V125">
        <f>IF(ISNUMBER(S125),IF(ISNUMBER(S124),IF(S125&gt;S124,1.0,IF(S125=S124,0.5,0.0)),""),"")</f>
        <v/>
      </c>
      <c r="W125">
        <f>IF(ISNUMBER(S125),IF(ISNUMBER(S126),IF(S125&gt;S126,1.0,IF(S125=S126,0.5,0.0)),""),"")</f>
        <v/>
      </c>
      <c r="X125">
        <f>IF(ISNUMBER(S125),IF(ISNUMBER(S127),IF(S125&gt;S127,1.0,IF(S125=S127,0.5,0.0)),""),"")</f>
        <v/>
      </c>
      <c r="Y125">
        <f>IF(ISNUMBER(S125),IF(ISNUMBER(S128),IF(S125&gt;S128,1.0,IF(S125=S128,0.5,0.0)),""),"")</f>
        <v/>
      </c>
      <c r="Z125">
        <f>IF(ISNUMBER(T125),IF(ISNUMBER(T123),IF(T125&gt;T123,1.0,IF(T125=T123,0.5,0.0)),""),"")</f>
        <v/>
      </c>
      <c r="AA125">
        <f>IF(ISNUMBER(T125),IF(ISNUMBER(T124),IF(T125&gt;T124,1.0,IF(T125=T124,0.5,0.0)),""),"")</f>
        <v/>
      </c>
      <c r="AB125">
        <f>IF(ISNUMBER(T125),IF(ISNUMBER(T126),IF(T125&gt;T126,1.0,IF(T125=T126,0.5,0.0)),""),"")</f>
        <v/>
      </c>
      <c r="AC125">
        <f>IF(ISNUMBER(T125),IF(ISNUMBER(T127),IF(T125&gt;T127,1.0,IF(T125=T127,0.5,0.0)),""),"")</f>
        <v/>
      </c>
      <c r="AD125">
        <f>IF(ISNUMBER(T125),IF(ISNUMBER(T128),IF(T125&gt;T128,1.0,IF(T125=T128,0.5,0.0)),""),"")</f>
        <v/>
      </c>
      <c r="AE125" s="14">
        <f>IF(AND(ISNUMBER(S125),ISNUMBER(S123)),VLOOKUP(ABS(S125-S123),'IMP Table'!$A$2:$C$26,3)*SIGN(S125-S123),0)</f>
        <v/>
      </c>
      <c r="AF125">
        <f>IF(AND(ISNUMBER(S125),ISNUMBER(S124)),VLOOKUP(ABS(S125-S124),'IMP Table'!$A$2:$C$26,3)*SIGN(S125-S124),0)</f>
        <v/>
      </c>
      <c r="AG125">
        <f>IF(AND(ISNUMBER(S125),ISNUMBER(S126)),VLOOKUP(ABS(S125-S126),'IMP Table'!$A$2:$C$26,3)*SIGN(S125-S126),0)</f>
        <v/>
      </c>
      <c r="AH125">
        <f>IF(AND(ISNUMBER(S125),ISNUMBER(S127)),VLOOKUP(ABS(S125-S127),'IMP Table'!$A$2:$C$26,3)*SIGN(S125-S127),0)</f>
        <v/>
      </c>
      <c r="AI125">
        <f>IF(AND(ISNUMBER(S125),ISNUMBER(S128)),VLOOKUP(ABS(S125-S128),'IMP Table'!$A$2:$C$26,3)*SIGN(S125-S128),0)</f>
        <v/>
      </c>
      <c r="AJ125">
        <f>IF(AND(ISNUMBER(T125),ISNUMBER(T123)),VLOOKUP(ABS(T125-T123),'IMP Table'!$A$2:$C$26,3)*SIGN(T125-T123),0)</f>
        <v/>
      </c>
      <c r="AK125">
        <f>IF(AND(ISNUMBER(T125),ISNUMBER(T124)),VLOOKUP(ABS(T125-T124),'IMP Table'!$A$2:$C$26,3)*SIGN(T125-T124),0)</f>
        <v/>
      </c>
      <c r="AL125">
        <f>IF(AND(ISNUMBER(T125),ISNUMBER(T126)),VLOOKUP(ABS(T125-T126),'IMP Table'!$A$2:$C$26,3)*SIGN(T125-T126),0)</f>
        <v/>
      </c>
      <c r="AM125">
        <f>IF(AND(ISNUMBER(T125),ISNUMBER(T127)),VLOOKUP(ABS(T125-T127),'IMP Table'!$A$2:$C$26,3)*SIGN(T125-T127),0)</f>
        <v/>
      </c>
      <c r="AN125">
        <f>IF(AND(ISNUMBER(T125),ISNUMBER(T128)),VLOOKUP(ABS(T125-T128),'IMP Table'!$A$2:$C$26,3)*SIGN(T125-T128),0)</f>
        <v/>
      </c>
    </row>
    <row r="126">
      <c r="B126" s="10">
        <f>'By Round'!A39</f>
        <v/>
      </c>
      <c r="C126" s="10">
        <f>'By Round'!B45</f>
        <v/>
      </c>
      <c r="D126" s="10">
        <f>'By Round'!C45</f>
        <v/>
      </c>
      <c r="E126" s="10">
        <f>'By Round'!D45</f>
        <v/>
      </c>
      <c r="F126" s="10">
        <f>IF(ISBLANK('By Round'!F45),"",'By Round'!F45)</f>
        <v/>
      </c>
      <c r="G126">
        <f>IF(ISBLANK('By Round'!G45),"",'By Round'!G45)</f>
        <v/>
      </c>
      <c r="H126">
        <f>IF(ISBLANK('By Round'!H45),"",'By Round'!H45)</f>
        <v/>
      </c>
      <c r="I126">
        <f>IF(ISBLANK('By Round'!I45),"",'By Round'!I45)</f>
        <v/>
      </c>
      <c r="J126">
        <f>IF(ISBLANK('By Round'!J45),"",'By Round'!J45)</f>
        <v/>
      </c>
      <c r="K126">
        <f>IF(ISBLANK('By Round'!K45),"",'By Round'!K45)</f>
        <v/>
      </c>
      <c r="L126">
        <f>IF(ISBLANK('By Round'!L45),"",'By Round'!L45)</f>
        <v/>
      </c>
      <c r="M126" s="11">
        <f>AVERAGE(AE126:AI126)</f>
        <v/>
      </c>
      <c r="N126" s="12">
        <f>AVERAGE(AJ126:AN126)</f>
        <v/>
      </c>
      <c r="O126" s="13">
        <f>IF(COUNT(U126:Y126)&gt;0,Q126/COUNT(U126:Y126),0.5)</f>
        <v/>
      </c>
      <c r="P126" s="13">
        <f>IF(COUNT(Z126:AD126)&gt;0,R126/COUNT(Z126:AD126),0.5)</f>
        <v/>
      </c>
      <c r="Q126" s="5">
        <f>SUM(U126:Y126)</f>
        <v/>
      </c>
      <c r="R126" s="5">
        <f>SUM(Z126:AD126)</f>
        <v/>
      </c>
      <c r="S126" s="14">
        <f>IF(ISNUMBER(K126),K126,IF(ISNUMBER(L126),-L126,""))</f>
        <v/>
      </c>
      <c r="T126">
        <f>IF(ISNUMBER(L126),L126,IF(ISNUMBER(K126),-K126,""))</f>
        <v/>
      </c>
      <c r="U126" s="14">
        <f>IF(ISNUMBER(S126),IF(ISNUMBER(S123),IF(S126&gt;S123,1.0,IF(S126=S123,0.5,0.0)),""),"")</f>
        <v/>
      </c>
      <c r="V126">
        <f>IF(ISNUMBER(S126),IF(ISNUMBER(S124),IF(S126&gt;S124,1.0,IF(S126=S124,0.5,0.0)),""),"")</f>
        <v/>
      </c>
      <c r="W126">
        <f>IF(ISNUMBER(S126),IF(ISNUMBER(S125),IF(S126&gt;S125,1.0,IF(S126=S125,0.5,0.0)),""),"")</f>
        <v/>
      </c>
      <c r="X126">
        <f>IF(ISNUMBER(S126),IF(ISNUMBER(S127),IF(S126&gt;S127,1.0,IF(S126=S127,0.5,0.0)),""),"")</f>
        <v/>
      </c>
      <c r="Y126">
        <f>IF(ISNUMBER(S126),IF(ISNUMBER(S128),IF(S126&gt;S128,1.0,IF(S126=S128,0.5,0.0)),""),"")</f>
        <v/>
      </c>
      <c r="Z126">
        <f>IF(ISNUMBER(T126),IF(ISNUMBER(T123),IF(T126&gt;T123,1.0,IF(T126=T123,0.5,0.0)),""),"")</f>
        <v/>
      </c>
      <c r="AA126">
        <f>IF(ISNUMBER(T126),IF(ISNUMBER(T124),IF(T126&gt;T124,1.0,IF(T126=T124,0.5,0.0)),""),"")</f>
        <v/>
      </c>
      <c r="AB126">
        <f>IF(ISNUMBER(T126),IF(ISNUMBER(T125),IF(T126&gt;T125,1.0,IF(T126=T125,0.5,0.0)),""),"")</f>
        <v/>
      </c>
      <c r="AC126">
        <f>IF(ISNUMBER(T126),IF(ISNUMBER(T127),IF(T126&gt;T127,1.0,IF(T126=T127,0.5,0.0)),""),"")</f>
        <v/>
      </c>
      <c r="AD126">
        <f>IF(ISNUMBER(T126),IF(ISNUMBER(T128),IF(T126&gt;T128,1.0,IF(T126=T128,0.5,0.0)),""),"")</f>
        <v/>
      </c>
      <c r="AE126" s="14">
        <f>IF(AND(ISNUMBER(S126),ISNUMBER(S123)),VLOOKUP(ABS(S126-S123),'IMP Table'!$A$2:$C$26,3)*SIGN(S126-S123),0)</f>
        <v/>
      </c>
      <c r="AF126">
        <f>IF(AND(ISNUMBER(S126),ISNUMBER(S124)),VLOOKUP(ABS(S126-S124),'IMP Table'!$A$2:$C$26,3)*SIGN(S126-S124),0)</f>
        <v/>
      </c>
      <c r="AG126">
        <f>IF(AND(ISNUMBER(S126),ISNUMBER(S125)),VLOOKUP(ABS(S126-S125),'IMP Table'!$A$2:$C$26,3)*SIGN(S126-S125),0)</f>
        <v/>
      </c>
      <c r="AH126">
        <f>IF(AND(ISNUMBER(S126),ISNUMBER(S127)),VLOOKUP(ABS(S126-S127),'IMP Table'!$A$2:$C$26,3)*SIGN(S126-S127),0)</f>
        <v/>
      </c>
      <c r="AI126">
        <f>IF(AND(ISNUMBER(S126),ISNUMBER(S128)),VLOOKUP(ABS(S126-S128),'IMP Table'!$A$2:$C$26,3)*SIGN(S126-S128),0)</f>
        <v/>
      </c>
      <c r="AJ126">
        <f>IF(AND(ISNUMBER(T126),ISNUMBER(T123)),VLOOKUP(ABS(T126-T123),'IMP Table'!$A$2:$C$26,3)*SIGN(T126-T123),0)</f>
        <v/>
      </c>
      <c r="AK126">
        <f>IF(AND(ISNUMBER(T126),ISNUMBER(T124)),VLOOKUP(ABS(T126-T124),'IMP Table'!$A$2:$C$26,3)*SIGN(T126-T124),0)</f>
        <v/>
      </c>
      <c r="AL126">
        <f>IF(AND(ISNUMBER(T126),ISNUMBER(T125)),VLOOKUP(ABS(T126-T125),'IMP Table'!$A$2:$C$26,3)*SIGN(T126-T125),0)</f>
        <v/>
      </c>
      <c r="AM126">
        <f>IF(AND(ISNUMBER(T126),ISNUMBER(T127)),VLOOKUP(ABS(T126-T127),'IMP Table'!$A$2:$C$26,3)*SIGN(T126-T127),0)</f>
        <v/>
      </c>
      <c r="AN126">
        <f>IF(AND(ISNUMBER(T126),ISNUMBER(T128)),VLOOKUP(ABS(T126-T128),'IMP Table'!$A$2:$C$26,3)*SIGN(T126-T128),0)</f>
        <v/>
      </c>
    </row>
    <row r="127">
      <c r="B127" s="10">
        <f>'By Round'!A75</f>
        <v/>
      </c>
      <c r="C127" s="10">
        <f>'By Round'!B77</f>
        <v/>
      </c>
      <c r="D127" s="10">
        <f>'By Round'!C77</f>
        <v/>
      </c>
      <c r="E127" s="10">
        <f>'By Round'!D77</f>
        <v/>
      </c>
      <c r="F127" s="10">
        <f>IF(ISBLANK('By Round'!F77),"",'By Round'!F77)</f>
        <v/>
      </c>
      <c r="G127">
        <f>IF(ISBLANK('By Round'!G77),"",'By Round'!G77)</f>
        <v/>
      </c>
      <c r="H127">
        <f>IF(ISBLANK('By Round'!H77),"",'By Round'!H77)</f>
        <v/>
      </c>
      <c r="I127">
        <f>IF(ISBLANK('By Round'!I77),"",'By Round'!I77)</f>
        <v/>
      </c>
      <c r="J127">
        <f>IF(ISBLANK('By Round'!J77),"",'By Round'!J77)</f>
        <v/>
      </c>
      <c r="K127">
        <f>IF(ISBLANK('By Round'!K77),"",'By Round'!K77)</f>
        <v/>
      </c>
      <c r="L127">
        <f>IF(ISBLANK('By Round'!L77),"",'By Round'!L77)</f>
        <v/>
      </c>
      <c r="M127" s="11">
        <f>AVERAGE(AE127:AI127)</f>
        <v/>
      </c>
      <c r="N127" s="12">
        <f>AVERAGE(AJ127:AN127)</f>
        <v/>
      </c>
      <c r="O127" s="13">
        <f>IF(COUNT(U127:Y127)&gt;0,Q127/COUNT(U127:Y127),0.5)</f>
        <v/>
      </c>
      <c r="P127" s="13">
        <f>IF(COUNT(Z127:AD127)&gt;0,R127/COUNT(Z127:AD127),0.5)</f>
        <v/>
      </c>
      <c r="Q127" s="5">
        <f>SUM(U127:Y127)</f>
        <v/>
      </c>
      <c r="R127" s="5">
        <f>SUM(Z127:AD127)</f>
        <v/>
      </c>
      <c r="S127" s="14">
        <f>IF(ISNUMBER(K127),K127,IF(ISNUMBER(L127),-L127,""))</f>
        <v/>
      </c>
      <c r="T127">
        <f>IF(ISNUMBER(L127),L127,IF(ISNUMBER(K127),-K127,""))</f>
        <v/>
      </c>
      <c r="U127" s="14">
        <f>IF(ISNUMBER(S127),IF(ISNUMBER(S123),IF(S127&gt;S123,1.0,IF(S127=S123,0.5,0.0)),""),"")</f>
        <v/>
      </c>
      <c r="V127">
        <f>IF(ISNUMBER(S127),IF(ISNUMBER(S124),IF(S127&gt;S124,1.0,IF(S127=S124,0.5,0.0)),""),"")</f>
        <v/>
      </c>
      <c r="W127">
        <f>IF(ISNUMBER(S127),IF(ISNUMBER(S125),IF(S127&gt;S125,1.0,IF(S127=S125,0.5,0.0)),""),"")</f>
        <v/>
      </c>
      <c r="X127">
        <f>IF(ISNUMBER(S127),IF(ISNUMBER(S126),IF(S127&gt;S126,1.0,IF(S127=S126,0.5,0.0)),""),"")</f>
        <v/>
      </c>
      <c r="Y127">
        <f>IF(ISNUMBER(S127),IF(ISNUMBER(S128),IF(S127&gt;S128,1.0,IF(S127=S128,0.5,0.0)),""),"")</f>
        <v/>
      </c>
      <c r="Z127">
        <f>IF(ISNUMBER(T127),IF(ISNUMBER(T123),IF(T127&gt;T123,1.0,IF(T127=T123,0.5,0.0)),""),"")</f>
        <v/>
      </c>
      <c r="AA127">
        <f>IF(ISNUMBER(T127),IF(ISNUMBER(T124),IF(T127&gt;T124,1.0,IF(T127=T124,0.5,0.0)),""),"")</f>
        <v/>
      </c>
      <c r="AB127">
        <f>IF(ISNUMBER(T127),IF(ISNUMBER(T125),IF(T127&gt;T125,1.0,IF(T127=T125,0.5,0.0)),""),"")</f>
        <v/>
      </c>
      <c r="AC127">
        <f>IF(ISNUMBER(T127),IF(ISNUMBER(T126),IF(T127&gt;T126,1.0,IF(T127=T126,0.5,0.0)),""),"")</f>
        <v/>
      </c>
      <c r="AD127">
        <f>IF(ISNUMBER(T127),IF(ISNUMBER(T128),IF(T127&gt;T128,1.0,IF(T127=T128,0.5,0.0)),""),"")</f>
        <v/>
      </c>
      <c r="AE127" s="14">
        <f>IF(AND(ISNUMBER(S127),ISNUMBER(S123)),VLOOKUP(ABS(S127-S123),'IMP Table'!$A$2:$C$26,3)*SIGN(S127-S123),0)</f>
        <v/>
      </c>
      <c r="AF127">
        <f>IF(AND(ISNUMBER(S127),ISNUMBER(S124)),VLOOKUP(ABS(S127-S124),'IMP Table'!$A$2:$C$26,3)*SIGN(S127-S124),0)</f>
        <v/>
      </c>
      <c r="AG127">
        <f>IF(AND(ISNUMBER(S127),ISNUMBER(S125)),VLOOKUP(ABS(S127-S125),'IMP Table'!$A$2:$C$26,3)*SIGN(S127-S125),0)</f>
        <v/>
      </c>
      <c r="AH127">
        <f>IF(AND(ISNUMBER(S127),ISNUMBER(S126)),VLOOKUP(ABS(S127-S126),'IMP Table'!$A$2:$C$26,3)*SIGN(S127-S126),0)</f>
        <v/>
      </c>
      <c r="AI127">
        <f>IF(AND(ISNUMBER(S127),ISNUMBER(S128)),VLOOKUP(ABS(S127-S128),'IMP Table'!$A$2:$C$26,3)*SIGN(S127-S128),0)</f>
        <v/>
      </c>
      <c r="AJ127">
        <f>IF(AND(ISNUMBER(T127),ISNUMBER(T123)),VLOOKUP(ABS(T127-T123),'IMP Table'!$A$2:$C$26,3)*SIGN(T127-T123),0)</f>
        <v/>
      </c>
      <c r="AK127">
        <f>IF(AND(ISNUMBER(T127),ISNUMBER(T124)),VLOOKUP(ABS(T127-T124),'IMP Table'!$A$2:$C$26,3)*SIGN(T127-T124),0)</f>
        <v/>
      </c>
      <c r="AL127">
        <f>IF(AND(ISNUMBER(T127),ISNUMBER(T125)),VLOOKUP(ABS(T127-T125),'IMP Table'!$A$2:$C$26,3)*SIGN(T127-T125),0)</f>
        <v/>
      </c>
      <c r="AM127">
        <f>IF(AND(ISNUMBER(T127),ISNUMBER(T126)),VLOOKUP(ABS(T127-T126),'IMP Table'!$A$2:$C$26,3)*SIGN(T127-T126),0)</f>
        <v/>
      </c>
      <c r="AN127">
        <f>IF(AND(ISNUMBER(T127),ISNUMBER(T128)),VLOOKUP(ABS(T127-T128),'IMP Table'!$A$2:$C$26,3)*SIGN(T127-T128),0)</f>
        <v/>
      </c>
    </row>
    <row r="128">
      <c r="A128" s="15" t="n"/>
      <c r="B128" s="16">
        <f>'By Round'!A15</f>
        <v/>
      </c>
      <c r="C128" s="16">
        <f>'By Round'!B25</f>
        <v/>
      </c>
      <c r="D128" s="16">
        <f>'By Round'!C25</f>
        <v/>
      </c>
      <c r="E128" s="16">
        <f>'By Round'!D25</f>
        <v/>
      </c>
      <c r="F128" s="16">
        <f>IF(ISBLANK('By Round'!F25),"",'By Round'!F25)</f>
        <v/>
      </c>
      <c r="G128" s="15">
        <f>IF(ISBLANK('By Round'!G25),"",'By Round'!G25)</f>
        <v/>
      </c>
      <c r="H128" s="15">
        <f>IF(ISBLANK('By Round'!H25),"",'By Round'!H25)</f>
        <v/>
      </c>
      <c r="I128" s="15">
        <f>IF(ISBLANK('By Round'!I25),"",'By Round'!I25)</f>
        <v/>
      </c>
      <c r="J128" s="15">
        <f>IF(ISBLANK('By Round'!J25),"",'By Round'!J25)</f>
        <v/>
      </c>
      <c r="K128" s="15">
        <f>IF(ISBLANK('By Round'!K25),"",'By Round'!K25)</f>
        <v/>
      </c>
      <c r="L128" s="15">
        <f>IF(ISBLANK('By Round'!L25),"",'By Round'!L25)</f>
        <v/>
      </c>
      <c r="M128" s="17">
        <f>AVERAGE(AE128:AI128)</f>
        <v/>
      </c>
      <c r="N128" s="18">
        <f>AVERAGE(AJ128:AN128)</f>
        <v/>
      </c>
      <c r="O128" s="19">
        <f>IF(COUNT(U128:Y128)&gt;0,Q128/COUNT(U128:Y128),0.5)</f>
        <v/>
      </c>
      <c r="P128" s="19">
        <f>IF(COUNT(Z128:AD128)&gt;0,R128/COUNT(Z128:AD128),0.5)</f>
        <v/>
      </c>
      <c r="Q128" s="20">
        <f>SUM(U128:Y128)</f>
        <v/>
      </c>
      <c r="R128" s="20">
        <f>SUM(Z128:AD128)</f>
        <v/>
      </c>
      <c r="S128" s="21">
        <f>IF(ISNUMBER(K128),K128,IF(ISNUMBER(L128),-L128,""))</f>
        <v/>
      </c>
      <c r="T128" s="15">
        <f>IF(ISNUMBER(L128),L128,IF(ISNUMBER(K128),-K128,""))</f>
        <v/>
      </c>
      <c r="U128" s="21">
        <f>IF(ISNUMBER(S128),IF(ISNUMBER(S123),IF(S128&gt;S123,1.0,IF(S128=S123,0.5,0.0)),""),"")</f>
        <v/>
      </c>
      <c r="V128" s="15">
        <f>IF(ISNUMBER(S128),IF(ISNUMBER(S124),IF(S128&gt;S124,1.0,IF(S128=S124,0.5,0.0)),""),"")</f>
        <v/>
      </c>
      <c r="W128" s="15">
        <f>IF(ISNUMBER(S128),IF(ISNUMBER(S125),IF(S128&gt;S125,1.0,IF(S128=S125,0.5,0.0)),""),"")</f>
        <v/>
      </c>
      <c r="X128" s="15">
        <f>IF(ISNUMBER(S128),IF(ISNUMBER(S126),IF(S128&gt;S126,1.0,IF(S128=S126,0.5,0.0)),""),"")</f>
        <v/>
      </c>
      <c r="Y128" s="15">
        <f>IF(ISNUMBER(S128),IF(ISNUMBER(S127),IF(S128&gt;S127,1.0,IF(S128=S127,0.5,0.0)),""),"")</f>
        <v/>
      </c>
      <c r="Z128" s="15">
        <f>IF(ISNUMBER(T128),IF(ISNUMBER(T123),IF(T128&gt;T123,1.0,IF(T128=T123,0.5,0.0)),""),"")</f>
        <v/>
      </c>
      <c r="AA128" s="15">
        <f>IF(ISNUMBER(T128),IF(ISNUMBER(T124),IF(T128&gt;T124,1.0,IF(T128=T124,0.5,0.0)),""),"")</f>
        <v/>
      </c>
      <c r="AB128" s="15">
        <f>IF(ISNUMBER(T128),IF(ISNUMBER(T125),IF(T128&gt;T125,1.0,IF(T128=T125,0.5,0.0)),""),"")</f>
        <v/>
      </c>
      <c r="AC128" s="15">
        <f>IF(ISNUMBER(T128),IF(ISNUMBER(T126),IF(T128&gt;T126,1.0,IF(T128=T126,0.5,0.0)),""),"")</f>
        <v/>
      </c>
      <c r="AD128" s="15">
        <f>IF(ISNUMBER(T128),IF(ISNUMBER(T127),IF(T128&gt;T127,1.0,IF(T128=T127,0.5,0.0)),""),"")</f>
        <v/>
      </c>
      <c r="AE128" s="21">
        <f>IF(AND(ISNUMBER(S128),ISNUMBER(S123)),VLOOKUP(ABS(S128-S123),'IMP Table'!$A$2:$C$26,3)*SIGN(S128-S123),0)</f>
        <v/>
      </c>
      <c r="AF128" s="15">
        <f>IF(AND(ISNUMBER(S128),ISNUMBER(S124)),VLOOKUP(ABS(S128-S124),'IMP Table'!$A$2:$C$26,3)*SIGN(S128-S124),0)</f>
        <v/>
      </c>
      <c r="AG128" s="15">
        <f>IF(AND(ISNUMBER(S128),ISNUMBER(S125)),VLOOKUP(ABS(S128-S125),'IMP Table'!$A$2:$C$26,3)*SIGN(S128-S125),0)</f>
        <v/>
      </c>
      <c r="AH128" s="15">
        <f>IF(AND(ISNUMBER(S128),ISNUMBER(S126)),VLOOKUP(ABS(S128-S126),'IMP Table'!$A$2:$C$26,3)*SIGN(S128-S126),0)</f>
        <v/>
      </c>
      <c r="AI128" s="15">
        <f>IF(AND(ISNUMBER(S128),ISNUMBER(S127)),VLOOKUP(ABS(S128-S127),'IMP Table'!$A$2:$C$26,3)*SIGN(S128-S127),0)</f>
        <v/>
      </c>
      <c r="AJ128" s="15">
        <f>IF(AND(ISNUMBER(T128),ISNUMBER(T123)),VLOOKUP(ABS(T128-T123),'IMP Table'!$A$2:$C$26,3)*SIGN(T128-T123),0)</f>
        <v/>
      </c>
      <c r="AK128" s="15">
        <f>IF(AND(ISNUMBER(T128),ISNUMBER(T124)),VLOOKUP(ABS(T128-T124),'IMP Table'!$A$2:$C$26,3)*SIGN(T128-T124),0)</f>
        <v/>
      </c>
      <c r="AL128" s="15">
        <f>IF(AND(ISNUMBER(T128),ISNUMBER(T125)),VLOOKUP(ABS(T128-T125),'IMP Table'!$A$2:$C$26,3)*SIGN(T128-T125),0)</f>
        <v/>
      </c>
      <c r="AM128" s="15">
        <f>IF(AND(ISNUMBER(T128),ISNUMBER(T126)),VLOOKUP(ABS(T128-T126),'IMP Table'!$A$2:$C$26,3)*SIGN(T128-T126),0)</f>
        <v/>
      </c>
      <c r="AN128" s="15">
        <f>IF(AND(ISNUMBER(T128),ISNUMBER(T127)),VLOOKUP(ABS(T128-T127),'IMP Table'!$A$2:$C$26,3)*SIGN(T128-T127),0)</f>
        <v/>
      </c>
    </row>
    <row r="129">
      <c r="A129" s="10" t="n">
        <v>22</v>
      </c>
      <c r="B129" s="10">
        <f>'By Round'!A123</f>
        <v/>
      </c>
      <c r="C129" s="10">
        <f>'By Round'!B123</f>
        <v/>
      </c>
      <c r="D129" s="10">
        <f>'By Round'!C123</f>
        <v/>
      </c>
      <c r="E129" s="10">
        <f>'By Round'!D123</f>
        <v/>
      </c>
      <c r="F129" s="10">
        <f>IF(ISBLANK('By Round'!F124),"",'By Round'!F124)</f>
        <v/>
      </c>
      <c r="G129">
        <f>IF(ISBLANK('By Round'!G124),"",'By Round'!G124)</f>
        <v/>
      </c>
      <c r="H129">
        <f>IF(ISBLANK('By Round'!H124),"",'By Round'!H124)</f>
        <v/>
      </c>
      <c r="I129">
        <f>IF(ISBLANK('By Round'!I124),"",'By Round'!I124)</f>
        <v/>
      </c>
      <c r="J129">
        <f>IF(ISBLANK('By Round'!J124),"",'By Round'!J124)</f>
        <v/>
      </c>
      <c r="K129">
        <f>IF(ISBLANK('By Round'!K124),"",'By Round'!K124)</f>
        <v/>
      </c>
      <c r="L129">
        <f>IF(ISBLANK('By Round'!L124),"",'By Round'!L124)</f>
        <v/>
      </c>
      <c r="M129" s="11">
        <f>AVERAGE(AE129:AI129)</f>
        <v/>
      </c>
      <c r="N129" s="12">
        <f>AVERAGE(AJ129:AN129)</f>
        <v/>
      </c>
      <c r="O129" s="13">
        <f>IF(COUNT(U129:Y129)&gt;0,Q129/COUNT(U129:Y129),0.5)</f>
        <v/>
      </c>
      <c r="P129" s="13">
        <f>IF(COUNT(Z129:AD129)&gt;0,R129/COUNT(Z129:AD129),0.5)</f>
        <v/>
      </c>
      <c r="Q129" s="5">
        <f>SUM(U129:Y129)</f>
        <v/>
      </c>
      <c r="R129" s="5">
        <f>SUM(Z129:AD129)</f>
        <v/>
      </c>
      <c r="S129" s="14">
        <f>IF(ISNUMBER(K129),K129,IF(ISNUMBER(L129),-L129,""))</f>
        <v/>
      </c>
      <c r="T129">
        <f>IF(ISNUMBER(L129),L129,IF(ISNUMBER(K129),-K129,""))</f>
        <v/>
      </c>
      <c r="U129" s="14">
        <f>IF(ISNUMBER(S129),IF(ISNUMBER(S130),IF(S129&gt;S130,1.0,IF(S129=S130,0.5,0.0)),""),"")</f>
        <v/>
      </c>
      <c r="V129">
        <f>IF(ISNUMBER(S129),IF(ISNUMBER(S131),IF(S129&gt;S131,1.0,IF(S129=S131,0.5,0.0)),""),"")</f>
        <v/>
      </c>
      <c r="W129">
        <f>IF(ISNUMBER(S129),IF(ISNUMBER(S132),IF(S129&gt;S132,1.0,IF(S129=S132,0.5,0.0)),""),"")</f>
        <v/>
      </c>
      <c r="X129">
        <f>IF(ISNUMBER(S129),IF(ISNUMBER(S133),IF(S129&gt;S133,1.0,IF(S129=S133,0.5,0.0)),""),"")</f>
        <v/>
      </c>
      <c r="Y129">
        <f>IF(ISNUMBER(S129),IF(ISNUMBER(S134),IF(S129&gt;S134,1.0,IF(S129=S134,0.5,0.0)),""),"")</f>
        <v/>
      </c>
      <c r="Z129">
        <f>IF(ISNUMBER(T129),IF(ISNUMBER(T130),IF(T129&gt;T130,1.0,IF(T129=T130,0.5,0.0)),""),"")</f>
        <v/>
      </c>
      <c r="AA129">
        <f>IF(ISNUMBER(T129),IF(ISNUMBER(T131),IF(T129&gt;T131,1.0,IF(T129=T131,0.5,0.0)),""),"")</f>
        <v/>
      </c>
      <c r="AB129">
        <f>IF(ISNUMBER(T129),IF(ISNUMBER(T132),IF(T129&gt;T132,1.0,IF(T129=T132,0.5,0.0)),""),"")</f>
        <v/>
      </c>
      <c r="AC129">
        <f>IF(ISNUMBER(T129),IF(ISNUMBER(T133),IF(T129&gt;T133,1.0,IF(T129=T133,0.5,0.0)),""),"")</f>
        <v/>
      </c>
      <c r="AD129">
        <f>IF(ISNUMBER(T129),IF(ISNUMBER(T134),IF(T129&gt;T134,1.0,IF(T129=T134,0.5,0.0)),""),"")</f>
        <v/>
      </c>
      <c r="AE129" s="14">
        <f>IF(AND(ISNUMBER(S129),ISNUMBER(S130)),VLOOKUP(ABS(S129-S130),'IMP Table'!$A$2:$C$26,3)*SIGN(S129-S130),0)</f>
        <v/>
      </c>
      <c r="AF129">
        <f>IF(AND(ISNUMBER(S129),ISNUMBER(S131)),VLOOKUP(ABS(S129-S131),'IMP Table'!$A$2:$C$26,3)*SIGN(S129-S131),0)</f>
        <v/>
      </c>
      <c r="AG129">
        <f>IF(AND(ISNUMBER(S129),ISNUMBER(S132)),VLOOKUP(ABS(S129-S132),'IMP Table'!$A$2:$C$26,3)*SIGN(S129-S132),0)</f>
        <v/>
      </c>
      <c r="AH129">
        <f>IF(AND(ISNUMBER(S129),ISNUMBER(S133)),VLOOKUP(ABS(S129-S133),'IMP Table'!$A$2:$C$26,3)*SIGN(S129-S133),0)</f>
        <v/>
      </c>
      <c r="AI129">
        <f>IF(AND(ISNUMBER(S129),ISNUMBER(S134)),VLOOKUP(ABS(S129-S134),'IMP Table'!$A$2:$C$26,3)*SIGN(S129-S134),0)</f>
        <v/>
      </c>
      <c r="AJ129">
        <f>IF(AND(ISNUMBER(T129),ISNUMBER(T130)),VLOOKUP(ABS(T129-T130),'IMP Table'!$A$2:$C$26,3)*SIGN(T129-T130),0)</f>
        <v/>
      </c>
      <c r="AK129">
        <f>IF(AND(ISNUMBER(T129),ISNUMBER(T131)),VLOOKUP(ABS(T129-T131),'IMP Table'!$A$2:$C$26,3)*SIGN(T129-T131),0)</f>
        <v/>
      </c>
      <c r="AL129">
        <f>IF(AND(ISNUMBER(T129),ISNUMBER(T132)),VLOOKUP(ABS(T129-T132),'IMP Table'!$A$2:$C$26,3)*SIGN(T129-T132),0)</f>
        <v/>
      </c>
      <c r="AM129">
        <f>IF(AND(ISNUMBER(T129),ISNUMBER(T133)),VLOOKUP(ABS(T129-T133),'IMP Table'!$A$2:$C$26,3)*SIGN(T129-T133),0)</f>
        <v/>
      </c>
      <c r="AN129">
        <f>IF(AND(ISNUMBER(T129),ISNUMBER(T134)),VLOOKUP(ABS(T129-T134),'IMP Table'!$A$2:$C$26,3)*SIGN(T129-T134),0)</f>
        <v/>
      </c>
    </row>
    <row r="130">
      <c r="B130" s="10">
        <f>'By Round'!A63</f>
        <v/>
      </c>
      <c r="C130" s="10">
        <f>'By Round'!B67</f>
        <v/>
      </c>
      <c r="D130" s="10">
        <f>'By Round'!C67</f>
        <v/>
      </c>
      <c r="E130" s="10">
        <f>'By Round'!D67</f>
        <v/>
      </c>
      <c r="F130" s="10">
        <f>IF(ISBLANK('By Round'!F68),"",'By Round'!F68)</f>
        <v/>
      </c>
      <c r="G130">
        <f>IF(ISBLANK('By Round'!G68),"",'By Round'!G68)</f>
        <v/>
      </c>
      <c r="H130">
        <f>IF(ISBLANK('By Round'!H68),"",'By Round'!H68)</f>
        <v/>
      </c>
      <c r="I130">
        <f>IF(ISBLANK('By Round'!I68),"",'By Round'!I68)</f>
        <v/>
      </c>
      <c r="J130">
        <f>IF(ISBLANK('By Round'!J68),"",'By Round'!J68)</f>
        <v/>
      </c>
      <c r="K130">
        <f>IF(ISBLANK('By Round'!K68),"",'By Round'!K68)</f>
        <v/>
      </c>
      <c r="L130">
        <f>IF(ISBLANK('By Round'!L68),"",'By Round'!L68)</f>
        <v/>
      </c>
      <c r="M130" s="11">
        <f>AVERAGE(AE130:AI130)</f>
        <v/>
      </c>
      <c r="N130" s="12">
        <f>AVERAGE(AJ130:AN130)</f>
        <v/>
      </c>
      <c r="O130" s="13">
        <f>IF(COUNT(U130:Y130)&gt;0,Q130/COUNT(U130:Y130),0.5)</f>
        <v/>
      </c>
      <c r="P130" s="13">
        <f>IF(COUNT(Z130:AD130)&gt;0,R130/COUNT(Z130:AD130),0.5)</f>
        <v/>
      </c>
      <c r="Q130" s="5">
        <f>SUM(U130:Y130)</f>
        <v/>
      </c>
      <c r="R130" s="5">
        <f>SUM(Z130:AD130)</f>
        <v/>
      </c>
      <c r="S130" s="14">
        <f>IF(ISNUMBER(K130),K130,IF(ISNUMBER(L130),-L130,""))</f>
        <v/>
      </c>
      <c r="T130">
        <f>IF(ISNUMBER(L130),L130,IF(ISNUMBER(K130),-K130,""))</f>
        <v/>
      </c>
      <c r="U130" s="14">
        <f>IF(ISNUMBER(S130),IF(ISNUMBER(S129),IF(S130&gt;S129,1.0,IF(S130=S129,0.5,0.0)),""),"")</f>
        <v/>
      </c>
      <c r="V130">
        <f>IF(ISNUMBER(S130),IF(ISNUMBER(S131),IF(S130&gt;S131,1.0,IF(S130=S131,0.5,0.0)),""),"")</f>
        <v/>
      </c>
      <c r="W130">
        <f>IF(ISNUMBER(S130),IF(ISNUMBER(S132),IF(S130&gt;S132,1.0,IF(S130=S132,0.5,0.0)),""),"")</f>
        <v/>
      </c>
      <c r="X130">
        <f>IF(ISNUMBER(S130),IF(ISNUMBER(S133),IF(S130&gt;S133,1.0,IF(S130=S133,0.5,0.0)),""),"")</f>
        <v/>
      </c>
      <c r="Y130">
        <f>IF(ISNUMBER(S130),IF(ISNUMBER(S134),IF(S130&gt;S134,1.0,IF(S130=S134,0.5,0.0)),""),"")</f>
        <v/>
      </c>
      <c r="Z130">
        <f>IF(ISNUMBER(T130),IF(ISNUMBER(T129),IF(T130&gt;T129,1.0,IF(T130=T129,0.5,0.0)),""),"")</f>
        <v/>
      </c>
      <c r="AA130">
        <f>IF(ISNUMBER(T130),IF(ISNUMBER(T131),IF(T130&gt;T131,1.0,IF(T130=T131,0.5,0.0)),""),"")</f>
        <v/>
      </c>
      <c r="AB130">
        <f>IF(ISNUMBER(T130),IF(ISNUMBER(T132),IF(T130&gt;T132,1.0,IF(T130=T132,0.5,0.0)),""),"")</f>
        <v/>
      </c>
      <c r="AC130">
        <f>IF(ISNUMBER(T130),IF(ISNUMBER(T133),IF(T130&gt;T133,1.0,IF(T130=T133,0.5,0.0)),""),"")</f>
        <v/>
      </c>
      <c r="AD130">
        <f>IF(ISNUMBER(T130),IF(ISNUMBER(T134),IF(T130&gt;T134,1.0,IF(T130=T134,0.5,0.0)),""),"")</f>
        <v/>
      </c>
      <c r="AE130" s="14">
        <f>IF(AND(ISNUMBER(S130),ISNUMBER(S129)),VLOOKUP(ABS(S130-S129),'IMP Table'!$A$2:$C$26,3)*SIGN(S130-S129),0)</f>
        <v/>
      </c>
      <c r="AF130">
        <f>IF(AND(ISNUMBER(S130),ISNUMBER(S131)),VLOOKUP(ABS(S130-S131),'IMP Table'!$A$2:$C$26,3)*SIGN(S130-S131),0)</f>
        <v/>
      </c>
      <c r="AG130">
        <f>IF(AND(ISNUMBER(S130),ISNUMBER(S132)),VLOOKUP(ABS(S130-S132),'IMP Table'!$A$2:$C$26,3)*SIGN(S130-S132),0)</f>
        <v/>
      </c>
      <c r="AH130">
        <f>IF(AND(ISNUMBER(S130),ISNUMBER(S133)),VLOOKUP(ABS(S130-S133),'IMP Table'!$A$2:$C$26,3)*SIGN(S130-S133),0)</f>
        <v/>
      </c>
      <c r="AI130">
        <f>IF(AND(ISNUMBER(S130),ISNUMBER(S134)),VLOOKUP(ABS(S130-S134),'IMP Table'!$A$2:$C$26,3)*SIGN(S130-S134),0)</f>
        <v/>
      </c>
      <c r="AJ130">
        <f>IF(AND(ISNUMBER(T130),ISNUMBER(T129)),VLOOKUP(ABS(T130-T129),'IMP Table'!$A$2:$C$26,3)*SIGN(T130-T129),0)</f>
        <v/>
      </c>
      <c r="AK130">
        <f>IF(AND(ISNUMBER(T130),ISNUMBER(T131)),VLOOKUP(ABS(T130-T131),'IMP Table'!$A$2:$C$26,3)*SIGN(T130-T131),0)</f>
        <v/>
      </c>
      <c r="AL130">
        <f>IF(AND(ISNUMBER(T130),ISNUMBER(T132)),VLOOKUP(ABS(T130-T132),'IMP Table'!$A$2:$C$26,3)*SIGN(T130-T132),0)</f>
        <v/>
      </c>
      <c r="AM130">
        <f>IF(AND(ISNUMBER(T130),ISNUMBER(T133)),VLOOKUP(ABS(T130-T133),'IMP Table'!$A$2:$C$26,3)*SIGN(T130-T133),0)</f>
        <v/>
      </c>
      <c r="AN130">
        <f>IF(AND(ISNUMBER(T130),ISNUMBER(T134)),VLOOKUP(ABS(T130-T134),'IMP Table'!$A$2:$C$26,3)*SIGN(T130-T134),0)</f>
        <v/>
      </c>
    </row>
    <row r="131">
      <c r="B131" s="10">
        <f>'By Round'!A27</f>
        <v/>
      </c>
      <c r="C131" s="10">
        <f>'By Round'!B35</f>
        <v/>
      </c>
      <c r="D131" s="10">
        <f>'By Round'!C35</f>
        <v/>
      </c>
      <c r="E131" s="10">
        <f>'By Round'!D35</f>
        <v/>
      </c>
      <c r="F131" s="10">
        <f>IF(ISBLANK('By Round'!F36),"",'By Round'!F36)</f>
        <v/>
      </c>
      <c r="G131">
        <f>IF(ISBLANK('By Round'!G36),"",'By Round'!G36)</f>
        <v/>
      </c>
      <c r="H131">
        <f>IF(ISBLANK('By Round'!H36),"",'By Round'!H36)</f>
        <v/>
      </c>
      <c r="I131">
        <f>IF(ISBLANK('By Round'!I36),"",'By Round'!I36)</f>
        <v/>
      </c>
      <c r="J131">
        <f>IF(ISBLANK('By Round'!J36),"",'By Round'!J36)</f>
        <v/>
      </c>
      <c r="K131">
        <f>IF(ISBLANK('By Round'!K36),"",'By Round'!K36)</f>
        <v/>
      </c>
      <c r="L131">
        <f>IF(ISBLANK('By Round'!L36),"",'By Round'!L36)</f>
        <v/>
      </c>
      <c r="M131" s="11">
        <f>AVERAGE(AE131:AI131)</f>
        <v/>
      </c>
      <c r="N131" s="12">
        <f>AVERAGE(AJ131:AN131)</f>
        <v/>
      </c>
      <c r="O131" s="13">
        <f>IF(COUNT(U131:Y131)&gt;0,Q131/COUNT(U131:Y131),0.5)</f>
        <v/>
      </c>
      <c r="P131" s="13">
        <f>IF(COUNT(Z131:AD131)&gt;0,R131/COUNT(Z131:AD131),0.5)</f>
        <v/>
      </c>
      <c r="Q131" s="5">
        <f>SUM(U131:Y131)</f>
        <v/>
      </c>
      <c r="R131" s="5">
        <f>SUM(Z131:AD131)</f>
        <v/>
      </c>
      <c r="S131" s="14">
        <f>IF(ISNUMBER(K131),K131,IF(ISNUMBER(L131),-L131,""))</f>
        <v/>
      </c>
      <c r="T131">
        <f>IF(ISNUMBER(L131),L131,IF(ISNUMBER(K131),-K131,""))</f>
        <v/>
      </c>
      <c r="U131" s="14">
        <f>IF(ISNUMBER(S131),IF(ISNUMBER(S129),IF(S131&gt;S129,1.0,IF(S131=S129,0.5,0.0)),""),"")</f>
        <v/>
      </c>
      <c r="V131">
        <f>IF(ISNUMBER(S131),IF(ISNUMBER(S130),IF(S131&gt;S130,1.0,IF(S131=S130,0.5,0.0)),""),"")</f>
        <v/>
      </c>
      <c r="W131">
        <f>IF(ISNUMBER(S131),IF(ISNUMBER(S132),IF(S131&gt;S132,1.0,IF(S131=S132,0.5,0.0)),""),"")</f>
        <v/>
      </c>
      <c r="X131">
        <f>IF(ISNUMBER(S131),IF(ISNUMBER(S133),IF(S131&gt;S133,1.0,IF(S131=S133,0.5,0.0)),""),"")</f>
        <v/>
      </c>
      <c r="Y131">
        <f>IF(ISNUMBER(S131),IF(ISNUMBER(S134),IF(S131&gt;S134,1.0,IF(S131=S134,0.5,0.0)),""),"")</f>
        <v/>
      </c>
      <c r="Z131">
        <f>IF(ISNUMBER(T131),IF(ISNUMBER(T129),IF(T131&gt;T129,1.0,IF(T131=T129,0.5,0.0)),""),"")</f>
        <v/>
      </c>
      <c r="AA131">
        <f>IF(ISNUMBER(T131),IF(ISNUMBER(T130),IF(T131&gt;T130,1.0,IF(T131=T130,0.5,0.0)),""),"")</f>
        <v/>
      </c>
      <c r="AB131">
        <f>IF(ISNUMBER(T131),IF(ISNUMBER(T132),IF(T131&gt;T132,1.0,IF(T131=T132,0.5,0.0)),""),"")</f>
        <v/>
      </c>
      <c r="AC131">
        <f>IF(ISNUMBER(T131),IF(ISNUMBER(T133),IF(T131&gt;T133,1.0,IF(T131=T133,0.5,0.0)),""),"")</f>
        <v/>
      </c>
      <c r="AD131">
        <f>IF(ISNUMBER(T131),IF(ISNUMBER(T134),IF(T131&gt;T134,1.0,IF(T131=T134,0.5,0.0)),""),"")</f>
        <v/>
      </c>
      <c r="AE131" s="14">
        <f>IF(AND(ISNUMBER(S131),ISNUMBER(S129)),VLOOKUP(ABS(S131-S129),'IMP Table'!$A$2:$C$26,3)*SIGN(S131-S129),0)</f>
        <v/>
      </c>
      <c r="AF131">
        <f>IF(AND(ISNUMBER(S131),ISNUMBER(S130)),VLOOKUP(ABS(S131-S130),'IMP Table'!$A$2:$C$26,3)*SIGN(S131-S130),0)</f>
        <v/>
      </c>
      <c r="AG131">
        <f>IF(AND(ISNUMBER(S131),ISNUMBER(S132)),VLOOKUP(ABS(S131-S132),'IMP Table'!$A$2:$C$26,3)*SIGN(S131-S132),0)</f>
        <v/>
      </c>
      <c r="AH131">
        <f>IF(AND(ISNUMBER(S131),ISNUMBER(S133)),VLOOKUP(ABS(S131-S133),'IMP Table'!$A$2:$C$26,3)*SIGN(S131-S133),0)</f>
        <v/>
      </c>
      <c r="AI131">
        <f>IF(AND(ISNUMBER(S131),ISNUMBER(S134)),VLOOKUP(ABS(S131-S134),'IMP Table'!$A$2:$C$26,3)*SIGN(S131-S134),0)</f>
        <v/>
      </c>
      <c r="AJ131">
        <f>IF(AND(ISNUMBER(T131),ISNUMBER(T129)),VLOOKUP(ABS(T131-T129),'IMP Table'!$A$2:$C$26,3)*SIGN(T131-T129),0)</f>
        <v/>
      </c>
      <c r="AK131">
        <f>IF(AND(ISNUMBER(T131),ISNUMBER(T130)),VLOOKUP(ABS(T131-T130),'IMP Table'!$A$2:$C$26,3)*SIGN(T131-T130),0)</f>
        <v/>
      </c>
      <c r="AL131">
        <f>IF(AND(ISNUMBER(T131),ISNUMBER(T132)),VLOOKUP(ABS(T131-T132),'IMP Table'!$A$2:$C$26,3)*SIGN(T131-T132),0)</f>
        <v/>
      </c>
      <c r="AM131">
        <f>IF(AND(ISNUMBER(T131),ISNUMBER(T133)),VLOOKUP(ABS(T131-T133),'IMP Table'!$A$2:$C$26,3)*SIGN(T131-T133),0)</f>
        <v/>
      </c>
      <c r="AN131">
        <f>IF(AND(ISNUMBER(T131),ISNUMBER(T134)),VLOOKUP(ABS(T131-T134),'IMP Table'!$A$2:$C$26,3)*SIGN(T131-T134),0)</f>
        <v/>
      </c>
    </row>
    <row r="132">
      <c r="B132" s="10">
        <f>'By Round'!A39</f>
        <v/>
      </c>
      <c r="C132" s="10">
        <f>'By Round'!B45</f>
        <v/>
      </c>
      <c r="D132" s="10">
        <f>'By Round'!C45</f>
        <v/>
      </c>
      <c r="E132" s="10">
        <f>'By Round'!D45</f>
        <v/>
      </c>
      <c r="F132" s="10">
        <f>IF(ISBLANK('By Round'!F46),"",'By Round'!F46)</f>
        <v/>
      </c>
      <c r="G132">
        <f>IF(ISBLANK('By Round'!G46),"",'By Round'!G46)</f>
        <v/>
      </c>
      <c r="H132">
        <f>IF(ISBLANK('By Round'!H46),"",'By Round'!H46)</f>
        <v/>
      </c>
      <c r="I132">
        <f>IF(ISBLANK('By Round'!I46),"",'By Round'!I46)</f>
        <v/>
      </c>
      <c r="J132">
        <f>IF(ISBLANK('By Round'!J46),"",'By Round'!J46)</f>
        <v/>
      </c>
      <c r="K132">
        <f>IF(ISBLANK('By Round'!K46),"",'By Round'!K46)</f>
        <v/>
      </c>
      <c r="L132">
        <f>IF(ISBLANK('By Round'!L46),"",'By Round'!L46)</f>
        <v/>
      </c>
      <c r="M132" s="11">
        <f>AVERAGE(AE132:AI132)</f>
        <v/>
      </c>
      <c r="N132" s="12">
        <f>AVERAGE(AJ132:AN132)</f>
        <v/>
      </c>
      <c r="O132" s="13">
        <f>IF(COUNT(U132:Y132)&gt;0,Q132/COUNT(U132:Y132),0.5)</f>
        <v/>
      </c>
      <c r="P132" s="13">
        <f>IF(COUNT(Z132:AD132)&gt;0,R132/COUNT(Z132:AD132),0.5)</f>
        <v/>
      </c>
      <c r="Q132" s="5">
        <f>SUM(U132:Y132)</f>
        <v/>
      </c>
      <c r="R132" s="5">
        <f>SUM(Z132:AD132)</f>
        <v/>
      </c>
      <c r="S132" s="14">
        <f>IF(ISNUMBER(K132),K132,IF(ISNUMBER(L132),-L132,""))</f>
        <v/>
      </c>
      <c r="T132">
        <f>IF(ISNUMBER(L132),L132,IF(ISNUMBER(K132),-K132,""))</f>
        <v/>
      </c>
      <c r="U132" s="14">
        <f>IF(ISNUMBER(S132),IF(ISNUMBER(S129),IF(S132&gt;S129,1.0,IF(S132=S129,0.5,0.0)),""),"")</f>
        <v/>
      </c>
      <c r="V132">
        <f>IF(ISNUMBER(S132),IF(ISNUMBER(S130),IF(S132&gt;S130,1.0,IF(S132=S130,0.5,0.0)),""),"")</f>
        <v/>
      </c>
      <c r="W132">
        <f>IF(ISNUMBER(S132),IF(ISNUMBER(S131),IF(S132&gt;S131,1.0,IF(S132=S131,0.5,0.0)),""),"")</f>
        <v/>
      </c>
      <c r="X132">
        <f>IF(ISNUMBER(S132),IF(ISNUMBER(S133),IF(S132&gt;S133,1.0,IF(S132=S133,0.5,0.0)),""),"")</f>
        <v/>
      </c>
      <c r="Y132">
        <f>IF(ISNUMBER(S132),IF(ISNUMBER(S134),IF(S132&gt;S134,1.0,IF(S132=S134,0.5,0.0)),""),"")</f>
        <v/>
      </c>
      <c r="Z132">
        <f>IF(ISNUMBER(T132),IF(ISNUMBER(T129),IF(T132&gt;T129,1.0,IF(T132=T129,0.5,0.0)),""),"")</f>
        <v/>
      </c>
      <c r="AA132">
        <f>IF(ISNUMBER(T132),IF(ISNUMBER(T130),IF(T132&gt;T130,1.0,IF(T132=T130,0.5,0.0)),""),"")</f>
        <v/>
      </c>
      <c r="AB132">
        <f>IF(ISNUMBER(T132),IF(ISNUMBER(T131),IF(T132&gt;T131,1.0,IF(T132=T131,0.5,0.0)),""),"")</f>
        <v/>
      </c>
      <c r="AC132">
        <f>IF(ISNUMBER(T132),IF(ISNUMBER(T133),IF(T132&gt;T133,1.0,IF(T132=T133,0.5,0.0)),""),"")</f>
        <v/>
      </c>
      <c r="AD132">
        <f>IF(ISNUMBER(T132),IF(ISNUMBER(T134),IF(T132&gt;T134,1.0,IF(T132=T134,0.5,0.0)),""),"")</f>
        <v/>
      </c>
      <c r="AE132" s="14">
        <f>IF(AND(ISNUMBER(S132),ISNUMBER(S129)),VLOOKUP(ABS(S132-S129),'IMP Table'!$A$2:$C$26,3)*SIGN(S132-S129),0)</f>
        <v/>
      </c>
      <c r="AF132">
        <f>IF(AND(ISNUMBER(S132),ISNUMBER(S130)),VLOOKUP(ABS(S132-S130),'IMP Table'!$A$2:$C$26,3)*SIGN(S132-S130),0)</f>
        <v/>
      </c>
      <c r="AG132">
        <f>IF(AND(ISNUMBER(S132),ISNUMBER(S131)),VLOOKUP(ABS(S132-S131),'IMP Table'!$A$2:$C$26,3)*SIGN(S132-S131),0)</f>
        <v/>
      </c>
      <c r="AH132">
        <f>IF(AND(ISNUMBER(S132),ISNUMBER(S133)),VLOOKUP(ABS(S132-S133),'IMP Table'!$A$2:$C$26,3)*SIGN(S132-S133),0)</f>
        <v/>
      </c>
      <c r="AI132">
        <f>IF(AND(ISNUMBER(S132),ISNUMBER(S134)),VLOOKUP(ABS(S132-S134),'IMP Table'!$A$2:$C$26,3)*SIGN(S132-S134),0)</f>
        <v/>
      </c>
      <c r="AJ132">
        <f>IF(AND(ISNUMBER(T132),ISNUMBER(T129)),VLOOKUP(ABS(T132-T129),'IMP Table'!$A$2:$C$26,3)*SIGN(T132-T129),0)</f>
        <v/>
      </c>
      <c r="AK132">
        <f>IF(AND(ISNUMBER(T132),ISNUMBER(T130)),VLOOKUP(ABS(T132-T130),'IMP Table'!$A$2:$C$26,3)*SIGN(T132-T130),0)</f>
        <v/>
      </c>
      <c r="AL132">
        <f>IF(AND(ISNUMBER(T132),ISNUMBER(T131)),VLOOKUP(ABS(T132-T131),'IMP Table'!$A$2:$C$26,3)*SIGN(T132-T131),0)</f>
        <v/>
      </c>
      <c r="AM132">
        <f>IF(AND(ISNUMBER(T132),ISNUMBER(T133)),VLOOKUP(ABS(T132-T133),'IMP Table'!$A$2:$C$26,3)*SIGN(T132-T133),0)</f>
        <v/>
      </c>
      <c r="AN132">
        <f>IF(AND(ISNUMBER(T132),ISNUMBER(T134)),VLOOKUP(ABS(T132-T134),'IMP Table'!$A$2:$C$26,3)*SIGN(T132-T134),0)</f>
        <v/>
      </c>
    </row>
    <row r="133">
      <c r="B133" s="10">
        <f>'By Round'!A75</f>
        <v/>
      </c>
      <c r="C133" s="10">
        <f>'By Round'!B77</f>
        <v/>
      </c>
      <c r="D133" s="10">
        <f>'By Round'!C77</f>
        <v/>
      </c>
      <c r="E133" s="10">
        <f>'By Round'!D77</f>
        <v/>
      </c>
      <c r="F133" s="10">
        <f>IF(ISBLANK('By Round'!F78),"",'By Round'!F78)</f>
        <v/>
      </c>
      <c r="G133">
        <f>IF(ISBLANK('By Round'!G78),"",'By Round'!G78)</f>
        <v/>
      </c>
      <c r="H133">
        <f>IF(ISBLANK('By Round'!H78),"",'By Round'!H78)</f>
        <v/>
      </c>
      <c r="I133">
        <f>IF(ISBLANK('By Round'!I78),"",'By Round'!I78)</f>
        <v/>
      </c>
      <c r="J133">
        <f>IF(ISBLANK('By Round'!J78),"",'By Round'!J78)</f>
        <v/>
      </c>
      <c r="K133">
        <f>IF(ISBLANK('By Round'!K78),"",'By Round'!K78)</f>
        <v/>
      </c>
      <c r="L133">
        <f>IF(ISBLANK('By Round'!L78),"",'By Round'!L78)</f>
        <v/>
      </c>
      <c r="M133" s="11">
        <f>AVERAGE(AE133:AI133)</f>
        <v/>
      </c>
      <c r="N133" s="12">
        <f>AVERAGE(AJ133:AN133)</f>
        <v/>
      </c>
      <c r="O133" s="13">
        <f>IF(COUNT(U133:Y133)&gt;0,Q133/COUNT(U133:Y133),0.5)</f>
        <v/>
      </c>
      <c r="P133" s="13">
        <f>IF(COUNT(Z133:AD133)&gt;0,R133/COUNT(Z133:AD133),0.5)</f>
        <v/>
      </c>
      <c r="Q133" s="5">
        <f>SUM(U133:Y133)</f>
        <v/>
      </c>
      <c r="R133" s="5">
        <f>SUM(Z133:AD133)</f>
        <v/>
      </c>
      <c r="S133" s="14">
        <f>IF(ISNUMBER(K133),K133,IF(ISNUMBER(L133),-L133,""))</f>
        <v/>
      </c>
      <c r="T133">
        <f>IF(ISNUMBER(L133),L133,IF(ISNUMBER(K133),-K133,""))</f>
        <v/>
      </c>
      <c r="U133" s="14">
        <f>IF(ISNUMBER(S133),IF(ISNUMBER(S129),IF(S133&gt;S129,1.0,IF(S133=S129,0.5,0.0)),""),"")</f>
        <v/>
      </c>
      <c r="V133">
        <f>IF(ISNUMBER(S133),IF(ISNUMBER(S130),IF(S133&gt;S130,1.0,IF(S133=S130,0.5,0.0)),""),"")</f>
        <v/>
      </c>
      <c r="W133">
        <f>IF(ISNUMBER(S133),IF(ISNUMBER(S131),IF(S133&gt;S131,1.0,IF(S133=S131,0.5,0.0)),""),"")</f>
        <v/>
      </c>
      <c r="X133">
        <f>IF(ISNUMBER(S133),IF(ISNUMBER(S132),IF(S133&gt;S132,1.0,IF(S133=S132,0.5,0.0)),""),"")</f>
        <v/>
      </c>
      <c r="Y133">
        <f>IF(ISNUMBER(S133),IF(ISNUMBER(S134),IF(S133&gt;S134,1.0,IF(S133=S134,0.5,0.0)),""),"")</f>
        <v/>
      </c>
      <c r="Z133">
        <f>IF(ISNUMBER(T133),IF(ISNUMBER(T129),IF(T133&gt;T129,1.0,IF(T133=T129,0.5,0.0)),""),"")</f>
        <v/>
      </c>
      <c r="AA133">
        <f>IF(ISNUMBER(T133),IF(ISNUMBER(T130),IF(T133&gt;T130,1.0,IF(T133=T130,0.5,0.0)),""),"")</f>
        <v/>
      </c>
      <c r="AB133">
        <f>IF(ISNUMBER(T133),IF(ISNUMBER(T131),IF(T133&gt;T131,1.0,IF(T133=T131,0.5,0.0)),""),"")</f>
        <v/>
      </c>
      <c r="AC133">
        <f>IF(ISNUMBER(T133),IF(ISNUMBER(T132),IF(T133&gt;T132,1.0,IF(T133=T132,0.5,0.0)),""),"")</f>
        <v/>
      </c>
      <c r="AD133">
        <f>IF(ISNUMBER(T133),IF(ISNUMBER(T134),IF(T133&gt;T134,1.0,IF(T133=T134,0.5,0.0)),""),"")</f>
        <v/>
      </c>
      <c r="AE133" s="14">
        <f>IF(AND(ISNUMBER(S133),ISNUMBER(S129)),VLOOKUP(ABS(S133-S129),'IMP Table'!$A$2:$C$26,3)*SIGN(S133-S129),0)</f>
        <v/>
      </c>
      <c r="AF133">
        <f>IF(AND(ISNUMBER(S133),ISNUMBER(S130)),VLOOKUP(ABS(S133-S130),'IMP Table'!$A$2:$C$26,3)*SIGN(S133-S130),0)</f>
        <v/>
      </c>
      <c r="AG133">
        <f>IF(AND(ISNUMBER(S133),ISNUMBER(S131)),VLOOKUP(ABS(S133-S131),'IMP Table'!$A$2:$C$26,3)*SIGN(S133-S131),0)</f>
        <v/>
      </c>
      <c r="AH133">
        <f>IF(AND(ISNUMBER(S133),ISNUMBER(S132)),VLOOKUP(ABS(S133-S132),'IMP Table'!$A$2:$C$26,3)*SIGN(S133-S132),0)</f>
        <v/>
      </c>
      <c r="AI133">
        <f>IF(AND(ISNUMBER(S133),ISNUMBER(S134)),VLOOKUP(ABS(S133-S134),'IMP Table'!$A$2:$C$26,3)*SIGN(S133-S134),0)</f>
        <v/>
      </c>
      <c r="AJ133">
        <f>IF(AND(ISNUMBER(T133),ISNUMBER(T129)),VLOOKUP(ABS(T133-T129),'IMP Table'!$A$2:$C$26,3)*SIGN(T133-T129),0)</f>
        <v/>
      </c>
      <c r="AK133">
        <f>IF(AND(ISNUMBER(T133),ISNUMBER(T130)),VLOOKUP(ABS(T133-T130),'IMP Table'!$A$2:$C$26,3)*SIGN(T133-T130),0)</f>
        <v/>
      </c>
      <c r="AL133">
        <f>IF(AND(ISNUMBER(T133),ISNUMBER(T131)),VLOOKUP(ABS(T133-T131),'IMP Table'!$A$2:$C$26,3)*SIGN(T133-T131),0)</f>
        <v/>
      </c>
      <c r="AM133">
        <f>IF(AND(ISNUMBER(T133),ISNUMBER(T132)),VLOOKUP(ABS(T133-T132),'IMP Table'!$A$2:$C$26,3)*SIGN(T133-T132),0)</f>
        <v/>
      </c>
      <c r="AN133">
        <f>IF(AND(ISNUMBER(T133),ISNUMBER(T134)),VLOOKUP(ABS(T133-T134),'IMP Table'!$A$2:$C$26,3)*SIGN(T133-T134),0)</f>
        <v/>
      </c>
    </row>
    <row r="134">
      <c r="A134" s="15" t="n"/>
      <c r="B134" s="16">
        <f>'By Round'!A15</f>
        <v/>
      </c>
      <c r="C134" s="16">
        <f>'By Round'!B25</f>
        <v/>
      </c>
      <c r="D134" s="16">
        <f>'By Round'!C25</f>
        <v/>
      </c>
      <c r="E134" s="16">
        <f>'By Round'!D25</f>
        <v/>
      </c>
      <c r="F134" s="16">
        <f>IF(ISBLANK('By Round'!F26),"",'By Round'!F26)</f>
        <v/>
      </c>
      <c r="G134" s="15">
        <f>IF(ISBLANK('By Round'!G26),"",'By Round'!G26)</f>
        <v/>
      </c>
      <c r="H134" s="15">
        <f>IF(ISBLANK('By Round'!H26),"",'By Round'!H26)</f>
        <v/>
      </c>
      <c r="I134" s="15">
        <f>IF(ISBLANK('By Round'!I26),"",'By Round'!I26)</f>
        <v/>
      </c>
      <c r="J134" s="15">
        <f>IF(ISBLANK('By Round'!J26),"",'By Round'!J26)</f>
        <v/>
      </c>
      <c r="K134" s="15">
        <f>IF(ISBLANK('By Round'!K26),"",'By Round'!K26)</f>
        <v/>
      </c>
      <c r="L134" s="15">
        <f>IF(ISBLANK('By Round'!L26),"",'By Round'!L26)</f>
        <v/>
      </c>
      <c r="M134" s="17">
        <f>AVERAGE(AE134:AI134)</f>
        <v/>
      </c>
      <c r="N134" s="18">
        <f>AVERAGE(AJ134:AN134)</f>
        <v/>
      </c>
      <c r="O134" s="19">
        <f>IF(COUNT(U134:Y134)&gt;0,Q134/COUNT(U134:Y134),0.5)</f>
        <v/>
      </c>
      <c r="P134" s="19">
        <f>IF(COUNT(Z134:AD134)&gt;0,R134/COUNT(Z134:AD134),0.5)</f>
        <v/>
      </c>
      <c r="Q134" s="20">
        <f>SUM(U134:Y134)</f>
        <v/>
      </c>
      <c r="R134" s="20">
        <f>SUM(Z134:AD134)</f>
        <v/>
      </c>
      <c r="S134" s="21">
        <f>IF(ISNUMBER(K134),K134,IF(ISNUMBER(L134),-L134,""))</f>
        <v/>
      </c>
      <c r="T134" s="15">
        <f>IF(ISNUMBER(L134),L134,IF(ISNUMBER(K134),-K134,""))</f>
        <v/>
      </c>
      <c r="U134" s="21">
        <f>IF(ISNUMBER(S134),IF(ISNUMBER(S129),IF(S134&gt;S129,1.0,IF(S134=S129,0.5,0.0)),""),"")</f>
        <v/>
      </c>
      <c r="V134" s="15">
        <f>IF(ISNUMBER(S134),IF(ISNUMBER(S130),IF(S134&gt;S130,1.0,IF(S134=S130,0.5,0.0)),""),"")</f>
        <v/>
      </c>
      <c r="W134" s="15">
        <f>IF(ISNUMBER(S134),IF(ISNUMBER(S131),IF(S134&gt;S131,1.0,IF(S134=S131,0.5,0.0)),""),"")</f>
        <v/>
      </c>
      <c r="X134" s="15">
        <f>IF(ISNUMBER(S134),IF(ISNUMBER(S132),IF(S134&gt;S132,1.0,IF(S134=S132,0.5,0.0)),""),"")</f>
        <v/>
      </c>
      <c r="Y134" s="15">
        <f>IF(ISNUMBER(S134),IF(ISNUMBER(S133),IF(S134&gt;S133,1.0,IF(S134=S133,0.5,0.0)),""),"")</f>
        <v/>
      </c>
      <c r="Z134" s="15">
        <f>IF(ISNUMBER(T134),IF(ISNUMBER(T129),IF(T134&gt;T129,1.0,IF(T134=T129,0.5,0.0)),""),"")</f>
        <v/>
      </c>
      <c r="AA134" s="15">
        <f>IF(ISNUMBER(T134),IF(ISNUMBER(T130),IF(T134&gt;T130,1.0,IF(T134=T130,0.5,0.0)),""),"")</f>
        <v/>
      </c>
      <c r="AB134" s="15">
        <f>IF(ISNUMBER(T134),IF(ISNUMBER(T131),IF(T134&gt;T131,1.0,IF(T134=T131,0.5,0.0)),""),"")</f>
        <v/>
      </c>
      <c r="AC134" s="15">
        <f>IF(ISNUMBER(T134),IF(ISNUMBER(T132),IF(T134&gt;T132,1.0,IF(T134=T132,0.5,0.0)),""),"")</f>
        <v/>
      </c>
      <c r="AD134" s="15">
        <f>IF(ISNUMBER(T134),IF(ISNUMBER(T133),IF(T134&gt;T133,1.0,IF(T134=T133,0.5,0.0)),""),"")</f>
        <v/>
      </c>
      <c r="AE134" s="21">
        <f>IF(AND(ISNUMBER(S134),ISNUMBER(S129)),VLOOKUP(ABS(S134-S129),'IMP Table'!$A$2:$C$26,3)*SIGN(S134-S129),0)</f>
        <v/>
      </c>
      <c r="AF134" s="15">
        <f>IF(AND(ISNUMBER(S134),ISNUMBER(S130)),VLOOKUP(ABS(S134-S130),'IMP Table'!$A$2:$C$26,3)*SIGN(S134-S130),0)</f>
        <v/>
      </c>
      <c r="AG134" s="15">
        <f>IF(AND(ISNUMBER(S134),ISNUMBER(S131)),VLOOKUP(ABS(S134-S131),'IMP Table'!$A$2:$C$26,3)*SIGN(S134-S131),0)</f>
        <v/>
      </c>
      <c r="AH134" s="15">
        <f>IF(AND(ISNUMBER(S134),ISNUMBER(S132)),VLOOKUP(ABS(S134-S132),'IMP Table'!$A$2:$C$26,3)*SIGN(S134-S132),0)</f>
        <v/>
      </c>
      <c r="AI134" s="15">
        <f>IF(AND(ISNUMBER(S134),ISNUMBER(S133)),VLOOKUP(ABS(S134-S133),'IMP Table'!$A$2:$C$26,3)*SIGN(S134-S133),0)</f>
        <v/>
      </c>
      <c r="AJ134" s="15">
        <f>IF(AND(ISNUMBER(T134),ISNUMBER(T129)),VLOOKUP(ABS(T134-T129),'IMP Table'!$A$2:$C$26,3)*SIGN(T134-T129),0)</f>
        <v/>
      </c>
      <c r="AK134" s="15">
        <f>IF(AND(ISNUMBER(T134),ISNUMBER(T130)),VLOOKUP(ABS(T134-T130),'IMP Table'!$A$2:$C$26,3)*SIGN(T134-T130),0)</f>
        <v/>
      </c>
      <c r="AL134" s="15">
        <f>IF(AND(ISNUMBER(T134),ISNUMBER(T131)),VLOOKUP(ABS(T134-T131),'IMP Table'!$A$2:$C$26,3)*SIGN(T134-T131),0)</f>
        <v/>
      </c>
      <c r="AM134" s="15">
        <f>IF(AND(ISNUMBER(T134),ISNUMBER(T132)),VLOOKUP(ABS(T134-T132),'IMP Table'!$A$2:$C$26,3)*SIGN(T134-T132),0)</f>
        <v/>
      </c>
      <c r="AN134" s="15">
        <f>IF(AND(ISNUMBER(T134),ISNUMBER(T133)),VLOOKUP(ABS(T134-T133),'IMP Table'!$A$2:$C$26,3)*SIGN(T134-T133),0)</f>
        <v/>
      </c>
    </row>
  </sheetData>
  <mergeCells count="12">
    <mergeCell ref="U1:AD1"/>
    <mergeCell ref="Q1:R1"/>
    <mergeCell ref="U2:Y2"/>
    <mergeCell ref="Z2:AD2"/>
    <mergeCell ref="K1:L1"/>
    <mergeCell ref="S1:T1"/>
    <mergeCell ref="AE2:AI2"/>
    <mergeCell ref="O1:P1"/>
    <mergeCell ref="AJ2:AN2"/>
    <mergeCell ref="M1:N1"/>
    <mergeCell ref="I1:J1"/>
    <mergeCell ref="AE1:A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</row>
    <row r="2">
      <c r="A2" s="2" t="inlineStr">
        <is>
          <t>Round</t>
        </is>
      </c>
      <c r="B2" s="2" t="inlineStr">
        <is>
          <t>Table</t>
        </is>
      </c>
      <c r="C2" s="2" t="inlineStr">
        <is>
          <t>NS</t>
        </is>
      </c>
      <c r="D2" s="2" t="inlineStr">
        <is>
          <t>EW</t>
        </is>
      </c>
      <c r="E2" s="2" t="inlineStr">
        <is>
          <t>Board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</row>
    <row r="3">
      <c r="A3" s="10" t="n">
        <v>1</v>
      </c>
      <c r="B3" s="10" t="n">
        <v>1</v>
      </c>
      <c r="C3" s="10" t="inlineStr">
        <is>
          <t>Sit-Out</t>
        </is>
      </c>
      <c r="D3" s="10" t="n">
        <v>1</v>
      </c>
      <c r="E3" s="10" t="n">
        <v>1</v>
      </c>
      <c r="F3" s="10" t="inlineStr">
        <is>
          <t>None</t>
        </is>
      </c>
    </row>
    <row r="4">
      <c r="B4" s="16" t="n"/>
      <c r="C4" s="16" t="n"/>
      <c r="D4" s="16" t="n"/>
      <c r="E4" s="16" t="n">
        <v>2</v>
      </c>
      <c r="F4" s="16" t="inlineStr">
        <is>
          <t>NS</t>
        </is>
      </c>
      <c r="G4" s="15" t="n"/>
      <c r="H4" s="15" t="n"/>
      <c r="I4" s="15" t="n"/>
      <c r="J4" s="15" t="n"/>
      <c r="K4" s="15" t="n"/>
      <c r="L4" s="15" t="n"/>
    </row>
    <row r="5">
      <c r="B5" s="10" t="n">
        <v>2</v>
      </c>
      <c r="C5" s="10" t="n">
        <v>3</v>
      </c>
      <c r="D5" s="10" t="n">
        <v>10</v>
      </c>
      <c r="E5" s="10" t="n">
        <v>9</v>
      </c>
      <c r="F5" s="10" t="inlineStr">
        <is>
          <t>EW</t>
        </is>
      </c>
    </row>
    <row r="6">
      <c r="B6" s="16" t="n"/>
      <c r="C6" s="16" t="n"/>
      <c r="D6" s="16" t="n"/>
      <c r="E6" s="16" t="n">
        <v>10</v>
      </c>
      <c r="F6" s="16" t="inlineStr">
        <is>
          <t>Both</t>
        </is>
      </c>
      <c r="G6" s="15" t="n"/>
      <c r="H6" s="15" t="n"/>
      <c r="I6" s="15" t="n"/>
      <c r="J6" s="15" t="n"/>
      <c r="K6" s="15" t="n"/>
      <c r="L6" s="15" t="n"/>
    </row>
    <row r="7">
      <c r="B7" s="10" t="n">
        <v>3</v>
      </c>
      <c r="C7" s="10" t="n">
        <v>8</v>
      </c>
      <c r="D7" s="10" t="n">
        <v>7</v>
      </c>
      <c r="E7" s="10" t="n">
        <v>11</v>
      </c>
      <c r="F7" s="10" t="inlineStr">
        <is>
          <t>None</t>
        </is>
      </c>
    </row>
    <row r="8">
      <c r="B8" s="16" t="n"/>
      <c r="C8" s="16" t="n"/>
      <c r="D8" s="16" t="n"/>
      <c r="E8" s="16" t="n">
        <v>12</v>
      </c>
      <c r="F8" s="16" t="inlineStr">
        <is>
          <t>NS</t>
        </is>
      </c>
      <c r="G8" s="15" t="n"/>
      <c r="H8" s="15" t="n"/>
      <c r="I8" s="15" t="n"/>
      <c r="J8" s="15" t="n"/>
      <c r="K8" s="15" t="n"/>
      <c r="L8" s="15" t="n"/>
    </row>
    <row r="9">
      <c r="B9" s="10" t="n">
        <v>4</v>
      </c>
      <c r="C9" s="10" t="n">
        <v>5</v>
      </c>
      <c r="D9" s="10" t="n">
        <v>11</v>
      </c>
      <c r="E9" s="10" t="n">
        <v>15</v>
      </c>
      <c r="F9" s="10" t="inlineStr">
        <is>
          <t>NS</t>
        </is>
      </c>
    </row>
    <row r="10">
      <c r="B10" s="16" t="n"/>
      <c r="C10" s="16" t="n"/>
      <c r="D10" s="16" t="n"/>
      <c r="E10" s="16" t="n">
        <v>16</v>
      </c>
      <c r="F10" s="16" t="inlineStr">
        <is>
          <t>EW</t>
        </is>
      </c>
      <c r="G10" s="15" t="n"/>
      <c r="H10" s="15" t="n"/>
      <c r="I10" s="15" t="n"/>
      <c r="J10" s="15" t="n"/>
      <c r="K10" s="15" t="n"/>
      <c r="L10" s="15" t="n"/>
    </row>
    <row r="11">
      <c r="B11" s="10" t="n">
        <v>5</v>
      </c>
      <c r="C11" s="10" t="n">
        <v>4</v>
      </c>
      <c r="D11" s="10" t="n">
        <v>2</v>
      </c>
      <c r="E11" s="10" t="n">
        <v>17</v>
      </c>
      <c r="F11" s="10" t="inlineStr">
        <is>
          <t>None</t>
        </is>
      </c>
    </row>
    <row r="12">
      <c r="B12" s="16" t="n"/>
      <c r="C12" s="16" t="n"/>
      <c r="D12" s="16" t="n"/>
      <c r="E12" s="16" t="n">
        <v>18</v>
      </c>
      <c r="F12" s="16" t="inlineStr">
        <is>
          <t>NS</t>
        </is>
      </c>
      <c r="G12" s="15" t="n"/>
      <c r="H12" s="15" t="n"/>
      <c r="I12" s="15" t="n"/>
      <c r="J12" s="15" t="n"/>
      <c r="K12" s="15" t="n"/>
      <c r="L12" s="15" t="n"/>
    </row>
    <row r="13">
      <c r="B13" s="10" t="n">
        <v>6</v>
      </c>
      <c r="C13" s="10" t="n">
        <v>9</v>
      </c>
      <c r="D13" s="10" t="n">
        <v>6</v>
      </c>
      <c r="E13" s="10" t="n">
        <v>19</v>
      </c>
      <c r="F13" s="10" t="inlineStr">
        <is>
          <t>EW</t>
        </is>
      </c>
    </row>
    <row r="14">
      <c r="A14" s="15" t="n"/>
      <c r="B14" s="16" t="n"/>
      <c r="C14" s="16" t="n"/>
      <c r="D14" s="16" t="n"/>
      <c r="E14" s="16" t="n">
        <v>20</v>
      </c>
      <c r="F14" s="16" t="inlineStr">
        <is>
          <t>Both</t>
        </is>
      </c>
      <c r="G14" s="15" t="n"/>
      <c r="H14" s="15" t="n"/>
      <c r="I14" s="15" t="n"/>
      <c r="J14" s="15" t="n"/>
      <c r="K14" s="15" t="n"/>
      <c r="L14" s="15" t="n"/>
    </row>
    <row r="15">
      <c r="A15" s="10" t="n">
        <v>2</v>
      </c>
      <c r="B15" s="10" t="n">
        <v>1</v>
      </c>
      <c r="C15" s="10" t="inlineStr">
        <is>
          <t>Sit-Out</t>
        </is>
      </c>
      <c r="D15" s="10" t="n">
        <v>2</v>
      </c>
      <c r="E15" s="10" t="n">
        <v>3</v>
      </c>
      <c r="F15" s="10" t="inlineStr">
        <is>
          <t>EW</t>
        </is>
      </c>
    </row>
    <row r="16">
      <c r="B16" s="16" t="n"/>
      <c r="C16" s="16" t="n"/>
      <c r="D16" s="16" t="n"/>
      <c r="E16" s="16" t="n">
        <v>4</v>
      </c>
      <c r="F16" s="16" t="inlineStr">
        <is>
          <t>Both</t>
        </is>
      </c>
      <c r="G16" s="15" t="n"/>
      <c r="H16" s="15" t="n"/>
      <c r="I16" s="15" t="n"/>
      <c r="J16" s="15" t="n"/>
      <c r="K16" s="15" t="n"/>
      <c r="L16" s="15" t="n"/>
    </row>
    <row r="17">
      <c r="B17" s="10" t="n">
        <v>2</v>
      </c>
      <c r="C17" s="10" t="n">
        <v>4</v>
      </c>
      <c r="D17" s="10" t="n">
        <v>11</v>
      </c>
      <c r="E17" s="10" t="n">
        <v>11</v>
      </c>
      <c r="F17" s="10" t="inlineStr">
        <is>
          <t>None</t>
        </is>
      </c>
    </row>
    <row r="18">
      <c r="B18" s="16" t="n"/>
      <c r="C18" s="16" t="n"/>
      <c r="D18" s="16" t="n"/>
      <c r="E18" s="16" t="n">
        <v>12</v>
      </c>
      <c r="F18" s="16" t="inlineStr">
        <is>
          <t>NS</t>
        </is>
      </c>
      <c r="G18" s="15" t="n"/>
      <c r="H18" s="15" t="n"/>
      <c r="I18" s="15" t="n"/>
      <c r="J18" s="15" t="n"/>
      <c r="K18" s="15" t="n"/>
      <c r="L18" s="15" t="n"/>
    </row>
    <row r="19">
      <c r="B19" s="10" t="n">
        <v>3</v>
      </c>
      <c r="C19" s="10" t="n">
        <v>9</v>
      </c>
      <c r="D19" s="10" t="n">
        <v>8</v>
      </c>
      <c r="E19" s="10" t="n">
        <v>13</v>
      </c>
      <c r="F19" s="10" t="inlineStr">
        <is>
          <t>Both</t>
        </is>
      </c>
    </row>
    <row r="20">
      <c r="B20" s="16" t="n"/>
      <c r="C20" s="16" t="n"/>
      <c r="D20" s="16" t="n"/>
      <c r="E20" s="16" t="n">
        <v>14</v>
      </c>
      <c r="F20" s="16" t="inlineStr">
        <is>
          <t>None</t>
        </is>
      </c>
      <c r="G20" s="15" t="n"/>
      <c r="H20" s="15" t="n"/>
      <c r="I20" s="15" t="n"/>
      <c r="J20" s="15" t="n"/>
      <c r="K20" s="15" t="n"/>
      <c r="L20" s="15" t="n"/>
    </row>
    <row r="21">
      <c r="B21" s="10" t="n">
        <v>4</v>
      </c>
      <c r="C21" s="10" t="n">
        <v>6</v>
      </c>
      <c r="D21" s="10" t="n">
        <v>1</v>
      </c>
      <c r="E21" s="10" t="n">
        <v>17</v>
      </c>
      <c r="F21" s="10" t="inlineStr">
        <is>
          <t>None</t>
        </is>
      </c>
    </row>
    <row r="22">
      <c r="B22" s="16" t="n"/>
      <c r="C22" s="16" t="n"/>
      <c r="D22" s="16" t="n"/>
      <c r="E22" s="16" t="n">
        <v>18</v>
      </c>
      <c r="F22" s="16" t="inlineStr">
        <is>
          <t>NS</t>
        </is>
      </c>
      <c r="G22" s="15" t="n"/>
      <c r="H22" s="15" t="n"/>
      <c r="I22" s="15" t="n"/>
      <c r="J22" s="15" t="n"/>
      <c r="K22" s="15" t="n"/>
      <c r="L22" s="15" t="n"/>
    </row>
    <row r="23">
      <c r="B23" s="10" t="n">
        <v>5</v>
      </c>
      <c r="C23" s="10" t="n">
        <v>5</v>
      </c>
      <c r="D23" s="10" t="n">
        <v>3</v>
      </c>
      <c r="E23" s="10" t="n">
        <v>19</v>
      </c>
      <c r="F23" s="10" t="inlineStr">
        <is>
          <t>EW</t>
        </is>
      </c>
    </row>
    <row r="24">
      <c r="B24" s="16" t="n"/>
      <c r="C24" s="16" t="n"/>
      <c r="D24" s="16" t="n"/>
      <c r="E24" s="16" t="n">
        <v>20</v>
      </c>
      <c r="F24" s="16" t="inlineStr">
        <is>
          <t>Both</t>
        </is>
      </c>
      <c r="G24" s="15" t="n"/>
      <c r="H24" s="15" t="n"/>
      <c r="I24" s="15" t="n"/>
      <c r="J24" s="15" t="n"/>
      <c r="K24" s="15" t="n"/>
      <c r="L24" s="15" t="n"/>
    </row>
    <row r="25">
      <c r="B25" s="10" t="n">
        <v>6</v>
      </c>
      <c r="C25" s="10" t="n">
        <v>10</v>
      </c>
      <c r="D25" s="10" t="n">
        <v>7</v>
      </c>
      <c r="E25" s="10" t="n">
        <v>21</v>
      </c>
      <c r="F25" s="10" t="inlineStr">
        <is>
          <t>NS</t>
        </is>
      </c>
    </row>
    <row r="26">
      <c r="A26" s="15" t="n"/>
      <c r="B26" s="16" t="n"/>
      <c r="C26" s="16" t="n"/>
      <c r="D26" s="16" t="n"/>
      <c r="E26" s="16" t="n">
        <v>22</v>
      </c>
      <c r="F26" s="16" t="inlineStr">
        <is>
          <t>EW</t>
        </is>
      </c>
      <c r="G26" s="15" t="n"/>
      <c r="H26" s="15" t="n"/>
      <c r="I26" s="15" t="n"/>
      <c r="J26" s="15" t="n"/>
      <c r="K26" s="15" t="n"/>
      <c r="L26" s="15" t="n"/>
    </row>
    <row r="27">
      <c r="A27" s="10" t="n">
        <v>3</v>
      </c>
      <c r="B27" s="10" t="n">
        <v>1</v>
      </c>
      <c r="C27" s="10" t="inlineStr">
        <is>
          <t>Sit-Out</t>
        </is>
      </c>
      <c r="D27" s="10" t="n">
        <v>3</v>
      </c>
      <c r="E27" s="10" t="n">
        <v>5</v>
      </c>
      <c r="F27" s="10" t="inlineStr">
        <is>
          <t>NS</t>
        </is>
      </c>
    </row>
    <row r="28">
      <c r="B28" s="16" t="n"/>
      <c r="C28" s="16" t="n"/>
      <c r="D28" s="16" t="n"/>
      <c r="E28" s="16" t="n">
        <v>6</v>
      </c>
      <c r="F28" s="16" t="inlineStr">
        <is>
          <t>EW</t>
        </is>
      </c>
      <c r="G28" s="15" t="n"/>
      <c r="H28" s="15" t="n"/>
      <c r="I28" s="15" t="n"/>
      <c r="J28" s="15" t="n"/>
      <c r="K28" s="15" t="n"/>
      <c r="L28" s="15" t="n"/>
    </row>
    <row r="29">
      <c r="B29" s="10" t="n">
        <v>2</v>
      </c>
      <c r="C29" s="10" t="n">
        <v>5</v>
      </c>
      <c r="D29" s="10" t="n">
        <v>1</v>
      </c>
      <c r="E29" s="10" t="n">
        <v>13</v>
      </c>
      <c r="F29" s="10" t="inlineStr">
        <is>
          <t>Both</t>
        </is>
      </c>
    </row>
    <row r="30">
      <c r="B30" s="16" t="n"/>
      <c r="C30" s="16" t="n"/>
      <c r="D30" s="16" t="n"/>
      <c r="E30" s="16" t="n">
        <v>14</v>
      </c>
      <c r="F30" s="16" t="inlineStr">
        <is>
          <t>None</t>
        </is>
      </c>
      <c r="G30" s="15" t="n"/>
      <c r="H30" s="15" t="n"/>
      <c r="I30" s="15" t="n"/>
      <c r="J30" s="15" t="n"/>
      <c r="K30" s="15" t="n"/>
      <c r="L30" s="15" t="n"/>
    </row>
    <row r="31">
      <c r="B31" s="10" t="n">
        <v>3</v>
      </c>
      <c r="C31" s="10" t="n">
        <v>10</v>
      </c>
      <c r="D31" s="10" t="n">
        <v>9</v>
      </c>
      <c r="E31" s="10" t="n">
        <v>15</v>
      </c>
      <c r="F31" s="10" t="inlineStr">
        <is>
          <t>NS</t>
        </is>
      </c>
    </row>
    <row r="32">
      <c r="B32" s="16" t="n"/>
      <c r="C32" s="16" t="n"/>
      <c r="D32" s="16" t="n"/>
      <c r="E32" s="16" t="n">
        <v>16</v>
      </c>
      <c r="F32" s="16" t="inlineStr">
        <is>
          <t>EW</t>
        </is>
      </c>
      <c r="G32" s="15" t="n"/>
      <c r="H32" s="15" t="n"/>
      <c r="I32" s="15" t="n"/>
      <c r="J32" s="15" t="n"/>
      <c r="K32" s="15" t="n"/>
      <c r="L32" s="15" t="n"/>
    </row>
    <row r="33">
      <c r="B33" s="10" t="n">
        <v>4</v>
      </c>
      <c r="C33" s="10" t="n">
        <v>7</v>
      </c>
      <c r="D33" s="10" t="n">
        <v>2</v>
      </c>
      <c r="E33" s="10" t="n">
        <v>19</v>
      </c>
      <c r="F33" s="10" t="inlineStr">
        <is>
          <t>EW</t>
        </is>
      </c>
    </row>
    <row r="34">
      <c r="B34" s="16" t="n"/>
      <c r="C34" s="16" t="n"/>
      <c r="D34" s="16" t="n"/>
      <c r="E34" s="16" t="n">
        <v>20</v>
      </c>
      <c r="F34" s="16" t="inlineStr">
        <is>
          <t>Both</t>
        </is>
      </c>
      <c r="G34" s="15" t="n"/>
      <c r="H34" s="15" t="n"/>
      <c r="I34" s="15" t="n"/>
      <c r="J34" s="15" t="n"/>
      <c r="K34" s="15" t="n"/>
      <c r="L34" s="15" t="n"/>
    </row>
    <row r="35">
      <c r="B35" s="10" t="n">
        <v>5</v>
      </c>
      <c r="C35" s="10" t="n">
        <v>6</v>
      </c>
      <c r="D35" s="10" t="n">
        <v>4</v>
      </c>
      <c r="E35" s="10" t="n">
        <v>21</v>
      </c>
      <c r="F35" s="10" t="inlineStr">
        <is>
          <t>NS</t>
        </is>
      </c>
    </row>
    <row r="36">
      <c r="B36" s="16" t="n"/>
      <c r="C36" s="16" t="n"/>
      <c r="D36" s="16" t="n"/>
      <c r="E36" s="16" t="n">
        <v>22</v>
      </c>
      <c r="F36" s="16" t="inlineStr">
        <is>
          <t>EW</t>
        </is>
      </c>
      <c r="G36" s="15" t="n"/>
      <c r="H36" s="15" t="n"/>
      <c r="I36" s="15" t="n"/>
      <c r="J36" s="15" t="n"/>
      <c r="K36" s="15" t="n"/>
      <c r="L36" s="15" t="n"/>
    </row>
    <row r="37">
      <c r="B37" s="10" t="n">
        <v>6</v>
      </c>
      <c r="C37" s="10" t="n">
        <v>11</v>
      </c>
      <c r="D37" s="10" t="n">
        <v>8</v>
      </c>
      <c r="E37" s="10" t="n">
        <v>1</v>
      </c>
      <c r="F37" s="10" t="inlineStr">
        <is>
          <t>None</t>
        </is>
      </c>
    </row>
    <row r="38">
      <c r="A38" s="15" t="n"/>
      <c r="B38" s="16" t="n"/>
      <c r="C38" s="16" t="n"/>
      <c r="D38" s="16" t="n"/>
      <c r="E38" s="16" t="n">
        <v>2</v>
      </c>
      <c r="F38" s="16" t="inlineStr">
        <is>
          <t>NS</t>
        </is>
      </c>
      <c r="G38" s="15" t="n"/>
      <c r="H38" s="15" t="n"/>
      <c r="I38" s="15" t="n"/>
      <c r="J38" s="15" t="n"/>
      <c r="K38" s="15" t="n"/>
      <c r="L38" s="15" t="n"/>
    </row>
    <row r="39">
      <c r="A39" s="10" t="n">
        <v>4</v>
      </c>
      <c r="B39" s="10" t="n">
        <v>1</v>
      </c>
      <c r="C39" s="10" t="inlineStr">
        <is>
          <t>Sit-Out</t>
        </is>
      </c>
      <c r="D39" s="10" t="n">
        <v>4</v>
      </c>
      <c r="E39" s="10" t="n">
        <v>7</v>
      </c>
      <c r="F39" s="10" t="inlineStr">
        <is>
          <t>Both</t>
        </is>
      </c>
    </row>
    <row r="40">
      <c r="B40" s="16" t="n"/>
      <c r="C40" s="16" t="n"/>
      <c r="D40" s="16" t="n"/>
      <c r="E40" s="16" t="n">
        <v>8</v>
      </c>
      <c r="F40" s="16" t="inlineStr">
        <is>
          <t>None</t>
        </is>
      </c>
      <c r="G40" s="15" t="n"/>
      <c r="H40" s="15" t="n"/>
      <c r="I40" s="15" t="n"/>
      <c r="J40" s="15" t="n"/>
      <c r="K40" s="15" t="n"/>
      <c r="L40" s="15" t="n"/>
    </row>
    <row r="41">
      <c r="B41" s="10" t="n">
        <v>2</v>
      </c>
      <c r="C41" s="10" t="n">
        <v>6</v>
      </c>
      <c r="D41" s="10" t="n">
        <v>2</v>
      </c>
      <c r="E41" s="10" t="n">
        <v>15</v>
      </c>
      <c r="F41" s="10" t="inlineStr">
        <is>
          <t>NS</t>
        </is>
      </c>
    </row>
    <row r="42">
      <c r="B42" s="16" t="n"/>
      <c r="C42" s="16" t="n"/>
      <c r="D42" s="16" t="n"/>
      <c r="E42" s="16" t="n">
        <v>16</v>
      </c>
      <c r="F42" s="16" t="inlineStr">
        <is>
          <t>EW</t>
        </is>
      </c>
      <c r="G42" s="15" t="n"/>
      <c r="H42" s="15" t="n"/>
      <c r="I42" s="15" t="n"/>
      <c r="J42" s="15" t="n"/>
      <c r="K42" s="15" t="n"/>
      <c r="L42" s="15" t="n"/>
    </row>
    <row r="43">
      <c r="B43" s="10" t="n">
        <v>3</v>
      </c>
      <c r="C43" s="10" t="n">
        <v>11</v>
      </c>
      <c r="D43" s="10" t="n">
        <v>10</v>
      </c>
      <c r="E43" s="10" t="n">
        <v>17</v>
      </c>
      <c r="F43" s="10" t="inlineStr">
        <is>
          <t>None</t>
        </is>
      </c>
    </row>
    <row r="44">
      <c r="B44" s="16" t="n"/>
      <c r="C44" s="16" t="n"/>
      <c r="D44" s="16" t="n"/>
      <c r="E44" s="16" t="n">
        <v>18</v>
      </c>
      <c r="F44" s="16" t="inlineStr">
        <is>
          <t>NS</t>
        </is>
      </c>
      <c r="G44" s="15" t="n"/>
      <c r="H44" s="15" t="n"/>
      <c r="I44" s="15" t="n"/>
      <c r="J44" s="15" t="n"/>
      <c r="K44" s="15" t="n"/>
      <c r="L44" s="15" t="n"/>
    </row>
    <row r="45">
      <c r="B45" s="10" t="n">
        <v>4</v>
      </c>
      <c r="C45" s="10" t="n">
        <v>8</v>
      </c>
      <c r="D45" s="10" t="n">
        <v>3</v>
      </c>
      <c r="E45" s="10" t="n">
        <v>21</v>
      </c>
      <c r="F45" s="10" t="inlineStr">
        <is>
          <t>NS</t>
        </is>
      </c>
    </row>
    <row r="46">
      <c r="B46" s="16" t="n"/>
      <c r="C46" s="16" t="n"/>
      <c r="D46" s="16" t="n"/>
      <c r="E46" s="16" t="n">
        <v>22</v>
      </c>
      <c r="F46" s="16" t="inlineStr">
        <is>
          <t>EW</t>
        </is>
      </c>
      <c r="G46" s="15" t="n"/>
      <c r="H46" s="15" t="n"/>
      <c r="I46" s="15" t="n"/>
      <c r="J46" s="15" t="n"/>
      <c r="K46" s="15" t="n"/>
      <c r="L46" s="15" t="n"/>
    </row>
    <row r="47">
      <c r="B47" s="10" t="n">
        <v>5</v>
      </c>
      <c r="C47" s="10" t="n">
        <v>7</v>
      </c>
      <c r="D47" s="10" t="n">
        <v>5</v>
      </c>
      <c r="E47" s="10" t="n">
        <v>1</v>
      </c>
      <c r="F47" s="10" t="inlineStr">
        <is>
          <t>None</t>
        </is>
      </c>
    </row>
    <row r="48">
      <c r="B48" s="16" t="n"/>
      <c r="C48" s="16" t="n"/>
      <c r="D48" s="16" t="n"/>
      <c r="E48" s="16" t="n">
        <v>2</v>
      </c>
      <c r="F48" s="16" t="inlineStr">
        <is>
          <t>NS</t>
        </is>
      </c>
      <c r="G48" s="15" t="n"/>
      <c r="H48" s="15" t="n"/>
      <c r="I48" s="15" t="n"/>
      <c r="J48" s="15" t="n"/>
      <c r="K48" s="15" t="n"/>
      <c r="L48" s="15" t="n"/>
    </row>
    <row r="49">
      <c r="B49" s="10" t="n">
        <v>6</v>
      </c>
      <c r="C49" s="10" t="n">
        <v>1</v>
      </c>
      <c r="D49" s="10" t="n">
        <v>9</v>
      </c>
      <c r="E49" s="10" t="n">
        <v>3</v>
      </c>
      <c r="F49" s="10" t="inlineStr">
        <is>
          <t>EW</t>
        </is>
      </c>
    </row>
    <row r="50">
      <c r="A50" s="15" t="n"/>
      <c r="B50" s="16" t="n"/>
      <c r="C50" s="16" t="n"/>
      <c r="D50" s="16" t="n"/>
      <c r="E50" s="16" t="n">
        <v>4</v>
      </c>
      <c r="F50" s="16" t="inlineStr">
        <is>
          <t>Both</t>
        </is>
      </c>
      <c r="G50" s="15" t="n"/>
      <c r="H50" s="15" t="n"/>
      <c r="I50" s="15" t="n"/>
      <c r="J50" s="15" t="n"/>
      <c r="K50" s="15" t="n"/>
      <c r="L50" s="15" t="n"/>
    </row>
    <row r="51">
      <c r="A51" s="10" t="n">
        <v>5</v>
      </c>
      <c r="B51" s="10" t="n">
        <v>1</v>
      </c>
      <c r="C51" s="10" t="inlineStr">
        <is>
          <t>Sit-Out</t>
        </is>
      </c>
      <c r="D51" s="10" t="n">
        <v>5</v>
      </c>
      <c r="E51" s="10" t="n">
        <v>9</v>
      </c>
      <c r="F51" s="10" t="inlineStr">
        <is>
          <t>EW</t>
        </is>
      </c>
    </row>
    <row r="52">
      <c r="B52" s="16" t="n"/>
      <c r="C52" s="16" t="n"/>
      <c r="D52" s="16" t="n"/>
      <c r="E52" s="16" t="n">
        <v>10</v>
      </c>
      <c r="F52" s="16" t="inlineStr">
        <is>
          <t>Both</t>
        </is>
      </c>
      <c r="G52" s="15" t="n"/>
      <c r="H52" s="15" t="n"/>
      <c r="I52" s="15" t="n"/>
      <c r="J52" s="15" t="n"/>
      <c r="K52" s="15" t="n"/>
      <c r="L52" s="15" t="n"/>
    </row>
    <row r="53">
      <c r="B53" s="10" t="n">
        <v>2</v>
      </c>
      <c r="C53" s="10" t="n">
        <v>7</v>
      </c>
      <c r="D53" s="10" t="n">
        <v>3</v>
      </c>
      <c r="E53" s="10" t="n">
        <v>17</v>
      </c>
      <c r="F53" s="10" t="inlineStr">
        <is>
          <t>None</t>
        </is>
      </c>
    </row>
    <row r="54">
      <c r="B54" s="16" t="n"/>
      <c r="C54" s="16" t="n"/>
      <c r="D54" s="16" t="n"/>
      <c r="E54" s="16" t="n">
        <v>18</v>
      </c>
      <c r="F54" s="16" t="inlineStr">
        <is>
          <t>NS</t>
        </is>
      </c>
      <c r="G54" s="15" t="n"/>
      <c r="H54" s="15" t="n"/>
      <c r="I54" s="15" t="n"/>
      <c r="J54" s="15" t="n"/>
      <c r="K54" s="15" t="n"/>
      <c r="L54" s="15" t="n"/>
    </row>
    <row r="55">
      <c r="B55" s="10" t="n">
        <v>3</v>
      </c>
      <c r="C55" s="10" t="n">
        <v>1</v>
      </c>
      <c r="D55" s="10" t="n">
        <v>11</v>
      </c>
      <c r="E55" s="10" t="n">
        <v>19</v>
      </c>
      <c r="F55" s="10" t="inlineStr">
        <is>
          <t>EW</t>
        </is>
      </c>
    </row>
    <row r="56">
      <c r="B56" s="16" t="n"/>
      <c r="C56" s="16" t="n"/>
      <c r="D56" s="16" t="n"/>
      <c r="E56" s="16" t="n">
        <v>20</v>
      </c>
      <c r="F56" s="16" t="inlineStr">
        <is>
          <t>Both</t>
        </is>
      </c>
      <c r="G56" s="15" t="n"/>
      <c r="H56" s="15" t="n"/>
      <c r="I56" s="15" t="n"/>
      <c r="J56" s="15" t="n"/>
      <c r="K56" s="15" t="n"/>
      <c r="L56" s="15" t="n"/>
    </row>
    <row r="57">
      <c r="B57" s="10" t="n">
        <v>4</v>
      </c>
      <c r="C57" s="10" t="n">
        <v>9</v>
      </c>
      <c r="D57" s="10" t="n">
        <v>4</v>
      </c>
      <c r="E57" s="10" t="n">
        <v>1</v>
      </c>
      <c r="F57" s="10" t="inlineStr">
        <is>
          <t>None</t>
        </is>
      </c>
    </row>
    <row r="58">
      <c r="B58" s="16" t="n"/>
      <c r="C58" s="16" t="n"/>
      <c r="D58" s="16" t="n"/>
      <c r="E58" s="16" t="n">
        <v>2</v>
      </c>
      <c r="F58" s="16" t="inlineStr">
        <is>
          <t>NS</t>
        </is>
      </c>
      <c r="G58" s="15" t="n"/>
      <c r="H58" s="15" t="n"/>
      <c r="I58" s="15" t="n"/>
      <c r="J58" s="15" t="n"/>
      <c r="K58" s="15" t="n"/>
      <c r="L58" s="15" t="n"/>
    </row>
    <row r="59">
      <c r="B59" s="10" t="n">
        <v>5</v>
      </c>
      <c r="C59" s="10" t="n">
        <v>8</v>
      </c>
      <c r="D59" s="10" t="n">
        <v>6</v>
      </c>
      <c r="E59" s="10" t="n">
        <v>3</v>
      </c>
      <c r="F59" s="10" t="inlineStr">
        <is>
          <t>EW</t>
        </is>
      </c>
    </row>
    <row r="60">
      <c r="B60" s="16" t="n"/>
      <c r="C60" s="16" t="n"/>
      <c r="D60" s="16" t="n"/>
      <c r="E60" s="16" t="n">
        <v>4</v>
      </c>
      <c r="F60" s="16" t="inlineStr">
        <is>
          <t>Both</t>
        </is>
      </c>
      <c r="G60" s="15" t="n"/>
      <c r="H60" s="15" t="n"/>
      <c r="I60" s="15" t="n"/>
      <c r="J60" s="15" t="n"/>
      <c r="K60" s="15" t="n"/>
      <c r="L60" s="15" t="n"/>
    </row>
    <row r="61">
      <c r="B61" s="10" t="n">
        <v>6</v>
      </c>
      <c r="C61" s="10" t="n">
        <v>2</v>
      </c>
      <c r="D61" s="10" t="n">
        <v>10</v>
      </c>
      <c r="E61" s="10" t="n">
        <v>5</v>
      </c>
      <c r="F61" s="10" t="inlineStr">
        <is>
          <t>NS</t>
        </is>
      </c>
    </row>
    <row r="62">
      <c r="A62" s="15" t="n"/>
      <c r="B62" s="16" t="n"/>
      <c r="C62" s="16" t="n"/>
      <c r="D62" s="16" t="n"/>
      <c r="E62" s="16" t="n">
        <v>6</v>
      </c>
      <c r="F62" s="16" t="inlineStr">
        <is>
          <t>EW</t>
        </is>
      </c>
      <c r="G62" s="15" t="n"/>
      <c r="H62" s="15" t="n"/>
      <c r="I62" s="15" t="n"/>
      <c r="J62" s="15" t="n"/>
      <c r="K62" s="15" t="n"/>
      <c r="L62" s="15" t="n"/>
    </row>
    <row r="63">
      <c r="A63" s="10" t="n">
        <v>6</v>
      </c>
      <c r="B63" s="10" t="n">
        <v>1</v>
      </c>
      <c r="C63" s="10" t="inlineStr">
        <is>
          <t>Sit-Out</t>
        </is>
      </c>
      <c r="D63" s="10" t="n">
        <v>6</v>
      </c>
      <c r="E63" s="10" t="n">
        <v>11</v>
      </c>
      <c r="F63" s="10" t="inlineStr">
        <is>
          <t>None</t>
        </is>
      </c>
    </row>
    <row r="64">
      <c r="B64" s="16" t="n"/>
      <c r="C64" s="16" t="n"/>
      <c r="D64" s="16" t="n"/>
      <c r="E64" s="16" t="n">
        <v>12</v>
      </c>
      <c r="F64" s="16" t="inlineStr">
        <is>
          <t>NS</t>
        </is>
      </c>
      <c r="G64" s="15" t="n"/>
      <c r="H64" s="15" t="n"/>
      <c r="I64" s="15" t="n"/>
      <c r="J64" s="15" t="n"/>
      <c r="K64" s="15" t="n"/>
      <c r="L64" s="15" t="n"/>
    </row>
    <row r="65">
      <c r="B65" s="10" t="n">
        <v>2</v>
      </c>
      <c r="C65" s="10" t="n">
        <v>8</v>
      </c>
      <c r="D65" s="10" t="n">
        <v>4</v>
      </c>
      <c r="E65" s="10" t="n">
        <v>19</v>
      </c>
      <c r="F65" s="10" t="inlineStr">
        <is>
          <t>EW</t>
        </is>
      </c>
    </row>
    <row r="66">
      <c r="B66" s="16" t="n"/>
      <c r="C66" s="16" t="n"/>
      <c r="D66" s="16" t="n"/>
      <c r="E66" s="16" t="n">
        <v>20</v>
      </c>
      <c r="F66" s="16" t="inlineStr">
        <is>
          <t>Both</t>
        </is>
      </c>
      <c r="G66" s="15" t="n"/>
      <c r="H66" s="15" t="n"/>
      <c r="I66" s="15" t="n"/>
      <c r="J66" s="15" t="n"/>
      <c r="K66" s="15" t="n"/>
      <c r="L66" s="15" t="n"/>
    </row>
    <row r="67">
      <c r="B67" s="10" t="n">
        <v>3</v>
      </c>
      <c r="C67" s="10" t="n">
        <v>2</v>
      </c>
      <c r="D67" s="10" t="n">
        <v>1</v>
      </c>
      <c r="E67" s="10" t="n">
        <v>21</v>
      </c>
      <c r="F67" s="10" t="inlineStr">
        <is>
          <t>NS</t>
        </is>
      </c>
    </row>
    <row r="68">
      <c r="B68" s="16" t="n"/>
      <c r="C68" s="16" t="n"/>
      <c r="D68" s="16" t="n"/>
      <c r="E68" s="16" t="n">
        <v>22</v>
      </c>
      <c r="F68" s="16" t="inlineStr">
        <is>
          <t>EW</t>
        </is>
      </c>
      <c r="G68" s="15" t="n"/>
      <c r="H68" s="15" t="n"/>
      <c r="I68" s="15" t="n"/>
      <c r="J68" s="15" t="n"/>
      <c r="K68" s="15" t="n"/>
      <c r="L68" s="15" t="n"/>
    </row>
    <row r="69">
      <c r="B69" s="10" t="n">
        <v>4</v>
      </c>
      <c r="C69" s="10" t="n">
        <v>10</v>
      </c>
      <c r="D69" s="10" t="n">
        <v>5</v>
      </c>
      <c r="E69" s="10" t="n">
        <v>3</v>
      </c>
      <c r="F69" s="10" t="inlineStr">
        <is>
          <t>EW</t>
        </is>
      </c>
    </row>
    <row r="70">
      <c r="B70" s="16" t="n"/>
      <c r="C70" s="16" t="n"/>
      <c r="D70" s="16" t="n"/>
      <c r="E70" s="16" t="n">
        <v>4</v>
      </c>
      <c r="F70" s="16" t="inlineStr">
        <is>
          <t>Both</t>
        </is>
      </c>
      <c r="G70" s="15" t="n"/>
      <c r="H70" s="15" t="n"/>
      <c r="I70" s="15" t="n"/>
      <c r="J70" s="15" t="n"/>
      <c r="K70" s="15" t="n"/>
      <c r="L70" s="15" t="n"/>
    </row>
    <row r="71">
      <c r="B71" s="10" t="n">
        <v>5</v>
      </c>
      <c r="C71" s="10" t="n">
        <v>9</v>
      </c>
      <c r="D71" s="10" t="n">
        <v>7</v>
      </c>
      <c r="E71" s="10" t="n">
        <v>5</v>
      </c>
      <c r="F71" s="10" t="inlineStr">
        <is>
          <t>NS</t>
        </is>
      </c>
    </row>
    <row r="72">
      <c r="B72" s="16" t="n"/>
      <c r="C72" s="16" t="n"/>
      <c r="D72" s="16" t="n"/>
      <c r="E72" s="16" t="n">
        <v>6</v>
      </c>
      <c r="F72" s="16" t="inlineStr">
        <is>
          <t>EW</t>
        </is>
      </c>
      <c r="G72" s="15" t="n"/>
      <c r="H72" s="15" t="n"/>
      <c r="I72" s="15" t="n"/>
      <c r="J72" s="15" t="n"/>
      <c r="K72" s="15" t="n"/>
      <c r="L72" s="15" t="n"/>
    </row>
    <row r="73">
      <c r="B73" s="10" t="n">
        <v>6</v>
      </c>
      <c r="C73" s="10" t="n">
        <v>3</v>
      </c>
      <c r="D73" s="10" t="n">
        <v>11</v>
      </c>
      <c r="E73" s="10" t="n">
        <v>7</v>
      </c>
      <c r="F73" s="10" t="inlineStr">
        <is>
          <t>Both</t>
        </is>
      </c>
    </row>
    <row r="74">
      <c r="A74" s="15" t="n"/>
      <c r="B74" s="16" t="n"/>
      <c r="C74" s="16" t="n"/>
      <c r="D74" s="16" t="n"/>
      <c r="E74" s="16" t="n">
        <v>8</v>
      </c>
      <c r="F74" s="16" t="inlineStr">
        <is>
          <t>None</t>
        </is>
      </c>
      <c r="G74" s="15" t="n"/>
      <c r="H74" s="15" t="n"/>
      <c r="I74" s="15" t="n"/>
      <c r="J74" s="15" t="n"/>
      <c r="K74" s="15" t="n"/>
      <c r="L74" s="15" t="n"/>
    </row>
    <row r="75">
      <c r="A75" s="10" t="n">
        <v>7</v>
      </c>
      <c r="B75" s="10" t="n">
        <v>1</v>
      </c>
      <c r="C75" s="10" t="inlineStr">
        <is>
          <t>Sit-Out</t>
        </is>
      </c>
      <c r="D75" s="10" t="n">
        <v>7</v>
      </c>
      <c r="E75" s="10" t="n">
        <v>13</v>
      </c>
      <c r="F75" s="10" t="inlineStr">
        <is>
          <t>Both</t>
        </is>
      </c>
    </row>
    <row r="76">
      <c r="B76" s="16" t="n"/>
      <c r="C76" s="16" t="n"/>
      <c r="D76" s="16" t="n"/>
      <c r="E76" s="16" t="n">
        <v>14</v>
      </c>
      <c r="F76" s="16" t="inlineStr">
        <is>
          <t>None</t>
        </is>
      </c>
      <c r="G76" s="15" t="n"/>
      <c r="H76" s="15" t="n"/>
      <c r="I76" s="15" t="n"/>
      <c r="J76" s="15" t="n"/>
      <c r="K76" s="15" t="n"/>
      <c r="L76" s="15" t="n"/>
    </row>
    <row r="77">
      <c r="B77" s="10" t="n">
        <v>2</v>
      </c>
      <c r="C77" s="10" t="n">
        <v>9</v>
      </c>
      <c r="D77" s="10" t="n">
        <v>5</v>
      </c>
      <c r="E77" s="10" t="n">
        <v>21</v>
      </c>
      <c r="F77" s="10" t="inlineStr">
        <is>
          <t>NS</t>
        </is>
      </c>
    </row>
    <row r="78">
      <c r="B78" s="16" t="n"/>
      <c r="C78" s="16" t="n"/>
      <c r="D78" s="16" t="n"/>
      <c r="E78" s="16" t="n">
        <v>22</v>
      </c>
      <c r="F78" s="16" t="inlineStr">
        <is>
          <t>EW</t>
        </is>
      </c>
      <c r="G78" s="15" t="n"/>
      <c r="H78" s="15" t="n"/>
      <c r="I78" s="15" t="n"/>
      <c r="J78" s="15" t="n"/>
      <c r="K78" s="15" t="n"/>
      <c r="L78" s="15" t="n"/>
    </row>
    <row r="79">
      <c r="B79" s="10" t="n">
        <v>3</v>
      </c>
      <c r="C79" s="10" t="n">
        <v>3</v>
      </c>
      <c r="D79" s="10" t="n">
        <v>2</v>
      </c>
      <c r="E79" s="10" t="n">
        <v>1</v>
      </c>
      <c r="F79" s="10" t="inlineStr">
        <is>
          <t>None</t>
        </is>
      </c>
    </row>
    <row r="80">
      <c r="B80" s="16" t="n"/>
      <c r="C80" s="16" t="n"/>
      <c r="D80" s="16" t="n"/>
      <c r="E80" s="16" t="n">
        <v>2</v>
      </c>
      <c r="F80" s="16" t="inlineStr">
        <is>
          <t>NS</t>
        </is>
      </c>
      <c r="G80" s="15" t="n"/>
      <c r="H80" s="15" t="n"/>
      <c r="I80" s="15" t="n"/>
      <c r="J80" s="15" t="n"/>
      <c r="K80" s="15" t="n"/>
      <c r="L80" s="15" t="n"/>
    </row>
    <row r="81">
      <c r="B81" s="10" t="n">
        <v>4</v>
      </c>
      <c r="C81" s="10" t="n">
        <v>11</v>
      </c>
      <c r="D81" s="10" t="n">
        <v>6</v>
      </c>
      <c r="E81" s="10" t="n">
        <v>5</v>
      </c>
      <c r="F81" s="10" t="inlineStr">
        <is>
          <t>NS</t>
        </is>
      </c>
    </row>
    <row r="82">
      <c r="B82" s="16" t="n"/>
      <c r="C82" s="16" t="n"/>
      <c r="D82" s="16" t="n"/>
      <c r="E82" s="16" t="n">
        <v>6</v>
      </c>
      <c r="F82" s="16" t="inlineStr">
        <is>
          <t>EW</t>
        </is>
      </c>
      <c r="G82" s="15" t="n"/>
      <c r="H82" s="15" t="n"/>
      <c r="I82" s="15" t="n"/>
      <c r="J82" s="15" t="n"/>
      <c r="K82" s="15" t="n"/>
      <c r="L82" s="15" t="n"/>
    </row>
    <row r="83">
      <c r="B83" s="10" t="n">
        <v>5</v>
      </c>
      <c r="C83" s="10" t="n">
        <v>10</v>
      </c>
      <c r="D83" s="10" t="n">
        <v>8</v>
      </c>
      <c r="E83" s="10" t="n">
        <v>7</v>
      </c>
      <c r="F83" s="10" t="inlineStr">
        <is>
          <t>Both</t>
        </is>
      </c>
    </row>
    <row r="84">
      <c r="B84" s="16" t="n"/>
      <c r="C84" s="16" t="n"/>
      <c r="D84" s="16" t="n"/>
      <c r="E84" s="16" t="n">
        <v>8</v>
      </c>
      <c r="F84" s="16" t="inlineStr">
        <is>
          <t>None</t>
        </is>
      </c>
      <c r="G84" s="15" t="n"/>
      <c r="H84" s="15" t="n"/>
      <c r="I84" s="15" t="n"/>
      <c r="J84" s="15" t="n"/>
      <c r="K84" s="15" t="n"/>
      <c r="L84" s="15" t="n"/>
    </row>
    <row r="85">
      <c r="B85" s="10" t="n">
        <v>6</v>
      </c>
      <c r="C85" s="10" t="n">
        <v>4</v>
      </c>
      <c r="D85" s="10" t="n">
        <v>1</v>
      </c>
      <c r="E85" s="10" t="n">
        <v>9</v>
      </c>
      <c r="F85" s="10" t="inlineStr">
        <is>
          <t>EW</t>
        </is>
      </c>
    </row>
    <row r="86">
      <c r="A86" s="15" t="n"/>
      <c r="B86" s="16" t="n"/>
      <c r="C86" s="16" t="n"/>
      <c r="D86" s="16" t="n"/>
      <c r="E86" s="16" t="n">
        <v>10</v>
      </c>
      <c r="F86" s="16" t="inlineStr">
        <is>
          <t>Both</t>
        </is>
      </c>
      <c r="G86" s="15" t="n"/>
      <c r="H86" s="15" t="n"/>
      <c r="I86" s="15" t="n"/>
      <c r="J86" s="15" t="n"/>
      <c r="K86" s="15" t="n"/>
      <c r="L86" s="15" t="n"/>
    </row>
    <row r="87">
      <c r="A87" s="10" t="n">
        <v>8</v>
      </c>
      <c r="B87" s="10" t="n">
        <v>1</v>
      </c>
      <c r="C87" s="10" t="inlineStr">
        <is>
          <t>Sit-Out</t>
        </is>
      </c>
      <c r="D87" s="10" t="n">
        <v>8</v>
      </c>
      <c r="E87" s="10" t="n">
        <v>15</v>
      </c>
      <c r="F87" s="10" t="inlineStr">
        <is>
          <t>NS</t>
        </is>
      </c>
    </row>
    <row r="88">
      <c r="B88" s="16" t="n"/>
      <c r="C88" s="16" t="n"/>
      <c r="D88" s="16" t="n"/>
      <c r="E88" s="16" t="n">
        <v>16</v>
      </c>
      <c r="F88" s="16" t="inlineStr">
        <is>
          <t>EW</t>
        </is>
      </c>
      <c r="G88" s="15" t="n"/>
      <c r="H88" s="15" t="n"/>
      <c r="I88" s="15" t="n"/>
      <c r="J88" s="15" t="n"/>
      <c r="K88" s="15" t="n"/>
      <c r="L88" s="15" t="n"/>
    </row>
    <row r="89">
      <c r="B89" s="10" t="n">
        <v>2</v>
      </c>
      <c r="C89" s="10" t="n">
        <v>10</v>
      </c>
      <c r="D89" s="10" t="n">
        <v>6</v>
      </c>
      <c r="E89" s="10" t="n">
        <v>1</v>
      </c>
      <c r="F89" s="10" t="inlineStr">
        <is>
          <t>None</t>
        </is>
      </c>
    </row>
    <row r="90">
      <c r="B90" s="16" t="n"/>
      <c r="C90" s="16" t="n"/>
      <c r="D90" s="16" t="n"/>
      <c r="E90" s="16" t="n">
        <v>2</v>
      </c>
      <c r="F90" s="16" t="inlineStr">
        <is>
          <t>NS</t>
        </is>
      </c>
      <c r="G90" s="15" t="n"/>
      <c r="H90" s="15" t="n"/>
      <c r="I90" s="15" t="n"/>
      <c r="J90" s="15" t="n"/>
      <c r="K90" s="15" t="n"/>
      <c r="L90" s="15" t="n"/>
    </row>
    <row r="91">
      <c r="B91" s="10" t="n">
        <v>3</v>
      </c>
      <c r="C91" s="10" t="n">
        <v>4</v>
      </c>
      <c r="D91" s="10" t="n">
        <v>3</v>
      </c>
      <c r="E91" s="10" t="n">
        <v>3</v>
      </c>
      <c r="F91" s="10" t="inlineStr">
        <is>
          <t>EW</t>
        </is>
      </c>
    </row>
    <row r="92">
      <c r="B92" s="16" t="n"/>
      <c r="C92" s="16" t="n"/>
      <c r="D92" s="16" t="n"/>
      <c r="E92" s="16" t="n">
        <v>4</v>
      </c>
      <c r="F92" s="16" t="inlineStr">
        <is>
          <t>Both</t>
        </is>
      </c>
      <c r="G92" s="15" t="n"/>
      <c r="H92" s="15" t="n"/>
      <c r="I92" s="15" t="n"/>
      <c r="J92" s="15" t="n"/>
      <c r="K92" s="15" t="n"/>
      <c r="L92" s="15" t="n"/>
    </row>
    <row r="93">
      <c r="B93" s="10" t="n">
        <v>4</v>
      </c>
      <c r="C93" s="10" t="n">
        <v>1</v>
      </c>
      <c r="D93" s="10" t="n">
        <v>7</v>
      </c>
      <c r="E93" s="10" t="n">
        <v>7</v>
      </c>
      <c r="F93" s="10" t="inlineStr">
        <is>
          <t>Both</t>
        </is>
      </c>
    </row>
    <row r="94">
      <c r="B94" s="16" t="n"/>
      <c r="C94" s="16" t="n"/>
      <c r="D94" s="16" t="n"/>
      <c r="E94" s="16" t="n">
        <v>8</v>
      </c>
      <c r="F94" s="16" t="inlineStr">
        <is>
          <t>None</t>
        </is>
      </c>
      <c r="G94" s="15" t="n"/>
      <c r="H94" s="15" t="n"/>
      <c r="I94" s="15" t="n"/>
      <c r="J94" s="15" t="n"/>
      <c r="K94" s="15" t="n"/>
      <c r="L94" s="15" t="n"/>
    </row>
    <row r="95">
      <c r="B95" s="10" t="n">
        <v>5</v>
      </c>
      <c r="C95" s="10" t="n">
        <v>11</v>
      </c>
      <c r="D95" s="10" t="n">
        <v>9</v>
      </c>
      <c r="E95" s="10" t="n">
        <v>9</v>
      </c>
      <c r="F95" s="10" t="inlineStr">
        <is>
          <t>EW</t>
        </is>
      </c>
    </row>
    <row r="96">
      <c r="B96" s="16" t="n"/>
      <c r="C96" s="16" t="n"/>
      <c r="D96" s="16" t="n"/>
      <c r="E96" s="16" t="n">
        <v>10</v>
      </c>
      <c r="F96" s="16" t="inlineStr">
        <is>
          <t>Both</t>
        </is>
      </c>
      <c r="G96" s="15" t="n"/>
      <c r="H96" s="15" t="n"/>
      <c r="I96" s="15" t="n"/>
      <c r="J96" s="15" t="n"/>
      <c r="K96" s="15" t="n"/>
      <c r="L96" s="15" t="n"/>
    </row>
    <row r="97">
      <c r="B97" s="10" t="n">
        <v>6</v>
      </c>
      <c r="C97" s="10" t="n">
        <v>5</v>
      </c>
      <c r="D97" s="10" t="n">
        <v>2</v>
      </c>
      <c r="E97" s="10" t="n">
        <v>11</v>
      </c>
      <c r="F97" s="10" t="inlineStr">
        <is>
          <t>None</t>
        </is>
      </c>
    </row>
    <row r="98">
      <c r="A98" s="15" t="n"/>
      <c r="B98" s="16" t="n"/>
      <c r="C98" s="16" t="n"/>
      <c r="D98" s="16" t="n"/>
      <c r="E98" s="16" t="n">
        <v>12</v>
      </c>
      <c r="F98" s="16" t="inlineStr">
        <is>
          <t>NS</t>
        </is>
      </c>
      <c r="G98" s="15" t="n"/>
      <c r="H98" s="15" t="n"/>
      <c r="I98" s="15" t="n"/>
      <c r="J98" s="15" t="n"/>
      <c r="K98" s="15" t="n"/>
      <c r="L98" s="15" t="n"/>
    </row>
    <row r="99">
      <c r="A99" s="10" t="n">
        <v>9</v>
      </c>
      <c r="B99" s="10" t="n">
        <v>1</v>
      </c>
      <c r="C99" s="10" t="inlineStr">
        <is>
          <t>Sit-Out</t>
        </is>
      </c>
      <c r="D99" s="10" t="n">
        <v>9</v>
      </c>
      <c r="E99" s="10" t="n">
        <v>17</v>
      </c>
      <c r="F99" s="10" t="inlineStr">
        <is>
          <t>None</t>
        </is>
      </c>
    </row>
    <row r="100">
      <c r="B100" s="16" t="n"/>
      <c r="C100" s="16" t="n"/>
      <c r="D100" s="16" t="n"/>
      <c r="E100" s="16" t="n">
        <v>18</v>
      </c>
      <c r="F100" s="16" t="inlineStr">
        <is>
          <t>NS</t>
        </is>
      </c>
      <c r="G100" s="15" t="n"/>
      <c r="H100" s="15" t="n"/>
      <c r="I100" s="15" t="n"/>
      <c r="J100" s="15" t="n"/>
      <c r="K100" s="15" t="n"/>
      <c r="L100" s="15" t="n"/>
    </row>
    <row r="101">
      <c r="B101" s="10" t="n">
        <v>2</v>
      </c>
      <c r="C101" s="10" t="n">
        <v>11</v>
      </c>
      <c r="D101" s="10" t="n">
        <v>7</v>
      </c>
      <c r="E101" s="10" t="n">
        <v>3</v>
      </c>
      <c r="F101" s="10" t="inlineStr">
        <is>
          <t>EW</t>
        </is>
      </c>
    </row>
    <row r="102">
      <c r="B102" s="16" t="n"/>
      <c r="C102" s="16" t="n"/>
      <c r="D102" s="16" t="n"/>
      <c r="E102" s="16" t="n">
        <v>4</v>
      </c>
      <c r="F102" s="16" t="inlineStr">
        <is>
          <t>Both</t>
        </is>
      </c>
      <c r="G102" s="15" t="n"/>
      <c r="H102" s="15" t="n"/>
      <c r="I102" s="15" t="n"/>
      <c r="J102" s="15" t="n"/>
      <c r="K102" s="15" t="n"/>
      <c r="L102" s="15" t="n"/>
    </row>
    <row r="103">
      <c r="B103" s="10" t="n">
        <v>3</v>
      </c>
      <c r="C103" s="10" t="n">
        <v>5</v>
      </c>
      <c r="D103" s="10" t="n">
        <v>4</v>
      </c>
      <c r="E103" s="10" t="n">
        <v>5</v>
      </c>
      <c r="F103" s="10" t="inlineStr">
        <is>
          <t>NS</t>
        </is>
      </c>
    </row>
    <row r="104">
      <c r="B104" s="16" t="n"/>
      <c r="C104" s="16" t="n"/>
      <c r="D104" s="16" t="n"/>
      <c r="E104" s="16" t="n">
        <v>6</v>
      </c>
      <c r="F104" s="16" t="inlineStr">
        <is>
          <t>EW</t>
        </is>
      </c>
      <c r="G104" s="15" t="n"/>
      <c r="H104" s="15" t="n"/>
      <c r="I104" s="15" t="n"/>
      <c r="J104" s="15" t="n"/>
      <c r="K104" s="15" t="n"/>
      <c r="L104" s="15" t="n"/>
    </row>
    <row r="105">
      <c r="B105" s="10" t="n">
        <v>4</v>
      </c>
      <c r="C105" s="10" t="n">
        <v>2</v>
      </c>
      <c r="D105" s="10" t="n">
        <v>8</v>
      </c>
      <c r="E105" s="10" t="n">
        <v>9</v>
      </c>
      <c r="F105" s="10" t="inlineStr">
        <is>
          <t>EW</t>
        </is>
      </c>
    </row>
    <row r="106">
      <c r="B106" s="16" t="n"/>
      <c r="C106" s="16" t="n"/>
      <c r="D106" s="16" t="n"/>
      <c r="E106" s="16" t="n">
        <v>10</v>
      </c>
      <c r="F106" s="16" t="inlineStr">
        <is>
          <t>Both</t>
        </is>
      </c>
      <c r="G106" s="15" t="n"/>
      <c r="H106" s="15" t="n"/>
      <c r="I106" s="15" t="n"/>
      <c r="J106" s="15" t="n"/>
      <c r="K106" s="15" t="n"/>
      <c r="L106" s="15" t="n"/>
    </row>
    <row r="107">
      <c r="B107" s="10" t="n">
        <v>5</v>
      </c>
      <c r="C107" s="10" t="n">
        <v>1</v>
      </c>
      <c r="D107" s="10" t="n">
        <v>10</v>
      </c>
      <c r="E107" s="10" t="n">
        <v>11</v>
      </c>
      <c r="F107" s="10" t="inlineStr">
        <is>
          <t>None</t>
        </is>
      </c>
    </row>
    <row r="108">
      <c r="B108" s="16" t="n"/>
      <c r="C108" s="16" t="n"/>
      <c r="D108" s="16" t="n"/>
      <c r="E108" s="16" t="n">
        <v>12</v>
      </c>
      <c r="F108" s="16" t="inlineStr">
        <is>
          <t>NS</t>
        </is>
      </c>
      <c r="G108" s="15" t="n"/>
      <c r="H108" s="15" t="n"/>
      <c r="I108" s="15" t="n"/>
      <c r="J108" s="15" t="n"/>
      <c r="K108" s="15" t="n"/>
      <c r="L108" s="15" t="n"/>
    </row>
    <row r="109">
      <c r="B109" s="10" t="n">
        <v>6</v>
      </c>
      <c r="C109" s="10" t="n">
        <v>6</v>
      </c>
      <c r="D109" s="10" t="n">
        <v>3</v>
      </c>
      <c r="E109" s="10" t="n">
        <v>13</v>
      </c>
      <c r="F109" s="10" t="inlineStr">
        <is>
          <t>Both</t>
        </is>
      </c>
    </row>
    <row r="110">
      <c r="A110" s="15" t="n"/>
      <c r="B110" s="16" t="n"/>
      <c r="C110" s="16" t="n"/>
      <c r="D110" s="16" t="n"/>
      <c r="E110" s="16" t="n">
        <v>14</v>
      </c>
      <c r="F110" s="16" t="inlineStr">
        <is>
          <t>None</t>
        </is>
      </c>
      <c r="G110" s="15" t="n"/>
      <c r="H110" s="15" t="n"/>
      <c r="I110" s="15" t="n"/>
      <c r="J110" s="15" t="n"/>
      <c r="K110" s="15" t="n"/>
      <c r="L110" s="15" t="n"/>
    </row>
    <row r="111">
      <c r="A111" s="10" t="n">
        <v>10</v>
      </c>
      <c r="B111" s="10" t="n">
        <v>1</v>
      </c>
      <c r="C111" s="10" t="inlineStr">
        <is>
          <t>Sit-Out</t>
        </is>
      </c>
      <c r="D111" s="10" t="n">
        <v>10</v>
      </c>
      <c r="E111" s="10" t="n">
        <v>19</v>
      </c>
      <c r="F111" s="10" t="inlineStr">
        <is>
          <t>EW</t>
        </is>
      </c>
    </row>
    <row r="112">
      <c r="B112" s="16" t="n"/>
      <c r="C112" s="16" t="n"/>
      <c r="D112" s="16" t="n"/>
      <c r="E112" s="16" t="n">
        <v>20</v>
      </c>
      <c r="F112" s="16" t="inlineStr">
        <is>
          <t>Both</t>
        </is>
      </c>
      <c r="G112" s="15" t="n"/>
      <c r="H112" s="15" t="n"/>
      <c r="I112" s="15" t="n"/>
      <c r="J112" s="15" t="n"/>
      <c r="K112" s="15" t="n"/>
      <c r="L112" s="15" t="n"/>
    </row>
    <row r="113">
      <c r="B113" s="10" t="n">
        <v>2</v>
      </c>
      <c r="C113" s="10" t="n">
        <v>1</v>
      </c>
      <c r="D113" s="10" t="n">
        <v>8</v>
      </c>
      <c r="E113" s="10" t="n">
        <v>5</v>
      </c>
      <c r="F113" s="10" t="inlineStr">
        <is>
          <t>NS</t>
        </is>
      </c>
    </row>
    <row r="114">
      <c r="B114" s="16" t="n"/>
      <c r="C114" s="16" t="n"/>
      <c r="D114" s="16" t="n"/>
      <c r="E114" s="16" t="n">
        <v>6</v>
      </c>
      <c r="F114" s="16" t="inlineStr">
        <is>
          <t>EW</t>
        </is>
      </c>
      <c r="G114" s="15" t="n"/>
      <c r="H114" s="15" t="n"/>
      <c r="I114" s="15" t="n"/>
      <c r="J114" s="15" t="n"/>
      <c r="K114" s="15" t="n"/>
      <c r="L114" s="15" t="n"/>
    </row>
    <row r="115">
      <c r="B115" s="10" t="n">
        <v>3</v>
      </c>
      <c r="C115" s="10" t="n">
        <v>6</v>
      </c>
      <c r="D115" s="10" t="n">
        <v>5</v>
      </c>
      <c r="E115" s="10" t="n">
        <v>7</v>
      </c>
      <c r="F115" s="10" t="inlineStr">
        <is>
          <t>Both</t>
        </is>
      </c>
    </row>
    <row r="116">
      <c r="B116" s="16" t="n"/>
      <c r="C116" s="16" t="n"/>
      <c r="D116" s="16" t="n"/>
      <c r="E116" s="16" t="n">
        <v>8</v>
      </c>
      <c r="F116" s="16" t="inlineStr">
        <is>
          <t>None</t>
        </is>
      </c>
      <c r="G116" s="15" t="n"/>
      <c r="H116" s="15" t="n"/>
      <c r="I116" s="15" t="n"/>
      <c r="J116" s="15" t="n"/>
      <c r="K116" s="15" t="n"/>
      <c r="L116" s="15" t="n"/>
    </row>
    <row r="117">
      <c r="B117" s="10" t="n">
        <v>4</v>
      </c>
      <c r="C117" s="10" t="n">
        <v>3</v>
      </c>
      <c r="D117" s="10" t="n">
        <v>9</v>
      </c>
      <c r="E117" s="10" t="n">
        <v>11</v>
      </c>
      <c r="F117" s="10" t="inlineStr">
        <is>
          <t>None</t>
        </is>
      </c>
    </row>
    <row r="118">
      <c r="B118" s="16" t="n"/>
      <c r="C118" s="16" t="n"/>
      <c r="D118" s="16" t="n"/>
      <c r="E118" s="16" t="n">
        <v>12</v>
      </c>
      <c r="F118" s="16" t="inlineStr">
        <is>
          <t>NS</t>
        </is>
      </c>
      <c r="G118" s="15" t="n"/>
      <c r="H118" s="15" t="n"/>
      <c r="I118" s="15" t="n"/>
      <c r="J118" s="15" t="n"/>
      <c r="K118" s="15" t="n"/>
      <c r="L118" s="15" t="n"/>
    </row>
    <row r="119">
      <c r="B119" s="10" t="n">
        <v>5</v>
      </c>
      <c r="C119" s="10" t="n">
        <v>2</v>
      </c>
      <c r="D119" s="10" t="n">
        <v>11</v>
      </c>
      <c r="E119" s="10" t="n">
        <v>13</v>
      </c>
      <c r="F119" s="10" t="inlineStr">
        <is>
          <t>Both</t>
        </is>
      </c>
    </row>
    <row r="120">
      <c r="B120" s="16" t="n"/>
      <c r="C120" s="16" t="n"/>
      <c r="D120" s="16" t="n"/>
      <c r="E120" s="16" t="n">
        <v>14</v>
      </c>
      <c r="F120" s="16" t="inlineStr">
        <is>
          <t>None</t>
        </is>
      </c>
      <c r="G120" s="15" t="n"/>
      <c r="H120" s="15" t="n"/>
      <c r="I120" s="15" t="n"/>
      <c r="J120" s="15" t="n"/>
      <c r="K120" s="15" t="n"/>
      <c r="L120" s="15" t="n"/>
    </row>
    <row r="121">
      <c r="B121" s="10" t="n">
        <v>6</v>
      </c>
      <c r="C121" s="10" t="n">
        <v>7</v>
      </c>
      <c r="D121" s="10" t="n">
        <v>4</v>
      </c>
      <c r="E121" s="10" t="n">
        <v>15</v>
      </c>
      <c r="F121" s="10" t="inlineStr">
        <is>
          <t>NS</t>
        </is>
      </c>
    </row>
    <row r="122">
      <c r="A122" s="15" t="n"/>
      <c r="B122" s="16" t="n"/>
      <c r="C122" s="16" t="n"/>
      <c r="D122" s="16" t="n"/>
      <c r="E122" s="16" t="n">
        <v>16</v>
      </c>
      <c r="F122" s="16" t="inlineStr">
        <is>
          <t>EW</t>
        </is>
      </c>
      <c r="G122" s="15" t="n"/>
      <c r="H122" s="15" t="n"/>
      <c r="I122" s="15" t="n"/>
      <c r="J122" s="15" t="n"/>
      <c r="K122" s="15" t="n"/>
      <c r="L122" s="15" t="n"/>
    </row>
    <row r="123">
      <c r="A123" s="10" t="n">
        <v>11</v>
      </c>
      <c r="B123" s="10" t="n">
        <v>1</v>
      </c>
      <c r="C123" s="10" t="inlineStr">
        <is>
          <t>Sit-Out</t>
        </is>
      </c>
      <c r="D123" s="10" t="n">
        <v>11</v>
      </c>
      <c r="E123" s="10" t="n">
        <v>21</v>
      </c>
      <c r="F123" s="10" t="inlineStr">
        <is>
          <t>NS</t>
        </is>
      </c>
    </row>
    <row r="124">
      <c r="B124" s="16" t="n"/>
      <c r="C124" s="16" t="n"/>
      <c r="D124" s="16" t="n"/>
      <c r="E124" s="16" t="n">
        <v>22</v>
      </c>
      <c r="F124" s="16" t="inlineStr">
        <is>
          <t>EW</t>
        </is>
      </c>
      <c r="G124" s="15" t="n"/>
      <c r="H124" s="15" t="n"/>
      <c r="I124" s="15" t="n"/>
      <c r="J124" s="15" t="n"/>
      <c r="K124" s="15" t="n"/>
      <c r="L124" s="15" t="n"/>
    </row>
    <row r="125">
      <c r="B125" s="10" t="n">
        <v>2</v>
      </c>
      <c r="C125" s="10" t="n">
        <v>2</v>
      </c>
      <c r="D125" s="10" t="n">
        <v>9</v>
      </c>
      <c r="E125" s="10" t="n">
        <v>7</v>
      </c>
      <c r="F125" s="10" t="inlineStr">
        <is>
          <t>Both</t>
        </is>
      </c>
    </row>
    <row r="126">
      <c r="B126" s="16" t="n"/>
      <c r="C126" s="16" t="n"/>
      <c r="D126" s="16" t="n"/>
      <c r="E126" s="16" t="n">
        <v>8</v>
      </c>
      <c r="F126" s="16" t="inlineStr">
        <is>
          <t>None</t>
        </is>
      </c>
      <c r="G126" s="15" t="n"/>
      <c r="H126" s="15" t="n"/>
      <c r="I126" s="15" t="n"/>
      <c r="J126" s="15" t="n"/>
      <c r="K126" s="15" t="n"/>
      <c r="L126" s="15" t="n"/>
    </row>
    <row r="127">
      <c r="B127" s="10" t="n">
        <v>3</v>
      </c>
      <c r="C127" s="10" t="n">
        <v>7</v>
      </c>
      <c r="D127" s="10" t="n">
        <v>6</v>
      </c>
      <c r="E127" s="10" t="n">
        <v>9</v>
      </c>
      <c r="F127" s="10" t="inlineStr">
        <is>
          <t>EW</t>
        </is>
      </c>
    </row>
    <row r="128">
      <c r="B128" s="16" t="n"/>
      <c r="C128" s="16" t="n"/>
      <c r="D128" s="16" t="n"/>
      <c r="E128" s="16" t="n">
        <v>10</v>
      </c>
      <c r="F128" s="16" t="inlineStr">
        <is>
          <t>Both</t>
        </is>
      </c>
      <c r="G128" s="15" t="n"/>
      <c r="H128" s="15" t="n"/>
      <c r="I128" s="15" t="n"/>
      <c r="J128" s="15" t="n"/>
      <c r="K128" s="15" t="n"/>
      <c r="L128" s="15" t="n"/>
    </row>
    <row r="129">
      <c r="B129" s="10" t="n">
        <v>4</v>
      </c>
      <c r="C129" s="10" t="n">
        <v>4</v>
      </c>
      <c r="D129" s="10" t="n">
        <v>10</v>
      </c>
      <c r="E129" s="10" t="n">
        <v>13</v>
      </c>
      <c r="F129" s="10" t="inlineStr">
        <is>
          <t>Both</t>
        </is>
      </c>
    </row>
    <row r="130">
      <c r="B130" s="16" t="n"/>
      <c r="C130" s="16" t="n"/>
      <c r="D130" s="16" t="n"/>
      <c r="E130" s="16" t="n">
        <v>14</v>
      </c>
      <c r="F130" s="16" t="inlineStr">
        <is>
          <t>None</t>
        </is>
      </c>
      <c r="G130" s="15" t="n"/>
      <c r="H130" s="15" t="n"/>
      <c r="I130" s="15" t="n"/>
      <c r="J130" s="15" t="n"/>
      <c r="K130" s="15" t="n"/>
      <c r="L130" s="15" t="n"/>
    </row>
    <row r="131">
      <c r="B131" s="10" t="n">
        <v>5</v>
      </c>
      <c r="C131" s="10" t="n">
        <v>3</v>
      </c>
      <c r="D131" s="10" t="n">
        <v>1</v>
      </c>
      <c r="E131" s="10" t="n">
        <v>15</v>
      </c>
      <c r="F131" s="10" t="inlineStr">
        <is>
          <t>NS</t>
        </is>
      </c>
    </row>
    <row r="132">
      <c r="B132" s="16" t="n"/>
      <c r="C132" s="16" t="n"/>
      <c r="D132" s="16" t="n"/>
      <c r="E132" s="16" t="n">
        <v>16</v>
      </c>
      <c r="F132" s="16" t="inlineStr">
        <is>
          <t>EW</t>
        </is>
      </c>
      <c r="G132" s="15" t="n"/>
      <c r="H132" s="15" t="n"/>
      <c r="I132" s="15" t="n"/>
      <c r="J132" s="15" t="n"/>
      <c r="K132" s="15" t="n"/>
      <c r="L132" s="15" t="n"/>
    </row>
    <row r="133">
      <c r="B133" s="10" t="n">
        <v>6</v>
      </c>
      <c r="C133" s="10" t="n">
        <v>8</v>
      </c>
      <c r="D133" s="10" t="n">
        <v>5</v>
      </c>
      <c r="E133" s="10" t="n">
        <v>17</v>
      </c>
      <c r="F133" s="10" t="inlineStr">
        <is>
          <t>None</t>
        </is>
      </c>
    </row>
    <row r="134">
      <c r="A134" s="15" t="n"/>
      <c r="B134" s="16" t="n"/>
      <c r="C134" s="16" t="n"/>
      <c r="D134" s="16" t="n"/>
      <c r="E134" s="16" t="n">
        <v>18</v>
      </c>
      <c r="F134" s="16" t="inlineStr">
        <is>
          <t>NS</t>
        </is>
      </c>
      <c r="G134" s="15" t="n"/>
      <c r="H134" s="15" t="n"/>
      <c r="I134" s="15" t="n"/>
      <c r="J134" s="15" t="n"/>
      <c r="K134" s="15" t="n"/>
      <c r="L134" s="15" t="n"/>
    </row>
  </sheetData>
  <mergeCells count="2"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22" t="n">
        <v>70</v>
      </c>
      <c r="D3" s="22" t="n">
        <v>140</v>
      </c>
      <c r="E3" s="22" t="n">
        <v>230</v>
      </c>
      <c r="F3" s="22" t="n">
        <v>70</v>
      </c>
      <c r="G3" s="22" t="n">
        <v>140</v>
      </c>
      <c r="H3" s="22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22" t="n">
        <v>90</v>
      </c>
      <c r="D4" s="22" t="n">
        <v>240</v>
      </c>
      <c r="E4" s="22" t="n">
        <v>430</v>
      </c>
      <c r="F4" s="22" t="n">
        <v>90</v>
      </c>
      <c r="G4" s="22" t="n">
        <v>340</v>
      </c>
      <c r="H4" s="22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K3-100</f>
        <v/>
      </c>
      <c r="O4">
        <f>L3-300</f>
        <v/>
      </c>
      <c r="P4">
        <f>L4*2</f>
        <v/>
      </c>
    </row>
    <row r="5">
      <c r="B5" t="n">
        <v>3</v>
      </c>
      <c r="C5" s="22" t="n">
        <v>110</v>
      </c>
      <c r="D5" s="22" t="n">
        <v>340</v>
      </c>
      <c r="E5" s="22" t="n">
        <v>630</v>
      </c>
      <c r="F5" s="22" t="n">
        <v>110</v>
      </c>
      <c r="G5" s="22" t="n">
        <v>540</v>
      </c>
      <c r="H5" s="22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K4-100</f>
        <v/>
      </c>
      <c r="O5">
        <f>L4-300</f>
        <v/>
      </c>
      <c r="P5">
        <f>L5*2</f>
        <v/>
      </c>
    </row>
    <row r="6">
      <c r="B6" t="n">
        <v>4</v>
      </c>
      <c r="C6" s="22" t="n">
        <v>130</v>
      </c>
      <c r="D6" s="22" t="n">
        <v>440</v>
      </c>
      <c r="E6" s="22" t="n">
        <v>830</v>
      </c>
      <c r="F6" s="22" t="n">
        <v>130</v>
      </c>
      <c r="G6" s="22" t="n">
        <v>740</v>
      </c>
      <c r="H6" s="22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K5-100</f>
        <v/>
      </c>
      <c r="O6">
        <f>L5-300</f>
        <v/>
      </c>
      <c r="P6">
        <f>L6*2</f>
        <v/>
      </c>
    </row>
    <row r="7">
      <c r="B7" t="n">
        <v>5</v>
      </c>
      <c r="C7" s="22" t="n">
        <v>150</v>
      </c>
      <c r="D7" s="22" t="n">
        <v>540</v>
      </c>
      <c r="E7" s="22" t="n">
        <v>1030</v>
      </c>
      <c r="F7" s="22" t="n">
        <v>150</v>
      </c>
      <c r="G7" s="22" t="n">
        <v>940</v>
      </c>
      <c r="H7" s="22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K6-100</f>
        <v/>
      </c>
      <c r="O7">
        <f>L6-300</f>
        <v/>
      </c>
      <c r="P7">
        <f>L7*2</f>
        <v/>
      </c>
    </row>
    <row r="8">
      <c r="B8" t="n">
        <v>6</v>
      </c>
      <c r="C8" s="22" t="n">
        <v>170</v>
      </c>
      <c r="D8" s="22" t="n">
        <v>640</v>
      </c>
      <c r="E8" s="22" t="n">
        <v>1230</v>
      </c>
      <c r="F8" s="22" t="n">
        <v>170</v>
      </c>
      <c r="G8" s="22" t="n">
        <v>1140</v>
      </c>
      <c r="H8" s="22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K7-100</f>
        <v/>
      </c>
      <c r="O8">
        <f>L7-300</f>
        <v/>
      </c>
      <c r="P8">
        <f>L8*2</f>
        <v/>
      </c>
    </row>
    <row r="9">
      <c r="B9" t="n">
        <v>7</v>
      </c>
      <c r="C9" s="22" t="n">
        <v>190</v>
      </c>
      <c r="D9" s="22" t="n">
        <v>740</v>
      </c>
      <c r="E9" s="22" t="n">
        <v>1430</v>
      </c>
      <c r="F9" s="22" t="n">
        <v>190</v>
      </c>
      <c r="G9" s="22" t="n">
        <v>1340</v>
      </c>
      <c r="H9" s="22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K8-100</f>
        <v/>
      </c>
      <c r="O9">
        <f>L8-300</f>
        <v/>
      </c>
      <c r="P9">
        <f>L9*2</f>
        <v/>
      </c>
    </row>
    <row r="10">
      <c r="A10" s="2" t="inlineStr">
        <is>
          <t>1 H/S</t>
        </is>
      </c>
      <c r="B10" t="n">
        <v>1</v>
      </c>
      <c r="C10" s="22" t="n">
        <v>80</v>
      </c>
      <c r="D10" s="22" t="n">
        <v>160</v>
      </c>
      <c r="E10" s="22" t="n">
        <v>520</v>
      </c>
      <c r="F10" s="22" t="n">
        <v>80</v>
      </c>
      <c r="G10" s="22" t="n">
        <v>160</v>
      </c>
      <c r="H10" s="22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K9-100</f>
        <v/>
      </c>
      <c r="O10">
        <f>L9-300</f>
        <v/>
      </c>
      <c r="P10">
        <f>L10*2</f>
        <v/>
      </c>
    </row>
    <row r="11">
      <c r="B11" t="n">
        <v>2</v>
      </c>
      <c r="C11" s="22" t="n">
        <v>110</v>
      </c>
      <c r="D11" s="22" t="n">
        <v>260</v>
      </c>
      <c r="E11" s="22" t="n">
        <v>720</v>
      </c>
      <c r="F11" s="22" t="n">
        <v>110</v>
      </c>
      <c r="G11" s="22" t="n">
        <v>360</v>
      </c>
      <c r="H11" s="22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K10-100</f>
        <v/>
      </c>
      <c r="O11">
        <f>L10-300</f>
        <v/>
      </c>
      <c r="P11">
        <f>L11*2</f>
        <v/>
      </c>
    </row>
    <row r="12">
      <c r="B12" t="n">
        <v>3</v>
      </c>
      <c r="C12" s="22" t="n">
        <v>140</v>
      </c>
      <c r="D12" s="22" t="n">
        <v>360</v>
      </c>
      <c r="E12" s="22" t="n">
        <v>920</v>
      </c>
      <c r="F12" s="22" t="n">
        <v>140</v>
      </c>
      <c r="G12" s="22" t="n">
        <v>560</v>
      </c>
      <c r="H12" s="22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K11-100</f>
        <v/>
      </c>
      <c r="O12">
        <f>L11-300</f>
        <v/>
      </c>
      <c r="P12">
        <f>L12*2</f>
        <v/>
      </c>
    </row>
    <row r="13">
      <c r="B13" t="n">
        <v>4</v>
      </c>
      <c r="C13" s="22" t="n">
        <v>170</v>
      </c>
      <c r="D13" s="22" t="n">
        <v>460</v>
      </c>
      <c r="E13" s="22" t="n">
        <v>1120</v>
      </c>
      <c r="F13" s="22" t="n">
        <v>170</v>
      </c>
      <c r="G13" s="22" t="n">
        <v>760</v>
      </c>
      <c r="H13" s="22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K12-100</f>
        <v/>
      </c>
      <c r="O13">
        <f>L12-300</f>
        <v/>
      </c>
      <c r="P13">
        <f>L13*2</f>
        <v/>
      </c>
    </row>
    <row r="14">
      <c r="B14" t="n">
        <v>5</v>
      </c>
      <c r="C14" s="22" t="n">
        <v>200</v>
      </c>
      <c r="D14" s="22" t="n">
        <v>560</v>
      </c>
      <c r="E14" s="22" t="n">
        <v>1320</v>
      </c>
      <c r="F14" s="22" t="n">
        <v>200</v>
      </c>
      <c r="G14" s="22" t="n">
        <v>960</v>
      </c>
      <c r="H14" s="22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K13-100</f>
        <v/>
      </c>
      <c r="O14">
        <f>L13-300</f>
        <v/>
      </c>
      <c r="P14">
        <f>L14*2</f>
        <v/>
      </c>
    </row>
    <row r="15">
      <c r="B15" t="n">
        <v>6</v>
      </c>
      <c r="C15" s="22" t="n">
        <v>230</v>
      </c>
      <c r="D15" s="22" t="n">
        <v>660</v>
      </c>
      <c r="E15" s="22" t="n">
        <v>1520</v>
      </c>
      <c r="F15" s="22" t="n">
        <v>230</v>
      </c>
      <c r="G15" s="22" t="n">
        <v>1160</v>
      </c>
      <c r="H15" s="22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K14-100</f>
        <v/>
      </c>
      <c r="O15">
        <f>L14-300</f>
        <v/>
      </c>
      <c r="P15">
        <f>L15*2</f>
        <v/>
      </c>
    </row>
    <row r="16">
      <c r="B16" t="n">
        <v>7</v>
      </c>
      <c r="C16" s="22" t="n">
        <v>260</v>
      </c>
      <c r="D16" s="22" t="n">
        <v>760</v>
      </c>
      <c r="E16" s="22" t="n">
        <v>1720</v>
      </c>
      <c r="F16" s="22" t="n">
        <v>260</v>
      </c>
      <c r="G16" s="22" t="n">
        <v>1360</v>
      </c>
      <c r="H16" s="22" t="n">
        <v>3120</v>
      </c>
    </row>
    <row r="17">
      <c r="A17" s="2" t="inlineStr">
        <is>
          <t>1 NT</t>
        </is>
      </c>
      <c r="B17" t="n">
        <v>1</v>
      </c>
      <c r="C17" s="22" t="n">
        <v>90</v>
      </c>
      <c r="D17" s="22" t="n">
        <v>180</v>
      </c>
      <c r="E17" s="22" t="n">
        <v>560</v>
      </c>
      <c r="F17" s="22" t="n">
        <v>90</v>
      </c>
      <c r="G17" s="22" t="n">
        <v>180</v>
      </c>
      <c r="H17" s="22" t="n">
        <v>760</v>
      </c>
    </row>
    <row r="18">
      <c r="B18" t="n">
        <v>2</v>
      </c>
      <c r="C18" s="22" t="n">
        <v>120</v>
      </c>
      <c r="D18" s="22" t="n">
        <v>280</v>
      </c>
      <c r="E18" s="22" t="n">
        <v>760</v>
      </c>
      <c r="F18" s="22" t="n">
        <v>120</v>
      </c>
      <c r="G18" s="22" t="n">
        <v>380</v>
      </c>
      <c r="H18" s="22" t="n">
        <v>1160</v>
      </c>
    </row>
    <row r="19">
      <c r="B19" t="n">
        <v>3</v>
      </c>
      <c r="C19" s="22" t="n">
        <v>150</v>
      </c>
      <c r="D19" s="22" t="n">
        <v>380</v>
      </c>
      <c r="E19" s="22" t="n">
        <v>960</v>
      </c>
      <c r="F19" s="22" t="n">
        <v>150</v>
      </c>
      <c r="G19" s="22" t="n">
        <v>580</v>
      </c>
      <c r="H19" s="22" t="n">
        <v>1560</v>
      </c>
    </row>
    <row r="20">
      <c r="B20" t="n">
        <v>4</v>
      </c>
      <c r="C20" s="22" t="n">
        <v>180</v>
      </c>
      <c r="D20" s="22" t="n">
        <v>480</v>
      </c>
      <c r="E20" s="22" t="n">
        <v>1160</v>
      </c>
      <c r="F20" s="22" t="n">
        <v>180</v>
      </c>
      <c r="G20" s="22" t="n">
        <v>780</v>
      </c>
      <c r="H20" s="22" t="n">
        <v>1960</v>
      </c>
    </row>
    <row r="21">
      <c r="B21" t="n">
        <v>5</v>
      </c>
      <c r="C21" s="22" t="n">
        <v>210</v>
      </c>
      <c r="D21" s="22" t="n">
        <v>580</v>
      </c>
      <c r="E21" s="22" t="n">
        <v>1360</v>
      </c>
      <c r="F21" s="22" t="n">
        <v>210</v>
      </c>
      <c r="G21" s="22" t="n">
        <v>980</v>
      </c>
      <c r="H21" s="22" t="n">
        <v>2360</v>
      </c>
    </row>
    <row r="22">
      <c r="B22" t="n">
        <v>6</v>
      </c>
      <c r="C22" s="22" t="n">
        <v>240</v>
      </c>
      <c r="D22" s="22" t="n">
        <v>680</v>
      </c>
      <c r="E22" s="22" t="n">
        <v>1560</v>
      </c>
      <c r="F22" s="22" t="n">
        <v>240</v>
      </c>
      <c r="G22" s="22" t="n">
        <v>1180</v>
      </c>
      <c r="H22" s="22" t="n">
        <v>2760</v>
      </c>
    </row>
    <row r="23">
      <c r="B23" t="n">
        <v>7</v>
      </c>
      <c r="C23" s="22" t="n">
        <v>270</v>
      </c>
      <c r="D23" s="22" t="n">
        <v>780</v>
      </c>
      <c r="E23" s="22" t="n">
        <v>1760</v>
      </c>
      <c r="F23" s="22" t="n">
        <v>270</v>
      </c>
      <c r="G23" s="22" t="n">
        <v>1380</v>
      </c>
      <c r="H23" s="22" t="n">
        <v>3160</v>
      </c>
    </row>
    <row r="24">
      <c r="A24" s="2" t="inlineStr">
        <is>
          <t>2 D/C</t>
        </is>
      </c>
      <c r="B24" t="n">
        <v>2</v>
      </c>
      <c r="C24" s="22" t="n">
        <v>90</v>
      </c>
      <c r="D24" s="22" t="n">
        <v>180</v>
      </c>
      <c r="E24" s="22" t="n">
        <v>560</v>
      </c>
      <c r="F24" s="22" t="n">
        <v>90</v>
      </c>
      <c r="G24" s="22" t="n">
        <v>180</v>
      </c>
      <c r="H24" s="22" t="n">
        <v>760</v>
      </c>
    </row>
    <row r="25">
      <c r="B25" t="n">
        <v>3</v>
      </c>
      <c r="C25" s="22" t="n">
        <v>110</v>
      </c>
      <c r="D25" s="22" t="n">
        <v>280</v>
      </c>
      <c r="E25" s="22" t="n">
        <v>760</v>
      </c>
      <c r="F25" s="22" t="n">
        <v>110</v>
      </c>
      <c r="G25" s="22" t="n">
        <v>380</v>
      </c>
      <c r="H25" s="22" t="n">
        <v>1160</v>
      </c>
    </row>
    <row r="26">
      <c r="B26" t="n">
        <v>4</v>
      </c>
      <c r="C26" s="22" t="n">
        <v>130</v>
      </c>
      <c r="D26" s="22" t="n">
        <v>380</v>
      </c>
      <c r="E26" s="22" t="n">
        <v>960</v>
      </c>
      <c r="F26" s="22" t="n">
        <v>130</v>
      </c>
      <c r="G26" s="22" t="n">
        <v>580</v>
      </c>
      <c r="H26" s="22" t="n">
        <v>1560</v>
      </c>
    </row>
    <row r="27">
      <c r="B27" t="n">
        <v>5</v>
      </c>
      <c r="C27" s="22" t="n">
        <v>150</v>
      </c>
      <c r="D27" s="22" t="n">
        <v>480</v>
      </c>
      <c r="E27" s="22" t="n">
        <v>1160</v>
      </c>
      <c r="F27" s="22" t="n">
        <v>150</v>
      </c>
      <c r="G27" s="22" t="n">
        <v>780</v>
      </c>
      <c r="H27" s="22" t="n">
        <v>1960</v>
      </c>
    </row>
    <row r="28">
      <c r="B28" t="n">
        <v>6</v>
      </c>
      <c r="C28" s="22" t="n">
        <v>170</v>
      </c>
      <c r="D28" s="22" t="n">
        <v>580</v>
      </c>
      <c r="E28" s="22" t="n">
        <v>1360</v>
      </c>
      <c r="F28" s="22" t="n">
        <v>170</v>
      </c>
      <c r="G28" s="22" t="n">
        <v>980</v>
      </c>
      <c r="H28" s="22" t="n">
        <v>2360</v>
      </c>
    </row>
    <row r="29">
      <c r="B29" t="n">
        <v>7</v>
      </c>
      <c r="C29" s="22" t="n">
        <v>190</v>
      </c>
      <c r="D29" s="22" t="n">
        <v>680</v>
      </c>
      <c r="E29" s="22" t="n">
        <v>1560</v>
      </c>
      <c r="F29" s="22" t="n">
        <v>190</v>
      </c>
      <c r="G29" s="22" t="n">
        <v>1180</v>
      </c>
      <c r="H29" s="22" t="n">
        <v>2760</v>
      </c>
    </row>
    <row r="30">
      <c r="A30" s="2" t="inlineStr">
        <is>
          <t>2 H/S</t>
        </is>
      </c>
      <c r="B30" t="n">
        <v>2</v>
      </c>
      <c r="C30" s="22" t="n">
        <v>110</v>
      </c>
      <c r="D30" s="22" t="n">
        <v>470</v>
      </c>
      <c r="E30" s="22" t="n">
        <v>640</v>
      </c>
      <c r="F30" s="22" t="n">
        <v>110</v>
      </c>
      <c r="G30" s="22" t="n">
        <v>670</v>
      </c>
      <c r="H30" s="22" t="n">
        <v>840</v>
      </c>
    </row>
    <row r="31">
      <c r="B31" t="n">
        <v>3</v>
      </c>
      <c r="C31" s="22" t="n">
        <v>140</v>
      </c>
      <c r="D31" s="22" t="n">
        <v>570</v>
      </c>
      <c r="E31" s="22" t="n">
        <v>840</v>
      </c>
      <c r="F31" s="22" t="n">
        <v>140</v>
      </c>
      <c r="G31" s="22" t="n">
        <v>870</v>
      </c>
      <c r="H31" s="22" t="n">
        <v>1240</v>
      </c>
    </row>
    <row r="32">
      <c r="B32" t="n">
        <v>4</v>
      </c>
      <c r="C32" s="22" t="n">
        <v>170</v>
      </c>
      <c r="D32" s="22" t="n">
        <v>670</v>
      </c>
      <c r="E32" s="22" t="n">
        <v>1040</v>
      </c>
      <c r="F32" s="22" t="n">
        <v>170</v>
      </c>
      <c r="G32" s="22" t="n">
        <v>1070</v>
      </c>
      <c r="H32" s="22" t="n">
        <v>1640</v>
      </c>
    </row>
    <row r="33">
      <c r="B33" t="n">
        <v>5</v>
      </c>
      <c r="C33" s="22" t="n">
        <v>200</v>
      </c>
      <c r="D33" s="22" t="n">
        <v>770</v>
      </c>
      <c r="E33" s="22" t="n">
        <v>1240</v>
      </c>
      <c r="F33" s="22" t="n">
        <v>200</v>
      </c>
      <c r="G33" s="22" t="n">
        <v>1270</v>
      </c>
      <c r="H33" s="22" t="n">
        <v>2040</v>
      </c>
    </row>
    <row r="34">
      <c r="B34" t="n">
        <v>6</v>
      </c>
      <c r="C34" s="22" t="n">
        <v>230</v>
      </c>
      <c r="D34" s="22" t="n">
        <v>870</v>
      </c>
      <c r="E34" s="22" t="n">
        <v>1440</v>
      </c>
      <c r="F34" s="22" t="n">
        <v>230</v>
      </c>
      <c r="G34" s="22" t="n">
        <v>1470</v>
      </c>
      <c r="H34" s="22" t="n">
        <v>2440</v>
      </c>
    </row>
    <row r="35">
      <c r="B35" t="n">
        <v>7</v>
      </c>
      <c r="C35" s="22" t="n">
        <v>260</v>
      </c>
      <c r="D35" s="22" t="n">
        <v>970</v>
      </c>
      <c r="E35" s="22" t="n">
        <v>1640</v>
      </c>
      <c r="F35" s="22" t="n">
        <v>260</v>
      </c>
      <c r="G35" s="22" t="n">
        <v>1670</v>
      </c>
      <c r="H35" s="22" t="n">
        <v>2840</v>
      </c>
    </row>
    <row r="36">
      <c r="A36" s="2" t="inlineStr">
        <is>
          <t>2 NT</t>
        </is>
      </c>
      <c r="B36" t="n">
        <v>2</v>
      </c>
      <c r="C36" s="22" t="n">
        <v>120</v>
      </c>
      <c r="D36" s="22" t="n">
        <v>490</v>
      </c>
      <c r="E36" s="22" t="n">
        <v>680</v>
      </c>
      <c r="F36" s="22" t="n">
        <v>120</v>
      </c>
      <c r="G36" s="22" t="n">
        <v>690</v>
      </c>
      <c r="H36" s="22" t="n">
        <v>880</v>
      </c>
    </row>
    <row r="37">
      <c r="B37" t="n">
        <v>3</v>
      </c>
      <c r="C37" s="22" t="n">
        <v>150</v>
      </c>
      <c r="D37" s="22" t="n">
        <v>590</v>
      </c>
      <c r="E37" s="22" t="n">
        <v>880</v>
      </c>
      <c r="F37" s="22" t="n">
        <v>150</v>
      </c>
      <c r="G37" s="22" t="n">
        <v>890</v>
      </c>
      <c r="H37" s="22" t="n">
        <v>1280</v>
      </c>
    </row>
    <row r="38">
      <c r="B38" t="n">
        <v>4</v>
      </c>
      <c r="C38" s="22" t="n">
        <v>180</v>
      </c>
      <c r="D38" s="22" t="n">
        <v>690</v>
      </c>
      <c r="E38" s="22" t="n">
        <v>1080</v>
      </c>
      <c r="F38" s="22" t="n">
        <v>180</v>
      </c>
      <c r="G38" s="22" t="n">
        <v>1090</v>
      </c>
      <c r="H38" s="22" t="n">
        <v>1680</v>
      </c>
    </row>
    <row r="39">
      <c r="B39" t="n">
        <v>5</v>
      </c>
      <c r="C39" s="22" t="n">
        <v>210</v>
      </c>
      <c r="D39" s="22" t="n">
        <v>790</v>
      </c>
      <c r="E39" s="22" t="n">
        <v>1280</v>
      </c>
      <c r="F39" s="22" t="n">
        <v>210</v>
      </c>
      <c r="G39" s="22" t="n">
        <v>1290</v>
      </c>
      <c r="H39" s="22" t="n">
        <v>2080</v>
      </c>
    </row>
    <row r="40">
      <c r="B40" t="n">
        <v>6</v>
      </c>
      <c r="C40" s="22" t="n">
        <v>240</v>
      </c>
      <c r="D40" s="22" t="n">
        <v>890</v>
      </c>
      <c r="E40" s="22" t="n">
        <v>1480</v>
      </c>
      <c r="F40" s="22" t="n">
        <v>240</v>
      </c>
      <c r="G40" s="22" t="n">
        <v>1490</v>
      </c>
      <c r="H40" s="22" t="n">
        <v>2480</v>
      </c>
    </row>
    <row r="41">
      <c r="B41" t="n">
        <v>7</v>
      </c>
      <c r="C41" s="22" t="n">
        <v>270</v>
      </c>
      <c r="D41" s="22" t="n">
        <v>990</v>
      </c>
      <c r="E41" s="22" t="n">
        <v>1680</v>
      </c>
      <c r="F41" s="22" t="n">
        <v>270</v>
      </c>
      <c r="G41" s="22" t="n">
        <v>1690</v>
      </c>
      <c r="H41" s="22" t="n">
        <v>2880</v>
      </c>
    </row>
    <row r="42">
      <c r="A42" s="2" t="inlineStr">
        <is>
          <t>3 D/C</t>
        </is>
      </c>
      <c r="B42" t="n">
        <v>3</v>
      </c>
      <c r="C42" s="22" t="n">
        <v>110</v>
      </c>
      <c r="D42" s="22" t="n">
        <v>470</v>
      </c>
      <c r="E42" s="22" t="n">
        <v>640</v>
      </c>
      <c r="F42" s="22" t="n">
        <v>110</v>
      </c>
      <c r="G42" s="22" t="n">
        <v>670</v>
      </c>
      <c r="H42" s="22" t="n">
        <v>840</v>
      </c>
    </row>
    <row r="43">
      <c r="B43" t="n">
        <v>4</v>
      </c>
      <c r="C43" s="22" t="n">
        <v>130</v>
      </c>
      <c r="D43" s="22" t="n">
        <v>570</v>
      </c>
      <c r="E43" s="22" t="n">
        <v>840</v>
      </c>
      <c r="F43" s="22" t="n">
        <v>130</v>
      </c>
      <c r="G43" s="22" t="n">
        <v>870</v>
      </c>
      <c r="H43" s="22" t="n">
        <v>1240</v>
      </c>
    </row>
    <row r="44">
      <c r="B44" t="n">
        <v>5</v>
      </c>
      <c r="C44" s="22" t="n">
        <v>150</v>
      </c>
      <c r="D44" s="22" t="n">
        <v>670</v>
      </c>
      <c r="E44" s="22" t="n">
        <v>1040</v>
      </c>
      <c r="F44" s="22" t="n">
        <v>150</v>
      </c>
      <c r="G44" s="22" t="n">
        <v>1070</v>
      </c>
      <c r="H44" s="22" t="n">
        <v>1640</v>
      </c>
    </row>
    <row r="45">
      <c r="B45" t="n">
        <v>6</v>
      </c>
      <c r="C45" s="22" t="n">
        <v>170</v>
      </c>
      <c r="D45" s="22" t="n">
        <v>770</v>
      </c>
      <c r="E45" s="22" t="n">
        <v>1240</v>
      </c>
      <c r="F45" s="22" t="n">
        <v>170</v>
      </c>
      <c r="G45" s="22" t="n">
        <v>1270</v>
      </c>
      <c r="H45" s="22" t="n">
        <v>2040</v>
      </c>
    </row>
    <row r="46">
      <c r="B46" t="n">
        <v>7</v>
      </c>
      <c r="C46" s="22" t="n">
        <v>190</v>
      </c>
      <c r="D46" s="22" t="n">
        <v>870</v>
      </c>
      <c r="E46" s="22" t="n">
        <v>1440</v>
      </c>
      <c r="F46" s="22" t="n">
        <v>190</v>
      </c>
      <c r="G46" s="22" t="n">
        <v>1470</v>
      </c>
      <c r="H46" s="22" t="n">
        <v>2440</v>
      </c>
    </row>
    <row r="47">
      <c r="A47" s="2" t="inlineStr">
        <is>
          <t>3 H/S</t>
        </is>
      </c>
      <c r="B47" t="n">
        <v>3</v>
      </c>
      <c r="C47" s="22" t="n">
        <v>140</v>
      </c>
      <c r="D47" s="22" t="n">
        <v>530</v>
      </c>
      <c r="E47" s="22" t="n">
        <v>760</v>
      </c>
      <c r="F47" s="22" t="n">
        <v>140</v>
      </c>
      <c r="G47" s="22" t="n">
        <v>730</v>
      </c>
      <c r="H47" s="22" t="n">
        <v>960</v>
      </c>
    </row>
    <row r="48">
      <c r="B48" t="n">
        <v>4</v>
      </c>
      <c r="C48" s="22" t="n">
        <v>170</v>
      </c>
      <c r="D48" s="22" t="n">
        <v>630</v>
      </c>
      <c r="E48" s="22" t="n">
        <v>960</v>
      </c>
      <c r="F48" s="22" t="n">
        <v>170</v>
      </c>
      <c r="G48" s="22" t="n">
        <v>930</v>
      </c>
      <c r="H48" s="22" t="n">
        <v>1360</v>
      </c>
    </row>
    <row r="49">
      <c r="B49" t="n">
        <v>5</v>
      </c>
      <c r="C49" s="22" t="n">
        <v>200</v>
      </c>
      <c r="D49" s="22" t="n">
        <v>730</v>
      </c>
      <c r="E49" s="22" t="n">
        <v>1160</v>
      </c>
      <c r="F49" s="22" t="n">
        <v>200</v>
      </c>
      <c r="G49" s="22" t="n">
        <v>1130</v>
      </c>
      <c r="H49" s="22" t="n">
        <v>1760</v>
      </c>
    </row>
    <row r="50">
      <c r="B50" t="n">
        <v>6</v>
      </c>
      <c r="C50" s="22" t="n">
        <v>230</v>
      </c>
      <c r="D50" s="22" t="n">
        <v>830</v>
      </c>
      <c r="E50" s="22" t="n">
        <v>1360</v>
      </c>
      <c r="F50" s="22" t="n">
        <v>230</v>
      </c>
      <c r="G50" s="22" t="n">
        <v>1330</v>
      </c>
      <c r="H50" s="22" t="n">
        <v>2160</v>
      </c>
    </row>
    <row r="51">
      <c r="B51" t="n">
        <v>7</v>
      </c>
      <c r="C51" s="22" t="n">
        <v>260</v>
      </c>
      <c r="D51" s="22" t="n">
        <v>930</v>
      </c>
      <c r="E51" s="22" t="n">
        <v>1560</v>
      </c>
      <c r="F51" s="22" t="n">
        <v>260</v>
      </c>
      <c r="G51" s="22" t="n">
        <v>1530</v>
      </c>
      <c r="H51" s="22" t="n">
        <v>2560</v>
      </c>
    </row>
    <row r="52">
      <c r="A52" s="2" t="inlineStr">
        <is>
          <t>3 NT</t>
        </is>
      </c>
      <c r="B52" t="n">
        <v>3</v>
      </c>
      <c r="C52" s="22" t="n">
        <v>400</v>
      </c>
      <c r="D52" s="22" t="n">
        <v>550</v>
      </c>
      <c r="E52" s="22" t="n">
        <v>800</v>
      </c>
      <c r="F52" s="22" t="n">
        <v>600</v>
      </c>
      <c r="G52" s="22" t="n">
        <v>750</v>
      </c>
      <c r="H52" s="22" t="n">
        <v>1000</v>
      </c>
    </row>
    <row r="53">
      <c r="B53" t="n">
        <v>4</v>
      </c>
      <c r="C53" s="22" t="n">
        <v>430</v>
      </c>
      <c r="D53" s="22" t="n">
        <v>650</v>
      </c>
      <c r="E53" s="22" t="n">
        <v>1000</v>
      </c>
      <c r="F53" s="22" t="n">
        <v>630</v>
      </c>
      <c r="G53" s="22" t="n">
        <v>950</v>
      </c>
      <c r="H53" s="22" t="n">
        <v>1400</v>
      </c>
    </row>
    <row r="54">
      <c r="B54" t="n">
        <v>5</v>
      </c>
      <c r="C54" s="22" t="n">
        <v>460</v>
      </c>
      <c r="D54" s="22" t="n">
        <v>750</v>
      </c>
      <c r="E54" s="22" t="n">
        <v>1200</v>
      </c>
      <c r="F54" s="22" t="n">
        <v>660</v>
      </c>
      <c r="G54" s="22" t="n">
        <v>1150</v>
      </c>
      <c r="H54" s="22" t="n">
        <v>1800</v>
      </c>
    </row>
    <row r="55">
      <c r="B55" t="n">
        <v>6</v>
      </c>
      <c r="C55" s="22" t="n">
        <v>490</v>
      </c>
      <c r="D55" s="22" t="n">
        <v>850</v>
      </c>
      <c r="E55" s="22" t="n">
        <v>1400</v>
      </c>
      <c r="F55" s="22" t="n">
        <v>690</v>
      </c>
      <c r="G55" s="22" t="n">
        <v>1350</v>
      </c>
      <c r="H55" s="22" t="n">
        <v>2200</v>
      </c>
    </row>
    <row r="56">
      <c r="B56" t="n">
        <v>7</v>
      </c>
      <c r="C56" s="22" t="n">
        <v>520</v>
      </c>
      <c r="D56" s="22" t="n">
        <v>950</v>
      </c>
      <c r="E56" s="22" t="n">
        <v>1600</v>
      </c>
      <c r="F56" s="22" t="n">
        <v>720</v>
      </c>
      <c r="G56" s="22" t="n">
        <v>1550</v>
      </c>
      <c r="H56" s="22" t="n">
        <v>2600</v>
      </c>
    </row>
    <row r="57">
      <c r="A57" s="2" t="inlineStr">
        <is>
          <t>4 D/C</t>
        </is>
      </c>
      <c r="B57" t="n">
        <v>4</v>
      </c>
      <c r="C57" s="22" t="n">
        <v>130</v>
      </c>
      <c r="D57" s="22" t="n">
        <v>510</v>
      </c>
      <c r="E57" s="22" t="n">
        <v>720</v>
      </c>
      <c r="F57" s="22" t="n">
        <v>130</v>
      </c>
      <c r="G57" s="22" t="n">
        <v>710</v>
      </c>
      <c r="H57" s="22" t="n">
        <v>920</v>
      </c>
    </row>
    <row r="58">
      <c r="B58" t="n">
        <v>5</v>
      </c>
      <c r="C58" s="22" t="n">
        <v>150</v>
      </c>
      <c r="D58" s="22" t="n">
        <v>610</v>
      </c>
      <c r="E58" s="22" t="n">
        <v>920</v>
      </c>
      <c r="F58" s="22" t="n">
        <v>150</v>
      </c>
      <c r="G58" s="22" t="n">
        <v>910</v>
      </c>
      <c r="H58" s="22" t="n">
        <v>1320</v>
      </c>
    </row>
    <row r="59">
      <c r="B59" t="n">
        <v>6</v>
      </c>
      <c r="C59" s="22" t="n">
        <v>170</v>
      </c>
      <c r="D59" s="22" t="n">
        <v>710</v>
      </c>
      <c r="E59" s="22" t="n">
        <v>1120</v>
      </c>
      <c r="F59" s="22" t="n">
        <v>170</v>
      </c>
      <c r="G59" s="22" t="n">
        <v>1110</v>
      </c>
      <c r="H59" s="22" t="n">
        <v>1720</v>
      </c>
    </row>
    <row r="60">
      <c r="B60" t="n">
        <v>7</v>
      </c>
      <c r="C60" s="22" t="n">
        <v>190</v>
      </c>
      <c r="D60" s="22" t="n">
        <v>810</v>
      </c>
      <c r="E60" s="22" t="n">
        <v>1320</v>
      </c>
      <c r="F60" s="22" t="n">
        <v>190</v>
      </c>
      <c r="G60" s="22" t="n">
        <v>1310</v>
      </c>
      <c r="H60" s="22" t="n">
        <v>2120</v>
      </c>
    </row>
    <row r="61">
      <c r="A61" s="2" t="inlineStr">
        <is>
          <t>4 H/S</t>
        </is>
      </c>
      <c r="B61" t="n">
        <v>4</v>
      </c>
      <c r="C61" s="22" t="n">
        <v>420</v>
      </c>
      <c r="D61" s="22" t="n">
        <v>590</v>
      </c>
      <c r="E61" s="22" t="n">
        <v>880</v>
      </c>
      <c r="F61" s="22" t="n">
        <v>620</v>
      </c>
      <c r="G61" s="22" t="n">
        <v>790</v>
      </c>
      <c r="H61" s="22" t="n">
        <v>1080</v>
      </c>
    </row>
    <row r="62">
      <c r="B62" t="n">
        <v>5</v>
      </c>
      <c r="C62" s="22" t="n">
        <v>450</v>
      </c>
      <c r="D62" s="22" t="n">
        <v>690</v>
      </c>
      <c r="E62" s="22" t="n">
        <v>1080</v>
      </c>
      <c r="F62" s="22" t="n">
        <v>650</v>
      </c>
      <c r="G62" s="22" t="n">
        <v>990</v>
      </c>
      <c r="H62" s="22" t="n">
        <v>1480</v>
      </c>
    </row>
    <row r="63">
      <c r="B63" t="n">
        <v>6</v>
      </c>
      <c r="C63" s="22" t="n">
        <v>480</v>
      </c>
      <c r="D63" s="22" t="n">
        <v>790</v>
      </c>
      <c r="E63" s="22" t="n">
        <v>1280</v>
      </c>
      <c r="F63" s="22" t="n">
        <v>680</v>
      </c>
      <c r="G63" s="22" t="n">
        <v>1190</v>
      </c>
      <c r="H63" s="22" t="n">
        <v>1880</v>
      </c>
    </row>
    <row r="64">
      <c r="B64" t="n">
        <v>7</v>
      </c>
      <c r="C64" s="22" t="n">
        <v>510</v>
      </c>
      <c r="D64" s="22" t="n">
        <v>890</v>
      </c>
      <c r="E64" s="22" t="n">
        <v>1480</v>
      </c>
      <c r="F64" s="22" t="n">
        <v>710</v>
      </c>
      <c r="G64" s="22" t="n">
        <v>1390</v>
      </c>
      <c r="H64" s="22" t="n">
        <v>2280</v>
      </c>
    </row>
    <row r="65">
      <c r="A65" s="2" t="inlineStr">
        <is>
          <t>4 NT</t>
        </is>
      </c>
      <c r="B65" t="n">
        <v>4</v>
      </c>
      <c r="C65" s="22" t="n">
        <v>430</v>
      </c>
      <c r="D65" s="22" t="n">
        <v>610</v>
      </c>
      <c r="E65" s="22" t="n">
        <v>920</v>
      </c>
      <c r="F65" s="22" t="n">
        <v>630</v>
      </c>
      <c r="G65" s="22" t="n">
        <v>810</v>
      </c>
      <c r="H65" s="22" t="n">
        <v>1120</v>
      </c>
    </row>
    <row r="66">
      <c r="B66" t="n">
        <v>5</v>
      </c>
      <c r="C66" s="22" t="n">
        <v>460</v>
      </c>
      <c r="D66" s="22" t="n">
        <v>710</v>
      </c>
      <c r="E66" s="22" t="n">
        <v>1120</v>
      </c>
      <c r="F66" s="22" t="n">
        <v>660</v>
      </c>
      <c r="G66" s="22" t="n">
        <v>1010</v>
      </c>
      <c r="H66" s="22" t="n">
        <v>1520</v>
      </c>
    </row>
    <row r="67">
      <c r="B67" t="n">
        <v>6</v>
      </c>
      <c r="C67" s="22" t="n">
        <v>490</v>
      </c>
      <c r="D67" s="22" t="n">
        <v>810</v>
      </c>
      <c r="E67" s="22" t="n">
        <v>1320</v>
      </c>
      <c r="F67" s="22" t="n">
        <v>690</v>
      </c>
      <c r="G67" s="22" t="n">
        <v>1210</v>
      </c>
      <c r="H67" s="22" t="n">
        <v>1920</v>
      </c>
    </row>
    <row r="68">
      <c r="B68" t="n">
        <v>7</v>
      </c>
      <c r="C68" s="22" t="n">
        <v>520</v>
      </c>
      <c r="D68" s="22" t="n">
        <v>910</v>
      </c>
      <c r="E68" s="22" t="n">
        <v>1520</v>
      </c>
      <c r="F68" s="22" t="n">
        <v>720</v>
      </c>
      <c r="G68" s="22" t="n">
        <v>1410</v>
      </c>
      <c r="H68" s="22" t="n">
        <v>2320</v>
      </c>
    </row>
    <row r="69">
      <c r="A69" s="2" t="inlineStr">
        <is>
          <t>5 D/C</t>
        </is>
      </c>
      <c r="B69" t="n">
        <v>5</v>
      </c>
      <c r="C69" s="22" t="n">
        <v>400</v>
      </c>
      <c r="D69" s="22" t="n">
        <v>550</v>
      </c>
      <c r="E69" s="22" t="n">
        <v>800</v>
      </c>
      <c r="F69" s="22" t="n">
        <v>600</v>
      </c>
      <c r="G69" s="22" t="n">
        <v>750</v>
      </c>
      <c r="H69" s="22" t="n">
        <v>1000</v>
      </c>
    </row>
    <row r="70">
      <c r="B70" t="n">
        <v>6</v>
      </c>
      <c r="C70" s="22" t="n">
        <v>420</v>
      </c>
      <c r="D70" s="22" t="n">
        <v>650</v>
      </c>
      <c r="E70" s="22" t="n">
        <v>1000</v>
      </c>
      <c r="F70" s="22" t="n">
        <v>620</v>
      </c>
      <c r="G70" s="22" t="n">
        <v>950</v>
      </c>
      <c r="H70" s="22" t="n">
        <v>1400</v>
      </c>
    </row>
    <row r="71">
      <c r="B71" t="n">
        <v>7</v>
      </c>
      <c r="C71" s="22" t="n">
        <v>440</v>
      </c>
      <c r="D71" s="22" t="n">
        <v>750</v>
      </c>
      <c r="E71" s="22" t="n">
        <v>1200</v>
      </c>
      <c r="F71" s="22" t="n">
        <v>640</v>
      </c>
      <c r="G71" s="22" t="n">
        <v>1150</v>
      </c>
      <c r="H71" s="22" t="n">
        <v>1800</v>
      </c>
    </row>
    <row r="72">
      <c r="A72" s="2" t="inlineStr">
        <is>
          <t>5 H/S</t>
        </is>
      </c>
      <c r="B72" t="n">
        <v>5</v>
      </c>
      <c r="C72" s="22" t="n">
        <v>450</v>
      </c>
      <c r="D72" s="22" t="n">
        <v>650</v>
      </c>
      <c r="E72" s="22" t="n">
        <v>1000</v>
      </c>
      <c r="F72" s="22" t="n">
        <v>650</v>
      </c>
      <c r="G72" s="22" t="n">
        <v>850</v>
      </c>
      <c r="H72" s="22" t="n">
        <v>1200</v>
      </c>
    </row>
    <row r="73">
      <c r="B73" t="n">
        <v>6</v>
      </c>
      <c r="C73" s="22" t="n">
        <v>480</v>
      </c>
      <c r="D73" s="22" t="n">
        <v>750</v>
      </c>
      <c r="E73" s="22" t="n">
        <v>1200</v>
      </c>
      <c r="F73" s="22" t="n">
        <v>680</v>
      </c>
      <c r="G73" s="22" t="n">
        <v>1050</v>
      </c>
      <c r="H73" s="22" t="n">
        <v>1600</v>
      </c>
    </row>
    <row r="74">
      <c r="B74" t="n">
        <v>7</v>
      </c>
      <c r="C74" s="22" t="n">
        <v>510</v>
      </c>
      <c r="D74" s="22" t="n">
        <v>850</v>
      </c>
      <c r="E74" s="22" t="n">
        <v>1400</v>
      </c>
      <c r="F74" s="22" t="n">
        <v>710</v>
      </c>
      <c r="G74" s="22" t="n">
        <v>1250</v>
      </c>
      <c r="H74" s="22" t="n">
        <v>2000</v>
      </c>
    </row>
    <row r="75">
      <c r="A75" s="2" t="inlineStr">
        <is>
          <t>5 NT</t>
        </is>
      </c>
      <c r="B75" t="n">
        <v>5</v>
      </c>
      <c r="C75" s="22" t="n">
        <v>460</v>
      </c>
      <c r="D75" s="22" t="n">
        <v>670</v>
      </c>
      <c r="E75" s="22" t="n">
        <v>1040</v>
      </c>
      <c r="F75" s="22" t="n">
        <v>660</v>
      </c>
      <c r="G75" s="22" t="n">
        <v>870</v>
      </c>
      <c r="H75" s="22" t="n">
        <v>1240</v>
      </c>
    </row>
    <row r="76">
      <c r="B76" t="n">
        <v>6</v>
      </c>
      <c r="C76" s="22" t="n">
        <v>490</v>
      </c>
      <c r="D76" s="22" t="n">
        <v>770</v>
      </c>
      <c r="E76" s="22" t="n">
        <v>1240</v>
      </c>
      <c r="F76" s="22" t="n">
        <v>690</v>
      </c>
      <c r="G76" s="22" t="n">
        <v>1070</v>
      </c>
      <c r="H76" s="22" t="n">
        <v>1640</v>
      </c>
    </row>
    <row r="77">
      <c r="B77" t="n">
        <v>7</v>
      </c>
      <c r="C77" s="22" t="n">
        <v>520</v>
      </c>
      <c r="D77" s="22" t="n">
        <v>870</v>
      </c>
      <c r="E77" s="22" t="n">
        <v>1440</v>
      </c>
      <c r="F77" s="22" t="n">
        <v>720</v>
      </c>
      <c r="G77" s="22" t="n">
        <v>1270</v>
      </c>
      <c r="H77" s="22" t="n">
        <v>2040</v>
      </c>
    </row>
    <row r="78">
      <c r="A78" s="2" t="inlineStr">
        <is>
          <t>6 D/C</t>
        </is>
      </c>
      <c r="B78" t="n">
        <v>6</v>
      </c>
      <c r="C78" s="22" t="n">
        <v>920</v>
      </c>
      <c r="D78" s="22" t="n">
        <v>1090</v>
      </c>
      <c r="E78" s="22" t="n">
        <v>1380</v>
      </c>
      <c r="F78" s="22" t="n">
        <v>1370</v>
      </c>
      <c r="G78" s="22" t="n">
        <v>1540</v>
      </c>
      <c r="H78" s="22" t="n">
        <v>1830</v>
      </c>
    </row>
    <row r="79">
      <c r="B79" t="n">
        <v>7</v>
      </c>
      <c r="C79" s="22" t="n">
        <v>940</v>
      </c>
      <c r="D79" s="22" t="n">
        <v>1190</v>
      </c>
      <c r="E79" s="22" t="n">
        <v>1580</v>
      </c>
      <c r="F79" s="22" t="n">
        <v>1390</v>
      </c>
      <c r="G79" s="22" t="n">
        <v>1740</v>
      </c>
      <c r="H79" s="22" t="n">
        <v>2230</v>
      </c>
    </row>
    <row r="80">
      <c r="A80" s="2" t="inlineStr">
        <is>
          <t>6 H/S</t>
        </is>
      </c>
      <c r="B80" t="n">
        <v>6</v>
      </c>
      <c r="C80" s="22" t="n">
        <v>980</v>
      </c>
      <c r="D80" s="22" t="n">
        <v>1210</v>
      </c>
      <c r="E80" s="22" t="n">
        <v>1620</v>
      </c>
      <c r="F80" s="22" t="n">
        <v>1430</v>
      </c>
      <c r="G80" s="22" t="n">
        <v>1660</v>
      </c>
      <c r="H80" s="22" t="n">
        <v>2070</v>
      </c>
    </row>
    <row r="81">
      <c r="B81" t="n">
        <v>7</v>
      </c>
      <c r="C81" s="22" t="n">
        <v>1010</v>
      </c>
      <c r="D81" s="22" t="n">
        <v>1310</v>
      </c>
      <c r="E81" s="22" t="n">
        <v>1820</v>
      </c>
      <c r="F81" s="22" t="n">
        <v>1460</v>
      </c>
      <c r="G81" s="22" t="n">
        <v>1860</v>
      </c>
      <c r="H81" s="22" t="n">
        <v>2470</v>
      </c>
    </row>
    <row r="82">
      <c r="A82" s="2" t="inlineStr">
        <is>
          <t>6 NT</t>
        </is>
      </c>
      <c r="B82" t="n">
        <v>6</v>
      </c>
      <c r="C82" s="22" t="n">
        <v>990</v>
      </c>
      <c r="D82" s="22" t="n">
        <v>1230</v>
      </c>
      <c r="E82" s="22" t="n">
        <v>1660</v>
      </c>
      <c r="F82" s="22" t="n">
        <v>1440</v>
      </c>
      <c r="G82" s="22" t="n">
        <v>1680</v>
      </c>
      <c r="H82" s="22" t="n">
        <v>2110</v>
      </c>
    </row>
    <row r="83">
      <c r="B83" t="n">
        <v>7</v>
      </c>
      <c r="C83" s="22" t="n">
        <v>1020</v>
      </c>
      <c r="D83" s="22" t="n">
        <v>1330</v>
      </c>
      <c r="E83" s="22" t="n">
        <v>1860</v>
      </c>
      <c r="F83" s="22" t="n">
        <v>1470</v>
      </c>
      <c r="G83" s="22" t="n">
        <v>1880</v>
      </c>
      <c r="H83" s="22" t="n">
        <v>2510</v>
      </c>
    </row>
    <row r="84">
      <c r="A84" s="2" t="inlineStr">
        <is>
          <t>7 D/C</t>
        </is>
      </c>
      <c r="B84" t="n">
        <v>7</v>
      </c>
      <c r="C84" s="22" t="n">
        <v>1440</v>
      </c>
      <c r="D84" s="22" t="n">
        <v>1630</v>
      </c>
      <c r="E84" s="22" t="n">
        <v>1960</v>
      </c>
      <c r="F84" s="22" t="n">
        <v>2140</v>
      </c>
      <c r="G84" s="22" t="n">
        <v>2330</v>
      </c>
      <c r="H84" s="22" t="n">
        <v>2660</v>
      </c>
    </row>
    <row r="85">
      <c r="A85" s="2" t="inlineStr">
        <is>
          <t>7 H/S</t>
        </is>
      </c>
      <c r="B85" t="n">
        <v>7</v>
      </c>
      <c r="C85" s="22" t="n">
        <v>1510</v>
      </c>
      <c r="D85" s="22" t="n">
        <v>1770</v>
      </c>
      <c r="E85" s="22" t="n">
        <v>2240</v>
      </c>
      <c r="F85" s="22" t="n">
        <v>2210</v>
      </c>
      <c r="G85" s="22" t="n">
        <v>2470</v>
      </c>
      <c r="H85" s="22" t="n">
        <v>2940</v>
      </c>
    </row>
    <row r="86">
      <c r="A86" s="2" t="inlineStr">
        <is>
          <t>7 NT</t>
        </is>
      </c>
      <c r="B86" t="n">
        <v>7</v>
      </c>
      <c r="C86" s="22" t="n">
        <v>1520</v>
      </c>
      <c r="D86" s="22" t="n">
        <v>1790</v>
      </c>
      <c r="E86" s="22" t="n">
        <v>2280</v>
      </c>
      <c r="F86" s="22" t="n">
        <v>2220</v>
      </c>
      <c r="G86" s="22" t="n">
        <v>2490</v>
      </c>
      <c r="H86" s="22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2026-03-18T15:27:46Z</dcterms:created>
  <dcterms:modified xsi:type="dcterms:W3CDTF">2026-03-18T15:27:47Z</dcterms:modified>
</cp:coreProperties>
</file>