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74</t>
        </is>
      </c>
      <c r="C10" t="inlineStr">
        <is>
          <t>Name 29</t>
        </is>
      </c>
      <c r="D10" s="4">
        <f>SUMIF('By Board'!$D$3:$D$122,"=1",'By Board'!$O$3:$O$122)/20+SUMIF('By Board'!$E$3:$E$122,"=1",'By Board'!$P$3:$P$122)/20</f>
        <v/>
      </c>
      <c r="E10" s="5">
        <f>SUMIF('By Board'!$D$3:$D$122,"=1",'By Board'!$M$3:$M$122)+SUMIF('By Board'!$E$3:$E$122,"=1",'By Board'!$N$3:$N$122)</f>
        <v/>
      </c>
    </row>
    <row r="11">
      <c r="A11" s="2" t="n">
        <v>2</v>
      </c>
      <c r="B11" t="inlineStr">
        <is>
          <t>Name 67</t>
        </is>
      </c>
      <c r="C11" t="inlineStr">
        <is>
          <t>Name 71</t>
        </is>
      </c>
      <c r="D11" s="4">
        <f>SUMIF('By Board'!$D$3:$D$122,"=2",'By Board'!$O$3:$O$122)/20+SUMIF('By Board'!$E$3:$E$122,"=2",'By Board'!$P$3:$P$122)/20</f>
        <v/>
      </c>
      <c r="E11" s="5">
        <f>SUMIF('By Board'!$D$3:$D$122,"=2",'By Board'!$M$3:$M$122)+SUMIF('By Board'!$E$3:$E$122,"=2",'By Board'!$N$3:$N$122)</f>
        <v/>
      </c>
    </row>
    <row r="12">
      <c r="A12" s="2" t="n">
        <v>3</v>
      </c>
      <c r="B12" t="inlineStr">
        <is>
          <t>Name 46</t>
        </is>
      </c>
      <c r="C12" t="inlineStr">
        <is>
          <t>Name 35</t>
        </is>
      </c>
      <c r="D12" s="4">
        <f>SUMIF('By Board'!$D$3:$D$122,"=3",'By Board'!$O$3:$O$122)/20+SUMIF('By Board'!$E$3:$E$122,"=3",'By Board'!$P$3:$P$122)/20</f>
        <v/>
      </c>
      <c r="E12" s="5">
        <f>SUMIF('By Board'!$D$3:$D$122,"=3",'By Board'!$M$3:$M$122)+SUMIF('By Board'!$E$3:$E$122,"=3",'By Board'!$N$3:$N$122)</f>
        <v/>
      </c>
    </row>
    <row r="13">
      <c r="A13" s="2" t="n">
        <v>4</v>
      </c>
      <c r="B13" t="inlineStr">
        <is>
          <t>Name 71</t>
        </is>
      </c>
      <c r="C13" t="inlineStr">
        <is>
          <t>Name 83</t>
        </is>
      </c>
      <c r="D13" s="4">
        <f>SUMIF('By Board'!$D$3:$D$122,"=4",'By Board'!$O$3:$O$122)/20+SUMIF('By Board'!$E$3:$E$122,"=4",'By Board'!$P$3:$P$122)/20</f>
        <v/>
      </c>
      <c r="E13" s="5">
        <f>SUMIF('By Board'!$D$3:$D$122,"=4",'By Board'!$M$3:$M$122)+SUMIF('By Board'!$E$3:$E$122,"=4",'By Board'!$N$3:$N$122)</f>
        <v/>
      </c>
    </row>
    <row r="14">
      <c r="A14" s="2" t="n">
        <v>5</v>
      </c>
      <c r="B14" t="inlineStr">
        <is>
          <t>Name 32</t>
        </is>
      </c>
      <c r="C14" t="inlineStr">
        <is>
          <t>Name 59</t>
        </is>
      </c>
      <c r="D14" s="4">
        <f>SUMIF('By Board'!$D$3:$D$122,"=5",'By Board'!$O$3:$O$122)/20+SUMIF('By Board'!$E$3:$E$122,"=5",'By Board'!$P$3:$P$122)/20</f>
        <v/>
      </c>
      <c r="E14" s="5">
        <f>SUMIF('By Board'!$D$3:$D$122,"=5",'By Board'!$M$3:$M$122)+SUMIF('By Board'!$E$3:$E$122,"=5",'By Board'!$N$3:$N$122)</f>
        <v/>
      </c>
    </row>
    <row r="15">
      <c r="A15" s="2" t="n">
        <v>6</v>
      </c>
      <c r="B15" t="inlineStr">
        <is>
          <t>Name 90</t>
        </is>
      </c>
      <c r="C15" t="inlineStr">
        <is>
          <t>Name 36</t>
        </is>
      </c>
      <c r="D15" s="4">
        <f>SUMIF('By Board'!$D$3:$D$122,"=6",'By Board'!$O$3:$O$122)/20+SUMIF('By Board'!$E$3:$E$122,"=6",'By Board'!$P$3:$P$122)/20</f>
        <v/>
      </c>
      <c r="E15" s="5">
        <f>SUMIF('By Board'!$D$3:$D$122,"=6",'By Board'!$M$3:$M$122)+SUMIF('By Board'!$E$3:$E$122,"=6",'By Board'!$N$3:$N$122)</f>
        <v/>
      </c>
    </row>
    <row r="16">
      <c r="A16" s="2" t="n">
        <v>7</v>
      </c>
      <c r="B16" t="inlineStr">
        <is>
          <t>Name 38</t>
        </is>
      </c>
      <c r="C16" t="inlineStr">
        <is>
          <t>Name 57</t>
        </is>
      </c>
      <c r="D16" s="4">
        <f>SUMIF('By Board'!$D$3:$D$122,"=7",'By Board'!$O$3:$O$122)/20+SUMIF('By Board'!$E$3:$E$122,"=7",'By Board'!$P$3:$P$122)/20</f>
        <v/>
      </c>
      <c r="E16" s="5">
        <f>SUMIF('By Board'!$D$3:$D$122,"=7",'By Board'!$M$3:$M$122)+SUMIF('By Board'!$E$3:$E$122,"=7",'By Board'!$N$3:$N$122)</f>
        <v/>
      </c>
    </row>
    <row r="17">
      <c r="A17" s="2" t="n">
        <v>8</v>
      </c>
      <c r="B17" t="inlineStr">
        <is>
          <t>Name 72</t>
        </is>
      </c>
      <c r="C17" t="inlineStr">
        <is>
          <t>Name 30</t>
        </is>
      </c>
      <c r="D17" s="4">
        <f>SUMIF('By Board'!$D$3:$D$122,"=8",'By Board'!$O$3:$O$122)/20+SUMIF('By Board'!$E$3:$E$122,"=8",'By Board'!$P$3:$P$122)/20</f>
        <v/>
      </c>
      <c r="E17" s="5">
        <f>SUMIF('By Board'!$D$3:$D$122,"=8",'By Board'!$M$3:$M$122)+SUMIF('By Board'!$E$3:$E$122,"=8",'By Board'!$N$3:$N$122)</f>
        <v/>
      </c>
    </row>
    <row r="18">
      <c r="A18" s="2" t="n">
        <v>9</v>
      </c>
      <c r="B18" t="inlineStr">
        <is>
          <t>Name 84</t>
        </is>
      </c>
      <c r="C18" t="inlineStr">
        <is>
          <t>Name 17</t>
        </is>
      </c>
      <c r="D18" s="4">
        <f>SUMIF('By Board'!$D$3:$D$122,"=9",'By Board'!$O$3:$O$122)/20+SUMIF('By Board'!$E$3:$E$122,"=9",'By Board'!$P$3:$P$122)/20</f>
        <v/>
      </c>
      <c r="E18" s="5">
        <f>SUMIF('By Board'!$D$3:$D$122,"=9",'By Board'!$M$3:$M$122)+SUMIF('By Board'!$E$3:$E$122,"=9",'By Board'!$N$3:$N$122)</f>
        <v/>
      </c>
    </row>
    <row r="19">
      <c r="A19" s="2" t="n">
        <v>10</v>
      </c>
      <c r="B19" t="inlineStr">
        <is>
          <t>Name 48</t>
        </is>
      </c>
      <c r="C19" t="inlineStr">
        <is>
          <t>Name 30</t>
        </is>
      </c>
      <c r="D19" s="4">
        <f>SUMIF('By Board'!$D$3:$D$122,"=10",'By Board'!$O$3:$O$122)/20+SUMIF('By Board'!$E$3:$E$122,"=10",'By Board'!$P$3:$P$122)/20</f>
        <v/>
      </c>
      <c r="E19" s="5">
        <f>SUMIF('By Board'!$D$3:$D$122,"=10",'By Board'!$M$3:$M$122)+SUMIF('By Board'!$E$3:$E$122,"=10",'By Board'!$N$3:$N$122)</f>
        <v/>
      </c>
    </row>
    <row r="20">
      <c r="A20" s="2" t="n">
        <v>11</v>
      </c>
      <c r="B20" t="inlineStr">
        <is>
          <t>Name 45</t>
        </is>
      </c>
      <c r="C20" t="inlineStr">
        <is>
          <t>Name 84</t>
        </is>
      </c>
      <c r="D20" s="4">
        <f>SUMIF('By Board'!$D$3:$D$122,"=11",'By Board'!$O$3:$O$122)/20+SUMIF('By Board'!$E$3:$E$122,"=11",'By Board'!$P$3:$P$122)/20</f>
        <v/>
      </c>
      <c r="E20" s="5">
        <f>SUMIF('By Board'!$D$3:$D$122,"=11",'By Board'!$M$3:$M$122)+SUMIF('By Board'!$E$3:$E$122,"=11",'By Board'!$N$3:$N$122)</f>
        <v/>
      </c>
    </row>
    <row r="21">
      <c r="D21" s="6">
        <f>AVERAGE(D10:D20)</f>
        <v/>
      </c>
      <c r="E21" s="7">
        <f>SUM(E10:E20)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Round'!A75</f>
        <v/>
      </c>
      <c r="C4" s="10">
        <f>'By Round'!B79</f>
        <v/>
      </c>
      <c r="D4" s="10">
        <f>'By Round'!C79</f>
        <v/>
      </c>
      <c r="E4" s="10">
        <f>'By Round'!D79</f>
        <v/>
      </c>
      <c r="F4" s="10">
        <f>IF(ISBLANK('By Round'!F79),"",'By Round'!F79)</f>
        <v/>
      </c>
      <c r="G4">
        <f>IF(ISBLANK('By Round'!G79),"",'By Round'!G79)</f>
        <v/>
      </c>
      <c r="H4">
        <f>IF(ISBLANK('By Round'!H79),"",'By Round'!H79)</f>
        <v/>
      </c>
      <c r="I4">
        <f>IF(ISBLANK('By Round'!I79),"",'By Round'!I79)</f>
        <v/>
      </c>
      <c r="J4">
        <f>IF(ISBLANK('By Round'!J79),"",'By Round'!J79)</f>
        <v/>
      </c>
      <c r="K4">
        <f>IF(ISBLANK('By Round'!K79),"",'By Round'!K79)</f>
        <v/>
      </c>
      <c r="L4">
        <f>IF(ISBLANK('By Round'!L79),"",'By Round'!L79)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Round'!A39</f>
        <v/>
      </c>
      <c r="C5" s="10">
        <f>'By Round'!B47</f>
        <v/>
      </c>
      <c r="D5" s="10">
        <f>'By Round'!C47</f>
        <v/>
      </c>
      <c r="E5" s="10">
        <f>'By Round'!D47</f>
        <v/>
      </c>
      <c r="F5" s="10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>
        <f>IF(ISBLANK('By Round'!L47),"",'By Round'!L47)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Round'!A51</f>
        <v/>
      </c>
      <c r="C6" s="10">
        <f>'By Round'!B57</f>
        <v/>
      </c>
      <c r="D6" s="10">
        <f>'By Round'!C57</f>
        <v/>
      </c>
      <c r="E6" s="10">
        <f>'By Round'!D57</f>
        <v/>
      </c>
      <c r="F6" s="10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>
        <f>IF(ISBLANK('By Round'!L57),"",'By Round'!L57)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Round'!A87</f>
        <v/>
      </c>
      <c r="C7" s="10">
        <f>'By Round'!B89</f>
        <v/>
      </c>
      <c r="D7" s="10">
        <f>'By Round'!C89</f>
        <v/>
      </c>
      <c r="E7" s="10">
        <f>'By Round'!D89</f>
        <v/>
      </c>
      <c r="F7" s="10">
        <f>IF(ISBLANK('By Round'!F89),"",'By Round'!F89)</f>
        <v/>
      </c>
      <c r="G7">
        <f>IF(ISBLANK('By Round'!G89),"",'By Round'!G89)</f>
        <v/>
      </c>
      <c r="H7">
        <f>IF(ISBLANK('By Round'!H89),"",'By Round'!H89)</f>
        <v/>
      </c>
      <c r="I7">
        <f>IF(ISBLANK('By Round'!I89),"",'By Round'!I89)</f>
        <v/>
      </c>
      <c r="J7">
        <f>IF(ISBLANK('By Round'!J89),"",'By Round'!J89)</f>
        <v/>
      </c>
      <c r="K7">
        <f>IF(ISBLANK('By Round'!K89),"",'By Round'!K89)</f>
        <v/>
      </c>
      <c r="L7">
        <f>IF(ISBLANK('By Round'!L89),"",'By Round'!L89)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Round'!A27</f>
        <v/>
      </c>
      <c r="C8" s="16">
        <f>'By Round'!B37</f>
        <v/>
      </c>
      <c r="D8" s="16">
        <f>'By Round'!C37</f>
        <v/>
      </c>
      <c r="E8" s="16">
        <f>'By Round'!D37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Round'!A75</f>
        <v/>
      </c>
      <c r="C10" s="10">
        <f>'By Round'!B79</f>
        <v/>
      </c>
      <c r="D10" s="10">
        <f>'By Round'!C79</f>
        <v/>
      </c>
      <c r="E10" s="10">
        <f>'By Round'!D79</f>
        <v/>
      </c>
      <c r="F10" s="10">
        <f>IF(ISBLANK('By Round'!F80),"",'By Round'!F80)</f>
        <v/>
      </c>
      <c r="G10">
        <f>IF(ISBLANK('By Round'!G80),"",'By Round'!G80)</f>
        <v/>
      </c>
      <c r="H10">
        <f>IF(ISBLANK('By Round'!H80),"",'By Round'!H80)</f>
        <v/>
      </c>
      <c r="I10">
        <f>IF(ISBLANK('By Round'!I80),"",'By Round'!I80)</f>
        <v/>
      </c>
      <c r="J10">
        <f>IF(ISBLANK('By Round'!J80),"",'By Round'!J80)</f>
        <v/>
      </c>
      <c r="K10">
        <f>IF(ISBLANK('By Round'!K80),"",'By Round'!K80)</f>
        <v/>
      </c>
      <c r="L10">
        <f>IF(ISBLANK('By Round'!L80),"",'By Round'!L80)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Round'!A39</f>
        <v/>
      </c>
      <c r="C11" s="10">
        <f>'By Round'!B47</f>
        <v/>
      </c>
      <c r="D11" s="10">
        <f>'By Round'!C47</f>
        <v/>
      </c>
      <c r="E11" s="10">
        <f>'By Round'!D47</f>
        <v/>
      </c>
      <c r="F11" s="10">
        <f>IF(ISBLANK('By Round'!F48),"",'By Round'!F48)</f>
        <v/>
      </c>
      <c r="G11">
        <f>IF(ISBLANK('By Round'!G48),"",'By Round'!G48)</f>
        <v/>
      </c>
      <c r="H11">
        <f>IF(ISBLANK('By Round'!H48),"",'By Round'!H48)</f>
        <v/>
      </c>
      <c r="I11">
        <f>IF(ISBLANK('By Round'!I48),"",'By Round'!I48)</f>
        <v/>
      </c>
      <c r="J11">
        <f>IF(ISBLANK('By Round'!J48),"",'By Round'!J48)</f>
        <v/>
      </c>
      <c r="K11">
        <f>IF(ISBLANK('By Round'!K48),"",'By Round'!K48)</f>
        <v/>
      </c>
      <c r="L11">
        <f>IF(ISBLANK('By Round'!L48),"",'By Round'!L48)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Round'!B57</f>
        <v/>
      </c>
      <c r="D12" s="10">
        <f>'By Round'!C57</f>
        <v/>
      </c>
      <c r="E12" s="10">
        <f>'By Round'!D57</f>
        <v/>
      </c>
      <c r="F12" s="10">
        <f>IF(ISBLANK('By Round'!F58),"",'By Round'!F58)</f>
        <v/>
      </c>
      <c r="G12">
        <f>IF(ISBLANK('By Round'!G58),"",'By Round'!G58)</f>
        <v/>
      </c>
      <c r="H12">
        <f>IF(ISBLANK('By Round'!H58),"",'By Round'!H58)</f>
        <v/>
      </c>
      <c r="I12">
        <f>IF(ISBLANK('By Round'!I58),"",'By Round'!I58)</f>
        <v/>
      </c>
      <c r="J12">
        <f>IF(ISBLANK('By Round'!J58),"",'By Round'!J58)</f>
        <v/>
      </c>
      <c r="K12">
        <f>IF(ISBLANK('By Round'!K58),"",'By Round'!K58)</f>
        <v/>
      </c>
      <c r="L12">
        <f>IF(ISBLANK('By Round'!L58),"",'By Round'!L58)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Round'!A87</f>
        <v/>
      </c>
      <c r="C13" s="10">
        <f>'By Round'!B89</f>
        <v/>
      </c>
      <c r="D13" s="10">
        <f>'By Round'!C89</f>
        <v/>
      </c>
      <c r="E13" s="10">
        <f>'By Round'!D89</f>
        <v/>
      </c>
      <c r="F13" s="10">
        <f>IF(ISBLANK('By Round'!F90),"",'By Round'!F90)</f>
        <v/>
      </c>
      <c r="G13">
        <f>IF(ISBLANK('By Round'!G90),"",'By Round'!G90)</f>
        <v/>
      </c>
      <c r="H13">
        <f>IF(ISBLANK('By Round'!H90),"",'By Round'!H90)</f>
        <v/>
      </c>
      <c r="I13">
        <f>IF(ISBLANK('By Round'!I90),"",'By Round'!I90)</f>
        <v/>
      </c>
      <c r="J13">
        <f>IF(ISBLANK('By Round'!J90),"",'By Round'!J90)</f>
        <v/>
      </c>
      <c r="K13">
        <f>IF(ISBLANK('By Round'!K90),"",'By Round'!K90)</f>
        <v/>
      </c>
      <c r="L13">
        <f>IF(ISBLANK('By Round'!L90),"",'By Round'!L90)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Round'!A27</f>
        <v/>
      </c>
      <c r="C14" s="16">
        <f>'By Round'!B37</f>
        <v/>
      </c>
      <c r="D14" s="16">
        <f>'By Round'!C37</f>
        <v/>
      </c>
      <c r="E14" s="16">
        <f>'By Round'!D37</f>
        <v/>
      </c>
      <c r="F14" s="16">
        <f>IF(ISBLANK('By Round'!F38),"",'By Round'!F38)</f>
        <v/>
      </c>
      <c r="G14" s="15">
        <f>IF(ISBLANK('By Round'!G38),"",'By Round'!G38)</f>
        <v/>
      </c>
      <c r="H14" s="15">
        <f>IF(ISBLANK('By Round'!H38),"",'By Round'!H38)</f>
        <v/>
      </c>
      <c r="I14" s="15">
        <f>IF(ISBLANK('By Round'!I38),"",'By Round'!I38)</f>
        <v/>
      </c>
      <c r="J14" s="15">
        <f>IF(ISBLANK('By Round'!J38),"",'By Round'!J38)</f>
        <v/>
      </c>
      <c r="K14" s="15">
        <f>IF(ISBLANK('By Round'!K38),"",'By Round'!K38)</f>
        <v/>
      </c>
      <c r="L14" s="15">
        <f>IF(ISBLANK('By Round'!L38),"",'By Round'!L38)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Round'!A15</f>
        <v/>
      </c>
      <c r="C15" s="10">
        <f>'By Round'!B15</f>
        <v/>
      </c>
      <c r="D15" s="10">
        <f>'By Round'!C15</f>
        <v/>
      </c>
      <c r="E15" s="10">
        <f>'By Round'!D15</f>
        <v/>
      </c>
      <c r="F15" s="10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>
        <f>IF(ISBLANK('By Round'!L15),"",'By Round'!L15)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Round'!A39</f>
        <v/>
      </c>
      <c r="C16" s="10">
        <f>'By Round'!B49</f>
        <v/>
      </c>
      <c r="D16" s="10">
        <f>'By Round'!C49</f>
        <v/>
      </c>
      <c r="E16" s="10">
        <f>'By Round'!D49</f>
        <v/>
      </c>
      <c r="F16" s="10">
        <f>IF(ISBLANK('By Round'!F49),"",'By Round'!F49)</f>
        <v/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>
        <f>IF(ISBLANK('By Round'!L49),"",'By Round'!L49)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Round'!A87</f>
        <v/>
      </c>
      <c r="C17" s="10">
        <f>'By Round'!B91</f>
        <v/>
      </c>
      <c r="D17" s="10">
        <f>'By Round'!C91</f>
        <v/>
      </c>
      <c r="E17" s="10">
        <f>'By Round'!D91</f>
        <v/>
      </c>
      <c r="F17" s="10">
        <f>IF(ISBLANK('By Round'!F91),"",'By Round'!F91)</f>
        <v/>
      </c>
      <c r="G17">
        <f>IF(ISBLANK('By Round'!G91),"",'By Round'!G91)</f>
        <v/>
      </c>
      <c r="H17">
        <f>IF(ISBLANK('By Round'!H91),"",'By Round'!H91)</f>
        <v/>
      </c>
      <c r="I17">
        <f>IF(ISBLANK('By Round'!I91),"",'By Round'!I91)</f>
        <v/>
      </c>
      <c r="J17">
        <f>IF(ISBLANK('By Round'!J91),"",'By Round'!J91)</f>
        <v/>
      </c>
      <c r="K17">
        <f>IF(ISBLANK('By Round'!K91),"",'By Round'!K91)</f>
        <v/>
      </c>
      <c r="L17">
        <f>IF(ISBLANK('By Round'!L91),"",'By Round'!L91)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Round'!A51</f>
        <v/>
      </c>
      <c r="C18" s="10">
        <f>'By Round'!B59</f>
        <v/>
      </c>
      <c r="D18" s="10">
        <f>'By Round'!C59</f>
        <v/>
      </c>
      <c r="E18" s="10">
        <f>'By Round'!D59</f>
        <v/>
      </c>
      <c r="F18" s="10">
        <f>IF(ISBLANK('By Round'!F59),"",'By Round'!F59)</f>
        <v/>
      </c>
      <c r="G18">
        <f>IF(ISBLANK('By Round'!G59),"",'By Round'!G59)</f>
        <v/>
      </c>
      <c r="H18">
        <f>IF(ISBLANK('By Round'!H59),"",'By Round'!H59)</f>
        <v/>
      </c>
      <c r="I18">
        <f>IF(ISBLANK('By Round'!I59),"",'By Round'!I59)</f>
        <v/>
      </c>
      <c r="J18">
        <f>IF(ISBLANK('By Round'!J59),"",'By Round'!J59)</f>
        <v/>
      </c>
      <c r="K18">
        <f>IF(ISBLANK('By Round'!K59),"",'By Round'!K59)</f>
        <v/>
      </c>
      <c r="L18">
        <f>IF(ISBLANK('By Round'!L59),"",'By Round'!L59)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Round'!A63</f>
        <v/>
      </c>
      <c r="C19" s="10">
        <f>'By Round'!B69</f>
        <v/>
      </c>
      <c r="D19" s="10">
        <f>'By Round'!C69</f>
        <v/>
      </c>
      <c r="E19" s="10">
        <f>'By Round'!D69</f>
        <v/>
      </c>
      <c r="F19" s="10">
        <f>IF(ISBLANK('By Round'!F69),"",'By Round'!F69)</f>
        <v/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>
        <f>IF(ISBLANK('By Round'!L69),"",'By Round'!L69)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Round'!A99</f>
        <v/>
      </c>
      <c r="C20" s="16">
        <f>'By Round'!B101</f>
        <v/>
      </c>
      <c r="D20" s="16">
        <f>'By Round'!C101</f>
        <v/>
      </c>
      <c r="E20" s="16">
        <f>'By Round'!D101</f>
        <v/>
      </c>
      <c r="F20" s="16">
        <f>IF(ISBLANK('By Round'!F101),"",'By Round'!F101)</f>
        <v/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5">
        <f>IF(ISBLANK('By Round'!L101),"",'By Round'!L101)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Round'!A15</f>
        <v/>
      </c>
      <c r="C21" s="10">
        <f>'By Round'!B15</f>
        <v/>
      </c>
      <c r="D21" s="10">
        <f>'By Round'!C15</f>
        <v/>
      </c>
      <c r="E21" s="10">
        <f>'By Round'!D15</f>
        <v/>
      </c>
      <c r="F21" s="10">
        <f>IF(ISBLANK('By Round'!F16),"",'By Round'!F16)</f>
        <v/>
      </c>
      <c r="G21">
        <f>IF(ISBLANK('By Round'!G16),"",'By Round'!G16)</f>
        <v/>
      </c>
      <c r="H21">
        <f>IF(ISBLANK('By Round'!H16),"",'By Round'!H16)</f>
        <v/>
      </c>
      <c r="I21">
        <f>IF(ISBLANK('By Round'!I16),"",'By Round'!I16)</f>
        <v/>
      </c>
      <c r="J21">
        <f>IF(ISBLANK('By Round'!J16),"",'By Round'!J16)</f>
        <v/>
      </c>
      <c r="K21">
        <f>IF(ISBLANK('By Round'!K16),"",'By Round'!K16)</f>
        <v/>
      </c>
      <c r="L21">
        <f>IF(ISBLANK('By Round'!L16),"",'By Round'!L16)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Round'!A39</f>
        <v/>
      </c>
      <c r="C22" s="10">
        <f>'By Round'!B49</f>
        <v/>
      </c>
      <c r="D22" s="10">
        <f>'By Round'!C49</f>
        <v/>
      </c>
      <c r="E22" s="10">
        <f>'By Round'!D49</f>
        <v/>
      </c>
      <c r="F22" s="10">
        <f>IF(ISBLANK('By Round'!F50),"",'By Round'!F50)</f>
        <v/>
      </c>
      <c r="G22">
        <f>IF(ISBLANK('By Round'!G50),"",'By Round'!G50)</f>
        <v/>
      </c>
      <c r="H22">
        <f>IF(ISBLANK('By Round'!H50),"",'By Round'!H50)</f>
        <v/>
      </c>
      <c r="I22">
        <f>IF(ISBLANK('By Round'!I50),"",'By Round'!I50)</f>
        <v/>
      </c>
      <c r="J22">
        <f>IF(ISBLANK('By Round'!J50),"",'By Round'!J50)</f>
        <v/>
      </c>
      <c r="K22">
        <f>IF(ISBLANK('By Round'!K50),"",'By Round'!K50)</f>
        <v/>
      </c>
      <c r="L22">
        <f>IF(ISBLANK('By Round'!L50),"",'By Round'!L50)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Round'!A87</f>
        <v/>
      </c>
      <c r="C23" s="10">
        <f>'By Round'!B91</f>
        <v/>
      </c>
      <c r="D23" s="10">
        <f>'By Round'!C91</f>
        <v/>
      </c>
      <c r="E23" s="10">
        <f>'By Round'!D91</f>
        <v/>
      </c>
      <c r="F23" s="10">
        <f>IF(ISBLANK('By Round'!F92),"",'By Round'!F92)</f>
        <v/>
      </c>
      <c r="G23">
        <f>IF(ISBLANK('By Round'!G92),"",'By Round'!G92)</f>
        <v/>
      </c>
      <c r="H23">
        <f>IF(ISBLANK('By Round'!H92),"",'By Round'!H92)</f>
        <v/>
      </c>
      <c r="I23">
        <f>IF(ISBLANK('By Round'!I92),"",'By Round'!I92)</f>
        <v/>
      </c>
      <c r="J23">
        <f>IF(ISBLANK('By Round'!J92),"",'By Round'!J92)</f>
        <v/>
      </c>
      <c r="K23">
        <f>IF(ISBLANK('By Round'!K92),"",'By Round'!K92)</f>
        <v/>
      </c>
      <c r="L23">
        <f>IF(ISBLANK('By Round'!L92),"",'By Round'!L92)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Round'!A51</f>
        <v/>
      </c>
      <c r="C24" s="10">
        <f>'By Round'!B59</f>
        <v/>
      </c>
      <c r="D24" s="10">
        <f>'By Round'!C59</f>
        <v/>
      </c>
      <c r="E24" s="10">
        <f>'By Round'!D59</f>
        <v/>
      </c>
      <c r="F24" s="10">
        <f>IF(ISBLANK('By Round'!F60),"",'By Round'!F60)</f>
        <v/>
      </c>
      <c r="G24">
        <f>IF(ISBLANK('By Round'!G60),"",'By Round'!G60)</f>
        <v/>
      </c>
      <c r="H24">
        <f>IF(ISBLANK('By Round'!H60),"",'By Round'!H60)</f>
        <v/>
      </c>
      <c r="I24">
        <f>IF(ISBLANK('By Round'!I60),"",'By Round'!I60)</f>
        <v/>
      </c>
      <c r="J24">
        <f>IF(ISBLANK('By Round'!J60),"",'By Round'!J60)</f>
        <v/>
      </c>
      <c r="K24">
        <f>IF(ISBLANK('By Round'!K60),"",'By Round'!K60)</f>
        <v/>
      </c>
      <c r="L24">
        <f>IF(ISBLANK('By Round'!L60),"",'By Round'!L60)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Round'!A63</f>
        <v/>
      </c>
      <c r="C25" s="10">
        <f>'By Round'!B69</f>
        <v/>
      </c>
      <c r="D25" s="10">
        <f>'By Round'!C69</f>
        <v/>
      </c>
      <c r="E25" s="10">
        <f>'By Round'!D69</f>
        <v/>
      </c>
      <c r="F25" s="10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Round'!A99</f>
        <v/>
      </c>
      <c r="C26" s="16">
        <f>'By Round'!B101</f>
        <v/>
      </c>
      <c r="D26" s="16">
        <f>'By Round'!C101</f>
        <v/>
      </c>
      <c r="E26" s="16">
        <f>'By Round'!D101</f>
        <v/>
      </c>
      <c r="F26" s="16">
        <f>IF(ISBLANK('By Round'!F102),"",'By Round'!F102)</f>
        <v/>
      </c>
      <c r="G26" s="15">
        <f>IF(ISBLANK('By Round'!G102),"",'By Round'!G102)</f>
        <v/>
      </c>
      <c r="H26" s="15">
        <f>IF(ISBLANK('By Round'!H102),"",'By Round'!H102)</f>
        <v/>
      </c>
      <c r="I26" s="15">
        <f>IF(ISBLANK('By Round'!I102),"",'By Round'!I102)</f>
        <v/>
      </c>
      <c r="J26" s="15">
        <f>IF(ISBLANK('By Round'!J102),"",'By Round'!J102)</f>
        <v/>
      </c>
      <c r="K26" s="15">
        <f>IF(ISBLANK('By Round'!K102),"",'By Round'!K102)</f>
        <v/>
      </c>
      <c r="L26" s="15">
        <f>IF(ISBLANK('By Round'!L102),"",'By Round'!L102)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Round'!A111</f>
        <v/>
      </c>
      <c r="C28" s="10">
        <f>'By Round'!B113</f>
        <v/>
      </c>
      <c r="D28" s="10">
        <f>'By Round'!C113</f>
        <v/>
      </c>
      <c r="E28" s="10">
        <f>'By Round'!D113</f>
        <v/>
      </c>
      <c r="F28" s="10">
        <f>IF(ISBLANK('By Round'!F113),"",'By Round'!F113)</f>
        <v/>
      </c>
      <c r="G28">
        <f>IF(ISBLANK('By Round'!G113),"",'By Round'!G113)</f>
        <v/>
      </c>
      <c r="H28">
        <f>IF(ISBLANK('By Round'!H113),"",'By Round'!H113)</f>
        <v/>
      </c>
      <c r="I28">
        <f>IF(ISBLANK('By Round'!I113),"",'By Round'!I113)</f>
        <v/>
      </c>
      <c r="J28">
        <f>IF(ISBLANK('By Round'!J113),"",'By Round'!J113)</f>
        <v/>
      </c>
      <c r="K28">
        <f>IF(ISBLANK('By Round'!K113),"",'By Round'!K113)</f>
        <v/>
      </c>
      <c r="L28">
        <f>IF(ISBLANK('By Round'!L113),"",'By Round'!L113)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Round'!A51</f>
        <v/>
      </c>
      <c r="C29" s="10">
        <f>'By Round'!B61</f>
        <v/>
      </c>
      <c r="D29" s="10">
        <f>'By Round'!C61</f>
        <v/>
      </c>
      <c r="E29" s="10">
        <f>'By Round'!D61</f>
        <v/>
      </c>
      <c r="F29" s="10">
        <f>IF(ISBLANK('By Round'!F61),"",'By Round'!F61)</f>
        <v/>
      </c>
      <c r="G29">
        <f>IF(ISBLANK('By Round'!G61),"",'By Round'!G61)</f>
        <v/>
      </c>
      <c r="H29">
        <f>IF(ISBLANK('By Round'!H61),"",'By Round'!H61)</f>
        <v/>
      </c>
      <c r="I29">
        <f>IF(ISBLANK('By Round'!I61),"",'By Round'!I61)</f>
        <v/>
      </c>
      <c r="J29">
        <f>IF(ISBLANK('By Round'!J61),"",'By Round'!J61)</f>
        <v/>
      </c>
      <c r="K29">
        <f>IF(ISBLANK('By Round'!K61),"",'By Round'!K61)</f>
        <v/>
      </c>
      <c r="L29">
        <f>IF(ISBLANK('By Round'!L61),"",'By Round'!L61)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Round'!A99</f>
        <v/>
      </c>
      <c r="C30" s="10">
        <f>'By Round'!B103</f>
        <v/>
      </c>
      <c r="D30" s="10">
        <f>'By Round'!C103</f>
        <v/>
      </c>
      <c r="E30" s="10">
        <f>'By Round'!D103</f>
        <v/>
      </c>
      <c r="F30" s="10">
        <f>IF(ISBLANK('By Round'!F103),"",'By Round'!F103)</f>
        <v/>
      </c>
      <c r="G30">
        <f>IF(ISBLANK('By Round'!G103),"",'By Round'!G103)</f>
        <v/>
      </c>
      <c r="H30">
        <f>IF(ISBLANK('By Round'!H103),"",'By Round'!H103)</f>
        <v/>
      </c>
      <c r="I30">
        <f>IF(ISBLANK('By Round'!I103),"",'By Round'!I103)</f>
        <v/>
      </c>
      <c r="J30">
        <f>IF(ISBLANK('By Round'!J103),"",'By Round'!J103)</f>
        <v/>
      </c>
      <c r="K30">
        <f>IF(ISBLANK('By Round'!K103),"",'By Round'!K103)</f>
        <v/>
      </c>
      <c r="L30">
        <f>IF(ISBLANK('By Round'!L103),"",'By Round'!L103)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Round'!A63</f>
        <v/>
      </c>
      <c r="C31" s="10">
        <f>'By Round'!B71</f>
        <v/>
      </c>
      <c r="D31" s="10">
        <f>'By Round'!C71</f>
        <v/>
      </c>
      <c r="E31" s="10">
        <f>'By Round'!D71</f>
        <v/>
      </c>
      <c r="F31" s="10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Round'!A75</f>
        <v/>
      </c>
      <c r="C32" s="16">
        <f>'By Round'!B81</f>
        <v/>
      </c>
      <c r="D32" s="16">
        <f>'By Round'!C81</f>
        <v/>
      </c>
      <c r="E32" s="16">
        <f>'By Round'!D81</f>
        <v/>
      </c>
      <c r="F32" s="16">
        <f>IF(ISBLANK('By Round'!F81),"",'By Round'!F81)</f>
        <v/>
      </c>
      <c r="G32" s="15">
        <f>IF(ISBLANK('By Round'!G81),"",'By Round'!G81)</f>
        <v/>
      </c>
      <c r="H32" s="15">
        <f>IF(ISBLANK('By Round'!H81),"",'By Round'!H81)</f>
        <v/>
      </c>
      <c r="I32" s="15">
        <f>IF(ISBLANK('By Round'!I81),"",'By Round'!I81)</f>
        <v/>
      </c>
      <c r="J32" s="15">
        <f>IF(ISBLANK('By Round'!J81),"",'By Round'!J81)</f>
        <v/>
      </c>
      <c r="K32" s="15">
        <f>IF(ISBLANK('By Round'!K81),"",'By Round'!K81)</f>
        <v/>
      </c>
      <c r="L32" s="15">
        <f>IF(ISBLANK('By Round'!L81),"",'By Round'!L81)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Round'!A27</f>
        <v/>
      </c>
      <c r="C33" s="10">
        <f>'By Round'!B27</f>
        <v/>
      </c>
      <c r="D33" s="10">
        <f>'By Round'!C27</f>
        <v/>
      </c>
      <c r="E33" s="10">
        <f>'By Round'!D27</f>
        <v/>
      </c>
      <c r="F33" s="10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>
        <f>IF(ISBLANK('By Round'!L28),"",'By Round'!L28)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Round'!A111</f>
        <v/>
      </c>
      <c r="C34" s="10">
        <f>'By Round'!B113</f>
        <v/>
      </c>
      <c r="D34" s="10">
        <f>'By Round'!C113</f>
        <v/>
      </c>
      <c r="E34" s="10">
        <f>'By Round'!D113</f>
        <v/>
      </c>
      <c r="F34" s="10">
        <f>IF(ISBLANK('By Round'!F114),"",'By Round'!F114)</f>
        <v/>
      </c>
      <c r="G34">
        <f>IF(ISBLANK('By Round'!G114),"",'By Round'!G114)</f>
        <v/>
      </c>
      <c r="H34">
        <f>IF(ISBLANK('By Round'!H114),"",'By Round'!H114)</f>
        <v/>
      </c>
      <c r="I34">
        <f>IF(ISBLANK('By Round'!I114),"",'By Round'!I114)</f>
        <v/>
      </c>
      <c r="J34">
        <f>IF(ISBLANK('By Round'!J114),"",'By Round'!J114)</f>
        <v/>
      </c>
      <c r="K34">
        <f>IF(ISBLANK('By Round'!K114),"",'By Round'!K114)</f>
        <v/>
      </c>
      <c r="L34">
        <f>IF(ISBLANK('By Round'!L114),"",'By Round'!L114)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Round'!A51</f>
        <v/>
      </c>
      <c r="C35" s="10">
        <f>'By Round'!B61</f>
        <v/>
      </c>
      <c r="D35" s="10">
        <f>'By Round'!C61</f>
        <v/>
      </c>
      <c r="E35" s="10">
        <f>'By Round'!D61</f>
        <v/>
      </c>
      <c r="F35" s="10">
        <f>IF(ISBLANK('By Round'!F62),"",'By Round'!F62)</f>
        <v/>
      </c>
      <c r="G35">
        <f>IF(ISBLANK('By Round'!G62),"",'By Round'!G62)</f>
        <v/>
      </c>
      <c r="H35">
        <f>IF(ISBLANK('By Round'!H62),"",'By Round'!H62)</f>
        <v/>
      </c>
      <c r="I35">
        <f>IF(ISBLANK('By Round'!I62),"",'By Round'!I62)</f>
        <v/>
      </c>
      <c r="J35">
        <f>IF(ISBLANK('By Round'!J62),"",'By Round'!J62)</f>
        <v/>
      </c>
      <c r="K35">
        <f>IF(ISBLANK('By Round'!K62),"",'By Round'!K62)</f>
        <v/>
      </c>
      <c r="L35">
        <f>IF(ISBLANK('By Round'!L62),"",'By Round'!L62)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Round'!A99</f>
        <v/>
      </c>
      <c r="C36" s="10">
        <f>'By Round'!B103</f>
        <v/>
      </c>
      <c r="D36" s="10">
        <f>'By Round'!C103</f>
        <v/>
      </c>
      <c r="E36" s="10">
        <f>'By Round'!D103</f>
        <v/>
      </c>
      <c r="F36" s="10">
        <f>IF(ISBLANK('By Round'!F104),"",'By Round'!F104)</f>
        <v/>
      </c>
      <c r="G36">
        <f>IF(ISBLANK('By Round'!G104),"",'By Round'!G104)</f>
        <v/>
      </c>
      <c r="H36">
        <f>IF(ISBLANK('By Round'!H104),"",'By Round'!H104)</f>
        <v/>
      </c>
      <c r="I36">
        <f>IF(ISBLANK('By Round'!I104),"",'By Round'!I104)</f>
        <v/>
      </c>
      <c r="J36">
        <f>IF(ISBLANK('By Round'!J104),"",'By Round'!J104)</f>
        <v/>
      </c>
      <c r="K36">
        <f>IF(ISBLANK('By Round'!K104),"",'By Round'!K104)</f>
        <v/>
      </c>
      <c r="L36">
        <f>IF(ISBLANK('By Round'!L104),"",'By Round'!L104)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Round'!A63</f>
        <v/>
      </c>
      <c r="C37" s="10">
        <f>'By Round'!B71</f>
        <v/>
      </c>
      <c r="D37" s="10">
        <f>'By Round'!C71</f>
        <v/>
      </c>
      <c r="E37" s="10">
        <f>'By Round'!D71</f>
        <v/>
      </c>
      <c r="F37" s="10">
        <f>IF(ISBLANK('By Round'!F72),"",'By Round'!F72)</f>
        <v/>
      </c>
      <c r="G37">
        <f>IF(ISBLANK('By Round'!G72),"",'By Round'!G72)</f>
        <v/>
      </c>
      <c r="H37">
        <f>IF(ISBLANK('By Round'!H72),"",'By Round'!H72)</f>
        <v/>
      </c>
      <c r="I37">
        <f>IF(ISBLANK('By Round'!I72),"",'By Round'!I72)</f>
        <v/>
      </c>
      <c r="J37">
        <f>IF(ISBLANK('By Round'!J72),"",'By Round'!J72)</f>
        <v/>
      </c>
      <c r="K37">
        <f>IF(ISBLANK('By Round'!K72),"",'By Round'!K72)</f>
        <v/>
      </c>
      <c r="L37">
        <f>IF(ISBLANK('By Round'!L72),"",'By Round'!L72)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Round'!A75</f>
        <v/>
      </c>
      <c r="C38" s="16">
        <f>'By Round'!B81</f>
        <v/>
      </c>
      <c r="D38" s="16">
        <f>'By Round'!C81</f>
        <v/>
      </c>
      <c r="E38" s="16">
        <f>'By Round'!D81</f>
        <v/>
      </c>
      <c r="F38" s="16">
        <f>IF(ISBLANK('By Round'!F82),"",'By Round'!F82)</f>
        <v/>
      </c>
      <c r="G38" s="15">
        <f>IF(ISBLANK('By Round'!G82),"",'By Round'!G82)</f>
        <v/>
      </c>
      <c r="H38" s="15">
        <f>IF(ISBLANK('By Round'!H82),"",'By Round'!H82)</f>
        <v/>
      </c>
      <c r="I38" s="15">
        <f>IF(ISBLANK('By Round'!I82),"",'By Round'!I82)</f>
        <v/>
      </c>
      <c r="J38" s="15">
        <f>IF(ISBLANK('By Round'!J82),"",'By Round'!J82)</f>
        <v/>
      </c>
      <c r="K38" s="15">
        <f>IF(ISBLANK('By Round'!K82),"",'By Round'!K82)</f>
        <v/>
      </c>
      <c r="L38" s="15">
        <f>IF(ISBLANK('By Round'!L82),"",'By Round'!L82)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Round'!A87</f>
        <v/>
      </c>
      <c r="C40" s="10">
        <f>'By Round'!B93</f>
        <v/>
      </c>
      <c r="D40" s="10">
        <f>'By Round'!C93</f>
        <v/>
      </c>
      <c r="E40" s="10">
        <f>'By Round'!D93</f>
        <v/>
      </c>
      <c r="F40" s="10">
        <f>IF(ISBLANK('By Round'!F93),"",'By Round'!F93)</f>
        <v/>
      </c>
      <c r="G40">
        <f>IF(ISBLANK('By Round'!G93),"",'By Round'!G93)</f>
        <v/>
      </c>
      <c r="H40">
        <f>IF(ISBLANK('By Round'!H93),"",'By Round'!H93)</f>
        <v/>
      </c>
      <c r="I40">
        <f>IF(ISBLANK('By Round'!I93),"",'By Round'!I93)</f>
        <v/>
      </c>
      <c r="J40">
        <f>IF(ISBLANK('By Round'!J93),"",'By Round'!J93)</f>
        <v/>
      </c>
      <c r="K40">
        <f>IF(ISBLANK('By Round'!K93),"",'By Round'!K93)</f>
        <v/>
      </c>
      <c r="L40">
        <f>IF(ISBLANK('By Round'!L93),"",'By Round'!L93)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Round'!A123</f>
        <v/>
      </c>
      <c r="C41" s="10">
        <f>'By Round'!B125</f>
        <v/>
      </c>
      <c r="D41" s="10">
        <f>'By Round'!C125</f>
        <v/>
      </c>
      <c r="E41" s="10">
        <f>'By Round'!D125</f>
        <v/>
      </c>
      <c r="F41" s="10">
        <f>IF(ISBLANK('By Round'!F125),"",'By Round'!F125)</f>
        <v/>
      </c>
      <c r="G41">
        <f>IF(ISBLANK('By Round'!G125),"",'By Round'!G125)</f>
        <v/>
      </c>
      <c r="H41">
        <f>IF(ISBLANK('By Round'!H125),"",'By Round'!H125)</f>
        <v/>
      </c>
      <c r="I41">
        <f>IF(ISBLANK('By Round'!I125),"",'By Round'!I125)</f>
        <v/>
      </c>
      <c r="J41">
        <f>IF(ISBLANK('By Round'!J125),"",'By Round'!J125)</f>
        <v/>
      </c>
      <c r="K41">
        <f>IF(ISBLANK('By Round'!K125),"",'By Round'!K125)</f>
        <v/>
      </c>
      <c r="L41">
        <f>IF(ISBLANK('By Round'!L125),"",'By Round'!L125)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Round'!A63</f>
        <v/>
      </c>
      <c r="C42" s="10">
        <f>'By Round'!B73</f>
        <v/>
      </c>
      <c r="D42" s="10">
        <f>'By Round'!C73</f>
        <v/>
      </c>
      <c r="E42" s="10">
        <f>'By Round'!D73</f>
        <v/>
      </c>
      <c r="F42" s="10">
        <f>IF(ISBLANK('By Round'!F73),"",'By Round'!F73)</f>
        <v/>
      </c>
      <c r="G42">
        <f>IF(ISBLANK('By Round'!G73),"",'By Round'!G73)</f>
        <v/>
      </c>
      <c r="H42">
        <f>IF(ISBLANK('By Round'!H73),"",'By Round'!H73)</f>
        <v/>
      </c>
      <c r="I42">
        <f>IF(ISBLANK('By Round'!I73),"",'By Round'!I73)</f>
        <v/>
      </c>
      <c r="J42">
        <f>IF(ISBLANK('By Round'!J73),"",'By Round'!J73)</f>
        <v/>
      </c>
      <c r="K42">
        <f>IF(ISBLANK('By Round'!K73),"",'By Round'!K73)</f>
        <v/>
      </c>
      <c r="L42">
        <f>IF(ISBLANK('By Round'!L73),"",'By Round'!L73)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Round'!A111</f>
        <v/>
      </c>
      <c r="C43" s="10">
        <f>'By Round'!B115</f>
        <v/>
      </c>
      <c r="D43" s="10">
        <f>'By Round'!C115</f>
        <v/>
      </c>
      <c r="E43" s="10">
        <f>'By Round'!D115</f>
        <v/>
      </c>
      <c r="F43" s="10">
        <f>IF(ISBLANK('By Round'!F115),"",'By Round'!F115)</f>
        <v/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>
        <f>IF(ISBLANK('By Round'!L115),"",'By Round'!L115)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Round'!A75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Round'!F83),"",'By Round'!F83)</f>
        <v/>
      </c>
      <c r="G44" s="15">
        <f>IF(ISBLANK('By Round'!G83),"",'By Round'!G83)</f>
        <v/>
      </c>
      <c r="H44" s="15">
        <f>IF(ISBLANK('By Round'!H83),"",'By Round'!H83)</f>
        <v/>
      </c>
      <c r="I44" s="15">
        <f>IF(ISBLANK('By Round'!I83),"",'By Round'!I83)</f>
        <v/>
      </c>
      <c r="J44" s="15">
        <f>IF(ISBLANK('By Round'!J83),"",'By Round'!J83)</f>
        <v/>
      </c>
      <c r="K44" s="15">
        <f>IF(ISBLANK('By Round'!K83),"",'By Round'!K83)</f>
        <v/>
      </c>
      <c r="L44" s="15">
        <f>IF(ISBLANK('By Round'!L83),"",'By Round'!L83)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Round'!F40),"",'By Round'!F40)</f>
        <v/>
      </c>
      <c r="G45">
        <f>IF(ISBLANK('By Round'!G40),"",'By Round'!G40)</f>
        <v/>
      </c>
      <c r="H45">
        <f>IF(ISBLANK('By Round'!H40),"",'By Round'!H40)</f>
        <v/>
      </c>
      <c r="I45">
        <f>IF(ISBLANK('By Round'!I40),"",'By Round'!I40)</f>
        <v/>
      </c>
      <c r="J45">
        <f>IF(ISBLANK('By Round'!J40),"",'By Round'!J40)</f>
        <v/>
      </c>
      <c r="K45">
        <f>IF(ISBLANK('By Round'!K40),"",'By Round'!K40)</f>
        <v/>
      </c>
      <c r="L45">
        <f>IF(ISBLANK('By Round'!L40),"",'By Round'!L40)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Round'!A87</f>
        <v/>
      </c>
      <c r="C46" s="10">
        <f>'By Round'!B93</f>
        <v/>
      </c>
      <c r="D46" s="10">
        <f>'By Round'!C93</f>
        <v/>
      </c>
      <c r="E46" s="10">
        <f>'By Round'!D93</f>
        <v/>
      </c>
      <c r="F46" s="10">
        <f>IF(ISBLANK('By Round'!F94),"",'By Round'!F94)</f>
        <v/>
      </c>
      <c r="G46">
        <f>IF(ISBLANK('By Round'!G94),"",'By Round'!G94)</f>
        <v/>
      </c>
      <c r="H46">
        <f>IF(ISBLANK('By Round'!H94),"",'By Round'!H94)</f>
        <v/>
      </c>
      <c r="I46">
        <f>IF(ISBLANK('By Round'!I94),"",'By Round'!I94)</f>
        <v/>
      </c>
      <c r="J46">
        <f>IF(ISBLANK('By Round'!J94),"",'By Round'!J94)</f>
        <v/>
      </c>
      <c r="K46">
        <f>IF(ISBLANK('By Round'!K94),"",'By Round'!K94)</f>
        <v/>
      </c>
      <c r="L46">
        <f>IF(ISBLANK('By Round'!L94),"",'By Round'!L94)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Round'!A123</f>
        <v/>
      </c>
      <c r="C47" s="10">
        <f>'By Round'!B125</f>
        <v/>
      </c>
      <c r="D47" s="10">
        <f>'By Round'!C125</f>
        <v/>
      </c>
      <c r="E47" s="10">
        <f>'By Round'!D125</f>
        <v/>
      </c>
      <c r="F47" s="10">
        <f>IF(ISBLANK('By Round'!F126),"",'By Round'!F126)</f>
        <v/>
      </c>
      <c r="G47">
        <f>IF(ISBLANK('By Round'!G126),"",'By Round'!G126)</f>
        <v/>
      </c>
      <c r="H47">
        <f>IF(ISBLANK('By Round'!H126),"",'By Round'!H126)</f>
        <v/>
      </c>
      <c r="I47">
        <f>IF(ISBLANK('By Round'!I126),"",'By Round'!I126)</f>
        <v/>
      </c>
      <c r="J47">
        <f>IF(ISBLANK('By Round'!J126),"",'By Round'!J126)</f>
        <v/>
      </c>
      <c r="K47">
        <f>IF(ISBLANK('By Round'!K126),"",'By Round'!K126)</f>
        <v/>
      </c>
      <c r="L47">
        <f>IF(ISBLANK('By Round'!L126),"",'By Round'!L126)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Round'!A63</f>
        <v/>
      </c>
      <c r="C48" s="10">
        <f>'By Round'!B73</f>
        <v/>
      </c>
      <c r="D48" s="10">
        <f>'By Round'!C73</f>
        <v/>
      </c>
      <c r="E48" s="10">
        <f>'By Round'!D73</f>
        <v/>
      </c>
      <c r="F48" s="10">
        <f>IF(ISBLANK('By Round'!F74),"",'By Round'!F74)</f>
        <v/>
      </c>
      <c r="G48">
        <f>IF(ISBLANK('By Round'!G74),"",'By Round'!G74)</f>
        <v/>
      </c>
      <c r="H48">
        <f>IF(ISBLANK('By Round'!H74),"",'By Round'!H74)</f>
        <v/>
      </c>
      <c r="I48">
        <f>IF(ISBLANK('By Round'!I74),"",'By Round'!I74)</f>
        <v/>
      </c>
      <c r="J48">
        <f>IF(ISBLANK('By Round'!J74),"",'By Round'!J74)</f>
        <v/>
      </c>
      <c r="K48">
        <f>IF(ISBLANK('By Round'!K74),"",'By Round'!K74)</f>
        <v/>
      </c>
      <c r="L48">
        <f>IF(ISBLANK('By Round'!L74),"",'By Round'!L74)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Round'!A111</f>
        <v/>
      </c>
      <c r="C49" s="10">
        <f>'By Round'!B115</f>
        <v/>
      </c>
      <c r="D49" s="10">
        <f>'By Round'!C115</f>
        <v/>
      </c>
      <c r="E49" s="10">
        <f>'By Round'!D115</f>
        <v/>
      </c>
      <c r="F49" s="10">
        <f>IF(ISBLANK('By Round'!F116),"",'By Round'!F116)</f>
        <v/>
      </c>
      <c r="G49">
        <f>IF(ISBLANK('By Round'!G116),"",'By Round'!G116)</f>
        <v/>
      </c>
      <c r="H49">
        <f>IF(ISBLANK('By Round'!H116),"",'By Round'!H116)</f>
        <v/>
      </c>
      <c r="I49">
        <f>IF(ISBLANK('By Round'!I116),"",'By Round'!I116)</f>
        <v/>
      </c>
      <c r="J49">
        <f>IF(ISBLANK('By Round'!J116),"",'By Round'!J116)</f>
        <v/>
      </c>
      <c r="K49">
        <f>IF(ISBLANK('By Round'!K116),"",'By Round'!K116)</f>
        <v/>
      </c>
      <c r="L49">
        <f>IF(ISBLANK('By Round'!L116),"",'By Round'!L116)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Round'!A75</f>
        <v/>
      </c>
      <c r="C50" s="16">
        <f>'By Round'!B83</f>
        <v/>
      </c>
      <c r="D50" s="16">
        <f>'By Round'!C83</f>
        <v/>
      </c>
      <c r="E50" s="16">
        <f>'By Round'!D83</f>
        <v/>
      </c>
      <c r="F50" s="16">
        <f>IF(ISBLANK('By Round'!F84),"",'By Round'!F84)</f>
        <v/>
      </c>
      <c r="G50" s="15">
        <f>IF(ISBLANK('By Round'!G84),"",'By Round'!G84)</f>
        <v/>
      </c>
      <c r="H50" s="15">
        <f>IF(ISBLANK('By Round'!H84),"",'By Round'!H84)</f>
        <v/>
      </c>
      <c r="I50" s="15">
        <f>IF(ISBLANK('By Round'!I84),"",'By Round'!I84)</f>
        <v/>
      </c>
      <c r="J50" s="15">
        <f>IF(ISBLANK('By Round'!J84),"",'By Round'!J84)</f>
        <v/>
      </c>
      <c r="K50" s="15">
        <f>IF(ISBLANK('By Round'!K84),"",'By Round'!K84)</f>
        <v/>
      </c>
      <c r="L50" s="15">
        <f>IF(ISBLANK('By Round'!L84),"",'By Round'!L84)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Round'!A99</f>
        <v/>
      </c>
      <c r="C52" s="10">
        <f>'By Round'!B105</f>
        <v/>
      </c>
      <c r="D52" s="10">
        <f>'By Round'!C105</f>
        <v/>
      </c>
      <c r="E52" s="10">
        <f>'By Round'!D105</f>
        <v/>
      </c>
      <c r="F52" s="10">
        <f>IF(ISBLANK('By Round'!F105),"",'By Round'!F105)</f>
        <v/>
      </c>
      <c r="G52">
        <f>IF(ISBLANK('By Round'!G105),"",'By Round'!G105)</f>
        <v/>
      </c>
      <c r="H52">
        <f>IF(ISBLANK('By Round'!H105),"",'By Round'!H105)</f>
        <v/>
      </c>
      <c r="I52">
        <f>IF(ISBLANK('By Round'!I105),"",'By Round'!I105)</f>
        <v/>
      </c>
      <c r="J52">
        <f>IF(ISBLANK('By Round'!J105),"",'By Round'!J105)</f>
        <v/>
      </c>
      <c r="K52">
        <f>IF(ISBLANK('By Round'!K105),"",'By Round'!K105)</f>
        <v/>
      </c>
      <c r="L52">
        <f>IF(ISBLANK('By Round'!L105),"",'By Round'!L105)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Round'!A3</f>
        <v/>
      </c>
      <c r="C53" s="10">
        <f>'By Round'!B5</f>
        <v/>
      </c>
      <c r="D53" s="10">
        <f>'By Round'!C5</f>
        <v/>
      </c>
      <c r="E53" s="10">
        <f>'By Round'!D5</f>
        <v/>
      </c>
      <c r="F53" s="10">
        <f>IF(ISBLANK('By Round'!F5),"",'By Round'!F5)</f>
        <v/>
      </c>
      <c r="G53">
        <f>IF(ISBLANK('By Round'!G5),"",'By Round'!G5)</f>
        <v/>
      </c>
      <c r="H53">
        <f>IF(ISBLANK('By Round'!H5),"",'By Round'!H5)</f>
        <v/>
      </c>
      <c r="I53">
        <f>IF(ISBLANK('By Round'!I5),"",'By Round'!I5)</f>
        <v/>
      </c>
      <c r="J53">
        <f>IF(ISBLANK('By Round'!J5),"",'By Round'!J5)</f>
        <v/>
      </c>
      <c r="K53">
        <f>IF(ISBLANK('By Round'!K5),"",'By Round'!K5)</f>
        <v/>
      </c>
      <c r="L53">
        <f>IF(ISBLANK('By Round'!L5),"",'By Round'!L5)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Round'!A75</f>
        <v/>
      </c>
      <c r="C54" s="10">
        <f>'By Round'!B85</f>
        <v/>
      </c>
      <c r="D54" s="10">
        <f>'By Round'!C85</f>
        <v/>
      </c>
      <c r="E54" s="10">
        <f>'By Round'!D85</f>
        <v/>
      </c>
      <c r="F54" s="10">
        <f>IF(ISBLANK('By Round'!F85),"",'By Round'!F85)</f>
        <v/>
      </c>
      <c r="G54">
        <f>IF(ISBLANK('By Round'!G85),"",'By Round'!G85)</f>
        <v/>
      </c>
      <c r="H54">
        <f>IF(ISBLANK('By Round'!H85),"",'By Round'!H85)</f>
        <v/>
      </c>
      <c r="I54">
        <f>IF(ISBLANK('By Round'!I85),"",'By Round'!I85)</f>
        <v/>
      </c>
      <c r="J54">
        <f>IF(ISBLANK('By Round'!J85),"",'By Round'!J85)</f>
        <v/>
      </c>
      <c r="K54">
        <f>IF(ISBLANK('By Round'!K85),"",'By Round'!K85)</f>
        <v/>
      </c>
      <c r="L54">
        <f>IF(ISBLANK('By Round'!L85),"",'By Round'!L85)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Round'!A123</f>
        <v/>
      </c>
      <c r="C55" s="10">
        <f>'By Round'!B127</f>
        <v/>
      </c>
      <c r="D55" s="10">
        <f>'By Round'!C127</f>
        <v/>
      </c>
      <c r="E55" s="10">
        <f>'By Round'!D127</f>
        <v/>
      </c>
      <c r="F55" s="10">
        <f>IF(ISBLANK('By Round'!F127),"",'By Round'!F127)</f>
        <v/>
      </c>
      <c r="G55">
        <f>IF(ISBLANK('By Round'!G127),"",'By Round'!G127)</f>
        <v/>
      </c>
      <c r="H55">
        <f>IF(ISBLANK('By Round'!H127),"",'By Round'!H127)</f>
        <v/>
      </c>
      <c r="I55">
        <f>IF(ISBLANK('By Round'!I127),"",'By Round'!I127)</f>
        <v/>
      </c>
      <c r="J55">
        <f>IF(ISBLANK('By Round'!J127),"",'By Round'!J127)</f>
        <v/>
      </c>
      <c r="K55">
        <f>IF(ISBLANK('By Round'!K127),"",'By Round'!K127)</f>
        <v/>
      </c>
      <c r="L55">
        <f>IF(ISBLANK('By Round'!L127),"",'By Round'!L127)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Round'!A87</f>
        <v/>
      </c>
      <c r="C56" s="16">
        <f>'By Round'!B95</f>
        <v/>
      </c>
      <c r="D56" s="16">
        <f>'By Round'!C95</f>
        <v/>
      </c>
      <c r="E56" s="16">
        <f>'By Round'!D95</f>
        <v/>
      </c>
      <c r="F56" s="16">
        <f>IF(ISBLANK('By Round'!F95),"",'By Round'!F95)</f>
        <v/>
      </c>
      <c r="G56" s="15">
        <f>IF(ISBLANK('By Round'!G95),"",'By Round'!G95)</f>
        <v/>
      </c>
      <c r="H56" s="15">
        <f>IF(ISBLANK('By Round'!H95),"",'By Round'!H95)</f>
        <v/>
      </c>
      <c r="I56" s="15">
        <f>IF(ISBLANK('By Round'!I95),"",'By Round'!I95)</f>
        <v/>
      </c>
      <c r="J56" s="15">
        <f>IF(ISBLANK('By Round'!J95),"",'By Round'!J95)</f>
        <v/>
      </c>
      <c r="K56" s="15">
        <f>IF(ISBLANK('By Round'!K95),"",'By Round'!K95)</f>
        <v/>
      </c>
      <c r="L56" s="15">
        <f>IF(ISBLANK('By Round'!L95),"",'By Round'!L95)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Round'!A51</f>
        <v/>
      </c>
      <c r="C57" s="10">
        <f>'By Round'!B51</f>
        <v/>
      </c>
      <c r="D57" s="10">
        <f>'By Round'!C51</f>
        <v/>
      </c>
      <c r="E57" s="10">
        <f>'By Round'!D51</f>
        <v/>
      </c>
      <c r="F57" s="10">
        <f>IF(ISBLANK('By Round'!F52),"",'By Round'!F52)</f>
        <v/>
      </c>
      <c r="G57">
        <f>IF(ISBLANK('By Round'!G52),"",'By Round'!G52)</f>
        <v/>
      </c>
      <c r="H57">
        <f>IF(ISBLANK('By Round'!H52),"",'By Round'!H52)</f>
        <v/>
      </c>
      <c r="I57">
        <f>IF(ISBLANK('By Round'!I52),"",'By Round'!I52)</f>
        <v/>
      </c>
      <c r="J57">
        <f>IF(ISBLANK('By Round'!J52),"",'By Round'!J52)</f>
        <v/>
      </c>
      <c r="K57">
        <f>IF(ISBLANK('By Round'!K52),"",'By Round'!K52)</f>
        <v/>
      </c>
      <c r="L57">
        <f>IF(ISBLANK('By Round'!L52),"",'By Round'!L52)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Round'!A99</f>
        <v/>
      </c>
      <c r="C58" s="10">
        <f>'By Round'!B105</f>
        <v/>
      </c>
      <c r="D58" s="10">
        <f>'By Round'!C105</f>
        <v/>
      </c>
      <c r="E58" s="10">
        <f>'By Round'!D105</f>
        <v/>
      </c>
      <c r="F58" s="10">
        <f>IF(ISBLANK('By Round'!F106),"",'By Round'!F106)</f>
        <v/>
      </c>
      <c r="G58">
        <f>IF(ISBLANK('By Round'!G106),"",'By Round'!G106)</f>
        <v/>
      </c>
      <c r="H58">
        <f>IF(ISBLANK('By Round'!H106),"",'By Round'!H106)</f>
        <v/>
      </c>
      <c r="I58">
        <f>IF(ISBLANK('By Round'!I106),"",'By Round'!I106)</f>
        <v/>
      </c>
      <c r="J58">
        <f>IF(ISBLANK('By Round'!J106),"",'By Round'!J106)</f>
        <v/>
      </c>
      <c r="K58">
        <f>IF(ISBLANK('By Round'!K106),"",'By Round'!K106)</f>
        <v/>
      </c>
      <c r="L58">
        <f>IF(ISBLANK('By Round'!L106),"",'By Round'!L106)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Round'!A3</f>
        <v/>
      </c>
      <c r="C59" s="10">
        <f>'By Round'!B5</f>
        <v/>
      </c>
      <c r="D59" s="10">
        <f>'By Round'!C5</f>
        <v/>
      </c>
      <c r="E59" s="10">
        <f>'By Round'!D5</f>
        <v/>
      </c>
      <c r="F59" s="10">
        <f>IF(ISBLANK('By Round'!F6),"",'By Round'!F6)</f>
        <v/>
      </c>
      <c r="G59">
        <f>IF(ISBLANK('By Round'!G6),"",'By Round'!G6)</f>
        <v/>
      </c>
      <c r="H59">
        <f>IF(ISBLANK('By Round'!H6),"",'By Round'!H6)</f>
        <v/>
      </c>
      <c r="I59">
        <f>IF(ISBLANK('By Round'!I6),"",'By Round'!I6)</f>
        <v/>
      </c>
      <c r="J59">
        <f>IF(ISBLANK('By Round'!J6),"",'By Round'!J6)</f>
        <v/>
      </c>
      <c r="K59">
        <f>IF(ISBLANK('By Round'!K6),"",'By Round'!K6)</f>
        <v/>
      </c>
      <c r="L59">
        <f>IF(ISBLANK('By Round'!L6),"",'By Round'!L6)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Round'!A75</f>
        <v/>
      </c>
      <c r="C60" s="10">
        <f>'By Round'!B85</f>
        <v/>
      </c>
      <c r="D60" s="10">
        <f>'By Round'!C85</f>
        <v/>
      </c>
      <c r="E60" s="10">
        <f>'By Round'!D85</f>
        <v/>
      </c>
      <c r="F60" s="10">
        <f>IF(ISBLANK('By Round'!F86),"",'By Round'!F86)</f>
        <v/>
      </c>
      <c r="G60">
        <f>IF(ISBLANK('By Round'!G86),"",'By Round'!G86)</f>
        <v/>
      </c>
      <c r="H60">
        <f>IF(ISBLANK('By Round'!H86),"",'By Round'!H86)</f>
        <v/>
      </c>
      <c r="I60">
        <f>IF(ISBLANK('By Round'!I86),"",'By Round'!I86)</f>
        <v/>
      </c>
      <c r="J60">
        <f>IF(ISBLANK('By Round'!J86),"",'By Round'!J86)</f>
        <v/>
      </c>
      <c r="K60">
        <f>IF(ISBLANK('By Round'!K86),"",'By Round'!K86)</f>
        <v/>
      </c>
      <c r="L60">
        <f>IF(ISBLANK('By Round'!L86),"",'By Round'!L86)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Round'!A123</f>
        <v/>
      </c>
      <c r="C61" s="10">
        <f>'By Round'!B127</f>
        <v/>
      </c>
      <c r="D61" s="10">
        <f>'By Round'!C127</f>
        <v/>
      </c>
      <c r="E61" s="10">
        <f>'By Round'!D127</f>
        <v/>
      </c>
      <c r="F61" s="10">
        <f>IF(ISBLANK('By Round'!F128),"",'By Round'!F128)</f>
        <v/>
      </c>
      <c r="G61">
        <f>IF(ISBLANK('By Round'!G128),"",'By Round'!G128)</f>
        <v/>
      </c>
      <c r="H61">
        <f>IF(ISBLANK('By Round'!H128),"",'By Round'!H128)</f>
        <v/>
      </c>
      <c r="I61">
        <f>IF(ISBLANK('By Round'!I128),"",'By Round'!I128)</f>
        <v/>
      </c>
      <c r="J61">
        <f>IF(ISBLANK('By Round'!J128),"",'By Round'!J128)</f>
        <v/>
      </c>
      <c r="K61">
        <f>IF(ISBLANK('By Round'!K128),"",'By Round'!K128)</f>
        <v/>
      </c>
      <c r="L61">
        <f>IF(ISBLANK('By Round'!L128),"",'By Round'!L128)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Round'!A87</f>
        <v/>
      </c>
      <c r="C62" s="16">
        <f>'By Round'!B95</f>
        <v/>
      </c>
      <c r="D62" s="16">
        <f>'By Round'!C95</f>
        <v/>
      </c>
      <c r="E62" s="16">
        <f>'By Round'!D95</f>
        <v/>
      </c>
      <c r="F62" s="16">
        <f>IF(ISBLANK('By Round'!F96),"",'By Round'!F96)</f>
        <v/>
      </c>
      <c r="G62" s="15">
        <f>IF(ISBLANK('By Round'!G96),"",'By Round'!G96)</f>
        <v/>
      </c>
      <c r="H62" s="15">
        <f>IF(ISBLANK('By Round'!H96),"",'By Round'!H96)</f>
        <v/>
      </c>
      <c r="I62" s="15">
        <f>IF(ISBLANK('By Round'!I96),"",'By Round'!I96)</f>
        <v/>
      </c>
      <c r="J62" s="15">
        <f>IF(ISBLANK('By Round'!J96),"",'By Round'!J96)</f>
        <v/>
      </c>
      <c r="K62" s="15">
        <f>IF(ISBLANK('By Round'!K96),"",'By Round'!K96)</f>
        <v/>
      </c>
      <c r="L62" s="15">
        <f>IF(ISBLANK('By Round'!L96),"",'By Round'!L96)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Round'!A99</f>
        <v/>
      </c>
      <c r="C64" s="10">
        <f>'By Round'!B107</f>
        <v/>
      </c>
      <c r="D64" s="10">
        <f>'By Round'!C107</f>
        <v/>
      </c>
      <c r="E64" s="10">
        <f>'By Round'!D107</f>
        <v/>
      </c>
      <c r="F64" s="10">
        <f>IF(ISBLANK('By Round'!F107),"",'By Round'!F107)</f>
        <v/>
      </c>
      <c r="G64">
        <f>IF(ISBLANK('By Round'!G107),"",'By Round'!G107)</f>
        <v/>
      </c>
      <c r="H64">
        <f>IF(ISBLANK('By Round'!H107),"",'By Round'!H107)</f>
        <v/>
      </c>
      <c r="I64">
        <f>IF(ISBLANK('By Round'!I107),"",'By Round'!I107)</f>
        <v/>
      </c>
      <c r="J64">
        <f>IF(ISBLANK('By Round'!J107),"",'By Round'!J107)</f>
        <v/>
      </c>
      <c r="K64">
        <f>IF(ISBLANK('By Round'!K107),"",'By Round'!K107)</f>
        <v/>
      </c>
      <c r="L64">
        <f>IF(ISBLANK('By Round'!L107),"",'By Round'!L107)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Round'!A111</f>
        <v/>
      </c>
      <c r="C65" s="10">
        <f>'By Round'!B117</f>
        <v/>
      </c>
      <c r="D65" s="10">
        <f>'By Round'!C117</f>
        <v/>
      </c>
      <c r="E65" s="10">
        <f>'By Round'!D117</f>
        <v/>
      </c>
      <c r="F65" s="10">
        <f>IF(ISBLANK('By Round'!F117),"",'By Round'!F117)</f>
        <v/>
      </c>
      <c r="G65">
        <f>IF(ISBLANK('By Round'!G117),"",'By Round'!G117)</f>
        <v/>
      </c>
      <c r="H65">
        <f>IF(ISBLANK('By Round'!H117),"",'By Round'!H117)</f>
        <v/>
      </c>
      <c r="I65">
        <f>IF(ISBLANK('By Round'!I117),"",'By Round'!I117)</f>
        <v/>
      </c>
      <c r="J65">
        <f>IF(ISBLANK('By Round'!J117),"",'By Round'!J117)</f>
        <v/>
      </c>
      <c r="K65">
        <f>IF(ISBLANK('By Round'!K117),"",'By Round'!K117)</f>
        <v/>
      </c>
      <c r="L65">
        <f>IF(ISBLANK('By Round'!L117),"",'By Round'!L117)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Round'!A15</f>
        <v/>
      </c>
      <c r="C66" s="10">
        <f>'By Round'!B17</f>
        <v/>
      </c>
      <c r="D66" s="10">
        <f>'By Round'!C17</f>
        <v/>
      </c>
      <c r="E66" s="10">
        <f>'By Round'!D17</f>
        <v/>
      </c>
      <c r="F66" s="10">
        <f>IF(ISBLANK('By Round'!F17),"",'By Round'!F17)</f>
        <v/>
      </c>
      <c r="G66">
        <f>IF(ISBLANK('By Round'!G17),"",'By Round'!G17)</f>
        <v/>
      </c>
      <c r="H66">
        <f>IF(ISBLANK('By Round'!H17),"",'By Round'!H17)</f>
        <v/>
      </c>
      <c r="I66">
        <f>IF(ISBLANK('By Round'!I17),"",'By Round'!I17)</f>
        <v/>
      </c>
      <c r="J66">
        <f>IF(ISBLANK('By Round'!J17),"",'By Round'!J17)</f>
        <v/>
      </c>
      <c r="K66">
        <f>IF(ISBLANK('By Round'!K17),"",'By Round'!K17)</f>
        <v/>
      </c>
      <c r="L66">
        <f>IF(ISBLANK('By Round'!L17),"",'By Round'!L17)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Round'!A87</f>
        <v/>
      </c>
      <c r="C67" s="10">
        <f>'By Round'!B97</f>
        <v/>
      </c>
      <c r="D67" s="10">
        <f>'By Round'!C97</f>
        <v/>
      </c>
      <c r="E67" s="10">
        <f>'By Round'!D97</f>
        <v/>
      </c>
      <c r="F67" s="10">
        <f>IF(ISBLANK('By Round'!F97),"",'By Round'!F97)</f>
        <v/>
      </c>
      <c r="G67">
        <f>IF(ISBLANK('By Round'!G97),"",'By Round'!G97)</f>
        <v/>
      </c>
      <c r="H67">
        <f>IF(ISBLANK('By Round'!H97),"",'By Round'!H97)</f>
        <v/>
      </c>
      <c r="I67">
        <f>IF(ISBLANK('By Round'!I97),"",'By Round'!I97)</f>
        <v/>
      </c>
      <c r="J67">
        <f>IF(ISBLANK('By Round'!J97),"",'By Round'!J97)</f>
        <v/>
      </c>
      <c r="K67">
        <f>IF(ISBLANK('By Round'!K97),"",'By Round'!K97)</f>
        <v/>
      </c>
      <c r="L67">
        <f>IF(ISBLANK('By Round'!L97),"",'By Round'!L97)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Round'!A3</f>
        <v/>
      </c>
      <c r="C68" s="16">
        <f>'By Round'!B7</f>
        <v/>
      </c>
      <c r="D68" s="16">
        <f>'By Round'!C7</f>
        <v/>
      </c>
      <c r="E68" s="16">
        <f>'By Round'!D7</f>
        <v/>
      </c>
      <c r="F68" s="16">
        <f>IF(ISBLANK('By Round'!F7),"",'By Round'!F7)</f>
        <v/>
      </c>
      <c r="G68" s="15">
        <f>IF(ISBLANK('By Round'!G7),"",'By Round'!G7)</f>
        <v/>
      </c>
      <c r="H68" s="15">
        <f>IF(ISBLANK('By Round'!H7),"",'By Round'!H7)</f>
        <v/>
      </c>
      <c r="I68" s="15">
        <f>IF(ISBLANK('By Round'!I7),"",'By Round'!I7)</f>
        <v/>
      </c>
      <c r="J68" s="15">
        <f>IF(ISBLANK('By Round'!J7),"",'By Round'!J7)</f>
        <v/>
      </c>
      <c r="K68" s="15">
        <f>IF(ISBLANK('By Round'!K7),"",'By Round'!K7)</f>
        <v/>
      </c>
      <c r="L68" s="15">
        <f>IF(ISBLANK('By Round'!L7),"",'By Round'!L7)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Round'!A63</f>
        <v/>
      </c>
      <c r="C69" s="10">
        <f>'By Round'!B63</f>
        <v/>
      </c>
      <c r="D69" s="10">
        <f>'By Round'!C63</f>
        <v/>
      </c>
      <c r="E69" s="10">
        <f>'By Round'!D63</f>
        <v/>
      </c>
      <c r="F69" s="10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Round'!A99</f>
        <v/>
      </c>
      <c r="C70" s="10">
        <f>'By Round'!B107</f>
        <v/>
      </c>
      <c r="D70" s="10">
        <f>'By Round'!C107</f>
        <v/>
      </c>
      <c r="E70" s="10">
        <f>'By Round'!D107</f>
        <v/>
      </c>
      <c r="F70" s="10">
        <f>IF(ISBLANK('By Round'!F108),"",'By Round'!F108)</f>
        <v/>
      </c>
      <c r="G70">
        <f>IF(ISBLANK('By Round'!G108),"",'By Round'!G108)</f>
        <v/>
      </c>
      <c r="H70">
        <f>IF(ISBLANK('By Round'!H108),"",'By Round'!H108)</f>
        <v/>
      </c>
      <c r="I70">
        <f>IF(ISBLANK('By Round'!I108),"",'By Round'!I108)</f>
        <v/>
      </c>
      <c r="J70">
        <f>IF(ISBLANK('By Round'!J108),"",'By Round'!J108)</f>
        <v/>
      </c>
      <c r="K70">
        <f>IF(ISBLANK('By Round'!K108),"",'By Round'!K108)</f>
        <v/>
      </c>
      <c r="L70">
        <f>IF(ISBLANK('By Round'!L108),"",'By Round'!L108)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Round'!A111</f>
        <v/>
      </c>
      <c r="C71" s="10">
        <f>'By Round'!B117</f>
        <v/>
      </c>
      <c r="D71" s="10">
        <f>'By Round'!C117</f>
        <v/>
      </c>
      <c r="E71" s="10">
        <f>'By Round'!D117</f>
        <v/>
      </c>
      <c r="F71" s="10">
        <f>IF(ISBLANK('By Round'!F118),"",'By Round'!F118)</f>
        <v/>
      </c>
      <c r="G71">
        <f>IF(ISBLANK('By Round'!G118),"",'By Round'!G118)</f>
        <v/>
      </c>
      <c r="H71">
        <f>IF(ISBLANK('By Round'!H118),"",'By Round'!H118)</f>
        <v/>
      </c>
      <c r="I71">
        <f>IF(ISBLANK('By Round'!I118),"",'By Round'!I118)</f>
        <v/>
      </c>
      <c r="J71">
        <f>IF(ISBLANK('By Round'!J118),"",'By Round'!J118)</f>
        <v/>
      </c>
      <c r="K71">
        <f>IF(ISBLANK('By Round'!K118),"",'By Round'!K118)</f>
        <v/>
      </c>
      <c r="L71">
        <f>IF(ISBLANK('By Round'!L118),"",'By Round'!L118)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Round'!A15</f>
        <v/>
      </c>
      <c r="C72" s="10">
        <f>'By Round'!B17</f>
        <v/>
      </c>
      <c r="D72" s="10">
        <f>'By Round'!C17</f>
        <v/>
      </c>
      <c r="E72" s="10">
        <f>'By Round'!D17</f>
        <v/>
      </c>
      <c r="F72" s="10">
        <f>IF(ISBLANK('By Round'!F18),"",'By Round'!F18)</f>
        <v/>
      </c>
      <c r="G72">
        <f>IF(ISBLANK('By Round'!G18),"",'By Round'!G18)</f>
        <v/>
      </c>
      <c r="H72">
        <f>IF(ISBLANK('By Round'!H18),"",'By Round'!H18)</f>
        <v/>
      </c>
      <c r="I72">
        <f>IF(ISBLANK('By Round'!I18),"",'By Round'!I18)</f>
        <v/>
      </c>
      <c r="J72">
        <f>IF(ISBLANK('By Round'!J18),"",'By Round'!J18)</f>
        <v/>
      </c>
      <c r="K72">
        <f>IF(ISBLANK('By Round'!K18),"",'By Round'!K18)</f>
        <v/>
      </c>
      <c r="L72">
        <f>IF(ISBLANK('By Round'!L18),"",'By Round'!L18)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Round'!A87</f>
        <v/>
      </c>
      <c r="C73" s="10">
        <f>'By Round'!B97</f>
        <v/>
      </c>
      <c r="D73" s="10">
        <f>'By Round'!C97</f>
        <v/>
      </c>
      <c r="E73" s="10">
        <f>'By Round'!D97</f>
        <v/>
      </c>
      <c r="F73" s="10">
        <f>IF(ISBLANK('By Round'!F98),"",'By Round'!F98)</f>
        <v/>
      </c>
      <c r="G73">
        <f>IF(ISBLANK('By Round'!G98),"",'By Round'!G98)</f>
        <v/>
      </c>
      <c r="H73">
        <f>IF(ISBLANK('By Round'!H98),"",'By Round'!H98)</f>
        <v/>
      </c>
      <c r="I73">
        <f>IF(ISBLANK('By Round'!I98),"",'By Round'!I98)</f>
        <v/>
      </c>
      <c r="J73">
        <f>IF(ISBLANK('By Round'!J98),"",'By Round'!J98)</f>
        <v/>
      </c>
      <c r="K73">
        <f>IF(ISBLANK('By Round'!K98),"",'By Round'!K98)</f>
        <v/>
      </c>
      <c r="L73">
        <f>IF(ISBLANK('By Round'!L98),"",'By Round'!L98)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Round'!A3</f>
        <v/>
      </c>
      <c r="C74" s="16">
        <f>'By Round'!B7</f>
        <v/>
      </c>
      <c r="D74" s="16">
        <f>'By Round'!C7</f>
        <v/>
      </c>
      <c r="E74" s="16">
        <f>'By Round'!D7</f>
        <v/>
      </c>
      <c r="F74" s="16">
        <f>IF(ISBLANK('By Round'!F8),"",'By Round'!F8)</f>
        <v/>
      </c>
      <c r="G74" s="15">
        <f>IF(ISBLANK('By Round'!G8),"",'By Round'!G8)</f>
        <v/>
      </c>
      <c r="H74" s="15">
        <f>IF(ISBLANK('By Round'!H8),"",'By Round'!H8)</f>
        <v/>
      </c>
      <c r="I74" s="15">
        <f>IF(ISBLANK('By Round'!I8),"",'By Round'!I8)</f>
        <v/>
      </c>
      <c r="J74" s="15">
        <f>IF(ISBLANK('By Round'!J8),"",'By Round'!J8)</f>
        <v/>
      </c>
      <c r="K74" s="15">
        <f>IF(ISBLANK('By Round'!K8),"",'By Round'!K8)</f>
        <v/>
      </c>
      <c r="L74" s="15">
        <f>IF(ISBLANK('By Round'!L8),"",'By Round'!L8)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Round'!A75</f>
        <v/>
      </c>
      <c r="C75" s="10">
        <f>'By Round'!B75</f>
        <v/>
      </c>
      <c r="D75" s="10">
        <f>'By Round'!C75</f>
        <v/>
      </c>
      <c r="E75" s="10">
        <f>'By Round'!D75</f>
        <v/>
      </c>
      <c r="F75" s="10">
        <f>IF(ISBLANK('By Round'!F75),"",'By Round'!F75)</f>
        <v/>
      </c>
      <c r="G75">
        <f>IF(ISBLANK('By Round'!G75),"",'By Round'!G75)</f>
        <v/>
      </c>
      <c r="H75">
        <f>IF(ISBLANK('By Round'!H75),"",'By Round'!H75)</f>
        <v/>
      </c>
      <c r="I75">
        <f>IF(ISBLANK('By Round'!I75),"",'By Round'!I75)</f>
        <v/>
      </c>
      <c r="J75">
        <f>IF(ISBLANK('By Round'!J75),"",'By Round'!J75)</f>
        <v/>
      </c>
      <c r="K75">
        <f>IF(ISBLANK('By Round'!K75),"",'By Round'!K75)</f>
        <v/>
      </c>
      <c r="L75">
        <f>IF(ISBLANK('By Round'!L75),"",'By Round'!L75)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Round'!A111</f>
        <v/>
      </c>
      <c r="C76" s="10">
        <f>'By Round'!B119</f>
        <v/>
      </c>
      <c r="D76" s="10">
        <f>'By Round'!C119</f>
        <v/>
      </c>
      <c r="E76" s="10">
        <f>'By Round'!D119</f>
        <v/>
      </c>
      <c r="F76" s="10">
        <f>IF(ISBLANK('By Round'!F119),"",'By Round'!F119)</f>
        <v/>
      </c>
      <c r="G76">
        <f>IF(ISBLANK('By Round'!G119),"",'By Round'!G119)</f>
        <v/>
      </c>
      <c r="H76">
        <f>IF(ISBLANK('By Round'!H119),"",'By Round'!H119)</f>
        <v/>
      </c>
      <c r="I76">
        <f>IF(ISBLANK('By Round'!I119),"",'By Round'!I119)</f>
        <v/>
      </c>
      <c r="J76">
        <f>IF(ISBLANK('By Round'!J119),"",'By Round'!J119)</f>
        <v/>
      </c>
      <c r="K76">
        <f>IF(ISBLANK('By Round'!K119),"",'By Round'!K119)</f>
        <v/>
      </c>
      <c r="L76">
        <f>IF(ISBLANK('By Round'!L119),"",'By Round'!L119)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Round'!A123</f>
        <v/>
      </c>
      <c r="C77" s="10">
        <f>'By Round'!B129</f>
        <v/>
      </c>
      <c r="D77" s="10">
        <f>'By Round'!C129</f>
        <v/>
      </c>
      <c r="E77" s="10">
        <f>'By Round'!D129</f>
        <v/>
      </c>
      <c r="F77" s="10">
        <f>IF(ISBLANK('By Round'!F129),"",'By Round'!F129)</f>
        <v/>
      </c>
      <c r="G77">
        <f>IF(ISBLANK('By Round'!G129),"",'By Round'!G129)</f>
        <v/>
      </c>
      <c r="H77">
        <f>IF(ISBLANK('By Round'!H129),"",'By Round'!H129)</f>
        <v/>
      </c>
      <c r="I77">
        <f>IF(ISBLANK('By Round'!I129),"",'By Round'!I129)</f>
        <v/>
      </c>
      <c r="J77">
        <f>IF(ISBLANK('By Round'!J129),"",'By Round'!J129)</f>
        <v/>
      </c>
      <c r="K77">
        <f>IF(ISBLANK('By Round'!K129),"",'By Round'!K129)</f>
        <v/>
      </c>
      <c r="L77">
        <f>IF(ISBLANK('By Round'!L129),"",'By Round'!L129)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Round'!A27</f>
        <v/>
      </c>
      <c r="C78" s="10">
        <f>'By Round'!B29</f>
        <v/>
      </c>
      <c r="D78" s="10">
        <f>'By Round'!C29</f>
        <v/>
      </c>
      <c r="E78" s="10">
        <f>'By Round'!D29</f>
        <v/>
      </c>
      <c r="F78" s="10">
        <f>IF(ISBLANK('By Round'!F29),"",'By Round'!F29)</f>
        <v/>
      </c>
      <c r="G78">
        <f>IF(ISBLANK('By Round'!G29),"",'By Round'!G29)</f>
        <v/>
      </c>
      <c r="H78">
        <f>IF(ISBLANK('By Round'!H29),"",'By Round'!H29)</f>
        <v/>
      </c>
      <c r="I78">
        <f>IF(ISBLANK('By Round'!I29),"",'By Round'!I29)</f>
        <v/>
      </c>
      <c r="J78">
        <f>IF(ISBLANK('By Round'!J29),"",'By Round'!J29)</f>
        <v/>
      </c>
      <c r="K78">
        <f>IF(ISBLANK('By Round'!K29),"",'By Round'!K29)</f>
        <v/>
      </c>
      <c r="L78">
        <f>IF(ISBLANK('By Round'!L29),"",'By Round'!L29)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Round'!A99</f>
        <v/>
      </c>
      <c r="C79" s="10">
        <f>'By Round'!B109</f>
        <v/>
      </c>
      <c r="D79" s="10">
        <f>'By Round'!C109</f>
        <v/>
      </c>
      <c r="E79" s="10">
        <f>'By Round'!D109</f>
        <v/>
      </c>
      <c r="F79" s="10">
        <f>IF(ISBLANK('By Round'!F109),"",'By Round'!F109)</f>
        <v/>
      </c>
      <c r="G79">
        <f>IF(ISBLANK('By Round'!G109),"",'By Round'!G109)</f>
        <v/>
      </c>
      <c r="H79">
        <f>IF(ISBLANK('By Round'!H109),"",'By Round'!H109)</f>
        <v/>
      </c>
      <c r="I79">
        <f>IF(ISBLANK('By Round'!I109),"",'By Round'!I109)</f>
        <v/>
      </c>
      <c r="J79">
        <f>IF(ISBLANK('By Round'!J109),"",'By Round'!J109)</f>
        <v/>
      </c>
      <c r="K79">
        <f>IF(ISBLANK('By Round'!K109),"",'By Round'!K109)</f>
        <v/>
      </c>
      <c r="L79">
        <f>IF(ISBLANK('By Round'!L109),"",'By Round'!L109)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Round'!A15</f>
        <v/>
      </c>
      <c r="C80" s="16">
        <f>'By Round'!B19</f>
        <v/>
      </c>
      <c r="D80" s="16">
        <f>'By Round'!C19</f>
        <v/>
      </c>
      <c r="E80" s="16">
        <f>'By Round'!D19</f>
        <v/>
      </c>
      <c r="F80" s="16">
        <f>IF(ISBLANK('By Round'!F19),"",'By Round'!F19)</f>
        <v/>
      </c>
      <c r="G80" s="15">
        <f>IF(ISBLANK('By Round'!G19),"",'By Round'!G19)</f>
        <v/>
      </c>
      <c r="H80" s="15">
        <f>IF(ISBLANK('By Round'!H19),"",'By Round'!H19)</f>
        <v/>
      </c>
      <c r="I80" s="15">
        <f>IF(ISBLANK('By Round'!I19),"",'By Round'!I19)</f>
        <v/>
      </c>
      <c r="J80" s="15">
        <f>IF(ISBLANK('By Round'!J19),"",'By Round'!J19)</f>
        <v/>
      </c>
      <c r="K80" s="15">
        <f>IF(ISBLANK('By Round'!K19),"",'By Round'!K19)</f>
        <v/>
      </c>
      <c r="L80" s="15">
        <f>IF(ISBLANK('By Round'!L19),"",'By Round'!L19)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Round'!A75</f>
        <v/>
      </c>
      <c r="C81" s="10">
        <f>'By Round'!B75</f>
        <v/>
      </c>
      <c r="D81" s="10">
        <f>'By Round'!C75</f>
        <v/>
      </c>
      <c r="E81" s="10">
        <f>'By Round'!D75</f>
        <v/>
      </c>
      <c r="F81" s="10">
        <f>IF(ISBLANK('By Round'!F76),"",'By Round'!F76)</f>
        <v/>
      </c>
      <c r="G81">
        <f>IF(ISBLANK('By Round'!G76),"",'By Round'!G76)</f>
        <v/>
      </c>
      <c r="H81">
        <f>IF(ISBLANK('By Round'!H76),"",'By Round'!H76)</f>
        <v/>
      </c>
      <c r="I81">
        <f>IF(ISBLANK('By Round'!I76),"",'By Round'!I76)</f>
        <v/>
      </c>
      <c r="J81">
        <f>IF(ISBLANK('By Round'!J76),"",'By Round'!J76)</f>
        <v/>
      </c>
      <c r="K81">
        <f>IF(ISBLANK('By Round'!K76),"",'By Round'!K76)</f>
        <v/>
      </c>
      <c r="L81">
        <f>IF(ISBLANK('By Round'!L76),"",'By Round'!L76)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Round'!A111</f>
        <v/>
      </c>
      <c r="C82" s="10">
        <f>'By Round'!B119</f>
        <v/>
      </c>
      <c r="D82" s="10">
        <f>'By Round'!C119</f>
        <v/>
      </c>
      <c r="E82" s="10">
        <f>'By Round'!D119</f>
        <v/>
      </c>
      <c r="F82" s="10">
        <f>IF(ISBLANK('By Round'!F120),"",'By Round'!F120)</f>
        <v/>
      </c>
      <c r="G82">
        <f>IF(ISBLANK('By Round'!G120),"",'By Round'!G120)</f>
        <v/>
      </c>
      <c r="H82">
        <f>IF(ISBLANK('By Round'!H120),"",'By Round'!H120)</f>
        <v/>
      </c>
      <c r="I82">
        <f>IF(ISBLANK('By Round'!I120),"",'By Round'!I120)</f>
        <v/>
      </c>
      <c r="J82">
        <f>IF(ISBLANK('By Round'!J120),"",'By Round'!J120)</f>
        <v/>
      </c>
      <c r="K82">
        <f>IF(ISBLANK('By Round'!K120),"",'By Round'!K120)</f>
        <v/>
      </c>
      <c r="L82">
        <f>IF(ISBLANK('By Round'!L120),"",'By Round'!L120)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Round'!A123</f>
        <v/>
      </c>
      <c r="C83" s="10">
        <f>'By Round'!B129</f>
        <v/>
      </c>
      <c r="D83" s="10">
        <f>'By Round'!C129</f>
        <v/>
      </c>
      <c r="E83" s="10">
        <f>'By Round'!D129</f>
        <v/>
      </c>
      <c r="F83" s="10">
        <f>IF(ISBLANK('By Round'!F130),"",'By Round'!F130)</f>
        <v/>
      </c>
      <c r="G83">
        <f>IF(ISBLANK('By Round'!G130),"",'By Round'!G130)</f>
        <v/>
      </c>
      <c r="H83">
        <f>IF(ISBLANK('By Round'!H130),"",'By Round'!H130)</f>
        <v/>
      </c>
      <c r="I83">
        <f>IF(ISBLANK('By Round'!I130),"",'By Round'!I130)</f>
        <v/>
      </c>
      <c r="J83">
        <f>IF(ISBLANK('By Round'!J130),"",'By Round'!J130)</f>
        <v/>
      </c>
      <c r="K83">
        <f>IF(ISBLANK('By Round'!K130),"",'By Round'!K130)</f>
        <v/>
      </c>
      <c r="L83">
        <f>IF(ISBLANK('By Round'!L130),"",'By Round'!L130)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Round'!A27</f>
        <v/>
      </c>
      <c r="C84" s="10">
        <f>'By Round'!B29</f>
        <v/>
      </c>
      <c r="D84" s="10">
        <f>'By Round'!C29</f>
        <v/>
      </c>
      <c r="E84" s="10">
        <f>'By Round'!D29</f>
        <v/>
      </c>
      <c r="F84" s="10">
        <f>IF(ISBLANK('By Round'!F30),"",'By Round'!F30)</f>
        <v/>
      </c>
      <c r="G84">
        <f>IF(ISBLANK('By Round'!G30),"",'By Round'!G30)</f>
        <v/>
      </c>
      <c r="H84">
        <f>IF(ISBLANK('By Round'!H30),"",'By Round'!H30)</f>
        <v/>
      </c>
      <c r="I84">
        <f>IF(ISBLANK('By Round'!I30),"",'By Round'!I30)</f>
        <v/>
      </c>
      <c r="J84">
        <f>IF(ISBLANK('By Round'!J30),"",'By Round'!J30)</f>
        <v/>
      </c>
      <c r="K84">
        <f>IF(ISBLANK('By Round'!K30),"",'By Round'!K30)</f>
        <v/>
      </c>
      <c r="L84">
        <f>IF(ISBLANK('By Round'!L30),"",'By Round'!L30)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Round'!A99</f>
        <v/>
      </c>
      <c r="C85" s="10">
        <f>'By Round'!B109</f>
        <v/>
      </c>
      <c r="D85" s="10">
        <f>'By Round'!C109</f>
        <v/>
      </c>
      <c r="E85" s="10">
        <f>'By Round'!D109</f>
        <v/>
      </c>
      <c r="F85" s="10">
        <f>IF(ISBLANK('By Round'!F110),"",'By Round'!F110)</f>
        <v/>
      </c>
      <c r="G85">
        <f>IF(ISBLANK('By Round'!G110),"",'By Round'!G110)</f>
        <v/>
      </c>
      <c r="H85">
        <f>IF(ISBLANK('By Round'!H110),"",'By Round'!H110)</f>
        <v/>
      </c>
      <c r="I85">
        <f>IF(ISBLANK('By Round'!I110),"",'By Round'!I110)</f>
        <v/>
      </c>
      <c r="J85">
        <f>IF(ISBLANK('By Round'!J110),"",'By Round'!J110)</f>
        <v/>
      </c>
      <c r="K85">
        <f>IF(ISBLANK('By Round'!K110),"",'By Round'!K110)</f>
        <v/>
      </c>
      <c r="L85">
        <f>IF(ISBLANK('By Round'!L110),"",'By Round'!L110)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Round'!A15</f>
        <v/>
      </c>
      <c r="C86" s="16">
        <f>'By Round'!B19</f>
        <v/>
      </c>
      <c r="D86" s="16">
        <f>'By Round'!C19</f>
        <v/>
      </c>
      <c r="E86" s="16">
        <f>'By Round'!D19</f>
        <v/>
      </c>
      <c r="F86" s="16">
        <f>IF(ISBLANK('By Round'!F20),"",'By Round'!F20)</f>
        <v/>
      </c>
      <c r="G86" s="15">
        <f>IF(ISBLANK('By Round'!G20),"",'By Round'!G20)</f>
        <v/>
      </c>
      <c r="H86" s="15">
        <f>IF(ISBLANK('By Round'!H20),"",'By Round'!H20)</f>
        <v/>
      </c>
      <c r="I86" s="15">
        <f>IF(ISBLANK('By Round'!I20),"",'By Round'!I20)</f>
        <v/>
      </c>
      <c r="J86" s="15">
        <f>IF(ISBLANK('By Round'!J20),"",'By Round'!J20)</f>
        <v/>
      </c>
      <c r="K86" s="15">
        <f>IF(ISBLANK('By Round'!K20),"",'By Round'!K20)</f>
        <v/>
      </c>
      <c r="L86" s="15">
        <f>IF(ISBLANK('By Round'!L20),"",'By Round'!L20)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Round'!A123</f>
        <v/>
      </c>
      <c r="C88" s="10">
        <f>'By Round'!B131</f>
        <v/>
      </c>
      <c r="D88" s="10">
        <f>'By Round'!C131</f>
        <v/>
      </c>
      <c r="E88" s="10">
        <f>'By Round'!D131</f>
        <v/>
      </c>
      <c r="F88" s="10">
        <f>IF(ISBLANK('By Round'!F131),"",'By Round'!F131)</f>
        <v/>
      </c>
      <c r="G88">
        <f>IF(ISBLANK('By Round'!G131),"",'By Round'!G131)</f>
        <v/>
      </c>
      <c r="H88">
        <f>IF(ISBLANK('By Round'!H131),"",'By Round'!H131)</f>
        <v/>
      </c>
      <c r="I88">
        <f>IF(ISBLANK('By Round'!I131),"",'By Round'!I131)</f>
        <v/>
      </c>
      <c r="J88">
        <f>IF(ISBLANK('By Round'!J131),"",'By Round'!J131)</f>
        <v/>
      </c>
      <c r="K88">
        <f>IF(ISBLANK('By Round'!K131),"",'By Round'!K131)</f>
        <v/>
      </c>
      <c r="L88">
        <f>IF(ISBLANK('By Round'!L131),"",'By Round'!L131)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</f>
        <v/>
      </c>
      <c r="C89" s="10">
        <f>'By Round'!B9</f>
        <v/>
      </c>
      <c r="D89" s="10">
        <f>'By Round'!C9</f>
        <v/>
      </c>
      <c r="E89" s="10">
        <f>'By Round'!D9</f>
        <v/>
      </c>
      <c r="F89" s="10">
        <f>IF(ISBLANK('By Round'!F9),"",'By Round'!F9)</f>
        <v/>
      </c>
      <c r="G89">
        <f>IF(ISBLANK('By Round'!G9),"",'By Round'!G9)</f>
        <v/>
      </c>
      <c r="H89">
        <f>IF(ISBLANK('By Round'!H9),"",'By Round'!H9)</f>
        <v/>
      </c>
      <c r="I89">
        <f>IF(ISBLANK('By Round'!I9),"",'By Round'!I9)</f>
        <v/>
      </c>
      <c r="J89">
        <f>IF(ISBLANK('By Round'!J9),"",'By Round'!J9)</f>
        <v/>
      </c>
      <c r="K89">
        <f>IF(ISBLANK('By Round'!K9),"",'By Round'!K9)</f>
        <v/>
      </c>
      <c r="L89">
        <f>IF(ISBLANK('By Round'!L9),"",'By Round'!L9)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Round'!A39</f>
        <v/>
      </c>
      <c r="C90" s="10">
        <f>'By Round'!B41</f>
        <v/>
      </c>
      <c r="D90" s="10">
        <f>'By Round'!C41</f>
        <v/>
      </c>
      <c r="E90" s="10">
        <f>'By Round'!D41</f>
        <v/>
      </c>
      <c r="F90" s="10">
        <f>IF(ISBLANK('By Round'!F41),"",'By Round'!F41)</f>
        <v/>
      </c>
      <c r="G90">
        <f>IF(ISBLANK('By Round'!G41),"",'By Round'!G41)</f>
        <v/>
      </c>
      <c r="H90">
        <f>IF(ISBLANK('By Round'!H41),"",'By Round'!H41)</f>
        <v/>
      </c>
      <c r="I90">
        <f>IF(ISBLANK('By Round'!I41),"",'By Round'!I41)</f>
        <v/>
      </c>
      <c r="J90">
        <f>IF(ISBLANK('By Round'!J41),"",'By Round'!J41)</f>
        <v/>
      </c>
      <c r="K90">
        <f>IF(ISBLANK('By Round'!K41),"",'By Round'!K41)</f>
        <v/>
      </c>
      <c r="L90">
        <f>IF(ISBLANK('By Round'!L41),"",'By Round'!L41)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Round'!A111</f>
        <v/>
      </c>
      <c r="C91" s="10">
        <f>'By Round'!B121</f>
        <v/>
      </c>
      <c r="D91" s="10">
        <f>'By Round'!C121</f>
        <v/>
      </c>
      <c r="E91" s="10">
        <f>'By Round'!D121</f>
        <v/>
      </c>
      <c r="F91" s="10">
        <f>IF(ISBLANK('By Round'!F121),"",'By Round'!F121)</f>
        <v/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>
        <f>IF(ISBLANK('By Round'!L121),"",'By Round'!L121)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Round'!A27</f>
        <v/>
      </c>
      <c r="C92" s="16">
        <f>'By Round'!B31</f>
        <v/>
      </c>
      <c r="D92" s="16">
        <f>'By Round'!C31</f>
        <v/>
      </c>
      <c r="E92" s="16">
        <f>'By Round'!D31</f>
        <v/>
      </c>
      <c r="F92" s="16">
        <f>IF(ISBLANK('By Round'!F31),"",'By Round'!F31)</f>
        <v/>
      </c>
      <c r="G92" s="15">
        <f>IF(ISBLANK('By Round'!G31),"",'By Round'!G31)</f>
        <v/>
      </c>
      <c r="H92" s="15">
        <f>IF(ISBLANK('By Round'!H31),"",'By Round'!H31)</f>
        <v/>
      </c>
      <c r="I92" s="15">
        <f>IF(ISBLANK('By Round'!I31),"",'By Round'!I31)</f>
        <v/>
      </c>
      <c r="J92" s="15">
        <f>IF(ISBLANK('By Round'!J31),"",'By Round'!J31)</f>
        <v/>
      </c>
      <c r="K92" s="15">
        <f>IF(ISBLANK('By Round'!K31),"",'By Round'!K31)</f>
        <v/>
      </c>
      <c r="L92" s="15">
        <f>IF(ISBLANK('By Round'!L31),"",'By Round'!L31)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Round'!A87</f>
        <v/>
      </c>
      <c r="C93" s="10">
        <f>'By Round'!B87</f>
        <v/>
      </c>
      <c r="D93" s="10">
        <f>'By Round'!C87</f>
        <v/>
      </c>
      <c r="E93" s="10">
        <f>'By Round'!D87</f>
        <v/>
      </c>
      <c r="F93" s="10">
        <f>IF(ISBLANK('By Round'!F88),"",'By Round'!F88)</f>
        <v/>
      </c>
      <c r="G93">
        <f>IF(ISBLANK('By Round'!G88),"",'By Round'!G88)</f>
        <v/>
      </c>
      <c r="H93">
        <f>IF(ISBLANK('By Round'!H88),"",'By Round'!H88)</f>
        <v/>
      </c>
      <c r="I93">
        <f>IF(ISBLANK('By Round'!I88),"",'By Round'!I88)</f>
        <v/>
      </c>
      <c r="J93">
        <f>IF(ISBLANK('By Round'!J88),"",'By Round'!J88)</f>
        <v/>
      </c>
      <c r="K93">
        <f>IF(ISBLANK('By Round'!K88),"",'By Round'!K88)</f>
        <v/>
      </c>
      <c r="L93">
        <f>IF(ISBLANK('By Round'!L88),"",'By Round'!L88)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Round'!A123</f>
        <v/>
      </c>
      <c r="C94" s="10">
        <f>'By Round'!B131</f>
        <v/>
      </c>
      <c r="D94" s="10">
        <f>'By Round'!C131</f>
        <v/>
      </c>
      <c r="E94" s="10">
        <f>'By Round'!D131</f>
        <v/>
      </c>
      <c r="F94" s="10">
        <f>IF(ISBLANK('By Round'!F132),"",'By Round'!F132)</f>
        <v/>
      </c>
      <c r="G94">
        <f>IF(ISBLANK('By Round'!G132),"",'By Round'!G132)</f>
        <v/>
      </c>
      <c r="H94">
        <f>IF(ISBLANK('By Round'!H132),"",'By Round'!H132)</f>
        <v/>
      </c>
      <c r="I94">
        <f>IF(ISBLANK('By Round'!I132),"",'By Round'!I132)</f>
        <v/>
      </c>
      <c r="J94">
        <f>IF(ISBLANK('By Round'!J132),"",'By Round'!J132)</f>
        <v/>
      </c>
      <c r="K94">
        <f>IF(ISBLANK('By Round'!K132),"",'By Round'!K132)</f>
        <v/>
      </c>
      <c r="L94">
        <f>IF(ISBLANK('By Round'!L132),"",'By Round'!L132)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</f>
        <v/>
      </c>
      <c r="C95" s="10">
        <f>'By Round'!B9</f>
        <v/>
      </c>
      <c r="D95" s="10">
        <f>'By Round'!C9</f>
        <v/>
      </c>
      <c r="E95" s="10">
        <f>'By Round'!D9</f>
        <v/>
      </c>
      <c r="F95" s="10">
        <f>IF(ISBLANK('By Round'!F10),"",'By Round'!F10)</f>
        <v/>
      </c>
      <c r="G95">
        <f>IF(ISBLANK('By Round'!G10),"",'By Round'!G10)</f>
        <v/>
      </c>
      <c r="H95">
        <f>IF(ISBLANK('By Round'!H10),"",'By Round'!H10)</f>
        <v/>
      </c>
      <c r="I95">
        <f>IF(ISBLANK('By Round'!I10),"",'By Round'!I10)</f>
        <v/>
      </c>
      <c r="J95">
        <f>IF(ISBLANK('By Round'!J10),"",'By Round'!J10)</f>
        <v/>
      </c>
      <c r="K95">
        <f>IF(ISBLANK('By Round'!K10),"",'By Round'!K10)</f>
        <v/>
      </c>
      <c r="L95">
        <f>IF(ISBLANK('By Round'!L10),"",'By Round'!L10)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Round'!A39</f>
        <v/>
      </c>
      <c r="C96" s="10">
        <f>'By Round'!B41</f>
        <v/>
      </c>
      <c r="D96" s="10">
        <f>'By Round'!C41</f>
        <v/>
      </c>
      <c r="E96" s="10">
        <f>'By Round'!D41</f>
        <v/>
      </c>
      <c r="F96" s="10">
        <f>IF(ISBLANK('By Round'!F42),"",'By Round'!F42)</f>
        <v/>
      </c>
      <c r="G96">
        <f>IF(ISBLANK('By Round'!G42),"",'By Round'!G42)</f>
        <v/>
      </c>
      <c r="H96">
        <f>IF(ISBLANK('By Round'!H42),"",'By Round'!H42)</f>
        <v/>
      </c>
      <c r="I96">
        <f>IF(ISBLANK('By Round'!I42),"",'By Round'!I42)</f>
        <v/>
      </c>
      <c r="J96">
        <f>IF(ISBLANK('By Round'!J42),"",'By Round'!J42)</f>
        <v/>
      </c>
      <c r="K96">
        <f>IF(ISBLANK('By Round'!K42),"",'By Round'!K42)</f>
        <v/>
      </c>
      <c r="L96">
        <f>IF(ISBLANK('By Round'!L42),"",'By Round'!L42)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Round'!A111</f>
        <v/>
      </c>
      <c r="C97" s="10">
        <f>'By Round'!B121</f>
        <v/>
      </c>
      <c r="D97" s="10">
        <f>'By Round'!C121</f>
        <v/>
      </c>
      <c r="E97" s="10">
        <f>'By Round'!D121</f>
        <v/>
      </c>
      <c r="F97" s="10">
        <f>IF(ISBLANK('By Round'!F122),"",'By Round'!F122)</f>
        <v/>
      </c>
      <c r="G97">
        <f>IF(ISBLANK('By Round'!G122),"",'By Round'!G122)</f>
        <v/>
      </c>
      <c r="H97">
        <f>IF(ISBLANK('By Round'!H122),"",'By Round'!H122)</f>
        <v/>
      </c>
      <c r="I97">
        <f>IF(ISBLANK('By Round'!I122),"",'By Round'!I122)</f>
        <v/>
      </c>
      <c r="J97">
        <f>IF(ISBLANK('By Round'!J122),"",'By Round'!J122)</f>
        <v/>
      </c>
      <c r="K97">
        <f>IF(ISBLANK('By Round'!K122),"",'By Round'!K122)</f>
        <v/>
      </c>
      <c r="L97">
        <f>IF(ISBLANK('By Round'!L122),"",'By Round'!L122)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Round'!A27</f>
        <v/>
      </c>
      <c r="C98" s="16">
        <f>'By Round'!B31</f>
        <v/>
      </c>
      <c r="D98" s="16">
        <f>'By Round'!C31</f>
        <v/>
      </c>
      <c r="E98" s="16">
        <f>'By Round'!D31</f>
        <v/>
      </c>
      <c r="F98" s="16">
        <f>IF(ISBLANK('By Round'!F32),"",'By Round'!F32)</f>
        <v/>
      </c>
      <c r="G98" s="15">
        <f>IF(ISBLANK('By Round'!G32),"",'By Round'!G32)</f>
        <v/>
      </c>
      <c r="H98" s="15">
        <f>IF(ISBLANK('By Round'!H32),"",'By Round'!H32)</f>
        <v/>
      </c>
      <c r="I98" s="15">
        <f>IF(ISBLANK('By Round'!I32),"",'By Round'!I32)</f>
        <v/>
      </c>
      <c r="J98" s="15">
        <f>IF(ISBLANK('By Round'!J32),"",'By Round'!J32)</f>
        <v/>
      </c>
      <c r="K98" s="15">
        <f>IF(ISBLANK('By Round'!K32),"",'By Round'!K32)</f>
        <v/>
      </c>
      <c r="L98" s="15">
        <f>IF(ISBLANK('By Round'!L32),"",'By Round'!L32)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Round'!A99</f>
        <v/>
      </c>
      <c r="C99" s="10">
        <f>'By Round'!B99</f>
        <v/>
      </c>
      <c r="D99" s="10">
        <f>'By Round'!C99</f>
        <v/>
      </c>
      <c r="E99" s="10">
        <f>'By Round'!D99</f>
        <v/>
      </c>
      <c r="F99" s="10">
        <f>IF(ISBLANK('By Round'!F99),"",'By Round'!F99)</f>
        <v/>
      </c>
      <c r="G99">
        <f>IF(ISBLANK('By Round'!G99),"",'By Round'!G99)</f>
        <v/>
      </c>
      <c r="H99">
        <f>IF(ISBLANK('By Round'!H99),"",'By Round'!H99)</f>
        <v/>
      </c>
      <c r="I99">
        <f>IF(ISBLANK('By Round'!I99),"",'By Round'!I99)</f>
        <v/>
      </c>
      <c r="J99">
        <f>IF(ISBLANK('By Round'!J99),"",'By Round'!J99)</f>
        <v/>
      </c>
      <c r="K99">
        <f>IF(ISBLANK('By Round'!K99),"",'By Round'!K99)</f>
        <v/>
      </c>
      <c r="L99">
        <f>IF(ISBLANK('By Round'!L99),"",'By Round'!L99)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Round'!A3</f>
        <v/>
      </c>
      <c r="C100" s="10">
        <f>'By Round'!B11</f>
        <v/>
      </c>
      <c r="D100" s="10">
        <f>'By Round'!C11</f>
        <v/>
      </c>
      <c r="E100" s="10">
        <f>'By Round'!D11</f>
        <v/>
      </c>
      <c r="F100" s="10">
        <f>IF(ISBLANK('By Round'!F11),"",'By Round'!F11)</f>
        <v/>
      </c>
      <c r="G100">
        <f>IF(ISBLANK('By Round'!G11),"",'By Round'!G11)</f>
        <v/>
      </c>
      <c r="H100">
        <f>IF(ISBLANK('By Round'!H11),"",'By Round'!H11)</f>
        <v/>
      </c>
      <c r="I100">
        <f>IF(ISBLANK('By Round'!I11),"",'By Round'!I11)</f>
        <v/>
      </c>
      <c r="J100">
        <f>IF(ISBLANK('By Round'!J11),"",'By Round'!J11)</f>
        <v/>
      </c>
      <c r="K100">
        <f>IF(ISBLANK('By Round'!K11),"",'By Round'!K11)</f>
        <v/>
      </c>
      <c r="L100">
        <f>IF(ISBLANK('By Round'!L11),"",'By Round'!L11)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Round'!A15</f>
        <v/>
      </c>
      <c r="C101" s="10">
        <f>'By Round'!B21</f>
        <v/>
      </c>
      <c r="D101" s="10">
        <f>'By Round'!C21</f>
        <v/>
      </c>
      <c r="E101" s="10">
        <f>'By Round'!D21</f>
        <v/>
      </c>
      <c r="F101" s="10">
        <f>IF(ISBLANK('By Round'!F21),"",'By Round'!F21)</f>
        <v/>
      </c>
      <c r="G101">
        <f>IF(ISBLANK('By Round'!G21),"",'By Round'!G21)</f>
        <v/>
      </c>
      <c r="H101">
        <f>IF(ISBLANK('By Round'!H21),"",'By Round'!H21)</f>
        <v/>
      </c>
      <c r="I101">
        <f>IF(ISBLANK('By Round'!I21),"",'By Round'!I21)</f>
        <v/>
      </c>
      <c r="J101">
        <f>IF(ISBLANK('By Round'!J21),"",'By Round'!J21)</f>
        <v/>
      </c>
      <c r="K101">
        <f>IF(ISBLANK('By Round'!K21),"",'By Round'!K21)</f>
        <v/>
      </c>
      <c r="L101">
        <f>IF(ISBLANK('By Round'!L21),"",'By Round'!L21)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Round'!A51</f>
        <v/>
      </c>
      <c r="C102" s="10">
        <f>'By Round'!B53</f>
        <v/>
      </c>
      <c r="D102" s="10">
        <f>'By Round'!C53</f>
        <v/>
      </c>
      <c r="E102" s="10">
        <f>'By Round'!D53</f>
        <v/>
      </c>
      <c r="F102" s="10">
        <f>IF(ISBLANK('By Round'!F53),"",'By Round'!F53)</f>
        <v/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>
        <f>IF(ISBLANK('By Round'!L53),"",'By Round'!L53)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Round'!A123</f>
        <v/>
      </c>
      <c r="C103" s="10">
        <f>'By Round'!B133</f>
        <v/>
      </c>
      <c r="D103" s="10">
        <f>'By Round'!C133</f>
        <v/>
      </c>
      <c r="E103" s="10">
        <f>'By Round'!D133</f>
        <v/>
      </c>
      <c r="F103" s="10">
        <f>IF(ISBLANK('By Round'!F133),"",'By Round'!F133)</f>
        <v/>
      </c>
      <c r="G103">
        <f>IF(ISBLANK('By Round'!G133),"",'By Round'!G133)</f>
        <v/>
      </c>
      <c r="H103">
        <f>IF(ISBLANK('By Round'!H133),"",'By Round'!H133)</f>
        <v/>
      </c>
      <c r="I103">
        <f>IF(ISBLANK('By Round'!I133),"",'By Round'!I133)</f>
        <v/>
      </c>
      <c r="J103">
        <f>IF(ISBLANK('By Round'!J133),"",'By Round'!J133)</f>
        <v/>
      </c>
      <c r="K103">
        <f>IF(ISBLANK('By Round'!K133),"",'By Round'!K133)</f>
        <v/>
      </c>
      <c r="L103">
        <f>IF(ISBLANK('By Round'!L133),"",'By Round'!L133)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Round'!A39</f>
        <v/>
      </c>
      <c r="C104" s="16">
        <f>'By Round'!B43</f>
        <v/>
      </c>
      <c r="D104" s="16">
        <f>'By Round'!C43</f>
        <v/>
      </c>
      <c r="E104" s="16">
        <f>'By Round'!D43</f>
        <v/>
      </c>
      <c r="F104" s="16">
        <f>IF(ISBLANK('By Round'!F43),"",'By Round'!F43)</f>
        <v/>
      </c>
      <c r="G104" s="15">
        <f>IF(ISBLANK('By Round'!G43),"",'By Round'!G43)</f>
        <v/>
      </c>
      <c r="H104" s="15">
        <f>IF(ISBLANK('By Round'!H43),"",'By Round'!H43)</f>
        <v/>
      </c>
      <c r="I104" s="15">
        <f>IF(ISBLANK('By Round'!I43),"",'By Round'!I43)</f>
        <v/>
      </c>
      <c r="J104" s="15">
        <f>IF(ISBLANK('By Round'!J43),"",'By Round'!J43)</f>
        <v/>
      </c>
      <c r="K104" s="15">
        <f>IF(ISBLANK('By Round'!K43),"",'By Round'!K43)</f>
        <v/>
      </c>
      <c r="L104" s="15">
        <f>IF(ISBLANK('By Round'!L43),"",'By Round'!L43)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Round'!A99</f>
        <v/>
      </c>
      <c r="C105" s="10">
        <f>'By Round'!B99</f>
        <v/>
      </c>
      <c r="D105" s="10">
        <f>'By Round'!C99</f>
        <v/>
      </c>
      <c r="E105" s="10">
        <f>'By Round'!D99</f>
        <v/>
      </c>
      <c r="F105" s="10">
        <f>IF(ISBLANK('By Round'!F100),"",'By Round'!F100)</f>
        <v/>
      </c>
      <c r="G105">
        <f>IF(ISBLANK('By Round'!G100),"",'By Round'!G100)</f>
        <v/>
      </c>
      <c r="H105">
        <f>IF(ISBLANK('By Round'!H100),"",'By Round'!H100)</f>
        <v/>
      </c>
      <c r="I105">
        <f>IF(ISBLANK('By Round'!I100),"",'By Round'!I100)</f>
        <v/>
      </c>
      <c r="J105">
        <f>IF(ISBLANK('By Round'!J100),"",'By Round'!J100)</f>
        <v/>
      </c>
      <c r="K105">
        <f>IF(ISBLANK('By Round'!K100),"",'By Round'!K100)</f>
        <v/>
      </c>
      <c r="L105">
        <f>IF(ISBLANK('By Round'!L100),"",'By Round'!L100)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Round'!A3</f>
        <v/>
      </c>
      <c r="C106" s="10">
        <f>'By Round'!B11</f>
        <v/>
      </c>
      <c r="D106" s="10">
        <f>'By Round'!C11</f>
        <v/>
      </c>
      <c r="E106" s="10">
        <f>'By Round'!D11</f>
        <v/>
      </c>
      <c r="F106" s="10">
        <f>IF(ISBLANK('By Round'!F12),"",'By Round'!F12)</f>
        <v/>
      </c>
      <c r="G106">
        <f>IF(ISBLANK('By Round'!G12),"",'By Round'!G12)</f>
        <v/>
      </c>
      <c r="H106">
        <f>IF(ISBLANK('By Round'!H12),"",'By Round'!H12)</f>
        <v/>
      </c>
      <c r="I106">
        <f>IF(ISBLANK('By Round'!I12),"",'By Round'!I12)</f>
        <v/>
      </c>
      <c r="J106">
        <f>IF(ISBLANK('By Round'!J12),"",'By Round'!J12)</f>
        <v/>
      </c>
      <c r="K106">
        <f>IF(ISBLANK('By Round'!K12),"",'By Round'!K12)</f>
        <v/>
      </c>
      <c r="L106">
        <f>IF(ISBLANK('By Round'!L12),"",'By Round'!L12)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Round'!A15</f>
        <v/>
      </c>
      <c r="C107" s="10">
        <f>'By Round'!B21</f>
        <v/>
      </c>
      <c r="D107" s="10">
        <f>'By Round'!C21</f>
        <v/>
      </c>
      <c r="E107" s="10">
        <f>'By Round'!D21</f>
        <v/>
      </c>
      <c r="F107" s="10">
        <f>IF(ISBLANK('By Round'!F22),"",'By Round'!F22)</f>
        <v/>
      </c>
      <c r="G107">
        <f>IF(ISBLANK('By Round'!G22),"",'By Round'!G22)</f>
        <v/>
      </c>
      <c r="H107">
        <f>IF(ISBLANK('By Round'!H22),"",'By Round'!H22)</f>
        <v/>
      </c>
      <c r="I107">
        <f>IF(ISBLANK('By Round'!I22),"",'By Round'!I22)</f>
        <v/>
      </c>
      <c r="J107">
        <f>IF(ISBLANK('By Round'!J22),"",'By Round'!J22)</f>
        <v/>
      </c>
      <c r="K107">
        <f>IF(ISBLANK('By Round'!K22),"",'By Round'!K22)</f>
        <v/>
      </c>
      <c r="L107">
        <f>IF(ISBLANK('By Round'!L22),"",'By Round'!L22)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Round'!A51</f>
        <v/>
      </c>
      <c r="C108" s="10">
        <f>'By Round'!B53</f>
        <v/>
      </c>
      <c r="D108" s="10">
        <f>'By Round'!C53</f>
        <v/>
      </c>
      <c r="E108" s="10">
        <f>'By Round'!D53</f>
        <v/>
      </c>
      <c r="F108" s="10">
        <f>IF(ISBLANK('By Round'!F54),"",'By Round'!F54)</f>
        <v/>
      </c>
      <c r="G108">
        <f>IF(ISBLANK('By Round'!G54),"",'By Round'!G54)</f>
        <v/>
      </c>
      <c r="H108">
        <f>IF(ISBLANK('By Round'!H54),"",'By Round'!H54)</f>
        <v/>
      </c>
      <c r="I108">
        <f>IF(ISBLANK('By Round'!I54),"",'By Round'!I54)</f>
        <v/>
      </c>
      <c r="J108">
        <f>IF(ISBLANK('By Round'!J54),"",'By Round'!J54)</f>
        <v/>
      </c>
      <c r="K108">
        <f>IF(ISBLANK('By Round'!K54),"",'By Round'!K54)</f>
        <v/>
      </c>
      <c r="L108">
        <f>IF(ISBLANK('By Round'!L54),"",'By Round'!L54)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Round'!A123</f>
        <v/>
      </c>
      <c r="C109" s="10">
        <f>'By Round'!B133</f>
        <v/>
      </c>
      <c r="D109" s="10">
        <f>'By Round'!C133</f>
        <v/>
      </c>
      <c r="E109" s="10">
        <f>'By Round'!D133</f>
        <v/>
      </c>
      <c r="F109" s="10">
        <f>IF(ISBLANK('By Round'!F134),"",'By Round'!F134)</f>
        <v/>
      </c>
      <c r="G109">
        <f>IF(ISBLANK('By Round'!G134),"",'By Round'!G134)</f>
        <v/>
      </c>
      <c r="H109">
        <f>IF(ISBLANK('By Round'!H134),"",'By Round'!H134)</f>
        <v/>
      </c>
      <c r="I109">
        <f>IF(ISBLANK('By Round'!I134),"",'By Round'!I134)</f>
        <v/>
      </c>
      <c r="J109">
        <f>IF(ISBLANK('By Round'!J134),"",'By Round'!J134)</f>
        <v/>
      </c>
      <c r="K109">
        <f>IF(ISBLANK('By Round'!K134),"",'By Round'!K134)</f>
        <v/>
      </c>
      <c r="L109">
        <f>IF(ISBLANK('By Round'!L134),"",'By Round'!L134)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Round'!A39</f>
        <v/>
      </c>
      <c r="C110" s="16">
        <f>'By Round'!B43</f>
        <v/>
      </c>
      <c r="D110" s="16">
        <f>'By Round'!C43</f>
        <v/>
      </c>
      <c r="E110" s="16">
        <f>'By Round'!D43</f>
        <v/>
      </c>
      <c r="F110" s="16">
        <f>IF(ISBLANK('By Round'!F44),"",'By Round'!F44)</f>
        <v/>
      </c>
      <c r="G110" s="15">
        <f>IF(ISBLANK('By Round'!G44),"",'By Round'!G44)</f>
        <v/>
      </c>
      <c r="H110" s="15">
        <f>IF(ISBLANK('By Round'!H44),"",'By Round'!H44)</f>
        <v/>
      </c>
      <c r="I110" s="15">
        <f>IF(ISBLANK('By Round'!I44),"",'By Round'!I44)</f>
        <v/>
      </c>
      <c r="J110" s="15">
        <f>IF(ISBLANK('By Round'!J44),"",'By Round'!J44)</f>
        <v/>
      </c>
      <c r="K110" s="15">
        <f>IF(ISBLANK('By Round'!K44),"",'By Round'!K44)</f>
        <v/>
      </c>
      <c r="L110" s="15">
        <f>IF(ISBLANK('By Round'!L44),"",'By Round'!L44)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Round'!A111</f>
        <v/>
      </c>
      <c r="C111" s="10">
        <f>'By Round'!B111</f>
        <v/>
      </c>
      <c r="D111" s="10">
        <f>'By Round'!C111</f>
        <v/>
      </c>
      <c r="E111" s="10">
        <f>'By Round'!D111</f>
        <v/>
      </c>
      <c r="F111" s="10">
        <f>IF(ISBLANK('By Round'!F111),"",'By Round'!F111)</f>
        <v/>
      </c>
      <c r="G111">
        <f>IF(ISBLANK('By Round'!G111),"",'By Round'!G111)</f>
        <v/>
      </c>
      <c r="H111">
        <f>IF(ISBLANK('By Round'!H111),"",'By Round'!H111)</f>
        <v/>
      </c>
      <c r="I111">
        <f>IF(ISBLANK('By Round'!I111),"",'By Round'!I111)</f>
        <v/>
      </c>
      <c r="J111">
        <f>IF(ISBLANK('By Round'!J111),"",'By Round'!J111)</f>
        <v/>
      </c>
      <c r="K111">
        <f>IF(ISBLANK('By Round'!K111),"",'By Round'!K111)</f>
        <v/>
      </c>
      <c r="L111">
        <f>IF(ISBLANK('By Round'!L111),"",'By Round'!L111)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Round'!A51</f>
        <v/>
      </c>
      <c r="C112" s="10">
        <f>'By Round'!B55</f>
        <v/>
      </c>
      <c r="D112" s="10">
        <f>'By Round'!C55</f>
        <v/>
      </c>
      <c r="E112" s="10">
        <f>'By Round'!D55</f>
        <v/>
      </c>
      <c r="F112" s="10">
        <f>IF(ISBLANK('By Round'!F55),"",'By Round'!F55)</f>
        <v/>
      </c>
      <c r="G112">
        <f>IF(ISBLANK('By Round'!G55),"",'By Round'!G55)</f>
        <v/>
      </c>
      <c r="H112">
        <f>IF(ISBLANK('By Round'!H55),"",'By Round'!H55)</f>
        <v/>
      </c>
      <c r="I112">
        <f>IF(ISBLANK('By Round'!I55),"",'By Round'!I55)</f>
        <v/>
      </c>
      <c r="J112">
        <f>IF(ISBLANK('By Round'!J55),"",'By Round'!J55)</f>
        <v/>
      </c>
      <c r="K112">
        <f>IF(ISBLANK('By Round'!K55),"",'By Round'!K55)</f>
        <v/>
      </c>
      <c r="L112">
        <f>IF(ISBLANK('By Round'!L55),"",'By Round'!L55)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Round'!A15</f>
        <v/>
      </c>
      <c r="C113" s="10">
        <f>'By Round'!B23</f>
        <v/>
      </c>
      <c r="D113" s="10">
        <f>'By Round'!C23</f>
        <v/>
      </c>
      <c r="E113" s="10">
        <f>'By Round'!D23</f>
        <v/>
      </c>
      <c r="F113" s="10">
        <f>IF(ISBLANK('By Round'!F23),"",'By Round'!F23)</f>
        <v/>
      </c>
      <c r="G113">
        <f>IF(ISBLANK('By Round'!G23),"",'By Round'!G23)</f>
        <v/>
      </c>
      <c r="H113">
        <f>IF(ISBLANK('By Round'!H23),"",'By Round'!H23)</f>
        <v/>
      </c>
      <c r="I113">
        <f>IF(ISBLANK('By Round'!I23),"",'By Round'!I23)</f>
        <v/>
      </c>
      <c r="J113">
        <f>IF(ISBLANK('By Round'!J23),"",'By Round'!J23)</f>
        <v/>
      </c>
      <c r="K113">
        <f>IF(ISBLANK('By Round'!K23),"",'By Round'!K23)</f>
        <v/>
      </c>
      <c r="L113">
        <f>IF(ISBLANK('By Round'!L23),"",'By Round'!L23)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Round'!A27</f>
        <v/>
      </c>
      <c r="C114" s="10">
        <f>'By Round'!B33</f>
        <v/>
      </c>
      <c r="D114" s="10">
        <f>'By Round'!C33</f>
        <v/>
      </c>
      <c r="E114" s="10">
        <f>'By Round'!D33</f>
        <v/>
      </c>
      <c r="F114" s="10">
        <f>IF(ISBLANK('By Round'!F33),"",'By Round'!F33)</f>
        <v/>
      </c>
      <c r="G114">
        <f>IF(ISBLANK('By Round'!G33),"",'By Round'!G33)</f>
        <v/>
      </c>
      <c r="H114">
        <f>IF(ISBLANK('By Round'!H33),"",'By Round'!H33)</f>
        <v/>
      </c>
      <c r="I114">
        <f>IF(ISBLANK('By Round'!I33),"",'By Round'!I33)</f>
        <v/>
      </c>
      <c r="J114">
        <f>IF(ISBLANK('By Round'!J33),"",'By Round'!J33)</f>
        <v/>
      </c>
      <c r="K114">
        <f>IF(ISBLANK('By Round'!K33),"",'By Round'!K33)</f>
        <v/>
      </c>
      <c r="L114">
        <f>IF(ISBLANK('By Round'!L33),"",'By Round'!L33)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Round'!A63</f>
        <v/>
      </c>
      <c r="C115" s="10">
        <f>'By Round'!B65</f>
        <v/>
      </c>
      <c r="D115" s="10">
        <f>'By Round'!C65</f>
        <v/>
      </c>
      <c r="E115" s="10">
        <f>'By Round'!D65</f>
        <v/>
      </c>
      <c r="F115" s="10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>
        <f>IF(ISBLANK('By Round'!L65),"",'By Round'!L65)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Round'!A3</f>
        <v/>
      </c>
      <c r="C116" s="16">
        <f>'By Round'!B13</f>
        <v/>
      </c>
      <c r="D116" s="16">
        <f>'By Round'!C13</f>
        <v/>
      </c>
      <c r="E116" s="16">
        <f>'By Round'!D13</f>
        <v/>
      </c>
      <c r="F116" s="16">
        <f>IF(ISBLANK('By Round'!F13),"",'By Round'!F13)</f>
        <v/>
      </c>
      <c r="G116" s="15">
        <f>IF(ISBLANK('By Round'!G13),"",'By Round'!G13)</f>
        <v/>
      </c>
      <c r="H116" s="15">
        <f>IF(ISBLANK('By Round'!H13),"",'By Round'!H13)</f>
        <v/>
      </c>
      <c r="I116" s="15">
        <f>IF(ISBLANK('By Round'!I13),"",'By Round'!I13)</f>
        <v/>
      </c>
      <c r="J116" s="15">
        <f>IF(ISBLANK('By Round'!J13),"",'By Round'!J13)</f>
        <v/>
      </c>
      <c r="K116" s="15">
        <f>IF(ISBLANK('By Round'!K13),"",'By Round'!K13)</f>
        <v/>
      </c>
      <c r="L116" s="15">
        <f>IF(ISBLANK('By Round'!L13),"",'By Round'!L13)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Round'!A111</f>
        <v/>
      </c>
      <c r="C117" s="10">
        <f>'By Round'!B111</f>
        <v/>
      </c>
      <c r="D117" s="10">
        <f>'By Round'!C111</f>
        <v/>
      </c>
      <c r="E117" s="10">
        <f>'By Round'!D111</f>
        <v/>
      </c>
      <c r="F117" s="10">
        <f>IF(ISBLANK('By Round'!F112),"",'By Round'!F112)</f>
        <v/>
      </c>
      <c r="G117">
        <f>IF(ISBLANK('By Round'!G112),"",'By Round'!G112)</f>
        <v/>
      </c>
      <c r="H117">
        <f>IF(ISBLANK('By Round'!H112),"",'By Round'!H112)</f>
        <v/>
      </c>
      <c r="I117">
        <f>IF(ISBLANK('By Round'!I112),"",'By Round'!I112)</f>
        <v/>
      </c>
      <c r="J117">
        <f>IF(ISBLANK('By Round'!J112),"",'By Round'!J112)</f>
        <v/>
      </c>
      <c r="K117">
        <f>IF(ISBLANK('By Round'!K112),"",'By Round'!K112)</f>
        <v/>
      </c>
      <c r="L117">
        <f>IF(ISBLANK('By Round'!L112),"",'By Round'!L112)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Round'!A51</f>
        <v/>
      </c>
      <c r="C118" s="10">
        <f>'By Round'!B55</f>
        <v/>
      </c>
      <c r="D118" s="10">
        <f>'By Round'!C55</f>
        <v/>
      </c>
      <c r="E118" s="10">
        <f>'By Round'!D55</f>
        <v/>
      </c>
      <c r="F118" s="10">
        <f>IF(ISBLANK('By Round'!F56),"",'By Round'!F56)</f>
        <v/>
      </c>
      <c r="G118">
        <f>IF(ISBLANK('By Round'!G56),"",'By Round'!G56)</f>
        <v/>
      </c>
      <c r="H118">
        <f>IF(ISBLANK('By Round'!H56),"",'By Round'!H56)</f>
        <v/>
      </c>
      <c r="I118">
        <f>IF(ISBLANK('By Round'!I56),"",'By Round'!I56)</f>
        <v/>
      </c>
      <c r="J118">
        <f>IF(ISBLANK('By Round'!J56),"",'By Round'!J56)</f>
        <v/>
      </c>
      <c r="K118">
        <f>IF(ISBLANK('By Round'!K56),"",'By Round'!K56)</f>
        <v/>
      </c>
      <c r="L118">
        <f>IF(ISBLANK('By Round'!L56),"",'By Round'!L56)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Round'!A15</f>
        <v/>
      </c>
      <c r="C119" s="10">
        <f>'By Round'!B23</f>
        <v/>
      </c>
      <c r="D119" s="10">
        <f>'By Round'!C23</f>
        <v/>
      </c>
      <c r="E119" s="10">
        <f>'By Round'!D23</f>
        <v/>
      </c>
      <c r="F119" s="10">
        <f>IF(ISBLANK('By Round'!F24),"",'By Round'!F24)</f>
        <v/>
      </c>
      <c r="G119">
        <f>IF(ISBLANK('By Round'!G24),"",'By Round'!G24)</f>
        <v/>
      </c>
      <c r="H119">
        <f>IF(ISBLANK('By Round'!H24),"",'By Round'!H24)</f>
        <v/>
      </c>
      <c r="I119">
        <f>IF(ISBLANK('By Round'!I24),"",'By Round'!I24)</f>
        <v/>
      </c>
      <c r="J119">
        <f>IF(ISBLANK('By Round'!J24),"",'By Round'!J24)</f>
        <v/>
      </c>
      <c r="K119">
        <f>IF(ISBLANK('By Round'!K24),"",'By Round'!K24)</f>
        <v/>
      </c>
      <c r="L119">
        <f>IF(ISBLANK('By Round'!L24),"",'By Round'!L24)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Round'!A27</f>
        <v/>
      </c>
      <c r="C120" s="10">
        <f>'By Round'!B33</f>
        <v/>
      </c>
      <c r="D120" s="10">
        <f>'By Round'!C33</f>
        <v/>
      </c>
      <c r="E120" s="10">
        <f>'By Round'!D33</f>
        <v/>
      </c>
      <c r="F120" s="10">
        <f>IF(ISBLANK('By Round'!F34),"",'By Round'!F34)</f>
        <v/>
      </c>
      <c r="G120">
        <f>IF(ISBLANK('By Round'!G34),"",'By Round'!G34)</f>
        <v/>
      </c>
      <c r="H120">
        <f>IF(ISBLANK('By Round'!H34),"",'By Round'!H34)</f>
        <v/>
      </c>
      <c r="I120">
        <f>IF(ISBLANK('By Round'!I34),"",'By Round'!I34)</f>
        <v/>
      </c>
      <c r="J120">
        <f>IF(ISBLANK('By Round'!J34),"",'By Round'!J34)</f>
        <v/>
      </c>
      <c r="K120">
        <f>IF(ISBLANK('By Round'!K34),"",'By Round'!K34)</f>
        <v/>
      </c>
      <c r="L120">
        <f>IF(ISBLANK('By Round'!L34),"",'By Round'!L34)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Round'!A63</f>
        <v/>
      </c>
      <c r="C121" s="10">
        <f>'By Round'!B65</f>
        <v/>
      </c>
      <c r="D121" s="10">
        <f>'By Round'!C65</f>
        <v/>
      </c>
      <c r="E121" s="10">
        <f>'By Round'!D65</f>
        <v/>
      </c>
      <c r="F121" s="10">
        <f>IF(ISBLANK('By Round'!F66),"",'By Round'!F66)</f>
        <v/>
      </c>
      <c r="G121">
        <f>IF(ISBLANK('By Round'!G66),"",'By Round'!G66)</f>
        <v/>
      </c>
      <c r="H121">
        <f>IF(ISBLANK('By Round'!H66),"",'By Round'!H66)</f>
        <v/>
      </c>
      <c r="I121">
        <f>IF(ISBLANK('By Round'!I66),"",'By Round'!I66)</f>
        <v/>
      </c>
      <c r="J121">
        <f>IF(ISBLANK('By Round'!J66),"",'By Round'!J66)</f>
        <v/>
      </c>
      <c r="K121">
        <f>IF(ISBLANK('By Round'!K66),"",'By Round'!K66)</f>
        <v/>
      </c>
      <c r="L121">
        <f>IF(ISBLANK('By Round'!L66),"",'By Round'!L66)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Round'!A3</f>
        <v/>
      </c>
      <c r="C122" s="16">
        <f>'By Round'!B13</f>
        <v/>
      </c>
      <c r="D122" s="16">
        <f>'By Round'!C13</f>
        <v/>
      </c>
      <c r="E122" s="16">
        <f>'By Round'!D13</f>
        <v/>
      </c>
      <c r="F122" s="16">
        <f>IF(ISBLANK('By Round'!F14),"",'By Round'!F14)</f>
        <v/>
      </c>
      <c r="G122" s="15">
        <f>IF(ISBLANK('By Round'!G14),"",'By Round'!G14)</f>
        <v/>
      </c>
      <c r="H122" s="15">
        <f>IF(ISBLANK('By Round'!H14),"",'By Round'!H14)</f>
        <v/>
      </c>
      <c r="I122" s="15">
        <f>IF(ISBLANK('By Round'!I14),"",'By Round'!I14)</f>
        <v/>
      </c>
      <c r="J122" s="15">
        <f>IF(ISBLANK('By Round'!J14),"",'By Round'!J14)</f>
        <v/>
      </c>
      <c r="K122" s="15">
        <f>IF(ISBLANK('By Round'!K14),"",'By Round'!K14)</f>
        <v/>
      </c>
      <c r="L122" s="15">
        <f>IF(ISBLANK('By Round'!L14),"",'By Round'!L14)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Round'!A123</f>
        <v/>
      </c>
      <c r="C123" s="10">
        <f>'By Round'!B123</f>
        <v/>
      </c>
      <c r="D123" s="10">
        <f>'By Round'!C123</f>
        <v/>
      </c>
      <c r="E123" s="10">
        <f>'By Round'!D123</f>
        <v/>
      </c>
      <c r="F123" s="10">
        <f>IF(ISBLANK('By Round'!F123),"",'By Round'!F123)</f>
        <v/>
      </c>
      <c r="G123">
        <f>IF(ISBLANK('By Round'!G123),"",'By Round'!G123)</f>
        <v/>
      </c>
      <c r="H123">
        <f>IF(ISBLANK('By Round'!H123),"",'By Round'!H123)</f>
        <v/>
      </c>
      <c r="I123">
        <f>IF(ISBLANK('By Round'!I123),"",'By Round'!I123)</f>
        <v/>
      </c>
      <c r="J123">
        <f>IF(ISBLANK('By Round'!J123),"",'By Round'!J123)</f>
        <v/>
      </c>
      <c r="K123">
        <f>IF(ISBLANK('By Round'!K123),"",'By Round'!K123)</f>
        <v/>
      </c>
      <c r="L123">
        <f>IF(ISBLANK('By Round'!L123),"",'By Round'!L123)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Round'!A63</f>
        <v/>
      </c>
      <c r="C124" s="10">
        <f>'By Round'!B67</f>
        <v/>
      </c>
      <c r="D124" s="10">
        <f>'By Round'!C67</f>
        <v/>
      </c>
      <c r="E124" s="10">
        <f>'By Round'!D67</f>
        <v/>
      </c>
      <c r="F124" s="10">
        <f>IF(ISBLANK('By Round'!F67),"",'By Round'!F67)</f>
        <v/>
      </c>
      <c r="G124">
        <f>IF(ISBLANK('By Round'!G67),"",'By Round'!G67)</f>
        <v/>
      </c>
      <c r="H124">
        <f>IF(ISBLANK('By Round'!H67),"",'By Round'!H67)</f>
        <v/>
      </c>
      <c r="I124">
        <f>IF(ISBLANK('By Round'!I67),"",'By Round'!I67)</f>
        <v/>
      </c>
      <c r="J124">
        <f>IF(ISBLANK('By Round'!J67),"",'By Round'!J67)</f>
        <v/>
      </c>
      <c r="K124">
        <f>IF(ISBLANK('By Round'!K67),"",'By Round'!K67)</f>
        <v/>
      </c>
      <c r="L124">
        <f>IF(ISBLANK('By Round'!L67),"",'By Round'!L67)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Round'!A27</f>
        <v/>
      </c>
      <c r="C125" s="10">
        <f>'By Round'!B35</f>
        <v/>
      </c>
      <c r="D125" s="10">
        <f>'By Round'!C35</f>
        <v/>
      </c>
      <c r="E125" s="10">
        <f>'By Round'!D35</f>
        <v/>
      </c>
      <c r="F125" s="10">
        <f>IF(ISBLANK('By Round'!F35),"",'By Round'!F35)</f>
        <v/>
      </c>
      <c r="G125">
        <f>IF(ISBLANK('By Round'!G35),"",'By Round'!G35)</f>
        <v/>
      </c>
      <c r="H125">
        <f>IF(ISBLANK('By Round'!H35),"",'By Round'!H35)</f>
        <v/>
      </c>
      <c r="I125">
        <f>IF(ISBLANK('By Round'!I35),"",'By Round'!I35)</f>
        <v/>
      </c>
      <c r="J125">
        <f>IF(ISBLANK('By Round'!J35),"",'By Round'!J35)</f>
        <v/>
      </c>
      <c r="K125">
        <f>IF(ISBLANK('By Round'!K35),"",'By Round'!K35)</f>
        <v/>
      </c>
      <c r="L125">
        <f>IF(ISBLANK('By Round'!L35),"",'By Round'!L35)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Round'!A39</f>
        <v/>
      </c>
      <c r="C126" s="10">
        <f>'By Round'!B45</f>
        <v/>
      </c>
      <c r="D126" s="10">
        <f>'By Round'!C45</f>
        <v/>
      </c>
      <c r="E126" s="10">
        <f>'By Round'!D45</f>
        <v/>
      </c>
      <c r="F126" s="10">
        <f>IF(ISBLANK('By Round'!F45),"",'By Round'!F45)</f>
        <v/>
      </c>
      <c r="G126">
        <f>IF(ISBLANK('By Round'!G45),"",'By Round'!G45)</f>
        <v/>
      </c>
      <c r="H126">
        <f>IF(ISBLANK('By Round'!H45),"",'By Round'!H45)</f>
        <v/>
      </c>
      <c r="I126">
        <f>IF(ISBLANK('By Round'!I45),"",'By Round'!I45)</f>
        <v/>
      </c>
      <c r="J126">
        <f>IF(ISBLANK('By Round'!J45),"",'By Round'!J45)</f>
        <v/>
      </c>
      <c r="K126">
        <f>IF(ISBLANK('By Round'!K45),"",'By Round'!K45)</f>
        <v/>
      </c>
      <c r="L126">
        <f>IF(ISBLANK('By Round'!L45),"",'By Round'!L45)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Round'!A75</f>
        <v/>
      </c>
      <c r="C127" s="10">
        <f>'By Round'!B77</f>
        <v/>
      </c>
      <c r="D127" s="10">
        <f>'By Round'!C77</f>
        <v/>
      </c>
      <c r="E127" s="10">
        <f>'By Round'!D77</f>
        <v/>
      </c>
      <c r="F127" s="10">
        <f>IF(ISBLANK('By Round'!F77),"",'By Round'!F77)</f>
        <v/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>
        <f>IF(ISBLANK('By Round'!L77),"",'By Round'!L77)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Round'!A15</f>
        <v/>
      </c>
      <c r="C128" s="16">
        <f>'By Round'!B25</f>
        <v/>
      </c>
      <c r="D128" s="16">
        <f>'By Round'!C25</f>
        <v/>
      </c>
      <c r="E128" s="16">
        <f>'By Round'!D25</f>
        <v/>
      </c>
      <c r="F128" s="16">
        <f>IF(ISBLANK('By Round'!F25),"",'By Round'!F25)</f>
        <v/>
      </c>
      <c r="G128" s="15">
        <f>IF(ISBLANK('By Round'!G25),"",'By Round'!G25)</f>
        <v/>
      </c>
      <c r="H128" s="15">
        <f>IF(ISBLANK('By Round'!H25),"",'By Round'!H25)</f>
        <v/>
      </c>
      <c r="I128" s="15">
        <f>IF(ISBLANK('By Round'!I25),"",'By Round'!I25)</f>
        <v/>
      </c>
      <c r="J128" s="15">
        <f>IF(ISBLANK('By Round'!J25),"",'By Round'!J25)</f>
        <v/>
      </c>
      <c r="K128" s="15">
        <f>IF(ISBLANK('By Round'!K25),"",'By Round'!K25)</f>
        <v/>
      </c>
      <c r="L128" s="15">
        <f>IF(ISBLANK('By Round'!L25),"",'By Round'!L25)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Round'!A123</f>
        <v/>
      </c>
      <c r="C129" s="10">
        <f>'By Round'!B123</f>
        <v/>
      </c>
      <c r="D129" s="10">
        <f>'By Round'!C123</f>
        <v/>
      </c>
      <c r="E129" s="10">
        <f>'By Round'!D123</f>
        <v/>
      </c>
      <c r="F129" s="10">
        <f>IF(ISBLANK('By Round'!F124),"",'By Round'!F124)</f>
        <v/>
      </c>
      <c r="G129">
        <f>IF(ISBLANK('By Round'!G124),"",'By Round'!G124)</f>
        <v/>
      </c>
      <c r="H129">
        <f>IF(ISBLANK('By Round'!H124),"",'By Round'!H124)</f>
        <v/>
      </c>
      <c r="I129">
        <f>IF(ISBLANK('By Round'!I124),"",'By Round'!I124)</f>
        <v/>
      </c>
      <c r="J129">
        <f>IF(ISBLANK('By Round'!J124),"",'By Round'!J124)</f>
        <v/>
      </c>
      <c r="K129">
        <f>IF(ISBLANK('By Round'!K124),"",'By Round'!K124)</f>
        <v/>
      </c>
      <c r="L129">
        <f>IF(ISBLANK('By Round'!L124),"",'By Round'!L124)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Round'!A63</f>
        <v/>
      </c>
      <c r="C130" s="10">
        <f>'By Round'!B67</f>
        <v/>
      </c>
      <c r="D130" s="10">
        <f>'By Round'!C67</f>
        <v/>
      </c>
      <c r="E130" s="10">
        <f>'By Round'!D67</f>
        <v/>
      </c>
      <c r="F130" s="10">
        <f>IF(ISBLANK('By Round'!F68),"",'By Round'!F68)</f>
        <v/>
      </c>
      <c r="G130">
        <f>IF(ISBLANK('By Round'!G68),"",'By Round'!G68)</f>
        <v/>
      </c>
      <c r="H130">
        <f>IF(ISBLANK('By Round'!H68),"",'By Round'!H68)</f>
        <v/>
      </c>
      <c r="I130">
        <f>IF(ISBLANK('By Round'!I68),"",'By Round'!I68)</f>
        <v/>
      </c>
      <c r="J130">
        <f>IF(ISBLANK('By Round'!J68),"",'By Round'!J68)</f>
        <v/>
      </c>
      <c r="K130">
        <f>IF(ISBLANK('By Round'!K68),"",'By Round'!K68)</f>
        <v/>
      </c>
      <c r="L130">
        <f>IF(ISBLANK('By Round'!L68),"",'By Round'!L68)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Round'!A27</f>
        <v/>
      </c>
      <c r="C131" s="10">
        <f>'By Round'!B35</f>
        <v/>
      </c>
      <c r="D131" s="10">
        <f>'By Round'!C35</f>
        <v/>
      </c>
      <c r="E131" s="10">
        <f>'By Round'!D35</f>
        <v/>
      </c>
      <c r="F131" s="10">
        <f>IF(ISBLANK('By Round'!F36),"",'By Round'!F36)</f>
        <v/>
      </c>
      <c r="G131">
        <f>IF(ISBLANK('By Round'!G36),"",'By Round'!G36)</f>
        <v/>
      </c>
      <c r="H131">
        <f>IF(ISBLANK('By Round'!H36),"",'By Round'!H36)</f>
        <v/>
      </c>
      <c r="I131">
        <f>IF(ISBLANK('By Round'!I36),"",'By Round'!I36)</f>
        <v/>
      </c>
      <c r="J131">
        <f>IF(ISBLANK('By Round'!J36),"",'By Round'!J36)</f>
        <v/>
      </c>
      <c r="K131">
        <f>IF(ISBLANK('By Round'!K36),"",'By Round'!K36)</f>
        <v/>
      </c>
      <c r="L131">
        <f>IF(ISBLANK('By Round'!L36),"",'By Round'!L36)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Round'!A39</f>
        <v/>
      </c>
      <c r="C132" s="10">
        <f>'By Round'!B45</f>
        <v/>
      </c>
      <c r="D132" s="10">
        <f>'By Round'!C45</f>
        <v/>
      </c>
      <c r="E132" s="10">
        <f>'By Round'!D45</f>
        <v/>
      </c>
      <c r="F132" s="10">
        <f>IF(ISBLANK('By Round'!F46),"",'By Round'!F46)</f>
        <v/>
      </c>
      <c r="G132">
        <f>IF(ISBLANK('By Round'!G46),"",'By Round'!G46)</f>
        <v/>
      </c>
      <c r="H132">
        <f>IF(ISBLANK('By Round'!H46),"",'By Round'!H46)</f>
        <v/>
      </c>
      <c r="I132">
        <f>IF(ISBLANK('By Round'!I46),"",'By Round'!I46)</f>
        <v/>
      </c>
      <c r="J132">
        <f>IF(ISBLANK('By Round'!J46),"",'By Round'!J46)</f>
        <v/>
      </c>
      <c r="K132">
        <f>IF(ISBLANK('By Round'!K46),"",'By Round'!K46)</f>
        <v/>
      </c>
      <c r="L132">
        <f>IF(ISBLANK('By Round'!L46),"",'By Round'!L46)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Round'!A75</f>
        <v/>
      </c>
      <c r="C133" s="10">
        <f>'By Round'!B77</f>
        <v/>
      </c>
      <c r="D133" s="10">
        <f>'By Round'!C77</f>
        <v/>
      </c>
      <c r="E133" s="10">
        <f>'By Round'!D77</f>
        <v/>
      </c>
      <c r="F133" s="10">
        <f>IF(ISBLANK('By Round'!F78),"",'By Round'!F78)</f>
        <v/>
      </c>
      <c r="G133">
        <f>IF(ISBLANK('By Round'!G78),"",'By Round'!G78)</f>
        <v/>
      </c>
      <c r="H133">
        <f>IF(ISBLANK('By Round'!H78),"",'By Round'!H78)</f>
        <v/>
      </c>
      <c r="I133">
        <f>IF(ISBLANK('By Round'!I78),"",'By Round'!I78)</f>
        <v/>
      </c>
      <c r="J133">
        <f>IF(ISBLANK('By Round'!J78),"",'By Round'!J78)</f>
        <v/>
      </c>
      <c r="K133">
        <f>IF(ISBLANK('By Round'!K78),"",'By Round'!K78)</f>
        <v/>
      </c>
      <c r="L133">
        <f>IF(ISBLANK('By Round'!L78),"",'By Round'!L78)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Round'!A15</f>
        <v/>
      </c>
      <c r="C134" s="16">
        <f>'By Round'!B25</f>
        <v/>
      </c>
      <c r="D134" s="16">
        <f>'By Round'!C25</f>
        <v/>
      </c>
      <c r="E134" s="16">
        <f>'By Round'!D25</f>
        <v/>
      </c>
      <c r="F134" s="16">
        <f>IF(ISBLANK('By Round'!F26),"",'By Round'!F26)</f>
        <v/>
      </c>
      <c r="G134" s="15">
        <f>IF(ISBLANK('By Round'!G26),"",'By Round'!G26)</f>
        <v/>
      </c>
      <c r="H134" s="15">
        <f>IF(ISBLANK('By Round'!H26),"",'By Round'!H26)</f>
        <v/>
      </c>
      <c r="I134" s="15">
        <f>IF(ISBLANK('By Round'!I26),"",'By Round'!I26)</f>
        <v/>
      </c>
      <c r="J134" s="15">
        <f>IF(ISBLANK('By Round'!J26),"",'By Round'!J26)</f>
        <v/>
      </c>
      <c r="K134" s="15">
        <f>IF(ISBLANK('By Round'!K26),"",'By Round'!K26)</f>
        <v/>
      </c>
      <c r="L134" s="15">
        <f>IF(ISBLANK('By Round'!L26),"",'By Round'!L26)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inlineStr">
        <is>
          <t>Sit-Out</t>
        </is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inlineStr">
        <is>
          <t>Sit-Out</t>
        </is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inlineStr">
        <is>
          <t>Sit-Out</t>
        </is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inlineStr">
        <is>
          <t>Sit-Out</t>
        </is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inlineStr">
        <is>
          <t>Sit-Out</t>
        </is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inlineStr">
        <is>
          <t>Sit-Out</t>
        </is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inlineStr">
        <is>
          <t>Sit-Out</t>
        </is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inlineStr">
        <is>
          <t>Sit-Out</t>
        </is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inlineStr">
        <is>
          <t>Sit-Out</t>
        </is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inlineStr">
        <is>
          <t>Sit-Out</t>
        </is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2026-03-07T21:22:32Z</dcterms:created>
  <dcterms:modified xsi:type="dcterms:W3CDTF">2026-03-07T21:22:32Z</dcterms:modified>
</cp:coreProperties>
</file>