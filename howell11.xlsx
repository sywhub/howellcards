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04,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59</t>
        </is>
      </c>
      <c r="C10" t="inlineStr">
        <is>
          <t>Name 11</t>
        </is>
      </c>
      <c r="D10" s="4">
        <f>SUMIF('By Board'!$D$3:$D$122,"=1",'By Board'!$N$3:$N$122)/20+SUMIF('By Board'!$E$3:$E$122,"=1",'By Board'!$O$3:$O$122)/20</f>
        <v/>
      </c>
      <c r="E10" s="5">
        <f>SUMIF('By Board'!$D$3:$D$122,"=1",'By Board'!$L$3:$L$122)+SUMIF('By Board'!$E$3:$E$122,"=1",'By Board'!$M$3:$M$122)</f>
        <v/>
      </c>
    </row>
    <row r="11">
      <c r="A11" s="2" t="n">
        <v>2</v>
      </c>
      <c r="B11" t="inlineStr">
        <is>
          <t>Name 28</t>
        </is>
      </c>
      <c r="C11" t="inlineStr">
        <is>
          <t>Name 37</t>
        </is>
      </c>
      <c r="D11" s="4">
        <f>SUMIF('By Board'!$D$3:$D$122,"=2",'By Board'!$N$3:$N$122)/20+SUMIF('By Board'!$E$3:$E$122,"=2",'By Board'!$O$3:$O$122)/20</f>
        <v/>
      </c>
      <c r="E11" s="5">
        <f>SUMIF('By Board'!$D$3:$D$122,"=2",'By Board'!$L$3:$L$122)+SUMIF('By Board'!$E$3:$E$122,"=2",'By Board'!$M$3:$M$122)</f>
        <v/>
      </c>
    </row>
    <row r="12">
      <c r="A12" s="2" t="n">
        <v>3</v>
      </c>
      <c r="B12" t="inlineStr">
        <is>
          <t>Name 55</t>
        </is>
      </c>
      <c r="C12" t="inlineStr">
        <is>
          <t>Name 88</t>
        </is>
      </c>
      <c r="D12" s="4">
        <f>SUMIF('By Board'!$D$3:$D$122,"=3",'By Board'!$N$3:$N$122)/20+SUMIF('By Board'!$E$3:$E$122,"=3",'By Board'!$O$3:$O$122)/20</f>
        <v/>
      </c>
      <c r="E12" s="5">
        <f>SUMIF('By Board'!$D$3:$D$122,"=3",'By Board'!$L$3:$L$122)+SUMIF('By Board'!$E$3:$E$122,"=3",'By Board'!$M$3:$M$122)</f>
        <v/>
      </c>
    </row>
    <row r="13">
      <c r="A13" s="2" t="n">
        <v>4</v>
      </c>
      <c r="B13" t="inlineStr">
        <is>
          <t>Name 30</t>
        </is>
      </c>
      <c r="C13" t="inlineStr">
        <is>
          <t>Name 30</t>
        </is>
      </c>
      <c r="D13" s="4">
        <f>SUMIF('By Board'!$D$3:$D$122,"=4",'By Board'!$N$3:$N$122)/20+SUMIF('By Board'!$E$3:$E$122,"=4",'By Board'!$O$3:$O$122)/20</f>
        <v/>
      </c>
      <c r="E13" s="5">
        <f>SUMIF('By Board'!$D$3:$D$122,"=4",'By Board'!$L$3:$L$122)+SUMIF('By Board'!$E$3:$E$122,"=4",'By Board'!$M$3:$M$122)</f>
        <v/>
      </c>
    </row>
    <row r="14">
      <c r="A14" s="2" t="n">
        <v>5</v>
      </c>
      <c r="B14" t="inlineStr">
        <is>
          <t>Name 86</t>
        </is>
      </c>
      <c r="C14" t="inlineStr">
        <is>
          <t>Name 71</t>
        </is>
      </c>
      <c r="D14" s="4">
        <f>SUMIF('By Board'!$D$3:$D$122,"=5",'By Board'!$N$3:$N$122)/20+SUMIF('By Board'!$E$3:$E$122,"=5",'By Board'!$O$3:$O$122)/20</f>
        <v/>
      </c>
      <c r="E14" s="5">
        <f>SUMIF('By Board'!$D$3:$D$122,"=5",'By Board'!$L$3:$L$122)+SUMIF('By Board'!$E$3:$E$122,"=5",'By Board'!$M$3:$M$122)</f>
        <v/>
      </c>
    </row>
    <row r="15">
      <c r="A15" s="2" t="n">
        <v>6</v>
      </c>
      <c r="B15" t="inlineStr">
        <is>
          <t>Name 37</t>
        </is>
      </c>
      <c r="C15" t="inlineStr">
        <is>
          <t>Name 53</t>
        </is>
      </c>
      <c r="D15" s="4">
        <f>SUMIF('By Board'!$D$3:$D$122,"=6",'By Board'!$N$3:$N$122)/20+SUMIF('By Board'!$E$3:$E$122,"=6",'By Board'!$O$3:$O$122)/20</f>
        <v/>
      </c>
      <c r="E15" s="5">
        <f>SUMIF('By Board'!$D$3:$D$122,"=6",'By Board'!$L$3:$L$122)+SUMIF('By Board'!$E$3:$E$122,"=6",'By Board'!$M$3:$M$122)</f>
        <v/>
      </c>
    </row>
    <row r="16">
      <c r="A16" s="2" t="n">
        <v>7</v>
      </c>
      <c r="B16" t="inlineStr">
        <is>
          <t>Name 47</t>
        </is>
      </c>
      <c r="C16" t="inlineStr">
        <is>
          <t>Name 31</t>
        </is>
      </c>
      <c r="D16" s="4">
        <f>SUMIF('By Board'!$D$3:$D$122,"=7",'By Board'!$N$3:$N$122)/20+SUMIF('By Board'!$E$3:$E$122,"=7",'By Board'!$O$3:$O$122)/20</f>
        <v/>
      </c>
      <c r="E16" s="5">
        <f>SUMIF('By Board'!$D$3:$D$122,"=7",'By Board'!$L$3:$L$122)+SUMIF('By Board'!$E$3:$E$122,"=7",'By Board'!$M$3:$M$122)</f>
        <v/>
      </c>
    </row>
    <row r="17">
      <c r="A17" s="2" t="n">
        <v>8</v>
      </c>
      <c r="B17" t="inlineStr">
        <is>
          <t>Name 11</t>
        </is>
      </c>
      <c r="C17" t="inlineStr">
        <is>
          <t>Name 20</t>
        </is>
      </c>
      <c r="D17" s="4">
        <f>SUMIF('By Board'!$D$3:$D$122,"=8",'By Board'!$N$3:$N$122)/20+SUMIF('By Board'!$E$3:$E$122,"=8",'By Board'!$O$3:$O$122)/20</f>
        <v/>
      </c>
      <c r="E17" s="5">
        <f>SUMIF('By Board'!$D$3:$D$122,"=8",'By Board'!$L$3:$L$122)+SUMIF('By Board'!$E$3:$E$122,"=8",'By Board'!$M$3:$M$122)</f>
        <v/>
      </c>
    </row>
    <row r="18">
      <c r="A18" s="2" t="n">
        <v>9</v>
      </c>
      <c r="B18" t="inlineStr">
        <is>
          <t>Name 70</t>
        </is>
      </c>
      <c r="C18" t="inlineStr">
        <is>
          <t>Name 52</t>
        </is>
      </c>
      <c r="D18" s="4">
        <f>SUMIF('By Board'!$D$3:$D$122,"=9",'By Board'!$N$3:$N$122)/20+SUMIF('By Board'!$E$3:$E$122,"=9",'By Board'!$O$3:$O$122)/20</f>
        <v/>
      </c>
      <c r="E18" s="5">
        <f>SUMIF('By Board'!$D$3:$D$122,"=9",'By Board'!$L$3:$L$122)+SUMIF('By Board'!$E$3:$E$122,"=9",'By Board'!$M$3:$M$122)</f>
        <v/>
      </c>
    </row>
    <row r="19">
      <c r="A19" s="2" t="n">
        <v>10</v>
      </c>
      <c r="B19" t="inlineStr">
        <is>
          <t>Name 44</t>
        </is>
      </c>
      <c r="C19" t="inlineStr">
        <is>
          <t>Name 31</t>
        </is>
      </c>
      <c r="D19" s="4">
        <f>SUMIF('By Board'!$D$3:$D$122,"=10",'By Board'!$N$3:$N$122)/20+SUMIF('By Board'!$E$3:$E$122,"=10",'By Board'!$O$3:$O$122)/20</f>
        <v/>
      </c>
      <c r="E19" s="5">
        <f>SUMIF('By Board'!$D$3:$D$122,"=10",'By Board'!$L$3:$L$122)+SUMIF('By Board'!$E$3:$E$122,"=10",'By Board'!$M$3:$M$122)</f>
        <v/>
      </c>
    </row>
    <row r="20">
      <c r="A20" s="2" t="n">
        <v>11</v>
      </c>
      <c r="B20" t="inlineStr">
        <is>
          <t>Name 31</t>
        </is>
      </c>
      <c r="C20" t="inlineStr">
        <is>
          <t>Name 79</t>
        </is>
      </c>
      <c r="D20" s="4">
        <f>SUMIF('By Board'!$D$3:$D$122,"=11",'By Board'!$N$3:$N$122)/20+SUMIF('By Board'!$E$3:$E$122,"=11",'By Board'!$O$3:$O$122)/20</f>
        <v/>
      </c>
      <c r="E20" s="5">
        <f>SUMIF('By Board'!$D$3:$D$122,"=11",'By Board'!$L$3:$L$122)+SUMIF('By Board'!$E$3:$E$122,"=11",'By Board'!$M$3:$M$122)</f>
        <v/>
      </c>
    </row>
    <row r="21">
      <c r="D21" s="6">
        <f>AVERAGE(D10:D20)</f>
        <v/>
      </c>
      <c r="E21" s="7">
        <f>SUM(E10:E20)</f>
        <v/>
      </c>
    </row>
    <row r="23">
      <c r="A23" t="inlineStr">
        <is>
          <t>To sort, remove single quote below</t>
        </is>
      </c>
    </row>
    <row r="24">
      <c r="A24" s="2" t="inlineStr">
        <is>
          <t>IMP Ranking</t>
        </is>
      </c>
    </row>
    <row r="25">
      <c r="A25" t="inlineStr">
        <is>
          <t>'=SORT(A10:E20,4,-1)</t>
        </is>
      </c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40">
      <c r="A40" s="2" t="inlineStr">
        <is>
          <t>MP Ranking</t>
        </is>
      </c>
    </row>
    <row r="41">
      <c r="A41" t="inlineStr">
        <is>
          <t>'=SORT(A10:E20,5,-1)</t>
        </is>
      </c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</sheetData>
  <mergeCells count="9">
    <mergeCell ref="A4:B4"/>
    <mergeCell ref="A7:B7"/>
    <mergeCell ref="A2:E2"/>
    <mergeCell ref="A24:E24"/>
    <mergeCell ref="A5:B5"/>
    <mergeCell ref="A40:E40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1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1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1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5">
        <f>'By Round'!A87</f>
        <v/>
      </c>
      <c r="C8" s="15">
        <f>'By Round'!B89</f>
        <v/>
      </c>
      <c r="D8" s="15">
        <f>'By Round'!C89</f>
        <v/>
      </c>
      <c r="E8" s="15">
        <f>'By Round'!D89</f>
        <v/>
      </c>
      <c r="F8" s="16" t="inlineStr">
        <is>
          <t>None</t>
        </is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1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1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1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1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5">
        <f>'By Round'!A87</f>
        <v/>
      </c>
      <c r="C14" s="15">
        <f>'By Round'!B89</f>
        <v/>
      </c>
      <c r="D14" s="15">
        <f>'By Round'!C89</f>
        <v/>
      </c>
      <c r="E14" s="15">
        <f>'By Round'!D89</f>
        <v/>
      </c>
      <c r="F14" s="16" t="inlineStr">
        <is>
          <t>NS</t>
        </is>
      </c>
      <c r="G14" s="15">
        <f>IF(ISBLANK('By Round'!G89),"",'By Round'!G89)</f>
        <v/>
      </c>
      <c r="H14" s="15">
        <f>IF(ISBLANK('By Round'!H89),"",'By Round'!H89)</f>
        <v/>
      </c>
      <c r="I14" s="15">
        <f>IF(ISBLANK('By Round'!I89),"",'By Round'!I89)</f>
        <v/>
      </c>
      <c r="J14" s="15">
        <f>IF(ISBLANK('By Round'!J89),"",'By Round'!J89)</f>
        <v/>
      </c>
      <c r="K14" s="15">
        <f>IF(ISBLANK('By Round'!K89),"",'By Round'!K89)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1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1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1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1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1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5">
        <f>'By Round'!A99</f>
        <v/>
      </c>
      <c r="C20" s="15">
        <f>'By Round'!B101</f>
        <v/>
      </c>
      <c r="D20" s="15">
        <f>'By Round'!C101</f>
        <v/>
      </c>
      <c r="E20" s="15">
        <f>'By Round'!D101</f>
        <v/>
      </c>
      <c r="F20" s="16" t="inlineStr">
        <is>
          <t>EW</t>
        </is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1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1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1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1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5">
        <f>'By Round'!A99</f>
        <v/>
      </c>
      <c r="C26" s="15">
        <f>'By Round'!B101</f>
        <v/>
      </c>
      <c r="D26" s="15">
        <f>'By Round'!C101</f>
        <v/>
      </c>
      <c r="E26" s="15">
        <f>'By Round'!D101</f>
        <v/>
      </c>
      <c r="F26" s="16" t="inlineStr">
        <is>
          <t>Both</t>
        </is>
      </c>
      <c r="G26" s="15">
        <f>IF(ISBLANK('By Round'!G101),"",'By Round'!G101)</f>
        <v/>
      </c>
      <c r="H26" s="15">
        <f>IF(ISBLANK('By Round'!H101),"",'By Round'!H101)</f>
        <v/>
      </c>
      <c r="I26" s="15">
        <f>IF(ISBLANK('By Round'!I101),"",'By Round'!I101)</f>
        <v/>
      </c>
      <c r="J26" s="15">
        <f>IF(ISBLANK('By Round'!J101),"",'By Round'!J101)</f>
        <v/>
      </c>
      <c r="K26" s="15">
        <f>IF(ISBLANK('By Round'!K101),"",'By Round'!K101)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1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1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1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1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1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5">
        <f>'By Round'!A111</f>
        <v/>
      </c>
      <c r="C32" s="15">
        <f>'By Round'!B113</f>
        <v/>
      </c>
      <c r="D32" s="15">
        <f>'By Round'!C113</f>
        <v/>
      </c>
      <c r="E32" s="15">
        <f>'By Round'!D113</f>
        <v/>
      </c>
      <c r="F32" s="16" t="inlineStr">
        <is>
          <t>NS</t>
        </is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1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1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1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1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5">
        <f>'By Round'!A111</f>
        <v/>
      </c>
      <c r="C38" s="15">
        <f>'By Round'!B113</f>
        <v/>
      </c>
      <c r="D38" s="15">
        <f>'By Round'!C113</f>
        <v/>
      </c>
      <c r="E38" s="15">
        <f>'By Round'!D113</f>
        <v/>
      </c>
      <c r="F38" s="16" t="inlineStr">
        <is>
          <t>EW</t>
        </is>
      </c>
      <c r="G38" s="15">
        <f>IF(ISBLANK('By Round'!G113),"",'By Round'!G113)</f>
        <v/>
      </c>
      <c r="H38" s="15">
        <f>IF(ISBLANK('By Round'!H113),"",'By Round'!H113)</f>
        <v/>
      </c>
      <c r="I38" s="15">
        <f>IF(ISBLANK('By Round'!I113),"",'By Round'!I113)</f>
        <v/>
      </c>
      <c r="J38" s="15">
        <f>IF(ISBLANK('By Round'!J113),"",'By Round'!J113)</f>
        <v/>
      </c>
      <c r="K38" s="15">
        <f>IF(ISBLANK('By Round'!K113),"",'By Round'!K113)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1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1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1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5">
        <f>'By Round'!A123</f>
        <v/>
      </c>
      <c r="C44" s="15">
        <f>'By Round'!B125</f>
        <v/>
      </c>
      <c r="D44" s="15">
        <f>'By Round'!C125</f>
        <v/>
      </c>
      <c r="E44" s="15">
        <f>'By Round'!D125</f>
        <v/>
      </c>
      <c r="F44" s="16" t="inlineStr">
        <is>
          <t>Both</t>
        </is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1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1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1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1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5">
        <f>'By Round'!A123</f>
        <v/>
      </c>
      <c r="C50" s="15">
        <f>'By Round'!B125</f>
        <v/>
      </c>
      <c r="D50" s="15">
        <f>'By Round'!C125</f>
        <v/>
      </c>
      <c r="E50" s="15">
        <f>'By Round'!D125</f>
        <v/>
      </c>
      <c r="F50" s="16" t="inlineStr">
        <is>
          <t>None</t>
        </is>
      </c>
      <c r="G50" s="15">
        <f>IF(ISBLANK('By Round'!G125),"",'By Round'!G125)</f>
        <v/>
      </c>
      <c r="H50" s="15">
        <f>IF(ISBLANK('By Round'!H125),"",'By Round'!H125)</f>
        <v/>
      </c>
      <c r="I50" s="15">
        <f>IF(ISBLANK('By Round'!I125),"",'By Round'!I125)</f>
        <v/>
      </c>
      <c r="J50" s="15">
        <f>IF(ISBLANK('By Round'!J125),"",'By Round'!J125)</f>
        <v/>
      </c>
      <c r="K50" s="15">
        <f>IF(ISBLANK('By Round'!K125),"",'By Round'!K125)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1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1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1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1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1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5">
        <f>'By Round'!A123</f>
        <v/>
      </c>
      <c r="C56" s="15">
        <f>'By Round'!B127</f>
        <v/>
      </c>
      <c r="D56" s="15">
        <f>'By Round'!C127</f>
        <v/>
      </c>
      <c r="E56" s="15">
        <f>'By Round'!D127</f>
        <v/>
      </c>
      <c r="F56" s="16" t="inlineStr">
        <is>
          <t>EW</t>
        </is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1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1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1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1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1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5">
        <f>'By Round'!A123</f>
        <v/>
      </c>
      <c r="C62" s="15">
        <f>'By Round'!B127</f>
        <v/>
      </c>
      <c r="D62" s="15">
        <f>'By Round'!C127</f>
        <v/>
      </c>
      <c r="E62" s="15">
        <f>'By Round'!D127</f>
        <v/>
      </c>
      <c r="F62" s="16" t="inlineStr">
        <is>
          <t>Both</t>
        </is>
      </c>
      <c r="G62" s="15">
        <f>IF(ISBLANK('By Round'!G127),"",'By Round'!G127)</f>
        <v/>
      </c>
      <c r="H62" s="15">
        <f>IF(ISBLANK('By Round'!H127),"",'By Round'!H127)</f>
        <v/>
      </c>
      <c r="I62" s="15">
        <f>IF(ISBLANK('By Round'!I127),"",'By Round'!I127)</f>
        <v/>
      </c>
      <c r="J62" s="15">
        <f>IF(ISBLANK('By Round'!J127),"",'By Round'!J127)</f>
        <v/>
      </c>
      <c r="K62" s="15">
        <f>IF(ISBLANK('By Round'!K127),"",'By Round'!K127)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1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1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1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1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5">
        <f>'By Round'!A111</f>
        <v/>
      </c>
      <c r="C68" s="15">
        <f>'By Round'!B117</f>
        <v/>
      </c>
      <c r="D68" s="15">
        <f>'By Round'!C117</f>
        <v/>
      </c>
      <c r="E68" s="15">
        <f>'By Round'!D117</f>
        <v/>
      </c>
      <c r="F68" s="16" t="inlineStr">
        <is>
          <t>None</t>
        </is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1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1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1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1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1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5">
        <f>'By Round'!A111</f>
        <v/>
      </c>
      <c r="C74" s="15">
        <f>'By Round'!B117</f>
        <v/>
      </c>
      <c r="D74" s="15">
        <f>'By Round'!C117</f>
        <v/>
      </c>
      <c r="E74" s="15">
        <f>'By Round'!D117</f>
        <v/>
      </c>
      <c r="F74" s="16" t="inlineStr">
        <is>
          <t>NS</t>
        </is>
      </c>
      <c r="G74" s="15">
        <f>IF(ISBLANK('By Round'!G117),"",'By Round'!G117)</f>
        <v/>
      </c>
      <c r="H74" s="15">
        <f>IF(ISBLANK('By Round'!H117),"",'By Round'!H117)</f>
        <v/>
      </c>
      <c r="I74" s="15">
        <f>IF(ISBLANK('By Round'!I117),"",'By Round'!I117)</f>
        <v/>
      </c>
      <c r="J74" s="15">
        <f>IF(ISBLANK('By Round'!J117),"",'By Round'!J117)</f>
        <v/>
      </c>
      <c r="K74" s="15">
        <f>IF(ISBLANK('By Round'!K117),"",'By Round'!K117)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1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1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1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1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1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5">
        <f>'By Round'!A123</f>
        <v/>
      </c>
      <c r="C80" s="15">
        <f>'By Round'!B129</f>
        <v/>
      </c>
      <c r="D80" s="15">
        <f>'By Round'!C129</f>
        <v/>
      </c>
      <c r="E80" s="15">
        <f>'By Round'!D129</f>
        <v/>
      </c>
      <c r="F80" s="16" t="inlineStr">
        <is>
          <t>Both</t>
        </is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1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1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1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1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1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5">
        <f>'By Round'!A123</f>
        <v/>
      </c>
      <c r="C86" s="15">
        <f>'By Round'!B129</f>
        <v/>
      </c>
      <c r="D86" s="15">
        <f>'By Round'!C129</f>
        <v/>
      </c>
      <c r="E86" s="15">
        <f>'By Round'!D129</f>
        <v/>
      </c>
      <c r="F86" s="16" t="inlineStr">
        <is>
          <t>None</t>
        </is>
      </c>
      <c r="G86" s="15">
        <f>IF(ISBLANK('By Round'!G129),"",'By Round'!G129)</f>
        <v/>
      </c>
      <c r="H86" s="15">
        <f>IF(ISBLANK('By Round'!H129),"",'By Round'!H129)</f>
        <v/>
      </c>
      <c r="I86" s="15">
        <f>IF(ISBLANK('By Round'!I129),"",'By Round'!I129)</f>
        <v/>
      </c>
      <c r="J86" s="15">
        <f>IF(ISBLANK('By Round'!J129),"",'By Round'!J129)</f>
        <v/>
      </c>
      <c r="K86" s="15">
        <f>IF(ISBLANK('By Round'!K129),"",'By Round'!K129)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1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1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1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1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5">
        <f>'By Round'!A123</f>
        <v/>
      </c>
      <c r="C92" s="15">
        <f>'By Round'!B131</f>
        <v/>
      </c>
      <c r="D92" s="15">
        <f>'By Round'!C131</f>
        <v/>
      </c>
      <c r="E92" s="15">
        <f>'By Round'!D131</f>
        <v/>
      </c>
      <c r="F92" s="16" t="inlineStr">
        <is>
          <t>NS</t>
        </is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1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1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1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1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1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5">
        <f>'By Round'!A123</f>
        <v/>
      </c>
      <c r="C98" s="15">
        <f>'By Round'!B131</f>
        <v/>
      </c>
      <c r="D98" s="15">
        <f>'By Round'!C131</f>
        <v/>
      </c>
      <c r="E98" s="15">
        <f>'By Round'!D131</f>
        <v/>
      </c>
      <c r="F98" s="16" t="inlineStr">
        <is>
          <t>EW</t>
        </is>
      </c>
      <c r="G98" s="15">
        <f>IF(ISBLANK('By Round'!G131),"",'By Round'!G131)</f>
        <v/>
      </c>
      <c r="H98" s="15">
        <f>IF(ISBLANK('By Round'!H131),"",'By Round'!H131)</f>
        <v/>
      </c>
      <c r="I98" s="15">
        <f>IF(ISBLANK('By Round'!I131),"",'By Round'!I131)</f>
        <v/>
      </c>
      <c r="J98" s="15">
        <f>IF(ISBLANK('By Round'!J131),"",'By Round'!J131)</f>
        <v/>
      </c>
      <c r="K98" s="15">
        <f>IF(ISBLANK('By Round'!K131),"",'By Round'!K131)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1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1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1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1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1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5">
        <f>'By Round'!A123</f>
        <v/>
      </c>
      <c r="C104" s="15">
        <f>'By Round'!B133</f>
        <v/>
      </c>
      <c r="D104" s="15">
        <f>'By Round'!C133</f>
        <v/>
      </c>
      <c r="E104" s="15">
        <f>'By Round'!D133</f>
        <v/>
      </c>
      <c r="F104" s="16" t="inlineStr">
        <is>
          <t>None</t>
        </is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1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1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1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1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1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5">
        <f>'By Round'!A123</f>
        <v/>
      </c>
      <c r="C110" s="15">
        <f>'By Round'!B133</f>
        <v/>
      </c>
      <c r="D110" s="15">
        <f>'By Round'!C133</f>
        <v/>
      </c>
      <c r="E110" s="15">
        <f>'By Round'!D133</f>
        <v/>
      </c>
      <c r="F110" s="16" t="inlineStr">
        <is>
          <t>NS</t>
        </is>
      </c>
      <c r="G110" s="15">
        <f>IF(ISBLANK('By Round'!G133),"",'By Round'!G133)</f>
        <v/>
      </c>
      <c r="H110" s="15">
        <f>IF(ISBLANK('By Round'!H133),"",'By Round'!H133)</f>
        <v/>
      </c>
      <c r="I110" s="15">
        <f>IF(ISBLANK('By Round'!I133),"",'By Round'!I133)</f>
        <v/>
      </c>
      <c r="J110" s="15">
        <f>IF(ISBLANK('By Round'!J133),"",'By Round'!J133)</f>
        <v/>
      </c>
      <c r="K110" s="15">
        <f>IF(ISBLANK('By Round'!K133),"",'By Round'!K133)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1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1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1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1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5">
        <f>'By Round'!A111</f>
        <v/>
      </c>
      <c r="C116" s="15">
        <f>'By Round'!B111</f>
        <v/>
      </c>
      <c r="D116" s="15">
        <f>'By Round'!C111</f>
        <v/>
      </c>
      <c r="E116" s="15">
        <f>'By Round'!D111</f>
        <v/>
      </c>
      <c r="F116" s="16" t="inlineStr">
        <is>
          <t>EW</t>
        </is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1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1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1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1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1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5">
        <f>'By Round'!A111</f>
        <v/>
      </c>
      <c r="C122" s="15">
        <f>'By Round'!B111</f>
        <v/>
      </c>
      <c r="D122" s="15">
        <f>'By Round'!C111</f>
        <v/>
      </c>
      <c r="E122" s="15">
        <f>'By Round'!D111</f>
        <v/>
      </c>
      <c r="F122" s="16" t="inlineStr">
        <is>
          <t>Both</t>
        </is>
      </c>
      <c r="G122" s="15">
        <f>IF(ISBLANK('By Round'!G111),"",'By Round'!G111)</f>
        <v/>
      </c>
      <c r="H122" s="15">
        <f>IF(ISBLANK('By Round'!H111),"",'By Round'!H111)</f>
        <v/>
      </c>
      <c r="I122" s="15">
        <f>IF(ISBLANK('By Round'!I111),"",'By Round'!I111)</f>
        <v/>
      </c>
      <c r="J122" s="15">
        <f>IF(ISBLANK('By Round'!J111),"",'By Round'!J111)</f>
        <v/>
      </c>
      <c r="K122" s="15">
        <f>IF(ISBLANK('By Round'!K111),"",'By Round'!K111)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1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1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1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1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1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5">
        <f>'By Round'!A123</f>
        <v/>
      </c>
      <c r="C128" s="15">
        <f>'By Round'!B123</f>
        <v/>
      </c>
      <c r="D128" s="15">
        <f>'By Round'!C123</f>
        <v/>
      </c>
      <c r="E128" s="15">
        <f>'By Round'!D123</f>
        <v/>
      </c>
      <c r="F128" s="16" t="inlineStr">
        <is>
          <t>NS</t>
        </is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1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1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1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1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1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5">
        <f>'By Round'!A123</f>
        <v/>
      </c>
      <c r="C134" s="15">
        <f>'By Round'!B123</f>
        <v/>
      </c>
      <c r="D134" s="15">
        <f>'By Round'!C123</f>
        <v/>
      </c>
      <c r="E134" s="15">
        <f>'By Round'!D123</f>
        <v/>
      </c>
      <c r="F134" s="16" t="inlineStr">
        <is>
          <t>EW</t>
        </is>
      </c>
      <c r="G134" s="15">
        <f>IF(ISBLANK('By Round'!G123),"",'By Round'!G123)</f>
        <v/>
      </c>
      <c r="H134" s="15">
        <f>IF(ISBLANK('By Round'!H123),"",'By Round'!H123)</f>
        <v/>
      </c>
      <c r="I134" s="15">
        <f>IF(ISBLANK('By Round'!I123),"",'By Round'!I123)</f>
        <v/>
      </c>
      <c r="J134" s="15">
        <f>IF(ISBLANK('By Round'!J123),"",'By Round'!J123)</f>
        <v/>
      </c>
      <c r="K134" s="15">
        <f>IF(ISBLANK('By Round'!K123),"",'By Round'!K123)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n">
        <v>0</v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n">
        <v>0</v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n">
        <v>0</v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n">
        <v>0</v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n">
        <v>0</v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n">
        <v>0</v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n">
        <v>0</v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n">
        <v>0</v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n">
        <v>0</v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n">
        <v>0</v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2026-02-05T03:49:27Z</dcterms:created>
  <dcterms:modified xsi:type="dcterms:W3CDTF">2026-02-05T03:49:27Z</dcterms:modified>
</cp:coreProperties>
</file>