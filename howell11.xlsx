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06,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11</v>
      </c>
    </row>
    <row r="4">
      <c r="A4" s="3" t="inlineStr">
        <is>
          <t>Tables</t>
        </is>
      </c>
      <c r="C4" s="3" t="n">
        <v>6</v>
      </c>
    </row>
    <row r="5">
      <c r="A5" s="3" t="inlineStr">
        <is>
          <t>Rounds</t>
        </is>
      </c>
      <c r="C5" s="3" t="n">
        <v>11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52</t>
        </is>
      </c>
      <c r="C10" t="inlineStr">
        <is>
          <t>Name 53</t>
        </is>
      </c>
      <c r="D10" s="4">
        <f>SUMIF('By Board'!$D$3:$D$122,"=1",'By Board'!$N$3:$N$122)/20+SUMIF('By Board'!$E$3:$E$122,"=1",'By Board'!$O$3:$O$122)/20</f>
        <v/>
      </c>
      <c r="E10" s="5">
        <f>SUMIF('By Board'!$D$3:$D$122,"=1",'By Board'!$L$3:$L$122)+SUMIF('By Board'!$E$3:$E$122,"=1",'By Board'!$M$3:$M$122)</f>
        <v/>
      </c>
    </row>
    <row r="11">
      <c r="A11" s="2" t="n">
        <v>2</v>
      </c>
      <c r="B11" t="inlineStr">
        <is>
          <t>Name 14</t>
        </is>
      </c>
      <c r="C11" t="inlineStr">
        <is>
          <t>Name 57</t>
        </is>
      </c>
      <c r="D11" s="4">
        <f>SUMIF('By Board'!$D$3:$D$122,"=2",'By Board'!$N$3:$N$122)/20+SUMIF('By Board'!$E$3:$E$122,"=2",'By Board'!$O$3:$O$122)/20</f>
        <v/>
      </c>
      <c r="E11" s="5">
        <f>SUMIF('By Board'!$D$3:$D$122,"=2",'By Board'!$L$3:$L$122)+SUMIF('By Board'!$E$3:$E$122,"=2",'By Board'!$M$3:$M$122)</f>
        <v/>
      </c>
    </row>
    <row r="12">
      <c r="A12" s="2" t="n">
        <v>3</v>
      </c>
      <c r="B12" t="inlineStr">
        <is>
          <t>Name 46</t>
        </is>
      </c>
      <c r="C12" t="inlineStr">
        <is>
          <t>Name 40</t>
        </is>
      </c>
      <c r="D12" s="4">
        <f>SUMIF('By Board'!$D$3:$D$122,"=3",'By Board'!$N$3:$N$122)/20+SUMIF('By Board'!$E$3:$E$122,"=3",'By Board'!$O$3:$O$122)/20</f>
        <v/>
      </c>
      <c r="E12" s="5">
        <f>SUMIF('By Board'!$D$3:$D$122,"=3",'By Board'!$L$3:$L$122)+SUMIF('By Board'!$E$3:$E$122,"=3",'By Board'!$M$3:$M$122)</f>
        <v/>
      </c>
    </row>
    <row r="13">
      <c r="A13" s="2" t="n">
        <v>4</v>
      </c>
      <c r="B13" t="inlineStr">
        <is>
          <t>Name 33</t>
        </is>
      </c>
      <c r="C13" t="inlineStr">
        <is>
          <t>Name 77</t>
        </is>
      </c>
      <c r="D13" s="4">
        <f>SUMIF('By Board'!$D$3:$D$122,"=4",'By Board'!$N$3:$N$122)/20+SUMIF('By Board'!$E$3:$E$122,"=4",'By Board'!$O$3:$O$122)/20</f>
        <v/>
      </c>
      <c r="E13" s="5">
        <f>SUMIF('By Board'!$D$3:$D$122,"=4",'By Board'!$L$3:$L$122)+SUMIF('By Board'!$E$3:$E$122,"=4",'By Board'!$M$3:$M$122)</f>
        <v/>
      </c>
    </row>
    <row r="14">
      <c r="A14" s="2" t="n">
        <v>5</v>
      </c>
      <c r="B14" t="inlineStr">
        <is>
          <t>Name 66</t>
        </is>
      </c>
      <c r="C14" t="inlineStr">
        <is>
          <t>Name 70</t>
        </is>
      </c>
      <c r="D14" s="4">
        <f>SUMIF('By Board'!$D$3:$D$122,"=5",'By Board'!$N$3:$N$122)/20+SUMIF('By Board'!$E$3:$E$122,"=5",'By Board'!$O$3:$O$122)/20</f>
        <v/>
      </c>
      <c r="E14" s="5">
        <f>SUMIF('By Board'!$D$3:$D$122,"=5",'By Board'!$L$3:$L$122)+SUMIF('By Board'!$E$3:$E$122,"=5",'By Board'!$M$3:$M$122)</f>
        <v/>
      </c>
    </row>
    <row r="15">
      <c r="A15" s="2" t="n">
        <v>6</v>
      </c>
      <c r="B15" t="inlineStr">
        <is>
          <t>Name 80</t>
        </is>
      </c>
      <c r="C15" t="inlineStr">
        <is>
          <t>Name 27</t>
        </is>
      </c>
      <c r="D15" s="4">
        <f>SUMIF('By Board'!$D$3:$D$122,"=6",'By Board'!$N$3:$N$122)/20+SUMIF('By Board'!$E$3:$E$122,"=6",'By Board'!$O$3:$O$122)/20</f>
        <v/>
      </c>
      <c r="E15" s="5">
        <f>SUMIF('By Board'!$D$3:$D$122,"=6",'By Board'!$L$3:$L$122)+SUMIF('By Board'!$E$3:$E$122,"=6",'By Board'!$M$3:$M$122)</f>
        <v/>
      </c>
    </row>
    <row r="16">
      <c r="A16" s="2" t="n">
        <v>7</v>
      </c>
      <c r="B16" t="inlineStr">
        <is>
          <t>Name 11</t>
        </is>
      </c>
      <c r="C16" t="inlineStr">
        <is>
          <t>Name 33</t>
        </is>
      </c>
      <c r="D16" s="4">
        <f>SUMIF('By Board'!$D$3:$D$122,"=7",'By Board'!$N$3:$N$122)/20+SUMIF('By Board'!$E$3:$E$122,"=7",'By Board'!$O$3:$O$122)/20</f>
        <v/>
      </c>
      <c r="E16" s="5">
        <f>SUMIF('By Board'!$D$3:$D$122,"=7",'By Board'!$L$3:$L$122)+SUMIF('By Board'!$E$3:$E$122,"=7",'By Board'!$M$3:$M$122)</f>
        <v/>
      </c>
    </row>
    <row r="17">
      <c r="A17" s="2" t="n">
        <v>8</v>
      </c>
      <c r="B17" t="inlineStr">
        <is>
          <t>Name 89</t>
        </is>
      </c>
      <c r="C17" t="inlineStr">
        <is>
          <t>Name 50</t>
        </is>
      </c>
      <c r="D17" s="4">
        <f>SUMIF('By Board'!$D$3:$D$122,"=8",'By Board'!$N$3:$N$122)/20+SUMIF('By Board'!$E$3:$E$122,"=8",'By Board'!$O$3:$O$122)/20</f>
        <v/>
      </c>
      <c r="E17" s="5">
        <f>SUMIF('By Board'!$D$3:$D$122,"=8",'By Board'!$L$3:$L$122)+SUMIF('By Board'!$E$3:$E$122,"=8",'By Board'!$M$3:$M$122)</f>
        <v/>
      </c>
    </row>
    <row r="18">
      <c r="A18" s="2" t="n">
        <v>9</v>
      </c>
      <c r="B18" t="inlineStr">
        <is>
          <t>Name 31</t>
        </is>
      </c>
      <c r="C18" t="inlineStr">
        <is>
          <t>Name 62</t>
        </is>
      </c>
      <c r="D18" s="4">
        <f>SUMIF('By Board'!$D$3:$D$122,"=9",'By Board'!$N$3:$N$122)/20+SUMIF('By Board'!$E$3:$E$122,"=9",'By Board'!$O$3:$O$122)/20</f>
        <v/>
      </c>
      <c r="E18" s="5">
        <f>SUMIF('By Board'!$D$3:$D$122,"=9",'By Board'!$L$3:$L$122)+SUMIF('By Board'!$E$3:$E$122,"=9",'By Board'!$M$3:$M$122)</f>
        <v/>
      </c>
    </row>
    <row r="19">
      <c r="A19" s="2" t="n">
        <v>10</v>
      </c>
      <c r="B19" t="inlineStr">
        <is>
          <t>Name 41</t>
        </is>
      </c>
      <c r="C19" t="inlineStr">
        <is>
          <t>Name 48</t>
        </is>
      </c>
      <c r="D19" s="4">
        <f>SUMIF('By Board'!$D$3:$D$122,"=10",'By Board'!$N$3:$N$122)/20+SUMIF('By Board'!$E$3:$E$122,"=10",'By Board'!$O$3:$O$122)/20</f>
        <v/>
      </c>
      <c r="E19" s="5">
        <f>SUMIF('By Board'!$D$3:$D$122,"=10",'By Board'!$L$3:$L$122)+SUMIF('By Board'!$E$3:$E$122,"=10",'By Board'!$M$3:$M$122)</f>
        <v/>
      </c>
    </row>
    <row r="20">
      <c r="A20" s="2" t="n">
        <v>11</v>
      </c>
      <c r="B20" t="inlineStr">
        <is>
          <t>Name 80</t>
        </is>
      </c>
      <c r="C20" t="inlineStr">
        <is>
          <t>Name 83</t>
        </is>
      </c>
      <c r="D20" s="4">
        <f>SUMIF('By Board'!$D$3:$D$122,"=11",'By Board'!$N$3:$N$122)/20+SUMIF('By Board'!$E$3:$E$122,"=11",'By Board'!$O$3:$O$122)/20</f>
        <v/>
      </c>
      <c r="E20" s="5">
        <f>SUMIF('By Board'!$D$3:$D$122,"=11",'By Board'!$L$3:$L$122)+SUMIF('By Board'!$E$3:$E$122,"=11",'By Board'!$M$3:$M$122)</f>
        <v/>
      </c>
    </row>
    <row r="21">
      <c r="D21" s="6">
        <f>AVERAGE(D10:D20)</f>
        <v/>
      </c>
      <c r="E21" s="7">
        <f>SUM(E10:E20)</f>
        <v/>
      </c>
    </row>
    <row r="23">
      <c r="A23" t="inlineStr">
        <is>
          <t>To sort, remove single quote below</t>
        </is>
      </c>
    </row>
    <row r="24">
      <c r="A24" s="2" t="inlineStr">
        <is>
          <t>IMP Ranking</t>
        </is>
      </c>
    </row>
    <row r="25">
      <c r="A25" t="inlineStr">
        <is>
          <t>'=SORT(A10:E20,4,-1)</t>
        </is>
      </c>
      <c r="D25" s="5" t="n"/>
      <c r="E25" s="8" t="n"/>
    </row>
    <row r="26"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40">
      <c r="A40" s="2" t="inlineStr">
        <is>
          <t>MP Ranking</t>
        </is>
      </c>
    </row>
    <row r="41">
      <c r="A41" t="inlineStr">
        <is>
          <t>'=SORT(A10:E20,5,-1)</t>
        </is>
      </c>
      <c r="D41" s="5" t="n"/>
      <c r="E41" s="8" t="n"/>
    </row>
    <row r="42">
      <c r="D42" s="5" t="n"/>
      <c r="E42" s="8" t="n"/>
    </row>
    <row r="43">
      <c r="D43" s="5" t="n"/>
      <c r="E43" s="8" t="n"/>
    </row>
    <row r="44">
      <c r="D44" s="5" t="n"/>
      <c r="E44" s="8" t="n"/>
    </row>
    <row r="45">
      <c r="D45" s="5" t="n"/>
      <c r="E45" s="8" t="n"/>
    </row>
    <row r="46">
      <c r="D46" s="5" t="n"/>
      <c r="E46" s="8" t="n"/>
    </row>
    <row r="47">
      <c r="D47" s="5" t="n"/>
      <c r="E47" s="8" t="n"/>
    </row>
    <row r="48">
      <c r="D48" s="5" t="n"/>
      <c r="E48" s="8" t="n"/>
    </row>
    <row r="49">
      <c r="D49" s="5" t="n"/>
      <c r="E49" s="8" t="n"/>
    </row>
    <row r="50">
      <c r="D50" s="5" t="n"/>
      <c r="E50" s="8" t="n"/>
    </row>
    <row r="51">
      <c r="D51" s="5" t="n"/>
      <c r="E51" s="8" t="n"/>
    </row>
  </sheetData>
  <mergeCells count="9">
    <mergeCell ref="A4:B4"/>
    <mergeCell ref="A7:B7"/>
    <mergeCell ref="A2:E2"/>
    <mergeCell ref="A24:E24"/>
    <mergeCell ref="A5:B5"/>
    <mergeCell ref="A40:E40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D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Y2" s="2" t="inlineStr">
        <is>
          <t>EW MP Scores</t>
        </is>
      </c>
      <c r="AD2" s="10" t="inlineStr">
        <is>
          <t>NS IMP Pair-wise</t>
        </is>
      </c>
      <c r="AI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SUM(AD3:AH3)</f>
        <v/>
      </c>
      <c r="M3" s="13">
        <f>SUM(AI3:AM3)</f>
        <v/>
      </c>
      <c r="N3" s="8">
        <f>IF(COUNT(T3:X3)&gt;0,P3/COUNT(T3:X3),0.5)</f>
        <v/>
      </c>
      <c r="O3" s="8">
        <f>IF(COUNT(Y3:AC3)&gt;0,Q3/COUNT(Y3:AC3),0.5)</f>
        <v/>
      </c>
      <c r="P3" s="5">
        <f>SUM(T3:X3)</f>
        <v/>
      </c>
      <c r="Q3" s="5">
        <f>SUM(Y3:AC3)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IF(ISNUMBER(S3),IF(ISNUMBER(S4),IF(S3&gt;S4,1.0,IF(S3=S4,0.5,0.0)),""),"")</f>
        <v/>
      </c>
      <c r="Z3">
        <f>IF(ISNUMBER(S3),IF(ISNUMBER(S5),IF(S3&gt;S5,1.0,IF(S3=S5,0.5,0.0)),""),"")</f>
        <v/>
      </c>
      <c r="AA3">
        <f>IF(ISNUMBER(S3),IF(ISNUMBER(S6),IF(S3&gt;S6,1.0,IF(S3=S6,0.5,0.0)),""),"")</f>
        <v/>
      </c>
      <c r="AB3">
        <f>IF(ISNUMBER(S3),IF(ISNUMBER(S7),IF(S3&gt;S7,1.0,IF(S3=S7,0.5,0.0)),""),"")</f>
        <v/>
      </c>
      <c r="AC3">
        <f>IF(ISNUMBER(S3),IF(ISNUMBER(S8),IF(S3&gt;S8,1.0,IF(S3=S8,0.5,0.0)),""),"")</f>
        <v/>
      </c>
      <c r="AD3" s="14">
        <f>IF(AND(ISNUMBER(R3),ISNUMBER(R4)),VLOOKUP(ABS(R3-R4),'IMP Table'!$A$2:$C$26,3)*SIGN(R3-R4),0)</f>
        <v/>
      </c>
      <c r="AE3">
        <f>IF(AND(ISNUMBER(R3),ISNUMBER(R5)),VLOOKUP(ABS(R3-R5),'IMP Table'!$A$2:$C$26,3)*SIGN(R3-R5),0)</f>
        <v/>
      </c>
      <c r="AF3">
        <f>IF(AND(ISNUMBER(R3),ISNUMBER(R6)),VLOOKUP(ABS(R3-R6),'IMP Table'!$A$2:$C$26,3)*SIGN(R3-R6),0)</f>
        <v/>
      </c>
      <c r="AG3">
        <f>IF(AND(ISNUMBER(R3),ISNUMBER(R7)),VLOOKUP(ABS(R3-R7),'IMP Table'!$A$2:$C$26,3)*SIGN(R3-R7),0)</f>
        <v/>
      </c>
      <c r="AH3">
        <f>IF(AND(ISNUMBER(R3),ISNUMBER(R8)),VLOOKUP(ABS(R3-R8),'IMP Table'!$A$2:$C$26,3)*SIGN(R3-R8),0)</f>
        <v/>
      </c>
      <c r="AI3">
        <f>IF(AND(ISNUMBER(S3),ISNUMBER(S4)),VLOOKUP(ABS(S3-S4),'IMP Table'!$A$2:$C$26,3)*SIGN(S3-S4),0)</f>
        <v/>
      </c>
      <c r="AJ3">
        <f>IF(AND(ISNUMBER(S3),ISNUMBER(S5)),VLOOKUP(ABS(S3-S5),'IMP Table'!$A$2:$C$26,3)*SIGN(S3-S5),0)</f>
        <v/>
      </c>
      <c r="AK3">
        <f>IF(AND(ISNUMBER(S3),ISNUMBER(S6)),VLOOKUP(ABS(S3-S6),'IMP Table'!$A$2:$C$26,3)*SIGN(S3-S6),0)</f>
        <v/>
      </c>
      <c r="AL3">
        <f>IF(AND(ISNUMBER(S3),ISNUMBER(S7)),VLOOKUP(ABS(S3-S7),'IMP Table'!$A$2:$C$26,3)*SIGN(S3-S7),0)</f>
        <v/>
      </c>
      <c r="AM3">
        <f>IF(AND(ISNUMBER(S3),ISNUMBER(S8)),VLOOKUP(ABS(S3-S8),'IMP Table'!$A$2:$C$26,3)*SIGN(S3-S8),0)</f>
        <v/>
      </c>
    </row>
    <row r="4">
      <c r="B4">
        <f>'By Round'!A27</f>
        <v/>
      </c>
      <c r="C4">
        <f>'By Round'!B37</f>
        <v/>
      </c>
      <c r="D4">
        <f>'By Round'!C37</f>
        <v/>
      </c>
      <c r="E4">
        <f>'By Round'!D37</f>
        <v/>
      </c>
      <c r="F4" s="11" t="inlineStr">
        <is>
          <t>None</t>
        </is>
      </c>
      <c r="G4">
        <f>IF(ISBLANK('By Round'!G37),"",'By Round'!G37)</f>
        <v/>
      </c>
      <c r="H4">
        <f>IF(ISBLANK('By Round'!H37),"",'By Round'!H37)</f>
        <v/>
      </c>
      <c r="I4">
        <f>IF(ISBLANK('By Round'!I37),"",'By Round'!I37)</f>
        <v/>
      </c>
      <c r="J4">
        <f>IF(ISBLANK('By Round'!J37),"",'By Round'!J37)</f>
        <v/>
      </c>
      <c r="K4">
        <f>IF(ISBLANK('By Round'!K37),"",'By Round'!K37)</f>
        <v/>
      </c>
      <c r="L4" s="12">
        <f>SUM(AD4:AH4)</f>
        <v/>
      </c>
      <c r="M4" s="13">
        <f>SUM(AI4:AM4)</f>
        <v/>
      </c>
      <c r="N4" s="8">
        <f>IF(COUNT(T4:X4)&gt;0,P4/COUNT(T4:X4),0.5)</f>
        <v/>
      </c>
      <c r="O4" s="8">
        <f>IF(COUNT(Y4:AC4)&gt;0,Q4/COUNT(Y4:AC4),0.5)</f>
        <v/>
      </c>
      <c r="P4" s="5">
        <f>SUM(T4:X4)</f>
        <v/>
      </c>
      <c r="Q4" s="5">
        <f>SUM(Y4:AC4)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IF(ISNUMBER(S4),IF(ISNUMBER(S3),IF(S4&gt;S3,1.0,IF(S4=S3,0.5,0.0)),""),"")</f>
        <v/>
      </c>
      <c r="Z4">
        <f>IF(ISNUMBER(S4),IF(ISNUMBER(S5),IF(S4&gt;S5,1.0,IF(S4=S5,0.5,0.0)),""),"")</f>
        <v/>
      </c>
      <c r="AA4">
        <f>IF(ISNUMBER(S4),IF(ISNUMBER(S6),IF(S4&gt;S6,1.0,IF(S4=S6,0.5,0.0)),""),"")</f>
        <v/>
      </c>
      <c r="AB4">
        <f>IF(ISNUMBER(S4),IF(ISNUMBER(S7),IF(S4&gt;S7,1.0,IF(S4=S7,0.5,0.0)),""),"")</f>
        <v/>
      </c>
      <c r="AC4">
        <f>IF(ISNUMBER(S4),IF(ISNUMBER(S8),IF(S4&gt;S8,1.0,IF(S4=S8,0.5,0.0)),""),"")</f>
        <v/>
      </c>
      <c r="AD4" s="14">
        <f>IF(AND(ISNUMBER(R4),ISNUMBER(R3)),VLOOKUP(ABS(R4-R3),'IMP Table'!$A$2:$C$26,3)*SIGN(R4-R3),0)</f>
        <v/>
      </c>
      <c r="AE4">
        <f>IF(AND(ISNUMBER(R4),ISNUMBER(R5)),VLOOKUP(ABS(R4-R5),'IMP Table'!$A$2:$C$26,3)*SIGN(R4-R5),0)</f>
        <v/>
      </c>
      <c r="AF4">
        <f>IF(AND(ISNUMBER(R4),ISNUMBER(R6)),VLOOKUP(ABS(R4-R6),'IMP Table'!$A$2:$C$26,3)*SIGN(R4-R6),0)</f>
        <v/>
      </c>
      <c r="AG4">
        <f>IF(AND(ISNUMBER(R4),ISNUMBER(R7)),VLOOKUP(ABS(R4-R7),'IMP Table'!$A$2:$C$26,3)*SIGN(R4-R7),0)</f>
        <v/>
      </c>
      <c r="AH4">
        <f>IF(AND(ISNUMBER(R4),ISNUMBER(R8)),VLOOKUP(ABS(R4-R8),'IMP Table'!$A$2:$C$26,3)*SIGN(R4-R8),0)</f>
        <v/>
      </c>
      <c r="AI4">
        <f>IF(AND(ISNUMBER(S4),ISNUMBER(S3)),VLOOKUP(ABS(S4-S3),'IMP Table'!$A$2:$C$26,3)*SIGN(S4-S3),0)</f>
        <v/>
      </c>
      <c r="AJ4">
        <f>IF(AND(ISNUMBER(S4),ISNUMBER(S5)),VLOOKUP(ABS(S4-S5),'IMP Table'!$A$2:$C$26,3)*SIGN(S4-S5),0)</f>
        <v/>
      </c>
      <c r="AK4">
        <f>IF(AND(ISNUMBER(S4),ISNUMBER(S6)),VLOOKUP(ABS(S4-S6),'IMP Table'!$A$2:$C$26,3)*SIGN(S4-S6),0)</f>
        <v/>
      </c>
      <c r="AL4">
        <f>IF(AND(ISNUMBER(S4),ISNUMBER(S7)),VLOOKUP(ABS(S4-S7),'IMP Table'!$A$2:$C$26,3)*SIGN(S4-S7),0)</f>
        <v/>
      </c>
      <c r="AM4">
        <f>IF(AND(ISNUMBER(S4),ISNUMBER(S8)),VLOOKUP(ABS(S4-S8),'IMP Table'!$A$2:$C$26,3)*SIGN(S4-S8),0)</f>
        <v/>
      </c>
    </row>
    <row r="5">
      <c r="B5">
        <f>'By Round'!A39</f>
        <v/>
      </c>
      <c r="C5">
        <f>'By Round'!B47</f>
        <v/>
      </c>
      <c r="D5">
        <f>'By Round'!C47</f>
        <v/>
      </c>
      <c r="E5">
        <f>'By Round'!D47</f>
        <v/>
      </c>
      <c r="F5" s="11" t="inlineStr">
        <is>
          <t>None</t>
        </is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2">
        <f>SUM(AD5:AH5)</f>
        <v/>
      </c>
      <c r="M5" s="13">
        <f>SUM(AI5:AM5)</f>
        <v/>
      </c>
      <c r="N5" s="8">
        <f>IF(COUNT(T5:X5)&gt;0,P5/COUNT(T5:X5),0.5)</f>
        <v/>
      </c>
      <c r="O5" s="8">
        <f>IF(COUNT(Y5:AC5)&gt;0,Q5/COUNT(Y5:AC5),0.5)</f>
        <v/>
      </c>
      <c r="P5" s="5">
        <f>SUM(T5:X5)</f>
        <v/>
      </c>
      <c r="Q5" s="5">
        <f>SUM(Y5:AC5)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IF(ISNUMBER(S5),IF(ISNUMBER(S3),IF(S5&gt;S3,1.0,IF(S5=S3,0.5,0.0)),""),"")</f>
        <v/>
      </c>
      <c r="Z5">
        <f>IF(ISNUMBER(S5),IF(ISNUMBER(S4),IF(S5&gt;S4,1.0,IF(S5=S4,0.5,0.0)),""),"")</f>
        <v/>
      </c>
      <c r="AA5">
        <f>IF(ISNUMBER(S5),IF(ISNUMBER(S6),IF(S5&gt;S6,1.0,IF(S5=S6,0.5,0.0)),""),"")</f>
        <v/>
      </c>
      <c r="AB5">
        <f>IF(ISNUMBER(S5),IF(ISNUMBER(S7),IF(S5&gt;S7,1.0,IF(S5=S7,0.5,0.0)),""),"")</f>
        <v/>
      </c>
      <c r="AC5">
        <f>IF(ISNUMBER(S5),IF(ISNUMBER(S8),IF(S5&gt;S8,1.0,IF(S5=S8,0.5,0.0)),""),"")</f>
        <v/>
      </c>
      <c r="AD5" s="14">
        <f>IF(AND(ISNUMBER(R5),ISNUMBER(R3)),VLOOKUP(ABS(R5-R3),'IMP Table'!$A$2:$C$26,3)*SIGN(R5-R3),0)</f>
        <v/>
      </c>
      <c r="AE5">
        <f>IF(AND(ISNUMBER(R5),ISNUMBER(R4)),VLOOKUP(ABS(R5-R4),'IMP Table'!$A$2:$C$26,3)*SIGN(R5-R4),0)</f>
        <v/>
      </c>
      <c r="AF5">
        <f>IF(AND(ISNUMBER(R5),ISNUMBER(R6)),VLOOKUP(ABS(R5-R6),'IMP Table'!$A$2:$C$26,3)*SIGN(R5-R6),0)</f>
        <v/>
      </c>
      <c r="AG5">
        <f>IF(AND(ISNUMBER(R5),ISNUMBER(R7)),VLOOKUP(ABS(R5-R7),'IMP Table'!$A$2:$C$26,3)*SIGN(R5-R7),0)</f>
        <v/>
      </c>
      <c r="AH5">
        <f>IF(AND(ISNUMBER(R5),ISNUMBER(R8)),VLOOKUP(ABS(R5-R8),'IMP Table'!$A$2:$C$26,3)*SIGN(R5-R8),0)</f>
        <v/>
      </c>
      <c r="AI5">
        <f>IF(AND(ISNUMBER(S5),ISNUMBER(S3)),VLOOKUP(ABS(S5-S3),'IMP Table'!$A$2:$C$26,3)*SIGN(S5-S3),0)</f>
        <v/>
      </c>
      <c r="AJ5">
        <f>IF(AND(ISNUMBER(S5),ISNUMBER(S4)),VLOOKUP(ABS(S5-S4),'IMP Table'!$A$2:$C$26,3)*SIGN(S5-S4),0)</f>
        <v/>
      </c>
      <c r="AK5">
        <f>IF(AND(ISNUMBER(S5),ISNUMBER(S6)),VLOOKUP(ABS(S5-S6),'IMP Table'!$A$2:$C$26,3)*SIGN(S5-S6),0)</f>
        <v/>
      </c>
      <c r="AL5">
        <f>IF(AND(ISNUMBER(S5),ISNUMBER(S7)),VLOOKUP(ABS(S5-S7),'IMP Table'!$A$2:$C$26,3)*SIGN(S5-S7),0)</f>
        <v/>
      </c>
      <c r="AM5">
        <f>IF(AND(ISNUMBER(S5),ISNUMBER(S8)),VLOOKUP(ABS(S5-S8),'IMP Table'!$A$2:$C$26,3)*SIGN(S5-S8),0)</f>
        <v/>
      </c>
    </row>
    <row r="6">
      <c r="B6">
        <f>'By Round'!A51</f>
        <v/>
      </c>
      <c r="C6">
        <f>'By Round'!B57</f>
        <v/>
      </c>
      <c r="D6">
        <f>'By Round'!C57</f>
        <v/>
      </c>
      <c r="E6">
        <f>'By Round'!D57</f>
        <v/>
      </c>
      <c r="F6" s="11" t="inlineStr">
        <is>
          <t>None</t>
        </is>
      </c>
      <c r="G6">
        <f>IF(ISBLANK('By Round'!G57),"",'By Round'!G57)</f>
        <v/>
      </c>
      <c r="H6">
        <f>IF(ISBLANK('By Round'!H57),"",'By Round'!H57)</f>
        <v/>
      </c>
      <c r="I6">
        <f>IF(ISBLANK('By Round'!I57),"",'By Round'!I57)</f>
        <v/>
      </c>
      <c r="J6">
        <f>IF(ISBLANK('By Round'!J57),"",'By Round'!J57)</f>
        <v/>
      </c>
      <c r="K6">
        <f>IF(ISBLANK('By Round'!K57),"",'By Round'!K57)</f>
        <v/>
      </c>
      <c r="L6" s="12">
        <f>SUM(AD6:AH6)</f>
        <v/>
      </c>
      <c r="M6" s="13">
        <f>SUM(AI6:AM6)</f>
        <v/>
      </c>
      <c r="N6" s="8">
        <f>IF(COUNT(T6:X6)&gt;0,P6/COUNT(T6:X6),0.5)</f>
        <v/>
      </c>
      <c r="O6" s="8">
        <f>IF(COUNT(Y6:AC6)&gt;0,Q6/COUNT(Y6:AC6),0.5)</f>
        <v/>
      </c>
      <c r="P6" s="5">
        <f>SUM(T6:X6)</f>
        <v/>
      </c>
      <c r="Q6" s="5">
        <f>SUM(Y6:AC6)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IF(ISNUMBER(S6),IF(ISNUMBER(S3),IF(S6&gt;S3,1.0,IF(S6=S3,0.5,0.0)),""),"")</f>
        <v/>
      </c>
      <c r="Z6">
        <f>IF(ISNUMBER(S6),IF(ISNUMBER(S4),IF(S6&gt;S4,1.0,IF(S6=S4,0.5,0.0)),""),"")</f>
        <v/>
      </c>
      <c r="AA6">
        <f>IF(ISNUMBER(S6),IF(ISNUMBER(S5),IF(S6&gt;S5,1.0,IF(S6=S5,0.5,0.0)),""),"")</f>
        <v/>
      </c>
      <c r="AB6">
        <f>IF(ISNUMBER(S6),IF(ISNUMBER(S7),IF(S6&gt;S7,1.0,IF(S6=S7,0.5,0.0)),""),"")</f>
        <v/>
      </c>
      <c r="AC6">
        <f>IF(ISNUMBER(S6),IF(ISNUMBER(S8),IF(S6&gt;S8,1.0,IF(S6=S8,0.5,0.0)),""),"")</f>
        <v/>
      </c>
      <c r="AD6" s="14">
        <f>IF(AND(ISNUMBER(R6),ISNUMBER(R3)),VLOOKUP(ABS(R6-R3),'IMP Table'!$A$2:$C$26,3)*SIGN(R6-R3),0)</f>
        <v/>
      </c>
      <c r="AE6">
        <f>IF(AND(ISNUMBER(R6),ISNUMBER(R4)),VLOOKUP(ABS(R6-R4),'IMP Table'!$A$2:$C$26,3)*SIGN(R6-R4),0)</f>
        <v/>
      </c>
      <c r="AF6">
        <f>IF(AND(ISNUMBER(R6),ISNUMBER(R5)),VLOOKUP(ABS(R6-R5),'IMP Table'!$A$2:$C$26,3)*SIGN(R6-R5),0)</f>
        <v/>
      </c>
      <c r="AG6">
        <f>IF(AND(ISNUMBER(R6),ISNUMBER(R7)),VLOOKUP(ABS(R6-R7),'IMP Table'!$A$2:$C$26,3)*SIGN(R6-R7),0)</f>
        <v/>
      </c>
      <c r="AH6">
        <f>IF(AND(ISNUMBER(R6),ISNUMBER(R8)),VLOOKUP(ABS(R6-R8),'IMP Table'!$A$2:$C$26,3)*SIGN(R6-R8),0)</f>
        <v/>
      </c>
      <c r="AI6">
        <f>IF(AND(ISNUMBER(S6),ISNUMBER(S3)),VLOOKUP(ABS(S6-S3),'IMP Table'!$A$2:$C$26,3)*SIGN(S6-S3),0)</f>
        <v/>
      </c>
      <c r="AJ6">
        <f>IF(AND(ISNUMBER(S6),ISNUMBER(S4)),VLOOKUP(ABS(S6-S4),'IMP Table'!$A$2:$C$26,3)*SIGN(S6-S4),0)</f>
        <v/>
      </c>
      <c r="AK6">
        <f>IF(AND(ISNUMBER(S6),ISNUMBER(S5)),VLOOKUP(ABS(S6-S5),'IMP Table'!$A$2:$C$26,3)*SIGN(S6-S5),0)</f>
        <v/>
      </c>
      <c r="AL6">
        <f>IF(AND(ISNUMBER(S6),ISNUMBER(S7)),VLOOKUP(ABS(S6-S7),'IMP Table'!$A$2:$C$26,3)*SIGN(S6-S7),0)</f>
        <v/>
      </c>
      <c r="AM6">
        <f>IF(AND(ISNUMBER(S6),ISNUMBER(S8)),VLOOKUP(ABS(S6-S8),'IMP Table'!$A$2:$C$26,3)*SIGN(S6-S8),0)</f>
        <v/>
      </c>
    </row>
    <row r="7">
      <c r="B7">
        <f>'By Round'!A75</f>
        <v/>
      </c>
      <c r="C7">
        <f>'By Round'!B79</f>
        <v/>
      </c>
      <c r="D7">
        <f>'By Round'!C79</f>
        <v/>
      </c>
      <c r="E7">
        <f>'By Round'!D79</f>
        <v/>
      </c>
      <c r="F7" s="11" t="inlineStr">
        <is>
          <t>None</t>
        </is>
      </c>
      <c r="G7">
        <f>IF(ISBLANK('By Round'!G79),"",'By Round'!G79)</f>
        <v/>
      </c>
      <c r="H7">
        <f>IF(ISBLANK('By Round'!H79),"",'By Round'!H79)</f>
        <v/>
      </c>
      <c r="I7">
        <f>IF(ISBLANK('By Round'!I79),"",'By Round'!I79)</f>
        <v/>
      </c>
      <c r="J7">
        <f>IF(ISBLANK('By Round'!J79),"",'By Round'!J79)</f>
        <v/>
      </c>
      <c r="K7">
        <f>IF(ISBLANK('By Round'!K79),"",'By Round'!K79)</f>
        <v/>
      </c>
      <c r="L7" s="12">
        <f>SUM(AD7:AH7)</f>
        <v/>
      </c>
      <c r="M7" s="13">
        <f>SUM(AI7:AM7)</f>
        <v/>
      </c>
      <c r="N7" s="8">
        <f>IF(COUNT(T7:X7)&gt;0,P7/COUNT(T7:X7),0.5)</f>
        <v/>
      </c>
      <c r="O7" s="8">
        <f>IF(COUNT(Y7:AC7)&gt;0,Q7/COUNT(Y7:AC7),0.5)</f>
        <v/>
      </c>
      <c r="P7" s="5">
        <f>SUM(T7:X7)</f>
        <v/>
      </c>
      <c r="Q7" s="5">
        <f>SUM(Y7:AC7)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IF(ISNUMBER(S7),IF(ISNUMBER(S3),IF(S7&gt;S3,1.0,IF(S7=S3,0.5,0.0)),""),"")</f>
        <v/>
      </c>
      <c r="Z7">
        <f>IF(ISNUMBER(S7),IF(ISNUMBER(S4),IF(S7&gt;S4,1.0,IF(S7=S4,0.5,0.0)),""),"")</f>
        <v/>
      </c>
      <c r="AA7">
        <f>IF(ISNUMBER(S7),IF(ISNUMBER(S5),IF(S7&gt;S5,1.0,IF(S7=S5,0.5,0.0)),""),"")</f>
        <v/>
      </c>
      <c r="AB7">
        <f>IF(ISNUMBER(S7),IF(ISNUMBER(S6),IF(S7&gt;S6,1.0,IF(S7=S6,0.5,0.0)),""),"")</f>
        <v/>
      </c>
      <c r="AC7">
        <f>IF(ISNUMBER(S7),IF(ISNUMBER(S8),IF(S7&gt;S8,1.0,IF(S7=S8,0.5,0.0)),""),"")</f>
        <v/>
      </c>
      <c r="AD7" s="14">
        <f>IF(AND(ISNUMBER(R7),ISNUMBER(R3)),VLOOKUP(ABS(R7-R3),'IMP Table'!$A$2:$C$26,3)*SIGN(R7-R3),0)</f>
        <v/>
      </c>
      <c r="AE7">
        <f>IF(AND(ISNUMBER(R7),ISNUMBER(R4)),VLOOKUP(ABS(R7-R4),'IMP Table'!$A$2:$C$26,3)*SIGN(R7-R4),0)</f>
        <v/>
      </c>
      <c r="AF7">
        <f>IF(AND(ISNUMBER(R7),ISNUMBER(R5)),VLOOKUP(ABS(R7-R5),'IMP Table'!$A$2:$C$26,3)*SIGN(R7-R5),0)</f>
        <v/>
      </c>
      <c r="AG7">
        <f>IF(AND(ISNUMBER(R7),ISNUMBER(R6)),VLOOKUP(ABS(R7-R6),'IMP Table'!$A$2:$C$26,3)*SIGN(R7-R6),0)</f>
        <v/>
      </c>
      <c r="AH7">
        <f>IF(AND(ISNUMBER(R7),ISNUMBER(R8)),VLOOKUP(ABS(R7-R8),'IMP Table'!$A$2:$C$26,3)*SIGN(R7-R8),0)</f>
        <v/>
      </c>
      <c r="AI7">
        <f>IF(AND(ISNUMBER(S7),ISNUMBER(S3)),VLOOKUP(ABS(S7-S3),'IMP Table'!$A$2:$C$26,3)*SIGN(S7-S3),0)</f>
        <v/>
      </c>
      <c r="AJ7">
        <f>IF(AND(ISNUMBER(S7),ISNUMBER(S4)),VLOOKUP(ABS(S7-S4),'IMP Table'!$A$2:$C$26,3)*SIGN(S7-S4),0)</f>
        <v/>
      </c>
      <c r="AK7">
        <f>IF(AND(ISNUMBER(S7),ISNUMBER(S5)),VLOOKUP(ABS(S7-S5),'IMP Table'!$A$2:$C$26,3)*SIGN(S7-S5),0)</f>
        <v/>
      </c>
      <c r="AL7">
        <f>IF(AND(ISNUMBER(S7),ISNUMBER(S6)),VLOOKUP(ABS(S7-S6),'IMP Table'!$A$2:$C$26,3)*SIGN(S7-S6),0)</f>
        <v/>
      </c>
      <c r="AM7">
        <f>IF(AND(ISNUMBER(S7),ISNUMBER(S8)),VLOOKUP(ABS(S7-S8),'IMP Table'!$A$2:$C$26,3)*SIGN(S7-S8),0)</f>
        <v/>
      </c>
    </row>
    <row r="8">
      <c r="A8" s="15" t="n"/>
      <c r="B8" s="15">
        <f>'By Round'!A87</f>
        <v/>
      </c>
      <c r="C8" s="15">
        <f>'By Round'!B89</f>
        <v/>
      </c>
      <c r="D8" s="15">
        <f>'By Round'!C89</f>
        <v/>
      </c>
      <c r="E8" s="15">
        <f>'By Round'!D89</f>
        <v/>
      </c>
      <c r="F8" s="16" t="inlineStr">
        <is>
          <t>None</t>
        </is>
      </c>
      <c r="G8" s="15">
        <f>IF(ISBLANK('By Round'!G89),"",'By Round'!G89)</f>
        <v/>
      </c>
      <c r="H8" s="15">
        <f>IF(ISBLANK('By Round'!H89),"",'By Round'!H89)</f>
        <v/>
      </c>
      <c r="I8" s="15">
        <f>IF(ISBLANK('By Round'!I89),"",'By Round'!I89)</f>
        <v/>
      </c>
      <c r="J8" s="15">
        <f>IF(ISBLANK('By Round'!J89),"",'By Round'!J89)</f>
        <v/>
      </c>
      <c r="K8" s="15">
        <f>IF(ISBLANK('By Round'!K89),"",'By Round'!K89)</f>
        <v/>
      </c>
      <c r="L8" s="17">
        <f>SUM(AD8:AH8)</f>
        <v/>
      </c>
      <c r="M8" s="18">
        <f>SUM(AI8:AM8)</f>
        <v/>
      </c>
      <c r="N8" s="19">
        <f>IF(COUNT(T8:X8)&gt;0,P8/COUNT(T8:X8),0.5)</f>
        <v/>
      </c>
      <c r="O8" s="19">
        <f>IF(COUNT(Y8:AC8)&gt;0,Q8/COUNT(Y8:AC8),0.5)</f>
        <v/>
      </c>
      <c r="P8" s="20">
        <f>SUM(T8:X8)</f>
        <v/>
      </c>
      <c r="Q8" s="20">
        <f>SUM(Y8:AC8)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IF(ISNUMBER(R8),IF(ISNUMBER(R3),IF(R8&gt;R3,1.0,IF(R8=R3,0.5,0.0)),""),"")</f>
        <v/>
      </c>
      <c r="U8" s="15">
        <f>IF(ISNUMBER(R8),IF(ISNUMBER(R4),IF(R8&gt;R4,1.0,IF(R8=R4,0.5,0.0)),""),"")</f>
        <v/>
      </c>
      <c r="V8" s="15">
        <f>IF(ISNUMBER(R8),IF(ISNUMBER(R5),IF(R8&gt;R5,1.0,IF(R8=R5,0.5,0.0)),""),"")</f>
        <v/>
      </c>
      <c r="W8" s="15">
        <f>IF(ISNUMBER(R8),IF(ISNUMBER(R6),IF(R8&gt;R6,1.0,IF(R8=R6,0.5,0.0)),""),"")</f>
        <v/>
      </c>
      <c r="X8" s="15">
        <f>IF(ISNUMBER(R8),IF(ISNUMBER(R7),IF(R8&gt;R7,1.0,IF(R8=R7,0.5,0.0)),""),"")</f>
        <v/>
      </c>
      <c r="Y8" s="15">
        <f>IF(ISNUMBER(S8),IF(ISNUMBER(S3),IF(S8&gt;S3,1.0,IF(S8=S3,0.5,0.0)),""),"")</f>
        <v/>
      </c>
      <c r="Z8" s="15">
        <f>IF(ISNUMBER(S8),IF(ISNUMBER(S4),IF(S8&gt;S4,1.0,IF(S8=S4,0.5,0.0)),""),"")</f>
        <v/>
      </c>
      <c r="AA8" s="15">
        <f>IF(ISNUMBER(S8),IF(ISNUMBER(S5),IF(S8&gt;S5,1.0,IF(S8=S5,0.5,0.0)),""),"")</f>
        <v/>
      </c>
      <c r="AB8" s="15">
        <f>IF(ISNUMBER(S8),IF(ISNUMBER(S6),IF(S8&gt;S6,1.0,IF(S8=S6,0.5,0.0)),""),"")</f>
        <v/>
      </c>
      <c r="AC8" s="15">
        <f>IF(ISNUMBER(S8),IF(ISNUMBER(S7),IF(S8&gt;S7,1.0,IF(S8=S7,0.5,0.0)),""),"")</f>
        <v/>
      </c>
      <c r="AD8" s="21">
        <f>IF(AND(ISNUMBER(R8),ISNUMBER(R3)),VLOOKUP(ABS(R8-R3),'IMP Table'!$A$2:$C$26,3)*SIGN(R8-R3),0)</f>
        <v/>
      </c>
      <c r="AE8" s="15">
        <f>IF(AND(ISNUMBER(R8),ISNUMBER(R4)),VLOOKUP(ABS(R8-R4),'IMP Table'!$A$2:$C$26,3)*SIGN(R8-R4),0)</f>
        <v/>
      </c>
      <c r="AF8" s="15">
        <f>IF(AND(ISNUMBER(R8),ISNUMBER(R5)),VLOOKUP(ABS(R8-R5),'IMP Table'!$A$2:$C$26,3)*SIGN(R8-R5),0)</f>
        <v/>
      </c>
      <c r="AG8" s="15">
        <f>IF(AND(ISNUMBER(R8),ISNUMBER(R6)),VLOOKUP(ABS(R8-R6),'IMP Table'!$A$2:$C$26,3)*SIGN(R8-R6),0)</f>
        <v/>
      </c>
      <c r="AH8" s="15">
        <f>IF(AND(ISNUMBER(R8),ISNUMBER(R7)),VLOOKUP(ABS(R8-R7),'IMP Table'!$A$2:$C$26,3)*SIGN(R8-R7),0)</f>
        <v/>
      </c>
      <c r="AI8" s="15">
        <f>IF(AND(ISNUMBER(S8),ISNUMBER(S3)),VLOOKUP(ABS(S8-S3),'IMP Table'!$A$2:$C$26,3)*SIGN(S8-S3),0)</f>
        <v/>
      </c>
      <c r="AJ8" s="15">
        <f>IF(AND(ISNUMBER(S8),ISNUMBER(S4)),VLOOKUP(ABS(S8-S4),'IMP Table'!$A$2:$C$26,3)*SIGN(S8-S4),0)</f>
        <v/>
      </c>
      <c r="AK8" s="15">
        <f>IF(AND(ISNUMBER(S8),ISNUMBER(S5)),VLOOKUP(ABS(S8-S5),'IMP Table'!$A$2:$C$26,3)*SIGN(S8-S5),0)</f>
        <v/>
      </c>
      <c r="AL8" s="15">
        <f>IF(AND(ISNUMBER(S8),ISNUMBER(S6)),VLOOKUP(ABS(S8-S6),'IMP Table'!$A$2:$C$26,3)*SIGN(S8-S6),0)</f>
        <v/>
      </c>
      <c r="AM8" s="15">
        <f>IF(AND(ISNUMBER(S8),ISNUMBER(S7)),VLOOKUP(ABS(S8-S7),'IMP Table'!$A$2:$C$26,3)*SIGN(S8-S7),0)</f>
        <v/>
      </c>
    </row>
    <row r="9">
      <c r="A9" t="n">
        <v>2</v>
      </c>
      <c r="B9">
        <f>'By Round'!A3</f>
        <v/>
      </c>
      <c r="C9">
        <f>'By Round'!B3</f>
        <v/>
      </c>
      <c r="D9">
        <f>'By Round'!C3</f>
        <v/>
      </c>
      <c r="E9">
        <f>'By Round'!D3</f>
        <v/>
      </c>
      <c r="F9" s="11" t="inlineStr">
        <is>
          <t>NS</t>
        </is>
      </c>
      <c r="G9">
        <f>IF(ISBLANK('By Round'!G3),"",'By Round'!G3)</f>
        <v/>
      </c>
      <c r="H9">
        <f>IF(ISBLANK('By Round'!H3),"",'By Round'!H3)</f>
        <v/>
      </c>
      <c r="I9">
        <f>IF(ISBLANK('By Round'!I3),"",'By Round'!I3)</f>
        <v/>
      </c>
      <c r="J9">
        <f>IF(ISBLANK('By Round'!J3),"",'By Round'!J3)</f>
        <v/>
      </c>
      <c r="K9">
        <f>IF(ISBLANK('By Round'!K3),"",'By Round'!K3)</f>
        <v/>
      </c>
      <c r="L9" s="12">
        <f>SUM(AD9:AH9)</f>
        <v/>
      </c>
      <c r="M9" s="13">
        <f>SUM(AI9:AM9)</f>
        <v/>
      </c>
      <c r="N9" s="8">
        <f>IF(COUNT(T9:X9)&gt;0,P9/COUNT(T9:X9),0.5)</f>
        <v/>
      </c>
      <c r="O9" s="8">
        <f>IF(COUNT(Y9:AC9)&gt;0,Q9/COUNT(Y9:AC9),0.5)</f>
        <v/>
      </c>
      <c r="P9" s="5">
        <f>SUM(T9:X9)</f>
        <v/>
      </c>
      <c r="Q9" s="5">
        <f>SUM(Y9:AC9)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IF(ISNUMBER(R9),IF(ISNUMBER(R12),IF(R9&gt;R12,1.0,IF(R9=R12,0.5,0.0)),""),"")</f>
        <v/>
      </c>
      <c r="W9">
        <f>IF(ISNUMBER(R9),IF(ISNUMBER(R13),IF(R9&gt;R13,1.0,IF(R9=R13,0.5,0.0)),""),"")</f>
        <v/>
      </c>
      <c r="X9">
        <f>IF(ISNUMBER(R9),IF(ISNUMBER(R14),IF(R9&gt;R14,1.0,IF(R9=R14,0.5,0.0)),""),"")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>
        <f>IF(ISNUMBER(S9),IF(ISNUMBER(S13),IF(S9&gt;S13,1.0,IF(S9=S13,0.5,0.0)),""),"")</f>
        <v/>
      </c>
      <c r="AC9">
        <f>IF(ISNUMBER(S9),IF(ISNUMBER(S14),IF(S9&gt;S14,1.0,IF(S9=S14,0.5,0.0)),""),"")</f>
        <v/>
      </c>
      <c r="AD9" s="14">
        <f>IF(AND(ISNUMBER(R9),ISNUMBER(R10)),VLOOKUP(ABS(R9-R10),'IMP Table'!$A$2:$C$26,3)*SIGN(R9-R10),0)</f>
        <v/>
      </c>
      <c r="AE9">
        <f>IF(AND(ISNUMBER(R9),ISNUMBER(R11)),VLOOKUP(ABS(R9-R11),'IMP Table'!$A$2:$C$26,3)*SIGN(R9-R11),0)</f>
        <v/>
      </c>
      <c r="AF9">
        <f>IF(AND(ISNUMBER(R9),ISNUMBER(R12)),VLOOKUP(ABS(R9-R12),'IMP Table'!$A$2:$C$26,3)*SIGN(R9-R12),0)</f>
        <v/>
      </c>
      <c r="AG9">
        <f>IF(AND(ISNUMBER(R9),ISNUMBER(R13)),VLOOKUP(ABS(R9-R13),'IMP Table'!$A$2:$C$26,3)*SIGN(R9-R13),0)</f>
        <v/>
      </c>
      <c r="AH9">
        <f>IF(AND(ISNUMBER(R9),ISNUMBER(R14)),VLOOKUP(ABS(R9-R14),'IMP Table'!$A$2:$C$26,3)*SIGN(R9-R14),0)</f>
        <v/>
      </c>
      <c r="AI9">
        <f>IF(AND(ISNUMBER(S9),ISNUMBER(S10)),VLOOKUP(ABS(S9-S10),'IMP Table'!$A$2:$C$26,3)*SIGN(S9-S10),0)</f>
        <v/>
      </c>
      <c r="AJ9">
        <f>IF(AND(ISNUMBER(S9),ISNUMBER(S11)),VLOOKUP(ABS(S9-S11),'IMP Table'!$A$2:$C$26,3)*SIGN(S9-S11),0)</f>
        <v/>
      </c>
      <c r="AK9">
        <f>IF(AND(ISNUMBER(S9),ISNUMBER(S12)),VLOOKUP(ABS(S9-S12),'IMP Table'!$A$2:$C$26,3)*SIGN(S9-S12),0)</f>
        <v/>
      </c>
      <c r="AL9">
        <f>IF(AND(ISNUMBER(S9),ISNUMBER(S13)),VLOOKUP(ABS(S9-S13),'IMP Table'!$A$2:$C$26,3)*SIGN(S9-S13),0)</f>
        <v/>
      </c>
      <c r="AM9">
        <f>IF(AND(ISNUMBER(S9),ISNUMBER(S14)),VLOOKUP(ABS(S9-S14),'IMP Table'!$A$2:$C$26,3)*SIGN(S9-S14),0)</f>
        <v/>
      </c>
    </row>
    <row r="10">
      <c r="B10">
        <f>'By Round'!A27</f>
        <v/>
      </c>
      <c r="C10">
        <f>'By Round'!B37</f>
        <v/>
      </c>
      <c r="D10">
        <f>'By Round'!C37</f>
        <v/>
      </c>
      <c r="E10">
        <f>'By Round'!D37</f>
        <v/>
      </c>
      <c r="F10" s="11" t="inlineStr">
        <is>
          <t>NS</t>
        </is>
      </c>
      <c r="G10">
        <f>IF(ISBLANK('By Round'!G37),"",'By Round'!G37)</f>
        <v/>
      </c>
      <c r="H10">
        <f>IF(ISBLANK('By Round'!H37),"",'By Round'!H37)</f>
        <v/>
      </c>
      <c r="I10">
        <f>IF(ISBLANK('By Round'!I37),"",'By Round'!I37)</f>
        <v/>
      </c>
      <c r="J10">
        <f>IF(ISBLANK('By Round'!J37),"",'By Round'!J37)</f>
        <v/>
      </c>
      <c r="K10">
        <f>IF(ISBLANK('By Round'!K37),"",'By Round'!K37)</f>
        <v/>
      </c>
      <c r="L10" s="12">
        <f>SUM(AD10:AH10)</f>
        <v/>
      </c>
      <c r="M10" s="13">
        <f>SUM(AI10:AM10)</f>
        <v/>
      </c>
      <c r="N10" s="8">
        <f>IF(COUNT(T10:X10)&gt;0,P10/COUNT(T10:X10),0.5)</f>
        <v/>
      </c>
      <c r="O10" s="8">
        <f>IF(COUNT(Y10:AC10)&gt;0,Q10/COUNT(Y10:AC10),0.5)</f>
        <v/>
      </c>
      <c r="P10" s="5">
        <f>SUM(T10:X10)</f>
        <v/>
      </c>
      <c r="Q10" s="5">
        <f>SUM(Y10:AC10)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IF(ISNUMBER(R10),IF(ISNUMBER(R12),IF(R10&gt;R12,1.0,IF(R10=R12,0.5,0.0)),""),"")</f>
        <v/>
      </c>
      <c r="W10">
        <f>IF(ISNUMBER(R10),IF(ISNUMBER(R13),IF(R10&gt;R13,1.0,IF(R10=R13,0.5,0.0)),""),"")</f>
        <v/>
      </c>
      <c r="X10">
        <f>IF(ISNUMBER(R10),IF(ISNUMBER(R14),IF(R10&gt;R14,1.0,IF(R10=R14,0.5,0.0)),""),"")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 s="14">
        <f>IF(AND(ISNUMBER(R10),ISNUMBER(R9)),VLOOKUP(ABS(R10-R9),'IMP Table'!$A$2:$C$26,3)*SIGN(R10-R9),0)</f>
        <v/>
      </c>
      <c r="AE10">
        <f>IF(AND(ISNUMBER(R10),ISNUMBER(R11)),VLOOKUP(ABS(R10-R11),'IMP Table'!$A$2:$C$26,3)*SIGN(R10-R11),0)</f>
        <v/>
      </c>
      <c r="AF10">
        <f>IF(AND(ISNUMBER(R10),ISNUMBER(R12)),VLOOKUP(ABS(R10-R12),'IMP Table'!$A$2:$C$26,3)*SIGN(R10-R12),0)</f>
        <v/>
      </c>
      <c r="AG10">
        <f>IF(AND(ISNUMBER(R10),ISNUMBER(R13)),VLOOKUP(ABS(R10-R13),'IMP Table'!$A$2:$C$26,3)*SIGN(R10-R13),0)</f>
        <v/>
      </c>
      <c r="AH10">
        <f>IF(AND(ISNUMBER(R10),ISNUMBER(R14)),VLOOKUP(ABS(R10-R14),'IMP Table'!$A$2:$C$26,3)*SIGN(R10-R14),0)</f>
        <v/>
      </c>
      <c r="AI10">
        <f>IF(AND(ISNUMBER(S10),ISNUMBER(S9)),VLOOKUP(ABS(S10-S9),'IMP Table'!$A$2:$C$26,3)*SIGN(S10-S9),0)</f>
        <v/>
      </c>
      <c r="AJ10">
        <f>IF(AND(ISNUMBER(S10),ISNUMBER(S11)),VLOOKUP(ABS(S10-S11),'IMP Table'!$A$2:$C$26,3)*SIGN(S10-S11),0)</f>
        <v/>
      </c>
      <c r="AK10">
        <f>IF(AND(ISNUMBER(S10),ISNUMBER(S12)),VLOOKUP(ABS(S10-S12),'IMP Table'!$A$2:$C$26,3)*SIGN(S10-S12),0)</f>
        <v/>
      </c>
      <c r="AL10">
        <f>IF(AND(ISNUMBER(S10),ISNUMBER(S13)),VLOOKUP(ABS(S10-S13),'IMP Table'!$A$2:$C$26,3)*SIGN(S10-S13),0)</f>
        <v/>
      </c>
      <c r="AM10">
        <f>IF(AND(ISNUMBER(S10),ISNUMBER(S14)),VLOOKUP(ABS(S10-S14),'IMP Table'!$A$2:$C$26,3)*SIGN(S10-S14),0)</f>
        <v/>
      </c>
    </row>
    <row r="11">
      <c r="B11">
        <f>'By Round'!A39</f>
        <v/>
      </c>
      <c r="C11">
        <f>'By Round'!B47</f>
        <v/>
      </c>
      <c r="D11">
        <f>'By Round'!C47</f>
        <v/>
      </c>
      <c r="E11">
        <f>'By Round'!D47</f>
        <v/>
      </c>
      <c r="F11" s="11" t="inlineStr">
        <is>
          <t>NS</t>
        </is>
      </c>
      <c r="G11">
        <f>IF(ISBLANK('By Round'!G47),"",'By Round'!G47)</f>
        <v/>
      </c>
      <c r="H11">
        <f>IF(ISBLANK('By Round'!H47),"",'By Round'!H47)</f>
        <v/>
      </c>
      <c r="I11">
        <f>IF(ISBLANK('By Round'!I47),"",'By Round'!I47)</f>
        <v/>
      </c>
      <c r="J11">
        <f>IF(ISBLANK('By Round'!J47),"",'By Round'!J47)</f>
        <v/>
      </c>
      <c r="K11">
        <f>IF(ISBLANK('By Round'!K47),"",'By Round'!K47)</f>
        <v/>
      </c>
      <c r="L11" s="12">
        <f>SUM(AD11:AH11)</f>
        <v/>
      </c>
      <c r="M11" s="13">
        <f>SUM(AI11:AM11)</f>
        <v/>
      </c>
      <c r="N11" s="8">
        <f>IF(COUNT(T11:X11)&gt;0,P11/COUNT(T11:X11),0.5)</f>
        <v/>
      </c>
      <c r="O11" s="8">
        <f>IF(COUNT(Y11:AC11)&gt;0,Q11/COUNT(Y11:AC11),0.5)</f>
        <v/>
      </c>
      <c r="P11" s="5">
        <f>SUM(T11:X11)</f>
        <v/>
      </c>
      <c r="Q11" s="5">
        <f>SUM(Y11:AC11)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IF(ISNUMBER(R11),IF(ISNUMBER(R9),IF(R11&gt;R9,1.0,IF(R11=R9,0.5,0.0)),""),"")</f>
        <v/>
      </c>
      <c r="U11">
        <f>IF(ISNUMBER(R11),IF(ISNUMBER(R10),IF(R11&gt;R10,1.0,IF(R11=R10,0.5,0.0)),""),"")</f>
        <v/>
      </c>
      <c r="V11">
        <f>IF(ISNUMBER(R11),IF(ISNUMBER(R12),IF(R11&gt;R12,1.0,IF(R11=R12,0.5,0.0)),""),"")</f>
        <v/>
      </c>
      <c r="W11">
        <f>IF(ISNUMBER(R11),IF(ISNUMBER(R13),IF(R11&gt;R13,1.0,IF(R11=R13,0.5,0.0)),""),"")</f>
        <v/>
      </c>
      <c r="X11">
        <f>IF(ISNUMBER(R11),IF(ISNUMBER(R14),IF(R11&gt;R14,1.0,IF(R11=R14,0.5,0.0)),""),"")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 s="14">
        <f>IF(AND(ISNUMBER(R11),ISNUMBER(R9)),VLOOKUP(ABS(R11-R9),'IMP Table'!$A$2:$C$26,3)*SIGN(R11-R9),0)</f>
        <v/>
      </c>
      <c r="AE11">
        <f>IF(AND(ISNUMBER(R11),ISNUMBER(R10)),VLOOKUP(ABS(R11-R10),'IMP Table'!$A$2:$C$26,3)*SIGN(R11-R10),0)</f>
        <v/>
      </c>
      <c r="AF11">
        <f>IF(AND(ISNUMBER(R11),ISNUMBER(R12)),VLOOKUP(ABS(R11-R12),'IMP Table'!$A$2:$C$26,3)*SIGN(R11-R12),0)</f>
        <v/>
      </c>
      <c r="AG11">
        <f>IF(AND(ISNUMBER(R11),ISNUMBER(R13)),VLOOKUP(ABS(R11-R13),'IMP Table'!$A$2:$C$26,3)*SIGN(R11-R13),0)</f>
        <v/>
      </c>
      <c r="AH11">
        <f>IF(AND(ISNUMBER(R11),ISNUMBER(R14)),VLOOKUP(ABS(R11-R14),'IMP Table'!$A$2:$C$26,3)*SIGN(R11-R14),0)</f>
        <v/>
      </c>
      <c r="AI11">
        <f>IF(AND(ISNUMBER(S11),ISNUMBER(S9)),VLOOKUP(ABS(S11-S9),'IMP Table'!$A$2:$C$26,3)*SIGN(S11-S9),0)</f>
        <v/>
      </c>
      <c r="AJ11">
        <f>IF(AND(ISNUMBER(S11),ISNUMBER(S10)),VLOOKUP(ABS(S11-S10),'IMP Table'!$A$2:$C$26,3)*SIGN(S11-S10),0)</f>
        <v/>
      </c>
      <c r="AK11">
        <f>IF(AND(ISNUMBER(S11),ISNUMBER(S12)),VLOOKUP(ABS(S11-S12),'IMP Table'!$A$2:$C$26,3)*SIGN(S11-S12),0)</f>
        <v/>
      </c>
      <c r="AL11">
        <f>IF(AND(ISNUMBER(S11),ISNUMBER(S13)),VLOOKUP(ABS(S11-S13),'IMP Table'!$A$2:$C$26,3)*SIGN(S11-S13),0)</f>
        <v/>
      </c>
      <c r="AM11">
        <f>IF(AND(ISNUMBER(S11),ISNUMBER(S14)),VLOOKUP(ABS(S11-S14),'IMP Table'!$A$2:$C$26,3)*SIGN(S11-S14),0)</f>
        <v/>
      </c>
    </row>
    <row r="12">
      <c r="B12">
        <f>'By Round'!A51</f>
        <v/>
      </c>
      <c r="C12">
        <f>'By Round'!B57</f>
        <v/>
      </c>
      <c r="D12">
        <f>'By Round'!C57</f>
        <v/>
      </c>
      <c r="E12">
        <f>'By Round'!D57</f>
        <v/>
      </c>
      <c r="F12" s="11" t="inlineStr">
        <is>
          <t>NS</t>
        </is>
      </c>
      <c r="G12">
        <f>IF(ISBLANK('By Round'!G57),"",'By Round'!G57)</f>
        <v/>
      </c>
      <c r="H12">
        <f>IF(ISBLANK('By Round'!H57),"",'By Round'!H57)</f>
        <v/>
      </c>
      <c r="I12">
        <f>IF(ISBLANK('By Round'!I57),"",'By Round'!I57)</f>
        <v/>
      </c>
      <c r="J12">
        <f>IF(ISBLANK('By Round'!J57),"",'By Round'!J57)</f>
        <v/>
      </c>
      <c r="K12">
        <f>IF(ISBLANK('By Round'!K57),"",'By Round'!K57)</f>
        <v/>
      </c>
      <c r="L12" s="12">
        <f>SUM(AD12:AH12)</f>
        <v/>
      </c>
      <c r="M12" s="13">
        <f>SUM(AI12:AM12)</f>
        <v/>
      </c>
      <c r="N12" s="8">
        <f>IF(COUNT(T12:X12)&gt;0,P12/COUNT(T12:X12),0.5)</f>
        <v/>
      </c>
      <c r="O12" s="8">
        <f>IF(COUNT(Y12:AC12)&gt;0,Q12/COUNT(Y12:AC12),0.5)</f>
        <v/>
      </c>
      <c r="P12" s="5">
        <f>SUM(T12:X12)</f>
        <v/>
      </c>
      <c r="Q12" s="5">
        <f>SUM(Y12:AC12)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IF(ISNUMBER(R12),IF(ISNUMBER(R9),IF(R12&gt;R9,1.0,IF(R12=R9,0.5,0.0)),""),"")</f>
        <v/>
      </c>
      <c r="U12">
        <f>IF(ISNUMBER(R12),IF(ISNUMBER(R10),IF(R12&gt;R10,1.0,IF(R12=R10,0.5,0.0)),""),"")</f>
        <v/>
      </c>
      <c r="V12">
        <f>IF(ISNUMBER(R12),IF(ISNUMBER(R11),IF(R12&gt;R11,1.0,IF(R12=R11,0.5,0.0)),""),"")</f>
        <v/>
      </c>
      <c r="W12">
        <f>IF(ISNUMBER(R12),IF(ISNUMBER(R13),IF(R12&gt;R13,1.0,IF(R12=R13,0.5,0.0)),""),"")</f>
        <v/>
      </c>
      <c r="X12">
        <f>IF(ISNUMBER(R12),IF(ISNUMBER(R14),IF(R12&gt;R14,1.0,IF(R12=R14,0.5,0.0)),""),"")</f>
        <v/>
      </c>
      <c r="Y12">
        <f>IF(ISNUMBER(S12),IF(ISNUMBER(S9),IF(S12&gt;S9,1.0,IF(S12=S9,0.5,0.0)),""),"")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 s="14">
        <f>IF(AND(ISNUMBER(R12),ISNUMBER(R9)),VLOOKUP(ABS(R12-R9),'IMP Table'!$A$2:$C$26,3)*SIGN(R12-R9),0)</f>
        <v/>
      </c>
      <c r="AE12">
        <f>IF(AND(ISNUMBER(R12),ISNUMBER(R10)),VLOOKUP(ABS(R12-R10),'IMP Table'!$A$2:$C$26,3)*SIGN(R12-R10),0)</f>
        <v/>
      </c>
      <c r="AF12">
        <f>IF(AND(ISNUMBER(R12),ISNUMBER(R11)),VLOOKUP(ABS(R12-R11),'IMP Table'!$A$2:$C$26,3)*SIGN(R12-R11),0)</f>
        <v/>
      </c>
      <c r="AG12">
        <f>IF(AND(ISNUMBER(R12),ISNUMBER(R13)),VLOOKUP(ABS(R12-R13),'IMP Table'!$A$2:$C$26,3)*SIGN(R12-R13),0)</f>
        <v/>
      </c>
      <c r="AH12">
        <f>IF(AND(ISNUMBER(R12),ISNUMBER(R14)),VLOOKUP(ABS(R12-R14),'IMP Table'!$A$2:$C$26,3)*SIGN(R12-R14),0)</f>
        <v/>
      </c>
      <c r="AI12">
        <f>IF(AND(ISNUMBER(S12),ISNUMBER(S9)),VLOOKUP(ABS(S12-S9),'IMP Table'!$A$2:$C$26,3)*SIGN(S12-S9),0)</f>
        <v/>
      </c>
      <c r="AJ12">
        <f>IF(AND(ISNUMBER(S12),ISNUMBER(S10)),VLOOKUP(ABS(S12-S10),'IMP Table'!$A$2:$C$26,3)*SIGN(S12-S10),0)</f>
        <v/>
      </c>
      <c r="AK12">
        <f>IF(AND(ISNUMBER(S12),ISNUMBER(S11)),VLOOKUP(ABS(S12-S11),'IMP Table'!$A$2:$C$26,3)*SIGN(S12-S11),0)</f>
        <v/>
      </c>
      <c r="AL12">
        <f>IF(AND(ISNUMBER(S12),ISNUMBER(S13)),VLOOKUP(ABS(S12-S13),'IMP Table'!$A$2:$C$26,3)*SIGN(S12-S13),0)</f>
        <v/>
      </c>
      <c r="AM12">
        <f>IF(AND(ISNUMBER(S12),ISNUMBER(S14)),VLOOKUP(ABS(S12-S14),'IMP Table'!$A$2:$C$26,3)*SIGN(S12-S14),0)</f>
        <v/>
      </c>
    </row>
    <row r="13">
      <c r="B13">
        <f>'By Round'!A75</f>
        <v/>
      </c>
      <c r="C13">
        <f>'By Round'!B79</f>
        <v/>
      </c>
      <c r="D13">
        <f>'By Round'!C79</f>
        <v/>
      </c>
      <c r="E13">
        <f>'By Round'!D79</f>
        <v/>
      </c>
      <c r="F13" s="11" t="inlineStr">
        <is>
          <t>NS</t>
        </is>
      </c>
      <c r="G13">
        <f>IF(ISBLANK('By Round'!G79),"",'By Round'!G79)</f>
        <v/>
      </c>
      <c r="H13">
        <f>IF(ISBLANK('By Round'!H79),"",'By Round'!H79)</f>
        <v/>
      </c>
      <c r="I13">
        <f>IF(ISBLANK('By Round'!I79),"",'By Round'!I79)</f>
        <v/>
      </c>
      <c r="J13">
        <f>IF(ISBLANK('By Round'!J79),"",'By Round'!J79)</f>
        <v/>
      </c>
      <c r="K13">
        <f>IF(ISBLANK('By Round'!K79),"",'By Round'!K79)</f>
        <v/>
      </c>
      <c r="L13" s="12">
        <f>SUM(AD13:AH13)</f>
        <v/>
      </c>
      <c r="M13" s="13">
        <f>SUM(AI13:AM13)</f>
        <v/>
      </c>
      <c r="N13" s="8">
        <f>IF(COUNT(T13:X13)&gt;0,P13/COUNT(T13:X13),0.5)</f>
        <v/>
      </c>
      <c r="O13" s="8">
        <f>IF(COUNT(Y13:AC13)&gt;0,Q13/COUNT(Y13:AC13),0.5)</f>
        <v/>
      </c>
      <c r="P13" s="5">
        <f>SUM(T13:X13)</f>
        <v/>
      </c>
      <c r="Q13" s="5">
        <f>SUM(Y13:AC13)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IF(ISNUMBER(R13),IF(ISNUMBER(R9),IF(R13&gt;R9,1.0,IF(R13=R9,0.5,0.0)),""),"")</f>
        <v/>
      </c>
      <c r="U13">
        <f>IF(ISNUMBER(R13),IF(ISNUMBER(R10),IF(R13&gt;R10,1.0,IF(R13=R10,0.5,0.0)),""),"")</f>
        <v/>
      </c>
      <c r="V13">
        <f>IF(ISNUMBER(R13),IF(ISNUMBER(R11),IF(R13&gt;R11,1.0,IF(R13=R11,0.5,0.0)),""),"")</f>
        <v/>
      </c>
      <c r="W13">
        <f>IF(ISNUMBER(R13),IF(ISNUMBER(R12),IF(R13&gt;R12,1.0,IF(R13=R12,0.5,0.0)),""),"")</f>
        <v/>
      </c>
      <c r="X13">
        <f>IF(ISNUMBER(R13),IF(ISNUMBER(R14),IF(R13&gt;R14,1.0,IF(R13=R14,0.5,0.0)),""),"")</f>
        <v/>
      </c>
      <c r="Y13">
        <f>IF(ISNUMBER(S13),IF(ISNUMBER(S9),IF(S13&gt;S9,1.0,IF(S13=S9,0.5,0.0)),""),"")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 s="14">
        <f>IF(AND(ISNUMBER(R13),ISNUMBER(R9)),VLOOKUP(ABS(R13-R9),'IMP Table'!$A$2:$C$26,3)*SIGN(R13-R9),0)</f>
        <v/>
      </c>
      <c r="AE13">
        <f>IF(AND(ISNUMBER(R13),ISNUMBER(R10)),VLOOKUP(ABS(R13-R10),'IMP Table'!$A$2:$C$26,3)*SIGN(R13-R10),0)</f>
        <v/>
      </c>
      <c r="AF13">
        <f>IF(AND(ISNUMBER(R13),ISNUMBER(R11)),VLOOKUP(ABS(R13-R11),'IMP Table'!$A$2:$C$26,3)*SIGN(R13-R11),0)</f>
        <v/>
      </c>
      <c r="AG13">
        <f>IF(AND(ISNUMBER(R13),ISNUMBER(R12)),VLOOKUP(ABS(R13-R12),'IMP Table'!$A$2:$C$26,3)*SIGN(R13-R12),0)</f>
        <v/>
      </c>
      <c r="AH13">
        <f>IF(AND(ISNUMBER(R13),ISNUMBER(R14)),VLOOKUP(ABS(R13-R14),'IMP Table'!$A$2:$C$26,3)*SIGN(R13-R14),0)</f>
        <v/>
      </c>
      <c r="AI13">
        <f>IF(AND(ISNUMBER(S13),ISNUMBER(S9)),VLOOKUP(ABS(S13-S9),'IMP Table'!$A$2:$C$26,3)*SIGN(S13-S9),0)</f>
        <v/>
      </c>
      <c r="AJ13">
        <f>IF(AND(ISNUMBER(S13),ISNUMBER(S10)),VLOOKUP(ABS(S13-S10),'IMP Table'!$A$2:$C$26,3)*SIGN(S13-S10),0)</f>
        <v/>
      </c>
      <c r="AK13">
        <f>IF(AND(ISNUMBER(S13),ISNUMBER(S11)),VLOOKUP(ABS(S13-S11),'IMP Table'!$A$2:$C$26,3)*SIGN(S13-S11),0)</f>
        <v/>
      </c>
      <c r="AL13">
        <f>IF(AND(ISNUMBER(S13),ISNUMBER(S12)),VLOOKUP(ABS(S13-S12),'IMP Table'!$A$2:$C$26,3)*SIGN(S13-S12),0)</f>
        <v/>
      </c>
      <c r="AM13">
        <f>IF(AND(ISNUMBER(S13),ISNUMBER(S14)),VLOOKUP(ABS(S13-S14),'IMP Table'!$A$2:$C$26,3)*SIGN(S13-S14),0)</f>
        <v/>
      </c>
    </row>
    <row r="14">
      <c r="A14" s="15" t="n"/>
      <c r="B14" s="15">
        <f>'By Round'!A87</f>
        <v/>
      </c>
      <c r="C14" s="15">
        <f>'By Round'!B89</f>
        <v/>
      </c>
      <c r="D14" s="15">
        <f>'By Round'!C89</f>
        <v/>
      </c>
      <c r="E14" s="15">
        <f>'By Round'!D89</f>
        <v/>
      </c>
      <c r="F14" s="16" t="inlineStr">
        <is>
          <t>NS</t>
        </is>
      </c>
      <c r="G14" s="15">
        <f>IF(ISBLANK('By Round'!G89),"",'By Round'!G89)</f>
        <v/>
      </c>
      <c r="H14" s="15">
        <f>IF(ISBLANK('By Round'!H89),"",'By Round'!H89)</f>
        <v/>
      </c>
      <c r="I14" s="15">
        <f>IF(ISBLANK('By Round'!I89),"",'By Round'!I89)</f>
        <v/>
      </c>
      <c r="J14" s="15">
        <f>IF(ISBLANK('By Round'!J89),"",'By Round'!J89)</f>
        <v/>
      </c>
      <c r="K14" s="15">
        <f>IF(ISBLANK('By Round'!K89),"",'By Round'!K89)</f>
        <v/>
      </c>
      <c r="L14" s="17">
        <f>SUM(AD14:AH14)</f>
        <v/>
      </c>
      <c r="M14" s="18">
        <f>SUM(AI14:AM14)</f>
        <v/>
      </c>
      <c r="N14" s="19">
        <f>IF(COUNT(T14:X14)&gt;0,P14/COUNT(T14:X14),0.5)</f>
        <v/>
      </c>
      <c r="O14" s="19">
        <f>IF(COUNT(Y14:AC14)&gt;0,Q14/COUNT(Y14:AC14),0.5)</f>
        <v/>
      </c>
      <c r="P14" s="20">
        <f>SUM(T14:X14)</f>
        <v/>
      </c>
      <c r="Q14" s="20">
        <f>SUM(Y14:AC14)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IF(ISNUMBER(R14),IF(ISNUMBER(R9),IF(R14&gt;R9,1.0,IF(R14=R9,0.5,0.0)),""),"")</f>
        <v/>
      </c>
      <c r="U14" s="15">
        <f>IF(ISNUMBER(R14),IF(ISNUMBER(R10),IF(R14&gt;R10,1.0,IF(R14=R10,0.5,0.0)),""),"")</f>
        <v/>
      </c>
      <c r="V14" s="15">
        <f>IF(ISNUMBER(R14),IF(ISNUMBER(R11),IF(R14&gt;R11,1.0,IF(R14=R11,0.5,0.0)),""),"")</f>
        <v/>
      </c>
      <c r="W14" s="15">
        <f>IF(ISNUMBER(R14),IF(ISNUMBER(R12),IF(R14&gt;R12,1.0,IF(R14=R12,0.5,0.0)),""),"")</f>
        <v/>
      </c>
      <c r="X14" s="15">
        <f>IF(ISNUMBER(R14),IF(ISNUMBER(R13),IF(R14&gt;R13,1.0,IF(R14=R13,0.5,0.0)),""),"")</f>
        <v/>
      </c>
      <c r="Y14" s="15">
        <f>IF(ISNUMBER(S14),IF(ISNUMBER(S9),IF(S14&gt;S9,1.0,IF(S14=S9,0.5,0.0)),""),"")</f>
        <v/>
      </c>
      <c r="Z14" s="15">
        <f>IF(ISNUMBER(S14),IF(ISNUMBER(S10),IF(S14&gt;S10,1.0,IF(S14=S10,0.5,0.0)),""),"")</f>
        <v/>
      </c>
      <c r="AA14" s="15">
        <f>IF(ISNUMBER(S14),IF(ISNUMBER(S11),IF(S14&gt;S11,1.0,IF(S14=S11,0.5,0.0)),""),"")</f>
        <v/>
      </c>
      <c r="AB14" s="15">
        <f>IF(ISNUMBER(S14),IF(ISNUMBER(S12),IF(S14&gt;S12,1.0,IF(S14=S12,0.5,0.0)),""),"")</f>
        <v/>
      </c>
      <c r="AC14" s="15">
        <f>IF(ISNUMBER(S14),IF(ISNUMBER(S13),IF(S14&gt;S13,1.0,IF(S14=S13,0.5,0.0)),""),"")</f>
        <v/>
      </c>
      <c r="AD14" s="21">
        <f>IF(AND(ISNUMBER(R14),ISNUMBER(R9)),VLOOKUP(ABS(R14-R9),'IMP Table'!$A$2:$C$26,3)*SIGN(R14-R9),0)</f>
        <v/>
      </c>
      <c r="AE14" s="15">
        <f>IF(AND(ISNUMBER(R14),ISNUMBER(R10)),VLOOKUP(ABS(R14-R10),'IMP Table'!$A$2:$C$26,3)*SIGN(R14-R10),0)</f>
        <v/>
      </c>
      <c r="AF14" s="15">
        <f>IF(AND(ISNUMBER(R14),ISNUMBER(R11)),VLOOKUP(ABS(R14-R11),'IMP Table'!$A$2:$C$26,3)*SIGN(R14-R11),0)</f>
        <v/>
      </c>
      <c r="AG14" s="15">
        <f>IF(AND(ISNUMBER(R14),ISNUMBER(R12)),VLOOKUP(ABS(R14-R12),'IMP Table'!$A$2:$C$26,3)*SIGN(R14-R12),0)</f>
        <v/>
      </c>
      <c r="AH14" s="15">
        <f>IF(AND(ISNUMBER(R14),ISNUMBER(R13)),VLOOKUP(ABS(R14-R13),'IMP Table'!$A$2:$C$26,3)*SIGN(R14-R13),0)</f>
        <v/>
      </c>
      <c r="AI14" s="15">
        <f>IF(AND(ISNUMBER(S14),ISNUMBER(S9)),VLOOKUP(ABS(S14-S9),'IMP Table'!$A$2:$C$26,3)*SIGN(S14-S9),0)</f>
        <v/>
      </c>
      <c r="AJ14" s="15">
        <f>IF(AND(ISNUMBER(S14),ISNUMBER(S10)),VLOOKUP(ABS(S14-S10),'IMP Table'!$A$2:$C$26,3)*SIGN(S14-S10),0)</f>
        <v/>
      </c>
      <c r="AK14" s="15">
        <f>IF(AND(ISNUMBER(S14),ISNUMBER(S11)),VLOOKUP(ABS(S14-S11),'IMP Table'!$A$2:$C$26,3)*SIGN(S14-S11),0)</f>
        <v/>
      </c>
      <c r="AL14" s="15">
        <f>IF(AND(ISNUMBER(S14),ISNUMBER(S12)),VLOOKUP(ABS(S14-S12),'IMP Table'!$A$2:$C$26,3)*SIGN(S14-S12),0)</f>
        <v/>
      </c>
      <c r="AM14" s="15">
        <f>IF(AND(ISNUMBER(S14),ISNUMBER(S13)),VLOOKUP(ABS(S14-S13),'IMP Table'!$A$2:$C$26,3)*SIGN(S14-S13),0)</f>
        <v/>
      </c>
    </row>
    <row r="15">
      <c r="A15" t="n">
        <v>3</v>
      </c>
      <c r="B15">
        <f>'By Round'!A15</f>
        <v/>
      </c>
      <c r="C15">
        <f>'By Round'!B15</f>
        <v/>
      </c>
      <c r="D15">
        <f>'By Round'!C15</f>
        <v/>
      </c>
      <c r="E15">
        <f>'By Round'!D15</f>
        <v/>
      </c>
      <c r="F15" s="11" t="inlineStr">
        <is>
          <t>EW</t>
        </is>
      </c>
      <c r="G15">
        <f>IF(ISBLANK('By Round'!G15),"",'By Round'!G15)</f>
        <v/>
      </c>
      <c r="H15">
        <f>IF(ISBLANK('By Round'!H15),"",'By Round'!H15)</f>
        <v/>
      </c>
      <c r="I15">
        <f>IF(ISBLANK('By Round'!I15),"",'By Round'!I15)</f>
        <v/>
      </c>
      <c r="J15">
        <f>IF(ISBLANK('By Round'!J15),"",'By Round'!J15)</f>
        <v/>
      </c>
      <c r="K15">
        <f>IF(ISBLANK('By Round'!K15),"",'By Round'!K15)</f>
        <v/>
      </c>
      <c r="L15" s="12">
        <f>SUM(AD15:AH15)</f>
        <v/>
      </c>
      <c r="M15" s="13">
        <f>SUM(AI15:AM15)</f>
        <v/>
      </c>
      <c r="N15" s="8">
        <f>IF(COUNT(T15:X15)&gt;0,P15/COUNT(T15:X15),0.5)</f>
        <v/>
      </c>
      <c r="O15" s="8">
        <f>IF(COUNT(Y15:AC15)&gt;0,Q15/COUNT(Y15:AC15),0.5)</f>
        <v/>
      </c>
      <c r="P15" s="5">
        <f>SUM(T15:X15)</f>
        <v/>
      </c>
      <c r="Q15" s="5">
        <f>SUM(Y15:AC15)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IF(ISNUMBER(R15),IF(ISNUMBER(R19),IF(R15&gt;R19,1.0,IF(R15=R19,0.5,0.0)),""),"")</f>
        <v/>
      </c>
      <c r="X15">
        <f>IF(ISNUMBER(R15),IF(ISNUMBER(R20),IF(R15&gt;R20,1.0,IF(R15=R20,0.5,0.0)),""),"")</f>
        <v/>
      </c>
      <c r="Y15">
        <f>IF(ISNUMBER(S15),IF(ISNUMBER(S16),IF(S15&gt;S16,1.0,IF(S15=S16,0.5,0.0)),""),"")</f>
        <v/>
      </c>
      <c r="Z15">
        <f>IF(ISNUMBER(S15),IF(ISNUMBER(S17),IF(S15&gt;S17,1.0,IF(S15=S17,0.5,0.0)),""),"")</f>
        <v/>
      </c>
      <c r="AA15">
        <f>IF(ISNUMBER(S15),IF(ISNUMBER(S18),IF(S15&gt;S18,1.0,IF(S15=S18,0.5,0.0)),""),"")</f>
        <v/>
      </c>
      <c r="AB15">
        <f>IF(ISNUMBER(S15),IF(ISNUMBER(S19),IF(S15&gt;S19,1.0,IF(S15=S19,0.5,0.0)),""),"")</f>
        <v/>
      </c>
      <c r="AC15">
        <f>IF(ISNUMBER(S15),IF(ISNUMBER(S20),IF(S15&gt;S20,1.0,IF(S15=S20,0.5,0.0)),""),"")</f>
        <v/>
      </c>
      <c r="AD15" s="14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IF(AND(ISNUMBER(R15),ISNUMBER(R18)),VLOOKUP(ABS(R15-R18),'IMP Table'!$A$2:$C$26,3)*SIGN(R15-R18),0)</f>
        <v/>
      </c>
      <c r="AG15">
        <f>IF(AND(ISNUMBER(R15),ISNUMBER(R19)),VLOOKUP(ABS(R15-R19),'IMP Table'!$A$2:$C$26,3)*SIGN(R15-R19),0)</f>
        <v/>
      </c>
      <c r="AH15">
        <f>IF(AND(ISNUMBER(R15),ISNUMBER(R20)),VLOOKUP(ABS(R15-R20),'IMP Table'!$A$2:$C$26,3)*SIGN(R15-R20),0)</f>
        <v/>
      </c>
      <c r="AI15">
        <f>IF(AND(ISNUMBER(S15),ISNUMBER(S16)),VLOOKUP(ABS(S15-S16),'IMP Table'!$A$2:$C$26,3)*SIGN(S15-S16),0)</f>
        <v/>
      </c>
      <c r="AJ15">
        <f>IF(AND(ISNUMBER(S15),ISNUMBER(S17)),VLOOKUP(ABS(S15-S17),'IMP Table'!$A$2:$C$26,3)*SIGN(S15-S17),0)</f>
        <v/>
      </c>
      <c r="AK15">
        <f>IF(AND(ISNUMBER(S15),ISNUMBER(S18)),VLOOKUP(ABS(S15-S18),'IMP Table'!$A$2:$C$26,3)*SIGN(S15-S18),0)</f>
        <v/>
      </c>
      <c r="AL15">
        <f>IF(AND(ISNUMBER(S15),ISNUMBER(S19)),VLOOKUP(ABS(S15-S19),'IMP Table'!$A$2:$C$26,3)*SIGN(S15-S19),0)</f>
        <v/>
      </c>
      <c r="AM15">
        <f>IF(AND(ISNUMBER(S15),ISNUMBER(S20)),VLOOKUP(ABS(S15-S20),'IMP Table'!$A$2:$C$26,3)*SIGN(S15-S20),0)</f>
        <v/>
      </c>
    </row>
    <row r="16">
      <c r="B16">
        <f>'By Round'!A39</f>
        <v/>
      </c>
      <c r="C16">
        <f>'By Round'!B49</f>
        <v/>
      </c>
      <c r="D16">
        <f>'By Round'!C49</f>
        <v/>
      </c>
      <c r="E16">
        <f>'By Round'!D49</f>
        <v/>
      </c>
      <c r="F16" s="11" t="inlineStr">
        <is>
          <t>EW</t>
        </is>
      </c>
      <c r="G16">
        <f>IF(ISBLANK('By Round'!G49),"",'By Round'!G49)</f>
        <v/>
      </c>
      <c r="H16">
        <f>IF(ISBLANK('By Round'!H49),"",'By Round'!H49)</f>
        <v/>
      </c>
      <c r="I16">
        <f>IF(ISBLANK('By Round'!I49),"",'By Round'!I49)</f>
        <v/>
      </c>
      <c r="J16">
        <f>IF(ISBLANK('By Round'!J49),"",'By Round'!J49)</f>
        <v/>
      </c>
      <c r="K16">
        <f>IF(ISBLANK('By Round'!K49),"",'By Round'!K49)</f>
        <v/>
      </c>
      <c r="L16" s="12">
        <f>SUM(AD16:AH16)</f>
        <v/>
      </c>
      <c r="M16" s="13">
        <f>SUM(AI16:AM16)</f>
        <v/>
      </c>
      <c r="N16" s="8">
        <f>IF(COUNT(T16:X16)&gt;0,P16/COUNT(T16:X16),0.5)</f>
        <v/>
      </c>
      <c r="O16" s="8">
        <f>IF(COUNT(Y16:AC16)&gt;0,Q16/COUNT(Y16:AC16),0.5)</f>
        <v/>
      </c>
      <c r="P16" s="5">
        <f>SUM(T16:X16)</f>
        <v/>
      </c>
      <c r="Q16" s="5">
        <f>SUM(Y16:AC16)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IF(ISNUMBER(R16),IF(ISNUMBER(R19),IF(R16&gt;R19,1.0,IF(R16=R19,0.5,0.0)),""),"")</f>
        <v/>
      </c>
      <c r="X16">
        <f>IF(ISNUMBER(R16),IF(ISNUMBER(R20),IF(R16&gt;R20,1.0,IF(R16=R20,0.5,0.0)),""),"")</f>
        <v/>
      </c>
      <c r="Y16">
        <f>IF(ISNUMBER(S16),IF(ISNUMBER(S15),IF(S16&gt;S15,1.0,IF(S16=S15,0.5,0.0)),""),"")</f>
        <v/>
      </c>
      <c r="Z16">
        <f>IF(ISNUMBER(S16),IF(ISNUMBER(S17),IF(S16&gt;S17,1.0,IF(S16=S17,0.5,0.0)),""),"")</f>
        <v/>
      </c>
      <c r="AA16">
        <f>IF(ISNUMBER(S16),IF(ISNUMBER(S18),IF(S16&gt;S18,1.0,IF(S16=S18,0.5,0.0)),""),"")</f>
        <v/>
      </c>
      <c r="AB16">
        <f>IF(ISNUMBER(S16),IF(ISNUMBER(S19),IF(S16&gt;S19,1.0,IF(S16=S19,0.5,0.0)),""),"")</f>
        <v/>
      </c>
      <c r="AC16">
        <f>IF(ISNUMBER(S16),IF(ISNUMBER(S20),IF(S16&gt;S20,1.0,IF(S16=S20,0.5,0.0)),""),"")</f>
        <v/>
      </c>
      <c r="AD16" s="14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IF(AND(ISNUMBER(R16),ISNUMBER(R18)),VLOOKUP(ABS(R16-R18),'IMP Table'!$A$2:$C$26,3)*SIGN(R16-R18),0)</f>
        <v/>
      </c>
      <c r="AG16">
        <f>IF(AND(ISNUMBER(R16),ISNUMBER(R19)),VLOOKUP(ABS(R16-R19),'IMP Table'!$A$2:$C$26,3)*SIGN(R16-R19),0)</f>
        <v/>
      </c>
      <c r="AH16">
        <f>IF(AND(ISNUMBER(R16),ISNUMBER(R20)),VLOOKUP(ABS(R16-R20),'IMP Table'!$A$2:$C$26,3)*SIGN(R16-R20),0)</f>
        <v/>
      </c>
      <c r="AI16">
        <f>IF(AND(ISNUMBER(S16),ISNUMBER(S15)),VLOOKUP(ABS(S16-S15),'IMP Table'!$A$2:$C$26,3)*SIGN(S16-S15),0)</f>
        <v/>
      </c>
      <c r="AJ16">
        <f>IF(AND(ISNUMBER(S16),ISNUMBER(S17)),VLOOKUP(ABS(S16-S17),'IMP Table'!$A$2:$C$26,3)*SIGN(S16-S17),0)</f>
        <v/>
      </c>
      <c r="AK16">
        <f>IF(AND(ISNUMBER(S16),ISNUMBER(S18)),VLOOKUP(ABS(S16-S18),'IMP Table'!$A$2:$C$26,3)*SIGN(S16-S18),0)</f>
        <v/>
      </c>
      <c r="AL16">
        <f>IF(AND(ISNUMBER(S16),ISNUMBER(S19)),VLOOKUP(ABS(S16-S19),'IMP Table'!$A$2:$C$26,3)*SIGN(S16-S19),0)</f>
        <v/>
      </c>
      <c r="AM16">
        <f>IF(AND(ISNUMBER(S16),ISNUMBER(S20)),VLOOKUP(ABS(S16-S20),'IMP Table'!$A$2:$C$26,3)*SIGN(S16-S20),0)</f>
        <v/>
      </c>
    </row>
    <row r="17">
      <c r="B17">
        <f>'By Round'!A51</f>
        <v/>
      </c>
      <c r="C17">
        <f>'By Round'!B59</f>
        <v/>
      </c>
      <c r="D17">
        <f>'By Round'!C59</f>
        <v/>
      </c>
      <c r="E17">
        <f>'By Round'!D59</f>
        <v/>
      </c>
      <c r="F17" s="11" t="inlineStr">
        <is>
          <t>EW</t>
        </is>
      </c>
      <c r="G17">
        <f>IF(ISBLANK('By Round'!G59),"",'By Round'!G59)</f>
        <v/>
      </c>
      <c r="H17">
        <f>IF(ISBLANK('By Round'!H59),"",'By Round'!H59)</f>
        <v/>
      </c>
      <c r="I17">
        <f>IF(ISBLANK('By Round'!I59),"",'By Round'!I59)</f>
        <v/>
      </c>
      <c r="J17">
        <f>IF(ISBLANK('By Round'!J59),"",'By Round'!J59)</f>
        <v/>
      </c>
      <c r="K17">
        <f>IF(ISBLANK('By Round'!K59),"",'By Round'!K59)</f>
        <v/>
      </c>
      <c r="L17" s="12">
        <f>SUM(AD17:AH17)</f>
        <v/>
      </c>
      <c r="M17" s="13">
        <f>SUM(AI17:AM17)</f>
        <v/>
      </c>
      <c r="N17" s="8">
        <f>IF(COUNT(T17:X17)&gt;0,P17/COUNT(T17:X17),0.5)</f>
        <v/>
      </c>
      <c r="O17" s="8">
        <f>IF(COUNT(Y17:AC17)&gt;0,Q17/COUNT(Y17:AC17),0.5)</f>
        <v/>
      </c>
      <c r="P17" s="5">
        <f>SUM(T17:X17)</f>
        <v/>
      </c>
      <c r="Q17" s="5">
        <f>SUM(Y17:AC17)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IF(ISNUMBER(R17),IF(ISNUMBER(R19),IF(R17&gt;R19,1.0,IF(R17=R19,0.5,0.0)),""),"")</f>
        <v/>
      </c>
      <c r="X17">
        <f>IF(ISNUMBER(R17),IF(ISNUMBER(R20),IF(R17&gt;R20,1.0,IF(R17=R20,0.5,0.0)),""),"")</f>
        <v/>
      </c>
      <c r="Y17">
        <f>IF(ISNUMBER(S17),IF(ISNUMBER(S15),IF(S17&gt;S15,1.0,IF(S17=S15,0.5,0.0)),""),"")</f>
        <v/>
      </c>
      <c r="Z17">
        <f>IF(ISNUMBER(S17),IF(ISNUMBER(S16),IF(S17&gt;S16,1.0,IF(S17=S16,0.5,0.0)),""),"")</f>
        <v/>
      </c>
      <c r="AA17">
        <f>IF(ISNUMBER(S17),IF(ISNUMBER(S18),IF(S17&gt;S18,1.0,IF(S17=S18,0.5,0.0)),""),"")</f>
        <v/>
      </c>
      <c r="AB17">
        <f>IF(ISNUMBER(S17),IF(ISNUMBER(S19),IF(S17&gt;S19,1.0,IF(S17=S19,0.5,0.0)),""),"")</f>
        <v/>
      </c>
      <c r="AC17">
        <f>IF(ISNUMBER(S17),IF(ISNUMBER(S20),IF(S17&gt;S20,1.0,IF(S17=S20,0.5,0.0)),""),"")</f>
        <v/>
      </c>
      <c r="AD17" s="14">
        <f>IF(AND(ISNUMBER(R17),ISNUMBER(R15)),VLOOKUP(ABS(R17-R15),'IMP Table'!$A$2:$C$26,3)*SIGN(R17-R15),0)</f>
        <v/>
      </c>
      <c r="AE17">
        <f>IF(AND(ISNUMBER(R17),ISNUMBER(R16)),VLOOKUP(ABS(R17-R16),'IMP Table'!$A$2:$C$26,3)*SIGN(R17-R16),0)</f>
        <v/>
      </c>
      <c r="AF17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IF(AND(ISNUMBER(S17),ISNUMBER(S15)),VLOOKUP(ABS(S17-S15),'IMP Table'!$A$2:$C$26,3)*SIGN(S17-S15),0)</f>
        <v/>
      </c>
      <c r="AJ17">
        <f>IF(AND(ISNUMBER(S17),ISNUMBER(S16)),VLOOKUP(ABS(S17-S16),'IMP Table'!$A$2:$C$26,3)*SIGN(S17-S16),0)</f>
        <v/>
      </c>
      <c r="AK17">
        <f>IF(AND(ISNUMBER(S17),ISNUMBER(S18)),VLOOKUP(ABS(S17-S18),'IMP Table'!$A$2:$C$26,3)*SIGN(S17-S18),0)</f>
        <v/>
      </c>
      <c r="AL17">
        <f>IF(AND(ISNUMBER(S17),ISNUMBER(S19)),VLOOKUP(ABS(S17-S19),'IMP Table'!$A$2:$C$26,3)*SIGN(S17-S19),0)</f>
        <v/>
      </c>
      <c r="AM17">
        <f>IF(AND(ISNUMBER(S17),ISNUMBER(S20)),VLOOKUP(ABS(S17-S20),'IMP Table'!$A$2:$C$26,3)*SIGN(S17-S20),0)</f>
        <v/>
      </c>
    </row>
    <row r="18">
      <c r="B18">
        <f>'By Round'!A63</f>
        <v/>
      </c>
      <c r="C18">
        <f>'By Round'!B69</f>
        <v/>
      </c>
      <c r="D18">
        <f>'By Round'!C69</f>
        <v/>
      </c>
      <c r="E18">
        <f>'By Round'!D69</f>
        <v/>
      </c>
      <c r="F18" s="11" t="inlineStr">
        <is>
          <t>EW</t>
        </is>
      </c>
      <c r="G18">
        <f>IF(ISBLANK('By Round'!G69),"",'By Round'!G69)</f>
        <v/>
      </c>
      <c r="H18">
        <f>IF(ISBLANK('By Round'!H69),"",'By Round'!H69)</f>
        <v/>
      </c>
      <c r="I18">
        <f>IF(ISBLANK('By Round'!I69),"",'By Round'!I69)</f>
        <v/>
      </c>
      <c r="J18">
        <f>IF(ISBLANK('By Round'!J69),"",'By Round'!J69)</f>
        <v/>
      </c>
      <c r="K18">
        <f>IF(ISBLANK('By Round'!K69),"",'By Round'!K69)</f>
        <v/>
      </c>
      <c r="L18" s="12">
        <f>SUM(AD18:AH18)</f>
        <v/>
      </c>
      <c r="M18" s="13">
        <f>SUM(AI18:AM18)</f>
        <v/>
      </c>
      <c r="N18" s="8">
        <f>IF(COUNT(T18:X18)&gt;0,P18/COUNT(T18:X18),0.5)</f>
        <v/>
      </c>
      <c r="O18" s="8">
        <f>IF(COUNT(Y18:AC18)&gt;0,Q18/COUNT(Y18:AC18),0.5)</f>
        <v/>
      </c>
      <c r="P18" s="5">
        <f>SUM(T18:X18)</f>
        <v/>
      </c>
      <c r="Q18" s="5">
        <f>SUM(Y18:AC18)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IF(ISNUMBER(R18),IF(ISNUMBER(R15),IF(R18&gt;R15,1.0,IF(R18=R15,0.5,0.0)),""),"")</f>
        <v/>
      </c>
      <c r="U18">
        <f>IF(ISNUMBER(R18),IF(ISNUMBER(R16),IF(R18&gt;R16,1.0,IF(R18=R16,0.5,0.0)),""),"")</f>
        <v/>
      </c>
      <c r="V18">
        <f>IF(ISNUMBER(R18),IF(ISNUMBER(R17),IF(R18&gt;R17,1.0,IF(R18=R17,0.5,0.0)),""),"")</f>
        <v/>
      </c>
      <c r="W18">
        <f>IF(ISNUMBER(R18),IF(ISNUMBER(R19),IF(R18&gt;R19,1.0,IF(R18=R19,0.5,0.0)),""),"")</f>
        <v/>
      </c>
      <c r="X18">
        <f>IF(ISNUMBER(R18),IF(ISNUMBER(R20),IF(R18&gt;R20,1.0,IF(R18=R20,0.5,0.0)),""),"")</f>
        <v/>
      </c>
      <c r="Y18">
        <f>IF(ISNUMBER(S18),IF(ISNUMBER(S15),IF(S18&gt;S15,1.0,IF(S18=S15,0.5,0.0)),""),"")</f>
        <v/>
      </c>
      <c r="Z18">
        <f>IF(ISNUMBER(S18),IF(ISNUMBER(S16),IF(S18&gt;S16,1.0,IF(S18=S16,0.5,0.0)),""),"")</f>
        <v/>
      </c>
      <c r="AA18">
        <f>IF(ISNUMBER(S18),IF(ISNUMBER(S17),IF(S18&gt;S17,1.0,IF(S18=S17,0.5,0.0)),""),"")</f>
        <v/>
      </c>
      <c r="AB18">
        <f>IF(ISNUMBER(S18),IF(ISNUMBER(S19),IF(S18&gt;S19,1.0,IF(S18=S19,0.5,0.0)),""),"")</f>
        <v/>
      </c>
      <c r="AC18">
        <f>IF(ISNUMBER(S18),IF(ISNUMBER(S20),IF(S18&gt;S20,1.0,IF(S18=S20,0.5,0.0)),""),"")</f>
        <v/>
      </c>
      <c r="AD18" s="14">
        <f>IF(AND(ISNUMBER(R18),ISNUMBER(R15)),VLOOKUP(ABS(R18-R15),'IMP Table'!$A$2:$C$26,3)*SIGN(R18-R15),0)</f>
        <v/>
      </c>
      <c r="AE18">
        <f>IF(AND(ISNUMBER(R18),ISNUMBER(R16)),VLOOKUP(ABS(R18-R16),'IMP Table'!$A$2:$C$26,3)*SIGN(R18-R16),0)</f>
        <v/>
      </c>
      <c r="AF18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IF(AND(ISNUMBER(S18),ISNUMBER(S15)),VLOOKUP(ABS(S18-S15),'IMP Table'!$A$2:$C$26,3)*SIGN(S18-S15),0)</f>
        <v/>
      </c>
      <c r="AJ18">
        <f>IF(AND(ISNUMBER(S18),ISNUMBER(S16)),VLOOKUP(ABS(S18-S16),'IMP Table'!$A$2:$C$26,3)*SIGN(S18-S16),0)</f>
        <v/>
      </c>
      <c r="AK18">
        <f>IF(AND(ISNUMBER(S18),ISNUMBER(S17)),VLOOKUP(ABS(S18-S17),'IMP Table'!$A$2:$C$26,3)*SIGN(S18-S17),0)</f>
        <v/>
      </c>
      <c r="AL18">
        <f>IF(AND(ISNUMBER(S18),ISNUMBER(S19)),VLOOKUP(ABS(S18-S19),'IMP Table'!$A$2:$C$26,3)*SIGN(S18-S19),0)</f>
        <v/>
      </c>
      <c r="AM18">
        <f>IF(AND(ISNUMBER(S18),ISNUMBER(S20)),VLOOKUP(ABS(S18-S20),'IMP Table'!$A$2:$C$26,3)*SIGN(S18-S20),0)</f>
        <v/>
      </c>
    </row>
    <row r="19">
      <c r="B19">
        <f>'By Round'!A87</f>
        <v/>
      </c>
      <c r="C19">
        <f>'By Round'!B91</f>
        <v/>
      </c>
      <c r="D19">
        <f>'By Round'!C91</f>
        <v/>
      </c>
      <c r="E19">
        <f>'By Round'!D91</f>
        <v/>
      </c>
      <c r="F19" s="11" t="inlineStr">
        <is>
          <t>EW</t>
        </is>
      </c>
      <c r="G19">
        <f>IF(ISBLANK('By Round'!G91),"",'By Round'!G91)</f>
        <v/>
      </c>
      <c r="H19">
        <f>IF(ISBLANK('By Round'!H91),"",'By Round'!H91)</f>
        <v/>
      </c>
      <c r="I19">
        <f>IF(ISBLANK('By Round'!I91),"",'By Round'!I91)</f>
        <v/>
      </c>
      <c r="J19">
        <f>IF(ISBLANK('By Round'!J91),"",'By Round'!J91)</f>
        <v/>
      </c>
      <c r="K19">
        <f>IF(ISBLANK('By Round'!K91),"",'By Round'!K91)</f>
        <v/>
      </c>
      <c r="L19" s="12">
        <f>SUM(AD19:AH19)</f>
        <v/>
      </c>
      <c r="M19" s="13">
        <f>SUM(AI19:AM19)</f>
        <v/>
      </c>
      <c r="N19" s="8">
        <f>IF(COUNT(T19:X19)&gt;0,P19/COUNT(T19:X19),0.5)</f>
        <v/>
      </c>
      <c r="O19" s="8">
        <f>IF(COUNT(Y19:AC19)&gt;0,Q19/COUNT(Y19:AC19),0.5)</f>
        <v/>
      </c>
      <c r="P19" s="5">
        <f>SUM(T19:X19)</f>
        <v/>
      </c>
      <c r="Q19" s="5">
        <f>SUM(Y19:AC19)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IF(ISNUMBER(R19),IF(ISNUMBER(R15),IF(R19&gt;R15,1.0,IF(R19=R15,0.5,0.0)),""),"")</f>
        <v/>
      </c>
      <c r="U19">
        <f>IF(ISNUMBER(R19),IF(ISNUMBER(R16),IF(R19&gt;R16,1.0,IF(R19=R16,0.5,0.0)),""),"")</f>
        <v/>
      </c>
      <c r="V19">
        <f>IF(ISNUMBER(R19),IF(ISNUMBER(R17),IF(R19&gt;R17,1.0,IF(R19=R17,0.5,0.0)),""),"")</f>
        <v/>
      </c>
      <c r="W19">
        <f>IF(ISNUMBER(R19),IF(ISNUMBER(R18),IF(R19&gt;R18,1.0,IF(R19=R18,0.5,0.0)),""),"")</f>
        <v/>
      </c>
      <c r="X19">
        <f>IF(ISNUMBER(R19),IF(ISNUMBER(R20),IF(R19&gt;R20,1.0,IF(R19=R20,0.5,0.0)),""),"")</f>
        <v/>
      </c>
      <c r="Y19">
        <f>IF(ISNUMBER(S19),IF(ISNUMBER(S15),IF(S19&gt;S15,1.0,IF(S19=S15,0.5,0.0)),""),"")</f>
        <v/>
      </c>
      <c r="Z19">
        <f>IF(ISNUMBER(S19),IF(ISNUMBER(S16),IF(S19&gt;S16,1.0,IF(S19=S16,0.5,0.0)),""),"")</f>
        <v/>
      </c>
      <c r="AA19">
        <f>IF(ISNUMBER(S19),IF(ISNUMBER(S17),IF(S19&gt;S17,1.0,IF(S19=S17,0.5,0.0)),""),"")</f>
        <v/>
      </c>
      <c r="AB19">
        <f>IF(ISNUMBER(S19),IF(ISNUMBER(S18),IF(S19&gt;S18,1.0,IF(S19=S18,0.5,0.0)),""),"")</f>
        <v/>
      </c>
      <c r="AC19">
        <f>IF(ISNUMBER(S19),IF(ISNUMBER(S20),IF(S19&gt;S20,1.0,IF(S19=S20,0.5,0.0)),""),"")</f>
        <v/>
      </c>
      <c r="AD19" s="14">
        <f>IF(AND(ISNUMBER(R19),ISNUMBER(R15)),VLOOKUP(ABS(R19-R15),'IMP Table'!$A$2:$C$26,3)*SIGN(R19-R15),0)</f>
        <v/>
      </c>
      <c r="AE19">
        <f>IF(AND(ISNUMBER(R19),ISNUMBER(R16)),VLOOKUP(ABS(R19-R16),'IMP Table'!$A$2:$C$26,3)*SIGN(R19-R16),0)</f>
        <v/>
      </c>
      <c r="AF19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IF(AND(ISNUMBER(S19),ISNUMBER(S15)),VLOOKUP(ABS(S19-S15),'IMP Table'!$A$2:$C$26,3)*SIGN(S19-S15),0)</f>
        <v/>
      </c>
      <c r="AJ19">
        <f>IF(AND(ISNUMBER(S19),ISNUMBER(S16)),VLOOKUP(ABS(S19-S16),'IMP Table'!$A$2:$C$26,3)*SIGN(S19-S16),0)</f>
        <v/>
      </c>
      <c r="AK19">
        <f>IF(AND(ISNUMBER(S19),ISNUMBER(S17)),VLOOKUP(ABS(S19-S17),'IMP Table'!$A$2:$C$26,3)*SIGN(S19-S17),0)</f>
        <v/>
      </c>
      <c r="AL19">
        <f>IF(AND(ISNUMBER(S19),ISNUMBER(S18)),VLOOKUP(ABS(S19-S18),'IMP Table'!$A$2:$C$26,3)*SIGN(S19-S18),0)</f>
        <v/>
      </c>
      <c r="AM19">
        <f>IF(AND(ISNUMBER(S19),ISNUMBER(S20)),VLOOKUP(ABS(S19-S20),'IMP Table'!$A$2:$C$26,3)*SIGN(S19-S20),0)</f>
        <v/>
      </c>
    </row>
    <row r="20">
      <c r="A20" s="15" t="n"/>
      <c r="B20" s="15">
        <f>'By Round'!A99</f>
        <v/>
      </c>
      <c r="C20" s="15">
        <f>'By Round'!B101</f>
        <v/>
      </c>
      <c r="D20" s="15">
        <f>'By Round'!C101</f>
        <v/>
      </c>
      <c r="E20" s="15">
        <f>'By Round'!D101</f>
        <v/>
      </c>
      <c r="F20" s="16" t="inlineStr">
        <is>
          <t>EW</t>
        </is>
      </c>
      <c r="G20" s="15">
        <f>IF(ISBLANK('By Round'!G101),"",'By Round'!G101)</f>
        <v/>
      </c>
      <c r="H20" s="15">
        <f>IF(ISBLANK('By Round'!H101),"",'By Round'!H101)</f>
        <v/>
      </c>
      <c r="I20" s="15">
        <f>IF(ISBLANK('By Round'!I101),"",'By Round'!I101)</f>
        <v/>
      </c>
      <c r="J20" s="15">
        <f>IF(ISBLANK('By Round'!J101),"",'By Round'!J101)</f>
        <v/>
      </c>
      <c r="K20" s="15">
        <f>IF(ISBLANK('By Round'!K101),"",'By Round'!K101)</f>
        <v/>
      </c>
      <c r="L20" s="17">
        <f>SUM(AD20:AH20)</f>
        <v/>
      </c>
      <c r="M20" s="18">
        <f>SUM(AI20:AM20)</f>
        <v/>
      </c>
      <c r="N20" s="19">
        <f>IF(COUNT(T20:X20)&gt;0,P20/COUNT(T20:X20),0.5)</f>
        <v/>
      </c>
      <c r="O20" s="19">
        <f>IF(COUNT(Y20:AC20)&gt;0,Q20/COUNT(Y20:AC20),0.5)</f>
        <v/>
      </c>
      <c r="P20" s="20">
        <f>SUM(T20:X20)</f>
        <v/>
      </c>
      <c r="Q20" s="20">
        <f>SUM(Y20:AC20)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IF(ISNUMBER(R20),IF(ISNUMBER(R15),IF(R20&gt;R15,1.0,IF(R20=R15,0.5,0.0)),""),"")</f>
        <v/>
      </c>
      <c r="U20" s="15">
        <f>IF(ISNUMBER(R20),IF(ISNUMBER(R16),IF(R20&gt;R16,1.0,IF(R20=R16,0.5,0.0)),""),"")</f>
        <v/>
      </c>
      <c r="V20" s="15">
        <f>IF(ISNUMBER(R20),IF(ISNUMBER(R17),IF(R20&gt;R17,1.0,IF(R20=R17,0.5,0.0)),""),"")</f>
        <v/>
      </c>
      <c r="W20" s="15">
        <f>IF(ISNUMBER(R20),IF(ISNUMBER(R18),IF(R20&gt;R18,1.0,IF(R20=R18,0.5,0.0)),""),"")</f>
        <v/>
      </c>
      <c r="X20" s="15">
        <f>IF(ISNUMBER(R20),IF(ISNUMBER(R19),IF(R20&gt;R19,1.0,IF(R20=R19,0.5,0.0)),""),"")</f>
        <v/>
      </c>
      <c r="Y20" s="15">
        <f>IF(ISNUMBER(S20),IF(ISNUMBER(S15),IF(S20&gt;S15,1.0,IF(S20=S15,0.5,0.0)),""),"")</f>
        <v/>
      </c>
      <c r="Z20" s="15">
        <f>IF(ISNUMBER(S20),IF(ISNUMBER(S16),IF(S20&gt;S16,1.0,IF(S20=S16,0.5,0.0)),""),"")</f>
        <v/>
      </c>
      <c r="AA20" s="15">
        <f>IF(ISNUMBER(S20),IF(ISNUMBER(S17),IF(S20&gt;S17,1.0,IF(S20=S17,0.5,0.0)),""),"")</f>
        <v/>
      </c>
      <c r="AB20" s="15">
        <f>IF(ISNUMBER(S20),IF(ISNUMBER(S18),IF(S20&gt;S18,1.0,IF(S20=S18,0.5,0.0)),""),"")</f>
        <v/>
      </c>
      <c r="AC20" s="15">
        <f>IF(ISNUMBER(S20),IF(ISNUMBER(S19),IF(S20&gt;S19,1.0,IF(S20=S19,0.5,0.0)),""),"")</f>
        <v/>
      </c>
      <c r="AD20" s="21">
        <f>IF(AND(ISNUMBER(R20),ISNUMBER(R15)),VLOOKUP(ABS(R20-R15),'IMP Table'!$A$2:$C$26,3)*SIGN(R20-R15),0)</f>
        <v/>
      </c>
      <c r="AE20" s="15">
        <f>IF(AND(ISNUMBER(R20),ISNUMBER(R16)),VLOOKUP(ABS(R20-R16),'IMP Table'!$A$2:$C$26,3)*SIGN(R20-R16),0)</f>
        <v/>
      </c>
      <c r="AF20" s="15">
        <f>IF(AND(ISNUMBER(R20),ISNUMBER(R17)),VLOOKUP(ABS(R20-R17),'IMP Table'!$A$2:$C$26,3)*SIGN(R20-R17),0)</f>
        <v/>
      </c>
      <c r="AG20" s="15">
        <f>IF(AND(ISNUMBER(R20),ISNUMBER(R18)),VLOOKUP(ABS(R20-R18),'IMP Table'!$A$2:$C$26,3)*SIGN(R20-R18),0)</f>
        <v/>
      </c>
      <c r="AH20" s="15">
        <f>IF(AND(ISNUMBER(R20),ISNUMBER(R19)),VLOOKUP(ABS(R20-R19),'IMP Table'!$A$2:$C$26,3)*SIGN(R20-R19),0)</f>
        <v/>
      </c>
      <c r="AI20" s="15">
        <f>IF(AND(ISNUMBER(S20),ISNUMBER(S15)),VLOOKUP(ABS(S20-S15),'IMP Table'!$A$2:$C$26,3)*SIGN(S20-S15),0)</f>
        <v/>
      </c>
      <c r="AJ20" s="15">
        <f>IF(AND(ISNUMBER(S20),ISNUMBER(S16)),VLOOKUP(ABS(S20-S16),'IMP Table'!$A$2:$C$26,3)*SIGN(S20-S16),0)</f>
        <v/>
      </c>
      <c r="AK20" s="15">
        <f>IF(AND(ISNUMBER(S20),ISNUMBER(S17)),VLOOKUP(ABS(S20-S17),'IMP Table'!$A$2:$C$26,3)*SIGN(S20-S17),0)</f>
        <v/>
      </c>
      <c r="AL20" s="15">
        <f>IF(AND(ISNUMBER(S20),ISNUMBER(S18)),VLOOKUP(ABS(S20-S18),'IMP Table'!$A$2:$C$26,3)*SIGN(S20-S18),0)</f>
        <v/>
      </c>
      <c r="AM20" s="15">
        <f>IF(AND(ISNUMBER(S20),ISNUMBER(S19)),VLOOKUP(ABS(S20-S19),'IMP Table'!$A$2:$C$26,3)*SIGN(S20-S19),0)</f>
        <v/>
      </c>
    </row>
    <row r="21">
      <c r="A21" t="n">
        <v>4</v>
      </c>
      <c r="B21">
        <f>'By Round'!A15</f>
        <v/>
      </c>
      <c r="C21">
        <f>'By Round'!B15</f>
        <v/>
      </c>
      <c r="D21">
        <f>'By Round'!C15</f>
        <v/>
      </c>
      <c r="E21">
        <f>'By Round'!D15</f>
        <v/>
      </c>
      <c r="F21" s="11" t="inlineStr">
        <is>
          <t>Both</t>
        </is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 s="12">
        <f>SUM(AD21:AH21)</f>
        <v/>
      </c>
      <c r="M21" s="13">
        <f>SUM(AI21:AM21)</f>
        <v/>
      </c>
      <c r="N21" s="8">
        <f>IF(COUNT(T21:X21)&gt;0,P21/COUNT(T21:X21),0.5)</f>
        <v/>
      </c>
      <c r="O21" s="8">
        <f>IF(COUNT(Y21:AC21)&gt;0,Q21/COUNT(Y21:AC21),0.5)</f>
        <v/>
      </c>
      <c r="P21" s="5">
        <f>SUM(T21:X21)</f>
        <v/>
      </c>
      <c r="Q21" s="5">
        <f>SUM(Y21:AC21)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IF(ISNUMBER(R21),IF(ISNUMBER(R24),IF(R21&gt;R24,1.0,IF(R21=R24,0.5,0.0)),""),"")</f>
        <v/>
      </c>
      <c r="W21">
        <f>IF(ISNUMBER(R21),IF(ISNUMBER(R25),IF(R21&gt;R25,1.0,IF(R21=R25,0.5,0.0)),""),"")</f>
        <v/>
      </c>
      <c r="X21">
        <f>IF(ISNUMBER(R21),IF(ISNUMBER(R26),IF(R21&gt;R26,1.0,IF(R21=R26,0.5,0.0)),""),"")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IF(ISNUMBER(S21),IF(ISNUMBER(S24),IF(S21&gt;S24,1.0,IF(S21=S24,0.5,0.0)),""),"")</f>
        <v/>
      </c>
      <c r="AB21">
        <f>IF(ISNUMBER(S21),IF(ISNUMBER(S25),IF(S21&gt;S25,1.0,IF(S21=S25,0.5,0.0)),""),"")</f>
        <v/>
      </c>
      <c r="AC21">
        <f>IF(ISNUMBER(S21),IF(ISNUMBER(S26),IF(S21&gt;S26,1.0,IF(S21=S26,0.5,0.0)),""),"")</f>
        <v/>
      </c>
      <c r="AD21" s="14">
        <f>IF(AND(ISNUMBER(R21),ISNUMBER(R22)),VLOOKUP(ABS(R21-R22),'IMP Table'!$A$2:$C$26,3)*SIGN(R21-R22),0)</f>
        <v/>
      </c>
      <c r="AE21">
        <f>IF(AND(ISNUMBER(R21),ISNUMBER(R23)),VLOOKUP(ABS(R21-R23),'IMP Table'!$A$2:$C$26,3)*SIGN(R21-R23),0)</f>
        <v/>
      </c>
      <c r="AF21">
        <f>IF(AND(ISNUMBER(R21),ISNUMBER(R24)),VLOOKUP(ABS(R21-R24),'IMP Table'!$A$2:$C$26,3)*SIGN(R21-R24),0)</f>
        <v/>
      </c>
      <c r="AG21">
        <f>IF(AND(ISNUMBER(R21),ISNUMBER(R25)),VLOOKUP(ABS(R21-R25),'IMP Table'!$A$2:$C$26,3)*SIGN(R21-R25),0)</f>
        <v/>
      </c>
      <c r="AH21">
        <f>IF(AND(ISNUMBER(R21),ISNUMBER(R26)),VLOOKUP(ABS(R21-R26),'IMP Table'!$A$2:$C$26,3)*SIGN(R21-R26),0)</f>
        <v/>
      </c>
      <c r="AI21">
        <f>IF(AND(ISNUMBER(S21),ISNUMBER(S22)),VLOOKUP(ABS(S21-S22),'IMP Table'!$A$2:$C$26,3)*SIGN(S21-S22),0)</f>
        <v/>
      </c>
      <c r="AJ21">
        <f>IF(AND(ISNUMBER(S21),ISNUMBER(S23)),VLOOKUP(ABS(S21-S23),'IMP Table'!$A$2:$C$26,3)*SIGN(S21-S23),0)</f>
        <v/>
      </c>
      <c r="AK21">
        <f>IF(AND(ISNUMBER(S21),ISNUMBER(S24)),VLOOKUP(ABS(S21-S24),'IMP Table'!$A$2:$C$26,3)*SIGN(S21-S24),0)</f>
        <v/>
      </c>
      <c r="AL21">
        <f>IF(AND(ISNUMBER(S21),ISNUMBER(S25)),VLOOKUP(ABS(S21-S25),'IMP Table'!$A$2:$C$26,3)*SIGN(S21-S25),0)</f>
        <v/>
      </c>
      <c r="AM21">
        <f>IF(AND(ISNUMBER(S21),ISNUMBER(S26)),VLOOKUP(ABS(S21-S26),'IMP Table'!$A$2:$C$26,3)*SIGN(S21-S26),0)</f>
        <v/>
      </c>
    </row>
    <row r="22">
      <c r="B22">
        <f>'By Round'!A39</f>
        <v/>
      </c>
      <c r="C22">
        <f>'By Round'!B49</f>
        <v/>
      </c>
      <c r="D22">
        <f>'By Round'!C49</f>
        <v/>
      </c>
      <c r="E22">
        <f>'By Round'!D49</f>
        <v/>
      </c>
      <c r="F22" s="11" t="inlineStr">
        <is>
          <t>Both</t>
        </is>
      </c>
      <c r="G22">
        <f>IF(ISBLANK('By Round'!G49),"",'By Round'!G49)</f>
        <v/>
      </c>
      <c r="H22">
        <f>IF(ISBLANK('By Round'!H49),"",'By Round'!H49)</f>
        <v/>
      </c>
      <c r="I22">
        <f>IF(ISBLANK('By Round'!I49),"",'By Round'!I49)</f>
        <v/>
      </c>
      <c r="J22">
        <f>IF(ISBLANK('By Round'!J49),"",'By Round'!J49)</f>
        <v/>
      </c>
      <c r="K22">
        <f>IF(ISBLANK('By Round'!K49),"",'By Round'!K49)</f>
        <v/>
      </c>
      <c r="L22" s="12">
        <f>SUM(AD22:AH22)</f>
        <v/>
      </c>
      <c r="M22" s="13">
        <f>SUM(AI22:AM22)</f>
        <v/>
      </c>
      <c r="N22" s="8">
        <f>IF(COUNT(T22:X22)&gt;0,P22/COUNT(T22:X22),0.5)</f>
        <v/>
      </c>
      <c r="O22" s="8">
        <f>IF(COUNT(Y22:AC22)&gt;0,Q22/COUNT(Y22:AC22),0.5)</f>
        <v/>
      </c>
      <c r="P22" s="5">
        <f>SUM(T22:X22)</f>
        <v/>
      </c>
      <c r="Q22" s="5">
        <f>SUM(Y22:AC22)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IF(ISNUMBER(R22),IF(ISNUMBER(R24),IF(R22&gt;R24,1.0,IF(R22=R24,0.5,0.0)),""),"")</f>
        <v/>
      </c>
      <c r="W22">
        <f>IF(ISNUMBER(R22),IF(ISNUMBER(R25),IF(R22&gt;R25,1.0,IF(R22=R25,0.5,0.0)),""),"")</f>
        <v/>
      </c>
      <c r="X22">
        <f>IF(ISNUMBER(R22),IF(ISNUMBER(R26),IF(R22&gt;R26,1.0,IF(R22=R26,0.5,0.0)),""),"")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IF(ISNUMBER(S22),IF(ISNUMBER(S24),IF(S22&gt;S24,1.0,IF(S22=S24,0.5,0.0)),""),"")</f>
        <v/>
      </c>
      <c r="AB22">
        <f>IF(ISNUMBER(S22),IF(ISNUMBER(S25),IF(S22&gt;S25,1.0,IF(S22=S25,0.5,0.0)),""),"")</f>
        <v/>
      </c>
      <c r="AC22">
        <f>IF(ISNUMBER(S22),IF(ISNUMBER(S26),IF(S22&gt;S26,1.0,IF(S22=S26,0.5,0.0)),""),"")</f>
        <v/>
      </c>
      <c r="AD22" s="14">
        <f>IF(AND(ISNUMBER(R22),ISNUMBER(R21)),VLOOKUP(ABS(R22-R21),'IMP Table'!$A$2:$C$26,3)*SIGN(R22-R21),0)</f>
        <v/>
      </c>
      <c r="AE22">
        <f>IF(AND(ISNUMBER(R22),ISNUMBER(R23)),VLOOKUP(ABS(R22-R23),'IMP Table'!$A$2:$C$26,3)*SIGN(R22-R23),0)</f>
        <v/>
      </c>
      <c r="AF22">
        <f>IF(AND(ISNUMBER(R22),ISNUMBER(R24)),VLOOKUP(ABS(R22-R24),'IMP Table'!$A$2:$C$26,3)*SIGN(R22-R24),0)</f>
        <v/>
      </c>
      <c r="AG22">
        <f>IF(AND(ISNUMBER(R22),ISNUMBER(R25)),VLOOKUP(ABS(R22-R25),'IMP Table'!$A$2:$C$26,3)*SIGN(R22-R25),0)</f>
        <v/>
      </c>
      <c r="AH22">
        <f>IF(AND(ISNUMBER(R22),ISNUMBER(R26)),VLOOKUP(ABS(R22-R26),'IMP Table'!$A$2:$C$26,3)*SIGN(R22-R26),0)</f>
        <v/>
      </c>
      <c r="AI22">
        <f>IF(AND(ISNUMBER(S22),ISNUMBER(S21)),VLOOKUP(ABS(S22-S21),'IMP Table'!$A$2:$C$26,3)*SIGN(S22-S21),0)</f>
        <v/>
      </c>
      <c r="AJ22">
        <f>IF(AND(ISNUMBER(S22),ISNUMBER(S23)),VLOOKUP(ABS(S22-S23),'IMP Table'!$A$2:$C$26,3)*SIGN(S22-S23),0)</f>
        <v/>
      </c>
      <c r="AK22">
        <f>IF(AND(ISNUMBER(S22),ISNUMBER(S24)),VLOOKUP(ABS(S22-S24),'IMP Table'!$A$2:$C$26,3)*SIGN(S22-S24),0)</f>
        <v/>
      </c>
      <c r="AL22">
        <f>IF(AND(ISNUMBER(S22),ISNUMBER(S25)),VLOOKUP(ABS(S22-S25),'IMP Table'!$A$2:$C$26,3)*SIGN(S22-S25),0)</f>
        <v/>
      </c>
      <c r="AM22">
        <f>IF(AND(ISNUMBER(S22),ISNUMBER(S26)),VLOOKUP(ABS(S22-S26),'IMP Table'!$A$2:$C$26,3)*SIGN(S22-S26),0)</f>
        <v/>
      </c>
    </row>
    <row r="23">
      <c r="B23">
        <f>'By Round'!A51</f>
        <v/>
      </c>
      <c r="C23">
        <f>'By Round'!B59</f>
        <v/>
      </c>
      <c r="D23">
        <f>'By Round'!C59</f>
        <v/>
      </c>
      <c r="E23">
        <f>'By Round'!D59</f>
        <v/>
      </c>
      <c r="F23" s="11" t="inlineStr">
        <is>
          <t>Both</t>
        </is>
      </c>
      <c r="G23">
        <f>IF(ISBLANK('By Round'!G59),"",'By Round'!G59)</f>
        <v/>
      </c>
      <c r="H23">
        <f>IF(ISBLANK('By Round'!H59),"",'By Round'!H59)</f>
        <v/>
      </c>
      <c r="I23">
        <f>IF(ISBLANK('By Round'!I59),"",'By Round'!I59)</f>
        <v/>
      </c>
      <c r="J23">
        <f>IF(ISBLANK('By Round'!J59),"",'By Round'!J59)</f>
        <v/>
      </c>
      <c r="K23">
        <f>IF(ISBLANK('By Round'!K59),"",'By Round'!K59)</f>
        <v/>
      </c>
      <c r="L23" s="12">
        <f>SUM(AD23:AH23)</f>
        <v/>
      </c>
      <c r="M23" s="13">
        <f>SUM(AI23:AM23)</f>
        <v/>
      </c>
      <c r="N23" s="8">
        <f>IF(COUNT(T23:X23)&gt;0,P23/COUNT(T23:X23),0.5)</f>
        <v/>
      </c>
      <c r="O23" s="8">
        <f>IF(COUNT(Y23:AC23)&gt;0,Q23/COUNT(Y23:AC23),0.5)</f>
        <v/>
      </c>
      <c r="P23" s="5">
        <f>SUM(T23:X23)</f>
        <v/>
      </c>
      <c r="Q23" s="5">
        <f>SUM(Y23:AC23)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IF(ISNUMBER(R23),IF(ISNUMBER(R21),IF(R23&gt;R21,1.0,IF(R23=R21,0.5,0.0)),""),"")</f>
        <v/>
      </c>
      <c r="U23">
        <f>IF(ISNUMBER(R23),IF(ISNUMBER(R22),IF(R23&gt;R22,1.0,IF(R23=R22,0.5,0.0)),""),"")</f>
        <v/>
      </c>
      <c r="V23">
        <f>IF(ISNUMBER(R23),IF(ISNUMBER(R24),IF(R23&gt;R24,1.0,IF(R23=R24,0.5,0.0)),""),"")</f>
        <v/>
      </c>
      <c r="W23">
        <f>IF(ISNUMBER(R23),IF(ISNUMBER(R25),IF(R23&gt;R25,1.0,IF(R23=R25,0.5,0.0)),""),"")</f>
        <v/>
      </c>
      <c r="X23">
        <f>IF(ISNUMBER(R23),IF(ISNUMBER(R26),IF(R23&gt;R26,1.0,IF(R23=R26,0.5,0.0)),""),"")</f>
        <v/>
      </c>
      <c r="Y23">
        <f>IF(ISNUMBER(S23),IF(ISNUMBER(S21),IF(S23&gt;S21,1.0,IF(S23=S21,0.5,0.0)),""),"")</f>
        <v/>
      </c>
      <c r="Z23">
        <f>IF(ISNUMBER(S23),IF(ISNUMBER(S22),IF(S23&gt;S22,1.0,IF(S23=S22,0.5,0.0)),""),"")</f>
        <v/>
      </c>
      <c r="AA23">
        <f>IF(ISNUMBER(S23),IF(ISNUMBER(S24),IF(S23&gt;S24,1.0,IF(S23=S24,0.5,0.0)),""),"")</f>
        <v/>
      </c>
      <c r="AB23">
        <f>IF(ISNUMBER(S23),IF(ISNUMBER(S25),IF(S23&gt;S25,1.0,IF(S23=S25,0.5,0.0)),""),"")</f>
        <v/>
      </c>
      <c r="AC23">
        <f>IF(ISNUMBER(S23),IF(ISNUMBER(S26),IF(S23&gt;S26,1.0,IF(S23=S26,0.5,0.0)),""),"")</f>
        <v/>
      </c>
      <c r="AD23" s="14">
        <f>IF(AND(ISNUMBER(R23),ISNUMBER(R21)),VLOOKUP(ABS(R23-R21),'IMP Table'!$A$2:$C$26,3)*SIGN(R23-R21),0)</f>
        <v/>
      </c>
      <c r="AE23">
        <f>IF(AND(ISNUMBER(R23),ISNUMBER(R22)),VLOOKUP(ABS(R23-R22),'IMP Table'!$A$2:$C$26,3)*SIGN(R23-R22),0)</f>
        <v/>
      </c>
      <c r="AF23">
        <f>IF(AND(ISNUMBER(R23),ISNUMBER(R24)),VLOOKUP(ABS(R23-R24),'IMP Table'!$A$2:$C$26,3)*SIGN(R23-R24),0)</f>
        <v/>
      </c>
      <c r="AG23">
        <f>IF(AND(ISNUMBER(R23),ISNUMBER(R25)),VLOOKUP(ABS(R23-R25),'IMP Table'!$A$2:$C$26,3)*SIGN(R23-R25),0)</f>
        <v/>
      </c>
      <c r="AH23">
        <f>IF(AND(ISNUMBER(R23),ISNUMBER(R26)),VLOOKUP(ABS(R23-R26),'IMP Table'!$A$2:$C$26,3)*SIGN(R23-R26),0)</f>
        <v/>
      </c>
      <c r="AI23">
        <f>IF(AND(ISNUMBER(S23),ISNUMBER(S21)),VLOOKUP(ABS(S23-S21),'IMP Table'!$A$2:$C$26,3)*SIGN(S23-S21),0)</f>
        <v/>
      </c>
      <c r="AJ23">
        <f>IF(AND(ISNUMBER(S23),ISNUMBER(S22)),VLOOKUP(ABS(S23-S22),'IMP Table'!$A$2:$C$26,3)*SIGN(S23-S22),0)</f>
        <v/>
      </c>
      <c r="AK23">
        <f>IF(AND(ISNUMBER(S23),ISNUMBER(S24)),VLOOKUP(ABS(S23-S24),'IMP Table'!$A$2:$C$26,3)*SIGN(S23-S24),0)</f>
        <v/>
      </c>
      <c r="AL23">
        <f>IF(AND(ISNUMBER(S23),ISNUMBER(S25)),VLOOKUP(ABS(S23-S25),'IMP Table'!$A$2:$C$26,3)*SIGN(S23-S25),0)</f>
        <v/>
      </c>
      <c r="AM23">
        <f>IF(AND(ISNUMBER(S23),ISNUMBER(S26)),VLOOKUP(ABS(S23-S26),'IMP Table'!$A$2:$C$26,3)*SIGN(S23-S26),0)</f>
        <v/>
      </c>
    </row>
    <row r="24">
      <c r="B24">
        <f>'By Round'!A63</f>
        <v/>
      </c>
      <c r="C24">
        <f>'By Round'!B69</f>
        <v/>
      </c>
      <c r="D24">
        <f>'By Round'!C69</f>
        <v/>
      </c>
      <c r="E24">
        <f>'By Round'!D69</f>
        <v/>
      </c>
      <c r="F24" s="11" t="inlineStr">
        <is>
          <t>Both</t>
        </is>
      </c>
      <c r="G24">
        <f>IF(ISBLANK('By Round'!G69),"",'By Round'!G69)</f>
        <v/>
      </c>
      <c r="H24">
        <f>IF(ISBLANK('By Round'!H69),"",'By Round'!H69)</f>
        <v/>
      </c>
      <c r="I24">
        <f>IF(ISBLANK('By Round'!I69),"",'By Round'!I69)</f>
        <v/>
      </c>
      <c r="J24">
        <f>IF(ISBLANK('By Round'!J69),"",'By Round'!J69)</f>
        <v/>
      </c>
      <c r="K24">
        <f>IF(ISBLANK('By Round'!K69),"",'By Round'!K69)</f>
        <v/>
      </c>
      <c r="L24" s="12">
        <f>SUM(AD24:AH24)</f>
        <v/>
      </c>
      <c r="M24" s="13">
        <f>SUM(AI24:AM24)</f>
        <v/>
      </c>
      <c r="N24" s="8">
        <f>IF(COUNT(T24:X24)&gt;0,P24/COUNT(T24:X24),0.5)</f>
        <v/>
      </c>
      <c r="O24" s="8">
        <f>IF(COUNT(Y24:AC24)&gt;0,Q24/COUNT(Y24:AC24),0.5)</f>
        <v/>
      </c>
      <c r="P24" s="5">
        <f>SUM(T24:X24)</f>
        <v/>
      </c>
      <c r="Q24" s="5">
        <f>SUM(Y24:AC24)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IF(ISNUMBER(R24),IF(ISNUMBER(R21),IF(R24&gt;R21,1.0,IF(R24=R21,0.5,0.0)),""),"")</f>
        <v/>
      </c>
      <c r="U24">
        <f>IF(ISNUMBER(R24),IF(ISNUMBER(R22),IF(R24&gt;R22,1.0,IF(R24=R22,0.5,0.0)),""),"")</f>
        <v/>
      </c>
      <c r="V24">
        <f>IF(ISNUMBER(R24),IF(ISNUMBER(R23),IF(R24&gt;R23,1.0,IF(R24=R23,0.5,0.0)),""),"")</f>
        <v/>
      </c>
      <c r="W24">
        <f>IF(ISNUMBER(R24),IF(ISNUMBER(R25),IF(R24&gt;R25,1.0,IF(R24=R25,0.5,0.0)),""),"")</f>
        <v/>
      </c>
      <c r="X24">
        <f>IF(ISNUMBER(R24),IF(ISNUMBER(R26),IF(R24&gt;R26,1.0,IF(R24=R26,0.5,0.0)),""),"")</f>
        <v/>
      </c>
      <c r="Y24">
        <f>IF(ISNUMBER(S24),IF(ISNUMBER(S21),IF(S24&gt;S21,1.0,IF(S24=S21,0.5,0.0)),""),"")</f>
        <v/>
      </c>
      <c r="Z24">
        <f>IF(ISNUMBER(S24),IF(ISNUMBER(S22),IF(S24&gt;S22,1.0,IF(S24=S22,0.5,0.0)),""),"")</f>
        <v/>
      </c>
      <c r="AA24">
        <f>IF(ISNUMBER(S24),IF(ISNUMBER(S23),IF(S24&gt;S23,1.0,IF(S24=S23,0.5,0.0)),""),"")</f>
        <v/>
      </c>
      <c r="AB24">
        <f>IF(ISNUMBER(S24),IF(ISNUMBER(S25),IF(S24&gt;S25,1.0,IF(S24=S25,0.5,0.0)),""),"")</f>
        <v/>
      </c>
      <c r="AC24">
        <f>IF(ISNUMBER(S24),IF(ISNUMBER(S26),IF(S24&gt;S26,1.0,IF(S24=S26,0.5,0.0)),""),"")</f>
        <v/>
      </c>
      <c r="AD24" s="14">
        <f>IF(AND(ISNUMBER(R24),ISNUMBER(R21)),VLOOKUP(ABS(R24-R21),'IMP Table'!$A$2:$C$26,3)*SIGN(R24-R21),0)</f>
        <v/>
      </c>
      <c r="AE24">
        <f>IF(AND(ISNUMBER(R24),ISNUMBER(R22)),VLOOKUP(ABS(R24-R22),'IMP Table'!$A$2:$C$26,3)*SIGN(R24-R22),0)</f>
        <v/>
      </c>
      <c r="AF24">
        <f>IF(AND(ISNUMBER(R24),ISNUMBER(R23)),VLOOKUP(ABS(R24-R23),'IMP Table'!$A$2:$C$26,3)*SIGN(R24-R23),0)</f>
        <v/>
      </c>
      <c r="AG24">
        <f>IF(AND(ISNUMBER(R24),ISNUMBER(R25)),VLOOKUP(ABS(R24-R25),'IMP Table'!$A$2:$C$26,3)*SIGN(R24-R25),0)</f>
        <v/>
      </c>
      <c r="AH24">
        <f>IF(AND(ISNUMBER(R24),ISNUMBER(R26)),VLOOKUP(ABS(R24-R26),'IMP Table'!$A$2:$C$26,3)*SIGN(R24-R26),0)</f>
        <v/>
      </c>
      <c r="AI24">
        <f>IF(AND(ISNUMBER(S24),ISNUMBER(S21)),VLOOKUP(ABS(S24-S21),'IMP Table'!$A$2:$C$26,3)*SIGN(S24-S21),0)</f>
        <v/>
      </c>
      <c r="AJ24">
        <f>IF(AND(ISNUMBER(S24),ISNUMBER(S22)),VLOOKUP(ABS(S24-S22),'IMP Table'!$A$2:$C$26,3)*SIGN(S24-S22),0)</f>
        <v/>
      </c>
      <c r="AK24">
        <f>IF(AND(ISNUMBER(S24),ISNUMBER(S23)),VLOOKUP(ABS(S24-S23),'IMP Table'!$A$2:$C$26,3)*SIGN(S24-S23),0)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</row>
    <row r="25">
      <c r="B25">
        <f>'By Round'!A87</f>
        <v/>
      </c>
      <c r="C25">
        <f>'By Round'!B91</f>
        <v/>
      </c>
      <c r="D25">
        <f>'By Round'!C91</f>
        <v/>
      </c>
      <c r="E25">
        <f>'By Round'!D91</f>
        <v/>
      </c>
      <c r="F25" s="11" t="inlineStr">
        <is>
          <t>Both</t>
        </is>
      </c>
      <c r="G25">
        <f>IF(ISBLANK('By Round'!G91),"",'By Round'!G91)</f>
        <v/>
      </c>
      <c r="H25">
        <f>IF(ISBLANK('By Round'!H91),"",'By Round'!H91)</f>
        <v/>
      </c>
      <c r="I25">
        <f>IF(ISBLANK('By Round'!I91),"",'By Round'!I91)</f>
        <v/>
      </c>
      <c r="J25">
        <f>IF(ISBLANK('By Round'!J91),"",'By Round'!J91)</f>
        <v/>
      </c>
      <c r="K25">
        <f>IF(ISBLANK('By Round'!K91),"",'By Round'!K91)</f>
        <v/>
      </c>
      <c r="L25" s="12">
        <f>SUM(AD25:AH25)</f>
        <v/>
      </c>
      <c r="M25" s="13">
        <f>SUM(AI25:AM25)</f>
        <v/>
      </c>
      <c r="N25" s="8">
        <f>IF(COUNT(T25:X25)&gt;0,P25/COUNT(T25:X25),0.5)</f>
        <v/>
      </c>
      <c r="O25" s="8">
        <f>IF(COUNT(Y25:AC25)&gt;0,Q25/COUNT(Y25:AC25),0.5)</f>
        <v/>
      </c>
      <c r="P25" s="5">
        <f>SUM(T25:X25)</f>
        <v/>
      </c>
      <c r="Q25" s="5">
        <f>SUM(Y25:AC25)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IF(ISNUMBER(R25),IF(ISNUMBER(R21),IF(R25&gt;R21,1.0,IF(R25=R21,0.5,0.0)),""),"")</f>
        <v/>
      </c>
      <c r="U25">
        <f>IF(ISNUMBER(R25),IF(ISNUMBER(R22),IF(R25&gt;R22,1.0,IF(R25=R22,0.5,0.0)),""),"")</f>
        <v/>
      </c>
      <c r="V25">
        <f>IF(ISNUMBER(R25),IF(ISNUMBER(R23),IF(R25&gt;R23,1.0,IF(R25=R23,0.5,0.0)),""),"")</f>
        <v/>
      </c>
      <c r="W25">
        <f>IF(ISNUMBER(R25),IF(ISNUMBER(R24),IF(R25&gt;R24,1.0,IF(R25=R24,0.5,0.0)),""),"")</f>
        <v/>
      </c>
      <c r="X25">
        <f>IF(ISNUMBER(R25),IF(ISNUMBER(R26),IF(R25&gt;R26,1.0,IF(R25=R26,0.5,0.0)),""),"")</f>
        <v/>
      </c>
      <c r="Y25">
        <f>IF(ISNUMBER(S25),IF(ISNUMBER(S21),IF(S25&gt;S21,1.0,IF(S25=S21,0.5,0.0)),""),"")</f>
        <v/>
      </c>
      <c r="Z25">
        <f>IF(ISNUMBER(S25),IF(ISNUMBER(S22),IF(S25&gt;S22,1.0,IF(S25=S22,0.5,0.0)),""),"")</f>
        <v/>
      </c>
      <c r="AA25">
        <f>IF(ISNUMBER(S25),IF(ISNUMBER(S23),IF(S25&gt;S23,1.0,IF(S25=S23,0.5,0.0)),""),"")</f>
        <v/>
      </c>
      <c r="AB25">
        <f>IF(ISNUMBER(S25),IF(ISNUMBER(S24),IF(S25&gt;S24,1.0,IF(S25=S24,0.5,0.0)),""),"")</f>
        <v/>
      </c>
      <c r="AC25">
        <f>IF(ISNUMBER(S25),IF(ISNUMBER(S26),IF(S25&gt;S26,1.0,IF(S25=S26,0.5,0.0)),""),"")</f>
        <v/>
      </c>
      <c r="AD25" s="14">
        <f>IF(AND(ISNUMBER(R25),ISNUMBER(R21)),VLOOKUP(ABS(R25-R21),'IMP Table'!$A$2:$C$26,3)*SIGN(R25-R21),0)</f>
        <v/>
      </c>
      <c r="AE25">
        <f>IF(AND(ISNUMBER(R25),ISNUMBER(R22)),VLOOKUP(ABS(R25-R22),'IMP Table'!$A$2:$C$26,3)*SIGN(R25-R22),0)</f>
        <v/>
      </c>
      <c r="AF25">
        <f>IF(AND(ISNUMBER(R25),ISNUMBER(R23)),VLOOKUP(ABS(R25-R23),'IMP Table'!$A$2:$C$26,3)*SIGN(R25-R23),0)</f>
        <v/>
      </c>
      <c r="AG25">
        <f>IF(AND(ISNUMBER(R25),ISNUMBER(R24)),VLOOKUP(ABS(R25-R24),'IMP Table'!$A$2:$C$26,3)*SIGN(R25-R24),0)</f>
        <v/>
      </c>
      <c r="AH25">
        <f>IF(AND(ISNUMBER(R25),ISNUMBER(R26)),VLOOKUP(ABS(R25-R26),'IMP Table'!$A$2:$C$26,3)*SIGN(R25-R26),0)</f>
        <v/>
      </c>
      <c r="AI25">
        <f>IF(AND(ISNUMBER(S25),ISNUMBER(S21)),VLOOKUP(ABS(S25-S21),'IMP Table'!$A$2:$C$26,3)*SIGN(S25-S21),0)</f>
        <v/>
      </c>
      <c r="AJ25">
        <f>IF(AND(ISNUMBER(S25),ISNUMBER(S22)),VLOOKUP(ABS(S25-S22),'IMP Table'!$A$2:$C$26,3)*SIGN(S25-S22),0)</f>
        <v/>
      </c>
      <c r="AK25">
        <f>IF(AND(ISNUMBER(S25),ISNUMBER(S23)),VLOOKUP(ABS(S25-S23),'IMP Table'!$A$2:$C$26,3)*SIGN(S25-S23),0)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</row>
    <row r="26">
      <c r="A26" s="15" t="n"/>
      <c r="B26" s="15">
        <f>'By Round'!A99</f>
        <v/>
      </c>
      <c r="C26" s="15">
        <f>'By Round'!B101</f>
        <v/>
      </c>
      <c r="D26" s="15">
        <f>'By Round'!C101</f>
        <v/>
      </c>
      <c r="E26" s="15">
        <f>'By Round'!D101</f>
        <v/>
      </c>
      <c r="F26" s="16" t="inlineStr">
        <is>
          <t>Both</t>
        </is>
      </c>
      <c r="G26" s="15">
        <f>IF(ISBLANK('By Round'!G101),"",'By Round'!G101)</f>
        <v/>
      </c>
      <c r="H26" s="15">
        <f>IF(ISBLANK('By Round'!H101),"",'By Round'!H101)</f>
        <v/>
      </c>
      <c r="I26" s="15">
        <f>IF(ISBLANK('By Round'!I101),"",'By Round'!I101)</f>
        <v/>
      </c>
      <c r="J26" s="15">
        <f>IF(ISBLANK('By Round'!J101),"",'By Round'!J101)</f>
        <v/>
      </c>
      <c r="K26" s="15">
        <f>IF(ISBLANK('By Round'!K101),"",'By Round'!K101)</f>
        <v/>
      </c>
      <c r="L26" s="17">
        <f>SUM(AD26:AH26)</f>
        <v/>
      </c>
      <c r="M26" s="18">
        <f>SUM(AI26:AM26)</f>
        <v/>
      </c>
      <c r="N26" s="19">
        <f>IF(COUNT(T26:X26)&gt;0,P26/COUNT(T26:X26),0.5)</f>
        <v/>
      </c>
      <c r="O26" s="19">
        <f>IF(COUNT(Y26:AC26)&gt;0,Q26/COUNT(Y26:AC26),0.5)</f>
        <v/>
      </c>
      <c r="P26" s="20">
        <f>SUM(T26:X26)</f>
        <v/>
      </c>
      <c r="Q26" s="20">
        <f>SUM(Y26:AC26)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IF(ISNUMBER(R26),IF(ISNUMBER(R21),IF(R26&gt;R21,1.0,IF(R26=R21,0.5,0.0)),""),"")</f>
        <v/>
      </c>
      <c r="U26" s="15">
        <f>IF(ISNUMBER(R26),IF(ISNUMBER(R22),IF(R26&gt;R22,1.0,IF(R26=R22,0.5,0.0)),""),"")</f>
        <v/>
      </c>
      <c r="V26" s="15">
        <f>IF(ISNUMBER(R26),IF(ISNUMBER(R23),IF(R26&gt;R23,1.0,IF(R26=R23,0.5,0.0)),""),"")</f>
        <v/>
      </c>
      <c r="W26" s="15">
        <f>IF(ISNUMBER(R26),IF(ISNUMBER(R24),IF(R26&gt;R24,1.0,IF(R26=R24,0.5,0.0)),""),"")</f>
        <v/>
      </c>
      <c r="X26" s="15">
        <f>IF(ISNUMBER(R26),IF(ISNUMBER(R25),IF(R26&gt;R25,1.0,IF(R26=R25,0.5,0.0)),""),"")</f>
        <v/>
      </c>
      <c r="Y26" s="15">
        <f>IF(ISNUMBER(S26),IF(ISNUMBER(S21),IF(S26&gt;S21,1.0,IF(S26=S21,0.5,0.0)),""),"")</f>
        <v/>
      </c>
      <c r="Z26" s="15">
        <f>IF(ISNUMBER(S26),IF(ISNUMBER(S22),IF(S26&gt;S22,1.0,IF(S26=S22,0.5,0.0)),""),"")</f>
        <v/>
      </c>
      <c r="AA26" s="15">
        <f>IF(ISNUMBER(S26),IF(ISNUMBER(S23),IF(S26&gt;S23,1.0,IF(S26=S23,0.5,0.0)),""),"")</f>
        <v/>
      </c>
      <c r="AB26" s="15">
        <f>IF(ISNUMBER(S26),IF(ISNUMBER(S24),IF(S26&gt;S24,1.0,IF(S26=S24,0.5,0.0)),""),"")</f>
        <v/>
      </c>
      <c r="AC26" s="15">
        <f>IF(ISNUMBER(S26),IF(ISNUMBER(S25),IF(S26&gt;S25,1.0,IF(S26=S25,0.5,0.0)),""),"")</f>
        <v/>
      </c>
      <c r="AD26" s="21">
        <f>IF(AND(ISNUMBER(R26),ISNUMBER(R21)),VLOOKUP(ABS(R26-R21),'IMP Table'!$A$2:$C$26,3)*SIGN(R26-R21),0)</f>
        <v/>
      </c>
      <c r="AE26" s="15">
        <f>IF(AND(ISNUMBER(R26),ISNUMBER(R22)),VLOOKUP(ABS(R26-R22),'IMP Table'!$A$2:$C$26,3)*SIGN(R26-R22),0)</f>
        <v/>
      </c>
      <c r="AF26" s="15">
        <f>IF(AND(ISNUMBER(R26),ISNUMBER(R23)),VLOOKUP(ABS(R26-R23),'IMP Table'!$A$2:$C$26,3)*SIGN(R26-R23),0)</f>
        <v/>
      </c>
      <c r="AG26" s="15">
        <f>IF(AND(ISNUMBER(R26),ISNUMBER(R24)),VLOOKUP(ABS(R26-R24),'IMP Table'!$A$2:$C$26,3)*SIGN(R26-R24),0)</f>
        <v/>
      </c>
      <c r="AH26" s="15">
        <f>IF(AND(ISNUMBER(R26),ISNUMBER(R25)),VLOOKUP(ABS(R26-R25),'IMP Table'!$A$2:$C$26,3)*SIGN(R26-R25),0)</f>
        <v/>
      </c>
      <c r="AI26" s="15">
        <f>IF(AND(ISNUMBER(S26),ISNUMBER(S21)),VLOOKUP(ABS(S26-S21),'IMP Table'!$A$2:$C$26,3)*SIGN(S26-S21),0)</f>
        <v/>
      </c>
      <c r="AJ26" s="15">
        <f>IF(AND(ISNUMBER(S26),ISNUMBER(S22)),VLOOKUP(ABS(S26-S22),'IMP Table'!$A$2:$C$26,3)*SIGN(S26-S22),0)</f>
        <v/>
      </c>
      <c r="AK26" s="15">
        <f>IF(AND(ISNUMBER(S26),ISNUMBER(S23)),VLOOKUP(ABS(S26-S23),'IMP Table'!$A$2:$C$26,3)*SIGN(S26-S23),0)</f>
        <v/>
      </c>
      <c r="AL26" s="15">
        <f>IF(AND(ISNUMBER(S26),ISNUMBER(S24)),VLOOKUP(ABS(S26-S24),'IMP Table'!$A$2:$C$26,3)*SIGN(S26-S24),0)</f>
        <v/>
      </c>
      <c r="AM26" s="15">
        <f>IF(AND(ISNUMBER(S26),ISNUMBER(S25)),VLOOKUP(ABS(S26-S25),'IMP Table'!$A$2:$C$26,3)*SIGN(S26-S25),0)</f>
        <v/>
      </c>
    </row>
    <row r="27">
      <c r="A27" t="n">
        <v>5</v>
      </c>
      <c r="B27">
        <f>'By Round'!A27</f>
        <v/>
      </c>
      <c r="C27">
        <f>'By Round'!B27</f>
        <v/>
      </c>
      <c r="D27">
        <f>'By Round'!C27</f>
        <v/>
      </c>
      <c r="E27">
        <f>'By Round'!D27</f>
        <v/>
      </c>
      <c r="F27" s="11" t="inlineStr">
        <is>
          <t>NS</t>
        </is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 s="12">
        <f>SUM(AD27:AH27)</f>
        <v/>
      </c>
      <c r="M27" s="13">
        <f>SUM(AI27:AM27)</f>
        <v/>
      </c>
      <c r="N27" s="8">
        <f>IF(COUNT(T27:X27)&gt;0,P27/COUNT(T27:X27),0.5)</f>
        <v/>
      </c>
      <c r="O27" s="8">
        <f>IF(COUNT(Y27:AC27)&gt;0,Q27/COUNT(Y27:AC27),0.5)</f>
        <v/>
      </c>
      <c r="P27" s="5">
        <f>SUM(T27:X27)</f>
        <v/>
      </c>
      <c r="Q27" s="5">
        <f>SUM(Y27:AC27)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IF(ISNUMBER(R27),IF(ISNUMBER(R31),IF(R27&gt;R31,1.0,IF(R27=R31,0.5,0.0)),""),"")</f>
        <v/>
      </c>
      <c r="X27">
        <f>IF(ISNUMBER(R27),IF(ISNUMBER(R32),IF(R27&gt;R32,1.0,IF(R27=R32,0.5,0.0)),""),"")</f>
        <v/>
      </c>
      <c r="Y27">
        <f>IF(ISNUMBER(S27),IF(ISNUMBER(S28),IF(S27&gt;S28,1.0,IF(S27=S28,0.5,0.0)),""),"")</f>
        <v/>
      </c>
      <c r="Z27">
        <f>IF(ISNUMBER(S27),IF(ISNUMBER(S29),IF(S27&gt;S29,1.0,IF(S27=S29,0.5,0.0)),""),"")</f>
        <v/>
      </c>
      <c r="AA27">
        <f>IF(ISNUMBER(S27),IF(ISNUMBER(S30),IF(S27&gt;S30,1.0,IF(S27=S30,0.5,0.0)),""),"")</f>
        <v/>
      </c>
      <c r="AB27">
        <f>IF(ISNUMBER(S27),IF(ISNUMBER(S31),IF(S27&gt;S31,1.0,IF(S27=S31,0.5,0.0)),""),"")</f>
        <v/>
      </c>
      <c r="AC27">
        <f>IF(ISNUMBER(S27),IF(ISNUMBER(S32),IF(S27&gt;S32,1.0,IF(S27=S32,0.5,0.0)),""),"")</f>
        <v/>
      </c>
      <c r="AD27" s="14">
        <f>IF(AND(ISNUMBER(R27),ISNUMBER(R28)),VLOOKUP(ABS(R27-R28),'IMP Table'!$A$2:$C$26,3)*SIGN(R27-R28),0)</f>
        <v/>
      </c>
      <c r="AE27">
        <f>IF(AND(ISNUMBER(R27),ISNUMBER(R29)),VLOOKUP(ABS(R27-R29),'IMP Table'!$A$2:$C$26,3)*SIGN(R27-R29),0)</f>
        <v/>
      </c>
      <c r="AF27">
        <f>IF(AND(ISNUMBER(R27),ISNUMBER(R30)),VLOOKUP(ABS(R27-R30),'IMP Table'!$A$2:$C$26,3)*SIGN(R27-R30),0)</f>
        <v/>
      </c>
      <c r="AG27">
        <f>IF(AND(ISNUMBER(R27),ISNUMBER(R31)),VLOOKUP(ABS(R27-R31),'IMP Table'!$A$2:$C$26,3)*SIGN(R27-R31),0)</f>
        <v/>
      </c>
      <c r="AH27">
        <f>IF(AND(ISNUMBER(R27),ISNUMBER(R32)),VLOOKUP(ABS(R27-R32),'IMP Table'!$A$2:$C$26,3)*SIGN(R27-R32),0)</f>
        <v/>
      </c>
      <c r="AI27">
        <f>IF(AND(ISNUMBER(S27),ISNUMBER(S28)),VLOOKUP(ABS(S27-S28),'IMP Table'!$A$2:$C$26,3)*SIGN(S27-S28),0)</f>
        <v/>
      </c>
      <c r="AJ27">
        <f>IF(AND(ISNUMBER(S27),ISNUMBER(S29)),VLOOKUP(ABS(S27-S29),'IMP Table'!$A$2:$C$26,3)*SIGN(S27-S29),0)</f>
        <v/>
      </c>
      <c r="AK27">
        <f>IF(AND(ISNUMBER(S27),ISNUMBER(S30)),VLOOKUP(ABS(S27-S30),'IMP Table'!$A$2:$C$26,3)*SIGN(S27-S30),0)</f>
        <v/>
      </c>
      <c r="AL27">
        <f>IF(AND(ISNUMBER(S27),ISNUMBER(S31)),VLOOKUP(ABS(S27-S31),'IMP Table'!$A$2:$C$26,3)*SIGN(S27-S31),0)</f>
        <v/>
      </c>
      <c r="AM27">
        <f>IF(AND(ISNUMBER(S27),ISNUMBER(S32)),VLOOKUP(ABS(S27-S32),'IMP Table'!$A$2:$C$26,3)*SIGN(S27-S32),0)</f>
        <v/>
      </c>
    </row>
    <row r="28">
      <c r="B28">
        <f>'By Round'!A51</f>
        <v/>
      </c>
      <c r="C28">
        <f>'By Round'!B61</f>
        <v/>
      </c>
      <c r="D28">
        <f>'By Round'!C61</f>
        <v/>
      </c>
      <c r="E28">
        <f>'By Round'!D61</f>
        <v/>
      </c>
      <c r="F28" s="11" t="inlineStr">
        <is>
          <t>NS</t>
        </is>
      </c>
      <c r="G28">
        <f>IF(ISBLANK('By Round'!G61),"",'By Round'!G61)</f>
        <v/>
      </c>
      <c r="H28">
        <f>IF(ISBLANK('By Round'!H61),"",'By Round'!H61)</f>
        <v/>
      </c>
      <c r="I28">
        <f>IF(ISBLANK('By Round'!I61),"",'By Round'!I61)</f>
        <v/>
      </c>
      <c r="J28">
        <f>IF(ISBLANK('By Round'!J61),"",'By Round'!J61)</f>
        <v/>
      </c>
      <c r="K28">
        <f>IF(ISBLANK('By Round'!K61),"",'By Round'!K61)</f>
        <v/>
      </c>
      <c r="L28" s="12">
        <f>SUM(AD28:AH28)</f>
        <v/>
      </c>
      <c r="M28" s="13">
        <f>SUM(AI28:AM28)</f>
        <v/>
      </c>
      <c r="N28" s="8">
        <f>IF(COUNT(T28:X28)&gt;0,P28/COUNT(T28:X28),0.5)</f>
        <v/>
      </c>
      <c r="O28" s="8">
        <f>IF(COUNT(Y28:AC28)&gt;0,Q28/COUNT(Y28:AC28),0.5)</f>
        <v/>
      </c>
      <c r="P28" s="5">
        <f>SUM(T28:X28)</f>
        <v/>
      </c>
      <c r="Q28" s="5">
        <f>SUM(Y28:AC28)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IF(ISNUMBER(R28),IF(ISNUMBER(R31),IF(R28&gt;R31,1.0,IF(R28=R31,0.5,0.0)),""),"")</f>
        <v/>
      </c>
      <c r="X28">
        <f>IF(ISNUMBER(R28),IF(ISNUMBER(R32),IF(R28&gt;R32,1.0,IF(R28=R32,0.5,0.0)),""),"")</f>
        <v/>
      </c>
      <c r="Y28">
        <f>IF(ISNUMBER(S28),IF(ISNUMBER(S27),IF(S28&gt;S27,1.0,IF(S28=S27,0.5,0.0)),""),"")</f>
        <v/>
      </c>
      <c r="Z28">
        <f>IF(ISNUMBER(S28),IF(ISNUMBER(S29),IF(S28&gt;S29,1.0,IF(S28=S29,0.5,0.0)),""),"")</f>
        <v/>
      </c>
      <c r="AA28">
        <f>IF(ISNUMBER(S28),IF(ISNUMBER(S30),IF(S28&gt;S30,1.0,IF(S28=S30,0.5,0.0)),""),"")</f>
        <v/>
      </c>
      <c r="AB28">
        <f>IF(ISNUMBER(S28),IF(ISNUMBER(S31),IF(S28&gt;S31,1.0,IF(S28=S31,0.5,0.0)),""),"")</f>
        <v/>
      </c>
      <c r="AC28">
        <f>IF(ISNUMBER(S28),IF(ISNUMBER(S32),IF(S28&gt;S32,1.0,IF(S28=S32,0.5,0.0)),""),"")</f>
        <v/>
      </c>
      <c r="AD28" s="14">
        <f>IF(AND(ISNUMBER(R28),ISNUMBER(R27)),VLOOKUP(ABS(R28-R27),'IMP Table'!$A$2:$C$26,3)*SIGN(R28-R27),0)</f>
        <v/>
      </c>
      <c r="AE28">
        <f>IF(AND(ISNUMBER(R28),ISNUMBER(R29)),VLOOKUP(ABS(R28-R29),'IMP Table'!$A$2:$C$26,3)*SIGN(R28-R29),0)</f>
        <v/>
      </c>
      <c r="AF28">
        <f>IF(AND(ISNUMBER(R28),ISNUMBER(R30)),VLOOKUP(ABS(R28-R30),'IMP Table'!$A$2:$C$26,3)*SIGN(R28-R30),0)</f>
        <v/>
      </c>
      <c r="AG28">
        <f>IF(AND(ISNUMBER(R28),ISNUMBER(R31)),VLOOKUP(ABS(R28-R31),'IMP Table'!$A$2:$C$26,3)*SIGN(R28-R31),0)</f>
        <v/>
      </c>
      <c r="AH28">
        <f>IF(AND(ISNUMBER(R28),ISNUMBER(R32)),VLOOKUP(ABS(R28-R32),'IMP Table'!$A$2:$C$26,3)*SIGN(R28-R32),0)</f>
        <v/>
      </c>
      <c r="AI28">
        <f>IF(AND(ISNUMBER(S28),ISNUMBER(S27)),VLOOKUP(ABS(S28-S27),'IMP Table'!$A$2:$C$26,3)*SIGN(S28-S27),0)</f>
        <v/>
      </c>
      <c r="AJ28">
        <f>IF(AND(ISNUMBER(S28),ISNUMBER(S29)),VLOOKUP(ABS(S28-S29),'IMP Table'!$A$2:$C$26,3)*SIGN(S28-S29),0)</f>
        <v/>
      </c>
      <c r="AK28">
        <f>IF(AND(ISNUMBER(S28),ISNUMBER(S30)),VLOOKUP(ABS(S28-S30),'IMP Table'!$A$2:$C$26,3)*SIGN(S28-S30),0)</f>
        <v/>
      </c>
      <c r="AL28">
        <f>IF(AND(ISNUMBER(S28),ISNUMBER(S31)),VLOOKUP(ABS(S28-S31),'IMP Table'!$A$2:$C$26,3)*SIGN(S28-S31),0)</f>
        <v/>
      </c>
      <c r="AM28">
        <f>IF(AND(ISNUMBER(S28),ISNUMBER(S32)),VLOOKUP(ABS(S28-S32),'IMP Table'!$A$2:$C$26,3)*SIGN(S28-S32),0)</f>
        <v/>
      </c>
    </row>
    <row r="29">
      <c r="B29">
        <f>'By Round'!A63</f>
        <v/>
      </c>
      <c r="C29">
        <f>'By Round'!B71</f>
        <v/>
      </c>
      <c r="D29">
        <f>'By Round'!C71</f>
        <v/>
      </c>
      <c r="E29">
        <f>'By Round'!D71</f>
        <v/>
      </c>
      <c r="F29" s="11" t="inlineStr">
        <is>
          <t>NS</t>
        </is>
      </c>
      <c r="G29">
        <f>IF(ISBLANK('By Round'!G71),"",'By Round'!G71)</f>
        <v/>
      </c>
      <c r="H29">
        <f>IF(ISBLANK('By Round'!H71),"",'By Round'!H71)</f>
        <v/>
      </c>
      <c r="I29">
        <f>IF(ISBLANK('By Round'!I71),"",'By Round'!I71)</f>
        <v/>
      </c>
      <c r="J29">
        <f>IF(ISBLANK('By Round'!J71),"",'By Round'!J71)</f>
        <v/>
      </c>
      <c r="K29">
        <f>IF(ISBLANK('By Round'!K71),"",'By Round'!K71)</f>
        <v/>
      </c>
      <c r="L29" s="12">
        <f>SUM(AD29:AH29)</f>
        <v/>
      </c>
      <c r="M29" s="13">
        <f>SUM(AI29:AM29)</f>
        <v/>
      </c>
      <c r="N29" s="8">
        <f>IF(COUNT(T29:X29)&gt;0,P29/COUNT(T29:X29),0.5)</f>
        <v/>
      </c>
      <c r="O29" s="8">
        <f>IF(COUNT(Y29:AC29)&gt;0,Q29/COUNT(Y29:AC29),0.5)</f>
        <v/>
      </c>
      <c r="P29" s="5">
        <f>SUM(T29:X29)</f>
        <v/>
      </c>
      <c r="Q29" s="5">
        <f>SUM(Y29:AC29)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IF(ISNUMBER(R29),IF(ISNUMBER(R31),IF(R29&gt;R31,1.0,IF(R29=R31,0.5,0.0)),""),"")</f>
        <v/>
      </c>
      <c r="X29">
        <f>IF(ISNUMBER(R29),IF(ISNUMBER(R32),IF(R29&gt;R32,1.0,IF(R29=R32,0.5,0.0)),""),"")</f>
        <v/>
      </c>
      <c r="Y29">
        <f>IF(ISNUMBER(S29),IF(ISNUMBER(S27),IF(S29&gt;S27,1.0,IF(S29=S27,0.5,0.0)),""),"")</f>
        <v/>
      </c>
      <c r="Z29">
        <f>IF(ISNUMBER(S29),IF(ISNUMBER(S28),IF(S29&gt;S28,1.0,IF(S29=S28,0.5,0.0)),""),"")</f>
        <v/>
      </c>
      <c r="AA29">
        <f>IF(ISNUMBER(S29),IF(ISNUMBER(S30),IF(S29&gt;S30,1.0,IF(S29=S30,0.5,0.0)),""),"")</f>
        <v/>
      </c>
      <c r="AB29">
        <f>IF(ISNUMBER(S29),IF(ISNUMBER(S31),IF(S29&gt;S31,1.0,IF(S29=S31,0.5,0.0)),""),"")</f>
        <v/>
      </c>
      <c r="AC29">
        <f>IF(ISNUMBER(S29),IF(ISNUMBER(S32),IF(S29&gt;S32,1.0,IF(S29=S32,0.5,0.0)),""),"")</f>
        <v/>
      </c>
      <c r="AD29" s="14">
        <f>IF(AND(ISNUMBER(R29),ISNUMBER(R27)),VLOOKUP(ABS(R29-R27),'IMP Table'!$A$2:$C$26,3)*SIGN(R29-R27),0)</f>
        <v/>
      </c>
      <c r="AE29">
        <f>IF(AND(ISNUMBER(R29),ISNUMBER(R28)),VLOOKUP(ABS(R29-R28),'IMP Table'!$A$2:$C$26,3)*SIGN(R29-R28),0)</f>
        <v/>
      </c>
      <c r="AF29">
        <f>IF(AND(ISNUMBER(R29),ISNUMBER(R30)),VLOOKUP(ABS(R29-R30),'IMP Table'!$A$2:$C$26,3)*SIGN(R29-R30),0)</f>
        <v/>
      </c>
      <c r="AG29">
        <f>IF(AND(ISNUMBER(R29),ISNUMBER(R31)),VLOOKUP(ABS(R29-R31),'IMP Table'!$A$2:$C$26,3)*SIGN(R29-R31),0)</f>
        <v/>
      </c>
      <c r="AH29">
        <f>IF(AND(ISNUMBER(R29),ISNUMBER(R32)),VLOOKUP(ABS(R29-R32),'IMP Table'!$A$2:$C$26,3)*SIGN(R29-R32),0)</f>
        <v/>
      </c>
      <c r="AI29">
        <f>IF(AND(ISNUMBER(S29),ISNUMBER(S27)),VLOOKUP(ABS(S29-S27),'IMP Table'!$A$2:$C$26,3)*SIGN(S29-S27),0)</f>
        <v/>
      </c>
      <c r="AJ29">
        <f>IF(AND(ISNUMBER(S29),ISNUMBER(S28)),VLOOKUP(ABS(S29-S28),'IMP Table'!$A$2:$C$26,3)*SIGN(S29-S28),0)</f>
        <v/>
      </c>
      <c r="AK29">
        <f>IF(AND(ISNUMBER(S29),ISNUMBER(S30)),VLOOKUP(ABS(S29-S30),'IMP Table'!$A$2:$C$26,3)*SIGN(S29-S30),0)</f>
        <v/>
      </c>
      <c r="AL29">
        <f>IF(AND(ISNUMBER(S29),ISNUMBER(S31)),VLOOKUP(ABS(S29-S31),'IMP Table'!$A$2:$C$26,3)*SIGN(S29-S31),0)</f>
        <v/>
      </c>
      <c r="AM29">
        <f>IF(AND(ISNUMBER(S29),ISNUMBER(S32)),VLOOKUP(ABS(S29-S32),'IMP Table'!$A$2:$C$26,3)*SIGN(S29-S32),0)</f>
        <v/>
      </c>
    </row>
    <row r="30">
      <c r="B30">
        <f>'By Round'!A75</f>
        <v/>
      </c>
      <c r="C30">
        <f>'By Round'!B81</f>
        <v/>
      </c>
      <c r="D30">
        <f>'By Round'!C81</f>
        <v/>
      </c>
      <c r="E30">
        <f>'By Round'!D81</f>
        <v/>
      </c>
      <c r="F30" s="11" t="inlineStr">
        <is>
          <t>NS</t>
        </is>
      </c>
      <c r="G30">
        <f>IF(ISBLANK('By Round'!G81),"",'By Round'!G81)</f>
        <v/>
      </c>
      <c r="H30">
        <f>IF(ISBLANK('By Round'!H81),"",'By Round'!H81)</f>
        <v/>
      </c>
      <c r="I30">
        <f>IF(ISBLANK('By Round'!I81),"",'By Round'!I81)</f>
        <v/>
      </c>
      <c r="J30">
        <f>IF(ISBLANK('By Round'!J81),"",'By Round'!J81)</f>
        <v/>
      </c>
      <c r="K30">
        <f>IF(ISBLANK('By Round'!K81),"",'By Round'!K81)</f>
        <v/>
      </c>
      <c r="L30" s="12">
        <f>SUM(AD30:AH30)</f>
        <v/>
      </c>
      <c r="M30" s="13">
        <f>SUM(AI30:AM30)</f>
        <v/>
      </c>
      <c r="N30" s="8">
        <f>IF(COUNT(T30:X30)&gt;0,P30/COUNT(T30:X30),0.5)</f>
        <v/>
      </c>
      <c r="O30" s="8">
        <f>IF(COUNT(Y30:AC30)&gt;0,Q30/COUNT(Y30:AC30),0.5)</f>
        <v/>
      </c>
      <c r="P30" s="5">
        <f>SUM(T30:X30)</f>
        <v/>
      </c>
      <c r="Q30" s="5">
        <f>SUM(Y30:AC30)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IF(ISNUMBER(R30),IF(ISNUMBER(R27),IF(R30&gt;R27,1.0,IF(R30=R27,0.5,0.0)),""),"")</f>
        <v/>
      </c>
      <c r="U30">
        <f>IF(ISNUMBER(R30),IF(ISNUMBER(R28),IF(R30&gt;R28,1.0,IF(R30=R28,0.5,0.0)),""),"")</f>
        <v/>
      </c>
      <c r="V30">
        <f>IF(ISNUMBER(R30),IF(ISNUMBER(R29),IF(R30&gt;R29,1.0,IF(R30=R29,0.5,0.0)),""),"")</f>
        <v/>
      </c>
      <c r="W30">
        <f>IF(ISNUMBER(R30),IF(ISNUMBER(R31),IF(R30&gt;R31,1.0,IF(R30=R31,0.5,0.0)),""),"")</f>
        <v/>
      </c>
      <c r="X30">
        <f>IF(ISNUMBER(R30),IF(ISNUMBER(R32),IF(R30&gt;R32,1.0,IF(R30=R32,0.5,0.0)),""),"")</f>
        <v/>
      </c>
      <c r="Y30">
        <f>IF(ISNUMBER(S30),IF(ISNUMBER(S27),IF(S30&gt;S27,1.0,IF(S30=S27,0.5,0.0)),""),"")</f>
        <v/>
      </c>
      <c r="Z30">
        <f>IF(ISNUMBER(S30),IF(ISNUMBER(S28),IF(S30&gt;S28,1.0,IF(S30=S28,0.5,0.0)),""),"")</f>
        <v/>
      </c>
      <c r="AA30">
        <f>IF(ISNUMBER(S30),IF(ISNUMBER(S29),IF(S30&gt;S29,1.0,IF(S30=S29,0.5,0.0)),""),"")</f>
        <v/>
      </c>
      <c r="AB30">
        <f>IF(ISNUMBER(S30),IF(ISNUMBER(S31),IF(S30&gt;S31,1.0,IF(S30=S31,0.5,0.0)),""),"")</f>
        <v/>
      </c>
      <c r="AC30">
        <f>IF(ISNUMBER(S30),IF(ISNUMBER(S32),IF(S30&gt;S32,1.0,IF(S30=S32,0.5,0.0)),""),"")</f>
        <v/>
      </c>
      <c r="AD30" s="14">
        <f>IF(AND(ISNUMBER(R30),ISNUMBER(R27)),VLOOKUP(ABS(R30-R27),'IMP Table'!$A$2:$C$26,3)*SIGN(R30-R27),0)</f>
        <v/>
      </c>
      <c r="AE30">
        <f>IF(AND(ISNUMBER(R30),ISNUMBER(R28)),VLOOKUP(ABS(R30-R28),'IMP Table'!$A$2:$C$26,3)*SIGN(R30-R28),0)</f>
        <v/>
      </c>
      <c r="AF30">
        <f>IF(AND(ISNUMBER(R30),ISNUMBER(R29)),VLOOKUP(ABS(R30-R29),'IMP Table'!$A$2:$C$26,3)*SIGN(R30-R29),0)</f>
        <v/>
      </c>
      <c r="AG30">
        <f>IF(AND(ISNUMBER(R30),ISNUMBER(R31)),VLOOKUP(ABS(R30-R31),'IMP Table'!$A$2:$C$26,3)*SIGN(R30-R31),0)</f>
        <v/>
      </c>
      <c r="AH30">
        <f>IF(AND(ISNUMBER(R30),ISNUMBER(R32)),VLOOKUP(ABS(R30-R32),'IMP Table'!$A$2:$C$26,3)*SIGN(R30-R32),0)</f>
        <v/>
      </c>
      <c r="AI30">
        <f>IF(AND(ISNUMBER(S30),ISNUMBER(S27)),VLOOKUP(ABS(S30-S27),'IMP Table'!$A$2:$C$26,3)*SIGN(S30-S27),0)</f>
        <v/>
      </c>
      <c r="AJ30">
        <f>IF(AND(ISNUMBER(S30),ISNUMBER(S28)),VLOOKUP(ABS(S30-S28),'IMP Table'!$A$2:$C$26,3)*SIGN(S30-S28),0)</f>
        <v/>
      </c>
      <c r="AK30">
        <f>IF(AND(ISNUMBER(S30),ISNUMBER(S29)),VLOOKUP(ABS(S30-S29),'IMP Table'!$A$2:$C$26,3)*SIGN(S30-S29),0)</f>
        <v/>
      </c>
      <c r="AL30">
        <f>IF(AND(ISNUMBER(S30),ISNUMBER(S31)),VLOOKUP(ABS(S30-S31),'IMP Table'!$A$2:$C$26,3)*SIGN(S30-S31),0)</f>
        <v/>
      </c>
      <c r="AM30">
        <f>IF(AND(ISNUMBER(S30),ISNUMBER(S32)),VLOOKUP(ABS(S30-S32),'IMP Table'!$A$2:$C$26,3)*SIGN(S30-S32),0)</f>
        <v/>
      </c>
    </row>
    <row r="31">
      <c r="B31">
        <f>'By Round'!A99</f>
        <v/>
      </c>
      <c r="C31">
        <f>'By Round'!B103</f>
        <v/>
      </c>
      <c r="D31">
        <f>'By Round'!C103</f>
        <v/>
      </c>
      <c r="E31">
        <f>'By Round'!D103</f>
        <v/>
      </c>
      <c r="F31" s="11" t="inlineStr">
        <is>
          <t>NS</t>
        </is>
      </c>
      <c r="G31">
        <f>IF(ISBLANK('By Round'!G103),"",'By Round'!G103)</f>
        <v/>
      </c>
      <c r="H31">
        <f>IF(ISBLANK('By Round'!H103),"",'By Round'!H103)</f>
        <v/>
      </c>
      <c r="I31">
        <f>IF(ISBLANK('By Round'!I103),"",'By Round'!I103)</f>
        <v/>
      </c>
      <c r="J31">
        <f>IF(ISBLANK('By Round'!J103),"",'By Round'!J103)</f>
        <v/>
      </c>
      <c r="K31">
        <f>IF(ISBLANK('By Round'!K103),"",'By Round'!K103)</f>
        <v/>
      </c>
      <c r="L31" s="12">
        <f>SUM(AD31:AH31)</f>
        <v/>
      </c>
      <c r="M31" s="13">
        <f>SUM(AI31:AM31)</f>
        <v/>
      </c>
      <c r="N31" s="8">
        <f>IF(COUNT(T31:X31)&gt;0,P31/COUNT(T31:X31),0.5)</f>
        <v/>
      </c>
      <c r="O31" s="8">
        <f>IF(COUNT(Y31:AC31)&gt;0,Q31/COUNT(Y31:AC31),0.5)</f>
        <v/>
      </c>
      <c r="P31" s="5">
        <f>SUM(T31:X31)</f>
        <v/>
      </c>
      <c r="Q31" s="5">
        <f>SUM(Y31:AC31)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IF(ISNUMBER(R31),IF(ISNUMBER(R27),IF(R31&gt;R27,1.0,IF(R31=R27,0.5,0.0)),""),"")</f>
        <v/>
      </c>
      <c r="U31">
        <f>IF(ISNUMBER(R31),IF(ISNUMBER(R28),IF(R31&gt;R28,1.0,IF(R31=R28,0.5,0.0)),""),"")</f>
        <v/>
      </c>
      <c r="V31">
        <f>IF(ISNUMBER(R31),IF(ISNUMBER(R29),IF(R31&gt;R29,1.0,IF(R31=R29,0.5,0.0)),""),"")</f>
        <v/>
      </c>
      <c r="W31">
        <f>IF(ISNUMBER(R31),IF(ISNUMBER(R30),IF(R31&gt;R30,1.0,IF(R31=R30,0.5,0.0)),""),"")</f>
        <v/>
      </c>
      <c r="X31">
        <f>IF(ISNUMBER(R31),IF(ISNUMBER(R32),IF(R31&gt;R32,1.0,IF(R31=R32,0.5,0.0)),""),"")</f>
        <v/>
      </c>
      <c r="Y31">
        <f>IF(ISNUMBER(S31),IF(ISNUMBER(S27),IF(S31&gt;S27,1.0,IF(S31=S27,0.5,0.0)),""),"")</f>
        <v/>
      </c>
      <c r="Z31">
        <f>IF(ISNUMBER(S31),IF(ISNUMBER(S28),IF(S31&gt;S28,1.0,IF(S31=S28,0.5,0.0)),""),"")</f>
        <v/>
      </c>
      <c r="AA31">
        <f>IF(ISNUMBER(S31),IF(ISNUMBER(S29),IF(S31&gt;S29,1.0,IF(S31=S29,0.5,0.0)),""),"")</f>
        <v/>
      </c>
      <c r="AB31">
        <f>IF(ISNUMBER(S31),IF(ISNUMBER(S30),IF(S31&gt;S30,1.0,IF(S31=S30,0.5,0.0)),""),"")</f>
        <v/>
      </c>
      <c r="AC31">
        <f>IF(ISNUMBER(S31),IF(ISNUMBER(S32),IF(S31&gt;S32,1.0,IF(S31=S32,0.5,0.0)),""),"")</f>
        <v/>
      </c>
      <c r="AD31" s="14">
        <f>IF(AND(ISNUMBER(R31),ISNUMBER(R27)),VLOOKUP(ABS(R31-R27),'IMP Table'!$A$2:$C$26,3)*SIGN(R31-R27),0)</f>
        <v/>
      </c>
      <c r="AE31">
        <f>IF(AND(ISNUMBER(R31),ISNUMBER(R28)),VLOOKUP(ABS(R31-R28),'IMP Table'!$A$2:$C$26,3)*SIGN(R31-R28),0)</f>
        <v/>
      </c>
      <c r="AF31">
        <f>IF(AND(ISNUMBER(R31),ISNUMBER(R29)),VLOOKUP(ABS(R31-R29),'IMP Table'!$A$2:$C$26,3)*SIGN(R31-R29),0)</f>
        <v/>
      </c>
      <c r="AG31">
        <f>IF(AND(ISNUMBER(R31),ISNUMBER(R30)),VLOOKUP(ABS(R31-R30),'IMP Table'!$A$2:$C$26,3)*SIGN(R31-R30),0)</f>
        <v/>
      </c>
      <c r="AH31">
        <f>IF(AND(ISNUMBER(R31),ISNUMBER(R32)),VLOOKUP(ABS(R31-R32),'IMP Table'!$A$2:$C$26,3)*SIGN(R31-R32),0)</f>
        <v/>
      </c>
      <c r="AI31">
        <f>IF(AND(ISNUMBER(S31),ISNUMBER(S27)),VLOOKUP(ABS(S31-S27),'IMP Table'!$A$2:$C$26,3)*SIGN(S31-S27),0)</f>
        <v/>
      </c>
      <c r="AJ31">
        <f>IF(AND(ISNUMBER(S31),ISNUMBER(S28)),VLOOKUP(ABS(S31-S28),'IMP Table'!$A$2:$C$26,3)*SIGN(S31-S28),0)</f>
        <v/>
      </c>
      <c r="AK31">
        <f>IF(AND(ISNUMBER(S31),ISNUMBER(S29)),VLOOKUP(ABS(S31-S29),'IMP Table'!$A$2:$C$26,3)*SIGN(S31-S29),0)</f>
        <v/>
      </c>
      <c r="AL31">
        <f>IF(AND(ISNUMBER(S31),ISNUMBER(S30)),VLOOKUP(ABS(S31-S30),'IMP Table'!$A$2:$C$26,3)*SIGN(S31-S30),0)</f>
        <v/>
      </c>
      <c r="AM31">
        <f>IF(AND(ISNUMBER(S31),ISNUMBER(S32)),VLOOKUP(ABS(S31-S32),'IMP Table'!$A$2:$C$26,3)*SIGN(S31-S32),0)</f>
        <v/>
      </c>
    </row>
    <row r="32">
      <c r="A32" s="15" t="n"/>
      <c r="B32" s="15">
        <f>'By Round'!A111</f>
        <v/>
      </c>
      <c r="C32" s="15">
        <f>'By Round'!B113</f>
        <v/>
      </c>
      <c r="D32" s="15">
        <f>'By Round'!C113</f>
        <v/>
      </c>
      <c r="E32" s="15">
        <f>'By Round'!D113</f>
        <v/>
      </c>
      <c r="F32" s="16" t="inlineStr">
        <is>
          <t>NS</t>
        </is>
      </c>
      <c r="G32" s="15">
        <f>IF(ISBLANK('By Round'!G113),"",'By Round'!G113)</f>
        <v/>
      </c>
      <c r="H32" s="15">
        <f>IF(ISBLANK('By Round'!H113),"",'By Round'!H113)</f>
        <v/>
      </c>
      <c r="I32" s="15">
        <f>IF(ISBLANK('By Round'!I113),"",'By Round'!I113)</f>
        <v/>
      </c>
      <c r="J32" s="15">
        <f>IF(ISBLANK('By Round'!J113),"",'By Round'!J113)</f>
        <v/>
      </c>
      <c r="K32" s="15">
        <f>IF(ISBLANK('By Round'!K113),"",'By Round'!K113)</f>
        <v/>
      </c>
      <c r="L32" s="17">
        <f>SUM(AD32:AH32)</f>
        <v/>
      </c>
      <c r="M32" s="18">
        <f>SUM(AI32:AM32)</f>
        <v/>
      </c>
      <c r="N32" s="19">
        <f>IF(COUNT(T32:X32)&gt;0,P32/COUNT(T32:X32),0.5)</f>
        <v/>
      </c>
      <c r="O32" s="19">
        <f>IF(COUNT(Y32:AC32)&gt;0,Q32/COUNT(Y32:AC32),0.5)</f>
        <v/>
      </c>
      <c r="P32" s="20">
        <f>SUM(T32:X32)</f>
        <v/>
      </c>
      <c r="Q32" s="20">
        <f>SUM(Y32:AC32)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IF(ISNUMBER(R32),IF(ISNUMBER(R27),IF(R32&gt;R27,1.0,IF(R32=R27,0.5,0.0)),""),"")</f>
        <v/>
      </c>
      <c r="U32" s="15">
        <f>IF(ISNUMBER(R32),IF(ISNUMBER(R28),IF(R32&gt;R28,1.0,IF(R32=R28,0.5,0.0)),""),"")</f>
        <v/>
      </c>
      <c r="V32" s="15">
        <f>IF(ISNUMBER(R32),IF(ISNUMBER(R29),IF(R32&gt;R29,1.0,IF(R32=R29,0.5,0.0)),""),"")</f>
        <v/>
      </c>
      <c r="W32" s="15">
        <f>IF(ISNUMBER(R32),IF(ISNUMBER(R30),IF(R32&gt;R30,1.0,IF(R32=R30,0.5,0.0)),""),"")</f>
        <v/>
      </c>
      <c r="X32" s="15">
        <f>IF(ISNUMBER(R32),IF(ISNUMBER(R31),IF(R32&gt;R31,1.0,IF(R32=R31,0.5,0.0)),""),"")</f>
        <v/>
      </c>
      <c r="Y32" s="15">
        <f>IF(ISNUMBER(S32),IF(ISNUMBER(S27),IF(S32&gt;S27,1.0,IF(S32=S27,0.5,0.0)),""),"")</f>
        <v/>
      </c>
      <c r="Z32" s="15">
        <f>IF(ISNUMBER(S32),IF(ISNUMBER(S28),IF(S32&gt;S28,1.0,IF(S32=S28,0.5,0.0)),""),"")</f>
        <v/>
      </c>
      <c r="AA32" s="15">
        <f>IF(ISNUMBER(S32),IF(ISNUMBER(S29),IF(S32&gt;S29,1.0,IF(S32=S29,0.5,0.0)),""),"")</f>
        <v/>
      </c>
      <c r="AB32" s="15">
        <f>IF(ISNUMBER(S32),IF(ISNUMBER(S30),IF(S32&gt;S30,1.0,IF(S32=S30,0.5,0.0)),""),"")</f>
        <v/>
      </c>
      <c r="AC32" s="15">
        <f>IF(ISNUMBER(S32),IF(ISNUMBER(S31),IF(S32&gt;S31,1.0,IF(S32=S31,0.5,0.0)),""),"")</f>
        <v/>
      </c>
      <c r="AD32" s="21">
        <f>IF(AND(ISNUMBER(R32),ISNUMBER(R27)),VLOOKUP(ABS(R32-R27),'IMP Table'!$A$2:$C$26,3)*SIGN(R32-R27),0)</f>
        <v/>
      </c>
      <c r="AE32" s="15">
        <f>IF(AND(ISNUMBER(R32),ISNUMBER(R28)),VLOOKUP(ABS(R32-R28),'IMP Table'!$A$2:$C$26,3)*SIGN(R32-R28),0)</f>
        <v/>
      </c>
      <c r="AF32" s="15">
        <f>IF(AND(ISNUMBER(R32),ISNUMBER(R29)),VLOOKUP(ABS(R32-R29),'IMP Table'!$A$2:$C$26,3)*SIGN(R32-R29),0)</f>
        <v/>
      </c>
      <c r="AG32" s="15">
        <f>IF(AND(ISNUMBER(R32),ISNUMBER(R30)),VLOOKUP(ABS(R32-R30),'IMP Table'!$A$2:$C$26,3)*SIGN(R32-R30),0)</f>
        <v/>
      </c>
      <c r="AH32" s="15">
        <f>IF(AND(ISNUMBER(R32),ISNUMBER(R31)),VLOOKUP(ABS(R32-R31),'IMP Table'!$A$2:$C$26,3)*SIGN(R32-R31),0)</f>
        <v/>
      </c>
      <c r="AI32" s="15">
        <f>IF(AND(ISNUMBER(S32),ISNUMBER(S27)),VLOOKUP(ABS(S32-S27),'IMP Table'!$A$2:$C$26,3)*SIGN(S32-S27),0)</f>
        <v/>
      </c>
      <c r="AJ32" s="15">
        <f>IF(AND(ISNUMBER(S32),ISNUMBER(S28)),VLOOKUP(ABS(S32-S28),'IMP Table'!$A$2:$C$26,3)*SIGN(S32-S28),0)</f>
        <v/>
      </c>
      <c r="AK32" s="15">
        <f>IF(AND(ISNUMBER(S32),ISNUMBER(S29)),VLOOKUP(ABS(S32-S29),'IMP Table'!$A$2:$C$26,3)*SIGN(S32-S29),0)</f>
        <v/>
      </c>
      <c r="AL32" s="15">
        <f>IF(AND(ISNUMBER(S32),ISNUMBER(S30)),VLOOKUP(ABS(S32-S30),'IMP Table'!$A$2:$C$26,3)*SIGN(S32-S30),0)</f>
        <v/>
      </c>
      <c r="AM32" s="15">
        <f>IF(AND(ISNUMBER(S32),ISNUMBER(S31)),VLOOKUP(ABS(S32-S31),'IMP Table'!$A$2:$C$26,3)*SIGN(S32-S31),0)</f>
        <v/>
      </c>
    </row>
    <row r="33">
      <c r="A33" t="n">
        <v>6</v>
      </c>
      <c r="B33">
        <f>'By Round'!A27</f>
        <v/>
      </c>
      <c r="C33">
        <f>'By Round'!B27</f>
        <v/>
      </c>
      <c r="D33">
        <f>'By Round'!C27</f>
        <v/>
      </c>
      <c r="E33">
        <f>'By Round'!D27</f>
        <v/>
      </c>
      <c r="F33" s="11" t="inlineStr">
        <is>
          <t>EW</t>
        </is>
      </c>
      <c r="G33">
        <f>IF(ISBLANK('By Round'!G27),"",'By Round'!G27)</f>
        <v/>
      </c>
      <c r="H33">
        <f>IF(ISBLANK('By Round'!H27),"",'By Round'!H27)</f>
        <v/>
      </c>
      <c r="I33">
        <f>IF(ISBLANK('By Round'!I27),"",'By Round'!I27)</f>
        <v/>
      </c>
      <c r="J33">
        <f>IF(ISBLANK('By Round'!J27),"",'By Round'!J27)</f>
        <v/>
      </c>
      <c r="K33">
        <f>IF(ISBLANK('By Round'!K27),"",'By Round'!K27)</f>
        <v/>
      </c>
      <c r="L33" s="12">
        <f>SUM(AD33:AH33)</f>
        <v/>
      </c>
      <c r="M33" s="13">
        <f>SUM(AI33:AM33)</f>
        <v/>
      </c>
      <c r="N33" s="8">
        <f>IF(COUNT(T33:X33)&gt;0,P33/COUNT(T33:X33),0.5)</f>
        <v/>
      </c>
      <c r="O33" s="8">
        <f>IF(COUNT(Y33:AC33)&gt;0,Q33/COUNT(Y33:AC33),0.5)</f>
        <v/>
      </c>
      <c r="P33" s="5">
        <f>SUM(T33:X33)</f>
        <v/>
      </c>
      <c r="Q33" s="5">
        <f>SUM(Y33:AC33)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IF(ISNUMBER(R33),IF(ISNUMBER(R38),IF(R33&gt;R38,1.0,IF(R33=R38,0.5,0.0)),""),"")</f>
        <v/>
      </c>
      <c r="Y33">
        <f>IF(ISNUMBER(S33),IF(ISNUMBER(S34),IF(S33&gt;S34,1.0,IF(S33=S34,0.5,0.0)),""),"")</f>
        <v/>
      </c>
      <c r="Z33">
        <f>IF(ISNUMBER(S33),IF(ISNUMBER(S35),IF(S33&gt;S35,1.0,IF(S33=S35,0.5,0.0)),""),"")</f>
        <v/>
      </c>
      <c r="AA33">
        <f>IF(ISNUMBER(S33),IF(ISNUMBER(S36),IF(S33&gt;S36,1.0,IF(S33=S36,0.5,0.0)),""),"")</f>
        <v/>
      </c>
      <c r="AB33">
        <f>IF(ISNUMBER(S33),IF(ISNUMBER(S37),IF(S33&gt;S37,1.0,IF(S33=S37,0.5,0.0)),""),"")</f>
        <v/>
      </c>
      <c r="AC33">
        <f>IF(ISNUMBER(S33),IF(ISNUMBER(S38),IF(S33&gt;S38,1.0,IF(S33=S38,0.5,0.0)),""),"")</f>
        <v/>
      </c>
      <c r="AD33" s="14">
        <f>IF(AND(ISNUMBER(R33),ISNUMBER(R34)),VLOOKUP(ABS(R33-R34),'IMP Table'!$A$2:$C$26,3)*SIGN(R33-R34),0)</f>
        <v/>
      </c>
      <c r="AE33">
        <f>IF(AND(ISNUMBER(R33),ISNUMBER(R35)),VLOOKUP(ABS(R33-R35),'IMP Table'!$A$2:$C$26,3)*SIGN(R33-R35),0)</f>
        <v/>
      </c>
      <c r="AF33">
        <f>IF(AND(ISNUMBER(R33),ISNUMBER(R36)),VLOOKUP(ABS(R33-R36),'IMP Table'!$A$2:$C$26,3)*SIGN(R33-R36),0)</f>
        <v/>
      </c>
      <c r="AG33">
        <f>IF(AND(ISNUMBER(R33),ISNUMBER(R37)),VLOOKUP(ABS(R33-R37),'IMP Table'!$A$2:$C$26,3)*SIGN(R33-R37),0)</f>
        <v/>
      </c>
      <c r="AH33">
        <f>IF(AND(ISNUMBER(R33),ISNUMBER(R38)),VLOOKUP(ABS(R33-R38),'IMP Table'!$A$2:$C$26,3)*SIGN(R33-R38),0)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IF(AND(ISNUMBER(S33),ISNUMBER(S38)),VLOOKUP(ABS(S33-S38),'IMP Table'!$A$2:$C$26,3)*SIGN(S33-S38),0)</f>
        <v/>
      </c>
    </row>
    <row r="34">
      <c r="B34">
        <f>'By Round'!A51</f>
        <v/>
      </c>
      <c r="C34">
        <f>'By Round'!B61</f>
        <v/>
      </c>
      <c r="D34">
        <f>'By Round'!C61</f>
        <v/>
      </c>
      <c r="E34">
        <f>'By Round'!D61</f>
        <v/>
      </c>
      <c r="F34" s="11" t="inlineStr">
        <is>
          <t>EW</t>
        </is>
      </c>
      <c r="G34">
        <f>IF(ISBLANK('By Round'!G61),"",'By Round'!G61)</f>
        <v/>
      </c>
      <c r="H34">
        <f>IF(ISBLANK('By Round'!H61),"",'By Round'!H61)</f>
        <v/>
      </c>
      <c r="I34">
        <f>IF(ISBLANK('By Round'!I61),"",'By Round'!I61)</f>
        <v/>
      </c>
      <c r="J34">
        <f>IF(ISBLANK('By Round'!J61),"",'By Round'!J61)</f>
        <v/>
      </c>
      <c r="K34">
        <f>IF(ISBLANK('By Round'!K61),"",'By Round'!K61)</f>
        <v/>
      </c>
      <c r="L34" s="12">
        <f>SUM(AD34:AH34)</f>
        <v/>
      </c>
      <c r="M34" s="13">
        <f>SUM(AI34:AM34)</f>
        <v/>
      </c>
      <c r="N34" s="8">
        <f>IF(COUNT(T34:X34)&gt;0,P34/COUNT(T34:X34),0.5)</f>
        <v/>
      </c>
      <c r="O34" s="8">
        <f>IF(COUNT(Y34:AC34)&gt;0,Q34/COUNT(Y34:AC34),0.5)</f>
        <v/>
      </c>
      <c r="P34" s="5">
        <f>SUM(T34:X34)</f>
        <v/>
      </c>
      <c r="Q34" s="5">
        <f>SUM(Y34:AC34)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IF(ISNUMBER(R34),IF(ISNUMBER(R38),IF(R34&gt;R38,1.0,IF(R34=R38,0.5,0.0)),""),"")</f>
        <v/>
      </c>
      <c r="Y34">
        <f>IF(ISNUMBER(S34),IF(ISNUMBER(S33),IF(S34&gt;S33,1.0,IF(S34=S33,0.5,0.0)),""),"")</f>
        <v/>
      </c>
      <c r="Z34">
        <f>IF(ISNUMBER(S34),IF(ISNUMBER(S35),IF(S34&gt;S35,1.0,IF(S34=S35,0.5,0.0)),""),"")</f>
        <v/>
      </c>
      <c r="AA34">
        <f>IF(ISNUMBER(S34),IF(ISNUMBER(S36),IF(S34&gt;S36,1.0,IF(S34=S36,0.5,0.0)),""),"")</f>
        <v/>
      </c>
      <c r="AB34">
        <f>IF(ISNUMBER(S34),IF(ISNUMBER(S37),IF(S34&gt;S37,1.0,IF(S34=S37,0.5,0.0)),""),"")</f>
        <v/>
      </c>
      <c r="AC34">
        <f>IF(ISNUMBER(S34),IF(ISNUMBER(S38),IF(S34&gt;S38,1.0,IF(S34=S38,0.5,0.0)),""),"")</f>
        <v/>
      </c>
      <c r="AD34" s="14">
        <f>IF(AND(ISNUMBER(R34),ISNUMBER(R33)),VLOOKUP(ABS(R34-R33),'IMP Table'!$A$2:$C$26,3)*SIGN(R34-R33),0)</f>
        <v/>
      </c>
      <c r="AE34">
        <f>IF(AND(ISNUMBER(R34),ISNUMBER(R35)),VLOOKUP(ABS(R34-R35),'IMP Table'!$A$2:$C$26,3)*SIGN(R34-R35),0)</f>
        <v/>
      </c>
      <c r="AF34">
        <f>IF(AND(ISNUMBER(R34),ISNUMBER(R36)),VLOOKUP(ABS(R34-R36),'IMP Table'!$A$2:$C$26,3)*SIGN(R34-R36),0)</f>
        <v/>
      </c>
      <c r="AG34">
        <f>IF(AND(ISNUMBER(R34),ISNUMBER(R37)),VLOOKUP(ABS(R34-R37),'IMP Table'!$A$2:$C$26,3)*SIGN(R34-R37),0)</f>
        <v/>
      </c>
      <c r="AH34">
        <f>IF(AND(ISNUMBER(R34),ISNUMBER(R38)),VLOOKUP(ABS(R34-R38),'IMP Table'!$A$2:$C$26,3)*SIGN(R34-R38),0)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IF(AND(ISNUMBER(S34),ISNUMBER(S38)),VLOOKUP(ABS(S34-S38),'IMP Table'!$A$2:$C$26,3)*SIGN(S34-S38),0)</f>
        <v/>
      </c>
    </row>
    <row r="35">
      <c r="B35">
        <f>'By Round'!A63</f>
        <v/>
      </c>
      <c r="C35">
        <f>'By Round'!B71</f>
        <v/>
      </c>
      <c r="D35">
        <f>'By Round'!C71</f>
        <v/>
      </c>
      <c r="E35">
        <f>'By Round'!D71</f>
        <v/>
      </c>
      <c r="F35" s="11" t="inlineStr">
        <is>
          <t>EW</t>
        </is>
      </c>
      <c r="G35">
        <f>IF(ISBLANK('By Round'!G71),"",'By Round'!G71)</f>
        <v/>
      </c>
      <c r="H35">
        <f>IF(ISBLANK('By Round'!H71),"",'By Round'!H71)</f>
        <v/>
      </c>
      <c r="I35">
        <f>IF(ISBLANK('By Round'!I71),"",'By Round'!I71)</f>
        <v/>
      </c>
      <c r="J35">
        <f>IF(ISBLANK('By Round'!J71),"",'By Round'!J71)</f>
        <v/>
      </c>
      <c r="K35">
        <f>IF(ISBLANK('By Round'!K71),"",'By Round'!K71)</f>
        <v/>
      </c>
      <c r="L35" s="12">
        <f>SUM(AD35:AH35)</f>
        <v/>
      </c>
      <c r="M35" s="13">
        <f>SUM(AI35:AM35)</f>
        <v/>
      </c>
      <c r="N35" s="8">
        <f>IF(COUNT(T35:X35)&gt;0,P35/COUNT(T35:X35),0.5)</f>
        <v/>
      </c>
      <c r="O35" s="8">
        <f>IF(COUNT(Y35:AC35)&gt;0,Q35/COUNT(Y35:AC35),0.5)</f>
        <v/>
      </c>
      <c r="P35" s="5">
        <f>SUM(T35:X35)</f>
        <v/>
      </c>
      <c r="Q35" s="5">
        <f>SUM(Y35:AC35)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IF(ISNUMBER(R35),IF(ISNUMBER(R38),IF(R35&gt;R38,1.0,IF(R35=R38,0.5,0.0)),""),"")</f>
        <v/>
      </c>
      <c r="Y35">
        <f>IF(ISNUMBER(S35),IF(ISNUMBER(S33),IF(S35&gt;S33,1.0,IF(S35=S33,0.5,0.0)),""),"")</f>
        <v/>
      </c>
      <c r="Z35">
        <f>IF(ISNUMBER(S35),IF(ISNUMBER(S34),IF(S35&gt;S34,1.0,IF(S35=S34,0.5,0.0)),""),"")</f>
        <v/>
      </c>
      <c r="AA35">
        <f>IF(ISNUMBER(S35),IF(ISNUMBER(S36),IF(S35&gt;S36,1.0,IF(S35=S36,0.5,0.0)),""),"")</f>
        <v/>
      </c>
      <c r="AB35">
        <f>IF(ISNUMBER(S35),IF(ISNUMBER(S37),IF(S35&gt;S37,1.0,IF(S35=S37,0.5,0.0)),""),"")</f>
        <v/>
      </c>
      <c r="AC35">
        <f>IF(ISNUMBER(S35),IF(ISNUMBER(S38),IF(S35&gt;S38,1.0,IF(S35=S38,0.5,0.0)),""),"")</f>
        <v/>
      </c>
      <c r="AD35" s="14">
        <f>IF(AND(ISNUMBER(R35),ISNUMBER(R33)),VLOOKUP(ABS(R35-R33),'IMP Table'!$A$2:$C$26,3)*SIGN(R35-R33),0)</f>
        <v/>
      </c>
      <c r="AE35">
        <f>IF(AND(ISNUMBER(R35),ISNUMBER(R34)),VLOOKUP(ABS(R35-R34),'IMP Table'!$A$2:$C$26,3)*SIGN(R35-R34),0)</f>
        <v/>
      </c>
      <c r="AF35">
        <f>IF(AND(ISNUMBER(R35),ISNUMBER(R36)),VLOOKUP(ABS(R35-R36),'IMP Table'!$A$2:$C$26,3)*SIGN(R35-R36),0)</f>
        <v/>
      </c>
      <c r="AG35">
        <f>IF(AND(ISNUMBER(R35),ISNUMBER(R37)),VLOOKUP(ABS(R35-R37),'IMP Table'!$A$2:$C$26,3)*SIGN(R35-R37),0)</f>
        <v/>
      </c>
      <c r="AH35">
        <f>IF(AND(ISNUMBER(R35),ISNUMBER(R38)),VLOOKUP(ABS(R35-R38),'IMP Table'!$A$2:$C$26,3)*SIGN(R35-R38),0)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IF(AND(ISNUMBER(S35),ISNUMBER(S38)),VLOOKUP(ABS(S35-S38),'IMP Table'!$A$2:$C$26,3)*SIGN(S35-S38),0)</f>
        <v/>
      </c>
    </row>
    <row r="36">
      <c r="B36">
        <f>'By Round'!A75</f>
        <v/>
      </c>
      <c r="C36">
        <f>'By Round'!B81</f>
        <v/>
      </c>
      <c r="D36">
        <f>'By Round'!C81</f>
        <v/>
      </c>
      <c r="E36">
        <f>'By Round'!D81</f>
        <v/>
      </c>
      <c r="F36" s="11" t="inlineStr">
        <is>
          <t>EW</t>
        </is>
      </c>
      <c r="G36">
        <f>IF(ISBLANK('By Round'!G81),"",'By Round'!G81)</f>
        <v/>
      </c>
      <c r="H36">
        <f>IF(ISBLANK('By Round'!H81),"",'By Round'!H81)</f>
        <v/>
      </c>
      <c r="I36">
        <f>IF(ISBLANK('By Round'!I81),"",'By Round'!I81)</f>
        <v/>
      </c>
      <c r="J36">
        <f>IF(ISBLANK('By Round'!J81),"",'By Round'!J81)</f>
        <v/>
      </c>
      <c r="K36">
        <f>IF(ISBLANK('By Round'!K81),"",'By Round'!K81)</f>
        <v/>
      </c>
      <c r="L36" s="12">
        <f>SUM(AD36:AH36)</f>
        <v/>
      </c>
      <c r="M36" s="13">
        <f>SUM(AI36:AM36)</f>
        <v/>
      </c>
      <c r="N36" s="8">
        <f>IF(COUNT(T36:X36)&gt;0,P36/COUNT(T36:X36),0.5)</f>
        <v/>
      </c>
      <c r="O36" s="8">
        <f>IF(COUNT(Y36:AC36)&gt;0,Q36/COUNT(Y36:AC36),0.5)</f>
        <v/>
      </c>
      <c r="P36" s="5">
        <f>SUM(T36:X36)</f>
        <v/>
      </c>
      <c r="Q36" s="5">
        <f>SUM(Y36:AC36)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IF(ISNUMBER(R36),IF(ISNUMBER(R38),IF(R36&gt;R38,1.0,IF(R36=R38,0.5,0.0)),""),"")</f>
        <v/>
      </c>
      <c r="Y36">
        <f>IF(ISNUMBER(S36),IF(ISNUMBER(S33),IF(S36&gt;S33,1.0,IF(S36=S33,0.5,0.0)),""),"")</f>
        <v/>
      </c>
      <c r="Z36">
        <f>IF(ISNUMBER(S36),IF(ISNUMBER(S34),IF(S36&gt;S34,1.0,IF(S36=S34,0.5,0.0)),""),"")</f>
        <v/>
      </c>
      <c r="AA36">
        <f>IF(ISNUMBER(S36),IF(ISNUMBER(S35),IF(S36&gt;S35,1.0,IF(S36=S35,0.5,0.0)),""),"")</f>
        <v/>
      </c>
      <c r="AB36">
        <f>IF(ISNUMBER(S36),IF(ISNUMBER(S37),IF(S36&gt;S37,1.0,IF(S36=S37,0.5,0.0)),""),"")</f>
        <v/>
      </c>
      <c r="AC36">
        <f>IF(ISNUMBER(S36),IF(ISNUMBER(S38),IF(S36&gt;S38,1.0,IF(S36=S38,0.5,0.0)),""),"")</f>
        <v/>
      </c>
      <c r="AD36" s="14">
        <f>IF(AND(ISNUMBER(R36),ISNUMBER(R33)),VLOOKUP(ABS(R36-R33),'IMP Table'!$A$2:$C$26,3)*SIGN(R36-R33),0)</f>
        <v/>
      </c>
      <c r="AE36">
        <f>IF(AND(ISNUMBER(R36),ISNUMBER(R34)),VLOOKUP(ABS(R36-R34),'IMP Table'!$A$2:$C$26,3)*SIGN(R36-R34),0)</f>
        <v/>
      </c>
      <c r="AF36">
        <f>IF(AND(ISNUMBER(R36),ISNUMBER(R35)),VLOOKUP(ABS(R36-R35),'IMP Table'!$A$2:$C$26,3)*SIGN(R36-R35),0)</f>
        <v/>
      </c>
      <c r="AG36">
        <f>IF(AND(ISNUMBER(R36),ISNUMBER(R37)),VLOOKUP(ABS(R36-R37),'IMP Table'!$A$2:$C$26,3)*SIGN(R36-R37),0)</f>
        <v/>
      </c>
      <c r="AH36">
        <f>IF(AND(ISNUMBER(R36),ISNUMBER(R38)),VLOOKUP(ABS(R36-R38),'IMP Table'!$A$2:$C$26,3)*SIGN(R36-R38),0)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IF(AND(ISNUMBER(S36),ISNUMBER(S38)),VLOOKUP(ABS(S36-S38),'IMP Table'!$A$2:$C$26,3)*SIGN(S36-S38),0)</f>
        <v/>
      </c>
    </row>
    <row r="37">
      <c r="B37">
        <f>'By Round'!A99</f>
        <v/>
      </c>
      <c r="C37">
        <f>'By Round'!B103</f>
        <v/>
      </c>
      <c r="D37">
        <f>'By Round'!C103</f>
        <v/>
      </c>
      <c r="E37">
        <f>'By Round'!D103</f>
        <v/>
      </c>
      <c r="F37" s="11" t="inlineStr">
        <is>
          <t>EW</t>
        </is>
      </c>
      <c r="G37">
        <f>IF(ISBLANK('By Round'!G103),"",'By Round'!G103)</f>
        <v/>
      </c>
      <c r="H37">
        <f>IF(ISBLANK('By Round'!H103),"",'By Round'!H103)</f>
        <v/>
      </c>
      <c r="I37">
        <f>IF(ISBLANK('By Round'!I103),"",'By Round'!I103)</f>
        <v/>
      </c>
      <c r="J37">
        <f>IF(ISBLANK('By Round'!J103),"",'By Round'!J103)</f>
        <v/>
      </c>
      <c r="K37">
        <f>IF(ISBLANK('By Round'!K103),"",'By Round'!K103)</f>
        <v/>
      </c>
      <c r="L37" s="12">
        <f>SUM(AD37:AH37)</f>
        <v/>
      </c>
      <c r="M37" s="13">
        <f>SUM(AI37:AM37)</f>
        <v/>
      </c>
      <c r="N37" s="8">
        <f>IF(COUNT(T37:X37)&gt;0,P37/COUNT(T37:X37),0.5)</f>
        <v/>
      </c>
      <c r="O37" s="8">
        <f>IF(COUNT(Y37:AC37)&gt;0,Q37/COUNT(Y37:AC37),0.5)</f>
        <v/>
      </c>
      <c r="P37" s="5">
        <f>SUM(T37:X37)</f>
        <v/>
      </c>
      <c r="Q37" s="5">
        <f>SUM(Y37:AC37)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IF(ISNUMBER(R37),IF(ISNUMBER(R33),IF(R37&gt;R33,1.0,IF(R37=R33,0.5,0.0)),""),"")</f>
        <v/>
      </c>
      <c r="U37">
        <f>IF(ISNUMBER(R37),IF(ISNUMBER(R34),IF(R37&gt;R34,1.0,IF(R37=R34,0.5,0.0)),""),"")</f>
        <v/>
      </c>
      <c r="V37">
        <f>IF(ISNUMBER(R37),IF(ISNUMBER(R35),IF(R37&gt;R35,1.0,IF(R37=R35,0.5,0.0)),""),"")</f>
        <v/>
      </c>
      <c r="W37">
        <f>IF(ISNUMBER(R37),IF(ISNUMBER(R36),IF(R37&gt;R36,1.0,IF(R37=R36,0.5,0.0)),""),"")</f>
        <v/>
      </c>
      <c r="X37">
        <f>IF(ISNUMBER(R37),IF(ISNUMBER(R38),IF(R37&gt;R38,1.0,IF(R37=R38,0.5,0.0)),""),"")</f>
        <v/>
      </c>
      <c r="Y37">
        <f>IF(ISNUMBER(S37),IF(ISNUMBER(S33),IF(S37&gt;S33,1.0,IF(S37=S33,0.5,0.0)),""),"")</f>
        <v/>
      </c>
      <c r="Z37">
        <f>IF(ISNUMBER(S37),IF(ISNUMBER(S34),IF(S37&gt;S34,1.0,IF(S37=S34,0.5,0.0)),""),"")</f>
        <v/>
      </c>
      <c r="AA37">
        <f>IF(ISNUMBER(S37),IF(ISNUMBER(S35),IF(S37&gt;S35,1.0,IF(S37=S35,0.5,0.0)),""),"")</f>
        <v/>
      </c>
      <c r="AB37">
        <f>IF(ISNUMBER(S37),IF(ISNUMBER(S36),IF(S37&gt;S36,1.0,IF(S37=S36,0.5,0.0)),""),"")</f>
        <v/>
      </c>
      <c r="AC37">
        <f>IF(ISNUMBER(S37),IF(ISNUMBER(S38),IF(S37&gt;S38,1.0,IF(S37=S38,0.5,0.0)),""),"")</f>
        <v/>
      </c>
      <c r="AD37" s="14">
        <f>IF(AND(ISNUMBER(R37),ISNUMBER(R33)),VLOOKUP(ABS(R37-R33),'IMP Table'!$A$2:$C$26,3)*SIGN(R37-R33),0)</f>
        <v/>
      </c>
      <c r="AE37">
        <f>IF(AND(ISNUMBER(R37),ISNUMBER(R34)),VLOOKUP(ABS(R37-R34),'IMP Table'!$A$2:$C$26,3)*SIGN(R37-R34),0)</f>
        <v/>
      </c>
      <c r="AF37">
        <f>IF(AND(ISNUMBER(R37),ISNUMBER(R35)),VLOOKUP(ABS(R37-R35),'IMP Table'!$A$2:$C$26,3)*SIGN(R37-R35),0)</f>
        <v/>
      </c>
      <c r="AG37">
        <f>IF(AND(ISNUMBER(R37),ISNUMBER(R36)),VLOOKUP(ABS(R37-R36),'IMP Table'!$A$2:$C$26,3)*SIGN(R37-R36),0)</f>
        <v/>
      </c>
      <c r="AH37">
        <f>IF(AND(ISNUMBER(R37),ISNUMBER(R38)),VLOOKUP(ABS(R37-R38),'IMP Table'!$A$2:$C$26,3)*SIGN(R37-R38),0)</f>
        <v/>
      </c>
      <c r="AI37">
        <f>IF(AND(ISNUMBER(S37),ISNUMBER(S33)),VLOOKUP(ABS(S37-S33),'IMP Table'!$A$2:$C$26,3)*SIGN(S37-S33),0)</f>
        <v/>
      </c>
      <c r="AJ37">
        <f>IF(AND(ISNUMBER(S37),ISNUMBER(S34)),VLOOKUP(ABS(S37-S34),'IMP Table'!$A$2:$C$26,3)*SIGN(S37-S34),0)</f>
        <v/>
      </c>
      <c r="AK37">
        <f>IF(AND(ISNUMBER(S37),ISNUMBER(S35)),VLOOKUP(ABS(S37-S35),'IMP Table'!$A$2:$C$26,3)*SIGN(S37-S35),0)</f>
        <v/>
      </c>
      <c r="AL37">
        <f>IF(AND(ISNUMBER(S37),ISNUMBER(S36)),VLOOKUP(ABS(S37-S36),'IMP Table'!$A$2:$C$26,3)*SIGN(S37-S36),0)</f>
        <v/>
      </c>
      <c r="AM37">
        <f>IF(AND(ISNUMBER(S37),ISNUMBER(S38)),VLOOKUP(ABS(S37-S38),'IMP Table'!$A$2:$C$26,3)*SIGN(S37-S38),0)</f>
        <v/>
      </c>
    </row>
    <row r="38">
      <c r="A38" s="15" t="n"/>
      <c r="B38" s="15">
        <f>'By Round'!A111</f>
        <v/>
      </c>
      <c r="C38" s="15">
        <f>'By Round'!B113</f>
        <v/>
      </c>
      <c r="D38" s="15">
        <f>'By Round'!C113</f>
        <v/>
      </c>
      <c r="E38" s="15">
        <f>'By Round'!D113</f>
        <v/>
      </c>
      <c r="F38" s="16" t="inlineStr">
        <is>
          <t>EW</t>
        </is>
      </c>
      <c r="G38" s="15">
        <f>IF(ISBLANK('By Round'!G113),"",'By Round'!G113)</f>
        <v/>
      </c>
      <c r="H38" s="15">
        <f>IF(ISBLANK('By Round'!H113),"",'By Round'!H113)</f>
        <v/>
      </c>
      <c r="I38" s="15">
        <f>IF(ISBLANK('By Round'!I113),"",'By Round'!I113)</f>
        <v/>
      </c>
      <c r="J38" s="15">
        <f>IF(ISBLANK('By Round'!J113),"",'By Round'!J113)</f>
        <v/>
      </c>
      <c r="K38" s="15">
        <f>IF(ISBLANK('By Round'!K113),"",'By Round'!K113)</f>
        <v/>
      </c>
      <c r="L38" s="17">
        <f>SUM(AD38:AH38)</f>
        <v/>
      </c>
      <c r="M38" s="18">
        <f>SUM(AI38:AM38)</f>
        <v/>
      </c>
      <c r="N38" s="19">
        <f>IF(COUNT(T38:X38)&gt;0,P38/COUNT(T38:X38),0.5)</f>
        <v/>
      </c>
      <c r="O38" s="19">
        <f>IF(COUNT(Y38:AC38)&gt;0,Q38/COUNT(Y38:AC38),0.5)</f>
        <v/>
      </c>
      <c r="P38" s="20">
        <f>SUM(T38:X38)</f>
        <v/>
      </c>
      <c r="Q38" s="20">
        <f>SUM(Y38:AC38)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IF(ISNUMBER(R38),IF(ISNUMBER(R33),IF(R38&gt;R33,1.0,IF(R38=R33,0.5,0.0)),""),"")</f>
        <v/>
      </c>
      <c r="U38" s="15">
        <f>IF(ISNUMBER(R38),IF(ISNUMBER(R34),IF(R38&gt;R34,1.0,IF(R38=R34,0.5,0.0)),""),"")</f>
        <v/>
      </c>
      <c r="V38" s="15">
        <f>IF(ISNUMBER(R38),IF(ISNUMBER(R35),IF(R38&gt;R35,1.0,IF(R38=R35,0.5,0.0)),""),"")</f>
        <v/>
      </c>
      <c r="W38" s="15">
        <f>IF(ISNUMBER(R38),IF(ISNUMBER(R36),IF(R38&gt;R36,1.0,IF(R38=R36,0.5,0.0)),""),"")</f>
        <v/>
      </c>
      <c r="X38" s="15">
        <f>IF(ISNUMBER(R38),IF(ISNUMBER(R37),IF(R38&gt;R37,1.0,IF(R38=R37,0.5,0.0)),""),"")</f>
        <v/>
      </c>
      <c r="Y38" s="15">
        <f>IF(ISNUMBER(S38),IF(ISNUMBER(S33),IF(S38&gt;S33,1.0,IF(S38=S33,0.5,0.0)),""),"")</f>
        <v/>
      </c>
      <c r="Z38" s="15">
        <f>IF(ISNUMBER(S38),IF(ISNUMBER(S34),IF(S38&gt;S34,1.0,IF(S38=S34,0.5,0.0)),""),"")</f>
        <v/>
      </c>
      <c r="AA38" s="15">
        <f>IF(ISNUMBER(S38),IF(ISNUMBER(S35),IF(S38&gt;S35,1.0,IF(S38=S35,0.5,0.0)),""),"")</f>
        <v/>
      </c>
      <c r="AB38" s="15">
        <f>IF(ISNUMBER(S38),IF(ISNUMBER(S36),IF(S38&gt;S36,1.0,IF(S38=S36,0.5,0.0)),""),"")</f>
        <v/>
      </c>
      <c r="AC38" s="15">
        <f>IF(ISNUMBER(S38),IF(ISNUMBER(S37),IF(S38&gt;S37,1.0,IF(S38=S37,0.5,0.0)),""),"")</f>
        <v/>
      </c>
      <c r="AD38" s="21">
        <f>IF(AND(ISNUMBER(R38),ISNUMBER(R33)),VLOOKUP(ABS(R38-R33),'IMP Table'!$A$2:$C$26,3)*SIGN(R38-R33),0)</f>
        <v/>
      </c>
      <c r="AE38" s="15">
        <f>IF(AND(ISNUMBER(R38),ISNUMBER(R34)),VLOOKUP(ABS(R38-R34),'IMP Table'!$A$2:$C$26,3)*SIGN(R38-R34),0)</f>
        <v/>
      </c>
      <c r="AF38" s="15">
        <f>IF(AND(ISNUMBER(R38),ISNUMBER(R35)),VLOOKUP(ABS(R38-R35),'IMP Table'!$A$2:$C$26,3)*SIGN(R38-R35),0)</f>
        <v/>
      </c>
      <c r="AG38" s="15">
        <f>IF(AND(ISNUMBER(R38),ISNUMBER(R36)),VLOOKUP(ABS(R38-R36),'IMP Table'!$A$2:$C$26,3)*SIGN(R38-R36),0)</f>
        <v/>
      </c>
      <c r="AH38" s="15">
        <f>IF(AND(ISNUMBER(R38),ISNUMBER(R37)),VLOOKUP(ABS(R38-R37),'IMP Table'!$A$2:$C$26,3)*SIGN(R38-R37),0)</f>
        <v/>
      </c>
      <c r="AI38" s="15">
        <f>IF(AND(ISNUMBER(S38),ISNUMBER(S33)),VLOOKUP(ABS(S38-S33),'IMP Table'!$A$2:$C$26,3)*SIGN(S38-S33),0)</f>
        <v/>
      </c>
      <c r="AJ38" s="15">
        <f>IF(AND(ISNUMBER(S38),ISNUMBER(S34)),VLOOKUP(ABS(S38-S34),'IMP Table'!$A$2:$C$26,3)*SIGN(S38-S34),0)</f>
        <v/>
      </c>
      <c r="AK38" s="15">
        <f>IF(AND(ISNUMBER(S38),ISNUMBER(S35)),VLOOKUP(ABS(S38-S35),'IMP Table'!$A$2:$C$26,3)*SIGN(S38-S35),0)</f>
        <v/>
      </c>
      <c r="AL38" s="15">
        <f>IF(AND(ISNUMBER(S38),ISNUMBER(S36)),VLOOKUP(ABS(S38-S36),'IMP Table'!$A$2:$C$26,3)*SIGN(S38-S36),0)</f>
        <v/>
      </c>
      <c r="AM38" s="15">
        <f>IF(AND(ISNUMBER(S38),ISNUMBER(S37)),VLOOKUP(ABS(S38-S37),'IMP Table'!$A$2:$C$26,3)*SIGN(S38-S37),0)</f>
        <v/>
      </c>
    </row>
    <row r="39">
      <c r="A39" t="n">
        <v>7</v>
      </c>
      <c r="B39">
        <f>'By Round'!A39</f>
        <v/>
      </c>
      <c r="C39">
        <f>'By Round'!B39</f>
        <v/>
      </c>
      <c r="D39">
        <f>'By Round'!C39</f>
        <v/>
      </c>
      <c r="E39">
        <f>'By Round'!D39</f>
        <v/>
      </c>
      <c r="F39" s="11" t="inlineStr">
        <is>
          <t>Both</t>
        </is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SUM(AD39:AH39)</f>
        <v/>
      </c>
      <c r="M39" s="13">
        <f>SUM(AI39:AM39)</f>
        <v/>
      </c>
      <c r="N39" s="8">
        <f>IF(COUNT(T39:X39)&gt;0,P39/COUNT(T39:X39),0.5)</f>
        <v/>
      </c>
      <c r="O39" s="8">
        <f>IF(COUNT(Y39:AC39)&gt;0,Q39/COUNT(Y39:AC39),0.5)</f>
        <v/>
      </c>
      <c r="P39" s="5">
        <f>SUM(T39:X39)</f>
        <v/>
      </c>
      <c r="Q39" s="5">
        <f>SUM(Y39:AC39)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IF(ISNUMBER(R39),IF(ISNUMBER(R43),IF(R39&gt;R43,1.0,IF(R39=R43,0.5,0.0)),""),"")</f>
        <v/>
      </c>
      <c r="X39">
        <f>IF(ISNUMBER(R39),IF(ISNUMBER(R44),IF(R39&gt;R44,1.0,IF(R39=R44,0.5,0.0)),""),"")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>
        <f>IF(ISNUMBER(S39),IF(ISNUMBER(S43),IF(S39&gt;S43,1.0,IF(S39=S43,0.5,0.0)),""),"")</f>
        <v/>
      </c>
      <c r="AC39">
        <f>IF(ISNUMBER(S39),IF(ISNUMBER(S44),IF(S39&gt;S44,1.0,IF(S39=S44,0.5,0.0)),""),"")</f>
        <v/>
      </c>
      <c r="AD39" s="14">
        <f>IF(AND(ISNUMBER(R39),ISNUMBER(R40)),VLOOKUP(ABS(R39-R40),'IMP Table'!$A$2:$C$26,3)*SIGN(R39-R40),0)</f>
        <v/>
      </c>
      <c r="AE39">
        <f>IF(AND(ISNUMBER(R39),ISNUMBER(R41)),VLOOKUP(ABS(R39-R41),'IMP Table'!$A$2:$C$26,3)*SIGN(R39-R41),0)</f>
        <v/>
      </c>
      <c r="AF39">
        <f>IF(AND(ISNUMBER(R39),ISNUMBER(R42)),VLOOKUP(ABS(R39-R42),'IMP Table'!$A$2:$C$26,3)*SIGN(R39-R42),0)</f>
        <v/>
      </c>
      <c r="AG39">
        <f>IF(AND(ISNUMBER(R39),ISNUMBER(R43)),VLOOKUP(ABS(R39-R43),'IMP Table'!$A$2:$C$26,3)*SIGN(R39-R43),0)</f>
        <v/>
      </c>
      <c r="AH39">
        <f>IF(AND(ISNUMBER(R39),ISNUMBER(R44)),VLOOKUP(ABS(R39-R44),'IMP Table'!$A$2:$C$26,3)*SIGN(R39-R44),0)</f>
        <v/>
      </c>
      <c r="AI39">
        <f>IF(AND(ISNUMBER(S39),ISNUMBER(S40)),VLOOKUP(ABS(S39-S40),'IMP Table'!$A$2:$C$26,3)*SIGN(S39-S40),0)</f>
        <v/>
      </c>
      <c r="AJ39">
        <f>IF(AND(ISNUMBER(S39),ISNUMBER(S41)),VLOOKUP(ABS(S39-S41),'IMP Table'!$A$2:$C$26,3)*SIGN(S39-S41),0)</f>
        <v/>
      </c>
      <c r="AK39">
        <f>IF(AND(ISNUMBER(S39),ISNUMBER(S42)),VLOOKUP(ABS(S39-S42),'IMP Table'!$A$2:$C$26,3)*SIGN(S39-S42),0)</f>
        <v/>
      </c>
      <c r="AL39">
        <f>IF(AND(ISNUMBER(S39),ISNUMBER(S43)),VLOOKUP(ABS(S39-S43),'IMP Table'!$A$2:$C$26,3)*SIGN(S39-S43),0)</f>
        <v/>
      </c>
      <c r="AM39">
        <f>IF(AND(ISNUMBER(S39),ISNUMBER(S44)),VLOOKUP(ABS(S39-S44),'IMP Table'!$A$2:$C$26,3)*SIGN(S39-S44),0)</f>
        <v/>
      </c>
    </row>
    <row r="40">
      <c r="B40">
        <f>'By Round'!A63</f>
        <v/>
      </c>
      <c r="C40">
        <f>'By Round'!B73</f>
        <v/>
      </c>
      <c r="D40">
        <f>'By Round'!C73</f>
        <v/>
      </c>
      <c r="E40">
        <f>'By Round'!D73</f>
        <v/>
      </c>
      <c r="F40" s="11" t="inlineStr">
        <is>
          <t>Both</t>
        </is>
      </c>
      <c r="G40">
        <f>IF(ISBLANK('By Round'!G73),"",'By Round'!G73)</f>
        <v/>
      </c>
      <c r="H40">
        <f>IF(ISBLANK('By Round'!H73),"",'By Round'!H73)</f>
        <v/>
      </c>
      <c r="I40">
        <f>IF(ISBLANK('By Round'!I73),"",'By Round'!I73)</f>
        <v/>
      </c>
      <c r="J40">
        <f>IF(ISBLANK('By Round'!J73),"",'By Round'!J73)</f>
        <v/>
      </c>
      <c r="K40">
        <f>IF(ISBLANK('By Round'!K73),"",'By Round'!K73)</f>
        <v/>
      </c>
      <c r="L40" s="12">
        <f>SUM(AD40:AH40)</f>
        <v/>
      </c>
      <c r="M40" s="13">
        <f>SUM(AI40:AM40)</f>
        <v/>
      </c>
      <c r="N40" s="8">
        <f>IF(COUNT(T40:X40)&gt;0,P40/COUNT(T40:X40),0.5)</f>
        <v/>
      </c>
      <c r="O40" s="8">
        <f>IF(COUNT(Y40:AC40)&gt;0,Q40/COUNT(Y40:AC40),0.5)</f>
        <v/>
      </c>
      <c r="P40" s="5">
        <f>SUM(T40:X40)</f>
        <v/>
      </c>
      <c r="Q40" s="5">
        <f>SUM(Y40:AC40)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IF(ISNUMBER(R40),IF(ISNUMBER(R43),IF(R40&gt;R43,1.0,IF(R40=R43,0.5,0.0)),""),"")</f>
        <v/>
      </c>
      <c r="X40">
        <f>IF(ISNUMBER(R40),IF(ISNUMBER(R44),IF(R40&gt;R44,1.0,IF(R40=R44,0.5,0.0)),""),"")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>
        <f>IF(ISNUMBER(S40),IF(ISNUMBER(S43),IF(S40&gt;S43,1.0,IF(S40=S43,0.5,0.0)),""),"")</f>
        <v/>
      </c>
      <c r="AC40">
        <f>IF(ISNUMBER(S40),IF(ISNUMBER(S44),IF(S40&gt;S44,1.0,IF(S40=S44,0.5,0.0)),""),"")</f>
        <v/>
      </c>
      <c r="AD40" s="14">
        <f>IF(AND(ISNUMBER(R40),ISNUMBER(R39)),VLOOKUP(ABS(R40-R39),'IMP Table'!$A$2:$C$26,3)*SIGN(R40-R39),0)</f>
        <v/>
      </c>
      <c r="AE40">
        <f>IF(AND(ISNUMBER(R40),ISNUMBER(R41)),VLOOKUP(ABS(R40-R41),'IMP Table'!$A$2:$C$26,3)*SIGN(R40-R41),0)</f>
        <v/>
      </c>
      <c r="AF40">
        <f>IF(AND(ISNUMBER(R40),ISNUMBER(R42)),VLOOKUP(ABS(R40-R42),'IMP Table'!$A$2:$C$26,3)*SIGN(R40-R42),0)</f>
        <v/>
      </c>
      <c r="AG40">
        <f>IF(AND(ISNUMBER(R40),ISNUMBER(R43)),VLOOKUP(ABS(R40-R43),'IMP Table'!$A$2:$C$26,3)*SIGN(R40-R43),0)</f>
        <v/>
      </c>
      <c r="AH40">
        <f>IF(AND(ISNUMBER(R40),ISNUMBER(R44)),VLOOKUP(ABS(R40-R44),'IMP Table'!$A$2:$C$26,3)*SIGN(R40-R44),0)</f>
        <v/>
      </c>
      <c r="AI40">
        <f>IF(AND(ISNUMBER(S40),ISNUMBER(S39)),VLOOKUP(ABS(S40-S39),'IMP Table'!$A$2:$C$26,3)*SIGN(S40-S39),0)</f>
        <v/>
      </c>
      <c r="AJ40">
        <f>IF(AND(ISNUMBER(S40),ISNUMBER(S41)),VLOOKUP(ABS(S40-S41),'IMP Table'!$A$2:$C$26,3)*SIGN(S40-S41),0)</f>
        <v/>
      </c>
      <c r="AK40">
        <f>IF(AND(ISNUMBER(S40),ISNUMBER(S42)),VLOOKUP(ABS(S40-S42),'IMP Table'!$A$2:$C$26,3)*SIGN(S40-S42),0)</f>
        <v/>
      </c>
      <c r="AL40">
        <f>IF(AND(ISNUMBER(S40),ISNUMBER(S43)),VLOOKUP(ABS(S40-S43),'IMP Table'!$A$2:$C$26,3)*SIGN(S40-S43),0)</f>
        <v/>
      </c>
      <c r="AM40">
        <f>IF(AND(ISNUMBER(S40),ISNUMBER(S44)),VLOOKUP(ABS(S40-S44),'IMP Table'!$A$2:$C$26,3)*SIGN(S40-S44),0)</f>
        <v/>
      </c>
    </row>
    <row r="41">
      <c r="B41">
        <f>'By Round'!A75</f>
        <v/>
      </c>
      <c r="C41">
        <f>'By Round'!B83</f>
        <v/>
      </c>
      <c r="D41">
        <f>'By Round'!C83</f>
        <v/>
      </c>
      <c r="E41">
        <f>'By Round'!D83</f>
        <v/>
      </c>
      <c r="F41" s="11" t="inlineStr">
        <is>
          <t>Both</t>
        </is>
      </c>
      <c r="G41">
        <f>IF(ISBLANK('By Round'!G83),"",'By Round'!G83)</f>
        <v/>
      </c>
      <c r="H41">
        <f>IF(ISBLANK('By Round'!H83),"",'By Round'!H83)</f>
        <v/>
      </c>
      <c r="I41">
        <f>IF(ISBLANK('By Round'!I83),"",'By Round'!I83)</f>
        <v/>
      </c>
      <c r="J41">
        <f>IF(ISBLANK('By Round'!J83),"",'By Round'!J83)</f>
        <v/>
      </c>
      <c r="K41">
        <f>IF(ISBLANK('By Round'!K83),"",'By Round'!K83)</f>
        <v/>
      </c>
      <c r="L41" s="12">
        <f>SUM(AD41:AH41)</f>
        <v/>
      </c>
      <c r="M41" s="13">
        <f>SUM(AI41:AM41)</f>
        <v/>
      </c>
      <c r="N41" s="8">
        <f>IF(COUNT(T41:X41)&gt;0,P41/COUNT(T41:X41),0.5)</f>
        <v/>
      </c>
      <c r="O41" s="8">
        <f>IF(COUNT(Y41:AC41)&gt;0,Q41/COUNT(Y41:AC41),0.5)</f>
        <v/>
      </c>
      <c r="P41" s="5">
        <f>SUM(T41:X41)</f>
        <v/>
      </c>
      <c r="Q41" s="5">
        <f>SUM(Y41:AC41)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IF(ISNUMBER(R41),IF(ISNUMBER(R43),IF(R41&gt;R43,1.0,IF(R41=R43,0.5,0.0)),""),"")</f>
        <v/>
      </c>
      <c r="X41">
        <f>IF(ISNUMBER(R41),IF(ISNUMBER(R44),IF(R41&gt;R44,1.0,IF(R41=R44,0.5,0.0)),""),"")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>
        <f>IF(ISNUMBER(S41),IF(ISNUMBER(S43),IF(S41&gt;S43,1.0,IF(S41=S43,0.5,0.0)),""),"")</f>
        <v/>
      </c>
      <c r="AC41">
        <f>IF(ISNUMBER(S41),IF(ISNUMBER(S44),IF(S41&gt;S44,1.0,IF(S41=S44,0.5,0.0)),""),"")</f>
        <v/>
      </c>
      <c r="AD41" s="14">
        <f>IF(AND(ISNUMBER(R41),ISNUMBER(R39)),VLOOKUP(ABS(R41-R39),'IMP Table'!$A$2:$C$26,3)*SIGN(R41-R39),0)</f>
        <v/>
      </c>
      <c r="AE41">
        <f>IF(AND(ISNUMBER(R41),ISNUMBER(R40)),VLOOKUP(ABS(R41-R40),'IMP Table'!$A$2:$C$26,3)*SIGN(R41-R40),0)</f>
        <v/>
      </c>
      <c r="AF41">
        <f>IF(AND(ISNUMBER(R41),ISNUMBER(R42)),VLOOKUP(ABS(R41-R42),'IMP Table'!$A$2:$C$26,3)*SIGN(R41-R42),0)</f>
        <v/>
      </c>
      <c r="AG41">
        <f>IF(AND(ISNUMBER(R41),ISNUMBER(R43)),VLOOKUP(ABS(R41-R43),'IMP Table'!$A$2:$C$26,3)*SIGN(R41-R43),0)</f>
        <v/>
      </c>
      <c r="AH41">
        <f>IF(AND(ISNUMBER(R41),ISNUMBER(R44)),VLOOKUP(ABS(R41-R44),'IMP Table'!$A$2:$C$26,3)*SIGN(R41-R44),0)</f>
        <v/>
      </c>
      <c r="AI41">
        <f>IF(AND(ISNUMBER(S41),ISNUMBER(S39)),VLOOKUP(ABS(S41-S39),'IMP Table'!$A$2:$C$26,3)*SIGN(S41-S39),0)</f>
        <v/>
      </c>
      <c r="AJ41">
        <f>IF(AND(ISNUMBER(S41),ISNUMBER(S40)),VLOOKUP(ABS(S41-S40),'IMP Table'!$A$2:$C$26,3)*SIGN(S41-S40),0)</f>
        <v/>
      </c>
      <c r="AK41">
        <f>IF(AND(ISNUMBER(S41),ISNUMBER(S42)),VLOOKUP(ABS(S41-S42),'IMP Table'!$A$2:$C$26,3)*SIGN(S41-S42),0)</f>
        <v/>
      </c>
      <c r="AL41">
        <f>IF(AND(ISNUMBER(S41),ISNUMBER(S43)),VLOOKUP(ABS(S41-S43),'IMP Table'!$A$2:$C$26,3)*SIGN(S41-S43),0)</f>
        <v/>
      </c>
      <c r="AM41">
        <f>IF(AND(ISNUMBER(S41),ISNUMBER(S44)),VLOOKUP(ABS(S41-S44),'IMP Table'!$A$2:$C$26,3)*SIGN(S41-S44),0)</f>
        <v/>
      </c>
    </row>
    <row r="42">
      <c r="B42">
        <f>'By Round'!A87</f>
        <v/>
      </c>
      <c r="C42">
        <f>'By Round'!B93</f>
        <v/>
      </c>
      <c r="D42">
        <f>'By Round'!C93</f>
        <v/>
      </c>
      <c r="E42">
        <f>'By Round'!D93</f>
        <v/>
      </c>
      <c r="F42" s="11" t="inlineStr">
        <is>
          <t>Both</t>
        </is>
      </c>
      <c r="G42">
        <f>IF(ISBLANK('By Round'!G93),"",'By Round'!G93)</f>
        <v/>
      </c>
      <c r="H42">
        <f>IF(ISBLANK('By Round'!H93),"",'By Round'!H93)</f>
        <v/>
      </c>
      <c r="I42">
        <f>IF(ISBLANK('By Round'!I93),"",'By Round'!I93)</f>
        <v/>
      </c>
      <c r="J42">
        <f>IF(ISBLANK('By Round'!J93),"",'By Round'!J93)</f>
        <v/>
      </c>
      <c r="K42">
        <f>IF(ISBLANK('By Round'!K93),"",'By Round'!K93)</f>
        <v/>
      </c>
      <c r="L42" s="12">
        <f>SUM(AD42:AH42)</f>
        <v/>
      </c>
      <c r="M42" s="13">
        <f>SUM(AI42:AM42)</f>
        <v/>
      </c>
      <c r="N42" s="8">
        <f>IF(COUNT(T42:X42)&gt;0,P42/COUNT(T42:X42),0.5)</f>
        <v/>
      </c>
      <c r="O42" s="8">
        <f>IF(COUNT(Y42:AC42)&gt;0,Q42/COUNT(Y42:AC42),0.5)</f>
        <v/>
      </c>
      <c r="P42" s="5">
        <f>SUM(T42:X42)</f>
        <v/>
      </c>
      <c r="Q42" s="5">
        <f>SUM(Y42:AC42)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IF(ISNUMBER(R42),IF(ISNUMBER(R39),IF(R42&gt;R39,1.0,IF(R42=R39,0.5,0.0)),""),"")</f>
        <v/>
      </c>
      <c r="U42">
        <f>IF(ISNUMBER(R42),IF(ISNUMBER(R40),IF(R42&gt;R40,1.0,IF(R42=R40,0.5,0.0)),""),"")</f>
        <v/>
      </c>
      <c r="V42">
        <f>IF(ISNUMBER(R42),IF(ISNUMBER(R41),IF(R42&gt;R41,1.0,IF(R42=R41,0.5,0.0)),""),"")</f>
        <v/>
      </c>
      <c r="W42">
        <f>IF(ISNUMBER(R42),IF(ISNUMBER(R43),IF(R42&gt;R43,1.0,IF(R42=R43,0.5,0.0)),""),"")</f>
        <v/>
      </c>
      <c r="X42">
        <f>IF(ISNUMBER(R42),IF(ISNUMBER(R44),IF(R42&gt;R44,1.0,IF(R42=R44,0.5,0.0)),""),"")</f>
        <v/>
      </c>
      <c r="Y42">
        <f>IF(ISNUMBER(S42),IF(ISNUMBER(S39),IF(S42&gt;S39,1.0,IF(S42=S39,0.5,0.0)),""),"")</f>
        <v/>
      </c>
      <c r="Z42">
        <f>IF(ISNUMBER(S42),IF(ISNUMBER(S40),IF(S42&gt;S40,1.0,IF(S42=S40,0.5,0.0)),""),"")</f>
        <v/>
      </c>
      <c r="AA42">
        <f>IF(ISNUMBER(S42),IF(ISNUMBER(S41),IF(S42&gt;S41,1.0,IF(S42=S41,0.5,0.0)),""),"")</f>
        <v/>
      </c>
      <c r="AB42">
        <f>IF(ISNUMBER(S42),IF(ISNUMBER(S43),IF(S42&gt;S43,1.0,IF(S42=S43,0.5,0.0)),""),"")</f>
        <v/>
      </c>
      <c r="AC42">
        <f>IF(ISNUMBER(S42),IF(ISNUMBER(S44),IF(S42&gt;S44,1.0,IF(S42=S44,0.5,0.0)),""),"")</f>
        <v/>
      </c>
      <c r="AD42" s="14">
        <f>IF(AND(ISNUMBER(R42),ISNUMBER(R39)),VLOOKUP(ABS(R42-R39),'IMP Table'!$A$2:$C$26,3)*SIGN(R42-R39),0)</f>
        <v/>
      </c>
      <c r="AE42">
        <f>IF(AND(ISNUMBER(R42),ISNUMBER(R40)),VLOOKUP(ABS(R42-R40),'IMP Table'!$A$2:$C$26,3)*SIGN(R42-R40),0)</f>
        <v/>
      </c>
      <c r="AF42">
        <f>IF(AND(ISNUMBER(R42),ISNUMBER(R41)),VLOOKUP(ABS(R42-R41),'IMP Table'!$A$2:$C$26,3)*SIGN(R42-R41),0)</f>
        <v/>
      </c>
      <c r="AG42">
        <f>IF(AND(ISNUMBER(R42),ISNUMBER(R43)),VLOOKUP(ABS(R42-R43),'IMP Table'!$A$2:$C$26,3)*SIGN(R42-R43),0)</f>
        <v/>
      </c>
      <c r="AH42">
        <f>IF(AND(ISNUMBER(R42),ISNUMBER(R44)),VLOOKUP(ABS(R42-R44),'IMP Table'!$A$2:$C$26,3)*SIGN(R42-R44),0)</f>
        <v/>
      </c>
      <c r="AI42">
        <f>IF(AND(ISNUMBER(S42),ISNUMBER(S39)),VLOOKUP(ABS(S42-S39),'IMP Table'!$A$2:$C$26,3)*SIGN(S42-S39),0)</f>
        <v/>
      </c>
      <c r="AJ42">
        <f>IF(AND(ISNUMBER(S42),ISNUMBER(S40)),VLOOKUP(ABS(S42-S40),'IMP Table'!$A$2:$C$26,3)*SIGN(S42-S40),0)</f>
        <v/>
      </c>
      <c r="AK42">
        <f>IF(AND(ISNUMBER(S42),ISNUMBER(S41)),VLOOKUP(ABS(S42-S41),'IMP Table'!$A$2:$C$26,3)*SIGN(S42-S41),0)</f>
        <v/>
      </c>
      <c r="AL42">
        <f>IF(AND(ISNUMBER(S42),ISNUMBER(S43)),VLOOKUP(ABS(S42-S43),'IMP Table'!$A$2:$C$26,3)*SIGN(S42-S43),0)</f>
        <v/>
      </c>
      <c r="AM42">
        <f>IF(AND(ISNUMBER(S42),ISNUMBER(S44)),VLOOKUP(ABS(S42-S44),'IMP Table'!$A$2:$C$26,3)*SIGN(S42-S44),0)</f>
        <v/>
      </c>
    </row>
    <row r="43">
      <c r="B43">
        <f>'By Round'!A111</f>
        <v/>
      </c>
      <c r="C43">
        <f>'By Round'!B115</f>
        <v/>
      </c>
      <c r="D43">
        <f>'By Round'!C115</f>
        <v/>
      </c>
      <c r="E43">
        <f>'By Round'!D115</f>
        <v/>
      </c>
      <c r="F43" s="11" t="inlineStr">
        <is>
          <t>Both</t>
        </is>
      </c>
      <c r="G43">
        <f>IF(ISBLANK('By Round'!G115),"",'By Round'!G115)</f>
        <v/>
      </c>
      <c r="H43">
        <f>IF(ISBLANK('By Round'!H115),"",'By Round'!H115)</f>
        <v/>
      </c>
      <c r="I43">
        <f>IF(ISBLANK('By Round'!I115),"",'By Round'!I115)</f>
        <v/>
      </c>
      <c r="J43">
        <f>IF(ISBLANK('By Round'!J115),"",'By Round'!J115)</f>
        <v/>
      </c>
      <c r="K43">
        <f>IF(ISBLANK('By Round'!K115),"",'By Round'!K115)</f>
        <v/>
      </c>
      <c r="L43" s="12">
        <f>SUM(AD43:AH43)</f>
        <v/>
      </c>
      <c r="M43" s="13">
        <f>SUM(AI43:AM43)</f>
        <v/>
      </c>
      <c r="N43" s="8">
        <f>IF(COUNT(T43:X43)&gt;0,P43/COUNT(T43:X43),0.5)</f>
        <v/>
      </c>
      <c r="O43" s="8">
        <f>IF(COUNT(Y43:AC43)&gt;0,Q43/COUNT(Y43:AC43),0.5)</f>
        <v/>
      </c>
      <c r="P43" s="5">
        <f>SUM(T43:X43)</f>
        <v/>
      </c>
      <c r="Q43" s="5">
        <f>SUM(Y43:AC43)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IF(ISNUMBER(R43),IF(ISNUMBER(R39),IF(R43&gt;R39,1.0,IF(R43=R39,0.5,0.0)),""),"")</f>
        <v/>
      </c>
      <c r="U43">
        <f>IF(ISNUMBER(R43),IF(ISNUMBER(R40),IF(R43&gt;R40,1.0,IF(R43=R40,0.5,0.0)),""),"")</f>
        <v/>
      </c>
      <c r="V43">
        <f>IF(ISNUMBER(R43),IF(ISNUMBER(R41),IF(R43&gt;R41,1.0,IF(R43=R41,0.5,0.0)),""),"")</f>
        <v/>
      </c>
      <c r="W43">
        <f>IF(ISNUMBER(R43),IF(ISNUMBER(R42),IF(R43&gt;R42,1.0,IF(R43=R42,0.5,0.0)),""),"")</f>
        <v/>
      </c>
      <c r="X43">
        <f>IF(ISNUMBER(R43),IF(ISNUMBER(R44),IF(R43&gt;R44,1.0,IF(R43=R44,0.5,0.0)),""),"")</f>
        <v/>
      </c>
      <c r="Y43">
        <f>IF(ISNUMBER(S43),IF(ISNUMBER(S39),IF(S43&gt;S39,1.0,IF(S43=S39,0.5,0.0)),""),"")</f>
        <v/>
      </c>
      <c r="Z43">
        <f>IF(ISNUMBER(S43),IF(ISNUMBER(S40),IF(S43&gt;S40,1.0,IF(S43=S40,0.5,0.0)),""),"")</f>
        <v/>
      </c>
      <c r="AA43">
        <f>IF(ISNUMBER(S43),IF(ISNUMBER(S41),IF(S43&gt;S41,1.0,IF(S43=S41,0.5,0.0)),""),"")</f>
        <v/>
      </c>
      <c r="AB43">
        <f>IF(ISNUMBER(S43),IF(ISNUMBER(S42),IF(S43&gt;S42,1.0,IF(S43=S42,0.5,0.0)),""),"")</f>
        <v/>
      </c>
      <c r="AC43">
        <f>IF(ISNUMBER(S43),IF(ISNUMBER(S44),IF(S43&gt;S44,1.0,IF(S43=S44,0.5,0.0)),""),"")</f>
        <v/>
      </c>
      <c r="AD43" s="14">
        <f>IF(AND(ISNUMBER(R43),ISNUMBER(R39)),VLOOKUP(ABS(R43-R39),'IMP Table'!$A$2:$C$26,3)*SIGN(R43-R39),0)</f>
        <v/>
      </c>
      <c r="AE43">
        <f>IF(AND(ISNUMBER(R43),ISNUMBER(R40)),VLOOKUP(ABS(R43-R40),'IMP Table'!$A$2:$C$26,3)*SIGN(R43-R40),0)</f>
        <v/>
      </c>
      <c r="AF43">
        <f>IF(AND(ISNUMBER(R43),ISNUMBER(R41)),VLOOKUP(ABS(R43-R41),'IMP Table'!$A$2:$C$26,3)*SIGN(R43-R41),0)</f>
        <v/>
      </c>
      <c r="AG43">
        <f>IF(AND(ISNUMBER(R43),ISNUMBER(R42)),VLOOKUP(ABS(R43-R42),'IMP Table'!$A$2:$C$26,3)*SIGN(R43-R42),0)</f>
        <v/>
      </c>
      <c r="AH43">
        <f>IF(AND(ISNUMBER(R43),ISNUMBER(R44)),VLOOKUP(ABS(R43-R44),'IMP Table'!$A$2:$C$26,3)*SIGN(R43-R44),0)</f>
        <v/>
      </c>
      <c r="AI43">
        <f>IF(AND(ISNUMBER(S43),ISNUMBER(S39)),VLOOKUP(ABS(S43-S39),'IMP Table'!$A$2:$C$26,3)*SIGN(S43-S39),0)</f>
        <v/>
      </c>
      <c r="AJ43">
        <f>IF(AND(ISNUMBER(S43),ISNUMBER(S40)),VLOOKUP(ABS(S43-S40),'IMP Table'!$A$2:$C$26,3)*SIGN(S43-S40),0)</f>
        <v/>
      </c>
      <c r="AK43">
        <f>IF(AND(ISNUMBER(S43),ISNUMBER(S41)),VLOOKUP(ABS(S43-S41),'IMP Table'!$A$2:$C$26,3)*SIGN(S43-S41),0)</f>
        <v/>
      </c>
      <c r="AL43">
        <f>IF(AND(ISNUMBER(S43),ISNUMBER(S42)),VLOOKUP(ABS(S43-S42),'IMP Table'!$A$2:$C$26,3)*SIGN(S43-S42),0)</f>
        <v/>
      </c>
      <c r="AM43">
        <f>IF(AND(ISNUMBER(S43),ISNUMBER(S44)),VLOOKUP(ABS(S43-S44),'IMP Table'!$A$2:$C$26,3)*SIGN(S43-S44),0)</f>
        <v/>
      </c>
    </row>
    <row r="44">
      <c r="A44" s="15" t="n"/>
      <c r="B44" s="15">
        <f>'By Round'!A123</f>
        <v/>
      </c>
      <c r="C44" s="15">
        <f>'By Round'!B125</f>
        <v/>
      </c>
      <c r="D44" s="15">
        <f>'By Round'!C125</f>
        <v/>
      </c>
      <c r="E44" s="15">
        <f>'By Round'!D125</f>
        <v/>
      </c>
      <c r="F44" s="16" t="inlineStr">
        <is>
          <t>Both</t>
        </is>
      </c>
      <c r="G44" s="15">
        <f>IF(ISBLANK('By Round'!G125),"",'By Round'!G125)</f>
        <v/>
      </c>
      <c r="H44" s="15">
        <f>IF(ISBLANK('By Round'!H125),"",'By Round'!H125)</f>
        <v/>
      </c>
      <c r="I44" s="15">
        <f>IF(ISBLANK('By Round'!I125),"",'By Round'!I125)</f>
        <v/>
      </c>
      <c r="J44" s="15">
        <f>IF(ISBLANK('By Round'!J125),"",'By Round'!J125)</f>
        <v/>
      </c>
      <c r="K44" s="15">
        <f>IF(ISBLANK('By Round'!K125),"",'By Round'!K125)</f>
        <v/>
      </c>
      <c r="L44" s="17">
        <f>SUM(AD44:AH44)</f>
        <v/>
      </c>
      <c r="M44" s="18">
        <f>SUM(AI44:AM44)</f>
        <v/>
      </c>
      <c r="N44" s="19">
        <f>IF(COUNT(T44:X44)&gt;0,P44/COUNT(T44:X44),0.5)</f>
        <v/>
      </c>
      <c r="O44" s="19">
        <f>IF(COUNT(Y44:AC44)&gt;0,Q44/COUNT(Y44:AC44),0.5)</f>
        <v/>
      </c>
      <c r="P44" s="20">
        <f>SUM(T44:X44)</f>
        <v/>
      </c>
      <c r="Q44" s="20">
        <f>SUM(Y44:AC44)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IF(ISNUMBER(R44),IF(ISNUMBER(R39),IF(R44&gt;R39,1.0,IF(R44=R39,0.5,0.0)),""),"")</f>
        <v/>
      </c>
      <c r="U44" s="15">
        <f>IF(ISNUMBER(R44),IF(ISNUMBER(R40),IF(R44&gt;R40,1.0,IF(R44=R40,0.5,0.0)),""),"")</f>
        <v/>
      </c>
      <c r="V44" s="15">
        <f>IF(ISNUMBER(R44),IF(ISNUMBER(R41),IF(R44&gt;R41,1.0,IF(R44=R41,0.5,0.0)),""),"")</f>
        <v/>
      </c>
      <c r="W44" s="15">
        <f>IF(ISNUMBER(R44),IF(ISNUMBER(R42),IF(R44&gt;R42,1.0,IF(R44=R42,0.5,0.0)),""),"")</f>
        <v/>
      </c>
      <c r="X44" s="15">
        <f>IF(ISNUMBER(R44),IF(ISNUMBER(R43),IF(R44&gt;R43,1.0,IF(R44=R43,0.5,0.0)),""),"")</f>
        <v/>
      </c>
      <c r="Y44" s="15">
        <f>IF(ISNUMBER(S44),IF(ISNUMBER(S39),IF(S44&gt;S39,1.0,IF(S44=S39,0.5,0.0)),""),"")</f>
        <v/>
      </c>
      <c r="Z44" s="15">
        <f>IF(ISNUMBER(S44),IF(ISNUMBER(S40),IF(S44&gt;S40,1.0,IF(S44=S40,0.5,0.0)),""),"")</f>
        <v/>
      </c>
      <c r="AA44" s="15">
        <f>IF(ISNUMBER(S44),IF(ISNUMBER(S41),IF(S44&gt;S41,1.0,IF(S44=S41,0.5,0.0)),""),"")</f>
        <v/>
      </c>
      <c r="AB44" s="15">
        <f>IF(ISNUMBER(S44),IF(ISNUMBER(S42),IF(S44&gt;S42,1.0,IF(S44=S42,0.5,0.0)),""),"")</f>
        <v/>
      </c>
      <c r="AC44" s="15">
        <f>IF(ISNUMBER(S44),IF(ISNUMBER(S43),IF(S44&gt;S43,1.0,IF(S44=S43,0.5,0.0)),""),"")</f>
        <v/>
      </c>
      <c r="AD44" s="21">
        <f>IF(AND(ISNUMBER(R44),ISNUMBER(R39)),VLOOKUP(ABS(R44-R39),'IMP Table'!$A$2:$C$26,3)*SIGN(R44-R39),0)</f>
        <v/>
      </c>
      <c r="AE44" s="15">
        <f>IF(AND(ISNUMBER(R44),ISNUMBER(R40)),VLOOKUP(ABS(R44-R40),'IMP Table'!$A$2:$C$26,3)*SIGN(R44-R40),0)</f>
        <v/>
      </c>
      <c r="AF44" s="15">
        <f>IF(AND(ISNUMBER(R44),ISNUMBER(R41)),VLOOKUP(ABS(R44-R41),'IMP Table'!$A$2:$C$26,3)*SIGN(R44-R41),0)</f>
        <v/>
      </c>
      <c r="AG44" s="15">
        <f>IF(AND(ISNUMBER(R44),ISNUMBER(R42)),VLOOKUP(ABS(R44-R42),'IMP Table'!$A$2:$C$26,3)*SIGN(R44-R42),0)</f>
        <v/>
      </c>
      <c r="AH44" s="15">
        <f>IF(AND(ISNUMBER(R44),ISNUMBER(R43)),VLOOKUP(ABS(R44-R43),'IMP Table'!$A$2:$C$26,3)*SIGN(R44-R43),0)</f>
        <v/>
      </c>
      <c r="AI44" s="15">
        <f>IF(AND(ISNUMBER(S44),ISNUMBER(S39)),VLOOKUP(ABS(S44-S39),'IMP Table'!$A$2:$C$26,3)*SIGN(S44-S39),0)</f>
        <v/>
      </c>
      <c r="AJ44" s="15">
        <f>IF(AND(ISNUMBER(S44),ISNUMBER(S40)),VLOOKUP(ABS(S44-S40),'IMP Table'!$A$2:$C$26,3)*SIGN(S44-S40),0)</f>
        <v/>
      </c>
      <c r="AK44" s="15">
        <f>IF(AND(ISNUMBER(S44),ISNUMBER(S41)),VLOOKUP(ABS(S44-S41),'IMP Table'!$A$2:$C$26,3)*SIGN(S44-S41),0)</f>
        <v/>
      </c>
      <c r="AL44" s="15">
        <f>IF(AND(ISNUMBER(S44),ISNUMBER(S42)),VLOOKUP(ABS(S44-S42),'IMP Table'!$A$2:$C$26,3)*SIGN(S44-S42),0)</f>
        <v/>
      </c>
      <c r="AM44" s="15">
        <f>IF(AND(ISNUMBER(S44),ISNUMBER(S43)),VLOOKUP(ABS(S44-S43),'IMP Table'!$A$2:$C$26,3)*SIGN(S44-S43),0)</f>
        <v/>
      </c>
    </row>
    <row r="45">
      <c r="A45" t="n">
        <v>8</v>
      </c>
      <c r="B45">
        <f>'By Round'!A39</f>
        <v/>
      </c>
      <c r="C45">
        <f>'By Round'!B39</f>
        <v/>
      </c>
      <c r="D45">
        <f>'By Round'!C39</f>
        <v/>
      </c>
      <c r="E45">
        <f>'By Round'!D39</f>
        <v/>
      </c>
      <c r="F45" s="11" t="inlineStr">
        <is>
          <t>None</t>
        </is>
      </c>
      <c r="G45">
        <f>IF(ISBLANK('By Round'!G39),"",'By Round'!G39)</f>
        <v/>
      </c>
      <c r="H45">
        <f>IF(ISBLANK('By Round'!H39),"",'By Round'!H39)</f>
        <v/>
      </c>
      <c r="I45">
        <f>IF(ISBLANK('By Round'!I39),"",'By Round'!I39)</f>
        <v/>
      </c>
      <c r="J45">
        <f>IF(ISBLANK('By Round'!J39),"",'By Round'!J39)</f>
        <v/>
      </c>
      <c r="K45">
        <f>IF(ISBLANK('By Round'!K39),"",'By Round'!K39)</f>
        <v/>
      </c>
      <c r="L45" s="12">
        <f>SUM(AD45:AH45)</f>
        <v/>
      </c>
      <c r="M45" s="13">
        <f>SUM(AI45:AM45)</f>
        <v/>
      </c>
      <c r="N45" s="8">
        <f>IF(COUNT(T45:X45)&gt;0,P45/COUNT(T45:X45),0.5)</f>
        <v/>
      </c>
      <c r="O45" s="8">
        <f>IF(COUNT(Y45:AC45)&gt;0,Q45/COUNT(Y45:AC45),0.5)</f>
        <v/>
      </c>
      <c r="P45" s="5">
        <f>SUM(T45:X45)</f>
        <v/>
      </c>
      <c r="Q45" s="5">
        <f>SUM(Y45:AC45)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IF(ISNUMBER(S45),IF(ISNUMBER(S46),IF(S45&gt;S46,1.0,IF(S45=S46,0.5,0.0)),""),"")</f>
        <v/>
      </c>
      <c r="Z45">
        <f>IF(ISNUMBER(S45),IF(ISNUMBER(S47),IF(S45&gt;S47,1.0,IF(S45=S47,0.5,0.0)),""),"")</f>
        <v/>
      </c>
      <c r="AA45">
        <f>IF(ISNUMBER(S45),IF(ISNUMBER(S48),IF(S45&gt;S48,1.0,IF(S45=S48,0.5,0.0)),""),"")</f>
        <v/>
      </c>
      <c r="AB45">
        <f>IF(ISNUMBER(S45),IF(ISNUMBER(S49),IF(S45&gt;S49,1.0,IF(S45=S49,0.5,0.0)),""),"")</f>
        <v/>
      </c>
      <c r="AC45">
        <f>IF(ISNUMBER(S45),IF(ISNUMBER(S50),IF(S45&gt;S50,1.0,IF(S45=S50,0.5,0.0)),""),"")</f>
        <v/>
      </c>
      <c r="AD45" s="14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IF(AND(ISNUMBER(R45),ISNUMBER(R48)),VLOOKUP(ABS(R45-R48),'IMP Table'!$A$2:$C$26,3)*SIGN(R45-R48),0)</f>
        <v/>
      </c>
      <c r="AG45">
        <f>IF(AND(ISNUMBER(R45),ISNUMBER(R49)),VLOOKUP(ABS(R45-R49),'IMP Table'!$A$2:$C$26,3)*SIGN(R45-R49),0)</f>
        <v/>
      </c>
      <c r="AH45">
        <f>IF(AND(ISNUMBER(R45),ISNUMBER(R50)),VLOOKUP(ABS(R45-R50),'IMP Table'!$A$2:$C$26,3)*SIGN(R45-R50),0)</f>
        <v/>
      </c>
      <c r="AI45">
        <f>IF(AND(ISNUMBER(S45),ISNUMBER(S46)),VLOOKUP(ABS(S45-S46),'IMP Table'!$A$2:$C$26,3)*SIGN(S45-S46),0)</f>
        <v/>
      </c>
      <c r="AJ45">
        <f>IF(AND(ISNUMBER(S45),ISNUMBER(S47)),VLOOKUP(ABS(S45-S47),'IMP Table'!$A$2:$C$26,3)*SIGN(S45-S47),0)</f>
        <v/>
      </c>
      <c r="AK45">
        <f>IF(AND(ISNUMBER(S45),ISNUMBER(S48)),VLOOKUP(ABS(S45-S48),'IMP Table'!$A$2:$C$26,3)*SIGN(S45-S48),0)</f>
        <v/>
      </c>
      <c r="AL45">
        <f>IF(AND(ISNUMBER(S45),ISNUMBER(S49)),VLOOKUP(ABS(S45-S49),'IMP Table'!$A$2:$C$26,3)*SIGN(S45-S49),0)</f>
        <v/>
      </c>
      <c r="AM45">
        <f>IF(AND(ISNUMBER(S45),ISNUMBER(S50)),VLOOKUP(ABS(S45-S50),'IMP Table'!$A$2:$C$26,3)*SIGN(S45-S50),0)</f>
        <v/>
      </c>
    </row>
    <row r="46">
      <c r="B46">
        <f>'By Round'!A63</f>
        <v/>
      </c>
      <c r="C46">
        <f>'By Round'!B73</f>
        <v/>
      </c>
      <c r="D46">
        <f>'By Round'!C73</f>
        <v/>
      </c>
      <c r="E46">
        <f>'By Round'!D73</f>
        <v/>
      </c>
      <c r="F46" s="11" t="inlineStr">
        <is>
          <t>None</t>
        </is>
      </c>
      <c r="G46">
        <f>IF(ISBLANK('By Round'!G73),"",'By Round'!G73)</f>
        <v/>
      </c>
      <c r="H46">
        <f>IF(ISBLANK('By Round'!H73),"",'By Round'!H73)</f>
        <v/>
      </c>
      <c r="I46">
        <f>IF(ISBLANK('By Round'!I73),"",'By Round'!I73)</f>
        <v/>
      </c>
      <c r="J46">
        <f>IF(ISBLANK('By Round'!J73),"",'By Round'!J73)</f>
        <v/>
      </c>
      <c r="K46">
        <f>IF(ISBLANK('By Round'!K73),"",'By Round'!K73)</f>
        <v/>
      </c>
      <c r="L46" s="12">
        <f>SUM(AD46:AH46)</f>
        <v/>
      </c>
      <c r="M46" s="13">
        <f>SUM(AI46:AM46)</f>
        <v/>
      </c>
      <c r="N46" s="8">
        <f>IF(COUNT(T46:X46)&gt;0,P46/COUNT(T46:X46),0.5)</f>
        <v/>
      </c>
      <c r="O46" s="8">
        <f>IF(COUNT(Y46:AC46)&gt;0,Q46/COUNT(Y46:AC46),0.5)</f>
        <v/>
      </c>
      <c r="P46" s="5">
        <f>SUM(T46:X46)</f>
        <v/>
      </c>
      <c r="Q46" s="5">
        <f>SUM(Y46:AC46)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IF(ISNUMBER(S46),IF(ISNUMBER(S45),IF(S46&gt;S45,1.0,IF(S46=S45,0.5,0.0)),""),"")</f>
        <v/>
      </c>
      <c r="Z46">
        <f>IF(ISNUMBER(S46),IF(ISNUMBER(S47),IF(S46&gt;S47,1.0,IF(S46=S47,0.5,0.0)),""),"")</f>
        <v/>
      </c>
      <c r="AA46">
        <f>IF(ISNUMBER(S46),IF(ISNUMBER(S48),IF(S46&gt;S48,1.0,IF(S46=S48,0.5,0.0)),""),"")</f>
        <v/>
      </c>
      <c r="AB46">
        <f>IF(ISNUMBER(S46),IF(ISNUMBER(S49),IF(S46&gt;S49,1.0,IF(S46=S49,0.5,0.0)),""),"")</f>
        <v/>
      </c>
      <c r="AC46">
        <f>IF(ISNUMBER(S46),IF(ISNUMBER(S50),IF(S46&gt;S50,1.0,IF(S46=S50,0.5,0.0)),""),"")</f>
        <v/>
      </c>
      <c r="AD46" s="14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IF(AND(ISNUMBER(R46),ISNUMBER(R48)),VLOOKUP(ABS(R46-R48),'IMP Table'!$A$2:$C$26,3)*SIGN(R46-R48),0)</f>
        <v/>
      </c>
      <c r="AG46">
        <f>IF(AND(ISNUMBER(R46),ISNUMBER(R49)),VLOOKUP(ABS(R46-R49),'IMP Table'!$A$2:$C$26,3)*SIGN(R46-R49),0)</f>
        <v/>
      </c>
      <c r="AH46">
        <f>IF(AND(ISNUMBER(R46),ISNUMBER(R50)),VLOOKUP(ABS(R46-R50),'IMP Table'!$A$2:$C$26,3)*SIGN(R46-R50),0)</f>
        <v/>
      </c>
      <c r="AI46">
        <f>IF(AND(ISNUMBER(S46),ISNUMBER(S45)),VLOOKUP(ABS(S46-S45),'IMP Table'!$A$2:$C$26,3)*SIGN(S46-S45),0)</f>
        <v/>
      </c>
      <c r="AJ46">
        <f>IF(AND(ISNUMBER(S46),ISNUMBER(S47)),VLOOKUP(ABS(S46-S47),'IMP Table'!$A$2:$C$26,3)*SIGN(S46-S47),0)</f>
        <v/>
      </c>
      <c r="AK46">
        <f>IF(AND(ISNUMBER(S46),ISNUMBER(S48)),VLOOKUP(ABS(S46-S48),'IMP Table'!$A$2:$C$26,3)*SIGN(S46-S48),0)</f>
        <v/>
      </c>
      <c r="AL46">
        <f>IF(AND(ISNUMBER(S46),ISNUMBER(S49)),VLOOKUP(ABS(S46-S49),'IMP Table'!$A$2:$C$26,3)*SIGN(S46-S49),0)</f>
        <v/>
      </c>
      <c r="AM46">
        <f>IF(AND(ISNUMBER(S46),ISNUMBER(S50)),VLOOKUP(ABS(S46-S50),'IMP Table'!$A$2:$C$26,3)*SIGN(S46-S50),0)</f>
        <v/>
      </c>
    </row>
    <row r="47">
      <c r="B47">
        <f>'By Round'!A75</f>
        <v/>
      </c>
      <c r="C47">
        <f>'By Round'!B83</f>
        <v/>
      </c>
      <c r="D47">
        <f>'By Round'!C83</f>
        <v/>
      </c>
      <c r="E47">
        <f>'By Round'!D83</f>
        <v/>
      </c>
      <c r="F47" s="11" t="inlineStr">
        <is>
          <t>None</t>
        </is>
      </c>
      <c r="G47">
        <f>IF(ISBLANK('By Round'!G83),"",'By Round'!G83)</f>
        <v/>
      </c>
      <c r="H47">
        <f>IF(ISBLANK('By Round'!H83),"",'By Round'!H83)</f>
        <v/>
      </c>
      <c r="I47">
        <f>IF(ISBLANK('By Round'!I83),"",'By Round'!I83)</f>
        <v/>
      </c>
      <c r="J47">
        <f>IF(ISBLANK('By Round'!J83),"",'By Round'!J83)</f>
        <v/>
      </c>
      <c r="K47">
        <f>IF(ISBLANK('By Round'!K83),"",'By Round'!K83)</f>
        <v/>
      </c>
      <c r="L47" s="12">
        <f>SUM(AD47:AH47)</f>
        <v/>
      </c>
      <c r="M47" s="13">
        <f>SUM(AI47:AM47)</f>
        <v/>
      </c>
      <c r="N47" s="8">
        <f>IF(COUNT(T47:X47)&gt;0,P47/COUNT(T47:X47),0.5)</f>
        <v/>
      </c>
      <c r="O47" s="8">
        <f>IF(COUNT(Y47:AC47)&gt;0,Q47/COUNT(Y47:AC47),0.5)</f>
        <v/>
      </c>
      <c r="P47" s="5">
        <f>SUM(T47:X47)</f>
        <v/>
      </c>
      <c r="Q47" s="5">
        <f>SUM(Y47:AC47)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IF(ISNUMBER(S47),IF(ISNUMBER(S45),IF(S47&gt;S45,1.0,IF(S47=S45,0.5,0.0)),""),"")</f>
        <v/>
      </c>
      <c r="Z47">
        <f>IF(ISNUMBER(S47),IF(ISNUMBER(S46),IF(S47&gt;S46,1.0,IF(S47=S46,0.5,0.0)),""),"")</f>
        <v/>
      </c>
      <c r="AA47">
        <f>IF(ISNUMBER(S47),IF(ISNUMBER(S48),IF(S47&gt;S48,1.0,IF(S47=S48,0.5,0.0)),""),"")</f>
        <v/>
      </c>
      <c r="AB47">
        <f>IF(ISNUMBER(S47),IF(ISNUMBER(S49),IF(S47&gt;S49,1.0,IF(S47=S49,0.5,0.0)),""),"")</f>
        <v/>
      </c>
      <c r="AC47">
        <f>IF(ISNUMBER(S47),IF(ISNUMBER(S50),IF(S47&gt;S50,1.0,IF(S47=S50,0.5,0.0)),""),"")</f>
        <v/>
      </c>
      <c r="AD47" s="14">
        <f>IF(AND(ISNUMBER(R47),ISNUMBER(R45)),VLOOKUP(ABS(R47-R45),'IMP Table'!$A$2:$C$26,3)*SIGN(R47-R45),0)</f>
        <v/>
      </c>
      <c r="AE47">
        <f>IF(AND(ISNUMBER(R47),ISNUMBER(R46)),VLOOKUP(ABS(R47-R46),'IMP Table'!$A$2:$C$26,3)*SIGN(R47-R46),0)</f>
        <v/>
      </c>
      <c r="AF47">
        <f>IF(AND(ISNUMBER(R47),ISNUMBER(R48)),VLOOKUP(ABS(R47-R48),'IMP Table'!$A$2:$C$26,3)*SIGN(R47-R48),0)</f>
        <v/>
      </c>
      <c r="AG47">
        <f>IF(AND(ISNUMBER(R47),ISNUMBER(R49)),VLOOKUP(ABS(R47-R49),'IMP Table'!$A$2:$C$26,3)*SIGN(R47-R49),0)</f>
        <v/>
      </c>
      <c r="AH47">
        <f>IF(AND(ISNUMBER(R47),ISNUMBER(R50)),VLOOKUP(ABS(R47-R50),'IMP Table'!$A$2:$C$26,3)*SIGN(R47-R50),0)</f>
        <v/>
      </c>
      <c r="AI47">
        <f>IF(AND(ISNUMBER(S47),ISNUMBER(S45)),VLOOKUP(ABS(S47-S45),'IMP Table'!$A$2:$C$26,3)*SIGN(S47-S45),0)</f>
        <v/>
      </c>
      <c r="AJ47">
        <f>IF(AND(ISNUMBER(S47),ISNUMBER(S46)),VLOOKUP(ABS(S47-S46),'IMP Table'!$A$2:$C$26,3)*SIGN(S47-S46),0)</f>
        <v/>
      </c>
      <c r="AK47">
        <f>IF(AND(ISNUMBER(S47),ISNUMBER(S48)),VLOOKUP(ABS(S47-S48),'IMP Table'!$A$2:$C$26,3)*SIGN(S47-S48),0)</f>
        <v/>
      </c>
      <c r="AL47">
        <f>IF(AND(ISNUMBER(S47),ISNUMBER(S49)),VLOOKUP(ABS(S47-S49),'IMP Table'!$A$2:$C$26,3)*SIGN(S47-S49),0)</f>
        <v/>
      </c>
      <c r="AM47">
        <f>IF(AND(ISNUMBER(S47),ISNUMBER(S50)),VLOOKUP(ABS(S47-S50),'IMP Table'!$A$2:$C$26,3)*SIGN(S47-S50),0)</f>
        <v/>
      </c>
    </row>
    <row r="48">
      <c r="B48">
        <f>'By Round'!A87</f>
        <v/>
      </c>
      <c r="C48">
        <f>'By Round'!B93</f>
        <v/>
      </c>
      <c r="D48">
        <f>'By Round'!C93</f>
        <v/>
      </c>
      <c r="E48">
        <f>'By Round'!D93</f>
        <v/>
      </c>
      <c r="F48" s="11" t="inlineStr">
        <is>
          <t>None</t>
        </is>
      </c>
      <c r="G48">
        <f>IF(ISBLANK('By Round'!G93),"",'By Round'!G93)</f>
        <v/>
      </c>
      <c r="H48">
        <f>IF(ISBLANK('By Round'!H93),"",'By Round'!H93)</f>
        <v/>
      </c>
      <c r="I48">
        <f>IF(ISBLANK('By Round'!I93),"",'By Round'!I93)</f>
        <v/>
      </c>
      <c r="J48">
        <f>IF(ISBLANK('By Round'!J93),"",'By Round'!J93)</f>
        <v/>
      </c>
      <c r="K48">
        <f>IF(ISBLANK('By Round'!K93),"",'By Round'!K93)</f>
        <v/>
      </c>
      <c r="L48" s="12">
        <f>SUM(AD48:AH48)</f>
        <v/>
      </c>
      <c r="M48" s="13">
        <f>SUM(AI48:AM48)</f>
        <v/>
      </c>
      <c r="N48" s="8">
        <f>IF(COUNT(T48:X48)&gt;0,P48/COUNT(T48:X48),0.5)</f>
        <v/>
      </c>
      <c r="O48" s="8">
        <f>IF(COUNT(Y48:AC48)&gt;0,Q48/COUNT(Y48:AC48),0.5)</f>
        <v/>
      </c>
      <c r="P48" s="5">
        <f>SUM(T48:X48)</f>
        <v/>
      </c>
      <c r="Q48" s="5">
        <f>SUM(Y48:AC48)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IF(ISNUMBER(S48),IF(ISNUMBER(S45),IF(S48&gt;S45,1.0,IF(S48=S45,0.5,0.0)),""),"")</f>
        <v/>
      </c>
      <c r="Z48">
        <f>IF(ISNUMBER(S48),IF(ISNUMBER(S46),IF(S48&gt;S46,1.0,IF(S48=S46,0.5,0.0)),""),"")</f>
        <v/>
      </c>
      <c r="AA48">
        <f>IF(ISNUMBER(S48),IF(ISNUMBER(S47),IF(S48&gt;S47,1.0,IF(S48=S47,0.5,0.0)),""),"")</f>
        <v/>
      </c>
      <c r="AB48">
        <f>IF(ISNUMBER(S48),IF(ISNUMBER(S49),IF(S48&gt;S49,1.0,IF(S48=S49,0.5,0.0)),""),"")</f>
        <v/>
      </c>
      <c r="AC48">
        <f>IF(ISNUMBER(S48),IF(ISNUMBER(S50),IF(S48&gt;S50,1.0,IF(S48=S50,0.5,0.0)),""),"")</f>
        <v/>
      </c>
      <c r="AD48" s="14">
        <f>IF(AND(ISNUMBER(R48),ISNUMBER(R45)),VLOOKUP(ABS(R48-R45),'IMP Table'!$A$2:$C$26,3)*SIGN(R48-R45),0)</f>
        <v/>
      </c>
      <c r="AE48">
        <f>IF(AND(ISNUMBER(R48),ISNUMBER(R46)),VLOOKUP(ABS(R48-R46),'IMP Table'!$A$2:$C$26,3)*SIGN(R48-R46),0)</f>
        <v/>
      </c>
      <c r="AF48">
        <f>IF(AND(ISNUMBER(R48),ISNUMBER(R47)),VLOOKUP(ABS(R48-R47),'IMP Table'!$A$2:$C$26,3)*SIGN(R48-R47),0)</f>
        <v/>
      </c>
      <c r="AG48">
        <f>IF(AND(ISNUMBER(R48),ISNUMBER(R49)),VLOOKUP(ABS(R48-R49),'IMP Table'!$A$2:$C$26,3)*SIGN(R48-R49),0)</f>
        <v/>
      </c>
      <c r="AH48">
        <f>IF(AND(ISNUMBER(R48),ISNUMBER(R50)),VLOOKUP(ABS(R48-R50),'IMP Table'!$A$2:$C$26,3)*SIGN(R48-R50),0)</f>
        <v/>
      </c>
      <c r="AI48">
        <f>IF(AND(ISNUMBER(S48),ISNUMBER(S45)),VLOOKUP(ABS(S48-S45),'IMP Table'!$A$2:$C$26,3)*SIGN(S48-S45),0)</f>
        <v/>
      </c>
      <c r="AJ48">
        <f>IF(AND(ISNUMBER(S48),ISNUMBER(S46)),VLOOKUP(ABS(S48-S46),'IMP Table'!$A$2:$C$26,3)*SIGN(S48-S46),0)</f>
        <v/>
      </c>
      <c r="AK48">
        <f>IF(AND(ISNUMBER(S48),ISNUMBER(S47)),VLOOKUP(ABS(S48-S47),'IMP Table'!$A$2:$C$26,3)*SIGN(S48-S47),0)</f>
        <v/>
      </c>
      <c r="AL48">
        <f>IF(AND(ISNUMBER(S48),ISNUMBER(S49)),VLOOKUP(ABS(S48-S49),'IMP Table'!$A$2:$C$26,3)*SIGN(S48-S49),0)</f>
        <v/>
      </c>
      <c r="AM48">
        <f>IF(AND(ISNUMBER(S48),ISNUMBER(S50)),VLOOKUP(ABS(S48-S50),'IMP Table'!$A$2:$C$26,3)*SIGN(S48-S50),0)</f>
        <v/>
      </c>
    </row>
    <row r="49">
      <c r="B49">
        <f>'By Round'!A111</f>
        <v/>
      </c>
      <c r="C49">
        <f>'By Round'!B115</f>
        <v/>
      </c>
      <c r="D49">
        <f>'By Round'!C115</f>
        <v/>
      </c>
      <c r="E49">
        <f>'By Round'!D115</f>
        <v/>
      </c>
      <c r="F49" s="11" t="inlineStr">
        <is>
          <t>None</t>
        </is>
      </c>
      <c r="G49">
        <f>IF(ISBLANK('By Round'!G115),"",'By Round'!G115)</f>
        <v/>
      </c>
      <c r="H49">
        <f>IF(ISBLANK('By Round'!H115),"",'By Round'!H115)</f>
        <v/>
      </c>
      <c r="I49">
        <f>IF(ISBLANK('By Round'!I115),"",'By Round'!I115)</f>
        <v/>
      </c>
      <c r="J49">
        <f>IF(ISBLANK('By Round'!J115),"",'By Round'!J115)</f>
        <v/>
      </c>
      <c r="K49">
        <f>IF(ISBLANK('By Round'!K115),"",'By Round'!K115)</f>
        <v/>
      </c>
      <c r="L49" s="12">
        <f>SUM(AD49:AH49)</f>
        <v/>
      </c>
      <c r="M49" s="13">
        <f>SUM(AI49:AM49)</f>
        <v/>
      </c>
      <c r="N49" s="8">
        <f>IF(COUNT(T49:X49)&gt;0,P49/COUNT(T49:X49),0.5)</f>
        <v/>
      </c>
      <c r="O49" s="8">
        <f>IF(COUNT(Y49:AC49)&gt;0,Q49/COUNT(Y49:AC49),0.5)</f>
        <v/>
      </c>
      <c r="P49" s="5">
        <f>SUM(T49:X49)</f>
        <v/>
      </c>
      <c r="Q49" s="5">
        <f>SUM(Y49:AC49)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IF(ISNUMBER(S49),IF(ISNUMBER(S45),IF(S49&gt;S45,1.0,IF(S49=S45,0.5,0.0)),""),"")</f>
        <v/>
      </c>
      <c r="Z49">
        <f>IF(ISNUMBER(S49),IF(ISNUMBER(S46),IF(S49&gt;S46,1.0,IF(S49=S46,0.5,0.0)),""),"")</f>
        <v/>
      </c>
      <c r="AA49">
        <f>IF(ISNUMBER(S49),IF(ISNUMBER(S47),IF(S49&gt;S47,1.0,IF(S49=S47,0.5,0.0)),""),"")</f>
        <v/>
      </c>
      <c r="AB49">
        <f>IF(ISNUMBER(S49),IF(ISNUMBER(S48),IF(S49&gt;S48,1.0,IF(S49=S48,0.5,0.0)),""),"")</f>
        <v/>
      </c>
      <c r="AC49">
        <f>IF(ISNUMBER(S49),IF(ISNUMBER(S50),IF(S49&gt;S50,1.0,IF(S49=S50,0.5,0.0)),""),"")</f>
        <v/>
      </c>
      <c r="AD49" s="14">
        <f>IF(AND(ISNUMBER(R49),ISNUMBER(R45)),VLOOKUP(ABS(R49-R45),'IMP Table'!$A$2:$C$26,3)*SIGN(R49-R45),0)</f>
        <v/>
      </c>
      <c r="AE49">
        <f>IF(AND(ISNUMBER(R49),ISNUMBER(R46)),VLOOKUP(ABS(R49-R46),'IMP Table'!$A$2:$C$26,3)*SIGN(R49-R46),0)</f>
        <v/>
      </c>
      <c r="AF49">
        <f>IF(AND(ISNUMBER(R49),ISNUMBER(R47)),VLOOKUP(ABS(R49-R47),'IMP Table'!$A$2:$C$26,3)*SIGN(R49-R47),0)</f>
        <v/>
      </c>
      <c r="AG49">
        <f>IF(AND(ISNUMBER(R49),ISNUMBER(R48)),VLOOKUP(ABS(R49-R48),'IMP Table'!$A$2:$C$26,3)*SIGN(R49-R48),0)</f>
        <v/>
      </c>
      <c r="AH49">
        <f>IF(AND(ISNUMBER(R49),ISNUMBER(R50)),VLOOKUP(ABS(R49-R50),'IMP Table'!$A$2:$C$26,3)*SIGN(R49-R50),0)</f>
        <v/>
      </c>
      <c r="AI49">
        <f>IF(AND(ISNUMBER(S49),ISNUMBER(S45)),VLOOKUP(ABS(S49-S45),'IMP Table'!$A$2:$C$26,3)*SIGN(S49-S45),0)</f>
        <v/>
      </c>
      <c r="AJ49">
        <f>IF(AND(ISNUMBER(S49),ISNUMBER(S46)),VLOOKUP(ABS(S49-S46),'IMP Table'!$A$2:$C$26,3)*SIGN(S49-S46),0)</f>
        <v/>
      </c>
      <c r="AK49">
        <f>IF(AND(ISNUMBER(S49),ISNUMBER(S47)),VLOOKUP(ABS(S49-S47),'IMP Table'!$A$2:$C$26,3)*SIGN(S49-S47),0)</f>
        <v/>
      </c>
      <c r="AL49">
        <f>IF(AND(ISNUMBER(S49),ISNUMBER(S48)),VLOOKUP(ABS(S49-S48),'IMP Table'!$A$2:$C$26,3)*SIGN(S49-S48),0)</f>
        <v/>
      </c>
      <c r="AM49">
        <f>IF(AND(ISNUMBER(S49),ISNUMBER(S50)),VLOOKUP(ABS(S49-S50),'IMP Table'!$A$2:$C$26,3)*SIGN(S49-S50),0)</f>
        <v/>
      </c>
    </row>
    <row r="50">
      <c r="A50" s="15" t="n"/>
      <c r="B50" s="15">
        <f>'By Round'!A123</f>
        <v/>
      </c>
      <c r="C50" s="15">
        <f>'By Round'!B125</f>
        <v/>
      </c>
      <c r="D50" s="15">
        <f>'By Round'!C125</f>
        <v/>
      </c>
      <c r="E50" s="15">
        <f>'By Round'!D125</f>
        <v/>
      </c>
      <c r="F50" s="16" t="inlineStr">
        <is>
          <t>None</t>
        </is>
      </c>
      <c r="G50" s="15">
        <f>IF(ISBLANK('By Round'!G125),"",'By Round'!G125)</f>
        <v/>
      </c>
      <c r="H50" s="15">
        <f>IF(ISBLANK('By Round'!H125),"",'By Round'!H125)</f>
        <v/>
      </c>
      <c r="I50" s="15">
        <f>IF(ISBLANK('By Round'!I125),"",'By Round'!I125)</f>
        <v/>
      </c>
      <c r="J50" s="15">
        <f>IF(ISBLANK('By Round'!J125),"",'By Round'!J125)</f>
        <v/>
      </c>
      <c r="K50" s="15">
        <f>IF(ISBLANK('By Round'!K125),"",'By Round'!K125)</f>
        <v/>
      </c>
      <c r="L50" s="17">
        <f>SUM(AD50:AH50)</f>
        <v/>
      </c>
      <c r="M50" s="18">
        <f>SUM(AI50:AM50)</f>
        <v/>
      </c>
      <c r="N50" s="19">
        <f>IF(COUNT(T50:X50)&gt;0,P50/COUNT(T50:X50),0.5)</f>
        <v/>
      </c>
      <c r="O50" s="19">
        <f>IF(COUNT(Y50:AC50)&gt;0,Q50/COUNT(Y50:AC50),0.5)</f>
        <v/>
      </c>
      <c r="P50" s="20">
        <f>SUM(T50:X50)</f>
        <v/>
      </c>
      <c r="Q50" s="20">
        <f>SUM(Y50:AC50)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IF(ISNUMBER(R50),IF(ISNUMBER(R45),IF(R50&gt;R45,1.0,IF(R50=R45,0.5,0.0)),""),"")</f>
        <v/>
      </c>
      <c r="U50" s="15">
        <f>IF(ISNUMBER(R50),IF(ISNUMBER(R46),IF(R50&gt;R46,1.0,IF(R50=R46,0.5,0.0)),""),"")</f>
        <v/>
      </c>
      <c r="V50" s="15">
        <f>IF(ISNUMBER(R50),IF(ISNUMBER(R47),IF(R50&gt;R47,1.0,IF(R50=R47,0.5,0.0)),""),"")</f>
        <v/>
      </c>
      <c r="W50" s="15">
        <f>IF(ISNUMBER(R50),IF(ISNUMBER(R48),IF(R50&gt;R48,1.0,IF(R50=R48,0.5,0.0)),""),"")</f>
        <v/>
      </c>
      <c r="X50" s="15">
        <f>IF(ISNUMBER(R50),IF(ISNUMBER(R49),IF(R50&gt;R49,1.0,IF(R50=R49,0.5,0.0)),""),"")</f>
        <v/>
      </c>
      <c r="Y50" s="15">
        <f>IF(ISNUMBER(S50),IF(ISNUMBER(S45),IF(S50&gt;S45,1.0,IF(S50=S45,0.5,0.0)),""),"")</f>
        <v/>
      </c>
      <c r="Z50" s="15">
        <f>IF(ISNUMBER(S50),IF(ISNUMBER(S46),IF(S50&gt;S46,1.0,IF(S50=S46,0.5,0.0)),""),"")</f>
        <v/>
      </c>
      <c r="AA50" s="15">
        <f>IF(ISNUMBER(S50),IF(ISNUMBER(S47),IF(S50&gt;S47,1.0,IF(S50=S47,0.5,0.0)),""),"")</f>
        <v/>
      </c>
      <c r="AB50" s="15">
        <f>IF(ISNUMBER(S50),IF(ISNUMBER(S48),IF(S50&gt;S48,1.0,IF(S50=S48,0.5,0.0)),""),"")</f>
        <v/>
      </c>
      <c r="AC50" s="15">
        <f>IF(ISNUMBER(S50),IF(ISNUMBER(S49),IF(S50&gt;S49,1.0,IF(S50=S49,0.5,0.0)),""),"")</f>
        <v/>
      </c>
      <c r="AD50" s="21">
        <f>IF(AND(ISNUMBER(R50),ISNUMBER(R45)),VLOOKUP(ABS(R50-R45),'IMP Table'!$A$2:$C$26,3)*SIGN(R50-R45),0)</f>
        <v/>
      </c>
      <c r="AE50" s="15">
        <f>IF(AND(ISNUMBER(R50),ISNUMBER(R46)),VLOOKUP(ABS(R50-R46),'IMP Table'!$A$2:$C$26,3)*SIGN(R50-R46),0)</f>
        <v/>
      </c>
      <c r="AF50" s="15">
        <f>IF(AND(ISNUMBER(R50),ISNUMBER(R47)),VLOOKUP(ABS(R50-R47),'IMP Table'!$A$2:$C$26,3)*SIGN(R50-R47),0)</f>
        <v/>
      </c>
      <c r="AG50" s="15">
        <f>IF(AND(ISNUMBER(R50),ISNUMBER(R48)),VLOOKUP(ABS(R50-R48),'IMP Table'!$A$2:$C$26,3)*SIGN(R50-R48),0)</f>
        <v/>
      </c>
      <c r="AH50" s="15">
        <f>IF(AND(ISNUMBER(R50),ISNUMBER(R49)),VLOOKUP(ABS(R50-R49),'IMP Table'!$A$2:$C$26,3)*SIGN(R50-R49),0)</f>
        <v/>
      </c>
      <c r="AI50" s="15">
        <f>IF(AND(ISNUMBER(S50),ISNUMBER(S45)),VLOOKUP(ABS(S50-S45),'IMP Table'!$A$2:$C$26,3)*SIGN(S50-S45),0)</f>
        <v/>
      </c>
      <c r="AJ50" s="15">
        <f>IF(AND(ISNUMBER(S50),ISNUMBER(S46)),VLOOKUP(ABS(S50-S46),'IMP Table'!$A$2:$C$26,3)*SIGN(S50-S46),0)</f>
        <v/>
      </c>
      <c r="AK50" s="15">
        <f>IF(AND(ISNUMBER(S50),ISNUMBER(S47)),VLOOKUP(ABS(S50-S47),'IMP Table'!$A$2:$C$26,3)*SIGN(S50-S47),0)</f>
        <v/>
      </c>
      <c r="AL50" s="15">
        <f>IF(AND(ISNUMBER(S50),ISNUMBER(S48)),VLOOKUP(ABS(S50-S48),'IMP Table'!$A$2:$C$26,3)*SIGN(S50-S48),0)</f>
        <v/>
      </c>
      <c r="AM50" s="15">
        <f>IF(AND(ISNUMBER(S50),ISNUMBER(S49)),VLOOKUP(ABS(S50-S49),'IMP Table'!$A$2:$C$26,3)*SIGN(S50-S49),0)</f>
        <v/>
      </c>
    </row>
    <row r="51">
      <c r="A51" t="n">
        <v>9</v>
      </c>
      <c r="B51">
        <f>'By Round'!A3</f>
        <v/>
      </c>
      <c r="C51">
        <f>'By Round'!B5</f>
        <v/>
      </c>
      <c r="D51">
        <f>'By Round'!C5</f>
        <v/>
      </c>
      <c r="E51">
        <f>'By Round'!D5</f>
        <v/>
      </c>
      <c r="F51" s="11" t="inlineStr">
        <is>
          <t>EW</t>
        </is>
      </c>
      <c r="G51">
        <f>IF(ISBLANK('By Round'!G5),"",'By Round'!G5)</f>
        <v/>
      </c>
      <c r="H51">
        <f>IF(ISBLANK('By Round'!H5),"",'By Round'!H5)</f>
        <v/>
      </c>
      <c r="I51">
        <f>IF(ISBLANK('By Round'!I5),"",'By Round'!I5)</f>
        <v/>
      </c>
      <c r="J51">
        <f>IF(ISBLANK('By Round'!J5),"",'By Round'!J5)</f>
        <v/>
      </c>
      <c r="K51">
        <f>IF(ISBLANK('By Round'!K5),"",'By Round'!K5)</f>
        <v/>
      </c>
      <c r="L51" s="12">
        <f>SUM(AD51:AH51)</f>
        <v/>
      </c>
      <c r="M51" s="13">
        <f>SUM(AI51:AM51)</f>
        <v/>
      </c>
      <c r="N51" s="8">
        <f>IF(COUNT(T51:X51)&gt;0,P51/COUNT(T51:X51),0.5)</f>
        <v/>
      </c>
      <c r="O51" s="8">
        <f>IF(COUNT(Y51:AC51)&gt;0,Q51/COUNT(Y51:AC51),0.5)</f>
        <v/>
      </c>
      <c r="P51" s="5">
        <f>SUM(T51:X51)</f>
        <v/>
      </c>
      <c r="Q51" s="5">
        <f>SUM(Y51:AC51)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IF(ISNUMBER(R51),IF(ISNUMBER(R55),IF(R51&gt;R55,1.0,IF(R51=R55,0.5,0.0)),""),"")</f>
        <v/>
      </c>
      <c r="X51">
        <f>IF(ISNUMBER(R51),IF(ISNUMBER(R56),IF(R51&gt;R56,1.0,IF(R51=R56,0.5,0.0)),""),"")</f>
        <v/>
      </c>
      <c r="Y51">
        <f>IF(ISNUMBER(S51),IF(ISNUMBER(S52),IF(S51&gt;S52,1.0,IF(S51=S52,0.5,0.0)),""),"")</f>
        <v/>
      </c>
      <c r="Z51">
        <f>IF(ISNUMBER(S51),IF(ISNUMBER(S53),IF(S51&gt;S53,1.0,IF(S51=S53,0.5,0.0)),""),"")</f>
        <v/>
      </c>
      <c r="AA51">
        <f>IF(ISNUMBER(S51),IF(ISNUMBER(S54),IF(S51&gt;S54,1.0,IF(S51=S54,0.5,0.0)),""),"")</f>
        <v/>
      </c>
      <c r="AB51">
        <f>IF(ISNUMBER(S51),IF(ISNUMBER(S55),IF(S51&gt;S55,1.0,IF(S51=S55,0.5,0.0)),""),"")</f>
        <v/>
      </c>
      <c r="AC51">
        <f>IF(ISNUMBER(S51),IF(ISNUMBER(S56),IF(S51&gt;S56,1.0,IF(S51=S56,0.5,0.0)),""),"")</f>
        <v/>
      </c>
      <c r="AD51" s="14">
        <f>IF(AND(ISNUMBER(R51),ISNUMBER(R52)),VLOOKUP(ABS(R51-R52),'IMP Table'!$A$2:$C$26,3)*SIGN(R51-R52),0)</f>
        <v/>
      </c>
      <c r="AE51">
        <f>IF(AND(ISNUMBER(R51),ISNUMBER(R53)),VLOOKUP(ABS(R51-R53),'IMP Table'!$A$2:$C$26,3)*SIGN(R51-R53),0)</f>
        <v/>
      </c>
      <c r="AF51">
        <f>IF(AND(ISNUMBER(R51),ISNUMBER(R54)),VLOOKUP(ABS(R51-R54),'IMP Table'!$A$2:$C$26,3)*SIGN(R51-R54),0)</f>
        <v/>
      </c>
      <c r="AG51">
        <f>IF(AND(ISNUMBER(R51),ISNUMBER(R55)),VLOOKUP(ABS(R51-R55),'IMP Table'!$A$2:$C$26,3)*SIGN(R51-R55),0)</f>
        <v/>
      </c>
      <c r="AH51">
        <f>IF(AND(ISNUMBER(R51),ISNUMBER(R56)),VLOOKUP(ABS(R51-R56),'IMP Table'!$A$2:$C$26,3)*SIGN(R51-R56),0)</f>
        <v/>
      </c>
      <c r="AI51">
        <f>IF(AND(ISNUMBER(S51),ISNUMBER(S52)),VLOOKUP(ABS(S51-S52),'IMP Table'!$A$2:$C$26,3)*SIGN(S51-S52),0)</f>
        <v/>
      </c>
      <c r="AJ51">
        <f>IF(AND(ISNUMBER(S51),ISNUMBER(S53)),VLOOKUP(ABS(S51-S53),'IMP Table'!$A$2:$C$26,3)*SIGN(S51-S53),0)</f>
        <v/>
      </c>
      <c r="AK51">
        <f>IF(AND(ISNUMBER(S51),ISNUMBER(S54)),VLOOKUP(ABS(S51-S54),'IMP Table'!$A$2:$C$26,3)*SIGN(S51-S54),0)</f>
        <v/>
      </c>
      <c r="AL51">
        <f>IF(AND(ISNUMBER(S51),ISNUMBER(S55)),VLOOKUP(ABS(S51-S55),'IMP Table'!$A$2:$C$26,3)*SIGN(S51-S55),0)</f>
        <v/>
      </c>
      <c r="AM51">
        <f>IF(AND(ISNUMBER(S51),ISNUMBER(S56)),VLOOKUP(ABS(S51-S56),'IMP Table'!$A$2:$C$26,3)*SIGN(S51-S56),0)</f>
        <v/>
      </c>
    </row>
    <row r="52">
      <c r="B52">
        <f>'By Round'!A51</f>
        <v/>
      </c>
      <c r="C52">
        <f>'By Round'!B51</f>
        <v/>
      </c>
      <c r="D52">
        <f>'By Round'!C51</f>
        <v/>
      </c>
      <c r="E52">
        <f>'By Round'!D51</f>
        <v/>
      </c>
      <c r="F52" s="11" t="inlineStr">
        <is>
          <t>EW</t>
        </is>
      </c>
      <c r="G52">
        <f>IF(ISBLANK('By Round'!G51),"",'By Round'!G51)</f>
        <v/>
      </c>
      <c r="H52">
        <f>IF(ISBLANK('By Round'!H51),"",'By Round'!H51)</f>
        <v/>
      </c>
      <c r="I52">
        <f>IF(ISBLANK('By Round'!I51),"",'By Round'!I51)</f>
        <v/>
      </c>
      <c r="J52">
        <f>IF(ISBLANK('By Round'!J51),"",'By Round'!J51)</f>
        <v/>
      </c>
      <c r="K52">
        <f>IF(ISBLANK('By Round'!K51),"",'By Round'!K51)</f>
        <v/>
      </c>
      <c r="L52" s="12">
        <f>SUM(AD52:AH52)</f>
        <v/>
      </c>
      <c r="M52" s="13">
        <f>SUM(AI52:AM52)</f>
        <v/>
      </c>
      <c r="N52" s="8">
        <f>IF(COUNT(T52:X52)&gt;0,P52/COUNT(T52:X52),0.5)</f>
        <v/>
      </c>
      <c r="O52" s="8">
        <f>IF(COUNT(Y52:AC52)&gt;0,Q52/COUNT(Y52:AC52),0.5)</f>
        <v/>
      </c>
      <c r="P52" s="5">
        <f>SUM(T52:X52)</f>
        <v/>
      </c>
      <c r="Q52" s="5">
        <f>SUM(Y52:AC52)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IF(ISNUMBER(R52),IF(ISNUMBER(R55),IF(R52&gt;R55,1.0,IF(R52=R55,0.5,0.0)),""),"")</f>
        <v/>
      </c>
      <c r="X52">
        <f>IF(ISNUMBER(R52),IF(ISNUMBER(R56),IF(R52&gt;R56,1.0,IF(R52=R56,0.5,0.0)),""),"")</f>
        <v/>
      </c>
      <c r="Y52">
        <f>IF(ISNUMBER(S52),IF(ISNUMBER(S51),IF(S52&gt;S51,1.0,IF(S52=S51,0.5,0.0)),""),"")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 s="14">
        <f>IF(AND(ISNUMBER(R52),ISNUMBER(R51)),VLOOKUP(ABS(R52-R51),'IMP Table'!$A$2:$C$26,3)*SIGN(R52-R51),0)</f>
        <v/>
      </c>
      <c r="AE52">
        <f>IF(AND(ISNUMBER(R52),ISNUMBER(R53)),VLOOKUP(ABS(R52-R53),'IMP Table'!$A$2:$C$26,3)*SIGN(R52-R53),0)</f>
        <v/>
      </c>
      <c r="AF52">
        <f>IF(AND(ISNUMBER(R52),ISNUMBER(R54)),VLOOKUP(ABS(R52-R54),'IMP Table'!$A$2:$C$26,3)*SIGN(R52-R54),0)</f>
        <v/>
      </c>
      <c r="AG52">
        <f>IF(AND(ISNUMBER(R52),ISNUMBER(R55)),VLOOKUP(ABS(R52-R55),'IMP Table'!$A$2:$C$26,3)*SIGN(R52-R55),0)</f>
        <v/>
      </c>
      <c r="AH52">
        <f>IF(AND(ISNUMBER(R52),ISNUMBER(R56)),VLOOKUP(ABS(R52-R56),'IMP Table'!$A$2:$C$26,3)*SIGN(R52-R56),0)</f>
        <v/>
      </c>
      <c r="AI52">
        <f>IF(AND(ISNUMBER(S52),ISNUMBER(S51)),VLOOKUP(ABS(S52-S51),'IMP Table'!$A$2:$C$26,3)*SIGN(S52-S51),0)</f>
        <v/>
      </c>
      <c r="AJ52">
        <f>IF(AND(ISNUMBER(S52),ISNUMBER(S53)),VLOOKUP(ABS(S52-S53),'IMP Table'!$A$2:$C$26,3)*SIGN(S52-S53),0)</f>
        <v/>
      </c>
      <c r="AK52">
        <f>IF(AND(ISNUMBER(S52),ISNUMBER(S54)),VLOOKUP(ABS(S52-S54),'IMP Table'!$A$2:$C$26,3)*SIGN(S52-S54),0)</f>
        <v/>
      </c>
      <c r="AL52">
        <f>IF(AND(ISNUMBER(S52),ISNUMBER(S55)),VLOOKUP(ABS(S52-S55),'IMP Table'!$A$2:$C$26,3)*SIGN(S52-S55),0)</f>
        <v/>
      </c>
      <c r="AM52">
        <f>IF(AND(ISNUMBER(S52),ISNUMBER(S56)),VLOOKUP(ABS(S52-S56),'IMP Table'!$A$2:$C$26,3)*SIGN(S52-S56),0)</f>
        <v/>
      </c>
    </row>
    <row r="53">
      <c r="B53">
        <f>'By Round'!A75</f>
        <v/>
      </c>
      <c r="C53">
        <f>'By Round'!B85</f>
        <v/>
      </c>
      <c r="D53">
        <f>'By Round'!C85</f>
        <v/>
      </c>
      <c r="E53">
        <f>'By Round'!D85</f>
        <v/>
      </c>
      <c r="F53" s="11" t="inlineStr">
        <is>
          <t>EW</t>
        </is>
      </c>
      <c r="G53">
        <f>IF(ISBLANK('By Round'!G85),"",'By Round'!G85)</f>
        <v/>
      </c>
      <c r="H53">
        <f>IF(ISBLANK('By Round'!H85),"",'By Round'!H85)</f>
        <v/>
      </c>
      <c r="I53">
        <f>IF(ISBLANK('By Round'!I85),"",'By Round'!I85)</f>
        <v/>
      </c>
      <c r="J53">
        <f>IF(ISBLANK('By Round'!J85),"",'By Round'!J85)</f>
        <v/>
      </c>
      <c r="K53">
        <f>IF(ISBLANK('By Round'!K85),"",'By Round'!K85)</f>
        <v/>
      </c>
      <c r="L53" s="12">
        <f>SUM(AD53:AH53)</f>
        <v/>
      </c>
      <c r="M53" s="13">
        <f>SUM(AI53:AM53)</f>
        <v/>
      </c>
      <c r="N53" s="8">
        <f>IF(COUNT(T53:X53)&gt;0,P53/COUNT(T53:X53),0.5)</f>
        <v/>
      </c>
      <c r="O53" s="8">
        <f>IF(COUNT(Y53:AC53)&gt;0,Q53/COUNT(Y53:AC53),0.5)</f>
        <v/>
      </c>
      <c r="P53" s="5">
        <f>SUM(T53:X53)</f>
        <v/>
      </c>
      <c r="Q53" s="5">
        <f>SUM(Y53:AC53)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IF(ISNUMBER(R53),IF(ISNUMBER(R55),IF(R53&gt;R55,1.0,IF(R53=R55,0.5,0.0)),""),"")</f>
        <v/>
      </c>
      <c r="X53">
        <f>IF(ISNUMBER(R53),IF(ISNUMBER(R56),IF(R53&gt;R56,1.0,IF(R53=R56,0.5,0.0)),""),"")</f>
        <v/>
      </c>
      <c r="Y53">
        <f>IF(ISNUMBER(S53),IF(ISNUMBER(S51),IF(S53&gt;S51,1.0,IF(S53=S51,0.5,0.0)),""),"")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 s="14">
        <f>IF(AND(ISNUMBER(R53),ISNUMBER(R51)),VLOOKUP(ABS(R53-R51),'IMP Table'!$A$2:$C$26,3)*SIGN(R53-R51),0)</f>
        <v/>
      </c>
      <c r="AE53">
        <f>IF(AND(ISNUMBER(R53),ISNUMBER(R52)),VLOOKUP(ABS(R53-R52),'IMP Table'!$A$2:$C$26,3)*SIGN(R53-R52),0)</f>
        <v/>
      </c>
      <c r="AF53">
        <f>IF(AND(ISNUMBER(R53),ISNUMBER(R54)),VLOOKUP(ABS(R53-R54),'IMP Table'!$A$2:$C$26,3)*SIGN(R53-R54),0)</f>
        <v/>
      </c>
      <c r="AG53">
        <f>IF(AND(ISNUMBER(R53),ISNUMBER(R55)),VLOOKUP(ABS(R53-R55),'IMP Table'!$A$2:$C$26,3)*SIGN(R53-R55),0)</f>
        <v/>
      </c>
      <c r="AH53">
        <f>IF(AND(ISNUMBER(R53),ISNUMBER(R56)),VLOOKUP(ABS(R53-R56),'IMP Table'!$A$2:$C$26,3)*SIGN(R53-R56),0)</f>
        <v/>
      </c>
      <c r="AI53">
        <f>IF(AND(ISNUMBER(S53),ISNUMBER(S51)),VLOOKUP(ABS(S53-S51),'IMP Table'!$A$2:$C$26,3)*SIGN(S53-S51),0)</f>
        <v/>
      </c>
      <c r="AJ53">
        <f>IF(AND(ISNUMBER(S53),ISNUMBER(S52)),VLOOKUP(ABS(S53-S52),'IMP Table'!$A$2:$C$26,3)*SIGN(S53-S52),0)</f>
        <v/>
      </c>
      <c r="AK53">
        <f>IF(AND(ISNUMBER(S53),ISNUMBER(S54)),VLOOKUP(ABS(S53-S54),'IMP Table'!$A$2:$C$26,3)*SIGN(S53-S54),0)</f>
        <v/>
      </c>
      <c r="AL53">
        <f>IF(AND(ISNUMBER(S53),ISNUMBER(S55)),VLOOKUP(ABS(S53-S55),'IMP Table'!$A$2:$C$26,3)*SIGN(S53-S55),0)</f>
        <v/>
      </c>
      <c r="AM53">
        <f>IF(AND(ISNUMBER(S53),ISNUMBER(S56)),VLOOKUP(ABS(S53-S56),'IMP Table'!$A$2:$C$26,3)*SIGN(S53-S56),0)</f>
        <v/>
      </c>
    </row>
    <row r="54">
      <c r="B54">
        <f>'By Round'!A87</f>
        <v/>
      </c>
      <c r="C54">
        <f>'By Round'!B95</f>
        <v/>
      </c>
      <c r="D54">
        <f>'By Round'!C95</f>
        <v/>
      </c>
      <c r="E54">
        <f>'By Round'!D95</f>
        <v/>
      </c>
      <c r="F54" s="11" t="inlineStr">
        <is>
          <t>EW</t>
        </is>
      </c>
      <c r="G54">
        <f>IF(ISBLANK('By Round'!G95),"",'By Round'!G95)</f>
        <v/>
      </c>
      <c r="H54">
        <f>IF(ISBLANK('By Round'!H95),"",'By Round'!H95)</f>
        <v/>
      </c>
      <c r="I54">
        <f>IF(ISBLANK('By Round'!I95),"",'By Round'!I95)</f>
        <v/>
      </c>
      <c r="J54">
        <f>IF(ISBLANK('By Round'!J95),"",'By Round'!J95)</f>
        <v/>
      </c>
      <c r="K54">
        <f>IF(ISBLANK('By Round'!K95),"",'By Round'!K95)</f>
        <v/>
      </c>
      <c r="L54" s="12">
        <f>SUM(AD54:AH54)</f>
        <v/>
      </c>
      <c r="M54" s="13">
        <f>SUM(AI54:AM54)</f>
        <v/>
      </c>
      <c r="N54" s="8">
        <f>IF(COUNT(T54:X54)&gt;0,P54/COUNT(T54:X54),0.5)</f>
        <v/>
      </c>
      <c r="O54" s="8">
        <f>IF(COUNT(Y54:AC54)&gt;0,Q54/COUNT(Y54:AC54),0.5)</f>
        <v/>
      </c>
      <c r="P54" s="5">
        <f>SUM(T54:X54)</f>
        <v/>
      </c>
      <c r="Q54" s="5">
        <f>SUM(Y54:AC54)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IF(ISNUMBER(R54),IF(ISNUMBER(R51),IF(R54&gt;R51,1.0,IF(R54=R51,0.5,0.0)),""),"")</f>
        <v/>
      </c>
      <c r="U54">
        <f>IF(ISNUMBER(R54),IF(ISNUMBER(R52),IF(R54&gt;R52,1.0,IF(R54=R52,0.5,0.0)),""),"")</f>
        <v/>
      </c>
      <c r="V54">
        <f>IF(ISNUMBER(R54),IF(ISNUMBER(R53),IF(R54&gt;R53,1.0,IF(R54=R53,0.5,0.0)),""),"")</f>
        <v/>
      </c>
      <c r="W54">
        <f>IF(ISNUMBER(R54),IF(ISNUMBER(R55),IF(R54&gt;R55,1.0,IF(R54=R55,0.5,0.0)),""),"")</f>
        <v/>
      </c>
      <c r="X54">
        <f>IF(ISNUMBER(R54),IF(ISNUMBER(R56),IF(R54&gt;R56,1.0,IF(R54=R56,0.5,0.0)),""),"")</f>
        <v/>
      </c>
      <c r="Y54">
        <f>IF(ISNUMBER(S54),IF(ISNUMBER(S51),IF(S54&gt;S51,1.0,IF(S54=S51,0.5,0.0)),""),"")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 s="14">
        <f>IF(AND(ISNUMBER(R54),ISNUMBER(R51)),VLOOKUP(ABS(R54-R51),'IMP Table'!$A$2:$C$26,3)*SIGN(R54-R51),0)</f>
        <v/>
      </c>
      <c r="AE54">
        <f>IF(AND(ISNUMBER(R54),ISNUMBER(R52)),VLOOKUP(ABS(R54-R52),'IMP Table'!$A$2:$C$26,3)*SIGN(R54-R52),0)</f>
        <v/>
      </c>
      <c r="AF54">
        <f>IF(AND(ISNUMBER(R54),ISNUMBER(R53)),VLOOKUP(ABS(R54-R53),'IMP Table'!$A$2:$C$26,3)*SIGN(R54-R53),0)</f>
        <v/>
      </c>
      <c r="AG54">
        <f>IF(AND(ISNUMBER(R54),ISNUMBER(R55)),VLOOKUP(ABS(R54-R55),'IMP Table'!$A$2:$C$26,3)*SIGN(R54-R55),0)</f>
        <v/>
      </c>
      <c r="AH54">
        <f>IF(AND(ISNUMBER(R54),ISNUMBER(R56)),VLOOKUP(ABS(R54-R56),'IMP Table'!$A$2:$C$26,3)*SIGN(R54-R56),0)</f>
        <v/>
      </c>
      <c r="AI54">
        <f>IF(AND(ISNUMBER(S54),ISNUMBER(S51)),VLOOKUP(ABS(S54-S51),'IMP Table'!$A$2:$C$26,3)*SIGN(S54-S51),0)</f>
        <v/>
      </c>
      <c r="AJ54">
        <f>IF(AND(ISNUMBER(S54),ISNUMBER(S52)),VLOOKUP(ABS(S54-S52),'IMP Table'!$A$2:$C$26,3)*SIGN(S54-S52),0)</f>
        <v/>
      </c>
      <c r="AK54">
        <f>IF(AND(ISNUMBER(S54),ISNUMBER(S53)),VLOOKUP(ABS(S54-S53),'IMP Table'!$A$2:$C$26,3)*SIGN(S54-S53),0)</f>
        <v/>
      </c>
      <c r="AL54">
        <f>IF(AND(ISNUMBER(S54),ISNUMBER(S55)),VLOOKUP(ABS(S54-S55),'IMP Table'!$A$2:$C$26,3)*SIGN(S54-S55),0)</f>
        <v/>
      </c>
      <c r="AM54">
        <f>IF(AND(ISNUMBER(S54),ISNUMBER(S56)),VLOOKUP(ABS(S54-S56),'IMP Table'!$A$2:$C$26,3)*SIGN(S54-S56),0)</f>
        <v/>
      </c>
    </row>
    <row r="55">
      <c r="B55">
        <f>'By Round'!A99</f>
        <v/>
      </c>
      <c r="C55">
        <f>'By Round'!B105</f>
        <v/>
      </c>
      <c r="D55">
        <f>'By Round'!C105</f>
        <v/>
      </c>
      <c r="E55">
        <f>'By Round'!D105</f>
        <v/>
      </c>
      <c r="F55" s="11" t="inlineStr">
        <is>
          <t>EW</t>
        </is>
      </c>
      <c r="G55">
        <f>IF(ISBLANK('By Round'!G105),"",'By Round'!G105)</f>
        <v/>
      </c>
      <c r="H55">
        <f>IF(ISBLANK('By Round'!H105),"",'By Round'!H105)</f>
        <v/>
      </c>
      <c r="I55">
        <f>IF(ISBLANK('By Round'!I105),"",'By Round'!I105)</f>
        <v/>
      </c>
      <c r="J55">
        <f>IF(ISBLANK('By Round'!J105),"",'By Round'!J105)</f>
        <v/>
      </c>
      <c r="K55">
        <f>IF(ISBLANK('By Round'!K105),"",'By Round'!K105)</f>
        <v/>
      </c>
      <c r="L55" s="12">
        <f>SUM(AD55:AH55)</f>
        <v/>
      </c>
      <c r="M55" s="13">
        <f>SUM(AI55:AM55)</f>
        <v/>
      </c>
      <c r="N55" s="8">
        <f>IF(COUNT(T55:X55)&gt;0,P55/COUNT(T55:X55),0.5)</f>
        <v/>
      </c>
      <c r="O55" s="8">
        <f>IF(COUNT(Y55:AC55)&gt;0,Q55/COUNT(Y55:AC55),0.5)</f>
        <v/>
      </c>
      <c r="P55" s="5">
        <f>SUM(T55:X55)</f>
        <v/>
      </c>
      <c r="Q55" s="5">
        <f>SUM(Y55:AC55)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IF(ISNUMBER(R55),IF(ISNUMBER(R51),IF(R55&gt;R51,1.0,IF(R55=R51,0.5,0.0)),""),"")</f>
        <v/>
      </c>
      <c r="U55">
        <f>IF(ISNUMBER(R55),IF(ISNUMBER(R52),IF(R55&gt;R52,1.0,IF(R55=R52,0.5,0.0)),""),"")</f>
        <v/>
      </c>
      <c r="V55">
        <f>IF(ISNUMBER(R55),IF(ISNUMBER(R53),IF(R55&gt;R53,1.0,IF(R55=R53,0.5,0.0)),""),"")</f>
        <v/>
      </c>
      <c r="W55">
        <f>IF(ISNUMBER(R55),IF(ISNUMBER(R54),IF(R55&gt;R54,1.0,IF(R55=R54,0.5,0.0)),""),"")</f>
        <v/>
      </c>
      <c r="X55">
        <f>IF(ISNUMBER(R55),IF(ISNUMBER(R56),IF(R55&gt;R56,1.0,IF(R55=R56,0.5,0.0)),""),"")</f>
        <v/>
      </c>
      <c r="Y55">
        <f>IF(ISNUMBER(S55),IF(ISNUMBER(S51),IF(S55&gt;S51,1.0,IF(S55=S51,0.5,0.0)),""),"")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 s="14">
        <f>IF(AND(ISNUMBER(R55),ISNUMBER(R51)),VLOOKUP(ABS(R55-R51),'IMP Table'!$A$2:$C$26,3)*SIGN(R55-R51),0)</f>
        <v/>
      </c>
      <c r="AE55">
        <f>IF(AND(ISNUMBER(R55),ISNUMBER(R52)),VLOOKUP(ABS(R55-R52),'IMP Table'!$A$2:$C$26,3)*SIGN(R55-R52),0)</f>
        <v/>
      </c>
      <c r="AF55">
        <f>IF(AND(ISNUMBER(R55),ISNUMBER(R53)),VLOOKUP(ABS(R55-R53),'IMP Table'!$A$2:$C$26,3)*SIGN(R55-R53),0)</f>
        <v/>
      </c>
      <c r="AG55">
        <f>IF(AND(ISNUMBER(R55),ISNUMBER(R54)),VLOOKUP(ABS(R55-R54),'IMP Table'!$A$2:$C$26,3)*SIGN(R55-R54),0)</f>
        <v/>
      </c>
      <c r="AH55">
        <f>IF(AND(ISNUMBER(R55),ISNUMBER(R56)),VLOOKUP(ABS(R55-R56),'IMP Table'!$A$2:$C$26,3)*SIGN(R55-R56),0)</f>
        <v/>
      </c>
      <c r="AI55">
        <f>IF(AND(ISNUMBER(S55),ISNUMBER(S51)),VLOOKUP(ABS(S55-S51),'IMP Table'!$A$2:$C$26,3)*SIGN(S55-S51),0)</f>
        <v/>
      </c>
      <c r="AJ55">
        <f>IF(AND(ISNUMBER(S55),ISNUMBER(S52)),VLOOKUP(ABS(S55-S52),'IMP Table'!$A$2:$C$26,3)*SIGN(S55-S52),0)</f>
        <v/>
      </c>
      <c r="AK55">
        <f>IF(AND(ISNUMBER(S55),ISNUMBER(S53)),VLOOKUP(ABS(S55-S53),'IMP Table'!$A$2:$C$26,3)*SIGN(S55-S53),0)</f>
        <v/>
      </c>
      <c r="AL55">
        <f>IF(AND(ISNUMBER(S55),ISNUMBER(S54)),VLOOKUP(ABS(S55-S54),'IMP Table'!$A$2:$C$26,3)*SIGN(S55-S54),0)</f>
        <v/>
      </c>
      <c r="AM55">
        <f>IF(AND(ISNUMBER(S55),ISNUMBER(S56)),VLOOKUP(ABS(S55-S56),'IMP Table'!$A$2:$C$26,3)*SIGN(S55-S56),0)</f>
        <v/>
      </c>
    </row>
    <row r="56">
      <c r="A56" s="15" t="n"/>
      <c r="B56" s="15">
        <f>'By Round'!A123</f>
        <v/>
      </c>
      <c r="C56" s="15">
        <f>'By Round'!B127</f>
        <v/>
      </c>
      <c r="D56" s="15">
        <f>'By Round'!C127</f>
        <v/>
      </c>
      <c r="E56" s="15">
        <f>'By Round'!D127</f>
        <v/>
      </c>
      <c r="F56" s="16" t="inlineStr">
        <is>
          <t>EW</t>
        </is>
      </c>
      <c r="G56" s="15">
        <f>IF(ISBLANK('By Round'!G127),"",'By Round'!G127)</f>
        <v/>
      </c>
      <c r="H56" s="15">
        <f>IF(ISBLANK('By Round'!H127),"",'By Round'!H127)</f>
        <v/>
      </c>
      <c r="I56" s="15">
        <f>IF(ISBLANK('By Round'!I127),"",'By Round'!I127)</f>
        <v/>
      </c>
      <c r="J56" s="15">
        <f>IF(ISBLANK('By Round'!J127),"",'By Round'!J127)</f>
        <v/>
      </c>
      <c r="K56" s="15">
        <f>IF(ISBLANK('By Round'!K127),"",'By Round'!K127)</f>
        <v/>
      </c>
      <c r="L56" s="17">
        <f>SUM(AD56:AH56)</f>
        <v/>
      </c>
      <c r="M56" s="18">
        <f>SUM(AI56:AM56)</f>
        <v/>
      </c>
      <c r="N56" s="19">
        <f>IF(COUNT(T56:X56)&gt;0,P56/COUNT(T56:X56),0.5)</f>
        <v/>
      </c>
      <c r="O56" s="19">
        <f>IF(COUNT(Y56:AC56)&gt;0,Q56/COUNT(Y56:AC56),0.5)</f>
        <v/>
      </c>
      <c r="P56" s="20">
        <f>SUM(T56:X56)</f>
        <v/>
      </c>
      <c r="Q56" s="20">
        <f>SUM(Y56:AC56)</f>
        <v/>
      </c>
      <c r="R56" s="21">
        <f>IF(ISNUMBER(J56),J56,IF(ISNUMBER(K56),-K56,""))</f>
        <v/>
      </c>
      <c r="S56" s="15">
        <f>IF(ISNUMBER(K56),K56,IF(ISNUMBER(J56),-J56,""))</f>
        <v/>
      </c>
      <c r="T56" s="21">
        <f>IF(ISNUMBER(R56),IF(ISNUMBER(R51),IF(R56&gt;R51,1.0,IF(R56=R51,0.5,0.0)),""),"")</f>
        <v/>
      </c>
      <c r="U56" s="15">
        <f>IF(ISNUMBER(R56),IF(ISNUMBER(R52),IF(R56&gt;R52,1.0,IF(R56=R52,0.5,0.0)),""),"")</f>
        <v/>
      </c>
      <c r="V56" s="15">
        <f>IF(ISNUMBER(R56),IF(ISNUMBER(R53),IF(R56&gt;R53,1.0,IF(R56=R53,0.5,0.0)),""),"")</f>
        <v/>
      </c>
      <c r="W56" s="15">
        <f>IF(ISNUMBER(R56),IF(ISNUMBER(R54),IF(R56&gt;R54,1.0,IF(R56=R54,0.5,0.0)),""),"")</f>
        <v/>
      </c>
      <c r="X56" s="15">
        <f>IF(ISNUMBER(R56),IF(ISNUMBER(R55),IF(R56&gt;R55,1.0,IF(R56=R55,0.5,0.0)),""),"")</f>
        <v/>
      </c>
      <c r="Y56" s="15">
        <f>IF(ISNUMBER(S56),IF(ISNUMBER(S51),IF(S56&gt;S51,1.0,IF(S56=S51,0.5,0.0)),""),"")</f>
        <v/>
      </c>
      <c r="Z56" s="15">
        <f>IF(ISNUMBER(S56),IF(ISNUMBER(S52),IF(S56&gt;S52,1.0,IF(S56=S52,0.5,0.0)),""),"")</f>
        <v/>
      </c>
      <c r="AA56" s="15">
        <f>IF(ISNUMBER(S56),IF(ISNUMBER(S53),IF(S56&gt;S53,1.0,IF(S56=S53,0.5,0.0)),""),"")</f>
        <v/>
      </c>
      <c r="AB56" s="15">
        <f>IF(ISNUMBER(S56),IF(ISNUMBER(S54),IF(S56&gt;S54,1.0,IF(S56=S54,0.5,0.0)),""),"")</f>
        <v/>
      </c>
      <c r="AC56" s="15">
        <f>IF(ISNUMBER(S56),IF(ISNUMBER(S55),IF(S56&gt;S55,1.0,IF(S56=S55,0.5,0.0)),""),"")</f>
        <v/>
      </c>
      <c r="AD56" s="21">
        <f>IF(AND(ISNUMBER(R56),ISNUMBER(R51)),VLOOKUP(ABS(R56-R51),'IMP Table'!$A$2:$C$26,3)*SIGN(R56-R51),0)</f>
        <v/>
      </c>
      <c r="AE56" s="15">
        <f>IF(AND(ISNUMBER(R56),ISNUMBER(R52)),VLOOKUP(ABS(R56-R52),'IMP Table'!$A$2:$C$26,3)*SIGN(R56-R52),0)</f>
        <v/>
      </c>
      <c r="AF56" s="15">
        <f>IF(AND(ISNUMBER(R56),ISNUMBER(R53)),VLOOKUP(ABS(R56-R53),'IMP Table'!$A$2:$C$26,3)*SIGN(R56-R53),0)</f>
        <v/>
      </c>
      <c r="AG56" s="15">
        <f>IF(AND(ISNUMBER(R56),ISNUMBER(R54)),VLOOKUP(ABS(R56-R54),'IMP Table'!$A$2:$C$26,3)*SIGN(R56-R54),0)</f>
        <v/>
      </c>
      <c r="AH56" s="15">
        <f>IF(AND(ISNUMBER(R56),ISNUMBER(R55)),VLOOKUP(ABS(R56-R55),'IMP Table'!$A$2:$C$26,3)*SIGN(R56-R55),0)</f>
        <v/>
      </c>
      <c r="AI56" s="15">
        <f>IF(AND(ISNUMBER(S56),ISNUMBER(S51)),VLOOKUP(ABS(S56-S51),'IMP Table'!$A$2:$C$26,3)*SIGN(S56-S51),0)</f>
        <v/>
      </c>
      <c r="AJ56" s="15">
        <f>IF(AND(ISNUMBER(S56),ISNUMBER(S52)),VLOOKUP(ABS(S56-S52),'IMP Table'!$A$2:$C$26,3)*SIGN(S56-S52),0)</f>
        <v/>
      </c>
      <c r="AK56" s="15">
        <f>IF(AND(ISNUMBER(S56),ISNUMBER(S53)),VLOOKUP(ABS(S56-S53),'IMP Table'!$A$2:$C$26,3)*SIGN(S56-S53),0)</f>
        <v/>
      </c>
      <c r="AL56" s="15">
        <f>IF(AND(ISNUMBER(S56),ISNUMBER(S54)),VLOOKUP(ABS(S56-S54),'IMP Table'!$A$2:$C$26,3)*SIGN(S56-S54),0)</f>
        <v/>
      </c>
      <c r="AM56" s="15">
        <f>IF(AND(ISNUMBER(S56),ISNUMBER(S55)),VLOOKUP(ABS(S56-S55),'IMP Table'!$A$2:$C$26,3)*SIGN(S56-S55),0)</f>
        <v/>
      </c>
    </row>
    <row r="57">
      <c r="A57" t="n">
        <v>10</v>
      </c>
      <c r="B57">
        <f>'By Round'!A3</f>
        <v/>
      </c>
      <c r="C57">
        <f>'By Round'!B5</f>
        <v/>
      </c>
      <c r="D57">
        <f>'By Round'!C5</f>
        <v/>
      </c>
      <c r="E57">
        <f>'By Round'!D5</f>
        <v/>
      </c>
      <c r="F57" s="11" t="inlineStr">
        <is>
          <t>Both</t>
        </is>
      </c>
      <c r="G57">
        <f>IF(ISBLANK('By Round'!G5),"",'By Round'!G5)</f>
        <v/>
      </c>
      <c r="H57">
        <f>IF(ISBLANK('By Round'!H5),"",'By Round'!H5)</f>
        <v/>
      </c>
      <c r="I57">
        <f>IF(ISBLANK('By Round'!I5),"",'By Round'!I5)</f>
        <v/>
      </c>
      <c r="J57">
        <f>IF(ISBLANK('By Round'!J5),"",'By Round'!J5)</f>
        <v/>
      </c>
      <c r="K57">
        <f>IF(ISBLANK('By Round'!K5),"",'By Round'!K5)</f>
        <v/>
      </c>
      <c r="L57" s="12">
        <f>SUM(AD57:AH57)</f>
        <v/>
      </c>
      <c r="M57" s="13">
        <f>SUM(AI57:AM57)</f>
        <v/>
      </c>
      <c r="N57" s="8">
        <f>IF(COUNT(T57:X57)&gt;0,P57/COUNT(T57:X57),0.5)</f>
        <v/>
      </c>
      <c r="O57" s="8">
        <f>IF(COUNT(Y57:AC57)&gt;0,Q57/COUNT(Y57:AC57),0.5)</f>
        <v/>
      </c>
      <c r="P57" s="5">
        <f>SUM(T57:X57)</f>
        <v/>
      </c>
      <c r="Q57" s="5">
        <f>SUM(Y57:AC57)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IF(ISNUMBER(R57),IF(ISNUMBER(R58),IF(R57&gt;R58,1.0,IF(R57=R58,0.5,0.0)),""),"")</f>
        <v/>
      </c>
      <c r="U57">
        <f>IF(ISNUMBER(R57),IF(ISNUMBER(R59),IF(R57&gt;R59,1.0,IF(R57=R59,0.5,0.0)),""),"")</f>
        <v/>
      </c>
      <c r="V57">
        <f>IF(ISNUMBER(R57),IF(ISNUMBER(R60),IF(R57&gt;R60,1.0,IF(R57=R60,0.5,0.0)),""),"")</f>
        <v/>
      </c>
      <c r="W57">
        <f>IF(ISNUMBER(R57),IF(ISNUMBER(R61),IF(R57&gt;R61,1.0,IF(R57=R61,0.5,0.0)),""),"")</f>
        <v/>
      </c>
      <c r="X57">
        <f>IF(ISNUMBER(R57),IF(ISNUMBER(R62),IF(R57&gt;R62,1.0,IF(R57=R62,0.5,0.0)),""),"")</f>
        <v/>
      </c>
      <c r="Y57">
        <f>IF(ISNUMBER(S57),IF(ISNUMBER(S58),IF(S57&gt;S58,1.0,IF(S57=S58,0.5,0.0)),""),"")</f>
        <v/>
      </c>
      <c r="Z57">
        <f>IF(ISNUMBER(S57),IF(ISNUMBER(S59),IF(S57&gt;S59,1.0,IF(S57=S59,0.5,0.0)),""),"")</f>
        <v/>
      </c>
      <c r="AA57">
        <f>IF(ISNUMBER(S57),IF(ISNUMBER(S60),IF(S57&gt;S60,1.0,IF(S57=S60,0.5,0.0)),""),"")</f>
        <v/>
      </c>
      <c r="AB57">
        <f>IF(ISNUMBER(S57),IF(ISNUMBER(S61),IF(S57&gt;S61,1.0,IF(S57=S61,0.5,0.0)),""),"")</f>
        <v/>
      </c>
      <c r="AC57">
        <f>IF(ISNUMBER(S57),IF(ISNUMBER(S62),IF(S57&gt;S62,1.0,IF(S57=S62,0.5,0.0)),""),"")</f>
        <v/>
      </c>
      <c r="AD57" s="14">
        <f>IF(AND(ISNUMBER(R57),ISNUMBER(R58)),VLOOKUP(ABS(R57-R58),'IMP Table'!$A$2:$C$26,3)*SIGN(R57-R58),0)</f>
        <v/>
      </c>
      <c r="AE57">
        <f>IF(AND(ISNUMBER(R57),ISNUMBER(R59)),VLOOKUP(ABS(R57-R59),'IMP Table'!$A$2:$C$26,3)*SIGN(R57-R59),0)</f>
        <v/>
      </c>
      <c r="AF57">
        <f>IF(AND(ISNUMBER(R57),ISNUMBER(R60)),VLOOKUP(ABS(R57-R60),'IMP Table'!$A$2:$C$26,3)*SIGN(R57-R60),0)</f>
        <v/>
      </c>
      <c r="AG57">
        <f>IF(AND(ISNUMBER(R57),ISNUMBER(R61)),VLOOKUP(ABS(R57-R61),'IMP Table'!$A$2:$C$26,3)*SIGN(R57-R61),0)</f>
        <v/>
      </c>
      <c r="AH57">
        <f>IF(AND(ISNUMBER(R57),ISNUMBER(R62)),VLOOKUP(ABS(R57-R62),'IMP Table'!$A$2:$C$26,3)*SIGN(R57-R62),0)</f>
        <v/>
      </c>
      <c r="AI57">
        <f>IF(AND(ISNUMBER(S57),ISNUMBER(S58)),VLOOKUP(ABS(S57-S58),'IMP Table'!$A$2:$C$26,3)*SIGN(S57-S58),0)</f>
        <v/>
      </c>
      <c r="AJ57">
        <f>IF(AND(ISNUMBER(S57),ISNUMBER(S59)),VLOOKUP(ABS(S57-S59),'IMP Table'!$A$2:$C$26,3)*SIGN(S57-S59),0)</f>
        <v/>
      </c>
      <c r="AK57">
        <f>IF(AND(ISNUMBER(S57),ISNUMBER(S60)),VLOOKUP(ABS(S57-S60),'IMP Table'!$A$2:$C$26,3)*SIGN(S57-S60),0)</f>
        <v/>
      </c>
      <c r="AL57">
        <f>IF(AND(ISNUMBER(S57),ISNUMBER(S61)),VLOOKUP(ABS(S57-S61),'IMP Table'!$A$2:$C$26,3)*SIGN(S57-S61),0)</f>
        <v/>
      </c>
      <c r="AM57">
        <f>IF(AND(ISNUMBER(S57),ISNUMBER(S62)),VLOOKUP(ABS(S57-S62),'IMP Table'!$A$2:$C$26,3)*SIGN(S57-S62),0)</f>
        <v/>
      </c>
    </row>
    <row r="58">
      <c r="B58">
        <f>'By Round'!A51</f>
        <v/>
      </c>
      <c r="C58">
        <f>'By Round'!B51</f>
        <v/>
      </c>
      <c r="D58">
        <f>'By Round'!C51</f>
        <v/>
      </c>
      <c r="E58">
        <f>'By Round'!D51</f>
        <v/>
      </c>
      <c r="F58" s="11" t="inlineStr">
        <is>
          <t>Both</t>
        </is>
      </c>
      <c r="G58">
        <f>IF(ISBLANK('By Round'!G51),"",'By Round'!G51)</f>
        <v/>
      </c>
      <c r="H58">
        <f>IF(ISBLANK('By Round'!H51),"",'By Round'!H51)</f>
        <v/>
      </c>
      <c r="I58">
        <f>IF(ISBLANK('By Round'!I51),"",'By Round'!I51)</f>
        <v/>
      </c>
      <c r="J58">
        <f>IF(ISBLANK('By Round'!J51),"",'By Round'!J51)</f>
        <v/>
      </c>
      <c r="K58">
        <f>IF(ISBLANK('By Round'!K51),"",'By Round'!K51)</f>
        <v/>
      </c>
      <c r="L58" s="12">
        <f>SUM(AD58:AH58)</f>
        <v/>
      </c>
      <c r="M58" s="13">
        <f>SUM(AI58:AM58)</f>
        <v/>
      </c>
      <c r="N58" s="8">
        <f>IF(COUNT(T58:X58)&gt;0,P58/COUNT(T58:X58),0.5)</f>
        <v/>
      </c>
      <c r="O58" s="8">
        <f>IF(COUNT(Y58:AC58)&gt;0,Q58/COUNT(Y58:AC58),0.5)</f>
        <v/>
      </c>
      <c r="P58" s="5">
        <f>SUM(T58:X58)</f>
        <v/>
      </c>
      <c r="Q58" s="5">
        <f>SUM(Y58:AC58)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IF(ISNUMBER(R58),IF(ISNUMBER(R57),IF(R58&gt;R57,1.0,IF(R58=R57,0.5,0.0)),""),"")</f>
        <v/>
      </c>
      <c r="U58">
        <f>IF(ISNUMBER(R58),IF(ISNUMBER(R59),IF(R58&gt;R59,1.0,IF(R58=R59,0.5,0.0)),""),"")</f>
        <v/>
      </c>
      <c r="V58">
        <f>IF(ISNUMBER(R58),IF(ISNUMBER(R60),IF(R58&gt;R60,1.0,IF(R58=R60,0.5,0.0)),""),"")</f>
        <v/>
      </c>
      <c r="W58">
        <f>IF(ISNUMBER(R58),IF(ISNUMBER(R61),IF(R58&gt;R61,1.0,IF(R58=R61,0.5,0.0)),""),"")</f>
        <v/>
      </c>
      <c r="X58">
        <f>IF(ISNUMBER(R58),IF(ISNUMBER(R62),IF(R58&gt;R62,1.0,IF(R58=R62,0.5,0.0)),""),"")</f>
        <v/>
      </c>
      <c r="Y58">
        <f>IF(ISNUMBER(S58),IF(ISNUMBER(S57),IF(S58&gt;S57,1.0,IF(S58=S57,0.5,0.0)),""),"")</f>
        <v/>
      </c>
      <c r="Z58">
        <f>IF(ISNUMBER(S58),IF(ISNUMBER(S59),IF(S58&gt;S59,1.0,IF(S58=S59,0.5,0.0)),""),"")</f>
        <v/>
      </c>
      <c r="AA58">
        <f>IF(ISNUMBER(S58),IF(ISNUMBER(S60),IF(S58&gt;S60,1.0,IF(S58=S60,0.5,0.0)),""),"")</f>
        <v/>
      </c>
      <c r="AB58">
        <f>IF(ISNUMBER(S58),IF(ISNUMBER(S61),IF(S58&gt;S61,1.0,IF(S58=S61,0.5,0.0)),""),"")</f>
        <v/>
      </c>
      <c r="AC58">
        <f>IF(ISNUMBER(S58),IF(ISNUMBER(S62),IF(S58&gt;S62,1.0,IF(S58=S62,0.5,0.0)),""),"")</f>
        <v/>
      </c>
      <c r="AD58" s="14">
        <f>IF(AND(ISNUMBER(R58),ISNUMBER(R57)),VLOOKUP(ABS(R58-R57),'IMP Table'!$A$2:$C$26,3)*SIGN(R58-R57),0)</f>
        <v/>
      </c>
      <c r="AE58">
        <f>IF(AND(ISNUMBER(R58),ISNUMBER(R59)),VLOOKUP(ABS(R58-R59),'IMP Table'!$A$2:$C$26,3)*SIGN(R58-R59),0)</f>
        <v/>
      </c>
      <c r="AF58">
        <f>IF(AND(ISNUMBER(R58),ISNUMBER(R60)),VLOOKUP(ABS(R58-R60),'IMP Table'!$A$2:$C$26,3)*SIGN(R58-R60),0)</f>
        <v/>
      </c>
      <c r="AG58">
        <f>IF(AND(ISNUMBER(R58),ISNUMBER(R61)),VLOOKUP(ABS(R58-R61),'IMP Table'!$A$2:$C$26,3)*SIGN(R58-R61),0)</f>
        <v/>
      </c>
      <c r="AH58">
        <f>IF(AND(ISNUMBER(R58),ISNUMBER(R62)),VLOOKUP(ABS(R58-R62),'IMP Table'!$A$2:$C$26,3)*SIGN(R58-R62),0)</f>
        <v/>
      </c>
      <c r="AI58">
        <f>IF(AND(ISNUMBER(S58),ISNUMBER(S57)),VLOOKUP(ABS(S58-S57),'IMP Table'!$A$2:$C$26,3)*SIGN(S58-S57),0)</f>
        <v/>
      </c>
      <c r="AJ58">
        <f>IF(AND(ISNUMBER(S58),ISNUMBER(S59)),VLOOKUP(ABS(S58-S59),'IMP Table'!$A$2:$C$26,3)*SIGN(S58-S59),0)</f>
        <v/>
      </c>
      <c r="AK58">
        <f>IF(AND(ISNUMBER(S58),ISNUMBER(S60)),VLOOKUP(ABS(S58-S60),'IMP Table'!$A$2:$C$26,3)*SIGN(S58-S60),0)</f>
        <v/>
      </c>
      <c r="AL58">
        <f>IF(AND(ISNUMBER(S58),ISNUMBER(S61)),VLOOKUP(ABS(S58-S61),'IMP Table'!$A$2:$C$26,3)*SIGN(S58-S61),0)</f>
        <v/>
      </c>
      <c r="AM58">
        <f>IF(AND(ISNUMBER(S58),ISNUMBER(S62)),VLOOKUP(ABS(S58-S62),'IMP Table'!$A$2:$C$26,3)*SIGN(S58-S62),0)</f>
        <v/>
      </c>
    </row>
    <row r="59">
      <c r="B59">
        <f>'By Round'!A75</f>
        <v/>
      </c>
      <c r="C59">
        <f>'By Round'!B85</f>
        <v/>
      </c>
      <c r="D59">
        <f>'By Round'!C85</f>
        <v/>
      </c>
      <c r="E59">
        <f>'By Round'!D85</f>
        <v/>
      </c>
      <c r="F59" s="11" t="inlineStr">
        <is>
          <t>Both</t>
        </is>
      </c>
      <c r="G59">
        <f>IF(ISBLANK('By Round'!G85),"",'By Round'!G85)</f>
        <v/>
      </c>
      <c r="H59">
        <f>IF(ISBLANK('By Round'!H85),"",'By Round'!H85)</f>
        <v/>
      </c>
      <c r="I59">
        <f>IF(ISBLANK('By Round'!I85),"",'By Round'!I85)</f>
        <v/>
      </c>
      <c r="J59">
        <f>IF(ISBLANK('By Round'!J85),"",'By Round'!J85)</f>
        <v/>
      </c>
      <c r="K59">
        <f>IF(ISBLANK('By Round'!K85),"",'By Round'!K85)</f>
        <v/>
      </c>
      <c r="L59" s="12">
        <f>SUM(AD59:AH59)</f>
        <v/>
      </c>
      <c r="M59" s="13">
        <f>SUM(AI59:AM59)</f>
        <v/>
      </c>
      <c r="N59" s="8">
        <f>IF(COUNT(T59:X59)&gt;0,P59/COUNT(T59:X59),0.5)</f>
        <v/>
      </c>
      <c r="O59" s="8">
        <f>IF(COUNT(Y59:AC59)&gt;0,Q59/COUNT(Y59:AC59),0.5)</f>
        <v/>
      </c>
      <c r="P59" s="5">
        <f>SUM(T59:X59)</f>
        <v/>
      </c>
      <c r="Q59" s="5">
        <f>SUM(Y59:AC59)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IF(ISNUMBER(R59),IF(ISNUMBER(R57),IF(R59&gt;R57,1.0,IF(R59=R57,0.5,0.0)),""),"")</f>
        <v/>
      </c>
      <c r="U59">
        <f>IF(ISNUMBER(R59),IF(ISNUMBER(R58),IF(R59&gt;R58,1.0,IF(R59=R58,0.5,0.0)),""),"")</f>
        <v/>
      </c>
      <c r="V59">
        <f>IF(ISNUMBER(R59),IF(ISNUMBER(R60),IF(R59&gt;R60,1.0,IF(R59=R60,0.5,0.0)),""),"")</f>
        <v/>
      </c>
      <c r="W59">
        <f>IF(ISNUMBER(R59),IF(ISNUMBER(R61),IF(R59&gt;R61,1.0,IF(R59=R61,0.5,0.0)),""),"")</f>
        <v/>
      </c>
      <c r="X59">
        <f>IF(ISNUMBER(R59),IF(ISNUMBER(R62),IF(R59&gt;R62,1.0,IF(R59=R62,0.5,0.0)),""),"")</f>
        <v/>
      </c>
      <c r="Y59">
        <f>IF(ISNUMBER(S59),IF(ISNUMBER(S57),IF(S59&gt;S57,1.0,IF(S59=S57,0.5,0.0)),""),"")</f>
        <v/>
      </c>
      <c r="Z59">
        <f>IF(ISNUMBER(S59),IF(ISNUMBER(S58),IF(S59&gt;S58,1.0,IF(S59=S58,0.5,0.0)),""),"")</f>
        <v/>
      </c>
      <c r="AA59">
        <f>IF(ISNUMBER(S59),IF(ISNUMBER(S60),IF(S59&gt;S60,1.0,IF(S59=S60,0.5,0.0)),""),"")</f>
        <v/>
      </c>
      <c r="AB59">
        <f>IF(ISNUMBER(S59),IF(ISNUMBER(S61),IF(S59&gt;S61,1.0,IF(S59=S61,0.5,0.0)),""),"")</f>
        <v/>
      </c>
      <c r="AC59">
        <f>IF(ISNUMBER(S59),IF(ISNUMBER(S62),IF(S59&gt;S62,1.0,IF(S59=S62,0.5,0.0)),""),"")</f>
        <v/>
      </c>
      <c r="AD59" s="14">
        <f>IF(AND(ISNUMBER(R59),ISNUMBER(R57)),VLOOKUP(ABS(R59-R57),'IMP Table'!$A$2:$C$26,3)*SIGN(R59-R57),0)</f>
        <v/>
      </c>
      <c r="AE59">
        <f>IF(AND(ISNUMBER(R59),ISNUMBER(R58)),VLOOKUP(ABS(R59-R58),'IMP Table'!$A$2:$C$26,3)*SIGN(R59-R58),0)</f>
        <v/>
      </c>
      <c r="AF59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IF(AND(ISNUMBER(S59),ISNUMBER(S57)),VLOOKUP(ABS(S59-S57),'IMP Table'!$A$2:$C$26,3)*SIGN(S59-S57),0)</f>
        <v/>
      </c>
      <c r="AJ59">
        <f>IF(AND(ISNUMBER(S59),ISNUMBER(S58)),VLOOKUP(ABS(S59-S58),'IMP Table'!$A$2:$C$26,3)*SIGN(S59-S58),0)</f>
        <v/>
      </c>
      <c r="AK59">
        <f>IF(AND(ISNUMBER(S59),ISNUMBER(S60)),VLOOKUP(ABS(S59-S60),'IMP Table'!$A$2:$C$26,3)*SIGN(S59-S60),0)</f>
        <v/>
      </c>
      <c r="AL59">
        <f>IF(AND(ISNUMBER(S59),ISNUMBER(S61)),VLOOKUP(ABS(S59-S61),'IMP Table'!$A$2:$C$26,3)*SIGN(S59-S61),0)</f>
        <v/>
      </c>
      <c r="AM59">
        <f>IF(AND(ISNUMBER(S59),ISNUMBER(S62)),VLOOKUP(ABS(S59-S62),'IMP Table'!$A$2:$C$26,3)*SIGN(S59-S62),0)</f>
        <v/>
      </c>
    </row>
    <row r="60">
      <c r="B60">
        <f>'By Round'!A87</f>
        <v/>
      </c>
      <c r="C60">
        <f>'By Round'!B95</f>
        <v/>
      </c>
      <c r="D60">
        <f>'By Round'!C95</f>
        <v/>
      </c>
      <c r="E60">
        <f>'By Round'!D95</f>
        <v/>
      </c>
      <c r="F60" s="11" t="inlineStr">
        <is>
          <t>Both</t>
        </is>
      </c>
      <c r="G60">
        <f>IF(ISBLANK('By Round'!G95),"",'By Round'!G95)</f>
        <v/>
      </c>
      <c r="H60">
        <f>IF(ISBLANK('By Round'!H95),"",'By Round'!H95)</f>
        <v/>
      </c>
      <c r="I60">
        <f>IF(ISBLANK('By Round'!I95),"",'By Round'!I95)</f>
        <v/>
      </c>
      <c r="J60">
        <f>IF(ISBLANK('By Round'!J95),"",'By Round'!J95)</f>
        <v/>
      </c>
      <c r="K60">
        <f>IF(ISBLANK('By Round'!K95),"",'By Round'!K95)</f>
        <v/>
      </c>
      <c r="L60" s="12">
        <f>SUM(AD60:AH60)</f>
        <v/>
      </c>
      <c r="M60" s="13">
        <f>SUM(AI60:AM60)</f>
        <v/>
      </c>
      <c r="N60" s="8">
        <f>IF(COUNT(T60:X60)&gt;0,P60/COUNT(T60:X60),0.5)</f>
        <v/>
      </c>
      <c r="O60" s="8">
        <f>IF(COUNT(Y60:AC60)&gt;0,Q60/COUNT(Y60:AC60),0.5)</f>
        <v/>
      </c>
      <c r="P60" s="5">
        <f>SUM(T60:X60)</f>
        <v/>
      </c>
      <c r="Q60" s="5">
        <f>SUM(Y60:AC60)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IF(ISNUMBER(R60),IF(ISNUMBER(R57),IF(R60&gt;R57,1.0,IF(R60=R57,0.5,0.0)),""),"")</f>
        <v/>
      </c>
      <c r="U60">
        <f>IF(ISNUMBER(R60),IF(ISNUMBER(R58),IF(R60&gt;R58,1.0,IF(R60=R58,0.5,0.0)),""),"")</f>
        <v/>
      </c>
      <c r="V60">
        <f>IF(ISNUMBER(R60),IF(ISNUMBER(R59),IF(R60&gt;R59,1.0,IF(R60=R59,0.5,0.0)),""),"")</f>
        <v/>
      </c>
      <c r="W60">
        <f>IF(ISNUMBER(R60),IF(ISNUMBER(R61),IF(R60&gt;R61,1.0,IF(R60=R61,0.5,0.0)),""),"")</f>
        <v/>
      </c>
      <c r="X60">
        <f>IF(ISNUMBER(R60),IF(ISNUMBER(R62),IF(R60&gt;R62,1.0,IF(R60=R62,0.5,0.0)),""),"")</f>
        <v/>
      </c>
      <c r="Y60">
        <f>IF(ISNUMBER(S60),IF(ISNUMBER(S57),IF(S60&gt;S57,1.0,IF(S60=S57,0.5,0.0)),""),"")</f>
        <v/>
      </c>
      <c r="Z60">
        <f>IF(ISNUMBER(S60),IF(ISNUMBER(S58),IF(S60&gt;S58,1.0,IF(S60=S58,0.5,0.0)),""),"")</f>
        <v/>
      </c>
      <c r="AA60">
        <f>IF(ISNUMBER(S60),IF(ISNUMBER(S59),IF(S60&gt;S59,1.0,IF(S60=S59,0.5,0.0)),""),"")</f>
        <v/>
      </c>
      <c r="AB60">
        <f>IF(ISNUMBER(S60),IF(ISNUMBER(S61),IF(S60&gt;S61,1.0,IF(S60=S61,0.5,0.0)),""),"")</f>
        <v/>
      </c>
      <c r="AC60">
        <f>IF(ISNUMBER(S60),IF(ISNUMBER(S62),IF(S60&gt;S62,1.0,IF(S60=S62,0.5,0.0)),""),"")</f>
        <v/>
      </c>
      <c r="AD60" s="14">
        <f>IF(AND(ISNUMBER(R60),ISNUMBER(R57)),VLOOKUP(ABS(R60-R57),'IMP Table'!$A$2:$C$26,3)*SIGN(R60-R57),0)</f>
        <v/>
      </c>
      <c r="AE60">
        <f>IF(AND(ISNUMBER(R60),ISNUMBER(R58)),VLOOKUP(ABS(R60-R58),'IMP Table'!$A$2:$C$26,3)*SIGN(R60-R58),0)</f>
        <v/>
      </c>
      <c r="AF60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IF(AND(ISNUMBER(S60),ISNUMBER(S57)),VLOOKUP(ABS(S60-S57),'IMP Table'!$A$2:$C$26,3)*SIGN(S60-S57),0)</f>
        <v/>
      </c>
      <c r="AJ60">
        <f>IF(AND(ISNUMBER(S60),ISNUMBER(S58)),VLOOKUP(ABS(S60-S58),'IMP Table'!$A$2:$C$26,3)*SIGN(S60-S58),0)</f>
        <v/>
      </c>
      <c r="AK60">
        <f>IF(AND(ISNUMBER(S60),ISNUMBER(S59)),VLOOKUP(ABS(S60-S59),'IMP Table'!$A$2:$C$26,3)*SIGN(S60-S59),0)</f>
        <v/>
      </c>
      <c r="AL60">
        <f>IF(AND(ISNUMBER(S60),ISNUMBER(S61)),VLOOKUP(ABS(S60-S61),'IMP Table'!$A$2:$C$26,3)*SIGN(S60-S61),0)</f>
        <v/>
      </c>
      <c r="AM60">
        <f>IF(AND(ISNUMBER(S60),ISNUMBER(S62)),VLOOKUP(ABS(S60-S62),'IMP Table'!$A$2:$C$26,3)*SIGN(S60-S62),0)</f>
        <v/>
      </c>
    </row>
    <row r="61">
      <c r="B61">
        <f>'By Round'!A99</f>
        <v/>
      </c>
      <c r="C61">
        <f>'By Round'!B105</f>
        <v/>
      </c>
      <c r="D61">
        <f>'By Round'!C105</f>
        <v/>
      </c>
      <c r="E61">
        <f>'By Round'!D105</f>
        <v/>
      </c>
      <c r="F61" s="11" t="inlineStr">
        <is>
          <t>Both</t>
        </is>
      </c>
      <c r="G61">
        <f>IF(ISBLANK('By Round'!G105),"",'By Round'!G105)</f>
        <v/>
      </c>
      <c r="H61">
        <f>IF(ISBLANK('By Round'!H105),"",'By Round'!H105)</f>
        <v/>
      </c>
      <c r="I61">
        <f>IF(ISBLANK('By Round'!I105),"",'By Round'!I105)</f>
        <v/>
      </c>
      <c r="J61">
        <f>IF(ISBLANK('By Round'!J105),"",'By Round'!J105)</f>
        <v/>
      </c>
      <c r="K61">
        <f>IF(ISBLANK('By Round'!K105),"",'By Round'!K105)</f>
        <v/>
      </c>
      <c r="L61" s="12">
        <f>SUM(AD61:AH61)</f>
        <v/>
      </c>
      <c r="M61" s="13">
        <f>SUM(AI61:AM61)</f>
        <v/>
      </c>
      <c r="N61" s="8">
        <f>IF(COUNT(T61:X61)&gt;0,P61/COUNT(T61:X61),0.5)</f>
        <v/>
      </c>
      <c r="O61" s="8">
        <f>IF(COUNT(Y61:AC61)&gt;0,Q61/COUNT(Y61:AC61),0.5)</f>
        <v/>
      </c>
      <c r="P61" s="5">
        <f>SUM(T61:X61)</f>
        <v/>
      </c>
      <c r="Q61" s="5">
        <f>SUM(Y61:AC61)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IF(ISNUMBER(R61),IF(ISNUMBER(R57),IF(R61&gt;R57,1.0,IF(R61=R57,0.5,0.0)),""),"")</f>
        <v/>
      </c>
      <c r="U61">
        <f>IF(ISNUMBER(R61),IF(ISNUMBER(R58),IF(R61&gt;R58,1.0,IF(R61=R58,0.5,0.0)),""),"")</f>
        <v/>
      </c>
      <c r="V61">
        <f>IF(ISNUMBER(R61),IF(ISNUMBER(R59),IF(R61&gt;R59,1.0,IF(R61=R59,0.5,0.0)),""),"")</f>
        <v/>
      </c>
      <c r="W61">
        <f>IF(ISNUMBER(R61),IF(ISNUMBER(R60),IF(R61&gt;R60,1.0,IF(R61=R60,0.5,0.0)),""),"")</f>
        <v/>
      </c>
      <c r="X61">
        <f>IF(ISNUMBER(R61),IF(ISNUMBER(R62),IF(R61&gt;R62,1.0,IF(R61=R62,0.5,0.0)),""),"")</f>
        <v/>
      </c>
      <c r="Y61">
        <f>IF(ISNUMBER(S61),IF(ISNUMBER(S57),IF(S61&gt;S57,1.0,IF(S61=S57,0.5,0.0)),""),"")</f>
        <v/>
      </c>
      <c r="Z61">
        <f>IF(ISNUMBER(S61),IF(ISNUMBER(S58),IF(S61&gt;S58,1.0,IF(S61=S58,0.5,0.0)),""),"")</f>
        <v/>
      </c>
      <c r="AA61">
        <f>IF(ISNUMBER(S61),IF(ISNUMBER(S59),IF(S61&gt;S59,1.0,IF(S61=S59,0.5,0.0)),""),"")</f>
        <v/>
      </c>
      <c r="AB61">
        <f>IF(ISNUMBER(S61),IF(ISNUMBER(S60),IF(S61&gt;S60,1.0,IF(S61=S60,0.5,0.0)),""),"")</f>
        <v/>
      </c>
      <c r="AC61">
        <f>IF(ISNUMBER(S61),IF(ISNUMBER(S62),IF(S61&gt;S62,1.0,IF(S61=S62,0.5,0.0)),""),"")</f>
        <v/>
      </c>
      <c r="AD61" s="14">
        <f>IF(AND(ISNUMBER(R61),ISNUMBER(R57)),VLOOKUP(ABS(R61-R57),'IMP Table'!$A$2:$C$26,3)*SIGN(R61-R57),0)</f>
        <v/>
      </c>
      <c r="AE61">
        <f>IF(AND(ISNUMBER(R61),ISNUMBER(R58)),VLOOKUP(ABS(R61-R58),'IMP Table'!$A$2:$C$26,3)*SIGN(R61-R58),0)</f>
        <v/>
      </c>
      <c r="AF61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IF(AND(ISNUMBER(S61),ISNUMBER(S57)),VLOOKUP(ABS(S61-S57),'IMP Table'!$A$2:$C$26,3)*SIGN(S61-S57),0)</f>
        <v/>
      </c>
      <c r="AJ61">
        <f>IF(AND(ISNUMBER(S61),ISNUMBER(S58)),VLOOKUP(ABS(S61-S58),'IMP Table'!$A$2:$C$26,3)*SIGN(S61-S58),0)</f>
        <v/>
      </c>
      <c r="AK61">
        <f>IF(AND(ISNUMBER(S61),ISNUMBER(S59)),VLOOKUP(ABS(S61-S59),'IMP Table'!$A$2:$C$26,3)*SIGN(S61-S59),0)</f>
        <v/>
      </c>
      <c r="AL61">
        <f>IF(AND(ISNUMBER(S61),ISNUMBER(S60)),VLOOKUP(ABS(S61-S60),'IMP Table'!$A$2:$C$26,3)*SIGN(S61-S60),0)</f>
        <v/>
      </c>
      <c r="AM61">
        <f>IF(AND(ISNUMBER(S61),ISNUMBER(S62)),VLOOKUP(ABS(S61-S62),'IMP Table'!$A$2:$C$26,3)*SIGN(S61-S62),0)</f>
        <v/>
      </c>
    </row>
    <row r="62">
      <c r="A62" s="15" t="n"/>
      <c r="B62" s="15">
        <f>'By Round'!A123</f>
        <v/>
      </c>
      <c r="C62" s="15">
        <f>'By Round'!B127</f>
        <v/>
      </c>
      <c r="D62" s="15">
        <f>'By Round'!C127</f>
        <v/>
      </c>
      <c r="E62" s="15">
        <f>'By Round'!D127</f>
        <v/>
      </c>
      <c r="F62" s="16" t="inlineStr">
        <is>
          <t>Both</t>
        </is>
      </c>
      <c r="G62" s="15">
        <f>IF(ISBLANK('By Round'!G127),"",'By Round'!G127)</f>
        <v/>
      </c>
      <c r="H62" s="15">
        <f>IF(ISBLANK('By Round'!H127),"",'By Round'!H127)</f>
        <v/>
      </c>
      <c r="I62" s="15">
        <f>IF(ISBLANK('By Round'!I127),"",'By Round'!I127)</f>
        <v/>
      </c>
      <c r="J62" s="15">
        <f>IF(ISBLANK('By Round'!J127),"",'By Round'!J127)</f>
        <v/>
      </c>
      <c r="K62" s="15">
        <f>IF(ISBLANK('By Round'!K127),"",'By Round'!K127)</f>
        <v/>
      </c>
      <c r="L62" s="17">
        <f>SUM(AD62:AH62)</f>
        <v/>
      </c>
      <c r="M62" s="18">
        <f>SUM(AI62:AM62)</f>
        <v/>
      </c>
      <c r="N62" s="19">
        <f>IF(COUNT(T62:X62)&gt;0,P62/COUNT(T62:X62),0.5)</f>
        <v/>
      </c>
      <c r="O62" s="19">
        <f>IF(COUNT(Y62:AC62)&gt;0,Q62/COUNT(Y62:AC62),0.5)</f>
        <v/>
      </c>
      <c r="P62" s="20">
        <f>SUM(T62:X62)</f>
        <v/>
      </c>
      <c r="Q62" s="20">
        <f>SUM(Y62:AC62)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IF(ISNUMBER(R62),IF(ISNUMBER(R57),IF(R62&gt;R57,1.0,IF(R62=R57,0.5,0.0)),""),"")</f>
        <v/>
      </c>
      <c r="U62" s="15">
        <f>IF(ISNUMBER(R62),IF(ISNUMBER(R58),IF(R62&gt;R58,1.0,IF(R62=R58,0.5,0.0)),""),"")</f>
        <v/>
      </c>
      <c r="V62" s="15">
        <f>IF(ISNUMBER(R62),IF(ISNUMBER(R59),IF(R62&gt;R59,1.0,IF(R62=R59,0.5,0.0)),""),"")</f>
        <v/>
      </c>
      <c r="W62" s="15">
        <f>IF(ISNUMBER(R62),IF(ISNUMBER(R60),IF(R62&gt;R60,1.0,IF(R62=R60,0.5,0.0)),""),"")</f>
        <v/>
      </c>
      <c r="X62" s="15">
        <f>IF(ISNUMBER(R62),IF(ISNUMBER(R61),IF(R62&gt;R61,1.0,IF(R62=R61,0.5,0.0)),""),"")</f>
        <v/>
      </c>
      <c r="Y62" s="15">
        <f>IF(ISNUMBER(S62),IF(ISNUMBER(S57),IF(S62&gt;S57,1.0,IF(S62=S57,0.5,0.0)),""),"")</f>
        <v/>
      </c>
      <c r="Z62" s="15">
        <f>IF(ISNUMBER(S62),IF(ISNUMBER(S58),IF(S62&gt;S58,1.0,IF(S62=S58,0.5,0.0)),""),"")</f>
        <v/>
      </c>
      <c r="AA62" s="15">
        <f>IF(ISNUMBER(S62),IF(ISNUMBER(S59),IF(S62&gt;S59,1.0,IF(S62=S59,0.5,0.0)),""),"")</f>
        <v/>
      </c>
      <c r="AB62" s="15">
        <f>IF(ISNUMBER(S62),IF(ISNUMBER(S60),IF(S62&gt;S60,1.0,IF(S62=S60,0.5,0.0)),""),"")</f>
        <v/>
      </c>
      <c r="AC62" s="15">
        <f>IF(ISNUMBER(S62),IF(ISNUMBER(S61),IF(S62&gt;S61,1.0,IF(S62=S61,0.5,0.0)),""),"")</f>
        <v/>
      </c>
      <c r="AD62" s="21">
        <f>IF(AND(ISNUMBER(R62),ISNUMBER(R57)),VLOOKUP(ABS(R62-R57),'IMP Table'!$A$2:$C$26,3)*SIGN(R62-R57),0)</f>
        <v/>
      </c>
      <c r="AE62" s="15">
        <f>IF(AND(ISNUMBER(R62),ISNUMBER(R58)),VLOOKUP(ABS(R62-R58),'IMP Table'!$A$2:$C$26,3)*SIGN(R62-R58),0)</f>
        <v/>
      </c>
      <c r="AF62" s="15">
        <f>IF(AND(ISNUMBER(R62),ISNUMBER(R59)),VLOOKUP(ABS(R62-R59),'IMP Table'!$A$2:$C$26,3)*SIGN(R62-R59),0)</f>
        <v/>
      </c>
      <c r="AG62" s="15">
        <f>IF(AND(ISNUMBER(R62),ISNUMBER(R60)),VLOOKUP(ABS(R62-R60),'IMP Table'!$A$2:$C$26,3)*SIGN(R62-R60),0)</f>
        <v/>
      </c>
      <c r="AH62" s="15">
        <f>IF(AND(ISNUMBER(R62),ISNUMBER(R61)),VLOOKUP(ABS(R62-R61),'IMP Table'!$A$2:$C$26,3)*SIGN(R62-R61),0)</f>
        <v/>
      </c>
      <c r="AI62" s="15">
        <f>IF(AND(ISNUMBER(S62),ISNUMBER(S57)),VLOOKUP(ABS(S62-S57),'IMP Table'!$A$2:$C$26,3)*SIGN(S62-S57),0)</f>
        <v/>
      </c>
      <c r="AJ62" s="15">
        <f>IF(AND(ISNUMBER(S62),ISNUMBER(S58)),VLOOKUP(ABS(S62-S58),'IMP Table'!$A$2:$C$26,3)*SIGN(S62-S58),0)</f>
        <v/>
      </c>
      <c r="AK62" s="15">
        <f>IF(AND(ISNUMBER(S62),ISNUMBER(S59)),VLOOKUP(ABS(S62-S59),'IMP Table'!$A$2:$C$26,3)*SIGN(S62-S59),0)</f>
        <v/>
      </c>
      <c r="AL62" s="15">
        <f>IF(AND(ISNUMBER(S62),ISNUMBER(S60)),VLOOKUP(ABS(S62-S60),'IMP Table'!$A$2:$C$26,3)*SIGN(S62-S60),0)</f>
        <v/>
      </c>
      <c r="AM62" s="15">
        <f>IF(AND(ISNUMBER(S62),ISNUMBER(S61)),VLOOKUP(ABS(S62-S61),'IMP Table'!$A$2:$C$26,3)*SIGN(S62-S61),0)</f>
        <v/>
      </c>
    </row>
    <row r="63">
      <c r="A63" t="n">
        <v>11</v>
      </c>
      <c r="B63">
        <f>'By Round'!A3</f>
        <v/>
      </c>
      <c r="C63">
        <f>'By Round'!B7</f>
        <v/>
      </c>
      <c r="D63">
        <f>'By Round'!C7</f>
        <v/>
      </c>
      <c r="E63">
        <f>'By Round'!D7</f>
        <v/>
      </c>
      <c r="F63" s="11" t="inlineStr">
        <is>
          <t>None</t>
        </is>
      </c>
      <c r="G63">
        <f>IF(ISBLANK('By Round'!G7),"",'By Round'!G7)</f>
        <v/>
      </c>
      <c r="H63">
        <f>IF(ISBLANK('By Round'!H7),"",'By Round'!H7)</f>
        <v/>
      </c>
      <c r="I63">
        <f>IF(ISBLANK('By Round'!I7),"",'By Round'!I7)</f>
        <v/>
      </c>
      <c r="J63">
        <f>IF(ISBLANK('By Round'!J7),"",'By Round'!J7)</f>
        <v/>
      </c>
      <c r="K63">
        <f>IF(ISBLANK('By Round'!K7),"",'By Round'!K7)</f>
        <v/>
      </c>
      <c r="L63" s="12">
        <f>SUM(AD63:AH63)</f>
        <v/>
      </c>
      <c r="M63" s="13">
        <f>SUM(AI63:AM63)</f>
        <v/>
      </c>
      <c r="N63" s="8">
        <f>IF(COUNT(T63:X63)&gt;0,P63/COUNT(T63:X63),0.5)</f>
        <v/>
      </c>
      <c r="O63" s="8">
        <f>IF(COUNT(Y63:AC63)&gt;0,Q63/COUNT(Y63:AC63),0.5)</f>
        <v/>
      </c>
      <c r="P63" s="5">
        <f>SUM(T63:X63)</f>
        <v/>
      </c>
      <c r="Q63" s="5">
        <f>SUM(Y63:AC63)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IF(ISNUMBER(R63),IF(ISNUMBER(R68),IF(R63&gt;R68,1.0,IF(R63=R68,0.5,0.0)),""),"")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IF(ISNUMBER(S63),IF(ISNUMBER(S66),IF(S63&gt;S66,1.0,IF(S63=S66,0.5,0.0)),""),"")</f>
        <v/>
      </c>
      <c r="AB63">
        <f>IF(ISNUMBER(S63),IF(ISNUMBER(S67),IF(S63&gt;S67,1.0,IF(S63=S67,0.5,0.0)),""),"")</f>
        <v/>
      </c>
      <c r="AC63">
        <f>IF(ISNUMBER(S63),IF(ISNUMBER(S68),IF(S63&gt;S68,1.0,IF(S63=S68,0.5,0.0)),""),"")</f>
        <v/>
      </c>
      <c r="AD63" s="14">
        <f>IF(AND(ISNUMBER(R63),ISNUMBER(R64)),VLOOKUP(ABS(R63-R64),'IMP Table'!$A$2:$C$26,3)*SIGN(R63-R64),0)</f>
        <v/>
      </c>
      <c r="AE63">
        <f>IF(AND(ISNUMBER(R63),ISNUMBER(R65)),VLOOKUP(ABS(R63-R65),'IMP Table'!$A$2:$C$26,3)*SIGN(R63-R65),0)</f>
        <v/>
      </c>
      <c r="AF63">
        <f>IF(AND(ISNUMBER(R63),ISNUMBER(R66)),VLOOKUP(ABS(R63-R66),'IMP Table'!$A$2:$C$26,3)*SIGN(R63-R66),0)</f>
        <v/>
      </c>
      <c r="AG63">
        <f>IF(AND(ISNUMBER(R63),ISNUMBER(R67)),VLOOKUP(ABS(R63-R67),'IMP Table'!$A$2:$C$26,3)*SIGN(R63-R67),0)</f>
        <v/>
      </c>
      <c r="AH63">
        <f>IF(AND(ISNUMBER(R63),ISNUMBER(R68)),VLOOKUP(ABS(R63-R68),'IMP Table'!$A$2:$C$26,3)*SIGN(R63-R68),0)</f>
        <v/>
      </c>
      <c r="AI63">
        <f>IF(AND(ISNUMBER(S63),ISNUMBER(S64)),VLOOKUP(ABS(S63-S64),'IMP Table'!$A$2:$C$26,3)*SIGN(S63-S64),0)</f>
        <v/>
      </c>
      <c r="AJ63">
        <f>IF(AND(ISNUMBER(S63),ISNUMBER(S65)),VLOOKUP(ABS(S63-S65),'IMP Table'!$A$2:$C$26,3)*SIGN(S63-S65),0)</f>
        <v/>
      </c>
      <c r="AK63">
        <f>IF(AND(ISNUMBER(S63),ISNUMBER(S66)),VLOOKUP(ABS(S63-S66),'IMP Table'!$A$2:$C$26,3)*SIGN(S63-S66),0)</f>
        <v/>
      </c>
      <c r="AL63">
        <f>IF(AND(ISNUMBER(S63),ISNUMBER(S67)),VLOOKUP(ABS(S63-S67),'IMP Table'!$A$2:$C$26,3)*SIGN(S63-S67),0)</f>
        <v/>
      </c>
      <c r="AM63">
        <f>IF(AND(ISNUMBER(S63),ISNUMBER(S68)),VLOOKUP(ABS(S63-S68),'IMP Table'!$A$2:$C$26,3)*SIGN(S63-S68),0)</f>
        <v/>
      </c>
    </row>
    <row r="64">
      <c r="B64">
        <f>'By Round'!A15</f>
        <v/>
      </c>
      <c r="C64">
        <f>'By Round'!B17</f>
        <v/>
      </c>
      <c r="D64">
        <f>'By Round'!C17</f>
        <v/>
      </c>
      <c r="E64">
        <f>'By Round'!D17</f>
        <v/>
      </c>
      <c r="F64" s="11" t="inlineStr">
        <is>
          <t>None</t>
        </is>
      </c>
      <c r="G64">
        <f>IF(ISBLANK('By Round'!G17),"",'By Round'!G17)</f>
        <v/>
      </c>
      <c r="H64">
        <f>IF(ISBLANK('By Round'!H17),"",'By Round'!H17)</f>
        <v/>
      </c>
      <c r="I64">
        <f>IF(ISBLANK('By Round'!I17),"",'By Round'!I17)</f>
        <v/>
      </c>
      <c r="J64">
        <f>IF(ISBLANK('By Round'!J17),"",'By Round'!J17)</f>
        <v/>
      </c>
      <c r="K64">
        <f>IF(ISBLANK('By Round'!K17),"",'By Round'!K17)</f>
        <v/>
      </c>
      <c r="L64" s="12">
        <f>SUM(AD64:AH64)</f>
        <v/>
      </c>
      <c r="M64" s="13">
        <f>SUM(AI64:AM64)</f>
        <v/>
      </c>
      <c r="N64" s="8">
        <f>IF(COUNT(T64:X64)&gt;0,P64/COUNT(T64:X64),0.5)</f>
        <v/>
      </c>
      <c r="O64" s="8">
        <f>IF(COUNT(Y64:AC64)&gt;0,Q64/COUNT(Y64:AC64),0.5)</f>
        <v/>
      </c>
      <c r="P64" s="5">
        <f>SUM(T64:X64)</f>
        <v/>
      </c>
      <c r="Q64" s="5">
        <f>SUM(Y64:AC64)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IF(ISNUMBER(R64),IF(ISNUMBER(R68),IF(R64&gt;R68,1.0,IF(R64=R68,0.5,0.0)),""),"")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IF(ISNUMBER(S64),IF(ISNUMBER(S66),IF(S64&gt;S66,1.0,IF(S64=S66,0.5,0.0)),""),"")</f>
        <v/>
      </c>
      <c r="AB64">
        <f>IF(ISNUMBER(S64),IF(ISNUMBER(S67),IF(S64&gt;S67,1.0,IF(S64=S67,0.5,0.0)),""),"")</f>
        <v/>
      </c>
      <c r="AC64">
        <f>IF(ISNUMBER(S64),IF(ISNUMBER(S68),IF(S64&gt;S68,1.0,IF(S64=S68,0.5,0.0)),""),"")</f>
        <v/>
      </c>
      <c r="AD64" s="14">
        <f>IF(AND(ISNUMBER(R64),ISNUMBER(R63)),VLOOKUP(ABS(R64-R63),'IMP Table'!$A$2:$C$26,3)*SIGN(R64-R63),0)</f>
        <v/>
      </c>
      <c r="AE64">
        <f>IF(AND(ISNUMBER(R64),ISNUMBER(R65)),VLOOKUP(ABS(R64-R65),'IMP Table'!$A$2:$C$26,3)*SIGN(R64-R65),0)</f>
        <v/>
      </c>
      <c r="AF64">
        <f>IF(AND(ISNUMBER(R64),ISNUMBER(R66)),VLOOKUP(ABS(R64-R66),'IMP Table'!$A$2:$C$26,3)*SIGN(R64-R66),0)</f>
        <v/>
      </c>
      <c r="AG64">
        <f>IF(AND(ISNUMBER(R64),ISNUMBER(R67)),VLOOKUP(ABS(R64-R67),'IMP Table'!$A$2:$C$26,3)*SIGN(R64-R67),0)</f>
        <v/>
      </c>
      <c r="AH64">
        <f>IF(AND(ISNUMBER(R64),ISNUMBER(R68)),VLOOKUP(ABS(R64-R68),'IMP Table'!$A$2:$C$26,3)*SIGN(R64-R68),0)</f>
        <v/>
      </c>
      <c r="AI64">
        <f>IF(AND(ISNUMBER(S64),ISNUMBER(S63)),VLOOKUP(ABS(S64-S63),'IMP Table'!$A$2:$C$26,3)*SIGN(S64-S63),0)</f>
        <v/>
      </c>
      <c r="AJ64">
        <f>IF(AND(ISNUMBER(S64),ISNUMBER(S65)),VLOOKUP(ABS(S64-S65),'IMP Table'!$A$2:$C$26,3)*SIGN(S64-S65),0)</f>
        <v/>
      </c>
      <c r="AK64">
        <f>IF(AND(ISNUMBER(S64),ISNUMBER(S66)),VLOOKUP(ABS(S64-S66),'IMP Table'!$A$2:$C$26,3)*SIGN(S64-S66),0)</f>
        <v/>
      </c>
      <c r="AL64">
        <f>IF(AND(ISNUMBER(S64),ISNUMBER(S67)),VLOOKUP(ABS(S64-S67),'IMP Table'!$A$2:$C$26,3)*SIGN(S64-S67),0)</f>
        <v/>
      </c>
      <c r="AM64">
        <f>IF(AND(ISNUMBER(S64),ISNUMBER(S68)),VLOOKUP(ABS(S64-S68),'IMP Table'!$A$2:$C$26,3)*SIGN(S64-S68),0)</f>
        <v/>
      </c>
    </row>
    <row r="65">
      <c r="B65">
        <f>'By Round'!A63</f>
        <v/>
      </c>
      <c r="C65">
        <f>'By Round'!B63</f>
        <v/>
      </c>
      <c r="D65">
        <f>'By Round'!C63</f>
        <v/>
      </c>
      <c r="E65">
        <f>'By Round'!D63</f>
        <v/>
      </c>
      <c r="F65" s="11" t="inlineStr">
        <is>
          <t>None</t>
        </is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2">
        <f>SUM(AD65:AH65)</f>
        <v/>
      </c>
      <c r="M65" s="13">
        <f>SUM(AI65:AM65)</f>
        <v/>
      </c>
      <c r="N65" s="8">
        <f>IF(COUNT(T65:X65)&gt;0,P65/COUNT(T65:X65),0.5)</f>
        <v/>
      </c>
      <c r="O65" s="8">
        <f>IF(COUNT(Y65:AC65)&gt;0,Q65/COUNT(Y65:AC65),0.5)</f>
        <v/>
      </c>
      <c r="P65" s="5">
        <f>SUM(T65:X65)</f>
        <v/>
      </c>
      <c r="Q65" s="5">
        <f>SUM(Y65:AC65)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IF(ISNUMBER(R65),IF(ISNUMBER(R68),IF(R65&gt;R68,1.0,IF(R65=R68,0.5,0.0)),""),"")</f>
        <v/>
      </c>
      <c r="Y65">
        <f>IF(ISNUMBER(S65),IF(ISNUMBER(S63),IF(S65&gt;S63,1.0,IF(S65=S63,0.5,0.0)),""),"")</f>
        <v/>
      </c>
      <c r="Z65">
        <f>IF(ISNUMBER(S65),IF(ISNUMBER(S64),IF(S65&gt;S64,1.0,IF(S65=S64,0.5,0.0)),""),"")</f>
        <v/>
      </c>
      <c r="AA65">
        <f>IF(ISNUMBER(S65),IF(ISNUMBER(S66),IF(S65&gt;S66,1.0,IF(S65=S66,0.5,0.0)),""),"")</f>
        <v/>
      </c>
      <c r="AB65">
        <f>IF(ISNUMBER(S65),IF(ISNUMBER(S67),IF(S65&gt;S67,1.0,IF(S65=S67,0.5,0.0)),""),"")</f>
        <v/>
      </c>
      <c r="AC65">
        <f>IF(ISNUMBER(S65),IF(ISNUMBER(S68),IF(S65&gt;S68,1.0,IF(S65=S68,0.5,0.0)),""),"")</f>
        <v/>
      </c>
      <c r="AD65" s="14">
        <f>IF(AND(ISNUMBER(R65),ISNUMBER(R63)),VLOOKUP(ABS(R65-R63),'IMP Table'!$A$2:$C$26,3)*SIGN(R65-R63),0)</f>
        <v/>
      </c>
      <c r="AE65">
        <f>IF(AND(ISNUMBER(R65),ISNUMBER(R64)),VLOOKUP(ABS(R65-R64),'IMP Table'!$A$2:$C$26,3)*SIGN(R65-R64),0)</f>
        <v/>
      </c>
      <c r="AF65">
        <f>IF(AND(ISNUMBER(R65),ISNUMBER(R66)),VLOOKUP(ABS(R65-R66),'IMP Table'!$A$2:$C$26,3)*SIGN(R65-R66),0)</f>
        <v/>
      </c>
      <c r="AG65">
        <f>IF(AND(ISNUMBER(R65),ISNUMBER(R67)),VLOOKUP(ABS(R65-R67),'IMP Table'!$A$2:$C$26,3)*SIGN(R65-R67),0)</f>
        <v/>
      </c>
      <c r="AH65">
        <f>IF(AND(ISNUMBER(R65),ISNUMBER(R68)),VLOOKUP(ABS(R65-R68),'IMP Table'!$A$2:$C$26,3)*SIGN(R65-R68),0)</f>
        <v/>
      </c>
      <c r="AI65">
        <f>IF(AND(ISNUMBER(S65),ISNUMBER(S63)),VLOOKUP(ABS(S65-S63),'IMP Table'!$A$2:$C$26,3)*SIGN(S65-S63),0)</f>
        <v/>
      </c>
      <c r="AJ65">
        <f>IF(AND(ISNUMBER(S65),ISNUMBER(S64)),VLOOKUP(ABS(S65-S64),'IMP Table'!$A$2:$C$26,3)*SIGN(S65-S64),0)</f>
        <v/>
      </c>
      <c r="AK65">
        <f>IF(AND(ISNUMBER(S65),ISNUMBER(S66)),VLOOKUP(ABS(S65-S66),'IMP Table'!$A$2:$C$26,3)*SIGN(S65-S66),0)</f>
        <v/>
      </c>
      <c r="AL65">
        <f>IF(AND(ISNUMBER(S65),ISNUMBER(S67)),VLOOKUP(ABS(S65-S67),'IMP Table'!$A$2:$C$26,3)*SIGN(S65-S67),0)</f>
        <v/>
      </c>
      <c r="AM65">
        <f>IF(AND(ISNUMBER(S65),ISNUMBER(S68)),VLOOKUP(ABS(S65-S68),'IMP Table'!$A$2:$C$26,3)*SIGN(S65-S68),0)</f>
        <v/>
      </c>
    </row>
    <row r="66">
      <c r="B66">
        <f>'By Round'!A87</f>
        <v/>
      </c>
      <c r="C66">
        <f>'By Round'!B97</f>
        <v/>
      </c>
      <c r="D66">
        <f>'By Round'!C97</f>
        <v/>
      </c>
      <c r="E66">
        <f>'By Round'!D97</f>
        <v/>
      </c>
      <c r="F66" s="11" t="inlineStr">
        <is>
          <t>None</t>
        </is>
      </c>
      <c r="G66">
        <f>IF(ISBLANK('By Round'!G97),"",'By Round'!G97)</f>
        <v/>
      </c>
      <c r="H66">
        <f>IF(ISBLANK('By Round'!H97),"",'By Round'!H97)</f>
        <v/>
      </c>
      <c r="I66">
        <f>IF(ISBLANK('By Round'!I97),"",'By Round'!I97)</f>
        <v/>
      </c>
      <c r="J66">
        <f>IF(ISBLANK('By Round'!J97),"",'By Round'!J97)</f>
        <v/>
      </c>
      <c r="K66">
        <f>IF(ISBLANK('By Round'!K97),"",'By Round'!K97)</f>
        <v/>
      </c>
      <c r="L66" s="12">
        <f>SUM(AD66:AH66)</f>
        <v/>
      </c>
      <c r="M66" s="13">
        <f>SUM(AI66:AM66)</f>
        <v/>
      </c>
      <c r="N66" s="8">
        <f>IF(COUNT(T66:X66)&gt;0,P66/COUNT(T66:X66),0.5)</f>
        <v/>
      </c>
      <c r="O66" s="8">
        <f>IF(COUNT(Y66:AC66)&gt;0,Q66/COUNT(Y66:AC66),0.5)</f>
        <v/>
      </c>
      <c r="P66" s="5">
        <f>SUM(T66:X66)</f>
        <v/>
      </c>
      <c r="Q66" s="5">
        <f>SUM(Y66:AC66)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IF(ISNUMBER(R66),IF(ISNUMBER(R68),IF(R66&gt;R68,1.0,IF(R66=R68,0.5,0.0)),""),"")</f>
        <v/>
      </c>
      <c r="Y66">
        <f>IF(ISNUMBER(S66),IF(ISNUMBER(S63),IF(S66&gt;S63,1.0,IF(S66=S63,0.5,0.0)),""),"")</f>
        <v/>
      </c>
      <c r="Z66">
        <f>IF(ISNUMBER(S66),IF(ISNUMBER(S64),IF(S66&gt;S64,1.0,IF(S66=S64,0.5,0.0)),""),"")</f>
        <v/>
      </c>
      <c r="AA66">
        <f>IF(ISNUMBER(S66),IF(ISNUMBER(S65),IF(S66&gt;S65,1.0,IF(S66=S65,0.5,0.0)),""),"")</f>
        <v/>
      </c>
      <c r="AB66">
        <f>IF(ISNUMBER(S66),IF(ISNUMBER(S67),IF(S66&gt;S67,1.0,IF(S66=S67,0.5,0.0)),""),"")</f>
        <v/>
      </c>
      <c r="AC66">
        <f>IF(ISNUMBER(S66),IF(ISNUMBER(S68),IF(S66&gt;S68,1.0,IF(S66=S68,0.5,0.0)),""),"")</f>
        <v/>
      </c>
      <c r="AD66" s="14">
        <f>IF(AND(ISNUMBER(R66),ISNUMBER(R63)),VLOOKUP(ABS(R66-R63),'IMP Table'!$A$2:$C$26,3)*SIGN(R66-R63),0)</f>
        <v/>
      </c>
      <c r="AE66">
        <f>IF(AND(ISNUMBER(R66),ISNUMBER(R64)),VLOOKUP(ABS(R66-R64),'IMP Table'!$A$2:$C$26,3)*SIGN(R66-R64),0)</f>
        <v/>
      </c>
      <c r="AF66">
        <f>IF(AND(ISNUMBER(R66),ISNUMBER(R65)),VLOOKUP(ABS(R66-R65),'IMP Table'!$A$2:$C$26,3)*SIGN(R66-R65),0)</f>
        <v/>
      </c>
      <c r="AG66">
        <f>IF(AND(ISNUMBER(R66),ISNUMBER(R67)),VLOOKUP(ABS(R66-R67),'IMP Table'!$A$2:$C$26,3)*SIGN(R66-R67),0)</f>
        <v/>
      </c>
      <c r="AH66">
        <f>IF(AND(ISNUMBER(R66),ISNUMBER(R68)),VLOOKUP(ABS(R66-R68),'IMP Table'!$A$2:$C$26,3)*SIGN(R66-R68),0)</f>
        <v/>
      </c>
      <c r="AI66">
        <f>IF(AND(ISNUMBER(S66),ISNUMBER(S63)),VLOOKUP(ABS(S66-S63),'IMP Table'!$A$2:$C$26,3)*SIGN(S66-S63),0)</f>
        <v/>
      </c>
      <c r="AJ66">
        <f>IF(AND(ISNUMBER(S66),ISNUMBER(S64)),VLOOKUP(ABS(S66-S64),'IMP Table'!$A$2:$C$26,3)*SIGN(S66-S64),0)</f>
        <v/>
      </c>
      <c r="AK66">
        <f>IF(AND(ISNUMBER(S66),ISNUMBER(S65)),VLOOKUP(ABS(S66-S65),'IMP Table'!$A$2:$C$26,3)*SIGN(S66-S65),0)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</row>
    <row r="67">
      <c r="B67">
        <f>'By Round'!A99</f>
        <v/>
      </c>
      <c r="C67">
        <f>'By Round'!B107</f>
        <v/>
      </c>
      <c r="D67">
        <f>'By Round'!C107</f>
        <v/>
      </c>
      <c r="E67">
        <f>'By Round'!D107</f>
        <v/>
      </c>
      <c r="F67" s="11" t="inlineStr">
        <is>
          <t>None</t>
        </is>
      </c>
      <c r="G67">
        <f>IF(ISBLANK('By Round'!G107),"",'By Round'!G107)</f>
        <v/>
      </c>
      <c r="H67">
        <f>IF(ISBLANK('By Round'!H107),"",'By Round'!H107)</f>
        <v/>
      </c>
      <c r="I67">
        <f>IF(ISBLANK('By Round'!I107),"",'By Round'!I107)</f>
        <v/>
      </c>
      <c r="J67">
        <f>IF(ISBLANK('By Round'!J107),"",'By Round'!J107)</f>
        <v/>
      </c>
      <c r="K67">
        <f>IF(ISBLANK('By Round'!K107),"",'By Round'!K107)</f>
        <v/>
      </c>
      <c r="L67" s="12">
        <f>SUM(AD67:AH67)</f>
        <v/>
      </c>
      <c r="M67" s="13">
        <f>SUM(AI67:AM67)</f>
        <v/>
      </c>
      <c r="N67" s="8">
        <f>IF(COUNT(T67:X67)&gt;0,P67/COUNT(T67:X67),0.5)</f>
        <v/>
      </c>
      <c r="O67" s="8">
        <f>IF(COUNT(Y67:AC67)&gt;0,Q67/COUNT(Y67:AC67),0.5)</f>
        <v/>
      </c>
      <c r="P67" s="5">
        <f>SUM(T67:X67)</f>
        <v/>
      </c>
      <c r="Q67" s="5">
        <f>SUM(Y67:AC67)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IF(ISNUMBER(R67),IF(ISNUMBER(R63),IF(R67&gt;R63,1.0,IF(R67=R63,0.5,0.0)),""),"")</f>
        <v/>
      </c>
      <c r="U67">
        <f>IF(ISNUMBER(R67),IF(ISNUMBER(R64),IF(R67&gt;R64,1.0,IF(R67=R64,0.5,0.0)),""),"")</f>
        <v/>
      </c>
      <c r="V67">
        <f>IF(ISNUMBER(R67),IF(ISNUMBER(R65),IF(R67&gt;R65,1.0,IF(R67=R65,0.5,0.0)),""),"")</f>
        <v/>
      </c>
      <c r="W67">
        <f>IF(ISNUMBER(R67),IF(ISNUMBER(R66),IF(R67&gt;R66,1.0,IF(R67=R66,0.5,0.0)),""),"")</f>
        <v/>
      </c>
      <c r="X67">
        <f>IF(ISNUMBER(R67),IF(ISNUMBER(R68),IF(R67&gt;R68,1.0,IF(R67=R68,0.5,0.0)),""),"")</f>
        <v/>
      </c>
      <c r="Y67">
        <f>IF(ISNUMBER(S67),IF(ISNUMBER(S63),IF(S67&gt;S63,1.0,IF(S67=S63,0.5,0.0)),""),"")</f>
        <v/>
      </c>
      <c r="Z67">
        <f>IF(ISNUMBER(S67),IF(ISNUMBER(S64),IF(S67&gt;S64,1.0,IF(S67=S64,0.5,0.0)),""),"")</f>
        <v/>
      </c>
      <c r="AA67">
        <f>IF(ISNUMBER(S67),IF(ISNUMBER(S65),IF(S67&gt;S65,1.0,IF(S67=S65,0.5,0.0)),""),"")</f>
        <v/>
      </c>
      <c r="AB67">
        <f>IF(ISNUMBER(S67),IF(ISNUMBER(S66),IF(S67&gt;S66,1.0,IF(S67=S66,0.5,0.0)),""),"")</f>
        <v/>
      </c>
      <c r="AC67">
        <f>IF(ISNUMBER(S67),IF(ISNUMBER(S68),IF(S67&gt;S68,1.0,IF(S67=S68,0.5,0.0)),""),"")</f>
        <v/>
      </c>
      <c r="AD67" s="14">
        <f>IF(AND(ISNUMBER(R67),ISNUMBER(R63)),VLOOKUP(ABS(R67-R63),'IMP Table'!$A$2:$C$26,3)*SIGN(R67-R63),0)</f>
        <v/>
      </c>
      <c r="AE67">
        <f>IF(AND(ISNUMBER(R67),ISNUMBER(R64)),VLOOKUP(ABS(R67-R64),'IMP Table'!$A$2:$C$26,3)*SIGN(R67-R64),0)</f>
        <v/>
      </c>
      <c r="AF67">
        <f>IF(AND(ISNUMBER(R67),ISNUMBER(R65)),VLOOKUP(ABS(R67-R65),'IMP Table'!$A$2:$C$26,3)*SIGN(R67-R65),0)</f>
        <v/>
      </c>
      <c r="AG67">
        <f>IF(AND(ISNUMBER(R67),ISNUMBER(R66)),VLOOKUP(ABS(R67-R66),'IMP Table'!$A$2:$C$26,3)*SIGN(R67-R66),0)</f>
        <v/>
      </c>
      <c r="AH67">
        <f>IF(AND(ISNUMBER(R67),ISNUMBER(R68)),VLOOKUP(ABS(R67-R68),'IMP Table'!$A$2:$C$26,3)*SIGN(R67-R68),0)</f>
        <v/>
      </c>
      <c r="AI67">
        <f>IF(AND(ISNUMBER(S67),ISNUMBER(S63)),VLOOKUP(ABS(S67-S63),'IMP Table'!$A$2:$C$26,3)*SIGN(S67-S63),0)</f>
        <v/>
      </c>
      <c r="AJ67">
        <f>IF(AND(ISNUMBER(S67),ISNUMBER(S64)),VLOOKUP(ABS(S67-S64),'IMP Table'!$A$2:$C$26,3)*SIGN(S67-S64),0)</f>
        <v/>
      </c>
      <c r="AK67">
        <f>IF(AND(ISNUMBER(S67),ISNUMBER(S65)),VLOOKUP(ABS(S67-S65),'IMP Table'!$A$2:$C$26,3)*SIGN(S67-S65),0)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</row>
    <row r="68">
      <c r="A68" s="15" t="n"/>
      <c r="B68" s="15">
        <f>'By Round'!A111</f>
        <v/>
      </c>
      <c r="C68" s="15">
        <f>'By Round'!B117</f>
        <v/>
      </c>
      <c r="D68" s="15">
        <f>'By Round'!C117</f>
        <v/>
      </c>
      <c r="E68" s="15">
        <f>'By Round'!D117</f>
        <v/>
      </c>
      <c r="F68" s="16" t="inlineStr">
        <is>
          <t>None</t>
        </is>
      </c>
      <c r="G68" s="15">
        <f>IF(ISBLANK('By Round'!G117),"",'By Round'!G117)</f>
        <v/>
      </c>
      <c r="H68" s="15">
        <f>IF(ISBLANK('By Round'!H117),"",'By Round'!H117)</f>
        <v/>
      </c>
      <c r="I68" s="15">
        <f>IF(ISBLANK('By Round'!I117),"",'By Round'!I117)</f>
        <v/>
      </c>
      <c r="J68" s="15">
        <f>IF(ISBLANK('By Round'!J117),"",'By Round'!J117)</f>
        <v/>
      </c>
      <c r="K68" s="15">
        <f>IF(ISBLANK('By Round'!K117),"",'By Round'!K117)</f>
        <v/>
      </c>
      <c r="L68" s="17">
        <f>SUM(AD68:AH68)</f>
        <v/>
      </c>
      <c r="M68" s="18">
        <f>SUM(AI68:AM68)</f>
        <v/>
      </c>
      <c r="N68" s="19">
        <f>IF(COUNT(T68:X68)&gt;0,P68/COUNT(T68:X68),0.5)</f>
        <v/>
      </c>
      <c r="O68" s="19">
        <f>IF(COUNT(Y68:AC68)&gt;0,Q68/COUNT(Y68:AC68),0.5)</f>
        <v/>
      </c>
      <c r="P68" s="20">
        <f>SUM(T68:X68)</f>
        <v/>
      </c>
      <c r="Q68" s="20">
        <f>SUM(Y68:AC68)</f>
        <v/>
      </c>
      <c r="R68" s="21">
        <f>IF(ISNUMBER(J68),J68,IF(ISNUMBER(K68),-K68,""))</f>
        <v/>
      </c>
      <c r="S68" s="15">
        <f>IF(ISNUMBER(K68),K68,IF(ISNUMBER(J68),-J68,""))</f>
        <v/>
      </c>
      <c r="T68" s="21">
        <f>IF(ISNUMBER(R68),IF(ISNUMBER(R63),IF(R68&gt;R63,1.0,IF(R68=R63,0.5,0.0)),""),"")</f>
        <v/>
      </c>
      <c r="U68" s="15">
        <f>IF(ISNUMBER(R68),IF(ISNUMBER(R64),IF(R68&gt;R64,1.0,IF(R68=R64,0.5,0.0)),""),"")</f>
        <v/>
      </c>
      <c r="V68" s="15">
        <f>IF(ISNUMBER(R68),IF(ISNUMBER(R65),IF(R68&gt;R65,1.0,IF(R68=R65,0.5,0.0)),""),"")</f>
        <v/>
      </c>
      <c r="W68" s="15">
        <f>IF(ISNUMBER(R68),IF(ISNUMBER(R66),IF(R68&gt;R66,1.0,IF(R68=R66,0.5,0.0)),""),"")</f>
        <v/>
      </c>
      <c r="X68" s="15">
        <f>IF(ISNUMBER(R68),IF(ISNUMBER(R67),IF(R68&gt;R67,1.0,IF(R68=R67,0.5,0.0)),""),"")</f>
        <v/>
      </c>
      <c r="Y68" s="15">
        <f>IF(ISNUMBER(S68),IF(ISNUMBER(S63),IF(S68&gt;S63,1.0,IF(S68=S63,0.5,0.0)),""),"")</f>
        <v/>
      </c>
      <c r="Z68" s="15">
        <f>IF(ISNUMBER(S68),IF(ISNUMBER(S64),IF(S68&gt;S64,1.0,IF(S68=S64,0.5,0.0)),""),"")</f>
        <v/>
      </c>
      <c r="AA68" s="15">
        <f>IF(ISNUMBER(S68),IF(ISNUMBER(S65),IF(S68&gt;S65,1.0,IF(S68=S65,0.5,0.0)),""),"")</f>
        <v/>
      </c>
      <c r="AB68" s="15">
        <f>IF(ISNUMBER(S68),IF(ISNUMBER(S66),IF(S68&gt;S66,1.0,IF(S68=S66,0.5,0.0)),""),"")</f>
        <v/>
      </c>
      <c r="AC68" s="15">
        <f>IF(ISNUMBER(S68),IF(ISNUMBER(S67),IF(S68&gt;S67,1.0,IF(S68=S67,0.5,0.0)),""),"")</f>
        <v/>
      </c>
      <c r="AD68" s="21">
        <f>IF(AND(ISNUMBER(R68),ISNUMBER(R63)),VLOOKUP(ABS(R68-R63),'IMP Table'!$A$2:$C$26,3)*SIGN(R68-R63),0)</f>
        <v/>
      </c>
      <c r="AE68" s="15">
        <f>IF(AND(ISNUMBER(R68),ISNUMBER(R64)),VLOOKUP(ABS(R68-R64),'IMP Table'!$A$2:$C$26,3)*SIGN(R68-R64),0)</f>
        <v/>
      </c>
      <c r="AF68" s="15">
        <f>IF(AND(ISNUMBER(R68),ISNUMBER(R65)),VLOOKUP(ABS(R68-R65),'IMP Table'!$A$2:$C$26,3)*SIGN(R68-R65),0)</f>
        <v/>
      </c>
      <c r="AG68" s="15">
        <f>IF(AND(ISNUMBER(R68),ISNUMBER(R66)),VLOOKUP(ABS(R68-R66),'IMP Table'!$A$2:$C$26,3)*SIGN(R68-R66),0)</f>
        <v/>
      </c>
      <c r="AH68" s="15">
        <f>IF(AND(ISNUMBER(R68),ISNUMBER(R67)),VLOOKUP(ABS(R68-R67),'IMP Table'!$A$2:$C$26,3)*SIGN(R68-R67),0)</f>
        <v/>
      </c>
      <c r="AI68" s="15">
        <f>IF(AND(ISNUMBER(S68),ISNUMBER(S63)),VLOOKUP(ABS(S68-S63),'IMP Table'!$A$2:$C$26,3)*SIGN(S68-S63),0)</f>
        <v/>
      </c>
      <c r="AJ68" s="15">
        <f>IF(AND(ISNUMBER(S68),ISNUMBER(S64)),VLOOKUP(ABS(S68-S64),'IMP Table'!$A$2:$C$26,3)*SIGN(S68-S64),0)</f>
        <v/>
      </c>
      <c r="AK68" s="15">
        <f>IF(AND(ISNUMBER(S68),ISNUMBER(S65)),VLOOKUP(ABS(S68-S65),'IMP Table'!$A$2:$C$26,3)*SIGN(S68-S65),0)</f>
        <v/>
      </c>
      <c r="AL68" s="15">
        <f>IF(AND(ISNUMBER(S68),ISNUMBER(S66)),VLOOKUP(ABS(S68-S66),'IMP Table'!$A$2:$C$26,3)*SIGN(S68-S66),0)</f>
        <v/>
      </c>
      <c r="AM68" s="15">
        <f>IF(AND(ISNUMBER(S68),ISNUMBER(S67)),VLOOKUP(ABS(S68-S67),'IMP Table'!$A$2:$C$26,3)*SIGN(S68-S67),0)</f>
        <v/>
      </c>
    </row>
    <row r="69">
      <c r="A69" t="n">
        <v>12</v>
      </c>
      <c r="B69">
        <f>'By Round'!A3</f>
        <v/>
      </c>
      <c r="C69">
        <f>'By Round'!B7</f>
        <v/>
      </c>
      <c r="D69">
        <f>'By Round'!C7</f>
        <v/>
      </c>
      <c r="E69">
        <f>'By Round'!D7</f>
        <v/>
      </c>
      <c r="F69" s="11" t="inlineStr">
        <is>
          <t>NS</t>
        </is>
      </c>
      <c r="G69">
        <f>IF(ISBLANK('By Round'!G7),"",'By Round'!G7)</f>
        <v/>
      </c>
      <c r="H69">
        <f>IF(ISBLANK('By Round'!H7),"",'By Round'!H7)</f>
        <v/>
      </c>
      <c r="I69">
        <f>IF(ISBLANK('By Round'!I7),"",'By Round'!I7)</f>
        <v/>
      </c>
      <c r="J69">
        <f>IF(ISBLANK('By Round'!J7),"",'By Round'!J7)</f>
        <v/>
      </c>
      <c r="K69">
        <f>IF(ISBLANK('By Round'!K7),"",'By Round'!K7)</f>
        <v/>
      </c>
      <c r="L69" s="12">
        <f>SUM(AD69:AH69)</f>
        <v/>
      </c>
      <c r="M69" s="13">
        <f>SUM(AI69:AM69)</f>
        <v/>
      </c>
      <c r="N69" s="8">
        <f>IF(COUNT(T69:X69)&gt;0,P69/COUNT(T69:X69),0.5)</f>
        <v/>
      </c>
      <c r="O69" s="8">
        <f>IF(COUNT(Y69:AC69)&gt;0,Q69/COUNT(Y69:AC69),0.5)</f>
        <v/>
      </c>
      <c r="P69" s="5">
        <f>SUM(T69:X69)</f>
        <v/>
      </c>
      <c r="Q69" s="5">
        <f>SUM(Y69:AC69)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IF(ISNUMBER(R69),IF(ISNUMBER(R70),IF(R69&gt;R70,1.0,IF(R69=R70,0.5,0.0)),""),"")</f>
        <v/>
      </c>
      <c r="U69">
        <f>IF(ISNUMBER(R69),IF(ISNUMBER(R71),IF(R69&gt;R71,1.0,IF(R69=R71,0.5,0.0)),""),"")</f>
        <v/>
      </c>
      <c r="V69">
        <f>IF(ISNUMBER(R69),IF(ISNUMBER(R72),IF(R69&gt;R72,1.0,IF(R69=R72,0.5,0.0)),""),"")</f>
        <v/>
      </c>
      <c r="W69">
        <f>IF(ISNUMBER(R69),IF(ISNUMBER(R73),IF(R69&gt;R73,1.0,IF(R69=R73,0.5,0.0)),""),"")</f>
        <v/>
      </c>
      <c r="X69">
        <f>IF(ISNUMBER(R69),IF(ISNUMBER(R74),IF(R69&gt;R74,1.0,IF(R69=R74,0.5,0.0)),""),"")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>
        <f>IF(ISNUMBER(S69),IF(ISNUMBER(S73),IF(S69&gt;S73,1.0,IF(S69=S73,0.5,0.0)),""),"")</f>
        <v/>
      </c>
      <c r="AC69">
        <f>IF(ISNUMBER(S69),IF(ISNUMBER(S74),IF(S69&gt;S74,1.0,IF(S69=S74,0.5,0.0)),""),"")</f>
        <v/>
      </c>
      <c r="AD69" s="14">
        <f>IF(AND(ISNUMBER(R69),ISNUMBER(R70)),VLOOKUP(ABS(R69-R70),'IMP Table'!$A$2:$C$26,3)*SIGN(R69-R70),0)</f>
        <v/>
      </c>
      <c r="AE69">
        <f>IF(AND(ISNUMBER(R69),ISNUMBER(R71)),VLOOKUP(ABS(R69-R71),'IMP Table'!$A$2:$C$26,3)*SIGN(R69-R71),0)</f>
        <v/>
      </c>
      <c r="AF69">
        <f>IF(AND(ISNUMBER(R69),ISNUMBER(R72)),VLOOKUP(ABS(R69-R72),'IMP Table'!$A$2:$C$26,3)*SIGN(R69-R72),0)</f>
        <v/>
      </c>
      <c r="AG69">
        <f>IF(AND(ISNUMBER(R69),ISNUMBER(R73)),VLOOKUP(ABS(R69-R73),'IMP Table'!$A$2:$C$26,3)*SIGN(R69-R73),0)</f>
        <v/>
      </c>
      <c r="AH69">
        <f>IF(AND(ISNUMBER(R69),ISNUMBER(R74)),VLOOKUP(ABS(R69-R74),'IMP Table'!$A$2:$C$26,3)*SIGN(R69-R74),0)</f>
        <v/>
      </c>
      <c r="AI69">
        <f>IF(AND(ISNUMBER(S69),ISNUMBER(S70)),VLOOKUP(ABS(S69-S70),'IMP Table'!$A$2:$C$26,3)*SIGN(S69-S70),0)</f>
        <v/>
      </c>
      <c r="AJ69">
        <f>IF(AND(ISNUMBER(S69),ISNUMBER(S71)),VLOOKUP(ABS(S69-S71),'IMP Table'!$A$2:$C$26,3)*SIGN(S69-S71),0)</f>
        <v/>
      </c>
      <c r="AK69">
        <f>IF(AND(ISNUMBER(S69),ISNUMBER(S72)),VLOOKUP(ABS(S69-S72),'IMP Table'!$A$2:$C$26,3)*SIGN(S69-S72),0)</f>
        <v/>
      </c>
      <c r="AL69">
        <f>IF(AND(ISNUMBER(S69),ISNUMBER(S73)),VLOOKUP(ABS(S69-S73),'IMP Table'!$A$2:$C$26,3)*SIGN(S69-S73),0)</f>
        <v/>
      </c>
      <c r="AM69">
        <f>IF(AND(ISNUMBER(S69),ISNUMBER(S74)),VLOOKUP(ABS(S69-S74),'IMP Table'!$A$2:$C$26,3)*SIGN(S69-S74),0)</f>
        <v/>
      </c>
    </row>
    <row r="70">
      <c r="B70">
        <f>'By Round'!A15</f>
        <v/>
      </c>
      <c r="C70">
        <f>'By Round'!B17</f>
        <v/>
      </c>
      <c r="D70">
        <f>'By Round'!C17</f>
        <v/>
      </c>
      <c r="E70">
        <f>'By Round'!D17</f>
        <v/>
      </c>
      <c r="F70" s="11" t="inlineStr">
        <is>
          <t>NS</t>
        </is>
      </c>
      <c r="G70">
        <f>IF(ISBLANK('By Round'!G17),"",'By Round'!G17)</f>
        <v/>
      </c>
      <c r="H70">
        <f>IF(ISBLANK('By Round'!H17),"",'By Round'!H17)</f>
        <v/>
      </c>
      <c r="I70">
        <f>IF(ISBLANK('By Round'!I17),"",'By Round'!I17)</f>
        <v/>
      </c>
      <c r="J70">
        <f>IF(ISBLANK('By Round'!J17),"",'By Round'!J17)</f>
        <v/>
      </c>
      <c r="K70">
        <f>IF(ISBLANK('By Round'!K17),"",'By Round'!K17)</f>
        <v/>
      </c>
      <c r="L70" s="12">
        <f>SUM(AD70:AH70)</f>
        <v/>
      </c>
      <c r="M70" s="13">
        <f>SUM(AI70:AM70)</f>
        <v/>
      </c>
      <c r="N70" s="8">
        <f>IF(COUNT(T70:X70)&gt;0,P70/COUNT(T70:X70),0.5)</f>
        <v/>
      </c>
      <c r="O70" s="8">
        <f>IF(COUNT(Y70:AC70)&gt;0,Q70/COUNT(Y70:AC70),0.5)</f>
        <v/>
      </c>
      <c r="P70" s="5">
        <f>SUM(T70:X70)</f>
        <v/>
      </c>
      <c r="Q70" s="5">
        <f>SUM(Y70:AC70)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IF(ISNUMBER(R70),IF(ISNUMBER(R69),IF(R70&gt;R69,1.0,IF(R70=R69,0.5,0.0)),""),"")</f>
        <v/>
      </c>
      <c r="U70">
        <f>IF(ISNUMBER(R70),IF(ISNUMBER(R71),IF(R70&gt;R71,1.0,IF(R70=R71,0.5,0.0)),""),"")</f>
        <v/>
      </c>
      <c r="V70">
        <f>IF(ISNUMBER(R70),IF(ISNUMBER(R72),IF(R70&gt;R72,1.0,IF(R70=R72,0.5,0.0)),""),"")</f>
        <v/>
      </c>
      <c r="W70">
        <f>IF(ISNUMBER(R70),IF(ISNUMBER(R73),IF(R70&gt;R73,1.0,IF(R70=R73,0.5,0.0)),""),"")</f>
        <v/>
      </c>
      <c r="X70">
        <f>IF(ISNUMBER(R70),IF(ISNUMBER(R74),IF(R70&gt;R74,1.0,IF(R70=R74,0.5,0.0)),""),"")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>
        <f>IF(ISNUMBER(S70),IF(ISNUMBER(S73),IF(S70&gt;S73,1.0,IF(S70=S73,0.5,0.0)),""),"")</f>
        <v/>
      </c>
      <c r="AC70">
        <f>IF(ISNUMBER(S70),IF(ISNUMBER(S74),IF(S70&gt;S74,1.0,IF(S70=S74,0.5,0.0)),""),"")</f>
        <v/>
      </c>
      <c r="AD70" s="14">
        <f>IF(AND(ISNUMBER(R70),ISNUMBER(R69)),VLOOKUP(ABS(R70-R69),'IMP Table'!$A$2:$C$26,3)*SIGN(R70-R69),0)</f>
        <v/>
      </c>
      <c r="AE70">
        <f>IF(AND(ISNUMBER(R70),ISNUMBER(R71)),VLOOKUP(ABS(R70-R71),'IMP Table'!$A$2:$C$26,3)*SIGN(R70-R71),0)</f>
        <v/>
      </c>
      <c r="AF70">
        <f>IF(AND(ISNUMBER(R70),ISNUMBER(R72)),VLOOKUP(ABS(R70-R72),'IMP Table'!$A$2:$C$26,3)*SIGN(R70-R72),0)</f>
        <v/>
      </c>
      <c r="AG70">
        <f>IF(AND(ISNUMBER(R70),ISNUMBER(R73)),VLOOKUP(ABS(R70-R73),'IMP Table'!$A$2:$C$26,3)*SIGN(R70-R73),0)</f>
        <v/>
      </c>
      <c r="AH70">
        <f>IF(AND(ISNUMBER(R70),ISNUMBER(R74)),VLOOKUP(ABS(R70-R74),'IMP Table'!$A$2:$C$26,3)*SIGN(R70-R74),0)</f>
        <v/>
      </c>
      <c r="AI70">
        <f>IF(AND(ISNUMBER(S70),ISNUMBER(S69)),VLOOKUP(ABS(S70-S69),'IMP Table'!$A$2:$C$26,3)*SIGN(S70-S69),0)</f>
        <v/>
      </c>
      <c r="AJ70">
        <f>IF(AND(ISNUMBER(S70),ISNUMBER(S71)),VLOOKUP(ABS(S70-S71),'IMP Table'!$A$2:$C$26,3)*SIGN(S70-S71),0)</f>
        <v/>
      </c>
      <c r="AK70">
        <f>IF(AND(ISNUMBER(S70),ISNUMBER(S72)),VLOOKUP(ABS(S70-S72),'IMP Table'!$A$2:$C$26,3)*SIGN(S70-S72),0)</f>
        <v/>
      </c>
      <c r="AL70">
        <f>IF(AND(ISNUMBER(S70),ISNUMBER(S73)),VLOOKUP(ABS(S70-S73),'IMP Table'!$A$2:$C$26,3)*SIGN(S70-S73),0)</f>
        <v/>
      </c>
      <c r="AM70">
        <f>IF(AND(ISNUMBER(S70),ISNUMBER(S74)),VLOOKUP(ABS(S70-S74),'IMP Table'!$A$2:$C$26,3)*SIGN(S70-S74),0)</f>
        <v/>
      </c>
    </row>
    <row r="71">
      <c r="B71">
        <f>'By Round'!A63</f>
        <v/>
      </c>
      <c r="C71">
        <f>'By Round'!B63</f>
        <v/>
      </c>
      <c r="D71">
        <f>'By Round'!C63</f>
        <v/>
      </c>
      <c r="E71">
        <f>'By Round'!D63</f>
        <v/>
      </c>
      <c r="F71" s="11" t="inlineStr">
        <is>
          <t>NS</t>
        </is>
      </c>
      <c r="G71">
        <f>IF(ISBLANK('By Round'!G63),"",'By Round'!G63)</f>
        <v/>
      </c>
      <c r="H71">
        <f>IF(ISBLANK('By Round'!H63),"",'By Round'!H63)</f>
        <v/>
      </c>
      <c r="I71">
        <f>IF(ISBLANK('By Round'!I63),"",'By Round'!I63)</f>
        <v/>
      </c>
      <c r="J71">
        <f>IF(ISBLANK('By Round'!J63),"",'By Round'!J63)</f>
        <v/>
      </c>
      <c r="K71">
        <f>IF(ISBLANK('By Round'!K63),"",'By Round'!K63)</f>
        <v/>
      </c>
      <c r="L71" s="12">
        <f>SUM(AD71:AH71)</f>
        <v/>
      </c>
      <c r="M71" s="13">
        <f>SUM(AI71:AM71)</f>
        <v/>
      </c>
      <c r="N71" s="8">
        <f>IF(COUNT(T71:X71)&gt;0,P71/COUNT(T71:X71),0.5)</f>
        <v/>
      </c>
      <c r="O71" s="8">
        <f>IF(COUNT(Y71:AC71)&gt;0,Q71/COUNT(Y71:AC71),0.5)</f>
        <v/>
      </c>
      <c r="P71" s="5">
        <f>SUM(T71:X71)</f>
        <v/>
      </c>
      <c r="Q71" s="5">
        <f>SUM(Y71:AC71)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IF(ISNUMBER(R71),IF(ISNUMBER(R69),IF(R71&gt;R69,1.0,IF(R71=R69,0.5,0.0)),""),"")</f>
        <v/>
      </c>
      <c r="U71">
        <f>IF(ISNUMBER(R71),IF(ISNUMBER(R70),IF(R71&gt;R70,1.0,IF(R71=R70,0.5,0.0)),""),"")</f>
        <v/>
      </c>
      <c r="V71">
        <f>IF(ISNUMBER(R71),IF(ISNUMBER(R72),IF(R71&gt;R72,1.0,IF(R71=R72,0.5,0.0)),""),"")</f>
        <v/>
      </c>
      <c r="W71">
        <f>IF(ISNUMBER(R71),IF(ISNUMBER(R73),IF(R71&gt;R73,1.0,IF(R71=R73,0.5,0.0)),""),"")</f>
        <v/>
      </c>
      <c r="X71">
        <f>IF(ISNUMBER(R71),IF(ISNUMBER(R74),IF(R71&gt;R74,1.0,IF(R71=R74,0.5,0.0)),""),"")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>
        <f>IF(ISNUMBER(S71),IF(ISNUMBER(S73),IF(S71&gt;S73,1.0,IF(S71=S73,0.5,0.0)),""),"")</f>
        <v/>
      </c>
      <c r="AC71">
        <f>IF(ISNUMBER(S71),IF(ISNUMBER(S74),IF(S71&gt;S74,1.0,IF(S71=S74,0.5,0.0)),""),"")</f>
        <v/>
      </c>
      <c r="AD71" s="14">
        <f>IF(AND(ISNUMBER(R71),ISNUMBER(R69)),VLOOKUP(ABS(R71-R69),'IMP Table'!$A$2:$C$26,3)*SIGN(R71-R69),0)</f>
        <v/>
      </c>
      <c r="AE71">
        <f>IF(AND(ISNUMBER(R71),ISNUMBER(R70)),VLOOKUP(ABS(R71-R70),'IMP Table'!$A$2:$C$26,3)*SIGN(R71-R70),0)</f>
        <v/>
      </c>
      <c r="AF71">
        <f>IF(AND(ISNUMBER(R71),ISNUMBER(R72)),VLOOKUP(ABS(R71-R72),'IMP Table'!$A$2:$C$26,3)*SIGN(R71-R72),0)</f>
        <v/>
      </c>
      <c r="AG71">
        <f>IF(AND(ISNUMBER(R71),ISNUMBER(R73)),VLOOKUP(ABS(R71-R73),'IMP Table'!$A$2:$C$26,3)*SIGN(R71-R73),0)</f>
        <v/>
      </c>
      <c r="AH71">
        <f>IF(AND(ISNUMBER(R71),ISNUMBER(R74)),VLOOKUP(ABS(R71-R74),'IMP Table'!$A$2:$C$26,3)*SIGN(R71-R74),0)</f>
        <v/>
      </c>
      <c r="AI71">
        <f>IF(AND(ISNUMBER(S71),ISNUMBER(S69)),VLOOKUP(ABS(S71-S69),'IMP Table'!$A$2:$C$26,3)*SIGN(S71-S69),0)</f>
        <v/>
      </c>
      <c r="AJ71">
        <f>IF(AND(ISNUMBER(S71),ISNUMBER(S70)),VLOOKUP(ABS(S71-S70),'IMP Table'!$A$2:$C$26,3)*SIGN(S71-S70),0)</f>
        <v/>
      </c>
      <c r="AK71">
        <f>IF(AND(ISNUMBER(S71),ISNUMBER(S72)),VLOOKUP(ABS(S71-S72),'IMP Table'!$A$2:$C$26,3)*SIGN(S71-S72),0)</f>
        <v/>
      </c>
      <c r="AL71">
        <f>IF(AND(ISNUMBER(S71),ISNUMBER(S73)),VLOOKUP(ABS(S71-S73),'IMP Table'!$A$2:$C$26,3)*SIGN(S71-S73),0)</f>
        <v/>
      </c>
      <c r="AM71">
        <f>IF(AND(ISNUMBER(S71),ISNUMBER(S74)),VLOOKUP(ABS(S71-S74),'IMP Table'!$A$2:$C$26,3)*SIGN(S71-S74),0)</f>
        <v/>
      </c>
    </row>
    <row r="72">
      <c r="B72">
        <f>'By Round'!A87</f>
        <v/>
      </c>
      <c r="C72">
        <f>'By Round'!B97</f>
        <v/>
      </c>
      <c r="D72">
        <f>'By Round'!C97</f>
        <v/>
      </c>
      <c r="E72">
        <f>'By Round'!D97</f>
        <v/>
      </c>
      <c r="F72" s="11" t="inlineStr">
        <is>
          <t>NS</t>
        </is>
      </c>
      <c r="G72">
        <f>IF(ISBLANK('By Round'!G97),"",'By Round'!G97)</f>
        <v/>
      </c>
      <c r="H72">
        <f>IF(ISBLANK('By Round'!H97),"",'By Round'!H97)</f>
        <v/>
      </c>
      <c r="I72">
        <f>IF(ISBLANK('By Round'!I97),"",'By Round'!I97)</f>
        <v/>
      </c>
      <c r="J72">
        <f>IF(ISBLANK('By Round'!J97),"",'By Round'!J97)</f>
        <v/>
      </c>
      <c r="K72">
        <f>IF(ISBLANK('By Round'!K97),"",'By Round'!K97)</f>
        <v/>
      </c>
      <c r="L72" s="12">
        <f>SUM(AD72:AH72)</f>
        <v/>
      </c>
      <c r="M72" s="13">
        <f>SUM(AI72:AM72)</f>
        <v/>
      </c>
      <c r="N72" s="8">
        <f>IF(COUNT(T72:X72)&gt;0,P72/COUNT(T72:X72),0.5)</f>
        <v/>
      </c>
      <c r="O72" s="8">
        <f>IF(COUNT(Y72:AC72)&gt;0,Q72/COUNT(Y72:AC72),0.5)</f>
        <v/>
      </c>
      <c r="P72" s="5">
        <f>SUM(T72:X72)</f>
        <v/>
      </c>
      <c r="Q72" s="5">
        <f>SUM(Y72:AC72)</f>
        <v/>
      </c>
      <c r="R72" s="14">
        <f>IF(ISNUMBER(J72),J72,IF(ISNUMBER(K72),-K72,""))</f>
        <v/>
      </c>
      <c r="S72">
        <f>IF(ISNUMBER(K72),K72,IF(ISNUMBER(J72),-J72,""))</f>
        <v/>
      </c>
      <c r="T72" s="14">
        <f>IF(ISNUMBER(R72),IF(ISNUMBER(R69),IF(R72&gt;R69,1.0,IF(R72=R69,0.5,0.0)),""),"")</f>
        <v/>
      </c>
      <c r="U72">
        <f>IF(ISNUMBER(R72),IF(ISNUMBER(R70),IF(R72&gt;R70,1.0,IF(R72=R70,0.5,0.0)),""),"")</f>
        <v/>
      </c>
      <c r="V72">
        <f>IF(ISNUMBER(R72),IF(ISNUMBER(R71),IF(R72&gt;R71,1.0,IF(R72=R71,0.5,0.0)),""),"")</f>
        <v/>
      </c>
      <c r="W72">
        <f>IF(ISNUMBER(R72),IF(ISNUMBER(R73),IF(R72&gt;R73,1.0,IF(R72=R73,0.5,0.0)),""),"")</f>
        <v/>
      </c>
      <c r="X72">
        <f>IF(ISNUMBER(R72),IF(ISNUMBER(R74),IF(R72&gt;R74,1.0,IF(R72=R74,0.5,0.0)),""),"")</f>
        <v/>
      </c>
      <c r="Y72">
        <f>IF(ISNUMBER(S72),IF(ISNUMBER(S69),IF(S72&gt;S69,1.0,IF(S72=S69,0.5,0.0)),""),"")</f>
        <v/>
      </c>
      <c r="Z72">
        <f>IF(ISNUMBER(S72),IF(ISNUMBER(S70),IF(S72&gt;S70,1.0,IF(S72=S70,0.5,0.0)),""),"")</f>
        <v/>
      </c>
      <c r="AA72">
        <f>IF(ISNUMBER(S72),IF(ISNUMBER(S71),IF(S72&gt;S71,1.0,IF(S72=S71,0.5,0.0)),""),"")</f>
        <v/>
      </c>
      <c r="AB72">
        <f>IF(ISNUMBER(S72),IF(ISNUMBER(S73),IF(S72&gt;S73,1.0,IF(S72=S73,0.5,0.0)),""),"")</f>
        <v/>
      </c>
      <c r="AC72">
        <f>IF(ISNUMBER(S72),IF(ISNUMBER(S74),IF(S72&gt;S74,1.0,IF(S72=S74,0.5,0.0)),""),"")</f>
        <v/>
      </c>
      <c r="AD72" s="14">
        <f>IF(AND(ISNUMBER(R72),ISNUMBER(R69)),VLOOKUP(ABS(R72-R69),'IMP Table'!$A$2:$C$26,3)*SIGN(R72-R69),0)</f>
        <v/>
      </c>
      <c r="AE72">
        <f>IF(AND(ISNUMBER(R72),ISNUMBER(R70)),VLOOKUP(ABS(R72-R70),'IMP Table'!$A$2:$C$26,3)*SIGN(R72-R70),0)</f>
        <v/>
      </c>
      <c r="AF72">
        <f>IF(AND(ISNUMBER(R72),ISNUMBER(R71)),VLOOKUP(ABS(R72-R71),'IMP Table'!$A$2:$C$26,3)*SIGN(R72-R71),0)</f>
        <v/>
      </c>
      <c r="AG72">
        <f>IF(AND(ISNUMBER(R72),ISNUMBER(R73)),VLOOKUP(ABS(R72-R73),'IMP Table'!$A$2:$C$26,3)*SIGN(R72-R73),0)</f>
        <v/>
      </c>
      <c r="AH72">
        <f>IF(AND(ISNUMBER(R72),ISNUMBER(R74)),VLOOKUP(ABS(R72-R74),'IMP Table'!$A$2:$C$26,3)*SIGN(R72-R74),0)</f>
        <v/>
      </c>
      <c r="AI72">
        <f>IF(AND(ISNUMBER(S72),ISNUMBER(S69)),VLOOKUP(ABS(S72-S69),'IMP Table'!$A$2:$C$26,3)*SIGN(S72-S69),0)</f>
        <v/>
      </c>
      <c r="AJ72">
        <f>IF(AND(ISNUMBER(S72),ISNUMBER(S70)),VLOOKUP(ABS(S72-S70),'IMP Table'!$A$2:$C$26,3)*SIGN(S72-S70),0)</f>
        <v/>
      </c>
      <c r="AK72">
        <f>IF(AND(ISNUMBER(S72),ISNUMBER(S71)),VLOOKUP(ABS(S72-S71),'IMP Table'!$A$2:$C$26,3)*SIGN(S72-S71),0)</f>
        <v/>
      </c>
      <c r="AL72">
        <f>IF(AND(ISNUMBER(S72),ISNUMBER(S73)),VLOOKUP(ABS(S72-S73),'IMP Table'!$A$2:$C$26,3)*SIGN(S72-S73),0)</f>
        <v/>
      </c>
      <c r="AM72">
        <f>IF(AND(ISNUMBER(S72),ISNUMBER(S74)),VLOOKUP(ABS(S72-S74),'IMP Table'!$A$2:$C$26,3)*SIGN(S72-S74),0)</f>
        <v/>
      </c>
    </row>
    <row r="73">
      <c r="B73">
        <f>'By Round'!A99</f>
        <v/>
      </c>
      <c r="C73">
        <f>'By Round'!B107</f>
        <v/>
      </c>
      <c r="D73">
        <f>'By Round'!C107</f>
        <v/>
      </c>
      <c r="E73">
        <f>'By Round'!D107</f>
        <v/>
      </c>
      <c r="F73" s="11" t="inlineStr">
        <is>
          <t>NS</t>
        </is>
      </c>
      <c r="G73">
        <f>IF(ISBLANK('By Round'!G107),"",'By Round'!G107)</f>
        <v/>
      </c>
      <c r="H73">
        <f>IF(ISBLANK('By Round'!H107),"",'By Round'!H107)</f>
        <v/>
      </c>
      <c r="I73">
        <f>IF(ISBLANK('By Round'!I107),"",'By Round'!I107)</f>
        <v/>
      </c>
      <c r="J73">
        <f>IF(ISBLANK('By Round'!J107),"",'By Round'!J107)</f>
        <v/>
      </c>
      <c r="K73">
        <f>IF(ISBLANK('By Round'!K107),"",'By Round'!K107)</f>
        <v/>
      </c>
      <c r="L73" s="12">
        <f>SUM(AD73:AH73)</f>
        <v/>
      </c>
      <c r="M73" s="13">
        <f>SUM(AI73:AM73)</f>
        <v/>
      </c>
      <c r="N73" s="8">
        <f>IF(COUNT(T73:X73)&gt;0,P73/COUNT(T73:X73),0.5)</f>
        <v/>
      </c>
      <c r="O73" s="8">
        <f>IF(COUNT(Y73:AC73)&gt;0,Q73/COUNT(Y73:AC73),0.5)</f>
        <v/>
      </c>
      <c r="P73" s="5">
        <f>SUM(T73:X73)</f>
        <v/>
      </c>
      <c r="Q73" s="5">
        <f>SUM(Y73:AC73)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IF(ISNUMBER(R73),IF(ISNUMBER(R69),IF(R73&gt;R69,1.0,IF(R73=R69,0.5,0.0)),""),"")</f>
        <v/>
      </c>
      <c r="U73">
        <f>IF(ISNUMBER(R73),IF(ISNUMBER(R70),IF(R73&gt;R70,1.0,IF(R73=R70,0.5,0.0)),""),"")</f>
        <v/>
      </c>
      <c r="V73">
        <f>IF(ISNUMBER(R73),IF(ISNUMBER(R71),IF(R73&gt;R71,1.0,IF(R73=R71,0.5,0.0)),""),"")</f>
        <v/>
      </c>
      <c r="W73">
        <f>IF(ISNUMBER(R73),IF(ISNUMBER(R72),IF(R73&gt;R72,1.0,IF(R73=R72,0.5,0.0)),""),"")</f>
        <v/>
      </c>
      <c r="X73">
        <f>IF(ISNUMBER(R73),IF(ISNUMBER(R74),IF(R73&gt;R74,1.0,IF(R73=R74,0.5,0.0)),""),"")</f>
        <v/>
      </c>
      <c r="Y73">
        <f>IF(ISNUMBER(S73),IF(ISNUMBER(S69),IF(S73&gt;S69,1.0,IF(S73=S69,0.5,0.0)),""),"")</f>
        <v/>
      </c>
      <c r="Z73">
        <f>IF(ISNUMBER(S73),IF(ISNUMBER(S70),IF(S73&gt;S70,1.0,IF(S73=S70,0.5,0.0)),""),"")</f>
        <v/>
      </c>
      <c r="AA73">
        <f>IF(ISNUMBER(S73),IF(ISNUMBER(S71),IF(S73&gt;S71,1.0,IF(S73=S71,0.5,0.0)),""),"")</f>
        <v/>
      </c>
      <c r="AB73">
        <f>IF(ISNUMBER(S73),IF(ISNUMBER(S72),IF(S73&gt;S72,1.0,IF(S73=S72,0.5,0.0)),""),"")</f>
        <v/>
      </c>
      <c r="AC73">
        <f>IF(ISNUMBER(S73),IF(ISNUMBER(S74),IF(S73&gt;S74,1.0,IF(S73=S74,0.5,0.0)),""),"")</f>
        <v/>
      </c>
      <c r="AD73" s="14">
        <f>IF(AND(ISNUMBER(R73),ISNUMBER(R69)),VLOOKUP(ABS(R73-R69),'IMP Table'!$A$2:$C$26,3)*SIGN(R73-R69),0)</f>
        <v/>
      </c>
      <c r="AE73">
        <f>IF(AND(ISNUMBER(R73),ISNUMBER(R70)),VLOOKUP(ABS(R73-R70),'IMP Table'!$A$2:$C$26,3)*SIGN(R73-R70),0)</f>
        <v/>
      </c>
      <c r="AF73">
        <f>IF(AND(ISNUMBER(R73),ISNUMBER(R71)),VLOOKUP(ABS(R73-R71),'IMP Table'!$A$2:$C$26,3)*SIGN(R73-R71),0)</f>
        <v/>
      </c>
      <c r="AG73">
        <f>IF(AND(ISNUMBER(R73),ISNUMBER(R72)),VLOOKUP(ABS(R73-R72),'IMP Table'!$A$2:$C$26,3)*SIGN(R73-R72),0)</f>
        <v/>
      </c>
      <c r="AH73">
        <f>IF(AND(ISNUMBER(R73),ISNUMBER(R74)),VLOOKUP(ABS(R73-R74),'IMP Table'!$A$2:$C$26,3)*SIGN(R73-R74),0)</f>
        <v/>
      </c>
      <c r="AI73">
        <f>IF(AND(ISNUMBER(S73),ISNUMBER(S69)),VLOOKUP(ABS(S73-S69),'IMP Table'!$A$2:$C$26,3)*SIGN(S73-S69),0)</f>
        <v/>
      </c>
      <c r="AJ73">
        <f>IF(AND(ISNUMBER(S73),ISNUMBER(S70)),VLOOKUP(ABS(S73-S70),'IMP Table'!$A$2:$C$26,3)*SIGN(S73-S70),0)</f>
        <v/>
      </c>
      <c r="AK73">
        <f>IF(AND(ISNUMBER(S73),ISNUMBER(S71)),VLOOKUP(ABS(S73-S71),'IMP Table'!$A$2:$C$26,3)*SIGN(S73-S71),0)</f>
        <v/>
      </c>
      <c r="AL73">
        <f>IF(AND(ISNUMBER(S73),ISNUMBER(S72)),VLOOKUP(ABS(S73-S72),'IMP Table'!$A$2:$C$26,3)*SIGN(S73-S72),0)</f>
        <v/>
      </c>
      <c r="AM73">
        <f>IF(AND(ISNUMBER(S73),ISNUMBER(S74)),VLOOKUP(ABS(S73-S74),'IMP Table'!$A$2:$C$26,3)*SIGN(S73-S74),0)</f>
        <v/>
      </c>
    </row>
    <row r="74">
      <c r="A74" s="15" t="n"/>
      <c r="B74" s="15">
        <f>'By Round'!A111</f>
        <v/>
      </c>
      <c r="C74" s="15">
        <f>'By Round'!B117</f>
        <v/>
      </c>
      <c r="D74" s="15">
        <f>'By Round'!C117</f>
        <v/>
      </c>
      <c r="E74" s="15">
        <f>'By Round'!D117</f>
        <v/>
      </c>
      <c r="F74" s="16" t="inlineStr">
        <is>
          <t>NS</t>
        </is>
      </c>
      <c r="G74" s="15">
        <f>IF(ISBLANK('By Round'!G117),"",'By Round'!G117)</f>
        <v/>
      </c>
      <c r="H74" s="15">
        <f>IF(ISBLANK('By Round'!H117),"",'By Round'!H117)</f>
        <v/>
      </c>
      <c r="I74" s="15">
        <f>IF(ISBLANK('By Round'!I117),"",'By Round'!I117)</f>
        <v/>
      </c>
      <c r="J74" s="15">
        <f>IF(ISBLANK('By Round'!J117),"",'By Round'!J117)</f>
        <v/>
      </c>
      <c r="K74" s="15">
        <f>IF(ISBLANK('By Round'!K117),"",'By Round'!K117)</f>
        <v/>
      </c>
      <c r="L74" s="17">
        <f>SUM(AD74:AH74)</f>
        <v/>
      </c>
      <c r="M74" s="18">
        <f>SUM(AI74:AM74)</f>
        <v/>
      </c>
      <c r="N74" s="19">
        <f>IF(COUNT(T74:X74)&gt;0,P74/COUNT(T74:X74),0.5)</f>
        <v/>
      </c>
      <c r="O74" s="19">
        <f>IF(COUNT(Y74:AC74)&gt;0,Q74/COUNT(Y74:AC74),0.5)</f>
        <v/>
      </c>
      <c r="P74" s="20">
        <f>SUM(T74:X74)</f>
        <v/>
      </c>
      <c r="Q74" s="20">
        <f>SUM(Y74:AC74)</f>
        <v/>
      </c>
      <c r="R74" s="21">
        <f>IF(ISNUMBER(J74),J74,IF(ISNUMBER(K74),-K74,""))</f>
        <v/>
      </c>
      <c r="S74" s="15">
        <f>IF(ISNUMBER(K74),K74,IF(ISNUMBER(J74),-J74,""))</f>
        <v/>
      </c>
      <c r="T74" s="21">
        <f>IF(ISNUMBER(R74),IF(ISNUMBER(R69),IF(R74&gt;R69,1.0,IF(R74=R69,0.5,0.0)),""),"")</f>
        <v/>
      </c>
      <c r="U74" s="15">
        <f>IF(ISNUMBER(R74),IF(ISNUMBER(R70),IF(R74&gt;R70,1.0,IF(R74=R70,0.5,0.0)),""),"")</f>
        <v/>
      </c>
      <c r="V74" s="15">
        <f>IF(ISNUMBER(R74),IF(ISNUMBER(R71),IF(R74&gt;R71,1.0,IF(R74=R71,0.5,0.0)),""),"")</f>
        <v/>
      </c>
      <c r="W74" s="15">
        <f>IF(ISNUMBER(R74),IF(ISNUMBER(R72),IF(R74&gt;R72,1.0,IF(R74=R72,0.5,0.0)),""),"")</f>
        <v/>
      </c>
      <c r="X74" s="15">
        <f>IF(ISNUMBER(R74),IF(ISNUMBER(R73),IF(R74&gt;R73,1.0,IF(R74=R73,0.5,0.0)),""),"")</f>
        <v/>
      </c>
      <c r="Y74" s="15">
        <f>IF(ISNUMBER(S74),IF(ISNUMBER(S69),IF(S74&gt;S69,1.0,IF(S74=S69,0.5,0.0)),""),"")</f>
        <v/>
      </c>
      <c r="Z74" s="15">
        <f>IF(ISNUMBER(S74),IF(ISNUMBER(S70),IF(S74&gt;S70,1.0,IF(S74=S70,0.5,0.0)),""),"")</f>
        <v/>
      </c>
      <c r="AA74" s="15">
        <f>IF(ISNUMBER(S74),IF(ISNUMBER(S71),IF(S74&gt;S71,1.0,IF(S74=S71,0.5,0.0)),""),"")</f>
        <v/>
      </c>
      <c r="AB74" s="15">
        <f>IF(ISNUMBER(S74),IF(ISNUMBER(S72),IF(S74&gt;S72,1.0,IF(S74=S72,0.5,0.0)),""),"")</f>
        <v/>
      </c>
      <c r="AC74" s="15">
        <f>IF(ISNUMBER(S74),IF(ISNUMBER(S73),IF(S74&gt;S73,1.0,IF(S74=S73,0.5,0.0)),""),"")</f>
        <v/>
      </c>
      <c r="AD74" s="21">
        <f>IF(AND(ISNUMBER(R74),ISNUMBER(R69)),VLOOKUP(ABS(R74-R69),'IMP Table'!$A$2:$C$26,3)*SIGN(R74-R69),0)</f>
        <v/>
      </c>
      <c r="AE74" s="15">
        <f>IF(AND(ISNUMBER(R74),ISNUMBER(R70)),VLOOKUP(ABS(R74-R70),'IMP Table'!$A$2:$C$26,3)*SIGN(R74-R70),0)</f>
        <v/>
      </c>
      <c r="AF74" s="15">
        <f>IF(AND(ISNUMBER(R74),ISNUMBER(R71)),VLOOKUP(ABS(R74-R71),'IMP Table'!$A$2:$C$26,3)*SIGN(R74-R71),0)</f>
        <v/>
      </c>
      <c r="AG74" s="15">
        <f>IF(AND(ISNUMBER(R74),ISNUMBER(R72)),VLOOKUP(ABS(R74-R72),'IMP Table'!$A$2:$C$26,3)*SIGN(R74-R72),0)</f>
        <v/>
      </c>
      <c r="AH74" s="15">
        <f>IF(AND(ISNUMBER(R74),ISNUMBER(R73)),VLOOKUP(ABS(R74-R73),'IMP Table'!$A$2:$C$26,3)*SIGN(R74-R73),0)</f>
        <v/>
      </c>
      <c r="AI74" s="15">
        <f>IF(AND(ISNUMBER(S74),ISNUMBER(S69)),VLOOKUP(ABS(S74-S69),'IMP Table'!$A$2:$C$26,3)*SIGN(S74-S69),0)</f>
        <v/>
      </c>
      <c r="AJ74" s="15">
        <f>IF(AND(ISNUMBER(S74),ISNUMBER(S70)),VLOOKUP(ABS(S74-S70),'IMP Table'!$A$2:$C$26,3)*SIGN(S74-S70),0)</f>
        <v/>
      </c>
      <c r="AK74" s="15">
        <f>IF(AND(ISNUMBER(S74),ISNUMBER(S71)),VLOOKUP(ABS(S74-S71),'IMP Table'!$A$2:$C$26,3)*SIGN(S74-S71),0)</f>
        <v/>
      </c>
      <c r="AL74" s="15">
        <f>IF(AND(ISNUMBER(S74),ISNUMBER(S72)),VLOOKUP(ABS(S74-S72),'IMP Table'!$A$2:$C$26,3)*SIGN(S74-S72),0)</f>
        <v/>
      </c>
      <c r="AM74" s="15">
        <f>IF(AND(ISNUMBER(S74),ISNUMBER(S73)),VLOOKUP(ABS(S74-S73),'IMP Table'!$A$2:$C$26,3)*SIGN(S74-S73),0)</f>
        <v/>
      </c>
    </row>
    <row r="75">
      <c r="A75" t="n">
        <v>13</v>
      </c>
      <c r="B75">
        <f>'By Round'!A15</f>
        <v/>
      </c>
      <c r="C75">
        <f>'By Round'!B19</f>
        <v/>
      </c>
      <c r="D75">
        <f>'By Round'!C19</f>
        <v/>
      </c>
      <c r="E75">
        <f>'By Round'!D19</f>
        <v/>
      </c>
      <c r="F75" s="11" t="inlineStr">
        <is>
          <t>Both</t>
        </is>
      </c>
      <c r="G75">
        <f>IF(ISBLANK('By Round'!G19),"",'By Round'!G19)</f>
        <v/>
      </c>
      <c r="H75">
        <f>IF(ISBLANK('By Round'!H19),"",'By Round'!H19)</f>
        <v/>
      </c>
      <c r="I75">
        <f>IF(ISBLANK('By Round'!I19),"",'By Round'!I19)</f>
        <v/>
      </c>
      <c r="J75">
        <f>IF(ISBLANK('By Round'!J19),"",'By Round'!J19)</f>
        <v/>
      </c>
      <c r="K75">
        <f>IF(ISBLANK('By Round'!K19),"",'By Round'!K19)</f>
        <v/>
      </c>
      <c r="L75" s="12">
        <f>SUM(AD75:AH75)</f>
        <v/>
      </c>
      <c r="M75" s="13">
        <f>SUM(AI75:AM75)</f>
        <v/>
      </c>
      <c r="N75" s="8">
        <f>IF(COUNT(T75:X75)&gt;0,P75/COUNT(T75:X75),0.5)</f>
        <v/>
      </c>
      <c r="O75" s="8">
        <f>IF(COUNT(Y75:AC75)&gt;0,Q75/COUNT(Y75:AC75),0.5)</f>
        <v/>
      </c>
      <c r="P75" s="5">
        <f>SUM(T75:X75)</f>
        <v/>
      </c>
      <c r="Q75" s="5">
        <f>SUM(Y75:AC75)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IF(ISNUMBER(R75),IF(ISNUMBER(R76),IF(R75&gt;R76,1.0,IF(R75=R76,0.5,0.0)),""),"")</f>
        <v/>
      </c>
      <c r="U75">
        <f>IF(ISNUMBER(R75),IF(ISNUMBER(R77),IF(R75&gt;R77,1.0,IF(R75=R77,0.5,0.0)),""),"")</f>
        <v/>
      </c>
      <c r="V75">
        <f>IF(ISNUMBER(R75),IF(ISNUMBER(R78),IF(R75&gt;R78,1.0,IF(R75=R78,0.5,0.0)),""),"")</f>
        <v/>
      </c>
      <c r="W75">
        <f>IF(ISNUMBER(R75),IF(ISNUMBER(R79),IF(R75&gt;R79,1.0,IF(R75=R79,0.5,0.0)),""),"")</f>
        <v/>
      </c>
      <c r="X75">
        <f>IF(ISNUMBER(R75),IF(ISNUMBER(R80),IF(R75&gt;R80,1.0,IF(R75=R80,0.5,0.0)),""),"")</f>
        <v/>
      </c>
      <c r="Y75">
        <f>IF(ISNUMBER(S75),IF(ISNUMBER(S76),IF(S75&gt;S76,1.0,IF(S75=S76,0.5,0.0)),""),"")</f>
        <v/>
      </c>
      <c r="Z75">
        <f>IF(ISNUMBER(S75),IF(ISNUMBER(S77),IF(S75&gt;S77,1.0,IF(S75=S77,0.5,0.0)),""),"")</f>
        <v/>
      </c>
      <c r="AA75">
        <f>IF(ISNUMBER(S75),IF(ISNUMBER(S78),IF(S75&gt;S78,1.0,IF(S75=S78,0.5,0.0)),""),"")</f>
        <v/>
      </c>
      <c r="AB75">
        <f>IF(ISNUMBER(S75),IF(ISNUMBER(S79),IF(S75&gt;S79,1.0,IF(S75=S79,0.5,0.0)),""),"")</f>
        <v/>
      </c>
      <c r="AC75">
        <f>IF(ISNUMBER(S75),IF(ISNUMBER(S80),IF(S75&gt;S80,1.0,IF(S75=S80,0.5,0.0)),""),"")</f>
        <v/>
      </c>
      <c r="AD75" s="14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IF(AND(ISNUMBER(R75),ISNUMBER(R78)),VLOOKUP(ABS(R75-R78),'IMP Table'!$A$2:$C$26,3)*SIGN(R75-R78),0)</f>
        <v/>
      </c>
      <c r="AG75">
        <f>IF(AND(ISNUMBER(R75),ISNUMBER(R79)),VLOOKUP(ABS(R75-R79),'IMP Table'!$A$2:$C$26,3)*SIGN(R75-R79),0)</f>
        <v/>
      </c>
      <c r="AH75">
        <f>IF(AND(ISNUMBER(R75),ISNUMBER(R80)),VLOOKUP(ABS(R75-R80),'IMP Table'!$A$2:$C$26,3)*SIGN(R75-R80),0)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IF(AND(ISNUMBER(S75),ISNUMBER(S80)),VLOOKUP(ABS(S75-S80),'IMP Table'!$A$2:$C$26,3)*SIGN(S75-S80),0)</f>
        <v/>
      </c>
    </row>
    <row r="76">
      <c r="B76">
        <f>'By Round'!A27</f>
        <v/>
      </c>
      <c r="C76">
        <f>'By Round'!B29</f>
        <v/>
      </c>
      <c r="D76">
        <f>'By Round'!C29</f>
        <v/>
      </c>
      <c r="E76">
        <f>'By Round'!D29</f>
        <v/>
      </c>
      <c r="F76" s="11" t="inlineStr">
        <is>
          <t>Both</t>
        </is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 s="12">
        <f>SUM(AD76:AH76)</f>
        <v/>
      </c>
      <c r="M76" s="13">
        <f>SUM(AI76:AM76)</f>
        <v/>
      </c>
      <c r="N76" s="8">
        <f>IF(COUNT(T76:X76)&gt;0,P76/COUNT(T76:X76),0.5)</f>
        <v/>
      </c>
      <c r="O76" s="8">
        <f>IF(COUNT(Y76:AC76)&gt;0,Q76/COUNT(Y76:AC76),0.5)</f>
        <v/>
      </c>
      <c r="P76" s="5">
        <f>SUM(T76:X76)</f>
        <v/>
      </c>
      <c r="Q76" s="5">
        <f>SUM(Y76:AC76)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IF(ISNUMBER(R76),IF(ISNUMBER(R75),IF(R76&gt;R75,1.0,IF(R76=R75,0.5,0.0)),""),"")</f>
        <v/>
      </c>
      <c r="U76">
        <f>IF(ISNUMBER(R76),IF(ISNUMBER(R77),IF(R76&gt;R77,1.0,IF(R76=R77,0.5,0.0)),""),"")</f>
        <v/>
      </c>
      <c r="V76">
        <f>IF(ISNUMBER(R76),IF(ISNUMBER(R78),IF(R76&gt;R78,1.0,IF(R76=R78,0.5,0.0)),""),"")</f>
        <v/>
      </c>
      <c r="W76">
        <f>IF(ISNUMBER(R76),IF(ISNUMBER(R79),IF(R76&gt;R79,1.0,IF(R76=R79,0.5,0.0)),""),"")</f>
        <v/>
      </c>
      <c r="X76">
        <f>IF(ISNUMBER(R76),IF(ISNUMBER(R80),IF(R76&gt;R80,1.0,IF(R76=R80,0.5,0.0)),""),"")</f>
        <v/>
      </c>
      <c r="Y76">
        <f>IF(ISNUMBER(S76),IF(ISNUMBER(S75),IF(S76&gt;S75,1.0,IF(S76=S75,0.5,0.0)),""),"")</f>
        <v/>
      </c>
      <c r="Z76">
        <f>IF(ISNUMBER(S76),IF(ISNUMBER(S77),IF(S76&gt;S77,1.0,IF(S76=S77,0.5,0.0)),""),"")</f>
        <v/>
      </c>
      <c r="AA76">
        <f>IF(ISNUMBER(S76),IF(ISNUMBER(S78),IF(S76&gt;S78,1.0,IF(S76=S78,0.5,0.0)),""),"")</f>
        <v/>
      </c>
      <c r="AB76">
        <f>IF(ISNUMBER(S76),IF(ISNUMBER(S79),IF(S76&gt;S79,1.0,IF(S76=S79,0.5,0.0)),""),"")</f>
        <v/>
      </c>
      <c r="AC76">
        <f>IF(ISNUMBER(S76),IF(ISNUMBER(S80),IF(S76&gt;S80,1.0,IF(S76=S80,0.5,0.0)),""),"")</f>
        <v/>
      </c>
      <c r="AD76" s="14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IF(AND(ISNUMBER(R76),ISNUMBER(R78)),VLOOKUP(ABS(R76-R78),'IMP Table'!$A$2:$C$26,3)*SIGN(R76-R78),0)</f>
        <v/>
      </c>
      <c r="AG76">
        <f>IF(AND(ISNUMBER(R76),ISNUMBER(R79)),VLOOKUP(ABS(R76-R79),'IMP Table'!$A$2:$C$26,3)*SIGN(R76-R79),0)</f>
        <v/>
      </c>
      <c r="AH76">
        <f>IF(AND(ISNUMBER(R76),ISNUMBER(R80)),VLOOKUP(ABS(R76-R80),'IMP Table'!$A$2:$C$26,3)*SIGN(R76-R80),0)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IF(AND(ISNUMBER(S76),ISNUMBER(S80)),VLOOKUP(ABS(S76-S80),'IMP Table'!$A$2:$C$26,3)*SIGN(S76-S80),0)</f>
        <v/>
      </c>
    </row>
    <row r="77">
      <c r="B77">
        <f>'By Round'!A75</f>
        <v/>
      </c>
      <c r="C77">
        <f>'By Round'!B75</f>
        <v/>
      </c>
      <c r="D77">
        <f>'By Round'!C75</f>
        <v/>
      </c>
      <c r="E77">
        <f>'By Round'!D75</f>
        <v/>
      </c>
      <c r="F77" s="11" t="inlineStr">
        <is>
          <t>Both</t>
        </is>
      </c>
      <c r="G77">
        <f>IF(ISBLANK('By Round'!G75),"",'By Round'!G75)</f>
        <v/>
      </c>
      <c r="H77">
        <f>IF(ISBLANK('By Round'!H75),"",'By Round'!H75)</f>
        <v/>
      </c>
      <c r="I77">
        <f>IF(ISBLANK('By Round'!I75),"",'By Round'!I75)</f>
        <v/>
      </c>
      <c r="J77">
        <f>IF(ISBLANK('By Round'!J75),"",'By Round'!J75)</f>
        <v/>
      </c>
      <c r="K77">
        <f>IF(ISBLANK('By Round'!K75),"",'By Round'!K75)</f>
        <v/>
      </c>
      <c r="L77" s="12">
        <f>SUM(AD77:AH77)</f>
        <v/>
      </c>
      <c r="M77" s="13">
        <f>SUM(AI77:AM77)</f>
        <v/>
      </c>
      <c r="N77" s="8">
        <f>IF(COUNT(T77:X77)&gt;0,P77/COUNT(T77:X77),0.5)</f>
        <v/>
      </c>
      <c r="O77" s="8">
        <f>IF(COUNT(Y77:AC77)&gt;0,Q77/COUNT(Y77:AC77),0.5)</f>
        <v/>
      </c>
      <c r="P77" s="5">
        <f>SUM(T77:X77)</f>
        <v/>
      </c>
      <c r="Q77" s="5">
        <f>SUM(Y77:AC77)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IF(ISNUMBER(R77),IF(ISNUMBER(R75),IF(R77&gt;R75,1.0,IF(R77=R75,0.5,0.0)),""),"")</f>
        <v/>
      </c>
      <c r="U77">
        <f>IF(ISNUMBER(R77),IF(ISNUMBER(R76),IF(R77&gt;R76,1.0,IF(R77=R76,0.5,0.0)),""),"")</f>
        <v/>
      </c>
      <c r="V77">
        <f>IF(ISNUMBER(R77),IF(ISNUMBER(R78),IF(R77&gt;R78,1.0,IF(R77=R78,0.5,0.0)),""),"")</f>
        <v/>
      </c>
      <c r="W77">
        <f>IF(ISNUMBER(R77),IF(ISNUMBER(R79),IF(R77&gt;R79,1.0,IF(R77=R79,0.5,0.0)),""),"")</f>
        <v/>
      </c>
      <c r="X77">
        <f>IF(ISNUMBER(R77),IF(ISNUMBER(R80),IF(R77&gt;R80,1.0,IF(R77=R80,0.5,0.0)),""),"")</f>
        <v/>
      </c>
      <c r="Y77">
        <f>IF(ISNUMBER(S77),IF(ISNUMBER(S75),IF(S77&gt;S75,1.0,IF(S77=S75,0.5,0.0)),""),"")</f>
        <v/>
      </c>
      <c r="Z77">
        <f>IF(ISNUMBER(S77),IF(ISNUMBER(S76),IF(S77&gt;S76,1.0,IF(S77=S76,0.5,0.0)),""),"")</f>
        <v/>
      </c>
      <c r="AA77">
        <f>IF(ISNUMBER(S77),IF(ISNUMBER(S78),IF(S77&gt;S78,1.0,IF(S77=S78,0.5,0.0)),""),"")</f>
        <v/>
      </c>
      <c r="AB77">
        <f>IF(ISNUMBER(S77),IF(ISNUMBER(S79),IF(S77&gt;S79,1.0,IF(S77=S79,0.5,0.0)),""),"")</f>
        <v/>
      </c>
      <c r="AC77">
        <f>IF(ISNUMBER(S77),IF(ISNUMBER(S80),IF(S77&gt;S80,1.0,IF(S77=S80,0.5,0.0)),""),"")</f>
        <v/>
      </c>
      <c r="AD77" s="14">
        <f>IF(AND(ISNUMBER(R77),ISNUMBER(R75)),VLOOKUP(ABS(R77-R75),'IMP Table'!$A$2:$C$26,3)*SIGN(R77-R75),0)</f>
        <v/>
      </c>
      <c r="AE77">
        <f>IF(AND(ISNUMBER(R77),ISNUMBER(R76)),VLOOKUP(ABS(R77-R76),'IMP Table'!$A$2:$C$26,3)*SIGN(R77-R76),0)</f>
        <v/>
      </c>
      <c r="AF77">
        <f>IF(AND(ISNUMBER(R77),ISNUMBER(R78)),VLOOKUP(ABS(R77-R78),'IMP Table'!$A$2:$C$26,3)*SIGN(R77-R78),0)</f>
        <v/>
      </c>
      <c r="AG77">
        <f>IF(AND(ISNUMBER(R77),ISNUMBER(R79)),VLOOKUP(ABS(R77-R79),'IMP Table'!$A$2:$C$26,3)*SIGN(R77-R79),0)</f>
        <v/>
      </c>
      <c r="AH77">
        <f>IF(AND(ISNUMBER(R77),ISNUMBER(R80)),VLOOKUP(ABS(R77-R80),'IMP Table'!$A$2:$C$26,3)*SIGN(R77-R80),0)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IF(AND(ISNUMBER(S77),ISNUMBER(S80)),VLOOKUP(ABS(S77-S80),'IMP Table'!$A$2:$C$26,3)*SIGN(S77-S80),0)</f>
        <v/>
      </c>
    </row>
    <row r="78">
      <c r="B78">
        <f>'By Round'!A99</f>
        <v/>
      </c>
      <c r="C78">
        <f>'By Round'!B109</f>
        <v/>
      </c>
      <c r="D78">
        <f>'By Round'!C109</f>
        <v/>
      </c>
      <c r="E78">
        <f>'By Round'!D109</f>
        <v/>
      </c>
      <c r="F78" s="11" t="inlineStr">
        <is>
          <t>Both</t>
        </is>
      </c>
      <c r="G78">
        <f>IF(ISBLANK('By Round'!G109),"",'By Round'!G109)</f>
        <v/>
      </c>
      <c r="H78">
        <f>IF(ISBLANK('By Round'!H109),"",'By Round'!H109)</f>
        <v/>
      </c>
      <c r="I78">
        <f>IF(ISBLANK('By Round'!I109),"",'By Round'!I109)</f>
        <v/>
      </c>
      <c r="J78">
        <f>IF(ISBLANK('By Round'!J109),"",'By Round'!J109)</f>
        <v/>
      </c>
      <c r="K78">
        <f>IF(ISBLANK('By Round'!K109),"",'By Round'!K109)</f>
        <v/>
      </c>
      <c r="L78" s="12">
        <f>SUM(AD78:AH78)</f>
        <v/>
      </c>
      <c r="M78" s="13">
        <f>SUM(AI78:AM78)</f>
        <v/>
      </c>
      <c r="N78" s="8">
        <f>IF(COUNT(T78:X78)&gt;0,P78/COUNT(T78:X78),0.5)</f>
        <v/>
      </c>
      <c r="O78" s="8">
        <f>IF(COUNT(Y78:AC78)&gt;0,Q78/COUNT(Y78:AC78),0.5)</f>
        <v/>
      </c>
      <c r="P78" s="5">
        <f>SUM(T78:X78)</f>
        <v/>
      </c>
      <c r="Q78" s="5">
        <f>SUM(Y78:AC78)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IF(ISNUMBER(R78),IF(ISNUMBER(R75),IF(R78&gt;R75,1.0,IF(R78=R75,0.5,0.0)),""),"")</f>
        <v/>
      </c>
      <c r="U78">
        <f>IF(ISNUMBER(R78),IF(ISNUMBER(R76),IF(R78&gt;R76,1.0,IF(R78=R76,0.5,0.0)),""),"")</f>
        <v/>
      </c>
      <c r="V78">
        <f>IF(ISNUMBER(R78),IF(ISNUMBER(R77),IF(R78&gt;R77,1.0,IF(R78=R77,0.5,0.0)),""),"")</f>
        <v/>
      </c>
      <c r="W78">
        <f>IF(ISNUMBER(R78),IF(ISNUMBER(R79),IF(R78&gt;R79,1.0,IF(R78=R79,0.5,0.0)),""),"")</f>
        <v/>
      </c>
      <c r="X78">
        <f>IF(ISNUMBER(R78),IF(ISNUMBER(R80),IF(R78&gt;R80,1.0,IF(R78=R80,0.5,0.0)),""),"")</f>
        <v/>
      </c>
      <c r="Y78">
        <f>IF(ISNUMBER(S78),IF(ISNUMBER(S75),IF(S78&gt;S75,1.0,IF(S78=S75,0.5,0.0)),""),"")</f>
        <v/>
      </c>
      <c r="Z78">
        <f>IF(ISNUMBER(S78),IF(ISNUMBER(S76),IF(S78&gt;S76,1.0,IF(S78=S76,0.5,0.0)),""),"")</f>
        <v/>
      </c>
      <c r="AA78">
        <f>IF(ISNUMBER(S78),IF(ISNUMBER(S77),IF(S78&gt;S77,1.0,IF(S78=S77,0.5,0.0)),""),"")</f>
        <v/>
      </c>
      <c r="AB78">
        <f>IF(ISNUMBER(S78),IF(ISNUMBER(S79),IF(S78&gt;S79,1.0,IF(S78=S79,0.5,0.0)),""),"")</f>
        <v/>
      </c>
      <c r="AC78">
        <f>IF(ISNUMBER(S78),IF(ISNUMBER(S80),IF(S78&gt;S80,1.0,IF(S78=S80,0.5,0.0)),""),"")</f>
        <v/>
      </c>
      <c r="AD78" s="14">
        <f>IF(AND(ISNUMBER(R78),ISNUMBER(R75)),VLOOKUP(ABS(R78-R75),'IMP Table'!$A$2:$C$26,3)*SIGN(R78-R75),0)</f>
        <v/>
      </c>
      <c r="AE78">
        <f>IF(AND(ISNUMBER(R78),ISNUMBER(R76)),VLOOKUP(ABS(R78-R76),'IMP Table'!$A$2:$C$26,3)*SIGN(R78-R76),0)</f>
        <v/>
      </c>
      <c r="AF78">
        <f>IF(AND(ISNUMBER(R78),ISNUMBER(R77)),VLOOKUP(ABS(R78-R77),'IMP Table'!$A$2:$C$26,3)*SIGN(R78-R77),0)</f>
        <v/>
      </c>
      <c r="AG78">
        <f>IF(AND(ISNUMBER(R78),ISNUMBER(R79)),VLOOKUP(ABS(R78-R79),'IMP Table'!$A$2:$C$26,3)*SIGN(R78-R79),0)</f>
        <v/>
      </c>
      <c r="AH78">
        <f>IF(AND(ISNUMBER(R78),ISNUMBER(R80)),VLOOKUP(ABS(R78-R80),'IMP Table'!$A$2:$C$26,3)*SIGN(R78-R80),0)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IF(AND(ISNUMBER(S78),ISNUMBER(S80)),VLOOKUP(ABS(S78-S80),'IMP Table'!$A$2:$C$26,3)*SIGN(S78-S80),0)</f>
        <v/>
      </c>
    </row>
    <row r="79">
      <c r="B79">
        <f>'By Round'!A111</f>
        <v/>
      </c>
      <c r="C79">
        <f>'By Round'!B119</f>
        <v/>
      </c>
      <c r="D79">
        <f>'By Round'!C119</f>
        <v/>
      </c>
      <c r="E79">
        <f>'By Round'!D119</f>
        <v/>
      </c>
      <c r="F79" s="11" t="inlineStr">
        <is>
          <t>Both</t>
        </is>
      </c>
      <c r="G79">
        <f>IF(ISBLANK('By Round'!G119),"",'By Round'!G119)</f>
        <v/>
      </c>
      <c r="H79">
        <f>IF(ISBLANK('By Round'!H119),"",'By Round'!H119)</f>
        <v/>
      </c>
      <c r="I79">
        <f>IF(ISBLANK('By Round'!I119),"",'By Round'!I119)</f>
        <v/>
      </c>
      <c r="J79">
        <f>IF(ISBLANK('By Round'!J119),"",'By Round'!J119)</f>
        <v/>
      </c>
      <c r="K79">
        <f>IF(ISBLANK('By Round'!K119),"",'By Round'!K119)</f>
        <v/>
      </c>
      <c r="L79" s="12">
        <f>SUM(AD79:AH79)</f>
        <v/>
      </c>
      <c r="M79" s="13">
        <f>SUM(AI79:AM79)</f>
        <v/>
      </c>
      <c r="N79" s="8">
        <f>IF(COUNT(T79:X79)&gt;0,P79/COUNT(T79:X79),0.5)</f>
        <v/>
      </c>
      <c r="O79" s="8">
        <f>IF(COUNT(Y79:AC79)&gt;0,Q79/COUNT(Y79:AC79),0.5)</f>
        <v/>
      </c>
      <c r="P79" s="5">
        <f>SUM(T79:X79)</f>
        <v/>
      </c>
      <c r="Q79" s="5">
        <f>SUM(Y79:AC79)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IF(ISNUMBER(R79),IF(ISNUMBER(R75),IF(R79&gt;R75,1.0,IF(R79=R75,0.5,0.0)),""),"")</f>
        <v/>
      </c>
      <c r="U79">
        <f>IF(ISNUMBER(R79),IF(ISNUMBER(R76),IF(R79&gt;R76,1.0,IF(R79=R76,0.5,0.0)),""),"")</f>
        <v/>
      </c>
      <c r="V79">
        <f>IF(ISNUMBER(R79),IF(ISNUMBER(R77),IF(R79&gt;R77,1.0,IF(R79=R77,0.5,0.0)),""),"")</f>
        <v/>
      </c>
      <c r="W79">
        <f>IF(ISNUMBER(R79),IF(ISNUMBER(R78),IF(R79&gt;R78,1.0,IF(R79=R78,0.5,0.0)),""),"")</f>
        <v/>
      </c>
      <c r="X79">
        <f>IF(ISNUMBER(R79),IF(ISNUMBER(R80),IF(R79&gt;R80,1.0,IF(R79=R80,0.5,0.0)),""),"")</f>
        <v/>
      </c>
      <c r="Y79">
        <f>IF(ISNUMBER(S79),IF(ISNUMBER(S75),IF(S79&gt;S75,1.0,IF(S79=S75,0.5,0.0)),""),"")</f>
        <v/>
      </c>
      <c r="Z79">
        <f>IF(ISNUMBER(S79),IF(ISNUMBER(S76),IF(S79&gt;S76,1.0,IF(S79=S76,0.5,0.0)),""),"")</f>
        <v/>
      </c>
      <c r="AA79">
        <f>IF(ISNUMBER(S79),IF(ISNUMBER(S77),IF(S79&gt;S77,1.0,IF(S79=S77,0.5,0.0)),""),"")</f>
        <v/>
      </c>
      <c r="AB79">
        <f>IF(ISNUMBER(S79),IF(ISNUMBER(S78),IF(S79&gt;S78,1.0,IF(S79=S78,0.5,0.0)),""),"")</f>
        <v/>
      </c>
      <c r="AC79">
        <f>IF(ISNUMBER(S79),IF(ISNUMBER(S80),IF(S79&gt;S80,1.0,IF(S79=S80,0.5,0.0)),""),"")</f>
        <v/>
      </c>
      <c r="AD79" s="14">
        <f>IF(AND(ISNUMBER(R79),ISNUMBER(R75)),VLOOKUP(ABS(R79-R75),'IMP Table'!$A$2:$C$26,3)*SIGN(R79-R75),0)</f>
        <v/>
      </c>
      <c r="AE79">
        <f>IF(AND(ISNUMBER(R79),ISNUMBER(R76)),VLOOKUP(ABS(R79-R76),'IMP Table'!$A$2:$C$26,3)*SIGN(R79-R76),0)</f>
        <v/>
      </c>
      <c r="AF79">
        <f>IF(AND(ISNUMBER(R79),ISNUMBER(R77)),VLOOKUP(ABS(R79-R77),'IMP Table'!$A$2:$C$26,3)*SIGN(R79-R77),0)</f>
        <v/>
      </c>
      <c r="AG79">
        <f>IF(AND(ISNUMBER(R79),ISNUMBER(R78)),VLOOKUP(ABS(R79-R78),'IMP Table'!$A$2:$C$26,3)*SIGN(R79-R78),0)</f>
        <v/>
      </c>
      <c r="AH79">
        <f>IF(AND(ISNUMBER(R79),ISNUMBER(R80)),VLOOKUP(ABS(R79-R80),'IMP Table'!$A$2:$C$26,3)*SIGN(R79-R80),0)</f>
        <v/>
      </c>
      <c r="AI79">
        <f>IF(AND(ISNUMBER(S79),ISNUMBER(S75)),VLOOKUP(ABS(S79-S75),'IMP Table'!$A$2:$C$26,3)*SIGN(S79-S75),0)</f>
        <v/>
      </c>
      <c r="AJ79">
        <f>IF(AND(ISNUMBER(S79),ISNUMBER(S76)),VLOOKUP(ABS(S79-S76),'IMP Table'!$A$2:$C$26,3)*SIGN(S79-S76),0)</f>
        <v/>
      </c>
      <c r="AK79">
        <f>IF(AND(ISNUMBER(S79),ISNUMBER(S77)),VLOOKUP(ABS(S79-S77),'IMP Table'!$A$2:$C$26,3)*SIGN(S79-S77),0)</f>
        <v/>
      </c>
      <c r="AL79">
        <f>IF(AND(ISNUMBER(S79),ISNUMBER(S78)),VLOOKUP(ABS(S79-S78),'IMP Table'!$A$2:$C$26,3)*SIGN(S79-S78),0)</f>
        <v/>
      </c>
      <c r="AM79">
        <f>IF(AND(ISNUMBER(S79),ISNUMBER(S80)),VLOOKUP(ABS(S79-S80),'IMP Table'!$A$2:$C$26,3)*SIGN(S79-S80),0)</f>
        <v/>
      </c>
    </row>
    <row r="80">
      <c r="A80" s="15" t="n"/>
      <c r="B80" s="15">
        <f>'By Round'!A123</f>
        <v/>
      </c>
      <c r="C80" s="15">
        <f>'By Round'!B129</f>
        <v/>
      </c>
      <c r="D80" s="15">
        <f>'By Round'!C129</f>
        <v/>
      </c>
      <c r="E80" s="15">
        <f>'By Round'!D129</f>
        <v/>
      </c>
      <c r="F80" s="16" t="inlineStr">
        <is>
          <t>Both</t>
        </is>
      </c>
      <c r="G80" s="15">
        <f>IF(ISBLANK('By Round'!G129),"",'By Round'!G129)</f>
        <v/>
      </c>
      <c r="H80" s="15">
        <f>IF(ISBLANK('By Round'!H129),"",'By Round'!H129)</f>
        <v/>
      </c>
      <c r="I80" s="15">
        <f>IF(ISBLANK('By Round'!I129),"",'By Round'!I129)</f>
        <v/>
      </c>
      <c r="J80" s="15">
        <f>IF(ISBLANK('By Round'!J129),"",'By Round'!J129)</f>
        <v/>
      </c>
      <c r="K80" s="15">
        <f>IF(ISBLANK('By Round'!K129),"",'By Round'!K129)</f>
        <v/>
      </c>
      <c r="L80" s="17">
        <f>SUM(AD80:AH80)</f>
        <v/>
      </c>
      <c r="M80" s="18">
        <f>SUM(AI80:AM80)</f>
        <v/>
      </c>
      <c r="N80" s="19">
        <f>IF(COUNT(T80:X80)&gt;0,P80/COUNT(T80:X80),0.5)</f>
        <v/>
      </c>
      <c r="O80" s="19">
        <f>IF(COUNT(Y80:AC80)&gt;0,Q80/COUNT(Y80:AC80),0.5)</f>
        <v/>
      </c>
      <c r="P80" s="20">
        <f>SUM(T80:X80)</f>
        <v/>
      </c>
      <c r="Q80" s="20">
        <f>SUM(Y80:AC80)</f>
        <v/>
      </c>
      <c r="R80" s="21">
        <f>IF(ISNUMBER(J80),J80,IF(ISNUMBER(K80),-K80,""))</f>
        <v/>
      </c>
      <c r="S80" s="15">
        <f>IF(ISNUMBER(K80),K80,IF(ISNUMBER(J80),-J80,""))</f>
        <v/>
      </c>
      <c r="T80" s="21">
        <f>IF(ISNUMBER(R80),IF(ISNUMBER(R75),IF(R80&gt;R75,1.0,IF(R80=R75,0.5,0.0)),""),"")</f>
        <v/>
      </c>
      <c r="U80" s="15">
        <f>IF(ISNUMBER(R80),IF(ISNUMBER(R76),IF(R80&gt;R76,1.0,IF(R80=R76,0.5,0.0)),""),"")</f>
        <v/>
      </c>
      <c r="V80" s="15">
        <f>IF(ISNUMBER(R80),IF(ISNUMBER(R77),IF(R80&gt;R77,1.0,IF(R80=R77,0.5,0.0)),""),"")</f>
        <v/>
      </c>
      <c r="W80" s="15">
        <f>IF(ISNUMBER(R80),IF(ISNUMBER(R78),IF(R80&gt;R78,1.0,IF(R80=R78,0.5,0.0)),""),"")</f>
        <v/>
      </c>
      <c r="X80" s="15">
        <f>IF(ISNUMBER(R80),IF(ISNUMBER(R79),IF(R80&gt;R79,1.0,IF(R80=R79,0.5,0.0)),""),"")</f>
        <v/>
      </c>
      <c r="Y80" s="15">
        <f>IF(ISNUMBER(S80),IF(ISNUMBER(S75),IF(S80&gt;S75,1.0,IF(S80=S75,0.5,0.0)),""),"")</f>
        <v/>
      </c>
      <c r="Z80" s="15">
        <f>IF(ISNUMBER(S80),IF(ISNUMBER(S76),IF(S80&gt;S76,1.0,IF(S80=S76,0.5,0.0)),""),"")</f>
        <v/>
      </c>
      <c r="AA80" s="15">
        <f>IF(ISNUMBER(S80),IF(ISNUMBER(S77),IF(S80&gt;S77,1.0,IF(S80=S77,0.5,0.0)),""),"")</f>
        <v/>
      </c>
      <c r="AB80" s="15">
        <f>IF(ISNUMBER(S80),IF(ISNUMBER(S78),IF(S80&gt;S78,1.0,IF(S80=S78,0.5,0.0)),""),"")</f>
        <v/>
      </c>
      <c r="AC80" s="15">
        <f>IF(ISNUMBER(S80),IF(ISNUMBER(S79),IF(S80&gt;S79,1.0,IF(S80=S79,0.5,0.0)),""),"")</f>
        <v/>
      </c>
      <c r="AD80" s="21">
        <f>IF(AND(ISNUMBER(R80),ISNUMBER(R75)),VLOOKUP(ABS(R80-R75),'IMP Table'!$A$2:$C$26,3)*SIGN(R80-R75),0)</f>
        <v/>
      </c>
      <c r="AE80" s="15">
        <f>IF(AND(ISNUMBER(R80),ISNUMBER(R76)),VLOOKUP(ABS(R80-R76),'IMP Table'!$A$2:$C$26,3)*SIGN(R80-R76),0)</f>
        <v/>
      </c>
      <c r="AF80" s="15">
        <f>IF(AND(ISNUMBER(R80),ISNUMBER(R77)),VLOOKUP(ABS(R80-R77),'IMP Table'!$A$2:$C$26,3)*SIGN(R80-R77),0)</f>
        <v/>
      </c>
      <c r="AG80" s="15">
        <f>IF(AND(ISNUMBER(R80),ISNUMBER(R78)),VLOOKUP(ABS(R80-R78),'IMP Table'!$A$2:$C$26,3)*SIGN(R80-R78),0)</f>
        <v/>
      </c>
      <c r="AH80" s="15">
        <f>IF(AND(ISNUMBER(R80),ISNUMBER(R79)),VLOOKUP(ABS(R80-R79),'IMP Table'!$A$2:$C$26,3)*SIGN(R80-R79),0)</f>
        <v/>
      </c>
      <c r="AI80" s="15">
        <f>IF(AND(ISNUMBER(S80),ISNUMBER(S75)),VLOOKUP(ABS(S80-S75),'IMP Table'!$A$2:$C$26,3)*SIGN(S80-S75),0)</f>
        <v/>
      </c>
      <c r="AJ80" s="15">
        <f>IF(AND(ISNUMBER(S80),ISNUMBER(S76)),VLOOKUP(ABS(S80-S76),'IMP Table'!$A$2:$C$26,3)*SIGN(S80-S76),0)</f>
        <v/>
      </c>
      <c r="AK80" s="15">
        <f>IF(AND(ISNUMBER(S80),ISNUMBER(S77)),VLOOKUP(ABS(S80-S77),'IMP Table'!$A$2:$C$26,3)*SIGN(S80-S77),0)</f>
        <v/>
      </c>
      <c r="AL80" s="15">
        <f>IF(AND(ISNUMBER(S80),ISNUMBER(S78)),VLOOKUP(ABS(S80-S78),'IMP Table'!$A$2:$C$26,3)*SIGN(S80-S78),0)</f>
        <v/>
      </c>
      <c r="AM80" s="15">
        <f>IF(AND(ISNUMBER(S80),ISNUMBER(S79)),VLOOKUP(ABS(S80-S79),'IMP Table'!$A$2:$C$26,3)*SIGN(S80-S79),0)</f>
        <v/>
      </c>
    </row>
    <row r="81">
      <c r="A81" t="n">
        <v>14</v>
      </c>
      <c r="B81">
        <f>'By Round'!A15</f>
        <v/>
      </c>
      <c r="C81">
        <f>'By Round'!B19</f>
        <v/>
      </c>
      <c r="D81">
        <f>'By Round'!C19</f>
        <v/>
      </c>
      <c r="E81">
        <f>'By Round'!D19</f>
        <v/>
      </c>
      <c r="F81" s="11" t="inlineStr">
        <is>
          <t>None</t>
        </is>
      </c>
      <c r="G81">
        <f>IF(ISBLANK('By Round'!G19),"",'By Round'!G19)</f>
        <v/>
      </c>
      <c r="H81">
        <f>IF(ISBLANK('By Round'!H19),"",'By Round'!H19)</f>
        <v/>
      </c>
      <c r="I81">
        <f>IF(ISBLANK('By Round'!I19),"",'By Round'!I19)</f>
        <v/>
      </c>
      <c r="J81">
        <f>IF(ISBLANK('By Round'!J19),"",'By Round'!J19)</f>
        <v/>
      </c>
      <c r="K81">
        <f>IF(ISBLANK('By Round'!K19),"",'By Round'!K19)</f>
        <v/>
      </c>
      <c r="L81" s="12">
        <f>SUM(AD81:AH81)</f>
        <v/>
      </c>
      <c r="M81" s="13">
        <f>SUM(AI81:AM81)</f>
        <v/>
      </c>
      <c r="N81" s="8">
        <f>IF(COUNT(T81:X81)&gt;0,P81/COUNT(T81:X81),0.5)</f>
        <v/>
      </c>
      <c r="O81" s="8">
        <f>IF(COUNT(Y81:AC81)&gt;0,Q81/COUNT(Y81:AC81),0.5)</f>
        <v/>
      </c>
      <c r="P81" s="5">
        <f>SUM(T81:X81)</f>
        <v/>
      </c>
      <c r="Q81" s="5">
        <f>SUM(Y81:AC81)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IF(ISNUMBER(R81),IF(ISNUMBER(R82),IF(R81&gt;R82,1.0,IF(R81=R82,0.5,0.0)),""),"")</f>
        <v/>
      </c>
      <c r="U81">
        <f>IF(ISNUMBER(R81),IF(ISNUMBER(R83),IF(R81&gt;R83,1.0,IF(R81=R83,0.5,0.0)),""),"")</f>
        <v/>
      </c>
      <c r="V81">
        <f>IF(ISNUMBER(R81),IF(ISNUMBER(R84),IF(R81&gt;R84,1.0,IF(R81=R84,0.5,0.0)),""),"")</f>
        <v/>
      </c>
      <c r="W81">
        <f>IF(ISNUMBER(R81),IF(ISNUMBER(R85),IF(R81&gt;R85,1.0,IF(R81=R85,0.5,0.0)),""),"")</f>
        <v/>
      </c>
      <c r="X81">
        <f>IF(ISNUMBER(R81),IF(ISNUMBER(R86),IF(R81&gt;R86,1.0,IF(R81=R86,0.5,0.0)),""),"")</f>
        <v/>
      </c>
      <c r="Y81">
        <f>IF(ISNUMBER(S81),IF(ISNUMBER(S82),IF(S81&gt;S82,1.0,IF(S81=S82,0.5,0.0)),""),"")</f>
        <v/>
      </c>
      <c r="Z81">
        <f>IF(ISNUMBER(S81),IF(ISNUMBER(S83),IF(S81&gt;S83,1.0,IF(S81=S83,0.5,0.0)),""),"")</f>
        <v/>
      </c>
      <c r="AA81">
        <f>IF(ISNUMBER(S81),IF(ISNUMBER(S84),IF(S81&gt;S84,1.0,IF(S81=S84,0.5,0.0)),""),"")</f>
        <v/>
      </c>
      <c r="AB81">
        <f>IF(ISNUMBER(S81),IF(ISNUMBER(S85),IF(S81&gt;S85,1.0,IF(S81=S85,0.5,0.0)),""),"")</f>
        <v/>
      </c>
      <c r="AC81">
        <f>IF(ISNUMBER(S81),IF(ISNUMBER(S86),IF(S81&gt;S86,1.0,IF(S81=S86,0.5,0.0)),""),"")</f>
        <v/>
      </c>
      <c r="AD81" s="14">
        <f>IF(AND(ISNUMBER(R81),ISNUMBER(R82)),VLOOKUP(ABS(R81-R82),'IMP Table'!$A$2:$C$26,3)*SIGN(R81-R82),0)</f>
        <v/>
      </c>
      <c r="AE81">
        <f>IF(AND(ISNUMBER(R81),ISNUMBER(R83)),VLOOKUP(ABS(R81-R83),'IMP Table'!$A$2:$C$26,3)*SIGN(R81-R83),0)</f>
        <v/>
      </c>
      <c r="AF81">
        <f>IF(AND(ISNUMBER(R81),ISNUMBER(R84)),VLOOKUP(ABS(R81-R84),'IMP Table'!$A$2:$C$26,3)*SIGN(R81-R84),0)</f>
        <v/>
      </c>
      <c r="AG81">
        <f>IF(AND(ISNUMBER(R81),ISNUMBER(R85)),VLOOKUP(ABS(R81-R85),'IMP Table'!$A$2:$C$26,3)*SIGN(R81-R85),0)</f>
        <v/>
      </c>
      <c r="AH81">
        <f>IF(AND(ISNUMBER(R81),ISNUMBER(R86)),VLOOKUP(ABS(R81-R86),'IMP Table'!$A$2:$C$26,3)*SIGN(R81-R86),0)</f>
        <v/>
      </c>
      <c r="AI81">
        <f>IF(AND(ISNUMBER(S81),ISNUMBER(S82)),VLOOKUP(ABS(S81-S82),'IMP Table'!$A$2:$C$26,3)*SIGN(S81-S82),0)</f>
        <v/>
      </c>
      <c r="AJ81">
        <f>IF(AND(ISNUMBER(S81),ISNUMBER(S83)),VLOOKUP(ABS(S81-S83),'IMP Table'!$A$2:$C$26,3)*SIGN(S81-S83),0)</f>
        <v/>
      </c>
      <c r="AK81">
        <f>IF(AND(ISNUMBER(S81),ISNUMBER(S84)),VLOOKUP(ABS(S81-S84),'IMP Table'!$A$2:$C$26,3)*SIGN(S81-S84),0)</f>
        <v/>
      </c>
      <c r="AL81">
        <f>IF(AND(ISNUMBER(S81),ISNUMBER(S85)),VLOOKUP(ABS(S81-S85),'IMP Table'!$A$2:$C$26,3)*SIGN(S81-S85),0)</f>
        <v/>
      </c>
      <c r="AM81">
        <f>IF(AND(ISNUMBER(S81),ISNUMBER(S86)),VLOOKUP(ABS(S81-S86),'IMP Table'!$A$2:$C$26,3)*SIGN(S81-S86),0)</f>
        <v/>
      </c>
    </row>
    <row r="82">
      <c r="B82">
        <f>'By Round'!A27</f>
        <v/>
      </c>
      <c r="C82">
        <f>'By Round'!B29</f>
        <v/>
      </c>
      <c r="D82">
        <f>'By Round'!C29</f>
        <v/>
      </c>
      <c r="E82">
        <f>'By Round'!D29</f>
        <v/>
      </c>
      <c r="F82" s="11" t="inlineStr">
        <is>
          <t>None</t>
        </is>
      </c>
      <c r="G82">
        <f>IF(ISBLANK('By Round'!G29),"",'By Round'!G29)</f>
        <v/>
      </c>
      <c r="H82">
        <f>IF(ISBLANK('By Round'!H29),"",'By Round'!H29)</f>
        <v/>
      </c>
      <c r="I82">
        <f>IF(ISBLANK('By Round'!I29),"",'By Round'!I29)</f>
        <v/>
      </c>
      <c r="J82">
        <f>IF(ISBLANK('By Round'!J29),"",'By Round'!J29)</f>
        <v/>
      </c>
      <c r="K82">
        <f>IF(ISBLANK('By Round'!K29),"",'By Round'!K29)</f>
        <v/>
      </c>
      <c r="L82" s="12">
        <f>SUM(AD82:AH82)</f>
        <v/>
      </c>
      <c r="M82" s="13">
        <f>SUM(AI82:AM82)</f>
        <v/>
      </c>
      <c r="N82" s="8">
        <f>IF(COUNT(T82:X82)&gt;0,P82/COUNT(T82:X82),0.5)</f>
        <v/>
      </c>
      <c r="O82" s="8">
        <f>IF(COUNT(Y82:AC82)&gt;0,Q82/COUNT(Y82:AC82),0.5)</f>
        <v/>
      </c>
      <c r="P82" s="5">
        <f>SUM(T82:X82)</f>
        <v/>
      </c>
      <c r="Q82" s="5">
        <f>SUM(Y82:AC82)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IF(ISNUMBER(R82),IF(ISNUMBER(R81),IF(R82&gt;R81,1.0,IF(R82=R81,0.5,0.0)),""),"")</f>
        <v/>
      </c>
      <c r="U82">
        <f>IF(ISNUMBER(R82),IF(ISNUMBER(R83),IF(R82&gt;R83,1.0,IF(R82=R83,0.5,0.0)),""),"")</f>
        <v/>
      </c>
      <c r="V82">
        <f>IF(ISNUMBER(R82),IF(ISNUMBER(R84),IF(R82&gt;R84,1.0,IF(R82=R84,0.5,0.0)),""),"")</f>
        <v/>
      </c>
      <c r="W82">
        <f>IF(ISNUMBER(R82),IF(ISNUMBER(R85),IF(R82&gt;R85,1.0,IF(R82=R85,0.5,0.0)),""),"")</f>
        <v/>
      </c>
      <c r="X82">
        <f>IF(ISNUMBER(R82),IF(ISNUMBER(R86),IF(R82&gt;R86,1.0,IF(R82=R86,0.5,0.0)),""),"")</f>
        <v/>
      </c>
      <c r="Y82">
        <f>IF(ISNUMBER(S82),IF(ISNUMBER(S81),IF(S82&gt;S81,1.0,IF(S82=S81,0.5,0.0)),""),"")</f>
        <v/>
      </c>
      <c r="Z82">
        <f>IF(ISNUMBER(S82),IF(ISNUMBER(S83),IF(S82&gt;S83,1.0,IF(S82=S83,0.5,0.0)),""),"")</f>
        <v/>
      </c>
      <c r="AA82">
        <f>IF(ISNUMBER(S82),IF(ISNUMBER(S84),IF(S82&gt;S84,1.0,IF(S82=S84,0.5,0.0)),""),"")</f>
        <v/>
      </c>
      <c r="AB82">
        <f>IF(ISNUMBER(S82),IF(ISNUMBER(S85),IF(S82&gt;S85,1.0,IF(S82=S85,0.5,0.0)),""),"")</f>
        <v/>
      </c>
      <c r="AC82">
        <f>IF(ISNUMBER(S82),IF(ISNUMBER(S86),IF(S82&gt;S86,1.0,IF(S82=S86,0.5,0.0)),""),"")</f>
        <v/>
      </c>
      <c r="AD82" s="14">
        <f>IF(AND(ISNUMBER(R82),ISNUMBER(R81)),VLOOKUP(ABS(R82-R81),'IMP Table'!$A$2:$C$26,3)*SIGN(R82-R81),0)</f>
        <v/>
      </c>
      <c r="AE82">
        <f>IF(AND(ISNUMBER(R82),ISNUMBER(R83)),VLOOKUP(ABS(R82-R83),'IMP Table'!$A$2:$C$26,3)*SIGN(R82-R83),0)</f>
        <v/>
      </c>
      <c r="AF82">
        <f>IF(AND(ISNUMBER(R82),ISNUMBER(R84)),VLOOKUP(ABS(R82-R84),'IMP Table'!$A$2:$C$26,3)*SIGN(R82-R84),0)</f>
        <v/>
      </c>
      <c r="AG82">
        <f>IF(AND(ISNUMBER(R82),ISNUMBER(R85)),VLOOKUP(ABS(R82-R85),'IMP Table'!$A$2:$C$26,3)*SIGN(R82-R85),0)</f>
        <v/>
      </c>
      <c r="AH82">
        <f>IF(AND(ISNUMBER(R82),ISNUMBER(R86)),VLOOKUP(ABS(R82-R86),'IMP Table'!$A$2:$C$26,3)*SIGN(R82-R86),0)</f>
        <v/>
      </c>
      <c r="AI82">
        <f>IF(AND(ISNUMBER(S82),ISNUMBER(S81)),VLOOKUP(ABS(S82-S81),'IMP Table'!$A$2:$C$26,3)*SIGN(S82-S81),0)</f>
        <v/>
      </c>
      <c r="AJ82">
        <f>IF(AND(ISNUMBER(S82),ISNUMBER(S83)),VLOOKUP(ABS(S82-S83),'IMP Table'!$A$2:$C$26,3)*SIGN(S82-S83),0)</f>
        <v/>
      </c>
      <c r="AK82">
        <f>IF(AND(ISNUMBER(S82),ISNUMBER(S84)),VLOOKUP(ABS(S82-S84),'IMP Table'!$A$2:$C$26,3)*SIGN(S82-S84),0)</f>
        <v/>
      </c>
      <c r="AL82">
        <f>IF(AND(ISNUMBER(S82),ISNUMBER(S85)),VLOOKUP(ABS(S82-S85),'IMP Table'!$A$2:$C$26,3)*SIGN(S82-S85),0)</f>
        <v/>
      </c>
      <c r="AM82">
        <f>IF(AND(ISNUMBER(S82),ISNUMBER(S86)),VLOOKUP(ABS(S82-S86),'IMP Table'!$A$2:$C$26,3)*SIGN(S82-S86),0)</f>
        <v/>
      </c>
    </row>
    <row r="83">
      <c r="B83">
        <f>'By Round'!A75</f>
        <v/>
      </c>
      <c r="C83">
        <f>'By Round'!B75</f>
        <v/>
      </c>
      <c r="D83">
        <f>'By Round'!C75</f>
        <v/>
      </c>
      <c r="E83">
        <f>'By Round'!D75</f>
        <v/>
      </c>
      <c r="F83" s="11" t="inlineStr">
        <is>
          <t>None</t>
        </is>
      </c>
      <c r="G83">
        <f>IF(ISBLANK('By Round'!G75),"",'By Round'!G75)</f>
        <v/>
      </c>
      <c r="H83">
        <f>IF(ISBLANK('By Round'!H75),"",'By Round'!H75)</f>
        <v/>
      </c>
      <c r="I83">
        <f>IF(ISBLANK('By Round'!I75),"",'By Round'!I75)</f>
        <v/>
      </c>
      <c r="J83">
        <f>IF(ISBLANK('By Round'!J75),"",'By Round'!J75)</f>
        <v/>
      </c>
      <c r="K83">
        <f>IF(ISBLANK('By Round'!K75),"",'By Round'!K75)</f>
        <v/>
      </c>
      <c r="L83" s="12">
        <f>SUM(AD83:AH83)</f>
        <v/>
      </c>
      <c r="M83" s="13">
        <f>SUM(AI83:AM83)</f>
        <v/>
      </c>
      <c r="N83" s="8">
        <f>IF(COUNT(T83:X83)&gt;0,P83/COUNT(T83:X83),0.5)</f>
        <v/>
      </c>
      <c r="O83" s="8">
        <f>IF(COUNT(Y83:AC83)&gt;0,Q83/COUNT(Y83:AC83),0.5)</f>
        <v/>
      </c>
      <c r="P83" s="5">
        <f>SUM(T83:X83)</f>
        <v/>
      </c>
      <c r="Q83" s="5">
        <f>SUM(Y83:AC83)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IF(ISNUMBER(R83),IF(ISNUMBER(R81),IF(R83&gt;R81,1.0,IF(R83=R81,0.5,0.0)),""),"")</f>
        <v/>
      </c>
      <c r="U83">
        <f>IF(ISNUMBER(R83),IF(ISNUMBER(R82),IF(R83&gt;R82,1.0,IF(R83=R82,0.5,0.0)),""),"")</f>
        <v/>
      </c>
      <c r="V83">
        <f>IF(ISNUMBER(R83),IF(ISNUMBER(R84),IF(R83&gt;R84,1.0,IF(R83=R84,0.5,0.0)),""),"")</f>
        <v/>
      </c>
      <c r="W83">
        <f>IF(ISNUMBER(R83),IF(ISNUMBER(R85),IF(R83&gt;R85,1.0,IF(R83=R85,0.5,0.0)),""),"")</f>
        <v/>
      </c>
      <c r="X83">
        <f>IF(ISNUMBER(R83),IF(ISNUMBER(R86),IF(R83&gt;R86,1.0,IF(R83=R86,0.5,0.0)),""),"")</f>
        <v/>
      </c>
      <c r="Y83">
        <f>IF(ISNUMBER(S83),IF(ISNUMBER(S81),IF(S83&gt;S81,1.0,IF(S83=S81,0.5,0.0)),""),"")</f>
        <v/>
      </c>
      <c r="Z83">
        <f>IF(ISNUMBER(S83),IF(ISNUMBER(S82),IF(S83&gt;S82,1.0,IF(S83=S82,0.5,0.0)),""),"")</f>
        <v/>
      </c>
      <c r="AA83">
        <f>IF(ISNUMBER(S83),IF(ISNUMBER(S84),IF(S83&gt;S84,1.0,IF(S83=S84,0.5,0.0)),""),"")</f>
        <v/>
      </c>
      <c r="AB83">
        <f>IF(ISNUMBER(S83),IF(ISNUMBER(S85),IF(S83&gt;S85,1.0,IF(S83=S85,0.5,0.0)),""),"")</f>
        <v/>
      </c>
      <c r="AC83">
        <f>IF(ISNUMBER(S83),IF(ISNUMBER(S86),IF(S83&gt;S86,1.0,IF(S83=S86,0.5,0.0)),""),"")</f>
        <v/>
      </c>
      <c r="AD83" s="14">
        <f>IF(AND(ISNUMBER(R83),ISNUMBER(R81)),VLOOKUP(ABS(R83-R81),'IMP Table'!$A$2:$C$26,3)*SIGN(R83-R81),0)</f>
        <v/>
      </c>
      <c r="AE83">
        <f>IF(AND(ISNUMBER(R83),ISNUMBER(R82)),VLOOKUP(ABS(R83-R82),'IMP Table'!$A$2:$C$26,3)*SIGN(R83-R82),0)</f>
        <v/>
      </c>
      <c r="AF83">
        <f>IF(AND(ISNUMBER(R83),ISNUMBER(R84)),VLOOKUP(ABS(R83-R84),'IMP Table'!$A$2:$C$26,3)*SIGN(R83-R84),0)</f>
        <v/>
      </c>
      <c r="AG83">
        <f>IF(AND(ISNUMBER(R83),ISNUMBER(R85)),VLOOKUP(ABS(R83-R85),'IMP Table'!$A$2:$C$26,3)*SIGN(R83-R85),0)</f>
        <v/>
      </c>
      <c r="AH83">
        <f>IF(AND(ISNUMBER(R83),ISNUMBER(R86)),VLOOKUP(ABS(R83-R86),'IMP Table'!$A$2:$C$26,3)*SIGN(R83-R86),0)</f>
        <v/>
      </c>
      <c r="AI83">
        <f>IF(AND(ISNUMBER(S83),ISNUMBER(S81)),VLOOKUP(ABS(S83-S81),'IMP Table'!$A$2:$C$26,3)*SIGN(S83-S81),0)</f>
        <v/>
      </c>
      <c r="AJ83">
        <f>IF(AND(ISNUMBER(S83),ISNUMBER(S82)),VLOOKUP(ABS(S83-S82),'IMP Table'!$A$2:$C$26,3)*SIGN(S83-S82),0)</f>
        <v/>
      </c>
      <c r="AK83">
        <f>IF(AND(ISNUMBER(S83),ISNUMBER(S84)),VLOOKUP(ABS(S83-S84),'IMP Table'!$A$2:$C$26,3)*SIGN(S83-S84),0)</f>
        <v/>
      </c>
      <c r="AL83">
        <f>IF(AND(ISNUMBER(S83),ISNUMBER(S85)),VLOOKUP(ABS(S83-S85),'IMP Table'!$A$2:$C$26,3)*SIGN(S83-S85),0)</f>
        <v/>
      </c>
      <c r="AM83">
        <f>IF(AND(ISNUMBER(S83),ISNUMBER(S86)),VLOOKUP(ABS(S83-S86),'IMP Table'!$A$2:$C$26,3)*SIGN(S83-S86),0)</f>
        <v/>
      </c>
    </row>
    <row r="84">
      <c r="B84">
        <f>'By Round'!A99</f>
        <v/>
      </c>
      <c r="C84">
        <f>'By Round'!B109</f>
        <v/>
      </c>
      <c r="D84">
        <f>'By Round'!C109</f>
        <v/>
      </c>
      <c r="E84">
        <f>'By Round'!D109</f>
        <v/>
      </c>
      <c r="F84" s="11" t="inlineStr">
        <is>
          <t>None</t>
        </is>
      </c>
      <c r="G84">
        <f>IF(ISBLANK('By Round'!G109),"",'By Round'!G109)</f>
        <v/>
      </c>
      <c r="H84">
        <f>IF(ISBLANK('By Round'!H109),"",'By Round'!H109)</f>
        <v/>
      </c>
      <c r="I84">
        <f>IF(ISBLANK('By Round'!I109),"",'By Round'!I109)</f>
        <v/>
      </c>
      <c r="J84">
        <f>IF(ISBLANK('By Round'!J109),"",'By Round'!J109)</f>
        <v/>
      </c>
      <c r="K84">
        <f>IF(ISBLANK('By Round'!K109),"",'By Round'!K109)</f>
        <v/>
      </c>
      <c r="L84" s="12">
        <f>SUM(AD84:AH84)</f>
        <v/>
      </c>
      <c r="M84" s="13">
        <f>SUM(AI84:AM84)</f>
        <v/>
      </c>
      <c r="N84" s="8">
        <f>IF(COUNT(T84:X84)&gt;0,P84/COUNT(T84:X84),0.5)</f>
        <v/>
      </c>
      <c r="O84" s="8">
        <f>IF(COUNT(Y84:AC84)&gt;0,Q84/COUNT(Y84:AC84),0.5)</f>
        <v/>
      </c>
      <c r="P84" s="5">
        <f>SUM(T84:X84)</f>
        <v/>
      </c>
      <c r="Q84" s="5">
        <f>SUM(Y84:AC84)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IF(ISNUMBER(R84),IF(ISNUMBER(R81),IF(R84&gt;R81,1.0,IF(R84=R81,0.5,0.0)),""),"")</f>
        <v/>
      </c>
      <c r="U84">
        <f>IF(ISNUMBER(R84),IF(ISNUMBER(R82),IF(R84&gt;R82,1.0,IF(R84=R82,0.5,0.0)),""),"")</f>
        <v/>
      </c>
      <c r="V84">
        <f>IF(ISNUMBER(R84),IF(ISNUMBER(R83),IF(R84&gt;R83,1.0,IF(R84=R83,0.5,0.0)),""),"")</f>
        <v/>
      </c>
      <c r="W84">
        <f>IF(ISNUMBER(R84),IF(ISNUMBER(R85),IF(R84&gt;R85,1.0,IF(R84=R85,0.5,0.0)),""),"")</f>
        <v/>
      </c>
      <c r="X84">
        <f>IF(ISNUMBER(R84),IF(ISNUMBER(R86),IF(R84&gt;R86,1.0,IF(R84=R86,0.5,0.0)),""),"")</f>
        <v/>
      </c>
      <c r="Y84">
        <f>IF(ISNUMBER(S84),IF(ISNUMBER(S81),IF(S84&gt;S81,1.0,IF(S84=S81,0.5,0.0)),""),"")</f>
        <v/>
      </c>
      <c r="Z84">
        <f>IF(ISNUMBER(S84),IF(ISNUMBER(S82),IF(S84&gt;S82,1.0,IF(S84=S82,0.5,0.0)),""),"")</f>
        <v/>
      </c>
      <c r="AA84">
        <f>IF(ISNUMBER(S84),IF(ISNUMBER(S83),IF(S84&gt;S83,1.0,IF(S84=S83,0.5,0.0)),""),"")</f>
        <v/>
      </c>
      <c r="AB84">
        <f>IF(ISNUMBER(S84),IF(ISNUMBER(S85),IF(S84&gt;S85,1.0,IF(S84=S85,0.5,0.0)),""),"")</f>
        <v/>
      </c>
      <c r="AC84">
        <f>IF(ISNUMBER(S84),IF(ISNUMBER(S86),IF(S84&gt;S86,1.0,IF(S84=S86,0.5,0.0)),""),"")</f>
        <v/>
      </c>
      <c r="AD84" s="14">
        <f>IF(AND(ISNUMBER(R84),ISNUMBER(R81)),VLOOKUP(ABS(R84-R81),'IMP Table'!$A$2:$C$26,3)*SIGN(R84-R81),0)</f>
        <v/>
      </c>
      <c r="AE84">
        <f>IF(AND(ISNUMBER(R84),ISNUMBER(R82)),VLOOKUP(ABS(R84-R82),'IMP Table'!$A$2:$C$26,3)*SIGN(R84-R82),0)</f>
        <v/>
      </c>
      <c r="AF84">
        <f>IF(AND(ISNUMBER(R84),ISNUMBER(R83)),VLOOKUP(ABS(R84-R83),'IMP Table'!$A$2:$C$26,3)*SIGN(R84-R83),0)</f>
        <v/>
      </c>
      <c r="AG84">
        <f>IF(AND(ISNUMBER(R84),ISNUMBER(R85)),VLOOKUP(ABS(R84-R85),'IMP Table'!$A$2:$C$26,3)*SIGN(R84-R85),0)</f>
        <v/>
      </c>
      <c r="AH84">
        <f>IF(AND(ISNUMBER(R84),ISNUMBER(R86)),VLOOKUP(ABS(R84-R86),'IMP Table'!$A$2:$C$26,3)*SIGN(R84-R86),0)</f>
        <v/>
      </c>
      <c r="AI84">
        <f>IF(AND(ISNUMBER(S84),ISNUMBER(S81)),VLOOKUP(ABS(S84-S81),'IMP Table'!$A$2:$C$26,3)*SIGN(S84-S81),0)</f>
        <v/>
      </c>
      <c r="AJ84">
        <f>IF(AND(ISNUMBER(S84),ISNUMBER(S82)),VLOOKUP(ABS(S84-S82),'IMP Table'!$A$2:$C$26,3)*SIGN(S84-S82),0)</f>
        <v/>
      </c>
      <c r="AK84">
        <f>IF(AND(ISNUMBER(S84),ISNUMBER(S83)),VLOOKUP(ABS(S84-S83),'IMP Table'!$A$2:$C$26,3)*SIGN(S84-S83),0)</f>
        <v/>
      </c>
      <c r="AL84">
        <f>IF(AND(ISNUMBER(S84),ISNUMBER(S85)),VLOOKUP(ABS(S84-S85),'IMP Table'!$A$2:$C$26,3)*SIGN(S84-S85),0)</f>
        <v/>
      </c>
      <c r="AM84">
        <f>IF(AND(ISNUMBER(S84),ISNUMBER(S86)),VLOOKUP(ABS(S84-S86),'IMP Table'!$A$2:$C$26,3)*SIGN(S84-S86),0)</f>
        <v/>
      </c>
    </row>
    <row r="85">
      <c r="B85">
        <f>'By Round'!A111</f>
        <v/>
      </c>
      <c r="C85">
        <f>'By Round'!B119</f>
        <v/>
      </c>
      <c r="D85">
        <f>'By Round'!C119</f>
        <v/>
      </c>
      <c r="E85">
        <f>'By Round'!D119</f>
        <v/>
      </c>
      <c r="F85" s="11" t="inlineStr">
        <is>
          <t>None</t>
        </is>
      </c>
      <c r="G85">
        <f>IF(ISBLANK('By Round'!G119),"",'By Round'!G119)</f>
        <v/>
      </c>
      <c r="H85">
        <f>IF(ISBLANK('By Round'!H119),"",'By Round'!H119)</f>
        <v/>
      </c>
      <c r="I85">
        <f>IF(ISBLANK('By Round'!I119),"",'By Round'!I119)</f>
        <v/>
      </c>
      <c r="J85">
        <f>IF(ISBLANK('By Round'!J119),"",'By Round'!J119)</f>
        <v/>
      </c>
      <c r="K85">
        <f>IF(ISBLANK('By Round'!K119),"",'By Round'!K119)</f>
        <v/>
      </c>
      <c r="L85" s="12">
        <f>SUM(AD85:AH85)</f>
        <v/>
      </c>
      <c r="M85" s="13">
        <f>SUM(AI85:AM85)</f>
        <v/>
      </c>
      <c r="N85" s="8">
        <f>IF(COUNT(T85:X85)&gt;0,P85/COUNT(T85:X85),0.5)</f>
        <v/>
      </c>
      <c r="O85" s="8">
        <f>IF(COUNT(Y85:AC85)&gt;0,Q85/COUNT(Y85:AC85),0.5)</f>
        <v/>
      </c>
      <c r="P85" s="5">
        <f>SUM(T85:X85)</f>
        <v/>
      </c>
      <c r="Q85" s="5">
        <f>SUM(Y85:AC85)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IF(ISNUMBER(R85),IF(ISNUMBER(R81),IF(R85&gt;R81,1.0,IF(R85=R81,0.5,0.0)),""),"")</f>
        <v/>
      </c>
      <c r="U85">
        <f>IF(ISNUMBER(R85),IF(ISNUMBER(R82),IF(R85&gt;R82,1.0,IF(R85=R82,0.5,0.0)),""),"")</f>
        <v/>
      </c>
      <c r="V85">
        <f>IF(ISNUMBER(R85),IF(ISNUMBER(R83),IF(R85&gt;R83,1.0,IF(R85=R83,0.5,0.0)),""),"")</f>
        <v/>
      </c>
      <c r="W85">
        <f>IF(ISNUMBER(R85),IF(ISNUMBER(R84),IF(R85&gt;R84,1.0,IF(R85=R84,0.5,0.0)),""),"")</f>
        <v/>
      </c>
      <c r="X85">
        <f>IF(ISNUMBER(R85),IF(ISNUMBER(R86),IF(R85&gt;R86,1.0,IF(R85=R86,0.5,0.0)),""),"")</f>
        <v/>
      </c>
      <c r="Y85">
        <f>IF(ISNUMBER(S85),IF(ISNUMBER(S81),IF(S85&gt;S81,1.0,IF(S85=S81,0.5,0.0)),""),"")</f>
        <v/>
      </c>
      <c r="Z85">
        <f>IF(ISNUMBER(S85),IF(ISNUMBER(S82),IF(S85&gt;S82,1.0,IF(S85=S82,0.5,0.0)),""),"")</f>
        <v/>
      </c>
      <c r="AA85">
        <f>IF(ISNUMBER(S85),IF(ISNUMBER(S83),IF(S85&gt;S83,1.0,IF(S85=S83,0.5,0.0)),""),"")</f>
        <v/>
      </c>
      <c r="AB85">
        <f>IF(ISNUMBER(S85),IF(ISNUMBER(S84),IF(S85&gt;S84,1.0,IF(S85=S84,0.5,0.0)),""),"")</f>
        <v/>
      </c>
      <c r="AC85">
        <f>IF(ISNUMBER(S85),IF(ISNUMBER(S86),IF(S85&gt;S86,1.0,IF(S85=S86,0.5,0.0)),""),"")</f>
        <v/>
      </c>
      <c r="AD85" s="14">
        <f>IF(AND(ISNUMBER(R85),ISNUMBER(R81)),VLOOKUP(ABS(R85-R81),'IMP Table'!$A$2:$C$26,3)*SIGN(R85-R81),0)</f>
        <v/>
      </c>
      <c r="AE85">
        <f>IF(AND(ISNUMBER(R85),ISNUMBER(R82)),VLOOKUP(ABS(R85-R82),'IMP Table'!$A$2:$C$26,3)*SIGN(R85-R82),0)</f>
        <v/>
      </c>
      <c r="AF85">
        <f>IF(AND(ISNUMBER(R85),ISNUMBER(R83)),VLOOKUP(ABS(R85-R83),'IMP Table'!$A$2:$C$26,3)*SIGN(R85-R83),0)</f>
        <v/>
      </c>
      <c r="AG85">
        <f>IF(AND(ISNUMBER(R85),ISNUMBER(R84)),VLOOKUP(ABS(R85-R84),'IMP Table'!$A$2:$C$26,3)*SIGN(R85-R84),0)</f>
        <v/>
      </c>
      <c r="AH85">
        <f>IF(AND(ISNUMBER(R85),ISNUMBER(R86)),VLOOKUP(ABS(R85-R86),'IMP Table'!$A$2:$C$26,3)*SIGN(R85-R86),0)</f>
        <v/>
      </c>
      <c r="AI85">
        <f>IF(AND(ISNUMBER(S85),ISNUMBER(S81)),VLOOKUP(ABS(S85-S81),'IMP Table'!$A$2:$C$26,3)*SIGN(S85-S81),0)</f>
        <v/>
      </c>
      <c r="AJ85">
        <f>IF(AND(ISNUMBER(S85),ISNUMBER(S82)),VLOOKUP(ABS(S85-S82),'IMP Table'!$A$2:$C$26,3)*SIGN(S85-S82),0)</f>
        <v/>
      </c>
      <c r="AK85">
        <f>IF(AND(ISNUMBER(S85),ISNUMBER(S83)),VLOOKUP(ABS(S85-S83),'IMP Table'!$A$2:$C$26,3)*SIGN(S85-S83),0)</f>
        <v/>
      </c>
      <c r="AL85">
        <f>IF(AND(ISNUMBER(S85),ISNUMBER(S84)),VLOOKUP(ABS(S85-S84),'IMP Table'!$A$2:$C$26,3)*SIGN(S85-S84),0)</f>
        <v/>
      </c>
      <c r="AM85">
        <f>IF(AND(ISNUMBER(S85),ISNUMBER(S86)),VLOOKUP(ABS(S85-S86),'IMP Table'!$A$2:$C$26,3)*SIGN(S85-S86),0)</f>
        <v/>
      </c>
    </row>
    <row r="86">
      <c r="A86" s="15" t="n"/>
      <c r="B86" s="15">
        <f>'By Round'!A123</f>
        <v/>
      </c>
      <c r="C86" s="15">
        <f>'By Round'!B129</f>
        <v/>
      </c>
      <c r="D86" s="15">
        <f>'By Round'!C129</f>
        <v/>
      </c>
      <c r="E86" s="15">
        <f>'By Round'!D129</f>
        <v/>
      </c>
      <c r="F86" s="16" t="inlineStr">
        <is>
          <t>None</t>
        </is>
      </c>
      <c r="G86" s="15">
        <f>IF(ISBLANK('By Round'!G129),"",'By Round'!G129)</f>
        <v/>
      </c>
      <c r="H86" s="15">
        <f>IF(ISBLANK('By Round'!H129),"",'By Round'!H129)</f>
        <v/>
      </c>
      <c r="I86" s="15">
        <f>IF(ISBLANK('By Round'!I129),"",'By Round'!I129)</f>
        <v/>
      </c>
      <c r="J86" s="15">
        <f>IF(ISBLANK('By Round'!J129),"",'By Round'!J129)</f>
        <v/>
      </c>
      <c r="K86" s="15">
        <f>IF(ISBLANK('By Round'!K129),"",'By Round'!K129)</f>
        <v/>
      </c>
      <c r="L86" s="17">
        <f>SUM(AD86:AH86)</f>
        <v/>
      </c>
      <c r="M86" s="18">
        <f>SUM(AI86:AM86)</f>
        <v/>
      </c>
      <c r="N86" s="19">
        <f>IF(COUNT(T86:X86)&gt;0,P86/COUNT(T86:X86),0.5)</f>
        <v/>
      </c>
      <c r="O86" s="19">
        <f>IF(COUNT(Y86:AC86)&gt;0,Q86/COUNT(Y86:AC86),0.5)</f>
        <v/>
      </c>
      <c r="P86" s="20">
        <f>SUM(T86:X86)</f>
        <v/>
      </c>
      <c r="Q86" s="20">
        <f>SUM(Y86:AC86)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IF(ISNUMBER(R86),IF(ISNUMBER(R81),IF(R86&gt;R81,1.0,IF(R86=R81,0.5,0.0)),""),"")</f>
        <v/>
      </c>
      <c r="U86" s="15">
        <f>IF(ISNUMBER(R86),IF(ISNUMBER(R82),IF(R86&gt;R82,1.0,IF(R86=R82,0.5,0.0)),""),"")</f>
        <v/>
      </c>
      <c r="V86" s="15">
        <f>IF(ISNUMBER(R86),IF(ISNUMBER(R83),IF(R86&gt;R83,1.0,IF(R86=R83,0.5,0.0)),""),"")</f>
        <v/>
      </c>
      <c r="W86" s="15">
        <f>IF(ISNUMBER(R86),IF(ISNUMBER(R84),IF(R86&gt;R84,1.0,IF(R86=R84,0.5,0.0)),""),"")</f>
        <v/>
      </c>
      <c r="X86" s="15">
        <f>IF(ISNUMBER(R86),IF(ISNUMBER(R85),IF(R86&gt;R85,1.0,IF(R86=R85,0.5,0.0)),""),"")</f>
        <v/>
      </c>
      <c r="Y86" s="15">
        <f>IF(ISNUMBER(S86),IF(ISNUMBER(S81),IF(S86&gt;S81,1.0,IF(S86=S81,0.5,0.0)),""),"")</f>
        <v/>
      </c>
      <c r="Z86" s="15">
        <f>IF(ISNUMBER(S86),IF(ISNUMBER(S82),IF(S86&gt;S82,1.0,IF(S86=S82,0.5,0.0)),""),"")</f>
        <v/>
      </c>
      <c r="AA86" s="15">
        <f>IF(ISNUMBER(S86),IF(ISNUMBER(S83),IF(S86&gt;S83,1.0,IF(S86=S83,0.5,0.0)),""),"")</f>
        <v/>
      </c>
      <c r="AB86" s="15">
        <f>IF(ISNUMBER(S86),IF(ISNUMBER(S84),IF(S86&gt;S84,1.0,IF(S86=S84,0.5,0.0)),""),"")</f>
        <v/>
      </c>
      <c r="AC86" s="15">
        <f>IF(ISNUMBER(S86),IF(ISNUMBER(S85),IF(S86&gt;S85,1.0,IF(S86=S85,0.5,0.0)),""),"")</f>
        <v/>
      </c>
      <c r="AD86" s="21">
        <f>IF(AND(ISNUMBER(R86),ISNUMBER(R81)),VLOOKUP(ABS(R86-R81),'IMP Table'!$A$2:$C$26,3)*SIGN(R86-R81),0)</f>
        <v/>
      </c>
      <c r="AE86" s="15">
        <f>IF(AND(ISNUMBER(R86),ISNUMBER(R82)),VLOOKUP(ABS(R86-R82),'IMP Table'!$A$2:$C$26,3)*SIGN(R86-R82),0)</f>
        <v/>
      </c>
      <c r="AF86" s="15">
        <f>IF(AND(ISNUMBER(R86),ISNUMBER(R83)),VLOOKUP(ABS(R86-R83),'IMP Table'!$A$2:$C$26,3)*SIGN(R86-R83),0)</f>
        <v/>
      </c>
      <c r="AG86" s="15">
        <f>IF(AND(ISNUMBER(R86),ISNUMBER(R84)),VLOOKUP(ABS(R86-R84),'IMP Table'!$A$2:$C$26,3)*SIGN(R86-R84),0)</f>
        <v/>
      </c>
      <c r="AH86" s="15">
        <f>IF(AND(ISNUMBER(R86),ISNUMBER(R85)),VLOOKUP(ABS(R86-R85),'IMP Table'!$A$2:$C$26,3)*SIGN(R86-R85),0)</f>
        <v/>
      </c>
      <c r="AI86" s="15">
        <f>IF(AND(ISNUMBER(S86),ISNUMBER(S81)),VLOOKUP(ABS(S86-S81),'IMP Table'!$A$2:$C$26,3)*SIGN(S86-S81),0)</f>
        <v/>
      </c>
      <c r="AJ86" s="15">
        <f>IF(AND(ISNUMBER(S86),ISNUMBER(S82)),VLOOKUP(ABS(S86-S82),'IMP Table'!$A$2:$C$26,3)*SIGN(S86-S82),0)</f>
        <v/>
      </c>
      <c r="AK86" s="15">
        <f>IF(AND(ISNUMBER(S86),ISNUMBER(S83)),VLOOKUP(ABS(S86-S83),'IMP Table'!$A$2:$C$26,3)*SIGN(S86-S83),0)</f>
        <v/>
      </c>
      <c r="AL86" s="15">
        <f>IF(AND(ISNUMBER(S86),ISNUMBER(S84)),VLOOKUP(ABS(S86-S84),'IMP Table'!$A$2:$C$26,3)*SIGN(S86-S84),0)</f>
        <v/>
      </c>
      <c r="AM86" s="15">
        <f>IF(AND(ISNUMBER(S86),ISNUMBER(S85)),VLOOKUP(ABS(S86-S85),'IMP Table'!$A$2:$C$26,3)*SIGN(S86-S85),0)</f>
        <v/>
      </c>
    </row>
    <row r="87">
      <c r="A87" t="n">
        <v>15</v>
      </c>
      <c r="B87">
        <f>'By Round'!A3</f>
        <v/>
      </c>
      <c r="C87">
        <f>'By Round'!B9</f>
        <v/>
      </c>
      <c r="D87">
        <f>'By Round'!C9</f>
        <v/>
      </c>
      <c r="E87">
        <f>'By Round'!D9</f>
        <v/>
      </c>
      <c r="F87" s="11" t="inlineStr">
        <is>
          <t>NS</t>
        </is>
      </c>
      <c r="G87">
        <f>IF(ISBLANK('By Round'!G9),"",'By Round'!G9)</f>
        <v/>
      </c>
      <c r="H87">
        <f>IF(ISBLANK('By Round'!H9),"",'By Round'!H9)</f>
        <v/>
      </c>
      <c r="I87">
        <f>IF(ISBLANK('By Round'!I9),"",'By Round'!I9)</f>
        <v/>
      </c>
      <c r="J87">
        <f>IF(ISBLANK('By Round'!J9),"",'By Round'!J9)</f>
        <v/>
      </c>
      <c r="K87">
        <f>IF(ISBLANK('By Round'!K9),"",'By Round'!K9)</f>
        <v/>
      </c>
      <c r="L87" s="12">
        <f>SUM(AD87:AH87)</f>
        <v/>
      </c>
      <c r="M87" s="13">
        <f>SUM(AI87:AM87)</f>
        <v/>
      </c>
      <c r="N87" s="8">
        <f>IF(COUNT(T87:X87)&gt;0,P87/COUNT(T87:X87),0.5)</f>
        <v/>
      </c>
      <c r="O87" s="8">
        <f>IF(COUNT(Y87:AC87)&gt;0,Q87/COUNT(Y87:AC87),0.5)</f>
        <v/>
      </c>
      <c r="P87" s="5">
        <f>SUM(T87:X87)</f>
        <v/>
      </c>
      <c r="Q87" s="5">
        <f>SUM(Y87:AC87)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IF(ISNUMBER(S87),IF(ISNUMBER(S88),IF(S87&gt;S88,1.0,IF(S87=S88,0.5,0.0)),""),"")</f>
        <v/>
      </c>
      <c r="Z87">
        <f>IF(ISNUMBER(S87),IF(ISNUMBER(S89),IF(S87&gt;S89,1.0,IF(S87=S89,0.5,0.0)),""),"")</f>
        <v/>
      </c>
      <c r="AA87">
        <f>IF(ISNUMBER(S87),IF(ISNUMBER(S90),IF(S87&gt;S90,1.0,IF(S87=S90,0.5,0.0)),""),"")</f>
        <v/>
      </c>
      <c r="AB87">
        <f>IF(ISNUMBER(S87),IF(ISNUMBER(S91),IF(S87&gt;S91,1.0,IF(S87=S91,0.5,0.0)),""),"")</f>
        <v/>
      </c>
      <c r="AC87">
        <f>IF(ISNUMBER(S87),IF(ISNUMBER(S92),IF(S87&gt;S92,1.0,IF(S87=S92,0.5,0.0)),""),"")</f>
        <v/>
      </c>
      <c r="AD87" s="14">
        <f>IF(AND(ISNUMBER(R87),ISNUMBER(R88)),VLOOKUP(ABS(R87-R88),'IMP Table'!$A$2:$C$26,3)*SIGN(R87-R88),0)</f>
        <v/>
      </c>
      <c r="AE87">
        <f>IF(AND(ISNUMBER(R87),ISNUMBER(R89)),VLOOKUP(ABS(R87-R89),'IMP Table'!$A$2:$C$26,3)*SIGN(R87-R89),0)</f>
        <v/>
      </c>
      <c r="AF87">
        <f>IF(AND(ISNUMBER(R87),ISNUMBER(R90)),VLOOKUP(ABS(R87-R90),'IMP Table'!$A$2:$C$26,3)*SIGN(R87-R90),0)</f>
        <v/>
      </c>
      <c r="AG87">
        <f>IF(AND(ISNUMBER(R87),ISNUMBER(R91)),VLOOKUP(ABS(R87-R91),'IMP Table'!$A$2:$C$26,3)*SIGN(R87-R91),0)</f>
        <v/>
      </c>
      <c r="AH87">
        <f>IF(AND(ISNUMBER(R87),ISNUMBER(R92)),VLOOKUP(ABS(R87-R92),'IMP Table'!$A$2:$C$26,3)*SIGN(R87-R92),0)</f>
        <v/>
      </c>
      <c r="AI87">
        <f>IF(AND(ISNUMBER(S87),ISNUMBER(S88)),VLOOKUP(ABS(S87-S88),'IMP Table'!$A$2:$C$26,3)*SIGN(S87-S88),0)</f>
        <v/>
      </c>
      <c r="AJ87">
        <f>IF(AND(ISNUMBER(S87),ISNUMBER(S89)),VLOOKUP(ABS(S87-S89),'IMP Table'!$A$2:$C$26,3)*SIGN(S87-S89),0)</f>
        <v/>
      </c>
      <c r="AK87">
        <f>IF(AND(ISNUMBER(S87),ISNUMBER(S90)),VLOOKUP(ABS(S87-S90),'IMP Table'!$A$2:$C$26,3)*SIGN(S87-S90),0)</f>
        <v/>
      </c>
      <c r="AL87">
        <f>IF(AND(ISNUMBER(S87),ISNUMBER(S91)),VLOOKUP(ABS(S87-S91),'IMP Table'!$A$2:$C$26,3)*SIGN(S87-S91),0)</f>
        <v/>
      </c>
      <c r="AM87">
        <f>IF(AND(ISNUMBER(S87),ISNUMBER(S92)),VLOOKUP(ABS(S87-S92),'IMP Table'!$A$2:$C$26,3)*SIGN(S87-S92),0)</f>
        <v/>
      </c>
    </row>
    <row r="88">
      <c r="B88">
        <f>'By Round'!A27</f>
        <v/>
      </c>
      <c r="C88">
        <f>'By Round'!B31</f>
        <v/>
      </c>
      <c r="D88">
        <f>'By Round'!C31</f>
        <v/>
      </c>
      <c r="E88">
        <f>'By Round'!D31</f>
        <v/>
      </c>
      <c r="F88" s="11" t="inlineStr">
        <is>
          <t>NS</t>
        </is>
      </c>
      <c r="G88">
        <f>IF(ISBLANK('By Round'!G31),"",'By Round'!G31)</f>
        <v/>
      </c>
      <c r="H88">
        <f>IF(ISBLANK('By Round'!H31),"",'By Round'!H31)</f>
        <v/>
      </c>
      <c r="I88">
        <f>IF(ISBLANK('By Round'!I31),"",'By Round'!I31)</f>
        <v/>
      </c>
      <c r="J88">
        <f>IF(ISBLANK('By Round'!J31),"",'By Round'!J31)</f>
        <v/>
      </c>
      <c r="K88">
        <f>IF(ISBLANK('By Round'!K31),"",'By Round'!K31)</f>
        <v/>
      </c>
      <c r="L88" s="12">
        <f>SUM(AD88:AH88)</f>
        <v/>
      </c>
      <c r="M88" s="13">
        <f>SUM(AI88:AM88)</f>
        <v/>
      </c>
      <c r="N88" s="8">
        <f>IF(COUNT(T88:X88)&gt;0,P88/COUNT(T88:X88),0.5)</f>
        <v/>
      </c>
      <c r="O88" s="8">
        <f>IF(COUNT(Y88:AC88)&gt;0,Q88/COUNT(Y88:AC88),0.5)</f>
        <v/>
      </c>
      <c r="P88" s="5">
        <f>SUM(T88:X88)</f>
        <v/>
      </c>
      <c r="Q88" s="5">
        <f>SUM(Y88:AC88)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IF(ISNUMBER(S88),IF(ISNUMBER(S87),IF(S88&gt;S87,1.0,IF(S88=S87,0.5,0.0)),""),"")</f>
        <v/>
      </c>
      <c r="Z88">
        <f>IF(ISNUMBER(S88),IF(ISNUMBER(S89),IF(S88&gt;S89,1.0,IF(S88=S89,0.5,0.0)),""),"")</f>
        <v/>
      </c>
      <c r="AA88">
        <f>IF(ISNUMBER(S88),IF(ISNUMBER(S90),IF(S88&gt;S90,1.0,IF(S88=S90,0.5,0.0)),""),"")</f>
        <v/>
      </c>
      <c r="AB88">
        <f>IF(ISNUMBER(S88),IF(ISNUMBER(S91),IF(S88&gt;S91,1.0,IF(S88=S91,0.5,0.0)),""),"")</f>
        <v/>
      </c>
      <c r="AC88">
        <f>IF(ISNUMBER(S88),IF(ISNUMBER(S92),IF(S88&gt;S92,1.0,IF(S88=S92,0.5,0.0)),""),"")</f>
        <v/>
      </c>
      <c r="AD88" s="14">
        <f>IF(AND(ISNUMBER(R88),ISNUMBER(R87)),VLOOKUP(ABS(R88-R87),'IMP Table'!$A$2:$C$26,3)*SIGN(R88-R87),0)</f>
        <v/>
      </c>
      <c r="AE88">
        <f>IF(AND(ISNUMBER(R88),ISNUMBER(R89)),VLOOKUP(ABS(R88-R89),'IMP Table'!$A$2:$C$26,3)*SIGN(R88-R89),0)</f>
        <v/>
      </c>
      <c r="AF88">
        <f>IF(AND(ISNUMBER(R88),ISNUMBER(R90)),VLOOKUP(ABS(R88-R90),'IMP Table'!$A$2:$C$26,3)*SIGN(R88-R90),0)</f>
        <v/>
      </c>
      <c r="AG88">
        <f>IF(AND(ISNUMBER(R88),ISNUMBER(R91)),VLOOKUP(ABS(R88-R91),'IMP Table'!$A$2:$C$26,3)*SIGN(R88-R91),0)</f>
        <v/>
      </c>
      <c r="AH88">
        <f>IF(AND(ISNUMBER(R88),ISNUMBER(R92)),VLOOKUP(ABS(R88-R92),'IMP Table'!$A$2:$C$26,3)*SIGN(R88-R92),0)</f>
        <v/>
      </c>
      <c r="AI88">
        <f>IF(AND(ISNUMBER(S88),ISNUMBER(S87)),VLOOKUP(ABS(S88-S87),'IMP Table'!$A$2:$C$26,3)*SIGN(S88-S87),0)</f>
        <v/>
      </c>
      <c r="AJ88">
        <f>IF(AND(ISNUMBER(S88),ISNUMBER(S89)),VLOOKUP(ABS(S88-S89),'IMP Table'!$A$2:$C$26,3)*SIGN(S88-S89),0)</f>
        <v/>
      </c>
      <c r="AK88">
        <f>IF(AND(ISNUMBER(S88),ISNUMBER(S90)),VLOOKUP(ABS(S88-S90),'IMP Table'!$A$2:$C$26,3)*SIGN(S88-S90),0)</f>
        <v/>
      </c>
      <c r="AL88">
        <f>IF(AND(ISNUMBER(S88),ISNUMBER(S91)),VLOOKUP(ABS(S88-S91),'IMP Table'!$A$2:$C$26,3)*SIGN(S88-S91),0)</f>
        <v/>
      </c>
      <c r="AM88">
        <f>IF(AND(ISNUMBER(S88),ISNUMBER(S92)),VLOOKUP(ABS(S88-S92),'IMP Table'!$A$2:$C$26,3)*SIGN(S88-S92),0)</f>
        <v/>
      </c>
    </row>
    <row r="89">
      <c r="B89">
        <f>'By Round'!A39</f>
        <v/>
      </c>
      <c r="C89">
        <f>'By Round'!B41</f>
        <v/>
      </c>
      <c r="D89">
        <f>'By Round'!C41</f>
        <v/>
      </c>
      <c r="E89">
        <f>'By Round'!D41</f>
        <v/>
      </c>
      <c r="F89" s="11" t="inlineStr">
        <is>
          <t>NS</t>
        </is>
      </c>
      <c r="G89">
        <f>IF(ISBLANK('By Round'!G41),"",'By Round'!G41)</f>
        <v/>
      </c>
      <c r="H89">
        <f>IF(ISBLANK('By Round'!H41),"",'By Round'!H41)</f>
        <v/>
      </c>
      <c r="I89">
        <f>IF(ISBLANK('By Round'!I41),"",'By Round'!I41)</f>
        <v/>
      </c>
      <c r="J89">
        <f>IF(ISBLANK('By Round'!J41),"",'By Round'!J41)</f>
        <v/>
      </c>
      <c r="K89">
        <f>IF(ISBLANK('By Round'!K41),"",'By Round'!K41)</f>
        <v/>
      </c>
      <c r="L89" s="12">
        <f>SUM(AD89:AH89)</f>
        <v/>
      </c>
      <c r="M89" s="13">
        <f>SUM(AI89:AM89)</f>
        <v/>
      </c>
      <c r="N89" s="8">
        <f>IF(COUNT(T89:X89)&gt;0,P89/COUNT(T89:X89),0.5)</f>
        <v/>
      </c>
      <c r="O89" s="8">
        <f>IF(COUNT(Y89:AC89)&gt;0,Q89/COUNT(Y89:AC89),0.5)</f>
        <v/>
      </c>
      <c r="P89" s="5">
        <f>SUM(T89:X89)</f>
        <v/>
      </c>
      <c r="Q89" s="5">
        <f>SUM(Y89:AC89)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IF(ISNUMBER(S89),IF(ISNUMBER(S87),IF(S89&gt;S87,1.0,IF(S89=S87,0.5,0.0)),""),"")</f>
        <v/>
      </c>
      <c r="Z89">
        <f>IF(ISNUMBER(S89),IF(ISNUMBER(S88),IF(S89&gt;S88,1.0,IF(S89=S88,0.5,0.0)),""),"")</f>
        <v/>
      </c>
      <c r="AA89">
        <f>IF(ISNUMBER(S89),IF(ISNUMBER(S90),IF(S89&gt;S90,1.0,IF(S89=S90,0.5,0.0)),""),"")</f>
        <v/>
      </c>
      <c r="AB89">
        <f>IF(ISNUMBER(S89),IF(ISNUMBER(S91),IF(S89&gt;S91,1.0,IF(S89=S91,0.5,0.0)),""),"")</f>
        <v/>
      </c>
      <c r="AC89">
        <f>IF(ISNUMBER(S89),IF(ISNUMBER(S92),IF(S89&gt;S92,1.0,IF(S89=S92,0.5,0.0)),""),"")</f>
        <v/>
      </c>
      <c r="AD89" s="14">
        <f>IF(AND(ISNUMBER(R89),ISNUMBER(R87)),VLOOKUP(ABS(R89-R87),'IMP Table'!$A$2:$C$26,3)*SIGN(R89-R87),0)</f>
        <v/>
      </c>
      <c r="AE89">
        <f>IF(AND(ISNUMBER(R89),ISNUMBER(R88)),VLOOKUP(ABS(R89-R88),'IMP Table'!$A$2:$C$26,3)*SIGN(R89-R88),0)</f>
        <v/>
      </c>
      <c r="AF89">
        <f>IF(AND(ISNUMBER(R89),ISNUMBER(R90)),VLOOKUP(ABS(R89-R90),'IMP Table'!$A$2:$C$26,3)*SIGN(R89-R90),0)</f>
        <v/>
      </c>
      <c r="AG89">
        <f>IF(AND(ISNUMBER(R89),ISNUMBER(R91)),VLOOKUP(ABS(R89-R91),'IMP Table'!$A$2:$C$26,3)*SIGN(R89-R91),0)</f>
        <v/>
      </c>
      <c r="AH89">
        <f>IF(AND(ISNUMBER(R89),ISNUMBER(R92)),VLOOKUP(ABS(R89-R92),'IMP Table'!$A$2:$C$26,3)*SIGN(R89-R92),0)</f>
        <v/>
      </c>
      <c r="AI89">
        <f>IF(AND(ISNUMBER(S89),ISNUMBER(S87)),VLOOKUP(ABS(S89-S87),'IMP Table'!$A$2:$C$26,3)*SIGN(S89-S87),0)</f>
        <v/>
      </c>
      <c r="AJ89">
        <f>IF(AND(ISNUMBER(S89),ISNUMBER(S88)),VLOOKUP(ABS(S89-S88),'IMP Table'!$A$2:$C$26,3)*SIGN(S89-S88),0)</f>
        <v/>
      </c>
      <c r="AK89">
        <f>IF(AND(ISNUMBER(S89),ISNUMBER(S90)),VLOOKUP(ABS(S89-S90),'IMP Table'!$A$2:$C$26,3)*SIGN(S89-S90),0)</f>
        <v/>
      </c>
      <c r="AL89">
        <f>IF(AND(ISNUMBER(S89),ISNUMBER(S91)),VLOOKUP(ABS(S89-S91),'IMP Table'!$A$2:$C$26,3)*SIGN(S89-S91),0)</f>
        <v/>
      </c>
      <c r="AM89">
        <f>IF(AND(ISNUMBER(S89),ISNUMBER(S92)),VLOOKUP(ABS(S89-S92),'IMP Table'!$A$2:$C$26,3)*SIGN(S89-S92),0)</f>
        <v/>
      </c>
    </row>
    <row r="90">
      <c r="B90">
        <f>'By Round'!A87</f>
        <v/>
      </c>
      <c r="C90">
        <f>'By Round'!B87</f>
        <v/>
      </c>
      <c r="D90">
        <f>'By Round'!C87</f>
        <v/>
      </c>
      <c r="E90">
        <f>'By Round'!D87</f>
        <v/>
      </c>
      <c r="F90" s="11" t="inlineStr">
        <is>
          <t>NS</t>
        </is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2">
        <f>SUM(AD90:AH90)</f>
        <v/>
      </c>
      <c r="M90" s="13">
        <f>SUM(AI90:AM90)</f>
        <v/>
      </c>
      <c r="N90" s="8">
        <f>IF(COUNT(T90:X90)&gt;0,P90/COUNT(T90:X90),0.5)</f>
        <v/>
      </c>
      <c r="O90" s="8">
        <f>IF(COUNT(Y90:AC90)&gt;0,Q90/COUNT(Y90:AC90),0.5)</f>
        <v/>
      </c>
      <c r="P90" s="5">
        <f>SUM(T90:X90)</f>
        <v/>
      </c>
      <c r="Q90" s="5">
        <f>SUM(Y90:AC90)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IF(ISNUMBER(S90),IF(ISNUMBER(S87),IF(S90&gt;S87,1.0,IF(S90=S87,0.5,0.0)),""),"")</f>
        <v/>
      </c>
      <c r="Z90">
        <f>IF(ISNUMBER(S90),IF(ISNUMBER(S88),IF(S90&gt;S88,1.0,IF(S90=S88,0.5,0.0)),""),"")</f>
        <v/>
      </c>
      <c r="AA90">
        <f>IF(ISNUMBER(S90),IF(ISNUMBER(S89),IF(S90&gt;S89,1.0,IF(S90=S89,0.5,0.0)),""),"")</f>
        <v/>
      </c>
      <c r="AB90">
        <f>IF(ISNUMBER(S90),IF(ISNUMBER(S91),IF(S90&gt;S91,1.0,IF(S90=S91,0.5,0.0)),""),"")</f>
        <v/>
      </c>
      <c r="AC90">
        <f>IF(ISNUMBER(S90),IF(ISNUMBER(S92),IF(S90&gt;S92,1.0,IF(S90=S92,0.5,0.0)),""),"")</f>
        <v/>
      </c>
      <c r="AD90" s="14">
        <f>IF(AND(ISNUMBER(R90),ISNUMBER(R87)),VLOOKUP(ABS(R90-R87),'IMP Table'!$A$2:$C$26,3)*SIGN(R90-R87),0)</f>
        <v/>
      </c>
      <c r="AE90">
        <f>IF(AND(ISNUMBER(R90),ISNUMBER(R88)),VLOOKUP(ABS(R90-R88),'IMP Table'!$A$2:$C$26,3)*SIGN(R90-R88),0)</f>
        <v/>
      </c>
      <c r="AF90">
        <f>IF(AND(ISNUMBER(R90),ISNUMBER(R89)),VLOOKUP(ABS(R90-R89),'IMP Table'!$A$2:$C$26,3)*SIGN(R90-R89),0)</f>
        <v/>
      </c>
      <c r="AG90">
        <f>IF(AND(ISNUMBER(R90),ISNUMBER(R91)),VLOOKUP(ABS(R90-R91),'IMP Table'!$A$2:$C$26,3)*SIGN(R90-R91),0)</f>
        <v/>
      </c>
      <c r="AH90">
        <f>IF(AND(ISNUMBER(R90),ISNUMBER(R92)),VLOOKUP(ABS(R90-R92),'IMP Table'!$A$2:$C$26,3)*SIGN(R90-R92),0)</f>
        <v/>
      </c>
      <c r="AI90">
        <f>IF(AND(ISNUMBER(S90),ISNUMBER(S87)),VLOOKUP(ABS(S90-S87),'IMP Table'!$A$2:$C$26,3)*SIGN(S90-S87),0)</f>
        <v/>
      </c>
      <c r="AJ90">
        <f>IF(AND(ISNUMBER(S90),ISNUMBER(S88)),VLOOKUP(ABS(S90-S88),'IMP Table'!$A$2:$C$26,3)*SIGN(S90-S88),0)</f>
        <v/>
      </c>
      <c r="AK90">
        <f>IF(AND(ISNUMBER(S90),ISNUMBER(S89)),VLOOKUP(ABS(S90-S89),'IMP Table'!$A$2:$C$26,3)*SIGN(S90-S89),0)</f>
        <v/>
      </c>
      <c r="AL90">
        <f>IF(AND(ISNUMBER(S90),ISNUMBER(S91)),VLOOKUP(ABS(S90-S91),'IMP Table'!$A$2:$C$26,3)*SIGN(S90-S91),0)</f>
        <v/>
      </c>
      <c r="AM90">
        <f>IF(AND(ISNUMBER(S90),ISNUMBER(S92)),VLOOKUP(ABS(S90-S92),'IMP Table'!$A$2:$C$26,3)*SIGN(S90-S92),0)</f>
        <v/>
      </c>
    </row>
    <row r="91">
      <c r="B91">
        <f>'By Round'!A111</f>
        <v/>
      </c>
      <c r="C91">
        <f>'By Round'!B121</f>
        <v/>
      </c>
      <c r="D91">
        <f>'By Round'!C121</f>
        <v/>
      </c>
      <c r="E91">
        <f>'By Round'!D121</f>
        <v/>
      </c>
      <c r="F91" s="11" t="inlineStr">
        <is>
          <t>NS</t>
        </is>
      </c>
      <c r="G91">
        <f>IF(ISBLANK('By Round'!G121),"",'By Round'!G121)</f>
        <v/>
      </c>
      <c r="H91">
        <f>IF(ISBLANK('By Round'!H121),"",'By Round'!H121)</f>
        <v/>
      </c>
      <c r="I91">
        <f>IF(ISBLANK('By Round'!I121),"",'By Round'!I121)</f>
        <v/>
      </c>
      <c r="J91">
        <f>IF(ISBLANK('By Round'!J121),"",'By Round'!J121)</f>
        <v/>
      </c>
      <c r="K91">
        <f>IF(ISBLANK('By Round'!K121),"",'By Round'!K121)</f>
        <v/>
      </c>
      <c r="L91" s="12">
        <f>SUM(AD91:AH91)</f>
        <v/>
      </c>
      <c r="M91" s="13">
        <f>SUM(AI91:AM91)</f>
        <v/>
      </c>
      <c r="N91" s="8">
        <f>IF(COUNT(T91:X91)&gt;0,P91/COUNT(T91:X91),0.5)</f>
        <v/>
      </c>
      <c r="O91" s="8">
        <f>IF(COUNT(Y91:AC91)&gt;0,Q91/COUNT(Y91:AC91),0.5)</f>
        <v/>
      </c>
      <c r="P91" s="5">
        <f>SUM(T91:X91)</f>
        <v/>
      </c>
      <c r="Q91" s="5">
        <f>SUM(Y91:AC91)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IF(ISNUMBER(S91),IF(ISNUMBER(S87),IF(S91&gt;S87,1.0,IF(S91=S87,0.5,0.0)),""),"")</f>
        <v/>
      </c>
      <c r="Z91">
        <f>IF(ISNUMBER(S91),IF(ISNUMBER(S88),IF(S91&gt;S88,1.0,IF(S91=S88,0.5,0.0)),""),"")</f>
        <v/>
      </c>
      <c r="AA91">
        <f>IF(ISNUMBER(S91),IF(ISNUMBER(S89),IF(S91&gt;S89,1.0,IF(S91=S89,0.5,0.0)),""),"")</f>
        <v/>
      </c>
      <c r="AB91">
        <f>IF(ISNUMBER(S91),IF(ISNUMBER(S90),IF(S91&gt;S90,1.0,IF(S91=S90,0.5,0.0)),""),"")</f>
        <v/>
      </c>
      <c r="AC91">
        <f>IF(ISNUMBER(S91),IF(ISNUMBER(S92),IF(S91&gt;S92,1.0,IF(S91=S92,0.5,0.0)),""),"")</f>
        <v/>
      </c>
      <c r="AD91" s="14">
        <f>IF(AND(ISNUMBER(R91),ISNUMBER(R87)),VLOOKUP(ABS(R91-R87),'IMP Table'!$A$2:$C$26,3)*SIGN(R91-R87),0)</f>
        <v/>
      </c>
      <c r="AE91">
        <f>IF(AND(ISNUMBER(R91),ISNUMBER(R88)),VLOOKUP(ABS(R91-R88),'IMP Table'!$A$2:$C$26,3)*SIGN(R91-R88),0)</f>
        <v/>
      </c>
      <c r="AF91">
        <f>IF(AND(ISNUMBER(R91),ISNUMBER(R89)),VLOOKUP(ABS(R91-R89),'IMP Table'!$A$2:$C$26,3)*SIGN(R91-R89),0)</f>
        <v/>
      </c>
      <c r="AG91">
        <f>IF(AND(ISNUMBER(R91),ISNUMBER(R90)),VLOOKUP(ABS(R91-R90),'IMP Table'!$A$2:$C$26,3)*SIGN(R91-R90),0)</f>
        <v/>
      </c>
      <c r="AH91">
        <f>IF(AND(ISNUMBER(R91),ISNUMBER(R92)),VLOOKUP(ABS(R91-R92),'IMP Table'!$A$2:$C$26,3)*SIGN(R91-R92),0)</f>
        <v/>
      </c>
      <c r="AI91">
        <f>IF(AND(ISNUMBER(S91),ISNUMBER(S87)),VLOOKUP(ABS(S91-S87),'IMP Table'!$A$2:$C$26,3)*SIGN(S91-S87),0)</f>
        <v/>
      </c>
      <c r="AJ91">
        <f>IF(AND(ISNUMBER(S91),ISNUMBER(S88)),VLOOKUP(ABS(S91-S88),'IMP Table'!$A$2:$C$26,3)*SIGN(S91-S88),0)</f>
        <v/>
      </c>
      <c r="AK91">
        <f>IF(AND(ISNUMBER(S91),ISNUMBER(S89)),VLOOKUP(ABS(S91-S89),'IMP Table'!$A$2:$C$26,3)*SIGN(S91-S89),0)</f>
        <v/>
      </c>
      <c r="AL91">
        <f>IF(AND(ISNUMBER(S91),ISNUMBER(S90)),VLOOKUP(ABS(S91-S90),'IMP Table'!$A$2:$C$26,3)*SIGN(S91-S90),0)</f>
        <v/>
      </c>
      <c r="AM91">
        <f>IF(AND(ISNUMBER(S91),ISNUMBER(S92)),VLOOKUP(ABS(S91-S92),'IMP Table'!$A$2:$C$26,3)*SIGN(S91-S92),0)</f>
        <v/>
      </c>
    </row>
    <row r="92">
      <c r="A92" s="15" t="n"/>
      <c r="B92" s="15">
        <f>'By Round'!A123</f>
        <v/>
      </c>
      <c r="C92" s="15">
        <f>'By Round'!B131</f>
        <v/>
      </c>
      <c r="D92" s="15">
        <f>'By Round'!C131</f>
        <v/>
      </c>
      <c r="E92" s="15">
        <f>'By Round'!D131</f>
        <v/>
      </c>
      <c r="F92" s="16" t="inlineStr">
        <is>
          <t>NS</t>
        </is>
      </c>
      <c r="G92" s="15">
        <f>IF(ISBLANK('By Round'!G131),"",'By Round'!G131)</f>
        <v/>
      </c>
      <c r="H92" s="15">
        <f>IF(ISBLANK('By Round'!H131),"",'By Round'!H131)</f>
        <v/>
      </c>
      <c r="I92" s="15">
        <f>IF(ISBLANK('By Round'!I131),"",'By Round'!I131)</f>
        <v/>
      </c>
      <c r="J92" s="15">
        <f>IF(ISBLANK('By Round'!J131),"",'By Round'!J131)</f>
        <v/>
      </c>
      <c r="K92" s="15">
        <f>IF(ISBLANK('By Round'!K131),"",'By Round'!K131)</f>
        <v/>
      </c>
      <c r="L92" s="17">
        <f>SUM(AD92:AH92)</f>
        <v/>
      </c>
      <c r="M92" s="18">
        <f>SUM(AI92:AM92)</f>
        <v/>
      </c>
      <c r="N92" s="19">
        <f>IF(COUNT(T92:X92)&gt;0,P92/COUNT(T92:X92),0.5)</f>
        <v/>
      </c>
      <c r="O92" s="19">
        <f>IF(COUNT(Y92:AC92)&gt;0,Q92/COUNT(Y92:AC92),0.5)</f>
        <v/>
      </c>
      <c r="P92" s="20">
        <f>SUM(T92:X92)</f>
        <v/>
      </c>
      <c r="Q92" s="20">
        <f>SUM(Y92:AC92)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IF(ISNUMBER(R92),IF(ISNUMBER(R87),IF(R92&gt;R87,1.0,IF(R92=R87,0.5,0.0)),""),"")</f>
        <v/>
      </c>
      <c r="U92" s="15">
        <f>IF(ISNUMBER(R92),IF(ISNUMBER(R88),IF(R92&gt;R88,1.0,IF(R92=R88,0.5,0.0)),""),"")</f>
        <v/>
      </c>
      <c r="V92" s="15">
        <f>IF(ISNUMBER(R92),IF(ISNUMBER(R89),IF(R92&gt;R89,1.0,IF(R92=R89,0.5,0.0)),""),"")</f>
        <v/>
      </c>
      <c r="W92" s="15">
        <f>IF(ISNUMBER(R92),IF(ISNUMBER(R90),IF(R92&gt;R90,1.0,IF(R92=R90,0.5,0.0)),""),"")</f>
        <v/>
      </c>
      <c r="X92" s="15">
        <f>IF(ISNUMBER(R92),IF(ISNUMBER(R91),IF(R92&gt;R91,1.0,IF(R92=R91,0.5,0.0)),""),"")</f>
        <v/>
      </c>
      <c r="Y92" s="15">
        <f>IF(ISNUMBER(S92),IF(ISNUMBER(S87),IF(S92&gt;S87,1.0,IF(S92=S87,0.5,0.0)),""),"")</f>
        <v/>
      </c>
      <c r="Z92" s="15">
        <f>IF(ISNUMBER(S92),IF(ISNUMBER(S88),IF(S92&gt;S88,1.0,IF(S92=S88,0.5,0.0)),""),"")</f>
        <v/>
      </c>
      <c r="AA92" s="15">
        <f>IF(ISNUMBER(S92),IF(ISNUMBER(S89),IF(S92&gt;S89,1.0,IF(S92=S89,0.5,0.0)),""),"")</f>
        <v/>
      </c>
      <c r="AB92" s="15">
        <f>IF(ISNUMBER(S92),IF(ISNUMBER(S90),IF(S92&gt;S90,1.0,IF(S92=S90,0.5,0.0)),""),"")</f>
        <v/>
      </c>
      <c r="AC92" s="15">
        <f>IF(ISNUMBER(S92),IF(ISNUMBER(S91),IF(S92&gt;S91,1.0,IF(S92=S91,0.5,0.0)),""),"")</f>
        <v/>
      </c>
      <c r="AD92" s="21">
        <f>IF(AND(ISNUMBER(R92),ISNUMBER(R87)),VLOOKUP(ABS(R92-R87),'IMP Table'!$A$2:$C$26,3)*SIGN(R92-R87),0)</f>
        <v/>
      </c>
      <c r="AE92" s="15">
        <f>IF(AND(ISNUMBER(R92),ISNUMBER(R88)),VLOOKUP(ABS(R92-R88),'IMP Table'!$A$2:$C$26,3)*SIGN(R92-R88),0)</f>
        <v/>
      </c>
      <c r="AF92" s="15">
        <f>IF(AND(ISNUMBER(R92),ISNUMBER(R89)),VLOOKUP(ABS(R92-R89),'IMP Table'!$A$2:$C$26,3)*SIGN(R92-R89),0)</f>
        <v/>
      </c>
      <c r="AG92" s="15">
        <f>IF(AND(ISNUMBER(R92),ISNUMBER(R90)),VLOOKUP(ABS(R92-R90),'IMP Table'!$A$2:$C$26,3)*SIGN(R92-R90),0)</f>
        <v/>
      </c>
      <c r="AH92" s="15">
        <f>IF(AND(ISNUMBER(R92),ISNUMBER(R91)),VLOOKUP(ABS(R92-R91),'IMP Table'!$A$2:$C$26,3)*SIGN(R92-R91),0)</f>
        <v/>
      </c>
      <c r="AI92" s="15">
        <f>IF(AND(ISNUMBER(S92),ISNUMBER(S87)),VLOOKUP(ABS(S92-S87),'IMP Table'!$A$2:$C$26,3)*SIGN(S92-S87),0)</f>
        <v/>
      </c>
      <c r="AJ92" s="15">
        <f>IF(AND(ISNUMBER(S92),ISNUMBER(S88)),VLOOKUP(ABS(S92-S88),'IMP Table'!$A$2:$C$26,3)*SIGN(S92-S88),0)</f>
        <v/>
      </c>
      <c r="AK92" s="15">
        <f>IF(AND(ISNUMBER(S92),ISNUMBER(S89)),VLOOKUP(ABS(S92-S89),'IMP Table'!$A$2:$C$26,3)*SIGN(S92-S89),0)</f>
        <v/>
      </c>
      <c r="AL92" s="15">
        <f>IF(AND(ISNUMBER(S92),ISNUMBER(S90)),VLOOKUP(ABS(S92-S90),'IMP Table'!$A$2:$C$26,3)*SIGN(S92-S90),0)</f>
        <v/>
      </c>
      <c r="AM92" s="15">
        <f>IF(AND(ISNUMBER(S92),ISNUMBER(S91)),VLOOKUP(ABS(S92-S91),'IMP Table'!$A$2:$C$26,3)*SIGN(S92-S91),0)</f>
        <v/>
      </c>
    </row>
    <row r="93">
      <c r="A93" t="n">
        <v>16</v>
      </c>
      <c r="B93">
        <f>'By Round'!A3</f>
        <v/>
      </c>
      <c r="C93">
        <f>'By Round'!B9</f>
        <v/>
      </c>
      <c r="D93">
        <f>'By Round'!C9</f>
        <v/>
      </c>
      <c r="E93">
        <f>'By Round'!D9</f>
        <v/>
      </c>
      <c r="F93" s="11" t="inlineStr">
        <is>
          <t>EW</t>
        </is>
      </c>
      <c r="G93">
        <f>IF(ISBLANK('By Round'!G9),"",'By Round'!G9)</f>
        <v/>
      </c>
      <c r="H93">
        <f>IF(ISBLANK('By Round'!H9),"",'By Round'!H9)</f>
        <v/>
      </c>
      <c r="I93">
        <f>IF(ISBLANK('By Round'!I9),"",'By Round'!I9)</f>
        <v/>
      </c>
      <c r="J93">
        <f>IF(ISBLANK('By Round'!J9),"",'By Round'!J9)</f>
        <v/>
      </c>
      <c r="K93">
        <f>IF(ISBLANK('By Round'!K9),"",'By Round'!K9)</f>
        <v/>
      </c>
      <c r="L93" s="12">
        <f>SUM(AD93:AH93)</f>
        <v/>
      </c>
      <c r="M93" s="13">
        <f>SUM(AI93:AM93)</f>
        <v/>
      </c>
      <c r="N93" s="8">
        <f>IF(COUNT(T93:X93)&gt;0,P93/COUNT(T93:X93),0.5)</f>
        <v/>
      </c>
      <c r="O93" s="8">
        <f>IF(COUNT(Y93:AC93)&gt;0,Q93/COUNT(Y93:AC93),0.5)</f>
        <v/>
      </c>
      <c r="P93" s="5">
        <f>SUM(T93:X93)</f>
        <v/>
      </c>
      <c r="Q93" s="5">
        <f>SUM(Y93:AC93)</f>
        <v/>
      </c>
      <c r="R93" s="14">
        <f>IF(ISNUMBER(J93),J93,IF(ISNUMBER(K93),-K93,""))</f>
        <v/>
      </c>
      <c r="S93">
        <f>IF(ISNUMBER(K93),K93,IF(ISNUMBER(J93),-J93,""))</f>
        <v/>
      </c>
      <c r="T93" s="14">
        <f>IF(ISNUMBER(R93),IF(ISNUMBER(R94),IF(R93&gt;R94,1.0,IF(R93=R94,0.5,0.0)),""),"")</f>
        <v/>
      </c>
      <c r="U93">
        <f>IF(ISNUMBER(R93),IF(ISNUMBER(R95),IF(R93&gt;R95,1.0,IF(R93=R95,0.5,0.0)),""),"")</f>
        <v/>
      </c>
      <c r="V93">
        <f>IF(ISNUMBER(R93),IF(ISNUMBER(R96),IF(R93&gt;R96,1.0,IF(R93=R96,0.5,0.0)),""),"")</f>
        <v/>
      </c>
      <c r="W93">
        <f>IF(ISNUMBER(R93),IF(ISNUMBER(R97),IF(R93&gt;R97,1.0,IF(R93=R97,0.5,0.0)),""),"")</f>
        <v/>
      </c>
      <c r="X93">
        <f>IF(ISNUMBER(R93),IF(ISNUMBER(R98),IF(R93&gt;R98,1.0,IF(R93=R98,0.5,0.0)),""),"")</f>
        <v/>
      </c>
      <c r="Y93">
        <f>IF(ISNUMBER(S93),IF(ISNUMBER(S94),IF(S93&gt;S94,1.0,IF(S93=S94,0.5,0.0)),""),"")</f>
        <v/>
      </c>
      <c r="Z93">
        <f>IF(ISNUMBER(S93),IF(ISNUMBER(S95),IF(S93&gt;S95,1.0,IF(S93=S95,0.5,0.0)),""),"")</f>
        <v/>
      </c>
      <c r="AA93">
        <f>IF(ISNUMBER(S93),IF(ISNUMBER(S96),IF(S93&gt;S96,1.0,IF(S93=S96,0.5,0.0)),""),"")</f>
        <v/>
      </c>
      <c r="AB93">
        <f>IF(ISNUMBER(S93),IF(ISNUMBER(S97),IF(S93&gt;S97,1.0,IF(S93=S97,0.5,0.0)),""),"")</f>
        <v/>
      </c>
      <c r="AC93">
        <f>IF(ISNUMBER(S93),IF(ISNUMBER(S98),IF(S93&gt;S98,1.0,IF(S93=S98,0.5,0.0)),""),"")</f>
        <v/>
      </c>
      <c r="AD93" s="14">
        <f>IF(AND(ISNUMBER(R93),ISNUMBER(R94)),VLOOKUP(ABS(R93-R94),'IMP Table'!$A$2:$C$26,3)*SIGN(R93-R94),0)</f>
        <v/>
      </c>
      <c r="AE93">
        <f>IF(AND(ISNUMBER(R93),ISNUMBER(R95)),VLOOKUP(ABS(R93-R95),'IMP Table'!$A$2:$C$26,3)*SIGN(R93-R95),0)</f>
        <v/>
      </c>
      <c r="AF93">
        <f>IF(AND(ISNUMBER(R93),ISNUMBER(R96)),VLOOKUP(ABS(R93-R96),'IMP Table'!$A$2:$C$26,3)*SIGN(R93-R96),0)</f>
        <v/>
      </c>
      <c r="AG93">
        <f>IF(AND(ISNUMBER(R93),ISNUMBER(R97)),VLOOKUP(ABS(R93-R97),'IMP Table'!$A$2:$C$26,3)*SIGN(R93-R97),0)</f>
        <v/>
      </c>
      <c r="AH93">
        <f>IF(AND(ISNUMBER(R93),ISNUMBER(R98)),VLOOKUP(ABS(R93-R98),'IMP Table'!$A$2:$C$26,3)*SIGN(R93-R98),0)</f>
        <v/>
      </c>
      <c r="AI93">
        <f>IF(AND(ISNUMBER(S93),ISNUMBER(S94)),VLOOKUP(ABS(S93-S94),'IMP Table'!$A$2:$C$26,3)*SIGN(S93-S94),0)</f>
        <v/>
      </c>
      <c r="AJ93">
        <f>IF(AND(ISNUMBER(S93),ISNUMBER(S95)),VLOOKUP(ABS(S93-S95),'IMP Table'!$A$2:$C$26,3)*SIGN(S93-S95),0)</f>
        <v/>
      </c>
      <c r="AK93">
        <f>IF(AND(ISNUMBER(S93),ISNUMBER(S96)),VLOOKUP(ABS(S93-S96),'IMP Table'!$A$2:$C$26,3)*SIGN(S93-S96),0)</f>
        <v/>
      </c>
      <c r="AL93">
        <f>IF(AND(ISNUMBER(S93),ISNUMBER(S97)),VLOOKUP(ABS(S93-S97),'IMP Table'!$A$2:$C$26,3)*SIGN(S93-S97),0)</f>
        <v/>
      </c>
      <c r="AM93">
        <f>IF(AND(ISNUMBER(S93),ISNUMBER(S98)),VLOOKUP(ABS(S93-S98),'IMP Table'!$A$2:$C$26,3)*SIGN(S93-S98),0)</f>
        <v/>
      </c>
    </row>
    <row r="94">
      <c r="B94">
        <f>'By Round'!A27</f>
        <v/>
      </c>
      <c r="C94">
        <f>'By Round'!B31</f>
        <v/>
      </c>
      <c r="D94">
        <f>'By Round'!C31</f>
        <v/>
      </c>
      <c r="E94">
        <f>'By Round'!D31</f>
        <v/>
      </c>
      <c r="F94" s="11" t="inlineStr">
        <is>
          <t>EW</t>
        </is>
      </c>
      <c r="G94">
        <f>IF(ISBLANK('By Round'!G31),"",'By Round'!G31)</f>
        <v/>
      </c>
      <c r="H94">
        <f>IF(ISBLANK('By Round'!H31),"",'By Round'!H31)</f>
        <v/>
      </c>
      <c r="I94">
        <f>IF(ISBLANK('By Round'!I31),"",'By Round'!I31)</f>
        <v/>
      </c>
      <c r="J94">
        <f>IF(ISBLANK('By Round'!J31),"",'By Round'!J31)</f>
        <v/>
      </c>
      <c r="K94">
        <f>IF(ISBLANK('By Round'!K31),"",'By Round'!K31)</f>
        <v/>
      </c>
      <c r="L94" s="12">
        <f>SUM(AD94:AH94)</f>
        <v/>
      </c>
      <c r="M94" s="13">
        <f>SUM(AI94:AM94)</f>
        <v/>
      </c>
      <c r="N94" s="8">
        <f>IF(COUNT(T94:X94)&gt;0,P94/COUNT(T94:X94),0.5)</f>
        <v/>
      </c>
      <c r="O94" s="8">
        <f>IF(COUNT(Y94:AC94)&gt;0,Q94/COUNT(Y94:AC94),0.5)</f>
        <v/>
      </c>
      <c r="P94" s="5">
        <f>SUM(T94:X94)</f>
        <v/>
      </c>
      <c r="Q94" s="5">
        <f>SUM(Y94:AC94)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IF(ISNUMBER(R94),IF(ISNUMBER(R93),IF(R94&gt;R93,1.0,IF(R94=R93,0.5,0.0)),""),"")</f>
        <v/>
      </c>
      <c r="U94">
        <f>IF(ISNUMBER(R94),IF(ISNUMBER(R95),IF(R94&gt;R95,1.0,IF(R94=R95,0.5,0.0)),""),"")</f>
        <v/>
      </c>
      <c r="V94">
        <f>IF(ISNUMBER(R94),IF(ISNUMBER(R96),IF(R94&gt;R96,1.0,IF(R94=R96,0.5,0.0)),""),"")</f>
        <v/>
      </c>
      <c r="W94">
        <f>IF(ISNUMBER(R94),IF(ISNUMBER(R97),IF(R94&gt;R97,1.0,IF(R94=R97,0.5,0.0)),""),"")</f>
        <v/>
      </c>
      <c r="X94">
        <f>IF(ISNUMBER(R94),IF(ISNUMBER(R98),IF(R94&gt;R98,1.0,IF(R94=R98,0.5,0.0)),""),"")</f>
        <v/>
      </c>
      <c r="Y94">
        <f>IF(ISNUMBER(S94),IF(ISNUMBER(S93),IF(S94&gt;S93,1.0,IF(S94=S93,0.5,0.0)),""),"")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 s="14">
        <f>IF(AND(ISNUMBER(R94),ISNUMBER(R93)),VLOOKUP(ABS(R94-R93),'IMP Table'!$A$2:$C$26,3)*SIGN(R94-R93),0)</f>
        <v/>
      </c>
      <c r="AE94">
        <f>IF(AND(ISNUMBER(R94),ISNUMBER(R95)),VLOOKUP(ABS(R94-R95),'IMP Table'!$A$2:$C$26,3)*SIGN(R94-R95),0)</f>
        <v/>
      </c>
      <c r="AF94">
        <f>IF(AND(ISNUMBER(R94),ISNUMBER(R96)),VLOOKUP(ABS(R94-R96),'IMP Table'!$A$2:$C$26,3)*SIGN(R94-R96),0)</f>
        <v/>
      </c>
      <c r="AG94">
        <f>IF(AND(ISNUMBER(R94),ISNUMBER(R97)),VLOOKUP(ABS(R94-R97),'IMP Table'!$A$2:$C$26,3)*SIGN(R94-R97),0)</f>
        <v/>
      </c>
      <c r="AH94">
        <f>IF(AND(ISNUMBER(R94),ISNUMBER(R98)),VLOOKUP(ABS(R94-R98),'IMP Table'!$A$2:$C$26,3)*SIGN(R94-R98),0)</f>
        <v/>
      </c>
      <c r="AI94">
        <f>IF(AND(ISNUMBER(S94),ISNUMBER(S93)),VLOOKUP(ABS(S94-S93),'IMP Table'!$A$2:$C$26,3)*SIGN(S94-S93),0)</f>
        <v/>
      </c>
      <c r="AJ94">
        <f>IF(AND(ISNUMBER(S94),ISNUMBER(S95)),VLOOKUP(ABS(S94-S95),'IMP Table'!$A$2:$C$26,3)*SIGN(S94-S95),0)</f>
        <v/>
      </c>
      <c r="AK94">
        <f>IF(AND(ISNUMBER(S94),ISNUMBER(S96)),VLOOKUP(ABS(S94-S96),'IMP Table'!$A$2:$C$26,3)*SIGN(S94-S96),0)</f>
        <v/>
      </c>
      <c r="AL94">
        <f>IF(AND(ISNUMBER(S94),ISNUMBER(S97)),VLOOKUP(ABS(S94-S97),'IMP Table'!$A$2:$C$26,3)*SIGN(S94-S97),0)</f>
        <v/>
      </c>
      <c r="AM94">
        <f>IF(AND(ISNUMBER(S94),ISNUMBER(S98)),VLOOKUP(ABS(S94-S98),'IMP Table'!$A$2:$C$26,3)*SIGN(S94-S98),0)</f>
        <v/>
      </c>
    </row>
    <row r="95">
      <c r="B95">
        <f>'By Round'!A39</f>
        <v/>
      </c>
      <c r="C95">
        <f>'By Round'!B41</f>
        <v/>
      </c>
      <c r="D95">
        <f>'By Round'!C41</f>
        <v/>
      </c>
      <c r="E95">
        <f>'By Round'!D41</f>
        <v/>
      </c>
      <c r="F95" s="11" t="inlineStr">
        <is>
          <t>EW</t>
        </is>
      </c>
      <c r="G95">
        <f>IF(ISBLANK('By Round'!G41),"",'By Round'!G41)</f>
        <v/>
      </c>
      <c r="H95">
        <f>IF(ISBLANK('By Round'!H41),"",'By Round'!H41)</f>
        <v/>
      </c>
      <c r="I95">
        <f>IF(ISBLANK('By Round'!I41),"",'By Round'!I41)</f>
        <v/>
      </c>
      <c r="J95">
        <f>IF(ISBLANK('By Round'!J41),"",'By Round'!J41)</f>
        <v/>
      </c>
      <c r="K95">
        <f>IF(ISBLANK('By Round'!K41),"",'By Round'!K41)</f>
        <v/>
      </c>
      <c r="L95" s="12">
        <f>SUM(AD95:AH95)</f>
        <v/>
      </c>
      <c r="M95" s="13">
        <f>SUM(AI95:AM95)</f>
        <v/>
      </c>
      <c r="N95" s="8">
        <f>IF(COUNT(T95:X95)&gt;0,P95/COUNT(T95:X95),0.5)</f>
        <v/>
      </c>
      <c r="O95" s="8">
        <f>IF(COUNT(Y95:AC95)&gt;0,Q95/COUNT(Y95:AC95),0.5)</f>
        <v/>
      </c>
      <c r="P95" s="5">
        <f>SUM(T95:X95)</f>
        <v/>
      </c>
      <c r="Q95" s="5">
        <f>SUM(Y95:AC95)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IF(ISNUMBER(R95),IF(ISNUMBER(R93),IF(R95&gt;R93,1.0,IF(R95=R93,0.5,0.0)),""),"")</f>
        <v/>
      </c>
      <c r="U95">
        <f>IF(ISNUMBER(R95),IF(ISNUMBER(R94),IF(R95&gt;R94,1.0,IF(R95=R94,0.5,0.0)),""),"")</f>
        <v/>
      </c>
      <c r="V95">
        <f>IF(ISNUMBER(R95),IF(ISNUMBER(R96),IF(R95&gt;R96,1.0,IF(R95=R96,0.5,0.0)),""),"")</f>
        <v/>
      </c>
      <c r="W95">
        <f>IF(ISNUMBER(R95),IF(ISNUMBER(R97),IF(R95&gt;R97,1.0,IF(R95=R97,0.5,0.0)),""),"")</f>
        <v/>
      </c>
      <c r="X95">
        <f>IF(ISNUMBER(R95),IF(ISNUMBER(R98),IF(R95&gt;R98,1.0,IF(R95=R98,0.5,0.0)),""),"")</f>
        <v/>
      </c>
      <c r="Y95">
        <f>IF(ISNUMBER(S95),IF(ISNUMBER(S93),IF(S95&gt;S93,1.0,IF(S95=S93,0.5,0.0)),""),"")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 s="14">
        <f>IF(AND(ISNUMBER(R95),ISNUMBER(R93)),VLOOKUP(ABS(R95-R93),'IMP Table'!$A$2:$C$26,3)*SIGN(R95-R93),0)</f>
        <v/>
      </c>
      <c r="AE95">
        <f>IF(AND(ISNUMBER(R95),ISNUMBER(R94)),VLOOKUP(ABS(R95-R94),'IMP Table'!$A$2:$C$26,3)*SIGN(R95-R94),0)</f>
        <v/>
      </c>
      <c r="AF95">
        <f>IF(AND(ISNUMBER(R95),ISNUMBER(R96)),VLOOKUP(ABS(R95-R96),'IMP Table'!$A$2:$C$26,3)*SIGN(R95-R96),0)</f>
        <v/>
      </c>
      <c r="AG95">
        <f>IF(AND(ISNUMBER(R95),ISNUMBER(R97)),VLOOKUP(ABS(R95-R97),'IMP Table'!$A$2:$C$26,3)*SIGN(R95-R97),0)</f>
        <v/>
      </c>
      <c r="AH95">
        <f>IF(AND(ISNUMBER(R95),ISNUMBER(R98)),VLOOKUP(ABS(R95-R98),'IMP Table'!$A$2:$C$26,3)*SIGN(R95-R98),0)</f>
        <v/>
      </c>
      <c r="AI95">
        <f>IF(AND(ISNUMBER(S95),ISNUMBER(S93)),VLOOKUP(ABS(S95-S93),'IMP Table'!$A$2:$C$26,3)*SIGN(S95-S93),0)</f>
        <v/>
      </c>
      <c r="AJ95">
        <f>IF(AND(ISNUMBER(S95),ISNUMBER(S94)),VLOOKUP(ABS(S95-S94),'IMP Table'!$A$2:$C$26,3)*SIGN(S95-S94),0)</f>
        <v/>
      </c>
      <c r="AK95">
        <f>IF(AND(ISNUMBER(S95),ISNUMBER(S96)),VLOOKUP(ABS(S95-S96),'IMP Table'!$A$2:$C$26,3)*SIGN(S95-S96),0)</f>
        <v/>
      </c>
      <c r="AL95">
        <f>IF(AND(ISNUMBER(S95),ISNUMBER(S97)),VLOOKUP(ABS(S95-S97),'IMP Table'!$A$2:$C$26,3)*SIGN(S95-S97),0)</f>
        <v/>
      </c>
      <c r="AM95">
        <f>IF(AND(ISNUMBER(S95),ISNUMBER(S98)),VLOOKUP(ABS(S95-S98),'IMP Table'!$A$2:$C$26,3)*SIGN(S95-S98),0)</f>
        <v/>
      </c>
    </row>
    <row r="96">
      <c r="B96">
        <f>'By Round'!A87</f>
        <v/>
      </c>
      <c r="C96">
        <f>'By Round'!B87</f>
        <v/>
      </c>
      <c r="D96">
        <f>'By Round'!C87</f>
        <v/>
      </c>
      <c r="E96">
        <f>'By Round'!D87</f>
        <v/>
      </c>
      <c r="F96" s="11" t="inlineStr">
        <is>
          <t>EW</t>
        </is>
      </c>
      <c r="G96">
        <f>IF(ISBLANK('By Round'!G87),"",'By Round'!G87)</f>
        <v/>
      </c>
      <c r="H96">
        <f>IF(ISBLANK('By Round'!H87),"",'By Round'!H87)</f>
        <v/>
      </c>
      <c r="I96">
        <f>IF(ISBLANK('By Round'!I87),"",'By Round'!I87)</f>
        <v/>
      </c>
      <c r="J96">
        <f>IF(ISBLANK('By Round'!J87),"",'By Round'!J87)</f>
        <v/>
      </c>
      <c r="K96">
        <f>IF(ISBLANK('By Round'!K87),"",'By Round'!K87)</f>
        <v/>
      </c>
      <c r="L96" s="12">
        <f>SUM(AD96:AH96)</f>
        <v/>
      </c>
      <c r="M96" s="13">
        <f>SUM(AI96:AM96)</f>
        <v/>
      </c>
      <c r="N96" s="8">
        <f>IF(COUNT(T96:X96)&gt;0,P96/COUNT(T96:X96),0.5)</f>
        <v/>
      </c>
      <c r="O96" s="8">
        <f>IF(COUNT(Y96:AC96)&gt;0,Q96/COUNT(Y96:AC96),0.5)</f>
        <v/>
      </c>
      <c r="P96" s="5">
        <f>SUM(T96:X96)</f>
        <v/>
      </c>
      <c r="Q96" s="5">
        <f>SUM(Y96:AC96)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IF(ISNUMBER(R96),IF(ISNUMBER(R93),IF(R96&gt;R93,1.0,IF(R96=R93,0.5,0.0)),""),"")</f>
        <v/>
      </c>
      <c r="U96">
        <f>IF(ISNUMBER(R96),IF(ISNUMBER(R94),IF(R96&gt;R94,1.0,IF(R96=R94,0.5,0.0)),""),"")</f>
        <v/>
      </c>
      <c r="V96">
        <f>IF(ISNUMBER(R96),IF(ISNUMBER(R95),IF(R96&gt;R95,1.0,IF(R96=R95,0.5,0.0)),""),"")</f>
        <v/>
      </c>
      <c r="W96">
        <f>IF(ISNUMBER(R96),IF(ISNUMBER(R97),IF(R96&gt;R97,1.0,IF(R96=R97,0.5,0.0)),""),"")</f>
        <v/>
      </c>
      <c r="X96">
        <f>IF(ISNUMBER(R96),IF(ISNUMBER(R98),IF(R96&gt;R98,1.0,IF(R96=R98,0.5,0.0)),""),"")</f>
        <v/>
      </c>
      <c r="Y96">
        <f>IF(ISNUMBER(S96),IF(ISNUMBER(S93),IF(S96&gt;S93,1.0,IF(S96=S93,0.5,0.0)),""),"")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 s="14">
        <f>IF(AND(ISNUMBER(R96),ISNUMBER(R93)),VLOOKUP(ABS(R96-R93),'IMP Table'!$A$2:$C$26,3)*SIGN(R96-R93),0)</f>
        <v/>
      </c>
      <c r="AE96">
        <f>IF(AND(ISNUMBER(R96),ISNUMBER(R94)),VLOOKUP(ABS(R96-R94),'IMP Table'!$A$2:$C$26,3)*SIGN(R96-R94),0)</f>
        <v/>
      </c>
      <c r="AF96">
        <f>IF(AND(ISNUMBER(R96),ISNUMBER(R95)),VLOOKUP(ABS(R96-R95),'IMP Table'!$A$2:$C$26,3)*SIGN(R96-R95),0)</f>
        <v/>
      </c>
      <c r="AG96">
        <f>IF(AND(ISNUMBER(R96),ISNUMBER(R97)),VLOOKUP(ABS(R96-R97),'IMP Table'!$A$2:$C$26,3)*SIGN(R96-R97),0)</f>
        <v/>
      </c>
      <c r="AH96">
        <f>IF(AND(ISNUMBER(R96),ISNUMBER(R98)),VLOOKUP(ABS(R96-R98),'IMP Table'!$A$2:$C$26,3)*SIGN(R96-R98),0)</f>
        <v/>
      </c>
      <c r="AI96">
        <f>IF(AND(ISNUMBER(S96),ISNUMBER(S93)),VLOOKUP(ABS(S96-S93),'IMP Table'!$A$2:$C$26,3)*SIGN(S96-S93),0)</f>
        <v/>
      </c>
      <c r="AJ96">
        <f>IF(AND(ISNUMBER(S96),ISNUMBER(S94)),VLOOKUP(ABS(S96-S94),'IMP Table'!$A$2:$C$26,3)*SIGN(S96-S94),0)</f>
        <v/>
      </c>
      <c r="AK96">
        <f>IF(AND(ISNUMBER(S96),ISNUMBER(S95)),VLOOKUP(ABS(S96-S95),'IMP Table'!$A$2:$C$26,3)*SIGN(S96-S95),0)</f>
        <v/>
      </c>
      <c r="AL96">
        <f>IF(AND(ISNUMBER(S96),ISNUMBER(S97)),VLOOKUP(ABS(S96-S97),'IMP Table'!$A$2:$C$26,3)*SIGN(S96-S97),0)</f>
        <v/>
      </c>
      <c r="AM96">
        <f>IF(AND(ISNUMBER(S96),ISNUMBER(S98)),VLOOKUP(ABS(S96-S98),'IMP Table'!$A$2:$C$26,3)*SIGN(S96-S98),0)</f>
        <v/>
      </c>
    </row>
    <row r="97">
      <c r="B97">
        <f>'By Round'!A111</f>
        <v/>
      </c>
      <c r="C97">
        <f>'By Round'!B121</f>
        <v/>
      </c>
      <c r="D97">
        <f>'By Round'!C121</f>
        <v/>
      </c>
      <c r="E97">
        <f>'By Round'!D121</f>
        <v/>
      </c>
      <c r="F97" s="11" t="inlineStr">
        <is>
          <t>EW</t>
        </is>
      </c>
      <c r="G97">
        <f>IF(ISBLANK('By Round'!G121),"",'By Round'!G121)</f>
        <v/>
      </c>
      <c r="H97">
        <f>IF(ISBLANK('By Round'!H121),"",'By Round'!H121)</f>
        <v/>
      </c>
      <c r="I97">
        <f>IF(ISBLANK('By Round'!I121),"",'By Round'!I121)</f>
        <v/>
      </c>
      <c r="J97">
        <f>IF(ISBLANK('By Round'!J121),"",'By Round'!J121)</f>
        <v/>
      </c>
      <c r="K97">
        <f>IF(ISBLANK('By Round'!K121),"",'By Round'!K121)</f>
        <v/>
      </c>
      <c r="L97" s="12">
        <f>SUM(AD97:AH97)</f>
        <v/>
      </c>
      <c r="M97" s="13">
        <f>SUM(AI97:AM97)</f>
        <v/>
      </c>
      <c r="N97" s="8">
        <f>IF(COUNT(T97:X97)&gt;0,P97/COUNT(T97:X97),0.5)</f>
        <v/>
      </c>
      <c r="O97" s="8">
        <f>IF(COUNT(Y97:AC97)&gt;0,Q97/COUNT(Y97:AC97),0.5)</f>
        <v/>
      </c>
      <c r="P97" s="5">
        <f>SUM(T97:X97)</f>
        <v/>
      </c>
      <c r="Q97" s="5">
        <f>SUM(Y97:AC97)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IF(ISNUMBER(R97),IF(ISNUMBER(R93),IF(R97&gt;R93,1.0,IF(R97=R93,0.5,0.0)),""),"")</f>
        <v/>
      </c>
      <c r="U97">
        <f>IF(ISNUMBER(R97),IF(ISNUMBER(R94),IF(R97&gt;R94,1.0,IF(R97=R94,0.5,0.0)),""),"")</f>
        <v/>
      </c>
      <c r="V97">
        <f>IF(ISNUMBER(R97),IF(ISNUMBER(R95),IF(R97&gt;R95,1.0,IF(R97=R95,0.5,0.0)),""),"")</f>
        <v/>
      </c>
      <c r="W97">
        <f>IF(ISNUMBER(R97),IF(ISNUMBER(R96),IF(R97&gt;R96,1.0,IF(R97=R96,0.5,0.0)),""),"")</f>
        <v/>
      </c>
      <c r="X97">
        <f>IF(ISNUMBER(R97),IF(ISNUMBER(R98),IF(R97&gt;R98,1.0,IF(R97=R98,0.5,0.0)),""),"")</f>
        <v/>
      </c>
      <c r="Y97">
        <f>IF(ISNUMBER(S97),IF(ISNUMBER(S93),IF(S97&gt;S93,1.0,IF(S97=S93,0.5,0.0)),""),"")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 s="14">
        <f>IF(AND(ISNUMBER(R97),ISNUMBER(R93)),VLOOKUP(ABS(R97-R93),'IMP Table'!$A$2:$C$26,3)*SIGN(R97-R93),0)</f>
        <v/>
      </c>
      <c r="AE97">
        <f>IF(AND(ISNUMBER(R97),ISNUMBER(R94)),VLOOKUP(ABS(R97-R94),'IMP Table'!$A$2:$C$26,3)*SIGN(R97-R94),0)</f>
        <v/>
      </c>
      <c r="AF97">
        <f>IF(AND(ISNUMBER(R97),ISNUMBER(R95)),VLOOKUP(ABS(R97-R95),'IMP Table'!$A$2:$C$26,3)*SIGN(R97-R95),0)</f>
        <v/>
      </c>
      <c r="AG97">
        <f>IF(AND(ISNUMBER(R97),ISNUMBER(R96)),VLOOKUP(ABS(R97-R96),'IMP Table'!$A$2:$C$26,3)*SIGN(R97-R96),0)</f>
        <v/>
      </c>
      <c r="AH97">
        <f>IF(AND(ISNUMBER(R97),ISNUMBER(R98)),VLOOKUP(ABS(R97-R98),'IMP Table'!$A$2:$C$26,3)*SIGN(R97-R98),0)</f>
        <v/>
      </c>
      <c r="AI97">
        <f>IF(AND(ISNUMBER(S97),ISNUMBER(S93)),VLOOKUP(ABS(S97-S93),'IMP Table'!$A$2:$C$26,3)*SIGN(S97-S93),0)</f>
        <v/>
      </c>
      <c r="AJ97">
        <f>IF(AND(ISNUMBER(S97),ISNUMBER(S94)),VLOOKUP(ABS(S97-S94),'IMP Table'!$A$2:$C$26,3)*SIGN(S97-S94),0)</f>
        <v/>
      </c>
      <c r="AK97">
        <f>IF(AND(ISNUMBER(S97),ISNUMBER(S95)),VLOOKUP(ABS(S97-S95),'IMP Table'!$A$2:$C$26,3)*SIGN(S97-S95),0)</f>
        <v/>
      </c>
      <c r="AL97">
        <f>IF(AND(ISNUMBER(S97),ISNUMBER(S96)),VLOOKUP(ABS(S97-S96),'IMP Table'!$A$2:$C$26,3)*SIGN(S97-S96),0)</f>
        <v/>
      </c>
      <c r="AM97">
        <f>IF(AND(ISNUMBER(S97),ISNUMBER(S98)),VLOOKUP(ABS(S97-S98),'IMP Table'!$A$2:$C$26,3)*SIGN(S97-S98),0)</f>
        <v/>
      </c>
    </row>
    <row r="98">
      <c r="A98" s="15" t="n"/>
      <c r="B98" s="15">
        <f>'By Round'!A123</f>
        <v/>
      </c>
      <c r="C98" s="15">
        <f>'By Round'!B131</f>
        <v/>
      </c>
      <c r="D98" s="15">
        <f>'By Round'!C131</f>
        <v/>
      </c>
      <c r="E98" s="15">
        <f>'By Round'!D131</f>
        <v/>
      </c>
      <c r="F98" s="16" t="inlineStr">
        <is>
          <t>EW</t>
        </is>
      </c>
      <c r="G98" s="15">
        <f>IF(ISBLANK('By Round'!G131),"",'By Round'!G131)</f>
        <v/>
      </c>
      <c r="H98" s="15">
        <f>IF(ISBLANK('By Round'!H131),"",'By Round'!H131)</f>
        <v/>
      </c>
      <c r="I98" s="15">
        <f>IF(ISBLANK('By Round'!I131),"",'By Round'!I131)</f>
        <v/>
      </c>
      <c r="J98" s="15">
        <f>IF(ISBLANK('By Round'!J131),"",'By Round'!J131)</f>
        <v/>
      </c>
      <c r="K98" s="15">
        <f>IF(ISBLANK('By Round'!K131),"",'By Round'!K131)</f>
        <v/>
      </c>
      <c r="L98" s="17">
        <f>SUM(AD98:AH98)</f>
        <v/>
      </c>
      <c r="M98" s="18">
        <f>SUM(AI98:AM98)</f>
        <v/>
      </c>
      <c r="N98" s="19">
        <f>IF(COUNT(T98:X98)&gt;0,P98/COUNT(T98:X98),0.5)</f>
        <v/>
      </c>
      <c r="O98" s="19">
        <f>IF(COUNT(Y98:AC98)&gt;0,Q98/COUNT(Y98:AC98),0.5)</f>
        <v/>
      </c>
      <c r="P98" s="20">
        <f>SUM(T98:X98)</f>
        <v/>
      </c>
      <c r="Q98" s="20">
        <f>SUM(Y98:AC98)</f>
        <v/>
      </c>
      <c r="R98" s="21">
        <f>IF(ISNUMBER(J98),J98,IF(ISNUMBER(K98),-K98,""))</f>
        <v/>
      </c>
      <c r="S98" s="15">
        <f>IF(ISNUMBER(K98),K98,IF(ISNUMBER(J98),-J98,""))</f>
        <v/>
      </c>
      <c r="T98" s="21">
        <f>IF(ISNUMBER(R98),IF(ISNUMBER(R93),IF(R98&gt;R93,1.0,IF(R98=R93,0.5,0.0)),""),"")</f>
        <v/>
      </c>
      <c r="U98" s="15">
        <f>IF(ISNUMBER(R98),IF(ISNUMBER(R94),IF(R98&gt;R94,1.0,IF(R98=R94,0.5,0.0)),""),"")</f>
        <v/>
      </c>
      <c r="V98" s="15">
        <f>IF(ISNUMBER(R98),IF(ISNUMBER(R95),IF(R98&gt;R95,1.0,IF(R98=R95,0.5,0.0)),""),"")</f>
        <v/>
      </c>
      <c r="W98" s="15">
        <f>IF(ISNUMBER(R98),IF(ISNUMBER(R96),IF(R98&gt;R96,1.0,IF(R98=R96,0.5,0.0)),""),"")</f>
        <v/>
      </c>
      <c r="X98" s="15">
        <f>IF(ISNUMBER(R98),IF(ISNUMBER(R97),IF(R98&gt;R97,1.0,IF(R98=R97,0.5,0.0)),""),"")</f>
        <v/>
      </c>
      <c r="Y98" s="15">
        <f>IF(ISNUMBER(S98),IF(ISNUMBER(S93),IF(S98&gt;S93,1.0,IF(S98=S93,0.5,0.0)),""),"")</f>
        <v/>
      </c>
      <c r="Z98" s="15">
        <f>IF(ISNUMBER(S98),IF(ISNUMBER(S94),IF(S98&gt;S94,1.0,IF(S98=S94,0.5,0.0)),""),"")</f>
        <v/>
      </c>
      <c r="AA98" s="15">
        <f>IF(ISNUMBER(S98),IF(ISNUMBER(S95),IF(S98&gt;S95,1.0,IF(S98=S95,0.5,0.0)),""),"")</f>
        <v/>
      </c>
      <c r="AB98" s="15">
        <f>IF(ISNUMBER(S98),IF(ISNUMBER(S96),IF(S98&gt;S96,1.0,IF(S98=S96,0.5,0.0)),""),"")</f>
        <v/>
      </c>
      <c r="AC98" s="15">
        <f>IF(ISNUMBER(S98),IF(ISNUMBER(S97),IF(S98&gt;S97,1.0,IF(S98=S97,0.5,0.0)),""),"")</f>
        <v/>
      </c>
      <c r="AD98" s="21">
        <f>IF(AND(ISNUMBER(R98),ISNUMBER(R93)),VLOOKUP(ABS(R98-R93),'IMP Table'!$A$2:$C$26,3)*SIGN(R98-R93),0)</f>
        <v/>
      </c>
      <c r="AE98" s="15">
        <f>IF(AND(ISNUMBER(R98),ISNUMBER(R94)),VLOOKUP(ABS(R98-R94),'IMP Table'!$A$2:$C$26,3)*SIGN(R98-R94),0)</f>
        <v/>
      </c>
      <c r="AF98" s="15">
        <f>IF(AND(ISNUMBER(R98),ISNUMBER(R95)),VLOOKUP(ABS(R98-R95),'IMP Table'!$A$2:$C$26,3)*SIGN(R98-R95),0)</f>
        <v/>
      </c>
      <c r="AG98" s="15">
        <f>IF(AND(ISNUMBER(R98),ISNUMBER(R96)),VLOOKUP(ABS(R98-R96),'IMP Table'!$A$2:$C$26,3)*SIGN(R98-R96),0)</f>
        <v/>
      </c>
      <c r="AH98" s="15">
        <f>IF(AND(ISNUMBER(R98),ISNUMBER(R97)),VLOOKUP(ABS(R98-R97),'IMP Table'!$A$2:$C$26,3)*SIGN(R98-R97),0)</f>
        <v/>
      </c>
      <c r="AI98" s="15">
        <f>IF(AND(ISNUMBER(S98),ISNUMBER(S93)),VLOOKUP(ABS(S98-S93),'IMP Table'!$A$2:$C$26,3)*SIGN(S98-S93),0)</f>
        <v/>
      </c>
      <c r="AJ98" s="15">
        <f>IF(AND(ISNUMBER(S98),ISNUMBER(S94)),VLOOKUP(ABS(S98-S94),'IMP Table'!$A$2:$C$26,3)*SIGN(S98-S94),0)</f>
        <v/>
      </c>
      <c r="AK98" s="15">
        <f>IF(AND(ISNUMBER(S98),ISNUMBER(S95)),VLOOKUP(ABS(S98-S95),'IMP Table'!$A$2:$C$26,3)*SIGN(S98-S95),0)</f>
        <v/>
      </c>
      <c r="AL98" s="15">
        <f>IF(AND(ISNUMBER(S98),ISNUMBER(S96)),VLOOKUP(ABS(S98-S96),'IMP Table'!$A$2:$C$26,3)*SIGN(S98-S96),0)</f>
        <v/>
      </c>
      <c r="AM98" s="15">
        <f>IF(AND(ISNUMBER(S98),ISNUMBER(S97)),VLOOKUP(ABS(S98-S97),'IMP Table'!$A$2:$C$26,3)*SIGN(S98-S97),0)</f>
        <v/>
      </c>
    </row>
    <row r="99">
      <c r="A99" t="n">
        <v>17</v>
      </c>
      <c r="B99">
        <f>'By Round'!A3</f>
        <v/>
      </c>
      <c r="C99">
        <f>'By Round'!B11</f>
        <v/>
      </c>
      <c r="D99">
        <f>'By Round'!C11</f>
        <v/>
      </c>
      <c r="E99">
        <f>'By Round'!D11</f>
        <v/>
      </c>
      <c r="F99" s="11" t="inlineStr">
        <is>
          <t>None</t>
        </is>
      </c>
      <c r="G99">
        <f>IF(ISBLANK('By Round'!G11),"",'By Round'!G11)</f>
        <v/>
      </c>
      <c r="H99">
        <f>IF(ISBLANK('By Round'!H11),"",'By Round'!H11)</f>
        <v/>
      </c>
      <c r="I99">
        <f>IF(ISBLANK('By Round'!I11),"",'By Round'!I11)</f>
        <v/>
      </c>
      <c r="J99">
        <f>IF(ISBLANK('By Round'!J11),"",'By Round'!J11)</f>
        <v/>
      </c>
      <c r="K99">
        <f>IF(ISBLANK('By Round'!K11),"",'By Round'!K11)</f>
        <v/>
      </c>
      <c r="L99" s="12">
        <f>SUM(AD99:AH99)</f>
        <v/>
      </c>
      <c r="M99" s="13">
        <f>SUM(AI99:AM99)</f>
        <v/>
      </c>
      <c r="N99" s="8">
        <f>IF(COUNT(T99:X99)&gt;0,P99/COUNT(T99:X99),0.5)</f>
        <v/>
      </c>
      <c r="O99" s="8">
        <f>IF(COUNT(Y99:AC99)&gt;0,Q99/COUNT(Y99:AC99),0.5)</f>
        <v/>
      </c>
      <c r="P99" s="5">
        <f>SUM(T99:X99)</f>
        <v/>
      </c>
      <c r="Q99" s="5">
        <f>SUM(Y99:AC99)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IF(ISNUMBER(R99),IF(ISNUMBER(R100),IF(R99&gt;R100,1.0,IF(R99=R100,0.5,0.0)),""),"")</f>
        <v/>
      </c>
      <c r="U99">
        <f>IF(ISNUMBER(R99),IF(ISNUMBER(R101),IF(R99&gt;R101,1.0,IF(R99=R101,0.5,0.0)),""),"")</f>
        <v/>
      </c>
      <c r="V99">
        <f>IF(ISNUMBER(R99),IF(ISNUMBER(R102),IF(R99&gt;R102,1.0,IF(R99=R102,0.5,0.0)),""),"")</f>
        <v/>
      </c>
      <c r="W99">
        <f>IF(ISNUMBER(R99),IF(ISNUMBER(R103),IF(R99&gt;R103,1.0,IF(R99=R103,0.5,0.0)),""),"")</f>
        <v/>
      </c>
      <c r="X99">
        <f>IF(ISNUMBER(R99),IF(ISNUMBER(R104),IF(R99&gt;R104,1.0,IF(R99=R104,0.5,0.0)),""),"")</f>
        <v/>
      </c>
      <c r="Y99">
        <f>IF(ISNUMBER(S99),IF(ISNUMBER(S100),IF(S99&gt;S100,1.0,IF(S99=S100,0.5,0.0)),""),"")</f>
        <v/>
      </c>
      <c r="Z99">
        <f>IF(ISNUMBER(S99),IF(ISNUMBER(S101),IF(S99&gt;S101,1.0,IF(S99=S101,0.5,0.0)),""),"")</f>
        <v/>
      </c>
      <c r="AA99">
        <f>IF(ISNUMBER(S99),IF(ISNUMBER(S102),IF(S99&gt;S102,1.0,IF(S99=S102,0.5,0.0)),""),"")</f>
        <v/>
      </c>
      <c r="AB99">
        <f>IF(ISNUMBER(S99),IF(ISNUMBER(S103),IF(S99&gt;S103,1.0,IF(S99=S103,0.5,0.0)),""),"")</f>
        <v/>
      </c>
      <c r="AC99">
        <f>IF(ISNUMBER(S99),IF(ISNUMBER(S104),IF(S99&gt;S104,1.0,IF(S99=S104,0.5,0.0)),""),"")</f>
        <v/>
      </c>
      <c r="AD99" s="14">
        <f>IF(AND(ISNUMBER(R99),ISNUMBER(R100)),VLOOKUP(ABS(R99-R100),'IMP Table'!$A$2:$C$26,3)*SIGN(R99-R100),0)</f>
        <v/>
      </c>
      <c r="AE99">
        <f>IF(AND(ISNUMBER(R99),ISNUMBER(R101)),VLOOKUP(ABS(R99-R101),'IMP Table'!$A$2:$C$26,3)*SIGN(R99-R101),0)</f>
        <v/>
      </c>
      <c r="AF99">
        <f>IF(AND(ISNUMBER(R99),ISNUMBER(R102)),VLOOKUP(ABS(R99-R102),'IMP Table'!$A$2:$C$26,3)*SIGN(R99-R102),0)</f>
        <v/>
      </c>
      <c r="AG99">
        <f>IF(AND(ISNUMBER(R99),ISNUMBER(R103)),VLOOKUP(ABS(R99-R103),'IMP Table'!$A$2:$C$26,3)*SIGN(R99-R103),0)</f>
        <v/>
      </c>
      <c r="AH99">
        <f>IF(AND(ISNUMBER(R99),ISNUMBER(R104)),VLOOKUP(ABS(R99-R104),'IMP Table'!$A$2:$C$26,3)*SIGN(R99-R104),0)</f>
        <v/>
      </c>
      <c r="AI99">
        <f>IF(AND(ISNUMBER(S99),ISNUMBER(S100)),VLOOKUP(ABS(S99-S100),'IMP Table'!$A$2:$C$26,3)*SIGN(S99-S100),0)</f>
        <v/>
      </c>
      <c r="AJ99">
        <f>IF(AND(ISNUMBER(S99),ISNUMBER(S101)),VLOOKUP(ABS(S99-S101),'IMP Table'!$A$2:$C$26,3)*SIGN(S99-S101),0)</f>
        <v/>
      </c>
      <c r="AK99">
        <f>IF(AND(ISNUMBER(S99),ISNUMBER(S102)),VLOOKUP(ABS(S99-S102),'IMP Table'!$A$2:$C$26,3)*SIGN(S99-S102),0)</f>
        <v/>
      </c>
      <c r="AL99">
        <f>IF(AND(ISNUMBER(S99),ISNUMBER(S103)),VLOOKUP(ABS(S99-S103),'IMP Table'!$A$2:$C$26,3)*SIGN(S99-S103),0)</f>
        <v/>
      </c>
      <c r="AM99">
        <f>IF(AND(ISNUMBER(S99),ISNUMBER(S104)),VLOOKUP(ABS(S99-S104),'IMP Table'!$A$2:$C$26,3)*SIGN(S99-S104),0)</f>
        <v/>
      </c>
    </row>
    <row r="100">
      <c r="B100">
        <f>'By Round'!A15</f>
        <v/>
      </c>
      <c r="C100">
        <f>'By Round'!B21</f>
        <v/>
      </c>
      <c r="D100">
        <f>'By Round'!C21</f>
        <v/>
      </c>
      <c r="E100">
        <f>'By Round'!D21</f>
        <v/>
      </c>
      <c r="F100" s="11" t="inlineStr">
        <is>
          <t>None</t>
        </is>
      </c>
      <c r="G100">
        <f>IF(ISBLANK('By Round'!G21),"",'By Round'!G21)</f>
        <v/>
      </c>
      <c r="H100">
        <f>IF(ISBLANK('By Round'!H21),"",'By Round'!H21)</f>
        <v/>
      </c>
      <c r="I100">
        <f>IF(ISBLANK('By Round'!I21),"",'By Round'!I21)</f>
        <v/>
      </c>
      <c r="J100">
        <f>IF(ISBLANK('By Round'!J21),"",'By Round'!J21)</f>
        <v/>
      </c>
      <c r="K100">
        <f>IF(ISBLANK('By Round'!K21),"",'By Round'!K21)</f>
        <v/>
      </c>
      <c r="L100" s="12">
        <f>SUM(AD100:AH100)</f>
        <v/>
      </c>
      <c r="M100" s="13">
        <f>SUM(AI100:AM100)</f>
        <v/>
      </c>
      <c r="N100" s="8">
        <f>IF(COUNT(T100:X100)&gt;0,P100/COUNT(T100:X100),0.5)</f>
        <v/>
      </c>
      <c r="O100" s="8">
        <f>IF(COUNT(Y100:AC100)&gt;0,Q100/COUNT(Y100:AC100),0.5)</f>
        <v/>
      </c>
      <c r="P100" s="5">
        <f>SUM(T100:X100)</f>
        <v/>
      </c>
      <c r="Q100" s="5">
        <f>SUM(Y100:AC100)</f>
        <v/>
      </c>
      <c r="R100" s="14">
        <f>IF(ISNUMBER(J100),J100,IF(ISNUMBER(K100),-K100,""))</f>
        <v/>
      </c>
      <c r="S100">
        <f>IF(ISNUMBER(K100),K100,IF(ISNUMBER(J100),-J100,""))</f>
        <v/>
      </c>
      <c r="T100" s="14">
        <f>IF(ISNUMBER(R100),IF(ISNUMBER(R99),IF(R100&gt;R99,1.0,IF(R100=R99,0.5,0.0)),""),"")</f>
        <v/>
      </c>
      <c r="U100">
        <f>IF(ISNUMBER(R100),IF(ISNUMBER(R101),IF(R100&gt;R101,1.0,IF(R100=R101,0.5,0.0)),""),"")</f>
        <v/>
      </c>
      <c r="V100">
        <f>IF(ISNUMBER(R100),IF(ISNUMBER(R102),IF(R100&gt;R102,1.0,IF(R100=R102,0.5,0.0)),""),"")</f>
        <v/>
      </c>
      <c r="W100">
        <f>IF(ISNUMBER(R100),IF(ISNUMBER(R103),IF(R100&gt;R103,1.0,IF(R100=R103,0.5,0.0)),""),"")</f>
        <v/>
      </c>
      <c r="X100">
        <f>IF(ISNUMBER(R100),IF(ISNUMBER(R104),IF(R100&gt;R104,1.0,IF(R100=R104,0.5,0.0)),""),"")</f>
        <v/>
      </c>
      <c r="Y100">
        <f>IF(ISNUMBER(S100),IF(ISNUMBER(S99),IF(S100&gt;S99,1.0,IF(S100=S99,0.5,0.0)),""),"")</f>
        <v/>
      </c>
      <c r="Z100">
        <f>IF(ISNUMBER(S100),IF(ISNUMBER(S101),IF(S100&gt;S101,1.0,IF(S100=S101,0.5,0.0)),""),"")</f>
        <v/>
      </c>
      <c r="AA100">
        <f>IF(ISNUMBER(S100),IF(ISNUMBER(S102),IF(S100&gt;S102,1.0,IF(S100=S102,0.5,0.0)),""),"")</f>
        <v/>
      </c>
      <c r="AB100">
        <f>IF(ISNUMBER(S100),IF(ISNUMBER(S103),IF(S100&gt;S103,1.0,IF(S100=S103,0.5,0.0)),""),"")</f>
        <v/>
      </c>
      <c r="AC100">
        <f>IF(ISNUMBER(S100),IF(ISNUMBER(S104),IF(S100&gt;S104,1.0,IF(S100=S104,0.5,0.0)),""),"")</f>
        <v/>
      </c>
      <c r="AD100" s="14">
        <f>IF(AND(ISNUMBER(R100),ISNUMBER(R99)),VLOOKUP(ABS(R100-R99),'IMP Table'!$A$2:$C$26,3)*SIGN(R100-R99),0)</f>
        <v/>
      </c>
      <c r="AE100">
        <f>IF(AND(ISNUMBER(R100),ISNUMBER(R101)),VLOOKUP(ABS(R100-R101),'IMP Table'!$A$2:$C$26,3)*SIGN(R100-R101),0)</f>
        <v/>
      </c>
      <c r="AF100">
        <f>IF(AND(ISNUMBER(R100),ISNUMBER(R102)),VLOOKUP(ABS(R100-R102),'IMP Table'!$A$2:$C$26,3)*SIGN(R100-R102),0)</f>
        <v/>
      </c>
      <c r="AG100">
        <f>IF(AND(ISNUMBER(R100),ISNUMBER(R103)),VLOOKUP(ABS(R100-R103),'IMP Table'!$A$2:$C$26,3)*SIGN(R100-R103),0)</f>
        <v/>
      </c>
      <c r="AH100">
        <f>IF(AND(ISNUMBER(R100),ISNUMBER(R104)),VLOOKUP(ABS(R100-R104),'IMP Table'!$A$2:$C$26,3)*SIGN(R100-R104),0)</f>
        <v/>
      </c>
      <c r="AI100">
        <f>IF(AND(ISNUMBER(S100),ISNUMBER(S99)),VLOOKUP(ABS(S100-S99),'IMP Table'!$A$2:$C$26,3)*SIGN(S100-S99),0)</f>
        <v/>
      </c>
      <c r="AJ100">
        <f>IF(AND(ISNUMBER(S100),ISNUMBER(S101)),VLOOKUP(ABS(S100-S101),'IMP Table'!$A$2:$C$26,3)*SIGN(S100-S101),0)</f>
        <v/>
      </c>
      <c r="AK100">
        <f>IF(AND(ISNUMBER(S100),ISNUMBER(S102)),VLOOKUP(ABS(S100-S102),'IMP Table'!$A$2:$C$26,3)*SIGN(S100-S102),0)</f>
        <v/>
      </c>
      <c r="AL100">
        <f>IF(AND(ISNUMBER(S100),ISNUMBER(S103)),VLOOKUP(ABS(S100-S103),'IMP Table'!$A$2:$C$26,3)*SIGN(S100-S103),0)</f>
        <v/>
      </c>
      <c r="AM100">
        <f>IF(AND(ISNUMBER(S100),ISNUMBER(S104)),VLOOKUP(ABS(S100-S104),'IMP Table'!$A$2:$C$26,3)*SIGN(S100-S104),0)</f>
        <v/>
      </c>
    </row>
    <row r="101">
      <c r="B101">
        <f>'By Round'!A39</f>
        <v/>
      </c>
      <c r="C101">
        <f>'By Round'!B43</f>
        <v/>
      </c>
      <c r="D101">
        <f>'By Round'!C43</f>
        <v/>
      </c>
      <c r="E101">
        <f>'By Round'!D43</f>
        <v/>
      </c>
      <c r="F101" s="11" t="inlineStr">
        <is>
          <t>None</t>
        </is>
      </c>
      <c r="G101">
        <f>IF(ISBLANK('By Round'!G43),"",'By Round'!G43)</f>
        <v/>
      </c>
      <c r="H101">
        <f>IF(ISBLANK('By Round'!H43),"",'By Round'!H43)</f>
        <v/>
      </c>
      <c r="I101">
        <f>IF(ISBLANK('By Round'!I43),"",'By Round'!I43)</f>
        <v/>
      </c>
      <c r="J101">
        <f>IF(ISBLANK('By Round'!J43),"",'By Round'!J43)</f>
        <v/>
      </c>
      <c r="K101">
        <f>IF(ISBLANK('By Round'!K43),"",'By Round'!K43)</f>
        <v/>
      </c>
      <c r="L101" s="12">
        <f>SUM(AD101:AH101)</f>
        <v/>
      </c>
      <c r="M101" s="13">
        <f>SUM(AI101:AM101)</f>
        <v/>
      </c>
      <c r="N101" s="8">
        <f>IF(COUNT(T101:X101)&gt;0,P101/COUNT(T101:X101),0.5)</f>
        <v/>
      </c>
      <c r="O101" s="8">
        <f>IF(COUNT(Y101:AC101)&gt;0,Q101/COUNT(Y101:AC101),0.5)</f>
        <v/>
      </c>
      <c r="P101" s="5">
        <f>SUM(T101:X101)</f>
        <v/>
      </c>
      <c r="Q101" s="5">
        <f>SUM(Y101:AC101)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IF(ISNUMBER(R101),IF(ISNUMBER(R99),IF(R101&gt;R99,1.0,IF(R101=R99,0.5,0.0)),""),"")</f>
        <v/>
      </c>
      <c r="U101">
        <f>IF(ISNUMBER(R101),IF(ISNUMBER(R100),IF(R101&gt;R100,1.0,IF(R101=R100,0.5,0.0)),""),"")</f>
        <v/>
      </c>
      <c r="V101">
        <f>IF(ISNUMBER(R101),IF(ISNUMBER(R102),IF(R101&gt;R102,1.0,IF(R101=R102,0.5,0.0)),""),"")</f>
        <v/>
      </c>
      <c r="W101">
        <f>IF(ISNUMBER(R101),IF(ISNUMBER(R103),IF(R101&gt;R103,1.0,IF(R101=R103,0.5,0.0)),""),"")</f>
        <v/>
      </c>
      <c r="X101">
        <f>IF(ISNUMBER(R101),IF(ISNUMBER(R104),IF(R101&gt;R104,1.0,IF(R101=R104,0.5,0.0)),""),"")</f>
        <v/>
      </c>
      <c r="Y101">
        <f>IF(ISNUMBER(S101),IF(ISNUMBER(S99),IF(S101&gt;S99,1.0,IF(S101=S99,0.5,0.0)),""),"")</f>
        <v/>
      </c>
      <c r="Z101">
        <f>IF(ISNUMBER(S101),IF(ISNUMBER(S100),IF(S101&gt;S100,1.0,IF(S101=S100,0.5,0.0)),""),"")</f>
        <v/>
      </c>
      <c r="AA101">
        <f>IF(ISNUMBER(S101),IF(ISNUMBER(S102),IF(S101&gt;S102,1.0,IF(S101=S102,0.5,0.0)),""),"")</f>
        <v/>
      </c>
      <c r="AB101">
        <f>IF(ISNUMBER(S101),IF(ISNUMBER(S103),IF(S101&gt;S103,1.0,IF(S101=S103,0.5,0.0)),""),"")</f>
        <v/>
      </c>
      <c r="AC101">
        <f>IF(ISNUMBER(S101),IF(ISNUMBER(S104),IF(S101&gt;S104,1.0,IF(S101=S104,0.5,0.0)),""),"")</f>
        <v/>
      </c>
      <c r="AD101" s="14">
        <f>IF(AND(ISNUMBER(R101),ISNUMBER(R99)),VLOOKUP(ABS(R101-R99),'IMP Table'!$A$2:$C$26,3)*SIGN(R101-R99),0)</f>
        <v/>
      </c>
      <c r="AE101">
        <f>IF(AND(ISNUMBER(R101),ISNUMBER(R100)),VLOOKUP(ABS(R101-R100),'IMP Table'!$A$2:$C$26,3)*SIGN(R101-R100),0)</f>
        <v/>
      </c>
      <c r="AF101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IF(AND(ISNUMBER(S101),ISNUMBER(S99)),VLOOKUP(ABS(S101-S99),'IMP Table'!$A$2:$C$26,3)*SIGN(S101-S99),0)</f>
        <v/>
      </c>
      <c r="AJ101">
        <f>IF(AND(ISNUMBER(S101),ISNUMBER(S100)),VLOOKUP(ABS(S101-S100),'IMP Table'!$A$2:$C$26,3)*SIGN(S101-S100),0)</f>
        <v/>
      </c>
      <c r="AK101">
        <f>IF(AND(ISNUMBER(S101),ISNUMBER(S102)),VLOOKUP(ABS(S101-S102),'IMP Table'!$A$2:$C$26,3)*SIGN(S101-S102),0)</f>
        <v/>
      </c>
      <c r="AL101">
        <f>IF(AND(ISNUMBER(S101),ISNUMBER(S103)),VLOOKUP(ABS(S101-S103),'IMP Table'!$A$2:$C$26,3)*SIGN(S101-S103),0)</f>
        <v/>
      </c>
      <c r="AM101">
        <f>IF(AND(ISNUMBER(S101),ISNUMBER(S104)),VLOOKUP(ABS(S101-S104),'IMP Table'!$A$2:$C$26,3)*SIGN(S101-S104),0)</f>
        <v/>
      </c>
    </row>
    <row r="102">
      <c r="B102">
        <f>'By Round'!A51</f>
        <v/>
      </c>
      <c r="C102">
        <f>'By Round'!B53</f>
        <v/>
      </c>
      <c r="D102">
        <f>'By Round'!C53</f>
        <v/>
      </c>
      <c r="E102">
        <f>'By Round'!D53</f>
        <v/>
      </c>
      <c r="F102" s="11" t="inlineStr">
        <is>
          <t>None</t>
        </is>
      </c>
      <c r="G102">
        <f>IF(ISBLANK('By Round'!G53),"",'By Round'!G53)</f>
        <v/>
      </c>
      <c r="H102">
        <f>IF(ISBLANK('By Round'!H53),"",'By Round'!H53)</f>
        <v/>
      </c>
      <c r="I102">
        <f>IF(ISBLANK('By Round'!I53),"",'By Round'!I53)</f>
        <v/>
      </c>
      <c r="J102">
        <f>IF(ISBLANK('By Round'!J53),"",'By Round'!J53)</f>
        <v/>
      </c>
      <c r="K102">
        <f>IF(ISBLANK('By Round'!K53),"",'By Round'!K53)</f>
        <v/>
      </c>
      <c r="L102" s="12">
        <f>SUM(AD102:AH102)</f>
        <v/>
      </c>
      <c r="M102" s="13">
        <f>SUM(AI102:AM102)</f>
        <v/>
      </c>
      <c r="N102" s="8">
        <f>IF(COUNT(T102:X102)&gt;0,P102/COUNT(T102:X102),0.5)</f>
        <v/>
      </c>
      <c r="O102" s="8">
        <f>IF(COUNT(Y102:AC102)&gt;0,Q102/COUNT(Y102:AC102),0.5)</f>
        <v/>
      </c>
      <c r="P102" s="5">
        <f>SUM(T102:X102)</f>
        <v/>
      </c>
      <c r="Q102" s="5">
        <f>SUM(Y102:AC102)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IF(ISNUMBER(R102),IF(ISNUMBER(R99),IF(R102&gt;R99,1.0,IF(R102=R99,0.5,0.0)),""),"")</f>
        <v/>
      </c>
      <c r="U102">
        <f>IF(ISNUMBER(R102),IF(ISNUMBER(R100),IF(R102&gt;R100,1.0,IF(R102=R100,0.5,0.0)),""),"")</f>
        <v/>
      </c>
      <c r="V102">
        <f>IF(ISNUMBER(R102),IF(ISNUMBER(R101),IF(R102&gt;R101,1.0,IF(R102=R101,0.5,0.0)),""),"")</f>
        <v/>
      </c>
      <c r="W102">
        <f>IF(ISNUMBER(R102),IF(ISNUMBER(R103),IF(R102&gt;R103,1.0,IF(R102=R103,0.5,0.0)),""),"")</f>
        <v/>
      </c>
      <c r="X102">
        <f>IF(ISNUMBER(R102),IF(ISNUMBER(R104),IF(R102&gt;R104,1.0,IF(R102=R104,0.5,0.0)),""),"")</f>
        <v/>
      </c>
      <c r="Y102">
        <f>IF(ISNUMBER(S102),IF(ISNUMBER(S99),IF(S102&gt;S99,1.0,IF(S102=S99,0.5,0.0)),""),"")</f>
        <v/>
      </c>
      <c r="Z102">
        <f>IF(ISNUMBER(S102),IF(ISNUMBER(S100),IF(S102&gt;S100,1.0,IF(S102=S100,0.5,0.0)),""),"")</f>
        <v/>
      </c>
      <c r="AA102">
        <f>IF(ISNUMBER(S102),IF(ISNUMBER(S101),IF(S102&gt;S101,1.0,IF(S102=S101,0.5,0.0)),""),"")</f>
        <v/>
      </c>
      <c r="AB102">
        <f>IF(ISNUMBER(S102),IF(ISNUMBER(S103),IF(S102&gt;S103,1.0,IF(S102=S103,0.5,0.0)),""),"")</f>
        <v/>
      </c>
      <c r="AC102">
        <f>IF(ISNUMBER(S102),IF(ISNUMBER(S104),IF(S102&gt;S104,1.0,IF(S102=S104,0.5,0.0)),""),"")</f>
        <v/>
      </c>
      <c r="AD102" s="14">
        <f>IF(AND(ISNUMBER(R102),ISNUMBER(R99)),VLOOKUP(ABS(R102-R99),'IMP Table'!$A$2:$C$26,3)*SIGN(R102-R99),0)</f>
        <v/>
      </c>
      <c r="AE102">
        <f>IF(AND(ISNUMBER(R102),ISNUMBER(R100)),VLOOKUP(ABS(R102-R100),'IMP Table'!$A$2:$C$26,3)*SIGN(R102-R100),0)</f>
        <v/>
      </c>
      <c r="AF102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IF(AND(ISNUMBER(S102),ISNUMBER(S99)),VLOOKUP(ABS(S102-S99),'IMP Table'!$A$2:$C$26,3)*SIGN(S102-S99),0)</f>
        <v/>
      </c>
      <c r="AJ102">
        <f>IF(AND(ISNUMBER(S102),ISNUMBER(S100)),VLOOKUP(ABS(S102-S100),'IMP Table'!$A$2:$C$26,3)*SIGN(S102-S100),0)</f>
        <v/>
      </c>
      <c r="AK102">
        <f>IF(AND(ISNUMBER(S102),ISNUMBER(S101)),VLOOKUP(ABS(S102-S101),'IMP Table'!$A$2:$C$26,3)*SIGN(S102-S101),0)</f>
        <v/>
      </c>
      <c r="AL102">
        <f>IF(AND(ISNUMBER(S102),ISNUMBER(S103)),VLOOKUP(ABS(S102-S103),'IMP Table'!$A$2:$C$26,3)*SIGN(S102-S103),0)</f>
        <v/>
      </c>
      <c r="AM102">
        <f>IF(AND(ISNUMBER(S102),ISNUMBER(S104)),VLOOKUP(ABS(S102-S104),'IMP Table'!$A$2:$C$26,3)*SIGN(S102-S104),0)</f>
        <v/>
      </c>
    </row>
    <row r="103">
      <c r="B103">
        <f>'By Round'!A99</f>
        <v/>
      </c>
      <c r="C103">
        <f>'By Round'!B99</f>
        <v/>
      </c>
      <c r="D103">
        <f>'By Round'!C99</f>
        <v/>
      </c>
      <c r="E103">
        <f>'By Round'!D99</f>
        <v/>
      </c>
      <c r="F103" s="11" t="inlineStr">
        <is>
          <t>None</t>
        </is>
      </c>
      <c r="G103">
        <f>IF(ISBLANK('By Round'!G99),"",'By Round'!G99)</f>
        <v/>
      </c>
      <c r="H103">
        <f>IF(ISBLANK('By Round'!H99),"",'By Round'!H99)</f>
        <v/>
      </c>
      <c r="I103">
        <f>IF(ISBLANK('By Round'!I99),"",'By Round'!I99)</f>
        <v/>
      </c>
      <c r="J103">
        <f>IF(ISBLANK('By Round'!J99),"",'By Round'!J99)</f>
        <v/>
      </c>
      <c r="K103">
        <f>IF(ISBLANK('By Round'!K99),"",'By Round'!K99)</f>
        <v/>
      </c>
      <c r="L103" s="12">
        <f>SUM(AD103:AH103)</f>
        <v/>
      </c>
      <c r="M103" s="13">
        <f>SUM(AI103:AM103)</f>
        <v/>
      </c>
      <c r="N103" s="8">
        <f>IF(COUNT(T103:X103)&gt;0,P103/COUNT(T103:X103),0.5)</f>
        <v/>
      </c>
      <c r="O103" s="8">
        <f>IF(COUNT(Y103:AC103)&gt;0,Q103/COUNT(Y103:AC103),0.5)</f>
        <v/>
      </c>
      <c r="P103" s="5">
        <f>SUM(T103:X103)</f>
        <v/>
      </c>
      <c r="Q103" s="5">
        <f>SUM(Y103:AC103)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IF(ISNUMBER(R103),IF(ISNUMBER(R99),IF(R103&gt;R99,1.0,IF(R103=R99,0.5,0.0)),""),"")</f>
        <v/>
      </c>
      <c r="U103">
        <f>IF(ISNUMBER(R103),IF(ISNUMBER(R100),IF(R103&gt;R100,1.0,IF(R103=R100,0.5,0.0)),""),"")</f>
        <v/>
      </c>
      <c r="V103">
        <f>IF(ISNUMBER(R103),IF(ISNUMBER(R101),IF(R103&gt;R101,1.0,IF(R103=R101,0.5,0.0)),""),"")</f>
        <v/>
      </c>
      <c r="W103">
        <f>IF(ISNUMBER(R103),IF(ISNUMBER(R102),IF(R103&gt;R102,1.0,IF(R103=R102,0.5,0.0)),""),"")</f>
        <v/>
      </c>
      <c r="X103">
        <f>IF(ISNUMBER(R103),IF(ISNUMBER(R104),IF(R103&gt;R104,1.0,IF(R103=R104,0.5,0.0)),""),"")</f>
        <v/>
      </c>
      <c r="Y103">
        <f>IF(ISNUMBER(S103),IF(ISNUMBER(S99),IF(S103&gt;S99,1.0,IF(S103=S99,0.5,0.0)),""),"")</f>
        <v/>
      </c>
      <c r="Z103">
        <f>IF(ISNUMBER(S103),IF(ISNUMBER(S100),IF(S103&gt;S100,1.0,IF(S103=S100,0.5,0.0)),""),"")</f>
        <v/>
      </c>
      <c r="AA103">
        <f>IF(ISNUMBER(S103),IF(ISNUMBER(S101),IF(S103&gt;S101,1.0,IF(S103=S101,0.5,0.0)),""),"")</f>
        <v/>
      </c>
      <c r="AB103">
        <f>IF(ISNUMBER(S103),IF(ISNUMBER(S102),IF(S103&gt;S102,1.0,IF(S103=S102,0.5,0.0)),""),"")</f>
        <v/>
      </c>
      <c r="AC103">
        <f>IF(ISNUMBER(S103),IF(ISNUMBER(S104),IF(S103&gt;S104,1.0,IF(S103=S104,0.5,0.0)),""),"")</f>
        <v/>
      </c>
      <c r="AD103" s="14">
        <f>IF(AND(ISNUMBER(R103),ISNUMBER(R99)),VLOOKUP(ABS(R103-R99),'IMP Table'!$A$2:$C$26,3)*SIGN(R103-R99),0)</f>
        <v/>
      </c>
      <c r="AE103">
        <f>IF(AND(ISNUMBER(R103),ISNUMBER(R100)),VLOOKUP(ABS(R103-R100),'IMP Table'!$A$2:$C$26,3)*SIGN(R103-R100),0)</f>
        <v/>
      </c>
      <c r="AF103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IF(AND(ISNUMBER(S103),ISNUMBER(S99)),VLOOKUP(ABS(S103-S99),'IMP Table'!$A$2:$C$26,3)*SIGN(S103-S99),0)</f>
        <v/>
      </c>
      <c r="AJ103">
        <f>IF(AND(ISNUMBER(S103),ISNUMBER(S100)),VLOOKUP(ABS(S103-S100),'IMP Table'!$A$2:$C$26,3)*SIGN(S103-S100),0)</f>
        <v/>
      </c>
      <c r="AK103">
        <f>IF(AND(ISNUMBER(S103),ISNUMBER(S101)),VLOOKUP(ABS(S103-S101),'IMP Table'!$A$2:$C$26,3)*SIGN(S103-S101),0)</f>
        <v/>
      </c>
      <c r="AL103">
        <f>IF(AND(ISNUMBER(S103),ISNUMBER(S102)),VLOOKUP(ABS(S103-S102),'IMP Table'!$A$2:$C$26,3)*SIGN(S103-S102),0)</f>
        <v/>
      </c>
      <c r="AM103">
        <f>IF(AND(ISNUMBER(S103),ISNUMBER(S104)),VLOOKUP(ABS(S103-S104),'IMP Table'!$A$2:$C$26,3)*SIGN(S103-S104),0)</f>
        <v/>
      </c>
    </row>
    <row r="104">
      <c r="A104" s="15" t="n"/>
      <c r="B104" s="15">
        <f>'By Round'!A123</f>
        <v/>
      </c>
      <c r="C104" s="15">
        <f>'By Round'!B133</f>
        <v/>
      </c>
      <c r="D104" s="15">
        <f>'By Round'!C133</f>
        <v/>
      </c>
      <c r="E104" s="15">
        <f>'By Round'!D133</f>
        <v/>
      </c>
      <c r="F104" s="16" t="inlineStr">
        <is>
          <t>None</t>
        </is>
      </c>
      <c r="G104" s="15">
        <f>IF(ISBLANK('By Round'!G133),"",'By Round'!G133)</f>
        <v/>
      </c>
      <c r="H104" s="15">
        <f>IF(ISBLANK('By Round'!H133),"",'By Round'!H133)</f>
        <v/>
      </c>
      <c r="I104" s="15">
        <f>IF(ISBLANK('By Round'!I133),"",'By Round'!I133)</f>
        <v/>
      </c>
      <c r="J104" s="15">
        <f>IF(ISBLANK('By Round'!J133),"",'By Round'!J133)</f>
        <v/>
      </c>
      <c r="K104" s="15">
        <f>IF(ISBLANK('By Round'!K133),"",'By Round'!K133)</f>
        <v/>
      </c>
      <c r="L104" s="17">
        <f>SUM(AD104:AH104)</f>
        <v/>
      </c>
      <c r="M104" s="18">
        <f>SUM(AI104:AM104)</f>
        <v/>
      </c>
      <c r="N104" s="19">
        <f>IF(COUNT(T104:X104)&gt;0,P104/COUNT(T104:X104),0.5)</f>
        <v/>
      </c>
      <c r="O104" s="19">
        <f>IF(COUNT(Y104:AC104)&gt;0,Q104/COUNT(Y104:AC104),0.5)</f>
        <v/>
      </c>
      <c r="P104" s="20">
        <f>SUM(T104:X104)</f>
        <v/>
      </c>
      <c r="Q104" s="20">
        <f>SUM(Y104:AC104)</f>
        <v/>
      </c>
      <c r="R104" s="21">
        <f>IF(ISNUMBER(J104),J104,IF(ISNUMBER(K104),-K104,""))</f>
        <v/>
      </c>
      <c r="S104" s="15">
        <f>IF(ISNUMBER(K104),K104,IF(ISNUMBER(J104),-J104,""))</f>
        <v/>
      </c>
      <c r="T104" s="21">
        <f>IF(ISNUMBER(R104),IF(ISNUMBER(R99),IF(R104&gt;R99,1.0,IF(R104=R99,0.5,0.0)),""),"")</f>
        <v/>
      </c>
      <c r="U104" s="15">
        <f>IF(ISNUMBER(R104),IF(ISNUMBER(R100),IF(R104&gt;R100,1.0,IF(R104=R100,0.5,0.0)),""),"")</f>
        <v/>
      </c>
      <c r="V104" s="15">
        <f>IF(ISNUMBER(R104),IF(ISNUMBER(R101),IF(R104&gt;R101,1.0,IF(R104=R101,0.5,0.0)),""),"")</f>
        <v/>
      </c>
      <c r="W104" s="15">
        <f>IF(ISNUMBER(R104),IF(ISNUMBER(R102),IF(R104&gt;R102,1.0,IF(R104=R102,0.5,0.0)),""),"")</f>
        <v/>
      </c>
      <c r="X104" s="15">
        <f>IF(ISNUMBER(R104),IF(ISNUMBER(R103),IF(R104&gt;R103,1.0,IF(R104=R103,0.5,0.0)),""),"")</f>
        <v/>
      </c>
      <c r="Y104" s="15">
        <f>IF(ISNUMBER(S104),IF(ISNUMBER(S99),IF(S104&gt;S99,1.0,IF(S104=S99,0.5,0.0)),""),"")</f>
        <v/>
      </c>
      <c r="Z104" s="15">
        <f>IF(ISNUMBER(S104),IF(ISNUMBER(S100),IF(S104&gt;S100,1.0,IF(S104=S100,0.5,0.0)),""),"")</f>
        <v/>
      </c>
      <c r="AA104" s="15">
        <f>IF(ISNUMBER(S104),IF(ISNUMBER(S101),IF(S104&gt;S101,1.0,IF(S104=S101,0.5,0.0)),""),"")</f>
        <v/>
      </c>
      <c r="AB104" s="15">
        <f>IF(ISNUMBER(S104),IF(ISNUMBER(S102),IF(S104&gt;S102,1.0,IF(S104=S102,0.5,0.0)),""),"")</f>
        <v/>
      </c>
      <c r="AC104" s="15">
        <f>IF(ISNUMBER(S104),IF(ISNUMBER(S103),IF(S104&gt;S103,1.0,IF(S104=S103,0.5,0.0)),""),"")</f>
        <v/>
      </c>
      <c r="AD104" s="21">
        <f>IF(AND(ISNUMBER(R104),ISNUMBER(R99)),VLOOKUP(ABS(R104-R99),'IMP Table'!$A$2:$C$26,3)*SIGN(R104-R99),0)</f>
        <v/>
      </c>
      <c r="AE104" s="15">
        <f>IF(AND(ISNUMBER(R104),ISNUMBER(R100)),VLOOKUP(ABS(R104-R100),'IMP Table'!$A$2:$C$26,3)*SIGN(R104-R100),0)</f>
        <v/>
      </c>
      <c r="AF104" s="15">
        <f>IF(AND(ISNUMBER(R104),ISNUMBER(R101)),VLOOKUP(ABS(R104-R101),'IMP Table'!$A$2:$C$26,3)*SIGN(R104-R101),0)</f>
        <v/>
      </c>
      <c r="AG104" s="15">
        <f>IF(AND(ISNUMBER(R104),ISNUMBER(R102)),VLOOKUP(ABS(R104-R102),'IMP Table'!$A$2:$C$26,3)*SIGN(R104-R102),0)</f>
        <v/>
      </c>
      <c r="AH104" s="15">
        <f>IF(AND(ISNUMBER(R104),ISNUMBER(R103)),VLOOKUP(ABS(R104-R103),'IMP Table'!$A$2:$C$26,3)*SIGN(R104-R103),0)</f>
        <v/>
      </c>
      <c r="AI104" s="15">
        <f>IF(AND(ISNUMBER(S104),ISNUMBER(S99)),VLOOKUP(ABS(S104-S99),'IMP Table'!$A$2:$C$26,3)*SIGN(S104-S99),0)</f>
        <v/>
      </c>
      <c r="AJ104" s="15">
        <f>IF(AND(ISNUMBER(S104),ISNUMBER(S100)),VLOOKUP(ABS(S104-S100),'IMP Table'!$A$2:$C$26,3)*SIGN(S104-S100),0)</f>
        <v/>
      </c>
      <c r="AK104" s="15">
        <f>IF(AND(ISNUMBER(S104),ISNUMBER(S101)),VLOOKUP(ABS(S104-S101),'IMP Table'!$A$2:$C$26,3)*SIGN(S104-S101),0)</f>
        <v/>
      </c>
      <c r="AL104" s="15">
        <f>IF(AND(ISNUMBER(S104),ISNUMBER(S102)),VLOOKUP(ABS(S104-S102),'IMP Table'!$A$2:$C$26,3)*SIGN(S104-S102),0)</f>
        <v/>
      </c>
      <c r="AM104" s="15">
        <f>IF(AND(ISNUMBER(S104),ISNUMBER(S103)),VLOOKUP(ABS(S104-S103),'IMP Table'!$A$2:$C$26,3)*SIGN(S104-S103),0)</f>
        <v/>
      </c>
    </row>
    <row r="105">
      <c r="A105" t="n">
        <v>18</v>
      </c>
      <c r="B105">
        <f>'By Round'!A3</f>
        <v/>
      </c>
      <c r="C105">
        <f>'By Round'!B11</f>
        <v/>
      </c>
      <c r="D105">
        <f>'By Round'!C11</f>
        <v/>
      </c>
      <c r="E105">
        <f>'By Round'!D11</f>
        <v/>
      </c>
      <c r="F105" s="11" t="inlineStr">
        <is>
          <t>NS</t>
        </is>
      </c>
      <c r="G105">
        <f>IF(ISBLANK('By Round'!G11),"",'By Round'!G11)</f>
        <v/>
      </c>
      <c r="H105">
        <f>IF(ISBLANK('By Round'!H11),"",'By Round'!H11)</f>
        <v/>
      </c>
      <c r="I105">
        <f>IF(ISBLANK('By Round'!I11),"",'By Round'!I11)</f>
        <v/>
      </c>
      <c r="J105">
        <f>IF(ISBLANK('By Round'!J11),"",'By Round'!J11)</f>
        <v/>
      </c>
      <c r="K105">
        <f>IF(ISBLANK('By Round'!K11),"",'By Round'!K11)</f>
        <v/>
      </c>
      <c r="L105" s="12">
        <f>SUM(AD105:AH105)</f>
        <v/>
      </c>
      <c r="M105" s="13">
        <f>SUM(AI105:AM105)</f>
        <v/>
      </c>
      <c r="N105" s="8">
        <f>IF(COUNT(T105:X105)&gt;0,P105/COUNT(T105:X105),0.5)</f>
        <v/>
      </c>
      <c r="O105" s="8">
        <f>IF(COUNT(Y105:AC105)&gt;0,Q105/COUNT(Y105:AC105),0.5)</f>
        <v/>
      </c>
      <c r="P105" s="5">
        <f>SUM(T105:X105)</f>
        <v/>
      </c>
      <c r="Q105" s="5">
        <f>SUM(Y105:AC105)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IF(ISNUMBER(R105),IF(ISNUMBER(R106),IF(R105&gt;R106,1.0,IF(R105=R106,0.5,0.0)),""),"")</f>
        <v/>
      </c>
      <c r="U105">
        <f>IF(ISNUMBER(R105),IF(ISNUMBER(R107),IF(R105&gt;R107,1.0,IF(R105=R107,0.5,0.0)),""),"")</f>
        <v/>
      </c>
      <c r="V105">
        <f>IF(ISNUMBER(R105),IF(ISNUMBER(R108),IF(R105&gt;R108,1.0,IF(R105=R108,0.5,0.0)),""),"")</f>
        <v/>
      </c>
      <c r="W105">
        <f>IF(ISNUMBER(R105),IF(ISNUMBER(R109),IF(R105&gt;R109,1.0,IF(R105=R109,0.5,0.0)),""),"")</f>
        <v/>
      </c>
      <c r="X105">
        <f>IF(ISNUMBER(R105),IF(ISNUMBER(R110),IF(R105&gt;R110,1.0,IF(R105=R110,0.5,0.0)),""),"")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IF(ISNUMBER(S105),IF(ISNUMBER(S108),IF(S105&gt;S108,1.0,IF(S105=S108,0.5,0.0)),""),"")</f>
        <v/>
      </c>
      <c r="AB105">
        <f>IF(ISNUMBER(S105),IF(ISNUMBER(S109),IF(S105&gt;S109,1.0,IF(S105=S109,0.5,0.0)),""),"")</f>
        <v/>
      </c>
      <c r="AC105">
        <f>IF(ISNUMBER(S105),IF(ISNUMBER(S110),IF(S105&gt;S110,1.0,IF(S105=S110,0.5,0.0)),""),"")</f>
        <v/>
      </c>
      <c r="AD105" s="14">
        <f>IF(AND(ISNUMBER(R105),ISNUMBER(R106)),VLOOKUP(ABS(R105-R106),'IMP Table'!$A$2:$C$26,3)*SIGN(R105-R106),0)</f>
        <v/>
      </c>
      <c r="AE105">
        <f>IF(AND(ISNUMBER(R105),ISNUMBER(R107)),VLOOKUP(ABS(R105-R107),'IMP Table'!$A$2:$C$26,3)*SIGN(R105-R107),0)</f>
        <v/>
      </c>
      <c r="AF105">
        <f>IF(AND(ISNUMBER(R105),ISNUMBER(R108)),VLOOKUP(ABS(R105-R108),'IMP Table'!$A$2:$C$26,3)*SIGN(R105-R108),0)</f>
        <v/>
      </c>
      <c r="AG105">
        <f>IF(AND(ISNUMBER(R105),ISNUMBER(R109)),VLOOKUP(ABS(R105-R109),'IMP Table'!$A$2:$C$26,3)*SIGN(R105-R109),0)</f>
        <v/>
      </c>
      <c r="AH105">
        <f>IF(AND(ISNUMBER(R105),ISNUMBER(R110)),VLOOKUP(ABS(R105-R110),'IMP Table'!$A$2:$C$26,3)*SIGN(R105-R110),0)</f>
        <v/>
      </c>
      <c r="AI105">
        <f>IF(AND(ISNUMBER(S105),ISNUMBER(S106)),VLOOKUP(ABS(S105-S106),'IMP Table'!$A$2:$C$26,3)*SIGN(S105-S106),0)</f>
        <v/>
      </c>
      <c r="AJ105">
        <f>IF(AND(ISNUMBER(S105),ISNUMBER(S107)),VLOOKUP(ABS(S105-S107),'IMP Table'!$A$2:$C$26,3)*SIGN(S105-S107),0)</f>
        <v/>
      </c>
      <c r="AK105">
        <f>IF(AND(ISNUMBER(S105),ISNUMBER(S108)),VLOOKUP(ABS(S105-S108),'IMP Table'!$A$2:$C$26,3)*SIGN(S105-S108),0)</f>
        <v/>
      </c>
      <c r="AL105">
        <f>IF(AND(ISNUMBER(S105),ISNUMBER(S109)),VLOOKUP(ABS(S105-S109),'IMP Table'!$A$2:$C$26,3)*SIGN(S105-S109),0)</f>
        <v/>
      </c>
      <c r="AM105">
        <f>IF(AND(ISNUMBER(S105),ISNUMBER(S110)),VLOOKUP(ABS(S105-S110),'IMP Table'!$A$2:$C$26,3)*SIGN(S105-S110),0)</f>
        <v/>
      </c>
    </row>
    <row r="106">
      <c r="B106">
        <f>'By Round'!A15</f>
        <v/>
      </c>
      <c r="C106">
        <f>'By Round'!B21</f>
        <v/>
      </c>
      <c r="D106">
        <f>'By Round'!C21</f>
        <v/>
      </c>
      <c r="E106">
        <f>'By Round'!D21</f>
        <v/>
      </c>
      <c r="F106" s="11" t="inlineStr">
        <is>
          <t>NS</t>
        </is>
      </c>
      <c r="G106">
        <f>IF(ISBLANK('By Round'!G21),"",'By Round'!G21)</f>
        <v/>
      </c>
      <c r="H106">
        <f>IF(ISBLANK('By Round'!H21),"",'By Round'!H21)</f>
        <v/>
      </c>
      <c r="I106">
        <f>IF(ISBLANK('By Round'!I21),"",'By Round'!I21)</f>
        <v/>
      </c>
      <c r="J106">
        <f>IF(ISBLANK('By Round'!J21),"",'By Round'!J21)</f>
        <v/>
      </c>
      <c r="K106">
        <f>IF(ISBLANK('By Round'!K21),"",'By Round'!K21)</f>
        <v/>
      </c>
      <c r="L106" s="12">
        <f>SUM(AD106:AH106)</f>
        <v/>
      </c>
      <c r="M106" s="13">
        <f>SUM(AI106:AM106)</f>
        <v/>
      </c>
      <c r="N106" s="8">
        <f>IF(COUNT(T106:X106)&gt;0,P106/COUNT(T106:X106),0.5)</f>
        <v/>
      </c>
      <c r="O106" s="8">
        <f>IF(COUNT(Y106:AC106)&gt;0,Q106/COUNT(Y106:AC106),0.5)</f>
        <v/>
      </c>
      <c r="P106" s="5">
        <f>SUM(T106:X106)</f>
        <v/>
      </c>
      <c r="Q106" s="5">
        <f>SUM(Y106:AC106)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IF(ISNUMBER(R106),IF(ISNUMBER(R105),IF(R106&gt;R105,1.0,IF(R106=R105,0.5,0.0)),""),"")</f>
        <v/>
      </c>
      <c r="U106">
        <f>IF(ISNUMBER(R106),IF(ISNUMBER(R107),IF(R106&gt;R107,1.0,IF(R106=R107,0.5,0.0)),""),"")</f>
        <v/>
      </c>
      <c r="V106">
        <f>IF(ISNUMBER(R106),IF(ISNUMBER(R108),IF(R106&gt;R108,1.0,IF(R106=R108,0.5,0.0)),""),"")</f>
        <v/>
      </c>
      <c r="W106">
        <f>IF(ISNUMBER(R106),IF(ISNUMBER(R109),IF(R106&gt;R109,1.0,IF(R106=R109,0.5,0.0)),""),"")</f>
        <v/>
      </c>
      <c r="X106">
        <f>IF(ISNUMBER(R106),IF(ISNUMBER(R110),IF(R106&gt;R110,1.0,IF(R106=R110,0.5,0.0)),""),"")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IF(ISNUMBER(S106),IF(ISNUMBER(S108),IF(S106&gt;S108,1.0,IF(S106=S108,0.5,0.0)),""),"")</f>
        <v/>
      </c>
      <c r="AB106">
        <f>IF(ISNUMBER(S106),IF(ISNUMBER(S109),IF(S106&gt;S109,1.0,IF(S106=S109,0.5,0.0)),""),"")</f>
        <v/>
      </c>
      <c r="AC106">
        <f>IF(ISNUMBER(S106),IF(ISNUMBER(S110),IF(S106&gt;S110,1.0,IF(S106=S110,0.5,0.0)),""),"")</f>
        <v/>
      </c>
      <c r="AD106" s="14">
        <f>IF(AND(ISNUMBER(R106),ISNUMBER(R105)),VLOOKUP(ABS(R106-R105),'IMP Table'!$A$2:$C$26,3)*SIGN(R106-R105),0)</f>
        <v/>
      </c>
      <c r="AE106">
        <f>IF(AND(ISNUMBER(R106),ISNUMBER(R107)),VLOOKUP(ABS(R106-R107),'IMP Table'!$A$2:$C$26,3)*SIGN(R106-R107),0)</f>
        <v/>
      </c>
      <c r="AF106">
        <f>IF(AND(ISNUMBER(R106),ISNUMBER(R108)),VLOOKUP(ABS(R106-R108),'IMP Table'!$A$2:$C$26,3)*SIGN(R106-R108),0)</f>
        <v/>
      </c>
      <c r="AG106">
        <f>IF(AND(ISNUMBER(R106),ISNUMBER(R109)),VLOOKUP(ABS(R106-R109),'IMP Table'!$A$2:$C$26,3)*SIGN(R106-R109),0)</f>
        <v/>
      </c>
      <c r="AH106">
        <f>IF(AND(ISNUMBER(R106),ISNUMBER(R110)),VLOOKUP(ABS(R106-R110),'IMP Table'!$A$2:$C$26,3)*SIGN(R106-R110),0)</f>
        <v/>
      </c>
      <c r="AI106">
        <f>IF(AND(ISNUMBER(S106),ISNUMBER(S105)),VLOOKUP(ABS(S106-S105),'IMP Table'!$A$2:$C$26,3)*SIGN(S106-S105),0)</f>
        <v/>
      </c>
      <c r="AJ106">
        <f>IF(AND(ISNUMBER(S106),ISNUMBER(S107)),VLOOKUP(ABS(S106-S107),'IMP Table'!$A$2:$C$26,3)*SIGN(S106-S107),0)</f>
        <v/>
      </c>
      <c r="AK106">
        <f>IF(AND(ISNUMBER(S106),ISNUMBER(S108)),VLOOKUP(ABS(S106-S108),'IMP Table'!$A$2:$C$26,3)*SIGN(S106-S108),0)</f>
        <v/>
      </c>
      <c r="AL106">
        <f>IF(AND(ISNUMBER(S106),ISNUMBER(S109)),VLOOKUP(ABS(S106-S109),'IMP Table'!$A$2:$C$26,3)*SIGN(S106-S109),0)</f>
        <v/>
      </c>
      <c r="AM106">
        <f>IF(AND(ISNUMBER(S106),ISNUMBER(S110)),VLOOKUP(ABS(S106-S110),'IMP Table'!$A$2:$C$26,3)*SIGN(S106-S110),0)</f>
        <v/>
      </c>
    </row>
    <row r="107">
      <c r="B107">
        <f>'By Round'!A39</f>
        <v/>
      </c>
      <c r="C107">
        <f>'By Round'!B43</f>
        <v/>
      </c>
      <c r="D107">
        <f>'By Round'!C43</f>
        <v/>
      </c>
      <c r="E107">
        <f>'By Round'!D43</f>
        <v/>
      </c>
      <c r="F107" s="11" t="inlineStr">
        <is>
          <t>NS</t>
        </is>
      </c>
      <c r="G107">
        <f>IF(ISBLANK('By Round'!G43),"",'By Round'!G43)</f>
        <v/>
      </c>
      <c r="H107">
        <f>IF(ISBLANK('By Round'!H43),"",'By Round'!H43)</f>
        <v/>
      </c>
      <c r="I107">
        <f>IF(ISBLANK('By Round'!I43),"",'By Round'!I43)</f>
        <v/>
      </c>
      <c r="J107">
        <f>IF(ISBLANK('By Round'!J43),"",'By Round'!J43)</f>
        <v/>
      </c>
      <c r="K107">
        <f>IF(ISBLANK('By Round'!K43),"",'By Round'!K43)</f>
        <v/>
      </c>
      <c r="L107" s="12">
        <f>SUM(AD107:AH107)</f>
        <v/>
      </c>
      <c r="M107" s="13">
        <f>SUM(AI107:AM107)</f>
        <v/>
      </c>
      <c r="N107" s="8">
        <f>IF(COUNT(T107:X107)&gt;0,P107/COUNT(T107:X107),0.5)</f>
        <v/>
      </c>
      <c r="O107" s="8">
        <f>IF(COUNT(Y107:AC107)&gt;0,Q107/COUNT(Y107:AC107),0.5)</f>
        <v/>
      </c>
      <c r="P107" s="5">
        <f>SUM(T107:X107)</f>
        <v/>
      </c>
      <c r="Q107" s="5">
        <f>SUM(Y107:AC107)</f>
        <v/>
      </c>
      <c r="R107" s="14">
        <f>IF(ISNUMBER(J107),J107,IF(ISNUMBER(K107),-K107,""))</f>
        <v/>
      </c>
      <c r="S107">
        <f>IF(ISNUMBER(K107),K107,IF(ISNUMBER(J107),-J107,""))</f>
        <v/>
      </c>
      <c r="T107" s="14">
        <f>IF(ISNUMBER(R107),IF(ISNUMBER(R105),IF(R107&gt;R105,1.0,IF(R107=R105,0.5,0.0)),""),"")</f>
        <v/>
      </c>
      <c r="U107">
        <f>IF(ISNUMBER(R107),IF(ISNUMBER(R106),IF(R107&gt;R106,1.0,IF(R107=R106,0.5,0.0)),""),"")</f>
        <v/>
      </c>
      <c r="V107">
        <f>IF(ISNUMBER(R107),IF(ISNUMBER(R108),IF(R107&gt;R108,1.0,IF(R107=R108,0.5,0.0)),""),"")</f>
        <v/>
      </c>
      <c r="W107">
        <f>IF(ISNUMBER(R107),IF(ISNUMBER(R109),IF(R107&gt;R109,1.0,IF(R107=R109,0.5,0.0)),""),"")</f>
        <v/>
      </c>
      <c r="X107">
        <f>IF(ISNUMBER(R107),IF(ISNUMBER(R110),IF(R107&gt;R110,1.0,IF(R107=R110,0.5,0.0)),""),"")</f>
        <v/>
      </c>
      <c r="Y107">
        <f>IF(ISNUMBER(S107),IF(ISNUMBER(S105),IF(S107&gt;S105,1.0,IF(S107=S105,0.5,0.0)),""),"")</f>
        <v/>
      </c>
      <c r="Z107">
        <f>IF(ISNUMBER(S107),IF(ISNUMBER(S106),IF(S107&gt;S106,1.0,IF(S107=S106,0.5,0.0)),""),"")</f>
        <v/>
      </c>
      <c r="AA107">
        <f>IF(ISNUMBER(S107),IF(ISNUMBER(S108),IF(S107&gt;S108,1.0,IF(S107=S108,0.5,0.0)),""),"")</f>
        <v/>
      </c>
      <c r="AB107">
        <f>IF(ISNUMBER(S107),IF(ISNUMBER(S109),IF(S107&gt;S109,1.0,IF(S107=S109,0.5,0.0)),""),"")</f>
        <v/>
      </c>
      <c r="AC107">
        <f>IF(ISNUMBER(S107),IF(ISNUMBER(S110),IF(S107&gt;S110,1.0,IF(S107=S110,0.5,0.0)),""),"")</f>
        <v/>
      </c>
      <c r="AD107" s="14">
        <f>IF(AND(ISNUMBER(R107),ISNUMBER(R105)),VLOOKUP(ABS(R107-R105),'IMP Table'!$A$2:$C$26,3)*SIGN(R107-R105),0)</f>
        <v/>
      </c>
      <c r="AE107">
        <f>IF(AND(ISNUMBER(R107),ISNUMBER(R106)),VLOOKUP(ABS(R107-R106),'IMP Table'!$A$2:$C$26,3)*SIGN(R107-R106),0)</f>
        <v/>
      </c>
      <c r="AF107">
        <f>IF(AND(ISNUMBER(R107),ISNUMBER(R108)),VLOOKUP(ABS(R107-R108),'IMP Table'!$A$2:$C$26,3)*SIGN(R107-R108),0)</f>
        <v/>
      </c>
      <c r="AG107">
        <f>IF(AND(ISNUMBER(R107),ISNUMBER(R109)),VLOOKUP(ABS(R107-R109),'IMP Table'!$A$2:$C$26,3)*SIGN(R107-R109),0)</f>
        <v/>
      </c>
      <c r="AH107">
        <f>IF(AND(ISNUMBER(R107),ISNUMBER(R110)),VLOOKUP(ABS(R107-R110),'IMP Table'!$A$2:$C$26,3)*SIGN(R107-R110),0)</f>
        <v/>
      </c>
      <c r="AI107">
        <f>IF(AND(ISNUMBER(S107),ISNUMBER(S105)),VLOOKUP(ABS(S107-S105),'IMP Table'!$A$2:$C$26,3)*SIGN(S107-S105),0)</f>
        <v/>
      </c>
      <c r="AJ107">
        <f>IF(AND(ISNUMBER(S107),ISNUMBER(S106)),VLOOKUP(ABS(S107-S106),'IMP Table'!$A$2:$C$26,3)*SIGN(S107-S106),0)</f>
        <v/>
      </c>
      <c r="AK107">
        <f>IF(AND(ISNUMBER(S107),ISNUMBER(S108)),VLOOKUP(ABS(S107-S108),'IMP Table'!$A$2:$C$26,3)*SIGN(S107-S108),0)</f>
        <v/>
      </c>
      <c r="AL107">
        <f>IF(AND(ISNUMBER(S107),ISNUMBER(S109)),VLOOKUP(ABS(S107-S109),'IMP Table'!$A$2:$C$26,3)*SIGN(S107-S109),0)</f>
        <v/>
      </c>
      <c r="AM107">
        <f>IF(AND(ISNUMBER(S107),ISNUMBER(S110)),VLOOKUP(ABS(S107-S110),'IMP Table'!$A$2:$C$26,3)*SIGN(S107-S110),0)</f>
        <v/>
      </c>
    </row>
    <row r="108">
      <c r="B108">
        <f>'By Round'!A51</f>
        <v/>
      </c>
      <c r="C108">
        <f>'By Round'!B53</f>
        <v/>
      </c>
      <c r="D108">
        <f>'By Round'!C53</f>
        <v/>
      </c>
      <c r="E108">
        <f>'By Round'!D53</f>
        <v/>
      </c>
      <c r="F108" s="11" t="inlineStr">
        <is>
          <t>NS</t>
        </is>
      </c>
      <c r="G108">
        <f>IF(ISBLANK('By Round'!G53),"",'By Round'!G53)</f>
        <v/>
      </c>
      <c r="H108">
        <f>IF(ISBLANK('By Round'!H53),"",'By Round'!H53)</f>
        <v/>
      </c>
      <c r="I108">
        <f>IF(ISBLANK('By Round'!I53),"",'By Round'!I53)</f>
        <v/>
      </c>
      <c r="J108">
        <f>IF(ISBLANK('By Round'!J53),"",'By Round'!J53)</f>
        <v/>
      </c>
      <c r="K108">
        <f>IF(ISBLANK('By Round'!K53),"",'By Round'!K53)</f>
        <v/>
      </c>
      <c r="L108" s="12">
        <f>SUM(AD108:AH108)</f>
        <v/>
      </c>
      <c r="M108" s="13">
        <f>SUM(AI108:AM108)</f>
        <v/>
      </c>
      <c r="N108" s="8">
        <f>IF(COUNT(T108:X108)&gt;0,P108/COUNT(T108:X108),0.5)</f>
        <v/>
      </c>
      <c r="O108" s="8">
        <f>IF(COUNT(Y108:AC108)&gt;0,Q108/COUNT(Y108:AC108),0.5)</f>
        <v/>
      </c>
      <c r="P108" s="5">
        <f>SUM(T108:X108)</f>
        <v/>
      </c>
      <c r="Q108" s="5">
        <f>SUM(Y108:AC108)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IF(ISNUMBER(R108),IF(ISNUMBER(R105),IF(R108&gt;R105,1.0,IF(R108=R105,0.5,0.0)),""),"")</f>
        <v/>
      </c>
      <c r="U108">
        <f>IF(ISNUMBER(R108),IF(ISNUMBER(R106),IF(R108&gt;R106,1.0,IF(R108=R106,0.5,0.0)),""),"")</f>
        <v/>
      </c>
      <c r="V108">
        <f>IF(ISNUMBER(R108),IF(ISNUMBER(R107),IF(R108&gt;R107,1.0,IF(R108=R107,0.5,0.0)),""),"")</f>
        <v/>
      </c>
      <c r="W108">
        <f>IF(ISNUMBER(R108),IF(ISNUMBER(R109),IF(R108&gt;R109,1.0,IF(R108=R109,0.5,0.0)),""),"")</f>
        <v/>
      </c>
      <c r="X108">
        <f>IF(ISNUMBER(R108),IF(ISNUMBER(R110),IF(R108&gt;R110,1.0,IF(R108=R110,0.5,0.0)),""),"")</f>
        <v/>
      </c>
      <c r="Y108">
        <f>IF(ISNUMBER(S108),IF(ISNUMBER(S105),IF(S108&gt;S105,1.0,IF(S108=S105,0.5,0.0)),""),"")</f>
        <v/>
      </c>
      <c r="Z108">
        <f>IF(ISNUMBER(S108),IF(ISNUMBER(S106),IF(S108&gt;S106,1.0,IF(S108=S106,0.5,0.0)),""),"")</f>
        <v/>
      </c>
      <c r="AA108">
        <f>IF(ISNUMBER(S108),IF(ISNUMBER(S107),IF(S108&gt;S107,1.0,IF(S108=S107,0.5,0.0)),""),"")</f>
        <v/>
      </c>
      <c r="AB108">
        <f>IF(ISNUMBER(S108),IF(ISNUMBER(S109),IF(S108&gt;S109,1.0,IF(S108=S109,0.5,0.0)),""),"")</f>
        <v/>
      </c>
      <c r="AC108">
        <f>IF(ISNUMBER(S108),IF(ISNUMBER(S110),IF(S108&gt;S110,1.0,IF(S108=S110,0.5,0.0)),""),"")</f>
        <v/>
      </c>
      <c r="AD108" s="14">
        <f>IF(AND(ISNUMBER(R108),ISNUMBER(R105)),VLOOKUP(ABS(R108-R105),'IMP Table'!$A$2:$C$26,3)*SIGN(R108-R105),0)</f>
        <v/>
      </c>
      <c r="AE108">
        <f>IF(AND(ISNUMBER(R108),ISNUMBER(R106)),VLOOKUP(ABS(R108-R106),'IMP Table'!$A$2:$C$26,3)*SIGN(R108-R106),0)</f>
        <v/>
      </c>
      <c r="AF108">
        <f>IF(AND(ISNUMBER(R108),ISNUMBER(R107)),VLOOKUP(ABS(R108-R107),'IMP Table'!$A$2:$C$26,3)*SIGN(R108-R107),0)</f>
        <v/>
      </c>
      <c r="AG108">
        <f>IF(AND(ISNUMBER(R108),ISNUMBER(R109)),VLOOKUP(ABS(R108-R109),'IMP Table'!$A$2:$C$26,3)*SIGN(R108-R109),0)</f>
        <v/>
      </c>
      <c r="AH108">
        <f>IF(AND(ISNUMBER(R108),ISNUMBER(R110)),VLOOKUP(ABS(R108-R110),'IMP Table'!$A$2:$C$26,3)*SIGN(R108-R110),0)</f>
        <v/>
      </c>
      <c r="AI108">
        <f>IF(AND(ISNUMBER(S108),ISNUMBER(S105)),VLOOKUP(ABS(S108-S105),'IMP Table'!$A$2:$C$26,3)*SIGN(S108-S105),0)</f>
        <v/>
      </c>
      <c r="AJ108">
        <f>IF(AND(ISNUMBER(S108),ISNUMBER(S106)),VLOOKUP(ABS(S108-S106),'IMP Table'!$A$2:$C$26,3)*SIGN(S108-S106),0)</f>
        <v/>
      </c>
      <c r="AK108">
        <f>IF(AND(ISNUMBER(S108),ISNUMBER(S107)),VLOOKUP(ABS(S108-S107),'IMP Table'!$A$2:$C$26,3)*SIGN(S108-S107),0)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</row>
    <row r="109">
      <c r="B109">
        <f>'By Round'!A99</f>
        <v/>
      </c>
      <c r="C109">
        <f>'By Round'!B99</f>
        <v/>
      </c>
      <c r="D109">
        <f>'By Round'!C99</f>
        <v/>
      </c>
      <c r="E109">
        <f>'By Round'!D99</f>
        <v/>
      </c>
      <c r="F109" s="11" t="inlineStr">
        <is>
          <t>NS</t>
        </is>
      </c>
      <c r="G109">
        <f>IF(ISBLANK('By Round'!G99),"",'By Round'!G99)</f>
        <v/>
      </c>
      <c r="H109">
        <f>IF(ISBLANK('By Round'!H99),"",'By Round'!H99)</f>
        <v/>
      </c>
      <c r="I109">
        <f>IF(ISBLANK('By Round'!I99),"",'By Round'!I99)</f>
        <v/>
      </c>
      <c r="J109">
        <f>IF(ISBLANK('By Round'!J99),"",'By Round'!J99)</f>
        <v/>
      </c>
      <c r="K109">
        <f>IF(ISBLANK('By Round'!K99),"",'By Round'!K99)</f>
        <v/>
      </c>
      <c r="L109" s="12">
        <f>SUM(AD109:AH109)</f>
        <v/>
      </c>
      <c r="M109" s="13">
        <f>SUM(AI109:AM109)</f>
        <v/>
      </c>
      <c r="N109" s="8">
        <f>IF(COUNT(T109:X109)&gt;0,P109/COUNT(T109:X109),0.5)</f>
        <v/>
      </c>
      <c r="O109" s="8">
        <f>IF(COUNT(Y109:AC109)&gt;0,Q109/COUNT(Y109:AC109),0.5)</f>
        <v/>
      </c>
      <c r="P109" s="5">
        <f>SUM(T109:X109)</f>
        <v/>
      </c>
      <c r="Q109" s="5">
        <f>SUM(Y109:AC109)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IF(ISNUMBER(R109),IF(ISNUMBER(R105),IF(R109&gt;R105,1.0,IF(R109=R105,0.5,0.0)),""),"")</f>
        <v/>
      </c>
      <c r="U109">
        <f>IF(ISNUMBER(R109),IF(ISNUMBER(R106),IF(R109&gt;R106,1.0,IF(R109=R106,0.5,0.0)),""),"")</f>
        <v/>
      </c>
      <c r="V109">
        <f>IF(ISNUMBER(R109),IF(ISNUMBER(R107),IF(R109&gt;R107,1.0,IF(R109=R107,0.5,0.0)),""),"")</f>
        <v/>
      </c>
      <c r="W109">
        <f>IF(ISNUMBER(R109),IF(ISNUMBER(R108),IF(R109&gt;R108,1.0,IF(R109=R108,0.5,0.0)),""),"")</f>
        <v/>
      </c>
      <c r="X109">
        <f>IF(ISNUMBER(R109),IF(ISNUMBER(R110),IF(R109&gt;R110,1.0,IF(R109=R110,0.5,0.0)),""),"")</f>
        <v/>
      </c>
      <c r="Y109">
        <f>IF(ISNUMBER(S109),IF(ISNUMBER(S105),IF(S109&gt;S105,1.0,IF(S109=S105,0.5,0.0)),""),"")</f>
        <v/>
      </c>
      <c r="Z109">
        <f>IF(ISNUMBER(S109),IF(ISNUMBER(S106),IF(S109&gt;S106,1.0,IF(S109=S106,0.5,0.0)),""),"")</f>
        <v/>
      </c>
      <c r="AA109">
        <f>IF(ISNUMBER(S109),IF(ISNUMBER(S107),IF(S109&gt;S107,1.0,IF(S109=S107,0.5,0.0)),""),"")</f>
        <v/>
      </c>
      <c r="AB109">
        <f>IF(ISNUMBER(S109),IF(ISNUMBER(S108),IF(S109&gt;S108,1.0,IF(S109=S108,0.5,0.0)),""),"")</f>
        <v/>
      </c>
      <c r="AC109">
        <f>IF(ISNUMBER(S109),IF(ISNUMBER(S110),IF(S109&gt;S110,1.0,IF(S109=S110,0.5,0.0)),""),"")</f>
        <v/>
      </c>
      <c r="AD109" s="14">
        <f>IF(AND(ISNUMBER(R109),ISNUMBER(R105)),VLOOKUP(ABS(R109-R105),'IMP Table'!$A$2:$C$26,3)*SIGN(R109-R105),0)</f>
        <v/>
      </c>
      <c r="AE109">
        <f>IF(AND(ISNUMBER(R109),ISNUMBER(R106)),VLOOKUP(ABS(R109-R106),'IMP Table'!$A$2:$C$26,3)*SIGN(R109-R106),0)</f>
        <v/>
      </c>
      <c r="AF109">
        <f>IF(AND(ISNUMBER(R109),ISNUMBER(R107)),VLOOKUP(ABS(R109-R107),'IMP Table'!$A$2:$C$26,3)*SIGN(R109-R107),0)</f>
        <v/>
      </c>
      <c r="AG109">
        <f>IF(AND(ISNUMBER(R109),ISNUMBER(R108)),VLOOKUP(ABS(R109-R108),'IMP Table'!$A$2:$C$26,3)*SIGN(R109-R108),0)</f>
        <v/>
      </c>
      <c r="AH109">
        <f>IF(AND(ISNUMBER(R109),ISNUMBER(R110)),VLOOKUP(ABS(R109-R110),'IMP Table'!$A$2:$C$26,3)*SIGN(R109-R110),0)</f>
        <v/>
      </c>
      <c r="AI109">
        <f>IF(AND(ISNUMBER(S109),ISNUMBER(S105)),VLOOKUP(ABS(S109-S105),'IMP Table'!$A$2:$C$26,3)*SIGN(S109-S105),0)</f>
        <v/>
      </c>
      <c r="AJ109">
        <f>IF(AND(ISNUMBER(S109),ISNUMBER(S106)),VLOOKUP(ABS(S109-S106),'IMP Table'!$A$2:$C$26,3)*SIGN(S109-S106),0)</f>
        <v/>
      </c>
      <c r="AK109">
        <f>IF(AND(ISNUMBER(S109),ISNUMBER(S107)),VLOOKUP(ABS(S109-S107),'IMP Table'!$A$2:$C$26,3)*SIGN(S109-S107),0)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</row>
    <row r="110">
      <c r="A110" s="15" t="n"/>
      <c r="B110" s="15">
        <f>'By Round'!A123</f>
        <v/>
      </c>
      <c r="C110" s="15">
        <f>'By Round'!B133</f>
        <v/>
      </c>
      <c r="D110" s="15">
        <f>'By Round'!C133</f>
        <v/>
      </c>
      <c r="E110" s="15">
        <f>'By Round'!D133</f>
        <v/>
      </c>
      <c r="F110" s="16" t="inlineStr">
        <is>
          <t>NS</t>
        </is>
      </c>
      <c r="G110" s="15">
        <f>IF(ISBLANK('By Round'!G133),"",'By Round'!G133)</f>
        <v/>
      </c>
      <c r="H110" s="15">
        <f>IF(ISBLANK('By Round'!H133),"",'By Round'!H133)</f>
        <v/>
      </c>
      <c r="I110" s="15">
        <f>IF(ISBLANK('By Round'!I133),"",'By Round'!I133)</f>
        <v/>
      </c>
      <c r="J110" s="15">
        <f>IF(ISBLANK('By Round'!J133),"",'By Round'!J133)</f>
        <v/>
      </c>
      <c r="K110" s="15">
        <f>IF(ISBLANK('By Round'!K133),"",'By Round'!K133)</f>
        <v/>
      </c>
      <c r="L110" s="17">
        <f>SUM(AD110:AH110)</f>
        <v/>
      </c>
      <c r="M110" s="18">
        <f>SUM(AI110:AM110)</f>
        <v/>
      </c>
      <c r="N110" s="19">
        <f>IF(COUNT(T110:X110)&gt;0,P110/COUNT(T110:X110),0.5)</f>
        <v/>
      </c>
      <c r="O110" s="19">
        <f>IF(COUNT(Y110:AC110)&gt;0,Q110/COUNT(Y110:AC110),0.5)</f>
        <v/>
      </c>
      <c r="P110" s="20">
        <f>SUM(T110:X110)</f>
        <v/>
      </c>
      <c r="Q110" s="20">
        <f>SUM(Y110:AC110)</f>
        <v/>
      </c>
      <c r="R110" s="21">
        <f>IF(ISNUMBER(J110),J110,IF(ISNUMBER(K110),-K110,""))</f>
        <v/>
      </c>
      <c r="S110" s="15">
        <f>IF(ISNUMBER(K110),K110,IF(ISNUMBER(J110),-J110,""))</f>
        <v/>
      </c>
      <c r="T110" s="21">
        <f>IF(ISNUMBER(R110),IF(ISNUMBER(R105),IF(R110&gt;R105,1.0,IF(R110=R105,0.5,0.0)),""),"")</f>
        <v/>
      </c>
      <c r="U110" s="15">
        <f>IF(ISNUMBER(R110),IF(ISNUMBER(R106),IF(R110&gt;R106,1.0,IF(R110=R106,0.5,0.0)),""),"")</f>
        <v/>
      </c>
      <c r="V110" s="15">
        <f>IF(ISNUMBER(R110),IF(ISNUMBER(R107),IF(R110&gt;R107,1.0,IF(R110=R107,0.5,0.0)),""),"")</f>
        <v/>
      </c>
      <c r="W110" s="15">
        <f>IF(ISNUMBER(R110),IF(ISNUMBER(R108),IF(R110&gt;R108,1.0,IF(R110=R108,0.5,0.0)),""),"")</f>
        <v/>
      </c>
      <c r="X110" s="15">
        <f>IF(ISNUMBER(R110),IF(ISNUMBER(R109),IF(R110&gt;R109,1.0,IF(R110=R109,0.5,0.0)),""),"")</f>
        <v/>
      </c>
      <c r="Y110" s="15">
        <f>IF(ISNUMBER(S110),IF(ISNUMBER(S105),IF(S110&gt;S105,1.0,IF(S110=S105,0.5,0.0)),""),"")</f>
        <v/>
      </c>
      <c r="Z110" s="15">
        <f>IF(ISNUMBER(S110),IF(ISNUMBER(S106),IF(S110&gt;S106,1.0,IF(S110=S106,0.5,0.0)),""),"")</f>
        <v/>
      </c>
      <c r="AA110" s="15">
        <f>IF(ISNUMBER(S110),IF(ISNUMBER(S107),IF(S110&gt;S107,1.0,IF(S110=S107,0.5,0.0)),""),"")</f>
        <v/>
      </c>
      <c r="AB110" s="15">
        <f>IF(ISNUMBER(S110),IF(ISNUMBER(S108),IF(S110&gt;S108,1.0,IF(S110=S108,0.5,0.0)),""),"")</f>
        <v/>
      </c>
      <c r="AC110" s="15">
        <f>IF(ISNUMBER(S110),IF(ISNUMBER(S109),IF(S110&gt;S109,1.0,IF(S110=S109,0.5,0.0)),""),"")</f>
        <v/>
      </c>
      <c r="AD110" s="21">
        <f>IF(AND(ISNUMBER(R110),ISNUMBER(R105)),VLOOKUP(ABS(R110-R105),'IMP Table'!$A$2:$C$26,3)*SIGN(R110-R105),0)</f>
        <v/>
      </c>
      <c r="AE110" s="15">
        <f>IF(AND(ISNUMBER(R110),ISNUMBER(R106)),VLOOKUP(ABS(R110-R106),'IMP Table'!$A$2:$C$26,3)*SIGN(R110-R106),0)</f>
        <v/>
      </c>
      <c r="AF110" s="15">
        <f>IF(AND(ISNUMBER(R110),ISNUMBER(R107)),VLOOKUP(ABS(R110-R107),'IMP Table'!$A$2:$C$26,3)*SIGN(R110-R107),0)</f>
        <v/>
      </c>
      <c r="AG110" s="15">
        <f>IF(AND(ISNUMBER(R110),ISNUMBER(R108)),VLOOKUP(ABS(R110-R108),'IMP Table'!$A$2:$C$26,3)*SIGN(R110-R108),0)</f>
        <v/>
      </c>
      <c r="AH110" s="15">
        <f>IF(AND(ISNUMBER(R110),ISNUMBER(R109)),VLOOKUP(ABS(R110-R109),'IMP Table'!$A$2:$C$26,3)*SIGN(R110-R109),0)</f>
        <v/>
      </c>
      <c r="AI110" s="15">
        <f>IF(AND(ISNUMBER(S110),ISNUMBER(S105)),VLOOKUP(ABS(S110-S105),'IMP Table'!$A$2:$C$26,3)*SIGN(S110-S105),0)</f>
        <v/>
      </c>
      <c r="AJ110" s="15">
        <f>IF(AND(ISNUMBER(S110),ISNUMBER(S106)),VLOOKUP(ABS(S110-S106),'IMP Table'!$A$2:$C$26,3)*SIGN(S110-S106),0)</f>
        <v/>
      </c>
      <c r="AK110" s="15">
        <f>IF(AND(ISNUMBER(S110),ISNUMBER(S107)),VLOOKUP(ABS(S110-S107),'IMP Table'!$A$2:$C$26,3)*SIGN(S110-S107),0)</f>
        <v/>
      </c>
      <c r="AL110" s="15">
        <f>IF(AND(ISNUMBER(S110),ISNUMBER(S108)),VLOOKUP(ABS(S110-S108),'IMP Table'!$A$2:$C$26,3)*SIGN(S110-S108),0)</f>
        <v/>
      </c>
      <c r="AM110" s="15">
        <f>IF(AND(ISNUMBER(S110),ISNUMBER(S109)),VLOOKUP(ABS(S110-S109),'IMP Table'!$A$2:$C$26,3)*SIGN(S110-S109),0)</f>
        <v/>
      </c>
    </row>
    <row r="111">
      <c r="A111" t="n">
        <v>19</v>
      </c>
      <c r="B111">
        <f>'By Round'!A3</f>
        <v/>
      </c>
      <c r="C111">
        <f>'By Round'!B13</f>
        <v/>
      </c>
      <c r="D111">
        <f>'By Round'!C13</f>
        <v/>
      </c>
      <c r="E111">
        <f>'By Round'!D13</f>
        <v/>
      </c>
      <c r="F111" s="11" t="inlineStr">
        <is>
          <t>EW</t>
        </is>
      </c>
      <c r="G111">
        <f>IF(ISBLANK('By Round'!G13),"",'By Round'!G13)</f>
        <v/>
      </c>
      <c r="H111">
        <f>IF(ISBLANK('By Round'!H13),"",'By Round'!H13)</f>
        <v/>
      </c>
      <c r="I111">
        <f>IF(ISBLANK('By Round'!I13),"",'By Round'!I13)</f>
        <v/>
      </c>
      <c r="J111">
        <f>IF(ISBLANK('By Round'!J13),"",'By Round'!J13)</f>
        <v/>
      </c>
      <c r="K111">
        <f>IF(ISBLANK('By Round'!K13),"",'By Round'!K13)</f>
        <v/>
      </c>
      <c r="L111" s="12">
        <f>SUM(AD111:AH111)</f>
        <v/>
      </c>
      <c r="M111" s="13">
        <f>SUM(AI111:AM111)</f>
        <v/>
      </c>
      <c r="N111" s="8">
        <f>IF(COUNT(T111:X111)&gt;0,P111/COUNT(T111:X111),0.5)</f>
        <v/>
      </c>
      <c r="O111" s="8">
        <f>IF(COUNT(Y111:AC111)&gt;0,Q111/COUNT(Y111:AC111),0.5)</f>
        <v/>
      </c>
      <c r="P111" s="5">
        <f>SUM(T111:X111)</f>
        <v/>
      </c>
      <c r="Q111" s="5">
        <f>SUM(Y111:AC111)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IF(ISNUMBER(R111),IF(ISNUMBER(R112),IF(R111&gt;R112,1.0,IF(R111=R112,0.5,0.0)),""),"")</f>
        <v/>
      </c>
      <c r="U111">
        <f>IF(ISNUMBER(R111),IF(ISNUMBER(R113),IF(R111&gt;R113,1.0,IF(R111=R113,0.5,0.0)),""),"")</f>
        <v/>
      </c>
      <c r="V111">
        <f>IF(ISNUMBER(R111),IF(ISNUMBER(R114),IF(R111&gt;R114,1.0,IF(R111=R114,0.5,0.0)),""),"")</f>
        <v/>
      </c>
      <c r="W111">
        <f>IF(ISNUMBER(R111),IF(ISNUMBER(R115),IF(R111&gt;R115,1.0,IF(R111=R115,0.5,0.0)),""),"")</f>
        <v/>
      </c>
      <c r="X111">
        <f>IF(ISNUMBER(R111),IF(ISNUMBER(R116),IF(R111&gt;R116,1.0,IF(R111=R116,0.5,0.0)),""),"")</f>
        <v/>
      </c>
      <c r="Y111">
        <f>IF(ISNUMBER(S111),IF(ISNUMBER(S112),IF(S111&gt;S112,1.0,IF(S111=S112,0.5,0.0)),""),"")</f>
        <v/>
      </c>
      <c r="Z111">
        <f>IF(ISNUMBER(S111),IF(ISNUMBER(S113),IF(S111&gt;S113,1.0,IF(S111=S113,0.5,0.0)),""),"")</f>
        <v/>
      </c>
      <c r="AA111">
        <f>IF(ISNUMBER(S111),IF(ISNUMBER(S114),IF(S111&gt;S114,1.0,IF(S111=S114,0.5,0.0)),""),"")</f>
        <v/>
      </c>
      <c r="AB111">
        <f>IF(ISNUMBER(S111),IF(ISNUMBER(S115),IF(S111&gt;S115,1.0,IF(S111=S115,0.5,0.0)),""),"")</f>
        <v/>
      </c>
      <c r="AC111">
        <f>IF(ISNUMBER(S111),IF(ISNUMBER(S116),IF(S111&gt;S116,1.0,IF(S111=S116,0.5,0.0)),""),"")</f>
        <v/>
      </c>
      <c r="AD111" s="14">
        <f>IF(AND(ISNUMBER(R111),ISNUMBER(R112)),VLOOKUP(ABS(R111-R112),'IMP Table'!$A$2:$C$26,3)*SIGN(R111-R112),0)</f>
        <v/>
      </c>
      <c r="AE111">
        <f>IF(AND(ISNUMBER(R111),ISNUMBER(R113)),VLOOKUP(ABS(R111-R113),'IMP Table'!$A$2:$C$26,3)*SIGN(R111-R113),0)</f>
        <v/>
      </c>
      <c r="AF111">
        <f>IF(AND(ISNUMBER(R111),ISNUMBER(R114)),VLOOKUP(ABS(R111-R114),'IMP Table'!$A$2:$C$26,3)*SIGN(R111-R114),0)</f>
        <v/>
      </c>
      <c r="AG111">
        <f>IF(AND(ISNUMBER(R111),ISNUMBER(R115)),VLOOKUP(ABS(R111-R115),'IMP Table'!$A$2:$C$26,3)*SIGN(R111-R115),0)</f>
        <v/>
      </c>
      <c r="AH111">
        <f>IF(AND(ISNUMBER(R111),ISNUMBER(R116)),VLOOKUP(ABS(R111-R116),'IMP Table'!$A$2:$C$26,3)*SIGN(R111-R116),0)</f>
        <v/>
      </c>
      <c r="AI111">
        <f>IF(AND(ISNUMBER(S111),ISNUMBER(S112)),VLOOKUP(ABS(S111-S112),'IMP Table'!$A$2:$C$26,3)*SIGN(S111-S112),0)</f>
        <v/>
      </c>
      <c r="AJ111">
        <f>IF(AND(ISNUMBER(S111),ISNUMBER(S113)),VLOOKUP(ABS(S111-S113),'IMP Table'!$A$2:$C$26,3)*SIGN(S111-S113),0)</f>
        <v/>
      </c>
      <c r="AK111">
        <f>IF(AND(ISNUMBER(S111),ISNUMBER(S114)),VLOOKUP(ABS(S111-S114),'IMP Table'!$A$2:$C$26,3)*SIGN(S111-S114),0)</f>
        <v/>
      </c>
      <c r="AL111">
        <f>IF(AND(ISNUMBER(S111),ISNUMBER(S115)),VLOOKUP(ABS(S111-S115),'IMP Table'!$A$2:$C$26,3)*SIGN(S111-S115),0)</f>
        <v/>
      </c>
      <c r="AM111">
        <f>IF(AND(ISNUMBER(S111),ISNUMBER(S116)),VLOOKUP(ABS(S111-S116),'IMP Table'!$A$2:$C$26,3)*SIGN(S111-S116),0)</f>
        <v/>
      </c>
    </row>
    <row r="112">
      <c r="B112">
        <f>'By Round'!A15</f>
        <v/>
      </c>
      <c r="C112">
        <f>'By Round'!B23</f>
        <v/>
      </c>
      <c r="D112">
        <f>'By Round'!C23</f>
        <v/>
      </c>
      <c r="E112">
        <f>'By Round'!D23</f>
        <v/>
      </c>
      <c r="F112" s="11" t="inlineStr">
        <is>
          <t>EW</t>
        </is>
      </c>
      <c r="G112">
        <f>IF(ISBLANK('By Round'!G23),"",'By Round'!G23)</f>
        <v/>
      </c>
      <c r="H112">
        <f>IF(ISBLANK('By Round'!H23),"",'By Round'!H23)</f>
        <v/>
      </c>
      <c r="I112">
        <f>IF(ISBLANK('By Round'!I23),"",'By Round'!I23)</f>
        <v/>
      </c>
      <c r="J112">
        <f>IF(ISBLANK('By Round'!J23),"",'By Round'!J23)</f>
        <v/>
      </c>
      <c r="K112">
        <f>IF(ISBLANK('By Round'!K23),"",'By Round'!K23)</f>
        <v/>
      </c>
      <c r="L112" s="12">
        <f>SUM(AD112:AH112)</f>
        <v/>
      </c>
      <c r="M112" s="13">
        <f>SUM(AI112:AM112)</f>
        <v/>
      </c>
      <c r="N112" s="8">
        <f>IF(COUNT(T112:X112)&gt;0,P112/COUNT(T112:X112),0.5)</f>
        <v/>
      </c>
      <c r="O112" s="8">
        <f>IF(COUNT(Y112:AC112)&gt;0,Q112/COUNT(Y112:AC112),0.5)</f>
        <v/>
      </c>
      <c r="P112" s="5">
        <f>SUM(T112:X112)</f>
        <v/>
      </c>
      <c r="Q112" s="5">
        <f>SUM(Y112:AC112)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IF(ISNUMBER(R112),IF(ISNUMBER(R111),IF(R112&gt;R111,1.0,IF(R112=R111,0.5,0.0)),""),"")</f>
        <v/>
      </c>
      <c r="U112">
        <f>IF(ISNUMBER(R112),IF(ISNUMBER(R113),IF(R112&gt;R113,1.0,IF(R112=R113,0.5,0.0)),""),"")</f>
        <v/>
      </c>
      <c r="V112">
        <f>IF(ISNUMBER(R112),IF(ISNUMBER(R114),IF(R112&gt;R114,1.0,IF(R112=R114,0.5,0.0)),""),"")</f>
        <v/>
      </c>
      <c r="W112">
        <f>IF(ISNUMBER(R112),IF(ISNUMBER(R115),IF(R112&gt;R115,1.0,IF(R112=R115,0.5,0.0)),""),"")</f>
        <v/>
      </c>
      <c r="X112">
        <f>IF(ISNUMBER(R112),IF(ISNUMBER(R116),IF(R112&gt;R116,1.0,IF(R112=R116,0.5,0.0)),""),"")</f>
        <v/>
      </c>
      <c r="Y112">
        <f>IF(ISNUMBER(S112),IF(ISNUMBER(S111),IF(S112&gt;S111,1.0,IF(S112=S111,0.5,0.0)),""),"")</f>
        <v/>
      </c>
      <c r="Z112">
        <f>IF(ISNUMBER(S112),IF(ISNUMBER(S113),IF(S112&gt;S113,1.0,IF(S112=S113,0.5,0.0)),""),"")</f>
        <v/>
      </c>
      <c r="AA112">
        <f>IF(ISNUMBER(S112),IF(ISNUMBER(S114),IF(S112&gt;S114,1.0,IF(S112=S114,0.5,0.0)),""),"")</f>
        <v/>
      </c>
      <c r="AB112">
        <f>IF(ISNUMBER(S112),IF(ISNUMBER(S115),IF(S112&gt;S115,1.0,IF(S112=S115,0.5,0.0)),""),"")</f>
        <v/>
      </c>
      <c r="AC112">
        <f>IF(ISNUMBER(S112),IF(ISNUMBER(S116),IF(S112&gt;S116,1.0,IF(S112=S116,0.5,0.0)),""),"")</f>
        <v/>
      </c>
      <c r="AD112" s="14">
        <f>IF(AND(ISNUMBER(R112),ISNUMBER(R111)),VLOOKUP(ABS(R112-R111),'IMP Table'!$A$2:$C$26,3)*SIGN(R112-R111),0)</f>
        <v/>
      </c>
      <c r="AE112">
        <f>IF(AND(ISNUMBER(R112),ISNUMBER(R113)),VLOOKUP(ABS(R112-R113),'IMP Table'!$A$2:$C$26,3)*SIGN(R112-R113),0)</f>
        <v/>
      </c>
      <c r="AF112">
        <f>IF(AND(ISNUMBER(R112),ISNUMBER(R114)),VLOOKUP(ABS(R112-R114),'IMP Table'!$A$2:$C$26,3)*SIGN(R112-R114),0)</f>
        <v/>
      </c>
      <c r="AG112">
        <f>IF(AND(ISNUMBER(R112),ISNUMBER(R115)),VLOOKUP(ABS(R112-R115),'IMP Table'!$A$2:$C$26,3)*SIGN(R112-R115),0)</f>
        <v/>
      </c>
      <c r="AH112">
        <f>IF(AND(ISNUMBER(R112),ISNUMBER(R116)),VLOOKUP(ABS(R112-R116),'IMP Table'!$A$2:$C$26,3)*SIGN(R112-R116),0)</f>
        <v/>
      </c>
      <c r="AI112">
        <f>IF(AND(ISNUMBER(S112),ISNUMBER(S111)),VLOOKUP(ABS(S112-S111),'IMP Table'!$A$2:$C$26,3)*SIGN(S112-S111),0)</f>
        <v/>
      </c>
      <c r="AJ112">
        <f>IF(AND(ISNUMBER(S112),ISNUMBER(S113)),VLOOKUP(ABS(S112-S113),'IMP Table'!$A$2:$C$26,3)*SIGN(S112-S113),0)</f>
        <v/>
      </c>
      <c r="AK112">
        <f>IF(AND(ISNUMBER(S112),ISNUMBER(S114)),VLOOKUP(ABS(S112-S114),'IMP Table'!$A$2:$C$26,3)*SIGN(S112-S114),0)</f>
        <v/>
      </c>
      <c r="AL112">
        <f>IF(AND(ISNUMBER(S112),ISNUMBER(S115)),VLOOKUP(ABS(S112-S115),'IMP Table'!$A$2:$C$26,3)*SIGN(S112-S115),0)</f>
        <v/>
      </c>
      <c r="AM112">
        <f>IF(AND(ISNUMBER(S112),ISNUMBER(S116)),VLOOKUP(ABS(S112-S116),'IMP Table'!$A$2:$C$26,3)*SIGN(S112-S116),0)</f>
        <v/>
      </c>
    </row>
    <row r="113">
      <c r="B113">
        <f>'By Round'!A27</f>
        <v/>
      </c>
      <c r="C113">
        <f>'By Round'!B33</f>
        <v/>
      </c>
      <c r="D113">
        <f>'By Round'!C33</f>
        <v/>
      </c>
      <c r="E113">
        <f>'By Round'!D33</f>
        <v/>
      </c>
      <c r="F113" s="11" t="inlineStr">
        <is>
          <t>EW</t>
        </is>
      </c>
      <c r="G113">
        <f>IF(ISBLANK('By Round'!G33),"",'By Round'!G33)</f>
        <v/>
      </c>
      <c r="H113">
        <f>IF(ISBLANK('By Round'!H33),"",'By Round'!H33)</f>
        <v/>
      </c>
      <c r="I113">
        <f>IF(ISBLANK('By Round'!I33),"",'By Round'!I33)</f>
        <v/>
      </c>
      <c r="J113">
        <f>IF(ISBLANK('By Round'!J33),"",'By Round'!J33)</f>
        <v/>
      </c>
      <c r="K113">
        <f>IF(ISBLANK('By Round'!K33),"",'By Round'!K33)</f>
        <v/>
      </c>
      <c r="L113" s="12">
        <f>SUM(AD113:AH113)</f>
        <v/>
      </c>
      <c r="M113" s="13">
        <f>SUM(AI113:AM113)</f>
        <v/>
      </c>
      <c r="N113" s="8">
        <f>IF(COUNT(T113:X113)&gt;0,P113/COUNT(T113:X113),0.5)</f>
        <v/>
      </c>
      <c r="O113" s="8">
        <f>IF(COUNT(Y113:AC113)&gt;0,Q113/COUNT(Y113:AC113),0.5)</f>
        <v/>
      </c>
      <c r="P113" s="5">
        <f>SUM(T113:X113)</f>
        <v/>
      </c>
      <c r="Q113" s="5">
        <f>SUM(Y113:AC113)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IF(ISNUMBER(R113),IF(ISNUMBER(R111),IF(R113&gt;R111,1.0,IF(R113=R111,0.5,0.0)),""),"")</f>
        <v/>
      </c>
      <c r="U113">
        <f>IF(ISNUMBER(R113),IF(ISNUMBER(R112),IF(R113&gt;R112,1.0,IF(R113=R112,0.5,0.0)),""),"")</f>
        <v/>
      </c>
      <c r="V113">
        <f>IF(ISNUMBER(R113),IF(ISNUMBER(R114),IF(R113&gt;R114,1.0,IF(R113=R114,0.5,0.0)),""),"")</f>
        <v/>
      </c>
      <c r="W113">
        <f>IF(ISNUMBER(R113),IF(ISNUMBER(R115),IF(R113&gt;R115,1.0,IF(R113=R115,0.5,0.0)),""),"")</f>
        <v/>
      </c>
      <c r="X113">
        <f>IF(ISNUMBER(R113),IF(ISNUMBER(R116),IF(R113&gt;R116,1.0,IF(R113=R116,0.5,0.0)),""),"")</f>
        <v/>
      </c>
      <c r="Y113">
        <f>IF(ISNUMBER(S113),IF(ISNUMBER(S111),IF(S113&gt;S111,1.0,IF(S113=S111,0.5,0.0)),""),"")</f>
        <v/>
      </c>
      <c r="Z113">
        <f>IF(ISNUMBER(S113),IF(ISNUMBER(S112),IF(S113&gt;S112,1.0,IF(S113=S112,0.5,0.0)),""),"")</f>
        <v/>
      </c>
      <c r="AA113">
        <f>IF(ISNUMBER(S113),IF(ISNUMBER(S114),IF(S113&gt;S114,1.0,IF(S113=S114,0.5,0.0)),""),"")</f>
        <v/>
      </c>
      <c r="AB113">
        <f>IF(ISNUMBER(S113),IF(ISNUMBER(S115),IF(S113&gt;S115,1.0,IF(S113=S115,0.5,0.0)),""),"")</f>
        <v/>
      </c>
      <c r="AC113">
        <f>IF(ISNUMBER(S113),IF(ISNUMBER(S116),IF(S113&gt;S116,1.0,IF(S113=S116,0.5,0.0)),""),"")</f>
        <v/>
      </c>
      <c r="AD113" s="14">
        <f>IF(AND(ISNUMBER(R113),ISNUMBER(R111)),VLOOKUP(ABS(R113-R111),'IMP Table'!$A$2:$C$26,3)*SIGN(R113-R111),0)</f>
        <v/>
      </c>
      <c r="AE113">
        <f>IF(AND(ISNUMBER(R113),ISNUMBER(R112)),VLOOKUP(ABS(R113-R112),'IMP Table'!$A$2:$C$26,3)*SIGN(R113-R112),0)</f>
        <v/>
      </c>
      <c r="AF113">
        <f>IF(AND(ISNUMBER(R113),ISNUMBER(R114)),VLOOKUP(ABS(R113-R114),'IMP Table'!$A$2:$C$26,3)*SIGN(R113-R114),0)</f>
        <v/>
      </c>
      <c r="AG113">
        <f>IF(AND(ISNUMBER(R113),ISNUMBER(R115)),VLOOKUP(ABS(R113-R115),'IMP Table'!$A$2:$C$26,3)*SIGN(R113-R115),0)</f>
        <v/>
      </c>
      <c r="AH113">
        <f>IF(AND(ISNUMBER(R113),ISNUMBER(R116)),VLOOKUP(ABS(R113-R116),'IMP Table'!$A$2:$C$26,3)*SIGN(R113-R116),0)</f>
        <v/>
      </c>
      <c r="AI113">
        <f>IF(AND(ISNUMBER(S113),ISNUMBER(S111)),VLOOKUP(ABS(S113-S111),'IMP Table'!$A$2:$C$26,3)*SIGN(S113-S111),0)</f>
        <v/>
      </c>
      <c r="AJ113">
        <f>IF(AND(ISNUMBER(S113),ISNUMBER(S112)),VLOOKUP(ABS(S113-S112),'IMP Table'!$A$2:$C$26,3)*SIGN(S113-S112),0)</f>
        <v/>
      </c>
      <c r="AK113">
        <f>IF(AND(ISNUMBER(S113),ISNUMBER(S114)),VLOOKUP(ABS(S113-S114),'IMP Table'!$A$2:$C$26,3)*SIGN(S113-S114),0)</f>
        <v/>
      </c>
      <c r="AL113">
        <f>IF(AND(ISNUMBER(S113),ISNUMBER(S115)),VLOOKUP(ABS(S113-S115),'IMP Table'!$A$2:$C$26,3)*SIGN(S113-S115),0)</f>
        <v/>
      </c>
      <c r="AM113">
        <f>IF(AND(ISNUMBER(S113),ISNUMBER(S116)),VLOOKUP(ABS(S113-S116),'IMP Table'!$A$2:$C$26,3)*SIGN(S113-S116),0)</f>
        <v/>
      </c>
    </row>
    <row r="114">
      <c r="B114">
        <f>'By Round'!A51</f>
        <v/>
      </c>
      <c r="C114">
        <f>'By Round'!B55</f>
        <v/>
      </c>
      <c r="D114">
        <f>'By Round'!C55</f>
        <v/>
      </c>
      <c r="E114">
        <f>'By Round'!D55</f>
        <v/>
      </c>
      <c r="F114" s="11" t="inlineStr">
        <is>
          <t>EW</t>
        </is>
      </c>
      <c r="G114">
        <f>IF(ISBLANK('By Round'!G55),"",'By Round'!G55)</f>
        <v/>
      </c>
      <c r="H114">
        <f>IF(ISBLANK('By Round'!H55),"",'By Round'!H55)</f>
        <v/>
      </c>
      <c r="I114">
        <f>IF(ISBLANK('By Round'!I55),"",'By Round'!I55)</f>
        <v/>
      </c>
      <c r="J114">
        <f>IF(ISBLANK('By Round'!J55),"",'By Round'!J55)</f>
        <v/>
      </c>
      <c r="K114">
        <f>IF(ISBLANK('By Round'!K55),"",'By Round'!K55)</f>
        <v/>
      </c>
      <c r="L114" s="12">
        <f>SUM(AD114:AH114)</f>
        <v/>
      </c>
      <c r="M114" s="13">
        <f>SUM(AI114:AM114)</f>
        <v/>
      </c>
      <c r="N114" s="8">
        <f>IF(COUNT(T114:X114)&gt;0,P114/COUNT(T114:X114),0.5)</f>
        <v/>
      </c>
      <c r="O114" s="8">
        <f>IF(COUNT(Y114:AC114)&gt;0,Q114/COUNT(Y114:AC114),0.5)</f>
        <v/>
      </c>
      <c r="P114" s="5">
        <f>SUM(T114:X114)</f>
        <v/>
      </c>
      <c r="Q114" s="5">
        <f>SUM(Y114:AC114)</f>
        <v/>
      </c>
      <c r="R114" s="14">
        <f>IF(ISNUMBER(J114),J114,IF(ISNUMBER(K114),-K114,""))</f>
        <v/>
      </c>
      <c r="S114">
        <f>IF(ISNUMBER(K114),K114,IF(ISNUMBER(J114),-J114,""))</f>
        <v/>
      </c>
      <c r="T114" s="14">
        <f>IF(ISNUMBER(R114),IF(ISNUMBER(R111),IF(R114&gt;R111,1.0,IF(R114=R111,0.5,0.0)),""),"")</f>
        <v/>
      </c>
      <c r="U114">
        <f>IF(ISNUMBER(R114),IF(ISNUMBER(R112),IF(R114&gt;R112,1.0,IF(R114=R112,0.5,0.0)),""),"")</f>
        <v/>
      </c>
      <c r="V114">
        <f>IF(ISNUMBER(R114),IF(ISNUMBER(R113),IF(R114&gt;R113,1.0,IF(R114=R113,0.5,0.0)),""),"")</f>
        <v/>
      </c>
      <c r="W114">
        <f>IF(ISNUMBER(R114),IF(ISNUMBER(R115),IF(R114&gt;R115,1.0,IF(R114=R115,0.5,0.0)),""),"")</f>
        <v/>
      </c>
      <c r="X114">
        <f>IF(ISNUMBER(R114),IF(ISNUMBER(R116),IF(R114&gt;R116,1.0,IF(R114=R116,0.5,0.0)),""),"")</f>
        <v/>
      </c>
      <c r="Y114">
        <f>IF(ISNUMBER(S114),IF(ISNUMBER(S111),IF(S114&gt;S111,1.0,IF(S114=S111,0.5,0.0)),""),"")</f>
        <v/>
      </c>
      <c r="Z114">
        <f>IF(ISNUMBER(S114),IF(ISNUMBER(S112),IF(S114&gt;S112,1.0,IF(S114=S112,0.5,0.0)),""),"")</f>
        <v/>
      </c>
      <c r="AA114">
        <f>IF(ISNUMBER(S114),IF(ISNUMBER(S113),IF(S114&gt;S113,1.0,IF(S114=S113,0.5,0.0)),""),"")</f>
        <v/>
      </c>
      <c r="AB114">
        <f>IF(ISNUMBER(S114),IF(ISNUMBER(S115),IF(S114&gt;S115,1.0,IF(S114=S115,0.5,0.0)),""),"")</f>
        <v/>
      </c>
      <c r="AC114">
        <f>IF(ISNUMBER(S114),IF(ISNUMBER(S116),IF(S114&gt;S116,1.0,IF(S114=S116,0.5,0.0)),""),"")</f>
        <v/>
      </c>
      <c r="AD114" s="14">
        <f>IF(AND(ISNUMBER(R114),ISNUMBER(R111)),VLOOKUP(ABS(R114-R111),'IMP Table'!$A$2:$C$26,3)*SIGN(R114-R111),0)</f>
        <v/>
      </c>
      <c r="AE114">
        <f>IF(AND(ISNUMBER(R114),ISNUMBER(R112)),VLOOKUP(ABS(R114-R112),'IMP Table'!$A$2:$C$26,3)*SIGN(R114-R112),0)</f>
        <v/>
      </c>
      <c r="AF114">
        <f>IF(AND(ISNUMBER(R114),ISNUMBER(R113)),VLOOKUP(ABS(R114-R113),'IMP Table'!$A$2:$C$26,3)*SIGN(R114-R113),0)</f>
        <v/>
      </c>
      <c r="AG114">
        <f>IF(AND(ISNUMBER(R114),ISNUMBER(R115)),VLOOKUP(ABS(R114-R115),'IMP Table'!$A$2:$C$26,3)*SIGN(R114-R115),0)</f>
        <v/>
      </c>
      <c r="AH114">
        <f>IF(AND(ISNUMBER(R114),ISNUMBER(R116)),VLOOKUP(ABS(R114-R116),'IMP Table'!$A$2:$C$26,3)*SIGN(R114-R116),0)</f>
        <v/>
      </c>
      <c r="AI114">
        <f>IF(AND(ISNUMBER(S114),ISNUMBER(S111)),VLOOKUP(ABS(S114-S111),'IMP Table'!$A$2:$C$26,3)*SIGN(S114-S111),0)</f>
        <v/>
      </c>
      <c r="AJ114">
        <f>IF(AND(ISNUMBER(S114),ISNUMBER(S112)),VLOOKUP(ABS(S114-S112),'IMP Table'!$A$2:$C$26,3)*SIGN(S114-S112),0)</f>
        <v/>
      </c>
      <c r="AK114">
        <f>IF(AND(ISNUMBER(S114),ISNUMBER(S113)),VLOOKUP(ABS(S114-S113),'IMP Table'!$A$2:$C$26,3)*SIGN(S114-S113),0)</f>
        <v/>
      </c>
      <c r="AL114">
        <f>IF(AND(ISNUMBER(S114),ISNUMBER(S115)),VLOOKUP(ABS(S114-S115),'IMP Table'!$A$2:$C$26,3)*SIGN(S114-S115),0)</f>
        <v/>
      </c>
      <c r="AM114">
        <f>IF(AND(ISNUMBER(S114),ISNUMBER(S116)),VLOOKUP(ABS(S114-S116),'IMP Table'!$A$2:$C$26,3)*SIGN(S114-S116),0)</f>
        <v/>
      </c>
    </row>
    <row r="115">
      <c r="B115">
        <f>'By Round'!A63</f>
        <v/>
      </c>
      <c r="C115">
        <f>'By Round'!B65</f>
        <v/>
      </c>
      <c r="D115">
        <f>'By Round'!C65</f>
        <v/>
      </c>
      <c r="E115">
        <f>'By Round'!D65</f>
        <v/>
      </c>
      <c r="F115" s="11" t="inlineStr">
        <is>
          <t>EW</t>
        </is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2">
        <f>SUM(AD115:AH115)</f>
        <v/>
      </c>
      <c r="M115" s="13">
        <f>SUM(AI115:AM115)</f>
        <v/>
      </c>
      <c r="N115" s="8">
        <f>IF(COUNT(T115:X115)&gt;0,P115/COUNT(T115:X115),0.5)</f>
        <v/>
      </c>
      <c r="O115" s="8">
        <f>IF(COUNT(Y115:AC115)&gt;0,Q115/COUNT(Y115:AC115),0.5)</f>
        <v/>
      </c>
      <c r="P115" s="5">
        <f>SUM(T115:X115)</f>
        <v/>
      </c>
      <c r="Q115" s="5">
        <f>SUM(Y115:AC115)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IF(ISNUMBER(R115),IF(ISNUMBER(R111),IF(R115&gt;R111,1.0,IF(R115=R111,0.5,0.0)),""),"")</f>
        <v/>
      </c>
      <c r="U115">
        <f>IF(ISNUMBER(R115),IF(ISNUMBER(R112),IF(R115&gt;R112,1.0,IF(R115=R112,0.5,0.0)),""),"")</f>
        <v/>
      </c>
      <c r="V115">
        <f>IF(ISNUMBER(R115),IF(ISNUMBER(R113),IF(R115&gt;R113,1.0,IF(R115=R113,0.5,0.0)),""),"")</f>
        <v/>
      </c>
      <c r="W115">
        <f>IF(ISNUMBER(R115),IF(ISNUMBER(R114),IF(R115&gt;R114,1.0,IF(R115=R114,0.5,0.0)),""),"")</f>
        <v/>
      </c>
      <c r="X115">
        <f>IF(ISNUMBER(R115),IF(ISNUMBER(R116),IF(R115&gt;R116,1.0,IF(R115=R116,0.5,0.0)),""),"")</f>
        <v/>
      </c>
      <c r="Y115">
        <f>IF(ISNUMBER(S115),IF(ISNUMBER(S111),IF(S115&gt;S111,1.0,IF(S115=S111,0.5,0.0)),""),"")</f>
        <v/>
      </c>
      <c r="Z115">
        <f>IF(ISNUMBER(S115),IF(ISNUMBER(S112),IF(S115&gt;S112,1.0,IF(S115=S112,0.5,0.0)),""),"")</f>
        <v/>
      </c>
      <c r="AA115">
        <f>IF(ISNUMBER(S115),IF(ISNUMBER(S113),IF(S115&gt;S113,1.0,IF(S115=S113,0.5,0.0)),""),"")</f>
        <v/>
      </c>
      <c r="AB115">
        <f>IF(ISNUMBER(S115),IF(ISNUMBER(S114),IF(S115&gt;S114,1.0,IF(S115=S114,0.5,0.0)),""),"")</f>
        <v/>
      </c>
      <c r="AC115">
        <f>IF(ISNUMBER(S115),IF(ISNUMBER(S116),IF(S115&gt;S116,1.0,IF(S115=S116,0.5,0.0)),""),"")</f>
        <v/>
      </c>
      <c r="AD115" s="14">
        <f>IF(AND(ISNUMBER(R115),ISNUMBER(R111)),VLOOKUP(ABS(R115-R111),'IMP Table'!$A$2:$C$26,3)*SIGN(R115-R111),0)</f>
        <v/>
      </c>
      <c r="AE115">
        <f>IF(AND(ISNUMBER(R115),ISNUMBER(R112)),VLOOKUP(ABS(R115-R112),'IMP Table'!$A$2:$C$26,3)*SIGN(R115-R112),0)</f>
        <v/>
      </c>
      <c r="AF115">
        <f>IF(AND(ISNUMBER(R115),ISNUMBER(R113)),VLOOKUP(ABS(R115-R113),'IMP Table'!$A$2:$C$26,3)*SIGN(R115-R113),0)</f>
        <v/>
      </c>
      <c r="AG115">
        <f>IF(AND(ISNUMBER(R115),ISNUMBER(R114)),VLOOKUP(ABS(R115-R114),'IMP Table'!$A$2:$C$26,3)*SIGN(R115-R114),0)</f>
        <v/>
      </c>
      <c r="AH115">
        <f>IF(AND(ISNUMBER(R115),ISNUMBER(R116)),VLOOKUP(ABS(R115-R116),'IMP Table'!$A$2:$C$26,3)*SIGN(R115-R116),0)</f>
        <v/>
      </c>
      <c r="AI115">
        <f>IF(AND(ISNUMBER(S115),ISNUMBER(S111)),VLOOKUP(ABS(S115-S111),'IMP Table'!$A$2:$C$26,3)*SIGN(S115-S111),0)</f>
        <v/>
      </c>
      <c r="AJ115">
        <f>IF(AND(ISNUMBER(S115),ISNUMBER(S112)),VLOOKUP(ABS(S115-S112),'IMP Table'!$A$2:$C$26,3)*SIGN(S115-S112),0)</f>
        <v/>
      </c>
      <c r="AK115">
        <f>IF(AND(ISNUMBER(S115),ISNUMBER(S113)),VLOOKUP(ABS(S115-S113),'IMP Table'!$A$2:$C$26,3)*SIGN(S115-S113),0)</f>
        <v/>
      </c>
      <c r="AL115">
        <f>IF(AND(ISNUMBER(S115),ISNUMBER(S114)),VLOOKUP(ABS(S115-S114),'IMP Table'!$A$2:$C$26,3)*SIGN(S115-S114),0)</f>
        <v/>
      </c>
      <c r="AM115">
        <f>IF(AND(ISNUMBER(S115),ISNUMBER(S116)),VLOOKUP(ABS(S115-S116),'IMP Table'!$A$2:$C$26,3)*SIGN(S115-S116),0)</f>
        <v/>
      </c>
    </row>
    <row r="116">
      <c r="A116" s="15" t="n"/>
      <c r="B116" s="15">
        <f>'By Round'!A111</f>
        <v/>
      </c>
      <c r="C116" s="15">
        <f>'By Round'!B111</f>
        <v/>
      </c>
      <c r="D116" s="15">
        <f>'By Round'!C111</f>
        <v/>
      </c>
      <c r="E116" s="15">
        <f>'By Round'!D111</f>
        <v/>
      </c>
      <c r="F116" s="16" t="inlineStr">
        <is>
          <t>EW</t>
        </is>
      </c>
      <c r="G116" s="15">
        <f>IF(ISBLANK('By Round'!G111),"",'By Round'!G111)</f>
        <v/>
      </c>
      <c r="H116" s="15">
        <f>IF(ISBLANK('By Round'!H111),"",'By Round'!H111)</f>
        <v/>
      </c>
      <c r="I116" s="15">
        <f>IF(ISBLANK('By Round'!I111),"",'By Round'!I111)</f>
        <v/>
      </c>
      <c r="J116" s="15">
        <f>IF(ISBLANK('By Round'!J111),"",'By Round'!J111)</f>
        <v/>
      </c>
      <c r="K116" s="15">
        <f>IF(ISBLANK('By Round'!K111),"",'By Round'!K111)</f>
        <v/>
      </c>
      <c r="L116" s="17">
        <f>SUM(AD116:AH116)</f>
        <v/>
      </c>
      <c r="M116" s="18">
        <f>SUM(AI116:AM116)</f>
        <v/>
      </c>
      <c r="N116" s="19">
        <f>IF(COUNT(T116:X116)&gt;0,P116/COUNT(T116:X116),0.5)</f>
        <v/>
      </c>
      <c r="O116" s="19">
        <f>IF(COUNT(Y116:AC116)&gt;0,Q116/COUNT(Y116:AC116),0.5)</f>
        <v/>
      </c>
      <c r="P116" s="20">
        <f>SUM(T116:X116)</f>
        <v/>
      </c>
      <c r="Q116" s="20">
        <f>SUM(Y116:AC116)</f>
        <v/>
      </c>
      <c r="R116" s="21">
        <f>IF(ISNUMBER(J116),J116,IF(ISNUMBER(K116),-K116,""))</f>
        <v/>
      </c>
      <c r="S116" s="15">
        <f>IF(ISNUMBER(K116),K116,IF(ISNUMBER(J116),-J116,""))</f>
        <v/>
      </c>
      <c r="T116" s="21">
        <f>IF(ISNUMBER(R116),IF(ISNUMBER(R111),IF(R116&gt;R111,1.0,IF(R116=R111,0.5,0.0)),""),"")</f>
        <v/>
      </c>
      <c r="U116" s="15">
        <f>IF(ISNUMBER(R116),IF(ISNUMBER(R112),IF(R116&gt;R112,1.0,IF(R116=R112,0.5,0.0)),""),"")</f>
        <v/>
      </c>
      <c r="V116" s="15">
        <f>IF(ISNUMBER(R116),IF(ISNUMBER(R113),IF(R116&gt;R113,1.0,IF(R116=R113,0.5,0.0)),""),"")</f>
        <v/>
      </c>
      <c r="W116" s="15">
        <f>IF(ISNUMBER(R116),IF(ISNUMBER(R114),IF(R116&gt;R114,1.0,IF(R116=R114,0.5,0.0)),""),"")</f>
        <v/>
      </c>
      <c r="X116" s="15">
        <f>IF(ISNUMBER(R116),IF(ISNUMBER(R115),IF(R116&gt;R115,1.0,IF(R116=R115,0.5,0.0)),""),"")</f>
        <v/>
      </c>
      <c r="Y116" s="15">
        <f>IF(ISNUMBER(S116),IF(ISNUMBER(S111),IF(S116&gt;S111,1.0,IF(S116=S111,0.5,0.0)),""),"")</f>
        <v/>
      </c>
      <c r="Z116" s="15">
        <f>IF(ISNUMBER(S116),IF(ISNUMBER(S112),IF(S116&gt;S112,1.0,IF(S116=S112,0.5,0.0)),""),"")</f>
        <v/>
      </c>
      <c r="AA116" s="15">
        <f>IF(ISNUMBER(S116),IF(ISNUMBER(S113),IF(S116&gt;S113,1.0,IF(S116=S113,0.5,0.0)),""),"")</f>
        <v/>
      </c>
      <c r="AB116" s="15">
        <f>IF(ISNUMBER(S116),IF(ISNUMBER(S114),IF(S116&gt;S114,1.0,IF(S116=S114,0.5,0.0)),""),"")</f>
        <v/>
      </c>
      <c r="AC116" s="15">
        <f>IF(ISNUMBER(S116),IF(ISNUMBER(S115),IF(S116&gt;S115,1.0,IF(S116=S115,0.5,0.0)),""),"")</f>
        <v/>
      </c>
      <c r="AD116" s="21">
        <f>IF(AND(ISNUMBER(R116),ISNUMBER(R111)),VLOOKUP(ABS(R116-R111),'IMP Table'!$A$2:$C$26,3)*SIGN(R116-R111),0)</f>
        <v/>
      </c>
      <c r="AE116" s="15">
        <f>IF(AND(ISNUMBER(R116),ISNUMBER(R112)),VLOOKUP(ABS(R116-R112),'IMP Table'!$A$2:$C$26,3)*SIGN(R116-R112),0)</f>
        <v/>
      </c>
      <c r="AF116" s="15">
        <f>IF(AND(ISNUMBER(R116),ISNUMBER(R113)),VLOOKUP(ABS(R116-R113),'IMP Table'!$A$2:$C$26,3)*SIGN(R116-R113),0)</f>
        <v/>
      </c>
      <c r="AG116" s="15">
        <f>IF(AND(ISNUMBER(R116),ISNUMBER(R114)),VLOOKUP(ABS(R116-R114),'IMP Table'!$A$2:$C$26,3)*SIGN(R116-R114),0)</f>
        <v/>
      </c>
      <c r="AH116" s="15">
        <f>IF(AND(ISNUMBER(R116),ISNUMBER(R115)),VLOOKUP(ABS(R116-R115),'IMP Table'!$A$2:$C$26,3)*SIGN(R116-R115),0)</f>
        <v/>
      </c>
      <c r="AI116" s="15">
        <f>IF(AND(ISNUMBER(S116),ISNUMBER(S111)),VLOOKUP(ABS(S116-S111),'IMP Table'!$A$2:$C$26,3)*SIGN(S116-S111),0)</f>
        <v/>
      </c>
      <c r="AJ116" s="15">
        <f>IF(AND(ISNUMBER(S116),ISNUMBER(S112)),VLOOKUP(ABS(S116-S112),'IMP Table'!$A$2:$C$26,3)*SIGN(S116-S112),0)</f>
        <v/>
      </c>
      <c r="AK116" s="15">
        <f>IF(AND(ISNUMBER(S116),ISNUMBER(S113)),VLOOKUP(ABS(S116-S113),'IMP Table'!$A$2:$C$26,3)*SIGN(S116-S113),0)</f>
        <v/>
      </c>
      <c r="AL116" s="15">
        <f>IF(AND(ISNUMBER(S116),ISNUMBER(S114)),VLOOKUP(ABS(S116-S114),'IMP Table'!$A$2:$C$26,3)*SIGN(S116-S114),0)</f>
        <v/>
      </c>
      <c r="AM116" s="15">
        <f>IF(AND(ISNUMBER(S116),ISNUMBER(S115)),VLOOKUP(ABS(S116-S115),'IMP Table'!$A$2:$C$26,3)*SIGN(S116-S115),0)</f>
        <v/>
      </c>
    </row>
    <row r="117">
      <c r="A117" t="n">
        <v>20</v>
      </c>
      <c r="B117">
        <f>'By Round'!A3</f>
        <v/>
      </c>
      <c r="C117">
        <f>'By Round'!B13</f>
        <v/>
      </c>
      <c r="D117">
        <f>'By Round'!C13</f>
        <v/>
      </c>
      <c r="E117">
        <f>'By Round'!D13</f>
        <v/>
      </c>
      <c r="F117" s="11" t="inlineStr">
        <is>
          <t>Both</t>
        </is>
      </c>
      <c r="G117">
        <f>IF(ISBLANK('By Round'!G13),"",'By Round'!G13)</f>
        <v/>
      </c>
      <c r="H117">
        <f>IF(ISBLANK('By Round'!H13),"",'By Round'!H13)</f>
        <v/>
      </c>
      <c r="I117">
        <f>IF(ISBLANK('By Round'!I13),"",'By Round'!I13)</f>
        <v/>
      </c>
      <c r="J117">
        <f>IF(ISBLANK('By Round'!J13),"",'By Round'!J13)</f>
        <v/>
      </c>
      <c r="K117">
        <f>IF(ISBLANK('By Round'!K13),"",'By Round'!K13)</f>
        <v/>
      </c>
      <c r="L117" s="12">
        <f>SUM(AD117:AH117)</f>
        <v/>
      </c>
      <c r="M117" s="13">
        <f>SUM(AI117:AM117)</f>
        <v/>
      </c>
      <c r="N117" s="8">
        <f>IF(COUNT(T117:X117)&gt;0,P117/COUNT(T117:X117),0.5)</f>
        <v/>
      </c>
      <c r="O117" s="8">
        <f>IF(COUNT(Y117:AC117)&gt;0,Q117/COUNT(Y117:AC117),0.5)</f>
        <v/>
      </c>
      <c r="P117" s="5">
        <f>SUM(T117:X117)</f>
        <v/>
      </c>
      <c r="Q117" s="5">
        <f>SUM(Y117:AC117)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IF(ISNUMBER(R117),IF(ISNUMBER(R118),IF(R117&gt;R118,1.0,IF(R117=R118,0.5,0.0)),""),"")</f>
        <v/>
      </c>
      <c r="U117">
        <f>IF(ISNUMBER(R117),IF(ISNUMBER(R119),IF(R117&gt;R119,1.0,IF(R117=R119,0.5,0.0)),""),"")</f>
        <v/>
      </c>
      <c r="V117">
        <f>IF(ISNUMBER(R117),IF(ISNUMBER(R120),IF(R117&gt;R120,1.0,IF(R117=R120,0.5,0.0)),""),"")</f>
        <v/>
      </c>
      <c r="W117">
        <f>IF(ISNUMBER(R117),IF(ISNUMBER(R121),IF(R117&gt;R121,1.0,IF(R117=R121,0.5,0.0)),""),"")</f>
        <v/>
      </c>
      <c r="X117">
        <f>IF(ISNUMBER(R117),IF(ISNUMBER(R122),IF(R117&gt;R122,1.0,IF(R117=R122,0.5,0.0)),""),"")</f>
        <v/>
      </c>
      <c r="Y117">
        <f>IF(ISNUMBER(S117),IF(ISNUMBER(S118),IF(S117&gt;S118,1.0,IF(S117=S118,0.5,0.0)),""),"")</f>
        <v/>
      </c>
      <c r="Z117">
        <f>IF(ISNUMBER(S117),IF(ISNUMBER(S119),IF(S117&gt;S119,1.0,IF(S117=S119,0.5,0.0)),""),"")</f>
        <v/>
      </c>
      <c r="AA117">
        <f>IF(ISNUMBER(S117),IF(ISNUMBER(S120),IF(S117&gt;S120,1.0,IF(S117=S120,0.5,0.0)),""),"")</f>
        <v/>
      </c>
      <c r="AB117">
        <f>IF(ISNUMBER(S117),IF(ISNUMBER(S121),IF(S117&gt;S121,1.0,IF(S117=S121,0.5,0.0)),""),"")</f>
        <v/>
      </c>
      <c r="AC117">
        <f>IF(ISNUMBER(S117),IF(ISNUMBER(S122),IF(S117&gt;S122,1.0,IF(S117=S122,0.5,0.0)),""),"")</f>
        <v/>
      </c>
      <c r="AD117" s="14">
        <f>IF(AND(ISNUMBER(R117),ISNUMBER(R118)),VLOOKUP(ABS(R117-R118),'IMP Table'!$A$2:$C$26,3)*SIGN(R117-R118),0)</f>
        <v/>
      </c>
      <c r="AE117">
        <f>IF(AND(ISNUMBER(R117),ISNUMBER(R119)),VLOOKUP(ABS(R117-R119),'IMP Table'!$A$2:$C$26,3)*SIGN(R117-R119),0)</f>
        <v/>
      </c>
      <c r="AF117">
        <f>IF(AND(ISNUMBER(R117),ISNUMBER(R120)),VLOOKUP(ABS(R117-R120),'IMP Table'!$A$2:$C$26,3)*SIGN(R117-R120),0)</f>
        <v/>
      </c>
      <c r="AG117">
        <f>IF(AND(ISNUMBER(R117),ISNUMBER(R121)),VLOOKUP(ABS(R117-R121),'IMP Table'!$A$2:$C$26,3)*SIGN(R117-R121),0)</f>
        <v/>
      </c>
      <c r="AH117">
        <f>IF(AND(ISNUMBER(R117),ISNUMBER(R122)),VLOOKUP(ABS(R117-R122),'IMP Table'!$A$2:$C$26,3)*SIGN(R117-R122),0)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IF(AND(ISNUMBER(S117),ISNUMBER(S122)),VLOOKUP(ABS(S117-S122),'IMP Table'!$A$2:$C$26,3)*SIGN(S117-S122),0)</f>
        <v/>
      </c>
    </row>
    <row r="118">
      <c r="B118">
        <f>'By Round'!A15</f>
        <v/>
      </c>
      <c r="C118">
        <f>'By Round'!B23</f>
        <v/>
      </c>
      <c r="D118">
        <f>'By Round'!C23</f>
        <v/>
      </c>
      <c r="E118">
        <f>'By Round'!D23</f>
        <v/>
      </c>
      <c r="F118" s="11" t="inlineStr">
        <is>
          <t>Both</t>
        </is>
      </c>
      <c r="G118">
        <f>IF(ISBLANK('By Round'!G23),"",'By Round'!G23)</f>
        <v/>
      </c>
      <c r="H118">
        <f>IF(ISBLANK('By Round'!H23),"",'By Round'!H23)</f>
        <v/>
      </c>
      <c r="I118">
        <f>IF(ISBLANK('By Round'!I23),"",'By Round'!I23)</f>
        <v/>
      </c>
      <c r="J118">
        <f>IF(ISBLANK('By Round'!J23),"",'By Round'!J23)</f>
        <v/>
      </c>
      <c r="K118">
        <f>IF(ISBLANK('By Round'!K23),"",'By Round'!K23)</f>
        <v/>
      </c>
      <c r="L118" s="12">
        <f>SUM(AD118:AH118)</f>
        <v/>
      </c>
      <c r="M118" s="13">
        <f>SUM(AI118:AM118)</f>
        <v/>
      </c>
      <c r="N118" s="8">
        <f>IF(COUNT(T118:X118)&gt;0,P118/COUNT(T118:X118),0.5)</f>
        <v/>
      </c>
      <c r="O118" s="8">
        <f>IF(COUNT(Y118:AC118)&gt;0,Q118/COUNT(Y118:AC118),0.5)</f>
        <v/>
      </c>
      <c r="P118" s="5">
        <f>SUM(T118:X118)</f>
        <v/>
      </c>
      <c r="Q118" s="5">
        <f>SUM(Y118:AC118)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IF(ISNUMBER(R118),IF(ISNUMBER(R117),IF(R118&gt;R117,1.0,IF(R118=R117,0.5,0.0)),""),"")</f>
        <v/>
      </c>
      <c r="U118">
        <f>IF(ISNUMBER(R118),IF(ISNUMBER(R119),IF(R118&gt;R119,1.0,IF(R118=R119,0.5,0.0)),""),"")</f>
        <v/>
      </c>
      <c r="V118">
        <f>IF(ISNUMBER(R118),IF(ISNUMBER(R120),IF(R118&gt;R120,1.0,IF(R118=R120,0.5,0.0)),""),"")</f>
        <v/>
      </c>
      <c r="W118">
        <f>IF(ISNUMBER(R118),IF(ISNUMBER(R121),IF(R118&gt;R121,1.0,IF(R118=R121,0.5,0.0)),""),"")</f>
        <v/>
      </c>
      <c r="X118">
        <f>IF(ISNUMBER(R118),IF(ISNUMBER(R122),IF(R118&gt;R122,1.0,IF(R118=R122,0.5,0.0)),""),"")</f>
        <v/>
      </c>
      <c r="Y118">
        <f>IF(ISNUMBER(S118),IF(ISNUMBER(S117),IF(S118&gt;S117,1.0,IF(S118=S117,0.5,0.0)),""),"")</f>
        <v/>
      </c>
      <c r="Z118">
        <f>IF(ISNUMBER(S118),IF(ISNUMBER(S119),IF(S118&gt;S119,1.0,IF(S118=S119,0.5,0.0)),""),"")</f>
        <v/>
      </c>
      <c r="AA118">
        <f>IF(ISNUMBER(S118),IF(ISNUMBER(S120),IF(S118&gt;S120,1.0,IF(S118=S120,0.5,0.0)),""),"")</f>
        <v/>
      </c>
      <c r="AB118">
        <f>IF(ISNUMBER(S118),IF(ISNUMBER(S121),IF(S118&gt;S121,1.0,IF(S118=S121,0.5,0.0)),""),"")</f>
        <v/>
      </c>
      <c r="AC118">
        <f>IF(ISNUMBER(S118),IF(ISNUMBER(S122),IF(S118&gt;S122,1.0,IF(S118=S122,0.5,0.0)),""),"")</f>
        <v/>
      </c>
      <c r="AD118" s="14">
        <f>IF(AND(ISNUMBER(R118),ISNUMBER(R117)),VLOOKUP(ABS(R118-R117),'IMP Table'!$A$2:$C$26,3)*SIGN(R118-R117),0)</f>
        <v/>
      </c>
      <c r="AE118">
        <f>IF(AND(ISNUMBER(R118),ISNUMBER(R119)),VLOOKUP(ABS(R118-R119),'IMP Table'!$A$2:$C$26,3)*SIGN(R118-R119),0)</f>
        <v/>
      </c>
      <c r="AF118">
        <f>IF(AND(ISNUMBER(R118),ISNUMBER(R120)),VLOOKUP(ABS(R118-R120),'IMP Table'!$A$2:$C$26,3)*SIGN(R118-R120),0)</f>
        <v/>
      </c>
      <c r="AG118">
        <f>IF(AND(ISNUMBER(R118),ISNUMBER(R121)),VLOOKUP(ABS(R118-R121),'IMP Table'!$A$2:$C$26,3)*SIGN(R118-R121),0)</f>
        <v/>
      </c>
      <c r="AH118">
        <f>IF(AND(ISNUMBER(R118),ISNUMBER(R122)),VLOOKUP(ABS(R118-R122),'IMP Table'!$A$2:$C$26,3)*SIGN(R118-R122),0)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IF(AND(ISNUMBER(S118),ISNUMBER(S122)),VLOOKUP(ABS(S118-S122),'IMP Table'!$A$2:$C$26,3)*SIGN(S118-S122),0)</f>
        <v/>
      </c>
    </row>
    <row r="119">
      <c r="B119">
        <f>'By Round'!A27</f>
        <v/>
      </c>
      <c r="C119">
        <f>'By Round'!B33</f>
        <v/>
      </c>
      <c r="D119">
        <f>'By Round'!C33</f>
        <v/>
      </c>
      <c r="E119">
        <f>'By Round'!D33</f>
        <v/>
      </c>
      <c r="F119" s="11" t="inlineStr">
        <is>
          <t>Both</t>
        </is>
      </c>
      <c r="G119">
        <f>IF(ISBLANK('By Round'!G33),"",'By Round'!G33)</f>
        <v/>
      </c>
      <c r="H119">
        <f>IF(ISBLANK('By Round'!H33),"",'By Round'!H33)</f>
        <v/>
      </c>
      <c r="I119">
        <f>IF(ISBLANK('By Round'!I33),"",'By Round'!I33)</f>
        <v/>
      </c>
      <c r="J119">
        <f>IF(ISBLANK('By Round'!J33),"",'By Round'!J33)</f>
        <v/>
      </c>
      <c r="K119">
        <f>IF(ISBLANK('By Round'!K33),"",'By Round'!K33)</f>
        <v/>
      </c>
      <c r="L119" s="12">
        <f>SUM(AD119:AH119)</f>
        <v/>
      </c>
      <c r="M119" s="13">
        <f>SUM(AI119:AM119)</f>
        <v/>
      </c>
      <c r="N119" s="8">
        <f>IF(COUNT(T119:X119)&gt;0,P119/COUNT(T119:X119),0.5)</f>
        <v/>
      </c>
      <c r="O119" s="8">
        <f>IF(COUNT(Y119:AC119)&gt;0,Q119/COUNT(Y119:AC119),0.5)</f>
        <v/>
      </c>
      <c r="P119" s="5">
        <f>SUM(T119:X119)</f>
        <v/>
      </c>
      <c r="Q119" s="5">
        <f>SUM(Y119:AC119)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IF(ISNUMBER(R119),IF(ISNUMBER(R117),IF(R119&gt;R117,1.0,IF(R119=R117,0.5,0.0)),""),"")</f>
        <v/>
      </c>
      <c r="U119">
        <f>IF(ISNUMBER(R119),IF(ISNUMBER(R118),IF(R119&gt;R118,1.0,IF(R119=R118,0.5,0.0)),""),"")</f>
        <v/>
      </c>
      <c r="V119">
        <f>IF(ISNUMBER(R119),IF(ISNUMBER(R120),IF(R119&gt;R120,1.0,IF(R119=R120,0.5,0.0)),""),"")</f>
        <v/>
      </c>
      <c r="W119">
        <f>IF(ISNUMBER(R119),IF(ISNUMBER(R121),IF(R119&gt;R121,1.0,IF(R119=R121,0.5,0.0)),""),"")</f>
        <v/>
      </c>
      <c r="X119">
        <f>IF(ISNUMBER(R119),IF(ISNUMBER(R122),IF(R119&gt;R122,1.0,IF(R119=R122,0.5,0.0)),""),"")</f>
        <v/>
      </c>
      <c r="Y119">
        <f>IF(ISNUMBER(S119),IF(ISNUMBER(S117),IF(S119&gt;S117,1.0,IF(S119=S117,0.5,0.0)),""),"")</f>
        <v/>
      </c>
      <c r="Z119">
        <f>IF(ISNUMBER(S119),IF(ISNUMBER(S118),IF(S119&gt;S118,1.0,IF(S119=S118,0.5,0.0)),""),"")</f>
        <v/>
      </c>
      <c r="AA119">
        <f>IF(ISNUMBER(S119),IF(ISNUMBER(S120),IF(S119&gt;S120,1.0,IF(S119=S120,0.5,0.0)),""),"")</f>
        <v/>
      </c>
      <c r="AB119">
        <f>IF(ISNUMBER(S119),IF(ISNUMBER(S121),IF(S119&gt;S121,1.0,IF(S119=S121,0.5,0.0)),""),"")</f>
        <v/>
      </c>
      <c r="AC119">
        <f>IF(ISNUMBER(S119),IF(ISNUMBER(S122),IF(S119&gt;S122,1.0,IF(S119=S122,0.5,0.0)),""),"")</f>
        <v/>
      </c>
      <c r="AD119" s="14">
        <f>IF(AND(ISNUMBER(R119),ISNUMBER(R117)),VLOOKUP(ABS(R119-R117),'IMP Table'!$A$2:$C$26,3)*SIGN(R119-R117),0)</f>
        <v/>
      </c>
      <c r="AE119">
        <f>IF(AND(ISNUMBER(R119),ISNUMBER(R118)),VLOOKUP(ABS(R119-R118),'IMP Table'!$A$2:$C$26,3)*SIGN(R119-R118),0)</f>
        <v/>
      </c>
      <c r="AF119">
        <f>IF(AND(ISNUMBER(R119),ISNUMBER(R120)),VLOOKUP(ABS(R119-R120),'IMP Table'!$A$2:$C$26,3)*SIGN(R119-R120),0)</f>
        <v/>
      </c>
      <c r="AG119">
        <f>IF(AND(ISNUMBER(R119),ISNUMBER(R121)),VLOOKUP(ABS(R119-R121),'IMP Table'!$A$2:$C$26,3)*SIGN(R119-R121),0)</f>
        <v/>
      </c>
      <c r="AH119">
        <f>IF(AND(ISNUMBER(R119),ISNUMBER(R122)),VLOOKUP(ABS(R119-R122),'IMP Table'!$A$2:$C$26,3)*SIGN(R119-R122),0)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IF(AND(ISNUMBER(S119),ISNUMBER(S122)),VLOOKUP(ABS(S119-S122),'IMP Table'!$A$2:$C$26,3)*SIGN(S119-S122),0)</f>
        <v/>
      </c>
    </row>
    <row r="120">
      <c r="B120">
        <f>'By Round'!A51</f>
        <v/>
      </c>
      <c r="C120">
        <f>'By Round'!B55</f>
        <v/>
      </c>
      <c r="D120">
        <f>'By Round'!C55</f>
        <v/>
      </c>
      <c r="E120">
        <f>'By Round'!D55</f>
        <v/>
      </c>
      <c r="F120" s="11" t="inlineStr">
        <is>
          <t>Both</t>
        </is>
      </c>
      <c r="G120">
        <f>IF(ISBLANK('By Round'!G55),"",'By Round'!G55)</f>
        <v/>
      </c>
      <c r="H120">
        <f>IF(ISBLANK('By Round'!H55),"",'By Round'!H55)</f>
        <v/>
      </c>
      <c r="I120">
        <f>IF(ISBLANK('By Round'!I55),"",'By Round'!I55)</f>
        <v/>
      </c>
      <c r="J120">
        <f>IF(ISBLANK('By Round'!J55),"",'By Round'!J55)</f>
        <v/>
      </c>
      <c r="K120">
        <f>IF(ISBLANK('By Round'!K55),"",'By Round'!K55)</f>
        <v/>
      </c>
      <c r="L120" s="12">
        <f>SUM(AD120:AH120)</f>
        <v/>
      </c>
      <c r="M120" s="13">
        <f>SUM(AI120:AM120)</f>
        <v/>
      </c>
      <c r="N120" s="8">
        <f>IF(COUNT(T120:X120)&gt;0,P120/COUNT(T120:X120),0.5)</f>
        <v/>
      </c>
      <c r="O120" s="8">
        <f>IF(COUNT(Y120:AC120)&gt;0,Q120/COUNT(Y120:AC120),0.5)</f>
        <v/>
      </c>
      <c r="P120" s="5">
        <f>SUM(T120:X120)</f>
        <v/>
      </c>
      <c r="Q120" s="5">
        <f>SUM(Y120:AC120)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IF(ISNUMBER(R120),IF(ISNUMBER(R117),IF(R120&gt;R117,1.0,IF(R120=R117,0.5,0.0)),""),"")</f>
        <v/>
      </c>
      <c r="U120">
        <f>IF(ISNUMBER(R120),IF(ISNUMBER(R118),IF(R120&gt;R118,1.0,IF(R120=R118,0.5,0.0)),""),"")</f>
        <v/>
      </c>
      <c r="V120">
        <f>IF(ISNUMBER(R120),IF(ISNUMBER(R119),IF(R120&gt;R119,1.0,IF(R120=R119,0.5,0.0)),""),"")</f>
        <v/>
      </c>
      <c r="W120">
        <f>IF(ISNUMBER(R120),IF(ISNUMBER(R121),IF(R120&gt;R121,1.0,IF(R120=R121,0.5,0.0)),""),"")</f>
        <v/>
      </c>
      <c r="X120">
        <f>IF(ISNUMBER(R120),IF(ISNUMBER(R122),IF(R120&gt;R122,1.0,IF(R120=R122,0.5,0.0)),""),"")</f>
        <v/>
      </c>
      <c r="Y120">
        <f>IF(ISNUMBER(S120),IF(ISNUMBER(S117),IF(S120&gt;S117,1.0,IF(S120=S117,0.5,0.0)),""),"")</f>
        <v/>
      </c>
      <c r="Z120">
        <f>IF(ISNUMBER(S120),IF(ISNUMBER(S118),IF(S120&gt;S118,1.0,IF(S120=S118,0.5,0.0)),""),"")</f>
        <v/>
      </c>
      <c r="AA120">
        <f>IF(ISNUMBER(S120),IF(ISNUMBER(S119),IF(S120&gt;S119,1.0,IF(S120=S119,0.5,0.0)),""),"")</f>
        <v/>
      </c>
      <c r="AB120">
        <f>IF(ISNUMBER(S120),IF(ISNUMBER(S121),IF(S120&gt;S121,1.0,IF(S120=S121,0.5,0.0)),""),"")</f>
        <v/>
      </c>
      <c r="AC120">
        <f>IF(ISNUMBER(S120),IF(ISNUMBER(S122),IF(S120&gt;S122,1.0,IF(S120=S122,0.5,0.0)),""),"")</f>
        <v/>
      </c>
      <c r="AD120" s="14">
        <f>IF(AND(ISNUMBER(R120),ISNUMBER(R117)),VLOOKUP(ABS(R120-R117),'IMP Table'!$A$2:$C$26,3)*SIGN(R120-R117),0)</f>
        <v/>
      </c>
      <c r="AE120">
        <f>IF(AND(ISNUMBER(R120),ISNUMBER(R118)),VLOOKUP(ABS(R120-R118),'IMP Table'!$A$2:$C$26,3)*SIGN(R120-R118),0)</f>
        <v/>
      </c>
      <c r="AF120">
        <f>IF(AND(ISNUMBER(R120),ISNUMBER(R119)),VLOOKUP(ABS(R120-R119),'IMP Table'!$A$2:$C$26,3)*SIGN(R120-R119),0)</f>
        <v/>
      </c>
      <c r="AG120">
        <f>IF(AND(ISNUMBER(R120),ISNUMBER(R121)),VLOOKUP(ABS(R120-R121),'IMP Table'!$A$2:$C$26,3)*SIGN(R120-R121),0)</f>
        <v/>
      </c>
      <c r="AH120">
        <f>IF(AND(ISNUMBER(R120),ISNUMBER(R122)),VLOOKUP(ABS(R120-R122),'IMP Table'!$A$2:$C$26,3)*SIGN(R120-R122),0)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IF(AND(ISNUMBER(S120),ISNUMBER(S122)),VLOOKUP(ABS(S120-S122),'IMP Table'!$A$2:$C$26,3)*SIGN(S120-S122),0)</f>
        <v/>
      </c>
    </row>
    <row r="121">
      <c r="B121">
        <f>'By Round'!A63</f>
        <v/>
      </c>
      <c r="C121">
        <f>'By Round'!B65</f>
        <v/>
      </c>
      <c r="D121">
        <f>'By Round'!C65</f>
        <v/>
      </c>
      <c r="E121">
        <f>'By Round'!D65</f>
        <v/>
      </c>
      <c r="F121" s="11" t="inlineStr">
        <is>
          <t>Both</t>
        </is>
      </c>
      <c r="G121">
        <f>IF(ISBLANK('By Round'!G65),"",'By Round'!G65)</f>
        <v/>
      </c>
      <c r="H121">
        <f>IF(ISBLANK('By Round'!H65),"",'By Round'!H65)</f>
        <v/>
      </c>
      <c r="I121">
        <f>IF(ISBLANK('By Round'!I65),"",'By Round'!I65)</f>
        <v/>
      </c>
      <c r="J121">
        <f>IF(ISBLANK('By Round'!J65),"",'By Round'!J65)</f>
        <v/>
      </c>
      <c r="K121">
        <f>IF(ISBLANK('By Round'!K65),"",'By Round'!K65)</f>
        <v/>
      </c>
      <c r="L121" s="12">
        <f>SUM(AD121:AH121)</f>
        <v/>
      </c>
      <c r="M121" s="13">
        <f>SUM(AI121:AM121)</f>
        <v/>
      </c>
      <c r="N121" s="8">
        <f>IF(COUNT(T121:X121)&gt;0,P121/COUNT(T121:X121),0.5)</f>
        <v/>
      </c>
      <c r="O121" s="8">
        <f>IF(COUNT(Y121:AC121)&gt;0,Q121/COUNT(Y121:AC121),0.5)</f>
        <v/>
      </c>
      <c r="P121" s="5">
        <f>SUM(T121:X121)</f>
        <v/>
      </c>
      <c r="Q121" s="5">
        <f>SUM(Y121:AC121)</f>
        <v/>
      </c>
      <c r="R121" s="14">
        <f>IF(ISNUMBER(J121),J121,IF(ISNUMBER(K121),-K121,""))</f>
        <v/>
      </c>
      <c r="S121">
        <f>IF(ISNUMBER(K121),K121,IF(ISNUMBER(J121),-J121,""))</f>
        <v/>
      </c>
      <c r="T121" s="14">
        <f>IF(ISNUMBER(R121),IF(ISNUMBER(R117),IF(R121&gt;R117,1.0,IF(R121=R117,0.5,0.0)),""),"")</f>
        <v/>
      </c>
      <c r="U121">
        <f>IF(ISNUMBER(R121),IF(ISNUMBER(R118),IF(R121&gt;R118,1.0,IF(R121=R118,0.5,0.0)),""),"")</f>
        <v/>
      </c>
      <c r="V121">
        <f>IF(ISNUMBER(R121),IF(ISNUMBER(R119),IF(R121&gt;R119,1.0,IF(R121=R119,0.5,0.0)),""),"")</f>
        <v/>
      </c>
      <c r="W121">
        <f>IF(ISNUMBER(R121),IF(ISNUMBER(R120),IF(R121&gt;R120,1.0,IF(R121=R120,0.5,0.0)),""),"")</f>
        <v/>
      </c>
      <c r="X121">
        <f>IF(ISNUMBER(R121),IF(ISNUMBER(R122),IF(R121&gt;R122,1.0,IF(R121=R122,0.5,0.0)),""),"")</f>
        <v/>
      </c>
      <c r="Y121">
        <f>IF(ISNUMBER(S121),IF(ISNUMBER(S117),IF(S121&gt;S117,1.0,IF(S121=S117,0.5,0.0)),""),"")</f>
        <v/>
      </c>
      <c r="Z121">
        <f>IF(ISNUMBER(S121),IF(ISNUMBER(S118),IF(S121&gt;S118,1.0,IF(S121=S118,0.5,0.0)),""),"")</f>
        <v/>
      </c>
      <c r="AA121">
        <f>IF(ISNUMBER(S121),IF(ISNUMBER(S119),IF(S121&gt;S119,1.0,IF(S121=S119,0.5,0.0)),""),"")</f>
        <v/>
      </c>
      <c r="AB121">
        <f>IF(ISNUMBER(S121),IF(ISNUMBER(S120),IF(S121&gt;S120,1.0,IF(S121=S120,0.5,0.0)),""),"")</f>
        <v/>
      </c>
      <c r="AC121">
        <f>IF(ISNUMBER(S121),IF(ISNUMBER(S122),IF(S121&gt;S122,1.0,IF(S121=S122,0.5,0.0)),""),"")</f>
        <v/>
      </c>
      <c r="AD121" s="14">
        <f>IF(AND(ISNUMBER(R121),ISNUMBER(R117)),VLOOKUP(ABS(R121-R117),'IMP Table'!$A$2:$C$26,3)*SIGN(R121-R117),0)</f>
        <v/>
      </c>
      <c r="AE121">
        <f>IF(AND(ISNUMBER(R121),ISNUMBER(R118)),VLOOKUP(ABS(R121-R118),'IMP Table'!$A$2:$C$26,3)*SIGN(R121-R118),0)</f>
        <v/>
      </c>
      <c r="AF121">
        <f>IF(AND(ISNUMBER(R121),ISNUMBER(R119)),VLOOKUP(ABS(R121-R119),'IMP Table'!$A$2:$C$26,3)*SIGN(R121-R119),0)</f>
        <v/>
      </c>
      <c r="AG121">
        <f>IF(AND(ISNUMBER(R121),ISNUMBER(R120)),VLOOKUP(ABS(R121-R120),'IMP Table'!$A$2:$C$26,3)*SIGN(R121-R120),0)</f>
        <v/>
      </c>
      <c r="AH121">
        <f>IF(AND(ISNUMBER(R121),ISNUMBER(R122)),VLOOKUP(ABS(R121-R122),'IMP Table'!$A$2:$C$26,3)*SIGN(R121-R122),0)</f>
        <v/>
      </c>
      <c r="AI121">
        <f>IF(AND(ISNUMBER(S121),ISNUMBER(S117)),VLOOKUP(ABS(S121-S117),'IMP Table'!$A$2:$C$26,3)*SIGN(S121-S117),0)</f>
        <v/>
      </c>
      <c r="AJ121">
        <f>IF(AND(ISNUMBER(S121),ISNUMBER(S118)),VLOOKUP(ABS(S121-S118),'IMP Table'!$A$2:$C$26,3)*SIGN(S121-S118),0)</f>
        <v/>
      </c>
      <c r="AK121">
        <f>IF(AND(ISNUMBER(S121),ISNUMBER(S119)),VLOOKUP(ABS(S121-S119),'IMP Table'!$A$2:$C$26,3)*SIGN(S121-S119),0)</f>
        <v/>
      </c>
      <c r="AL121">
        <f>IF(AND(ISNUMBER(S121),ISNUMBER(S120)),VLOOKUP(ABS(S121-S120),'IMP Table'!$A$2:$C$26,3)*SIGN(S121-S120),0)</f>
        <v/>
      </c>
      <c r="AM121">
        <f>IF(AND(ISNUMBER(S121),ISNUMBER(S122)),VLOOKUP(ABS(S121-S122),'IMP Table'!$A$2:$C$26,3)*SIGN(S121-S122),0)</f>
        <v/>
      </c>
    </row>
    <row r="122">
      <c r="A122" s="15" t="n"/>
      <c r="B122" s="15">
        <f>'By Round'!A111</f>
        <v/>
      </c>
      <c r="C122" s="15">
        <f>'By Round'!B111</f>
        <v/>
      </c>
      <c r="D122" s="15">
        <f>'By Round'!C111</f>
        <v/>
      </c>
      <c r="E122" s="15">
        <f>'By Round'!D111</f>
        <v/>
      </c>
      <c r="F122" s="16" t="inlineStr">
        <is>
          <t>Both</t>
        </is>
      </c>
      <c r="G122" s="15">
        <f>IF(ISBLANK('By Round'!G111),"",'By Round'!G111)</f>
        <v/>
      </c>
      <c r="H122" s="15">
        <f>IF(ISBLANK('By Round'!H111),"",'By Round'!H111)</f>
        <v/>
      </c>
      <c r="I122" s="15">
        <f>IF(ISBLANK('By Round'!I111),"",'By Round'!I111)</f>
        <v/>
      </c>
      <c r="J122" s="15">
        <f>IF(ISBLANK('By Round'!J111),"",'By Round'!J111)</f>
        <v/>
      </c>
      <c r="K122" s="15">
        <f>IF(ISBLANK('By Round'!K111),"",'By Round'!K111)</f>
        <v/>
      </c>
      <c r="L122" s="17">
        <f>SUM(AD122:AH122)</f>
        <v/>
      </c>
      <c r="M122" s="18">
        <f>SUM(AI122:AM122)</f>
        <v/>
      </c>
      <c r="N122" s="19">
        <f>IF(COUNT(T122:X122)&gt;0,P122/COUNT(T122:X122),0.5)</f>
        <v/>
      </c>
      <c r="O122" s="19">
        <f>IF(COUNT(Y122:AC122)&gt;0,Q122/COUNT(Y122:AC122),0.5)</f>
        <v/>
      </c>
      <c r="P122" s="20">
        <f>SUM(T122:X122)</f>
        <v/>
      </c>
      <c r="Q122" s="20">
        <f>SUM(Y122:AC122)</f>
        <v/>
      </c>
      <c r="R122" s="21">
        <f>IF(ISNUMBER(J122),J122,IF(ISNUMBER(K122),-K122,""))</f>
        <v/>
      </c>
      <c r="S122" s="15">
        <f>IF(ISNUMBER(K122),K122,IF(ISNUMBER(J122),-J122,""))</f>
        <v/>
      </c>
      <c r="T122" s="21">
        <f>IF(ISNUMBER(R122),IF(ISNUMBER(R117),IF(R122&gt;R117,1.0,IF(R122=R117,0.5,0.0)),""),"")</f>
        <v/>
      </c>
      <c r="U122" s="15">
        <f>IF(ISNUMBER(R122),IF(ISNUMBER(R118),IF(R122&gt;R118,1.0,IF(R122=R118,0.5,0.0)),""),"")</f>
        <v/>
      </c>
      <c r="V122" s="15">
        <f>IF(ISNUMBER(R122),IF(ISNUMBER(R119),IF(R122&gt;R119,1.0,IF(R122=R119,0.5,0.0)),""),"")</f>
        <v/>
      </c>
      <c r="W122" s="15">
        <f>IF(ISNUMBER(R122),IF(ISNUMBER(R120),IF(R122&gt;R120,1.0,IF(R122=R120,0.5,0.0)),""),"")</f>
        <v/>
      </c>
      <c r="X122" s="15">
        <f>IF(ISNUMBER(R122),IF(ISNUMBER(R121),IF(R122&gt;R121,1.0,IF(R122=R121,0.5,0.0)),""),"")</f>
        <v/>
      </c>
      <c r="Y122" s="15">
        <f>IF(ISNUMBER(S122),IF(ISNUMBER(S117),IF(S122&gt;S117,1.0,IF(S122=S117,0.5,0.0)),""),"")</f>
        <v/>
      </c>
      <c r="Z122" s="15">
        <f>IF(ISNUMBER(S122),IF(ISNUMBER(S118),IF(S122&gt;S118,1.0,IF(S122=S118,0.5,0.0)),""),"")</f>
        <v/>
      </c>
      <c r="AA122" s="15">
        <f>IF(ISNUMBER(S122),IF(ISNUMBER(S119),IF(S122&gt;S119,1.0,IF(S122=S119,0.5,0.0)),""),"")</f>
        <v/>
      </c>
      <c r="AB122" s="15">
        <f>IF(ISNUMBER(S122),IF(ISNUMBER(S120),IF(S122&gt;S120,1.0,IF(S122=S120,0.5,0.0)),""),"")</f>
        <v/>
      </c>
      <c r="AC122" s="15">
        <f>IF(ISNUMBER(S122),IF(ISNUMBER(S121),IF(S122&gt;S121,1.0,IF(S122=S121,0.5,0.0)),""),"")</f>
        <v/>
      </c>
      <c r="AD122" s="21">
        <f>IF(AND(ISNUMBER(R122),ISNUMBER(R117)),VLOOKUP(ABS(R122-R117),'IMP Table'!$A$2:$C$26,3)*SIGN(R122-R117),0)</f>
        <v/>
      </c>
      <c r="AE122" s="15">
        <f>IF(AND(ISNUMBER(R122),ISNUMBER(R118)),VLOOKUP(ABS(R122-R118),'IMP Table'!$A$2:$C$26,3)*SIGN(R122-R118),0)</f>
        <v/>
      </c>
      <c r="AF122" s="15">
        <f>IF(AND(ISNUMBER(R122),ISNUMBER(R119)),VLOOKUP(ABS(R122-R119),'IMP Table'!$A$2:$C$26,3)*SIGN(R122-R119),0)</f>
        <v/>
      </c>
      <c r="AG122" s="15">
        <f>IF(AND(ISNUMBER(R122),ISNUMBER(R120)),VLOOKUP(ABS(R122-R120),'IMP Table'!$A$2:$C$26,3)*SIGN(R122-R120),0)</f>
        <v/>
      </c>
      <c r="AH122" s="15">
        <f>IF(AND(ISNUMBER(R122),ISNUMBER(R121)),VLOOKUP(ABS(R122-R121),'IMP Table'!$A$2:$C$26,3)*SIGN(R122-R121),0)</f>
        <v/>
      </c>
      <c r="AI122" s="15">
        <f>IF(AND(ISNUMBER(S122),ISNUMBER(S117)),VLOOKUP(ABS(S122-S117),'IMP Table'!$A$2:$C$26,3)*SIGN(S122-S117),0)</f>
        <v/>
      </c>
      <c r="AJ122" s="15">
        <f>IF(AND(ISNUMBER(S122),ISNUMBER(S118)),VLOOKUP(ABS(S122-S118),'IMP Table'!$A$2:$C$26,3)*SIGN(S122-S118),0)</f>
        <v/>
      </c>
      <c r="AK122" s="15">
        <f>IF(AND(ISNUMBER(S122),ISNUMBER(S119)),VLOOKUP(ABS(S122-S119),'IMP Table'!$A$2:$C$26,3)*SIGN(S122-S119),0)</f>
        <v/>
      </c>
      <c r="AL122" s="15">
        <f>IF(AND(ISNUMBER(S122),ISNUMBER(S120)),VLOOKUP(ABS(S122-S120),'IMP Table'!$A$2:$C$26,3)*SIGN(S122-S120),0)</f>
        <v/>
      </c>
      <c r="AM122" s="15">
        <f>IF(AND(ISNUMBER(S122),ISNUMBER(S121)),VLOOKUP(ABS(S122-S121),'IMP Table'!$A$2:$C$26,3)*SIGN(S122-S121),0)</f>
        <v/>
      </c>
    </row>
    <row r="123">
      <c r="A123" t="n">
        <v>21</v>
      </c>
      <c r="B123">
        <f>'By Round'!A15</f>
        <v/>
      </c>
      <c r="C123">
        <f>'By Round'!B25</f>
        <v/>
      </c>
      <c r="D123">
        <f>'By Round'!C25</f>
        <v/>
      </c>
      <c r="E123">
        <f>'By Round'!D25</f>
        <v/>
      </c>
      <c r="F123" s="11" t="inlineStr">
        <is>
          <t>NS</t>
        </is>
      </c>
      <c r="G123">
        <f>IF(ISBLANK('By Round'!G25),"",'By Round'!G25)</f>
        <v/>
      </c>
      <c r="H123">
        <f>IF(ISBLANK('By Round'!H25),"",'By Round'!H25)</f>
        <v/>
      </c>
      <c r="I123">
        <f>IF(ISBLANK('By Round'!I25),"",'By Round'!I25)</f>
        <v/>
      </c>
      <c r="J123">
        <f>IF(ISBLANK('By Round'!J25),"",'By Round'!J25)</f>
        <v/>
      </c>
      <c r="K123">
        <f>IF(ISBLANK('By Round'!K25),"",'By Round'!K25)</f>
        <v/>
      </c>
      <c r="L123" s="12">
        <f>SUM(AD123:AH123)</f>
        <v/>
      </c>
      <c r="M123" s="13">
        <f>SUM(AI123:AM123)</f>
        <v/>
      </c>
      <c r="N123" s="8">
        <f>IF(COUNT(T123:X123)&gt;0,P123/COUNT(T123:X123),0.5)</f>
        <v/>
      </c>
      <c r="O123" s="8">
        <f>IF(COUNT(Y123:AC123)&gt;0,Q123/COUNT(Y123:AC123),0.5)</f>
        <v/>
      </c>
      <c r="P123" s="5">
        <f>SUM(T123:X123)</f>
        <v/>
      </c>
      <c r="Q123" s="5">
        <f>SUM(Y123:AC123)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IF(ISNUMBER(R123),IF(ISNUMBER(R124),IF(R123&gt;R124,1.0,IF(R123=R124,0.5,0.0)),""),"")</f>
        <v/>
      </c>
      <c r="U123">
        <f>IF(ISNUMBER(R123),IF(ISNUMBER(R125),IF(R123&gt;R125,1.0,IF(R123=R125,0.5,0.0)),""),"")</f>
        <v/>
      </c>
      <c r="V123">
        <f>IF(ISNUMBER(R123),IF(ISNUMBER(R126),IF(R123&gt;R126,1.0,IF(R123=R126,0.5,0.0)),""),"")</f>
        <v/>
      </c>
      <c r="W123">
        <f>IF(ISNUMBER(R123),IF(ISNUMBER(R127),IF(R123&gt;R127,1.0,IF(R123=R127,0.5,0.0)),""),"")</f>
        <v/>
      </c>
      <c r="X123">
        <f>IF(ISNUMBER(R123),IF(ISNUMBER(R128),IF(R123&gt;R128,1.0,IF(R123=R128,0.5,0.0)),""),"")</f>
        <v/>
      </c>
      <c r="Y123">
        <f>IF(ISNUMBER(S123),IF(ISNUMBER(S124),IF(S123&gt;S124,1.0,IF(S123=S124,0.5,0.0)),""),"")</f>
        <v/>
      </c>
      <c r="Z123">
        <f>IF(ISNUMBER(S123),IF(ISNUMBER(S125),IF(S123&gt;S125,1.0,IF(S123=S125,0.5,0.0)),""),"")</f>
        <v/>
      </c>
      <c r="AA123">
        <f>IF(ISNUMBER(S123),IF(ISNUMBER(S126),IF(S123&gt;S126,1.0,IF(S123=S126,0.5,0.0)),""),"")</f>
        <v/>
      </c>
      <c r="AB123">
        <f>IF(ISNUMBER(S123),IF(ISNUMBER(S127),IF(S123&gt;S127,1.0,IF(S123=S127,0.5,0.0)),""),"")</f>
        <v/>
      </c>
      <c r="AC123">
        <f>IF(ISNUMBER(S123),IF(ISNUMBER(S128),IF(S123&gt;S128,1.0,IF(S123=S128,0.5,0.0)),""),"")</f>
        <v/>
      </c>
      <c r="AD123" s="14">
        <f>IF(AND(ISNUMBER(R123),ISNUMBER(R124)),VLOOKUP(ABS(R123-R124),'IMP Table'!$A$2:$C$26,3)*SIGN(R123-R124),0)</f>
        <v/>
      </c>
      <c r="AE123">
        <f>IF(AND(ISNUMBER(R123),ISNUMBER(R125)),VLOOKUP(ABS(R123-R125),'IMP Table'!$A$2:$C$26,3)*SIGN(R123-R125),0)</f>
        <v/>
      </c>
      <c r="AF123">
        <f>IF(AND(ISNUMBER(R123),ISNUMBER(R126)),VLOOKUP(ABS(R123-R126),'IMP Table'!$A$2:$C$26,3)*SIGN(R123-R126),0)</f>
        <v/>
      </c>
      <c r="AG123">
        <f>IF(AND(ISNUMBER(R123),ISNUMBER(R127)),VLOOKUP(ABS(R123-R127),'IMP Table'!$A$2:$C$26,3)*SIGN(R123-R127),0)</f>
        <v/>
      </c>
      <c r="AH123">
        <f>IF(AND(ISNUMBER(R123),ISNUMBER(R128)),VLOOKUP(ABS(R123-R128),'IMP Table'!$A$2:$C$26,3)*SIGN(R123-R128),0)</f>
        <v/>
      </c>
      <c r="AI123">
        <f>IF(AND(ISNUMBER(S123),ISNUMBER(S124)),VLOOKUP(ABS(S123-S124),'IMP Table'!$A$2:$C$26,3)*SIGN(S123-S124),0)</f>
        <v/>
      </c>
      <c r="AJ123">
        <f>IF(AND(ISNUMBER(S123),ISNUMBER(S125)),VLOOKUP(ABS(S123-S125),'IMP Table'!$A$2:$C$26,3)*SIGN(S123-S125),0)</f>
        <v/>
      </c>
      <c r="AK123">
        <f>IF(AND(ISNUMBER(S123),ISNUMBER(S126)),VLOOKUP(ABS(S123-S126),'IMP Table'!$A$2:$C$26,3)*SIGN(S123-S126),0)</f>
        <v/>
      </c>
      <c r="AL123">
        <f>IF(AND(ISNUMBER(S123),ISNUMBER(S127)),VLOOKUP(ABS(S123-S127),'IMP Table'!$A$2:$C$26,3)*SIGN(S123-S127),0)</f>
        <v/>
      </c>
      <c r="AM123">
        <f>IF(AND(ISNUMBER(S123),ISNUMBER(S128)),VLOOKUP(ABS(S123-S128),'IMP Table'!$A$2:$C$26,3)*SIGN(S123-S128),0)</f>
        <v/>
      </c>
    </row>
    <row r="124">
      <c r="B124">
        <f>'By Round'!A27</f>
        <v/>
      </c>
      <c r="C124">
        <f>'By Round'!B35</f>
        <v/>
      </c>
      <c r="D124">
        <f>'By Round'!C35</f>
        <v/>
      </c>
      <c r="E124">
        <f>'By Round'!D35</f>
        <v/>
      </c>
      <c r="F124" s="11" t="inlineStr">
        <is>
          <t>NS</t>
        </is>
      </c>
      <c r="G124">
        <f>IF(ISBLANK('By Round'!G35),"",'By Round'!G35)</f>
        <v/>
      </c>
      <c r="H124">
        <f>IF(ISBLANK('By Round'!H35),"",'By Round'!H35)</f>
        <v/>
      </c>
      <c r="I124">
        <f>IF(ISBLANK('By Round'!I35),"",'By Round'!I35)</f>
        <v/>
      </c>
      <c r="J124">
        <f>IF(ISBLANK('By Round'!J35),"",'By Round'!J35)</f>
        <v/>
      </c>
      <c r="K124">
        <f>IF(ISBLANK('By Round'!K35),"",'By Round'!K35)</f>
        <v/>
      </c>
      <c r="L124" s="12">
        <f>SUM(AD124:AH124)</f>
        <v/>
      </c>
      <c r="M124" s="13">
        <f>SUM(AI124:AM124)</f>
        <v/>
      </c>
      <c r="N124" s="8">
        <f>IF(COUNT(T124:X124)&gt;0,P124/COUNT(T124:X124),0.5)</f>
        <v/>
      </c>
      <c r="O124" s="8">
        <f>IF(COUNT(Y124:AC124)&gt;0,Q124/COUNT(Y124:AC124),0.5)</f>
        <v/>
      </c>
      <c r="P124" s="5">
        <f>SUM(T124:X124)</f>
        <v/>
      </c>
      <c r="Q124" s="5">
        <f>SUM(Y124:AC124)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IF(ISNUMBER(R124),IF(ISNUMBER(R123),IF(R124&gt;R123,1.0,IF(R124=R123,0.5,0.0)),""),"")</f>
        <v/>
      </c>
      <c r="U124">
        <f>IF(ISNUMBER(R124),IF(ISNUMBER(R125),IF(R124&gt;R125,1.0,IF(R124=R125,0.5,0.0)),""),"")</f>
        <v/>
      </c>
      <c r="V124">
        <f>IF(ISNUMBER(R124),IF(ISNUMBER(R126),IF(R124&gt;R126,1.0,IF(R124=R126,0.5,0.0)),""),"")</f>
        <v/>
      </c>
      <c r="W124">
        <f>IF(ISNUMBER(R124),IF(ISNUMBER(R127),IF(R124&gt;R127,1.0,IF(R124=R127,0.5,0.0)),""),"")</f>
        <v/>
      </c>
      <c r="X124">
        <f>IF(ISNUMBER(R124),IF(ISNUMBER(R128),IF(R124&gt;R128,1.0,IF(R124=R128,0.5,0.0)),""),"")</f>
        <v/>
      </c>
      <c r="Y124">
        <f>IF(ISNUMBER(S124),IF(ISNUMBER(S123),IF(S124&gt;S123,1.0,IF(S124=S123,0.5,0.0)),""),"")</f>
        <v/>
      </c>
      <c r="Z124">
        <f>IF(ISNUMBER(S124),IF(ISNUMBER(S125),IF(S124&gt;S125,1.0,IF(S124=S125,0.5,0.0)),""),"")</f>
        <v/>
      </c>
      <c r="AA124">
        <f>IF(ISNUMBER(S124),IF(ISNUMBER(S126),IF(S124&gt;S126,1.0,IF(S124=S126,0.5,0.0)),""),"")</f>
        <v/>
      </c>
      <c r="AB124">
        <f>IF(ISNUMBER(S124),IF(ISNUMBER(S127),IF(S124&gt;S127,1.0,IF(S124=S127,0.5,0.0)),""),"")</f>
        <v/>
      </c>
      <c r="AC124">
        <f>IF(ISNUMBER(S124),IF(ISNUMBER(S128),IF(S124&gt;S128,1.0,IF(S124=S128,0.5,0.0)),""),"")</f>
        <v/>
      </c>
      <c r="AD124" s="14">
        <f>IF(AND(ISNUMBER(R124),ISNUMBER(R123)),VLOOKUP(ABS(R124-R123),'IMP Table'!$A$2:$C$26,3)*SIGN(R124-R123),0)</f>
        <v/>
      </c>
      <c r="AE124">
        <f>IF(AND(ISNUMBER(R124),ISNUMBER(R125)),VLOOKUP(ABS(R124-R125),'IMP Table'!$A$2:$C$26,3)*SIGN(R124-R125),0)</f>
        <v/>
      </c>
      <c r="AF124">
        <f>IF(AND(ISNUMBER(R124),ISNUMBER(R126)),VLOOKUP(ABS(R124-R126),'IMP Table'!$A$2:$C$26,3)*SIGN(R124-R126),0)</f>
        <v/>
      </c>
      <c r="AG124">
        <f>IF(AND(ISNUMBER(R124),ISNUMBER(R127)),VLOOKUP(ABS(R124-R127),'IMP Table'!$A$2:$C$26,3)*SIGN(R124-R127),0)</f>
        <v/>
      </c>
      <c r="AH124">
        <f>IF(AND(ISNUMBER(R124),ISNUMBER(R128)),VLOOKUP(ABS(R124-R128),'IMP Table'!$A$2:$C$26,3)*SIGN(R124-R128),0)</f>
        <v/>
      </c>
      <c r="AI124">
        <f>IF(AND(ISNUMBER(S124),ISNUMBER(S123)),VLOOKUP(ABS(S124-S123),'IMP Table'!$A$2:$C$26,3)*SIGN(S124-S123),0)</f>
        <v/>
      </c>
      <c r="AJ124">
        <f>IF(AND(ISNUMBER(S124),ISNUMBER(S125)),VLOOKUP(ABS(S124-S125),'IMP Table'!$A$2:$C$26,3)*SIGN(S124-S125),0)</f>
        <v/>
      </c>
      <c r="AK124">
        <f>IF(AND(ISNUMBER(S124),ISNUMBER(S126)),VLOOKUP(ABS(S124-S126),'IMP Table'!$A$2:$C$26,3)*SIGN(S124-S126),0)</f>
        <v/>
      </c>
      <c r="AL124">
        <f>IF(AND(ISNUMBER(S124),ISNUMBER(S127)),VLOOKUP(ABS(S124-S127),'IMP Table'!$A$2:$C$26,3)*SIGN(S124-S127),0)</f>
        <v/>
      </c>
      <c r="AM124">
        <f>IF(AND(ISNUMBER(S124),ISNUMBER(S128)),VLOOKUP(ABS(S124-S128),'IMP Table'!$A$2:$C$26,3)*SIGN(S124-S128),0)</f>
        <v/>
      </c>
    </row>
    <row r="125">
      <c r="B125">
        <f>'By Round'!A39</f>
        <v/>
      </c>
      <c r="C125">
        <f>'By Round'!B45</f>
        <v/>
      </c>
      <c r="D125">
        <f>'By Round'!C45</f>
        <v/>
      </c>
      <c r="E125">
        <f>'By Round'!D45</f>
        <v/>
      </c>
      <c r="F125" s="11" t="inlineStr">
        <is>
          <t>NS</t>
        </is>
      </c>
      <c r="G125">
        <f>IF(ISBLANK('By Round'!G45),"",'By Round'!G45)</f>
        <v/>
      </c>
      <c r="H125">
        <f>IF(ISBLANK('By Round'!H45),"",'By Round'!H45)</f>
        <v/>
      </c>
      <c r="I125">
        <f>IF(ISBLANK('By Round'!I45),"",'By Round'!I45)</f>
        <v/>
      </c>
      <c r="J125">
        <f>IF(ISBLANK('By Round'!J45),"",'By Round'!J45)</f>
        <v/>
      </c>
      <c r="K125">
        <f>IF(ISBLANK('By Round'!K45),"",'By Round'!K45)</f>
        <v/>
      </c>
      <c r="L125" s="12">
        <f>SUM(AD125:AH125)</f>
        <v/>
      </c>
      <c r="M125" s="13">
        <f>SUM(AI125:AM125)</f>
        <v/>
      </c>
      <c r="N125" s="8">
        <f>IF(COUNT(T125:X125)&gt;0,P125/COUNT(T125:X125),0.5)</f>
        <v/>
      </c>
      <c r="O125" s="8">
        <f>IF(COUNT(Y125:AC125)&gt;0,Q125/COUNT(Y125:AC125),0.5)</f>
        <v/>
      </c>
      <c r="P125" s="5">
        <f>SUM(T125:X125)</f>
        <v/>
      </c>
      <c r="Q125" s="5">
        <f>SUM(Y125:AC125)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IF(ISNUMBER(R125),IF(ISNUMBER(R123),IF(R125&gt;R123,1.0,IF(R125=R123,0.5,0.0)),""),"")</f>
        <v/>
      </c>
      <c r="U125">
        <f>IF(ISNUMBER(R125),IF(ISNUMBER(R124),IF(R125&gt;R124,1.0,IF(R125=R124,0.5,0.0)),""),"")</f>
        <v/>
      </c>
      <c r="V125">
        <f>IF(ISNUMBER(R125),IF(ISNUMBER(R126),IF(R125&gt;R126,1.0,IF(R125=R126,0.5,0.0)),""),"")</f>
        <v/>
      </c>
      <c r="W125">
        <f>IF(ISNUMBER(R125),IF(ISNUMBER(R127),IF(R125&gt;R127,1.0,IF(R125=R127,0.5,0.0)),""),"")</f>
        <v/>
      </c>
      <c r="X125">
        <f>IF(ISNUMBER(R125),IF(ISNUMBER(R128),IF(R125&gt;R128,1.0,IF(R125=R128,0.5,0.0)),""),"")</f>
        <v/>
      </c>
      <c r="Y125">
        <f>IF(ISNUMBER(S125),IF(ISNUMBER(S123),IF(S125&gt;S123,1.0,IF(S125=S123,0.5,0.0)),""),"")</f>
        <v/>
      </c>
      <c r="Z125">
        <f>IF(ISNUMBER(S125),IF(ISNUMBER(S124),IF(S125&gt;S124,1.0,IF(S125=S124,0.5,0.0)),""),"")</f>
        <v/>
      </c>
      <c r="AA125">
        <f>IF(ISNUMBER(S125),IF(ISNUMBER(S126),IF(S125&gt;S126,1.0,IF(S125=S126,0.5,0.0)),""),"")</f>
        <v/>
      </c>
      <c r="AB125">
        <f>IF(ISNUMBER(S125),IF(ISNUMBER(S127),IF(S125&gt;S127,1.0,IF(S125=S127,0.5,0.0)),""),"")</f>
        <v/>
      </c>
      <c r="AC125">
        <f>IF(ISNUMBER(S125),IF(ISNUMBER(S128),IF(S125&gt;S128,1.0,IF(S125=S128,0.5,0.0)),""),"")</f>
        <v/>
      </c>
      <c r="AD125" s="14">
        <f>IF(AND(ISNUMBER(R125),ISNUMBER(R123)),VLOOKUP(ABS(R125-R123),'IMP Table'!$A$2:$C$26,3)*SIGN(R125-R123),0)</f>
        <v/>
      </c>
      <c r="AE125">
        <f>IF(AND(ISNUMBER(R125),ISNUMBER(R124)),VLOOKUP(ABS(R125-R124),'IMP Table'!$A$2:$C$26,3)*SIGN(R125-R124),0)</f>
        <v/>
      </c>
      <c r="AF125">
        <f>IF(AND(ISNUMBER(R125),ISNUMBER(R126)),VLOOKUP(ABS(R125-R126),'IMP Table'!$A$2:$C$26,3)*SIGN(R125-R126),0)</f>
        <v/>
      </c>
      <c r="AG125">
        <f>IF(AND(ISNUMBER(R125),ISNUMBER(R127)),VLOOKUP(ABS(R125-R127),'IMP Table'!$A$2:$C$26,3)*SIGN(R125-R127),0)</f>
        <v/>
      </c>
      <c r="AH125">
        <f>IF(AND(ISNUMBER(R125),ISNUMBER(R128)),VLOOKUP(ABS(R125-R128),'IMP Table'!$A$2:$C$26,3)*SIGN(R125-R128),0)</f>
        <v/>
      </c>
      <c r="AI125">
        <f>IF(AND(ISNUMBER(S125),ISNUMBER(S123)),VLOOKUP(ABS(S125-S123),'IMP Table'!$A$2:$C$26,3)*SIGN(S125-S123),0)</f>
        <v/>
      </c>
      <c r="AJ125">
        <f>IF(AND(ISNUMBER(S125),ISNUMBER(S124)),VLOOKUP(ABS(S125-S124),'IMP Table'!$A$2:$C$26,3)*SIGN(S125-S124),0)</f>
        <v/>
      </c>
      <c r="AK125">
        <f>IF(AND(ISNUMBER(S125),ISNUMBER(S126)),VLOOKUP(ABS(S125-S126),'IMP Table'!$A$2:$C$26,3)*SIGN(S125-S126),0)</f>
        <v/>
      </c>
      <c r="AL125">
        <f>IF(AND(ISNUMBER(S125),ISNUMBER(S127)),VLOOKUP(ABS(S125-S127),'IMP Table'!$A$2:$C$26,3)*SIGN(S125-S127),0)</f>
        <v/>
      </c>
      <c r="AM125">
        <f>IF(AND(ISNUMBER(S125),ISNUMBER(S128)),VLOOKUP(ABS(S125-S128),'IMP Table'!$A$2:$C$26,3)*SIGN(S125-S128),0)</f>
        <v/>
      </c>
    </row>
    <row r="126">
      <c r="B126">
        <f>'By Round'!A63</f>
        <v/>
      </c>
      <c r="C126">
        <f>'By Round'!B67</f>
        <v/>
      </c>
      <c r="D126">
        <f>'By Round'!C67</f>
        <v/>
      </c>
      <c r="E126">
        <f>'By Round'!D67</f>
        <v/>
      </c>
      <c r="F126" s="11" t="inlineStr">
        <is>
          <t>NS</t>
        </is>
      </c>
      <c r="G126">
        <f>IF(ISBLANK('By Round'!G67),"",'By Round'!G67)</f>
        <v/>
      </c>
      <c r="H126">
        <f>IF(ISBLANK('By Round'!H67),"",'By Round'!H67)</f>
        <v/>
      </c>
      <c r="I126">
        <f>IF(ISBLANK('By Round'!I67),"",'By Round'!I67)</f>
        <v/>
      </c>
      <c r="J126">
        <f>IF(ISBLANK('By Round'!J67),"",'By Round'!J67)</f>
        <v/>
      </c>
      <c r="K126">
        <f>IF(ISBLANK('By Round'!K67),"",'By Round'!K67)</f>
        <v/>
      </c>
      <c r="L126" s="12">
        <f>SUM(AD126:AH126)</f>
        <v/>
      </c>
      <c r="M126" s="13">
        <f>SUM(AI126:AM126)</f>
        <v/>
      </c>
      <c r="N126" s="8">
        <f>IF(COUNT(T126:X126)&gt;0,P126/COUNT(T126:X126),0.5)</f>
        <v/>
      </c>
      <c r="O126" s="8">
        <f>IF(COUNT(Y126:AC126)&gt;0,Q126/COUNT(Y126:AC126),0.5)</f>
        <v/>
      </c>
      <c r="P126" s="5">
        <f>SUM(T126:X126)</f>
        <v/>
      </c>
      <c r="Q126" s="5">
        <f>SUM(Y126:AC126)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IF(ISNUMBER(R126),IF(ISNUMBER(R123),IF(R126&gt;R123,1.0,IF(R126=R123,0.5,0.0)),""),"")</f>
        <v/>
      </c>
      <c r="U126">
        <f>IF(ISNUMBER(R126),IF(ISNUMBER(R124),IF(R126&gt;R124,1.0,IF(R126=R124,0.5,0.0)),""),"")</f>
        <v/>
      </c>
      <c r="V126">
        <f>IF(ISNUMBER(R126),IF(ISNUMBER(R125),IF(R126&gt;R125,1.0,IF(R126=R125,0.5,0.0)),""),"")</f>
        <v/>
      </c>
      <c r="W126">
        <f>IF(ISNUMBER(R126),IF(ISNUMBER(R127),IF(R126&gt;R127,1.0,IF(R126=R127,0.5,0.0)),""),"")</f>
        <v/>
      </c>
      <c r="X126">
        <f>IF(ISNUMBER(R126),IF(ISNUMBER(R128),IF(R126&gt;R128,1.0,IF(R126=R128,0.5,0.0)),""),"")</f>
        <v/>
      </c>
      <c r="Y126">
        <f>IF(ISNUMBER(S126),IF(ISNUMBER(S123),IF(S126&gt;S123,1.0,IF(S126=S123,0.5,0.0)),""),"")</f>
        <v/>
      </c>
      <c r="Z126">
        <f>IF(ISNUMBER(S126),IF(ISNUMBER(S124),IF(S126&gt;S124,1.0,IF(S126=S124,0.5,0.0)),""),"")</f>
        <v/>
      </c>
      <c r="AA126">
        <f>IF(ISNUMBER(S126),IF(ISNUMBER(S125),IF(S126&gt;S125,1.0,IF(S126=S125,0.5,0.0)),""),"")</f>
        <v/>
      </c>
      <c r="AB126">
        <f>IF(ISNUMBER(S126),IF(ISNUMBER(S127),IF(S126&gt;S127,1.0,IF(S126=S127,0.5,0.0)),""),"")</f>
        <v/>
      </c>
      <c r="AC126">
        <f>IF(ISNUMBER(S126),IF(ISNUMBER(S128),IF(S126&gt;S128,1.0,IF(S126=S128,0.5,0.0)),""),"")</f>
        <v/>
      </c>
      <c r="AD126" s="14">
        <f>IF(AND(ISNUMBER(R126),ISNUMBER(R123)),VLOOKUP(ABS(R126-R123),'IMP Table'!$A$2:$C$26,3)*SIGN(R126-R123),0)</f>
        <v/>
      </c>
      <c r="AE126">
        <f>IF(AND(ISNUMBER(R126),ISNUMBER(R124)),VLOOKUP(ABS(R126-R124),'IMP Table'!$A$2:$C$26,3)*SIGN(R126-R124),0)</f>
        <v/>
      </c>
      <c r="AF126">
        <f>IF(AND(ISNUMBER(R126),ISNUMBER(R125)),VLOOKUP(ABS(R126-R125),'IMP Table'!$A$2:$C$26,3)*SIGN(R126-R125),0)</f>
        <v/>
      </c>
      <c r="AG126">
        <f>IF(AND(ISNUMBER(R126),ISNUMBER(R127)),VLOOKUP(ABS(R126-R127),'IMP Table'!$A$2:$C$26,3)*SIGN(R126-R127),0)</f>
        <v/>
      </c>
      <c r="AH126">
        <f>IF(AND(ISNUMBER(R126),ISNUMBER(R128)),VLOOKUP(ABS(R126-R128),'IMP Table'!$A$2:$C$26,3)*SIGN(R126-R128),0)</f>
        <v/>
      </c>
      <c r="AI126">
        <f>IF(AND(ISNUMBER(S126),ISNUMBER(S123)),VLOOKUP(ABS(S126-S123),'IMP Table'!$A$2:$C$26,3)*SIGN(S126-S123),0)</f>
        <v/>
      </c>
      <c r="AJ126">
        <f>IF(AND(ISNUMBER(S126),ISNUMBER(S124)),VLOOKUP(ABS(S126-S124),'IMP Table'!$A$2:$C$26,3)*SIGN(S126-S124),0)</f>
        <v/>
      </c>
      <c r="AK126">
        <f>IF(AND(ISNUMBER(S126),ISNUMBER(S125)),VLOOKUP(ABS(S126-S125),'IMP Table'!$A$2:$C$26,3)*SIGN(S126-S125),0)</f>
        <v/>
      </c>
      <c r="AL126">
        <f>IF(AND(ISNUMBER(S126),ISNUMBER(S127)),VLOOKUP(ABS(S126-S127),'IMP Table'!$A$2:$C$26,3)*SIGN(S126-S127),0)</f>
        <v/>
      </c>
      <c r="AM126">
        <f>IF(AND(ISNUMBER(S126),ISNUMBER(S128)),VLOOKUP(ABS(S126-S128),'IMP Table'!$A$2:$C$26,3)*SIGN(S126-S128),0)</f>
        <v/>
      </c>
    </row>
    <row r="127">
      <c r="B127">
        <f>'By Round'!A75</f>
        <v/>
      </c>
      <c r="C127">
        <f>'By Round'!B77</f>
        <v/>
      </c>
      <c r="D127">
        <f>'By Round'!C77</f>
        <v/>
      </c>
      <c r="E127">
        <f>'By Round'!D77</f>
        <v/>
      </c>
      <c r="F127" s="11" t="inlineStr">
        <is>
          <t>NS</t>
        </is>
      </c>
      <c r="G127">
        <f>IF(ISBLANK('By Round'!G77),"",'By Round'!G77)</f>
        <v/>
      </c>
      <c r="H127">
        <f>IF(ISBLANK('By Round'!H77),"",'By Round'!H77)</f>
        <v/>
      </c>
      <c r="I127">
        <f>IF(ISBLANK('By Round'!I77),"",'By Round'!I77)</f>
        <v/>
      </c>
      <c r="J127">
        <f>IF(ISBLANK('By Round'!J77),"",'By Round'!J77)</f>
        <v/>
      </c>
      <c r="K127">
        <f>IF(ISBLANK('By Round'!K77),"",'By Round'!K77)</f>
        <v/>
      </c>
      <c r="L127" s="12">
        <f>SUM(AD127:AH127)</f>
        <v/>
      </c>
      <c r="M127" s="13">
        <f>SUM(AI127:AM127)</f>
        <v/>
      </c>
      <c r="N127" s="8">
        <f>IF(COUNT(T127:X127)&gt;0,P127/COUNT(T127:X127),0.5)</f>
        <v/>
      </c>
      <c r="O127" s="8">
        <f>IF(COUNT(Y127:AC127)&gt;0,Q127/COUNT(Y127:AC127),0.5)</f>
        <v/>
      </c>
      <c r="P127" s="5">
        <f>SUM(T127:X127)</f>
        <v/>
      </c>
      <c r="Q127" s="5">
        <f>SUM(Y127:AC127)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IF(ISNUMBER(R127),IF(ISNUMBER(R123),IF(R127&gt;R123,1.0,IF(R127=R123,0.5,0.0)),""),"")</f>
        <v/>
      </c>
      <c r="U127">
        <f>IF(ISNUMBER(R127),IF(ISNUMBER(R124),IF(R127&gt;R124,1.0,IF(R127=R124,0.5,0.0)),""),"")</f>
        <v/>
      </c>
      <c r="V127">
        <f>IF(ISNUMBER(R127),IF(ISNUMBER(R125),IF(R127&gt;R125,1.0,IF(R127=R125,0.5,0.0)),""),"")</f>
        <v/>
      </c>
      <c r="W127">
        <f>IF(ISNUMBER(R127),IF(ISNUMBER(R126),IF(R127&gt;R126,1.0,IF(R127=R126,0.5,0.0)),""),"")</f>
        <v/>
      </c>
      <c r="X127">
        <f>IF(ISNUMBER(R127),IF(ISNUMBER(R128),IF(R127&gt;R128,1.0,IF(R127=R128,0.5,0.0)),""),"")</f>
        <v/>
      </c>
      <c r="Y127">
        <f>IF(ISNUMBER(S127),IF(ISNUMBER(S123),IF(S127&gt;S123,1.0,IF(S127=S123,0.5,0.0)),""),"")</f>
        <v/>
      </c>
      <c r="Z127">
        <f>IF(ISNUMBER(S127),IF(ISNUMBER(S124),IF(S127&gt;S124,1.0,IF(S127=S124,0.5,0.0)),""),"")</f>
        <v/>
      </c>
      <c r="AA127">
        <f>IF(ISNUMBER(S127),IF(ISNUMBER(S125),IF(S127&gt;S125,1.0,IF(S127=S125,0.5,0.0)),""),"")</f>
        <v/>
      </c>
      <c r="AB127">
        <f>IF(ISNUMBER(S127),IF(ISNUMBER(S126),IF(S127&gt;S126,1.0,IF(S127=S126,0.5,0.0)),""),"")</f>
        <v/>
      </c>
      <c r="AC127">
        <f>IF(ISNUMBER(S127),IF(ISNUMBER(S128),IF(S127&gt;S128,1.0,IF(S127=S128,0.5,0.0)),""),"")</f>
        <v/>
      </c>
      <c r="AD127" s="14">
        <f>IF(AND(ISNUMBER(R127),ISNUMBER(R123)),VLOOKUP(ABS(R127-R123),'IMP Table'!$A$2:$C$26,3)*SIGN(R127-R123),0)</f>
        <v/>
      </c>
      <c r="AE127">
        <f>IF(AND(ISNUMBER(R127),ISNUMBER(R124)),VLOOKUP(ABS(R127-R124),'IMP Table'!$A$2:$C$26,3)*SIGN(R127-R124),0)</f>
        <v/>
      </c>
      <c r="AF127">
        <f>IF(AND(ISNUMBER(R127),ISNUMBER(R125)),VLOOKUP(ABS(R127-R125),'IMP Table'!$A$2:$C$26,3)*SIGN(R127-R125),0)</f>
        <v/>
      </c>
      <c r="AG127">
        <f>IF(AND(ISNUMBER(R127),ISNUMBER(R126)),VLOOKUP(ABS(R127-R126),'IMP Table'!$A$2:$C$26,3)*SIGN(R127-R126),0)</f>
        <v/>
      </c>
      <c r="AH127">
        <f>IF(AND(ISNUMBER(R127),ISNUMBER(R128)),VLOOKUP(ABS(R127-R128),'IMP Table'!$A$2:$C$26,3)*SIGN(R127-R128),0)</f>
        <v/>
      </c>
      <c r="AI127">
        <f>IF(AND(ISNUMBER(S127),ISNUMBER(S123)),VLOOKUP(ABS(S127-S123),'IMP Table'!$A$2:$C$26,3)*SIGN(S127-S123),0)</f>
        <v/>
      </c>
      <c r="AJ127">
        <f>IF(AND(ISNUMBER(S127),ISNUMBER(S124)),VLOOKUP(ABS(S127-S124),'IMP Table'!$A$2:$C$26,3)*SIGN(S127-S124),0)</f>
        <v/>
      </c>
      <c r="AK127">
        <f>IF(AND(ISNUMBER(S127),ISNUMBER(S125)),VLOOKUP(ABS(S127-S125),'IMP Table'!$A$2:$C$26,3)*SIGN(S127-S125),0)</f>
        <v/>
      </c>
      <c r="AL127">
        <f>IF(AND(ISNUMBER(S127),ISNUMBER(S126)),VLOOKUP(ABS(S127-S126),'IMP Table'!$A$2:$C$26,3)*SIGN(S127-S126),0)</f>
        <v/>
      </c>
      <c r="AM127">
        <f>IF(AND(ISNUMBER(S127),ISNUMBER(S128)),VLOOKUP(ABS(S127-S128),'IMP Table'!$A$2:$C$26,3)*SIGN(S127-S128),0)</f>
        <v/>
      </c>
    </row>
    <row r="128">
      <c r="A128" s="15" t="n"/>
      <c r="B128" s="15">
        <f>'By Round'!A123</f>
        <v/>
      </c>
      <c r="C128" s="15">
        <f>'By Round'!B123</f>
        <v/>
      </c>
      <c r="D128" s="15">
        <f>'By Round'!C123</f>
        <v/>
      </c>
      <c r="E128" s="15">
        <f>'By Round'!D123</f>
        <v/>
      </c>
      <c r="F128" s="16" t="inlineStr">
        <is>
          <t>NS</t>
        </is>
      </c>
      <c r="G128" s="15">
        <f>IF(ISBLANK('By Round'!G123),"",'By Round'!G123)</f>
        <v/>
      </c>
      <c r="H128" s="15">
        <f>IF(ISBLANK('By Round'!H123),"",'By Round'!H123)</f>
        <v/>
      </c>
      <c r="I128" s="15">
        <f>IF(ISBLANK('By Round'!I123),"",'By Round'!I123)</f>
        <v/>
      </c>
      <c r="J128" s="15">
        <f>IF(ISBLANK('By Round'!J123),"",'By Round'!J123)</f>
        <v/>
      </c>
      <c r="K128" s="15">
        <f>IF(ISBLANK('By Round'!K123),"",'By Round'!K123)</f>
        <v/>
      </c>
      <c r="L128" s="17">
        <f>SUM(AD128:AH128)</f>
        <v/>
      </c>
      <c r="M128" s="18">
        <f>SUM(AI128:AM128)</f>
        <v/>
      </c>
      <c r="N128" s="19">
        <f>IF(COUNT(T128:X128)&gt;0,P128/COUNT(T128:X128),0.5)</f>
        <v/>
      </c>
      <c r="O128" s="19">
        <f>IF(COUNT(Y128:AC128)&gt;0,Q128/COUNT(Y128:AC128),0.5)</f>
        <v/>
      </c>
      <c r="P128" s="20">
        <f>SUM(T128:X128)</f>
        <v/>
      </c>
      <c r="Q128" s="20">
        <f>SUM(Y128:AC128)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IF(ISNUMBER(R128),IF(ISNUMBER(R123),IF(R128&gt;R123,1.0,IF(R128=R123,0.5,0.0)),""),"")</f>
        <v/>
      </c>
      <c r="U128" s="15">
        <f>IF(ISNUMBER(R128),IF(ISNUMBER(R124),IF(R128&gt;R124,1.0,IF(R128=R124,0.5,0.0)),""),"")</f>
        <v/>
      </c>
      <c r="V128" s="15">
        <f>IF(ISNUMBER(R128),IF(ISNUMBER(R125),IF(R128&gt;R125,1.0,IF(R128=R125,0.5,0.0)),""),"")</f>
        <v/>
      </c>
      <c r="W128" s="15">
        <f>IF(ISNUMBER(R128),IF(ISNUMBER(R126),IF(R128&gt;R126,1.0,IF(R128=R126,0.5,0.0)),""),"")</f>
        <v/>
      </c>
      <c r="X128" s="15">
        <f>IF(ISNUMBER(R128),IF(ISNUMBER(R127),IF(R128&gt;R127,1.0,IF(R128=R127,0.5,0.0)),""),"")</f>
        <v/>
      </c>
      <c r="Y128" s="15">
        <f>IF(ISNUMBER(S128),IF(ISNUMBER(S123),IF(S128&gt;S123,1.0,IF(S128=S123,0.5,0.0)),""),"")</f>
        <v/>
      </c>
      <c r="Z128" s="15">
        <f>IF(ISNUMBER(S128),IF(ISNUMBER(S124),IF(S128&gt;S124,1.0,IF(S128=S124,0.5,0.0)),""),"")</f>
        <v/>
      </c>
      <c r="AA128" s="15">
        <f>IF(ISNUMBER(S128),IF(ISNUMBER(S125),IF(S128&gt;S125,1.0,IF(S128=S125,0.5,0.0)),""),"")</f>
        <v/>
      </c>
      <c r="AB128" s="15">
        <f>IF(ISNUMBER(S128),IF(ISNUMBER(S126),IF(S128&gt;S126,1.0,IF(S128=S126,0.5,0.0)),""),"")</f>
        <v/>
      </c>
      <c r="AC128" s="15">
        <f>IF(ISNUMBER(S128),IF(ISNUMBER(S127),IF(S128&gt;S127,1.0,IF(S128=S127,0.5,0.0)),""),"")</f>
        <v/>
      </c>
      <c r="AD128" s="21">
        <f>IF(AND(ISNUMBER(R128),ISNUMBER(R123)),VLOOKUP(ABS(R128-R123),'IMP Table'!$A$2:$C$26,3)*SIGN(R128-R123),0)</f>
        <v/>
      </c>
      <c r="AE128" s="15">
        <f>IF(AND(ISNUMBER(R128),ISNUMBER(R124)),VLOOKUP(ABS(R128-R124),'IMP Table'!$A$2:$C$26,3)*SIGN(R128-R124),0)</f>
        <v/>
      </c>
      <c r="AF128" s="15">
        <f>IF(AND(ISNUMBER(R128),ISNUMBER(R125)),VLOOKUP(ABS(R128-R125),'IMP Table'!$A$2:$C$26,3)*SIGN(R128-R125),0)</f>
        <v/>
      </c>
      <c r="AG128" s="15">
        <f>IF(AND(ISNUMBER(R128),ISNUMBER(R126)),VLOOKUP(ABS(R128-R126),'IMP Table'!$A$2:$C$26,3)*SIGN(R128-R126),0)</f>
        <v/>
      </c>
      <c r="AH128" s="15">
        <f>IF(AND(ISNUMBER(R128),ISNUMBER(R127)),VLOOKUP(ABS(R128-R127),'IMP Table'!$A$2:$C$26,3)*SIGN(R128-R127),0)</f>
        <v/>
      </c>
      <c r="AI128" s="15">
        <f>IF(AND(ISNUMBER(S128),ISNUMBER(S123)),VLOOKUP(ABS(S128-S123),'IMP Table'!$A$2:$C$26,3)*SIGN(S128-S123),0)</f>
        <v/>
      </c>
      <c r="AJ128" s="15">
        <f>IF(AND(ISNUMBER(S128),ISNUMBER(S124)),VLOOKUP(ABS(S128-S124),'IMP Table'!$A$2:$C$26,3)*SIGN(S128-S124),0)</f>
        <v/>
      </c>
      <c r="AK128" s="15">
        <f>IF(AND(ISNUMBER(S128),ISNUMBER(S125)),VLOOKUP(ABS(S128-S125),'IMP Table'!$A$2:$C$26,3)*SIGN(S128-S125),0)</f>
        <v/>
      </c>
      <c r="AL128" s="15">
        <f>IF(AND(ISNUMBER(S128),ISNUMBER(S126)),VLOOKUP(ABS(S128-S126),'IMP Table'!$A$2:$C$26,3)*SIGN(S128-S126),0)</f>
        <v/>
      </c>
      <c r="AM128" s="15">
        <f>IF(AND(ISNUMBER(S128),ISNUMBER(S127)),VLOOKUP(ABS(S128-S127),'IMP Table'!$A$2:$C$26,3)*SIGN(S128-S127),0)</f>
        <v/>
      </c>
    </row>
    <row r="129">
      <c r="A129" t="n">
        <v>22</v>
      </c>
      <c r="B129">
        <f>'By Round'!A15</f>
        <v/>
      </c>
      <c r="C129">
        <f>'By Round'!B25</f>
        <v/>
      </c>
      <c r="D129">
        <f>'By Round'!C25</f>
        <v/>
      </c>
      <c r="E129">
        <f>'By Round'!D25</f>
        <v/>
      </c>
      <c r="F129" s="11" t="inlineStr">
        <is>
          <t>EW</t>
        </is>
      </c>
      <c r="G129">
        <f>IF(ISBLANK('By Round'!G25),"",'By Round'!G25)</f>
        <v/>
      </c>
      <c r="H129">
        <f>IF(ISBLANK('By Round'!H25),"",'By Round'!H25)</f>
        <v/>
      </c>
      <c r="I129">
        <f>IF(ISBLANK('By Round'!I25),"",'By Round'!I25)</f>
        <v/>
      </c>
      <c r="J129">
        <f>IF(ISBLANK('By Round'!J25),"",'By Round'!J25)</f>
        <v/>
      </c>
      <c r="K129">
        <f>IF(ISBLANK('By Round'!K25),"",'By Round'!K25)</f>
        <v/>
      </c>
      <c r="L129" s="12">
        <f>SUM(AD129:AH129)</f>
        <v/>
      </c>
      <c r="M129" s="13">
        <f>SUM(AI129:AM129)</f>
        <v/>
      </c>
      <c r="N129" s="8">
        <f>IF(COUNT(T129:X129)&gt;0,P129/COUNT(T129:X129),0.5)</f>
        <v/>
      </c>
      <c r="O129" s="8">
        <f>IF(COUNT(Y129:AC129)&gt;0,Q129/COUNT(Y129:AC129),0.5)</f>
        <v/>
      </c>
      <c r="P129" s="5">
        <f>SUM(T129:X129)</f>
        <v/>
      </c>
      <c r="Q129" s="5">
        <f>SUM(Y129:AC129)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IF(ISNUMBER(S129),IF(ISNUMBER(S130),IF(S129&gt;S130,1.0,IF(S129=S130,0.5,0.0)),""),"")</f>
        <v/>
      </c>
      <c r="Z129">
        <f>IF(ISNUMBER(S129),IF(ISNUMBER(S131),IF(S129&gt;S131,1.0,IF(S129=S131,0.5,0.0)),""),"")</f>
        <v/>
      </c>
      <c r="AA129">
        <f>IF(ISNUMBER(S129),IF(ISNUMBER(S132),IF(S129&gt;S132,1.0,IF(S129=S132,0.5,0.0)),""),"")</f>
        <v/>
      </c>
      <c r="AB129">
        <f>IF(ISNUMBER(S129),IF(ISNUMBER(S133),IF(S129&gt;S133,1.0,IF(S129=S133,0.5,0.0)),""),"")</f>
        <v/>
      </c>
      <c r="AC129">
        <f>IF(ISNUMBER(S129),IF(ISNUMBER(S134),IF(S129&gt;S134,1.0,IF(S129=S134,0.5,0.0)),""),"")</f>
        <v/>
      </c>
      <c r="AD129" s="14">
        <f>IF(AND(ISNUMBER(R129),ISNUMBER(R130)),VLOOKUP(ABS(R129-R130),'IMP Table'!$A$2:$C$26,3)*SIGN(R129-R130),0)</f>
        <v/>
      </c>
      <c r="AE129">
        <f>IF(AND(ISNUMBER(R129),ISNUMBER(R131)),VLOOKUP(ABS(R129-R131),'IMP Table'!$A$2:$C$26,3)*SIGN(R129-R131),0)</f>
        <v/>
      </c>
      <c r="AF129">
        <f>IF(AND(ISNUMBER(R129),ISNUMBER(R132)),VLOOKUP(ABS(R129-R132),'IMP Table'!$A$2:$C$26,3)*SIGN(R129-R132),0)</f>
        <v/>
      </c>
      <c r="AG129">
        <f>IF(AND(ISNUMBER(R129),ISNUMBER(R133)),VLOOKUP(ABS(R129-R133),'IMP Table'!$A$2:$C$26,3)*SIGN(R129-R133),0)</f>
        <v/>
      </c>
      <c r="AH129">
        <f>IF(AND(ISNUMBER(R129),ISNUMBER(R134)),VLOOKUP(ABS(R129-R134),'IMP Table'!$A$2:$C$26,3)*SIGN(R129-R134),0)</f>
        <v/>
      </c>
      <c r="AI129">
        <f>IF(AND(ISNUMBER(S129),ISNUMBER(S130)),VLOOKUP(ABS(S129-S130),'IMP Table'!$A$2:$C$26,3)*SIGN(S129-S130),0)</f>
        <v/>
      </c>
      <c r="AJ129">
        <f>IF(AND(ISNUMBER(S129),ISNUMBER(S131)),VLOOKUP(ABS(S129-S131),'IMP Table'!$A$2:$C$26,3)*SIGN(S129-S131),0)</f>
        <v/>
      </c>
      <c r="AK129">
        <f>IF(AND(ISNUMBER(S129),ISNUMBER(S132)),VLOOKUP(ABS(S129-S132),'IMP Table'!$A$2:$C$26,3)*SIGN(S129-S132),0)</f>
        <v/>
      </c>
      <c r="AL129">
        <f>IF(AND(ISNUMBER(S129),ISNUMBER(S133)),VLOOKUP(ABS(S129-S133),'IMP Table'!$A$2:$C$26,3)*SIGN(S129-S133),0)</f>
        <v/>
      </c>
      <c r="AM129">
        <f>IF(AND(ISNUMBER(S129),ISNUMBER(S134)),VLOOKUP(ABS(S129-S134),'IMP Table'!$A$2:$C$26,3)*SIGN(S129-S134),0)</f>
        <v/>
      </c>
    </row>
    <row r="130">
      <c r="B130">
        <f>'By Round'!A27</f>
        <v/>
      </c>
      <c r="C130">
        <f>'By Round'!B35</f>
        <v/>
      </c>
      <c r="D130">
        <f>'By Round'!C35</f>
        <v/>
      </c>
      <c r="E130">
        <f>'By Round'!D35</f>
        <v/>
      </c>
      <c r="F130" s="11" t="inlineStr">
        <is>
          <t>EW</t>
        </is>
      </c>
      <c r="G130">
        <f>IF(ISBLANK('By Round'!G35),"",'By Round'!G35)</f>
        <v/>
      </c>
      <c r="H130">
        <f>IF(ISBLANK('By Round'!H35),"",'By Round'!H35)</f>
        <v/>
      </c>
      <c r="I130">
        <f>IF(ISBLANK('By Round'!I35),"",'By Round'!I35)</f>
        <v/>
      </c>
      <c r="J130">
        <f>IF(ISBLANK('By Round'!J35),"",'By Round'!J35)</f>
        <v/>
      </c>
      <c r="K130">
        <f>IF(ISBLANK('By Round'!K35),"",'By Round'!K35)</f>
        <v/>
      </c>
      <c r="L130" s="12">
        <f>SUM(AD130:AH130)</f>
        <v/>
      </c>
      <c r="M130" s="13">
        <f>SUM(AI130:AM130)</f>
        <v/>
      </c>
      <c r="N130" s="8">
        <f>IF(COUNT(T130:X130)&gt;0,P130/COUNT(T130:X130),0.5)</f>
        <v/>
      </c>
      <c r="O130" s="8">
        <f>IF(COUNT(Y130:AC130)&gt;0,Q130/COUNT(Y130:AC130),0.5)</f>
        <v/>
      </c>
      <c r="P130" s="5">
        <f>SUM(T130:X130)</f>
        <v/>
      </c>
      <c r="Q130" s="5">
        <f>SUM(Y130:AC130)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IF(ISNUMBER(S130),IF(ISNUMBER(S129),IF(S130&gt;S129,1.0,IF(S130=S129,0.5,0.0)),""),"")</f>
        <v/>
      </c>
      <c r="Z130">
        <f>IF(ISNUMBER(S130),IF(ISNUMBER(S131),IF(S130&gt;S131,1.0,IF(S130=S131,0.5,0.0)),""),"")</f>
        <v/>
      </c>
      <c r="AA130">
        <f>IF(ISNUMBER(S130),IF(ISNUMBER(S132),IF(S130&gt;S132,1.0,IF(S130=S132,0.5,0.0)),""),"")</f>
        <v/>
      </c>
      <c r="AB130">
        <f>IF(ISNUMBER(S130),IF(ISNUMBER(S133),IF(S130&gt;S133,1.0,IF(S130=S133,0.5,0.0)),""),"")</f>
        <v/>
      </c>
      <c r="AC130">
        <f>IF(ISNUMBER(S130),IF(ISNUMBER(S134),IF(S130&gt;S134,1.0,IF(S130=S134,0.5,0.0)),""),"")</f>
        <v/>
      </c>
      <c r="AD130" s="14">
        <f>IF(AND(ISNUMBER(R130),ISNUMBER(R129)),VLOOKUP(ABS(R130-R129),'IMP Table'!$A$2:$C$26,3)*SIGN(R130-R129),0)</f>
        <v/>
      </c>
      <c r="AE130">
        <f>IF(AND(ISNUMBER(R130),ISNUMBER(R131)),VLOOKUP(ABS(R130-R131),'IMP Table'!$A$2:$C$26,3)*SIGN(R130-R131),0)</f>
        <v/>
      </c>
      <c r="AF130">
        <f>IF(AND(ISNUMBER(R130),ISNUMBER(R132)),VLOOKUP(ABS(R130-R132),'IMP Table'!$A$2:$C$26,3)*SIGN(R130-R132),0)</f>
        <v/>
      </c>
      <c r="AG130">
        <f>IF(AND(ISNUMBER(R130),ISNUMBER(R133)),VLOOKUP(ABS(R130-R133),'IMP Table'!$A$2:$C$26,3)*SIGN(R130-R133),0)</f>
        <v/>
      </c>
      <c r="AH130">
        <f>IF(AND(ISNUMBER(R130),ISNUMBER(R134)),VLOOKUP(ABS(R130-R134),'IMP Table'!$A$2:$C$26,3)*SIGN(R130-R134),0)</f>
        <v/>
      </c>
      <c r="AI130">
        <f>IF(AND(ISNUMBER(S130),ISNUMBER(S129)),VLOOKUP(ABS(S130-S129),'IMP Table'!$A$2:$C$26,3)*SIGN(S130-S129),0)</f>
        <v/>
      </c>
      <c r="AJ130">
        <f>IF(AND(ISNUMBER(S130),ISNUMBER(S131)),VLOOKUP(ABS(S130-S131),'IMP Table'!$A$2:$C$26,3)*SIGN(S130-S131),0)</f>
        <v/>
      </c>
      <c r="AK130">
        <f>IF(AND(ISNUMBER(S130),ISNUMBER(S132)),VLOOKUP(ABS(S130-S132),'IMP Table'!$A$2:$C$26,3)*SIGN(S130-S132),0)</f>
        <v/>
      </c>
      <c r="AL130">
        <f>IF(AND(ISNUMBER(S130),ISNUMBER(S133)),VLOOKUP(ABS(S130-S133),'IMP Table'!$A$2:$C$26,3)*SIGN(S130-S133),0)</f>
        <v/>
      </c>
      <c r="AM130">
        <f>IF(AND(ISNUMBER(S130),ISNUMBER(S134)),VLOOKUP(ABS(S130-S134),'IMP Table'!$A$2:$C$26,3)*SIGN(S130-S134),0)</f>
        <v/>
      </c>
    </row>
    <row r="131">
      <c r="B131">
        <f>'By Round'!A39</f>
        <v/>
      </c>
      <c r="C131">
        <f>'By Round'!B45</f>
        <v/>
      </c>
      <c r="D131">
        <f>'By Round'!C45</f>
        <v/>
      </c>
      <c r="E131">
        <f>'By Round'!D45</f>
        <v/>
      </c>
      <c r="F131" s="11" t="inlineStr">
        <is>
          <t>EW</t>
        </is>
      </c>
      <c r="G131">
        <f>IF(ISBLANK('By Round'!G45),"",'By Round'!G45)</f>
        <v/>
      </c>
      <c r="H131">
        <f>IF(ISBLANK('By Round'!H45),"",'By Round'!H45)</f>
        <v/>
      </c>
      <c r="I131">
        <f>IF(ISBLANK('By Round'!I45),"",'By Round'!I45)</f>
        <v/>
      </c>
      <c r="J131">
        <f>IF(ISBLANK('By Round'!J45),"",'By Round'!J45)</f>
        <v/>
      </c>
      <c r="K131">
        <f>IF(ISBLANK('By Round'!K45),"",'By Round'!K45)</f>
        <v/>
      </c>
      <c r="L131" s="12">
        <f>SUM(AD131:AH131)</f>
        <v/>
      </c>
      <c r="M131" s="13">
        <f>SUM(AI131:AM131)</f>
        <v/>
      </c>
      <c r="N131" s="8">
        <f>IF(COUNT(T131:X131)&gt;0,P131/COUNT(T131:X131),0.5)</f>
        <v/>
      </c>
      <c r="O131" s="8">
        <f>IF(COUNT(Y131:AC131)&gt;0,Q131/COUNT(Y131:AC131),0.5)</f>
        <v/>
      </c>
      <c r="P131" s="5">
        <f>SUM(T131:X131)</f>
        <v/>
      </c>
      <c r="Q131" s="5">
        <f>SUM(Y131:AC131)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IF(ISNUMBER(S131),IF(ISNUMBER(S129),IF(S131&gt;S129,1.0,IF(S131=S129,0.5,0.0)),""),"")</f>
        <v/>
      </c>
      <c r="Z131">
        <f>IF(ISNUMBER(S131),IF(ISNUMBER(S130),IF(S131&gt;S130,1.0,IF(S131=S130,0.5,0.0)),""),"")</f>
        <v/>
      </c>
      <c r="AA131">
        <f>IF(ISNUMBER(S131),IF(ISNUMBER(S132),IF(S131&gt;S132,1.0,IF(S131=S132,0.5,0.0)),""),"")</f>
        <v/>
      </c>
      <c r="AB131">
        <f>IF(ISNUMBER(S131),IF(ISNUMBER(S133),IF(S131&gt;S133,1.0,IF(S131=S133,0.5,0.0)),""),"")</f>
        <v/>
      </c>
      <c r="AC131">
        <f>IF(ISNUMBER(S131),IF(ISNUMBER(S134),IF(S131&gt;S134,1.0,IF(S131=S134,0.5,0.0)),""),"")</f>
        <v/>
      </c>
      <c r="AD131" s="14">
        <f>IF(AND(ISNUMBER(R131),ISNUMBER(R129)),VLOOKUP(ABS(R131-R129),'IMP Table'!$A$2:$C$26,3)*SIGN(R131-R129),0)</f>
        <v/>
      </c>
      <c r="AE131">
        <f>IF(AND(ISNUMBER(R131),ISNUMBER(R130)),VLOOKUP(ABS(R131-R130),'IMP Table'!$A$2:$C$26,3)*SIGN(R131-R130),0)</f>
        <v/>
      </c>
      <c r="AF131">
        <f>IF(AND(ISNUMBER(R131),ISNUMBER(R132)),VLOOKUP(ABS(R131-R132),'IMP Table'!$A$2:$C$26,3)*SIGN(R131-R132),0)</f>
        <v/>
      </c>
      <c r="AG131">
        <f>IF(AND(ISNUMBER(R131),ISNUMBER(R133)),VLOOKUP(ABS(R131-R133),'IMP Table'!$A$2:$C$26,3)*SIGN(R131-R133),0)</f>
        <v/>
      </c>
      <c r="AH131">
        <f>IF(AND(ISNUMBER(R131),ISNUMBER(R134)),VLOOKUP(ABS(R131-R134),'IMP Table'!$A$2:$C$26,3)*SIGN(R131-R134),0)</f>
        <v/>
      </c>
      <c r="AI131">
        <f>IF(AND(ISNUMBER(S131),ISNUMBER(S129)),VLOOKUP(ABS(S131-S129),'IMP Table'!$A$2:$C$26,3)*SIGN(S131-S129),0)</f>
        <v/>
      </c>
      <c r="AJ131">
        <f>IF(AND(ISNUMBER(S131),ISNUMBER(S130)),VLOOKUP(ABS(S131-S130),'IMP Table'!$A$2:$C$26,3)*SIGN(S131-S130),0)</f>
        <v/>
      </c>
      <c r="AK131">
        <f>IF(AND(ISNUMBER(S131),ISNUMBER(S132)),VLOOKUP(ABS(S131-S132),'IMP Table'!$A$2:$C$26,3)*SIGN(S131-S132),0)</f>
        <v/>
      </c>
      <c r="AL131">
        <f>IF(AND(ISNUMBER(S131),ISNUMBER(S133)),VLOOKUP(ABS(S131-S133),'IMP Table'!$A$2:$C$26,3)*SIGN(S131-S133),0)</f>
        <v/>
      </c>
      <c r="AM131">
        <f>IF(AND(ISNUMBER(S131),ISNUMBER(S134)),VLOOKUP(ABS(S131-S134),'IMP Table'!$A$2:$C$26,3)*SIGN(S131-S134),0)</f>
        <v/>
      </c>
    </row>
    <row r="132">
      <c r="B132">
        <f>'By Round'!A63</f>
        <v/>
      </c>
      <c r="C132">
        <f>'By Round'!B67</f>
        <v/>
      </c>
      <c r="D132">
        <f>'By Round'!C67</f>
        <v/>
      </c>
      <c r="E132">
        <f>'By Round'!D67</f>
        <v/>
      </c>
      <c r="F132" s="11" t="inlineStr">
        <is>
          <t>EW</t>
        </is>
      </c>
      <c r="G132">
        <f>IF(ISBLANK('By Round'!G67),"",'By Round'!G67)</f>
        <v/>
      </c>
      <c r="H132">
        <f>IF(ISBLANK('By Round'!H67),"",'By Round'!H67)</f>
        <v/>
      </c>
      <c r="I132">
        <f>IF(ISBLANK('By Round'!I67),"",'By Round'!I67)</f>
        <v/>
      </c>
      <c r="J132">
        <f>IF(ISBLANK('By Round'!J67),"",'By Round'!J67)</f>
        <v/>
      </c>
      <c r="K132">
        <f>IF(ISBLANK('By Round'!K67),"",'By Round'!K67)</f>
        <v/>
      </c>
      <c r="L132" s="12">
        <f>SUM(AD132:AH132)</f>
        <v/>
      </c>
      <c r="M132" s="13">
        <f>SUM(AI132:AM132)</f>
        <v/>
      </c>
      <c r="N132" s="8">
        <f>IF(COUNT(T132:X132)&gt;0,P132/COUNT(T132:X132),0.5)</f>
        <v/>
      </c>
      <c r="O132" s="8">
        <f>IF(COUNT(Y132:AC132)&gt;0,Q132/COUNT(Y132:AC132),0.5)</f>
        <v/>
      </c>
      <c r="P132" s="5">
        <f>SUM(T132:X132)</f>
        <v/>
      </c>
      <c r="Q132" s="5">
        <f>SUM(Y132:AC132)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IF(ISNUMBER(S132),IF(ISNUMBER(S129),IF(S132&gt;S129,1.0,IF(S132=S129,0.5,0.0)),""),"")</f>
        <v/>
      </c>
      <c r="Z132">
        <f>IF(ISNUMBER(S132),IF(ISNUMBER(S130),IF(S132&gt;S130,1.0,IF(S132=S130,0.5,0.0)),""),"")</f>
        <v/>
      </c>
      <c r="AA132">
        <f>IF(ISNUMBER(S132),IF(ISNUMBER(S131),IF(S132&gt;S131,1.0,IF(S132=S131,0.5,0.0)),""),"")</f>
        <v/>
      </c>
      <c r="AB132">
        <f>IF(ISNUMBER(S132),IF(ISNUMBER(S133),IF(S132&gt;S133,1.0,IF(S132=S133,0.5,0.0)),""),"")</f>
        <v/>
      </c>
      <c r="AC132">
        <f>IF(ISNUMBER(S132),IF(ISNUMBER(S134),IF(S132&gt;S134,1.0,IF(S132=S134,0.5,0.0)),""),"")</f>
        <v/>
      </c>
      <c r="AD132" s="14">
        <f>IF(AND(ISNUMBER(R132),ISNUMBER(R129)),VLOOKUP(ABS(R132-R129),'IMP Table'!$A$2:$C$26,3)*SIGN(R132-R129),0)</f>
        <v/>
      </c>
      <c r="AE132">
        <f>IF(AND(ISNUMBER(R132),ISNUMBER(R130)),VLOOKUP(ABS(R132-R130),'IMP Table'!$A$2:$C$26,3)*SIGN(R132-R130),0)</f>
        <v/>
      </c>
      <c r="AF132">
        <f>IF(AND(ISNUMBER(R132),ISNUMBER(R131)),VLOOKUP(ABS(R132-R131),'IMP Table'!$A$2:$C$26,3)*SIGN(R132-R131),0)</f>
        <v/>
      </c>
      <c r="AG132">
        <f>IF(AND(ISNUMBER(R132),ISNUMBER(R133)),VLOOKUP(ABS(R132-R133),'IMP Table'!$A$2:$C$26,3)*SIGN(R132-R133),0)</f>
        <v/>
      </c>
      <c r="AH132">
        <f>IF(AND(ISNUMBER(R132),ISNUMBER(R134)),VLOOKUP(ABS(R132-R134),'IMP Table'!$A$2:$C$26,3)*SIGN(R132-R134),0)</f>
        <v/>
      </c>
      <c r="AI132">
        <f>IF(AND(ISNUMBER(S132),ISNUMBER(S129)),VLOOKUP(ABS(S132-S129),'IMP Table'!$A$2:$C$26,3)*SIGN(S132-S129),0)</f>
        <v/>
      </c>
      <c r="AJ132">
        <f>IF(AND(ISNUMBER(S132),ISNUMBER(S130)),VLOOKUP(ABS(S132-S130),'IMP Table'!$A$2:$C$26,3)*SIGN(S132-S130),0)</f>
        <v/>
      </c>
      <c r="AK132">
        <f>IF(AND(ISNUMBER(S132),ISNUMBER(S131)),VLOOKUP(ABS(S132-S131),'IMP Table'!$A$2:$C$26,3)*SIGN(S132-S131),0)</f>
        <v/>
      </c>
      <c r="AL132">
        <f>IF(AND(ISNUMBER(S132),ISNUMBER(S133)),VLOOKUP(ABS(S132-S133),'IMP Table'!$A$2:$C$26,3)*SIGN(S132-S133),0)</f>
        <v/>
      </c>
      <c r="AM132">
        <f>IF(AND(ISNUMBER(S132),ISNUMBER(S134)),VLOOKUP(ABS(S132-S134),'IMP Table'!$A$2:$C$26,3)*SIGN(S132-S134),0)</f>
        <v/>
      </c>
    </row>
    <row r="133">
      <c r="B133">
        <f>'By Round'!A75</f>
        <v/>
      </c>
      <c r="C133">
        <f>'By Round'!B77</f>
        <v/>
      </c>
      <c r="D133">
        <f>'By Round'!C77</f>
        <v/>
      </c>
      <c r="E133">
        <f>'By Round'!D77</f>
        <v/>
      </c>
      <c r="F133" s="11" t="inlineStr">
        <is>
          <t>EW</t>
        </is>
      </c>
      <c r="G133">
        <f>IF(ISBLANK('By Round'!G77),"",'By Round'!G77)</f>
        <v/>
      </c>
      <c r="H133">
        <f>IF(ISBLANK('By Round'!H77),"",'By Round'!H77)</f>
        <v/>
      </c>
      <c r="I133">
        <f>IF(ISBLANK('By Round'!I77),"",'By Round'!I77)</f>
        <v/>
      </c>
      <c r="J133">
        <f>IF(ISBLANK('By Round'!J77),"",'By Round'!J77)</f>
        <v/>
      </c>
      <c r="K133">
        <f>IF(ISBLANK('By Round'!K77),"",'By Round'!K77)</f>
        <v/>
      </c>
      <c r="L133" s="12">
        <f>SUM(AD133:AH133)</f>
        <v/>
      </c>
      <c r="M133" s="13">
        <f>SUM(AI133:AM133)</f>
        <v/>
      </c>
      <c r="N133" s="8">
        <f>IF(COUNT(T133:X133)&gt;0,P133/COUNT(T133:X133),0.5)</f>
        <v/>
      </c>
      <c r="O133" s="8">
        <f>IF(COUNT(Y133:AC133)&gt;0,Q133/COUNT(Y133:AC133),0.5)</f>
        <v/>
      </c>
      <c r="P133" s="5">
        <f>SUM(T133:X133)</f>
        <v/>
      </c>
      <c r="Q133" s="5">
        <f>SUM(Y133:AC133)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IF(ISNUMBER(S133),IF(ISNUMBER(S129),IF(S133&gt;S129,1.0,IF(S133=S129,0.5,0.0)),""),"")</f>
        <v/>
      </c>
      <c r="Z133">
        <f>IF(ISNUMBER(S133),IF(ISNUMBER(S130),IF(S133&gt;S130,1.0,IF(S133=S130,0.5,0.0)),""),"")</f>
        <v/>
      </c>
      <c r="AA133">
        <f>IF(ISNUMBER(S133),IF(ISNUMBER(S131),IF(S133&gt;S131,1.0,IF(S133=S131,0.5,0.0)),""),"")</f>
        <v/>
      </c>
      <c r="AB133">
        <f>IF(ISNUMBER(S133),IF(ISNUMBER(S132),IF(S133&gt;S132,1.0,IF(S133=S132,0.5,0.0)),""),"")</f>
        <v/>
      </c>
      <c r="AC133">
        <f>IF(ISNUMBER(S133),IF(ISNUMBER(S134),IF(S133&gt;S134,1.0,IF(S133=S134,0.5,0.0)),""),"")</f>
        <v/>
      </c>
      <c r="AD133" s="14">
        <f>IF(AND(ISNUMBER(R133),ISNUMBER(R129)),VLOOKUP(ABS(R133-R129),'IMP Table'!$A$2:$C$26,3)*SIGN(R133-R129),0)</f>
        <v/>
      </c>
      <c r="AE133">
        <f>IF(AND(ISNUMBER(R133),ISNUMBER(R130)),VLOOKUP(ABS(R133-R130),'IMP Table'!$A$2:$C$26,3)*SIGN(R133-R130),0)</f>
        <v/>
      </c>
      <c r="AF133">
        <f>IF(AND(ISNUMBER(R133),ISNUMBER(R131)),VLOOKUP(ABS(R133-R131),'IMP Table'!$A$2:$C$26,3)*SIGN(R133-R131),0)</f>
        <v/>
      </c>
      <c r="AG133">
        <f>IF(AND(ISNUMBER(R133),ISNUMBER(R132)),VLOOKUP(ABS(R133-R132),'IMP Table'!$A$2:$C$26,3)*SIGN(R133-R132),0)</f>
        <v/>
      </c>
      <c r="AH133">
        <f>IF(AND(ISNUMBER(R133),ISNUMBER(R134)),VLOOKUP(ABS(R133-R134),'IMP Table'!$A$2:$C$26,3)*SIGN(R133-R134),0)</f>
        <v/>
      </c>
      <c r="AI133">
        <f>IF(AND(ISNUMBER(S133),ISNUMBER(S129)),VLOOKUP(ABS(S133-S129),'IMP Table'!$A$2:$C$26,3)*SIGN(S133-S129),0)</f>
        <v/>
      </c>
      <c r="AJ133">
        <f>IF(AND(ISNUMBER(S133),ISNUMBER(S130)),VLOOKUP(ABS(S133-S130),'IMP Table'!$A$2:$C$26,3)*SIGN(S133-S130),0)</f>
        <v/>
      </c>
      <c r="AK133">
        <f>IF(AND(ISNUMBER(S133),ISNUMBER(S131)),VLOOKUP(ABS(S133-S131),'IMP Table'!$A$2:$C$26,3)*SIGN(S133-S131),0)</f>
        <v/>
      </c>
      <c r="AL133">
        <f>IF(AND(ISNUMBER(S133),ISNUMBER(S132)),VLOOKUP(ABS(S133-S132),'IMP Table'!$A$2:$C$26,3)*SIGN(S133-S132),0)</f>
        <v/>
      </c>
      <c r="AM133">
        <f>IF(AND(ISNUMBER(S133),ISNUMBER(S134)),VLOOKUP(ABS(S133-S134),'IMP Table'!$A$2:$C$26,3)*SIGN(S133-S134),0)</f>
        <v/>
      </c>
    </row>
    <row r="134">
      <c r="A134" s="15" t="n"/>
      <c r="B134" s="15">
        <f>'By Round'!A123</f>
        <v/>
      </c>
      <c r="C134" s="15">
        <f>'By Round'!B123</f>
        <v/>
      </c>
      <c r="D134" s="15">
        <f>'By Round'!C123</f>
        <v/>
      </c>
      <c r="E134" s="15">
        <f>'By Round'!D123</f>
        <v/>
      </c>
      <c r="F134" s="16" t="inlineStr">
        <is>
          <t>EW</t>
        </is>
      </c>
      <c r="G134" s="15">
        <f>IF(ISBLANK('By Round'!G123),"",'By Round'!G123)</f>
        <v/>
      </c>
      <c r="H134" s="15">
        <f>IF(ISBLANK('By Round'!H123),"",'By Round'!H123)</f>
        <v/>
      </c>
      <c r="I134" s="15">
        <f>IF(ISBLANK('By Round'!I123),"",'By Round'!I123)</f>
        <v/>
      </c>
      <c r="J134" s="15">
        <f>IF(ISBLANK('By Round'!J123),"",'By Round'!J123)</f>
        <v/>
      </c>
      <c r="K134" s="15">
        <f>IF(ISBLANK('By Round'!K123),"",'By Round'!K123)</f>
        <v/>
      </c>
      <c r="L134" s="17">
        <f>SUM(AD134:AH134)</f>
        <v/>
      </c>
      <c r="M134" s="18">
        <f>SUM(AI134:AM134)</f>
        <v/>
      </c>
      <c r="N134" s="19">
        <f>IF(COUNT(T134:X134)&gt;0,P134/COUNT(T134:X134),0.5)</f>
        <v/>
      </c>
      <c r="O134" s="19">
        <f>IF(COUNT(Y134:AC134)&gt;0,Q134/COUNT(Y134:AC134),0.5)</f>
        <v/>
      </c>
      <c r="P134" s="20">
        <f>SUM(T134:X134)</f>
        <v/>
      </c>
      <c r="Q134" s="20">
        <f>SUM(Y134:AC134)</f>
        <v/>
      </c>
      <c r="R134" s="21">
        <f>IF(ISNUMBER(J134),J134,IF(ISNUMBER(K134),-K134,""))</f>
        <v/>
      </c>
      <c r="S134" s="15">
        <f>IF(ISNUMBER(K134),K134,IF(ISNUMBER(J134),-J134,""))</f>
        <v/>
      </c>
      <c r="T134" s="21">
        <f>IF(ISNUMBER(R134),IF(ISNUMBER(R129),IF(R134&gt;R129,1.0,IF(R134=R129,0.5,0.0)),""),"")</f>
        <v/>
      </c>
      <c r="U134" s="15">
        <f>IF(ISNUMBER(R134),IF(ISNUMBER(R130),IF(R134&gt;R130,1.0,IF(R134=R130,0.5,0.0)),""),"")</f>
        <v/>
      </c>
      <c r="V134" s="15">
        <f>IF(ISNUMBER(R134),IF(ISNUMBER(R131),IF(R134&gt;R131,1.0,IF(R134=R131,0.5,0.0)),""),"")</f>
        <v/>
      </c>
      <c r="W134" s="15">
        <f>IF(ISNUMBER(R134),IF(ISNUMBER(R132),IF(R134&gt;R132,1.0,IF(R134=R132,0.5,0.0)),""),"")</f>
        <v/>
      </c>
      <c r="X134" s="15">
        <f>IF(ISNUMBER(R134),IF(ISNUMBER(R133),IF(R134&gt;R133,1.0,IF(R134=R133,0.5,0.0)),""),"")</f>
        <v/>
      </c>
      <c r="Y134" s="15">
        <f>IF(ISNUMBER(S134),IF(ISNUMBER(S129),IF(S134&gt;S129,1.0,IF(S134=S129,0.5,0.0)),""),"")</f>
        <v/>
      </c>
      <c r="Z134" s="15">
        <f>IF(ISNUMBER(S134),IF(ISNUMBER(S130),IF(S134&gt;S130,1.0,IF(S134=S130,0.5,0.0)),""),"")</f>
        <v/>
      </c>
      <c r="AA134" s="15">
        <f>IF(ISNUMBER(S134),IF(ISNUMBER(S131),IF(S134&gt;S131,1.0,IF(S134=S131,0.5,0.0)),""),"")</f>
        <v/>
      </c>
      <c r="AB134" s="15">
        <f>IF(ISNUMBER(S134),IF(ISNUMBER(S132),IF(S134&gt;S132,1.0,IF(S134=S132,0.5,0.0)),""),"")</f>
        <v/>
      </c>
      <c r="AC134" s="15">
        <f>IF(ISNUMBER(S134),IF(ISNUMBER(S133),IF(S134&gt;S133,1.0,IF(S134=S133,0.5,0.0)),""),"")</f>
        <v/>
      </c>
      <c r="AD134" s="21">
        <f>IF(AND(ISNUMBER(R134),ISNUMBER(R129)),VLOOKUP(ABS(R134-R129),'IMP Table'!$A$2:$C$26,3)*SIGN(R134-R129),0)</f>
        <v/>
      </c>
      <c r="AE134" s="15">
        <f>IF(AND(ISNUMBER(R134),ISNUMBER(R130)),VLOOKUP(ABS(R134-R130),'IMP Table'!$A$2:$C$26,3)*SIGN(R134-R130),0)</f>
        <v/>
      </c>
      <c r="AF134" s="15">
        <f>IF(AND(ISNUMBER(R134),ISNUMBER(R131)),VLOOKUP(ABS(R134-R131),'IMP Table'!$A$2:$C$26,3)*SIGN(R134-R131),0)</f>
        <v/>
      </c>
      <c r="AG134" s="15">
        <f>IF(AND(ISNUMBER(R134),ISNUMBER(R132)),VLOOKUP(ABS(R134-R132),'IMP Table'!$A$2:$C$26,3)*SIGN(R134-R132),0)</f>
        <v/>
      </c>
      <c r="AH134" s="15">
        <f>IF(AND(ISNUMBER(R134),ISNUMBER(R133)),VLOOKUP(ABS(R134-R133),'IMP Table'!$A$2:$C$26,3)*SIGN(R134-R133),0)</f>
        <v/>
      </c>
      <c r="AI134" s="15">
        <f>IF(AND(ISNUMBER(S134),ISNUMBER(S129)),VLOOKUP(ABS(S134-S129),'IMP Table'!$A$2:$C$26,3)*SIGN(S134-S129),0)</f>
        <v/>
      </c>
      <c r="AJ134" s="15">
        <f>IF(AND(ISNUMBER(S134),ISNUMBER(S130)),VLOOKUP(ABS(S134-S130),'IMP Table'!$A$2:$C$26,3)*SIGN(S134-S130),0)</f>
        <v/>
      </c>
      <c r="AK134" s="15">
        <f>IF(AND(ISNUMBER(S134),ISNUMBER(S131)),VLOOKUP(ABS(S134-S131),'IMP Table'!$A$2:$C$26,3)*SIGN(S134-S131),0)</f>
        <v/>
      </c>
      <c r="AL134" s="15">
        <f>IF(AND(ISNUMBER(S134),ISNUMBER(S132)),VLOOKUP(ABS(S134-S132),'IMP Table'!$A$2:$C$26,3)*SIGN(S134-S132),0)</f>
        <v/>
      </c>
      <c r="AM134" s="15">
        <f>IF(AND(ISNUMBER(S134),ISNUMBER(S133)),VLOOKUP(ABS(S134-S133),'IMP Table'!$A$2:$C$26,3)*SIGN(S134-S133),0)</f>
        <v/>
      </c>
    </row>
  </sheetData>
  <mergeCells count="11">
    <mergeCell ref="T1:AC1"/>
    <mergeCell ref="T2:X2"/>
    <mergeCell ref="L1:M1"/>
    <mergeCell ref="J1:K1"/>
    <mergeCell ref="P1:Q1"/>
    <mergeCell ref="Y2:AC2"/>
    <mergeCell ref="AD2:AH2"/>
    <mergeCell ref="AI2:AM2"/>
    <mergeCell ref="N1:O1"/>
    <mergeCell ref="AD1:AM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3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A1" s="2" t="inlineStr">
        <is>
          <t>Round</t>
        </is>
      </c>
      <c r="B1" s="2" t="inlineStr">
        <is>
          <t>Table</t>
        </is>
      </c>
      <c r="C1" s="2" t="inlineStr">
        <is>
          <t>NS</t>
        </is>
      </c>
      <c r="D1" s="2" t="inlineStr">
        <is>
          <t>EW</t>
        </is>
      </c>
      <c r="E1" s="2" t="inlineStr">
        <is>
          <t>Board</t>
        </is>
      </c>
      <c r="F1" s="2" t="inlineStr">
        <is>
          <t>Vul</t>
        </is>
      </c>
      <c r="G1" s="2" t="inlineStr">
        <is>
          <t>Contract</t>
        </is>
      </c>
      <c r="H1" s="2" t="inlineStr">
        <is>
          <t>By</t>
        </is>
      </c>
      <c r="I1" s="2" t="inlineStr">
        <is>
          <t>Result</t>
        </is>
      </c>
      <c r="J1" s="2" t="inlineStr">
        <is>
          <t>NS</t>
        </is>
      </c>
      <c r="K1" s="2" t="inlineStr">
        <is>
          <t>EW</t>
        </is>
      </c>
      <c r="L1" s="2" t="inlineStr">
        <is>
          <t>Scores</t>
        </is>
      </c>
    </row>
    <row r="2">
      <c r="A2" s="11" t="n">
        <v>1</v>
      </c>
      <c r="B2" s="11" t="n">
        <v>1</v>
      </c>
      <c r="C2" s="11" t="inlineStr">
        <is>
          <t>Sit-Out</t>
        </is>
      </c>
      <c r="D2" s="11" t="n">
        <v>1</v>
      </c>
      <c r="E2" s="11" t="n">
        <v>1</v>
      </c>
      <c r="F2" s="11" t="inlineStr">
        <is>
          <t>None</t>
        </is>
      </c>
    </row>
    <row r="3">
      <c r="B3" s="16" t="n"/>
      <c r="C3" s="16" t="n"/>
      <c r="D3" s="16" t="n"/>
      <c r="E3" s="16" t="n">
        <v>2</v>
      </c>
      <c r="F3" s="16" t="inlineStr">
        <is>
          <t>NS</t>
        </is>
      </c>
      <c r="G3" s="15" t="n"/>
      <c r="H3" s="15" t="n"/>
      <c r="I3" s="15" t="n"/>
      <c r="J3" s="15" t="n"/>
      <c r="K3" s="15" t="n"/>
      <c r="L3" s="15" t="n"/>
    </row>
    <row r="4">
      <c r="B4" s="11" t="n">
        <v>2</v>
      </c>
      <c r="C4" s="11" t="n">
        <v>3</v>
      </c>
      <c r="D4" s="11" t="n">
        <v>10</v>
      </c>
      <c r="E4" s="11" t="n">
        <v>9</v>
      </c>
      <c r="F4" s="11" t="inlineStr">
        <is>
          <t>EW</t>
        </is>
      </c>
    </row>
    <row r="5">
      <c r="B5" s="16" t="n"/>
      <c r="C5" s="16" t="n"/>
      <c r="D5" s="16" t="n"/>
      <c r="E5" s="16" t="n">
        <v>10</v>
      </c>
      <c r="F5" s="16" t="inlineStr">
        <is>
          <t>Both</t>
        </is>
      </c>
      <c r="G5" s="15" t="n"/>
      <c r="H5" s="15" t="n"/>
      <c r="I5" s="15" t="n"/>
      <c r="J5" s="15" t="n"/>
      <c r="K5" s="15" t="n"/>
      <c r="L5" s="15" t="n"/>
    </row>
    <row r="6">
      <c r="B6" s="11" t="n">
        <v>3</v>
      </c>
      <c r="C6" s="11" t="n">
        <v>8</v>
      </c>
      <c r="D6" s="11" t="n">
        <v>7</v>
      </c>
      <c r="E6" s="11" t="n">
        <v>11</v>
      </c>
      <c r="F6" s="11" t="inlineStr">
        <is>
          <t>None</t>
        </is>
      </c>
    </row>
    <row r="7">
      <c r="B7" s="16" t="n"/>
      <c r="C7" s="16" t="n"/>
      <c r="D7" s="16" t="n"/>
      <c r="E7" s="16" t="n">
        <v>12</v>
      </c>
      <c r="F7" s="16" t="inlineStr">
        <is>
          <t>NS</t>
        </is>
      </c>
      <c r="G7" s="15" t="n"/>
      <c r="H7" s="15" t="n"/>
      <c r="I7" s="15" t="n"/>
      <c r="J7" s="15" t="n"/>
      <c r="K7" s="15" t="n"/>
      <c r="L7" s="15" t="n"/>
    </row>
    <row r="8">
      <c r="B8" s="11" t="n">
        <v>4</v>
      </c>
      <c r="C8" s="11" t="n">
        <v>5</v>
      </c>
      <c r="D8" s="11" t="n">
        <v>11</v>
      </c>
      <c r="E8" s="11" t="n">
        <v>15</v>
      </c>
      <c r="F8" s="11" t="inlineStr">
        <is>
          <t>NS</t>
        </is>
      </c>
    </row>
    <row r="9">
      <c r="B9" s="16" t="n"/>
      <c r="C9" s="16" t="n"/>
      <c r="D9" s="16" t="n"/>
      <c r="E9" s="16" t="n">
        <v>16</v>
      </c>
      <c r="F9" s="16" t="inlineStr">
        <is>
          <t>EW</t>
        </is>
      </c>
      <c r="G9" s="15" t="n"/>
      <c r="H9" s="15" t="n"/>
      <c r="I9" s="15" t="n"/>
      <c r="J9" s="15" t="n"/>
      <c r="K9" s="15" t="n"/>
      <c r="L9" s="15" t="n"/>
    </row>
    <row r="10">
      <c r="B10" s="11" t="n">
        <v>5</v>
      </c>
      <c r="C10" s="11" t="n">
        <v>4</v>
      </c>
      <c r="D10" s="11" t="n">
        <v>2</v>
      </c>
      <c r="E10" s="11" t="n">
        <v>17</v>
      </c>
      <c r="F10" s="11" t="inlineStr">
        <is>
          <t>None</t>
        </is>
      </c>
    </row>
    <row r="11">
      <c r="B11" s="16" t="n"/>
      <c r="C11" s="16" t="n"/>
      <c r="D11" s="16" t="n"/>
      <c r="E11" s="16" t="n">
        <v>18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B12" s="11" t="n">
        <v>6</v>
      </c>
      <c r="C12" s="11" t="n">
        <v>9</v>
      </c>
      <c r="D12" s="11" t="n">
        <v>6</v>
      </c>
      <c r="E12" s="11" t="n">
        <v>19</v>
      </c>
      <c r="F12" s="11" t="inlineStr">
        <is>
          <t>EW</t>
        </is>
      </c>
    </row>
    <row r="13">
      <c r="A13" s="15" t="n"/>
      <c r="B13" s="16" t="n"/>
      <c r="C13" s="16" t="n"/>
      <c r="D13" s="16" t="n"/>
      <c r="E13" s="16" t="n">
        <v>20</v>
      </c>
      <c r="F13" s="16" t="inlineStr">
        <is>
          <t>Both</t>
        </is>
      </c>
      <c r="G13" s="15" t="n"/>
      <c r="H13" s="15" t="n"/>
      <c r="I13" s="15" t="n"/>
      <c r="J13" s="15" t="n"/>
      <c r="K13" s="15" t="n"/>
      <c r="L13" s="15" t="n"/>
    </row>
    <row r="14">
      <c r="A14" s="11" t="n">
        <v>2</v>
      </c>
      <c r="B14" s="11" t="n">
        <v>1</v>
      </c>
      <c r="C14" s="11" t="inlineStr">
        <is>
          <t>Sit-Out</t>
        </is>
      </c>
      <c r="D14" s="11" t="n">
        <v>2</v>
      </c>
      <c r="E14" s="11" t="n">
        <v>3</v>
      </c>
      <c r="F14" s="11" t="inlineStr">
        <is>
          <t>EW</t>
        </is>
      </c>
    </row>
    <row r="15">
      <c r="B15" s="16" t="n"/>
      <c r="C15" s="16" t="n"/>
      <c r="D15" s="16" t="n"/>
      <c r="E15" s="16" t="n">
        <v>4</v>
      </c>
      <c r="F15" s="16" t="inlineStr">
        <is>
          <t>Both</t>
        </is>
      </c>
      <c r="G15" s="15" t="n"/>
      <c r="H15" s="15" t="n"/>
      <c r="I15" s="15" t="n"/>
      <c r="J15" s="15" t="n"/>
      <c r="K15" s="15" t="n"/>
      <c r="L15" s="15" t="n"/>
    </row>
    <row r="16">
      <c r="B16" s="11" t="n">
        <v>2</v>
      </c>
      <c r="C16" s="11" t="n">
        <v>4</v>
      </c>
      <c r="D16" s="11" t="n">
        <v>11</v>
      </c>
      <c r="E16" s="11" t="n">
        <v>11</v>
      </c>
      <c r="F16" s="11" t="inlineStr">
        <is>
          <t>None</t>
        </is>
      </c>
    </row>
    <row r="17">
      <c r="B17" s="16" t="n"/>
      <c r="C17" s="16" t="n"/>
      <c r="D17" s="16" t="n"/>
      <c r="E17" s="16" t="n">
        <v>12</v>
      </c>
      <c r="F17" s="16" t="inlineStr">
        <is>
          <t>NS</t>
        </is>
      </c>
      <c r="G17" s="15" t="n"/>
      <c r="H17" s="15" t="n"/>
      <c r="I17" s="15" t="n"/>
      <c r="J17" s="15" t="n"/>
      <c r="K17" s="15" t="n"/>
      <c r="L17" s="15" t="n"/>
    </row>
    <row r="18">
      <c r="B18" s="11" t="n">
        <v>3</v>
      </c>
      <c r="C18" s="11" t="n">
        <v>9</v>
      </c>
      <c r="D18" s="11" t="n">
        <v>8</v>
      </c>
      <c r="E18" s="11" t="n">
        <v>13</v>
      </c>
      <c r="F18" s="11" t="inlineStr">
        <is>
          <t>Both</t>
        </is>
      </c>
    </row>
    <row r="19">
      <c r="B19" s="16" t="n"/>
      <c r="C19" s="16" t="n"/>
      <c r="D19" s="16" t="n"/>
      <c r="E19" s="16" t="n">
        <v>14</v>
      </c>
      <c r="F19" s="16" t="inlineStr">
        <is>
          <t>None</t>
        </is>
      </c>
      <c r="G19" s="15" t="n"/>
      <c r="H19" s="15" t="n"/>
      <c r="I19" s="15" t="n"/>
      <c r="J19" s="15" t="n"/>
      <c r="K19" s="15" t="n"/>
      <c r="L19" s="15" t="n"/>
    </row>
    <row r="20">
      <c r="B20" s="11" t="n">
        <v>4</v>
      </c>
      <c r="C20" s="11" t="n">
        <v>6</v>
      </c>
      <c r="D20" s="11" t="n">
        <v>1</v>
      </c>
      <c r="E20" s="11" t="n">
        <v>17</v>
      </c>
      <c r="F20" s="11" t="inlineStr">
        <is>
          <t>None</t>
        </is>
      </c>
    </row>
    <row r="21">
      <c r="B21" s="16" t="n"/>
      <c r="C21" s="16" t="n"/>
      <c r="D21" s="16" t="n"/>
      <c r="E21" s="16" t="n">
        <v>18</v>
      </c>
      <c r="F21" s="16" t="inlineStr">
        <is>
          <t>NS</t>
        </is>
      </c>
      <c r="G21" s="15" t="n"/>
      <c r="H21" s="15" t="n"/>
      <c r="I21" s="15" t="n"/>
      <c r="J21" s="15" t="n"/>
      <c r="K21" s="15" t="n"/>
      <c r="L21" s="15" t="n"/>
    </row>
    <row r="22">
      <c r="B22" s="11" t="n">
        <v>5</v>
      </c>
      <c r="C22" s="11" t="n">
        <v>5</v>
      </c>
      <c r="D22" s="11" t="n">
        <v>3</v>
      </c>
      <c r="E22" s="11" t="n">
        <v>19</v>
      </c>
      <c r="F22" s="11" t="inlineStr">
        <is>
          <t>EW</t>
        </is>
      </c>
    </row>
    <row r="23">
      <c r="B23" s="16" t="n"/>
      <c r="C23" s="16" t="n"/>
      <c r="D23" s="16" t="n"/>
      <c r="E23" s="16" t="n">
        <v>20</v>
      </c>
      <c r="F23" s="16" t="inlineStr">
        <is>
          <t>Both</t>
        </is>
      </c>
      <c r="G23" s="15" t="n"/>
      <c r="H23" s="15" t="n"/>
      <c r="I23" s="15" t="n"/>
      <c r="J23" s="15" t="n"/>
      <c r="K23" s="15" t="n"/>
      <c r="L23" s="15" t="n"/>
    </row>
    <row r="24">
      <c r="B24" s="11" t="n">
        <v>6</v>
      </c>
      <c r="C24" s="11" t="n">
        <v>10</v>
      </c>
      <c r="D24" s="11" t="n">
        <v>7</v>
      </c>
      <c r="E24" s="11" t="n">
        <v>21</v>
      </c>
      <c r="F24" s="11" t="inlineStr">
        <is>
          <t>NS</t>
        </is>
      </c>
    </row>
    <row r="25">
      <c r="A25" s="15" t="n"/>
      <c r="B25" s="16" t="n"/>
      <c r="C25" s="16" t="n"/>
      <c r="D25" s="16" t="n"/>
      <c r="E25" s="16" t="n">
        <v>22</v>
      </c>
      <c r="F25" s="16" t="inlineStr">
        <is>
          <t>EW</t>
        </is>
      </c>
      <c r="G25" s="15" t="n"/>
      <c r="H25" s="15" t="n"/>
      <c r="I25" s="15" t="n"/>
      <c r="J25" s="15" t="n"/>
      <c r="K25" s="15" t="n"/>
      <c r="L25" s="15" t="n"/>
    </row>
    <row r="26">
      <c r="A26" s="11" t="n">
        <v>3</v>
      </c>
      <c r="B26" s="11" t="n">
        <v>1</v>
      </c>
      <c r="C26" s="11" t="inlineStr">
        <is>
          <t>Sit-Out</t>
        </is>
      </c>
      <c r="D26" s="11" t="n">
        <v>3</v>
      </c>
      <c r="E26" s="11" t="n">
        <v>5</v>
      </c>
      <c r="F26" s="11" t="inlineStr">
        <is>
          <t>NS</t>
        </is>
      </c>
    </row>
    <row r="27">
      <c r="B27" s="16" t="n"/>
      <c r="C27" s="16" t="n"/>
      <c r="D27" s="16" t="n"/>
      <c r="E27" s="16" t="n">
        <v>6</v>
      </c>
      <c r="F27" s="16" t="inlineStr">
        <is>
          <t>EW</t>
        </is>
      </c>
      <c r="G27" s="15" t="n"/>
      <c r="H27" s="15" t="n"/>
      <c r="I27" s="15" t="n"/>
      <c r="J27" s="15" t="n"/>
      <c r="K27" s="15" t="n"/>
      <c r="L27" s="15" t="n"/>
    </row>
    <row r="28">
      <c r="B28" s="11" t="n">
        <v>2</v>
      </c>
      <c r="C28" s="11" t="n">
        <v>5</v>
      </c>
      <c r="D28" s="11" t="n">
        <v>1</v>
      </c>
      <c r="E28" s="11" t="n">
        <v>13</v>
      </c>
      <c r="F28" s="11" t="inlineStr">
        <is>
          <t>Both</t>
        </is>
      </c>
    </row>
    <row r="29">
      <c r="B29" s="16" t="n"/>
      <c r="C29" s="16" t="n"/>
      <c r="D29" s="16" t="n"/>
      <c r="E29" s="16" t="n">
        <v>14</v>
      </c>
      <c r="F29" s="16" t="inlineStr">
        <is>
          <t>None</t>
        </is>
      </c>
      <c r="G29" s="15" t="n"/>
      <c r="H29" s="15" t="n"/>
      <c r="I29" s="15" t="n"/>
      <c r="J29" s="15" t="n"/>
      <c r="K29" s="15" t="n"/>
      <c r="L29" s="15" t="n"/>
    </row>
    <row r="30">
      <c r="B30" s="11" t="n">
        <v>3</v>
      </c>
      <c r="C30" s="11" t="n">
        <v>10</v>
      </c>
      <c r="D30" s="11" t="n">
        <v>9</v>
      </c>
      <c r="E30" s="11" t="n">
        <v>15</v>
      </c>
      <c r="F30" s="11" t="inlineStr">
        <is>
          <t>NS</t>
        </is>
      </c>
    </row>
    <row r="31">
      <c r="B31" s="16" t="n"/>
      <c r="C31" s="16" t="n"/>
      <c r="D31" s="16" t="n"/>
      <c r="E31" s="16" t="n">
        <v>16</v>
      </c>
      <c r="F31" s="16" t="inlineStr">
        <is>
          <t>EW</t>
        </is>
      </c>
      <c r="G31" s="15" t="n"/>
      <c r="H31" s="15" t="n"/>
      <c r="I31" s="15" t="n"/>
      <c r="J31" s="15" t="n"/>
      <c r="K31" s="15" t="n"/>
      <c r="L31" s="15" t="n"/>
    </row>
    <row r="32">
      <c r="B32" s="11" t="n">
        <v>4</v>
      </c>
      <c r="C32" s="11" t="n">
        <v>7</v>
      </c>
      <c r="D32" s="11" t="n">
        <v>2</v>
      </c>
      <c r="E32" s="11" t="n">
        <v>19</v>
      </c>
      <c r="F32" s="11" t="inlineStr">
        <is>
          <t>EW</t>
        </is>
      </c>
    </row>
    <row r="33">
      <c r="B33" s="16" t="n"/>
      <c r="C33" s="16" t="n"/>
      <c r="D33" s="16" t="n"/>
      <c r="E33" s="16" t="n">
        <v>20</v>
      </c>
      <c r="F33" s="16" t="inlineStr">
        <is>
          <t>Both</t>
        </is>
      </c>
      <c r="G33" s="15" t="n"/>
      <c r="H33" s="15" t="n"/>
      <c r="I33" s="15" t="n"/>
      <c r="J33" s="15" t="n"/>
      <c r="K33" s="15" t="n"/>
      <c r="L33" s="15" t="n"/>
    </row>
    <row r="34">
      <c r="B34" s="11" t="n">
        <v>5</v>
      </c>
      <c r="C34" s="11" t="n">
        <v>6</v>
      </c>
      <c r="D34" s="11" t="n">
        <v>4</v>
      </c>
      <c r="E34" s="11" t="n">
        <v>21</v>
      </c>
      <c r="F34" s="11" t="inlineStr">
        <is>
          <t>NS</t>
        </is>
      </c>
    </row>
    <row r="35">
      <c r="B35" s="16" t="n"/>
      <c r="C35" s="16" t="n"/>
      <c r="D35" s="16" t="n"/>
      <c r="E35" s="16" t="n">
        <v>22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1" t="n">
        <v>6</v>
      </c>
      <c r="C36" s="11" t="n">
        <v>11</v>
      </c>
      <c r="D36" s="11" t="n">
        <v>8</v>
      </c>
      <c r="E36" s="11" t="n">
        <v>1</v>
      </c>
      <c r="F36" s="11" t="inlineStr">
        <is>
          <t>None</t>
        </is>
      </c>
    </row>
    <row r="37">
      <c r="A37" s="15" t="n"/>
      <c r="B37" s="16" t="n"/>
      <c r="C37" s="16" t="n"/>
      <c r="D37" s="16" t="n"/>
      <c r="E37" s="16" t="n">
        <v>2</v>
      </c>
      <c r="F37" s="16" t="inlineStr">
        <is>
          <t>NS</t>
        </is>
      </c>
      <c r="G37" s="15" t="n"/>
      <c r="H37" s="15" t="n"/>
      <c r="I37" s="15" t="n"/>
      <c r="J37" s="15" t="n"/>
      <c r="K37" s="15" t="n"/>
      <c r="L37" s="15" t="n"/>
    </row>
    <row r="38">
      <c r="A38" s="11" t="n">
        <v>4</v>
      </c>
      <c r="B38" s="11" t="n">
        <v>1</v>
      </c>
      <c r="C38" s="11" t="inlineStr">
        <is>
          <t>Sit-Out</t>
        </is>
      </c>
      <c r="D38" s="11" t="n">
        <v>4</v>
      </c>
      <c r="E38" s="11" t="n">
        <v>7</v>
      </c>
      <c r="F38" s="11" t="inlineStr">
        <is>
          <t>Both</t>
        </is>
      </c>
    </row>
    <row r="39">
      <c r="B39" s="16" t="n"/>
      <c r="C39" s="16" t="n"/>
      <c r="D39" s="16" t="n"/>
      <c r="E39" s="16" t="n">
        <v>8</v>
      </c>
      <c r="F39" s="16" t="inlineStr">
        <is>
          <t>None</t>
        </is>
      </c>
      <c r="G39" s="15" t="n"/>
      <c r="H39" s="15" t="n"/>
      <c r="I39" s="15" t="n"/>
      <c r="J39" s="15" t="n"/>
      <c r="K39" s="15" t="n"/>
      <c r="L39" s="15" t="n"/>
    </row>
    <row r="40">
      <c r="B40" s="11" t="n">
        <v>2</v>
      </c>
      <c r="C40" s="11" t="n">
        <v>6</v>
      </c>
      <c r="D40" s="11" t="n">
        <v>2</v>
      </c>
      <c r="E40" s="11" t="n">
        <v>15</v>
      </c>
      <c r="F40" s="11" t="inlineStr">
        <is>
          <t>NS</t>
        </is>
      </c>
    </row>
    <row r="41">
      <c r="B41" s="16" t="n"/>
      <c r="C41" s="16" t="n"/>
      <c r="D41" s="16" t="n"/>
      <c r="E41" s="16" t="n">
        <v>16</v>
      </c>
      <c r="F41" s="16" t="inlineStr">
        <is>
          <t>EW</t>
        </is>
      </c>
      <c r="G41" s="15" t="n"/>
      <c r="H41" s="15" t="n"/>
      <c r="I41" s="15" t="n"/>
      <c r="J41" s="15" t="n"/>
      <c r="K41" s="15" t="n"/>
      <c r="L41" s="15" t="n"/>
    </row>
    <row r="42">
      <c r="B42" s="11" t="n">
        <v>3</v>
      </c>
      <c r="C42" s="11" t="n">
        <v>11</v>
      </c>
      <c r="D42" s="11" t="n">
        <v>10</v>
      </c>
      <c r="E42" s="11" t="n">
        <v>17</v>
      </c>
      <c r="F42" s="11" t="inlineStr">
        <is>
          <t>None</t>
        </is>
      </c>
    </row>
    <row r="43">
      <c r="B43" s="16" t="n"/>
      <c r="C43" s="16" t="n"/>
      <c r="D43" s="16" t="n"/>
      <c r="E43" s="16" t="n">
        <v>18</v>
      </c>
      <c r="F43" s="16" t="inlineStr">
        <is>
          <t>NS</t>
        </is>
      </c>
      <c r="G43" s="15" t="n"/>
      <c r="H43" s="15" t="n"/>
      <c r="I43" s="15" t="n"/>
      <c r="J43" s="15" t="n"/>
      <c r="K43" s="15" t="n"/>
      <c r="L43" s="15" t="n"/>
    </row>
    <row r="44">
      <c r="B44" s="11" t="n">
        <v>4</v>
      </c>
      <c r="C44" s="11" t="n">
        <v>8</v>
      </c>
      <c r="D44" s="11" t="n">
        <v>3</v>
      </c>
      <c r="E44" s="11" t="n">
        <v>21</v>
      </c>
      <c r="F44" s="11" t="inlineStr">
        <is>
          <t>NS</t>
        </is>
      </c>
    </row>
    <row r="45">
      <c r="B45" s="16" t="n"/>
      <c r="C45" s="16" t="n"/>
      <c r="D45" s="16" t="n"/>
      <c r="E45" s="16" t="n">
        <v>22</v>
      </c>
      <c r="F45" s="16" t="inlineStr">
        <is>
          <t>EW</t>
        </is>
      </c>
      <c r="G45" s="15" t="n"/>
      <c r="H45" s="15" t="n"/>
      <c r="I45" s="15" t="n"/>
      <c r="J45" s="15" t="n"/>
      <c r="K45" s="15" t="n"/>
      <c r="L45" s="15" t="n"/>
    </row>
    <row r="46">
      <c r="B46" s="11" t="n">
        <v>5</v>
      </c>
      <c r="C46" s="11" t="n">
        <v>7</v>
      </c>
      <c r="D46" s="11" t="n">
        <v>5</v>
      </c>
      <c r="E46" s="11" t="n">
        <v>1</v>
      </c>
      <c r="F46" s="11" t="inlineStr">
        <is>
          <t>None</t>
        </is>
      </c>
    </row>
    <row r="47">
      <c r="B47" s="16" t="n"/>
      <c r="C47" s="16" t="n"/>
      <c r="D47" s="16" t="n"/>
      <c r="E47" s="16" t="n">
        <v>2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  <row r="48">
      <c r="B48" s="11" t="n">
        <v>6</v>
      </c>
      <c r="C48" s="11" t="n">
        <v>1</v>
      </c>
      <c r="D48" s="11" t="n">
        <v>9</v>
      </c>
      <c r="E48" s="11" t="n">
        <v>3</v>
      </c>
      <c r="F48" s="11" t="inlineStr">
        <is>
          <t>EW</t>
        </is>
      </c>
    </row>
    <row r="49">
      <c r="A49" s="15" t="n"/>
      <c r="B49" s="16" t="n"/>
      <c r="C49" s="16" t="n"/>
      <c r="D49" s="16" t="n"/>
      <c r="E49" s="16" t="n">
        <v>4</v>
      </c>
      <c r="F49" s="16" t="inlineStr">
        <is>
          <t>Both</t>
        </is>
      </c>
      <c r="G49" s="15" t="n"/>
      <c r="H49" s="15" t="n"/>
      <c r="I49" s="15" t="n"/>
      <c r="J49" s="15" t="n"/>
      <c r="K49" s="15" t="n"/>
      <c r="L49" s="15" t="n"/>
    </row>
    <row r="50">
      <c r="A50" s="11" t="n">
        <v>5</v>
      </c>
      <c r="B50" s="11" t="n">
        <v>1</v>
      </c>
      <c r="C50" s="11" t="inlineStr">
        <is>
          <t>Sit-Out</t>
        </is>
      </c>
      <c r="D50" s="11" t="n">
        <v>5</v>
      </c>
      <c r="E50" s="11" t="n">
        <v>9</v>
      </c>
      <c r="F50" s="11" t="inlineStr">
        <is>
          <t>EW</t>
        </is>
      </c>
    </row>
    <row r="51">
      <c r="B51" s="16" t="n"/>
      <c r="C51" s="16" t="n"/>
      <c r="D51" s="16" t="n"/>
      <c r="E51" s="16" t="n">
        <v>10</v>
      </c>
      <c r="F51" s="16" t="inlineStr">
        <is>
          <t>Both</t>
        </is>
      </c>
      <c r="G51" s="15" t="n"/>
      <c r="H51" s="15" t="n"/>
      <c r="I51" s="15" t="n"/>
      <c r="J51" s="15" t="n"/>
      <c r="K51" s="15" t="n"/>
      <c r="L51" s="15" t="n"/>
    </row>
    <row r="52">
      <c r="B52" s="11" t="n">
        <v>2</v>
      </c>
      <c r="C52" s="11" t="n">
        <v>7</v>
      </c>
      <c r="D52" s="11" t="n">
        <v>3</v>
      </c>
      <c r="E52" s="11" t="n">
        <v>17</v>
      </c>
      <c r="F52" s="11" t="inlineStr">
        <is>
          <t>None</t>
        </is>
      </c>
    </row>
    <row r="53">
      <c r="B53" s="16" t="n"/>
      <c r="C53" s="16" t="n"/>
      <c r="D53" s="16" t="n"/>
      <c r="E53" s="16" t="n">
        <v>18</v>
      </c>
      <c r="F53" s="16" t="inlineStr">
        <is>
          <t>NS</t>
        </is>
      </c>
      <c r="G53" s="15" t="n"/>
      <c r="H53" s="15" t="n"/>
      <c r="I53" s="15" t="n"/>
      <c r="J53" s="15" t="n"/>
      <c r="K53" s="15" t="n"/>
      <c r="L53" s="15" t="n"/>
    </row>
    <row r="54">
      <c r="B54" s="11" t="n">
        <v>3</v>
      </c>
      <c r="C54" s="11" t="n">
        <v>1</v>
      </c>
      <c r="D54" s="11" t="n">
        <v>11</v>
      </c>
      <c r="E54" s="11" t="n">
        <v>19</v>
      </c>
      <c r="F54" s="11" t="inlineStr">
        <is>
          <t>EW</t>
        </is>
      </c>
    </row>
    <row r="55">
      <c r="B55" s="16" t="n"/>
      <c r="C55" s="16" t="n"/>
      <c r="D55" s="16" t="n"/>
      <c r="E55" s="16" t="n">
        <v>20</v>
      </c>
      <c r="F55" s="16" t="inlineStr">
        <is>
          <t>Both</t>
        </is>
      </c>
      <c r="G55" s="15" t="n"/>
      <c r="H55" s="15" t="n"/>
      <c r="I55" s="15" t="n"/>
      <c r="J55" s="15" t="n"/>
      <c r="K55" s="15" t="n"/>
      <c r="L55" s="15" t="n"/>
    </row>
    <row r="56">
      <c r="B56" s="11" t="n">
        <v>4</v>
      </c>
      <c r="C56" s="11" t="n">
        <v>9</v>
      </c>
      <c r="D56" s="11" t="n">
        <v>4</v>
      </c>
      <c r="E56" s="11" t="n">
        <v>1</v>
      </c>
      <c r="F56" s="11" t="inlineStr">
        <is>
          <t>None</t>
        </is>
      </c>
    </row>
    <row r="57">
      <c r="B57" s="16" t="n"/>
      <c r="C57" s="16" t="n"/>
      <c r="D57" s="16" t="n"/>
      <c r="E57" s="16" t="n">
        <v>2</v>
      </c>
      <c r="F57" s="16" t="inlineStr">
        <is>
          <t>NS</t>
        </is>
      </c>
      <c r="G57" s="15" t="n"/>
      <c r="H57" s="15" t="n"/>
      <c r="I57" s="15" t="n"/>
      <c r="J57" s="15" t="n"/>
      <c r="K57" s="15" t="n"/>
      <c r="L57" s="15" t="n"/>
    </row>
    <row r="58">
      <c r="B58" s="11" t="n">
        <v>5</v>
      </c>
      <c r="C58" s="11" t="n">
        <v>8</v>
      </c>
      <c r="D58" s="11" t="n">
        <v>6</v>
      </c>
      <c r="E58" s="11" t="n">
        <v>3</v>
      </c>
      <c r="F58" s="11" t="inlineStr">
        <is>
          <t>EW</t>
        </is>
      </c>
    </row>
    <row r="59">
      <c r="B59" s="16" t="n"/>
      <c r="C59" s="16" t="n"/>
      <c r="D59" s="16" t="n"/>
      <c r="E59" s="16" t="n">
        <v>4</v>
      </c>
      <c r="F59" s="16" t="inlineStr">
        <is>
          <t>Both</t>
        </is>
      </c>
      <c r="G59" s="15" t="n"/>
      <c r="H59" s="15" t="n"/>
      <c r="I59" s="15" t="n"/>
      <c r="J59" s="15" t="n"/>
      <c r="K59" s="15" t="n"/>
      <c r="L59" s="15" t="n"/>
    </row>
    <row r="60">
      <c r="B60" s="11" t="n">
        <v>6</v>
      </c>
      <c r="C60" s="11" t="n">
        <v>2</v>
      </c>
      <c r="D60" s="11" t="n">
        <v>10</v>
      </c>
      <c r="E60" s="11" t="n">
        <v>5</v>
      </c>
      <c r="F60" s="11" t="inlineStr">
        <is>
          <t>NS</t>
        </is>
      </c>
    </row>
    <row r="61">
      <c r="A61" s="15" t="n"/>
      <c r="B61" s="16" t="n"/>
      <c r="C61" s="16" t="n"/>
      <c r="D61" s="16" t="n"/>
      <c r="E61" s="16" t="n">
        <v>6</v>
      </c>
      <c r="F61" s="16" t="inlineStr">
        <is>
          <t>EW</t>
        </is>
      </c>
      <c r="G61" s="15" t="n"/>
      <c r="H61" s="15" t="n"/>
      <c r="I61" s="15" t="n"/>
      <c r="J61" s="15" t="n"/>
      <c r="K61" s="15" t="n"/>
      <c r="L61" s="15" t="n"/>
    </row>
    <row r="62">
      <c r="A62" s="11" t="n">
        <v>6</v>
      </c>
      <c r="B62" s="11" t="n">
        <v>1</v>
      </c>
      <c r="C62" s="11" t="inlineStr">
        <is>
          <t>Sit-Out</t>
        </is>
      </c>
      <c r="D62" s="11" t="n">
        <v>6</v>
      </c>
      <c r="E62" s="11" t="n">
        <v>11</v>
      </c>
      <c r="F62" s="11" t="inlineStr">
        <is>
          <t>None</t>
        </is>
      </c>
    </row>
    <row r="63">
      <c r="B63" s="16" t="n"/>
      <c r="C63" s="16" t="n"/>
      <c r="D63" s="16" t="n"/>
      <c r="E63" s="16" t="n">
        <v>12</v>
      </c>
      <c r="F63" s="16" t="inlineStr">
        <is>
          <t>NS</t>
        </is>
      </c>
      <c r="G63" s="15" t="n"/>
      <c r="H63" s="15" t="n"/>
      <c r="I63" s="15" t="n"/>
      <c r="J63" s="15" t="n"/>
      <c r="K63" s="15" t="n"/>
      <c r="L63" s="15" t="n"/>
    </row>
    <row r="64">
      <c r="B64" s="11" t="n">
        <v>2</v>
      </c>
      <c r="C64" s="11" t="n">
        <v>8</v>
      </c>
      <c r="D64" s="11" t="n">
        <v>4</v>
      </c>
      <c r="E64" s="11" t="n">
        <v>19</v>
      </c>
      <c r="F64" s="11" t="inlineStr">
        <is>
          <t>EW</t>
        </is>
      </c>
    </row>
    <row r="65">
      <c r="B65" s="16" t="n"/>
      <c r="C65" s="16" t="n"/>
      <c r="D65" s="16" t="n"/>
      <c r="E65" s="16" t="n">
        <v>20</v>
      </c>
      <c r="F65" s="16" t="inlineStr">
        <is>
          <t>Both</t>
        </is>
      </c>
      <c r="G65" s="15" t="n"/>
      <c r="H65" s="15" t="n"/>
      <c r="I65" s="15" t="n"/>
      <c r="J65" s="15" t="n"/>
      <c r="K65" s="15" t="n"/>
      <c r="L65" s="15" t="n"/>
    </row>
    <row r="66">
      <c r="B66" s="11" t="n">
        <v>3</v>
      </c>
      <c r="C66" s="11" t="n">
        <v>2</v>
      </c>
      <c r="D66" s="11" t="n">
        <v>1</v>
      </c>
      <c r="E66" s="11" t="n">
        <v>21</v>
      </c>
      <c r="F66" s="11" t="inlineStr">
        <is>
          <t>NS</t>
        </is>
      </c>
    </row>
    <row r="67">
      <c r="B67" s="16" t="n"/>
      <c r="C67" s="16" t="n"/>
      <c r="D67" s="16" t="n"/>
      <c r="E67" s="16" t="n">
        <v>22</v>
      </c>
      <c r="F67" s="16" t="inlineStr">
        <is>
          <t>EW</t>
        </is>
      </c>
      <c r="G67" s="15" t="n"/>
      <c r="H67" s="15" t="n"/>
      <c r="I67" s="15" t="n"/>
      <c r="J67" s="15" t="n"/>
      <c r="K67" s="15" t="n"/>
      <c r="L67" s="15" t="n"/>
    </row>
    <row r="68">
      <c r="B68" s="11" t="n">
        <v>4</v>
      </c>
      <c r="C68" s="11" t="n">
        <v>10</v>
      </c>
      <c r="D68" s="11" t="n">
        <v>5</v>
      </c>
      <c r="E68" s="11" t="n">
        <v>3</v>
      </c>
      <c r="F68" s="11" t="inlineStr">
        <is>
          <t>EW</t>
        </is>
      </c>
    </row>
    <row r="69">
      <c r="B69" s="16" t="n"/>
      <c r="C69" s="16" t="n"/>
      <c r="D69" s="16" t="n"/>
      <c r="E69" s="16" t="n">
        <v>4</v>
      </c>
      <c r="F69" s="16" t="inlineStr">
        <is>
          <t>Both</t>
        </is>
      </c>
      <c r="G69" s="15" t="n"/>
      <c r="H69" s="15" t="n"/>
      <c r="I69" s="15" t="n"/>
      <c r="J69" s="15" t="n"/>
      <c r="K69" s="15" t="n"/>
      <c r="L69" s="15" t="n"/>
    </row>
    <row r="70">
      <c r="B70" s="11" t="n">
        <v>5</v>
      </c>
      <c r="C70" s="11" t="n">
        <v>9</v>
      </c>
      <c r="D70" s="11" t="n">
        <v>7</v>
      </c>
      <c r="E70" s="11" t="n">
        <v>5</v>
      </c>
      <c r="F70" s="11" t="inlineStr">
        <is>
          <t>NS</t>
        </is>
      </c>
    </row>
    <row r="71">
      <c r="B71" s="16" t="n"/>
      <c r="C71" s="16" t="n"/>
      <c r="D71" s="16" t="n"/>
      <c r="E71" s="16" t="n">
        <v>6</v>
      </c>
      <c r="F71" s="16" t="inlineStr">
        <is>
          <t>EW</t>
        </is>
      </c>
      <c r="G71" s="15" t="n"/>
      <c r="H71" s="15" t="n"/>
      <c r="I71" s="15" t="n"/>
      <c r="J71" s="15" t="n"/>
      <c r="K71" s="15" t="n"/>
      <c r="L71" s="15" t="n"/>
    </row>
    <row r="72">
      <c r="B72" s="11" t="n">
        <v>6</v>
      </c>
      <c r="C72" s="11" t="n">
        <v>3</v>
      </c>
      <c r="D72" s="11" t="n">
        <v>11</v>
      </c>
      <c r="E72" s="11" t="n">
        <v>7</v>
      </c>
      <c r="F72" s="11" t="inlineStr">
        <is>
          <t>Both</t>
        </is>
      </c>
    </row>
    <row r="73">
      <c r="A73" s="15" t="n"/>
      <c r="B73" s="16" t="n"/>
      <c r="C73" s="16" t="n"/>
      <c r="D73" s="16" t="n"/>
      <c r="E73" s="16" t="n">
        <v>8</v>
      </c>
      <c r="F73" s="16" t="inlineStr">
        <is>
          <t>None</t>
        </is>
      </c>
      <c r="G73" s="15" t="n"/>
      <c r="H73" s="15" t="n"/>
      <c r="I73" s="15" t="n"/>
      <c r="J73" s="15" t="n"/>
      <c r="K73" s="15" t="n"/>
      <c r="L73" s="15" t="n"/>
    </row>
    <row r="74">
      <c r="A74" s="11" t="n">
        <v>7</v>
      </c>
      <c r="B74" s="11" t="n">
        <v>1</v>
      </c>
      <c r="C74" s="11" t="inlineStr">
        <is>
          <t>Sit-Out</t>
        </is>
      </c>
      <c r="D74" s="11" t="n">
        <v>7</v>
      </c>
      <c r="E74" s="11" t="n">
        <v>13</v>
      </c>
      <c r="F74" s="11" t="inlineStr">
        <is>
          <t>Both</t>
        </is>
      </c>
    </row>
    <row r="75">
      <c r="B75" s="16" t="n"/>
      <c r="C75" s="16" t="n"/>
      <c r="D75" s="16" t="n"/>
      <c r="E75" s="16" t="n">
        <v>14</v>
      </c>
      <c r="F75" s="16" t="inlineStr">
        <is>
          <t>None</t>
        </is>
      </c>
      <c r="G75" s="15" t="n"/>
      <c r="H75" s="15" t="n"/>
      <c r="I75" s="15" t="n"/>
      <c r="J75" s="15" t="n"/>
      <c r="K75" s="15" t="n"/>
      <c r="L75" s="15" t="n"/>
    </row>
    <row r="76">
      <c r="B76" s="11" t="n">
        <v>2</v>
      </c>
      <c r="C76" s="11" t="n">
        <v>9</v>
      </c>
      <c r="D76" s="11" t="n">
        <v>5</v>
      </c>
      <c r="E76" s="11" t="n">
        <v>21</v>
      </c>
      <c r="F76" s="11" t="inlineStr">
        <is>
          <t>NS</t>
        </is>
      </c>
    </row>
    <row r="77">
      <c r="B77" s="16" t="n"/>
      <c r="C77" s="16" t="n"/>
      <c r="D77" s="16" t="n"/>
      <c r="E77" s="16" t="n">
        <v>22</v>
      </c>
      <c r="F77" s="16" t="inlineStr">
        <is>
          <t>EW</t>
        </is>
      </c>
      <c r="G77" s="15" t="n"/>
      <c r="H77" s="15" t="n"/>
      <c r="I77" s="15" t="n"/>
      <c r="J77" s="15" t="n"/>
      <c r="K77" s="15" t="n"/>
      <c r="L77" s="15" t="n"/>
    </row>
    <row r="78">
      <c r="B78" s="11" t="n">
        <v>3</v>
      </c>
      <c r="C78" s="11" t="n">
        <v>3</v>
      </c>
      <c r="D78" s="11" t="n">
        <v>2</v>
      </c>
      <c r="E78" s="11" t="n">
        <v>1</v>
      </c>
      <c r="F78" s="11" t="inlineStr">
        <is>
          <t>None</t>
        </is>
      </c>
    </row>
    <row r="79">
      <c r="B79" s="16" t="n"/>
      <c r="C79" s="16" t="n"/>
      <c r="D79" s="16" t="n"/>
      <c r="E79" s="16" t="n">
        <v>2</v>
      </c>
      <c r="F79" s="16" t="inlineStr">
        <is>
          <t>NS</t>
        </is>
      </c>
      <c r="G79" s="15" t="n"/>
      <c r="H79" s="15" t="n"/>
      <c r="I79" s="15" t="n"/>
      <c r="J79" s="15" t="n"/>
      <c r="K79" s="15" t="n"/>
      <c r="L79" s="15" t="n"/>
    </row>
    <row r="80">
      <c r="B80" s="11" t="n">
        <v>4</v>
      </c>
      <c r="C80" s="11" t="n">
        <v>11</v>
      </c>
      <c r="D80" s="11" t="n">
        <v>6</v>
      </c>
      <c r="E80" s="11" t="n">
        <v>5</v>
      </c>
      <c r="F80" s="11" t="inlineStr">
        <is>
          <t>NS</t>
        </is>
      </c>
    </row>
    <row r="81">
      <c r="B81" s="16" t="n"/>
      <c r="C81" s="16" t="n"/>
      <c r="D81" s="16" t="n"/>
      <c r="E81" s="16" t="n">
        <v>6</v>
      </c>
      <c r="F81" s="16" t="inlineStr">
        <is>
          <t>EW</t>
        </is>
      </c>
      <c r="G81" s="15" t="n"/>
      <c r="H81" s="15" t="n"/>
      <c r="I81" s="15" t="n"/>
      <c r="J81" s="15" t="n"/>
      <c r="K81" s="15" t="n"/>
      <c r="L81" s="15" t="n"/>
    </row>
    <row r="82">
      <c r="B82" s="11" t="n">
        <v>5</v>
      </c>
      <c r="C82" s="11" t="n">
        <v>10</v>
      </c>
      <c r="D82" s="11" t="n">
        <v>8</v>
      </c>
      <c r="E82" s="11" t="n">
        <v>7</v>
      </c>
      <c r="F82" s="11" t="inlineStr">
        <is>
          <t>Both</t>
        </is>
      </c>
    </row>
    <row r="83">
      <c r="B83" s="16" t="n"/>
      <c r="C83" s="16" t="n"/>
      <c r="D83" s="16" t="n"/>
      <c r="E83" s="16" t="n">
        <v>8</v>
      </c>
      <c r="F83" s="16" t="inlineStr">
        <is>
          <t>None</t>
        </is>
      </c>
      <c r="G83" s="15" t="n"/>
      <c r="H83" s="15" t="n"/>
      <c r="I83" s="15" t="n"/>
      <c r="J83" s="15" t="n"/>
      <c r="K83" s="15" t="n"/>
      <c r="L83" s="15" t="n"/>
    </row>
    <row r="84">
      <c r="B84" s="11" t="n">
        <v>6</v>
      </c>
      <c r="C84" s="11" t="n">
        <v>4</v>
      </c>
      <c r="D84" s="11" t="n">
        <v>1</v>
      </c>
      <c r="E84" s="11" t="n">
        <v>9</v>
      </c>
      <c r="F84" s="11" t="inlineStr">
        <is>
          <t>EW</t>
        </is>
      </c>
    </row>
    <row r="85">
      <c r="A85" s="15" t="n"/>
      <c r="B85" s="16" t="n"/>
      <c r="C85" s="16" t="n"/>
      <c r="D85" s="16" t="n"/>
      <c r="E85" s="16" t="n">
        <v>10</v>
      </c>
      <c r="F85" s="16" t="inlineStr">
        <is>
          <t>Both</t>
        </is>
      </c>
      <c r="G85" s="15" t="n"/>
      <c r="H85" s="15" t="n"/>
      <c r="I85" s="15" t="n"/>
      <c r="J85" s="15" t="n"/>
      <c r="K85" s="15" t="n"/>
      <c r="L85" s="15" t="n"/>
    </row>
    <row r="86">
      <c r="A86" s="11" t="n">
        <v>8</v>
      </c>
      <c r="B86" s="11" t="n">
        <v>1</v>
      </c>
      <c r="C86" s="11" t="inlineStr">
        <is>
          <t>Sit-Out</t>
        </is>
      </c>
      <c r="D86" s="11" t="n">
        <v>8</v>
      </c>
      <c r="E86" s="11" t="n">
        <v>15</v>
      </c>
      <c r="F86" s="11" t="inlineStr">
        <is>
          <t>NS</t>
        </is>
      </c>
    </row>
    <row r="87">
      <c r="B87" s="16" t="n"/>
      <c r="C87" s="16" t="n"/>
      <c r="D87" s="16" t="n"/>
      <c r="E87" s="16" t="n">
        <v>16</v>
      </c>
      <c r="F87" s="16" t="inlineStr">
        <is>
          <t>EW</t>
        </is>
      </c>
      <c r="G87" s="15" t="n"/>
      <c r="H87" s="15" t="n"/>
      <c r="I87" s="15" t="n"/>
      <c r="J87" s="15" t="n"/>
      <c r="K87" s="15" t="n"/>
      <c r="L87" s="15" t="n"/>
    </row>
    <row r="88">
      <c r="B88" s="11" t="n">
        <v>2</v>
      </c>
      <c r="C88" s="11" t="n">
        <v>10</v>
      </c>
      <c r="D88" s="11" t="n">
        <v>6</v>
      </c>
      <c r="E88" s="11" t="n">
        <v>1</v>
      </c>
      <c r="F88" s="11" t="inlineStr">
        <is>
          <t>None</t>
        </is>
      </c>
    </row>
    <row r="89">
      <c r="B89" s="16" t="n"/>
      <c r="C89" s="16" t="n"/>
      <c r="D89" s="16" t="n"/>
      <c r="E89" s="16" t="n">
        <v>2</v>
      </c>
      <c r="F89" s="16" t="inlineStr">
        <is>
          <t>NS</t>
        </is>
      </c>
      <c r="G89" s="15" t="n"/>
      <c r="H89" s="15" t="n"/>
      <c r="I89" s="15" t="n"/>
      <c r="J89" s="15" t="n"/>
      <c r="K89" s="15" t="n"/>
      <c r="L89" s="15" t="n"/>
    </row>
    <row r="90">
      <c r="B90" s="11" t="n">
        <v>3</v>
      </c>
      <c r="C90" s="11" t="n">
        <v>4</v>
      </c>
      <c r="D90" s="11" t="n">
        <v>3</v>
      </c>
      <c r="E90" s="11" t="n">
        <v>3</v>
      </c>
      <c r="F90" s="11" t="inlineStr">
        <is>
          <t>EW</t>
        </is>
      </c>
    </row>
    <row r="91">
      <c r="B91" s="16" t="n"/>
      <c r="C91" s="16" t="n"/>
      <c r="D91" s="16" t="n"/>
      <c r="E91" s="16" t="n">
        <v>4</v>
      </c>
      <c r="F91" s="16" t="inlineStr">
        <is>
          <t>Both</t>
        </is>
      </c>
      <c r="G91" s="15" t="n"/>
      <c r="H91" s="15" t="n"/>
      <c r="I91" s="15" t="n"/>
      <c r="J91" s="15" t="n"/>
      <c r="K91" s="15" t="n"/>
      <c r="L91" s="15" t="n"/>
    </row>
    <row r="92">
      <c r="B92" s="11" t="n">
        <v>4</v>
      </c>
      <c r="C92" s="11" t="n">
        <v>1</v>
      </c>
      <c r="D92" s="11" t="n">
        <v>7</v>
      </c>
      <c r="E92" s="11" t="n">
        <v>7</v>
      </c>
      <c r="F92" s="11" t="inlineStr">
        <is>
          <t>Both</t>
        </is>
      </c>
    </row>
    <row r="93">
      <c r="B93" s="16" t="n"/>
      <c r="C93" s="16" t="n"/>
      <c r="D93" s="16" t="n"/>
      <c r="E93" s="16" t="n">
        <v>8</v>
      </c>
      <c r="F93" s="16" t="inlineStr">
        <is>
          <t>None</t>
        </is>
      </c>
      <c r="G93" s="15" t="n"/>
      <c r="H93" s="15" t="n"/>
      <c r="I93" s="15" t="n"/>
      <c r="J93" s="15" t="n"/>
      <c r="K93" s="15" t="n"/>
      <c r="L93" s="15" t="n"/>
    </row>
    <row r="94">
      <c r="B94" s="11" t="n">
        <v>5</v>
      </c>
      <c r="C94" s="11" t="n">
        <v>11</v>
      </c>
      <c r="D94" s="11" t="n">
        <v>9</v>
      </c>
      <c r="E94" s="11" t="n">
        <v>9</v>
      </c>
      <c r="F94" s="11" t="inlineStr">
        <is>
          <t>EW</t>
        </is>
      </c>
    </row>
    <row r="95">
      <c r="B95" s="16" t="n"/>
      <c r="C95" s="16" t="n"/>
      <c r="D95" s="16" t="n"/>
      <c r="E95" s="16" t="n">
        <v>10</v>
      </c>
      <c r="F95" s="16" t="inlineStr">
        <is>
          <t>Both</t>
        </is>
      </c>
      <c r="G95" s="15" t="n"/>
      <c r="H95" s="15" t="n"/>
      <c r="I95" s="15" t="n"/>
      <c r="J95" s="15" t="n"/>
      <c r="K95" s="15" t="n"/>
      <c r="L95" s="15" t="n"/>
    </row>
    <row r="96">
      <c r="B96" s="11" t="n">
        <v>6</v>
      </c>
      <c r="C96" s="11" t="n">
        <v>5</v>
      </c>
      <c r="D96" s="11" t="n">
        <v>2</v>
      </c>
      <c r="E96" s="11" t="n">
        <v>11</v>
      </c>
      <c r="F96" s="11" t="inlineStr">
        <is>
          <t>None</t>
        </is>
      </c>
    </row>
    <row r="97">
      <c r="A97" s="15" t="n"/>
      <c r="B97" s="16" t="n"/>
      <c r="C97" s="16" t="n"/>
      <c r="D97" s="16" t="n"/>
      <c r="E97" s="16" t="n">
        <v>12</v>
      </c>
      <c r="F97" s="16" t="inlineStr">
        <is>
          <t>NS</t>
        </is>
      </c>
      <c r="G97" s="15" t="n"/>
      <c r="H97" s="15" t="n"/>
      <c r="I97" s="15" t="n"/>
      <c r="J97" s="15" t="n"/>
      <c r="K97" s="15" t="n"/>
      <c r="L97" s="15" t="n"/>
    </row>
    <row r="98">
      <c r="A98" s="11" t="n">
        <v>9</v>
      </c>
      <c r="B98" s="11" t="n">
        <v>1</v>
      </c>
      <c r="C98" s="11" t="inlineStr">
        <is>
          <t>Sit-Out</t>
        </is>
      </c>
      <c r="D98" s="11" t="n">
        <v>9</v>
      </c>
      <c r="E98" s="11" t="n">
        <v>17</v>
      </c>
      <c r="F98" s="11" t="inlineStr">
        <is>
          <t>None</t>
        </is>
      </c>
    </row>
    <row r="99">
      <c r="B99" s="16" t="n"/>
      <c r="C99" s="16" t="n"/>
      <c r="D99" s="16" t="n"/>
      <c r="E99" s="16" t="n">
        <v>18</v>
      </c>
      <c r="F99" s="16" t="inlineStr">
        <is>
          <t>NS</t>
        </is>
      </c>
      <c r="G99" s="15" t="n"/>
      <c r="H99" s="15" t="n"/>
      <c r="I99" s="15" t="n"/>
      <c r="J99" s="15" t="n"/>
      <c r="K99" s="15" t="n"/>
      <c r="L99" s="15" t="n"/>
    </row>
    <row r="100">
      <c r="B100" s="11" t="n">
        <v>2</v>
      </c>
      <c r="C100" s="11" t="n">
        <v>11</v>
      </c>
      <c r="D100" s="11" t="n">
        <v>7</v>
      </c>
      <c r="E100" s="11" t="n">
        <v>3</v>
      </c>
      <c r="F100" s="11" t="inlineStr">
        <is>
          <t>EW</t>
        </is>
      </c>
    </row>
    <row r="101">
      <c r="B101" s="16" t="n"/>
      <c r="C101" s="16" t="n"/>
      <c r="D101" s="16" t="n"/>
      <c r="E101" s="16" t="n">
        <v>4</v>
      </c>
      <c r="F101" s="16" t="inlineStr">
        <is>
          <t>Both</t>
        </is>
      </c>
      <c r="G101" s="15" t="n"/>
      <c r="H101" s="15" t="n"/>
      <c r="I101" s="15" t="n"/>
      <c r="J101" s="15" t="n"/>
      <c r="K101" s="15" t="n"/>
      <c r="L101" s="15" t="n"/>
    </row>
    <row r="102">
      <c r="B102" s="11" t="n">
        <v>3</v>
      </c>
      <c r="C102" s="11" t="n">
        <v>5</v>
      </c>
      <c r="D102" s="11" t="n">
        <v>4</v>
      </c>
      <c r="E102" s="11" t="n">
        <v>5</v>
      </c>
      <c r="F102" s="11" t="inlineStr">
        <is>
          <t>NS</t>
        </is>
      </c>
    </row>
    <row r="103">
      <c r="B103" s="16" t="n"/>
      <c r="C103" s="16" t="n"/>
      <c r="D103" s="16" t="n"/>
      <c r="E103" s="16" t="n">
        <v>6</v>
      </c>
      <c r="F103" s="16" t="inlineStr">
        <is>
          <t>EW</t>
        </is>
      </c>
      <c r="G103" s="15" t="n"/>
      <c r="H103" s="15" t="n"/>
      <c r="I103" s="15" t="n"/>
      <c r="J103" s="15" t="n"/>
      <c r="K103" s="15" t="n"/>
      <c r="L103" s="15" t="n"/>
    </row>
    <row r="104">
      <c r="B104" s="11" t="n">
        <v>4</v>
      </c>
      <c r="C104" s="11" t="n">
        <v>2</v>
      </c>
      <c r="D104" s="11" t="n">
        <v>8</v>
      </c>
      <c r="E104" s="11" t="n">
        <v>9</v>
      </c>
      <c r="F104" s="11" t="inlineStr">
        <is>
          <t>EW</t>
        </is>
      </c>
    </row>
    <row r="105">
      <c r="B105" s="16" t="n"/>
      <c r="C105" s="16" t="n"/>
      <c r="D105" s="16" t="n"/>
      <c r="E105" s="16" t="n">
        <v>10</v>
      </c>
      <c r="F105" s="16" t="inlineStr">
        <is>
          <t>Both</t>
        </is>
      </c>
      <c r="G105" s="15" t="n"/>
      <c r="H105" s="15" t="n"/>
      <c r="I105" s="15" t="n"/>
      <c r="J105" s="15" t="n"/>
      <c r="K105" s="15" t="n"/>
      <c r="L105" s="15" t="n"/>
    </row>
    <row r="106">
      <c r="B106" s="11" t="n">
        <v>5</v>
      </c>
      <c r="C106" s="11" t="n">
        <v>1</v>
      </c>
      <c r="D106" s="11" t="n">
        <v>10</v>
      </c>
      <c r="E106" s="11" t="n">
        <v>11</v>
      </c>
      <c r="F106" s="11" t="inlineStr">
        <is>
          <t>None</t>
        </is>
      </c>
    </row>
    <row r="107">
      <c r="B107" s="16" t="n"/>
      <c r="C107" s="16" t="n"/>
      <c r="D107" s="16" t="n"/>
      <c r="E107" s="16" t="n">
        <v>12</v>
      </c>
      <c r="F107" s="16" t="inlineStr">
        <is>
          <t>NS</t>
        </is>
      </c>
      <c r="G107" s="15" t="n"/>
      <c r="H107" s="15" t="n"/>
      <c r="I107" s="15" t="n"/>
      <c r="J107" s="15" t="n"/>
      <c r="K107" s="15" t="n"/>
      <c r="L107" s="15" t="n"/>
    </row>
    <row r="108">
      <c r="B108" s="11" t="n">
        <v>6</v>
      </c>
      <c r="C108" s="11" t="n">
        <v>6</v>
      </c>
      <c r="D108" s="11" t="n">
        <v>3</v>
      </c>
      <c r="E108" s="11" t="n">
        <v>13</v>
      </c>
      <c r="F108" s="11" t="inlineStr">
        <is>
          <t>Both</t>
        </is>
      </c>
    </row>
    <row r="109">
      <c r="A109" s="15" t="n"/>
      <c r="B109" s="16" t="n"/>
      <c r="C109" s="16" t="n"/>
      <c r="D109" s="16" t="n"/>
      <c r="E109" s="16" t="n">
        <v>14</v>
      </c>
      <c r="F109" s="16" t="inlineStr">
        <is>
          <t>None</t>
        </is>
      </c>
      <c r="G109" s="15" t="n"/>
      <c r="H109" s="15" t="n"/>
      <c r="I109" s="15" t="n"/>
      <c r="J109" s="15" t="n"/>
      <c r="K109" s="15" t="n"/>
      <c r="L109" s="15" t="n"/>
    </row>
    <row r="110">
      <c r="A110" s="11" t="n">
        <v>10</v>
      </c>
      <c r="B110" s="11" t="n">
        <v>1</v>
      </c>
      <c r="C110" s="11" t="inlineStr">
        <is>
          <t>Sit-Out</t>
        </is>
      </c>
      <c r="D110" s="11" t="n">
        <v>10</v>
      </c>
      <c r="E110" s="11" t="n">
        <v>19</v>
      </c>
      <c r="F110" s="11" t="inlineStr">
        <is>
          <t>EW</t>
        </is>
      </c>
    </row>
    <row r="111">
      <c r="B111" s="16" t="n"/>
      <c r="C111" s="16" t="n"/>
      <c r="D111" s="16" t="n"/>
      <c r="E111" s="16" t="n">
        <v>20</v>
      </c>
      <c r="F111" s="16" t="inlineStr">
        <is>
          <t>Both</t>
        </is>
      </c>
      <c r="G111" s="15" t="n"/>
      <c r="H111" s="15" t="n"/>
      <c r="I111" s="15" t="n"/>
      <c r="J111" s="15" t="n"/>
      <c r="K111" s="15" t="n"/>
      <c r="L111" s="15" t="n"/>
    </row>
    <row r="112">
      <c r="B112" s="11" t="n">
        <v>2</v>
      </c>
      <c r="C112" s="11" t="n">
        <v>1</v>
      </c>
      <c r="D112" s="11" t="n">
        <v>8</v>
      </c>
      <c r="E112" s="11" t="n">
        <v>5</v>
      </c>
      <c r="F112" s="11" t="inlineStr">
        <is>
          <t>NS</t>
        </is>
      </c>
    </row>
    <row r="113">
      <c r="B113" s="16" t="n"/>
      <c r="C113" s="16" t="n"/>
      <c r="D113" s="16" t="n"/>
      <c r="E113" s="16" t="n">
        <v>6</v>
      </c>
      <c r="F113" s="16" t="inlineStr">
        <is>
          <t>EW</t>
        </is>
      </c>
      <c r="G113" s="15" t="n"/>
      <c r="H113" s="15" t="n"/>
      <c r="I113" s="15" t="n"/>
      <c r="J113" s="15" t="n"/>
      <c r="K113" s="15" t="n"/>
      <c r="L113" s="15" t="n"/>
    </row>
    <row r="114">
      <c r="B114" s="11" t="n">
        <v>3</v>
      </c>
      <c r="C114" s="11" t="n">
        <v>6</v>
      </c>
      <c r="D114" s="11" t="n">
        <v>5</v>
      </c>
      <c r="E114" s="11" t="n">
        <v>7</v>
      </c>
      <c r="F114" s="11" t="inlineStr">
        <is>
          <t>Both</t>
        </is>
      </c>
    </row>
    <row r="115">
      <c r="B115" s="16" t="n"/>
      <c r="C115" s="16" t="n"/>
      <c r="D115" s="16" t="n"/>
      <c r="E115" s="16" t="n">
        <v>8</v>
      </c>
      <c r="F115" s="16" t="inlineStr">
        <is>
          <t>None</t>
        </is>
      </c>
      <c r="G115" s="15" t="n"/>
      <c r="H115" s="15" t="n"/>
      <c r="I115" s="15" t="n"/>
      <c r="J115" s="15" t="n"/>
      <c r="K115" s="15" t="n"/>
      <c r="L115" s="15" t="n"/>
    </row>
    <row r="116">
      <c r="B116" s="11" t="n">
        <v>4</v>
      </c>
      <c r="C116" s="11" t="n">
        <v>3</v>
      </c>
      <c r="D116" s="11" t="n">
        <v>9</v>
      </c>
      <c r="E116" s="11" t="n">
        <v>11</v>
      </c>
      <c r="F116" s="11" t="inlineStr">
        <is>
          <t>None</t>
        </is>
      </c>
    </row>
    <row r="117">
      <c r="B117" s="16" t="n"/>
      <c r="C117" s="16" t="n"/>
      <c r="D117" s="16" t="n"/>
      <c r="E117" s="16" t="n">
        <v>12</v>
      </c>
      <c r="F117" s="16" t="inlineStr">
        <is>
          <t>NS</t>
        </is>
      </c>
      <c r="G117" s="15" t="n"/>
      <c r="H117" s="15" t="n"/>
      <c r="I117" s="15" t="n"/>
      <c r="J117" s="15" t="n"/>
      <c r="K117" s="15" t="n"/>
      <c r="L117" s="15" t="n"/>
    </row>
    <row r="118">
      <c r="B118" s="11" t="n">
        <v>5</v>
      </c>
      <c r="C118" s="11" t="n">
        <v>2</v>
      </c>
      <c r="D118" s="11" t="n">
        <v>11</v>
      </c>
      <c r="E118" s="11" t="n">
        <v>13</v>
      </c>
      <c r="F118" s="11" t="inlineStr">
        <is>
          <t>Both</t>
        </is>
      </c>
    </row>
    <row r="119">
      <c r="B119" s="16" t="n"/>
      <c r="C119" s="16" t="n"/>
      <c r="D119" s="16" t="n"/>
      <c r="E119" s="16" t="n">
        <v>14</v>
      </c>
      <c r="F119" s="16" t="inlineStr">
        <is>
          <t>None</t>
        </is>
      </c>
      <c r="G119" s="15" t="n"/>
      <c r="H119" s="15" t="n"/>
      <c r="I119" s="15" t="n"/>
      <c r="J119" s="15" t="n"/>
      <c r="K119" s="15" t="n"/>
      <c r="L119" s="15" t="n"/>
    </row>
    <row r="120">
      <c r="B120" s="11" t="n">
        <v>6</v>
      </c>
      <c r="C120" s="11" t="n">
        <v>7</v>
      </c>
      <c r="D120" s="11" t="n">
        <v>4</v>
      </c>
      <c r="E120" s="11" t="n">
        <v>15</v>
      </c>
      <c r="F120" s="11" t="inlineStr">
        <is>
          <t>NS</t>
        </is>
      </c>
    </row>
    <row r="121">
      <c r="A121" s="15" t="n"/>
      <c r="B121" s="16" t="n"/>
      <c r="C121" s="16" t="n"/>
      <c r="D121" s="16" t="n"/>
      <c r="E121" s="16" t="n">
        <v>16</v>
      </c>
      <c r="F121" s="16" t="inlineStr">
        <is>
          <t>EW</t>
        </is>
      </c>
      <c r="G121" s="15" t="n"/>
      <c r="H121" s="15" t="n"/>
      <c r="I121" s="15" t="n"/>
      <c r="J121" s="15" t="n"/>
      <c r="K121" s="15" t="n"/>
      <c r="L121" s="15" t="n"/>
    </row>
    <row r="122">
      <c r="A122" s="11" t="n">
        <v>11</v>
      </c>
      <c r="B122" s="11" t="n">
        <v>1</v>
      </c>
      <c r="C122" s="11" t="inlineStr">
        <is>
          <t>Sit-Out</t>
        </is>
      </c>
      <c r="D122" s="11" t="n">
        <v>11</v>
      </c>
      <c r="E122" s="11" t="n">
        <v>21</v>
      </c>
      <c r="F122" s="11" t="inlineStr">
        <is>
          <t>NS</t>
        </is>
      </c>
    </row>
    <row r="123">
      <c r="B123" s="16" t="n"/>
      <c r="C123" s="16" t="n"/>
      <c r="D123" s="16" t="n"/>
      <c r="E123" s="16" t="n">
        <v>22</v>
      </c>
      <c r="F123" s="16" t="inlineStr">
        <is>
          <t>EW</t>
        </is>
      </c>
      <c r="G123" s="15" t="n"/>
      <c r="H123" s="15" t="n"/>
      <c r="I123" s="15" t="n"/>
      <c r="J123" s="15" t="n"/>
      <c r="K123" s="15" t="n"/>
      <c r="L123" s="15" t="n"/>
    </row>
    <row r="124">
      <c r="B124" s="11" t="n">
        <v>2</v>
      </c>
      <c r="C124" s="11" t="n">
        <v>2</v>
      </c>
      <c r="D124" s="11" t="n">
        <v>9</v>
      </c>
      <c r="E124" s="11" t="n">
        <v>7</v>
      </c>
      <c r="F124" s="11" t="inlineStr">
        <is>
          <t>Both</t>
        </is>
      </c>
    </row>
    <row r="125">
      <c r="B125" s="16" t="n"/>
      <c r="C125" s="16" t="n"/>
      <c r="D125" s="16" t="n"/>
      <c r="E125" s="16" t="n">
        <v>8</v>
      </c>
      <c r="F125" s="16" t="inlineStr">
        <is>
          <t>None</t>
        </is>
      </c>
      <c r="G125" s="15" t="n"/>
      <c r="H125" s="15" t="n"/>
      <c r="I125" s="15" t="n"/>
      <c r="J125" s="15" t="n"/>
      <c r="K125" s="15" t="n"/>
      <c r="L125" s="15" t="n"/>
    </row>
    <row r="126">
      <c r="B126" s="11" t="n">
        <v>3</v>
      </c>
      <c r="C126" s="11" t="n">
        <v>7</v>
      </c>
      <c r="D126" s="11" t="n">
        <v>6</v>
      </c>
      <c r="E126" s="11" t="n">
        <v>9</v>
      </c>
      <c r="F126" s="11" t="inlineStr">
        <is>
          <t>EW</t>
        </is>
      </c>
    </row>
    <row r="127">
      <c r="B127" s="16" t="n"/>
      <c r="C127" s="16" t="n"/>
      <c r="D127" s="16" t="n"/>
      <c r="E127" s="16" t="n">
        <v>10</v>
      </c>
      <c r="F127" s="16" t="inlineStr">
        <is>
          <t>Both</t>
        </is>
      </c>
      <c r="G127" s="15" t="n"/>
      <c r="H127" s="15" t="n"/>
      <c r="I127" s="15" t="n"/>
      <c r="J127" s="15" t="n"/>
      <c r="K127" s="15" t="n"/>
      <c r="L127" s="15" t="n"/>
    </row>
    <row r="128">
      <c r="B128" s="11" t="n">
        <v>4</v>
      </c>
      <c r="C128" s="11" t="n">
        <v>4</v>
      </c>
      <c r="D128" s="11" t="n">
        <v>10</v>
      </c>
      <c r="E128" s="11" t="n">
        <v>13</v>
      </c>
      <c r="F128" s="11" t="inlineStr">
        <is>
          <t>Both</t>
        </is>
      </c>
    </row>
    <row r="129">
      <c r="B129" s="16" t="n"/>
      <c r="C129" s="16" t="n"/>
      <c r="D129" s="16" t="n"/>
      <c r="E129" s="16" t="n">
        <v>14</v>
      </c>
      <c r="F129" s="16" t="inlineStr">
        <is>
          <t>None</t>
        </is>
      </c>
      <c r="G129" s="15" t="n"/>
      <c r="H129" s="15" t="n"/>
      <c r="I129" s="15" t="n"/>
      <c r="J129" s="15" t="n"/>
      <c r="K129" s="15" t="n"/>
      <c r="L129" s="15" t="n"/>
    </row>
    <row r="130">
      <c r="B130" s="11" t="n">
        <v>5</v>
      </c>
      <c r="C130" s="11" t="n">
        <v>3</v>
      </c>
      <c r="D130" s="11" t="n">
        <v>1</v>
      </c>
      <c r="E130" s="11" t="n">
        <v>15</v>
      </c>
      <c r="F130" s="11" t="inlineStr">
        <is>
          <t>NS</t>
        </is>
      </c>
    </row>
    <row r="131">
      <c r="B131" s="16" t="n"/>
      <c r="C131" s="16" t="n"/>
      <c r="D131" s="16" t="n"/>
      <c r="E131" s="16" t="n">
        <v>16</v>
      </c>
      <c r="F131" s="16" t="inlineStr">
        <is>
          <t>EW</t>
        </is>
      </c>
      <c r="G131" s="15" t="n"/>
      <c r="H131" s="15" t="n"/>
      <c r="I131" s="15" t="n"/>
      <c r="J131" s="15" t="n"/>
      <c r="K131" s="15" t="n"/>
      <c r="L131" s="15" t="n"/>
    </row>
    <row r="132">
      <c r="B132" s="11" t="n">
        <v>6</v>
      </c>
      <c r="C132" s="11" t="n">
        <v>8</v>
      </c>
      <c r="D132" s="11" t="n">
        <v>5</v>
      </c>
      <c r="E132" s="11" t="n">
        <v>17</v>
      </c>
      <c r="F132" s="11" t="inlineStr">
        <is>
          <t>None</t>
        </is>
      </c>
    </row>
    <row r="133">
      <c r="A133" s="15" t="n"/>
      <c r="B133" s="16" t="n"/>
      <c r="C133" s="16" t="n"/>
      <c r="D133" s="16" t="n"/>
      <c r="E133" s="16" t="n">
        <v>18</v>
      </c>
      <c r="F133" s="16" t="inlineStr">
        <is>
          <t>NS</t>
        </is>
      </c>
      <c r="G133" s="15" t="n"/>
      <c r="H133" s="15" t="n"/>
      <c r="I133" s="15" t="n"/>
      <c r="J133" s="15" t="n"/>
      <c r="K133" s="15" t="n"/>
      <c r="L133" s="15" t="n"/>
    </row>
  </sheetData>
  <mergeCells count="1">
    <mergeCell ref="L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2026-02-06T18:15:14Z</dcterms:created>
  <dcterms:modified xsi:type="dcterms:W3CDTF">2026-02-06T18:15:14Z</dcterms:modified>
</cp:coreProperties>
</file>