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04,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14</v>
      </c>
    </row>
    <row r="4">
      <c r="A4" s="3" t="inlineStr">
        <is>
          <t>Tables</t>
        </is>
      </c>
      <c r="C4" s="3" t="n">
        <v>7</v>
      </c>
    </row>
    <row r="5">
      <c r="A5" s="3" t="inlineStr">
        <is>
          <t>Rounds</t>
        </is>
      </c>
      <c r="C5" s="3" t="n">
        <v>13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26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40</t>
        </is>
      </c>
      <c r="C10" t="inlineStr">
        <is>
          <t>Name 20</t>
        </is>
      </c>
      <c r="D10" s="4">
        <f>SUMIF('By Board'!$D$3:$D$184,"=1",'By Board'!$N$3:$N$184)/26+SUMIF('By Board'!$E$3:$E$184,"=1",'By Board'!$O$3:$O$184)/26</f>
        <v/>
      </c>
      <c r="E10" s="5">
        <f>SUMIF('By Board'!$D$3:$D$184,"=1",'By Board'!$L$3:$L$184)+SUMIF('By Board'!$E$3:$E$184,"=1",'By Board'!$M$3:$M$184)</f>
        <v/>
      </c>
    </row>
    <row r="11">
      <c r="A11" s="2" t="n">
        <v>2</v>
      </c>
      <c r="B11" t="inlineStr">
        <is>
          <t>Name 14</t>
        </is>
      </c>
      <c r="C11" t="inlineStr">
        <is>
          <t>Name 30</t>
        </is>
      </c>
      <c r="D11" s="4">
        <f>SUMIF('By Board'!$D$3:$D$184,"=2",'By Board'!$N$3:$N$184)/26+SUMIF('By Board'!$E$3:$E$184,"=2",'By Board'!$O$3:$O$184)/26</f>
        <v/>
      </c>
      <c r="E11" s="5">
        <f>SUMIF('By Board'!$D$3:$D$184,"=2",'By Board'!$L$3:$L$184)+SUMIF('By Board'!$E$3:$E$184,"=2",'By Board'!$M$3:$M$184)</f>
        <v/>
      </c>
    </row>
    <row r="12">
      <c r="A12" s="2" t="n">
        <v>3</v>
      </c>
      <c r="B12" t="inlineStr">
        <is>
          <t>Name 51</t>
        </is>
      </c>
      <c r="C12" t="inlineStr">
        <is>
          <t>Name 58</t>
        </is>
      </c>
      <c r="D12" s="4">
        <f>SUMIF('By Board'!$D$3:$D$184,"=3",'By Board'!$N$3:$N$184)/26+SUMIF('By Board'!$E$3:$E$184,"=3",'By Board'!$O$3:$O$184)/26</f>
        <v/>
      </c>
      <c r="E12" s="5">
        <f>SUMIF('By Board'!$D$3:$D$184,"=3",'By Board'!$L$3:$L$184)+SUMIF('By Board'!$E$3:$E$184,"=3",'By Board'!$M$3:$M$184)</f>
        <v/>
      </c>
    </row>
    <row r="13">
      <c r="A13" s="2" t="n">
        <v>4</v>
      </c>
      <c r="B13" t="inlineStr">
        <is>
          <t>Name 32</t>
        </is>
      </c>
      <c r="C13" t="inlineStr">
        <is>
          <t>Name 61</t>
        </is>
      </c>
      <c r="D13" s="4">
        <f>SUMIF('By Board'!$D$3:$D$184,"=4",'By Board'!$N$3:$N$184)/26+SUMIF('By Board'!$E$3:$E$184,"=4",'By Board'!$O$3:$O$184)/26</f>
        <v/>
      </c>
      <c r="E13" s="5">
        <f>SUMIF('By Board'!$D$3:$D$184,"=4",'By Board'!$L$3:$L$184)+SUMIF('By Board'!$E$3:$E$184,"=4",'By Board'!$M$3:$M$184)</f>
        <v/>
      </c>
    </row>
    <row r="14">
      <c r="A14" s="2" t="n">
        <v>5</v>
      </c>
      <c r="B14" t="inlineStr">
        <is>
          <t>Name 42</t>
        </is>
      </c>
      <c r="C14" t="inlineStr">
        <is>
          <t>Name 43</t>
        </is>
      </c>
      <c r="D14" s="4">
        <f>SUMIF('By Board'!$D$3:$D$184,"=5",'By Board'!$N$3:$N$184)/26+SUMIF('By Board'!$E$3:$E$184,"=5",'By Board'!$O$3:$O$184)/26</f>
        <v/>
      </c>
      <c r="E14" s="5">
        <f>SUMIF('By Board'!$D$3:$D$184,"=5",'By Board'!$L$3:$L$184)+SUMIF('By Board'!$E$3:$E$184,"=5",'By Board'!$M$3:$M$184)</f>
        <v/>
      </c>
    </row>
    <row r="15">
      <c r="A15" s="2" t="n">
        <v>6</v>
      </c>
      <c r="B15" t="inlineStr">
        <is>
          <t>Name 18</t>
        </is>
      </c>
      <c r="C15" t="inlineStr">
        <is>
          <t>Name 89</t>
        </is>
      </c>
      <c r="D15" s="4">
        <f>SUMIF('By Board'!$D$3:$D$184,"=6",'By Board'!$N$3:$N$184)/26+SUMIF('By Board'!$E$3:$E$184,"=6",'By Board'!$O$3:$O$184)/26</f>
        <v/>
      </c>
      <c r="E15" s="5">
        <f>SUMIF('By Board'!$D$3:$D$184,"=6",'By Board'!$L$3:$L$184)+SUMIF('By Board'!$E$3:$E$184,"=6",'By Board'!$M$3:$M$184)</f>
        <v/>
      </c>
    </row>
    <row r="16">
      <c r="A16" s="2" t="n">
        <v>7</v>
      </c>
      <c r="B16" t="inlineStr">
        <is>
          <t>Name 72</t>
        </is>
      </c>
      <c r="C16" t="inlineStr">
        <is>
          <t>Name 36</t>
        </is>
      </c>
      <c r="D16" s="4">
        <f>SUMIF('By Board'!$D$3:$D$184,"=7",'By Board'!$N$3:$N$184)/26+SUMIF('By Board'!$E$3:$E$184,"=7",'By Board'!$O$3:$O$184)/26</f>
        <v/>
      </c>
      <c r="E16" s="5">
        <f>SUMIF('By Board'!$D$3:$D$184,"=7",'By Board'!$L$3:$L$184)+SUMIF('By Board'!$E$3:$E$184,"=7",'By Board'!$M$3:$M$184)</f>
        <v/>
      </c>
    </row>
    <row r="17">
      <c r="A17" s="2" t="n">
        <v>8</v>
      </c>
      <c r="B17" t="inlineStr">
        <is>
          <t>Name 42</t>
        </is>
      </c>
      <c r="C17" t="inlineStr">
        <is>
          <t>Name 52</t>
        </is>
      </c>
      <c r="D17" s="4">
        <f>SUMIF('By Board'!$D$3:$D$184,"=8",'By Board'!$N$3:$N$184)/26+SUMIF('By Board'!$E$3:$E$184,"=8",'By Board'!$O$3:$O$184)/26</f>
        <v/>
      </c>
      <c r="E17" s="5">
        <f>SUMIF('By Board'!$D$3:$D$184,"=8",'By Board'!$L$3:$L$184)+SUMIF('By Board'!$E$3:$E$184,"=8",'By Board'!$M$3:$M$184)</f>
        <v/>
      </c>
    </row>
    <row r="18">
      <c r="A18" s="2" t="n">
        <v>9</v>
      </c>
      <c r="B18" t="inlineStr">
        <is>
          <t>Name 29</t>
        </is>
      </c>
      <c r="C18" t="inlineStr">
        <is>
          <t>Name 78</t>
        </is>
      </c>
      <c r="D18" s="4">
        <f>SUMIF('By Board'!$D$3:$D$184,"=9",'By Board'!$N$3:$N$184)/26+SUMIF('By Board'!$E$3:$E$184,"=9",'By Board'!$O$3:$O$184)/26</f>
        <v/>
      </c>
      <c r="E18" s="5">
        <f>SUMIF('By Board'!$D$3:$D$184,"=9",'By Board'!$L$3:$L$184)+SUMIF('By Board'!$E$3:$E$184,"=9",'By Board'!$M$3:$M$184)</f>
        <v/>
      </c>
    </row>
    <row r="19">
      <c r="A19" s="2" t="n">
        <v>10</v>
      </c>
      <c r="B19" t="inlineStr">
        <is>
          <t>Name 73</t>
        </is>
      </c>
      <c r="C19" t="inlineStr">
        <is>
          <t>Name 36</t>
        </is>
      </c>
      <c r="D19" s="4">
        <f>SUMIF('By Board'!$D$3:$D$184,"=10",'By Board'!$N$3:$N$184)/26+SUMIF('By Board'!$E$3:$E$184,"=10",'By Board'!$O$3:$O$184)/26</f>
        <v/>
      </c>
      <c r="E19" s="5">
        <f>SUMIF('By Board'!$D$3:$D$184,"=10",'By Board'!$L$3:$L$184)+SUMIF('By Board'!$E$3:$E$184,"=10",'By Board'!$M$3:$M$184)</f>
        <v/>
      </c>
    </row>
    <row r="20">
      <c r="A20" s="2" t="n">
        <v>11</v>
      </c>
      <c r="B20" t="inlineStr">
        <is>
          <t>Name 78</t>
        </is>
      </c>
      <c r="C20" t="inlineStr">
        <is>
          <t>Name 40</t>
        </is>
      </c>
      <c r="D20" s="4">
        <f>SUMIF('By Board'!$D$3:$D$184,"=11",'By Board'!$N$3:$N$184)/26+SUMIF('By Board'!$E$3:$E$184,"=11",'By Board'!$O$3:$O$184)/26</f>
        <v/>
      </c>
      <c r="E20" s="5">
        <f>SUMIF('By Board'!$D$3:$D$184,"=11",'By Board'!$L$3:$L$184)+SUMIF('By Board'!$E$3:$E$184,"=11",'By Board'!$M$3:$M$184)</f>
        <v/>
      </c>
    </row>
    <row r="21">
      <c r="A21" s="2" t="n">
        <v>12</v>
      </c>
      <c r="B21" t="inlineStr">
        <is>
          <t>Name 84</t>
        </is>
      </c>
      <c r="C21" t="inlineStr">
        <is>
          <t>Name 88</t>
        </is>
      </c>
      <c r="D21" s="4">
        <f>SUMIF('By Board'!$D$3:$D$184,"=12",'By Board'!$N$3:$N$184)/26+SUMIF('By Board'!$E$3:$E$184,"=12",'By Board'!$O$3:$O$184)/26</f>
        <v/>
      </c>
      <c r="E21" s="5">
        <f>SUMIF('By Board'!$D$3:$D$184,"=12",'By Board'!$L$3:$L$184)+SUMIF('By Board'!$E$3:$E$184,"=12",'By Board'!$M$3:$M$184)</f>
        <v/>
      </c>
    </row>
    <row r="22">
      <c r="A22" s="2" t="n">
        <v>13</v>
      </c>
      <c r="B22" t="inlineStr">
        <is>
          <t>Name 53</t>
        </is>
      </c>
      <c r="C22" t="inlineStr">
        <is>
          <t>Name 83</t>
        </is>
      </c>
      <c r="D22" s="4">
        <f>SUMIF('By Board'!$D$3:$D$184,"=13",'By Board'!$N$3:$N$184)/26+SUMIF('By Board'!$E$3:$E$184,"=13",'By Board'!$O$3:$O$184)/26</f>
        <v/>
      </c>
      <c r="E22" s="5">
        <f>SUMIF('By Board'!$D$3:$D$184,"=13",'By Board'!$L$3:$L$184)+SUMIF('By Board'!$E$3:$E$184,"=13",'By Board'!$M$3:$M$184)</f>
        <v/>
      </c>
    </row>
    <row r="23">
      <c r="A23" s="2" t="n">
        <v>14</v>
      </c>
      <c r="B23" t="inlineStr">
        <is>
          <t>Name 65</t>
        </is>
      </c>
      <c r="C23" t="inlineStr">
        <is>
          <t>Name 19</t>
        </is>
      </c>
      <c r="D23" s="4">
        <f>SUMIF('By Board'!$D$3:$D$184,"=14",'By Board'!$N$3:$N$184)/26+0/26</f>
        <v/>
      </c>
      <c r="E23" s="5">
        <f>SUMIF('By Board'!$D$3:$D$184,"=14",'By Board'!$L$3:$L$184)+0</f>
        <v/>
      </c>
    </row>
    <row r="24">
      <c r="D24" s="6">
        <f>AVERAGE(D10:D23)</f>
        <v/>
      </c>
      <c r="E24" s="7">
        <f>SUM(E10:E23)</f>
        <v/>
      </c>
    </row>
    <row r="26">
      <c r="A26" t="inlineStr">
        <is>
          <t>To sort, remove single quote below</t>
        </is>
      </c>
    </row>
    <row r="27">
      <c r="A27" s="2" t="inlineStr">
        <is>
          <t>IMP Ranking</t>
        </is>
      </c>
    </row>
    <row r="28">
      <c r="A28" t="inlineStr">
        <is>
          <t>'=SORT(A10:E23,4,-1)</t>
        </is>
      </c>
      <c r="D28" s="5" t="n"/>
      <c r="E28" s="8" t="n"/>
    </row>
    <row r="29">
      <c r="D29" s="5" t="n"/>
      <c r="E29" s="8" t="n"/>
    </row>
    <row r="30">
      <c r="D30" s="5" t="n"/>
      <c r="E30" s="8" t="n"/>
    </row>
    <row r="31">
      <c r="D31" s="5" t="n"/>
      <c r="E31" s="8" t="n"/>
    </row>
    <row r="32">
      <c r="D32" s="5" t="n"/>
      <c r="E32" s="8" t="n"/>
    </row>
    <row r="33">
      <c r="D33" s="5" t="n"/>
      <c r="E33" s="8" t="n"/>
    </row>
    <row r="34">
      <c r="D34" s="5" t="n"/>
      <c r="E34" s="8" t="n"/>
    </row>
    <row r="35">
      <c r="D35" s="5" t="n"/>
      <c r="E35" s="8" t="n"/>
    </row>
    <row r="36">
      <c r="D36" s="5" t="n"/>
      <c r="E36" s="8" t="n"/>
    </row>
    <row r="37">
      <c r="D37" s="5" t="n"/>
      <c r="E37" s="8" t="n"/>
    </row>
    <row r="38">
      <c r="D38" s="5" t="n"/>
      <c r="E38" s="8" t="n"/>
    </row>
    <row r="39">
      <c r="D39" s="5" t="n"/>
      <c r="E39" s="8" t="n"/>
    </row>
    <row r="40">
      <c r="D40" s="5" t="n"/>
      <c r="E40" s="8" t="n"/>
    </row>
    <row r="41">
      <c r="D41" s="5" t="n"/>
      <c r="E41" s="8" t="n"/>
    </row>
    <row r="46">
      <c r="A46" s="2" t="inlineStr">
        <is>
          <t>MP Ranking</t>
        </is>
      </c>
    </row>
    <row r="47">
      <c r="A47" t="inlineStr">
        <is>
          <t>'=SORT(A10:E23,5,-1)</t>
        </is>
      </c>
      <c r="D47" s="5" t="n"/>
      <c r="E47" s="8" t="n"/>
    </row>
    <row r="48">
      <c r="D48" s="5" t="n"/>
      <c r="E48" s="8" t="n"/>
    </row>
    <row r="49">
      <c r="D49" s="5" t="n"/>
      <c r="E49" s="8" t="n"/>
    </row>
    <row r="50">
      <c r="D50" s="5" t="n"/>
      <c r="E50" s="8" t="n"/>
    </row>
    <row r="51">
      <c r="D51" s="5" t="n"/>
      <c r="E51" s="8" t="n"/>
    </row>
    <row r="52">
      <c r="D52" s="5" t="n"/>
      <c r="E52" s="8" t="n"/>
    </row>
    <row r="53">
      <c r="D53" s="5" t="n"/>
      <c r="E53" s="8" t="n"/>
    </row>
    <row r="54">
      <c r="D54" s="5" t="n"/>
      <c r="E54" s="8" t="n"/>
    </row>
    <row r="55">
      <c r="D55" s="5" t="n"/>
      <c r="E55" s="8" t="n"/>
    </row>
    <row r="56">
      <c r="D56" s="5" t="n"/>
      <c r="E56" s="8" t="n"/>
    </row>
    <row r="57">
      <c r="D57" s="5" t="n"/>
      <c r="E57" s="8" t="n"/>
    </row>
    <row r="58">
      <c r="D58" s="5" t="n"/>
      <c r="E58" s="8" t="n"/>
    </row>
    <row r="59">
      <c r="D59" s="5" t="n"/>
      <c r="E59" s="8" t="n"/>
    </row>
    <row r="60">
      <c r="D60" s="5" t="n"/>
      <c r="E60" s="8" t="n"/>
    </row>
  </sheetData>
  <mergeCells count="9">
    <mergeCell ref="A4:B4"/>
    <mergeCell ref="A7:B7"/>
    <mergeCell ref="A2:E2"/>
    <mergeCell ref="A5:B5"/>
    <mergeCell ref="A9:C9"/>
    <mergeCell ref="A46:E46"/>
    <mergeCell ref="A3:B3"/>
    <mergeCell ref="A6:B6"/>
    <mergeCell ref="A27:E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Q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AF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Z2" s="2" t="inlineStr">
        <is>
          <t>EW MP Scores</t>
        </is>
      </c>
      <c r="AF2" s="10" t="inlineStr">
        <is>
          <t>NS IMP Pair-wise</t>
        </is>
      </c>
      <c r="AL2" s="2" t="inlineStr">
        <is>
          <t>EW IMP Pair-wise</t>
        </is>
      </c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1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SUM(AF3:AK3)</f>
        <v/>
      </c>
      <c r="M3" s="13">
        <f>SUM(AL3:AQ3)</f>
        <v/>
      </c>
      <c r="N3" s="8">
        <f>IF(COUNT(T3:Y3)&gt;0,P3/COUNT(T3:Y3),0.5)</f>
        <v/>
      </c>
      <c r="O3" s="8">
        <f>IF(COUNT(Z3:AE3)&gt;0,Q3/COUNT(Z3:AE3),0.5)</f>
        <v/>
      </c>
      <c r="P3" s="5">
        <f>SUM(T3:Y3)</f>
        <v/>
      </c>
      <c r="Q3" s="5">
        <f>SUM(Z3:AE3)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IF(ISNUMBER(R3),IF(ISNUMBER(R8),IF(R3&gt;R8,1.0,IF(R3=R8,0.5,0.0)),""),"")</f>
        <v/>
      </c>
      <c r="Y3">
        <f>IF(ISNUMBER(R3),IF(ISNUMBER(R9),IF(R3&gt;R9,1.0,IF(R3=R9,0.5,0.0)),""),"")</f>
        <v/>
      </c>
      <c r="Z3">
        <f>IF(ISNUMBER(S3),IF(ISNUMBER(S4),IF(S3&gt;S4,1.0,IF(S3=S4,0.5,0.0)),""),"")</f>
        <v/>
      </c>
      <c r="AA3">
        <f>IF(ISNUMBER(S3),IF(ISNUMBER(S5),IF(S3&gt;S5,1.0,IF(S3=S5,0.5,0.0)),""),"")</f>
        <v/>
      </c>
      <c r="AB3">
        <f>IF(ISNUMBER(S3),IF(ISNUMBER(S6),IF(S3&gt;S6,1.0,IF(S3=S6,0.5,0.0)),""),"")</f>
        <v/>
      </c>
      <c r="AC3">
        <f>IF(ISNUMBER(S3),IF(ISNUMBER(S7),IF(S3&gt;S7,1.0,IF(S3=S7,0.5,0.0)),""),"")</f>
        <v/>
      </c>
      <c r="AD3">
        <f>IF(ISNUMBER(S3),IF(ISNUMBER(S8),IF(S3&gt;S8,1.0,IF(S3=S8,0.5,0.0)),""),"")</f>
        <v/>
      </c>
      <c r="AE3">
        <f>IF(ISNUMBER(S3),IF(ISNUMBER(S9),IF(S3&gt;S9,1.0,IF(S3=S9,0.5,0.0)),""),"")</f>
        <v/>
      </c>
      <c r="AF3" s="14">
        <f>IF(AND(ISNUMBER(R3),ISNUMBER(R4)),VLOOKUP(ABS(R3-R4),'IMP Table'!$A$2:$C$26,3)*SIGN(R3-R4),0)</f>
        <v/>
      </c>
      <c r="AG3">
        <f>IF(AND(ISNUMBER(R3),ISNUMBER(R5)),VLOOKUP(ABS(R3-R5),'IMP Table'!$A$2:$C$26,3)*SIGN(R3-R5),0)</f>
        <v/>
      </c>
      <c r="AH3">
        <f>IF(AND(ISNUMBER(R3),ISNUMBER(R6)),VLOOKUP(ABS(R3-R6),'IMP Table'!$A$2:$C$26,3)*SIGN(R3-R6),0)</f>
        <v/>
      </c>
      <c r="AI3">
        <f>IF(AND(ISNUMBER(R3),ISNUMBER(R7)),VLOOKUP(ABS(R3-R7),'IMP Table'!$A$2:$C$26,3)*SIGN(R3-R7),0)</f>
        <v/>
      </c>
      <c r="AJ3">
        <f>IF(AND(ISNUMBER(R3),ISNUMBER(R8)),VLOOKUP(ABS(R3-R8),'IMP Table'!$A$2:$C$26,3)*SIGN(R3-R8),0)</f>
        <v/>
      </c>
      <c r="AK3">
        <f>IF(AND(ISNUMBER(R3),ISNUMBER(R9)),VLOOKUP(ABS(R3-R9),'IMP Table'!$A$2:$C$26,3)*SIGN(R3-R9),0)</f>
        <v/>
      </c>
      <c r="AL3">
        <f>IF(AND(ISNUMBER(S3),ISNUMBER(S4)),VLOOKUP(ABS(S3-S4),'IMP Table'!$A$2:$C$26,3)*SIGN(S3-S4),0)</f>
        <v/>
      </c>
      <c r="AM3">
        <f>IF(AND(ISNUMBER(S3),ISNUMBER(S5)),VLOOKUP(ABS(S3-S5),'IMP Table'!$A$2:$C$26,3)*SIGN(S3-S5),0)</f>
        <v/>
      </c>
      <c r="AN3">
        <f>IF(AND(ISNUMBER(S3),ISNUMBER(S6)),VLOOKUP(ABS(S3-S6),'IMP Table'!$A$2:$C$26,3)*SIGN(S3-S6),0)</f>
        <v/>
      </c>
      <c r="AO3">
        <f>IF(AND(ISNUMBER(S3),ISNUMBER(S7)),VLOOKUP(ABS(S3-S7),'IMP Table'!$A$2:$C$26,3)*SIGN(S3-S7),0)</f>
        <v/>
      </c>
      <c r="AP3">
        <f>IF(AND(ISNUMBER(S3),ISNUMBER(S8)),VLOOKUP(ABS(S3-S8),'IMP Table'!$A$2:$C$26,3)*SIGN(S3-S8),0)</f>
        <v/>
      </c>
      <c r="AQ3">
        <f>IF(AND(ISNUMBER(S3),ISNUMBER(S9)),VLOOKUP(ABS(S3-S9),'IMP Table'!$A$2:$C$26,3)*SIGN(S3-S9),0)</f>
        <v/>
      </c>
    </row>
    <row r="4">
      <c r="B4">
        <f>'By Round'!A31</f>
        <v/>
      </c>
      <c r="C4">
        <f>'By Round'!B43</f>
        <v/>
      </c>
      <c r="D4">
        <f>'By Round'!C43</f>
        <v/>
      </c>
      <c r="E4">
        <f>'By Round'!D43</f>
        <v/>
      </c>
      <c r="F4" s="11" t="inlineStr">
        <is>
          <t>None</t>
        </is>
      </c>
      <c r="G4">
        <f>IF(ISBLANK('By Round'!G43),"",'By Round'!G43)</f>
        <v/>
      </c>
      <c r="H4">
        <f>IF(ISBLANK('By Round'!H43),"",'By Round'!H43)</f>
        <v/>
      </c>
      <c r="I4">
        <f>IF(ISBLANK('By Round'!I43),"",'By Round'!I43)</f>
        <v/>
      </c>
      <c r="J4">
        <f>IF(ISBLANK('By Round'!J43),"",'By Round'!J43)</f>
        <v/>
      </c>
      <c r="K4">
        <f>IF(ISBLANK('By Round'!K43),"",'By Round'!K43)</f>
        <v/>
      </c>
      <c r="L4" s="12">
        <f>SUM(AF4:AK4)</f>
        <v/>
      </c>
      <c r="M4" s="13">
        <f>SUM(AL4:AQ4)</f>
        <v/>
      </c>
      <c r="N4" s="8">
        <f>IF(COUNT(T4:Y4)&gt;0,P4/COUNT(T4:Y4),0.5)</f>
        <v/>
      </c>
      <c r="O4" s="8">
        <f>IF(COUNT(Z4:AE4)&gt;0,Q4/COUNT(Z4:AE4),0.5)</f>
        <v/>
      </c>
      <c r="P4" s="5">
        <f>SUM(T4:Y4)</f>
        <v/>
      </c>
      <c r="Q4" s="5">
        <f>SUM(Z4:AE4)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IF(ISNUMBER(R4),IF(ISNUMBER(R8),IF(R4&gt;R8,1.0,IF(R4=R8,0.5,0.0)),""),"")</f>
        <v/>
      </c>
      <c r="Y4">
        <f>IF(ISNUMBER(R4),IF(ISNUMBER(R9),IF(R4&gt;R9,1.0,IF(R4=R9,0.5,0.0)),""),"")</f>
        <v/>
      </c>
      <c r="Z4">
        <f>IF(ISNUMBER(S4),IF(ISNUMBER(S3),IF(S4&gt;S3,1.0,IF(S4=S3,0.5,0.0)),""),"")</f>
        <v/>
      </c>
      <c r="AA4">
        <f>IF(ISNUMBER(S4),IF(ISNUMBER(S5),IF(S4&gt;S5,1.0,IF(S4=S5,0.5,0.0)),""),"")</f>
        <v/>
      </c>
      <c r="AB4">
        <f>IF(ISNUMBER(S4),IF(ISNUMBER(S6),IF(S4&gt;S6,1.0,IF(S4=S6,0.5,0.0)),""),"")</f>
        <v/>
      </c>
      <c r="AC4">
        <f>IF(ISNUMBER(S4),IF(ISNUMBER(S7),IF(S4&gt;S7,1.0,IF(S4=S7,0.5,0.0)),""),"")</f>
        <v/>
      </c>
      <c r="AD4">
        <f>IF(ISNUMBER(S4),IF(ISNUMBER(S8),IF(S4&gt;S8,1.0,IF(S4=S8,0.5,0.0)),""),"")</f>
        <v/>
      </c>
      <c r="AE4">
        <f>IF(ISNUMBER(S4),IF(ISNUMBER(S9),IF(S4&gt;S9,1.0,IF(S4=S9,0.5,0.0)),""),"")</f>
        <v/>
      </c>
      <c r="AF4" s="14">
        <f>IF(AND(ISNUMBER(R4),ISNUMBER(R3)),VLOOKUP(ABS(R4-R3),'IMP Table'!$A$2:$C$26,3)*SIGN(R4-R3),0)</f>
        <v/>
      </c>
      <c r="AG4">
        <f>IF(AND(ISNUMBER(R4),ISNUMBER(R5)),VLOOKUP(ABS(R4-R5),'IMP Table'!$A$2:$C$26,3)*SIGN(R4-R5),0)</f>
        <v/>
      </c>
      <c r="AH4">
        <f>IF(AND(ISNUMBER(R4),ISNUMBER(R6)),VLOOKUP(ABS(R4-R6),'IMP Table'!$A$2:$C$26,3)*SIGN(R4-R6),0)</f>
        <v/>
      </c>
      <c r="AI4">
        <f>IF(AND(ISNUMBER(R4),ISNUMBER(R7)),VLOOKUP(ABS(R4-R7),'IMP Table'!$A$2:$C$26,3)*SIGN(R4-R7),0)</f>
        <v/>
      </c>
      <c r="AJ4">
        <f>IF(AND(ISNUMBER(R4),ISNUMBER(R8)),VLOOKUP(ABS(R4-R8),'IMP Table'!$A$2:$C$26,3)*SIGN(R4-R8),0)</f>
        <v/>
      </c>
      <c r="AK4">
        <f>IF(AND(ISNUMBER(R4),ISNUMBER(R9)),VLOOKUP(ABS(R4-R9),'IMP Table'!$A$2:$C$26,3)*SIGN(R4-R9),0)</f>
        <v/>
      </c>
      <c r="AL4">
        <f>IF(AND(ISNUMBER(S4),ISNUMBER(S3)),VLOOKUP(ABS(S4-S3),'IMP Table'!$A$2:$C$26,3)*SIGN(S4-S3),0)</f>
        <v/>
      </c>
      <c r="AM4">
        <f>IF(AND(ISNUMBER(S4),ISNUMBER(S5)),VLOOKUP(ABS(S4-S5),'IMP Table'!$A$2:$C$26,3)*SIGN(S4-S5),0)</f>
        <v/>
      </c>
      <c r="AN4">
        <f>IF(AND(ISNUMBER(S4),ISNUMBER(S6)),VLOOKUP(ABS(S4-S6),'IMP Table'!$A$2:$C$26,3)*SIGN(S4-S6),0)</f>
        <v/>
      </c>
      <c r="AO4">
        <f>IF(AND(ISNUMBER(S4),ISNUMBER(S7)),VLOOKUP(ABS(S4-S7),'IMP Table'!$A$2:$C$26,3)*SIGN(S4-S7),0)</f>
        <v/>
      </c>
      <c r="AP4">
        <f>IF(AND(ISNUMBER(S4),ISNUMBER(S8)),VLOOKUP(ABS(S4-S8),'IMP Table'!$A$2:$C$26,3)*SIGN(S4-S8),0)</f>
        <v/>
      </c>
      <c r="AQ4">
        <f>IF(AND(ISNUMBER(S4),ISNUMBER(S9)),VLOOKUP(ABS(S4-S9),'IMP Table'!$A$2:$C$26,3)*SIGN(S4-S9),0)</f>
        <v/>
      </c>
    </row>
    <row r="5">
      <c r="B5">
        <f>'By Round'!A45</f>
        <v/>
      </c>
      <c r="C5">
        <f>'By Round'!B55</f>
        <v/>
      </c>
      <c r="D5">
        <f>'By Round'!C55</f>
        <v/>
      </c>
      <c r="E5">
        <f>'By Round'!D55</f>
        <v/>
      </c>
      <c r="F5" s="11" t="inlineStr">
        <is>
          <t>None</t>
        </is>
      </c>
      <c r="G5">
        <f>IF(ISBLANK('By Round'!G55),"",'By Round'!G55)</f>
        <v/>
      </c>
      <c r="H5">
        <f>IF(ISBLANK('By Round'!H55),"",'By Round'!H55)</f>
        <v/>
      </c>
      <c r="I5">
        <f>IF(ISBLANK('By Round'!I55),"",'By Round'!I55)</f>
        <v/>
      </c>
      <c r="J5">
        <f>IF(ISBLANK('By Round'!J55),"",'By Round'!J55)</f>
        <v/>
      </c>
      <c r="K5">
        <f>IF(ISBLANK('By Round'!K55),"",'By Round'!K55)</f>
        <v/>
      </c>
      <c r="L5" s="12">
        <f>SUM(AF5:AK5)</f>
        <v/>
      </c>
      <c r="M5" s="13">
        <f>SUM(AL5:AQ5)</f>
        <v/>
      </c>
      <c r="N5" s="8">
        <f>IF(COUNT(T5:Y5)&gt;0,P5/COUNT(T5:Y5),0.5)</f>
        <v/>
      </c>
      <c r="O5" s="8">
        <f>IF(COUNT(Z5:AE5)&gt;0,Q5/COUNT(Z5:AE5),0.5)</f>
        <v/>
      </c>
      <c r="P5" s="5">
        <f>SUM(T5:Y5)</f>
        <v/>
      </c>
      <c r="Q5" s="5">
        <f>SUM(Z5:AE5)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IF(ISNUMBER(R5),IF(ISNUMBER(R8),IF(R5&gt;R8,1.0,IF(R5=R8,0.5,0.0)),""),"")</f>
        <v/>
      </c>
      <c r="Y5">
        <f>IF(ISNUMBER(R5),IF(ISNUMBER(R9),IF(R5&gt;R9,1.0,IF(R5=R9,0.5,0.0)),""),"")</f>
        <v/>
      </c>
      <c r="Z5">
        <f>IF(ISNUMBER(S5),IF(ISNUMBER(S3),IF(S5&gt;S3,1.0,IF(S5=S3,0.5,0.0)),""),"")</f>
        <v/>
      </c>
      <c r="AA5">
        <f>IF(ISNUMBER(S5),IF(ISNUMBER(S4),IF(S5&gt;S4,1.0,IF(S5=S4,0.5,0.0)),""),"")</f>
        <v/>
      </c>
      <c r="AB5">
        <f>IF(ISNUMBER(S5),IF(ISNUMBER(S6),IF(S5&gt;S6,1.0,IF(S5=S6,0.5,0.0)),""),"")</f>
        <v/>
      </c>
      <c r="AC5">
        <f>IF(ISNUMBER(S5),IF(ISNUMBER(S7),IF(S5&gt;S7,1.0,IF(S5=S7,0.5,0.0)),""),"")</f>
        <v/>
      </c>
      <c r="AD5">
        <f>IF(ISNUMBER(S5),IF(ISNUMBER(S8),IF(S5&gt;S8,1.0,IF(S5=S8,0.5,0.0)),""),"")</f>
        <v/>
      </c>
      <c r="AE5">
        <f>IF(ISNUMBER(S5),IF(ISNUMBER(S9),IF(S5&gt;S9,1.0,IF(S5=S9,0.5,0.0)),""),"")</f>
        <v/>
      </c>
      <c r="AF5" s="14">
        <f>IF(AND(ISNUMBER(R5),ISNUMBER(R3)),VLOOKUP(ABS(R5-R3),'IMP Table'!$A$2:$C$26,3)*SIGN(R5-R3),0)</f>
        <v/>
      </c>
      <c r="AG5">
        <f>IF(AND(ISNUMBER(R5),ISNUMBER(R4)),VLOOKUP(ABS(R5-R4),'IMP Table'!$A$2:$C$26,3)*SIGN(R5-R4),0)</f>
        <v/>
      </c>
      <c r="AH5">
        <f>IF(AND(ISNUMBER(R5),ISNUMBER(R6)),VLOOKUP(ABS(R5-R6),'IMP Table'!$A$2:$C$26,3)*SIGN(R5-R6),0)</f>
        <v/>
      </c>
      <c r="AI5">
        <f>IF(AND(ISNUMBER(R5),ISNUMBER(R7)),VLOOKUP(ABS(R5-R7),'IMP Table'!$A$2:$C$26,3)*SIGN(R5-R7),0)</f>
        <v/>
      </c>
      <c r="AJ5">
        <f>IF(AND(ISNUMBER(R5),ISNUMBER(R8)),VLOOKUP(ABS(R5-R8),'IMP Table'!$A$2:$C$26,3)*SIGN(R5-R8),0)</f>
        <v/>
      </c>
      <c r="AK5">
        <f>IF(AND(ISNUMBER(R5),ISNUMBER(R9)),VLOOKUP(ABS(R5-R9),'IMP Table'!$A$2:$C$26,3)*SIGN(R5-R9),0)</f>
        <v/>
      </c>
      <c r="AL5">
        <f>IF(AND(ISNUMBER(S5),ISNUMBER(S3)),VLOOKUP(ABS(S5-S3),'IMP Table'!$A$2:$C$26,3)*SIGN(S5-S3),0)</f>
        <v/>
      </c>
      <c r="AM5">
        <f>IF(AND(ISNUMBER(S5),ISNUMBER(S4)),VLOOKUP(ABS(S5-S4),'IMP Table'!$A$2:$C$26,3)*SIGN(S5-S4),0)</f>
        <v/>
      </c>
      <c r="AN5">
        <f>IF(AND(ISNUMBER(S5),ISNUMBER(S6)),VLOOKUP(ABS(S5-S6),'IMP Table'!$A$2:$C$26,3)*SIGN(S5-S6),0)</f>
        <v/>
      </c>
      <c r="AO5">
        <f>IF(AND(ISNUMBER(S5),ISNUMBER(S7)),VLOOKUP(ABS(S5-S7),'IMP Table'!$A$2:$C$26,3)*SIGN(S5-S7),0)</f>
        <v/>
      </c>
      <c r="AP5">
        <f>IF(AND(ISNUMBER(S5),ISNUMBER(S8)),VLOOKUP(ABS(S5-S8),'IMP Table'!$A$2:$C$26,3)*SIGN(S5-S8),0)</f>
        <v/>
      </c>
      <c r="AQ5">
        <f>IF(AND(ISNUMBER(S5),ISNUMBER(S9)),VLOOKUP(ABS(S5-S9),'IMP Table'!$A$2:$C$26,3)*SIGN(S5-S9),0)</f>
        <v/>
      </c>
    </row>
    <row r="6">
      <c r="B6">
        <f>'By Round'!A59</f>
        <v/>
      </c>
      <c r="C6">
        <f>'By Round'!B67</f>
        <v/>
      </c>
      <c r="D6">
        <f>'By Round'!C67</f>
        <v/>
      </c>
      <c r="E6">
        <f>'By Round'!D67</f>
        <v/>
      </c>
      <c r="F6" s="11" t="inlineStr">
        <is>
          <t>None</t>
        </is>
      </c>
      <c r="G6">
        <f>IF(ISBLANK('By Round'!G67),"",'By Round'!G67)</f>
        <v/>
      </c>
      <c r="H6">
        <f>IF(ISBLANK('By Round'!H67),"",'By Round'!H67)</f>
        <v/>
      </c>
      <c r="I6">
        <f>IF(ISBLANK('By Round'!I67),"",'By Round'!I67)</f>
        <v/>
      </c>
      <c r="J6">
        <f>IF(ISBLANK('By Round'!J67),"",'By Round'!J67)</f>
        <v/>
      </c>
      <c r="K6">
        <f>IF(ISBLANK('By Round'!K67),"",'By Round'!K67)</f>
        <v/>
      </c>
      <c r="L6" s="12">
        <f>SUM(AF6:AK6)</f>
        <v/>
      </c>
      <c r="M6" s="13">
        <f>SUM(AL6:AQ6)</f>
        <v/>
      </c>
      <c r="N6" s="8">
        <f>IF(COUNT(T6:Y6)&gt;0,P6/COUNT(T6:Y6),0.5)</f>
        <v/>
      </c>
      <c r="O6" s="8">
        <f>IF(COUNT(Z6:AE6)&gt;0,Q6/COUNT(Z6:AE6),0.5)</f>
        <v/>
      </c>
      <c r="P6" s="5">
        <f>SUM(T6:Y6)</f>
        <v/>
      </c>
      <c r="Q6" s="5">
        <f>SUM(Z6:AE6)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IF(ISNUMBER(R6),IF(ISNUMBER(R8),IF(R6&gt;R8,1.0,IF(R6=R8,0.5,0.0)),""),"")</f>
        <v/>
      </c>
      <c r="Y6">
        <f>IF(ISNUMBER(R6),IF(ISNUMBER(R9),IF(R6&gt;R9,1.0,IF(R6=R9,0.5,0.0)),""),"")</f>
        <v/>
      </c>
      <c r="Z6">
        <f>IF(ISNUMBER(S6),IF(ISNUMBER(S3),IF(S6&gt;S3,1.0,IF(S6=S3,0.5,0.0)),""),"")</f>
        <v/>
      </c>
      <c r="AA6">
        <f>IF(ISNUMBER(S6),IF(ISNUMBER(S4),IF(S6&gt;S4,1.0,IF(S6=S4,0.5,0.0)),""),"")</f>
        <v/>
      </c>
      <c r="AB6">
        <f>IF(ISNUMBER(S6),IF(ISNUMBER(S5),IF(S6&gt;S5,1.0,IF(S6=S5,0.5,0.0)),""),"")</f>
        <v/>
      </c>
      <c r="AC6">
        <f>IF(ISNUMBER(S6),IF(ISNUMBER(S7),IF(S6&gt;S7,1.0,IF(S6=S7,0.5,0.0)),""),"")</f>
        <v/>
      </c>
      <c r="AD6">
        <f>IF(ISNUMBER(S6),IF(ISNUMBER(S8),IF(S6&gt;S8,1.0,IF(S6=S8,0.5,0.0)),""),"")</f>
        <v/>
      </c>
      <c r="AE6">
        <f>IF(ISNUMBER(S6),IF(ISNUMBER(S9),IF(S6&gt;S9,1.0,IF(S6=S9,0.5,0.0)),""),"")</f>
        <v/>
      </c>
      <c r="AF6" s="14">
        <f>IF(AND(ISNUMBER(R6),ISNUMBER(R3)),VLOOKUP(ABS(R6-R3),'IMP Table'!$A$2:$C$26,3)*SIGN(R6-R3),0)</f>
        <v/>
      </c>
      <c r="AG6">
        <f>IF(AND(ISNUMBER(R6),ISNUMBER(R4)),VLOOKUP(ABS(R6-R4),'IMP Table'!$A$2:$C$26,3)*SIGN(R6-R4),0)</f>
        <v/>
      </c>
      <c r="AH6">
        <f>IF(AND(ISNUMBER(R6),ISNUMBER(R5)),VLOOKUP(ABS(R6-R5),'IMP Table'!$A$2:$C$26,3)*SIGN(R6-R5),0)</f>
        <v/>
      </c>
      <c r="AI6">
        <f>IF(AND(ISNUMBER(R6),ISNUMBER(R7)),VLOOKUP(ABS(R6-R7),'IMP Table'!$A$2:$C$26,3)*SIGN(R6-R7),0)</f>
        <v/>
      </c>
      <c r="AJ6">
        <f>IF(AND(ISNUMBER(R6),ISNUMBER(R8)),VLOOKUP(ABS(R6-R8),'IMP Table'!$A$2:$C$26,3)*SIGN(R6-R8),0)</f>
        <v/>
      </c>
      <c r="AK6">
        <f>IF(AND(ISNUMBER(R6),ISNUMBER(R9)),VLOOKUP(ABS(R6-R9),'IMP Table'!$A$2:$C$26,3)*SIGN(R6-R9),0)</f>
        <v/>
      </c>
      <c r="AL6">
        <f>IF(AND(ISNUMBER(S6),ISNUMBER(S3)),VLOOKUP(ABS(S6-S3),'IMP Table'!$A$2:$C$26,3)*SIGN(S6-S3),0)</f>
        <v/>
      </c>
      <c r="AM6">
        <f>IF(AND(ISNUMBER(S6),ISNUMBER(S4)),VLOOKUP(ABS(S6-S4),'IMP Table'!$A$2:$C$26,3)*SIGN(S6-S4),0)</f>
        <v/>
      </c>
      <c r="AN6">
        <f>IF(AND(ISNUMBER(S6),ISNUMBER(S5)),VLOOKUP(ABS(S6-S5),'IMP Table'!$A$2:$C$26,3)*SIGN(S6-S5),0)</f>
        <v/>
      </c>
      <c r="AO6">
        <f>IF(AND(ISNUMBER(S6),ISNUMBER(S7)),VLOOKUP(ABS(S6-S7),'IMP Table'!$A$2:$C$26,3)*SIGN(S6-S7),0)</f>
        <v/>
      </c>
      <c r="AP6">
        <f>IF(AND(ISNUMBER(S6),ISNUMBER(S8)),VLOOKUP(ABS(S6-S8),'IMP Table'!$A$2:$C$26,3)*SIGN(S6-S8),0)</f>
        <v/>
      </c>
      <c r="AQ6">
        <f>IF(AND(ISNUMBER(S6),ISNUMBER(S9)),VLOOKUP(ABS(S6-S9),'IMP Table'!$A$2:$C$26,3)*SIGN(S6-S9),0)</f>
        <v/>
      </c>
    </row>
    <row r="7">
      <c r="B7">
        <f>'By Round'!A129</f>
        <v/>
      </c>
      <c r="C7">
        <f>'By Round'!B135</f>
        <v/>
      </c>
      <c r="D7">
        <f>'By Round'!C135</f>
        <v/>
      </c>
      <c r="E7">
        <f>'By Round'!D135</f>
        <v/>
      </c>
      <c r="F7" s="11" t="inlineStr">
        <is>
          <t>None</t>
        </is>
      </c>
      <c r="G7">
        <f>IF(ISBLANK('By Round'!G135),"",'By Round'!G135)</f>
        <v/>
      </c>
      <c r="H7">
        <f>IF(ISBLANK('By Round'!H135),"",'By Round'!H135)</f>
        <v/>
      </c>
      <c r="I7">
        <f>IF(ISBLANK('By Round'!I135),"",'By Round'!I135)</f>
        <v/>
      </c>
      <c r="J7">
        <f>IF(ISBLANK('By Round'!J135),"",'By Round'!J135)</f>
        <v/>
      </c>
      <c r="K7">
        <f>IF(ISBLANK('By Round'!K135),"",'By Round'!K135)</f>
        <v/>
      </c>
      <c r="L7" s="12">
        <f>SUM(AF7:AK7)</f>
        <v/>
      </c>
      <c r="M7" s="13">
        <f>SUM(AL7:AQ7)</f>
        <v/>
      </c>
      <c r="N7" s="8">
        <f>IF(COUNT(T7:Y7)&gt;0,P7/COUNT(T7:Y7),0.5)</f>
        <v/>
      </c>
      <c r="O7" s="8">
        <f>IF(COUNT(Z7:AE7)&gt;0,Q7/COUNT(Z7:AE7),0.5)</f>
        <v/>
      </c>
      <c r="P7" s="5">
        <f>SUM(T7:Y7)</f>
        <v/>
      </c>
      <c r="Q7" s="5">
        <f>SUM(Z7:AE7)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IF(ISNUMBER(R7),IF(ISNUMBER(R3),IF(R7&gt;R3,1.0,IF(R7=R3,0.5,0.0)),""),"")</f>
        <v/>
      </c>
      <c r="U7">
        <f>IF(ISNUMBER(R7),IF(ISNUMBER(R4),IF(R7&gt;R4,1.0,IF(R7=R4,0.5,0.0)),""),"")</f>
        <v/>
      </c>
      <c r="V7">
        <f>IF(ISNUMBER(R7),IF(ISNUMBER(R5),IF(R7&gt;R5,1.0,IF(R7=R5,0.5,0.0)),""),"")</f>
        <v/>
      </c>
      <c r="W7">
        <f>IF(ISNUMBER(R7),IF(ISNUMBER(R6),IF(R7&gt;R6,1.0,IF(R7=R6,0.5,0.0)),""),"")</f>
        <v/>
      </c>
      <c r="X7">
        <f>IF(ISNUMBER(R7),IF(ISNUMBER(R8),IF(R7&gt;R8,1.0,IF(R7=R8,0.5,0.0)),""),"")</f>
        <v/>
      </c>
      <c r="Y7">
        <f>IF(ISNUMBER(R7),IF(ISNUMBER(R9),IF(R7&gt;R9,1.0,IF(R7=R9,0.5,0.0)),""),"")</f>
        <v/>
      </c>
      <c r="Z7">
        <f>IF(ISNUMBER(S7),IF(ISNUMBER(S3),IF(S7&gt;S3,1.0,IF(S7=S3,0.5,0.0)),""),"")</f>
        <v/>
      </c>
      <c r="AA7">
        <f>IF(ISNUMBER(S7),IF(ISNUMBER(S4),IF(S7&gt;S4,1.0,IF(S7=S4,0.5,0.0)),""),"")</f>
        <v/>
      </c>
      <c r="AB7">
        <f>IF(ISNUMBER(S7),IF(ISNUMBER(S5),IF(S7&gt;S5,1.0,IF(S7=S5,0.5,0.0)),""),"")</f>
        <v/>
      </c>
      <c r="AC7">
        <f>IF(ISNUMBER(S7),IF(ISNUMBER(S6),IF(S7&gt;S6,1.0,IF(S7=S6,0.5,0.0)),""),"")</f>
        <v/>
      </c>
      <c r="AD7">
        <f>IF(ISNUMBER(S7),IF(ISNUMBER(S8),IF(S7&gt;S8,1.0,IF(S7=S8,0.5,0.0)),""),"")</f>
        <v/>
      </c>
      <c r="AE7">
        <f>IF(ISNUMBER(S7),IF(ISNUMBER(S9),IF(S7&gt;S9,1.0,IF(S7=S9,0.5,0.0)),""),"")</f>
        <v/>
      </c>
      <c r="AF7" s="14">
        <f>IF(AND(ISNUMBER(R7),ISNUMBER(R3)),VLOOKUP(ABS(R7-R3),'IMP Table'!$A$2:$C$26,3)*SIGN(R7-R3),0)</f>
        <v/>
      </c>
      <c r="AG7">
        <f>IF(AND(ISNUMBER(R7),ISNUMBER(R4)),VLOOKUP(ABS(R7-R4),'IMP Table'!$A$2:$C$26,3)*SIGN(R7-R4),0)</f>
        <v/>
      </c>
      <c r="AH7">
        <f>IF(AND(ISNUMBER(R7),ISNUMBER(R5)),VLOOKUP(ABS(R7-R5),'IMP Table'!$A$2:$C$26,3)*SIGN(R7-R5),0)</f>
        <v/>
      </c>
      <c r="AI7">
        <f>IF(AND(ISNUMBER(R7),ISNUMBER(R6)),VLOOKUP(ABS(R7-R6),'IMP Table'!$A$2:$C$26,3)*SIGN(R7-R6),0)</f>
        <v/>
      </c>
      <c r="AJ7">
        <f>IF(AND(ISNUMBER(R7),ISNUMBER(R8)),VLOOKUP(ABS(R7-R8),'IMP Table'!$A$2:$C$26,3)*SIGN(R7-R8),0)</f>
        <v/>
      </c>
      <c r="AK7">
        <f>IF(AND(ISNUMBER(R7),ISNUMBER(R9)),VLOOKUP(ABS(R7-R9),'IMP Table'!$A$2:$C$26,3)*SIGN(R7-R9),0)</f>
        <v/>
      </c>
      <c r="AL7">
        <f>IF(AND(ISNUMBER(S7),ISNUMBER(S3)),VLOOKUP(ABS(S7-S3),'IMP Table'!$A$2:$C$26,3)*SIGN(S7-S3),0)</f>
        <v/>
      </c>
      <c r="AM7">
        <f>IF(AND(ISNUMBER(S7),ISNUMBER(S4)),VLOOKUP(ABS(S7-S4),'IMP Table'!$A$2:$C$26,3)*SIGN(S7-S4),0)</f>
        <v/>
      </c>
      <c r="AN7">
        <f>IF(AND(ISNUMBER(S7),ISNUMBER(S5)),VLOOKUP(ABS(S7-S5),'IMP Table'!$A$2:$C$26,3)*SIGN(S7-S5),0)</f>
        <v/>
      </c>
      <c r="AO7">
        <f>IF(AND(ISNUMBER(S7),ISNUMBER(S6)),VLOOKUP(ABS(S7-S6),'IMP Table'!$A$2:$C$26,3)*SIGN(S7-S6),0)</f>
        <v/>
      </c>
      <c r="AP7">
        <f>IF(AND(ISNUMBER(S7),ISNUMBER(S8)),VLOOKUP(ABS(S7-S8),'IMP Table'!$A$2:$C$26,3)*SIGN(S7-S8),0)</f>
        <v/>
      </c>
      <c r="AQ7">
        <f>IF(AND(ISNUMBER(S7),ISNUMBER(S9)),VLOOKUP(ABS(S7-S9),'IMP Table'!$A$2:$C$26,3)*SIGN(S7-S9),0)</f>
        <v/>
      </c>
    </row>
    <row r="8">
      <c r="B8">
        <f>'By Round'!A143</f>
        <v/>
      </c>
      <c r="C8">
        <f>'By Round'!B147</f>
        <v/>
      </c>
      <c r="D8">
        <f>'By Round'!C147</f>
        <v/>
      </c>
      <c r="E8">
        <f>'By Round'!D147</f>
        <v/>
      </c>
      <c r="F8" s="11" t="inlineStr">
        <is>
          <t>None</t>
        </is>
      </c>
      <c r="G8">
        <f>IF(ISBLANK('By Round'!G147),"",'By Round'!G147)</f>
        <v/>
      </c>
      <c r="H8">
        <f>IF(ISBLANK('By Round'!H147),"",'By Round'!H147)</f>
        <v/>
      </c>
      <c r="I8">
        <f>IF(ISBLANK('By Round'!I147),"",'By Round'!I147)</f>
        <v/>
      </c>
      <c r="J8">
        <f>IF(ISBLANK('By Round'!J147),"",'By Round'!J147)</f>
        <v/>
      </c>
      <c r="K8">
        <f>IF(ISBLANK('By Round'!K147),"",'By Round'!K147)</f>
        <v/>
      </c>
      <c r="L8" s="12">
        <f>SUM(AF8:AK8)</f>
        <v/>
      </c>
      <c r="M8" s="13">
        <f>SUM(AL8:AQ8)</f>
        <v/>
      </c>
      <c r="N8" s="8">
        <f>IF(COUNT(T8:Y8)&gt;0,P8/COUNT(T8:Y8),0.5)</f>
        <v/>
      </c>
      <c r="O8" s="8">
        <f>IF(COUNT(Z8:AE8)&gt;0,Q8/COUNT(Z8:AE8),0.5)</f>
        <v/>
      </c>
      <c r="P8" s="5">
        <f>SUM(T8:Y8)</f>
        <v/>
      </c>
      <c r="Q8" s="5">
        <f>SUM(Z8:AE8)</f>
        <v/>
      </c>
      <c r="R8" s="14">
        <f>IF(ISNUMBER(J8),J8,IF(ISNUMBER(K8),-K8,""))</f>
        <v/>
      </c>
      <c r="S8">
        <f>IF(ISNUMBER(K8),K8,IF(ISNUMBER(J8),-J8,""))</f>
        <v/>
      </c>
      <c r="T8" s="14">
        <f>IF(ISNUMBER(R8),IF(ISNUMBER(R3),IF(R8&gt;R3,1.0,IF(R8=R3,0.5,0.0)),""),"")</f>
        <v/>
      </c>
      <c r="U8">
        <f>IF(ISNUMBER(R8),IF(ISNUMBER(R4),IF(R8&gt;R4,1.0,IF(R8=R4,0.5,0.0)),""),"")</f>
        <v/>
      </c>
      <c r="V8">
        <f>IF(ISNUMBER(R8),IF(ISNUMBER(R5),IF(R8&gt;R5,1.0,IF(R8=R5,0.5,0.0)),""),"")</f>
        <v/>
      </c>
      <c r="W8">
        <f>IF(ISNUMBER(R8),IF(ISNUMBER(R6),IF(R8&gt;R6,1.0,IF(R8=R6,0.5,0.0)),""),"")</f>
        <v/>
      </c>
      <c r="X8">
        <f>IF(ISNUMBER(R8),IF(ISNUMBER(R7),IF(R8&gt;R7,1.0,IF(R8=R7,0.5,0.0)),""),"")</f>
        <v/>
      </c>
      <c r="Y8">
        <f>IF(ISNUMBER(R8),IF(ISNUMBER(R9),IF(R8&gt;R9,1.0,IF(R8=R9,0.5,0.0)),""),"")</f>
        <v/>
      </c>
      <c r="Z8">
        <f>IF(ISNUMBER(S8),IF(ISNUMBER(S3),IF(S8&gt;S3,1.0,IF(S8=S3,0.5,0.0)),""),"")</f>
        <v/>
      </c>
      <c r="AA8">
        <f>IF(ISNUMBER(S8),IF(ISNUMBER(S4),IF(S8&gt;S4,1.0,IF(S8=S4,0.5,0.0)),""),"")</f>
        <v/>
      </c>
      <c r="AB8">
        <f>IF(ISNUMBER(S8),IF(ISNUMBER(S5),IF(S8&gt;S5,1.0,IF(S8=S5,0.5,0.0)),""),"")</f>
        <v/>
      </c>
      <c r="AC8">
        <f>IF(ISNUMBER(S8),IF(ISNUMBER(S6),IF(S8&gt;S6,1.0,IF(S8=S6,0.5,0.0)),""),"")</f>
        <v/>
      </c>
      <c r="AD8">
        <f>IF(ISNUMBER(S8),IF(ISNUMBER(S7),IF(S8&gt;S7,1.0,IF(S8=S7,0.5,0.0)),""),"")</f>
        <v/>
      </c>
      <c r="AE8">
        <f>IF(ISNUMBER(S8),IF(ISNUMBER(S9),IF(S8&gt;S9,1.0,IF(S8=S9,0.5,0.0)),""),"")</f>
        <v/>
      </c>
      <c r="AF8" s="14">
        <f>IF(AND(ISNUMBER(R8),ISNUMBER(R3)),VLOOKUP(ABS(R8-R3),'IMP Table'!$A$2:$C$26,3)*SIGN(R8-R3),0)</f>
        <v/>
      </c>
      <c r="AG8">
        <f>IF(AND(ISNUMBER(R8),ISNUMBER(R4)),VLOOKUP(ABS(R8-R4),'IMP Table'!$A$2:$C$26,3)*SIGN(R8-R4),0)</f>
        <v/>
      </c>
      <c r="AH8">
        <f>IF(AND(ISNUMBER(R8),ISNUMBER(R5)),VLOOKUP(ABS(R8-R5),'IMP Table'!$A$2:$C$26,3)*SIGN(R8-R5),0)</f>
        <v/>
      </c>
      <c r="AI8">
        <f>IF(AND(ISNUMBER(R8),ISNUMBER(R6)),VLOOKUP(ABS(R8-R6),'IMP Table'!$A$2:$C$26,3)*SIGN(R8-R6),0)</f>
        <v/>
      </c>
      <c r="AJ8">
        <f>IF(AND(ISNUMBER(R8),ISNUMBER(R7)),VLOOKUP(ABS(R8-R7),'IMP Table'!$A$2:$C$26,3)*SIGN(R8-R7),0)</f>
        <v/>
      </c>
      <c r="AK8">
        <f>IF(AND(ISNUMBER(R8),ISNUMBER(R9)),VLOOKUP(ABS(R8-R9),'IMP Table'!$A$2:$C$26,3)*SIGN(R8-R9),0)</f>
        <v/>
      </c>
      <c r="AL8">
        <f>IF(AND(ISNUMBER(S8),ISNUMBER(S3)),VLOOKUP(ABS(S8-S3),'IMP Table'!$A$2:$C$26,3)*SIGN(S8-S3),0)</f>
        <v/>
      </c>
      <c r="AM8">
        <f>IF(AND(ISNUMBER(S8),ISNUMBER(S4)),VLOOKUP(ABS(S8-S4),'IMP Table'!$A$2:$C$26,3)*SIGN(S8-S4),0)</f>
        <v/>
      </c>
      <c r="AN8">
        <f>IF(AND(ISNUMBER(S8),ISNUMBER(S5)),VLOOKUP(ABS(S8-S5),'IMP Table'!$A$2:$C$26,3)*SIGN(S8-S5),0)</f>
        <v/>
      </c>
      <c r="AO8">
        <f>IF(AND(ISNUMBER(S8),ISNUMBER(S6)),VLOOKUP(ABS(S8-S6),'IMP Table'!$A$2:$C$26,3)*SIGN(S8-S6),0)</f>
        <v/>
      </c>
      <c r="AP8">
        <f>IF(AND(ISNUMBER(S8),ISNUMBER(S7)),VLOOKUP(ABS(S8-S7),'IMP Table'!$A$2:$C$26,3)*SIGN(S8-S7),0)</f>
        <v/>
      </c>
      <c r="AQ8">
        <f>IF(AND(ISNUMBER(S8),ISNUMBER(S9)),VLOOKUP(ABS(S8-S9),'IMP Table'!$A$2:$C$26,3)*SIGN(S8-S9),0)</f>
        <v/>
      </c>
    </row>
    <row r="9">
      <c r="A9" s="15" t="n"/>
      <c r="B9" s="15">
        <f>'By Round'!A157</f>
        <v/>
      </c>
      <c r="C9" s="15">
        <f>'By Round'!B159</f>
        <v/>
      </c>
      <c r="D9" s="15">
        <f>'By Round'!C159</f>
        <v/>
      </c>
      <c r="E9" s="15">
        <f>'By Round'!D159</f>
        <v/>
      </c>
      <c r="F9" s="16" t="inlineStr">
        <is>
          <t>None</t>
        </is>
      </c>
      <c r="G9" s="15">
        <f>IF(ISBLANK('By Round'!G159),"",'By Round'!G159)</f>
        <v/>
      </c>
      <c r="H9" s="15">
        <f>IF(ISBLANK('By Round'!H159),"",'By Round'!H159)</f>
        <v/>
      </c>
      <c r="I9" s="15">
        <f>IF(ISBLANK('By Round'!I159),"",'By Round'!I159)</f>
        <v/>
      </c>
      <c r="J9" s="15">
        <f>IF(ISBLANK('By Round'!J159),"",'By Round'!J159)</f>
        <v/>
      </c>
      <c r="K9" s="15">
        <f>IF(ISBLANK('By Round'!K159),"",'By Round'!K159)</f>
        <v/>
      </c>
      <c r="L9" s="17">
        <f>SUM(AF9:AK9)</f>
        <v/>
      </c>
      <c r="M9" s="18">
        <f>SUM(AL9:AQ9)</f>
        <v/>
      </c>
      <c r="N9" s="19">
        <f>IF(COUNT(T9:Y9)&gt;0,P9/COUNT(T9:Y9),0.5)</f>
        <v/>
      </c>
      <c r="O9" s="19">
        <f>IF(COUNT(Z9:AE9)&gt;0,Q9/COUNT(Z9:AE9),0.5)</f>
        <v/>
      </c>
      <c r="P9" s="20">
        <f>SUM(T9:Y9)</f>
        <v/>
      </c>
      <c r="Q9" s="20">
        <f>SUM(Z9:AE9)</f>
        <v/>
      </c>
      <c r="R9" s="21">
        <f>IF(ISNUMBER(J9),J9,IF(ISNUMBER(K9),-K9,""))</f>
        <v/>
      </c>
      <c r="S9" s="15">
        <f>IF(ISNUMBER(K9),K9,IF(ISNUMBER(J9),-J9,""))</f>
        <v/>
      </c>
      <c r="T9" s="21">
        <f>IF(ISNUMBER(R9),IF(ISNUMBER(R3),IF(R9&gt;R3,1.0,IF(R9=R3,0.5,0.0)),""),"")</f>
        <v/>
      </c>
      <c r="U9" s="15">
        <f>IF(ISNUMBER(R9),IF(ISNUMBER(R4),IF(R9&gt;R4,1.0,IF(R9=R4,0.5,0.0)),""),"")</f>
        <v/>
      </c>
      <c r="V9" s="15">
        <f>IF(ISNUMBER(R9),IF(ISNUMBER(R5),IF(R9&gt;R5,1.0,IF(R9=R5,0.5,0.0)),""),"")</f>
        <v/>
      </c>
      <c r="W9" s="15">
        <f>IF(ISNUMBER(R9),IF(ISNUMBER(R6),IF(R9&gt;R6,1.0,IF(R9=R6,0.5,0.0)),""),"")</f>
        <v/>
      </c>
      <c r="X9" s="15">
        <f>IF(ISNUMBER(R9),IF(ISNUMBER(R7),IF(R9&gt;R7,1.0,IF(R9=R7,0.5,0.0)),""),"")</f>
        <v/>
      </c>
      <c r="Y9" s="15">
        <f>IF(ISNUMBER(R9),IF(ISNUMBER(R8),IF(R9&gt;R8,1.0,IF(R9=R8,0.5,0.0)),""),"")</f>
        <v/>
      </c>
      <c r="Z9" s="15">
        <f>IF(ISNUMBER(S9),IF(ISNUMBER(S3),IF(S9&gt;S3,1.0,IF(S9=S3,0.5,0.0)),""),"")</f>
        <v/>
      </c>
      <c r="AA9" s="15">
        <f>IF(ISNUMBER(S9),IF(ISNUMBER(S4),IF(S9&gt;S4,1.0,IF(S9=S4,0.5,0.0)),""),"")</f>
        <v/>
      </c>
      <c r="AB9" s="15">
        <f>IF(ISNUMBER(S9),IF(ISNUMBER(S5),IF(S9&gt;S5,1.0,IF(S9=S5,0.5,0.0)),""),"")</f>
        <v/>
      </c>
      <c r="AC9" s="15">
        <f>IF(ISNUMBER(S9),IF(ISNUMBER(S6),IF(S9&gt;S6,1.0,IF(S9=S6,0.5,0.0)),""),"")</f>
        <v/>
      </c>
      <c r="AD9" s="15">
        <f>IF(ISNUMBER(S9),IF(ISNUMBER(S7),IF(S9&gt;S7,1.0,IF(S9=S7,0.5,0.0)),""),"")</f>
        <v/>
      </c>
      <c r="AE9" s="15">
        <f>IF(ISNUMBER(S9),IF(ISNUMBER(S8),IF(S9&gt;S8,1.0,IF(S9=S8,0.5,0.0)),""),"")</f>
        <v/>
      </c>
      <c r="AF9" s="21">
        <f>IF(AND(ISNUMBER(R9),ISNUMBER(R3)),VLOOKUP(ABS(R9-R3),'IMP Table'!$A$2:$C$26,3)*SIGN(R9-R3),0)</f>
        <v/>
      </c>
      <c r="AG9" s="15">
        <f>IF(AND(ISNUMBER(R9),ISNUMBER(R4)),VLOOKUP(ABS(R9-R4),'IMP Table'!$A$2:$C$26,3)*SIGN(R9-R4),0)</f>
        <v/>
      </c>
      <c r="AH9" s="15">
        <f>IF(AND(ISNUMBER(R9),ISNUMBER(R5)),VLOOKUP(ABS(R9-R5),'IMP Table'!$A$2:$C$26,3)*SIGN(R9-R5),0)</f>
        <v/>
      </c>
      <c r="AI9" s="15">
        <f>IF(AND(ISNUMBER(R9),ISNUMBER(R6)),VLOOKUP(ABS(R9-R6),'IMP Table'!$A$2:$C$26,3)*SIGN(R9-R6),0)</f>
        <v/>
      </c>
      <c r="AJ9" s="15">
        <f>IF(AND(ISNUMBER(R9),ISNUMBER(R7)),VLOOKUP(ABS(R9-R7),'IMP Table'!$A$2:$C$26,3)*SIGN(R9-R7),0)</f>
        <v/>
      </c>
      <c r="AK9" s="15">
        <f>IF(AND(ISNUMBER(R9),ISNUMBER(R8)),VLOOKUP(ABS(R9-R8),'IMP Table'!$A$2:$C$26,3)*SIGN(R9-R8),0)</f>
        <v/>
      </c>
      <c r="AL9" s="15">
        <f>IF(AND(ISNUMBER(S9),ISNUMBER(S3)),VLOOKUP(ABS(S9-S3),'IMP Table'!$A$2:$C$26,3)*SIGN(S9-S3),0)</f>
        <v/>
      </c>
      <c r="AM9" s="15">
        <f>IF(AND(ISNUMBER(S9),ISNUMBER(S4)),VLOOKUP(ABS(S9-S4),'IMP Table'!$A$2:$C$26,3)*SIGN(S9-S4),0)</f>
        <v/>
      </c>
      <c r="AN9" s="15">
        <f>IF(AND(ISNUMBER(S9),ISNUMBER(S5)),VLOOKUP(ABS(S9-S5),'IMP Table'!$A$2:$C$26,3)*SIGN(S9-S5),0)</f>
        <v/>
      </c>
      <c r="AO9" s="15">
        <f>IF(AND(ISNUMBER(S9),ISNUMBER(S6)),VLOOKUP(ABS(S9-S6),'IMP Table'!$A$2:$C$26,3)*SIGN(S9-S6),0)</f>
        <v/>
      </c>
      <c r="AP9" s="15">
        <f>IF(AND(ISNUMBER(S9),ISNUMBER(S7)),VLOOKUP(ABS(S9-S7),'IMP Table'!$A$2:$C$26,3)*SIGN(S9-S7),0)</f>
        <v/>
      </c>
      <c r="AQ9" s="15">
        <f>IF(AND(ISNUMBER(S9),ISNUMBER(S8)),VLOOKUP(ABS(S9-S8),'IMP Table'!$A$2:$C$26,3)*SIGN(S9-S8),0)</f>
        <v/>
      </c>
    </row>
    <row r="10">
      <c r="A10" t="n">
        <v>2</v>
      </c>
      <c r="B10">
        <f>'By Round'!A3</f>
        <v/>
      </c>
      <c r="C10">
        <f>'By Round'!B3</f>
        <v/>
      </c>
      <c r="D10">
        <f>'By Round'!C3</f>
        <v/>
      </c>
      <c r="E10">
        <f>'By Round'!D3</f>
        <v/>
      </c>
      <c r="F10" s="11" t="inlineStr">
        <is>
          <t>NS</t>
        </is>
      </c>
      <c r="G10">
        <f>IF(ISBLANK('By Round'!G3),"",'By Round'!G3)</f>
        <v/>
      </c>
      <c r="H10">
        <f>IF(ISBLANK('By Round'!H3),"",'By Round'!H3)</f>
        <v/>
      </c>
      <c r="I10">
        <f>IF(ISBLANK('By Round'!I3),"",'By Round'!I3)</f>
        <v/>
      </c>
      <c r="J10">
        <f>IF(ISBLANK('By Round'!J3),"",'By Round'!J3)</f>
        <v/>
      </c>
      <c r="K10">
        <f>IF(ISBLANK('By Round'!K3),"",'By Round'!K3)</f>
        <v/>
      </c>
      <c r="L10" s="12">
        <f>SUM(AF10:AK10)</f>
        <v/>
      </c>
      <c r="M10" s="13">
        <f>SUM(AL10:AQ10)</f>
        <v/>
      </c>
      <c r="N10" s="8">
        <f>IF(COUNT(T10:Y10)&gt;0,P10/COUNT(T10:Y10),0.5)</f>
        <v/>
      </c>
      <c r="O10" s="8">
        <f>IF(COUNT(Z10:AE10)&gt;0,Q10/COUNT(Z10:AE10),0.5)</f>
        <v/>
      </c>
      <c r="P10" s="5">
        <f>SUM(T10:Y10)</f>
        <v/>
      </c>
      <c r="Q10" s="5">
        <f>SUM(Z10:AE10)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IF(ISNUMBER(R10),IF(ISNUMBER(R11),IF(R10&gt;R11,1.0,IF(R10=R11,0.5,0.0)),""),"")</f>
        <v/>
      </c>
      <c r="U10">
        <f>IF(ISNUMBER(R10),IF(ISNUMBER(R12),IF(R10&gt;R12,1.0,IF(R10=R12,0.5,0.0)),""),"")</f>
        <v/>
      </c>
      <c r="V10">
        <f>IF(ISNUMBER(R10),IF(ISNUMBER(R13),IF(R10&gt;R13,1.0,IF(R10=R13,0.5,0.0)),""),"")</f>
        <v/>
      </c>
      <c r="W10">
        <f>IF(ISNUMBER(R10),IF(ISNUMBER(R14),IF(R10&gt;R14,1.0,IF(R10=R14,0.5,0.0)),""),"")</f>
        <v/>
      </c>
      <c r="X10">
        <f>IF(ISNUMBER(R10),IF(ISNUMBER(R15),IF(R10&gt;R15,1.0,IF(R10=R15,0.5,0.0)),""),"")</f>
        <v/>
      </c>
      <c r="Y10">
        <f>IF(ISNUMBER(R10),IF(ISNUMBER(R16),IF(R10&gt;R16,1.0,IF(R10=R16,0.5,0.0)),""),"")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>
        <f>IF(ISNUMBER(S10),IF(ISNUMBER(S13),IF(S10&gt;S13,1.0,IF(S10=S13,0.5,0.0)),""),"")</f>
        <v/>
      </c>
      <c r="AC10">
        <f>IF(ISNUMBER(S10),IF(ISNUMBER(S14),IF(S10&gt;S14,1.0,IF(S10=S14,0.5,0.0)),""),"")</f>
        <v/>
      </c>
      <c r="AD10">
        <f>IF(ISNUMBER(S10),IF(ISNUMBER(S15),IF(S10&gt;S15,1.0,IF(S10=S15,0.5,0.0)),""),"")</f>
        <v/>
      </c>
      <c r="AE10">
        <f>IF(ISNUMBER(S10),IF(ISNUMBER(S16),IF(S10&gt;S16,1.0,IF(S10=S16,0.5,0.0)),""),"")</f>
        <v/>
      </c>
      <c r="AF10" s="14">
        <f>IF(AND(ISNUMBER(R10),ISNUMBER(R11)),VLOOKUP(ABS(R10-R11),'IMP Table'!$A$2:$C$26,3)*SIGN(R10-R11),0)</f>
        <v/>
      </c>
      <c r="AG10">
        <f>IF(AND(ISNUMBER(R10),ISNUMBER(R12)),VLOOKUP(ABS(R10-R12),'IMP Table'!$A$2:$C$26,3)*SIGN(R10-R12),0)</f>
        <v/>
      </c>
      <c r="AH10">
        <f>IF(AND(ISNUMBER(R10),ISNUMBER(R13)),VLOOKUP(ABS(R10-R13),'IMP Table'!$A$2:$C$26,3)*SIGN(R10-R13),0)</f>
        <v/>
      </c>
      <c r="AI10">
        <f>IF(AND(ISNUMBER(R10),ISNUMBER(R14)),VLOOKUP(ABS(R10-R14),'IMP Table'!$A$2:$C$26,3)*SIGN(R10-R14),0)</f>
        <v/>
      </c>
      <c r="AJ10">
        <f>IF(AND(ISNUMBER(R10),ISNUMBER(R15)),VLOOKUP(ABS(R10-R15),'IMP Table'!$A$2:$C$26,3)*SIGN(R10-R15),0)</f>
        <v/>
      </c>
      <c r="AK10">
        <f>IF(AND(ISNUMBER(R10),ISNUMBER(R16)),VLOOKUP(ABS(R10-R16),'IMP Table'!$A$2:$C$26,3)*SIGN(R10-R16),0)</f>
        <v/>
      </c>
      <c r="AL10">
        <f>IF(AND(ISNUMBER(S10),ISNUMBER(S11)),VLOOKUP(ABS(S10-S11),'IMP Table'!$A$2:$C$26,3)*SIGN(S10-S11),0)</f>
        <v/>
      </c>
      <c r="AM10">
        <f>IF(AND(ISNUMBER(S10),ISNUMBER(S12)),VLOOKUP(ABS(S10-S12),'IMP Table'!$A$2:$C$26,3)*SIGN(S10-S12),0)</f>
        <v/>
      </c>
      <c r="AN10">
        <f>IF(AND(ISNUMBER(S10),ISNUMBER(S13)),VLOOKUP(ABS(S10-S13),'IMP Table'!$A$2:$C$26,3)*SIGN(S10-S13),0)</f>
        <v/>
      </c>
      <c r="AO10">
        <f>IF(AND(ISNUMBER(S10),ISNUMBER(S14)),VLOOKUP(ABS(S10-S14),'IMP Table'!$A$2:$C$26,3)*SIGN(S10-S14),0)</f>
        <v/>
      </c>
      <c r="AP10">
        <f>IF(AND(ISNUMBER(S10),ISNUMBER(S15)),VLOOKUP(ABS(S10-S15),'IMP Table'!$A$2:$C$26,3)*SIGN(S10-S15),0)</f>
        <v/>
      </c>
      <c r="AQ10">
        <f>IF(AND(ISNUMBER(S10),ISNUMBER(S16)),VLOOKUP(ABS(S10-S16),'IMP Table'!$A$2:$C$26,3)*SIGN(S10-S16),0)</f>
        <v/>
      </c>
    </row>
    <row r="11">
      <c r="B11">
        <f>'By Round'!A31</f>
        <v/>
      </c>
      <c r="C11">
        <f>'By Round'!B43</f>
        <v/>
      </c>
      <c r="D11">
        <f>'By Round'!C43</f>
        <v/>
      </c>
      <c r="E11">
        <f>'By Round'!D43</f>
        <v/>
      </c>
      <c r="F11" s="11" t="inlineStr">
        <is>
          <t>NS</t>
        </is>
      </c>
      <c r="G11">
        <f>IF(ISBLANK('By Round'!G43),"",'By Round'!G43)</f>
        <v/>
      </c>
      <c r="H11">
        <f>IF(ISBLANK('By Round'!H43),"",'By Round'!H43)</f>
        <v/>
      </c>
      <c r="I11">
        <f>IF(ISBLANK('By Round'!I43),"",'By Round'!I43)</f>
        <v/>
      </c>
      <c r="J11">
        <f>IF(ISBLANK('By Round'!J43),"",'By Round'!J43)</f>
        <v/>
      </c>
      <c r="K11">
        <f>IF(ISBLANK('By Round'!K43),"",'By Round'!K43)</f>
        <v/>
      </c>
      <c r="L11" s="12">
        <f>SUM(AF11:AK11)</f>
        <v/>
      </c>
      <c r="M11" s="13">
        <f>SUM(AL11:AQ11)</f>
        <v/>
      </c>
      <c r="N11" s="8">
        <f>IF(COUNT(T11:Y11)&gt;0,P11/COUNT(T11:Y11),0.5)</f>
        <v/>
      </c>
      <c r="O11" s="8">
        <f>IF(COUNT(Z11:AE11)&gt;0,Q11/COUNT(Z11:AE11),0.5)</f>
        <v/>
      </c>
      <c r="P11" s="5">
        <f>SUM(T11:Y11)</f>
        <v/>
      </c>
      <c r="Q11" s="5">
        <f>SUM(Z11:AE11)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IF(ISNUMBER(R11),IF(ISNUMBER(R10),IF(R11&gt;R10,1.0,IF(R11=R10,0.5,0.0)),""),"")</f>
        <v/>
      </c>
      <c r="U11">
        <f>IF(ISNUMBER(R11),IF(ISNUMBER(R12),IF(R11&gt;R12,1.0,IF(R11=R12,0.5,0.0)),""),"")</f>
        <v/>
      </c>
      <c r="V11">
        <f>IF(ISNUMBER(R11),IF(ISNUMBER(R13),IF(R11&gt;R13,1.0,IF(R11=R13,0.5,0.0)),""),"")</f>
        <v/>
      </c>
      <c r="W11">
        <f>IF(ISNUMBER(R11),IF(ISNUMBER(R14),IF(R11&gt;R14,1.0,IF(R11=R14,0.5,0.0)),""),"")</f>
        <v/>
      </c>
      <c r="X11">
        <f>IF(ISNUMBER(R11),IF(ISNUMBER(R15),IF(R11&gt;R15,1.0,IF(R11=R15,0.5,0.0)),""),"")</f>
        <v/>
      </c>
      <c r="Y11">
        <f>IF(ISNUMBER(R11),IF(ISNUMBER(R16),IF(R11&gt;R16,1.0,IF(R11=R16,0.5,0.0)),""),"")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>
        <f>IF(ISNUMBER(S11),IF(ISNUMBER(S13),IF(S11&gt;S13,1.0,IF(S11=S13,0.5,0.0)),""),"")</f>
        <v/>
      </c>
      <c r="AC11">
        <f>IF(ISNUMBER(S11),IF(ISNUMBER(S14),IF(S11&gt;S14,1.0,IF(S11=S14,0.5,0.0)),""),"")</f>
        <v/>
      </c>
      <c r="AD11">
        <f>IF(ISNUMBER(S11),IF(ISNUMBER(S15),IF(S11&gt;S15,1.0,IF(S11=S15,0.5,0.0)),""),"")</f>
        <v/>
      </c>
      <c r="AE11">
        <f>IF(ISNUMBER(S11),IF(ISNUMBER(S16),IF(S11&gt;S16,1.0,IF(S11=S16,0.5,0.0)),""),"")</f>
        <v/>
      </c>
      <c r="AF11" s="14">
        <f>IF(AND(ISNUMBER(R11),ISNUMBER(R10)),VLOOKUP(ABS(R11-R10),'IMP Table'!$A$2:$C$26,3)*SIGN(R11-R10),0)</f>
        <v/>
      </c>
      <c r="AG11">
        <f>IF(AND(ISNUMBER(R11),ISNUMBER(R12)),VLOOKUP(ABS(R11-R12),'IMP Table'!$A$2:$C$26,3)*SIGN(R11-R12),0)</f>
        <v/>
      </c>
      <c r="AH11">
        <f>IF(AND(ISNUMBER(R11),ISNUMBER(R13)),VLOOKUP(ABS(R11-R13),'IMP Table'!$A$2:$C$26,3)*SIGN(R11-R13),0)</f>
        <v/>
      </c>
      <c r="AI11">
        <f>IF(AND(ISNUMBER(R11),ISNUMBER(R14)),VLOOKUP(ABS(R11-R14),'IMP Table'!$A$2:$C$26,3)*SIGN(R11-R14),0)</f>
        <v/>
      </c>
      <c r="AJ11">
        <f>IF(AND(ISNUMBER(R11),ISNUMBER(R15)),VLOOKUP(ABS(R11-R15),'IMP Table'!$A$2:$C$26,3)*SIGN(R11-R15),0)</f>
        <v/>
      </c>
      <c r="AK11">
        <f>IF(AND(ISNUMBER(R11),ISNUMBER(R16)),VLOOKUP(ABS(R11-R16),'IMP Table'!$A$2:$C$26,3)*SIGN(R11-R16),0)</f>
        <v/>
      </c>
      <c r="AL11">
        <f>IF(AND(ISNUMBER(S11),ISNUMBER(S10)),VLOOKUP(ABS(S11-S10),'IMP Table'!$A$2:$C$26,3)*SIGN(S11-S10),0)</f>
        <v/>
      </c>
      <c r="AM11">
        <f>IF(AND(ISNUMBER(S11),ISNUMBER(S12)),VLOOKUP(ABS(S11-S12),'IMP Table'!$A$2:$C$26,3)*SIGN(S11-S12),0)</f>
        <v/>
      </c>
      <c r="AN11">
        <f>IF(AND(ISNUMBER(S11),ISNUMBER(S13)),VLOOKUP(ABS(S11-S13),'IMP Table'!$A$2:$C$26,3)*SIGN(S11-S13),0)</f>
        <v/>
      </c>
      <c r="AO11">
        <f>IF(AND(ISNUMBER(S11),ISNUMBER(S14)),VLOOKUP(ABS(S11-S14),'IMP Table'!$A$2:$C$26,3)*SIGN(S11-S14),0)</f>
        <v/>
      </c>
      <c r="AP11">
        <f>IF(AND(ISNUMBER(S11),ISNUMBER(S15)),VLOOKUP(ABS(S11-S15),'IMP Table'!$A$2:$C$26,3)*SIGN(S11-S15),0)</f>
        <v/>
      </c>
      <c r="AQ11">
        <f>IF(AND(ISNUMBER(S11),ISNUMBER(S16)),VLOOKUP(ABS(S11-S16),'IMP Table'!$A$2:$C$26,3)*SIGN(S11-S16),0)</f>
        <v/>
      </c>
    </row>
    <row r="12">
      <c r="B12">
        <f>'By Round'!A45</f>
        <v/>
      </c>
      <c r="C12">
        <f>'By Round'!B55</f>
        <v/>
      </c>
      <c r="D12">
        <f>'By Round'!C55</f>
        <v/>
      </c>
      <c r="E12">
        <f>'By Round'!D55</f>
        <v/>
      </c>
      <c r="F12" s="11" t="inlineStr">
        <is>
          <t>NS</t>
        </is>
      </c>
      <c r="G12">
        <f>IF(ISBLANK('By Round'!G55),"",'By Round'!G55)</f>
        <v/>
      </c>
      <c r="H12">
        <f>IF(ISBLANK('By Round'!H55),"",'By Round'!H55)</f>
        <v/>
      </c>
      <c r="I12">
        <f>IF(ISBLANK('By Round'!I55),"",'By Round'!I55)</f>
        <v/>
      </c>
      <c r="J12">
        <f>IF(ISBLANK('By Round'!J55),"",'By Round'!J55)</f>
        <v/>
      </c>
      <c r="K12">
        <f>IF(ISBLANK('By Round'!K55),"",'By Round'!K55)</f>
        <v/>
      </c>
      <c r="L12" s="12">
        <f>SUM(AF12:AK12)</f>
        <v/>
      </c>
      <c r="M12" s="13">
        <f>SUM(AL12:AQ12)</f>
        <v/>
      </c>
      <c r="N12" s="8">
        <f>IF(COUNT(T12:Y12)&gt;0,P12/COUNT(T12:Y12),0.5)</f>
        <v/>
      </c>
      <c r="O12" s="8">
        <f>IF(COUNT(Z12:AE12)&gt;0,Q12/COUNT(Z12:AE12),0.5)</f>
        <v/>
      </c>
      <c r="P12" s="5">
        <f>SUM(T12:Y12)</f>
        <v/>
      </c>
      <c r="Q12" s="5">
        <f>SUM(Z12:AE12)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IF(ISNUMBER(R12),IF(ISNUMBER(R10),IF(R12&gt;R10,1.0,IF(R12=R10,0.5,0.0)),""),"")</f>
        <v/>
      </c>
      <c r="U12">
        <f>IF(ISNUMBER(R12),IF(ISNUMBER(R11),IF(R12&gt;R11,1.0,IF(R12=R11,0.5,0.0)),""),"")</f>
        <v/>
      </c>
      <c r="V12">
        <f>IF(ISNUMBER(R12),IF(ISNUMBER(R13),IF(R12&gt;R13,1.0,IF(R12=R13,0.5,0.0)),""),"")</f>
        <v/>
      </c>
      <c r="W12">
        <f>IF(ISNUMBER(R12),IF(ISNUMBER(R14),IF(R12&gt;R14,1.0,IF(R12=R14,0.5,0.0)),""),"")</f>
        <v/>
      </c>
      <c r="X12">
        <f>IF(ISNUMBER(R12),IF(ISNUMBER(R15),IF(R12&gt;R15,1.0,IF(R12=R15,0.5,0.0)),""),"")</f>
        <v/>
      </c>
      <c r="Y12">
        <f>IF(ISNUMBER(R12),IF(ISNUMBER(R16),IF(R12&gt;R16,1.0,IF(R12=R16,0.5,0.0)),""),"")</f>
        <v/>
      </c>
      <c r="Z12">
        <f>IF(ISNUMBER(S12),IF(ISNUMBER(S10),IF(S12&gt;S10,1.0,IF(S12=S10,0.5,0.0)),""),"")</f>
        <v/>
      </c>
      <c r="AA12">
        <f>IF(ISNUMBER(S12),IF(ISNUMBER(S11),IF(S12&gt;S11,1.0,IF(S12=S11,0.5,0.0)),""),"")</f>
        <v/>
      </c>
      <c r="AB12">
        <f>IF(ISNUMBER(S12),IF(ISNUMBER(S13),IF(S12&gt;S13,1.0,IF(S12=S13,0.5,0.0)),""),"")</f>
        <v/>
      </c>
      <c r="AC12">
        <f>IF(ISNUMBER(S12),IF(ISNUMBER(S14),IF(S12&gt;S14,1.0,IF(S12=S14,0.5,0.0)),""),"")</f>
        <v/>
      </c>
      <c r="AD12">
        <f>IF(ISNUMBER(S12),IF(ISNUMBER(S15),IF(S12&gt;S15,1.0,IF(S12=S15,0.5,0.0)),""),"")</f>
        <v/>
      </c>
      <c r="AE12">
        <f>IF(ISNUMBER(S12),IF(ISNUMBER(S16),IF(S12&gt;S16,1.0,IF(S12=S16,0.5,0.0)),""),"")</f>
        <v/>
      </c>
      <c r="AF12" s="14">
        <f>IF(AND(ISNUMBER(R12),ISNUMBER(R10)),VLOOKUP(ABS(R12-R10),'IMP Table'!$A$2:$C$26,3)*SIGN(R12-R10),0)</f>
        <v/>
      </c>
      <c r="AG12">
        <f>IF(AND(ISNUMBER(R12),ISNUMBER(R11)),VLOOKUP(ABS(R12-R11),'IMP Table'!$A$2:$C$26,3)*SIGN(R12-R11),0)</f>
        <v/>
      </c>
      <c r="AH12">
        <f>IF(AND(ISNUMBER(R12),ISNUMBER(R13)),VLOOKUP(ABS(R12-R13),'IMP Table'!$A$2:$C$26,3)*SIGN(R12-R13),0)</f>
        <v/>
      </c>
      <c r="AI12">
        <f>IF(AND(ISNUMBER(R12),ISNUMBER(R14)),VLOOKUP(ABS(R12-R14),'IMP Table'!$A$2:$C$26,3)*SIGN(R12-R14),0)</f>
        <v/>
      </c>
      <c r="AJ12">
        <f>IF(AND(ISNUMBER(R12),ISNUMBER(R15)),VLOOKUP(ABS(R12-R15),'IMP Table'!$A$2:$C$26,3)*SIGN(R12-R15),0)</f>
        <v/>
      </c>
      <c r="AK12">
        <f>IF(AND(ISNUMBER(R12),ISNUMBER(R16)),VLOOKUP(ABS(R12-R16),'IMP Table'!$A$2:$C$26,3)*SIGN(R12-R16),0)</f>
        <v/>
      </c>
      <c r="AL12">
        <f>IF(AND(ISNUMBER(S12),ISNUMBER(S10)),VLOOKUP(ABS(S12-S10),'IMP Table'!$A$2:$C$26,3)*SIGN(S12-S10),0)</f>
        <v/>
      </c>
      <c r="AM12">
        <f>IF(AND(ISNUMBER(S12),ISNUMBER(S11)),VLOOKUP(ABS(S12-S11),'IMP Table'!$A$2:$C$26,3)*SIGN(S12-S11),0)</f>
        <v/>
      </c>
      <c r="AN12">
        <f>IF(AND(ISNUMBER(S12),ISNUMBER(S13)),VLOOKUP(ABS(S12-S13),'IMP Table'!$A$2:$C$26,3)*SIGN(S12-S13),0)</f>
        <v/>
      </c>
      <c r="AO12">
        <f>IF(AND(ISNUMBER(S12),ISNUMBER(S14)),VLOOKUP(ABS(S12-S14),'IMP Table'!$A$2:$C$26,3)*SIGN(S12-S14),0)</f>
        <v/>
      </c>
      <c r="AP12">
        <f>IF(AND(ISNUMBER(S12),ISNUMBER(S15)),VLOOKUP(ABS(S12-S15),'IMP Table'!$A$2:$C$26,3)*SIGN(S12-S15),0)</f>
        <v/>
      </c>
      <c r="AQ12">
        <f>IF(AND(ISNUMBER(S12),ISNUMBER(S16)),VLOOKUP(ABS(S12-S16),'IMP Table'!$A$2:$C$26,3)*SIGN(S12-S16),0)</f>
        <v/>
      </c>
    </row>
    <row r="13">
      <c r="B13">
        <f>'By Round'!A59</f>
        <v/>
      </c>
      <c r="C13">
        <f>'By Round'!B67</f>
        <v/>
      </c>
      <c r="D13">
        <f>'By Round'!C67</f>
        <v/>
      </c>
      <c r="E13">
        <f>'By Round'!D67</f>
        <v/>
      </c>
      <c r="F13" s="11" t="inlineStr">
        <is>
          <t>NS</t>
        </is>
      </c>
      <c r="G13">
        <f>IF(ISBLANK('By Round'!G67),"",'By Round'!G67)</f>
        <v/>
      </c>
      <c r="H13">
        <f>IF(ISBLANK('By Round'!H67),"",'By Round'!H67)</f>
        <v/>
      </c>
      <c r="I13">
        <f>IF(ISBLANK('By Round'!I67),"",'By Round'!I67)</f>
        <v/>
      </c>
      <c r="J13">
        <f>IF(ISBLANK('By Round'!J67),"",'By Round'!J67)</f>
        <v/>
      </c>
      <c r="K13">
        <f>IF(ISBLANK('By Round'!K67),"",'By Round'!K67)</f>
        <v/>
      </c>
      <c r="L13" s="12">
        <f>SUM(AF13:AK13)</f>
        <v/>
      </c>
      <c r="M13" s="13">
        <f>SUM(AL13:AQ13)</f>
        <v/>
      </c>
      <c r="N13" s="8">
        <f>IF(COUNT(T13:Y13)&gt;0,P13/COUNT(T13:Y13),0.5)</f>
        <v/>
      </c>
      <c r="O13" s="8">
        <f>IF(COUNT(Z13:AE13)&gt;0,Q13/COUNT(Z13:AE13),0.5)</f>
        <v/>
      </c>
      <c r="P13" s="5">
        <f>SUM(T13:Y13)</f>
        <v/>
      </c>
      <c r="Q13" s="5">
        <f>SUM(Z13:AE13)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IF(ISNUMBER(R13),IF(ISNUMBER(R10),IF(R13&gt;R10,1.0,IF(R13=R10,0.5,0.0)),""),"")</f>
        <v/>
      </c>
      <c r="U13">
        <f>IF(ISNUMBER(R13),IF(ISNUMBER(R11),IF(R13&gt;R11,1.0,IF(R13=R11,0.5,0.0)),""),"")</f>
        <v/>
      </c>
      <c r="V13">
        <f>IF(ISNUMBER(R13),IF(ISNUMBER(R12),IF(R13&gt;R12,1.0,IF(R13=R12,0.5,0.0)),""),"")</f>
        <v/>
      </c>
      <c r="W13">
        <f>IF(ISNUMBER(R13),IF(ISNUMBER(R14),IF(R13&gt;R14,1.0,IF(R13=R14,0.5,0.0)),""),"")</f>
        <v/>
      </c>
      <c r="X13">
        <f>IF(ISNUMBER(R13),IF(ISNUMBER(R15),IF(R13&gt;R15,1.0,IF(R13=R15,0.5,0.0)),""),"")</f>
        <v/>
      </c>
      <c r="Y13">
        <f>IF(ISNUMBER(R13),IF(ISNUMBER(R16),IF(R13&gt;R16,1.0,IF(R13=R16,0.5,0.0)),""),"")</f>
        <v/>
      </c>
      <c r="Z13">
        <f>IF(ISNUMBER(S13),IF(ISNUMBER(S10),IF(S13&gt;S10,1.0,IF(S13=S10,0.5,0.0)),""),"")</f>
        <v/>
      </c>
      <c r="AA13">
        <f>IF(ISNUMBER(S13),IF(ISNUMBER(S11),IF(S13&gt;S11,1.0,IF(S13=S11,0.5,0.0)),""),"")</f>
        <v/>
      </c>
      <c r="AB13">
        <f>IF(ISNUMBER(S13),IF(ISNUMBER(S12),IF(S13&gt;S12,1.0,IF(S13=S12,0.5,0.0)),""),"")</f>
        <v/>
      </c>
      <c r="AC13">
        <f>IF(ISNUMBER(S13),IF(ISNUMBER(S14),IF(S13&gt;S14,1.0,IF(S13=S14,0.5,0.0)),""),"")</f>
        <v/>
      </c>
      <c r="AD13">
        <f>IF(ISNUMBER(S13),IF(ISNUMBER(S15),IF(S13&gt;S15,1.0,IF(S13=S15,0.5,0.0)),""),"")</f>
        <v/>
      </c>
      <c r="AE13">
        <f>IF(ISNUMBER(S13),IF(ISNUMBER(S16),IF(S13&gt;S16,1.0,IF(S13=S16,0.5,0.0)),""),"")</f>
        <v/>
      </c>
      <c r="AF13" s="14">
        <f>IF(AND(ISNUMBER(R13),ISNUMBER(R10)),VLOOKUP(ABS(R13-R10),'IMP Table'!$A$2:$C$26,3)*SIGN(R13-R10),0)</f>
        <v/>
      </c>
      <c r="AG13">
        <f>IF(AND(ISNUMBER(R13),ISNUMBER(R11)),VLOOKUP(ABS(R13-R11),'IMP Table'!$A$2:$C$26,3)*SIGN(R13-R11),0)</f>
        <v/>
      </c>
      <c r="AH13">
        <f>IF(AND(ISNUMBER(R13),ISNUMBER(R12)),VLOOKUP(ABS(R13-R12),'IMP Table'!$A$2:$C$26,3)*SIGN(R13-R12),0)</f>
        <v/>
      </c>
      <c r="AI13">
        <f>IF(AND(ISNUMBER(R13),ISNUMBER(R14)),VLOOKUP(ABS(R13-R14),'IMP Table'!$A$2:$C$26,3)*SIGN(R13-R14),0)</f>
        <v/>
      </c>
      <c r="AJ13">
        <f>IF(AND(ISNUMBER(R13),ISNUMBER(R15)),VLOOKUP(ABS(R13-R15),'IMP Table'!$A$2:$C$26,3)*SIGN(R13-R15),0)</f>
        <v/>
      </c>
      <c r="AK13">
        <f>IF(AND(ISNUMBER(R13),ISNUMBER(R16)),VLOOKUP(ABS(R13-R16),'IMP Table'!$A$2:$C$26,3)*SIGN(R13-R16),0)</f>
        <v/>
      </c>
      <c r="AL13">
        <f>IF(AND(ISNUMBER(S13),ISNUMBER(S10)),VLOOKUP(ABS(S13-S10),'IMP Table'!$A$2:$C$26,3)*SIGN(S13-S10),0)</f>
        <v/>
      </c>
      <c r="AM13">
        <f>IF(AND(ISNUMBER(S13),ISNUMBER(S11)),VLOOKUP(ABS(S13-S11),'IMP Table'!$A$2:$C$26,3)*SIGN(S13-S11),0)</f>
        <v/>
      </c>
      <c r="AN13">
        <f>IF(AND(ISNUMBER(S13),ISNUMBER(S12)),VLOOKUP(ABS(S13-S12),'IMP Table'!$A$2:$C$26,3)*SIGN(S13-S12),0)</f>
        <v/>
      </c>
      <c r="AO13">
        <f>IF(AND(ISNUMBER(S13),ISNUMBER(S14)),VLOOKUP(ABS(S13-S14),'IMP Table'!$A$2:$C$26,3)*SIGN(S13-S14),0)</f>
        <v/>
      </c>
      <c r="AP13">
        <f>IF(AND(ISNUMBER(S13),ISNUMBER(S15)),VLOOKUP(ABS(S13-S15),'IMP Table'!$A$2:$C$26,3)*SIGN(S13-S15),0)</f>
        <v/>
      </c>
      <c r="AQ13">
        <f>IF(AND(ISNUMBER(S13),ISNUMBER(S16)),VLOOKUP(ABS(S13-S16),'IMP Table'!$A$2:$C$26,3)*SIGN(S13-S16),0)</f>
        <v/>
      </c>
    </row>
    <row r="14">
      <c r="B14">
        <f>'By Round'!A129</f>
        <v/>
      </c>
      <c r="C14">
        <f>'By Round'!B135</f>
        <v/>
      </c>
      <c r="D14">
        <f>'By Round'!C135</f>
        <v/>
      </c>
      <c r="E14">
        <f>'By Round'!D135</f>
        <v/>
      </c>
      <c r="F14" s="11" t="inlineStr">
        <is>
          <t>NS</t>
        </is>
      </c>
      <c r="G14">
        <f>IF(ISBLANK('By Round'!G135),"",'By Round'!G135)</f>
        <v/>
      </c>
      <c r="H14">
        <f>IF(ISBLANK('By Round'!H135),"",'By Round'!H135)</f>
        <v/>
      </c>
      <c r="I14">
        <f>IF(ISBLANK('By Round'!I135),"",'By Round'!I135)</f>
        <v/>
      </c>
      <c r="J14">
        <f>IF(ISBLANK('By Round'!J135),"",'By Round'!J135)</f>
        <v/>
      </c>
      <c r="K14">
        <f>IF(ISBLANK('By Round'!K135),"",'By Round'!K135)</f>
        <v/>
      </c>
      <c r="L14" s="12">
        <f>SUM(AF14:AK14)</f>
        <v/>
      </c>
      <c r="M14" s="13">
        <f>SUM(AL14:AQ14)</f>
        <v/>
      </c>
      <c r="N14" s="8">
        <f>IF(COUNT(T14:Y14)&gt;0,P14/COUNT(T14:Y14),0.5)</f>
        <v/>
      </c>
      <c r="O14" s="8">
        <f>IF(COUNT(Z14:AE14)&gt;0,Q14/COUNT(Z14:AE14),0.5)</f>
        <v/>
      </c>
      <c r="P14" s="5">
        <f>SUM(T14:Y14)</f>
        <v/>
      </c>
      <c r="Q14" s="5">
        <f>SUM(Z14:AE14)</f>
        <v/>
      </c>
      <c r="R14" s="14">
        <f>IF(ISNUMBER(J14),J14,IF(ISNUMBER(K14),-K14,""))</f>
        <v/>
      </c>
      <c r="S14">
        <f>IF(ISNUMBER(K14),K14,IF(ISNUMBER(J14),-J14,""))</f>
        <v/>
      </c>
      <c r="T14" s="14">
        <f>IF(ISNUMBER(R14),IF(ISNUMBER(R10),IF(R14&gt;R10,1.0,IF(R14=R10,0.5,0.0)),""),"")</f>
        <v/>
      </c>
      <c r="U14">
        <f>IF(ISNUMBER(R14),IF(ISNUMBER(R11),IF(R14&gt;R11,1.0,IF(R14=R11,0.5,0.0)),""),"")</f>
        <v/>
      </c>
      <c r="V14">
        <f>IF(ISNUMBER(R14),IF(ISNUMBER(R12),IF(R14&gt;R12,1.0,IF(R14=R12,0.5,0.0)),""),"")</f>
        <v/>
      </c>
      <c r="W14">
        <f>IF(ISNUMBER(R14),IF(ISNUMBER(R13),IF(R14&gt;R13,1.0,IF(R14=R13,0.5,0.0)),""),"")</f>
        <v/>
      </c>
      <c r="X14">
        <f>IF(ISNUMBER(R14),IF(ISNUMBER(R15),IF(R14&gt;R15,1.0,IF(R14=R15,0.5,0.0)),""),"")</f>
        <v/>
      </c>
      <c r="Y14">
        <f>IF(ISNUMBER(R14),IF(ISNUMBER(R16),IF(R14&gt;R16,1.0,IF(R14=R16,0.5,0.0)),""),"")</f>
        <v/>
      </c>
      <c r="Z14">
        <f>IF(ISNUMBER(S14),IF(ISNUMBER(S10),IF(S14&gt;S10,1.0,IF(S14=S10,0.5,0.0)),""),"")</f>
        <v/>
      </c>
      <c r="AA14">
        <f>IF(ISNUMBER(S14),IF(ISNUMBER(S11),IF(S14&gt;S11,1.0,IF(S14=S11,0.5,0.0)),""),"")</f>
        <v/>
      </c>
      <c r="AB14">
        <f>IF(ISNUMBER(S14),IF(ISNUMBER(S12),IF(S14&gt;S12,1.0,IF(S14=S12,0.5,0.0)),""),"")</f>
        <v/>
      </c>
      <c r="AC14">
        <f>IF(ISNUMBER(S14),IF(ISNUMBER(S13),IF(S14&gt;S13,1.0,IF(S14=S13,0.5,0.0)),""),"")</f>
        <v/>
      </c>
      <c r="AD14">
        <f>IF(ISNUMBER(S14),IF(ISNUMBER(S15),IF(S14&gt;S15,1.0,IF(S14=S15,0.5,0.0)),""),"")</f>
        <v/>
      </c>
      <c r="AE14">
        <f>IF(ISNUMBER(S14),IF(ISNUMBER(S16),IF(S14&gt;S16,1.0,IF(S14=S16,0.5,0.0)),""),"")</f>
        <v/>
      </c>
      <c r="AF14" s="14">
        <f>IF(AND(ISNUMBER(R14),ISNUMBER(R10)),VLOOKUP(ABS(R14-R10),'IMP Table'!$A$2:$C$26,3)*SIGN(R14-R10),0)</f>
        <v/>
      </c>
      <c r="AG14">
        <f>IF(AND(ISNUMBER(R14),ISNUMBER(R11)),VLOOKUP(ABS(R14-R11),'IMP Table'!$A$2:$C$26,3)*SIGN(R14-R11),0)</f>
        <v/>
      </c>
      <c r="AH14">
        <f>IF(AND(ISNUMBER(R14),ISNUMBER(R12)),VLOOKUP(ABS(R14-R12),'IMP Table'!$A$2:$C$26,3)*SIGN(R14-R12),0)</f>
        <v/>
      </c>
      <c r="AI14">
        <f>IF(AND(ISNUMBER(R14),ISNUMBER(R13)),VLOOKUP(ABS(R14-R13),'IMP Table'!$A$2:$C$26,3)*SIGN(R14-R13),0)</f>
        <v/>
      </c>
      <c r="AJ14">
        <f>IF(AND(ISNUMBER(R14),ISNUMBER(R15)),VLOOKUP(ABS(R14-R15),'IMP Table'!$A$2:$C$26,3)*SIGN(R14-R15),0)</f>
        <v/>
      </c>
      <c r="AK14">
        <f>IF(AND(ISNUMBER(R14),ISNUMBER(R16)),VLOOKUP(ABS(R14-R16),'IMP Table'!$A$2:$C$26,3)*SIGN(R14-R16),0)</f>
        <v/>
      </c>
      <c r="AL14">
        <f>IF(AND(ISNUMBER(S14),ISNUMBER(S10)),VLOOKUP(ABS(S14-S10),'IMP Table'!$A$2:$C$26,3)*SIGN(S14-S10),0)</f>
        <v/>
      </c>
      <c r="AM14">
        <f>IF(AND(ISNUMBER(S14),ISNUMBER(S11)),VLOOKUP(ABS(S14-S11),'IMP Table'!$A$2:$C$26,3)*SIGN(S14-S11),0)</f>
        <v/>
      </c>
      <c r="AN14">
        <f>IF(AND(ISNUMBER(S14),ISNUMBER(S12)),VLOOKUP(ABS(S14-S12),'IMP Table'!$A$2:$C$26,3)*SIGN(S14-S12),0)</f>
        <v/>
      </c>
      <c r="AO14">
        <f>IF(AND(ISNUMBER(S14),ISNUMBER(S13)),VLOOKUP(ABS(S14-S13),'IMP Table'!$A$2:$C$26,3)*SIGN(S14-S13),0)</f>
        <v/>
      </c>
      <c r="AP14">
        <f>IF(AND(ISNUMBER(S14),ISNUMBER(S15)),VLOOKUP(ABS(S14-S15),'IMP Table'!$A$2:$C$26,3)*SIGN(S14-S15),0)</f>
        <v/>
      </c>
      <c r="AQ14">
        <f>IF(AND(ISNUMBER(S14),ISNUMBER(S16)),VLOOKUP(ABS(S14-S16),'IMP Table'!$A$2:$C$26,3)*SIGN(S14-S16),0)</f>
        <v/>
      </c>
    </row>
    <row r="15">
      <c r="B15">
        <f>'By Round'!A143</f>
        <v/>
      </c>
      <c r="C15">
        <f>'By Round'!B147</f>
        <v/>
      </c>
      <c r="D15">
        <f>'By Round'!C147</f>
        <v/>
      </c>
      <c r="E15">
        <f>'By Round'!D147</f>
        <v/>
      </c>
      <c r="F15" s="11" t="inlineStr">
        <is>
          <t>NS</t>
        </is>
      </c>
      <c r="G15">
        <f>IF(ISBLANK('By Round'!G147),"",'By Round'!G147)</f>
        <v/>
      </c>
      <c r="H15">
        <f>IF(ISBLANK('By Round'!H147),"",'By Round'!H147)</f>
        <v/>
      </c>
      <c r="I15">
        <f>IF(ISBLANK('By Round'!I147),"",'By Round'!I147)</f>
        <v/>
      </c>
      <c r="J15">
        <f>IF(ISBLANK('By Round'!J147),"",'By Round'!J147)</f>
        <v/>
      </c>
      <c r="K15">
        <f>IF(ISBLANK('By Round'!K147),"",'By Round'!K147)</f>
        <v/>
      </c>
      <c r="L15" s="12">
        <f>SUM(AF15:AK15)</f>
        <v/>
      </c>
      <c r="M15" s="13">
        <f>SUM(AL15:AQ15)</f>
        <v/>
      </c>
      <c r="N15" s="8">
        <f>IF(COUNT(T15:Y15)&gt;0,P15/COUNT(T15:Y15),0.5)</f>
        <v/>
      </c>
      <c r="O15" s="8">
        <f>IF(COUNT(Z15:AE15)&gt;0,Q15/COUNT(Z15:AE15),0.5)</f>
        <v/>
      </c>
      <c r="P15" s="5">
        <f>SUM(T15:Y15)</f>
        <v/>
      </c>
      <c r="Q15" s="5">
        <f>SUM(Z15:AE15)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IF(ISNUMBER(R15),IF(ISNUMBER(R10),IF(R15&gt;R10,1.0,IF(R15=R10,0.5,0.0)),""),"")</f>
        <v/>
      </c>
      <c r="U15">
        <f>IF(ISNUMBER(R15),IF(ISNUMBER(R11),IF(R15&gt;R11,1.0,IF(R15=R11,0.5,0.0)),""),"")</f>
        <v/>
      </c>
      <c r="V15">
        <f>IF(ISNUMBER(R15),IF(ISNUMBER(R12),IF(R15&gt;R12,1.0,IF(R15=R12,0.5,0.0)),""),"")</f>
        <v/>
      </c>
      <c r="W15">
        <f>IF(ISNUMBER(R15),IF(ISNUMBER(R13),IF(R15&gt;R13,1.0,IF(R15=R13,0.5,0.0)),""),"")</f>
        <v/>
      </c>
      <c r="X15">
        <f>IF(ISNUMBER(R15),IF(ISNUMBER(R14),IF(R15&gt;R14,1.0,IF(R15=R14,0.5,0.0)),""),"")</f>
        <v/>
      </c>
      <c r="Y15">
        <f>IF(ISNUMBER(R15),IF(ISNUMBER(R16),IF(R15&gt;R16,1.0,IF(R15=R16,0.5,0.0)),""),"")</f>
        <v/>
      </c>
      <c r="Z15">
        <f>IF(ISNUMBER(S15),IF(ISNUMBER(S10),IF(S15&gt;S10,1.0,IF(S15=S10,0.5,0.0)),""),"")</f>
        <v/>
      </c>
      <c r="AA15">
        <f>IF(ISNUMBER(S15),IF(ISNUMBER(S11),IF(S15&gt;S11,1.0,IF(S15=S11,0.5,0.0)),""),"")</f>
        <v/>
      </c>
      <c r="AB15">
        <f>IF(ISNUMBER(S15),IF(ISNUMBER(S12),IF(S15&gt;S12,1.0,IF(S15=S12,0.5,0.0)),""),"")</f>
        <v/>
      </c>
      <c r="AC15">
        <f>IF(ISNUMBER(S15),IF(ISNUMBER(S13),IF(S15&gt;S13,1.0,IF(S15=S13,0.5,0.0)),""),"")</f>
        <v/>
      </c>
      <c r="AD15">
        <f>IF(ISNUMBER(S15),IF(ISNUMBER(S14),IF(S15&gt;S14,1.0,IF(S15=S14,0.5,0.0)),""),"")</f>
        <v/>
      </c>
      <c r="AE15">
        <f>IF(ISNUMBER(S15),IF(ISNUMBER(S16),IF(S15&gt;S16,1.0,IF(S15=S16,0.5,0.0)),""),"")</f>
        <v/>
      </c>
      <c r="AF15" s="14">
        <f>IF(AND(ISNUMBER(R15),ISNUMBER(R10)),VLOOKUP(ABS(R15-R10),'IMP Table'!$A$2:$C$26,3)*SIGN(R15-R10),0)</f>
        <v/>
      </c>
      <c r="AG15">
        <f>IF(AND(ISNUMBER(R15),ISNUMBER(R11)),VLOOKUP(ABS(R15-R11),'IMP Table'!$A$2:$C$26,3)*SIGN(R15-R11),0)</f>
        <v/>
      </c>
      <c r="AH15">
        <f>IF(AND(ISNUMBER(R15),ISNUMBER(R12)),VLOOKUP(ABS(R15-R12),'IMP Table'!$A$2:$C$26,3)*SIGN(R15-R12),0)</f>
        <v/>
      </c>
      <c r="AI15">
        <f>IF(AND(ISNUMBER(R15),ISNUMBER(R13)),VLOOKUP(ABS(R15-R13),'IMP Table'!$A$2:$C$26,3)*SIGN(R15-R13),0)</f>
        <v/>
      </c>
      <c r="AJ15">
        <f>IF(AND(ISNUMBER(R15),ISNUMBER(R14)),VLOOKUP(ABS(R15-R14),'IMP Table'!$A$2:$C$26,3)*SIGN(R15-R14),0)</f>
        <v/>
      </c>
      <c r="AK15">
        <f>IF(AND(ISNUMBER(R15),ISNUMBER(R16)),VLOOKUP(ABS(R15-R16),'IMP Table'!$A$2:$C$26,3)*SIGN(R15-R16),0)</f>
        <v/>
      </c>
      <c r="AL15">
        <f>IF(AND(ISNUMBER(S15),ISNUMBER(S10)),VLOOKUP(ABS(S15-S10),'IMP Table'!$A$2:$C$26,3)*SIGN(S15-S10),0)</f>
        <v/>
      </c>
      <c r="AM15">
        <f>IF(AND(ISNUMBER(S15),ISNUMBER(S11)),VLOOKUP(ABS(S15-S11),'IMP Table'!$A$2:$C$26,3)*SIGN(S15-S11),0)</f>
        <v/>
      </c>
      <c r="AN15">
        <f>IF(AND(ISNUMBER(S15),ISNUMBER(S12)),VLOOKUP(ABS(S15-S12),'IMP Table'!$A$2:$C$26,3)*SIGN(S15-S12),0)</f>
        <v/>
      </c>
      <c r="AO15">
        <f>IF(AND(ISNUMBER(S15),ISNUMBER(S13)),VLOOKUP(ABS(S15-S13),'IMP Table'!$A$2:$C$26,3)*SIGN(S15-S13),0)</f>
        <v/>
      </c>
      <c r="AP15">
        <f>IF(AND(ISNUMBER(S15),ISNUMBER(S14)),VLOOKUP(ABS(S15-S14),'IMP Table'!$A$2:$C$26,3)*SIGN(S15-S14),0)</f>
        <v/>
      </c>
      <c r="AQ15">
        <f>IF(AND(ISNUMBER(S15),ISNUMBER(S16)),VLOOKUP(ABS(S15-S16),'IMP Table'!$A$2:$C$26,3)*SIGN(S15-S16),0)</f>
        <v/>
      </c>
    </row>
    <row r="16">
      <c r="A16" s="15" t="n"/>
      <c r="B16" s="15">
        <f>'By Round'!A157</f>
        <v/>
      </c>
      <c r="C16" s="15">
        <f>'By Round'!B159</f>
        <v/>
      </c>
      <c r="D16" s="15">
        <f>'By Round'!C159</f>
        <v/>
      </c>
      <c r="E16" s="15">
        <f>'By Round'!D159</f>
        <v/>
      </c>
      <c r="F16" s="16" t="inlineStr">
        <is>
          <t>NS</t>
        </is>
      </c>
      <c r="G16" s="15">
        <f>IF(ISBLANK('By Round'!G159),"",'By Round'!G159)</f>
        <v/>
      </c>
      <c r="H16" s="15">
        <f>IF(ISBLANK('By Round'!H159),"",'By Round'!H159)</f>
        <v/>
      </c>
      <c r="I16" s="15">
        <f>IF(ISBLANK('By Round'!I159),"",'By Round'!I159)</f>
        <v/>
      </c>
      <c r="J16" s="15">
        <f>IF(ISBLANK('By Round'!J159),"",'By Round'!J159)</f>
        <v/>
      </c>
      <c r="K16" s="15">
        <f>IF(ISBLANK('By Round'!K159),"",'By Round'!K159)</f>
        <v/>
      </c>
      <c r="L16" s="17">
        <f>SUM(AF16:AK16)</f>
        <v/>
      </c>
      <c r="M16" s="18">
        <f>SUM(AL16:AQ16)</f>
        <v/>
      </c>
      <c r="N16" s="19">
        <f>IF(COUNT(T16:Y16)&gt;0,P16/COUNT(T16:Y16),0.5)</f>
        <v/>
      </c>
      <c r="O16" s="19">
        <f>IF(COUNT(Z16:AE16)&gt;0,Q16/COUNT(Z16:AE16),0.5)</f>
        <v/>
      </c>
      <c r="P16" s="20">
        <f>SUM(T16:Y16)</f>
        <v/>
      </c>
      <c r="Q16" s="20">
        <f>SUM(Z16:AE16)</f>
        <v/>
      </c>
      <c r="R16" s="21">
        <f>IF(ISNUMBER(J16),J16,IF(ISNUMBER(K16),-K16,""))</f>
        <v/>
      </c>
      <c r="S16" s="15">
        <f>IF(ISNUMBER(K16),K16,IF(ISNUMBER(J16),-J16,""))</f>
        <v/>
      </c>
      <c r="T16" s="21">
        <f>IF(ISNUMBER(R16),IF(ISNUMBER(R10),IF(R16&gt;R10,1.0,IF(R16=R10,0.5,0.0)),""),"")</f>
        <v/>
      </c>
      <c r="U16" s="15">
        <f>IF(ISNUMBER(R16),IF(ISNUMBER(R11),IF(R16&gt;R11,1.0,IF(R16=R11,0.5,0.0)),""),"")</f>
        <v/>
      </c>
      <c r="V16" s="15">
        <f>IF(ISNUMBER(R16),IF(ISNUMBER(R12),IF(R16&gt;R12,1.0,IF(R16=R12,0.5,0.0)),""),"")</f>
        <v/>
      </c>
      <c r="W16" s="15">
        <f>IF(ISNUMBER(R16),IF(ISNUMBER(R13),IF(R16&gt;R13,1.0,IF(R16=R13,0.5,0.0)),""),"")</f>
        <v/>
      </c>
      <c r="X16" s="15">
        <f>IF(ISNUMBER(R16),IF(ISNUMBER(R14),IF(R16&gt;R14,1.0,IF(R16=R14,0.5,0.0)),""),"")</f>
        <v/>
      </c>
      <c r="Y16" s="15">
        <f>IF(ISNUMBER(R16),IF(ISNUMBER(R15),IF(R16&gt;R15,1.0,IF(R16=R15,0.5,0.0)),""),"")</f>
        <v/>
      </c>
      <c r="Z16" s="15">
        <f>IF(ISNUMBER(S16),IF(ISNUMBER(S10),IF(S16&gt;S10,1.0,IF(S16=S10,0.5,0.0)),""),"")</f>
        <v/>
      </c>
      <c r="AA16" s="15">
        <f>IF(ISNUMBER(S16),IF(ISNUMBER(S11),IF(S16&gt;S11,1.0,IF(S16=S11,0.5,0.0)),""),"")</f>
        <v/>
      </c>
      <c r="AB16" s="15">
        <f>IF(ISNUMBER(S16),IF(ISNUMBER(S12),IF(S16&gt;S12,1.0,IF(S16=S12,0.5,0.0)),""),"")</f>
        <v/>
      </c>
      <c r="AC16" s="15">
        <f>IF(ISNUMBER(S16),IF(ISNUMBER(S13),IF(S16&gt;S13,1.0,IF(S16=S13,0.5,0.0)),""),"")</f>
        <v/>
      </c>
      <c r="AD16" s="15">
        <f>IF(ISNUMBER(S16),IF(ISNUMBER(S14),IF(S16&gt;S14,1.0,IF(S16=S14,0.5,0.0)),""),"")</f>
        <v/>
      </c>
      <c r="AE16" s="15">
        <f>IF(ISNUMBER(S16),IF(ISNUMBER(S15),IF(S16&gt;S15,1.0,IF(S16=S15,0.5,0.0)),""),"")</f>
        <v/>
      </c>
      <c r="AF16" s="21">
        <f>IF(AND(ISNUMBER(R16),ISNUMBER(R10)),VLOOKUP(ABS(R16-R10),'IMP Table'!$A$2:$C$26,3)*SIGN(R16-R10),0)</f>
        <v/>
      </c>
      <c r="AG16" s="15">
        <f>IF(AND(ISNUMBER(R16),ISNUMBER(R11)),VLOOKUP(ABS(R16-R11),'IMP Table'!$A$2:$C$26,3)*SIGN(R16-R11),0)</f>
        <v/>
      </c>
      <c r="AH16" s="15">
        <f>IF(AND(ISNUMBER(R16),ISNUMBER(R12)),VLOOKUP(ABS(R16-R12),'IMP Table'!$A$2:$C$26,3)*SIGN(R16-R12),0)</f>
        <v/>
      </c>
      <c r="AI16" s="15">
        <f>IF(AND(ISNUMBER(R16),ISNUMBER(R13)),VLOOKUP(ABS(R16-R13),'IMP Table'!$A$2:$C$26,3)*SIGN(R16-R13),0)</f>
        <v/>
      </c>
      <c r="AJ16" s="15">
        <f>IF(AND(ISNUMBER(R16),ISNUMBER(R14)),VLOOKUP(ABS(R16-R14),'IMP Table'!$A$2:$C$26,3)*SIGN(R16-R14),0)</f>
        <v/>
      </c>
      <c r="AK16" s="15">
        <f>IF(AND(ISNUMBER(R16),ISNUMBER(R15)),VLOOKUP(ABS(R16-R15),'IMP Table'!$A$2:$C$26,3)*SIGN(R16-R15),0)</f>
        <v/>
      </c>
      <c r="AL16" s="15">
        <f>IF(AND(ISNUMBER(S16),ISNUMBER(S10)),VLOOKUP(ABS(S16-S10),'IMP Table'!$A$2:$C$26,3)*SIGN(S16-S10),0)</f>
        <v/>
      </c>
      <c r="AM16" s="15">
        <f>IF(AND(ISNUMBER(S16),ISNUMBER(S11)),VLOOKUP(ABS(S16-S11),'IMP Table'!$A$2:$C$26,3)*SIGN(S16-S11),0)</f>
        <v/>
      </c>
      <c r="AN16" s="15">
        <f>IF(AND(ISNUMBER(S16),ISNUMBER(S12)),VLOOKUP(ABS(S16-S12),'IMP Table'!$A$2:$C$26,3)*SIGN(S16-S12),0)</f>
        <v/>
      </c>
      <c r="AO16" s="15">
        <f>IF(AND(ISNUMBER(S16),ISNUMBER(S13)),VLOOKUP(ABS(S16-S13),'IMP Table'!$A$2:$C$26,3)*SIGN(S16-S13),0)</f>
        <v/>
      </c>
      <c r="AP16" s="15">
        <f>IF(AND(ISNUMBER(S16),ISNUMBER(S14)),VLOOKUP(ABS(S16-S14),'IMP Table'!$A$2:$C$26,3)*SIGN(S16-S14),0)</f>
        <v/>
      </c>
      <c r="AQ16" s="15">
        <f>IF(AND(ISNUMBER(S16),ISNUMBER(S15)),VLOOKUP(ABS(S16-S15),'IMP Table'!$A$2:$C$26,3)*SIGN(S16-S15),0)</f>
        <v/>
      </c>
    </row>
    <row r="17">
      <c r="A17" t="n">
        <v>3</v>
      </c>
      <c r="B17">
        <f>'By Round'!A17</f>
        <v/>
      </c>
      <c r="C17">
        <f>'By Round'!B17</f>
        <v/>
      </c>
      <c r="D17">
        <f>'By Round'!C17</f>
        <v/>
      </c>
      <c r="E17">
        <f>'By Round'!D17</f>
        <v/>
      </c>
      <c r="F17" s="11" t="inlineStr">
        <is>
          <t>EW</t>
        </is>
      </c>
      <c r="G17">
        <f>IF(ISBLANK('By Round'!G17),"",'By Round'!G17)</f>
        <v/>
      </c>
      <c r="H17">
        <f>IF(ISBLANK('By Round'!H17),"",'By Round'!H17)</f>
        <v/>
      </c>
      <c r="I17">
        <f>IF(ISBLANK('By Round'!I17),"",'By Round'!I17)</f>
        <v/>
      </c>
      <c r="J17">
        <f>IF(ISBLANK('By Round'!J17),"",'By Round'!J17)</f>
        <v/>
      </c>
      <c r="K17">
        <f>IF(ISBLANK('By Round'!K17),"",'By Round'!K17)</f>
        <v/>
      </c>
      <c r="L17" s="12">
        <f>SUM(AF17:AK17)</f>
        <v/>
      </c>
      <c r="M17" s="13">
        <f>SUM(AL17:AQ17)</f>
        <v/>
      </c>
      <c r="N17" s="8">
        <f>IF(COUNT(T17:Y17)&gt;0,P17/COUNT(T17:Y17),0.5)</f>
        <v/>
      </c>
      <c r="O17" s="8">
        <f>IF(COUNT(Z17:AE17)&gt;0,Q17/COUNT(Z17:AE17),0.5)</f>
        <v/>
      </c>
      <c r="P17" s="5">
        <f>SUM(T17:Y17)</f>
        <v/>
      </c>
      <c r="Q17" s="5">
        <f>SUM(Z17:AE17)</f>
        <v/>
      </c>
      <c r="R17" s="14">
        <f>IF(ISNUMBER(J17),J17,IF(ISNUMBER(K17),-K17,""))</f>
        <v/>
      </c>
      <c r="S17">
        <f>IF(ISNUMBER(K17),K17,IF(ISNUMBER(J17),-J17,""))</f>
        <v/>
      </c>
      <c r="T17" s="14">
        <f>IF(ISNUMBER(R17),IF(ISNUMBER(R18),IF(R17&gt;R18,1.0,IF(R17=R18,0.5,0.0)),""),"")</f>
        <v/>
      </c>
      <c r="U17">
        <f>IF(ISNUMBER(R17),IF(ISNUMBER(R19),IF(R17&gt;R19,1.0,IF(R17=R19,0.5,0.0)),""),"")</f>
        <v/>
      </c>
      <c r="V17">
        <f>IF(ISNUMBER(R17),IF(ISNUMBER(R20),IF(R17&gt;R20,1.0,IF(R17=R20,0.5,0.0)),""),"")</f>
        <v/>
      </c>
      <c r="W17">
        <f>IF(ISNUMBER(R17),IF(ISNUMBER(R21),IF(R17&gt;R21,1.0,IF(R17=R21,0.5,0.0)),""),"")</f>
        <v/>
      </c>
      <c r="X17">
        <f>IF(ISNUMBER(R17),IF(ISNUMBER(R22),IF(R17&gt;R22,1.0,IF(R17=R22,0.5,0.0)),""),"")</f>
        <v/>
      </c>
      <c r="Y17">
        <f>IF(ISNUMBER(R17),IF(ISNUMBER(R23),IF(R17&gt;R23,1.0,IF(R17=R23,0.5,0.0)),""),"")</f>
        <v/>
      </c>
      <c r="Z17">
        <f>IF(ISNUMBER(S17),IF(ISNUMBER(S18),IF(S17&gt;S18,1.0,IF(S17=S18,0.5,0.0)),""),"")</f>
        <v/>
      </c>
      <c r="AA17">
        <f>IF(ISNUMBER(S17),IF(ISNUMBER(S19),IF(S17&gt;S19,1.0,IF(S17=S19,0.5,0.0)),""),"")</f>
        <v/>
      </c>
      <c r="AB17">
        <f>IF(ISNUMBER(S17),IF(ISNUMBER(S20),IF(S17&gt;S20,1.0,IF(S17=S20,0.5,0.0)),""),"")</f>
        <v/>
      </c>
      <c r="AC17">
        <f>IF(ISNUMBER(S17),IF(ISNUMBER(S21),IF(S17&gt;S21,1.0,IF(S17=S21,0.5,0.0)),""),"")</f>
        <v/>
      </c>
      <c r="AD17">
        <f>IF(ISNUMBER(S17),IF(ISNUMBER(S22),IF(S17&gt;S22,1.0,IF(S17=S22,0.5,0.0)),""),"")</f>
        <v/>
      </c>
      <c r="AE17">
        <f>IF(ISNUMBER(S17),IF(ISNUMBER(S23),IF(S17&gt;S23,1.0,IF(S17=S23,0.5,0.0)),""),"")</f>
        <v/>
      </c>
      <c r="AF17" s="14">
        <f>IF(AND(ISNUMBER(R17),ISNUMBER(R18)),VLOOKUP(ABS(R17-R18),'IMP Table'!$A$2:$C$26,3)*SIGN(R17-R18),0)</f>
        <v/>
      </c>
      <c r="AG17">
        <f>IF(AND(ISNUMBER(R17),ISNUMBER(R19)),VLOOKUP(ABS(R17-R19),'IMP Table'!$A$2:$C$26,3)*SIGN(R17-R19),0)</f>
        <v/>
      </c>
      <c r="AH17">
        <f>IF(AND(ISNUMBER(R17),ISNUMBER(R20)),VLOOKUP(ABS(R17-R20),'IMP Table'!$A$2:$C$26,3)*SIGN(R17-R20),0)</f>
        <v/>
      </c>
      <c r="AI17">
        <f>IF(AND(ISNUMBER(R17),ISNUMBER(R21)),VLOOKUP(ABS(R17-R21),'IMP Table'!$A$2:$C$26,3)*SIGN(R17-R21),0)</f>
        <v/>
      </c>
      <c r="AJ17">
        <f>IF(AND(ISNUMBER(R17),ISNUMBER(R22)),VLOOKUP(ABS(R17-R22),'IMP Table'!$A$2:$C$26,3)*SIGN(R17-R22),0)</f>
        <v/>
      </c>
      <c r="AK17">
        <f>IF(AND(ISNUMBER(R17),ISNUMBER(R23)),VLOOKUP(ABS(R17-R23),'IMP Table'!$A$2:$C$26,3)*SIGN(R17-R23),0)</f>
        <v/>
      </c>
      <c r="AL17">
        <f>IF(AND(ISNUMBER(S17),ISNUMBER(S18)),VLOOKUP(ABS(S17-S18),'IMP Table'!$A$2:$C$26,3)*SIGN(S17-S18),0)</f>
        <v/>
      </c>
      <c r="AM17">
        <f>IF(AND(ISNUMBER(S17),ISNUMBER(S19)),VLOOKUP(ABS(S17-S19),'IMP Table'!$A$2:$C$26,3)*SIGN(S17-S19),0)</f>
        <v/>
      </c>
      <c r="AN17">
        <f>IF(AND(ISNUMBER(S17),ISNUMBER(S20)),VLOOKUP(ABS(S17-S20),'IMP Table'!$A$2:$C$26,3)*SIGN(S17-S20),0)</f>
        <v/>
      </c>
      <c r="AO17">
        <f>IF(AND(ISNUMBER(S17),ISNUMBER(S21)),VLOOKUP(ABS(S17-S21),'IMP Table'!$A$2:$C$26,3)*SIGN(S17-S21),0)</f>
        <v/>
      </c>
      <c r="AP17">
        <f>IF(AND(ISNUMBER(S17),ISNUMBER(S22)),VLOOKUP(ABS(S17-S22),'IMP Table'!$A$2:$C$26,3)*SIGN(S17-S22),0)</f>
        <v/>
      </c>
      <c r="AQ17">
        <f>IF(AND(ISNUMBER(S17),ISNUMBER(S23)),VLOOKUP(ABS(S17-S23),'IMP Table'!$A$2:$C$26,3)*SIGN(S17-S23),0)</f>
        <v/>
      </c>
    </row>
    <row r="18">
      <c r="B18">
        <f>'By Round'!A45</f>
        <v/>
      </c>
      <c r="C18">
        <f>'By Round'!B57</f>
        <v/>
      </c>
      <c r="D18">
        <f>'By Round'!C57</f>
        <v/>
      </c>
      <c r="E18">
        <f>'By Round'!D57</f>
        <v/>
      </c>
      <c r="F18" s="11" t="inlineStr">
        <is>
          <t>EW</t>
        </is>
      </c>
      <c r="G18">
        <f>IF(ISBLANK('By Round'!G57),"",'By Round'!G57)</f>
        <v/>
      </c>
      <c r="H18">
        <f>IF(ISBLANK('By Round'!H57),"",'By Round'!H57)</f>
        <v/>
      </c>
      <c r="I18">
        <f>IF(ISBLANK('By Round'!I57),"",'By Round'!I57)</f>
        <v/>
      </c>
      <c r="J18">
        <f>IF(ISBLANK('By Round'!J57),"",'By Round'!J57)</f>
        <v/>
      </c>
      <c r="K18">
        <f>IF(ISBLANK('By Round'!K57),"",'By Round'!K57)</f>
        <v/>
      </c>
      <c r="L18" s="12">
        <f>SUM(AF18:AK18)</f>
        <v/>
      </c>
      <c r="M18" s="13">
        <f>SUM(AL18:AQ18)</f>
        <v/>
      </c>
      <c r="N18" s="8">
        <f>IF(COUNT(T18:Y18)&gt;0,P18/COUNT(T18:Y18),0.5)</f>
        <v/>
      </c>
      <c r="O18" s="8">
        <f>IF(COUNT(Z18:AE18)&gt;0,Q18/COUNT(Z18:AE18),0.5)</f>
        <v/>
      </c>
      <c r="P18" s="5">
        <f>SUM(T18:Y18)</f>
        <v/>
      </c>
      <c r="Q18" s="5">
        <f>SUM(Z18:AE18)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IF(ISNUMBER(R18),IF(ISNUMBER(R17),IF(R18&gt;R17,1.0,IF(R18=R17,0.5,0.0)),""),"")</f>
        <v/>
      </c>
      <c r="U18">
        <f>IF(ISNUMBER(R18),IF(ISNUMBER(R19),IF(R18&gt;R19,1.0,IF(R18=R19,0.5,0.0)),""),"")</f>
        <v/>
      </c>
      <c r="V18">
        <f>IF(ISNUMBER(R18),IF(ISNUMBER(R20),IF(R18&gt;R20,1.0,IF(R18=R20,0.5,0.0)),""),"")</f>
        <v/>
      </c>
      <c r="W18">
        <f>IF(ISNUMBER(R18),IF(ISNUMBER(R21),IF(R18&gt;R21,1.0,IF(R18=R21,0.5,0.0)),""),"")</f>
        <v/>
      </c>
      <c r="X18">
        <f>IF(ISNUMBER(R18),IF(ISNUMBER(R22),IF(R18&gt;R22,1.0,IF(R18=R22,0.5,0.0)),""),"")</f>
        <v/>
      </c>
      <c r="Y18">
        <f>IF(ISNUMBER(R18),IF(ISNUMBER(R23),IF(R18&gt;R23,1.0,IF(R18=R23,0.5,0.0)),""),"")</f>
        <v/>
      </c>
      <c r="Z18">
        <f>IF(ISNUMBER(S18),IF(ISNUMBER(S17),IF(S18&gt;S17,1.0,IF(S18=S17,0.5,0.0)),""),"")</f>
        <v/>
      </c>
      <c r="AA18">
        <f>IF(ISNUMBER(S18),IF(ISNUMBER(S19),IF(S18&gt;S19,1.0,IF(S18=S19,0.5,0.0)),""),"")</f>
        <v/>
      </c>
      <c r="AB18">
        <f>IF(ISNUMBER(S18),IF(ISNUMBER(S20),IF(S18&gt;S20,1.0,IF(S18=S20,0.5,0.0)),""),"")</f>
        <v/>
      </c>
      <c r="AC18">
        <f>IF(ISNUMBER(S18),IF(ISNUMBER(S21),IF(S18&gt;S21,1.0,IF(S18=S21,0.5,0.0)),""),"")</f>
        <v/>
      </c>
      <c r="AD18">
        <f>IF(ISNUMBER(S18),IF(ISNUMBER(S22),IF(S18&gt;S22,1.0,IF(S18=S22,0.5,0.0)),""),"")</f>
        <v/>
      </c>
      <c r="AE18">
        <f>IF(ISNUMBER(S18),IF(ISNUMBER(S23),IF(S18&gt;S23,1.0,IF(S18=S23,0.5,0.0)),""),"")</f>
        <v/>
      </c>
      <c r="AF18" s="14">
        <f>IF(AND(ISNUMBER(R18),ISNUMBER(R17)),VLOOKUP(ABS(R18-R17),'IMP Table'!$A$2:$C$26,3)*SIGN(R18-R17),0)</f>
        <v/>
      </c>
      <c r="AG18">
        <f>IF(AND(ISNUMBER(R18),ISNUMBER(R19)),VLOOKUP(ABS(R18-R19),'IMP Table'!$A$2:$C$26,3)*SIGN(R18-R19),0)</f>
        <v/>
      </c>
      <c r="AH18">
        <f>IF(AND(ISNUMBER(R18),ISNUMBER(R20)),VLOOKUP(ABS(R18-R20),'IMP Table'!$A$2:$C$26,3)*SIGN(R18-R20),0)</f>
        <v/>
      </c>
      <c r="AI18">
        <f>IF(AND(ISNUMBER(R18),ISNUMBER(R21)),VLOOKUP(ABS(R18-R21),'IMP Table'!$A$2:$C$26,3)*SIGN(R18-R21),0)</f>
        <v/>
      </c>
      <c r="AJ18">
        <f>IF(AND(ISNUMBER(R18),ISNUMBER(R22)),VLOOKUP(ABS(R18-R22),'IMP Table'!$A$2:$C$26,3)*SIGN(R18-R22),0)</f>
        <v/>
      </c>
      <c r="AK18">
        <f>IF(AND(ISNUMBER(R18),ISNUMBER(R23)),VLOOKUP(ABS(R18-R23),'IMP Table'!$A$2:$C$26,3)*SIGN(R18-R23),0)</f>
        <v/>
      </c>
      <c r="AL18">
        <f>IF(AND(ISNUMBER(S18),ISNUMBER(S17)),VLOOKUP(ABS(S18-S17),'IMP Table'!$A$2:$C$26,3)*SIGN(S18-S17),0)</f>
        <v/>
      </c>
      <c r="AM18">
        <f>IF(AND(ISNUMBER(S18),ISNUMBER(S19)),VLOOKUP(ABS(S18-S19),'IMP Table'!$A$2:$C$26,3)*SIGN(S18-S19),0)</f>
        <v/>
      </c>
      <c r="AN18">
        <f>IF(AND(ISNUMBER(S18),ISNUMBER(S20)),VLOOKUP(ABS(S18-S20),'IMP Table'!$A$2:$C$26,3)*SIGN(S18-S20),0)</f>
        <v/>
      </c>
      <c r="AO18">
        <f>IF(AND(ISNUMBER(S18),ISNUMBER(S21)),VLOOKUP(ABS(S18-S21),'IMP Table'!$A$2:$C$26,3)*SIGN(S18-S21),0)</f>
        <v/>
      </c>
      <c r="AP18">
        <f>IF(AND(ISNUMBER(S18),ISNUMBER(S22)),VLOOKUP(ABS(S18-S22),'IMP Table'!$A$2:$C$26,3)*SIGN(S18-S22),0)</f>
        <v/>
      </c>
      <c r="AQ18">
        <f>IF(AND(ISNUMBER(S18),ISNUMBER(S23)),VLOOKUP(ABS(S18-S23),'IMP Table'!$A$2:$C$26,3)*SIGN(S18-S23),0)</f>
        <v/>
      </c>
    </row>
    <row r="19">
      <c r="B19">
        <f>'By Round'!A59</f>
        <v/>
      </c>
      <c r="C19">
        <f>'By Round'!B69</f>
        <v/>
      </c>
      <c r="D19">
        <f>'By Round'!C69</f>
        <v/>
      </c>
      <c r="E19">
        <f>'By Round'!D69</f>
        <v/>
      </c>
      <c r="F19" s="11" t="inlineStr">
        <is>
          <t>EW</t>
        </is>
      </c>
      <c r="G19">
        <f>IF(ISBLANK('By Round'!G69),"",'By Round'!G69)</f>
        <v/>
      </c>
      <c r="H19">
        <f>IF(ISBLANK('By Round'!H69),"",'By Round'!H69)</f>
        <v/>
      </c>
      <c r="I19">
        <f>IF(ISBLANK('By Round'!I69),"",'By Round'!I69)</f>
        <v/>
      </c>
      <c r="J19">
        <f>IF(ISBLANK('By Round'!J69),"",'By Round'!J69)</f>
        <v/>
      </c>
      <c r="K19">
        <f>IF(ISBLANK('By Round'!K69),"",'By Round'!K69)</f>
        <v/>
      </c>
      <c r="L19" s="12">
        <f>SUM(AF19:AK19)</f>
        <v/>
      </c>
      <c r="M19" s="13">
        <f>SUM(AL19:AQ19)</f>
        <v/>
      </c>
      <c r="N19" s="8">
        <f>IF(COUNT(T19:Y19)&gt;0,P19/COUNT(T19:Y19),0.5)</f>
        <v/>
      </c>
      <c r="O19" s="8">
        <f>IF(COUNT(Z19:AE19)&gt;0,Q19/COUNT(Z19:AE19),0.5)</f>
        <v/>
      </c>
      <c r="P19" s="5">
        <f>SUM(T19:Y19)</f>
        <v/>
      </c>
      <c r="Q19" s="5">
        <f>SUM(Z19:AE19)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IF(ISNUMBER(R19),IF(ISNUMBER(R17),IF(R19&gt;R17,1.0,IF(R19=R17,0.5,0.0)),""),"")</f>
        <v/>
      </c>
      <c r="U19">
        <f>IF(ISNUMBER(R19),IF(ISNUMBER(R18),IF(R19&gt;R18,1.0,IF(R19=R18,0.5,0.0)),""),"")</f>
        <v/>
      </c>
      <c r="V19">
        <f>IF(ISNUMBER(R19),IF(ISNUMBER(R20),IF(R19&gt;R20,1.0,IF(R19=R20,0.5,0.0)),""),"")</f>
        <v/>
      </c>
      <c r="W19">
        <f>IF(ISNUMBER(R19),IF(ISNUMBER(R21),IF(R19&gt;R21,1.0,IF(R19=R21,0.5,0.0)),""),"")</f>
        <v/>
      </c>
      <c r="X19">
        <f>IF(ISNUMBER(R19),IF(ISNUMBER(R22),IF(R19&gt;R22,1.0,IF(R19=R22,0.5,0.0)),""),"")</f>
        <v/>
      </c>
      <c r="Y19">
        <f>IF(ISNUMBER(R19),IF(ISNUMBER(R23),IF(R19&gt;R23,1.0,IF(R19=R23,0.5,0.0)),""),"")</f>
        <v/>
      </c>
      <c r="Z19">
        <f>IF(ISNUMBER(S19),IF(ISNUMBER(S17),IF(S19&gt;S17,1.0,IF(S19=S17,0.5,0.0)),""),"")</f>
        <v/>
      </c>
      <c r="AA19">
        <f>IF(ISNUMBER(S19),IF(ISNUMBER(S18),IF(S19&gt;S18,1.0,IF(S19=S18,0.5,0.0)),""),"")</f>
        <v/>
      </c>
      <c r="AB19">
        <f>IF(ISNUMBER(S19),IF(ISNUMBER(S20),IF(S19&gt;S20,1.0,IF(S19=S20,0.5,0.0)),""),"")</f>
        <v/>
      </c>
      <c r="AC19">
        <f>IF(ISNUMBER(S19),IF(ISNUMBER(S21),IF(S19&gt;S21,1.0,IF(S19=S21,0.5,0.0)),""),"")</f>
        <v/>
      </c>
      <c r="AD19">
        <f>IF(ISNUMBER(S19),IF(ISNUMBER(S22),IF(S19&gt;S22,1.0,IF(S19=S22,0.5,0.0)),""),"")</f>
        <v/>
      </c>
      <c r="AE19">
        <f>IF(ISNUMBER(S19),IF(ISNUMBER(S23),IF(S19&gt;S23,1.0,IF(S19=S23,0.5,0.0)),""),"")</f>
        <v/>
      </c>
      <c r="AF19" s="14">
        <f>IF(AND(ISNUMBER(R19),ISNUMBER(R17)),VLOOKUP(ABS(R19-R17),'IMP Table'!$A$2:$C$26,3)*SIGN(R19-R17),0)</f>
        <v/>
      </c>
      <c r="AG19">
        <f>IF(AND(ISNUMBER(R19),ISNUMBER(R18)),VLOOKUP(ABS(R19-R18),'IMP Table'!$A$2:$C$26,3)*SIGN(R19-R18),0)</f>
        <v/>
      </c>
      <c r="AH19">
        <f>IF(AND(ISNUMBER(R19),ISNUMBER(R20)),VLOOKUP(ABS(R19-R20),'IMP Table'!$A$2:$C$26,3)*SIGN(R19-R20),0)</f>
        <v/>
      </c>
      <c r="AI19">
        <f>IF(AND(ISNUMBER(R19),ISNUMBER(R21)),VLOOKUP(ABS(R19-R21),'IMP Table'!$A$2:$C$26,3)*SIGN(R19-R21),0)</f>
        <v/>
      </c>
      <c r="AJ19">
        <f>IF(AND(ISNUMBER(R19),ISNUMBER(R22)),VLOOKUP(ABS(R19-R22),'IMP Table'!$A$2:$C$26,3)*SIGN(R19-R22),0)</f>
        <v/>
      </c>
      <c r="AK19">
        <f>IF(AND(ISNUMBER(R19),ISNUMBER(R23)),VLOOKUP(ABS(R19-R23),'IMP Table'!$A$2:$C$26,3)*SIGN(R19-R23),0)</f>
        <v/>
      </c>
      <c r="AL19">
        <f>IF(AND(ISNUMBER(S19),ISNUMBER(S17)),VLOOKUP(ABS(S19-S17),'IMP Table'!$A$2:$C$26,3)*SIGN(S19-S17),0)</f>
        <v/>
      </c>
      <c r="AM19">
        <f>IF(AND(ISNUMBER(S19),ISNUMBER(S18)),VLOOKUP(ABS(S19-S18),'IMP Table'!$A$2:$C$26,3)*SIGN(S19-S18),0)</f>
        <v/>
      </c>
      <c r="AN19">
        <f>IF(AND(ISNUMBER(S19),ISNUMBER(S20)),VLOOKUP(ABS(S19-S20),'IMP Table'!$A$2:$C$26,3)*SIGN(S19-S20),0)</f>
        <v/>
      </c>
      <c r="AO19">
        <f>IF(AND(ISNUMBER(S19),ISNUMBER(S21)),VLOOKUP(ABS(S19-S21),'IMP Table'!$A$2:$C$26,3)*SIGN(S19-S21),0)</f>
        <v/>
      </c>
      <c r="AP19">
        <f>IF(AND(ISNUMBER(S19),ISNUMBER(S22)),VLOOKUP(ABS(S19-S22),'IMP Table'!$A$2:$C$26,3)*SIGN(S19-S22),0)</f>
        <v/>
      </c>
      <c r="AQ19">
        <f>IF(AND(ISNUMBER(S19),ISNUMBER(S23)),VLOOKUP(ABS(S19-S23),'IMP Table'!$A$2:$C$26,3)*SIGN(S19-S23),0)</f>
        <v/>
      </c>
    </row>
    <row r="20">
      <c r="B20">
        <f>'By Round'!A73</f>
        <v/>
      </c>
      <c r="C20">
        <f>'By Round'!B81</f>
        <v/>
      </c>
      <c r="D20">
        <f>'By Round'!C81</f>
        <v/>
      </c>
      <c r="E20">
        <f>'By Round'!D81</f>
        <v/>
      </c>
      <c r="F20" s="11" t="inlineStr">
        <is>
          <t>EW</t>
        </is>
      </c>
      <c r="G20">
        <f>IF(ISBLANK('By Round'!G81),"",'By Round'!G81)</f>
        <v/>
      </c>
      <c r="H20">
        <f>IF(ISBLANK('By Round'!H81),"",'By Round'!H81)</f>
        <v/>
      </c>
      <c r="I20">
        <f>IF(ISBLANK('By Round'!I81),"",'By Round'!I81)</f>
        <v/>
      </c>
      <c r="J20">
        <f>IF(ISBLANK('By Round'!J81),"",'By Round'!J81)</f>
        <v/>
      </c>
      <c r="K20">
        <f>IF(ISBLANK('By Round'!K81),"",'By Round'!K81)</f>
        <v/>
      </c>
      <c r="L20" s="12">
        <f>SUM(AF20:AK20)</f>
        <v/>
      </c>
      <c r="M20" s="13">
        <f>SUM(AL20:AQ20)</f>
        <v/>
      </c>
      <c r="N20" s="8">
        <f>IF(COUNT(T20:Y20)&gt;0,P20/COUNT(T20:Y20),0.5)</f>
        <v/>
      </c>
      <c r="O20" s="8">
        <f>IF(COUNT(Z20:AE20)&gt;0,Q20/COUNT(Z20:AE20),0.5)</f>
        <v/>
      </c>
      <c r="P20" s="5">
        <f>SUM(T20:Y20)</f>
        <v/>
      </c>
      <c r="Q20" s="5">
        <f>SUM(Z20:AE20)</f>
        <v/>
      </c>
      <c r="R20" s="14">
        <f>IF(ISNUMBER(J20),J20,IF(ISNUMBER(K20),-K20,""))</f>
        <v/>
      </c>
      <c r="S20">
        <f>IF(ISNUMBER(K20),K20,IF(ISNUMBER(J20),-J20,""))</f>
        <v/>
      </c>
      <c r="T20" s="14">
        <f>IF(ISNUMBER(R20),IF(ISNUMBER(R17),IF(R20&gt;R17,1.0,IF(R20=R17,0.5,0.0)),""),"")</f>
        <v/>
      </c>
      <c r="U20">
        <f>IF(ISNUMBER(R20),IF(ISNUMBER(R18),IF(R20&gt;R18,1.0,IF(R20=R18,0.5,0.0)),""),"")</f>
        <v/>
      </c>
      <c r="V20">
        <f>IF(ISNUMBER(R20),IF(ISNUMBER(R19),IF(R20&gt;R19,1.0,IF(R20=R19,0.5,0.0)),""),"")</f>
        <v/>
      </c>
      <c r="W20">
        <f>IF(ISNUMBER(R20),IF(ISNUMBER(R21),IF(R20&gt;R21,1.0,IF(R20=R21,0.5,0.0)),""),"")</f>
        <v/>
      </c>
      <c r="X20">
        <f>IF(ISNUMBER(R20),IF(ISNUMBER(R22),IF(R20&gt;R22,1.0,IF(R20=R22,0.5,0.0)),""),"")</f>
        <v/>
      </c>
      <c r="Y20">
        <f>IF(ISNUMBER(R20),IF(ISNUMBER(R23),IF(R20&gt;R23,1.0,IF(R20=R23,0.5,0.0)),""),"")</f>
        <v/>
      </c>
      <c r="Z20">
        <f>IF(ISNUMBER(S20),IF(ISNUMBER(S17),IF(S20&gt;S17,1.0,IF(S20=S17,0.5,0.0)),""),"")</f>
        <v/>
      </c>
      <c r="AA20">
        <f>IF(ISNUMBER(S20),IF(ISNUMBER(S18),IF(S20&gt;S18,1.0,IF(S20=S18,0.5,0.0)),""),"")</f>
        <v/>
      </c>
      <c r="AB20">
        <f>IF(ISNUMBER(S20),IF(ISNUMBER(S19),IF(S20&gt;S19,1.0,IF(S20=S19,0.5,0.0)),""),"")</f>
        <v/>
      </c>
      <c r="AC20">
        <f>IF(ISNUMBER(S20),IF(ISNUMBER(S21),IF(S20&gt;S21,1.0,IF(S20=S21,0.5,0.0)),""),"")</f>
        <v/>
      </c>
      <c r="AD20">
        <f>IF(ISNUMBER(S20),IF(ISNUMBER(S22),IF(S20&gt;S22,1.0,IF(S20=S22,0.5,0.0)),""),"")</f>
        <v/>
      </c>
      <c r="AE20">
        <f>IF(ISNUMBER(S20),IF(ISNUMBER(S23),IF(S20&gt;S23,1.0,IF(S20=S23,0.5,0.0)),""),"")</f>
        <v/>
      </c>
      <c r="AF20" s="14">
        <f>IF(AND(ISNUMBER(R20),ISNUMBER(R17)),VLOOKUP(ABS(R20-R17),'IMP Table'!$A$2:$C$26,3)*SIGN(R20-R17),0)</f>
        <v/>
      </c>
      <c r="AG20">
        <f>IF(AND(ISNUMBER(R20),ISNUMBER(R18)),VLOOKUP(ABS(R20-R18),'IMP Table'!$A$2:$C$26,3)*SIGN(R20-R18),0)</f>
        <v/>
      </c>
      <c r="AH20">
        <f>IF(AND(ISNUMBER(R20),ISNUMBER(R19)),VLOOKUP(ABS(R20-R19),'IMP Table'!$A$2:$C$26,3)*SIGN(R20-R19),0)</f>
        <v/>
      </c>
      <c r="AI20">
        <f>IF(AND(ISNUMBER(R20),ISNUMBER(R21)),VLOOKUP(ABS(R20-R21),'IMP Table'!$A$2:$C$26,3)*SIGN(R20-R21),0)</f>
        <v/>
      </c>
      <c r="AJ20">
        <f>IF(AND(ISNUMBER(R20),ISNUMBER(R22)),VLOOKUP(ABS(R20-R22),'IMP Table'!$A$2:$C$26,3)*SIGN(R20-R22),0)</f>
        <v/>
      </c>
      <c r="AK20">
        <f>IF(AND(ISNUMBER(R20),ISNUMBER(R23)),VLOOKUP(ABS(R20-R23),'IMP Table'!$A$2:$C$26,3)*SIGN(R20-R23),0)</f>
        <v/>
      </c>
      <c r="AL20">
        <f>IF(AND(ISNUMBER(S20),ISNUMBER(S17)),VLOOKUP(ABS(S20-S17),'IMP Table'!$A$2:$C$26,3)*SIGN(S20-S17),0)</f>
        <v/>
      </c>
      <c r="AM20">
        <f>IF(AND(ISNUMBER(S20),ISNUMBER(S18)),VLOOKUP(ABS(S20-S18),'IMP Table'!$A$2:$C$26,3)*SIGN(S20-S18),0)</f>
        <v/>
      </c>
      <c r="AN20">
        <f>IF(AND(ISNUMBER(S20),ISNUMBER(S19)),VLOOKUP(ABS(S20-S19),'IMP Table'!$A$2:$C$26,3)*SIGN(S20-S19),0)</f>
        <v/>
      </c>
      <c r="AO20">
        <f>IF(AND(ISNUMBER(S20),ISNUMBER(S21)),VLOOKUP(ABS(S20-S21),'IMP Table'!$A$2:$C$26,3)*SIGN(S20-S21),0)</f>
        <v/>
      </c>
      <c r="AP20">
        <f>IF(AND(ISNUMBER(S20),ISNUMBER(S22)),VLOOKUP(ABS(S20-S22),'IMP Table'!$A$2:$C$26,3)*SIGN(S20-S22),0)</f>
        <v/>
      </c>
      <c r="AQ20">
        <f>IF(AND(ISNUMBER(S20),ISNUMBER(S23)),VLOOKUP(ABS(S20-S23),'IMP Table'!$A$2:$C$26,3)*SIGN(S20-S23),0)</f>
        <v/>
      </c>
    </row>
    <row r="21">
      <c r="B21">
        <f>'By Round'!A143</f>
        <v/>
      </c>
      <c r="C21">
        <f>'By Round'!B149</f>
        <v/>
      </c>
      <c r="D21">
        <f>'By Round'!C149</f>
        <v/>
      </c>
      <c r="E21">
        <f>'By Round'!D149</f>
        <v/>
      </c>
      <c r="F21" s="11" t="inlineStr">
        <is>
          <t>EW</t>
        </is>
      </c>
      <c r="G21">
        <f>IF(ISBLANK('By Round'!G149),"",'By Round'!G149)</f>
        <v/>
      </c>
      <c r="H21">
        <f>IF(ISBLANK('By Round'!H149),"",'By Round'!H149)</f>
        <v/>
      </c>
      <c r="I21">
        <f>IF(ISBLANK('By Round'!I149),"",'By Round'!I149)</f>
        <v/>
      </c>
      <c r="J21">
        <f>IF(ISBLANK('By Round'!J149),"",'By Round'!J149)</f>
        <v/>
      </c>
      <c r="K21">
        <f>IF(ISBLANK('By Round'!K149),"",'By Round'!K149)</f>
        <v/>
      </c>
      <c r="L21" s="12">
        <f>SUM(AF21:AK21)</f>
        <v/>
      </c>
      <c r="M21" s="13">
        <f>SUM(AL21:AQ21)</f>
        <v/>
      </c>
      <c r="N21" s="8">
        <f>IF(COUNT(T21:Y21)&gt;0,P21/COUNT(T21:Y21),0.5)</f>
        <v/>
      </c>
      <c r="O21" s="8">
        <f>IF(COUNT(Z21:AE21)&gt;0,Q21/COUNT(Z21:AE21),0.5)</f>
        <v/>
      </c>
      <c r="P21" s="5">
        <f>SUM(T21:Y21)</f>
        <v/>
      </c>
      <c r="Q21" s="5">
        <f>SUM(Z21:AE21)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IF(ISNUMBER(R21),IF(ISNUMBER(R17),IF(R21&gt;R17,1.0,IF(R21=R17,0.5,0.0)),""),"")</f>
        <v/>
      </c>
      <c r="U21">
        <f>IF(ISNUMBER(R21),IF(ISNUMBER(R18),IF(R21&gt;R18,1.0,IF(R21=R18,0.5,0.0)),""),"")</f>
        <v/>
      </c>
      <c r="V21">
        <f>IF(ISNUMBER(R21),IF(ISNUMBER(R19),IF(R21&gt;R19,1.0,IF(R21=R19,0.5,0.0)),""),"")</f>
        <v/>
      </c>
      <c r="W21">
        <f>IF(ISNUMBER(R21),IF(ISNUMBER(R20),IF(R21&gt;R20,1.0,IF(R21=R20,0.5,0.0)),""),"")</f>
        <v/>
      </c>
      <c r="X21">
        <f>IF(ISNUMBER(R21),IF(ISNUMBER(R22),IF(R21&gt;R22,1.0,IF(R21=R22,0.5,0.0)),""),"")</f>
        <v/>
      </c>
      <c r="Y21">
        <f>IF(ISNUMBER(R21),IF(ISNUMBER(R23),IF(R21&gt;R23,1.0,IF(R21=R23,0.5,0.0)),""),"")</f>
        <v/>
      </c>
      <c r="Z21">
        <f>IF(ISNUMBER(S21),IF(ISNUMBER(S17),IF(S21&gt;S17,1.0,IF(S21=S17,0.5,0.0)),""),"")</f>
        <v/>
      </c>
      <c r="AA21">
        <f>IF(ISNUMBER(S21),IF(ISNUMBER(S18),IF(S21&gt;S18,1.0,IF(S21=S18,0.5,0.0)),""),"")</f>
        <v/>
      </c>
      <c r="AB21">
        <f>IF(ISNUMBER(S21),IF(ISNUMBER(S19),IF(S21&gt;S19,1.0,IF(S21=S19,0.5,0.0)),""),"")</f>
        <v/>
      </c>
      <c r="AC21">
        <f>IF(ISNUMBER(S21),IF(ISNUMBER(S20),IF(S21&gt;S20,1.0,IF(S21=S20,0.5,0.0)),""),"")</f>
        <v/>
      </c>
      <c r="AD21">
        <f>IF(ISNUMBER(S21),IF(ISNUMBER(S22),IF(S21&gt;S22,1.0,IF(S21=S22,0.5,0.0)),""),"")</f>
        <v/>
      </c>
      <c r="AE21">
        <f>IF(ISNUMBER(S21),IF(ISNUMBER(S23),IF(S21&gt;S23,1.0,IF(S21=S23,0.5,0.0)),""),"")</f>
        <v/>
      </c>
      <c r="AF21" s="14">
        <f>IF(AND(ISNUMBER(R21),ISNUMBER(R17)),VLOOKUP(ABS(R21-R17),'IMP Table'!$A$2:$C$26,3)*SIGN(R21-R17),0)</f>
        <v/>
      </c>
      <c r="AG21">
        <f>IF(AND(ISNUMBER(R21),ISNUMBER(R18)),VLOOKUP(ABS(R21-R18),'IMP Table'!$A$2:$C$26,3)*SIGN(R21-R18),0)</f>
        <v/>
      </c>
      <c r="AH21">
        <f>IF(AND(ISNUMBER(R21),ISNUMBER(R19)),VLOOKUP(ABS(R21-R19),'IMP Table'!$A$2:$C$26,3)*SIGN(R21-R19),0)</f>
        <v/>
      </c>
      <c r="AI21">
        <f>IF(AND(ISNUMBER(R21),ISNUMBER(R20)),VLOOKUP(ABS(R21-R20),'IMP Table'!$A$2:$C$26,3)*SIGN(R21-R20),0)</f>
        <v/>
      </c>
      <c r="AJ21">
        <f>IF(AND(ISNUMBER(R21),ISNUMBER(R22)),VLOOKUP(ABS(R21-R22),'IMP Table'!$A$2:$C$26,3)*SIGN(R21-R22),0)</f>
        <v/>
      </c>
      <c r="AK21">
        <f>IF(AND(ISNUMBER(R21),ISNUMBER(R23)),VLOOKUP(ABS(R21-R23),'IMP Table'!$A$2:$C$26,3)*SIGN(R21-R23),0)</f>
        <v/>
      </c>
      <c r="AL21">
        <f>IF(AND(ISNUMBER(S21),ISNUMBER(S17)),VLOOKUP(ABS(S21-S17),'IMP Table'!$A$2:$C$26,3)*SIGN(S21-S17),0)</f>
        <v/>
      </c>
      <c r="AM21">
        <f>IF(AND(ISNUMBER(S21),ISNUMBER(S18)),VLOOKUP(ABS(S21-S18),'IMP Table'!$A$2:$C$26,3)*SIGN(S21-S18),0)</f>
        <v/>
      </c>
      <c r="AN21">
        <f>IF(AND(ISNUMBER(S21),ISNUMBER(S19)),VLOOKUP(ABS(S21-S19),'IMP Table'!$A$2:$C$26,3)*SIGN(S21-S19),0)</f>
        <v/>
      </c>
      <c r="AO21">
        <f>IF(AND(ISNUMBER(S21),ISNUMBER(S20)),VLOOKUP(ABS(S21-S20),'IMP Table'!$A$2:$C$26,3)*SIGN(S21-S20),0)</f>
        <v/>
      </c>
      <c r="AP21">
        <f>IF(AND(ISNUMBER(S21),ISNUMBER(S22)),VLOOKUP(ABS(S21-S22),'IMP Table'!$A$2:$C$26,3)*SIGN(S21-S22),0)</f>
        <v/>
      </c>
      <c r="AQ21">
        <f>IF(AND(ISNUMBER(S21),ISNUMBER(S23)),VLOOKUP(ABS(S21-S23),'IMP Table'!$A$2:$C$26,3)*SIGN(S21-S23),0)</f>
        <v/>
      </c>
    </row>
    <row r="22">
      <c r="B22">
        <f>'By Round'!A157</f>
        <v/>
      </c>
      <c r="C22">
        <f>'By Round'!B161</f>
        <v/>
      </c>
      <c r="D22">
        <f>'By Round'!C161</f>
        <v/>
      </c>
      <c r="E22">
        <f>'By Round'!D161</f>
        <v/>
      </c>
      <c r="F22" s="11" t="inlineStr">
        <is>
          <t>EW</t>
        </is>
      </c>
      <c r="G22">
        <f>IF(ISBLANK('By Round'!G161),"",'By Round'!G161)</f>
        <v/>
      </c>
      <c r="H22">
        <f>IF(ISBLANK('By Round'!H161),"",'By Round'!H161)</f>
        <v/>
      </c>
      <c r="I22">
        <f>IF(ISBLANK('By Round'!I161),"",'By Round'!I161)</f>
        <v/>
      </c>
      <c r="J22">
        <f>IF(ISBLANK('By Round'!J161),"",'By Round'!J161)</f>
        <v/>
      </c>
      <c r="K22">
        <f>IF(ISBLANK('By Round'!K161),"",'By Round'!K161)</f>
        <v/>
      </c>
      <c r="L22" s="12">
        <f>SUM(AF22:AK22)</f>
        <v/>
      </c>
      <c r="M22" s="13">
        <f>SUM(AL22:AQ22)</f>
        <v/>
      </c>
      <c r="N22" s="8">
        <f>IF(COUNT(T22:Y22)&gt;0,P22/COUNT(T22:Y22),0.5)</f>
        <v/>
      </c>
      <c r="O22" s="8">
        <f>IF(COUNT(Z22:AE22)&gt;0,Q22/COUNT(Z22:AE22),0.5)</f>
        <v/>
      </c>
      <c r="P22" s="5">
        <f>SUM(T22:Y22)</f>
        <v/>
      </c>
      <c r="Q22" s="5">
        <f>SUM(Z22:AE22)</f>
        <v/>
      </c>
      <c r="R22" s="14">
        <f>IF(ISNUMBER(J22),J22,IF(ISNUMBER(K22),-K22,""))</f>
        <v/>
      </c>
      <c r="S22">
        <f>IF(ISNUMBER(K22),K22,IF(ISNUMBER(J22),-J22,""))</f>
        <v/>
      </c>
      <c r="T22" s="14">
        <f>IF(ISNUMBER(R22),IF(ISNUMBER(R17),IF(R22&gt;R17,1.0,IF(R22=R17,0.5,0.0)),""),"")</f>
        <v/>
      </c>
      <c r="U22">
        <f>IF(ISNUMBER(R22),IF(ISNUMBER(R18),IF(R22&gt;R18,1.0,IF(R22=R18,0.5,0.0)),""),"")</f>
        <v/>
      </c>
      <c r="V22">
        <f>IF(ISNUMBER(R22),IF(ISNUMBER(R19),IF(R22&gt;R19,1.0,IF(R22=R19,0.5,0.0)),""),"")</f>
        <v/>
      </c>
      <c r="W22">
        <f>IF(ISNUMBER(R22),IF(ISNUMBER(R20),IF(R22&gt;R20,1.0,IF(R22=R20,0.5,0.0)),""),"")</f>
        <v/>
      </c>
      <c r="X22">
        <f>IF(ISNUMBER(R22),IF(ISNUMBER(R21),IF(R22&gt;R21,1.0,IF(R22=R21,0.5,0.0)),""),"")</f>
        <v/>
      </c>
      <c r="Y22">
        <f>IF(ISNUMBER(R22),IF(ISNUMBER(R23),IF(R22&gt;R23,1.0,IF(R22=R23,0.5,0.0)),""),"")</f>
        <v/>
      </c>
      <c r="Z22">
        <f>IF(ISNUMBER(S22),IF(ISNUMBER(S17),IF(S22&gt;S17,1.0,IF(S22=S17,0.5,0.0)),""),"")</f>
        <v/>
      </c>
      <c r="AA22">
        <f>IF(ISNUMBER(S22),IF(ISNUMBER(S18),IF(S22&gt;S18,1.0,IF(S22=S18,0.5,0.0)),""),"")</f>
        <v/>
      </c>
      <c r="AB22">
        <f>IF(ISNUMBER(S22),IF(ISNUMBER(S19),IF(S22&gt;S19,1.0,IF(S22=S19,0.5,0.0)),""),"")</f>
        <v/>
      </c>
      <c r="AC22">
        <f>IF(ISNUMBER(S22),IF(ISNUMBER(S20),IF(S22&gt;S20,1.0,IF(S22=S20,0.5,0.0)),""),"")</f>
        <v/>
      </c>
      <c r="AD22">
        <f>IF(ISNUMBER(S22),IF(ISNUMBER(S21),IF(S22&gt;S21,1.0,IF(S22=S21,0.5,0.0)),""),"")</f>
        <v/>
      </c>
      <c r="AE22">
        <f>IF(ISNUMBER(S22),IF(ISNUMBER(S23),IF(S22&gt;S23,1.0,IF(S22=S23,0.5,0.0)),""),"")</f>
        <v/>
      </c>
      <c r="AF22" s="14">
        <f>IF(AND(ISNUMBER(R22),ISNUMBER(R17)),VLOOKUP(ABS(R22-R17),'IMP Table'!$A$2:$C$26,3)*SIGN(R22-R17),0)</f>
        <v/>
      </c>
      <c r="AG22">
        <f>IF(AND(ISNUMBER(R22),ISNUMBER(R18)),VLOOKUP(ABS(R22-R18),'IMP Table'!$A$2:$C$26,3)*SIGN(R22-R18),0)</f>
        <v/>
      </c>
      <c r="AH22">
        <f>IF(AND(ISNUMBER(R22),ISNUMBER(R19)),VLOOKUP(ABS(R22-R19),'IMP Table'!$A$2:$C$26,3)*SIGN(R22-R19),0)</f>
        <v/>
      </c>
      <c r="AI22">
        <f>IF(AND(ISNUMBER(R22),ISNUMBER(R20)),VLOOKUP(ABS(R22-R20),'IMP Table'!$A$2:$C$26,3)*SIGN(R22-R20),0)</f>
        <v/>
      </c>
      <c r="AJ22">
        <f>IF(AND(ISNUMBER(R22),ISNUMBER(R21)),VLOOKUP(ABS(R22-R21),'IMP Table'!$A$2:$C$26,3)*SIGN(R22-R21),0)</f>
        <v/>
      </c>
      <c r="AK22">
        <f>IF(AND(ISNUMBER(R22),ISNUMBER(R23)),VLOOKUP(ABS(R22-R23),'IMP Table'!$A$2:$C$26,3)*SIGN(R22-R23),0)</f>
        <v/>
      </c>
      <c r="AL22">
        <f>IF(AND(ISNUMBER(S22),ISNUMBER(S17)),VLOOKUP(ABS(S22-S17),'IMP Table'!$A$2:$C$26,3)*SIGN(S22-S17),0)</f>
        <v/>
      </c>
      <c r="AM22">
        <f>IF(AND(ISNUMBER(S22),ISNUMBER(S18)),VLOOKUP(ABS(S22-S18),'IMP Table'!$A$2:$C$26,3)*SIGN(S22-S18),0)</f>
        <v/>
      </c>
      <c r="AN22">
        <f>IF(AND(ISNUMBER(S22),ISNUMBER(S19)),VLOOKUP(ABS(S22-S19),'IMP Table'!$A$2:$C$26,3)*SIGN(S22-S19),0)</f>
        <v/>
      </c>
      <c r="AO22">
        <f>IF(AND(ISNUMBER(S22),ISNUMBER(S20)),VLOOKUP(ABS(S22-S20),'IMP Table'!$A$2:$C$26,3)*SIGN(S22-S20),0)</f>
        <v/>
      </c>
      <c r="AP22">
        <f>IF(AND(ISNUMBER(S22),ISNUMBER(S21)),VLOOKUP(ABS(S22-S21),'IMP Table'!$A$2:$C$26,3)*SIGN(S22-S21),0)</f>
        <v/>
      </c>
      <c r="AQ22">
        <f>IF(AND(ISNUMBER(S22),ISNUMBER(S23)),VLOOKUP(ABS(S22-S23),'IMP Table'!$A$2:$C$26,3)*SIGN(S22-S23),0)</f>
        <v/>
      </c>
    </row>
    <row r="23">
      <c r="A23" s="15" t="n"/>
      <c r="B23" s="15">
        <f>'By Round'!A171</f>
        <v/>
      </c>
      <c r="C23" s="15">
        <f>'By Round'!B173</f>
        <v/>
      </c>
      <c r="D23" s="15">
        <f>'By Round'!C173</f>
        <v/>
      </c>
      <c r="E23" s="15">
        <f>'By Round'!D173</f>
        <v/>
      </c>
      <c r="F23" s="16" t="inlineStr">
        <is>
          <t>EW</t>
        </is>
      </c>
      <c r="G23" s="15">
        <f>IF(ISBLANK('By Round'!G173),"",'By Round'!G173)</f>
        <v/>
      </c>
      <c r="H23" s="15">
        <f>IF(ISBLANK('By Round'!H173),"",'By Round'!H173)</f>
        <v/>
      </c>
      <c r="I23" s="15">
        <f>IF(ISBLANK('By Round'!I173),"",'By Round'!I173)</f>
        <v/>
      </c>
      <c r="J23" s="15">
        <f>IF(ISBLANK('By Round'!J173),"",'By Round'!J173)</f>
        <v/>
      </c>
      <c r="K23" s="15">
        <f>IF(ISBLANK('By Round'!K173),"",'By Round'!K173)</f>
        <v/>
      </c>
      <c r="L23" s="17">
        <f>SUM(AF23:AK23)</f>
        <v/>
      </c>
      <c r="M23" s="18">
        <f>SUM(AL23:AQ23)</f>
        <v/>
      </c>
      <c r="N23" s="19">
        <f>IF(COUNT(T23:Y23)&gt;0,P23/COUNT(T23:Y23),0.5)</f>
        <v/>
      </c>
      <c r="O23" s="19">
        <f>IF(COUNT(Z23:AE23)&gt;0,Q23/COUNT(Z23:AE23),0.5)</f>
        <v/>
      </c>
      <c r="P23" s="20">
        <f>SUM(T23:Y23)</f>
        <v/>
      </c>
      <c r="Q23" s="20">
        <f>SUM(Z23:AE23)</f>
        <v/>
      </c>
      <c r="R23" s="21">
        <f>IF(ISNUMBER(J23),J23,IF(ISNUMBER(K23),-K23,""))</f>
        <v/>
      </c>
      <c r="S23" s="15">
        <f>IF(ISNUMBER(K23),K23,IF(ISNUMBER(J23),-J23,""))</f>
        <v/>
      </c>
      <c r="T23" s="21">
        <f>IF(ISNUMBER(R23),IF(ISNUMBER(R17),IF(R23&gt;R17,1.0,IF(R23=R17,0.5,0.0)),""),"")</f>
        <v/>
      </c>
      <c r="U23" s="15">
        <f>IF(ISNUMBER(R23),IF(ISNUMBER(R18),IF(R23&gt;R18,1.0,IF(R23=R18,0.5,0.0)),""),"")</f>
        <v/>
      </c>
      <c r="V23" s="15">
        <f>IF(ISNUMBER(R23),IF(ISNUMBER(R19),IF(R23&gt;R19,1.0,IF(R23=R19,0.5,0.0)),""),"")</f>
        <v/>
      </c>
      <c r="W23" s="15">
        <f>IF(ISNUMBER(R23),IF(ISNUMBER(R20),IF(R23&gt;R20,1.0,IF(R23=R20,0.5,0.0)),""),"")</f>
        <v/>
      </c>
      <c r="X23" s="15">
        <f>IF(ISNUMBER(R23),IF(ISNUMBER(R21),IF(R23&gt;R21,1.0,IF(R23=R21,0.5,0.0)),""),"")</f>
        <v/>
      </c>
      <c r="Y23" s="15">
        <f>IF(ISNUMBER(R23),IF(ISNUMBER(R22),IF(R23&gt;R22,1.0,IF(R23=R22,0.5,0.0)),""),"")</f>
        <v/>
      </c>
      <c r="Z23" s="15">
        <f>IF(ISNUMBER(S23),IF(ISNUMBER(S17),IF(S23&gt;S17,1.0,IF(S23=S17,0.5,0.0)),""),"")</f>
        <v/>
      </c>
      <c r="AA23" s="15">
        <f>IF(ISNUMBER(S23),IF(ISNUMBER(S18),IF(S23&gt;S18,1.0,IF(S23=S18,0.5,0.0)),""),"")</f>
        <v/>
      </c>
      <c r="AB23" s="15">
        <f>IF(ISNUMBER(S23),IF(ISNUMBER(S19),IF(S23&gt;S19,1.0,IF(S23=S19,0.5,0.0)),""),"")</f>
        <v/>
      </c>
      <c r="AC23" s="15">
        <f>IF(ISNUMBER(S23),IF(ISNUMBER(S20),IF(S23&gt;S20,1.0,IF(S23=S20,0.5,0.0)),""),"")</f>
        <v/>
      </c>
      <c r="AD23" s="15">
        <f>IF(ISNUMBER(S23),IF(ISNUMBER(S21),IF(S23&gt;S21,1.0,IF(S23=S21,0.5,0.0)),""),"")</f>
        <v/>
      </c>
      <c r="AE23" s="15">
        <f>IF(ISNUMBER(S23),IF(ISNUMBER(S22),IF(S23&gt;S22,1.0,IF(S23=S22,0.5,0.0)),""),"")</f>
        <v/>
      </c>
      <c r="AF23" s="21">
        <f>IF(AND(ISNUMBER(R23),ISNUMBER(R17)),VLOOKUP(ABS(R23-R17),'IMP Table'!$A$2:$C$26,3)*SIGN(R23-R17),0)</f>
        <v/>
      </c>
      <c r="AG23" s="15">
        <f>IF(AND(ISNUMBER(R23),ISNUMBER(R18)),VLOOKUP(ABS(R23-R18),'IMP Table'!$A$2:$C$26,3)*SIGN(R23-R18),0)</f>
        <v/>
      </c>
      <c r="AH23" s="15">
        <f>IF(AND(ISNUMBER(R23),ISNUMBER(R19)),VLOOKUP(ABS(R23-R19),'IMP Table'!$A$2:$C$26,3)*SIGN(R23-R19),0)</f>
        <v/>
      </c>
      <c r="AI23" s="15">
        <f>IF(AND(ISNUMBER(R23),ISNUMBER(R20)),VLOOKUP(ABS(R23-R20),'IMP Table'!$A$2:$C$26,3)*SIGN(R23-R20),0)</f>
        <v/>
      </c>
      <c r="AJ23" s="15">
        <f>IF(AND(ISNUMBER(R23),ISNUMBER(R21)),VLOOKUP(ABS(R23-R21),'IMP Table'!$A$2:$C$26,3)*SIGN(R23-R21),0)</f>
        <v/>
      </c>
      <c r="AK23" s="15">
        <f>IF(AND(ISNUMBER(R23),ISNUMBER(R22)),VLOOKUP(ABS(R23-R22),'IMP Table'!$A$2:$C$26,3)*SIGN(R23-R22),0)</f>
        <v/>
      </c>
      <c r="AL23" s="15">
        <f>IF(AND(ISNUMBER(S23),ISNUMBER(S17)),VLOOKUP(ABS(S23-S17),'IMP Table'!$A$2:$C$26,3)*SIGN(S23-S17),0)</f>
        <v/>
      </c>
      <c r="AM23" s="15">
        <f>IF(AND(ISNUMBER(S23),ISNUMBER(S18)),VLOOKUP(ABS(S23-S18),'IMP Table'!$A$2:$C$26,3)*SIGN(S23-S18),0)</f>
        <v/>
      </c>
      <c r="AN23" s="15">
        <f>IF(AND(ISNUMBER(S23),ISNUMBER(S19)),VLOOKUP(ABS(S23-S19),'IMP Table'!$A$2:$C$26,3)*SIGN(S23-S19),0)</f>
        <v/>
      </c>
      <c r="AO23" s="15">
        <f>IF(AND(ISNUMBER(S23),ISNUMBER(S20)),VLOOKUP(ABS(S23-S20),'IMP Table'!$A$2:$C$26,3)*SIGN(S23-S20),0)</f>
        <v/>
      </c>
      <c r="AP23" s="15">
        <f>IF(AND(ISNUMBER(S23),ISNUMBER(S21)),VLOOKUP(ABS(S23-S21),'IMP Table'!$A$2:$C$26,3)*SIGN(S23-S21),0)</f>
        <v/>
      </c>
      <c r="AQ23" s="15">
        <f>IF(AND(ISNUMBER(S23),ISNUMBER(S22)),VLOOKUP(ABS(S23-S22),'IMP Table'!$A$2:$C$26,3)*SIGN(S23-S22),0)</f>
        <v/>
      </c>
    </row>
    <row r="24">
      <c r="A24" t="n">
        <v>4</v>
      </c>
      <c r="B24">
        <f>'By Round'!A17</f>
        <v/>
      </c>
      <c r="C24">
        <f>'By Round'!B17</f>
        <v/>
      </c>
      <c r="D24">
        <f>'By Round'!C17</f>
        <v/>
      </c>
      <c r="E24">
        <f>'By Round'!D17</f>
        <v/>
      </c>
      <c r="F24" s="11" t="inlineStr">
        <is>
          <t>Both</t>
        </is>
      </c>
      <c r="G24">
        <f>IF(ISBLANK('By Round'!G17),"",'By Round'!G17)</f>
        <v/>
      </c>
      <c r="H24">
        <f>IF(ISBLANK('By Round'!H17),"",'By Round'!H17)</f>
        <v/>
      </c>
      <c r="I24">
        <f>IF(ISBLANK('By Round'!I17),"",'By Round'!I17)</f>
        <v/>
      </c>
      <c r="J24">
        <f>IF(ISBLANK('By Round'!J17),"",'By Round'!J17)</f>
        <v/>
      </c>
      <c r="K24">
        <f>IF(ISBLANK('By Round'!K17),"",'By Round'!K17)</f>
        <v/>
      </c>
      <c r="L24" s="12">
        <f>SUM(AF24:AK24)</f>
        <v/>
      </c>
      <c r="M24" s="13">
        <f>SUM(AL24:AQ24)</f>
        <v/>
      </c>
      <c r="N24" s="8">
        <f>IF(COUNT(T24:Y24)&gt;0,P24/COUNT(T24:Y24),0.5)</f>
        <v/>
      </c>
      <c r="O24" s="8">
        <f>IF(COUNT(Z24:AE24)&gt;0,Q24/COUNT(Z24:AE24),0.5)</f>
        <v/>
      </c>
      <c r="P24" s="5">
        <f>SUM(T24:Y24)</f>
        <v/>
      </c>
      <c r="Q24" s="5">
        <f>SUM(Z24:AE24)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IF(ISNUMBER(R24),IF(ISNUMBER(R25),IF(R24&gt;R25,1.0,IF(R24=R25,0.5,0.0)),""),"")</f>
        <v/>
      </c>
      <c r="U24">
        <f>IF(ISNUMBER(R24),IF(ISNUMBER(R26),IF(R24&gt;R26,1.0,IF(R24=R26,0.5,0.0)),""),"")</f>
        <v/>
      </c>
      <c r="V24">
        <f>IF(ISNUMBER(R24),IF(ISNUMBER(R27),IF(R24&gt;R27,1.0,IF(R24=R27,0.5,0.0)),""),"")</f>
        <v/>
      </c>
      <c r="W24">
        <f>IF(ISNUMBER(R24),IF(ISNUMBER(R28),IF(R24&gt;R28,1.0,IF(R24=R28,0.5,0.0)),""),"")</f>
        <v/>
      </c>
      <c r="X24">
        <f>IF(ISNUMBER(R24),IF(ISNUMBER(R29),IF(R24&gt;R29,1.0,IF(R24=R29,0.5,0.0)),""),"")</f>
        <v/>
      </c>
      <c r="Y24">
        <f>IF(ISNUMBER(R24),IF(ISNUMBER(R30),IF(R24&gt;R30,1.0,IF(R24=R30,0.5,0.0)),""),"")</f>
        <v/>
      </c>
      <c r="Z24">
        <f>IF(ISNUMBER(S24),IF(ISNUMBER(S25),IF(S24&gt;S25,1.0,IF(S24=S25,0.5,0.0)),""),"")</f>
        <v/>
      </c>
      <c r="AA24">
        <f>IF(ISNUMBER(S24),IF(ISNUMBER(S26),IF(S24&gt;S26,1.0,IF(S24=S26,0.5,0.0)),""),"")</f>
        <v/>
      </c>
      <c r="AB24">
        <f>IF(ISNUMBER(S24),IF(ISNUMBER(S27),IF(S24&gt;S27,1.0,IF(S24=S27,0.5,0.0)),""),"")</f>
        <v/>
      </c>
      <c r="AC24">
        <f>IF(ISNUMBER(S24),IF(ISNUMBER(S28),IF(S24&gt;S28,1.0,IF(S24=S28,0.5,0.0)),""),"")</f>
        <v/>
      </c>
      <c r="AD24">
        <f>IF(ISNUMBER(S24),IF(ISNUMBER(S29),IF(S24&gt;S29,1.0,IF(S24=S29,0.5,0.0)),""),"")</f>
        <v/>
      </c>
      <c r="AE24">
        <f>IF(ISNUMBER(S24),IF(ISNUMBER(S30),IF(S24&gt;S30,1.0,IF(S24=S30,0.5,0.0)),""),"")</f>
        <v/>
      </c>
      <c r="AF24" s="14">
        <f>IF(AND(ISNUMBER(R24),ISNUMBER(R25)),VLOOKUP(ABS(R24-R25),'IMP Table'!$A$2:$C$26,3)*SIGN(R24-R25),0)</f>
        <v/>
      </c>
      <c r="AG24">
        <f>IF(AND(ISNUMBER(R24),ISNUMBER(R26)),VLOOKUP(ABS(R24-R26),'IMP Table'!$A$2:$C$26,3)*SIGN(R24-R26),0)</f>
        <v/>
      </c>
      <c r="AH24">
        <f>IF(AND(ISNUMBER(R24),ISNUMBER(R27)),VLOOKUP(ABS(R24-R27),'IMP Table'!$A$2:$C$26,3)*SIGN(R24-R27),0)</f>
        <v/>
      </c>
      <c r="AI24">
        <f>IF(AND(ISNUMBER(R24),ISNUMBER(R28)),VLOOKUP(ABS(R24-R28),'IMP Table'!$A$2:$C$26,3)*SIGN(R24-R28),0)</f>
        <v/>
      </c>
      <c r="AJ24">
        <f>IF(AND(ISNUMBER(R24),ISNUMBER(R29)),VLOOKUP(ABS(R24-R29),'IMP Table'!$A$2:$C$26,3)*SIGN(R24-R29),0)</f>
        <v/>
      </c>
      <c r="AK24">
        <f>IF(AND(ISNUMBER(R24),ISNUMBER(R30)),VLOOKUP(ABS(R24-R30),'IMP Table'!$A$2:$C$26,3)*SIGN(R24-R30),0)</f>
        <v/>
      </c>
      <c r="AL24">
        <f>IF(AND(ISNUMBER(S24),ISNUMBER(S25)),VLOOKUP(ABS(S24-S25),'IMP Table'!$A$2:$C$26,3)*SIGN(S24-S25),0)</f>
        <v/>
      </c>
      <c r="AM24">
        <f>IF(AND(ISNUMBER(S24),ISNUMBER(S26)),VLOOKUP(ABS(S24-S26),'IMP Table'!$A$2:$C$26,3)*SIGN(S24-S26),0)</f>
        <v/>
      </c>
      <c r="AN24">
        <f>IF(AND(ISNUMBER(S24),ISNUMBER(S27)),VLOOKUP(ABS(S24-S27),'IMP Table'!$A$2:$C$26,3)*SIGN(S24-S27),0)</f>
        <v/>
      </c>
      <c r="AO24">
        <f>IF(AND(ISNUMBER(S24),ISNUMBER(S28)),VLOOKUP(ABS(S24-S28),'IMP Table'!$A$2:$C$26,3)*SIGN(S24-S28),0)</f>
        <v/>
      </c>
      <c r="AP24">
        <f>IF(AND(ISNUMBER(S24),ISNUMBER(S29)),VLOOKUP(ABS(S24-S29),'IMP Table'!$A$2:$C$26,3)*SIGN(S24-S29),0)</f>
        <v/>
      </c>
      <c r="AQ24">
        <f>IF(AND(ISNUMBER(S24),ISNUMBER(S30)),VLOOKUP(ABS(S24-S30),'IMP Table'!$A$2:$C$26,3)*SIGN(S24-S30),0)</f>
        <v/>
      </c>
    </row>
    <row r="25">
      <c r="B25">
        <f>'By Round'!A45</f>
        <v/>
      </c>
      <c r="C25">
        <f>'By Round'!B57</f>
        <v/>
      </c>
      <c r="D25">
        <f>'By Round'!C57</f>
        <v/>
      </c>
      <c r="E25">
        <f>'By Round'!D57</f>
        <v/>
      </c>
      <c r="F25" s="11" t="inlineStr">
        <is>
          <t>Both</t>
        </is>
      </c>
      <c r="G25">
        <f>IF(ISBLANK('By Round'!G57),"",'By Round'!G57)</f>
        <v/>
      </c>
      <c r="H25">
        <f>IF(ISBLANK('By Round'!H57),"",'By Round'!H57)</f>
        <v/>
      </c>
      <c r="I25">
        <f>IF(ISBLANK('By Round'!I57),"",'By Round'!I57)</f>
        <v/>
      </c>
      <c r="J25">
        <f>IF(ISBLANK('By Round'!J57),"",'By Round'!J57)</f>
        <v/>
      </c>
      <c r="K25">
        <f>IF(ISBLANK('By Round'!K57),"",'By Round'!K57)</f>
        <v/>
      </c>
      <c r="L25" s="12">
        <f>SUM(AF25:AK25)</f>
        <v/>
      </c>
      <c r="M25" s="13">
        <f>SUM(AL25:AQ25)</f>
        <v/>
      </c>
      <c r="N25" s="8">
        <f>IF(COUNT(T25:Y25)&gt;0,P25/COUNT(T25:Y25),0.5)</f>
        <v/>
      </c>
      <c r="O25" s="8">
        <f>IF(COUNT(Z25:AE25)&gt;0,Q25/COUNT(Z25:AE25),0.5)</f>
        <v/>
      </c>
      <c r="P25" s="5">
        <f>SUM(T25:Y25)</f>
        <v/>
      </c>
      <c r="Q25" s="5">
        <f>SUM(Z25:AE25)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IF(ISNUMBER(R25),IF(ISNUMBER(R24),IF(R25&gt;R24,1.0,IF(R25=R24,0.5,0.0)),""),"")</f>
        <v/>
      </c>
      <c r="U25">
        <f>IF(ISNUMBER(R25),IF(ISNUMBER(R26),IF(R25&gt;R26,1.0,IF(R25=R26,0.5,0.0)),""),"")</f>
        <v/>
      </c>
      <c r="V25">
        <f>IF(ISNUMBER(R25),IF(ISNUMBER(R27),IF(R25&gt;R27,1.0,IF(R25=R27,0.5,0.0)),""),"")</f>
        <v/>
      </c>
      <c r="W25">
        <f>IF(ISNUMBER(R25),IF(ISNUMBER(R28),IF(R25&gt;R28,1.0,IF(R25=R28,0.5,0.0)),""),"")</f>
        <v/>
      </c>
      <c r="X25">
        <f>IF(ISNUMBER(R25),IF(ISNUMBER(R29),IF(R25&gt;R29,1.0,IF(R25=R29,0.5,0.0)),""),"")</f>
        <v/>
      </c>
      <c r="Y25">
        <f>IF(ISNUMBER(R25),IF(ISNUMBER(R30),IF(R25&gt;R30,1.0,IF(R25=R30,0.5,0.0)),""),"")</f>
        <v/>
      </c>
      <c r="Z25">
        <f>IF(ISNUMBER(S25),IF(ISNUMBER(S24),IF(S25&gt;S24,1.0,IF(S25=S24,0.5,0.0)),""),"")</f>
        <v/>
      </c>
      <c r="AA25">
        <f>IF(ISNUMBER(S25),IF(ISNUMBER(S26),IF(S25&gt;S26,1.0,IF(S25=S26,0.5,0.0)),""),"")</f>
        <v/>
      </c>
      <c r="AB25">
        <f>IF(ISNUMBER(S25),IF(ISNUMBER(S27),IF(S25&gt;S27,1.0,IF(S25=S27,0.5,0.0)),""),"")</f>
        <v/>
      </c>
      <c r="AC25">
        <f>IF(ISNUMBER(S25),IF(ISNUMBER(S28),IF(S25&gt;S28,1.0,IF(S25=S28,0.5,0.0)),""),"")</f>
        <v/>
      </c>
      <c r="AD25">
        <f>IF(ISNUMBER(S25),IF(ISNUMBER(S29),IF(S25&gt;S29,1.0,IF(S25=S29,0.5,0.0)),""),"")</f>
        <v/>
      </c>
      <c r="AE25">
        <f>IF(ISNUMBER(S25),IF(ISNUMBER(S30),IF(S25&gt;S30,1.0,IF(S25=S30,0.5,0.0)),""),"")</f>
        <v/>
      </c>
      <c r="AF25" s="14">
        <f>IF(AND(ISNUMBER(R25),ISNUMBER(R24)),VLOOKUP(ABS(R25-R24),'IMP Table'!$A$2:$C$26,3)*SIGN(R25-R24),0)</f>
        <v/>
      </c>
      <c r="AG25">
        <f>IF(AND(ISNUMBER(R25),ISNUMBER(R26)),VLOOKUP(ABS(R25-R26),'IMP Table'!$A$2:$C$26,3)*SIGN(R25-R26),0)</f>
        <v/>
      </c>
      <c r="AH25">
        <f>IF(AND(ISNUMBER(R25),ISNUMBER(R27)),VLOOKUP(ABS(R25-R27),'IMP Table'!$A$2:$C$26,3)*SIGN(R25-R27),0)</f>
        <v/>
      </c>
      <c r="AI25">
        <f>IF(AND(ISNUMBER(R25),ISNUMBER(R28)),VLOOKUP(ABS(R25-R28),'IMP Table'!$A$2:$C$26,3)*SIGN(R25-R28),0)</f>
        <v/>
      </c>
      <c r="AJ25">
        <f>IF(AND(ISNUMBER(R25),ISNUMBER(R29)),VLOOKUP(ABS(R25-R29),'IMP Table'!$A$2:$C$26,3)*SIGN(R25-R29),0)</f>
        <v/>
      </c>
      <c r="AK25">
        <f>IF(AND(ISNUMBER(R25),ISNUMBER(R30)),VLOOKUP(ABS(R25-R30),'IMP Table'!$A$2:$C$26,3)*SIGN(R25-R30),0)</f>
        <v/>
      </c>
      <c r="AL25">
        <f>IF(AND(ISNUMBER(S25),ISNUMBER(S24)),VLOOKUP(ABS(S25-S24),'IMP Table'!$A$2:$C$26,3)*SIGN(S25-S24),0)</f>
        <v/>
      </c>
      <c r="AM25">
        <f>IF(AND(ISNUMBER(S25),ISNUMBER(S26)),VLOOKUP(ABS(S25-S26),'IMP Table'!$A$2:$C$26,3)*SIGN(S25-S26),0)</f>
        <v/>
      </c>
      <c r="AN25">
        <f>IF(AND(ISNUMBER(S25),ISNUMBER(S27)),VLOOKUP(ABS(S25-S27),'IMP Table'!$A$2:$C$26,3)*SIGN(S25-S27),0)</f>
        <v/>
      </c>
      <c r="AO25">
        <f>IF(AND(ISNUMBER(S25),ISNUMBER(S28)),VLOOKUP(ABS(S25-S28),'IMP Table'!$A$2:$C$26,3)*SIGN(S25-S28),0)</f>
        <v/>
      </c>
      <c r="AP25">
        <f>IF(AND(ISNUMBER(S25),ISNUMBER(S29)),VLOOKUP(ABS(S25-S29),'IMP Table'!$A$2:$C$26,3)*SIGN(S25-S29),0)</f>
        <v/>
      </c>
      <c r="AQ25">
        <f>IF(AND(ISNUMBER(S25),ISNUMBER(S30)),VLOOKUP(ABS(S25-S30),'IMP Table'!$A$2:$C$26,3)*SIGN(S25-S30),0)</f>
        <v/>
      </c>
    </row>
    <row r="26">
      <c r="B26">
        <f>'By Round'!A59</f>
        <v/>
      </c>
      <c r="C26">
        <f>'By Round'!B69</f>
        <v/>
      </c>
      <c r="D26">
        <f>'By Round'!C69</f>
        <v/>
      </c>
      <c r="E26">
        <f>'By Round'!D69</f>
        <v/>
      </c>
      <c r="F26" s="11" t="inlineStr">
        <is>
          <t>Both</t>
        </is>
      </c>
      <c r="G26">
        <f>IF(ISBLANK('By Round'!G69),"",'By Round'!G69)</f>
        <v/>
      </c>
      <c r="H26">
        <f>IF(ISBLANK('By Round'!H69),"",'By Round'!H69)</f>
        <v/>
      </c>
      <c r="I26">
        <f>IF(ISBLANK('By Round'!I69),"",'By Round'!I69)</f>
        <v/>
      </c>
      <c r="J26">
        <f>IF(ISBLANK('By Round'!J69),"",'By Round'!J69)</f>
        <v/>
      </c>
      <c r="K26">
        <f>IF(ISBLANK('By Round'!K69),"",'By Round'!K69)</f>
        <v/>
      </c>
      <c r="L26" s="12">
        <f>SUM(AF26:AK26)</f>
        <v/>
      </c>
      <c r="M26" s="13">
        <f>SUM(AL26:AQ26)</f>
        <v/>
      </c>
      <c r="N26" s="8">
        <f>IF(COUNT(T26:Y26)&gt;0,P26/COUNT(T26:Y26),0.5)</f>
        <v/>
      </c>
      <c r="O26" s="8">
        <f>IF(COUNT(Z26:AE26)&gt;0,Q26/COUNT(Z26:AE26),0.5)</f>
        <v/>
      </c>
      <c r="P26" s="5">
        <f>SUM(T26:Y26)</f>
        <v/>
      </c>
      <c r="Q26" s="5">
        <f>SUM(Z26:AE26)</f>
        <v/>
      </c>
      <c r="R26" s="14">
        <f>IF(ISNUMBER(J26),J26,IF(ISNUMBER(K26),-K26,""))</f>
        <v/>
      </c>
      <c r="S26">
        <f>IF(ISNUMBER(K26),K26,IF(ISNUMBER(J26),-J26,""))</f>
        <v/>
      </c>
      <c r="T26" s="14">
        <f>IF(ISNUMBER(R26),IF(ISNUMBER(R24),IF(R26&gt;R24,1.0,IF(R26=R24,0.5,0.0)),""),"")</f>
        <v/>
      </c>
      <c r="U26">
        <f>IF(ISNUMBER(R26),IF(ISNUMBER(R25),IF(R26&gt;R25,1.0,IF(R26=R25,0.5,0.0)),""),"")</f>
        <v/>
      </c>
      <c r="V26">
        <f>IF(ISNUMBER(R26),IF(ISNUMBER(R27),IF(R26&gt;R27,1.0,IF(R26=R27,0.5,0.0)),""),"")</f>
        <v/>
      </c>
      <c r="W26">
        <f>IF(ISNUMBER(R26),IF(ISNUMBER(R28),IF(R26&gt;R28,1.0,IF(R26=R28,0.5,0.0)),""),"")</f>
        <v/>
      </c>
      <c r="X26">
        <f>IF(ISNUMBER(R26),IF(ISNUMBER(R29),IF(R26&gt;R29,1.0,IF(R26=R29,0.5,0.0)),""),"")</f>
        <v/>
      </c>
      <c r="Y26">
        <f>IF(ISNUMBER(R26),IF(ISNUMBER(R30),IF(R26&gt;R30,1.0,IF(R26=R30,0.5,0.0)),""),"")</f>
        <v/>
      </c>
      <c r="Z26">
        <f>IF(ISNUMBER(S26),IF(ISNUMBER(S24),IF(S26&gt;S24,1.0,IF(S26=S24,0.5,0.0)),""),"")</f>
        <v/>
      </c>
      <c r="AA26">
        <f>IF(ISNUMBER(S26),IF(ISNUMBER(S25),IF(S26&gt;S25,1.0,IF(S26=S25,0.5,0.0)),""),"")</f>
        <v/>
      </c>
      <c r="AB26">
        <f>IF(ISNUMBER(S26),IF(ISNUMBER(S27),IF(S26&gt;S27,1.0,IF(S26=S27,0.5,0.0)),""),"")</f>
        <v/>
      </c>
      <c r="AC26">
        <f>IF(ISNUMBER(S26),IF(ISNUMBER(S28),IF(S26&gt;S28,1.0,IF(S26=S28,0.5,0.0)),""),"")</f>
        <v/>
      </c>
      <c r="AD26">
        <f>IF(ISNUMBER(S26),IF(ISNUMBER(S29),IF(S26&gt;S29,1.0,IF(S26=S29,0.5,0.0)),""),"")</f>
        <v/>
      </c>
      <c r="AE26">
        <f>IF(ISNUMBER(S26),IF(ISNUMBER(S30),IF(S26&gt;S30,1.0,IF(S26=S30,0.5,0.0)),""),"")</f>
        <v/>
      </c>
      <c r="AF26" s="14">
        <f>IF(AND(ISNUMBER(R26),ISNUMBER(R24)),VLOOKUP(ABS(R26-R24),'IMP Table'!$A$2:$C$26,3)*SIGN(R26-R24),0)</f>
        <v/>
      </c>
      <c r="AG26">
        <f>IF(AND(ISNUMBER(R26),ISNUMBER(R25)),VLOOKUP(ABS(R26-R25),'IMP Table'!$A$2:$C$26,3)*SIGN(R26-R25),0)</f>
        <v/>
      </c>
      <c r="AH26">
        <f>IF(AND(ISNUMBER(R26),ISNUMBER(R27)),VLOOKUP(ABS(R26-R27),'IMP Table'!$A$2:$C$26,3)*SIGN(R26-R27),0)</f>
        <v/>
      </c>
      <c r="AI26">
        <f>IF(AND(ISNUMBER(R26),ISNUMBER(R28)),VLOOKUP(ABS(R26-R28),'IMP Table'!$A$2:$C$26,3)*SIGN(R26-R28),0)</f>
        <v/>
      </c>
      <c r="AJ26">
        <f>IF(AND(ISNUMBER(R26),ISNUMBER(R29)),VLOOKUP(ABS(R26-R29),'IMP Table'!$A$2:$C$26,3)*SIGN(R26-R29),0)</f>
        <v/>
      </c>
      <c r="AK26">
        <f>IF(AND(ISNUMBER(R26),ISNUMBER(R30)),VLOOKUP(ABS(R26-R30),'IMP Table'!$A$2:$C$26,3)*SIGN(R26-R30),0)</f>
        <v/>
      </c>
      <c r="AL26">
        <f>IF(AND(ISNUMBER(S26),ISNUMBER(S24)),VLOOKUP(ABS(S26-S24),'IMP Table'!$A$2:$C$26,3)*SIGN(S26-S24),0)</f>
        <v/>
      </c>
      <c r="AM26">
        <f>IF(AND(ISNUMBER(S26),ISNUMBER(S25)),VLOOKUP(ABS(S26-S25),'IMP Table'!$A$2:$C$26,3)*SIGN(S26-S25),0)</f>
        <v/>
      </c>
      <c r="AN26">
        <f>IF(AND(ISNUMBER(S26),ISNUMBER(S27)),VLOOKUP(ABS(S26-S27),'IMP Table'!$A$2:$C$26,3)*SIGN(S26-S27),0)</f>
        <v/>
      </c>
      <c r="AO26">
        <f>IF(AND(ISNUMBER(S26),ISNUMBER(S28)),VLOOKUP(ABS(S26-S28),'IMP Table'!$A$2:$C$26,3)*SIGN(S26-S28),0)</f>
        <v/>
      </c>
      <c r="AP26">
        <f>IF(AND(ISNUMBER(S26),ISNUMBER(S29)),VLOOKUP(ABS(S26-S29),'IMP Table'!$A$2:$C$26,3)*SIGN(S26-S29),0)</f>
        <v/>
      </c>
      <c r="AQ26">
        <f>IF(AND(ISNUMBER(S26),ISNUMBER(S30)),VLOOKUP(ABS(S26-S30),'IMP Table'!$A$2:$C$26,3)*SIGN(S26-S30),0)</f>
        <v/>
      </c>
    </row>
    <row r="27">
      <c r="B27">
        <f>'By Round'!A73</f>
        <v/>
      </c>
      <c r="C27">
        <f>'By Round'!B81</f>
        <v/>
      </c>
      <c r="D27">
        <f>'By Round'!C81</f>
        <v/>
      </c>
      <c r="E27">
        <f>'By Round'!D81</f>
        <v/>
      </c>
      <c r="F27" s="11" t="inlineStr">
        <is>
          <t>Both</t>
        </is>
      </c>
      <c r="G27">
        <f>IF(ISBLANK('By Round'!G81),"",'By Round'!G81)</f>
        <v/>
      </c>
      <c r="H27">
        <f>IF(ISBLANK('By Round'!H81),"",'By Round'!H81)</f>
        <v/>
      </c>
      <c r="I27">
        <f>IF(ISBLANK('By Round'!I81),"",'By Round'!I81)</f>
        <v/>
      </c>
      <c r="J27">
        <f>IF(ISBLANK('By Round'!J81),"",'By Round'!J81)</f>
        <v/>
      </c>
      <c r="K27">
        <f>IF(ISBLANK('By Round'!K81),"",'By Round'!K81)</f>
        <v/>
      </c>
      <c r="L27" s="12">
        <f>SUM(AF27:AK27)</f>
        <v/>
      </c>
      <c r="M27" s="13">
        <f>SUM(AL27:AQ27)</f>
        <v/>
      </c>
      <c r="N27" s="8">
        <f>IF(COUNT(T27:Y27)&gt;0,P27/COUNT(T27:Y27),0.5)</f>
        <v/>
      </c>
      <c r="O27" s="8">
        <f>IF(COUNT(Z27:AE27)&gt;0,Q27/COUNT(Z27:AE27),0.5)</f>
        <v/>
      </c>
      <c r="P27" s="5">
        <f>SUM(T27:Y27)</f>
        <v/>
      </c>
      <c r="Q27" s="5">
        <f>SUM(Z27:AE27)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IF(ISNUMBER(R27),IF(ISNUMBER(R24),IF(R27&gt;R24,1.0,IF(R27=R24,0.5,0.0)),""),"")</f>
        <v/>
      </c>
      <c r="U27">
        <f>IF(ISNUMBER(R27),IF(ISNUMBER(R25),IF(R27&gt;R25,1.0,IF(R27=R25,0.5,0.0)),""),"")</f>
        <v/>
      </c>
      <c r="V27">
        <f>IF(ISNUMBER(R27),IF(ISNUMBER(R26),IF(R27&gt;R26,1.0,IF(R27=R26,0.5,0.0)),""),"")</f>
        <v/>
      </c>
      <c r="W27">
        <f>IF(ISNUMBER(R27),IF(ISNUMBER(R28),IF(R27&gt;R28,1.0,IF(R27=R28,0.5,0.0)),""),"")</f>
        <v/>
      </c>
      <c r="X27">
        <f>IF(ISNUMBER(R27),IF(ISNUMBER(R29),IF(R27&gt;R29,1.0,IF(R27=R29,0.5,0.0)),""),"")</f>
        <v/>
      </c>
      <c r="Y27">
        <f>IF(ISNUMBER(R27),IF(ISNUMBER(R30),IF(R27&gt;R30,1.0,IF(R27=R30,0.5,0.0)),""),"")</f>
        <v/>
      </c>
      <c r="Z27">
        <f>IF(ISNUMBER(S27),IF(ISNUMBER(S24),IF(S27&gt;S24,1.0,IF(S27=S24,0.5,0.0)),""),"")</f>
        <v/>
      </c>
      <c r="AA27">
        <f>IF(ISNUMBER(S27),IF(ISNUMBER(S25),IF(S27&gt;S25,1.0,IF(S27=S25,0.5,0.0)),""),"")</f>
        <v/>
      </c>
      <c r="AB27">
        <f>IF(ISNUMBER(S27),IF(ISNUMBER(S26),IF(S27&gt;S26,1.0,IF(S27=S26,0.5,0.0)),""),"")</f>
        <v/>
      </c>
      <c r="AC27">
        <f>IF(ISNUMBER(S27),IF(ISNUMBER(S28),IF(S27&gt;S28,1.0,IF(S27=S28,0.5,0.0)),""),"")</f>
        <v/>
      </c>
      <c r="AD27">
        <f>IF(ISNUMBER(S27),IF(ISNUMBER(S29),IF(S27&gt;S29,1.0,IF(S27=S29,0.5,0.0)),""),"")</f>
        <v/>
      </c>
      <c r="AE27">
        <f>IF(ISNUMBER(S27),IF(ISNUMBER(S30),IF(S27&gt;S30,1.0,IF(S27=S30,0.5,0.0)),""),"")</f>
        <v/>
      </c>
      <c r="AF27" s="14">
        <f>IF(AND(ISNUMBER(R27),ISNUMBER(R24)),VLOOKUP(ABS(R27-R24),'IMP Table'!$A$2:$C$26,3)*SIGN(R27-R24),0)</f>
        <v/>
      </c>
      <c r="AG27">
        <f>IF(AND(ISNUMBER(R27),ISNUMBER(R25)),VLOOKUP(ABS(R27-R25),'IMP Table'!$A$2:$C$26,3)*SIGN(R27-R25),0)</f>
        <v/>
      </c>
      <c r="AH27">
        <f>IF(AND(ISNUMBER(R27),ISNUMBER(R26)),VLOOKUP(ABS(R27-R26),'IMP Table'!$A$2:$C$26,3)*SIGN(R27-R26),0)</f>
        <v/>
      </c>
      <c r="AI27">
        <f>IF(AND(ISNUMBER(R27),ISNUMBER(R28)),VLOOKUP(ABS(R27-R28),'IMP Table'!$A$2:$C$26,3)*SIGN(R27-R28),0)</f>
        <v/>
      </c>
      <c r="AJ27">
        <f>IF(AND(ISNUMBER(R27),ISNUMBER(R29)),VLOOKUP(ABS(R27-R29),'IMP Table'!$A$2:$C$26,3)*SIGN(R27-R29),0)</f>
        <v/>
      </c>
      <c r="AK27">
        <f>IF(AND(ISNUMBER(R27),ISNUMBER(R30)),VLOOKUP(ABS(R27-R30),'IMP Table'!$A$2:$C$26,3)*SIGN(R27-R30),0)</f>
        <v/>
      </c>
      <c r="AL27">
        <f>IF(AND(ISNUMBER(S27),ISNUMBER(S24)),VLOOKUP(ABS(S27-S24),'IMP Table'!$A$2:$C$26,3)*SIGN(S27-S24),0)</f>
        <v/>
      </c>
      <c r="AM27">
        <f>IF(AND(ISNUMBER(S27),ISNUMBER(S25)),VLOOKUP(ABS(S27-S25),'IMP Table'!$A$2:$C$26,3)*SIGN(S27-S25),0)</f>
        <v/>
      </c>
      <c r="AN27">
        <f>IF(AND(ISNUMBER(S27),ISNUMBER(S26)),VLOOKUP(ABS(S27-S26),'IMP Table'!$A$2:$C$26,3)*SIGN(S27-S26),0)</f>
        <v/>
      </c>
      <c r="AO27">
        <f>IF(AND(ISNUMBER(S27),ISNUMBER(S28)),VLOOKUP(ABS(S27-S28),'IMP Table'!$A$2:$C$26,3)*SIGN(S27-S28),0)</f>
        <v/>
      </c>
      <c r="AP27">
        <f>IF(AND(ISNUMBER(S27),ISNUMBER(S29)),VLOOKUP(ABS(S27-S29),'IMP Table'!$A$2:$C$26,3)*SIGN(S27-S29),0)</f>
        <v/>
      </c>
      <c r="AQ27">
        <f>IF(AND(ISNUMBER(S27),ISNUMBER(S30)),VLOOKUP(ABS(S27-S30),'IMP Table'!$A$2:$C$26,3)*SIGN(S27-S30),0)</f>
        <v/>
      </c>
    </row>
    <row r="28">
      <c r="B28">
        <f>'By Round'!A143</f>
        <v/>
      </c>
      <c r="C28">
        <f>'By Round'!B149</f>
        <v/>
      </c>
      <c r="D28">
        <f>'By Round'!C149</f>
        <v/>
      </c>
      <c r="E28">
        <f>'By Round'!D149</f>
        <v/>
      </c>
      <c r="F28" s="11" t="inlineStr">
        <is>
          <t>Both</t>
        </is>
      </c>
      <c r="G28">
        <f>IF(ISBLANK('By Round'!G149),"",'By Round'!G149)</f>
        <v/>
      </c>
      <c r="H28">
        <f>IF(ISBLANK('By Round'!H149),"",'By Round'!H149)</f>
        <v/>
      </c>
      <c r="I28">
        <f>IF(ISBLANK('By Round'!I149),"",'By Round'!I149)</f>
        <v/>
      </c>
      <c r="J28">
        <f>IF(ISBLANK('By Round'!J149),"",'By Round'!J149)</f>
        <v/>
      </c>
      <c r="K28">
        <f>IF(ISBLANK('By Round'!K149),"",'By Round'!K149)</f>
        <v/>
      </c>
      <c r="L28" s="12">
        <f>SUM(AF28:AK28)</f>
        <v/>
      </c>
      <c r="M28" s="13">
        <f>SUM(AL28:AQ28)</f>
        <v/>
      </c>
      <c r="N28" s="8">
        <f>IF(COUNT(T28:Y28)&gt;0,P28/COUNT(T28:Y28),0.5)</f>
        <v/>
      </c>
      <c r="O28" s="8">
        <f>IF(COUNT(Z28:AE28)&gt;0,Q28/COUNT(Z28:AE28),0.5)</f>
        <v/>
      </c>
      <c r="P28" s="5">
        <f>SUM(T28:Y28)</f>
        <v/>
      </c>
      <c r="Q28" s="5">
        <f>SUM(Z28:AE28)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IF(ISNUMBER(R28),IF(ISNUMBER(R24),IF(R28&gt;R24,1.0,IF(R28=R24,0.5,0.0)),""),"")</f>
        <v/>
      </c>
      <c r="U28">
        <f>IF(ISNUMBER(R28),IF(ISNUMBER(R25),IF(R28&gt;R25,1.0,IF(R28=R25,0.5,0.0)),""),"")</f>
        <v/>
      </c>
      <c r="V28">
        <f>IF(ISNUMBER(R28),IF(ISNUMBER(R26),IF(R28&gt;R26,1.0,IF(R28=R26,0.5,0.0)),""),"")</f>
        <v/>
      </c>
      <c r="W28">
        <f>IF(ISNUMBER(R28),IF(ISNUMBER(R27),IF(R28&gt;R27,1.0,IF(R28=R27,0.5,0.0)),""),"")</f>
        <v/>
      </c>
      <c r="X28">
        <f>IF(ISNUMBER(R28),IF(ISNUMBER(R29),IF(R28&gt;R29,1.0,IF(R28=R29,0.5,0.0)),""),"")</f>
        <v/>
      </c>
      <c r="Y28">
        <f>IF(ISNUMBER(R28),IF(ISNUMBER(R30),IF(R28&gt;R30,1.0,IF(R28=R30,0.5,0.0)),""),"")</f>
        <v/>
      </c>
      <c r="Z28">
        <f>IF(ISNUMBER(S28),IF(ISNUMBER(S24),IF(S28&gt;S24,1.0,IF(S28=S24,0.5,0.0)),""),"")</f>
        <v/>
      </c>
      <c r="AA28">
        <f>IF(ISNUMBER(S28),IF(ISNUMBER(S25),IF(S28&gt;S25,1.0,IF(S28=S25,0.5,0.0)),""),"")</f>
        <v/>
      </c>
      <c r="AB28">
        <f>IF(ISNUMBER(S28),IF(ISNUMBER(S26),IF(S28&gt;S26,1.0,IF(S28=S26,0.5,0.0)),""),"")</f>
        <v/>
      </c>
      <c r="AC28">
        <f>IF(ISNUMBER(S28),IF(ISNUMBER(S27),IF(S28&gt;S27,1.0,IF(S28=S27,0.5,0.0)),""),"")</f>
        <v/>
      </c>
      <c r="AD28">
        <f>IF(ISNUMBER(S28),IF(ISNUMBER(S29),IF(S28&gt;S29,1.0,IF(S28=S29,0.5,0.0)),""),"")</f>
        <v/>
      </c>
      <c r="AE28">
        <f>IF(ISNUMBER(S28),IF(ISNUMBER(S30),IF(S28&gt;S30,1.0,IF(S28=S30,0.5,0.0)),""),"")</f>
        <v/>
      </c>
      <c r="AF28" s="14">
        <f>IF(AND(ISNUMBER(R28),ISNUMBER(R24)),VLOOKUP(ABS(R28-R24),'IMP Table'!$A$2:$C$26,3)*SIGN(R28-R24),0)</f>
        <v/>
      </c>
      <c r="AG28">
        <f>IF(AND(ISNUMBER(R28),ISNUMBER(R25)),VLOOKUP(ABS(R28-R25),'IMP Table'!$A$2:$C$26,3)*SIGN(R28-R25),0)</f>
        <v/>
      </c>
      <c r="AH28">
        <f>IF(AND(ISNUMBER(R28),ISNUMBER(R26)),VLOOKUP(ABS(R28-R26),'IMP Table'!$A$2:$C$26,3)*SIGN(R28-R26),0)</f>
        <v/>
      </c>
      <c r="AI28">
        <f>IF(AND(ISNUMBER(R28),ISNUMBER(R27)),VLOOKUP(ABS(R28-R27),'IMP Table'!$A$2:$C$26,3)*SIGN(R28-R27),0)</f>
        <v/>
      </c>
      <c r="AJ28">
        <f>IF(AND(ISNUMBER(R28),ISNUMBER(R29)),VLOOKUP(ABS(R28-R29),'IMP Table'!$A$2:$C$26,3)*SIGN(R28-R29),0)</f>
        <v/>
      </c>
      <c r="AK28">
        <f>IF(AND(ISNUMBER(R28),ISNUMBER(R30)),VLOOKUP(ABS(R28-R30),'IMP Table'!$A$2:$C$26,3)*SIGN(R28-R30),0)</f>
        <v/>
      </c>
      <c r="AL28">
        <f>IF(AND(ISNUMBER(S28),ISNUMBER(S24)),VLOOKUP(ABS(S28-S24),'IMP Table'!$A$2:$C$26,3)*SIGN(S28-S24),0)</f>
        <v/>
      </c>
      <c r="AM28">
        <f>IF(AND(ISNUMBER(S28),ISNUMBER(S25)),VLOOKUP(ABS(S28-S25),'IMP Table'!$A$2:$C$26,3)*SIGN(S28-S25),0)</f>
        <v/>
      </c>
      <c r="AN28">
        <f>IF(AND(ISNUMBER(S28),ISNUMBER(S26)),VLOOKUP(ABS(S28-S26),'IMP Table'!$A$2:$C$26,3)*SIGN(S28-S26),0)</f>
        <v/>
      </c>
      <c r="AO28">
        <f>IF(AND(ISNUMBER(S28),ISNUMBER(S27)),VLOOKUP(ABS(S28-S27),'IMP Table'!$A$2:$C$26,3)*SIGN(S28-S27),0)</f>
        <v/>
      </c>
      <c r="AP28">
        <f>IF(AND(ISNUMBER(S28),ISNUMBER(S29)),VLOOKUP(ABS(S28-S29),'IMP Table'!$A$2:$C$26,3)*SIGN(S28-S29),0)</f>
        <v/>
      </c>
      <c r="AQ28">
        <f>IF(AND(ISNUMBER(S28),ISNUMBER(S30)),VLOOKUP(ABS(S28-S30),'IMP Table'!$A$2:$C$26,3)*SIGN(S28-S30),0)</f>
        <v/>
      </c>
    </row>
    <row r="29">
      <c r="B29">
        <f>'By Round'!A157</f>
        <v/>
      </c>
      <c r="C29">
        <f>'By Round'!B161</f>
        <v/>
      </c>
      <c r="D29">
        <f>'By Round'!C161</f>
        <v/>
      </c>
      <c r="E29">
        <f>'By Round'!D161</f>
        <v/>
      </c>
      <c r="F29" s="11" t="inlineStr">
        <is>
          <t>Both</t>
        </is>
      </c>
      <c r="G29">
        <f>IF(ISBLANK('By Round'!G161),"",'By Round'!G161)</f>
        <v/>
      </c>
      <c r="H29">
        <f>IF(ISBLANK('By Round'!H161),"",'By Round'!H161)</f>
        <v/>
      </c>
      <c r="I29">
        <f>IF(ISBLANK('By Round'!I161),"",'By Round'!I161)</f>
        <v/>
      </c>
      <c r="J29">
        <f>IF(ISBLANK('By Round'!J161),"",'By Round'!J161)</f>
        <v/>
      </c>
      <c r="K29">
        <f>IF(ISBLANK('By Round'!K161),"",'By Round'!K161)</f>
        <v/>
      </c>
      <c r="L29" s="12">
        <f>SUM(AF29:AK29)</f>
        <v/>
      </c>
      <c r="M29" s="13">
        <f>SUM(AL29:AQ29)</f>
        <v/>
      </c>
      <c r="N29" s="8">
        <f>IF(COUNT(T29:Y29)&gt;0,P29/COUNT(T29:Y29),0.5)</f>
        <v/>
      </c>
      <c r="O29" s="8">
        <f>IF(COUNT(Z29:AE29)&gt;0,Q29/COUNT(Z29:AE29),0.5)</f>
        <v/>
      </c>
      <c r="P29" s="5">
        <f>SUM(T29:Y29)</f>
        <v/>
      </c>
      <c r="Q29" s="5">
        <f>SUM(Z29:AE29)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IF(ISNUMBER(R29),IF(ISNUMBER(R24),IF(R29&gt;R24,1.0,IF(R29=R24,0.5,0.0)),""),"")</f>
        <v/>
      </c>
      <c r="U29">
        <f>IF(ISNUMBER(R29),IF(ISNUMBER(R25),IF(R29&gt;R25,1.0,IF(R29=R25,0.5,0.0)),""),"")</f>
        <v/>
      </c>
      <c r="V29">
        <f>IF(ISNUMBER(R29),IF(ISNUMBER(R26),IF(R29&gt;R26,1.0,IF(R29=R26,0.5,0.0)),""),"")</f>
        <v/>
      </c>
      <c r="W29">
        <f>IF(ISNUMBER(R29),IF(ISNUMBER(R27),IF(R29&gt;R27,1.0,IF(R29=R27,0.5,0.0)),""),"")</f>
        <v/>
      </c>
      <c r="X29">
        <f>IF(ISNUMBER(R29),IF(ISNUMBER(R28),IF(R29&gt;R28,1.0,IF(R29=R28,0.5,0.0)),""),"")</f>
        <v/>
      </c>
      <c r="Y29">
        <f>IF(ISNUMBER(R29),IF(ISNUMBER(R30),IF(R29&gt;R30,1.0,IF(R29=R30,0.5,0.0)),""),"")</f>
        <v/>
      </c>
      <c r="Z29">
        <f>IF(ISNUMBER(S29),IF(ISNUMBER(S24),IF(S29&gt;S24,1.0,IF(S29=S24,0.5,0.0)),""),"")</f>
        <v/>
      </c>
      <c r="AA29">
        <f>IF(ISNUMBER(S29),IF(ISNUMBER(S25),IF(S29&gt;S25,1.0,IF(S29=S25,0.5,0.0)),""),"")</f>
        <v/>
      </c>
      <c r="AB29">
        <f>IF(ISNUMBER(S29),IF(ISNUMBER(S26),IF(S29&gt;S26,1.0,IF(S29=S26,0.5,0.0)),""),"")</f>
        <v/>
      </c>
      <c r="AC29">
        <f>IF(ISNUMBER(S29),IF(ISNUMBER(S27),IF(S29&gt;S27,1.0,IF(S29=S27,0.5,0.0)),""),"")</f>
        <v/>
      </c>
      <c r="AD29">
        <f>IF(ISNUMBER(S29),IF(ISNUMBER(S28),IF(S29&gt;S28,1.0,IF(S29=S28,0.5,0.0)),""),"")</f>
        <v/>
      </c>
      <c r="AE29">
        <f>IF(ISNUMBER(S29),IF(ISNUMBER(S30),IF(S29&gt;S30,1.0,IF(S29=S30,0.5,0.0)),""),"")</f>
        <v/>
      </c>
      <c r="AF29" s="14">
        <f>IF(AND(ISNUMBER(R29),ISNUMBER(R24)),VLOOKUP(ABS(R29-R24),'IMP Table'!$A$2:$C$26,3)*SIGN(R29-R24),0)</f>
        <v/>
      </c>
      <c r="AG29">
        <f>IF(AND(ISNUMBER(R29),ISNUMBER(R25)),VLOOKUP(ABS(R29-R25),'IMP Table'!$A$2:$C$26,3)*SIGN(R29-R25),0)</f>
        <v/>
      </c>
      <c r="AH29">
        <f>IF(AND(ISNUMBER(R29),ISNUMBER(R26)),VLOOKUP(ABS(R29-R26),'IMP Table'!$A$2:$C$26,3)*SIGN(R29-R26),0)</f>
        <v/>
      </c>
      <c r="AI29">
        <f>IF(AND(ISNUMBER(R29),ISNUMBER(R27)),VLOOKUP(ABS(R29-R27),'IMP Table'!$A$2:$C$26,3)*SIGN(R29-R27),0)</f>
        <v/>
      </c>
      <c r="AJ29">
        <f>IF(AND(ISNUMBER(R29),ISNUMBER(R28)),VLOOKUP(ABS(R29-R28),'IMP Table'!$A$2:$C$26,3)*SIGN(R29-R28),0)</f>
        <v/>
      </c>
      <c r="AK29">
        <f>IF(AND(ISNUMBER(R29),ISNUMBER(R30)),VLOOKUP(ABS(R29-R30),'IMP Table'!$A$2:$C$26,3)*SIGN(R29-R30),0)</f>
        <v/>
      </c>
      <c r="AL29">
        <f>IF(AND(ISNUMBER(S29),ISNUMBER(S24)),VLOOKUP(ABS(S29-S24),'IMP Table'!$A$2:$C$26,3)*SIGN(S29-S24),0)</f>
        <v/>
      </c>
      <c r="AM29">
        <f>IF(AND(ISNUMBER(S29),ISNUMBER(S25)),VLOOKUP(ABS(S29-S25),'IMP Table'!$A$2:$C$26,3)*SIGN(S29-S25),0)</f>
        <v/>
      </c>
      <c r="AN29">
        <f>IF(AND(ISNUMBER(S29),ISNUMBER(S26)),VLOOKUP(ABS(S29-S26),'IMP Table'!$A$2:$C$26,3)*SIGN(S29-S26),0)</f>
        <v/>
      </c>
      <c r="AO29">
        <f>IF(AND(ISNUMBER(S29),ISNUMBER(S27)),VLOOKUP(ABS(S29-S27),'IMP Table'!$A$2:$C$26,3)*SIGN(S29-S27),0)</f>
        <v/>
      </c>
      <c r="AP29">
        <f>IF(AND(ISNUMBER(S29),ISNUMBER(S28)),VLOOKUP(ABS(S29-S28),'IMP Table'!$A$2:$C$26,3)*SIGN(S29-S28),0)</f>
        <v/>
      </c>
      <c r="AQ29">
        <f>IF(AND(ISNUMBER(S29),ISNUMBER(S30)),VLOOKUP(ABS(S29-S30),'IMP Table'!$A$2:$C$26,3)*SIGN(S29-S30),0)</f>
        <v/>
      </c>
    </row>
    <row r="30">
      <c r="A30" s="15" t="n"/>
      <c r="B30" s="15">
        <f>'By Round'!A171</f>
        <v/>
      </c>
      <c r="C30" s="15">
        <f>'By Round'!B173</f>
        <v/>
      </c>
      <c r="D30" s="15">
        <f>'By Round'!C173</f>
        <v/>
      </c>
      <c r="E30" s="15">
        <f>'By Round'!D173</f>
        <v/>
      </c>
      <c r="F30" s="16" t="inlineStr">
        <is>
          <t>Both</t>
        </is>
      </c>
      <c r="G30" s="15">
        <f>IF(ISBLANK('By Round'!G173),"",'By Round'!G173)</f>
        <v/>
      </c>
      <c r="H30" s="15">
        <f>IF(ISBLANK('By Round'!H173),"",'By Round'!H173)</f>
        <v/>
      </c>
      <c r="I30" s="15">
        <f>IF(ISBLANK('By Round'!I173),"",'By Round'!I173)</f>
        <v/>
      </c>
      <c r="J30" s="15">
        <f>IF(ISBLANK('By Round'!J173),"",'By Round'!J173)</f>
        <v/>
      </c>
      <c r="K30" s="15">
        <f>IF(ISBLANK('By Round'!K173),"",'By Round'!K173)</f>
        <v/>
      </c>
      <c r="L30" s="17">
        <f>SUM(AF30:AK30)</f>
        <v/>
      </c>
      <c r="M30" s="18">
        <f>SUM(AL30:AQ30)</f>
        <v/>
      </c>
      <c r="N30" s="19">
        <f>IF(COUNT(T30:Y30)&gt;0,P30/COUNT(T30:Y30),0.5)</f>
        <v/>
      </c>
      <c r="O30" s="19">
        <f>IF(COUNT(Z30:AE30)&gt;0,Q30/COUNT(Z30:AE30),0.5)</f>
        <v/>
      </c>
      <c r="P30" s="20">
        <f>SUM(T30:Y30)</f>
        <v/>
      </c>
      <c r="Q30" s="20">
        <f>SUM(Z30:AE30)</f>
        <v/>
      </c>
      <c r="R30" s="21">
        <f>IF(ISNUMBER(J30),J30,IF(ISNUMBER(K30),-K30,""))</f>
        <v/>
      </c>
      <c r="S30" s="15">
        <f>IF(ISNUMBER(K30),K30,IF(ISNUMBER(J30),-J30,""))</f>
        <v/>
      </c>
      <c r="T30" s="21">
        <f>IF(ISNUMBER(R30),IF(ISNUMBER(R24),IF(R30&gt;R24,1.0,IF(R30=R24,0.5,0.0)),""),"")</f>
        <v/>
      </c>
      <c r="U30" s="15">
        <f>IF(ISNUMBER(R30),IF(ISNUMBER(R25),IF(R30&gt;R25,1.0,IF(R30=R25,0.5,0.0)),""),"")</f>
        <v/>
      </c>
      <c r="V30" s="15">
        <f>IF(ISNUMBER(R30),IF(ISNUMBER(R26),IF(R30&gt;R26,1.0,IF(R30=R26,0.5,0.0)),""),"")</f>
        <v/>
      </c>
      <c r="W30" s="15">
        <f>IF(ISNUMBER(R30),IF(ISNUMBER(R27),IF(R30&gt;R27,1.0,IF(R30=R27,0.5,0.0)),""),"")</f>
        <v/>
      </c>
      <c r="X30" s="15">
        <f>IF(ISNUMBER(R30),IF(ISNUMBER(R28),IF(R30&gt;R28,1.0,IF(R30=R28,0.5,0.0)),""),"")</f>
        <v/>
      </c>
      <c r="Y30" s="15">
        <f>IF(ISNUMBER(R30),IF(ISNUMBER(R29),IF(R30&gt;R29,1.0,IF(R30=R29,0.5,0.0)),""),"")</f>
        <v/>
      </c>
      <c r="Z30" s="15">
        <f>IF(ISNUMBER(S30),IF(ISNUMBER(S24),IF(S30&gt;S24,1.0,IF(S30=S24,0.5,0.0)),""),"")</f>
        <v/>
      </c>
      <c r="AA30" s="15">
        <f>IF(ISNUMBER(S30),IF(ISNUMBER(S25),IF(S30&gt;S25,1.0,IF(S30=S25,0.5,0.0)),""),"")</f>
        <v/>
      </c>
      <c r="AB30" s="15">
        <f>IF(ISNUMBER(S30),IF(ISNUMBER(S26),IF(S30&gt;S26,1.0,IF(S30=S26,0.5,0.0)),""),"")</f>
        <v/>
      </c>
      <c r="AC30" s="15">
        <f>IF(ISNUMBER(S30),IF(ISNUMBER(S27),IF(S30&gt;S27,1.0,IF(S30=S27,0.5,0.0)),""),"")</f>
        <v/>
      </c>
      <c r="AD30" s="15">
        <f>IF(ISNUMBER(S30),IF(ISNUMBER(S28),IF(S30&gt;S28,1.0,IF(S30=S28,0.5,0.0)),""),"")</f>
        <v/>
      </c>
      <c r="AE30" s="15">
        <f>IF(ISNUMBER(S30),IF(ISNUMBER(S29),IF(S30&gt;S29,1.0,IF(S30=S29,0.5,0.0)),""),"")</f>
        <v/>
      </c>
      <c r="AF30" s="21">
        <f>IF(AND(ISNUMBER(R30),ISNUMBER(R24)),VLOOKUP(ABS(R30-R24),'IMP Table'!$A$2:$C$26,3)*SIGN(R30-R24),0)</f>
        <v/>
      </c>
      <c r="AG30" s="15">
        <f>IF(AND(ISNUMBER(R30),ISNUMBER(R25)),VLOOKUP(ABS(R30-R25),'IMP Table'!$A$2:$C$26,3)*SIGN(R30-R25),0)</f>
        <v/>
      </c>
      <c r="AH30" s="15">
        <f>IF(AND(ISNUMBER(R30),ISNUMBER(R26)),VLOOKUP(ABS(R30-R26),'IMP Table'!$A$2:$C$26,3)*SIGN(R30-R26),0)</f>
        <v/>
      </c>
      <c r="AI30" s="15">
        <f>IF(AND(ISNUMBER(R30),ISNUMBER(R27)),VLOOKUP(ABS(R30-R27),'IMP Table'!$A$2:$C$26,3)*SIGN(R30-R27),0)</f>
        <v/>
      </c>
      <c r="AJ30" s="15">
        <f>IF(AND(ISNUMBER(R30),ISNUMBER(R28)),VLOOKUP(ABS(R30-R28),'IMP Table'!$A$2:$C$26,3)*SIGN(R30-R28),0)</f>
        <v/>
      </c>
      <c r="AK30" s="15">
        <f>IF(AND(ISNUMBER(R30),ISNUMBER(R29)),VLOOKUP(ABS(R30-R29),'IMP Table'!$A$2:$C$26,3)*SIGN(R30-R29),0)</f>
        <v/>
      </c>
      <c r="AL30" s="15">
        <f>IF(AND(ISNUMBER(S30),ISNUMBER(S24)),VLOOKUP(ABS(S30-S24),'IMP Table'!$A$2:$C$26,3)*SIGN(S30-S24),0)</f>
        <v/>
      </c>
      <c r="AM30" s="15">
        <f>IF(AND(ISNUMBER(S30),ISNUMBER(S25)),VLOOKUP(ABS(S30-S25),'IMP Table'!$A$2:$C$26,3)*SIGN(S30-S25),0)</f>
        <v/>
      </c>
      <c r="AN30" s="15">
        <f>IF(AND(ISNUMBER(S30),ISNUMBER(S26)),VLOOKUP(ABS(S30-S26),'IMP Table'!$A$2:$C$26,3)*SIGN(S30-S26),0)</f>
        <v/>
      </c>
      <c r="AO30" s="15">
        <f>IF(AND(ISNUMBER(S30),ISNUMBER(S27)),VLOOKUP(ABS(S30-S27),'IMP Table'!$A$2:$C$26,3)*SIGN(S30-S27),0)</f>
        <v/>
      </c>
      <c r="AP30" s="15">
        <f>IF(AND(ISNUMBER(S30),ISNUMBER(S28)),VLOOKUP(ABS(S30-S28),'IMP Table'!$A$2:$C$26,3)*SIGN(S30-S28),0)</f>
        <v/>
      </c>
      <c r="AQ30" s="15">
        <f>IF(AND(ISNUMBER(S30),ISNUMBER(S29)),VLOOKUP(ABS(S30-S29),'IMP Table'!$A$2:$C$26,3)*SIGN(S30-S29),0)</f>
        <v/>
      </c>
    </row>
    <row r="31">
      <c r="A31" t="n">
        <v>5</v>
      </c>
      <c r="B31">
        <f>'By Round'!A3</f>
        <v/>
      </c>
      <c r="C31">
        <f>'By Round'!B5</f>
        <v/>
      </c>
      <c r="D31">
        <f>'By Round'!C5</f>
        <v/>
      </c>
      <c r="E31">
        <f>'By Round'!D5</f>
        <v/>
      </c>
      <c r="F31" s="11" t="inlineStr">
        <is>
          <t>NS</t>
        </is>
      </c>
      <c r="G31">
        <f>IF(ISBLANK('By Round'!G5),"",'By Round'!G5)</f>
        <v/>
      </c>
      <c r="H31">
        <f>IF(ISBLANK('By Round'!H5),"",'By Round'!H5)</f>
        <v/>
      </c>
      <c r="I31">
        <f>IF(ISBLANK('By Round'!I5),"",'By Round'!I5)</f>
        <v/>
      </c>
      <c r="J31">
        <f>IF(ISBLANK('By Round'!J5),"",'By Round'!J5)</f>
        <v/>
      </c>
      <c r="K31">
        <f>IF(ISBLANK('By Round'!K5),"",'By Round'!K5)</f>
        <v/>
      </c>
      <c r="L31" s="12">
        <f>SUM(AF31:AK31)</f>
        <v/>
      </c>
      <c r="M31" s="13">
        <f>SUM(AL31:AQ31)</f>
        <v/>
      </c>
      <c r="N31" s="8">
        <f>IF(COUNT(T31:Y31)&gt;0,P31/COUNT(T31:Y31),0.5)</f>
        <v/>
      </c>
      <c r="O31" s="8">
        <f>IF(COUNT(Z31:AE31)&gt;0,Q31/COUNT(Z31:AE31),0.5)</f>
        <v/>
      </c>
      <c r="P31" s="5">
        <f>SUM(T31:Y31)</f>
        <v/>
      </c>
      <c r="Q31" s="5">
        <f>SUM(Z31:AE31)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IF(ISNUMBER(R31),IF(ISNUMBER(R32),IF(R31&gt;R32,1.0,IF(R31=R32,0.5,0.0)),""),"")</f>
        <v/>
      </c>
      <c r="U31">
        <f>IF(ISNUMBER(R31),IF(ISNUMBER(R33),IF(R31&gt;R33,1.0,IF(R31=R33,0.5,0.0)),""),"")</f>
        <v/>
      </c>
      <c r="V31">
        <f>IF(ISNUMBER(R31),IF(ISNUMBER(R34),IF(R31&gt;R34,1.0,IF(R31=R34,0.5,0.0)),""),"")</f>
        <v/>
      </c>
      <c r="W31">
        <f>IF(ISNUMBER(R31),IF(ISNUMBER(R35),IF(R31&gt;R35,1.0,IF(R31=R35,0.5,0.0)),""),"")</f>
        <v/>
      </c>
      <c r="X31">
        <f>IF(ISNUMBER(R31),IF(ISNUMBER(R36),IF(R31&gt;R36,1.0,IF(R31=R36,0.5,0.0)),""),"")</f>
        <v/>
      </c>
      <c r="Y31">
        <f>IF(ISNUMBER(R31),IF(ISNUMBER(R37),IF(R31&gt;R37,1.0,IF(R31=R37,0.5,0.0)),""),"")</f>
        <v/>
      </c>
      <c r="Z31">
        <f>IF(ISNUMBER(S31),IF(ISNUMBER(S32),IF(S31&gt;S32,1.0,IF(S31=S32,0.5,0.0)),""),"")</f>
        <v/>
      </c>
      <c r="AA31">
        <f>IF(ISNUMBER(S31),IF(ISNUMBER(S33),IF(S31&gt;S33,1.0,IF(S31=S33,0.5,0.0)),""),"")</f>
        <v/>
      </c>
      <c r="AB31">
        <f>IF(ISNUMBER(S31),IF(ISNUMBER(S34),IF(S31&gt;S34,1.0,IF(S31=S34,0.5,0.0)),""),"")</f>
        <v/>
      </c>
      <c r="AC31">
        <f>IF(ISNUMBER(S31),IF(ISNUMBER(S35),IF(S31&gt;S35,1.0,IF(S31=S35,0.5,0.0)),""),"")</f>
        <v/>
      </c>
      <c r="AD31">
        <f>IF(ISNUMBER(S31),IF(ISNUMBER(S36),IF(S31&gt;S36,1.0,IF(S31=S36,0.5,0.0)),""),"")</f>
        <v/>
      </c>
      <c r="AE31">
        <f>IF(ISNUMBER(S31),IF(ISNUMBER(S37),IF(S31&gt;S37,1.0,IF(S31=S37,0.5,0.0)),""),"")</f>
        <v/>
      </c>
      <c r="AF31" s="14">
        <f>IF(AND(ISNUMBER(R31),ISNUMBER(R32)),VLOOKUP(ABS(R31-R32),'IMP Table'!$A$2:$C$26,3)*SIGN(R31-R32),0)</f>
        <v/>
      </c>
      <c r="AG31">
        <f>IF(AND(ISNUMBER(R31),ISNUMBER(R33)),VLOOKUP(ABS(R31-R33),'IMP Table'!$A$2:$C$26,3)*SIGN(R31-R33),0)</f>
        <v/>
      </c>
      <c r="AH31">
        <f>IF(AND(ISNUMBER(R31),ISNUMBER(R34)),VLOOKUP(ABS(R31-R34),'IMP Table'!$A$2:$C$26,3)*SIGN(R31-R34),0)</f>
        <v/>
      </c>
      <c r="AI31">
        <f>IF(AND(ISNUMBER(R31),ISNUMBER(R35)),VLOOKUP(ABS(R31-R35),'IMP Table'!$A$2:$C$26,3)*SIGN(R31-R35),0)</f>
        <v/>
      </c>
      <c r="AJ31">
        <f>IF(AND(ISNUMBER(R31),ISNUMBER(R36)),VLOOKUP(ABS(R31-R36),'IMP Table'!$A$2:$C$26,3)*SIGN(R31-R36),0)</f>
        <v/>
      </c>
      <c r="AK31">
        <f>IF(AND(ISNUMBER(R31),ISNUMBER(R37)),VLOOKUP(ABS(R31-R37),'IMP Table'!$A$2:$C$26,3)*SIGN(R31-R37),0)</f>
        <v/>
      </c>
      <c r="AL31">
        <f>IF(AND(ISNUMBER(S31),ISNUMBER(S32)),VLOOKUP(ABS(S31-S32),'IMP Table'!$A$2:$C$26,3)*SIGN(S31-S32),0)</f>
        <v/>
      </c>
      <c r="AM31">
        <f>IF(AND(ISNUMBER(S31),ISNUMBER(S33)),VLOOKUP(ABS(S31-S33),'IMP Table'!$A$2:$C$26,3)*SIGN(S31-S33),0)</f>
        <v/>
      </c>
      <c r="AN31">
        <f>IF(AND(ISNUMBER(S31),ISNUMBER(S34)),VLOOKUP(ABS(S31-S34),'IMP Table'!$A$2:$C$26,3)*SIGN(S31-S34),0)</f>
        <v/>
      </c>
      <c r="AO31">
        <f>IF(AND(ISNUMBER(S31),ISNUMBER(S35)),VLOOKUP(ABS(S31-S35),'IMP Table'!$A$2:$C$26,3)*SIGN(S31-S35),0)</f>
        <v/>
      </c>
      <c r="AP31">
        <f>IF(AND(ISNUMBER(S31),ISNUMBER(S36)),VLOOKUP(ABS(S31-S36),'IMP Table'!$A$2:$C$26,3)*SIGN(S31-S36),0)</f>
        <v/>
      </c>
      <c r="AQ31">
        <f>IF(AND(ISNUMBER(S31),ISNUMBER(S37)),VLOOKUP(ABS(S31-S37),'IMP Table'!$A$2:$C$26,3)*SIGN(S31-S37),0)</f>
        <v/>
      </c>
    </row>
    <row r="32">
      <c r="B32">
        <f>'By Round'!A31</f>
        <v/>
      </c>
      <c r="C32">
        <f>'By Round'!B31</f>
        <v/>
      </c>
      <c r="D32">
        <f>'By Round'!C31</f>
        <v/>
      </c>
      <c r="E32">
        <f>'By Round'!D31</f>
        <v/>
      </c>
      <c r="F32" s="11" t="inlineStr">
        <is>
          <t>NS</t>
        </is>
      </c>
      <c r="G32">
        <f>IF(ISBLANK('By Round'!G31),"",'By Round'!G31)</f>
        <v/>
      </c>
      <c r="H32">
        <f>IF(ISBLANK('By Round'!H31),"",'By Round'!H31)</f>
        <v/>
      </c>
      <c r="I32">
        <f>IF(ISBLANK('By Round'!I31),"",'By Round'!I31)</f>
        <v/>
      </c>
      <c r="J32">
        <f>IF(ISBLANK('By Round'!J31),"",'By Round'!J31)</f>
        <v/>
      </c>
      <c r="K32">
        <f>IF(ISBLANK('By Round'!K31),"",'By Round'!K31)</f>
        <v/>
      </c>
      <c r="L32" s="12">
        <f>SUM(AF32:AK32)</f>
        <v/>
      </c>
      <c r="M32" s="13">
        <f>SUM(AL32:AQ32)</f>
        <v/>
      </c>
      <c r="N32" s="8">
        <f>IF(COUNT(T32:Y32)&gt;0,P32/COUNT(T32:Y32),0.5)</f>
        <v/>
      </c>
      <c r="O32" s="8">
        <f>IF(COUNT(Z32:AE32)&gt;0,Q32/COUNT(Z32:AE32),0.5)</f>
        <v/>
      </c>
      <c r="P32" s="5">
        <f>SUM(T32:Y32)</f>
        <v/>
      </c>
      <c r="Q32" s="5">
        <f>SUM(Z32:AE32)</f>
        <v/>
      </c>
      <c r="R32" s="14">
        <f>IF(ISNUMBER(J32),J32,IF(ISNUMBER(K32),-K32,""))</f>
        <v/>
      </c>
      <c r="S32">
        <f>IF(ISNUMBER(K32),K32,IF(ISNUMBER(J32),-J32,""))</f>
        <v/>
      </c>
      <c r="T32" s="14">
        <f>IF(ISNUMBER(R32),IF(ISNUMBER(R31),IF(R32&gt;R31,1.0,IF(R32=R31,0.5,0.0)),""),"")</f>
        <v/>
      </c>
      <c r="U32">
        <f>IF(ISNUMBER(R32),IF(ISNUMBER(R33),IF(R32&gt;R33,1.0,IF(R32=R33,0.5,0.0)),""),"")</f>
        <v/>
      </c>
      <c r="V32">
        <f>IF(ISNUMBER(R32),IF(ISNUMBER(R34),IF(R32&gt;R34,1.0,IF(R32=R34,0.5,0.0)),""),"")</f>
        <v/>
      </c>
      <c r="W32">
        <f>IF(ISNUMBER(R32),IF(ISNUMBER(R35),IF(R32&gt;R35,1.0,IF(R32=R35,0.5,0.0)),""),"")</f>
        <v/>
      </c>
      <c r="X32">
        <f>IF(ISNUMBER(R32),IF(ISNUMBER(R36),IF(R32&gt;R36,1.0,IF(R32=R36,0.5,0.0)),""),"")</f>
        <v/>
      </c>
      <c r="Y32">
        <f>IF(ISNUMBER(R32),IF(ISNUMBER(R37),IF(R32&gt;R37,1.0,IF(R32=R37,0.5,0.0)),""),"")</f>
        <v/>
      </c>
      <c r="Z32">
        <f>IF(ISNUMBER(S32),IF(ISNUMBER(S31),IF(S32&gt;S31,1.0,IF(S32=S31,0.5,0.0)),""),"")</f>
        <v/>
      </c>
      <c r="AA32">
        <f>IF(ISNUMBER(S32),IF(ISNUMBER(S33),IF(S32&gt;S33,1.0,IF(S32=S33,0.5,0.0)),""),"")</f>
        <v/>
      </c>
      <c r="AB32">
        <f>IF(ISNUMBER(S32),IF(ISNUMBER(S34),IF(S32&gt;S34,1.0,IF(S32=S34,0.5,0.0)),""),"")</f>
        <v/>
      </c>
      <c r="AC32">
        <f>IF(ISNUMBER(S32),IF(ISNUMBER(S35),IF(S32&gt;S35,1.0,IF(S32=S35,0.5,0.0)),""),"")</f>
        <v/>
      </c>
      <c r="AD32">
        <f>IF(ISNUMBER(S32),IF(ISNUMBER(S36),IF(S32&gt;S36,1.0,IF(S32=S36,0.5,0.0)),""),"")</f>
        <v/>
      </c>
      <c r="AE32">
        <f>IF(ISNUMBER(S32),IF(ISNUMBER(S37),IF(S32&gt;S37,1.0,IF(S32=S37,0.5,0.0)),""),"")</f>
        <v/>
      </c>
      <c r="AF32" s="14">
        <f>IF(AND(ISNUMBER(R32),ISNUMBER(R31)),VLOOKUP(ABS(R32-R31),'IMP Table'!$A$2:$C$26,3)*SIGN(R32-R31),0)</f>
        <v/>
      </c>
      <c r="AG32">
        <f>IF(AND(ISNUMBER(R32),ISNUMBER(R33)),VLOOKUP(ABS(R32-R33),'IMP Table'!$A$2:$C$26,3)*SIGN(R32-R33),0)</f>
        <v/>
      </c>
      <c r="AH32">
        <f>IF(AND(ISNUMBER(R32),ISNUMBER(R34)),VLOOKUP(ABS(R32-R34),'IMP Table'!$A$2:$C$26,3)*SIGN(R32-R34),0)</f>
        <v/>
      </c>
      <c r="AI32">
        <f>IF(AND(ISNUMBER(R32),ISNUMBER(R35)),VLOOKUP(ABS(R32-R35),'IMP Table'!$A$2:$C$26,3)*SIGN(R32-R35),0)</f>
        <v/>
      </c>
      <c r="AJ32">
        <f>IF(AND(ISNUMBER(R32),ISNUMBER(R36)),VLOOKUP(ABS(R32-R36),'IMP Table'!$A$2:$C$26,3)*SIGN(R32-R36),0)</f>
        <v/>
      </c>
      <c r="AK32">
        <f>IF(AND(ISNUMBER(R32),ISNUMBER(R37)),VLOOKUP(ABS(R32-R37),'IMP Table'!$A$2:$C$26,3)*SIGN(R32-R37),0)</f>
        <v/>
      </c>
      <c r="AL32">
        <f>IF(AND(ISNUMBER(S32),ISNUMBER(S31)),VLOOKUP(ABS(S32-S31),'IMP Table'!$A$2:$C$26,3)*SIGN(S32-S31),0)</f>
        <v/>
      </c>
      <c r="AM32">
        <f>IF(AND(ISNUMBER(S32),ISNUMBER(S33)),VLOOKUP(ABS(S32-S33),'IMP Table'!$A$2:$C$26,3)*SIGN(S32-S33),0)</f>
        <v/>
      </c>
      <c r="AN32">
        <f>IF(AND(ISNUMBER(S32),ISNUMBER(S34)),VLOOKUP(ABS(S32-S34),'IMP Table'!$A$2:$C$26,3)*SIGN(S32-S34),0)</f>
        <v/>
      </c>
      <c r="AO32">
        <f>IF(AND(ISNUMBER(S32),ISNUMBER(S35)),VLOOKUP(ABS(S32-S35),'IMP Table'!$A$2:$C$26,3)*SIGN(S32-S35),0)</f>
        <v/>
      </c>
      <c r="AP32">
        <f>IF(AND(ISNUMBER(S32),ISNUMBER(S36)),VLOOKUP(ABS(S32-S36),'IMP Table'!$A$2:$C$26,3)*SIGN(S32-S36),0)</f>
        <v/>
      </c>
      <c r="AQ32">
        <f>IF(AND(ISNUMBER(S32),ISNUMBER(S37)),VLOOKUP(ABS(S32-S37),'IMP Table'!$A$2:$C$26,3)*SIGN(S32-S37),0)</f>
        <v/>
      </c>
    </row>
    <row r="33">
      <c r="B33">
        <f>'By Round'!A59</f>
        <v/>
      </c>
      <c r="C33">
        <f>'By Round'!B71</f>
        <v/>
      </c>
      <c r="D33">
        <f>'By Round'!C71</f>
        <v/>
      </c>
      <c r="E33">
        <f>'By Round'!D71</f>
        <v/>
      </c>
      <c r="F33" s="11" t="inlineStr">
        <is>
          <t>NS</t>
        </is>
      </c>
      <c r="G33">
        <f>IF(ISBLANK('By Round'!G71),"",'By Round'!G71)</f>
        <v/>
      </c>
      <c r="H33">
        <f>IF(ISBLANK('By Round'!H71),"",'By Round'!H71)</f>
        <v/>
      </c>
      <c r="I33">
        <f>IF(ISBLANK('By Round'!I71),"",'By Round'!I71)</f>
        <v/>
      </c>
      <c r="J33">
        <f>IF(ISBLANK('By Round'!J71),"",'By Round'!J71)</f>
        <v/>
      </c>
      <c r="K33">
        <f>IF(ISBLANK('By Round'!K71),"",'By Round'!K71)</f>
        <v/>
      </c>
      <c r="L33" s="12">
        <f>SUM(AF33:AK33)</f>
        <v/>
      </c>
      <c r="M33" s="13">
        <f>SUM(AL33:AQ33)</f>
        <v/>
      </c>
      <c r="N33" s="8">
        <f>IF(COUNT(T33:Y33)&gt;0,P33/COUNT(T33:Y33),0.5)</f>
        <v/>
      </c>
      <c r="O33" s="8">
        <f>IF(COUNT(Z33:AE33)&gt;0,Q33/COUNT(Z33:AE33),0.5)</f>
        <v/>
      </c>
      <c r="P33" s="5">
        <f>SUM(T33:Y33)</f>
        <v/>
      </c>
      <c r="Q33" s="5">
        <f>SUM(Z33:AE33)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IF(ISNUMBER(R33),IF(ISNUMBER(R31),IF(R33&gt;R31,1.0,IF(R33=R31,0.5,0.0)),""),"")</f>
        <v/>
      </c>
      <c r="U33">
        <f>IF(ISNUMBER(R33),IF(ISNUMBER(R32),IF(R33&gt;R32,1.0,IF(R33=R32,0.5,0.0)),""),"")</f>
        <v/>
      </c>
      <c r="V33">
        <f>IF(ISNUMBER(R33),IF(ISNUMBER(R34),IF(R33&gt;R34,1.0,IF(R33=R34,0.5,0.0)),""),"")</f>
        <v/>
      </c>
      <c r="W33">
        <f>IF(ISNUMBER(R33),IF(ISNUMBER(R35),IF(R33&gt;R35,1.0,IF(R33=R35,0.5,0.0)),""),"")</f>
        <v/>
      </c>
      <c r="X33">
        <f>IF(ISNUMBER(R33),IF(ISNUMBER(R36),IF(R33&gt;R36,1.0,IF(R33=R36,0.5,0.0)),""),"")</f>
        <v/>
      </c>
      <c r="Y33">
        <f>IF(ISNUMBER(R33),IF(ISNUMBER(R37),IF(R33&gt;R37,1.0,IF(R33=R37,0.5,0.0)),""),"")</f>
        <v/>
      </c>
      <c r="Z33">
        <f>IF(ISNUMBER(S33),IF(ISNUMBER(S31),IF(S33&gt;S31,1.0,IF(S33=S31,0.5,0.0)),""),"")</f>
        <v/>
      </c>
      <c r="AA33">
        <f>IF(ISNUMBER(S33),IF(ISNUMBER(S32),IF(S33&gt;S32,1.0,IF(S33=S32,0.5,0.0)),""),"")</f>
        <v/>
      </c>
      <c r="AB33">
        <f>IF(ISNUMBER(S33),IF(ISNUMBER(S34),IF(S33&gt;S34,1.0,IF(S33=S34,0.5,0.0)),""),"")</f>
        <v/>
      </c>
      <c r="AC33">
        <f>IF(ISNUMBER(S33),IF(ISNUMBER(S35),IF(S33&gt;S35,1.0,IF(S33=S35,0.5,0.0)),""),"")</f>
        <v/>
      </c>
      <c r="AD33">
        <f>IF(ISNUMBER(S33),IF(ISNUMBER(S36),IF(S33&gt;S36,1.0,IF(S33=S36,0.5,0.0)),""),"")</f>
        <v/>
      </c>
      <c r="AE33">
        <f>IF(ISNUMBER(S33),IF(ISNUMBER(S37),IF(S33&gt;S37,1.0,IF(S33=S37,0.5,0.0)),""),"")</f>
        <v/>
      </c>
      <c r="AF33" s="14">
        <f>IF(AND(ISNUMBER(R33),ISNUMBER(R31)),VLOOKUP(ABS(R33-R31),'IMP Table'!$A$2:$C$26,3)*SIGN(R33-R31),0)</f>
        <v/>
      </c>
      <c r="AG33">
        <f>IF(AND(ISNUMBER(R33),ISNUMBER(R32)),VLOOKUP(ABS(R33-R32),'IMP Table'!$A$2:$C$26,3)*SIGN(R33-R32),0)</f>
        <v/>
      </c>
      <c r="AH33">
        <f>IF(AND(ISNUMBER(R33),ISNUMBER(R34)),VLOOKUP(ABS(R33-R34),'IMP Table'!$A$2:$C$26,3)*SIGN(R33-R34),0)</f>
        <v/>
      </c>
      <c r="AI33">
        <f>IF(AND(ISNUMBER(R33),ISNUMBER(R35)),VLOOKUP(ABS(R33-R35),'IMP Table'!$A$2:$C$26,3)*SIGN(R33-R35),0)</f>
        <v/>
      </c>
      <c r="AJ33">
        <f>IF(AND(ISNUMBER(R33),ISNUMBER(R36)),VLOOKUP(ABS(R33-R36),'IMP Table'!$A$2:$C$26,3)*SIGN(R33-R36),0)</f>
        <v/>
      </c>
      <c r="AK33">
        <f>IF(AND(ISNUMBER(R33),ISNUMBER(R37)),VLOOKUP(ABS(R33-R37),'IMP Table'!$A$2:$C$26,3)*SIGN(R33-R37),0)</f>
        <v/>
      </c>
      <c r="AL33">
        <f>IF(AND(ISNUMBER(S33),ISNUMBER(S31)),VLOOKUP(ABS(S33-S31),'IMP Table'!$A$2:$C$26,3)*SIGN(S33-S31),0)</f>
        <v/>
      </c>
      <c r="AM33">
        <f>IF(AND(ISNUMBER(S33),ISNUMBER(S32)),VLOOKUP(ABS(S33-S32),'IMP Table'!$A$2:$C$26,3)*SIGN(S33-S32),0)</f>
        <v/>
      </c>
      <c r="AN33">
        <f>IF(AND(ISNUMBER(S33),ISNUMBER(S34)),VLOOKUP(ABS(S33-S34),'IMP Table'!$A$2:$C$26,3)*SIGN(S33-S34),0)</f>
        <v/>
      </c>
      <c r="AO33">
        <f>IF(AND(ISNUMBER(S33),ISNUMBER(S35)),VLOOKUP(ABS(S33-S35),'IMP Table'!$A$2:$C$26,3)*SIGN(S33-S35),0)</f>
        <v/>
      </c>
      <c r="AP33">
        <f>IF(AND(ISNUMBER(S33),ISNUMBER(S36)),VLOOKUP(ABS(S33-S36),'IMP Table'!$A$2:$C$26,3)*SIGN(S33-S36),0)</f>
        <v/>
      </c>
      <c r="AQ33">
        <f>IF(AND(ISNUMBER(S33),ISNUMBER(S37)),VLOOKUP(ABS(S33-S37),'IMP Table'!$A$2:$C$26,3)*SIGN(S33-S37),0)</f>
        <v/>
      </c>
    </row>
    <row r="34">
      <c r="B34">
        <f>'By Round'!A73</f>
        <v/>
      </c>
      <c r="C34">
        <f>'By Round'!B83</f>
        <v/>
      </c>
      <c r="D34">
        <f>'By Round'!C83</f>
        <v/>
      </c>
      <c r="E34">
        <f>'By Round'!D83</f>
        <v/>
      </c>
      <c r="F34" s="11" t="inlineStr">
        <is>
          <t>NS</t>
        </is>
      </c>
      <c r="G34">
        <f>IF(ISBLANK('By Round'!G83),"",'By Round'!G83)</f>
        <v/>
      </c>
      <c r="H34">
        <f>IF(ISBLANK('By Round'!H83),"",'By Round'!H83)</f>
        <v/>
      </c>
      <c r="I34">
        <f>IF(ISBLANK('By Round'!I83),"",'By Round'!I83)</f>
        <v/>
      </c>
      <c r="J34">
        <f>IF(ISBLANK('By Round'!J83),"",'By Round'!J83)</f>
        <v/>
      </c>
      <c r="K34">
        <f>IF(ISBLANK('By Round'!K83),"",'By Round'!K83)</f>
        <v/>
      </c>
      <c r="L34" s="12">
        <f>SUM(AF34:AK34)</f>
        <v/>
      </c>
      <c r="M34" s="13">
        <f>SUM(AL34:AQ34)</f>
        <v/>
      </c>
      <c r="N34" s="8">
        <f>IF(COUNT(T34:Y34)&gt;0,P34/COUNT(T34:Y34),0.5)</f>
        <v/>
      </c>
      <c r="O34" s="8">
        <f>IF(COUNT(Z34:AE34)&gt;0,Q34/COUNT(Z34:AE34),0.5)</f>
        <v/>
      </c>
      <c r="P34" s="5">
        <f>SUM(T34:Y34)</f>
        <v/>
      </c>
      <c r="Q34" s="5">
        <f>SUM(Z34:AE34)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IF(ISNUMBER(R34),IF(ISNUMBER(R31),IF(R34&gt;R31,1.0,IF(R34=R31,0.5,0.0)),""),"")</f>
        <v/>
      </c>
      <c r="U34">
        <f>IF(ISNUMBER(R34),IF(ISNUMBER(R32),IF(R34&gt;R32,1.0,IF(R34=R32,0.5,0.0)),""),"")</f>
        <v/>
      </c>
      <c r="V34">
        <f>IF(ISNUMBER(R34),IF(ISNUMBER(R33),IF(R34&gt;R33,1.0,IF(R34=R33,0.5,0.0)),""),"")</f>
        <v/>
      </c>
      <c r="W34">
        <f>IF(ISNUMBER(R34),IF(ISNUMBER(R35),IF(R34&gt;R35,1.0,IF(R34=R35,0.5,0.0)),""),"")</f>
        <v/>
      </c>
      <c r="X34">
        <f>IF(ISNUMBER(R34),IF(ISNUMBER(R36),IF(R34&gt;R36,1.0,IF(R34=R36,0.5,0.0)),""),"")</f>
        <v/>
      </c>
      <c r="Y34">
        <f>IF(ISNUMBER(R34),IF(ISNUMBER(R37),IF(R34&gt;R37,1.0,IF(R34=R37,0.5,0.0)),""),"")</f>
        <v/>
      </c>
      <c r="Z34">
        <f>IF(ISNUMBER(S34),IF(ISNUMBER(S31),IF(S34&gt;S31,1.0,IF(S34=S31,0.5,0.0)),""),"")</f>
        <v/>
      </c>
      <c r="AA34">
        <f>IF(ISNUMBER(S34),IF(ISNUMBER(S32),IF(S34&gt;S32,1.0,IF(S34=S32,0.5,0.0)),""),"")</f>
        <v/>
      </c>
      <c r="AB34">
        <f>IF(ISNUMBER(S34),IF(ISNUMBER(S33),IF(S34&gt;S33,1.0,IF(S34=S33,0.5,0.0)),""),"")</f>
        <v/>
      </c>
      <c r="AC34">
        <f>IF(ISNUMBER(S34),IF(ISNUMBER(S35),IF(S34&gt;S35,1.0,IF(S34=S35,0.5,0.0)),""),"")</f>
        <v/>
      </c>
      <c r="AD34">
        <f>IF(ISNUMBER(S34),IF(ISNUMBER(S36),IF(S34&gt;S36,1.0,IF(S34=S36,0.5,0.0)),""),"")</f>
        <v/>
      </c>
      <c r="AE34">
        <f>IF(ISNUMBER(S34),IF(ISNUMBER(S37),IF(S34&gt;S37,1.0,IF(S34=S37,0.5,0.0)),""),"")</f>
        <v/>
      </c>
      <c r="AF34" s="14">
        <f>IF(AND(ISNUMBER(R34),ISNUMBER(R31)),VLOOKUP(ABS(R34-R31),'IMP Table'!$A$2:$C$26,3)*SIGN(R34-R31),0)</f>
        <v/>
      </c>
      <c r="AG34">
        <f>IF(AND(ISNUMBER(R34),ISNUMBER(R32)),VLOOKUP(ABS(R34-R32),'IMP Table'!$A$2:$C$26,3)*SIGN(R34-R32),0)</f>
        <v/>
      </c>
      <c r="AH34">
        <f>IF(AND(ISNUMBER(R34),ISNUMBER(R33)),VLOOKUP(ABS(R34-R33),'IMP Table'!$A$2:$C$26,3)*SIGN(R34-R33),0)</f>
        <v/>
      </c>
      <c r="AI34">
        <f>IF(AND(ISNUMBER(R34),ISNUMBER(R35)),VLOOKUP(ABS(R34-R35),'IMP Table'!$A$2:$C$26,3)*SIGN(R34-R35),0)</f>
        <v/>
      </c>
      <c r="AJ34">
        <f>IF(AND(ISNUMBER(R34),ISNUMBER(R36)),VLOOKUP(ABS(R34-R36),'IMP Table'!$A$2:$C$26,3)*SIGN(R34-R36),0)</f>
        <v/>
      </c>
      <c r="AK34">
        <f>IF(AND(ISNUMBER(R34),ISNUMBER(R37)),VLOOKUP(ABS(R34-R37),'IMP Table'!$A$2:$C$26,3)*SIGN(R34-R37),0)</f>
        <v/>
      </c>
      <c r="AL34">
        <f>IF(AND(ISNUMBER(S34),ISNUMBER(S31)),VLOOKUP(ABS(S34-S31),'IMP Table'!$A$2:$C$26,3)*SIGN(S34-S31),0)</f>
        <v/>
      </c>
      <c r="AM34">
        <f>IF(AND(ISNUMBER(S34),ISNUMBER(S32)),VLOOKUP(ABS(S34-S32),'IMP Table'!$A$2:$C$26,3)*SIGN(S34-S32),0)</f>
        <v/>
      </c>
      <c r="AN34">
        <f>IF(AND(ISNUMBER(S34),ISNUMBER(S33)),VLOOKUP(ABS(S34-S33),'IMP Table'!$A$2:$C$26,3)*SIGN(S34-S33),0)</f>
        <v/>
      </c>
      <c r="AO34">
        <f>IF(AND(ISNUMBER(S34),ISNUMBER(S35)),VLOOKUP(ABS(S34-S35),'IMP Table'!$A$2:$C$26,3)*SIGN(S34-S35),0)</f>
        <v/>
      </c>
      <c r="AP34">
        <f>IF(AND(ISNUMBER(S34),ISNUMBER(S36)),VLOOKUP(ABS(S34-S36),'IMP Table'!$A$2:$C$26,3)*SIGN(S34-S36),0)</f>
        <v/>
      </c>
      <c r="AQ34">
        <f>IF(AND(ISNUMBER(S34),ISNUMBER(S37)),VLOOKUP(ABS(S34-S37),'IMP Table'!$A$2:$C$26,3)*SIGN(S34-S37),0)</f>
        <v/>
      </c>
    </row>
    <row r="35">
      <c r="B35">
        <f>'By Round'!A87</f>
        <v/>
      </c>
      <c r="C35">
        <f>'By Round'!B95</f>
        <v/>
      </c>
      <c r="D35">
        <f>'By Round'!C95</f>
        <v/>
      </c>
      <c r="E35">
        <f>'By Round'!D95</f>
        <v/>
      </c>
      <c r="F35" s="11" t="inlineStr">
        <is>
          <t>NS</t>
        </is>
      </c>
      <c r="G35">
        <f>IF(ISBLANK('By Round'!G95),"",'By Round'!G95)</f>
        <v/>
      </c>
      <c r="H35">
        <f>IF(ISBLANK('By Round'!H95),"",'By Round'!H95)</f>
        <v/>
      </c>
      <c r="I35">
        <f>IF(ISBLANK('By Round'!I95),"",'By Round'!I95)</f>
        <v/>
      </c>
      <c r="J35">
        <f>IF(ISBLANK('By Round'!J95),"",'By Round'!J95)</f>
        <v/>
      </c>
      <c r="K35">
        <f>IF(ISBLANK('By Round'!K95),"",'By Round'!K95)</f>
        <v/>
      </c>
      <c r="L35" s="12">
        <f>SUM(AF35:AK35)</f>
        <v/>
      </c>
      <c r="M35" s="13">
        <f>SUM(AL35:AQ35)</f>
        <v/>
      </c>
      <c r="N35" s="8">
        <f>IF(COUNT(T35:Y35)&gt;0,P35/COUNT(T35:Y35),0.5)</f>
        <v/>
      </c>
      <c r="O35" s="8">
        <f>IF(COUNT(Z35:AE35)&gt;0,Q35/COUNT(Z35:AE35),0.5)</f>
        <v/>
      </c>
      <c r="P35" s="5">
        <f>SUM(T35:Y35)</f>
        <v/>
      </c>
      <c r="Q35" s="5">
        <f>SUM(Z35:AE35)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IF(ISNUMBER(R35),IF(ISNUMBER(R31),IF(R35&gt;R31,1.0,IF(R35=R31,0.5,0.0)),""),"")</f>
        <v/>
      </c>
      <c r="U35">
        <f>IF(ISNUMBER(R35),IF(ISNUMBER(R32),IF(R35&gt;R32,1.0,IF(R35=R32,0.5,0.0)),""),"")</f>
        <v/>
      </c>
      <c r="V35">
        <f>IF(ISNUMBER(R35),IF(ISNUMBER(R33),IF(R35&gt;R33,1.0,IF(R35=R33,0.5,0.0)),""),"")</f>
        <v/>
      </c>
      <c r="W35">
        <f>IF(ISNUMBER(R35),IF(ISNUMBER(R34),IF(R35&gt;R34,1.0,IF(R35=R34,0.5,0.0)),""),"")</f>
        <v/>
      </c>
      <c r="X35">
        <f>IF(ISNUMBER(R35),IF(ISNUMBER(R36),IF(R35&gt;R36,1.0,IF(R35=R36,0.5,0.0)),""),"")</f>
        <v/>
      </c>
      <c r="Y35">
        <f>IF(ISNUMBER(R35),IF(ISNUMBER(R37),IF(R35&gt;R37,1.0,IF(R35=R37,0.5,0.0)),""),"")</f>
        <v/>
      </c>
      <c r="Z35">
        <f>IF(ISNUMBER(S35),IF(ISNUMBER(S31),IF(S35&gt;S31,1.0,IF(S35=S31,0.5,0.0)),""),"")</f>
        <v/>
      </c>
      <c r="AA35">
        <f>IF(ISNUMBER(S35),IF(ISNUMBER(S32),IF(S35&gt;S32,1.0,IF(S35=S32,0.5,0.0)),""),"")</f>
        <v/>
      </c>
      <c r="AB35">
        <f>IF(ISNUMBER(S35),IF(ISNUMBER(S33),IF(S35&gt;S33,1.0,IF(S35=S33,0.5,0.0)),""),"")</f>
        <v/>
      </c>
      <c r="AC35">
        <f>IF(ISNUMBER(S35),IF(ISNUMBER(S34),IF(S35&gt;S34,1.0,IF(S35=S34,0.5,0.0)),""),"")</f>
        <v/>
      </c>
      <c r="AD35">
        <f>IF(ISNUMBER(S35),IF(ISNUMBER(S36),IF(S35&gt;S36,1.0,IF(S35=S36,0.5,0.0)),""),"")</f>
        <v/>
      </c>
      <c r="AE35">
        <f>IF(ISNUMBER(S35),IF(ISNUMBER(S37),IF(S35&gt;S37,1.0,IF(S35=S37,0.5,0.0)),""),"")</f>
        <v/>
      </c>
      <c r="AF35" s="14">
        <f>IF(AND(ISNUMBER(R35),ISNUMBER(R31)),VLOOKUP(ABS(R35-R31),'IMP Table'!$A$2:$C$26,3)*SIGN(R35-R31),0)</f>
        <v/>
      </c>
      <c r="AG35">
        <f>IF(AND(ISNUMBER(R35),ISNUMBER(R32)),VLOOKUP(ABS(R35-R32),'IMP Table'!$A$2:$C$26,3)*SIGN(R35-R32),0)</f>
        <v/>
      </c>
      <c r="AH35">
        <f>IF(AND(ISNUMBER(R35),ISNUMBER(R33)),VLOOKUP(ABS(R35-R33),'IMP Table'!$A$2:$C$26,3)*SIGN(R35-R33),0)</f>
        <v/>
      </c>
      <c r="AI35">
        <f>IF(AND(ISNUMBER(R35),ISNUMBER(R34)),VLOOKUP(ABS(R35-R34),'IMP Table'!$A$2:$C$26,3)*SIGN(R35-R34),0)</f>
        <v/>
      </c>
      <c r="AJ35">
        <f>IF(AND(ISNUMBER(R35),ISNUMBER(R36)),VLOOKUP(ABS(R35-R36),'IMP Table'!$A$2:$C$26,3)*SIGN(R35-R36),0)</f>
        <v/>
      </c>
      <c r="AK35">
        <f>IF(AND(ISNUMBER(R35),ISNUMBER(R37)),VLOOKUP(ABS(R35-R37),'IMP Table'!$A$2:$C$26,3)*SIGN(R35-R37),0)</f>
        <v/>
      </c>
      <c r="AL35">
        <f>IF(AND(ISNUMBER(S35),ISNUMBER(S31)),VLOOKUP(ABS(S35-S31),'IMP Table'!$A$2:$C$26,3)*SIGN(S35-S31),0)</f>
        <v/>
      </c>
      <c r="AM35">
        <f>IF(AND(ISNUMBER(S35),ISNUMBER(S32)),VLOOKUP(ABS(S35-S32),'IMP Table'!$A$2:$C$26,3)*SIGN(S35-S32),0)</f>
        <v/>
      </c>
      <c r="AN35">
        <f>IF(AND(ISNUMBER(S35),ISNUMBER(S33)),VLOOKUP(ABS(S35-S33),'IMP Table'!$A$2:$C$26,3)*SIGN(S35-S33),0)</f>
        <v/>
      </c>
      <c r="AO35">
        <f>IF(AND(ISNUMBER(S35),ISNUMBER(S34)),VLOOKUP(ABS(S35-S34),'IMP Table'!$A$2:$C$26,3)*SIGN(S35-S34),0)</f>
        <v/>
      </c>
      <c r="AP35">
        <f>IF(AND(ISNUMBER(S35),ISNUMBER(S36)),VLOOKUP(ABS(S35-S36),'IMP Table'!$A$2:$C$26,3)*SIGN(S35-S36),0)</f>
        <v/>
      </c>
      <c r="AQ35">
        <f>IF(AND(ISNUMBER(S35),ISNUMBER(S37)),VLOOKUP(ABS(S35-S37),'IMP Table'!$A$2:$C$26,3)*SIGN(S35-S37),0)</f>
        <v/>
      </c>
    </row>
    <row r="36">
      <c r="B36">
        <f>'By Round'!A157</f>
        <v/>
      </c>
      <c r="C36">
        <f>'By Round'!B163</f>
        <v/>
      </c>
      <c r="D36">
        <f>'By Round'!C163</f>
        <v/>
      </c>
      <c r="E36">
        <f>'By Round'!D163</f>
        <v/>
      </c>
      <c r="F36" s="11" t="inlineStr">
        <is>
          <t>NS</t>
        </is>
      </c>
      <c r="G36">
        <f>IF(ISBLANK('By Round'!G163),"",'By Round'!G163)</f>
        <v/>
      </c>
      <c r="H36">
        <f>IF(ISBLANK('By Round'!H163),"",'By Round'!H163)</f>
        <v/>
      </c>
      <c r="I36">
        <f>IF(ISBLANK('By Round'!I163),"",'By Round'!I163)</f>
        <v/>
      </c>
      <c r="J36">
        <f>IF(ISBLANK('By Round'!J163),"",'By Round'!J163)</f>
        <v/>
      </c>
      <c r="K36">
        <f>IF(ISBLANK('By Round'!K163),"",'By Round'!K163)</f>
        <v/>
      </c>
      <c r="L36" s="12">
        <f>SUM(AF36:AK36)</f>
        <v/>
      </c>
      <c r="M36" s="13">
        <f>SUM(AL36:AQ36)</f>
        <v/>
      </c>
      <c r="N36" s="8">
        <f>IF(COUNT(T36:Y36)&gt;0,P36/COUNT(T36:Y36),0.5)</f>
        <v/>
      </c>
      <c r="O36" s="8">
        <f>IF(COUNT(Z36:AE36)&gt;0,Q36/COUNT(Z36:AE36),0.5)</f>
        <v/>
      </c>
      <c r="P36" s="5">
        <f>SUM(T36:Y36)</f>
        <v/>
      </c>
      <c r="Q36" s="5">
        <f>SUM(Z36:AE36)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IF(ISNUMBER(R36),IF(ISNUMBER(R31),IF(R36&gt;R31,1.0,IF(R36=R31,0.5,0.0)),""),"")</f>
        <v/>
      </c>
      <c r="U36">
        <f>IF(ISNUMBER(R36),IF(ISNUMBER(R32),IF(R36&gt;R32,1.0,IF(R36=R32,0.5,0.0)),""),"")</f>
        <v/>
      </c>
      <c r="V36">
        <f>IF(ISNUMBER(R36),IF(ISNUMBER(R33),IF(R36&gt;R33,1.0,IF(R36=R33,0.5,0.0)),""),"")</f>
        <v/>
      </c>
      <c r="W36">
        <f>IF(ISNUMBER(R36),IF(ISNUMBER(R34),IF(R36&gt;R34,1.0,IF(R36=R34,0.5,0.0)),""),"")</f>
        <v/>
      </c>
      <c r="X36">
        <f>IF(ISNUMBER(R36),IF(ISNUMBER(R35),IF(R36&gt;R35,1.0,IF(R36=R35,0.5,0.0)),""),"")</f>
        <v/>
      </c>
      <c r="Y36">
        <f>IF(ISNUMBER(R36),IF(ISNUMBER(R37),IF(R36&gt;R37,1.0,IF(R36=R37,0.5,0.0)),""),"")</f>
        <v/>
      </c>
      <c r="Z36">
        <f>IF(ISNUMBER(S36),IF(ISNUMBER(S31),IF(S36&gt;S31,1.0,IF(S36=S31,0.5,0.0)),""),"")</f>
        <v/>
      </c>
      <c r="AA36">
        <f>IF(ISNUMBER(S36),IF(ISNUMBER(S32),IF(S36&gt;S32,1.0,IF(S36=S32,0.5,0.0)),""),"")</f>
        <v/>
      </c>
      <c r="AB36">
        <f>IF(ISNUMBER(S36),IF(ISNUMBER(S33),IF(S36&gt;S33,1.0,IF(S36=S33,0.5,0.0)),""),"")</f>
        <v/>
      </c>
      <c r="AC36">
        <f>IF(ISNUMBER(S36),IF(ISNUMBER(S34),IF(S36&gt;S34,1.0,IF(S36=S34,0.5,0.0)),""),"")</f>
        <v/>
      </c>
      <c r="AD36">
        <f>IF(ISNUMBER(S36),IF(ISNUMBER(S35),IF(S36&gt;S35,1.0,IF(S36=S35,0.5,0.0)),""),"")</f>
        <v/>
      </c>
      <c r="AE36">
        <f>IF(ISNUMBER(S36),IF(ISNUMBER(S37),IF(S36&gt;S37,1.0,IF(S36=S37,0.5,0.0)),""),"")</f>
        <v/>
      </c>
      <c r="AF36" s="14">
        <f>IF(AND(ISNUMBER(R36),ISNUMBER(R31)),VLOOKUP(ABS(R36-R31),'IMP Table'!$A$2:$C$26,3)*SIGN(R36-R31),0)</f>
        <v/>
      </c>
      <c r="AG36">
        <f>IF(AND(ISNUMBER(R36),ISNUMBER(R32)),VLOOKUP(ABS(R36-R32),'IMP Table'!$A$2:$C$26,3)*SIGN(R36-R32),0)</f>
        <v/>
      </c>
      <c r="AH36">
        <f>IF(AND(ISNUMBER(R36),ISNUMBER(R33)),VLOOKUP(ABS(R36-R33),'IMP Table'!$A$2:$C$26,3)*SIGN(R36-R33),0)</f>
        <v/>
      </c>
      <c r="AI36">
        <f>IF(AND(ISNUMBER(R36),ISNUMBER(R34)),VLOOKUP(ABS(R36-R34),'IMP Table'!$A$2:$C$26,3)*SIGN(R36-R34),0)</f>
        <v/>
      </c>
      <c r="AJ36">
        <f>IF(AND(ISNUMBER(R36),ISNUMBER(R35)),VLOOKUP(ABS(R36-R35),'IMP Table'!$A$2:$C$26,3)*SIGN(R36-R35),0)</f>
        <v/>
      </c>
      <c r="AK36">
        <f>IF(AND(ISNUMBER(R36),ISNUMBER(R37)),VLOOKUP(ABS(R36-R37),'IMP Table'!$A$2:$C$26,3)*SIGN(R36-R37),0)</f>
        <v/>
      </c>
      <c r="AL36">
        <f>IF(AND(ISNUMBER(S36),ISNUMBER(S31)),VLOOKUP(ABS(S36-S31),'IMP Table'!$A$2:$C$26,3)*SIGN(S36-S31),0)</f>
        <v/>
      </c>
      <c r="AM36">
        <f>IF(AND(ISNUMBER(S36),ISNUMBER(S32)),VLOOKUP(ABS(S36-S32),'IMP Table'!$A$2:$C$26,3)*SIGN(S36-S32),0)</f>
        <v/>
      </c>
      <c r="AN36">
        <f>IF(AND(ISNUMBER(S36),ISNUMBER(S33)),VLOOKUP(ABS(S36-S33),'IMP Table'!$A$2:$C$26,3)*SIGN(S36-S33),0)</f>
        <v/>
      </c>
      <c r="AO36">
        <f>IF(AND(ISNUMBER(S36),ISNUMBER(S34)),VLOOKUP(ABS(S36-S34),'IMP Table'!$A$2:$C$26,3)*SIGN(S36-S34),0)</f>
        <v/>
      </c>
      <c r="AP36">
        <f>IF(AND(ISNUMBER(S36),ISNUMBER(S35)),VLOOKUP(ABS(S36-S35),'IMP Table'!$A$2:$C$26,3)*SIGN(S36-S35),0)</f>
        <v/>
      </c>
      <c r="AQ36">
        <f>IF(AND(ISNUMBER(S36),ISNUMBER(S37)),VLOOKUP(ABS(S36-S37),'IMP Table'!$A$2:$C$26,3)*SIGN(S36-S37),0)</f>
        <v/>
      </c>
    </row>
    <row r="37">
      <c r="A37" s="15" t="n"/>
      <c r="B37" s="15">
        <f>'By Round'!A171</f>
        <v/>
      </c>
      <c r="C37" s="15">
        <f>'By Round'!B175</f>
        <v/>
      </c>
      <c r="D37" s="15">
        <f>'By Round'!C175</f>
        <v/>
      </c>
      <c r="E37" s="15">
        <f>'By Round'!D175</f>
        <v/>
      </c>
      <c r="F37" s="16" t="inlineStr">
        <is>
          <t>NS</t>
        </is>
      </c>
      <c r="G37" s="15">
        <f>IF(ISBLANK('By Round'!G175),"",'By Round'!G175)</f>
        <v/>
      </c>
      <c r="H37" s="15">
        <f>IF(ISBLANK('By Round'!H175),"",'By Round'!H175)</f>
        <v/>
      </c>
      <c r="I37" s="15">
        <f>IF(ISBLANK('By Round'!I175),"",'By Round'!I175)</f>
        <v/>
      </c>
      <c r="J37" s="15">
        <f>IF(ISBLANK('By Round'!J175),"",'By Round'!J175)</f>
        <v/>
      </c>
      <c r="K37" s="15">
        <f>IF(ISBLANK('By Round'!K175),"",'By Round'!K175)</f>
        <v/>
      </c>
      <c r="L37" s="17">
        <f>SUM(AF37:AK37)</f>
        <v/>
      </c>
      <c r="M37" s="18">
        <f>SUM(AL37:AQ37)</f>
        <v/>
      </c>
      <c r="N37" s="19">
        <f>IF(COUNT(T37:Y37)&gt;0,P37/COUNT(T37:Y37),0.5)</f>
        <v/>
      </c>
      <c r="O37" s="19">
        <f>IF(COUNT(Z37:AE37)&gt;0,Q37/COUNT(Z37:AE37),0.5)</f>
        <v/>
      </c>
      <c r="P37" s="20">
        <f>SUM(T37:Y37)</f>
        <v/>
      </c>
      <c r="Q37" s="20">
        <f>SUM(Z37:AE37)</f>
        <v/>
      </c>
      <c r="R37" s="21">
        <f>IF(ISNUMBER(J37),J37,IF(ISNUMBER(K37),-K37,""))</f>
        <v/>
      </c>
      <c r="S37" s="15">
        <f>IF(ISNUMBER(K37),K37,IF(ISNUMBER(J37),-J37,""))</f>
        <v/>
      </c>
      <c r="T37" s="21">
        <f>IF(ISNUMBER(R37),IF(ISNUMBER(R31),IF(R37&gt;R31,1.0,IF(R37=R31,0.5,0.0)),""),"")</f>
        <v/>
      </c>
      <c r="U37" s="15">
        <f>IF(ISNUMBER(R37),IF(ISNUMBER(R32),IF(R37&gt;R32,1.0,IF(R37=R32,0.5,0.0)),""),"")</f>
        <v/>
      </c>
      <c r="V37" s="15">
        <f>IF(ISNUMBER(R37),IF(ISNUMBER(R33),IF(R37&gt;R33,1.0,IF(R37=R33,0.5,0.0)),""),"")</f>
        <v/>
      </c>
      <c r="W37" s="15">
        <f>IF(ISNUMBER(R37),IF(ISNUMBER(R34),IF(R37&gt;R34,1.0,IF(R37=R34,0.5,0.0)),""),"")</f>
        <v/>
      </c>
      <c r="X37" s="15">
        <f>IF(ISNUMBER(R37),IF(ISNUMBER(R35),IF(R37&gt;R35,1.0,IF(R37=R35,0.5,0.0)),""),"")</f>
        <v/>
      </c>
      <c r="Y37" s="15">
        <f>IF(ISNUMBER(R37),IF(ISNUMBER(R36),IF(R37&gt;R36,1.0,IF(R37=R36,0.5,0.0)),""),"")</f>
        <v/>
      </c>
      <c r="Z37" s="15">
        <f>IF(ISNUMBER(S37),IF(ISNUMBER(S31),IF(S37&gt;S31,1.0,IF(S37=S31,0.5,0.0)),""),"")</f>
        <v/>
      </c>
      <c r="AA37" s="15">
        <f>IF(ISNUMBER(S37),IF(ISNUMBER(S32),IF(S37&gt;S32,1.0,IF(S37=S32,0.5,0.0)),""),"")</f>
        <v/>
      </c>
      <c r="AB37" s="15">
        <f>IF(ISNUMBER(S37),IF(ISNUMBER(S33),IF(S37&gt;S33,1.0,IF(S37=S33,0.5,0.0)),""),"")</f>
        <v/>
      </c>
      <c r="AC37" s="15">
        <f>IF(ISNUMBER(S37),IF(ISNUMBER(S34),IF(S37&gt;S34,1.0,IF(S37=S34,0.5,0.0)),""),"")</f>
        <v/>
      </c>
      <c r="AD37" s="15">
        <f>IF(ISNUMBER(S37),IF(ISNUMBER(S35),IF(S37&gt;S35,1.0,IF(S37=S35,0.5,0.0)),""),"")</f>
        <v/>
      </c>
      <c r="AE37" s="15">
        <f>IF(ISNUMBER(S37),IF(ISNUMBER(S36),IF(S37&gt;S36,1.0,IF(S37=S36,0.5,0.0)),""),"")</f>
        <v/>
      </c>
      <c r="AF37" s="21">
        <f>IF(AND(ISNUMBER(R37),ISNUMBER(R31)),VLOOKUP(ABS(R37-R31),'IMP Table'!$A$2:$C$26,3)*SIGN(R37-R31),0)</f>
        <v/>
      </c>
      <c r="AG37" s="15">
        <f>IF(AND(ISNUMBER(R37),ISNUMBER(R32)),VLOOKUP(ABS(R37-R32),'IMP Table'!$A$2:$C$26,3)*SIGN(R37-R32),0)</f>
        <v/>
      </c>
      <c r="AH37" s="15">
        <f>IF(AND(ISNUMBER(R37),ISNUMBER(R33)),VLOOKUP(ABS(R37-R33),'IMP Table'!$A$2:$C$26,3)*SIGN(R37-R33),0)</f>
        <v/>
      </c>
      <c r="AI37" s="15">
        <f>IF(AND(ISNUMBER(R37),ISNUMBER(R34)),VLOOKUP(ABS(R37-R34),'IMP Table'!$A$2:$C$26,3)*SIGN(R37-R34),0)</f>
        <v/>
      </c>
      <c r="AJ37" s="15">
        <f>IF(AND(ISNUMBER(R37),ISNUMBER(R35)),VLOOKUP(ABS(R37-R35),'IMP Table'!$A$2:$C$26,3)*SIGN(R37-R35),0)</f>
        <v/>
      </c>
      <c r="AK37" s="15">
        <f>IF(AND(ISNUMBER(R37),ISNUMBER(R36)),VLOOKUP(ABS(R37-R36),'IMP Table'!$A$2:$C$26,3)*SIGN(R37-R36),0)</f>
        <v/>
      </c>
      <c r="AL37" s="15">
        <f>IF(AND(ISNUMBER(S37),ISNUMBER(S31)),VLOOKUP(ABS(S37-S31),'IMP Table'!$A$2:$C$26,3)*SIGN(S37-S31),0)</f>
        <v/>
      </c>
      <c r="AM37" s="15">
        <f>IF(AND(ISNUMBER(S37),ISNUMBER(S32)),VLOOKUP(ABS(S37-S32),'IMP Table'!$A$2:$C$26,3)*SIGN(S37-S32),0)</f>
        <v/>
      </c>
      <c r="AN37" s="15">
        <f>IF(AND(ISNUMBER(S37),ISNUMBER(S33)),VLOOKUP(ABS(S37-S33),'IMP Table'!$A$2:$C$26,3)*SIGN(S37-S33),0)</f>
        <v/>
      </c>
      <c r="AO37" s="15">
        <f>IF(AND(ISNUMBER(S37),ISNUMBER(S34)),VLOOKUP(ABS(S37-S34),'IMP Table'!$A$2:$C$26,3)*SIGN(S37-S34),0)</f>
        <v/>
      </c>
      <c r="AP37" s="15">
        <f>IF(AND(ISNUMBER(S37),ISNUMBER(S35)),VLOOKUP(ABS(S37-S35),'IMP Table'!$A$2:$C$26,3)*SIGN(S37-S35),0)</f>
        <v/>
      </c>
      <c r="AQ37" s="15">
        <f>IF(AND(ISNUMBER(S37),ISNUMBER(S36)),VLOOKUP(ABS(S37-S36),'IMP Table'!$A$2:$C$26,3)*SIGN(S37-S36),0)</f>
        <v/>
      </c>
    </row>
    <row r="38">
      <c r="A38" t="n">
        <v>6</v>
      </c>
      <c r="B38">
        <f>'By Round'!A3</f>
        <v/>
      </c>
      <c r="C38">
        <f>'By Round'!B5</f>
        <v/>
      </c>
      <c r="D38">
        <f>'By Round'!C5</f>
        <v/>
      </c>
      <c r="E38">
        <f>'By Round'!D5</f>
        <v/>
      </c>
      <c r="F38" s="11" t="inlineStr">
        <is>
          <t>EW</t>
        </is>
      </c>
      <c r="G38">
        <f>IF(ISBLANK('By Round'!G5),"",'By Round'!G5)</f>
        <v/>
      </c>
      <c r="H38">
        <f>IF(ISBLANK('By Round'!H5),"",'By Round'!H5)</f>
        <v/>
      </c>
      <c r="I38">
        <f>IF(ISBLANK('By Round'!I5),"",'By Round'!I5)</f>
        <v/>
      </c>
      <c r="J38">
        <f>IF(ISBLANK('By Round'!J5),"",'By Round'!J5)</f>
        <v/>
      </c>
      <c r="K38">
        <f>IF(ISBLANK('By Round'!K5),"",'By Round'!K5)</f>
        <v/>
      </c>
      <c r="L38" s="12">
        <f>SUM(AF38:AK38)</f>
        <v/>
      </c>
      <c r="M38" s="13">
        <f>SUM(AL38:AQ38)</f>
        <v/>
      </c>
      <c r="N38" s="8">
        <f>IF(COUNT(T38:Y38)&gt;0,P38/COUNT(T38:Y38),0.5)</f>
        <v/>
      </c>
      <c r="O38" s="8">
        <f>IF(COUNT(Z38:AE38)&gt;0,Q38/COUNT(Z38:AE38),0.5)</f>
        <v/>
      </c>
      <c r="P38" s="5">
        <f>SUM(T38:Y38)</f>
        <v/>
      </c>
      <c r="Q38" s="5">
        <f>SUM(Z38:AE38)</f>
        <v/>
      </c>
      <c r="R38" s="14">
        <f>IF(ISNUMBER(J38),J38,IF(ISNUMBER(K38),-K38,""))</f>
        <v/>
      </c>
      <c r="S38">
        <f>IF(ISNUMBER(K38),K38,IF(ISNUMBER(J38),-J38,""))</f>
        <v/>
      </c>
      <c r="T38" s="14">
        <f>IF(ISNUMBER(R38),IF(ISNUMBER(R39),IF(R38&gt;R39,1.0,IF(R38=R39,0.5,0.0)),""),"")</f>
        <v/>
      </c>
      <c r="U38">
        <f>IF(ISNUMBER(R38),IF(ISNUMBER(R40),IF(R38&gt;R40,1.0,IF(R38=R40,0.5,0.0)),""),"")</f>
        <v/>
      </c>
      <c r="V38">
        <f>IF(ISNUMBER(R38),IF(ISNUMBER(R41),IF(R38&gt;R41,1.0,IF(R38=R41,0.5,0.0)),""),"")</f>
        <v/>
      </c>
      <c r="W38">
        <f>IF(ISNUMBER(R38),IF(ISNUMBER(R42),IF(R38&gt;R42,1.0,IF(R38=R42,0.5,0.0)),""),"")</f>
        <v/>
      </c>
      <c r="X38">
        <f>IF(ISNUMBER(R38),IF(ISNUMBER(R43),IF(R38&gt;R43,1.0,IF(R38=R43,0.5,0.0)),""),"")</f>
        <v/>
      </c>
      <c r="Y38">
        <f>IF(ISNUMBER(R38),IF(ISNUMBER(R44),IF(R38&gt;R44,1.0,IF(R38=R44,0.5,0.0)),""),"")</f>
        <v/>
      </c>
      <c r="Z38">
        <f>IF(ISNUMBER(S38),IF(ISNUMBER(S39),IF(S38&gt;S39,1.0,IF(S38=S39,0.5,0.0)),""),"")</f>
        <v/>
      </c>
      <c r="AA38">
        <f>IF(ISNUMBER(S38),IF(ISNUMBER(S40),IF(S38&gt;S40,1.0,IF(S38=S40,0.5,0.0)),""),"")</f>
        <v/>
      </c>
      <c r="AB38">
        <f>IF(ISNUMBER(S38),IF(ISNUMBER(S41),IF(S38&gt;S41,1.0,IF(S38=S41,0.5,0.0)),""),"")</f>
        <v/>
      </c>
      <c r="AC38">
        <f>IF(ISNUMBER(S38),IF(ISNUMBER(S42),IF(S38&gt;S42,1.0,IF(S38=S42,0.5,0.0)),""),"")</f>
        <v/>
      </c>
      <c r="AD38">
        <f>IF(ISNUMBER(S38),IF(ISNUMBER(S43),IF(S38&gt;S43,1.0,IF(S38=S43,0.5,0.0)),""),"")</f>
        <v/>
      </c>
      <c r="AE38">
        <f>IF(ISNUMBER(S38),IF(ISNUMBER(S44),IF(S38&gt;S44,1.0,IF(S38=S44,0.5,0.0)),""),"")</f>
        <v/>
      </c>
      <c r="AF38" s="14">
        <f>IF(AND(ISNUMBER(R38),ISNUMBER(R39)),VLOOKUP(ABS(R38-R39),'IMP Table'!$A$2:$C$26,3)*SIGN(R38-R39),0)</f>
        <v/>
      </c>
      <c r="AG38">
        <f>IF(AND(ISNUMBER(R38),ISNUMBER(R40)),VLOOKUP(ABS(R38-R40),'IMP Table'!$A$2:$C$26,3)*SIGN(R38-R40),0)</f>
        <v/>
      </c>
      <c r="AH38">
        <f>IF(AND(ISNUMBER(R38),ISNUMBER(R41)),VLOOKUP(ABS(R38-R41),'IMP Table'!$A$2:$C$26,3)*SIGN(R38-R41),0)</f>
        <v/>
      </c>
      <c r="AI38">
        <f>IF(AND(ISNUMBER(R38),ISNUMBER(R42)),VLOOKUP(ABS(R38-R42),'IMP Table'!$A$2:$C$26,3)*SIGN(R38-R42),0)</f>
        <v/>
      </c>
      <c r="AJ38">
        <f>IF(AND(ISNUMBER(R38),ISNUMBER(R43)),VLOOKUP(ABS(R38-R43),'IMP Table'!$A$2:$C$26,3)*SIGN(R38-R43),0)</f>
        <v/>
      </c>
      <c r="AK38">
        <f>IF(AND(ISNUMBER(R38),ISNUMBER(R44)),VLOOKUP(ABS(R38-R44),'IMP Table'!$A$2:$C$26,3)*SIGN(R38-R44),0)</f>
        <v/>
      </c>
      <c r="AL38">
        <f>IF(AND(ISNUMBER(S38),ISNUMBER(S39)),VLOOKUP(ABS(S38-S39),'IMP Table'!$A$2:$C$26,3)*SIGN(S38-S39),0)</f>
        <v/>
      </c>
      <c r="AM38">
        <f>IF(AND(ISNUMBER(S38),ISNUMBER(S40)),VLOOKUP(ABS(S38-S40),'IMP Table'!$A$2:$C$26,3)*SIGN(S38-S40),0)</f>
        <v/>
      </c>
      <c r="AN38">
        <f>IF(AND(ISNUMBER(S38),ISNUMBER(S41)),VLOOKUP(ABS(S38-S41),'IMP Table'!$A$2:$C$26,3)*SIGN(S38-S41),0)</f>
        <v/>
      </c>
      <c r="AO38">
        <f>IF(AND(ISNUMBER(S38),ISNUMBER(S42)),VLOOKUP(ABS(S38-S42),'IMP Table'!$A$2:$C$26,3)*SIGN(S38-S42),0)</f>
        <v/>
      </c>
      <c r="AP38">
        <f>IF(AND(ISNUMBER(S38),ISNUMBER(S43)),VLOOKUP(ABS(S38-S43),'IMP Table'!$A$2:$C$26,3)*SIGN(S38-S43),0)</f>
        <v/>
      </c>
      <c r="AQ38">
        <f>IF(AND(ISNUMBER(S38),ISNUMBER(S44)),VLOOKUP(ABS(S38-S44),'IMP Table'!$A$2:$C$26,3)*SIGN(S38-S44),0)</f>
        <v/>
      </c>
    </row>
    <row r="39">
      <c r="B39">
        <f>'By Round'!A31</f>
        <v/>
      </c>
      <c r="C39">
        <f>'By Round'!B31</f>
        <v/>
      </c>
      <c r="D39">
        <f>'By Round'!C31</f>
        <v/>
      </c>
      <c r="E39">
        <f>'By Round'!D31</f>
        <v/>
      </c>
      <c r="F39" s="11" t="inlineStr">
        <is>
          <t>EW</t>
        </is>
      </c>
      <c r="G39">
        <f>IF(ISBLANK('By Round'!G31),"",'By Round'!G31)</f>
        <v/>
      </c>
      <c r="H39">
        <f>IF(ISBLANK('By Round'!H31),"",'By Round'!H31)</f>
        <v/>
      </c>
      <c r="I39">
        <f>IF(ISBLANK('By Round'!I31),"",'By Round'!I31)</f>
        <v/>
      </c>
      <c r="J39">
        <f>IF(ISBLANK('By Round'!J31),"",'By Round'!J31)</f>
        <v/>
      </c>
      <c r="K39">
        <f>IF(ISBLANK('By Round'!K31),"",'By Round'!K31)</f>
        <v/>
      </c>
      <c r="L39" s="12">
        <f>SUM(AF39:AK39)</f>
        <v/>
      </c>
      <c r="M39" s="13">
        <f>SUM(AL39:AQ39)</f>
        <v/>
      </c>
      <c r="N39" s="8">
        <f>IF(COUNT(T39:Y39)&gt;0,P39/COUNT(T39:Y39),0.5)</f>
        <v/>
      </c>
      <c r="O39" s="8">
        <f>IF(COUNT(Z39:AE39)&gt;0,Q39/COUNT(Z39:AE39),0.5)</f>
        <v/>
      </c>
      <c r="P39" s="5">
        <f>SUM(T39:Y39)</f>
        <v/>
      </c>
      <c r="Q39" s="5">
        <f>SUM(Z39:AE39)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IF(ISNUMBER(R39),IF(ISNUMBER(R38),IF(R39&gt;R38,1.0,IF(R39=R38,0.5,0.0)),""),"")</f>
        <v/>
      </c>
      <c r="U39">
        <f>IF(ISNUMBER(R39),IF(ISNUMBER(R40),IF(R39&gt;R40,1.0,IF(R39=R40,0.5,0.0)),""),"")</f>
        <v/>
      </c>
      <c r="V39">
        <f>IF(ISNUMBER(R39),IF(ISNUMBER(R41),IF(R39&gt;R41,1.0,IF(R39=R41,0.5,0.0)),""),"")</f>
        <v/>
      </c>
      <c r="W39">
        <f>IF(ISNUMBER(R39),IF(ISNUMBER(R42),IF(R39&gt;R42,1.0,IF(R39=R42,0.5,0.0)),""),"")</f>
        <v/>
      </c>
      <c r="X39">
        <f>IF(ISNUMBER(R39),IF(ISNUMBER(R43),IF(R39&gt;R43,1.0,IF(R39=R43,0.5,0.0)),""),"")</f>
        <v/>
      </c>
      <c r="Y39">
        <f>IF(ISNUMBER(R39),IF(ISNUMBER(R44),IF(R39&gt;R44,1.0,IF(R39=R44,0.5,0.0)),""),"")</f>
        <v/>
      </c>
      <c r="Z39">
        <f>IF(ISNUMBER(S39),IF(ISNUMBER(S38),IF(S39&gt;S38,1.0,IF(S39=S38,0.5,0.0)),""),"")</f>
        <v/>
      </c>
      <c r="AA39">
        <f>IF(ISNUMBER(S39),IF(ISNUMBER(S40),IF(S39&gt;S40,1.0,IF(S39=S40,0.5,0.0)),""),"")</f>
        <v/>
      </c>
      <c r="AB39">
        <f>IF(ISNUMBER(S39),IF(ISNUMBER(S41),IF(S39&gt;S41,1.0,IF(S39=S41,0.5,0.0)),""),"")</f>
        <v/>
      </c>
      <c r="AC39">
        <f>IF(ISNUMBER(S39),IF(ISNUMBER(S42),IF(S39&gt;S42,1.0,IF(S39=S42,0.5,0.0)),""),"")</f>
        <v/>
      </c>
      <c r="AD39">
        <f>IF(ISNUMBER(S39),IF(ISNUMBER(S43),IF(S39&gt;S43,1.0,IF(S39=S43,0.5,0.0)),""),"")</f>
        <v/>
      </c>
      <c r="AE39">
        <f>IF(ISNUMBER(S39),IF(ISNUMBER(S44),IF(S39&gt;S44,1.0,IF(S39=S44,0.5,0.0)),""),"")</f>
        <v/>
      </c>
      <c r="AF39" s="14">
        <f>IF(AND(ISNUMBER(R39),ISNUMBER(R38)),VLOOKUP(ABS(R39-R38),'IMP Table'!$A$2:$C$26,3)*SIGN(R39-R38),0)</f>
        <v/>
      </c>
      <c r="AG39">
        <f>IF(AND(ISNUMBER(R39),ISNUMBER(R40)),VLOOKUP(ABS(R39-R40),'IMP Table'!$A$2:$C$26,3)*SIGN(R39-R40),0)</f>
        <v/>
      </c>
      <c r="AH39">
        <f>IF(AND(ISNUMBER(R39),ISNUMBER(R41)),VLOOKUP(ABS(R39-R41),'IMP Table'!$A$2:$C$26,3)*SIGN(R39-R41),0)</f>
        <v/>
      </c>
      <c r="AI39">
        <f>IF(AND(ISNUMBER(R39),ISNUMBER(R42)),VLOOKUP(ABS(R39-R42),'IMP Table'!$A$2:$C$26,3)*SIGN(R39-R42),0)</f>
        <v/>
      </c>
      <c r="AJ39">
        <f>IF(AND(ISNUMBER(R39),ISNUMBER(R43)),VLOOKUP(ABS(R39-R43),'IMP Table'!$A$2:$C$26,3)*SIGN(R39-R43),0)</f>
        <v/>
      </c>
      <c r="AK39">
        <f>IF(AND(ISNUMBER(R39),ISNUMBER(R44)),VLOOKUP(ABS(R39-R44),'IMP Table'!$A$2:$C$26,3)*SIGN(R39-R44),0)</f>
        <v/>
      </c>
      <c r="AL39">
        <f>IF(AND(ISNUMBER(S39),ISNUMBER(S38)),VLOOKUP(ABS(S39-S38),'IMP Table'!$A$2:$C$26,3)*SIGN(S39-S38),0)</f>
        <v/>
      </c>
      <c r="AM39">
        <f>IF(AND(ISNUMBER(S39),ISNUMBER(S40)),VLOOKUP(ABS(S39-S40),'IMP Table'!$A$2:$C$26,3)*SIGN(S39-S40),0)</f>
        <v/>
      </c>
      <c r="AN39">
        <f>IF(AND(ISNUMBER(S39),ISNUMBER(S41)),VLOOKUP(ABS(S39-S41),'IMP Table'!$A$2:$C$26,3)*SIGN(S39-S41),0)</f>
        <v/>
      </c>
      <c r="AO39">
        <f>IF(AND(ISNUMBER(S39),ISNUMBER(S42)),VLOOKUP(ABS(S39-S42),'IMP Table'!$A$2:$C$26,3)*SIGN(S39-S42),0)</f>
        <v/>
      </c>
      <c r="AP39">
        <f>IF(AND(ISNUMBER(S39),ISNUMBER(S43)),VLOOKUP(ABS(S39-S43),'IMP Table'!$A$2:$C$26,3)*SIGN(S39-S43),0)</f>
        <v/>
      </c>
      <c r="AQ39">
        <f>IF(AND(ISNUMBER(S39),ISNUMBER(S44)),VLOOKUP(ABS(S39-S44),'IMP Table'!$A$2:$C$26,3)*SIGN(S39-S44),0)</f>
        <v/>
      </c>
    </row>
    <row r="40">
      <c r="B40">
        <f>'By Round'!A59</f>
        <v/>
      </c>
      <c r="C40">
        <f>'By Round'!B71</f>
        <v/>
      </c>
      <c r="D40">
        <f>'By Round'!C71</f>
        <v/>
      </c>
      <c r="E40">
        <f>'By Round'!D71</f>
        <v/>
      </c>
      <c r="F40" s="11" t="inlineStr">
        <is>
          <t>EW</t>
        </is>
      </c>
      <c r="G40">
        <f>IF(ISBLANK('By Round'!G71),"",'By Round'!G71)</f>
        <v/>
      </c>
      <c r="H40">
        <f>IF(ISBLANK('By Round'!H71),"",'By Round'!H71)</f>
        <v/>
      </c>
      <c r="I40">
        <f>IF(ISBLANK('By Round'!I71),"",'By Round'!I71)</f>
        <v/>
      </c>
      <c r="J40">
        <f>IF(ISBLANK('By Round'!J71),"",'By Round'!J71)</f>
        <v/>
      </c>
      <c r="K40">
        <f>IF(ISBLANK('By Round'!K71),"",'By Round'!K71)</f>
        <v/>
      </c>
      <c r="L40" s="12">
        <f>SUM(AF40:AK40)</f>
        <v/>
      </c>
      <c r="M40" s="13">
        <f>SUM(AL40:AQ40)</f>
        <v/>
      </c>
      <c r="N40" s="8">
        <f>IF(COUNT(T40:Y40)&gt;0,P40/COUNT(T40:Y40),0.5)</f>
        <v/>
      </c>
      <c r="O40" s="8">
        <f>IF(COUNT(Z40:AE40)&gt;0,Q40/COUNT(Z40:AE40),0.5)</f>
        <v/>
      </c>
      <c r="P40" s="5">
        <f>SUM(T40:Y40)</f>
        <v/>
      </c>
      <c r="Q40" s="5">
        <f>SUM(Z40:AE40)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IF(ISNUMBER(R40),IF(ISNUMBER(R38),IF(R40&gt;R38,1.0,IF(R40=R38,0.5,0.0)),""),"")</f>
        <v/>
      </c>
      <c r="U40">
        <f>IF(ISNUMBER(R40),IF(ISNUMBER(R39),IF(R40&gt;R39,1.0,IF(R40=R39,0.5,0.0)),""),"")</f>
        <v/>
      </c>
      <c r="V40">
        <f>IF(ISNUMBER(R40),IF(ISNUMBER(R41),IF(R40&gt;R41,1.0,IF(R40=R41,0.5,0.0)),""),"")</f>
        <v/>
      </c>
      <c r="W40">
        <f>IF(ISNUMBER(R40),IF(ISNUMBER(R42),IF(R40&gt;R42,1.0,IF(R40=R42,0.5,0.0)),""),"")</f>
        <v/>
      </c>
      <c r="X40">
        <f>IF(ISNUMBER(R40),IF(ISNUMBER(R43),IF(R40&gt;R43,1.0,IF(R40=R43,0.5,0.0)),""),"")</f>
        <v/>
      </c>
      <c r="Y40">
        <f>IF(ISNUMBER(R40),IF(ISNUMBER(R44),IF(R40&gt;R44,1.0,IF(R40=R44,0.5,0.0)),""),"")</f>
        <v/>
      </c>
      <c r="Z40">
        <f>IF(ISNUMBER(S40),IF(ISNUMBER(S38),IF(S40&gt;S38,1.0,IF(S40=S38,0.5,0.0)),""),"")</f>
        <v/>
      </c>
      <c r="AA40">
        <f>IF(ISNUMBER(S40),IF(ISNUMBER(S39),IF(S40&gt;S39,1.0,IF(S40=S39,0.5,0.0)),""),"")</f>
        <v/>
      </c>
      <c r="AB40">
        <f>IF(ISNUMBER(S40),IF(ISNUMBER(S41),IF(S40&gt;S41,1.0,IF(S40=S41,0.5,0.0)),""),"")</f>
        <v/>
      </c>
      <c r="AC40">
        <f>IF(ISNUMBER(S40),IF(ISNUMBER(S42),IF(S40&gt;S42,1.0,IF(S40=S42,0.5,0.0)),""),"")</f>
        <v/>
      </c>
      <c r="AD40">
        <f>IF(ISNUMBER(S40),IF(ISNUMBER(S43),IF(S40&gt;S43,1.0,IF(S40=S43,0.5,0.0)),""),"")</f>
        <v/>
      </c>
      <c r="AE40">
        <f>IF(ISNUMBER(S40),IF(ISNUMBER(S44),IF(S40&gt;S44,1.0,IF(S40=S44,0.5,0.0)),""),"")</f>
        <v/>
      </c>
      <c r="AF40" s="14">
        <f>IF(AND(ISNUMBER(R40),ISNUMBER(R38)),VLOOKUP(ABS(R40-R38),'IMP Table'!$A$2:$C$26,3)*SIGN(R40-R38),0)</f>
        <v/>
      </c>
      <c r="AG40">
        <f>IF(AND(ISNUMBER(R40),ISNUMBER(R39)),VLOOKUP(ABS(R40-R39),'IMP Table'!$A$2:$C$26,3)*SIGN(R40-R39),0)</f>
        <v/>
      </c>
      <c r="AH40">
        <f>IF(AND(ISNUMBER(R40),ISNUMBER(R41)),VLOOKUP(ABS(R40-R41),'IMP Table'!$A$2:$C$26,3)*SIGN(R40-R41),0)</f>
        <v/>
      </c>
      <c r="AI40">
        <f>IF(AND(ISNUMBER(R40),ISNUMBER(R42)),VLOOKUP(ABS(R40-R42),'IMP Table'!$A$2:$C$26,3)*SIGN(R40-R42),0)</f>
        <v/>
      </c>
      <c r="AJ40">
        <f>IF(AND(ISNUMBER(R40),ISNUMBER(R43)),VLOOKUP(ABS(R40-R43),'IMP Table'!$A$2:$C$26,3)*SIGN(R40-R43),0)</f>
        <v/>
      </c>
      <c r="AK40">
        <f>IF(AND(ISNUMBER(R40),ISNUMBER(R44)),VLOOKUP(ABS(R40-R44),'IMP Table'!$A$2:$C$26,3)*SIGN(R40-R44),0)</f>
        <v/>
      </c>
      <c r="AL40">
        <f>IF(AND(ISNUMBER(S40),ISNUMBER(S38)),VLOOKUP(ABS(S40-S38),'IMP Table'!$A$2:$C$26,3)*SIGN(S40-S38),0)</f>
        <v/>
      </c>
      <c r="AM40">
        <f>IF(AND(ISNUMBER(S40),ISNUMBER(S39)),VLOOKUP(ABS(S40-S39),'IMP Table'!$A$2:$C$26,3)*SIGN(S40-S39),0)</f>
        <v/>
      </c>
      <c r="AN40">
        <f>IF(AND(ISNUMBER(S40),ISNUMBER(S41)),VLOOKUP(ABS(S40-S41),'IMP Table'!$A$2:$C$26,3)*SIGN(S40-S41),0)</f>
        <v/>
      </c>
      <c r="AO40">
        <f>IF(AND(ISNUMBER(S40),ISNUMBER(S42)),VLOOKUP(ABS(S40-S42),'IMP Table'!$A$2:$C$26,3)*SIGN(S40-S42),0)</f>
        <v/>
      </c>
      <c r="AP40">
        <f>IF(AND(ISNUMBER(S40),ISNUMBER(S43)),VLOOKUP(ABS(S40-S43),'IMP Table'!$A$2:$C$26,3)*SIGN(S40-S43),0)</f>
        <v/>
      </c>
      <c r="AQ40">
        <f>IF(AND(ISNUMBER(S40),ISNUMBER(S44)),VLOOKUP(ABS(S40-S44),'IMP Table'!$A$2:$C$26,3)*SIGN(S40-S44),0)</f>
        <v/>
      </c>
    </row>
    <row r="41">
      <c r="B41">
        <f>'By Round'!A73</f>
        <v/>
      </c>
      <c r="C41">
        <f>'By Round'!B83</f>
        <v/>
      </c>
      <c r="D41">
        <f>'By Round'!C83</f>
        <v/>
      </c>
      <c r="E41">
        <f>'By Round'!D83</f>
        <v/>
      </c>
      <c r="F41" s="11" t="inlineStr">
        <is>
          <t>EW</t>
        </is>
      </c>
      <c r="G41">
        <f>IF(ISBLANK('By Round'!G83),"",'By Round'!G83)</f>
        <v/>
      </c>
      <c r="H41">
        <f>IF(ISBLANK('By Round'!H83),"",'By Round'!H83)</f>
        <v/>
      </c>
      <c r="I41">
        <f>IF(ISBLANK('By Round'!I83),"",'By Round'!I83)</f>
        <v/>
      </c>
      <c r="J41">
        <f>IF(ISBLANK('By Round'!J83),"",'By Round'!J83)</f>
        <v/>
      </c>
      <c r="K41">
        <f>IF(ISBLANK('By Round'!K83),"",'By Round'!K83)</f>
        <v/>
      </c>
      <c r="L41" s="12">
        <f>SUM(AF41:AK41)</f>
        <v/>
      </c>
      <c r="M41" s="13">
        <f>SUM(AL41:AQ41)</f>
        <v/>
      </c>
      <c r="N41" s="8">
        <f>IF(COUNT(T41:Y41)&gt;0,P41/COUNT(T41:Y41),0.5)</f>
        <v/>
      </c>
      <c r="O41" s="8">
        <f>IF(COUNT(Z41:AE41)&gt;0,Q41/COUNT(Z41:AE41),0.5)</f>
        <v/>
      </c>
      <c r="P41" s="5">
        <f>SUM(T41:Y41)</f>
        <v/>
      </c>
      <c r="Q41" s="5">
        <f>SUM(Z41:AE41)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IF(ISNUMBER(R41),IF(ISNUMBER(R38),IF(R41&gt;R38,1.0,IF(R41=R38,0.5,0.0)),""),"")</f>
        <v/>
      </c>
      <c r="U41">
        <f>IF(ISNUMBER(R41),IF(ISNUMBER(R39),IF(R41&gt;R39,1.0,IF(R41=R39,0.5,0.0)),""),"")</f>
        <v/>
      </c>
      <c r="V41">
        <f>IF(ISNUMBER(R41),IF(ISNUMBER(R40),IF(R41&gt;R40,1.0,IF(R41=R40,0.5,0.0)),""),"")</f>
        <v/>
      </c>
      <c r="W41">
        <f>IF(ISNUMBER(R41),IF(ISNUMBER(R42),IF(R41&gt;R42,1.0,IF(R41=R42,0.5,0.0)),""),"")</f>
        <v/>
      </c>
      <c r="X41">
        <f>IF(ISNUMBER(R41),IF(ISNUMBER(R43),IF(R41&gt;R43,1.0,IF(R41=R43,0.5,0.0)),""),"")</f>
        <v/>
      </c>
      <c r="Y41">
        <f>IF(ISNUMBER(R41),IF(ISNUMBER(R44),IF(R41&gt;R44,1.0,IF(R41=R44,0.5,0.0)),""),"")</f>
        <v/>
      </c>
      <c r="Z41">
        <f>IF(ISNUMBER(S41),IF(ISNUMBER(S38),IF(S41&gt;S38,1.0,IF(S41=S38,0.5,0.0)),""),"")</f>
        <v/>
      </c>
      <c r="AA41">
        <f>IF(ISNUMBER(S41),IF(ISNUMBER(S39),IF(S41&gt;S39,1.0,IF(S41=S39,0.5,0.0)),""),"")</f>
        <v/>
      </c>
      <c r="AB41">
        <f>IF(ISNUMBER(S41),IF(ISNUMBER(S40),IF(S41&gt;S40,1.0,IF(S41=S40,0.5,0.0)),""),"")</f>
        <v/>
      </c>
      <c r="AC41">
        <f>IF(ISNUMBER(S41),IF(ISNUMBER(S42),IF(S41&gt;S42,1.0,IF(S41=S42,0.5,0.0)),""),"")</f>
        <v/>
      </c>
      <c r="AD41">
        <f>IF(ISNUMBER(S41),IF(ISNUMBER(S43),IF(S41&gt;S43,1.0,IF(S41=S43,0.5,0.0)),""),"")</f>
        <v/>
      </c>
      <c r="AE41">
        <f>IF(ISNUMBER(S41),IF(ISNUMBER(S44),IF(S41&gt;S44,1.0,IF(S41=S44,0.5,0.0)),""),"")</f>
        <v/>
      </c>
      <c r="AF41" s="14">
        <f>IF(AND(ISNUMBER(R41),ISNUMBER(R38)),VLOOKUP(ABS(R41-R38),'IMP Table'!$A$2:$C$26,3)*SIGN(R41-R38),0)</f>
        <v/>
      </c>
      <c r="AG41">
        <f>IF(AND(ISNUMBER(R41),ISNUMBER(R39)),VLOOKUP(ABS(R41-R39),'IMP Table'!$A$2:$C$26,3)*SIGN(R41-R39),0)</f>
        <v/>
      </c>
      <c r="AH41">
        <f>IF(AND(ISNUMBER(R41),ISNUMBER(R40)),VLOOKUP(ABS(R41-R40),'IMP Table'!$A$2:$C$26,3)*SIGN(R41-R40),0)</f>
        <v/>
      </c>
      <c r="AI41">
        <f>IF(AND(ISNUMBER(R41),ISNUMBER(R42)),VLOOKUP(ABS(R41-R42),'IMP Table'!$A$2:$C$26,3)*SIGN(R41-R42),0)</f>
        <v/>
      </c>
      <c r="AJ41">
        <f>IF(AND(ISNUMBER(R41),ISNUMBER(R43)),VLOOKUP(ABS(R41-R43),'IMP Table'!$A$2:$C$26,3)*SIGN(R41-R43),0)</f>
        <v/>
      </c>
      <c r="AK41">
        <f>IF(AND(ISNUMBER(R41),ISNUMBER(R44)),VLOOKUP(ABS(R41-R44),'IMP Table'!$A$2:$C$26,3)*SIGN(R41-R44),0)</f>
        <v/>
      </c>
      <c r="AL41">
        <f>IF(AND(ISNUMBER(S41),ISNUMBER(S38)),VLOOKUP(ABS(S41-S38),'IMP Table'!$A$2:$C$26,3)*SIGN(S41-S38),0)</f>
        <v/>
      </c>
      <c r="AM41">
        <f>IF(AND(ISNUMBER(S41),ISNUMBER(S39)),VLOOKUP(ABS(S41-S39),'IMP Table'!$A$2:$C$26,3)*SIGN(S41-S39),0)</f>
        <v/>
      </c>
      <c r="AN41">
        <f>IF(AND(ISNUMBER(S41),ISNUMBER(S40)),VLOOKUP(ABS(S41-S40),'IMP Table'!$A$2:$C$26,3)*SIGN(S41-S40),0)</f>
        <v/>
      </c>
      <c r="AO41">
        <f>IF(AND(ISNUMBER(S41),ISNUMBER(S42)),VLOOKUP(ABS(S41-S42),'IMP Table'!$A$2:$C$26,3)*SIGN(S41-S42),0)</f>
        <v/>
      </c>
      <c r="AP41">
        <f>IF(AND(ISNUMBER(S41),ISNUMBER(S43)),VLOOKUP(ABS(S41-S43),'IMP Table'!$A$2:$C$26,3)*SIGN(S41-S43),0)</f>
        <v/>
      </c>
      <c r="AQ41">
        <f>IF(AND(ISNUMBER(S41),ISNUMBER(S44)),VLOOKUP(ABS(S41-S44),'IMP Table'!$A$2:$C$26,3)*SIGN(S41-S44),0)</f>
        <v/>
      </c>
    </row>
    <row r="42">
      <c r="B42">
        <f>'By Round'!A87</f>
        <v/>
      </c>
      <c r="C42">
        <f>'By Round'!B95</f>
        <v/>
      </c>
      <c r="D42">
        <f>'By Round'!C95</f>
        <v/>
      </c>
      <c r="E42">
        <f>'By Round'!D95</f>
        <v/>
      </c>
      <c r="F42" s="11" t="inlineStr">
        <is>
          <t>EW</t>
        </is>
      </c>
      <c r="G42">
        <f>IF(ISBLANK('By Round'!G95),"",'By Round'!G95)</f>
        <v/>
      </c>
      <c r="H42">
        <f>IF(ISBLANK('By Round'!H95),"",'By Round'!H95)</f>
        <v/>
      </c>
      <c r="I42">
        <f>IF(ISBLANK('By Round'!I95),"",'By Round'!I95)</f>
        <v/>
      </c>
      <c r="J42">
        <f>IF(ISBLANK('By Round'!J95),"",'By Round'!J95)</f>
        <v/>
      </c>
      <c r="K42">
        <f>IF(ISBLANK('By Round'!K95),"",'By Round'!K95)</f>
        <v/>
      </c>
      <c r="L42" s="12">
        <f>SUM(AF42:AK42)</f>
        <v/>
      </c>
      <c r="M42" s="13">
        <f>SUM(AL42:AQ42)</f>
        <v/>
      </c>
      <c r="N42" s="8">
        <f>IF(COUNT(T42:Y42)&gt;0,P42/COUNT(T42:Y42),0.5)</f>
        <v/>
      </c>
      <c r="O42" s="8">
        <f>IF(COUNT(Z42:AE42)&gt;0,Q42/COUNT(Z42:AE42),0.5)</f>
        <v/>
      </c>
      <c r="P42" s="5">
        <f>SUM(T42:Y42)</f>
        <v/>
      </c>
      <c r="Q42" s="5">
        <f>SUM(Z42:AE42)</f>
        <v/>
      </c>
      <c r="R42" s="14">
        <f>IF(ISNUMBER(J42),J42,IF(ISNUMBER(K42),-K42,""))</f>
        <v/>
      </c>
      <c r="S42">
        <f>IF(ISNUMBER(K42),K42,IF(ISNUMBER(J42),-J42,""))</f>
        <v/>
      </c>
      <c r="T42" s="14">
        <f>IF(ISNUMBER(R42),IF(ISNUMBER(R38),IF(R42&gt;R38,1.0,IF(R42=R38,0.5,0.0)),""),"")</f>
        <v/>
      </c>
      <c r="U42">
        <f>IF(ISNUMBER(R42),IF(ISNUMBER(R39),IF(R42&gt;R39,1.0,IF(R42=R39,0.5,0.0)),""),"")</f>
        <v/>
      </c>
      <c r="V42">
        <f>IF(ISNUMBER(R42),IF(ISNUMBER(R40),IF(R42&gt;R40,1.0,IF(R42=R40,0.5,0.0)),""),"")</f>
        <v/>
      </c>
      <c r="W42">
        <f>IF(ISNUMBER(R42),IF(ISNUMBER(R41),IF(R42&gt;R41,1.0,IF(R42=R41,0.5,0.0)),""),"")</f>
        <v/>
      </c>
      <c r="X42">
        <f>IF(ISNUMBER(R42),IF(ISNUMBER(R43),IF(R42&gt;R43,1.0,IF(R42=R43,0.5,0.0)),""),"")</f>
        <v/>
      </c>
      <c r="Y42">
        <f>IF(ISNUMBER(R42),IF(ISNUMBER(R44),IF(R42&gt;R44,1.0,IF(R42=R44,0.5,0.0)),""),"")</f>
        <v/>
      </c>
      <c r="Z42">
        <f>IF(ISNUMBER(S42),IF(ISNUMBER(S38),IF(S42&gt;S38,1.0,IF(S42=S38,0.5,0.0)),""),"")</f>
        <v/>
      </c>
      <c r="AA42">
        <f>IF(ISNUMBER(S42),IF(ISNUMBER(S39),IF(S42&gt;S39,1.0,IF(S42=S39,0.5,0.0)),""),"")</f>
        <v/>
      </c>
      <c r="AB42">
        <f>IF(ISNUMBER(S42),IF(ISNUMBER(S40),IF(S42&gt;S40,1.0,IF(S42=S40,0.5,0.0)),""),"")</f>
        <v/>
      </c>
      <c r="AC42">
        <f>IF(ISNUMBER(S42),IF(ISNUMBER(S41),IF(S42&gt;S41,1.0,IF(S42=S41,0.5,0.0)),""),"")</f>
        <v/>
      </c>
      <c r="AD42">
        <f>IF(ISNUMBER(S42),IF(ISNUMBER(S43),IF(S42&gt;S43,1.0,IF(S42=S43,0.5,0.0)),""),"")</f>
        <v/>
      </c>
      <c r="AE42">
        <f>IF(ISNUMBER(S42),IF(ISNUMBER(S44),IF(S42&gt;S44,1.0,IF(S42=S44,0.5,0.0)),""),"")</f>
        <v/>
      </c>
      <c r="AF42" s="14">
        <f>IF(AND(ISNUMBER(R42),ISNUMBER(R38)),VLOOKUP(ABS(R42-R38),'IMP Table'!$A$2:$C$26,3)*SIGN(R42-R38),0)</f>
        <v/>
      </c>
      <c r="AG42">
        <f>IF(AND(ISNUMBER(R42),ISNUMBER(R39)),VLOOKUP(ABS(R42-R39),'IMP Table'!$A$2:$C$26,3)*SIGN(R42-R39),0)</f>
        <v/>
      </c>
      <c r="AH42">
        <f>IF(AND(ISNUMBER(R42),ISNUMBER(R40)),VLOOKUP(ABS(R42-R40),'IMP Table'!$A$2:$C$26,3)*SIGN(R42-R40),0)</f>
        <v/>
      </c>
      <c r="AI42">
        <f>IF(AND(ISNUMBER(R42),ISNUMBER(R41)),VLOOKUP(ABS(R42-R41),'IMP Table'!$A$2:$C$26,3)*SIGN(R42-R41),0)</f>
        <v/>
      </c>
      <c r="AJ42">
        <f>IF(AND(ISNUMBER(R42),ISNUMBER(R43)),VLOOKUP(ABS(R42-R43),'IMP Table'!$A$2:$C$26,3)*SIGN(R42-R43),0)</f>
        <v/>
      </c>
      <c r="AK42">
        <f>IF(AND(ISNUMBER(R42),ISNUMBER(R44)),VLOOKUP(ABS(R42-R44),'IMP Table'!$A$2:$C$26,3)*SIGN(R42-R44),0)</f>
        <v/>
      </c>
      <c r="AL42">
        <f>IF(AND(ISNUMBER(S42),ISNUMBER(S38)),VLOOKUP(ABS(S42-S38),'IMP Table'!$A$2:$C$26,3)*SIGN(S42-S38),0)</f>
        <v/>
      </c>
      <c r="AM42">
        <f>IF(AND(ISNUMBER(S42),ISNUMBER(S39)),VLOOKUP(ABS(S42-S39),'IMP Table'!$A$2:$C$26,3)*SIGN(S42-S39),0)</f>
        <v/>
      </c>
      <c r="AN42">
        <f>IF(AND(ISNUMBER(S42),ISNUMBER(S40)),VLOOKUP(ABS(S42-S40),'IMP Table'!$A$2:$C$26,3)*SIGN(S42-S40),0)</f>
        <v/>
      </c>
      <c r="AO42">
        <f>IF(AND(ISNUMBER(S42),ISNUMBER(S41)),VLOOKUP(ABS(S42-S41),'IMP Table'!$A$2:$C$26,3)*SIGN(S42-S41),0)</f>
        <v/>
      </c>
      <c r="AP42">
        <f>IF(AND(ISNUMBER(S42),ISNUMBER(S43)),VLOOKUP(ABS(S42-S43),'IMP Table'!$A$2:$C$26,3)*SIGN(S42-S43),0)</f>
        <v/>
      </c>
      <c r="AQ42">
        <f>IF(AND(ISNUMBER(S42),ISNUMBER(S44)),VLOOKUP(ABS(S42-S44),'IMP Table'!$A$2:$C$26,3)*SIGN(S42-S44),0)</f>
        <v/>
      </c>
    </row>
    <row r="43">
      <c r="B43">
        <f>'By Round'!A157</f>
        <v/>
      </c>
      <c r="C43">
        <f>'By Round'!B163</f>
        <v/>
      </c>
      <c r="D43">
        <f>'By Round'!C163</f>
        <v/>
      </c>
      <c r="E43">
        <f>'By Round'!D163</f>
        <v/>
      </c>
      <c r="F43" s="11" t="inlineStr">
        <is>
          <t>EW</t>
        </is>
      </c>
      <c r="G43">
        <f>IF(ISBLANK('By Round'!G163),"",'By Round'!G163)</f>
        <v/>
      </c>
      <c r="H43">
        <f>IF(ISBLANK('By Round'!H163),"",'By Round'!H163)</f>
        <v/>
      </c>
      <c r="I43">
        <f>IF(ISBLANK('By Round'!I163),"",'By Round'!I163)</f>
        <v/>
      </c>
      <c r="J43">
        <f>IF(ISBLANK('By Round'!J163),"",'By Round'!J163)</f>
        <v/>
      </c>
      <c r="K43">
        <f>IF(ISBLANK('By Round'!K163),"",'By Round'!K163)</f>
        <v/>
      </c>
      <c r="L43" s="12">
        <f>SUM(AF43:AK43)</f>
        <v/>
      </c>
      <c r="M43" s="13">
        <f>SUM(AL43:AQ43)</f>
        <v/>
      </c>
      <c r="N43" s="8">
        <f>IF(COUNT(T43:Y43)&gt;0,P43/COUNT(T43:Y43),0.5)</f>
        <v/>
      </c>
      <c r="O43" s="8">
        <f>IF(COUNT(Z43:AE43)&gt;0,Q43/COUNT(Z43:AE43),0.5)</f>
        <v/>
      </c>
      <c r="P43" s="5">
        <f>SUM(T43:Y43)</f>
        <v/>
      </c>
      <c r="Q43" s="5">
        <f>SUM(Z43:AE43)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IF(ISNUMBER(R43),IF(ISNUMBER(R38),IF(R43&gt;R38,1.0,IF(R43=R38,0.5,0.0)),""),"")</f>
        <v/>
      </c>
      <c r="U43">
        <f>IF(ISNUMBER(R43),IF(ISNUMBER(R39),IF(R43&gt;R39,1.0,IF(R43=R39,0.5,0.0)),""),"")</f>
        <v/>
      </c>
      <c r="V43">
        <f>IF(ISNUMBER(R43),IF(ISNUMBER(R40),IF(R43&gt;R40,1.0,IF(R43=R40,0.5,0.0)),""),"")</f>
        <v/>
      </c>
      <c r="W43">
        <f>IF(ISNUMBER(R43),IF(ISNUMBER(R41),IF(R43&gt;R41,1.0,IF(R43=R41,0.5,0.0)),""),"")</f>
        <v/>
      </c>
      <c r="X43">
        <f>IF(ISNUMBER(R43),IF(ISNUMBER(R42),IF(R43&gt;R42,1.0,IF(R43=R42,0.5,0.0)),""),"")</f>
        <v/>
      </c>
      <c r="Y43">
        <f>IF(ISNUMBER(R43),IF(ISNUMBER(R44),IF(R43&gt;R44,1.0,IF(R43=R44,0.5,0.0)),""),"")</f>
        <v/>
      </c>
      <c r="Z43">
        <f>IF(ISNUMBER(S43),IF(ISNUMBER(S38),IF(S43&gt;S38,1.0,IF(S43=S38,0.5,0.0)),""),"")</f>
        <v/>
      </c>
      <c r="AA43">
        <f>IF(ISNUMBER(S43),IF(ISNUMBER(S39),IF(S43&gt;S39,1.0,IF(S43=S39,0.5,0.0)),""),"")</f>
        <v/>
      </c>
      <c r="AB43">
        <f>IF(ISNUMBER(S43),IF(ISNUMBER(S40),IF(S43&gt;S40,1.0,IF(S43=S40,0.5,0.0)),""),"")</f>
        <v/>
      </c>
      <c r="AC43">
        <f>IF(ISNUMBER(S43),IF(ISNUMBER(S41),IF(S43&gt;S41,1.0,IF(S43=S41,0.5,0.0)),""),"")</f>
        <v/>
      </c>
      <c r="AD43">
        <f>IF(ISNUMBER(S43),IF(ISNUMBER(S42),IF(S43&gt;S42,1.0,IF(S43=S42,0.5,0.0)),""),"")</f>
        <v/>
      </c>
      <c r="AE43">
        <f>IF(ISNUMBER(S43),IF(ISNUMBER(S44),IF(S43&gt;S44,1.0,IF(S43=S44,0.5,0.0)),""),"")</f>
        <v/>
      </c>
      <c r="AF43" s="14">
        <f>IF(AND(ISNUMBER(R43),ISNUMBER(R38)),VLOOKUP(ABS(R43-R38),'IMP Table'!$A$2:$C$26,3)*SIGN(R43-R38),0)</f>
        <v/>
      </c>
      <c r="AG43">
        <f>IF(AND(ISNUMBER(R43),ISNUMBER(R39)),VLOOKUP(ABS(R43-R39),'IMP Table'!$A$2:$C$26,3)*SIGN(R43-R39),0)</f>
        <v/>
      </c>
      <c r="AH43">
        <f>IF(AND(ISNUMBER(R43),ISNUMBER(R40)),VLOOKUP(ABS(R43-R40),'IMP Table'!$A$2:$C$26,3)*SIGN(R43-R40),0)</f>
        <v/>
      </c>
      <c r="AI43">
        <f>IF(AND(ISNUMBER(R43),ISNUMBER(R41)),VLOOKUP(ABS(R43-R41),'IMP Table'!$A$2:$C$26,3)*SIGN(R43-R41),0)</f>
        <v/>
      </c>
      <c r="AJ43">
        <f>IF(AND(ISNUMBER(R43),ISNUMBER(R42)),VLOOKUP(ABS(R43-R42),'IMP Table'!$A$2:$C$26,3)*SIGN(R43-R42),0)</f>
        <v/>
      </c>
      <c r="AK43">
        <f>IF(AND(ISNUMBER(R43),ISNUMBER(R44)),VLOOKUP(ABS(R43-R44),'IMP Table'!$A$2:$C$26,3)*SIGN(R43-R44),0)</f>
        <v/>
      </c>
      <c r="AL43">
        <f>IF(AND(ISNUMBER(S43),ISNUMBER(S38)),VLOOKUP(ABS(S43-S38),'IMP Table'!$A$2:$C$26,3)*SIGN(S43-S38),0)</f>
        <v/>
      </c>
      <c r="AM43">
        <f>IF(AND(ISNUMBER(S43),ISNUMBER(S39)),VLOOKUP(ABS(S43-S39),'IMP Table'!$A$2:$C$26,3)*SIGN(S43-S39),0)</f>
        <v/>
      </c>
      <c r="AN43">
        <f>IF(AND(ISNUMBER(S43),ISNUMBER(S40)),VLOOKUP(ABS(S43-S40),'IMP Table'!$A$2:$C$26,3)*SIGN(S43-S40),0)</f>
        <v/>
      </c>
      <c r="AO43">
        <f>IF(AND(ISNUMBER(S43),ISNUMBER(S41)),VLOOKUP(ABS(S43-S41),'IMP Table'!$A$2:$C$26,3)*SIGN(S43-S41),0)</f>
        <v/>
      </c>
      <c r="AP43">
        <f>IF(AND(ISNUMBER(S43),ISNUMBER(S42)),VLOOKUP(ABS(S43-S42),'IMP Table'!$A$2:$C$26,3)*SIGN(S43-S42),0)</f>
        <v/>
      </c>
      <c r="AQ43">
        <f>IF(AND(ISNUMBER(S43),ISNUMBER(S44)),VLOOKUP(ABS(S43-S44),'IMP Table'!$A$2:$C$26,3)*SIGN(S43-S44),0)</f>
        <v/>
      </c>
    </row>
    <row r="44">
      <c r="A44" s="15" t="n"/>
      <c r="B44" s="15">
        <f>'By Round'!A171</f>
        <v/>
      </c>
      <c r="C44" s="15">
        <f>'By Round'!B175</f>
        <v/>
      </c>
      <c r="D44" s="15">
        <f>'By Round'!C175</f>
        <v/>
      </c>
      <c r="E44" s="15">
        <f>'By Round'!D175</f>
        <v/>
      </c>
      <c r="F44" s="16" t="inlineStr">
        <is>
          <t>EW</t>
        </is>
      </c>
      <c r="G44" s="15">
        <f>IF(ISBLANK('By Round'!G175),"",'By Round'!G175)</f>
        <v/>
      </c>
      <c r="H44" s="15">
        <f>IF(ISBLANK('By Round'!H175),"",'By Round'!H175)</f>
        <v/>
      </c>
      <c r="I44" s="15">
        <f>IF(ISBLANK('By Round'!I175),"",'By Round'!I175)</f>
        <v/>
      </c>
      <c r="J44" s="15">
        <f>IF(ISBLANK('By Round'!J175),"",'By Round'!J175)</f>
        <v/>
      </c>
      <c r="K44" s="15">
        <f>IF(ISBLANK('By Round'!K175),"",'By Round'!K175)</f>
        <v/>
      </c>
      <c r="L44" s="17">
        <f>SUM(AF44:AK44)</f>
        <v/>
      </c>
      <c r="M44" s="18">
        <f>SUM(AL44:AQ44)</f>
        <v/>
      </c>
      <c r="N44" s="19">
        <f>IF(COUNT(T44:Y44)&gt;0,P44/COUNT(T44:Y44),0.5)</f>
        <v/>
      </c>
      <c r="O44" s="19">
        <f>IF(COUNT(Z44:AE44)&gt;0,Q44/COUNT(Z44:AE44),0.5)</f>
        <v/>
      </c>
      <c r="P44" s="20">
        <f>SUM(T44:Y44)</f>
        <v/>
      </c>
      <c r="Q44" s="20">
        <f>SUM(Z44:AE44)</f>
        <v/>
      </c>
      <c r="R44" s="21">
        <f>IF(ISNUMBER(J44),J44,IF(ISNUMBER(K44),-K44,""))</f>
        <v/>
      </c>
      <c r="S44" s="15">
        <f>IF(ISNUMBER(K44),K44,IF(ISNUMBER(J44),-J44,""))</f>
        <v/>
      </c>
      <c r="T44" s="21">
        <f>IF(ISNUMBER(R44),IF(ISNUMBER(R38),IF(R44&gt;R38,1.0,IF(R44=R38,0.5,0.0)),""),"")</f>
        <v/>
      </c>
      <c r="U44" s="15">
        <f>IF(ISNUMBER(R44),IF(ISNUMBER(R39),IF(R44&gt;R39,1.0,IF(R44=R39,0.5,0.0)),""),"")</f>
        <v/>
      </c>
      <c r="V44" s="15">
        <f>IF(ISNUMBER(R44),IF(ISNUMBER(R40),IF(R44&gt;R40,1.0,IF(R44=R40,0.5,0.0)),""),"")</f>
        <v/>
      </c>
      <c r="W44" s="15">
        <f>IF(ISNUMBER(R44),IF(ISNUMBER(R41),IF(R44&gt;R41,1.0,IF(R44=R41,0.5,0.0)),""),"")</f>
        <v/>
      </c>
      <c r="X44" s="15">
        <f>IF(ISNUMBER(R44),IF(ISNUMBER(R42),IF(R44&gt;R42,1.0,IF(R44=R42,0.5,0.0)),""),"")</f>
        <v/>
      </c>
      <c r="Y44" s="15">
        <f>IF(ISNUMBER(R44),IF(ISNUMBER(R43),IF(R44&gt;R43,1.0,IF(R44=R43,0.5,0.0)),""),"")</f>
        <v/>
      </c>
      <c r="Z44" s="15">
        <f>IF(ISNUMBER(S44),IF(ISNUMBER(S38),IF(S44&gt;S38,1.0,IF(S44=S38,0.5,0.0)),""),"")</f>
        <v/>
      </c>
      <c r="AA44" s="15">
        <f>IF(ISNUMBER(S44),IF(ISNUMBER(S39),IF(S44&gt;S39,1.0,IF(S44=S39,0.5,0.0)),""),"")</f>
        <v/>
      </c>
      <c r="AB44" s="15">
        <f>IF(ISNUMBER(S44),IF(ISNUMBER(S40),IF(S44&gt;S40,1.0,IF(S44=S40,0.5,0.0)),""),"")</f>
        <v/>
      </c>
      <c r="AC44" s="15">
        <f>IF(ISNUMBER(S44),IF(ISNUMBER(S41),IF(S44&gt;S41,1.0,IF(S44=S41,0.5,0.0)),""),"")</f>
        <v/>
      </c>
      <c r="AD44" s="15">
        <f>IF(ISNUMBER(S44),IF(ISNUMBER(S42),IF(S44&gt;S42,1.0,IF(S44=S42,0.5,0.0)),""),"")</f>
        <v/>
      </c>
      <c r="AE44" s="15">
        <f>IF(ISNUMBER(S44),IF(ISNUMBER(S43),IF(S44&gt;S43,1.0,IF(S44=S43,0.5,0.0)),""),"")</f>
        <v/>
      </c>
      <c r="AF44" s="21">
        <f>IF(AND(ISNUMBER(R44),ISNUMBER(R38)),VLOOKUP(ABS(R44-R38),'IMP Table'!$A$2:$C$26,3)*SIGN(R44-R38),0)</f>
        <v/>
      </c>
      <c r="AG44" s="15">
        <f>IF(AND(ISNUMBER(R44),ISNUMBER(R39)),VLOOKUP(ABS(R44-R39),'IMP Table'!$A$2:$C$26,3)*SIGN(R44-R39),0)</f>
        <v/>
      </c>
      <c r="AH44" s="15">
        <f>IF(AND(ISNUMBER(R44),ISNUMBER(R40)),VLOOKUP(ABS(R44-R40),'IMP Table'!$A$2:$C$26,3)*SIGN(R44-R40),0)</f>
        <v/>
      </c>
      <c r="AI44" s="15">
        <f>IF(AND(ISNUMBER(R44),ISNUMBER(R41)),VLOOKUP(ABS(R44-R41),'IMP Table'!$A$2:$C$26,3)*SIGN(R44-R41),0)</f>
        <v/>
      </c>
      <c r="AJ44" s="15">
        <f>IF(AND(ISNUMBER(R44),ISNUMBER(R42)),VLOOKUP(ABS(R44-R42),'IMP Table'!$A$2:$C$26,3)*SIGN(R44-R42),0)</f>
        <v/>
      </c>
      <c r="AK44" s="15">
        <f>IF(AND(ISNUMBER(R44),ISNUMBER(R43)),VLOOKUP(ABS(R44-R43),'IMP Table'!$A$2:$C$26,3)*SIGN(R44-R43),0)</f>
        <v/>
      </c>
      <c r="AL44" s="15">
        <f>IF(AND(ISNUMBER(S44),ISNUMBER(S38)),VLOOKUP(ABS(S44-S38),'IMP Table'!$A$2:$C$26,3)*SIGN(S44-S38),0)</f>
        <v/>
      </c>
      <c r="AM44" s="15">
        <f>IF(AND(ISNUMBER(S44),ISNUMBER(S39)),VLOOKUP(ABS(S44-S39),'IMP Table'!$A$2:$C$26,3)*SIGN(S44-S39),0)</f>
        <v/>
      </c>
      <c r="AN44" s="15">
        <f>IF(AND(ISNUMBER(S44),ISNUMBER(S40)),VLOOKUP(ABS(S44-S40),'IMP Table'!$A$2:$C$26,3)*SIGN(S44-S40),0)</f>
        <v/>
      </c>
      <c r="AO44" s="15">
        <f>IF(AND(ISNUMBER(S44),ISNUMBER(S41)),VLOOKUP(ABS(S44-S41),'IMP Table'!$A$2:$C$26,3)*SIGN(S44-S41),0)</f>
        <v/>
      </c>
      <c r="AP44" s="15">
        <f>IF(AND(ISNUMBER(S44),ISNUMBER(S42)),VLOOKUP(ABS(S44-S42),'IMP Table'!$A$2:$C$26,3)*SIGN(S44-S42),0)</f>
        <v/>
      </c>
      <c r="AQ44" s="15">
        <f>IF(AND(ISNUMBER(S44),ISNUMBER(S43)),VLOOKUP(ABS(S44-S43),'IMP Table'!$A$2:$C$26,3)*SIGN(S44-S43),0)</f>
        <v/>
      </c>
    </row>
    <row r="45">
      <c r="A45" t="n">
        <v>7</v>
      </c>
      <c r="B45">
        <f>'By Round'!A3</f>
        <v/>
      </c>
      <c r="C45">
        <f>'By Round'!B7</f>
        <v/>
      </c>
      <c r="D45">
        <f>'By Round'!C7</f>
        <v/>
      </c>
      <c r="E45">
        <f>'By Round'!D7</f>
        <v/>
      </c>
      <c r="F45" s="11" t="inlineStr">
        <is>
          <t>Both</t>
        </is>
      </c>
      <c r="G45">
        <f>IF(ISBLANK('By Round'!G7),"",'By Round'!G7)</f>
        <v/>
      </c>
      <c r="H45">
        <f>IF(ISBLANK('By Round'!H7),"",'By Round'!H7)</f>
        <v/>
      </c>
      <c r="I45">
        <f>IF(ISBLANK('By Round'!I7),"",'By Round'!I7)</f>
        <v/>
      </c>
      <c r="J45">
        <f>IF(ISBLANK('By Round'!J7),"",'By Round'!J7)</f>
        <v/>
      </c>
      <c r="K45">
        <f>IF(ISBLANK('By Round'!K7),"",'By Round'!K7)</f>
        <v/>
      </c>
      <c r="L45" s="12">
        <f>SUM(AF45:AK45)</f>
        <v/>
      </c>
      <c r="M45" s="13">
        <f>SUM(AL45:AQ45)</f>
        <v/>
      </c>
      <c r="N45" s="8">
        <f>IF(COUNT(T45:Y45)&gt;0,P45/COUNT(T45:Y45),0.5)</f>
        <v/>
      </c>
      <c r="O45" s="8">
        <f>IF(COUNT(Z45:AE45)&gt;0,Q45/COUNT(Z45:AE45),0.5)</f>
        <v/>
      </c>
      <c r="P45" s="5">
        <f>SUM(T45:Y45)</f>
        <v/>
      </c>
      <c r="Q45" s="5">
        <f>SUM(Z45:AE45)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IF(ISNUMBER(R45),IF(ISNUMBER(R46),IF(R45&gt;R46,1.0,IF(R45=R46,0.5,0.0)),""),"")</f>
        <v/>
      </c>
      <c r="U45">
        <f>IF(ISNUMBER(R45),IF(ISNUMBER(R47),IF(R45&gt;R47,1.0,IF(R45=R47,0.5,0.0)),""),"")</f>
        <v/>
      </c>
      <c r="V45">
        <f>IF(ISNUMBER(R45),IF(ISNUMBER(R48),IF(R45&gt;R48,1.0,IF(R45=R48,0.5,0.0)),""),"")</f>
        <v/>
      </c>
      <c r="W45">
        <f>IF(ISNUMBER(R45),IF(ISNUMBER(R49),IF(R45&gt;R49,1.0,IF(R45=R49,0.5,0.0)),""),"")</f>
        <v/>
      </c>
      <c r="X45">
        <f>IF(ISNUMBER(R45),IF(ISNUMBER(R50),IF(R45&gt;R50,1.0,IF(R45=R50,0.5,0.0)),""),"")</f>
        <v/>
      </c>
      <c r="Y45">
        <f>IF(ISNUMBER(R45),IF(ISNUMBER(R51),IF(R45&gt;R51,1.0,IF(R45=R51,0.5,0.0)),""),"")</f>
        <v/>
      </c>
      <c r="Z45">
        <f>IF(ISNUMBER(S45),IF(ISNUMBER(S46),IF(S45&gt;S46,1.0,IF(S45=S46,0.5,0.0)),""),"")</f>
        <v/>
      </c>
      <c r="AA45">
        <f>IF(ISNUMBER(S45),IF(ISNUMBER(S47),IF(S45&gt;S47,1.0,IF(S45=S47,0.5,0.0)),""),"")</f>
        <v/>
      </c>
      <c r="AB45">
        <f>IF(ISNUMBER(S45),IF(ISNUMBER(S48),IF(S45&gt;S48,1.0,IF(S45=S48,0.5,0.0)),""),"")</f>
        <v/>
      </c>
      <c r="AC45">
        <f>IF(ISNUMBER(S45),IF(ISNUMBER(S49),IF(S45&gt;S49,1.0,IF(S45=S49,0.5,0.0)),""),"")</f>
        <v/>
      </c>
      <c r="AD45">
        <f>IF(ISNUMBER(S45),IF(ISNUMBER(S50),IF(S45&gt;S50,1.0,IF(S45=S50,0.5,0.0)),""),"")</f>
        <v/>
      </c>
      <c r="AE45">
        <f>IF(ISNUMBER(S45),IF(ISNUMBER(S51),IF(S45&gt;S51,1.0,IF(S45=S51,0.5,0.0)),""),"")</f>
        <v/>
      </c>
      <c r="AF45" s="14">
        <f>IF(AND(ISNUMBER(R45),ISNUMBER(R46)),VLOOKUP(ABS(R45-R46),'IMP Table'!$A$2:$C$26,3)*SIGN(R45-R46),0)</f>
        <v/>
      </c>
      <c r="AG45">
        <f>IF(AND(ISNUMBER(R45),ISNUMBER(R47)),VLOOKUP(ABS(R45-R47),'IMP Table'!$A$2:$C$26,3)*SIGN(R45-R47),0)</f>
        <v/>
      </c>
      <c r="AH45">
        <f>IF(AND(ISNUMBER(R45),ISNUMBER(R48)),VLOOKUP(ABS(R45-R48),'IMP Table'!$A$2:$C$26,3)*SIGN(R45-R48),0)</f>
        <v/>
      </c>
      <c r="AI45">
        <f>IF(AND(ISNUMBER(R45),ISNUMBER(R49)),VLOOKUP(ABS(R45-R49),'IMP Table'!$A$2:$C$26,3)*SIGN(R45-R49),0)</f>
        <v/>
      </c>
      <c r="AJ45">
        <f>IF(AND(ISNUMBER(R45),ISNUMBER(R50)),VLOOKUP(ABS(R45-R50),'IMP Table'!$A$2:$C$26,3)*SIGN(R45-R50),0)</f>
        <v/>
      </c>
      <c r="AK45">
        <f>IF(AND(ISNUMBER(R45),ISNUMBER(R51)),VLOOKUP(ABS(R45-R51),'IMP Table'!$A$2:$C$26,3)*SIGN(R45-R51),0)</f>
        <v/>
      </c>
      <c r="AL45">
        <f>IF(AND(ISNUMBER(S45),ISNUMBER(S46)),VLOOKUP(ABS(S45-S46),'IMP Table'!$A$2:$C$26,3)*SIGN(S45-S46),0)</f>
        <v/>
      </c>
      <c r="AM45">
        <f>IF(AND(ISNUMBER(S45),ISNUMBER(S47)),VLOOKUP(ABS(S45-S47),'IMP Table'!$A$2:$C$26,3)*SIGN(S45-S47),0)</f>
        <v/>
      </c>
      <c r="AN45">
        <f>IF(AND(ISNUMBER(S45),ISNUMBER(S48)),VLOOKUP(ABS(S45-S48),'IMP Table'!$A$2:$C$26,3)*SIGN(S45-S48),0)</f>
        <v/>
      </c>
      <c r="AO45">
        <f>IF(AND(ISNUMBER(S45),ISNUMBER(S49)),VLOOKUP(ABS(S45-S49),'IMP Table'!$A$2:$C$26,3)*SIGN(S45-S49),0)</f>
        <v/>
      </c>
      <c r="AP45">
        <f>IF(AND(ISNUMBER(S45),ISNUMBER(S50)),VLOOKUP(ABS(S45-S50),'IMP Table'!$A$2:$C$26,3)*SIGN(S45-S50),0)</f>
        <v/>
      </c>
      <c r="AQ45">
        <f>IF(AND(ISNUMBER(S45),ISNUMBER(S51)),VLOOKUP(ABS(S45-S51),'IMP Table'!$A$2:$C$26,3)*SIGN(S45-S51),0)</f>
        <v/>
      </c>
    </row>
    <row r="46">
      <c r="B46">
        <f>'By Round'!A17</f>
        <v/>
      </c>
      <c r="C46">
        <f>'By Round'!B19</f>
        <v/>
      </c>
      <c r="D46">
        <f>'By Round'!C19</f>
        <v/>
      </c>
      <c r="E46">
        <f>'By Round'!D19</f>
        <v/>
      </c>
      <c r="F46" s="11" t="inlineStr">
        <is>
          <t>Both</t>
        </is>
      </c>
      <c r="G46">
        <f>IF(ISBLANK('By Round'!G19),"",'By Round'!G19)</f>
        <v/>
      </c>
      <c r="H46">
        <f>IF(ISBLANK('By Round'!H19),"",'By Round'!H19)</f>
        <v/>
      </c>
      <c r="I46">
        <f>IF(ISBLANK('By Round'!I19),"",'By Round'!I19)</f>
        <v/>
      </c>
      <c r="J46">
        <f>IF(ISBLANK('By Round'!J19),"",'By Round'!J19)</f>
        <v/>
      </c>
      <c r="K46">
        <f>IF(ISBLANK('By Round'!K19),"",'By Round'!K19)</f>
        <v/>
      </c>
      <c r="L46" s="12">
        <f>SUM(AF46:AK46)</f>
        <v/>
      </c>
      <c r="M46" s="13">
        <f>SUM(AL46:AQ46)</f>
        <v/>
      </c>
      <c r="N46" s="8">
        <f>IF(COUNT(T46:Y46)&gt;0,P46/COUNT(T46:Y46),0.5)</f>
        <v/>
      </c>
      <c r="O46" s="8">
        <f>IF(COUNT(Z46:AE46)&gt;0,Q46/COUNT(Z46:AE46),0.5)</f>
        <v/>
      </c>
      <c r="P46" s="5">
        <f>SUM(T46:Y46)</f>
        <v/>
      </c>
      <c r="Q46" s="5">
        <f>SUM(Z46:AE46)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IF(ISNUMBER(R46),IF(ISNUMBER(R45),IF(R46&gt;R45,1.0,IF(R46=R45,0.5,0.0)),""),"")</f>
        <v/>
      </c>
      <c r="U46">
        <f>IF(ISNUMBER(R46),IF(ISNUMBER(R47),IF(R46&gt;R47,1.0,IF(R46=R47,0.5,0.0)),""),"")</f>
        <v/>
      </c>
      <c r="V46">
        <f>IF(ISNUMBER(R46),IF(ISNUMBER(R48),IF(R46&gt;R48,1.0,IF(R46=R48,0.5,0.0)),""),"")</f>
        <v/>
      </c>
      <c r="W46">
        <f>IF(ISNUMBER(R46),IF(ISNUMBER(R49),IF(R46&gt;R49,1.0,IF(R46=R49,0.5,0.0)),""),"")</f>
        <v/>
      </c>
      <c r="X46">
        <f>IF(ISNUMBER(R46),IF(ISNUMBER(R50),IF(R46&gt;R50,1.0,IF(R46=R50,0.5,0.0)),""),"")</f>
        <v/>
      </c>
      <c r="Y46">
        <f>IF(ISNUMBER(R46),IF(ISNUMBER(R51),IF(R46&gt;R51,1.0,IF(R46=R51,0.5,0.0)),""),"")</f>
        <v/>
      </c>
      <c r="Z46">
        <f>IF(ISNUMBER(S46),IF(ISNUMBER(S45),IF(S46&gt;S45,1.0,IF(S46=S45,0.5,0.0)),""),"")</f>
        <v/>
      </c>
      <c r="AA46">
        <f>IF(ISNUMBER(S46),IF(ISNUMBER(S47),IF(S46&gt;S47,1.0,IF(S46=S47,0.5,0.0)),""),"")</f>
        <v/>
      </c>
      <c r="AB46">
        <f>IF(ISNUMBER(S46),IF(ISNUMBER(S48),IF(S46&gt;S48,1.0,IF(S46=S48,0.5,0.0)),""),"")</f>
        <v/>
      </c>
      <c r="AC46">
        <f>IF(ISNUMBER(S46),IF(ISNUMBER(S49),IF(S46&gt;S49,1.0,IF(S46=S49,0.5,0.0)),""),"")</f>
        <v/>
      </c>
      <c r="AD46">
        <f>IF(ISNUMBER(S46),IF(ISNUMBER(S50),IF(S46&gt;S50,1.0,IF(S46=S50,0.5,0.0)),""),"")</f>
        <v/>
      </c>
      <c r="AE46">
        <f>IF(ISNUMBER(S46),IF(ISNUMBER(S51),IF(S46&gt;S51,1.0,IF(S46=S51,0.5,0.0)),""),"")</f>
        <v/>
      </c>
      <c r="AF46" s="14">
        <f>IF(AND(ISNUMBER(R46),ISNUMBER(R45)),VLOOKUP(ABS(R46-R45),'IMP Table'!$A$2:$C$26,3)*SIGN(R46-R45),0)</f>
        <v/>
      </c>
      <c r="AG46">
        <f>IF(AND(ISNUMBER(R46),ISNUMBER(R47)),VLOOKUP(ABS(R46-R47),'IMP Table'!$A$2:$C$26,3)*SIGN(R46-R47),0)</f>
        <v/>
      </c>
      <c r="AH46">
        <f>IF(AND(ISNUMBER(R46),ISNUMBER(R48)),VLOOKUP(ABS(R46-R48),'IMP Table'!$A$2:$C$26,3)*SIGN(R46-R48),0)</f>
        <v/>
      </c>
      <c r="AI46">
        <f>IF(AND(ISNUMBER(R46),ISNUMBER(R49)),VLOOKUP(ABS(R46-R49),'IMP Table'!$A$2:$C$26,3)*SIGN(R46-R49),0)</f>
        <v/>
      </c>
      <c r="AJ46">
        <f>IF(AND(ISNUMBER(R46),ISNUMBER(R50)),VLOOKUP(ABS(R46-R50),'IMP Table'!$A$2:$C$26,3)*SIGN(R46-R50),0)</f>
        <v/>
      </c>
      <c r="AK46">
        <f>IF(AND(ISNUMBER(R46),ISNUMBER(R51)),VLOOKUP(ABS(R46-R51),'IMP Table'!$A$2:$C$26,3)*SIGN(R46-R51),0)</f>
        <v/>
      </c>
      <c r="AL46">
        <f>IF(AND(ISNUMBER(S46),ISNUMBER(S45)),VLOOKUP(ABS(S46-S45),'IMP Table'!$A$2:$C$26,3)*SIGN(S46-S45),0)</f>
        <v/>
      </c>
      <c r="AM46">
        <f>IF(AND(ISNUMBER(S46),ISNUMBER(S47)),VLOOKUP(ABS(S46-S47),'IMP Table'!$A$2:$C$26,3)*SIGN(S46-S47),0)</f>
        <v/>
      </c>
      <c r="AN46">
        <f>IF(AND(ISNUMBER(S46),ISNUMBER(S48)),VLOOKUP(ABS(S46-S48),'IMP Table'!$A$2:$C$26,3)*SIGN(S46-S48),0)</f>
        <v/>
      </c>
      <c r="AO46">
        <f>IF(AND(ISNUMBER(S46),ISNUMBER(S49)),VLOOKUP(ABS(S46-S49),'IMP Table'!$A$2:$C$26,3)*SIGN(S46-S49),0)</f>
        <v/>
      </c>
      <c r="AP46">
        <f>IF(AND(ISNUMBER(S46),ISNUMBER(S50)),VLOOKUP(ABS(S46-S50),'IMP Table'!$A$2:$C$26,3)*SIGN(S46-S50),0)</f>
        <v/>
      </c>
      <c r="AQ46">
        <f>IF(AND(ISNUMBER(S46),ISNUMBER(S51)),VLOOKUP(ABS(S46-S51),'IMP Table'!$A$2:$C$26,3)*SIGN(S46-S51),0)</f>
        <v/>
      </c>
    </row>
    <row r="47">
      <c r="B47">
        <f>'By Round'!A45</f>
        <v/>
      </c>
      <c r="C47">
        <f>'By Round'!B45</f>
        <v/>
      </c>
      <c r="D47">
        <f>'By Round'!C45</f>
        <v/>
      </c>
      <c r="E47">
        <f>'By Round'!D45</f>
        <v/>
      </c>
      <c r="F47" s="11" t="inlineStr">
        <is>
          <t>Both</t>
        </is>
      </c>
      <c r="G47">
        <f>IF(ISBLANK('By Round'!G45),"",'By Round'!G45)</f>
        <v/>
      </c>
      <c r="H47">
        <f>IF(ISBLANK('By Round'!H45),"",'By Round'!H45)</f>
        <v/>
      </c>
      <c r="I47">
        <f>IF(ISBLANK('By Round'!I45),"",'By Round'!I45)</f>
        <v/>
      </c>
      <c r="J47">
        <f>IF(ISBLANK('By Round'!J45),"",'By Round'!J45)</f>
        <v/>
      </c>
      <c r="K47">
        <f>IF(ISBLANK('By Round'!K45),"",'By Round'!K45)</f>
        <v/>
      </c>
      <c r="L47" s="12">
        <f>SUM(AF47:AK47)</f>
        <v/>
      </c>
      <c r="M47" s="13">
        <f>SUM(AL47:AQ47)</f>
        <v/>
      </c>
      <c r="N47" s="8">
        <f>IF(COUNT(T47:Y47)&gt;0,P47/COUNT(T47:Y47),0.5)</f>
        <v/>
      </c>
      <c r="O47" s="8">
        <f>IF(COUNT(Z47:AE47)&gt;0,Q47/COUNT(Z47:AE47),0.5)</f>
        <v/>
      </c>
      <c r="P47" s="5">
        <f>SUM(T47:Y47)</f>
        <v/>
      </c>
      <c r="Q47" s="5">
        <f>SUM(Z47:AE47)</f>
        <v/>
      </c>
      <c r="R47" s="14">
        <f>IF(ISNUMBER(J47),J47,IF(ISNUMBER(K47),-K47,""))</f>
        <v/>
      </c>
      <c r="S47">
        <f>IF(ISNUMBER(K47),K47,IF(ISNUMBER(J47),-J47,""))</f>
        <v/>
      </c>
      <c r="T47" s="14">
        <f>IF(ISNUMBER(R47),IF(ISNUMBER(R45),IF(R47&gt;R45,1.0,IF(R47=R45,0.5,0.0)),""),"")</f>
        <v/>
      </c>
      <c r="U47">
        <f>IF(ISNUMBER(R47),IF(ISNUMBER(R46),IF(R47&gt;R46,1.0,IF(R47=R46,0.5,0.0)),""),"")</f>
        <v/>
      </c>
      <c r="V47">
        <f>IF(ISNUMBER(R47),IF(ISNUMBER(R48),IF(R47&gt;R48,1.0,IF(R47=R48,0.5,0.0)),""),"")</f>
        <v/>
      </c>
      <c r="W47">
        <f>IF(ISNUMBER(R47),IF(ISNUMBER(R49),IF(R47&gt;R49,1.0,IF(R47=R49,0.5,0.0)),""),"")</f>
        <v/>
      </c>
      <c r="X47">
        <f>IF(ISNUMBER(R47),IF(ISNUMBER(R50),IF(R47&gt;R50,1.0,IF(R47=R50,0.5,0.0)),""),"")</f>
        <v/>
      </c>
      <c r="Y47">
        <f>IF(ISNUMBER(R47),IF(ISNUMBER(R51),IF(R47&gt;R51,1.0,IF(R47=R51,0.5,0.0)),""),"")</f>
        <v/>
      </c>
      <c r="Z47">
        <f>IF(ISNUMBER(S47),IF(ISNUMBER(S45),IF(S47&gt;S45,1.0,IF(S47=S45,0.5,0.0)),""),"")</f>
        <v/>
      </c>
      <c r="AA47">
        <f>IF(ISNUMBER(S47),IF(ISNUMBER(S46),IF(S47&gt;S46,1.0,IF(S47=S46,0.5,0.0)),""),"")</f>
        <v/>
      </c>
      <c r="AB47">
        <f>IF(ISNUMBER(S47),IF(ISNUMBER(S48),IF(S47&gt;S48,1.0,IF(S47=S48,0.5,0.0)),""),"")</f>
        <v/>
      </c>
      <c r="AC47">
        <f>IF(ISNUMBER(S47),IF(ISNUMBER(S49),IF(S47&gt;S49,1.0,IF(S47=S49,0.5,0.0)),""),"")</f>
        <v/>
      </c>
      <c r="AD47">
        <f>IF(ISNUMBER(S47),IF(ISNUMBER(S50),IF(S47&gt;S50,1.0,IF(S47=S50,0.5,0.0)),""),"")</f>
        <v/>
      </c>
      <c r="AE47">
        <f>IF(ISNUMBER(S47),IF(ISNUMBER(S51),IF(S47&gt;S51,1.0,IF(S47=S51,0.5,0.0)),""),"")</f>
        <v/>
      </c>
      <c r="AF47" s="14">
        <f>IF(AND(ISNUMBER(R47),ISNUMBER(R45)),VLOOKUP(ABS(R47-R45),'IMP Table'!$A$2:$C$26,3)*SIGN(R47-R45),0)</f>
        <v/>
      </c>
      <c r="AG47">
        <f>IF(AND(ISNUMBER(R47),ISNUMBER(R46)),VLOOKUP(ABS(R47-R46),'IMP Table'!$A$2:$C$26,3)*SIGN(R47-R46),0)</f>
        <v/>
      </c>
      <c r="AH47">
        <f>IF(AND(ISNUMBER(R47),ISNUMBER(R48)),VLOOKUP(ABS(R47-R48),'IMP Table'!$A$2:$C$26,3)*SIGN(R47-R48),0)</f>
        <v/>
      </c>
      <c r="AI47">
        <f>IF(AND(ISNUMBER(R47),ISNUMBER(R49)),VLOOKUP(ABS(R47-R49),'IMP Table'!$A$2:$C$26,3)*SIGN(R47-R49),0)</f>
        <v/>
      </c>
      <c r="AJ47">
        <f>IF(AND(ISNUMBER(R47),ISNUMBER(R50)),VLOOKUP(ABS(R47-R50),'IMP Table'!$A$2:$C$26,3)*SIGN(R47-R50),0)</f>
        <v/>
      </c>
      <c r="AK47">
        <f>IF(AND(ISNUMBER(R47),ISNUMBER(R51)),VLOOKUP(ABS(R47-R51),'IMP Table'!$A$2:$C$26,3)*SIGN(R47-R51),0)</f>
        <v/>
      </c>
      <c r="AL47">
        <f>IF(AND(ISNUMBER(S47),ISNUMBER(S45)),VLOOKUP(ABS(S47-S45),'IMP Table'!$A$2:$C$26,3)*SIGN(S47-S45),0)</f>
        <v/>
      </c>
      <c r="AM47">
        <f>IF(AND(ISNUMBER(S47),ISNUMBER(S46)),VLOOKUP(ABS(S47-S46),'IMP Table'!$A$2:$C$26,3)*SIGN(S47-S46),0)</f>
        <v/>
      </c>
      <c r="AN47">
        <f>IF(AND(ISNUMBER(S47),ISNUMBER(S48)),VLOOKUP(ABS(S47-S48),'IMP Table'!$A$2:$C$26,3)*SIGN(S47-S48),0)</f>
        <v/>
      </c>
      <c r="AO47">
        <f>IF(AND(ISNUMBER(S47),ISNUMBER(S49)),VLOOKUP(ABS(S47-S49),'IMP Table'!$A$2:$C$26,3)*SIGN(S47-S49),0)</f>
        <v/>
      </c>
      <c r="AP47">
        <f>IF(AND(ISNUMBER(S47),ISNUMBER(S50)),VLOOKUP(ABS(S47-S50),'IMP Table'!$A$2:$C$26,3)*SIGN(S47-S50),0)</f>
        <v/>
      </c>
      <c r="AQ47">
        <f>IF(AND(ISNUMBER(S47),ISNUMBER(S51)),VLOOKUP(ABS(S47-S51),'IMP Table'!$A$2:$C$26,3)*SIGN(S47-S51),0)</f>
        <v/>
      </c>
    </row>
    <row r="48">
      <c r="B48">
        <f>'By Round'!A73</f>
        <v/>
      </c>
      <c r="C48">
        <f>'By Round'!B85</f>
        <v/>
      </c>
      <c r="D48">
        <f>'By Round'!C85</f>
        <v/>
      </c>
      <c r="E48">
        <f>'By Round'!D85</f>
        <v/>
      </c>
      <c r="F48" s="11" t="inlineStr">
        <is>
          <t>Both</t>
        </is>
      </c>
      <c r="G48">
        <f>IF(ISBLANK('By Round'!G85),"",'By Round'!G85)</f>
        <v/>
      </c>
      <c r="H48">
        <f>IF(ISBLANK('By Round'!H85),"",'By Round'!H85)</f>
        <v/>
      </c>
      <c r="I48">
        <f>IF(ISBLANK('By Round'!I85),"",'By Round'!I85)</f>
        <v/>
      </c>
      <c r="J48">
        <f>IF(ISBLANK('By Round'!J85),"",'By Round'!J85)</f>
        <v/>
      </c>
      <c r="K48">
        <f>IF(ISBLANK('By Round'!K85),"",'By Round'!K85)</f>
        <v/>
      </c>
      <c r="L48" s="12">
        <f>SUM(AF48:AK48)</f>
        <v/>
      </c>
      <c r="M48" s="13">
        <f>SUM(AL48:AQ48)</f>
        <v/>
      </c>
      <c r="N48" s="8">
        <f>IF(COUNT(T48:Y48)&gt;0,P48/COUNT(T48:Y48),0.5)</f>
        <v/>
      </c>
      <c r="O48" s="8">
        <f>IF(COUNT(Z48:AE48)&gt;0,Q48/COUNT(Z48:AE48),0.5)</f>
        <v/>
      </c>
      <c r="P48" s="5">
        <f>SUM(T48:Y48)</f>
        <v/>
      </c>
      <c r="Q48" s="5">
        <f>SUM(Z48:AE48)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IF(ISNUMBER(R48),IF(ISNUMBER(R45),IF(R48&gt;R45,1.0,IF(R48=R45,0.5,0.0)),""),"")</f>
        <v/>
      </c>
      <c r="U48">
        <f>IF(ISNUMBER(R48),IF(ISNUMBER(R46),IF(R48&gt;R46,1.0,IF(R48=R46,0.5,0.0)),""),"")</f>
        <v/>
      </c>
      <c r="V48">
        <f>IF(ISNUMBER(R48),IF(ISNUMBER(R47),IF(R48&gt;R47,1.0,IF(R48=R47,0.5,0.0)),""),"")</f>
        <v/>
      </c>
      <c r="W48">
        <f>IF(ISNUMBER(R48),IF(ISNUMBER(R49),IF(R48&gt;R49,1.0,IF(R48=R49,0.5,0.0)),""),"")</f>
        <v/>
      </c>
      <c r="X48">
        <f>IF(ISNUMBER(R48),IF(ISNUMBER(R50),IF(R48&gt;R50,1.0,IF(R48=R50,0.5,0.0)),""),"")</f>
        <v/>
      </c>
      <c r="Y48">
        <f>IF(ISNUMBER(R48),IF(ISNUMBER(R51),IF(R48&gt;R51,1.0,IF(R48=R51,0.5,0.0)),""),"")</f>
        <v/>
      </c>
      <c r="Z48">
        <f>IF(ISNUMBER(S48),IF(ISNUMBER(S45),IF(S48&gt;S45,1.0,IF(S48=S45,0.5,0.0)),""),"")</f>
        <v/>
      </c>
      <c r="AA48">
        <f>IF(ISNUMBER(S48),IF(ISNUMBER(S46),IF(S48&gt;S46,1.0,IF(S48=S46,0.5,0.0)),""),"")</f>
        <v/>
      </c>
      <c r="AB48">
        <f>IF(ISNUMBER(S48),IF(ISNUMBER(S47),IF(S48&gt;S47,1.0,IF(S48=S47,0.5,0.0)),""),"")</f>
        <v/>
      </c>
      <c r="AC48">
        <f>IF(ISNUMBER(S48),IF(ISNUMBER(S49),IF(S48&gt;S49,1.0,IF(S48=S49,0.5,0.0)),""),"")</f>
        <v/>
      </c>
      <c r="AD48">
        <f>IF(ISNUMBER(S48),IF(ISNUMBER(S50),IF(S48&gt;S50,1.0,IF(S48=S50,0.5,0.0)),""),"")</f>
        <v/>
      </c>
      <c r="AE48">
        <f>IF(ISNUMBER(S48),IF(ISNUMBER(S51),IF(S48&gt;S51,1.0,IF(S48=S51,0.5,0.0)),""),"")</f>
        <v/>
      </c>
      <c r="AF48" s="14">
        <f>IF(AND(ISNUMBER(R48),ISNUMBER(R45)),VLOOKUP(ABS(R48-R45),'IMP Table'!$A$2:$C$26,3)*SIGN(R48-R45),0)</f>
        <v/>
      </c>
      <c r="AG48">
        <f>IF(AND(ISNUMBER(R48),ISNUMBER(R46)),VLOOKUP(ABS(R48-R46),'IMP Table'!$A$2:$C$26,3)*SIGN(R48-R46),0)</f>
        <v/>
      </c>
      <c r="AH48">
        <f>IF(AND(ISNUMBER(R48),ISNUMBER(R47)),VLOOKUP(ABS(R48-R47),'IMP Table'!$A$2:$C$26,3)*SIGN(R48-R47),0)</f>
        <v/>
      </c>
      <c r="AI48">
        <f>IF(AND(ISNUMBER(R48),ISNUMBER(R49)),VLOOKUP(ABS(R48-R49),'IMP Table'!$A$2:$C$26,3)*SIGN(R48-R49),0)</f>
        <v/>
      </c>
      <c r="AJ48">
        <f>IF(AND(ISNUMBER(R48),ISNUMBER(R50)),VLOOKUP(ABS(R48-R50),'IMP Table'!$A$2:$C$26,3)*SIGN(R48-R50),0)</f>
        <v/>
      </c>
      <c r="AK48">
        <f>IF(AND(ISNUMBER(R48),ISNUMBER(R51)),VLOOKUP(ABS(R48-R51),'IMP Table'!$A$2:$C$26,3)*SIGN(R48-R51),0)</f>
        <v/>
      </c>
      <c r="AL48">
        <f>IF(AND(ISNUMBER(S48),ISNUMBER(S45)),VLOOKUP(ABS(S48-S45),'IMP Table'!$A$2:$C$26,3)*SIGN(S48-S45),0)</f>
        <v/>
      </c>
      <c r="AM48">
        <f>IF(AND(ISNUMBER(S48),ISNUMBER(S46)),VLOOKUP(ABS(S48-S46),'IMP Table'!$A$2:$C$26,3)*SIGN(S48-S46),0)</f>
        <v/>
      </c>
      <c r="AN48">
        <f>IF(AND(ISNUMBER(S48),ISNUMBER(S47)),VLOOKUP(ABS(S48-S47),'IMP Table'!$A$2:$C$26,3)*SIGN(S48-S47),0)</f>
        <v/>
      </c>
      <c r="AO48">
        <f>IF(AND(ISNUMBER(S48),ISNUMBER(S49)),VLOOKUP(ABS(S48-S49),'IMP Table'!$A$2:$C$26,3)*SIGN(S48-S49),0)</f>
        <v/>
      </c>
      <c r="AP48">
        <f>IF(AND(ISNUMBER(S48),ISNUMBER(S50)),VLOOKUP(ABS(S48-S50),'IMP Table'!$A$2:$C$26,3)*SIGN(S48-S50),0)</f>
        <v/>
      </c>
      <c r="AQ48">
        <f>IF(AND(ISNUMBER(S48),ISNUMBER(S51)),VLOOKUP(ABS(S48-S51),'IMP Table'!$A$2:$C$26,3)*SIGN(S48-S51),0)</f>
        <v/>
      </c>
    </row>
    <row r="49">
      <c r="B49">
        <f>'By Round'!A87</f>
        <v/>
      </c>
      <c r="C49">
        <f>'By Round'!B97</f>
        <v/>
      </c>
      <c r="D49">
        <f>'By Round'!C97</f>
        <v/>
      </c>
      <c r="E49">
        <f>'By Round'!D97</f>
        <v/>
      </c>
      <c r="F49" s="11" t="inlineStr">
        <is>
          <t>Both</t>
        </is>
      </c>
      <c r="G49">
        <f>IF(ISBLANK('By Round'!G97),"",'By Round'!G97)</f>
        <v/>
      </c>
      <c r="H49">
        <f>IF(ISBLANK('By Round'!H97),"",'By Round'!H97)</f>
        <v/>
      </c>
      <c r="I49">
        <f>IF(ISBLANK('By Round'!I97),"",'By Round'!I97)</f>
        <v/>
      </c>
      <c r="J49">
        <f>IF(ISBLANK('By Round'!J97),"",'By Round'!J97)</f>
        <v/>
      </c>
      <c r="K49">
        <f>IF(ISBLANK('By Round'!K97),"",'By Round'!K97)</f>
        <v/>
      </c>
      <c r="L49" s="12">
        <f>SUM(AF49:AK49)</f>
        <v/>
      </c>
      <c r="M49" s="13">
        <f>SUM(AL49:AQ49)</f>
        <v/>
      </c>
      <c r="N49" s="8">
        <f>IF(COUNT(T49:Y49)&gt;0,P49/COUNT(T49:Y49),0.5)</f>
        <v/>
      </c>
      <c r="O49" s="8">
        <f>IF(COUNT(Z49:AE49)&gt;0,Q49/COUNT(Z49:AE49),0.5)</f>
        <v/>
      </c>
      <c r="P49" s="5">
        <f>SUM(T49:Y49)</f>
        <v/>
      </c>
      <c r="Q49" s="5">
        <f>SUM(Z49:AE49)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IF(ISNUMBER(R49),IF(ISNUMBER(R45),IF(R49&gt;R45,1.0,IF(R49=R45,0.5,0.0)),""),"")</f>
        <v/>
      </c>
      <c r="U49">
        <f>IF(ISNUMBER(R49),IF(ISNUMBER(R46),IF(R49&gt;R46,1.0,IF(R49=R46,0.5,0.0)),""),"")</f>
        <v/>
      </c>
      <c r="V49">
        <f>IF(ISNUMBER(R49),IF(ISNUMBER(R47),IF(R49&gt;R47,1.0,IF(R49=R47,0.5,0.0)),""),"")</f>
        <v/>
      </c>
      <c r="W49">
        <f>IF(ISNUMBER(R49),IF(ISNUMBER(R48),IF(R49&gt;R48,1.0,IF(R49=R48,0.5,0.0)),""),"")</f>
        <v/>
      </c>
      <c r="X49">
        <f>IF(ISNUMBER(R49),IF(ISNUMBER(R50),IF(R49&gt;R50,1.0,IF(R49=R50,0.5,0.0)),""),"")</f>
        <v/>
      </c>
      <c r="Y49">
        <f>IF(ISNUMBER(R49),IF(ISNUMBER(R51),IF(R49&gt;R51,1.0,IF(R49=R51,0.5,0.0)),""),"")</f>
        <v/>
      </c>
      <c r="Z49">
        <f>IF(ISNUMBER(S49),IF(ISNUMBER(S45),IF(S49&gt;S45,1.0,IF(S49=S45,0.5,0.0)),""),"")</f>
        <v/>
      </c>
      <c r="AA49">
        <f>IF(ISNUMBER(S49),IF(ISNUMBER(S46),IF(S49&gt;S46,1.0,IF(S49=S46,0.5,0.0)),""),"")</f>
        <v/>
      </c>
      <c r="AB49">
        <f>IF(ISNUMBER(S49),IF(ISNUMBER(S47),IF(S49&gt;S47,1.0,IF(S49=S47,0.5,0.0)),""),"")</f>
        <v/>
      </c>
      <c r="AC49">
        <f>IF(ISNUMBER(S49),IF(ISNUMBER(S48),IF(S49&gt;S48,1.0,IF(S49=S48,0.5,0.0)),""),"")</f>
        <v/>
      </c>
      <c r="AD49">
        <f>IF(ISNUMBER(S49),IF(ISNUMBER(S50),IF(S49&gt;S50,1.0,IF(S49=S50,0.5,0.0)),""),"")</f>
        <v/>
      </c>
      <c r="AE49">
        <f>IF(ISNUMBER(S49),IF(ISNUMBER(S51),IF(S49&gt;S51,1.0,IF(S49=S51,0.5,0.0)),""),"")</f>
        <v/>
      </c>
      <c r="AF49" s="14">
        <f>IF(AND(ISNUMBER(R49),ISNUMBER(R45)),VLOOKUP(ABS(R49-R45),'IMP Table'!$A$2:$C$26,3)*SIGN(R49-R45),0)</f>
        <v/>
      </c>
      <c r="AG49">
        <f>IF(AND(ISNUMBER(R49),ISNUMBER(R46)),VLOOKUP(ABS(R49-R46),'IMP Table'!$A$2:$C$26,3)*SIGN(R49-R46),0)</f>
        <v/>
      </c>
      <c r="AH49">
        <f>IF(AND(ISNUMBER(R49),ISNUMBER(R47)),VLOOKUP(ABS(R49-R47),'IMP Table'!$A$2:$C$26,3)*SIGN(R49-R47),0)</f>
        <v/>
      </c>
      <c r="AI49">
        <f>IF(AND(ISNUMBER(R49),ISNUMBER(R48)),VLOOKUP(ABS(R49-R48),'IMP Table'!$A$2:$C$26,3)*SIGN(R49-R48),0)</f>
        <v/>
      </c>
      <c r="AJ49">
        <f>IF(AND(ISNUMBER(R49),ISNUMBER(R50)),VLOOKUP(ABS(R49-R50),'IMP Table'!$A$2:$C$26,3)*SIGN(R49-R50),0)</f>
        <v/>
      </c>
      <c r="AK49">
        <f>IF(AND(ISNUMBER(R49),ISNUMBER(R51)),VLOOKUP(ABS(R49-R51),'IMP Table'!$A$2:$C$26,3)*SIGN(R49-R51),0)</f>
        <v/>
      </c>
      <c r="AL49">
        <f>IF(AND(ISNUMBER(S49),ISNUMBER(S45)),VLOOKUP(ABS(S49-S45),'IMP Table'!$A$2:$C$26,3)*SIGN(S49-S45),0)</f>
        <v/>
      </c>
      <c r="AM49">
        <f>IF(AND(ISNUMBER(S49),ISNUMBER(S46)),VLOOKUP(ABS(S49-S46),'IMP Table'!$A$2:$C$26,3)*SIGN(S49-S46),0)</f>
        <v/>
      </c>
      <c r="AN49">
        <f>IF(AND(ISNUMBER(S49),ISNUMBER(S47)),VLOOKUP(ABS(S49-S47),'IMP Table'!$A$2:$C$26,3)*SIGN(S49-S47),0)</f>
        <v/>
      </c>
      <c r="AO49">
        <f>IF(AND(ISNUMBER(S49),ISNUMBER(S48)),VLOOKUP(ABS(S49-S48),'IMP Table'!$A$2:$C$26,3)*SIGN(S49-S48),0)</f>
        <v/>
      </c>
      <c r="AP49">
        <f>IF(AND(ISNUMBER(S49),ISNUMBER(S50)),VLOOKUP(ABS(S49-S50),'IMP Table'!$A$2:$C$26,3)*SIGN(S49-S50),0)</f>
        <v/>
      </c>
      <c r="AQ49">
        <f>IF(AND(ISNUMBER(S49),ISNUMBER(S51)),VLOOKUP(ABS(S49-S51),'IMP Table'!$A$2:$C$26,3)*SIGN(S49-S51),0)</f>
        <v/>
      </c>
    </row>
    <row r="50">
      <c r="B50">
        <f>'By Round'!A101</f>
        <v/>
      </c>
      <c r="C50">
        <f>'By Round'!B109</f>
        <v/>
      </c>
      <c r="D50">
        <f>'By Round'!C109</f>
        <v/>
      </c>
      <c r="E50">
        <f>'By Round'!D109</f>
        <v/>
      </c>
      <c r="F50" s="11" t="inlineStr">
        <is>
          <t>Both</t>
        </is>
      </c>
      <c r="G50">
        <f>IF(ISBLANK('By Round'!G109),"",'By Round'!G109)</f>
        <v/>
      </c>
      <c r="H50">
        <f>IF(ISBLANK('By Round'!H109),"",'By Round'!H109)</f>
        <v/>
      </c>
      <c r="I50">
        <f>IF(ISBLANK('By Round'!I109),"",'By Round'!I109)</f>
        <v/>
      </c>
      <c r="J50">
        <f>IF(ISBLANK('By Round'!J109),"",'By Round'!J109)</f>
        <v/>
      </c>
      <c r="K50">
        <f>IF(ISBLANK('By Round'!K109),"",'By Round'!K109)</f>
        <v/>
      </c>
      <c r="L50" s="12">
        <f>SUM(AF50:AK50)</f>
        <v/>
      </c>
      <c r="M50" s="13">
        <f>SUM(AL50:AQ50)</f>
        <v/>
      </c>
      <c r="N50" s="8">
        <f>IF(COUNT(T50:Y50)&gt;0,P50/COUNT(T50:Y50),0.5)</f>
        <v/>
      </c>
      <c r="O50" s="8">
        <f>IF(COUNT(Z50:AE50)&gt;0,Q50/COUNT(Z50:AE50),0.5)</f>
        <v/>
      </c>
      <c r="P50" s="5">
        <f>SUM(T50:Y50)</f>
        <v/>
      </c>
      <c r="Q50" s="5">
        <f>SUM(Z50:AE50)</f>
        <v/>
      </c>
      <c r="R50" s="14">
        <f>IF(ISNUMBER(J50),J50,IF(ISNUMBER(K50),-K50,""))</f>
        <v/>
      </c>
      <c r="S50">
        <f>IF(ISNUMBER(K50),K50,IF(ISNUMBER(J50),-J50,""))</f>
        <v/>
      </c>
      <c r="T50" s="14">
        <f>IF(ISNUMBER(R50),IF(ISNUMBER(R45),IF(R50&gt;R45,1.0,IF(R50=R45,0.5,0.0)),""),"")</f>
        <v/>
      </c>
      <c r="U50">
        <f>IF(ISNUMBER(R50),IF(ISNUMBER(R46),IF(R50&gt;R46,1.0,IF(R50=R46,0.5,0.0)),""),"")</f>
        <v/>
      </c>
      <c r="V50">
        <f>IF(ISNUMBER(R50),IF(ISNUMBER(R47),IF(R50&gt;R47,1.0,IF(R50=R47,0.5,0.0)),""),"")</f>
        <v/>
      </c>
      <c r="W50">
        <f>IF(ISNUMBER(R50),IF(ISNUMBER(R48),IF(R50&gt;R48,1.0,IF(R50=R48,0.5,0.0)),""),"")</f>
        <v/>
      </c>
      <c r="X50">
        <f>IF(ISNUMBER(R50),IF(ISNUMBER(R49),IF(R50&gt;R49,1.0,IF(R50=R49,0.5,0.0)),""),"")</f>
        <v/>
      </c>
      <c r="Y50">
        <f>IF(ISNUMBER(R50),IF(ISNUMBER(R51),IF(R50&gt;R51,1.0,IF(R50=R51,0.5,0.0)),""),"")</f>
        <v/>
      </c>
      <c r="Z50">
        <f>IF(ISNUMBER(S50),IF(ISNUMBER(S45),IF(S50&gt;S45,1.0,IF(S50=S45,0.5,0.0)),""),"")</f>
        <v/>
      </c>
      <c r="AA50">
        <f>IF(ISNUMBER(S50),IF(ISNUMBER(S46),IF(S50&gt;S46,1.0,IF(S50=S46,0.5,0.0)),""),"")</f>
        <v/>
      </c>
      <c r="AB50">
        <f>IF(ISNUMBER(S50),IF(ISNUMBER(S47),IF(S50&gt;S47,1.0,IF(S50=S47,0.5,0.0)),""),"")</f>
        <v/>
      </c>
      <c r="AC50">
        <f>IF(ISNUMBER(S50),IF(ISNUMBER(S48),IF(S50&gt;S48,1.0,IF(S50=S48,0.5,0.0)),""),"")</f>
        <v/>
      </c>
      <c r="AD50">
        <f>IF(ISNUMBER(S50),IF(ISNUMBER(S49),IF(S50&gt;S49,1.0,IF(S50=S49,0.5,0.0)),""),"")</f>
        <v/>
      </c>
      <c r="AE50">
        <f>IF(ISNUMBER(S50),IF(ISNUMBER(S51),IF(S50&gt;S51,1.0,IF(S50=S51,0.5,0.0)),""),"")</f>
        <v/>
      </c>
      <c r="AF50" s="14">
        <f>IF(AND(ISNUMBER(R50),ISNUMBER(R45)),VLOOKUP(ABS(R50-R45),'IMP Table'!$A$2:$C$26,3)*SIGN(R50-R45),0)</f>
        <v/>
      </c>
      <c r="AG50">
        <f>IF(AND(ISNUMBER(R50),ISNUMBER(R46)),VLOOKUP(ABS(R50-R46),'IMP Table'!$A$2:$C$26,3)*SIGN(R50-R46),0)</f>
        <v/>
      </c>
      <c r="AH50">
        <f>IF(AND(ISNUMBER(R50),ISNUMBER(R47)),VLOOKUP(ABS(R50-R47),'IMP Table'!$A$2:$C$26,3)*SIGN(R50-R47),0)</f>
        <v/>
      </c>
      <c r="AI50">
        <f>IF(AND(ISNUMBER(R50),ISNUMBER(R48)),VLOOKUP(ABS(R50-R48),'IMP Table'!$A$2:$C$26,3)*SIGN(R50-R48),0)</f>
        <v/>
      </c>
      <c r="AJ50">
        <f>IF(AND(ISNUMBER(R50),ISNUMBER(R49)),VLOOKUP(ABS(R50-R49),'IMP Table'!$A$2:$C$26,3)*SIGN(R50-R49),0)</f>
        <v/>
      </c>
      <c r="AK50">
        <f>IF(AND(ISNUMBER(R50),ISNUMBER(R51)),VLOOKUP(ABS(R50-R51),'IMP Table'!$A$2:$C$26,3)*SIGN(R50-R51),0)</f>
        <v/>
      </c>
      <c r="AL50">
        <f>IF(AND(ISNUMBER(S50),ISNUMBER(S45)),VLOOKUP(ABS(S50-S45),'IMP Table'!$A$2:$C$26,3)*SIGN(S50-S45),0)</f>
        <v/>
      </c>
      <c r="AM50">
        <f>IF(AND(ISNUMBER(S50),ISNUMBER(S46)),VLOOKUP(ABS(S50-S46),'IMP Table'!$A$2:$C$26,3)*SIGN(S50-S46),0)</f>
        <v/>
      </c>
      <c r="AN50">
        <f>IF(AND(ISNUMBER(S50),ISNUMBER(S47)),VLOOKUP(ABS(S50-S47),'IMP Table'!$A$2:$C$26,3)*SIGN(S50-S47),0)</f>
        <v/>
      </c>
      <c r="AO50">
        <f>IF(AND(ISNUMBER(S50),ISNUMBER(S48)),VLOOKUP(ABS(S50-S48),'IMP Table'!$A$2:$C$26,3)*SIGN(S50-S48),0)</f>
        <v/>
      </c>
      <c r="AP50">
        <f>IF(AND(ISNUMBER(S50),ISNUMBER(S49)),VLOOKUP(ABS(S50-S49),'IMP Table'!$A$2:$C$26,3)*SIGN(S50-S49),0)</f>
        <v/>
      </c>
      <c r="AQ50">
        <f>IF(AND(ISNUMBER(S50),ISNUMBER(S51)),VLOOKUP(ABS(S50-S51),'IMP Table'!$A$2:$C$26,3)*SIGN(S50-S51),0)</f>
        <v/>
      </c>
    </row>
    <row r="51">
      <c r="A51" s="15" t="n"/>
      <c r="B51" s="15">
        <f>'By Round'!A171</f>
        <v/>
      </c>
      <c r="C51" s="15">
        <f>'By Round'!B177</f>
        <v/>
      </c>
      <c r="D51" s="15">
        <f>'By Round'!C177</f>
        <v/>
      </c>
      <c r="E51" s="15">
        <f>'By Round'!D177</f>
        <v/>
      </c>
      <c r="F51" s="16" t="inlineStr">
        <is>
          <t>Both</t>
        </is>
      </c>
      <c r="G51" s="15">
        <f>IF(ISBLANK('By Round'!G177),"",'By Round'!G177)</f>
        <v/>
      </c>
      <c r="H51" s="15">
        <f>IF(ISBLANK('By Round'!H177),"",'By Round'!H177)</f>
        <v/>
      </c>
      <c r="I51" s="15">
        <f>IF(ISBLANK('By Round'!I177),"",'By Round'!I177)</f>
        <v/>
      </c>
      <c r="J51" s="15">
        <f>IF(ISBLANK('By Round'!J177),"",'By Round'!J177)</f>
        <v/>
      </c>
      <c r="K51" s="15">
        <f>IF(ISBLANK('By Round'!K177),"",'By Round'!K177)</f>
        <v/>
      </c>
      <c r="L51" s="17">
        <f>SUM(AF51:AK51)</f>
        <v/>
      </c>
      <c r="M51" s="18">
        <f>SUM(AL51:AQ51)</f>
        <v/>
      </c>
      <c r="N51" s="19">
        <f>IF(COUNT(T51:Y51)&gt;0,P51/COUNT(T51:Y51),0.5)</f>
        <v/>
      </c>
      <c r="O51" s="19">
        <f>IF(COUNT(Z51:AE51)&gt;0,Q51/COUNT(Z51:AE51),0.5)</f>
        <v/>
      </c>
      <c r="P51" s="20">
        <f>SUM(T51:Y51)</f>
        <v/>
      </c>
      <c r="Q51" s="20">
        <f>SUM(Z51:AE51)</f>
        <v/>
      </c>
      <c r="R51" s="21">
        <f>IF(ISNUMBER(J51),J51,IF(ISNUMBER(K51),-K51,""))</f>
        <v/>
      </c>
      <c r="S51" s="15">
        <f>IF(ISNUMBER(K51),K51,IF(ISNUMBER(J51),-J51,""))</f>
        <v/>
      </c>
      <c r="T51" s="21">
        <f>IF(ISNUMBER(R51),IF(ISNUMBER(R45),IF(R51&gt;R45,1.0,IF(R51=R45,0.5,0.0)),""),"")</f>
        <v/>
      </c>
      <c r="U51" s="15">
        <f>IF(ISNUMBER(R51),IF(ISNUMBER(R46),IF(R51&gt;R46,1.0,IF(R51=R46,0.5,0.0)),""),"")</f>
        <v/>
      </c>
      <c r="V51" s="15">
        <f>IF(ISNUMBER(R51),IF(ISNUMBER(R47),IF(R51&gt;R47,1.0,IF(R51=R47,0.5,0.0)),""),"")</f>
        <v/>
      </c>
      <c r="W51" s="15">
        <f>IF(ISNUMBER(R51),IF(ISNUMBER(R48),IF(R51&gt;R48,1.0,IF(R51=R48,0.5,0.0)),""),"")</f>
        <v/>
      </c>
      <c r="X51" s="15">
        <f>IF(ISNUMBER(R51),IF(ISNUMBER(R49),IF(R51&gt;R49,1.0,IF(R51=R49,0.5,0.0)),""),"")</f>
        <v/>
      </c>
      <c r="Y51" s="15">
        <f>IF(ISNUMBER(R51),IF(ISNUMBER(R50),IF(R51&gt;R50,1.0,IF(R51=R50,0.5,0.0)),""),"")</f>
        <v/>
      </c>
      <c r="Z51" s="15">
        <f>IF(ISNUMBER(S51),IF(ISNUMBER(S45),IF(S51&gt;S45,1.0,IF(S51=S45,0.5,0.0)),""),"")</f>
        <v/>
      </c>
      <c r="AA51" s="15">
        <f>IF(ISNUMBER(S51),IF(ISNUMBER(S46),IF(S51&gt;S46,1.0,IF(S51=S46,0.5,0.0)),""),"")</f>
        <v/>
      </c>
      <c r="AB51" s="15">
        <f>IF(ISNUMBER(S51),IF(ISNUMBER(S47),IF(S51&gt;S47,1.0,IF(S51=S47,0.5,0.0)),""),"")</f>
        <v/>
      </c>
      <c r="AC51" s="15">
        <f>IF(ISNUMBER(S51),IF(ISNUMBER(S48),IF(S51&gt;S48,1.0,IF(S51=S48,0.5,0.0)),""),"")</f>
        <v/>
      </c>
      <c r="AD51" s="15">
        <f>IF(ISNUMBER(S51),IF(ISNUMBER(S49),IF(S51&gt;S49,1.0,IF(S51=S49,0.5,0.0)),""),"")</f>
        <v/>
      </c>
      <c r="AE51" s="15">
        <f>IF(ISNUMBER(S51),IF(ISNUMBER(S50),IF(S51&gt;S50,1.0,IF(S51=S50,0.5,0.0)),""),"")</f>
        <v/>
      </c>
      <c r="AF51" s="21">
        <f>IF(AND(ISNUMBER(R51),ISNUMBER(R45)),VLOOKUP(ABS(R51-R45),'IMP Table'!$A$2:$C$26,3)*SIGN(R51-R45),0)</f>
        <v/>
      </c>
      <c r="AG51" s="15">
        <f>IF(AND(ISNUMBER(R51),ISNUMBER(R46)),VLOOKUP(ABS(R51-R46),'IMP Table'!$A$2:$C$26,3)*SIGN(R51-R46),0)</f>
        <v/>
      </c>
      <c r="AH51" s="15">
        <f>IF(AND(ISNUMBER(R51),ISNUMBER(R47)),VLOOKUP(ABS(R51-R47),'IMP Table'!$A$2:$C$26,3)*SIGN(R51-R47),0)</f>
        <v/>
      </c>
      <c r="AI51" s="15">
        <f>IF(AND(ISNUMBER(R51),ISNUMBER(R48)),VLOOKUP(ABS(R51-R48),'IMP Table'!$A$2:$C$26,3)*SIGN(R51-R48),0)</f>
        <v/>
      </c>
      <c r="AJ51" s="15">
        <f>IF(AND(ISNUMBER(R51),ISNUMBER(R49)),VLOOKUP(ABS(R51-R49),'IMP Table'!$A$2:$C$26,3)*SIGN(R51-R49),0)</f>
        <v/>
      </c>
      <c r="AK51" s="15">
        <f>IF(AND(ISNUMBER(R51),ISNUMBER(R50)),VLOOKUP(ABS(R51-R50),'IMP Table'!$A$2:$C$26,3)*SIGN(R51-R50),0)</f>
        <v/>
      </c>
      <c r="AL51" s="15">
        <f>IF(AND(ISNUMBER(S51),ISNUMBER(S45)),VLOOKUP(ABS(S51-S45),'IMP Table'!$A$2:$C$26,3)*SIGN(S51-S45),0)</f>
        <v/>
      </c>
      <c r="AM51" s="15">
        <f>IF(AND(ISNUMBER(S51),ISNUMBER(S46)),VLOOKUP(ABS(S51-S46),'IMP Table'!$A$2:$C$26,3)*SIGN(S51-S46),0)</f>
        <v/>
      </c>
      <c r="AN51" s="15">
        <f>IF(AND(ISNUMBER(S51),ISNUMBER(S47)),VLOOKUP(ABS(S51-S47),'IMP Table'!$A$2:$C$26,3)*SIGN(S51-S47),0)</f>
        <v/>
      </c>
      <c r="AO51" s="15">
        <f>IF(AND(ISNUMBER(S51),ISNUMBER(S48)),VLOOKUP(ABS(S51-S48),'IMP Table'!$A$2:$C$26,3)*SIGN(S51-S48),0)</f>
        <v/>
      </c>
      <c r="AP51" s="15">
        <f>IF(AND(ISNUMBER(S51),ISNUMBER(S49)),VLOOKUP(ABS(S51-S49),'IMP Table'!$A$2:$C$26,3)*SIGN(S51-S49),0)</f>
        <v/>
      </c>
      <c r="AQ51" s="15">
        <f>IF(AND(ISNUMBER(S51),ISNUMBER(S50)),VLOOKUP(ABS(S51-S50),'IMP Table'!$A$2:$C$26,3)*SIGN(S51-S50),0)</f>
        <v/>
      </c>
    </row>
    <row r="52">
      <c r="A52" t="n">
        <v>8</v>
      </c>
      <c r="B52">
        <f>'By Round'!A3</f>
        <v/>
      </c>
      <c r="C52">
        <f>'By Round'!B7</f>
        <v/>
      </c>
      <c r="D52">
        <f>'By Round'!C7</f>
        <v/>
      </c>
      <c r="E52">
        <f>'By Round'!D7</f>
        <v/>
      </c>
      <c r="F52" s="11" t="inlineStr">
        <is>
          <t>None</t>
        </is>
      </c>
      <c r="G52">
        <f>IF(ISBLANK('By Round'!G7),"",'By Round'!G7)</f>
        <v/>
      </c>
      <c r="H52">
        <f>IF(ISBLANK('By Round'!H7),"",'By Round'!H7)</f>
        <v/>
      </c>
      <c r="I52">
        <f>IF(ISBLANK('By Round'!I7),"",'By Round'!I7)</f>
        <v/>
      </c>
      <c r="J52">
        <f>IF(ISBLANK('By Round'!J7),"",'By Round'!J7)</f>
        <v/>
      </c>
      <c r="K52">
        <f>IF(ISBLANK('By Round'!K7),"",'By Round'!K7)</f>
        <v/>
      </c>
      <c r="L52" s="12">
        <f>SUM(AF52:AK52)</f>
        <v/>
      </c>
      <c r="M52" s="13">
        <f>SUM(AL52:AQ52)</f>
        <v/>
      </c>
      <c r="N52" s="8">
        <f>IF(COUNT(T52:Y52)&gt;0,P52/COUNT(T52:Y52),0.5)</f>
        <v/>
      </c>
      <c r="O52" s="8">
        <f>IF(COUNT(Z52:AE52)&gt;0,Q52/COUNT(Z52:AE52),0.5)</f>
        <v/>
      </c>
      <c r="P52" s="5">
        <f>SUM(T52:Y52)</f>
        <v/>
      </c>
      <c r="Q52" s="5">
        <f>SUM(Z52:AE52)</f>
        <v/>
      </c>
      <c r="R52" s="14">
        <f>IF(ISNUMBER(J52),J52,IF(ISNUMBER(K52),-K52,""))</f>
        <v/>
      </c>
      <c r="S52">
        <f>IF(ISNUMBER(K52),K52,IF(ISNUMBER(J52),-J52,""))</f>
        <v/>
      </c>
      <c r="T52" s="14">
        <f>IF(ISNUMBER(R52),IF(ISNUMBER(R53),IF(R52&gt;R53,1.0,IF(R52=R53,0.5,0.0)),""),"")</f>
        <v/>
      </c>
      <c r="U52">
        <f>IF(ISNUMBER(R52),IF(ISNUMBER(R54),IF(R52&gt;R54,1.0,IF(R52=R54,0.5,0.0)),""),"")</f>
        <v/>
      </c>
      <c r="V52">
        <f>IF(ISNUMBER(R52),IF(ISNUMBER(R55),IF(R52&gt;R55,1.0,IF(R52=R55,0.5,0.0)),""),"")</f>
        <v/>
      </c>
      <c r="W52">
        <f>IF(ISNUMBER(R52),IF(ISNUMBER(R56),IF(R52&gt;R56,1.0,IF(R52=R56,0.5,0.0)),""),"")</f>
        <v/>
      </c>
      <c r="X52">
        <f>IF(ISNUMBER(R52),IF(ISNUMBER(R57),IF(R52&gt;R57,1.0,IF(R52=R57,0.5,0.0)),""),"")</f>
        <v/>
      </c>
      <c r="Y52">
        <f>IF(ISNUMBER(R52),IF(ISNUMBER(R58),IF(R52&gt;R58,1.0,IF(R52=R58,0.5,0.0)),""),"")</f>
        <v/>
      </c>
      <c r="Z52">
        <f>IF(ISNUMBER(S52),IF(ISNUMBER(S53),IF(S52&gt;S53,1.0,IF(S52=S53,0.5,0.0)),""),"")</f>
        <v/>
      </c>
      <c r="AA52">
        <f>IF(ISNUMBER(S52),IF(ISNUMBER(S54),IF(S52&gt;S54,1.0,IF(S52=S54,0.5,0.0)),""),"")</f>
        <v/>
      </c>
      <c r="AB52">
        <f>IF(ISNUMBER(S52),IF(ISNUMBER(S55),IF(S52&gt;S55,1.0,IF(S52=S55,0.5,0.0)),""),"")</f>
        <v/>
      </c>
      <c r="AC52">
        <f>IF(ISNUMBER(S52),IF(ISNUMBER(S56),IF(S52&gt;S56,1.0,IF(S52=S56,0.5,0.0)),""),"")</f>
        <v/>
      </c>
      <c r="AD52">
        <f>IF(ISNUMBER(S52),IF(ISNUMBER(S57),IF(S52&gt;S57,1.0,IF(S52=S57,0.5,0.0)),""),"")</f>
        <v/>
      </c>
      <c r="AE52">
        <f>IF(ISNUMBER(S52),IF(ISNUMBER(S58),IF(S52&gt;S58,1.0,IF(S52=S58,0.5,0.0)),""),"")</f>
        <v/>
      </c>
      <c r="AF52" s="14">
        <f>IF(AND(ISNUMBER(R52),ISNUMBER(R53)),VLOOKUP(ABS(R52-R53),'IMP Table'!$A$2:$C$26,3)*SIGN(R52-R53),0)</f>
        <v/>
      </c>
      <c r="AG52">
        <f>IF(AND(ISNUMBER(R52),ISNUMBER(R54)),VLOOKUP(ABS(R52-R54),'IMP Table'!$A$2:$C$26,3)*SIGN(R52-R54),0)</f>
        <v/>
      </c>
      <c r="AH52">
        <f>IF(AND(ISNUMBER(R52),ISNUMBER(R55)),VLOOKUP(ABS(R52-R55),'IMP Table'!$A$2:$C$26,3)*SIGN(R52-R55),0)</f>
        <v/>
      </c>
      <c r="AI52">
        <f>IF(AND(ISNUMBER(R52),ISNUMBER(R56)),VLOOKUP(ABS(R52-R56),'IMP Table'!$A$2:$C$26,3)*SIGN(R52-R56),0)</f>
        <v/>
      </c>
      <c r="AJ52">
        <f>IF(AND(ISNUMBER(R52),ISNUMBER(R57)),VLOOKUP(ABS(R52-R57),'IMP Table'!$A$2:$C$26,3)*SIGN(R52-R57),0)</f>
        <v/>
      </c>
      <c r="AK52">
        <f>IF(AND(ISNUMBER(R52),ISNUMBER(R58)),VLOOKUP(ABS(R52-R58),'IMP Table'!$A$2:$C$26,3)*SIGN(R52-R58),0)</f>
        <v/>
      </c>
      <c r="AL52">
        <f>IF(AND(ISNUMBER(S52),ISNUMBER(S53)),VLOOKUP(ABS(S52-S53),'IMP Table'!$A$2:$C$26,3)*SIGN(S52-S53),0)</f>
        <v/>
      </c>
      <c r="AM52">
        <f>IF(AND(ISNUMBER(S52),ISNUMBER(S54)),VLOOKUP(ABS(S52-S54),'IMP Table'!$A$2:$C$26,3)*SIGN(S52-S54),0)</f>
        <v/>
      </c>
      <c r="AN52">
        <f>IF(AND(ISNUMBER(S52),ISNUMBER(S55)),VLOOKUP(ABS(S52-S55),'IMP Table'!$A$2:$C$26,3)*SIGN(S52-S55),0)</f>
        <v/>
      </c>
      <c r="AO52">
        <f>IF(AND(ISNUMBER(S52),ISNUMBER(S56)),VLOOKUP(ABS(S52-S56),'IMP Table'!$A$2:$C$26,3)*SIGN(S52-S56),0)</f>
        <v/>
      </c>
      <c r="AP52">
        <f>IF(AND(ISNUMBER(S52),ISNUMBER(S57)),VLOOKUP(ABS(S52-S57),'IMP Table'!$A$2:$C$26,3)*SIGN(S52-S57),0)</f>
        <v/>
      </c>
      <c r="AQ52">
        <f>IF(AND(ISNUMBER(S52),ISNUMBER(S58)),VLOOKUP(ABS(S52-S58),'IMP Table'!$A$2:$C$26,3)*SIGN(S52-S58),0)</f>
        <v/>
      </c>
    </row>
    <row r="53">
      <c r="B53">
        <f>'By Round'!A17</f>
        <v/>
      </c>
      <c r="C53">
        <f>'By Round'!B19</f>
        <v/>
      </c>
      <c r="D53">
        <f>'By Round'!C19</f>
        <v/>
      </c>
      <c r="E53">
        <f>'By Round'!D19</f>
        <v/>
      </c>
      <c r="F53" s="11" t="inlineStr">
        <is>
          <t>None</t>
        </is>
      </c>
      <c r="G53">
        <f>IF(ISBLANK('By Round'!G19),"",'By Round'!G19)</f>
        <v/>
      </c>
      <c r="H53">
        <f>IF(ISBLANK('By Round'!H19),"",'By Round'!H19)</f>
        <v/>
      </c>
      <c r="I53">
        <f>IF(ISBLANK('By Round'!I19),"",'By Round'!I19)</f>
        <v/>
      </c>
      <c r="J53">
        <f>IF(ISBLANK('By Round'!J19),"",'By Round'!J19)</f>
        <v/>
      </c>
      <c r="K53">
        <f>IF(ISBLANK('By Round'!K19),"",'By Round'!K19)</f>
        <v/>
      </c>
      <c r="L53" s="12">
        <f>SUM(AF53:AK53)</f>
        <v/>
      </c>
      <c r="M53" s="13">
        <f>SUM(AL53:AQ53)</f>
        <v/>
      </c>
      <c r="N53" s="8">
        <f>IF(COUNT(T53:Y53)&gt;0,P53/COUNT(T53:Y53),0.5)</f>
        <v/>
      </c>
      <c r="O53" s="8">
        <f>IF(COUNT(Z53:AE53)&gt;0,Q53/COUNT(Z53:AE53),0.5)</f>
        <v/>
      </c>
      <c r="P53" s="5">
        <f>SUM(T53:Y53)</f>
        <v/>
      </c>
      <c r="Q53" s="5">
        <f>SUM(Z53:AE53)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IF(ISNUMBER(R53),IF(ISNUMBER(R52),IF(R53&gt;R52,1.0,IF(R53=R52,0.5,0.0)),""),"")</f>
        <v/>
      </c>
      <c r="U53">
        <f>IF(ISNUMBER(R53),IF(ISNUMBER(R54),IF(R53&gt;R54,1.0,IF(R53=R54,0.5,0.0)),""),"")</f>
        <v/>
      </c>
      <c r="V53">
        <f>IF(ISNUMBER(R53),IF(ISNUMBER(R55),IF(R53&gt;R55,1.0,IF(R53=R55,0.5,0.0)),""),"")</f>
        <v/>
      </c>
      <c r="W53">
        <f>IF(ISNUMBER(R53),IF(ISNUMBER(R56),IF(R53&gt;R56,1.0,IF(R53=R56,0.5,0.0)),""),"")</f>
        <v/>
      </c>
      <c r="X53">
        <f>IF(ISNUMBER(R53),IF(ISNUMBER(R57),IF(R53&gt;R57,1.0,IF(R53=R57,0.5,0.0)),""),"")</f>
        <v/>
      </c>
      <c r="Y53">
        <f>IF(ISNUMBER(R53),IF(ISNUMBER(R58),IF(R53&gt;R58,1.0,IF(R53=R58,0.5,0.0)),""),"")</f>
        <v/>
      </c>
      <c r="Z53">
        <f>IF(ISNUMBER(S53),IF(ISNUMBER(S52),IF(S53&gt;S52,1.0,IF(S53=S52,0.5,0.0)),""),"")</f>
        <v/>
      </c>
      <c r="AA53">
        <f>IF(ISNUMBER(S53),IF(ISNUMBER(S54),IF(S53&gt;S54,1.0,IF(S53=S54,0.5,0.0)),""),"")</f>
        <v/>
      </c>
      <c r="AB53">
        <f>IF(ISNUMBER(S53),IF(ISNUMBER(S55),IF(S53&gt;S55,1.0,IF(S53=S55,0.5,0.0)),""),"")</f>
        <v/>
      </c>
      <c r="AC53">
        <f>IF(ISNUMBER(S53),IF(ISNUMBER(S56),IF(S53&gt;S56,1.0,IF(S53=S56,0.5,0.0)),""),"")</f>
        <v/>
      </c>
      <c r="AD53">
        <f>IF(ISNUMBER(S53),IF(ISNUMBER(S57),IF(S53&gt;S57,1.0,IF(S53=S57,0.5,0.0)),""),"")</f>
        <v/>
      </c>
      <c r="AE53">
        <f>IF(ISNUMBER(S53),IF(ISNUMBER(S58),IF(S53&gt;S58,1.0,IF(S53=S58,0.5,0.0)),""),"")</f>
        <v/>
      </c>
      <c r="AF53" s="14">
        <f>IF(AND(ISNUMBER(R53),ISNUMBER(R52)),VLOOKUP(ABS(R53-R52),'IMP Table'!$A$2:$C$26,3)*SIGN(R53-R52),0)</f>
        <v/>
      </c>
      <c r="AG53">
        <f>IF(AND(ISNUMBER(R53),ISNUMBER(R54)),VLOOKUP(ABS(R53-R54),'IMP Table'!$A$2:$C$26,3)*SIGN(R53-R54),0)</f>
        <v/>
      </c>
      <c r="AH53">
        <f>IF(AND(ISNUMBER(R53),ISNUMBER(R55)),VLOOKUP(ABS(R53-R55),'IMP Table'!$A$2:$C$26,3)*SIGN(R53-R55),0)</f>
        <v/>
      </c>
      <c r="AI53">
        <f>IF(AND(ISNUMBER(R53),ISNUMBER(R56)),VLOOKUP(ABS(R53-R56),'IMP Table'!$A$2:$C$26,3)*SIGN(R53-R56),0)</f>
        <v/>
      </c>
      <c r="AJ53">
        <f>IF(AND(ISNUMBER(R53),ISNUMBER(R57)),VLOOKUP(ABS(R53-R57),'IMP Table'!$A$2:$C$26,3)*SIGN(R53-R57),0)</f>
        <v/>
      </c>
      <c r="AK53">
        <f>IF(AND(ISNUMBER(R53),ISNUMBER(R58)),VLOOKUP(ABS(R53-R58),'IMP Table'!$A$2:$C$26,3)*SIGN(R53-R58),0)</f>
        <v/>
      </c>
      <c r="AL53">
        <f>IF(AND(ISNUMBER(S53),ISNUMBER(S52)),VLOOKUP(ABS(S53-S52),'IMP Table'!$A$2:$C$26,3)*SIGN(S53-S52),0)</f>
        <v/>
      </c>
      <c r="AM53">
        <f>IF(AND(ISNUMBER(S53),ISNUMBER(S54)),VLOOKUP(ABS(S53-S54),'IMP Table'!$A$2:$C$26,3)*SIGN(S53-S54),0)</f>
        <v/>
      </c>
      <c r="AN53">
        <f>IF(AND(ISNUMBER(S53),ISNUMBER(S55)),VLOOKUP(ABS(S53-S55),'IMP Table'!$A$2:$C$26,3)*SIGN(S53-S55),0)</f>
        <v/>
      </c>
      <c r="AO53">
        <f>IF(AND(ISNUMBER(S53),ISNUMBER(S56)),VLOOKUP(ABS(S53-S56),'IMP Table'!$A$2:$C$26,3)*SIGN(S53-S56),0)</f>
        <v/>
      </c>
      <c r="AP53">
        <f>IF(AND(ISNUMBER(S53),ISNUMBER(S57)),VLOOKUP(ABS(S53-S57),'IMP Table'!$A$2:$C$26,3)*SIGN(S53-S57),0)</f>
        <v/>
      </c>
      <c r="AQ53">
        <f>IF(AND(ISNUMBER(S53),ISNUMBER(S58)),VLOOKUP(ABS(S53-S58),'IMP Table'!$A$2:$C$26,3)*SIGN(S53-S58),0)</f>
        <v/>
      </c>
    </row>
    <row r="54">
      <c r="B54">
        <f>'By Round'!A45</f>
        <v/>
      </c>
      <c r="C54">
        <f>'By Round'!B45</f>
        <v/>
      </c>
      <c r="D54">
        <f>'By Round'!C45</f>
        <v/>
      </c>
      <c r="E54">
        <f>'By Round'!D45</f>
        <v/>
      </c>
      <c r="F54" s="11" t="inlineStr">
        <is>
          <t>None</t>
        </is>
      </c>
      <c r="G54">
        <f>IF(ISBLANK('By Round'!G45),"",'By Round'!G45)</f>
        <v/>
      </c>
      <c r="H54">
        <f>IF(ISBLANK('By Round'!H45),"",'By Round'!H45)</f>
        <v/>
      </c>
      <c r="I54">
        <f>IF(ISBLANK('By Round'!I45),"",'By Round'!I45)</f>
        <v/>
      </c>
      <c r="J54">
        <f>IF(ISBLANK('By Round'!J45),"",'By Round'!J45)</f>
        <v/>
      </c>
      <c r="K54">
        <f>IF(ISBLANK('By Round'!K45),"",'By Round'!K45)</f>
        <v/>
      </c>
      <c r="L54" s="12">
        <f>SUM(AF54:AK54)</f>
        <v/>
      </c>
      <c r="M54" s="13">
        <f>SUM(AL54:AQ54)</f>
        <v/>
      </c>
      <c r="N54" s="8">
        <f>IF(COUNT(T54:Y54)&gt;0,P54/COUNT(T54:Y54),0.5)</f>
        <v/>
      </c>
      <c r="O54" s="8">
        <f>IF(COUNT(Z54:AE54)&gt;0,Q54/COUNT(Z54:AE54),0.5)</f>
        <v/>
      </c>
      <c r="P54" s="5">
        <f>SUM(T54:Y54)</f>
        <v/>
      </c>
      <c r="Q54" s="5">
        <f>SUM(Z54:AE54)</f>
        <v/>
      </c>
      <c r="R54" s="14">
        <f>IF(ISNUMBER(J54),J54,IF(ISNUMBER(K54),-K54,""))</f>
        <v/>
      </c>
      <c r="S54">
        <f>IF(ISNUMBER(K54),K54,IF(ISNUMBER(J54),-J54,""))</f>
        <v/>
      </c>
      <c r="T54" s="14">
        <f>IF(ISNUMBER(R54),IF(ISNUMBER(R52),IF(R54&gt;R52,1.0,IF(R54=R52,0.5,0.0)),""),"")</f>
        <v/>
      </c>
      <c r="U54">
        <f>IF(ISNUMBER(R54),IF(ISNUMBER(R53),IF(R54&gt;R53,1.0,IF(R54=R53,0.5,0.0)),""),"")</f>
        <v/>
      </c>
      <c r="V54">
        <f>IF(ISNUMBER(R54),IF(ISNUMBER(R55),IF(R54&gt;R55,1.0,IF(R54=R55,0.5,0.0)),""),"")</f>
        <v/>
      </c>
      <c r="W54">
        <f>IF(ISNUMBER(R54),IF(ISNUMBER(R56),IF(R54&gt;R56,1.0,IF(R54=R56,0.5,0.0)),""),"")</f>
        <v/>
      </c>
      <c r="X54">
        <f>IF(ISNUMBER(R54),IF(ISNUMBER(R57),IF(R54&gt;R57,1.0,IF(R54=R57,0.5,0.0)),""),"")</f>
        <v/>
      </c>
      <c r="Y54">
        <f>IF(ISNUMBER(R54),IF(ISNUMBER(R58),IF(R54&gt;R58,1.0,IF(R54=R58,0.5,0.0)),""),"")</f>
        <v/>
      </c>
      <c r="Z54">
        <f>IF(ISNUMBER(S54),IF(ISNUMBER(S52),IF(S54&gt;S52,1.0,IF(S54=S52,0.5,0.0)),""),"")</f>
        <v/>
      </c>
      <c r="AA54">
        <f>IF(ISNUMBER(S54),IF(ISNUMBER(S53),IF(S54&gt;S53,1.0,IF(S54=S53,0.5,0.0)),""),"")</f>
        <v/>
      </c>
      <c r="AB54">
        <f>IF(ISNUMBER(S54),IF(ISNUMBER(S55),IF(S54&gt;S55,1.0,IF(S54=S55,0.5,0.0)),""),"")</f>
        <v/>
      </c>
      <c r="AC54">
        <f>IF(ISNUMBER(S54),IF(ISNUMBER(S56),IF(S54&gt;S56,1.0,IF(S54=S56,0.5,0.0)),""),"")</f>
        <v/>
      </c>
      <c r="AD54">
        <f>IF(ISNUMBER(S54),IF(ISNUMBER(S57),IF(S54&gt;S57,1.0,IF(S54=S57,0.5,0.0)),""),"")</f>
        <v/>
      </c>
      <c r="AE54">
        <f>IF(ISNUMBER(S54),IF(ISNUMBER(S58),IF(S54&gt;S58,1.0,IF(S54=S58,0.5,0.0)),""),"")</f>
        <v/>
      </c>
      <c r="AF54" s="14">
        <f>IF(AND(ISNUMBER(R54),ISNUMBER(R52)),VLOOKUP(ABS(R54-R52),'IMP Table'!$A$2:$C$26,3)*SIGN(R54-R52),0)</f>
        <v/>
      </c>
      <c r="AG54">
        <f>IF(AND(ISNUMBER(R54),ISNUMBER(R53)),VLOOKUP(ABS(R54-R53),'IMP Table'!$A$2:$C$26,3)*SIGN(R54-R53),0)</f>
        <v/>
      </c>
      <c r="AH54">
        <f>IF(AND(ISNUMBER(R54),ISNUMBER(R55)),VLOOKUP(ABS(R54-R55),'IMP Table'!$A$2:$C$26,3)*SIGN(R54-R55),0)</f>
        <v/>
      </c>
      <c r="AI54">
        <f>IF(AND(ISNUMBER(R54),ISNUMBER(R56)),VLOOKUP(ABS(R54-R56),'IMP Table'!$A$2:$C$26,3)*SIGN(R54-R56),0)</f>
        <v/>
      </c>
      <c r="AJ54">
        <f>IF(AND(ISNUMBER(R54),ISNUMBER(R57)),VLOOKUP(ABS(R54-R57),'IMP Table'!$A$2:$C$26,3)*SIGN(R54-R57),0)</f>
        <v/>
      </c>
      <c r="AK54">
        <f>IF(AND(ISNUMBER(R54),ISNUMBER(R58)),VLOOKUP(ABS(R54-R58),'IMP Table'!$A$2:$C$26,3)*SIGN(R54-R58),0)</f>
        <v/>
      </c>
      <c r="AL54">
        <f>IF(AND(ISNUMBER(S54),ISNUMBER(S52)),VLOOKUP(ABS(S54-S52),'IMP Table'!$A$2:$C$26,3)*SIGN(S54-S52),0)</f>
        <v/>
      </c>
      <c r="AM54">
        <f>IF(AND(ISNUMBER(S54),ISNUMBER(S53)),VLOOKUP(ABS(S54-S53),'IMP Table'!$A$2:$C$26,3)*SIGN(S54-S53),0)</f>
        <v/>
      </c>
      <c r="AN54">
        <f>IF(AND(ISNUMBER(S54),ISNUMBER(S55)),VLOOKUP(ABS(S54-S55),'IMP Table'!$A$2:$C$26,3)*SIGN(S54-S55),0)</f>
        <v/>
      </c>
      <c r="AO54">
        <f>IF(AND(ISNUMBER(S54),ISNUMBER(S56)),VLOOKUP(ABS(S54-S56),'IMP Table'!$A$2:$C$26,3)*SIGN(S54-S56),0)</f>
        <v/>
      </c>
      <c r="AP54">
        <f>IF(AND(ISNUMBER(S54),ISNUMBER(S57)),VLOOKUP(ABS(S54-S57),'IMP Table'!$A$2:$C$26,3)*SIGN(S54-S57),0)</f>
        <v/>
      </c>
      <c r="AQ54">
        <f>IF(AND(ISNUMBER(S54),ISNUMBER(S58)),VLOOKUP(ABS(S54-S58),'IMP Table'!$A$2:$C$26,3)*SIGN(S54-S58),0)</f>
        <v/>
      </c>
    </row>
    <row r="55">
      <c r="B55">
        <f>'By Round'!A73</f>
        <v/>
      </c>
      <c r="C55">
        <f>'By Round'!B85</f>
        <v/>
      </c>
      <c r="D55">
        <f>'By Round'!C85</f>
        <v/>
      </c>
      <c r="E55">
        <f>'By Round'!D85</f>
        <v/>
      </c>
      <c r="F55" s="11" t="inlineStr">
        <is>
          <t>None</t>
        </is>
      </c>
      <c r="G55">
        <f>IF(ISBLANK('By Round'!G85),"",'By Round'!G85)</f>
        <v/>
      </c>
      <c r="H55">
        <f>IF(ISBLANK('By Round'!H85),"",'By Round'!H85)</f>
        <v/>
      </c>
      <c r="I55">
        <f>IF(ISBLANK('By Round'!I85),"",'By Round'!I85)</f>
        <v/>
      </c>
      <c r="J55">
        <f>IF(ISBLANK('By Round'!J85),"",'By Round'!J85)</f>
        <v/>
      </c>
      <c r="K55">
        <f>IF(ISBLANK('By Round'!K85),"",'By Round'!K85)</f>
        <v/>
      </c>
      <c r="L55" s="12">
        <f>SUM(AF55:AK55)</f>
        <v/>
      </c>
      <c r="M55" s="13">
        <f>SUM(AL55:AQ55)</f>
        <v/>
      </c>
      <c r="N55" s="8">
        <f>IF(COUNT(T55:Y55)&gt;0,P55/COUNT(T55:Y55),0.5)</f>
        <v/>
      </c>
      <c r="O55" s="8">
        <f>IF(COUNT(Z55:AE55)&gt;0,Q55/COUNT(Z55:AE55),0.5)</f>
        <v/>
      </c>
      <c r="P55" s="5">
        <f>SUM(T55:Y55)</f>
        <v/>
      </c>
      <c r="Q55" s="5">
        <f>SUM(Z55:AE55)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IF(ISNUMBER(R55),IF(ISNUMBER(R52),IF(R55&gt;R52,1.0,IF(R55=R52,0.5,0.0)),""),"")</f>
        <v/>
      </c>
      <c r="U55">
        <f>IF(ISNUMBER(R55),IF(ISNUMBER(R53),IF(R55&gt;R53,1.0,IF(R55=R53,0.5,0.0)),""),"")</f>
        <v/>
      </c>
      <c r="V55">
        <f>IF(ISNUMBER(R55),IF(ISNUMBER(R54),IF(R55&gt;R54,1.0,IF(R55=R54,0.5,0.0)),""),"")</f>
        <v/>
      </c>
      <c r="W55">
        <f>IF(ISNUMBER(R55),IF(ISNUMBER(R56),IF(R55&gt;R56,1.0,IF(R55=R56,0.5,0.0)),""),"")</f>
        <v/>
      </c>
      <c r="X55">
        <f>IF(ISNUMBER(R55),IF(ISNUMBER(R57),IF(R55&gt;R57,1.0,IF(R55=R57,0.5,0.0)),""),"")</f>
        <v/>
      </c>
      <c r="Y55">
        <f>IF(ISNUMBER(R55),IF(ISNUMBER(R58),IF(R55&gt;R58,1.0,IF(R55=R58,0.5,0.0)),""),"")</f>
        <v/>
      </c>
      <c r="Z55">
        <f>IF(ISNUMBER(S55),IF(ISNUMBER(S52),IF(S55&gt;S52,1.0,IF(S55=S52,0.5,0.0)),""),"")</f>
        <v/>
      </c>
      <c r="AA55">
        <f>IF(ISNUMBER(S55),IF(ISNUMBER(S53),IF(S55&gt;S53,1.0,IF(S55=S53,0.5,0.0)),""),"")</f>
        <v/>
      </c>
      <c r="AB55">
        <f>IF(ISNUMBER(S55),IF(ISNUMBER(S54),IF(S55&gt;S54,1.0,IF(S55=S54,0.5,0.0)),""),"")</f>
        <v/>
      </c>
      <c r="AC55">
        <f>IF(ISNUMBER(S55),IF(ISNUMBER(S56),IF(S55&gt;S56,1.0,IF(S55=S56,0.5,0.0)),""),"")</f>
        <v/>
      </c>
      <c r="AD55">
        <f>IF(ISNUMBER(S55),IF(ISNUMBER(S57),IF(S55&gt;S57,1.0,IF(S55=S57,0.5,0.0)),""),"")</f>
        <v/>
      </c>
      <c r="AE55">
        <f>IF(ISNUMBER(S55),IF(ISNUMBER(S58),IF(S55&gt;S58,1.0,IF(S55=S58,0.5,0.0)),""),"")</f>
        <v/>
      </c>
      <c r="AF55" s="14">
        <f>IF(AND(ISNUMBER(R55),ISNUMBER(R52)),VLOOKUP(ABS(R55-R52),'IMP Table'!$A$2:$C$26,3)*SIGN(R55-R52),0)</f>
        <v/>
      </c>
      <c r="AG55">
        <f>IF(AND(ISNUMBER(R55),ISNUMBER(R53)),VLOOKUP(ABS(R55-R53),'IMP Table'!$A$2:$C$26,3)*SIGN(R55-R53),0)</f>
        <v/>
      </c>
      <c r="AH55">
        <f>IF(AND(ISNUMBER(R55),ISNUMBER(R54)),VLOOKUP(ABS(R55-R54),'IMP Table'!$A$2:$C$26,3)*SIGN(R55-R54),0)</f>
        <v/>
      </c>
      <c r="AI55">
        <f>IF(AND(ISNUMBER(R55),ISNUMBER(R56)),VLOOKUP(ABS(R55-R56),'IMP Table'!$A$2:$C$26,3)*SIGN(R55-R56),0)</f>
        <v/>
      </c>
      <c r="AJ55">
        <f>IF(AND(ISNUMBER(R55),ISNUMBER(R57)),VLOOKUP(ABS(R55-R57),'IMP Table'!$A$2:$C$26,3)*SIGN(R55-R57),0)</f>
        <v/>
      </c>
      <c r="AK55">
        <f>IF(AND(ISNUMBER(R55),ISNUMBER(R58)),VLOOKUP(ABS(R55-R58),'IMP Table'!$A$2:$C$26,3)*SIGN(R55-R58),0)</f>
        <v/>
      </c>
      <c r="AL55">
        <f>IF(AND(ISNUMBER(S55),ISNUMBER(S52)),VLOOKUP(ABS(S55-S52),'IMP Table'!$A$2:$C$26,3)*SIGN(S55-S52),0)</f>
        <v/>
      </c>
      <c r="AM55">
        <f>IF(AND(ISNUMBER(S55),ISNUMBER(S53)),VLOOKUP(ABS(S55-S53),'IMP Table'!$A$2:$C$26,3)*SIGN(S55-S53),0)</f>
        <v/>
      </c>
      <c r="AN55">
        <f>IF(AND(ISNUMBER(S55),ISNUMBER(S54)),VLOOKUP(ABS(S55-S54),'IMP Table'!$A$2:$C$26,3)*SIGN(S55-S54),0)</f>
        <v/>
      </c>
      <c r="AO55">
        <f>IF(AND(ISNUMBER(S55),ISNUMBER(S56)),VLOOKUP(ABS(S55-S56),'IMP Table'!$A$2:$C$26,3)*SIGN(S55-S56),0)</f>
        <v/>
      </c>
      <c r="AP55">
        <f>IF(AND(ISNUMBER(S55),ISNUMBER(S57)),VLOOKUP(ABS(S55-S57),'IMP Table'!$A$2:$C$26,3)*SIGN(S55-S57),0)</f>
        <v/>
      </c>
      <c r="AQ55">
        <f>IF(AND(ISNUMBER(S55),ISNUMBER(S58)),VLOOKUP(ABS(S55-S58),'IMP Table'!$A$2:$C$26,3)*SIGN(S55-S58),0)</f>
        <v/>
      </c>
    </row>
    <row r="56">
      <c r="B56">
        <f>'By Round'!A87</f>
        <v/>
      </c>
      <c r="C56">
        <f>'By Round'!B97</f>
        <v/>
      </c>
      <c r="D56">
        <f>'By Round'!C97</f>
        <v/>
      </c>
      <c r="E56">
        <f>'By Round'!D97</f>
        <v/>
      </c>
      <c r="F56" s="11" t="inlineStr">
        <is>
          <t>None</t>
        </is>
      </c>
      <c r="G56">
        <f>IF(ISBLANK('By Round'!G97),"",'By Round'!G97)</f>
        <v/>
      </c>
      <c r="H56">
        <f>IF(ISBLANK('By Round'!H97),"",'By Round'!H97)</f>
        <v/>
      </c>
      <c r="I56">
        <f>IF(ISBLANK('By Round'!I97),"",'By Round'!I97)</f>
        <v/>
      </c>
      <c r="J56">
        <f>IF(ISBLANK('By Round'!J97),"",'By Round'!J97)</f>
        <v/>
      </c>
      <c r="K56">
        <f>IF(ISBLANK('By Round'!K97),"",'By Round'!K97)</f>
        <v/>
      </c>
      <c r="L56" s="12">
        <f>SUM(AF56:AK56)</f>
        <v/>
      </c>
      <c r="M56" s="13">
        <f>SUM(AL56:AQ56)</f>
        <v/>
      </c>
      <c r="N56" s="8">
        <f>IF(COUNT(T56:Y56)&gt;0,P56/COUNT(T56:Y56),0.5)</f>
        <v/>
      </c>
      <c r="O56" s="8">
        <f>IF(COUNT(Z56:AE56)&gt;0,Q56/COUNT(Z56:AE56),0.5)</f>
        <v/>
      </c>
      <c r="P56" s="5">
        <f>SUM(T56:Y56)</f>
        <v/>
      </c>
      <c r="Q56" s="5">
        <f>SUM(Z56:AE56)</f>
        <v/>
      </c>
      <c r="R56" s="14">
        <f>IF(ISNUMBER(J56),J56,IF(ISNUMBER(K56),-K56,""))</f>
        <v/>
      </c>
      <c r="S56">
        <f>IF(ISNUMBER(K56),K56,IF(ISNUMBER(J56),-J56,""))</f>
        <v/>
      </c>
      <c r="T56" s="14">
        <f>IF(ISNUMBER(R56),IF(ISNUMBER(R52),IF(R56&gt;R52,1.0,IF(R56=R52,0.5,0.0)),""),"")</f>
        <v/>
      </c>
      <c r="U56">
        <f>IF(ISNUMBER(R56),IF(ISNUMBER(R53),IF(R56&gt;R53,1.0,IF(R56=R53,0.5,0.0)),""),"")</f>
        <v/>
      </c>
      <c r="V56">
        <f>IF(ISNUMBER(R56),IF(ISNUMBER(R54),IF(R56&gt;R54,1.0,IF(R56=R54,0.5,0.0)),""),"")</f>
        <v/>
      </c>
      <c r="W56">
        <f>IF(ISNUMBER(R56),IF(ISNUMBER(R55),IF(R56&gt;R55,1.0,IF(R56=R55,0.5,0.0)),""),"")</f>
        <v/>
      </c>
      <c r="X56">
        <f>IF(ISNUMBER(R56),IF(ISNUMBER(R57),IF(R56&gt;R57,1.0,IF(R56=R57,0.5,0.0)),""),"")</f>
        <v/>
      </c>
      <c r="Y56">
        <f>IF(ISNUMBER(R56),IF(ISNUMBER(R58),IF(R56&gt;R58,1.0,IF(R56=R58,0.5,0.0)),""),"")</f>
        <v/>
      </c>
      <c r="Z56">
        <f>IF(ISNUMBER(S56),IF(ISNUMBER(S52),IF(S56&gt;S52,1.0,IF(S56=S52,0.5,0.0)),""),"")</f>
        <v/>
      </c>
      <c r="AA56">
        <f>IF(ISNUMBER(S56),IF(ISNUMBER(S53),IF(S56&gt;S53,1.0,IF(S56=S53,0.5,0.0)),""),"")</f>
        <v/>
      </c>
      <c r="AB56">
        <f>IF(ISNUMBER(S56),IF(ISNUMBER(S54),IF(S56&gt;S54,1.0,IF(S56=S54,0.5,0.0)),""),"")</f>
        <v/>
      </c>
      <c r="AC56">
        <f>IF(ISNUMBER(S56),IF(ISNUMBER(S55),IF(S56&gt;S55,1.0,IF(S56=S55,0.5,0.0)),""),"")</f>
        <v/>
      </c>
      <c r="AD56">
        <f>IF(ISNUMBER(S56),IF(ISNUMBER(S57),IF(S56&gt;S57,1.0,IF(S56=S57,0.5,0.0)),""),"")</f>
        <v/>
      </c>
      <c r="AE56">
        <f>IF(ISNUMBER(S56),IF(ISNUMBER(S58),IF(S56&gt;S58,1.0,IF(S56=S58,0.5,0.0)),""),"")</f>
        <v/>
      </c>
      <c r="AF56" s="14">
        <f>IF(AND(ISNUMBER(R56),ISNUMBER(R52)),VLOOKUP(ABS(R56-R52),'IMP Table'!$A$2:$C$26,3)*SIGN(R56-R52),0)</f>
        <v/>
      </c>
      <c r="AG56">
        <f>IF(AND(ISNUMBER(R56),ISNUMBER(R53)),VLOOKUP(ABS(R56-R53),'IMP Table'!$A$2:$C$26,3)*SIGN(R56-R53),0)</f>
        <v/>
      </c>
      <c r="AH56">
        <f>IF(AND(ISNUMBER(R56),ISNUMBER(R54)),VLOOKUP(ABS(R56-R54),'IMP Table'!$A$2:$C$26,3)*SIGN(R56-R54),0)</f>
        <v/>
      </c>
      <c r="AI56">
        <f>IF(AND(ISNUMBER(R56),ISNUMBER(R55)),VLOOKUP(ABS(R56-R55),'IMP Table'!$A$2:$C$26,3)*SIGN(R56-R55),0)</f>
        <v/>
      </c>
      <c r="AJ56">
        <f>IF(AND(ISNUMBER(R56),ISNUMBER(R57)),VLOOKUP(ABS(R56-R57),'IMP Table'!$A$2:$C$26,3)*SIGN(R56-R57),0)</f>
        <v/>
      </c>
      <c r="AK56">
        <f>IF(AND(ISNUMBER(R56),ISNUMBER(R58)),VLOOKUP(ABS(R56-R58),'IMP Table'!$A$2:$C$26,3)*SIGN(R56-R58),0)</f>
        <v/>
      </c>
      <c r="AL56">
        <f>IF(AND(ISNUMBER(S56),ISNUMBER(S52)),VLOOKUP(ABS(S56-S52),'IMP Table'!$A$2:$C$26,3)*SIGN(S56-S52),0)</f>
        <v/>
      </c>
      <c r="AM56">
        <f>IF(AND(ISNUMBER(S56),ISNUMBER(S53)),VLOOKUP(ABS(S56-S53),'IMP Table'!$A$2:$C$26,3)*SIGN(S56-S53),0)</f>
        <v/>
      </c>
      <c r="AN56">
        <f>IF(AND(ISNUMBER(S56),ISNUMBER(S54)),VLOOKUP(ABS(S56-S54),'IMP Table'!$A$2:$C$26,3)*SIGN(S56-S54),0)</f>
        <v/>
      </c>
      <c r="AO56">
        <f>IF(AND(ISNUMBER(S56),ISNUMBER(S55)),VLOOKUP(ABS(S56-S55),'IMP Table'!$A$2:$C$26,3)*SIGN(S56-S55),0)</f>
        <v/>
      </c>
      <c r="AP56">
        <f>IF(AND(ISNUMBER(S56),ISNUMBER(S57)),VLOOKUP(ABS(S56-S57),'IMP Table'!$A$2:$C$26,3)*SIGN(S56-S57),0)</f>
        <v/>
      </c>
      <c r="AQ56">
        <f>IF(AND(ISNUMBER(S56),ISNUMBER(S58)),VLOOKUP(ABS(S56-S58),'IMP Table'!$A$2:$C$26,3)*SIGN(S56-S58),0)</f>
        <v/>
      </c>
    </row>
    <row r="57">
      <c r="B57">
        <f>'By Round'!A101</f>
        <v/>
      </c>
      <c r="C57">
        <f>'By Round'!B109</f>
        <v/>
      </c>
      <c r="D57">
        <f>'By Round'!C109</f>
        <v/>
      </c>
      <c r="E57">
        <f>'By Round'!D109</f>
        <v/>
      </c>
      <c r="F57" s="11" t="inlineStr">
        <is>
          <t>None</t>
        </is>
      </c>
      <c r="G57">
        <f>IF(ISBLANK('By Round'!G109),"",'By Round'!G109)</f>
        <v/>
      </c>
      <c r="H57">
        <f>IF(ISBLANK('By Round'!H109),"",'By Round'!H109)</f>
        <v/>
      </c>
      <c r="I57">
        <f>IF(ISBLANK('By Round'!I109),"",'By Round'!I109)</f>
        <v/>
      </c>
      <c r="J57">
        <f>IF(ISBLANK('By Round'!J109),"",'By Round'!J109)</f>
        <v/>
      </c>
      <c r="K57">
        <f>IF(ISBLANK('By Round'!K109),"",'By Round'!K109)</f>
        <v/>
      </c>
      <c r="L57" s="12">
        <f>SUM(AF57:AK57)</f>
        <v/>
      </c>
      <c r="M57" s="13">
        <f>SUM(AL57:AQ57)</f>
        <v/>
      </c>
      <c r="N57" s="8">
        <f>IF(COUNT(T57:Y57)&gt;0,P57/COUNT(T57:Y57),0.5)</f>
        <v/>
      </c>
      <c r="O57" s="8">
        <f>IF(COUNT(Z57:AE57)&gt;0,Q57/COUNT(Z57:AE57),0.5)</f>
        <v/>
      </c>
      <c r="P57" s="5">
        <f>SUM(T57:Y57)</f>
        <v/>
      </c>
      <c r="Q57" s="5">
        <f>SUM(Z57:AE57)</f>
        <v/>
      </c>
      <c r="R57" s="14">
        <f>IF(ISNUMBER(J57),J57,IF(ISNUMBER(K57),-K57,""))</f>
        <v/>
      </c>
      <c r="S57">
        <f>IF(ISNUMBER(K57),K57,IF(ISNUMBER(J57),-J57,""))</f>
        <v/>
      </c>
      <c r="T57" s="14">
        <f>IF(ISNUMBER(R57),IF(ISNUMBER(R52),IF(R57&gt;R52,1.0,IF(R57=R52,0.5,0.0)),""),"")</f>
        <v/>
      </c>
      <c r="U57">
        <f>IF(ISNUMBER(R57),IF(ISNUMBER(R53),IF(R57&gt;R53,1.0,IF(R57=R53,0.5,0.0)),""),"")</f>
        <v/>
      </c>
      <c r="V57">
        <f>IF(ISNUMBER(R57),IF(ISNUMBER(R54),IF(R57&gt;R54,1.0,IF(R57=R54,0.5,0.0)),""),"")</f>
        <v/>
      </c>
      <c r="W57">
        <f>IF(ISNUMBER(R57),IF(ISNUMBER(R55),IF(R57&gt;R55,1.0,IF(R57=R55,0.5,0.0)),""),"")</f>
        <v/>
      </c>
      <c r="X57">
        <f>IF(ISNUMBER(R57),IF(ISNUMBER(R56),IF(R57&gt;R56,1.0,IF(R57=R56,0.5,0.0)),""),"")</f>
        <v/>
      </c>
      <c r="Y57">
        <f>IF(ISNUMBER(R57),IF(ISNUMBER(R58),IF(R57&gt;R58,1.0,IF(R57=R58,0.5,0.0)),""),"")</f>
        <v/>
      </c>
      <c r="Z57">
        <f>IF(ISNUMBER(S57),IF(ISNUMBER(S52),IF(S57&gt;S52,1.0,IF(S57=S52,0.5,0.0)),""),"")</f>
        <v/>
      </c>
      <c r="AA57">
        <f>IF(ISNUMBER(S57),IF(ISNUMBER(S53),IF(S57&gt;S53,1.0,IF(S57=S53,0.5,0.0)),""),"")</f>
        <v/>
      </c>
      <c r="AB57">
        <f>IF(ISNUMBER(S57),IF(ISNUMBER(S54),IF(S57&gt;S54,1.0,IF(S57=S54,0.5,0.0)),""),"")</f>
        <v/>
      </c>
      <c r="AC57">
        <f>IF(ISNUMBER(S57),IF(ISNUMBER(S55),IF(S57&gt;S55,1.0,IF(S57=S55,0.5,0.0)),""),"")</f>
        <v/>
      </c>
      <c r="AD57">
        <f>IF(ISNUMBER(S57),IF(ISNUMBER(S56),IF(S57&gt;S56,1.0,IF(S57=S56,0.5,0.0)),""),"")</f>
        <v/>
      </c>
      <c r="AE57">
        <f>IF(ISNUMBER(S57),IF(ISNUMBER(S58),IF(S57&gt;S58,1.0,IF(S57=S58,0.5,0.0)),""),"")</f>
        <v/>
      </c>
      <c r="AF57" s="14">
        <f>IF(AND(ISNUMBER(R57),ISNUMBER(R52)),VLOOKUP(ABS(R57-R52),'IMP Table'!$A$2:$C$26,3)*SIGN(R57-R52),0)</f>
        <v/>
      </c>
      <c r="AG57">
        <f>IF(AND(ISNUMBER(R57),ISNUMBER(R53)),VLOOKUP(ABS(R57-R53),'IMP Table'!$A$2:$C$26,3)*SIGN(R57-R53),0)</f>
        <v/>
      </c>
      <c r="AH57">
        <f>IF(AND(ISNUMBER(R57),ISNUMBER(R54)),VLOOKUP(ABS(R57-R54),'IMP Table'!$A$2:$C$26,3)*SIGN(R57-R54),0)</f>
        <v/>
      </c>
      <c r="AI57">
        <f>IF(AND(ISNUMBER(R57),ISNUMBER(R55)),VLOOKUP(ABS(R57-R55),'IMP Table'!$A$2:$C$26,3)*SIGN(R57-R55),0)</f>
        <v/>
      </c>
      <c r="AJ57">
        <f>IF(AND(ISNUMBER(R57),ISNUMBER(R56)),VLOOKUP(ABS(R57-R56),'IMP Table'!$A$2:$C$26,3)*SIGN(R57-R56),0)</f>
        <v/>
      </c>
      <c r="AK57">
        <f>IF(AND(ISNUMBER(R57),ISNUMBER(R58)),VLOOKUP(ABS(R57-R58),'IMP Table'!$A$2:$C$26,3)*SIGN(R57-R58),0)</f>
        <v/>
      </c>
      <c r="AL57">
        <f>IF(AND(ISNUMBER(S57),ISNUMBER(S52)),VLOOKUP(ABS(S57-S52),'IMP Table'!$A$2:$C$26,3)*SIGN(S57-S52),0)</f>
        <v/>
      </c>
      <c r="AM57">
        <f>IF(AND(ISNUMBER(S57),ISNUMBER(S53)),VLOOKUP(ABS(S57-S53),'IMP Table'!$A$2:$C$26,3)*SIGN(S57-S53),0)</f>
        <v/>
      </c>
      <c r="AN57">
        <f>IF(AND(ISNUMBER(S57),ISNUMBER(S54)),VLOOKUP(ABS(S57-S54),'IMP Table'!$A$2:$C$26,3)*SIGN(S57-S54),0)</f>
        <v/>
      </c>
      <c r="AO57">
        <f>IF(AND(ISNUMBER(S57),ISNUMBER(S55)),VLOOKUP(ABS(S57-S55),'IMP Table'!$A$2:$C$26,3)*SIGN(S57-S55),0)</f>
        <v/>
      </c>
      <c r="AP57">
        <f>IF(AND(ISNUMBER(S57),ISNUMBER(S56)),VLOOKUP(ABS(S57-S56),'IMP Table'!$A$2:$C$26,3)*SIGN(S57-S56),0)</f>
        <v/>
      </c>
      <c r="AQ57">
        <f>IF(AND(ISNUMBER(S57),ISNUMBER(S58)),VLOOKUP(ABS(S57-S58),'IMP Table'!$A$2:$C$26,3)*SIGN(S57-S58),0)</f>
        <v/>
      </c>
    </row>
    <row r="58">
      <c r="A58" s="15" t="n"/>
      <c r="B58" s="15">
        <f>'By Round'!A171</f>
        <v/>
      </c>
      <c r="C58" s="15">
        <f>'By Round'!B177</f>
        <v/>
      </c>
      <c r="D58" s="15">
        <f>'By Round'!C177</f>
        <v/>
      </c>
      <c r="E58" s="15">
        <f>'By Round'!D177</f>
        <v/>
      </c>
      <c r="F58" s="16" t="inlineStr">
        <is>
          <t>None</t>
        </is>
      </c>
      <c r="G58" s="15">
        <f>IF(ISBLANK('By Round'!G177),"",'By Round'!G177)</f>
        <v/>
      </c>
      <c r="H58" s="15">
        <f>IF(ISBLANK('By Round'!H177),"",'By Round'!H177)</f>
        <v/>
      </c>
      <c r="I58" s="15">
        <f>IF(ISBLANK('By Round'!I177),"",'By Round'!I177)</f>
        <v/>
      </c>
      <c r="J58" s="15">
        <f>IF(ISBLANK('By Round'!J177),"",'By Round'!J177)</f>
        <v/>
      </c>
      <c r="K58" s="15">
        <f>IF(ISBLANK('By Round'!K177),"",'By Round'!K177)</f>
        <v/>
      </c>
      <c r="L58" s="17">
        <f>SUM(AF58:AK58)</f>
        <v/>
      </c>
      <c r="M58" s="18">
        <f>SUM(AL58:AQ58)</f>
        <v/>
      </c>
      <c r="N58" s="19">
        <f>IF(COUNT(T58:Y58)&gt;0,P58/COUNT(T58:Y58),0.5)</f>
        <v/>
      </c>
      <c r="O58" s="19">
        <f>IF(COUNT(Z58:AE58)&gt;0,Q58/COUNT(Z58:AE58),0.5)</f>
        <v/>
      </c>
      <c r="P58" s="20">
        <f>SUM(T58:Y58)</f>
        <v/>
      </c>
      <c r="Q58" s="20">
        <f>SUM(Z58:AE58)</f>
        <v/>
      </c>
      <c r="R58" s="21">
        <f>IF(ISNUMBER(J58),J58,IF(ISNUMBER(K58),-K58,""))</f>
        <v/>
      </c>
      <c r="S58" s="15">
        <f>IF(ISNUMBER(K58),K58,IF(ISNUMBER(J58),-J58,""))</f>
        <v/>
      </c>
      <c r="T58" s="21">
        <f>IF(ISNUMBER(R58),IF(ISNUMBER(R52),IF(R58&gt;R52,1.0,IF(R58=R52,0.5,0.0)),""),"")</f>
        <v/>
      </c>
      <c r="U58" s="15">
        <f>IF(ISNUMBER(R58),IF(ISNUMBER(R53),IF(R58&gt;R53,1.0,IF(R58=R53,0.5,0.0)),""),"")</f>
        <v/>
      </c>
      <c r="V58" s="15">
        <f>IF(ISNUMBER(R58),IF(ISNUMBER(R54),IF(R58&gt;R54,1.0,IF(R58=R54,0.5,0.0)),""),"")</f>
        <v/>
      </c>
      <c r="W58" s="15">
        <f>IF(ISNUMBER(R58),IF(ISNUMBER(R55),IF(R58&gt;R55,1.0,IF(R58=R55,0.5,0.0)),""),"")</f>
        <v/>
      </c>
      <c r="X58" s="15">
        <f>IF(ISNUMBER(R58),IF(ISNUMBER(R56),IF(R58&gt;R56,1.0,IF(R58=R56,0.5,0.0)),""),"")</f>
        <v/>
      </c>
      <c r="Y58" s="15">
        <f>IF(ISNUMBER(R58),IF(ISNUMBER(R57),IF(R58&gt;R57,1.0,IF(R58=R57,0.5,0.0)),""),"")</f>
        <v/>
      </c>
      <c r="Z58" s="15">
        <f>IF(ISNUMBER(S58),IF(ISNUMBER(S52),IF(S58&gt;S52,1.0,IF(S58=S52,0.5,0.0)),""),"")</f>
        <v/>
      </c>
      <c r="AA58" s="15">
        <f>IF(ISNUMBER(S58),IF(ISNUMBER(S53),IF(S58&gt;S53,1.0,IF(S58=S53,0.5,0.0)),""),"")</f>
        <v/>
      </c>
      <c r="AB58" s="15">
        <f>IF(ISNUMBER(S58),IF(ISNUMBER(S54),IF(S58&gt;S54,1.0,IF(S58=S54,0.5,0.0)),""),"")</f>
        <v/>
      </c>
      <c r="AC58" s="15">
        <f>IF(ISNUMBER(S58),IF(ISNUMBER(S55),IF(S58&gt;S55,1.0,IF(S58=S55,0.5,0.0)),""),"")</f>
        <v/>
      </c>
      <c r="AD58" s="15">
        <f>IF(ISNUMBER(S58),IF(ISNUMBER(S56),IF(S58&gt;S56,1.0,IF(S58=S56,0.5,0.0)),""),"")</f>
        <v/>
      </c>
      <c r="AE58" s="15">
        <f>IF(ISNUMBER(S58),IF(ISNUMBER(S57),IF(S58&gt;S57,1.0,IF(S58=S57,0.5,0.0)),""),"")</f>
        <v/>
      </c>
      <c r="AF58" s="21">
        <f>IF(AND(ISNUMBER(R58),ISNUMBER(R52)),VLOOKUP(ABS(R58-R52),'IMP Table'!$A$2:$C$26,3)*SIGN(R58-R52),0)</f>
        <v/>
      </c>
      <c r="AG58" s="15">
        <f>IF(AND(ISNUMBER(R58),ISNUMBER(R53)),VLOOKUP(ABS(R58-R53),'IMP Table'!$A$2:$C$26,3)*SIGN(R58-R53),0)</f>
        <v/>
      </c>
      <c r="AH58" s="15">
        <f>IF(AND(ISNUMBER(R58),ISNUMBER(R54)),VLOOKUP(ABS(R58-R54),'IMP Table'!$A$2:$C$26,3)*SIGN(R58-R54),0)</f>
        <v/>
      </c>
      <c r="AI58" s="15">
        <f>IF(AND(ISNUMBER(R58),ISNUMBER(R55)),VLOOKUP(ABS(R58-R55),'IMP Table'!$A$2:$C$26,3)*SIGN(R58-R55),0)</f>
        <v/>
      </c>
      <c r="AJ58" s="15">
        <f>IF(AND(ISNUMBER(R58),ISNUMBER(R56)),VLOOKUP(ABS(R58-R56),'IMP Table'!$A$2:$C$26,3)*SIGN(R58-R56),0)</f>
        <v/>
      </c>
      <c r="AK58" s="15">
        <f>IF(AND(ISNUMBER(R58),ISNUMBER(R57)),VLOOKUP(ABS(R58-R57),'IMP Table'!$A$2:$C$26,3)*SIGN(R58-R57),0)</f>
        <v/>
      </c>
      <c r="AL58" s="15">
        <f>IF(AND(ISNUMBER(S58),ISNUMBER(S52)),VLOOKUP(ABS(S58-S52),'IMP Table'!$A$2:$C$26,3)*SIGN(S58-S52),0)</f>
        <v/>
      </c>
      <c r="AM58" s="15">
        <f>IF(AND(ISNUMBER(S58),ISNUMBER(S53)),VLOOKUP(ABS(S58-S53),'IMP Table'!$A$2:$C$26,3)*SIGN(S58-S53),0)</f>
        <v/>
      </c>
      <c r="AN58" s="15">
        <f>IF(AND(ISNUMBER(S58),ISNUMBER(S54)),VLOOKUP(ABS(S58-S54),'IMP Table'!$A$2:$C$26,3)*SIGN(S58-S54),0)</f>
        <v/>
      </c>
      <c r="AO58" s="15">
        <f>IF(AND(ISNUMBER(S58),ISNUMBER(S55)),VLOOKUP(ABS(S58-S55),'IMP Table'!$A$2:$C$26,3)*SIGN(S58-S55),0)</f>
        <v/>
      </c>
      <c r="AP58" s="15">
        <f>IF(AND(ISNUMBER(S58),ISNUMBER(S56)),VLOOKUP(ABS(S58-S56),'IMP Table'!$A$2:$C$26,3)*SIGN(S58-S56),0)</f>
        <v/>
      </c>
      <c r="AQ58" s="15">
        <f>IF(AND(ISNUMBER(S58),ISNUMBER(S57)),VLOOKUP(ABS(S58-S57),'IMP Table'!$A$2:$C$26,3)*SIGN(S58-S57),0)</f>
        <v/>
      </c>
    </row>
    <row r="59">
      <c r="A59" t="n">
        <v>9</v>
      </c>
      <c r="B59">
        <f>'By Round'!A3</f>
        <v/>
      </c>
      <c r="C59">
        <f>'By Round'!B9</f>
        <v/>
      </c>
      <c r="D59">
        <f>'By Round'!C9</f>
        <v/>
      </c>
      <c r="E59">
        <f>'By Round'!D9</f>
        <v/>
      </c>
      <c r="F59" s="11" t="inlineStr">
        <is>
          <t>EW</t>
        </is>
      </c>
      <c r="G59">
        <f>IF(ISBLANK('By Round'!G9),"",'By Round'!G9)</f>
        <v/>
      </c>
      <c r="H59">
        <f>IF(ISBLANK('By Round'!H9),"",'By Round'!H9)</f>
        <v/>
      </c>
      <c r="I59">
        <f>IF(ISBLANK('By Round'!I9),"",'By Round'!I9)</f>
        <v/>
      </c>
      <c r="J59">
        <f>IF(ISBLANK('By Round'!J9),"",'By Round'!J9)</f>
        <v/>
      </c>
      <c r="K59">
        <f>IF(ISBLANK('By Round'!K9),"",'By Round'!K9)</f>
        <v/>
      </c>
      <c r="L59" s="12">
        <f>SUM(AF59:AK59)</f>
        <v/>
      </c>
      <c r="M59" s="13">
        <f>SUM(AL59:AQ59)</f>
        <v/>
      </c>
      <c r="N59" s="8">
        <f>IF(COUNT(T59:Y59)&gt;0,P59/COUNT(T59:Y59),0.5)</f>
        <v/>
      </c>
      <c r="O59" s="8">
        <f>IF(COUNT(Z59:AE59)&gt;0,Q59/COUNT(Z59:AE59),0.5)</f>
        <v/>
      </c>
      <c r="P59" s="5">
        <f>SUM(T59:Y59)</f>
        <v/>
      </c>
      <c r="Q59" s="5">
        <f>SUM(Z59:AE59)</f>
        <v/>
      </c>
      <c r="R59" s="14">
        <f>IF(ISNUMBER(J59),J59,IF(ISNUMBER(K59),-K59,""))</f>
        <v/>
      </c>
      <c r="S59">
        <f>IF(ISNUMBER(K59),K59,IF(ISNUMBER(J59),-J59,""))</f>
        <v/>
      </c>
      <c r="T59" s="14">
        <f>IF(ISNUMBER(R59),IF(ISNUMBER(R60),IF(R59&gt;R60,1.0,IF(R59=R60,0.5,0.0)),""),"")</f>
        <v/>
      </c>
      <c r="U59">
        <f>IF(ISNUMBER(R59),IF(ISNUMBER(R61),IF(R59&gt;R61,1.0,IF(R59=R61,0.5,0.0)),""),"")</f>
        <v/>
      </c>
      <c r="V59">
        <f>IF(ISNUMBER(R59),IF(ISNUMBER(R62),IF(R59&gt;R62,1.0,IF(R59=R62,0.5,0.0)),""),"")</f>
        <v/>
      </c>
      <c r="W59">
        <f>IF(ISNUMBER(R59),IF(ISNUMBER(R63),IF(R59&gt;R63,1.0,IF(R59=R63,0.5,0.0)),""),"")</f>
        <v/>
      </c>
      <c r="X59">
        <f>IF(ISNUMBER(R59),IF(ISNUMBER(R64),IF(R59&gt;R64,1.0,IF(R59=R64,0.5,0.0)),""),"")</f>
        <v/>
      </c>
      <c r="Y59">
        <f>IF(ISNUMBER(R59),IF(ISNUMBER(R65),IF(R59&gt;R65,1.0,IF(R59=R65,0.5,0.0)),""),"")</f>
        <v/>
      </c>
      <c r="Z59">
        <f>IF(ISNUMBER(S59),IF(ISNUMBER(S60),IF(S59&gt;S60,1.0,IF(S59=S60,0.5,0.0)),""),"")</f>
        <v/>
      </c>
      <c r="AA59">
        <f>IF(ISNUMBER(S59),IF(ISNUMBER(S61),IF(S59&gt;S61,1.0,IF(S59=S61,0.5,0.0)),""),"")</f>
        <v/>
      </c>
      <c r="AB59">
        <f>IF(ISNUMBER(S59),IF(ISNUMBER(S62),IF(S59&gt;S62,1.0,IF(S59=S62,0.5,0.0)),""),"")</f>
        <v/>
      </c>
      <c r="AC59">
        <f>IF(ISNUMBER(S59),IF(ISNUMBER(S63),IF(S59&gt;S63,1.0,IF(S59=S63,0.5,0.0)),""),"")</f>
        <v/>
      </c>
      <c r="AD59">
        <f>IF(ISNUMBER(S59),IF(ISNUMBER(S64),IF(S59&gt;S64,1.0,IF(S59=S64,0.5,0.0)),""),"")</f>
        <v/>
      </c>
      <c r="AE59">
        <f>IF(ISNUMBER(S59),IF(ISNUMBER(S65),IF(S59&gt;S65,1.0,IF(S59=S65,0.5,0.0)),""),"")</f>
        <v/>
      </c>
      <c r="AF59" s="14">
        <f>IF(AND(ISNUMBER(R59),ISNUMBER(R60)),VLOOKUP(ABS(R59-R60),'IMP Table'!$A$2:$C$26,3)*SIGN(R59-R60),0)</f>
        <v/>
      </c>
      <c r="AG59">
        <f>IF(AND(ISNUMBER(R59),ISNUMBER(R61)),VLOOKUP(ABS(R59-R61),'IMP Table'!$A$2:$C$26,3)*SIGN(R59-R61),0)</f>
        <v/>
      </c>
      <c r="AH59">
        <f>IF(AND(ISNUMBER(R59),ISNUMBER(R62)),VLOOKUP(ABS(R59-R62),'IMP Table'!$A$2:$C$26,3)*SIGN(R59-R62),0)</f>
        <v/>
      </c>
      <c r="AI59">
        <f>IF(AND(ISNUMBER(R59),ISNUMBER(R63)),VLOOKUP(ABS(R59-R63),'IMP Table'!$A$2:$C$26,3)*SIGN(R59-R63),0)</f>
        <v/>
      </c>
      <c r="AJ59">
        <f>IF(AND(ISNUMBER(R59),ISNUMBER(R64)),VLOOKUP(ABS(R59-R64),'IMP Table'!$A$2:$C$26,3)*SIGN(R59-R64),0)</f>
        <v/>
      </c>
      <c r="AK59">
        <f>IF(AND(ISNUMBER(R59),ISNUMBER(R65)),VLOOKUP(ABS(R59-R65),'IMP Table'!$A$2:$C$26,3)*SIGN(R59-R65),0)</f>
        <v/>
      </c>
      <c r="AL59">
        <f>IF(AND(ISNUMBER(S59),ISNUMBER(S60)),VLOOKUP(ABS(S59-S60),'IMP Table'!$A$2:$C$26,3)*SIGN(S59-S60),0)</f>
        <v/>
      </c>
      <c r="AM59">
        <f>IF(AND(ISNUMBER(S59),ISNUMBER(S61)),VLOOKUP(ABS(S59-S61),'IMP Table'!$A$2:$C$26,3)*SIGN(S59-S61),0)</f>
        <v/>
      </c>
      <c r="AN59">
        <f>IF(AND(ISNUMBER(S59),ISNUMBER(S62)),VLOOKUP(ABS(S59-S62),'IMP Table'!$A$2:$C$26,3)*SIGN(S59-S62),0)</f>
        <v/>
      </c>
      <c r="AO59">
        <f>IF(AND(ISNUMBER(S59),ISNUMBER(S63)),VLOOKUP(ABS(S59-S63),'IMP Table'!$A$2:$C$26,3)*SIGN(S59-S63),0)</f>
        <v/>
      </c>
      <c r="AP59">
        <f>IF(AND(ISNUMBER(S59),ISNUMBER(S64)),VLOOKUP(ABS(S59-S64),'IMP Table'!$A$2:$C$26,3)*SIGN(S59-S64),0)</f>
        <v/>
      </c>
      <c r="AQ59">
        <f>IF(AND(ISNUMBER(S59),ISNUMBER(S65)),VLOOKUP(ABS(S59-S65),'IMP Table'!$A$2:$C$26,3)*SIGN(S59-S65),0)</f>
        <v/>
      </c>
    </row>
    <row r="60">
      <c r="B60">
        <f>'By Round'!A17</f>
        <v/>
      </c>
      <c r="C60">
        <f>'By Round'!B21</f>
        <v/>
      </c>
      <c r="D60">
        <f>'By Round'!C21</f>
        <v/>
      </c>
      <c r="E60">
        <f>'By Round'!D21</f>
        <v/>
      </c>
      <c r="F60" s="11" t="inlineStr">
        <is>
          <t>EW</t>
        </is>
      </c>
      <c r="G60">
        <f>IF(ISBLANK('By Round'!G21),"",'By Round'!G21)</f>
        <v/>
      </c>
      <c r="H60">
        <f>IF(ISBLANK('By Round'!H21),"",'By Round'!H21)</f>
        <v/>
      </c>
      <c r="I60">
        <f>IF(ISBLANK('By Round'!I21),"",'By Round'!I21)</f>
        <v/>
      </c>
      <c r="J60">
        <f>IF(ISBLANK('By Round'!J21),"",'By Round'!J21)</f>
        <v/>
      </c>
      <c r="K60">
        <f>IF(ISBLANK('By Round'!K21),"",'By Round'!K21)</f>
        <v/>
      </c>
      <c r="L60" s="12">
        <f>SUM(AF60:AK60)</f>
        <v/>
      </c>
      <c r="M60" s="13">
        <f>SUM(AL60:AQ60)</f>
        <v/>
      </c>
      <c r="N60" s="8">
        <f>IF(COUNT(T60:Y60)&gt;0,P60/COUNT(T60:Y60),0.5)</f>
        <v/>
      </c>
      <c r="O60" s="8">
        <f>IF(COUNT(Z60:AE60)&gt;0,Q60/COUNT(Z60:AE60),0.5)</f>
        <v/>
      </c>
      <c r="P60" s="5">
        <f>SUM(T60:Y60)</f>
        <v/>
      </c>
      <c r="Q60" s="5">
        <f>SUM(Z60:AE60)</f>
        <v/>
      </c>
      <c r="R60" s="14">
        <f>IF(ISNUMBER(J60),J60,IF(ISNUMBER(K60),-K60,""))</f>
        <v/>
      </c>
      <c r="S60">
        <f>IF(ISNUMBER(K60),K60,IF(ISNUMBER(J60),-J60,""))</f>
        <v/>
      </c>
      <c r="T60" s="14">
        <f>IF(ISNUMBER(R60),IF(ISNUMBER(R59),IF(R60&gt;R59,1.0,IF(R60=R59,0.5,0.0)),""),"")</f>
        <v/>
      </c>
      <c r="U60">
        <f>IF(ISNUMBER(R60),IF(ISNUMBER(R61),IF(R60&gt;R61,1.0,IF(R60=R61,0.5,0.0)),""),"")</f>
        <v/>
      </c>
      <c r="V60">
        <f>IF(ISNUMBER(R60),IF(ISNUMBER(R62),IF(R60&gt;R62,1.0,IF(R60=R62,0.5,0.0)),""),"")</f>
        <v/>
      </c>
      <c r="W60">
        <f>IF(ISNUMBER(R60),IF(ISNUMBER(R63),IF(R60&gt;R63,1.0,IF(R60=R63,0.5,0.0)),""),"")</f>
        <v/>
      </c>
      <c r="X60">
        <f>IF(ISNUMBER(R60),IF(ISNUMBER(R64),IF(R60&gt;R64,1.0,IF(R60=R64,0.5,0.0)),""),"")</f>
        <v/>
      </c>
      <c r="Y60">
        <f>IF(ISNUMBER(R60),IF(ISNUMBER(R65),IF(R60&gt;R65,1.0,IF(R60=R65,0.5,0.0)),""),"")</f>
        <v/>
      </c>
      <c r="Z60">
        <f>IF(ISNUMBER(S60),IF(ISNUMBER(S59),IF(S60&gt;S59,1.0,IF(S60=S59,0.5,0.0)),""),"")</f>
        <v/>
      </c>
      <c r="AA60">
        <f>IF(ISNUMBER(S60),IF(ISNUMBER(S61),IF(S60&gt;S61,1.0,IF(S60=S61,0.5,0.0)),""),"")</f>
        <v/>
      </c>
      <c r="AB60">
        <f>IF(ISNUMBER(S60),IF(ISNUMBER(S62),IF(S60&gt;S62,1.0,IF(S60=S62,0.5,0.0)),""),"")</f>
        <v/>
      </c>
      <c r="AC60">
        <f>IF(ISNUMBER(S60),IF(ISNUMBER(S63),IF(S60&gt;S63,1.0,IF(S60=S63,0.5,0.0)),""),"")</f>
        <v/>
      </c>
      <c r="AD60">
        <f>IF(ISNUMBER(S60),IF(ISNUMBER(S64),IF(S60&gt;S64,1.0,IF(S60=S64,0.5,0.0)),""),"")</f>
        <v/>
      </c>
      <c r="AE60">
        <f>IF(ISNUMBER(S60),IF(ISNUMBER(S65),IF(S60&gt;S65,1.0,IF(S60=S65,0.5,0.0)),""),"")</f>
        <v/>
      </c>
      <c r="AF60" s="14">
        <f>IF(AND(ISNUMBER(R60),ISNUMBER(R59)),VLOOKUP(ABS(R60-R59),'IMP Table'!$A$2:$C$26,3)*SIGN(R60-R59),0)</f>
        <v/>
      </c>
      <c r="AG60">
        <f>IF(AND(ISNUMBER(R60),ISNUMBER(R61)),VLOOKUP(ABS(R60-R61),'IMP Table'!$A$2:$C$26,3)*SIGN(R60-R61),0)</f>
        <v/>
      </c>
      <c r="AH60">
        <f>IF(AND(ISNUMBER(R60),ISNUMBER(R62)),VLOOKUP(ABS(R60-R62),'IMP Table'!$A$2:$C$26,3)*SIGN(R60-R62),0)</f>
        <v/>
      </c>
      <c r="AI60">
        <f>IF(AND(ISNUMBER(R60),ISNUMBER(R63)),VLOOKUP(ABS(R60-R63),'IMP Table'!$A$2:$C$26,3)*SIGN(R60-R63),0)</f>
        <v/>
      </c>
      <c r="AJ60">
        <f>IF(AND(ISNUMBER(R60),ISNUMBER(R64)),VLOOKUP(ABS(R60-R64),'IMP Table'!$A$2:$C$26,3)*SIGN(R60-R64),0)</f>
        <v/>
      </c>
      <c r="AK60">
        <f>IF(AND(ISNUMBER(R60),ISNUMBER(R65)),VLOOKUP(ABS(R60-R65),'IMP Table'!$A$2:$C$26,3)*SIGN(R60-R65),0)</f>
        <v/>
      </c>
      <c r="AL60">
        <f>IF(AND(ISNUMBER(S60),ISNUMBER(S59)),VLOOKUP(ABS(S60-S59),'IMP Table'!$A$2:$C$26,3)*SIGN(S60-S59),0)</f>
        <v/>
      </c>
      <c r="AM60">
        <f>IF(AND(ISNUMBER(S60),ISNUMBER(S61)),VLOOKUP(ABS(S60-S61),'IMP Table'!$A$2:$C$26,3)*SIGN(S60-S61),0)</f>
        <v/>
      </c>
      <c r="AN60">
        <f>IF(AND(ISNUMBER(S60),ISNUMBER(S62)),VLOOKUP(ABS(S60-S62),'IMP Table'!$A$2:$C$26,3)*SIGN(S60-S62),0)</f>
        <v/>
      </c>
      <c r="AO60">
        <f>IF(AND(ISNUMBER(S60),ISNUMBER(S63)),VLOOKUP(ABS(S60-S63),'IMP Table'!$A$2:$C$26,3)*SIGN(S60-S63),0)</f>
        <v/>
      </c>
      <c r="AP60">
        <f>IF(AND(ISNUMBER(S60),ISNUMBER(S64)),VLOOKUP(ABS(S60-S64),'IMP Table'!$A$2:$C$26,3)*SIGN(S60-S64),0)</f>
        <v/>
      </c>
      <c r="AQ60">
        <f>IF(AND(ISNUMBER(S60),ISNUMBER(S65)),VLOOKUP(ABS(S60-S65),'IMP Table'!$A$2:$C$26,3)*SIGN(S60-S65),0)</f>
        <v/>
      </c>
    </row>
    <row r="61">
      <c r="B61">
        <f>'By Round'!A31</f>
        <v/>
      </c>
      <c r="C61">
        <f>'By Round'!B33</f>
        <v/>
      </c>
      <c r="D61">
        <f>'By Round'!C33</f>
        <v/>
      </c>
      <c r="E61">
        <f>'By Round'!D33</f>
        <v/>
      </c>
      <c r="F61" s="11" t="inlineStr">
        <is>
          <t>EW</t>
        </is>
      </c>
      <c r="G61">
        <f>IF(ISBLANK('By Round'!G33),"",'By Round'!G33)</f>
        <v/>
      </c>
      <c r="H61">
        <f>IF(ISBLANK('By Round'!H33),"",'By Round'!H33)</f>
        <v/>
      </c>
      <c r="I61">
        <f>IF(ISBLANK('By Round'!I33),"",'By Round'!I33)</f>
        <v/>
      </c>
      <c r="J61">
        <f>IF(ISBLANK('By Round'!J33),"",'By Round'!J33)</f>
        <v/>
      </c>
      <c r="K61">
        <f>IF(ISBLANK('By Round'!K33),"",'By Round'!K33)</f>
        <v/>
      </c>
      <c r="L61" s="12">
        <f>SUM(AF61:AK61)</f>
        <v/>
      </c>
      <c r="M61" s="13">
        <f>SUM(AL61:AQ61)</f>
        <v/>
      </c>
      <c r="N61" s="8">
        <f>IF(COUNT(T61:Y61)&gt;0,P61/COUNT(T61:Y61),0.5)</f>
        <v/>
      </c>
      <c r="O61" s="8">
        <f>IF(COUNT(Z61:AE61)&gt;0,Q61/COUNT(Z61:AE61),0.5)</f>
        <v/>
      </c>
      <c r="P61" s="5">
        <f>SUM(T61:Y61)</f>
        <v/>
      </c>
      <c r="Q61" s="5">
        <f>SUM(Z61:AE61)</f>
        <v/>
      </c>
      <c r="R61" s="14">
        <f>IF(ISNUMBER(J61),J61,IF(ISNUMBER(K61),-K61,""))</f>
        <v/>
      </c>
      <c r="S61">
        <f>IF(ISNUMBER(K61),K61,IF(ISNUMBER(J61),-J61,""))</f>
        <v/>
      </c>
      <c r="T61" s="14">
        <f>IF(ISNUMBER(R61),IF(ISNUMBER(R59),IF(R61&gt;R59,1.0,IF(R61=R59,0.5,0.0)),""),"")</f>
        <v/>
      </c>
      <c r="U61">
        <f>IF(ISNUMBER(R61),IF(ISNUMBER(R60),IF(R61&gt;R60,1.0,IF(R61=R60,0.5,0.0)),""),"")</f>
        <v/>
      </c>
      <c r="V61">
        <f>IF(ISNUMBER(R61),IF(ISNUMBER(R62),IF(R61&gt;R62,1.0,IF(R61=R62,0.5,0.0)),""),"")</f>
        <v/>
      </c>
      <c r="W61">
        <f>IF(ISNUMBER(R61),IF(ISNUMBER(R63),IF(R61&gt;R63,1.0,IF(R61=R63,0.5,0.0)),""),"")</f>
        <v/>
      </c>
      <c r="X61">
        <f>IF(ISNUMBER(R61),IF(ISNUMBER(R64),IF(R61&gt;R64,1.0,IF(R61=R64,0.5,0.0)),""),"")</f>
        <v/>
      </c>
      <c r="Y61">
        <f>IF(ISNUMBER(R61),IF(ISNUMBER(R65),IF(R61&gt;R65,1.0,IF(R61=R65,0.5,0.0)),""),"")</f>
        <v/>
      </c>
      <c r="Z61">
        <f>IF(ISNUMBER(S61),IF(ISNUMBER(S59),IF(S61&gt;S59,1.0,IF(S61=S59,0.5,0.0)),""),"")</f>
        <v/>
      </c>
      <c r="AA61">
        <f>IF(ISNUMBER(S61),IF(ISNUMBER(S60),IF(S61&gt;S60,1.0,IF(S61=S60,0.5,0.0)),""),"")</f>
        <v/>
      </c>
      <c r="AB61">
        <f>IF(ISNUMBER(S61),IF(ISNUMBER(S62),IF(S61&gt;S62,1.0,IF(S61=S62,0.5,0.0)),""),"")</f>
        <v/>
      </c>
      <c r="AC61">
        <f>IF(ISNUMBER(S61),IF(ISNUMBER(S63),IF(S61&gt;S63,1.0,IF(S61=S63,0.5,0.0)),""),"")</f>
        <v/>
      </c>
      <c r="AD61">
        <f>IF(ISNUMBER(S61),IF(ISNUMBER(S64),IF(S61&gt;S64,1.0,IF(S61=S64,0.5,0.0)),""),"")</f>
        <v/>
      </c>
      <c r="AE61">
        <f>IF(ISNUMBER(S61),IF(ISNUMBER(S65),IF(S61&gt;S65,1.0,IF(S61=S65,0.5,0.0)),""),"")</f>
        <v/>
      </c>
      <c r="AF61" s="14">
        <f>IF(AND(ISNUMBER(R61),ISNUMBER(R59)),VLOOKUP(ABS(R61-R59),'IMP Table'!$A$2:$C$26,3)*SIGN(R61-R59),0)</f>
        <v/>
      </c>
      <c r="AG61">
        <f>IF(AND(ISNUMBER(R61),ISNUMBER(R60)),VLOOKUP(ABS(R61-R60),'IMP Table'!$A$2:$C$26,3)*SIGN(R61-R60),0)</f>
        <v/>
      </c>
      <c r="AH61">
        <f>IF(AND(ISNUMBER(R61),ISNUMBER(R62)),VLOOKUP(ABS(R61-R62),'IMP Table'!$A$2:$C$26,3)*SIGN(R61-R62),0)</f>
        <v/>
      </c>
      <c r="AI61">
        <f>IF(AND(ISNUMBER(R61),ISNUMBER(R63)),VLOOKUP(ABS(R61-R63),'IMP Table'!$A$2:$C$26,3)*SIGN(R61-R63),0)</f>
        <v/>
      </c>
      <c r="AJ61">
        <f>IF(AND(ISNUMBER(R61),ISNUMBER(R64)),VLOOKUP(ABS(R61-R64),'IMP Table'!$A$2:$C$26,3)*SIGN(R61-R64),0)</f>
        <v/>
      </c>
      <c r="AK61">
        <f>IF(AND(ISNUMBER(R61),ISNUMBER(R65)),VLOOKUP(ABS(R61-R65),'IMP Table'!$A$2:$C$26,3)*SIGN(R61-R65),0)</f>
        <v/>
      </c>
      <c r="AL61">
        <f>IF(AND(ISNUMBER(S61),ISNUMBER(S59)),VLOOKUP(ABS(S61-S59),'IMP Table'!$A$2:$C$26,3)*SIGN(S61-S59),0)</f>
        <v/>
      </c>
      <c r="AM61">
        <f>IF(AND(ISNUMBER(S61),ISNUMBER(S60)),VLOOKUP(ABS(S61-S60),'IMP Table'!$A$2:$C$26,3)*SIGN(S61-S60),0)</f>
        <v/>
      </c>
      <c r="AN61">
        <f>IF(AND(ISNUMBER(S61),ISNUMBER(S62)),VLOOKUP(ABS(S61-S62),'IMP Table'!$A$2:$C$26,3)*SIGN(S61-S62),0)</f>
        <v/>
      </c>
      <c r="AO61">
        <f>IF(AND(ISNUMBER(S61),ISNUMBER(S63)),VLOOKUP(ABS(S61-S63),'IMP Table'!$A$2:$C$26,3)*SIGN(S61-S63),0)</f>
        <v/>
      </c>
      <c r="AP61">
        <f>IF(AND(ISNUMBER(S61),ISNUMBER(S64)),VLOOKUP(ABS(S61-S64),'IMP Table'!$A$2:$C$26,3)*SIGN(S61-S64),0)</f>
        <v/>
      </c>
      <c r="AQ61">
        <f>IF(AND(ISNUMBER(S61),ISNUMBER(S65)),VLOOKUP(ABS(S61-S65),'IMP Table'!$A$2:$C$26,3)*SIGN(S61-S65),0)</f>
        <v/>
      </c>
    </row>
    <row r="62">
      <c r="B62">
        <f>'By Round'!A59</f>
        <v/>
      </c>
      <c r="C62">
        <f>'By Round'!B59</f>
        <v/>
      </c>
      <c r="D62">
        <f>'By Round'!C59</f>
        <v/>
      </c>
      <c r="E62">
        <f>'By Round'!D59</f>
        <v/>
      </c>
      <c r="F62" s="11" t="inlineStr">
        <is>
          <t>EW</t>
        </is>
      </c>
      <c r="G62">
        <f>IF(ISBLANK('By Round'!G59),"",'By Round'!G59)</f>
        <v/>
      </c>
      <c r="H62">
        <f>IF(ISBLANK('By Round'!H59),"",'By Round'!H59)</f>
        <v/>
      </c>
      <c r="I62">
        <f>IF(ISBLANK('By Round'!I59),"",'By Round'!I59)</f>
        <v/>
      </c>
      <c r="J62">
        <f>IF(ISBLANK('By Round'!J59),"",'By Round'!J59)</f>
        <v/>
      </c>
      <c r="K62">
        <f>IF(ISBLANK('By Round'!K59),"",'By Round'!K59)</f>
        <v/>
      </c>
      <c r="L62" s="12">
        <f>SUM(AF62:AK62)</f>
        <v/>
      </c>
      <c r="M62" s="13">
        <f>SUM(AL62:AQ62)</f>
        <v/>
      </c>
      <c r="N62" s="8">
        <f>IF(COUNT(T62:Y62)&gt;0,P62/COUNT(T62:Y62),0.5)</f>
        <v/>
      </c>
      <c r="O62" s="8">
        <f>IF(COUNT(Z62:AE62)&gt;0,Q62/COUNT(Z62:AE62),0.5)</f>
        <v/>
      </c>
      <c r="P62" s="5">
        <f>SUM(T62:Y62)</f>
        <v/>
      </c>
      <c r="Q62" s="5">
        <f>SUM(Z62:AE62)</f>
        <v/>
      </c>
      <c r="R62" s="14">
        <f>IF(ISNUMBER(J62),J62,IF(ISNUMBER(K62),-K62,""))</f>
        <v/>
      </c>
      <c r="S62">
        <f>IF(ISNUMBER(K62),K62,IF(ISNUMBER(J62),-J62,""))</f>
        <v/>
      </c>
      <c r="T62" s="14">
        <f>IF(ISNUMBER(R62),IF(ISNUMBER(R59),IF(R62&gt;R59,1.0,IF(R62=R59,0.5,0.0)),""),"")</f>
        <v/>
      </c>
      <c r="U62">
        <f>IF(ISNUMBER(R62),IF(ISNUMBER(R60),IF(R62&gt;R60,1.0,IF(R62=R60,0.5,0.0)),""),"")</f>
        <v/>
      </c>
      <c r="V62">
        <f>IF(ISNUMBER(R62),IF(ISNUMBER(R61),IF(R62&gt;R61,1.0,IF(R62=R61,0.5,0.0)),""),"")</f>
        <v/>
      </c>
      <c r="W62">
        <f>IF(ISNUMBER(R62),IF(ISNUMBER(R63),IF(R62&gt;R63,1.0,IF(R62=R63,0.5,0.0)),""),"")</f>
        <v/>
      </c>
      <c r="X62">
        <f>IF(ISNUMBER(R62),IF(ISNUMBER(R64),IF(R62&gt;R64,1.0,IF(R62=R64,0.5,0.0)),""),"")</f>
        <v/>
      </c>
      <c r="Y62">
        <f>IF(ISNUMBER(R62),IF(ISNUMBER(R65),IF(R62&gt;R65,1.0,IF(R62=R65,0.5,0.0)),""),"")</f>
        <v/>
      </c>
      <c r="Z62">
        <f>IF(ISNUMBER(S62),IF(ISNUMBER(S59),IF(S62&gt;S59,1.0,IF(S62=S59,0.5,0.0)),""),"")</f>
        <v/>
      </c>
      <c r="AA62">
        <f>IF(ISNUMBER(S62),IF(ISNUMBER(S60),IF(S62&gt;S60,1.0,IF(S62=S60,0.5,0.0)),""),"")</f>
        <v/>
      </c>
      <c r="AB62">
        <f>IF(ISNUMBER(S62),IF(ISNUMBER(S61),IF(S62&gt;S61,1.0,IF(S62=S61,0.5,0.0)),""),"")</f>
        <v/>
      </c>
      <c r="AC62">
        <f>IF(ISNUMBER(S62),IF(ISNUMBER(S63),IF(S62&gt;S63,1.0,IF(S62=S63,0.5,0.0)),""),"")</f>
        <v/>
      </c>
      <c r="AD62">
        <f>IF(ISNUMBER(S62),IF(ISNUMBER(S64),IF(S62&gt;S64,1.0,IF(S62=S64,0.5,0.0)),""),"")</f>
        <v/>
      </c>
      <c r="AE62">
        <f>IF(ISNUMBER(S62),IF(ISNUMBER(S65),IF(S62&gt;S65,1.0,IF(S62=S65,0.5,0.0)),""),"")</f>
        <v/>
      </c>
      <c r="AF62" s="14">
        <f>IF(AND(ISNUMBER(R62),ISNUMBER(R59)),VLOOKUP(ABS(R62-R59),'IMP Table'!$A$2:$C$26,3)*SIGN(R62-R59),0)</f>
        <v/>
      </c>
      <c r="AG62">
        <f>IF(AND(ISNUMBER(R62),ISNUMBER(R60)),VLOOKUP(ABS(R62-R60),'IMP Table'!$A$2:$C$26,3)*SIGN(R62-R60),0)</f>
        <v/>
      </c>
      <c r="AH62">
        <f>IF(AND(ISNUMBER(R62),ISNUMBER(R61)),VLOOKUP(ABS(R62-R61),'IMP Table'!$A$2:$C$26,3)*SIGN(R62-R61),0)</f>
        <v/>
      </c>
      <c r="AI62">
        <f>IF(AND(ISNUMBER(R62),ISNUMBER(R63)),VLOOKUP(ABS(R62-R63),'IMP Table'!$A$2:$C$26,3)*SIGN(R62-R63),0)</f>
        <v/>
      </c>
      <c r="AJ62">
        <f>IF(AND(ISNUMBER(R62),ISNUMBER(R64)),VLOOKUP(ABS(R62-R64),'IMP Table'!$A$2:$C$26,3)*SIGN(R62-R64),0)</f>
        <v/>
      </c>
      <c r="AK62">
        <f>IF(AND(ISNUMBER(R62),ISNUMBER(R65)),VLOOKUP(ABS(R62-R65),'IMP Table'!$A$2:$C$26,3)*SIGN(R62-R65),0)</f>
        <v/>
      </c>
      <c r="AL62">
        <f>IF(AND(ISNUMBER(S62),ISNUMBER(S59)),VLOOKUP(ABS(S62-S59),'IMP Table'!$A$2:$C$26,3)*SIGN(S62-S59),0)</f>
        <v/>
      </c>
      <c r="AM62">
        <f>IF(AND(ISNUMBER(S62),ISNUMBER(S60)),VLOOKUP(ABS(S62-S60),'IMP Table'!$A$2:$C$26,3)*SIGN(S62-S60),0)</f>
        <v/>
      </c>
      <c r="AN62">
        <f>IF(AND(ISNUMBER(S62),ISNUMBER(S61)),VLOOKUP(ABS(S62-S61),'IMP Table'!$A$2:$C$26,3)*SIGN(S62-S61),0)</f>
        <v/>
      </c>
      <c r="AO62">
        <f>IF(AND(ISNUMBER(S62),ISNUMBER(S63)),VLOOKUP(ABS(S62-S63),'IMP Table'!$A$2:$C$26,3)*SIGN(S62-S63),0)</f>
        <v/>
      </c>
      <c r="AP62">
        <f>IF(AND(ISNUMBER(S62),ISNUMBER(S64)),VLOOKUP(ABS(S62-S64),'IMP Table'!$A$2:$C$26,3)*SIGN(S62-S64),0)</f>
        <v/>
      </c>
      <c r="AQ62">
        <f>IF(AND(ISNUMBER(S62),ISNUMBER(S65)),VLOOKUP(ABS(S62-S65),'IMP Table'!$A$2:$C$26,3)*SIGN(S62-S65),0)</f>
        <v/>
      </c>
    </row>
    <row r="63">
      <c r="B63">
        <f>'By Round'!A87</f>
        <v/>
      </c>
      <c r="C63">
        <f>'By Round'!B99</f>
        <v/>
      </c>
      <c r="D63">
        <f>'By Round'!C99</f>
        <v/>
      </c>
      <c r="E63">
        <f>'By Round'!D99</f>
        <v/>
      </c>
      <c r="F63" s="11" t="inlineStr">
        <is>
          <t>EW</t>
        </is>
      </c>
      <c r="G63">
        <f>IF(ISBLANK('By Round'!G99),"",'By Round'!G99)</f>
        <v/>
      </c>
      <c r="H63">
        <f>IF(ISBLANK('By Round'!H99),"",'By Round'!H99)</f>
        <v/>
      </c>
      <c r="I63">
        <f>IF(ISBLANK('By Round'!I99),"",'By Round'!I99)</f>
        <v/>
      </c>
      <c r="J63">
        <f>IF(ISBLANK('By Round'!J99),"",'By Round'!J99)</f>
        <v/>
      </c>
      <c r="K63">
        <f>IF(ISBLANK('By Round'!K99),"",'By Round'!K99)</f>
        <v/>
      </c>
      <c r="L63" s="12">
        <f>SUM(AF63:AK63)</f>
        <v/>
      </c>
      <c r="M63" s="13">
        <f>SUM(AL63:AQ63)</f>
        <v/>
      </c>
      <c r="N63" s="8">
        <f>IF(COUNT(T63:Y63)&gt;0,P63/COUNT(T63:Y63),0.5)</f>
        <v/>
      </c>
      <c r="O63" s="8">
        <f>IF(COUNT(Z63:AE63)&gt;0,Q63/COUNT(Z63:AE63),0.5)</f>
        <v/>
      </c>
      <c r="P63" s="5">
        <f>SUM(T63:Y63)</f>
        <v/>
      </c>
      <c r="Q63" s="5">
        <f>SUM(Z63:AE63)</f>
        <v/>
      </c>
      <c r="R63" s="14">
        <f>IF(ISNUMBER(J63),J63,IF(ISNUMBER(K63),-K63,""))</f>
        <v/>
      </c>
      <c r="S63">
        <f>IF(ISNUMBER(K63),K63,IF(ISNUMBER(J63),-J63,""))</f>
        <v/>
      </c>
      <c r="T63" s="14">
        <f>IF(ISNUMBER(R63),IF(ISNUMBER(R59),IF(R63&gt;R59,1.0,IF(R63=R59,0.5,0.0)),""),"")</f>
        <v/>
      </c>
      <c r="U63">
        <f>IF(ISNUMBER(R63),IF(ISNUMBER(R60),IF(R63&gt;R60,1.0,IF(R63=R60,0.5,0.0)),""),"")</f>
        <v/>
      </c>
      <c r="V63">
        <f>IF(ISNUMBER(R63),IF(ISNUMBER(R61),IF(R63&gt;R61,1.0,IF(R63=R61,0.5,0.0)),""),"")</f>
        <v/>
      </c>
      <c r="W63">
        <f>IF(ISNUMBER(R63),IF(ISNUMBER(R62),IF(R63&gt;R62,1.0,IF(R63=R62,0.5,0.0)),""),"")</f>
        <v/>
      </c>
      <c r="X63">
        <f>IF(ISNUMBER(R63),IF(ISNUMBER(R64),IF(R63&gt;R64,1.0,IF(R63=R64,0.5,0.0)),""),"")</f>
        <v/>
      </c>
      <c r="Y63">
        <f>IF(ISNUMBER(R63),IF(ISNUMBER(R65),IF(R63&gt;R65,1.0,IF(R63=R65,0.5,0.0)),""),"")</f>
        <v/>
      </c>
      <c r="Z63">
        <f>IF(ISNUMBER(S63),IF(ISNUMBER(S59),IF(S63&gt;S59,1.0,IF(S63=S59,0.5,0.0)),""),"")</f>
        <v/>
      </c>
      <c r="AA63">
        <f>IF(ISNUMBER(S63),IF(ISNUMBER(S60),IF(S63&gt;S60,1.0,IF(S63=S60,0.5,0.0)),""),"")</f>
        <v/>
      </c>
      <c r="AB63">
        <f>IF(ISNUMBER(S63),IF(ISNUMBER(S61),IF(S63&gt;S61,1.0,IF(S63=S61,0.5,0.0)),""),"")</f>
        <v/>
      </c>
      <c r="AC63">
        <f>IF(ISNUMBER(S63),IF(ISNUMBER(S62),IF(S63&gt;S62,1.0,IF(S63=S62,0.5,0.0)),""),"")</f>
        <v/>
      </c>
      <c r="AD63">
        <f>IF(ISNUMBER(S63),IF(ISNUMBER(S64),IF(S63&gt;S64,1.0,IF(S63=S64,0.5,0.0)),""),"")</f>
        <v/>
      </c>
      <c r="AE63">
        <f>IF(ISNUMBER(S63),IF(ISNUMBER(S65),IF(S63&gt;S65,1.0,IF(S63=S65,0.5,0.0)),""),"")</f>
        <v/>
      </c>
      <c r="AF63" s="14">
        <f>IF(AND(ISNUMBER(R63),ISNUMBER(R59)),VLOOKUP(ABS(R63-R59),'IMP Table'!$A$2:$C$26,3)*SIGN(R63-R59),0)</f>
        <v/>
      </c>
      <c r="AG63">
        <f>IF(AND(ISNUMBER(R63),ISNUMBER(R60)),VLOOKUP(ABS(R63-R60),'IMP Table'!$A$2:$C$26,3)*SIGN(R63-R60),0)</f>
        <v/>
      </c>
      <c r="AH63">
        <f>IF(AND(ISNUMBER(R63),ISNUMBER(R61)),VLOOKUP(ABS(R63-R61),'IMP Table'!$A$2:$C$26,3)*SIGN(R63-R61),0)</f>
        <v/>
      </c>
      <c r="AI63">
        <f>IF(AND(ISNUMBER(R63),ISNUMBER(R62)),VLOOKUP(ABS(R63-R62),'IMP Table'!$A$2:$C$26,3)*SIGN(R63-R62),0)</f>
        <v/>
      </c>
      <c r="AJ63">
        <f>IF(AND(ISNUMBER(R63),ISNUMBER(R64)),VLOOKUP(ABS(R63-R64),'IMP Table'!$A$2:$C$26,3)*SIGN(R63-R64),0)</f>
        <v/>
      </c>
      <c r="AK63">
        <f>IF(AND(ISNUMBER(R63),ISNUMBER(R65)),VLOOKUP(ABS(R63-R65),'IMP Table'!$A$2:$C$26,3)*SIGN(R63-R65),0)</f>
        <v/>
      </c>
      <c r="AL63">
        <f>IF(AND(ISNUMBER(S63),ISNUMBER(S59)),VLOOKUP(ABS(S63-S59),'IMP Table'!$A$2:$C$26,3)*SIGN(S63-S59),0)</f>
        <v/>
      </c>
      <c r="AM63">
        <f>IF(AND(ISNUMBER(S63),ISNUMBER(S60)),VLOOKUP(ABS(S63-S60),'IMP Table'!$A$2:$C$26,3)*SIGN(S63-S60),0)</f>
        <v/>
      </c>
      <c r="AN63">
        <f>IF(AND(ISNUMBER(S63),ISNUMBER(S61)),VLOOKUP(ABS(S63-S61),'IMP Table'!$A$2:$C$26,3)*SIGN(S63-S61),0)</f>
        <v/>
      </c>
      <c r="AO63">
        <f>IF(AND(ISNUMBER(S63),ISNUMBER(S62)),VLOOKUP(ABS(S63-S62),'IMP Table'!$A$2:$C$26,3)*SIGN(S63-S62),0)</f>
        <v/>
      </c>
      <c r="AP63">
        <f>IF(AND(ISNUMBER(S63),ISNUMBER(S64)),VLOOKUP(ABS(S63-S64),'IMP Table'!$A$2:$C$26,3)*SIGN(S63-S64),0)</f>
        <v/>
      </c>
      <c r="AQ63">
        <f>IF(AND(ISNUMBER(S63),ISNUMBER(S65)),VLOOKUP(ABS(S63-S65),'IMP Table'!$A$2:$C$26,3)*SIGN(S63-S65),0)</f>
        <v/>
      </c>
    </row>
    <row r="64">
      <c r="B64">
        <f>'By Round'!A101</f>
        <v/>
      </c>
      <c r="C64">
        <f>'By Round'!B111</f>
        <v/>
      </c>
      <c r="D64">
        <f>'By Round'!C111</f>
        <v/>
      </c>
      <c r="E64">
        <f>'By Round'!D111</f>
        <v/>
      </c>
      <c r="F64" s="11" t="inlineStr">
        <is>
          <t>EW</t>
        </is>
      </c>
      <c r="G64">
        <f>IF(ISBLANK('By Round'!G111),"",'By Round'!G111)</f>
        <v/>
      </c>
      <c r="H64">
        <f>IF(ISBLANK('By Round'!H111),"",'By Round'!H111)</f>
        <v/>
      </c>
      <c r="I64">
        <f>IF(ISBLANK('By Round'!I111),"",'By Round'!I111)</f>
        <v/>
      </c>
      <c r="J64">
        <f>IF(ISBLANK('By Round'!J111),"",'By Round'!J111)</f>
        <v/>
      </c>
      <c r="K64">
        <f>IF(ISBLANK('By Round'!K111),"",'By Round'!K111)</f>
        <v/>
      </c>
      <c r="L64" s="12">
        <f>SUM(AF64:AK64)</f>
        <v/>
      </c>
      <c r="M64" s="13">
        <f>SUM(AL64:AQ64)</f>
        <v/>
      </c>
      <c r="N64" s="8">
        <f>IF(COUNT(T64:Y64)&gt;0,P64/COUNT(T64:Y64),0.5)</f>
        <v/>
      </c>
      <c r="O64" s="8">
        <f>IF(COUNT(Z64:AE64)&gt;0,Q64/COUNT(Z64:AE64),0.5)</f>
        <v/>
      </c>
      <c r="P64" s="5">
        <f>SUM(T64:Y64)</f>
        <v/>
      </c>
      <c r="Q64" s="5">
        <f>SUM(Z64:AE64)</f>
        <v/>
      </c>
      <c r="R64" s="14">
        <f>IF(ISNUMBER(J64),J64,IF(ISNUMBER(K64),-K64,""))</f>
        <v/>
      </c>
      <c r="S64">
        <f>IF(ISNUMBER(K64),K64,IF(ISNUMBER(J64),-J64,""))</f>
        <v/>
      </c>
      <c r="T64" s="14">
        <f>IF(ISNUMBER(R64),IF(ISNUMBER(R59),IF(R64&gt;R59,1.0,IF(R64=R59,0.5,0.0)),""),"")</f>
        <v/>
      </c>
      <c r="U64">
        <f>IF(ISNUMBER(R64),IF(ISNUMBER(R60),IF(R64&gt;R60,1.0,IF(R64=R60,0.5,0.0)),""),"")</f>
        <v/>
      </c>
      <c r="V64">
        <f>IF(ISNUMBER(R64),IF(ISNUMBER(R61),IF(R64&gt;R61,1.0,IF(R64=R61,0.5,0.0)),""),"")</f>
        <v/>
      </c>
      <c r="W64">
        <f>IF(ISNUMBER(R64),IF(ISNUMBER(R62),IF(R64&gt;R62,1.0,IF(R64=R62,0.5,0.0)),""),"")</f>
        <v/>
      </c>
      <c r="X64">
        <f>IF(ISNUMBER(R64),IF(ISNUMBER(R63),IF(R64&gt;R63,1.0,IF(R64=R63,0.5,0.0)),""),"")</f>
        <v/>
      </c>
      <c r="Y64">
        <f>IF(ISNUMBER(R64),IF(ISNUMBER(R65),IF(R64&gt;R65,1.0,IF(R64=R65,0.5,0.0)),""),"")</f>
        <v/>
      </c>
      <c r="Z64">
        <f>IF(ISNUMBER(S64),IF(ISNUMBER(S59),IF(S64&gt;S59,1.0,IF(S64=S59,0.5,0.0)),""),"")</f>
        <v/>
      </c>
      <c r="AA64">
        <f>IF(ISNUMBER(S64),IF(ISNUMBER(S60),IF(S64&gt;S60,1.0,IF(S64=S60,0.5,0.0)),""),"")</f>
        <v/>
      </c>
      <c r="AB64">
        <f>IF(ISNUMBER(S64),IF(ISNUMBER(S61),IF(S64&gt;S61,1.0,IF(S64=S61,0.5,0.0)),""),"")</f>
        <v/>
      </c>
      <c r="AC64">
        <f>IF(ISNUMBER(S64),IF(ISNUMBER(S62),IF(S64&gt;S62,1.0,IF(S64=S62,0.5,0.0)),""),"")</f>
        <v/>
      </c>
      <c r="AD64">
        <f>IF(ISNUMBER(S64),IF(ISNUMBER(S63),IF(S64&gt;S63,1.0,IF(S64=S63,0.5,0.0)),""),"")</f>
        <v/>
      </c>
      <c r="AE64">
        <f>IF(ISNUMBER(S64),IF(ISNUMBER(S65),IF(S64&gt;S65,1.0,IF(S64=S65,0.5,0.0)),""),"")</f>
        <v/>
      </c>
      <c r="AF64" s="14">
        <f>IF(AND(ISNUMBER(R64),ISNUMBER(R59)),VLOOKUP(ABS(R64-R59),'IMP Table'!$A$2:$C$26,3)*SIGN(R64-R59),0)</f>
        <v/>
      </c>
      <c r="AG64">
        <f>IF(AND(ISNUMBER(R64),ISNUMBER(R60)),VLOOKUP(ABS(R64-R60),'IMP Table'!$A$2:$C$26,3)*SIGN(R64-R60),0)</f>
        <v/>
      </c>
      <c r="AH64">
        <f>IF(AND(ISNUMBER(R64),ISNUMBER(R61)),VLOOKUP(ABS(R64-R61),'IMP Table'!$A$2:$C$26,3)*SIGN(R64-R61),0)</f>
        <v/>
      </c>
      <c r="AI64">
        <f>IF(AND(ISNUMBER(R64),ISNUMBER(R62)),VLOOKUP(ABS(R64-R62),'IMP Table'!$A$2:$C$26,3)*SIGN(R64-R62),0)</f>
        <v/>
      </c>
      <c r="AJ64">
        <f>IF(AND(ISNUMBER(R64),ISNUMBER(R63)),VLOOKUP(ABS(R64-R63),'IMP Table'!$A$2:$C$26,3)*SIGN(R64-R63),0)</f>
        <v/>
      </c>
      <c r="AK64">
        <f>IF(AND(ISNUMBER(R64),ISNUMBER(R65)),VLOOKUP(ABS(R64-R65),'IMP Table'!$A$2:$C$26,3)*SIGN(R64-R65),0)</f>
        <v/>
      </c>
      <c r="AL64">
        <f>IF(AND(ISNUMBER(S64),ISNUMBER(S59)),VLOOKUP(ABS(S64-S59),'IMP Table'!$A$2:$C$26,3)*SIGN(S64-S59),0)</f>
        <v/>
      </c>
      <c r="AM64">
        <f>IF(AND(ISNUMBER(S64),ISNUMBER(S60)),VLOOKUP(ABS(S64-S60),'IMP Table'!$A$2:$C$26,3)*SIGN(S64-S60),0)</f>
        <v/>
      </c>
      <c r="AN64">
        <f>IF(AND(ISNUMBER(S64),ISNUMBER(S61)),VLOOKUP(ABS(S64-S61),'IMP Table'!$A$2:$C$26,3)*SIGN(S64-S61),0)</f>
        <v/>
      </c>
      <c r="AO64">
        <f>IF(AND(ISNUMBER(S64),ISNUMBER(S62)),VLOOKUP(ABS(S64-S62),'IMP Table'!$A$2:$C$26,3)*SIGN(S64-S62),0)</f>
        <v/>
      </c>
      <c r="AP64">
        <f>IF(AND(ISNUMBER(S64),ISNUMBER(S63)),VLOOKUP(ABS(S64-S63),'IMP Table'!$A$2:$C$26,3)*SIGN(S64-S63),0)</f>
        <v/>
      </c>
      <c r="AQ64">
        <f>IF(AND(ISNUMBER(S64),ISNUMBER(S65)),VLOOKUP(ABS(S64-S65),'IMP Table'!$A$2:$C$26,3)*SIGN(S64-S65),0)</f>
        <v/>
      </c>
    </row>
    <row r="65">
      <c r="A65" s="15" t="n"/>
      <c r="B65" s="15">
        <f>'By Round'!A115</f>
        <v/>
      </c>
      <c r="C65" s="15">
        <f>'By Round'!B123</f>
        <v/>
      </c>
      <c r="D65" s="15">
        <f>'By Round'!C123</f>
        <v/>
      </c>
      <c r="E65" s="15">
        <f>'By Round'!D123</f>
        <v/>
      </c>
      <c r="F65" s="16" t="inlineStr">
        <is>
          <t>EW</t>
        </is>
      </c>
      <c r="G65" s="15">
        <f>IF(ISBLANK('By Round'!G123),"",'By Round'!G123)</f>
        <v/>
      </c>
      <c r="H65" s="15">
        <f>IF(ISBLANK('By Round'!H123),"",'By Round'!H123)</f>
        <v/>
      </c>
      <c r="I65" s="15">
        <f>IF(ISBLANK('By Round'!I123),"",'By Round'!I123)</f>
        <v/>
      </c>
      <c r="J65" s="15">
        <f>IF(ISBLANK('By Round'!J123),"",'By Round'!J123)</f>
        <v/>
      </c>
      <c r="K65" s="15">
        <f>IF(ISBLANK('By Round'!K123),"",'By Round'!K123)</f>
        <v/>
      </c>
      <c r="L65" s="17">
        <f>SUM(AF65:AK65)</f>
        <v/>
      </c>
      <c r="M65" s="18">
        <f>SUM(AL65:AQ65)</f>
        <v/>
      </c>
      <c r="N65" s="19">
        <f>IF(COUNT(T65:Y65)&gt;0,P65/COUNT(T65:Y65),0.5)</f>
        <v/>
      </c>
      <c r="O65" s="19">
        <f>IF(COUNT(Z65:AE65)&gt;0,Q65/COUNT(Z65:AE65),0.5)</f>
        <v/>
      </c>
      <c r="P65" s="20">
        <f>SUM(T65:Y65)</f>
        <v/>
      </c>
      <c r="Q65" s="20">
        <f>SUM(Z65:AE65)</f>
        <v/>
      </c>
      <c r="R65" s="21">
        <f>IF(ISNUMBER(J65),J65,IF(ISNUMBER(K65),-K65,""))</f>
        <v/>
      </c>
      <c r="S65" s="15">
        <f>IF(ISNUMBER(K65),K65,IF(ISNUMBER(J65),-J65,""))</f>
        <v/>
      </c>
      <c r="T65" s="21">
        <f>IF(ISNUMBER(R65),IF(ISNUMBER(R59),IF(R65&gt;R59,1.0,IF(R65=R59,0.5,0.0)),""),"")</f>
        <v/>
      </c>
      <c r="U65" s="15">
        <f>IF(ISNUMBER(R65),IF(ISNUMBER(R60),IF(R65&gt;R60,1.0,IF(R65=R60,0.5,0.0)),""),"")</f>
        <v/>
      </c>
      <c r="V65" s="15">
        <f>IF(ISNUMBER(R65),IF(ISNUMBER(R61),IF(R65&gt;R61,1.0,IF(R65=R61,0.5,0.0)),""),"")</f>
        <v/>
      </c>
      <c r="W65" s="15">
        <f>IF(ISNUMBER(R65),IF(ISNUMBER(R62),IF(R65&gt;R62,1.0,IF(R65=R62,0.5,0.0)),""),"")</f>
        <v/>
      </c>
      <c r="X65" s="15">
        <f>IF(ISNUMBER(R65),IF(ISNUMBER(R63),IF(R65&gt;R63,1.0,IF(R65=R63,0.5,0.0)),""),"")</f>
        <v/>
      </c>
      <c r="Y65" s="15">
        <f>IF(ISNUMBER(R65),IF(ISNUMBER(R64),IF(R65&gt;R64,1.0,IF(R65=R64,0.5,0.0)),""),"")</f>
        <v/>
      </c>
      <c r="Z65" s="15">
        <f>IF(ISNUMBER(S65),IF(ISNUMBER(S59),IF(S65&gt;S59,1.0,IF(S65=S59,0.5,0.0)),""),"")</f>
        <v/>
      </c>
      <c r="AA65" s="15">
        <f>IF(ISNUMBER(S65),IF(ISNUMBER(S60),IF(S65&gt;S60,1.0,IF(S65=S60,0.5,0.0)),""),"")</f>
        <v/>
      </c>
      <c r="AB65" s="15">
        <f>IF(ISNUMBER(S65),IF(ISNUMBER(S61),IF(S65&gt;S61,1.0,IF(S65=S61,0.5,0.0)),""),"")</f>
        <v/>
      </c>
      <c r="AC65" s="15">
        <f>IF(ISNUMBER(S65),IF(ISNUMBER(S62),IF(S65&gt;S62,1.0,IF(S65=S62,0.5,0.0)),""),"")</f>
        <v/>
      </c>
      <c r="AD65" s="15">
        <f>IF(ISNUMBER(S65),IF(ISNUMBER(S63),IF(S65&gt;S63,1.0,IF(S65=S63,0.5,0.0)),""),"")</f>
        <v/>
      </c>
      <c r="AE65" s="15">
        <f>IF(ISNUMBER(S65),IF(ISNUMBER(S64),IF(S65&gt;S64,1.0,IF(S65=S64,0.5,0.0)),""),"")</f>
        <v/>
      </c>
      <c r="AF65" s="21">
        <f>IF(AND(ISNUMBER(R65),ISNUMBER(R59)),VLOOKUP(ABS(R65-R59),'IMP Table'!$A$2:$C$26,3)*SIGN(R65-R59),0)</f>
        <v/>
      </c>
      <c r="AG65" s="15">
        <f>IF(AND(ISNUMBER(R65),ISNUMBER(R60)),VLOOKUP(ABS(R65-R60),'IMP Table'!$A$2:$C$26,3)*SIGN(R65-R60),0)</f>
        <v/>
      </c>
      <c r="AH65" s="15">
        <f>IF(AND(ISNUMBER(R65),ISNUMBER(R61)),VLOOKUP(ABS(R65-R61),'IMP Table'!$A$2:$C$26,3)*SIGN(R65-R61),0)</f>
        <v/>
      </c>
      <c r="AI65" s="15">
        <f>IF(AND(ISNUMBER(R65),ISNUMBER(R62)),VLOOKUP(ABS(R65-R62),'IMP Table'!$A$2:$C$26,3)*SIGN(R65-R62),0)</f>
        <v/>
      </c>
      <c r="AJ65" s="15">
        <f>IF(AND(ISNUMBER(R65),ISNUMBER(R63)),VLOOKUP(ABS(R65-R63),'IMP Table'!$A$2:$C$26,3)*SIGN(R65-R63),0)</f>
        <v/>
      </c>
      <c r="AK65" s="15">
        <f>IF(AND(ISNUMBER(R65),ISNUMBER(R64)),VLOOKUP(ABS(R65-R64),'IMP Table'!$A$2:$C$26,3)*SIGN(R65-R64),0)</f>
        <v/>
      </c>
      <c r="AL65" s="15">
        <f>IF(AND(ISNUMBER(S65),ISNUMBER(S59)),VLOOKUP(ABS(S65-S59),'IMP Table'!$A$2:$C$26,3)*SIGN(S65-S59),0)</f>
        <v/>
      </c>
      <c r="AM65" s="15">
        <f>IF(AND(ISNUMBER(S65),ISNUMBER(S60)),VLOOKUP(ABS(S65-S60),'IMP Table'!$A$2:$C$26,3)*SIGN(S65-S60),0)</f>
        <v/>
      </c>
      <c r="AN65" s="15">
        <f>IF(AND(ISNUMBER(S65),ISNUMBER(S61)),VLOOKUP(ABS(S65-S61),'IMP Table'!$A$2:$C$26,3)*SIGN(S65-S61),0)</f>
        <v/>
      </c>
      <c r="AO65" s="15">
        <f>IF(AND(ISNUMBER(S65),ISNUMBER(S62)),VLOOKUP(ABS(S65-S62),'IMP Table'!$A$2:$C$26,3)*SIGN(S65-S62),0)</f>
        <v/>
      </c>
      <c r="AP65" s="15">
        <f>IF(AND(ISNUMBER(S65),ISNUMBER(S63)),VLOOKUP(ABS(S65-S63),'IMP Table'!$A$2:$C$26,3)*SIGN(S65-S63),0)</f>
        <v/>
      </c>
      <c r="AQ65" s="15">
        <f>IF(AND(ISNUMBER(S65),ISNUMBER(S64)),VLOOKUP(ABS(S65-S64),'IMP Table'!$A$2:$C$26,3)*SIGN(S65-S64),0)</f>
        <v/>
      </c>
    </row>
    <row r="66">
      <c r="A66" t="n">
        <v>10</v>
      </c>
      <c r="B66">
        <f>'By Round'!A3</f>
        <v/>
      </c>
      <c r="C66">
        <f>'By Round'!B9</f>
        <v/>
      </c>
      <c r="D66">
        <f>'By Round'!C9</f>
        <v/>
      </c>
      <c r="E66">
        <f>'By Round'!D9</f>
        <v/>
      </c>
      <c r="F66" s="11" t="inlineStr">
        <is>
          <t>Both</t>
        </is>
      </c>
      <c r="G66">
        <f>IF(ISBLANK('By Round'!G9),"",'By Round'!G9)</f>
        <v/>
      </c>
      <c r="H66">
        <f>IF(ISBLANK('By Round'!H9),"",'By Round'!H9)</f>
        <v/>
      </c>
      <c r="I66">
        <f>IF(ISBLANK('By Round'!I9),"",'By Round'!I9)</f>
        <v/>
      </c>
      <c r="J66">
        <f>IF(ISBLANK('By Round'!J9),"",'By Round'!J9)</f>
        <v/>
      </c>
      <c r="K66">
        <f>IF(ISBLANK('By Round'!K9),"",'By Round'!K9)</f>
        <v/>
      </c>
      <c r="L66" s="12">
        <f>SUM(AF66:AK66)</f>
        <v/>
      </c>
      <c r="M66" s="13">
        <f>SUM(AL66:AQ66)</f>
        <v/>
      </c>
      <c r="N66" s="8">
        <f>IF(COUNT(T66:Y66)&gt;0,P66/COUNT(T66:Y66),0.5)</f>
        <v/>
      </c>
      <c r="O66" s="8">
        <f>IF(COUNT(Z66:AE66)&gt;0,Q66/COUNT(Z66:AE66),0.5)</f>
        <v/>
      </c>
      <c r="P66" s="5">
        <f>SUM(T66:Y66)</f>
        <v/>
      </c>
      <c r="Q66" s="5">
        <f>SUM(Z66:AE66)</f>
        <v/>
      </c>
      <c r="R66" s="14">
        <f>IF(ISNUMBER(J66),J66,IF(ISNUMBER(K66),-K66,""))</f>
        <v/>
      </c>
      <c r="S66">
        <f>IF(ISNUMBER(K66),K66,IF(ISNUMBER(J66),-J66,""))</f>
        <v/>
      </c>
      <c r="T66" s="14">
        <f>IF(ISNUMBER(R66),IF(ISNUMBER(R67),IF(R66&gt;R67,1.0,IF(R66=R67,0.5,0.0)),""),"")</f>
        <v/>
      </c>
      <c r="U66">
        <f>IF(ISNUMBER(R66),IF(ISNUMBER(R68),IF(R66&gt;R68,1.0,IF(R66=R68,0.5,0.0)),""),"")</f>
        <v/>
      </c>
      <c r="V66">
        <f>IF(ISNUMBER(R66),IF(ISNUMBER(R69),IF(R66&gt;R69,1.0,IF(R66=R69,0.5,0.0)),""),"")</f>
        <v/>
      </c>
      <c r="W66">
        <f>IF(ISNUMBER(R66),IF(ISNUMBER(R70),IF(R66&gt;R70,1.0,IF(R66=R70,0.5,0.0)),""),"")</f>
        <v/>
      </c>
      <c r="X66">
        <f>IF(ISNUMBER(R66),IF(ISNUMBER(R71),IF(R66&gt;R71,1.0,IF(R66=R71,0.5,0.0)),""),"")</f>
        <v/>
      </c>
      <c r="Y66">
        <f>IF(ISNUMBER(R66),IF(ISNUMBER(R72),IF(R66&gt;R72,1.0,IF(R66=R72,0.5,0.0)),""),"")</f>
        <v/>
      </c>
      <c r="Z66">
        <f>IF(ISNUMBER(S66),IF(ISNUMBER(S67),IF(S66&gt;S67,1.0,IF(S66=S67,0.5,0.0)),""),"")</f>
        <v/>
      </c>
      <c r="AA66">
        <f>IF(ISNUMBER(S66),IF(ISNUMBER(S68),IF(S66&gt;S68,1.0,IF(S66=S68,0.5,0.0)),""),"")</f>
        <v/>
      </c>
      <c r="AB66">
        <f>IF(ISNUMBER(S66),IF(ISNUMBER(S69),IF(S66&gt;S69,1.0,IF(S66=S69,0.5,0.0)),""),"")</f>
        <v/>
      </c>
      <c r="AC66">
        <f>IF(ISNUMBER(S66),IF(ISNUMBER(S70),IF(S66&gt;S70,1.0,IF(S66=S70,0.5,0.0)),""),"")</f>
        <v/>
      </c>
      <c r="AD66">
        <f>IF(ISNUMBER(S66),IF(ISNUMBER(S71),IF(S66&gt;S71,1.0,IF(S66=S71,0.5,0.0)),""),"")</f>
        <v/>
      </c>
      <c r="AE66">
        <f>IF(ISNUMBER(S66),IF(ISNUMBER(S72),IF(S66&gt;S72,1.0,IF(S66=S72,0.5,0.0)),""),"")</f>
        <v/>
      </c>
      <c r="AF66" s="14">
        <f>IF(AND(ISNUMBER(R66),ISNUMBER(R67)),VLOOKUP(ABS(R66-R67),'IMP Table'!$A$2:$C$26,3)*SIGN(R66-R67),0)</f>
        <v/>
      </c>
      <c r="AG66">
        <f>IF(AND(ISNUMBER(R66),ISNUMBER(R68)),VLOOKUP(ABS(R66-R68),'IMP Table'!$A$2:$C$26,3)*SIGN(R66-R68),0)</f>
        <v/>
      </c>
      <c r="AH66">
        <f>IF(AND(ISNUMBER(R66),ISNUMBER(R69)),VLOOKUP(ABS(R66-R69),'IMP Table'!$A$2:$C$26,3)*SIGN(R66-R69),0)</f>
        <v/>
      </c>
      <c r="AI66">
        <f>IF(AND(ISNUMBER(R66),ISNUMBER(R70)),VLOOKUP(ABS(R66-R70),'IMP Table'!$A$2:$C$26,3)*SIGN(R66-R70),0)</f>
        <v/>
      </c>
      <c r="AJ66">
        <f>IF(AND(ISNUMBER(R66),ISNUMBER(R71)),VLOOKUP(ABS(R66-R71),'IMP Table'!$A$2:$C$26,3)*SIGN(R66-R71),0)</f>
        <v/>
      </c>
      <c r="AK66">
        <f>IF(AND(ISNUMBER(R66),ISNUMBER(R72)),VLOOKUP(ABS(R66-R72),'IMP Table'!$A$2:$C$26,3)*SIGN(R66-R72),0)</f>
        <v/>
      </c>
      <c r="AL66">
        <f>IF(AND(ISNUMBER(S66),ISNUMBER(S67)),VLOOKUP(ABS(S66-S67),'IMP Table'!$A$2:$C$26,3)*SIGN(S66-S67),0)</f>
        <v/>
      </c>
      <c r="AM66">
        <f>IF(AND(ISNUMBER(S66),ISNUMBER(S68)),VLOOKUP(ABS(S66-S68),'IMP Table'!$A$2:$C$26,3)*SIGN(S66-S68),0)</f>
        <v/>
      </c>
      <c r="AN66">
        <f>IF(AND(ISNUMBER(S66),ISNUMBER(S69)),VLOOKUP(ABS(S66-S69),'IMP Table'!$A$2:$C$26,3)*SIGN(S66-S69),0)</f>
        <v/>
      </c>
      <c r="AO66">
        <f>IF(AND(ISNUMBER(S66),ISNUMBER(S70)),VLOOKUP(ABS(S66-S70),'IMP Table'!$A$2:$C$26,3)*SIGN(S66-S70),0)</f>
        <v/>
      </c>
      <c r="AP66">
        <f>IF(AND(ISNUMBER(S66),ISNUMBER(S71)),VLOOKUP(ABS(S66-S71),'IMP Table'!$A$2:$C$26,3)*SIGN(S66-S71),0)</f>
        <v/>
      </c>
      <c r="AQ66">
        <f>IF(AND(ISNUMBER(S66),ISNUMBER(S72)),VLOOKUP(ABS(S66-S72),'IMP Table'!$A$2:$C$26,3)*SIGN(S66-S72),0)</f>
        <v/>
      </c>
    </row>
    <row r="67">
      <c r="B67">
        <f>'By Round'!A17</f>
        <v/>
      </c>
      <c r="C67">
        <f>'By Round'!B21</f>
        <v/>
      </c>
      <c r="D67">
        <f>'By Round'!C21</f>
        <v/>
      </c>
      <c r="E67">
        <f>'By Round'!D21</f>
        <v/>
      </c>
      <c r="F67" s="11" t="inlineStr">
        <is>
          <t>Both</t>
        </is>
      </c>
      <c r="G67">
        <f>IF(ISBLANK('By Round'!G21),"",'By Round'!G21)</f>
        <v/>
      </c>
      <c r="H67">
        <f>IF(ISBLANK('By Round'!H21),"",'By Round'!H21)</f>
        <v/>
      </c>
      <c r="I67">
        <f>IF(ISBLANK('By Round'!I21),"",'By Round'!I21)</f>
        <v/>
      </c>
      <c r="J67">
        <f>IF(ISBLANK('By Round'!J21),"",'By Round'!J21)</f>
        <v/>
      </c>
      <c r="K67">
        <f>IF(ISBLANK('By Round'!K21),"",'By Round'!K21)</f>
        <v/>
      </c>
      <c r="L67" s="12">
        <f>SUM(AF67:AK67)</f>
        <v/>
      </c>
      <c r="M67" s="13">
        <f>SUM(AL67:AQ67)</f>
        <v/>
      </c>
      <c r="N67" s="8">
        <f>IF(COUNT(T67:Y67)&gt;0,P67/COUNT(T67:Y67),0.5)</f>
        <v/>
      </c>
      <c r="O67" s="8">
        <f>IF(COUNT(Z67:AE67)&gt;0,Q67/COUNT(Z67:AE67),0.5)</f>
        <v/>
      </c>
      <c r="P67" s="5">
        <f>SUM(T67:Y67)</f>
        <v/>
      </c>
      <c r="Q67" s="5">
        <f>SUM(Z67:AE67)</f>
        <v/>
      </c>
      <c r="R67" s="14">
        <f>IF(ISNUMBER(J67),J67,IF(ISNUMBER(K67),-K67,""))</f>
        <v/>
      </c>
      <c r="S67">
        <f>IF(ISNUMBER(K67),K67,IF(ISNUMBER(J67),-J67,""))</f>
        <v/>
      </c>
      <c r="T67" s="14">
        <f>IF(ISNUMBER(R67),IF(ISNUMBER(R66),IF(R67&gt;R66,1.0,IF(R67=R66,0.5,0.0)),""),"")</f>
        <v/>
      </c>
      <c r="U67">
        <f>IF(ISNUMBER(R67),IF(ISNUMBER(R68),IF(R67&gt;R68,1.0,IF(R67=R68,0.5,0.0)),""),"")</f>
        <v/>
      </c>
      <c r="V67">
        <f>IF(ISNUMBER(R67),IF(ISNUMBER(R69),IF(R67&gt;R69,1.0,IF(R67=R69,0.5,0.0)),""),"")</f>
        <v/>
      </c>
      <c r="W67">
        <f>IF(ISNUMBER(R67),IF(ISNUMBER(R70),IF(R67&gt;R70,1.0,IF(R67=R70,0.5,0.0)),""),"")</f>
        <v/>
      </c>
      <c r="X67">
        <f>IF(ISNUMBER(R67),IF(ISNUMBER(R71),IF(R67&gt;R71,1.0,IF(R67=R71,0.5,0.0)),""),"")</f>
        <v/>
      </c>
      <c r="Y67">
        <f>IF(ISNUMBER(R67),IF(ISNUMBER(R72),IF(R67&gt;R72,1.0,IF(R67=R72,0.5,0.0)),""),"")</f>
        <v/>
      </c>
      <c r="Z67">
        <f>IF(ISNUMBER(S67),IF(ISNUMBER(S66),IF(S67&gt;S66,1.0,IF(S67=S66,0.5,0.0)),""),"")</f>
        <v/>
      </c>
      <c r="AA67">
        <f>IF(ISNUMBER(S67),IF(ISNUMBER(S68),IF(S67&gt;S68,1.0,IF(S67=S68,0.5,0.0)),""),"")</f>
        <v/>
      </c>
      <c r="AB67">
        <f>IF(ISNUMBER(S67),IF(ISNUMBER(S69),IF(S67&gt;S69,1.0,IF(S67=S69,0.5,0.0)),""),"")</f>
        <v/>
      </c>
      <c r="AC67">
        <f>IF(ISNUMBER(S67),IF(ISNUMBER(S70),IF(S67&gt;S70,1.0,IF(S67=S70,0.5,0.0)),""),"")</f>
        <v/>
      </c>
      <c r="AD67">
        <f>IF(ISNUMBER(S67),IF(ISNUMBER(S71),IF(S67&gt;S71,1.0,IF(S67=S71,0.5,0.0)),""),"")</f>
        <v/>
      </c>
      <c r="AE67">
        <f>IF(ISNUMBER(S67),IF(ISNUMBER(S72),IF(S67&gt;S72,1.0,IF(S67=S72,0.5,0.0)),""),"")</f>
        <v/>
      </c>
      <c r="AF67" s="14">
        <f>IF(AND(ISNUMBER(R67),ISNUMBER(R66)),VLOOKUP(ABS(R67-R66),'IMP Table'!$A$2:$C$26,3)*SIGN(R67-R66),0)</f>
        <v/>
      </c>
      <c r="AG67">
        <f>IF(AND(ISNUMBER(R67),ISNUMBER(R68)),VLOOKUP(ABS(R67-R68),'IMP Table'!$A$2:$C$26,3)*SIGN(R67-R68),0)</f>
        <v/>
      </c>
      <c r="AH67">
        <f>IF(AND(ISNUMBER(R67),ISNUMBER(R69)),VLOOKUP(ABS(R67-R69),'IMP Table'!$A$2:$C$26,3)*SIGN(R67-R69),0)</f>
        <v/>
      </c>
      <c r="AI67">
        <f>IF(AND(ISNUMBER(R67),ISNUMBER(R70)),VLOOKUP(ABS(R67-R70),'IMP Table'!$A$2:$C$26,3)*SIGN(R67-R70),0)</f>
        <v/>
      </c>
      <c r="AJ67">
        <f>IF(AND(ISNUMBER(R67),ISNUMBER(R71)),VLOOKUP(ABS(R67-R71),'IMP Table'!$A$2:$C$26,3)*SIGN(R67-R71),0)</f>
        <v/>
      </c>
      <c r="AK67">
        <f>IF(AND(ISNUMBER(R67),ISNUMBER(R72)),VLOOKUP(ABS(R67-R72),'IMP Table'!$A$2:$C$26,3)*SIGN(R67-R72),0)</f>
        <v/>
      </c>
      <c r="AL67">
        <f>IF(AND(ISNUMBER(S67),ISNUMBER(S66)),VLOOKUP(ABS(S67-S66),'IMP Table'!$A$2:$C$26,3)*SIGN(S67-S66),0)</f>
        <v/>
      </c>
      <c r="AM67">
        <f>IF(AND(ISNUMBER(S67),ISNUMBER(S68)),VLOOKUP(ABS(S67-S68),'IMP Table'!$A$2:$C$26,3)*SIGN(S67-S68),0)</f>
        <v/>
      </c>
      <c r="AN67">
        <f>IF(AND(ISNUMBER(S67),ISNUMBER(S69)),VLOOKUP(ABS(S67-S69),'IMP Table'!$A$2:$C$26,3)*SIGN(S67-S69),0)</f>
        <v/>
      </c>
      <c r="AO67">
        <f>IF(AND(ISNUMBER(S67),ISNUMBER(S70)),VLOOKUP(ABS(S67-S70),'IMP Table'!$A$2:$C$26,3)*SIGN(S67-S70),0)</f>
        <v/>
      </c>
      <c r="AP67">
        <f>IF(AND(ISNUMBER(S67),ISNUMBER(S71)),VLOOKUP(ABS(S67-S71),'IMP Table'!$A$2:$C$26,3)*SIGN(S67-S71),0)</f>
        <v/>
      </c>
      <c r="AQ67">
        <f>IF(AND(ISNUMBER(S67),ISNUMBER(S72)),VLOOKUP(ABS(S67-S72),'IMP Table'!$A$2:$C$26,3)*SIGN(S67-S72),0)</f>
        <v/>
      </c>
    </row>
    <row r="68">
      <c r="B68">
        <f>'By Round'!A31</f>
        <v/>
      </c>
      <c r="C68">
        <f>'By Round'!B33</f>
        <v/>
      </c>
      <c r="D68">
        <f>'By Round'!C33</f>
        <v/>
      </c>
      <c r="E68">
        <f>'By Round'!D33</f>
        <v/>
      </c>
      <c r="F68" s="11" t="inlineStr">
        <is>
          <t>Both</t>
        </is>
      </c>
      <c r="G68">
        <f>IF(ISBLANK('By Round'!G33),"",'By Round'!G33)</f>
        <v/>
      </c>
      <c r="H68">
        <f>IF(ISBLANK('By Round'!H33),"",'By Round'!H33)</f>
        <v/>
      </c>
      <c r="I68">
        <f>IF(ISBLANK('By Round'!I33),"",'By Round'!I33)</f>
        <v/>
      </c>
      <c r="J68">
        <f>IF(ISBLANK('By Round'!J33),"",'By Round'!J33)</f>
        <v/>
      </c>
      <c r="K68">
        <f>IF(ISBLANK('By Round'!K33),"",'By Round'!K33)</f>
        <v/>
      </c>
      <c r="L68" s="12">
        <f>SUM(AF68:AK68)</f>
        <v/>
      </c>
      <c r="M68" s="13">
        <f>SUM(AL68:AQ68)</f>
        <v/>
      </c>
      <c r="N68" s="8">
        <f>IF(COUNT(T68:Y68)&gt;0,P68/COUNT(T68:Y68),0.5)</f>
        <v/>
      </c>
      <c r="O68" s="8">
        <f>IF(COUNT(Z68:AE68)&gt;0,Q68/COUNT(Z68:AE68),0.5)</f>
        <v/>
      </c>
      <c r="P68" s="5">
        <f>SUM(T68:Y68)</f>
        <v/>
      </c>
      <c r="Q68" s="5">
        <f>SUM(Z68:AE68)</f>
        <v/>
      </c>
      <c r="R68" s="14">
        <f>IF(ISNUMBER(J68),J68,IF(ISNUMBER(K68),-K68,""))</f>
        <v/>
      </c>
      <c r="S68">
        <f>IF(ISNUMBER(K68),K68,IF(ISNUMBER(J68),-J68,""))</f>
        <v/>
      </c>
      <c r="T68" s="14">
        <f>IF(ISNUMBER(R68),IF(ISNUMBER(R66),IF(R68&gt;R66,1.0,IF(R68=R66,0.5,0.0)),""),"")</f>
        <v/>
      </c>
      <c r="U68">
        <f>IF(ISNUMBER(R68),IF(ISNUMBER(R67),IF(R68&gt;R67,1.0,IF(R68=R67,0.5,0.0)),""),"")</f>
        <v/>
      </c>
      <c r="V68">
        <f>IF(ISNUMBER(R68),IF(ISNUMBER(R69),IF(R68&gt;R69,1.0,IF(R68=R69,0.5,0.0)),""),"")</f>
        <v/>
      </c>
      <c r="W68">
        <f>IF(ISNUMBER(R68),IF(ISNUMBER(R70),IF(R68&gt;R70,1.0,IF(R68=R70,0.5,0.0)),""),"")</f>
        <v/>
      </c>
      <c r="X68">
        <f>IF(ISNUMBER(R68),IF(ISNUMBER(R71),IF(R68&gt;R71,1.0,IF(R68=R71,0.5,0.0)),""),"")</f>
        <v/>
      </c>
      <c r="Y68">
        <f>IF(ISNUMBER(R68),IF(ISNUMBER(R72),IF(R68&gt;R72,1.0,IF(R68=R72,0.5,0.0)),""),"")</f>
        <v/>
      </c>
      <c r="Z68">
        <f>IF(ISNUMBER(S68),IF(ISNUMBER(S66),IF(S68&gt;S66,1.0,IF(S68=S66,0.5,0.0)),""),"")</f>
        <v/>
      </c>
      <c r="AA68">
        <f>IF(ISNUMBER(S68),IF(ISNUMBER(S67),IF(S68&gt;S67,1.0,IF(S68=S67,0.5,0.0)),""),"")</f>
        <v/>
      </c>
      <c r="AB68">
        <f>IF(ISNUMBER(S68),IF(ISNUMBER(S69),IF(S68&gt;S69,1.0,IF(S68=S69,0.5,0.0)),""),"")</f>
        <v/>
      </c>
      <c r="AC68">
        <f>IF(ISNUMBER(S68),IF(ISNUMBER(S70),IF(S68&gt;S70,1.0,IF(S68=S70,0.5,0.0)),""),"")</f>
        <v/>
      </c>
      <c r="AD68">
        <f>IF(ISNUMBER(S68),IF(ISNUMBER(S71),IF(S68&gt;S71,1.0,IF(S68=S71,0.5,0.0)),""),"")</f>
        <v/>
      </c>
      <c r="AE68">
        <f>IF(ISNUMBER(S68),IF(ISNUMBER(S72),IF(S68&gt;S72,1.0,IF(S68=S72,0.5,0.0)),""),"")</f>
        <v/>
      </c>
      <c r="AF68" s="14">
        <f>IF(AND(ISNUMBER(R68),ISNUMBER(R66)),VLOOKUP(ABS(R68-R66),'IMP Table'!$A$2:$C$26,3)*SIGN(R68-R66),0)</f>
        <v/>
      </c>
      <c r="AG68">
        <f>IF(AND(ISNUMBER(R68),ISNUMBER(R67)),VLOOKUP(ABS(R68-R67),'IMP Table'!$A$2:$C$26,3)*SIGN(R68-R67),0)</f>
        <v/>
      </c>
      <c r="AH68">
        <f>IF(AND(ISNUMBER(R68),ISNUMBER(R69)),VLOOKUP(ABS(R68-R69),'IMP Table'!$A$2:$C$26,3)*SIGN(R68-R69),0)</f>
        <v/>
      </c>
      <c r="AI68">
        <f>IF(AND(ISNUMBER(R68),ISNUMBER(R70)),VLOOKUP(ABS(R68-R70),'IMP Table'!$A$2:$C$26,3)*SIGN(R68-R70),0)</f>
        <v/>
      </c>
      <c r="AJ68">
        <f>IF(AND(ISNUMBER(R68),ISNUMBER(R71)),VLOOKUP(ABS(R68-R71),'IMP Table'!$A$2:$C$26,3)*SIGN(R68-R71),0)</f>
        <v/>
      </c>
      <c r="AK68">
        <f>IF(AND(ISNUMBER(R68),ISNUMBER(R72)),VLOOKUP(ABS(R68-R72),'IMP Table'!$A$2:$C$26,3)*SIGN(R68-R72),0)</f>
        <v/>
      </c>
      <c r="AL68">
        <f>IF(AND(ISNUMBER(S68),ISNUMBER(S66)),VLOOKUP(ABS(S68-S66),'IMP Table'!$A$2:$C$26,3)*SIGN(S68-S66),0)</f>
        <v/>
      </c>
      <c r="AM68">
        <f>IF(AND(ISNUMBER(S68),ISNUMBER(S67)),VLOOKUP(ABS(S68-S67),'IMP Table'!$A$2:$C$26,3)*SIGN(S68-S67),0)</f>
        <v/>
      </c>
      <c r="AN68">
        <f>IF(AND(ISNUMBER(S68),ISNUMBER(S69)),VLOOKUP(ABS(S68-S69),'IMP Table'!$A$2:$C$26,3)*SIGN(S68-S69),0)</f>
        <v/>
      </c>
      <c r="AO68">
        <f>IF(AND(ISNUMBER(S68),ISNUMBER(S70)),VLOOKUP(ABS(S68-S70),'IMP Table'!$A$2:$C$26,3)*SIGN(S68-S70),0)</f>
        <v/>
      </c>
      <c r="AP68">
        <f>IF(AND(ISNUMBER(S68),ISNUMBER(S71)),VLOOKUP(ABS(S68-S71),'IMP Table'!$A$2:$C$26,3)*SIGN(S68-S71),0)</f>
        <v/>
      </c>
      <c r="AQ68">
        <f>IF(AND(ISNUMBER(S68),ISNUMBER(S72)),VLOOKUP(ABS(S68-S72),'IMP Table'!$A$2:$C$26,3)*SIGN(S68-S72),0)</f>
        <v/>
      </c>
    </row>
    <row r="69">
      <c r="B69">
        <f>'By Round'!A59</f>
        <v/>
      </c>
      <c r="C69">
        <f>'By Round'!B59</f>
        <v/>
      </c>
      <c r="D69">
        <f>'By Round'!C59</f>
        <v/>
      </c>
      <c r="E69">
        <f>'By Round'!D59</f>
        <v/>
      </c>
      <c r="F69" s="11" t="inlineStr">
        <is>
          <t>Both</t>
        </is>
      </c>
      <c r="G69">
        <f>IF(ISBLANK('By Round'!G59),"",'By Round'!G59)</f>
        <v/>
      </c>
      <c r="H69">
        <f>IF(ISBLANK('By Round'!H59),"",'By Round'!H59)</f>
        <v/>
      </c>
      <c r="I69">
        <f>IF(ISBLANK('By Round'!I59),"",'By Round'!I59)</f>
        <v/>
      </c>
      <c r="J69">
        <f>IF(ISBLANK('By Round'!J59),"",'By Round'!J59)</f>
        <v/>
      </c>
      <c r="K69">
        <f>IF(ISBLANK('By Round'!K59),"",'By Round'!K59)</f>
        <v/>
      </c>
      <c r="L69" s="12">
        <f>SUM(AF69:AK69)</f>
        <v/>
      </c>
      <c r="M69" s="13">
        <f>SUM(AL69:AQ69)</f>
        <v/>
      </c>
      <c r="N69" s="8">
        <f>IF(COUNT(T69:Y69)&gt;0,P69/COUNT(T69:Y69),0.5)</f>
        <v/>
      </c>
      <c r="O69" s="8">
        <f>IF(COUNT(Z69:AE69)&gt;0,Q69/COUNT(Z69:AE69),0.5)</f>
        <v/>
      </c>
      <c r="P69" s="5">
        <f>SUM(T69:Y69)</f>
        <v/>
      </c>
      <c r="Q69" s="5">
        <f>SUM(Z69:AE69)</f>
        <v/>
      </c>
      <c r="R69" s="14">
        <f>IF(ISNUMBER(J69),J69,IF(ISNUMBER(K69),-K69,""))</f>
        <v/>
      </c>
      <c r="S69">
        <f>IF(ISNUMBER(K69),K69,IF(ISNUMBER(J69),-J69,""))</f>
        <v/>
      </c>
      <c r="T69" s="14">
        <f>IF(ISNUMBER(R69),IF(ISNUMBER(R66),IF(R69&gt;R66,1.0,IF(R69=R66,0.5,0.0)),""),"")</f>
        <v/>
      </c>
      <c r="U69">
        <f>IF(ISNUMBER(R69),IF(ISNUMBER(R67),IF(R69&gt;R67,1.0,IF(R69=R67,0.5,0.0)),""),"")</f>
        <v/>
      </c>
      <c r="V69">
        <f>IF(ISNUMBER(R69),IF(ISNUMBER(R68),IF(R69&gt;R68,1.0,IF(R69=R68,0.5,0.0)),""),"")</f>
        <v/>
      </c>
      <c r="W69">
        <f>IF(ISNUMBER(R69),IF(ISNUMBER(R70),IF(R69&gt;R70,1.0,IF(R69=R70,0.5,0.0)),""),"")</f>
        <v/>
      </c>
      <c r="X69">
        <f>IF(ISNUMBER(R69),IF(ISNUMBER(R71),IF(R69&gt;R71,1.0,IF(R69=R71,0.5,0.0)),""),"")</f>
        <v/>
      </c>
      <c r="Y69">
        <f>IF(ISNUMBER(R69),IF(ISNUMBER(R72),IF(R69&gt;R72,1.0,IF(R69=R72,0.5,0.0)),""),"")</f>
        <v/>
      </c>
      <c r="Z69">
        <f>IF(ISNUMBER(S69),IF(ISNUMBER(S66),IF(S69&gt;S66,1.0,IF(S69=S66,0.5,0.0)),""),"")</f>
        <v/>
      </c>
      <c r="AA69">
        <f>IF(ISNUMBER(S69),IF(ISNUMBER(S67),IF(S69&gt;S67,1.0,IF(S69=S67,0.5,0.0)),""),"")</f>
        <v/>
      </c>
      <c r="AB69">
        <f>IF(ISNUMBER(S69),IF(ISNUMBER(S68),IF(S69&gt;S68,1.0,IF(S69=S68,0.5,0.0)),""),"")</f>
        <v/>
      </c>
      <c r="AC69">
        <f>IF(ISNUMBER(S69),IF(ISNUMBER(S70),IF(S69&gt;S70,1.0,IF(S69=S70,0.5,0.0)),""),"")</f>
        <v/>
      </c>
      <c r="AD69">
        <f>IF(ISNUMBER(S69),IF(ISNUMBER(S71),IF(S69&gt;S71,1.0,IF(S69=S71,0.5,0.0)),""),"")</f>
        <v/>
      </c>
      <c r="AE69">
        <f>IF(ISNUMBER(S69),IF(ISNUMBER(S72),IF(S69&gt;S72,1.0,IF(S69=S72,0.5,0.0)),""),"")</f>
        <v/>
      </c>
      <c r="AF69" s="14">
        <f>IF(AND(ISNUMBER(R69),ISNUMBER(R66)),VLOOKUP(ABS(R69-R66),'IMP Table'!$A$2:$C$26,3)*SIGN(R69-R66),0)</f>
        <v/>
      </c>
      <c r="AG69">
        <f>IF(AND(ISNUMBER(R69),ISNUMBER(R67)),VLOOKUP(ABS(R69-R67),'IMP Table'!$A$2:$C$26,3)*SIGN(R69-R67),0)</f>
        <v/>
      </c>
      <c r="AH69">
        <f>IF(AND(ISNUMBER(R69),ISNUMBER(R68)),VLOOKUP(ABS(R69-R68),'IMP Table'!$A$2:$C$26,3)*SIGN(R69-R68),0)</f>
        <v/>
      </c>
      <c r="AI69">
        <f>IF(AND(ISNUMBER(R69),ISNUMBER(R70)),VLOOKUP(ABS(R69-R70),'IMP Table'!$A$2:$C$26,3)*SIGN(R69-R70),0)</f>
        <v/>
      </c>
      <c r="AJ69">
        <f>IF(AND(ISNUMBER(R69),ISNUMBER(R71)),VLOOKUP(ABS(R69-R71),'IMP Table'!$A$2:$C$26,3)*SIGN(R69-R71),0)</f>
        <v/>
      </c>
      <c r="AK69">
        <f>IF(AND(ISNUMBER(R69),ISNUMBER(R72)),VLOOKUP(ABS(R69-R72),'IMP Table'!$A$2:$C$26,3)*SIGN(R69-R72),0)</f>
        <v/>
      </c>
      <c r="AL69">
        <f>IF(AND(ISNUMBER(S69),ISNUMBER(S66)),VLOOKUP(ABS(S69-S66),'IMP Table'!$A$2:$C$26,3)*SIGN(S69-S66),0)</f>
        <v/>
      </c>
      <c r="AM69">
        <f>IF(AND(ISNUMBER(S69),ISNUMBER(S67)),VLOOKUP(ABS(S69-S67),'IMP Table'!$A$2:$C$26,3)*SIGN(S69-S67),0)</f>
        <v/>
      </c>
      <c r="AN69">
        <f>IF(AND(ISNUMBER(S69),ISNUMBER(S68)),VLOOKUP(ABS(S69-S68),'IMP Table'!$A$2:$C$26,3)*SIGN(S69-S68),0)</f>
        <v/>
      </c>
      <c r="AO69">
        <f>IF(AND(ISNUMBER(S69),ISNUMBER(S70)),VLOOKUP(ABS(S69-S70),'IMP Table'!$A$2:$C$26,3)*SIGN(S69-S70),0)</f>
        <v/>
      </c>
      <c r="AP69">
        <f>IF(AND(ISNUMBER(S69),ISNUMBER(S71)),VLOOKUP(ABS(S69-S71),'IMP Table'!$A$2:$C$26,3)*SIGN(S69-S71),0)</f>
        <v/>
      </c>
      <c r="AQ69">
        <f>IF(AND(ISNUMBER(S69),ISNUMBER(S72)),VLOOKUP(ABS(S69-S72),'IMP Table'!$A$2:$C$26,3)*SIGN(S69-S72),0)</f>
        <v/>
      </c>
    </row>
    <row r="70">
      <c r="B70">
        <f>'By Round'!A87</f>
        <v/>
      </c>
      <c r="C70">
        <f>'By Round'!B99</f>
        <v/>
      </c>
      <c r="D70">
        <f>'By Round'!C99</f>
        <v/>
      </c>
      <c r="E70">
        <f>'By Round'!D99</f>
        <v/>
      </c>
      <c r="F70" s="11" t="inlineStr">
        <is>
          <t>Both</t>
        </is>
      </c>
      <c r="G70">
        <f>IF(ISBLANK('By Round'!G99),"",'By Round'!G99)</f>
        <v/>
      </c>
      <c r="H70">
        <f>IF(ISBLANK('By Round'!H99),"",'By Round'!H99)</f>
        <v/>
      </c>
      <c r="I70">
        <f>IF(ISBLANK('By Round'!I99),"",'By Round'!I99)</f>
        <v/>
      </c>
      <c r="J70">
        <f>IF(ISBLANK('By Round'!J99),"",'By Round'!J99)</f>
        <v/>
      </c>
      <c r="K70">
        <f>IF(ISBLANK('By Round'!K99),"",'By Round'!K99)</f>
        <v/>
      </c>
      <c r="L70" s="12">
        <f>SUM(AF70:AK70)</f>
        <v/>
      </c>
      <c r="M70" s="13">
        <f>SUM(AL70:AQ70)</f>
        <v/>
      </c>
      <c r="N70" s="8">
        <f>IF(COUNT(T70:Y70)&gt;0,P70/COUNT(T70:Y70),0.5)</f>
        <v/>
      </c>
      <c r="O70" s="8">
        <f>IF(COUNT(Z70:AE70)&gt;0,Q70/COUNT(Z70:AE70),0.5)</f>
        <v/>
      </c>
      <c r="P70" s="5">
        <f>SUM(T70:Y70)</f>
        <v/>
      </c>
      <c r="Q70" s="5">
        <f>SUM(Z70:AE70)</f>
        <v/>
      </c>
      <c r="R70" s="14">
        <f>IF(ISNUMBER(J70),J70,IF(ISNUMBER(K70),-K70,""))</f>
        <v/>
      </c>
      <c r="S70">
        <f>IF(ISNUMBER(K70),K70,IF(ISNUMBER(J70),-J70,""))</f>
        <v/>
      </c>
      <c r="T70" s="14">
        <f>IF(ISNUMBER(R70),IF(ISNUMBER(R66),IF(R70&gt;R66,1.0,IF(R70=R66,0.5,0.0)),""),"")</f>
        <v/>
      </c>
      <c r="U70">
        <f>IF(ISNUMBER(R70),IF(ISNUMBER(R67),IF(R70&gt;R67,1.0,IF(R70=R67,0.5,0.0)),""),"")</f>
        <v/>
      </c>
      <c r="V70">
        <f>IF(ISNUMBER(R70),IF(ISNUMBER(R68),IF(R70&gt;R68,1.0,IF(R70=R68,0.5,0.0)),""),"")</f>
        <v/>
      </c>
      <c r="W70">
        <f>IF(ISNUMBER(R70),IF(ISNUMBER(R69),IF(R70&gt;R69,1.0,IF(R70=R69,0.5,0.0)),""),"")</f>
        <v/>
      </c>
      <c r="X70">
        <f>IF(ISNUMBER(R70),IF(ISNUMBER(R71),IF(R70&gt;R71,1.0,IF(R70=R71,0.5,0.0)),""),"")</f>
        <v/>
      </c>
      <c r="Y70">
        <f>IF(ISNUMBER(R70),IF(ISNUMBER(R72),IF(R70&gt;R72,1.0,IF(R70=R72,0.5,0.0)),""),"")</f>
        <v/>
      </c>
      <c r="Z70">
        <f>IF(ISNUMBER(S70),IF(ISNUMBER(S66),IF(S70&gt;S66,1.0,IF(S70=S66,0.5,0.0)),""),"")</f>
        <v/>
      </c>
      <c r="AA70">
        <f>IF(ISNUMBER(S70),IF(ISNUMBER(S67),IF(S70&gt;S67,1.0,IF(S70=S67,0.5,0.0)),""),"")</f>
        <v/>
      </c>
      <c r="AB70">
        <f>IF(ISNUMBER(S70),IF(ISNUMBER(S68),IF(S70&gt;S68,1.0,IF(S70=S68,0.5,0.0)),""),"")</f>
        <v/>
      </c>
      <c r="AC70">
        <f>IF(ISNUMBER(S70),IF(ISNUMBER(S69),IF(S70&gt;S69,1.0,IF(S70=S69,0.5,0.0)),""),"")</f>
        <v/>
      </c>
      <c r="AD70">
        <f>IF(ISNUMBER(S70),IF(ISNUMBER(S71),IF(S70&gt;S71,1.0,IF(S70=S71,0.5,0.0)),""),"")</f>
        <v/>
      </c>
      <c r="AE70">
        <f>IF(ISNUMBER(S70),IF(ISNUMBER(S72),IF(S70&gt;S72,1.0,IF(S70=S72,0.5,0.0)),""),"")</f>
        <v/>
      </c>
      <c r="AF70" s="14">
        <f>IF(AND(ISNUMBER(R70),ISNUMBER(R66)),VLOOKUP(ABS(R70-R66),'IMP Table'!$A$2:$C$26,3)*SIGN(R70-R66),0)</f>
        <v/>
      </c>
      <c r="AG70">
        <f>IF(AND(ISNUMBER(R70),ISNUMBER(R67)),VLOOKUP(ABS(R70-R67),'IMP Table'!$A$2:$C$26,3)*SIGN(R70-R67),0)</f>
        <v/>
      </c>
      <c r="AH70">
        <f>IF(AND(ISNUMBER(R70),ISNUMBER(R68)),VLOOKUP(ABS(R70-R68),'IMP Table'!$A$2:$C$26,3)*SIGN(R70-R68),0)</f>
        <v/>
      </c>
      <c r="AI70">
        <f>IF(AND(ISNUMBER(R70),ISNUMBER(R69)),VLOOKUP(ABS(R70-R69),'IMP Table'!$A$2:$C$26,3)*SIGN(R70-R69),0)</f>
        <v/>
      </c>
      <c r="AJ70">
        <f>IF(AND(ISNUMBER(R70),ISNUMBER(R71)),VLOOKUP(ABS(R70-R71),'IMP Table'!$A$2:$C$26,3)*SIGN(R70-R71),0)</f>
        <v/>
      </c>
      <c r="AK70">
        <f>IF(AND(ISNUMBER(R70),ISNUMBER(R72)),VLOOKUP(ABS(R70-R72),'IMP Table'!$A$2:$C$26,3)*SIGN(R70-R72),0)</f>
        <v/>
      </c>
      <c r="AL70">
        <f>IF(AND(ISNUMBER(S70),ISNUMBER(S66)),VLOOKUP(ABS(S70-S66),'IMP Table'!$A$2:$C$26,3)*SIGN(S70-S66),0)</f>
        <v/>
      </c>
      <c r="AM70">
        <f>IF(AND(ISNUMBER(S70),ISNUMBER(S67)),VLOOKUP(ABS(S70-S67),'IMP Table'!$A$2:$C$26,3)*SIGN(S70-S67),0)</f>
        <v/>
      </c>
      <c r="AN70">
        <f>IF(AND(ISNUMBER(S70),ISNUMBER(S68)),VLOOKUP(ABS(S70-S68),'IMP Table'!$A$2:$C$26,3)*SIGN(S70-S68),0)</f>
        <v/>
      </c>
      <c r="AO70">
        <f>IF(AND(ISNUMBER(S70),ISNUMBER(S69)),VLOOKUP(ABS(S70-S69),'IMP Table'!$A$2:$C$26,3)*SIGN(S70-S69),0)</f>
        <v/>
      </c>
      <c r="AP70">
        <f>IF(AND(ISNUMBER(S70),ISNUMBER(S71)),VLOOKUP(ABS(S70-S71),'IMP Table'!$A$2:$C$26,3)*SIGN(S70-S71),0)</f>
        <v/>
      </c>
      <c r="AQ70">
        <f>IF(AND(ISNUMBER(S70),ISNUMBER(S72)),VLOOKUP(ABS(S70-S72),'IMP Table'!$A$2:$C$26,3)*SIGN(S70-S72),0)</f>
        <v/>
      </c>
    </row>
    <row r="71">
      <c r="B71">
        <f>'By Round'!A101</f>
        <v/>
      </c>
      <c r="C71">
        <f>'By Round'!B111</f>
        <v/>
      </c>
      <c r="D71">
        <f>'By Round'!C111</f>
        <v/>
      </c>
      <c r="E71">
        <f>'By Round'!D111</f>
        <v/>
      </c>
      <c r="F71" s="11" t="inlineStr">
        <is>
          <t>Both</t>
        </is>
      </c>
      <c r="G71">
        <f>IF(ISBLANK('By Round'!G111),"",'By Round'!G111)</f>
        <v/>
      </c>
      <c r="H71">
        <f>IF(ISBLANK('By Round'!H111),"",'By Round'!H111)</f>
        <v/>
      </c>
      <c r="I71">
        <f>IF(ISBLANK('By Round'!I111),"",'By Round'!I111)</f>
        <v/>
      </c>
      <c r="J71">
        <f>IF(ISBLANK('By Round'!J111),"",'By Round'!J111)</f>
        <v/>
      </c>
      <c r="K71">
        <f>IF(ISBLANK('By Round'!K111),"",'By Round'!K111)</f>
        <v/>
      </c>
      <c r="L71" s="12">
        <f>SUM(AF71:AK71)</f>
        <v/>
      </c>
      <c r="M71" s="13">
        <f>SUM(AL71:AQ71)</f>
        <v/>
      </c>
      <c r="N71" s="8">
        <f>IF(COUNT(T71:Y71)&gt;0,P71/COUNT(T71:Y71),0.5)</f>
        <v/>
      </c>
      <c r="O71" s="8">
        <f>IF(COUNT(Z71:AE71)&gt;0,Q71/COUNT(Z71:AE71),0.5)</f>
        <v/>
      </c>
      <c r="P71" s="5">
        <f>SUM(T71:Y71)</f>
        <v/>
      </c>
      <c r="Q71" s="5">
        <f>SUM(Z71:AE71)</f>
        <v/>
      </c>
      <c r="R71" s="14">
        <f>IF(ISNUMBER(J71),J71,IF(ISNUMBER(K71),-K71,""))</f>
        <v/>
      </c>
      <c r="S71">
        <f>IF(ISNUMBER(K71),K71,IF(ISNUMBER(J71),-J71,""))</f>
        <v/>
      </c>
      <c r="T71" s="14">
        <f>IF(ISNUMBER(R71),IF(ISNUMBER(R66),IF(R71&gt;R66,1.0,IF(R71=R66,0.5,0.0)),""),"")</f>
        <v/>
      </c>
      <c r="U71">
        <f>IF(ISNUMBER(R71),IF(ISNUMBER(R67),IF(R71&gt;R67,1.0,IF(R71=R67,0.5,0.0)),""),"")</f>
        <v/>
      </c>
      <c r="V71">
        <f>IF(ISNUMBER(R71),IF(ISNUMBER(R68),IF(R71&gt;R68,1.0,IF(R71=R68,0.5,0.0)),""),"")</f>
        <v/>
      </c>
      <c r="W71">
        <f>IF(ISNUMBER(R71),IF(ISNUMBER(R69),IF(R71&gt;R69,1.0,IF(R71=R69,0.5,0.0)),""),"")</f>
        <v/>
      </c>
      <c r="X71">
        <f>IF(ISNUMBER(R71),IF(ISNUMBER(R70),IF(R71&gt;R70,1.0,IF(R71=R70,0.5,0.0)),""),"")</f>
        <v/>
      </c>
      <c r="Y71">
        <f>IF(ISNUMBER(R71),IF(ISNUMBER(R72),IF(R71&gt;R72,1.0,IF(R71=R72,0.5,0.0)),""),"")</f>
        <v/>
      </c>
      <c r="Z71">
        <f>IF(ISNUMBER(S71),IF(ISNUMBER(S66),IF(S71&gt;S66,1.0,IF(S71=S66,0.5,0.0)),""),"")</f>
        <v/>
      </c>
      <c r="AA71">
        <f>IF(ISNUMBER(S71),IF(ISNUMBER(S67),IF(S71&gt;S67,1.0,IF(S71=S67,0.5,0.0)),""),"")</f>
        <v/>
      </c>
      <c r="AB71">
        <f>IF(ISNUMBER(S71),IF(ISNUMBER(S68),IF(S71&gt;S68,1.0,IF(S71=S68,0.5,0.0)),""),"")</f>
        <v/>
      </c>
      <c r="AC71">
        <f>IF(ISNUMBER(S71),IF(ISNUMBER(S69),IF(S71&gt;S69,1.0,IF(S71=S69,0.5,0.0)),""),"")</f>
        <v/>
      </c>
      <c r="AD71">
        <f>IF(ISNUMBER(S71),IF(ISNUMBER(S70),IF(S71&gt;S70,1.0,IF(S71=S70,0.5,0.0)),""),"")</f>
        <v/>
      </c>
      <c r="AE71">
        <f>IF(ISNUMBER(S71),IF(ISNUMBER(S72),IF(S71&gt;S72,1.0,IF(S71=S72,0.5,0.0)),""),"")</f>
        <v/>
      </c>
      <c r="AF71" s="14">
        <f>IF(AND(ISNUMBER(R71),ISNUMBER(R66)),VLOOKUP(ABS(R71-R66),'IMP Table'!$A$2:$C$26,3)*SIGN(R71-R66),0)</f>
        <v/>
      </c>
      <c r="AG71">
        <f>IF(AND(ISNUMBER(R71),ISNUMBER(R67)),VLOOKUP(ABS(R71-R67),'IMP Table'!$A$2:$C$26,3)*SIGN(R71-R67),0)</f>
        <v/>
      </c>
      <c r="AH71">
        <f>IF(AND(ISNUMBER(R71),ISNUMBER(R68)),VLOOKUP(ABS(R71-R68),'IMP Table'!$A$2:$C$26,3)*SIGN(R71-R68),0)</f>
        <v/>
      </c>
      <c r="AI71">
        <f>IF(AND(ISNUMBER(R71),ISNUMBER(R69)),VLOOKUP(ABS(R71-R69),'IMP Table'!$A$2:$C$26,3)*SIGN(R71-R69),0)</f>
        <v/>
      </c>
      <c r="AJ71">
        <f>IF(AND(ISNUMBER(R71),ISNUMBER(R70)),VLOOKUP(ABS(R71-R70),'IMP Table'!$A$2:$C$26,3)*SIGN(R71-R70),0)</f>
        <v/>
      </c>
      <c r="AK71">
        <f>IF(AND(ISNUMBER(R71),ISNUMBER(R72)),VLOOKUP(ABS(R71-R72),'IMP Table'!$A$2:$C$26,3)*SIGN(R71-R72),0)</f>
        <v/>
      </c>
      <c r="AL71">
        <f>IF(AND(ISNUMBER(S71),ISNUMBER(S66)),VLOOKUP(ABS(S71-S66),'IMP Table'!$A$2:$C$26,3)*SIGN(S71-S66),0)</f>
        <v/>
      </c>
      <c r="AM71">
        <f>IF(AND(ISNUMBER(S71),ISNUMBER(S67)),VLOOKUP(ABS(S71-S67),'IMP Table'!$A$2:$C$26,3)*SIGN(S71-S67),0)</f>
        <v/>
      </c>
      <c r="AN71">
        <f>IF(AND(ISNUMBER(S71),ISNUMBER(S68)),VLOOKUP(ABS(S71-S68),'IMP Table'!$A$2:$C$26,3)*SIGN(S71-S68),0)</f>
        <v/>
      </c>
      <c r="AO71">
        <f>IF(AND(ISNUMBER(S71),ISNUMBER(S69)),VLOOKUP(ABS(S71-S69),'IMP Table'!$A$2:$C$26,3)*SIGN(S71-S69),0)</f>
        <v/>
      </c>
      <c r="AP71">
        <f>IF(AND(ISNUMBER(S71),ISNUMBER(S70)),VLOOKUP(ABS(S71-S70),'IMP Table'!$A$2:$C$26,3)*SIGN(S71-S70),0)</f>
        <v/>
      </c>
      <c r="AQ71">
        <f>IF(AND(ISNUMBER(S71),ISNUMBER(S72)),VLOOKUP(ABS(S71-S72),'IMP Table'!$A$2:$C$26,3)*SIGN(S71-S72),0)</f>
        <v/>
      </c>
    </row>
    <row r="72">
      <c r="A72" s="15" t="n"/>
      <c r="B72" s="15">
        <f>'By Round'!A115</f>
        <v/>
      </c>
      <c r="C72" s="15">
        <f>'By Round'!B123</f>
        <v/>
      </c>
      <c r="D72" s="15">
        <f>'By Round'!C123</f>
        <v/>
      </c>
      <c r="E72" s="15">
        <f>'By Round'!D123</f>
        <v/>
      </c>
      <c r="F72" s="16" t="inlineStr">
        <is>
          <t>Both</t>
        </is>
      </c>
      <c r="G72" s="15">
        <f>IF(ISBLANK('By Round'!G123),"",'By Round'!G123)</f>
        <v/>
      </c>
      <c r="H72" s="15">
        <f>IF(ISBLANK('By Round'!H123),"",'By Round'!H123)</f>
        <v/>
      </c>
      <c r="I72" s="15">
        <f>IF(ISBLANK('By Round'!I123),"",'By Round'!I123)</f>
        <v/>
      </c>
      <c r="J72" s="15">
        <f>IF(ISBLANK('By Round'!J123),"",'By Round'!J123)</f>
        <v/>
      </c>
      <c r="K72" s="15">
        <f>IF(ISBLANK('By Round'!K123),"",'By Round'!K123)</f>
        <v/>
      </c>
      <c r="L72" s="17">
        <f>SUM(AF72:AK72)</f>
        <v/>
      </c>
      <c r="M72" s="18">
        <f>SUM(AL72:AQ72)</f>
        <v/>
      </c>
      <c r="N72" s="19">
        <f>IF(COUNT(T72:Y72)&gt;0,P72/COUNT(T72:Y72),0.5)</f>
        <v/>
      </c>
      <c r="O72" s="19">
        <f>IF(COUNT(Z72:AE72)&gt;0,Q72/COUNT(Z72:AE72),0.5)</f>
        <v/>
      </c>
      <c r="P72" s="20">
        <f>SUM(T72:Y72)</f>
        <v/>
      </c>
      <c r="Q72" s="20">
        <f>SUM(Z72:AE72)</f>
        <v/>
      </c>
      <c r="R72" s="21">
        <f>IF(ISNUMBER(J72),J72,IF(ISNUMBER(K72),-K72,""))</f>
        <v/>
      </c>
      <c r="S72" s="15">
        <f>IF(ISNUMBER(K72),K72,IF(ISNUMBER(J72),-J72,""))</f>
        <v/>
      </c>
      <c r="T72" s="21">
        <f>IF(ISNUMBER(R72),IF(ISNUMBER(R66),IF(R72&gt;R66,1.0,IF(R72=R66,0.5,0.0)),""),"")</f>
        <v/>
      </c>
      <c r="U72" s="15">
        <f>IF(ISNUMBER(R72),IF(ISNUMBER(R67),IF(R72&gt;R67,1.0,IF(R72=R67,0.5,0.0)),""),"")</f>
        <v/>
      </c>
      <c r="V72" s="15">
        <f>IF(ISNUMBER(R72),IF(ISNUMBER(R68),IF(R72&gt;R68,1.0,IF(R72=R68,0.5,0.0)),""),"")</f>
        <v/>
      </c>
      <c r="W72" s="15">
        <f>IF(ISNUMBER(R72),IF(ISNUMBER(R69),IF(R72&gt;R69,1.0,IF(R72=R69,0.5,0.0)),""),"")</f>
        <v/>
      </c>
      <c r="X72" s="15">
        <f>IF(ISNUMBER(R72),IF(ISNUMBER(R70),IF(R72&gt;R70,1.0,IF(R72=R70,0.5,0.0)),""),"")</f>
        <v/>
      </c>
      <c r="Y72" s="15">
        <f>IF(ISNUMBER(R72),IF(ISNUMBER(R71),IF(R72&gt;R71,1.0,IF(R72=R71,0.5,0.0)),""),"")</f>
        <v/>
      </c>
      <c r="Z72" s="15">
        <f>IF(ISNUMBER(S72),IF(ISNUMBER(S66),IF(S72&gt;S66,1.0,IF(S72=S66,0.5,0.0)),""),"")</f>
        <v/>
      </c>
      <c r="AA72" s="15">
        <f>IF(ISNUMBER(S72),IF(ISNUMBER(S67),IF(S72&gt;S67,1.0,IF(S72=S67,0.5,0.0)),""),"")</f>
        <v/>
      </c>
      <c r="AB72" s="15">
        <f>IF(ISNUMBER(S72),IF(ISNUMBER(S68),IF(S72&gt;S68,1.0,IF(S72=S68,0.5,0.0)),""),"")</f>
        <v/>
      </c>
      <c r="AC72" s="15">
        <f>IF(ISNUMBER(S72),IF(ISNUMBER(S69),IF(S72&gt;S69,1.0,IF(S72=S69,0.5,0.0)),""),"")</f>
        <v/>
      </c>
      <c r="AD72" s="15">
        <f>IF(ISNUMBER(S72),IF(ISNUMBER(S70),IF(S72&gt;S70,1.0,IF(S72=S70,0.5,0.0)),""),"")</f>
        <v/>
      </c>
      <c r="AE72" s="15">
        <f>IF(ISNUMBER(S72),IF(ISNUMBER(S71),IF(S72&gt;S71,1.0,IF(S72=S71,0.5,0.0)),""),"")</f>
        <v/>
      </c>
      <c r="AF72" s="21">
        <f>IF(AND(ISNUMBER(R72),ISNUMBER(R66)),VLOOKUP(ABS(R72-R66),'IMP Table'!$A$2:$C$26,3)*SIGN(R72-R66),0)</f>
        <v/>
      </c>
      <c r="AG72" s="15">
        <f>IF(AND(ISNUMBER(R72),ISNUMBER(R67)),VLOOKUP(ABS(R72-R67),'IMP Table'!$A$2:$C$26,3)*SIGN(R72-R67),0)</f>
        <v/>
      </c>
      <c r="AH72" s="15">
        <f>IF(AND(ISNUMBER(R72),ISNUMBER(R68)),VLOOKUP(ABS(R72-R68),'IMP Table'!$A$2:$C$26,3)*SIGN(R72-R68),0)</f>
        <v/>
      </c>
      <c r="AI72" s="15">
        <f>IF(AND(ISNUMBER(R72),ISNUMBER(R69)),VLOOKUP(ABS(R72-R69),'IMP Table'!$A$2:$C$26,3)*SIGN(R72-R69),0)</f>
        <v/>
      </c>
      <c r="AJ72" s="15">
        <f>IF(AND(ISNUMBER(R72),ISNUMBER(R70)),VLOOKUP(ABS(R72-R70),'IMP Table'!$A$2:$C$26,3)*SIGN(R72-R70),0)</f>
        <v/>
      </c>
      <c r="AK72" s="15">
        <f>IF(AND(ISNUMBER(R72),ISNUMBER(R71)),VLOOKUP(ABS(R72-R71),'IMP Table'!$A$2:$C$26,3)*SIGN(R72-R71),0)</f>
        <v/>
      </c>
      <c r="AL72" s="15">
        <f>IF(AND(ISNUMBER(S72),ISNUMBER(S66)),VLOOKUP(ABS(S72-S66),'IMP Table'!$A$2:$C$26,3)*SIGN(S72-S66),0)</f>
        <v/>
      </c>
      <c r="AM72" s="15">
        <f>IF(AND(ISNUMBER(S72),ISNUMBER(S67)),VLOOKUP(ABS(S72-S67),'IMP Table'!$A$2:$C$26,3)*SIGN(S72-S67),0)</f>
        <v/>
      </c>
      <c r="AN72" s="15">
        <f>IF(AND(ISNUMBER(S72),ISNUMBER(S68)),VLOOKUP(ABS(S72-S68),'IMP Table'!$A$2:$C$26,3)*SIGN(S72-S68),0)</f>
        <v/>
      </c>
      <c r="AO72" s="15">
        <f>IF(AND(ISNUMBER(S72),ISNUMBER(S69)),VLOOKUP(ABS(S72-S69),'IMP Table'!$A$2:$C$26,3)*SIGN(S72-S69),0)</f>
        <v/>
      </c>
      <c r="AP72" s="15">
        <f>IF(AND(ISNUMBER(S72),ISNUMBER(S70)),VLOOKUP(ABS(S72-S70),'IMP Table'!$A$2:$C$26,3)*SIGN(S72-S70),0)</f>
        <v/>
      </c>
      <c r="AQ72" s="15">
        <f>IF(AND(ISNUMBER(S72),ISNUMBER(S71)),VLOOKUP(ABS(S72-S71),'IMP Table'!$A$2:$C$26,3)*SIGN(S72-S71),0)</f>
        <v/>
      </c>
    </row>
    <row r="73">
      <c r="A73" t="n">
        <v>11</v>
      </c>
      <c r="B73">
        <f>'By Round'!A17</f>
        <v/>
      </c>
      <c r="C73">
        <f>'By Round'!B23</f>
        <v/>
      </c>
      <c r="D73">
        <f>'By Round'!C23</f>
        <v/>
      </c>
      <c r="E73">
        <f>'By Round'!D23</f>
        <v/>
      </c>
      <c r="F73" s="11" t="inlineStr">
        <is>
          <t>None</t>
        </is>
      </c>
      <c r="G73">
        <f>IF(ISBLANK('By Round'!G23),"",'By Round'!G23)</f>
        <v/>
      </c>
      <c r="H73">
        <f>IF(ISBLANK('By Round'!H23),"",'By Round'!H23)</f>
        <v/>
      </c>
      <c r="I73">
        <f>IF(ISBLANK('By Round'!I23),"",'By Round'!I23)</f>
        <v/>
      </c>
      <c r="J73">
        <f>IF(ISBLANK('By Round'!J23),"",'By Round'!J23)</f>
        <v/>
      </c>
      <c r="K73">
        <f>IF(ISBLANK('By Round'!K23),"",'By Round'!K23)</f>
        <v/>
      </c>
      <c r="L73" s="12">
        <f>SUM(AF73:AK73)</f>
        <v/>
      </c>
      <c r="M73" s="13">
        <f>SUM(AL73:AQ73)</f>
        <v/>
      </c>
      <c r="N73" s="8">
        <f>IF(COUNT(T73:Y73)&gt;0,P73/COUNT(T73:Y73),0.5)</f>
        <v/>
      </c>
      <c r="O73" s="8">
        <f>IF(COUNT(Z73:AE73)&gt;0,Q73/COUNT(Z73:AE73),0.5)</f>
        <v/>
      </c>
      <c r="P73" s="5">
        <f>SUM(T73:Y73)</f>
        <v/>
      </c>
      <c r="Q73" s="5">
        <f>SUM(Z73:AE73)</f>
        <v/>
      </c>
      <c r="R73" s="14">
        <f>IF(ISNUMBER(J73),J73,IF(ISNUMBER(K73),-K73,""))</f>
        <v/>
      </c>
      <c r="S73">
        <f>IF(ISNUMBER(K73),K73,IF(ISNUMBER(J73),-J73,""))</f>
        <v/>
      </c>
      <c r="T73" s="14">
        <f>IF(ISNUMBER(R73),IF(ISNUMBER(R74),IF(R73&gt;R74,1.0,IF(R73=R74,0.5,0.0)),""),"")</f>
        <v/>
      </c>
      <c r="U73">
        <f>IF(ISNUMBER(R73),IF(ISNUMBER(R75),IF(R73&gt;R75,1.0,IF(R73=R75,0.5,0.0)),""),"")</f>
        <v/>
      </c>
      <c r="V73">
        <f>IF(ISNUMBER(R73),IF(ISNUMBER(R76),IF(R73&gt;R76,1.0,IF(R73=R76,0.5,0.0)),""),"")</f>
        <v/>
      </c>
      <c r="W73">
        <f>IF(ISNUMBER(R73),IF(ISNUMBER(R77),IF(R73&gt;R77,1.0,IF(R73=R77,0.5,0.0)),""),"")</f>
        <v/>
      </c>
      <c r="X73">
        <f>IF(ISNUMBER(R73),IF(ISNUMBER(R78),IF(R73&gt;R78,1.0,IF(R73=R78,0.5,0.0)),""),"")</f>
        <v/>
      </c>
      <c r="Y73">
        <f>IF(ISNUMBER(R73),IF(ISNUMBER(R79),IF(R73&gt;R79,1.0,IF(R73=R79,0.5,0.0)),""),"")</f>
        <v/>
      </c>
      <c r="Z73">
        <f>IF(ISNUMBER(S73),IF(ISNUMBER(S74),IF(S73&gt;S74,1.0,IF(S73=S74,0.5,0.0)),""),"")</f>
        <v/>
      </c>
      <c r="AA73">
        <f>IF(ISNUMBER(S73),IF(ISNUMBER(S75),IF(S73&gt;S75,1.0,IF(S73=S75,0.5,0.0)),""),"")</f>
        <v/>
      </c>
      <c r="AB73">
        <f>IF(ISNUMBER(S73),IF(ISNUMBER(S76),IF(S73&gt;S76,1.0,IF(S73=S76,0.5,0.0)),""),"")</f>
        <v/>
      </c>
      <c r="AC73">
        <f>IF(ISNUMBER(S73),IF(ISNUMBER(S77),IF(S73&gt;S77,1.0,IF(S73=S77,0.5,0.0)),""),"")</f>
        <v/>
      </c>
      <c r="AD73">
        <f>IF(ISNUMBER(S73),IF(ISNUMBER(S78),IF(S73&gt;S78,1.0,IF(S73=S78,0.5,0.0)),""),"")</f>
        <v/>
      </c>
      <c r="AE73">
        <f>IF(ISNUMBER(S73),IF(ISNUMBER(S79),IF(S73&gt;S79,1.0,IF(S73=S79,0.5,0.0)),""),"")</f>
        <v/>
      </c>
      <c r="AF73" s="14">
        <f>IF(AND(ISNUMBER(R73),ISNUMBER(R74)),VLOOKUP(ABS(R73-R74),'IMP Table'!$A$2:$C$26,3)*SIGN(R73-R74),0)</f>
        <v/>
      </c>
      <c r="AG73">
        <f>IF(AND(ISNUMBER(R73),ISNUMBER(R75)),VLOOKUP(ABS(R73-R75),'IMP Table'!$A$2:$C$26,3)*SIGN(R73-R75),0)</f>
        <v/>
      </c>
      <c r="AH73">
        <f>IF(AND(ISNUMBER(R73),ISNUMBER(R76)),VLOOKUP(ABS(R73-R76),'IMP Table'!$A$2:$C$26,3)*SIGN(R73-R76),0)</f>
        <v/>
      </c>
      <c r="AI73">
        <f>IF(AND(ISNUMBER(R73),ISNUMBER(R77)),VLOOKUP(ABS(R73-R77),'IMP Table'!$A$2:$C$26,3)*SIGN(R73-R77),0)</f>
        <v/>
      </c>
      <c r="AJ73">
        <f>IF(AND(ISNUMBER(R73),ISNUMBER(R78)),VLOOKUP(ABS(R73-R78),'IMP Table'!$A$2:$C$26,3)*SIGN(R73-R78),0)</f>
        <v/>
      </c>
      <c r="AK73">
        <f>IF(AND(ISNUMBER(R73),ISNUMBER(R79)),VLOOKUP(ABS(R73-R79),'IMP Table'!$A$2:$C$26,3)*SIGN(R73-R79),0)</f>
        <v/>
      </c>
      <c r="AL73">
        <f>IF(AND(ISNUMBER(S73),ISNUMBER(S74)),VLOOKUP(ABS(S73-S74),'IMP Table'!$A$2:$C$26,3)*SIGN(S73-S74),0)</f>
        <v/>
      </c>
      <c r="AM73">
        <f>IF(AND(ISNUMBER(S73),ISNUMBER(S75)),VLOOKUP(ABS(S73-S75),'IMP Table'!$A$2:$C$26,3)*SIGN(S73-S75),0)</f>
        <v/>
      </c>
      <c r="AN73">
        <f>IF(AND(ISNUMBER(S73),ISNUMBER(S76)),VLOOKUP(ABS(S73-S76),'IMP Table'!$A$2:$C$26,3)*SIGN(S73-S76),0)</f>
        <v/>
      </c>
      <c r="AO73">
        <f>IF(AND(ISNUMBER(S73),ISNUMBER(S77)),VLOOKUP(ABS(S73-S77),'IMP Table'!$A$2:$C$26,3)*SIGN(S73-S77),0)</f>
        <v/>
      </c>
      <c r="AP73">
        <f>IF(AND(ISNUMBER(S73),ISNUMBER(S78)),VLOOKUP(ABS(S73-S78),'IMP Table'!$A$2:$C$26,3)*SIGN(S73-S78),0)</f>
        <v/>
      </c>
      <c r="AQ73">
        <f>IF(AND(ISNUMBER(S73),ISNUMBER(S79)),VLOOKUP(ABS(S73-S79),'IMP Table'!$A$2:$C$26,3)*SIGN(S73-S79),0)</f>
        <v/>
      </c>
    </row>
    <row r="74">
      <c r="B74">
        <f>'By Round'!A31</f>
        <v/>
      </c>
      <c r="C74">
        <f>'By Round'!B35</f>
        <v/>
      </c>
      <c r="D74">
        <f>'By Round'!C35</f>
        <v/>
      </c>
      <c r="E74">
        <f>'By Round'!D35</f>
        <v/>
      </c>
      <c r="F74" s="11" t="inlineStr">
        <is>
          <t>None</t>
        </is>
      </c>
      <c r="G74">
        <f>IF(ISBLANK('By Round'!G35),"",'By Round'!G35)</f>
        <v/>
      </c>
      <c r="H74">
        <f>IF(ISBLANK('By Round'!H35),"",'By Round'!H35)</f>
        <v/>
      </c>
      <c r="I74">
        <f>IF(ISBLANK('By Round'!I35),"",'By Round'!I35)</f>
        <v/>
      </c>
      <c r="J74">
        <f>IF(ISBLANK('By Round'!J35),"",'By Round'!J35)</f>
        <v/>
      </c>
      <c r="K74">
        <f>IF(ISBLANK('By Round'!K35),"",'By Round'!K35)</f>
        <v/>
      </c>
      <c r="L74" s="12">
        <f>SUM(AF74:AK74)</f>
        <v/>
      </c>
      <c r="M74" s="13">
        <f>SUM(AL74:AQ74)</f>
        <v/>
      </c>
      <c r="N74" s="8">
        <f>IF(COUNT(T74:Y74)&gt;0,P74/COUNT(T74:Y74),0.5)</f>
        <v/>
      </c>
      <c r="O74" s="8">
        <f>IF(COUNT(Z74:AE74)&gt;0,Q74/COUNT(Z74:AE74),0.5)</f>
        <v/>
      </c>
      <c r="P74" s="5">
        <f>SUM(T74:Y74)</f>
        <v/>
      </c>
      <c r="Q74" s="5">
        <f>SUM(Z74:AE74)</f>
        <v/>
      </c>
      <c r="R74" s="14">
        <f>IF(ISNUMBER(J74),J74,IF(ISNUMBER(K74),-K74,""))</f>
        <v/>
      </c>
      <c r="S74">
        <f>IF(ISNUMBER(K74),K74,IF(ISNUMBER(J74),-J74,""))</f>
        <v/>
      </c>
      <c r="T74" s="14">
        <f>IF(ISNUMBER(R74),IF(ISNUMBER(R73),IF(R74&gt;R73,1.0,IF(R74=R73,0.5,0.0)),""),"")</f>
        <v/>
      </c>
      <c r="U74">
        <f>IF(ISNUMBER(R74),IF(ISNUMBER(R75),IF(R74&gt;R75,1.0,IF(R74=R75,0.5,0.0)),""),"")</f>
        <v/>
      </c>
      <c r="V74">
        <f>IF(ISNUMBER(R74),IF(ISNUMBER(R76),IF(R74&gt;R76,1.0,IF(R74=R76,0.5,0.0)),""),"")</f>
        <v/>
      </c>
      <c r="W74">
        <f>IF(ISNUMBER(R74),IF(ISNUMBER(R77),IF(R74&gt;R77,1.0,IF(R74=R77,0.5,0.0)),""),"")</f>
        <v/>
      </c>
      <c r="X74">
        <f>IF(ISNUMBER(R74),IF(ISNUMBER(R78),IF(R74&gt;R78,1.0,IF(R74=R78,0.5,0.0)),""),"")</f>
        <v/>
      </c>
      <c r="Y74">
        <f>IF(ISNUMBER(R74),IF(ISNUMBER(R79),IF(R74&gt;R79,1.0,IF(R74=R79,0.5,0.0)),""),"")</f>
        <v/>
      </c>
      <c r="Z74">
        <f>IF(ISNUMBER(S74),IF(ISNUMBER(S73),IF(S74&gt;S73,1.0,IF(S74=S73,0.5,0.0)),""),"")</f>
        <v/>
      </c>
      <c r="AA74">
        <f>IF(ISNUMBER(S74),IF(ISNUMBER(S75),IF(S74&gt;S75,1.0,IF(S74=S75,0.5,0.0)),""),"")</f>
        <v/>
      </c>
      <c r="AB74">
        <f>IF(ISNUMBER(S74),IF(ISNUMBER(S76),IF(S74&gt;S76,1.0,IF(S74=S76,0.5,0.0)),""),"")</f>
        <v/>
      </c>
      <c r="AC74">
        <f>IF(ISNUMBER(S74),IF(ISNUMBER(S77),IF(S74&gt;S77,1.0,IF(S74=S77,0.5,0.0)),""),"")</f>
        <v/>
      </c>
      <c r="AD74">
        <f>IF(ISNUMBER(S74),IF(ISNUMBER(S78),IF(S74&gt;S78,1.0,IF(S74=S78,0.5,0.0)),""),"")</f>
        <v/>
      </c>
      <c r="AE74">
        <f>IF(ISNUMBER(S74),IF(ISNUMBER(S79),IF(S74&gt;S79,1.0,IF(S74=S79,0.5,0.0)),""),"")</f>
        <v/>
      </c>
      <c r="AF74" s="14">
        <f>IF(AND(ISNUMBER(R74),ISNUMBER(R73)),VLOOKUP(ABS(R74-R73),'IMP Table'!$A$2:$C$26,3)*SIGN(R74-R73),0)</f>
        <v/>
      </c>
      <c r="AG74">
        <f>IF(AND(ISNUMBER(R74),ISNUMBER(R75)),VLOOKUP(ABS(R74-R75),'IMP Table'!$A$2:$C$26,3)*SIGN(R74-R75),0)</f>
        <v/>
      </c>
      <c r="AH74">
        <f>IF(AND(ISNUMBER(R74),ISNUMBER(R76)),VLOOKUP(ABS(R74-R76),'IMP Table'!$A$2:$C$26,3)*SIGN(R74-R76),0)</f>
        <v/>
      </c>
      <c r="AI74">
        <f>IF(AND(ISNUMBER(R74),ISNUMBER(R77)),VLOOKUP(ABS(R74-R77),'IMP Table'!$A$2:$C$26,3)*SIGN(R74-R77),0)</f>
        <v/>
      </c>
      <c r="AJ74">
        <f>IF(AND(ISNUMBER(R74),ISNUMBER(R78)),VLOOKUP(ABS(R74-R78),'IMP Table'!$A$2:$C$26,3)*SIGN(R74-R78),0)</f>
        <v/>
      </c>
      <c r="AK74">
        <f>IF(AND(ISNUMBER(R74),ISNUMBER(R79)),VLOOKUP(ABS(R74-R79),'IMP Table'!$A$2:$C$26,3)*SIGN(R74-R79),0)</f>
        <v/>
      </c>
      <c r="AL74">
        <f>IF(AND(ISNUMBER(S74),ISNUMBER(S73)),VLOOKUP(ABS(S74-S73),'IMP Table'!$A$2:$C$26,3)*SIGN(S74-S73),0)</f>
        <v/>
      </c>
      <c r="AM74">
        <f>IF(AND(ISNUMBER(S74),ISNUMBER(S75)),VLOOKUP(ABS(S74-S75),'IMP Table'!$A$2:$C$26,3)*SIGN(S74-S75),0)</f>
        <v/>
      </c>
      <c r="AN74">
        <f>IF(AND(ISNUMBER(S74),ISNUMBER(S76)),VLOOKUP(ABS(S74-S76),'IMP Table'!$A$2:$C$26,3)*SIGN(S74-S76),0)</f>
        <v/>
      </c>
      <c r="AO74">
        <f>IF(AND(ISNUMBER(S74),ISNUMBER(S77)),VLOOKUP(ABS(S74-S77),'IMP Table'!$A$2:$C$26,3)*SIGN(S74-S77),0)</f>
        <v/>
      </c>
      <c r="AP74">
        <f>IF(AND(ISNUMBER(S74),ISNUMBER(S78)),VLOOKUP(ABS(S74-S78),'IMP Table'!$A$2:$C$26,3)*SIGN(S74-S78),0)</f>
        <v/>
      </c>
      <c r="AQ74">
        <f>IF(AND(ISNUMBER(S74),ISNUMBER(S79)),VLOOKUP(ABS(S74-S79),'IMP Table'!$A$2:$C$26,3)*SIGN(S74-S79),0)</f>
        <v/>
      </c>
    </row>
    <row r="75">
      <c r="B75">
        <f>'By Round'!A45</f>
        <v/>
      </c>
      <c r="C75">
        <f>'By Round'!B47</f>
        <v/>
      </c>
      <c r="D75">
        <f>'By Round'!C47</f>
        <v/>
      </c>
      <c r="E75">
        <f>'By Round'!D47</f>
        <v/>
      </c>
      <c r="F75" s="11" t="inlineStr">
        <is>
          <t>None</t>
        </is>
      </c>
      <c r="G75">
        <f>IF(ISBLANK('By Round'!G47),"",'By Round'!G47)</f>
        <v/>
      </c>
      <c r="H75">
        <f>IF(ISBLANK('By Round'!H47),"",'By Round'!H47)</f>
        <v/>
      </c>
      <c r="I75">
        <f>IF(ISBLANK('By Round'!I47),"",'By Round'!I47)</f>
        <v/>
      </c>
      <c r="J75">
        <f>IF(ISBLANK('By Round'!J47),"",'By Round'!J47)</f>
        <v/>
      </c>
      <c r="K75">
        <f>IF(ISBLANK('By Round'!K47),"",'By Round'!K47)</f>
        <v/>
      </c>
      <c r="L75" s="12">
        <f>SUM(AF75:AK75)</f>
        <v/>
      </c>
      <c r="M75" s="13">
        <f>SUM(AL75:AQ75)</f>
        <v/>
      </c>
      <c r="N75" s="8">
        <f>IF(COUNT(T75:Y75)&gt;0,P75/COUNT(T75:Y75),0.5)</f>
        <v/>
      </c>
      <c r="O75" s="8">
        <f>IF(COUNT(Z75:AE75)&gt;0,Q75/COUNT(Z75:AE75),0.5)</f>
        <v/>
      </c>
      <c r="P75" s="5">
        <f>SUM(T75:Y75)</f>
        <v/>
      </c>
      <c r="Q75" s="5">
        <f>SUM(Z75:AE75)</f>
        <v/>
      </c>
      <c r="R75" s="14">
        <f>IF(ISNUMBER(J75),J75,IF(ISNUMBER(K75),-K75,""))</f>
        <v/>
      </c>
      <c r="S75">
        <f>IF(ISNUMBER(K75),K75,IF(ISNUMBER(J75),-J75,""))</f>
        <v/>
      </c>
      <c r="T75" s="14">
        <f>IF(ISNUMBER(R75),IF(ISNUMBER(R73),IF(R75&gt;R73,1.0,IF(R75=R73,0.5,0.0)),""),"")</f>
        <v/>
      </c>
      <c r="U75">
        <f>IF(ISNUMBER(R75),IF(ISNUMBER(R74),IF(R75&gt;R74,1.0,IF(R75=R74,0.5,0.0)),""),"")</f>
        <v/>
      </c>
      <c r="V75">
        <f>IF(ISNUMBER(R75),IF(ISNUMBER(R76),IF(R75&gt;R76,1.0,IF(R75=R76,0.5,0.0)),""),"")</f>
        <v/>
      </c>
      <c r="W75">
        <f>IF(ISNUMBER(R75),IF(ISNUMBER(R77),IF(R75&gt;R77,1.0,IF(R75=R77,0.5,0.0)),""),"")</f>
        <v/>
      </c>
      <c r="X75">
        <f>IF(ISNUMBER(R75),IF(ISNUMBER(R78),IF(R75&gt;R78,1.0,IF(R75=R78,0.5,0.0)),""),"")</f>
        <v/>
      </c>
      <c r="Y75">
        <f>IF(ISNUMBER(R75),IF(ISNUMBER(R79),IF(R75&gt;R79,1.0,IF(R75=R79,0.5,0.0)),""),"")</f>
        <v/>
      </c>
      <c r="Z75">
        <f>IF(ISNUMBER(S75),IF(ISNUMBER(S73),IF(S75&gt;S73,1.0,IF(S75=S73,0.5,0.0)),""),"")</f>
        <v/>
      </c>
      <c r="AA75">
        <f>IF(ISNUMBER(S75),IF(ISNUMBER(S74),IF(S75&gt;S74,1.0,IF(S75=S74,0.5,0.0)),""),"")</f>
        <v/>
      </c>
      <c r="AB75">
        <f>IF(ISNUMBER(S75),IF(ISNUMBER(S76),IF(S75&gt;S76,1.0,IF(S75=S76,0.5,0.0)),""),"")</f>
        <v/>
      </c>
      <c r="AC75">
        <f>IF(ISNUMBER(S75),IF(ISNUMBER(S77),IF(S75&gt;S77,1.0,IF(S75=S77,0.5,0.0)),""),"")</f>
        <v/>
      </c>
      <c r="AD75">
        <f>IF(ISNUMBER(S75),IF(ISNUMBER(S78),IF(S75&gt;S78,1.0,IF(S75=S78,0.5,0.0)),""),"")</f>
        <v/>
      </c>
      <c r="AE75">
        <f>IF(ISNUMBER(S75),IF(ISNUMBER(S79),IF(S75&gt;S79,1.0,IF(S75=S79,0.5,0.0)),""),"")</f>
        <v/>
      </c>
      <c r="AF75" s="14">
        <f>IF(AND(ISNUMBER(R75),ISNUMBER(R73)),VLOOKUP(ABS(R75-R73),'IMP Table'!$A$2:$C$26,3)*SIGN(R75-R73),0)</f>
        <v/>
      </c>
      <c r="AG75">
        <f>IF(AND(ISNUMBER(R75),ISNUMBER(R74)),VLOOKUP(ABS(R75-R74),'IMP Table'!$A$2:$C$26,3)*SIGN(R75-R74),0)</f>
        <v/>
      </c>
      <c r="AH75">
        <f>IF(AND(ISNUMBER(R75),ISNUMBER(R76)),VLOOKUP(ABS(R75-R76),'IMP Table'!$A$2:$C$26,3)*SIGN(R75-R76),0)</f>
        <v/>
      </c>
      <c r="AI75">
        <f>IF(AND(ISNUMBER(R75),ISNUMBER(R77)),VLOOKUP(ABS(R75-R77),'IMP Table'!$A$2:$C$26,3)*SIGN(R75-R77),0)</f>
        <v/>
      </c>
      <c r="AJ75">
        <f>IF(AND(ISNUMBER(R75),ISNUMBER(R78)),VLOOKUP(ABS(R75-R78),'IMP Table'!$A$2:$C$26,3)*SIGN(R75-R78),0)</f>
        <v/>
      </c>
      <c r="AK75">
        <f>IF(AND(ISNUMBER(R75),ISNUMBER(R79)),VLOOKUP(ABS(R75-R79),'IMP Table'!$A$2:$C$26,3)*SIGN(R75-R79),0)</f>
        <v/>
      </c>
      <c r="AL75">
        <f>IF(AND(ISNUMBER(S75),ISNUMBER(S73)),VLOOKUP(ABS(S75-S73),'IMP Table'!$A$2:$C$26,3)*SIGN(S75-S73),0)</f>
        <v/>
      </c>
      <c r="AM75">
        <f>IF(AND(ISNUMBER(S75),ISNUMBER(S74)),VLOOKUP(ABS(S75-S74),'IMP Table'!$A$2:$C$26,3)*SIGN(S75-S74),0)</f>
        <v/>
      </c>
      <c r="AN75">
        <f>IF(AND(ISNUMBER(S75),ISNUMBER(S76)),VLOOKUP(ABS(S75-S76),'IMP Table'!$A$2:$C$26,3)*SIGN(S75-S76),0)</f>
        <v/>
      </c>
      <c r="AO75">
        <f>IF(AND(ISNUMBER(S75),ISNUMBER(S77)),VLOOKUP(ABS(S75-S77),'IMP Table'!$A$2:$C$26,3)*SIGN(S75-S77),0)</f>
        <v/>
      </c>
      <c r="AP75">
        <f>IF(AND(ISNUMBER(S75),ISNUMBER(S78)),VLOOKUP(ABS(S75-S78),'IMP Table'!$A$2:$C$26,3)*SIGN(S75-S78),0)</f>
        <v/>
      </c>
      <c r="AQ75">
        <f>IF(AND(ISNUMBER(S75),ISNUMBER(S79)),VLOOKUP(ABS(S75-S79),'IMP Table'!$A$2:$C$26,3)*SIGN(S75-S79),0)</f>
        <v/>
      </c>
    </row>
    <row r="76">
      <c r="B76">
        <f>'By Round'!A73</f>
        <v/>
      </c>
      <c r="C76">
        <f>'By Round'!B73</f>
        <v/>
      </c>
      <c r="D76">
        <f>'By Round'!C73</f>
        <v/>
      </c>
      <c r="E76">
        <f>'By Round'!D73</f>
        <v/>
      </c>
      <c r="F76" s="11" t="inlineStr">
        <is>
          <t>None</t>
        </is>
      </c>
      <c r="G76">
        <f>IF(ISBLANK('By Round'!G73),"",'By Round'!G73)</f>
        <v/>
      </c>
      <c r="H76">
        <f>IF(ISBLANK('By Round'!H73),"",'By Round'!H73)</f>
        <v/>
      </c>
      <c r="I76">
        <f>IF(ISBLANK('By Round'!I73),"",'By Round'!I73)</f>
        <v/>
      </c>
      <c r="J76">
        <f>IF(ISBLANK('By Round'!J73),"",'By Round'!J73)</f>
        <v/>
      </c>
      <c r="K76">
        <f>IF(ISBLANK('By Round'!K73),"",'By Round'!K73)</f>
        <v/>
      </c>
      <c r="L76" s="12">
        <f>SUM(AF76:AK76)</f>
        <v/>
      </c>
      <c r="M76" s="13">
        <f>SUM(AL76:AQ76)</f>
        <v/>
      </c>
      <c r="N76" s="8">
        <f>IF(COUNT(T76:Y76)&gt;0,P76/COUNT(T76:Y76),0.5)</f>
        <v/>
      </c>
      <c r="O76" s="8">
        <f>IF(COUNT(Z76:AE76)&gt;0,Q76/COUNT(Z76:AE76),0.5)</f>
        <v/>
      </c>
      <c r="P76" s="5">
        <f>SUM(T76:Y76)</f>
        <v/>
      </c>
      <c r="Q76" s="5">
        <f>SUM(Z76:AE76)</f>
        <v/>
      </c>
      <c r="R76" s="14">
        <f>IF(ISNUMBER(J76),J76,IF(ISNUMBER(K76),-K76,""))</f>
        <v/>
      </c>
      <c r="S76">
        <f>IF(ISNUMBER(K76),K76,IF(ISNUMBER(J76),-J76,""))</f>
        <v/>
      </c>
      <c r="T76" s="14">
        <f>IF(ISNUMBER(R76),IF(ISNUMBER(R73),IF(R76&gt;R73,1.0,IF(R76=R73,0.5,0.0)),""),"")</f>
        <v/>
      </c>
      <c r="U76">
        <f>IF(ISNUMBER(R76),IF(ISNUMBER(R74),IF(R76&gt;R74,1.0,IF(R76=R74,0.5,0.0)),""),"")</f>
        <v/>
      </c>
      <c r="V76">
        <f>IF(ISNUMBER(R76),IF(ISNUMBER(R75),IF(R76&gt;R75,1.0,IF(R76=R75,0.5,0.0)),""),"")</f>
        <v/>
      </c>
      <c r="W76">
        <f>IF(ISNUMBER(R76),IF(ISNUMBER(R77),IF(R76&gt;R77,1.0,IF(R76=R77,0.5,0.0)),""),"")</f>
        <v/>
      </c>
      <c r="X76">
        <f>IF(ISNUMBER(R76),IF(ISNUMBER(R78),IF(R76&gt;R78,1.0,IF(R76=R78,0.5,0.0)),""),"")</f>
        <v/>
      </c>
      <c r="Y76">
        <f>IF(ISNUMBER(R76),IF(ISNUMBER(R79),IF(R76&gt;R79,1.0,IF(R76=R79,0.5,0.0)),""),"")</f>
        <v/>
      </c>
      <c r="Z76">
        <f>IF(ISNUMBER(S76),IF(ISNUMBER(S73),IF(S76&gt;S73,1.0,IF(S76=S73,0.5,0.0)),""),"")</f>
        <v/>
      </c>
      <c r="AA76">
        <f>IF(ISNUMBER(S76),IF(ISNUMBER(S74),IF(S76&gt;S74,1.0,IF(S76=S74,0.5,0.0)),""),"")</f>
        <v/>
      </c>
      <c r="AB76">
        <f>IF(ISNUMBER(S76),IF(ISNUMBER(S75),IF(S76&gt;S75,1.0,IF(S76=S75,0.5,0.0)),""),"")</f>
        <v/>
      </c>
      <c r="AC76">
        <f>IF(ISNUMBER(S76),IF(ISNUMBER(S77),IF(S76&gt;S77,1.0,IF(S76=S77,0.5,0.0)),""),"")</f>
        <v/>
      </c>
      <c r="AD76">
        <f>IF(ISNUMBER(S76),IF(ISNUMBER(S78),IF(S76&gt;S78,1.0,IF(S76=S78,0.5,0.0)),""),"")</f>
        <v/>
      </c>
      <c r="AE76">
        <f>IF(ISNUMBER(S76),IF(ISNUMBER(S79),IF(S76&gt;S79,1.0,IF(S76=S79,0.5,0.0)),""),"")</f>
        <v/>
      </c>
      <c r="AF76" s="14">
        <f>IF(AND(ISNUMBER(R76),ISNUMBER(R73)),VLOOKUP(ABS(R76-R73),'IMP Table'!$A$2:$C$26,3)*SIGN(R76-R73),0)</f>
        <v/>
      </c>
      <c r="AG76">
        <f>IF(AND(ISNUMBER(R76),ISNUMBER(R74)),VLOOKUP(ABS(R76-R74),'IMP Table'!$A$2:$C$26,3)*SIGN(R76-R74),0)</f>
        <v/>
      </c>
      <c r="AH76">
        <f>IF(AND(ISNUMBER(R76),ISNUMBER(R75)),VLOOKUP(ABS(R76-R75),'IMP Table'!$A$2:$C$26,3)*SIGN(R76-R75),0)</f>
        <v/>
      </c>
      <c r="AI76">
        <f>IF(AND(ISNUMBER(R76),ISNUMBER(R77)),VLOOKUP(ABS(R76-R77),'IMP Table'!$A$2:$C$26,3)*SIGN(R76-R77),0)</f>
        <v/>
      </c>
      <c r="AJ76">
        <f>IF(AND(ISNUMBER(R76),ISNUMBER(R78)),VLOOKUP(ABS(R76-R78),'IMP Table'!$A$2:$C$26,3)*SIGN(R76-R78),0)</f>
        <v/>
      </c>
      <c r="AK76">
        <f>IF(AND(ISNUMBER(R76),ISNUMBER(R79)),VLOOKUP(ABS(R76-R79),'IMP Table'!$A$2:$C$26,3)*SIGN(R76-R79),0)</f>
        <v/>
      </c>
      <c r="AL76">
        <f>IF(AND(ISNUMBER(S76),ISNUMBER(S73)),VLOOKUP(ABS(S76-S73),'IMP Table'!$A$2:$C$26,3)*SIGN(S76-S73),0)</f>
        <v/>
      </c>
      <c r="AM76">
        <f>IF(AND(ISNUMBER(S76),ISNUMBER(S74)),VLOOKUP(ABS(S76-S74),'IMP Table'!$A$2:$C$26,3)*SIGN(S76-S74),0)</f>
        <v/>
      </c>
      <c r="AN76">
        <f>IF(AND(ISNUMBER(S76),ISNUMBER(S75)),VLOOKUP(ABS(S76-S75),'IMP Table'!$A$2:$C$26,3)*SIGN(S76-S75),0)</f>
        <v/>
      </c>
      <c r="AO76">
        <f>IF(AND(ISNUMBER(S76),ISNUMBER(S77)),VLOOKUP(ABS(S76-S77),'IMP Table'!$A$2:$C$26,3)*SIGN(S76-S77),0)</f>
        <v/>
      </c>
      <c r="AP76">
        <f>IF(AND(ISNUMBER(S76),ISNUMBER(S78)),VLOOKUP(ABS(S76-S78),'IMP Table'!$A$2:$C$26,3)*SIGN(S76-S78),0)</f>
        <v/>
      </c>
      <c r="AQ76">
        <f>IF(AND(ISNUMBER(S76),ISNUMBER(S79)),VLOOKUP(ABS(S76-S79),'IMP Table'!$A$2:$C$26,3)*SIGN(S76-S79),0)</f>
        <v/>
      </c>
    </row>
    <row r="77">
      <c r="B77">
        <f>'By Round'!A101</f>
        <v/>
      </c>
      <c r="C77">
        <f>'By Round'!B113</f>
        <v/>
      </c>
      <c r="D77">
        <f>'By Round'!C113</f>
        <v/>
      </c>
      <c r="E77">
        <f>'By Round'!D113</f>
        <v/>
      </c>
      <c r="F77" s="11" t="inlineStr">
        <is>
          <t>None</t>
        </is>
      </c>
      <c r="G77">
        <f>IF(ISBLANK('By Round'!G113),"",'By Round'!G113)</f>
        <v/>
      </c>
      <c r="H77">
        <f>IF(ISBLANK('By Round'!H113),"",'By Round'!H113)</f>
        <v/>
      </c>
      <c r="I77">
        <f>IF(ISBLANK('By Round'!I113),"",'By Round'!I113)</f>
        <v/>
      </c>
      <c r="J77">
        <f>IF(ISBLANK('By Round'!J113),"",'By Round'!J113)</f>
        <v/>
      </c>
      <c r="K77">
        <f>IF(ISBLANK('By Round'!K113),"",'By Round'!K113)</f>
        <v/>
      </c>
      <c r="L77" s="12">
        <f>SUM(AF77:AK77)</f>
        <v/>
      </c>
      <c r="M77" s="13">
        <f>SUM(AL77:AQ77)</f>
        <v/>
      </c>
      <c r="N77" s="8">
        <f>IF(COUNT(T77:Y77)&gt;0,P77/COUNT(T77:Y77),0.5)</f>
        <v/>
      </c>
      <c r="O77" s="8">
        <f>IF(COUNT(Z77:AE77)&gt;0,Q77/COUNT(Z77:AE77),0.5)</f>
        <v/>
      </c>
      <c r="P77" s="5">
        <f>SUM(T77:Y77)</f>
        <v/>
      </c>
      <c r="Q77" s="5">
        <f>SUM(Z77:AE77)</f>
        <v/>
      </c>
      <c r="R77" s="14">
        <f>IF(ISNUMBER(J77),J77,IF(ISNUMBER(K77),-K77,""))</f>
        <v/>
      </c>
      <c r="S77">
        <f>IF(ISNUMBER(K77),K77,IF(ISNUMBER(J77),-J77,""))</f>
        <v/>
      </c>
      <c r="T77" s="14">
        <f>IF(ISNUMBER(R77),IF(ISNUMBER(R73),IF(R77&gt;R73,1.0,IF(R77=R73,0.5,0.0)),""),"")</f>
        <v/>
      </c>
      <c r="U77">
        <f>IF(ISNUMBER(R77),IF(ISNUMBER(R74),IF(R77&gt;R74,1.0,IF(R77=R74,0.5,0.0)),""),"")</f>
        <v/>
      </c>
      <c r="V77">
        <f>IF(ISNUMBER(R77),IF(ISNUMBER(R75),IF(R77&gt;R75,1.0,IF(R77=R75,0.5,0.0)),""),"")</f>
        <v/>
      </c>
      <c r="W77">
        <f>IF(ISNUMBER(R77),IF(ISNUMBER(R76),IF(R77&gt;R76,1.0,IF(R77=R76,0.5,0.0)),""),"")</f>
        <v/>
      </c>
      <c r="X77">
        <f>IF(ISNUMBER(R77),IF(ISNUMBER(R78),IF(R77&gt;R78,1.0,IF(R77=R78,0.5,0.0)),""),"")</f>
        <v/>
      </c>
      <c r="Y77">
        <f>IF(ISNUMBER(R77),IF(ISNUMBER(R79),IF(R77&gt;R79,1.0,IF(R77=R79,0.5,0.0)),""),"")</f>
        <v/>
      </c>
      <c r="Z77">
        <f>IF(ISNUMBER(S77),IF(ISNUMBER(S73),IF(S77&gt;S73,1.0,IF(S77=S73,0.5,0.0)),""),"")</f>
        <v/>
      </c>
      <c r="AA77">
        <f>IF(ISNUMBER(S77),IF(ISNUMBER(S74),IF(S77&gt;S74,1.0,IF(S77=S74,0.5,0.0)),""),"")</f>
        <v/>
      </c>
      <c r="AB77">
        <f>IF(ISNUMBER(S77),IF(ISNUMBER(S75),IF(S77&gt;S75,1.0,IF(S77=S75,0.5,0.0)),""),"")</f>
        <v/>
      </c>
      <c r="AC77">
        <f>IF(ISNUMBER(S77),IF(ISNUMBER(S76),IF(S77&gt;S76,1.0,IF(S77=S76,0.5,0.0)),""),"")</f>
        <v/>
      </c>
      <c r="AD77">
        <f>IF(ISNUMBER(S77),IF(ISNUMBER(S78),IF(S77&gt;S78,1.0,IF(S77=S78,0.5,0.0)),""),"")</f>
        <v/>
      </c>
      <c r="AE77">
        <f>IF(ISNUMBER(S77),IF(ISNUMBER(S79),IF(S77&gt;S79,1.0,IF(S77=S79,0.5,0.0)),""),"")</f>
        <v/>
      </c>
      <c r="AF77" s="14">
        <f>IF(AND(ISNUMBER(R77),ISNUMBER(R73)),VLOOKUP(ABS(R77-R73),'IMP Table'!$A$2:$C$26,3)*SIGN(R77-R73),0)</f>
        <v/>
      </c>
      <c r="AG77">
        <f>IF(AND(ISNUMBER(R77),ISNUMBER(R74)),VLOOKUP(ABS(R77-R74),'IMP Table'!$A$2:$C$26,3)*SIGN(R77-R74),0)</f>
        <v/>
      </c>
      <c r="AH77">
        <f>IF(AND(ISNUMBER(R77),ISNUMBER(R75)),VLOOKUP(ABS(R77-R75),'IMP Table'!$A$2:$C$26,3)*SIGN(R77-R75),0)</f>
        <v/>
      </c>
      <c r="AI77">
        <f>IF(AND(ISNUMBER(R77),ISNUMBER(R76)),VLOOKUP(ABS(R77-R76),'IMP Table'!$A$2:$C$26,3)*SIGN(R77-R76),0)</f>
        <v/>
      </c>
      <c r="AJ77">
        <f>IF(AND(ISNUMBER(R77),ISNUMBER(R78)),VLOOKUP(ABS(R77-R78),'IMP Table'!$A$2:$C$26,3)*SIGN(R77-R78),0)</f>
        <v/>
      </c>
      <c r="AK77">
        <f>IF(AND(ISNUMBER(R77),ISNUMBER(R79)),VLOOKUP(ABS(R77-R79),'IMP Table'!$A$2:$C$26,3)*SIGN(R77-R79),0)</f>
        <v/>
      </c>
      <c r="AL77">
        <f>IF(AND(ISNUMBER(S77),ISNUMBER(S73)),VLOOKUP(ABS(S77-S73),'IMP Table'!$A$2:$C$26,3)*SIGN(S77-S73),0)</f>
        <v/>
      </c>
      <c r="AM77">
        <f>IF(AND(ISNUMBER(S77),ISNUMBER(S74)),VLOOKUP(ABS(S77-S74),'IMP Table'!$A$2:$C$26,3)*SIGN(S77-S74),0)</f>
        <v/>
      </c>
      <c r="AN77">
        <f>IF(AND(ISNUMBER(S77),ISNUMBER(S75)),VLOOKUP(ABS(S77-S75),'IMP Table'!$A$2:$C$26,3)*SIGN(S77-S75),0)</f>
        <v/>
      </c>
      <c r="AO77">
        <f>IF(AND(ISNUMBER(S77),ISNUMBER(S76)),VLOOKUP(ABS(S77-S76),'IMP Table'!$A$2:$C$26,3)*SIGN(S77-S76),0)</f>
        <v/>
      </c>
      <c r="AP77">
        <f>IF(AND(ISNUMBER(S77),ISNUMBER(S78)),VLOOKUP(ABS(S77-S78),'IMP Table'!$A$2:$C$26,3)*SIGN(S77-S78),0)</f>
        <v/>
      </c>
      <c r="AQ77">
        <f>IF(AND(ISNUMBER(S77),ISNUMBER(S79)),VLOOKUP(ABS(S77-S79),'IMP Table'!$A$2:$C$26,3)*SIGN(S77-S79),0)</f>
        <v/>
      </c>
    </row>
    <row r="78">
      <c r="B78">
        <f>'By Round'!A115</f>
        <v/>
      </c>
      <c r="C78">
        <f>'By Round'!B125</f>
        <v/>
      </c>
      <c r="D78">
        <f>'By Round'!C125</f>
        <v/>
      </c>
      <c r="E78">
        <f>'By Round'!D125</f>
        <v/>
      </c>
      <c r="F78" s="11" t="inlineStr">
        <is>
          <t>None</t>
        </is>
      </c>
      <c r="G78">
        <f>IF(ISBLANK('By Round'!G125),"",'By Round'!G125)</f>
        <v/>
      </c>
      <c r="H78">
        <f>IF(ISBLANK('By Round'!H125),"",'By Round'!H125)</f>
        <v/>
      </c>
      <c r="I78">
        <f>IF(ISBLANK('By Round'!I125),"",'By Round'!I125)</f>
        <v/>
      </c>
      <c r="J78">
        <f>IF(ISBLANK('By Round'!J125),"",'By Round'!J125)</f>
        <v/>
      </c>
      <c r="K78">
        <f>IF(ISBLANK('By Round'!K125),"",'By Round'!K125)</f>
        <v/>
      </c>
      <c r="L78" s="12">
        <f>SUM(AF78:AK78)</f>
        <v/>
      </c>
      <c r="M78" s="13">
        <f>SUM(AL78:AQ78)</f>
        <v/>
      </c>
      <c r="N78" s="8">
        <f>IF(COUNT(T78:Y78)&gt;0,P78/COUNT(T78:Y78),0.5)</f>
        <v/>
      </c>
      <c r="O78" s="8">
        <f>IF(COUNT(Z78:AE78)&gt;0,Q78/COUNT(Z78:AE78),0.5)</f>
        <v/>
      </c>
      <c r="P78" s="5">
        <f>SUM(T78:Y78)</f>
        <v/>
      </c>
      <c r="Q78" s="5">
        <f>SUM(Z78:AE78)</f>
        <v/>
      </c>
      <c r="R78" s="14">
        <f>IF(ISNUMBER(J78),J78,IF(ISNUMBER(K78),-K78,""))</f>
        <v/>
      </c>
      <c r="S78">
        <f>IF(ISNUMBER(K78),K78,IF(ISNUMBER(J78),-J78,""))</f>
        <v/>
      </c>
      <c r="T78" s="14">
        <f>IF(ISNUMBER(R78),IF(ISNUMBER(R73),IF(R78&gt;R73,1.0,IF(R78=R73,0.5,0.0)),""),"")</f>
        <v/>
      </c>
      <c r="U78">
        <f>IF(ISNUMBER(R78),IF(ISNUMBER(R74),IF(R78&gt;R74,1.0,IF(R78=R74,0.5,0.0)),""),"")</f>
        <v/>
      </c>
      <c r="V78">
        <f>IF(ISNUMBER(R78),IF(ISNUMBER(R75),IF(R78&gt;R75,1.0,IF(R78=R75,0.5,0.0)),""),"")</f>
        <v/>
      </c>
      <c r="W78">
        <f>IF(ISNUMBER(R78),IF(ISNUMBER(R76),IF(R78&gt;R76,1.0,IF(R78=R76,0.5,0.0)),""),"")</f>
        <v/>
      </c>
      <c r="X78">
        <f>IF(ISNUMBER(R78),IF(ISNUMBER(R77),IF(R78&gt;R77,1.0,IF(R78=R77,0.5,0.0)),""),"")</f>
        <v/>
      </c>
      <c r="Y78">
        <f>IF(ISNUMBER(R78),IF(ISNUMBER(R79),IF(R78&gt;R79,1.0,IF(R78=R79,0.5,0.0)),""),"")</f>
        <v/>
      </c>
      <c r="Z78">
        <f>IF(ISNUMBER(S78),IF(ISNUMBER(S73),IF(S78&gt;S73,1.0,IF(S78=S73,0.5,0.0)),""),"")</f>
        <v/>
      </c>
      <c r="AA78">
        <f>IF(ISNUMBER(S78),IF(ISNUMBER(S74),IF(S78&gt;S74,1.0,IF(S78=S74,0.5,0.0)),""),"")</f>
        <v/>
      </c>
      <c r="AB78">
        <f>IF(ISNUMBER(S78),IF(ISNUMBER(S75),IF(S78&gt;S75,1.0,IF(S78=S75,0.5,0.0)),""),"")</f>
        <v/>
      </c>
      <c r="AC78">
        <f>IF(ISNUMBER(S78),IF(ISNUMBER(S76),IF(S78&gt;S76,1.0,IF(S78=S76,0.5,0.0)),""),"")</f>
        <v/>
      </c>
      <c r="AD78">
        <f>IF(ISNUMBER(S78),IF(ISNUMBER(S77),IF(S78&gt;S77,1.0,IF(S78=S77,0.5,0.0)),""),"")</f>
        <v/>
      </c>
      <c r="AE78">
        <f>IF(ISNUMBER(S78),IF(ISNUMBER(S79),IF(S78&gt;S79,1.0,IF(S78=S79,0.5,0.0)),""),"")</f>
        <v/>
      </c>
      <c r="AF78" s="14">
        <f>IF(AND(ISNUMBER(R78),ISNUMBER(R73)),VLOOKUP(ABS(R78-R73),'IMP Table'!$A$2:$C$26,3)*SIGN(R78-R73),0)</f>
        <v/>
      </c>
      <c r="AG78">
        <f>IF(AND(ISNUMBER(R78),ISNUMBER(R74)),VLOOKUP(ABS(R78-R74),'IMP Table'!$A$2:$C$26,3)*SIGN(R78-R74),0)</f>
        <v/>
      </c>
      <c r="AH78">
        <f>IF(AND(ISNUMBER(R78),ISNUMBER(R75)),VLOOKUP(ABS(R78-R75),'IMP Table'!$A$2:$C$26,3)*SIGN(R78-R75),0)</f>
        <v/>
      </c>
      <c r="AI78">
        <f>IF(AND(ISNUMBER(R78),ISNUMBER(R76)),VLOOKUP(ABS(R78-R76),'IMP Table'!$A$2:$C$26,3)*SIGN(R78-R76),0)</f>
        <v/>
      </c>
      <c r="AJ78">
        <f>IF(AND(ISNUMBER(R78),ISNUMBER(R77)),VLOOKUP(ABS(R78-R77),'IMP Table'!$A$2:$C$26,3)*SIGN(R78-R77),0)</f>
        <v/>
      </c>
      <c r="AK78">
        <f>IF(AND(ISNUMBER(R78),ISNUMBER(R79)),VLOOKUP(ABS(R78-R79),'IMP Table'!$A$2:$C$26,3)*SIGN(R78-R79),0)</f>
        <v/>
      </c>
      <c r="AL78">
        <f>IF(AND(ISNUMBER(S78),ISNUMBER(S73)),VLOOKUP(ABS(S78-S73),'IMP Table'!$A$2:$C$26,3)*SIGN(S78-S73),0)</f>
        <v/>
      </c>
      <c r="AM78">
        <f>IF(AND(ISNUMBER(S78),ISNUMBER(S74)),VLOOKUP(ABS(S78-S74),'IMP Table'!$A$2:$C$26,3)*SIGN(S78-S74),0)</f>
        <v/>
      </c>
      <c r="AN78">
        <f>IF(AND(ISNUMBER(S78),ISNUMBER(S75)),VLOOKUP(ABS(S78-S75),'IMP Table'!$A$2:$C$26,3)*SIGN(S78-S75),0)</f>
        <v/>
      </c>
      <c r="AO78">
        <f>IF(AND(ISNUMBER(S78),ISNUMBER(S76)),VLOOKUP(ABS(S78-S76),'IMP Table'!$A$2:$C$26,3)*SIGN(S78-S76),0)</f>
        <v/>
      </c>
      <c r="AP78">
        <f>IF(AND(ISNUMBER(S78),ISNUMBER(S77)),VLOOKUP(ABS(S78-S77),'IMP Table'!$A$2:$C$26,3)*SIGN(S78-S77),0)</f>
        <v/>
      </c>
      <c r="AQ78">
        <f>IF(AND(ISNUMBER(S78),ISNUMBER(S79)),VLOOKUP(ABS(S78-S79),'IMP Table'!$A$2:$C$26,3)*SIGN(S78-S79),0)</f>
        <v/>
      </c>
    </row>
    <row r="79">
      <c r="A79" s="15" t="n"/>
      <c r="B79" s="15">
        <f>'By Round'!A129</f>
        <v/>
      </c>
      <c r="C79" s="15">
        <f>'By Round'!B137</f>
        <v/>
      </c>
      <c r="D79" s="15">
        <f>'By Round'!C137</f>
        <v/>
      </c>
      <c r="E79" s="15">
        <f>'By Round'!D137</f>
        <v/>
      </c>
      <c r="F79" s="16" t="inlineStr">
        <is>
          <t>None</t>
        </is>
      </c>
      <c r="G79" s="15">
        <f>IF(ISBLANK('By Round'!G137),"",'By Round'!G137)</f>
        <v/>
      </c>
      <c r="H79" s="15">
        <f>IF(ISBLANK('By Round'!H137),"",'By Round'!H137)</f>
        <v/>
      </c>
      <c r="I79" s="15">
        <f>IF(ISBLANK('By Round'!I137),"",'By Round'!I137)</f>
        <v/>
      </c>
      <c r="J79" s="15">
        <f>IF(ISBLANK('By Round'!J137),"",'By Round'!J137)</f>
        <v/>
      </c>
      <c r="K79" s="15">
        <f>IF(ISBLANK('By Round'!K137),"",'By Round'!K137)</f>
        <v/>
      </c>
      <c r="L79" s="17">
        <f>SUM(AF79:AK79)</f>
        <v/>
      </c>
      <c r="M79" s="18">
        <f>SUM(AL79:AQ79)</f>
        <v/>
      </c>
      <c r="N79" s="19">
        <f>IF(COUNT(T79:Y79)&gt;0,P79/COUNT(T79:Y79),0.5)</f>
        <v/>
      </c>
      <c r="O79" s="19">
        <f>IF(COUNT(Z79:AE79)&gt;0,Q79/COUNT(Z79:AE79),0.5)</f>
        <v/>
      </c>
      <c r="P79" s="20">
        <f>SUM(T79:Y79)</f>
        <v/>
      </c>
      <c r="Q79" s="20">
        <f>SUM(Z79:AE79)</f>
        <v/>
      </c>
      <c r="R79" s="21">
        <f>IF(ISNUMBER(J79),J79,IF(ISNUMBER(K79),-K79,""))</f>
        <v/>
      </c>
      <c r="S79" s="15">
        <f>IF(ISNUMBER(K79),K79,IF(ISNUMBER(J79),-J79,""))</f>
        <v/>
      </c>
      <c r="T79" s="21">
        <f>IF(ISNUMBER(R79),IF(ISNUMBER(R73),IF(R79&gt;R73,1.0,IF(R79=R73,0.5,0.0)),""),"")</f>
        <v/>
      </c>
      <c r="U79" s="15">
        <f>IF(ISNUMBER(R79),IF(ISNUMBER(R74),IF(R79&gt;R74,1.0,IF(R79=R74,0.5,0.0)),""),"")</f>
        <v/>
      </c>
      <c r="V79" s="15">
        <f>IF(ISNUMBER(R79),IF(ISNUMBER(R75),IF(R79&gt;R75,1.0,IF(R79=R75,0.5,0.0)),""),"")</f>
        <v/>
      </c>
      <c r="W79" s="15">
        <f>IF(ISNUMBER(R79),IF(ISNUMBER(R76),IF(R79&gt;R76,1.0,IF(R79=R76,0.5,0.0)),""),"")</f>
        <v/>
      </c>
      <c r="X79" s="15">
        <f>IF(ISNUMBER(R79),IF(ISNUMBER(R77),IF(R79&gt;R77,1.0,IF(R79=R77,0.5,0.0)),""),"")</f>
        <v/>
      </c>
      <c r="Y79" s="15">
        <f>IF(ISNUMBER(R79),IF(ISNUMBER(R78),IF(R79&gt;R78,1.0,IF(R79=R78,0.5,0.0)),""),"")</f>
        <v/>
      </c>
      <c r="Z79" s="15">
        <f>IF(ISNUMBER(S79),IF(ISNUMBER(S73),IF(S79&gt;S73,1.0,IF(S79=S73,0.5,0.0)),""),"")</f>
        <v/>
      </c>
      <c r="AA79" s="15">
        <f>IF(ISNUMBER(S79),IF(ISNUMBER(S74),IF(S79&gt;S74,1.0,IF(S79=S74,0.5,0.0)),""),"")</f>
        <v/>
      </c>
      <c r="AB79" s="15">
        <f>IF(ISNUMBER(S79),IF(ISNUMBER(S75),IF(S79&gt;S75,1.0,IF(S79=S75,0.5,0.0)),""),"")</f>
        <v/>
      </c>
      <c r="AC79" s="15">
        <f>IF(ISNUMBER(S79),IF(ISNUMBER(S76),IF(S79&gt;S76,1.0,IF(S79=S76,0.5,0.0)),""),"")</f>
        <v/>
      </c>
      <c r="AD79" s="15">
        <f>IF(ISNUMBER(S79),IF(ISNUMBER(S77),IF(S79&gt;S77,1.0,IF(S79=S77,0.5,0.0)),""),"")</f>
        <v/>
      </c>
      <c r="AE79" s="15">
        <f>IF(ISNUMBER(S79),IF(ISNUMBER(S78),IF(S79&gt;S78,1.0,IF(S79=S78,0.5,0.0)),""),"")</f>
        <v/>
      </c>
      <c r="AF79" s="21">
        <f>IF(AND(ISNUMBER(R79),ISNUMBER(R73)),VLOOKUP(ABS(R79-R73),'IMP Table'!$A$2:$C$26,3)*SIGN(R79-R73),0)</f>
        <v/>
      </c>
      <c r="AG79" s="15">
        <f>IF(AND(ISNUMBER(R79),ISNUMBER(R74)),VLOOKUP(ABS(R79-R74),'IMP Table'!$A$2:$C$26,3)*SIGN(R79-R74),0)</f>
        <v/>
      </c>
      <c r="AH79" s="15">
        <f>IF(AND(ISNUMBER(R79),ISNUMBER(R75)),VLOOKUP(ABS(R79-R75),'IMP Table'!$A$2:$C$26,3)*SIGN(R79-R75),0)</f>
        <v/>
      </c>
      <c r="AI79" s="15">
        <f>IF(AND(ISNUMBER(R79),ISNUMBER(R76)),VLOOKUP(ABS(R79-R76),'IMP Table'!$A$2:$C$26,3)*SIGN(R79-R76),0)</f>
        <v/>
      </c>
      <c r="AJ79" s="15">
        <f>IF(AND(ISNUMBER(R79),ISNUMBER(R77)),VLOOKUP(ABS(R79-R77),'IMP Table'!$A$2:$C$26,3)*SIGN(R79-R77),0)</f>
        <v/>
      </c>
      <c r="AK79" s="15">
        <f>IF(AND(ISNUMBER(R79),ISNUMBER(R78)),VLOOKUP(ABS(R79-R78),'IMP Table'!$A$2:$C$26,3)*SIGN(R79-R78),0)</f>
        <v/>
      </c>
      <c r="AL79" s="15">
        <f>IF(AND(ISNUMBER(S79),ISNUMBER(S73)),VLOOKUP(ABS(S79-S73),'IMP Table'!$A$2:$C$26,3)*SIGN(S79-S73),0)</f>
        <v/>
      </c>
      <c r="AM79" s="15">
        <f>IF(AND(ISNUMBER(S79),ISNUMBER(S74)),VLOOKUP(ABS(S79-S74),'IMP Table'!$A$2:$C$26,3)*SIGN(S79-S74),0)</f>
        <v/>
      </c>
      <c r="AN79" s="15">
        <f>IF(AND(ISNUMBER(S79),ISNUMBER(S75)),VLOOKUP(ABS(S79-S75),'IMP Table'!$A$2:$C$26,3)*SIGN(S79-S75),0)</f>
        <v/>
      </c>
      <c r="AO79" s="15">
        <f>IF(AND(ISNUMBER(S79),ISNUMBER(S76)),VLOOKUP(ABS(S79-S76),'IMP Table'!$A$2:$C$26,3)*SIGN(S79-S76),0)</f>
        <v/>
      </c>
      <c r="AP79" s="15">
        <f>IF(AND(ISNUMBER(S79),ISNUMBER(S77)),VLOOKUP(ABS(S79-S77),'IMP Table'!$A$2:$C$26,3)*SIGN(S79-S77),0)</f>
        <v/>
      </c>
      <c r="AQ79" s="15">
        <f>IF(AND(ISNUMBER(S79),ISNUMBER(S78)),VLOOKUP(ABS(S79-S78),'IMP Table'!$A$2:$C$26,3)*SIGN(S79-S78),0)</f>
        <v/>
      </c>
    </row>
    <row r="80">
      <c r="A80" t="n">
        <v>12</v>
      </c>
      <c r="B80">
        <f>'By Round'!A17</f>
        <v/>
      </c>
      <c r="C80">
        <f>'By Round'!B23</f>
        <v/>
      </c>
      <c r="D80">
        <f>'By Round'!C23</f>
        <v/>
      </c>
      <c r="E80">
        <f>'By Round'!D23</f>
        <v/>
      </c>
      <c r="F80" s="11" t="inlineStr">
        <is>
          <t>NS</t>
        </is>
      </c>
      <c r="G80">
        <f>IF(ISBLANK('By Round'!G23),"",'By Round'!G23)</f>
        <v/>
      </c>
      <c r="H80">
        <f>IF(ISBLANK('By Round'!H23),"",'By Round'!H23)</f>
        <v/>
      </c>
      <c r="I80">
        <f>IF(ISBLANK('By Round'!I23),"",'By Round'!I23)</f>
        <v/>
      </c>
      <c r="J80">
        <f>IF(ISBLANK('By Round'!J23),"",'By Round'!J23)</f>
        <v/>
      </c>
      <c r="K80">
        <f>IF(ISBLANK('By Round'!K23),"",'By Round'!K23)</f>
        <v/>
      </c>
      <c r="L80" s="12">
        <f>SUM(AF80:AK80)</f>
        <v/>
      </c>
      <c r="M80" s="13">
        <f>SUM(AL80:AQ80)</f>
        <v/>
      </c>
      <c r="N80" s="8">
        <f>IF(COUNT(T80:Y80)&gt;0,P80/COUNT(T80:Y80),0.5)</f>
        <v/>
      </c>
      <c r="O80" s="8">
        <f>IF(COUNT(Z80:AE80)&gt;0,Q80/COUNT(Z80:AE80),0.5)</f>
        <v/>
      </c>
      <c r="P80" s="5">
        <f>SUM(T80:Y80)</f>
        <v/>
      </c>
      <c r="Q80" s="5">
        <f>SUM(Z80:AE80)</f>
        <v/>
      </c>
      <c r="R80" s="14">
        <f>IF(ISNUMBER(J80),J80,IF(ISNUMBER(K80),-K80,""))</f>
        <v/>
      </c>
      <c r="S80">
        <f>IF(ISNUMBER(K80),K80,IF(ISNUMBER(J80),-J80,""))</f>
        <v/>
      </c>
      <c r="T80" s="14">
        <f>IF(ISNUMBER(R80),IF(ISNUMBER(R81),IF(R80&gt;R81,1.0,IF(R80=R81,0.5,0.0)),""),"")</f>
        <v/>
      </c>
      <c r="U80">
        <f>IF(ISNUMBER(R80),IF(ISNUMBER(R82),IF(R80&gt;R82,1.0,IF(R80=R82,0.5,0.0)),""),"")</f>
        <v/>
      </c>
      <c r="V80">
        <f>IF(ISNUMBER(R80),IF(ISNUMBER(R83),IF(R80&gt;R83,1.0,IF(R80=R83,0.5,0.0)),""),"")</f>
        <v/>
      </c>
      <c r="W80">
        <f>IF(ISNUMBER(R80),IF(ISNUMBER(R84),IF(R80&gt;R84,1.0,IF(R80=R84,0.5,0.0)),""),"")</f>
        <v/>
      </c>
      <c r="X80">
        <f>IF(ISNUMBER(R80),IF(ISNUMBER(R85),IF(R80&gt;R85,1.0,IF(R80=R85,0.5,0.0)),""),"")</f>
        <v/>
      </c>
      <c r="Y80">
        <f>IF(ISNUMBER(R80),IF(ISNUMBER(R86),IF(R80&gt;R86,1.0,IF(R80=R86,0.5,0.0)),""),"")</f>
        <v/>
      </c>
      <c r="Z80">
        <f>IF(ISNUMBER(S80),IF(ISNUMBER(S81),IF(S80&gt;S81,1.0,IF(S80=S81,0.5,0.0)),""),"")</f>
        <v/>
      </c>
      <c r="AA80">
        <f>IF(ISNUMBER(S80),IF(ISNUMBER(S82),IF(S80&gt;S82,1.0,IF(S80=S82,0.5,0.0)),""),"")</f>
        <v/>
      </c>
      <c r="AB80">
        <f>IF(ISNUMBER(S80),IF(ISNUMBER(S83),IF(S80&gt;S83,1.0,IF(S80=S83,0.5,0.0)),""),"")</f>
        <v/>
      </c>
      <c r="AC80">
        <f>IF(ISNUMBER(S80),IF(ISNUMBER(S84),IF(S80&gt;S84,1.0,IF(S80=S84,0.5,0.0)),""),"")</f>
        <v/>
      </c>
      <c r="AD80">
        <f>IF(ISNUMBER(S80),IF(ISNUMBER(S85),IF(S80&gt;S85,1.0,IF(S80=S85,0.5,0.0)),""),"")</f>
        <v/>
      </c>
      <c r="AE80">
        <f>IF(ISNUMBER(S80),IF(ISNUMBER(S86),IF(S80&gt;S86,1.0,IF(S80=S86,0.5,0.0)),""),"")</f>
        <v/>
      </c>
      <c r="AF80" s="14">
        <f>IF(AND(ISNUMBER(R80),ISNUMBER(R81)),VLOOKUP(ABS(R80-R81),'IMP Table'!$A$2:$C$26,3)*SIGN(R80-R81),0)</f>
        <v/>
      </c>
      <c r="AG80">
        <f>IF(AND(ISNUMBER(R80),ISNUMBER(R82)),VLOOKUP(ABS(R80-R82),'IMP Table'!$A$2:$C$26,3)*SIGN(R80-R82),0)</f>
        <v/>
      </c>
      <c r="AH80">
        <f>IF(AND(ISNUMBER(R80),ISNUMBER(R83)),VLOOKUP(ABS(R80-R83),'IMP Table'!$A$2:$C$26,3)*SIGN(R80-R83),0)</f>
        <v/>
      </c>
      <c r="AI80">
        <f>IF(AND(ISNUMBER(R80),ISNUMBER(R84)),VLOOKUP(ABS(R80-R84),'IMP Table'!$A$2:$C$26,3)*SIGN(R80-R84),0)</f>
        <v/>
      </c>
      <c r="AJ80">
        <f>IF(AND(ISNUMBER(R80),ISNUMBER(R85)),VLOOKUP(ABS(R80-R85),'IMP Table'!$A$2:$C$26,3)*SIGN(R80-R85),0)</f>
        <v/>
      </c>
      <c r="AK80">
        <f>IF(AND(ISNUMBER(R80),ISNUMBER(R86)),VLOOKUP(ABS(R80-R86),'IMP Table'!$A$2:$C$26,3)*SIGN(R80-R86),0)</f>
        <v/>
      </c>
      <c r="AL80">
        <f>IF(AND(ISNUMBER(S80),ISNUMBER(S81)),VLOOKUP(ABS(S80-S81),'IMP Table'!$A$2:$C$26,3)*SIGN(S80-S81),0)</f>
        <v/>
      </c>
      <c r="AM80">
        <f>IF(AND(ISNUMBER(S80),ISNUMBER(S82)),VLOOKUP(ABS(S80-S82),'IMP Table'!$A$2:$C$26,3)*SIGN(S80-S82),0)</f>
        <v/>
      </c>
      <c r="AN80">
        <f>IF(AND(ISNUMBER(S80),ISNUMBER(S83)),VLOOKUP(ABS(S80-S83),'IMP Table'!$A$2:$C$26,3)*SIGN(S80-S83),0)</f>
        <v/>
      </c>
      <c r="AO80">
        <f>IF(AND(ISNUMBER(S80),ISNUMBER(S84)),VLOOKUP(ABS(S80-S84),'IMP Table'!$A$2:$C$26,3)*SIGN(S80-S84),0)</f>
        <v/>
      </c>
      <c r="AP80">
        <f>IF(AND(ISNUMBER(S80),ISNUMBER(S85)),VLOOKUP(ABS(S80-S85),'IMP Table'!$A$2:$C$26,3)*SIGN(S80-S85),0)</f>
        <v/>
      </c>
      <c r="AQ80">
        <f>IF(AND(ISNUMBER(S80),ISNUMBER(S86)),VLOOKUP(ABS(S80-S86),'IMP Table'!$A$2:$C$26,3)*SIGN(S80-S86),0)</f>
        <v/>
      </c>
    </row>
    <row r="81">
      <c r="B81">
        <f>'By Round'!A31</f>
        <v/>
      </c>
      <c r="C81">
        <f>'By Round'!B35</f>
        <v/>
      </c>
      <c r="D81">
        <f>'By Round'!C35</f>
        <v/>
      </c>
      <c r="E81">
        <f>'By Round'!D35</f>
        <v/>
      </c>
      <c r="F81" s="11" t="inlineStr">
        <is>
          <t>NS</t>
        </is>
      </c>
      <c r="G81">
        <f>IF(ISBLANK('By Round'!G35),"",'By Round'!G35)</f>
        <v/>
      </c>
      <c r="H81">
        <f>IF(ISBLANK('By Round'!H35),"",'By Round'!H35)</f>
        <v/>
      </c>
      <c r="I81">
        <f>IF(ISBLANK('By Round'!I35),"",'By Round'!I35)</f>
        <v/>
      </c>
      <c r="J81">
        <f>IF(ISBLANK('By Round'!J35),"",'By Round'!J35)</f>
        <v/>
      </c>
      <c r="K81">
        <f>IF(ISBLANK('By Round'!K35),"",'By Round'!K35)</f>
        <v/>
      </c>
      <c r="L81" s="12">
        <f>SUM(AF81:AK81)</f>
        <v/>
      </c>
      <c r="M81" s="13">
        <f>SUM(AL81:AQ81)</f>
        <v/>
      </c>
      <c r="N81" s="8">
        <f>IF(COUNT(T81:Y81)&gt;0,P81/COUNT(T81:Y81),0.5)</f>
        <v/>
      </c>
      <c r="O81" s="8">
        <f>IF(COUNT(Z81:AE81)&gt;0,Q81/COUNT(Z81:AE81),0.5)</f>
        <v/>
      </c>
      <c r="P81" s="5">
        <f>SUM(T81:Y81)</f>
        <v/>
      </c>
      <c r="Q81" s="5">
        <f>SUM(Z81:AE81)</f>
        <v/>
      </c>
      <c r="R81" s="14">
        <f>IF(ISNUMBER(J81),J81,IF(ISNUMBER(K81),-K81,""))</f>
        <v/>
      </c>
      <c r="S81">
        <f>IF(ISNUMBER(K81),K81,IF(ISNUMBER(J81),-J81,""))</f>
        <v/>
      </c>
      <c r="T81" s="14">
        <f>IF(ISNUMBER(R81),IF(ISNUMBER(R80),IF(R81&gt;R80,1.0,IF(R81=R80,0.5,0.0)),""),"")</f>
        <v/>
      </c>
      <c r="U81">
        <f>IF(ISNUMBER(R81),IF(ISNUMBER(R82),IF(R81&gt;R82,1.0,IF(R81=R82,0.5,0.0)),""),"")</f>
        <v/>
      </c>
      <c r="V81">
        <f>IF(ISNUMBER(R81),IF(ISNUMBER(R83),IF(R81&gt;R83,1.0,IF(R81=R83,0.5,0.0)),""),"")</f>
        <v/>
      </c>
      <c r="W81">
        <f>IF(ISNUMBER(R81),IF(ISNUMBER(R84),IF(R81&gt;R84,1.0,IF(R81=R84,0.5,0.0)),""),"")</f>
        <v/>
      </c>
      <c r="X81">
        <f>IF(ISNUMBER(R81),IF(ISNUMBER(R85),IF(R81&gt;R85,1.0,IF(R81=R85,0.5,0.0)),""),"")</f>
        <v/>
      </c>
      <c r="Y81">
        <f>IF(ISNUMBER(R81),IF(ISNUMBER(R86),IF(R81&gt;R86,1.0,IF(R81=R86,0.5,0.0)),""),"")</f>
        <v/>
      </c>
      <c r="Z81">
        <f>IF(ISNUMBER(S81),IF(ISNUMBER(S80),IF(S81&gt;S80,1.0,IF(S81=S80,0.5,0.0)),""),"")</f>
        <v/>
      </c>
      <c r="AA81">
        <f>IF(ISNUMBER(S81),IF(ISNUMBER(S82),IF(S81&gt;S82,1.0,IF(S81=S82,0.5,0.0)),""),"")</f>
        <v/>
      </c>
      <c r="AB81">
        <f>IF(ISNUMBER(S81),IF(ISNUMBER(S83),IF(S81&gt;S83,1.0,IF(S81=S83,0.5,0.0)),""),"")</f>
        <v/>
      </c>
      <c r="AC81">
        <f>IF(ISNUMBER(S81),IF(ISNUMBER(S84),IF(S81&gt;S84,1.0,IF(S81=S84,0.5,0.0)),""),"")</f>
        <v/>
      </c>
      <c r="AD81">
        <f>IF(ISNUMBER(S81),IF(ISNUMBER(S85),IF(S81&gt;S85,1.0,IF(S81=S85,0.5,0.0)),""),"")</f>
        <v/>
      </c>
      <c r="AE81">
        <f>IF(ISNUMBER(S81),IF(ISNUMBER(S86),IF(S81&gt;S86,1.0,IF(S81=S86,0.5,0.0)),""),"")</f>
        <v/>
      </c>
      <c r="AF81" s="14">
        <f>IF(AND(ISNUMBER(R81),ISNUMBER(R80)),VLOOKUP(ABS(R81-R80),'IMP Table'!$A$2:$C$26,3)*SIGN(R81-R80),0)</f>
        <v/>
      </c>
      <c r="AG81">
        <f>IF(AND(ISNUMBER(R81),ISNUMBER(R82)),VLOOKUP(ABS(R81-R82),'IMP Table'!$A$2:$C$26,3)*SIGN(R81-R82),0)</f>
        <v/>
      </c>
      <c r="AH81">
        <f>IF(AND(ISNUMBER(R81),ISNUMBER(R83)),VLOOKUP(ABS(R81-R83),'IMP Table'!$A$2:$C$26,3)*SIGN(R81-R83),0)</f>
        <v/>
      </c>
      <c r="AI81">
        <f>IF(AND(ISNUMBER(R81),ISNUMBER(R84)),VLOOKUP(ABS(R81-R84),'IMP Table'!$A$2:$C$26,3)*SIGN(R81-R84),0)</f>
        <v/>
      </c>
      <c r="AJ81">
        <f>IF(AND(ISNUMBER(R81),ISNUMBER(R85)),VLOOKUP(ABS(R81-R85),'IMP Table'!$A$2:$C$26,3)*SIGN(R81-R85),0)</f>
        <v/>
      </c>
      <c r="AK81">
        <f>IF(AND(ISNUMBER(R81),ISNUMBER(R86)),VLOOKUP(ABS(R81-R86),'IMP Table'!$A$2:$C$26,3)*SIGN(R81-R86),0)</f>
        <v/>
      </c>
      <c r="AL81">
        <f>IF(AND(ISNUMBER(S81),ISNUMBER(S80)),VLOOKUP(ABS(S81-S80),'IMP Table'!$A$2:$C$26,3)*SIGN(S81-S80),0)</f>
        <v/>
      </c>
      <c r="AM81">
        <f>IF(AND(ISNUMBER(S81),ISNUMBER(S82)),VLOOKUP(ABS(S81-S82),'IMP Table'!$A$2:$C$26,3)*SIGN(S81-S82),0)</f>
        <v/>
      </c>
      <c r="AN81">
        <f>IF(AND(ISNUMBER(S81),ISNUMBER(S83)),VLOOKUP(ABS(S81-S83),'IMP Table'!$A$2:$C$26,3)*SIGN(S81-S83),0)</f>
        <v/>
      </c>
      <c r="AO81">
        <f>IF(AND(ISNUMBER(S81),ISNUMBER(S84)),VLOOKUP(ABS(S81-S84),'IMP Table'!$A$2:$C$26,3)*SIGN(S81-S84),0)</f>
        <v/>
      </c>
      <c r="AP81">
        <f>IF(AND(ISNUMBER(S81),ISNUMBER(S85)),VLOOKUP(ABS(S81-S85),'IMP Table'!$A$2:$C$26,3)*SIGN(S81-S85),0)</f>
        <v/>
      </c>
      <c r="AQ81">
        <f>IF(AND(ISNUMBER(S81),ISNUMBER(S86)),VLOOKUP(ABS(S81-S86),'IMP Table'!$A$2:$C$26,3)*SIGN(S81-S86),0)</f>
        <v/>
      </c>
    </row>
    <row r="82">
      <c r="B82">
        <f>'By Round'!A45</f>
        <v/>
      </c>
      <c r="C82">
        <f>'By Round'!B47</f>
        <v/>
      </c>
      <c r="D82">
        <f>'By Round'!C47</f>
        <v/>
      </c>
      <c r="E82">
        <f>'By Round'!D47</f>
        <v/>
      </c>
      <c r="F82" s="11" t="inlineStr">
        <is>
          <t>NS</t>
        </is>
      </c>
      <c r="G82">
        <f>IF(ISBLANK('By Round'!G47),"",'By Round'!G47)</f>
        <v/>
      </c>
      <c r="H82">
        <f>IF(ISBLANK('By Round'!H47),"",'By Round'!H47)</f>
        <v/>
      </c>
      <c r="I82">
        <f>IF(ISBLANK('By Round'!I47),"",'By Round'!I47)</f>
        <v/>
      </c>
      <c r="J82">
        <f>IF(ISBLANK('By Round'!J47),"",'By Round'!J47)</f>
        <v/>
      </c>
      <c r="K82">
        <f>IF(ISBLANK('By Round'!K47),"",'By Round'!K47)</f>
        <v/>
      </c>
      <c r="L82" s="12">
        <f>SUM(AF82:AK82)</f>
        <v/>
      </c>
      <c r="M82" s="13">
        <f>SUM(AL82:AQ82)</f>
        <v/>
      </c>
      <c r="N82" s="8">
        <f>IF(COUNT(T82:Y82)&gt;0,P82/COUNT(T82:Y82),0.5)</f>
        <v/>
      </c>
      <c r="O82" s="8">
        <f>IF(COUNT(Z82:AE82)&gt;0,Q82/COUNT(Z82:AE82),0.5)</f>
        <v/>
      </c>
      <c r="P82" s="5">
        <f>SUM(T82:Y82)</f>
        <v/>
      </c>
      <c r="Q82" s="5">
        <f>SUM(Z82:AE82)</f>
        <v/>
      </c>
      <c r="R82" s="14">
        <f>IF(ISNUMBER(J82),J82,IF(ISNUMBER(K82),-K82,""))</f>
        <v/>
      </c>
      <c r="S82">
        <f>IF(ISNUMBER(K82),K82,IF(ISNUMBER(J82),-J82,""))</f>
        <v/>
      </c>
      <c r="T82" s="14">
        <f>IF(ISNUMBER(R82),IF(ISNUMBER(R80),IF(R82&gt;R80,1.0,IF(R82=R80,0.5,0.0)),""),"")</f>
        <v/>
      </c>
      <c r="U82">
        <f>IF(ISNUMBER(R82),IF(ISNUMBER(R81),IF(R82&gt;R81,1.0,IF(R82=R81,0.5,0.0)),""),"")</f>
        <v/>
      </c>
      <c r="V82">
        <f>IF(ISNUMBER(R82),IF(ISNUMBER(R83),IF(R82&gt;R83,1.0,IF(R82=R83,0.5,0.0)),""),"")</f>
        <v/>
      </c>
      <c r="W82">
        <f>IF(ISNUMBER(R82),IF(ISNUMBER(R84),IF(R82&gt;R84,1.0,IF(R82=R84,0.5,0.0)),""),"")</f>
        <v/>
      </c>
      <c r="X82">
        <f>IF(ISNUMBER(R82),IF(ISNUMBER(R85),IF(R82&gt;R85,1.0,IF(R82=R85,0.5,0.0)),""),"")</f>
        <v/>
      </c>
      <c r="Y82">
        <f>IF(ISNUMBER(R82),IF(ISNUMBER(R86),IF(R82&gt;R86,1.0,IF(R82=R86,0.5,0.0)),""),"")</f>
        <v/>
      </c>
      <c r="Z82">
        <f>IF(ISNUMBER(S82),IF(ISNUMBER(S80),IF(S82&gt;S80,1.0,IF(S82=S80,0.5,0.0)),""),"")</f>
        <v/>
      </c>
      <c r="AA82">
        <f>IF(ISNUMBER(S82),IF(ISNUMBER(S81),IF(S82&gt;S81,1.0,IF(S82=S81,0.5,0.0)),""),"")</f>
        <v/>
      </c>
      <c r="AB82">
        <f>IF(ISNUMBER(S82),IF(ISNUMBER(S83),IF(S82&gt;S83,1.0,IF(S82=S83,0.5,0.0)),""),"")</f>
        <v/>
      </c>
      <c r="AC82">
        <f>IF(ISNUMBER(S82),IF(ISNUMBER(S84),IF(S82&gt;S84,1.0,IF(S82=S84,0.5,0.0)),""),"")</f>
        <v/>
      </c>
      <c r="AD82">
        <f>IF(ISNUMBER(S82),IF(ISNUMBER(S85),IF(S82&gt;S85,1.0,IF(S82=S85,0.5,0.0)),""),"")</f>
        <v/>
      </c>
      <c r="AE82">
        <f>IF(ISNUMBER(S82),IF(ISNUMBER(S86),IF(S82&gt;S86,1.0,IF(S82=S86,0.5,0.0)),""),"")</f>
        <v/>
      </c>
      <c r="AF82" s="14">
        <f>IF(AND(ISNUMBER(R82),ISNUMBER(R80)),VLOOKUP(ABS(R82-R80),'IMP Table'!$A$2:$C$26,3)*SIGN(R82-R80),0)</f>
        <v/>
      </c>
      <c r="AG82">
        <f>IF(AND(ISNUMBER(R82),ISNUMBER(R81)),VLOOKUP(ABS(R82-R81),'IMP Table'!$A$2:$C$26,3)*SIGN(R82-R81),0)</f>
        <v/>
      </c>
      <c r="AH82">
        <f>IF(AND(ISNUMBER(R82),ISNUMBER(R83)),VLOOKUP(ABS(R82-R83),'IMP Table'!$A$2:$C$26,3)*SIGN(R82-R83),0)</f>
        <v/>
      </c>
      <c r="AI82">
        <f>IF(AND(ISNUMBER(R82),ISNUMBER(R84)),VLOOKUP(ABS(R82-R84),'IMP Table'!$A$2:$C$26,3)*SIGN(R82-R84),0)</f>
        <v/>
      </c>
      <c r="AJ82">
        <f>IF(AND(ISNUMBER(R82),ISNUMBER(R85)),VLOOKUP(ABS(R82-R85),'IMP Table'!$A$2:$C$26,3)*SIGN(R82-R85),0)</f>
        <v/>
      </c>
      <c r="AK82">
        <f>IF(AND(ISNUMBER(R82),ISNUMBER(R86)),VLOOKUP(ABS(R82-R86),'IMP Table'!$A$2:$C$26,3)*SIGN(R82-R86),0)</f>
        <v/>
      </c>
      <c r="AL82">
        <f>IF(AND(ISNUMBER(S82),ISNUMBER(S80)),VLOOKUP(ABS(S82-S80),'IMP Table'!$A$2:$C$26,3)*SIGN(S82-S80),0)</f>
        <v/>
      </c>
      <c r="AM82">
        <f>IF(AND(ISNUMBER(S82),ISNUMBER(S81)),VLOOKUP(ABS(S82-S81),'IMP Table'!$A$2:$C$26,3)*SIGN(S82-S81),0)</f>
        <v/>
      </c>
      <c r="AN82">
        <f>IF(AND(ISNUMBER(S82),ISNUMBER(S83)),VLOOKUP(ABS(S82-S83),'IMP Table'!$A$2:$C$26,3)*SIGN(S82-S83),0)</f>
        <v/>
      </c>
      <c r="AO82">
        <f>IF(AND(ISNUMBER(S82),ISNUMBER(S84)),VLOOKUP(ABS(S82-S84),'IMP Table'!$A$2:$C$26,3)*SIGN(S82-S84),0)</f>
        <v/>
      </c>
      <c r="AP82">
        <f>IF(AND(ISNUMBER(S82),ISNUMBER(S85)),VLOOKUP(ABS(S82-S85),'IMP Table'!$A$2:$C$26,3)*SIGN(S82-S85),0)</f>
        <v/>
      </c>
      <c r="AQ82">
        <f>IF(AND(ISNUMBER(S82),ISNUMBER(S86)),VLOOKUP(ABS(S82-S86),'IMP Table'!$A$2:$C$26,3)*SIGN(S82-S86),0)</f>
        <v/>
      </c>
    </row>
    <row r="83">
      <c r="B83">
        <f>'By Round'!A73</f>
        <v/>
      </c>
      <c r="C83">
        <f>'By Round'!B73</f>
        <v/>
      </c>
      <c r="D83">
        <f>'By Round'!C73</f>
        <v/>
      </c>
      <c r="E83">
        <f>'By Round'!D73</f>
        <v/>
      </c>
      <c r="F83" s="11" t="inlineStr">
        <is>
          <t>NS</t>
        </is>
      </c>
      <c r="G83">
        <f>IF(ISBLANK('By Round'!G73),"",'By Round'!G73)</f>
        <v/>
      </c>
      <c r="H83">
        <f>IF(ISBLANK('By Round'!H73),"",'By Round'!H73)</f>
        <v/>
      </c>
      <c r="I83">
        <f>IF(ISBLANK('By Round'!I73),"",'By Round'!I73)</f>
        <v/>
      </c>
      <c r="J83">
        <f>IF(ISBLANK('By Round'!J73),"",'By Round'!J73)</f>
        <v/>
      </c>
      <c r="K83">
        <f>IF(ISBLANK('By Round'!K73),"",'By Round'!K73)</f>
        <v/>
      </c>
      <c r="L83" s="12">
        <f>SUM(AF83:AK83)</f>
        <v/>
      </c>
      <c r="M83" s="13">
        <f>SUM(AL83:AQ83)</f>
        <v/>
      </c>
      <c r="N83" s="8">
        <f>IF(COUNT(T83:Y83)&gt;0,P83/COUNT(T83:Y83),0.5)</f>
        <v/>
      </c>
      <c r="O83" s="8">
        <f>IF(COUNT(Z83:AE83)&gt;0,Q83/COUNT(Z83:AE83),0.5)</f>
        <v/>
      </c>
      <c r="P83" s="5">
        <f>SUM(T83:Y83)</f>
        <v/>
      </c>
      <c r="Q83" s="5">
        <f>SUM(Z83:AE83)</f>
        <v/>
      </c>
      <c r="R83" s="14">
        <f>IF(ISNUMBER(J83),J83,IF(ISNUMBER(K83),-K83,""))</f>
        <v/>
      </c>
      <c r="S83">
        <f>IF(ISNUMBER(K83),K83,IF(ISNUMBER(J83),-J83,""))</f>
        <v/>
      </c>
      <c r="T83" s="14">
        <f>IF(ISNUMBER(R83),IF(ISNUMBER(R80),IF(R83&gt;R80,1.0,IF(R83=R80,0.5,0.0)),""),"")</f>
        <v/>
      </c>
      <c r="U83">
        <f>IF(ISNUMBER(R83),IF(ISNUMBER(R81),IF(R83&gt;R81,1.0,IF(R83=R81,0.5,0.0)),""),"")</f>
        <v/>
      </c>
      <c r="V83">
        <f>IF(ISNUMBER(R83),IF(ISNUMBER(R82),IF(R83&gt;R82,1.0,IF(R83=R82,0.5,0.0)),""),"")</f>
        <v/>
      </c>
      <c r="W83">
        <f>IF(ISNUMBER(R83),IF(ISNUMBER(R84),IF(R83&gt;R84,1.0,IF(R83=R84,0.5,0.0)),""),"")</f>
        <v/>
      </c>
      <c r="X83">
        <f>IF(ISNUMBER(R83),IF(ISNUMBER(R85),IF(R83&gt;R85,1.0,IF(R83=R85,0.5,0.0)),""),"")</f>
        <v/>
      </c>
      <c r="Y83">
        <f>IF(ISNUMBER(R83),IF(ISNUMBER(R86),IF(R83&gt;R86,1.0,IF(R83=R86,0.5,0.0)),""),"")</f>
        <v/>
      </c>
      <c r="Z83">
        <f>IF(ISNUMBER(S83),IF(ISNUMBER(S80),IF(S83&gt;S80,1.0,IF(S83=S80,0.5,0.0)),""),"")</f>
        <v/>
      </c>
      <c r="AA83">
        <f>IF(ISNUMBER(S83),IF(ISNUMBER(S81),IF(S83&gt;S81,1.0,IF(S83=S81,0.5,0.0)),""),"")</f>
        <v/>
      </c>
      <c r="AB83">
        <f>IF(ISNUMBER(S83),IF(ISNUMBER(S82),IF(S83&gt;S82,1.0,IF(S83=S82,0.5,0.0)),""),"")</f>
        <v/>
      </c>
      <c r="AC83">
        <f>IF(ISNUMBER(S83),IF(ISNUMBER(S84),IF(S83&gt;S84,1.0,IF(S83=S84,0.5,0.0)),""),"")</f>
        <v/>
      </c>
      <c r="AD83">
        <f>IF(ISNUMBER(S83),IF(ISNUMBER(S85),IF(S83&gt;S85,1.0,IF(S83=S85,0.5,0.0)),""),"")</f>
        <v/>
      </c>
      <c r="AE83">
        <f>IF(ISNUMBER(S83),IF(ISNUMBER(S86),IF(S83&gt;S86,1.0,IF(S83=S86,0.5,0.0)),""),"")</f>
        <v/>
      </c>
      <c r="AF83" s="14">
        <f>IF(AND(ISNUMBER(R83),ISNUMBER(R80)),VLOOKUP(ABS(R83-R80),'IMP Table'!$A$2:$C$26,3)*SIGN(R83-R80),0)</f>
        <v/>
      </c>
      <c r="AG83">
        <f>IF(AND(ISNUMBER(R83),ISNUMBER(R81)),VLOOKUP(ABS(R83-R81),'IMP Table'!$A$2:$C$26,3)*SIGN(R83-R81),0)</f>
        <v/>
      </c>
      <c r="AH83">
        <f>IF(AND(ISNUMBER(R83),ISNUMBER(R82)),VLOOKUP(ABS(R83-R82),'IMP Table'!$A$2:$C$26,3)*SIGN(R83-R82),0)</f>
        <v/>
      </c>
      <c r="AI83">
        <f>IF(AND(ISNUMBER(R83),ISNUMBER(R84)),VLOOKUP(ABS(R83-R84),'IMP Table'!$A$2:$C$26,3)*SIGN(R83-R84),0)</f>
        <v/>
      </c>
      <c r="AJ83">
        <f>IF(AND(ISNUMBER(R83),ISNUMBER(R85)),VLOOKUP(ABS(R83-R85),'IMP Table'!$A$2:$C$26,3)*SIGN(R83-R85),0)</f>
        <v/>
      </c>
      <c r="AK83">
        <f>IF(AND(ISNUMBER(R83),ISNUMBER(R86)),VLOOKUP(ABS(R83-R86),'IMP Table'!$A$2:$C$26,3)*SIGN(R83-R86),0)</f>
        <v/>
      </c>
      <c r="AL83">
        <f>IF(AND(ISNUMBER(S83),ISNUMBER(S80)),VLOOKUP(ABS(S83-S80),'IMP Table'!$A$2:$C$26,3)*SIGN(S83-S80),0)</f>
        <v/>
      </c>
      <c r="AM83">
        <f>IF(AND(ISNUMBER(S83),ISNUMBER(S81)),VLOOKUP(ABS(S83-S81),'IMP Table'!$A$2:$C$26,3)*SIGN(S83-S81),0)</f>
        <v/>
      </c>
      <c r="AN83">
        <f>IF(AND(ISNUMBER(S83),ISNUMBER(S82)),VLOOKUP(ABS(S83-S82),'IMP Table'!$A$2:$C$26,3)*SIGN(S83-S82),0)</f>
        <v/>
      </c>
      <c r="AO83">
        <f>IF(AND(ISNUMBER(S83),ISNUMBER(S84)),VLOOKUP(ABS(S83-S84),'IMP Table'!$A$2:$C$26,3)*SIGN(S83-S84),0)</f>
        <v/>
      </c>
      <c r="AP83">
        <f>IF(AND(ISNUMBER(S83),ISNUMBER(S85)),VLOOKUP(ABS(S83-S85),'IMP Table'!$A$2:$C$26,3)*SIGN(S83-S85),0)</f>
        <v/>
      </c>
      <c r="AQ83">
        <f>IF(AND(ISNUMBER(S83),ISNUMBER(S86)),VLOOKUP(ABS(S83-S86),'IMP Table'!$A$2:$C$26,3)*SIGN(S83-S86),0)</f>
        <v/>
      </c>
    </row>
    <row r="84">
      <c r="B84">
        <f>'By Round'!A101</f>
        <v/>
      </c>
      <c r="C84">
        <f>'By Round'!B113</f>
        <v/>
      </c>
      <c r="D84">
        <f>'By Round'!C113</f>
        <v/>
      </c>
      <c r="E84">
        <f>'By Round'!D113</f>
        <v/>
      </c>
      <c r="F84" s="11" t="inlineStr">
        <is>
          <t>NS</t>
        </is>
      </c>
      <c r="G84">
        <f>IF(ISBLANK('By Round'!G113),"",'By Round'!G113)</f>
        <v/>
      </c>
      <c r="H84">
        <f>IF(ISBLANK('By Round'!H113),"",'By Round'!H113)</f>
        <v/>
      </c>
      <c r="I84">
        <f>IF(ISBLANK('By Round'!I113),"",'By Round'!I113)</f>
        <v/>
      </c>
      <c r="J84">
        <f>IF(ISBLANK('By Round'!J113),"",'By Round'!J113)</f>
        <v/>
      </c>
      <c r="K84">
        <f>IF(ISBLANK('By Round'!K113),"",'By Round'!K113)</f>
        <v/>
      </c>
      <c r="L84" s="12">
        <f>SUM(AF84:AK84)</f>
        <v/>
      </c>
      <c r="M84" s="13">
        <f>SUM(AL84:AQ84)</f>
        <v/>
      </c>
      <c r="N84" s="8">
        <f>IF(COUNT(T84:Y84)&gt;0,P84/COUNT(T84:Y84),0.5)</f>
        <v/>
      </c>
      <c r="O84" s="8">
        <f>IF(COUNT(Z84:AE84)&gt;0,Q84/COUNT(Z84:AE84),0.5)</f>
        <v/>
      </c>
      <c r="P84" s="5">
        <f>SUM(T84:Y84)</f>
        <v/>
      </c>
      <c r="Q84" s="5">
        <f>SUM(Z84:AE84)</f>
        <v/>
      </c>
      <c r="R84" s="14">
        <f>IF(ISNUMBER(J84),J84,IF(ISNUMBER(K84),-K84,""))</f>
        <v/>
      </c>
      <c r="S84">
        <f>IF(ISNUMBER(K84),K84,IF(ISNUMBER(J84),-J84,""))</f>
        <v/>
      </c>
      <c r="T84" s="14">
        <f>IF(ISNUMBER(R84),IF(ISNUMBER(R80),IF(R84&gt;R80,1.0,IF(R84=R80,0.5,0.0)),""),"")</f>
        <v/>
      </c>
      <c r="U84">
        <f>IF(ISNUMBER(R84),IF(ISNUMBER(R81),IF(R84&gt;R81,1.0,IF(R84=R81,0.5,0.0)),""),"")</f>
        <v/>
      </c>
      <c r="V84">
        <f>IF(ISNUMBER(R84),IF(ISNUMBER(R82),IF(R84&gt;R82,1.0,IF(R84=R82,0.5,0.0)),""),"")</f>
        <v/>
      </c>
      <c r="W84">
        <f>IF(ISNUMBER(R84),IF(ISNUMBER(R83),IF(R84&gt;R83,1.0,IF(R84=R83,0.5,0.0)),""),"")</f>
        <v/>
      </c>
      <c r="X84">
        <f>IF(ISNUMBER(R84),IF(ISNUMBER(R85),IF(R84&gt;R85,1.0,IF(R84=R85,0.5,0.0)),""),"")</f>
        <v/>
      </c>
      <c r="Y84">
        <f>IF(ISNUMBER(R84),IF(ISNUMBER(R86),IF(R84&gt;R86,1.0,IF(R84=R86,0.5,0.0)),""),"")</f>
        <v/>
      </c>
      <c r="Z84">
        <f>IF(ISNUMBER(S84),IF(ISNUMBER(S80),IF(S84&gt;S80,1.0,IF(S84=S80,0.5,0.0)),""),"")</f>
        <v/>
      </c>
      <c r="AA84">
        <f>IF(ISNUMBER(S84),IF(ISNUMBER(S81),IF(S84&gt;S81,1.0,IF(S84=S81,0.5,0.0)),""),"")</f>
        <v/>
      </c>
      <c r="AB84">
        <f>IF(ISNUMBER(S84),IF(ISNUMBER(S82),IF(S84&gt;S82,1.0,IF(S84=S82,0.5,0.0)),""),"")</f>
        <v/>
      </c>
      <c r="AC84">
        <f>IF(ISNUMBER(S84),IF(ISNUMBER(S83),IF(S84&gt;S83,1.0,IF(S84=S83,0.5,0.0)),""),"")</f>
        <v/>
      </c>
      <c r="AD84">
        <f>IF(ISNUMBER(S84),IF(ISNUMBER(S85),IF(S84&gt;S85,1.0,IF(S84=S85,0.5,0.0)),""),"")</f>
        <v/>
      </c>
      <c r="AE84">
        <f>IF(ISNUMBER(S84),IF(ISNUMBER(S86),IF(S84&gt;S86,1.0,IF(S84=S86,0.5,0.0)),""),"")</f>
        <v/>
      </c>
      <c r="AF84" s="14">
        <f>IF(AND(ISNUMBER(R84),ISNUMBER(R80)),VLOOKUP(ABS(R84-R80),'IMP Table'!$A$2:$C$26,3)*SIGN(R84-R80),0)</f>
        <v/>
      </c>
      <c r="AG84">
        <f>IF(AND(ISNUMBER(R84),ISNUMBER(R81)),VLOOKUP(ABS(R84-R81),'IMP Table'!$A$2:$C$26,3)*SIGN(R84-R81),0)</f>
        <v/>
      </c>
      <c r="AH84">
        <f>IF(AND(ISNUMBER(R84),ISNUMBER(R82)),VLOOKUP(ABS(R84-R82),'IMP Table'!$A$2:$C$26,3)*SIGN(R84-R82),0)</f>
        <v/>
      </c>
      <c r="AI84">
        <f>IF(AND(ISNUMBER(R84),ISNUMBER(R83)),VLOOKUP(ABS(R84-R83),'IMP Table'!$A$2:$C$26,3)*SIGN(R84-R83),0)</f>
        <v/>
      </c>
      <c r="AJ84">
        <f>IF(AND(ISNUMBER(R84),ISNUMBER(R85)),VLOOKUP(ABS(R84-R85),'IMP Table'!$A$2:$C$26,3)*SIGN(R84-R85),0)</f>
        <v/>
      </c>
      <c r="AK84">
        <f>IF(AND(ISNUMBER(R84),ISNUMBER(R86)),VLOOKUP(ABS(R84-R86),'IMP Table'!$A$2:$C$26,3)*SIGN(R84-R86),0)</f>
        <v/>
      </c>
      <c r="AL84">
        <f>IF(AND(ISNUMBER(S84),ISNUMBER(S80)),VLOOKUP(ABS(S84-S80),'IMP Table'!$A$2:$C$26,3)*SIGN(S84-S80),0)</f>
        <v/>
      </c>
      <c r="AM84">
        <f>IF(AND(ISNUMBER(S84),ISNUMBER(S81)),VLOOKUP(ABS(S84-S81),'IMP Table'!$A$2:$C$26,3)*SIGN(S84-S81),0)</f>
        <v/>
      </c>
      <c r="AN84">
        <f>IF(AND(ISNUMBER(S84),ISNUMBER(S82)),VLOOKUP(ABS(S84-S82),'IMP Table'!$A$2:$C$26,3)*SIGN(S84-S82),0)</f>
        <v/>
      </c>
      <c r="AO84">
        <f>IF(AND(ISNUMBER(S84),ISNUMBER(S83)),VLOOKUP(ABS(S84-S83),'IMP Table'!$A$2:$C$26,3)*SIGN(S84-S83),0)</f>
        <v/>
      </c>
      <c r="AP84">
        <f>IF(AND(ISNUMBER(S84),ISNUMBER(S85)),VLOOKUP(ABS(S84-S85),'IMP Table'!$A$2:$C$26,3)*SIGN(S84-S85),0)</f>
        <v/>
      </c>
      <c r="AQ84">
        <f>IF(AND(ISNUMBER(S84),ISNUMBER(S86)),VLOOKUP(ABS(S84-S86),'IMP Table'!$A$2:$C$26,3)*SIGN(S84-S86),0)</f>
        <v/>
      </c>
    </row>
    <row r="85">
      <c r="B85">
        <f>'By Round'!A115</f>
        <v/>
      </c>
      <c r="C85">
        <f>'By Round'!B125</f>
        <v/>
      </c>
      <c r="D85">
        <f>'By Round'!C125</f>
        <v/>
      </c>
      <c r="E85">
        <f>'By Round'!D125</f>
        <v/>
      </c>
      <c r="F85" s="11" t="inlineStr">
        <is>
          <t>NS</t>
        </is>
      </c>
      <c r="G85">
        <f>IF(ISBLANK('By Round'!G125),"",'By Round'!G125)</f>
        <v/>
      </c>
      <c r="H85">
        <f>IF(ISBLANK('By Round'!H125),"",'By Round'!H125)</f>
        <v/>
      </c>
      <c r="I85">
        <f>IF(ISBLANK('By Round'!I125),"",'By Round'!I125)</f>
        <v/>
      </c>
      <c r="J85">
        <f>IF(ISBLANK('By Round'!J125),"",'By Round'!J125)</f>
        <v/>
      </c>
      <c r="K85">
        <f>IF(ISBLANK('By Round'!K125),"",'By Round'!K125)</f>
        <v/>
      </c>
      <c r="L85" s="12">
        <f>SUM(AF85:AK85)</f>
        <v/>
      </c>
      <c r="M85" s="13">
        <f>SUM(AL85:AQ85)</f>
        <v/>
      </c>
      <c r="N85" s="8">
        <f>IF(COUNT(T85:Y85)&gt;0,P85/COUNT(T85:Y85),0.5)</f>
        <v/>
      </c>
      <c r="O85" s="8">
        <f>IF(COUNT(Z85:AE85)&gt;0,Q85/COUNT(Z85:AE85),0.5)</f>
        <v/>
      </c>
      <c r="P85" s="5">
        <f>SUM(T85:Y85)</f>
        <v/>
      </c>
      <c r="Q85" s="5">
        <f>SUM(Z85:AE85)</f>
        <v/>
      </c>
      <c r="R85" s="14">
        <f>IF(ISNUMBER(J85),J85,IF(ISNUMBER(K85),-K85,""))</f>
        <v/>
      </c>
      <c r="S85">
        <f>IF(ISNUMBER(K85),K85,IF(ISNUMBER(J85),-J85,""))</f>
        <v/>
      </c>
      <c r="T85" s="14">
        <f>IF(ISNUMBER(R85),IF(ISNUMBER(R80),IF(R85&gt;R80,1.0,IF(R85=R80,0.5,0.0)),""),"")</f>
        <v/>
      </c>
      <c r="U85">
        <f>IF(ISNUMBER(R85),IF(ISNUMBER(R81),IF(R85&gt;R81,1.0,IF(R85=R81,0.5,0.0)),""),"")</f>
        <v/>
      </c>
      <c r="V85">
        <f>IF(ISNUMBER(R85),IF(ISNUMBER(R82),IF(R85&gt;R82,1.0,IF(R85=R82,0.5,0.0)),""),"")</f>
        <v/>
      </c>
      <c r="W85">
        <f>IF(ISNUMBER(R85),IF(ISNUMBER(R83),IF(R85&gt;R83,1.0,IF(R85=R83,0.5,0.0)),""),"")</f>
        <v/>
      </c>
      <c r="X85">
        <f>IF(ISNUMBER(R85),IF(ISNUMBER(R84),IF(R85&gt;R84,1.0,IF(R85=R84,0.5,0.0)),""),"")</f>
        <v/>
      </c>
      <c r="Y85">
        <f>IF(ISNUMBER(R85),IF(ISNUMBER(R86),IF(R85&gt;R86,1.0,IF(R85=R86,0.5,0.0)),""),"")</f>
        <v/>
      </c>
      <c r="Z85">
        <f>IF(ISNUMBER(S85),IF(ISNUMBER(S80),IF(S85&gt;S80,1.0,IF(S85=S80,0.5,0.0)),""),"")</f>
        <v/>
      </c>
      <c r="AA85">
        <f>IF(ISNUMBER(S85),IF(ISNUMBER(S81),IF(S85&gt;S81,1.0,IF(S85=S81,0.5,0.0)),""),"")</f>
        <v/>
      </c>
      <c r="AB85">
        <f>IF(ISNUMBER(S85),IF(ISNUMBER(S82),IF(S85&gt;S82,1.0,IF(S85=S82,0.5,0.0)),""),"")</f>
        <v/>
      </c>
      <c r="AC85">
        <f>IF(ISNUMBER(S85),IF(ISNUMBER(S83),IF(S85&gt;S83,1.0,IF(S85=S83,0.5,0.0)),""),"")</f>
        <v/>
      </c>
      <c r="AD85">
        <f>IF(ISNUMBER(S85),IF(ISNUMBER(S84),IF(S85&gt;S84,1.0,IF(S85=S84,0.5,0.0)),""),"")</f>
        <v/>
      </c>
      <c r="AE85">
        <f>IF(ISNUMBER(S85),IF(ISNUMBER(S86),IF(S85&gt;S86,1.0,IF(S85=S86,0.5,0.0)),""),"")</f>
        <v/>
      </c>
      <c r="AF85" s="14">
        <f>IF(AND(ISNUMBER(R85),ISNUMBER(R80)),VLOOKUP(ABS(R85-R80),'IMP Table'!$A$2:$C$26,3)*SIGN(R85-R80),0)</f>
        <v/>
      </c>
      <c r="AG85">
        <f>IF(AND(ISNUMBER(R85),ISNUMBER(R81)),VLOOKUP(ABS(R85-R81),'IMP Table'!$A$2:$C$26,3)*SIGN(R85-R81),0)</f>
        <v/>
      </c>
      <c r="AH85">
        <f>IF(AND(ISNUMBER(R85),ISNUMBER(R82)),VLOOKUP(ABS(R85-R82),'IMP Table'!$A$2:$C$26,3)*SIGN(R85-R82),0)</f>
        <v/>
      </c>
      <c r="AI85">
        <f>IF(AND(ISNUMBER(R85),ISNUMBER(R83)),VLOOKUP(ABS(R85-R83),'IMP Table'!$A$2:$C$26,3)*SIGN(R85-R83),0)</f>
        <v/>
      </c>
      <c r="AJ85">
        <f>IF(AND(ISNUMBER(R85),ISNUMBER(R84)),VLOOKUP(ABS(R85-R84),'IMP Table'!$A$2:$C$26,3)*SIGN(R85-R84),0)</f>
        <v/>
      </c>
      <c r="AK85">
        <f>IF(AND(ISNUMBER(R85),ISNUMBER(R86)),VLOOKUP(ABS(R85-R86),'IMP Table'!$A$2:$C$26,3)*SIGN(R85-R86),0)</f>
        <v/>
      </c>
      <c r="AL85">
        <f>IF(AND(ISNUMBER(S85),ISNUMBER(S80)),VLOOKUP(ABS(S85-S80),'IMP Table'!$A$2:$C$26,3)*SIGN(S85-S80),0)</f>
        <v/>
      </c>
      <c r="AM85">
        <f>IF(AND(ISNUMBER(S85),ISNUMBER(S81)),VLOOKUP(ABS(S85-S81),'IMP Table'!$A$2:$C$26,3)*SIGN(S85-S81),0)</f>
        <v/>
      </c>
      <c r="AN85">
        <f>IF(AND(ISNUMBER(S85),ISNUMBER(S82)),VLOOKUP(ABS(S85-S82),'IMP Table'!$A$2:$C$26,3)*SIGN(S85-S82),0)</f>
        <v/>
      </c>
      <c r="AO85">
        <f>IF(AND(ISNUMBER(S85),ISNUMBER(S83)),VLOOKUP(ABS(S85-S83),'IMP Table'!$A$2:$C$26,3)*SIGN(S85-S83),0)</f>
        <v/>
      </c>
      <c r="AP85">
        <f>IF(AND(ISNUMBER(S85),ISNUMBER(S84)),VLOOKUP(ABS(S85-S84),'IMP Table'!$A$2:$C$26,3)*SIGN(S85-S84),0)</f>
        <v/>
      </c>
      <c r="AQ85">
        <f>IF(AND(ISNUMBER(S85),ISNUMBER(S86)),VLOOKUP(ABS(S85-S86),'IMP Table'!$A$2:$C$26,3)*SIGN(S85-S86),0)</f>
        <v/>
      </c>
    </row>
    <row r="86">
      <c r="A86" s="15" t="n"/>
      <c r="B86" s="15">
        <f>'By Round'!A129</f>
        <v/>
      </c>
      <c r="C86" s="15">
        <f>'By Round'!B137</f>
        <v/>
      </c>
      <c r="D86" s="15">
        <f>'By Round'!C137</f>
        <v/>
      </c>
      <c r="E86" s="15">
        <f>'By Round'!D137</f>
        <v/>
      </c>
      <c r="F86" s="16" t="inlineStr">
        <is>
          <t>NS</t>
        </is>
      </c>
      <c r="G86" s="15">
        <f>IF(ISBLANK('By Round'!G137),"",'By Round'!G137)</f>
        <v/>
      </c>
      <c r="H86" s="15">
        <f>IF(ISBLANK('By Round'!H137),"",'By Round'!H137)</f>
        <v/>
      </c>
      <c r="I86" s="15">
        <f>IF(ISBLANK('By Round'!I137),"",'By Round'!I137)</f>
        <v/>
      </c>
      <c r="J86" s="15">
        <f>IF(ISBLANK('By Round'!J137),"",'By Round'!J137)</f>
        <v/>
      </c>
      <c r="K86" s="15">
        <f>IF(ISBLANK('By Round'!K137),"",'By Round'!K137)</f>
        <v/>
      </c>
      <c r="L86" s="17">
        <f>SUM(AF86:AK86)</f>
        <v/>
      </c>
      <c r="M86" s="18">
        <f>SUM(AL86:AQ86)</f>
        <v/>
      </c>
      <c r="N86" s="19">
        <f>IF(COUNT(T86:Y86)&gt;0,P86/COUNT(T86:Y86),0.5)</f>
        <v/>
      </c>
      <c r="O86" s="19">
        <f>IF(COUNT(Z86:AE86)&gt;0,Q86/COUNT(Z86:AE86),0.5)</f>
        <v/>
      </c>
      <c r="P86" s="20">
        <f>SUM(T86:Y86)</f>
        <v/>
      </c>
      <c r="Q86" s="20">
        <f>SUM(Z86:AE86)</f>
        <v/>
      </c>
      <c r="R86" s="21">
        <f>IF(ISNUMBER(J86),J86,IF(ISNUMBER(K86),-K86,""))</f>
        <v/>
      </c>
      <c r="S86" s="15">
        <f>IF(ISNUMBER(K86),K86,IF(ISNUMBER(J86),-J86,""))</f>
        <v/>
      </c>
      <c r="T86" s="21">
        <f>IF(ISNUMBER(R86),IF(ISNUMBER(R80),IF(R86&gt;R80,1.0,IF(R86=R80,0.5,0.0)),""),"")</f>
        <v/>
      </c>
      <c r="U86" s="15">
        <f>IF(ISNUMBER(R86),IF(ISNUMBER(R81),IF(R86&gt;R81,1.0,IF(R86=R81,0.5,0.0)),""),"")</f>
        <v/>
      </c>
      <c r="V86" s="15">
        <f>IF(ISNUMBER(R86),IF(ISNUMBER(R82),IF(R86&gt;R82,1.0,IF(R86=R82,0.5,0.0)),""),"")</f>
        <v/>
      </c>
      <c r="W86" s="15">
        <f>IF(ISNUMBER(R86),IF(ISNUMBER(R83),IF(R86&gt;R83,1.0,IF(R86=R83,0.5,0.0)),""),"")</f>
        <v/>
      </c>
      <c r="X86" s="15">
        <f>IF(ISNUMBER(R86),IF(ISNUMBER(R84),IF(R86&gt;R84,1.0,IF(R86=R84,0.5,0.0)),""),"")</f>
        <v/>
      </c>
      <c r="Y86" s="15">
        <f>IF(ISNUMBER(R86),IF(ISNUMBER(R85),IF(R86&gt;R85,1.0,IF(R86=R85,0.5,0.0)),""),"")</f>
        <v/>
      </c>
      <c r="Z86" s="15">
        <f>IF(ISNUMBER(S86),IF(ISNUMBER(S80),IF(S86&gt;S80,1.0,IF(S86=S80,0.5,0.0)),""),"")</f>
        <v/>
      </c>
      <c r="AA86" s="15">
        <f>IF(ISNUMBER(S86),IF(ISNUMBER(S81),IF(S86&gt;S81,1.0,IF(S86=S81,0.5,0.0)),""),"")</f>
        <v/>
      </c>
      <c r="AB86" s="15">
        <f>IF(ISNUMBER(S86),IF(ISNUMBER(S82),IF(S86&gt;S82,1.0,IF(S86=S82,0.5,0.0)),""),"")</f>
        <v/>
      </c>
      <c r="AC86" s="15">
        <f>IF(ISNUMBER(S86),IF(ISNUMBER(S83),IF(S86&gt;S83,1.0,IF(S86=S83,0.5,0.0)),""),"")</f>
        <v/>
      </c>
      <c r="AD86" s="15">
        <f>IF(ISNUMBER(S86),IF(ISNUMBER(S84),IF(S86&gt;S84,1.0,IF(S86=S84,0.5,0.0)),""),"")</f>
        <v/>
      </c>
      <c r="AE86" s="15">
        <f>IF(ISNUMBER(S86),IF(ISNUMBER(S85),IF(S86&gt;S85,1.0,IF(S86=S85,0.5,0.0)),""),"")</f>
        <v/>
      </c>
      <c r="AF86" s="21">
        <f>IF(AND(ISNUMBER(R86),ISNUMBER(R80)),VLOOKUP(ABS(R86-R80),'IMP Table'!$A$2:$C$26,3)*SIGN(R86-R80),0)</f>
        <v/>
      </c>
      <c r="AG86" s="15">
        <f>IF(AND(ISNUMBER(R86),ISNUMBER(R81)),VLOOKUP(ABS(R86-R81),'IMP Table'!$A$2:$C$26,3)*SIGN(R86-R81),0)</f>
        <v/>
      </c>
      <c r="AH86" s="15">
        <f>IF(AND(ISNUMBER(R86),ISNUMBER(R82)),VLOOKUP(ABS(R86-R82),'IMP Table'!$A$2:$C$26,3)*SIGN(R86-R82),0)</f>
        <v/>
      </c>
      <c r="AI86" s="15">
        <f>IF(AND(ISNUMBER(R86),ISNUMBER(R83)),VLOOKUP(ABS(R86-R83),'IMP Table'!$A$2:$C$26,3)*SIGN(R86-R83),0)</f>
        <v/>
      </c>
      <c r="AJ86" s="15">
        <f>IF(AND(ISNUMBER(R86),ISNUMBER(R84)),VLOOKUP(ABS(R86-R84),'IMP Table'!$A$2:$C$26,3)*SIGN(R86-R84),0)</f>
        <v/>
      </c>
      <c r="AK86" s="15">
        <f>IF(AND(ISNUMBER(R86),ISNUMBER(R85)),VLOOKUP(ABS(R86-R85),'IMP Table'!$A$2:$C$26,3)*SIGN(R86-R85),0)</f>
        <v/>
      </c>
      <c r="AL86" s="15">
        <f>IF(AND(ISNUMBER(S86),ISNUMBER(S80)),VLOOKUP(ABS(S86-S80),'IMP Table'!$A$2:$C$26,3)*SIGN(S86-S80),0)</f>
        <v/>
      </c>
      <c r="AM86" s="15">
        <f>IF(AND(ISNUMBER(S86),ISNUMBER(S81)),VLOOKUP(ABS(S86-S81),'IMP Table'!$A$2:$C$26,3)*SIGN(S86-S81),0)</f>
        <v/>
      </c>
      <c r="AN86" s="15">
        <f>IF(AND(ISNUMBER(S86),ISNUMBER(S82)),VLOOKUP(ABS(S86-S82),'IMP Table'!$A$2:$C$26,3)*SIGN(S86-S82),0)</f>
        <v/>
      </c>
      <c r="AO86" s="15">
        <f>IF(AND(ISNUMBER(S86),ISNUMBER(S83)),VLOOKUP(ABS(S86-S83),'IMP Table'!$A$2:$C$26,3)*SIGN(S86-S83),0)</f>
        <v/>
      </c>
      <c r="AP86" s="15">
        <f>IF(AND(ISNUMBER(S86),ISNUMBER(S84)),VLOOKUP(ABS(S86-S84),'IMP Table'!$A$2:$C$26,3)*SIGN(S86-S84),0)</f>
        <v/>
      </c>
      <c r="AQ86" s="15">
        <f>IF(AND(ISNUMBER(S86),ISNUMBER(S85)),VLOOKUP(ABS(S86-S85),'IMP Table'!$A$2:$C$26,3)*SIGN(S86-S85),0)</f>
        <v/>
      </c>
    </row>
    <row r="87">
      <c r="A87" t="n">
        <v>13</v>
      </c>
      <c r="B87">
        <f>'By Round'!A31</f>
        <v/>
      </c>
      <c r="C87">
        <f>'By Round'!B37</f>
        <v/>
      </c>
      <c r="D87">
        <f>'By Round'!C37</f>
        <v/>
      </c>
      <c r="E87">
        <f>'By Round'!D37</f>
        <v/>
      </c>
      <c r="F87" s="11" t="inlineStr">
        <is>
          <t>Both</t>
        </is>
      </c>
      <c r="G87">
        <f>IF(ISBLANK('By Round'!G37),"",'By Round'!G37)</f>
        <v/>
      </c>
      <c r="H87">
        <f>IF(ISBLANK('By Round'!H37),"",'By Round'!H37)</f>
        <v/>
      </c>
      <c r="I87">
        <f>IF(ISBLANK('By Round'!I37),"",'By Round'!I37)</f>
        <v/>
      </c>
      <c r="J87">
        <f>IF(ISBLANK('By Round'!J37),"",'By Round'!J37)</f>
        <v/>
      </c>
      <c r="K87">
        <f>IF(ISBLANK('By Round'!K37),"",'By Round'!K37)</f>
        <v/>
      </c>
      <c r="L87" s="12">
        <f>SUM(AF87:AK87)</f>
        <v/>
      </c>
      <c r="M87" s="13">
        <f>SUM(AL87:AQ87)</f>
        <v/>
      </c>
      <c r="N87" s="8">
        <f>IF(COUNT(T87:Y87)&gt;0,P87/COUNT(T87:Y87),0.5)</f>
        <v/>
      </c>
      <c r="O87" s="8">
        <f>IF(COUNT(Z87:AE87)&gt;0,Q87/COUNT(Z87:AE87),0.5)</f>
        <v/>
      </c>
      <c r="P87" s="5">
        <f>SUM(T87:Y87)</f>
        <v/>
      </c>
      <c r="Q87" s="5">
        <f>SUM(Z87:AE87)</f>
        <v/>
      </c>
      <c r="R87" s="14">
        <f>IF(ISNUMBER(J87),J87,IF(ISNUMBER(K87),-K87,""))</f>
        <v/>
      </c>
      <c r="S87">
        <f>IF(ISNUMBER(K87),K87,IF(ISNUMBER(J87),-J87,""))</f>
        <v/>
      </c>
      <c r="T87" s="14">
        <f>IF(ISNUMBER(R87),IF(ISNUMBER(R88),IF(R87&gt;R88,1.0,IF(R87=R88,0.5,0.0)),""),"")</f>
        <v/>
      </c>
      <c r="U87">
        <f>IF(ISNUMBER(R87),IF(ISNUMBER(R89),IF(R87&gt;R89,1.0,IF(R87=R89,0.5,0.0)),""),"")</f>
        <v/>
      </c>
      <c r="V87">
        <f>IF(ISNUMBER(R87),IF(ISNUMBER(R90),IF(R87&gt;R90,1.0,IF(R87=R90,0.5,0.0)),""),"")</f>
        <v/>
      </c>
      <c r="W87">
        <f>IF(ISNUMBER(R87),IF(ISNUMBER(R91),IF(R87&gt;R91,1.0,IF(R87=R91,0.5,0.0)),""),"")</f>
        <v/>
      </c>
      <c r="X87">
        <f>IF(ISNUMBER(R87),IF(ISNUMBER(R92),IF(R87&gt;R92,1.0,IF(R87=R92,0.5,0.0)),""),"")</f>
        <v/>
      </c>
      <c r="Y87">
        <f>IF(ISNUMBER(R87),IF(ISNUMBER(R93),IF(R87&gt;R93,1.0,IF(R87=R93,0.5,0.0)),""),"")</f>
        <v/>
      </c>
      <c r="Z87">
        <f>IF(ISNUMBER(S87),IF(ISNUMBER(S88),IF(S87&gt;S88,1.0,IF(S87=S88,0.5,0.0)),""),"")</f>
        <v/>
      </c>
      <c r="AA87">
        <f>IF(ISNUMBER(S87),IF(ISNUMBER(S89),IF(S87&gt;S89,1.0,IF(S87=S89,0.5,0.0)),""),"")</f>
        <v/>
      </c>
      <c r="AB87">
        <f>IF(ISNUMBER(S87),IF(ISNUMBER(S90),IF(S87&gt;S90,1.0,IF(S87=S90,0.5,0.0)),""),"")</f>
        <v/>
      </c>
      <c r="AC87">
        <f>IF(ISNUMBER(S87),IF(ISNUMBER(S91),IF(S87&gt;S91,1.0,IF(S87=S91,0.5,0.0)),""),"")</f>
        <v/>
      </c>
      <c r="AD87">
        <f>IF(ISNUMBER(S87),IF(ISNUMBER(S92),IF(S87&gt;S92,1.0,IF(S87=S92,0.5,0.0)),""),"")</f>
        <v/>
      </c>
      <c r="AE87">
        <f>IF(ISNUMBER(S87),IF(ISNUMBER(S93),IF(S87&gt;S93,1.0,IF(S87=S93,0.5,0.0)),""),"")</f>
        <v/>
      </c>
      <c r="AF87" s="14">
        <f>IF(AND(ISNUMBER(R87),ISNUMBER(R88)),VLOOKUP(ABS(R87-R88),'IMP Table'!$A$2:$C$26,3)*SIGN(R87-R88),0)</f>
        <v/>
      </c>
      <c r="AG87">
        <f>IF(AND(ISNUMBER(R87),ISNUMBER(R89)),VLOOKUP(ABS(R87-R89),'IMP Table'!$A$2:$C$26,3)*SIGN(R87-R89),0)</f>
        <v/>
      </c>
      <c r="AH87">
        <f>IF(AND(ISNUMBER(R87),ISNUMBER(R90)),VLOOKUP(ABS(R87-R90),'IMP Table'!$A$2:$C$26,3)*SIGN(R87-R90),0)</f>
        <v/>
      </c>
      <c r="AI87">
        <f>IF(AND(ISNUMBER(R87),ISNUMBER(R91)),VLOOKUP(ABS(R87-R91),'IMP Table'!$A$2:$C$26,3)*SIGN(R87-R91),0)</f>
        <v/>
      </c>
      <c r="AJ87">
        <f>IF(AND(ISNUMBER(R87),ISNUMBER(R92)),VLOOKUP(ABS(R87-R92),'IMP Table'!$A$2:$C$26,3)*SIGN(R87-R92),0)</f>
        <v/>
      </c>
      <c r="AK87">
        <f>IF(AND(ISNUMBER(R87),ISNUMBER(R93)),VLOOKUP(ABS(R87-R93),'IMP Table'!$A$2:$C$26,3)*SIGN(R87-R93),0)</f>
        <v/>
      </c>
      <c r="AL87">
        <f>IF(AND(ISNUMBER(S87),ISNUMBER(S88)),VLOOKUP(ABS(S87-S88),'IMP Table'!$A$2:$C$26,3)*SIGN(S87-S88),0)</f>
        <v/>
      </c>
      <c r="AM87">
        <f>IF(AND(ISNUMBER(S87),ISNUMBER(S89)),VLOOKUP(ABS(S87-S89),'IMP Table'!$A$2:$C$26,3)*SIGN(S87-S89),0)</f>
        <v/>
      </c>
      <c r="AN87">
        <f>IF(AND(ISNUMBER(S87),ISNUMBER(S90)),VLOOKUP(ABS(S87-S90),'IMP Table'!$A$2:$C$26,3)*SIGN(S87-S90),0)</f>
        <v/>
      </c>
      <c r="AO87">
        <f>IF(AND(ISNUMBER(S87),ISNUMBER(S91)),VLOOKUP(ABS(S87-S91),'IMP Table'!$A$2:$C$26,3)*SIGN(S87-S91),0)</f>
        <v/>
      </c>
      <c r="AP87">
        <f>IF(AND(ISNUMBER(S87),ISNUMBER(S92)),VLOOKUP(ABS(S87-S92),'IMP Table'!$A$2:$C$26,3)*SIGN(S87-S92),0)</f>
        <v/>
      </c>
      <c r="AQ87">
        <f>IF(AND(ISNUMBER(S87),ISNUMBER(S93)),VLOOKUP(ABS(S87-S93),'IMP Table'!$A$2:$C$26,3)*SIGN(S87-S93),0)</f>
        <v/>
      </c>
    </row>
    <row r="88">
      <c r="B88">
        <f>'By Round'!A45</f>
        <v/>
      </c>
      <c r="C88">
        <f>'By Round'!B49</f>
        <v/>
      </c>
      <c r="D88">
        <f>'By Round'!C49</f>
        <v/>
      </c>
      <c r="E88">
        <f>'By Round'!D49</f>
        <v/>
      </c>
      <c r="F88" s="11" t="inlineStr">
        <is>
          <t>Both</t>
        </is>
      </c>
      <c r="G88">
        <f>IF(ISBLANK('By Round'!G49),"",'By Round'!G49)</f>
        <v/>
      </c>
      <c r="H88">
        <f>IF(ISBLANK('By Round'!H49),"",'By Round'!H49)</f>
        <v/>
      </c>
      <c r="I88">
        <f>IF(ISBLANK('By Round'!I49),"",'By Round'!I49)</f>
        <v/>
      </c>
      <c r="J88">
        <f>IF(ISBLANK('By Round'!J49),"",'By Round'!J49)</f>
        <v/>
      </c>
      <c r="K88">
        <f>IF(ISBLANK('By Round'!K49),"",'By Round'!K49)</f>
        <v/>
      </c>
      <c r="L88" s="12">
        <f>SUM(AF88:AK88)</f>
        <v/>
      </c>
      <c r="M88" s="13">
        <f>SUM(AL88:AQ88)</f>
        <v/>
      </c>
      <c r="N88" s="8">
        <f>IF(COUNT(T88:Y88)&gt;0,P88/COUNT(T88:Y88),0.5)</f>
        <v/>
      </c>
      <c r="O88" s="8">
        <f>IF(COUNT(Z88:AE88)&gt;0,Q88/COUNT(Z88:AE88),0.5)</f>
        <v/>
      </c>
      <c r="P88" s="5">
        <f>SUM(T88:Y88)</f>
        <v/>
      </c>
      <c r="Q88" s="5">
        <f>SUM(Z88:AE88)</f>
        <v/>
      </c>
      <c r="R88" s="14">
        <f>IF(ISNUMBER(J88),J88,IF(ISNUMBER(K88),-K88,""))</f>
        <v/>
      </c>
      <c r="S88">
        <f>IF(ISNUMBER(K88),K88,IF(ISNUMBER(J88),-J88,""))</f>
        <v/>
      </c>
      <c r="T88" s="14">
        <f>IF(ISNUMBER(R88),IF(ISNUMBER(R87),IF(R88&gt;R87,1.0,IF(R88=R87,0.5,0.0)),""),"")</f>
        <v/>
      </c>
      <c r="U88">
        <f>IF(ISNUMBER(R88),IF(ISNUMBER(R89),IF(R88&gt;R89,1.0,IF(R88=R89,0.5,0.0)),""),"")</f>
        <v/>
      </c>
      <c r="V88">
        <f>IF(ISNUMBER(R88),IF(ISNUMBER(R90),IF(R88&gt;R90,1.0,IF(R88=R90,0.5,0.0)),""),"")</f>
        <v/>
      </c>
      <c r="W88">
        <f>IF(ISNUMBER(R88),IF(ISNUMBER(R91),IF(R88&gt;R91,1.0,IF(R88=R91,0.5,0.0)),""),"")</f>
        <v/>
      </c>
      <c r="X88">
        <f>IF(ISNUMBER(R88),IF(ISNUMBER(R92),IF(R88&gt;R92,1.0,IF(R88=R92,0.5,0.0)),""),"")</f>
        <v/>
      </c>
      <c r="Y88">
        <f>IF(ISNUMBER(R88),IF(ISNUMBER(R93),IF(R88&gt;R93,1.0,IF(R88=R93,0.5,0.0)),""),"")</f>
        <v/>
      </c>
      <c r="Z88">
        <f>IF(ISNUMBER(S88),IF(ISNUMBER(S87),IF(S88&gt;S87,1.0,IF(S88=S87,0.5,0.0)),""),"")</f>
        <v/>
      </c>
      <c r="AA88">
        <f>IF(ISNUMBER(S88),IF(ISNUMBER(S89),IF(S88&gt;S89,1.0,IF(S88=S89,0.5,0.0)),""),"")</f>
        <v/>
      </c>
      <c r="AB88">
        <f>IF(ISNUMBER(S88),IF(ISNUMBER(S90),IF(S88&gt;S90,1.0,IF(S88=S90,0.5,0.0)),""),"")</f>
        <v/>
      </c>
      <c r="AC88">
        <f>IF(ISNUMBER(S88),IF(ISNUMBER(S91),IF(S88&gt;S91,1.0,IF(S88=S91,0.5,0.0)),""),"")</f>
        <v/>
      </c>
      <c r="AD88">
        <f>IF(ISNUMBER(S88),IF(ISNUMBER(S92),IF(S88&gt;S92,1.0,IF(S88=S92,0.5,0.0)),""),"")</f>
        <v/>
      </c>
      <c r="AE88">
        <f>IF(ISNUMBER(S88),IF(ISNUMBER(S93),IF(S88&gt;S93,1.0,IF(S88=S93,0.5,0.0)),""),"")</f>
        <v/>
      </c>
      <c r="AF88" s="14">
        <f>IF(AND(ISNUMBER(R88),ISNUMBER(R87)),VLOOKUP(ABS(R88-R87),'IMP Table'!$A$2:$C$26,3)*SIGN(R88-R87),0)</f>
        <v/>
      </c>
      <c r="AG88">
        <f>IF(AND(ISNUMBER(R88),ISNUMBER(R89)),VLOOKUP(ABS(R88-R89),'IMP Table'!$A$2:$C$26,3)*SIGN(R88-R89),0)</f>
        <v/>
      </c>
      <c r="AH88">
        <f>IF(AND(ISNUMBER(R88),ISNUMBER(R90)),VLOOKUP(ABS(R88-R90),'IMP Table'!$A$2:$C$26,3)*SIGN(R88-R90),0)</f>
        <v/>
      </c>
      <c r="AI88">
        <f>IF(AND(ISNUMBER(R88),ISNUMBER(R91)),VLOOKUP(ABS(R88-R91),'IMP Table'!$A$2:$C$26,3)*SIGN(R88-R91),0)</f>
        <v/>
      </c>
      <c r="AJ88">
        <f>IF(AND(ISNUMBER(R88),ISNUMBER(R92)),VLOOKUP(ABS(R88-R92),'IMP Table'!$A$2:$C$26,3)*SIGN(R88-R92),0)</f>
        <v/>
      </c>
      <c r="AK88">
        <f>IF(AND(ISNUMBER(R88),ISNUMBER(R93)),VLOOKUP(ABS(R88-R93),'IMP Table'!$A$2:$C$26,3)*SIGN(R88-R93),0)</f>
        <v/>
      </c>
      <c r="AL88">
        <f>IF(AND(ISNUMBER(S88),ISNUMBER(S87)),VLOOKUP(ABS(S88-S87),'IMP Table'!$A$2:$C$26,3)*SIGN(S88-S87),0)</f>
        <v/>
      </c>
      <c r="AM88">
        <f>IF(AND(ISNUMBER(S88),ISNUMBER(S89)),VLOOKUP(ABS(S88-S89),'IMP Table'!$A$2:$C$26,3)*SIGN(S88-S89),0)</f>
        <v/>
      </c>
      <c r="AN88">
        <f>IF(AND(ISNUMBER(S88),ISNUMBER(S90)),VLOOKUP(ABS(S88-S90),'IMP Table'!$A$2:$C$26,3)*SIGN(S88-S90),0)</f>
        <v/>
      </c>
      <c r="AO88">
        <f>IF(AND(ISNUMBER(S88),ISNUMBER(S91)),VLOOKUP(ABS(S88-S91),'IMP Table'!$A$2:$C$26,3)*SIGN(S88-S91),0)</f>
        <v/>
      </c>
      <c r="AP88">
        <f>IF(AND(ISNUMBER(S88),ISNUMBER(S92)),VLOOKUP(ABS(S88-S92),'IMP Table'!$A$2:$C$26,3)*SIGN(S88-S92),0)</f>
        <v/>
      </c>
      <c r="AQ88">
        <f>IF(AND(ISNUMBER(S88),ISNUMBER(S93)),VLOOKUP(ABS(S88-S93),'IMP Table'!$A$2:$C$26,3)*SIGN(S88-S93),0)</f>
        <v/>
      </c>
    </row>
    <row r="89">
      <c r="B89">
        <f>'By Round'!A59</f>
        <v/>
      </c>
      <c r="C89">
        <f>'By Round'!B61</f>
        <v/>
      </c>
      <c r="D89">
        <f>'By Round'!C61</f>
        <v/>
      </c>
      <c r="E89">
        <f>'By Round'!D61</f>
        <v/>
      </c>
      <c r="F89" s="11" t="inlineStr">
        <is>
          <t>Both</t>
        </is>
      </c>
      <c r="G89">
        <f>IF(ISBLANK('By Round'!G61),"",'By Round'!G61)</f>
        <v/>
      </c>
      <c r="H89">
        <f>IF(ISBLANK('By Round'!H61),"",'By Round'!H61)</f>
        <v/>
      </c>
      <c r="I89">
        <f>IF(ISBLANK('By Round'!I61),"",'By Round'!I61)</f>
        <v/>
      </c>
      <c r="J89">
        <f>IF(ISBLANK('By Round'!J61),"",'By Round'!J61)</f>
        <v/>
      </c>
      <c r="K89">
        <f>IF(ISBLANK('By Round'!K61),"",'By Round'!K61)</f>
        <v/>
      </c>
      <c r="L89" s="12">
        <f>SUM(AF89:AK89)</f>
        <v/>
      </c>
      <c r="M89" s="13">
        <f>SUM(AL89:AQ89)</f>
        <v/>
      </c>
      <c r="N89" s="8">
        <f>IF(COUNT(T89:Y89)&gt;0,P89/COUNT(T89:Y89),0.5)</f>
        <v/>
      </c>
      <c r="O89" s="8">
        <f>IF(COUNT(Z89:AE89)&gt;0,Q89/COUNT(Z89:AE89),0.5)</f>
        <v/>
      </c>
      <c r="P89" s="5">
        <f>SUM(T89:Y89)</f>
        <v/>
      </c>
      <c r="Q89" s="5">
        <f>SUM(Z89:AE89)</f>
        <v/>
      </c>
      <c r="R89" s="14">
        <f>IF(ISNUMBER(J89),J89,IF(ISNUMBER(K89),-K89,""))</f>
        <v/>
      </c>
      <c r="S89">
        <f>IF(ISNUMBER(K89),K89,IF(ISNUMBER(J89),-J89,""))</f>
        <v/>
      </c>
      <c r="T89" s="14">
        <f>IF(ISNUMBER(R89),IF(ISNUMBER(R87),IF(R89&gt;R87,1.0,IF(R89=R87,0.5,0.0)),""),"")</f>
        <v/>
      </c>
      <c r="U89">
        <f>IF(ISNUMBER(R89),IF(ISNUMBER(R88),IF(R89&gt;R88,1.0,IF(R89=R88,0.5,0.0)),""),"")</f>
        <v/>
      </c>
      <c r="V89">
        <f>IF(ISNUMBER(R89),IF(ISNUMBER(R90),IF(R89&gt;R90,1.0,IF(R89=R90,0.5,0.0)),""),"")</f>
        <v/>
      </c>
      <c r="W89">
        <f>IF(ISNUMBER(R89),IF(ISNUMBER(R91),IF(R89&gt;R91,1.0,IF(R89=R91,0.5,0.0)),""),"")</f>
        <v/>
      </c>
      <c r="X89">
        <f>IF(ISNUMBER(R89),IF(ISNUMBER(R92),IF(R89&gt;R92,1.0,IF(R89=R92,0.5,0.0)),""),"")</f>
        <v/>
      </c>
      <c r="Y89">
        <f>IF(ISNUMBER(R89),IF(ISNUMBER(R93),IF(R89&gt;R93,1.0,IF(R89=R93,0.5,0.0)),""),"")</f>
        <v/>
      </c>
      <c r="Z89">
        <f>IF(ISNUMBER(S89),IF(ISNUMBER(S87),IF(S89&gt;S87,1.0,IF(S89=S87,0.5,0.0)),""),"")</f>
        <v/>
      </c>
      <c r="AA89">
        <f>IF(ISNUMBER(S89),IF(ISNUMBER(S88),IF(S89&gt;S88,1.0,IF(S89=S88,0.5,0.0)),""),"")</f>
        <v/>
      </c>
      <c r="AB89">
        <f>IF(ISNUMBER(S89),IF(ISNUMBER(S90),IF(S89&gt;S90,1.0,IF(S89=S90,0.5,0.0)),""),"")</f>
        <v/>
      </c>
      <c r="AC89">
        <f>IF(ISNUMBER(S89),IF(ISNUMBER(S91),IF(S89&gt;S91,1.0,IF(S89=S91,0.5,0.0)),""),"")</f>
        <v/>
      </c>
      <c r="AD89">
        <f>IF(ISNUMBER(S89),IF(ISNUMBER(S92),IF(S89&gt;S92,1.0,IF(S89=S92,0.5,0.0)),""),"")</f>
        <v/>
      </c>
      <c r="AE89">
        <f>IF(ISNUMBER(S89),IF(ISNUMBER(S93),IF(S89&gt;S93,1.0,IF(S89=S93,0.5,0.0)),""),"")</f>
        <v/>
      </c>
      <c r="AF89" s="14">
        <f>IF(AND(ISNUMBER(R89),ISNUMBER(R87)),VLOOKUP(ABS(R89-R87),'IMP Table'!$A$2:$C$26,3)*SIGN(R89-R87),0)</f>
        <v/>
      </c>
      <c r="AG89">
        <f>IF(AND(ISNUMBER(R89),ISNUMBER(R88)),VLOOKUP(ABS(R89-R88),'IMP Table'!$A$2:$C$26,3)*SIGN(R89-R88),0)</f>
        <v/>
      </c>
      <c r="AH89">
        <f>IF(AND(ISNUMBER(R89),ISNUMBER(R90)),VLOOKUP(ABS(R89-R90),'IMP Table'!$A$2:$C$26,3)*SIGN(R89-R90),0)</f>
        <v/>
      </c>
      <c r="AI89">
        <f>IF(AND(ISNUMBER(R89),ISNUMBER(R91)),VLOOKUP(ABS(R89-R91),'IMP Table'!$A$2:$C$26,3)*SIGN(R89-R91),0)</f>
        <v/>
      </c>
      <c r="AJ89">
        <f>IF(AND(ISNUMBER(R89),ISNUMBER(R92)),VLOOKUP(ABS(R89-R92),'IMP Table'!$A$2:$C$26,3)*SIGN(R89-R92),0)</f>
        <v/>
      </c>
      <c r="AK89">
        <f>IF(AND(ISNUMBER(R89),ISNUMBER(R93)),VLOOKUP(ABS(R89-R93),'IMP Table'!$A$2:$C$26,3)*SIGN(R89-R93),0)</f>
        <v/>
      </c>
      <c r="AL89">
        <f>IF(AND(ISNUMBER(S89),ISNUMBER(S87)),VLOOKUP(ABS(S89-S87),'IMP Table'!$A$2:$C$26,3)*SIGN(S89-S87),0)</f>
        <v/>
      </c>
      <c r="AM89">
        <f>IF(AND(ISNUMBER(S89),ISNUMBER(S88)),VLOOKUP(ABS(S89-S88),'IMP Table'!$A$2:$C$26,3)*SIGN(S89-S88),0)</f>
        <v/>
      </c>
      <c r="AN89">
        <f>IF(AND(ISNUMBER(S89),ISNUMBER(S90)),VLOOKUP(ABS(S89-S90),'IMP Table'!$A$2:$C$26,3)*SIGN(S89-S90),0)</f>
        <v/>
      </c>
      <c r="AO89">
        <f>IF(AND(ISNUMBER(S89),ISNUMBER(S91)),VLOOKUP(ABS(S89-S91),'IMP Table'!$A$2:$C$26,3)*SIGN(S89-S91),0)</f>
        <v/>
      </c>
      <c r="AP89">
        <f>IF(AND(ISNUMBER(S89),ISNUMBER(S92)),VLOOKUP(ABS(S89-S92),'IMP Table'!$A$2:$C$26,3)*SIGN(S89-S92),0)</f>
        <v/>
      </c>
      <c r="AQ89">
        <f>IF(AND(ISNUMBER(S89),ISNUMBER(S93)),VLOOKUP(ABS(S89-S93),'IMP Table'!$A$2:$C$26,3)*SIGN(S89-S93),0)</f>
        <v/>
      </c>
    </row>
    <row r="90">
      <c r="B90">
        <f>'By Round'!A87</f>
        <v/>
      </c>
      <c r="C90">
        <f>'By Round'!B87</f>
        <v/>
      </c>
      <c r="D90">
        <f>'By Round'!C87</f>
        <v/>
      </c>
      <c r="E90">
        <f>'By Round'!D87</f>
        <v/>
      </c>
      <c r="F90" s="11" t="inlineStr">
        <is>
          <t>Both</t>
        </is>
      </c>
      <c r="G90">
        <f>IF(ISBLANK('By Round'!G87),"",'By Round'!G87)</f>
        <v/>
      </c>
      <c r="H90">
        <f>IF(ISBLANK('By Round'!H87),"",'By Round'!H87)</f>
        <v/>
      </c>
      <c r="I90">
        <f>IF(ISBLANK('By Round'!I87),"",'By Round'!I87)</f>
        <v/>
      </c>
      <c r="J90">
        <f>IF(ISBLANK('By Round'!J87),"",'By Round'!J87)</f>
        <v/>
      </c>
      <c r="K90">
        <f>IF(ISBLANK('By Round'!K87),"",'By Round'!K87)</f>
        <v/>
      </c>
      <c r="L90" s="12">
        <f>SUM(AF90:AK90)</f>
        <v/>
      </c>
      <c r="M90" s="13">
        <f>SUM(AL90:AQ90)</f>
        <v/>
      </c>
      <c r="N90" s="8">
        <f>IF(COUNT(T90:Y90)&gt;0,P90/COUNT(T90:Y90),0.5)</f>
        <v/>
      </c>
      <c r="O90" s="8">
        <f>IF(COUNT(Z90:AE90)&gt;0,Q90/COUNT(Z90:AE90),0.5)</f>
        <v/>
      </c>
      <c r="P90" s="5">
        <f>SUM(T90:Y90)</f>
        <v/>
      </c>
      <c r="Q90" s="5">
        <f>SUM(Z90:AE90)</f>
        <v/>
      </c>
      <c r="R90" s="14">
        <f>IF(ISNUMBER(J90),J90,IF(ISNUMBER(K90),-K90,""))</f>
        <v/>
      </c>
      <c r="S90">
        <f>IF(ISNUMBER(K90),K90,IF(ISNUMBER(J90),-J90,""))</f>
        <v/>
      </c>
      <c r="T90" s="14">
        <f>IF(ISNUMBER(R90),IF(ISNUMBER(R87),IF(R90&gt;R87,1.0,IF(R90=R87,0.5,0.0)),""),"")</f>
        <v/>
      </c>
      <c r="U90">
        <f>IF(ISNUMBER(R90),IF(ISNUMBER(R88),IF(R90&gt;R88,1.0,IF(R90=R88,0.5,0.0)),""),"")</f>
        <v/>
      </c>
      <c r="V90">
        <f>IF(ISNUMBER(R90),IF(ISNUMBER(R89),IF(R90&gt;R89,1.0,IF(R90=R89,0.5,0.0)),""),"")</f>
        <v/>
      </c>
      <c r="W90">
        <f>IF(ISNUMBER(R90),IF(ISNUMBER(R91),IF(R90&gt;R91,1.0,IF(R90=R91,0.5,0.0)),""),"")</f>
        <v/>
      </c>
      <c r="X90">
        <f>IF(ISNUMBER(R90),IF(ISNUMBER(R92),IF(R90&gt;R92,1.0,IF(R90=R92,0.5,0.0)),""),"")</f>
        <v/>
      </c>
      <c r="Y90">
        <f>IF(ISNUMBER(R90),IF(ISNUMBER(R93),IF(R90&gt;R93,1.0,IF(R90=R93,0.5,0.0)),""),"")</f>
        <v/>
      </c>
      <c r="Z90">
        <f>IF(ISNUMBER(S90),IF(ISNUMBER(S87),IF(S90&gt;S87,1.0,IF(S90=S87,0.5,0.0)),""),"")</f>
        <v/>
      </c>
      <c r="AA90">
        <f>IF(ISNUMBER(S90),IF(ISNUMBER(S88),IF(S90&gt;S88,1.0,IF(S90=S88,0.5,0.0)),""),"")</f>
        <v/>
      </c>
      <c r="AB90">
        <f>IF(ISNUMBER(S90),IF(ISNUMBER(S89),IF(S90&gt;S89,1.0,IF(S90=S89,0.5,0.0)),""),"")</f>
        <v/>
      </c>
      <c r="AC90">
        <f>IF(ISNUMBER(S90),IF(ISNUMBER(S91),IF(S90&gt;S91,1.0,IF(S90=S91,0.5,0.0)),""),"")</f>
        <v/>
      </c>
      <c r="AD90">
        <f>IF(ISNUMBER(S90),IF(ISNUMBER(S92),IF(S90&gt;S92,1.0,IF(S90=S92,0.5,0.0)),""),"")</f>
        <v/>
      </c>
      <c r="AE90">
        <f>IF(ISNUMBER(S90),IF(ISNUMBER(S93),IF(S90&gt;S93,1.0,IF(S90=S93,0.5,0.0)),""),"")</f>
        <v/>
      </c>
      <c r="AF90" s="14">
        <f>IF(AND(ISNUMBER(R90),ISNUMBER(R87)),VLOOKUP(ABS(R90-R87),'IMP Table'!$A$2:$C$26,3)*SIGN(R90-R87),0)</f>
        <v/>
      </c>
      <c r="AG90">
        <f>IF(AND(ISNUMBER(R90),ISNUMBER(R88)),VLOOKUP(ABS(R90-R88),'IMP Table'!$A$2:$C$26,3)*SIGN(R90-R88),0)</f>
        <v/>
      </c>
      <c r="AH90">
        <f>IF(AND(ISNUMBER(R90),ISNUMBER(R89)),VLOOKUP(ABS(R90-R89),'IMP Table'!$A$2:$C$26,3)*SIGN(R90-R89),0)</f>
        <v/>
      </c>
      <c r="AI90">
        <f>IF(AND(ISNUMBER(R90),ISNUMBER(R91)),VLOOKUP(ABS(R90-R91),'IMP Table'!$A$2:$C$26,3)*SIGN(R90-R91),0)</f>
        <v/>
      </c>
      <c r="AJ90">
        <f>IF(AND(ISNUMBER(R90),ISNUMBER(R92)),VLOOKUP(ABS(R90-R92),'IMP Table'!$A$2:$C$26,3)*SIGN(R90-R92),0)</f>
        <v/>
      </c>
      <c r="AK90">
        <f>IF(AND(ISNUMBER(R90),ISNUMBER(R93)),VLOOKUP(ABS(R90-R93),'IMP Table'!$A$2:$C$26,3)*SIGN(R90-R93),0)</f>
        <v/>
      </c>
      <c r="AL90">
        <f>IF(AND(ISNUMBER(S90),ISNUMBER(S87)),VLOOKUP(ABS(S90-S87),'IMP Table'!$A$2:$C$26,3)*SIGN(S90-S87),0)</f>
        <v/>
      </c>
      <c r="AM90">
        <f>IF(AND(ISNUMBER(S90),ISNUMBER(S88)),VLOOKUP(ABS(S90-S88),'IMP Table'!$A$2:$C$26,3)*SIGN(S90-S88),0)</f>
        <v/>
      </c>
      <c r="AN90">
        <f>IF(AND(ISNUMBER(S90),ISNUMBER(S89)),VLOOKUP(ABS(S90-S89),'IMP Table'!$A$2:$C$26,3)*SIGN(S90-S89),0)</f>
        <v/>
      </c>
      <c r="AO90">
        <f>IF(AND(ISNUMBER(S90),ISNUMBER(S91)),VLOOKUP(ABS(S90-S91),'IMP Table'!$A$2:$C$26,3)*SIGN(S90-S91),0)</f>
        <v/>
      </c>
      <c r="AP90">
        <f>IF(AND(ISNUMBER(S90),ISNUMBER(S92)),VLOOKUP(ABS(S90-S92),'IMP Table'!$A$2:$C$26,3)*SIGN(S90-S92),0)</f>
        <v/>
      </c>
      <c r="AQ90">
        <f>IF(AND(ISNUMBER(S90),ISNUMBER(S93)),VLOOKUP(ABS(S90-S93),'IMP Table'!$A$2:$C$26,3)*SIGN(S90-S93),0)</f>
        <v/>
      </c>
    </row>
    <row r="91">
      <c r="B91">
        <f>'By Round'!A115</f>
        <v/>
      </c>
      <c r="C91">
        <f>'By Round'!B127</f>
        <v/>
      </c>
      <c r="D91">
        <f>'By Round'!C127</f>
        <v/>
      </c>
      <c r="E91">
        <f>'By Round'!D127</f>
        <v/>
      </c>
      <c r="F91" s="11" t="inlineStr">
        <is>
          <t>Both</t>
        </is>
      </c>
      <c r="G91">
        <f>IF(ISBLANK('By Round'!G127),"",'By Round'!G127)</f>
        <v/>
      </c>
      <c r="H91">
        <f>IF(ISBLANK('By Round'!H127),"",'By Round'!H127)</f>
        <v/>
      </c>
      <c r="I91">
        <f>IF(ISBLANK('By Round'!I127),"",'By Round'!I127)</f>
        <v/>
      </c>
      <c r="J91">
        <f>IF(ISBLANK('By Round'!J127),"",'By Round'!J127)</f>
        <v/>
      </c>
      <c r="K91">
        <f>IF(ISBLANK('By Round'!K127),"",'By Round'!K127)</f>
        <v/>
      </c>
      <c r="L91" s="12">
        <f>SUM(AF91:AK91)</f>
        <v/>
      </c>
      <c r="M91" s="13">
        <f>SUM(AL91:AQ91)</f>
        <v/>
      </c>
      <c r="N91" s="8">
        <f>IF(COUNT(T91:Y91)&gt;0,P91/COUNT(T91:Y91),0.5)</f>
        <v/>
      </c>
      <c r="O91" s="8">
        <f>IF(COUNT(Z91:AE91)&gt;0,Q91/COUNT(Z91:AE91),0.5)</f>
        <v/>
      </c>
      <c r="P91" s="5">
        <f>SUM(T91:Y91)</f>
        <v/>
      </c>
      <c r="Q91" s="5">
        <f>SUM(Z91:AE91)</f>
        <v/>
      </c>
      <c r="R91" s="14">
        <f>IF(ISNUMBER(J91),J91,IF(ISNUMBER(K91),-K91,""))</f>
        <v/>
      </c>
      <c r="S91">
        <f>IF(ISNUMBER(K91),K91,IF(ISNUMBER(J91),-J91,""))</f>
        <v/>
      </c>
      <c r="T91" s="14">
        <f>IF(ISNUMBER(R91),IF(ISNUMBER(R87),IF(R91&gt;R87,1.0,IF(R91=R87,0.5,0.0)),""),"")</f>
        <v/>
      </c>
      <c r="U91">
        <f>IF(ISNUMBER(R91),IF(ISNUMBER(R88),IF(R91&gt;R88,1.0,IF(R91=R88,0.5,0.0)),""),"")</f>
        <v/>
      </c>
      <c r="V91">
        <f>IF(ISNUMBER(R91),IF(ISNUMBER(R89),IF(R91&gt;R89,1.0,IF(R91=R89,0.5,0.0)),""),"")</f>
        <v/>
      </c>
      <c r="W91">
        <f>IF(ISNUMBER(R91),IF(ISNUMBER(R90),IF(R91&gt;R90,1.0,IF(R91=R90,0.5,0.0)),""),"")</f>
        <v/>
      </c>
      <c r="X91">
        <f>IF(ISNUMBER(R91),IF(ISNUMBER(R92),IF(R91&gt;R92,1.0,IF(R91=R92,0.5,0.0)),""),"")</f>
        <v/>
      </c>
      <c r="Y91">
        <f>IF(ISNUMBER(R91),IF(ISNUMBER(R93),IF(R91&gt;R93,1.0,IF(R91=R93,0.5,0.0)),""),"")</f>
        <v/>
      </c>
      <c r="Z91">
        <f>IF(ISNUMBER(S91),IF(ISNUMBER(S87),IF(S91&gt;S87,1.0,IF(S91=S87,0.5,0.0)),""),"")</f>
        <v/>
      </c>
      <c r="AA91">
        <f>IF(ISNUMBER(S91),IF(ISNUMBER(S88),IF(S91&gt;S88,1.0,IF(S91=S88,0.5,0.0)),""),"")</f>
        <v/>
      </c>
      <c r="AB91">
        <f>IF(ISNUMBER(S91),IF(ISNUMBER(S89),IF(S91&gt;S89,1.0,IF(S91=S89,0.5,0.0)),""),"")</f>
        <v/>
      </c>
      <c r="AC91">
        <f>IF(ISNUMBER(S91),IF(ISNUMBER(S90),IF(S91&gt;S90,1.0,IF(S91=S90,0.5,0.0)),""),"")</f>
        <v/>
      </c>
      <c r="AD91">
        <f>IF(ISNUMBER(S91),IF(ISNUMBER(S92),IF(S91&gt;S92,1.0,IF(S91=S92,0.5,0.0)),""),"")</f>
        <v/>
      </c>
      <c r="AE91">
        <f>IF(ISNUMBER(S91),IF(ISNUMBER(S93),IF(S91&gt;S93,1.0,IF(S91=S93,0.5,0.0)),""),"")</f>
        <v/>
      </c>
      <c r="AF91" s="14">
        <f>IF(AND(ISNUMBER(R91),ISNUMBER(R87)),VLOOKUP(ABS(R91-R87),'IMP Table'!$A$2:$C$26,3)*SIGN(R91-R87),0)</f>
        <v/>
      </c>
      <c r="AG91">
        <f>IF(AND(ISNUMBER(R91),ISNUMBER(R88)),VLOOKUP(ABS(R91-R88),'IMP Table'!$A$2:$C$26,3)*SIGN(R91-R88),0)</f>
        <v/>
      </c>
      <c r="AH91">
        <f>IF(AND(ISNUMBER(R91),ISNUMBER(R89)),VLOOKUP(ABS(R91-R89),'IMP Table'!$A$2:$C$26,3)*SIGN(R91-R89),0)</f>
        <v/>
      </c>
      <c r="AI91">
        <f>IF(AND(ISNUMBER(R91),ISNUMBER(R90)),VLOOKUP(ABS(R91-R90),'IMP Table'!$A$2:$C$26,3)*SIGN(R91-R90),0)</f>
        <v/>
      </c>
      <c r="AJ91">
        <f>IF(AND(ISNUMBER(R91),ISNUMBER(R92)),VLOOKUP(ABS(R91-R92),'IMP Table'!$A$2:$C$26,3)*SIGN(R91-R92),0)</f>
        <v/>
      </c>
      <c r="AK91">
        <f>IF(AND(ISNUMBER(R91),ISNUMBER(R93)),VLOOKUP(ABS(R91-R93),'IMP Table'!$A$2:$C$26,3)*SIGN(R91-R93),0)</f>
        <v/>
      </c>
      <c r="AL91">
        <f>IF(AND(ISNUMBER(S91),ISNUMBER(S87)),VLOOKUP(ABS(S91-S87),'IMP Table'!$A$2:$C$26,3)*SIGN(S91-S87),0)</f>
        <v/>
      </c>
      <c r="AM91">
        <f>IF(AND(ISNUMBER(S91),ISNUMBER(S88)),VLOOKUP(ABS(S91-S88),'IMP Table'!$A$2:$C$26,3)*SIGN(S91-S88),0)</f>
        <v/>
      </c>
      <c r="AN91">
        <f>IF(AND(ISNUMBER(S91),ISNUMBER(S89)),VLOOKUP(ABS(S91-S89),'IMP Table'!$A$2:$C$26,3)*SIGN(S91-S89),0)</f>
        <v/>
      </c>
      <c r="AO91">
        <f>IF(AND(ISNUMBER(S91),ISNUMBER(S90)),VLOOKUP(ABS(S91-S90),'IMP Table'!$A$2:$C$26,3)*SIGN(S91-S90),0)</f>
        <v/>
      </c>
      <c r="AP91">
        <f>IF(AND(ISNUMBER(S91),ISNUMBER(S92)),VLOOKUP(ABS(S91-S92),'IMP Table'!$A$2:$C$26,3)*SIGN(S91-S92),0)</f>
        <v/>
      </c>
      <c r="AQ91">
        <f>IF(AND(ISNUMBER(S91),ISNUMBER(S93)),VLOOKUP(ABS(S91-S93),'IMP Table'!$A$2:$C$26,3)*SIGN(S91-S93),0)</f>
        <v/>
      </c>
    </row>
    <row r="92">
      <c r="B92">
        <f>'By Round'!A129</f>
        <v/>
      </c>
      <c r="C92">
        <f>'By Round'!B139</f>
        <v/>
      </c>
      <c r="D92">
        <f>'By Round'!C139</f>
        <v/>
      </c>
      <c r="E92">
        <f>'By Round'!D139</f>
        <v/>
      </c>
      <c r="F92" s="11" t="inlineStr">
        <is>
          <t>Both</t>
        </is>
      </c>
      <c r="G92">
        <f>IF(ISBLANK('By Round'!G139),"",'By Round'!G139)</f>
        <v/>
      </c>
      <c r="H92">
        <f>IF(ISBLANK('By Round'!H139),"",'By Round'!H139)</f>
        <v/>
      </c>
      <c r="I92">
        <f>IF(ISBLANK('By Round'!I139),"",'By Round'!I139)</f>
        <v/>
      </c>
      <c r="J92">
        <f>IF(ISBLANK('By Round'!J139),"",'By Round'!J139)</f>
        <v/>
      </c>
      <c r="K92">
        <f>IF(ISBLANK('By Round'!K139),"",'By Round'!K139)</f>
        <v/>
      </c>
      <c r="L92" s="12">
        <f>SUM(AF92:AK92)</f>
        <v/>
      </c>
      <c r="M92" s="13">
        <f>SUM(AL92:AQ92)</f>
        <v/>
      </c>
      <c r="N92" s="8">
        <f>IF(COUNT(T92:Y92)&gt;0,P92/COUNT(T92:Y92),0.5)</f>
        <v/>
      </c>
      <c r="O92" s="8">
        <f>IF(COUNT(Z92:AE92)&gt;0,Q92/COUNT(Z92:AE92),0.5)</f>
        <v/>
      </c>
      <c r="P92" s="5">
        <f>SUM(T92:Y92)</f>
        <v/>
      </c>
      <c r="Q92" s="5">
        <f>SUM(Z92:AE92)</f>
        <v/>
      </c>
      <c r="R92" s="14">
        <f>IF(ISNUMBER(J92),J92,IF(ISNUMBER(K92),-K92,""))</f>
        <v/>
      </c>
      <c r="S92">
        <f>IF(ISNUMBER(K92),K92,IF(ISNUMBER(J92),-J92,""))</f>
        <v/>
      </c>
      <c r="T92" s="14">
        <f>IF(ISNUMBER(R92),IF(ISNUMBER(R87),IF(R92&gt;R87,1.0,IF(R92=R87,0.5,0.0)),""),"")</f>
        <v/>
      </c>
      <c r="U92">
        <f>IF(ISNUMBER(R92),IF(ISNUMBER(R88),IF(R92&gt;R88,1.0,IF(R92=R88,0.5,0.0)),""),"")</f>
        <v/>
      </c>
      <c r="V92">
        <f>IF(ISNUMBER(R92),IF(ISNUMBER(R89),IF(R92&gt;R89,1.0,IF(R92=R89,0.5,0.0)),""),"")</f>
        <v/>
      </c>
      <c r="W92">
        <f>IF(ISNUMBER(R92),IF(ISNUMBER(R90),IF(R92&gt;R90,1.0,IF(R92=R90,0.5,0.0)),""),"")</f>
        <v/>
      </c>
      <c r="X92">
        <f>IF(ISNUMBER(R92),IF(ISNUMBER(R91),IF(R92&gt;R91,1.0,IF(R92=R91,0.5,0.0)),""),"")</f>
        <v/>
      </c>
      <c r="Y92">
        <f>IF(ISNUMBER(R92),IF(ISNUMBER(R93),IF(R92&gt;R93,1.0,IF(R92=R93,0.5,0.0)),""),"")</f>
        <v/>
      </c>
      <c r="Z92">
        <f>IF(ISNUMBER(S92),IF(ISNUMBER(S87),IF(S92&gt;S87,1.0,IF(S92=S87,0.5,0.0)),""),"")</f>
        <v/>
      </c>
      <c r="AA92">
        <f>IF(ISNUMBER(S92),IF(ISNUMBER(S88),IF(S92&gt;S88,1.0,IF(S92=S88,0.5,0.0)),""),"")</f>
        <v/>
      </c>
      <c r="AB92">
        <f>IF(ISNUMBER(S92),IF(ISNUMBER(S89),IF(S92&gt;S89,1.0,IF(S92=S89,0.5,0.0)),""),"")</f>
        <v/>
      </c>
      <c r="AC92">
        <f>IF(ISNUMBER(S92),IF(ISNUMBER(S90),IF(S92&gt;S90,1.0,IF(S92=S90,0.5,0.0)),""),"")</f>
        <v/>
      </c>
      <c r="AD92">
        <f>IF(ISNUMBER(S92),IF(ISNUMBER(S91),IF(S92&gt;S91,1.0,IF(S92=S91,0.5,0.0)),""),"")</f>
        <v/>
      </c>
      <c r="AE92">
        <f>IF(ISNUMBER(S92),IF(ISNUMBER(S93),IF(S92&gt;S93,1.0,IF(S92=S93,0.5,0.0)),""),"")</f>
        <v/>
      </c>
      <c r="AF92" s="14">
        <f>IF(AND(ISNUMBER(R92),ISNUMBER(R87)),VLOOKUP(ABS(R92-R87),'IMP Table'!$A$2:$C$26,3)*SIGN(R92-R87),0)</f>
        <v/>
      </c>
      <c r="AG92">
        <f>IF(AND(ISNUMBER(R92),ISNUMBER(R88)),VLOOKUP(ABS(R92-R88),'IMP Table'!$A$2:$C$26,3)*SIGN(R92-R88),0)</f>
        <v/>
      </c>
      <c r="AH92">
        <f>IF(AND(ISNUMBER(R92),ISNUMBER(R89)),VLOOKUP(ABS(R92-R89),'IMP Table'!$A$2:$C$26,3)*SIGN(R92-R89),0)</f>
        <v/>
      </c>
      <c r="AI92">
        <f>IF(AND(ISNUMBER(R92),ISNUMBER(R90)),VLOOKUP(ABS(R92-R90),'IMP Table'!$A$2:$C$26,3)*SIGN(R92-R90),0)</f>
        <v/>
      </c>
      <c r="AJ92">
        <f>IF(AND(ISNUMBER(R92),ISNUMBER(R91)),VLOOKUP(ABS(R92-R91),'IMP Table'!$A$2:$C$26,3)*SIGN(R92-R91),0)</f>
        <v/>
      </c>
      <c r="AK92">
        <f>IF(AND(ISNUMBER(R92),ISNUMBER(R93)),VLOOKUP(ABS(R92-R93),'IMP Table'!$A$2:$C$26,3)*SIGN(R92-R93),0)</f>
        <v/>
      </c>
      <c r="AL92">
        <f>IF(AND(ISNUMBER(S92),ISNUMBER(S87)),VLOOKUP(ABS(S92-S87),'IMP Table'!$A$2:$C$26,3)*SIGN(S92-S87),0)</f>
        <v/>
      </c>
      <c r="AM92">
        <f>IF(AND(ISNUMBER(S92),ISNUMBER(S88)),VLOOKUP(ABS(S92-S88),'IMP Table'!$A$2:$C$26,3)*SIGN(S92-S88),0)</f>
        <v/>
      </c>
      <c r="AN92">
        <f>IF(AND(ISNUMBER(S92),ISNUMBER(S89)),VLOOKUP(ABS(S92-S89),'IMP Table'!$A$2:$C$26,3)*SIGN(S92-S89),0)</f>
        <v/>
      </c>
      <c r="AO92">
        <f>IF(AND(ISNUMBER(S92),ISNUMBER(S90)),VLOOKUP(ABS(S92-S90),'IMP Table'!$A$2:$C$26,3)*SIGN(S92-S90),0)</f>
        <v/>
      </c>
      <c r="AP92">
        <f>IF(AND(ISNUMBER(S92),ISNUMBER(S91)),VLOOKUP(ABS(S92-S91),'IMP Table'!$A$2:$C$26,3)*SIGN(S92-S91),0)</f>
        <v/>
      </c>
      <c r="AQ92">
        <f>IF(AND(ISNUMBER(S92),ISNUMBER(S93)),VLOOKUP(ABS(S92-S93),'IMP Table'!$A$2:$C$26,3)*SIGN(S92-S93),0)</f>
        <v/>
      </c>
    </row>
    <row r="93">
      <c r="A93" s="15" t="n"/>
      <c r="B93" s="15">
        <f>'By Round'!A143</f>
        <v/>
      </c>
      <c r="C93" s="15">
        <f>'By Round'!B151</f>
        <v/>
      </c>
      <c r="D93" s="15">
        <f>'By Round'!C151</f>
        <v/>
      </c>
      <c r="E93" s="15">
        <f>'By Round'!D151</f>
        <v/>
      </c>
      <c r="F93" s="16" t="inlineStr">
        <is>
          <t>Both</t>
        </is>
      </c>
      <c r="G93" s="15">
        <f>IF(ISBLANK('By Round'!G151),"",'By Round'!G151)</f>
        <v/>
      </c>
      <c r="H93" s="15">
        <f>IF(ISBLANK('By Round'!H151),"",'By Round'!H151)</f>
        <v/>
      </c>
      <c r="I93" s="15">
        <f>IF(ISBLANK('By Round'!I151),"",'By Round'!I151)</f>
        <v/>
      </c>
      <c r="J93" s="15">
        <f>IF(ISBLANK('By Round'!J151),"",'By Round'!J151)</f>
        <v/>
      </c>
      <c r="K93" s="15">
        <f>IF(ISBLANK('By Round'!K151),"",'By Round'!K151)</f>
        <v/>
      </c>
      <c r="L93" s="17">
        <f>SUM(AF93:AK93)</f>
        <v/>
      </c>
      <c r="M93" s="18">
        <f>SUM(AL93:AQ93)</f>
        <v/>
      </c>
      <c r="N93" s="19">
        <f>IF(COUNT(T93:Y93)&gt;0,P93/COUNT(T93:Y93),0.5)</f>
        <v/>
      </c>
      <c r="O93" s="19">
        <f>IF(COUNT(Z93:AE93)&gt;0,Q93/COUNT(Z93:AE93),0.5)</f>
        <v/>
      </c>
      <c r="P93" s="20">
        <f>SUM(T93:Y93)</f>
        <v/>
      </c>
      <c r="Q93" s="20">
        <f>SUM(Z93:AE93)</f>
        <v/>
      </c>
      <c r="R93" s="21">
        <f>IF(ISNUMBER(J93),J93,IF(ISNUMBER(K93),-K93,""))</f>
        <v/>
      </c>
      <c r="S93" s="15">
        <f>IF(ISNUMBER(K93),K93,IF(ISNUMBER(J93),-J93,""))</f>
        <v/>
      </c>
      <c r="T93" s="21">
        <f>IF(ISNUMBER(R93),IF(ISNUMBER(R87),IF(R93&gt;R87,1.0,IF(R93=R87,0.5,0.0)),""),"")</f>
        <v/>
      </c>
      <c r="U93" s="15">
        <f>IF(ISNUMBER(R93),IF(ISNUMBER(R88),IF(R93&gt;R88,1.0,IF(R93=R88,0.5,0.0)),""),"")</f>
        <v/>
      </c>
      <c r="V93" s="15">
        <f>IF(ISNUMBER(R93),IF(ISNUMBER(R89),IF(R93&gt;R89,1.0,IF(R93=R89,0.5,0.0)),""),"")</f>
        <v/>
      </c>
      <c r="W93" s="15">
        <f>IF(ISNUMBER(R93),IF(ISNUMBER(R90),IF(R93&gt;R90,1.0,IF(R93=R90,0.5,0.0)),""),"")</f>
        <v/>
      </c>
      <c r="X93" s="15">
        <f>IF(ISNUMBER(R93),IF(ISNUMBER(R91),IF(R93&gt;R91,1.0,IF(R93=R91,0.5,0.0)),""),"")</f>
        <v/>
      </c>
      <c r="Y93" s="15">
        <f>IF(ISNUMBER(R93),IF(ISNUMBER(R92),IF(R93&gt;R92,1.0,IF(R93=R92,0.5,0.0)),""),"")</f>
        <v/>
      </c>
      <c r="Z93" s="15">
        <f>IF(ISNUMBER(S93),IF(ISNUMBER(S87),IF(S93&gt;S87,1.0,IF(S93=S87,0.5,0.0)),""),"")</f>
        <v/>
      </c>
      <c r="AA93" s="15">
        <f>IF(ISNUMBER(S93),IF(ISNUMBER(S88),IF(S93&gt;S88,1.0,IF(S93=S88,0.5,0.0)),""),"")</f>
        <v/>
      </c>
      <c r="AB93" s="15">
        <f>IF(ISNUMBER(S93),IF(ISNUMBER(S89),IF(S93&gt;S89,1.0,IF(S93=S89,0.5,0.0)),""),"")</f>
        <v/>
      </c>
      <c r="AC93" s="15">
        <f>IF(ISNUMBER(S93),IF(ISNUMBER(S90),IF(S93&gt;S90,1.0,IF(S93=S90,0.5,0.0)),""),"")</f>
        <v/>
      </c>
      <c r="AD93" s="15">
        <f>IF(ISNUMBER(S93),IF(ISNUMBER(S91),IF(S93&gt;S91,1.0,IF(S93=S91,0.5,0.0)),""),"")</f>
        <v/>
      </c>
      <c r="AE93" s="15">
        <f>IF(ISNUMBER(S93),IF(ISNUMBER(S92),IF(S93&gt;S92,1.0,IF(S93=S92,0.5,0.0)),""),"")</f>
        <v/>
      </c>
      <c r="AF93" s="21">
        <f>IF(AND(ISNUMBER(R93),ISNUMBER(R87)),VLOOKUP(ABS(R93-R87),'IMP Table'!$A$2:$C$26,3)*SIGN(R93-R87),0)</f>
        <v/>
      </c>
      <c r="AG93" s="15">
        <f>IF(AND(ISNUMBER(R93),ISNUMBER(R88)),VLOOKUP(ABS(R93-R88),'IMP Table'!$A$2:$C$26,3)*SIGN(R93-R88),0)</f>
        <v/>
      </c>
      <c r="AH93" s="15">
        <f>IF(AND(ISNUMBER(R93),ISNUMBER(R89)),VLOOKUP(ABS(R93-R89),'IMP Table'!$A$2:$C$26,3)*SIGN(R93-R89),0)</f>
        <v/>
      </c>
      <c r="AI93" s="15">
        <f>IF(AND(ISNUMBER(R93),ISNUMBER(R90)),VLOOKUP(ABS(R93-R90),'IMP Table'!$A$2:$C$26,3)*SIGN(R93-R90),0)</f>
        <v/>
      </c>
      <c r="AJ93" s="15">
        <f>IF(AND(ISNUMBER(R93),ISNUMBER(R91)),VLOOKUP(ABS(R93-R91),'IMP Table'!$A$2:$C$26,3)*SIGN(R93-R91),0)</f>
        <v/>
      </c>
      <c r="AK93" s="15">
        <f>IF(AND(ISNUMBER(R93),ISNUMBER(R92)),VLOOKUP(ABS(R93-R92),'IMP Table'!$A$2:$C$26,3)*SIGN(R93-R92),0)</f>
        <v/>
      </c>
      <c r="AL93" s="15">
        <f>IF(AND(ISNUMBER(S93),ISNUMBER(S87)),VLOOKUP(ABS(S93-S87),'IMP Table'!$A$2:$C$26,3)*SIGN(S93-S87),0)</f>
        <v/>
      </c>
      <c r="AM93" s="15">
        <f>IF(AND(ISNUMBER(S93),ISNUMBER(S88)),VLOOKUP(ABS(S93-S88),'IMP Table'!$A$2:$C$26,3)*SIGN(S93-S88),0)</f>
        <v/>
      </c>
      <c r="AN93" s="15">
        <f>IF(AND(ISNUMBER(S93),ISNUMBER(S89)),VLOOKUP(ABS(S93-S89),'IMP Table'!$A$2:$C$26,3)*SIGN(S93-S89),0)</f>
        <v/>
      </c>
      <c r="AO93" s="15">
        <f>IF(AND(ISNUMBER(S93),ISNUMBER(S90)),VLOOKUP(ABS(S93-S90),'IMP Table'!$A$2:$C$26,3)*SIGN(S93-S90),0)</f>
        <v/>
      </c>
      <c r="AP93" s="15">
        <f>IF(AND(ISNUMBER(S93),ISNUMBER(S91)),VLOOKUP(ABS(S93-S91),'IMP Table'!$A$2:$C$26,3)*SIGN(S93-S91),0)</f>
        <v/>
      </c>
      <c r="AQ93" s="15">
        <f>IF(AND(ISNUMBER(S93),ISNUMBER(S92)),VLOOKUP(ABS(S93-S92),'IMP Table'!$A$2:$C$26,3)*SIGN(S93-S92),0)</f>
        <v/>
      </c>
    </row>
    <row r="94">
      <c r="A94" t="n">
        <v>14</v>
      </c>
      <c r="B94">
        <f>'By Round'!A31</f>
        <v/>
      </c>
      <c r="C94">
        <f>'By Round'!B37</f>
        <v/>
      </c>
      <c r="D94">
        <f>'By Round'!C37</f>
        <v/>
      </c>
      <c r="E94">
        <f>'By Round'!D37</f>
        <v/>
      </c>
      <c r="F94" s="11" t="inlineStr">
        <is>
          <t>None</t>
        </is>
      </c>
      <c r="G94">
        <f>IF(ISBLANK('By Round'!G37),"",'By Round'!G37)</f>
        <v/>
      </c>
      <c r="H94">
        <f>IF(ISBLANK('By Round'!H37),"",'By Round'!H37)</f>
        <v/>
      </c>
      <c r="I94">
        <f>IF(ISBLANK('By Round'!I37),"",'By Round'!I37)</f>
        <v/>
      </c>
      <c r="J94">
        <f>IF(ISBLANK('By Round'!J37),"",'By Round'!J37)</f>
        <v/>
      </c>
      <c r="K94">
        <f>IF(ISBLANK('By Round'!K37),"",'By Round'!K37)</f>
        <v/>
      </c>
      <c r="L94" s="12">
        <f>SUM(AF94:AK94)</f>
        <v/>
      </c>
      <c r="M94" s="13">
        <f>SUM(AL94:AQ94)</f>
        <v/>
      </c>
      <c r="N94" s="8">
        <f>IF(COUNT(T94:Y94)&gt;0,P94/COUNT(T94:Y94),0.5)</f>
        <v/>
      </c>
      <c r="O94" s="8">
        <f>IF(COUNT(Z94:AE94)&gt;0,Q94/COUNT(Z94:AE94),0.5)</f>
        <v/>
      </c>
      <c r="P94" s="5">
        <f>SUM(T94:Y94)</f>
        <v/>
      </c>
      <c r="Q94" s="5">
        <f>SUM(Z94:AE94)</f>
        <v/>
      </c>
      <c r="R94" s="14">
        <f>IF(ISNUMBER(J94),J94,IF(ISNUMBER(K94),-K94,""))</f>
        <v/>
      </c>
      <c r="S94">
        <f>IF(ISNUMBER(K94),K94,IF(ISNUMBER(J94),-J94,""))</f>
        <v/>
      </c>
      <c r="T94" s="14">
        <f>IF(ISNUMBER(R94),IF(ISNUMBER(R95),IF(R94&gt;R95,1.0,IF(R94=R95,0.5,0.0)),""),"")</f>
        <v/>
      </c>
      <c r="U94">
        <f>IF(ISNUMBER(R94),IF(ISNUMBER(R96),IF(R94&gt;R96,1.0,IF(R94=R96,0.5,0.0)),""),"")</f>
        <v/>
      </c>
      <c r="V94">
        <f>IF(ISNUMBER(R94),IF(ISNUMBER(R97),IF(R94&gt;R97,1.0,IF(R94=R97,0.5,0.0)),""),"")</f>
        <v/>
      </c>
      <c r="W94">
        <f>IF(ISNUMBER(R94),IF(ISNUMBER(R98),IF(R94&gt;R98,1.0,IF(R94=R98,0.5,0.0)),""),"")</f>
        <v/>
      </c>
      <c r="X94">
        <f>IF(ISNUMBER(R94),IF(ISNUMBER(R99),IF(R94&gt;R99,1.0,IF(R94=R99,0.5,0.0)),""),"")</f>
        <v/>
      </c>
      <c r="Y94">
        <f>IF(ISNUMBER(R94),IF(ISNUMBER(R100),IF(R94&gt;R100,1.0,IF(R94=R100,0.5,0.0)),""),"")</f>
        <v/>
      </c>
      <c r="Z94">
        <f>IF(ISNUMBER(S94),IF(ISNUMBER(S95),IF(S94&gt;S95,1.0,IF(S94=S95,0.5,0.0)),""),"")</f>
        <v/>
      </c>
      <c r="AA94">
        <f>IF(ISNUMBER(S94),IF(ISNUMBER(S96),IF(S94&gt;S96,1.0,IF(S94=S96,0.5,0.0)),""),"")</f>
        <v/>
      </c>
      <c r="AB94">
        <f>IF(ISNUMBER(S94),IF(ISNUMBER(S97),IF(S94&gt;S97,1.0,IF(S94=S97,0.5,0.0)),""),"")</f>
        <v/>
      </c>
      <c r="AC94">
        <f>IF(ISNUMBER(S94),IF(ISNUMBER(S98),IF(S94&gt;S98,1.0,IF(S94=S98,0.5,0.0)),""),"")</f>
        <v/>
      </c>
      <c r="AD94">
        <f>IF(ISNUMBER(S94),IF(ISNUMBER(S99),IF(S94&gt;S99,1.0,IF(S94=S99,0.5,0.0)),""),"")</f>
        <v/>
      </c>
      <c r="AE94">
        <f>IF(ISNUMBER(S94),IF(ISNUMBER(S100),IF(S94&gt;S100,1.0,IF(S94=S100,0.5,0.0)),""),"")</f>
        <v/>
      </c>
      <c r="AF94" s="14">
        <f>IF(AND(ISNUMBER(R94),ISNUMBER(R95)),VLOOKUP(ABS(R94-R95),'IMP Table'!$A$2:$C$26,3)*SIGN(R94-R95),0)</f>
        <v/>
      </c>
      <c r="AG94">
        <f>IF(AND(ISNUMBER(R94),ISNUMBER(R96)),VLOOKUP(ABS(R94-R96),'IMP Table'!$A$2:$C$26,3)*SIGN(R94-R96),0)</f>
        <v/>
      </c>
      <c r="AH94">
        <f>IF(AND(ISNUMBER(R94),ISNUMBER(R97)),VLOOKUP(ABS(R94-R97),'IMP Table'!$A$2:$C$26,3)*SIGN(R94-R97),0)</f>
        <v/>
      </c>
      <c r="AI94">
        <f>IF(AND(ISNUMBER(R94),ISNUMBER(R98)),VLOOKUP(ABS(R94-R98),'IMP Table'!$A$2:$C$26,3)*SIGN(R94-R98),0)</f>
        <v/>
      </c>
      <c r="AJ94">
        <f>IF(AND(ISNUMBER(R94),ISNUMBER(R99)),VLOOKUP(ABS(R94-R99),'IMP Table'!$A$2:$C$26,3)*SIGN(R94-R99),0)</f>
        <v/>
      </c>
      <c r="AK94">
        <f>IF(AND(ISNUMBER(R94),ISNUMBER(R100)),VLOOKUP(ABS(R94-R100),'IMP Table'!$A$2:$C$26,3)*SIGN(R94-R100),0)</f>
        <v/>
      </c>
      <c r="AL94">
        <f>IF(AND(ISNUMBER(S94),ISNUMBER(S95)),VLOOKUP(ABS(S94-S95),'IMP Table'!$A$2:$C$26,3)*SIGN(S94-S95),0)</f>
        <v/>
      </c>
      <c r="AM94">
        <f>IF(AND(ISNUMBER(S94),ISNUMBER(S96)),VLOOKUP(ABS(S94-S96),'IMP Table'!$A$2:$C$26,3)*SIGN(S94-S96),0)</f>
        <v/>
      </c>
      <c r="AN94">
        <f>IF(AND(ISNUMBER(S94),ISNUMBER(S97)),VLOOKUP(ABS(S94-S97),'IMP Table'!$A$2:$C$26,3)*SIGN(S94-S97),0)</f>
        <v/>
      </c>
      <c r="AO94">
        <f>IF(AND(ISNUMBER(S94),ISNUMBER(S98)),VLOOKUP(ABS(S94-S98),'IMP Table'!$A$2:$C$26,3)*SIGN(S94-S98),0)</f>
        <v/>
      </c>
      <c r="AP94">
        <f>IF(AND(ISNUMBER(S94),ISNUMBER(S99)),VLOOKUP(ABS(S94-S99),'IMP Table'!$A$2:$C$26,3)*SIGN(S94-S99),0)</f>
        <v/>
      </c>
      <c r="AQ94">
        <f>IF(AND(ISNUMBER(S94),ISNUMBER(S100)),VLOOKUP(ABS(S94-S100),'IMP Table'!$A$2:$C$26,3)*SIGN(S94-S100),0)</f>
        <v/>
      </c>
    </row>
    <row r="95">
      <c r="B95">
        <f>'By Round'!A45</f>
        <v/>
      </c>
      <c r="C95">
        <f>'By Round'!B49</f>
        <v/>
      </c>
      <c r="D95">
        <f>'By Round'!C49</f>
        <v/>
      </c>
      <c r="E95">
        <f>'By Round'!D49</f>
        <v/>
      </c>
      <c r="F95" s="11" t="inlineStr">
        <is>
          <t>None</t>
        </is>
      </c>
      <c r="G95">
        <f>IF(ISBLANK('By Round'!G49),"",'By Round'!G49)</f>
        <v/>
      </c>
      <c r="H95">
        <f>IF(ISBLANK('By Round'!H49),"",'By Round'!H49)</f>
        <v/>
      </c>
      <c r="I95">
        <f>IF(ISBLANK('By Round'!I49),"",'By Round'!I49)</f>
        <v/>
      </c>
      <c r="J95">
        <f>IF(ISBLANK('By Round'!J49),"",'By Round'!J49)</f>
        <v/>
      </c>
      <c r="K95">
        <f>IF(ISBLANK('By Round'!K49),"",'By Round'!K49)</f>
        <v/>
      </c>
      <c r="L95" s="12">
        <f>SUM(AF95:AK95)</f>
        <v/>
      </c>
      <c r="M95" s="13">
        <f>SUM(AL95:AQ95)</f>
        <v/>
      </c>
      <c r="N95" s="8">
        <f>IF(COUNT(T95:Y95)&gt;0,P95/COUNT(T95:Y95),0.5)</f>
        <v/>
      </c>
      <c r="O95" s="8">
        <f>IF(COUNT(Z95:AE95)&gt;0,Q95/COUNT(Z95:AE95),0.5)</f>
        <v/>
      </c>
      <c r="P95" s="5">
        <f>SUM(T95:Y95)</f>
        <v/>
      </c>
      <c r="Q95" s="5">
        <f>SUM(Z95:AE95)</f>
        <v/>
      </c>
      <c r="R95" s="14">
        <f>IF(ISNUMBER(J95),J95,IF(ISNUMBER(K95),-K95,""))</f>
        <v/>
      </c>
      <c r="S95">
        <f>IF(ISNUMBER(K95),K95,IF(ISNUMBER(J95),-J95,""))</f>
        <v/>
      </c>
      <c r="T95" s="14">
        <f>IF(ISNUMBER(R95),IF(ISNUMBER(R94),IF(R95&gt;R94,1.0,IF(R95=R94,0.5,0.0)),""),"")</f>
        <v/>
      </c>
      <c r="U95">
        <f>IF(ISNUMBER(R95),IF(ISNUMBER(R96),IF(R95&gt;R96,1.0,IF(R95=R96,0.5,0.0)),""),"")</f>
        <v/>
      </c>
      <c r="V95">
        <f>IF(ISNUMBER(R95),IF(ISNUMBER(R97),IF(R95&gt;R97,1.0,IF(R95=R97,0.5,0.0)),""),"")</f>
        <v/>
      </c>
      <c r="W95">
        <f>IF(ISNUMBER(R95),IF(ISNUMBER(R98),IF(R95&gt;R98,1.0,IF(R95=R98,0.5,0.0)),""),"")</f>
        <v/>
      </c>
      <c r="X95">
        <f>IF(ISNUMBER(R95),IF(ISNUMBER(R99),IF(R95&gt;R99,1.0,IF(R95=R99,0.5,0.0)),""),"")</f>
        <v/>
      </c>
      <c r="Y95">
        <f>IF(ISNUMBER(R95),IF(ISNUMBER(R100),IF(R95&gt;R100,1.0,IF(R95=R100,0.5,0.0)),""),"")</f>
        <v/>
      </c>
      <c r="Z95">
        <f>IF(ISNUMBER(S95),IF(ISNUMBER(S94),IF(S95&gt;S94,1.0,IF(S95=S94,0.5,0.0)),""),"")</f>
        <v/>
      </c>
      <c r="AA95">
        <f>IF(ISNUMBER(S95),IF(ISNUMBER(S96),IF(S95&gt;S96,1.0,IF(S95=S96,0.5,0.0)),""),"")</f>
        <v/>
      </c>
      <c r="AB95">
        <f>IF(ISNUMBER(S95),IF(ISNUMBER(S97),IF(S95&gt;S97,1.0,IF(S95=S97,0.5,0.0)),""),"")</f>
        <v/>
      </c>
      <c r="AC95">
        <f>IF(ISNUMBER(S95),IF(ISNUMBER(S98),IF(S95&gt;S98,1.0,IF(S95=S98,0.5,0.0)),""),"")</f>
        <v/>
      </c>
      <c r="AD95">
        <f>IF(ISNUMBER(S95),IF(ISNUMBER(S99),IF(S95&gt;S99,1.0,IF(S95=S99,0.5,0.0)),""),"")</f>
        <v/>
      </c>
      <c r="AE95">
        <f>IF(ISNUMBER(S95),IF(ISNUMBER(S100),IF(S95&gt;S100,1.0,IF(S95=S100,0.5,0.0)),""),"")</f>
        <v/>
      </c>
      <c r="AF95" s="14">
        <f>IF(AND(ISNUMBER(R95),ISNUMBER(R94)),VLOOKUP(ABS(R95-R94),'IMP Table'!$A$2:$C$26,3)*SIGN(R95-R94),0)</f>
        <v/>
      </c>
      <c r="AG95">
        <f>IF(AND(ISNUMBER(R95),ISNUMBER(R96)),VLOOKUP(ABS(R95-R96),'IMP Table'!$A$2:$C$26,3)*SIGN(R95-R96),0)</f>
        <v/>
      </c>
      <c r="AH95">
        <f>IF(AND(ISNUMBER(R95),ISNUMBER(R97)),VLOOKUP(ABS(R95-R97),'IMP Table'!$A$2:$C$26,3)*SIGN(R95-R97),0)</f>
        <v/>
      </c>
      <c r="AI95">
        <f>IF(AND(ISNUMBER(R95),ISNUMBER(R98)),VLOOKUP(ABS(R95-R98),'IMP Table'!$A$2:$C$26,3)*SIGN(R95-R98),0)</f>
        <v/>
      </c>
      <c r="AJ95">
        <f>IF(AND(ISNUMBER(R95),ISNUMBER(R99)),VLOOKUP(ABS(R95-R99),'IMP Table'!$A$2:$C$26,3)*SIGN(R95-R99),0)</f>
        <v/>
      </c>
      <c r="AK95">
        <f>IF(AND(ISNUMBER(R95),ISNUMBER(R100)),VLOOKUP(ABS(R95-R100),'IMP Table'!$A$2:$C$26,3)*SIGN(R95-R100),0)</f>
        <v/>
      </c>
      <c r="AL95">
        <f>IF(AND(ISNUMBER(S95),ISNUMBER(S94)),VLOOKUP(ABS(S95-S94),'IMP Table'!$A$2:$C$26,3)*SIGN(S95-S94),0)</f>
        <v/>
      </c>
      <c r="AM95">
        <f>IF(AND(ISNUMBER(S95),ISNUMBER(S96)),VLOOKUP(ABS(S95-S96),'IMP Table'!$A$2:$C$26,3)*SIGN(S95-S96),0)</f>
        <v/>
      </c>
      <c r="AN95">
        <f>IF(AND(ISNUMBER(S95),ISNUMBER(S97)),VLOOKUP(ABS(S95-S97),'IMP Table'!$A$2:$C$26,3)*SIGN(S95-S97),0)</f>
        <v/>
      </c>
      <c r="AO95">
        <f>IF(AND(ISNUMBER(S95),ISNUMBER(S98)),VLOOKUP(ABS(S95-S98),'IMP Table'!$A$2:$C$26,3)*SIGN(S95-S98),0)</f>
        <v/>
      </c>
      <c r="AP95">
        <f>IF(AND(ISNUMBER(S95),ISNUMBER(S99)),VLOOKUP(ABS(S95-S99),'IMP Table'!$A$2:$C$26,3)*SIGN(S95-S99),0)</f>
        <v/>
      </c>
      <c r="AQ95">
        <f>IF(AND(ISNUMBER(S95),ISNUMBER(S100)),VLOOKUP(ABS(S95-S100),'IMP Table'!$A$2:$C$26,3)*SIGN(S95-S100),0)</f>
        <v/>
      </c>
    </row>
    <row r="96">
      <c r="B96">
        <f>'By Round'!A59</f>
        <v/>
      </c>
      <c r="C96">
        <f>'By Round'!B61</f>
        <v/>
      </c>
      <c r="D96">
        <f>'By Round'!C61</f>
        <v/>
      </c>
      <c r="E96">
        <f>'By Round'!D61</f>
        <v/>
      </c>
      <c r="F96" s="11" t="inlineStr">
        <is>
          <t>None</t>
        </is>
      </c>
      <c r="G96">
        <f>IF(ISBLANK('By Round'!G61),"",'By Round'!G61)</f>
        <v/>
      </c>
      <c r="H96">
        <f>IF(ISBLANK('By Round'!H61),"",'By Round'!H61)</f>
        <v/>
      </c>
      <c r="I96">
        <f>IF(ISBLANK('By Round'!I61),"",'By Round'!I61)</f>
        <v/>
      </c>
      <c r="J96">
        <f>IF(ISBLANK('By Round'!J61),"",'By Round'!J61)</f>
        <v/>
      </c>
      <c r="K96">
        <f>IF(ISBLANK('By Round'!K61),"",'By Round'!K61)</f>
        <v/>
      </c>
      <c r="L96" s="12">
        <f>SUM(AF96:AK96)</f>
        <v/>
      </c>
      <c r="M96" s="13">
        <f>SUM(AL96:AQ96)</f>
        <v/>
      </c>
      <c r="N96" s="8">
        <f>IF(COUNT(T96:Y96)&gt;0,P96/COUNT(T96:Y96),0.5)</f>
        <v/>
      </c>
      <c r="O96" s="8">
        <f>IF(COUNT(Z96:AE96)&gt;0,Q96/COUNT(Z96:AE96),0.5)</f>
        <v/>
      </c>
      <c r="P96" s="5">
        <f>SUM(T96:Y96)</f>
        <v/>
      </c>
      <c r="Q96" s="5">
        <f>SUM(Z96:AE96)</f>
        <v/>
      </c>
      <c r="R96" s="14">
        <f>IF(ISNUMBER(J96),J96,IF(ISNUMBER(K96),-K96,""))</f>
        <v/>
      </c>
      <c r="S96">
        <f>IF(ISNUMBER(K96),K96,IF(ISNUMBER(J96),-J96,""))</f>
        <v/>
      </c>
      <c r="T96" s="14">
        <f>IF(ISNUMBER(R96),IF(ISNUMBER(R94),IF(R96&gt;R94,1.0,IF(R96=R94,0.5,0.0)),""),"")</f>
        <v/>
      </c>
      <c r="U96">
        <f>IF(ISNUMBER(R96),IF(ISNUMBER(R95),IF(R96&gt;R95,1.0,IF(R96=R95,0.5,0.0)),""),"")</f>
        <v/>
      </c>
      <c r="V96">
        <f>IF(ISNUMBER(R96),IF(ISNUMBER(R97),IF(R96&gt;R97,1.0,IF(R96=R97,0.5,0.0)),""),"")</f>
        <v/>
      </c>
      <c r="W96">
        <f>IF(ISNUMBER(R96),IF(ISNUMBER(R98),IF(R96&gt;R98,1.0,IF(R96=R98,0.5,0.0)),""),"")</f>
        <v/>
      </c>
      <c r="X96">
        <f>IF(ISNUMBER(R96),IF(ISNUMBER(R99),IF(R96&gt;R99,1.0,IF(R96=R99,0.5,0.0)),""),"")</f>
        <v/>
      </c>
      <c r="Y96">
        <f>IF(ISNUMBER(R96),IF(ISNUMBER(R100),IF(R96&gt;R100,1.0,IF(R96=R100,0.5,0.0)),""),"")</f>
        <v/>
      </c>
      <c r="Z96">
        <f>IF(ISNUMBER(S96),IF(ISNUMBER(S94),IF(S96&gt;S94,1.0,IF(S96=S94,0.5,0.0)),""),"")</f>
        <v/>
      </c>
      <c r="AA96">
        <f>IF(ISNUMBER(S96),IF(ISNUMBER(S95),IF(S96&gt;S95,1.0,IF(S96=S95,0.5,0.0)),""),"")</f>
        <v/>
      </c>
      <c r="AB96">
        <f>IF(ISNUMBER(S96),IF(ISNUMBER(S97),IF(S96&gt;S97,1.0,IF(S96=S97,0.5,0.0)),""),"")</f>
        <v/>
      </c>
      <c r="AC96">
        <f>IF(ISNUMBER(S96),IF(ISNUMBER(S98),IF(S96&gt;S98,1.0,IF(S96=S98,0.5,0.0)),""),"")</f>
        <v/>
      </c>
      <c r="AD96">
        <f>IF(ISNUMBER(S96),IF(ISNUMBER(S99),IF(S96&gt;S99,1.0,IF(S96=S99,0.5,0.0)),""),"")</f>
        <v/>
      </c>
      <c r="AE96">
        <f>IF(ISNUMBER(S96),IF(ISNUMBER(S100),IF(S96&gt;S100,1.0,IF(S96=S100,0.5,0.0)),""),"")</f>
        <v/>
      </c>
      <c r="AF96" s="14">
        <f>IF(AND(ISNUMBER(R96),ISNUMBER(R94)),VLOOKUP(ABS(R96-R94),'IMP Table'!$A$2:$C$26,3)*SIGN(R96-R94),0)</f>
        <v/>
      </c>
      <c r="AG96">
        <f>IF(AND(ISNUMBER(R96),ISNUMBER(R95)),VLOOKUP(ABS(R96-R95),'IMP Table'!$A$2:$C$26,3)*SIGN(R96-R95),0)</f>
        <v/>
      </c>
      <c r="AH96">
        <f>IF(AND(ISNUMBER(R96),ISNUMBER(R97)),VLOOKUP(ABS(R96-R97),'IMP Table'!$A$2:$C$26,3)*SIGN(R96-R97),0)</f>
        <v/>
      </c>
      <c r="AI96">
        <f>IF(AND(ISNUMBER(R96),ISNUMBER(R98)),VLOOKUP(ABS(R96-R98),'IMP Table'!$A$2:$C$26,3)*SIGN(R96-R98),0)</f>
        <v/>
      </c>
      <c r="AJ96">
        <f>IF(AND(ISNUMBER(R96),ISNUMBER(R99)),VLOOKUP(ABS(R96-R99),'IMP Table'!$A$2:$C$26,3)*SIGN(R96-R99),0)</f>
        <v/>
      </c>
      <c r="AK96">
        <f>IF(AND(ISNUMBER(R96),ISNUMBER(R100)),VLOOKUP(ABS(R96-R100),'IMP Table'!$A$2:$C$26,3)*SIGN(R96-R100),0)</f>
        <v/>
      </c>
      <c r="AL96">
        <f>IF(AND(ISNUMBER(S96),ISNUMBER(S94)),VLOOKUP(ABS(S96-S94),'IMP Table'!$A$2:$C$26,3)*SIGN(S96-S94),0)</f>
        <v/>
      </c>
      <c r="AM96">
        <f>IF(AND(ISNUMBER(S96),ISNUMBER(S95)),VLOOKUP(ABS(S96-S95),'IMP Table'!$A$2:$C$26,3)*SIGN(S96-S95),0)</f>
        <v/>
      </c>
      <c r="AN96">
        <f>IF(AND(ISNUMBER(S96),ISNUMBER(S97)),VLOOKUP(ABS(S96-S97),'IMP Table'!$A$2:$C$26,3)*SIGN(S96-S97),0)</f>
        <v/>
      </c>
      <c r="AO96">
        <f>IF(AND(ISNUMBER(S96),ISNUMBER(S98)),VLOOKUP(ABS(S96-S98),'IMP Table'!$A$2:$C$26,3)*SIGN(S96-S98),0)</f>
        <v/>
      </c>
      <c r="AP96">
        <f>IF(AND(ISNUMBER(S96),ISNUMBER(S99)),VLOOKUP(ABS(S96-S99),'IMP Table'!$A$2:$C$26,3)*SIGN(S96-S99),0)</f>
        <v/>
      </c>
      <c r="AQ96">
        <f>IF(AND(ISNUMBER(S96),ISNUMBER(S100)),VLOOKUP(ABS(S96-S100),'IMP Table'!$A$2:$C$26,3)*SIGN(S96-S100),0)</f>
        <v/>
      </c>
    </row>
    <row r="97">
      <c r="B97">
        <f>'By Round'!A87</f>
        <v/>
      </c>
      <c r="C97">
        <f>'By Round'!B87</f>
        <v/>
      </c>
      <c r="D97">
        <f>'By Round'!C87</f>
        <v/>
      </c>
      <c r="E97">
        <f>'By Round'!D87</f>
        <v/>
      </c>
      <c r="F97" s="11" t="inlineStr">
        <is>
          <t>None</t>
        </is>
      </c>
      <c r="G97">
        <f>IF(ISBLANK('By Round'!G87),"",'By Round'!G87)</f>
        <v/>
      </c>
      <c r="H97">
        <f>IF(ISBLANK('By Round'!H87),"",'By Round'!H87)</f>
        <v/>
      </c>
      <c r="I97">
        <f>IF(ISBLANK('By Round'!I87),"",'By Round'!I87)</f>
        <v/>
      </c>
      <c r="J97">
        <f>IF(ISBLANK('By Round'!J87),"",'By Round'!J87)</f>
        <v/>
      </c>
      <c r="K97">
        <f>IF(ISBLANK('By Round'!K87),"",'By Round'!K87)</f>
        <v/>
      </c>
      <c r="L97" s="12">
        <f>SUM(AF97:AK97)</f>
        <v/>
      </c>
      <c r="M97" s="13">
        <f>SUM(AL97:AQ97)</f>
        <v/>
      </c>
      <c r="N97" s="8">
        <f>IF(COUNT(T97:Y97)&gt;0,P97/COUNT(T97:Y97),0.5)</f>
        <v/>
      </c>
      <c r="O97" s="8">
        <f>IF(COUNT(Z97:AE97)&gt;0,Q97/COUNT(Z97:AE97),0.5)</f>
        <v/>
      </c>
      <c r="P97" s="5">
        <f>SUM(T97:Y97)</f>
        <v/>
      </c>
      <c r="Q97" s="5">
        <f>SUM(Z97:AE97)</f>
        <v/>
      </c>
      <c r="R97" s="14">
        <f>IF(ISNUMBER(J97),J97,IF(ISNUMBER(K97),-K97,""))</f>
        <v/>
      </c>
      <c r="S97">
        <f>IF(ISNUMBER(K97),K97,IF(ISNUMBER(J97),-J97,""))</f>
        <v/>
      </c>
      <c r="T97" s="14">
        <f>IF(ISNUMBER(R97),IF(ISNUMBER(R94),IF(R97&gt;R94,1.0,IF(R97=R94,0.5,0.0)),""),"")</f>
        <v/>
      </c>
      <c r="U97">
        <f>IF(ISNUMBER(R97),IF(ISNUMBER(R95),IF(R97&gt;R95,1.0,IF(R97=R95,0.5,0.0)),""),"")</f>
        <v/>
      </c>
      <c r="V97">
        <f>IF(ISNUMBER(R97),IF(ISNUMBER(R96),IF(R97&gt;R96,1.0,IF(R97=R96,0.5,0.0)),""),"")</f>
        <v/>
      </c>
      <c r="W97">
        <f>IF(ISNUMBER(R97),IF(ISNUMBER(R98),IF(R97&gt;R98,1.0,IF(R97=R98,0.5,0.0)),""),"")</f>
        <v/>
      </c>
      <c r="X97">
        <f>IF(ISNUMBER(R97),IF(ISNUMBER(R99),IF(R97&gt;R99,1.0,IF(R97=R99,0.5,0.0)),""),"")</f>
        <v/>
      </c>
      <c r="Y97">
        <f>IF(ISNUMBER(R97),IF(ISNUMBER(R100),IF(R97&gt;R100,1.0,IF(R97=R100,0.5,0.0)),""),"")</f>
        <v/>
      </c>
      <c r="Z97">
        <f>IF(ISNUMBER(S97),IF(ISNUMBER(S94),IF(S97&gt;S94,1.0,IF(S97=S94,0.5,0.0)),""),"")</f>
        <v/>
      </c>
      <c r="AA97">
        <f>IF(ISNUMBER(S97),IF(ISNUMBER(S95),IF(S97&gt;S95,1.0,IF(S97=S95,0.5,0.0)),""),"")</f>
        <v/>
      </c>
      <c r="AB97">
        <f>IF(ISNUMBER(S97),IF(ISNUMBER(S96),IF(S97&gt;S96,1.0,IF(S97=S96,0.5,0.0)),""),"")</f>
        <v/>
      </c>
      <c r="AC97">
        <f>IF(ISNUMBER(S97),IF(ISNUMBER(S98),IF(S97&gt;S98,1.0,IF(S97=S98,0.5,0.0)),""),"")</f>
        <v/>
      </c>
      <c r="AD97">
        <f>IF(ISNUMBER(S97),IF(ISNUMBER(S99),IF(S97&gt;S99,1.0,IF(S97=S99,0.5,0.0)),""),"")</f>
        <v/>
      </c>
      <c r="AE97">
        <f>IF(ISNUMBER(S97),IF(ISNUMBER(S100),IF(S97&gt;S100,1.0,IF(S97=S100,0.5,0.0)),""),"")</f>
        <v/>
      </c>
      <c r="AF97" s="14">
        <f>IF(AND(ISNUMBER(R97),ISNUMBER(R94)),VLOOKUP(ABS(R97-R94),'IMP Table'!$A$2:$C$26,3)*SIGN(R97-R94),0)</f>
        <v/>
      </c>
      <c r="AG97">
        <f>IF(AND(ISNUMBER(R97),ISNUMBER(R95)),VLOOKUP(ABS(R97-R95),'IMP Table'!$A$2:$C$26,3)*SIGN(R97-R95),0)</f>
        <v/>
      </c>
      <c r="AH97">
        <f>IF(AND(ISNUMBER(R97),ISNUMBER(R96)),VLOOKUP(ABS(R97-R96),'IMP Table'!$A$2:$C$26,3)*SIGN(R97-R96),0)</f>
        <v/>
      </c>
      <c r="AI97">
        <f>IF(AND(ISNUMBER(R97),ISNUMBER(R98)),VLOOKUP(ABS(R97-R98),'IMP Table'!$A$2:$C$26,3)*SIGN(R97-R98),0)</f>
        <v/>
      </c>
      <c r="AJ97">
        <f>IF(AND(ISNUMBER(R97),ISNUMBER(R99)),VLOOKUP(ABS(R97-R99),'IMP Table'!$A$2:$C$26,3)*SIGN(R97-R99),0)</f>
        <v/>
      </c>
      <c r="AK97">
        <f>IF(AND(ISNUMBER(R97),ISNUMBER(R100)),VLOOKUP(ABS(R97-R100),'IMP Table'!$A$2:$C$26,3)*SIGN(R97-R100),0)</f>
        <v/>
      </c>
      <c r="AL97">
        <f>IF(AND(ISNUMBER(S97),ISNUMBER(S94)),VLOOKUP(ABS(S97-S94),'IMP Table'!$A$2:$C$26,3)*SIGN(S97-S94),0)</f>
        <v/>
      </c>
      <c r="AM97">
        <f>IF(AND(ISNUMBER(S97),ISNUMBER(S95)),VLOOKUP(ABS(S97-S95),'IMP Table'!$A$2:$C$26,3)*SIGN(S97-S95),0)</f>
        <v/>
      </c>
      <c r="AN97">
        <f>IF(AND(ISNUMBER(S97),ISNUMBER(S96)),VLOOKUP(ABS(S97-S96),'IMP Table'!$A$2:$C$26,3)*SIGN(S97-S96),0)</f>
        <v/>
      </c>
      <c r="AO97">
        <f>IF(AND(ISNUMBER(S97),ISNUMBER(S98)),VLOOKUP(ABS(S97-S98),'IMP Table'!$A$2:$C$26,3)*SIGN(S97-S98),0)</f>
        <v/>
      </c>
      <c r="AP97">
        <f>IF(AND(ISNUMBER(S97),ISNUMBER(S99)),VLOOKUP(ABS(S97-S99),'IMP Table'!$A$2:$C$26,3)*SIGN(S97-S99),0)</f>
        <v/>
      </c>
      <c r="AQ97">
        <f>IF(AND(ISNUMBER(S97),ISNUMBER(S100)),VLOOKUP(ABS(S97-S100),'IMP Table'!$A$2:$C$26,3)*SIGN(S97-S100),0)</f>
        <v/>
      </c>
    </row>
    <row r="98">
      <c r="B98">
        <f>'By Round'!A115</f>
        <v/>
      </c>
      <c r="C98">
        <f>'By Round'!B127</f>
        <v/>
      </c>
      <c r="D98">
        <f>'By Round'!C127</f>
        <v/>
      </c>
      <c r="E98">
        <f>'By Round'!D127</f>
        <v/>
      </c>
      <c r="F98" s="11" t="inlineStr">
        <is>
          <t>None</t>
        </is>
      </c>
      <c r="G98">
        <f>IF(ISBLANK('By Round'!G127),"",'By Round'!G127)</f>
        <v/>
      </c>
      <c r="H98">
        <f>IF(ISBLANK('By Round'!H127),"",'By Round'!H127)</f>
        <v/>
      </c>
      <c r="I98">
        <f>IF(ISBLANK('By Round'!I127),"",'By Round'!I127)</f>
        <v/>
      </c>
      <c r="J98">
        <f>IF(ISBLANK('By Round'!J127),"",'By Round'!J127)</f>
        <v/>
      </c>
      <c r="K98">
        <f>IF(ISBLANK('By Round'!K127),"",'By Round'!K127)</f>
        <v/>
      </c>
      <c r="L98" s="12">
        <f>SUM(AF98:AK98)</f>
        <v/>
      </c>
      <c r="M98" s="13">
        <f>SUM(AL98:AQ98)</f>
        <v/>
      </c>
      <c r="N98" s="8">
        <f>IF(COUNT(T98:Y98)&gt;0,P98/COUNT(T98:Y98),0.5)</f>
        <v/>
      </c>
      <c r="O98" s="8">
        <f>IF(COUNT(Z98:AE98)&gt;0,Q98/COUNT(Z98:AE98),0.5)</f>
        <v/>
      </c>
      <c r="P98" s="5">
        <f>SUM(T98:Y98)</f>
        <v/>
      </c>
      <c r="Q98" s="5">
        <f>SUM(Z98:AE98)</f>
        <v/>
      </c>
      <c r="R98" s="14">
        <f>IF(ISNUMBER(J98),J98,IF(ISNUMBER(K98),-K98,""))</f>
        <v/>
      </c>
      <c r="S98">
        <f>IF(ISNUMBER(K98),K98,IF(ISNUMBER(J98),-J98,""))</f>
        <v/>
      </c>
      <c r="T98" s="14">
        <f>IF(ISNUMBER(R98),IF(ISNUMBER(R94),IF(R98&gt;R94,1.0,IF(R98=R94,0.5,0.0)),""),"")</f>
        <v/>
      </c>
      <c r="U98">
        <f>IF(ISNUMBER(R98),IF(ISNUMBER(R95),IF(R98&gt;R95,1.0,IF(R98=R95,0.5,0.0)),""),"")</f>
        <v/>
      </c>
      <c r="V98">
        <f>IF(ISNUMBER(R98),IF(ISNUMBER(R96),IF(R98&gt;R96,1.0,IF(R98=R96,0.5,0.0)),""),"")</f>
        <v/>
      </c>
      <c r="W98">
        <f>IF(ISNUMBER(R98),IF(ISNUMBER(R97),IF(R98&gt;R97,1.0,IF(R98=R97,0.5,0.0)),""),"")</f>
        <v/>
      </c>
      <c r="X98">
        <f>IF(ISNUMBER(R98),IF(ISNUMBER(R99),IF(R98&gt;R99,1.0,IF(R98=R99,0.5,0.0)),""),"")</f>
        <v/>
      </c>
      <c r="Y98">
        <f>IF(ISNUMBER(R98),IF(ISNUMBER(R100),IF(R98&gt;R100,1.0,IF(R98=R100,0.5,0.0)),""),"")</f>
        <v/>
      </c>
      <c r="Z98">
        <f>IF(ISNUMBER(S98),IF(ISNUMBER(S94),IF(S98&gt;S94,1.0,IF(S98=S94,0.5,0.0)),""),"")</f>
        <v/>
      </c>
      <c r="AA98">
        <f>IF(ISNUMBER(S98),IF(ISNUMBER(S95),IF(S98&gt;S95,1.0,IF(S98=S95,0.5,0.0)),""),"")</f>
        <v/>
      </c>
      <c r="AB98">
        <f>IF(ISNUMBER(S98),IF(ISNUMBER(S96),IF(S98&gt;S96,1.0,IF(S98=S96,0.5,0.0)),""),"")</f>
        <v/>
      </c>
      <c r="AC98">
        <f>IF(ISNUMBER(S98),IF(ISNUMBER(S97),IF(S98&gt;S97,1.0,IF(S98=S97,0.5,0.0)),""),"")</f>
        <v/>
      </c>
      <c r="AD98">
        <f>IF(ISNUMBER(S98),IF(ISNUMBER(S99),IF(S98&gt;S99,1.0,IF(S98=S99,0.5,0.0)),""),"")</f>
        <v/>
      </c>
      <c r="AE98">
        <f>IF(ISNUMBER(S98),IF(ISNUMBER(S100),IF(S98&gt;S100,1.0,IF(S98=S100,0.5,0.0)),""),"")</f>
        <v/>
      </c>
      <c r="AF98" s="14">
        <f>IF(AND(ISNUMBER(R98),ISNUMBER(R94)),VLOOKUP(ABS(R98-R94),'IMP Table'!$A$2:$C$26,3)*SIGN(R98-R94),0)</f>
        <v/>
      </c>
      <c r="AG98">
        <f>IF(AND(ISNUMBER(R98),ISNUMBER(R95)),VLOOKUP(ABS(R98-R95),'IMP Table'!$A$2:$C$26,3)*SIGN(R98-R95),0)</f>
        <v/>
      </c>
      <c r="AH98">
        <f>IF(AND(ISNUMBER(R98),ISNUMBER(R96)),VLOOKUP(ABS(R98-R96),'IMP Table'!$A$2:$C$26,3)*SIGN(R98-R96),0)</f>
        <v/>
      </c>
      <c r="AI98">
        <f>IF(AND(ISNUMBER(R98),ISNUMBER(R97)),VLOOKUP(ABS(R98-R97),'IMP Table'!$A$2:$C$26,3)*SIGN(R98-R97),0)</f>
        <v/>
      </c>
      <c r="AJ98">
        <f>IF(AND(ISNUMBER(R98),ISNUMBER(R99)),VLOOKUP(ABS(R98-R99),'IMP Table'!$A$2:$C$26,3)*SIGN(R98-R99),0)</f>
        <v/>
      </c>
      <c r="AK98">
        <f>IF(AND(ISNUMBER(R98),ISNUMBER(R100)),VLOOKUP(ABS(R98-R100),'IMP Table'!$A$2:$C$26,3)*SIGN(R98-R100),0)</f>
        <v/>
      </c>
      <c r="AL98">
        <f>IF(AND(ISNUMBER(S98),ISNUMBER(S94)),VLOOKUP(ABS(S98-S94),'IMP Table'!$A$2:$C$26,3)*SIGN(S98-S94),0)</f>
        <v/>
      </c>
      <c r="AM98">
        <f>IF(AND(ISNUMBER(S98),ISNUMBER(S95)),VLOOKUP(ABS(S98-S95),'IMP Table'!$A$2:$C$26,3)*SIGN(S98-S95),0)</f>
        <v/>
      </c>
      <c r="AN98">
        <f>IF(AND(ISNUMBER(S98),ISNUMBER(S96)),VLOOKUP(ABS(S98-S96),'IMP Table'!$A$2:$C$26,3)*SIGN(S98-S96),0)</f>
        <v/>
      </c>
      <c r="AO98">
        <f>IF(AND(ISNUMBER(S98),ISNUMBER(S97)),VLOOKUP(ABS(S98-S97),'IMP Table'!$A$2:$C$26,3)*SIGN(S98-S97),0)</f>
        <v/>
      </c>
      <c r="AP98">
        <f>IF(AND(ISNUMBER(S98),ISNUMBER(S99)),VLOOKUP(ABS(S98-S99),'IMP Table'!$A$2:$C$26,3)*SIGN(S98-S99),0)</f>
        <v/>
      </c>
      <c r="AQ98">
        <f>IF(AND(ISNUMBER(S98),ISNUMBER(S100)),VLOOKUP(ABS(S98-S100),'IMP Table'!$A$2:$C$26,3)*SIGN(S98-S100),0)</f>
        <v/>
      </c>
    </row>
    <row r="99">
      <c r="B99">
        <f>'By Round'!A129</f>
        <v/>
      </c>
      <c r="C99">
        <f>'By Round'!B139</f>
        <v/>
      </c>
      <c r="D99">
        <f>'By Round'!C139</f>
        <v/>
      </c>
      <c r="E99">
        <f>'By Round'!D139</f>
        <v/>
      </c>
      <c r="F99" s="11" t="inlineStr">
        <is>
          <t>None</t>
        </is>
      </c>
      <c r="G99">
        <f>IF(ISBLANK('By Round'!G139),"",'By Round'!G139)</f>
        <v/>
      </c>
      <c r="H99">
        <f>IF(ISBLANK('By Round'!H139),"",'By Round'!H139)</f>
        <v/>
      </c>
      <c r="I99">
        <f>IF(ISBLANK('By Round'!I139),"",'By Round'!I139)</f>
        <v/>
      </c>
      <c r="J99">
        <f>IF(ISBLANK('By Round'!J139),"",'By Round'!J139)</f>
        <v/>
      </c>
      <c r="K99">
        <f>IF(ISBLANK('By Round'!K139),"",'By Round'!K139)</f>
        <v/>
      </c>
      <c r="L99" s="12">
        <f>SUM(AF99:AK99)</f>
        <v/>
      </c>
      <c r="M99" s="13">
        <f>SUM(AL99:AQ99)</f>
        <v/>
      </c>
      <c r="N99" s="8">
        <f>IF(COUNT(T99:Y99)&gt;0,P99/COUNT(T99:Y99),0.5)</f>
        <v/>
      </c>
      <c r="O99" s="8">
        <f>IF(COUNT(Z99:AE99)&gt;0,Q99/COUNT(Z99:AE99),0.5)</f>
        <v/>
      </c>
      <c r="P99" s="5">
        <f>SUM(T99:Y99)</f>
        <v/>
      </c>
      <c r="Q99" s="5">
        <f>SUM(Z99:AE99)</f>
        <v/>
      </c>
      <c r="R99" s="14">
        <f>IF(ISNUMBER(J99),J99,IF(ISNUMBER(K99),-K99,""))</f>
        <v/>
      </c>
      <c r="S99">
        <f>IF(ISNUMBER(K99),K99,IF(ISNUMBER(J99),-J99,""))</f>
        <v/>
      </c>
      <c r="T99" s="14">
        <f>IF(ISNUMBER(R99),IF(ISNUMBER(R94),IF(R99&gt;R94,1.0,IF(R99=R94,0.5,0.0)),""),"")</f>
        <v/>
      </c>
      <c r="U99">
        <f>IF(ISNUMBER(R99),IF(ISNUMBER(R95),IF(R99&gt;R95,1.0,IF(R99=R95,0.5,0.0)),""),"")</f>
        <v/>
      </c>
      <c r="V99">
        <f>IF(ISNUMBER(R99),IF(ISNUMBER(R96),IF(R99&gt;R96,1.0,IF(R99=R96,0.5,0.0)),""),"")</f>
        <v/>
      </c>
      <c r="W99">
        <f>IF(ISNUMBER(R99),IF(ISNUMBER(R97),IF(R99&gt;R97,1.0,IF(R99=R97,0.5,0.0)),""),"")</f>
        <v/>
      </c>
      <c r="X99">
        <f>IF(ISNUMBER(R99),IF(ISNUMBER(R98),IF(R99&gt;R98,1.0,IF(R99=R98,0.5,0.0)),""),"")</f>
        <v/>
      </c>
      <c r="Y99">
        <f>IF(ISNUMBER(R99),IF(ISNUMBER(R100),IF(R99&gt;R100,1.0,IF(R99=R100,0.5,0.0)),""),"")</f>
        <v/>
      </c>
      <c r="Z99">
        <f>IF(ISNUMBER(S99),IF(ISNUMBER(S94),IF(S99&gt;S94,1.0,IF(S99=S94,0.5,0.0)),""),"")</f>
        <v/>
      </c>
      <c r="AA99">
        <f>IF(ISNUMBER(S99),IF(ISNUMBER(S95),IF(S99&gt;S95,1.0,IF(S99=S95,0.5,0.0)),""),"")</f>
        <v/>
      </c>
      <c r="AB99">
        <f>IF(ISNUMBER(S99),IF(ISNUMBER(S96),IF(S99&gt;S96,1.0,IF(S99=S96,0.5,0.0)),""),"")</f>
        <v/>
      </c>
      <c r="AC99">
        <f>IF(ISNUMBER(S99),IF(ISNUMBER(S97),IF(S99&gt;S97,1.0,IF(S99=S97,0.5,0.0)),""),"")</f>
        <v/>
      </c>
      <c r="AD99">
        <f>IF(ISNUMBER(S99),IF(ISNUMBER(S98),IF(S99&gt;S98,1.0,IF(S99=S98,0.5,0.0)),""),"")</f>
        <v/>
      </c>
      <c r="AE99">
        <f>IF(ISNUMBER(S99),IF(ISNUMBER(S100),IF(S99&gt;S100,1.0,IF(S99=S100,0.5,0.0)),""),"")</f>
        <v/>
      </c>
      <c r="AF99" s="14">
        <f>IF(AND(ISNUMBER(R99),ISNUMBER(R94)),VLOOKUP(ABS(R99-R94),'IMP Table'!$A$2:$C$26,3)*SIGN(R99-R94),0)</f>
        <v/>
      </c>
      <c r="AG99">
        <f>IF(AND(ISNUMBER(R99),ISNUMBER(R95)),VLOOKUP(ABS(R99-R95),'IMP Table'!$A$2:$C$26,3)*SIGN(R99-R95),0)</f>
        <v/>
      </c>
      <c r="AH99">
        <f>IF(AND(ISNUMBER(R99),ISNUMBER(R96)),VLOOKUP(ABS(R99-R96),'IMP Table'!$A$2:$C$26,3)*SIGN(R99-R96),0)</f>
        <v/>
      </c>
      <c r="AI99">
        <f>IF(AND(ISNUMBER(R99),ISNUMBER(R97)),VLOOKUP(ABS(R99-R97),'IMP Table'!$A$2:$C$26,3)*SIGN(R99-R97),0)</f>
        <v/>
      </c>
      <c r="AJ99">
        <f>IF(AND(ISNUMBER(R99),ISNUMBER(R98)),VLOOKUP(ABS(R99-R98),'IMP Table'!$A$2:$C$26,3)*SIGN(R99-R98),0)</f>
        <v/>
      </c>
      <c r="AK99">
        <f>IF(AND(ISNUMBER(R99),ISNUMBER(R100)),VLOOKUP(ABS(R99-R100),'IMP Table'!$A$2:$C$26,3)*SIGN(R99-R100),0)</f>
        <v/>
      </c>
      <c r="AL99">
        <f>IF(AND(ISNUMBER(S99),ISNUMBER(S94)),VLOOKUP(ABS(S99-S94),'IMP Table'!$A$2:$C$26,3)*SIGN(S99-S94),0)</f>
        <v/>
      </c>
      <c r="AM99">
        <f>IF(AND(ISNUMBER(S99),ISNUMBER(S95)),VLOOKUP(ABS(S99-S95),'IMP Table'!$A$2:$C$26,3)*SIGN(S99-S95),0)</f>
        <v/>
      </c>
      <c r="AN99">
        <f>IF(AND(ISNUMBER(S99),ISNUMBER(S96)),VLOOKUP(ABS(S99-S96),'IMP Table'!$A$2:$C$26,3)*SIGN(S99-S96),0)</f>
        <v/>
      </c>
      <c r="AO99">
        <f>IF(AND(ISNUMBER(S99),ISNUMBER(S97)),VLOOKUP(ABS(S99-S97),'IMP Table'!$A$2:$C$26,3)*SIGN(S99-S97),0)</f>
        <v/>
      </c>
      <c r="AP99">
        <f>IF(AND(ISNUMBER(S99),ISNUMBER(S98)),VLOOKUP(ABS(S99-S98),'IMP Table'!$A$2:$C$26,3)*SIGN(S99-S98),0)</f>
        <v/>
      </c>
      <c r="AQ99">
        <f>IF(AND(ISNUMBER(S99),ISNUMBER(S100)),VLOOKUP(ABS(S99-S100),'IMP Table'!$A$2:$C$26,3)*SIGN(S99-S100),0)</f>
        <v/>
      </c>
    </row>
    <row r="100">
      <c r="A100" s="15" t="n"/>
      <c r="B100" s="15">
        <f>'By Round'!A143</f>
        <v/>
      </c>
      <c r="C100" s="15">
        <f>'By Round'!B151</f>
        <v/>
      </c>
      <c r="D100" s="15">
        <f>'By Round'!C151</f>
        <v/>
      </c>
      <c r="E100" s="15">
        <f>'By Round'!D151</f>
        <v/>
      </c>
      <c r="F100" s="16" t="inlineStr">
        <is>
          <t>None</t>
        </is>
      </c>
      <c r="G100" s="15">
        <f>IF(ISBLANK('By Round'!G151),"",'By Round'!G151)</f>
        <v/>
      </c>
      <c r="H100" s="15">
        <f>IF(ISBLANK('By Round'!H151),"",'By Round'!H151)</f>
        <v/>
      </c>
      <c r="I100" s="15">
        <f>IF(ISBLANK('By Round'!I151),"",'By Round'!I151)</f>
        <v/>
      </c>
      <c r="J100" s="15">
        <f>IF(ISBLANK('By Round'!J151),"",'By Round'!J151)</f>
        <v/>
      </c>
      <c r="K100" s="15">
        <f>IF(ISBLANK('By Round'!K151),"",'By Round'!K151)</f>
        <v/>
      </c>
      <c r="L100" s="17">
        <f>SUM(AF100:AK100)</f>
        <v/>
      </c>
      <c r="M100" s="18">
        <f>SUM(AL100:AQ100)</f>
        <v/>
      </c>
      <c r="N100" s="19">
        <f>IF(COUNT(T100:Y100)&gt;0,P100/COUNT(T100:Y100),0.5)</f>
        <v/>
      </c>
      <c r="O100" s="19">
        <f>IF(COUNT(Z100:AE100)&gt;0,Q100/COUNT(Z100:AE100),0.5)</f>
        <v/>
      </c>
      <c r="P100" s="20">
        <f>SUM(T100:Y100)</f>
        <v/>
      </c>
      <c r="Q100" s="20">
        <f>SUM(Z100:AE100)</f>
        <v/>
      </c>
      <c r="R100" s="21">
        <f>IF(ISNUMBER(J100),J100,IF(ISNUMBER(K100),-K100,""))</f>
        <v/>
      </c>
      <c r="S100" s="15">
        <f>IF(ISNUMBER(K100),K100,IF(ISNUMBER(J100),-J100,""))</f>
        <v/>
      </c>
      <c r="T100" s="21">
        <f>IF(ISNUMBER(R100),IF(ISNUMBER(R94),IF(R100&gt;R94,1.0,IF(R100=R94,0.5,0.0)),""),"")</f>
        <v/>
      </c>
      <c r="U100" s="15">
        <f>IF(ISNUMBER(R100),IF(ISNUMBER(R95),IF(R100&gt;R95,1.0,IF(R100=R95,0.5,0.0)),""),"")</f>
        <v/>
      </c>
      <c r="V100" s="15">
        <f>IF(ISNUMBER(R100),IF(ISNUMBER(R96),IF(R100&gt;R96,1.0,IF(R100=R96,0.5,0.0)),""),"")</f>
        <v/>
      </c>
      <c r="W100" s="15">
        <f>IF(ISNUMBER(R100),IF(ISNUMBER(R97),IF(R100&gt;R97,1.0,IF(R100=R97,0.5,0.0)),""),"")</f>
        <v/>
      </c>
      <c r="X100" s="15">
        <f>IF(ISNUMBER(R100),IF(ISNUMBER(R98),IF(R100&gt;R98,1.0,IF(R100=R98,0.5,0.0)),""),"")</f>
        <v/>
      </c>
      <c r="Y100" s="15">
        <f>IF(ISNUMBER(R100),IF(ISNUMBER(R99),IF(R100&gt;R99,1.0,IF(R100=R99,0.5,0.0)),""),"")</f>
        <v/>
      </c>
      <c r="Z100" s="15">
        <f>IF(ISNUMBER(S100),IF(ISNUMBER(S94),IF(S100&gt;S94,1.0,IF(S100=S94,0.5,0.0)),""),"")</f>
        <v/>
      </c>
      <c r="AA100" s="15">
        <f>IF(ISNUMBER(S100),IF(ISNUMBER(S95),IF(S100&gt;S95,1.0,IF(S100=S95,0.5,0.0)),""),"")</f>
        <v/>
      </c>
      <c r="AB100" s="15">
        <f>IF(ISNUMBER(S100),IF(ISNUMBER(S96),IF(S100&gt;S96,1.0,IF(S100=S96,0.5,0.0)),""),"")</f>
        <v/>
      </c>
      <c r="AC100" s="15">
        <f>IF(ISNUMBER(S100),IF(ISNUMBER(S97),IF(S100&gt;S97,1.0,IF(S100=S97,0.5,0.0)),""),"")</f>
        <v/>
      </c>
      <c r="AD100" s="15">
        <f>IF(ISNUMBER(S100),IF(ISNUMBER(S98),IF(S100&gt;S98,1.0,IF(S100=S98,0.5,0.0)),""),"")</f>
        <v/>
      </c>
      <c r="AE100" s="15">
        <f>IF(ISNUMBER(S100),IF(ISNUMBER(S99),IF(S100&gt;S99,1.0,IF(S100=S99,0.5,0.0)),""),"")</f>
        <v/>
      </c>
      <c r="AF100" s="21">
        <f>IF(AND(ISNUMBER(R100),ISNUMBER(R94)),VLOOKUP(ABS(R100-R94),'IMP Table'!$A$2:$C$26,3)*SIGN(R100-R94),0)</f>
        <v/>
      </c>
      <c r="AG100" s="15">
        <f>IF(AND(ISNUMBER(R100),ISNUMBER(R95)),VLOOKUP(ABS(R100-R95),'IMP Table'!$A$2:$C$26,3)*SIGN(R100-R95),0)</f>
        <v/>
      </c>
      <c r="AH100" s="15">
        <f>IF(AND(ISNUMBER(R100),ISNUMBER(R96)),VLOOKUP(ABS(R100-R96),'IMP Table'!$A$2:$C$26,3)*SIGN(R100-R96),0)</f>
        <v/>
      </c>
      <c r="AI100" s="15">
        <f>IF(AND(ISNUMBER(R100),ISNUMBER(R97)),VLOOKUP(ABS(R100-R97),'IMP Table'!$A$2:$C$26,3)*SIGN(R100-R97),0)</f>
        <v/>
      </c>
      <c r="AJ100" s="15">
        <f>IF(AND(ISNUMBER(R100),ISNUMBER(R98)),VLOOKUP(ABS(R100-R98),'IMP Table'!$A$2:$C$26,3)*SIGN(R100-R98),0)</f>
        <v/>
      </c>
      <c r="AK100" s="15">
        <f>IF(AND(ISNUMBER(R100),ISNUMBER(R99)),VLOOKUP(ABS(R100-R99),'IMP Table'!$A$2:$C$26,3)*SIGN(R100-R99),0)</f>
        <v/>
      </c>
      <c r="AL100" s="15">
        <f>IF(AND(ISNUMBER(S100),ISNUMBER(S94)),VLOOKUP(ABS(S100-S94),'IMP Table'!$A$2:$C$26,3)*SIGN(S100-S94),0)</f>
        <v/>
      </c>
      <c r="AM100" s="15">
        <f>IF(AND(ISNUMBER(S100),ISNUMBER(S95)),VLOOKUP(ABS(S100-S95),'IMP Table'!$A$2:$C$26,3)*SIGN(S100-S95),0)</f>
        <v/>
      </c>
      <c r="AN100" s="15">
        <f>IF(AND(ISNUMBER(S100),ISNUMBER(S96)),VLOOKUP(ABS(S100-S96),'IMP Table'!$A$2:$C$26,3)*SIGN(S100-S96),0)</f>
        <v/>
      </c>
      <c r="AO100" s="15">
        <f>IF(AND(ISNUMBER(S100),ISNUMBER(S97)),VLOOKUP(ABS(S100-S97),'IMP Table'!$A$2:$C$26,3)*SIGN(S100-S97),0)</f>
        <v/>
      </c>
      <c r="AP100" s="15">
        <f>IF(AND(ISNUMBER(S100),ISNUMBER(S98)),VLOOKUP(ABS(S100-S98),'IMP Table'!$A$2:$C$26,3)*SIGN(S100-S98),0)</f>
        <v/>
      </c>
      <c r="AQ100" s="15">
        <f>IF(AND(ISNUMBER(S100),ISNUMBER(S99)),VLOOKUP(ABS(S100-S99),'IMP Table'!$A$2:$C$26,3)*SIGN(S100-S99),0)</f>
        <v/>
      </c>
    </row>
    <row r="101">
      <c r="A101" t="n">
        <v>15</v>
      </c>
      <c r="B101">
        <f>'By Round'!A45</f>
        <v/>
      </c>
      <c r="C101">
        <f>'By Round'!B51</f>
        <v/>
      </c>
      <c r="D101">
        <f>'By Round'!C51</f>
        <v/>
      </c>
      <c r="E101">
        <f>'By Round'!D51</f>
        <v/>
      </c>
      <c r="F101" s="11" t="inlineStr">
        <is>
          <t>NS</t>
        </is>
      </c>
      <c r="G101">
        <f>IF(ISBLANK('By Round'!G51),"",'By Round'!G51)</f>
        <v/>
      </c>
      <c r="H101">
        <f>IF(ISBLANK('By Round'!H51),"",'By Round'!H51)</f>
        <v/>
      </c>
      <c r="I101">
        <f>IF(ISBLANK('By Round'!I51),"",'By Round'!I51)</f>
        <v/>
      </c>
      <c r="J101">
        <f>IF(ISBLANK('By Round'!J51),"",'By Round'!J51)</f>
        <v/>
      </c>
      <c r="K101">
        <f>IF(ISBLANK('By Round'!K51),"",'By Round'!K51)</f>
        <v/>
      </c>
      <c r="L101" s="12">
        <f>SUM(AF101:AK101)</f>
        <v/>
      </c>
      <c r="M101" s="13">
        <f>SUM(AL101:AQ101)</f>
        <v/>
      </c>
      <c r="N101" s="8">
        <f>IF(COUNT(T101:Y101)&gt;0,P101/COUNT(T101:Y101),0.5)</f>
        <v/>
      </c>
      <c r="O101" s="8">
        <f>IF(COUNT(Z101:AE101)&gt;0,Q101/COUNT(Z101:AE101),0.5)</f>
        <v/>
      </c>
      <c r="P101" s="5">
        <f>SUM(T101:Y101)</f>
        <v/>
      </c>
      <c r="Q101" s="5">
        <f>SUM(Z101:AE101)</f>
        <v/>
      </c>
      <c r="R101" s="14">
        <f>IF(ISNUMBER(J101),J101,IF(ISNUMBER(K101),-K101,""))</f>
        <v/>
      </c>
      <c r="S101">
        <f>IF(ISNUMBER(K101),K101,IF(ISNUMBER(J101),-J101,""))</f>
        <v/>
      </c>
      <c r="T101" s="14">
        <f>IF(ISNUMBER(R101),IF(ISNUMBER(R102),IF(R101&gt;R102,1.0,IF(R101=R102,0.5,0.0)),""),"")</f>
        <v/>
      </c>
      <c r="U101">
        <f>IF(ISNUMBER(R101),IF(ISNUMBER(R103),IF(R101&gt;R103,1.0,IF(R101=R103,0.5,0.0)),""),"")</f>
        <v/>
      </c>
      <c r="V101">
        <f>IF(ISNUMBER(R101),IF(ISNUMBER(R104),IF(R101&gt;R104,1.0,IF(R101=R104,0.5,0.0)),""),"")</f>
        <v/>
      </c>
      <c r="W101">
        <f>IF(ISNUMBER(R101),IF(ISNUMBER(R105),IF(R101&gt;R105,1.0,IF(R101=R105,0.5,0.0)),""),"")</f>
        <v/>
      </c>
      <c r="X101">
        <f>IF(ISNUMBER(R101),IF(ISNUMBER(R106),IF(R101&gt;R106,1.0,IF(R101=R106,0.5,0.0)),""),"")</f>
        <v/>
      </c>
      <c r="Y101">
        <f>IF(ISNUMBER(R101),IF(ISNUMBER(R107),IF(R101&gt;R107,1.0,IF(R101=R107,0.5,0.0)),""),"")</f>
        <v/>
      </c>
      <c r="Z101">
        <f>IF(ISNUMBER(S101),IF(ISNUMBER(S102),IF(S101&gt;S102,1.0,IF(S101=S102,0.5,0.0)),""),"")</f>
        <v/>
      </c>
      <c r="AA101">
        <f>IF(ISNUMBER(S101),IF(ISNUMBER(S103),IF(S101&gt;S103,1.0,IF(S101=S103,0.5,0.0)),""),"")</f>
        <v/>
      </c>
      <c r="AB101">
        <f>IF(ISNUMBER(S101),IF(ISNUMBER(S104),IF(S101&gt;S104,1.0,IF(S101=S104,0.5,0.0)),""),"")</f>
        <v/>
      </c>
      <c r="AC101">
        <f>IF(ISNUMBER(S101),IF(ISNUMBER(S105),IF(S101&gt;S105,1.0,IF(S101=S105,0.5,0.0)),""),"")</f>
        <v/>
      </c>
      <c r="AD101">
        <f>IF(ISNUMBER(S101),IF(ISNUMBER(S106),IF(S101&gt;S106,1.0,IF(S101=S106,0.5,0.0)),""),"")</f>
        <v/>
      </c>
      <c r="AE101">
        <f>IF(ISNUMBER(S101),IF(ISNUMBER(S107),IF(S101&gt;S107,1.0,IF(S101=S107,0.5,0.0)),""),"")</f>
        <v/>
      </c>
      <c r="AF101" s="14">
        <f>IF(AND(ISNUMBER(R101),ISNUMBER(R102)),VLOOKUP(ABS(R101-R102),'IMP Table'!$A$2:$C$26,3)*SIGN(R101-R102),0)</f>
        <v/>
      </c>
      <c r="AG101">
        <f>IF(AND(ISNUMBER(R101),ISNUMBER(R103)),VLOOKUP(ABS(R101-R103),'IMP Table'!$A$2:$C$26,3)*SIGN(R101-R103),0)</f>
        <v/>
      </c>
      <c r="AH101">
        <f>IF(AND(ISNUMBER(R101),ISNUMBER(R104)),VLOOKUP(ABS(R101-R104),'IMP Table'!$A$2:$C$26,3)*SIGN(R101-R104),0)</f>
        <v/>
      </c>
      <c r="AI101">
        <f>IF(AND(ISNUMBER(R101),ISNUMBER(R105)),VLOOKUP(ABS(R101-R105),'IMP Table'!$A$2:$C$26,3)*SIGN(R101-R105),0)</f>
        <v/>
      </c>
      <c r="AJ101">
        <f>IF(AND(ISNUMBER(R101),ISNUMBER(R106)),VLOOKUP(ABS(R101-R106),'IMP Table'!$A$2:$C$26,3)*SIGN(R101-R106),0)</f>
        <v/>
      </c>
      <c r="AK101">
        <f>IF(AND(ISNUMBER(R101),ISNUMBER(R107)),VLOOKUP(ABS(R101-R107),'IMP Table'!$A$2:$C$26,3)*SIGN(R101-R107),0)</f>
        <v/>
      </c>
      <c r="AL101">
        <f>IF(AND(ISNUMBER(S101),ISNUMBER(S102)),VLOOKUP(ABS(S101-S102),'IMP Table'!$A$2:$C$26,3)*SIGN(S101-S102),0)</f>
        <v/>
      </c>
      <c r="AM101">
        <f>IF(AND(ISNUMBER(S101),ISNUMBER(S103)),VLOOKUP(ABS(S101-S103),'IMP Table'!$A$2:$C$26,3)*SIGN(S101-S103),0)</f>
        <v/>
      </c>
      <c r="AN101">
        <f>IF(AND(ISNUMBER(S101),ISNUMBER(S104)),VLOOKUP(ABS(S101-S104),'IMP Table'!$A$2:$C$26,3)*SIGN(S101-S104),0)</f>
        <v/>
      </c>
      <c r="AO101">
        <f>IF(AND(ISNUMBER(S101),ISNUMBER(S105)),VLOOKUP(ABS(S101-S105),'IMP Table'!$A$2:$C$26,3)*SIGN(S101-S105),0)</f>
        <v/>
      </c>
      <c r="AP101">
        <f>IF(AND(ISNUMBER(S101),ISNUMBER(S106)),VLOOKUP(ABS(S101-S106),'IMP Table'!$A$2:$C$26,3)*SIGN(S101-S106),0)</f>
        <v/>
      </c>
      <c r="AQ101">
        <f>IF(AND(ISNUMBER(S101),ISNUMBER(S107)),VLOOKUP(ABS(S101-S107),'IMP Table'!$A$2:$C$26,3)*SIGN(S101-S107),0)</f>
        <v/>
      </c>
    </row>
    <row r="102">
      <c r="B102">
        <f>'By Round'!A59</f>
        <v/>
      </c>
      <c r="C102">
        <f>'By Round'!B63</f>
        <v/>
      </c>
      <c r="D102">
        <f>'By Round'!C63</f>
        <v/>
      </c>
      <c r="E102">
        <f>'By Round'!D63</f>
        <v/>
      </c>
      <c r="F102" s="11" t="inlineStr">
        <is>
          <t>NS</t>
        </is>
      </c>
      <c r="G102">
        <f>IF(ISBLANK('By Round'!G63),"",'By Round'!G63)</f>
        <v/>
      </c>
      <c r="H102">
        <f>IF(ISBLANK('By Round'!H63),"",'By Round'!H63)</f>
        <v/>
      </c>
      <c r="I102">
        <f>IF(ISBLANK('By Round'!I63),"",'By Round'!I63)</f>
        <v/>
      </c>
      <c r="J102">
        <f>IF(ISBLANK('By Round'!J63),"",'By Round'!J63)</f>
        <v/>
      </c>
      <c r="K102">
        <f>IF(ISBLANK('By Round'!K63),"",'By Round'!K63)</f>
        <v/>
      </c>
      <c r="L102" s="12">
        <f>SUM(AF102:AK102)</f>
        <v/>
      </c>
      <c r="M102" s="13">
        <f>SUM(AL102:AQ102)</f>
        <v/>
      </c>
      <c r="N102" s="8">
        <f>IF(COUNT(T102:Y102)&gt;0,P102/COUNT(T102:Y102),0.5)</f>
        <v/>
      </c>
      <c r="O102" s="8">
        <f>IF(COUNT(Z102:AE102)&gt;0,Q102/COUNT(Z102:AE102),0.5)</f>
        <v/>
      </c>
      <c r="P102" s="5">
        <f>SUM(T102:Y102)</f>
        <v/>
      </c>
      <c r="Q102" s="5">
        <f>SUM(Z102:AE102)</f>
        <v/>
      </c>
      <c r="R102" s="14">
        <f>IF(ISNUMBER(J102),J102,IF(ISNUMBER(K102),-K102,""))</f>
        <v/>
      </c>
      <c r="S102">
        <f>IF(ISNUMBER(K102),K102,IF(ISNUMBER(J102),-J102,""))</f>
        <v/>
      </c>
      <c r="T102" s="14">
        <f>IF(ISNUMBER(R102),IF(ISNUMBER(R101),IF(R102&gt;R101,1.0,IF(R102=R101,0.5,0.0)),""),"")</f>
        <v/>
      </c>
      <c r="U102">
        <f>IF(ISNUMBER(R102),IF(ISNUMBER(R103),IF(R102&gt;R103,1.0,IF(R102=R103,0.5,0.0)),""),"")</f>
        <v/>
      </c>
      <c r="V102">
        <f>IF(ISNUMBER(R102),IF(ISNUMBER(R104),IF(R102&gt;R104,1.0,IF(R102=R104,0.5,0.0)),""),"")</f>
        <v/>
      </c>
      <c r="W102">
        <f>IF(ISNUMBER(R102),IF(ISNUMBER(R105),IF(R102&gt;R105,1.0,IF(R102=R105,0.5,0.0)),""),"")</f>
        <v/>
      </c>
      <c r="X102">
        <f>IF(ISNUMBER(R102),IF(ISNUMBER(R106),IF(R102&gt;R106,1.0,IF(R102=R106,0.5,0.0)),""),"")</f>
        <v/>
      </c>
      <c r="Y102">
        <f>IF(ISNUMBER(R102),IF(ISNUMBER(R107),IF(R102&gt;R107,1.0,IF(R102=R107,0.5,0.0)),""),"")</f>
        <v/>
      </c>
      <c r="Z102">
        <f>IF(ISNUMBER(S102),IF(ISNUMBER(S101),IF(S102&gt;S101,1.0,IF(S102=S101,0.5,0.0)),""),"")</f>
        <v/>
      </c>
      <c r="AA102">
        <f>IF(ISNUMBER(S102),IF(ISNUMBER(S103),IF(S102&gt;S103,1.0,IF(S102=S103,0.5,0.0)),""),"")</f>
        <v/>
      </c>
      <c r="AB102">
        <f>IF(ISNUMBER(S102),IF(ISNUMBER(S104),IF(S102&gt;S104,1.0,IF(S102=S104,0.5,0.0)),""),"")</f>
        <v/>
      </c>
      <c r="AC102">
        <f>IF(ISNUMBER(S102),IF(ISNUMBER(S105),IF(S102&gt;S105,1.0,IF(S102=S105,0.5,0.0)),""),"")</f>
        <v/>
      </c>
      <c r="AD102">
        <f>IF(ISNUMBER(S102),IF(ISNUMBER(S106),IF(S102&gt;S106,1.0,IF(S102=S106,0.5,0.0)),""),"")</f>
        <v/>
      </c>
      <c r="AE102">
        <f>IF(ISNUMBER(S102),IF(ISNUMBER(S107),IF(S102&gt;S107,1.0,IF(S102=S107,0.5,0.0)),""),"")</f>
        <v/>
      </c>
      <c r="AF102" s="14">
        <f>IF(AND(ISNUMBER(R102),ISNUMBER(R101)),VLOOKUP(ABS(R102-R101),'IMP Table'!$A$2:$C$26,3)*SIGN(R102-R101),0)</f>
        <v/>
      </c>
      <c r="AG102">
        <f>IF(AND(ISNUMBER(R102),ISNUMBER(R103)),VLOOKUP(ABS(R102-R103),'IMP Table'!$A$2:$C$26,3)*SIGN(R102-R103),0)</f>
        <v/>
      </c>
      <c r="AH102">
        <f>IF(AND(ISNUMBER(R102),ISNUMBER(R104)),VLOOKUP(ABS(R102-R104),'IMP Table'!$A$2:$C$26,3)*SIGN(R102-R104),0)</f>
        <v/>
      </c>
      <c r="AI102">
        <f>IF(AND(ISNUMBER(R102),ISNUMBER(R105)),VLOOKUP(ABS(R102-R105),'IMP Table'!$A$2:$C$26,3)*SIGN(R102-R105),0)</f>
        <v/>
      </c>
      <c r="AJ102">
        <f>IF(AND(ISNUMBER(R102),ISNUMBER(R106)),VLOOKUP(ABS(R102-R106),'IMP Table'!$A$2:$C$26,3)*SIGN(R102-R106),0)</f>
        <v/>
      </c>
      <c r="AK102">
        <f>IF(AND(ISNUMBER(R102),ISNUMBER(R107)),VLOOKUP(ABS(R102-R107),'IMP Table'!$A$2:$C$26,3)*SIGN(R102-R107),0)</f>
        <v/>
      </c>
      <c r="AL102">
        <f>IF(AND(ISNUMBER(S102),ISNUMBER(S101)),VLOOKUP(ABS(S102-S101),'IMP Table'!$A$2:$C$26,3)*SIGN(S102-S101),0)</f>
        <v/>
      </c>
      <c r="AM102">
        <f>IF(AND(ISNUMBER(S102),ISNUMBER(S103)),VLOOKUP(ABS(S102-S103),'IMP Table'!$A$2:$C$26,3)*SIGN(S102-S103),0)</f>
        <v/>
      </c>
      <c r="AN102">
        <f>IF(AND(ISNUMBER(S102),ISNUMBER(S104)),VLOOKUP(ABS(S102-S104),'IMP Table'!$A$2:$C$26,3)*SIGN(S102-S104),0)</f>
        <v/>
      </c>
      <c r="AO102">
        <f>IF(AND(ISNUMBER(S102),ISNUMBER(S105)),VLOOKUP(ABS(S102-S105),'IMP Table'!$A$2:$C$26,3)*SIGN(S102-S105),0)</f>
        <v/>
      </c>
      <c r="AP102">
        <f>IF(AND(ISNUMBER(S102),ISNUMBER(S106)),VLOOKUP(ABS(S102-S106),'IMP Table'!$A$2:$C$26,3)*SIGN(S102-S106),0)</f>
        <v/>
      </c>
      <c r="AQ102">
        <f>IF(AND(ISNUMBER(S102),ISNUMBER(S107)),VLOOKUP(ABS(S102-S107),'IMP Table'!$A$2:$C$26,3)*SIGN(S102-S107),0)</f>
        <v/>
      </c>
    </row>
    <row r="103">
      <c r="B103">
        <f>'By Round'!A73</f>
        <v/>
      </c>
      <c r="C103">
        <f>'By Round'!B75</f>
        <v/>
      </c>
      <c r="D103">
        <f>'By Round'!C75</f>
        <v/>
      </c>
      <c r="E103">
        <f>'By Round'!D75</f>
        <v/>
      </c>
      <c r="F103" s="11" t="inlineStr">
        <is>
          <t>NS</t>
        </is>
      </c>
      <c r="G103">
        <f>IF(ISBLANK('By Round'!G75),"",'By Round'!G75)</f>
        <v/>
      </c>
      <c r="H103">
        <f>IF(ISBLANK('By Round'!H75),"",'By Round'!H75)</f>
        <v/>
      </c>
      <c r="I103">
        <f>IF(ISBLANK('By Round'!I75),"",'By Round'!I75)</f>
        <v/>
      </c>
      <c r="J103">
        <f>IF(ISBLANK('By Round'!J75),"",'By Round'!J75)</f>
        <v/>
      </c>
      <c r="K103">
        <f>IF(ISBLANK('By Round'!K75),"",'By Round'!K75)</f>
        <v/>
      </c>
      <c r="L103" s="12">
        <f>SUM(AF103:AK103)</f>
        <v/>
      </c>
      <c r="M103" s="13">
        <f>SUM(AL103:AQ103)</f>
        <v/>
      </c>
      <c r="N103" s="8">
        <f>IF(COUNT(T103:Y103)&gt;0,P103/COUNT(T103:Y103),0.5)</f>
        <v/>
      </c>
      <c r="O103" s="8">
        <f>IF(COUNT(Z103:AE103)&gt;0,Q103/COUNT(Z103:AE103),0.5)</f>
        <v/>
      </c>
      <c r="P103" s="5">
        <f>SUM(T103:Y103)</f>
        <v/>
      </c>
      <c r="Q103" s="5">
        <f>SUM(Z103:AE103)</f>
        <v/>
      </c>
      <c r="R103" s="14">
        <f>IF(ISNUMBER(J103),J103,IF(ISNUMBER(K103),-K103,""))</f>
        <v/>
      </c>
      <c r="S103">
        <f>IF(ISNUMBER(K103),K103,IF(ISNUMBER(J103),-J103,""))</f>
        <v/>
      </c>
      <c r="T103" s="14">
        <f>IF(ISNUMBER(R103),IF(ISNUMBER(R101),IF(R103&gt;R101,1.0,IF(R103=R101,0.5,0.0)),""),"")</f>
        <v/>
      </c>
      <c r="U103">
        <f>IF(ISNUMBER(R103),IF(ISNUMBER(R102),IF(R103&gt;R102,1.0,IF(R103=R102,0.5,0.0)),""),"")</f>
        <v/>
      </c>
      <c r="V103">
        <f>IF(ISNUMBER(R103),IF(ISNUMBER(R104),IF(R103&gt;R104,1.0,IF(R103=R104,0.5,0.0)),""),"")</f>
        <v/>
      </c>
      <c r="W103">
        <f>IF(ISNUMBER(R103),IF(ISNUMBER(R105),IF(R103&gt;R105,1.0,IF(R103=R105,0.5,0.0)),""),"")</f>
        <v/>
      </c>
      <c r="X103">
        <f>IF(ISNUMBER(R103),IF(ISNUMBER(R106),IF(R103&gt;R106,1.0,IF(R103=R106,0.5,0.0)),""),"")</f>
        <v/>
      </c>
      <c r="Y103">
        <f>IF(ISNUMBER(R103),IF(ISNUMBER(R107),IF(R103&gt;R107,1.0,IF(R103=R107,0.5,0.0)),""),"")</f>
        <v/>
      </c>
      <c r="Z103">
        <f>IF(ISNUMBER(S103),IF(ISNUMBER(S101),IF(S103&gt;S101,1.0,IF(S103=S101,0.5,0.0)),""),"")</f>
        <v/>
      </c>
      <c r="AA103">
        <f>IF(ISNUMBER(S103),IF(ISNUMBER(S102),IF(S103&gt;S102,1.0,IF(S103=S102,0.5,0.0)),""),"")</f>
        <v/>
      </c>
      <c r="AB103">
        <f>IF(ISNUMBER(S103),IF(ISNUMBER(S104),IF(S103&gt;S104,1.0,IF(S103=S104,0.5,0.0)),""),"")</f>
        <v/>
      </c>
      <c r="AC103">
        <f>IF(ISNUMBER(S103),IF(ISNUMBER(S105),IF(S103&gt;S105,1.0,IF(S103=S105,0.5,0.0)),""),"")</f>
        <v/>
      </c>
      <c r="AD103">
        <f>IF(ISNUMBER(S103),IF(ISNUMBER(S106),IF(S103&gt;S106,1.0,IF(S103=S106,0.5,0.0)),""),"")</f>
        <v/>
      </c>
      <c r="AE103">
        <f>IF(ISNUMBER(S103),IF(ISNUMBER(S107),IF(S103&gt;S107,1.0,IF(S103=S107,0.5,0.0)),""),"")</f>
        <v/>
      </c>
      <c r="AF103" s="14">
        <f>IF(AND(ISNUMBER(R103),ISNUMBER(R101)),VLOOKUP(ABS(R103-R101),'IMP Table'!$A$2:$C$26,3)*SIGN(R103-R101),0)</f>
        <v/>
      </c>
      <c r="AG103">
        <f>IF(AND(ISNUMBER(R103),ISNUMBER(R102)),VLOOKUP(ABS(R103-R102),'IMP Table'!$A$2:$C$26,3)*SIGN(R103-R102),0)</f>
        <v/>
      </c>
      <c r="AH103">
        <f>IF(AND(ISNUMBER(R103),ISNUMBER(R104)),VLOOKUP(ABS(R103-R104),'IMP Table'!$A$2:$C$26,3)*SIGN(R103-R104),0)</f>
        <v/>
      </c>
      <c r="AI103">
        <f>IF(AND(ISNUMBER(R103),ISNUMBER(R105)),VLOOKUP(ABS(R103-R105),'IMP Table'!$A$2:$C$26,3)*SIGN(R103-R105),0)</f>
        <v/>
      </c>
      <c r="AJ103">
        <f>IF(AND(ISNUMBER(R103),ISNUMBER(R106)),VLOOKUP(ABS(R103-R106),'IMP Table'!$A$2:$C$26,3)*SIGN(R103-R106),0)</f>
        <v/>
      </c>
      <c r="AK103">
        <f>IF(AND(ISNUMBER(R103),ISNUMBER(R107)),VLOOKUP(ABS(R103-R107),'IMP Table'!$A$2:$C$26,3)*SIGN(R103-R107),0)</f>
        <v/>
      </c>
      <c r="AL103">
        <f>IF(AND(ISNUMBER(S103),ISNUMBER(S101)),VLOOKUP(ABS(S103-S101),'IMP Table'!$A$2:$C$26,3)*SIGN(S103-S101),0)</f>
        <v/>
      </c>
      <c r="AM103">
        <f>IF(AND(ISNUMBER(S103),ISNUMBER(S102)),VLOOKUP(ABS(S103-S102),'IMP Table'!$A$2:$C$26,3)*SIGN(S103-S102),0)</f>
        <v/>
      </c>
      <c r="AN103">
        <f>IF(AND(ISNUMBER(S103),ISNUMBER(S104)),VLOOKUP(ABS(S103-S104),'IMP Table'!$A$2:$C$26,3)*SIGN(S103-S104),0)</f>
        <v/>
      </c>
      <c r="AO103">
        <f>IF(AND(ISNUMBER(S103),ISNUMBER(S105)),VLOOKUP(ABS(S103-S105),'IMP Table'!$A$2:$C$26,3)*SIGN(S103-S105),0)</f>
        <v/>
      </c>
      <c r="AP103">
        <f>IF(AND(ISNUMBER(S103),ISNUMBER(S106)),VLOOKUP(ABS(S103-S106),'IMP Table'!$A$2:$C$26,3)*SIGN(S103-S106),0)</f>
        <v/>
      </c>
      <c r="AQ103">
        <f>IF(AND(ISNUMBER(S103),ISNUMBER(S107)),VLOOKUP(ABS(S103-S107),'IMP Table'!$A$2:$C$26,3)*SIGN(S103-S107),0)</f>
        <v/>
      </c>
    </row>
    <row r="104">
      <c r="B104">
        <f>'By Round'!A101</f>
        <v/>
      </c>
      <c r="C104">
        <f>'By Round'!B101</f>
        <v/>
      </c>
      <c r="D104">
        <f>'By Round'!C101</f>
        <v/>
      </c>
      <c r="E104">
        <f>'By Round'!D101</f>
        <v/>
      </c>
      <c r="F104" s="11" t="inlineStr">
        <is>
          <t>NS</t>
        </is>
      </c>
      <c r="G104">
        <f>IF(ISBLANK('By Round'!G101),"",'By Round'!G101)</f>
        <v/>
      </c>
      <c r="H104">
        <f>IF(ISBLANK('By Round'!H101),"",'By Round'!H101)</f>
        <v/>
      </c>
      <c r="I104">
        <f>IF(ISBLANK('By Round'!I101),"",'By Round'!I101)</f>
        <v/>
      </c>
      <c r="J104">
        <f>IF(ISBLANK('By Round'!J101),"",'By Round'!J101)</f>
        <v/>
      </c>
      <c r="K104">
        <f>IF(ISBLANK('By Round'!K101),"",'By Round'!K101)</f>
        <v/>
      </c>
      <c r="L104" s="12">
        <f>SUM(AF104:AK104)</f>
        <v/>
      </c>
      <c r="M104" s="13">
        <f>SUM(AL104:AQ104)</f>
        <v/>
      </c>
      <c r="N104" s="8">
        <f>IF(COUNT(T104:Y104)&gt;0,P104/COUNT(T104:Y104),0.5)</f>
        <v/>
      </c>
      <c r="O104" s="8">
        <f>IF(COUNT(Z104:AE104)&gt;0,Q104/COUNT(Z104:AE104),0.5)</f>
        <v/>
      </c>
      <c r="P104" s="5">
        <f>SUM(T104:Y104)</f>
        <v/>
      </c>
      <c r="Q104" s="5">
        <f>SUM(Z104:AE104)</f>
        <v/>
      </c>
      <c r="R104" s="14">
        <f>IF(ISNUMBER(J104),J104,IF(ISNUMBER(K104),-K104,""))</f>
        <v/>
      </c>
      <c r="S104">
        <f>IF(ISNUMBER(K104),K104,IF(ISNUMBER(J104),-J104,""))</f>
        <v/>
      </c>
      <c r="T104" s="14">
        <f>IF(ISNUMBER(R104),IF(ISNUMBER(R101),IF(R104&gt;R101,1.0,IF(R104=R101,0.5,0.0)),""),"")</f>
        <v/>
      </c>
      <c r="U104">
        <f>IF(ISNUMBER(R104),IF(ISNUMBER(R102),IF(R104&gt;R102,1.0,IF(R104=R102,0.5,0.0)),""),"")</f>
        <v/>
      </c>
      <c r="V104">
        <f>IF(ISNUMBER(R104),IF(ISNUMBER(R103),IF(R104&gt;R103,1.0,IF(R104=R103,0.5,0.0)),""),"")</f>
        <v/>
      </c>
      <c r="W104">
        <f>IF(ISNUMBER(R104),IF(ISNUMBER(R105),IF(R104&gt;R105,1.0,IF(R104=R105,0.5,0.0)),""),"")</f>
        <v/>
      </c>
      <c r="X104">
        <f>IF(ISNUMBER(R104),IF(ISNUMBER(R106),IF(R104&gt;R106,1.0,IF(R104=R106,0.5,0.0)),""),"")</f>
        <v/>
      </c>
      <c r="Y104">
        <f>IF(ISNUMBER(R104),IF(ISNUMBER(R107),IF(R104&gt;R107,1.0,IF(R104=R107,0.5,0.0)),""),"")</f>
        <v/>
      </c>
      <c r="Z104">
        <f>IF(ISNUMBER(S104),IF(ISNUMBER(S101),IF(S104&gt;S101,1.0,IF(S104=S101,0.5,0.0)),""),"")</f>
        <v/>
      </c>
      <c r="AA104">
        <f>IF(ISNUMBER(S104),IF(ISNUMBER(S102),IF(S104&gt;S102,1.0,IF(S104=S102,0.5,0.0)),""),"")</f>
        <v/>
      </c>
      <c r="AB104">
        <f>IF(ISNUMBER(S104),IF(ISNUMBER(S103),IF(S104&gt;S103,1.0,IF(S104=S103,0.5,0.0)),""),"")</f>
        <v/>
      </c>
      <c r="AC104">
        <f>IF(ISNUMBER(S104),IF(ISNUMBER(S105),IF(S104&gt;S105,1.0,IF(S104=S105,0.5,0.0)),""),"")</f>
        <v/>
      </c>
      <c r="AD104">
        <f>IF(ISNUMBER(S104),IF(ISNUMBER(S106),IF(S104&gt;S106,1.0,IF(S104=S106,0.5,0.0)),""),"")</f>
        <v/>
      </c>
      <c r="AE104">
        <f>IF(ISNUMBER(S104),IF(ISNUMBER(S107),IF(S104&gt;S107,1.0,IF(S104=S107,0.5,0.0)),""),"")</f>
        <v/>
      </c>
      <c r="AF104" s="14">
        <f>IF(AND(ISNUMBER(R104),ISNUMBER(R101)),VLOOKUP(ABS(R104-R101),'IMP Table'!$A$2:$C$26,3)*SIGN(R104-R101),0)</f>
        <v/>
      </c>
      <c r="AG104">
        <f>IF(AND(ISNUMBER(R104),ISNUMBER(R102)),VLOOKUP(ABS(R104-R102),'IMP Table'!$A$2:$C$26,3)*SIGN(R104-R102),0)</f>
        <v/>
      </c>
      <c r="AH104">
        <f>IF(AND(ISNUMBER(R104),ISNUMBER(R103)),VLOOKUP(ABS(R104-R103),'IMP Table'!$A$2:$C$26,3)*SIGN(R104-R103),0)</f>
        <v/>
      </c>
      <c r="AI104">
        <f>IF(AND(ISNUMBER(R104),ISNUMBER(R105)),VLOOKUP(ABS(R104-R105),'IMP Table'!$A$2:$C$26,3)*SIGN(R104-R105),0)</f>
        <v/>
      </c>
      <c r="AJ104">
        <f>IF(AND(ISNUMBER(R104),ISNUMBER(R106)),VLOOKUP(ABS(R104-R106),'IMP Table'!$A$2:$C$26,3)*SIGN(R104-R106),0)</f>
        <v/>
      </c>
      <c r="AK104">
        <f>IF(AND(ISNUMBER(R104),ISNUMBER(R107)),VLOOKUP(ABS(R104-R107),'IMP Table'!$A$2:$C$26,3)*SIGN(R104-R107),0)</f>
        <v/>
      </c>
      <c r="AL104">
        <f>IF(AND(ISNUMBER(S104),ISNUMBER(S101)),VLOOKUP(ABS(S104-S101),'IMP Table'!$A$2:$C$26,3)*SIGN(S104-S101),0)</f>
        <v/>
      </c>
      <c r="AM104">
        <f>IF(AND(ISNUMBER(S104),ISNUMBER(S102)),VLOOKUP(ABS(S104-S102),'IMP Table'!$A$2:$C$26,3)*SIGN(S104-S102),0)</f>
        <v/>
      </c>
      <c r="AN104">
        <f>IF(AND(ISNUMBER(S104),ISNUMBER(S103)),VLOOKUP(ABS(S104-S103),'IMP Table'!$A$2:$C$26,3)*SIGN(S104-S103),0)</f>
        <v/>
      </c>
      <c r="AO104">
        <f>IF(AND(ISNUMBER(S104),ISNUMBER(S105)),VLOOKUP(ABS(S104-S105),'IMP Table'!$A$2:$C$26,3)*SIGN(S104-S105),0)</f>
        <v/>
      </c>
      <c r="AP104">
        <f>IF(AND(ISNUMBER(S104),ISNUMBER(S106)),VLOOKUP(ABS(S104-S106),'IMP Table'!$A$2:$C$26,3)*SIGN(S104-S106),0)</f>
        <v/>
      </c>
      <c r="AQ104">
        <f>IF(AND(ISNUMBER(S104),ISNUMBER(S107)),VLOOKUP(ABS(S104-S107),'IMP Table'!$A$2:$C$26,3)*SIGN(S104-S107),0)</f>
        <v/>
      </c>
    </row>
    <row r="105">
      <c r="B105">
        <f>'By Round'!A129</f>
        <v/>
      </c>
      <c r="C105">
        <f>'By Round'!B141</f>
        <v/>
      </c>
      <c r="D105">
        <f>'By Round'!C141</f>
        <v/>
      </c>
      <c r="E105">
        <f>'By Round'!D141</f>
        <v/>
      </c>
      <c r="F105" s="11" t="inlineStr">
        <is>
          <t>NS</t>
        </is>
      </c>
      <c r="G105">
        <f>IF(ISBLANK('By Round'!G141),"",'By Round'!G141)</f>
        <v/>
      </c>
      <c r="H105">
        <f>IF(ISBLANK('By Round'!H141),"",'By Round'!H141)</f>
        <v/>
      </c>
      <c r="I105">
        <f>IF(ISBLANK('By Round'!I141),"",'By Round'!I141)</f>
        <v/>
      </c>
      <c r="J105">
        <f>IF(ISBLANK('By Round'!J141),"",'By Round'!J141)</f>
        <v/>
      </c>
      <c r="K105">
        <f>IF(ISBLANK('By Round'!K141),"",'By Round'!K141)</f>
        <v/>
      </c>
      <c r="L105" s="12">
        <f>SUM(AF105:AK105)</f>
        <v/>
      </c>
      <c r="M105" s="13">
        <f>SUM(AL105:AQ105)</f>
        <v/>
      </c>
      <c r="N105" s="8">
        <f>IF(COUNT(T105:Y105)&gt;0,P105/COUNT(T105:Y105),0.5)</f>
        <v/>
      </c>
      <c r="O105" s="8">
        <f>IF(COUNT(Z105:AE105)&gt;0,Q105/COUNT(Z105:AE105),0.5)</f>
        <v/>
      </c>
      <c r="P105" s="5">
        <f>SUM(T105:Y105)</f>
        <v/>
      </c>
      <c r="Q105" s="5">
        <f>SUM(Z105:AE105)</f>
        <v/>
      </c>
      <c r="R105" s="14">
        <f>IF(ISNUMBER(J105),J105,IF(ISNUMBER(K105),-K105,""))</f>
        <v/>
      </c>
      <c r="S105">
        <f>IF(ISNUMBER(K105),K105,IF(ISNUMBER(J105),-J105,""))</f>
        <v/>
      </c>
      <c r="T105" s="14">
        <f>IF(ISNUMBER(R105),IF(ISNUMBER(R101),IF(R105&gt;R101,1.0,IF(R105=R101,0.5,0.0)),""),"")</f>
        <v/>
      </c>
      <c r="U105">
        <f>IF(ISNUMBER(R105),IF(ISNUMBER(R102),IF(R105&gt;R102,1.0,IF(R105=R102,0.5,0.0)),""),"")</f>
        <v/>
      </c>
      <c r="V105">
        <f>IF(ISNUMBER(R105),IF(ISNUMBER(R103),IF(R105&gt;R103,1.0,IF(R105=R103,0.5,0.0)),""),"")</f>
        <v/>
      </c>
      <c r="W105">
        <f>IF(ISNUMBER(R105),IF(ISNUMBER(R104),IF(R105&gt;R104,1.0,IF(R105=R104,0.5,0.0)),""),"")</f>
        <v/>
      </c>
      <c r="X105">
        <f>IF(ISNUMBER(R105),IF(ISNUMBER(R106),IF(R105&gt;R106,1.0,IF(R105=R106,0.5,0.0)),""),"")</f>
        <v/>
      </c>
      <c r="Y105">
        <f>IF(ISNUMBER(R105),IF(ISNUMBER(R107),IF(R105&gt;R107,1.0,IF(R105=R107,0.5,0.0)),""),"")</f>
        <v/>
      </c>
      <c r="Z105">
        <f>IF(ISNUMBER(S105),IF(ISNUMBER(S101),IF(S105&gt;S101,1.0,IF(S105=S101,0.5,0.0)),""),"")</f>
        <v/>
      </c>
      <c r="AA105">
        <f>IF(ISNUMBER(S105),IF(ISNUMBER(S102),IF(S105&gt;S102,1.0,IF(S105=S102,0.5,0.0)),""),"")</f>
        <v/>
      </c>
      <c r="AB105">
        <f>IF(ISNUMBER(S105),IF(ISNUMBER(S103),IF(S105&gt;S103,1.0,IF(S105=S103,0.5,0.0)),""),"")</f>
        <v/>
      </c>
      <c r="AC105">
        <f>IF(ISNUMBER(S105),IF(ISNUMBER(S104),IF(S105&gt;S104,1.0,IF(S105=S104,0.5,0.0)),""),"")</f>
        <v/>
      </c>
      <c r="AD105">
        <f>IF(ISNUMBER(S105),IF(ISNUMBER(S106),IF(S105&gt;S106,1.0,IF(S105=S106,0.5,0.0)),""),"")</f>
        <v/>
      </c>
      <c r="AE105">
        <f>IF(ISNUMBER(S105),IF(ISNUMBER(S107),IF(S105&gt;S107,1.0,IF(S105=S107,0.5,0.0)),""),"")</f>
        <v/>
      </c>
      <c r="AF105" s="14">
        <f>IF(AND(ISNUMBER(R105),ISNUMBER(R101)),VLOOKUP(ABS(R105-R101),'IMP Table'!$A$2:$C$26,3)*SIGN(R105-R101),0)</f>
        <v/>
      </c>
      <c r="AG105">
        <f>IF(AND(ISNUMBER(R105),ISNUMBER(R102)),VLOOKUP(ABS(R105-R102),'IMP Table'!$A$2:$C$26,3)*SIGN(R105-R102),0)</f>
        <v/>
      </c>
      <c r="AH105">
        <f>IF(AND(ISNUMBER(R105),ISNUMBER(R103)),VLOOKUP(ABS(R105-R103),'IMP Table'!$A$2:$C$26,3)*SIGN(R105-R103),0)</f>
        <v/>
      </c>
      <c r="AI105">
        <f>IF(AND(ISNUMBER(R105),ISNUMBER(R104)),VLOOKUP(ABS(R105-R104),'IMP Table'!$A$2:$C$26,3)*SIGN(R105-R104),0)</f>
        <v/>
      </c>
      <c r="AJ105">
        <f>IF(AND(ISNUMBER(R105),ISNUMBER(R106)),VLOOKUP(ABS(R105-R106),'IMP Table'!$A$2:$C$26,3)*SIGN(R105-R106),0)</f>
        <v/>
      </c>
      <c r="AK105">
        <f>IF(AND(ISNUMBER(R105),ISNUMBER(R107)),VLOOKUP(ABS(R105-R107),'IMP Table'!$A$2:$C$26,3)*SIGN(R105-R107),0)</f>
        <v/>
      </c>
      <c r="AL105">
        <f>IF(AND(ISNUMBER(S105),ISNUMBER(S101)),VLOOKUP(ABS(S105-S101),'IMP Table'!$A$2:$C$26,3)*SIGN(S105-S101),0)</f>
        <v/>
      </c>
      <c r="AM105">
        <f>IF(AND(ISNUMBER(S105),ISNUMBER(S102)),VLOOKUP(ABS(S105-S102),'IMP Table'!$A$2:$C$26,3)*SIGN(S105-S102),0)</f>
        <v/>
      </c>
      <c r="AN105">
        <f>IF(AND(ISNUMBER(S105),ISNUMBER(S103)),VLOOKUP(ABS(S105-S103),'IMP Table'!$A$2:$C$26,3)*SIGN(S105-S103),0)</f>
        <v/>
      </c>
      <c r="AO105">
        <f>IF(AND(ISNUMBER(S105),ISNUMBER(S104)),VLOOKUP(ABS(S105-S104),'IMP Table'!$A$2:$C$26,3)*SIGN(S105-S104),0)</f>
        <v/>
      </c>
      <c r="AP105">
        <f>IF(AND(ISNUMBER(S105),ISNUMBER(S106)),VLOOKUP(ABS(S105-S106),'IMP Table'!$A$2:$C$26,3)*SIGN(S105-S106),0)</f>
        <v/>
      </c>
      <c r="AQ105">
        <f>IF(AND(ISNUMBER(S105),ISNUMBER(S107)),VLOOKUP(ABS(S105-S107),'IMP Table'!$A$2:$C$26,3)*SIGN(S105-S107),0)</f>
        <v/>
      </c>
    </row>
    <row r="106">
      <c r="B106">
        <f>'By Round'!A143</f>
        <v/>
      </c>
      <c r="C106">
        <f>'By Round'!B153</f>
        <v/>
      </c>
      <c r="D106">
        <f>'By Round'!C153</f>
        <v/>
      </c>
      <c r="E106">
        <f>'By Round'!D153</f>
        <v/>
      </c>
      <c r="F106" s="11" t="inlineStr">
        <is>
          <t>NS</t>
        </is>
      </c>
      <c r="G106">
        <f>IF(ISBLANK('By Round'!G153),"",'By Round'!G153)</f>
        <v/>
      </c>
      <c r="H106">
        <f>IF(ISBLANK('By Round'!H153),"",'By Round'!H153)</f>
        <v/>
      </c>
      <c r="I106">
        <f>IF(ISBLANK('By Round'!I153),"",'By Round'!I153)</f>
        <v/>
      </c>
      <c r="J106">
        <f>IF(ISBLANK('By Round'!J153),"",'By Round'!J153)</f>
        <v/>
      </c>
      <c r="K106">
        <f>IF(ISBLANK('By Round'!K153),"",'By Round'!K153)</f>
        <v/>
      </c>
      <c r="L106" s="12">
        <f>SUM(AF106:AK106)</f>
        <v/>
      </c>
      <c r="M106" s="13">
        <f>SUM(AL106:AQ106)</f>
        <v/>
      </c>
      <c r="N106" s="8">
        <f>IF(COUNT(T106:Y106)&gt;0,P106/COUNT(T106:Y106),0.5)</f>
        <v/>
      </c>
      <c r="O106" s="8">
        <f>IF(COUNT(Z106:AE106)&gt;0,Q106/COUNT(Z106:AE106),0.5)</f>
        <v/>
      </c>
      <c r="P106" s="5">
        <f>SUM(T106:Y106)</f>
        <v/>
      </c>
      <c r="Q106" s="5">
        <f>SUM(Z106:AE106)</f>
        <v/>
      </c>
      <c r="R106" s="14">
        <f>IF(ISNUMBER(J106),J106,IF(ISNUMBER(K106),-K106,""))</f>
        <v/>
      </c>
      <c r="S106">
        <f>IF(ISNUMBER(K106),K106,IF(ISNUMBER(J106),-J106,""))</f>
        <v/>
      </c>
      <c r="T106" s="14">
        <f>IF(ISNUMBER(R106),IF(ISNUMBER(R101),IF(R106&gt;R101,1.0,IF(R106=R101,0.5,0.0)),""),"")</f>
        <v/>
      </c>
      <c r="U106">
        <f>IF(ISNUMBER(R106),IF(ISNUMBER(R102),IF(R106&gt;R102,1.0,IF(R106=R102,0.5,0.0)),""),"")</f>
        <v/>
      </c>
      <c r="V106">
        <f>IF(ISNUMBER(R106),IF(ISNUMBER(R103),IF(R106&gt;R103,1.0,IF(R106=R103,0.5,0.0)),""),"")</f>
        <v/>
      </c>
      <c r="W106">
        <f>IF(ISNUMBER(R106),IF(ISNUMBER(R104),IF(R106&gt;R104,1.0,IF(R106=R104,0.5,0.0)),""),"")</f>
        <v/>
      </c>
      <c r="X106">
        <f>IF(ISNUMBER(R106),IF(ISNUMBER(R105),IF(R106&gt;R105,1.0,IF(R106=R105,0.5,0.0)),""),"")</f>
        <v/>
      </c>
      <c r="Y106">
        <f>IF(ISNUMBER(R106),IF(ISNUMBER(R107),IF(R106&gt;R107,1.0,IF(R106=R107,0.5,0.0)),""),"")</f>
        <v/>
      </c>
      <c r="Z106">
        <f>IF(ISNUMBER(S106),IF(ISNUMBER(S101),IF(S106&gt;S101,1.0,IF(S106=S101,0.5,0.0)),""),"")</f>
        <v/>
      </c>
      <c r="AA106">
        <f>IF(ISNUMBER(S106),IF(ISNUMBER(S102),IF(S106&gt;S102,1.0,IF(S106=S102,0.5,0.0)),""),"")</f>
        <v/>
      </c>
      <c r="AB106">
        <f>IF(ISNUMBER(S106),IF(ISNUMBER(S103),IF(S106&gt;S103,1.0,IF(S106=S103,0.5,0.0)),""),"")</f>
        <v/>
      </c>
      <c r="AC106">
        <f>IF(ISNUMBER(S106),IF(ISNUMBER(S104),IF(S106&gt;S104,1.0,IF(S106=S104,0.5,0.0)),""),"")</f>
        <v/>
      </c>
      <c r="AD106">
        <f>IF(ISNUMBER(S106),IF(ISNUMBER(S105),IF(S106&gt;S105,1.0,IF(S106=S105,0.5,0.0)),""),"")</f>
        <v/>
      </c>
      <c r="AE106">
        <f>IF(ISNUMBER(S106),IF(ISNUMBER(S107),IF(S106&gt;S107,1.0,IF(S106=S107,0.5,0.0)),""),"")</f>
        <v/>
      </c>
      <c r="AF106" s="14">
        <f>IF(AND(ISNUMBER(R106),ISNUMBER(R101)),VLOOKUP(ABS(R106-R101),'IMP Table'!$A$2:$C$26,3)*SIGN(R106-R101),0)</f>
        <v/>
      </c>
      <c r="AG106">
        <f>IF(AND(ISNUMBER(R106),ISNUMBER(R102)),VLOOKUP(ABS(R106-R102),'IMP Table'!$A$2:$C$26,3)*SIGN(R106-R102),0)</f>
        <v/>
      </c>
      <c r="AH106">
        <f>IF(AND(ISNUMBER(R106),ISNUMBER(R103)),VLOOKUP(ABS(R106-R103),'IMP Table'!$A$2:$C$26,3)*SIGN(R106-R103),0)</f>
        <v/>
      </c>
      <c r="AI106">
        <f>IF(AND(ISNUMBER(R106),ISNUMBER(R104)),VLOOKUP(ABS(R106-R104),'IMP Table'!$A$2:$C$26,3)*SIGN(R106-R104),0)</f>
        <v/>
      </c>
      <c r="AJ106">
        <f>IF(AND(ISNUMBER(R106),ISNUMBER(R105)),VLOOKUP(ABS(R106-R105),'IMP Table'!$A$2:$C$26,3)*SIGN(R106-R105),0)</f>
        <v/>
      </c>
      <c r="AK106">
        <f>IF(AND(ISNUMBER(R106),ISNUMBER(R107)),VLOOKUP(ABS(R106-R107),'IMP Table'!$A$2:$C$26,3)*SIGN(R106-R107),0)</f>
        <v/>
      </c>
      <c r="AL106">
        <f>IF(AND(ISNUMBER(S106),ISNUMBER(S101)),VLOOKUP(ABS(S106-S101),'IMP Table'!$A$2:$C$26,3)*SIGN(S106-S101),0)</f>
        <v/>
      </c>
      <c r="AM106">
        <f>IF(AND(ISNUMBER(S106),ISNUMBER(S102)),VLOOKUP(ABS(S106-S102),'IMP Table'!$A$2:$C$26,3)*SIGN(S106-S102),0)</f>
        <v/>
      </c>
      <c r="AN106">
        <f>IF(AND(ISNUMBER(S106),ISNUMBER(S103)),VLOOKUP(ABS(S106-S103),'IMP Table'!$A$2:$C$26,3)*SIGN(S106-S103),0)</f>
        <v/>
      </c>
      <c r="AO106">
        <f>IF(AND(ISNUMBER(S106),ISNUMBER(S104)),VLOOKUP(ABS(S106-S104),'IMP Table'!$A$2:$C$26,3)*SIGN(S106-S104),0)</f>
        <v/>
      </c>
      <c r="AP106">
        <f>IF(AND(ISNUMBER(S106),ISNUMBER(S105)),VLOOKUP(ABS(S106-S105),'IMP Table'!$A$2:$C$26,3)*SIGN(S106-S105),0)</f>
        <v/>
      </c>
      <c r="AQ106">
        <f>IF(AND(ISNUMBER(S106),ISNUMBER(S107)),VLOOKUP(ABS(S106-S107),'IMP Table'!$A$2:$C$26,3)*SIGN(S106-S107),0)</f>
        <v/>
      </c>
    </row>
    <row r="107">
      <c r="A107" s="15" t="n"/>
      <c r="B107" s="15">
        <f>'By Round'!A157</f>
        <v/>
      </c>
      <c r="C107" s="15">
        <f>'By Round'!B165</f>
        <v/>
      </c>
      <c r="D107" s="15">
        <f>'By Round'!C165</f>
        <v/>
      </c>
      <c r="E107" s="15">
        <f>'By Round'!D165</f>
        <v/>
      </c>
      <c r="F107" s="16" t="inlineStr">
        <is>
          <t>NS</t>
        </is>
      </c>
      <c r="G107" s="15">
        <f>IF(ISBLANK('By Round'!G165),"",'By Round'!G165)</f>
        <v/>
      </c>
      <c r="H107" s="15">
        <f>IF(ISBLANK('By Round'!H165),"",'By Round'!H165)</f>
        <v/>
      </c>
      <c r="I107" s="15">
        <f>IF(ISBLANK('By Round'!I165),"",'By Round'!I165)</f>
        <v/>
      </c>
      <c r="J107" s="15">
        <f>IF(ISBLANK('By Round'!J165),"",'By Round'!J165)</f>
        <v/>
      </c>
      <c r="K107" s="15">
        <f>IF(ISBLANK('By Round'!K165),"",'By Round'!K165)</f>
        <v/>
      </c>
      <c r="L107" s="17">
        <f>SUM(AF107:AK107)</f>
        <v/>
      </c>
      <c r="M107" s="18">
        <f>SUM(AL107:AQ107)</f>
        <v/>
      </c>
      <c r="N107" s="19">
        <f>IF(COUNT(T107:Y107)&gt;0,P107/COUNT(T107:Y107),0.5)</f>
        <v/>
      </c>
      <c r="O107" s="19">
        <f>IF(COUNT(Z107:AE107)&gt;0,Q107/COUNT(Z107:AE107),0.5)</f>
        <v/>
      </c>
      <c r="P107" s="20">
        <f>SUM(T107:Y107)</f>
        <v/>
      </c>
      <c r="Q107" s="20">
        <f>SUM(Z107:AE107)</f>
        <v/>
      </c>
      <c r="R107" s="21">
        <f>IF(ISNUMBER(J107),J107,IF(ISNUMBER(K107),-K107,""))</f>
        <v/>
      </c>
      <c r="S107" s="15">
        <f>IF(ISNUMBER(K107),K107,IF(ISNUMBER(J107),-J107,""))</f>
        <v/>
      </c>
      <c r="T107" s="21">
        <f>IF(ISNUMBER(R107),IF(ISNUMBER(R101),IF(R107&gt;R101,1.0,IF(R107=R101,0.5,0.0)),""),"")</f>
        <v/>
      </c>
      <c r="U107" s="15">
        <f>IF(ISNUMBER(R107),IF(ISNUMBER(R102),IF(R107&gt;R102,1.0,IF(R107=R102,0.5,0.0)),""),"")</f>
        <v/>
      </c>
      <c r="V107" s="15">
        <f>IF(ISNUMBER(R107),IF(ISNUMBER(R103),IF(R107&gt;R103,1.0,IF(R107=R103,0.5,0.0)),""),"")</f>
        <v/>
      </c>
      <c r="W107" s="15">
        <f>IF(ISNUMBER(R107),IF(ISNUMBER(R104),IF(R107&gt;R104,1.0,IF(R107=R104,0.5,0.0)),""),"")</f>
        <v/>
      </c>
      <c r="X107" s="15">
        <f>IF(ISNUMBER(R107),IF(ISNUMBER(R105),IF(R107&gt;R105,1.0,IF(R107=R105,0.5,0.0)),""),"")</f>
        <v/>
      </c>
      <c r="Y107" s="15">
        <f>IF(ISNUMBER(R107),IF(ISNUMBER(R106),IF(R107&gt;R106,1.0,IF(R107=R106,0.5,0.0)),""),"")</f>
        <v/>
      </c>
      <c r="Z107" s="15">
        <f>IF(ISNUMBER(S107),IF(ISNUMBER(S101),IF(S107&gt;S101,1.0,IF(S107=S101,0.5,0.0)),""),"")</f>
        <v/>
      </c>
      <c r="AA107" s="15">
        <f>IF(ISNUMBER(S107),IF(ISNUMBER(S102),IF(S107&gt;S102,1.0,IF(S107=S102,0.5,0.0)),""),"")</f>
        <v/>
      </c>
      <c r="AB107" s="15">
        <f>IF(ISNUMBER(S107),IF(ISNUMBER(S103),IF(S107&gt;S103,1.0,IF(S107=S103,0.5,0.0)),""),"")</f>
        <v/>
      </c>
      <c r="AC107" s="15">
        <f>IF(ISNUMBER(S107),IF(ISNUMBER(S104),IF(S107&gt;S104,1.0,IF(S107=S104,0.5,0.0)),""),"")</f>
        <v/>
      </c>
      <c r="AD107" s="15">
        <f>IF(ISNUMBER(S107),IF(ISNUMBER(S105),IF(S107&gt;S105,1.0,IF(S107=S105,0.5,0.0)),""),"")</f>
        <v/>
      </c>
      <c r="AE107" s="15">
        <f>IF(ISNUMBER(S107),IF(ISNUMBER(S106),IF(S107&gt;S106,1.0,IF(S107=S106,0.5,0.0)),""),"")</f>
        <v/>
      </c>
      <c r="AF107" s="21">
        <f>IF(AND(ISNUMBER(R107),ISNUMBER(R101)),VLOOKUP(ABS(R107-R101),'IMP Table'!$A$2:$C$26,3)*SIGN(R107-R101),0)</f>
        <v/>
      </c>
      <c r="AG107" s="15">
        <f>IF(AND(ISNUMBER(R107),ISNUMBER(R102)),VLOOKUP(ABS(R107-R102),'IMP Table'!$A$2:$C$26,3)*SIGN(R107-R102),0)</f>
        <v/>
      </c>
      <c r="AH107" s="15">
        <f>IF(AND(ISNUMBER(R107),ISNUMBER(R103)),VLOOKUP(ABS(R107-R103),'IMP Table'!$A$2:$C$26,3)*SIGN(R107-R103),0)</f>
        <v/>
      </c>
      <c r="AI107" s="15">
        <f>IF(AND(ISNUMBER(R107),ISNUMBER(R104)),VLOOKUP(ABS(R107-R104),'IMP Table'!$A$2:$C$26,3)*SIGN(R107-R104),0)</f>
        <v/>
      </c>
      <c r="AJ107" s="15">
        <f>IF(AND(ISNUMBER(R107),ISNUMBER(R105)),VLOOKUP(ABS(R107-R105),'IMP Table'!$A$2:$C$26,3)*SIGN(R107-R105),0)</f>
        <v/>
      </c>
      <c r="AK107" s="15">
        <f>IF(AND(ISNUMBER(R107),ISNUMBER(R106)),VLOOKUP(ABS(R107-R106),'IMP Table'!$A$2:$C$26,3)*SIGN(R107-R106),0)</f>
        <v/>
      </c>
      <c r="AL107" s="15">
        <f>IF(AND(ISNUMBER(S107),ISNUMBER(S101)),VLOOKUP(ABS(S107-S101),'IMP Table'!$A$2:$C$26,3)*SIGN(S107-S101),0)</f>
        <v/>
      </c>
      <c r="AM107" s="15">
        <f>IF(AND(ISNUMBER(S107),ISNUMBER(S102)),VLOOKUP(ABS(S107-S102),'IMP Table'!$A$2:$C$26,3)*SIGN(S107-S102),0)</f>
        <v/>
      </c>
      <c r="AN107" s="15">
        <f>IF(AND(ISNUMBER(S107),ISNUMBER(S103)),VLOOKUP(ABS(S107-S103),'IMP Table'!$A$2:$C$26,3)*SIGN(S107-S103),0)</f>
        <v/>
      </c>
      <c r="AO107" s="15">
        <f>IF(AND(ISNUMBER(S107),ISNUMBER(S104)),VLOOKUP(ABS(S107-S104),'IMP Table'!$A$2:$C$26,3)*SIGN(S107-S104),0)</f>
        <v/>
      </c>
      <c r="AP107" s="15">
        <f>IF(AND(ISNUMBER(S107),ISNUMBER(S105)),VLOOKUP(ABS(S107-S105),'IMP Table'!$A$2:$C$26,3)*SIGN(S107-S105),0)</f>
        <v/>
      </c>
      <c r="AQ107" s="15">
        <f>IF(AND(ISNUMBER(S107),ISNUMBER(S106)),VLOOKUP(ABS(S107-S106),'IMP Table'!$A$2:$C$26,3)*SIGN(S107-S106),0)</f>
        <v/>
      </c>
    </row>
    <row r="108">
      <c r="A108" t="n">
        <v>16</v>
      </c>
      <c r="B108">
        <f>'By Round'!A45</f>
        <v/>
      </c>
      <c r="C108">
        <f>'By Round'!B51</f>
        <v/>
      </c>
      <c r="D108">
        <f>'By Round'!C51</f>
        <v/>
      </c>
      <c r="E108">
        <f>'By Round'!D51</f>
        <v/>
      </c>
      <c r="F108" s="11" t="inlineStr">
        <is>
          <t>EW</t>
        </is>
      </c>
      <c r="G108">
        <f>IF(ISBLANK('By Round'!G51),"",'By Round'!G51)</f>
        <v/>
      </c>
      <c r="H108">
        <f>IF(ISBLANK('By Round'!H51),"",'By Round'!H51)</f>
        <v/>
      </c>
      <c r="I108">
        <f>IF(ISBLANK('By Round'!I51),"",'By Round'!I51)</f>
        <v/>
      </c>
      <c r="J108">
        <f>IF(ISBLANK('By Round'!J51),"",'By Round'!J51)</f>
        <v/>
      </c>
      <c r="K108">
        <f>IF(ISBLANK('By Round'!K51),"",'By Round'!K51)</f>
        <v/>
      </c>
      <c r="L108" s="12">
        <f>SUM(AF108:AK108)</f>
        <v/>
      </c>
      <c r="M108" s="13">
        <f>SUM(AL108:AQ108)</f>
        <v/>
      </c>
      <c r="N108" s="8">
        <f>IF(COUNT(T108:Y108)&gt;0,P108/COUNT(T108:Y108),0.5)</f>
        <v/>
      </c>
      <c r="O108" s="8">
        <f>IF(COUNT(Z108:AE108)&gt;0,Q108/COUNT(Z108:AE108),0.5)</f>
        <v/>
      </c>
      <c r="P108" s="5">
        <f>SUM(T108:Y108)</f>
        <v/>
      </c>
      <c r="Q108" s="5">
        <f>SUM(Z108:AE108)</f>
        <v/>
      </c>
      <c r="R108" s="14">
        <f>IF(ISNUMBER(J108),J108,IF(ISNUMBER(K108),-K108,""))</f>
        <v/>
      </c>
      <c r="S108">
        <f>IF(ISNUMBER(K108),K108,IF(ISNUMBER(J108),-J108,""))</f>
        <v/>
      </c>
      <c r="T108" s="14">
        <f>IF(ISNUMBER(R108),IF(ISNUMBER(R109),IF(R108&gt;R109,1.0,IF(R108=R109,0.5,0.0)),""),"")</f>
        <v/>
      </c>
      <c r="U108">
        <f>IF(ISNUMBER(R108),IF(ISNUMBER(R110),IF(R108&gt;R110,1.0,IF(R108=R110,0.5,0.0)),""),"")</f>
        <v/>
      </c>
      <c r="V108">
        <f>IF(ISNUMBER(R108),IF(ISNUMBER(R111),IF(R108&gt;R111,1.0,IF(R108=R111,0.5,0.0)),""),"")</f>
        <v/>
      </c>
      <c r="W108">
        <f>IF(ISNUMBER(R108),IF(ISNUMBER(R112),IF(R108&gt;R112,1.0,IF(R108=R112,0.5,0.0)),""),"")</f>
        <v/>
      </c>
      <c r="X108">
        <f>IF(ISNUMBER(R108),IF(ISNUMBER(R113),IF(R108&gt;R113,1.0,IF(R108=R113,0.5,0.0)),""),"")</f>
        <v/>
      </c>
      <c r="Y108">
        <f>IF(ISNUMBER(R108),IF(ISNUMBER(R114),IF(R108&gt;R114,1.0,IF(R108=R114,0.5,0.0)),""),"")</f>
        <v/>
      </c>
      <c r="Z108">
        <f>IF(ISNUMBER(S108),IF(ISNUMBER(S109),IF(S108&gt;S109,1.0,IF(S108=S109,0.5,0.0)),""),"")</f>
        <v/>
      </c>
      <c r="AA108">
        <f>IF(ISNUMBER(S108),IF(ISNUMBER(S110),IF(S108&gt;S110,1.0,IF(S108=S110,0.5,0.0)),""),"")</f>
        <v/>
      </c>
      <c r="AB108">
        <f>IF(ISNUMBER(S108),IF(ISNUMBER(S111),IF(S108&gt;S111,1.0,IF(S108=S111,0.5,0.0)),""),"")</f>
        <v/>
      </c>
      <c r="AC108">
        <f>IF(ISNUMBER(S108),IF(ISNUMBER(S112),IF(S108&gt;S112,1.0,IF(S108=S112,0.5,0.0)),""),"")</f>
        <v/>
      </c>
      <c r="AD108">
        <f>IF(ISNUMBER(S108),IF(ISNUMBER(S113),IF(S108&gt;S113,1.0,IF(S108=S113,0.5,0.0)),""),"")</f>
        <v/>
      </c>
      <c r="AE108">
        <f>IF(ISNUMBER(S108),IF(ISNUMBER(S114),IF(S108&gt;S114,1.0,IF(S108=S114,0.5,0.0)),""),"")</f>
        <v/>
      </c>
      <c r="AF108" s="14">
        <f>IF(AND(ISNUMBER(R108),ISNUMBER(R109)),VLOOKUP(ABS(R108-R109),'IMP Table'!$A$2:$C$26,3)*SIGN(R108-R109),0)</f>
        <v/>
      </c>
      <c r="AG108">
        <f>IF(AND(ISNUMBER(R108),ISNUMBER(R110)),VLOOKUP(ABS(R108-R110),'IMP Table'!$A$2:$C$26,3)*SIGN(R108-R110),0)</f>
        <v/>
      </c>
      <c r="AH108">
        <f>IF(AND(ISNUMBER(R108),ISNUMBER(R111)),VLOOKUP(ABS(R108-R111),'IMP Table'!$A$2:$C$26,3)*SIGN(R108-R111),0)</f>
        <v/>
      </c>
      <c r="AI108">
        <f>IF(AND(ISNUMBER(R108),ISNUMBER(R112)),VLOOKUP(ABS(R108-R112),'IMP Table'!$A$2:$C$26,3)*SIGN(R108-R112),0)</f>
        <v/>
      </c>
      <c r="AJ108">
        <f>IF(AND(ISNUMBER(R108),ISNUMBER(R113)),VLOOKUP(ABS(R108-R113),'IMP Table'!$A$2:$C$26,3)*SIGN(R108-R113),0)</f>
        <v/>
      </c>
      <c r="AK108">
        <f>IF(AND(ISNUMBER(R108),ISNUMBER(R114)),VLOOKUP(ABS(R108-R114),'IMP Table'!$A$2:$C$26,3)*SIGN(R108-R114),0)</f>
        <v/>
      </c>
      <c r="AL108">
        <f>IF(AND(ISNUMBER(S108),ISNUMBER(S109)),VLOOKUP(ABS(S108-S109),'IMP Table'!$A$2:$C$26,3)*SIGN(S108-S109),0)</f>
        <v/>
      </c>
      <c r="AM108">
        <f>IF(AND(ISNUMBER(S108),ISNUMBER(S110)),VLOOKUP(ABS(S108-S110),'IMP Table'!$A$2:$C$26,3)*SIGN(S108-S110),0)</f>
        <v/>
      </c>
      <c r="AN108">
        <f>IF(AND(ISNUMBER(S108),ISNUMBER(S111)),VLOOKUP(ABS(S108-S111),'IMP Table'!$A$2:$C$26,3)*SIGN(S108-S111),0)</f>
        <v/>
      </c>
      <c r="AO108">
        <f>IF(AND(ISNUMBER(S108),ISNUMBER(S112)),VLOOKUP(ABS(S108-S112),'IMP Table'!$A$2:$C$26,3)*SIGN(S108-S112),0)</f>
        <v/>
      </c>
      <c r="AP108">
        <f>IF(AND(ISNUMBER(S108),ISNUMBER(S113)),VLOOKUP(ABS(S108-S113),'IMP Table'!$A$2:$C$26,3)*SIGN(S108-S113),0)</f>
        <v/>
      </c>
      <c r="AQ108">
        <f>IF(AND(ISNUMBER(S108),ISNUMBER(S114)),VLOOKUP(ABS(S108-S114),'IMP Table'!$A$2:$C$26,3)*SIGN(S108-S114),0)</f>
        <v/>
      </c>
    </row>
    <row r="109">
      <c r="B109">
        <f>'By Round'!A59</f>
        <v/>
      </c>
      <c r="C109">
        <f>'By Round'!B63</f>
        <v/>
      </c>
      <c r="D109">
        <f>'By Round'!C63</f>
        <v/>
      </c>
      <c r="E109">
        <f>'By Round'!D63</f>
        <v/>
      </c>
      <c r="F109" s="11" t="inlineStr">
        <is>
          <t>EW</t>
        </is>
      </c>
      <c r="G109">
        <f>IF(ISBLANK('By Round'!G63),"",'By Round'!G63)</f>
        <v/>
      </c>
      <c r="H109">
        <f>IF(ISBLANK('By Round'!H63),"",'By Round'!H63)</f>
        <v/>
      </c>
      <c r="I109">
        <f>IF(ISBLANK('By Round'!I63),"",'By Round'!I63)</f>
        <v/>
      </c>
      <c r="J109">
        <f>IF(ISBLANK('By Round'!J63),"",'By Round'!J63)</f>
        <v/>
      </c>
      <c r="K109">
        <f>IF(ISBLANK('By Round'!K63),"",'By Round'!K63)</f>
        <v/>
      </c>
      <c r="L109" s="12">
        <f>SUM(AF109:AK109)</f>
        <v/>
      </c>
      <c r="M109" s="13">
        <f>SUM(AL109:AQ109)</f>
        <v/>
      </c>
      <c r="N109" s="8">
        <f>IF(COUNT(T109:Y109)&gt;0,P109/COUNT(T109:Y109),0.5)</f>
        <v/>
      </c>
      <c r="O109" s="8">
        <f>IF(COUNT(Z109:AE109)&gt;0,Q109/COUNT(Z109:AE109),0.5)</f>
        <v/>
      </c>
      <c r="P109" s="5">
        <f>SUM(T109:Y109)</f>
        <v/>
      </c>
      <c r="Q109" s="5">
        <f>SUM(Z109:AE109)</f>
        <v/>
      </c>
      <c r="R109" s="14">
        <f>IF(ISNUMBER(J109),J109,IF(ISNUMBER(K109),-K109,""))</f>
        <v/>
      </c>
      <c r="S109">
        <f>IF(ISNUMBER(K109),K109,IF(ISNUMBER(J109),-J109,""))</f>
        <v/>
      </c>
      <c r="T109" s="14">
        <f>IF(ISNUMBER(R109),IF(ISNUMBER(R108),IF(R109&gt;R108,1.0,IF(R109=R108,0.5,0.0)),""),"")</f>
        <v/>
      </c>
      <c r="U109">
        <f>IF(ISNUMBER(R109),IF(ISNUMBER(R110),IF(R109&gt;R110,1.0,IF(R109=R110,0.5,0.0)),""),"")</f>
        <v/>
      </c>
      <c r="V109">
        <f>IF(ISNUMBER(R109),IF(ISNUMBER(R111),IF(R109&gt;R111,1.0,IF(R109=R111,0.5,0.0)),""),"")</f>
        <v/>
      </c>
      <c r="W109">
        <f>IF(ISNUMBER(R109),IF(ISNUMBER(R112),IF(R109&gt;R112,1.0,IF(R109=R112,0.5,0.0)),""),"")</f>
        <v/>
      </c>
      <c r="X109">
        <f>IF(ISNUMBER(R109),IF(ISNUMBER(R113),IF(R109&gt;R113,1.0,IF(R109=R113,0.5,0.0)),""),"")</f>
        <v/>
      </c>
      <c r="Y109">
        <f>IF(ISNUMBER(R109),IF(ISNUMBER(R114),IF(R109&gt;R114,1.0,IF(R109=R114,0.5,0.0)),""),"")</f>
        <v/>
      </c>
      <c r="Z109">
        <f>IF(ISNUMBER(S109),IF(ISNUMBER(S108),IF(S109&gt;S108,1.0,IF(S109=S108,0.5,0.0)),""),"")</f>
        <v/>
      </c>
      <c r="AA109">
        <f>IF(ISNUMBER(S109),IF(ISNUMBER(S110),IF(S109&gt;S110,1.0,IF(S109=S110,0.5,0.0)),""),"")</f>
        <v/>
      </c>
      <c r="AB109">
        <f>IF(ISNUMBER(S109),IF(ISNUMBER(S111),IF(S109&gt;S111,1.0,IF(S109=S111,0.5,0.0)),""),"")</f>
        <v/>
      </c>
      <c r="AC109">
        <f>IF(ISNUMBER(S109),IF(ISNUMBER(S112),IF(S109&gt;S112,1.0,IF(S109=S112,0.5,0.0)),""),"")</f>
        <v/>
      </c>
      <c r="AD109">
        <f>IF(ISNUMBER(S109),IF(ISNUMBER(S113),IF(S109&gt;S113,1.0,IF(S109=S113,0.5,0.0)),""),"")</f>
        <v/>
      </c>
      <c r="AE109">
        <f>IF(ISNUMBER(S109),IF(ISNUMBER(S114),IF(S109&gt;S114,1.0,IF(S109=S114,0.5,0.0)),""),"")</f>
        <v/>
      </c>
      <c r="AF109" s="14">
        <f>IF(AND(ISNUMBER(R109),ISNUMBER(R108)),VLOOKUP(ABS(R109-R108),'IMP Table'!$A$2:$C$26,3)*SIGN(R109-R108),0)</f>
        <v/>
      </c>
      <c r="AG109">
        <f>IF(AND(ISNUMBER(R109),ISNUMBER(R110)),VLOOKUP(ABS(R109-R110),'IMP Table'!$A$2:$C$26,3)*SIGN(R109-R110),0)</f>
        <v/>
      </c>
      <c r="AH109">
        <f>IF(AND(ISNUMBER(R109),ISNUMBER(R111)),VLOOKUP(ABS(R109-R111),'IMP Table'!$A$2:$C$26,3)*SIGN(R109-R111),0)</f>
        <v/>
      </c>
      <c r="AI109">
        <f>IF(AND(ISNUMBER(R109),ISNUMBER(R112)),VLOOKUP(ABS(R109-R112),'IMP Table'!$A$2:$C$26,3)*SIGN(R109-R112),0)</f>
        <v/>
      </c>
      <c r="AJ109">
        <f>IF(AND(ISNUMBER(R109),ISNUMBER(R113)),VLOOKUP(ABS(R109-R113),'IMP Table'!$A$2:$C$26,3)*SIGN(R109-R113),0)</f>
        <v/>
      </c>
      <c r="AK109">
        <f>IF(AND(ISNUMBER(R109),ISNUMBER(R114)),VLOOKUP(ABS(R109-R114),'IMP Table'!$A$2:$C$26,3)*SIGN(R109-R114),0)</f>
        <v/>
      </c>
      <c r="AL109">
        <f>IF(AND(ISNUMBER(S109),ISNUMBER(S108)),VLOOKUP(ABS(S109-S108),'IMP Table'!$A$2:$C$26,3)*SIGN(S109-S108),0)</f>
        <v/>
      </c>
      <c r="AM109">
        <f>IF(AND(ISNUMBER(S109),ISNUMBER(S110)),VLOOKUP(ABS(S109-S110),'IMP Table'!$A$2:$C$26,3)*SIGN(S109-S110),0)</f>
        <v/>
      </c>
      <c r="AN109">
        <f>IF(AND(ISNUMBER(S109),ISNUMBER(S111)),VLOOKUP(ABS(S109-S111),'IMP Table'!$A$2:$C$26,3)*SIGN(S109-S111),0)</f>
        <v/>
      </c>
      <c r="AO109">
        <f>IF(AND(ISNUMBER(S109),ISNUMBER(S112)),VLOOKUP(ABS(S109-S112),'IMP Table'!$A$2:$C$26,3)*SIGN(S109-S112),0)</f>
        <v/>
      </c>
      <c r="AP109">
        <f>IF(AND(ISNUMBER(S109),ISNUMBER(S113)),VLOOKUP(ABS(S109-S113),'IMP Table'!$A$2:$C$26,3)*SIGN(S109-S113),0)</f>
        <v/>
      </c>
      <c r="AQ109">
        <f>IF(AND(ISNUMBER(S109),ISNUMBER(S114)),VLOOKUP(ABS(S109-S114),'IMP Table'!$A$2:$C$26,3)*SIGN(S109-S114),0)</f>
        <v/>
      </c>
    </row>
    <row r="110">
      <c r="B110">
        <f>'By Round'!A73</f>
        <v/>
      </c>
      <c r="C110">
        <f>'By Round'!B75</f>
        <v/>
      </c>
      <c r="D110">
        <f>'By Round'!C75</f>
        <v/>
      </c>
      <c r="E110">
        <f>'By Round'!D75</f>
        <v/>
      </c>
      <c r="F110" s="11" t="inlineStr">
        <is>
          <t>EW</t>
        </is>
      </c>
      <c r="G110">
        <f>IF(ISBLANK('By Round'!G75),"",'By Round'!G75)</f>
        <v/>
      </c>
      <c r="H110">
        <f>IF(ISBLANK('By Round'!H75),"",'By Round'!H75)</f>
        <v/>
      </c>
      <c r="I110">
        <f>IF(ISBLANK('By Round'!I75),"",'By Round'!I75)</f>
        <v/>
      </c>
      <c r="J110">
        <f>IF(ISBLANK('By Round'!J75),"",'By Round'!J75)</f>
        <v/>
      </c>
      <c r="K110">
        <f>IF(ISBLANK('By Round'!K75),"",'By Round'!K75)</f>
        <v/>
      </c>
      <c r="L110" s="12">
        <f>SUM(AF110:AK110)</f>
        <v/>
      </c>
      <c r="M110" s="13">
        <f>SUM(AL110:AQ110)</f>
        <v/>
      </c>
      <c r="N110" s="8">
        <f>IF(COUNT(T110:Y110)&gt;0,P110/COUNT(T110:Y110),0.5)</f>
        <v/>
      </c>
      <c r="O110" s="8">
        <f>IF(COUNT(Z110:AE110)&gt;0,Q110/COUNT(Z110:AE110),0.5)</f>
        <v/>
      </c>
      <c r="P110" s="5">
        <f>SUM(T110:Y110)</f>
        <v/>
      </c>
      <c r="Q110" s="5">
        <f>SUM(Z110:AE110)</f>
        <v/>
      </c>
      <c r="R110" s="14">
        <f>IF(ISNUMBER(J110),J110,IF(ISNUMBER(K110),-K110,""))</f>
        <v/>
      </c>
      <c r="S110">
        <f>IF(ISNUMBER(K110),K110,IF(ISNUMBER(J110),-J110,""))</f>
        <v/>
      </c>
      <c r="T110" s="14">
        <f>IF(ISNUMBER(R110),IF(ISNUMBER(R108),IF(R110&gt;R108,1.0,IF(R110=R108,0.5,0.0)),""),"")</f>
        <v/>
      </c>
      <c r="U110">
        <f>IF(ISNUMBER(R110),IF(ISNUMBER(R109),IF(R110&gt;R109,1.0,IF(R110=R109,0.5,0.0)),""),"")</f>
        <v/>
      </c>
      <c r="V110">
        <f>IF(ISNUMBER(R110),IF(ISNUMBER(R111),IF(R110&gt;R111,1.0,IF(R110=R111,0.5,0.0)),""),"")</f>
        <v/>
      </c>
      <c r="W110">
        <f>IF(ISNUMBER(R110),IF(ISNUMBER(R112),IF(R110&gt;R112,1.0,IF(R110=R112,0.5,0.0)),""),"")</f>
        <v/>
      </c>
      <c r="X110">
        <f>IF(ISNUMBER(R110),IF(ISNUMBER(R113),IF(R110&gt;R113,1.0,IF(R110=R113,0.5,0.0)),""),"")</f>
        <v/>
      </c>
      <c r="Y110">
        <f>IF(ISNUMBER(R110),IF(ISNUMBER(R114),IF(R110&gt;R114,1.0,IF(R110=R114,0.5,0.0)),""),"")</f>
        <v/>
      </c>
      <c r="Z110">
        <f>IF(ISNUMBER(S110),IF(ISNUMBER(S108),IF(S110&gt;S108,1.0,IF(S110=S108,0.5,0.0)),""),"")</f>
        <v/>
      </c>
      <c r="AA110">
        <f>IF(ISNUMBER(S110),IF(ISNUMBER(S109),IF(S110&gt;S109,1.0,IF(S110=S109,0.5,0.0)),""),"")</f>
        <v/>
      </c>
      <c r="AB110">
        <f>IF(ISNUMBER(S110),IF(ISNUMBER(S111),IF(S110&gt;S111,1.0,IF(S110=S111,0.5,0.0)),""),"")</f>
        <v/>
      </c>
      <c r="AC110">
        <f>IF(ISNUMBER(S110),IF(ISNUMBER(S112),IF(S110&gt;S112,1.0,IF(S110=S112,0.5,0.0)),""),"")</f>
        <v/>
      </c>
      <c r="AD110">
        <f>IF(ISNUMBER(S110),IF(ISNUMBER(S113),IF(S110&gt;S113,1.0,IF(S110=S113,0.5,0.0)),""),"")</f>
        <v/>
      </c>
      <c r="AE110">
        <f>IF(ISNUMBER(S110),IF(ISNUMBER(S114),IF(S110&gt;S114,1.0,IF(S110=S114,0.5,0.0)),""),"")</f>
        <v/>
      </c>
      <c r="AF110" s="14">
        <f>IF(AND(ISNUMBER(R110),ISNUMBER(R108)),VLOOKUP(ABS(R110-R108),'IMP Table'!$A$2:$C$26,3)*SIGN(R110-R108),0)</f>
        <v/>
      </c>
      <c r="AG110">
        <f>IF(AND(ISNUMBER(R110),ISNUMBER(R109)),VLOOKUP(ABS(R110-R109),'IMP Table'!$A$2:$C$26,3)*SIGN(R110-R109),0)</f>
        <v/>
      </c>
      <c r="AH110">
        <f>IF(AND(ISNUMBER(R110),ISNUMBER(R111)),VLOOKUP(ABS(R110-R111),'IMP Table'!$A$2:$C$26,3)*SIGN(R110-R111),0)</f>
        <v/>
      </c>
      <c r="AI110">
        <f>IF(AND(ISNUMBER(R110),ISNUMBER(R112)),VLOOKUP(ABS(R110-R112),'IMP Table'!$A$2:$C$26,3)*SIGN(R110-R112),0)</f>
        <v/>
      </c>
      <c r="AJ110">
        <f>IF(AND(ISNUMBER(R110),ISNUMBER(R113)),VLOOKUP(ABS(R110-R113),'IMP Table'!$A$2:$C$26,3)*SIGN(R110-R113),0)</f>
        <v/>
      </c>
      <c r="AK110">
        <f>IF(AND(ISNUMBER(R110),ISNUMBER(R114)),VLOOKUP(ABS(R110-R114),'IMP Table'!$A$2:$C$26,3)*SIGN(R110-R114),0)</f>
        <v/>
      </c>
      <c r="AL110">
        <f>IF(AND(ISNUMBER(S110),ISNUMBER(S108)),VLOOKUP(ABS(S110-S108),'IMP Table'!$A$2:$C$26,3)*SIGN(S110-S108),0)</f>
        <v/>
      </c>
      <c r="AM110">
        <f>IF(AND(ISNUMBER(S110),ISNUMBER(S109)),VLOOKUP(ABS(S110-S109),'IMP Table'!$A$2:$C$26,3)*SIGN(S110-S109),0)</f>
        <v/>
      </c>
      <c r="AN110">
        <f>IF(AND(ISNUMBER(S110),ISNUMBER(S111)),VLOOKUP(ABS(S110-S111),'IMP Table'!$A$2:$C$26,3)*SIGN(S110-S111),0)</f>
        <v/>
      </c>
      <c r="AO110">
        <f>IF(AND(ISNUMBER(S110),ISNUMBER(S112)),VLOOKUP(ABS(S110-S112),'IMP Table'!$A$2:$C$26,3)*SIGN(S110-S112),0)</f>
        <v/>
      </c>
      <c r="AP110">
        <f>IF(AND(ISNUMBER(S110),ISNUMBER(S113)),VLOOKUP(ABS(S110-S113),'IMP Table'!$A$2:$C$26,3)*SIGN(S110-S113),0)</f>
        <v/>
      </c>
      <c r="AQ110">
        <f>IF(AND(ISNUMBER(S110),ISNUMBER(S114)),VLOOKUP(ABS(S110-S114),'IMP Table'!$A$2:$C$26,3)*SIGN(S110-S114),0)</f>
        <v/>
      </c>
    </row>
    <row r="111">
      <c r="B111">
        <f>'By Round'!A101</f>
        <v/>
      </c>
      <c r="C111">
        <f>'By Round'!B101</f>
        <v/>
      </c>
      <c r="D111">
        <f>'By Round'!C101</f>
        <v/>
      </c>
      <c r="E111">
        <f>'By Round'!D101</f>
        <v/>
      </c>
      <c r="F111" s="11" t="inlineStr">
        <is>
          <t>EW</t>
        </is>
      </c>
      <c r="G111">
        <f>IF(ISBLANK('By Round'!G101),"",'By Round'!G101)</f>
        <v/>
      </c>
      <c r="H111">
        <f>IF(ISBLANK('By Round'!H101),"",'By Round'!H101)</f>
        <v/>
      </c>
      <c r="I111">
        <f>IF(ISBLANK('By Round'!I101),"",'By Round'!I101)</f>
        <v/>
      </c>
      <c r="J111">
        <f>IF(ISBLANK('By Round'!J101),"",'By Round'!J101)</f>
        <v/>
      </c>
      <c r="K111">
        <f>IF(ISBLANK('By Round'!K101),"",'By Round'!K101)</f>
        <v/>
      </c>
      <c r="L111" s="12">
        <f>SUM(AF111:AK111)</f>
        <v/>
      </c>
      <c r="M111" s="13">
        <f>SUM(AL111:AQ111)</f>
        <v/>
      </c>
      <c r="N111" s="8">
        <f>IF(COUNT(T111:Y111)&gt;0,P111/COUNT(T111:Y111),0.5)</f>
        <v/>
      </c>
      <c r="O111" s="8">
        <f>IF(COUNT(Z111:AE111)&gt;0,Q111/COUNT(Z111:AE111),0.5)</f>
        <v/>
      </c>
      <c r="P111" s="5">
        <f>SUM(T111:Y111)</f>
        <v/>
      </c>
      <c r="Q111" s="5">
        <f>SUM(Z111:AE111)</f>
        <v/>
      </c>
      <c r="R111" s="14">
        <f>IF(ISNUMBER(J111),J111,IF(ISNUMBER(K111),-K111,""))</f>
        <v/>
      </c>
      <c r="S111">
        <f>IF(ISNUMBER(K111),K111,IF(ISNUMBER(J111),-J111,""))</f>
        <v/>
      </c>
      <c r="T111" s="14">
        <f>IF(ISNUMBER(R111),IF(ISNUMBER(R108),IF(R111&gt;R108,1.0,IF(R111=R108,0.5,0.0)),""),"")</f>
        <v/>
      </c>
      <c r="U111">
        <f>IF(ISNUMBER(R111),IF(ISNUMBER(R109),IF(R111&gt;R109,1.0,IF(R111=R109,0.5,0.0)),""),"")</f>
        <v/>
      </c>
      <c r="V111">
        <f>IF(ISNUMBER(R111),IF(ISNUMBER(R110),IF(R111&gt;R110,1.0,IF(R111=R110,0.5,0.0)),""),"")</f>
        <v/>
      </c>
      <c r="W111">
        <f>IF(ISNUMBER(R111),IF(ISNUMBER(R112),IF(R111&gt;R112,1.0,IF(R111=R112,0.5,0.0)),""),"")</f>
        <v/>
      </c>
      <c r="X111">
        <f>IF(ISNUMBER(R111),IF(ISNUMBER(R113),IF(R111&gt;R113,1.0,IF(R111=R113,0.5,0.0)),""),"")</f>
        <v/>
      </c>
      <c r="Y111">
        <f>IF(ISNUMBER(R111),IF(ISNUMBER(R114),IF(R111&gt;R114,1.0,IF(R111=R114,0.5,0.0)),""),"")</f>
        <v/>
      </c>
      <c r="Z111">
        <f>IF(ISNUMBER(S111),IF(ISNUMBER(S108),IF(S111&gt;S108,1.0,IF(S111=S108,0.5,0.0)),""),"")</f>
        <v/>
      </c>
      <c r="AA111">
        <f>IF(ISNUMBER(S111),IF(ISNUMBER(S109),IF(S111&gt;S109,1.0,IF(S111=S109,0.5,0.0)),""),"")</f>
        <v/>
      </c>
      <c r="AB111">
        <f>IF(ISNUMBER(S111),IF(ISNUMBER(S110),IF(S111&gt;S110,1.0,IF(S111=S110,0.5,0.0)),""),"")</f>
        <v/>
      </c>
      <c r="AC111">
        <f>IF(ISNUMBER(S111),IF(ISNUMBER(S112),IF(S111&gt;S112,1.0,IF(S111=S112,0.5,0.0)),""),"")</f>
        <v/>
      </c>
      <c r="AD111">
        <f>IF(ISNUMBER(S111),IF(ISNUMBER(S113),IF(S111&gt;S113,1.0,IF(S111=S113,0.5,0.0)),""),"")</f>
        <v/>
      </c>
      <c r="AE111">
        <f>IF(ISNUMBER(S111),IF(ISNUMBER(S114),IF(S111&gt;S114,1.0,IF(S111=S114,0.5,0.0)),""),"")</f>
        <v/>
      </c>
      <c r="AF111" s="14">
        <f>IF(AND(ISNUMBER(R111),ISNUMBER(R108)),VLOOKUP(ABS(R111-R108),'IMP Table'!$A$2:$C$26,3)*SIGN(R111-R108),0)</f>
        <v/>
      </c>
      <c r="AG111">
        <f>IF(AND(ISNUMBER(R111),ISNUMBER(R109)),VLOOKUP(ABS(R111-R109),'IMP Table'!$A$2:$C$26,3)*SIGN(R111-R109),0)</f>
        <v/>
      </c>
      <c r="AH111">
        <f>IF(AND(ISNUMBER(R111),ISNUMBER(R110)),VLOOKUP(ABS(R111-R110),'IMP Table'!$A$2:$C$26,3)*SIGN(R111-R110),0)</f>
        <v/>
      </c>
      <c r="AI111">
        <f>IF(AND(ISNUMBER(R111),ISNUMBER(R112)),VLOOKUP(ABS(R111-R112),'IMP Table'!$A$2:$C$26,3)*SIGN(R111-R112),0)</f>
        <v/>
      </c>
      <c r="AJ111">
        <f>IF(AND(ISNUMBER(R111),ISNUMBER(R113)),VLOOKUP(ABS(R111-R113),'IMP Table'!$A$2:$C$26,3)*SIGN(R111-R113),0)</f>
        <v/>
      </c>
      <c r="AK111">
        <f>IF(AND(ISNUMBER(R111),ISNUMBER(R114)),VLOOKUP(ABS(R111-R114),'IMP Table'!$A$2:$C$26,3)*SIGN(R111-R114),0)</f>
        <v/>
      </c>
      <c r="AL111">
        <f>IF(AND(ISNUMBER(S111),ISNUMBER(S108)),VLOOKUP(ABS(S111-S108),'IMP Table'!$A$2:$C$26,3)*SIGN(S111-S108),0)</f>
        <v/>
      </c>
      <c r="AM111">
        <f>IF(AND(ISNUMBER(S111),ISNUMBER(S109)),VLOOKUP(ABS(S111-S109),'IMP Table'!$A$2:$C$26,3)*SIGN(S111-S109),0)</f>
        <v/>
      </c>
      <c r="AN111">
        <f>IF(AND(ISNUMBER(S111),ISNUMBER(S110)),VLOOKUP(ABS(S111-S110),'IMP Table'!$A$2:$C$26,3)*SIGN(S111-S110),0)</f>
        <v/>
      </c>
      <c r="AO111">
        <f>IF(AND(ISNUMBER(S111),ISNUMBER(S112)),VLOOKUP(ABS(S111-S112),'IMP Table'!$A$2:$C$26,3)*SIGN(S111-S112),0)</f>
        <v/>
      </c>
      <c r="AP111">
        <f>IF(AND(ISNUMBER(S111),ISNUMBER(S113)),VLOOKUP(ABS(S111-S113),'IMP Table'!$A$2:$C$26,3)*SIGN(S111-S113),0)</f>
        <v/>
      </c>
      <c r="AQ111">
        <f>IF(AND(ISNUMBER(S111),ISNUMBER(S114)),VLOOKUP(ABS(S111-S114),'IMP Table'!$A$2:$C$26,3)*SIGN(S111-S114),0)</f>
        <v/>
      </c>
    </row>
    <row r="112">
      <c r="B112">
        <f>'By Round'!A129</f>
        <v/>
      </c>
      <c r="C112">
        <f>'By Round'!B141</f>
        <v/>
      </c>
      <c r="D112">
        <f>'By Round'!C141</f>
        <v/>
      </c>
      <c r="E112">
        <f>'By Round'!D141</f>
        <v/>
      </c>
      <c r="F112" s="11" t="inlineStr">
        <is>
          <t>EW</t>
        </is>
      </c>
      <c r="G112">
        <f>IF(ISBLANK('By Round'!G141),"",'By Round'!G141)</f>
        <v/>
      </c>
      <c r="H112">
        <f>IF(ISBLANK('By Round'!H141),"",'By Round'!H141)</f>
        <v/>
      </c>
      <c r="I112">
        <f>IF(ISBLANK('By Round'!I141),"",'By Round'!I141)</f>
        <v/>
      </c>
      <c r="J112">
        <f>IF(ISBLANK('By Round'!J141),"",'By Round'!J141)</f>
        <v/>
      </c>
      <c r="K112">
        <f>IF(ISBLANK('By Round'!K141),"",'By Round'!K141)</f>
        <v/>
      </c>
      <c r="L112" s="12">
        <f>SUM(AF112:AK112)</f>
        <v/>
      </c>
      <c r="M112" s="13">
        <f>SUM(AL112:AQ112)</f>
        <v/>
      </c>
      <c r="N112" s="8">
        <f>IF(COUNT(T112:Y112)&gt;0,P112/COUNT(T112:Y112),0.5)</f>
        <v/>
      </c>
      <c r="O112" s="8">
        <f>IF(COUNT(Z112:AE112)&gt;0,Q112/COUNT(Z112:AE112),0.5)</f>
        <v/>
      </c>
      <c r="P112" s="5">
        <f>SUM(T112:Y112)</f>
        <v/>
      </c>
      <c r="Q112" s="5">
        <f>SUM(Z112:AE112)</f>
        <v/>
      </c>
      <c r="R112" s="14">
        <f>IF(ISNUMBER(J112),J112,IF(ISNUMBER(K112),-K112,""))</f>
        <v/>
      </c>
      <c r="S112">
        <f>IF(ISNUMBER(K112),K112,IF(ISNUMBER(J112),-J112,""))</f>
        <v/>
      </c>
      <c r="T112" s="14">
        <f>IF(ISNUMBER(R112),IF(ISNUMBER(R108),IF(R112&gt;R108,1.0,IF(R112=R108,0.5,0.0)),""),"")</f>
        <v/>
      </c>
      <c r="U112">
        <f>IF(ISNUMBER(R112),IF(ISNUMBER(R109),IF(R112&gt;R109,1.0,IF(R112=R109,0.5,0.0)),""),"")</f>
        <v/>
      </c>
      <c r="V112">
        <f>IF(ISNUMBER(R112),IF(ISNUMBER(R110),IF(R112&gt;R110,1.0,IF(R112=R110,0.5,0.0)),""),"")</f>
        <v/>
      </c>
      <c r="W112">
        <f>IF(ISNUMBER(R112),IF(ISNUMBER(R111),IF(R112&gt;R111,1.0,IF(R112=R111,0.5,0.0)),""),"")</f>
        <v/>
      </c>
      <c r="X112">
        <f>IF(ISNUMBER(R112),IF(ISNUMBER(R113),IF(R112&gt;R113,1.0,IF(R112=R113,0.5,0.0)),""),"")</f>
        <v/>
      </c>
      <c r="Y112">
        <f>IF(ISNUMBER(R112),IF(ISNUMBER(R114),IF(R112&gt;R114,1.0,IF(R112=R114,0.5,0.0)),""),"")</f>
        <v/>
      </c>
      <c r="Z112">
        <f>IF(ISNUMBER(S112),IF(ISNUMBER(S108),IF(S112&gt;S108,1.0,IF(S112=S108,0.5,0.0)),""),"")</f>
        <v/>
      </c>
      <c r="AA112">
        <f>IF(ISNUMBER(S112),IF(ISNUMBER(S109),IF(S112&gt;S109,1.0,IF(S112=S109,0.5,0.0)),""),"")</f>
        <v/>
      </c>
      <c r="AB112">
        <f>IF(ISNUMBER(S112),IF(ISNUMBER(S110),IF(S112&gt;S110,1.0,IF(S112=S110,0.5,0.0)),""),"")</f>
        <v/>
      </c>
      <c r="AC112">
        <f>IF(ISNUMBER(S112),IF(ISNUMBER(S111),IF(S112&gt;S111,1.0,IF(S112=S111,0.5,0.0)),""),"")</f>
        <v/>
      </c>
      <c r="AD112">
        <f>IF(ISNUMBER(S112),IF(ISNUMBER(S113),IF(S112&gt;S113,1.0,IF(S112=S113,0.5,0.0)),""),"")</f>
        <v/>
      </c>
      <c r="AE112">
        <f>IF(ISNUMBER(S112),IF(ISNUMBER(S114),IF(S112&gt;S114,1.0,IF(S112=S114,0.5,0.0)),""),"")</f>
        <v/>
      </c>
      <c r="AF112" s="14">
        <f>IF(AND(ISNUMBER(R112),ISNUMBER(R108)),VLOOKUP(ABS(R112-R108),'IMP Table'!$A$2:$C$26,3)*SIGN(R112-R108),0)</f>
        <v/>
      </c>
      <c r="AG112">
        <f>IF(AND(ISNUMBER(R112),ISNUMBER(R109)),VLOOKUP(ABS(R112-R109),'IMP Table'!$A$2:$C$26,3)*SIGN(R112-R109),0)</f>
        <v/>
      </c>
      <c r="AH112">
        <f>IF(AND(ISNUMBER(R112),ISNUMBER(R110)),VLOOKUP(ABS(R112-R110),'IMP Table'!$A$2:$C$26,3)*SIGN(R112-R110),0)</f>
        <v/>
      </c>
      <c r="AI112">
        <f>IF(AND(ISNUMBER(R112),ISNUMBER(R111)),VLOOKUP(ABS(R112-R111),'IMP Table'!$A$2:$C$26,3)*SIGN(R112-R111),0)</f>
        <v/>
      </c>
      <c r="AJ112">
        <f>IF(AND(ISNUMBER(R112),ISNUMBER(R113)),VLOOKUP(ABS(R112-R113),'IMP Table'!$A$2:$C$26,3)*SIGN(R112-R113),0)</f>
        <v/>
      </c>
      <c r="AK112">
        <f>IF(AND(ISNUMBER(R112),ISNUMBER(R114)),VLOOKUP(ABS(R112-R114),'IMP Table'!$A$2:$C$26,3)*SIGN(R112-R114),0)</f>
        <v/>
      </c>
      <c r="AL112">
        <f>IF(AND(ISNUMBER(S112),ISNUMBER(S108)),VLOOKUP(ABS(S112-S108),'IMP Table'!$A$2:$C$26,3)*SIGN(S112-S108),0)</f>
        <v/>
      </c>
      <c r="AM112">
        <f>IF(AND(ISNUMBER(S112),ISNUMBER(S109)),VLOOKUP(ABS(S112-S109),'IMP Table'!$A$2:$C$26,3)*SIGN(S112-S109),0)</f>
        <v/>
      </c>
      <c r="AN112">
        <f>IF(AND(ISNUMBER(S112),ISNUMBER(S110)),VLOOKUP(ABS(S112-S110),'IMP Table'!$A$2:$C$26,3)*SIGN(S112-S110),0)</f>
        <v/>
      </c>
      <c r="AO112">
        <f>IF(AND(ISNUMBER(S112),ISNUMBER(S111)),VLOOKUP(ABS(S112-S111),'IMP Table'!$A$2:$C$26,3)*SIGN(S112-S111),0)</f>
        <v/>
      </c>
      <c r="AP112">
        <f>IF(AND(ISNUMBER(S112),ISNUMBER(S113)),VLOOKUP(ABS(S112-S113),'IMP Table'!$A$2:$C$26,3)*SIGN(S112-S113),0)</f>
        <v/>
      </c>
      <c r="AQ112">
        <f>IF(AND(ISNUMBER(S112),ISNUMBER(S114)),VLOOKUP(ABS(S112-S114),'IMP Table'!$A$2:$C$26,3)*SIGN(S112-S114),0)</f>
        <v/>
      </c>
    </row>
    <row r="113">
      <c r="B113">
        <f>'By Round'!A143</f>
        <v/>
      </c>
      <c r="C113">
        <f>'By Round'!B153</f>
        <v/>
      </c>
      <c r="D113">
        <f>'By Round'!C153</f>
        <v/>
      </c>
      <c r="E113">
        <f>'By Round'!D153</f>
        <v/>
      </c>
      <c r="F113" s="11" t="inlineStr">
        <is>
          <t>EW</t>
        </is>
      </c>
      <c r="G113">
        <f>IF(ISBLANK('By Round'!G153),"",'By Round'!G153)</f>
        <v/>
      </c>
      <c r="H113">
        <f>IF(ISBLANK('By Round'!H153),"",'By Round'!H153)</f>
        <v/>
      </c>
      <c r="I113">
        <f>IF(ISBLANK('By Round'!I153),"",'By Round'!I153)</f>
        <v/>
      </c>
      <c r="J113">
        <f>IF(ISBLANK('By Round'!J153),"",'By Round'!J153)</f>
        <v/>
      </c>
      <c r="K113">
        <f>IF(ISBLANK('By Round'!K153),"",'By Round'!K153)</f>
        <v/>
      </c>
      <c r="L113" s="12">
        <f>SUM(AF113:AK113)</f>
        <v/>
      </c>
      <c r="M113" s="13">
        <f>SUM(AL113:AQ113)</f>
        <v/>
      </c>
      <c r="N113" s="8">
        <f>IF(COUNT(T113:Y113)&gt;0,P113/COUNT(T113:Y113),0.5)</f>
        <v/>
      </c>
      <c r="O113" s="8">
        <f>IF(COUNT(Z113:AE113)&gt;0,Q113/COUNT(Z113:AE113),0.5)</f>
        <v/>
      </c>
      <c r="P113" s="5">
        <f>SUM(T113:Y113)</f>
        <v/>
      </c>
      <c r="Q113" s="5">
        <f>SUM(Z113:AE113)</f>
        <v/>
      </c>
      <c r="R113" s="14">
        <f>IF(ISNUMBER(J113),J113,IF(ISNUMBER(K113),-K113,""))</f>
        <v/>
      </c>
      <c r="S113">
        <f>IF(ISNUMBER(K113),K113,IF(ISNUMBER(J113),-J113,""))</f>
        <v/>
      </c>
      <c r="T113" s="14">
        <f>IF(ISNUMBER(R113),IF(ISNUMBER(R108),IF(R113&gt;R108,1.0,IF(R113=R108,0.5,0.0)),""),"")</f>
        <v/>
      </c>
      <c r="U113">
        <f>IF(ISNUMBER(R113),IF(ISNUMBER(R109),IF(R113&gt;R109,1.0,IF(R113=R109,0.5,0.0)),""),"")</f>
        <v/>
      </c>
      <c r="V113">
        <f>IF(ISNUMBER(R113),IF(ISNUMBER(R110),IF(R113&gt;R110,1.0,IF(R113=R110,0.5,0.0)),""),"")</f>
        <v/>
      </c>
      <c r="W113">
        <f>IF(ISNUMBER(R113),IF(ISNUMBER(R111),IF(R113&gt;R111,1.0,IF(R113=R111,0.5,0.0)),""),"")</f>
        <v/>
      </c>
      <c r="X113">
        <f>IF(ISNUMBER(R113),IF(ISNUMBER(R112),IF(R113&gt;R112,1.0,IF(R113=R112,0.5,0.0)),""),"")</f>
        <v/>
      </c>
      <c r="Y113">
        <f>IF(ISNUMBER(R113),IF(ISNUMBER(R114),IF(R113&gt;R114,1.0,IF(R113=R114,0.5,0.0)),""),"")</f>
        <v/>
      </c>
      <c r="Z113">
        <f>IF(ISNUMBER(S113),IF(ISNUMBER(S108),IF(S113&gt;S108,1.0,IF(S113=S108,0.5,0.0)),""),"")</f>
        <v/>
      </c>
      <c r="AA113">
        <f>IF(ISNUMBER(S113),IF(ISNUMBER(S109),IF(S113&gt;S109,1.0,IF(S113=S109,0.5,0.0)),""),"")</f>
        <v/>
      </c>
      <c r="AB113">
        <f>IF(ISNUMBER(S113),IF(ISNUMBER(S110),IF(S113&gt;S110,1.0,IF(S113=S110,0.5,0.0)),""),"")</f>
        <v/>
      </c>
      <c r="AC113">
        <f>IF(ISNUMBER(S113),IF(ISNUMBER(S111),IF(S113&gt;S111,1.0,IF(S113=S111,0.5,0.0)),""),"")</f>
        <v/>
      </c>
      <c r="AD113">
        <f>IF(ISNUMBER(S113),IF(ISNUMBER(S112),IF(S113&gt;S112,1.0,IF(S113=S112,0.5,0.0)),""),"")</f>
        <v/>
      </c>
      <c r="AE113">
        <f>IF(ISNUMBER(S113),IF(ISNUMBER(S114),IF(S113&gt;S114,1.0,IF(S113=S114,0.5,0.0)),""),"")</f>
        <v/>
      </c>
      <c r="AF113" s="14">
        <f>IF(AND(ISNUMBER(R113),ISNUMBER(R108)),VLOOKUP(ABS(R113-R108),'IMP Table'!$A$2:$C$26,3)*SIGN(R113-R108),0)</f>
        <v/>
      </c>
      <c r="AG113">
        <f>IF(AND(ISNUMBER(R113),ISNUMBER(R109)),VLOOKUP(ABS(R113-R109),'IMP Table'!$A$2:$C$26,3)*SIGN(R113-R109),0)</f>
        <v/>
      </c>
      <c r="AH113">
        <f>IF(AND(ISNUMBER(R113),ISNUMBER(R110)),VLOOKUP(ABS(R113-R110),'IMP Table'!$A$2:$C$26,3)*SIGN(R113-R110),0)</f>
        <v/>
      </c>
      <c r="AI113">
        <f>IF(AND(ISNUMBER(R113),ISNUMBER(R111)),VLOOKUP(ABS(R113-R111),'IMP Table'!$A$2:$C$26,3)*SIGN(R113-R111),0)</f>
        <v/>
      </c>
      <c r="AJ113">
        <f>IF(AND(ISNUMBER(R113),ISNUMBER(R112)),VLOOKUP(ABS(R113-R112),'IMP Table'!$A$2:$C$26,3)*SIGN(R113-R112),0)</f>
        <v/>
      </c>
      <c r="AK113">
        <f>IF(AND(ISNUMBER(R113),ISNUMBER(R114)),VLOOKUP(ABS(R113-R114),'IMP Table'!$A$2:$C$26,3)*SIGN(R113-R114),0)</f>
        <v/>
      </c>
      <c r="AL113">
        <f>IF(AND(ISNUMBER(S113),ISNUMBER(S108)),VLOOKUP(ABS(S113-S108),'IMP Table'!$A$2:$C$26,3)*SIGN(S113-S108),0)</f>
        <v/>
      </c>
      <c r="AM113">
        <f>IF(AND(ISNUMBER(S113),ISNUMBER(S109)),VLOOKUP(ABS(S113-S109),'IMP Table'!$A$2:$C$26,3)*SIGN(S113-S109),0)</f>
        <v/>
      </c>
      <c r="AN113">
        <f>IF(AND(ISNUMBER(S113),ISNUMBER(S110)),VLOOKUP(ABS(S113-S110),'IMP Table'!$A$2:$C$26,3)*SIGN(S113-S110),0)</f>
        <v/>
      </c>
      <c r="AO113">
        <f>IF(AND(ISNUMBER(S113),ISNUMBER(S111)),VLOOKUP(ABS(S113-S111),'IMP Table'!$A$2:$C$26,3)*SIGN(S113-S111),0)</f>
        <v/>
      </c>
      <c r="AP113">
        <f>IF(AND(ISNUMBER(S113),ISNUMBER(S112)),VLOOKUP(ABS(S113-S112),'IMP Table'!$A$2:$C$26,3)*SIGN(S113-S112),0)</f>
        <v/>
      </c>
      <c r="AQ113">
        <f>IF(AND(ISNUMBER(S113),ISNUMBER(S114)),VLOOKUP(ABS(S113-S114),'IMP Table'!$A$2:$C$26,3)*SIGN(S113-S114),0)</f>
        <v/>
      </c>
    </row>
    <row r="114">
      <c r="A114" s="15" t="n"/>
      <c r="B114" s="15">
        <f>'By Round'!A157</f>
        <v/>
      </c>
      <c r="C114" s="15">
        <f>'By Round'!B165</f>
        <v/>
      </c>
      <c r="D114" s="15">
        <f>'By Round'!C165</f>
        <v/>
      </c>
      <c r="E114" s="15">
        <f>'By Round'!D165</f>
        <v/>
      </c>
      <c r="F114" s="16" t="inlineStr">
        <is>
          <t>EW</t>
        </is>
      </c>
      <c r="G114" s="15">
        <f>IF(ISBLANK('By Round'!G165),"",'By Round'!G165)</f>
        <v/>
      </c>
      <c r="H114" s="15">
        <f>IF(ISBLANK('By Round'!H165),"",'By Round'!H165)</f>
        <v/>
      </c>
      <c r="I114" s="15">
        <f>IF(ISBLANK('By Round'!I165),"",'By Round'!I165)</f>
        <v/>
      </c>
      <c r="J114" s="15">
        <f>IF(ISBLANK('By Round'!J165),"",'By Round'!J165)</f>
        <v/>
      </c>
      <c r="K114" s="15">
        <f>IF(ISBLANK('By Round'!K165),"",'By Round'!K165)</f>
        <v/>
      </c>
      <c r="L114" s="17">
        <f>SUM(AF114:AK114)</f>
        <v/>
      </c>
      <c r="M114" s="18">
        <f>SUM(AL114:AQ114)</f>
        <v/>
      </c>
      <c r="N114" s="19">
        <f>IF(COUNT(T114:Y114)&gt;0,P114/COUNT(T114:Y114),0.5)</f>
        <v/>
      </c>
      <c r="O114" s="19">
        <f>IF(COUNT(Z114:AE114)&gt;0,Q114/COUNT(Z114:AE114),0.5)</f>
        <v/>
      </c>
      <c r="P114" s="20">
        <f>SUM(T114:Y114)</f>
        <v/>
      </c>
      <c r="Q114" s="20">
        <f>SUM(Z114:AE114)</f>
        <v/>
      </c>
      <c r="R114" s="21">
        <f>IF(ISNUMBER(J114),J114,IF(ISNUMBER(K114),-K114,""))</f>
        <v/>
      </c>
      <c r="S114" s="15">
        <f>IF(ISNUMBER(K114),K114,IF(ISNUMBER(J114),-J114,""))</f>
        <v/>
      </c>
      <c r="T114" s="21">
        <f>IF(ISNUMBER(R114),IF(ISNUMBER(R108),IF(R114&gt;R108,1.0,IF(R114=R108,0.5,0.0)),""),"")</f>
        <v/>
      </c>
      <c r="U114" s="15">
        <f>IF(ISNUMBER(R114),IF(ISNUMBER(R109),IF(R114&gt;R109,1.0,IF(R114=R109,0.5,0.0)),""),"")</f>
        <v/>
      </c>
      <c r="V114" s="15">
        <f>IF(ISNUMBER(R114),IF(ISNUMBER(R110),IF(R114&gt;R110,1.0,IF(R114=R110,0.5,0.0)),""),"")</f>
        <v/>
      </c>
      <c r="W114" s="15">
        <f>IF(ISNUMBER(R114),IF(ISNUMBER(R111),IF(R114&gt;R111,1.0,IF(R114=R111,0.5,0.0)),""),"")</f>
        <v/>
      </c>
      <c r="X114" s="15">
        <f>IF(ISNUMBER(R114),IF(ISNUMBER(R112),IF(R114&gt;R112,1.0,IF(R114=R112,0.5,0.0)),""),"")</f>
        <v/>
      </c>
      <c r="Y114" s="15">
        <f>IF(ISNUMBER(R114),IF(ISNUMBER(R113),IF(R114&gt;R113,1.0,IF(R114=R113,0.5,0.0)),""),"")</f>
        <v/>
      </c>
      <c r="Z114" s="15">
        <f>IF(ISNUMBER(S114),IF(ISNUMBER(S108),IF(S114&gt;S108,1.0,IF(S114=S108,0.5,0.0)),""),"")</f>
        <v/>
      </c>
      <c r="AA114" s="15">
        <f>IF(ISNUMBER(S114),IF(ISNUMBER(S109),IF(S114&gt;S109,1.0,IF(S114=S109,0.5,0.0)),""),"")</f>
        <v/>
      </c>
      <c r="AB114" s="15">
        <f>IF(ISNUMBER(S114),IF(ISNUMBER(S110),IF(S114&gt;S110,1.0,IF(S114=S110,0.5,0.0)),""),"")</f>
        <v/>
      </c>
      <c r="AC114" s="15">
        <f>IF(ISNUMBER(S114),IF(ISNUMBER(S111),IF(S114&gt;S111,1.0,IF(S114=S111,0.5,0.0)),""),"")</f>
        <v/>
      </c>
      <c r="AD114" s="15">
        <f>IF(ISNUMBER(S114),IF(ISNUMBER(S112),IF(S114&gt;S112,1.0,IF(S114=S112,0.5,0.0)),""),"")</f>
        <v/>
      </c>
      <c r="AE114" s="15">
        <f>IF(ISNUMBER(S114),IF(ISNUMBER(S113),IF(S114&gt;S113,1.0,IF(S114=S113,0.5,0.0)),""),"")</f>
        <v/>
      </c>
      <c r="AF114" s="21">
        <f>IF(AND(ISNUMBER(R114),ISNUMBER(R108)),VLOOKUP(ABS(R114-R108),'IMP Table'!$A$2:$C$26,3)*SIGN(R114-R108),0)</f>
        <v/>
      </c>
      <c r="AG114" s="15">
        <f>IF(AND(ISNUMBER(R114),ISNUMBER(R109)),VLOOKUP(ABS(R114-R109),'IMP Table'!$A$2:$C$26,3)*SIGN(R114-R109),0)</f>
        <v/>
      </c>
      <c r="AH114" s="15">
        <f>IF(AND(ISNUMBER(R114),ISNUMBER(R110)),VLOOKUP(ABS(R114-R110),'IMP Table'!$A$2:$C$26,3)*SIGN(R114-R110),0)</f>
        <v/>
      </c>
      <c r="AI114" s="15">
        <f>IF(AND(ISNUMBER(R114),ISNUMBER(R111)),VLOOKUP(ABS(R114-R111),'IMP Table'!$A$2:$C$26,3)*SIGN(R114-R111),0)</f>
        <v/>
      </c>
      <c r="AJ114" s="15">
        <f>IF(AND(ISNUMBER(R114),ISNUMBER(R112)),VLOOKUP(ABS(R114-R112),'IMP Table'!$A$2:$C$26,3)*SIGN(R114-R112),0)</f>
        <v/>
      </c>
      <c r="AK114" s="15">
        <f>IF(AND(ISNUMBER(R114),ISNUMBER(R113)),VLOOKUP(ABS(R114-R113),'IMP Table'!$A$2:$C$26,3)*SIGN(R114-R113),0)</f>
        <v/>
      </c>
      <c r="AL114" s="15">
        <f>IF(AND(ISNUMBER(S114),ISNUMBER(S108)),VLOOKUP(ABS(S114-S108),'IMP Table'!$A$2:$C$26,3)*SIGN(S114-S108),0)</f>
        <v/>
      </c>
      <c r="AM114" s="15">
        <f>IF(AND(ISNUMBER(S114),ISNUMBER(S109)),VLOOKUP(ABS(S114-S109),'IMP Table'!$A$2:$C$26,3)*SIGN(S114-S109),0)</f>
        <v/>
      </c>
      <c r="AN114" s="15">
        <f>IF(AND(ISNUMBER(S114),ISNUMBER(S110)),VLOOKUP(ABS(S114-S110),'IMP Table'!$A$2:$C$26,3)*SIGN(S114-S110),0)</f>
        <v/>
      </c>
      <c r="AO114" s="15">
        <f>IF(AND(ISNUMBER(S114),ISNUMBER(S111)),VLOOKUP(ABS(S114-S111),'IMP Table'!$A$2:$C$26,3)*SIGN(S114-S111),0)</f>
        <v/>
      </c>
      <c r="AP114" s="15">
        <f>IF(AND(ISNUMBER(S114),ISNUMBER(S112)),VLOOKUP(ABS(S114-S112),'IMP Table'!$A$2:$C$26,3)*SIGN(S114-S112),0)</f>
        <v/>
      </c>
      <c r="AQ114" s="15">
        <f>IF(AND(ISNUMBER(S114),ISNUMBER(S113)),VLOOKUP(ABS(S114-S113),'IMP Table'!$A$2:$C$26,3)*SIGN(S114-S113),0)</f>
        <v/>
      </c>
    </row>
    <row r="115">
      <c r="A115" t="n">
        <v>17</v>
      </c>
      <c r="B115">
        <f>'By Round'!A59</f>
        <v/>
      </c>
      <c r="C115">
        <f>'By Round'!B65</f>
        <v/>
      </c>
      <c r="D115">
        <f>'By Round'!C65</f>
        <v/>
      </c>
      <c r="E115">
        <f>'By Round'!D65</f>
        <v/>
      </c>
      <c r="F115" s="11" t="inlineStr">
        <is>
          <t>None</t>
        </is>
      </c>
      <c r="G115">
        <f>IF(ISBLANK('By Round'!G65),"",'By Round'!G65)</f>
        <v/>
      </c>
      <c r="H115">
        <f>IF(ISBLANK('By Round'!H65),"",'By Round'!H65)</f>
        <v/>
      </c>
      <c r="I115">
        <f>IF(ISBLANK('By Round'!I65),"",'By Round'!I65)</f>
        <v/>
      </c>
      <c r="J115">
        <f>IF(ISBLANK('By Round'!J65),"",'By Round'!J65)</f>
        <v/>
      </c>
      <c r="K115">
        <f>IF(ISBLANK('By Round'!K65),"",'By Round'!K65)</f>
        <v/>
      </c>
      <c r="L115" s="12">
        <f>SUM(AF115:AK115)</f>
        <v/>
      </c>
      <c r="M115" s="13">
        <f>SUM(AL115:AQ115)</f>
        <v/>
      </c>
      <c r="N115" s="8">
        <f>IF(COUNT(T115:Y115)&gt;0,P115/COUNT(T115:Y115),0.5)</f>
        <v/>
      </c>
      <c r="O115" s="8">
        <f>IF(COUNT(Z115:AE115)&gt;0,Q115/COUNT(Z115:AE115),0.5)</f>
        <v/>
      </c>
      <c r="P115" s="5">
        <f>SUM(T115:Y115)</f>
        <v/>
      </c>
      <c r="Q115" s="5">
        <f>SUM(Z115:AE115)</f>
        <v/>
      </c>
      <c r="R115" s="14">
        <f>IF(ISNUMBER(J115),J115,IF(ISNUMBER(K115),-K115,""))</f>
        <v/>
      </c>
      <c r="S115">
        <f>IF(ISNUMBER(K115),K115,IF(ISNUMBER(J115),-J115,""))</f>
        <v/>
      </c>
      <c r="T115" s="14">
        <f>IF(ISNUMBER(R115),IF(ISNUMBER(R116),IF(R115&gt;R116,1.0,IF(R115=R116,0.5,0.0)),""),"")</f>
        <v/>
      </c>
      <c r="U115">
        <f>IF(ISNUMBER(R115),IF(ISNUMBER(R117),IF(R115&gt;R117,1.0,IF(R115=R117,0.5,0.0)),""),"")</f>
        <v/>
      </c>
      <c r="V115">
        <f>IF(ISNUMBER(R115),IF(ISNUMBER(R118),IF(R115&gt;R118,1.0,IF(R115=R118,0.5,0.0)),""),"")</f>
        <v/>
      </c>
      <c r="W115">
        <f>IF(ISNUMBER(R115),IF(ISNUMBER(R119),IF(R115&gt;R119,1.0,IF(R115=R119,0.5,0.0)),""),"")</f>
        <v/>
      </c>
      <c r="X115">
        <f>IF(ISNUMBER(R115),IF(ISNUMBER(R120),IF(R115&gt;R120,1.0,IF(R115=R120,0.5,0.0)),""),"")</f>
        <v/>
      </c>
      <c r="Y115">
        <f>IF(ISNUMBER(R115),IF(ISNUMBER(R121),IF(R115&gt;R121,1.0,IF(R115=R121,0.5,0.0)),""),"")</f>
        <v/>
      </c>
      <c r="Z115">
        <f>IF(ISNUMBER(S115),IF(ISNUMBER(S116),IF(S115&gt;S116,1.0,IF(S115=S116,0.5,0.0)),""),"")</f>
        <v/>
      </c>
      <c r="AA115">
        <f>IF(ISNUMBER(S115),IF(ISNUMBER(S117),IF(S115&gt;S117,1.0,IF(S115=S117,0.5,0.0)),""),"")</f>
        <v/>
      </c>
      <c r="AB115">
        <f>IF(ISNUMBER(S115),IF(ISNUMBER(S118),IF(S115&gt;S118,1.0,IF(S115=S118,0.5,0.0)),""),"")</f>
        <v/>
      </c>
      <c r="AC115">
        <f>IF(ISNUMBER(S115),IF(ISNUMBER(S119),IF(S115&gt;S119,1.0,IF(S115=S119,0.5,0.0)),""),"")</f>
        <v/>
      </c>
      <c r="AD115">
        <f>IF(ISNUMBER(S115),IF(ISNUMBER(S120),IF(S115&gt;S120,1.0,IF(S115=S120,0.5,0.0)),""),"")</f>
        <v/>
      </c>
      <c r="AE115">
        <f>IF(ISNUMBER(S115),IF(ISNUMBER(S121),IF(S115&gt;S121,1.0,IF(S115=S121,0.5,0.0)),""),"")</f>
        <v/>
      </c>
      <c r="AF115" s="14">
        <f>IF(AND(ISNUMBER(R115),ISNUMBER(R116)),VLOOKUP(ABS(R115-R116),'IMP Table'!$A$2:$C$26,3)*SIGN(R115-R116),0)</f>
        <v/>
      </c>
      <c r="AG115">
        <f>IF(AND(ISNUMBER(R115),ISNUMBER(R117)),VLOOKUP(ABS(R115-R117),'IMP Table'!$A$2:$C$26,3)*SIGN(R115-R117),0)</f>
        <v/>
      </c>
      <c r="AH115">
        <f>IF(AND(ISNUMBER(R115),ISNUMBER(R118)),VLOOKUP(ABS(R115-R118),'IMP Table'!$A$2:$C$26,3)*SIGN(R115-R118),0)</f>
        <v/>
      </c>
      <c r="AI115">
        <f>IF(AND(ISNUMBER(R115),ISNUMBER(R119)),VLOOKUP(ABS(R115-R119),'IMP Table'!$A$2:$C$26,3)*SIGN(R115-R119),0)</f>
        <v/>
      </c>
      <c r="AJ115">
        <f>IF(AND(ISNUMBER(R115),ISNUMBER(R120)),VLOOKUP(ABS(R115-R120),'IMP Table'!$A$2:$C$26,3)*SIGN(R115-R120),0)</f>
        <v/>
      </c>
      <c r="AK115">
        <f>IF(AND(ISNUMBER(R115),ISNUMBER(R121)),VLOOKUP(ABS(R115-R121),'IMP Table'!$A$2:$C$26,3)*SIGN(R115-R121),0)</f>
        <v/>
      </c>
      <c r="AL115">
        <f>IF(AND(ISNUMBER(S115),ISNUMBER(S116)),VLOOKUP(ABS(S115-S116),'IMP Table'!$A$2:$C$26,3)*SIGN(S115-S116),0)</f>
        <v/>
      </c>
      <c r="AM115">
        <f>IF(AND(ISNUMBER(S115),ISNUMBER(S117)),VLOOKUP(ABS(S115-S117),'IMP Table'!$A$2:$C$26,3)*SIGN(S115-S117),0)</f>
        <v/>
      </c>
      <c r="AN115">
        <f>IF(AND(ISNUMBER(S115),ISNUMBER(S118)),VLOOKUP(ABS(S115-S118),'IMP Table'!$A$2:$C$26,3)*SIGN(S115-S118),0)</f>
        <v/>
      </c>
      <c r="AO115">
        <f>IF(AND(ISNUMBER(S115),ISNUMBER(S119)),VLOOKUP(ABS(S115-S119),'IMP Table'!$A$2:$C$26,3)*SIGN(S115-S119),0)</f>
        <v/>
      </c>
      <c r="AP115">
        <f>IF(AND(ISNUMBER(S115),ISNUMBER(S120)),VLOOKUP(ABS(S115-S120),'IMP Table'!$A$2:$C$26,3)*SIGN(S115-S120),0)</f>
        <v/>
      </c>
      <c r="AQ115">
        <f>IF(AND(ISNUMBER(S115),ISNUMBER(S121)),VLOOKUP(ABS(S115-S121),'IMP Table'!$A$2:$C$26,3)*SIGN(S115-S121),0)</f>
        <v/>
      </c>
    </row>
    <row r="116">
      <c r="B116">
        <f>'By Round'!A73</f>
        <v/>
      </c>
      <c r="C116">
        <f>'By Round'!B77</f>
        <v/>
      </c>
      <c r="D116">
        <f>'By Round'!C77</f>
        <v/>
      </c>
      <c r="E116">
        <f>'By Round'!D77</f>
        <v/>
      </c>
      <c r="F116" s="11" t="inlineStr">
        <is>
          <t>None</t>
        </is>
      </c>
      <c r="G116">
        <f>IF(ISBLANK('By Round'!G77),"",'By Round'!G77)</f>
        <v/>
      </c>
      <c r="H116">
        <f>IF(ISBLANK('By Round'!H77),"",'By Round'!H77)</f>
        <v/>
      </c>
      <c r="I116">
        <f>IF(ISBLANK('By Round'!I77),"",'By Round'!I77)</f>
        <v/>
      </c>
      <c r="J116">
        <f>IF(ISBLANK('By Round'!J77),"",'By Round'!J77)</f>
        <v/>
      </c>
      <c r="K116">
        <f>IF(ISBLANK('By Round'!K77),"",'By Round'!K77)</f>
        <v/>
      </c>
      <c r="L116" s="12">
        <f>SUM(AF116:AK116)</f>
        <v/>
      </c>
      <c r="M116" s="13">
        <f>SUM(AL116:AQ116)</f>
        <v/>
      </c>
      <c r="N116" s="8">
        <f>IF(COUNT(T116:Y116)&gt;0,P116/COUNT(T116:Y116),0.5)</f>
        <v/>
      </c>
      <c r="O116" s="8">
        <f>IF(COUNT(Z116:AE116)&gt;0,Q116/COUNT(Z116:AE116),0.5)</f>
        <v/>
      </c>
      <c r="P116" s="5">
        <f>SUM(T116:Y116)</f>
        <v/>
      </c>
      <c r="Q116" s="5">
        <f>SUM(Z116:AE116)</f>
        <v/>
      </c>
      <c r="R116" s="14">
        <f>IF(ISNUMBER(J116),J116,IF(ISNUMBER(K116),-K116,""))</f>
        <v/>
      </c>
      <c r="S116">
        <f>IF(ISNUMBER(K116),K116,IF(ISNUMBER(J116),-J116,""))</f>
        <v/>
      </c>
      <c r="T116" s="14">
        <f>IF(ISNUMBER(R116),IF(ISNUMBER(R115),IF(R116&gt;R115,1.0,IF(R116=R115,0.5,0.0)),""),"")</f>
        <v/>
      </c>
      <c r="U116">
        <f>IF(ISNUMBER(R116),IF(ISNUMBER(R117),IF(R116&gt;R117,1.0,IF(R116=R117,0.5,0.0)),""),"")</f>
        <v/>
      </c>
      <c r="V116">
        <f>IF(ISNUMBER(R116),IF(ISNUMBER(R118),IF(R116&gt;R118,1.0,IF(R116=R118,0.5,0.0)),""),"")</f>
        <v/>
      </c>
      <c r="W116">
        <f>IF(ISNUMBER(R116),IF(ISNUMBER(R119),IF(R116&gt;R119,1.0,IF(R116=R119,0.5,0.0)),""),"")</f>
        <v/>
      </c>
      <c r="X116">
        <f>IF(ISNUMBER(R116),IF(ISNUMBER(R120),IF(R116&gt;R120,1.0,IF(R116=R120,0.5,0.0)),""),"")</f>
        <v/>
      </c>
      <c r="Y116">
        <f>IF(ISNUMBER(R116),IF(ISNUMBER(R121),IF(R116&gt;R121,1.0,IF(R116=R121,0.5,0.0)),""),"")</f>
        <v/>
      </c>
      <c r="Z116">
        <f>IF(ISNUMBER(S116),IF(ISNUMBER(S115),IF(S116&gt;S115,1.0,IF(S116=S115,0.5,0.0)),""),"")</f>
        <v/>
      </c>
      <c r="AA116">
        <f>IF(ISNUMBER(S116),IF(ISNUMBER(S117),IF(S116&gt;S117,1.0,IF(S116=S117,0.5,0.0)),""),"")</f>
        <v/>
      </c>
      <c r="AB116">
        <f>IF(ISNUMBER(S116),IF(ISNUMBER(S118),IF(S116&gt;S118,1.0,IF(S116=S118,0.5,0.0)),""),"")</f>
        <v/>
      </c>
      <c r="AC116">
        <f>IF(ISNUMBER(S116),IF(ISNUMBER(S119),IF(S116&gt;S119,1.0,IF(S116=S119,0.5,0.0)),""),"")</f>
        <v/>
      </c>
      <c r="AD116">
        <f>IF(ISNUMBER(S116),IF(ISNUMBER(S120),IF(S116&gt;S120,1.0,IF(S116=S120,0.5,0.0)),""),"")</f>
        <v/>
      </c>
      <c r="AE116">
        <f>IF(ISNUMBER(S116),IF(ISNUMBER(S121),IF(S116&gt;S121,1.0,IF(S116=S121,0.5,0.0)),""),"")</f>
        <v/>
      </c>
      <c r="AF116" s="14">
        <f>IF(AND(ISNUMBER(R116),ISNUMBER(R115)),VLOOKUP(ABS(R116-R115),'IMP Table'!$A$2:$C$26,3)*SIGN(R116-R115),0)</f>
        <v/>
      </c>
      <c r="AG116">
        <f>IF(AND(ISNUMBER(R116),ISNUMBER(R117)),VLOOKUP(ABS(R116-R117),'IMP Table'!$A$2:$C$26,3)*SIGN(R116-R117),0)</f>
        <v/>
      </c>
      <c r="AH116">
        <f>IF(AND(ISNUMBER(R116),ISNUMBER(R118)),VLOOKUP(ABS(R116-R118),'IMP Table'!$A$2:$C$26,3)*SIGN(R116-R118),0)</f>
        <v/>
      </c>
      <c r="AI116">
        <f>IF(AND(ISNUMBER(R116),ISNUMBER(R119)),VLOOKUP(ABS(R116-R119),'IMP Table'!$A$2:$C$26,3)*SIGN(R116-R119),0)</f>
        <v/>
      </c>
      <c r="AJ116">
        <f>IF(AND(ISNUMBER(R116),ISNUMBER(R120)),VLOOKUP(ABS(R116-R120),'IMP Table'!$A$2:$C$26,3)*SIGN(R116-R120),0)</f>
        <v/>
      </c>
      <c r="AK116">
        <f>IF(AND(ISNUMBER(R116),ISNUMBER(R121)),VLOOKUP(ABS(R116-R121),'IMP Table'!$A$2:$C$26,3)*SIGN(R116-R121),0)</f>
        <v/>
      </c>
      <c r="AL116">
        <f>IF(AND(ISNUMBER(S116),ISNUMBER(S115)),VLOOKUP(ABS(S116-S115),'IMP Table'!$A$2:$C$26,3)*SIGN(S116-S115),0)</f>
        <v/>
      </c>
      <c r="AM116">
        <f>IF(AND(ISNUMBER(S116),ISNUMBER(S117)),VLOOKUP(ABS(S116-S117),'IMP Table'!$A$2:$C$26,3)*SIGN(S116-S117),0)</f>
        <v/>
      </c>
      <c r="AN116">
        <f>IF(AND(ISNUMBER(S116),ISNUMBER(S118)),VLOOKUP(ABS(S116-S118),'IMP Table'!$A$2:$C$26,3)*SIGN(S116-S118),0)</f>
        <v/>
      </c>
      <c r="AO116">
        <f>IF(AND(ISNUMBER(S116),ISNUMBER(S119)),VLOOKUP(ABS(S116-S119),'IMP Table'!$A$2:$C$26,3)*SIGN(S116-S119),0)</f>
        <v/>
      </c>
      <c r="AP116">
        <f>IF(AND(ISNUMBER(S116),ISNUMBER(S120)),VLOOKUP(ABS(S116-S120),'IMP Table'!$A$2:$C$26,3)*SIGN(S116-S120),0)</f>
        <v/>
      </c>
      <c r="AQ116">
        <f>IF(AND(ISNUMBER(S116),ISNUMBER(S121)),VLOOKUP(ABS(S116-S121),'IMP Table'!$A$2:$C$26,3)*SIGN(S116-S121),0)</f>
        <v/>
      </c>
    </row>
    <row r="117">
      <c r="B117">
        <f>'By Round'!A87</f>
        <v/>
      </c>
      <c r="C117">
        <f>'By Round'!B89</f>
        <v/>
      </c>
      <c r="D117">
        <f>'By Round'!C89</f>
        <v/>
      </c>
      <c r="E117">
        <f>'By Round'!D89</f>
        <v/>
      </c>
      <c r="F117" s="11" t="inlineStr">
        <is>
          <t>None</t>
        </is>
      </c>
      <c r="G117">
        <f>IF(ISBLANK('By Round'!G89),"",'By Round'!G89)</f>
        <v/>
      </c>
      <c r="H117">
        <f>IF(ISBLANK('By Round'!H89),"",'By Round'!H89)</f>
        <v/>
      </c>
      <c r="I117">
        <f>IF(ISBLANK('By Round'!I89),"",'By Round'!I89)</f>
        <v/>
      </c>
      <c r="J117">
        <f>IF(ISBLANK('By Round'!J89),"",'By Round'!J89)</f>
        <v/>
      </c>
      <c r="K117">
        <f>IF(ISBLANK('By Round'!K89),"",'By Round'!K89)</f>
        <v/>
      </c>
      <c r="L117" s="12">
        <f>SUM(AF117:AK117)</f>
        <v/>
      </c>
      <c r="M117" s="13">
        <f>SUM(AL117:AQ117)</f>
        <v/>
      </c>
      <c r="N117" s="8">
        <f>IF(COUNT(T117:Y117)&gt;0,P117/COUNT(T117:Y117),0.5)</f>
        <v/>
      </c>
      <c r="O117" s="8">
        <f>IF(COUNT(Z117:AE117)&gt;0,Q117/COUNT(Z117:AE117),0.5)</f>
        <v/>
      </c>
      <c r="P117" s="5">
        <f>SUM(T117:Y117)</f>
        <v/>
      </c>
      <c r="Q117" s="5">
        <f>SUM(Z117:AE117)</f>
        <v/>
      </c>
      <c r="R117" s="14">
        <f>IF(ISNUMBER(J117),J117,IF(ISNUMBER(K117),-K117,""))</f>
        <v/>
      </c>
      <c r="S117">
        <f>IF(ISNUMBER(K117),K117,IF(ISNUMBER(J117),-J117,""))</f>
        <v/>
      </c>
      <c r="T117" s="14">
        <f>IF(ISNUMBER(R117),IF(ISNUMBER(R115),IF(R117&gt;R115,1.0,IF(R117=R115,0.5,0.0)),""),"")</f>
        <v/>
      </c>
      <c r="U117">
        <f>IF(ISNUMBER(R117),IF(ISNUMBER(R116),IF(R117&gt;R116,1.0,IF(R117=R116,0.5,0.0)),""),"")</f>
        <v/>
      </c>
      <c r="V117">
        <f>IF(ISNUMBER(R117),IF(ISNUMBER(R118),IF(R117&gt;R118,1.0,IF(R117=R118,0.5,0.0)),""),"")</f>
        <v/>
      </c>
      <c r="W117">
        <f>IF(ISNUMBER(R117),IF(ISNUMBER(R119),IF(R117&gt;R119,1.0,IF(R117=R119,0.5,0.0)),""),"")</f>
        <v/>
      </c>
      <c r="X117">
        <f>IF(ISNUMBER(R117),IF(ISNUMBER(R120),IF(R117&gt;R120,1.0,IF(R117=R120,0.5,0.0)),""),"")</f>
        <v/>
      </c>
      <c r="Y117">
        <f>IF(ISNUMBER(R117),IF(ISNUMBER(R121),IF(R117&gt;R121,1.0,IF(R117=R121,0.5,0.0)),""),"")</f>
        <v/>
      </c>
      <c r="Z117">
        <f>IF(ISNUMBER(S117),IF(ISNUMBER(S115),IF(S117&gt;S115,1.0,IF(S117=S115,0.5,0.0)),""),"")</f>
        <v/>
      </c>
      <c r="AA117">
        <f>IF(ISNUMBER(S117),IF(ISNUMBER(S116),IF(S117&gt;S116,1.0,IF(S117=S116,0.5,0.0)),""),"")</f>
        <v/>
      </c>
      <c r="AB117">
        <f>IF(ISNUMBER(S117),IF(ISNUMBER(S118),IF(S117&gt;S118,1.0,IF(S117=S118,0.5,0.0)),""),"")</f>
        <v/>
      </c>
      <c r="AC117">
        <f>IF(ISNUMBER(S117),IF(ISNUMBER(S119),IF(S117&gt;S119,1.0,IF(S117=S119,0.5,0.0)),""),"")</f>
        <v/>
      </c>
      <c r="AD117">
        <f>IF(ISNUMBER(S117),IF(ISNUMBER(S120),IF(S117&gt;S120,1.0,IF(S117=S120,0.5,0.0)),""),"")</f>
        <v/>
      </c>
      <c r="AE117">
        <f>IF(ISNUMBER(S117),IF(ISNUMBER(S121),IF(S117&gt;S121,1.0,IF(S117=S121,0.5,0.0)),""),"")</f>
        <v/>
      </c>
      <c r="AF117" s="14">
        <f>IF(AND(ISNUMBER(R117),ISNUMBER(R115)),VLOOKUP(ABS(R117-R115),'IMP Table'!$A$2:$C$26,3)*SIGN(R117-R115),0)</f>
        <v/>
      </c>
      <c r="AG117">
        <f>IF(AND(ISNUMBER(R117),ISNUMBER(R116)),VLOOKUP(ABS(R117-R116),'IMP Table'!$A$2:$C$26,3)*SIGN(R117-R116),0)</f>
        <v/>
      </c>
      <c r="AH117">
        <f>IF(AND(ISNUMBER(R117),ISNUMBER(R118)),VLOOKUP(ABS(R117-R118),'IMP Table'!$A$2:$C$26,3)*SIGN(R117-R118),0)</f>
        <v/>
      </c>
      <c r="AI117">
        <f>IF(AND(ISNUMBER(R117),ISNUMBER(R119)),VLOOKUP(ABS(R117-R119),'IMP Table'!$A$2:$C$26,3)*SIGN(R117-R119),0)</f>
        <v/>
      </c>
      <c r="AJ117">
        <f>IF(AND(ISNUMBER(R117),ISNUMBER(R120)),VLOOKUP(ABS(R117-R120),'IMP Table'!$A$2:$C$26,3)*SIGN(R117-R120),0)</f>
        <v/>
      </c>
      <c r="AK117">
        <f>IF(AND(ISNUMBER(R117),ISNUMBER(R121)),VLOOKUP(ABS(R117-R121),'IMP Table'!$A$2:$C$26,3)*SIGN(R117-R121),0)</f>
        <v/>
      </c>
      <c r="AL117">
        <f>IF(AND(ISNUMBER(S117),ISNUMBER(S115)),VLOOKUP(ABS(S117-S115),'IMP Table'!$A$2:$C$26,3)*SIGN(S117-S115),0)</f>
        <v/>
      </c>
      <c r="AM117">
        <f>IF(AND(ISNUMBER(S117),ISNUMBER(S116)),VLOOKUP(ABS(S117-S116),'IMP Table'!$A$2:$C$26,3)*SIGN(S117-S116),0)</f>
        <v/>
      </c>
      <c r="AN117">
        <f>IF(AND(ISNUMBER(S117),ISNUMBER(S118)),VLOOKUP(ABS(S117-S118),'IMP Table'!$A$2:$C$26,3)*SIGN(S117-S118),0)</f>
        <v/>
      </c>
      <c r="AO117">
        <f>IF(AND(ISNUMBER(S117),ISNUMBER(S119)),VLOOKUP(ABS(S117-S119),'IMP Table'!$A$2:$C$26,3)*SIGN(S117-S119),0)</f>
        <v/>
      </c>
      <c r="AP117">
        <f>IF(AND(ISNUMBER(S117),ISNUMBER(S120)),VLOOKUP(ABS(S117-S120),'IMP Table'!$A$2:$C$26,3)*SIGN(S117-S120),0)</f>
        <v/>
      </c>
      <c r="AQ117">
        <f>IF(AND(ISNUMBER(S117),ISNUMBER(S121)),VLOOKUP(ABS(S117-S121),'IMP Table'!$A$2:$C$26,3)*SIGN(S117-S121),0)</f>
        <v/>
      </c>
    </row>
    <row r="118">
      <c r="B118">
        <f>'By Round'!A115</f>
        <v/>
      </c>
      <c r="C118">
        <f>'By Round'!B115</f>
        <v/>
      </c>
      <c r="D118">
        <f>'By Round'!C115</f>
        <v/>
      </c>
      <c r="E118">
        <f>'By Round'!D115</f>
        <v/>
      </c>
      <c r="F118" s="11" t="inlineStr">
        <is>
          <t>None</t>
        </is>
      </c>
      <c r="G118">
        <f>IF(ISBLANK('By Round'!G115),"",'By Round'!G115)</f>
        <v/>
      </c>
      <c r="H118">
        <f>IF(ISBLANK('By Round'!H115),"",'By Round'!H115)</f>
        <v/>
      </c>
      <c r="I118">
        <f>IF(ISBLANK('By Round'!I115),"",'By Round'!I115)</f>
        <v/>
      </c>
      <c r="J118">
        <f>IF(ISBLANK('By Round'!J115),"",'By Round'!J115)</f>
        <v/>
      </c>
      <c r="K118">
        <f>IF(ISBLANK('By Round'!K115),"",'By Round'!K115)</f>
        <v/>
      </c>
      <c r="L118" s="12">
        <f>SUM(AF118:AK118)</f>
        <v/>
      </c>
      <c r="M118" s="13">
        <f>SUM(AL118:AQ118)</f>
        <v/>
      </c>
      <c r="N118" s="8">
        <f>IF(COUNT(T118:Y118)&gt;0,P118/COUNT(T118:Y118),0.5)</f>
        <v/>
      </c>
      <c r="O118" s="8">
        <f>IF(COUNT(Z118:AE118)&gt;0,Q118/COUNT(Z118:AE118),0.5)</f>
        <v/>
      </c>
      <c r="P118" s="5">
        <f>SUM(T118:Y118)</f>
        <v/>
      </c>
      <c r="Q118" s="5">
        <f>SUM(Z118:AE118)</f>
        <v/>
      </c>
      <c r="R118" s="14">
        <f>IF(ISNUMBER(J118),J118,IF(ISNUMBER(K118),-K118,""))</f>
        <v/>
      </c>
      <c r="S118">
        <f>IF(ISNUMBER(K118),K118,IF(ISNUMBER(J118),-J118,""))</f>
        <v/>
      </c>
      <c r="T118" s="14">
        <f>IF(ISNUMBER(R118),IF(ISNUMBER(R115),IF(R118&gt;R115,1.0,IF(R118=R115,0.5,0.0)),""),"")</f>
        <v/>
      </c>
      <c r="U118">
        <f>IF(ISNUMBER(R118),IF(ISNUMBER(R116),IF(R118&gt;R116,1.0,IF(R118=R116,0.5,0.0)),""),"")</f>
        <v/>
      </c>
      <c r="V118">
        <f>IF(ISNUMBER(R118),IF(ISNUMBER(R117),IF(R118&gt;R117,1.0,IF(R118=R117,0.5,0.0)),""),"")</f>
        <v/>
      </c>
      <c r="W118">
        <f>IF(ISNUMBER(R118),IF(ISNUMBER(R119),IF(R118&gt;R119,1.0,IF(R118=R119,0.5,0.0)),""),"")</f>
        <v/>
      </c>
      <c r="X118">
        <f>IF(ISNUMBER(R118),IF(ISNUMBER(R120),IF(R118&gt;R120,1.0,IF(R118=R120,0.5,0.0)),""),"")</f>
        <v/>
      </c>
      <c r="Y118">
        <f>IF(ISNUMBER(R118),IF(ISNUMBER(R121),IF(R118&gt;R121,1.0,IF(R118=R121,0.5,0.0)),""),"")</f>
        <v/>
      </c>
      <c r="Z118">
        <f>IF(ISNUMBER(S118),IF(ISNUMBER(S115),IF(S118&gt;S115,1.0,IF(S118=S115,0.5,0.0)),""),"")</f>
        <v/>
      </c>
      <c r="AA118">
        <f>IF(ISNUMBER(S118),IF(ISNUMBER(S116),IF(S118&gt;S116,1.0,IF(S118=S116,0.5,0.0)),""),"")</f>
        <v/>
      </c>
      <c r="AB118">
        <f>IF(ISNUMBER(S118),IF(ISNUMBER(S117),IF(S118&gt;S117,1.0,IF(S118=S117,0.5,0.0)),""),"")</f>
        <v/>
      </c>
      <c r="AC118">
        <f>IF(ISNUMBER(S118),IF(ISNUMBER(S119),IF(S118&gt;S119,1.0,IF(S118=S119,0.5,0.0)),""),"")</f>
        <v/>
      </c>
      <c r="AD118">
        <f>IF(ISNUMBER(S118),IF(ISNUMBER(S120),IF(S118&gt;S120,1.0,IF(S118=S120,0.5,0.0)),""),"")</f>
        <v/>
      </c>
      <c r="AE118">
        <f>IF(ISNUMBER(S118),IF(ISNUMBER(S121),IF(S118&gt;S121,1.0,IF(S118=S121,0.5,0.0)),""),"")</f>
        <v/>
      </c>
      <c r="AF118" s="14">
        <f>IF(AND(ISNUMBER(R118),ISNUMBER(R115)),VLOOKUP(ABS(R118-R115),'IMP Table'!$A$2:$C$26,3)*SIGN(R118-R115),0)</f>
        <v/>
      </c>
      <c r="AG118">
        <f>IF(AND(ISNUMBER(R118),ISNUMBER(R116)),VLOOKUP(ABS(R118-R116),'IMP Table'!$A$2:$C$26,3)*SIGN(R118-R116),0)</f>
        <v/>
      </c>
      <c r="AH118">
        <f>IF(AND(ISNUMBER(R118),ISNUMBER(R117)),VLOOKUP(ABS(R118-R117),'IMP Table'!$A$2:$C$26,3)*SIGN(R118-R117),0)</f>
        <v/>
      </c>
      <c r="AI118">
        <f>IF(AND(ISNUMBER(R118),ISNUMBER(R119)),VLOOKUP(ABS(R118-R119),'IMP Table'!$A$2:$C$26,3)*SIGN(R118-R119),0)</f>
        <v/>
      </c>
      <c r="AJ118">
        <f>IF(AND(ISNUMBER(R118),ISNUMBER(R120)),VLOOKUP(ABS(R118-R120),'IMP Table'!$A$2:$C$26,3)*SIGN(R118-R120),0)</f>
        <v/>
      </c>
      <c r="AK118">
        <f>IF(AND(ISNUMBER(R118),ISNUMBER(R121)),VLOOKUP(ABS(R118-R121),'IMP Table'!$A$2:$C$26,3)*SIGN(R118-R121),0)</f>
        <v/>
      </c>
      <c r="AL118">
        <f>IF(AND(ISNUMBER(S118),ISNUMBER(S115)),VLOOKUP(ABS(S118-S115),'IMP Table'!$A$2:$C$26,3)*SIGN(S118-S115),0)</f>
        <v/>
      </c>
      <c r="AM118">
        <f>IF(AND(ISNUMBER(S118),ISNUMBER(S116)),VLOOKUP(ABS(S118-S116),'IMP Table'!$A$2:$C$26,3)*SIGN(S118-S116),0)</f>
        <v/>
      </c>
      <c r="AN118">
        <f>IF(AND(ISNUMBER(S118),ISNUMBER(S117)),VLOOKUP(ABS(S118-S117),'IMP Table'!$A$2:$C$26,3)*SIGN(S118-S117),0)</f>
        <v/>
      </c>
      <c r="AO118">
        <f>IF(AND(ISNUMBER(S118),ISNUMBER(S119)),VLOOKUP(ABS(S118-S119),'IMP Table'!$A$2:$C$26,3)*SIGN(S118-S119),0)</f>
        <v/>
      </c>
      <c r="AP118">
        <f>IF(AND(ISNUMBER(S118),ISNUMBER(S120)),VLOOKUP(ABS(S118-S120),'IMP Table'!$A$2:$C$26,3)*SIGN(S118-S120),0)</f>
        <v/>
      </c>
      <c r="AQ118">
        <f>IF(AND(ISNUMBER(S118),ISNUMBER(S121)),VLOOKUP(ABS(S118-S121),'IMP Table'!$A$2:$C$26,3)*SIGN(S118-S121),0)</f>
        <v/>
      </c>
    </row>
    <row r="119">
      <c r="B119">
        <f>'By Round'!A143</f>
        <v/>
      </c>
      <c r="C119">
        <f>'By Round'!B155</f>
        <v/>
      </c>
      <c r="D119">
        <f>'By Round'!C155</f>
        <v/>
      </c>
      <c r="E119">
        <f>'By Round'!D155</f>
        <v/>
      </c>
      <c r="F119" s="11" t="inlineStr">
        <is>
          <t>None</t>
        </is>
      </c>
      <c r="G119">
        <f>IF(ISBLANK('By Round'!G155),"",'By Round'!G155)</f>
        <v/>
      </c>
      <c r="H119">
        <f>IF(ISBLANK('By Round'!H155),"",'By Round'!H155)</f>
        <v/>
      </c>
      <c r="I119">
        <f>IF(ISBLANK('By Round'!I155),"",'By Round'!I155)</f>
        <v/>
      </c>
      <c r="J119">
        <f>IF(ISBLANK('By Round'!J155),"",'By Round'!J155)</f>
        <v/>
      </c>
      <c r="K119">
        <f>IF(ISBLANK('By Round'!K155),"",'By Round'!K155)</f>
        <v/>
      </c>
      <c r="L119" s="12">
        <f>SUM(AF119:AK119)</f>
        <v/>
      </c>
      <c r="M119" s="13">
        <f>SUM(AL119:AQ119)</f>
        <v/>
      </c>
      <c r="N119" s="8">
        <f>IF(COUNT(T119:Y119)&gt;0,P119/COUNT(T119:Y119),0.5)</f>
        <v/>
      </c>
      <c r="O119" s="8">
        <f>IF(COUNT(Z119:AE119)&gt;0,Q119/COUNT(Z119:AE119),0.5)</f>
        <v/>
      </c>
      <c r="P119" s="5">
        <f>SUM(T119:Y119)</f>
        <v/>
      </c>
      <c r="Q119" s="5">
        <f>SUM(Z119:AE119)</f>
        <v/>
      </c>
      <c r="R119" s="14">
        <f>IF(ISNUMBER(J119),J119,IF(ISNUMBER(K119),-K119,""))</f>
        <v/>
      </c>
      <c r="S119">
        <f>IF(ISNUMBER(K119),K119,IF(ISNUMBER(J119),-J119,""))</f>
        <v/>
      </c>
      <c r="T119" s="14">
        <f>IF(ISNUMBER(R119),IF(ISNUMBER(R115),IF(R119&gt;R115,1.0,IF(R119=R115,0.5,0.0)),""),"")</f>
        <v/>
      </c>
      <c r="U119">
        <f>IF(ISNUMBER(R119),IF(ISNUMBER(R116),IF(R119&gt;R116,1.0,IF(R119=R116,0.5,0.0)),""),"")</f>
        <v/>
      </c>
      <c r="V119">
        <f>IF(ISNUMBER(R119),IF(ISNUMBER(R117),IF(R119&gt;R117,1.0,IF(R119=R117,0.5,0.0)),""),"")</f>
        <v/>
      </c>
      <c r="W119">
        <f>IF(ISNUMBER(R119),IF(ISNUMBER(R118),IF(R119&gt;R118,1.0,IF(R119=R118,0.5,0.0)),""),"")</f>
        <v/>
      </c>
      <c r="X119">
        <f>IF(ISNUMBER(R119),IF(ISNUMBER(R120),IF(R119&gt;R120,1.0,IF(R119=R120,0.5,0.0)),""),"")</f>
        <v/>
      </c>
      <c r="Y119">
        <f>IF(ISNUMBER(R119),IF(ISNUMBER(R121),IF(R119&gt;R121,1.0,IF(R119=R121,0.5,0.0)),""),"")</f>
        <v/>
      </c>
      <c r="Z119">
        <f>IF(ISNUMBER(S119),IF(ISNUMBER(S115),IF(S119&gt;S115,1.0,IF(S119=S115,0.5,0.0)),""),"")</f>
        <v/>
      </c>
      <c r="AA119">
        <f>IF(ISNUMBER(S119),IF(ISNUMBER(S116),IF(S119&gt;S116,1.0,IF(S119=S116,0.5,0.0)),""),"")</f>
        <v/>
      </c>
      <c r="AB119">
        <f>IF(ISNUMBER(S119),IF(ISNUMBER(S117),IF(S119&gt;S117,1.0,IF(S119=S117,0.5,0.0)),""),"")</f>
        <v/>
      </c>
      <c r="AC119">
        <f>IF(ISNUMBER(S119),IF(ISNUMBER(S118),IF(S119&gt;S118,1.0,IF(S119=S118,0.5,0.0)),""),"")</f>
        <v/>
      </c>
      <c r="AD119">
        <f>IF(ISNUMBER(S119),IF(ISNUMBER(S120),IF(S119&gt;S120,1.0,IF(S119=S120,0.5,0.0)),""),"")</f>
        <v/>
      </c>
      <c r="AE119">
        <f>IF(ISNUMBER(S119),IF(ISNUMBER(S121),IF(S119&gt;S121,1.0,IF(S119=S121,0.5,0.0)),""),"")</f>
        <v/>
      </c>
      <c r="AF119" s="14">
        <f>IF(AND(ISNUMBER(R119),ISNUMBER(R115)),VLOOKUP(ABS(R119-R115),'IMP Table'!$A$2:$C$26,3)*SIGN(R119-R115),0)</f>
        <v/>
      </c>
      <c r="AG119">
        <f>IF(AND(ISNUMBER(R119),ISNUMBER(R116)),VLOOKUP(ABS(R119-R116),'IMP Table'!$A$2:$C$26,3)*SIGN(R119-R116),0)</f>
        <v/>
      </c>
      <c r="AH119">
        <f>IF(AND(ISNUMBER(R119),ISNUMBER(R117)),VLOOKUP(ABS(R119-R117),'IMP Table'!$A$2:$C$26,3)*SIGN(R119-R117),0)</f>
        <v/>
      </c>
      <c r="AI119">
        <f>IF(AND(ISNUMBER(R119),ISNUMBER(R118)),VLOOKUP(ABS(R119-R118),'IMP Table'!$A$2:$C$26,3)*SIGN(R119-R118),0)</f>
        <v/>
      </c>
      <c r="AJ119">
        <f>IF(AND(ISNUMBER(R119),ISNUMBER(R120)),VLOOKUP(ABS(R119-R120),'IMP Table'!$A$2:$C$26,3)*SIGN(R119-R120),0)</f>
        <v/>
      </c>
      <c r="AK119">
        <f>IF(AND(ISNUMBER(R119),ISNUMBER(R121)),VLOOKUP(ABS(R119-R121),'IMP Table'!$A$2:$C$26,3)*SIGN(R119-R121),0)</f>
        <v/>
      </c>
      <c r="AL119">
        <f>IF(AND(ISNUMBER(S119),ISNUMBER(S115)),VLOOKUP(ABS(S119-S115),'IMP Table'!$A$2:$C$26,3)*SIGN(S119-S115),0)</f>
        <v/>
      </c>
      <c r="AM119">
        <f>IF(AND(ISNUMBER(S119),ISNUMBER(S116)),VLOOKUP(ABS(S119-S116),'IMP Table'!$A$2:$C$26,3)*SIGN(S119-S116),0)</f>
        <v/>
      </c>
      <c r="AN119">
        <f>IF(AND(ISNUMBER(S119),ISNUMBER(S117)),VLOOKUP(ABS(S119-S117),'IMP Table'!$A$2:$C$26,3)*SIGN(S119-S117),0)</f>
        <v/>
      </c>
      <c r="AO119">
        <f>IF(AND(ISNUMBER(S119),ISNUMBER(S118)),VLOOKUP(ABS(S119-S118),'IMP Table'!$A$2:$C$26,3)*SIGN(S119-S118),0)</f>
        <v/>
      </c>
      <c r="AP119">
        <f>IF(AND(ISNUMBER(S119),ISNUMBER(S120)),VLOOKUP(ABS(S119-S120),'IMP Table'!$A$2:$C$26,3)*SIGN(S119-S120),0)</f>
        <v/>
      </c>
      <c r="AQ119">
        <f>IF(AND(ISNUMBER(S119),ISNUMBER(S121)),VLOOKUP(ABS(S119-S121),'IMP Table'!$A$2:$C$26,3)*SIGN(S119-S121),0)</f>
        <v/>
      </c>
    </row>
    <row r="120">
      <c r="B120">
        <f>'By Round'!A157</f>
        <v/>
      </c>
      <c r="C120">
        <f>'By Round'!B167</f>
        <v/>
      </c>
      <c r="D120">
        <f>'By Round'!C167</f>
        <v/>
      </c>
      <c r="E120">
        <f>'By Round'!D167</f>
        <v/>
      </c>
      <c r="F120" s="11" t="inlineStr">
        <is>
          <t>None</t>
        </is>
      </c>
      <c r="G120">
        <f>IF(ISBLANK('By Round'!G167),"",'By Round'!G167)</f>
        <v/>
      </c>
      <c r="H120">
        <f>IF(ISBLANK('By Round'!H167),"",'By Round'!H167)</f>
        <v/>
      </c>
      <c r="I120">
        <f>IF(ISBLANK('By Round'!I167),"",'By Round'!I167)</f>
        <v/>
      </c>
      <c r="J120">
        <f>IF(ISBLANK('By Round'!J167),"",'By Round'!J167)</f>
        <v/>
      </c>
      <c r="K120">
        <f>IF(ISBLANK('By Round'!K167),"",'By Round'!K167)</f>
        <v/>
      </c>
      <c r="L120" s="12">
        <f>SUM(AF120:AK120)</f>
        <v/>
      </c>
      <c r="M120" s="13">
        <f>SUM(AL120:AQ120)</f>
        <v/>
      </c>
      <c r="N120" s="8">
        <f>IF(COUNT(T120:Y120)&gt;0,P120/COUNT(T120:Y120),0.5)</f>
        <v/>
      </c>
      <c r="O120" s="8">
        <f>IF(COUNT(Z120:AE120)&gt;0,Q120/COUNT(Z120:AE120),0.5)</f>
        <v/>
      </c>
      <c r="P120" s="5">
        <f>SUM(T120:Y120)</f>
        <v/>
      </c>
      <c r="Q120" s="5">
        <f>SUM(Z120:AE120)</f>
        <v/>
      </c>
      <c r="R120" s="14">
        <f>IF(ISNUMBER(J120),J120,IF(ISNUMBER(K120),-K120,""))</f>
        <v/>
      </c>
      <c r="S120">
        <f>IF(ISNUMBER(K120),K120,IF(ISNUMBER(J120),-J120,""))</f>
        <v/>
      </c>
      <c r="T120" s="14">
        <f>IF(ISNUMBER(R120),IF(ISNUMBER(R115),IF(R120&gt;R115,1.0,IF(R120=R115,0.5,0.0)),""),"")</f>
        <v/>
      </c>
      <c r="U120">
        <f>IF(ISNUMBER(R120),IF(ISNUMBER(R116),IF(R120&gt;R116,1.0,IF(R120=R116,0.5,0.0)),""),"")</f>
        <v/>
      </c>
      <c r="V120">
        <f>IF(ISNUMBER(R120),IF(ISNUMBER(R117),IF(R120&gt;R117,1.0,IF(R120=R117,0.5,0.0)),""),"")</f>
        <v/>
      </c>
      <c r="W120">
        <f>IF(ISNUMBER(R120),IF(ISNUMBER(R118),IF(R120&gt;R118,1.0,IF(R120=R118,0.5,0.0)),""),"")</f>
        <v/>
      </c>
      <c r="X120">
        <f>IF(ISNUMBER(R120),IF(ISNUMBER(R119),IF(R120&gt;R119,1.0,IF(R120=R119,0.5,0.0)),""),"")</f>
        <v/>
      </c>
      <c r="Y120">
        <f>IF(ISNUMBER(R120),IF(ISNUMBER(R121),IF(R120&gt;R121,1.0,IF(R120=R121,0.5,0.0)),""),"")</f>
        <v/>
      </c>
      <c r="Z120">
        <f>IF(ISNUMBER(S120),IF(ISNUMBER(S115),IF(S120&gt;S115,1.0,IF(S120=S115,0.5,0.0)),""),"")</f>
        <v/>
      </c>
      <c r="AA120">
        <f>IF(ISNUMBER(S120),IF(ISNUMBER(S116),IF(S120&gt;S116,1.0,IF(S120=S116,0.5,0.0)),""),"")</f>
        <v/>
      </c>
      <c r="AB120">
        <f>IF(ISNUMBER(S120),IF(ISNUMBER(S117),IF(S120&gt;S117,1.0,IF(S120=S117,0.5,0.0)),""),"")</f>
        <v/>
      </c>
      <c r="AC120">
        <f>IF(ISNUMBER(S120),IF(ISNUMBER(S118),IF(S120&gt;S118,1.0,IF(S120=S118,0.5,0.0)),""),"")</f>
        <v/>
      </c>
      <c r="AD120">
        <f>IF(ISNUMBER(S120),IF(ISNUMBER(S119),IF(S120&gt;S119,1.0,IF(S120=S119,0.5,0.0)),""),"")</f>
        <v/>
      </c>
      <c r="AE120">
        <f>IF(ISNUMBER(S120),IF(ISNUMBER(S121),IF(S120&gt;S121,1.0,IF(S120=S121,0.5,0.0)),""),"")</f>
        <v/>
      </c>
      <c r="AF120" s="14">
        <f>IF(AND(ISNUMBER(R120),ISNUMBER(R115)),VLOOKUP(ABS(R120-R115),'IMP Table'!$A$2:$C$26,3)*SIGN(R120-R115),0)</f>
        <v/>
      </c>
      <c r="AG120">
        <f>IF(AND(ISNUMBER(R120),ISNUMBER(R116)),VLOOKUP(ABS(R120-R116),'IMP Table'!$A$2:$C$26,3)*SIGN(R120-R116),0)</f>
        <v/>
      </c>
      <c r="AH120">
        <f>IF(AND(ISNUMBER(R120),ISNUMBER(R117)),VLOOKUP(ABS(R120-R117),'IMP Table'!$A$2:$C$26,3)*SIGN(R120-R117),0)</f>
        <v/>
      </c>
      <c r="AI120">
        <f>IF(AND(ISNUMBER(R120),ISNUMBER(R118)),VLOOKUP(ABS(R120-R118),'IMP Table'!$A$2:$C$26,3)*SIGN(R120-R118),0)</f>
        <v/>
      </c>
      <c r="AJ120">
        <f>IF(AND(ISNUMBER(R120),ISNUMBER(R119)),VLOOKUP(ABS(R120-R119),'IMP Table'!$A$2:$C$26,3)*SIGN(R120-R119),0)</f>
        <v/>
      </c>
      <c r="AK120">
        <f>IF(AND(ISNUMBER(R120),ISNUMBER(R121)),VLOOKUP(ABS(R120-R121),'IMP Table'!$A$2:$C$26,3)*SIGN(R120-R121),0)</f>
        <v/>
      </c>
      <c r="AL120">
        <f>IF(AND(ISNUMBER(S120),ISNUMBER(S115)),VLOOKUP(ABS(S120-S115),'IMP Table'!$A$2:$C$26,3)*SIGN(S120-S115),0)</f>
        <v/>
      </c>
      <c r="AM120">
        <f>IF(AND(ISNUMBER(S120),ISNUMBER(S116)),VLOOKUP(ABS(S120-S116),'IMP Table'!$A$2:$C$26,3)*SIGN(S120-S116),0)</f>
        <v/>
      </c>
      <c r="AN120">
        <f>IF(AND(ISNUMBER(S120),ISNUMBER(S117)),VLOOKUP(ABS(S120-S117),'IMP Table'!$A$2:$C$26,3)*SIGN(S120-S117),0)</f>
        <v/>
      </c>
      <c r="AO120">
        <f>IF(AND(ISNUMBER(S120),ISNUMBER(S118)),VLOOKUP(ABS(S120-S118),'IMP Table'!$A$2:$C$26,3)*SIGN(S120-S118),0)</f>
        <v/>
      </c>
      <c r="AP120">
        <f>IF(AND(ISNUMBER(S120),ISNUMBER(S119)),VLOOKUP(ABS(S120-S119),'IMP Table'!$A$2:$C$26,3)*SIGN(S120-S119),0)</f>
        <v/>
      </c>
      <c r="AQ120">
        <f>IF(AND(ISNUMBER(S120),ISNUMBER(S121)),VLOOKUP(ABS(S120-S121),'IMP Table'!$A$2:$C$26,3)*SIGN(S120-S121),0)</f>
        <v/>
      </c>
    </row>
    <row r="121">
      <c r="A121" s="15" t="n"/>
      <c r="B121" s="15">
        <f>'By Round'!A171</f>
        <v/>
      </c>
      <c r="C121" s="15">
        <f>'By Round'!B179</f>
        <v/>
      </c>
      <c r="D121" s="15">
        <f>'By Round'!C179</f>
        <v/>
      </c>
      <c r="E121" s="15">
        <f>'By Round'!D179</f>
        <v/>
      </c>
      <c r="F121" s="16" t="inlineStr">
        <is>
          <t>None</t>
        </is>
      </c>
      <c r="G121" s="15">
        <f>IF(ISBLANK('By Round'!G179),"",'By Round'!G179)</f>
        <v/>
      </c>
      <c r="H121" s="15">
        <f>IF(ISBLANK('By Round'!H179),"",'By Round'!H179)</f>
        <v/>
      </c>
      <c r="I121" s="15">
        <f>IF(ISBLANK('By Round'!I179),"",'By Round'!I179)</f>
        <v/>
      </c>
      <c r="J121" s="15">
        <f>IF(ISBLANK('By Round'!J179),"",'By Round'!J179)</f>
        <v/>
      </c>
      <c r="K121" s="15">
        <f>IF(ISBLANK('By Round'!K179),"",'By Round'!K179)</f>
        <v/>
      </c>
      <c r="L121" s="17">
        <f>SUM(AF121:AK121)</f>
        <v/>
      </c>
      <c r="M121" s="18">
        <f>SUM(AL121:AQ121)</f>
        <v/>
      </c>
      <c r="N121" s="19">
        <f>IF(COUNT(T121:Y121)&gt;0,P121/COUNT(T121:Y121),0.5)</f>
        <v/>
      </c>
      <c r="O121" s="19">
        <f>IF(COUNT(Z121:AE121)&gt;0,Q121/COUNT(Z121:AE121),0.5)</f>
        <v/>
      </c>
      <c r="P121" s="20">
        <f>SUM(T121:Y121)</f>
        <v/>
      </c>
      <c r="Q121" s="20">
        <f>SUM(Z121:AE121)</f>
        <v/>
      </c>
      <c r="R121" s="21">
        <f>IF(ISNUMBER(J121),J121,IF(ISNUMBER(K121),-K121,""))</f>
        <v/>
      </c>
      <c r="S121" s="15">
        <f>IF(ISNUMBER(K121),K121,IF(ISNUMBER(J121),-J121,""))</f>
        <v/>
      </c>
      <c r="T121" s="21">
        <f>IF(ISNUMBER(R121),IF(ISNUMBER(R115),IF(R121&gt;R115,1.0,IF(R121=R115,0.5,0.0)),""),"")</f>
        <v/>
      </c>
      <c r="U121" s="15">
        <f>IF(ISNUMBER(R121),IF(ISNUMBER(R116),IF(R121&gt;R116,1.0,IF(R121=R116,0.5,0.0)),""),"")</f>
        <v/>
      </c>
      <c r="V121" s="15">
        <f>IF(ISNUMBER(R121),IF(ISNUMBER(R117),IF(R121&gt;R117,1.0,IF(R121=R117,0.5,0.0)),""),"")</f>
        <v/>
      </c>
      <c r="W121" s="15">
        <f>IF(ISNUMBER(R121),IF(ISNUMBER(R118),IF(R121&gt;R118,1.0,IF(R121=R118,0.5,0.0)),""),"")</f>
        <v/>
      </c>
      <c r="X121" s="15">
        <f>IF(ISNUMBER(R121),IF(ISNUMBER(R119),IF(R121&gt;R119,1.0,IF(R121=R119,0.5,0.0)),""),"")</f>
        <v/>
      </c>
      <c r="Y121" s="15">
        <f>IF(ISNUMBER(R121),IF(ISNUMBER(R120),IF(R121&gt;R120,1.0,IF(R121=R120,0.5,0.0)),""),"")</f>
        <v/>
      </c>
      <c r="Z121" s="15">
        <f>IF(ISNUMBER(S121),IF(ISNUMBER(S115),IF(S121&gt;S115,1.0,IF(S121=S115,0.5,0.0)),""),"")</f>
        <v/>
      </c>
      <c r="AA121" s="15">
        <f>IF(ISNUMBER(S121),IF(ISNUMBER(S116),IF(S121&gt;S116,1.0,IF(S121=S116,0.5,0.0)),""),"")</f>
        <v/>
      </c>
      <c r="AB121" s="15">
        <f>IF(ISNUMBER(S121),IF(ISNUMBER(S117),IF(S121&gt;S117,1.0,IF(S121=S117,0.5,0.0)),""),"")</f>
        <v/>
      </c>
      <c r="AC121" s="15">
        <f>IF(ISNUMBER(S121),IF(ISNUMBER(S118),IF(S121&gt;S118,1.0,IF(S121=S118,0.5,0.0)),""),"")</f>
        <v/>
      </c>
      <c r="AD121" s="15">
        <f>IF(ISNUMBER(S121),IF(ISNUMBER(S119),IF(S121&gt;S119,1.0,IF(S121=S119,0.5,0.0)),""),"")</f>
        <v/>
      </c>
      <c r="AE121" s="15">
        <f>IF(ISNUMBER(S121),IF(ISNUMBER(S120),IF(S121&gt;S120,1.0,IF(S121=S120,0.5,0.0)),""),"")</f>
        <v/>
      </c>
      <c r="AF121" s="21">
        <f>IF(AND(ISNUMBER(R121),ISNUMBER(R115)),VLOOKUP(ABS(R121-R115),'IMP Table'!$A$2:$C$26,3)*SIGN(R121-R115),0)</f>
        <v/>
      </c>
      <c r="AG121" s="15">
        <f>IF(AND(ISNUMBER(R121),ISNUMBER(R116)),VLOOKUP(ABS(R121-R116),'IMP Table'!$A$2:$C$26,3)*SIGN(R121-R116),0)</f>
        <v/>
      </c>
      <c r="AH121" s="15">
        <f>IF(AND(ISNUMBER(R121),ISNUMBER(R117)),VLOOKUP(ABS(R121-R117),'IMP Table'!$A$2:$C$26,3)*SIGN(R121-R117),0)</f>
        <v/>
      </c>
      <c r="AI121" s="15">
        <f>IF(AND(ISNUMBER(R121),ISNUMBER(R118)),VLOOKUP(ABS(R121-R118),'IMP Table'!$A$2:$C$26,3)*SIGN(R121-R118),0)</f>
        <v/>
      </c>
      <c r="AJ121" s="15">
        <f>IF(AND(ISNUMBER(R121),ISNUMBER(R119)),VLOOKUP(ABS(R121-R119),'IMP Table'!$A$2:$C$26,3)*SIGN(R121-R119),0)</f>
        <v/>
      </c>
      <c r="AK121" s="15">
        <f>IF(AND(ISNUMBER(R121),ISNUMBER(R120)),VLOOKUP(ABS(R121-R120),'IMP Table'!$A$2:$C$26,3)*SIGN(R121-R120),0)</f>
        <v/>
      </c>
      <c r="AL121" s="15">
        <f>IF(AND(ISNUMBER(S121),ISNUMBER(S115)),VLOOKUP(ABS(S121-S115),'IMP Table'!$A$2:$C$26,3)*SIGN(S121-S115),0)</f>
        <v/>
      </c>
      <c r="AM121" s="15">
        <f>IF(AND(ISNUMBER(S121),ISNUMBER(S116)),VLOOKUP(ABS(S121-S116),'IMP Table'!$A$2:$C$26,3)*SIGN(S121-S116),0)</f>
        <v/>
      </c>
      <c r="AN121" s="15">
        <f>IF(AND(ISNUMBER(S121),ISNUMBER(S117)),VLOOKUP(ABS(S121-S117),'IMP Table'!$A$2:$C$26,3)*SIGN(S121-S117),0)</f>
        <v/>
      </c>
      <c r="AO121" s="15">
        <f>IF(AND(ISNUMBER(S121),ISNUMBER(S118)),VLOOKUP(ABS(S121-S118),'IMP Table'!$A$2:$C$26,3)*SIGN(S121-S118),0)</f>
        <v/>
      </c>
      <c r="AP121" s="15">
        <f>IF(AND(ISNUMBER(S121),ISNUMBER(S119)),VLOOKUP(ABS(S121-S119),'IMP Table'!$A$2:$C$26,3)*SIGN(S121-S119),0)</f>
        <v/>
      </c>
      <c r="AQ121" s="15">
        <f>IF(AND(ISNUMBER(S121),ISNUMBER(S120)),VLOOKUP(ABS(S121-S120),'IMP Table'!$A$2:$C$26,3)*SIGN(S121-S120),0)</f>
        <v/>
      </c>
    </row>
    <row r="122">
      <c r="A122" t="n">
        <v>18</v>
      </c>
      <c r="B122">
        <f>'By Round'!A59</f>
        <v/>
      </c>
      <c r="C122">
        <f>'By Round'!B65</f>
        <v/>
      </c>
      <c r="D122">
        <f>'By Round'!C65</f>
        <v/>
      </c>
      <c r="E122">
        <f>'By Round'!D65</f>
        <v/>
      </c>
      <c r="F122" s="11" t="inlineStr">
        <is>
          <t>NS</t>
        </is>
      </c>
      <c r="G122">
        <f>IF(ISBLANK('By Round'!G65),"",'By Round'!G65)</f>
        <v/>
      </c>
      <c r="H122">
        <f>IF(ISBLANK('By Round'!H65),"",'By Round'!H65)</f>
        <v/>
      </c>
      <c r="I122">
        <f>IF(ISBLANK('By Round'!I65),"",'By Round'!I65)</f>
        <v/>
      </c>
      <c r="J122">
        <f>IF(ISBLANK('By Round'!J65),"",'By Round'!J65)</f>
        <v/>
      </c>
      <c r="K122">
        <f>IF(ISBLANK('By Round'!K65),"",'By Round'!K65)</f>
        <v/>
      </c>
      <c r="L122" s="12">
        <f>SUM(AF122:AK122)</f>
        <v/>
      </c>
      <c r="M122" s="13">
        <f>SUM(AL122:AQ122)</f>
        <v/>
      </c>
      <c r="N122" s="8">
        <f>IF(COUNT(T122:Y122)&gt;0,P122/COUNT(T122:Y122),0.5)</f>
        <v/>
      </c>
      <c r="O122" s="8">
        <f>IF(COUNT(Z122:AE122)&gt;0,Q122/COUNT(Z122:AE122),0.5)</f>
        <v/>
      </c>
      <c r="P122" s="5">
        <f>SUM(T122:Y122)</f>
        <v/>
      </c>
      <c r="Q122" s="5">
        <f>SUM(Z122:AE122)</f>
        <v/>
      </c>
      <c r="R122" s="14">
        <f>IF(ISNUMBER(J122),J122,IF(ISNUMBER(K122),-K122,""))</f>
        <v/>
      </c>
      <c r="S122">
        <f>IF(ISNUMBER(K122),K122,IF(ISNUMBER(J122),-J122,""))</f>
        <v/>
      </c>
      <c r="T122" s="14">
        <f>IF(ISNUMBER(R122),IF(ISNUMBER(R123),IF(R122&gt;R123,1.0,IF(R122=R123,0.5,0.0)),""),"")</f>
        <v/>
      </c>
      <c r="U122">
        <f>IF(ISNUMBER(R122),IF(ISNUMBER(R124),IF(R122&gt;R124,1.0,IF(R122=R124,0.5,0.0)),""),"")</f>
        <v/>
      </c>
      <c r="V122">
        <f>IF(ISNUMBER(R122),IF(ISNUMBER(R125),IF(R122&gt;R125,1.0,IF(R122=R125,0.5,0.0)),""),"")</f>
        <v/>
      </c>
      <c r="W122">
        <f>IF(ISNUMBER(R122),IF(ISNUMBER(R126),IF(R122&gt;R126,1.0,IF(R122=R126,0.5,0.0)),""),"")</f>
        <v/>
      </c>
      <c r="X122">
        <f>IF(ISNUMBER(R122),IF(ISNUMBER(R127),IF(R122&gt;R127,1.0,IF(R122=R127,0.5,0.0)),""),"")</f>
        <v/>
      </c>
      <c r="Y122">
        <f>IF(ISNUMBER(R122),IF(ISNUMBER(R128),IF(R122&gt;R128,1.0,IF(R122=R128,0.5,0.0)),""),"")</f>
        <v/>
      </c>
      <c r="Z122">
        <f>IF(ISNUMBER(S122),IF(ISNUMBER(S123),IF(S122&gt;S123,1.0,IF(S122=S123,0.5,0.0)),""),"")</f>
        <v/>
      </c>
      <c r="AA122">
        <f>IF(ISNUMBER(S122),IF(ISNUMBER(S124),IF(S122&gt;S124,1.0,IF(S122=S124,0.5,0.0)),""),"")</f>
        <v/>
      </c>
      <c r="AB122">
        <f>IF(ISNUMBER(S122),IF(ISNUMBER(S125),IF(S122&gt;S125,1.0,IF(S122=S125,0.5,0.0)),""),"")</f>
        <v/>
      </c>
      <c r="AC122">
        <f>IF(ISNUMBER(S122),IF(ISNUMBER(S126),IF(S122&gt;S126,1.0,IF(S122=S126,0.5,0.0)),""),"")</f>
        <v/>
      </c>
      <c r="AD122">
        <f>IF(ISNUMBER(S122),IF(ISNUMBER(S127),IF(S122&gt;S127,1.0,IF(S122=S127,0.5,0.0)),""),"")</f>
        <v/>
      </c>
      <c r="AE122">
        <f>IF(ISNUMBER(S122),IF(ISNUMBER(S128),IF(S122&gt;S128,1.0,IF(S122=S128,0.5,0.0)),""),"")</f>
        <v/>
      </c>
      <c r="AF122" s="14">
        <f>IF(AND(ISNUMBER(R122),ISNUMBER(R123)),VLOOKUP(ABS(R122-R123),'IMP Table'!$A$2:$C$26,3)*SIGN(R122-R123),0)</f>
        <v/>
      </c>
      <c r="AG122">
        <f>IF(AND(ISNUMBER(R122),ISNUMBER(R124)),VLOOKUP(ABS(R122-R124),'IMP Table'!$A$2:$C$26,3)*SIGN(R122-R124),0)</f>
        <v/>
      </c>
      <c r="AH122">
        <f>IF(AND(ISNUMBER(R122),ISNUMBER(R125)),VLOOKUP(ABS(R122-R125),'IMP Table'!$A$2:$C$26,3)*SIGN(R122-R125),0)</f>
        <v/>
      </c>
      <c r="AI122">
        <f>IF(AND(ISNUMBER(R122),ISNUMBER(R126)),VLOOKUP(ABS(R122-R126),'IMP Table'!$A$2:$C$26,3)*SIGN(R122-R126),0)</f>
        <v/>
      </c>
      <c r="AJ122">
        <f>IF(AND(ISNUMBER(R122),ISNUMBER(R127)),VLOOKUP(ABS(R122-R127),'IMP Table'!$A$2:$C$26,3)*SIGN(R122-R127),0)</f>
        <v/>
      </c>
      <c r="AK122">
        <f>IF(AND(ISNUMBER(R122),ISNUMBER(R128)),VLOOKUP(ABS(R122-R128),'IMP Table'!$A$2:$C$26,3)*SIGN(R122-R128),0)</f>
        <v/>
      </c>
      <c r="AL122">
        <f>IF(AND(ISNUMBER(S122),ISNUMBER(S123)),VLOOKUP(ABS(S122-S123),'IMP Table'!$A$2:$C$26,3)*SIGN(S122-S123),0)</f>
        <v/>
      </c>
      <c r="AM122">
        <f>IF(AND(ISNUMBER(S122),ISNUMBER(S124)),VLOOKUP(ABS(S122-S124),'IMP Table'!$A$2:$C$26,3)*SIGN(S122-S124),0)</f>
        <v/>
      </c>
      <c r="AN122">
        <f>IF(AND(ISNUMBER(S122),ISNUMBER(S125)),VLOOKUP(ABS(S122-S125),'IMP Table'!$A$2:$C$26,3)*SIGN(S122-S125),0)</f>
        <v/>
      </c>
      <c r="AO122">
        <f>IF(AND(ISNUMBER(S122),ISNUMBER(S126)),VLOOKUP(ABS(S122-S126),'IMP Table'!$A$2:$C$26,3)*SIGN(S122-S126),0)</f>
        <v/>
      </c>
      <c r="AP122">
        <f>IF(AND(ISNUMBER(S122),ISNUMBER(S127)),VLOOKUP(ABS(S122-S127),'IMP Table'!$A$2:$C$26,3)*SIGN(S122-S127),0)</f>
        <v/>
      </c>
      <c r="AQ122">
        <f>IF(AND(ISNUMBER(S122),ISNUMBER(S128)),VLOOKUP(ABS(S122-S128),'IMP Table'!$A$2:$C$26,3)*SIGN(S122-S128),0)</f>
        <v/>
      </c>
    </row>
    <row r="123">
      <c r="B123">
        <f>'By Round'!A73</f>
        <v/>
      </c>
      <c r="C123">
        <f>'By Round'!B77</f>
        <v/>
      </c>
      <c r="D123">
        <f>'By Round'!C77</f>
        <v/>
      </c>
      <c r="E123">
        <f>'By Round'!D77</f>
        <v/>
      </c>
      <c r="F123" s="11" t="inlineStr">
        <is>
          <t>NS</t>
        </is>
      </c>
      <c r="G123">
        <f>IF(ISBLANK('By Round'!G77),"",'By Round'!G77)</f>
        <v/>
      </c>
      <c r="H123">
        <f>IF(ISBLANK('By Round'!H77),"",'By Round'!H77)</f>
        <v/>
      </c>
      <c r="I123">
        <f>IF(ISBLANK('By Round'!I77),"",'By Round'!I77)</f>
        <v/>
      </c>
      <c r="J123">
        <f>IF(ISBLANK('By Round'!J77),"",'By Round'!J77)</f>
        <v/>
      </c>
      <c r="K123">
        <f>IF(ISBLANK('By Round'!K77),"",'By Round'!K77)</f>
        <v/>
      </c>
      <c r="L123" s="12">
        <f>SUM(AF123:AK123)</f>
        <v/>
      </c>
      <c r="M123" s="13">
        <f>SUM(AL123:AQ123)</f>
        <v/>
      </c>
      <c r="N123" s="8">
        <f>IF(COUNT(T123:Y123)&gt;0,P123/COUNT(T123:Y123),0.5)</f>
        <v/>
      </c>
      <c r="O123" s="8">
        <f>IF(COUNT(Z123:AE123)&gt;0,Q123/COUNT(Z123:AE123),0.5)</f>
        <v/>
      </c>
      <c r="P123" s="5">
        <f>SUM(T123:Y123)</f>
        <v/>
      </c>
      <c r="Q123" s="5">
        <f>SUM(Z123:AE123)</f>
        <v/>
      </c>
      <c r="R123" s="14">
        <f>IF(ISNUMBER(J123),J123,IF(ISNUMBER(K123),-K123,""))</f>
        <v/>
      </c>
      <c r="S123">
        <f>IF(ISNUMBER(K123),K123,IF(ISNUMBER(J123),-J123,""))</f>
        <v/>
      </c>
      <c r="T123" s="14">
        <f>IF(ISNUMBER(R123),IF(ISNUMBER(R122),IF(R123&gt;R122,1.0,IF(R123=R122,0.5,0.0)),""),"")</f>
        <v/>
      </c>
      <c r="U123">
        <f>IF(ISNUMBER(R123),IF(ISNUMBER(R124),IF(R123&gt;R124,1.0,IF(R123=R124,0.5,0.0)),""),"")</f>
        <v/>
      </c>
      <c r="V123">
        <f>IF(ISNUMBER(R123),IF(ISNUMBER(R125),IF(R123&gt;R125,1.0,IF(R123=R125,0.5,0.0)),""),"")</f>
        <v/>
      </c>
      <c r="W123">
        <f>IF(ISNUMBER(R123),IF(ISNUMBER(R126),IF(R123&gt;R126,1.0,IF(R123=R126,0.5,0.0)),""),"")</f>
        <v/>
      </c>
      <c r="X123">
        <f>IF(ISNUMBER(R123),IF(ISNUMBER(R127),IF(R123&gt;R127,1.0,IF(R123=R127,0.5,0.0)),""),"")</f>
        <v/>
      </c>
      <c r="Y123">
        <f>IF(ISNUMBER(R123),IF(ISNUMBER(R128),IF(R123&gt;R128,1.0,IF(R123=R128,0.5,0.0)),""),"")</f>
        <v/>
      </c>
      <c r="Z123">
        <f>IF(ISNUMBER(S123),IF(ISNUMBER(S122),IF(S123&gt;S122,1.0,IF(S123=S122,0.5,0.0)),""),"")</f>
        <v/>
      </c>
      <c r="AA123">
        <f>IF(ISNUMBER(S123),IF(ISNUMBER(S124),IF(S123&gt;S124,1.0,IF(S123=S124,0.5,0.0)),""),"")</f>
        <v/>
      </c>
      <c r="AB123">
        <f>IF(ISNUMBER(S123),IF(ISNUMBER(S125),IF(S123&gt;S125,1.0,IF(S123=S125,0.5,0.0)),""),"")</f>
        <v/>
      </c>
      <c r="AC123">
        <f>IF(ISNUMBER(S123),IF(ISNUMBER(S126),IF(S123&gt;S126,1.0,IF(S123=S126,0.5,0.0)),""),"")</f>
        <v/>
      </c>
      <c r="AD123">
        <f>IF(ISNUMBER(S123),IF(ISNUMBER(S127),IF(S123&gt;S127,1.0,IF(S123=S127,0.5,0.0)),""),"")</f>
        <v/>
      </c>
      <c r="AE123">
        <f>IF(ISNUMBER(S123),IF(ISNUMBER(S128),IF(S123&gt;S128,1.0,IF(S123=S128,0.5,0.0)),""),"")</f>
        <v/>
      </c>
      <c r="AF123" s="14">
        <f>IF(AND(ISNUMBER(R123),ISNUMBER(R122)),VLOOKUP(ABS(R123-R122),'IMP Table'!$A$2:$C$26,3)*SIGN(R123-R122),0)</f>
        <v/>
      </c>
      <c r="AG123">
        <f>IF(AND(ISNUMBER(R123),ISNUMBER(R124)),VLOOKUP(ABS(R123-R124),'IMP Table'!$A$2:$C$26,3)*SIGN(R123-R124),0)</f>
        <v/>
      </c>
      <c r="AH123">
        <f>IF(AND(ISNUMBER(R123),ISNUMBER(R125)),VLOOKUP(ABS(R123-R125),'IMP Table'!$A$2:$C$26,3)*SIGN(R123-R125),0)</f>
        <v/>
      </c>
      <c r="AI123">
        <f>IF(AND(ISNUMBER(R123),ISNUMBER(R126)),VLOOKUP(ABS(R123-R126),'IMP Table'!$A$2:$C$26,3)*SIGN(R123-R126),0)</f>
        <v/>
      </c>
      <c r="AJ123">
        <f>IF(AND(ISNUMBER(R123),ISNUMBER(R127)),VLOOKUP(ABS(R123-R127),'IMP Table'!$A$2:$C$26,3)*SIGN(R123-R127),0)</f>
        <v/>
      </c>
      <c r="AK123">
        <f>IF(AND(ISNUMBER(R123),ISNUMBER(R128)),VLOOKUP(ABS(R123-R128),'IMP Table'!$A$2:$C$26,3)*SIGN(R123-R128),0)</f>
        <v/>
      </c>
      <c r="AL123">
        <f>IF(AND(ISNUMBER(S123),ISNUMBER(S122)),VLOOKUP(ABS(S123-S122),'IMP Table'!$A$2:$C$26,3)*SIGN(S123-S122),0)</f>
        <v/>
      </c>
      <c r="AM123">
        <f>IF(AND(ISNUMBER(S123),ISNUMBER(S124)),VLOOKUP(ABS(S123-S124),'IMP Table'!$A$2:$C$26,3)*SIGN(S123-S124),0)</f>
        <v/>
      </c>
      <c r="AN123">
        <f>IF(AND(ISNUMBER(S123),ISNUMBER(S125)),VLOOKUP(ABS(S123-S125),'IMP Table'!$A$2:$C$26,3)*SIGN(S123-S125),0)</f>
        <v/>
      </c>
      <c r="AO123">
        <f>IF(AND(ISNUMBER(S123),ISNUMBER(S126)),VLOOKUP(ABS(S123-S126),'IMP Table'!$A$2:$C$26,3)*SIGN(S123-S126),0)</f>
        <v/>
      </c>
      <c r="AP123">
        <f>IF(AND(ISNUMBER(S123),ISNUMBER(S127)),VLOOKUP(ABS(S123-S127),'IMP Table'!$A$2:$C$26,3)*SIGN(S123-S127),0)</f>
        <v/>
      </c>
      <c r="AQ123">
        <f>IF(AND(ISNUMBER(S123),ISNUMBER(S128)),VLOOKUP(ABS(S123-S128),'IMP Table'!$A$2:$C$26,3)*SIGN(S123-S128),0)</f>
        <v/>
      </c>
    </row>
    <row r="124">
      <c r="B124">
        <f>'By Round'!A87</f>
        <v/>
      </c>
      <c r="C124">
        <f>'By Round'!B89</f>
        <v/>
      </c>
      <c r="D124">
        <f>'By Round'!C89</f>
        <v/>
      </c>
      <c r="E124">
        <f>'By Round'!D89</f>
        <v/>
      </c>
      <c r="F124" s="11" t="inlineStr">
        <is>
          <t>NS</t>
        </is>
      </c>
      <c r="G124">
        <f>IF(ISBLANK('By Round'!G89),"",'By Round'!G89)</f>
        <v/>
      </c>
      <c r="H124">
        <f>IF(ISBLANK('By Round'!H89),"",'By Round'!H89)</f>
        <v/>
      </c>
      <c r="I124">
        <f>IF(ISBLANK('By Round'!I89),"",'By Round'!I89)</f>
        <v/>
      </c>
      <c r="J124">
        <f>IF(ISBLANK('By Round'!J89),"",'By Round'!J89)</f>
        <v/>
      </c>
      <c r="K124">
        <f>IF(ISBLANK('By Round'!K89),"",'By Round'!K89)</f>
        <v/>
      </c>
      <c r="L124" s="12">
        <f>SUM(AF124:AK124)</f>
        <v/>
      </c>
      <c r="M124" s="13">
        <f>SUM(AL124:AQ124)</f>
        <v/>
      </c>
      <c r="N124" s="8">
        <f>IF(COUNT(T124:Y124)&gt;0,P124/COUNT(T124:Y124),0.5)</f>
        <v/>
      </c>
      <c r="O124" s="8">
        <f>IF(COUNT(Z124:AE124)&gt;0,Q124/COUNT(Z124:AE124),0.5)</f>
        <v/>
      </c>
      <c r="P124" s="5">
        <f>SUM(T124:Y124)</f>
        <v/>
      </c>
      <c r="Q124" s="5">
        <f>SUM(Z124:AE124)</f>
        <v/>
      </c>
      <c r="R124" s="14">
        <f>IF(ISNUMBER(J124),J124,IF(ISNUMBER(K124),-K124,""))</f>
        <v/>
      </c>
      <c r="S124">
        <f>IF(ISNUMBER(K124),K124,IF(ISNUMBER(J124),-J124,""))</f>
        <v/>
      </c>
      <c r="T124" s="14">
        <f>IF(ISNUMBER(R124),IF(ISNUMBER(R122),IF(R124&gt;R122,1.0,IF(R124=R122,0.5,0.0)),""),"")</f>
        <v/>
      </c>
      <c r="U124">
        <f>IF(ISNUMBER(R124),IF(ISNUMBER(R123),IF(R124&gt;R123,1.0,IF(R124=R123,0.5,0.0)),""),"")</f>
        <v/>
      </c>
      <c r="V124">
        <f>IF(ISNUMBER(R124),IF(ISNUMBER(R125),IF(R124&gt;R125,1.0,IF(R124=R125,0.5,0.0)),""),"")</f>
        <v/>
      </c>
      <c r="W124">
        <f>IF(ISNUMBER(R124),IF(ISNUMBER(R126),IF(R124&gt;R126,1.0,IF(R124=R126,0.5,0.0)),""),"")</f>
        <v/>
      </c>
      <c r="X124">
        <f>IF(ISNUMBER(R124),IF(ISNUMBER(R127),IF(R124&gt;R127,1.0,IF(R124=R127,0.5,0.0)),""),"")</f>
        <v/>
      </c>
      <c r="Y124">
        <f>IF(ISNUMBER(R124),IF(ISNUMBER(R128),IF(R124&gt;R128,1.0,IF(R124=R128,0.5,0.0)),""),"")</f>
        <v/>
      </c>
      <c r="Z124">
        <f>IF(ISNUMBER(S124),IF(ISNUMBER(S122),IF(S124&gt;S122,1.0,IF(S124=S122,0.5,0.0)),""),"")</f>
        <v/>
      </c>
      <c r="AA124">
        <f>IF(ISNUMBER(S124),IF(ISNUMBER(S123),IF(S124&gt;S123,1.0,IF(S124=S123,0.5,0.0)),""),"")</f>
        <v/>
      </c>
      <c r="AB124">
        <f>IF(ISNUMBER(S124),IF(ISNUMBER(S125),IF(S124&gt;S125,1.0,IF(S124=S125,0.5,0.0)),""),"")</f>
        <v/>
      </c>
      <c r="AC124">
        <f>IF(ISNUMBER(S124),IF(ISNUMBER(S126),IF(S124&gt;S126,1.0,IF(S124=S126,0.5,0.0)),""),"")</f>
        <v/>
      </c>
      <c r="AD124">
        <f>IF(ISNUMBER(S124),IF(ISNUMBER(S127),IF(S124&gt;S127,1.0,IF(S124=S127,0.5,0.0)),""),"")</f>
        <v/>
      </c>
      <c r="AE124">
        <f>IF(ISNUMBER(S124),IF(ISNUMBER(S128),IF(S124&gt;S128,1.0,IF(S124=S128,0.5,0.0)),""),"")</f>
        <v/>
      </c>
      <c r="AF124" s="14">
        <f>IF(AND(ISNUMBER(R124),ISNUMBER(R122)),VLOOKUP(ABS(R124-R122),'IMP Table'!$A$2:$C$26,3)*SIGN(R124-R122),0)</f>
        <v/>
      </c>
      <c r="AG124">
        <f>IF(AND(ISNUMBER(R124),ISNUMBER(R123)),VLOOKUP(ABS(R124-R123),'IMP Table'!$A$2:$C$26,3)*SIGN(R124-R123),0)</f>
        <v/>
      </c>
      <c r="AH124">
        <f>IF(AND(ISNUMBER(R124),ISNUMBER(R125)),VLOOKUP(ABS(R124-R125),'IMP Table'!$A$2:$C$26,3)*SIGN(R124-R125),0)</f>
        <v/>
      </c>
      <c r="AI124">
        <f>IF(AND(ISNUMBER(R124),ISNUMBER(R126)),VLOOKUP(ABS(R124-R126),'IMP Table'!$A$2:$C$26,3)*SIGN(R124-R126),0)</f>
        <v/>
      </c>
      <c r="AJ124">
        <f>IF(AND(ISNUMBER(R124),ISNUMBER(R127)),VLOOKUP(ABS(R124-R127),'IMP Table'!$A$2:$C$26,3)*SIGN(R124-R127),0)</f>
        <v/>
      </c>
      <c r="AK124">
        <f>IF(AND(ISNUMBER(R124),ISNUMBER(R128)),VLOOKUP(ABS(R124-R128),'IMP Table'!$A$2:$C$26,3)*SIGN(R124-R128),0)</f>
        <v/>
      </c>
      <c r="AL124">
        <f>IF(AND(ISNUMBER(S124),ISNUMBER(S122)),VLOOKUP(ABS(S124-S122),'IMP Table'!$A$2:$C$26,3)*SIGN(S124-S122),0)</f>
        <v/>
      </c>
      <c r="AM124">
        <f>IF(AND(ISNUMBER(S124),ISNUMBER(S123)),VLOOKUP(ABS(S124-S123),'IMP Table'!$A$2:$C$26,3)*SIGN(S124-S123),0)</f>
        <v/>
      </c>
      <c r="AN124">
        <f>IF(AND(ISNUMBER(S124),ISNUMBER(S125)),VLOOKUP(ABS(S124-S125),'IMP Table'!$A$2:$C$26,3)*SIGN(S124-S125),0)</f>
        <v/>
      </c>
      <c r="AO124">
        <f>IF(AND(ISNUMBER(S124),ISNUMBER(S126)),VLOOKUP(ABS(S124-S126),'IMP Table'!$A$2:$C$26,3)*SIGN(S124-S126),0)</f>
        <v/>
      </c>
      <c r="AP124">
        <f>IF(AND(ISNUMBER(S124),ISNUMBER(S127)),VLOOKUP(ABS(S124-S127),'IMP Table'!$A$2:$C$26,3)*SIGN(S124-S127),0)</f>
        <v/>
      </c>
      <c r="AQ124">
        <f>IF(AND(ISNUMBER(S124),ISNUMBER(S128)),VLOOKUP(ABS(S124-S128),'IMP Table'!$A$2:$C$26,3)*SIGN(S124-S128),0)</f>
        <v/>
      </c>
    </row>
    <row r="125">
      <c r="B125">
        <f>'By Round'!A115</f>
        <v/>
      </c>
      <c r="C125">
        <f>'By Round'!B115</f>
        <v/>
      </c>
      <c r="D125">
        <f>'By Round'!C115</f>
        <v/>
      </c>
      <c r="E125">
        <f>'By Round'!D115</f>
        <v/>
      </c>
      <c r="F125" s="11" t="inlineStr">
        <is>
          <t>NS</t>
        </is>
      </c>
      <c r="G125">
        <f>IF(ISBLANK('By Round'!G115),"",'By Round'!G115)</f>
        <v/>
      </c>
      <c r="H125">
        <f>IF(ISBLANK('By Round'!H115),"",'By Round'!H115)</f>
        <v/>
      </c>
      <c r="I125">
        <f>IF(ISBLANK('By Round'!I115),"",'By Round'!I115)</f>
        <v/>
      </c>
      <c r="J125">
        <f>IF(ISBLANK('By Round'!J115),"",'By Round'!J115)</f>
        <v/>
      </c>
      <c r="K125">
        <f>IF(ISBLANK('By Round'!K115),"",'By Round'!K115)</f>
        <v/>
      </c>
      <c r="L125" s="12">
        <f>SUM(AF125:AK125)</f>
        <v/>
      </c>
      <c r="M125" s="13">
        <f>SUM(AL125:AQ125)</f>
        <v/>
      </c>
      <c r="N125" s="8">
        <f>IF(COUNT(T125:Y125)&gt;0,P125/COUNT(T125:Y125),0.5)</f>
        <v/>
      </c>
      <c r="O125" s="8">
        <f>IF(COUNT(Z125:AE125)&gt;0,Q125/COUNT(Z125:AE125),0.5)</f>
        <v/>
      </c>
      <c r="P125" s="5">
        <f>SUM(T125:Y125)</f>
        <v/>
      </c>
      <c r="Q125" s="5">
        <f>SUM(Z125:AE125)</f>
        <v/>
      </c>
      <c r="R125" s="14">
        <f>IF(ISNUMBER(J125),J125,IF(ISNUMBER(K125),-K125,""))</f>
        <v/>
      </c>
      <c r="S125">
        <f>IF(ISNUMBER(K125),K125,IF(ISNUMBER(J125),-J125,""))</f>
        <v/>
      </c>
      <c r="T125" s="14">
        <f>IF(ISNUMBER(R125),IF(ISNUMBER(R122),IF(R125&gt;R122,1.0,IF(R125=R122,0.5,0.0)),""),"")</f>
        <v/>
      </c>
      <c r="U125">
        <f>IF(ISNUMBER(R125),IF(ISNUMBER(R123),IF(R125&gt;R123,1.0,IF(R125=R123,0.5,0.0)),""),"")</f>
        <v/>
      </c>
      <c r="V125">
        <f>IF(ISNUMBER(R125),IF(ISNUMBER(R124),IF(R125&gt;R124,1.0,IF(R125=R124,0.5,0.0)),""),"")</f>
        <v/>
      </c>
      <c r="W125">
        <f>IF(ISNUMBER(R125),IF(ISNUMBER(R126),IF(R125&gt;R126,1.0,IF(R125=R126,0.5,0.0)),""),"")</f>
        <v/>
      </c>
      <c r="X125">
        <f>IF(ISNUMBER(R125),IF(ISNUMBER(R127),IF(R125&gt;R127,1.0,IF(R125=R127,0.5,0.0)),""),"")</f>
        <v/>
      </c>
      <c r="Y125">
        <f>IF(ISNUMBER(R125),IF(ISNUMBER(R128),IF(R125&gt;R128,1.0,IF(R125=R128,0.5,0.0)),""),"")</f>
        <v/>
      </c>
      <c r="Z125">
        <f>IF(ISNUMBER(S125),IF(ISNUMBER(S122),IF(S125&gt;S122,1.0,IF(S125=S122,0.5,0.0)),""),"")</f>
        <v/>
      </c>
      <c r="AA125">
        <f>IF(ISNUMBER(S125),IF(ISNUMBER(S123),IF(S125&gt;S123,1.0,IF(S125=S123,0.5,0.0)),""),"")</f>
        <v/>
      </c>
      <c r="AB125">
        <f>IF(ISNUMBER(S125),IF(ISNUMBER(S124),IF(S125&gt;S124,1.0,IF(S125=S124,0.5,0.0)),""),"")</f>
        <v/>
      </c>
      <c r="AC125">
        <f>IF(ISNUMBER(S125),IF(ISNUMBER(S126),IF(S125&gt;S126,1.0,IF(S125=S126,0.5,0.0)),""),"")</f>
        <v/>
      </c>
      <c r="AD125">
        <f>IF(ISNUMBER(S125),IF(ISNUMBER(S127),IF(S125&gt;S127,1.0,IF(S125=S127,0.5,0.0)),""),"")</f>
        <v/>
      </c>
      <c r="AE125">
        <f>IF(ISNUMBER(S125),IF(ISNUMBER(S128),IF(S125&gt;S128,1.0,IF(S125=S128,0.5,0.0)),""),"")</f>
        <v/>
      </c>
      <c r="AF125" s="14">
        <f>IF(AND(ISNUMBER(R125),ISNUMBER(R122)),VLOOKUP(ABS(R125-R122),'IMP Table'!$A$2:$C$26,3)*SIGN(R125-R122),0)</f>
        <v/>
      </c>
      <c r="AG125">
        <f>IF(AND(ISNUMBER(R125),ISNUMBER(R123)),VLOOKUP(ABS(R125-R123),'IMP Table'!$A$2:$C$26,3)*SIGN(R125-R123),0)</f>
        <v/>
      </c>
      <c r="AH125">
        <f>IF(AND(ISNUMBER(R125),ISNUMBER(R124)),VLOOKUP(ABS(R125-R124),'IMP Table'!$A$2:$C$26,3)*SIGN(R125-R124),0)</f>
        <v/>
      </c>
      <c r="AI125">
        <f>IF(AND(ISNUMBER(R125),ISNUMBER(R126)),VLOOKUP(ABS(R125-R126),'IMP Table'!$A$2:$C$26,3)*SIGN(R125-R126),0)</f>
        <v/>
      </c>
      <c r="AJ125">
        <f>IF(AND(ISNUMBER(R125),ISNUMBER(R127)),VLOOKUP(ABS(R125-R127),'IMP Table'!$A$2:$C$26,3)*SIGN(R125-R127),0)</f>
        <v/>
      </c>
      <c r="AK125">
        <f>IF(AND(ISNUMBER(R125),ISNUMBER(R128)),VLOOKUP(ABS(R125-R128),'IMP Table'!$A$2:$C$26,3)*SIGN(R125-R128),0)</f>
        <v/>
      </c>
      <c r="AL125">
        <f>IF(AND(ISNUMBER(S125),ISNUMBER(S122)),VLOOKUP(ABS(S125-S122),'IMP Table'!$A$2:$C$26,3)*SIGN(S125-S122),0)</f>
        <v/>
      </c>
      <c r="AM125">
        <f>IF(AND(ISNUMBER(S125),ISNUMBER(S123)),VLOOKUP(ABS(S125-S123),'IMP Table'!$A$2:$C$26,3)*SIGN(S125-S123),0)</f>
        <v/>
      </c>
      <c r="AN125">
        <f>IF(AND(ISNUMBER(S125),ISNUMBER(S124)),VLOOKUP(ABS(S125-S124),'IMP Table'!$A$2:$C$26,3)*SIGN(S125-S124),0)</f>
        <v/>
      </c>
      <c r="AO125">
        <f>IF(AND(ISNUMBER(S125),ISNUMBER(S126)),VLOOKUP(ABS(S125-S126),'IMP Table'!$A$2:$C$26,3)*SIGN(S125-S126),0)</f>
        <v/>
      </c>
      <c r="AP125">
        <f>IF(AND(ISNUMBER(S125),ISNUMBER(S127)),VLOOKUP(ABS(S125-S127),'IMP Table'!$A$2:$C$26,3)*SIGN(S125-S127),0)</f>
        <v/>
      </c>
      <c r="AQ125">
        <f>IF(AND(ISNUMBER(S125),ISNUMBER(S128)),VLOOKUP(ABS(S125-S128),'IMP Table'!$A$2:$C$26,3)*SIGN(S125-S128),0)</f>
        <v/>
      </c>
    </row>
    <row r="126">
      <c r="B126">
        <f>'By Round'!A143</f>
        <v/>
      </c>
      <c r="C126">
        <f>'By Round'!B155</f>
        <v/>
      </c>
      <c r="D126">
        <f>'By Round'!C155</f>
        <v/>
      </c>
      <c r="E126">
        <f>'By Round'!D155</f>
        <v/>
      </c>
      <c r="F126" s="11" t="inlineStr">
        <is>
          <t>NS</t>
        </is>
      </c>
      <c r="G126">
        <f>IF(ISBLANK('By Round'!G155),"",'By Round'!G155)</f>
        <v/>
      </c>
      <c r="H126">
        <f>IF(ISBLANK('By Round'!H155),"",'By Round'!H155)</f>
        <v/>
      </c>
      <c r="I126">
        <f>IF(ISBLANK('By Round'!I155),"",'By Round'!I155)</f>
        <v/>
      </c>
      <c r="J126">
        <f>IF(ISBLANK('By Round'!J155),"",'By Round'!J155)</f>
        <v/>
      </c>
      <c r="K126">
        <f>IF(ISBLANK('By Round'!K155),"",'By Round'!K155)</f>
        <v/>
      </c>
      <c r="L126" s="12">
        <f>SUM(AF126:AK126)</f>
        <v/>
      </c>
      <c r="M126" s="13">
        <f>SUM(AL126:AQ126)</f>
        <v/>
      </c>
      <c r="N126" s="8">
        <f>IF(COUNT(T126:Y126)&gt;0,P126/COUNT(T126:Y126),0.5)</f>
        <v/>
      </c>
      <c r="O126" s="8">
        <f>IF(COUNT(Z126:AE126)&gt;0,Q126/COUNT(Z126:AE126),0.5)</f>
        <v/>
      </c>
      <c r="P126" s="5">
        <f>SUM(T126:Y126)</f>
        <v/>
      </c>
      <c r="Q126" s="5">
        <f>SUM(Z126:AE126)</f>
        <v/>
      </c>
      <c r="R126" s="14">
        <f>IF(ISNUMBER(J126),J126,IF(ISNUMBER(K126),-K126,""))</f>
        <v/>
      </c>
      <c r="S126">
        <f>IF(ISNUMBER(K126),K126,IF(ISNUMBER(J126),-J126,""))</f>
        <v/>
      </c>
      <c r="T126" s="14">
        <f>IF(ISNUMBER(R126),IF(ISNUMBER(R122),IF(R126&gt;R122,1.0,IF(R126=R122,0.5,0.0)),""),"")</f>
        <v/>
      </c>
      <c r="U126">
        <f>IF(ISNUMBER(R126),IF(ISNUMBER(R123),IF(R126&gt;R123,1.0,IF(R126=R123,0.5,0.0)),""),"")</f>
        <v/>
      </c>
      <c r="V126">
        <f>IF(ISNUMBER(R126),IF(ISNUMBER(R124),IF(R126&gt;R124,1.0,IF(R126=R124,0.5,0.0)),""),"")</f>
        <v/>
      </c>
      <c r="W126">
        <f>IF(ISNUMBER(R126),IF(ISNUMBER(R125),IF(R126&gt;R125,1.0,IF(R126=R125,0.5,0.0)),""),"")</f>
        <v/>
      </c>
      <c r="X126">
        <f>IF(ISNUMBER(R126),IF(ISNUMBER(R127),IF(R126&gt;R127,1.0,IF(R126=R127,0.5,0.0)),""),"")</f>
        <v/>
      </c>
      <c r="Y126">
        <f>IF(ISNUMBER(R126),IF(ISNUMBER(R128),IF(R126&gt;R128,1.0,IF(R126=R128,0.5,0.0)),""),"")</f>
        <v/>
      </c>
      <c r="Z126">
        <f>IF(ISNUMBER(S126),IF(ISNUMBER(S122),IF(S126&gt;S122,1.0,IF(S126=S122,0.5,0.0)),""),"")</f>
        <v/>
      </c>
      <c r="AA126">
        <f>IF(ISNUMBER(S126),IF(ISNUMBER(S123),IF(S126&gt;S123,1.0,IF(S126=S123,0.5,0.0)),""),"")</f>
        <v/>
      </c>
      <c r="AB126">
        <f>IF(ISNUMBER(S126),IF(ISNUMBER(S124),IF(S126&gt;S124,1.0,IF(S126=S124,0.5,0.0)),""),"")</f>
        <v/>
      </c>
      <c r="AC126">
        <f>IF(ISNUMBER(S126),IF(ISNUMBER(S125),IF(S126&gt;S125,1.0,IF(S126=S125,0.5,0.0)),""),"")</f>
        <v/>
      </c>
      <c r="AD126">
        <f>IF(ISNUMBER(S126),IF(ISNUMBER(S127),IF(S126&gt;S127,1.0,IF(S126=S127,0.5,0.0)),""),"")</f>
        <v/>
      </c>
      <c r="AE126">
        <f>IF(ISNUMBER(S126),IF(ISNUMBER(S128),IF(S126&gt;S128,1.0,IF(S126=S128,0.5,0.0)),""),"")</f>
        <v/>
      </c>
      <c r="AF126" s="14">
        <f>IF(AND(ISNUMBER(R126),ISNUMBER(R122)),VLOOKUP(ABS(R126-R122),'IMP Table'!$A$2:$C$26,3)*SIGN(R126-R122),0)</f>
        <v/>
      </c>
      <c r="AG126">
        <f>IF(AND(ISNUMBER(R126),ISNUMBER(R123)),VLOOKUP(ABS(R126-R123),'IMP Table'!$A$2:$C$26,3)*SIGN(R126-R123),0)</f>
        <v/>
      </c>
      <c r="AH126">
        <f>IF(AND(ISNUMBER(R126),ISNUMBER(R124)),VLOOKUP(ABS(R126-R124),'IMP Table'!$A$2:$C$26,3)*SIGN(R126-R124),0)</f>
        <v/>
      </c>
      <c r="AI126">
        <f>IF(AND(ISNUMBER(R126),ISNUMBER(R125)),VLOOKUP(ABS(R126-R125),'IMP Table'!$A$2:$C$26,3)*SIGN(R126-R125),0)</f>
        <v/>
      </c>
      <c r="AJ126">
        <f>IF(AND(ISNUMBER(R126),ISNUMBER(R127)),VLOOKUP(ABS(R126-R127),'IMP Table'!$A$2:$C$26,3)*SIGN(R126-R127),0)</f>
        <v/>
      </c>
      <c r="AK126">
        <f>IF(AND(ISNUMBER(R126),ISNUMBER(R128)),VLOOKUP(ABS(R126-R128),'IMP Table'!$A$2:$C$26,3)*SIGN(R126-R128),0)</f>
        <v/>
      </c>
      <c r="AL126">
        <f>IF(AND(ISNUMBER(S126),ISNUMBER(S122)),VLOOKUP(ABS(S126-S122),'IMP Table'!$A$2:$C$26,3)*SIGN(S126-S122),0)</f>
        <v/>
      </c>
      <c r="AM126">
        <f>IF(AND(ISNUMBER(S126),ISNUMBER(S123)),VLOOKUP(ABS(S126-S123),'IMP Table'!$A$2:$C$26,3)*SIGN(S126-S123),0)</f>
        <v/>
      </c>
      <c r="AN126">
        <f>IF(AND(ISNUMBER(S126),ISNUMBER(S124)),VLOOKUP(ABS(S126-S124),'IMP Table'!$A$2:$C$26,3)*SIGN(S126-S124),0)</f>
        <v/>
      </c>
      <c r="AO126">
        <f>IF(AND(ISNUMBER(S126),ISNUMBER(S125)),VLOOKUP(ABS(S126-S125),'IMP Table'!$A$2:$C$26,3)*SIGN(S126-S125),0)</f>
        <v/>
      </c>
      <c r="AP126">
        <f>IF(AND(ISNUMBER(S126),ISNUMBER(S127)),VLOOKUP(ABS(S126-S127),'IMP Table'!$A$2:$C$26,3)*SIGN(S126-S127),0)</f>
        <v/>
      </c>
      <c r="AQ126">
        <f>IF(AND(ISNUMBER(S126),ISNUMBER(S128)),VLOOKUP(ABS(S126-S128),'IMP Table'!$A$2:$C$26,3)*SIGN(S126-S128),0)</f>
        <v/>
      </c>
    </row>
    <row r="127">
      <c r="B127">
        <f>'By Round'!A157</f>
        <v/>
      </c>
      <c r="C127">
        <f>'By Round'!B167</f>
        <v/>
      </c>
      <c r="D127">
        <f>'By Round'!C167</f>
        <v/>
      </c>
      <c r="E127">
        <f>'By Round'!D167</f>
        <v/>
      </c>
      <c r="F127" s="11" t="inlineStr">
        <is>
          <t>NS</t>
        </is>
      </c>
      <c r="G127">
        <f>IF(ISBLANK('By Round'!G167),"",'By Round'!G167)</f>
        <v/>
      </c>
      <c r="H127">
        <f>IF(ISBLANK('By Round'!H167),"",'By Round'!H167)</f>
        <v/>
      </c>
      <c r="I127">
        <f>IF(ISBLANK('By Round'!I167),"",'By Round'!I167)</f>
        <v/>
      </c>
      <c r="J127">
        <f>IF(ISBLANK('By Round'!J167),"",'By Round'!J167)</f>
        <v/>
      </c>
      <c r="K127">
        <f>IF(ISBLANK('By Round'!K167),"",'By Round'!K167)</f>
        <v/>
      </c>
      <c r="L127" s="12">
        <f>SUM(AF127:AK127)</f>
        <v/>
      </c>
      <c r="M127" s="13">
        <f>SUM(AL127:AQ127)</f>
        <v/>
      </c>
      <c r="N127" s="8">
        <f>IF(COUNT(T127:Y127)&gt;0,P127/COUNT(T127:Y127),0.5)</f>
        <v/>
      </c>
      <c r="O127" s="8">
        <f>IF(COUNT(Z127:AE127)&gt;0,Q127/COUNT(Z127:AE127),0.5)</f>
        <v/>
      </c>
      <c r="P127" s="5">
        <f>SUM(T127:Y127)</f>
        <v/>
      </c>
      <c r="Q127" s="5">
        <f>SUM(Z127:AE127)</f>
        <v/>
      </c>
      <c r="R127" s="14">
        <f>IF(ISNUMBER(J127),J127,IF(ISNUMBER(K127),-K127,""))</f>
        <v/>
      </c>
      <c r="S127">
        <f>IF(ISNUMBER(K127),K127,IF(ISNUMBER(J127),-J127,""))</f>
        <v/>
      </c>
      <c r="T127" s="14">
        <f>IF(ISNUMBER(R127),IF(ISNUMBER(R122),IF(R127&gt;R122,1.0,IF(R127=R122,0.5,0.0)),""),"")</f>
        <v/>
      </c>
      <c r="U127">
        <f>IF(ISNUMBER(R127),IF(ISNUMBER(R123),IF(R127&gt;R123,1.0,IF(R127=R123,0.5,0.0)),""),"")</f>
        <v/>
      </c>
      <c r="V127">
        <f>IF(ISNUMBER(R127),IF(ISNUMBER(R124),IF(R127&gt;R124,1.0,IF(R127=R124,0.5,0.0)),""),"")</f>
        <v/>
      </c>
      <c r="W127">
        <f>IF(ISNUMBER(R127),IF(ISNUMBER(R125),IF(R127&gt;R125,1.0,IF(R127=R125,0.5,0.0)),""),"")</f>
        <v/>
      </c>
      <c r="X127">
        <f>IF(ISNUMBER(R127),IF(ISNUMBER(R126),IF(R127&gt;R126,1.0,IF(R127=R126,0.5,0.0)),""),"")</f>
        <v/>
      </c>
      <c r="Y127">
        <f>IF(ISNUMBER(R127),IF(ISNUMBER(R128),IF(R127&gt;R128,1.0,IF(R127=R128,0.5,0.0)),""),"")</f>
        <v/>
      </c>
      <c r="Z127">
        <f>IF(ISNUMBER(S127),IF(ISNUMBER(S122),IF(S127&gt;S122,1.0,IF(S127=S122,0.5,0.0)),""),"")</f>
        <v/>
      </c>
      <c r="AA127">
        <f>IF(ISNUMBER(S127),IF(ISNUMBER(S123),IF(S127&gt;S123,1.0,IF(S127=S123,0.5,0.0)),""),"")</f>
        <v/>
      </c>
      <c r="AB127">
        <f>IF(ISNUMBER(S127),IF(ISNUMBER(S124),IF(S127&gt;S124,1.0,IF(S127=S124,0.5,0.0)),""),"")</f>
        <v/>
      </c>
      <c r="AC127">
        <f>IF(ISNUMBER(S127),IF(ISNUMBER(S125),IF(S127&gt;S125,1.0,IF(S127=S125,0.5,0.0)),""),"")</f>
        <v/>
      </c>
      <c r="AD127">
        <f>IF(ISNUMBER(S127),IF(ISNUMBER(S126),IF(S127&gt;S126,1.0,IF(S127=S126,0.5,0.0)),""),"")</f>
        <v/>
      </c>
      <c r="AE127">
        <f>IF(ISNUMBER(S127),IF(ISNUMBER(S128),IF(S127&gt;S128,1.0,IF(S127=S128,0.5,0.0)),""),"")</f>
        <v/>
      </c>
      <c r="AF127" s="14">
        <f>IF(AND(ISNUMBER(R127),ISNUMBER(R122)),VLOOKUP(ABS(R127-R122),'IMP Table'!$A$2:$C$26,3)*SIGN(R127-R122),0)</f>
        <v/>
      </c>
      <c r="AG127">
        <f>IF(AND(ISNUMBER(R127),ISNUMBER(R123)),VLOOKUP(ABS(R127-R123),'IMP Table'!$A$2:$C$26,3)*SIGN(R127-R123),0)</f>
        <v/>
      </c>
      <c r="AH127">
        <f>IF(AND(ISNUMBER(R127),ISNUMBER(R124)),VLOOKUP(ABS(R127-R124),'IMP Table'!$A$2:$C$26,3)*SIGN(R127-R124),0)</f>
        <v/>
      </c>
      <c r="AI127">
        <f>IF(AND(ISNUMBER(R127),ISNUMBER(R125)),VLOOKUP(ABS(R127-R125),'IMP Table'!$A$2:$C$26,3)*SIGN(R127-R125),0)</f>
        <v/>
      </c>
      <c r="AJ127">
        <f>IF(AND(ISNUMBER(R127),ISNUMBER(R126)),VLOOKUP(ABS(R127-R126),'IMP Table'!$A$2:$C$26,3)*SIGN(R127-R126),0)</f>
        <v/>
      </c>
      <c r="AK127">
        <f>IF(AND(ISNUMBER(R127),ISNUMBER(R128)),VLOOKUP(ABS(R127-R128),'IMP Table'!$A$2:$C$26,3)*SIGN(R127-R128),0)</f>
        <v/>
      </c>
      <c r="AL127">
        <f>IF(AND(ISNUMBER(S127),ISNUMBER(S122)),VLOOKUP(ABS(S127-S122),'IMP Table'!$A$2:$C$26,3)*SIGN(S127-S122),0)</f>
        <v/>
      </c>
      <c r="AM127">
        <f>IF(AND(ISNUMBER(S127),ISNUMBER(S123)),VLOOKUP(ABS(S127-S123),'IMP Table'!$A$2:$C$26,3)*SIGN(S127-S123),0)</f>
        <v/>
      </c>
      <c r="AN127">
        <f>IF(AND(ISNUMBER(S127),ISNUMBER(S124)),VLOOKUP(ABS(S127-S124),'IMP Table'!$A$2:$C$26,3)*SIGN(S127-S124),0)</f>
        <v/>
      </c>
      <c r="AO127">
        <f>IF(AND(ISNUMBER(S127),ISNUMBER(S125)),VLOOKUP(ABS(S127-S125),'IMP Table'!$A$2:$C$26,3)*SIGN(S127-S125),0)</f>
        <v/>
      </c>
      <c r="AP127">
        <f>IF(AND(ISNUMBER(S127),ISNUMBER(S126)),VLOOKUP(ABS(S127-S126),'IMP Table'!$A$2:$C$26,3)*SIGN(S127-S126),0)</f>
        <v/>
      </c>
      <c r="AQ127">
        <f>IF(AND(ISNUMBER(S127),ISNUMBER(S128)),VLOOKUP(ABS(S127-S128),'IMP Table'!$A$2:$C$26,3)*SIGN(S127-S128),0)</f>
        <v/>
      </c>
    </row>
    <row r="128">
      <c r="A128" s="15" t="n"/>
      <c r="B128" s="15">
        <f>'By Round'!A171</f>
        <v/>
      </c>
      <c r="C128" s="15">
        <f>'By Round'!B179</f>
        <v/>
      </c>
      <c r="D128" s="15">
        <f>'By Round'!C179</f>
        <v/>
      </c>
      <c r="E128" s="15">
        <f>'By Round'!D179</f>
        <v/>
      </c>
      <c r="F128" s="16" t="inlineStr">
        <is>
          <t>NS</t>
        </is>
      </c>
      <c r="G128" s="15">
        <f>IF(ISBLANK('By Round'!G179),"",'By Round'!G179)</f>
        <v/>
      </c>
      <c r="H128" s="15">
        <f>IF(ISBLANK('By Round'!H179),"",'By Round'!H179)</f>
        <v/>
      </c>
      <c r="I128" s="15">
        <f>IF(ISBLANK('By Round'!I179),"",'By Round'!I179)</f>
        <v/>
      </c>
      <c r="J128" s="15">
        <f>IF(ISBLANK('By Round'!J179),"",'By Round'!J179)</f>
        <v/>
      </c>
      <c r="K128" s="15">
        <f>IF(ISBLANK('By Round'!K179),"",'By Round'!K179)</f>
        <v/>
      </c>
      <c r="L128" s="17">
        <f>SUM(AF128:AK128)</f>
        <v/>
      </c>
      <c r="M128" s="18">
        <f>SUM(AL128:AQ128)</f>
        <v/>
      </c>
      <c r="N128" s="19">
        <f>IF(COUNT(T128:Y128)&gt;0,P128/COUNT(T128:Y128),0.5)</f>
        <v/>
      </c>
      <c r="O128" s="19">
        <f>IF(COUNT(Z128:AE128)&gt;0,Q128/COUNT(Z128:AE128),0.5)</f>
        <v/>
      </c>
      <c r="P128" s="20">
        <f>SUM(T128:Y128)</f>
        <v/>
      </c>
      <c r="Q128" s="20">
        <f>SUM(Z128:AE128)</f>
        <v/>
      </c>
      <c r="R128" s="21">
        <f>IF(ISNUMBER(J128),J128,IF(ISNUMBER(K128),-K128,""))</f>
        <v/>
      </c>
      <c r="S128" s="15">
        <f>IF(ISNUMBER(K128),K128,IF(ISNUMBER(J128),-J128,""))</f>
        <v/>
      </c>
      <c r="T128" s="21">
        <f>IF(ISNUMBER(R128),IF(ISNUMBER(R122),IF(R128&gt;R122,1.0,IF(R128=R122,0.5,0.0)),""),"")</f>
        <v/>
      </c>
      <c r="U128" s="15">
        <f>IF(ISNUMBER(R128),IF(ISNUMBER(R123),IF(R128&gt;R123,1.0,IF(R128=R123,0.5,0.0)),""),"")</f>
        <v/>
      </c>
      <c r="V128" s="15">
        <f>IF(ISNUMBER(R128),IF(ISNUMBER(R124),IF(R128&gt;R124,1.0,IF(R128=R124,0.5,0.0)),""),"")</f>
        <v/>
      </c>
      <c r="W128" s="15">
        <f>IF(ISNUMBER(R128),IF(ISNUMBER(R125),IF(R128&gt;R125,1.0,IF(R128=R125,0.5,0.0)),""),"")</f>
        <v/>
      </c>
      <c r="X128" s="15">
        <f>IF(ISNUMBER(R128),IF(ISNUMBER(R126),IF(R128&gt;R126,1.0,IF(R128=R126,0.5,0.0)),""),"")</f>
        <v/>
      </c>
      <c r="Y128" s="15">
        <f>IF(ISNUMBER(R128),IF(ISNUMBER(R127),IF(R128&gt;R127,1.0,IF(R128=R127,0.5,0.0)),""),"")</f>
        <v/>
      </c>
      <c r="Z128" s="15">
        <f>IF(ISNUMBER(S128),IF(ISNUMBER(S122),IF(S128&gt;S122,1.0,IF(S128=S122,0.5,0.0)),""),"")</f>
        <v/>
      </c>
      <c r="AA128" s="15">
        <f>IF(ISNUMBER(S128),IF(ISNUMBER(S123),IF(S128&gt;S123,1.0,IF(S128=S123,0.5,0.0)),""),"")</f>
        <v/>
      </c>
      <c r="AB128" s="15">
        <f>IF(ISNUMBER(S128),IF(ISNUMBER(S124),IF(S128&gt;S124,1.0,IF(S128=S124,0.5,0.0)),""),"")</f>
        <v/>
      </c>
      <c r="AC128" s="15">
        <f>IF(ISNUMBER(S128),IF(ISNUMBER(S125),IF(S128&gt;S125,1.0,IF(S128=S125,0.5,0.0)),""),"")</f>
        <v/>
      </c>
      <c r="AD128" s="15">
        <f>IF(ISNUMBER(S128),IF(ISNUMBER(S126),IF(S128&gt;S126,1.0,IF(S128=S126,0.5,0.0)),""),"")</f>
        <v/>
      </c>
      <c r="AE128" s="15">
        <f>IF(ISNUMBER(S128),IF(ISNUMBER(S127),IF(S128&gt;S127,1.0,IF(S128=S127,0.5,0.0)),""),"")</f>
        <v/>
      </c>
      <c r="AF128" s="21">
        <f>IF(AND(ISNUMBER(R128),ISNUMBER(R122)),VLOOKUP(ABS(R128-R122),'IMP Table'!$A$2:$C$26,3)*SIGN(R128-R122),0)</f>
        <v/>
      </c>
      <c r="AG128" s="15">
        <f>IF(AND(ISNUMBER(R128),ISNUMBER(R123)),VLOOKUP(ABS(R128-R123),'IMP Table'!$A$2:$C$26,3)*SIGN(R128-R123),0)</f>
        <v/>
      </c>
      <c r="AH128" s="15">
        <f>IF(AND(ISNUMBER(R128),ISNUMBER(R124)),VLOOKUP(ABS(R128-R124),'IMP Table'!$A$2:$C$26,3)*SIGN(R128-R124),0)</f>
        <v/>
      </c>
      <c r="AI128" s="15">
        <f>IF(AND(ISNUMBER(R128),ISNUMBER(R125)),VLOOKUP(ABS(R128-R125),'IMP Table'!$A$2:$C$26,3)*SIGN(R128-R125),0)</f>
        <v/>
      </c>
      <c r="AJ128" s="15">
        <f>IF(AND(ISNUMBER(R128),ISNUMBER(R126)),VLOOKUP(ABS(R128-R126),'IMP Table'!$A$2:$C$26,3)*SIGN(R128-R126),0)</f>
        <v/>
      </c>
      <c r="AK128" s="15">
        <f>IF(AND(ISNUMBER(R128),ISNUMBER(R127)),VLOOKUP(ABS(R128-R127),'IMP Table'!$A$2:$C$26,3)*SIGN(R128-R127),0)</f>
        <v/>
      </c>
      <c r="AL128" s="15">
        <f>IF(AND(ISNUMBER(S128),ISNUMBER(S122)),VLOOKUP(ABS(S128-S122),'IMP Table'!$A$2:$C$26,3)*SIGN(S128-S122),0)</f>
        <v/>
      </c>
      <c r="AM128" s="15">
        <f>IF(AND(ISNUMBER(S128),ISNUMBER(S123)),VLOOKUP(ABS(S128-S123),'IMP Table'!$A$2:$C$26,3)*SIGN(S128-S123),0)</f>
        <v/>
      </c>
      <c r="AN128" s="15">
        <f>IF(AND(ISNUMBER(S128),ISNUMBER(S124)),VLOOKUP(ABS(S128-S124),'IMP Table'!$A$2:$C$26,3)*SIGN(S128-S124),0)</f>
        <v/>
      </c>
      <c r="AO128" s="15">
        <f>IF(AND(ISNUMBER(S128),ISNUMBER(S125)),VLOOKUP(ABS(S128-S125),'IMP Table'!$A$2:$C$26,3)*SIGN(S128-S125),0)</f>
        <v/>
      </c>
      <c r="AP128" s="15">
        <f>IF(AND(ISNUMBER(S128),ISNUMBER(S126)),VLOOKUP(ABS(S128-S126),'IMP Table'!$A$2:$C$26,3)*SIGN(S128-S126),0)</f>
        <v/>
      </c>
      <c r="AQ128" s="15">
        <f>IF(AND(ISNUMBER(S128),ISNUMBER(S127)),VLOOKUP(ABS(S128-S127),'IMP Table'!$A$2:$C$26,3)*SIGN(S128-S127),0)</f>
        <v/>
      </c>
    </row>
    <row r="129">
      <c r="A129" t="n">
        <v>19</v>
      </c>
      <c r="B129">
        <f>'By Round'!A3</f>
        <v/>
      </c>
      <c r="C129">
        <f>'By Round'!B11</f>
        <v/>
      </c>
      <c r="D129">
        <f>'By Round'!C11</f>
        <v/>
      </c>
      <c r="E129">
        <f>'By Round'!D11</f>
        <v/>
      </c>
      <c r="F129" s="11" t="inlineStr">
        <is>
          <t>EW</t>
        </is>
      </c>
      <c r="G129">
        <f>IF(ISBLANK('By Round'!G11),"",'By Round'!G11)</f>
        <v/>
      </c>
      <c r="H129">
        <f>IF(ISBLANK('By Round'!H11),"",'By Round'!H11)</f>
        <v/>
      </c>
      <c r="I129">
        <f>IF(ISBLANK('By Round'!I11),"",'By Round'!I11)</f>
        <v/>
      </c>
      <c r="J129">
        <f>IF(ISBLANK('By Round'!J11),"",'By Round'!J11)</f>
        <v/>
      </c>
      <c r="K129">
        <f>IF(ISBLANK('By Round'!K11),"",'By Round'!K11)</f>
        <v/>
      </c>
      <c r="L129" s="12">
        <f>SUM(AF129:AK129)</f>
        <v/>
      </c>
      <c r="M129" s="13">
        <f>SUM(AL129:AQ129)</f>
        <v/>
      </c>
      <c r="N129" s="8">
        <f>IF(COUNT(T129:Y129)&gt;0,P129/COUNT(T129:Y129),0.5)</f>
        <v/>
      </c>
      <c r="O129" s="8">
        <f>IF(COUNT(Z129:AE129)&gt;0,Q129/COUNT(Z129:AE129),0.5)</f>
        <v/>
      </c>
      <c r="P129" s="5">
        <f>SUM(T129:Y129)</f>
        <v/>
      </c>
      <c r="Q129" s="5">
        <f>SUM(Z129:AE129)</f>
        <v/>
      </c>
      <c r="R129" s="14">
        <f>IF(ISNUMBER(J129),J129,IF(ISNUMBER(K129),-K129,""))</f>
        <v/>
      </c>
      <c r="S129">
        <f>IF(ISNUMBER(K129),K129,IF(ISNUMBER(J129),-J129,""))</f>
        <v/>
      </c>
      <c r="T129" s="14">
        <f>IF(ISNUMBER(R129),IF(ISNUMBER(R130),IF(R129&gt;R130,1.0,IF(R129=R130,0.5,0.0)),""),"")</f>
        <v/>
      </c>
      <c r="U129">
        <f>IF(ISNUMBER(R129),IF(ISNUMBER(R131),IF(R129&gt;R131,1.0,IF(R129=R131,0.5,0.0)),""),"")</f>
        <v/>
      </c>
      <c r="V129">
        <f>IF(ISNUMBER(R129),IF(ISNUMBER(R132),IF(R129&gt;R132,1.0,IF(R129=R132,0.5,0.0)),""),"")</f>
        <v/>
      </c>
      <c r="W129">
        <f>IF(ISNUMBER(R129),IF(ISNUMBER(R133),IF(R129&gt;R133,1.0,IF(R129=R133,0.5,0.0)),""),"")</f>
        <v/>
      </c>
      <c r="X129">
        <f>IF(ISNUMBER(R129),IF(ISNUMBER(R134),IF(R129&gt;R134,1.0,IF(R129=R134,0.5,0.0)),""),"")</f>
        <v/>
      </c>
      <c r="Y129">
        <f>IF(ISNUMBER(R129),IF(ISNUMBER(R135),IF(R129&gt;R135,1.0,IF(R129=R135,0.5,0.0)),""),"")</f>
        <v/>
      </c>
      <c r="Z129">
        <f>IF(ISNUMBER(S129),IF(ISNUMBER(S130),IF(S129&gt;S130,1.0,IF(S129=S130,0.5,0.0)),""),"")</f>
        <v/>
      </c>
      <c r="AA129">
        <f>IF(ISNUMBER(S129),IF(ISNUMBER(S131),IF(S129&gt;S131,1.0,IF(S129=S131,0.5,0.0)),""),"")</f>
        <v/>
      </c>
      <c r="AB129">
        <f>IF(ISNUMBER(S129),IF(ISNUMBER(S132),IF(S129&gt;S132,1.0,IF(S129=S132,0.5,0.0)),""),"")</f>
        <v/>
      </c>
      <c r="AC129">
        <f>IF(ISNUMBER(S129),IF(ISNUMBER(S133),IF(S129&gt;S133,1.0,IF(S129=S133,0.5,0.0)),""),"")</f>
        <v/>
      </c>
      <c r="AD129">
        <f>IF(ISNUMBER(S129),IF(ISNUMBER(S134),IF(S129&gt;S134,1.0,IF(S129=S134,0.5,0.0)),""),"")</f>
        <v/>
      </c>
      <c r="AE129">
        <f>IF(ISNUMBER(S129),IF(ISNUMBER(S135),IF(S129&gt;S135,1.0,IF(S129=S135,0.5,0.0)),""),"")</f>
        <v/>
      </c>
      <c r="AF129" s="14">
        <f>IF(AND(ISNUMBER(R129),ISNUMBER(R130)),VLOOKUP(ABS(R129-R130),'IMP Table'!$A$2:$C$26,3)*SIGN(R129-R130),0)</f>
        <v/>
      </c>
      <c r="AG129">
        <f>IF(AND(ISNUMBER(R129),ISNUMBER(R131)),VLOOKUP(ABS(R129-R131),'IMP Table'!$A$2:$C$26,3)*SIGN(R129-R131),0)</f>
        <v/>
      </c>
      <c r="AH129">
        <f>IF(AND(ISNUMBER(R129),ISNUMBER(R132)),VLOOKUP(ABS(R129-R132),'IMP Table'!$A$2:$C$26,3)*SIGN(R129-R132),0)</f>
        <v/>
      </c>
      <c r="AI129">
        <f>IF(AND(ISNUMBER(R129),ISNUMBER(R133)),VLOOKUP(ABS(R129-R133),'IMP Table'!$A$2:$C$26,3)*SIGN(R129-R133),0)</f>
        <v/>
      </c>
      <c r="AJ129">
        <f>IF(AND(ISNUMBER(R129),ISNUMBER(R134)),VLOOKUP(ABS(R129-R134),'IMP Table'!$A$2:$C$26,3)*SIGN(R129-R134),0)</f>
        <v/>
      </c>
      <c r="AK129">
        <f>IF(AND(ISNUMBER(R129),ISNUMBER(R135)),VLOOKUP(ABS(R129-R135),'IMP Table'!$A$2:$C$26,3)*SIGN(R129-R135),0)</f>
        <v/>
      </c>
      <c r="AL129">
        <f>IF(AND(ISNUMBER(S129),ISNUMBER(S130)),VLOOKUP(ABS(S129-S130),'IMP Table'!$A$2:$C$26,3)*SIGN(S129-S130),0)</f>
        <v/>
      </c>
      <c r="AM129">
        <f>IF(AND(ISNUMBER(S129),ISNUMBER(S131)),VLOOKUP(ABS(S129-S131),'IMP Table'!$A$2:$C$26,3)*SIGN(S129-S131),0)</f>
        <v/>
      </c>
      <c r="AN129">
        <f>IF(AND(ISNUMBER(S129),ISNUMBER(S132)),VLOOKUP(ABS(S129-S132),'IMP Table'!$A$2:$C$26,3)*SIGN(S129-S132),0)</f>
        <v/>
      </c>
      <c r="AO129">
        <f>IF(AND(ISNUMBER(S129),ISNUMBER(S133)),VLOOKUP(ABS(S129-S133),'IMP Table'!$A$2:$C$26,3)*SIGN(S129-S133),0)</f>
        <v/>
      </c>
      <c r="AP129">
        <f>IF(AND(ISNUMBER(S129),ISNUMBER(S134)),VLOOKUP(ABS(S129-S134),'IMP Table'!$A$2:$C$26,3)*SIGN(S129-S134),0)</f>
        <v/>
      </c>
      <c r="AQ129">
        <f>IF(AND(ISNUMBER(S129),ISNUMBER(S135)),VLOOKUP(ABS(S129-S135),'IMP Table'!$A$2:$C$26,3)*SIGN(S129-S135),0)</f>
        <v/>
      </c>
    </row>
    <row r="130">
      <c r="B130">
        <f>'By Round'!A73</f>
        <v/>
      </c>
      <c r="C130">
        <f>'By Round'!B79</f>
        <v/>
      </c>
      <c r="D130">
        <f>'By Round'!C79</f>
        <v/>
      </c>
      <c r="E130">
        <f>'By Round'!D79</f>
        <v/>
      </c>
      <c r="F130" s="11" t="inlineStr">
        <is>
          <t>EW</t>
        </is>
      </c>
      <c r="G130">
        <f>IF(ISBLANK('By Round'!G79),"",'By Round'!G79)</f>
        <v/>
      </c>
      <c r="H130">
        <f>IF(ISBLANK('By Round'!H79),"",'By Round'!H79)</f>
        <v/>
      </c>
      <c r="I130">
        <f>IF(ISBLANK('By Round'!I79),"",'By Round'!I79)</f>
        <v/>
      </c>
      <c r="J130">
        <f>IF(ISBLANK('By Round'!J79),"",'By Round'!J79)</f>
        <v/>
      </c>
      <c r="K130">
        <f>IF(ISBLANK('By Round'!K79),"",'By Round'!K79)</f>
        <v/>
      </c>
      <c r="L130" s="12">
        <f>SUM(AF130:AK130)</f>
        <v/>
      </c>
      <c r="M130" s="13">
        <f>SUM(AL130:AQ130)</f>
        <v/>
      </c>
      <c r="N130" s="8">
        <f>IF(COUNT(T130:Y130)&gt;0,P130/COUNT(T130:Y130),0.5)</f>
        <v/>
      </c>
      <c r="O130" s="8">
        <f>IF(COUNT(Z130:AE130)&gt;0,Q130/COUNT(Z130:AE130),0.5)</f>
        <v/>
      </c>
      <c r="P130" s="5">
        <f>SUM(T130:Y130)</f>
        <v/>
      </c>
      <c r="Q130" s="5">
        <f>SUM(Z130:AE130)</f>
        <v/>
      </c>
      <c r="R130" s="14">
        <f>IF(ISNUMBER(J130),J130,IF(ISNUMBER(K130),-K130,""))</f>
        <v/>
      </c>
      <c r="S130">
        <f>IF(ISNUMBER(K130),K130,IF(ISNUMBER(J130),-J130,""))</f>
        <v/>
      </c>
      <c r="T130" s="14">
        <f>IF(ISNUMBER(R130),IF(ISNUMBER(R129),IF(R130&gt;R129,1.0,IF(R130=R129,0.5,0.0)),""),"")</f>
        <v/>
      </c>
      <c r="U130">
        <f>IF(ISNUMBER(R130),IF(ISNUMBER(R131),IF(R130&gt;R131,1.0,IF(R130=R131,0.5,0.0)),""),"")</f>
        <v/>
      </c>
      <c r="V130">
        <f>IF(ISNUMBER(R130),IF(ISNUMBER(R132),IF(R130&gt;R132,1.0,IF(R130=R132,0.5,0.0)),""),"")</f>
        <v/>
      </c>
      <c r="W130">
        <f>IF(ISNUMBER(R130),IF(ISNUMBER(R133),IF(R130&gt;R133,1.0,IF(R130=R133,0.5,0.0)),""),"")</f>
        <v/>
      </c>
      <c r="X130">
        <f>IF(ISNUMBER(R130),IF(ISNUMBER(R134),IF(R130&gt;R134,1.0,IF(R130=R134,0.5,0.0)),""),"")</f>
        <v/>
      </c>
      <c r="Y130">
        <f>IF(ISNUMBER(R130),IF(ISNUMBER(R135),IF(R130&gt;R135,1.0,IF(R130=R135,0.5,0.0)),""),"")</f>
        <v/>
      </c>
      <c r="Z130">
        <f>IF(ISNUMBER(S130),IF(ISNUMBER(S129),IF(S130&gt;S129,1.0,IF(S130=S129,0.5,0.0)),""),"")</f>
        <v/>
      </c>
      <c r="AA130">
        <f>IF(ISNUMBER(S130),IF(ISNUMBER(S131),IF(S130&gt;S131,1.0,IF(S130=S131,0.5,0.0)),""),"")</f>
        <v/>
      </c>
      <c r="AB130">
        <f>IF(ISNUMBER(S130),IF(ISNUMBER(S132),IF(S130&gt;S132,1.0,IF(S130=S132,0.5,0.0)),""),"")</f>
        <v/>
      </c>
      <c r="AC130">
        <f>IF(ISNUMBER(S130),IF(ISNUMBER(S133),IF(S130&gt;S133,1.0,IF(S130=S133,0.5,0.0)),""),"")</f>
        <v/>
      </c>
      <c r="AD130">
        <f>IF(ISNUMBER(S130),IF(ISNUMBER(S134),IF(S130&gt;S134,1.0,IF(S130=S134,0.5,0.0)),""),"")</f>
        <v/>
      </c>
      <c r="AE130">
        <f>IF(ISNUMBER(S130),IF(ISNUMBER(S135),IF(S130&gt;S135,1.0,IF(S130=S135,0.5,0.0)),""),"")</f>
        <v/>
      </c>
      <c r="AF130" s="14">
        <f>IF(AND(ISNUMBER(R130),ISNUMBER(R129)),VLOOKUP(ABS(R130-R129),'IMP Table'!$A$2:$C$26,3)*SIGN(R130-R129),0)</f>
        <v/>
      </c>
      <c r="AG130">
        <f>IF(AND(ISNUMBER(R130),ISNUMBER(R131)),VLOOKUP(ABS(R130-R131),'IMP Table'!$A$2:$C$26,3)*SIGN(R130-R131),0)</f>
        <v/>
      </c>
      <c r="AH130">
        <f>IF(AND(ISNUMBER(R130),ISNUMBER(R132)),VLOOKUP(ABS(R130-R132),'IMP Table'!$A$2:$C$26,3)*SIGN(R130-R132),0)</f>
        <v/>
      </c>
      <c r="AI130">
        <f>IF(AND(ISNUMBER(R130),ISNUMBER(R133)),VLOOKUP(ABS(R130-R133),'IMP Table'!$A$2:$C$26,3)*SIGN(R130-R133),0)</f>
        <v/>
      </c>
      <c r="AJ130">
        <f>IF(AND(ISNUMBER(R130),ISNUMBER(R134)),VLOOKUP(ABS(R130-R134),'IMP Table'!$A$2:$C$26,3)*SIGN(R130-R134),0)</f>
        <v/>
      </c>
      <c r="AK130">
        <f>IF(AND(ISNUMBER(R130),ISNUMBER(R135)),VLOOKUP(ABS(R130-R135),'IMP Table'!$A$2:$C$26,3)*SIGN(R130-R135),0)</f>
        <v/>
      </c>
      <c r="AL130">
        <f>IF(AND(ISNUMBER(S130),ISNUMBER(S129)),VLOOKUP(ABS(S130-S129),'IMP Table'!$A$2:$C$26,3)*SIGN(S130-S129),0)</f>
        <v/>
      </c>
      <c r="AM130">
        <f>IF(AND(ISNUMBER(S130),ISNUMBER(S131)),VLOOKUP(ABS(S130-S131),'IMP Table'!$A$2:$C$26,3)*SIGN(S130-S131),0)</f>
        <v/>
      </c>
      <c r="AN130">
        <f>IF(AND(ISNUMBER(S130),ISNUMBER(S132)),VLOOKUP(ABS(S130-S132),'IMP Table'!$A$2:$C$26,3)*SIGN(S130-S132),0)</f>
        <v/>
      </c>
      <c r="AO130">
        <f>IF(AND(ISNUMBER(S130),ISNUMBER(S133)),VLOOKUP(ABS(S130-S133),'IMP Table'!$A$2:$C$26,3)*SIGN(S130-S133),0)</f>
        <v/>
      </c>
      <c r="AP130">
        <f>IF(AND(ISNUMBER(S130),ISNUMBER(S134)),VLOOKUP(ABS(S130-S134),'IMP Table'!$A$2:$C$26,3)*SIGN(S130-S134),0)</f>
        <v/>
      </c>
      <c r="AQ130">
        <f>IF(AND(ISNUMBER(S130),ISNUMBER(S135)),VLOOKUP(ABS(S130-S135),'IMP Table'!$A$2:$C$26,3)*SIGN(S130-S135),0)</f>
        <v/>
      </c>
    </row>
    <row r="131">
      <c r="B131">
        <f>'By Round'!A87</f>
        <v/>
      </c>
      <c r="C131">
        <f>'By Round'!B91</f>
        <v/>
      </c>
      <c r="D131">
        <f>'By Round'!C91</f>
        <v/>
      </c>
      <c r="E131">
        <f>'By Round'!D91</f>
        <v/>
      </c>
      <c r="F131" s="11" t="inlineStr">
        <is>
          <t>EW</t>
        </is>
      </c>
      <c r="G131">
        <f>IF(ISBLANK('By Round'!G91),"",'By Round'!G91)</f>
        <v/>
      </c>
      <c r="H131">
        <f>IF(ISBLANK('By Round'!H91),"",'By Round'!H91)</f>
        <v/>
      </c>
      <c r="I131">
        <f>IF(ISBLANK('By Round'!I91),"",'By Round'!I91)</f>
        <v/>
      </c>
      <c r="J131">
        <f>IF(ISBLANK('By Round'!J91),"",'By Round'!J91)</f>
        <v/>
      </c>
      <c r="K131">
        <f>IF(ISBLANK('By Round'!K91),"",'By Round'!K91)</f>
        <v/>
      </c>
      <c r="L131" s="12">
        <f>SUM(AF131:AK131)</f>
        <v/>
      </c>
      <c r="M131" s="13">
        <f>SUM(AL131:AQ131)</f>
        <v/>
      </c>
      <c r="N131" s="8">
        <f>IF(COUNT(T131:Y131)&gt;0,P131/COUNT(T131:Y131),0.5)</f>
        <v/>
      </c>
      <c r="O131" s="8">
        <f>IF(COUNT(Z131:AE131)&gt;0,Q131/COUNT(Z131:AE131),0.5)</f>
        <v/>
      </c>
      <c r="P131" s="5">
        <f>SUM(T131:Y131)</f>
        <v/>
      </c>
      <c r="Q131" s="5">
        <f>SUM(Z131:AE131)</f>
        <v/>
      </c>
      <c r="R131" s="14">
        <f>IF(ISNUMBER(J131),J131,IF(ISNUMBER(K131),-K131,""))</f>
        <v/>
      </c>
      <c r="S131">
        <f>IF(ISNUMBER(K131),K131,IF(ISNUMBER(J131),-J131,""))</f>
        <v/>
      </c>
      <c r="T131" s="14">
        <f>IF(ISNUMBER(R131),IF(ISNUMBER(R129),IF(R131&gt;R129,1.0,IF(R131=R129,0.5,0.0)),""),"")</f>
        <v/>
      </c>
      <c r="U131">
        <f>IF(ISNUMBER(R131),IF(ISNUMBER(R130),IF(R131&gt;R130,1.0,IF(R131=R130,0.5,0.0)),""),"")</f>
        <v/>
      </c>
      <c r="V131">
        <f>IF(ISNUMBER(R131),IF(ISNUMBER(R132),IF(R131&gt;R132,1.0,IF(R131=R132,0.5,0.0)),""),"")</f>
        <v/>
      </c>
      <c r="W131">
        <f>IF(ISNUMBER(R131),IF(ISNUMBER(R133),IF(R131&gt;R133,1.0,IF(R131=R133,0.5,0.0)),""),"")</f>
        <v/>
      </c>
      <c r="X131">
        <f>IF(ISNUMBER(R131),IF(ISNUMBER(R134),IF(R131&gt;R134,1.0,IF(R131=R134,0.5,0.0)),""),"")</f>
        <v/>
      </c>
      <c r="Y131">
        <f>IF(ISNUMBER(R131),IF(ISNUMBER(R135),IF(R131&gt;R135,1.0,IF(R131=R135,0.5,0.0)),""),"")</f>
        <v/>
      </c>
      <c r="Z131">
        <f>IF(ISNUMBER(S131),IF(ISNUMBER(S129),IF(S131&gt;S129,1.0,IF(S131=S129,0.5,0.0)),""),"")</f>
        <v/>
      </c>
      <c r="AA131">
        <f>IF(ISNUMBER(S131),IF(ISNUMBER(S130),IF(S131&gt;S130,1.0,IF(S131=S130,0.5,0.0)),""),"")</f>
        <v/>
      </c>
      <c r="AB131">
        <f>IF(ISNUMBER(S131),IF(ISNUMBER(S132),IF(S131&gt;S132,1.0,IF(S131=S132,0.5,0.0)),""),"")</f>
        <v/>
      </c>
      <c r="AC131">
        <f>IF(ISNUMBER(S131),IF(ISNUMBER(S133),IF(S131&gt;S133,1.0,IF(S131=S133,0.5,0.0)),""),"")</f>
        <v/>
      </c>
      <c r="AD131">
        <f>IF(ISNUMBER(S131),IF(ISNUMBER(S134),IF(S131&gt;S134,1.0,IF(S131=S134,0.5,0.0)),""),"")</f>
        <v/>
      </c>
      <c r="AE131">
        <f>IF(ISNUMBER(S131),IF(ISNUMBER(S135),IF(S131&gt;S135,1.0,IF(S131=S135,0.5,0.0)),""),"")</f>
        <v/>
      </c>
      <c r="AF131" s="14">
        <f>IF(AND(ISNUMBER(R131),ISNUMBER(R129)),VLOOKUP(ABS(R131-R129),'IMP Table'!$A$2:$C$26,3)*SIGN(R131-R129),0)</f>
        <v/>
      </c>
      <c r="AG131">
        <f>IF(AND(ISNUMBER(R131),ISNUMBER(R130)),VLOOKUP(ABS(R131-R130),'IMP Table'!$A$2:$C$26,3)*SIGN(R131-R130),0)</f>
        <v/>
      </c>
      <c r="AH131">
        <f>IF(AND(ISNUMBER(R131),ISNUMBER(R132)),VLOOKUP(ABS(R131-R132),'IMP Table'!$A$2:$C$26,3)*SIGN(R131-R132),0)</f>
        <v/>
      </c>
      <c r="AI131">
        <f>IF(AND(ISNUMBER(R131),ISNUMBER(R133)),VLOOKUP(ABS(R131-R133),'IMP Table'!$A$2:$C$26,3)*SIGN(R131-R133),0)</f>
        <v/>
      </c>
      <c r="AJ131">
        <f>IF(AND(ISNUMBER(R131),ISNUMBER(R134)),VLOOKUP(ABS(R131-R134),'IMP Table'!$A$2:$C$26,3)*SIGN(R131-R134),0)</f>
        <v/>
      </c>
      <c r="AK131">
        <f>IF(AND(ISNUMBER(R131),ISNUMBER(R135)),VLOOKUP(ABS(R131-R135),'IMP Table'!$A$2:$C$26,3)*SIGN(R131-R135),0)</f>
        <v/>
      </c>
      <c r="AL131">
        <f>IF(AND(ISNUMBER(S131),ISNUMBER(S129)),VLOOKUP(ABS(S131-S129),'IMP Table'!$A$2:$C$26,3)*SIGN(S131-S129),0)</f>
        <v/>
      </c>
      <c r="AM131">
        <f>IF(AND(ISNUMBER(S131),ISNUMBER(S130)),VLOOKUP(ABS(S131-S130),'IMP Table'!$A$2:$C$26,3)*SIGN(S131-S130),0)</f>
        <v/>
      </c>
      <c r="AN131">
        <f>IF(AND(ISNUMBER(S131),ISNUMBER(S132)),VLOOKUP(ABS(S131-S132),'IMP Table'!$A$2:$C$26,3)*SIGN(S131-S132),0)</f>
        <v/>
      </c>
      <c r="AO131">
        <f>IF(AND(ISNUMBER(S131),ISNUMBER(S133)),VLOOKUP(ABS(S131-S133),'IMP Table'!$A$2:$C$26,3)*SIGN(S131-S133),0)</f>
        <v/>
      </c>
      <c r="AP131">
        <f>IF(AND(ISNUMBER(S131),ISNUMBER(S134)),VLOOKUP(ABS(S131-S134),'IMP Table'!$A$2:$C$26,3)*SIGN(S131-S134),0)</f>
        <v/>
      </c>
      <c r="AQ131">
        <f>IF(AND(ISNUMBER(S131),ISNUMBER(S135)),VLOOKUP(ABS(S131-S135),'IMP Table'!$A$2:$C$26,3)*SIGN(S131-S135),0)</f>
        <v/>
      </c>
    </row>
    <row r="132">
      <c r="B132">
        <f>'By Round'!A101</f>
        <v/>
      </c>
      <c r="C132">
        <f>'By Round'!B103</f>
        <v/>
      </c>
      <c r="D132">
        <f>'By Round'!C103</f>
        <v/>
      </c>
      <c r="E132">
        <f>'By Round'!D103</f>
        <v/>
      </c>
      <c r="F132" s="11" t="inlineStr">
        <is>
          <t>EW</t>
        </is>
      </c>
      <c r="G132">
        <f>IF(ISBLANK('By Round'!G103),"",'By Round'!G103)</f>
        <v/>
      </c>
      <c r="H132">
        <f>IF(ISBLANK('By Round'!H103),"",'By Round'!H103)</f>
        <v/>
      </c>
      <c r="I132">
        <f>IF(ISBLANK('By Round'!I103),"",'By Round'!I103)</f>
        <v/>
      </c>
      <c r="J132">
        <f>IF(ISBLANK('By Round'!J103),"",'By Round'!J103)</f>
        <v/>
      </c>
      <c r="K132">
        <f>IF(ISBLANK('By Round'!K103),"",'By Round'!K103)</f>
        <v/>
      </c>
      <c r="L132" s="12">
        <f>SUM(AF132:AK132)</f>
        <v/>
      </c>
      <c r="M132" s="13">
        <f>SUM(AL132:AQ132)</f>
        <v/>
      </c>
      <c r="N132" s="8">
        <f>IF(COUNT(T132:Y132)&gt;0,P132/COUNT(T132:Y132),0.5)</f>
        <v/>
      </c>
      <c r="O132" s="8">
        <f>IF(COUNT(Z132:AE132)&gt;0,Q132/COUNT(Z132:AE132),0.5)</f>
        <v/>
      </c>
      <c r="P132" s="5">
        <f>SUM(T132:Y132)</f>
        <v/>
      </c>
      <c r="Q132" s="5">
        <f>SUM(Z132:AE132)</f>
        <v/>
      </c>
      <c r="R132" s="14">
        <f>IF(ISNUMBER(J132),J132,IF(ISNUMBER(K132),-K132,""))</f>
        <v/>
      </c>
      <c r="S132">
        <f>IF(ISNUMBER(K132),K132,IF(ISNUMBER(J132),-J132,""))</f>
        <v/>
      </c>
      <c r="T132" s="14">
        <f>IF(ISNUMBER(R132),IF(ISNUMBER(R129),IF(R132&gt;R129,1.0,IF(R132=R129,0.5,0.0)),""),"")</f>
        <v/>
      </c>
      <c r="U132">
        <f>IF(ISNUMBER(R132),IF(ISNUMBER(R130),IF(R132&gt;R130,1.0,IF(R132=R130,0.5,0.0)),""),"")</f>
        <v/>
      </c>
      <c r="V132">
        <f>IF(ISNUMBER(R132),IF(ISNUMBER(R131),IF(R132&gt;R131,1.0,IF(R132=R131,0.5,0.0)),""),"")</f>
        <v/>
      </c>
      <c r="W132">
        <f>IF(ISNUMBER(R132),IF(ISNUMBER(R133),IF(R132&gt;R133,1.0,IF(R132=R133,0.5,0.0)),""),"")</f>
        <v/>
      </c>
      <c r="X132">
        <f>IF(ISNUMBER(R132),IF(ISNUMBER(R134),IF(R132&gt;R134,1.0,IF(R132=R134,0.5,0.0)),""),"")</f>
        <v/>
      </c>
      <c r="Y132">
        <f>IF(ISNUMBER(R132),IF(ISNUMBER(R135),IF(R132&gt;R135,1.0,IF(R132=R135,0.5,0.0)),""),"")</f>
        <v/>
      </c>
      <c r="Z132">
        <f>IF(ISNUMBER(S132),IF(ISNUMBER(S129),IF(S132&gt;S129,1.0,IF(S132=S129,0.5,0.0)),""),"")</f>
        <v/>
      </c>
      <c r="AA132">
        <f>IF(ISNUMBER(S132),IF(ISNUMBER(S130),IF(S132&gt;S130,1.0,IF(S132=S130,0.5,0.0)),""),"")</f>
        <v/>
      </c>
      <c r="AB132">
        <f>IF(ISNUMBER(S132),IF(ISNUMBER(S131),IF(S132&gt;S131,1.0,IF(S132=S131,0.5,0.0)),""),"")</f>
        <v/>
      </c>
      <c r="AC132">
        <f>IF(ISNUMBER(S132),IF(ISNUMBER(S133),IF(S132&gt;S133,1.0,IF(S132=S133,0.5,0.0)),""),"")</f>
        <v/>
      </c>
      <c r="AD132">
        <f>IF(ISNUMBER(S132),IF(ISNUMBER(S134),IF(S132&gt;S134,1.0,IF(S132=S134,0.5,0.0)),""),"")</f>
        <v/>
      </c>
      <c r="AE132">
        <f>IF(ISNUMBER(S132),IF(ISNUMBER(S135),IF(S132&gt;S135,1.0,IF(S132=S135,0.5,0.0)),""),"")</f>
        <v/>
      </c>
      <c r="AF132" s="14">
        <f>IF(AND(ISNUMBER(R132),ISNUMBER(R129)),VLOOKUP(ABS(R132-R129),'IMP Table'!$A$2:$C$26,3)*SIGN(R132-R129),0)</f>
        <v/>
      </c>
      <c r="AG132">
        <f>IF(AND(ISNUMBER(R132),ISNUMBER(R130)),VLOOKUP(ABS(R132-R130),'IMP Table'!$A$2:$C$26,3)*SIGN(R132-R130),0)</f>
        <v/>
      </c>
      <c r="AH132">
        <f>IF(AND(ISNUMBER(R132),ISNUMBER(R131)),VLOOKUP(ABS(R132-R131),'IMP Table'!$A$2:$C$26,3)*SIGN(R132-R131),0)</f>
        <v/>
      </c>
      <c r="AI132">
        <f>IF(AND(ISNUMBER(R132),ISNUMBER(R133)),VLOOKUP(ABS(R132-R133),'IMP Table'!$A$2:$C$26,3)*SIGN(R132-R133),0)</f>
        <v/>
      </c>
      <c r="AJ132">
        <f>IF(AND(ISNUMBER(R132),ISNUMBER(R134)),VLOOKUP(ABS(R132-R134),'IMP Table'!$A$2:$C$26,3)*SIGN(R132-R134),0)</f>
        <v/>
      </c>
      <c r="AK132">
        <f>IF(AND(ISNUMBER(R132),ISNUMBER(R135)),VLOOKUP(ABS(R132-R135),'IMP Table'!$A$2:$C$26,3)*SIGN(R132-R135),0)</f>
        <v/>
      </c>
      <c r="AL132">
        <f>IF(AND(ISNUMBER(S132),ISNUMBER(S129)),VLOOKUP(ABS(S132-S129),'IMP Table'!$A$2:$C$26,3)*SIGN(S132-S129),0)</f>
        <v/>
      </c>
      <c r="AM132">
        <f>IF(AND(ISNUMBER(S132),ISNUMBER(S130)),VLOOKUP(ABS(S132-S130),'IMP Table'!$A$2:$C$26,3)*SIGN(S132-S130),0)</f>
        <v/>
      </c>
      <c r="AN132">
        <f>IF(AND(ISNUMBER(S132),ISNUMBER(S131)),VLOOKUP(ABS(S132-S131),'IMP Table'!$A$2:$C$26,3)*SIGN(S132-S131),0)</f>
        <v/>
      </c>
      <c r="AO132">
        <f>IF(AND(ISNUMBER(S132),ISNUMBER(S133)),VLOOKUP(ABS(S132-S133),'IMP Table'!$A$2:$C$26,3)*SIGN(S132-S133),0)</f>
        <v/>
      </c>
      <c r="AP132">
        <f>IF(AND(ISNUMBER(S132),ISNUMBER(S134)),VLOOKUP(ABS(S132-S134),'IMP Table'!$A$2:$C$26,3)*SIGN(S132-S134),0)</f>
        <v/>
      </c>
      <c r="AQ132">
        <f>IF(AND(ISNUMBER(S132),ISNUMBER(S135)),VLOOKUP(ABS(S132-S135),'IMP Table'!$A$2:$C$26,3)*SIGN(S132-S135),0)</f>
        <v/>
      </c>
    </row>
    <row r="133">
      <c r="B133">
        <f>'By Round'!A129</f>
        <v/>
      </c>
      <c r="C133">
        <f>'By Round'!B129</f>
        <v/>
      </c>
      <c r="D133">
        <f>'By Round'!C129</f>
        <v/>
      </c>
      <c r="E133">
        <f>'By Round'!D129</f>
        <v/>
      </c>
      <c r="F133" s="11" t="inlineStr">
        <is>
          <t>EW</t>
        </is>
      </c>
      <c r="G133">
        <f>IF(ISBLANK('By Round'!G129),"",'By Round'!G129)</f>
        <v/>
      </c>
      <c r="H133">
        <f>IF(ISBLANK('By Round'!H129),"",'By Round'!H129)</f>
        <v/>
      </c>
      <c r="I133">
        <f>IF(ISBLANK('By Round'!I129),"",'By Round'!I129)</f>
        <v/>
      </c>
      <c r="J133">
        <f>IF(ISBLANK('By Round'!J129),"",'By Round'!J129)</f>
        <v/>
      </c>
      <c r="K133">
        <f>IF(ISBLANK('By Round'!K129),"",'By Round'!K129)</f>
        <v/>
      </c>
      <c r="L133" s="12">
        <f>SUM(AF133:AK133)</f>
        <v/>
      </c>
      <c r="M133" s="13">
        <f>SUM(AL133:AQ133)</f>
        <v/>
      </c>
      <c r="N133" s="8">
        <f>IF(COUNT(T133:Y133)&gt;0,P133/COUNT(T133:Y133),0.5)</f>
        <v/>
      </c>
      <c r="O133" s="8">
        <f>IF(COUNT(Z133:AE133)&gt;0,Q133/COUNT(Z133:AE133),0.5)</f>
        <v/>
      </c>
      <c r="P133" s="5">
        <f>SUM(T133:Y133)</f>
        <v/>
      </c>
      <c r="Q133" s="5">
        <f>SUM(Z133:AE133)</f>
        <v/>
      </c>
      <c r="R133" s="14">
        <f>IF(ISNUMBER(J133),J133,IF(ISNUMBER(K133),-K133,""))</f>
        <v/>
      </c>
      <c r="S133">
        <f>IF(ISNUMBER(K133),K133,IF(ISNUMBER(J133),-J133,""))</f>
        <v/>
      </c>
      <c r="T133" s="14">
        <f>IF(ISNUMBER(R133),IF(ISNUMBER(R129),IF(R133&gt;R129,1.0,IF(R133=R129,0.5,0.0)),""),"")</f>
        <v/>
      </c>
      <c r="U133">
        <f>IF(ISNUMBER(R133),IF(ISNUMBER(R130),IF(R133&gt;R130,1.0,IF(R133=R130,0.5,0.0)),""),"")</f>
        <v/>
      </c>
      <c r="V133">
        <f>IF(ISNUMBER(R133),IF(ISNUMBER(R131),IF(R133&gt;R131,1.0,IF(R133=R131,0.5,0.0)),""),"")</f>
        <v/>
      </c>
      <c r="W133">
        <f>IF(ISNUMBER(R133),IF(ISNUMBER(R132),IF(R133&gt;R132,1.0,IF(R133=R132,0.5,0.0)),""),"")</f>
        <v/>
      </c>
      <c r="X133">
        <f>IF(ISNUMBER(R133),IF(ISNUMBER(R134),IF(R133&gt;R134,1.0,IF(R133=R134,0.5,0.0)),""),"")</f>
        <v/>
      </c>
      <c r="Y133">
        <f>IF(ISNUMBER(R133),IF(ISNUMBER(R135),IF(R133&gt;R135,1.0,IF(R133=R135,0.5,0.0)),""),"")</f>
        <v/>
      </c>
      <c r="Z133">
        <f>IF(ISNUMBER(S133),IF(ISNUMBER(S129),IF(S133&gt;S129,1.0,IF(S133=S129,0.5,0.0)),""),"")</f>
        <v/>
      </c>
      <c r="AA133">
        <f>IF(ISNUMBER(S133),IF(ISNUMBER(S130),IF(S133&gt;S130,1.0,IF(S133=S130,0.5,0.0)),""),"")</f>
        <v/>
      </c>
      <c r="AB133">
        <f>IF(ISNUMBER(S133),IF(ISNUMBER(S131),IF(S133&gt;S131,1.0,IF(S133=S131,0.5,0.0)),""),"")</f>
        <v/>
      </c>
      <c r="AC133">
        <f>IF(ISNUMBER(S133),IF(ISNUMBER(S132),IF(S133&gt;S132,1.0,IF(S133=S132,0.5,0.0)),""),"")</f>
        <v/>
      </c>
      <c r="AD133">
        <f>IF(ISNUMBER(S133),IF(ISNUMBER(S134),IF(S133&gt;S134,1.0,IF(S133=S134,0.5,0.0)),""),"")</f>
        <v/>
      </c>
      <c r="AE133">
        <f>IF(ISNUMBER(S133),IF(ISNUMBER(S135),IF(S133&gt;S135,1.0,IF(S133=S135,0.5,0.0)),""),"")</f>
        <v/>
      </c>
      <c r="AF133" s="14">
        <f>IF(AND(ISNUMBER(R133),ISNUMBER(R129)),VLOOKUP(ABS(R133-R129),'IMP Table'!$A$2:$C$26,3)*SIGN(R133-R129),0)</f>
        <v/>
      </c>
      <c r="AG133">
        <f>IF(AND(ISNUMBER(R133),ISNUMBER(R130)),VLOOKUP(ABS(R133-R130),'IMP Table'!$A$2:$C$26,3)*SIGN(R133-R130),0)</f>
        <v/>
      </c>
      <c r="AH133">
        <f>IF(AND(ISNUMBER(R133),ISNUMBER(R131)),VLOOKUP(ABS(R133-R131),'IMP Table'!$A$2:$C$26,3)*SIGN(R133-R131),0)</f>
        <v/>
      </c>
      <c r="AI133">
        <f>IF(AND(ISNUMBER(R133),ISNUMBER(R132)),VLOOKUP(ABS(R133-R132),'IMP Table'!$A$2:$C$26,3)*SIGN(R133-R132),0)</f>
        <v/>
      </c>
      <c r="AJ133">
        <f>IF(AND(ISNUMBER(R133),ISNUMBER(R134)),VLOOKUP(ABS(R133-R134),'IMP Table'!$A$2:$C$26,3)*SIGN(R133-R134),0)</f>
        <v/>
      </c>
      <c r="AK133">
        <f>IF(AND(ISNUMBER(R133),ISNUMBER(R135)),VLOOKUP(ABS(R133-R135),'IMP Table'!$A$2:$C$26,3)*SIGN(R133-R135),0)</f>
        <v/>
      </c>
      <c r="AL133">
        <f>IF(AND(ISNUMBER(S133),ISNUMBER(S129)),VLOOKUP(ABS(S133-S129),'IMP Table'!$A$2:$C$26,3)*SIGN(S133-S129),0)</f>
        <v/>
      </c>
      <c r="AM133">
        <f>IF(AND(ISNUMBER(S133),ISNUMBER(S130)),VLOOKUP(ABS(S133-S130),'IMP Table'!$A$2:$C$26,3)*SIGN(S133-S130),0)</f>
        <v/>
      </c>
      <c r="AN133">
        <f>IF(AND(ISNUMBER(S133),ISNUMBER(S131)),VLOOKUP(ABS(S133-S131),'IMP Table'!$A$2:$C$26,3)*SIGN(S133-S131),0)</f>
        <v/>
      </c>
      <c r="AO133">
        <f>IF(AND(ISNUMBER(S133),ISNUMBER(S132)),VLOOKUP(ABS(S133-S132),'IMP Table'!$A$2:$C$26,3)*SIGN(S133-S132),0)</f>
        <v/>
      </c>
      <c r="AP133">
        <f>IF(AND(ISNUMBER(S133),ISNUMBER(S134)),VLOOKUP(ABS(S133-S134),'IMP Table'!$A$2:$C$26,3)*SIGN(S133-S134),0)</f>
        <v/>
      </c>
      <c r="AQ133">
        <f>IF(AND(ISNUMBER(S133),ISNUMBER(S135)),VLOOKUP(ABS(S133-S135),'IMP Table'!$A$2:$C$26,3)*SIGN(S133-S135),0)</f>
        <v/>
      </c>
    </row>
    <row r="134">
      <c r="B134">
        <f>'By Round'!A157</f>
        <v/>
      </c>
      <c r="C134">
        <f>'By Round'!B169</f>
        <v/>
      </c>
      <c r="D134">
        <f>'By Round'!C169</f>
        <v/>
      </c>
      <c r="E134">
        <f>'By Round'!D169</f>
        <v/>
      </c>
      <c r="F134" s="11" t="inlineStr">
        <is>
          <t>EW</t>
        </is>
      </c>
      <c r="G134">
        <f>IF(ISBLANK('By Round'!G169),"",'By Round'!G169)</f>
        <v/>
      </c>
      <c r="H134">
        <f>IF(ISBLANK('By Round'!H169),"",'By Round'!H169)</f>
        <v/>
      </c>
      <c r="I134">
        <f>IF(ISBLANK('By Round'!I169),"",'By Round'!I169)</f>
        <v/>
      </c>
      <c r="J134">
        <f>IF(ISBLANK('By Round'!J169),"",'By Round'!J169)</f>
        <v/>
      </c>
      <c r="K134">
        <f>IF(ISBLANK('By Round'!K169),"",'By Round'!K169)</f>
        <v/>
      </c>
      <c r="L134" s="12">
        <f>SUM(AF134:AK134)</f>
        <v/>
      </c>
      <c r="M134" s="13">
        <f>SUM(AL134:AQ134)</f>
        <v/>
      </c>
      <c r="N134" s="8">
        <f>IF(COUNT(T134:Y134)&gt;0,P134/COUNT(T134:Y134),0.5)</f>
        <v/>
      </c>
      <c r="O134" s="8">
        <f>IF(COUNT(Z134:AE134)&gt;0,Q134/COUNT(Z134:AE134),0.5)</f>
        <v/>
      </c>
      <c r="P134" s="5">
        <f>SUM(T134:Y134)</f>
        <v/>
      </c>
      <c r="Q134" s="5">
        <f>SUM(Z134:AE134)</f>
        <v/>
      </c>
      <c r="R134" s="14">
        <f>IF(ISNUMBER(J134),J134,IF(ISNUMBER(K134),-K134,""))</f>
        <v/>
      </c>
      <c r="S134">
        <f>IF(ISNUMBER(K134),K134,IF(ISNUMBER(J134),-J134,""))</f>
        <v/>
      </c>
      <c r="T134" s="14">
        <f>IF(ISNUMBER(R134),IF(ISNUMBER(R129),IF(R134&gt;R129,1.0,IF(R134=R129,0.5,0.0)),""),"")</f>
        <v/>
      </c>
      <c r="U134">
        <f>IF(ISNUMBER(R134),IF(ISNUMBER(R130),IF(R134&gt;R130,1.0,IF(R134=R130,0.5,0.0)),""),"")</f>
        <v/>
      </c>
      <c r="V134">
        <f>IF(ISNUMBER(R134),IF(ISNUMBER(R131),IF(R134&gt;R131,1.0,IF(R134=R131,0.5,0.0)),""),"")</f>
        <v/>
      </c>
      <c r="W134">
        <f>IF(ISNUMBER(R134),IF(ISNUMBER(R132),IF(R134&gt;R132,1.0,IF(R134=R132,0.5,0.0)),""),"")</f>
        <v/>
      </c>
      <c r="X134">
        <f>IF(ISNUMBER(R134),IF(ISNUMBER(R133),IF(R134&gt;R133,1.0,IF(R134=R133,0.5,0.0)),""),"")</f>
        <v/>
      </c>
      <c r="Y134">
        <f>IF(ISNUMBER(R134),IF(ISNUMBER(R135),IF(R134&gt;R135,1.0,IF(R134=R135,0.5,0.0)),""),"")</f>
        <v/>
      </c>
      <c r="Z134">
        <f>IF(ISNUMBER(S134),IF(ISNUMBER(S129),IF(S134&gt;S129,1.0,IF(S134=S129,0.5,0.0)),""),"")</f>
        <v/>
      </c>
      <c r="AA134">
        <f>IF(ISNUMBER(S134),IF(ISNUMBER(S130),IF(S134&gt;S130,1.0,IF(S134=S130,0.5,0.0)),""),"")</f>
        <v/>
      </c>
      <c r="AB134">
        <f>IF(ISNUMBER(S134),IF(ISNUMBER(S131),IF(S134&gt;S131,1.0,IF(S134=S131,0.5,0.0)),""),"")</f>
        <v/>
      </c>
      <c r="AC134">
        <f>IF(ISNUMBER(S134),IF(ISNUMBER(S132),IF(S134&gt;S132,1.0,IF(S134=S132,0.5,0.0)),""),"")</f>
        <v/>
      </c>
      <c r="AD134">
        <f>IF(ISNUMBER(S134),IF(ISNUMBER(S133),IF(S134&gt;S133,1.0,IF(S134=S133,0.5,0.0)),""),"")</f>
        <v/>
      </c>
      <c r="AE134">
        <f>IF(ISNUMBER(S134),IF(ISNUMBER(S135),IF(S134&gt;S135,1.0,IF(S134=S135,0.5,0.0)),""),"")</f>
        <v/>
      </c>
      <c r="AF134" s="14">
        <f>IF(AND(ISNUMBER(R134),ISNUMBER(R129)),VLOOKUP(ABS(R134-R129),'IMP Table'!$A$2:$C$26,3)*SIGN(R134-R129),0)</f>
        <v/>
      </c>
      <c r="AG134">
        <f>IF(AND(ISNUMBER(R134),ISNUMBER(R130)),VLOOKUP(ABS(R134-R130),'IMP Table'!$A$2:$C$26,3)*SIGN(R134-R130),0)</f>
        <v/>
      </c>
      <c r="AH134">
        <f>IF(AND(ISNUMBER(R134),ISNUMBER(R131)),VLOOKUP(ABS(R134-R131),'IMP Table'!$A$2:$C$26,3)*SIGN(R134-R131),0)</f>
        <v/>
      </c>
      <c r="AI134">
        <f>IF(AND(ISNUMBER(R134),ISNUMBER(R132)),VLOOKUP(ABS(R134-R132),'IMP Table'!$A$2:$C$26,3)*SIGN(R134-R132),0)</f>
        <v/>
      </c>
      <c r="AJ134">
        <f>IF(AND(ISNUMBER(R134),ISNUMBER(R133)),VLOOKUP(ABS(R134-R133),'IMP Table'!$A$2:$C$26,3)*SIGN(R134-R133),0)</f>
        <v/>
      </c>
      <c r="AK134">
        <f>IF(AND(ISNUMBER(R134),ISNUMBER(R135)),VLOOKUP(ABS(R134-R135),'IMP Table'!$A$2:$C$26,3)*SIGN(R134-R135),0)</f>
        <v/>
      </c>
      <c r="AL134">
        <f>IF(AND(ISNUMBER(S134),ISNUMBER(S129)),VLOOKUP(ABS(S134-S129),'IMP Table'!$A$2:$C$26,3)*SIGN(S134-S129),0)</f>
        <v/>
      </c>
      <c r="AM134">
        <f>IF(AND(ISNUMBER(S134),ISNUMBER(S130)),VLOOKUP(ABS(S134-S130),'IMP Table'!$A$2:$C$26,3)*SIGN(S134-S130),0)</f>
        <v/>
      </c>
      <c r="AN134">
        <f>IF(AND(ISNUMBER(S134),ISNUMBER(S131)),VLOOKUP(ABS(S134-S131),'IMP Table'!$A$2:$C$26,3)*SIGN(S134-S131),0)</f>
        <v/>
      </c>
      <c r="AO134">
        <f>IF(AND(ISNUMBER(S134),ISNUMBER(S132)),VLOOKUP(ABS(S134-S132),'IMP Table'!$A$2:$C$26,3)*SIGN(S134-S132),0)</f>
        <v/>
      </c>
      <c r="AP134">
        <f>IF(AND(ISNUMBER(S134),ISNUMBER(S133)),VLOOKUP(ABS(S134-S133),'IMP Table'!$A$2:$C$26,3)*SIGN(S134-S133),0)</f>
        <v/>
      </c>
      <c r="AQ134">
        <f>IF(AND(ISNUMBER(S134),ISNUMBER(S135)),VLOOKUP(ABS(S134-S135),'IMP Table'!$A$2:$C$26,3)*SIGN(S134-S135),0)</f>
        <v/>
      </c>
    </row>
    <row r="135">
      <c r="A135" s="15" t="n"/>
      <c r="B135" s="15">
        <f>'By Round'!A171</f>
        <v/>
      </c>
      <c r="C135" s="15">
        <f>'By Round'!B181</f>
        <v/>
      </c>
      <c r="D135" s="15">
        <f>'By Round'!C181</f>
        <v/>
      </c>
      <c r="E135" s="15">
        <f>'By Round'!D181</f>
        <v/>
      </c>
      <c r="F135" s="16" t="inlineStr">
        <is>
          <t>EW</t>
        </is>
      </c>
      <c r="G135" s="15">
        <f>IF(ISBLANK('By Round'!G181),"",'By Round'!G181)</f>
        <v/>
      </c>
      <c r="H135" s="15">
        <f>IF(ISBLANK('By Round'!H181),"",'By Round'!H181)</f>
        <v/>
      </c>
      <c r="I135" s="15">
        <f>IF(ISBLANK('By Round'!I181),"",'By Round'!I181)</f>
        <v/>
      </c>
      <c r="J135" s="15">
        <f>IF(ISBLANK('By Round'!J181),"",'By Round'!J181)</f>
        <v/>
      </c>
      <c r="K135" s="15">
        <f>IF(ISBLANK('By Round'!K181),"",'By Round'!K181)</f>
        <v/>
      </c>
      <c r="L135" s="17">
        <f>SUM(AF135:AK135)</f>
        <v/>
      </c>
      <c r="M135" s="18">
        <f>SUM(AL135:AQ135)</f>
        <v/>
      </c>
      <c r="N135" s="19">
        <f>IF(COUNT(T135:Y135)&gt;0,P135/COUNT(T135:Y135),0.5)</f>
        <v/>
      </c>
      <c r="O135" s="19">
        <f>IF(COUNT(Z135:AE135)&gt;0,Q135/COUNT(Z135:AE135),0.5)</f>
        <v/>
      </c>
      <c r="P135" s="20">
        <f>SUM(T135:Y135)</f>
        <v/>
      </c>
      <c r="Q135" s="20">
        <f>SUM(Z135:AE135)</f>
        <v/>
      </c>
      <c r="R135" s="21">
        <f>IF(ISNUMBER(J135),J135,IF(ISNUMBER(K135),-K135,""))</f>
        <v/>
      </c>
      <c r="S135" s="15">
        <f>IF(ISNUMBER(K135),K135,IF(ISNUMBER(J135),-J135,""))</f>
        <v/>
      </c>
      <c r="T135" s="21">
        <f>IF(ISNUMBER(R135),IF(ISNUMBER(R129),IF(R135&gt;R129,1.0,IF(R135=R129,0.5,0.0)),""),"")</f>
        <v/>
      </c>
      <c r="U135" s="15">
        <f>IF(ISNUMBER(R135),IF(ISNUMBER(R130),IF(R135&gt;R130,1.0,IF(R135=R130,0.5,0.0)),""),"")</f>
        <v/>
      </c>
      <c r="V135" s="15">
        <f>IF(ISNUMBER(R135),IF(ISNUMBER(R131),IF(R135&gt;R131,1.0,IF(R135=R131,0.5,0.0)),""),"")</f>
        <v/>
      </c>
      <c r="W135" s="15">
        <f>IF(ISNUMBER(R135),IF(ISNUMBER(R132),IF(R135&gt;R132,1.0,IF(R135=R132,0.5,0.0)),""),"")</f>
        <v/>
      </c>
      <c r="X135" s="15">
        <f>IF(ISNUMBER(R135),IF(ISNUMBER(R133),IF(R135&gt;R133,1.0,IF(R135=R133,0.5,0.0)),""),"")</f>
        <v/>
      </c>
      <c r="Y135" s="15">
        <f>IF(ISNUMBER(R135),IF(ISNUMBER(R134),IF(R135&gt;R134,1.0,IF(R135=R134,0.5,0.0)),""),"")</f>
        <v/>
      </c>
      <c r="Z135" s="15">
        <f>IF(ISNUMBER(S135),IF(ISNUMBER(S129),IF(S135&gt;S129,1.0,IF(S135=S129,0.5,0.0)),""),"")</f>
        <v/>
      </c>
      <c r="AA135" s="15">
        <f>IF(ISNUMBER(S135),IF(ISNUMBER(S130),IF(S135&gt;S130,1.0,IF(S135=S130,0.5,0.0)),""),"")</f>
        <v/>
      </c>
      <c r="AB135" s="15">
        <f>IF(ISNUMBER(S135),IF(ISNUMBER(S131),IF(S135&gt;S131,1.0,IF(S135=S131,0.5,0.0)),""),"")</f>
        <v/>
      </c>
      <c r="AC135" s="15">
        <f>IF(ISNUMBER(S135),IF(ISNUMBER(S132),IF(S135&gt;S132,1.0,IF(S135=S132,0.5,0.0)),""),"")</f>
        <v/>
      </c>
      <c r="AD135" s="15">
        <f>IF(ISNUMBER(S135),IF(ISNUMBER(S133),IF(S135&gt;S133,1.0,IF(S135=S133,0.5,0.0)),""),"")</f>
        <v/>
      </c>
      <c r="AE135" s="15">
        <f>IF(ISNUMBER(S135),IF(ISNUMBER(S134),IF(S135&gt;S134,1.0,IF(S135=S134,0.5,0.0)),""),"")</f>
        <v/>
      </c>
      <c r="AF135" s="21">
        <f>IF(AND(ISNUMBER(R135),ISNUMBER(R129)),VLOOKUP(ABS(R135-R129),'IMP Table'!$A$2:$C$26,3)*SIGN(R135-R129),0)</f>
        <v/>
      </c>
      <c r="AG135" s="15">
        <f>IF(AND(ISNUMBER(R135),ISNUMBER(R130)),VLOOKUP(ABS(R135-R130),'IMP Table'!$A$2:$C$26,3)*SIGN(R135-R130),0)</f>
        <v/>
      </c>
      <c r="AH135" s="15">
        <f>IF(AND(ISNUMBER(R135),ISNUMBER(R131)),VLOOKUP(ABS(R135-R131),'IMP Table'!$A$2:$C$26,3)*SIGN(R135-R131),0)</f>
        <v/>
      </c>
      <c r="AI135" s="15">
        <f>IF(AND(ISNUMBER(R135),ISNUMBER(R132)),VLOOKUP(ABS(R135-R132),'IMP Table'!$A$2:$C$26,3)*SIGN(R135-R132),0)</f>
        <v/>
      </c>
      <c r="AJ135" s="15">
        <f>IF(AND(ISNUMBER(R135),ISNUMBER(R133)),VLOOKUP(ABS(R135-R133),'IMP Table'!$A$2:$C$26,3)*SIGN(R135-R133),0)</f>
        <v/>
      </c>
      <c r="AK135" s="15">
        <f>IF(AND(ISNUMBER(R135),ISNUMBER(R134)),VLOOKUP(ABS(R135-R134),'IMP Table'!$A$2:$C$26,3)*SIGN(R135-R134),0)</f>
        <v/>
      </c>
      <c r="AL135" s="15">
        <f>IF(AND(ISNUMBER(S135),ISNUMBER(S129)),VLOOKUP(ABS(S135-S129),'IMP Table'!$A$2:$C$26,3)*SIGN(S135-S129),0)</f>
        <v/>
      </c>
      <c r="AM135" s="15">
        <f>IF(AND(ISNUMBER(S135),ISNUMBER(S130)),VLOOKUP(ABS(S135-S130),'IMP Table'!$A$2:$C$26,3)*SIGN(S135-S130),0)</f>
        <v/>
      </c>
      <c r="AN135" s="15">
        <f>IF(AND(ISNUMBER(S135),ISNUMBER(S131)),VLOOKUP(ABS(S135-S131),'IMP Table'!$A$2:$C$26,3)*SIGN(S135-S131),0)</f>
        <v/>
      </c>
      <c r="AO135" s="15">
        <f>IF(AND(ISNUMBER(S135),ISNUMBER(S132)),VLOOKUP(ABS(S135-S132),'IMP Table'!$A$2:$C$26,3)*SIGN(S135-S132),0)</f>
        <v/>
      </c>
      <c r="AP135" s="15">
        <f>IF(AND(ISNUMBER(S135),ISNUMBER(S133)),VLOOKUP(ABS(S135-S133),'IMP Table'!$A$2:$C$26,3)*SIGN(S135-S133),0)</f>
        <v/>
      </c>
      <c r="AQ135" s="15">
        <f>IF(AND(ISNUMBER(S135),ISNUMBER(S134)),VLOOKUP(ABS(S135-S134),'IMP Table'!$A$2:$C$26,3)*SIGN(S135-S134),0)</f>
        <v/>
      </c>
    </row>
    <row r="136">
      <c r="A136" t="n">
        <v>20</v>
      </c>
      <c r="B136">
        <f>'By Round'!A3</f>
        <v/>
      </c>
      <c r="C136">
        <f>'By Round'!B11</f>
        <v/>
      </c>
      <c r="D136">
        <f>'By Round'!C11</f>
        <v/>
      </c>
      <c r="E136">
        <f>'By Round'!D11</f>
        <v/>
      </c>
      <c r="F136" s="11" t="inlineStr">
        <is>
          <t>Both</t>
        </is>
      </c>
      <c r="G136">
        <f>IF(ISBLANK('By Round'!G11),"",'By Round'!G11)</f>
        <v/>
      </c>
      <c r="H136">
        <f>IF(ISBLANK('By Round'!H11),"",'By Round'!H11)</f>
        <v/>
      </c>
      <c r="I136">
        <f>IF(ISBLANK('By Round'!I11),"",'By Round'!I11)</f>
        <v/>
      </c>
      <c r="J136">
        <f>IF(ISBLANK('By Round'!J11),"",'By Round'!J11)</f>
        <v/>
      </c>
      <c r="K136">
        <f>IF(ISBLANK('By Round'!K11),"",'By Round'!K11)</f>
        <v/>
      </c>
      <c r="L136" s="12">
        <f>SUM(AF136:AK136)</f>
        <v/>
      </c>
      <c r="M136" s="13">
        <f>SUM(AL136:AQ136)</f>
        <v/>
      </c>
      <c r="N136" s="8">
        <f>IF(COUNT(T136:Y136)&gt;0,P136/COUNT(T136:Y136),0.5)</f>
        <v/>
      </c>
      <c r="O136" s="8">
        <f>IF(COUNT(Z136:AE136)&gt;0,Q136/COUNT(Z136:AE136),0.5)</f>
        <v/>
      </c>
      <c r="P136" s="5">
        <f>SUM(T136:Y136)</f>
        <v/>
      </c>
      <c r="Q136" s="5">
        <f>SUM(Z136:AE136)</f>
        <v/>
      </c>
      <c r="R136" s="14">
        <f>IF(ISNUMBER(J136),J136,IF(ISNUMBER(K136),-K136,""))</f>
        <v/>
      </c>
      <c r="S136">
        <f>IF(ISNUMBER(K136),K136,IF(ISNUMBER(J136),-J136,""))</f>
        <v/>
      </c>
      <c r="T136" s="14">
        <f>IF(ISNUMBER(R136),IF(ISNUMBER(R137),IF(R136&gt;R137,1.0,IF(R136=R137,0.5,0.0)),""),"")</f>
        <v/>
      </c>
      <c r="U136">
        <f>IF(ISNUMBER(R136),IF(ISNUMBER(R138),IF(R136&gt;R138,1.0,IF(R136=R138,0.5,0.0)),""),"")</f>
        <v/>
      </c>
      <c r="V136">
        <f>IF(ISNUMBER(R136),IF(ISNUMBER(R139),IF(R136&gt;R139,1.0,IF(R136=R139,0.5,0.0)),""),"")</f>
        <v/>
      </c>
      <c r="W136">
        <f>IF(ISNUMBER(R136),IF(ISNUMBER(R140),IF(R136&gt;R140,1.0,IF(R136=R140,0.5,0.0)),""),"")</f>
        <v/>
      </c>
      <c r="X136">
        <f>IF(ISNUMBER(R136),IF(ISNUMBER(R141),IF(R136&gt;R141,1.0,IF(R136=R141,0.5,0.0)),""),"")</f>
        <v/>
      </c>
      <c r="Y136">
        <f>IF(ISNUMBER(R136),IF(ISNUMBER(R142),IF(R136&gt;R142,1.0,IF(R136=R142,0.5,0.0)),""),"")</f>
        <v/>
      </c>
      <c r="Z136">
        <f>IF(ISNUMBER(S136),IF(ISNUMBER(S137),IF(S136&gt;S137,1.0,IF(S136=S137,0.5,0.0)),""),"")</f>
        <v/>
      </c>
      <c r="AA136">
        <f>IF(ISNUMBER(S136),IF(ISNUMBER(S138),IF(S136&gt;S138,1.0,IF(S136=S138,0.5,0.0)),""),"")</f>
        <v/>
      </c>
      <c r="AB136">
        <f>IF(ISNUMBER(S136),IF(ISNUMBER(S139),IF(S136&gt;S139,1.0,IF(S136=S139,0.5,0.0)),""),"")</f>
        <v/>
      </c>
      <c r="AC136">
        <f>IF(ISNUMBER(S136),IF(ISNUMBER(S140),IF(S136&gt;S140,1.0,IF(S136=S140,0.5,0.0)),""),"")</f>
        <v/>
      </c>
      <c r="AD136">
        <f>IF(ISNUMBER(S136),IF(ISNUMBER(S141),IF(S136&gt;S141,1.0,IF(S136=S141,0.5,0.0)),""),"")</f>
        <v/>
      </c>
      <c r="AE136">
        <f>IF(ISNUMBER(S136),IF(ISNUMBER(S142),IF(S136&gt;S142,1.0,IF(S136=S142,0.5,0.0)),""),"")</f>
        <v/>
      </c>
      <c r="AF136" s="14">
        <f>IF(AND(ISNUMBER(R136),ISNUMBER(R137)),VLOOKUP(ABS(R136-R137),'IMP Table'!$A$2:$C$26,3)*SIGN(R136-R137),0)</f>
        <v/>
      </c>
      <c r="AG136">
        <f>IF(AND(ISNUMBER(R136),ISNUMBER(R138)),VLOOKUP(ABS(R136-R138),'IMP Table'!$A$2:$C$26,3)*SIGN(R136-R138),0)</f>
        <v/>
      </c>
      <c r="AH136">
        <f>IF(AND(ISNUMBER(R136),ISNUMBER(R139)),VLOOKUP(ABS(R136-R139),'IMP Table'!$A$2:$C$26,3)*SIGN(R136-R139),0)</f>
        <v/>
      </c>
      <c r="AI136">
        <f>IF(AND(ISNUMBER(R136),ISNUMBER(R140)),VLOOKUP(ABS(R136-R140),'IMP Table'!$A$2:$C$26,3)*SIGN(R136-R140),0)</f>
        <v/>
      </c>
      <c r="AJ136">
        <f>IF(AND(ISNUMBER(R136),ISNUMBER(R141)),VLOOKUP(ABS(R136-R141),'IMP Table'!$A$2:$C$26,3)*SIGN(R136-R141),0)</f>
        <v/>
      </c>
      <c r="AK136">
        <f>IF(AND(ISNUMBER(R136),ISNUMBER(R142)),VLOOKUP(ABS(R136-R142),'IMP Table'!$A$2:$C$26,3)*SIGN(R136-R142),0)</f>
        <v/>
      </c>
      <c r="AL136">
        <f>IF(AND(ISNUMBER(S136),ISNUMBER(S137)),VLOOKUP(ABS(S136-S137),'IMP Table'!$A$2:$C$26,3)*SIGN(S136-S137),0)</f>
        <v/>
      </c>
      <c r="AM136">
        <f>IF(AND(ISNUMBER(S136),ISNUMBER(S138)),VLOOKUP(ABS(S136-S138),'IMP Table'!$A$2:$C$26,3)*SIGN(S136-S138),0)</f>
        <v/>
      </c>
      <c r="AN136">
        <f>IF(AND(ISNUMBER(S136),ISNUMBER(S139)),VLOOKUP(ABS(S136-S139),'IMP Table'!$A$2:$C$26,3)*SIGN(S136-S139),0)</f>
        <v/>
      </c>
      <c r="AO136">
        <f>IF(AND(ISNUMBER(S136),ISNUMBER(S140)),VLOOKUP(ABS(S136-S140),'IMP Table'!$A$2:$C$26,3)*SIGN(S136-S140),0)</f>
        <v/>
      </c>
      <c r="AP136">
        <f>IF(AND(ISNUMBER(S136),ISNUMBER(S141)),VLOOKUP(ABS(S136-S141),'IMP Table'!$A$2:$C$26,3)*SIGN(S136-S141),0)</f>
        <v/>
      </c>
      <c r="AQ136">
        <f>IF(AND(ISNUMBER(S136),ISNUMBER(S142)),VLOOKUP(ABS(S136-S142),'IMP Table'!$A$2:$C$26,3)*SIGN(S136-S142),0)</f>
        <v/>
      </c>
    </row>
    <row r="137">
      <c r="B137">
        <f>'By Round'!A73</f>
        <v/>
      </c>
      <c r="C137">
        <f>'By Round'!B79</f>
        <v/>
      </c>
      <c r="D137">
        <f>'By Round'!C79</f>
        <v/>
      </c>
      <c r="E137">
        <f>'By Round'!D79</f>
        <v/>
      </c>
      <c r="F137" s="11" t="inlineStr">
        <is>
          <t>Both</t>
        </is>
      </c>
      <c r="G137">
        <f>IF(ISBLANK('By Round'!G79),"",'By Round'!G79)</f>
        <v/>
      </c>
      <c r="H137">
        <f>IF(ISBLANK('By Round'!H79),"",'By Round'!H79)</f>
        <v/>
      </c>
      <c r="I137">
        <f>IF(ISBLANK('By Round'!I79),"",'By Round'!I79)</f>
        <v/>
      </c>
      <c r="J137">
        <f>IF(ISBLANK('By Round'!J79),"",'By Round'!J79)</f>
        <v/>
      </c>
      <c r="K137">
        <f>IF(ISBLANK('By Round'!K79),"",'By Round'!K79)</f>
        <v/>
      </c>
      <c r="L137" s="12">
        <f>SUM(AF137:AK137)</f>
        <v/>
      </c>
      <c r="M137" s="13">
        <f>SUM(AL137:AQ137)</f>
        <v/>
      </c>
      <c r="N137" s="8">
        <f>IF(COUNT(T137:Y137)&gt;0,P137/COUNT(T137:Y137),0.5)</f>
        <v/>
      </c>
      <c r="O137" s="8">
        <f>IF(COUNT(Z137:AE137)&gt;0,Q137/COUNT(Z137:AE137),0.5)</f>
        <v/>
      </c>
      <c r="P137" s="5">
        <f>SUM(T137:Y137)</f>
        <v/>
      </c>
      <c r="Q137" s="5">
        <f>SUM(Z137:AE137)</f>
        <v/>
      </c>
      <c r="R137" s="14">
        <f>IF(ISNUMBER(J137),J137,IF(ISNUMBER(K137),-K137,""))</f>
        <v/>
      </c>
      <c r="S137">
        <f>IF(ISNUMBER(K137),K137,IF(ISNUMBER(J137),-J137,""))</f>
        <v/>
      </c>
      <c r="T137" s="14">
        <f>IF(ISNUMBER(R137),IF(ISNUMBER(R136),IF(R137&gt;R136,1.0,IF(R137=R136,0.5,0.0)),""),"")</f>
        <v/>
      </c>
      <c r="U137">
        <f>IF(ISNUMBER(R137),IF(ISNUMBER(R138),IF(R137&gt;R138,1.0,IF(R137=R138,0.5,0.0)),""),"")</f>
        <v/>
      </c>
      <c r="V137">
        <f>IF(ISNUMBER(R137),IF(ISNUMBER(R139),IF(R137&gt;R139,1.0,IF(R137=R139,0.5,0.0)),""),"")</f>
        <v/>
      </c>
      <c r="W137">
        <f>IF(ISNUMBER(R137),IF(ISNUMBER(R140),IF(R137&gt;R140,1.0,IF(R137=R140,0.5,0.0)),""),"")</f>
        <v/>
      </c>
      <c r="X137">
        <f>IF(ISNUMBER(R137),IF(ISNUMBER(R141),IF(R137&gt;R141,1.0,IF(R137=R141,0.5,0.0)),""),"")</f>
        <v/>
      </c>
      <c r="Y137">
        <f>IF(ISNUMBER(R137),IF(ISNUMBER(R142),IF(R137&gt;R142,1.0,IF(R137=R142,0.5,0.0)),""),"")</f>
        <v/>
      </c>
      <c r="Z137">
        <f>IF(ISNUMBER(S137),IF(ISNUMBER(S136),IF(S137&gt;S136,1.0,IF(S137=S136,0.5,0.0)),""),"")</f>
        <v/>
      </c>
      <c r="AA137">
        <f>IF(ISNUMBER(S137),IF(ISNUMBER(S138),IF(S137&gt;S138,1.0,IF(S137=S138,0.5,0.0)),""),"")</f>
        <v/>
      </c>
      <c r="AB137">
        <f>IF(ISNUMBER(S137),IF(ISNUMBER(S139),IF(S137&gt;S139,1.0,IF(S137=S139,0.5,0.0)),""),"")</f>
        <v/>
      </c>
      <c r="AC137">
        <f>IF(ISNUMBER(S137),IF(ISNUMBER(S140),IF(S137&gt;S140,1.0,IF(S137=S140,0.5,0.0)),""),"")</f>
        <v/>
      </c>
      <c r="AD137">
        <f>IF(ISNUMBER(S137),IF(ISNUMBER(S141),IF(S137&gt;S141,1.0,IF(S137=S141,0.5,0.0)),""),"")</f>
        <v/>
      </c>
      <c r="AE137">
        <f>IF(ISNUMBER(S137),IF(ISNUMBER(S142),IF(S137&gt;S142,1.0,IF(S137=S142,0.5,0.0)),""),"")</f>
        <v/>
      </c>
      <c r="AF137" s="14">
        <f>IF(AND(ISNUMBER(R137),ISNUMBER(R136)),VLOOKUP(ABS(R137-R136),'IMP Table'!$A$2:$C$26,3)*SIGN(R137-R136),0)</f>
        <v/>
      </c>
      <c r="AG137">
        <f>IF(AND(ISNUMBER(R137),ISNUMBER(R138)),VLOOKUP(ABS(R137-R138),'IMP Table'!$A$2:$C$26,3)*SIGN(R137-R138),0)</f>
        <v/>
      </c>
      <c r="AH137">
        <f>IF(AND(ISNUMBER(R137),ISNUMBER(R139)),VLOOKUP(ABS(R137-R139),'IMP Table'!$A$2:$C$26,3)*SIGN(R137-R139),0)</f>
        <v/>
      </c>
      <c r="AI137">
        <f>IF(AND(ISNUMBER(R137),ISNUMBER(R140)),VLOOKUP(ABS(R137-R140),'IMP Table'!$A$2:$C$26,3)*SIGN(R137-R140),0)</f>
        <v/>
      </c>
      <c r="AJ137">
        <f>IF(AND(ISNUMBER(R137),ISNUMBER(R141)),VLOOKUP(ABS(R137-R141),'IMP Table'!$A$2:$C$26,3)*SIGN(R137-R141),0)</f>
        <v/>
      </c>
      <c r="AK137">
        <f>IF(AND(ISNUMBER(R137),ISNUMBER(R142)),VLOOKUP(ABS(R137-R142),'IMP Table'!$A$2:$C$26,3)*SIGN(R137-R142),0)</f>
        <v/>
      </c>
      <c r="AL137">
        <f>IF(AND(ISNUMBER(S137),ISNUMBER(S136)),VLOOKUP(ABS(S137-S136),'IMP Table'!$A$2:$C$26,3)*SIGN(S137-S136),0)</f>
        <v/>
      </c>
      <c r="AM137">
        <f>IF(AND(ISNUMBER(S137),ISNUMBER(S138)),VLOOKUP(ABS(S137-S138),'IMP Table'!$A$2:$C$26,3)*SIGN(S137-S138),0)</f>
        <v/>
      </c>
      <c r="AN137">
        <f>IF(AND(ISNUMBER(S137),ISNUMBER(S139)),VLOOKUP(ABS(S137-S139),'IMP Table'!$A$2:$C$26,3)*SIGN(S137-S139),0)</f>
        <v/>
      </c>
      <c r="AO137">
        <f>IF(AND(ISNUMBER(S137),ISNUMBER(S140)),VLOOKUP(ABS(S137-S140),'IMP Table'!$A$2:$C$26,3)*SIGN(S137-S140),0)</f>
        <v/>
      </c>
      <c r="AP137">
        <f>IF(AND(ISNUMBER(S137),ISNUMBER(S141)),VLOOKUP(ABS(S137-S141),'IMP Table'!$A$2:$C$26,3)*SIGN(S137-S141),0)</f>
        <v/>
      </c>
      <c r="AQ137">
        <f>IF(AND(ISNUMBER(S137),ISNUMBER(S142)),VLOOKUP(ABS(S137-S142),'IMP Table'!$A$2:$C$26,3)*SIGN(S137-S142),0)</f>
        <v/>
      </c>
    </row>
    <row r="138">
      <c r="B138">
        <f>'By Round'!A87</f>
        <v/>
      </c>
      <c r="C138">
        <f>'By Round'!B91</f>
        <v/>
      </c>
      <c r="D138">
        <f>'By Round'!C91</f>
        <v/>
      </c>
      <c r="E138">
        <f>'By Round'!D91</f>
        <v/>
      </c>
      <c r="F138" s="11" t="inlineStr">
        <is>
          <t>Both</t>
        </is>
      </c>
      <c r="G138">
        <f>IF(ISBLANK('By Round'!G91),"",'By Round'!G91)</f>
        <v/>
      </c>
      <c r="H138">
        <f>IF(ISBLANK('By Round'!H91),"",'By Round'!H91)</f>
        <v/>
      </c>
      <c r="I138">
        <f>IF(ISBLANK('By Round'!I91),"",'By Round'!I91)</f>
        <v/>
      </c>
      <c r="J138">
        <f>IF(ISBLANK('By Round'!J91),"",'By Round'!J91)</f>
        <v/>
      </c>
      <c r="K138">
        <f>IF(ISBLANK('By Round'!K91),"",'By Round'!K91)</f>
        <v/>
      </c>
      <c r="L138" s="12">
        <f>SUM(AF138:AK138)</f>
        <v/>
      </c>
      <c r="M138" s="13">
        <f>SUM(AL138:AQ138)</f>
        <v/>
      </c>
      <c r="N138" s="8">
        <f>IF(COUNT(T138:Y138)&gt;0,P138/COUNT(T138:Y138),0.5)</f>
        <v/>
      </c>
      <c r="O138" s="8">
        <f>IF(COUNT(Z138:AE138)&gt;0,Q138/COUNT(Z138:AE138),0.5)</f>
        <v/>
      </c>
      <c r="P138" s="5">
        <f>SUM(T138:Y138)</f>
        <v/>
      </c>
      <c r="Q138" s="5">
        <f>SUM(Z138:AE138)</f>
        <v/>
      </c>
      <c r="R138" s="14">
        <f>IF(ISNUMBER(J138),J138,IF(ISNUMBER(K138),-K138,""))</f>
        <v/>
      </c>
      <c r="S138">
        <f>IF(ISNUMBER(K138),K138,IF(ISNUMBER(J138),-J138,""))</f>
        <v/>
      </c>
      <c r="T138" s="14">
        <f>IF(ISNUMBER(R138),IF(ISNUMBER(R136),IF(R138&gt;R136,1.0,IF(R138=R136,0.5,0.0)),""),"")</f>
        <v/>
      </c>
      <c r="U138">
        <f>IF(ISNUMBER(R138),IF(ISNUMBER(R137),IF(R138&gt;R137,1.0,IF(R138=R137,0.5,0.0)),""),"")</f>
        <v/>
      </c>
      <c r="V138">
        <f>IF(ISNUMBER(R138),IF(ISNUMBER(R139),IF(R138&gt;R139,1.0,IF(R138=R139,0.5,0.0)),""),"")</f>
        <v/>
      </c>
      <c r="W138">
        <f>IF(ISNUMBER(R138),IF(ISNUMBER(R140),IF(R138&gt;R140,1.0,IF(R138=R140,0.5,0.0)),""),"")</f>
        <v/>
      </c>
      <c r="X138">
        <f>IF(ISNUMBER(R138),IF(ISNUMBER(R141),IF(R138&gt;R141,1.0,IF(R138=R141,0.5,0.0)),""),"")</f>
        <v/>
      </c>
      <c r="Y138">
        <f>IF(ISNUMBER(R138),IF(ISNUMBER(R142),IF(R138&gt;R142,1.0,IF(R138=R142,0.5,0.0)),""),"")</f>
        <v/>
      </c>
      <c r="Z138">
        <f>IF(ISNUMBER(S138),IF(ISNUMBER(S136),IF(S138&gt;S136,1.0,IF(S138=S136,0.5,0.0)),""),"")</f>
        <v/>
      </c>
      <c r="AA138">
        <f>IF(ISNUMBER(S138),IF(ISNUMBER(S137),IF(S138&gt;S137,1.0,IF(S138=S137,0.5,0.0)),""),"")</f>
        <v/>
      </c>
      <c r="AB138">
        <f>IF(ISNUMBER(S138),IF(ISNUMBER(S139),IF(S138&gt;S139,1.0,IF(S138=S139,0.5,0.0)),""),"")</f>
        <v/>
      </c>
      <c r="AC138">
        <f>IF(ISNUMBER(S138),IF(ISNUMBER(S140),IF(S138&gt;S140,1.0,IF(S138=S140,0.5,0.0)),""),"")</f>
        <v/>
      </c>
      <c r="AD138">
        <f>IF(ISNUMBER(S138),IF(ISNUMBER(S141),IF(S138&gt;S141,1.0,IF(S138=S141,0.5,0.0)),""),"")</f>
        <v/>
      </c>
      <c r="AE138">
        <f>IF(ISNUMBER(S138),IF(ISNUMBER(S142),IF(S138&gt;S142,1.0,IF(S138=S142,0.5,0.0)),""),"")</f>
        <v/>
      </c>
      <c r="AF138" s="14">
        <f>IF(AND(ISNUMBER(R138),ISNUMBER(R136)),VLOOKUP(ABS(R138-R136),'IMP Table'!$A$2:$C$26,3)*SIGN(R138-R136),0)</f>
        <v/>
      </c>
      <c r="AG138">
        <f>IF(AND(ISNUMBER(R138),ISNUMBER(R137)),VLOOKUP(ABS(R138-R137),'IMP Table'!$A$2:$C$26,3)*SIGN(R138-R137),0)</f>
        <v/>
      </c>
      <c r="AH138">
        <f>IF(AND(ISNUMBER(R138),ISNUMBER(R139)),VLOOKUP(ABS(R138-R139),'IMP Table'!$A$2:$C$26,3)*SIGN(R138-R139),0)</f>
        <v/>
      </c>
      <c r="AI138">
        <f>IF(AND(ISNUMBER(R138),ISNUMBER(R140)),VLOOKUP(ABS(R138-R140),'IMP Table'!$A$2:$C$26,3)*SIGN(R138-R140),0)</f>
        <v/>
      </c>
      <c r="AJ138">
        <f>IF(AND(ISNUMBER(R138),ISNUMBER(R141)),VLOOKUP(ABS(R138-R141),'IMP Table'!$A$2:$C$26,3)*SIGN(R138-R141),0)</f>
        <v/>
      </c>
      <c r="AK138">
        <f>IF(AND(ISNUMBER(R138),ISNUMBER(R142)),VLOOKUP(ABS(R138-R142),'IMP Table'!$A$2:$C$26,3)*SIGN(R138-R142),0)</f>
        <v/>
      </c>
      <c r="AL138">
        <f>IF(AND(ISNUMBER(S138),ISNUMBER(S136)),VLOOKUP(ABS(S138-S136),'IMP Table'!$A$2:$C$26,3)*SIGN(S138-S136),0)</f>
        <v/>
      </c>
      <c r="AM138">
        <f>IF(AND(ISNUMBER(S138),ISNUMBER(S137)),VLOOKUP(ABS(S138-S137),'IMP Table'!$A$2:$C$26,3)*SIGN(S138-S137),0)</f>
        <v/>
      </c>
      <c r="AN138">
        <f>IF(AND(ISNUMBER(S138),ISNUMBER(S139)),VLOOKUP(ABS(S138-S139),'IMP Table'!$A$2:$C$26,3)*SIGN(S138-S139),0)</f>
        <v/>
      </c>
      <c r="AO138">
        <f>IF(AND(ISNUMBER(S138),ISNUMBER(S140)),VLOOKUP(ABS(S138-S140),'IMP Table'!$A$2:$C$26,3)*SIGN(S138-S140),0)</f>
        <v/>
      </c>
      <c r="AP138">
        <f>IF(AND(ISNUMBER(S138),ISNUMBER(S141)),VLOOKUP(ABS(S138-S141),'IMP Table'!$A$2:$C$26,3)*SIGN(S138-S141),0)</f>
        <v/>
      </c>
      <c r="AQ138">
        <f>IF(AND(ISNUMBER(S138),ISNUMBER(S142)),VLOOKUP(ABS(S138-S142),'IMP Table'!$A$2:$C$26,3)*SIGN(S138-S142),0)</f>
        <v/>
      </c>
    </row>
    <row r="139">
      <c r="B139">
        <f>'By Round'!A101</f>
        <v/>
      </c>
      <c r="C139">
        <f>'By Round'!B103</f>
        <v/>
      </c>
      <c r="D139">
        <f>'By Round'!C103</f>
        <v/>
      </c>
      <c r="E139">
        <f>'By Round'!D103</f>
        <v/>
      </c>
      <c r="F139" s="11" t="inlineStr">
        <is>
          <t>Both</t>
        </is>
      </c>
      <c r="G139">
        <f>IF(ISBLANK('By Round'!G103),"",'By Round'!G103)</f>
        <v/>
      </c>
      <c r="H139">
        <f>IF(ISBLANK('By Round'!H103),"",'By Round'!H103)</f>
        <v/>
      </c>
      <c r="I139">
        <f>IF(ISBLANK('By Round'!I103),"",'By Round'!I103)</f>
        <v/>
      </c>
      <c r="J139">
        <f>IF(ISBLANK('By Round'!J103),"",'By Round'!J103)</f>
        <v/>
      </c>
      <c r="K139">
        <f>IF(ISBLANK('By Round'!K103),"",'By Round'!K103)</f>
        <v/>
      </c>
      <c r="L139" s="12">
        <f>SUM(AF139:AK139)</f>
        <v/>
      </c>
      <c r="M139" s="13">
        <f>SUM(AL139:AQ139)</f>
        <v/>
      </c>
      <c r="N139" s="8">
        <f>IF(COUNT(T139:Y139)&gt;0,P139/COUNT(T139:Y139),0.5)</f>
        <v/>
      </c>
      <c r="O139" s="8">
        <f>IF(COUNT(Z139:AE139)&gt;0,Q139/COUNT(Z139:AE139),0.5)</f>
        <v/>
      </c>
      <c r="P139" s="5">
        <f>SUM(T139:Y139)</f>
        <v/>
      </c>
      <c r="Q139" s="5">
        <f>SUM(Z139:AE139)</f>
        <v/>
      </c>
      <c r="R139" s="14">
        <f>IF(ISNUMBER(J139),J139,IF(ISNUMBER(K139),-K139,""))</f>
        <v/>
      </c>
      <c r="S139">
        <f>IF(ISNUMBER(K139),K139,IF(ISNUMBER(J139),-J139,""))</f>
        <v/>
      </c>
      <c r="T139" s="14">
        <f>IF(ISNUMBER(R139),IF(ISNUMBER(R136),IF(R139&gt;R136,1.0,IF(R139=R136,0.5,0.0)),""),"")</f>
        <v/>
      </c>
      <c r="U139">
        <f>IF(ISNUMBER(R139),IF(ISNUMBER(R137),IF(R139&gt;R137,1.0,IF(R139=R137,0.5,0.0)),""),"")</f>
        <v/>
      </c>
      <c r="V139">
        <f>IF(ISNUMBER(R139),IF(ISNUMBER(R138),IF(R139&gt;R138,1.0,IF(R139=R138,0.5,0.0)),""),"")</f>
        <v/>
      </c>
      <c r="W139">
        <f>IF(ISNUMBER(R139),IF(ISNUMBER(R140),IF(R139&gt;R140,1.0,IF(R139=R140,0.5,0.0)),""),"")</f>
        <v/>
      </c>
      <c r="X139">
        <f>IF(ISNUMBER(R139),IF(ISNUMBER(R141),IF(R139&gt;R141,1.0,IF(R139=R141,0.5,0.0)),""),"")</f>
        <v/>
      </c>
      <c r="Y139">
        <f>IF(ISNUMBER(R139),IF(ISNUMBER(R142),IF(R139&gt;R142,1.0,IF(R139=R142,0.5,0.0)),""),"")</f>
        <v/>
      </c>
      <c r="Z139">
        <f>IF(ISNUMBER(S139),IF(ISNUMBER(S136),IF(S139&gt;S136,1.0,IF(S139=S136,0.5,0.0)),""),"")</f>
        <v/>
      </c>
      <c r="AA139">
        <f>IF(ISNUMBER(S139),IF(ISNUMBER(S137),IF(S139&gt;S137,1.0,IF(S139=S137,0.5,0.0)),""),"")</f>
        <v/>
      </c>
      <c r="AB139">
        <f>IF(ISNUMBER(S139),IF(ISNUMBER(S138),IF(S139&gt;S138,1.0,IF(S139=S138,0.5,0.0)),""),"")</f>
        <v/>
      </c>
      <c r="AC139">
        <f>IF(ISNUMBER(S139),IF(ISNUMBER(S140),IF(S139&gt;S140,1.0,IF(S139=S140,0.5,0.0)),""),"")</f>
        <v/>
      </c>
      <c r="AD139">
        <f>IF(ISNUMBER(S139),IF(ISNUMBER(S141),IF(S139&gt;S141,1.0,IF(S139=S141,0.5,0.0)),""),"")</f>
        <v/>
      </c>
      <c r="AE139">
        <f>IF(ISNUMBER(S139),IF(ISNUMBER(S142),IF(S139&gt;S142,1.0,IF(S139=S142,0.5,0.0)),""),"")</f>
        <v/>
      </c>
      <c r="AF139" s="14">
        <f>IF(AND(ISNUMBER(R139),ISNUMBER(R136)),VLOOKUP(ABS(R139-R136),'IMP Table'!$A$2:$C$26,3)*SIGN(R139-R136),0)</f>
        <v/>
      </c>
      <c r="AG139">
        <f>IF(AND(ISNUMBER(R139),ISNUMBER(R137)),VLOOKUP(ABS(R139-R137),'IMP Table'!$A$2:$C$26,3)*SIGN(R139-R137),0)</f>
        <v/>
      </c>
      <c r="AH139">
        <f>IF(AND(ISNUMBER(R139),ISNUMBER(R138)),VLOOKUP(ABS(R139-R138),'IMP Table'!$A$2:$C$26,3)*SIGN(R139-R138),0)</f>
        <v/>
      </c>
      <c r="AI139">
        <f>IF(AND(ISNUMBER(R139),ISNUMBER(R140)),VLOOKUP(ABS(R139-R140),'IMP Table'!$A$2:$C$26,3)*SIGN(R139-R140),0)</f>
        <v/>
      </c>
      <c r="AJ139">
        <f>IF(AND(ISNUMBER(R139),ISNUMBER(R141)),VLOOKUP(ABS(R139-R141),'IMP Table'!$A$2:$C$26,3)*SIGN(R139-R141),0)</f>
        <v/>
      </c>
      <c r="AK139">
        <f>IF(AND(ISNUMBER(R139),ISNUMBER(R142)),VLOOKUP(ABS(R139-R142),'IMP Table'!$A$2:$C$26,3)*SIGN(R139-R142),0)</f>
        <v/>
      </c>
      <c r="AL139">
        <f>IF(AND(ISNUMBER(S139),ISNUMBER(S136)),VLOOKUP(ABS(S139-S136),'IMP Table'!$A$2:$C$26,3)*SIGN(S139-S136),0)</f>
        <v/>
      </c>
      <c r="AM139">
        <f>IF(AND(ISNUMBER(S139),ISNUMBER(S137)),VLOOKUP(ABS(S139-S137),'IMP Table'!$A$2:$C$26,3)*SIGN(S139-S137),0)</f>
        <v/>
      </c>
      <c r="AN139">
        <f>IF(AND(ISNUMBER(S139),ISNUMBER(S138)),VLOOKUP(ABS(S139-S138),'IMP Table'!$A$2:$C$26,3)*SIGN(S139-S138),0)</f>
        <v/>
      </c>
      <c r="AO139">
        <f>IF(AND(ISNUMBER(S139),ISNUMBER(S140)),VLOOKUP(ABS(S139-S140),'IMP Table'!$A$2:$C$26,3)*SIGN(S139-S140),0)</f>
        <v/>
      </c>
      <c r="AP139">
        <f>IF(AND(ISNUMBER(S139),ISNUMBER(S141)),VLOOKUP(ABS(S139-S141),'IMP Table'!$A$2:$C$26,3)*SIGN(S139-S141),0)</f>
        <v/>
      </c>
      <c r="AQ139">
        <f>IF(AND(ISNUMBER(S139),ISNUMBER(S142)),VLOOKUP(ABS(S139-S142),'IMP Table'!$A$2:$C$26,3)*SIGN(S139-S142),0)</f>
        <v/>
      </c>
    </row>
    <row r="140">
      <c r="B140">
        <f>'By Round'!A129</f>
        <v/>
      </c>
      <c r="C140">
        <f>'By Round'!B129</f>
        <v/>
      </c>
      <c r="D140">
        <f>'By Round'!C129</f>
        <v/>
      </c>
      <c r="E140">
        <f>'By Round'!D129</f>
        <v/>
      </c>
      <c r="F140" s="11" t="inlineStr">
        <is>
          <t>Both</t>
        </is>
      </c>
      <c r="G140">
        <f>IF(ISBLANK('By Round'!G129),"",'By Round'!G129)</f>
        <v/>
      </c>
      <c r="H140">
        <f>IF(ISBLANK('By Round'!H129),"",'By Round'!H129)</f>
        <v/>
      </c>
      <c r="I140">
        <f>IF(ISBLANK('By Round'!I129),"",'By Round'!I129)</f>
        <v/>
      </c>
      <c r="J140">
        <f>IF(ISBLANK('By Round'!J129),"",'By Round'!J129)</f>
        <v/>
      </c>
      <c r="K140">
        <f>IF(ISBLANK('By Round'!K129),"",'By Round'!K129)</f>
        <v/>
      </c>
      <c r="L140" s="12">
        <f>SUM(AF140:AK140)</f>
        <v/>
      </c>
      <c r="M140" s="13">
        <f>SUM(AL140:AQ140)</f>
        <v/>
      </c>
      <c r="N140" s="8">
        <f>IF(COUNT(T140:Y140)&gt;0,P140/COUNT(T140:Y140),0.5)</f>
        <v/>
      </c>
      <c r="O140" s="8">
        <f>IF(COUNT(Z140:AE140)&gt;0,Q140/COUNT(Z140:AE140),0.5)</f>
        <v/>
      </c>
      <c r="P140" s="5">
        <f>SUM(T140:Y140)</f>
        <v/>
      </c>
      <c r="Q140" s="5">
        <f>SUM(Z140:AE140)</f>
        <v/>
      </c>
      <c r="R140" s="14">
        <f>IF(ISNUMBER(J140),J140,IF(ISNUMBER(K140),-K140,""))</f>
        <v/>
      </c>
      <c r="S140">
        <f>IF(ISNUMBER(K140),K140,IF(ISNUMBER(J140),-J140,""))</f>
        <v/>
      </c>
      <c r="T140" s="14">
        <f>IF(ISNUMBER(R140),IF(ISNUMBER(R136),IF(R140&gt;R136,1.0,IF(R140=R136,0.5,0.0)),""),"")</f>
        <v/>
      </c>
      <c r="U140">
        <f>IF(ISNUMBER(R140),IF(ISNUMBER(R137),IF(R140&gt;R137,1.0,IF(R140=R137,0.5,0.0)),""),"")</f>
        <v/>
      </c>
      <c r="V140">
        <f>IF(ISNUMBER(R140),IF(ISNUMBER(R138),IF(R140&gt;R138,1.0,IF(R140=R138,0.5,0.0)),""),"")</f>
        <v/>
      </c>
      <c r="W140">
        <f>IF(ISNUMBER(R140),IF(ISNUMBER(R139),IF(R140&gt;R139,1.0,IF(R140=R139,0.5,0.0)),""),"")</f>
        <v/>
      </c>
      <c r="X140">
        <f>IF(ISNUMBER(R140),IF(ISNUMBER(R141),IF(R140&gt;R141,1.0,IF(R140=R141,0.5,0.0)),""),"")</f>
        <v/>
      </c>
      <c r="Y140">
        <f>IF(ISNUMBER(R140),IF(ISNUMBER(R142),IF(R140&gt;R142,1.0,IF(R140=R142,0.5,0.0)),""),"")</f>
        <v/>
      </c>
      <c r="Z140">
        <f>IF(ISNUMBER(S140),IF(ISNUMBER(S136),IF(S140&gt;S136,1.0,IF(S140=S136,0.5,0.0)),""),"")</f>
        <v/>
      </c>
      <c r="AA140">
        <f>IF(ISNUMBER(S140),IF(ISNUMBER(S137),IF(S140&gt;S137,1.0,IF(S140=S137,0.5,0.0)),""),"")</f>
        <v/>
      </c>
      <c r="AB140">
        <f>IF(ISNUMBER(S140),IF(ISNUMBER(S138),IF(S140&gt;S138,1.0,IF(S140=S138,0.5,0.0)),""),"")</f>
        <v/>
      </c>
      <c r="AC140">
        <f>IF(ISNUMBER(S140),IF(ISNUMBER(S139),IF(S140&gt;S139,1.0,IF(S140=S139,0.5,0.0)),""),"")</f>
        <v/>
      </c>
      <c r="AD140">
        <f>IF(ISNUMBER(S140),IF(ISNUMBER(S141),IF(S140&gt;S141,1.0,IF(S140=S141,0.5,0.0)),""),"")</f>
        <v/>
      </c>
      <c r="AE140">
        <f>IF(ISNUMBER(S140),IF(ISNUMBER(S142),IF(S140&gt;S142,1.0,IF(S140=S142,0.5,0.0)),""),"")</f>
        <v/>
      </c>
      <c r="AF140" s="14">
        <f>IF(AND(ISNUMBER(R140),ISNUMBER(R136)),VLOOKUP(ABS(R140-R136),'IMP Table'!$A$2:$C$26,3)*SIGN(R140-R136),0)</f>
        <v/>
      </c>
      <c r="AG140">
        <f>IF(AND(ISNUMBER(R140),ISNUMBER(R137)),VLOOKUP(ABS(R140-R137),'IMP Table'!$A$2:$C$26,3)*SIGN(R140-R137),0)</f>
        <v/>
      </c>
      <c r="AH140">
        <f>IF(AND(ISNUMBER(R140),ISNUMBER(R138)),VLOOKUP(ABS(R140-R138),'IMP Table'!$A$2:$C$26,3)*SIGN(R140-R138),0)</f>
        <v/>
      </c>
      <c r="AI140">
        <f>IF(AND(ISNUMBER(R140),ISNUMBER(R139)),VLOOKUP(ABS(R140-R139),'IMP Table'!$A$2:$C$26,3)*SIGN(R140-R139),0)</f>
        <v/>
      </c>
      <c r="AJ140">
        <f>IF(AND(ISNUMBER(R140),ISNUMBER(R141)),VLOOKUP(ABS(R140-R141),'IMP Table'!$A$2:$C$26,3)*SIGN(R140-R141),0)</f>
        <v/>
      </c>
      <c r="AK140">
        <f>IF(AND(ISNUMBER(R140),ISNUMBER(R142)),VLOOKUP(ABS(R140-R142),'IMP Table'!$A$2:$C$26,3)*SIGN(R140-R142),0)</f>
        <v/>
      </c>
      <c r="AL140">
        <f>IF(AND(ISNUMBER(S140),ISNUMBER(S136)),VLOOKUP(ABS(S140-S136),'IMP Table'!$A$2:$C$26,3)*SIGN(S140-S136),0)</f>
        <v/>
      </c>
      <c r="AM140">
        <f>IF(AND(ISNUMBER(S140),ISNUMBER(S137)),VLOOKUP(ABS(S140-S137),'IMP Table'!$A$2:$C$26,3)*SIGN(S140-S137),0)</f>
        <v/>
      </c>
      <c r="AN140">
        <f>IF(AND(ISNUMBER(S140),ISNUMBER(S138)),VLOOKUP(ABS(S140-S138),'IMP Table'!$A$2:$C$26,3)*SIGN(S140-S138),0)</f>
        <v/>
      </c>
      <c r="AO140">
        <f>IF(AND(ISNUMBER(S140),ISNUMBER(S139)),VLOOKUP(ABS(S140-S139),'IMP Table'!$A$2:$C$26,3)*SIGN(S140-S139),0)</f>
        <v/>
      </c>
      <c r="AP140">
        <f>IF(AND(ISNUMBER(S140),ISNUMBER(S141)),VLOOKUP(ABS(S140-S141),'IMP Table'!$A$2:$C$26,3)*SIGN(S140-S141),0)</f>
        <v/>
      </c>
      <c r="AQ140">
        <f>IF(AND(ISNUMBER(S140),ISNUMBER(S142)),VLOOKUP(ABS(S140-S142),'IMP Table'!$A$2:$C$26,3)*SIGN(S140-S142),0)</f>
        <v/>
      </c>
    </row>
    <row r="141">
      <c r="B141">
        <f>'By Round'!A157</f>
        <v/>
      </c>
      <c r="C141">
        <f>'By Round'!B169</f>
        <v/>
      </c>
      <c r="D141">
        <f>'By Round'!C169</f>
        <v/>
      </c>
      <c r="E141">
        <f>'By Round'!D169</f>
        <v/>
      </c>
      <c r="F141" s="11" t="inlineStr">
        <is>
          <t>Both</t>
        </is>
      </c>
      <c r="G141">
        <f>IF(ISBLANK('By Round'!G169),"",'By Round'!G169)</f>
        <v/>
      </c>
      <c r="H141">
        <f>IF(ISBLANK('By Round'!H169),"",'By Round'!H169)</f>
        <v/>
      </c>
      <c r="I141">
        <f>IF(ISBLANK('By Round'!I169),"",'By Round'!I169)</f>
        <v/>
      </c>
      <c r="J141">
        <f>IF(ISBLANK('By Round'!J169),"",'By Round'!J169)</f>
        <v/>
      </c>
      <c r="K141">
        <f>IF(ISBLANK('By Round'!K169),"",'By Round'!K169)</f>
        <v/>
      </c>
      <c r="L141" s="12">
        <f>SUM(AF141:AK141)</f>
        <v/>
      </c>
      <c r="M141" s="13">
        <f>SUM(AL141:AQ141)</f>
        <v/>
      </c>
      <c r="N141" s="8">
        <f>IF(COUNT(T141:Y141)&gt;0,P141/COUNT(T141:Y141),0.5)</f>
        <v/>
      </c>
      <c r="O141" s="8">
        <f>IF(COUNT(Z141:AE141)&gt;0,Q141/COUNT(Z141:AE141),0.5)</f>
        <v/>
      </c>
      <c r="P141" s="5">
        <f>SUM(T141:Y141)</f>
        <v/>
      </c>
      <c r="Q141" s="5">
        <f>SUM(Z141:AE141)</f>
        <v/>
      </c>
      <c r="R141" s="14">
        <f>IF(ISNUMBER(J141),J141,IF(ISNUMBER(K141),-K141,""))</f>
        <v/>
      </c>
      <c r="S141">
        <f>IF(ISNUMBER(K141),K141,IF(ISNUMBER(J141),-J141,""))</f>
        <v/>
      </c>
      <c r="T141" s="14">
        <f>IF(ISNUMBER(R141),IF(ISNUMBER(R136),IF(R141&gt;R136,1.0,IF(R141=R136,0.5,0.0)),""),"")</f>
        <v/>
      </c>
      <c r="U141">
        <f>IF(ISNUMBER(R141),IF(ISNUMBER(R137),IF(R141&gt;R137,1.0,IF(R141=R137,0.5,0.0)),""),"")</f>
        <v/>
      </c>
      <c r="V141">
        <f>IF(ISNUMBER(R141),IF(ISNUMBER(R138),IF(R141&gt;R138,1.0,IF(R141=R138,0.5,0.0)),""),"")</f>
        <v/>
      </c>
      <c r="W141">
        <f>IF(ISNUMBER(R141),IF(ISNUMBER(R139),IF(R141&gt;R139,1.0,IF(R141=R139,0.5,0.0)),""),"")</f>
        <v/>
      </c>
      <c r="X141">
        <f>IF(ISNUMBER(R141),IF(ISNUMBER(R140),IF(R141&gt;R140,1.0,IF(R141=R140,0.5,0.0)),""),"")</f>
        <v/>
      </c>
      <c r="Y141">
        <f>IF(ISNUMBER(R141),IF(ISNUMBER(R142),IF(R141&gt;R142,1.0,IF(R141=R142,0.5,0.0)),""),"")</f>
        <v/>
      </c>
      <c r="Z141">
        <f>IF(ISNUMBER(S141),IF(ISNUMBER(S136),IF(S141&gt;S136,1.0,IF(S141=S136,0.5,0.0)),""),"")</f>
        <v/>
      </c>
      <c r="AA141">
        <f>IF(ISNUMBER(S141),IF(ISNUMBER(S137),IF(S141&gt;S137,1.0,IF(S141=S137,0.5,0.0)),""),"")</f>
        <v/>
      </c>
      <c r="AB141">
        <f>IF(ISNUMBER(S141),IF(ISNUMBER(S138),IF(S141&gt;S138,1.0,IF(S141=S138,0.5,0.0)),""),"")</f>
        <v/>
      </c>
      <c r="AC141">
        <f>IF(ISNUMBER(S141),IF(ISNUMBER(S139),IF(S141&gt;S139,1.0,IF(S141=S139,0.5,0.0)),""),"")</f>
        <v/>
      </c>
      <c r="AD141">
        <f>IF(ISNUMBER(S141),IF(ISNUMBER(S140),IF(S141&gt;S140,1.0,IF(S141=S140,0.5,0.0)),""),"")</f>
        <v/>
      </c>
      <c r="AE141">
        <f>IF(ISNUMBER(S141),IF(ISNUMBER(S142),IF(S141&gt;S142,1.0,IF(S141=S142,0.5,0.0)),""),"")</f>
        <v/>
      </c>
      <c r="AF141" s="14">
        <f>IF(AND(ISNUMBER(R141),ISNUMBER(R136)),VLOOKUP(ABS(R141-R136),'IMP Table'!$A$2:$C$26,3)*SIGN(R141-R136),0)</f>
        <v/>
      </c>
      <c r="AG141">
        <f>IF(AND(ISNUMBER(R141),ISNUMBER(R137)),VLOOKUP(ABS(R141-R137),'IMP Table'!$A$2:$C$26,3)*SIGN(R141-R137),0)</f>
        <v/>
      </c>
      <c r="AH141">
        <f>IF(AND(ISNUMBER(R141),ISNUMBER(R138)),VLOOKUP(ABS(R141-R138),'IMP Table'!$A$2:$C$26,3)*SIGN(R141-R138),0)</f>
        <v/>
      </c>
      <c r="AI141">
        <f>IF(AND(ISNUMBER(R141),ISNUMBER(R139)),VLOOKUP(ABS(R141-R139),'IMP Table'!$A$2:$C$26,3)*SIGN(R141-R139),0)</f>
        <v/>
      </c>
      <c r="AJ141">
        <f>IF(AND(ISNUMBER(R141),ISNUMBER(R140)),VLOOKUP(ABS(R141-R140),'IMP Table'!$A$2:$C$26,3)*SIGN(R141-R140),0)</f>
        <v/>
      </c>
      <c r="AK141">
        <f>IF(AND(ISNUMBER(R141),ISNUMBER(R142)),VLOOKUP(ABS(R141-R142),'IMP Table'!$A$2:$C$26,3)*SIGN(R141-R142),0)</f>
        <v/>
      </c>
      <c r="AL141">
        <f>IF(AND(ISNUMBER(S141),ISNUMBER(S136)),VLOOKUP(ABS(S141-S136),'IMP Table'!$A$2:$C$26,3)*SIGN(S141-S136),0)</f>
        <v/>
      </c>
      <c r="AM141">
        <f>IF(AND(ISNUMBER(S141),ISNUMBER(S137)),VLOOKUP(ABS(S141-S137),'IMP Table'!$A$2:$C$26,3)*SIGN(S141-S137),0)</f>
        <v/>
      </c>
      <c r="AN141">
        <f>IF(AND(ISNUMBER(S141),ISNUMBER(S138)),VLOOKUP(ABS(S141-S138),'IMP Table'!$A$2:$C$26,3)*SIGN(S141-S138),0)</f>
        <v/>
      </c>
      <c r="AO141">
        <f>IF(AND(ISNUMBER(S141),ISNUMBER(S139)),VLOOKUP(ABS(S141-S139),'IMP Table'!$A$2:$C$26,3)*SIGN(S141-S139),0)</f>
        <v/>
      </c>
      <c r="AP141">
        <f>IF(AND(ISNUMBER(S141),ISNUMBER(S140)),VLOOKUP(ABS(S141-S140),'IMP Table'!$A$2:$C$26,3)*SIGN(S141-S140),0)</f>
        <v/>
      </c>
      <c r="AQ141">
        <f>IF(AND(ISNUMBER(S141),ISNUMBER(S142)),VLOOKUP(ABS(S141-S142),'IMP Table'!$A$2:$C$26,3)*SIGN(S141-S142),0)</f>
        <v/>
      </c>
    </row>
    <row r="142">
      <c r="A142" s="15" t="n"/>
      <c r="B142" s="15">
        <f>'By Round'!A171</f>
        <v/>
      </c>
      <c r="C142" s="15">
        <f>'By Round'!B181</f>
        <v/>
      </c>
      <c r="D142" s="15">
        <f>'By Round'!C181</f>
        <v/>
      </c>
      <c r="E142" s="15">
        <f>'By Round'!D181</f>
        <v/>
      </c>
      <c r="F142" s="16" t="inlineStr">
        <is>
          <t>Both</t>
        </is>
      </c>
      <c r="G142" s="15">
        <f>IF(ISBLANK('By Round'!G181),"",'By Round'!G181)</f>
        <v/>
      </c>
      <c r="H142" s="15">
        <f>IF(ISBLANK('By Round'!H181),"",'By Round'!H181)</f>
        <v/>
      </c>
      <c r="I142" s="15">
        <f>IF(ISBLANK('By Round'!I181),"",'By Round'!I181)</f>
        <v/>
      </c>
      <c r="J142" s="15">
        <f>IF(ISBLANK('By Round'!J181),"",'By Round'!J181)</f>
        <v/>
      </c>
      <c r="K142" s="15">
        <f>IF(ISBLANK('By Round'!K181),"",'By Round'!K181)</f>
        <v/>
      </c>
      <c r="L142" s="17">
        <f>SUM(AF142:AK142)</f>
        <v/>
      </c>
      <c r="M142" s="18">
        <f>SUM(AL142:AQ142)</f>
        <v/>
      </c>
      <c r="N142" s="19">
        <f>IF(COUNT(T142:Y142)&gt;0,P142/COUNT(T142:Y142),0.5)</f>
        <v/>
      </c>
      <c r="O142" s="19">
        <f>IF(COUNT(Z142:AE142)&gt;0,Q142/COUNT(Z142:AE142),0.5)</f>
        <v/>
      </c>
      <c r="P142" s="20">
        <f>SUM(T142:Y142)</f>
        <v/>
      </c>
      <c r="Q142" s="20">
        <f>SUM(Z142:AE142)</f>
        <v/>
      </c>
      <c r="R142" s="21">
        <f>IF(ISNUMBER(J142),J142,IF(ISNUMBER(K142),-K142,""))</f>
        <v/>
      </c>
      <c r="S142" s="15">
        <f>IF(ISNUMBER(K142),K142,IF(ISNUMBER(J142),-J142,""))</f>
        <v/>
      </c>
      <c r="T142" s="21">
        <f>IF(ISNUMBER(R142),IF(ISNUMBER(R136),IF(R142&gt;R136,1.0,IF(R142=R136,0.5,0.0)),""),"")</f>
        <v/>
      </c>
      <c r="U142" s="15">
        <f>IF(ISNUMBER(R142),IF(ISNUMBER(R137),IF(R142&gt;R137,1.0,IF(R142=R137,0.5,0.0)),""),"")</f>
        <v/>
      </c>
      <c r="V142" s="15">
        <f>IF(ISNUMBER(R142),IF(ISNUMBER(R138),IF(R142&gt;R138,1.0,IF(R142=R138,0.5,0.0)),""),"")</f>
        <v/>
      </c>
      <c r="W142" s="15">
        <f>IF(ISNUMBER(R142),IF(ISNUMBER(R139),IF(R142&gt;R139,1.0,IF(R142=R139,0.5,0.0)),""),"")</f>
        <v/>
      </c>
      <c r="X142" s="15">
        <f>IF(ISNUMBER(R142),IF(ISNUMBER(R140),IF(R142&gt;R140,1.0,IF(R142=R140,0.5,0.0)),""),"")</f>
        <v/>
      </c>
      <c r="Y142" s="15">
        <f>IF(ISNUMBER(R142),IF(ISNUMBER(R141),IF(R142&gt;R141,1.0,IF(R142=R141,0.5,0.0)),""),"")</f>
        <v/>
      </c>
      <c r="Z142" s="15">
        <f>IF(ISNUMBER(S142),IF(ISNUMBER(S136),IF(S142&gt;S136,1.0,IF(S142=S136,0.5,0.0)),""),"")</f>
        <v/>
      </c>
      <c r="AA142" s="15">
        <f>IF(ISNUMBER(S142),IF(ISNUMBER(S137),IF(S142&gt;S137,1.0,IF(S142=S137,0.5,0.0)),""),"")</f>
        <v/>
      </c>
      <c r="AB142" s="15">
        <f>IF(ISNUMBER(S142),IF(ISNUMBER(S138),IF(S142&gt;S138,1.0,IF(S142=S138,0.5,0.0)),""),"")</f>
        <v/>
      </c>
      <c r="AC142" s="15">
        <f>IF(ISNUMBER(S142),IF(ISNUMBER(S139),IF(S142&gt;S139,1.0,IF(S142=S139,0.5,0.0)),""),"")</f>
        <v/>
      </c>
      <c r="AD142" s="15">
        <f>IF(ISNUMBER(S142),IF(ISNUMBER(S140),IF(S142&gt;S140,1.0,IF(S142=S140,0.5,0.0)),""),"")</f>
        <v/>
      </c>
      <c r="AE142" s="15">
        <f>IF(ISNUMBER(S142),IF(ISNUMBER(S141),IF(S142&gt;S141,1.0,IF(S142=S141,0.5,0.0)),""),"")</f>
        <v/>
      </c>
      <c r="AF142" s="21">
        <f>IF(AND(ISNUMBER(R142),ISNUMBER(R136)),VLOOKUP(ABS(R142-R136),'IMP Table'!$A$2:$C$26,3)*SIGN(R142-R136),0)</f>
        <v/>
      </c>
      <c r="AG142" s="15">
        <f>IF(AND(ISNUMBER(R142),ISNUMBER(R137)),VLOOKUP(ABS(R142-R137),'IMP Table'!$A$2:$C$26,3)*SIGN(R142-R137),0)</f>
        <v/>
      </c>
      <c r="AH142" s="15">
        <f>IF(AND(ISNUMBER(R142),ISNUMBER(R138)),VLOOKUP(ABS(R142-R138),'IMP Table'!$A$2:$C$26,3)*SIGN(R142-R138),0)</f>
        <v/>
      </c>
      <c r="AI142" s="15">
        <f>IF(AND(ISNUMBER(R142),ISNUMBER(R139)),VLOOKUP(ABS(R142-R139),'IMP Table'!$A$2:$C$26,3)*SIGN(R142-R139),0)</f>
        <v/>
      </c>
      <c r="AJ142" s="15">
        <f>IF(AND(ISNUMBER(R142),ISNUMBER(R140)),VLOOKUP(ABS(R142-R140),'IMP Table'!$A$2:$C$26,3)*SIGN(R142-R140),0)</f>
        <v/>
      </c>
      <c r="AK142" s="15">
        <f>IF(AND(ISNUMBER(R142),ISNUMBER(R141)),VLOOKUP(ABS(R142-R141),'IMP Table'!$A$2:$C$26,3)*SIGN(R142-R141),0)</f>
        <v/>
      </c>
      <c r="AL142" s="15">
        <f>IF(AND(ISNUMBER(S142),ISNUMBER(S136)),VLOOKUP(ABS(S142-S136),'IMP Table'!$A$2:$C$26,3)*SIGN(S142-S136),0)</f>
        <v/>
      </c>
      <c r="AM142" s="15">
        <f>IF(AND(ISNUMBER(S142),ISNUMBER(S137)),VLOOKUP(ABS(S142-S137),'IMP Table'!$A$2:$C$26,3)*SIGN(S142-S137),0)</f>
        <v/>
      </c>
      <c r="AN142" s="15">
        <f>IF(AND(ISNUMBER(S142),ISNUMBER(S138)),VLOOKUP(ABS(S142-S138),'IMP Table'!$A$2:$C$26,3)*SIGN(S142-S138),0)</f>
        <v/>
      </c>
      <c r="AO142" s="15">
        <f>IF(AND(ISNUMBER(S142),ISNUMBER(S139)),VLOOKUP(ABS(S142-S139),'IMP Table'!$A$2:$C$26,3)*SIGN(S142-S139),0)</f>
        <v/>
      </c>
      <c r="AP142" s="15">
        <f>IF(AND(ISNUMBER(S142),ISNUMBER(S140)),VLOOKUP(ABS(S142-S140),'IMP Table'!$A$2:$C$26,3)*SIGN(S142-S140),0)</f>
        <v/>
      </c>
      <c r="AQ142" s="15">
        <f>IF(AND(ISNUMBER(S142),ISNUMBER(S141)),VLOOKUP(ABS(S142-S141),'IMP Table'!$A$2:$C$26,3)*SIGN(S142-S141),0)</f>
        <v/>
      </c>
    </row>
    <row r="143">
      <c r="A143" t="n">
        <v>21</v>
      </c>
      <c r="B143">
        <f>'By Round'!A3</f>
        <v/>
      </c>
      <c r="C143">
        <f>'By Round'!B13</f>
        <v/>
      </c>
      <c r="D143">
        <f>'By Round'!C13</f>
        <v/>
      </c>
      <c r="E143">
        <f>'By Round'!D13</f>
        <v/>
      </c>
      <c r="F143" s="11" t="inlineStr">
        <is>
          <t>NS</t>
        </is>
      </c>
      <c r="G143">
        <f>IF(ISBLANK('By Round'!G13),"",'By Round'!G13)</f>
        <v/>
      </c>
      <c r="H143">
        <f>IF(ISBLANK('By Round'!H13),"",'By Round'!H13)</f>
        <v/>
      </c>
      <c r="I143">
        <f>IF(ISBLANK('By Round'!I13),"",'By Round'!I13)</f>
        <v/>
      </c>
      <c r="J143">
        <f>IF(ISBLANK('By Round'!J13),"",'By Round'!J13)</f>
        <v/>
      </c>
      <c r="K143">
        <f>IF(ISBLANK('By Round'!K13),"",'By Round'!K13)</f>
        <v/>
      </c>
      <c r="L143" s="12">
        <f>SUM(AF143:AK143)</f>
        <v/>
      </c>
      <c r="M143" s="13">
        <f>SUM(AL143:AQ143)</f>
        <v/>
      </c>
      <c r="N143" s="8">
        <f>IF(COUNT(T143:Y143)&gt;0,P143/COUNT(T143:Y143),0.5)</f>
        <v/>
      </c>
      <c r="O143" s="8">
        <f>IF(COUNT(Z143:AE143)&gt;0,Q143/COUNT(Z143:AE143),0.5)</f>
        <v/>
      </c>
      <c r="P143" s="5">
        <f>SUM(T143:Y143)</f>
        <v/>
      </c>
      <c r="Q143" s="5">
        <f>SUM(Z143:AE143)</f>
        <v/>
      </c>
      <c r="R143" s="14">
        <f>IF(ISNUMBER(J143),J143,IF(ISNUMBER(K143),-K143,""))</f>
        <v/>
      </c>
      <c r="S143">
        <f>IF(ISNUMBER(K143),K143,IF(ISNUMBER(J143),-J143,""))</f>
        <v/>
      </c>
      <c r="T143" s="14">
        <f>IF(ISNUMBER(R143),IF(ISNUMBER(R144),IF(R143&gt;R144,1.0,IF(R143=R144,0.5,0.0)),""),"")</f>
        <v/>
      </c>
      <c r="U143">
        <f>IF(ISNUMBER(R143),IF(ISNUMBER(R145),IF(R143&gt;R145,1.0,IF(R143=R145,0.5,0.0)),""),"")</f>
        <v/>
      </c>
      <c r="V143">
        <f>IF(ISNUMBER(R143),IF(ISNUMBER(R146),IF(R143&gt;R146,1.0,IF(R143=R146,0.5,0.0)),""),"")</f>
        <v/>
      </c>
      <c r="W143">
        <f>IF(ISNUMBER(R143),IF(ISNUMBER(R147),IF(R143&gt;R147,1.0,IF(R143=R147,0.5,0.0)),""),"")</f>
        <v/>
      </c>
      <c r="X143">
        <f>IF(ISNUMBER(R143),IF(ISNUMBER(R148),IF(R143&gt;R148,1.0,IF(R143=R148,0.5,0.0)),""),"")</f>
        <v/>
      </c>
      <c r="Y143">
        <f>IF(ISNUMBER(R143),IF(ISNUMBER(R149),IF(R143&gt;R149,1.0,IF(R143=R149,0.5,0.0)),""),"")</f>
        <v/>
      </c>
      <c r="Z143">
        <f>IF(ISNUMBER(S143),IF(ISNUMBER(S144),IF(S143&gt;S144,1.0,IF(S143=S144,0.5,0.0)),""),"")</f>
        <v/>
      </c>
      <c r="AA143">
        <f>IF(ISNUMBER(S143),IF(ISNUMBER(S145),IF(S143&gt;S145,1.0,IF(S143=S145,0.5,0.0)),""),"")</f>
        <v/>
      </c>
      <c r="AB143">
        <f>IF(ISNUMBER(S143),IF(ISNUMBER(S146),IF(S143&gt;S146,1.0,IF(S143=S146,0.5,0.0)),""),"")</f>
        <v/>
      </c>
      <c r="AC143">
        <f>IF(ISNUMBER(S143),IF(ISNUMBER(S147),IF(S143&gt;S147,1.0,IF(S143=S147,0.5,0.0)),""),"")</f>
        <v/>
      </c>
      <c r="AD143">
        <f>IF(ISNUMBER(S143),IF(ISNUMBER(S148),IF(S143&gt;S148,1.0,IF(S143=S148,0.5,0.0)),""),"")</f>
        <v/>
      </c>
      <c r="AE143">
        <f>IF(ISNUMBER(S143),IF(ISNUMBER(S149),IF(S143&gt;S149,1.0,IF(S143=S149,0.5,0.0)),""),"")</f>
        <v/>
      </c>
      <c r="AF143" s="14">
        <f>IF(AND(ISNUMBER(R143),ISNUMBER(R144)),VLOOKUP(ABS(R143-R144),'IMP Table'!$A$2:$C$26,3)*SIGN(R143-R144),0)</f>
        <v/>
      </c>
      <c r="AG143">
        <f>IF(AND(ISNUMBER(R143),ISNUMBER(R145)),VLOOKUP(ABS(R143-R145),'IMP Table'!$A$2:$C$26,3)*SIGN(R143-R145),0)</f>
        <v/>
      </c>
      <c r="AH143">
        <f>IF(AND(ISNUMBER(R143),ISNUMBER(R146)),VLOOKUP(ABS(R143-R146),'IMP Table'!$A$2:$C$26,3)*SIGN(R143-R146),0)</f>
        <v/>
      </c>
      <c r="AI143">
        <f>IF(AND(ISNUMBER(R143),ISNUMBER(R147)),VLOOKUP(ABS(R143-R147),'IMP Table'!$A$2:$C$26,3)*SIGN(R143-R147),0)</f>
        <v/>
      </c>
      <c r="AJ143">
        <f>IF(AND(ISNUMBER(R143),ISNUMBER(R148)),VLOOKUP(ABS(R143-R148),'IMP Table'!$A$2:$C$26,3)*SIGN(R143-R148),0)</f>
        <v/>
      </c>
      <c r="AK143">
        <f>IF(AND(ISNUMBER(R143),ISNUMBER(R149)),VLOOKUP(ABS(R143-R149),'IMP Table'!$A$2:$C$26,3)*SIGN(R143-R149),0)</f>
        <v/>
      </c>
      <c r="AL143">
        <f>IF(AND(ISNUMBER(S143),ISNUMBER(S144)),VLOOKUP(ABS(S143-S144),'IMP Table'!$A$2:$C$26,3)*SIGN(S143-S144),0)</f>
        <v/>
      </c>
      <c r="AM143">
        <f>IF(AND(ISNUMBER(S143),ISNUMBER(S145)),VLOOKUP(ABS(S143-S145),'IMP Table'!$A$2:$C$26,3)*SIGN(S143-S145),0)</f>
        <v/>
      </c>
      <c r="AN143">
        <f>IF(AND(ISNUMBER(S143),ISNUMBER(S146)),VLOOKUP(ABS(S143-S146),'IMP Table'!$A$2:$C$26,3)*SIGN(S143-S146),0)</f>
        <v/>
      </c>
      <c r="AO143">
        <f>IF(AND(ISNUMBER(S143),ISNUMBER(S147)),VLOOKUP(ABS(S143-S147),'IMP Table'!$A$2:$C$26,3)*SIGN(S143-S147),0)</f>
        <v/>
      </c>
      <c r="AP143">
        <f>IF(AND(ISNUMBER(S143),ISNUMBER(S148)),VLOOKUP(ABS(S143-S148),'IMP Table'!$A$2:$C$26,3)*SIGN(S143-S148),0)</f>
        <v/>
      </c>
      <c r="AQ143">
        <f>IF(AND(ISNUMBER(S143),ISNUMBER(S149)),VLOOKUP(ABS(S143-S149),'IMP Table'!$A$2:$C$26,3)*SIGN(S143-S149),0)</f>
        <v/>
      </c>
    </row>
    <row r="144">
      <c r="B144">
        <f>'By Round'!A17</f>
        <v/>
      </c>
      <c r="C144">
        <f>'By Round'!B25</f>
        <v/>
      </c>
      <c r="D144">
        <f>'By Round'!C25</f>
        <v/>
      </c>
      <c r="E144">
        <f>'By Round'!D25</f>
        <v/>
      </c>
      <c r="F144" s="11" t="inlineStr">
        <is>
          <t>NS</t>
        </is>
      </c>
      <c r="G144">
        <f>IF(ISBLANK('By Round'!G25),"",'By Round'!G25)</f>
        <v/>
      </c>
      <c r="H144">
        <f>IF(ISBLANK('By Round'!H25),"",'By Round'!H25)</f>
        <v/>
      </c>
      <c r="I144">
        <f>IF(ISBLANK('By Round'!I25),"",'By Round'!I25)</f>
        <v/>
      </c>
      <c r="J144">
        <f>IF(ISBLANK('By Round'!J25),"",'By Round'!J25)</f>
        <v/>
      </c>
      <c r="K144">
        <f>IF(ISBLANK('By Round'!K25),"",'By Round'!K25)</f>
        <v/>
      </c>
      <c r="L144" s="12">
        <f>SUM(AF144:AK144)</f>
        <v/>
      </c>
      <c r="M144" s="13">
        <f>SUM(AL144:AQ144)</f>
        <v/>
      </c>
      <c r="N144" s="8">
        <f>IF(COUNT(T144:Y144)&gt;0,P144/COUNT(T144:Y144),0.5)</f>
        <v/>
      </c>
      <c r="O144" s="8">
        <f>IF(COUNT(Z144:AE144)&gt;0,Q144/COUNT(Z144:AE144),0.5)</f>
        <v/>
      </c>
      <c r="P144" s="5">
        <f>SUM(T144:Y144)</f>
        <v/>
      </c>
      <c r="Q144" s="5">
        <f>SUM(Z144:AE144)</f>
        <v/>
      </c>
      <c r="R144" s="14">
        <f>IF(ISNUMBER(J144),J144,IF(ISNUMBER(K144),-K144,""))</f>
        <v/>
      </c>
      <c r="S144">
        <f>IF(ISNUMBER(K144),K144,IF(ISNUMBER(J144),-J144,""))</f>
        <v/>
      </c>
      <c r="T144" s="14">
        <f>IF(ISNUMBER(R144),IF(ISNUMBER(R143),IF(R144&gt;R143,1.0,IF(R144=R143,0.5,0.0)),""),"")</f>
        <v/>
      </c>
      <c r="U144">
        <f>IF(ISNUMBER(R144),IF(ISNUMBER(R145),IF(R144&gt;R145,1.0,IF(R144=R145,0.5,0.0)),""),"")</f>
        <v/>
      </c>
      <c r="V144">
        <f>IF(ISNUMBER(R144),IF(ISNUMBER(R146),IF(R144&gt;R146,1.0,IF(R144=R146,0.5,0.0)),""),"")</f>
        <v/>
      </c>
      <c r="W144">
        <f>IF(ISNUMBER(R144),IF(ISNUMBER(R147),IF(R144&gt;R147,1.0,IF(R144=R147,0.5,0.0)),""),"")</f>
        <v/>
      </c>
      <c r="X144">
        <f>IF(ISNUMBER(R144),IF(ISNUMBER(R148),IF(R144&gt;R148,1.0,IF(R144=R148,0.5,0.0)),""),"")</f>
        <v/>
      </c>
      <c r="Y144">
        <f>IF(ISNUMBER(R144),IF(ISNUMBER(R149),IF(R144&gt;R149,1.0,IF(R144=R149,0.5,0.0)),""),"")</f>
        <v/>
      </c>
      <c r="Z144">
        <f>IF(ISNUMBER(S144),IF(ISNUMBER(S143),IF(S144&gt;S143,1.0,IF(S144=S143,0.5,0.0)),""),"")</f>
        <v/>
      </c>
      <c r="AA144">
        <f>IF(ISNUMBER(S144),IF(ISNUMBER(S145),IF(S144&gt;S145,1.0,IF(S144=S145,0.5,0.0)),""),"")</f>
        <v/>
      </c>
      <c r="AB144">
        <f>IF(ISNUMBER(S144),IF(ISNUMBER(S146),IF(S144&gt;S146,1.0,IF(S144=S146,0.5,0.0)),""),"")</f>
        <v/>
      </c>
      <c r="AC144">
        <f>IF(ISNUMBER(S144),IF(ISNUMBER(S147),IF(S144&gt;S147,1.0,IF(S144=S147,0.5,0.0)),""),"")</f>
        <v/>
      </c>
      <c r="AD144">
        <f>IF(ISNUMBER(S144),IF(ISNUMBER(S148),IF(S144&gt;S148,1.0,IF(S144=S148,0.5,0.0)),""),"")</f>
        <v/>
      </c>
      <c r="AE144">
        <f>IF(ISNUMBER(S144),IF(ISNUMBER(S149),IF(S144&gt;S149,1.0,IF(S144=S149,0.5,0.0)),""),"")</f>
        <v/>
      </c>
      <c r="AF144" s="14">
        <f>IF(AND(ISNUMBER(R144),ISNUMBER(R143)),VLOOKUP(ABS(R144-R143),'IMP Table'!$A$2:$C$26,3)*SIGN(R144-R143),0)</f>
        <v/>
      </c>
      <c r="AG144">
        <f>IF(AND(ISNUMBER(R144),ISNUMBER(R145)),VLOOKUP(ABS(R144-R145),'IMP Table'!$A$2:$C$26,3)*SIGN(R144-R145),0)</f>
        <v/>
      </c>
      <c r="AH144">
        <f>IF(AND(ISNUMBER(R144),ISNUMBER(R146)),VLOOKUP(ABS(R144-R146),'IMP Table'!$A$2:$C$26,3)*SIGN(R144-R146),0)</f>
        <v/>
      </c>
      <c r="AI144">
        <f>IF(AND(ISNUMBER(R144),ISNUMBER(R147)),VLOOKUP(ABS(R144-R147),'IMP Table'!$A$2:$C$26,3)*SIGN(R144-R147),0)</f>
        <v/>
      </c>
      <c r="AJ144">
        <f>IF(AND(ISNUMBER(R144),ISNUMBER(R148)),VLOOKUP(ABS(R144-R148),'IMP Table'!$A$2:$C$26,3)*SIGN(R144-R148),0)</f>
        <v/>
      </c>
      <c r="AK144">
        <f>IF(AND(ISNUMBER(R144),ISNUMBER(R149)),VLOOKUP(ABS(R144-R149),'IMP Table'!$A$2:$C$26,3)*SIGN(R144-R149),0)</f>
        <v/>
      </c>
      <c r="AL144">
        <f>IF(AND(ISNUMBER(S144),ISNUMBER(S143)),VLOOKUP(ABS(S144-S143),'IMP Table'!$A$2:$C$26,3)*SIGN(S144-S143),0)</f>
        <v/>
      </c>
      <c r="AM144">
        <f>IF(AND(ISNUMBER(S144),ISNUMBER(S145)),VLOOKUP(ABS(S144-S145),'IMP Table'!$A$2:$C$26,3)*SIGN(S144-S145),0)</f>
        <v/>
      </c>
      <c r="AN144">
        <f>IF(AND(ISNUMBER(S144),ISNUMBER(S146)),VLOOKUP(ABS(S144-S146),'IMP Table'!$A$2:$C$26,3)*SIGN(S144-S146),0)</f>
        <v/>
      </c>
      <c r="AO144">
        <f>IF(AND(ISNUMBER(S144),ISNUMBER(S147)),VLOOKUP(ABS(S144-S147),'IMP Table'!$A$2:$C$26,3)*SIGN(S144-S147),0)</f>
        <v/>
      </c>
      <c r="AP144">
        <f>IF(AND(ISNUMBER(S144),ISNUMBER(S148)),VLOOKUP(ABS(S144-S148),'IMP Table'!$A$2:$C$26,3)*SIGN(S144-S148),0)</f>
        <v/>
      </c>
      <c r="AQ144">
        <f>IF(AND(ISNUMBER(S144),ISNUMBER(S149)),VLOOKUP(ABS(S144-S149),'IMP Table'!$A$2:$C$26,3)*SIGN(S144-S149),0)</f>
        <v/>
      </c>
    </row>
    <row r="145">
      <c r="B145">
        <f>'By Round'!A87</f>
        <v/>
      </c>
      <c r="C145">
        <f>'By Round'!B93</f>
        <v/>
      </c>
      <c r="D145">
        <f>'By Round'!C93</f>
        <v/>
      </c>
      <c r="E145">
        <f>'By Round'!D93</f>
        <v/>
      </c>
      <c r="F145" s="11" t="inlineStr">
        <is>
          <t>NS</t>
        </is>
      </c>
      <c r="G145">
        <f>IF(ISBLANK('By Round'!G93),"",'By Round'!G93)</f>
        <v/>
      </c>
      <c r="H145">
        <f>IF(ISBLANK('By Round'!H93),"",'By Round'!H93)</f>
        <v/>
      </c>
      <c r="I145">
        <f>IF(ISBLANK('By Round'!I93),"",'By Round'!I93)</f>
        <v/>
      </c>
      <c r="J145">
        <f>IF(ISBLANK('By Round'!J93),"",'By Round'!J93)</f>
        <v/>
      </c>
      <c r="K145">
        <f>IF(ISBLANK('By Round'!K93),"",'By Round'!K93)</f>
        <v/>
      </c>
      <c r="L145" s="12">
        <f>SUM(AF145:AK145)</f>
        <v/>
      </c>
      <c r="M145" s="13">
        <f>SUM(AL145:AQ145)</f>
        <v/>
      </c>
      <c r="N145" s="8">
        <f>IF(COUNT(T145:Y145)&gt;0,P145/COUNT(T145:Y145),0.5)</f>
        <v/>
      </c>
      <c r="O145" s="8">
        <f>IF(COUNT(Z145:AE145)&gt;0,Q145/COUNT(Z145:AE145),0.5)</f>
        <v/>
      </c>
      <c r="P145" s="5">
        <f>SUM(T145:Y145)</f>
        <v/>
      </c>
      <c r="Q145" s="5">
        <f>SUM(Z145:AE145)</f>
        <v/>
      </c>
      <c r="R145" s="14">
        <f>IF(ISNUMBER(J145),J145,IF(ISNUMBER(K145),-K145,""))</f>
        <v/>
      </c>
      <c r="S145">
        <f>IF(ISNUMBER(K145),K145,IF(ISNUMBER(J145),-J145,""))</f>
        <v/>
      </c>
      <c r="T145" s="14">
        <f>IF(ISNUMBER(R145),IF(ISNUMBER(R143),IF(R145&gt;R143,1.0,IF(R145=R143,0.5,0.0)),""),"")</f>
        <v/>
      </c>
      <c r="U145">
        <f>IF(ISNUMBER(R145),IF(ISNUMBER(R144),IF(R145&gt;R144,1.0,IF(R145=R144,0.5,0.0)),""),"")</f>
        <v/>
      </c>
      <c r="V145">
        <f>IF(ISNUMBER(R145),IF(ISNUMBER(R146),IF(R145&gt;R146,1.0,IF(R145=R146,0.5,0.0)),""),"")</f>
        <v/>
      </c>
      <c r="W145">
        <f>IF(ISNUMBER(R145),IF(ISNUMBER(R147),IF(R145&gt;R147,1.0,IF(R145=R147,0.5,0.0)),""),"")</f>
        <v/>
      </c>
      <c r="X145">
        <f>IF(ISNUMBER(R145),IF(ISNUMBER(R148),IF(R145&gt;R148,1.0,IF(R145=R148,0.5,0.0)),""),"")</f>
        <v/>
      </c>
      <c r="Y145">
        <f>IF(ISNUMBER(R145),IF(ISNUMBER(R149),IF(R145&gt;R149,1.0,IF(R145=R149,0.5,0.0)),""),"")</f>
        <v/>
      </c>
      <c r="Z145">
        <f>IF(ISNUMBER(S145),IF(ISNUMBER(S143),IF(S145&gt;S143,1.0,IF(S145=S143,0.5,0.0)),""),"")</f>
        <v/>
      </c>
      <c r="AA145">
        <f>IF(ISNUMBER(S145),IF(ISNUMBER(S144),IF(S145&gt;S144,1.0,IF(S145=S144,0.5,0.0)),""),"")</f>
        <v/>
      </c>
      <c r="AB145">
        <f>IF(ISNUMBER(S145),IF(ISNUMBER(S146),IF(S145&gt;S146,1.0,IF(S145=S146,0.5,0.0)),""),"")</f>
        <v/>
      </c>
      <c r="AC145">
        <f>IF(ISNUMBER(S145),IF(ISNUMBER(S147),IF(S145&gt;S147,1.0,IF(S145=S147,0.5,0.0)),""),"")</f>
        <v/>
      </c>
      <c r="AD145">
        <f>IF(ISNUMBER(S145),IF(ISNUMBER(S148),IF(S145&gt;S148,1.0,IF(S145=S148,0.5,0.0)),""),"")</f>
        <v/>
      </c>
      <c r="AE145">
        <f>IF(ISNUMBER(S145),IF(ISNUMBER(S149),IF(S145&gt;S149,1.0,IF(S145=S149,0.5,0.0)),""),"")</f>
        <v/>
      </c>
      <c r="AF145" s="14">
        <f>IF(AND(ISNUMBER(R145),ISNUMBER(R143)),VLOOKUP(ABS(R145-R143),'IMP Table'!$A$2:$C$26,3)*SIGN(R145-R143),0)</f>
        <v/>
      </c>
      <c r="AG145">
        <f>IF(AND(ISNUMBER(R145),ISNUMBER(R144)),VLOOKUP(ABS(R145-R144),'IMP Table'!$A$2:$C$26,3)*SIGN(R145-R144),0)</f>
        <v/>
      </c>
      <c r="AH145">
        <f>IF(AND(ISNUMBER(R145),ISNUMBER(R146)),VLOOKUP(ABS(R145-R146),'IMP Table'!$A$2:$C$26,3)*SIGN(R145-R146),0)</f>
        <v/>
      </c>
      <c r="AI145">
        <f>IF(AND(ISNUMBER(R145),ISNUMBER(R147)),VLOOKUP(ABS(R145-R147),'IMP Table'!$A$2:$C$26,3)*SIGN(R145-R147),0)</f>
        <v/>
      </c>
      <c r="AJ145">
        <f>IF(AND(ISNUMBER(R145),ISNUMBER(R148)),VLOOKUP(ABS(R145-R148),'IMP Table'!$A$2:$C$26,3)*SIGN(R145-R148),0)</f>
        <v/>
      </c>
      <c r="AK145">
        <f>IF(AND(ISNUMBER(R145),ISNUMBER(R149)),VLOOKUP(ABS(R145-R149),'IMP Table'!$A$2:$C$26,3)*SIGN(R145-R149),0)</f>
        <v/>
      </c>
      <c r="AL145">
        <f>IF(AND(ISNUMBER(S145),ISNUMBER(S143)),VLOOKUP(ABS(S145-S143),'IMP Table'!$A$2:$C$26,3)*SIGN(S145-S143),0)</f>
        <v/>
      </c>
      <c r="AM145">
        <f>IF(AND(ISNUMBER(S145),ISNUMBER(S144)),VLOOKUP(ABS(S145-S144),'IMP Table'!$A$2:$C$26,3)*SIGN(S145-S144),0)</f>
        <v/>
      </c>
      <c r="AN145">
        <f>IF(AND(ISNUMBER(S145),ISNUMBER(S146)),VLOOKUP(ABS(S145-S146),'IMP Table'!$A$2:$C$26,3)*SIGN(S145-S146),0)</f>
        <v/>
      </c>
      <c r="AO145">
        <f>IF(AND(ISNUMBER(S145),ISNUMBER(S147)),VLOOKUP(ABS(S145-S147),'IMP Table'!$A$2:$C$26,3)*SIGN(S145-S147),0)</f>
        <v/>
      </c>
      <c r="AP145">
        <f>IF(AND(ISNUMBER(S145),ISNUMBER(S148)),VLOOKUP(ABS(S145-S148),'IMP Table'!$A$2:$C$26,3)*SIGN(S145-S148),0)</f>
        <v/>
      </c>
      <c r="AQ145">
        <f>IF(AND(ISNUMBER(S145),ISNUMBER(S149)),VLOOKUP(ABS(S145-S149),'IMP Table'!$A$2:$C$26,3)*SIGN(S145-S149),0)</f>
        <v/>
      </c>
    </row>
    <row r="146">
      <c r="B146">
        <f>'By Round'!A101</f>
        <v/>
      </c>
      <c r="C146">
        <f>'By Round'!B105</f>
        <v/>
      </c>
      <c r="D146">
        <f>'By Round'!C105</f>
        <v/>
      </c>
      <c r="E146">
        <f>'By Round'!D105</f>
        <v/>
      </c>
      <c r="F146" s="11" t="inlineStr">
        <is>
          <t>NS</t>
        </is>
      </c>
      <c r="G146">
        <f>IF(ISBLANK('By Round'!G105),"",'By Round'!G105)</f>
        <v/>
      </c>
      <c r="H146">
        <f>IF(ISBLANK('By Round'!H105),"",'By Round'!H105)</f>
        <v/>
      </c>
      <c r="I146">
        <f>IF(ISBLANK('By Round'!I105),"",'By Round'!I105)</f>
        <v/>
      </c>
      <c r="J146">
        <f>IF(ISBLANK('By Round'!J105),"",'By Round'!J105)</f>
        <v/>
      </c>
      <c r="K146">
        <f>IF(ISBLANK('By Round'!K105),"",'By Round'!K105)</f>
        <v/>
      </c>
      <c r="L146" s="12">
        <f>SUM(AF146:AK146)</f>
        <v/>
      </c>
      <c r="M146" s="13">
        <f>SUM(AL146:AQ146)</f>
        <v/>
      </c>
      <c r="N146" s="8">
        <f>IF(COUNT(T146:Y146)&gt;0,P146/COUNT(T146:Y146),0.5)</f>
        <v/>
      </c>
      <c r="O146" s="8">
        <f>IF(COUNT(Z146:AE146)&gt;0,Q146/COUNT(Z146:AE146),0.5)</f>
        <v/>
      </c>
      <c r="P146" s="5">
        <f>SUM(T146:Y146)</f>
        <v/>
      </c>
      <c r="Q146" s="5">
        <f>SUM(Z146:AE146)</f>
        <v/>
      </c>
      <c r="R146" s="14">
        <f>IF(ISNUMBER(J146),J146,IF(ISNUMBER(K146),-K146,""))</f>
        <v/>
      </c>
      <c r="S146">
        <f>IF(ISNUMBER(K146),K146,IF(ISNUMBER(J146),-J146,""))</f>
        <v/>
      </c>
      <c r="T146" s="14">
        <f>IF(ISNUMBER(R146),IF(ISNUMBER(R143),IF(R146&gt;R143,1.0,IF(R146=R143,0.5,0.0)),""),"")</f>
        <v/>
      </c>
      <c r="U146">
        <f>IF(ISNUMBER(R146),IF(ISNUMBER(R144),IF(R146&gt;R144,1.0,IF(R146=R144,0.5,0.0)),""),"")</f>
        <v/>
      </c>
      <c r="V146">
        <f>IF(ISNUMBER(R146),IF(ISNUMBER(R145),IF(R146&gt;R145,1.0,IF(R146=R145,0.5,0.0)),""),"")</f>
        <v/>
      </c>
      <c r="W146">
        <f>IF(ISNUMBER(R146),IF(ISNUMBER(R147),IF(R146&gt;R147,1.0,IF(R146=R147,0.5,0.0)),""),"")</f>
        <v/>
      </c>
      <c r="X146">
        <f>IF(ISNUMBER(R146),IF(ISNUMBER(R148),IF(R146&gt;R148,1.0,IF(R146=R148,0.5,0.0)),""),"")</f>
        <v/>
      </c>
      <c r="Y146">
        <f>IF(ISNUMBER(R146),IF(ISNUMBER(R149),IF(R146&gt;R149,1.0,IF(R146=R149,0.5,0.0)),""),"")</f>
        <v/>
      </c>
      <c r="Z146">
        <f>IF(ISNUMBER(S146),IF(ISNUMBER(S143),IF(S146&gt;S143,1.0,IF(S146=S143,0.5,0.0)),""),"")</f>
        <v/>
      </c>
      <c r="AA146">
        <f>IF(ISNUMBER(S146),IF(ISNUMBER(S144),IF(S146&gt;S144,1.0,IF(S146=S144,0.5,0.0)),""),"")</f>
        <v/>
      </c>
      <c r="AB146">
        <f>IF(ISNUMBER(S146),IF(ISNUMBER(S145),IF(S146&gt;S145,1.0,IF(S146=S145,0.5,0.0)),""),"")</f>
        <v/>
      </c>
      <c r="AC146">
        <f>IF(ISNUMBER(S146),IF(ISNUMBER(S147),IF(S146&gt;S147,1.0,IF(S146=S147,0.5,0.0)),""),"")</f>
        <v/>
      </c>
      <c r="AD146">
        <f>IF(ISNUMBER(S146),IF(ISNUMBER(S148),IF(S146&gt;S148,1.0,IF(S146=S148,0.5,0.0)),""),"")</f>
        <v/>
      </c>
      <c r="AE146">
        <f>IF(ISNUMBER(S146),IF(ISNUMBER(S149),IF(S146&gt;S149,1.0,IF(S146=S149,0.5,0.0)),""),"")</f>
        <v/>
      </c>
      <c r="AF146" s="14">
        <f>IF(AND(ISNUMBER(R146),ISNUMBER(R143)),VLOOKUP(ABS(R146-R143),'IMP Table'!$A$2:$C$26,3)*SIGN(R146-R143),0)</f>
        <v/>
      </c>
      <c r="AG146">
        <f>IF(AND(ISNUMBER(R146),ISNUMBER(R144)),VLOOKUP(ABS(R146-R144),'IMP Table'!$A$2:$C$26,3)*SIGN(R146-R144),0)</f>
        <v/>
      </c>
      <c r="AH146">
        <f>IF(AND(ISNUMBER(R146),ISNUMBER(R145)),VLOOKUP(ABS(R146-R145),'IMP Table'!$A$2:$C$26,3)*SIGN(R146-R145),0)</f>
        <v/>
      </c>
      <c r="AI146">
        <f>IF(AND(ISNUMBER(R146),ISNUMBER(R147)),VLOOKUP(ABS(R146-R147),'IMP Table'!$A$2:$C$26,3)*SIGN(R146-R147),0)</f>
        <v/>
      </c>
      <c r="AJ146">
        <f>IF(AND(ISNUMBER(R146),ISNUMBER(R148)),VLOOKUP(ABS(R146-R148),'IMP Table'!$A$2:$C$26,3)*SIGN(R146-R148),0)</f>
        <v/>
      </c>
      <c r="AK146">
        <f>IF(AND(ISNUMBER(R146),ISNUMBER(R149)),VLOOKUP(ABS(R146-R149),'IMP Table'!$A$2:$C$26,3)*SIGN(R146-R149),0)</f>
        <v/>
      </c>
      <c r="AL146">
        <f>IF(AND(ISNUMBER(S146),ISNUMBER(S143)),VLOOKUP(ABS(S146-S143),'IMP Table'!$A$2:$C$26,3)*SIGN(S146-S143),0)</f>
        <v/>
      </c>
      <c r="AM146">
        <f>IF(AND(ISNUMBER(S146),ISNUMBER(S144)),VLOOKUP(ABS(S146-S144),'IMP Table'!$A$2:$C$26,3)*SIGN(S146-S144),0)</f>
        <v/>
      </c>
      <c r="AN146">
        <f>IF(AND(ISNUMBER(S146),ISNUMBER(S145)),VLOOKUP(ABS(S146-S145),'IMP Table'!$A$2:$C$26,3)*SIGN(S146-S145),0)</f>
        <v/>
      </c>
      <c r="AO146">
        <f>IF(AND(ISNUMBER(S146),ISNUMBER(S147)),VLOOKUP(ABS(S146-S147),'IMP Table'!$A$2:$C$26,3)*SIGN(S146-S147),0)</f>
        <v/>
      </c>
      <c r="AP146">
        <f>IF(AND(ISNUMBER(S146),ISNUMBER(S148)),VLOOKUP(ABS(S146-S148),'IMP Table'!$A$2:$C$26,3)*SIGN(S146-S148),0)</f>
        <v/>
      </c>
      <c r="AQ146">
        <f>IF(AND(ISNUMBER(S146),ISNUMBER(S149)),VLOOKUP(ABS(S146-S149),'IMP Table'!$A$2:$C$26,3)*SIGN(S146-S149),0)</f>
        <v/>
      </c>
    </row>
    <row r="147">
      <c r="B147">
        <f>'By Round'!A115</f>
        <v/>
      </c>
      <c r="C147">
        <f>'By Round'!B117</f>
        <v/>
      </c>
      <c r="D147">
        <f>'By Round'!C117</f>
        <v/>
      </c>
      <c r="E147">
        <f>'By Round'!D117</f>
        <v/>
      </c>
      <c r="F147" s="11" t="inlineStr">
        <is>
          <t>NS</t>
        </is>
      </c>
      <c r="G147">
        <f>IF(ISBLANK('By Round'!G117),"",'By Round'!G117)</f>
        <v/>
      </c>
      <c r="H147">
        <f>IF(ISBLANK('By Round'!H117),"",'By Round'!H117)</f>
        <v/>
      </c>
      <c r="I147">
        <f>IF(ISBLANK('By Round'!I117),"",'By Round'!I117)</f>
        <v/>
      </c>
      <c r="J147">
        <f>IF(ISBLANK('By Round'!J117),"",'By Round'!J117)</f>
        <v/>
      </c>
      <c r="K147">
        <f>IF(ISBLANK('By Round'!K117),"",'By Round'!K117)</f>
        <v/>
      </c>
      <c r="L147" s="12">
        <f>SUM(AF147:AK147)</f>
        <v/>
      </c>
      <c r="M147" s="13">
        <f>SUM(AL147:AQ147)</f>
        <v/>
      </c>
      <c r="N147" s="8">
        <f>IF(COUNT(T147:Y147)&gt;0,P147/COUNT(T147:Y147),0.5)</f>
        <v/>
      </c>
      <c r="O147" s="8">
        <f>IF(COUNT(Z147:AE147)&gt;0,Q147/COUNT(Z147:AE147),0.5)</f>
        <v/>
      </c>
      <c r="P147" s="5">
        <f>SUM(T147:Y147)</f>
        <v/>
      </c>
      <c r="Q147" s="5">
        <f>SUM(Z147:AE147)</f>
        <v/>
      </c>
      <c r="R147" s="14">
        <f>IF(ISNUMBER(J147),J147,IF(ISNUMBER(K147),-K147,""))</f>
        <v/>
      </c>
      <c r="S147">
        <f>IF(ISNUMBER(K147),K147,IF(ISNUMBER(J147),-J147,""))</f>
        <v/>
      </c>
      <c r="T147" s="14">
        <f>IF(ISNUMBER(R147),IF(ISNUMBER(R143),IF(R147&gt;R143,1.0,IF(R147=R143,0.5,0.0)),""),"")</f>
        <v/>
      </c>
      <c r="U147">
        <f>IF(ISNUMBER(R147),IF(ISNUMBER(R144),IF(R147&gt;R144,1.0,IF(R147=R144,0.5,0.0)),""),"")</f>
        <v/>
      </c>
      <c r="V147">
        <f>IF(ISNUMBER(R147),IF(ISNUMBER(R145),IF(R147&gt;R145,1.0,IF(R147=R145,0.5,0.0)),""),"")</f>
        <v/>
      </c>
      <c r="W147">
        <f>IF(ISNUMBER(R147),IF(ISNUMBER(R146),IF(R147&gt;R146,1.0,IF(R147=R146,0.5,0.0)),""),"")</f>
        <v/>
      </c>
      <c r="X147">
        <f>IF(ISNUMBER(R147),IF(ISNUMBER(R148),IF(R147&gt;R148,1.0,IF(R147=R148,0.5,0.0)),""),"")</f>
        <v/>
      </c>
      <c r="Y147">
        <f>IF(ISNUMBER(R147),IF(ISNUMBER(R149),IF(R147&gt;R149,1.0,IF(R147=R149,0.5,0.0)),""),"")</f>
        <v/>
      </c>
      <c r="Z147">
        <f>IF(ISNUMBER(S147),IF(ISNUMBER(S143),IF(S147&gt;S143,1.0,IF(S147=S143,0.5,0.0)),""),"")</f>
        <v/>
      </c>
      <c r="AA147">
        <f>IF(ISNUMBER(S147),IF(ISNUMBER(S144),IF(S147&gt;S144,1.0,IF(S147=S144,0.5,0.0)),""),"")</f>
        <v/>
      </c>
      <c r="AB147">
        <f>IF(ISNUMBER(S147),IF(ISNUMBER(S145),IF(S147&gt;S145,1.0,IF(S147=S145,0.5,0.0)),""),"")</f>
        <v/>
      </c>
      <c r="AC147">
        <f>IF(ISNUMBER(S147),IF(ISNUMBER(S146),IF(S147&gt;S146,1.0,IF(S147=S146,0.5,0.0)),""),"")</f>
        <v/>
      </c>
      <c r="AD147">
        <f>IF(ISNUMBER(S147),IF(ISNUMBER(S148),IF(S147&gt;S148,1.0,IF(S147=S148,0.5,0.0)),""),"")</f>
        <v/>
      </c>
      <c r="AE147">
        <f>IF(ISNUMBER(S147),IF(ISNUMBER(S149),IF(S147&gt;S149,1.0,IF(S147=S149,0.5,0.0)),""),"")</f>
        <v/>
      </c>
      <c r="AF147" s="14">
        <f>IF(AND(ISNUMBER(R147),ISNUMBER(R143)),VLOOKUP(ABS(R147-R143),'IMP Table'!$A$2:$C$26,3)*SIGN(R147-R143),0)</f>
        <v/>
      </c>
      <c r="AG147">
        <f>IF(AND(ISNUMBER(R147),ISNUMBER(R144)),VLOOKUP(ABS(R147-R144),'IMP Table'!$A$2:$C$26,3)*SIGN(R147-R144),0)</f>
        <v/>
      </c>
      <c r="AH147">
        <f>IF(AND(ISNUMBER(R147),ISNUMBER(R145)),VLOOKUP(ABS(R147-R145),'IMP Table'!$A$2:$C$26,3)*SIGN(R147-R145),0)</f>
        <v/>
      </c>
      <c r="AI147">
        <f>IF(AND(ISNUMBER(R147),ISNUMBER(R146)),VLOOKUP(ABS(R147-R146),'IMP Table'!$A$2:$C$26,3)*SIGN(R147-R146),0)</f>
        <v/>
      </c>
      <c r="AJ147">
        <f>IF(AND(ISNUMBER(R147),ISNUMBER(R148)),VLOOKUP(ABS(R147-R148),'IMP Table'!$A$2:$C$26,3)*SIGN(R147-R148),0)</f>
        <v/>
      </c>
      <c r="AK147">
        <f>IF(AND(ISNUMBER(R147),ISNUMBER(R149)),VLOOKUP(ABS(R147-R149),'IMP Table'!$A$2:$C$26,3)*SIGN(R147-R149),0)</f>
        <v/>
      </c>
      <c r="AL147">
        <f>IF(AND(ISNUMBER(S147),ISNUMBER(S143)),VLOOKUP(ABS(S147-S143),'IMP Table'!$A$2:$C$26,3)*SIGN(S147-S143),0)</f>
        <v/>
      </c>
      <c r="AM147">
        <f>IF(AND(ISNUMBER(S147),ISNUMBER(S144)),VLOOKUP(ABS(S147-S144),'IMP Table'!$A$2:$C$26,3)*SIGN(S147-S144),0)</f>
        <v/>
      </c>
      <c r="AN147">
        <f>IF(AND(ISNUMBER(S147),ISNUMBER(S145)),VLOOKUP(ABS(S147-S145),'IMP Table'!$A$2:$C$26,3)*SIGN(S147-S145),0)</f>
        <v/>
      </c>
      <c r="AO147">
        <f>IF(AND(ISNUMBER(S147),ISNUMBER(S146)),VLOOKUP(ABS(S147-S146),'IMP Table'!$A$2:$C$26,3)*SIGN(S147-S146),0)</f>
        <v/>
      </c>
      <c r="AP147">
        <f>IF(AND(ISNUMBER(S147),ISNUMBER(S148)),VLOOKUP(ABS(S147-S148),'IMP Table'!$A$2:$C$26,3)*SIGN(S147-S148),0)</f>
        <v/>
      </c>
      <c r="AQ147">
        <f>IF(AND(ISNUMBER(S147),ISNUMBER(S149)),VLOOKUP(ABS(S147-S149),'IMP Table'!$A$2:$C$26,3)*SIGN(S147-S149),0)</f>
        <v/>
      </c>
    </row>
    <row r="148">
      <c r="B148">
        <f>'By Round'!A143</f>
        <v/>
      </c>
      <c r="C148">
        <f>'By Round'!B143</f>
        <v/>
      </c>
      <c r="D148">
        <f>'By Round'!C143</f>
        <v/>
      </c>
      <c r="E148">
        <f>'By Round'!D143</f>
        <v/>
      </c>
      <c r="F148" s="11" t="inlineStr">
        <is>
          <t>NS</t>
        </is>
      </c>
      <c r="G148">
        <f>IF(ISBLANK('By Round'!G143),"",'By Round'!G143)</f>
        <v/>
      </c>
      <c r="H148">
        <f>IF(ISBLANK('By Round'!H143),"",'By Round'!H143)</f>
        <v/>
      </c>
      <c r="I148">
        <f>IF(ISBLANK('By Round'!I143),"",'By Round'!I143)</f>
        <v/>
      </c>
      <c r="J148">
        <f>IF(ISBLANK('By Round'!J143),"",'By Round'!J143)</f>
        <v/>
      </c>
      <c r="K148">
        <f>IF(ISBLANK('By Round'!K143),"",'By Round'!K143)</f>
        <v/>
      </c>
      <c r="L148" s="12">
        <f>SUM(AF148:AK148)</f>
        <v/>
      </c>
      <c r="M148" s="13">
        <f>SUM(AL148:AQ148)</f>
        <v/>
      </c>
      <c r="N148" s="8">
        <f>IF(COUNT(T148:Y148)&gt;0,P148/COUNT(T148:Y148),0.5)</f>
        <v/>
      </c>
      <c r="O148" s="8">
        <f>IF(COUNT(Z148:AE148)&gt;0,Q148/COUNT(Z148:AE148),0.5)</f>
        <v/>
      </c>
      <c r="P148" s="5">
        <f>SUM(T148:Y148)</f>
        <v/>
      </c>
      <c r="Q148" s="5">
        <f>SUM(Z148:AE148)</f>
        <v/>
      </c>
      <c r="R148" s="14">
        <f>IF(ISNUMBER(J148),J148,IF(ISNUMBER(K148),-K148,""))</f>
        <v/>
      </c>
      <c r="S148">
        <f>IF(ISNUMBER(K148),K148,IF(ISNUMBER(J148),-J148,""))</f>
        <v/>
      </c>
      <c r="T148" s="14">
        <f>IF(ISNUMBER(R148),IF(ISNUMBER(R143),IF(R148&gt;R143,1.0,IF(R148=R143,0.5,0.0)),""),"")</f>
        <v/>
      </c>
      <c r="U148">
        <f>IF(ISNUMBER(R148),IF(ISNUMBER(R144),IF(R148&gt;R144,1.0,IF(R148=R144,0.5,0.0)),""),"")</f>
        <v/>
      </c>
      <c r="V148">
        <f>IF(ISNUMBER(R148),IF(ISNUMBER(R145),IF(R148&gt;R145,1.0,IF(R148=R145,0.5,0.0)),""),"")</f>
        <v/>
      </c>
      <c r="W148">
        <f>IF(ISNUMBER(R148),IF(ISNUMBER(R146),IF(R148&gt;R146,1.0,IF(R148=R146,0.5,0.0)),""),"")</f>
        <v/>
      </c>
      <c r="X148">
        <f>IF(ISNUMBER(R148),IF(ISNUMBER(R147),IF(R148&gt;R147,1.0,IF(R148=R147,0.5,0.0)),""),"")</f>
        <v/>
      </c>
      <c r="Y148">
        <f>IF(ISNUMBER(R148),IF(ISNUMBER(R149),IF(R148&gt;R149,1.0,IF(R148=R149,0.5,0.0)),""),"")</f>
        <v/>
      </c>
      <c r="Z148">
        <f>IF(ISNUMBER(S148),IF(ISNUMBER(S143),IF(S148&gt;S143,1.0,IF(S148=S143,0.5,0.0)),""),"")</f>
        <v/>
      </c>
      <c r="AA148">
        <f>IF(ISNUMBER(S148),IF(ISNUMBER(S144),IF(S148&gt;S144,1.0,IF(S148=S144,0.5,0.0)),""),"")</f>
        <v/>
      </c>
      <c r="AB148">
        <f>IF(ISNUMBER(S148),IF(ISNUMBER(S145),IF(S148&gt;S145,1.0,IF(S148=S145,0.5,0.0)),""),"")</f>
        <v/>
      </c>
      <c r="AC148">
        <f>IF(ISNUMBER(S148),IF(ISNUMBER(S146),IF(S148&gt;S146,1.0,IF(S148=S146,0.5,0.0)),""),"")</f>
        <v/>
      </c>
      <c r="AD148">
        <f>IF(ISNUMBER(S148),IF(ISNUMBER(S147),IF(S148&gt;S147,1.0,IF(S148=S147,0.5,0.0)),""),"")</f>
        <v/>
      </c>
      <c r="AE148">
        <f>IF(ISNUMBER(S148),IF(ISNUMBER(S149),IF(S148&gt;S149,1.0,IF(S148=S149,0.5,0.0)),""),"")</f>
        <v/>
      </c>
      <c r="AF148" s="14">
        <f>IF(AND(ISNUMBER(R148),ISNUMBER(R143)),VLOOKUP(ABS(R148-R143),'IMP Table'!$A$2:$C$26,3)*SIGN(R148-R143),0)</f>
        <v/>
      </c>
      <c r="AG148">
        <f>IF(AND(ISNUMBER(R148),ISNUMBER(R144)),VLOOKUP(ABS(R148-R144),'IMP Table'!$A$2:$C$26,3)*SIGN(R148-R144),0)</f>
        <v/>
      </c>
      <c r="AH148">
        <f>IF(AND(ISNUMBER(R148),ISNUMBER(R145)),VLOOKUP(ABS(R148-R145),'IMP Table'!$A$2:$C$26,3)*SIGN(R148-R145),0)</f>
        <v/>
      </c>
      <c r="AI148">
        <f>IF(AND(ISNUMBER(R148),ISNUMBER(R146)),VLOOKUP(ABS(R148-R146),'IMP Table'!$A$2:$C$26,3)*SIGN(R148-R146),0)</f>
        <v/>
      </c>
      <c r="AJ148">
        <f>IF(AND(ISNUMBER(R148),ISNUMBER(R147)),VLOOKUP(ABS(R148-R147),'IMP Table'!$A$2:$C$26,3)*SIGN(R148-R147),0)</f>
        <v/>
      </c>
      <c r="AK148">
        <f>IF(AND(ISNUMBER(R148),ISNUMBER(R149)),VLOOKUP(ABS(R148-R149),'IMP Table'!$A$2:$C$26,3)*SIGN(R148-R149),0)</f>
        <v/>
      </c>
      <c r="AL148">
        <f>IF(AND(ISNUMBER(S148),ISNUMBER(S143)),VLOOKUP(ABS(S148-S143),'IMP Table'!$A$2:$C$26,3)*SIGN(S148-S143),0)</f>
        <v/>
      </c>
      <c r="AM148">
        <f>IF(AND(ISNUMBER(S148),ISNUMBER(S144)),VLOOKUP(ABS(S148-S144),'IMP Table'!$A$2:$C$26,3)*SIGN(S148-S144),0)</f>
        <v/>
      </c>
      <c r="AN148">
        <f>IF(AND(ISNUMBER(S148),ISNUMBER(S145)),VLOOKUP(ABS(S148-S145),'IMP Table'!$A$2:$C$26,3)*SIGN(S148-S145),0)</f>
        <v/>
      </c>
      <c r="AO148">
        <f>IF(AND(ISNUMBER(S148),ISNUMBER(S146)),VLOOKUP(ABS(S148-S146),'IMP Table'!$A$2:$C$26,3)*SIGN(S148-S146),0)</f>
        <v/>
      </c>
      <c r="AP148">
        <f>IF(AND(ISNUMBER(S148),ISNUMBER(S147)),VLOOKUP(ABS(S148-S147),'IMP Table'!$A$2:$C$26,3)*SIGN(S148-S147),0)</f>
        <v/>
      </c>
      <c r="AQ148">
        <f>IF(AND(ISNUMBER(S148),ISNUMBER(S149)),VLOOKUP(ABS(S148-S149),'IMP Table'!$A$2:$C$26,3)*SIGN(S148-S149),0)</f>
        <v/>
      </c>
    </row>
    <row r="149">
      <c r="A149" s="15" t="n"/>
      <c r="B149" s="15">
        <f>'By Round'!A171</f>
        <v/>
      </c>
      <c r="C149" s="15">
        <f>'By Round'!B183</f>
        <v/>
      </c>
      <c r="D149" s="15">
        <f>'By Round'!C183</f>
        <v/>
      </c>
      <c r="E149" s="15">
        <f>'By Round'!D183</f>
        <v/>
      </c>
      <c r="F149" s="16" t="inlineStr">
        <is>
          <t>NS</t>
        </is>
      </c>
      <c r="G149" s="15">
        <f>IF(ISBLANK('By Round'!G183),"",'By Round'!G183)</f>
        <v/>
      </c>
      <c r="H149" s="15">
        <f>IF(ISBLANK('By Round'!H183),"",'By Round'!H183)</f>
        <v/>
      </c>
      <c r="I149" s="15">
        <f>IF(ISBLANK('By Round'!I183),"",'By Round'!I183)</f>
        <v/>
      </c>
      <c r="J149" s="15">
        <f>IF(ISBLANK('By Round'!J183),"",'By Round'!J183)</f>
        <v/>
      </c>
      <c r="K149" s="15">
        <f>IF(ISBLANK('By Round'!K183),"",'By Round'!K183)</f>
        <v/>
      </c>
      <c r="L149" s="17">
        <f>SUM(AF149:AK149)</f>
        <v/>
      </c>
      <c r="M149" s="18">
        <f>SUM(AL149:AQ149)</f>
        <v/>
      </c>
      <c r="N149" s="19">
        <f>IF(COUNT(T149:Y149)&gt;0,P149/COUNT(T149:Y149),0.5)</f>
        <v/>
      </c>
      <c r="O149" s="19">
        <f>IF(COUNT(Z149:AE149)&gt;0,Q149/COUNT(Z149:AE149),0.5)</f>
        <v/>
      </c>
      <c r="P149" s="20">
        <f>SUM(T149:Y149)</f>
        <v/>
      </c>
      <c r="Q149" s="20">
        <f>SUM(Z149:AE149)</f>
        <v/>
      </c>
      <c r="R149" s="21">
        <f>IF(ISNUMBER(J149),J149,IF(ISNUMBER(K149),-K149,""))</f>
        <v/>
      </c>
      <c r="S149" s="15">
        <f>IF(ISNUMBER(K149),K149,IF(ISNUMBER(J149),-J149,""))</f>
        <v/>
      </c>
      <c r="T149" s="21">
        <f>IF(ISNUMBER(R149),IF(ISNUMBER(R143),IF(R149&gt;R143,1.0,IF(R149=R143,0.5,0.0)),""),"")</f>
        <v/>
      </c>
      <c r="U149" s="15">
        <f>IF(ISNUMBER(R149),IF(ISNUMBER(R144),IF(R149&gt;R144,1.0,IF(R149=R144,0.5,0.0)),""),"")</f>
        <v/>
      </c>
      <c r="V149" s="15">
        <f>IF(ISNUMBER(R149),IF(ISNUMBER(R145),IF(R149&gt;R145,1.0,IF(R149=R145,0.5,0.0)),""),"")</f>
        <v/>
      </c>
      <c r="W149" s="15">
        <f>IF(ISNUMBER(R149),IF(ISNUMBER(R146),IF(R149&gt;R146,1.0,IF(R149=R146,0.5,0.0)),""),"")</f>
        <v/>
      </c>
      <c r="X149" s="15">
        <f>IF(ISNUMBER(R149),IF(ISNUMBER(R147),IF(R149&gt;R147,1.0,IF(R149=R147,0.5,0.0)),""),"")</f>
        <v/>
      </c>
      <c r="Y149" s="15">
        <f>IF(ISNUMBER(R149),IF(ISNUMBER(R148),IF(R149&gt;R148,1.0,IF(R149=R148,0.5,0.0)),""),"")</f>
        <v/>
      </c>
      <c r="Z149" s="15">
        <f>IF(ISNUMBER(S149),IF(ISNUMBER(S143),IF(S149&gt;S143,1.0,IF(S149=S143,0.5,0.0)),""),"")</f>
        <v/>
      </c>
      <c r="AA149" s="15">
        <f>IF(ISNUMBER(S149),IF(ISNUMBER(S144),IF(S149&gt;S144,1.0,IF(S149=S144,0.5,0.0)),""),"")</f>
        <v/>
      </c>
      <c r="AB149" s="15">
        <f>IF(ISNUMBER(S149),IF(ISNUMBER(S145),IF(S149&gt;S145,1.0,IF(S149=S145,0.5,0.0)),""),"")</f>
        <v/>
      </c>
      <c r="AC149" s="15">
        <f>IF(ISNUMBER(S149),IF(ISNUMBER(S146),IF(S149&gt;S146,1.0,IF(S149=S146,0.5,0.0)),""),"")</f>
        <v/>
      </c>
      <c r="AD149" s="15">
        <f>IF(ISNUMBER(S149),IF(ISNUMBER(S147),IF(S149&gt;S147,1.0,IF(S149=S147,0.5,0.0)),""),"")</f>
        <v/>
      </c>
      <c r="AE149" s="15">
        <f>IF(ISNUMBER(S149),IF(ISNUMBER(S148),IF(S149&gt;S148,1.0,IF(S149=S148,0.5,0.0)),""),"")</f>
        <v/>
      </c>
      <c r="AF149" s="21">
        <f>IF(AND(ISNUMBER(R149),ISNUMBER(R143)),VLOOKUP(ABS(R149-R143),'IMP Table'!$A$2:$C$26,3)*SIGN(R149-R143),0)</f>
        <v/>
      </c>
      <c r="AG149" s="15">
        <f>IF(AND(ISNUMBER(R149),ISNUMBER(R144)),VLOOKUP(ABS(R149-R144),'IMP Table'!$A$2:$C$26,3)*SIGN(R149-R144),0)</f>
        <v/>
      </c>
      <c r="AH149" s="15">
        <f>IF(AND(ISNUMBER(R149),ISNUMBER(R145)),VLOOKUP(ABS(R149-R145),'IMP Table'!$A$2:$C$26,3)*SIGN(R149-R145),0)</f>
        <v/>
      </c>
      <c r="AI149" s="15">
        <f>IF(AND(ISNUMBER(R149),ISNUMBER(R146)),VLOOKUP(ABS(R149-R146),'IMP Table'!$A$2:$C$26,3)*SIGN(R149-R146),0)</f>
        <v/>
      </c>
      <c r="AJ149" s="15">
        <f>IF(AND(ISNUMBER(R149),ISNUMBER(R147)),VLOOKUP(ABS(R149-R147),'IMP Table'!$A$2:$C$26,3)*SIGN(R149-R147),0)</f>
        <v/>
      </c>
      <c r="AK149" s="15">
        <f>IF(AND(ISNUMBER(R149),ISNUMBER(R148)),VLOOKUP(ABS(R149-R148),'IMP Table'!$A$2:$C$26,3)*SIGN(R149-R148),0)</f>
        <v/>
      </c>
      <c r="AL149" s="15">
        <f>IF(AND(ISNUMBER(S149),ISNUMBER(S143)),VLOOKUP(ABS(S149-S143),'IMP Table'!$A$2:$C$26,3)*SIGN(S149-S143),0)</f>
        <v/>
      </c>
      <c r="AM149" s="15">
        <f>IF(AND(ISNUMBER(S149),ISNUMBER(S144)),VLOOKUP(ABS(S149-S144),'IMP Table'!$A$2:$C$26,3)*SIGN(S149-S144),0)</f>
        <v/>
      </c>
      <c r="AN149" s="15">
        <f>IF(AND(ISNUMBER(S149),ISNUMBER(S145)),VLOOKUP(ABS(S149-S145),'IMP Table'!$A$2:$C$26,3)*SIGN(S149-S145),0)</f>
        <v/>
      </c>
      <c r="AO149" s="15">
        <f>IF(AND(ISNUMBER(S149),ISNUMBER(S146)),VLOOKUP(ABS(S149-S146),'IMP Table'!$A$2:$C$26,3)*SIGN(S149-S146),0)</f>
        <v/>
      </c>
      <c r="AP149" s="15">
        <f>IF(AND(ISNUMBER(S149),ISNUMBER(S147)),VLOOKUP(ABS(S149-S147),'IMP Table'!$A$2:$C$26,3)*SIGN(S149-S147),0)</f>
        <v/>
      </c>
      <c r="AQ149" s="15">
        <f>IF(AND(ISNUMBER(S149),ISNUMBER(S148)),VLOOKUP(ABS(S149-S148),'IMP Table'!$A$2:$C$26,3)*SIGN(S149-S148),0)</f>
        <v/>
      </c>
    </row>
    <row r="150">
      <c r="A150" t="n">
        <v>22</v>
      </c>
      <c r="B150">
        <f>'By Round'!A3</f>
        <v/>
      </c>
      <c r="C150">
        <f>'By Round'!B13</f>
        <v/>
      </c>
      <c r="D150">
        <f>'By Round'!C13</f>
        <v/>
      </c>
      <c r="E150">
        <f>'By Round'!D13</f>
        <v/>
      </c>
      <c r="F150" s="11" t="inlineStr">
        <is>
          <t>EW</t>
        </is>
      </c>
      <c r="G150">
        <f>IF(ISBLANK('By Round'!G13),"",'By Round'!G13)</f>
        <v/>
      </c>
      <c r="H150">
        <f>IF(ISBLANK('By Round'!H13),"",'By Round'!H13)</f>
        <v/>
      </c>
      <c r="I150">
        <f>IF(ISBLANK('By Round'!I13),"",'By Round'!I13)</f>
        <v/>
      </c>
      <c r="J150">
        <f>IF(ISBLANK('By Round'!J13),"",'By Round'!J13)</f>
        <v/>
      </c>
      <c r="K150">
        <f>IF(ISBLANK('By Round'!K13),"",'By Round'!K13)</f>
        <v/>
      </c>
      <c r="L150" s="12">
        <f>SUM(AF150:AK150)</f>
        <v/>
      </c>
      <c r="M150" s="13">
        <f>SUM(AL150:AQ150)</f>
        <v/>
      </c>
      <c r="N150" s="8">
        <f>IF(COUNT(T150:Y150)&gt;0,P150/COUNT(T150:Y150),0.5)</f>
        <v/>
      </c>
      <c r="O150" s="8">
        <f>IF(COUNT(Z150:AE150)&gt;0,Q150/COUNT(Z150:AE150),0.5)</f>
        <v/>
      </c>
      <c r="P150" s="5">
        <f>SUM(T150:Y150)</f>
        <v/>
      </c>
      <c r="Q150" s="5">
        <f>SUM(Z150:AE150)</f>
        <v/>
      </c>
      <c r="R150" s="14">
        <f>IF(ISNUMBER(J150),J150,IF(ISNUMBER(K150),-K150,""))</f>
        <v/>
      </c>
      <c r="S150">
        <f>IF(ISNUMBER(K150),K150,IF(ISNUMBER(J150),-J150,""))</f>
        <v/>
      </c>
      <c r="T150" s="14">
        <f>IF(ISNUMBER(R150),IF(ISNUMBER(R151),IF(R150&gt;R151,1.0,IF(R150=R151,0.5,0.0)),""),"")</f>
        <v/>
      </c>
      <c r="U150">
        <f>IF(ISNUMBER(R150),IF(ISNUMBER(R152),IF(R150&gt;R152,1.0,IF(R150=R152,0.5,0.0)),""),"")</f>
        <v/>
      </c>
      <c r="V150">
        <f>IF(ISNUMBER(R150),IF(ISNUMBER(R153),IF(R150&gt;R153,1.0,IF(R150=R153,0.5,0.0)),""),"")</f>
        <v/>
      </c>
      <c r="W150">
        <f>IF(ISNUMBER(R150),IF(ISNUMBER(R154),IF(R150&gt;R154,1.0,IF(R150=R154,0.5,0.0)),""),"")</f>
        <v/>
      </c>
      <c r="X150">
        <f>IF(ISNUMBER(R150),IF(ISNUMBER(R155),IF(R150&gt;R155,1.0,IF(R150=R155,0.5,0.0)),""),"")</f>
        <v/>
      </c>
      <c r="Y150">
        <f>IF(ISNUMBER(R150),IF(ISNUMBER(R156),IF(R150&gt;R156,1.0,IF(R150=R156,0.5,0.0)),""),"")</f>
        <v/>
      </c>
      <c r="Z150">
        <f>IF(ISNUMBER(S150),IF(ISNUMBER(S151),IF(S150&gt;S151,1.0,IF(S150=S151,0.5,0.0)),""),"")</f>
        <v/>
      </c>
      <c r="AA150">
        <f>IF(ISNUMBER(S150),IF(ISNUMBER(S152),IF(S150&gt;S152,1.0,IF(S150=S152,0.5,0.0)),""),"")</f>
        <v/>
      </c>
      <c r="AB150">
        <f>IF(ISNUMBER(S150),IF(ISNUMBER(S153),IF(S150&gt;S153,1.0,IF(S150=S153,0.5,0.0)),""),"")</f>
        <v/>
      </c>
      <c r="AC150">
        <f>IF(ISNUMBER(S150),IF(ISNUMBER(S154),IF(S150&gt;S154,1.0,IF(S150=S154,0.5,0.0)),""),"")</f>
        <v/>
      </c>
      <c r="AD150">
        <f>IF(ISNUMBER(S150),IF(ISNUMBER(S155),IF(S150&gt;S155,1.0,IF(S150=S155,0.5,0.0)),""),"")</f>
        <v/>
      </c>
      <c r="AE150">
        <f>IF(ISNUMBER(S150),IF(ISNUMBER(S156),IF(S150&gt;S156,1.0,IF(S150=S156,0.5,0.0)),""),"")</f>
        <v/>
      </c>
      <c r="AF150" s="14">
        <f>IF(AND(ISNUMBER(R150),ISNUMBER(R151)),VLOOKUP(ABS(R150-R151),'IMP Table'!$A$2:$C$26,3)*SIGN(R150-R151),0)</f>
        <v/>
      </c>
      <c r="AG150">
        <f>IF(AND(ISNUMBER(R150),ISNUMBER(R152)),VLOOKUP(ABS(R150-R152),'IMP Table'!$A$2:$C$26,3)*SIGN(R150-R152),0)</f>
        <v/>
      </c>
      <c r="AH150">
        <f>IF(AND(ISNUMBER(R150),ISNUMBER(R153)),VLOOKUP(ABS(R150-R153),'IMP Table'!$A$2:$C$26,3)*SIGN(R150-R153),0)</f>
        <v/>
      </c>
      <c r="AI150">
        <f>IF(AND(ISNUMBER(R150),ISNUMBER(R154)),VLOOKUP(ABS(R150-R154),'IMP Table'!$A$2:$C$26,3)*SIGN(R150-R154),0)</f>
        <v/>
      </c>
      <c r="AJ150">
        <f>IF(AND(ISNUMBER(R150),ISNUMBER(R155)),VLOOKUP(ABS(R150-R155),'IMP Table'!$A$2:$C$26,3)*SIGN(R150-R155),0)</f>
        <v/>
      </c>
      <c r="AK150">
        <f>IF(AND(ISNUMBER(R150),ISNUMBER(R156)),VLOOKUP(ABS(R150-R156),'IMP Table'!$A$2:$C$26,3)*SIGN(R150-R156),0)</f>
        <v/>
      </c>
      <c r="AL150">
        <f>IF(AND(ISNUMBER(S150),ISNUMBER(S151)),VLOOKUP(ABS(S150-S151),'IMP Table'!$A$2:$C$26,3)*SIGN(S150-S151),0)</f>
        <v/>
      </c>
      <c r="AM150">
        <f>IF(AND(ISNUMBER(S150),ISNUMBER(S152)),VLOOKUP(ABS(S150-S152),'IMP Table'!$A$2:$C$26,3)*SIGN(S150-S152),0)</f>
        <v/>
      </c>
      <c r="AN150">
        <f>IF(AND(ISNUMBER(S150),ISNUMBER(S153)),VLOOKUP(ABS(S150-S153),'IMP Table'!$A$2:$C$26,3)*SIGN(S150-S153),0)</f>
        <v/>
      </c>
      <c r="AO150">
        <f>IF(AND(ISNUMBER(S150),ISNUMBER(S154)),VLOOKUP(ABS(S150-S154),'IMP Table'!$A$2:$C$26,3)*SIGN(S150-S154),0)</f>
        <v/>
      </c>
      <c r="AP150">
        <f>IF(AND(ISNUMBER(S150),ISNUMBER(S155)),VLOOKUP(ABS(S150-S155),'IMP Table'!$A$2:$C$26,3)*SIGN(S150-S155),0)</f>
        <v/>
      </c>
      <c r="AQ150">
        <f>IF(AND(ISNUMBER(S150),ISNUMBER(S156)),VLOOKUP(ABS(S150-S156),'IMP Table'!$A$2:$C$26,3)*SIGN(S150-S156),0)</f>
        <v/>
      </c>
    </row>
    <row r="151">
      <c r="B151">
        <f>'By Round'!A17</f>
        <v/>
      </c>
      <c r="C151">
        <f>'By Round'!B25</f>
        <v/>
      </c>
      <c r="D151">
        <f>'By Round'!C25</f>
        <v/>
      </c>
      <c r="E151">
        <f>'By Round'!D25</f>
        <v/>
      </c>
      <c r="F151" s="11" t="inlineStr">
        <is>
          <t>EW</t>
        </is>
      </c>
      <c r="G151">
        <f>IF(ISBLANK('By Round'!G25),"",'By Round'!G25)</f>
        <v/>
      </c>
      <c r="H151">
        <f>IF(ISBLANK('By Round'!H25),"",'By Round'!H25)</f>
        <v/>
      </c>
      <c r="I151">
        <f>IF(ISBLANK('By Round'!I25),"",'By Round'!I25)</f>
        <v/>
      </c>
      <c r="J151">
        <f>IF(ISBLANK('By Round'!J25),"",'By Round'!J25)</f>
        <v/>
      </c>
      <c r="K151">
        <f>IF(ISBLANK('By Round'!K25),"",'By Round'!K25)</f>
        <v/>
      </c>
      <c r="L151" s="12">
        <f>SUM(AF151:AK151)</f>
        <v/>
      </c>
      <c r="M151" s="13">
        <f>SUM(AL151:AQ151)</f>
        <v/>
      </c>
      <c r="N151" s="8">
        <f>IF(COUNT(T151:Y151)&gt;0,P151/COUNT(T151:Y151),0.5)</f>
        <v/>
      </c>
      <c r="O151" s="8">
        <f>IF(COUNT(Z151:AE151)&gt;0,Q151/COUNT(Z151:AE151),0.5)</f>
        <v/>
      </c>
      <c r="P151" s="5">
        <f>SUM(T151:Y151)</f>
        <v/>
      </c>
      <c r="Q151" s="5">
        <f>SUM(Z151:AE151)</f>
        <v/>
      </c>
      <c r="R151" s="14">
        <f>IF(ISNUMBER(J151),J151,IF(ISNUMBER(K151),-K151,""))</f>
        <v/>
      </c>
      <c r="S151">
        <f>IF(ISNUMBER(K151),K151,IF(ISNUMBER(J151),-J151,""))</f>
        <v/>
      </c>
      <c r="T151" s="14">
        <f>IF(ISNUMBER(R151),IF(ISNUMBER(R150),IF(R151&gt;R150,1.0,IF(R151=R150,0.5,0.0)),""),"")</f>
        <v/>
      </c>
      <c r="U151">
        <f>IF(ISNUMBER(R151),IF(ISNUMBER(R152),IF(R151&gt;R152,1.0,IF(R151=R152,0.5,0.0)),""),"")</f>
        <v/>
      </c>
      <c r="V151">
        <f>IF(ISNUMBER(R151),IF(ISNUMBER(R153),IF(R151&gt;R153,1.0,IF(R151=R153,0.5,0.0)),""),"")</f>
        <v/>
      </c>
      <c r="W151">
        <f>IF(ISNUMBER(R151),IF(ISNUMBER(R154),IF(R151&gt;R154,1.0,IF(R151=R154,0.5,0.0)),""),"")</f>
        <v/>
      </c>
      <c r="X151">
        <f>IF(ISNUMBER(R151),IF(ISNUMBER(R155),IF(R151&gt;R155,1.0,IF(R151=R155,0.5,0.0)),""),"")</f>
        <v/>
      </c>
      <c r="Y151">
        <f>IF(ISNUMBER(R151),IF(ISNUMBER(R156),IF(R151&gt;R156,1.0,IF(R151=R156,0.5,0.0)),""),"")</f>
        <v/>
      </c>
      <c r="Z151">
        <f>IF(ISNUMBER(S151),IF(ISNUMBER(S150),IF(S151&gt;S150,1.0,IF(S151=S150,0.5,0.0)),""),"")</f>
        <v/>
      </c>
      <c r="AA151">
        <f>IF(ISNUMBER(S151),IF(ISNUMBER(S152),IF(S151&gt;S152,1.0,IF(S151=S152,0.5,0.0)),""),"")</f>
        <v/>
      </c>
      <c r="AB151">
        <f>IF(ISNUMBER(S151),IF(ISNUMBER(S153),IF(S151&gt;S153,1.0,IF(S151=S153,0.5,0.0)),""),"")</f>
        <v/>
      </c>
      <c r="AC151">
        <f>IF(ISNUMBER(S151),IF(ISNUMBER(S154),IF(S151&gt;S154,1.0,IF(S151=S154,0.5,0.0)),""),"")</f>
        <v/>
      </c>
      <c r="AD151">
        <f>IF(ISNUMBER(S151),IF(ISNUMBER(S155),IF(S151&gt;S155,1.0,IF(S151=S155,0.5,0.0)),""),"")</f>
        <v/>
      </c>
      <c r="AE151">
        <f>IF(ISNUMBER(S151),IF(ISNUMBER(S156),IF(S151&gt;S156,1.0,IF(S151=S156,0.5,0.0)),""),"")</f>
        <v/>
      </c>
      <c r="AF151" s="14">
        <f>IF(AND(ISNUMBER(R151),ISNUMBER(R150)),VLOOKUP(ABS(R151-R150),'IMP Table'!$A$2:$C$26,3)*SIGN(R151-R150),0)</f>
        <v/>
      </c>
      <c r="AG151">
        <f>IF(AND(ISNUMBER(R151),ISNUMBER(R152)),VLOOKUP(ABS(R151-R152),'IMP Table'!$A$2:$C$26,3)*SIGN(R151-R152),0)</f>
        <v/>
      </c>
      <c r="AH151">
        <f>IF(AND(ISNUMBER(R151),ISNUMBER(R153)),VLOOKUP(ABS(R151-R153),'IMP Table'!$A$2:$C$26,3)*SIGN(R151-R153),0)</f>
        <v/>
      </c>
      <c r="AI151">
        <f>IF(AND(ISNUMBER(R151),ISNUMBER(R154)),VLOOKUP(ABS(R151-R154),'IMP Table'!$A$2:$C$26,3)*SIGN(R151-R154),0)</f>
        <v/>
      </c>
      <c r="AJ151">
        <f>IF(AND(ISNUMBER(R151),ISNUMBER(R155)),VLOOKUP(ABS(R151-R155),'IMP Table'!$A$2:$C$26,3)*SIGN(R151-R155),0)</f>
        <v/>
      </c>
      <c r="AK151">
        <f>IF(AND(ISNUMBER(R151),ISNUMBER(R156)),VLOOKUP(ABS(R151-R156),'IMP Table'!$A$2:$C$26,3)*SIGN(R151-R156),0)</f>
        <v/>
      </c>
      <c r="AL151">
        <f>IF(AND(ISNUMBER(S151),ISNUMBER(S150)),VLOOKUP(ABS(S151-S150),'IMP Table'!$A$2:$C$26,3)*SIGN(S151-S150),0)</f>
        <v/>
      </c>
      <c r="AM151">
        <f>IF(AND(ISNUMBER(S151),ISNUMBER(S152)),VLOOKUP(ABS(S151-S152),'IMP Table'!$A$2:$C$26,3)*SIGN(S151-S152),0)</f>
        <v/>
      </c>
      <c r="AN151">
        <f>IF(AND(ISNUMBER(S151),ISNUMBER(S153)),VLOOKUP(ABS(S151-S153),'IMP Table'!$A$2:$C$26,3)*SIGN(S151-S153),0)</f>
        <v/>
      </c>
      <c r="AO151">
        <f>IF(AND(ISNUMBER(S151),ISNUMBER(S154)),VLOOKUP(ABS(S151-S154),'IMP Table'!$A$2:$C$26,3)*SIGN(S151-S154),0)</f>
        <v/>
      </c>
      <c r="AP151">
        <f>IF(AND(ISNUMBER(S151),ISNUMBER(S155)),VLOOKUP(ABS(S151-S155),'IMP Table'!$A$2:$C$26,3)*SIGN(S151-S155),0)</f>
        <v/>
      </c>
      <c r="AQ151">
        <f>IF(AND(ISNUMBER(S151),ISNUMBER(S156)),VLOOKUP(ABS(S151-S156),'IMP Table'!$A$2:$C$26,3)*SIGN(S151-S156),0)</f>
        <v/>
      </c>
    </row>
    <row r="152">
      <c r="B152">
        <f>'By Round'!A87</f>
        <v/>
      </c>
      <c r="C152">
        <f>'By Round'!B93</f>
        <v/>
      </c>
      <c r="D152">
        <f>'By Round'!C93</f>
        <v/>
      </c>
      <c r="E152">
        <f>'By Round'!D93</f>
        <v/>
      </c>
      <c r="F152" s="11" t="inlineStr">
        <is>
          <t>EW</t>
        </is>
      </c>
      <c r="G152">
        <f>IF(ISBLANK('By Round'!G93),"",'By Round'!G93)</f>
        <v/>
      </c>
      <c r="H152">
        <f>IF(ISBLANK('By Round'!H93),"",'By Round'!H93)</f>
        <v/>
      </c>
      <c r="I152">
        <f>IF(ISBLANK('By Round'!I93),"",'By Round'!I93)</f>
        <v/>
      </c>
      <c r="J152">
        <f>IF(ISBLANK('By Round'!J93),"",'By Round'!J93)</f>
        <v/>
      </c>
      <c r="K152">
        <f>IF(ISBLANK('By Round'!K93),"",'By Round'!K93)</f>
        <v/>
      </c>
      <c r="L152" s="12">
        <f>SUM(AF152:AK152)</f>
        <v/>
      </c>
      <c r="M152" s="13">
        <f>SUM(AL152:AQ152)</f>
        <v/>
      </c>
      <c r="N152" s="8">
        <f>IF(COUNT(T152:Y152)&gt;0,P152/COUNT(T152:Y152),0.5)</f>
        <v/>
      </c>
      <c r="O152" s="8">
        <f>IF(COUNT(Z152:AE152)&gt;0,Q152/COUNT(Z152:AE152),0.5)</f>
        <v/>
      </c>
      <c r="P152" s="5">
        <f>SUM(T152:Y152)</f>
        <v/>
      </c>
      <c r="Q152" s="5">
        <f>SUM(Z152:AE152)</f>
        <v/>
      </c>
      <c r="R152" s="14">
        <f>IF(ISNUMBER(J152),J152,IF(ISNUMBER(K152),-K152,""))</f>
        <v/>
      </c>
      <c r="S152">
        <f>IF(ISNUMBER(K152),K152,IF(ISNUMBER(J152),-J152,""))</f>
        <v/>
      </c>
      <c r="T152" s="14">
        <f>IF(ISNUMBER(R152),IF(ISNUMBER(R150),IF(R152&gt;R150,1.0,IF(R152=R150,0.5,0.0)),""),"")</f>
        <v/>
      </c>
      <c r="U152">
        <f>IF(ISNUMBER(R152),IF(ISNUMBER(R151),IF(R152&gt;R151,1.0,IF(R152=R151,0.5,0.0)),""),"")</f>
        <v/>
      </c>
      <c r="V152">
        <f>IF(ISNUMBER(R152),IF(ISNUMBER(R153),IF(R152&gt;R153,1.0,IF(R152=R153,0.5,0.0)),""),"")</f>
        <v/>
      </c>
      <c r="W152">
        <f>IF(ISNUMBER(R152),IF(ISNUMBER(R154),IF(R152&gt;R154,1.0,IF(R152=R154,0.5,0.0)),""),"")</f>
        <v/>
      </c>
      <c r="X152">
        <f>IF(ISNUMBER(R152),IF(ISNUMBER(R155),IF(R152&gt;R155,1.0,IF(R152=R155,0.5,0.0)),""),"")</f>
        <v/>
      </c>
      <c r="Y152">
        <f>IF(ISNUMBER(R152),IF(ISNUMBER(R156),IF(R152&gt;R156,1.0,IF(R152=R156,0.5,0.0)),""),"")</f>
        <v/>
      </c>
      <c r="Z152">
        <f>IF(ISNUMBER(S152),IF(ISNUMBER(S150),IF(S152&gt;S150,1.0,IF(S152=S150,0.5,0.0)),""),"")</f>
        <v/>
      </c>
      <c r="AA152">
        <f>IF(ISNUMBER(S152),IF(ISNUMBER(S151),IF(S152&gt;S151,1.0,IF(S152=S151,0.5,0.0)),""),"")</f>
        <v/>
      </c>
      <c r="AB152">
        <f>IF(ISNUMBER(S152),IF(ISNUMBER(S153),IF(S152&gt;S153,1.0,IF(S152=S153,0.5,0.0)),""),"")</f>
        <v/>
      </c>
      <c r="AC152">
        <f>IF(ISNUMBER(S152),IF(ISNUMBER(S154),IF(S152&gt;S154,1.0,IF(S152=S154,0.5,0.0)),""),"")</f>
        <v/>
      </c>
      <c r="AD152">
        <f>IF(ISNUMBER(S152),IF(ISNUMBER(S155),IF(S152&gt;S155,1.0,IF(S152=S155,0.5,0.0)),""),"")</f>
        <v/>
      </c>
      <c r="AE152">
        <f>IF(ISNUMBER(S152),IF(ISNUMBER(S156),IF(S152&gt;S156,1.0,IF(S152=S156,0.5,0.0)),""),"")</f>
        <v/>
      </c>
      <c r="AF152" s="14">
        <f>IF(AND(ISNUMBER(R152),ISNUMBER(R150)),VLOOKUP(ABS(R152-R150),'IMP Table'!$A$2:$C$26,3)*SIGN(R152-R150),0)</f>
        <v/>
      </c>
      <c r="AG152">
        <f>IF(AND(ISNUMBER(R152),ISNUMBER(R151)),VLOOKUP(ABS(R152-R151),'IMP Table'!$A$2:$C$26,3)*SIGN(R152-R151),0)</f>
        <v/>
      </c>
      <c r="AH152">
        <f>IF(AND(ISNUMBER(R152),ISNUMBER(R153)),VLOOKUP(ABS(R152-R153),'IMP Table'!$A$2:$C$26,3)*SIGN(R152-R153),0)</f>
        <v/>
      </c>
      <c r="AI152">
        <f>IF(AND(ISNUMBER(R152),ISNUMBER(R154)),VLOOKUP(ABS(R152-R154),'IMP Table'!$A$2:$C$26,3)*SIGN(R152-R154),0)</f>
        <v/>
      </c>
      <c r="AJ152">
        <f>IF(AND(ISNUMBER(R152),ISNUMBER(R155)),VLOOKUP(ABS(R152-R155),'IMP Table'!$A$2:$C$26,3)*SIGN(R152-R155),0)</f>
        <v/>
      </c>
      <c r="AK152">
        <f>IF(AND(ISNUMBER(R152),ISNUMBER(R156)),VLOOKUP(ABS(R152-R156),'IMP Table'!$A$2:$C$26,3)*SIGN(R152-R156),0)</f>
        <v/>
      </c>
      <c r="AL152">
        <f>IF(AND(ISNUMBER(S152),ISNUMBER(S150)),VLOOKUP(ABS(S152-S150),'IMP Table'!$A$2:$C$26,3)*SIGN(S152-S150),0)</f>
        <v/>
      </c>
      <c r="AM152">
        <f>IF(AND(ISNUMBER(S152),ISNUMBER(S151)),VLOOKUP(ABS(S152-S151),'IMP Table'!$A$2:$C$26,3)*SIGN(S152-S151),0)</f>
        <v/>
      </c>
      <c r="AN152">
        <f>IF(AND(ISNUMBER(S152),ISNUMBER(S153)),VLOOKUP(ABS(S152-S153),'IMP Table'!$A$2:$C$26,3)*SIGN(S152-S153),0)</f>
        <v/>
      </c>
      <c r="AO152">
        <f>IF(AND(ISNUMBER(S152),ISNUMBER(S154)),VLOOKUP(ABS(S152-S154),'IMP Table'!$A$2:$C$26,3)*SIGN(S152-S154),0)</f>
        <v/>
      </c>
      <c r="AP152">
        <f>IF(AND(ISNUMBER(S152),ISNUMBER(S155)),VLOOKUP(ABS(S152-S155),'IMP Table'!$A$2:$C$26,3)*SIGN(S152-S155),0)</f>
        <v/>
      </c>
      <c r="AQ152">
        <f>IF(AND(ISNUMBER(S152),ISNUMBER(S156)),VLOOKUP(ABS(S152-S156),'IMP Table'!$A$2:$C$26,3)*SIGN(S152-S156),0)</f>
        <v/>
      </c>
    </row>
    <row r="153">
      <c r="B153">
        <f>'By Round'!A101</f>
        <v/>
      </c>
      <c r="C153">
        <f>'By Round'!B105</f>
        <v/>
      </c>
      <c r="D153">
        <f>'By Round'!C105</f>
        <v/>
      </c>
      <c r="E153">
        <f>'By Round'!D105</f>
        <v/>
      </c>
      <c r="F153" s="11" t="inlineStr">
        <is>
          <t>EW</t>
        </is>
      </c>
      <c r="G153">
        <f>IF(ISBLANK('By Round'!G105),"",'By Round'!G105)</f>
        <v/>
      </c>
      <c r="H153">
        <f>IF(ISBLANK('By Round'!H105),"",'By Round'!H105)</f>
        <v/>
      </c>
      <c r="I153">
        <f>IF(ISBLANK('By Round'!I105),"",'By Round'!I105)</f>
        <v/>
      </c>
      <c r="J153">
        <f>IF(ISBLANK('By Round'!J105),"",'By Round'!J105)</f>
        <v/>
      </c>
      <c r="K153">
        <f>IF(ISBLANK('By Round'!K105),"",'By Round'!K105)</f>
        <v/>
      </c>
      <c r="L153" s="12">
        <f>SUM(AF153:AK153)</f>
        <v/>
      </c>
      <c r="M153" s="13">
        <f>SUM(AL153:AQ153)</f>
        <v/>
      </c>
      <c r="N153" s="8">
        <f>IF(COUNT(T153:Y153)&gt;0,P153/COUNT(T153:Y153),0.5)</f>
        <v/>
      </c>
      <c r="O153" s="8">
        <f>IF(COUNT(Z153:AE153)&gt;0,Q153/COUNT(Z153:AE153),0.5)</f>
        <v/>
      </c>
      <c r="P153" s="5">
        <f>SUM(T153:Y153)</f>
        <v/>
      </c>
      <c r="Q153" s="5">
        <f>SUM(Z153:AE153)</f>
        <v/>
      </c>
      <c r="R153" s="14">
        <f>IF(ISNUMBER(J153),J153,IF(ISNUMBER(K153),-K153,""))</f>
        <v/>
      </c>
      <c r="S153">
        <f>IF(ISNUMBER(K153),K153,IF(ISNUMBER(J153),-J153,""))</f>
        <v/>
      </c>
      <c r="T153" s="14">
        <f>IF(ISNUMBER(R153),IF(ISNUMBER(R150),IF(R153&gt;R150,1.0,IF(R153=R150,0.5,0.0)),""),"")</f>
        <v/>
      </c>
      <c r="U153">
        <f>IF(ISNUMBER(R153),IF(ISNUMBER(R151),IF(R153&gt;R151,1.0,IF(R153=R151,0.5,0.0)),""),"")</f>
        <v/>
      </c>
      <c r="V153">
        <f>IF(ISNUMBER(R153),IF(ISNUMBER(R152),IF(R153&gt;R152,1.0,IF(R153=R152,0.5,0.0)),""),"")</f>
        <v/>
      </c>
      <c r="W153">
        <f>IF(ISNUMBER(R153),IF(ISNUMBER(R154),IF(R153&gt;R154,1.0,IF(R153=R154,0.5,0.0)),""),"")</f>
        <v/>
      </c>
      <c r="X153">
        <f>IF(ISNUMBER(R153),IF(ISNUMBER(R155),IF(R153&gt;R155,1.0,IF(R153=R155,0.5,0.0)),""),"")</f>
        <v/>
      </c>
      <c r="Y153">
        <f>IF(ISNUMBER(R153),IF(ISNUMBER(R156),IF(R153&gt;R156,1.0,IF(R153=R156,0.5,0.0)),""),"")</f>
        <v/>
      </c>
      <c r="Z153">
        <f>IF(ISNUMBER(S153),IF(ISNUMBER(S150),IF(S153&gt;S150,1.0,IF(S153=S150,0.5,0.0)),""),"")</f>
        <v/>
      </c>
      <c r="AA153">
        <f>IF(ISNUMBER(S153),IF(ISNUMBER(S151),IF(S153&gt;S151,1.0,IF(S153=S151,0.5,0.0)),""),"")</f>
        <v/>
      </c>
      <c r="AB153">
        <f>IF(ISNUMBER(S153),IF(ISNUMBER(S152),IF(S153&gt;S152,1.0,IF(S153=S152,0.5,0.0)),""),"")</f>
        <v/>
      </c>
      <c r="AC153">
        <f>IF(ISNUMBER(S153),IF(ISNUMBER(S154),IF(S153&gt;S154,1.0,IF(S153=S154,0.5,0.0)),""),"")</f>
        <v/>
      </c>
      <c r="AD153">
        <f>IF(ISNUMBER(S153),IF(ISNUMBER(S155),IF(S153&gt;S155,1.0,IF(S153=S155,0.5,0.0)),""),"")</f>
        <v/>
      </c>
      <c r="AE153">
        <f>IF(ISNUMBER(S153),IF(ISNUMBER(S156),IF(S153&gt;S156,1.0,IF(S153=S156,0.5,0.0)),""),"")</f>
        <v/>
      </c>
      <c r="AF153" s="14">
        <f>IF(AND(ISNUMBER(R153),ISNUMBER(R150)),VLOOKUP(ABS(R153-R150),'IMP Table'!$A$2:$C$26,3)*SIGN(R153-R150),0)</f>
        <v/>
      </c>
      <c r="AG153">
        <f>IF(AND(ISNUMBER(R153),ISNUMBER(R151)),VLOOKUP(ABS(R153-R151),'IMP Table'!$A$2:$C$26,3)*SIGN(R153-R151),0)</f>
        <v/>
      </c>
      <c r="AH153">
        <f>IF(AND(ISNUMBER(R153),ISNUMBER(R152)),VLOOKUP(ABS(R153-R152),'IMP Table'!$A$2:$C$26,3)*SIGN(R153-R152),0)</f>
        <v/>
      </c>
      <c r="AI153">
        <f>IF(AND(ISNUMBER(R153),ISNUMBER(R154)),VLOOKUP(ABS(R153-R154),'IMP Table'!$A$2:$C$26,3)*SIGN(R153-R154),0)</f>
        <v/>
      </c>
      <c r="AJ153">
        <f>IF(AND(ISNUMBER(R153),ISNUMBER(R155)),VLOOKUP(ABS(R153-R155),'IMP Table'!$A$2:$C$26,3)*SIGN(R153-R155),0)</f>
        <v/>
      </c>
      <c r="AK153">
        <f>IF(AND(ISNUMBER(R153),ISNUMBER(R156)),VLOOKUP(ABS(R153-R156),'IMP Table'!$A$2:$C$26,3)*SIGN(R153-R156),0)</f>
        <v/>
      </c>
      <c r="AL153">
        <f>IF(AND(ISNUMBER(S153),ISNUMBER(S150)),VLOOKUP(ABS(S153-S150),'IMP Table'!$A$2:$C$26,3)*SIGN(S153-S150),0)</f>
        <v/>
      </c>
      <c r="AM153">
        <f>IF(AND(ISNUMBER(S153),ISNUMBER(S151)),VLOOKUP(ABS(S153-S151),'IMP Table'!$A$2:$C$26,3)*SIGN(S153-S151),0)</f>
        <v/>
      </c>
      <c r="AN153">
        <f>IF(AND(ISNUMBER(S153),ISNUMBER(S152)),VLOOKUP(ABS(S153-S152),'IMP Table'!$A$2:$C$26,3)*SIGN(S153-S152),0)</f>
        <v/>
      </c>
      <c r="AO153">
        <f>IF(AND(ISNUMBER(S153),ISNUMBER(S154)),VLOOKUP(ABS(S153-S154),'IMP Table'!$A$2:$C$26,3)*SIGN(S153-S154),0)</f>
        <v/>
      </c>
      <c r="AP153">
        <f>IF(AND(ISNUMBER(S153),ISNUMBER(S155)),VLOOKUP(ABS(S153-S155),'IMP Table'!$A$2:$C$26,3)*SIGN(S153-S155),0)</f>
        <v/>
      </c>
      <c r="AQ153">
        <f>IF(AND(ISNUMBER(S153),ISNUMBER(S156)),VLOOKUP(ABS(S153-S156),'IMP Table'!$A$2:$C$26,3)*SIGN(S153-S156),0)</f>
        <v/>
      </c>
    </row>
    <row r="154">
      <c r="B154">
        <f>'By Round'!A115</f>
        <v/>
      </c>
      <c r="C154">
        <f>'By Round'!B117</f>
        <v/>
      </c>
      <c r="D154">
        <f>'By Round'!C117</f>
        <v/>
      </c>
      <c r="E154">
        <f>'By Round'!D117</f>
        <v/>
      </c>
      <c r="F154" s="11" t="inlineStr">
        <is>
          <t>EW</t>
        </is>
      </c>
      <c r="G154">
        <f>IF(ISBLANK('By Round'!G117),"",'By Round'!G117)</f>
        <v/>
      </c>
      <c r="H154">
        <f>IF(ISBLANK('By Round'!H117),"",'By Round'!H117)</f>
        <v/>
      </c>
      <c r="I154">
        <f>IF(ISBLANK('By Round'!I117),"",'By Round'!I117)</f>
        <v/>
      </c>
      <c r="J154">
        <f>IF(ISBLANK('By Round'!J117),"",'By Round'!J117)</f>
        <v/>
      </c>
      <c r="K154">
        <f>IF(ISBLANK('By Round'!K117),"",'By Round'!K117)</f>
        <v/>
      </c>
      <c r="L154" s="12">
        <f>SUM(AF154:AK154)</f>
        <v/>
      </c>
      <c r="M154" s="13">
        <f>SUM(AL154:AQ154)</f>
        <v/>
      </c>
      <c r="N154" s="8">
        <f>IF(COUNT(T154:Y154)&gt;0,P154/COUNT(T154:Y154),0.5)</f>
        <v/>
      </c>
      <c r="O154" s="8">
        <f>IF(COUNT(Z154:AE154)&gt;0,Q154/COUNT(Z154:AE154),0.5)</f>
        <v/>
      </c>
      <c r="P154" s="5">
        <f>SUM(T154:Y154)</f>
        <v/>
      </c>
      <c r="Q154" s="5">
        <f>SUM(Z154:AE154)</f>
        <v/>
      </c>
      <c r="R154" s="14">
        <f>IF(ISNUMBER(J154),J154,IF(ISNUMBER(K154),-K154,""))</f>
        <v/>
      </c>
      <c r="S154">
        <f>IF(ISNUMBER(K154),K154,IF(ISNUMBER(J154),-J154,""))</f>
        <v/>
      </c>
      <c r="T154" s="14">
        <f>IF(ISNUMBER(R154),IF(ISNUMBER(R150),IF(R154&gt;R150,1.0,IF(R154=R150,0.5,0.0)),""),"")</f>
        <v/>
      </c>
      <c r="U154">
        <f>IF(ISNUMBER(R154),IF(ISNUMBER(R151),IF(R154&gt;R151,1.0,IF(R154=R151,0.5,0.0)),""),"")</f>
        <v/>
      </c>
      <c r="V154">
        <f>IF(ISNUMBER(R154),IF(ISNUMBER(R152),IF(R154&gt;R152,1.0,IF(R154=R152,0.5,0.0)),""),"")</f>
        <v/>
      </c>
      <c r="W154">
        <f>IF(ISNUMBER(R154),IF(ISNUMBER(R153),IF(R154&gt;R153,1.0,IF(R154=R153,0.5,0.0)),""),"")</f>
        <v/>
      </c>
      <c r="X154">
        <f>IF(ISNUMBER(R154),IF(ISNUMBER(R155),IF(R154&gt;R155,1.0,IF(R154=R155,0.5,0.0)),""),"")</f>
        <v/>
      </c>
      <c r="Y154">
        <f>IF(ISNUMBER(R154),IF(ISNUMBER(R156),IF(R154&gt;R156,1.0,IF(R154=R156,0.5,0.0)),""),"")</f>
        <v/>
      </c>
      <c r="Z154">
        <f>IF(ISNUMBER(S154),IF(ISNUMBER(S150),IF(S154&gt;S150,1.0,IF(S154=S150,0.5,0.0)),""),"")</f>
        <v/>
      </c>
      <c r="AA154">
        <f>IF(ISNUMBER(S154),IF(ISNUMBER(S151),IF(S154&gt;S151,1.0,IF(S154=S151,0.5,0.0)),""),"")</f>
        <v/>
      </c>
      <c r="AB154">
        <f>IF(ISNUMBER(S154),IF(ISNUMBER(S152),IF(S154&gt;S152,1.0,IF(S154=S152,0.5,0.0)),""),"")</f>
        <v/>
      </c>
      <c r="AC154">
        <f>IF(ISNUMBER(S154),IF(ISNUMBER(S153),IF(S154&gt;S153,1.0,IF(S154=S153,0.5,0.0)),""),"")</f>
        <v/>
      </c>
      <c r="AD154">
        <f>IF(ISNUMBER(S154),IF(ISNUMBER(S155),IF(S154&gt;S155,1.0,IF(S154=S155,0.5,0.0)),""),"")</f>
        <v/>
      </c>
      <c r="AE154">
        <f>IF(ISNUMBER(S154),IF(ISNUMBER(S156),IF(S154&gt;S156,1.0,IF(S154=S156,0.5,0.0)),""),"")</f>
        <v/>
      </c>
      <c r="AF154" s="14">
        <f>IF(AND(ISNUMBER(R154),ISNUMBER(R150)),VLOOKUP(ABS(R154-R150),'IMP Table'!$A$2:$C$26,3)*SIGN(R154-R150),0)</f>
        <v/>
      </c>
      <c r="AG154">
        <f>IF(AND(ISNUMBER(R154),ISNUMBER(R151)),VLOOKUP(ABS(R154-R151),'IMP Table'!$A$2:$C$26,3)*SIGN(R154-R151),0)</f>
        <v/>
      </c>
      <c r="AH154">
        <f>IF(AND(ISNUMBER(R154),ISNUMBER(R152)),VLOOKUP(ABS(R154-R152),'IMP Table'!$A$2:$C$26,3)*SIGN(R154-R152),0)</f>
        <v/>
      </c>
      <c r="AI154">
        <f>IF(AND(ISNUMBER(R154),ISNUMBER(R153)),VLOOKUP(ABS(R154-R153),'IMP Table'!$A$2:$C$26,3)*SIGN(R154-R153),0)</f>
        <v/>
      </c>
      <c r="AJ154">
        <f>IF(AND(ISNUMBER(R154),ISNUMBER(R155)),VLOOKUP(ABS(R154-R155),'IMP Table'!$A$2:$C$26,3)*SIGN(R154-R155),0)</f>
        <v/>
      </c>
      <c r="AK154">
        <f>IF(AND(ISNUMBER(R154),ISNUMBER(R156)),VLOOKUP(ABS(R154-R156),'IMP Table'!$A$2:$C$26,3)*SIGN(R154-R156),0)</f>
        <v/>
      </c>
      <c r="AL154">
        <f>IF(AND(ISNUMBER(S154),ISNUMBER(S150)),VLOOKUP(ABS(S154-S150),'IMP Table'!$A$2:$C$26,3)*SIGN(S154-S150),0)</f>
        <v/>
      </c>
      <c r="AM154">
        <f>IF(AND(ISNUMBER(S154),ISNUMBER(S151)),VLOOKUP(ABS(S154-S151),'IMP Table'!$A$2:$C$26,3)*SIGN(S154-S151),0)</f>
        <v/>
      </c>
      <c r="AN154">
        <f>IF(AND(ISNUMBER(S154),ISNUMBER(S152)),VLOOKUP(ABS(S154-S152),'IMP Table'!$A$2:$C$26,3)*SIGN(S154-S152),0)</f>
        <v/>
      </c>
      <c r="AO154">
        <f>IF(AND(ISNUMBER(S154),ISNUMBER(S153)),VLOOKUP(ABS(S154-S153),'IMP Table'!$A$2:$C$26,3)*SIGN(S154-S153),0)</f>
        <v/>
      </c>
      <c r="AP154">
        <f>IF(AND(ISNUMBER(S154),ISNUMBER(S155)),VLOOKUP(ABS(S154-S155),'IMP Table'!$A$2:$C$26,3)*SIGN(S154-S155),0)</f>
        <v/>
      </c>
      <c r="AQ154">
        <f>IF(AND(ISNUMBER(S154),ISNUMBER(S156)),VLOOKUP(ABS(S154-S156),'IMP Table'!$A$2:$C$26,3)*SIGN(S154-S156),0)</f>
        <v/>
      </c>
    </row>
    <row r="155">
      <c r="B155">
        <f>'By Round'!A143</f>
        <v/>
      </c>
      <c r="C155">
        <f>'By Round'!B143</f>
        <v/>
      </c>
      <c r="D155">
        <f>'By Round'!C143</f>
        <v/>
      </c>
      <c r="E155">
        <f>'By Round'!D143</f>
        <v/>
      </c>
      <c r="F155" s="11" t="inlineStr">
        <is>
          <t>EW</t>
        </is>
      </c>
      <c r="G155">
        <f>IF(ISBLANK('By Round'!G143),"",'By Round'!G143)</f>
        <v/>
      </c>
      <c r="H155">
        <f>IF(ISBLANK('By Round'!H143),"",'By Round'!H143)</f>
        <v/>
      </c>
      <c r="I155">
        <f>IF(ISBLANK('By Round'!I143),"",'By Round'!I143)</f>
        <v/>
      </c>
      <c r="J155">
        <f>IF(ISBLANK('By Round'!J143),"",'By Round'!J143)</f>
        <v/>
      </c>
      <c r="K155">
        <f>IF(ISBLANK('By Round'!K143),"",'By Round'!K143)</f>
        <v/>
      </c>
      <c r="L155" s="12">
        <f>SUM(AF155:AK155)</f>
        <v/>
      </c>
      <c r="M155" s="13">
        <f>SUM(AL155:AQ155)</f>
        <v/>
      </c>
      <c r="N155" s="8">
        <f>IF(COUNT(T155:Y155)&gt;0,P155/COUNT(T155:Y155),0.5)</f>
        <v/>
      </c>
      <c r="O155" s="8">
        <f>IF(COUNT(Z155:AE155)&gt;0,Q155/COUNT(Z155:AE155),0.5)</f>
        <v/>
      </c>
      <c r="P155" s="5">
        <f>SUM(T155:Y155)</f>
        <v/>
      </c>
      <c r="Q155" s="5">
        <f>SUM(Z155:AE155)</f>
        <v/>
      </c>
      <c r="R155" s="14">
        <f>IF(ISNUMBER(J155),J155,IF(ISNUMBER(K155),-K155,""))</f>
        <v/>
      </c>
      <c r="S155">
        <f>IF(ISNUMBER(K155),K155,IF(ISNUMBER(J155),-J155,""))</f>
        <v/>
      </c>
      <c r="T155" s="14">
        <f>IF(ISNUMBER(R155),IF(ISNUMBER(R150),IF(R155&gt;R150,1.0,IF(R155=R150,0.5,0.0)),""),"")</f>
        <v/>
      </c>
      <c r="U155">
        <f>IF(ISNUMBER(R155),IF(ISNUMBER(R151),IF(R155&gt;R151,1.0,IF(R155=R151,0.5,0.0)),""),"")</f>
        <v/>
      </c>
      <c r="V155">
        <f>IF(ISNUMBER(R155),IF(ISNUMBER(R152),IF(R155&gt;R152,1.0,IF(R155=R152,0.5,0.0)),""),"")</f>
        <v/>
      </c>
      <c r="W155">
        <f>IF(ISNUMBER(R155),IF(ISNUMBER(R153),IF(R155&gt;R153,1.0,IF(R155=R153,0.5,0.0)),""),"")</f>
        <v/>
      </c>
      <c r="X155">
        <f>IF(ISNUMBER(R155),IF(ISNUMBER(R154),IF(R155&gt;R154,1.0,IF(R155=R154,0.5,0.0)),""),"")</f>
        <v/>
      </c>
      <c r="Y155">
        <f>IF(ISNUMBER(R155),IF(ISNUMBER(R156),IF(R155&gt;R156,1.0,IF(R155=R156,0.5,0.0)),""),"")</f>
        <v/>
      </c>
      <c r="Z155">
        <f>IF(ISNUMBER(S155),IF(ISNUMBER(S150),IF(S155&gt;S150,1.0,IF(S155=S150,0.5,0.0)),""),"")</f>
        <v/>
      </c>
      <c r="AA155">
        <f>IF(ISNUMBER(S155),IF(ISNUMBER(S151),IF(S155&gt;S151,1.0,IF(S155=S151,0.5,0.0)),""),"")</f>
        <v/>
      </c>
      <c r="AB155">
        <f>IF(ISNUMBER(S155),IF(ISNUMBER(S152),IF(S155&gt;S152,1.0,IF(S155=S152,0.5,0.0)),""),"")</f>
        <v/>
      </c>
      <c r="AC155">
        <f>IF(ISNUMBER(S155),IF(ISNUMBER(S153),IF(S155&gt;S153,1.0,IF(S155=S153,0.5,0.0)),""),"")</f>
        <v/>
      </c>
      <c r="AD155">
        <f>IF(ISNUMBER(S155),IF(ISNUMBER(S154),IF(S155&gt;S154,1.0,IF(S155=S154,0.5,0.0)),""),"")</f>
        <v/>
      </c>
      <c r="AE155">
        <f>IF(ISNUMBER(S155),IF(ISNUMBER(S156),IF(S155&gt;S156,1.0,IF(S155=S156,0.5,0.0)),""),"")</f>
        <v/>
      </c>
      <c r="AF155" s="14">
        <f>IF(AND(ISNUMBER(R155),ISNUMBER(R150)),VLOOKUP(ABS(R155-R150),'IMP Table'!$A$2:$C$26,3)*SIGN(R155-R150),0)</f>
        <v/>
      </c>
      <c r="AG155">
        <f>IF(AND(ISNUMBER(R155),ISNUMBER(R151)),VLOOKUP(ABS(R155-R151),'IMP Table'!$A$2:$C$26,3)*SIGN(R155-R151),0)</f>
        <v/>
      </c>
      <c r="AH155">
        <f>IF(AND(ISNUMBER(R155),ISNUMBER(R152)),VLOOKUP(ABS(R155-R152),'IMP Table'!$A$2:$C$26,3)*SIGN(R155-R152),0)</f>
        <v/>
      </c>
      <c r="AI155">
        <f>IF(AND(ISNUMBER(R155),ISNUMBER(R153)),VLOOKUP(ABS(R155-R153),'IMP Table'!$A$2:$C$26,3)*SIGN(R155-R153),0)</f>
        <v/>
      </c>
      <c r="AJ155">
        <f>IF(AND(ISNUMBER(R155),ISNUMBER(R154)),VLOOKUP(ABS(R155-R154),'IMP Table'!$A$2:$C$26,3)*SIGN(R155-R154),0)</f>
        <v/>
      </c>
      <c r="AK155">
        <f>IF(AND(ISNUMBER(R155),ISNUMBER(R156)),VLOOKUP(ABS(R155-R156),'IMP Table'!$A$2:$C$26,3)*SIGN(R155-R156),0)</f>
        <v/>
      </c>
      <c r="AL155">
        <f>IF(AND(ISNUMBER(S155),ISNUMBER(S150)),VLOOKUP(ABS(S155-S150),'IMP Table'!$A$2:$C$26,3)*SIGN(S155-S150),0)</f>
        <v/>
      </c>
      <c r="AM155">
        <f>IF(AND(ISNUMBER(S155),ISNUMBER(S151)),VLOOKUP(ABS(S155-S151),'IMP Table'!$A$2:$C$26,3)*SIGN(S155-S151),0)</f>
        <v/>
      </c>
      <c r="AN155">
        <f>IF(AND(ISNUMBER(S155),ISNUMBER(S152)),VLOOKUP(ABS(S155-S152),'IMP Table'!$A$2:$C$26,3)*SIGN(S155-S152),0)</f>
        <v/>
      </c>
      <c r="AO155">
        <f>IF(AND(ISNUMBER(S155),ISNUMBER(S153)),VLOOKUP(ABS(S155-S153),'IMP Table'!$A$2:$C$26,3)*SIGN(S155-S153),0)</f>
        <v/>
      </c>
      <c r="AP155">
        <f>IF(AND(ISNUMBER(S155),ISNUMBER(S154)),VLOOKUP(ABS(S155-S154),'IMP Table'!$A$2:$C$26,3)*SIGN(S155-S154),0)</f>
        <v/>
      </c>
      <c r="AQ155">
        <f>IF(AND(ISNUMBER(S155),ISNUMBER(S156)),VLOOKUP(ABS(S155-S156),'IMP Table'!$A$2:$C$26,3)*SIGN(S155-S156),0)</f>
        <v/>
      </c>
    </row>
    <row r="156">
      <c r="A156" s="15" t="n"/>
      <c r="B156" s="15">
        <f>'By Round'!A171</f>
        <v/>
      </c>
      <c r="C156" s="15">
        <f>'By Round'!B183</f>
        <v/>
      </c>
      <c r="D156" s="15">
        <f>'By Round'!C183</f>
        <v/>
      </c>
      <c r="E156" s="15">
        <f>'By Round'!D183</f>
        <v/>
      </c>
      <c r="F156" s="16" t="inlineStr">
        <is>
          <t>EW</t>
        </is>
      </c>
      <c r="G156" s="15">
        <f>IF(ISBLANK('By Round'!G183),"",'By Round'!G183)</f>
        <v/>
      </c>
      <c r="H156" s="15">
        <f>IF(ISBLANK('By Round'!H183),"",'By Round'!H183)</f>
        <v/>
      </c>
      <c r="I156" s="15">
        <f>IF(ISBLANK('By Round'!I183),"",'By Round'!I183)</f>
        <v/>
      </c>
      <c r="J156" s="15">
        <f>IF(ISBLANK('By Round'!J183),"",'By Round'!J183)</f>
        <v/>
      </c>
      <c r="K156" s="15">
        <f>IF(ISBLANK('By Round'!K183),"",'By Round'!K183)</f>
        <v/>
      </c>
      <c r="L156" s="17">
        <f>SUM(AF156:AK156)</f>
        <v/>
      </c>
      <c r="M156" s="18">
        <f>SUM(AL156:AQ156)</f>
        <v/>
      </c>
      <c r="N156" s="19">
        <f>IF(COUNT(T156:Y156)&gt;0,P156/COUNT(T156:Y156),0.5)</f>
        <v/>
      </c>
      <c r="O156" s="19">
        <f>IF(COUNT(Z156:AE156)&gt;0,Q156/COUNT(Z156:AE156),0.5)</f>
        <v/>
      </c>
      <c r="P156" s="20">
        <f>SUM(T156:Y156)</f>
        <v/>
      </c>
      <c r="Q156" s="20">
        <f>SUM(Z156:AE156)</f>
        <v/>
      </c>
      <c r="R156" s="21">
        <f>IF(ISNUMBER(J156),J156,IF(ISNUMBER(K156),-K156,""))</f>
        <v/>
      </c>
      <c r="S156" s="15">
        <f>IF(ISNUMBER(K156),K156,IF(ISNUMBER(J156),-J156,""))</f>
        <v/>
      </c>
      <c r="T156" s="21">
        <f>IF(ISNUMBER(R156),IF(ISNUMBER(R150),IF(R156&gt;R150,1.0,IF(R156=R150,0.5,0.0)),""),"")</f>
        <v/>
      </c>
      <c r="U156" s="15">
        <f>IF(ISNUMBER(R156),IF(ISNUMBER(R151),IF(R156&gt;R151,1.0,IF(R156=R151,0.5,0.0)),""),"")</f>
        <v/>
      </c>
      <c r="V156" s="15">
        <f>IF(ISNUMBER(R156),IF(ISNUMBER(R152),IF(R156&gt;R152,1.0,IF(R156=R152,0.5,0.0)),""),"")</f>
        <v/>
      </c>
      <c r="W156" s="15">
        <f>IF(ISNUMBER(R156),IF(ISNUMBER(R153),IF(R156&gt;R153,1.0,IF(R156=R153,0.5,0.0)),""),"")</f>
        <v/>
      </c>
      <c r="X156" s="15">
        <f>IF(ISNUMBER(R156),IF(ISNUMBER(R154),IF(R156&gt;R154,1.0,IF(R156=R154,0.5,0.0)),""),"")</f>
        <v/>
      </c>
      <c r="Y156" s="15">
        <f>IF(ISNUMBER(R156),IF(ISNUMBER(R155),IF(R156&gt;R155,1.0,IF(R156=R155,0.5,0.0)),""),"")</f>
        <v/>
      </c>
      <c r="Z156" s="15">
        <f>IF(ISNUMBER(S156),IF(ISNUMBER(S150),IF(S156&gt;S150,1.0,IF(S156=S150,0.5,0.0)),""),"")</f>
        <v/>
      </c>
      <c r="AA156" s="15">
        <f>IF(ISNUMBER(S156),IF(ISNUMBER(S151),IF(S156&gt;S151,1.0,IF(S156=S151,0.5,0.0)),""),"")</f>
        <v/>
      </c>
      <c r="AB156" s="15">
        <f>IF(ISNUMBER(S156),IF(ISNUMBER(S152),IF(S156&gt;S152,1.0,IF(S156=S152,0.5,0.0)),""),"")</f>
        <v/>
      </c>
      <c r="AC156" s="15">
        <f>IF(ISNUMBER(S156),IF(ISNUMBER(S153),IF(S156&gt;S153,1.0,IF(S156=S153,0.5,0.0)),""),"")</f>
        <v/>
      </c>
      <c r="AD156" s="15">
        <f>IF(ISNUMBER(S156),IF(ISNUMBER(S154),IF(S156&gt;S154,1.0,IF(S156=S154,0.5,0.0)),""),"")</f>
        <v/>
      </c>
      <c r="AE156" s="15">
        <f>IF(ISNUMBER(S156),IF(ISNUMBER(S155),IF(S156&gt;S155,1.0,IF(S156=S155,0.5,0.0)),""),"")</f>
        <v/>
      </c>
      <c r="AF156" s="21">
        <f>IF(AND(ISNUMBER(R156),ISNUMBER(R150)),VLOOKUP(ABS(R156-R150),'IMP Table'!$A$2:$C$26,3)*SIGN(R156-R150),0)</f>
        <v/>
      </c>
      <c r="AG156" s="15">
        <f>IF(AND(ISNUMBER(R156),ISNUMBER(R151)),VLOOKUP(ABS(R156-R151),'IMP Table'!$A$2:$C$26,3)*SIGN(R156-R151),0)</f>
        <v/>
      </c>
      <c r="AH156" s="15">
        <f>IF(AND(ISNUMBER(R156),ISNUMBER(R152)),VLOOKUP(ABS(R156-R152),'IMP Table'!$A$2:$C$26,3)*SIGN(R156-R152),0)</f>
        <v/>
      </c>
      <c r="AI156" s="15">
        <f>IF(AND(ISNUMBER(R156),ISNUMBER(R153)),VLOOKUP(ABS(R156-R153),'IMP Table'!$A$2:$C$26,3)*SIGN(R156-R153),0)</f>
        <v/>
      </c>
      <c r="AJ156" s="15">
        <f>IF(AND(ISNUMBER(R156),ISNUMBER(R154)),VLOOKUP(ABS(R156-R154),'IMP Table'!$A$2:$C$26,3)*SIGN(R156-R154),0)</f>
        <v/>
      </c>
      <c r="AK156" s="15">
        <f>IF(AND(ISNUMBER(R156),ISNUMBER(R155)),VLOOKUP(ABS(R156-R155),'IMP Table'!$A$2:$C$26,3)*SIGN(R156-R155),0)</f>
        <v/>
      </c>
      <c r="AL156" s="15">
        <f>IF(AND(ISNUMBER(S156),ISNUMBER(S150)),VLOOKUP(ABS(S156-S150),'IMP Table'!$A$2:$C$26,3)*SIGN(S156-S150),0)</f>
        <v/>
      </c>
      <c r="AM156" s="15">
        <f>IF(AND(ISNUMBER(S156),ISNUMBER(S151)),VLOOKUP(ABS(S156-S151),'IMP Table'!$A$2:$C$26,3)*SIGN(S156-S151),0)</f>
        <v/>
      </c>
      <c r="AN156" s="15">
        <f>IF(AND(ISNUMBER(S156),ISNUMBER(S152)),VLOOKUP(ABS(S156-S152),'IMP Table'!$A$2:$C$26,3)*SIGN(S156-S152),0)</f>
        <v/>
      </c>
      <c r="AO156" s="15">
        <f>IF(AND(ISNUMBER(S156),ISNUMBER(S153)),VLOOKUP(ABS(S156-S153),'IMP Table'!$A$2:$C$26,3)*SIGN(S156-S153),0)</f>
        <v/>
      </c>
      <c r="AP156" s="15">
        <f>IF(AND(ISNUMBER(S156),ISNUMBER(S154)),VLOOKUP(ABS(S156-S154),'IMP Table'!$A$2:$C$26,3)*SIGN(S156-S154),0)</f>
        <v/>
      </c>
      <c r="AQ156" s="15">
        <f>IF(AND(ISNUMBER(S156),ISNUMBER(S155)),VLOOKUP(ABS(S156-S155),'IMP Table'!$A$2:$C$26,3)*SIGN(S156-S155),0)</f>
        <v/>
      </c>
    </row>
    <row r="157">
      <c r="A157" t="n">
        <v>23</v>
      </c>
      <c r="B157">
        <f>'By Round'!A3</f>
        <v/>
      </c>
      <c r="C157">
        <f>'By Round'!B15</f>
        <v/>
      </c>
      <c r="D157">
        <f>'By Round'!C15</f>
        <v/>
      </c>
      <c r="E157">
        <f>'By Round'!D15</f>
        <v/>
      </c>
      <c r="F157" s="11" t="inlineStr">
        <is>
          <t>Both</t>
        </is>
      </c>
      <c r="G157">
        <f>IF(ISBLANK('By Round'!G15),"",'By Round'!G15)</f>
        <v/>
      </c>
      <c r="H157">
        <f>IF(ISBLANK('By Round'!H15),"",'By Round'!H15)</f>
        <v/>
      </c>
      <c r="I157">
        <f>IF(ISBLANK('By Round'!I15),"",'By Round'!I15)</f>
        <v/>
      </c>
      <c r="J157">
        <f>IF(ISBLANK('By Round'!J15),"",'By Round'!J15)</f>
        <v/>
      </c>
      <c r="K157">
        <f>IF(ISBLANK('By Round'!K15),"",'By Round'!K15)</f>
        <v/>
      </c>
      <c r="L157" s="12">
        <f>SUM(AF157:AK157)</f>
        <v/>
      </c>
      <c r="M157" s="13">
        <f>SUM(AL157:AQ157)</f>
        <v/>
      </c>
      <c r="N157" s="8">
        <f>IF(COUNT(T157:Y157)&gt;0,P157/COUNT(T157:Y157),0.5)</f>
        <v/>
      </c>
      <c r="O157" s="8">
        <f>IF(COUNT(Z157:AE157)&gt;0,Q157/COUNT(Z157:AE157),0.5)</f>
        <v/>
      </c>
      <c r="P157" s="5">
        <f>SUM(T157:Y157)</f>
        <v/>
      </c>
      <c r="Q157" s="5">
        <f>SUM(Z157:AE157)</f>
        <v/>
      </c>
      <c r="R157" s="14">
        <f>IF(ISNUMBER(J157),J157,IF(ISNUMBER(K157),-K157,""))</f>
        <v/>
      </c>
      <c r="S157">
        <f>IF(ISNUMBER(K157),K157,IF(ISNUMBER(J157),-J157,""))</f>
        <v/>
      </c>
      <c r="T157" s="14">
        <f>IF(ISNUMBER(R157),IF(ISNUMBER(R158),IF(R157&gt;R158,1.0,IF(R157=R158,0.5,0.0)),""),"")</f>
        <v/>
      </c>
      <c r="U157">
        <f>IF(ISNUMBER(R157),IF(ISNUMBER(R159),IF(R157&gt;R159,1.0,IF(R157=R159,0.5,0.0)),""),"")</f>
        <v/>
      </c>
      <c r="V157">
        <f>IF(ISNUMBER(R157),IF(ISNUMBER(R160),IF(R157&gt;R160,1.0,IF(R157=R160,0.5,0.0)),""),"")</f>
        <v/>
      </c>
      <c r="W157">
        <f>IF(ISNUMBER(R157),IF(ISNUMBER(R161),IF(R157&gt;R161,1.0,IF(R157=R161,0.5,0.0)),""),"")</f>
        <v/>
      </c>
      <c r="X157">
        <f>IF(ISNUMBER(R157),IF(ISNUMBER(R162),IF(R157&gt;R162,1.0,IF(R157=R162,0.5,0.0)),""),"")</f>
        <v/>
      </c>
      <c r="Y157">
        <f>IF(ISNUMBER(R157),IF(ISNUMBER(R163),IF(R157&gt;R163,1.0,IF(R157=R163,0.5,0.0)),""),"")</f>
        <v/>
      </c>
      <c r="Z157">
        <f>IF(ISNUMBER(S157),IF(ISNUMBER(S158),IF(S157&gt;S158,1.0,IF(S157=S158,0.5,0.0)),""),"")</f>
        <v/>
      </c>
      <c r="AA157">
        <f>IF(ISNUMBER(S157),IF(ISNUMBER(S159),IF(S157&gt;S159,1.0,IF(S157=S159,0.5,0.0)),""),"")</f>
        <v/>
      </c>
      <c r="AB157">
        <f>IF(ISNUMBER(S157),IF(ISNUMBER(S160),IF(S157&gt;S160,1.0,IF(S157=S160,0.5,0.0)),""),"")</f>
        <v/>
      </c>
      <c r="AC157">
        <f>IF(ISNUMBER(S157),IF(ISNUMBER(S161),IF(S157&gt;S161,1.0,IF(S157=S161,0.5,0.0)),""),"")</f>
        <v/>
      </c>
      <c r="AD157">
        <f>IF(ISNUMBER(S157),IF(ISNUMBER(S162),IF(S157&gt;S162,1.0,IF(S157=S162,0.5,0.0)),""),"")</f>
        <v/>
      </c>
      <c r="AE157">
        <f>IF(ISNUMBER(S157),IF(ISNUMBER(S163),IF(S157&gt;S163,1.0,IF(S157=S163,0.5,0.0)),""),"")</f>
        <v/>
      </c>
      <c r="AF157" s="14">
        <f>IF(AND(ISNUMBER(R157),ISNUMBER(R158)),VLOOKUP(ABS(R157-R158),'IMP Table'!$A$2:$C$26,3)*SIGN(R157-R158),0)</f>
        <v/>
      </c>
      <c r="AG157">
        <f>IF(AND(ISNUMBER(R157),ISNUMBER(R159)),VLOOKUP(ABS(R157-R159),'IMP Table'!$A$2:$C$26,3)*SIGN(R157-R159),0)</f>
        <v/>
      </c>
      <c r="AH157">
        <f>IF(AND(ISNUMBER(R157),ISNUMBER(R160)),VLOOKUP(ABS(R157-R160),'IMP Table'!$A$2:$C$26,3)*SIGN(R157-R160),0)</f>
        <v/>
      </c>
      <c r="AI157">
        <f>IF(AND(ISNUMBER(R157),ISNUMBER(R161)),VLOOKUP(ABS(R157-R161),'IMP Table'!$A$2:$C$26,3)*SIGN(R157-R161),0)</f>
        <v/>
      </c>
      <c r="AJ157">
        <f>IF(AND(ISNUMBER(R157),ISNUMBER(R162)),VLOOKUP(ABS(R157-R162),'IMP Table'!$A$2:$C$26,3)*SIGN(R157-R162),0)</f>
        <v/>
      </c>
      <c r="AK157">
        <f>IF(AND(ISNUMBER(R157),ISNUMBER(R163)),VLOOKUP(ABS(R157-R163),'IMP Table'!$A$2:$C$26,3)*SIGN(R157-R163),0)</f>
        <v/>
      </c>
      <c r="AL157">
        <f>IF(AND(ISNUMBER(S157),ISNUMBER(S158)),VLOOKUP(ABS(S157-S158),'IMP Table'!$A$2:$C$26,3)*SIGN(S157-S158),0)</f>
        <v/>
      </c>
      <c r="AM157">
        <f>IF(AND(ISNUMBER(S157),ISNUMBER(S159)),VLOOKUP(ABS(S157-S159),'IMP Table'!$A$2:$C$26,3)*SIGN(S157-S159),0)</f>
        <v/>
      </c>
      <c r="AN157">
        <f>IF(AND(ISNUMBER(S157),ISNUMBER(S160)),VLOOKUP(ABS(S157-S160),'IMP Table'!$A$2:$C$26,3)*SIGN(S157-S160),0)</f>
        <v/>
      </c>
      <c r="AO157">
        <f>IF(AND(ISNUMBER(S157),ISNUMBER(S161)),VLOOKUP(ABS(S157-S161),'IMP Table'!$A$2:$C$26,3)*SIGN(S157-S161),0)</f>
        <v/>
      </c>
      <c r="AP157">
        <f>IF(AND(ISNUMBER(S157),ISNUMBER(S162)),VLOOKUP(ABS(S157-S162),'IMP Table'!$A$2:$C$26,3)*SIGN(S157-S162),0)</f>
        <v/>
      </c>
      <c r="AQ157">
        <f>IF(AND(ISNUMBER(S157),ISNUMBER(S163)),VLOOKUP(ABS(S157-S163),'IMP Table'!$A$2:$C$26,3)*SIGN(S157-S163),0)</f>
        <v/>
      </c>
    </row>
    <row r="158">
      <c r="B158">
        <f>'By Round'!A17</f>
        <v/>
      </c>
      <c r="C158">
        <f>'By Round'!B27</f>
        <v/>
      </c>
      <c r="D158">
        <f>'By Round'!C27</f>
        <v/>
      </c>
      <c r="E158">
        <f>'By Round'!D27</f>
        <v/>
      </c>
      <c r="F158" s="11" t="inlineStr">
        <is>
          <t>Both</t>
        </is>
      </c>
      <c r="G158">
        <f>IF(ISBLANK('By Round'!G27),"",'By Round'!G27)</f>
        <v/>
      </c>
      <c r="H158">
        <f>IF(ISBLANK('By Round'!H27),"",'By Round'!H27)</f>
        <v/>
      </c>
      <c r="I158">
        <f>IF(ISBLANK('By Round'!I27),"",'By Round'!I27)</f>
        <v/>
      </c>
      <c r="J158">
        <f>IF(ISBLANK('By Round'!J27),"",'By Round'!J27)</f>
        <v/>
      </c>
      <c r="K158">
        <f>IF(ISBLANK('By Round'!K27),"",'By Round'!K27)</f>
        <v/>
      </c>
      <c r="L158" s="12">
        <f>SUM(AF158:AK158)</f>
        <v/>
      </c>
      <c r="M158" s="13">
        <f>SUM(AL158:AQ158)</f>
        <v/>
      </c>
      <c r="N158" s="8">
        <f>IF(COUNT(T158:Y158)&gt;0,P158/COUNT(T158:Y158),0.5)</f>
        <v/>
      </c>
      <c r="O158" s="8">
        <f>IF(COUNT(Z158:AE158)&gt;0,Q158/COUNT(Z158:AE158),0.5)</f>
        <v/>
      </c>
      <c r="P158" s="5">
        <f>SUM(T158:Y158)</f>
        <v/>
      </c>
      <c r="Q158" s="5">
        <f>SUM(Z158:AE158)</f>
        <v/>
      </c>
      <c r="R158" s="14">
        <f>IF(ISNUMBER(J158),J158,IF(ISNUMBER(K158),-K158,""))</f>
        <v/>
      </c>
      <c r="S158">
        <f>IF(ISNUMBER(K158),K158,IF(ISNUMBER(J158),-J158,""))</f>
        <v/>
      </c>
      <c r="T158" s="14">
        <f>IF(ISNUMBER(R158),IF(ISNUMBER(R157),IF(R158&gt;R157,1.0,IF(R158=R157,0.5,0.0)),""),"")</f>
        <v/>
      </c>
      <c r="U158">
        <f>IF(ISNUMBER(R158),IF(ISNUMBER(R159),IF(R158&gt;R159,1.0,IF(R158=R159,0.5,0.0)),""),"")</f>
        <v/>
      </c>
      <c r="V158">
        <f>IF(ISNUMBER(R158),IF(ISNUMBER(R160),IF(R158&gt;R160,1.0,IF(R158=R160,0.5,0.0)),""),"")</f>
        <v/>
      </c>
      <c r="W158">
        <f>IF(ISNUMBER(R158),IF(ISNUMBER(R161),IF(R158&gt;R161,1.0,IF(R158=R161,0.5,0.0)),""),"")</f>
        <v/>
      </c>
      <c r="X158">
        <f>IF(ISNUMBER(R158),IF(ISNUMBER(R162),IF(R158&gt;R162,1.0,IF(R158=R162,0.5,0.0)),""),"")</f>
        <v/>
      </c>
      <c r="Y158">
        <f>IF(ISNUMBER(R158),IF(ISNUMBER(R163),IF(R158&gt;R163,1.0,IF(R158=R163,0.5,0.0)),""),"")</f>
        <v/>
      </c>
      <c r="Z158">
        <f>IF(ISNUMBER(S158),IF(ISNUMBER(S157),IF(S158&gt;S157,1.0,IF(S158=S157,0.5,0.0)),""),"")</f>
        <v/>
      </c>
      <c r="AA158">
        <f>IF(ISNUMBER(S158),IF(ISNUMBER(S159),IF(S158&gt;S159,1.0,IF(S158=S159,0.5,0.0)),""),"")</f>
        <v/>
      </c>
      <c r="AB158">
        <f>IF(ISNUMBER(S158),IF(ISNUMBER(S160),IF(S158&gt;S160,1.0,IF(S158=S160,0.5,0.0)),""),"")</f>
        <v/>
      </c>
      <c r="AC158">
        <f>IF(ISNUMBER(S158),IF(ISNUMBER(S161),IF(S158&gt;S161,1.0,IF(S158=S161,0.5,0.0)),""),"")</f>
        <v/>
      </c>
      <c r="AD158">
        <f>IF(ISNUMBER(S158),IF(ISNUMBER(S162),IF(S158&gt;S162,1.0,IF(S158=S162,0.5,0.0)),""),"")</f>
        <v/>
      </c>
      <c r="AE158">
        <f>IF(ISNUMBER(S158),IF(ISNUMBER(S163),IF(S158&gt;S163,1.0,IF(S158=S163,0.5,0.0)),""),"")</f>
        <v/>
      </c>
      <c r="AF158" s="14">
        <f>IF(AND(ISNUMBER(R158),ISNUMBER(R157)),VLOOKUP(ABS(R158-R157),'IMP Table'!$A$2:$C$26,3)*SIGN(R158-R157),0)</f>
        <v/>
      </c>
      <c r="AG158">
        <f>IF(AND(ISNUMBER(R158),ISNUMBER(R159)),VLOOKUP(ABS(R158-R159),'IMP Table'!$A$2:$C$26,3)*SIGN(R158-R159),0)</f>
        <v/>
      </c>
      <c r="AH158">
        <f>IF(AND(ISNUMBER(R158),ISNUMBER(R160)),VLOOKUP(ABS(R158-R160),'IMP Table'!$A$2:$C$26,3)*SIGN(R158-R160),0)</f>
        <v/>
      </c>
      <c r="AI158">
        <f>IF(AND(ISNUMBER(R158),ISNUMBER(R161)),VLOOKUP(ABS(R158-R161),'IMP Table'!$A$2:$C$26,3)*SIGN(R158-R161),0)</f>
        <v/>
      </c>
      <c r="AJ158">
        <f>IF(AND(ISNUMBER(R158),ISNUMBER(R162)),VLOOKUP(ABS(R158-R162),'IMP Table'!$A$2:$C$26,3)*SIGN(R158-R162),0)</f>
        <v/>
      </c>
      <c r="AK158">
        <f>IF(AND(ISNUMBER(R158),ISNUMBER(R163)),VLOOKUP(ABS(R158-R163),'IMP Table'!$A$2:$C$26,3)*SIGN(R158-R163),0)</f>
        <v/>
      </c>
      <c r="AL158">
        <f>IF(AND(ISNUMBER(S158),ISNUMBER(S157)),VLOOKUP(ABS(S158-S157),'IMP Table'!$A$2:$C$26,3)*SIGN(S158-S157),0)</f>
        <v/>
      </c>
      <c r="AM158">
        <f>IF(AND(ISNUMBER(S158),ISNUMBER(S159)),VLOOKUP(ABS(S158-S159),'IMP Table'!$A$2:$C$26,3)*SIGN(S158-S159),0)</f>
        <v/>
      </c>
      <c r="AN158">
        <f>IF(AND(ISNUMBER(S158),ISNUMBER(S160)),VLOOKUP(ABS(S158-S160),'IMP Table'!$A$2:$C$26,3)*SIGN(S158-S160),0)</f>
        <v/>
      </c>
      <c r="AO158">
        <f>IF(AND(ISNUMBER(S158),ISNUMBER(S161)),VLOOKUP(ABS(S158-S161),'IMP Table'!$A$2:$C$26,3)*SIGN(S158-S161),0)</f>
        <v/>
      </c>
      <c r="AP158">
        <f>IF(AND(ISNUMBER(S158),ISNUMBER(S162)),VLOOKUP(ABS(S158-S162),'IMP Table'!$A$2:$C$26,3)*SIGN(S158-S162),0)</f>
        <v/>
      </c>
      <c r="AQ158">
        <f>IF(AND(ISNUMBER(S158),ISNUMBER(S163)),VLOOKUP(ABS(S158-S163),'IMP Table'!$A$2:$C$26,3)*SIGN(S158-S163),0)</f>
        <v/>
      </c>
    </row>
    <row r="159">
      <c r="B159">
        <f>'By Round'!A31</f>
        <v/>
      </c>
      <c r="C159">
        <f>'By Round'!B39</f>
        <v/>
      </c>
      <c r="D159">
        <f>'By Round'!C39</f>
        <v/>
      </c>
      <c r="E159">
        <f>'By Round'!D39</f>
        <v/>
      </c>
      <c r="F159" s="11" t="inlineStr">
        <is>
          <t>Both</t>
        </is>
      </c>
      <c r="G159">
        <f>IF(ISBLANK('By Round'!G39),"",'By Round'!G39)</f>
        <v/>
      </c>
      <c r="H159">
        <f>IF(ISBLANK('By Round'!H39),"",'By Round'!H39)</f>
        <v/>
      </c>
      <c r="I159">
        <f>IF(ISBLANK('By Round'!I39),"",'By Round'!I39)</f>
        <v/>
      </c>
      <c r="J159">
        <f>IF(ISBLANK('By Round'!J39),"",'By Round'!J39)</f>
        <v/>
      </c>
      <c r="K159">
        <f>IF(ISBLANK('By Round'!K39),"",'By Round'!K39)</f>
        <v/>
      </c>
      <c r="L159" s="12">
        <f>SUM(AF159:AK159)</f>
        <v/>
      </c>
      <c r="M159" s="13">
        <f>SUM(AL159:AQ159)</f>
        <v/>
      </c>
      <c r="N159" s="8">
        <f>IF(COUNT(T159:Y159)&gt;0,P159/COUNT(T159:Y159),0.5)</f>
        <v/>
      </c>
      <c r="O159" s="8">
        <f>IF(COUNT(Z159:AE159)&gt;0,Q159/COUNT(Z159:AE159),0.5)</f>
        <v/>
      </c>
      <c r="P159" s="5">
        <f>SUM(T159:Y159)</f>
        <v/>
      </c>
      <c r="Q159" s="5">
        <f>SUM(Z159:AE159)</f>
        <v/>
      </c>
      <c r="R159" s="14">
        <f>IF(ISNUMBER(J159),J159,IF(ISNUMBER(K159),-K159,""))</f>
        <v/>
      </c>
      <c r="S159">
        <f>IF(ISNUMBER(K159),K159,IF(ISNUMBER(J159),-J159,""))</f>
        <v/>
      </c>
      <c r="T159" s="14">
        <f>IF(ISNUMBER(R159),IF(ISNUMBER(R157),IF(R159&gt;R157,1.0,IF(R159=R157,0.5,0.0)),""),"")</f>
        <v/>
      </c>
      <c r="U159">
        <f>IF(ISNUMBER(R159),IF(ISNUMBER(R158),IF(R159&gt;R158,1.0,IF(R159=R158,0.5,0.0)),""),"")</f>
        <v/>
      </c>
      <c r="V159">
        <f>IF(ISNUMBER(R159),IF(ISNUMBER(R160),IF(R159&gt;R160,1.0,IF(R159=R160,0.5,0.0)),""),"")</f>
        <v/>
      </c>
      <c r="W159">
        <f>IF(ISNUMBER(R159),IF(ISNUMBER(R161),IF(R159&gt;R161,1.0,IF(R159=R161,0.5,0.0)),""),"")</f>
        <v/>
      </c>
      <c r="X159">
        <f>IF(ISNUMBER(R159),IF(ISNUMBER(R162),IF(R159&gt;R162,1.0,IF(R159=R162,0.5,0.0)),""),"")</f>
        <v/>
      </c>
      <c r="Y159">
        <f>IF(ISNUMBER(R159),IF(ISNUMBER(R163),IF(R159&gt;R163,1.0,IF(R159=R163,0.5,0.0)),""),"")</f>
        <v/>
      </c>
      <c r="Z159">
        <f>IF(ISNUMBER(S159),IF(ISNUMBER(S157),IF(S159&gt;S157,1.0,IF(S159=S157,0.5,0.0)),""),"")</f>
        <v/>
      </c>
      <c r="AA159">
        <f>IF(ISNUMBER(S159),IF(ISNUMBER(S158),IF(S159&gt;S158,1.0,IF(S159=S158,0.5,0.0)),""),"")</f>
        <v/>
      </c>
      <c r="AB159">
        <f>IF(ISNUMBER(S159),IF(ISNUMBER(S160),IF(S159&gt;S160,1.0,IF(S159=S160,0.5,0.0)),""),"")</f>
        <v/>
      </c>
      <c r="AC159">
        <f>IF(ISNUMBER(S159),IF(ISNUMBER(S161),IF(S159&gt;S161,1.0,IF(S159=S161,0.5,0.0)),""),"")</f>
        <v/>
      </c>
      <c r="AD159">
        <f>IF(ISNUMBER(S159),IF(ISNUMBER(S162),IF(S159&gt;S162,1.0,IF(S159=S162,0.5,0.0)),""),"")</f>
        <v/>
      </c>
      <c r="AE159">
        <f>IF(ISNUMBER(S159),IF(ISNUMBER(S163),IF(S159&gt;S163,1.0,IF(S159=S163,0.5,0.0)),""),"")</f>
        <v/>
      </c>
      <c r="AF159" s="14">
        <f>IF(AND(ISNUMBER(R159),ISNUMBER(R157)),VLOOKUP(ABS(R159-R157),'IMP Table'!$A$2:$C$26,3)*SIGN(R159-R157),0)</f>
        <v/>
      </c>
      <c r="AG159">
        <f>IF(AND(ISNUMBER(R159),ISNUMBER(R158)),VLOOKUP(ABS(R159-R158),'IMP Table'!$A$2:$C$26,3)*SIGN(R159-R158),0)</f>
        <v/>
      </c>
      <c r="AH159">
        <f>IF(AND(ISNUMBER(R159),ISNUMBER(R160)),VLOOKUP(ABS(R159-R160),'IMP Table'!$A$2:$C$26,3)*SIGN(R159-R160),0)</f>
        <v/>
      </c>
      <c r="AI159">
        <f>IF(AND(ISNUMBER(R159),ISNUMBER(R161)),VLOOKUP(ABS(R159-R161),'IMP Table'!$A$2:$C$26,3)*SIGN(R159-R161),0)</f>
        <v/>
      </c>
      <c r="AJ159">
        <f>IF(AND(ISNUMBER(R159),ISNUMBER(R162)),VLOOKUP(ABS(R159-R162),'IMP Table'!$A$2:$C$26,3)*SIGN(R159-R162),0)</f>
        <v/>
      </c>
      <c r="AK159">
        <f>IF(AND(ISNUMBER(R159),ISNUMBER(R163)),VLOOKUP(ABS(R159-R163),'IMP Table'!$A$2:$C$26,3)*SIGN(R159-R163),0)</f>
        <v/>
      </c>
      <c r="AL159">
        <f>IF(AND(ISNUMBER(S159),ISNUMBER(S157)),VLOOKUP(ABS(S159-S157),'IMP Table'!$A$2:$C$26,3)*SIGN(S159-S157),0)</f>
        <v/>
      </c>
      <c r="AM159">
        <f>IF(AND(ISNUMBER(S159),ISNUMBER(S158)),VLOOKUP(ABS(S159-S158),'IMP Table'!$A$2:$C$26,3)*SIGN(S159-S158),0)</f>
        <v/>
      </c>
      <c r="AN159">
        <f>IF(AND(ISNUMBER(S159),ISNUMBER(S160)),VLOOKUP(ABS(S159-S160),'IMP Table'!$A$2:$C$26,3)*SIGN(S159-S160),0)</f>
        <v/>
      </c>
      <c r="AO159">
        <f>IF(AND(ISNUMBER(S159),ISNUMBER(S161)),VLOOKUP(ABS(S159-S161),'IMP Table'!$A$2:$C$26,3)*SIGN(S159-S161),0)</f>
        <v/>
      </c>
      <c r="AP159">
        <f>IF(AND(ISNUMBER(S159),ISNUMBER(S162)),VLOOKUP(ABS(S159-S162),'IMP Table'!$A$2:$C$26,3)*SIGN(S159-S162),0)</f>
        <v/>
      </c>
      <c r="AQ159">
        <f>IF(AND(ISNUMBER(S159),ISNUMBER(S163)),VLOOKUP(ABS(S159-S163),'IMP Table'!$A$2:$C$26,3)*SIGN(S159-S163),0)</f>
        <v/>
      </c>
    </row>
    <row r="160">
      <c r="B160">
        <f>'By Round'!A101</f>
        <v/>
      </c>
      <c r="C160">
        <f>'By Round'!B107</f>
        <v/>
      </c>
      <c r="D160">
        <f>'By Round'!C107</f>
        <v/>
      </c>
      <c r="E160">
        <f>'By Round'!D107</f>
        <v/>
      </c>
      <c r="F160" s="11" t="inlineStr">
        <is>
          <t>Both</t>
        </is>
      </c>
      <c r="G160">
        <f>IF(ISBLANK('By Round'!G107),"",'By Round'!G107)</f>
        <v/>
      </c>
      <c r="H160">
        <f>IF(ISBLANK('By Round'!H107),"",'By Round'!H107)</f>
        <v/>
      </c>
      <c r="I160">
        <f>IF(ISBLANK('By Round'!I107),"",'By Round'!I107)</f>
        <v/>
      </c>
      <c r="J160">
        <f>IF(ISBLANK('By Round'!J107),"",'By Round'!J107)</f>
        <v/>
      </c>
      <c r="K160">
        <f>IF(ISBLANK('By Round'!K107),"",'By Round'!K107)</f>
        <v/>
      </c>
      <c r="L160" s="12">
        <f>SUM(AF160:AK160)</f>
        <v/>
      </c>
      <c r="M160" s="13">
        <f>SUM(AL160:AQ160)</f>
        <v/>
      </c>
      <c r="N160" s="8">
        <f>IF(COUNT(T160:Y160)&gt;0,P160/COUNT(T160:Y160),0.5)</f>
        <v/>
      </c>
      <c r="O160" s="8">
        <f>IF(COUNT(Z160:AE160)&gt;0,Q160/COUNT(Z160:AE160),0.5)</f>
        <v/>
      </c>
      <c r="P160" s="5">
        <f>SUM(T160:Y160)</f>
        <v/>
      </c>
      <c r="Q160" s="5">
        <f>SUM(Z160:AE160)</f>
        <v/>
      </c>
      <c r="R160" s="14">
        <f>IF(ISNUMBER(J160),J160,IF(ISNUMBER(K160),-K160,""))</f>
        <v/>
      </c>
      <c r="S160">
        <f>IF(ISNUMBER(K160),K160,IF(ISNUMBER(J160),-J160,""))</f>
        <v/>
      </c>
      <c r="T160" s="14">
        <f>IF(ISNUMBER(R160),IF(ISNUMBER(R157),IF(R160&gt;R157,1.0,IF(R160=R157,0.5,0.0)),""),"")</f>
        <v/>
      </c>
      <c r="U160">
        <f>IF(ISNUMBER(R160),IF(ISNUMBER(R158),IF(R160&gt;R158,1.0,IF(R160=R158,0.5,0.0)),""),"")</f>
        <v/>
      </c>
      <c r="V160">
        <f>IF(ISNUMBER(R160),IF(ISNUMBER(R159),IF(R160&gt;R159,1.0,IF(R160=R159,0.5,0.0)),""),"")</f>
        <v/>
      </c>
      <c r="W160">
        <f>IF(ISNUMBER(R160),IF(ISNUMBER(R161),IF(R160&gt;R161,1.0,IF(R160=R161,0.5,0.0)),""),"")</f>
        <v/>
      </c>
      <c r="X160">
        <f>IF(ISNUMBER(R160),IF(ISNUMBER(R162),IF(R160&gt;R162,1.0,IF(R160=R162,0.5,0.0)),""),"")</f>
        <v/>
      </c>
      <c r="Y160">
        <f>IF(ISNUMBER(R160),IF(ISNUMBER(R163),IF(R160&gt;R163,1.0,IF(R160=R163,0.5,0.0)),""),"")</f>
        <v/>
      </c>
      <c r="Z160">
        <f>IF(ISNUMBER(S160),IF(ISNUMBER(S157),IF(S160&gt;S157,1.0,IF(S160=S157,0.5,0.0)),""),"")</f>
        <v/>
      </c>
      <c r="AA160">
        <f>IF(ISNUMBER(S160),IF(ISNUMBER(S158),IF(S160&gt;S158,1.0,IF(S160=S158,0.5,0.0)),""),"")</f>
        <v/>
      </c>
      <c r="AB160">
        <f>IF(ISNUMBER(S160),IF(ISNUMBER(S159),IF(S160&gt;S159,1.0,IF(S160=S159,0.5,0.0)),""),"")</f>
        <v/>
      </c>
      <c r="AC160">
        <f>IF(ISNUMBER(S160),IF(ISNUMBER(S161),IF(S160&gt;S161,1.0,IF(S160=S161,0.5,0.0)),""),"")</f>
        <v/>
      </c>
      <c r="AD160">
        <f>IF(ISNUMBER(S160),IF(ISNUMBER(S162),IF(S160&gt;S162,1.0,IF(S160=S162,0.5,0.0)),""),"")</f>
        <v/>
      </c>
      <c r="AE160">
        <f>IF(ISNUMBER(S160),IF(ISNUMBER(S163),IF(S160&gt;S163,1.0,IF(S160=S163,0.5,0.0)),""),"")</f>
        <v/>
      </c>
      <c r="AF160" s="14">
        <f>IF(AND(ISNUMBER(R160),ISNUMBER(R157)),VLOOKUP(ABS(R160-R157),'IMP Table'!$A$2:$C$26,3)*SIGN(R160-R157),0)</f>
        <v/>
      </c>
      <c r="AG160">
        <f>IF(AND(ISNUMBER(R160),ISNUMBER(R158)),VLOOKUP(ABS(R160-R158),'IMP Table'!$A$2:$C$26,3)*SIGN(R160-R158),0)</f>
        <v/>
      </c>
      <c r="AH160">
        <f>IF(AND(ISNUMBER(R160),ISNUMBER(R159)),VLOOKUP(ABS(R160-R159),'IMP Table'!$A$2:$C$26,3)*SIGN(R160-R159),0)</f>
        <v/>
      </c>
      <c r="AI160">
        <f>IF(AND(ISNUMBER(R160),ISNUMBER(R161)),VLOOKUP(ABS(R160-R161),'IMP Table'!$A$2:$C$26,3)*SIGN(R160-R161),0)</f>
        <v/>
      </c>
      <c r="AJ160">
        <f>IF(AND(ISNUMBER(R160),ISNUMBER(R162)),VLOOKUP(ABS(R160-R162),'IMP Table'!$A$2:$C$26,3)*SIGN(R160-R162),0)</f>
        <v/>
      </c>
      <c r="AK160">
        <f>IF(AND(ISNUMBER(R160),ISNUMBER(R163)),VLOOKUP(ABS(R160-R163),'IMP Table'!$A$2:$C$26,3)*SIGN(R160-R163),0)</f>
        <v/>
      </c>
      <c r="AL160">
        <f>IF(AND(ISNUMBER(S160),ISNUMBER(S157)),VLOOKUP(ABS(S160-S157),'IMP Table'!$A$2:$C$26,3)*SIGN(S160-S157),0)</f>
        <v/>
      </c>
      <c r="AM160">
        <f>IF(AND(ISNUMBER(S160),ISNUMBER(S158)),VLOOKUP(ABS(S160-S158),'IMP Table'!$A$2:$C$26,3)*SIGN(S160-S158),0)</f>
        <v/>
      </c>
      <c r="AN160">
        <f>IF(AND(ISNUMBER(S160),ISNUMBER(S159)),VLOOKUP(ABS(S160-S159),'IMP Table'!$A$2:$C$26,3)*SIGN(S160-S159),0)</f>
        <v/>
      </c>
      <c r="AO160">
        <f>IF(AND(ISNUMBER(S160),ISNUMBER(S161)),VLOOKUP(ABS(S160-S161),'IMP Table'!$A$2:$C$26,3)*SIGN(S160-S161),0)</f>
        <v/>
      </c>
      <c r="AP160">
        <f>IF(AND(ISNUMBER(S160),ISNUMBER(S162)),VLOOKUP(ABS(S160-S162),'IMP Table'!$A$2:$C$26,3)*SIGN(S160-S162),0)</f>
        <v/>
      </c>
      <c r="AQ160">
        <f>IF(AND(ISNUMBER(S160),ISNUMBER(S163)),VLOOKUP(ABS(S160-S163),'IMP Table'!$A$2:$C$26,3)*SIGN(S160-S163),0)</f>
        <v/>
      </c>
    </row>
    <row r="161">
      <c r="B161">
        <f>'By Round'!A115</f>
        <v/>
      </c>
      <c r="C161">
        <f>'By Round'!B119</f>
        <v/>
      </c>
      <c r="D161">
        <f>'By Round'!C119</f>
        <v/>
      </c>
      <c r="E161">
        <f>'By Round'!D119</f>
        <v/>
      </c>
      <c r="F161" s="11" t="inlineStr">
        <is>
          <t>Both</t>
        </is>
      </c>
      <c r="G161">
        <f>IF(ISBLANK('By Round'!G119),"",'By Round'!G119)</f>
        <v/>
      </c>
      <c r="H161">
        <f>IF(ISBLANK('By Round'!H119),"",'By Round'!H119)</f>
        <v/>
      </c>
      <c r="I161">
        <f>IF(ISBLANK('By Round'!I119),"",'By Round'!I119)</f>
        <v/>
      </c>
      <c r="J161">
        <f>IF(ISBLANK('By Round'!J119),"",'By Round'!J119)</f>
        <v/>
      </c>
      <c r="K161">
        <f>IF(ISBLANK('By Round'!K119),"",'By Round'!K119)</f>
        <v/>
      </c>
      <c r="L161" s="12">
        <f>SUM(AF161:AK161)</f>
        <v/>
      </c>
      <c r="M161" s="13">
        <f>SUM(AL161:AQ161)</f>
        <v/>
      </c>
      <c r="N161" s="8">
        <f>IF(COUNT(T161:Y161)&gt;0,P161/COUNT(T161:Y161),0.5)</f>
        <v/>
      </c>
      <c r="O161" s="8">
        <f>IF(COUNT(Z161:AE161)&gt;0,Q161/COUNT(Z161:AE161),0.5)</f>
        <v/>
      </c>
      <c r="P161" s="5">
        <f>SUM(T161:Y161)</f>
        <v/>
      </c>
      <c r="Q161" s="5">
        <f>SUM(Z161:AE161)</f>
        <v/>
      </c>
      <c r="R161" s="14">
        <f>IF(ISNUMBER(J161),J161,IF(ISNUMBER(K161),-K161,""))</f>
        <v/>
      </c>
      <c r="S161">
        <f>IF(ISNUMBER(K161),K161,IF(ISNUMBER(J161),-J161,""))</f>
        <v/>
      </c>
      <c r="T161" s="14">
        <f>IF(ISNUMBER(R161),IF(ISNUMBER(R157),IF(R161&gt;R157,1.0,IF(R161=R157,0.5,0.0)),""),"")</f>
        <v/>
      </c>
      <c r="U161">
        <f>IF(ISNUMBER(R161),IF(ISNUMBER(R158),IF(R161&gt;R158,1.0,IF(R161=R158,0.5,0.0)),""),"")</f>
        <v/>
      </c>
      <c r="V161">
        <f>IF(ISNUMBER(R161),IF(ISNUMBER(R159),IF(R161&gt;R159,1.0,IF(R161=R159,0.5,0.0)),""),"")</f>
        <v/>
      </c>
      <c r="W161">
        <f>IF(ISNUMBER(R161),IF(ISNUMBER(R160),IF(R161&gt;R160,1.0,IF(R161=R160,0.5,0.0)),""),"")</f>
        <v/>
      </c>
      <c r="X161">
        <f>IF(ISNUMBER(R161),IF(ISNUMBER(R162),IF(R161&gt;R162,1.0,IF(R161=R162,0.5,0.0)),""),"")</f>
        <v/>
      </c>
      <c r="Y161">
        <f>IF(ISNUMBER(R161),IF(ISNUMBER(R163),IF(R161&gt;R163,1.0,IF(R161=R163,0.5,0.0)),""),"")</f>
        <v/>
      </c>
      <c r="Z161">
        <f>IF(ISNUMBER(S161),IF(ISNUMBER(S157),IF(S161&gt;S157,1.0,IF(S161=S157,0.5,0.0)),""),"")</f>
        <v/>
      </c>
      <c r="AA161">
        <f>IF(ISNUMBER(S161),IF(ISNUMBER(S158),IF(S161&gt;S158,1.0,IF(S161=S158,0.5,0.0)),""),"")</f>
        <v/>
      </c>
      <c r="AB161">
        <f>IF(ISNUMBER(S161),IF(ISNUMBER(S159),IF(S161&gt;S159,1.0,IF(S161=S159,0.5,0.0)),""),"")</f>
        <v/>
      </c>
      <c r="AC161">
        <f>IF(ISNUMBER(S161),IF(ISNUMBER(S160),IF(S161&gt;S160,1.0,IF(S161=S160,0.5,0.0)),""),"")</f>
        <v/>
      </c>
      <c r="AD161">
        <f>IF(ISNUMBER(S161),IF(ISNUMBER(S162),IF(S161&gt;S162,1.0,IF(S161=S162,0.5,0.0)),""),"")</f>
        <v/>
      </c>
      <c r="AE161">
        <f>IF(ISNUMBER(S161),IF(ISNUMBER(S163),IF(S161&gt;S163,1.0,IF(S161=S163,0.5,0.0)),""),"")</f>
        <v/>
      </c>
      <c r="AF161" s="14">
        <f>IF(AND(ISNUMBER(R161),ISNUMBER(R157)),VLOOKUP(ABS(R161-R157),'IMP Table'!$A$2:$C$26,3)*SIGN(R161-R157),0)</f>
        <v/>
      </c>
      <c r="AG161">
        <f>IF(AND(ISNUMBER(R161),ISNUMBER(R158)),VLOOKUP(ABS(R161-R158),'IMP Table'!$A$2:$C$26,3)*SIGN(R161-R158),0)</f>
        <v/>
      </c>
      <c r="AH161">
        <f>IF(AND(ISNUMBER(R161),ISNUMBER(R159)),VLOOKUP(ABS(R161-R159),'IMP Table'!$A$2:$C$26,3)*SIGN(R161-R159),0)</f>
        <v/>
      </c>
      <c r="AI161">
        <f>IF(AND(ISNUMBER(R161),ISNUMBER(R160)),VLOOKUP(ABS(R161-R160),'IMP Table'!$A$2:$C$26,3)*SIGN(R161-R160),0)</f>
        <v/>
      </c>
      <c r="AJ161">
        <f>IF(AND(ISNUMBER(R161),ISNUMBER(R162)),VLOOKUP(ABS(R161-R162),'IMP Table'!$A$2:$C$26,3)*SIGN(R161-R162),0)</f>
        <v/>
      </c>
      <c r="AK161">
        <f>IF(AND(ISNUMBER(R161),ISNUMBER(R163)),VLOOKUP(ABS(R161-R163),'IMP Table'!$A$2:$C$26,3)*SIGN(R161-R163),0)</f>
        <v/>
      </c>
      <c r="AL161">
        <f>IF(AND(ISNUMBER(S161),ISNUMBER(S157)),VLOOKUP(ABS(S161-S157),'IMP Table'!$A$2:$C$26,3)*SIGN(S161-S157),0)</f>
        <v/>
      </c>
      <c r="AM161">
        <f>IF(AND(ISNUMBER(S161),ISNUMBER(S158)),VLOOKUP(ABS(S161-S158),'IMP Table'!$A$2:$C$26,3)*SIGN(S161-S158),0)</f>
        <v/>
      </c>
      <c r="AN161">
        <f>IF(AND(ISNUMBER(S161),ISNUMBER(S159)),VLOOKUP(ABS(S161-S159),'IMP Table'!$A$2:$C$26,3)*SIGN(S161-S159),0)</f>
        <v/>
      </c>
      <c r="AO161">
        <f>IF(AND(ISNUMBER(S161),ISNUMBER(S160)),VLOOKUP(ABS(S161-S160),'IMP Table'!$A$2:$C$26,3)*SIGN(S161-S160),0)</f>
        <v/>
      </c>
      <c r="AP161">
        <f>IF(AND(ISNUMBER(S161),ISNUMBER(S162)),VLOOKUP(ABS(S161-S162),'IMP Table'!$A$2:$C$26,3)*SIGN(S161-S162),0)</f>
        <v/>
      </c>
      <c r="AQ161">
        <f>IF(AND(ISNUMBER(S161),ISNUMBER(S163)),VLOOKUP(ABS(S161-S163),'IMP Table'!$A$2:$C$26,3)*SIGN(S161-S163),0)</f>
        <v/>
      </c>
    </row>
    <row r="162">
      <c r="B162">
        <f>'By Round'!A129</f>
        <v/>
      </c>
      <c r="C162">
        <f>'By Round'!B131</f>
        <v/>
      </c>
      <c r="D162">
        <f>'By Round'!C131</f>
        <v/>
      </c>
      <c r="E162">
        <f>'By Round'!D131</f>
        <v/>
      </c>
      <c r="F162" s="11" t="inlineStr">
        <is>
          <t>Both</t>
        </is>
      </c>
      <c r="G162">
        <f>IF(ISBLANK('By Round'!G131),"",'By Round'!G131)</f>
        <v/>
      </c>
      <c r="H162">
        <f>IF(ISBLANK('By Round'!H131),"",'By Round'!H131)</f>
        <v/>
      </c>
      <c r="I162">
        <f>IF(ISBLANK('By Round'!I131),"",'By Round'!I131)</f>
        <v/>
      </c>
      <c r="J162">
        <f>IF(ISBLANK('By Round'!J131),"",'By Round'!J131)</f>
        <v/>
      </c>
      <c r="K162">
        <f>IF(ISBLANK('By Round'!K131),"",'By Round'!K131)</f>
        <v/>
      </c>
      <c r="L162" s="12">
        <f>SUM(AF162:AK162)</f>
        <v/>
      </c>
      <c r="M162" s="13">
        <f>SUM(AL162:AQ162)</f>
        <v/>
      </c>
      <c r="N162" s="8">
        <f>IF(COUNT(T162:Y162)&gt;0,P162/COUNT(T162:Y162),0.5)</f>
        <v/>
      </c>
      <c r="O162" s="8">
        <f>IF(COUNT(Z162:AE162)&gt;0,Q162/COUNT(Z162:AE162),0.5)</f>
        <v/>
      </c>
      <c r="P162" s="5">
        <f>SUM(T162:Y162)</f>
        <v/>
      </c>
      <c r="Q162" s="5">
        <f>SUM(Z162:AE162)</f>
        <v/>
      </c>
      <c r="R162" s="14">
        <f>IF(ISNUMBER(J162),J162,IF(ISNUMBER(K162),-K162,""))</f>
        <v/>
      </c>
      <c r="S162">
        <f>IF(ISNUMBER(K162),K162,IF(ISNUMBER(J162),-J162,""))</f>
        <v/>
      </c>
      <c r="T162" s="14">
        <f>IF(ISNUMBER(R162),IF(ISNUMBER(R157),IF(R162&gt;R157,1.0,IF(R162=R157,0.5,0.0)),""),"")</f>
        <v/>
      </c>
      <c r="U162">
        <f>IF(ISNUMBER(R162),IF(ISNUMBER(R158),IF(R162&gt;R158,1.0,IF(R162=R158,0.5,0.0)),""),"")</f>
        <v/>
      </c>
      <c r="V162">
        <f>IF(ISNUMBER(R162),IF(ISNUMBER(R159),IF(R162&gt;R159,1.0,IF(R162=R159,0.5,0.0)),""),"")</f>
        <v/>
      </c>
      <c r="W162">
        <f>IF(ISNUMBER(R162),IF(ISNUMBER(R160),IF(R162&gt;R160,1.0,IF(R162=R160,0.5,0.0)),""),"")</f>
        <v/>
      </c>
      <c r="X162">
        <f>IF(ISNUMBER(R162),IF(ISNUMBER(R161),IF(R162&gt;R161,1.0,IF(R162=R161,0.5,0.0)),""),"")</f>
        <v/>
      </c>
      <c r="Y162">
        <f>IF(ISNUMBER(R162),IF(ISNUMBER(R163),IF(R162&gt;R163,1.0,IF(R162=R163,0.5,0.0)),""),"")</f>
        <v/>
      </c>
      <c r="Z162">
        <f>IF(ISNUMBER(S162),IF(ISNUMBER(S157),IF(S162&gt;S157,1.0,IF(S162=S157,0.5,0.0)),""),"")</f>
        <v/>
      </c>
      <c r="AA162">
        <f>IF(ISNUMBER(S162),IF(ISNUMBER(S158),IF(S162&gt;S158,1.0,IF(S162=S158,0.5,0.0)),""),"")</f>
        <v/>
      </c>
      <c r="AB162">
        <f>IF(ISNUMBER(S162),IF(ISNUMBER(S159),IF(S162&gt;S159,1.0,IF(S162=S159,0.5,0.0)),""),"")</f>
        <v/>
      </c>
      <c r="AC162">
        <f>IF(ISNUMBER(S162),IF(ISNUMBER(S160),IF(S162&gt;S160,1.0,IF(S162=S160,0.5,0.0)),""),"")</f>
        <v/>
      </c>
      <c r="AD162">
        <f>IF(ISNUMBER(S162),IF(ISNUMBER(S161),IF(S162&gt;S161,1.0,IF(S162=S161,0.5,0.0)),""),"")</f>
        <v/>
      </c>
      <c r="AE162">
        <f>IF(ISNUMBER(S162),IF(ISNUMBER(S163),IF(S162&gt;S163,1.0,IF(S162=S163,0.5,0.0)),""),"")</f>
        <v/>
      </c>
      <c r="AF162" s="14">
        <f>IF(AND(ISNUMBER(R162),ISNUMBER(R157)),VLOOKUP(ABS(R162-R157),'IMP Table'!$A$2:$C$26,3)*SIGN(R162-R157),0)</f>
        <v/>
      </c>
      <c r="AG162">
        <f>IF(AND(ISNUMBER(R162),ISNUMBER(R158)),VLOOKUP(ABS(R162-R158),'IMP Table'!$A$2:$C$26,3)*SIGN(R162-R158),0)</f>
        <v/>
      </c>
      <c r="AH162">
        <f>IF(AND(ISNUMBER(R162),ISNUMBER(R159)),VLOOKUP(ABS(R162-R159),'IMP Table'!$A$2:$C$26,3)*SIGN(R162-R159),0)</f>
        <v/>
      </c>
      <c r="AI162">
        <f>IF(AND(ISNUMBER(R162),ISNUMBER(R160)),VLOOKUP(ABS(R162-R160),'IMP Table'!$A$2:$C$26,3)*SIGN(R162-R160),0)</f>
        <v/>
      </c>
      <c r="AJ162">
        <f>IF(AND(ISNUMBER(R162),ISNUMBER(R161)),VLOOKUP(ABS(R162-R161),'IMP Table'!$A$2:$C$26,3)*SIGN(R162-R161),0)</f>
        <v/>
      </c>
      <c r="AK162">
        <f>IF(AND(ISNUMBER(R162),ISNUMBER(R163)),VLOOKUP(ABS(R162-R163),'IMP Table'!$A$2:$C$26,3)*SIGN(R162-R163),0)</f>
        <v/>
      </c>
      <c r="AL162">
        <f>IF(AND(ISNUMBER(S162),ISNUMBER(S157)),VLOOKUP(ABS(S162-S157),'IMP Table'!$A$2:$C$26,3)*SIGN(S162-S157),0)</f>
        <v/>
      </c>
      <c r="AM162">
        <f>IF(AND(ISNUMBER(S162),ISNUMBER(S158)),VLOOKUP(ABS(S162-S158),'IMP Table'!$A$2:$C$26,3)*SIGN(S162-S158),0)</f>
        <v/>
      </c>
      <c r="AN162">
        <f>IF(AND(ISNUMBER(S162),ISNUMBER(S159)),VLOOKUP(ABS(S162-S159),'IMP Table'!$A$2:$C$26,3)*SIGN(S162-S159),0)</f>
        <v/>
      </c>
      <c r="AO162">
        <f>IF(AND(ISNUMBER(S162),ISNUMBER(S160)),VLOOKUP(ABS(S162-S160),'IMP Table'!$A$2:$C$26,3)*SIGN(S162-S160),0)</f>
        <v/>
      </c>
      <c r="AP162">
        <f>IF(AND(ISNUMBER(S162),ISNUMBER(S161)),VLOOKUP(ABS(S162-S161),'IMP Table'!$A$2:$C$26,3)*SIGN(S162-S161),0)</f>
        <v/>
      </c>
      <c r="AQ162">
        <f>IF(AND(ISNUMBER(S162),ISNUMBER(S163)),VLOOKUP(ABS(S162-S163),'IMP Table'!$A$2:$C$26,3)*SIGN(S162-S163),0)</f>
        <v/>
      </c>
    </row>
    <row r="163">
      <c r="A163" s="15" t="n"/>
      <c r="B163" s="15">
        <f>'By Round'!A157</f>
        <v/>
      </c>
      <c r="C163" s="15">
        <f>'By Round'!B157</f>
        <v/>
      </c>
      <c r="D163" s="15">
        <f>'By Round'!C157</f>
        <v/>
      </c>
      <c r="E163" s="15">
        <f>'By Round'!D157</f>
        <v/>
      </c>
      <c r="F163" s="16" t="inlineStr">
        <is>
          <t>Both</t>
        </is>
      </c>
      <c r="G163" s="15">
        <f>IF(ISBLANK('By Round'!G157),"",'By Round'!G157)</f>
        <v/>
      </c>
      <c r="H163" s="15">
        <f>IF(ISBLANK('By Round'!H157),"",'By Round'!H157)</f>
        <v/>
      </c>
      <c r="I163" s="15">
        <f>IF(ISBLANK('By Round'!I157),"",'By Round'!I157)</f>
        <v/>
      </c>
      <c r="J163" s="15">
        <f>IF(ISBLANK('By Round'!J157),"",'By Round'!J157)</f>
        <v/>
      </c>
      <c r="K163" s="15">
        <f>IF(ISBLANK('By Round'!K157),"",'By Round'!K157)</f>
        <v/>
      </c>
      <c r="L163" s="17">
        <f>SUM(AF163:AK163)</f>
        <v/>
      </c>
      <c r="M163" s="18">
        <f>SUM(AL163:AQ163)</f>
        <v/>
      </c>
      <c r="N163" s="19">
        <f>IF(COUNT(T163:Y163)&gt;0,P163/COUNT(T163:Y163),0.5)</f>
        <v/>
      </c>
      <c r="O163" s="19">
        <f>IF(COUNT(Z163:AE163)&gt;0,Q163/COUNT(Z163:AE163),0.5)</f>
        <v/>
      </c>
      <c r="P163" s="20">
        <f>SUM(T163:Y163)</f>
        <v/>
      </c>
      <c r="Q163" s="20">
        <f>SUM(Z163:AE163)</f>
        <v/>
      </c>
      <c r="R163" s="21">
        <f>IF(ISNUMBER(J163),J163,IF(ISNUMBER(K163),-K163,""))</f>
        <v/>
      </c>
      <c r="S163" s="15">
        <f>IF(ISNUMBER(K163),K163,IF(ISNUMBER(J163),-J163,""))</f>
        <v/>
      </c>
      <c r="T163" s="21">
        <f>IF(ISNUMBER(R163),IF(ISNUMBER(R157),IF(R163&gt;R157,1.0,IF(R163=R157,0.5,0.0)),""),"")</f>
        <v/>
      </c>
      <c r="U163" s="15">
        <f>IF(ISNUMBER(R163),IF(ISNUMBER(R158),IF(R163&gt;R158,1.0,IF(R163=R158,0.5,0.0)),""),"")</f>
        <v/>
      </c>
      <c r="V163" s="15">
        <f>IF(ISNUMBER(R163),IF(ISNUMBER(R159),IF(R163&gt;R159,1.0,IF(R163=R159,0.5,0.0)),""),"")</f>
        <v/>
      </c>
      <c r="W163" s="15">
        <f>IF(ISNUMBER(R163),IF(ISNUMBER(R160),IF(R163&gt;R160,1.0,IF(R163=R160,0.5,0.0)),""),"")</f>
        <v/>
      </c>
      <c r="X163" s="15">
        <f>IF(ISNUMBER(R163),IF(ISNUMBER(R161),IF(R163&gt;R161,1.0,IF(R163=R161,0.5,0.0)),""),"")</f>
        <v/>
      </c>
      <c r="Y163" s="15">
        <f>IF(ISNUMBER(R163),IF(ISNUMBER(R162),IF(R163&gt;R162,1.0,IF(R163=R162,0.5,0.0)),""),"")</f>
        <v/>
      </c>
      <c r="Z163" s="15">
        <f>IF(ISNUMBER(S163),IF(ISNUMBER(S157),IF(S163&gt;S157,1.0,IF(S163=S157,0.5,0.0)),""),"")</f>
        <v/>
      </c>
      <c r="AA163" s="15">
        <f>IF(ISNUMBER(S163),IF(ISNUMBER(S158),IF(S163&gt;S158,1.0,IF(S163=S158,0.5,0.0)),""),"")</f>
        <v/>
      </c>
      <c r="AB163" s="15">
        <f>IF(ISNUMBER(S163),IF(ISNUMBER(S159),IF(S163&gt;S159,1.0,IF(S163=S159,0.5,0.0)),""),"")</f>
        <v/>
      </c>
      <c r="AC163" s="15">
        <f>IF(ISNUMBER(S163),IF(ISNUMBER(S160),IF(S163&gt;S160,1.0,IF(S163=S160,0.5,0.0)),""),"")</f>
        <v/>
      </c>
      <c r="AD163" s="15">
        <f>IF(ISNUMBER(S163),IF(ISNUMBER(S161),IF(S163&gt;S161,1.0,IF(S163=S161,0.5,0.0)),""),"")</f>
        <v/>
      </c>
      <c r="AE163" s="15">
        <f>IF(ISNUMBER(S163),IF(ISNUMBER(S162),IF(S163&gt;S162,1.0,IF(S163=S162,0.5,0.0)),""),"")</f>
        <v/>
      </c>
      <c r="AF163" s="21">
        <f>IF(AND(ISNUMBER(R163),ISNUMBER(R157)),VLOOKUP(ABS(R163-R157),'IMP Table'!$A$2:$C$26,3)*SIGN(R163-R157),0)</f>
        <v/>
      </c>
      <c r="AG163" s="15">
        <f>IF(AND(ISNUMBER(R163),ISNUMBER(R158)),VLOOKUP(ABS(R163-R158),'IMP Table'!$A$2:$C$26,3)*SIGN(R163-R158),0)</f>
        <v/>
      </c>
      <c r="AH163" s="15">
        <f>IF(AND(ISNUMBER(R163),ISNUMBER(R159)),VLOOKUP(ABS(R163-R159),'IMP Table'!$A$2:$C$26,3)*SIGN(R163-R159),0)</f>
        <v/>
      </c>
      <c r="AI163" s="15">
        <f>IF(AND(ISNUMBER(R163),ISNUMBER(R160)),VLOOKUP(ABS(R163-R160),'IMP Table'!$A$2:$C$26,3)*SIGN(R163-R160),0)</f>
        <v/>
      </c>
      <c r="AJ163" s="15">
        <f>IF(AND(ISNUMBER(R163),ISNUMBER(R161)),VLOOKUP(ABS(R163-R161),'IMP Table'!$A$2:$C$26,3)*SIGN(R163-R161),0)</f>
        <v/>
      </c>
      <c r="AK163" s="15">
        <f>IF(AND(ISNUMBER(R163),ISNUMBER(R162)),VLOOKUP(ABS(R163-R162),'IMP Table'!$A$2:$C$26,3)*SIGN(R163-R162),0)</f>
        <v/>
      </c>
      <c r="AL163" s="15">
        <f>IF(AND(ISNUMBER(S163),ISNUMBER(S157)),VLOOKUP(ABS(S163-S157),'IMP Table'!$A$2:$C$26,3)*SIGN(S163-S157),0)</f>
        <v/>
      </c>
      <c r="AM163" s="15">
        <f>IF(AND(ISNUMBER(S163),ISNUMBER(S158)),VLOOKUP(ABS(S163-S158),'IMP Table'!$A$2:$C$26,3)*SIGN(S163-S158),0)</f>
        <v/>
      </c>
      <c r="AN163" s="15">
        <f>IF(AND(ISNUMBER(S163),ISNUMBER(S159)),VLOOKUP(ABS(S163-S159),'IMP Table'!$A$2:$C$26,3)*SIGN(S163-S159),0)</f>
        <v/>
      </c>
      <c r="AO163" s="15">
        <f>IF(AND(ISNUMBER(S163),ISNUMBER(S160)),VLOOKUP(ABS(S163-S160),'IMP Table'!$A$2:$C$26,3)*SIGN(S163-S160),0)</f>
        <v/>
      </c>
      <c r="AP163" s="15">
        <f>IF(AND(ISNUMBER(S163),ISNUMBER(S161)),VLOOKUP(ABS(S163-S161),'IMP Table'!$A$2:$C$26,3)*SIGN(S163-S161),0)</f>
        <v/>
      </c>
      <c r="AQ163" s="15">
        <f>IF(AND(ISNUMBER(S163),ISNUMBER(S162)),VLOOKUP(ABS(S163-S162),'IMP Table'!$A$2:$C$26,3)*SIGN(S163-S162),0)</f>
        <v/>
      </c>
    </row>
    <row r="164">
      <c r="A164" t="n">
        <v>24</v>
      </c>
      <c r="B164">
        <f>'By Round'!A3</f>
        <v/>
      </c>
      <c r="C164">
        <f>'By Round'!B15</f>
        <v/>
      </c>
      <c r="D164">
        <f>'By Round'!C15</f>
        <v/>
      </c>
      <c r="E164">
        <f>'By Round'!D15</f>
        <v/>
      </c>
      <c r="F164" s="11" t="inlineStr">
        <is>
          <t>None</t>
        </is>
      </c>
      <c r="G164">
        <f>IF(ISBLANK('By Round'!G15),"",'By Round'!G15)</f>
        <v/>
      </c>
      <c r="H164">
        <f>IF(ISBLANK('By Round'!H15),"",'By Round'!H15)</f>
        <v/>
      </c>
      <c r="I164">
        <f>IF(ISBLANK('By Round'!I15),"",'By Round'!I15)</f>
        <v/>
      </c>
      <c r="J164">
        <f>IF(ISBLANK('By Round'!J15),"",'By Round'!J15)</f>
        <v/>
      </c>
      <c r="K164">
        <f>IF(ISBLANK('By Round'!K15),"",'By Round'!K15)</f>
        <v/>
      </c>
      <c r="L164" s="12">
        <f>SUM(AF164:AK164)</f>
        <v/>
      </c>
      <c r="M164" s="13">
        <f>SUM(AL164:AQ164)</f>
        <v/>
      </c>
      <c r="N164" s="8">
        <f>IF(COUNT(T164:Y164)&gt;0,P164/COUNT(T164:Y164),0.5)</f>
        <v/>
      </c>
      <c r="O164" s="8">
        <f>IF(COUNT(Z164:AE164)&gt;0,Q164/COUNT(Z164:AE164),0.5)</f>
        <v/>
      </c>
      <c r="P164" s="5">
        <f>SUM(T164:Y164)</f>
        <v/>
      </c>
      <c r="Q164" s="5">
        <f>SUM(Z164:AE164)</f>
        <v/>
      </c>
      <c r="R164" s="14">
        <f>IF(ISNUMBER(J164),J164,IF(ISNUMBER(K164),-K164,""))</f>
        <v/>
      </c>
      <c r="S164">
        <f>IF(ISNUMBER(K164),K164,IF(ISNUMBER(J164),-J164,""))</f>
        <v/>
      </c>
      <c r="T164" s="14">
        <f>IF(ISNUMBER(R164),IF(ISNUMBER(R165),IF(R164&gt;R165,1.0,IF(R164=R165,0.5,0.0)),""),"")</f>
        <v/>
      </c>
      <c r="U164">
        <f>IF(ISNUMBER(R164),IF(ISNUMBER(R166),IF(R164&gt;R166,1.0,IF(R164=R166,0.5,0.0)),""),"")</f>
        <v/>
      </c>
      <c r="V164">
        <f>IF(ISNUMBER(R164),IF(ISNUMBER(R167),IF(R164&gt;R167,1.0,IF(R164=R167,0.5,0.0)),""),"")</f>
        <v/>
      </c>
      <c r="W164">
        <f>IF(ISNUMBER(R164),IF(ISNUMBER(R168),IF(R164&gt;R168,1.0,IF(R164=R168,0.5,0.0)),""),"")</f>
        <v/>
      </c>
      <c r="X164">
        <f>IF(ISNUMBER(R164),IF(ISNUMBER(R169),IF(R164&gt;R169,1.0,IF(R164=R169,0.5,0.0)),""),"")</f>
        <v/>
      </c>
      <c r="Y164">
        <f>IF(ISNUMBER(R164),IF(ISNUMBER(R170),IF(R164&gt;R170,1.0,IF(R164=R170,0.5,0.0)),""),"")</f>
        <v/>
      </c>
      <c r="Z164">
        <f>IF(ISNUMBER(S164),IF(ISNUMBER(S165),IF(S164&gt;S165,1.0,IF(S164=S165,0.5,0.0)),""),"")</f>
        <v/>
      </c>
      <c r="AA164">
        <f>IF(ISNUMBER(S164),IF(ISNUMBER(S166),IF(S164&gt;S166,1.0,IF(S164=S166,0.5,0.0)),""),"")</f>
        <v/>
      </c>
      <c r="AB164">
        <f>IF(ISNUMBER(S164),IF(ISNUMBER(S167),IF(S164&gt;S167,1.0,IF(S164=S167,0.5,0.0)),""),"")</f>
        <v/>
      </c>
      <c r="AC164">
        <f>IF(ISNUMBER(S164),IF(ISNUMBER(S168),IF(S164&gt;S168,1.0,IF(S164=S168,0.5,0.0)),""),"")</f>
        <v/>
      </c>
      <c r="AD164">
        <f>IF(ISNUMBER(S164),IF(ISNUMBER(S169),IF(S164&gt;S169,1.0,IF(S164=S169,0.5,0.0)),""),"")</f>
        <v/>
      </c>
      <c r="AE164">
        <f>IF(ISNUMBER(S164),IF(ISNUMBER(S170),IF(S164&gt;S170,1.0,IF(S164=S170,0.5,0.0)),""),"")</f>
        <v/>
      </c>
      <c r="AF164" s="14">
        <f>IF(AND(ISNUMBER(R164),ISNUMBER(R165)),VLOOKUP(ABS(R164-R165),'IMP Table'!$A$2:$C$26,3)*SIGN(R164-R165),0)</f>
        <v/>
      </c>
      <c r="AG164">
        <f>IF(AND(ISNUMBER(R164),ISNUMBER(R166)),VLOOKUP(ABS(R164-R166),'IMP Table'!$A$2:$C$26,3)*SIGN(R164-R166),0)</f>
        <v/>
      </c>
      <c r="AH164">
        <f>IF(AND(ISNUMBER(R164),ISNUMBER(R167)),VLOOKUP(ABS(R164-R167),'IMP Table'!$A$2:$C$26,3)*SIGN(R164-R167),0)</f>
        <v/>
      </c>
      <c r="AI164">
        <f>IF(AND(ISNUMBER(R164),ISNUMBER(R168)),VLOOKUP(ABS(R164-R168),'IMP Table'!$A$2:$C$26,3)*SIGN(R164-R168),0)</f>
        <v/>
      </c>
      <c r="AJ164">
        <f>IF(AND(ISNUMBER(R164),ISNUMBER(R169)),VLOOKUP(ABS(R164-R169),'IMP Table'!$A$2:$C$26,3)*SIGN(R164-R169),0)</f>
        <v/>
      </c>
      <c r="AK164">
        <f>IF(AND(ISNUMBER(R164),ISNUMBER(R170)),VLOOKUP(ABS(R164-R170),'IMP Table'!$A$2:$C$26,3)*SIGN(R164-R170),0)</f>
        <v/>
      </c>
      <c r="AL164">
        <f>IF(AND(ISNUMBER(S164),ISNUMBER(S165)),VLOOKUP(ABS(S164-S165),'IMP Table'!$A$2:$C$26,3)*SIGN(S164-S165),0)</f>
        <v/>
      </c>
      <c r="AM164">
        <f>IF(AND(ISNUMBER(S164),ISNUMBER(S166)),VLOOKUP(ABS(S164-S166),'IMP Table'!$A$2:$C$26,3)*SIGN(S164-S166),0)</f>
        <v/>
      </c>
      <c r="AN164">
        <f>IF(AND(ISNUMBER(S164),ISNUMBER(S167)),VLOOKUP(ABS(S164-S167),'IMP Table'!$A$2:$C$26,3)*SIGN(S164-S167),0)</f>
        <v/>
      </c>
      <c r="AO164">
        <f>IF(AND(ISNUMBER(S164),ISNUMBER(S168)),VLOOKUP(ABS(S164-S168),'IMP Table'!$A$2:$C$26,3)*SIGN(S164-S168),0)</f>
        <v/>
      </c>
      <c r="AP164">
        <f>IF(AND(ISNUMBER(S164),ISNUMBER(S169)),VLOOKUP(ABS(S164-S169),'IMP Table'!$A$2:$C$26,3)*SIGN(S164-S169),0)</f>
        <v/>
      </c>
      <c r="AQ164">
        <f>IF(AND(ISNUMBER(S164),ISNUMBER(S170)),VLOOKUP(ABS(S164-S170),'IMP Table'!$A$2:$C$26,3)*SIGN(S164-S170),0)</f>
        <v/>
      </c>
    </row>
    <row r="165">
      <c r="B165">
        <f>'By Round'!A17</f>
        <v/>
      </c>
      <c r="C165">
        <f>'By Round'!B27</f>
        <v/>
      </c>
      <c r="D165">
        <f>'By Round'!C27</f>
        <v/>
      </c>
      <c r="E165">
        <f>'By Round'!D27</f>
        <v/>
      </c>
      <c r="F165" s="11" t="inlineStr">
        <is>
          <t>None</t>
        </is>
      </c>
      <c r="G165">
        <f>IF(ISBLANK('By Round'!G27),"",'By Round'!G27)</f>
        <v/>
      </c>
      <c r="H165">
        <f>IF(ISBLANK('By Round'!H27),"",'By Round'!H27)</f>
        <v/>
      </c>
      <c r="I165">
        <f>IF(ISBLANK('By Round'!I27),"",'By Round'!I27)</f>
        <v/>
      </c>
      <c r="J165">
        <f>IF(ISBLANK('By Round'!J27),"",'By Round'!J27)</f>
        <v/>
      </c>
      <c r="K165">
        <f>IF(ISBLANK('By Round'!K27),"",'By Round'!K27)</f>
        <v/>
      </c>
      <c r="L165" s="12">
        <f>SUM(AF165:AK165)</f>
        <v/>
      </c>
      <c r="M165" s="13">
        <f>SUM(AL165:AQ165)</f>
        <v/>
      </c>
      <c r="N165" s="8">
        <f>IF(COUNT(T165:Y165)&gt;0,P165/COUNT(T165:Y165),0.5)</f>
        <v/>
      </c>
      <c r="O165" s="8">
        <f>IF(COUNT(Z165:AE165)&gt;0,Q165/COUNT(Z165:AE165),0.5)</f>
        <v/>
      </c>
      <c r="P165" s="5">
        <f>SUM(T165:Y165)</f>
        <v/>
      </c>
      <c r="Q165" s="5">
        <f>SUM(Z165:AE165)</f>
        <v/>
      </c>
      <c r="R165" s="14">
        <f>IF(ISNUMBER(J165),J165,IF(ISNUMBER(K165),-K165,""))</f>
        <v/>
      </c>
      <c r="S165">
        <f>IF(ISNUMBER(K165),K165,IF(ISNUMBER(J165),-J165,""))</f>
        <v/>
      </c>
      <c r="T165" s="14">
        <f>IF(ISNUMBER(R165),IF(ISNUMBER(R164),IF(R165&gt;R164,1.0,IF(R165=R164,0.5,0.0)),""),"")</f>
        <v/>
      </c>
      <c r="U165">
        <f>IF(ISNUMBER(R165),IF(ISNUMBER(R166),IF(R165&gt;R166,1.0,IF(R165=R166,0.5,0.0)),""),"")</f>
        <v/>
      </c>
      <c r="V165">
        <f>IF(ISNUMBER(R165),IF(ISNUMBER(R167),IF(R165&gt;R167,1.0,IF(R165=R167,0.5,0.0)),""),"")</f>
        <v/>
      </c>
      <c r="W165">
        <f>IF(ISNUMBER(R165),IF(ISNUMBER(R168),IF(R165&gt;R168,1.0,IF(R165=R168,0.5,0.0)),""),"")</f>
        <v/>
      </c>
      <c r="X165">
        <f>IF(ISNUMBER(R165),IF(ISNUMBER(R169),IF(R165&gt;R169,1.0,IF(R165=R169,0.5,0.0)),""),"")</f>
        <v/>
      </c>
      <c r="Y165">
        <f>IF(ISNUMBER(R165),IF(ISNUMBER(R170),IF(R165&gt;R170,1.0,IF(R165=R170,0.5,0.0)),""),"")</f>
        <v/>
      </c>
      <c r="Z165">
        <f>IF(ISNUMBER(S165),IF(ISNUMBER(S164),IF(S165&gt;S164,1.0,IF(S165=S164,0.5,0.0)),""),"")</f>
        <v/>
      </c>
      <c r="AA165">
        <f>IF(ISNUMBER(S165),IF(ISNUMBER(S166),IF(S165&gt;S166,1.0,IF(S165=S166,0.5,0.0)),""),"")</f>
        <v/>
      </c>
      <c r="AB165">
        <f>IF(ISNUMBER(S165),IF(ISNUMBER(S167),IF(S165&gt;S167,1.0,IF(S165=S167,0.5,0.0)),""),"")</f>
        <v/>
      </c>
      <c r="AC165">
        <f>IF(ISNUMBER(S165),IF(ISNUMBER(S168),IF(S165&gt;S168,1.0,IF(S165=S168,0.5,0.0)),""),"")</f>
        <v/>
      </c>
      <c r="AD165">
        <f>IF(ISNUMBER(S165),IF(ISNUMBER(S169),IF(S165&gt;S169,1.0,IF(S165=S169,0.5,0.0)),""),"")</f>
        <v/>
      </c>
      <c r="AE165">
        <f>IF(ISNUMBER(S165),IF(ISNUMBER(S170),IF(S165&gt;S170,1.0,IF(S165=S170,0.5,0.0)),""),"")</f>
        <v/>
      </c>
      <c r="AF165" s="14">
        <f>IF(AND(ISNUMBER(R165),ISNUMBER(R164)),VLOOKUP(ABS(R165-R164),'IMP Table'!$A$2:$C$26,3)*SIGN(R165-R164),0)</f>
        <v/>
      </c>
      <c r="AG165">
        <f>IF(AND(ISNUMBER(R165),ISNUMBER(R166)),VLOOKUP(ABS(R165-R166),'IMP Table'!$A$2:$C$26,3)*SIGN(R165-R166),0)</f>
        <v/>
      </c>
      <c r="AH165">
        <f>IF(AND(ISNUMBER(R165),ISNUMBER(R167)),VLOOKUP(ABS(R165-R167),'IMP Table'!$A$2:$C$26,3)*SIGN(R165-R167),0)</f>
        <v/>
      </c>
      <c r="AI165">
        <f>IF(AND(ISNUMBER(R165),ISNUMBER(R168)),VLOOKUP(ABS(R165-R168),'IMP Table'!$A$2:$C$26,3)*SIGN(R165-R168),0)</f>
        <v/>
      </c>
      <c r="AJ165">
        <f>IF(AND(ISNUMBER(R165),ISNUMBER(R169)),VLOOKUP(ABS(R165-R169),'IMP Table'!$A$2:$C$26,3)*SIGN(R165-R169),0)</f>
        <v/>
      </c>
      <c r="AK165">
        <f>IF(AND(ISNUMBER(R165),ISNUMBER(R170)),VLOOKUP(ABS(R165-R170),'IMP Table'!$A$2:$C$26,3)*SIGN(R165-R170),0)</f>
        <v/>
      </c>
      <c r="AL165">
        <f>IF(AND(ISNUMBER(S165),ISNUMBER(S164)),VLOOKUP(ABS(S165-S164),'IMP Table'!$A$2:$C$26,3)*SIGN(S165-S164),0)</f>
        <v/>
      </c>
      <c r="AM165">
        <f>IF(AND(ISNUMBER(S165),ISNUMBER(S166)),VLOOKUP(ABS(S165-S166),'IMP Table'!$A$2:$C$26,3)*SIGN(S165-S166),0)</f>
        <v/>
      </c>
      <c r="AN165">
        <f>IF(AND(ISNUMBER(S165),ISNUMBER(S167)),VLOOKUP(ABS(S165-S167),'IMP Table'!$A$2:$C$26,3)*SIGN(S165-S167),0)</f>
        <v/>
      </c>
      <c r="AO165">
        <f>IF(AND(ISNUMBER(S165),ISNUMBER(S168)),VLOOKUP(ABS(S165-S168),'IMP Table'!$A$2:$C$26,3)*SIGN(S165-S168),0)</f>
        <v/>
      </c>
      <c r="AP165">
        <f>IF(AND(ISNUMBER(S165),ISNUMBER(S169)),VLOOKUP(ABS(S165-S169),'IMP Table'!$A$2:$C$26,3)*SIGN(S165-S169),0)</f>
        <v/>
      </c>
      <c r="AQ165">
        <f>IF(AND(ISNUMBER(S165),ISNUMBER(S170)),VLOOKUP(ABS(S165-S170),'IMP Table'!$A$2:$C$26,3)*SIGN(S165-S170),0)</f>
        <v/>
      </c>
    </row>
    <row r="166">
      <c r="B166">
        <f>'By Round'!A31</f>
        <v/>
      </c>
      <c r="C166">
        <f>'By Round'!B39</f>
        <v/>
      </c>
      <c r="D166">
        <f>'By Round'!C39</f>
        <v/>
      </c>
      <c r="E166">
        <f>'By Round'!D39</f>
        <v/>
      </c>
      <c r="F166" s="11" t="inlineStr">
        <is>
          <t>None</t>
        </is>
      </c>
      <c r="G166">
        <f>IF(ISBLANK('By Round'!G39),"",'By Round'!G39)</f>
        <v/>
      </c>
      <c r="H166">
        <f>IF(ISBLANK('By Round'!H39),"",'By Round'!H39)</f>
        <v/>
      </c>
      <c r="I166">
        <f>IF(ISBLANK('By Round'!I39),"",'By Round'!I39)</f>
        <v/>
      </c>
      <c r="J166">
        <f>IF(ISBLANK('By Round'!J39),"",'By Round'!J39)</f>
        <v/>
      </c>
      <c r="K166">
        <f>IF(ISBLANK('By Round'!K39),"",'By Round'!K39)</f>
        <v/>
      </c>
      <c r="L166" s="12">
        <f>SUM(AF166:AK166)</f>
        <v/>
      </c>
      <c r="M166" s="13">
        <f>SUM(AL166:AQ166)</f>
        <v/>
      </c>
      <c r="N166" s="8">
        <f>IF(COUNT(T166:Y166)&gt;0,P166/COUNT(T166:Y166),0.5)</f>
        <v/>
      </c>
      <c r="O166" s="8">
        <f>IF(COUNT(Z166:AE166)&gt;0,Q166/COUNT(Z166:AE166),0.5)</f>
        <v/>
      </c>
      <c r="P166" s="5">
        <f>SUM(T166:Y166)</f>
        <v/>
      </c>
      <c r="Q166" s="5">
        <f>SUM(Z166:AE166)</f>
        <v/>
      </c>
      <c r="R166" s="14">
        <f>IF(ISNUMBER(J166),J166,IF(ISNUMBER(K166),-K166,""))</f>
        <v/>
      </c>
      <c r="S166">
        <f>IF(ISNUMBER(K166),K166,IF(ISNUMBER(J166),-J166,""))</f>
        <v/>
      </c>
      <c r="T166" s="14">
        <f>IF(ISNUMBER(R166),IF(ISNUMBER(R164),IF(R166&gt;R164,1.0,IF(R166=R164,0.5,0.0)),""),"")</f>
        <v/>
      </c>
      <c r="U166">
        <f>IF(ISNUMBER(R166),IF(ISNUMBER(R165),IF(R166&gt;R165,1.0,IF(R166=R165,0.5,0.0)),""),"")</f>
        <v/>
      </c>
      <c r="V166">
        <f>IF(ISNUMBER(R166),IF(ISNUMBER(R167),IF(R166&gt;R167,1.0,IF(R166=R167,0.5,0.0)),""),"")</f>
        <v/>
      </c>
      <c r="W166">
        <f>IF(ISNUMBER(R166),IF(ISNUMBER(R168),IF(R166&gt;R168,1.0,IF(R166=R168,0.5,0.0)),""),"")</f>
        <v/>
      </c>
      <c r="X166">
        <f>IF(ISNUMBER(R166),IF(ISNUMBER(R169),IF(R166&gt;R169,1.0,IF(R166=R169,0.5,0.0)),""),"")</f>
        <v/>
      </c>
      <c r="Y166">
        <f>IF(ISNUMBER(R166),IF(ISNUMBER(R170),IF(R166&gt;R170,1.0,IF(R166=R170,0.5,0.0)),""),"")</f>
        <v/>
      </c>
      <c r="Z166">
        <f>IF(ISNUMBER(S166),IF(ISNUMBER(S164),IF(S166&gt;S164,1.0,IF(S166=S164,0.5,0.0)),""),"")</f>
        <v/>
      </c>
      <c r="AA166">
        <f>IF(ISNUMBER(S166),IF(ISNUMBER(S165),IF(S166&gt;S165,1.0,IF(S166=S165,0.5,0.0)),""),"")</f>
        <v/>
      </c>
      <c r="AB166">
        <f>IF(ISNUMBER(S166),IF(ISNUMBER(S167),IF(S166&gt;S167,1.0,IF(S166=S167,0.5,0.0)),""),"")</f>
        <v/>
      </c>
      <c r="AC166">
        <f>IF(ISNUMBER(S166),IF(ISNUMBER(S168),IF(S166&gt;S168,1.0,IF(S166=S168,0.5,0.0)),""),"")</f>
        <v/>
      </c>
      <c r="AD166">
        <f>IF(ISNUMBER(S166),IF(ISNUMBER(S169),IF(S166&gt;S169,1.0,IF(S166=S169,0.5,0.0)),""),"")</f>
        <v/>
      </c>
      <c r="AE166">
        <f>IF(ISNUMBER(S166),IF(ISNUMBER(S170),IF(S166&gt;S170,1.0,IF(S166=S170,0.5,0.0)),""),"")</f>
        <v/>
      </c>
      <c r="AF166" s="14">
        <f>IF(AND(ISNUMBER(R166),ISNUMBER(R164)),VLOOKUP(ABS(R166-R164),'IMP Table'!$A$2:$C$26,3)*SIGN(R166-R164),0)</f>
        <v/>
      </c>
      <c r="AG166">
        <f>IF(AND(ISNUMBER(R166),ISNUMBER(R165)),VLOOKUP(ABS(R166-R165),'IMP Table'!$A$2:$C$26,3)*SIGN(R166-R165),0)</f>
        <v/>
      </c>
      <c r="AH166">
        <f>IF(AND(ISNUMBER(R166),ISNUMBER(R167)),VLOOKUP(ABS(R166-R167),'IMP Table'!$A$2:$C$26,3)*SIGN(R166-R167),0)</f>
        <v/>
      </c>
      <c r="AI166">
        <f>IF(AND(ISNUMBER(R166),ISNUMBER(R168)),VLOOKUP(ABS(R166-R168),'IMP Table'!$A$2:$C$26,3)*SIGN(R166-R168),0)</f>
        <v/>
      </c>
      <c r="AJ166">
        <f>IF(AND(ISNUMBER(R166),ISNUMBER(R169)),VLOOKUP(ABS(R166-R169),'IMP Table'!$A$2:$C$26,3)*SIGN(R166-R169),0)</f>
        <v/>
      </c>
      <c r="AK166">
        <f>IF(AND(ISNUMBER(R166),ISNUMBER(R170)),VLOOKUP(ABS(R166-R170),'IMP Table'!$A$2:$C$26,3)*SIGN(R166-R170),0)</f>
        <v/>
      </c>
      <c r="AL166">
        <f>IF(AND(ISNUMBER(S166),ISNUMBER(S164)),VLOOKUP(ABS(S166-S164),'IMP Table'!$A$2:$C$26,3)*SIGN(S166-S164),0)</f>
        <v/>
      </c>
      <c r="AM166">
        <f>IF(AND(ISNUMBER(S166),ISNUMBER(S165)),VLOOKUP(ABS(S166-S165),'IMP Table'!$A$2:$C$26,3)*SIGN(S166-S165),0)</f>
        <v/>
      </c>
      <c r="AN166">
        <f>IF(AND(ISNUMBER(S166),ISNUMBER(S167)),VLOOKUP(ABS(S166-S167),'IMP Table'!$A$2:$C$26,3)*SIGN(S166-S167),0)</f>
        <v/>
      </c>
      <c r="AO166">
        <f>IF(AND(ISNUMBER(S166),ISNUMBER(S168)),VLOOKUP(ABS(S166-S168),'IMP Table'!$A$2:$C$26,3)*SIGN(S166-S168),0)</f>
        <v/>
      </c>
      <c r="AP166">
        <f>IF(AND(ISNUMBER(S166),ISNUMBER(S169)),VLOOKUP(ABS(S166-S169),'IMP Table'!$A$2:$C$26,3)*SIGN(S166-S169),0)</f>
        <v/>
      </c>
      <c r="AQ166">
        <f>IF(AND(ISNUMBER(S166),ISNUMBER(S170)),VLOOKUP(ABS(S166-S170),'IMP Table'!$A$2:$C$26,3)*SIGN(S166-S170),0)</f>
        <v/>
      </c>
    </row>
    <row r="167">
      <c r="B167">
        <f>'By Round'!A101</f>
        <v/>
      </c>
      <c r="C167">
        <f>'By Round'!B107</f>
        <v/>
      </c>
      <c r="D167">
        <f>'By Round'!C107</f>
        <v/>
      </c>
      <c r="E167">
        <f>'By Round'!D107</f>
        <v/>
      </c>
      <c r="F167" s="11" t="inlineStr">
        <is>
          <t>None</t>
        </is>
      </c>
      <c r="G167">
        <f>IF(ISBLANK('By Round'!G107),"",'By Round'!G107)</f>
        <v/>
      </c>
      <c r="H167">
        <f>IF(ISBLANK('By Round'!H107),"",'By Round'!H107)</f>
        <v/>
      </c>
      <c r="I167">
        <f>IF(ISBLANK('By Round'!I107),"",'By Round'!I107)</f>
        <v/>
      </c>
      <c r="J167">
        <f>IF(ISBLANK('By Round'!J107),"",'By Round'!J107)</f>
        <v/>
      </c>
      <c r="K167">
        <f>IF(ISBLANK('By Round'!K107),"",'By Round'!K107)</f>
        <v/>
      </c>
      <c r="L167" s="12">
        <f>SUM(AF167:AK167)</f>
        <v/>
      </c>
      <c r="M167" s="13">
        <f>SUM(AL167:AQ167)</f>
        <v/>
      </c>
      <c r="N167" s="8">
        <f>IF(COUNT(T167:Y167)&gt;0,P167/COUNT(T167:Y167),0.5)</f>
        <v/>
      </c>
      <c r="O167" s="8">
        <f>IF(COUNT(Z167:AE167)&gt;0,Q167/COUNT(Z167:AE167),0.5)</f>
        <v/>
      </c>
      <c r="P167" s="5">
        <f>SUM(T167:Y167)</f>
        <v/>
      </c>
      <c r="Q167" s="5">
        <f>SUM(Z167:AE167)</f>
        <v/>
      </c>
      <c r="R167" s="14">
        <f>IF(ISNUMBER(J167),J167,IF(ISNUMBER(K167),-K167,""))</f>
        <v/>
      </c>
      <c r="S167">
        <f>IF(ISNUMBER(K167),K167,IF(ISNUMBER(J167),-J167,""))</f>
        <v/>
      </c>
      <c r="T167" s="14">
        <f>IF(ISNUMBER(R167),IF(ISNUMBER(R164),IF(R167&gt;R164,1.0,IF(R167=R164,0.5,0.0)),""),"")</f>
        <v/>
      </c>
      <c r="U167">
        <f>IF(ISNUMBER(R167),IF(ISNUMBER(R165),IF(R167&gt;R165,1.0,IF(R167=R165,0.5,0.0)),""),"")</f>
        <v/>
      </c>
      <c r="V167">
        <f>IF(ISNUMBER(R167),IF(ISNUMBER(R166),IF(R167&gt;R166,1.0,IF(R167=R166,0.5,0.0)),""),"")</f>
        <v/>
      </c>
      <c r="W167">
        <f>IF(ISNUMBER(R167),IF(ISNUMBER(R168),IF(R167&gt;R168,1.0,IF(R167=R168,0.5,0.0)),""),"")</f>
        <v/>
      </c>
      <c r="X167">
        <f>IF(ISNUMBER(R167),IF(ISNUMBER(R169),IF(R167&gt;R169,1.0,IF(R167=R169,0.5,0.0)),""),"")</f>
        <v/>
      </c>
      <c r="Y167">
        <f>IF(ISNUMBER(R167),IF(ISNUMBER(R170),IF(R167&gt;R170,1.0,IF(R167=R170,0.5,0.0)),""),"")</f>
        <v/>
      </c>
      <c r="Z167">
        <f>IF(ISNUMBER(S167),IF(ISNUMBER(S164),IF(S167&gt;S164,1.0,IF(S167=S164,0.5,0.0)),""),"")</f>
        <v/>
      </c>
      <c r="AA167">
        <f>IF(ISNUMBER(S167),IF(ISNUMBER(S165),IF(S167&gt;S165,1.0,IF(S167=S165,0.5,0.0)),""),"")</f>
        <v/>
      </c>
      <c r="AB167">
        <f>IF(ISNUMBER(S167),IF(ISNUMBER(S166),IF(S167&gt;S166,1.0,IF(S167=S166,0.5,0.0)),""),"")</f>
        <v/>
      </c>
      <c r="AC167">
        <f>IF(ISNUMBER(S167),IF(ISNUMBER(S168),IF(S167&gt;S168,1.0,IF(S167=S168,0.5,0.0)),""),"")</f>
        <v/>
      </c>
      <c r="AD167">
        <f>IF(ISNUMBER(S167),IF(ISNUMBER(S169),IF(S167&gt;S169,1.0,IF(S167=S169,0.5,0.0)),""),"")</f>
        <v/>
      </c>
      <c r="AE167">
        <f>IF(ISNUMBER(S167),IF(ISNUMBER(S170),IF(S167&gt;S170,1.0,IF(S167=S170,0.5,0.0)),""),"")</f>
        <v/>
      </c>
      <c r="AF167" s="14">
        <f>IF(AND(ISNUMBER(R167),ISNUMBER(R164)),VLOOKUP(ABS(R167-R164),'IMP Table'!$A$2:$C$26,3)*SIGN(R167-R164),0)</f>
        <v/>
      </c>
      <c r="AG167">
        <f>IF(AND(ISNUMBER(R167),ISNUMBER(R165)),VLOOKUP(ABS(R167-R165),'IMP Table'!$A$2:$C$26,3)*SIGN(R167-R165),0)</f>
        <v/>
      </c>
      <c r="AH167">
        <f>IF(AND(ISNUMBER(R167),ISNUMBER(R166)),VLOOKUP(ABS(R167-R166),'IMP Table'!$A$2:$C$26,3)*SIGN(R167-R166),0)</f>
        <v/>
      </c>
      <c r="AI167">
        <f>IF(AND(ISNUMBER(R167),ISNUMBER(R168)),VLOOKUP(ABS(R167-R168),'IMP Table'!$A$2:$C$26,3)*SIGN(R167-R168),0)</f>
        <v/>
      </c>
      <c r="AJ167">
        <f>IF(AND(ISNUMBER(R167),ISNUMBER(R169)),VLOOKUP(ABS(R167-R169),'IMP Table'!$A$2:$C$26,3)*SIGN(R167-R169),0)</f>
        <v/>
      </c>
      <c r="AK167">
        <f>IF(AND(ISNUMBER(R167),ISNUMBER(R170)),VLOOKUP(ABS(R167-R170),'IMP Table'!$A$2:$C$26,3)*SIGN(R167-R170),0)</f>
        <v/>
      </c>
      <c r="AL167">
        <f>IF(AND(ISNUMBER(S167),ISNUMBER(S164)),VLOOKUP(ABS(S167-S164),'IMP Table'!$A$2:$C$26,3)*SIGN(S167-S164),0)</f>
        <v/>
      </c>
      <c r="AM167">
        <f>IF(AND(ISNUMBER(S167),ISNUMBER(S165)),VLOOKUP(ABS(S167-S165),'IMP Table'!$A$2:$C$26,3)*SIGN(S167-S165),0)</f>
        <v/>
      </c>
      <c r="AN167">
        <f>IF(AND(ISNUMBER(S167),ISNUMBER(S166)),VLOOKUP(ABS(S167-S166),'IMP Table'!$A$2:$C$26,3)*SIGN(S167-S166),0)</f>
        <v/>
      </c>
      <c r="AO167">
        <f>IF(AND(ISNUMBER(S167),ISNUMBER(S168)),VLOOKUP(ABS(S167-S168),'IMP Table'!$A$2:$C$26,3)*SIGN(S167-S168),0)</f>
        <v/>
      </c>
      <c r="AP167">
        <f>IF(AND(ISNUMBER(S167),ISNUMBER(S169)),VLOOKUP(ABS(S167-S169),'IMP Table'!$A$2:$C$26,3)*SIGN(S167-S169),0)</f>
        <v/>
      </c>
      <c r="AQ167">
        <f>IF(AND(ISNUMBER(S167),ISNUMBER(S170)),VLOOKUP(ABS(S167-S170),'IMP Table'!$A$2:$C$26,3)*SIGN(S167-S170),0)</f>
        <v/>
      </c>
    </row>
    <row r="168">
      <c r="B168">
        <f>'By Round'!A115</f>
        <v/>
      </c>
      <c r="C168">
        <f>'By Round'!B119</f>
        <v/>
      </c>
      <c r="D168">
        <f>'By Round'!C119</f>
        <v/>
      </c>
      <c r="E168">
        <f>'By Round'!D119</f>
        <v/>
      </c>
      <c r="F168" s="11" t="inlineStr">
        <is>
          <t>None</t>
        </is>
      </c>
      <c r="G168">
        <f>IF(ISBLANK('By Round'!G119),"",'By Round'!G119)</f>
        <v/>
      </c>
      <c r="H168">
        <f>IF(ISBLANK('By Round'!H119),"",'By Round'!H119)</f>
        <v/>
      </c>
      <c r="I168">
        <f>IF(ISBLANK('By Round'!I119),"",'By Round'!I119)</f>
        <v/>
      </c>
      <c r="J168">
        <f>IF(ISBLANK('By Round'!J119),"",'By Round'!J119)</f>
        <v/>
      </c>
      <c r="K168">
        <f>IF(ISBLANK('By Round'!K119),"",'By Round'!K119)</f>
        <v/>
      </c>
      <c r="L168" s="12">
        <f>SUM(AF168:AK168)</f>
        <v/>
      </c>
      <c r="M168" s="13">
        <f>SUM(AL168:AQ168)</f>
        <v/>
      </c>
      <c r="N168" s="8">
        <f>IF(COUNT(T168:Y168)&gt;0,P168/COUNT(T168:Y168),0.5)</f>
        <v/>
      </c>
      <c r="O168" s="8">
        <f>IF(COUNT(Z168:AE168)&gt;0,Q168/COUNT(Z168:AE168),0.5)</f>
        <v/>
      </c>
      <c r="P168" s="5">
        <f>SUM(T168:Y168)</f>
        <v/>
      </c>
      <c r="Q168" s="5">
        <f>SUM(Z168:AE168)</f>
        <v/>
      </c>
      <c r="R168" s="14">
        <f>IF(ISNUMBER(J168),J168,IF(ISNUMBER(K168),-K168,""))</f>
        <v/>
      </c>
      <c r="S168">
        <f>IF(ISNUMBER(K168),K168,IF(ISNUMBER(J168),-J168,""))</f>
        <v/>
      </c>
      <c r="T168" s="14">
        <f>IF(ISNUMBER(R168),IF(ISNUMBER(R164),IF(R168&gt;R164,1.0,IF(R168=R164,0.5,0.0)),""),"")</f>
        <v/>
      </c>
      <c r="U168">
        <f>IF(ISNUMBER(R168),IF(ISNUMBER(R165),IF(R168&gt;R165,1.0,IF(R168=R165,0.5,0.0)),""),"")</f>
        <v/>
      </c>
      <c r="V168">
        <f>IF(ISNUMBER(R168),IF(ISNUMBER(R166),IF(R168&gt;R166,1.0,IF(R168=R166,0.5,0.0)),""),"")</f>
        <v/>
      </c>
      <c r="W168">
        <f>IF(ISNUMBER(R168),IF(ISNUMBER(R167),IF(R168&gt;R167,1.0,IF(R168=R167,0.5,0.0)),""),"")</f>
        <v/>
      </c>
      <c r="X168">
        <f>IF(ISNUMBER(R168),IF(ISNUMBER(R169),IF(R168&gt;R169,1.0,IF(R168=R169,0.5,0.0)),""),"")</f>
        <v/>
      </c>
      <c r="Y168">
        <f>IF(ISNUMBER(R168),IF(ISNUMBER(R170),IF(R168&gt;R170,1.0,IF(R168=R170,0.5,0.0)),""),"")</f>
        <v/>
      </c>
      <c r="Z168">
        <f>IF(ISNUMBER(S168),IF(ISNUMBER(S164),IF(S168&gt;S164,1.0,IF(S168=S164,0.5,0.0)),""),"")</f>
        <v/>
      </c>
      <c r="AA168">
        <f>IF(ISNUMBER(S168),IF(ISNUMBER(S165),IF(S168&gt;S165,1.0,IF(S168=S165,0.5,0.0)),""),"")</f>
        <v/>
      </c>
      <c r="AB168">
        <f>IF(ISNUMBER(S168),IF(ISNUMBER(S166),IF(S168&gt;S166,1.0,IF(S168=S166,0.5,0.0)),""),"")</f>
        <v/>
      </c>
      <c r="AC168">
        <f>IF(ISNUMBER(S168),IF(ISNUMBER(S167),IF(S168&gt;S167,1.0,IF(S168=S167,0.5,0.0)),""),"")</f>
        <v/>
      </c>
      <c r="AD168">
        <f>IF(ISNUMBER(S168),IF(ISNUMBER(S169),IF(S168&gt;S169,1.0,IF(S168=S169,0.5,0.0)),""),"")</f>
        <v/>
      </c>
      <c r="AE168">
        <f>IF(ISNUMBER(S168),IF(ISNUMBER(S170),IF(S168&gt;S170,1.0,IF(S168=S170,0.5,0.0)),""),"")</f>
        <v/>
      </c>
      <c r="AF168" s="14">
        <f>IF(AND(ISNUMBER(R168),ISNUMBER(R164)),VLOOKUP(ABS(R168-R164),'IMP Table'!$A$2:$C$26,3)*SIGN(R168-R164),0)</f>
        <v/>
      </c>
      <c r="AG168">
        <f>IF(AND(ISNUMBER(R168),ISNUMBER(R165)),VLOOKUP(ABS(R168-R165),'IMP Table'!$A$2:$C$26,3)*SIGN(R168-R165),0)</f>
        <v/>
      </c>
      <c r="AH168">
        <f>IF(AND(ISNUMBER(R168),ISNUMBER(R166)),VLOOKUP(ABS(R168-R166),'IMP Table'!$A$2:$C$26,3)*SIGN(R168-R166),0)</f>
        <v/>
      </c>
      <c r="AI168">
        <f>IF(AND(ISNUMBER(R168),ISNUMBER(R167)),VLOOKUP(ABS(R168-R167),'IMP Table'!$A$2:$C$26,3)*SIGN(R168-R167),0)</f>
        <v/>
      </c>
      <c r="AJ168">
        <f>IF(AND(ISNUMBER(R168),ISNUMBER(R169)),VLOOKUP(ABS(R168-R169),'IMP Table'!$A$2:$C$26,3)*SIGN(R168-R169),0)</f>
        <v/>
      </c>
      <c r="AK168">
        <f>IF(AND(ISNUMBER(R168),ISNUMBER(R170)),VLOOKUP(ABS(R168-R170),'IMP Table'!$A$2:$C$26,3)*SIGN(R168-R170),0)</f>
        <v/>
      </c>
      <c r="AL168">
        <f>IF(AND(ISNUMBER(S168),ISNUMBER(S164)),VLOOKUP(ABS(S168-S164),'IMP Table'!$A$2:$C$26,3)*SIGN(S168-S164),0)</f>
        <v/>
      </c>
      <c r="AM168">
        <f>IF(AND(ISNUMBER(S168),ISNUMBER(S165)),VLOOKUP(ABS(S168-S165),'IMP Table'!$A$2:$C$26,3)*SIGN(S168-S165),0)</f>
        <v/>
      </c>
      <c r="AN168">
        <f>IF(AND(ISNUMBER(S168),ISNUMBER(S166)),VLOOKUP(ABS(S168-S166),'IMP Table'!$A$2:$C$26,3)*SIGN(S168-S166),0)</f>
        <v/>
      </c>
      <c r="AO168">
        <f>IF(AND(ISNUMBER(S168),ISNUMBER(S167)),VLOOKUP(ABS(S168-S167),'IMP Table'!$A$2:$C$26,3)*SIGN(S168-S167),0)</f>
        <v/>
      </c>
      <c r="AP168">
        <f>IF(AND(ISNUMBER(S168),ISNUMBER(S169)),VLOOKUP(ABS(S168-S169),'IMP Table'!$A$2:$C$26,3)*SIGN(S168-S169),0)</f>
        <v/>
      </c>
      <c r="AQ168">
        <f>IF(AND(ISNUMBER(S168),ISNUMBER(S170)),VLOOKUP(ABS(S168-S170),'IMP Table'!$A$2:$C$26,3)*SIGN(S168-S170),0)</f>
        <v/>
      </c>
    </row>
    <row r="169">
      <c r="B169">
        <f>'By Round'!A129</f>
        <v/>
      </c>
      <c r="C169">
        <f>'By Round'!B131</f>
        <v/>
      </c>
      <c r="D169">
        <f>'By Round'!C131</f>
        <v/>
      </c>
      <c r="E169">
        <f>'By Round'!D131</f>
        <v/>
      </c>
      <c r="F169" s="11" t="inlineStr">
        <is>
          <t>None</t>
        </is>
      </c>
      <c r="G169">
        <f>IF(ISBLANK('By Round'!G131),"",'By Round'!G131)</f>
        <v/>
      </c>
      <c r="H169">
        <f>IF(ISBLANK('By Round'!H131),"",'By Round'!H131)</f>
        <v/>
      </c>
      <c r="I169">
        <f>IF(ISBLANK('By Round'!I131),"",'By Round'!I131)</f>
        <v/>
      </c>
      <c r="J169">
        <f>IF(ISBLANK('By Round'!J131),"",'By Round'!J131)</f>
        <v/>
      </c>
      <c r="K169">
        <f>IF(ISBLANK('By Round'!K131),"",'By Round'!K131)</f>
        <v/>
      </c>
      <c r="L169" s="12">
        <f>SUM(AF169:AK169)</f>
        <v/>
      </c>
      <c r="M169" s="13">
        <f>SUM(AL169:AQ169)</f>
        <v/>
      </c>
      <c r="N169" s="8">
        <f>IF(COUNT(T169:Y169)&gt;0,P169/COUNT(T169:Y169),0.5)</f>
        <v/>
      </c>
      <c r="O169" s="8">
        <f>IF(COUNT(Z169:AE169)&gt;0,Q169/COUNT(Z169:AE169),0.5)</f>
        <v/>
      </c>
      <c r="P169" s="5">
        <f>SUM(T169:Y169)</f>
        <v/>
      </c>
      <c r="Q169" s="5">
        <f>SUM(Z169:AE169)</f>
        <v/>
      </c>
      <c r="R169" s="14">
        <f>IF(ISNUMBER(J169),J169,IF(ISNUMBER(K169),-K169,""))</f>
        <v/>
      </c>
      <c r="S169">
        <f>IF(ISNUMBER(K169),K169,IF(ISNUMBER(J169),-J169,""))</f>
        <v/>
      </c>
      <c r="T169" s="14">
        <f>IF(ISNUMBER(R169),IF(ISNUMBER(R164),IF(R169&gt;R164,1.0,IF(R169=R164,0.5,0.0)),""),"")</f>
        <v/>
      </c>
      <c r="U169">
        <f>IF(ISNUMBER(R169),IF(ISNUMBER(R165),IF(R169&gt;R165,1.0,IF(R169=R165,0.5,0.0)),""),"")</f>
        <v/>
      </c>
      <c r="V169">
        <f>IF(ISNUMBER(R169),IF(ISNUMBER(R166),IF(R169&gt;R166,1.0,IF(R169=R166,0.5,0.0)),""),"")</f>
        <v/>
      </c>
      <c r="W169">
        <f>IF(ISNUMBER(R169),IF(ISNUMBER(R167),IF(R169&gt;R167,1.0,IF(R169=R167,0.5,0.0)),""),"")</f>
        <v/>
      </c>
      <c r="X169">
        <f>IF(ISNUMBER(R169),IF(ISNUMBER(R168),IF(R169&gt;R168,1.0,IF(R169=R168,0.5,0.0)),""),"")</f>
        <v/>
      </c>
      <c r="Y169">
        <f>IF(ISNUMBER(R169),IF(ISNUMBER(R170),IF(R169&gt;R170,1.0,IF(R169=R170,0.5,0.0)),""),"")</f>
        <v/>
      </c>
      <c r="Z169">
        <f>IF(ISNUMBER(S169),IF(ISNUMBER(S164),IF(S169&gt;S164,1.0,IF(S169=S164,0.5,0.0)),""),"")</f>
        <v/>
      </c>
      <c r="AA169">
        <f>IF(ISNUMBER(S169),IF(ISNUMBER(S165),IF(S169&gt;S165,1.0,IF(S169=S165,0.5,0.0)),""),"")</f>
        <v/>
      </c>
      <c r="AB169">
        <f>IF(ISNUMBER(S169),IF(ISNUMBER(S166),IF(S169&gt;S166,1.0,IF(S169=S166,0.5,0.0)),""),"")</f>
        <v/>
      </c>
      <c r="AC169">
        <f>IF(ISNUMBER(S169),IF(ISNUMBER(S167),IF(S169&gt;S167,1.0,IF(S169=S167,0.5,0.0)),""),"")</f>
        <v/>
      </c>
      <c r="AD169">
        <f>IF(ISNUMBER(S169),IF(ISNUMBER(S168),IF(S169&gt;S168,1.0,IF(S169=S168,0.5,0.0)),""),"")</f>
        <v/>
      </c>
      <c r="AE169">
        <f>IF(ISNUMBER(S169),IF(ISNUMBER(S170),IF(S169&gt;S170,1.0,IF(S169=S170,0.5,0.0)),""),"")</f>
        <v/>
      </c>
      <c r="AF169" s="14">
        <f>IF(AND(ISNUMBER(R169),ISNUMBER(R164)),VLOOKUP(ABS(R169-R164),'IMP Table'!$A$2:$C$26,3)*SIGN(R169-R164),0)</f>
        <v/>
      </c>
      <c r="AG169">
        <f>IF(AND(ISNUMBER(R169),ISNUMBER(R165)),VLOOKUP(ABS(R169-R165),'IMP Table'!$A$2:$C$26,3)*SIGN(R169-R165),0)</f>
        <v/>
      </c>
      <c r="AH169">
        <f>IF(AND(ISNUMBER(R169),ISNUMBER(R166)),VLOOKUP(ABS(R169-R166),'IMP Table'!$A$2:$C$26,3)*SIGN(R169-R166),0)</f>
        <v/>
      </c>
      <c r="AI169">
        <f>IF(AND(ISNUMBER(R169),ISNUMBER(R167)),VLOOKUP(ABS(R169-R167),'IMP Table'!$A$2:$C$26,3)*SIGN(R169-R167),0)</f>
        <v/>
      </c>
      <c r="AJ169">
        <f>IF(AND(ISNUMBER(R169),ISNUMBER(R168)),VLOOKUP(ABS(R169-R168),'IMP Table'!$A$2:$C$26,3)*SIGN(R169-R168),0)</f>
        <v/>
      </c>
      <c r="AK169">
        <f>IF(AND(ISNUMBER(R169),ISNUMBER(R170)),VLOOKUP(ABS(R169-R170),'IMP Table'!$A$2:$C$26,3)*SIGN(R169-R170),0)</f>
        <v/>
      </c>
      <c r="AL169">
        <f>IF(AND(ISNUMBER(S169),ISNUMBER(S164)),VLOOKUP(ABS(S169-S164),'IMP Table'!$A$2:$C$26,3)*SIGN(S169-S164),0)</f>
        <v/>
      </c>
      <c r="AM169">
        <f>IF(AND(ISNUMBER(S169),ISNUMBER(S165)),VLOOKUP(ABS(S169-S165),'IMP Table'!$A$2:$C$26,3)*SIGN(S169-S165),0)</f>
        <v/>
      </c>
      <c r="AN169">
        <f>IF(AND(ISNUMBER(S169),ISNUMBER(S166)),VLOOKUP(ABS(S169-S166),'IMP Table'!$A$2:$C$26,3)*SIGN(S169-S166),0)</f>
        <v/>
      </c>
      <c r="AO169">
        <f>IF(AND(ISNUMBER(S169),ISNUMBER(S167)),VLOOKUP(ABS(S169-S167),'IMP Table'!$A$2:$C$26,3)*SIGN(S169-S167),0)</f>
        <v/>
      </c>
      <c r="AP169">
        <f>IF(AND(ISNUMBER(S169),ISNUMBER(S168)),VLOOKUP(ABS(S169-S168),'IMP Table'!$A$2:$C$26,3)*SIGN(S169-S168),0)</f>
        <v/>
      </c>
      <c r="AQ169">
        <f>IF(AND(ISNUMBER(S169),ISNUMBER(S170)),VLOOKUP(ABS(S169-S170),'IMP Table'!$A$2:$C$26,3)*SIGN(S169-S170),0)</f>
        <v/>
      </c>
    </row>
    <row r="170">
      <c r="A170" s="15" t="n"/>
      <c r="B170" s="15">
        <f>'By Round'!A157</f>
        <v/>
      </c>
      <c r="C170" s="15">
        <f>'By Round'!B157</f>
        <v/>
      </c>
      <c r="D170" s="15">
        <f>'By Round'!C157</f>
        <v/>
      </c>
      <c r="E170" s="15">
        <f>'By Round'!D157</f>
        <v/>
      </c>
      <c r="F170" s="16" t="inlineStr">
        <is>
          <t>None</t>
        </is>
      </c>
      <c r="G170" s="15">
        <f>IF(ISBLANK('By Round'!G157),"",'By Round'!G157)</f>
        <v/>
      </c>
      <c r="H170" s="15">
        <f>IF(ISBLANK('By Round'!H157),"",'By Round'!H157)</f>
        <v/>
      </c>
      <c r="I170" s="15">
        <f>IF(ISBLANK('By Round'!I157),"",'By Round'!I157)</f>
        <v/>
      </c>
      <c r="J170" s="15">
        <f>IF(ISBLANK('By Round'!J157),"",'By Round'!J157)</f>
        <v/>
      </c>
      <c r="K170" s="15">
        <f>IF(ISBLANK('By Round'!K157),"",'By Round'!K157)</f>
        <v/>
      </c>
      <c r="L170" s="17">
        <f>SUM(AF170:AK170)</f>
        <v/>
      </c>
      <c r="M170" s="18">
        <f>SUM(AL170:AQ170)</f>
        <v/>
      </c>
      <c r="N170" s="19">
        <f>IF(COUNT(T170:Y170)&gt;0,P170/COUNT(T170:Y170),0.5)</f>
        <v/>
      </c>
      <c r="O170" s="19">
        <f>IF(COUNT(Z170:AE170)&gt;0,Q170/COUNT(Z170:AE170),0.5)</f>
        <v/>
      </c>
      <c r="P170" s="20">
        <f>SUM(T170:Y170)</f>
        <v/>
      </c>
      <c r="Q170" s="20">
        <f>SUM(Z170:AE170)</f>
        <v/>
      </c>
      <c r="R170" s="21">
        <f>IF(ISNUMBER(J170),J170,IF(ISNUMBER(K170),-K170,""))</f>
        <v/>
      </c>
      <c r="S170" s="15">
        <f>IF(ISNUMBER(K170),K170,IF(ISNUMBER(J170),-J170,""))</f>
        <v/>
      </c>
      <c r="T170" s="21">
        <f>IF(ISNUMBER(R170),IF(ISNUMBER(R164),IF(R170&gt;R164,1.0,IF(R170=R164,0.5,0.0)),""),"")</f>
        <v/>
      </c>
      <c r="U170" s="15">
        <f>IF(ISNUMBER(R170),IF(ISNUMBER(R165),IF(R170&gt;R165,1.0,IF(R170=R165,0.5,0.0)),""),"")</f>
        <v/>
      </c>
      <c r="V170" s="15">
        <f>IF(ISNUMBER(R170),IF(ISNUMBER(R166),IF(R170&gt;R166,1.0,IF(R170=R166,0.5,0.0)),""),"")</f>
        <v/>
      </c>
      <c r="W170" s="15">
        <f>IF(ISNUMBER(R170),IF(ISNUMBER(R167),IF(R170&gt;R167,1.0,IF(R170=R167,0.5,0.0)),""),"")</f>
        <v/>
      </c>
      <c r="X170" s="15">
        <f>IF(ISNUMBER(R170),IF(ISNUMBER(R168),IF(R170&gt;R168,1.0,IF(R170=R168,0.5,0.0)),""),"")</f>
        <v/>
      </c>
      <c r="Y170" s="15">
        <f>IF(ISNUMBER(R170),IF(ISNUMBER(R169),IF(R170&gt;R169,1.0,IF(R170=R169,0.5,0.0)),""),"")</f>
        <v/>
      </c>
      <c r="Z170" s="15">
        <f>IF(ISNUMBER(S170),IF(ISNUMBER(S164),IF(S170&gt;S164,1.0,IF(S170=S164,0.5,0.0)),""),"")</f>
        <v/>
      </c>
      <c r="AA170" s="15">
        <f>IF(ISNUMBER(S170),IF(ISNUMBER(S165),IF(S170&gt;S165,1.0,IF(S170=S165,0.5,0.0)),""),"")</f>
        <v/>
      </c>
      <c r="AB170" s="15">
        <f>IF(ISNUMBER(S170),IF(ISNUMBER(S166),IF(S170&gt;S166,1.0,IF(S170=S166,0.5,0.0)),""),"")</f>
        <v/>
      </c>
      <c r="AC170" s="15">
        <f>IF(ISNUMBER(S170),IF(ISNUMBER(S167),IF(S170&gt;S167,1.0,IF(S170=S167,0.5,0.0)),""),"")</f>
        <v/>
      </c>
      <c r="AD170" s="15">
        <f>IF(ISNUMBER(S170),IF(ISNUMBER(S168),IF(S170&gt;S168,1.0,IF(S170=S168,0.5,0.0)),""),"")</f>
        <v/>
      </c>
      <c r="AE170" s="15">
        <f>IF(ISNUMBER(S170),IF(ISNUMBER(S169),IF(S170&gt;S169,1.0,IF(S170=S169,0.5,0.0)),""),"")</f>
        <v/>
      </c>
      <c r="AF170" s="21">
        <f>IF(AND(ISNUMBER(R170),ISNUMBER(R164)),VLOOKUP(ABS(R170-R164),'IMP Table'!$A$2:$C$26,3)*SIGN(R170-R164),0)</f>
        <v/>
      </c>
      <c r="AG170" s="15">
        <f>IF(AND(ISNUMBER(R170),ISNUMBER(R165)),VLOOKUP(ABS(R170-R165),'IMP Table'!$A$2:$C$26,3)*SIGN(R170-R165),0)</f>
        <v/>
      </c>
      <c r="AH170" s="15">
        <f>IF(AND(ISNUMBER(R170),ISNUMBER(R166)),VLOOKUP(ABS(R170-R166),'IMP Table'!$A$2:$C$26,3)*SIGN(R170-R166),0)</f>
        <v/>
      </c>
      <c r="AI170" s="15">
        <f>IF(AND(ISNUMBER(R170),ISNUMBER(R167)),VLOOKUP(ABS(R170-R167),'IMP Table'!$A$2:$C$26,3)*SIGN(R170-R167),0)</f>
        <v/>
      </c>
      <c r="AJ170" s="15">
        <f>IF(AND(ISNUMBER(R170),ISNUMBER(R168)),VLOOKUP(ABS(R170-R168),'IMP Table'!$A$2:$C$26,3)*SIGN(R170-R168),0)</f>
        <v/>
      </c>
      <c r="AK170" s="15">
        <f>IF(AND(ISNUMBER(R170),ISNUMBER(R169)),VLOOKUP(ABS(R170-R169),'IMP Table'!$A$2:$C$26,3)*SIGN(R170-R169),0)</f>
        <v/>
      </c>
      <c r="AL170" s="15">
        <f>IF(AND(ISNUMBER(S170),ISNUMBER(S164)),VLOOKUP(ABS(S170-S164),'IMP Table'!$A$2:$C$26,3)*SIGN(S170-S164),0)</f>
        <v/>
      </c>
      <c r="AM170" s="15">
        <f>IF(AND(ISNUMBER(S170),ISNUMBER(S165)),VLOOKUP(ABS(S170-S165),'IMP Table'!$A$2:$C$26,3)*SIGN(S170-S165),0)</f>
        <v/>
      </c>
      <c r="AN170" s="15">
        <f>IF(AND(ISNUMBER(S170),ISNUMBER(S166)),VLOOKUP(ABS(S170-S166),'IMP Table'!$A$2:$C$26,3)*SIGN(S170-S166),0)</f>
        <v/>
      </c>
      <c r="AO170" s="15">
        <f>IF(AND(ISNUMBER(S170),ISNUMBER(S167)),VLOOKUP(ABS(S170-S167),'IMP Table'!$A$2:$C$26,3)*SIGN(S170-S167),0)</f>
        <v/>
      </c>
      <c r="AP170" s="15">
        <f>IF(AND(ISNUMBER(S170),ISNUMBER(S168)),VLOOKUP(ABS(S170-S168),'IMP Table'!$A$2:$C$26,3)*SIGN(S170-S168),0)</f>
        <v/>
      </c>
      <c r="AQ170" s="15">
        <f>IF(AND(ISNUMBER(S170),ISNUMBER(S169)),VLOOKUP(ABS(S170-S169),'IMP Table'!$A$2:$C$26,3)*SIGN(S170-S169),0)</f>
        <v/>
      </c>
    </row>
    <row r="171">
      <c r="A171" t="n">
        <v>25</v>
      </c>
      <c r="B171">
        <f>'By Round'!A17</f>
        <v/>
      </c>
      <c r="C171">
        <f>'By Round'!B29</f>
        <v/>
      </c>
      <c r="D171">
        <f>'By Round'!C29</f>
        <v/>
      </c>
      <c r="E171">
        <f>'By Round'!D29</f>
        <v/>
      </c>
      <c r="F171" s="11" t="inlineStr">
        <is>
          <t>EW</t>
        </is>
      </c>
      <c r="G171">
        <f>IF(ISBLANK('By Round'!G29),"",'By Round'!G29)</f>
        <v/>
      </c>
      <c r="H171">
        <f>IF(ISBLANK('By Round'!H29),"",'By Round'!H29)</f>
        <v/>
      </c>
      <c r="I171">
        <f>IF(ISBLANK('By Round'!I29),"",'By Round'!I29)</f>
        <v/>
      </c>
      <c r="J171">
        <f>IF(ISBLANK('By Round'!J29),"",'By Round'!J29)</f>
        <v/>
      </c>
      <c r="K171">
        <f>IF(ISBLANK('By Round'!K29),"",'By Round'!K29)</f>
        <v/>
      </c>
      <c r="L171" s="12">
        <f>SUM(AF171:AK171)</f>
        <v/>
      </c>
      <c r="M171" s="13">
        <f>SUM(AL171:AQ171)</f>
        <v/>
      </c>
      <c r="N171" s="8">
        <f>IF(COUNT(T171:Y171)&gt;0,P171/COUNT(T171:Y171),0.5)</f>
        <v/>
      </c>
      <c r="O171" s="8">
        <f>IF(COUNT(Z171:AE171)&gt;0,Q171/COUNT(Z171:AE171),0.5)</f>
        <v/>
      </c>
      <c r="P171" s="5">
        <f>SUM(T171:Y171)</f>
        <v/>
      </c>
      <c r="Q171" s="5">
        <f>SUM(Z171:AE171)</f>
        <v/>
      </c>
      <c r="R171" s="14">
        <f>IF(ISNUMBER(J171),J171,IF(ISNUMBER(K171),-K171,""))</f>
        <v/>
      </c>
      <c r="S171">
        <f>IF(ISNUMBER(K171),K171,IF(ISNUMBER(J171),-J171,""))</f>
        <v/>
      </c>
      <c r="T171" s="14">
        <f>IF(ISNUMBER(R171),IF(ISNUMBER(R172),IF(R171&gt;R172,1.0,IF(R171=R172,0.5,0.0)),""),"")</f>
        <v/>
      </c>
      <c r="U171">
        <f>IF(ISNUMBER(R171),IF(ISNUMBER(R173),IF(R171&gt;R173,1.0,IF(R171=R173,0.5,0.0)),""),"")</f>
        <v/>
      </c>
      <c r="V171">
        <f>IF(ISNUMBER(R171),IF(ISNUMBER(R174),IF(R171&gt;R174,1.0,IF(R171=R174,0.5,0.0)),""),"")</f>
        <v/>
      </c>
      <c r="W171">
        <f>IF(ISNUMBER(R171),IF(ISNUMBER(R175),IF(R171&gt;R175,1.0,IF(R171=R175,0.5,0.0)),""),"")</f>
        <v/>
      </c>
      <c r="X171">
        <f>IF(ISNUMBER(R171),IF(ISNUMBER(R176),IF(R171&gt;R176,1.0,IF(R171=R176,0.5,0.0)),""),"")</f>
        <v/>
      </c>
      <c r="Y171">
        <f>IF(ISNUMBER(R171),IF(ISNUMBER(R177),IF(R171&gt;R177,1.0,IF(R171=R177,0.5,0.0)),""),"")</f>
        <v/>
      </c>
      <c r="Z171">
        <f>IF(ISNUMBER(S171),IF(ISNUMBER(S172),IF(S171&gt;S172,1.0,IF(S171=S172,0.5,0.0)),""),"")</f>
        <v/>
      </c>
      <c r="AA171">
        <f>IF(ISNUMBER(S171),IF(ISNUMBER(S173),IF(S171&gt;S173,1.0,IF(S171=S173,0.5,0.0)),""),"")</f>
        <v/>
      </c>
      <c r="AB171">
        <f>IF(ISNUMBER(S171),IF(ISNUMBER(S174),IF(S171&gt;S174,1.0,IF(S171=S174,0.5,0.0)),""),"")</f>
        <v/>
      </c>
      <c r="AC171">
        <f>IF(ISNUMBER(S171),IF(ISNUMBER(S175),IF(S171&gt;S175,1.0,IF(S171=S175,0.5,0.0)),""),"")</f>
        <v/>
      </c>
      <c r="AD171">
        <f>IF(ISNUMBER(S171),IF(ISNUMBER(S176),IF(S171&gt;S176,1.0,IF(S171=S176,0.5,0.0)),""),"")</f>
        <v/>
      </c>
      <c r="AE171">
        <f>IF(ISNUMBER(S171),IF(ISNUMBER(S177),IF(S171&gt;S177,1.0,IF(S171=S177,0.5,0.0)),""),"")</f>
        <v/>
      </c>
      <c r="AF171" s="14">
        <f>IF(AND(ISNUMBER(R171),ISNUMBER(R172)),VLOOKUP(ABS(R171-R172),'IMP Table'!$A$2:$C$26,3)*SIGN(R171-R172),0)</f>
        <v/>
      </c>
      <c r="AG171">
        <f>IF(AND(ISNUMBER(R171),ISNUMBER(R173)),VLOOKUP(ABS(R171-R173),'IMP Table'!$A$2:$C$26,3)*SIGN(R171-R173),0)</f>
        <v/>
      </c>
      <c r="AH171">
        <f>IF(AND(ISNUMBER(R171),ISNUMBER(R174)),VLOOKUP(ABS(R171-R174),'IMP Table'!$A$2:$C$26,3)*SIGN(R171-R174),0)</f>
        <v/>
      </c>
      <c r="AI171">
        <f>IF(AND(ISNUMBER(R171),ISNUMBER(R175)),VLOOKUP(ABS(R171-R175),'IMP Table'!$A$2:$C$26,3)*SIGN(R171-R175),0)</f>
        <v/>
      </c>
      <c r="AJ171">
        <f>IF(AND(ISNUMBER(R171),ISNUMBER(R176)),VLOOKUP(ABS(R171-R176),'IMP Table'!$A$2:$C$26,3)*SIGN(R171-R176),0)</f>
        <v/>
      </c>
      <c r="AK171">
        <f>IF(AND(ISNUMBER(R171),ISNUMBER(R177)),VLOOKUP(ABS(R171-R177),'IMP Table'!$A$2:$C$26,3)*SIGN(R171-R177),0)</f>
        <v/>
      </c>
      <c r="AL171">
        <f>IF(AND(ISNUMBER(S171),ISNUMBER(S172)),VLOOKUP(ABS(S171-S172),'IMP Table'!$A$2:$C$26,3)*SIGN(S171-S172),0)</f>
        <v/>
      </c>
      <c r="AM171">
        <f>IF(AND(ISNUMBER(S171),ISNUMBER(S173)),VLOOKUP(ABS(S171-S173),'IMP Table'!$A$2:$C$26,3)*SIGN(S171-S173),0)</f>
        <v/>
      </c>
      <c r="AN171">
        <f>IF(AND(ISNUMBER(S171),ISNUMBER(S174)),VLOOKUP(ABS(S171-S174),'IMP Table'!$A$2:$C$26,3)*SIGN(S171-S174),0)</f>
        <v/>
      </c>
      <c r="AO171">
        <f>IF(AND(ISNUMBER(S171),ISNUMBER(S175)),VLOOKUP(ABS(S171-S175),'IMP Table'!$A$2:$C$26,3)*SIGN(S171-S175),0)</f>
        <v/>
      </c>
      <c r="AP171">
        <f>IF(AND(ISNUMBER(S171),ISNUMBER(S176)),VLOOKUP(ABS(S171-S176),'IMP Table'!$A$2:$C$26,3)*SIGN(S171-S176),0)</f>
        <v/>
      </c>
      <c r="AQ171">
        <f>IF(AND(ISNUMBER(S171),ISNUMBER(S177)),VLOOKUP(ABS(S171-S177),'IMP Table'!$A$2:$C$26,3)*SIGN(S171-S177),0)</f>
        <v/>
      </c>
    </row>
    <row r="172">
      <c r="B172">
        <f>'By Round'!A31</f>
        <v/>
      </c>
      <c r="C172">
        <f>'By Round'!B41</f>
        <v/>
      </c>
      <c r="D172">
        <f>'By Round'!C41</f>
        <v/>
      </c>
      <c r="E172">
        <f>'By Round'!D41</f>
        <v/>
      </c>
      <c r="F172" s="11" t="inlineStr">
        <is>
          <t>EW</t>
        </is>
      </c>
      <c r="G172">
        <f>IF(ISBLANK('By Round'!G41),"",'By Round'!G41)</f>
        <v/>
      </c>
      <c r="H172">
        <f>IF(ISBLANK('By Round'!H41),"",'By Round'!H41)</f>
        <v/>
      </c>
      <c r="I172">
        <f>IF(ISBLANK('By Round'!I41),"",'By Round'!I41)</f>
        <v/>
      </c>
      <c r="J172">
        <f>IF(ISBLANK('By Round'!J41),"",'By Round'!J41)</f>
        <v/>
      </c>
      <c r="K172">
        <f>IF(ISBLANK('By Round'!K41),"",'By Round'!K41)</f>
        <v/>
      </c>
      <c r="L172" s="12">
        <f>SUM(AF172:AK172)</f>
        <v/>
      </c>
      <c r="M172" s="13">
        <f>SUM(AL172:AQ172)</f>
        <v/>
      </c>
      <c r="N172" s="8">
        <f>IF(COUNT(T172:Y172)&gt;0,P172/COUNT(T172:Y172),0.5)</f>
        <v/>
      </c>
      <c r="O172" s="8">
        <f>IF(COUNT(Z172:AE172)&gt;0,Q172/COUNT(Z172:AE172),0.5)</f>
        <v/>
      </c>
      <c r="P172" s="5">
        <f>SUM(T172:Y172)</f>
        <v/>
      </c>
      <c r="Q172" s="5">
        <f>SUM(Z172:AE172)</f>
        <v/>
      </c>
      <c r="R172" s="14">
        <f>IF(ISNUMBER(J172),J172,IF(ISNUMBER(K172),-K172,""))</f>
        <v/>
      </c>
      <c r="S172">
        <f>IF(ISNUMBER(K172),K172,IF(ISNUMBER(J172),-J172,""))</f>
        <v/>
      </c>
      <c r="T172" s="14">
        <f>IF(ISNUMBER(R172),IF(ISNUMBER(R171),IF(R172&gt;R171,1.0,IF(R172=R171,0.5,0.0)),""),"")</f>
        <v/>
      </c>
      <c r="U172">
        <f>IF(ISNUMBER(R172),IF(ISNUMBER(R173),IF(R172&gt;R173,1.0,IF(R172=R173,0.5,0.0)),""),"")</f>
        <v/>
      </c>
      <c r="V172">
        <f>IF(ISNUMBER(R172),IF(ISNUMBER(R174),IF(R172&gt;R174,1.0,IF(R172=R174,0.5,0.0)),""),"")</f>
        <v/>
      </c>
      <c r="W172">
        <f>IF(ISNUMBER(R172),IF(ISNUMBER(R175),IF(R172&gt;R175,1.0,IF(R172=R175,0.5,0.0)),""),"")</f>
        <v/>
      </c>
      <c r="X172">
        <f>IF(ISNUMBER(R172),IF(ISNUMBER(R176),IF(R172&gt;R176,1.0,IF(R172=R176,0.5,0.0)),""),"")</f>
        <v/>
      </c>
      <c r="Y172">
        <f>IF(ISNUMBER(R172),IF(ISNUMBER(R177),IF(R172&gt;R177,1.0,IF(R172=R177,0.5,0.0)),""),"")</f>
        <v/>
      </c>
      <c r="Z172">
        <f>IF(ISNUMBER(S172),IF(ISNUMBER(S171),IF(S172&gt;S171,1.0,IF(S172=S171,0.5,0.0)),""),"")</f>
        <v/>
      </c>
      <c r="AA172">
        <f>IF(ISNUMBER(S172),IF(ISNUMBER(S173),IF(S172&gt;S173,1.0,IF(S172=S173,0.5,0.0)),""),"")</f>
        <v/>
      </c>
      <c r="AB172">
        <f>IF(ISNUMBER(S172),IF(ISNUMBER(S174),IF(S172&gt;S174,1.0,IF(S172=S174,0.5,0.0)),""),"")</f>
        <v/>
      </c>
      <c r="AC172">
        <f>IF(ISNUMBER(S172),IF(ISNUMBER(S175),IF(S172&gt;S175,1.0,IF(S172=S175,0.5,0.0)),""),"")</f>
        <v/>
      </c>
      <c r="AD172">
        <f>IF(ISNUMBER(S172),IF(ISNUMBER(S176),IF(S172&gt;S176,1.0,IF(S172=S176,0.5,0.0)),""),"")</f>
        <v/>
      </c>
      <c r="AE172">
        <f>IF(ISNUMBER(S172),IF(ISNUMBER(S177),IF(S172&gt;S177,1.0,IF(S172=S177,0.5,0.0)),""),"")</f>
        <v/>
      </c>
      <c r="AF172" s="14">
        <f>IF(AND(ISNUMBER(R172),ISNUMBER(R171)),VLOOKUP(ABS(R172-R171),'IMP Table'!$A$2:$C$26,3)*SIGN(R172-R171),0)</f>
        <v/>
      </c>
      <c r="AG172">
        <f>IF(AND(ISNUMBER(R172),ISNUMBER(R173)),VLOOKUP(ABS(R172-R173),'IMP Table'!$A$2:$C$26,3)*SIGN(R172-R173),0)</f>
        <v/>
      </c>
      <c r="AH172">
        <f>IF(AND(ISNUMBER(R172),ISNUMBER(R174)),VLOOKUP(ABS(R172-R174),'IMP Table'!$A$2:$C$26,3)*SIGN(R172-R174),0)</f>
        <v/>
      </c>
      <c r="AI172">
        <f>IF(AND(ISNUMBER(R172),ISNUMBER(R175)),VLOOKUP(ABS(R172-R175),'IMP Table'!$A$2:$C$26,3)*SIGN(R172-R175),0)</f>
        <v/>
      </c>
      <c r="AJ172">
        <f>IF(AND(ISNUMBER(R172),ISNUMBER(R176)),VLOOKUP(ABS(R172-R176),'IMP Table'!$A$2:$C$26,3)*SIGN(R172-R176),0)</f>
        <v/>
      </c>
      <c r="AK172">
        <f>IF(AND(ISNUMBER(R172),ISNUMBER(R177)),VLOOKUP(ABS(R172-R177),'IMP Table'!$A$2:$C$26,3)*SIGN(R172-R177),0)</f>
        <v/>
      </c>
      <c r="AL172">
        <f>IF(AND(ISNUMBER(S172),ISNUMBER(S171)),VLOOKUP(ABS(S172-S171),'IMP Table'!$A$2:$C$26,3)*SIGN(S172-S171),0)</f>
        <v/>
      </c>
      <c r="AM172">
        <f>IF(AND(ISNUMBER(S172),ISNUMBER(S173)),VLOOKUP(ABS(S172-S173),'IMP Table'!$A$2:$C$26,3)*SIGN(S172-S173),0)</f>
        <v/>
      </c>
      <c r="AN172">
        <f>IF(AND(ISNUMBER(S172),ISNUMBER(S174)),VLOOKUP(ABS(S172-S174),'IMP Table'!$A$2:$C$26,3)*SIGN(S172-S174),0)</f>
        <v/>
      </c>
      <c r="AO172">
        <f>IF(AND(ISNUMBER(S172),ISNUMBER(S175)),VLOOKUP(ABS(S172-S175),'IMP Table'!$A$2:$C$26,3)*SIGN(S172-S175),0)</f>
        <v/>
      </c>
      <c r="AP172">
        <f>IF(AND(ISNUMBER(S172),ISNUMBER(S176)),VLOOKUP(ABS(S172-S176),'IMP Table'!$A$2:$C$26,3)*SIGN(S172-S176),0)</f>
        <v/>
      </c>
      <c r="AQ172">
        <f>IF(AND(ISNUMBER(S172),ISNUMBER(S177)),VLOOKUP(ABS(S172-S177),'IMP Table'!$A$2:$C$26,3)*SIGN(S172-S177),0)</f>
        <v/>
      </c>
    </row>
    <row r="173">
      <c r="B173">
        <f>'By Round'!A45</f>
        <v/>
      </c>
      <c r="C173">
        <f>'By Round'!B53</f>
        <v/>
      </c>
      <c r="D173">
        <f>'By Round'!C53</f>
        <v/>
      </c>
      <c r="E173">
        <f>'By Round'!D53</f>
        <v/>
      </c>
      <c r="F173" s="11" t="inlineStr">
        <is>
          <t>EW</t>
        </is>
      </c>
      <c r="G173">
        <f>IF(ISBLANK('By Round'!G53),"",'By Round'!G53)</f>
        <v/>
      </c>
      <c r="H173">
        <f>IF(ISBLANK('By Round'!H53),"",'By Round'!H53)</f>
        <v/>
      </c>
      <c r="I173">
        <f>IF(ISBLANK('By Round'!I53),"",'By Round'!I53)</f>
        <v/>
      </c>
      <c r="J173">
        <f>IF(ISBLANK('By Round'!J53),"",'By Round'!J53)</f>
        <v/>
      </c>
      <c r="K173">
        <f>IF(ISBLANK('By Round'!K53),"",'By Round'!K53)</f>
        <v/>
      </c>
      <c r="L173" s="12">
        <f>SUM(AF173:AK173)</f>
        <v/>
      </c>
      <c r="M173" s="13">
        <f>SUM(AL173:AQ173)</f>
        <v/>
      </c>
      <c r="N173" s="8">
        <f>IF(COUNT(T173:Y173)&gt;0,P173/COUNT(T173:Y173),0.5)</f>
        <v/>
      </c>
      <c r="O173" s="8">
        <f>IF(COUNT(Z173:AE173)&gt;0,Q173/COUNT(Z173:AE173),0.5)</f>
        <v/>
      </c>
      <c r="P173" s="5">
        <f>SUM(T173:Y173)</f>
        <v/>
      </c>
      <c r="Q173" s="5">
        <f>SUM(Z173:AE173)</f>
        <v/>
      </c>
      <c r="R173" s="14">
        <f>IF(ISNUMBER(J173),J173,IF(ISNUMBER(K173),-K173,""))</f>
        <v/>
      </c>
      <c r="S173">
        <f>IF(ISNUMBER(K173),K173,IF(ISNUMBER(J173),-J173,""))</f>
        <v/>
      </c>
      <c r="T173" s="14">
        <f>IF(ISNUMBER(R173),IF(ISNUMBER(R171),IF(R173&gt;R171,1.0,IF(R173=R171,0.5,0.0)),""),"")</f>
        <v/>
      </c>
      <c r="U173">
        <f>IF(ISNUMBER(R173),IF(ISNUMBER(R172),IF(R173&gt;R172,1.0,IF(R173=R172,0.5,0.0)),""),"")</f>
        <v/>
      </c>
      <c r="V173">
        <f>IF(ISNUMBER(R173),IF(ISNUMBER(R174),IF(R173&gt;R174,1.0,IF(R173=R174,0.5,0.0)),""),"")</f>
        <v/>
      </c>
      <c r="W173">
        <f>IF(ISNUMBER(R173),IF(ISNUMBER(R175),IF(R173&gt;R175,1.0,IF(R173=R175,0.5,0.0)),""),"")</f>
        <v/>
      </c>
      <c r="X173">
        <f>IF(ISNUMBER(R173),IF(ISNUMBER(R176),IF(R173&gt;R176,1.0,IF(R173=R176,0.5,0.0)),""),"")</f>
        <v/>
      </c>
      <c r="Y173">
        <f>IF(ISNUMBER(R173),IF(ISNUMBER(R177),IF(R173&gt;R177,1.0,IF(R173=R177,0.5,0.0)),""),"")</f>
        <v/>
      </c>
      <c r="Z173">
        <f>IF(ISNUMBER(S173),IF(ISNUMBER(S171),IF(S173&gt;S171,1.0,IF(S173=S171,0.5,0.0)),""),"")</f>
        <v/>
      </c>
      <c r="AA173">
        <f>IF(ISNUMBER(S173),IF(ISNUMBER(S172),IF(S173&gt;S172,1.0,IF(S173=S172,0.5,0.0)),""),"")</f>
        <v/>
      </c>
      <c r="AB173">
        <f>IF(ISNUMBER(S173),IF(ISNUMBER(S174),IF(S173&gt;S174,1.0,IF(S173=S174,0.5,0.0)),""),"")</f>
        <v/>
      </c>
      <c r="AC173">
        <f>IF(ISNUMBER(S173),IF(ISNUMBER(S175),IF(S173&gt;S175,1.0,IF(S173=S175,0.5,0.0)),""),"")</f>
        <v/>
      </c>
      <c r="AD173">
        <f>IF(ISNUMBER(S173),IF(ISNUMBER(S176),IF(S173&gt;S176,1.0,IF(S173=S176,0.5,0.0)),""),"")</f>
        <v/>
      </c>
      <c r="AE173">
        <f>IF(ISNUMBER(S173),IF(ISNUMBER(S177),IF(S173&gt;S177,1.0,IF(S173=S177,0.5,0.0)),""),"")</f>
        <v/>
      </c>
      <c r="AF173" s="14">
        <f>IF(AND(ISNUMBER(R173),ISNUMBER(R171)),VLOOKUP(ABS(R173-R171),'IMP Table'!$A$2:$C$26,3)*SIGN(R173-R171),0)</f>
        <v/>
      </c>
      <c r="AG173">
        <f>IF(AND(ISNUMBER(R173),ISNUMBER(R172)),VLOOKUP(ABS(R173-R172),'IMP Table'!$A$2:$C$26,3)*SIGN(R173-R172),0)</f>
        <v/>
      </c>
      <c r="AH173">
        <f>IF(AND(ISNUMBER(R173),ISNUMBER(R174)),VLOOKUP(ABS(R173-R174),'IMP Table'!$A$2:$C$26,3)*SIGN(R173-R174),0)</f>
        <v/>
      </c>
      <c r="AI173">
        <f>IF(AND(ISNUMBER(R173),ISNUMBER(R175)),VLOOKUP(ABS(R173-R175),'IMP Table'!$A$2:$C$26,3)*SIGN(R173-R175),0)</f>
        <v/>
      </c>
      <c r="AJ173">
        <f>IF(AND(ISNUMBER(R173),ISNUMBER(R176)),VLOOKUP(ABS(R173-R176),'IMP Table'!$A$2:$C$26,3)*SIGN(R173-R176),0)</f>
        <v/>
      </c>
      <c r="AK173">
        <f>IF(AND(ISNUMBER(R173),ISNUMBER(R177)),VLOOKUP(ABS(R173-R177),'IMP Table'!$A$2:$C$26,3)*SIGN(R173-R177),0)</f>
        <v/>
      </c>
      <c r="AL173">
        <f>IF(AND(ISNUMBER(S173),ISNUMBER(S171)),VLOOKUP(ABS(S173-S171),'IMP Table'!$A$2:$C$26,3)*SIGN(S173-S171),0)</f>
        <v/>
      </c>
      <c r="AM173">
        <f>IF(AND(ISNUMBER(S173),ISNUMBER(S172)),VLOOKUP(ABS(S173-S172),'IMP Table'!$A$2:$C$26,3)*SIGN(S173-S172),0)</f>
        <v/>
      </c>
      <c r="AN173">
        <f>IF(AND(ISNUMBER(S173),ISNUMBER(S174)),VLOOKUP(ABS(S173-S174),'IMP Table'!$A$2:$C$26,3)*SIGN(S173-S174),0)</f>
        <v/>
      </c>
      <c r="AO173">
        <f>IF(AND(ISNUMBER(S173),ISNUMBER(S175)),VLOOKUP(ABS(S173-S175),'IMP Table'!$A$2:$C$26,3)*SIGN(S173-S175),0)</f>
        <v/>
      </c>
      <c r="AP173">
        <f>IF(AND(ISNUMBER(S173),ISNUMBER(S176)),VLOOKUP(ABS(S173-S176),'IMP Table'!$A$2:$C$26,3)*SIGN(S173-S176),0)</f>
        <v/>
      </c>
      <c r="AQ173">
        <f>IF(AND(ISNUMBER(S173),ISNUMBER(S177)),VLOOKUP(ABS(S173-S177),'IMP Table'!$A$2:$C$26,3)*SIGN(S173-S177),0)</f>
        <v/>
      </c>
    </row>
    <row r="174">
      <c r="B174">
        <f>'By Round'!A115</f>
        <v/>
      </c>
      <c r="C174">
        <f>'By Round'!B121</f>
        <v/>
      </c>
      <c r="D174">
        <f>'By Round'!C121</f>
        <v/>
      </c>
      <c r="E174">
        <f>'By Round'!D121</f>
        <v/>
      </c>
      <c r="F174" s="11" t="inlineStr">
        <is>
          <t>EW</t>
        </is>
      </c>
      <c r="G174">
        <f>IF(ISBLANK('By Round'!G121),"",'By Round'!G121)</f>
        <v/>
      </c>
      <c r="H174">
        <f>IF(ISBLANK('By Round'!H121),"",'By Round'!H121)</f>
        <v/>
      </c>
      <c r="I174">
        <f>IF(ISBLANK('By Round'!I121),"",'By Round'!I121)</f>
        <v/>
      </c>
      <c r="J174">
        <f>IF(ISBLANK('By Round'!J121),"",'By Round'!J121)</f>
        <v/>
      </c>
      <c r="K174">
        <f>IF(ISBLANK('By Round'!K121),"",'By Round'!K121)</f>
        <v/>
      </c>
      <c r="L174" s="12">
        <f>SUM(AF174:AK174)</f>
        <v/>
      </c>
      <c r="M174" s="13">
        <f>SUM(AL174:AQ174)</f>
        <v/>
      </c>
      <c r="N174" s="8">
        <f>IF(COUNT(T174:Y174)&gt;0,P174/COUNT(T174:Y174),0.5)</f>
        <v/>
      </c>
      <c r="O174" s="8">
        <f>IF(COUNT(Z174:AE174)&gt;0,Q174/COUNT(Z174:AE174),0.5)</f>
        <v/>
      </c>
      <c r="P174" s="5">
        <f>SUM(T174:Y174)</f>
        <v/>
      </c>
      <c r="Q174" s="5">
        <f>SUM(Z174:AE174)</f>
        <v/>
      </c>
      <c r="R174" s="14">
        <f>IF(ISNUMBER(J174),J174,IF(ISNUMBER(K174),-K174,""))</f>
        <v/>
      </c>
      <c r="S174">
        <f>IF(ISNUMBER(K174),K174,IF(ISNUMBER(J174),-J174,""))</f>
        <v/>
      </c>
      <c r="T174" s="14">
        <f>IF(ISNUMBER(R174),IF(ISNUMBER(R171),IF(R174&gt;R171,1.0,IF(R174=R171,0.5,0.0)),""),"")</f>
        <v/>
      </c>
      <c r="U174">
        <f>IF(ISNUMBER(R174),IF(ISNUMBER(R172),IF(R174&gt;R172,1.0,IF(R174=R172,0.5,0.0)),""),"")</f>
        <v/>
      </c>
      <c r="V174">
        <f>IF(ISNUMBER(R174),IF(ISNUMBER(R173),IF(R174&gt;R173,1.0,IF(R174=R173,0.5,0.0)),""),"")</f>
        <v/>
      </c>
      <c r="W174">
        <f>IF(ISNUMBER(R174),IF(ISNUMBER(R175),IF(R174&gt;R175,1.0,IF(R174=R175,0.5,0.0)),""),"")</f>
        <v/>
      </c>
      <c r="X174">
        <f>IF(ISNUMBER(R174),IF(ISNUMBER(R176),IF(R174&gt;R176,1.0,IF(R174=R176,0.5,0.0)),""),"")</f>
        <v/>
      </c>
      <c r="Y174">
        <f>IF(ISNUMBER(R174),IF(ISNUMBER(R177),IF(R174&gt;R177,1.0,IF(R174=R177,0.5,0.0)),""),"")</f>
        <v/>
      </c>
      <c r="Z174">
        <f>IF(ISNUMBER(S174),IF(ISNUMBER(S171),IF(S174&gt;S171,1.0,IF(S174=S171,0.5,0.0)),""),"")</f>
        <v/>
      </c>
      <c r="AA174">
        <f>IF(ISNUMBER(S174),IF(ISNUMBER(S172),IF(S174&gt;S172,1.0,IF(S174=S172,0.5,0.0)),""),"")</f>
        <v/>
      </c>
      <c r="AB174">
        <f>IF(ISNUMBER(S174),IF(ISNUMBER(S173),IF(S174&gt;S173,1.0,IF(S174=S173,0.5,0.0)),""),"")</f>
        <v/>
      </c>
      <c r="AC174">
        <f>IF(ISNUMBER(S174),IF(ISNUMBER(S175),IF(S174&gt;S175,1.0,IF(S174=S175,0.5,0.0)),""),"")</f>
        <v/>
      </c>
      <c r="AD174">
        <f>IF(ISNUMBER(S174),IF(ISNUMBER(S176),IF(S174&gt;S176,1.0,IF(S174=S176,0.5,0.0)),""),"")</f>
        <v/>
      </c>
      <c r="AE174">
        <f>IF(ISNUMBER(S174),IF(ISNUMBER(S177),IF(S174&gt;S177,1.0,IF(S174=S177,0.5,0.0)),""),"")</f>
        <v/>
      </c>
      <c r="AF174" s="14">
        <f>IF(AND(ISNUMBER(R174),ISNUMBER(R171)),VLOOKUP(ABS(R174-R171),'IMP Table'!$A$2:$C$26,3)*SIGN(R174-R171),0)</f>
        <v/>
      </c>
      <c r="AG174">
        <f>IF(AND(ISNUMBER(R174),ISNUMBER(R172)),VLOOKUP(ABS(R174-R172),'IMP Table'!$A$2:$C$26,3)*SIGN(R174-R172),0)</f>
        <v/>
      </c>
      <c r="AH174">
        <f>IF(AND(ISNUMBER(R174),ISNUMBER(R173)),VLOOKUP(ABS(R174-R173),'IMP Table'!$A$2:$C$26,3)*SIGN(R174-R173),0)</f>
        <v/>
      </c>
      <c r="AI174">
        <f>IF(AND(ISNUMBER(R174),ISNUMBER(R175)),VLOOKUP(ABS(R174-R175),'IMP Table'!$A$2:$C$26,3)*SIGN(R174-R175),0)</f>
        <v/>
      </c>
      <c r="AJ174">
        <f>IF(AND(ISNUMBER(R174),ISNUMBER(R176)),VLOOKUP(ABS(R174-R176),'IMP Table'!$A$2:$C$26,3)*SIGN(R174-R176),0)</f>
        <v/>
      </c>
      <c r="AK174">
        <f>IF(AND(ISNUMBER(R174),ISNUMBER(R177)),VLOOKUP(ABS(R174-R177),'IMP Table'!$A$2:$C$26,3)*SIGN(R174-R177),0)</f>
        <v/>
      </c>
      <c r="AL174">
        <f>IF(AND(ISNUMBER(S174),ISNUMBER(S171)),VLOOKUP(ABS(S174-S171),'IMP Table'!$A$2:$C$26,3)*SIGN(S174-S171),0)</f>
        <v/>
      </c>
      <c r="AM174">
        <f>IF(AND(ISNUMBER(S174),ISNUMBER(S172)),VLOOKUP(ABS(S174-S172),'IMP Table'!$A$2:$C$26,3)*SIGN(S174-S172),0)</f>
        <v/>
      </c>
      <c r="AN174">
        <f>IF(AND(ISNUMBER(S174),ISNUMBER(S173)),VLOOKUP(ABS(S174-S173),'IMP Table'!$A$2:$C$26,3)*SIGN(S174-S173),0)</f>
        <v/>
      </c>
      <c r="AO174">
        <f>IF(AND(ISNUMBER(S174),ISNUMBER(S175)),VLOOKUP(ABS(S174-S175),'IMP Table'!$A$2:$C$26,3)*SIGN(S174-S175),0)</f>
        <v/>
      </c>
      <c r="AP174">
        <f>IF(AND(ISNUMBER(S174),ISNUMBER(S176)),VLOOKUP(ABS(S174-S176),'IMP Table'!$A$2:$C$26,3)*SIGN(S174-S176),0)</f>
        <v/>
      </c>
      <c r="AQ174">
        <f>IF(AND(ISNUMBER(S174),ISNUMBER(S177)),VLOOKUP(ABS(S174-S177),'IMP Table'!$A$2:$C$26,3)*SIGN(S174-S177),0)</f>
        <v/>
      </c>
    </row>
    <row r="175">
      <c r="B175">
        <f>'By Round'!A129</f>
        <v/>
      </c>
      <c r="C175">
        <f>'By Round'!B133</f>
        <v/>
      </c>
      <c r="D175">
        <f>'By Round'!C133</f>
        <v/>
      </c>
      <c r="E175">
        <f>'By Round'!D133</f>
        <v/>
      </c>
      <c r="F175" s="11" t="inlineStr">
        <is>
          <t>EW</t>
        </is>
      </c>
      <c r="G175">
        <f>IF(ISBLANK('By Round'!G133),"",'By Round'!G133)</f>
        <v/>
      </c>
      <c r="H175">
        <f>IF(ISBLANK('By Round'!H133),"",'By Round'!H133)</f>
        <v/>
      </c>
      <c r="I175">
        <f>IF(ISBLANK('By Round'!I133),"",'By Round'!I133)</f>
        <v/>
      </c>
      <c r="J175">
        <f>IF(ISBLANK('By Round'!J133),"",'By Round'!J133)</f>
        <v/>
      </c>
      <c r="K175">
        <f>IF(ISBLANK('By Round'!K133),"",'By Round'!K133)</f>
        <v/>
      </c>
      <c r="L175" s="12">
        <f>SUM(AF175:AK175)</f>
        <v/>
      </c>
      <c r="M175" s="13">
        <f>SUM(AL175:AQ175)</f>
        <v/>
      </c>
      <c r="N175" s="8">
        <f>IF(COUNT(T175:Y175)&gt;0,P175/COUNT(T175:Y175),0.5)</f>
        <v/>
      </c>
      <c r="O175" s="8">
        <f>IF(COUNT(Z175:AE175)&gt;0,Q175/COUNT(Z175:AE175),0.5)</f>
        <v/>
      </c>
      <c r="P175" s="5">
        <f>SUM(T175:Y175)</f>
        <v/>
      </c>
      <c r="Q175" s="5">
        <f>SUM(Z175:AE175)</f>
        <v/>
      </c>
      <c r="R175" s="14">
        <f>IF(ISNUMBER(J175),J175,IF(ISNUMBER(K175),-K175,""))</f>
        <v/>
      </c>
      <c r="S175">
        <f>IF(ISNUMBER(K175),K175,IF(ISNUMBER(J175),-J175,""))</f>
        <v/>
      </c>
      <c r="T175" s="14">
        <f>IF(ISNUMBER(R175),IF(ISNUMBER(R171),IF(R175&gt;R171,1.0,IF(R175=R171,0.5,0.0)),""),"")</f>
        <v/>
      </c>
      <c r="U175">
        <f>IF(ISNUMBER(R175),IF(ISNUMBER(R172),IF(R175&gt;R172,1.0,IF(R175=R172,0.5,0.0)),""),"")</f>
        <v/>
      </c>
      <c r="V175">
        <f>IF(ISNUMBER(R175),IF(ISNUMBER(R173),IF(R175&gt;R173,1.0,IF(R175=R173,0.5,0.0)),""),"")</f>
        <v/>
      </c>
      <c r="W175">
        <f>IF(ISNUMBER(R175),IF(ISNUMBER(R174),IF(R175&gt;R174,1.0,IF(R175=R174,0.5,0.0)),""),"")</f>
        <v/>
      </c>
      <c r="X175">
        <f>IF(ISNUMBER(R175),IF(ISNUMBER(R176),IF(R175&gt;R176,1.0,IF(R175=R176,0.5,0.0)),""),"")</f>
        <v/>
      </c>
      <c r="Y175">
        <f>IF(ISNUMBER(R175),IF(ISNUMBER(R177),IF(R175&gt;R177,1.0,IF(R175=R177,0.5,0.0)),""),"")</f>
        <v/>
      </c>
      <c r="Z175">
        <f>IF(ISNUMBER(S175),IF(ISNUMBER(S171),IF(S175&gt;S171,1.0,IF(S175=S171,0.5,0.0)),""),"")</f>
        <v/>
      </c>
      <c r="AA175">
        <f>IF(ISNUMBER(S175),IF(ISNUMBER(S172),IF(S175&gt;S172,1.0,IF(S175=S172,0.5,0.0)),""),"")</f>
        <v/>
      </c>
      <c r="AB175">
        <f>IF(ISNUMBER(S175),IF(ISNUMBER(S173),IF(S175&gt;S173,1.0,IF(S175=S173,0.5,0.0)),""),"")</f>
        <v/>
      </c>
      <c r="AC175">
        <f>IF(ISNUMBER(S175),IF(ISNUMBER(S174),IF(S175&gt;S174,1.0,IF(S175=S174,0.5,0.0)),""),"")</f>
        <v/>
      </c>
      <c r="AD175">
        <f>IF(ISNUMBER(S175),IF(ISNUMBER(S176),IF(S175&gt;S176,1.0,IF(S175=S176,0.5,0.0)),""),"")</f>
        <v/>
      </c>
      <c r="AE175">
        <f>IF(ISNUMBER(S175),IF(ISNUMBER(S177),IF(S175&gt;S177,1.0,IF(S175=S177,0.5,0.0)),""),"")</f>
        <v/>
      </c>
      <c r="AF175" s="14">
        <f>IF(AND(ISNUMBER(R175),ISNUMBER(R171)),VLOOKUP(ABS(R175-R171),'IMP Table'!$A$2:$C$26,3)*SIGN(R175-R171),0)</f>
        <v/>
      </c>
      <c r="AG175">
        <f>IF(AND(ISNUMBER(R175),ISNUMBER(R172)),VLOOKUP(ABS(R175-R172),'IMP Table'!$A$2:$C$26,3)*SIGN(R175-R172),0)</f>
        <v/>
      </c>
      <c r="AH175">
        <f>IF(AND(ISNUMBER(R175),ISNUMBER(R173)),VLOOKUP(ABS(R175-R173),'IMP Table'!$A$2:$C$26,3)*SIGN(R175-R173),0)</f>
        <v/>
      </c>
      <c r="AI175">
        <f>IF(AND(ISNUMBER(R175),ISNUMBER(R174)),VLOOKUP(ABS(R175-R174),'IMP Table'!$A$2:$C$26,3)*SIGN(R175-R174),0)</f>
        <v/>
      </c>
      <c r="AJ175">
        <f>IF(AND(ISNUMBER(R175),ISNUMBER(R176)),VLOOKUP(ABS(R175-R176),'IMP Table'!$A$2:$C$26,3)*SIGN(R175-R176),0)</f>
        <v/>
      </c>
      <c r="AK175">
        <f>IF(AND(ISNUMBER(R175),ISNUMBER(R177)),VLOOKUP(ABS(R175-R177),'IMP Table'!$A$2:$C$26,3)*SIGN(R175-R177),0)</f>
        <v/>
      </c>
      <c r="AL175">
        <f>IF(AND(ISNUMBER(S175),ISNUMBER(S171)),VLOOKUP(ABS(S175-S171),'IMP Table'!$A$2:$C$26,3)*SIGN(S175-S171),0)</f>
        <v/>
      </c>
      <c r="AM175">
        <f>IF(AND(ISNUMBER(S175),ISNUMBER(S172)),VLOOKUP(ABS(S175-S172),'IMP Table'!$A$2:$C$26,3)*SIGN(S175-S172),0)</f>
        <v/>
      </c>
      <c r="AN175">
        <f>IF(AND(ISNUMBER(S175),ISNUMBER(S173)),VLOOKUP(ABS(S175-S173),'IMP Table'!$A$2:$C$26,3)*SIGN(S175-S173),0)</f>
        <v/>
      </c>
      <c r="AO175">
        <f>IF(AND(ISNUMBER(S175),ISNUMBER(S174)),VLOOKUP(ABS(S175-S174),'IMP Table'!$A$2:$C$26,3)*SIGN(S175-S174),0)</f>
        <v/>
      </c>
      <c r="AP175">
        <f>IF(AND(ISNUMBER(S175),ISNUMBER(S176)),VLOOKUP(ABS(S175-S176),'IMP Table'!$A$2:$C$26,3)*SIGN(S175-S176),0)</f>
        <v/>
      </c>
      <c r="AQ175">
        <f>IF(AND(ISNUMBER(S175),ISNUMBER(S177)),VLOOKUP(ABS(S175-S177),'IMP Table'!$A$2:$C$26,3)*SIGN(S175-S177),0)</f>
        <v/>
      </c>
    </row>
    <row r="176">
      <c r="B176">
        <f>'By Round'!A143</f>
        <v/>
      </c>
      <c r="C176">
        <f>'By Round'!B145</f>
        <v/>
      </c>
      <c r="D176">
        <f>'By Round'!C145</f>
        <v/>
      </c>
      <c r="E176">
        <f>'By Round'!D145</f>
        <v/>
      </c>
      <c r="F176" s="11" t="inlineStr">
        <is>
          <t>EW</t>
        </is>
      </c>
      <c r="G176">
        <f>IF(ISBLANK('By Round'!G145),"",'By Round'!G145)</f>
        <v/>
      </c>
      <c r="H176">
        <f>IF(ISBLANK('By Round'!H145),"",'By Round'!H145)</f>
        <v/>
      </c>
      <c r="I176">
        <f>IF(ISBLANK('By Round'!I145),"",'By Round'!I145)</f>
        <v/>
      </c>
      <c r="J176">
        <f>IF(ISBLANK('By Round'!J145),"",'By Round'!J145)</f>
        <v/>
      </c>
      <c r="K176">
        <f>IF(ISBLANK('By Round'!K145),"",'By Round'!K145)</f>
        <v/>
      </c>
      <c r="L176" s="12">
        <f>SUM(AF176:AK176)</f>
        <v/>
      </c>
      <c r="M176" s="13">
        <f>SUM(AL176:AQ176)</f>
        <v/>
      </c>
      <c r="N176" s="8">
        <f>IF(COUNT(T176:Y176)&gt;0,P176/COUNT(T176:Y176),0.5)</f>
        <v/>
      </c>
      <c r="O176" s="8">
        <f>IF(COUNT(Z176:AE176)&gt;0,Q176/COUNT(Z176:AE176),0.5)</f>
        <v/>
      </c>
      <c r="P176" s="5">
        <f>SUM(T176:Y176)</f>
        <v/>
      </c>
      <c r="Q176" s="5">
        <f>SUM(Z176:AE176)</f>
        <v/>
      </c>
      <c r="R176" s="14">
        <f>IF(ISNUMBER(J176),J176,IF(ISNUMBER(K176),-K176,""))</f>
        <v/>
      </c>
      <c r="S176">
        <f>IF(ISNUMBER(K176),K176,IF(ISNUMBER(J176),-J176,""))</f>
        <v/>
      </c>
      <c r="T176" s="14">
        <f>IF(ISNUMBER(R176),IF(ISNUMBER(R171),IF(R176&gt;R171,1.0,IF(R176=R171,0.5,0.0)),""),"")</f>
        <v/>
      </c>
      <c r="U176">
        <f>IF(ISNUMBER(R176),IF(ISNUMBER(R172),IF(R176&gt;R172,1.0,IF(R176=R172,0.5,0.0)),""),"")</f>
        <v/>
      </c>
      <c r="V176">
        <f>IF(ISNUMBER(R176),IF(ISNUMBER(R173),IF(R176&gt;R173,1.0,IF(R176=R173,0.5,0.0)),""),"")</f>
        <v/>
      </c>
      <c r="W176">
        <f>IF(ISNUMBER(R176),IF(ISNUMBER(R174),IF(R176&gt;R174,1.0,IF(R176=R174,0.5,0.0)),""),"")</f>
        <v/>
      </c>
      <c r="X176">
        <f>IF(ISNUMBER(R176),IF(ISNUMBER(R175),IF(R176&gt;R175,1.0,IF(R176=R175,0.5,0.0)),""),"")</f>
        <v/>
      </c>
      <c r="Y176">
        <f>IF(ISNUMBER(R176),IF(ISNUMBER(R177),IF(R176&gt;R177,1.0,IF(R176=R177,0.5,0.0)),""),"")</f>
        <v/>
      </c>
      <c r="Z176">
        <f>IF(ISNUMBER(S176),IF(ISNUMBER(S171),IF(S176&gt;S171,1.0,IF(S176=S171,0.5,0.0)),""),"")</f>
        <v/>
      </c>
      <c r="AA176">
        <f>IF(ISNUMBER(S176),IF(ISNUMBER(S172),IF(S176&gt;S172,1.0,IF(S176=S172,0.5,0.0)),""),"")</f>
        <v/>
      </c>
      <c r="AB176">
        <f>IF(ISNUMBER(S176),IF(ISNUMBER(S173),IF(S176&gt;S173,1.0,IF(S176=S173,0.5,0.0)),""),"")</f>
        <v/>
      </c>
      <c r="AC176">
        <f>IF(ISNUMBER(S176),IF(ISNUMBER(S174),IF(S176&gt;S174,1.0,IF(S176=S174,0.5,0.0)),""),"")</f>
        <v/>
      </c>
      <c r="AD176">
        <f>IF(ISNUMBER(S176),IF(ISNUMBER(S175),IF(S176&gt;S175,1.0,IF(S176=S175,0.5,0.0)),""),"")</f>
        <v/>
      </c>
      <c r="AE176">
        <f>IF(ISNUMBER(S176),IF(ISNUMBER(S177),IF(S176&gt;S177,1.0,IF(S176=S177,0.5,0.0)),""),"")</f>
        <v/>
      </c>
      <c r="AF176" s="14">
        <f>IF(AND(ISNUMBER(R176),ISNUMBER(R171)),VLOOKUP(ABS(R176-R171),'IMP Table'!$A$2:$C$26,3)*SIGN(R176-R171),0)</f>
        <v/>
      </c>
      <c r="AG176">
        <f>IF(AND(ISNUMBER(R176),ISNUMBER(R172)),VLOOKUP(ABS(R176-R172),'IMP Table'!$A$2:$C$26,3)*SIGN(R176-R172),0)</f>
        <v/>
      </c>
      <c r="AH176">
        <f>IF(AND(ISNUMBER(R176),ISNUMBER(R173)),VLOOKUP(ABS(R176-R173),'IMP Table'!$A$2:$C$26,3)*SIGN(R176-R173),0)</f>
        <v/>
      </c>
      <c r="AI176">
        <f>IF(AND(ISNUMBER(R176),ISNUMBER(R174)),VLOOKUP(ABS(R176-R174),'IMP Table'!$A$2:$C$26,3)*SIGN(R176-R174),0)</f>
        <v/>
      </c>
      <c r="AJ176">
        <f>IF(AND(ISNUMBER(R176),ISNUMBER(R175)),VLOOKUP(ABS(R176-R175),'IMP Table'!$A$2:$C$26,3)*SIGN(R176-R175),0)</f>
        <v/>
      </c>
      <c r="AK176">
        <f>IF(AND(ISNUMBER(R176),ISNUMBER(R177)),VLOOKUP(ABS(R176-R177),'IMP Table'!$A$2:$C$26,3)*SIGN(R176-R177),0)</f>
        <v/>
      </c>
      <c r="AL176">
        <f>IF(AND(ISNUMBER(S176),ISNUMBER(S171)),VLOOKUP(ABS(S176-S171),'IMP Table'!$A$2:$C$26,3)*SIGN(S176-S171),0)</f>
        <v/>
      </c>
      <c r="AM176">
        <f>IF(AND(ISNUMBER(S176),ISNUMBER(S172)),VLOOKUP(ABS(S176-S172),'IMP Table'!$A$2:$C$26,3)*SIGN(S176-S172),0)</f>
        <v/>
      </c>
      <c r="AN176">
        <f>IF(AND(ISNUMBER(S176),ISNUMBER(S173)),VLOOKUP(ABS(S176-S173),'IMP Table'!$A$2:$C$26,3)*SIGN(S176-S173),0)</f>
        <v/>
      </c>
      <c r="AO176">
        <f>IF(AND(ISNUMBER(S176),ISNUMBER(S174)),VLOOKUP(ABS(S176-S174),'IMP Table'!$A$2:$C$26,3)*SIGN(S176-S174),0)</f>
        <v/>
      </c>
      <c r="AP176">
        <f>IF(AND(ISNUMBER(S176),ISNUMBER(S175)),VLOOKUP(ABS(S176-S175),'IMP Table'!$A$2:$C$26,3)*SIGN(S176-S175),0)</f>
        <v/>
      </c>
      <c r="AQ176">
        <f>IF(AND(ISNUMBER(S176),ISNUMBER(S177)),VLOOKUP(ABS(S176-S177),'IMP Table'!$A$2:$C$26,3)*SIGN(S176-S177),0)</f>
        <v/>
      </c>
    </row>
    <row r="177">
      <c r="A177" s="15" t="n"/>
      <c r="B177" s="15">
        <f>'By Round'!A171</f>
        <v/>
      </c>
      <c r="C177" s="15">
        <f>'By Round'!B171</f>
        <v/>
      </c>
      <c r="D177" s="15">
        <f>'By Round'!C171</f>
        <v/>
      </c>
      <c r="E177" s="15">
        <f>'By Round'!D171</f>
        <v/>
      </c>
      <c r="F177" s="16" t="inlineStr">
        <is>
          <t>EW</t>
        </is>
      </c>
      <c r="G177" s="15">
        <f>IF(ISBLANK('By Round'!G171),"",'By Round'!G171)</f>
        <v/>
      </c>
      <c r="H177" s="15">
        <f>IF(ISBLANK('By Round'!H171),"",'By Round'!H171)</f>
        <v/>
      </c>
      <c r="I177" s="15">
        <f>IF(ISBLANK('By Round'!I171),"",'By Round'!I171)</f>
        <v/>
      </c>
      <c r="J177" s="15">
        <f>IF(ISBLANK('By Round'!J171),"",'By Round'!J171)</f>
        <v/>
      </c>
      <c r="K177" s="15">
        <f>IF(ISBLANK('By Round'!K171),"",'By Round'!K171)</f>
        <v/>
      </c>
      <c r="L177" s="17">
        <f>SUM(AF177:AK177)</f>
        <v/>
      </c>
      <c r="M177" s="18">
        <f>SUM(AL177:AQ177)</f>
        <v/>
      </c>
      <c r="N177" s="19">
        <f>IF(COUNT(T177:Y177)&gt;0,P177/COUNT(T177:Y177),0.5)</f>
        <v/>
      </c>
      <c r="O177" s="19">
        <f>IF(COUNT(Z177:AE177)&gt;0,Q177/COUNT(Z177:AE177),0.5)</f>
        <v/>
      </c>
      <c r="P177" s="20">
        <f>SUM(T177:Y177)</f>
        <v/>
      </c>
      <c r="Q177" s="20">
        <f>SUM(Z177:AE177)</f>
        <v/>
      </c>
      <c r="R177" s="21">
        <f>IF(ISNUMBER(J177),J177,IF(ISNUMBER(K177),-K177,""))</f>
        <v/>
      </c>
      <c r="S177" s="15">
        <f>IF(ISNUMBER(K177),K177,IF(ISNUMBER(J177),-J177,""))</f>
        <v/>
      </c>
      <c r="T177" s="21">
        <f>IF(ISNUMBER(R177),IF(ISNUMBER(R171),IF(R177&gt;R171,1.0,IF(R177=R171,0.5,0.0)),""),"")</f>
        <v/>
      </c>
      <c r="U177" s="15">
        <f>IF(ISNUMBER(R177),IF(ISNUMBER(R172),IF(R177&gt;R172,1.0,IF(R177=R172,0.5,0.0)),""),"")</f>
        <v/>
      </c>
      <c r="V177" s="15">
        <f>IF(ISNUMBER(R177),IF(ISNUMBER(R173),IF(R177&gt;R173,1.0,IF(R177=R173,0.5,0.0)),""),"")</f>
        <v/>
      </c>
      <c r="W177" s="15">
        <f>IF(ISNUMBER(R177),IF(ISNUMBER(R174),IF(R177&gt;R174,1.0,IF(R177=R174,0.5,0.0)),""),"")</f>
        <v/>
      </c>
      <c r="X177" s="15">
        <f>IF(ISNUMBER(R177),IF(ISNUMBER(R175),IF(R177&gt;R175,1.0,IF(R177=R175,0.5,0.0)),""),"")</f>
        <v/>
      </c>
      <c r="Y177" s="15">
        <f>IF(ISNUMBER(R177),IF(ISNUMBER(R176),IF(R177&gt;R176,1.0,IF(R177=R176,0.5,0.0)),""),"")</f>
        <v/>
      </c>
      <c r="Z177" s="15">
        <f>IF(ISNUMBER(S177),IF(ISNUMBER(S171),IF(S177&gt;S171,1.0,IF(S177=S171,0.5,0.0)),""),"")</f>
        <v/>
      </c>
      <c r="AA177" s="15">
        <f>IF(ISNUMBER(S177),IF(ISNUMBER(S172),IF(S177&gt;S172,1.0,IF(S177=S172,0.5,0.0)),""),"")</f>
        <v/>
      </c>
      <c r="AB177" s="15">
        <f>IF(ISNUMBER(S177),IF(ISNUMBER(S173),IF(S177&gt;S173,1.0,IF(S177=S173,0.5,0.0)),""),"")</f>
        <v/>
      </c>
      <c r="AC177" s="15">
        <f>IF(ISNUMBER(S177),IF(ISNUMBER(S174),IF(S177&gt;S174,1.0,IF(S177=S174,0.5,0.0)),""),"")</f>
        <v/>
      </c>
      <c r="AD177" s="15">
        <f>IF(ISNUMBER(S177),IF(ISNUMBER(S175),IF(S177&gt;S175,1.0,IF(S177=S175,0.5,0.0)),""),"")</f>
        <v/>
      </c>
      <c r="AE177" s="15">
        <f>IF(ISNUMBER(S177),IF(ISNUMBER(S176),IF(S177&gt;S176,1.0,IF(S177=S176,0.5,0.0)),""),"")</f>
        <v/>
      </c>
      <c r="AF177" s="21">
        <f>IF(AND(ISNUMBER(R177),ISNUMBER(R171)),VLOOKUP(ABS(R177-R171),'IMP Table'!$A$2:$C$26,3)*SIGN(R177-R171),0)</f>
        <v/>
      </c>
      <c r="AG177" s="15">
        <f>IF(AND(ISNUMBER(R177),ISNUMBER(R172)),VLOOKUP(ABS(R177-R172),'IMP Table'!$A$2:$C$26,3)*SIGN(R177-R172),0)</f>
        <v/>
      </c>
      <c r="AH177" s="15">
        <f>IF(AND(ISNUMBER(R177),ISNUMBER(R173)),VLOOKUP(ABS(R177-R173),'IMP Table'!$A$2:$C$26,3)*SIGN(R177-R173),0)</f>
        <v/>
      </c>
      <c r="AI177" s="15">
        <f>IF(AND(ISNUMBER(R177),ISNUMBER(R174)),VLOOKUP(ABS(R177-R174),'IMP Table'!$A$2:$C$26,3)*SIGN(R177-R174),0)</f>
        <v/>
      </c>
      <c r="AJ177" s="15">
        <f>IF(AND(ISNUMBER(R177),ISNUMBER(R175)),VLOOKUP(ABS(R177-R175),'IMP Table'!$A$2:$C$26,3)*SIGN(R177-R175),0)</f>
        <v/>
      </c>
      <c r="AK177" s="15">
        <f>IF(AND(ISNUMBER(R177),ISNUMBER(R176)),VLOOKUP(ABS(R177-R176),'IMP Table'!$A$2:$C$26,3)*SIGN(R177-R176),0)</f>
        <v/>
      </c>
      <c r="AL177" s="15">
        <f>IF(AND(ISNUMBER(S177),ISNUMBER(S171)),VLOOKUP(ABS(S177-S171),'IMP Table'!$A$2:$C$26,3)*SIGN(S177-S171),0)</f>
        <v/>
      </c>
      <c r="AM177" s="15">
        <f>IF(AND(ISNUMBER(S177),ISNUMBER(S172)),VLOOKUP(ABS(S177-S172),'IMP Table'!$A$2:$C$26,3)*SIGN(S177-S172),0)</f>
        <v/>
      </c>
      <c r="AN177" s="15">
        <f>IF(AND(ISNUMBER(S177),ISNUMBER(S173)),VLOOKUP(ABS(S177-S173),'IMP Table'!$A$2:$C$26,3)*SIGN(S177-S173),0)</f>
        <v/>
      </c>
      <c r="AO177" s="15">
        <f>IF(AND(ISNUMBER(S177),ISNUMBER(S174)),VLOOKUP(ABS(S177-S174),'IMP Table'!$A$2:$C$26,3)*SIGN(S177-S174),0)</f>
        <v/>
      </c>
      <c r="AP177" s="15">
        <f>IF(AND(ISNUMBER(S177),ISNUMBER(S175)),VLOOKUP(ABS(S177-S175),'IMP Table'!$A$2:$C$26,3)*SIGN(S177-S175),0)</f>
        <v/>
      </c>
      <c r="AQ177" s="15">
        <f>IF(AND(ISNUMBER(S177),ISNUMBER(S176)),VLOOKUP(ABS(S177-S176),'IMP Table'!$A$2:$C$26,3)*SIGN(S177-S176),0)</f>
        <v/>
      </c>
    </row>
    <row r="178">
      <c r="A178" t="n">
        <v>26</v>
      </c>
      <c r="B178">
        <f>'By Round'!A17</f>
        <v/>
      </c>
      <c r="C178">
        <f>'By Round'!B29</f>
        <v/>
      </c>
      <c r="D178">
        <f>'By Round'!C29</f>
        <v/>
      </c>
      <c r="E178">
        <f>'By Round'!D29</f>
        <v/>
      </c>
      <c r="F178" s="11" t="inlineStr">
        <is>
          <t>Both</t>
        </is>
      </c>
      <c r="G178">
        <f>IF(ISBLANK('By Round'!G29),"",'By Round'!G29)</f>
        <v/>
      </c>
      <c r="H178">
        <f>IF(ISBLANK('By Round'!H29),"",'By Round'!H29)</f>
        <v/>
      </c>
      <c r="I178">
        <f>IF(ISBLANK('By Round'!I29),"",'By Round'!I29)</f>
        <v/>
      </c>
      <c r="J178">
        <f>IF(ISBLANK('By Round'!J29),"",'By Round'!J29)</f>
        <v/>
      </c>
      <c r="K178">
        <f>IF(ISBLANK('By Round'!K29),"",'By Round'!K29)</f>
        <v/>
      </c>
      <c r="L178" s="12">
        <f>SUM(AF178:AK178)</f>
        <v/>
      </c>
      <c r="M178" s="13">
        <f>SUM(AL178:AQ178)</f>
        <v/>
      </c>
      <c r="N178" s="8">
        <f>IF(COUNT(T178:Y178)&gt;0,P178/COUNT(T178:Y178),0.5)</f>
        <v/>
      </c>
      <c r="O178" s="8">
        <f>IF(COUNT(Z178:AE178)&gt;0,Q178/COUNT(Z178:AE178),0.5)</f>
        <v/>
      </c>
      <c r="P178" s="5">
        <f>SUM(T178:Y178)</f>
        <v/>
      </c>
      <c r="Q178" s="5">
        <f>SUM(Z178:AE178)</f>
        <v/>
      </c>
      <c r="R178" s="14">
        <f>IF(ISNUMBER(J178),J178,IF(ISNUMBER(K178),-K178,""))</f>
        <v/>
      </c>
      <c r="S178">
        <f>IF(ISNUMBER(K178),K178,IF(ISNUMBER(J178),-J178,""))</f>
        <v/>
      </c>
      <c r="T178" s="14">
        <f>IF(ISNUMBER(R178),IF(ISNUMBER(R179),IF(R178&gt;R179,1.0,IF(R178=R179,0.5,0.0)),""),"")</f>
        <v/>
      </c>
      <c r="U178">
        <f>IF(ISNUMBER(R178),IF(ISNUMBER(R180),IF(R178&gt;R180,1.0,IF(R178=R180,0.5,0.0)),""),"")</f>
        <v/>
      </c>
      <c r="V178">
        <f>IF(ISNUMBER(R178),IF(ISNUMBER(R181),IF(R178&gt;R181,1.0,IF(R178=R181,0.5,0.0)),""),"")</f>
        <v/>
      </c>
      <c r="W178">
        <f>IF(ISNUMBER(R178),IF(ISNUMBER(R182),IF(R178&gt;R182,1.0,IF(R178=R182,0.5,0.0)),""),"")</f>
        <v/>
      </c>
      <c r="X178">
        <f>IF(ISNUMBER(R178),IF(ISNUMBER(R183),IF(R178&gt;R183,1.0,IF(R178=R183,0.5,0.0)),""),"")</f>
        <v/>
      </c>
      <c r="Y178">
        <f>IF(ISNUMBER(R178),IF(ISNUMBER(R184),IF(R178&gt;R184,1.0,IF(R178=R184,0.5,0.0)),""),"")</f>
        <v/>
      </c>
      <c r="Z178">
        <f>IF(ISNUMBER(S178),IF(ISNUMBER(S179),IF(S178&gt;S179,1.0,IF(S178=S179,0.5,0.0)),""),"")</f>
        <v/>
      </c>
      <c r="AA178">
        <f>IF(ISNUMBER(S178),IF(ISNUMBER(S180),IF(S178&gt;S180,1.0,IF(S178=S180,0.5,0.0)),""),"")</f>
        <v/>
      </c>
      <c r="AB178">
        <f>IF(ISNUMBER(S178),IF(ISNUMBER(S181),IF(S178&gt;S181,1.0,IF(S178=S181,0.5,0.0)),""),"")</f>
        <v/>
      </c>
      <c r="AC178">
        <f>IF(ISNUMBER(S178),IF(ISNUMBER(S182),IF(S178&gt;S182,1.0,IF(S178=S182,0.5,0.0)),""),"")</f>
        <v/>
      </c>
      <c r="AD178">
        <f>IF(ISNUMBER(S178),IF(ISNUMBER(S183),IF(S178&gt;S183,1.0,IF(S178=S183,0.5,0.0)),""),"")</f>
        <v/>
      </c>
      <c r="AE178">
        <f>IF(ISNUMBER(S178),IF(ISNUMBER(S184),IF(S178&gt;S184,1.0,IF(S178=S184,0.5,0.0)),""),"")</f>
        <v/>
      </c>
      <c r="AF178" s="14">
        <f>IF(AND(ISNUMBER(R178),ISNUMBER(R179)),VLOOKUP(ABS(R178-R179),'IMP Table'!$A$2:$C$26,3)*SIGN(R178-R179),0)</f>
        <v/>
      </c>
      <c r="AG178">
        <f>IF(AND(ISNUMBER(R178),ISNUMBER(R180)),VLOOKUP(ABS(R178-R180),'IMP Table'!$A$2:$C$26,3)*SIGN(R178-R180),0)</f>
        <v/>
      </c>
      <c r="AH178">
        <f>IF(AND(ISNUMBER(R178),ISNUMBER(R181)),VLOOKUP(ABS(R178-R181),'IMP Table'!$A$2:$C$26,3)*SIGN(R178-R181),0)</f>
        <v/>
      </c>
      <c r="AI178">
        <f>IF(AND(ISNUMBER(R178),ISNUMBER(R182)),VLOOKUP(ABS(R178-R182),'IMP Table'!$A$2:$C$26,3)*SIGN(R178-R182),0)</f>
        <v/>
      </c>
      <c r="AJ178">
        <f>IF(AND(ISNUMBER(R178),ISNUMBER(R183)),VLOOKUP(ABS(R178-R183),'IMP Table'!$A$2:$C$26,3)*SIGN(R178-R183),0)</f>
        <v/>
      </c>
      <c r="AK178">
        <f>IF(AND(ISNUMBER(R178),ISNUMBER(R184)),VLOOKUP(ABS(R178-R184),'IMP Table'!$A$2:$C$26,3)*SIGN(R178-R184),0)</f>
        <v/>
      </c>
      <c r="AL178">
        <f>IF(AND(ISNUMBER(S178),ISNUMBER(S179)),VLOOKUP(ABS(S178-S179),'IMP Table'!$A$2:$C$26,3)*SIGN(S178-S179),0)</f>
        <v/>
      </c>
      <c r="AM178">
        <f>IF(AND(ISNUMBER(S178),ISNUMBER(S180)),VLOOKUP(ABS(S178-S180),'IMP Table'!$A$2:$C$26,3)*SIGN(S178-S180),0)</f>
        <v/>
      </c>
      <c r="AN178">
        <f>IF(AND(ISNUMBER(S178),ISNUMBER(S181)),VLOOKUP(ABS(S178-S181),'IMP Table'!$A$2:$C$26,3)*SIGN(S178-S181),0)</f>
        <v/>
      </c>
      <c r="AO178">
        <f>IF(AND(ISNUMBER(S178),ISNUMBER(S182)),VLOOKUP(ABS(S178-S182),'IMP Table'!$A$2:$C$26,3)*SIGN(S178-S182),0)</f>
        <v/>
      </c>
      <c r="AP178">
        <f>IF(AND(ISNUMBER(S178),ISNUMBER(S183)),VLOOKUP(ABS(S178-S183),'IMP Table'!$A$2:$C$26,3)*SIGN(S178-S183),0)</f>
        <v/>
      </c>
      <c r="AQ178">
        <f>IF(AND(ISNUMBER(S178),ISNUMBER(S184)),VLOOKUP(ABS(S178-S184),'IMP Table'!$A$2:$C$26,3)*SIGN(S178-S184),0)</f>
        <v/>
      </c>
    </row>
    <row r="179">
      <c r="B179">
        <f>'By Round'!A31</f>
        <v/>
      </c>
      <c r="C179">
        <f>'By Round'!B41</f>
        <v/>
      </c>
      <c r="D179">
        <f>'By Round'!C41</f>
        <v/>
      </c>
      <c r="E179">
        <f>'By Round'!D41</f>
        <v/>
      </c>
      <c r="F179" s="11" t="inlineStr">
        <is>
          <t>Both</t>
        </is>
      </c>
      <c r="G179">
        <f>IF(ISBLANK('By Round'!G41),"",'By Round'!G41)</f>
        <v/>
      </c>
      <c r="H179">
        <f>IF(ISBLANK('By Round'!H41),"",'By Round'!H41)</f>
        <v/>
      </c>
      <c r="I179">
        <f>IF(ISBLANK('By Round'!I41),"",'By Round'!I41)</f>
        <v/>
      </c>
      <c r="J179">
        <f>IF(ISBLANK('By Round'!J41),"",'By Round'!J41)</f>
        <v/>
      </c>
      <c r="K179">
        <f>IF(ISBLANK('By Round'!K41),"",'By Round'!K41)</f>
        <v/>
      </c>
      <c r="L179" s="12">
        <f>SUM(AF179:AK179)</f>
        <v/>
      </c>
      <c r="M179" s="13">
        <f>SUM(AL179:AQ179)</f>
        <v/>
      </c>
      <c r="N179" s="8">
        <f>IF(COUNT(T179:Y179)&gt;0,P179/COUNT(T179:Y179),0.5)</f>
        <v/>
      </c>
      <c r="O179" s="8">
        <f>IF(COUNT(Z179:AE179)&gt;0,Q179/COUNT(Z179:AE179),0.5)</f>
        <v/>
      </c>
      <c r="P179" s="5">
        <f>SUM(T179:Y179)</f>
        <v/>
      </c>
      <c r="Q179" s="5">
        <f>SUM(Z179:AE179)</f>
        <v/>
      </c>
      <c r="R179" s="14">
        <f>IF(ISNUMBER(J179),J179,IF(ISNUMBER(K179),-K179,""))</f>
        <v/>
      </c>
      <c r="S179">
        <f>IF(ISNUMBER(K179),K179,IF(ISNUMBER(J179),-J179,""))</f>
        <v/>
      </c>
      <c r="T179" s="14">
        <f>IF(ISNUMBER(R179),IF(ISNUMBER(R178),IF(R179&gt;R178,1.0,IF(R179=R178,0.5,0.0)),""),"")</f>
        <v/>
      </c>
      <c r="U179">
        <f>IF(ISNUMBER(R179),IF(ISNUMBER(R180),IF(R179&gt;R180,1.0,IF(R179=R180,0.5,0.0)),""),"")</f>
        <v/>
      </c>
      <c r="V179">
        <f>IF(ISNUMBER(R179),IF(ISNUMBER(R181),IF(R179&gt;R181,1.0,IF(R179=R181,0.5,0.0)),""),"")</f>
        <v/>
      </c>
      <c r="W179">
        <f>IF(ISNUMBER(R179),IF(ISNUMBER(R182),IF(R179&gt;R182,1.0,IF(R179=R182,0.5,0.0)),""),"")</f>
        <v/>
      </c>
      <c r="X179">
        <f>IF(ISNUMBER(R179),IF(ISNUMBER(R183),IF(R179&gt;R183,1.0,IF(R179=R183,0.5,0.0)),""),"")</f>
        <v/>
      </c>
      <c r="Y179">
        <f>IF(ISNUMBER(R179),IF(ISNUMBER(R184),IF(R179&gt;R184,1.0,IF(R179=R184,0.5,0.0)),""),"")</f>
        <v/>
      </c>
      <c r="Z179">
        <f>IF(ISNUMBER(S179),IF(ISNUMBER(S178),IF(S179&gt;S178,1.0,IF(S179=S178,0.5,0.0)),""),"")</f>
        <v/>
      </c>
      <c r="AA179">
        <f>IF(ISNUMBER(S179),IF(ISNUMBER(S180),IF(S179&gt;S180,1.0,IF(S179=S180,0.5,0.0)),""),"")</f>
        <v/>
      </c>
      <c r="AB179">
        <f>IF(ISNUMBER(S179),IF(ISNUMBER(S181),IF(S179&gt;S181,1.0,IF(S179=S181,0.5,0.0)),""),"")</f>
        <v/>
      </c>
      <c r="AC179">
        <f>IF(ISNUMBER(S179),IF(ISNUMBER(S182),IF(S179&gt;S182,1.0,IF(S179=S182,0.5,0.0)),""),"")</f>
        <v/>
      </c>
      <c r="AD179">
        <f>IF(ISNUMBER(S179),IF(ISNUMBER(S183),IF(S179&gt;S183,1.0,IF(S179=S183,0.5,0.0)),""),"")</f>
        <v/>
      </c>
      <c r="AE179">
        <f>IF(ISNUMBER(S179),IF(ISNUMBER(S184),IF(S179&gt;S184,1.0,IF(S179=S184,0.5,0.0)),""),"")</f>
        <v/>
      </c>
      <c r="AF179" s="14">
        <f>IF(AND(ISNUMBER(R179),ISNUMBER(R178)),VLOOKUP(ABS(R179-R178),'IMP Table'!$A$2:$C$26,3)*SIGN(R179-R178),0)</f>
        <v/>
      </c>
      <c r="AG179">
        <f>IF(AND(ISNUMBER(R179),ISNUMBER(R180)),VLOOKUP(ABS(R179-R180),'IMP Table'!$A$2:$C$26,3)*SIGN(R179-R180),0)</f>
        <v/>
      </c>
      <c r="AH179">
        <f>IF(AND(ISNUMBER(R179),ISNUMBER(R181)),VLOOKUP(ABS(R179-R181),'IMP Table'!$A$2:$C$26,3)*SIGN(R179-R181),0)</f>
        <v/>
      </c>
      <c r="AI179">
        <f>IF(AND(ISNUMBER(R179),ISNUMBER(R182)),VLOOKUP(ABS(R179-R182),'IMP Table'!$A$2:$C$26,3)*SIGN(R179-R182),0)</f>
        <v/>
      </c>
      <c r="AJ179">
        <f>IF(AND(ISNUMBER(R179),ISNUMBER(R183)),VLOOKUP(ABS(R179-R183),'IMP Table'!$A$2:$C$26,3)*SIGN(R179-R183),0)</f>
        <v/>
      </c>
      <c r="AK179">
        <f>IF(AND(ISNUMBER(R179),ISNUMBER(R184)),VLOOKUP(ABS(R179-R184),'IMP Table'!$A$2:$C$26,3)*SIGN(R179-R184),0)</f>
        <v/>
      </c>
      <c r="AL179">
        <f>IF(AND(ISNUMBER(S179),ISNUMBER(S178)),VLOOKUP(ABS(S179-S178),'IMP Table'!$A$2:$C$26,3)*SIGN(S179-S178),0)</f>
        <v/>
      </c>
      <c r="AM179">
        <f>IF(AND(ISNUMBER(S179),ISNUMBER(S180)),VLOOKUP(ABS(S179-S180),'IMP Table'!$A$2:$C$26,3)*SIGN(S179-S180),0)</f>
        <v/>
      </c>
      <c r="AN179">
        <f>IF(AND(ISNUMBER(S179),ISNUMBER(S181)),VLOOKUP(ABS(S179-S181),'IMP Table'!$A$2:$C$26,3)*SIGN(S179-S181),0)</f>
        <v/>
      </c>
      <c r="AO179">
        <f>IF(AND(ISNUMBER(S179),ISNUMBER(S182)),VLOOKUP(ABS(S179-S182),'IMP Table'!$A$2:$C$26,3)*SIGN(S179-S182),0)</f>
        <v/>
      </c>
      <c r="AP179">
        <f>IF(AND(ISNUMBER(S179),ISNUMBER(S183)),VLOOKUP(ABS(S179-S183),'IMP Table'!$A$2:$C$26,3)*SIGN(S179-S183),0)</f>
        <v/>
      </c>
      <c r="AQ179">
        <f>IF(AND(ISNUMBER(S179),ISNUMBER(S184)),VLOOKUP(ABS(S179-S184),'IMP Table'!$A$2:$C$26,3)*SIGN(S179-S184),0)</f>
        <v/>
      </c>
    </row>
    <row r="180">
      <c r="B180">
        <f>'By Round'!A45</f>
        <v/>
      </c>
      <c r="C180">
        <f>'By Round'!B53</f>
        <v/>
      </c>
      <c r="D180">
        <f>'By Round'!C53</f>
        <v/>
      </c>
      <c r="E180">
        <f>'By Round'!D53</f>
        <v/>
      </c>
      <c r="F180" s="11" t="inlineStr">
        <is>
          <t>Both</t>
        </is>
      </c>
      <c r="G180">
        <f>IF(ISBLANK('By Round'!G53),"",'By Round'!G53)</f>
        <v/>
      </c>
      <c r="H180">
        <f>IF(ISBLANK('By Round'!H53),"",'By Round'!H53)</f>
        <v/>
      </c>
      <c r="I180">
        <f>IF(ISBLANK('By Round'!I53),"",'By Round'!I53)</f>
        <v/>
      </c>
      <c r="J180">
        <f>IF(ISBLANK('By Round'!J53),"",'By Round'!J53)</f>
        <v/>
      </c>
      <c r="K180">
        <f>IF(ISBLANK('By Round'!K53),"",'By Round'!K53)</f>
        <v/>
      </c>
      <c r="L180" s="12">
        <f>SUM(AF180:AK180)</f>
        <v/>
      </c>
      <c r="M180" s="13">
        <f>SUM(AL180:AQ180)</f>
        <v/>
      </c>
      <c r="N180" s="8">
        <f>IF(COUNT(T180:Y180)&gt;0,P180/COUNT(T180:Y180),0.5)</f>
        <v/>
      </c>
      <c r="O180" s="8">
        <f>IF(COUNT(Z180:AE180)&gt;0,Q180/COUNT(Z180:AE180),0.5)</f>
        <v/>
      </c>
      <c r="P180" s="5">
        <f>SUM(T180:Y180)</f>
        <v/>
      </c>
      <c r="Q180" s="5">
        <f>SUM(Z180:AE180)</f>
        <v/>
      </c>
      <c r="R180" s="14">
        <f>IF(ISNUMBER(J180),J180,IF(ISNUMBER(K180),-K180,""))</f>
        <v/>
      </c>
      <c r="S180">
        <f>IF(ISNUMBER(K180),K180,IF(ISNUMBER(J180),-J180,""))</f>
        <v/>
      </c>
      <c r="T180" s="14">
        <f>IF(ISNUMBER(R180),IF(ISNUMBER(R178),IF(R180&gt;R178,1.0,IF(R180=R178,0.5,0.0)),""),"")</f>
        <v/>
      </c>
      <c r="U180">
        <f>IF(ISNUMBER(R180),IF(ISNUMBER(R179),IF(R180&gt;R179,1.0,IF(R180=R179,0.5,0.0)),""),"")</f>
        <v/>
      </c>
      <c r="V180">
        <f>IF(ISNUMBER(R180),IF(ISNUMBER(R181),IF(R180&gt;R181,1.0,IF(R180=R181,0.5,0.0)),""),"")</f>
        <v/>
      </c>
      <c r="W180">
        <f>IF(ISNUMBER(R180),IF(ISNUMBER(R182),IF(R180&gt;R182,1.0,IF(R180=R182,0.5,0.0)),""),"")</f>
        <v/>
      </c>
      <c r="X180">
        <f>IF(ISNUMBER(R180),IF(ISNUMBER(R183),IF(R180&gt;R183,1.0,IF(R180=R183,0.5,0.0)),""),"")</f>
        <v/>
      </c>
      <c r="Y180">
        <f>IF(ISNUMBER(R180),IF(ISNUMBER(R184),IF(R180&gt;R184,1.0,IF(R180=R184,0.5,0.0)),""),"")</f>
        <v/>
      </c>
      <c r="Z180">
        <f>IF(ISNUMBER(S180),IF(ISNUMBER(S178),IF(S180&gt;S178,1.0,IF(S180=S178,0.5,0.0)),""),"")</f>
        <v/>
      </c>
      <c r="AA180">
        <f>IF(ISNUMBER(S180),IF(ISNUMBER(S179),IF(S180&gt;S179,1.0,IF(S180=S179,0.5,0.0)),""),"")</f>
        <v/>
      </c>
      <c r="AB180">
        <f>IF(ISNUMBER(S180),IF(ISNUMBER(S181),IF(S180&gt;S181,1.0,IF(S180=S181,0.5,0.0)),""),"")</f>
        <v/>
      </c>
      <c r="AC180">
        <f>IF(ISNUMBER(S180),IF(ISNUMBER(S182),IF(S180&gt;S182,1.0,IF(S180=S182,0.5,0.0)),""),"")</f>
        <v/>
      </c>
      <c r="AD180">
        <f>IF(ISNUMBER(S180),IF(ISNUMBER(S183),IF(S180&gt;S183,1.0,IF(S180=S183,0.5,0.0)),""),"")</f>
        <v/>
      </c>
      <c r="AE180">
        <f>IF(ISNUMBER(S180),IF(ISNUMBER(S184),IF(S180&gt;S184,1.0,IF(S180=S184,0.5,0.0)),""),"")</f>
        <v/>
      </c>
      <c r="AF180" s="14">
        <f>IF(AND(ISNUMBER(R180),ISNUMBER(R178)),VLOOKUP(ABS(R180-R178),'IMP Table'!$A$2:$C$26,3)*SIGN(R180-R178),0)</f>
        <v/>
      </c>
      <c r="AG180">
        <f>IF(AND(ISNUMBER(R180),ISNUMBER(R179)),VLOOKUP(ABS(R180-R179),'IMP Table'!$A$2:$C$26,3)*SIGN(R180-R179),0)</f>
        <v/>
      </c>
      <c r="AH180">
        <f>IF(AND(ISNUMBER(R180),ISNUMBER(R181)),VLOOKUP(ABS(R180-R181),'IMP Table'!$A$2:$C$26,3)*SIGN(R180-R181),0)</f>
        <v/>
      </c>
      <c r="AI180">
        <f>IF(AND(ISNUMBER(R180),ISNUMBER(R182)),VLOOKUP(ABS(R180-R182),'IMP Table'!$A$2:$C$26,3)*SIGN(R180-R182),0)</f>
        <v/>
      </c>
      <c r="AJ180">
        <f>IF(AND(ISNUMBER(R180),ISNUMBER(R183)),VLOOKUP(ABS(R180-R183),'IMP Table'!$A$2:$C$26,3)*SIGN(R180-R183),0)</f>
        <v/>
      </c>
      <c r="AK180">
        <f>IF(AND(ISNUMBER(R180),ISNUMBER(R184)),VLOOKUP(ABS(R180-R184),'IMP Table'!$A$2:$C$26,3)*SIGN(R180-R184),0)</f>
        <v/>
      </c>
      <c r="AL180">
        <f>IF(AND(ISNUMBER(S180),ISNUMBER(S178)),VLOOKUP(ABS(S180-S178),'IMP Table'!$A$2:$C$26,3)*SIGN(S180-S178),0)</f>
        <v/>
      </c>
      <c r="AM180">
        <f>IF(AND(ISNUMBER(S180),ISNUMBER(S179)),VLOOKUP(ABS(S180-S179),'IMP Table'!$A$2:$C$26,3)*SIGN(S180-S179),0)</f>
        <v/>
      </c>
      <c r="AN180">
        <f>IF(AND(ISNUMBER(S180),ISNUMBER(S181)),VLOOKUP(ABS(S180-S181),'IMP Table'!$A$2:$C$26,3)*SIGN(S180-S181),0)</f>
        <v/>
      </c>
      <c r="AO180">
        <f>IF(AND(ISNUMBER(S180),ISNUMBER(S182)),VLOOKUP(ABS(S180-S182),'IMP Table'!$A$2:$C$26,3)*SIGN(S180-S182),0)</f>
        <v/>
      </c>
      <c r="AP180">
        <f>IF(AND(ISNUMBER(S180),ISNUMBER(S183)),VLOOKUP(ABS(S180-S183),'IMP Table'!$A$2:$C$26,3)*SIGN(S180-S183),0)</f>
        <v/>
      </c>
      <c r="AQ180">
        <f>IF(AND(ISNUMBER(S180),ISNUMBER(S184)),VLOOKUP(ABS(S180-S184),'IMP Table'!$A$2:$C$26,3)*SIGN(S180-S184),0)</f>
        <v/>
      </c>
    </row>
    <row r="181">
      <c r="B181">
        <f>'By Round'!A115</f>
        <v/>
      </c>
      <c r="C181">
        <f>'By Round'!B121</f>
        <v/>
      </c>
      <c r="D181">
        <f>'By Round'!C121</f>
        <v/>
      </c>
      <c r="E181">
        <f>'By Round'!D121</f>
        <v/>
      </c>
      <c r="F181" s="11" t="inlineStr">
        <is>
          <t>Both</t>
        </is>
      </c>
      <c r="G181">
        <f>IF(ISBLANK('By Round'!G121),"",'By Round'!G121)</f>
        <v/>
      </c>
      <c r="H181">
        <f>IF(ISBLANK('By Round'!H121),"",'By Round'!H121)</f>
        <v/>
      </c>
      <c r="I181">
        <f>IF(ISBLANK('By Round'!I121),"",'By Round'!I121)</f>
        <v/>
      </c>
      <c r="J181">
        <f>IF(ISBLANK('By Round'!J121),"",'By Round'!J121)</f>
        <v/>
      </c>
      <c r="K181">
        <f>IF(ISBLANK('By Round'!K121),"",'By Round'!K121)</f>
        <v/>
      </c>
      <c r="L181" s="12">
        <f>SUM(AF181:AK181)</f>
        <v/>
      </c>
      <c r="M181" s="13">
        <f>SUM(AL181:AQ181)</f>
        <v/>
      </c>
      <c r="N181" s="8">
        <f>IF(COUNT(T181:Y181)&gt;0,P181/COUNT(T181:Y181),0.5)</f>
        <v/>
      </c>
      <c r="O181" s="8">
        <f>IF(COUNT(Z181:AE181)&gt;0,Q181/COUNT(Z181:AE181),0.5)</f>
        <v/>
      </c>
      <c r="P181" s="5">
        <f>SUM(T181:Y181)</f>
        <v/>
      </c>
      <c r="Q181" s="5">
        <f>SUM(Z181:AE181)</f>
        <v/>
      </c>
      <c r="R181" s="14">
        <f>IF(ISNUMBER(J181),J181,IF(ISNUMBER(K181),-K181,""))</f>
        <v/>
      </c>
      <c r="S181">
        <f>IF(ISNUMBER(K181),K181,IF(ISNUMBER(J181),-J181,""))</f>
        <v/>
      </c>
      <c r="T181" s="14">
        <f>IF(ISNUMBER(R181),IF(ISNUMBER(R178),IF(R181&gt;R178,1.0,IF(R181=R178,0.5,0.0)),""),"")</f>
        <v/>
      </c>
      <c r="U181">
        <f>IF(ISNUMBER(R181),IF(ISNUMBER(R179),IF(R181&gt;R179,1.0,IF(R181=R179,0.5,0.0)),""),"")</f>
        <v/>
      </c>
      <c r="V181">
        <f>IF(ISNUMBER(R181),IF(ISNUMBER(R180),IF(R181&gt;R180,1.0,IF(R181=R180,0.5,0.0)),""),"")</f>
        <v/>
      </c>
      <c r="W181">
        <f>IF(ISNUMBER(R181),IF(ISNUMBER(R182),IF(R181&gt;R182,1.0,IF(R181=R182,0.5,0.0)),""),"")</f>
        <v/>
      </c>
      <c r="X181">
        <f>IF(ISNUMBER(R181),IF(ISNUMBER(R183),IF(R181&gt;R183,1.0,IF(R181=R183,0.5,0.0)),""),"")</f>
        <v/>
      </c>
      <c r="Y181">
        <f>IF(ISNUMBER(R181),IF(ISNUMBER(R184),IF(R181&gt;R184,1.0,IF(R181=R184,0.5,0.0)),""),"")</f>
        <v/>
      </c>
      <c r="Z181">
        <f>IF(ISNUMBER(S181),IF(ISNUMBER(S178),IF(S181&gt;S178,1.0,IF(S181=S178,0.5,0.0)),""),"")</f>
        <v/>
      </c>
      <c r="AA181">
        <f>IF(ISNUMBER(S181),IF(ISNUMBER(S179),IF(S181&gt;S179,1.0,IF(S181=S179,0.5,0.0)),""),"")</f>
        <v/>
      </c>
      <c r="AB181">
        <f>IF(ISNUMBER(S181),IF(ISNUMBER(S180),IF(S181&gt;S180,1.0,IF(S181=S180,0.5,0.0)),""),"")</f>
        <v/>
      </c>
      <c r="AC181">
        <f>IF(ISNUMBER(S181),IF(ISNUMBER(S182),IF(S181&gt;S182,1.0,IF(S181=S182,0.5,0.0)),""),"")</f>
        <v/>
      </c>
      <c r="AD181">
        <f>IF(ISNUMBER(S181),IF(ISNUMBER(S183),IF(S181&gt;S183,1.0,IF(S181=S183,0.5,0.0)),""),"")</f>
        <v/>
      </c>
      <c r="AE181">
        <f>IF(ISNUMBER(S181),IF(ISNUMBER(S184),IF(S181&gt;S184,1.0,IF(S181=S184,0.5,0.0)),""),"")</f>
        <v/>
      </c>
      <c r="AF181" s="14">
        <f>IF(AND(ISNUMBER(R181),ISNUMBER(R178)),VLOOKUP(ABS(R181-R178),'IMP Table'!$A$2:$C$26,3)*SIGN(R181-R178),0)</f>
        <v/>
      </c>
      <c r="AG181">
        <f>IF(AND(ISNUMBER(R181),ISNUMBER(R179)),VLOOKUP(ABS(R181-R179),'IMP Table'!$A$2:$C$26,3)*SIGN(R181-R179),0)</f>
        <v/>
      </c>
      <c r="AH181">
        <f>IF(AND(ISNUMBER(R181),ISNUMBER(R180)),VLOOKUP(ABS(R181-R180),'IMP Table'!$A$2:$C$26,3)*SIGN(R181-R180),0)</f>
        <v/>
      </c>
      <c r="AI181">
        <f>IF(AND(ISNUMBER(R181),ISNUMBER(R182)),VLOOKUP(ABS(R181-R182),'IMP Table'!$A$2:$C$26,3)*SIGN(R181-R182),0)</f>
        <v/>
      </c>
      <c r="AJ181">
        <f>IF(AND(ISNUMBER(R181),ISNUMBER(R183)),VLOOKUP(ABS(R181-R183),'IMP Table'!$A$2:$C$26,3)*SIGN(R181-R183),0)</f>
        <v/>
      </c>
      <c r="AK181">
        <f>IF(AND(ISNUMBER(R181),ISNUMBER(R184)),VLOOKUP(ABS(R181-R184),'IMP Table'!$A$2:$C$26,3)*SIGN(R181-R184),0)</f>
        <v/>
      </c>
      <c r="AL181">
        <f>IF(AND(ISNUMBER(S181),ISNUMBER(S178)),VLOOKUP(ABS(S181-S178),'IMP Table'!$A$2:$C$26,3)*SIGN(S181-S178),0)</f>
        <v/>
      </c>
      <c r="AM181">
        <f>IF(AND(ISNUMBER(S181),ISNUMBER(S179)),VLOOKUP(ABS(S181-S179),'IMP Table'!$A$2:$C$26,3)*SIGN(S181-S179),0)</f>
        <v/>
      </c>
      <c r="AN181">
        <f>IF(AND(ISNUMBER(S181),ISNUMBER(S180)),VLOOKUP(ABS(S181-S180),'IMP Table'!$A$2:$C$26,3)*SIGN(S181-S180),0)</f>
        <v/>
      </c>
      <c r="AO181">
        <f>IF(AND(ISNUMBER(S181),ISNUMBER(S182)),VLOOKUP(ABS(S181-S182),'IMP Table'!$A$2:$C$26,3)*SIGN(S181-S182),0)</f>
        <v/>
      </c>
      <c r="AP181">
        <f>IF(AND(ISNUMBER(S181),ISNUMBER(S183)),VLOOKUP(ABS(S181-S183),'IMP Table'!$A$2:$C$26,3)*SIGN(S181-S183),0)</f>
        <v/>
      </c>
      <c r="AQ181">
        <f>IF(AND(ISNUMBER(S181),ISNUMBER(S184)),VLOOKUP(ABS(S181-S184),'IMP Table'!$A$2:$C$26,3)*SIGN(S181-S184),0)</f>
        <v/>
      </c>
    </row>
    <row r="182">
      <c r="B182">
        <f>'By Round'!A129</f>
        <v/>
      </c>
      <c r="C182">
        <f>'By Round'!B133</f>
        <v/>
      </c>
      <c r="D182">
        <f>'By Round'!C133</f>
        <v/>
      </c>
      <c r="E182">
        <f>'By Round'!D133</f>
        <v/>
      </c>
      <c r="F182" s="11" t="inlineStr">
        <is>
          <t>Both</t>
        </is>
      </c>
      <c r="G182">
        <f>IF(ISBLANK('By Round'!G133),"",'By Round'!G133)</f>
        <v/>
      </c>
      <c r="H182">
        <f>IF(ISBLANK('By Round'!H133),"",'By Round'!H133)</f>
        <v/>
      </c>
      <c r="I182">
        <f>IF(ISBLANK('By Round'!I133),"",'By Round'!I133)</f>
        <v/>
      </c>
      <c r="J182">
        <f>IF(ISBLANK('By Round'!J133),"",'By Round'!J133)</f>
        <v/>
      </c>
      <c r="K182">
        <f>IF(ISBLANK('By Round'!K133),"",'By Round'!K133)</f>
        <v/>
      </c>
      <c r="L182" s="12">
        <f>SUM(AF182:AK182)</f>
        <v/>
      </c>
      <c r="M182" s="13">
        <f>SUM(AL182:AQ182)</f>
        <v/>
      </c>
      <c r="N182" s="8">
        <f>IF(COUNT(T182:Y182)&gt;0,P182/COUNT(T182:Y182),0.5)</f>
        <v/>
      </c>
      <c r="O182" s="8">
        <f>IF(COUNT(Z182:AE182)&gt;0,Q182/COUNT(Z182:AE182),0.5)</f>
        <v/>
      </c>
      <c r="P182" s="5">
        <f>SUM(T182:Y182)</f>
        <v/>
      </c>
      <c r="Q182" s="5">
        <f>SUM(Z182:AE182)</f>
        <v/>
      </c>
      <c r="R182" s="14">
        <f>IF(ISNUMBER(J182),J182,IF(ISNUMBER(K182),-K182,""))</f>
        <v/>
      </c>
      <c r="S182">
        <f>IF(ISNUMBER(K182),K182,IF(ISNUMBER(J182),-J182,""))</f>
        <v/>
      </c>
      <c r="T182" s="14">
        <f>IF(ISNUMBER(R182),IF(ISNUMBER(R178),IF(R182&gt;R178,1.0,IF(R182=R178,0.5,0.0)),""),"")</f>
        <v/>
      </c>
      <c r="U182">
        <f>IF(ISNUMBER(R182),IF(ISNUMBER(R179),IF(R182&gt;R179,1.0,IF(R182=R179,0.5,0.0)),""),"")</f>
        <v/>
      </c>
      <c r="V182">
        <f>IF(ISNUMBER(R182),IF(ISNUMBER(R180),IF(R182&gt;R180,1.0,IF(R182=R180,0.5,0.0)),""),"")</f>
        <v/>
      </c>
      <c r="W182">
        <f>IF(ISNUMBER(R182),IF(ISNUMBER(R181),IF(R182&gt;R181,1.0,IF(R182=R181,0.5,0.0)),""),"")</f>
        <v/>
      </c>
      <c r="X182">
        <f>IF(ISNUMBER(R182),IF(ISNUMBER(R183),IF(R182&gt;R183,1.0,IF(R182=R183,0.5,0.0)),""),"")</f>
        <v/>
      </c>
      <c r="Y182">
        <f>IF(ISNUMBER(R182),IF(ISNUMBER(R184),IF(R182&gt;R184,1.0,IF(R182=R184,0.5,0.0)),""),"")</f>
        <v/>
      </c>
      <c r="Z182">
        <f>IF(ISNUMBER(S182),IF(ISNUMBER(S178),IF(S182&gt;S178,1.0,IF(S182=S178,0.5,0.0)),""),"")</f>
        <v/>
      </c>
      <c r="AA182">
        <f>IF(ISNUMBER(S182),IF(ISNUMBER(S179),IF(S182&gt;S179,1.0,IF(S182=S179,0.5,0.0)),""),"")</f>
        <v/>
      </c>
      <c r="AB182">
        <f>IF(ISNUMBER(S182),IF(ISNUMBER(S180),IF(S182&gt;S180,1.0,IF(S182=S180,0.5,0.0)),""),"")</f>
        <v/>
      </c>
      <c r="AC182">
        <f>IF(ISNUMBER(S182),IF(ISNUMBER(S181),IF(S182&gt;S181,1.0,IF(S182=S181,0.5,0.0)),""),"")</f>
        <v/>
      </c>
      <c r="AD182">
        <f>IF(ISNUMBER(S182),IF(ISNUMBER(S183),IF(S182&gt;S183,1.0,IF(S182=S183,0.5,0.0)),""),"")</f>
        <v/>
      </c>
      <c r="AE182">
        <f>IF(ISNUMBER(S182),IF(ISNUMBER(S184),IF(S182&gt;S184,1.0,IF(S182=S184,0.5,0.0)),""),"")</f>
        <v/>
      </c>
      <c r="AF182" s="14">
        <f>IF(AND(ISNUMBER(R182),ISNUMBER(R178)),VLOOKUP(ABS(R182-R178),'IMP Table'!$A$2:$C$26,3)*SIGN(R182-R178),0)</f>
        <v/>
      </c>
      <c r="AG182">
        <f>IF(AND(ISNUMBER(R182),ISNUMBER(R179)),VLOOKUP(ABS(R182-R179),'IMP Table'!$A$2:$C$26,3)*SIGN(R182-R179),0)</f>
        <v/>
      </c>
      <c r="AH182">
        <f>IF(AND(ISNUMBER(R182),ISNUMBER(R180)),VLOOKUP(ABS(R182-R180),'IMP Table'!$A$2:$C$26,3)*SIGN(R182-R180),0)</f>
        <v/>
      </c>
      <c r="AI182">
        <f>IF(AND(ISNUMBER(R182),ISNUMBER(R181)),VLOOKUP(ABS(R182-R181),'IMP Table'!$A$2:$C$26,3)*SIGN(R182-R181),0)</f>
        <v/>
      </c>
      <c r="AJ182">
        <f>IF(AND(ISNUMBER(R182),ISNUMBER(R183)),VLOOKUP(ABS(R182-R183),'IMP Table'!$A$2:$C$26,3)*SIGN(R182-R183),0)</f>
        <v/>
      </c>
      <c r="AK182">
        <f>IF(AND(ISNUMBER(R182),ISNUMBER(R184)),VLOOKUP(ABS(R182-R184),'IMP Table'!$A$2:$C$26,3)*SIGN(R182-R184),0)</f>
        <v/>
      </c>
      <c r="AL182">
        <f>IF(AND(ISNUMBER(S182),ISNUMBER(S178)),VLOOKUP(ABS(S182-S178),'IMP Table'!$A$2:$C$26,3)*SIGN(S182-S178),0)</f>
        <v/>
      </c>
      <c r="AM182">
        <f>IF(AND(ISNUMBER(S182),ISNUMBER(S179)),VLOOKUP(ABS(S182-S179),'IMP Table'!$A$2:$C$26,3)*SIGN(S182-S179),0)</f>
        <v/>
      </c>
      <c r="AN182">
        <f>IF(AND(ISNUMBER(S182),ISNUMBER(S180)),VLOOKUP(ABS(S182-S180),'IMP Table'!$A$2:$C$26,3)*SIGN(S182-S180),0)</f>
        <v/>
      </c>
      <c r="AO182">
        <f>IF(AND(ISNUMBER(S182),ISNUMBER(S181)),VLOOKUP(ABS(S182-S181),'IMP Table'!$A$2:$C$26,3)*SIGN(S182-S181),0)</f>
        <v/>
      </c>
      <c r="AP182">
        <f>IF(AND(ISNUMBER(S182),ISNUMBER(S183)),VLOOKUP(ABS(S182-S183),'IMP Table'!$A$2:$C$26,3)*SIGN(S182-S183),0)</f>
        <v/>
      </c>
      <c r="AQ182">
        <f>IF(AND(ISNUMBER(S182),ISNUMBER(S184)),VLOOKUP(ABS(S182-S184),'IMP Table'!$A$2:$C$26,3)*SIGN(S182-S184),0)</f>
        <v/>
      </c>
    </row>
    <row r="183">
      <c r="B183">
        <f>'By Round'!A143</f>
        <v/>
      </c>
      <c r="C183">
        <f>'By Round'!B145</f>
        <v/>
      </c>
      <c r="D183">
        <f>'By Round'!C145</f>
        <v/>
      </c>
      <c r="E183">
        <f>'By Round'!D145</f>
        <v/>
      </c>
      <c r="F183" s="11" t="inlineStr">
        <is>
          <t>Both</t>
        </is>
      </c>
      <c r="G183">
        <f>IF(ISBLANK('By Round'!G145),"",'By Round'!G145)</f>
        <v/>
      </c>
      <c r="H183">
        <f>IF(ISBLANK('By Round'!H145),"",'By Round'!H145)</f>
        <v/>
      </c>
      <c r="I183">
        <f>IF(ISBLANK('By Round'!I145),"",'By Round'!I145)</f>
        <v/>
      </c>
      <c r="J183">
        <f>IF(ISBLANK('By Round'!J145),"",'By Round'!J145)</f>
        <v/>
      </c>
      <c r="K183">
        <f>IF(ISBLANK('By Round'!K145),"",'By Round'!K145)</f>
        <v/>
      </c>
      <c r="L183" s="12">
        <f>SUM(AF183:AK183)</f>
        <v/>
      </c>
      <c r="M183" s="13">
        <f>SUM(AL183:AQ183)</f>
        <v/>
      </c>
      <c r="N183" s="8">
        <f>IF(COUNT(T183:Y183)&gt;0,P183/COUNT(T183:Y183),0.5)</f>
        <v/>
      </c>
      <c r="O183" s="8">
        <f>IF(COUNT(Z183:AE183)&gt;0,Q183/COUNT(Z183:AE183),0.5)</f>
        <v/>
      </c>
      <c r="P183" s="5">
        <f>SUM(T183:Y183)</f>
        <v/>
      </c>
      <c r="Q183" s="5">
        <f>SUM(Z183:AE183)</f>
        <v/>
      </c>
      <c r="R183" s="14">
        <f>IF(ISNUMBER(J183),J183,IF(ISNUMBER(K183),-K183,""))</f>
        <v/>
      </c>
      <c r="S183">
        <f>IF(ISNUMBER(K183),K183,IF(ISNUMBER(J183),-J183,""))</f>
        <v/>
      </c>
      <c r="T183" s="14">
        <f>IF(ISNUMBER(R183),IF(ISNUMBER(R178),IF(R183&gt;R178,1.0,IF(R183=R178,0.5,0.0)),""),"")</f>
        <v/>
      </c>
      <c r="U183">
        <f>IF(ISNUMBER(R183),IF(ISNUMBER(R179),IF(R183&gt;R179,1.0,IF(R183=R179,0.5,0.0)),""),"")</f>
        <v/>
      </c>
      <c r="V183">
        <f>IF(ISNUMBER(R183),IF(ISNUMBER(R180),IF(R183&gt;R180,1.0,IF(R183=R180,0.5,0.0)),""),"")</f>
        <v/>
      </c>
      <c r="W183">
        <f>IF(ISNUMBER(R183),IF(ISNUMBER(R181),IF(R183&gt;R181,1.0,IF(R183=R181,0.5,0.0)),""),"")</f>
        <v/>
      </c>
      <c r="X183">
        <f>IF(ISNUMBER(R183),IF(ISNUMBER(R182),IF(R183&gt;R182,1.0,IF(R183=R182,0.5,0.0)),""),"")</f>
        <v/>
      </c>
      <c r="Y183">
        <f>IF(ISNUMBER(R183),IF(ISNUMBER(R184),IF(R183&gt;R184,1.0,IF(R183=R184,0.5,0.0)),""),"")</f>
        <v/>
      </c>
      <c r="Z183">
        <f>IF(ISNUMBER(S183),IF(ISNUMBER(S178),IF(S183&gt;S178,1.0,IF(S183=S178,0.5,0.0)),""),"")</f>
        <v/>
      </c>
      <c r="AA183">
        <f>IF(ISNUMBER(S183),IF(ISNUMBER(S179),IF(S183&gt;S179,1.0,IF(S183=S179,0.5,0.0)),""),"")</f>
        <v/>
      </c>
      <c r="AB183">
        <f>IF(ISNUMBER(S183),IF(ISNUMBER(S180),IF(S183&gt;S180,1.0,IF(S183=S180,0.5,0.0)),""),"")</f>
        <v/>
      </c>
      <c r="AC183">
        <f>IF(ISNUMBER(S183),IF(ISNUMBER(S181),IF(S183&gt;S181,1.0,IF(S183=S181,0.5,0.0)),""),"")</f>
        <v/>
      </c>
      <c r="AD183">
        <f>IF(ISNUMBER(S183),IF(ISNUMBER(S182),IF(S183&gt;S182,1.0,IF(S183=S182,0.5,0.0)),""),"")</f>
        <v/>
      </c>
      <c r="AE183">
        <f>IF(ISNUMBER(S183),IF(ISNUMBER(S184),IF(S183&gt;S184,1.0,IF(S183=S184,0.5,0.0)),""),"")</f>
        <v/>
      </c>
      <c r="AF183" s="14">
        <f>IF(AND(ISNUMBER(R183),ISNUMBER(R178)),VLOOKUP(ABS(R183-R178),'IMP Table'!$A$2:$C$26,3)*SIGN(R183-R178),0)</f>
        <v/>
      </c>
      <c r="AG183">
        <f>IF(AND(ISNUMBER(R183),ISNUMBER(R179)),VLOOKUP(ABS(R183-R179),'IMP Table'!$A$2:$C$26,3)*SIGN(R183-R179),0)</f>
        <v/>
      </c>
      <c r="AH183">
        <f>IF(AND(ISNUMBER(R183),ISNUMBER(R180)),VLOOKUP(ABS(R183-R180),'IMP Table'!$A$2:$C$26,3)*SIGN(R183-R180),0)</f>
        <v/>
      </c>
      <c r="AI183">
        <f>IF(AND(ISNUMBER(R183),ISNUMBER(R181)),VLOOKUP(ABS(R183-R181),'IMP Table'!$A$2:$C$26,3)*SIGN(R183-R181),0)</f>
        <v/>
      </c>
      <c r="AJ183">
        <f>IF(AND(ISNUMBER(R183),ISNUMBER(R182)),VLOOKUP(ABS(R183-R182),'IMP Table'!$A$2:$C$26,3)*SIGN(R183-R182),0)</f>
        <v/>
      </c>
      <c r="AK183">
        <f>IF(AND(ISNUMBER(R183),ISNUMBER(R184)),VLOOKUP(ABS(R183-R184),'IMP Table'!$A$2:$C$26,3)*SIGN(R183-R184),0)</f>
        <v/>
      </c>
      <c r="AL183">
        <f>IF(AND(ISNUMBER(S183),ISNUMBER(S178)),VLOOKUP(ABS(S183-S178),'IMP Table'!$A$2:$C$26,3)*SIGN(S183-S178),0)</f>
        <v/>
      </c>
      <c r="AM183">
        <f>IF(AND(ISNUMBER(S183),ISNUMBER(S179)),VLOOKUP(ABS(S183-S179),'IMP Table'!$A$2:$C$26,3)*SIGN(S183-S179),0)</f>
        <v/>
      </c>
      <c r="AN183">
        <f>IF(AND(ISNUMBER(S183),ISNUMBER(S180)),VLOOKUP(ABS(S183-S180),'IMP Table'!$A$2:$C$26,3)*SIGN(S183-S180),0)</f>
        <v/>
      </c>
      <c r="AO183">
        <f>IF(AND(ISNUMBER(S183),ISNUMBER(S181)),VLOOKUP(ABS(S183-S181),'IMP Table'!$A$2:$C$26,3)*SIGN(S183-S181),0)</f>
        <v/>
      </c>
      <c r="AP183">
        <f>IF(AND(ISNUMBER(S183),ISNUMBER(S182)),VLOOKUP(ABS(S183-S182),'IMP Table'!$A$2:$C$26,3)*SIGN(S183-S182),0)</f>
        <v/>
      </c>
      <c r="AQ183">
        <f>IF(AND(ISNUMBER(S183),ISNUMBER(S184)),VLOOKUP(ABS(S183-S184),'IMP Table'!$A$2:$C$26,3)*SIGN(S183-S184),0)</f>
        <v/>
      </c>
    </row>
    <row r="184">
      <c r="A184" s="15" t="n"/>
      <c r="B184" s="15">
        <f>'By Round'!A171</f>
        <v/>
      </c>
      <c r="C184" s="15">
        <f>'By Round'!B171</f>
        <v/>
      </c>
      <c r="D184" s="15">
        <f>'By Round'!C171</f>
        <v/>
      </c>
      <c r="E184" s="15">
        <f>'By Round'!D171</f>
        <v/>
      </c>
      <c r="F184" s="16" t="inlineStr">
        <is>
          <t>Both</t>
        </is>
      </c>
      <c r="G184" s="15">
        <f>IF(ISBLANK('By Round'!G171),"",'By Round'!G171)</f>
        <v/>
      </c>
      <c r="H184" s="15">
        <f>IF(ISBLANK('By Round'!H171),"",'By Round'!H171)</f>
        <v/>
      </c>
      <c r="I184" s="15">
        <f>IF(ISBLANK('By Round'!I171),"",'By Round'!I171)</f>
        <v/>
      </c>
      <c r="J184" s="15">
        <f>IF(ISBLANK('By Round'!J171),"",'By Round'!J171)</f>
        <v/>
      </c>
      <c r="K184" s="15">
        <f>IF(ISBLANK('By Round'!K171),"",'By Round'!K171)</f>
        <v/>
      </c>
      <c r="L184" s="17">
        <f>SUM(AF184:AK184)</f>
        <v/>
      </c>
      <c r="M184" s="18">
        <f>SUM(AL184:AQ184)</f>
        <v/>
      </c>
      <c r="N184" s="19">
        <f>IF(COUNT(T184:Y184)&gt;0,P184/COUNT(T184:Y184),0.5)</f>
        <v/>
      </c>
      <c r="O184" s="19">
        <f>IF(COUNT(Z184:AE184)&gt;0,Q184/COUNT(Z184:AE184),0.5)</f>
        <v/>
      </c>
      <c r="P184" s="20">
        <f>SUM(T184:Y184)</f>
        <v/>
      </c>
      <c r="Q184" s="20">
        <f>SUM(Z184:AE184)</f>
        <v/>
      </c>
      <c r="R184" s="21">
        <f>IF(ISNUMBER(J184),J184,IF(ISNUMBER(K184),-K184,""))</f>
        <v/>
      </c>
      <c r="S184" s="15">
        <f>IF(ISNUMBER(K184),K184,IF(ISNUMBER(J184),-J184,""))</f>
        <v/>
      </c>
      <c r="T184" s="21">
        <f>IF(ISNUMBER(R184),IF(ISNUMBER(R178),IF(R184&gt;R178,1.0,IF(R184=R178,0.5,0.0)),""),"")</f>
        <v/>
      </c>
      <c r="U184" s="15">
        <f>IF(ISNUMBER(R184),IF(ISNUMBER(R179),IF(R184&gt;R179,1.0,IF(R184=R179,0.5,0.0)),""),"")</f>
        <v/>
      </c>
      <c r="V184" s="15">
        <f>IF(ISNUMBER(R184),IF(ISNUMBER(R180),IF(R184&gt;R180,1.0,IF(R184=R180,0.5,0.0)),""),"")</f>
        <v/>
      </c>
      <c r="W184" s="15">
        <f>IF(ISNUMBER(R184),IF(ISNUMBER(R181),IF(R184&gt;R181,1.0,IF(R184=R181,0.5,0.0)),""),"")</f>
        <v/>
      </c>
      <c r="X184" s="15">
        <f>IF(ISNUMBER(R184),IF(ISNUMBER(R182),IF(R184&gt;R182,1.0,IF(R184=R182,0.5,0.0)),""),"")</f>
        <v/>
      </c>
      <c r="Y184" s="15">
        <f>IF(ISNUMBER(R184),IF(ISNUMBER(R183),IF(R184&gt;R183,1.0,IF(R184=R183,0.5,0.0)),""),"")</f>
        <v/>
      </c>
      <c r="Z184" s="15">
        <f>IF(ISNUMBER(S184),IF(ISNUMBER(S178),IF(S184&gt;S178,1.0,IF(S184=S178,0.5,0.0)),""),"")</f>
        <v/>
      </c>
      <c r="AA184" s="15">
        <f>IF(ISNUMBER(S184),IF(ISNUMBER(S179),IF(S184&gt;S179,1.0,IF(S184=S179,0.5,0.0)),""),"")</f>
        <v/>
      </c>
      <c r="AB184" s="15">
        <f>IF(ISNUMBER(S184),IF(ISNUMBER(S180),IF(S184&gt;S180,1.0,IF(S184=S180,0.5,0.0)),""),"")</f>
        <v/>
      </c>
      <c r="AC184" s="15">
        <f>IF(ISNUMBER(S184),IF(ISNUMBER(S181),IF(S184&gt;S181,1.0,IF(S184=S181,0.5,0.0)),""),"")</f>
        <v/>
      </c>
      <c r="AD184" s="15">
        <f>IF(ISNUMBER(S184),IF(ISNUMBER(S182),IF(S184&gt;S182,1.0,IF(S184=S182,0.5,0.0)),""),"")</f>
        <v/>
      </c>
      <c r="AE184" s="15">
        <f>IF(ISNUMBER(S184),IF(ISNUMBER(S183),IF(S184&gt;S183,1.0,IF(S184=S183,0.5,0.0)),""),"")</f>
        <v/>
      </c>
      <c r="AF184" s="21">
        <f>IF(AND(ISNUMBER(R184),ISNUMBER(R178)),VLOOKUP(ABS(R184-R178),'IMP Table'!$A$2:$C$26,3)*SIGN(R184-R178),0)</f>
        <v/>
      </c>
      <c r="AG184" s="15">
        <f>IF(AND(ISNUMBER(R184),ISNUMBER(R179)),VLOOKUP(ABS(R184-R179),'IMP Table'!$A$2:$C$26,3)*SIGN(R184-R179),0)</f>
        <v/>
      </c>
      <c r="AH184" s="15">
        <f>IF(AND(ISNUMBER(R184),ISNUMBER(R180)),VLOOKUP(ABS(R184-R180),'IMP Table'!$A$2:$C$26,3)*SIGN(R184-R180),0)</f>
        <v/>
      </c>
      <c r="AI184" s="15">
        <f>IF(AND(ISNUMBER(R184),ISNUMBER(R181)),VLOOKUP(ABS(R184-R181),'IMP Table'!$A$2:$C$26,3)*SIGN(R184-R181),0)</f>
        <v/>
      </c>
      <c r="AJ184" s="15">
        <f>IF(AND(ISNUMBER(R184),ISNUMBER(R182)),VLOOKUP(ABS(R184-R182),'IMP Table'!$A$2:$C$26,3)*SIGN(R184-R182),0)</f>
        <v/>
      </c>
      <c r="AK184" s="15">
        <f>IF(AND(ISNUMBER(R184),ISNUMBER(R183)),VLOOKUP(ABS(R184-R183),'IMP Table'!$A$2:$C$26,3)*SIGN(R184-R183),0)</f>
        <v/>
      </c>
      <c r="AL184" s="15">
        <f>IF(AND(ISNUMBER(S184),ISNUMBER(S178)),VLOOKUP(ABS(S184-S178),'IMP Table'!$A$2:$C$26,3)*SIGN(S184-S178),0)</f>
        <v/>
      </c>
      <c r="AM184" s="15">
        <f>IF(AND(ISNUMBER(S184),ISNUMBER(S179)),VLOOKUP(ABS(S184-S179),'IMP Table'!$A$2:$C$26,3)*SIGN(S184-S179),0)</f>
        <v/>
      </c>
      <c r="AN184" s="15">
        <f>IF(AND(ISNUMBER(S184),ISNUMBER(S180)),VLOOKUP(ABS(S184-S180),'IMP Table'!$A$2:$C$26,3)*SIGN(S184-S180),0)</f>
        <v/>
      </c>
      <c r="AO184" s="15">
        <f>IF(AND(ISNUMBER(S184),ISNUMBER(S181)),VLOOKUP(ABS(S184-S181),'IMP Table'!$A$2:$C$26,3)*SIGN(S184-S181),0)</f>
        <v/>
      </c>
      <c r="AP184" s="15">
        <f>IF(AND(ISNUMBER(S184),ISNUMBER(S182)),VLOOKUP(ABS(S184-S182),'IMP Table'!$A$2:$C$26,3)*SIGN(S184-S182),0)</f>
        <v/>
      </c>
      <c r="AQ184" s="15">
        <f>IF(AND(ISNUMBER(S184),ISNUMBER(S183)),VLOOKUP(ABS(S184-S183),'IMP Table'!$A$2:$C$26,3)*SIGN(S184-S183),0)</f>
        <v/>
      </c>
    </row>
  </sheetData>
  <mergeCells count="11">
    <mergeCell ref="T2:Y2"/>
    <mergeCell ref="AF1:AQ1"/>
    <mergeCell ref="AF2:AK2"/>
    <mergeCell ref="T1:AE1"/>
    <mergeCell ref="AL2:AQ2"/>
    <mergeCell ref="L1:M1"/>
    <mergeCell ref="J1:K1"/>
    <mergeCell ref="P1:Q1"/>
    <mergeCell ref="N1:O1"/>
    <mergeCell ref="R1:S1"/>
    <mergeCell ref="Z2:AE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2" t="inlineStr">
        <is>
          <t>Scores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n">
        <v>14</v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5</v>
      </c>
      <c r="D5" s="11" t="n">
        <v>10</v>
      </c>
      <c r="E5" s="11" t="n">
        <v>5</v>
      </c>
      <c r="F5" s="11" t="inlineStr">
        <is>
          <t>NS</t>
        </is>
      </c>
    </row>
    <row r="6">
      <c r="B6" s="16" t="n"/>
      <c r="C6" s="16" t="n"/>
      <c r="D6" s="16" t="n"/>
      <c r="E6" s="16" t="n">
        <v>6</v>
      </c>
      <c r="F6" s="16" t="inlineStr">
        <is>
          <t>EW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2</v>
      </c>
      <c r="D7" s="11" t="n">
        <v>3</v>
      </c>
      <c r="E7" s="11" t="n">
        <v>7</v>
      </c>
      <c r="F7" s="11" t="inlineStr">
        <is>
          <t>Both</t>
        </is>
      </c>
    </row>
    <row r="8">
      <c r="B8" s="16" t="n"/>
      <c r="C8" s="16" t="n"/>
      <c r="D8" s="16" t="n"/>
      <c r="E8" s="16" t="n">
        <v>8</v>
      </c>
      <c r="F8" s="16" t="inlineStr">
        <is>
          <t>None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9</v>
      </c>
      <c r="D9" s="11" t="n">
        <v>11</v>
      </c>
      <c r="E9" s="11" t="n">
        <v>9</v>
      </c>
      <c r="F9" s="11" t="inlineStr">
        <is>
          <t>EW</t>
        </is>
      </c>
    </row>
    <row r="10"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</row>
    <row r="11">
      <c r="B11" s="11" t="n">
        <v>5</v>
      </c>
      <c r="C11" s="11" t="n">
        <v>6</v>
      </c>
      <c r="D11" s="11" t="n">
        <v>13</v>
      </c>
      <c r="E11" s="11" t="n">
        <v>19</v>
      </c>
      <c r="F11" s="11" t="inlineStr">
        <is>
          <t>EW</t>
        </is>
      </c>
    </row>
    <row r="12">
      <c r="B12" s="16" t="n"/>
      <c r="C12" s="16" t="n"/>
      <c r="D12" s="16" t="n"/>
      <c r="E12" s="16" t="n">
        <v>20</v>
      </c>
      <c r="F12" s="16" t="inlineStr">
        <is>
          <t>Both</t>
        </is>
      </c>
      <c r="G12" s="15" t="n"/>
      <c r="H12" s="15" t="n"/>
      <c r="I12" s="15" t="n"/>
      <c r="J12" s="15" t="n"/>
      <c r="K12" s="15" t="n"/>
    </row>
    <row r="13">
      <c r="B13" s="11" t="n">
        <v>6</v>
      </c>
      <c r="C13" s="11" t="n">
        <v>8</v>
      </c>
      <c r="D13" s="11" t="n">
        <v>12</v>
      </c>
      <c r="E13" s="11" t="n">
        <v>21</v>
      </c>
      <c r="F13" s="11" t="inlineStr">
        <is>
          <t>NS</t>
        </is>
      </c>
    </row>
    <row r="14">
      <c r="B14" s="16" t="n"/>
      <c r="C14" s="16" t="n"/>
      <c r="D14" s="16" t="n"/>
      <c r="E14" s="16" t="n">
        <v>22</v>
      </c>
      <c r="F14" s="16" t="inlineStr">
        <is>
          <t>EW</t>
        </is>
      </c>
      <c r="G14" s="15" t="n"/>
      <c r="H14" s="15" t="n"/>
      <c r="I14" s="15" t="n"/>
      <c r="J14" s="15" t="n"/>
      <c r="K14" s="15" t="n"/>
    </row>
    <row r="15">
      <c r="B15" s="11" t="n">
        <v>7</v>
      </c>
      <c r="C15" s="11" t="n">
        <v>4</v>
      </c>
      <c r="D15" s="11" t="n">
        <v>7</v>
      </c>
      <c r="E15" s="11" t="n">
        <v>23</v>
      </c>
      <c r="F15" s="11" t="inlineStr">
        <is>
          <t>Both</t>
        </is>
      </c>
    </row>
    <row r="16">
      <c r="A16" s="15" t="n"/>
      <c r="B16" s="16" t="n"/>
      <c r="C16" s="16" t="n"/>
      <c r="D16" s="16" t="n"/>
      <c r="E16" s="16" t="n">
        <v>24</v>
      </c>
      <c r="F16" s="16" t="inlineStr">
        <is>
          <t>None</t>
        </is>
      </c>
      <c r="G16" s="15" t="n"/>
      <c r="H16" s="15" t="n"/>
      <c r="I16" s="15" t="n"/>
      <c r="J16" s="15" t="n"/>
      <c r="K16" s="15" t="n"/>
    </row>
    <row r="17">
      <c r="A17" s="11" t="n">
        <v>2</v>
      </c>
      <c r="B17" s="11" t="n">
        <v>1</v>
      </c>
      <c r="C17" s="11" t="n">
        <v>14</v>
      </c>
      <c r="D17" s="11" t="n">
        <v>2</v>
      </c>
      <c r="E17" s="11" t="n">
        <v>3</v>
      </c>
      <c r="F17" s="11" t="inlineStr">
        <is>
          <t>EW</t>
        </is>
      </c>
    </row>
    <row r="18">
      <c r="B18" s="16" t="n"/>
      <c r="C18" s="16" t="n"/>
      <c r="D18" s="16" t="n"/>
      <c r="E18" s="16" t="n">
        <v>4</v>
      </c>
      <c r="F18" s="16" t="inlineStr">
        <is>
          <t>Both</t>
        </is>
      </c>
      <c r="G18" s="15" t="n"/>
      <c r="H18" s="15" t="n"/>
      <c r="I18" s="15" t="n"/>
      <c r="J18" s="15" t="n"/>
      <c r="K18" s="15" t="n"/>
    </row>
    <row r="19">
      <c r="B19" s="11" t="n">
        <v>2</v>
      </c>
      <c r="C19" s="11" t="n">
        <v>6</v>
      </c>
      <c r="D19" s="11" t="n">
        <v>11</v>
      </c>
      <c r="E19" s="11" t="n">
        <v>7</v>
      </c>
      <c r="F19" s="11" t="inlineStr">
        <is>
          <t>Both</t>
        </is>
      </c>
    </row>
    <row r="20">
      <c r="B20" s="16" t="n"/>
      <c r="C20" s="16" t="n"/>
      <c r="D20" s="16" t="n"/>
      <c r="E20" s="16" t="n">
        <v>8</v>
      </c>
      <c r="F20" s="16" t="inlineStr">
        <is>
          <t>None</t>
        </is>
      </c>
      <c r="G20" s="15" t="n"/>
      <c r="H20" s="15" t="n"/>
      <c r="I20" s="15" t="n"/>
      <c r="J20" s="15" t="n"/>
      <c r="K20" s="15" t="n"/>
    </row>
    <row r="21">
      <c r="B21" s="11" t="n">
        <v>3</v>
      </c>
      <c r="C21" s="11" t="n">
        <v>3</v>
      </c>
      <c r="D21" s="11" t="n">
        <v>4</v>
      </c>
      <c r="E21" s="11" t="n">
        <v>9</v>
      </c>
      <c r="F21" s="11" t="inlineStr">
        <is>
          <t>EW</t>
        </is>
      </c>
    </row>
    <row r="22">
      <c r="B22" s="16" t="n"/>
      <c r="C22" s="16" t="n"/>
      <c r="D22" s="16" t="n"/>
      <c r="E22" s="16" t="n">
        <v>10</v>
      </c>
      <c r="F22" s="16" t="inlineStr">
        <is>
          <t>Both</t>
        </is>
      </c>
      <c r="G22" s="15" t="n"/>
      <c r="H22" s="15" t="n"/>
      <c r="I22" s="15" t="n"/>
      <c r="J22" s="15" t="n"/>
      <c r="K22" s="15" t="n"/>
    </row>
    <row r="23">
      <c r="B23" s="11" t="n">
        <v>4</v>
      </c>
      <c r="C23" s="11" t="n">
        <v>10</v>
      </c>
      <c r="D23" s="11" t="n">
        <v>12</v>
      </c>
      <c r="E23" s="11" t="n">
        <v>11</v>
      </c>
      <c r="F23" s="11" t="inlineStr">
        <is>
          <t>None</t>
        </is>
      </c>
    </row>
    <row r="24">
      <c r="B24" s="16" t="n"/>
      <c r="C24" s="16" t="n"/>
      <c r="D24" s="16" t="n"/>
      <c r="E24" s="16" t="n">
        <v>12</v>
      </c>
      <c r="F24" s="16" t="inlineStr">
        <is>
          <t>NS</t>
        </is>
      </c>
      <c r="G24" s="15" t="n"/>
      <c r="H24" s="15" t="n"/>
      <c r="I24" s="15" t="n"/>
      <c r="J24" s="15" t="n"/>
      <c r="K24" s="15" t="n"/>
    </row>
    <row r="25">
      <c r="B25" s="11" t="n">
        <v>5</v>
      </c>
      <c r="C25" s="11" t="n">
        <v>7</v>
      </c>
      <c r="D25" s="11" t="n">
        <v>1</v>
      </c>
      <c r="E25" s="11" t="n">
        <v>21</v>
      </c>
      <c r="F25" s="11" t="inlineStr">
        <is>
          <t>NS</t>
        </is>
      </c>
    </row>
    <row r="26"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</row>
    <row r="27">
      <c r="B27" s="11" t="n">
        <v>6</v>
      </c>
      <c r="C27" s="11" t="n">
        <v>9</v>
      </c>
      <c r="D27" s="11" t="n">
        <v>13</v>
      </c>
      <c r="E27" s="11" t="n">
        <v>23</v>
      </c>
      <c r="F27" s="11" t="inlineStr">
        <is>
          <t>Both</t>
        </is>
      </c>
    </row>
    <row r="28">
      <c r="B28" s="16" t="n"/>
      <c r="C28" s="16" t="n"/>
      <c r="D28" s="16" t="n"/>
      <c r="E28" s="16" t="n">
        <v>24</v>
      </c>
      <c r="F28" s="16" t="inlineStr">
        <is>
          <t>None</t>
        </is>
      </c>
      <c r="G28" s="15" t="n"/>
      <c r="H28" s="15" t="n"/>
      <c r="I28" s="15" t="n"/>
      <c r="J28" s="15" t="n"/>
      <c r="K28" s="15" t="n"/>
    </row>
    <row r="29">
      <c r="B29" s="11" t="n">
        <v>7</v>
      </c>
      <c r="C29" s="11" t="n">
        <v>5</v>
      </c>
      <c r="D29" s="11" t="n">
        <v>8</v>
      </c>
      <c r="E29" s="11" t="n">
        <v>25</v>
      </c>
      <c r="F29" s="11" t="inlineStr">
        <is>
          <t>EW</t>
        </is>
      </c>
    </row>
    <row r="30">
      <c r="A30" s="15" t="n"/>
      <c r="B30" s="16" t="n"/>
      <c r="C30" s="16" t="n"/>
      <c r="D30" s="16" t="n"/>
      <c r="E30" s="16" t="n">
        <v>26</v>
      </c>
      <c r="F30" s="16" t="inlineStr">
        <is>
          <t>Both</t>
        </is>
      </c>
      <c r="G30" s="15" t="n"/>
      <c r="H30" s="15" t="n"/>
      <c r="I30" s="15" t="n"/>
      <c r="J30" s="15" t="n"/>
      <c r="K30" s="15" t="n"/>
    </row>
    <row r="31">
      <c r="A31" s="11" t="n">
        <v>3</v>
      </c>
      <c r="B31" s="11" t="n">
        <v>1</v>
      </c>
      <c r="C31" s="11" t="n">
        <v>14</v>
      </c>
      <c r="D31" s="11" t="n">
        <v>3</v>
      </c>
      <c r="E31" s="11" t="n">
        <v>5</v>
      </c>
      <c r="F31" s="11" t="inlineStr">
        <is>
          <t>NS</t>
        </is>
      </c>
    </row>
    <row r="32">
      <c r="B32" s="16" t="n"/>
      <c r="C32" s="16" t="n"/>
      <c r="D32" s="16" t="n"/>
      <c r="E32" s="16" t="n">
        <v>6</v>
      </c>
      <c r="F32" s="16" t="inlineStr">
        <is>
          <t>EW</t>
        </is>
      </c>
      <c r="G32" s="15" t="n"/>
      <c r="H32" s="15" t="n"/>
      <c r="I32" s="15" t="n"/>
      <c r="J32" s="15" t="n"/>
      <c r="K32" s="15" t="n"/>
    </row>
    <row r="33">
      <c r="B33" s="11" t="n">
        <v>2</v>
      </c>
      <c r="C33" s="11" t="n">
        <v>7</v>
      </c>
      <c r="D33" s="11" t="n">
        <v>12</v>
      </c>
      <c r="E33" s="11" t="n">
        <v>9</v>
      </c>
      <c r="F33" s="11" t="inlineStr">
        <is>
          <t>EW</t>
        </is>
      </c>
    </row>
    <row r="34">
      <c r="B34" s="16" t="n"/>
      <c r="C34" s="16" t="n"/>
      <c r="D34" s="16" t="n"/>
      <c r="E34" s="16" t="n">
        <v>10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</row>
    <row r="35">
      <c r="B35" s="11" t="n">
        <v>3</v>
      </c>
      <c r="C35" s="11" t="n">
        <v>4</v>
      </c>
      <c r="D35" s="11" t="n">
        <v>5</v>
      </c>
      <c r="E35" s="11" t="n">
        <v>11</v>
      </c>
      <c r="F35" s="11" t="inlineStr">
        <is>
          <t>None</t>
        </is>
      </c>
    </row>
    <row r="36">
      <c r="B36" s="16" t="n"/>
      <c r="C36" s="16" t="n"/>
      <c r="D36" s="16" t="n"/>
      <c r="E36" s="16" t="n">
        <v>12</v>
      </c>
      <c r="F36" s="16" t="inlineStr">
        <is>
          <t>NS</t>
        </is>
      </c>
      <c r="G36" s="15" t="n"/>
      <c r="H36" s="15" t="n"/>
      <c r="I36" s="15" t="n"/>
      <c r="J36" s="15" t="n"/>
      <c r="K36" s="15" t="n"/>
    </row>
    <row r="37">
      <c r="B37" s="11" t="n">
        <v>4</v>
      </c>
      <c r="C37" s="11" t="n">
        <v>11</v>
      </c>
      <c r="D37" s="11" t="n">
        <v>13</v>
      </c>
      <c r="E37" s="11" t="n">
        <v>13</v>
      </c>
      <c r="F37" s="11" t="inlineStr">
        <is>
          <t>Both</t>
        </is>
      </c>
    </row>
    <row r="38">
      <c r="B38" s="16" t="n"/>
      <c r="C38" s="16" t="n"/>
      <c r="D38" s="16" t="n"/>
      <c r="E38" s="16" t="n">
        <v>14</v>
      </c>
      <c r="F38" s="16" t="inlineStr">
        <is>
          <t>None</t>
        </is>
      </c>
      <c r="G38" s="15" t="n"/>
      <c r="H38" s="15" t="n"/>
      <c r="I38" s="15" t="n"/>
      <c r="J38" s="15" t="n"/>
      <c r="K38" s="15" t="n"/>
    </row>
    <row r="39">
      <c r="B39" s="11" t="n">
        <v>5</v>
      </c>
      <c r="C39" s="11" t="n">
        <v>8</v>
      </c>
      <c r="D39" s="11" t="n">
        <v>2</v>
      </c>
      <c r="E39" s="11" t="n">
        <v>23</v>
      </c>
      <c r="F39" s="11" t="inlineStr">
        <is>
          <t>Both</t>
        </is>
      </c>
    </row>
    <row r="40">
      <c r="B40" s="16" t="n"/>
      <c r="C40" s="16" t="n"/>
      <c r="D40" s="16" t="n"/>
      <c r="E40" s="16" t="n">
        <v>24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</row>
    <row r="41">
      <c r="B41" s="11" t="n">
        <v>6</v>
      </c>
      <c r="C41" s="11" t="n">
        <v>10</v>
      </c>
      <c r="D41" s="11" t="n">
        <v>1</v>
      </c>
      <c r="E41" s="11" t="n">
        <v>25</v>
      </c>
      <c r="F41" s="11" t="inlineStr">
        <is>
          <t>EW</t>
        </is>
      </c>
    </row>
    <row r="42">
      <c r="B42" s="16" t="n"/>
      <c r="C42" s="16" t="n"/>
      <c r="D42" s="16" t="n"/>
      <c r="E42" s="16" t="n">
        <v>26</v>
      </c>
      <c r="F42" s="16" t="inlineStr">
        <is>
          <t>Both</t>
        </is>
      </c>
      <c r="G42" s="15" t="n"/>
      <c r="H42" s="15" t="n"/>
      <c r="I42" s="15" t="n"/>
      <c r="J42" s="15" t="n"/>
      <c r="K42" s="15" t="n"/>
    </row>
    <row r="43">
      <c r="B43" s="11" t="n">
        <v>7</v>
      </c>
      <c r="C43" s="11" t="n">
        <v>6</v>
      </c>
      <c r="D43" s="11" t="n">
        <v>9</v>
      </c>
      <c r="E43" s="11" t="n">
        <v>1</v>
      </c>
      <c r="F43" s="11" t="inlineStr">
        <is>
          <t>None</t>
        </is>
      </c>
    </row>
    <row r="44">
      <c r="A44" s="15" t="n"/>
      <c r="B44" s="16" t="n"/>
      <c r="C44" s="16" t="n"/>
      <c r="D44" s="16" t="n"/>
      <c r="E44" s="16" t="n">
        <v>2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A45" s="11" t="n">
        <v>4</v>
      </c>
      <c r="B45" s="11" t="n">
        <v>1</v>
      </c>
      <c r="C45" s="11" t="n">
        <v>14</v>
      </c>
      <c r="D45" s="11" t="n">
        <v>4</v>
      </c>
      <c r="E45" s="11" t="n">
        <v>7</v>
      </c>
      <c r="F45" s="11" t="inlineStr">
        <is>
          <t>Both</t>
        </is>
      </c>
    </row>
    <row r="46">
      <c r="B46" s="16" t="n"/>
      <c r="C46" s="16" t="n"/>
      <c r="D46" s="16" t="n"/>
      <c r="E46" s="16" t="n">
        <v>8</v>
      </c>
      <c r="F46" s="16" t="inlineStr">
        <is>
          <t>None</t>
        </is>
      </c>
      <c r="G46" s="15" t="n"/>
      <c r="H46" s="15" t="n"/>
      <c r="I46" s="15" t="n"/>
      <c r="J46" s="15" t="n"/>
      <c r="K46" s="15" t="n"/>
    </row>
    <row r="47">
      <c r="B47" s="11" t="n">
        <v>2</v>
      </c>
      <c r="C47" s="11" t="n">
        <v>8</v>
      </c>
      <c r="D47" s="11" t="n">
        <v>13</v>
      </c>
      <c r="E47" s="11" t="n">
        <v>11</v>
      </c>
      <c r="F47" s="11" t="inlineStr">
        <is>
          <t>None</t>
        </is>
      </c>
    </row>
    <row r="48">
      <c r="B48" s="16" t="n"/>
      <c r="C48" s="16" t="n"/>
      <c r="D48" s="16" t="n"/>
      <c r="E48" s="16" t="n">
        <v>12</v>
      </c>
      <c r="F48" s="16" t="inlineStr">
        <is>
          <t>NS</t>
        </is>
      </c>
      <c r="G48" s="15" t="n"/>
      <c r="H48" s="15" t="n"/>
      <c r="I48" s="15" t="n"/>
      <c r="J48" s="15" t="n"/>
      <c r="K48" s="15" t="n"/>
    </row>
    <row r="49">
      <c r="B49" s="11" t="n">
        <v>3</v>
      </c>
      <c r="C49" s="11" t="n">
        <v>5</v>
      </c>
      <c r="D49" s="11" t="n">
        <v>6</v>
      </c>
      <c r="E49" s="11" t="n">
        <v>13</v>
      </c>
      <c r="F49" s="11" t="inlineStr">
        <is>
          <t>Both</t>
        </is>
      </c>
    </row>
    <row r="50">
      <c r="B50" s="16" t="n"/>
      <c r="C50" s="16" t="n"/>
      <c r="D50" s="16" t="n"/>
      <c r="E50" s="16" t="n">
        <v>14</v>
      </c>
      <c r="F50" s="16" t="inlineStr">
        <is>
          <t>None</t>
        </is>
      </c>
      <c r="G50" s="15" t="n"/>
      <c r="H50" s="15" t="n"/>
      <c r="I50" s="15" t="n"/>
      <c r="J50" s="15" t="n"/>
      <c r="K50" s="15" t="n"/>
    </row>
    <row r="51">
      <c r="B51" s="11" t="n">
        <v>4</v>
      </c>
      <c r="C51" s="11" t="n">
        <v>12</v>
      </c>
      <c r="D51" s="11" t="n">
        <v>1</v>
      </c>
      <c r="E51" s="11" t="n">
        <v>15</v>
      </c>
      <c r="F51" s="11" t="inlineStr">
        <is>
          <t>NS</t>
        </is>
      </c>
    </row>
    <row r="52">
      <c r="B52" s="16" t="n"/>
      <c r="C52" s="16" t="n"/>
      <c r="D52" s="16" t="n"/>
      <c r="E52" s="16" t="n">
        <v>16</v>
      </c>
      <c r="F52" s="16" t="inlineStr">
        <is>
          <t>EW</t>
        </is>
      </c>
      <c r="G52" s="15" t="n"/>
      <c r="H52" s="15" t="n"/>
      <c r="I52" s="15" t="n"/>
      <c r="J52" s="15" t="n"/>
      <c r="K52" s="15" t="n"/>
    </row>
    <row r="53">
      <c r="B53" s="11" t="n">
        <v>5</v>
      </c>
      <c r="C53" s="11" t="n">
        <v>9</v>
      </c>
      <c r="D53" s="11" t="n">
        <v>3</v>
      </c>
      <c r="E53" s="11" t="n">
        <v>25</v>
      </c>
      <c r="F53" s="11" t="inlineStr">
        <is>
          <t>EW</t>
        </is>
      </c>
    </row>
    <row r="54">
      <c r="B54" s="16" t="n"/>
      <c r="C54" s="16" t="n"/>
      <c r="D54" s="16" t="n"/>
      <c r="E54" s="16" t="n">
        <v>26</v>
      </c>
      <c r="F54" s="16" t="inlineStr">
        <is>
          <t>Both</t>
        </is>
      </c>
      <c r="G54" s="15" t="n"/>
      <c r="H54" s="15" t="n"/>
      <c r="I54" s="15" t="n"/>
      <c r="J54" s="15" t="n"/>
      <c r="K54" s="15" t="n"/>
    </row>
    <row r="55">
      <c r="B55" s="11" t="n">
        <v>6</v>
      </c>
      <c r="C55" s="11" t="n">
        <v>11</v>
      </c>
      <c r="D55" s="11" t="n">
        <v>2</v>
      </c>
      <c r="E55" s="11" t="n">
        <v>1</v>
      </c>
      <c r="F55" s="11" t="inlineStr">
        <is>
          <t>None</t>
        </is>
      </c>
    </row>
    <row r="56">
      <c r="B56" s="16" t="n"/>
      <c r="C56" s="16" t="n"/>
      <c r="D56" s="16" t="n"/>
      <c r="E56" s="16" t="n">
        <v>2</v>
      </c>
      <c r="F56" s="16" t="inlineStr">
        <is>
          <t>NS</t>
        </is>
      </c>
      <c r="G56" s="15" t="n"/>
      <c r="H56" s="15" t="n"/>
      <c r="I56" s="15" t="n"/>
      <c r="J56" s="15" t="n"/>
      <c r="K56" s="15" t="n"/>
    </row>
    <row r="57">
      <c r="B57" s="11" t="n">
        <v>7</v>
      </c>
      <c r="C57" s="11" t="n">
        <v>7</v>
      </c>
      <c r="D57" s="11" t="n">
        <v>10</v>
      </c>
      <c r="E57" s="11" t="n">
        <v>3</v>
      </c>
      <c r="F57" s="11" t="inlineStr">
        <is>
          <t>EW</t>
        </is>
      </c>
    </row>
    <row r="58">
      <c r="A58" s="15" t="n"/>
      <c r="B58" s="16" t="n"/>
      <c r="C58" s="16" t="n"/>
      <c r="D58" s="16" t="n"/>
      <c r="E58" s="16" t="n">
        <v>4</v>
      </c>
      <c r="F58" s="16" t="inlineStr">
        <is>
          <t>Both</t>
        </is>
      </c>
      <c r="G58" s="15" t="n"/>
      <c r="H58" s="15" t="n"/>
      <c r="I58" s="15" t="n"/>
      <c r="J58" s="15" t="n"/>
      <c r="K58" s="15" t="n"/>
    </row>
    <row r="59">
      <c r="A59" s="11" t="n">
        <v>5</v>
      </c>
      <c r="B59" s="11" t="n">
        <v>1</v>
      </c>
      <c r="C59" s="11" t="n">
        <v>14</v>
      </c>
      <c r="D59" s="11" t="n">
        <v>5</v>
      </c>
      <c r="E59" s="11" t="n">
        <v>9</v>
      </c>
      <c r="F59" s="11" t="inlineStr">
        <is>
          <t>EW</t>
        </is>
      </c>
    </row>
    <row r="60">
      <c r="B60" s="16" t="n"/>
      <c r="C60" s="16" t="n"/>
      <c r="D60" s="16" t="n"/>
      <c r="E60" s="16" t="n">
        <v>10</v>
      </c>
      <c r="F60" s="16" t="inlineStr">
        <is>
          <t>Both</t>
        </is>
      </c>
      <c r="G60" s="15" t="n"/>
      <c r="H60" s="15" t="n"/>
      <c r="I60" s="15" t="n"/>
      <c r="J60" s="15" t="n"/>
      <c r="K60" s="15" t="n"/>
    </row>
    <row r="61">
      <c r="B61" s="11" t="n">
        <v>2</v>
      </c>
      <c r="C61" s="11" t="n">
        <v>9</v>
      </c>
      <c r="D61" s="11" t="n">
        <v>1</v>
      </c>
      <c r="E61" s="11" t="n">
        <v>13</v>
      </c>
      <c r="F61" s="11" t="inlineStr">
        <is>
          <t>Both</t>
        </is>
      </c>
    </row>
    <row r="62">
      <c r="B62" s="16" t="n"/>
      <c r="C62" s="16" t="n"/>
      <c r="D62" s="16" t="n"/>
      <c r="E62" s="16" t="n">
        <v>14</v>
      </c>
      <c r="F62" s="16" t="inlineStr">
        <is>
          <t>None</t>
        </is>
      </c>
      <c r="G62" s="15" t="n"/>
      <c r="H62" s="15" t="n"/>
      <c r="I62" s="15" t="n"/>
      <c r="J62" s="15" t="n"/>
      <c r="K62" s="15" t="n"/>
    </row>
    <row r="63">
      <c r="B63" s="11" t="n">
        <v>3</v>
      </c>
      <c r="C63" s="11" t="n">
        <v>6</v>
      </c>
      <c r="D63" s="11" t="n">
        <v>7</v>
      </c>
      <c r="E63" s="11" t="n">
        <v>15</v>
      </c>
      <c r="F63" s="11" t="inlineStr">
        <is>
          <t>NS</t>
        </is>
      </c>
    </row>
    <row r="64">
      <c r="B64" s="16" t="n"/>
      <c r="C64" s="16" t="n"/>
      <c r="D64" s="16" t="n"/>
      <c r="E64" s="16" t="n">
        <v>16</v>
      </c>
      <c r="F64" s="16" t="inlineStr">
        <is>
          <t>EW</t>
        </is>
      </c>
      <c r="G64" s="15" t="n"/>
      <c r="H64" s="15" t="n"/>
      <c r="I64" s="15" t="n"/>
      <c r="J64" s="15" t="n"/>
      <c r="K64" s="15" t="n"/>
    </row>
    <row r="65">
      <c r="B65" s="11" t="n">
        <v>4</v>
      </c>
      <c r="C65" s="11" t="n">
        <v>13</v>
      </c>
      <c r="D65" s="11" t="n">
        <v>2</v>
      </c>
      <c r="E65" s="11" t="n">
        <v>17</v>
      </c>
      <c r="F65" s="11" t="inlineStr">
        <is>
          <t>None</t>
        </is>
      </c>
    </row>
    <row r="66">
      <c r="B66" s="16" t="n"/>
      <c r="C66" s="16" t="n"/>
      <c r="D66" s="16" t="n"/>
      <c r="E66" s="16" t="n">
        <v>18</v>
      </c>
      <c r="F66" s="16" t="inlineStr">
        <is>
          <t>NS</t>
        </is>
      </c>
      <c r="G66" s="15" t="n"/>
      <c r="H66" s="15" t="n"/>
      <c r="I66" s="15" t="n"/>
      <c r="J66" s="15" t="n"/>
      <c r="K66" s="15" t="n"/>
    </row>
    <row r="67">
      <c r="B67" s="11" t="n">
        <v>5</v>
      </c>
      <c r="C67" s="11" t="n">
        <v>10</v>
      </c>
      <c r="D67" s="11" t="n">
        <v>4</v>
      </c>
      <c r="E67" s="11" t="n">
        <v>1</v>
      </c>
      <c r="F67" s="11" t="inlineStr">
        <is>
          <t>None</t>
        </is>
      </c>
    </row>
    <row r="68">
      <c r="B68" s="16" t="n"/>
      <c r="C68" s="16" t="n"/>
      <c r="D68" s="16" t="n"/>
      <c r="E68" s="16" t="n">
        <v>2</v>
      </c>
      <c r="F68" s="16" t="inlineStr">
        <is>
          <t>NS</t>
        </is>
      </c>
      <c r="G68" s="15" t="n"/>
      <c r="H68" s="15" t="n"/>
      <c r="I68" s="15" t="n"/>
      <c r="J68" s="15" t="n"/>
      <c r="K68" s="15" t="n"/>
    </row>
    <row r="69">
      <c r="B69" s="11" t="n">
        <v>6</v>
      </c>
      <c r="C69" s="11" t="n">
        <v>12</v>
      </c>
      <c r="D69" s="11" t="n">
        <v>3</v>
      </c>
      <c r="E69" s="11" t="n">
        <v>3</v>
      </c>
      <c r="F69" s="11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</row>
    <row r="71">
      <c r="B71" s="11" t="n">
        <v>7</v>
      </c>
      <c r="C71" s="11" t="n">
        <v>8</v>
      </c>
      <c r="D71" s="11" t="n">
        <v>11</v>
      </c>
      <c r="E71" s="11" t="n">
        <v>5</v>
      </c>
      <c r="F71" s="11" t="inlineStr">
        <is>
          <t>NS</t>
        </is>
      </c>
    </row>
    <row r="72">
      <c r="A72" s="15" t="n"/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</row>
    <row r="73">
      <c r="A73" s="11" t="n">
        <v>6</v>
      </c>
      <c r="B73" s="11" t="n">
        <v>1</v>
      </c>
      <c r="C73" s="11" t="n">
        <v>14</v>
      </c>
      <c r="D73" s="11" t="n">
        <v>6</v>
      </c>
      <c r="E73" s="11" t="n">
        <v>11</v>
      </c>
      <c r="F73" s="11" t="inlineStr">
        <is>
          <t>None</t>
        </is>
      </c>
    </row>
    <row r="74">
      <c r="B74" s="16" t="n"/>
      <c r="C74" s="16" t="n"/>
      <c r="D74" s="16" t="n"/>
      <c r="E74" s="16" t="n">
        <v>12</v>
      </c>
      <c r="F74" s="16" t="inlineStr">
        <is>
          <t>NS</t>
        </is>
      </c>
      <c r="G74" s="15" t="n"/>
      <c r="H74" s="15" t="n"/>
      <c r="I74" s="15" t="n"/>
      <c r="J74" s="15" t="n"/>
      <c r="K74" s="15" t="n"/>
    </row>
    <row r="75">
      <c r="B75" s="11" t="n">
        <v>2</v>
      </c>
      <c r="C75" s="11" t="n">
        <v>10</v>
      </c>
      <c r="D75" s="11" t="n">
        <v>2</v>
      </c>
      <c r="E75" s="11" t="n">
        <v>15</v>
      </c>
      <c r="F75" s="11" t="inlineStr">
        <is>
          <t>NS</t>
        </is>
      </c>
    </row>
    <row r="76">
      <c r="B76" s="16" t="n"/>
      <c r="C76" s="16" t="n"/>
      <c r="D76" s="16" t="n"/>
      <c r="E76" s="16" t="n">
        <v>16</v>
      </c>
      <c r="F76" s="16" t="inlineStr">
        <is>
          <t>EW</t>
        </is>
      </c>
      <c r="G76" s="15" t="n"/>
      <c r="H76" s="15" t="n"/>
      <c r="I76" s="15" t="n"/>
      <c r="J76" s="15" t="n"/>
      <c r="K76" s="15" t="n"/>
    </row>
    <row r="77">
      <c r="B77" s="11" t="n">
        <v>3</v>
      </c>
      <c r="C77" s="11" t="n">
        <v>7</v>
      </c>
      <c r="D77" s="11" t="n">
        <v>8</v>
      </c>
      <c r="E77" s="11" t="n">
        <v>17</v>
      </c>
      <c r="F77" s="11" t="inlineStr">
        <is>
          <t>None</t>
        </is>
      </c>
    </row>
    <row r="78">
      <c r="B78" s="16" t="n"/>
      <c r="C78" s="16" t="n"/>
      <c r="D78" s="16" t="n"/>
      <c r="E78" s="16" t="n">
        <v>18</v>
      </c>
      <c r="F78" s="16" t="inlineStr">
        <is>
          <t>NS</t>
        </is>
      </c>
      <c r="G78" s="15" t="n"/>
      <c r="H78" s="15" t="n"/>
      <c r="I78" s="15" t="n"/>
      <c r="J78" s="15" t="n"/>
      <c r="K78" s="15" t="n"/>
    </row>
    <row r="79">
      <c r="B79" s="11" t="n">
        <v>4</v>
      </c>
      <c r="C79" s="11" t="n">
        <v>1</v>
      </c>
      <c r="D79" s="11" t="n">
        <v>3</v>
      </c>
      <c r="E79" s="11" t="n">
        <v>19</v>
      </c>
      <c r="F79" s="11" t="inlineStr">
        <is>
          <t>EW</t>
        </is>
      </c>
    </row>
    <row r="80">
      <c r="B80" s="16" t="n"/>
      <c r="C80" s="16" t="n"/>
      <c r="D80" s="16" t="n"/>
      <c r="E80" s="16" t="n">
        <v>20</v>
      </c>
      <c r="F80" s="16" t="inlineStr">
        <is>
          <t>Both</t>
        </is>
      </c>
      <c r="G80" s="15" t="n"/>
      <c r="H80" s="15" t="n"/>
      <c r="I80" s="15" t="n"/>
      <c r="J80" s="15" t="n"/>
      <c r="K80" s="15" t="n"/>
    </row>
    <row r="81">
      <c r="B81" s="11" t="n">
        <v>5</v>
      </c>
      <c r="C81" s="11" t="n">
        <v>11</v>
      </c>
      <c r="D81" s="11" t="n">
        <v>5</v>
      </c>
      <c r="E81" s="11" t="n">
        <v>3</v>
      </c>
      <c r="F81" s="11" t="inlineStr">
        <is>
          <t>EW</t>
        </is>
      </c>
    </row>
    <row r="82">
      <c r="B82" s="16" t="n"/>
      <c r="C82" s="16" t="n"/>
      <c r="D82" s="16" t="n"/>
      <c r="E82" s="16" t="n">
        <v>4</v>
      </c>
      <c r="F82" s="16" t="inlineStr">
        <is>
          <t>Both</t>
        </is>
      </c>
      <c r="G82" s="15" t="n"/>
      <c r="H82" s="15" t="n"/>
      <c r="I82" s="15" t="n"/>
      <c r="J82" s="15" t="n"/>
      <c r="K82" s="15" t="n"/>
    </row>
    <row r="83">
      <c r="B83" s="11" t="n">
        <v>6</v>
      </c>
      <c r="C83" s="11" t="n">
        <v>13</v>
      </c>
      <c r="D83" s="11" t="n">
        <v>4</v>
      </c>
      <c r="E83" s="11" t="n">
        <v>5</v>
      </c>
      <c r="F83" s="11" t="inlineStr">
        <is>
          <t>NS</t>
        </is>
      </c>
    </row>
    <row r="84">
      <c r="B84" s="16" t="n"/>
      <c r="C84" s="16" t="n"/>
      <c r="D84" s="16" t="n"/>
      <c r="E84" s="16" t="n">
        <v>6</v>
      </c>
      <c r="F84" s="16" t="inlineStr">
        <is>
          <t>EW</t>
        </is>
      </c>
      <c r="G84" s="15" t="n"/>
      <c r="H84" s="15" t="n"/>
      <c r="I84" s="15" t="n"/>
      <c r="J84" s="15" t="n"/>
      <c r="K84" s="15" t="n"/>
    </row>
    <row r="85">
      <c r="B85" s="11" t="n">
        <v>7</v>
      </c>
      <c r="C85" s="11" t="n">
        <v>9</v>
      </c>
      <c r="D85" s="11" t="n">
        <v>12</v>
      </c>
      <c r="E85" s="11" t="n">
        <v>7</v>
      </c>
      <c r="F85" s="11" t="inlineStr">
        <is>
          <t>Both</t>
        </is>
      </c>
    </row>
    <row r="86">
      <c r="A86" s="15" t="n"/>
      <c r="B86" s="16" t="n"/>
      <c r="C86" s="16" t="n"/>
      <c r="D86" s="16" t="n"/>
      <c r="E86" s="16" t="n">
        <v>8</v>
      </c>
      <c r="F86" s="16" t="inlineStr">
        <is>
          <t>None</t>
        </is>
      </c>
      <c r="G86" s="15" t="n"/>
      <c r="H86" s="15" t="n"/>
      <c r="I86" s="15" t="n"/>
      <c r="J86" s="15" t="n"/>
      <c r="K86" s="15" t="n"/>
    </row>
    <row r="87">
      <c r="A87" s="11" t="n">
        <v>7</v>
      </c>
      <c r="B87" s="11" t="n">
        <v>1</v>
      </c>
      <c r="C87" s="11" t="n">
        <v>14</v>
      </c>
      <c r="D87" s="11" t="n">
        <v>7</v>
      </c>
      <c r="E87" s="11" t="n">
        <v>13</v>
      </c>
      <c r="F87" s="11" t="inlineStr">
        <is>
          <t>Both</t>
        </is>
      </c>
    </row>
    <row r="88">
      <c r="B88" s="16" t="n"/>
      <c r="C88" s="16" t="n"/>
      <c r="D88" s="16" t="n"/>
      <c r="E88" s="16" t="n">
        <v>14</v>
      </c>
      <c r="F88" s="16" t="inlineStr">
        <is>
          <t>None</t>
        </is>
      </c>
      <c r="G88" s="15" t="n"/>
      <c r="H88" s="15" t="n"/>
      <c r="I88" s="15" t="n"/>
      <c r="J88" s="15" t="n"/>
      <c r="K88" s="15" t="n"/>
    </row>
    <row r="89">
      <c r="B89" s="11" t="n">
        <v>2</v>
      </c>
      <c r="C89" s="11" t="n">
        <v>11</v>
      </c>
      <c r="D89" s="11" t="n">
        <v>3</v>
      </c>
      <c r="E89" s="11" t="n">
        <v>17</v>
      </c>
      <c r="F89" s="11" t="inlineStr">
        <is>
          <t>None</t>
        </is>
      </c>
    </row>
    <row r="90">
      <c r="B90" s="16" t="n"/>
      <c r="C90" s="16" t="n"/>
      <c r="D90" s="16" t="n"/>
      <c r="E90" s="16" t="n">
        <v>18</v>
      </c>
      <c r="F90" s="16" t="inlineStr">
        <is>
          <t>NS</t>
        </is>
      </c>
      <c r="G90" s="15" t="n"/>
      <c r="H90" s="15" t="n"/>
      <c r="I90" s="15" t="n"/>
      <c r="J90" s="15" t="n"/>
      <c r="K90" s="15" t="n"/>
    </row>
    <row r="91">
      <c r="B91" s="11" t="n">
        <v>3</v>
      </c>
      <c r="C91" s="11" t="n">
        <v>8</v>
      </c>
      <c r="D91" s="11" t="n">
        <v>9</v>
      </c>
      <c r="E91" s="11" t="n">
        <v>19</v>
      </c>
      <c r="F91" s="11" t="inlineStr">
        <is>
          <t>EW</t>
        </is>
      </c>
    </row>
    <row r="92">
      <c r="B92" s="16" t="n"/>
      <c r="C92" s="16" t="n"/>
      <c r="D92" s="16" t="n"/>
      <c r="E92" s="16" t="n">
        <v>20</v>
      </c>
      <c r="F92" s="16" t="inlineStr">
        <is>
          <t>Both</t>
        </is>
      </c>
      <c r="G92" s="15" t="n"/>
      <c r="H92" s="15" t="n"/>
      <c r="I92" s="15" t="n"/>
      <c r="J92" s="15" t="n"/>
      <c r="K92" s="15" t="n"/>
    </row>
    <row r="93">
      <c r="B93" s="11" t="n">
        <v>4</v>
      </c>
      <c r="C93" s="11" t="n">
        <v>2</v>
      </c>
      <c r="D93" s="11" t="n">
        <v>4</v>
      </c>
      <c r="E93" s="11" t="n">
        <v>21</v>
      </c>
      <c r="F93" s="11" t="inlineStr">
        <is>
          <t>NS</t>
        </is>
      </c>
    </row>
    <row r="94">
      <c r="B94" s="16" t="n"/>
      <c r="C94" s="16" t="n"/>
      <c r="D94" s="16" t="n"/>
      <c r="E94" s="16" t="n">
        <v>22</v>
      </c>
      <c r="F94" s="16" t="inlineStr">
        <is>
          <t>EW</t>
        </is>
      </c>
      <c r="G94" s="15" t="n"/>
      <c r="H94" s="15" t="n"/>
      <c r="I94" s="15" t="n"/>
      <c r="J94" s="15" t="n"/>
      <c r="K94" s="15" t="n"/>
    </row>
    <row r="95">
      <c r="B95" s="11" t="n">
        <v>5</v>
      </c>
      <c r="C95" s="11" t="n">
        <v>12</v>
      </c>
      <c r="D95" s="11" t="n">
        <v>6</v>
      </c>
      <c r="E95" s="11" t="n">
        <v>5</v>
      </c>
      <c r="F95" s="11" t="inlineStr">
        <is>
          <t>NS</t>
        </is>
      </c>
    </row>
    <row r="96">
      <c r="B96" s="16" t="n"/>
      <c r="C96" s="16" t="n"/>
      <c r="D96" s="16" t="n"/>
      <c r="E96" s="16" t="n">
        <v>6</v>
      </c>
      <c r="F96" s="16" t="inlineStr">
        <is>
          <t>EW</t>
        </is>
      </c>
      <c r="G96" s="15" t="n"/>
      <c r="H96" s="15" t="n"/>
      <c r="I96" s="15" t="n"/>
      <c r="J96" s="15" t="n"/>
      <c r="K96" s="15" t="n"/>
    </row>
    <row r="97">
      <c r="B97" s="11" t="n">
        <v>6</v>
      </c>
      <c r="C97" s="11" t="n">
        <v>1</v>
      </c>
      <c r="D97" s="11" t="n">
        <v>5</v>
      </c>
      <c r="E97" s="11" t="n">
        <v>7</v>
      </c>
      <c r="F97" s="11" t="inlineStr">
        <is>
          <t>Both</t>
        </is>
      </c>
    </row>
    <row r="98">
      <c r="B98" s="16" t="n"/>
      <c r="C98" s="16" t="n"/>
      <c r="D98" s="16" t="n"/>
      <c r="E98" s="16" t="n">
        <v>8</v>
      </c>
      <c r="F98" s="16" t="inlineStr">
        <is>
          <t>None</t>
        </is>
      </c>
      <c r="G98" s="15" t="n"/>
      <c r="H98" s="15" t="n"/>
      <c r="I98" s="15" t="n"/>
      <c r="J98" s="15" t="n"/>
      <c r="K98" s="15" t="n"/>
    </row>
    <row r="99">
      <c r="B99" s="11" t="n">
        <v>7</v>
      </c>
      <c r="C99" s="11" t="n">
        <v>10</v>
      </c>
      <c r="D99" s="11" t="n">
        <v>13</v>
      </c>
      <c r="E99" s="11" t="n">
        <v>9</v>
      </c>
      <c r="F99" s="11" t="inlineStr">
        <is>
          <t>EW</t>
        </is>
      </c>
    </row>
    <row r="100">
      <c r="A100" s="15" t="n"/>
      <c r="B100" s="16" t="n"/>
      <c r="C100" s="16" t="n"/>
      <c r="D100" s="16" t="n"/>
      <c r="E100" s="16" t="n">
        <v>10</v>
      </c>
      <c r="F100" s="16" t="inlineStr">
        <is>
          <t>Both</t>
        </is>
      </c>
      <c r="G100" s="15" t="n"/>
      <c r="H100" s="15" t="n"/>
      <c r="I100" s="15" t="n"/>
      <c r="J100" s="15" t="n"/>
      <c r="K100" s="15" t="n"/>
    </row>
    <row r="101">
      <c r="A101" s="11" t="n">
        <v>8</v>
      </c>
      <c r="B101" s="11" t="n">
        <v>1</v>
      </c>
      <c r="C101" s="11" t="n">
        <v>14</v>
      </c>
      <c r="D101" s="11" t="n">
        <v>8</v>
      </c>
      <c r="E101" s="11" t="n">
        <v>15</v>
      </c>
      <c r="F101" s="11" t="inlineStr">
        <is>
          <t>NS</t>
        </is>
      </c>
    </row>
    <row r="102">
      <c r="B102" s="16" t="n"/>
      <c r="C102" s="16" t="n"/>
      <c r="D102" s="16" t="n"/>
      <c r="E102" s="16" t="n">
        <v>16</v>
      </c>
      <c r="F102" s="16" t="inlineStr">
        <is>
          <t>EW</t>
        </is>
      </c>
      <c r="G102" s="15" t="n"/>
      <c r="H102" s="15" t="n"/>
      <c r="I102" s="15" t="n"/>
      <c r="J102" s="15" t="n"/>
      <c r="K102" s="15" t="n"/>
    </row>
    <row r="103">
      <c r="B103" s="11" t="n">
        <v>2</v>
      </c>
      <c r="C103" s="11" t="n">
        <v>12</v>
      </c>
      <c r="D103" s="11" t="n">
        <v>4</v>
      </c>
      <c r="E103" s="11" t="n">
        <v>19</v>
      </c>
      <c r="F103" s="11" t="inlineStr">
        <is>
          <t>EW</t>
        </is>
      </c>
    </row>
    <row r="104">
      <c r="B104" s="16" t="n"/>
      <c r="C104" s="16" t="n"/>
      <c r="D104" s="16" t="n"/>
      <c r="E104" s="16" t="n">
        <v>20</v>
      </c>
      <c r="F104" s="16" t="inlineStr">
        <is>
          <t>Both</t>
        </is>
      </c>
      <c r="G104" s="15" t="n"/>
      <c r="H104" s="15" t="n"/>
      <c r="I104" s="15" t="n"/>
      <c r="J104" s="15" t="n"/>
      <c r="K104" s="15" t="n"/>
    </row>
    <row r="105">
      <c r="B105" s="11" t="n">
        <v>3</v>
      </c>
      <c r="C105" s="11" t="n">
        <v>9</v>
      </c>
      <c r="D105" s="11" t="n">
        <v>10</v>
      </c>
      <c r="E105" s="11" t="n">
        <v>21</v>
      </c>
      <c r="F105" s="11" t="inlineStr">
        <is>
          <t>NS</t>
        </is>
      </c>
    </row>
    <row r="106">
      <c r="B106" s="16" t="n"/>
      <c r="C106" s="16" t="n"/>
      <c r="D106" s="16" t="n"/>
      <c r="E106" s="16" t="n">
        <v>22</v>
      </c>
      <c r="F106" s="16" t="inlineStr">
        <is>
          <t>EW</t>
        </is>
      </c>
      <c r="G106" s="15" t="n"/>
      <c r="H106" s="15" t="n"/>
      <c r="I106" s="15" t="n"/>
      <c r="J106" s="15" t="n"/>
      <c r="K106" s="15" t="n"/>
    </row>
    <row r="107">
      <c r="B107" s="11" t="n">
        <v>4</v>
      </c>
      <c r="C107" s="11" t="n">
        <v>3</v>
      </c>
      <c r="D107" s="11" t="n">
        <v>5</v>
      </c>
      <c r="E107" s="11" t="n">
        <v>23</v>
      </c>
      <c r="F107" s="11" t="inlineStr">
        <is>
          <t>Both</t>
        </is>
      </c>
    </row>
    <row r="108">
      <c r="B108" s="16" t="n"/>
      <c r="C108" s="16" t="n"/>
      <c r="D108" s="16" t="n"/>
      <c r="E108" s="16" t="n">
        <v>24</v>
      </c>
      <c r="F108" s="16" t="inlineStr">
        <is>
          <t>None</t>
        </is>
      </c>
      <c r="G108" s="15" t="n"/>
      <c r="H108" s="15" t="n"/>
      <c r="I108" s="15" t="n"/>
      <c r="J108" s="15" t="n"/>
      <c r="K108" s="15" t="n"/>
    </row>
    <row r="109">
      <c r="B109" s="11" t="n">
        <v>5</v>
      </c>
      <c r="C109" s="11" t="n">
        <v>13</v>
      </c>
      <c r="D109" s="11" t="n">
        <v>7</v>
      </c>
      <c r="E109" s="11" t="n">
        <v>7</v>
      </c>
      <c r="F109" s="11" t="inlineStr">
        <is>
          <t>Both</t>
        </is>
      </c>
    </row>
    <row r="110">
      <c r="B110" s="16" t="n"/>
      <c r="C110" s="16" t="n"/>
      <c r="D110" s="16" t="n"/>
      <c r="E110" s="16" t="n">
        <v>8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</row>
    <row r="111">
      <c r="B111" s="11" t="n">
        <v>6</v>
      </c>
      <c r="C111" s="11" t="n">
        <v>2</v>
      </c>
      <c r="D111" s="11" t="n">
        <v>6</v>
      </c>
      <c r="E111" s="11" t="n">
        <v>9</v>
      </c>
      <c r="F111" s="11" t="inlineStr">
        <is>
          <t>EW</t>
        </is>
      </c>
    </row>
    <row r="112">
      <c r="B112" s="16" t="n"/>
      <c r="C112" s="16" t="n"/>
      <c r="D112" s="16" t="n"/>
      <c r="E112" s="16" t="n">
        <v>10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</row>
    <row r="113">
      <c r="B113" s="11" t="n">
        <v>7</v>
      </c>
      <c r="C113" s="11" t="n">
        <v>11</v>
      </c>
      <c r="D113" s="11" t="n">
        <v>1</v>
      </c>
      <c r="E113" s="11" t="n">
        <v>11</v>
      </c>
      <c r="F113" s="11" t="inlineStr">
        <is>
          <t>None</t>
        </is>
      </c>
    </row>
    <row r="114">
      <c r="A114" s="15" t="n"/>
      <c r="B114" s="16" t="n"/>
      <c r="C114" s="16" t="n"/>
      <c r="D114" s="16" t="n"/>
      <c r="E114" s="16" t="n">
        <v>12</v>
      </c>
      <c r="F114" s="16" t="inlineStr">
        <is>
          <t>NS</t>
        </is>
      </c>
      <c r="G114" s="15" t="n"/>
      <c r="H114" s="15" t="n"/>
      <c r="I114" s="15" t="n"/>
      <c r="J114" s="15" t="n"/>
      <c r="K114" s="15" t="n"/>
    </row>
    <row r="115">
      <c r="A115" s="11" t="n">
        <v>9</v>
      </c>
      <c r="B115" s="11" t="n">
        <v>1</v>
      </c>
      <c r="C115" s="11" t="n">
        <v>14</v>
      </c>
      <c r="D115" s="11" t="n">
        <v>9</v>
      </c>
      <c r="E115" s="11" t="n">
        <v>17</v>
      </c>
      <c r="F115" s="11" t="inlineStr">
        <is>
          <t>None</t>
        </is>
      </c>
    </row>
    <row r="116">
      <c r="B116" s="16" t="n"/>
      <c r="C116" s="16" t="n"/>
      <c r="D116" s="16" t="n"/>
      <c r="E116" s="16" t="n">
        <v>18</v>
      </c>
      <c r="F116" s="16" t="inlineStr">
        <is>
          <t>NS</t>
        </is>
      </c>
      <c r="G116" s="15" t="n"/>
      <c r="H116" s="15" t="n"/>
      <c r="I116" s="15" t="n"/>
      <c r="J116" s="15" t="n"/>
      <c r="K116" s="15" t="n"/>
    </row>
    <row r="117">
      <c r="B117" s="11" t="n">
        <v>2</v>
      </c>
      <c r="C117" s="11" t="n">
        <v>13</v>
      </c>
      <c r="D117" s="11" t="n">
        <v>5</v>
      </c>
      <c r="E117" s="11" t="n">
        <v>21</v>
      </c>
      <c r="F117" s="11" t="inlineStr">
        <is>
          <t>NS</t>
        </is>
      </c>
    </row>
    <row r="118">
      <c r="B118" s="16" t="n"/>
      <c r="C118" s="16" t="n"/>
      <c r="D118" s="16" t="n"/>
      <c r="E118" s="16" t="n">
        <v>22</v>
      </c>
      <c r="F118" s="16" t="inlineStr">
        <is>
          <t>EW</t>
        </is>
      </c>
      <c r="G118" s="15" t="n"/>
      <c r="H118" s="15" t="n"/>
      <c r="I118" s="15" t="n"/>
      <c r="J118" s="15" t="n"/>
      <c r="K118" s="15" t="n"/>
    </row>
    <row r="119">
      <c r="B119" s="11" t="n">
        <v>3</v>
      </c>
      <c r="C119" s="11" t="n">
        <v>10</v>
      </c>
      <c r="D119" s="11" t="n">
        <v>11</v>
      </c>
      <c r="E119" s="11" t="n">
        <v>23</v>
      </c>
      <c r="F119" s="11" t="inlineStr">
        <is>
          <t>Both</t>
        </is>
      </c>
    </row>
    <row r="120">
      <c r="B120" s="16" t="n"/>
      <c r="C120" s="16" t="n"/>
      <c r="D120" s="16" t="n"/>
      <c r="E120" s="16" t="n">
        <v>24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</row>
    <row r="121">
      <c r="B121" s="11" t="n">
        <v>4</v>
      </c>
      <c r="C121" s="11" t="n">
        <v>4</v>
      </c>
      <c r="D121" s="11" t="n">
        <v>6</v>
      </c>
      <c r="E121" s="11" t="n">
        <v>25</v>
      </c>
      <c r="F121" s="11" t="inlineStr">
        <is>
          <t>EW</t>
        </is>
      </c>
    </row>
    <row r="122">
      <c r="B122" s="16" t="n"/>
      <c r="C122" s="16" t="n"/>
      <c r="D122" s="16" t="n"/>
      <c r="E122" s="16" t="n">
        <v>26</v>
      </c>
      <c r="F122" s="16" t="inlineStr">
        <is>
          <t>Both</t>
        </is>
      </c>
      <c r="G122" s="15" t="n"/>
      <c r="H122" s="15" t="n"/>
      <c r="I122" s="15" t="n"/>
      <c r="J122" s="15" t="n"/>
      <c r="K122" s="15" t="n"/>
    </row>
    <row r="123">
      <c r="B123" s="11" t="n">
        <v>5</v>
      </c>
      <c r="C123" s="11" t="n">
        <v>1</v>
      </c>
      <c r="D123" s="11" t="n">
        <v>8</v>
      </c>
      <c r="E123" s="11" t="n">
        <v>9</v>
      </c>
      <c r="F123" s="11" t="inlineStr">
        <is>
          <t>EW</t>
        </is>
      </c>
    </row>
    <row r="124">
      <c r="B124" s="16" t="n"/>
      <c r="C124" s="16" t="n"/>
      <c r="D124" s="16" t="n"/>
      <c r="E124" s="16" t="n">
        <v>10</v>
      </c>
      <c r="F124" s="16" t="inlineStr">
        <is>
          <t>Both</t>
        </is>
      </c>
      <c r="G124" s="15" t="n"/>
      <c r="H124" s="15" t="n"/>
      <c r="I124" s="15" t="n"/>
      <c r="J124" s="15" t="n"/>
      <c r="K124" s="15" t="n"/>
    </row>
    <row r="125">
      <c r="B125" s="11" t="n">
        <v>6</v>
      </c>
      <c r="C125" s="11" t="n">
        <v>3</v>
      </c>
      <c r="D125" s="11" t="n">
        <v>7</v>
      </c>
      <c r="E125" s="11" t="n">
        <v>11</v>
      </c>
      <c r="F125" s="11" t="inlineStr">
        <is>
          <t>None</t>
        </is>
      </c>
    </row>
    <row r="126">
      <c r="B126" s="16" t="n"/>
      <c r="C126" s="16" t="n"/>
      <c r="D126" s="16" t="n"/>
      <c r="E126" s="16" t="n">
        <v>12</v>
      </c>
      <c r="F126" s="16" t="inlineStr">
        <is>
          <t>NS</t>
        </is>
      </c>
      <c r="G126" s="15" t="n"/>
      <c r="H126" s="15" t="n"/>
      <c r="I126" s="15" t="n"/>
      <c r="J126" s="15" t="n"/>
      <c r="K126" s="15" t="n"/>
    </row>
    <row r="127">
      <c r="B127" s="11" t="n">
        <v>7</v>
      </c>
      <c r="C127" s="11" t="n">
        <v>12</v>
      </c>
      <c r="D127" s="11" t="n">
        <v>2</v>
      </c>
      <c r="E127" s="11" t="n">
        <v>13</v>
      </c>
      <c r="F127" s="11" t="inlineStr">
        <is>
          <t>Both</t>
        </is>
      </c>
    </row>
    <row r="128">
      <c r="A128" s="15" t="n"/>
      <c r="B128" s="16" t="n"/>
      <c r="C128" s="16" t="n"/>
      <c r="D128" s="16" t="n"/>
      <c r="E128" s="16" t="n">
        <v>14</v>
      </c>
      <c r="F128" s="16" t="inlineStr">
        <is>
          <t>None</t>
        </is>
      </c>
      <c r="G128" s="15" t="n"/>
      <c r="H128" s="15" t="n"/>
      <c r="I128" s="15" t="n"/>
      <c r="J128" s="15" t="n"/>
      <c r="K128" s="15" t="n"/>
    </row>
    <row r="129">
      <c r="A129" s="11" t="n">
        <v>10</v>
      </c>
      <c r="B129" s="11" t="n">
        <v>1</v>
      </c>
      <c r="C129" s="11" t="n">
        <v>14</v>
      </c>
      <c r="D129" s="11" t="n">
        <v>10</v>
      </c>
      <c r="E129" s="11" t="n">
        <v>19</v>
      </c>
      <c r="F129" s="11" t="inlineStr">
        <is>
          <t>EW</t>
        </is>
      </c>
    </row>
    <row r="130">
      <c r="B130" s="16" t="n"/>
      <c r="C130" s="16" t="n"/>
      <c r="D130" s="16" t="n"/>
      <c r="E130" s="16" t="n">
        <v>20</v>
      </c>
      <c r="F130" s="16" t="inlineStr">
        <is>
          <t>Both</t>
        </is>
      </c>
      <c r="G130" s="15" t="n"/>
      <c r="H130" s="15" t="n"/>
      <c r="I130" s="15" t="n"/>
      <c r="J130" s="15" t="n"/>
      <c r="K130" s="15" t="n"/>
    </row>
    <row r="131">
      <c r="B131" s="11" t="n">
        <v>2</v>
      </c>
      <c r="C131" s="11" t="n">
        <v>1</v>
      </c>
      <c r="D131" s="11" t="n">
        <v>6</v>
      </c>
      <c r="E131" s="11" t="n">
        <v>23</v>
      </c>
      <c r="F131" s="11" t="inlineStr">
        <is>
          <t>Both</t>
        </is>
      </c>
    </row>
    <row r="132">
      <c r="B132" s="16" t="n"/>
      <c r="C132" s="16" t="n"/>
      <c r="D132" s="16" t="n"/>
      <c r="E132" s="16" t="n">
        <v>24</v>
      </c>
      <c r="F132" s="16" t="inlineStr">
        <is>
          <t>None</t>
        </is>
      </c>
      <c r="G132" s="15" t="n"/>
      <c r="H132" s="15" t="n"/>
      <c r="I132" s="15" t="n"/>
      <c r="J132" s="15" t="n"/>
      <c r="K132" s="15" t="n"/>
    </row>
    <row r="133">
      <c r="B133" s="11" t="n">
        <v>3</v>
      </c>
      <c r="C133" s="11" t="n">
        <v>11</v>
      </c>
      <c r="D133" s="11" t="n">
        <v>12</v>
      </c>
      <c r="E133" s="11" t="n">
        <v>25</v>
      </c>
      <c r="F133" s="11" t="inlineStr">
        <is>
          <t>EW</t>
        </is>
      </c>
    </row>
    <row r="134">
      <c r="B134" s="16" t="n"/>
      <c r="C134" s="16" t="n"/>
      <c r="D134" s="16" t="n"/>
      <c r="E134" s="16" t="n">
        <v>26</v>
      </c>
      <c r="F134" s="16" t="inlineStr">
        <is>
          <t>Both</t>
        </is>
      </c>
      <c r="G134" s="15" t="n"/>
      <c r="H134" s="15" t="n"/>
      <c r="I134" s="15" t="n"/>
      <c r="J134" s="15" t="n"/>
      <c r="K134" s="15" t="n"/>
    </row>
    <row r="135">
      <c r="B135" s="11" t="n">
        <v>4</v>
      </c>
      <c r="C135" s="11" t="n">
        <v>5</v>
      </c>
      <c r="D135" s="11" t="n">
        <v>7</v>
      </c>
      <c r="E135" s="11" t="n">
        <v>1</v>
      </c>
      <c r="F135" s="11" t="inlineStr">
        <is>
          <t>None</t>
        </is>
      </c>
    </row>
    <row r="136">
      <c r="B136" s="16" t="n"/>
      <c r="C136" s="16" t="n"/>
      <c r="D136" s="16" t="n"/>
      <c r="E136" s="16" t="n">
        <v>2</v>
      </c>
      <c r="F136" s="16" t="inlineStr">
        <is>
          <t>NS</t>
        </is>
      </c>
      <c r="G136" s="15" t="n"/>
      <c r="H136" s="15" t="n"/>
      <c r="I136" s="15" t="n"/>
      <c r="J136" s="15" t="n"/>
      <c r="K136" s="15" t="n"/>
    </row>
    <row r="137">
      <c r="B137" s="11" t="n">
        <v>5</v>
      </c>
      <c r="C137" s="11" t="n">
        <v>2</v>
      </c>
      <c r="D137" s="11" t="n">
        <v>9</v>
      </c>
      <c r="E137" s="11" t="n">
        <v>11</v>
      </c>
      <c r="F137" s="11" t="inlineStr">
        <is>
          <t>None</t>
        </is>
      </c>
    </row>
    <row r="138">
      <c r="B138" s="16" t="n"/>
      <c r="C138" s="16" t="n"/>
      <c r="D138" s="16" t="n"/>
      <c r="E138" s="16" t="n">
        <v>12</v>
      </c>
      <c r="F138" s="16" t="inlineStr">
        <is>
          <t>NS</t>
        </is>
      </c>
      <c r="G138" s="15" t="n"/>
      <c r="H138" s="15" t="n"/>
      <c r="I138" s="15" t="n"/>
      <c r="J138" s="15" t="n"/>
      <c r="K138" s="15" t="n"/>
    </row>
    <row r="139">
      <c r="B139" s="11" t="n">
        <v>6</v>
      </c>
      <c r="C139" s="11" t="n">
        <v>4</v>
      </c>
      <c r="D139" s="11" t="n">
        <v>8</v>
      </c>
      <c r="E139" s="11" t="n">
        <v>13</v>
      </c>
      <c r="F139" s="11" t="inlineStr">
        <is>
          <t>Both</t>
        </is>
      </c>
    </row>
    <row r="140">
      <c r="B140" s="16" t="n"/>
      <c r="C140" s="16" t="n"/>
      <c r="D140" s="16" t="n"/>
      <c r="E140" s="16" t="n">
        <v>14</v>
      </c>
      <c r="F140" s="16" t="inlineStr">
        <is>
          <t>None</t>
        </is>
      </c>
      <c r="G140" s="15" t="n"/>
      <c r="H140" s="15" t="n"/>
      <c r="I140" s="15" t="n"/>
      <c r="J140" s="15" t="n"/>
      <c r="K140" s="15" t="n"/>
    </row>
    <row r="141">
      <c r="B141" s="11" t="n">
        <v>7</v>
      </c>
      <c r="C141" s="11" t="n">
        <v>13</v>
      </c>
      <c r="D141" s="11" t="n">
        <v>3</v>
      </c>
      <c r="E141" s="11" t="n">
        <v>15</v>
      </c>
      <c r="F141" s="11" t="inlineStr">
        <is>
          <t>NS</t>
        </is>
      </c>
    </row>
    <row r="142">
      <c r="A142" s="15" t="n"/>
      <c r="B142" s="16" t="n"/>
      <c r="C142" s="16" t="n"/>
      <c r="D142" s="16" t="n"/>
      <c r="E142" s="16" t="n">
        <v>16</v>
      </c>
      <c r="F142" s="16" t="inlineStr">
        <is>
          <t>EW</t>
        </is>
      </c>
      <c r="G142" s="15" t="n"/>
      <c r="H142" s="15" t="n"/>
      <c r="I142" s="15" t="n"/>
      <c r="J142" s="15" t="n"/>
      <c r="K142" s="15" t="n"/>
    </row>
    <row r="143">
      <c r="A143" s="11" t="n">
        <v>11</v>
      </c>
      <c r="B143" s="11" t="n">
        <v>1</v>
      </c>
      <c r="C143" s="11" t="n">
        <v>14</v>
      </c>
      <c r="D143" s="11" t="n">
        <v>11</v>
      </c>
      <c r="E143" s="11" t="n">
        <v>21</v>
      </c>
      <c r="F143" s="11" t="inlineStr">
        <is>
          <t>NS</t>
        </is>
      </c>
    </row>
    <row r="144">
      <c r="B144" s="16" t="n"/>
      <c r="C144" s="16" t="n"/>
      <c r="D144" s="16" t="n"/>
      <c r="E144" s="16" t="n">
        <v>22</v>
      </c>
      <c r="F144" s="16" t="inlineStr">
        <is>
          <t>EW</t>
        </is>
      </c>
      <c r="G144" s="15" t="n"/>
      <c r="H144" s="15" t="n"/>
      <c r="I144" s="15" t="n"/>
      <c r="J144" s="15" t="n"/>
      <c r="K144" s="15" t="n"/>
    </row>
    <row r="145">
      <c r="B145" s="11" t="n">
        <v>2</v>
      </c>
      <c r="C145" s="11" t="n">
        <v>2</v>
      </c>
      <c r="D145" s="11" t="n">
        <v>7</v>
      </c>
      <c r="E145" s="11" t="n">
        <v>25</v>
      </c>
      <c r="F145" s="11" t="inlineStr">
        <is>
          <t>EW</t>
        </is>
      </c>
    </row>
    <row r="146">
      <c r="B146" s="16" t="n"/>
      <c r="C146" s="16" t="n"/>
      <c r="D146" s="16" t="n"/>
      <c r="E146" s="16" t="n">
        <v>26</v>
      </c>
      <c r="F146" s="16" t="inlineStr">
        <is>
          <t>Both</t>
        </is>
      </c>
      <c r="G146" s="15" t="n"/>
      <c r="H146" s="15" t="n"/>
      <c r="I146" s="15" t="n"/>
      <c r="J146" s="15" t="n"/>
      <c r="K146" s="15" t="n"/>
    </row>
    <row r="147">
      <c r="B147" s="11" t="n">
        <v>3</v>
      </c>
      <c r="C147" s="11" t="n">
        <v>12</v>
      </c>
      <c r="D147" s="11" t="n">
        <v>13</v>
      </c>
      <c r="E147" s="11" t="n">
        <v>1</v>
      </c>
      <c r="F147" s="11" t="inlineStr">
        <is>
          <t>None</t>
        </is>
      </c>
    </row>
    <row r="148">
      <c r="B148" s="16" t="n"/>
      <c r="C148" s="16" t="n"/>
      <c r="D148" s="16" t="n"/>
      <c r="E148" s="16" t="n">
        <v>2</v>
      </c>
      <c r="F148" s="16" t="inlineStr">
        <is>
          <t>NS</t>
        </is>
      </c>
      <c r="G148" s="15" t="n"/>
      <c r="H148" s="15" t="n"/>
      <c r="I148" s="15" t="n"/>
      <c r="J148" s="15" t="n"/>
      <c r="K148" s="15" t="n"/>
    </row>
    <row r="149">
      <c r="B149" s="11" t="n">
        <v>4</v>
      </c>
      <c r="C149" s="11" t="n">
        <v>6</v>
      </c>
      <c r="D149" s="11" t="n">
        <v>8</v>
      </c>
      <c r="E149" s="11" t="n">
        <v>3</v>
      </c>
      <c r="F149" s="11" t="inlineStr">
        <is>
          <t>EW</t>
        </is>
      </c>
    </row>
    <row r="150">
      <c r="B150" s="16" t="n"/>
      <c r="C150" s="16" t="n"/>
      <c r="D150" s="16" t="n"/>
      <c r="E150" s="16" t="n">
        <v>4</v>
      </c>
      <c r="F150" s="16" t="inlineStr">
        <is>
          <t>Both</t>
        </is>
      </c>
      <c r="G150" s="15" t="n"/>
      <c r="H150" s="15" t="n"/>
      <c r="I150" s="15" t="n"/>
      <c r="J150" s="15" t="n"/>
      <c r="K150" s="15" t="n"/>
    </row>
    <row r="151">
      <c r="B151" s="11" t="n">
        <v>5</v>
      </c>
      <c r="C151" s="11" t="n">
        <v>3</v>
      </c>
      <c r="D151" s="11" t="n">
        <v>10</v>
      </c>
      <c r="E151" s="11" t="n">
        <v>13</v>
      </c>
      <c r="F151" s="11" t="inlineStr">
        <is>
          <t>Both</t>
        </is>
      </c>
    </row>
    <row r="152">
      <c r="B152" s="16" t="n"/>
      <c r="C152" s="16" t="n"/>
      <c r="D152" s="16" t="n"/>
      <c r="E152" s="16" t="n">
        <v>14</v>
      </c>
      <c r="F152" s="16" t="inlineStr">
        <is>
          <t>None</t>
        </is>
      </c>
      <c r="G152" s="15" t="n"/>
      <c r="H152" s="15" t="n"/>
      <c r="I152" s="15" t="n"/>
      <c r="J152" s="15" t="n"/>
      <c r="K152" s="15" t="n"/>
    </row>
    <row r="153">
      <c r="B153" s="11" t="n">
        <v>6</v>
      </c>
      <c r="C153" s="11" t="n">
        <v>5</v>
      </c>
      <c r="D153" s="11" t="n">
        <v>9</v>
      </c>
      <c r="E153" s="11" t="n">
        <v>15</v>
      </c>
      <c r="F153" s="11" t="inlineStr">
        <is>
          <t>NS</t>
        </is>
      </c>
    </row>
    <row r="154">
      <c r="B154" s="16" t="n"/>
      <c r="C154" s="16" t="n"/>
      <c r="D154" s="16" t="n"/>
      <c r="E154" s="16" t="n">
        <v>16</v>
      </c>
      <c r="F154" s="16" t="inlineStr">
        <is>
          <t>EW</t>
        </is>
      </c>
      <c r="G154" s="15" t="n"/>
      <c r="H154" s="15" t="n"/>
      <c r="I154" s="15" t="n"/>
      <c r="J154" s="15" t="n"/>
      <c r="K154" s="15" t="n"/>
    </row>
    <row r="155">
      <c r="B155" s="11" t="n">
        <v>7</v>
      </c>
      <c r="C155" s="11" t="n">
        <v>1</v>
      </c>
      <c r="D155" s="11" t="n">
        <v>4</v>
      </c>
      <c r="E155" s="11" t="n">
        <v>17</v>
      </c>
      <c r="F155" s="11" t="inlineStr">
        <is>
          <t>None</t>
        </is>
      </c>
    </row>
    <row r="156">
      <c r="A156" s="15" t="n"/>
      <c r="B156" s="16" t="n"/>
      <c r="C156" s="16" t="n"/>
      <c r="D156" s="16" t="n"/>
      <c r="E156" s="16" t="n">
        <v>18</v>
      </c>
      <c r="F156" s="16" t="inlineStr">
        <is>
          <t>NS</t>
        </is>
      </c>
      <c r="G156" s="15" t="n"/>
      <c r="H156" s="15" t="n"/>
      <c r="I156" s="15" t="n"/>
      <c r="J156" s="15" t="n"/>
      <c r="K156" s="15" t="n"/>
    </row>
    <row r="157">
      <c r="A157" s="11" t="n">
        <v>12</v>
      </c>
      <c r="B157" s="11" t="n">
        <v>1</v>
      </c>
      <c r="C157" s="11" t="n">
        <v>14</v>
      </c>
      <c r="D157" s="11" t="n">
        <v>12</v>
      </c>
      <c r="E157" s="11" t="n">
        <v>23</v>
      </c>
      <c r="F157" s="11" t="inlineStr">
        <is>
          <t>Both</t>
        </is>
      </c>
    </row>
    <row r="158">
      <c r="B158" s="16" t="n"/>
      <c r="C158" s="16" t="n"/>
      <c r="D158" s="16" t="n"/>
      <c r="E158" s="16" t="n">
        <v>24</v>
      </c>
      <c r="F158" s="16" t="inlineStr">
        <is>
          <t>None</t>
        </is>
      </c>
      <c r="G158" s="15" t="n"/>
      <c r="H158" s="15" t="n"/>
      <c r="I158" s="15" t="n"/>
      <c r="J158" s="15" t="n"/>
      <c r="K158" s="15" t="n"/>
    </row>
    <row r="159">
      <c r="B159" s="11" t="n">
        <v>2</v>
      </c>
      <c r="C159" s="11" t="n">
        <v>3</v>
      </c>
      <c r="D159" s="11" t="n">
        <v>8</v>
      </c>
      <c r="E159" s="11" t="n">
        <v>1</v>
      </c>
      <c r="F159" s="11" t="inlineStr">
        <is>
          <t>None</t>
        </is>
      </c>
    </row>
    <row r="160">
      <c r="B160" s="16" t="n"/>
      <c r="C160" s="16" t="n"/>
      <c r="D160" s="16" t="n"/>
      <c r="E160" s="16" t="n">
        <v>2</v>
      </c>
      <c r="F160" s="16" t="inlineStr">
        <is>
          <t>NS</t>
        </is>
      </c>
      <c r="G160" s="15" t="n"/>
      <c r="H160" s="15" t="n"/>
      <c r="I160" s="15" t="n"/>
      <c r="J160" s="15" t="n"/>
      <c r="K160" s="15" t="n"/>
    </row>
    <row r="161">
      <c r="B161" s="11" t="n">
        <v>3</v>
      </c>
      <c r="C161" s="11" t="n">
        <v>13</v>
      </c>
      <c r="D161" s="11" t="n">
        <v>1</v>
      </c>
      <c r="E161" s="11" t="n">
        <v>3</v>
      </c>
      <c r="F161" s="11" t="inlineStr">
        <is>
          <t>EW</t>
        </is>
      </c>
    </row>
    <row r="162">
      <c r="B162" s="16" t="n"/>
      <c r="C162" s="16" t="n"/>
      <c r="D162" s="16" t="n"/>
      <c r="E162" s="16" t="n">
        <v>4</v>
      </c>
      <c r="F162" s="16" t="inlineStr">
        <is>
          <t>Both</t>
        </is>
      </c>
      <c r="G162" s="15" t="n"/>
      <c r="H162" s="15" t="n"/>
      <c r="I162" s="15" t="n"/>
      <c r="J162" s="15" t="n"/>
      <c r="K162" s="15" t="n"/>
    </row>
    <row r="163">
      <c r="B163" s="11" t="n">
        <v>4</v>
      </c>
      <c r="C163" s="11" t="n">
        <v>7</v>
      </c>
      <c r="D163" s="11" t="n">
        <v>9</v>
      </c>
      <c r="E163" s="11" t="n">
        <v>5</v>
      </c>
      <c r="F163" s="11" t="inlineStr">
        <is>
          <t>NS</t>
        </is>
      </c>
    </row>
    <row r="164">
      <c r="B164" s="16" t="n"/>
      <c r="C164" s="16" t="n"/>
      <c r="D164" s="16" t="n"/>
      <c r="E164" s="16" t="n">
        <v>6</v>
      </c>
      <c r="F164" s="16" t="inlineStr">
        <is>
          <t>EW</t>
        </is>
      </c>
      <c r="G164" s="15" t="n"/>
      <c r="H164" s="15" t="n"/>
      <c r="I164" s="15" t="n"/>
      <c r="J164" s="15" t="n"/>
      <c r="K164" s="15" t="n"/>
    </row>
    <row r="165">
      <c r="B165" s="11" t="n">
        <v>5</v>
      </c>
      <c r="C165" s="11" t="n">
        <v>4</v>
      </c>
      <c r="D165" s="11" t="n">
        <v>11</v>
      </c>
      <c r="E165" s="11" t="n">
        <v>15</v>
      </c>
      <c r="F165" s="11" t="inlineStr">
        <is>
          <t>NS</t>
        </is>
      </c>
    </row>
    <row r="166">
      <c r="B166" s="16" t="n"/>
      <c r="C166" s="16" t="n"/>
      <c r="D166" s="16" t="n"/>
      <c r="E166" s="16" t="n">
        <v>16</v>
      </c>
      <c r="F166" s="16" t="inlineStr">
        <is>
          <t>EW</t>
        </is>
      </c>
      <c r="G166" s="15" t="n"/>
      <c r="H166" s="15" t="n"/>
      <c r="I166" s="15" t="n"/>
      <c r="J166" s="15" t="n"/>
      <c r="K166" s="15" t="n"/>
    </row>
    <row r="167">
      <c r="B167" s="11" t="n">
        <v>6</v>
      </c>
      <c r="C167" s="11" t="n">
        <v>6</v>
      </c>
      <c r="D167" s="11" t="n">
        <v>10</v>
      </c>
      <c r="E167" s="11" t="n">
        <v>17</v>
      </c>
      <c r="F167" s="11" t="inlineStr">
        <is>
          <t>None</t>
        </is>
      </c>
    </row>
    <row r="168">
      <c r="B168" s="16" t="n"/>
      <c r="C168" s="16" t="n"/>
      <c r="D168" s="16" t="n"/>
      <c r="E168" s="16" t="n">
        <v>18</v>
      </c>
      <c r="F168" s="16" t="inlineStr">
        <is>
          <t>NS</t>
        </is>
      </c>
      <c r="G168" s="15" t="n"/>
      <c r="H168" s="15" t="n"/>
      <c r="I168" s="15" t="n"/>
      <c r="J168" s="15" t="n"/>
      <c r="K168" s="15" t="n"/>
    </row>
    <row r="169">
      <c r="B169" s="11" t="n">
        <v>7</v>
      </c>
      <c r="C169" s="11" t="n">
        <v>2</v>
      </c>
      <c r="D169" s="11" t="n">
        <v>5</v>
      </c>
      <c r="E169" s="11" t="n">
        <v>19</v>
      </c>
      <c r="F169" s="11" t="inlineStr">
        <is>
          <t>EW</t>
        </is>
      </c>
    </row>
    <row r="170">
      <c r="A170" s="15" t="n"/>
      <c r="B170" s="16" t="n"/>
      <c r="C170" s="16" t="n"/>
      <c r="D170" s="16" t="n"/>
      <c r="E170" s="16" t="n">
        <v>20</v>
      </c>
      <c r="F170" s="16" t="inlineStr">
        <is>
          <t>Both</t>
        </is>
      </c>
      <c r="G170" s="15" t="n"/>
      <c r="H170" s="15" t="n"/>
      <c r="I170" s="15" t="n"/>
      <c r="J170" s="15" t="n"/>
      <c r="K170" s="15" t="n"/>
    </row>
    <row r="171">
      <c r="A171" s="11" t="n">
        <v>13</v>
      </c>
      <c r="B171" s="11" t="n">
        <v>1</v>
      </c>
      <c r="C171" s="11" t="n">
        <v>14</v>
      </c>
      <c r="D171" s="11" t="n">
        <v>13</v>
      </c>
      <c r="E171" s="11" t="n">
        <v>25</v>
      </c>
      <c r="F171" s="11" t="inlineStr">
        <is>
          <t>EW</t>
        </is>
      </c>
    </row>
    <row r="172">
      <c r="B172" s="16" t="n"/>
      <c r="C172" s="16" t="n"/>
      <c r="D172" s="16" t="n"/>
      <c r="E172" s="16" t="n">
        <v>26</v>
      </c>
      <c r="F172" s="16" t="inlineStr">
        <is>
          <t>Both</t>
        </is>
      </c>
      <c r="G172" s="15" t="n"/>
      <c r="H172" s="15" t="n"/>
      <c r="I172" s="15" t="n"/>
      <c r="J172" s="15" t="n"/>
      <c r="K172" s="15" t="n"/>
    </row>
    <row r="173">
      <c r="B173" s="11" t="n">
        <v>2</v>
      </c>
      <c r="C173" s="11" t="n">
        <v>4</v>
      </c>
      <c r="D173" s="11" t="n">
        <v>9</v>
      </c>
      <c r="E173" s="11" t="n">
        <v>3</v>
      </c>
      <c r="F173" s="11" t="inlineStr">
        <is>
          <t>EW</t>
        </is>
      </c>
    </row>
    <row r="174">
      <c r="B174" s="16" t="n"/>
      <c r="C174" s="16" t="n"/>
      <c r="D174" s="16" t="n"/>
      <c r="E174" s="16" t="n">
        <v>4</v>
      </c>
      <c r="F174" s="16" t="inlineStr">
        <is>
          <t>Both</t>
        </is>
      </c>
      <c r="G174" s="15" t="n"/>
      <c r="H174" s="15" t="n"/>
      <c r="I174" s="15" t="n"/>
      <c r="J174" s="15" t="n"/>
      <c r="K174" s="15" t="n"/>
    </row>
    <row r="175">
      <c r="B175" s="11" t="n">
        <v>3</v>
      </c>
      <c r="C175" s="11" t="n">
        <v>1</v>
      </c>
      <c r="D175" s="11" t="n">
        <v>2</v>
      </c>
      <c r="E175" s="11" t="n">
        <v>5</v>
      </c>
      <c r="F175" s="11" t="inlineStr">
        <is>
          <t>NS</t>
        </is>
      </c>
    </row>
    <row r="176">
      <c r="B176" s="16" t="n"/>
      <c r="C176" s="16" t="n"/>
      <c r="D176" s="16" t="n"/>
      <c r="E176" s="16" t="n">
        <v>6</v>
      </c>
      <c r="F176" s="16" t="inlineStr">
        <is>
          <t>EW</t>
        </is>
      </c>
      <c r="G176" s="15" t="n"/>
      <c r="H176" s="15" t="n"/>
      <c r="I176" s="15" t="n"/>
      <c r="J176" s="15" t="n"/>
      <c r="K176" s="15" t="n"/>
    </row>
    <row r="177">
      <c r="B177" s="11" t="n">
        <v>4</v>
      </c>
      <c r="C177" s="11" t="n">
        <v>8</v>
      </c>
      <c r="D177" s="11" t="n">
        <v>10</v>
      </c>
      <c r="E177" s="11" t="n">
        <v>7</v>
      </c>
      <c r="F177" s="11" t="inlineStr">
        <is>
          <t>Both</t>
        </is>
      </c>
    </row>
    <row r="178">
      <c r="B178" s="16" t="n"/>
      <c r="C178" s="16" t="n"/>
      <c r="D178" s="16" t="n"/>
      <c r="E178" s="16" t="n">
        <v>8</v>
      </c>
      <c r="F178" s="16" t="inlineStr">
        <is>
          <t>None</t>
        </is>
      </c>
      <c r="G178" s="15" t="n"/>
      <c r="H178" s="15" t="n"/>
      <c r="I178" s="15" t="n"/>
      <c r="J178" s="15" t="n"/>
      <c r="K178" s="15" t="n"/>
    </row>
    <row r="179">
      <c r="B179" s="11" t="n">
        <v>5</v>
      </c>
      <c r="C179" s="11" t="n">
        <v>5</v>
      </c>
      <c r="D179" s="11" t="n">
        <v>12</v>
      </c>
      <c r="E179" s="11" t="n">
        <v>17</v>
      </c>
      <c r="F179" s="11" t="inlineStr">
        <is>
          <t>None</t>
        </is>
      </c>
    </row>
    <row r="180">
      <c r="B180" s="16" t="n"/>
      <c r="C180" s="16" t="n"/>
      <c r="D180" s="16" t="n"/>
      <c r="E180" s="16" t="n">
        <v>18</v>
      </c>
      <c r="F180" s="16" t="inlineStr">
        <is>
          <t>NS</t>
        </is>
      </c>
      <c r="G180" s="15" t="n"/>
      <c r="H180" s="15" t="n"/>
      <c r="I180" s="15" t="n"/>
      <c r="J180" s="15" t="n"/>
      <c r="K180" s="15" t="n"/>
    </row>
    <row r="181">
      <c r="B181" s="11" t="n">
        <v>6</v>
      </c>
      <c r="C181" s="11" t="n">
        <v>7</v>
      </c>
      <c r="D181" s="11" t="n">
        <v>11</v>
      </c>
      <c r="E181" s="11" t="n">
        <v>19</v>
      </c>
      <c r="F181" s="11" t="inlineStr">
        <is>
          <t>EW</t>
        </is>
      </c>
    </row>
    <row r="182">
      <c r="B182" s="16" t="n"/>
      <c r="C182" s="16" t="n"/>
      <c r="D182" s="16" t="n"/>
      <c r="E182" s="16" t="n">
        <v>20</v>
      </c>
      <c r="F182" s="16" t="inlineStr">
        <is>
          <t>Both</t>
        </is>
      </c>
      <c r="G182" s="15" t="n"/>
      <c r="H182" s="15" t="n"/>
      <c r="I182" s="15" t="n"/>
      <c r="J182" s="15" t="n"/>
      <c r="K182" s="15" t="n"/>
    </row>
    <row r="183">
      <c r="B183" s="11" t="n">
        <v>7</v>
      </c>
      <c r="C183" s="11" t="n">
        <v>3</v>
      </c>
      <c r="D183" s="11" t="n">
        <v>6</v>
      </c>
      <c r="E183" s="11" t="n">
        <v>21</v>
      </c>
      <c r="F183" s="11" t="inlineStr">
        <is>
          <t>NS</t>
        </is>
      </c>
    </row>
    <row r="184">
      <c r="A184" s="15" t="n"/>
      <c r="B184" s="16" t="n"/>
      <c r="C184" s="16" t="n"/>
      <c r="D184" s="16" t="n"/>
      <c r="E184" s="16" t="n">
        <v>22</v>
      </c>
      <c r="F184" s="16" t="inlineStr">
        <is>
          <t>EW</t>
        </is>
      </c>
      <c r="G184" s="15" t="n"/>
      <c r="H184" s="15" t="n"/>
      <c r="I184" s="15" t="n"/>
      <c r="J184" s="15" t="n"/>
      <c r="K184" s="15" t="n"/>
    </row>
  </sheetData>
  <mergeCells count="1">
    <mergeCell ref="J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1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2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3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4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5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6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1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2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3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4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5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6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1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2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3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4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5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6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1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2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3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4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5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1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2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3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4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5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1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2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3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4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5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1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2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3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4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1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2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3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4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1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2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3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4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1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2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3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1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2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3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1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2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3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1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2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1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2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1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2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1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1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1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2026-02-05T03:49:29Z</dcterms:created>
  <dcterms:modified xsi:type="dcterms:W3CDTF">2026-02-05T03:49:29Z</dcterms:modified>
</cp:coreProperties>
</file>