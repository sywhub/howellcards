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72</t>
        </is>
      </c>
      <c r="C2" t="inlineStr">
        <is>
          <t>Name 64</t>
        </is>
      </c>
      <c r="D2" s="4">
        <f>SUMIF('By Board'!$D$3:$D$184,"=1",'By Board'!$L$3:$L$184)+SUMIF('By Board'!$E$3:$E$184,"=1",'By Board'!$M$3:$M$184)</f>
        <v/>
      </c>
      <c r="E2" s="5">
        <f>SUMIF('By Board'!$D$3:$D$184,"=1",'By Board'!$N$3:$N$184)/26+SUMIF('By Board'!$E$3:$E$184,"=1",'By Board'!$O$3:$O$184)/26</f>
        <v/>
      </c>
    </row>
    <row r="3">
      <c r="A3" t="n">
        <v>2</v>
      </c>
      <c r="B3" t="inlineStr">
        <is>
          <t>Name 89</t>
        </is>
      </c>
      <c r="C3" t="inlineStr">
        <is>
          <t>Name 70</t>
        </is>
      </c>
      <c r="D3" s="4">
        <f>SUMIF('By Board'!$D$3:$D$184,"=2",'By Board'!$L$3:$L$184)+SUMIF('By Board'!$E$3:$E$184,"=2",'By Board'!$M$3:$M$184)</f>
        <v/>
      </c>
      <c r="E3" s="5">
        <f>SUMIF('By Board'!$D$3:$D$184,"=2",'By Board'!$N$3:$N$184)/26+SUMIF('By Board'!$E$3:$E$184,"=2",'By Board'!$O$3:$O$184)/26</f>
        <v/>
      </c>
    </row>
    <row r="4">
      <c r="A4" t="n">
        <v>3</v>
      </c>
      <c r="B4" t="inlineStr">
        <is>
          <t>Name 59</t>
        </is>
      </c>
      <c r="C4" t="inlineStr">
        <is>
          <t>Name 42</t>
        </is>
      </c>
      <c r="D4" s="4">
        <f>SUMIF('By Board'!$D$3:$D$184,"=3",'By Board'!$L$3:$L$184)+SUMIF('By Board'!$E$3:$E$184,"=3",'By Board'!$M$3:$M$184)</f>
        <v/>
      </c>
      <c r="E4" s="5">
        <f>SUMIF('By Board'!$D$3:$D$184,"=3",'By Board'!$N$3:$N$184)/26+SUMIF('By Board'!$E$3:$E$184,"=3",'By Board'!$O$3:$O$184)/26</f>
        <v/>
      </c>
    </row>
    <row r="5">
      <c r="A5" t="n">
        <v>4</v>
      </c>
      <c r="B5" t="inlineStr">
        <is>
          <t>Name 11</t>
        </is>
      </c>
      <c r="C5" t="inlineStr">
        <is>
          <t>Name 83</t>
        </is>
      </c>
      <c r="D5" s="4">
        <f>SUMIF('By Board'!$D$3:$D$184,"=4",'By Board'!$L$3:$L$184)+SUMIF('By Board'!$E$3:$E$184,"=4",'By Board'!$M$3:$M$184)</f>
        <v/>
      </c>
      <c r="E5" s="5">
        <f>SUMIF('By Board'!$D$3:$D$184,"=4",'By Board'!$N$3:$N$184)/26+SUMIF('By Board'!$E$3:$E$184,"=4",'By Board'!$O$3:$O$184)/26</f>
        <v/>
      </c>
    </row>
    <row r="6">
      <c r="A6" t="n">
        <v>5</v>
      </c>
      <c r="B6" t="inlineStr">
        <is>
          <t>Name 68</t>
        </is>
      </c>
      <c r="C6" t="inlineStr">
        <is>
          <t>Name 62</t>
        </is>
      </c>
      <c r="D6" s="4">
        <f>SUMIF('By Board'!$D$3:$D$184,"=5",'By Board'!$L$3:$L$184)+SUMIF('By Board'!$E$3:$E$184,"=5",'By Board'!$M$3:$M$184)</f>
        <v/>
      </c>
      <c r="E6" s="5">
        <f>SUMIF('By Board'!$D$3:$D$184,"=5",'By Board'!$N$3:$N$184)/26+SUMIF('By Board'!$E$3:$E$184,"=5",'By Board'!$O$3:$O$184)/26</f>
        <v/>
      </c>
    </row>
    <row r="7">
      <c r="A7" t="n">
        <v>6</v>
      </c>
      <c r="B7" t="inlineStr">
        <is>
          <t>Name 72</t>
        </is>
      </c>
      <c r="C7" t="inlineStr">
        <is>
          <t>Name 64</t>
        </is>
      </c>
      <c r="D7" s="4">
        <f>SUMIF('By Board'!$D$3:$D$184,"=6",'By Board'!$L$3:$L$184)+SUMIF('By Board'!$E$3:$E$184,"=6",'By Board'!$M$3:$M$184)</f>
        <v/>
      </c>
      <c r="E7" s="5">
        <f>SUMIF('By Board'!$D$3:$D$184,"=6",'By Board'!$N$3:$N$184)/26+SUMIF('By Board'!$E$3:$E$184,"=6",'By Board'!$O$3:$O$184)/26</f>
        <v/>
      </c>
    </row>
    <row r="8">
      <c r="A8" t="n">
        <v>7</v>
      </c>
      <c r="B8" t="inlineStr">
        <is>
          <t>Name 52</t>
        </is>
      </c>
      <c r="C8" t="inlineStr">
        <is>
          <t>Name 73</t>
        </is>
      </c>
      <c r="D8" s="4">
        <f>SUMIF('By Board'!$D$3:$D$184,"=7",'By Board'!$L$3:$L$184)+SUMIF('By Board'!$E$3:$E$184,"=7",'By Board'!$M$3:$M$184)</f>
        <v/>
      </c>
      <c r="E8" s="5">
        <f>SUMIF('By Board'!$D$3:$D$184,"=7",'By Board'!$N$3:$N$184)/26+SUMIF('By Board'!$E$3:$E$184,"=7",'By Board'!$O$3:$O$184)/26</f>
        <v/>
      </c>
    </row>
    <row r="9">
      <c r="A9" t="n">
        <v>8</v>
      </c>
      <c r="B9" t="inlineStr">
        <is>
          <t>Name 55</t>
        </is>
      </c>
      <c r="C9" t="inlineStr">
        <is>
          <t>Name 63</t>
        </is>
      </c>
      <c r="D9" s="4">
        <f>SUMIF('By Board'!$D$3:$D$184,"=8",'By Board'!$L$3:$L$184)+SUMIF('By Board'!$E$3:$E$184,"=8",'By Board'!$M$3:$M$184)</f>
        <v/>
      </c>
      <c r="E9" s="5">
        <f>SUMIF('By Board'!$D$3:$D$184,"=8",'By Board'!$N$3:$N$184)/26+SUMIF('By Board'!$E$3:$E$184,"=8",'By Board'!$O$3:$O$184)/26</f>
        <v/>
      </c>
    </row>
    <row r="10">
      <c r="A10" t="n">
        <v>9</v>
      </c>
      <c r="B10" t="inlineStr">
        <is>
          <t>Name 82</t>
        </is>
      </c>
      <c r="C10" t="inlineStr">
        <is>
          <t>Name 25</t>
        </is>
      </c>
      <c r="D10" s="4">
        <f>SUMIF('By Board'!$D$3:$D$184,"=9",'By Board'!$L$3:$L$184)+SUMIF('By Board'!$E$3:$E$184,"=9",'By Board'!$M$3:$M$184)</f>
        <v/>
      </c>
      <c r="E10" s="5">
        <f>SUMIF('By Board'!$D$3:$D$184,"=9",'By Board'!$N$3:$N$184)/26+SUMIF('By Board'!$E$3:$E$184,"=9",'By Board'!$O$3:$O$184)/26</f>
        <v/>
      </c>
    </row>
    <row r="11">
      <c r="A11" t="n">
        <v>10</v>
      </c>
      <c r="B11" t="inlineStr">
        <is>
          <t>Name 68</t>
        </is>
      </c>
      <c r="C11" t="inlineStr">
        <is>
          <t>Name 75</t>
        </is>
      </c>
      <c r="D11" s="4">
        <f>SUMIF('By Board'!$D$3:$D$184,"=10",'By Board'!$L$3:$L$184)+SUMIF('By Board'!$E$3:$E$184,"=10",'By Board'!$M$3:$M$184)</f>
        <v/>
      </c>
      <c r="E11" s="5">
        <f>SUMIF('By Board'!$D$3:$D$184,"=10",'By Board'!$N$3:$N$184)/26+SUMIF('By Board'!$E$3:$E$184,"=10",'By Board'!$O$3:$O$184)/26</f>
        <v/>
      </c>
    </row>
    <row r="12">
      <c r="A12" t="n">
        <v>11</v>
      </c>
      <c r="B12" t="inlineStr">
        <is>
          <t>Name 80</t>
        </is>
      </c>
      <c r="C12" t="inlineStr">
        <is>
          <t>Name 72</t>
        </is>
      </c>
      <c r="D12" s="4">
        <f>SUMIF('By Board'!$D$3:$D$184,"=11",'By Board'!$L$3:$L$184)+SUMIF('By Board'!$E$3:$E$184,"=11",'By Board'!$M$3:$M$184)</f>
        <v/>
      </c>
      <c r="E12" s="5">
        <f>SUMIF('By Board'!$D$3:$D$184,"=11",'By Board'!$N$3:$N$184)/26+SUMIF('By Board'!$E$3:$E$184,"=11",'By Board'!$O$3:$O$184)/26</f>
        <v/>
      </c>
    </row>
    <row r="13">
      <c r="A13" t="n">
        <v>12</v>
      </c>
      <c r="B13" t="inlineStr">
        <is>
          <t>Name 19</t>
        </is>
      </c>
      <c r="C13" t="inlineStr">
        <is>
          <t>Name 73</t>
        </is>
      </c>
      <c r="D13" s="4">
        <f>SUMIF('By Board'!$D$3:$D$184,"=12",'By Board'!$L$3:$L$184)+SUMIF('By Board'!$E$3:$E$184,"=12",'By Board'!$M$3:$M$184)</f>
        <v/>
      </c>
      <c r="E13" s="5">
        <f>SUMIF('By Board'!$D$3:$D$184,"=12",'By Board'!$N$3:$N$184)/26+SUMIF('By Board'!$E$3:$E$184,"=12",'By Board'!$O$3:$O$184)/26</f>
        <v/>
      </c>
    </row>
    <row r="14">
      <c r="A14" t="n">
        <v>13</v>
      </c>
      <c r="B14" t="inlineStr">
        <is>
          <t>Name 67</t>
        </is>
      </c>
      <c r="C14" t="inlineStr">
        <is>
          <t>Name 62</t>
        </is>
      </c>
      <c r="D14" s="4">
        <f>SUMIF('By Board'!$D$3:$D$184,"=13",'By Board'!$L$3:$L$184)+SUMIF('By Board'!$E$3:$E$184,"=13",'By Board'!$M$3:$M$184)</f>
        <v/>
      </c>
      <c r="E14" s="5">
        <f>SUMIF('By Board'!$D$3:$D$184,"=13",'By Board'!$N$3:$N$184)/26+SUMIF('By Board'!$E$3:$E$184,"=13",'By Board'!$O$3:$O$184)/26</f>
        <v/>
      </c>
    </row>
    <row r="15">
      <c r="A15" t="n">
        <v>14</v>
      </c>
      <c r="B15" t="inlineStr">
        <is>
          <t>Name 16</t>
        </is>
      </c>
      <c r="C15" t="inlineStr">
        <is>
          <t>Name 12</t>
        </is>
      </c>
      <c r="D15" s="4">
        <f>SUMIF('By Board'!$D$3:$D$184,"=14",'By Board'!$L$3:$L$184)+0</f>
        <v/>
      </c>
      <c r="E15" s="5">
        <f>SUMIF('By Board'!$D$3:$D$184,"=14",'By Board'!$N$3:$N$184)/26+0/26</f>
        <v/>
      </c>
    </row>
    <row r="16">
      <c r="D16" s="6">
        <f>SUM(D2:D15)</f>
        <v/>
      </c>
      <c r="E16" s="7">
        <f>AVERAGE(E2:E15)</f>
        <v/>
      </c>
    </row>
    <row r="18">
      <c r="A18" t="inlineStr">
        <is>
          <t>Array Formula below, remove single quote</t>
        </is>
      </c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5">
      <c r="A35" t="inlineStr">
        <is>
          <t>'=SORT(A2:E15,5,-1)</t>
        </is>
      </c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  <row r="47">
      <c r="D47" s="4" t="n"/>
      <c r="E47" s="8" t="n"/>
    </row>
    <row r="48">
      <c r="D48" s="4" t="n"/>
      <c r="E48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F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3" t="n"/>
      <c r="Y2" s="13" t="n"/>
      <c r="Z2" s="11" t="inlineStr">
        <is>
          <t>EW Pair-Wise</t>
        </is>
      </c>
      <c r="AA2" s="13" t="n"/>
      <c r="AB2" s="13" t="n"/>
      <c r="AC2" s="13" t="n"/>
      <c r="AD2" s="13" t="n"/>
      <c r="AE2" s="13" t="n"/>
      <c r="AF2" s="11" t="inlineStr">
        <is>
          <t>NS MP Score</t>
        </is>
      </c>
      <c r="AG2" s="13" t="n"/>
      <c r="AH2" s="13" t="n"/>
      <c r="AI2" s="13" t="n"/>
      <c r="AJ2" s="13" t="n"/>
      <c r="AK2" s="13" t="n"/>
      <c r="AL2" s="11" t="inlineStr">
        <is>
          <t>EW MP Score</t>
        </is>
      </c>
      <c r="AM2" s="13" t="n"/>
      <c r="AN2" s="13" t="n"/>
      <c r="AO2" s="13" t="n"/>
      <c r="AP2" s="13" t="n"/>
      <c r="AQ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IFERROR(AVERAGE(T3:Y3),"")</f>
        <v/>
      </c>
      <c r="M3" s="4">
        <f>IFERROR(AVERAGE(Z3:AE3),"")</f>
        <v/>
      </c>
      <c r="N3" s="5">
        <f>P3/6</f>
        <v/>
      </c>
      <c r="O3" s="5">
        <f>Q3/6</f>
        <v/>
      </c>
      <c r="P3" s="4">
        <f>IFERROR(SUM(AF3:AK3),"")</f>
        <v/>
      </c>
      <c r="Q3" s="4">
        <f>IFERROR(SUM(AL3:AQ3),"")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IF(AND(ISNUMBER(R3),ISNUMBER(R8)),VLOOKUP(ABS(R3-R8),'IMP Table'!$A$2:$C$26,3)*SIGN(R3-R8),"")</f>
        <v/>
      </c>
      <c r="Y3">
        <f>IF(AND(ISNUMBER(R3),ISNUMBER(R9)),VLOOKUP(ABS(R3-R9),'IMP Table'!$A$2:$C$26,3)*SIGN(R3-R9),"")</f>
        <v/>
      </c>
      <c r="Z3">
        <f>IF(AND(ISNUMBER(S3),ISNUMBER(S4)),VLOOKUP(ABS(S3-S4),'IMP Table'!$A$2:$C$26,3)*SIGN(S3-S4),"")</f>
        <v/>
      </c>
      <c r="AA3">
        <f>IF(AND(ISNUMBER(S3),ISNUMBER(S5)),VLOOKUP(ABS(S3-S5),'IMP Table'!$A$2:$C$26,3)*SIGN(S3-S5),"")</f>
        <v/>
      </c>
      <c r="AB3">
        <f>IF(AND(ISNUMBER(S3),ISNUMBER(S6)),VLOOKUP(ABS(S3-S6),'IMP Table'!$A$2:$C$26,3)*SIGN(S3-S6),"")</f>
        <v/>
      </c>
      <c r="AC3">
        <f>IF(AND(ISNUMBER(S3),ISNUMBER(S7)),VLOOKUP(ABS(S3-S7),'IMP Table'!$A$2:$C$26,3)*SIGN(S3-S7),"")</f>
        <v/>
      </c>
      <c r="AD3">
        <f>IF(AND(ISNUMBER(S3),ISNUMBER(S8)),VLOOKUP(ABS(S3-S8),'IMP Table'!$A$2:$C$26,3)*SIGN(S3-S8),"")</f>
        <v/>
      </c>
      <c r="AE3">
        <f>IF(AND(ISNUMBER(S3),ISNUMBER(S9)),VLOOKUP(ABS(S3-S9),'IMP Table'!$A$2:$C$26,3)*SIGN(S3-S9),"")</f>
        <v/>
      </c>
      <c r="AF3">
        <f>IF(AND(ISNUMBER(R3),ISNUMBER(R4)),IF(R3&gt;R4,1,IF(R3=R4,0.5,0)),0.5)</f>
        <v/>
      </c>
      <c r="AG3">
        <f>IF(AND(ISNUMBER(R3),ISNUMBER(R5)),IF(R3&gt;R5,1,IF(R3=R5,0.5,0)),0.5)</f>
        <v/>
      </c>
      <c r="AH3">
        <f>IF(AND(ISNUMBER(R3),ISNUMBER(R6)),IF(R3&gt;R6,1,IF(R3=R6,0.5,0)),0.5)</f>
        <v/>
      </c>
      <c r="AI3">
        <f>IF(AND(ISNUMBER(R3),ISNUMBER(R7)),IF(R3&gt;R7,1,IF(R3=R7,0.5,0)),0.5)</f>
        <v/>
      </c>
      <c r="AJ3">
        <f>IF(AND(ISNUMBER(R3),ISNUMBER(R8)),IF(R3&gt;R8,1,IF(R3=R8,0.5,0)),0.5)</f>
        <v/>
      </c>
      <c r="AK3">
        <f>IF(AND(ISNUMBER(R3),ISNUMBER(R9)),IF(R3&gt;R9,1,IF(R3=R9,0.5,0)),0.5)</f>
        <v/>
      </c>
      <c r="AL3">
        <f>IF(AND(ISNUMBER(S3),ISNUMBER(S4)),IF(S3&gt;S4,1,IF(S3=S4,0.5,0)),0.5)</f>
        <v/>
      </c>
      <c r="AM3">
        <f>IF(AND(ISNUMBER(S3),ISNUMBER(S5)),IF(S3&gt;S5,1,IF(S3=S5,0.5,0)),0.5)</f>
        <v/>
      </c>
      <c r="AN3">
        <f>IF(AND(ISNUMBER(S3),ISNUMBER(S6)),IF(S3&gt;S6,1,IF(S3=S6,0.5,0)),0.5)</f>
        <v/>
      </c>
      <c r="AO3">
        <f>IF(AND(ISNUMBER(S3),ISNUMBER(S7)),IF(S3&gt;S7,1,IF(S3=S7,0.5,0)),0.5)</f>
        <v/>
      </c>
      <c r="AP3">
        <f>IF(AND(ISNUMBER(S3),ISNUMBER(S8)),IF(S3&gt;S8,1,IF(S3=S8,0.5,0)),0.5)</f>
        <v/>
      </c>
      <c r="AQ3">
        <f>IF(AND(ISNUMBER(S3),ISNUMBER(S9)),IF(S3&gt;S9,1,IF(S3=S9,0.5,0)),0.5)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4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5">
        <f>IFERROR(AVERAGE(T4:Y4),"")</f>
        <v/>
      </c>
      <c r="M4" s="4">
        <f>IFERROR(AVERAGE(Z4:AE4),"")</f>
        <v/>
      </c>
      <c r="N4" s="5">
        <f>P4/6</f>
        <v/>
      </c>
      <c r="O4" s="5">
        <f>Q4/6</f>
        <v/>
      </c>
      <c r="P4" s="4">
        <f>IFERROR(SUM(AF4:AK4),"")</f>
        <v/>
      </c>
      <c r="Q4" s="4">
        <f>IFERROR(SUM(AL4:AQ4),"")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IF(AND(ISNUMBER(R4),ISNUMBER(R8)),VLOOKUP(ABS(R4-R8),'IMP Table'!$A$2:$C$26,3)*SIGN(R4-R8),"")</f>
        <v/>
      </c>
      <c r="Y4">
        <f>IF(AND(ISNUMBER(R4),ISNUMBER(R9)),VLOOKUP(ABS(R4-R9),'IMP Table'!$A$2:$C$26,3)*SIGN(R4-R9),"")</f>
        <v/>
      </c>
      <c r="Z4">
        <f>IF(AND(ISNUMBER(S4),ISNUMBER(S3)),VLOOKUP(ABS(S4-S3),'IMP Table'!$A$2:$C$26,3)*SIGN(S4-S3),"")</f>
        <v/>
      </c>
      <c r="AA4">
        <f>IF(AND(ISNUMBER(S4),ISNUMBER(S5)),VLOOKUP(ABS(S4-S5),'IMP Table'!$A$2:$C$26,3)*SIGN(S4-S5),"")</f>
        <v/>
      </c>
      <c r="AB4">
        <f>IF(AND(ISNUMBER(S4),ISNUMBER(S6)),VLOOKUP(ABS(S4-S6),'IMP Table'!$A$2:$C$26,3)*SIGN(S4-S6),"")</f>
        <v/>
      </c>
      <c r="AC4">
        <f>IF(AND(ISNUMBER(S4),ISNUMBER(S7)),VLOOKUP(ABS(S4-S7),'IMP Table'!$A$2:$C$26,3)*SIGN(S4-S7),"")</f>
        <v/>
      </c>
      <c r="AD4">
        <f>IF(AND(ISNUMBER(S4),ISNUMBER(S8)),VLOOKUP(ABS(S4-S8),'IMP Table'!$A$2:$C$26,3)*SIGN(S4-S8),"")</f>
        <v/>
      </c>
      <c r="AE4">
        <f>IF(AND(ISNUMBER(S4),ISNUMBER(S9)),VLOOKUP(ABS(S4-S9),'IMP Table'!$A$2:$C$26,3)*SIGN(S4-S9),"")</f>
        <v/>
      </c>
      <c r="AF4">
        <f>IF(AND(ISNUMBER(R4),ISNUMBER(R3)),IF(R4&gt;R3,1,IF(R4=R3,0.5,0)),0.5)</f>
        <v/>
      </c>
      <c r="AG4">
        <f>IF(AND(ISNUMBER(R4),ISNUMBER(R5)),IF(R4&gt;R5,1,IF(R4=R5,0.5,0)),0.5)</f>
        <v/>
      </c>
      <c r="AH4">
        <f>IF(AND(ISNUMBER(R4),ISNUMBER(R6)),IF(R4&gt;R6,1,IF(R4=R6,0.5,0)),0.5)</f>
        <v/>
      </c>
      <c r="AI4">
        <f>IF(AND(ISNUMBER(R4),ISNUMBER(R7)),IF(R4&gt;R7,1,IF(R4=R7,0.5,0)),0.5)</f>
        <v/>
      </c>
      <c r="AJ4">
        <f>IF(AND(ISNUMBER(R4),ISNUMBER(R8)),IF(R4&gt;R8,1,IF(R4=R8,0.5,0)),0.5)</f>
        <v/>
      </c>
      <c r="AK4">
        <f>IF(AND(ISNUMBER(R4),ISNUMBER(R9)),IF(R4&gt;R9,1,IF(R4=R9,0.5,0)),0.5)</f>
        <v/>
      </c>
      <c r="AL4">
        <f>IF(AND(ISNUMBER(S4),ISNUMBER(S3)),IF(S4&gt;S3,1,IF(S4=S3,0.5,0)),0.5)</f>
        <v/>
      </c>
      <c r="AM4">
        <f>IF(AND(ISNUMBER(S4),ISNUMBER(S5)),IF(S4&gt;S5,1,IF(S4=S5,0.5,0)),0.5)</f>
        <v/>
      </c>
      <c r="AN4">
        <f>IF(AND(ISNUMBER(S4),ISNUMBER(S6)),IF(S4&gt;S6,1,IF(S4=S6,0.5,0)),0.5)</f>
        <v/>
      </c>
      <c r="AO4">
        <f>IF(AND(ISNUMBER(S4),ISNUMBER(S7)),IF(S4&gt;S7,1,IF(S4=S7,0.5,0)),0.5)</f>
        <v/>
      </c>
      <c r="AP4">
        <f>IF(AND(ISNUMBER(S4),ISNUMBER(S8)),IF(S4&gt;S8,1,IF(S4=S8,0.5,0)),0.5)</f>
        <v/>
      </c>
      <c r="AQ4">
        <f>IF(AND(ISNUMBER(S4),ISNUMBER(S9)),IF(S4&gt;S9,1,IF(S4=S9,0.5,0)),0.5)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4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5">
        <f>IFERROR(AVERAGE(T5:Y5),"")</f>
        <v/>
      </c>
      <c r="M5" s="4">
        <f>IFERROR(AVERAGE(Z5:AE5),"")</f>
        <v/>
      </c>
      <c r="N5" s="5">
        <f>P5/6</f>
        <v/>
      </c>
      <c r="O5" s="5">
        <f>Q5/6</f>
        <v/>
      </c>
      <c r="P5" s="4">
        <f>IFERROR(SUM(AF5:AK5),"")</f>
        <v/>
      </c>
      <c r="Q5" s="4">
        <f>IFERROR(SUM(AL5:AQ5),"")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IF(AND(ISNUMBER(R5),ISNUMBER(R8)),VLOOKUP(ABS(R5-R8),'IMP Table'!$A$2:$C$26,3)*SIGN(R5-R8),"")</f>
        <v/>
      </c>
      <c r="Y5">
        <f>IF(AND(ISNUMBER(R5),ISNUMBER(R9)),VLOOKUP(ABS(R5-R9),'IMP Table'!$A$2:$C$26,3)*SIGN(R5-R9),"")</f>
        <v/>
      </c>
      <c r="Z5">
        <f>IF(AND(ISNUMBER(S5),ISNUMBER(S3)),VLOOKUP(ABS(S5-S3),'IMP Table'!$A$2:$C$26,3)*SIGN(S5-S3),"")</f>
        <v/>
      </c>
      <c r="AA5">
        <f>IF(AND(ISNUMBER(S5),ISNUMBER(S4)),VLOOKUP(ABS(S5-S4),'IMP Table'!$A$2:$C$26,3)*SIGN(S5-S4),"")</f>
        <v/>
      </c>
      <c r="AB5">
        <f>IF(AND(ISNUMBER(S5),ISNUMBER(S6)),VLOOKUP(ABS(S5-S6),'IMP Table'!$A$2:$C$26,3)*SIGN(S5-S6),"")</f>
        <v/>
      </c>
      <c r="AC5">
        <f>IF(AND(ISNUMBER(S5),ISNUMBER(S7)),VLOOKUP(ABS(S5-S7),'IMP Table'!$A$2:$C$26,3)*SIGN(S5-S7),"")</f>
        <v/>
      </c>
      <c r="AD5">
        <f>IF(AND(ISNUMBER(S5),ISNUMBER(S8)),VLOOKUP(ABS(S5-S8),'IMP Table'!$A$2:$C$26,3)*SIGN(S5-S8),"")</f>
        <v/>
      </c>
      <c r="AE5">
        <f>IF(AND(ISNUMBER(S5),ISNUMBER(S9)),VLOOKUP(ABS(S5-S9),'IMP Table'!$A$2:$C$26,3)*SIGN(S5-S9),"")</f>
        <v/>
      </c>
      <c r="AF5">
        <f>IF(AND(ISNUMBER(R5),ISNUMBER(R3)),IF(R5&gt;R3,1,IF(R5=R3,0.5,0)),0.5)</f>
        <v/>
      </c>
      <c r="AG5">
        <f>IF(AND(ISNUMBER(R5),ISNUMBER(R4)),IF(R5&gt;R4,1,IF(R5=R4,0.5,0)),0.5)</f>
        <v/>
      </c>
      <c r="AH5">
        <f>IF(AND(ISNUMBER(R5),ISNUMBER(R6)),IF(R5&gt;R6,1,IF(R5=R6,0.5,0)),0.5)</f>
        <v/>
      </c>
      <c r="AI5">
        <f>IF(AND(ISNUMBER(R5),ISNUMBER(R7)),IF(R5&gt;R7,1,IF(R5=R7,0.5,0)),0.5)</f>
        <v/>
      </c>
      <c r="AJ5">
        <f>IF(AND(ISNUMBER(R5),ISNUMBER(R8)),IF(R5&gt;R8,1,IF(R5=R8,0.5,0)),0.5)</f>
        <v/>
      </c>
      <c r="AK5">
        <f>IF(AND(ISNUMBER(R5),ISNUMBER(R9)),IF(R5&gt;R9,1,IF(R5=R9,0.5,0)),0.5)</f>
        <v/>
      </c>
      <c r="AL5">
        <f>IF(AND(ISNUMBER(S5),ISNUMBER(S3)),IF(S5&gt;S3,1,IF(S5=S3,0.5,0)),0.5)</f>
        <v/>
      </c>
      <c r="AM5">
        <f>IF(AND(ISNUMBER(S5),ISNUMBER(S4)),IF(S5&gt;S4,1,IF(S5=S4,0.5,0)),0.5)</f>
        <v/>
      </c>
      <c r="AN5">
        <f>IF(AND(ISNUMBER(S5),ISNUMBER(S6)),IF(S5&gt;S6,1,IF(S5=S6,0.5,0)),0.5)</f>
        <v/>
      </c>
      <c r="AO5">
        <f>IF(AND(ISNUMBER(S5),ISNUMBER(S7)),IF(S5&gt;S7,1,IF(S5=S7,0.5,0)),0.5)</f>
        <v/>
      </c>
      <c r="AP5">
        <f>IF(AND(ISNUMBER(S5),ISNUMBER(S8)),IF(S5&gt;S8,1,IF(S5=S8,0.5,0)),0.5)</f>
        <v/>
      </c>
      <c r="AQ5">
        <f>IF(AND(ISNUMBER(S5),ISNUMBER(S9)),IF(S5&gt;S9,1,IF(S5=S9,0.5,0)),0.5)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4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5">
        <f>IFERROR(AVERAGE(T6:Y6),"")</f>
        <v/>
      </c>
      <c r="M6" s="4">
        <f>IFERROR(AVERAGE(Z6:AE6),"")</f>
        <v/>
      </c>
      <c r="N6" s="5">
        <f>P6/6</f>
        <v/>
      </c>
      <c r="O6" s="5">
        <f>Q6/6</f>
        <v/>
      </c>
      <c r="P6" s="4">
        <f>IFERROR(SUM(AF6:AK6),"")</f>
        <v/>
      </c>
      <c r="Q6" s="4">
        <f>IFERROR(SUM(AL6:AQ6),"")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IF(AND(ISNUMBER(R6),ISNUMBER(R8)),VLOOKUP(ABS(R6-R8),'IMP Table'!$A$2:$C$26,3)*SIGN(R6-R8),"")</f>
        <v/>
      </c>
      <c r="Y6">
        <f>IF(AND(ISNUMBER(R6),ISNUMBER(R9)),VLOOKUP(ABS(R6-R9),'IMP Table'!$A$2:$C$26,3)*SIGN(R6-R9),"")</f>
        <v/>
      </c>
      <c r="Z6">
        <f>IF(AND(ISNUMBER(S6),ISNUMBER(S3)),VLOOKUP(ABS(S6-S3),'IMP Table'!$A$2:$C$26,3)*SIGN(S6-S3),"")</f>
        <v/>
      </c>
      <c r="AA6">
        <f>IF(AND(ISNUMBER(S6),ISNUMBER(S4)),VLOOKUP(ABS(S6-S4),'IMP Table'!$A$2:$C$26,3)*SIGN(S6-S4),"")</f>
        <v/>
      </c>
      <c r="AB6">
        <f>IF(AND(ISNUMBER(S6),ISNUMBER(S5)),VLOOKUP(ABS(S6-S5),'IMP Table'!$A$2:$C$26,3)*SIGN(S6-S5),"")</f>
        <v/>
      </c>
      <c r="AC6">
        <f>IF(AND(ISNUMBER(S6),ISNUMBER(S7)),VLOOKUP(ABS(S6-S7),'IMP Table'!$A$2:$C$26,3)*SIGN(S6-S7),"")</f>
        <v/>
      </c>
      <c r="AD6">
        <f>IF(AND(ISNUMBER(S6),ISNUMBER(S8)),VLOOKUP(ABS(S6-S8),'IMP Table'!$A$2:$C$26,3)*SIGN(S6-S8),"")</f>
        <v/>
      </c>
      <c r="AE6">
        <f>IF(AND(ISNUMBER(S6),ISNUMBER(S9)),VLOOKUP(ABS(S6-S9),'IMP Table'!$A$2:$C$26,3)*SIGN(S6-S9),"")</f>
        <v/>
      </c>
      <c r="AF6">
        <f>IF(AND(ISNUMBER(R6),ISNUMBER(R3)),IF(R6&gt;R3,1,IF(R6=R3,0.5,0)),0.5)</f>
        <v/>
      </c>
      <c r="AG6">
        <f>IF(AND(ISNUMBER(R6),ISNUMBER(R4)),IF(R6&gt;R4,1,IF(R6=R4,0.5,0)),0.5)</f>
        <v/>
      </c>
      <c r="AH6">
        <f>IF(AND(ISNUMBER(R6),ISNUMBER(R5)),IF(R6&gt;R5,1,IF(R6=R5,0.5,0)),0.5)</f>
        <v/>
      </c>
      <c r="AI6">
        <f>IF(AND(ISNUMBER(R6),ISNUMBER(R7)),IF(R6&gt;R7,1,IF(R6=R7,0.5,0)),0.5)</f>
        <v/>
      </c>
      <c r="AJ6">
        <f>IF(AND(ISNUMBER(R6),ISNUMBER(R8)),IF(R6&gt;R8,1,IF(R6=R8,0.5,0)),0.5)</f>
        <v/>
      </c>
      <c r="AK6">
        <f>IF(AND(ISNUMBER(R6),ISNUMBER(R9)),IF(R6&gt;R9,1,IF(R6=R9,0.5,0)),0.5)</f>
        <v/>
      </c>
      <c r="AL6">
        <f>IF(AND(ISNUMBER(S6),ISNUMBER(S3)),IF(S6&gt;S3,1,IF(S6=S3,0.5,0)),0.5)</f>
        <v/>
      </c>
      <c r="AM6">
        <f>IF(AND(ISNUMBER(S6),ISNUMBER(S4)),IF(S6&gt;S4,1,IF(S6=S4,0.5,0)),0.5)</f>
        <v/>
      </c>
      <c r="AN6">
        <f>IF(AND(ISNUMBER(S6),ISNUMBER(S5)),IF(S6&gt;S5,1,IF(S6=S5,0.5,0)),0.5)</f>
        <v/>
      </c>
      <c r="AO6">
        <f>IF(AND(ISNUMBER(S6),ISNUMBER(S7)),IF(S6&gt;S7,1,IF(S6=S7,0.5,0)),0.5)</f>
        <v/>
      </c>
      <c r="AP6">
        <f>IF(AND(ISNUMBER(S6),ISNUMBER(S8)),IF(S6&gt;S8,1,IF(S6=S8,0.5,0)),0.5)</f>
        <v/>
      </c>
      <c r="AQ6">
        <f>IF(AND(ISNUMBER(S6),ISNUMBER(S9)),IF(S6&gt;S9,1,IF(S6=S9,0.5,0)),0.5)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4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5">
        <f>IFERROR(AVERAGE(T7:Y7),"")</f>
        <v/>
      </c>
      <c r="M7" s="4">
        <f>IFERROR(AVERAGE(Z7:AE7),"")</f>
        <v/>
      </c>
      <c r="N7" s="5">
        <f>P7/6</f>
        <v/>
      </c>
      <c r="O7" s="5">
        <f>Q7/6</f>
        <v/>
      </c>
      <c r="P7" s="4">
        <f>IFERROR(SUM(AF7:AK7),"")</f>
        <v/>
      </c>
      <c r="Q7" s="4">
        <f>IFERROR(SUM(AL7:AQ7),"")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IF(AND(ISNUMBER(R7),ISNUMBER(R3)),VLOOKUP(ABS(R7-R3),'IMP Table'!$A$2:$C$26,3)*SIGN(R7-R3),"")</f>
        <v/>
      </c>
      <c r="U7">
        <f>IF(AND(ISNUMBER(R7),ISNUMBER(R4)),VLOOKUP(ABS(R7-R4),'IMP Table'!$A$2:$C$26,3)*SIGN(R7-R4),"")</f>
        <v/>
      </c>
      <c r="V7">
        <f>IF(AND(ISNUMBER(R7),ISNUMBER(R5)),VLOOKUP(ABS(R7-R5),'IMP Table'!$A$2:$C$26,3)*SIGN(R7-R5),"")</f>
        <v/>
      </c>
      <c r="W7">
        <f>IF(AND(ISNUMBER(R7),ISNUMBER(R6)),VLOOKUP(ABS(R7-R6),'IMP Table'!$A$2:$C$26,3)*SIGN(R7-R6),"")</f>
        <v/>
      </c>
      <c r="X7">
        <f>IF(AND(ISNUMBER(R7),ISNUMBER(R8)),VLOOKUP(ABS(R7-R8),'IMP Table'!$A$2:$C$26,3)*SIGN(R7-R8),"")</f>
        <v/>
      </c>
      <c r="Y7">
        <f>IF(AND(ISNUMBER(R7),ISNUMBER(R9)),VLOOKUP(ABS(R7-R9),'IMP Table'!$A$2:$C$26,3)*SIGN(R7-R9),"")</f>
        <v/>
      </c>
      <c r="Z7">
        <f>IF(AND(ISNUMBER(S7),ISNUMBER(S3)),VLOOKUP(ABS(S7-S3),'IMP Table'!$A$2:$C$26,3)*SIGN(S7-S3),"")</f>
        <v/>
      </c>
      <c r="AA7">
        <f>IF(AND(ISNUMBER(S7),ISNUMBER(S4)),VLOOKUP(ABS(S7-S4),'IMP Table'!$A$2:$C$26,3)*SIGN(S7-S4),"")</f>
        <v/>
      </c>
      <c r="AB7">
        <f>IF(AND(ISNUMBER(S7),ISNUMBER(S5)),VLOOKUP(ABS(S7-S5),'IMP Table'!$A$2:$C$26,3)*SIGN(S7-S5),"")</f>
        <v/>
      </c>
      <c r="AC7">
        <f>IF(AND(ISNUMBER(S7),ISNUMBER(S6)),VLOOKUP(ABS(S7-S6),'IMP Table'!$A$2:$C$26,3)*SIGN(S7-S6),"")</f>
        <v/>
      </c>
      <c r="AD7">
        <f>IF(AND(ISNUMBER(S7),ISNUMBER(S8)),VLOOKUP(ABS(S7-S8),'IMP Table'!$A$2:$C$26,3)*SIGN(S7-S8),"")</f>
        <v/>
      </c>
      <c r="AE7">
        <f>IF(AND(ISNUMBER(S7),ISNUMBER(S9)),VLOOKUP(ABS(S7-S9),'IMP Table'!$A$2:$C$26,3)*SIGN(S7-S9),"")</f>
        <v/>
      </c>
      <c r="AF7">
        <f>IF(AND(ISNUMBER(R7),ISNUMBER(R3)),IF(R7&gt;R3,1,IF(R7=R3,0.5,0)),0.5)</f>
        <v/>
      </c>
      <c r="AG7">
        <f>IF(AND(ISNUMBER(R7),ISNUMBER(R4)),IF(R7&gt;R4,1,IF(R7=R4,0.5,0)),0.5)</f>
        <v/>
      </c>
      <c r="AH7">
        <f>IF(AND(ISNUMBER(R7),ISNUMBER(R5)),IF(R7&gt;R5,1,IF(R7=R5,0.5,0)),0.5)</f>
        <v/>
      </c>
      <c r="AI7">
        <f>IF(AND(ISNUMBER(R7),ISNUMBER(R6)),IF(R7&gt;R6,1,IF(R7=R6,0.5,0)),0.5)</f>
        <v/>
      </c>
      <c r="AJ7">
        <f>IF(AND(ISNUMBER(R7),ISNUMBER(R8)),IF(R7&gt;R8,1,IF(R7=R8,0.5,0)),0.5)</f>
        <v/>
      </c>
      <c r="AK7">
        <f>IF(AND(ISNUMBER(R7),ISNUMBER(R9)),IF(R7&gt;R9,1,IF(R7=R9,0.5,0)),0.5)</f>
        <v/>
      </c>
      <c r="AL7">
        <f>IF(AND(ISNUMBER(S7),ISNUMBER(S3)),IF(S7&gt;S3,1,IF(S7=S3,0.5,0)),0.5)</f>
        <v/>
      </c>
      <c r="AM7">
        <f>IF(AND(ISNUMBER(S7),ISNUMBER(S4)),IF(S7&gt;S4,1,IF(S7=S4,0.5,0)),0.5)</f>
        <v/>
      </c>
      <c r="AN7">
        <f>IF(AND(ISNUMBER(S7),ISNUMBER(S5)),IF(S7&gt;S5,1,IF(S7=S5,0.5,0)),0.5)</f>
        <v/>
      </c>
      <c r="AO7">
        <f>IF(AND(ISNUMBER(S7),ISNUMBER(S6)),IF(S7&gt;S6,1,IF(S7=S6,0.5,0)),0.5)</f>
        <v/>
      </c>
      <c r="AP7">
        <f>IF(AND(ISNUMBER(S7),ISNUMBER(S8)),IF(S7&gt;S8,1,IF(S7=S8,0.5,0)),0.5)</f>
        <v/>
      </c>
      <c r="AQ7">
        <f>IF(AND(ISNUMBER(S7),ISNUMBER(S9)),IF(S7&gt;S9,1,IF(S7=S9,0.5,0)),0.5)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4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5">
        <f>IFERROR(AVERAGE(T8:Y8),"")</f>
        <v/>
      </c>
      <c r="M8" s="4">
        <f>IFERROR(AVERAGE(Z8:AE8),"")</f>
        <v/>
      </c>
      <c r="N8" s="5">
        <f>P8/6</f>
        <v/>
      </c>
      <c r="O8" s="5">
        <f>Q8/6</f>
        <v/>
      </c>
      <c r="P8" s="4">
        <f>IFERROR(SUM(AF8:AK8),"")</f>
        <v/>
      </c>
      <c r="Q8" s="4">
        <f>IFERROR(SUM(AL8:AQ8),"")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IF(AND(ISNUMBER(R8),ISNUMBER(R3)),VLOOKUP(ABS(R8-R3),'IMP Table'!$A$2:$C$26,3)*SIGN(R8-R3),"")</f>
        <v/>
      </c>
      <c r="U8">
        <f>IF(AND(ISNUMBER(R8),ISNUMBER(R4)),VLOOKUP(ABS(R8-R4),'IMP Table'!$A$2:$C$26,3)*SIGN(R8-R4),"")</f>
        <v/>
      </c>
      <c r="V8">
        <f>IF(AND(ISNUMBER(R8),ISNUMBER(R5)),VLOOKUP(ABS(R8-R5),'IMP Table'!$A$2:$C$26,3)*SIGN(R8-R5),"")</f>
        <v/>
      </c>
      <c r="W8">
        <f>IF(AND(ISNUMBER(R8),ISNUMBER(R6)),VLOOKUP(ABS(R8-R6),'IMP Table'!$A$2:$C$26,3)*SIGN(R8-R6),"")</f>
        <v/>
      </c>
      <c r="X8">
        <f>IF(AND(ISNUMBER(R8),ISNUMBER(R7)),VLOOKUP(ABS(R8-R7),'IMP Table'!$A$2:$C$26,3)*SIGN(R8-R7),"")</f>
        <v/>
      </c>
      <c r="Y8">
        <f>IF(AND(ISNUMBER(R8),ISNUMBER(R9)),VLOOKUP(ABS(R8-R9),'IMP Table'!$A$2:$C$26,3)*SIGN(R8-R9),"")</f>
        <v/>
      </c>
      <c r="Z8">
        <f>IF(AND(ISNUMBER(S8),ISNUMBER(S3)),VLOOKUP(ABS(S8-S3),'IMP Table'!$A$2:$C$26,3)*SIGN(S8-S3),"")</f>
        <v/>
      </c>
      <c r="AA8">
        <f>IF(AND(ISNUMBER(S8),ISNUMBER(S4)),VLOOKUP(ABS(S8-S4),'IMP Table'!$A$2:$C$26,3)*SIGN(S8-S4),"")</f>
        <v/>
      </c>
      <c r="AB8">
        <f>IF(AND(ISNUMBER(S8),ISNUMBER(S5)),VLOOKUP(ABS(S8-S5),'IMP Table'!$A$2:$C$26,3)*SIGN(S8-S5),"")</f>
        <v/>
      </c>
      <c r="AC8">
        <f>IF(AND(ISNUMBER(S8),ISNUMBER(S6)),VLOOKUP(ABS(S8-S6),'IMP Table'!$A$2:$C$26,3)*SIGN(S8-S6),"")</f>
        <v/>
      </c>
      <c r="AD8">
        <f>IF(AND(ISNUMBER(S8),ISNUMBER(S7)),VLOOKUP(ABS(S8-S7),'IMP Table'!$A$2:$C$26,3)*SIGN(S8-S7),"")</f>
        <v/>
      </c>
      <c r="AE8">
        <f>IF(AND(ISNUMBER(S8),ISNUMBER(S9)),VLOOKUP(ABS(S8-S9),'IMP Table'!$A$2:$C$26,3)*SIGN(S8-S9),"")</f>
        <v/>
      </c>
      <c r="AF8">
        <f>IF(AND(ISNUMBER(R8),ISNUMBER(R3)),IF(R8&gt;R3,1,IF(R8=R3,0.5,0)),0.5)</f>
        <v/>
      </c>
      <c r="AG8">
        <f>IF(AND(ISNUMBER(R8),ISNUMBER(R4)),IF(R8&gt;R4,1,IF(R8=R4,0.5,0)),0.5)</f>
        <v/>
      </c>
      <c r="AH8">
        <f>IF(AND(ISNUMBER(R8),ISNUMBER(R5)),IF(R8&gt;R5,1,IF(R8=R5,0.5,0)),0.5)</f>
        <v/>
      </c>
      <c r="AI8">
        <f>IF(AND(ISNUMBER(R8),ISNUMBER(R6)),IF(R8&gt;R6,1,IF(R8=R6,0.5,0)),0.5)</f>
        <v/>
      </c>
      <c r="AJ8">
        <f>IF(AND(ISNUMBER(R8),ISNUMBER(R7)),IF(R8&gt;R7,1,IF(R8=R7,0.5,0)),0.5)</f>
        <v/>
      </c>
      <c r="AK8">
        <f>IF(AND(ISNUMBER(R8),ISNUMBER(R9)),IF(R8&gt;R9,1,IF(R8=R9,0.5,0)),0.5)</f>
        <v/>
      </c>
      <c r="AL8">
        <f>IF(AND(ISNUMBER(S8),ISNUMBER(S3)),IF(S8&gt;S3,1,IF(S8=S3,0.5,0)),0.5)</f>
        <v/>
      </c>
      <c r="AM8">
        <f>IF(AND(ISNUMBER(S8),ISNUMBER(S4)),IF(S8&gt;S4,1,IF(S8=S4,0.5,0)),0.5)</f>
        <v/>
      </c>
      <c r="AN8">
        <f>IF(AND(ISNUMBER(S8),ISNUMBER(S5)),IF(S8&gt;S5,1,IF(S8=S5,0.5,0)),0.5)</f>
        <v/>
      </c>
      <c r="AO8">
        <f>IF(AND(ISNUMBER(S8),ISNUMBER(S6)),IF(S8&gt;S6,1,IF(S8=S6,0.5,0)),0.5)</f>
        <v/>
      </c>
      <c r="AP8">
        <f>IF(AND(ISNUMBER(S8),ISNUMBER(S7)),IF(S8&gt;S7,1,IF(S8=S7,0.5,0)),0.5)</f>
        <v/>
      </c>
      <c r="AQ8">
        <f>IF(AND(ISNUMBER(S8),ISNUMBER(S9)),IF(S8&gt;S9,1,IF(S8=S9,0.5,0)),0.5)</f>
        <v/>
      </c>
    </row>
    <row r="9">
      <c r="A9" s="13" t="n"/>
      <c r="B9" s="13">
        <f>'By Round'!A157</f>
        <v/>
      </c>
      <c r="C9" s="13">
        <f>'By Round'!B159</f>
        <v/>
      </c>
      <c r="D9" s="13">
        <f>'By Round'!C159</f>
        <v/>
      </c>
      <c r="E9" s="13">
        <f>'By Round'!D159</f>
        <v/>
      </c>
      <c r="F9" s="17" t="inlineStr">
        <is>
          <t>None</t>
        </is>
      </c>
      <c r="G9" s="13">
        <f>IF(ISBLANK('By Round'!G159),"",'By Round'!G159)</f>
        <v/>
      </c>
      <c r="H9" s="13">
        <f>IF(ISBLANK('By Round'!H159),"",'By Round'!H159)</f>
        <v/>
      </c>
      <c r="I9" s="13">
        <f>IF(ISBLANK('By Round'!I159),"",'By Round'!I159)</f>
        <v/>
      </c>
      <c r="J9" s="13">
        <f>IF(ISBLANK('By Round'!J159),"",'By Round'!J159)</f>
        <v/>
      </c>
      <c r="K9" s="13">
        <f>IF(ISBLANK('By Round'!K159),"",'By Round'!K159)</f>
        <v/>
      </c>
      <c r="L9" s="18">
        <f>IFERROR(AVERAGE(T9:Y9),"")</f>
        <v/>
      </c>
      <c r="M9" s="19">
        <f>IFERROR(AVERAGE(Z9:AE9),"")</f>
        <v/>
      </c>
      <c r="N9" s="20">
        <f>P9/6</f>
        <v/>
      </c>
      <c r="O9" s="20">
        <f>Q9/6</f>
        <v/>
      </c>
      <c r="P9" s="19">
        <f>IFERROR(SUM(AF9:AK9),"")</f>
        <v/>
      </c>
      <c r="Q9" s="19">
        <f>IFERROR(SUM(AL9:AQ9),"")</f>
        <v/>
      </c>
      <c r="R9" s="21">
        <f>IF(ISNUMBER(J9),J9,IF(ISNUMBER(K9),-K9,""))</f>
        <v/>
      </c>
      <c r="S9" s="13">
        <f>IF(ISNUMBER(K9),K9,IF(ISNUMBER(J9),-J9,""))</f>
        <v/>
      </c>
      <c r="T9" s="13">
        <f>IF(AND(ISNUMBER(R9),ISNUMBER(R3)),VLOOKUP(ABS(R9-R3),'IMP Table'!$A$2:$C$26,3)*SIGN(R9-R3),"")</f>
        <v/>
      </c>
      <c r="U9" s="13">
        <f>IF(AND(ISNUMBER(R9),ISNUMBER(R4)),VLOOKUP(ABS(R9-R4),'IMP Table'!$A$2:$C$26,3)*SIGN(R9-R4),"")</f>
        <v/>
      </c>
      <c r="V9" s="13">
        <f>IF(AND(ISNUMBER(R9),ISNUMBER(R5)),VLOOKUP(ABS(R9-R5),'IMP Table'!$A$2:$C$26,3)*SIGN(R9-R5),"")</f>
        <v/>
      </c>
      <c r="W9" s="13">
        <f>IF(AND(ISNUMBER(R9),ISNUMBER(R6)),VLOOKUP(ABS(R9-R6),'IMP Table'!$A$2:$C$26,3)*SIGN(R9-R6),"")</f>
        <v/>
      </c>
      <c r="X9" s="13">
        <f>IF(AND(ISNUMBER(R9),ISNUMBER(R7)),VLOOKUP(ABS(R9-R7),'IMP Table'!$A$2:$C$26,3)*SIGN(R9-R7),"")</f>
        <v/>
      </c>
      <c r="Y9" s="13">
        <f>IF(AND(ISNUMBER(R9),ISNUMBER(R8)),VLOOKUP(ABS(R9-R8),'IMP Table'!$A$2:$C$26,3)*SIGN(R9-R8),"")</f>
        <v/>
      </c>
      <c r="Z9" s="13">
        <f>IF(AND(ISNUMBER(S9),ISNUMBER(S3)),VLOOKUP(ABS(S9-S3),'IMP Table'!$A$2:$C$26,3)*SIGN(S9-S3),"")</f>
        <v/>
      </c>
      <c r="AA9" s="13">
        <f>IF(AND(ISNUMBER(S9),ISNUMBER(S4)),VLOOKUP(ABS(S9-S4),'IMP Table'!$A$2:$C$26,3)*SIGN(S9-S4),"")</f>
        <v/>
      </c>
      <c r="AB9" s="13">
        <f>IF(AND(ISNUMBER(S9),ISNUMBER(S5)),VLOOKUP(ABS(S9-S5),'IMP Table'!$A$2:$C$26,3)*SIGN(S9-S5),"")</f>
        <v/>
      </c>
      <c r="AC9" s="13">
        <f>IF(AND(ISNUMBER(S9),ISNUMBER(S6)),VLOOKUP(ABS(S9-S6),'IMP Table'!$A$2:$C$26,3)*SIGN(S9-S6),"")</f>
        <v/>
      </c>
      <c r="AD9" s="13">
        <f>IF(AND(ISNUMBER(S9),ISNUMBER(S7)),VLOOKUP(ABS(S9-S7),'IMP Table'!$A$2:$C$26,3)*SIGN(S9-S7),"")</f>
        <v/>
      </c>
      <c r="AE9" s="13">
        <f>IF(AND(ISNUMBER(S9),ISNUMBER(S8)),VLOOKUP(ABS(S9-S8),'IMP Table'!$A$2:$C$26,3)*SIGN(S9-S8),"")</f>
        <v/>
      </c>
      <c r="AF9" s="13">
        <f>IF(AND(ISNUMBER(R9),ISNUMBER(R3)),IF(R9&gt;R3,1,IF(R9=R3,0.5,0)),0.5)</f>
        <v/>
      </c>
      <c r="AG9" s="13">
        <f>IF(AND(ISNUMBER(R9),ISNUMBER(R4)),IF(R9&gt;R4,1,IF(R9=R4,0.5,0)),0.5)</f>
        <v/>
      </c>
      <c r="AH9" s="13">
        <f>IF(AND(ISNUMBER(R9),ISNUMBER(R5)),IF(R9&gt;R5,1,IF(R9=R5,0.5,0)),0.5)</f>
        <v/>
      </c>
      <c r="AI9" s="13">
        <f>IF(AND(ISNUMBER(R9),ISNUMBER(R6)),IF(R9&gt;R6,1,IF(R9=R6,0.5,0)),0.5)</f>
        <v/>
      </c>
      <c r="AJ9" s="13">
        <f>IF(AND(ISNUMBER(R9),ISNUMBER(R7)),IF(R9&gt;R7,1,IF(R9=R7,0.5,0)),0.5)</f>
        <v/>
      </c>
      <c r="AK9" s="13">
        <f>IF(AND(ISNUMBER(R9),ISNUMBER(R8)),IF(R9&gt;R8,1,IF(R9=R8,0.5,0)),0.5)</f>
        <v/>
      </c>
      <c r="AL9" s="13">
        <f>IF(AND(ISNUMBER(S9),ISNUMBER(S3)),IF(S9&gt;S3,1,IF(S9=S3,0.5,0)),0.5)</f>
        <v/>
      </c>
      <c r="AM9" s="13">
        <f>IF(AND(ISNUMBER(S9),ISNUMBER(S4)),IF(S9&gt;S4,1,IF(S9=S4,0.5,0)),0.5)</f>
        <v/>
      </c>
      <c r="AN9" s="13">
        <f>IF(AND(ISNUMBER(S9),ISNUMBER(S5)),IF(S9&gt;S5,1,IF(S9=S5,0.5,0)),0.5)</f>
        <v/>
      </c>
      <c r="AO9" s="13">
        <f>IF(AND(ISNUMBER(S9),ISNUMBER(S6)),IF(S9&gt;S6,1,IF(S9=S6,0.5,0)),0.5)</f>
        <v/>
      </c>
      <c r="AP9" s="13">
        <f>IF(AND(ISNUMBER(S9),ISNUMBER(S7)),IF(S9&gt;S7,1,IF(S9=S7,0.5,0)),0.5)</f>
        <v/>
      </c>
      <c r="AQ9" s="13">
        <f>IF(AND(ISNUMBER(S9),ISNUMBER(S8)),IF(S9&gt;S8,1,IF(S9=S8,0.5,0)),0.5)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4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5">
        <f>IFERROR(AVERAGE(T10:Y10),"")</f>
        <v/>
      </c>
      <c r="M10" s="4">
        <f>IFERROR(AVERAGE(Z10:AE10),"")</f>
        <v/>
      </c>
      <c r="N10" s="5">
        <f>P10/6</f>
        <v/>
      </c>
      <c r="O10" s="5">
        <f>Q10/6</f>
        <v/>
      </c>
      <c r="P10" s="4">
        <f>IFERROR(SUM(AF10:AK10),"")</f>
        <v/>
      </c>
      <c r="Q10" s="4">
        <f>IFERROR(SUM(AL10:AQ10),"")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IF(AND(ISNUMBER(R10),ISNUMBER(R11)),VLOOKUP(ABS(R10-R11),'IMP Table'!$A$2:$C$26,3)*SIGN(R10-R11),"")</f>
        <v/>
      </c>
      <c r="U10">
        <f>IF(AND(ISNUMBER(R10),ISNUMBER(R12)),VLOOKUP(ABS(R10-R12),'IMP Table'!$A$2:$C$26,3)*SIGN(R10-R12),"")</f>
        <v/>
      </c>
      <c r="V10">
        <f>IF(AND(ISNUMBER(R10),ISNUMBER(R13)),VLOOKUP(ABS(R10-R13),'IMP Table'!$A$2:$C$26,3)*SIGN(R10-R13),"")</f>
        <v/>
      </c>
      <c r="W10">
        <f>IF(AND(ISNUMBER(R10),ISNUMBER(R14)),VLOOKUP(ABS(R10-R14),'IMP Table'!$A$2:$C$26,3)*SIGN(R10-R14),"")</f>
        <v/>
      </c>
      <c r="X10">
        <f>IF(AND(ISNUMBER(R10),ISNUMBER(R15)),VLOOKUP(ABS(R10-R15),'IMP Table'!$A$2:$C$26,3)*SIGN(R10-R15),"")</f>
        <v/>
      </c>
      <c r="Y10">
        <f>IF(AND(ISNUMBER(R10),ISNUMBER(R16)),VLOOKUP(ABS(R10-R16),'IMP Table'!$A$2:$C$26,3)*SIGN(R10-R16),"")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IF(AND(ISNUMBER(S10),ISNUMBER(S13)),VLOOKUP(ABS(S10-S13),'IMP Table'!$A$2:$C$26,3)*SIGN(S10-S13),"")</f>
        <v/>
      </c>
      <c r="AC10">
        <f>IF(AND(ISNUMBER(S10),ISNUMBER(S14)),VLOOKUP(ABS(S10-S14),'IMP Table'!$A$2:$C$26,3)*SIGN(S10-S14),"")</f>
        <v/>
      </c>
      <c r="AD10">
        <f>IF(AND(ISNUMBER(S10),ISNUMBER(S15)),VLOOKUP(ABS(S10-S15),'IMP Table'!$A$2:$C$26,3)*SIGN(S10-S15),"")</f>
        <v/>
      </c>
      <c r="AE10">
        <f>IF(AND(ISNUMBER(S10),ISNUMBER(S16)),VLOOKUP(ABS(S10-S16),'IMP Table'!$A$2:$C$26,3)*SIGN(S10-S16),"")</f>
        <v/>
      </c>
      <c r="AF10">
        <f>IF(AND(ISNUMBER(R10),ISNUMBER(R11)),IF(R10&gt;R11,1,IF(R10=R11,0.5,0)),0.5)</f>
        <v/>
      </c>
      <c r="AG10">
        <f>IF(AND(ISNUMBER(R10),ISNUMBER(R12)),IF(R10&gt;R12,1,IF(R10=R12,0.5,0)),0.5)</f>
        <v/>
      </c>
      <c r="AH10">
        <f>IF(AND(ISNUMBER(R10),ISNUMBER(R13)),IF(R10&gt;R13,1,IF(R10=R13,0.5,0)),0.5)</f>
        <v/>
      </c>
      <c r="AI10">
        <f>IF(AND(ISNUMBER(R10),ISNUMBER(R14)),IF(R10&gt;R14,1,IF(R10=R14,0.5,0)),0.5)</f>
        <v/>
      </c>
      <c r="AJ10">
        <f>IF(AND(ISNUMBER(R10),ISNUMBER(R15)),IF(R10&gt;R15,1,IF(R10=R15,0.5,0)),0.5)</f>
        <v/>
      </c>
      <c r="AK10">
        <f>IF(AND(ISNUMBER(R10),ISNUMBER(R16)),IF(R10&gt;R16,1,IF(R10=R16,0.5,0)),0.5)</f>
        <v/>
      </c>
      <c r="AL10">
        <f>IF(AND(ISNUMBER(S10),ISNUMBER(S11)),IF(S10&gt;S11,1,IF(S10=S11,0.5,0)),0.5)</f>
        <v/>
      </c>
      <c r="AM10">
        <f>IF(AND(ISNUMBER(S10),ISNUMBER(S12)),IF(S10&gt;S12,1,IF(S10=S12,0.5,0)),0.5)</f>
        <v/>
      </c>
      <c r="AN10">
        <f>IF(AND(ISNUMBER(S10),ISNUMBER(S13)),IF(S10&gt;S13,1,IF(S10=S13,0.5,0)),0.5)</f>
        <v/>
      </c>
      <c r="AO10">
        <f>IF(AND(ISNUMBER(S10),ISNUMBER(S14)),IF(S10&gt;S14,1,IF(S10=S14,0.5,0)),0.5)</f>
        <v/>
      </c>
      <c r="AP10">
        <f>IF(AND(ISNUMBER(S10),ISNUMBER(S15)),IF(S10&gt;S15,1,IF(S10=S15,0.5,0)),0.5)</f>
        <v/>
      </c>
      <c r="AQ10">
        <f>IF(AND(ISNUMBER(S10),ISNUMBER(S16)),IF(S10&gt;S16,1,IF(S10=S16,0.5,0)),0.5)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4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5">
        <f>IFERROR(AVERAGE(T11:Y11),"")</f>
        <v/>
      </c>
      <c r="M11" s="4">
        <f>IFERROR(AVERAGE(Z11:AE11),"")</f>
        <v/>
      </c>
      <c r="N11" s="5">
        <f>P11/6</f>
        <v/>
      </c>
      <c r="O11" s="5">
        <f>Q11/6</f>
        <v/>
      </c>
      <c r="P11" s="4">
        <f>IFERROR(SUM(AF11:AK11),"")</f>
        <v/>
      </c>
      <c r="Q11" s="4">
        <f>IFERROR(SUM(AL11:AQ11),"")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IF(AND(ISNUMBER(R11),ISNUMBER(R10)),VLOOKUP(ABS(R11-R10),'IMP Table'!$A$2:$C$26,3)*SIGN(R11-R10),"")</f>
        <v/>
      </c>
      <c r="U11">
        <f>IF(AND(ISNUMBER(R11),ISNUMBER(R12)),VLOOKUP(ABS(R11-R12),'IMP Table'!$A$2:$C$26,3)*SIGN(R11-R12),"")</f>
        <v/>
      </c>
      <c r="V11">
        <f>IF(AND(ISNUMBER(R11),ISNUMBER(R13)),VLOOKUP(ABS(R11-R13),'IMP Table'!$A$2:$C$26,3)*SIGN(R11-R13),"")</f>
        <v/>
      </c>
      <c r="W11">
        <f>IF(AND(ISNUMBER(R11),ISNUMBER(R14)),VLOOKUP(ABS(R11-R14),'IMP Table'!$A$2:$C$26,3)*SIGN(R11-R14),"")</f>
        <v/>
      </c>
      <c r="X11">
        <f>IF(AND(ISNUMBER(R11),ISNUMBER(R15)),VLOOKUP(ABS(R11-R15),'IMP Table'!$A$2:$C$26,3)*SIGN(R11-R15),"")</f>
        <v/>
      </c>
      <c r="Y11">
        <f>IF(AND(ISNUMBER(R11),ISNUMBER(R16)),VLOOKUP(ABS(R11-R16),'IMP Table'!$A$2:$C$26,3)*SIGN(R11-R16),"")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IF(AND(ISNUMBER(S11),ISNUMBER(S13)),VLOOKUP(ABS(S11-S13),'IMP Table'!$A$2:$C$26,3)*SIGN(S11-S13),"")</f>
        <v/>
      </c>
      <c r="AC11">
        <f>IF(AND(ISNUMBER(S11),ISNUMBER(S14)),VLOOKUP(ABS(S11-S14),'IMP Table'!$A$2:$C$26,3)*SIGN(S11-S14),"")</f>
        <v/>
      </c>
      <c r="AD11">
        <f>IF(AND(ISNUMBER(S11),ISNUMBER(S15)),VLOOKUP(ABS(S11-S15),'IMP Table'!$A$2:$C$26,3)*SIGN(S11-S15),"")</f>
        <v/>
      </c>
      <c r="AE11">
        <f>IF(AND(ISNUMBER(S11),ISNUMBER(S16)),VLOOKUP(ABS(S11-S16),'IMP Table'!$A$2:$C$26,3)*SIGN(S11-S16),"")</f>
        <v/>
      </c>
      <c r="AF11">
        <f>IF(AND(ISNUMBER(R11),ISNUMBER(R10)),IF(R11&gt;R10,1,IF(R11=R10,0.5,0)),0.5)</f>
        <v/>
      </c>
      <c r="AG11">
        <f>IF(AND(ISNUMBER(R11),ISNUMBER(R12)),IF(R11&gt;R12,1,IF(R11=R12,0.5,0)),0.5)</f>
        <v/>
      </c>
      <c r="AH11">
        <f>IF(AND(ISNUMBER(R11),ISNUMBER(R13)),IF(R11&gt;R13,1,IF(R11=R13,0.5,0)),0.5)</f>
        <v/>
      </c>
      <c r="AI11">
        <f>IF(AND(ISNUMBER(R11),ISNUMBER(R14)),IF(R11&gt;R14,1,IF(R11=R14,0.5,0)),0.5)</f>
        <v/>
      </c>
      <c r="AJ11">
        <f>IF(AND(ISNUMBER(R11),ISNUMBER(R15)),IF(R11&gt;R15,1,IF(R11=R15,0.5,0)),0.5)</f>
        <v/>
      </c>
      <c r="AK11">
        <f>IF(AND(ISNUMBER(R11),ISNUMBER(R16)),IF(R11&gt;R16,1,IF(R11=R16,0.5,0)),0.5)</f>
        <v/>
      </c>
      <c r="AL11">
        <f>IF(AND(ISNUMBER(S11),ISNUMBER(S10)),IF(S11&gt;S10,1,IF(S11=S10,0.5,0)),0.5)</f>
        <v/>
      </c>
      <c r="AM11">
        <f>IF(AND(ISNUMBER(S11),ISNUMBER(S12)),IF(S11&gt;S12,1,IF(S11=S12,0.5,0)),0.5)</f>
        <v/>
      </c>
      <c r="AN11">
        <f>IF(AND(ISNUMBER(S11),ISNUMBER(S13)),IF(S11&gt;S13,1,IF(S11=S13,0.5,0)),0.5)</f>
        <v/>
      </c>
      <c r="AO11">
        <f>IF(AND(ISNUMBER(S11),ISNUMBER(S14)),IF(S11&gt;S14,1,IF(S11=S14,0.5,0)),0.5)</f>
        <v/>
      </c>
      <c r="AP11">
        <f>IF(AND(ISNUMBER(S11),ISNUMBER(S15)),IF(S11&gt;S15,1,IF(S11=S15,0.5,0)),0.5)</f>
        <v/>
      </c>
      <c r="AQ11">
        <f>IF(AND(ISNUMBER(S11),ISNUMBER(S16)),IF(S11&gt;S16,1,IF(S11=S16,0.5,0)),0.5)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4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5">
        <f>IFERROR(AVERAGE(T12:Y12),"")</f>
        <v/>
      </c>
      <c r="M12" s="4">
        <f>IFERROR(AVERAGE(Z12:AE12),"")</f>
        <v/>
      </c>
      <c r="N12" s="5">
        <f>P12/6</f>
        <v/>
      </c>
      <c r="O12" s="5">
        <f>Q12/6</f>
        <v/>
      </c>
      <c r="P12" s="4">
        <f>IFERROR(SUM(AF12:AK12),"")</f>
        <v/>
      </c>
      <c r="Q12" s="4">
        <f>IFERROR(SUM(AL12:AQ12),"")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IF(AND(ISNUMBER(R12),ISNUMBER(R10)),VLOOKUP(ABS(R12-R10),'IMP Table'!$A$2:$C$26,3)*SIGN(R12-R10),"")</f>
        <v/>
      </c>
      <c r="U12">
        <f>IF(AND(ISNUMBER(R12),ISNUMBER(R11)),VLOOKUP(ABS(R12-R11),'IMP Table'!$A$2:$C$26,3)*SIGN(R12-R11),"")</f>
        <v/>
      </c>
      <c r="V12">
        <f>IF(AND(ISNUMBER(R12),ISNUMBER(R13)),VLOOKUP(ABS(R12-R13),'IMP Table'!$A$2:$C$26,3)*SIGN(R12-R13),"")</f>
        <v/>
      </c>
      <c r="W12">
        <f>IF(AND(ISNUMBER(R12),ISNUMBER(R14)),VLOOKUP(ABS(R12-R14),'IMP Table'!$A$2:$C$26,3)*SIGN(R12-R14),"")</f>
        <v/>
      </c>
      <c r="X12">
        <f>IF(AND(ISNUMBER(R12),ISNUMBER(R15)),VLOOKUP(ABS(R12-R15),'IMP Table'!$A$2:$C$26,3)*SIGN(R12-R15),"")</f>
        <v/>
      </c>
      <c r="Y12">
        <f>IF(AND(ISNUMBER(R12),ISNUMBER(R16)),VLOOKUP(ABS(R12-R16),'IMP Table'!$A$2:$C$26,3)*SIGN(R12-R16),"")</f>
        <v/>
      </c>
      <c r="Z12">
        <f>IF(AND(ISNUMBER(S12),ISNUMBER(S10)),VLOOKUP(ABS(S12-S10),'IMP Table'!$A$2:$C$26,3)*SIGN(S12-S10),"")</f>
        <v/>
      </c>
      <c r="AA12">
        <f>IF(AND(ISNUMBER(S12),ISNUMBER(S11)),VLOOKUP(ABS(S12-S11),'IMP Table'!$A$2:$C$26,3)*SIGN(S12-S11),"")</f>
        <v/>
      </c>
      <c r="AB12">
        <f>IF(AND(ISNUMBER(S12),ISNUMBER(S13)),VLOOKUP(ABS(S12-S13),'IMP Table'!$A$2:$C$26,3)*SIGN(S12-S13),"")</f>
        <v/>
      </c>
      <c r="AC12">
        <f>IF(AND(ISNUMBER(S12),ISNUMBER(S14)),VLOOKUP(ABS(S12-S14),'IMP Table'!$A$2:$C$26,3)*SIGN(S12-S14),"")</f>
        <v/>
      </c>
      <c r="AD12">
        <f>IF(AND(ISNUMBER(S12),ISNUMBER(S15)),VLOOKUP(ABS(S12-S15),'IMP Table'!$A$2:$C$26,3)*SIGN(S12-S15),"")</f>
        <v/>
      </c>
      <c r="AE12">
        <f>IF(AND(ISNUMBER(S12),ISNUMBER(S16)),VLOOKUP(ABS(S12-S16),'IMP Table'!$A$2:$C$26,3)*SIGN(S12-S16),"")</f>
        <v/>
      </c>
      <c r="AF12">
        <f>IF(AND(ISNUMBER(R12),ISNUMBER(R10)),IF(R12&gt;R10,1,IF(R12=R10,0.5,0)),0.5)</f>
        <v/>
      </c>
      <c r="AG12">
        <f>IF(AND(ISNUMBER(R12),ISNUMBER(R11)),IF(R12&gt;R11,1,IF(R12=R11,0.5,0)),0.5)</f>
        <v/>
      </c>
      <c r="AH12">
        <f>IF(AND(ISNUMBER(R12),ISNUMBER(R13)),IF(R12&gt;R13,1,IF(R12=R13,0.5,0)),0.5)</f>
        <v/>
      </c>
      <c r="AI12">
        <f>IF(AND(ISNUMBER(R12),ISNUMBER(R14)),IF(R12&gt;R14,1,IF(R12=R14,0.5,0)),0.5)</f>
        <v/>
      </c>
      <c r="AJ12">
        <f>IF(AND(ISNUMBER(R12),ISNUMBER(R15)),IF(R12&gt;R15,1,IF(R12=R15,0.5,0)),0.5)</f>
        <v/>
      </c>
      <c r="AK12">
        <f>IF(AND(ISNUMBER(R12),ISNUMBER(R16)),IF(R12&gt;R16,1,IF(R12=R16,0.5,0)),0.5)</f>
        <v/>
      </c>
      <c r="AL12">
        <f>IF(AND(ISNUMBER(S12),ISNUMBER(S10)),IF(S12&gt;S10,1,IF(S12=S10,0.5,0)),0.5)</f>
        <v/>
      </c>
      <c r="AM12">
        <f>IF(AND(ISNUMBER(S12),ISNUMBER(S11)),IF(S12&gt;S11,1,IF(S12=S11,0.5,0)),0.5)</f>
        <v/>
      </c>
      <c r="AN12">
        <f>IF(AND(ISNUMBER(S12),ISNUMBER(S13)),IF(S12&gt;S13,1,IF(S12=S13,0.5,0)),0.5)</f>
        <v/>
      </c>
      <c r="AO12">
        <f>IF(AND(ISNUMBER(S12),ISNUMBER(S14)),IF(S12&gt;S14,1,IF(S12=S14,0.5,0)),0.5)</f>
        <v/>
      </c>
      <c r="AP12">
        <f>IF(AND(ISNUMBER(S12),ISNUMBER(S15)),IF(S12&gt;S15,1,IF(S12=S15,0.5,0)),0.5)</f>
        <v/>
      </c>
      <c r="AQ12">
        <f>IF(AND(ISNUMBER(S12),ISNUMBER(S16)),IF(S12&gt;S16,1,IF(S12=S16,0.5,0)),0.5)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4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5">
        <f>IFERROR(AVERAGE(T13:Y13),"")</f>
        <v/>
      </c>
      <c r="M13" s="4">
        <f>IFERROR(AVERAGE(Z13:AE13),"")</f>
        <v/>
      </c>
      <c r="N13" s="5">
        <f>P13/6</f>
        <v/>
      </c>
      <c r="O13" s="5">
        <f>Q13/6</f>
        <v/>
      </c>
      <c r="P13" s="4">
        <f>IFERROR(SUM(AF13:AK13),"")</f>
        <v/>
      </c>
      <c r="Q13" s="4">
        <f>IFERROR(SUM(AL13:AQ13),"")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IF(AND(ISNUMBER(R13),ISNUMBER(R10)),VLOOKUP(ABS(R13-R10),'IMP Table'!$A$2:$C$26,3)*SIGN(R13-R10),"")</f>
        <v/>
      </c>
      <c r="U13">
        <f>IF(AND(ISNUMBER(R13),ISNUMBER(R11)),VLOOKUP(ABS(R13-R11),'IMP Table'!$A$2:$C$26,3)*SIGN(R13-R11),"")</f>
        <v/>
      </c>
      <c r="V13">
        <f>IF(AND(ISNUMBER(R13),ISNUMBER(R12)),VLOOKUP(ABS(R13-R12),'IMP Table'!$A$2:$C$26,3)*SIGN(R13-R12),"")</f>
        <v/>
      </c>
      <c r="W13">
        <f>IF(AND(ISNUMBER(R13),ISNUMBER(R14)),VLOOKUP(ABS(R13-R14),'IMP Table'!$A$2:$C$26,3)*SIGN(R13-R14),"")</f>
        <v/>
      </c>
      <c r="X13">
        <f>IF(AND(ISNUMBER(R13),ISNUMBER(R15)),VLOOKUP(ABS(R13-R15),'IMP Table'!$A$2:$C$26,3)*SIGN(R13-R15),"")</f>
        <v/>
      </c>
      <c r="Y13">
        <f>IF(AND(ISNUMBER(R13),ISNUMBER(R16)),VLOOKUP(ABS(R13-R16),'IMP Table'!$A$2:$C$26,3)*SIGN(R13-R16),"")</f>
        <v/>
      </c>
      <c r="Z13">
        <f>IF(AND(ISNUMBER(S13),ISNUMBER(S10)),VLOOKUP(ABS(S13-S10),'IMP Table'!$A$2:$C$26,3)*SIGN(S13-S10),"")</f>
        <v/>
      </c>
      <c r="AA13">
        <f>IF(AND(ISNUMBER(S13),ISNUMBER(S11)),VLOOKUP(ABS(S13-S11),'IMP Table'!$A$2:$C$26,3)*SIGN(S13-S11),"")</f>
        <v/>
      </c>
      <c r="AB13">
        <f>IF(AND(ISNUMBER(S13),ISNUMBER(S12)),VLOOKUP(ABS(S13-S12),'IMP Table'!$A$2:$C$26,3)*SIGN(S13-S12),"")</f>
        <v/>
      </c>
      <c r="AC13">
        <f>IF(AND(ISNUMBER(S13),ISNUMBER(S14)),VLOOKUP(ABS(S13-S14),'IMP Table'!$A$2:$C$26,3)*SIGN(S13-S14),"")</f>
        <v/>
      </c>
      <c r="AD13">
        <f>IF(AND(ISNUMBER(S13),ISNUMBER(S15)),VLOOKUP(ABS(S13-S15),'IMP Table'!$A$2:$C$26,3)*SIGN(S13-S15),"")</f>
        <v/>
      </c>
      <c r="AE13">
        <f>IF(AND(ISNUMBER(S13),ISNUMBER(S16)),VLOOKUP(ABS(S13-S16),'IMP Table'!$A$2:$C$26,3)*SIGN(S13-S16),"")</f>
        <v/>
      </c>
      <c r="AF13">
        <f>IF(AND(ISNUMBER(R13),ISNUMBER(R10)),IF(R13&gt;R10,1,IF(R13=R10,0.5,0)),0.5)</f>
        <v/>
      </c>
      <c r="AG13">
        <f>IF(AND(ISNUMBER(R13),ISNUMBER(R11)),IF(R13&gt;R11,1,IF(R13=R11,0.5,0)),0.5)</f>
        <v/>
      </c>
      <c r="AH13">
        <f>IF(AND(ISNUMBER(R13),ISNUMBER(R12)),IF(R13&gt;R12,1,IF(R13=R12,0.5,0)),0.5)</f>
        <v/>
      </c>
      <c r="AI13">
        <f>IF(AND(ISNUMBER(R13),ISNUMBER(R14)),IF(R13&gt;R14,1,IF(R13=R14,0.5,0)),0.5)</f>
        <v/>
      </c>
      <c r="AJ13">
        <f>IF(AND(ISNUMBER(R13),ISNUMBER(R15)),IF(R13&gt;R15,1,IF(R13=R15,0.5,0)),0.5)</f>
        <v/>
      </c>
      <c r="AK13">
        <f>IF(AND(ISNUMBER(R13),ISNUMBER(R16)),IF(R13&gt;R16,1,IF(R13=R16,0.5,0)),0.5)</f>
        <v/>
      </c>
      <c r="AL13">
        <f>IF(AND(ISNUMBER(S13),ISNUMBER(S10)),IF(S13&gt;S10,1,IF(S13=S10,0.5,0)),0.5)</f>
        <v/>
      </c>
      <c r="AM13">
        <f>IF(AND(ISNUMBER(S13),ISNUMBER(S11)),IF(S13&gt;S11,1,IF(S13=S11,0.5,0)),0.5)</f>
        <v/>
      </c>
      <c r="AN13">
        <f>IF(AND(ISNUMBER(S13),ISNUMBER(S12)),IF(S13&gt;S12,1,IF(S13=S12,0.5,0)),0.5)</f>
        <v/>
      </c>
      <c r="AO13">
        <f>IF(AND(ISNUMBER(S13),ISNUMBER(S14)),IF(S13&gt;S14,1,IF(S13=S14,0.5,0)),0.5)</f>
        <v/>
      </c>
      <c r="AP13">
        <f>IF(AND(ISNUMBER(S13),ISNUMBER(S15)),IF(S13&gt;S15,1,IF(S13=S15,0.5,0)),0.5)</f>
        <v/>
      </c>
      <c r="AQ13">
        <f>IF(AND(ISNUMBER(S13),ISNUMBER(S16)),IF(S13&gt;S16,1,IF(S13=S16,0.5,0)),0.5)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4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5">
        <f>IFERROR(AVERAGE(T14:Y14),"")</f>
        <v/>
      </c>
      <c r="M14" s="4">
        <f>IFERROR(AVERAGE(Z14:AE14),"")</f>
        <v/>
      </c>
      <c r="N14" s="5">
        <f>P14/6</f>
        <v/>
      </c>
      <c r="O14" s="5">
        <f>Q14/6</f>
        <v/>
      </c>
      <c r="P14" s="4">
        <f>IFERROR(SUM(AF14:AK14),"")</f>
        <v/>
      </c>
      <c r="Q14" s="4">
        <f>IFERROR(SUM(AL14:AQ14),"")</f>
        <v/>
      </c>
      <c r="R14" s="16">
        <f>IF(ISNUMBER(J14),J14,IF(ISNUMBER(K14),-K14,""))</f>
        <v/>
      </c>
      <c r="S14">
        <f>IF(ISNUMBER(K14),K14,IF(ISNUMBER(J14),-J14,""))</f>
        <v/>
      </c>
      <c r="T14">
        <f>IF(AND(ISNUMBER(R14),ISNUMBER(R10)),VLOOKUP(ABS(R14-R10),'IMP Table'!$A$2:$C$26,3)*SIGN(R14-R10),"")</f>
        <v/>
      </c>
      <c r="U14">
        <f>IF(AND(ISNUMBER(R14),ISNUMBER(R11)),VLOOKUP(ABS(R14-R11),'IMP Table'!$A$2:$C$26,3)*SIGN(R14-R11),"")</f>
        <v/>
      </c>
      <c r="V14">
        <f>IF(AND(ISNUMBER(R14),ISNUMBER(R12)),VLOOKUP(ABS(R14-R12),'IMP Table'!$A$2:$C$26,3)*SIGN(R14-R12),"")</f>
        <v/>
      </c>
      <c r="W14">
        <f>IF(AND(ISNUMBER(R14),ISNUMBER(R13)),VLOOKUP(ABS(R14-R13),'IMP Table'!$A$2:$C$26,3)*SIGN(R14-R13),"")</f>
        <v/>
      </c>
      <c r="X14">
        <f>IF(AND(ISNUMBER(R14),ISNUMBER(R15)),VLOOKUP(ABS(R14-R15),'IMP Table'!$A$2:$C$26,3)*SIGN(R14-R15),"")</f>
        <v/>
      </c>
      <c r="Y14">
        <f>IF(AND(ISNUMBER(R14),ISNUMBER(R16)),VLOOKUP(ABS(R14-R16),'IMP Table'!$A$2:$C$26,3)*SIGN(R14-R16),"")</f>
        <v/>
      </c>
      <c r="Z14">
        <f>IF(AND(ISNUMBER(S14),ISNUMBER(S10)),VLOOKUP(ABS(S14-S10),'IMP Table'!$A$2:$C$26,3)*SIGN(S14-S10),"")</f>
        <v/>
      </c>
      <c r="AA14">
        <f>IF(AND(ISNUMBER(S14),ISNUMBER(S11)),VLOOKUP(ABS(S14-S11),'IMP Table'!$A$2:$C$26,3)*SIGN(S14-S11),"")</f>
        <v/>
      </c>
      <c r="AB14">
        <f>IF(AND(ISNUMBER(S14),ISNUMBER(S12)),VLOOKUP(ABS(S14-S12),'IMP Table'!$A$2:$C$26,3)*SIGN(S14-S12),"")</f>
        <v/>
      </c>
      <c r="AC14">
        <f>IF(AND(ISNUMBER(S14),ISNUMBER(S13)),VLOOKUP(ABS(S14-S13),'IMP Table'!$A$2:$C$26,3)*SIGN(S14-S13),"")</f>
        <v/>
      </c>
      <c r="AD14">
        <f>IF(AND(ISNUMBER(S14),ISNUMBER(S15)),VLOOKUP(ABS(S14-S15),'IMP Table'!$A$2:$C$26,3)*SIGN(S14-S15),"")</f>
        <v/>
      </c>
      <c r="AE14">
        <f>IF(AND(ISNUMBER(S14),ISNUMBER(S16)),VLOOKUP(ABS(S14-S16),'IMP Table'!$A$2:$C$26,3)*SIGN(S14-S16),"")</f>
        <v/>
      </c>
      <c r="AF14">
        <f>IF(AND(ISNUMBER(R14),ISNUMBER(R10)),IF(R14&gt;R10,1,IF(R14=R10,0.5,0)),0.5)</f>
        <v/>
      </c>
      <c r="AG14">
        <f>IF(AND(ISNUMBER(R14),ISNUMBER(R11)),IF(R14&gt;R11,1,IF(R14=R11,0.5,0)),0.5)</f>
        <v/>
      </c>
      <c r="AH14">
        <f>IF(AND(ISNUMBER(R14),ISNUMBER(R12)),IF(R14&gt;R12,1,IF(R14=R12,0.5,0)),0.5)</f>
        <v/>
      </c>
      <c r="AI14">
        <f>IF(AND(ISNUMBER(R14),ISNUMBER(R13)),IF(R14&gt;R13,1,IF(R14=R13,0.5,0)),0.5)</f>
        <v/>
      </c>
      <c r="AJ14">
        <f>IF(AND(ISNUMBER(R14),ISNUMBER(R15)),IF(R14&gt;R15,1,IF(R14=R15,0.5,0)),0.5)</f>
        <v/>
      </c>
      <c r="AK14">
        <f>IF(AND(ISNUMBER(R14),ISNUMBER(R16)),IF(R14&gt;R16,1,IF(R14=R16,0.5,0)),0.5)</f>
        <v/>
      </c>
      <c r="AL14">
        <f>IF(AND(ISNUMBER(S14),ISNUMBER(S10)),IF(S14&gt;S10,1,IF(S14=S10,0.5,0)),0.5)</f>
        <v/>
      </c>
      <c r="AM14">
        <f>IF(AND(ISNUMBER(S14),ISNUMBER(S11)),IF(S14&gt;S11,1,IF(S14=S11,0.5,0)),0.5)</f>
        <v/>
      </c>
      <c r="AN14">
        <f>IF(AND(ISNUMBER(S14),ISNUMBER(S12)),IF(S14&gt;S12,1,IF(S14=S12,0.5,0)),0.5)</f>
        <v/>
      </c>
      <c r="AO14">
        <f>IF(AND(ISNUMBER(S14),ISNUMBER(S13)),IF(S14&gt;S13,1,IF(S14=S13,0.5,0)),0.5)</f>
        <v/>
      </c>
      <c r="AP14">
        <f>IF(AND(ISNUMBER(S14),ISNUMBER(S15)),IF(S14&gt;S15,1,IF(S14=S15,0.5,0)),0.5)</f>
        <v/>
      </c>
      <c r="AQ14">
        <f>IF(AND(ISNUMBER(S14),ISNUMBER(S16)),IF(S14&gt;S16,1,IF(S14=S16,0.5,0)),0.5)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4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5">
        <f>IFERROR(AVERAGE(T15:Y15),"")</f>
        <v/>
      </c>
      <c r="M15" s="4">
        <f>IFERROR(AVERAGE(Z15:AE15),"")</f>
        <v/>
      </c>
      <c r="N15" s="5">
        <f>P15/6</f>
        <v/>
      </c>
      <c r="O15" s="5">
        <f>Q15/6</f>
        <v/>
      </c>
      <c r="P15" s="4">
        <f>IFERROR(SUM(AF15:AK15),"")</f>
        <v/>
      </c>
      <c r="Q15" s="4">
        <f>IFERROR(SUM(AL15:AQ15),"")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IF(AND(ISNUMBER(R15),ISNUMBER(R10)),VLOOKUP(ABS(R15-R10),'IMP Table'!$A$2:$C$26,3)*SIGN(R15-R10),"")</f>
        <v/>
      </c>
      <c r="U15">
        <f>IF(AND(ISNUMBER(R15),ISNUMBER(R11)),VLOOKUP(ABS(R15-R11),'IMP Table'!$A$2:$C$26,3)*SIGN(R15-R11),"")</f>
        <v/>
      </c>
      <c r="V15">
        <f>IF(AND(ISNUMBER(R15),ISNUMBER(R12)),VLOOKUP(ABS(R15-R12),'IMP Table'!$A$2:$C$26,3)*SIGN(R15-R12),"")</f>
        <v/>
      </c>
      <c r="W15">
        <f>IF(AND(ISNUMBER(R15),ISNUMBER(R13)),VLOOKUP(ABS(R15-R13),'IMP Table'!$A$2:$C$26,3)*SIGN(R15-R13),"")</f>
        <v/>
      </c>
      <c r="X15">
        <f>IF(AND(ISNUMBER(R15),ISNUMBER(R14)),VLOOKUP(ABS(R15-R14),'IMP Table'!$A$2:$C$26,3)*SIGN(R15-R14),"")</f>
        <v/>
      </c>
      <c r="Y15">
        <f>IF(AND(ISNUMBER(R15),ISNUMBER(R16)),VLOOKUP(ABS(R15-R16),'IMP Table'!$A$2:$C$26,3)*SIGN(R15-R16),"")</f>
        <v/>
      </c>
      <c r="Z15">
        <f>IF(AND(ISNUMBER(S15),ISNUMBER(S10)),VLOOKUP(ABS(S15-S10),'IMP Table'!$A$2:$C$26,3)*SIGN(S15-S10),"")</f>
        <v/>
      </c>
      <c r="AA15">
        <f>IF(AND(ISNUMBER(S15),ISNUMBER(S11)),VLOOKUP(ABS(S15-S11),'IMP Table'!$A$2:$C$26,3)*SIGN(S15-S11),"")</f>
        <v/>
      </c>
      <c r="AB15">
        <f>IF(AND(ISNUMBER(S15),ISNUMBER(S12)),VLOOKUP(ABS(S15-S12),'IMP Table'!$A$2:$C$26,3)*SIGN(S15-S12),"")</f>
        <v/>
      </c>
      <c r="AC15">
        <f>IF(AND(ISNUMBER(S15),ISNUMBER(S13)),VLOOKUP(ABS(S15-S13),'IMP Table'!$A$2:$C$26,3)*SIGN(S15-S13),"")</f>
        <v/>
      </c>
      <c r="AD15">
        <f>IF(AND(ISNUMBER(S15),ISNUMBER(S14)),VLOOKUP(ABS(S15-S14),'IMP Table'!$A$2:$C$26,3)*SIGN(S15-S14),"")</f>
        <v/>
      </c>
      <c r="AE15">
        <f>IF(AND(ISNUMBER(S15),ISNUMBER(S16)),VLOOKUP(ABS(S15-S16),'IMP Table'!$A$2:$C$26,3)*SIGN(S15-S16),"")</f>
        <v/>
      </c>
      <c r="AF15">
        <f>IF(AND(ISNUMBER(R15),ISNUMBER(R10)),IF(R15&gt;R10,1,IF(R15=R10,0.5,0)),0.5)</f>
        <v/>
      </c>
      <c r="AG15">
        <f>IF(AND(ISNUMBER(R15),ISNUMBER(R11)),IF(R15&gt;R11,1,IF(R15=R11,0.5,0)),0.5)</f>
        <v/>
      </c>
      <c r="AH15">
        <f>IF(AND(ISNUMBER(R15),ISNUMBER(R12)),IF(R15&gt;R12,1,IF(R15=R12,0.5,0)),0.5)</f>
        <v/>
      </c>
      <c r="AI15">
        <f>IF(AND(ISNUMBER(R15),ISNUMBER(R13)),IF(R15&gt;R13,1,IF(R15=R13,0.5,0)),0.5)</f>
        <v/>
      </c>
      <c r="AJ15">
        <f>IF(AND(ISNUMBER(R15),ISNUMBER(R14)),IF(R15&gt;R14,1,IF(R15=R14,0.5,0)),0.5)</f>
        <v/>
      </c>
      <c r="AK15">
        <f>IF(AND(ISNUMBER(R15),ISNUMBER(R16)),IF(R15&gt;R16,1,IF(R15=R16,0.5,0)),0.5)</f>
        <v/>
      </c>
      <c r="AL15">
        <f>IF(AND(ISNUMBER(S15),ISNUMBER(S10)),IF(S15&gt;S10,1,IF(S15=S10,0.5,0)),0.5)</f>
        <v/>
      </c>
      <c r="AM15">
        <f>IF(AND(ISNUMBER(S15),ISNUMBER(S11)),IF(S15&gt;S11,1,IF(S15=S11,0.5,0)),0.5)</f>
        <v/>
      </c>
      <c r="AN15">
        <f>IF(AND(ISNUMBER(S15),ISNUMBER(S12)),IF(S15&gt;S12,1,IF(S15=S12,0.5,0)),0.5)</f>
        <v/>
      </c>
      <c r="AO15">
        <f>IF(AND(ISNUMBER(S15),ISNUMBER(S13)),IF(S15&gt;S13,1,IF(S15=S13,0.5,0)),0.5)</f>
        <v/>
      </c>
      <c r="AP15">
        <f>IF(AND(ISNUMBER(S15),ISNUMBER(S14)),IF(S15&gt;S14,1,IF(S15=S14,0.5,0)),0.5)</f>
        <v/>
      </c>
      <c r="AQ15">
        <f>IF(AND(ISNUMBER(S15),ISNUMBER(S16)),IF(S15&gt;S16,1,IF(S15=S16,0.5,0)),0.5)</f>
        <v/>
      </c>
    </row>
    <row r="16">
      <c r="A16" s="13" t="n"/>
      <c r="B16" s="13">
        <f>'By Round'!A157</f>
        <v/>
      </c>
      <c r="C16" s="13">
        <f>'By Round'!B159</f>
        <v/>
      </c>
      <c r="D16" s="13">
        <f>'By Round'!C159</f>
        <v/>
      </c>
      <c r="E16" s="13">
        <f>'By Round'!D159</f>
        <v/>
      </c>
      <c r="F16" s="17" t="inlineStr">
        <is>
          <t>NS</t>
        </is>
      </c>
      <c r="G16" s="13">
        <f>IF(ISBLANK('By Round'!G159),"",'By Round'!G159)</f>
        <v/>
      </c>
      <c r="H16" s="13">
        <f>IF(ISBLANK('By Round'!H159),"",'By Round'!H159)</f>
        <v/>
      </c>
      <c r="I16" s="13">
        <f>IF(ISBLANK('By Round'!I159),"",'By Round'!I159)</f>
        <v/>
      </c>
      <c r="J16" s="13">
        <f>IF(ISBLANK('By Round'!J159),"",'By Round'!J159)</f>
        <v/>
      </c>
      <c r="K16" s="13">
        <f>IF(ISBLANK('By Round'!K159),"",'By Round'!K159)</f>
        <v/>
      </c>
      <c r="L16" s="18">
        <f>IFERROR(AVERAGE(T16:Y16),"")</f>
        <v/>
      </c>
      <c r="M16" s="19">
        <f>IFERROR(AVERAGE(Z16:AE16),"")</f>
        <v/>
      </c>
      <c r="N16" s="20">
        <f>P16/6</f>
        <v/>
      </c>
      <c r="O16" s="20">
        <f>Q16/6</f>
        <v/>
      </c>
      <c r="P16" s="19">
        <f>IFERROR(SUM(AF16:AK16),"")</f>
        <v/>
      </c>
      <c r="Q16" s="19">
        <f>IFERROR(SUM(AL16:AQ16),"")</f>
        <v/>
      </c>
      <c r="R16" s="21">
        <f>IF(ISNUMBER(J16),J16,IF(ISNUMBER(K16),-K16,""))</f>
        <v/>
      </c>
      <c r="S16" s="13">
        <f>IF(ISNUMBER(K16),K16,IF(ISNUMBER(J16),-J16,""))</f>
        <v/>
      </c>
      <c r="T16" s="13">
        <f>IF(AND(ISNUMBER(R16),ISNUMBER(R10)),VLOOKUP(ABS(R16-R10),'IMP Table'!$A$2:$C$26,3)*SIGN(R16-R10),"")</f>
        <v/>
      </c>
      <c r="U16" s="13">
        <f>IF(AND(ISNUMBER(R16),ISNUMBER(R11)),VLOOKUP(ABS(R16-R11),'IMP Table'!$A$2:$C$26,3)*SIGN(R16-R11),"")</f>
        <v/>
      </c>
      <c r="V16" s="13">
        <f>IF(AND(ISNUMBER(R16),ISNUMBER(R12)),VLOOKUP(ABS(R16-R12),'IMP Table'!$A$2:$C$26,3)*SIGN(R16-R12),"")</f>
        <v/>
      </c>
      <c r="W16" s="13">
        <f>IF(AND(ISNUMBER(R16),ISNUMBER(R13)),VLOOKUP(ABS(R16-R13),'IMP Table'!$A$2:$C$26,3)*SIGN(R16-R13),"")</f>
        <v/>
      </c>
      <c r="X16" s="13">
        <f>IF(AND(ISNUMBER(R16),ISNUMBER(R14)),VLOOKUP(ABS(R16-R14),'IMP Table'!$A$2:$C$26,3)*SIGN(R16-R14),"")</f>
        <v/>
      </c>
      <c r="Y16" s="13">
        <f>IF(AND(ISNUMBER(R16),ISNUMBER(R15)),VLOOKUP(ABS(R16-R15),'IMP Table'!$A$2:$C$26,3)*SIGN(R16-R15),"")</f>
        <v/>
      </c>
      <c r="Z16" s="13">
        <f>IF(AND(ISNUMBER(S16),ISNUMBER(S10)),VLOOKUP(ABS(S16-S10),'IMP Table'!$A$2:$C$26,3)*SIGN(S16-S10),"")</f>
        <v/>
      </c>
      <c r="AA16" s="13">
        <f>IF(AND(ISNUMBER(S16),ISNUMBER(S11)),VLOOKUP(ABS(S16-S11),'IMP Table'!$A$2:$C$26,3)*SIGN(S16-S11),"")</f>
        <v/>
      </c>
      <c r="AB16" s="13">
        <f>IF(AND(ISNUMBER(S16),ISNUMBER(S12)),VLOOKUP(ABS(S16-S12),'IMP Table'!$A$2:$C$26,3)*SIGN(S16-S12),"")</f>
        <v/>
      </c>
      <c r="AC16" s="13">
        <f>IF(AND(ISNUMBER(S16),ISNUMBER(S13)),VLOOKUP(ABS(S16-S13),'IMP Table'!$A$2:$C$26,3)*SIGN(S16-S13),"")</f>
        <v/>
      </c>
      <c r="AD16" s="13">
        <f>IF(AND(ISNUMBER(S16),ISNUMBER(S14)),VLOOKUP(ABS(S16-S14),'IMP Table'!$A$2:$C$26,3)*SIGN(S16-S14),"")</f>
        <v/>
      </c>
      <c r="AE16" s="13">
        <f>IF(AND(ISNUMBER(S16),ISNUMBER(S15)),VLOOKUP(ABS(S16-S15),'IMP Table'!$A$2:$C$26,3)*SIGN(S16-S15),"")</f>
        <v/>
      </c>
      <c r="AF16" s="13">
        <f>IF(AND(ISNUMBER(R16),ISNUMBER(R10)),IF(R16&gt;R10,1,IF(R16=R10,0.5,0)),0.5)</f>
        <v/>
      </c>
      <c r="AG16" s="13">
        <f>IF(AND(ISNUMBER(R16),ISNUMBER(R11)),IF(R16&gt;R11,1,IF(R16=R11,0.5,0)),0.5)</f>
        <v/>
      </c>
      <c r="AH16" s="13">
        <f>IF(AND(ISNUMBER(R16),ISNUMBER(R12)),IF(R16&gt;R12,1,IF(R16=R12,0.5,0)),0.5)</f>
        <v/>
      </c>
      <c r="AI16" s="13">
        <f>IF(AND(ISNUMBER(R16),ISNUMBER(R13)),IF(R16&gt;R13,1,IF(R16=R13,0.5,0)),0.5)</f>
        <v/>
      </c>
      <c r="AJ16" s="13">
        <f>IF(AND(ISNUMBER(R16),ISNUMBER(R14)),IF(R16&gt;R14,1,IF(R16=R14,0.5,0)),0.5)</f>
        <v/>
      </c>
      <c r="AK16" s="13">
        <f>IF(AND(ISNUMBER(R16),ISNUMBER(R15)),IF(R16&gt;R15,1,IF(R16=R15,0.5,0)),0.5)</f>
        <v/>
      </c>
      <c r="AL16" s="13">
        <f>IF(AND(ISNUMBER(S16),ISNUMBER(S10)),IF(S16&gt;S10,1,IF(S16=S10,0.5,0)),0.5)</f>
        <v/>
      </c>
      <c r="AM16" s="13">
        <f>IF(AND(ISNUMBER(S16),ISNUMBER(S11)),IF(S16&gt;S11,1,IF(S16=S11,0.5,0)),0.5)</f>
        <v/>
      </c>
      <c r="AN16" s="13">
        <f>IF(AND(ISNUMBER(S16),ISNUMBER(S12)),IF(S16&gt;S12,1,IF(S16=S12,0.5,0)),0.5)</f>
        <v/>
      </c>
      <c r="AO16" s="13">
        <f>IF(AND(ISNUMBER(S16),ISNUMBER(S13)),IF(S16&gt;S13,1,IF(S16=S13,0.5,0)),0.5)</f>
        <v/>
      </c>
      <c r="AP16" s="13">
        <f>IF(AND(ISNUMBER(S16),ISNUMBER(S14)),IF(S16&gt;S14,1,IF(S16=S14,0.5,0)),0.5)</f>
        <v/>
      </c>
      <c r="AQ16" s="13">
        <f>IF(AND(ISNUMBER(S16),ISNUMBER(S15)),IF(S16&gt;S15,1,IF(S16=S15,0.5,0)),0.5)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4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5">
        <f>IFERROR(AVERAGE(T17:Y17),"")</f>
        <v/>
      </c>
      <c r="M17" s="4">
        <f>IFERROR(AVERAGE(Z17:AE17),"")</f>
        <v/>
      </c>
      <c r="N17" s="5">
        <f>P17/6</f>
        <v/>
      </c>
      <c r="O17" s="5">
        <f>Q17/6</f>
        <v/>
      </c>
      <c r="P17" s="4">
        <f>IFERROR(SUM(AF17:AK17),"")</f>
        <v/>
      </c>
      <c r="Q17" s="4">
        <f>IFERROR(SUM(AL17:AQ17),"")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IF(AND(ISNUMBER(R17),ISNUMBER(R18)),VLOOKUP(ABS(R17-R18),'IMP Table'!$A$2:$C$26,3)*SIGN(R17-R18),"")</f>
        <v/>
      </c>
      <c r="U17">
        <f>IF(AND(ISNUMBER(R17),ISNUMBER(R19)),VLOOKUP(ABS(R17-R19),'IMP Table'!$A$2:$C$26,3)*SIGN(R17-R19),"")</f>
        <v/>
      </c>
      <c r="V17">
        <f>IF(AND(ISNUMBER(R17),ISNUMBER(R20)),VLOOKUP(ABS(R17-R20),'IMP Table'!$A$2:$C$26,3)*SIGN(R17-R20),"")</f>
        <v/>
      </c>
      <c r="W17">
        <f>IF(AND(ISNUMBER(R17),ISNUMBER(R21)),VLOOKUP(ABS(R17-R21),'IMP Table'!$A$2:$C$26,3)*SIGN(R17-R21),"")</f>
        <v/>
      </c>
      <c r="X17">
        <f>IF(AND(ISNUMBER(R17),ISNUMBER(R22)),VLOOKUP(ABS(R17-R22),'IMP Table'!$A$2:$C$26,3)*SIGN(R17-R22),"")</f>
        <v/>
      </c>
      <c r="Y17">
        <f>IF(AND(ISNUMBER(R17),ISNUMBER(R23)),VLOOKUP(ABS(R17-R23),'IMP Table'!$A$2:$C$26,3)*SIGN(R17-R23),"")</f>
        <v/>
      </c>
      <c r="Z17">
        <f>IF(AND(ISNUMBER(S17),ISNUMBER(S18)),VLOOKUP(ABS(S17-S18),'IMP Table'!$A$2:$C$26,3)*SIGN(S17-S18),"")</f>
        <v/>
      </c>
      <c r="AA17">
        <f>IF(AND(ISNUMBER(S17),ISNUMBER(S19)),VLOOKUP(ABS(S17-S19),'IMP Table'!$A$2:$C$26,3)*SIGN(S17-S19),"")</f>
        <v/>
      </c>
      <c r="AB17">
        <f>IF(AND(ISNUMBER(S17),ISNUMBER(S20)),VLOOKUP(ABS(S17-S20),'IMP Table'!$A$2:$C$26,3)*SIGN(S17-S20),"")</f>
        <v/>
      </c>
      <c r="AC17">
        <f>IF(AND(ISNUMBER(S17),ISNUMBER(S21)),VLOOKUP(ABS(S17-S21),'IMP Table'!$A$2:$C$26,3)*SIGN(S17-S21),"")</f>
        <v/>
      </c>
      <c r="AD17">
        <f>IF(AND(ISNUMBER(S17),ISNUMBER(S22)),VLOOKUP(ABS(S17-S22),'IMP Table'!$A$2:$C$26,3)*SIGN(S17-S22),"")</f>
        <v/>
      </c>
      <c r="AE17">
        <f>IF(AND(ISNUMBER(S17),ISNUMBER(S23)),VLOOKUP(ABS(S17-S23),'IMP Table'!$A$2:$C$26,3)*SIGN(S17-S23),"")</f>
        <v/>
      </c>
      <c r="AF17">
        <f>IF(AND(ISNUMBER(R17),ISNUMBER(R18)),IF(R17&gt;R18,1,IF(R17=R18,0.5,0)),0.5)</f>
        <v/>
      </c>
      <c r="AG17">
        <f>IF(AND(ISNUMBER(R17),ISNUMBER(R19)),IF(R17&gt;R19,1,IF(R17=R19,0.5,0)),0.5)</f>
        <v/>
      </c>
      <c r="AH17">
        <f>IF(AND(ISNUMBER(R17),ISNUMBER(R20)),IF(R17&gt;R20,1,IF(R17=R20,0.5,0)),0.5)</f>
        <v/>
      </c>
      <c r="AI17">
        <f>IF(AND(ISNUMBER(R17),ISNUMBER(R21)),IF(R17&gt;R21,1,IF(R17=R21,0.5,0)),0.5)</f>
        <v/>
      </c>
      <c r="AJ17">
        <f>IF(AND(ISNUMBER(R17),ISNUMBER(R22)),IF(R17&gt;R22,1,IF(R17=R22,0.5,0)),0.5)</f>
        <v/>
      </c>
      <c r="AK17">
        <f>IF(AND(ISNUMBER(R17),ISNUMBER(R23)),IF(R17&gt;R23,1,IF(R17=R23,0.5,0)),0.5)</f>
        <v/>
      </c>
      <c r="AL17">
        <f>IF(AND(ISNUMBER(S17),ISNUMBER(S18)),IF(S17&gt;S18,1,IF(S17=S18,0.5,0)),0.5)</f>
        <v/>
      </c>
      <c r="AM17">
        <f>IF(AND(ISNUMBER(S17),ISNUMBER(S19)),IF(S17&gt;S19,1,IF(S17=S19,0.5,0)),0.5)</f>
        <v/>
      </c>
      <c r="AN17">
        <f>IF(AND(ISNUMBER(S17),ISNUMBER(S20)),IF(S17&gt;S20,1,IF(S17=S20,0.5,0)),0.5)</f>
        <v/>
      </c>
      <c r="AO17">
        <f>IF(AND(ISNUMBER(S17),ISNUMBER(S21)),IF(S17&gt;S21,1,IF(S17=S21,0.5,0)),0.5)</f>
        <v/>
      </c>
      <c r="AP17">
        <f>IF(AND(ISNUMBER(S17),ISNUMBER(S22)),IF(S17&gt;S22,1,IF(S17=S22,0.5,0)),0.5)</f>
        <v/>
      </c>
      <c r="AQ17">
        <f>IF(AND(ISNUMBER(S17),ISNUMBER(S23)),IF(S17&gt;S23,1,IF(S17=S23,0.5,0)),0.5)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4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5">
        <f>IFERROR(AVERAGE(T18:Y18),"")</f>
        <v/>
      </c>
      <c r="M18" s="4">
        <f>IFERROR(AVERAGE(Z18:AE18),"")</f>
        <v/>
      </c>
      <c r="N18" s="5">
        <f>P18/6</f>
        <v/>
      </c>
      <c r="O18" s="5">
        <f>Q18/6</f>
        <v/>
      </c>
      <c r="P18" s="4">
        <f>IFERROR(SUM(AF18:AK18),"")</f>
        <v/>
      </c>
      <c r="Q18" s="4">
        <f>IFERROR(SUM(AL18:AQ18),"")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IF(AND(ISNUMBER(R18),ISNUMBER(R17)),VLOOKUP(ABS(R18-R17),'IMP Table'!$A$2:$C$26,3)*SIGN(R18-R17),"")</f>
        <v/>
      </c>
      <c r="U18">
        <f>IF(AND(ISNUMBER(R18),ISNUMBER(R19)),VLOOKUP(ABS(R18-R19),'IMP Table'!$A$2:$C$26,3)*SIGN(R18-R19),"")</f>
        <v/>
      </c>
      <c r="V18">
        <f>IF(AND(ISNUMBER(R18),ISNUMBER(R20)),VLOOKUP(ABS(R18-R20),'IMP Table'!$A$2:$C$26,3)*SIGN(R18-R20),"")</f>
        <v/>
      </c>
      <c r="W18">
        <f>IF(AND(ISNUMBER(R18),ISNUMBER(R21)),VLOOKUP(ABS(R18-R21),'IMP Table'!$A$2:$C$26,3)*SIGN(R18-R21),"")</f>
        <v/>
      </c>
      <c r="X18">
        <f>IF(AND(ISNUMBER(R18),ISNUMBER(R22)),VLOOKUP(ABS(R18-R22),'IMP Table'!$A$2:$C$26,3)*SIGN(R18-R22),"")</f>
        <v/>
      </c>
      <c r="Y18">
        <f>IF(AND(ISNUMBER(R18),ISNUMBER(R23)),VLOOKUP(ABS(R18-R23),'IMP Table'!$A$2:$C$26,3)*SIGN(R18-R23),"")</f>
        <v/>
      </c>
      <c r="Z18">
        <f>IF(AND(ISNUMBER(S18),ISNUMBER(S17)),VLOOKUP(ABS(S18-S17),'IMP Table'!$A$2:$C$26,3)*SIGN(S18-S17),"")</f>
        <v/>
      </c>
      <c r="AA18">
        <f>IF(AND(ISNUMBER(S18),ISNUMBER(S19)),VLOOKUP(ABS(S18-S19),'IMP Table'!$A$2:$C$26,3)*SIGN(S18-S19),"")</f>
        <v/>
      </c>
      <c r="AB18">
        <f>IF(AND(ISNUMBER(S18),ISNUMBER(S20)),VLOOKUP(ABS(S18-S20),'IMP Table'!$A$2:$C$26,3)*SIGN(S18-S20),"")</f>
        <v/>
      </c>
      <c r="AC18">
        <f>IF(AND(ISNUMBER(S18),ISNUMBER(S21)),VLOOKUP(ABS(S18-S21),'IMP Table'!$A$2:$C$26,3)*SIGN(S18-S21),"")</f>
        <v/>
      </c>
      <c r="AD18">
        <f>IF(AND(ISNUMBER(S18),ISNUMBER(S22)),VLOOKUP(ABS(S18-S22),'IMP Table'!$A$2:$C$26,3)*SIGN(S18-S22),"")</f>
        <v/>
      </c>
      <c r="AE18">
        <f>IF(AND(ISNUMBER(S18),ISNUMBER(S23)),VLOOKUP(ABS(S18-S23),'IMP Table'!$A$2:$C$26,3)*SIGN(S18-S23),"")</f>
        <v/>
      </c>
      <c r="AF18">
        <f>IF(AND(ISNUMBER(R18),ISNUMBER(R17)),IF(R18&gt;R17,1,IF(R18=R17,0.5,0)),0.5)</f>
        <v/>
      </c>
      <c r="AG18">
        <f>IF(AND(ISNUMBER(R18),ISNUMBER(R19)),IF(R18&gt;R19,1,IF(R18=R19,0.5,0)),0.5)</f>
        <v/>
      </c>
      <c r="AH18">
        <f>IF(AND(ISNUMBER(R18),ISNUMBER(R20)),IF(R18&gt;R20,1,IF(R18=R20,0.5,0)),0.5)</f>
        <v/>
      </c>
      <c r="AI18">
        <f>IF(AND(ISNUMBER(R18),ISNUMBER(R21)),IF(R18&gt;R21,1,IF(R18=R21,0.5,0)),0.5)</f>
        <v/>
      </c>
      <c r="AJ18">
        <f>IF(AND(ISNUMBER(R18),ISNUMBER(R22)),IF(R18&gt;R22,1,IF(R18=R22,0.5,0)),0.5)</f>
        <v/>
      </c>
      <c r="AK18">
        <f>IF(AND(ISNUMBER(R18),ISNUMBER(R23)),IF(R18&gt;R23,1,IF(R18=R23,0.5,0)),0.5)</f>
        <v/>
      </c>
      <c r="AL18">
        <f>IF(AND(ISNUMBER(S18),ISNUMBER(S17)),IF(S18&gt;S17,1,IF(S18=S17,0.5,0)),0.5)</f>
        <v/>
      </c>
      <c r="AM18">
        <f>IF(AND(ISNUMBER(S18),ISNUMBER(S19)),IF(S18&gt;S19,1,IF(S18=S19,0.5,0)),0.5)</f>
        <v/>
      </c>
      <c r="AN18">
        <f>IF(AND(ISNUMBER(S18),ISNUMBER(S20)),IF(S18&gt;S20,1,IF(S18=S20,0.5,0)),0.5)</f>
        <v/>
      </c>
      <c r="AO18">
        <f>IF(AND(ISNUMBER(S18),ISNUMBER(S21)),IF(S18&gt;S21,1,IF(S18=S21,0.5,0)),0.5)</f>
        <v/>
      </c>
      <c r="AP18">
        <f>IF(AND(ISNUMBER(S18),ISNUMBER(S22)),IF(S18&gt;S22,1,IF(S18=S22,0.5,0)),0.5)</f>
        <v/>
      </c>
      <c r="AQ18">
        <f>IF(AND(ISNUMBER(S18),ISNUMBER(S23)),IF(S18&gt;S23,1,IF(S18=S23,0.5,0)),0.5)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4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5">
        <f>IFERROR(AVERAGE(T19:Y19),"")</f>
        <v/>
      </c>
      <c r="M19" s="4">
        <f>IFERROR(AVERAGE(Z19:AE19),"")</f>
        <v/>
      </c>
      <c r="N19" s="5">
        <f>P19/6</f>
        <v/>
      </c>
      <c r="O19" s="5">
        <f>Q19/6</f>
        <v/>
      </c>
      <c r="P19" s="4">
        <f>IFERROR(SUM(AF19:AK19),"")</f>
        <v/>
      </c>
      <c r="Q19" s="4">
        <f>IFERROR(SUM(AL19:AQ19),"")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IF(AND(ISNUMBER(R19),ISNUMBER(R17)),VLOOKUP(ABS(R19-R17),'IMP Table'!$A$2:$C$26,3)*SIGN(R19-R17),"")</f>
        <v/>
      </c>
      <c r="U19">
        <f>IF(AND(ISNUMBER(R19),ISNUMBER(R18)),VLOOKUP(ABS(R19-R18),'IMP Table'!$A$2:$C$26,3)*SIGN(R19-R18),"")</f>
        <v/>
      </c>
      <c r="V19">
        <f>IF(AND(ISNUMBER(R19),ISNUMBER(R20)),VLOOKUP(ABS(R19-R20),'IMP Table'!$A$2:$C$26,3)*SIGN(R19-R20),"")</f>
        <v/>
      </c>
      <c r="W19">
        <f>IF(AND(ISNUMBER(R19),ISNUMBER(R21)),VLOOKUP(ABS(R19-R21),'IMP Table'!$A$2:$C$26,3)*SIGN(R19-R21),"")</f>
        <v/>
      </c>
      <c r="X19">
        <f>IF(AND(ISNUMBER(R19),ISNUMBER(R22)),VLOOKUP(ABS(R19-R22),'IMP Table'!$A$2:$C$26,3)*SIGN(R19-R22),"")</f>
        <v/>
      </c>
      <c r="Y19">
        <f>IF(AND(ISNUMBER(R19),ISNUMBER(R23)),VLOOKUP(ABS(R19-R23),'IMP Table'!$A$2:$C$26,3)*SIGN(R19-R23),"")</f>
        <v/>
      </c>
      <c r="Z19">
        <f>IF(AND(ISNUMBER(S19),ISNUMBER(S17)),VLOOKUP(ABS(S19-S17),'IMP Table'!$A$2:$C$26,3)*SIGN(S19-S17),"")</f>
        <v/>
      </c>
      <c r="AA19">
        <f>IF(AND(ISNUMBER(S19),ISNUMBER(S18)),VLOOKUP(ABS(S19-S18),'IMP Table'!$A$2:$C$26,3)*SIGN(S19-S18),"")</f>
        <v/>
      </c>
      <c r="AB19">
        <f>IF(AND(ISNUMBER(S19),ISNUMBER(S20)),VLOOKUP(ABS(S19-S20),'IMP Table'!$A$2:$C$26,3)*SIGN(S19-S20),"")</f>
        <v/>
      </c>
      <c r="AC19">
        <f>IF(AND(ISNUMBER(S19),ISNUMBER(S21)),VLOOKUP(ABS(S19-S21),'IMP Table'!$A$2:$C$26,3)*SIGN(S19-S21),"")</f>
        <v/>
      </c>
      <c r="AD19">
        <f>IF(AND(ISNUMBER(S19),ISNUMBER(S22)),VLOOKUP(ABS(S19-S22),'IMP Table'!$A$2:$C$26,3)*SIGN(S19-S22),"")</f>
        <v/>
      </c>
      <c r="AE19">
        <f>IF(AND(ISNUMBER(S19),ISNUMBER(S23)),VLOOKUP(ABS(S19-S23),'IMP Table'!$A$2:$C$26,3)*SIGN(S19-S23),"")</f>
        <v/>
      </c>
      <c r="AF19">
        <f>IF(AND(ISNUMBER(R19),ISNUMBER(R17)),IF(R19&gt;R17,1,IF(R19=R17,0.5,0)),0.5)</f>
        <v/>
      </c>
      <c r="AG19">
        <f>IF(AND(ISNUMBER(R19),ISNUMBER(R18)),IF(R19&gt;R18,1,IF(R19=R18,0.5,0)),0.5)</f>
        <v/>
      </c>
      <c r="AH19">
        <f>IF(AND(ISNUMBER(R19),ISNUMBER(R20)),IF(R19&gt;R20,1,IF(R19=R20,0.5,0)),0.5)</f>
        <v/>
      </c>
      <c r="AI19">
        <f>IF(AND(ISNUMBER(R19),ISNUMBER(R21)),IF(R19&gt;R21,1,IF(R19=R21,0.5,0)),0.5)</f>
        <v/>
      </c>
      <c r="AJ19">
        <f>IF(AND(ISNUMBER(R19),ISNUMBER(R22)),IF(R19&gt;R22,1,IF(R19=R22,0.5,0)),0.5)</f>
        <v/>
      </c>
      <c r="AK19">
        <f>IF(AND(ISNUMBER(R19),ISNUMBER(R23)),IF(R19&gt;R23,1,IF(R19=R23,0.5,0)),0.5)</f>
        <v/>
      </c>
      <c r="AL19">
        <f>IF(AND(ISNUMBER(S19),ISNUMBER(S17)),IF(S19&gt;S17,1,IF(S19=S17,0.5,0)),0.5)</f>
        <v/>
      </c>
      <c r="AM19">
        <f>IF(AND(ISNUMBER(S19),ISNUMBER(S18)),IF(S19&gt;S18,1,IF(S19=S18,0.5,0)),0.5)</f>
        <v/>
      </c>
      <c r="AN19">
        <f>IF(AND(ISNUMBER(S19),ISNUMBER(S20)),IF(S19&gt;S20,1,IF(S19=S20,0.5,0)),0.5)</f>
        <v/>
      </c>
      <c r="AO19">
        <f>IF(AND(ISNUMBER(S19),ISNUMBER(S21)),IF(S19&gt;S21,1,IF(S19=S21,0.5,0)),0.5)</f>
        <v/>
      </c>
      <c r="AP19">
        <f>IF(AND(ISNUMBER(S19),ISNUMBER(S22)),IF(S19&gt;S22,1,IF(S19=S22,0.5,0)),0.5)</f>
        <v/>
      </c>
      <c r="AQ19">
        <f>IF(AND(ISNUMBER(S19),ISNUMBER(S23)),IF(S19&gt;S23,1,IF(S19=S23,0.5,0)),0.5)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4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5">
        <f>IFERROR(AVERAGE(T20:Y20),"")</f>
        <v/>
      </c>
      <c r="M20" s="4">
        <f>IFERROR(AVERAGE(Z20:AE20),"")</f>
        <v/>
      </c>
      <c r="N20" s="5">
        <f>P20/6</f>
        <v/>
      </c>
      <c r="O20" s="5">
        <f>Q20/6</f>
        <v/>
      </c>
      <c r="P20" s="4">
        <f>IFERROR(SUM(AF20:AK20),"")</f>
        <v/>
      </c>
      <c r="Q20" s="4">
        <f>IFERROR(SUM(AL20:AQ20),"")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IF(AND(ISNUMBER(R20),ISNUMBER(R17)),VLOOKUP(ABS(R20-R17),'IMP Table'!$A$2:$C$26,3)*SIGN(R20-R17),"")</f>
        <v/>
      </c>
      <c r="U20">
        <f>IF(AND(ISNUMBER(R20),ISNUMBER(R18)),VLOOKUP(ABS(R20-R18),'IMP Table'!$A$2:$C$26,3)*SIGN(R20-R18),"")</f>
        <v/>
      </c>
      <c r="V20">
        <f>IF(AND(ISNUMBER(R20),ISNUMBER(R19)),VLOOKUP(ABS(R20-R19),'IMP Table'!$A$2:$C$26,3)*SIGN(R20-R19),"")</f>
        <v/>
      </c>
      <c r="W20">
        <f>IF(AND(ISNUMBER(R20),ISNUMBER(R21)),VLOOKUP(ABS(R20-R21),'IMP Table'!$A$2:$C$26,3)*SIGN(R20-R21),"")</f>
        <v/>
      </c>
      <c r="X20">
        <f>IF(AND(ISNUMBER(R20),ISNUMBER(R22)),VLOOKUP(ABS(R20-R22),'IMP Table'!$A$2:$C$26,3)*SIGN(R20-R22),"")</f>
        <v/>
      </c>
      <c r="Y20">
        <f>IF(AND(ISNUMBER(R20),ISNUMBER(R23)),VLOOKUP(ABS(R20-R23),'IMP Table'!$A$2:$C$26,3)*SIGN(R20-R23),"")</f>
        <v/>
      </c>
      <c r="Z20">
        <f>IF(AND(ISNUMBER(S20),ISNUMBER(S17)),VLOOKUP(ABS(S20-S17),'IMP Table'!$A$2:$C$26,3)*SIGN(S20-S17),"")</f>
        <v/>
      </c>
      <c r="AA20">
        <f>IF(AND(ISNUMBER(S20),ISNUMBER(S18)),VLOOKUP(ABS(S20-S18),'IMP Table'!$A$2:$C$26,3)*SIGN(S20-S18),"")</f>
        <v/>
      </c>
      <c r="AB20">
        <f>IF(AND(ISNUMBER(S20),ISNUMBER(S19)),VLOOKUP(ABS(S20-S19),'IMP Table'!$A$2:$C$26,3)*SIGN(S20-S19),"")</f>
        <v/>
      </c>
      <c r="AC20">
        <f>IF(AND(ISNUMBER(S20),ISNUMBER(S21)),VLOOKUP(ABS(S20-S21),'IMP Table'!$A$2:$C$26,3)*SIGN(S20-S21),"")</f>
        <v/>
      </c>
      <c r="AD20">
        <f>IF(AND(ISNUMBER(S20),ISNUMBER(S22)),VLOOKUP(ABS(S20-S22),'IMP Table'!$A$2:$C$26,3)*SIGN(S20-S22),"")</f>
        <v/>
      </c>
      <c r="AE20">
        <f>IF(AND(ISNUMBER(S20),ISNUMBER(S23)),VLOOKUP(ABS(S20-S23),'IMP Table'!$A$2:$C$26,3)*SIGN(S20-S23),"")</f>
        <v/>
      </c>
      <c r="AF20">
        <f>IF(AND(ISNUMBER(R20),ISNUMBER(R17)),IF(R20&gt;R17,1,IF(R20=R17,0.5,0)),0.5)</f>
        <v/>
      </c>
      <c r="AG20">
        <f>IF(AND(ISNUMBER(R20),ISNUMBER(R18)),IF(R20&gt;R18,1,IF(R20=R18,0.5,0)),0.5)</f>
        <v/>
      </c>
      <c r="AH20">
        <f>IF(AND(ISNUMBER(R20),ISNUMBER(R19)),IF(R20&gt;R19,1,IF(R20=R19,0.5,0)),0.5)</f>
        <v/>
      </c>
      <c r="AI20">
        <f>IF(AND(ISNUMBER(R20),ISNUMBER(R21)),IF(R20&gt;R21,1,IF(R20=R21,0.5,0)),0.5)</f>
        <v/>
      </c>
      <c r="AJ20">
        <f>IF(AND(ISNUMBER(R20),ISNUMBER(R22)),IF(R20&gt;R22,1,IF(R20=R22,0.5,0)),0.5)</f>
        <v/>
      </c>
      <c r="AK20">
        <f>IF(AND(ISNUMBER(R20),ISNUMBER(R23)),IF(R20&gt;R23,1,IF(R20=R23,0.5,0)),0.5)</f>
        <v/>
      </c>
      <c r="AL20">
        <f>IF(AND(ISNUMBER(S20),ISNUMBER(S17)),IF(S20&gt;S17,1,IF(S20=S17,0.5,0)),0.5)</f>
        <v/>
      </c>
      <c r="AM20">
        <f>IF(AND(ISNUMBER(S20),ISNUMBER(S18)),IF(S20&gt;S18,1,IF(S20=S18,0.5,0)),0.5)</f>
        <v/>
      </c>
      <c r="AN20">
        <f>IF(AND(ISNUMBER(S20),ISNUMBER(S19)),IF(S20&gt;S19,1,IF(S20=S19,0.5,0)),0.5)</f>
        <v/>
      </c>
      <c r="AO20">
        <f>IF(AND(ISNUMBER(S20),ISNUMBER(S21)),IF(S20&gt;S21,1,IF(S20=S21,0.5,0)),0.5)</f>
        <v/>
      </c>
      <c r="AP20">
        <f>IF(AND(ISNUMBER(S20),ISNUMBER(S22)),IF(S20&gt;S22,1,IF(S20=S22,0.5,0)),0.5)</f>
        <v/>
      </c>
      <c r="AQ20">
        <f>IF(AND(ISNUMBER(S20),ISNUMBER(S23)),IF(S20&gt;S23,1,IF(S20=S23,0.5,0)),0.5)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4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5">
        <f>IFERROR(AVERAGE(T21:Y21),"")</f>
        <v/>
      </c>
      <c r="M21" s="4">
        <f>IFERROR(AVERAGE(Z21:AE21),"")</f>
        <v/>
      </c>
      <c r="N21" s="5">
        <f>P21/6</f>
        <v/>
      </c>
      <c r="O21" s="5">
        <f>Q21/6</f>
        <v/>
      </c>
      <c r="P21" s="4">
        <f>IFERROR(SUM(AF21:AK21),"")</f>
        <v/>
      </c>
      <c r="Q21" s="4">
        <f>IFERROR(SUM(AL21:AQ21),"")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IF(AND(ISNUMBER(R21),ISNUMBER(R17)),VLOOKUP(ABS(R21-R17),'IMP Table'!$A$2:$C$26,3)*SIGN(R21-R17),"")</f>
        <v/>
      </c>
      <c r="U21">
        <f>IF(AND(ISNUMBER(R21),ISNUMBER(R18)),VLOOKUP(ABS(R21-R18),'IMP Table'!$A$2:$C$26,3)*SIGN(R21-R18),"")</f>
        <v/>
      </c>
      <c r="V21">
        <f>IF(AND(ISNUMBER(R21),ISNUMBER(R19)),VLOOKUP(ABS(R21-R19),'IMP Table'!$A$2:$C$26,3)*SIGN(R21-R19),"")</f>
        <v/>
      </c>
      <c r="W21">
        <f>IF(AND(ISNUMBER(R21),ISNUMBER(R20)),VLOOKUP(ABS(R21-R20),'IMP Table'!$A$2:$C$26,3)*SIGN(R21-R20),"")</f>
        <v/>
      </c>
      <c r="X21">
        <f>IF(AND(ISNUMBER(R21),ISNUMBER(R22)),VLOOKUP(ABS(R21-R22),'IMP Table'!$A$2:$C$26,3)*SIGN(R21-R22),"")</f>
        <v/>
      </c>
      <c r="Y21">
        <f>IF(AND(ISNUMBER(R21),ISNUMBER(R23)),VLOOKUP(ABS(R21-R23),'IMP Table'!$A$2:$C$26,3)*SIGN(R21-R23),"")</f>
        <v/>
      </c>
      <c r="Z21">
        <f>IF(AND(ISNUMBER(S21),ISNUMBER(S17)),VLOOKUP(ABS(S21-S17),'IMP Table'!$A$2:$C$26,3)*SIGN(S21-S17),"")</f>
        <v/>
      </c>
      <c r="AA21">
        <f>IF(AND(ISNUMBER(S21),ISNUMBER(S18)),VLOOKUP(ABS(S21-S18),'IMP Table'!$A$2:$C$26,3)*SIGN(S21-S18),"")</f>
        <v/>
      </c>
      <c r="AB21">
        <f>IF(AND(ISNUMBER(S21),ISNUMBER(S19)),VLOOKUP(ABS(S21-S19),'IMP Table'!$A$2:$C$26,3)*SIGN(S21-S19),"")</f>
        <v/>
      </c>
      <c r="AC21">
        <f>IF(AND(ISNUMBER(S21),ISNUMBER(S20)),VLOOKUP(ABS(S21-S20),'IMP Table'!$A$2:$C$26,3)*SIGN(S21-S20),"")</f>
        <v/>
      </c>
      <c r="AD21">
        <f>IF(AND(ISNUMBER(S21),ISNUMBER(S22)),VLOOKUP(ABS(S21-S22),'IMP Table'!$A$2:$C$26,3)*SIGN(S21-S22),"")</f>
        <v/>
      </c>
      <c r="AE21">
        <f>IF(AND(ISNUMBER(S21),ISNUMBER(S23)),VLOOKUP(ABS(S21-S23),'IMP Table'!$A$2:$C$26,3)*SIGN(S21-S23),"")</f>
        <v/>
      </c>
      <c r="AF21">
        <f>IF(AND(ISNUMBER(R21),ISNUMBER(R17)),IF(R21&gt;R17,1,IF(R21=R17,0.5,0)),0.5)</f>
        <v/>
      </c>
      <c r="AG21">
        <f>IF(AND(ISNUMBER(R21),ISNUMBER(R18)),IF(R21&gt;R18,1,IF(R21=R18,0.5,0)),0.5)</f>
        <v/>
      </c>
      <c r="AH21">
        <f>IF(AND(ISNUMBER(R21),ISNUMBER(R19)),IF(R21&gt;R19,1,IF(R21=R19,0.5,0)),0.5)</f>
        <v/>
      </c>
      <c r="AI21">
        <f>IF(AND(ISNUMBER(R21),ISNUMBER(R20)),IF(R21&gt;R20,1,IF(R21=R20,0.5,0)),0.5)</f>
        <v/>
      </c>
      <c r="AJ21">
        <f>IF(AND(ISNUMBER(R21),ISNUMBER(R22)),IF(R21&gt;R22,1,IF(R21=R22,0.5,0)),0.5)</f>
        <v/>
      </c>
      <c r="AK21">
        <f>IF(AND(ISNUMBER(R21),ISNUMBER(R23)),IF(R21&gt;R23,1,IF(R21=R23,0.5,0)),0.5)</f>
        <v/>
      </c>
      <c r="AL21">
        <f>IF(AND(ISNUMBER(S21),ISNUMBER(S17)),IF(S21&gt;S17,1,IF(S21=S17,0.5,0)),0.5)</f>
        <v/>
      </c>
      <c r="AM21">
        <f>IF(AND(ISNUMBER(S21),ISNUMBER(S18)),IF(S21&gt;S18,1,IF(S21=S18,0.5,0)),0.5)</f>
        <v/>
      </c>
      <c r="AN21">
        <f>IF(AND(ISNUMBER(S21),ISNUMBER(S19)),IF(S21&gt;S19,1,IF(S21=S19,0.5,0)),0.5)</f>
        <v/>
      </c>
      <c r="AO21">
        <f>IF(AND(ISNUMBER(S21),ISNUMBER(S20)),IF(S21&gt;S20,1,IF(S21=S20,0.5,0)),0.5)</f>
        <v/>
      </c>
      <c r="AP21">
        <f>IF(AND(ISNUMBER(S21),ISNUMBER(S22)),IF(S21&gt;S22,1,IF(S21=S22,0.5,0)),0.5)</f>
        <v/>
      </c>
      <c r="AQ21">
        <f>IF(AND(ISNUMBER(S21),ISNUMBER(S23)),IF(S21&gt;S23,1,IF(S21=S23,0.5,0)),0.5)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4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5">
        <f>IFERROR(AVERAGE(T22:Y22),"")</f>
        <v/>
      </c>
      <c r="M22" s="4">
        <f>IFERROR(AVERAGE(Z22:AE22),"")</f>
        <v/>
      </c>
      <c r="N22" s="5">
        <f>P22/6</f>
        <v/>
      </c>
      <c r="O22" s="5">
        <f>Q22/6</f>
        <v/>
      </c>
      <c r="P22" s="4">
        <f>IFERROR(SUM(AF22:AK22),"")</f>
        <v/>
      </c>
      <c r="Q22" s="4">
        <f>IFERROR(SUM(AL22:AQ22),"")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IF(AND(ISNUMBER(R22),ISNUMBER(R17)),VLOOKUP(ABS(R22-R17),'IMP Table'!$A$2:$C$26,3)*SIGN(R22-R17),"")</f>
        <v/>
      </c>
      <c r="U22">
        <f>IF(AND(ISNUMBER(R22),ISNUMBER(R18)),VLOOKUP(ABS(R22-R18),'IMP Table'!$A$2:$C$26,3)*SIGN(R22-R18),"")</f>
        <v/>
      </c>
      <c r="V22">
        <f>IF(AND(ISNUMBER(R22),ISNUMBER(R19)),VLOOKUP(ABS(R22-R19),'IMP Table'!$A$2:$C$26,3)*SIGN(R22-R19),"")</f>
        <v/>
      </c>
      <c r="W22">
        <f>IF(AND(ISNUMBER(R22),ISNUMBER(R20)),VLOOKUP(ABS(R22-R20),'IMP Table'!$A$2:$C$26,3)*SIGN(R22-R20),"")</f>
        <v/>
      </c>
      <c r="X22">
        <f>IF(AND(ISNUMBER(R22),ISNUMBER(R21)),VLOOKUP(ABS(R22-R21),'IMP Table'!$A$2:$C$26,3)*SIGN(R22-R21),"")</f>
        <v/>
      </c>
      <c r="Y22">
        <f>IF(AND(ISNUMBER(R22),ISNUMBER(R23)),VLOOKUP(ABS(R22-R23),'IMP Table'!$A$2:$C$26,3)*SIGN(R22-R23),"")</f>
        <v/>
      </c>
      <c r="Z22">
        <f>IF(AND(ISNUMBER(S22),ISNUMBER(S17)),VLOOKUP(ABS(S22-S17),'IMP Table'!$A$2:$C$26,3)*SIGN(S22-S17),"")</f>
        <v/>
      </c>
      <c r="AA22">
        <f>IF(AND(ISNUMBER(S22),ISNUMBER(S18)),VLOOKUP(ABS(S22-S18),'IMP Table'!$A$2:$C$26,3)*SIGN(S22-S18),"")</f>
        <v/>
      </c>
      <c r="AB22">
        <f>IF(AND(ISNUMBER(S22),ISNUMBER(S19)),VLOOKUP(ABS(S22-S19),'IMP Table'!$A$2:$C$26,3)*SIGN(S22-S19),"")</f>
        <v/>
      </c>
      <c r="AC22">
        <f>IF(AND(ISNUMBER(S22),ISNUMBER(S20)),VLOOKUP(ABS(S22-S20),'IMP Table'!$A$2:$C$26,3)*SIGN(S22-S20),"")</f>
        <v/>
      </c>
      <c r="AD22">
        <f>IF(AND(ISNUMBER(S22),ISNUMBER(S21)),VLOOKUP(ABS(S22-S21),'IMP Table'!$A$2:$C$26,3)*SIGN(S22-S21),"")</f>
        <v/>
      </c>
      <c r="AE22">
        <f>IF(AND(ISNUMBER(S22),ISNUMBER(S23)),VLOOKUP(ABS(S22-S23),'IMP Table'!$A$2:$C$26,3)*SIGN(S22-S23),"")</f>
        <v/>
      </c>
      <c r="AF22">
        <f>IF(AND(ISNUMBER(R22),ISNUMBER(R17)),IF(R22&gt;R17,1,IF(R22=R17,0.5,0)),0.5)</f>
        <v/>
      </c>
      <c r="AG22">
        <f>IF(AND(ISNUMBER(R22),ISNUMBER(R18)),IF(R22&gt;R18,1,IF(R22=R18,0.5,0)),0.5)</f>
        <v/>
      </c>
      <c r="AH22">
        <f>IF(AND(ISNUMBER(R22),ISNUMBER(R19)),IF(R22&gt;R19,1,IF(R22=R19,0.5,0)),0.5)</f>
        <v/>
      </c>
      <c r="AI22">
        <f>IF(AND(ISNUMBER(R22),ISNUMBER(R20)),IF(R22&gt;R20,1,IF(R22=R20,0.5,0)),0.5)</f>
        <v/>
      </c>
      <c r="AJ22">
        <f>IF(AND(ISNUMBER(R22),ISNUMBER(R21)),IF(R22&gt;R21,1,IF(R22=R21,0.5,0)),0.5)</f>
        <v/>
      </c>
      <c r="AK22">
        <f>IF(AND(ISNUMBER(R22),ISNUMBER(R23)),IF(R22&gt;R23,1,IF(R22=R23,0.5,0)),0.5)</f>
        <v/>
      </c>
      <c r="AL22">
        <f>IF(AND(ISNUMBER(S22),ISNUMBER(S17)),IF(S22&gt;S17,1,IF(S22=S17,0.5,0)),0.5)</f>
        <v/>
      </c>
      <c r="AM22">
        <f>IF(AND(ISNUMBER(S22),ISNUMBER(S18)),IF(S22&gt;S18,1,IF(S22=S18,0.5,0)),0.5)</f>
        <v/>
      </c>
      <c r="AN22">
        <f>IF(AND(ISNUMBER(S22),ISNUMBER(S19)),IF(S22&gt;S19,1,IF(S22=S19,0.5,0)),0.5)</f>
        <v/>
      </c>
      <c r="AO22">
        <f>IF(AND(ISNUMBER(S22),ISNUMBER(S20)),IF(S22&gt;S20,1,IF(S22=S20,0.5,0)),0.5)</f>
        <v/>
      </c>
      <c r="AP22">
        <f>IF(AND(ISNUMBER(S22),ISNUMBER(S21)),IF(S22&gt;S21,1,IF(S22=S21,0.5,0)),0.5)</f>
        <v/>
      </c>
      <c r="AQ22">
        <f>IF(AND(ISNUMBER(S22),ISNUMBER(S23)),IF(S22&gt;S23,1,IF(S22=S23,0.5,0)),0.5)</f>
        <v/>
      </c>
    </row>
    <row r="23">
      <c r="A23" s="13" t="n"/>
      <c r="B23" s="13">
        <f>'By Round'!A171</f>
        <v/>
      </c>
      <c r="C23" s="13">
        <f>'By Round'!B173</f>
        <v/>
      </c>
      <c r="D23" s="13">
        <f>'By Round'!C173</f>
        <v/>
      </c>
      <c r="E23" s="13">
        <f>'By Round'!D173</f>
        <v/>
      </c>
      <c r="F23" s="17" t="inlineStr">
        <is>
          <t>EW</t>
        </is>
      </c>
      <c r="G23" s="13">
        <f>IF(ISBLANK('By Round'!G173),"",'By Round'!G173)</f>
        <v/>
      </c>
      <c r="H23" s="13">
        <f>IF(ISBLANK('By Round'!H173),"",'By Round'!H173)</f>
        <v/>
      </c>
      <c r="I23" s="13">
        <f>IF(ISBLANK('By Round'!I173),"",'By Round'!I173)</f>
        <v/>
      </c>
      <c r="J23" s="13">
        <f>IF(ISBLANK('By Round'!J173),"",'By Round'!J173)</f>
        <v/>
      </c>
      <c r="K23" s="13">
        <f>IF(ISBLANK('By Round'!K173),"",'By Round'!K173)</f>
        <v/>
      </c>
      <c r="L23" s="18">
        <f>IFERROR(AVERAGE(T23:Y23),"")</f>
        <v/>
      </c>
      <c r="M23" s="19">
        <f>IFERROR(AVERAGE(Z23:AE23),"")</f>
        <v/>
      </c>
      <c r="N23" s="20">
        <f>P23/6</f>
        <v/>
      </c>
      <c r="O23" s="20">
        <f>Q23/6</f>
        <v/>
      </c>
      <c r="P23" s="19">
        <f>IFERROR(SUM(AF23:AK23),"")</f>
        <v/>
      </c>
      <c r="Q23" s="19">
        <f>IFERROR(SUM(AL23:AQ23),"")</f>
        <v/>
      </c>
      <c r="R23" s="21">
        <f>IF(ISNUMBER(J23),J23,IF(ISNUMBER(K23),-K23,""))</f>
        <v/>
      </c>
      <c r="S23" s="13">
        <f>IF(ISNUMBER(K23),K23,IF(ISNUMBER(J23),-J23,""))</f>
        <v/>
      </c>
      <c r="T23" s="13">
        <f>IF(AND(ISNUMBER(R23),ISNUMBER(R17)),VLOOKUP(ABS(R23-R17),'IMP Table'!$A$2:$C$26,3)*SIGN(R23-R17),"")</f>
        <v/>
      </c>
      <c r="U23" s="13">
        <f>IF(AND(ISNUMBER(R23),ISNUMBER(R18)),VLOOKUP(ABS(R23-R18),'IMP Table'!$A$2:$C$26,3)*SIGN(R23-R18),"")</f>
        <v/>
      </c>
      <c r="V23" s="13">
        <f>IF(AND(ISNUMBER(R23),ISNUMBER(R19)),VLOOKUP(ABS(R23-R19),'IMP Table'!$A$2:$C$26,3)*SIGN(R23-R19),"")</f>
        <v/>
      </c>
      <c r="W23" s="13">
        <f>IF(AND(ISNUMBER(R23),ISNUMBER(R20)),VLOOKUP(ABS(R23-R20),'IMP Table'!$A$2:$C$26,3)*SIGN(R23-R20),"")</f>
        <v/>
      </c>
      <c r="X23" s="13">
        <f>IF(AND(ISNUMBER(R23),ISNUMBER(R21)),VLOOKUP(ABS(R23-R21),'IMP Table'!$A$2:$C$26,3)*SIGN(R23-R21),"")</f>
        <v/>
      </c>
      <c r="Y23" s="13">
        <f>IF(AND(ISNUMBER(R23),ISNUMBER(R22)),VLOOKUP(ABS(R23-R22),'IMP Table'!$A$2:$C$26,3)*SIGN(R23-R22),"")</f>
        <v/>
      </c>
      <c r="Z23" s="13">
        <f>IF(AND(ISNUMBER(S23),ISNUMBER(S17)),VLOOKUP(ABS(S23-S17),'IMP Table'!$A$2:$C$26,3)*SIGN(S23-S17),"")</f>
        <v/>
      </c>
      <c r="AA23" s="13">
        <f>IF(AND(ISNUMBER(S23),ISNUMBER(S18)),VLOOKUP(ABS(S23-S18),'IMP Table'!$A$2:$C$26,3)*SIGN(S23-S18),"")</f>
        <v/>
      </c>
      <c r="AB23" s="13">
        <f>IF(AND(ISNUMBER(S23),ISNUMBER(S19)),VLOOKUP(ABS(S23-S19),'IMP Table'!$A$2:$C$26,3)*SIGN(S23-S19),"")</f>
        <v/>
      </c>
      <c r="AC23" s="13">
        <f>IF(AND(ISNUMBER(S23),ISNUMBER(S20)),VLOOKUP(ABS(S23-S20),'IMP Table'!$A$2:$C$26,3)*SIGN(S23-S20),"")</f>
        <v/>
      </c>
      <c r="AD23" s="13">
        <f>IF(AND(ISNUMBER(S23),ISNUMBER(S21)),VLOOKUP(ABS(S23-S21),'IMP Table'!$A$2:$C$26,3)*SIGN(S23-S21),"")</f>
        <v/>
      </c>
      <c r="AE23" s="13">
        <f>IF(AND(ISNUMBER(S23),ISNUMBER(S22)),VLOOKUP(ABS(S23-S22),'IMP Table'!$A$2:$C$26,3)*SIGN(S23-S22),"")</f>
        <v/>
      </c>
      <c r="AF23" s="13">
        <f>IF(AND(ISNUMBER(R23),ISNUMBER(R17)),IF(R23&gt;R17,1,IF(R23=R17,0.5,0)),0.5)</f>
        <v/>
      </c>
      <c r="AG23" s="13">
        <f>IF(AND(ISNUMBER(R23),ISNUMBER(R18)),IF(R23&gt;R18,1,IF(R23=R18,0.5,0)),0.5)</f>
        <v/>
      </c>
      <c r="AH23" s="13">
        <f>IF(AND(ISNUMBER(R23),ISNUMBER(R19)),IF(R23&gt;R19,1,IF(R23=R19,0.5,0)),0.5)</f>
        <v/>
      </c>
      <c r="AI23" s="13">
        <f>IF(AND(ISNUMBER(R23),ISNUMBER(R20)),IF(R23&gt;R20,1,IF(R23=R20,0.5,0)),0.5)</f>
        <v/>
      </c>
      <c r="AJ23" s="13">
        <f>IF(AND(ISNUMBER(R23),ISNUMBER(R21)),IF(R23&gt;R21,1,IF(R23=R21,0.5,0)),0.5)</f>
        <v/>
      </c>
      <c r="AK23" s="13">
        <f>IF(AND(ISNUMBER(R23),ISNUMBER(R22)),IF(R23&gt;R22,1,IF(R23=R22,0.5,0)),0.5)</f>
        <v/>
      </c>
      <c r="AL23" s="13">
        <f>IF(AND(ISNUMBER(S23),ISNUMBER(S17)),IF(S23&gt;S17,1,IF(S23=S17,0.5,0)),0.5)</f>
        <v/>
      </c>
      <c r="AM23" s="13">
        <f>IF(AND(ISNUMBER(S23),ISNUMBER(S18)),IF(S23&gt;S18,1,IF(S23=S18,0.5,0)),0.5)</f>
        <v/>
      </c>
      <c r="AN23" s="13">
        <f>IF(AND(ISNUMBER(S23),ISNUMBER(S19)),IF(S23&gt;S19,1,IF(S23=S19,0.5,0)),0.5)</f>
        <v/>
      </c>
      <c r="AO23" s="13">
        <f>IF(AND(ISNUMBER(S23),ISNUMBER(S20)),IF(S23&gt;S20,1,IF(S23=S20,0.5,0)),0.5)</f>
        <v/>
      </c>
      <c r="AP23" s="13">
        <f>IF(AND(ISNUMBER(S23),ISNUMBER(S21)),IF(S23&gt;S21,1,IF(S23=S21,0.5,0)),0.5)</f>
        <v/>
      </c>
      <c r="AQ23" s="13">
        <f>IF(AND(ISNUMBER(S23),ISNUMBER(S22)),IF(S23&gt;S22,1,IF(S23=S22,0.5,0)),0.5)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4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5">
        <f>IFERROR(AVERAGE(T24:Y24),"")</f>
        <v/>
      </c>
      <c r="M24" s="4">
        <f>IFERROR(AVERAGE(Z24:AE24),"")</f>
        <v/>
      </c>
      <c r="N24" s="5">
        <f>P24/6</f>
        <v/>
      </c>
      <c r="O24" s="5">
        <f>Q24/6</f>
        <v/>
      </c>
      <c r="P24" s="4">
        <f>IFERROR(SUM(AF24:AK24),"")</f>
        <v/>
      </c>
      <c r="Q24" s="4">
        <f>IFERROR(SUM(AL24:AQ24),"")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IF(AND(ISNUMBER(R24),ISNUMBER(R25)),VLOOKUP(ABS(R24-R25),'IMP Table'!$A$2:$C$26,3)*SIGN(R24-R25),"")</f>
        <v/>
      </c>
      <c r="U24">
        <f>IF(AND(ISNUMBER(R24),ISNUMBER(R26)),VLOOKUP(ABS(R24-R26),'IMP Table'!$A$2:$C$26,3)*SIGN(R24-R26),"")</f>
        <v/>
      </c>
      <c r="V24">
        <f>IF(AND(ISNUMBER(R24),ISNUMBER(R27)),VLOOKUP(ABS(R24-R27),'IMP Table'!$A$2:$C$26,3)*SIGN(R24-R27),"")</f>
        <v/>
      </c>
      <c r="W24">
        <f>IF(AND(ISNUMBER(R24),ISNUMBER(R28)),VLOOKUP(ABS(R24-R28),'IMP Table'!$A$2:$C$26,3)*SIGN(R24-R28),"")</f>
        <v/>
      </c>
      <c r="X24">
        <f>IF(AND(ISNUMBER(R24),ISNUMBER(R29)),VLOOKUP(ABS(R24-R29),'IMP Table'!$A$2:$C$26,3)*SIGN(R24-R29),"")</f>
        <v/>
      </c>
      <c r="Y24">
        <f>IF(AND(ISNUMBER(R24),ISNUMBER(R30)),VLOOKUP(ABS(R24-R30),'IMP Table'!$A$2:$C$26,3)*SIGN(R24-R30),"")</f>
        <v/>
      </c>
      <c r="Z24">
        <f>IF(AND(ISNUMBER(S24),ISNUMBER(S25)),VLOOKUP(ABS(S24-S25),'IMP Table'!$A$2:$C$26,3)*SIGN(S24-S25),"")</f>
        <v/>
      </c>
      <c r="AA24">
        <f>IF(AND(ISNUMBER(S24),ISNUMBER(S26)),VLOOKUP(ABS(S24-S26),'IMP Table'!$A$2:$C$26,3)*SIGN(S24-S26),"")</f>
        <v/>
      </c>
      <c r="AB24">
        <f>IF(AND(ISNUMBER(S24),ISNUMBER(S27)),VLOOKUP(ABS(S24-S27),'IMP Table'!$A$2:$C$26,3)*SIGN(S24-S27),"")</f>
        <v/>
      </c>
      <c r="AC24">
        <f>IF(AND(ISNUMBER(S24),ISNUMBER(S28)),VLOOKUP(ABS(S24-S28),'IMP Table'!$A$2:$C$26,3)*SIGN(S24-S28),"")</f>
        <v/>
      </c>
      <c r="AD24">
        <f>IF(AND(ISNUMBER(S24),ISNUMBER(S29)),VLOOKUP(ABS(S24-S29),'IMP Table'!$A$2:$C$26,3)*SIGN(S24-S29),"")</f>
        <v/>
      </c>
      <c r="AE24">
        <f>IF(AND(ISNUMBER(S24),ISNUMBER(S30)),VLOOKUP(ABS(S24-S30),'IMP Table'!$A$2:$C$26,3)*SIGN(S24-S30),"")</f>
        <v/>
      </c>
      <c r="AF24">
        <f>IF(AND(ISNUMBER(R24),ISNUMBER(R25)),IF(R24&gt;R25,1,IF(R24=R25,0.5,0)),0.5)</f>
        <v/>
      </c>
      <c r="AG24">
        <f>IF(AND(ISNUMBER(R24),ISNUMBER(R26)),IF(R24&gt;R26,1,IF(R24=R26,0.5,0)),0.5)</f>
        <v/>
      </c>
      <c r="AH24">
        <f>IF(AND(ISNUMBER(R24),ISNUMBER(R27)),IF(R24&gt;R27,1,IF(R24=R27,0.5,0)),0.5)</f>
        <v/>
      </c>
      <c r="AI24">
        <f>IF(AND(ISNUMBER(R24),ISNUMBER(R28)),IF(R24&gt;R28,1,IF(R24=R28,0.5,0)),0.5)</f>
        <v/>
      </c>
      <c r="AJ24">
        <f>IF(AND(ISNUMBER(R24),ISNUMBER(R29)),IF(R24&gt;R29,1,IF(R24=R29,0.5,0)),0.5)</f>
        <v/>
      </c>
      <c r="AK24">
        <f>IF(AND(ISNUMBER(R24),ISNUMBER(R30)),IF(R24&gt;R30,1,IF(R24=R30,0.5,0)),0.5)</f>
        <v/>
      </c>
      <c r="AL24">
        <f>IF(AND(ISNUMBER(S24),ISNUMBER(S25)),IF(S24&gt;S25,1,IF(S24=S25,0.5,0)),0.5)</f>
        <v/>
      </c>
      <c r="AM24">
        <f>IF(AND(ISNUMBER(S24),ISNUMBER(S26)),IF(S24&gt;S26,1,IF(S24=S26,0.5,0)),0.5)</f>
        <v/>
      </c>
      <c r="AN24">
        <f>IF(AND(ISNUMBER(S24),ISNUMBER(S27)),IF(S24&gt;S27,1,IF(S24=S27,0.5,0)),0.5)</f>
        <v/>
      </c>
      <c r="AO24">
        <f>IF(AND(ISNUMBER(S24),ISNUMBER(S28)),IF(S24&gt;S28,1,IF(S24=S28,0.5,0)),0.5)</f>
        <v/>
      </c>
      <c r="AP24">
        <f>IF(AND(ISNUMBER(S24),ISNUMBER(S29)),IF(S24&gt;S29,1,IF(S24=S29,0.5,0)),0.5)</f>
        <v/>
      </c>
      <c r="AQ24">
        <f>IF(AND(ISNUMBER(S24),ISNUMBER(S30)),IF(S24&gt;S30,1,IF(S24=S30,0.5,0)),0.5)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4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5">
        <f>IFERROR(AVERAGE(T25:Y25),"")</f>
        <v/>
      </c>
      <c r="M25" s="4">
        <f>IFERROR(AVERAGE(Z25:AE25),"")</f>
        <v/>
      </c>
      <c r="N25" s="5">
        <f>P25/6</f>
        <v/>
      </c>
      <c r="O25" s="5">
        <f>Q25/6</f>
        <v/>
      </c>
      <c r="P25" s="4">
        <f>IFERROR(SUM(AF25:AK25),"")</f>
        <v/>
      </c>
      <c r="Q25" s="4">
        <f>IFERROR(SUM(AL25:AQ25),"")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IF(AND(ISNUMBER(R25),ISNUMBER(R24)),VLOOKUP(ABS(R25-R24),'IMP Table'!$A$2:$C$26,3)*SIGN(R25-R24),"")</f>
        <v/>
      </c>
      <c r="U25">
        <f>IF(AND(ISNUMBER(R25),ISNUMBER(R26)),VLOOKUP(ABS(R25-R26),'IMP Table'!$A$2:$C$26,3)*SIGN(R25-R26),"")</f>
        <v/>
      </c>
      <c r="V25">
        <f>IF(AND(ISNUMBER(R25),ISNUMBER(R27)),VLOOKUP(ABS(R25-R27),'IMP Table'!$A$2:$C$26,3)*SIGN(R25-R27),"")</f>
        <v/>
      </c>
      <c r="W25">
        <f>IF(AND(ISNUMBER(R25),ISNUMBER(R28)),VLOOKUP(ABS(R25-R28),'IMP Table'!$A$2:$C$26,3)*SIGN(R25-R28),"")</f>
        <v/>
      </c>
      <c r="X25">
        <f>IF(AND(ISNUMBER(R25),ISNUMBER(R29)),VLOOKUP(ABS(R25-R29),'IMP Table'!$A$2:$C$26,3)*SIGN(R25-R29),"")</f>
        <v/>
      </c>
      <c r="Y25">
        <f>IF(AND(ISNUMBER(R25),ISNUMBER(R30)),VLOOKUP(ABS(R25-R30),'IMP Table'!$A$2:$C$26,3)*SIGN(R25-R30),"")</f>
        <v/>
      </c>
      <c r="Z25">
        <f>IF(AND(ISNUMBER(S25),ISNUMBER(S24)),VLOOKUP(ABS(S25-S24),'IMP Table'!$A$2:$C$26,3)*SIGN(S25-S24),"")</f>
        <v/>
      </c>
      <c r="AA25">
        <f>IF(AND(ISNUMBER(S25),ISNUMBER(S26)),VLOOKUP(ABS(S25-S26),'IMP Table'!$A$2:$C$26,3)*SIGN(S25-S26),"")</f>
        <v/>
      </c>
      <c r="AB25">
        <f>IF(AND(ISNUMBER(S25),ISNUMBER(S27)),VLOOKUP(ABS(S25-S27),'IMP Table'!$A$2:$C$26,3)*SIGN(S25-S27),"")</f>
        <v/>
      </c>
      <c r="AC25">
        <f>IF(AND(ISNUMBER(S25),ISNUMBER(S28)),VLOOKUP(ABS(S25-S28),'IMP Table'!$A$2:$C$26,3)*SIGN(S25-S28),"")</f>
        <v/>
      </c>
      <c r="AD25">
        <f>IF(AND(ISNUMBER(S25),ISNUMBER(S29)),VLOOKUP(ABS(S25-S29),'IMP Table'!$A$2:$C$26,3)*SIGN(S25-S29),"")</f>
        <v/>
      </c>
      <c r="AE25">
        <f>IF(AND(ISNUMBER(S25),ISNUMBER(S30)),VLOOKUP(ABS(S25-S30),'IMP Table'!$A$2:$C$26,3)*SIGN(S25-S30),"")</f>
        <v/>
      </c>
      <c r="AF25">
        <f>IF(AND(ISNUMBER(R25),ISNUMBER(R24)),IF(R25&gt;R24,1,IF(R25=R24,0.5,0)),0.5)</f>
        <v/>
      </c>
      <c r="AG25">
        <f>IF(AND(ISNUMBER(R25),ISNUMBER(R26)),IF(R25&gt;R26,1,IF(R25=R26,0.5,0)),0.5)</f>
        <v/>
      </c>
      <c r="AH25">
        <f>IF(AND(ISNUMBER(R25),ISNUMBER(R27)),IF(R25&gt;R27,1,IF(R25=R27,0.5,0)),0.5)</f>
        <v/>
      </c>
      <c r="AI25">
        <f>IF(AND(ISNUMBER(R25),ISNUMBER(R28)),IF(R25&gt;R28,1,IF(R25=R28,0.5,0)),0.5)</f>
        <v/>
      </c>
      <c r="AJ25">
        <f>IF(AND(ISNUMBER(R25),ISNUMBER(R29)),IF(R25&gt;R29,1,IF(R25=R29,0.5,0)),0.5)</f>
        <v/>
      </c>
      <c r="AK25">
        <f>IF(AND(ISNUMBER(R25),ISNUMBER(R30)),IF(R25&gt;R30,1,IF(R25=R30,0.5,0)),0.5)</f>
        <v/>
      </c>
      <c r="AL25">
        <f>IF(AND(ISNUMBER(S25),ISNUMBER(S24)),IF(S25&gt;S24,1,IF(S25=S24,0.5,0)),0.5)</f>
        <v/>
      </c>
      <c r="AM25">
        <f>IF(AND(ISNUMBER(S25),ISNUMBER(S26)),IF(S25&gt;S26,1,IF(S25=S26,0.5,0)),0.5)</f>
        <v/>
      </c>
      <c r="AN25">
        <f>IF(AND(ISNUMBER(S25),ISNUMBER(S27)),IF(S25&gt;S27,1,IF(S25=S27,0.5,0)),0.5)</f>
        <v/>
      </c>
      <c r="AO25">
        <f>IF(AND(ISNUMBER(S25),ISNUMBER(S28)),IF(S25&gt;S28,1,IF(S25=S28,0.5,0)),0.5)</f>
        <v/>
      </c>
      <c r="AP25">
        <f>IF(AND(ISNUMBER(S25),ISNUMBER(S29)),IF(S25&gt;S29,1,IF(S25=S29,0.5,0)),0.5)</f>
        <v/>
      </c>
      <c r="AQ25">
        <f>IF(AND(ISNUMBER(S25),ISNUMBER(S30)),IF(S25&gt;S30,1,IF(S25=S30,0.5,0)),0.5)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4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5">
        <f>IFERROR(AVERAGE(T26:Y26),"")</f>
        <v/>
      </c>
      <c r="M26" s="4">
        <f>IFERROR(AVERAGE(Z26:AE26),"")</f>
        <v/>
      </c>
      <c r="N26" s="5">
        <f>P26/6</f>
        <v/>
      </c>
      <c r="O26" s="5">
        <f>Q26/6</f>
        <v/>
      </c>
      <c r="P26" s="4">
        <f>IFERROR(SUM(AF26:AK26),"")</f>
        <v/>
      </c>
      <c r="Q26" s="4">
        <f>IFERROR(SUM(AL26:AQ26),"")</f>
        <v/>
      </c>
      <c r="R26" s="16">
        <f>IF(ISNUMBER(J26),J26,IF(ISNUMBER(K26),-K26,""))</f>
        <v/>
      </c>
      <c r="S26">
        <f>IF(ISNUMBER(K26),K26,IF(ISNUMBER(J26),-J26,""))</f>
        <v/>
      </c>
      <c r="T26">
        <f>IF(AND(ISNUMBER(R26),ISNUMBER(R24)),VLOOKUP(ABS(R26-R24),'IMP Table'!$A$2:$C$26,3)*SIGN(R26-R24),"")</f>
        <v/>
      </c>
      <c r="U26">
        <f>IF(AND(ISNUMBER(R26),ISNUMBER(R25)),VLOOKUP(ABS(R26-R25),'IMP Table'!$A$2:$C$26,3)*SIGN(R26-R25),"")</f>
        <v/>
      </c>
      <c r="V26">
        <f>IF(AND(ISNUMBER(R26),ISNUMBER(R27)),VLOOKUP(ABS(R26-R27),'IMP Table'!$A$2:$C$26,3)*SIGN(R26-R27),"")</f>
        <v/>
      </c>
      <c r="W26">
        <f>IF(AND(ISNUMBER(R26),ISNUMBER(R28)),VLOOKUP(ABS(R26-R28),'IMP Table'!$A$2:$C$26,3)*SIGN(R26-R28),"")</f>
        <v/>
      </c>
      <c r="X26">
        <f>IF(AND(ISNUMBER(R26),ISNUMBER(R29)),VLOOKUP(ABS(R26-R29),'IMP Table'!$A$2:$C$26,3)*SIGN(R26-R29),"")</f>
        <v/>
      </c>
      <c r="Y26">
        <f>IF(AND(ISNUMBER(R26),ISNUMBER(R30)),VLOOKUP(ABS(R26-R30),'IMP Table'!$A$2:$C$26,3)*SIGN(R26-R30),"")</f>
        <v/>
      </c>
      <c r="Z26">
        <f>IF(AND(ISNUMBER(S26),ISNUMBER(S24)),VLOOKUP(ABS(S26-S24),'IMP Table'!$A$2:$C$26,3)*SIGN(S26-S24),"")</f>
        <v/>
      </c>
      <c r="AA26">
        <f>IF(AND(ISNUMBER(S26),ISNUMBER(S25)),VLOOKUP(ABS(S26-S25),'IMP Table'!$A$2:$C$26,3)*SIGN(S26-S25),"")</f>
        <v/>
      </c>
      <c r="AB26">
        <f>IF(AND(ISNUMBER(S26),ISNUMBER(S27)),VLOOKUP(ABS(S26-S27),'IMP Table'!$A$2:$C$26,3)*SIGN(S26-S27),"")</f>
        <v/>
      </c>
      <c r="AC26">
        <f>IF(AND(ISNUMBER(S26),ISNUMBER(S28)),VLOOKUP(ABS(S26-S28),'IMP Table'!$A$2:$C$26,3)*SIGN(S26-S28),"")</f>
        <v/>
      </c>
      <c r="AD26">
        <f>IF(AND(ISNUMBER(S26),ISNUMBER(S29)),VLOOKUP(ABS(S26-S29),'IMP Table'!$A$2:$C$26,3)*SIGN(S26-S29),"")</f>
        <v/>
      </c>
      <c r="AE26">
        <f>IF(AND(ISNUMBER(S26),ISNUMBER(S30)),VLOOKUP(ABS(S26-S30),'IMP Table'!$A$2:$C$26,3)*SIGN(S26-S30),"")</f>
        <v/>
      </c>
      <c r="AF26">
        <f>IF(AND(ISNUMBER(R26),ISNUMBER(R24)),IF(R26&gt;R24,1,IF(R26=R24,0.5,0)),0.5)</f>
        <v/>
      </c>
      <c r="AG26">
        <f>IF(AND(ISNUMBER(R26),ISNUMBER(R25)),IF(R26&gt;R25,1,IF(R26=R25,0.5,0)),0.5)</f>
        <v/>
      </c>
      <c r="AH26">
        <f>IF(AND(ISNUMBER(R26),ISNUMBER(R27)),IF(R26&gt;R27,1,IF(R26=R27,0.5,0)),0.5)</f>
        <v/>
      </c>
      <c r="AI26">
        <f>IF(AND(ISNUMBER(R26),ISNUMBER(R28)),IF(R26&gt;R28,1,IF(R26=R28,0.5,0)),0.5)</f>
        <v/>
      </c>
      <c r="AJ26">
        <f>IF(AND(ISNUMBER(R26),ISNUMBER(R29)),IF(R26&gt;R29,1,IF(R26=R29,0.5,0)),0.5)</f>
        <v/>
      </c>
      <c r="AK26">
        <f>IF(AND(ISNUMBER(R26),ISNUMBER(R30)),IF(R26&gt;R30,1,IF(R26=R30,0.5,0)),0.5)</f>
        <v/>
      </c>
      <c r="AL26">
        <f>IF(AND(ISNUMBER(S26),ISNUMBER(S24)),IF(S26&gt;S24,1,IF(S26=S24,0.5,0)),0.5)</f>
        <v/>
      </c>
      <c r="AM26">
        <f>IF(AND(ISNUMBER(S26),ISNUMBER(S25)),IF(S26&gt;S25,1,IF(S26=S25,0.5,0)),0.5)</f>
        <v/>
      </c>
      <c r="AN26">
        <f>IF(AND(ISNUMBER(S26),ISNUMBER(S27)),IF(S26&gt;S27,1,IF(S26=S27,0.5,0)),0.5)</f>
        <v/>
      </c>
      <c r="AO26">
        <f>IF(AND(ISNUMBER(S26),ISNUMBER(S28)),IF(S26&gt;S28,1,IF(S26=S28,0.5,0)),0.5)</f>
        <v/>
      </c>
      <c r="AP26">
        <f>IF(AND(ISNUMBER(S26),ISNUMBER(S29)),IF(S26&gt;S29,1,IF(S26=S29,0.5,0)),0.5)</f>
        <v/>
      </c>
      <c r="AQ26">
        <f>IF(AND(ISNUMBER(S26),ISNUMBER(S30)),IF(S26&gt;S30,1,IF(S26=S30,0.5,0)),0.5)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4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5">
        <f>IFERROR(AVERAGE(T27:Y27),"")</f>
        <v/>
      </c>
      <c r="M27" s="4">
        <f>IFERROR(AVERAGE(Z27:AE27),"")</f>
        <v/>
      </c>
      <c r="N27" s="5">
        <f>P27/6</f>
        <v/>
      </c>
      <c r="O27" s="5">
        <f>Q27/6</f>
        <v/>
      </c>
      <c r="P27" s="4">
        <f>IFERROR(SUM(AF27:AK27),"")</f>
        <v/>
      </c>
      <c r="Q27" s="4">
        <f>IFERROR(SUM(AL27:AQ27),"")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IF(AND(ISNUMBER(R27),ISNUMBER(R24)),VLOOKUP(ABS(R27-R24),'IMP Table'!$A$2:$C$26,3)*SIGN(R27-R24),"")</f>
        <v/>
      </c>
      <c r="U27">
        <f>IF(AND(ISNUMBER(R27),ISNUMBER(R25)),VLOOKUP(ABS(R27-R25),'IMP Table'!$A$2:$C$26,3)*SIGN(R27-R25),"")</f>
        <v/>
      </c>
      <c r="V27">
        <f>IF(AND(ISNUMBER(R27),ISNUMBER(R26)),VLOOKUP(ABS(R27-R26),'IMP Table'!$A$2:$C$26,3)*SIGN(R27-R26),"")</f>
        <v/>
      </c>
      <c r="W27">
        <f>IF(AND(ISNUMBER(R27),ISNUMBER(R28)),VLOOKUP(ABS(R27-R28),'IMP Table'!$A$2:$C$26,3)*SIGN(R27-R28),"")</f>
        <v/>
      </c>
      <c r="X27">
        <f>IF(AND(ISNUMBER(R27),ISNUMBER(R29)),VLOOKUP(ABS(R27-R29),'IMP Table'!$A$2:$C$26,3)*SIGN(R27-R29),"")</f>
        <v/>
      </c>
      <c r="Y27">
        <f>IF(AND(ISNUMBER(R27),ISNUMBER(R30)),VLOOKUP(ABS(R27-R30),'IMP Table'!$A$2:$C$26,3)*SIGN(R27-R30),"")</f>
        <v/>
      </c>
      <c r="Z27">
        <f>IF(AND(ISNUMBER(S27),ISNUMBER(S24)),VLOOKUP(ABS(S27-S24),'IMP Table'!$A$2:$C$26,3)*SIGN(S27-S24),"")</f>
        <v/>
      </c>
      <c r="AA27">
        <f>IF(AND(ISNUMBER(S27),ISNUMBER(S25)),VLOOKUP(ABS(S27-S25),'IMP Table'!$A$2:$C$26,3)*SIGN(S27-S25),"")</f>
        <v/>
      </c>
      <c r="AB27">
        <f>IF(AND(ISNUMBER(S27),ISNUMBER(S26)),VLOOKUP(ABS(S27-S26),'IMP Table'!$A$2:$C$26,3)*SIGN(S27-S26),"")</f>
        <v/>
      </c>
      <c r="AC27">
        <f>IF(AND(ISNUMBER(S27),ISNUMBER(S28)),VLOOKUP(ABS(S27-S28),'IMP Table'!$A$2:$C$26,3)*SIGN(S27-S28),"")</f>
        <v/>
      </c>
      <c r="AD27">
        <f>IF(AND(ISNUMBER(S27),ISNUMBER(S29)),VLOOKUP(ABS(S27-S29),'IMP Table'!$A$2:$C$26,3)*SIGN(S27-S29),"")</f>
        <v/>
      </c>
      <c r="AE27">
        <f>IF(AND(ISNUMBER(S27),ISNUMBER(S30)),VLOOKUP(ABS(S27-S30),'IMP Table'!$A$2:$C$26,3)*SIGN(S27-S30),"")</f>
        <v/>
      </c>
      <c r="AF27">
        <f>IF(AND(ISNUMBER(R27),ISNUMBER(R24)),IF(R27&gt;R24,1,IF(R27=R24,0.5,0)),0.5)</f>
        <v/>
      </c>
      <c r="AG27">
        <f>IF(AND(ISNUMBER(R27),ISNUMBER(R25)),IF(R27&gt;R25,1,IF(R27=R25,0.5,0)),0.5)</f>
        <v/>
      </c>
      <c r="AH27">
        <f>IF(AND(ISNUMBER(R27),ISNUMBER(R26)),IF(R27&gt;R26,1,IF(R27=R26,0.5,0)),0.5)</f>
        <v/>
      </c>
      <c r="AI27">
        <f>IF(AND(ISNUMBER(R27),ISNUMBER(R28)),IF(R27&gt;R28,1,IF(R27=R28,0.5,0)),0.5)</f>
        <v/>
      </c>
      <c r="AJ27">
        <f>IF(AND(ISNUMBER(R27),ISNUMBER(R29)),IF(R27&gt;R29,1,IF(R27=R29,0.5,0)),0.5)</f>
        <v/>
      </c>
      <c r="AK27">
        <f>IF(AND(ISNUMBER(R27),ISNUMBER(R30)),IF(R27&gt;R30,1,IF(R27=R30,0.5,0)),0.5)</f>
        <v/>
      </c>
      <c r="AL27">
        <f>IF(AND(ISNUMBER(S27),ISNUMBER(S24)),IF(S27&gt;S24,1,IF(S27=S24,0.5,0)),0.5)</f>
        <v/>
      </c>
      <c r="AM27">
        <f>IF(AND(ISNUMBER(S27),ISNUMBER(S25)),IF(S27&gt;S25,1,IF(S27=S25,0.5,0)),0.5)</f>
        <v/>
      </c>
      <c r="AN27">
        <f>IF(AND(ISNUMBER(S27),ISNUMBER(S26)),IF(S27&gt;S26,1,IF(S27=S26,0.5,0)),0.5)</f>
        <v/>
      </c>
      <c r="AO27">
        <f>IF(AND(ISNUMBER(S27),ISNUMBER(S28)),IF(S27&gt;S28,1,IF(S27=S28,0.5,0)),0.5)</f>
        <v/>
      </c>
      <c r="AP27">
        <f>IF(AND(ISNUMBER(S27),ISNUMBER(S29)),IF(S27&gt;S29,1,IF(S27=S29,0.5,0)),0.5)</f>
        <v/>
      </c>
      <c r="AQ27">
        <f>IF(AND(ISNUMBER(S27),ISNUMBER(S30)),IF(S27&gt;S30,1,IF(S27=S30,0.5,0)),0.5)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4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5">
        <f>IFERROR(AVERAGE(T28:Y28),"")</f>
        <v/>
      </c>
      <c r="M28" s="4">
        <f>IFERROR(AVERAGE(Z28:AE28),"")</f>
        <v/>
      </c>
      <c r="N28" s="5">
        <f>P28/6</f>
        <v/>
      </c>
      <c r="O28" s="5">
        <f>Q28/6</f>
        <v/>
      </c>
      <c r="P28" s="4">
        <f>IFERROR(SUM(AF28:AK28),"")</f>
        <v/>
      </c>
      <c r="Q28" s="4">
        <f>IFERROR(SUM(AL28:AQ28),"")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IF(AND(ISNUMBER(R28),ISNUMBER(R24)),VLOOKUP(ABS(R28-R24),'IMP Table'!$A$2:$C$26,3)*SIGN(R28-R24),"")</f>
        <v/>
      </c>
      <c r="U28">
        <f>IF(AND(ISNUMBER(R28),ISNUMBER(R25)),VLOOKUP(ABS(R28-R25),'IMP Table'!$A$2:$C$26,3)*SIGN(R28-R25),"")</f>
        <v/>
      </c>
      <c r="V28">
        <f>IF(AND(ISNUMBER(R28),ISNUMBER(R26)),VLOOKUP(ABS(R28-R26),'IMP Table'!$A$2:$C$26,3)*SIGN(R28-R26),"")</f>
        <v/>
      </c>
      <c r="W28">
        <f>IF(AND(ISNUMBER(R28),ISNUMBER(R27)),VLOOKUP(ABS(R28-R27),'IMP Table'!$A$2:$C$26,3)*SIGN(R28-R27),"")</f>
        <v/>
      </c>
      <c r="X28">
        <f>IF(AND(ISNUMBER(R28),ISNUMBER(R29)),VLOOKUP(ABS(R28-R29),'IMP Table'!$A$2:$C$26,3)*SIGN(R28-R29),"")</f>
        <v/>
      </c>
      <c r="Y28">
        <f>IF(AND(ISNUMBER(R28),ISNUMBER(R30)),VLOOKUP(ABS(R28-R30),'IMP Table'!$A$2:$C$26,3)*SIGN(R28-R30),"")</f>
        <v/>
      </c>
      <c r="Z28">
        <f>IF(AND(ISNUMBER(S28),ISNUMBER(S24)),VLOOKUP(ABS(S28-S24),'IMP Table'!$A$2:$C$26,3)*SIGN(S28-S24),"")</f>
        <v/>
      </c>
      <c r="AA28">
        <f>IF(AND(ISNUMBER(S28),ISNUMBER(S25)),VLOOKUP(ABS(S28-S25),'IMP Table'!$A$2:$C$26,3)*SIGN(S28-S25),"")</f>
        <v/>
      </c>
      <c r="AB28">
        <f>IF(AND(ISNUMBER(S28),ISNUMBER(S26)),VLOOKUP(ABS(S28-S26),'IMP Table'!$A$2:$C$26,3)*SIGN(S28-S26),"")</f>
        <v/>
      </c>
      <c r="AC28">
        <f>IF(AND(ISNUMBER(S28),ISNUMBER(S27)),VLOOKUP(ABS(S28-S27),'IMP Table'!$A$2:$C$26,3)*SIGN(S28-S27),"")</f>
        <v/>
      </c>
      <c r="AD28">
        <f>IF(AND(ISNUMBER(S28),ISNUMBER(S29)),VLOOKUP(ABS(S28-S29),'IMP Table'!$A$2:$C$26,3)*SIGN(S28-S29),"")</f>
        <v/>
      </c>
      <c r="AE28">
        <f>IF(AND(ISNUMBER(S28),ISNUMBER(S30)),VLOOKUP(ABS(S28-S30),'IMP Table'!$A$2:$C$26,3)*SIGN(S28-S30),"")</f>
        <v/>
      </c>
      <c r="AF28">
        <f>IF(AND(ISNUMBER(R28),ISNUMBER(R24)),IF(R28&gt;R24,1,IF(R28=R24,0.5,0)),0.5)</f>
        <v/>
      </c>
      <c r="AG28">
        <f>IF(AND(ISNUMBER(R28),ISNUMBER(R25)),IF(R28&gt;R25,1,IF(R28=R25,0.5,0)),0.5)</f>
        <v/>
      </c>
      <c r="AH28">
        <f>IF(AND(ISNUMBER(R28),ISNUMBER(R26)),IF(R28&gt;R26,1,IF(R28=R26,0.5,0)),0.5)</f>
        <v/>
      </c>
      <c r="AI28">
        <f>IF(AND(ISNUMBER(R28),ISNUMBER(R27)),IF(R28&gt;R27,1,IF(R28=R27,0.5,0)),0.5)</f>
        <v/>
      </c>
      <c r="AJ28">
        <f>IF(AND(ISNUMBER(R28),ISNUMBER(R29)),IF(R28&gt;R29,1,IF(R28=R29,0.5,0)),0.5)</f>
        <v/>
      </c>
      <c r="AK28">
        <f>IF(AND(ISNUMBER(R28),ISNUMBER(R30)),IF(R28&gt;R30,1,IF(R28=R30,0.5,0)),0.5)</f>
        <v/>
      </c>
      <c r="AL28">
        <f>IF(AND(ISNUMBER(S28),ISNUMBER(S24)),IF(S28&gt;S24,1,IF(S28=S24,0.5,0)),0.5)</f>
        <v/>
      </c>
      <c r="AM28">
        <f>IF(AND(ISNUMBER(S28),ISNUMBER(S25)),IF(S28&gt;S25,1,IF(S28=S25,0.5,0)),0.5)</f>
        <v/>
      </c>
      <c r="AN28">
        <f>IF(AND(ISNUMBER(S28),ISNUMBER(S26)),IF(S28&gt;S26,1,IF(S28=S26,0.5,0)),0.5)</f>
        <v/>
      </c>
      <c r="AO28">
        <f>IF(AND(ISNUMBER(S28),ISNUMBER(S27)),IF(S28&gt;S27,1,IF(S28=S27,0.5,0)),0.5)</f>
        <v/>
      </c>
      <c r="AP28">
        <f>IF(AND(ISNUMBER(S28),ISNUMBER(S29)),IF(S28&gt;S29,1,IF(S28=S29,0.5,0)),0.5)</f>
        <v/>
      </c>
      <c r="AQ28">
        <f>IF(AND(ISNUMBER(S28),ISNUMBER(S30)),IF(S28&gt;S30,1,IF(S28=S30,0.5,0)),0.5)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4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5">
        <f>IFERROR(AVERAGE(T29:Y29),"")</f>
        <v/>
      </c>
      <c r="M29" s="4">
        <f>IFERROR(AVERAGE(Z29:AE29),"")</f>
        <v/>
      </c>
      <c r="N29" s="5">
        <f>P29/6</f>
        <v/>
      </c>
      <c r="O29" s="5">
        <f>Q29/6</f>
        <v/>
      </c>
      <c r="P29" s="4">
        <f>IFERROR(SUM(AF29:AK29),"")</f>
        <v/>
      </c>
      <c r="Q29" s="4">
        <f>IFERROR(SUM(AL29:AQ29),"")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IF(AND(ISNUMBER(R29),ISNUMBER(R24)),VLOOKUP(ABS(R29-R24),'IMP Table'!$A$2:$C$26,3)*SIGN(R29-R24),"")</f>
        <v/>
      </c>
      <c r="U29">
        <f>IF(AND(ISNUMBER(R29),ISNUMBER(R25)),VLOOKUP(ABS(R29-R25),'IMP Table'!$A$2:$C$26,3)*SIGN(R29-R25),"")</f>
        <v/>
      </c>
      <c r="V29">
        <f>IF(AND(ISNUMBER(R29),ISNUMBER(R26)),VLOOKUP(ABS(R29-R26),'IMP Table'!$A$2:$C$26,3)*SIGN(R29-R26),"")</f>
        <v/>
      </c>
      <c r="W29">
        <f>IF(AND(ISNUMBER(R29),ISNUMBER(R27)),VLOOKUP(ABS(R29-R27),'IMP Table'!$A$2:$C$26,3)*SIGN(R29-R27),"")</f>
        <v/>
      </c>
      <c r="X29">
        <f>IF(AND(ISNUMBER(R29),ISNUMBER(R28)),VLOOKUP(ABS(R29-R28),'IMP Table'!$A$2:$C$26,3)*SIGN(R29-R28),"")</f>
        <v/>
      </c>
      <c r="Y29">
        <f>IF(AND(ISNUMBER(R29),ISNUMBER(R30)),VLOOKUP(ABS(R29-R30),'IMP Table'!$A$2:$C$26,3)*SIGN(R29-R30),"")</f>
        <v/>
      </c>
      <c r="Z29">
        <f>IF(AND(ISNUMBER(S29),ISNUMBER(S24)),VLOOKUP(ABS(S29-S24),'IMP Table'!$A$2:$C$26,3)*SIGN(S29-S24),"")</f>
        <v/>
      </c>
      <c r="AA29">
        <f>IF(AND(ISNUMBER(S29),ISNUMBER(S25)),VLOOKUP(ABS(S29-S25),'IMP Table'!$A$2:$C$26,3)*SIGN(S29-S25),"")</f>
        <v/>
      </c>
      <c r="AB29">
        <f>IF(AND(ISNUMBER(S29),ISNUMBER(S26)),VLOOKUP(ABS(S29-S26),'IMP Table'!$A$2:$C$26,3)*SIGN(S29-S26),"")</f>
        <v/>
      </c>
      <c r="AC29">
        <f>IF(AND(ISNUMBER(S29),ISNUMBER(S27)),VLOOKUP(ABS(S29-S27),'IMP Table'!$A$2:$C$26,3)*SIGN(S29-S27),"")</f>
        <v/>
      </c>
      <c r="AD29">
        <f>IF(AND(ISNUMBER(S29),ISNUMBER(S28)),VLOOKUP(ABS(S29-S28),'IMP Table'!$A$2:$C$26,3)*SIGN(S29-S28),"")</f>
        <v/>
      </c>
      <c r="AE29">
        <f>IF(AND(ISNUMBER(S29),ISNUMBER(S30)),VLOOKUP(ABS(S29-S30),'IMP Table'!$A$2:$C$26,3)*SIGN(S29-S30),"")</f>
        <v/>
      </c>
      <c r="AF29">
        <f>IF(AND(ISNUMBER(R29),ISNUMBER(R24)),IF(R29&gt;R24,1,IF(R29=R24,0.5,0)),0.5)</f>
        <v/>
      </c>
      <c r="AG29">
        <f>IF(AND(ISNUMBER(R29),ISNUMBER(R25)),IF(R29&gt;R25,1,IF(R29=R25,0.5,0)),0.5)</f>
        <v/>
      </c>
      <c r="AH29">
        <f>IF(AND(ISNUMBER(R29),ISNUMBER(R26)),IF(R29&gt;R26,1,IF(R29=R26,0.5,0)),0.5)</f>
        <v/>
      </c>
      <c r="AI29">
        <f>IF(AND(ISNUMBER(R29),ISNUMBER(R27)),IF(R29&gt;R27,1,IF(R29=R27,0.5,0)),0.5)</f>
        <v/>
      </c>
      <c r="AJ29">
        <f>IF(AND(ISNUMBER(R29),ISNUMBER(R28)),IF(R29&gt;R28,1,IF(R29=R28,0.5,0)),0.5)</f>
        <v/>
      </c>
      <c r="AK29">
        <f>IF(AND(ISNUMBER(R29),ISNUMBER(R30)),IF(R29&gt;R30,1,IF(R29=R30,0.5,0)),0.5)</f>
        <v/>
      </c>
      <c r="AL29">
        <f>IF(AND(ISNUMBER(S29),ISNUMBER(S24)),IF(S29&gt;S24,1,IF(S29=S24,0.5,0)),0.5)</f>
        <v/>
      </c>
      <c r="AM29">
        <f>IF(AND(ISNUMBER(S29),ISNUMBER(S25)),IF(S29&gt;S25,1,IF(S29=S25,0.5,0)),0.5)</f>
        <v/>
      </c>
      <c r="AN29">
        <f>IF(AND(ISNUMBER(S29),ISNUMBER(S26)),IF(S29&gt;S26,1,IF(S29=S26,0.5,0)),0.5)</f>
        <v/>
      </c>
      <c r="AO29">
        <f>IF(AND(ISNUMBER(S29),ISNUMBER(S27)),IF(S29&gt;S27,1,IF(S29=S27,0.5,0)),0.5)</f>
        <v/>
      </c>
      <c r="AP29">
        <f>IF(AND(ISNUMBER(S29),ISNUMBER(S28)),IF(S29&gt;S28,1,IF(S29=S28,0.5,0)),0.5)</f>
        <v/>
      </c>
      <c r="AQ29">
        <f>IF(AND(ISNUMBER(S29),ISNUMBER(S30)),IF(S29&gt;S30,1,IF(S29=S30,0.5,0)),0.5)</f>
        <v/>
      </c>
    </row>
    <row r="30">
      <c r="A30" s="13" t="n"/>
      <c r="B30" s="13">
        <f>'By Round'!A171</f>
        <v/>
      </c>
      <c r="C30" s="13">
        <f>'By Round'!B173</f>
        <v/>
      </c>
      <c r="D30" s="13">
        <f>'By Round'!C173</f>
        <v/>
      </c>
      <c r="E30" s="13">
        <f>'By Round'!D173</f>
        <v/>
      </c>
      <c r="F30" s="17" t="inlineStr">
        <is>
          <t>Both</t>
        </is>
      </c>
      <c r="G30" s="13">
        <f>IF(ISBLANK('By Round'!G173),"",'By Round'!G173)</f>
        <v/>
      </c>
      <c r="H30" s="13">
        <f>IF(ISBLANK('By Round'!H173),"",'By Round'!H173)</f>
        <v/>
      </c>
      <c r="I30" s="13">
        <f>IF(ISBLANK('By Round'!I173),"",'By Round'!I173)</f>
        <v/>
      </c>
      <c r="J30" s="13">
        <f>IF(ISBLANK('By Round'!J173),"",'By Round'!J173)</f>
        <v/>
      </c>
      <c r="K30" s="13">
        <f>IF(ISBLANK('By Round'!K173),"",'By Round'!K173)</f>
        <v/>
      </c>
      <c r="L30" s="18">
        <f>IFERROR(AVERAGE(T30:Y30),"")</f>
        <v/>
      </c>
      <c r="M30" s="19">
        <f>IFERROR(AVERAGE(Z30:AE30),"")</f>
        <v/>
      </c>
      <c r="N30" s="20">
        <f>P30/6</f>
        <v/>
      </c>
      <c r="O30" s="20">
        <f>Q30/6</f>
        <v/>
      </c>
      <c r="P30" s="19">
        <f>IFERROR(SUM(AF30:AK30),"")</f>
        <v/>
      </c>
      <c r="Q30" s="19">
        <f>IFERROR(SUM(AL30:AQ30),"")</f>
        <v/>
      </c>
      <c r="R30" s="21">
        <f>IF(ISNUMBER(J30),J30,IF(ISNUMBER(K30),-K30,""))</f>
        <v/>
      </c>
      <c r="S30" s="13">
        <f>IF(ISNUMBER(K30),K30,IF(ISNUMBER(J30),-J30,""))</f>
        <v/>
      </c>
      <c r="T30" s="13">
        <f>IF(AND(ISNUMBER(R30),ISNUMBER(R24)),VLOOKUP(ABS(R30-R24),'IMP Table'!$A$2:$C$26,3)*SIGN(R30-R24),"")</f>
        <v/>
      </c>
      <c r="U30" s="13">
        <f>IF(AND(ISNUMBER(R30),ISNUMBER(R25)),VLOOKUP(ABS(R30-R25),'IMP Table'!$A$2:$C$26,3)*SIGN(R30-R25),"")</f>
        <v/>
      </c>
      <c r="V30" s="13">
        <f>IF(AND(ISNUMBER(R30),ISNUMBER(R26)),VLOOKUP(ABS(R30-R26),'IMP Table'!$A$2:$C$26,3)*SIGN(R30-R26),"")</f>
        <v/>
      </c>
      <c r="W30" s="13">
        <f>IF(AND(ISNUMBER(R30),ISNUMBER(R27)),VLOOKUP(ABS(R30-R27),'IMP Table'!$A$2:$C$26,3)*SIGN(R30-R27),"")</f>
        <v/>
      </c>
      <c r="X30" s="13">
        <f>IF(AND(ISNUMBER(R30),ISNUMBER(R28)),VLOOKUP(ABS(R30-R28),'IMP Table'!$A$2:$C$26,3)*SIGN(R30-R28),"")</f>
        <v/>
      </c>
      <c r="Y30" s="13">
        <f>IF(AND(ISNUMBER(R30),ISNUMBER(R29)),VLOOKUP(ABS(R30-R29),'IMP Table'!$A$2:$C$26,3)*SIGN(R30-R29),"")</f>
        <v/>
      </c>
      <c r="Z30" s="13">
        <f>IF(AND(ISNUMBER(S30),ISNUMBER(S24)),VLOOKUP(ABS(S30-S24),'IMP Table'!$A$2:$C$26,3)*SIGN(S30-S24),"")</f>
        <v/>
      </c>
      <c r="AA30" s="13">
        <f>IF(AND(ISNUMBER(S30),ISNUMBER(S25)),VLOOKUP(ABS(S30-S25),'IMP Table'!$A$2:$C$26,3)*SIGN(S30-S25),"")</f>
        <v/>
      </c>
      <c r="AB30" s="13">
        <f>IF(AND(ISNUMBER(S30),ISNUMBER(S26)),VLOOKUP(ABS(S30-S26),'IMP Table'!$A$2:$C$26,3)*SIGN(S30-S26),"")</f>
        <v/>
      </c>
      <c r="AC30" s="13">
        <f>IF(AND(ISNUMBER(S30),ISNUMBER(S27)),VLOOKUP(ABS(S30-S27),'IMP Table'!$A$2:$C$26,3)*SIGN(S30-S27),"")</f>
        <v/>
      </c>
      <c r="AD30" s="13">
        <f>IF(AND(ISNUMBER(S30),ISNUMBER(S28)),VLOOKUP(ABS(S30-S28),'IMP Table'!$A$2:$C$26,3)*SIGN(S30-S28),"")</f>
        <v/>
      </c>
      <c r="AE30" s="13">
        <f>IF(AND(ISNUMBER(S30),ISNUMBER(S29)),VLOOKUP(ABS(S30-S29),'IMP Table'!$A$2:$C$26,3)*SIGN(S30-S29),"")</f>
        <v/>
      </c>
      <c r="AF30" s="13">
        <f>IF(AND(ISNUMBER(R30),ISNUMBER(R24)),IF(R30&gt;R24,1,IF(R30=R24,0.5,0)),0.5)</f>
        <v/>
      </c>
      <c r="AG30" s="13">
        <f>IF(AND(ISNUMBER(R30),ISNUMBER(R25)),IF(R30&gt;R25,1,IF(R30=R25,0.5,0)),0.5)</f>
        <v/>
      </c>
      <c r="AH30" s="13">
        <f>IF(AND(ISNUMBER(R30),ISNUMBER(R26)),IF(R30&gt;R26,1,IF(R30=R26,0.5,0)),0.5)</f>
        <v/>
      </c>
      <c r="AI30" s="13">
        <f>IF(AND(ISNUMBER(R30),ISNUMBER(R27)),IF(R30&gt;R27,1,IF(R30=R27,0.5,0)),0.5)</f>
        <v/>
      </c>
      <c r="AJ30" s="13">
        <f>IF(AND(ISNUMBER(R30),ISNUMBER(R28)),IF(R30&gt;R28,1,IF(R30=R28,0.5,0)),0.5)</f>
        <v/>
      </c>
      <c r="AK30" s="13">
        <f>IF(AND(ISNUMBER(R30),ISNUMBER(R29)),IF(R30&gt;R29,1,IF(R30=R29,0.5,0)),0.5)</f>
        <v/>
      </c>
      <c r="AL30" s="13">
        <f>IF(AND(ISNUMBER(S30),ISNUMBER(S24)),IF(S30&gt;S24,1,IF(S30=S24,0.5,0)),0.5)</f>
        <v/>
      </c>
      <c r="AM30" s="13">
        <f>IF(AND(ISNUMBER(S30),ISNUMBER(S25)),IF(S30&gt;S25,1,IF(S30=S25,0.5,0)),0.5)</f>
        <v/>
      </c>
      <c r="AN30" s="13">
        <f>IF(AND(ISNUMBER(S30),ISNUMBER(S26)),IF(S30&gt;S26,1,IF(S30=S26,0.5,0)),0.5)</f>
        <v/>
      </c>
      <c r="AO30" s="13">
        <f>IF(AND(ISNUMBER(S30),ISNUMBER(S27)),IF(S30&gt;S27,1,IF(S30=S27,0.5,0)),0.5)</f>
        <v/>
      </c>
      <c r="AP30" s="13">
        <f>IF(AND(ISNUMBER(S30),ISNUMBER(S28)),IF(S30&gt;S28,1,IF(S30=S28,0.5,0)),0.5)</f>
        <v/>
      </c>
      <c r="AQ30" s="13">
        <f>IF(AND(ISNUMBER(S30),ISNUMBER(S29)),IF(S30&gt;S29,1,IF(S30=S29,0.5,0)),0.5)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4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5">
        <f>IFERROR(AVERAGE(T31:Y31),"")</f>
        <v/>
      </c>
      <c r="M31" s="4">
        <f>IFERROR(AVERAGE(Z31:AE31),"")</f>
        <v/>
      </c>
      <c r="N31" s="5">
        <f>P31/6</f>
        <v/>
      </c>
      <c r="O31" s="5">
        <f>Q31/6</f>
        <v/>
      </c>
      <c r="P31" s="4">
        <f>IFERROR(SUM(AF31:AK31),"")</f>
        <v/>
      </c>
      <c r="Q31" s="4">
        <f>IFERROR(SUM(AL31:AQ31),"")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IF(AND(ISNUMBER(R31),ISNUMBER(R32)),VLOOKUP(ABS(R31-R32),'IMP Table'!$A$2:$C$26,3)*SIGN(R31-R32),"")</f>
        <v/>
      </c>
      <c r="U31">
        <f>IF(AND(ISNUMBER(R31),ISNUMBER(R33)),VLOOKUP(ABS(R31-R33),'IMP Table'!$A$2:$C$26,3)*SIGN(R31-R33),"")</f>
        <v/>
      </c>
      <c r="V31">
        <f>IF(AND(ISNUMBER(R31),ISNUMBER(R34)),VLOOKUP(ABS(R31-R34),'IMP Table'!$A$2:$C$26,3)*SIGN(R31-R34),"")</f>
        <v/>
      </c>
      <c r="W31">
        <f>IF(AND(ISNUMBER(R31),ISNUMBER(R35)),VLOOKUP(ABS(R31-R35),'IMP Table'!$A$2:$C$26,3)*SIGN(R31-R35),"")</f>
        <v/>
      </c>
      <c r="X31">
        <f>IF(AND(ISNUMBER(R31),ISNUMBER(R36)),VLOOKUP(ABS(R31-R36),'IMP Table'!$A$2:$C$26,3)*SIGN(R31-R36),"")</f>
        <v/>
      </c>
      <c r="Y31">
        <f>IF(AND(ISNUMBER(R31),ISNUMBER(R37)),VLOOKUP(ABS(R31-R37),'IMP Table'!$A$2:$C$26,3)*SIGN(R31-R37),"")</f>
        <v/>
      </c>
      <c r="Z31">
        <f>IF(AND(ISNUMBER(S31),ISNUMBER(S32)),VLOOKUP(ABS(S31-S32),'IMP Table'!$A$2:$C$26,3)*SIGN(S31-S32),"")</f>
        <v/>
      </c>
      <c r="AA31">
        <f>IF(AND(ISNUMBER(S31),ISNUMBER(S33)),VLOOKUP(ABS(S31-S33),'IMP Table'!$A$2:$C$26,3)*SIGN(S31-S33),"")</f>
        <v/>
      </c>
      <c r="AB31">
        <f>IF(AND(ISNUMBER(S31),ISNUMBER(S34)),VLOOKUP(ABS(S31-S34),'IMP Table'!$A$2:$C$26,3)*SIGN(S31-S34),"")</f>
        <v/>
      </c>
      <c r="AC31">
        <f>IF(AND(ISNUMBER(S31),ISNUMBER(S35)),VLOOKUP(ABS(S31-S35),'IMP Table'!$A$2:$C$26,3)*SIGN(S31-S35),"")</f>
        <v/>
      </c>
      <c r="AD31">
        <f>IF(AND(ISNUMBER(S31),ISNUMBER(S36)),VLOOKUP(ABS(S31-S36),'IMP Table'!$A$2:$C$26,3)*SIGN(S31-S36),"")</f>
        <v/>
      </c>
      <c r="AE31">
        <f>IF(AND(ISNUMBER(S31),ISNUMBER(S37)),VLOOKUP(ABS(S31-S37),'IMP Table'!$A$2:$C$26,3)*SIGN(S31-S37),"")</f>
        <v/>
      </c>
      <c r="AF31">
        <f>IF(AND(ISNUMBER(R31),ISNUMBER(R32)),IF(R31&gt;R32,1,IF(R31=R32,0.5,0)),0.5)</f>
        <v/>
      </c>
      <c r="AG31">
        <f>IF(AND(ISNUMBER(R31),ISNUMBER(R33)),IF(R31&gt;R33,1,IF(R31=R33,0.5,0)),0.5)</f>
        <v/>
      </c>
      <c r="AH31">
        <f>IF(AND(ISNUMBER(R31),ISNUMBER(R34)),IF(R31&gt;R34,1,IF(R31=R34,0.5,0)),0.5)</f>
        <v/>
      </c>
      <c r="AI31">
        <f>IF(AND(ISNUMBER(R31),ISNUMBER(R35)),IF(R31&gt;R35,1,IF(R31=R35,0.5,0)),0.5)</f>
        <v/>
      </c>
      <c r="AJ31">
        <f>IF(AND(ISNUMBER(R31),ISNUMBER(R36)),IF(R31&gt;R36,1,IF(R31=R36,0.5,0)),0.5)</f>
        <v/>
      </c>
      <c r="AK31">
        <f>IF(AND(ISNUMBER(R31),ISNUMBER(R37)),IF(R31&gt;R37,1,IF(R31=R37,0.5,0)),0.5)</f>
        <v/>
      </c>
      <c r="AL31">
        <f>IF(AND(ISNUMBER(S31),ISNUMBER(S32)),IF(S31&gt;S32,1,IF(S31=S32,0.5,0)),0.5)</f>
        <v/>
      </c>
      <c r="AM31">
        <f>IF(AND(ISNUMBER(S31),ISNUMBER(S33)),IF(S31&gt;S33,1,IF(S31=S33,0.5,0)),0.5)</f>
        <v/>
      </c>
      <c r="AN31">
        <f>IF(AND(ISNUMBER(S31),ISNUMBER(S34)),IF(S31&gt;S34,1,IF(S31=S34,0.5,0)),0.5)</f>
        <v/>
      </c>
      <c r="AO31">
        <f>IF(AND(ISNUMBER(S31),ISNUMBER(S35)),IF(S31&gt;S35,1,IF(S31=S35,0.5,0)),0.5)</f>
        <v/>
      </c>
      <c r="AP31">
        <f>IF(AND(ISNUMBER(S31),ISNUMBER(S36)),IF(S31&gt;S36,1,IF(S31=S36,0.5,0)),0.5)</f>
        <v/>
      </c>
      <c r="AQ31">
        <f>IF(AND(ISNUMBER(S31),ISNUMBER(S37)),IF(S31&gt;S37,1,IF(S31=S37,0.5,0)),0.5)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4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5">
        <f>IFERROR(AVERAGE(T32:Y32),"")</f>
        <v/>
      </c>
      <c r="M32" s="4">
        <f>IFERROR(AVERAGE(Z32:AE32),"")</f>
        <v/>
      </c>
      <c r="N32" s="5">
        <f>P32/6</f>
        <v/>
      </c>
      <c r="O32" s="5">
        <f>Q32/6</f>
        <v/>
      </c>
      <c r="P32" s="4">
        <f>IFERROR(SUM(AF32:AK32),"")</f>
        <v/>
      </c>
      <c r="Q32" s="4">
        <f>IFERROR(SUM(AL32:AQ32),"")</f>
        <v/>
      </c>
      <c r="R32" s="16">
        <f>IF(ISNUMBER(J32),J32,IF(ISNUMBER(K32),-K32,""))</f>
        <v/>
      </c>
      <c r="S32">
        <f>IF(ISNUMBER(K32),K32,IF(ISNUMBER(J32),-J32,""))</f>
        <v/>
      </c>
      <c r="T32">
        <f>IF(AND(ISNUMBER(R32),ISNUMBER(R31)),VLOOKUP(ABS(R32-R31),'IMP Table'!$A$2:$C$26,3)*SIGN(R32-R31),"")</f>
        <v/>
      </c>
      <c r="U32">
        <f>IF(AND(ISNUMBER(R32),ISNUMBER(R33)),VLOOKUP(ABS(R32-R33),'IMP Table'!$A$2:$C$26,3)*SIGN(R32-R33),"")</f>
        <v/>
      </c>
      <c r="V32">
        <f>IF(AND(ISNUMBER(R32),ISNUMBER(R34)),VLOOKUP(ABS(R32-R34),'IMP Table'!$A$2:$C$26,3)*SIGN(R32-R34),"")</f>
        <v/>
      </c>
      <c r="W32">
        <f>IF(AND(ISNUMBER(R32),ISNUMBER(R35)),VLOOKUP(ABS(R32-R35),'IMP Table'!$A$2:$C$26,3)*SIGN(R32-R35),"")</f>
        <v/>
      </c>
      <c r="X32">
        <f>IF(AND(ISNUMBER(R32),ISNUMBER(R36)),VLOOKUP(ABS(R32-R36),'IMP Table'!$A$2:$C$26,3)*SIGN(R32-R36),"")</f>
        <v/>
      </c>
      <c r="Y32">
        <f>IF(AND(ISNUMBER(R32),ISNUMBER(R37)),VLOOKUP(ABS(R32-R37),'IMP Table'!$A$2:$C$26,3)*SIGN(R32-R37),"")</f>
        <v/>
      </c>
      <c r="Z32">
        <f>IF(AND(ISNUMBER(S32),ISNUMBER(S31)),VLOOKUP(ABS(S32-S31),'IMP Table'!$A$2:$C$26,3)*SIGN(S32-S31),"")</f>
        <v/>
      </c>
      <c r="AA32">
        <f>IF(AND(ISNUMBER(S32),ISNUMBER(S33)),VLOOKUP(ABS(S32-S33),'IMP Table'!$A$2:$C$26,3)*SIGN(S32-S33),"")</f>
        <v/>
      </c>
      <c r="AB32">
        <f>IF(AND(ISNUMBER(S32),ISNUMBER(S34)),VLOOKUP(ABS(S32-S34),'IMP Table'!$A$2:$C$26,3)*SIGN(S32-S34),"")</f>
        <v/>
      </c>
      <c r="AC32">
        <f>IF(AND(ISNUMBER(S32),ISNUMBER(S35)),VLOOKUP(ABS(S32-S35),'IMP Table'!$A$2:$C$26,3)*SIGN(S32-S35),"")</f>
        <v/>
      </c>
      <c r="AD32">
        <f>IF(AND(ISNUMBER(S32),ISNUMBER(S36)),VLOOKUP(ABS(S32-S36),'IMP Table'!$A$2:$C$26,3)*SIGN(S32-S36),"")</f>
        <v/>
      </c>
      <c r="AE32">
        <f>IF(AND(ISNUMBER(S32),ISNUMBER(S37)),VLOOKUP(ABS(S32-S37),'IMP Table'!$A$2:$C$26,3)*SIGN(S32-S37),"")</f>
        <v/>
      </c>
      <c r="AF32">
        <f>IF(AND(ISNUMBER(R32),ISNUMBER(R31)),IF(R32&gt;R31,1,IF(R32=R31,0.5,0)),0.5)</f>
        <v/>
      </c>
      <c r="AG32">
        <f>IF(AND(ISNUMBER(R32),ISNUMBER(R33)),IF(R32&gt;R33,1,IF(R32=R33,0.5,0)),0.5)</f>
        <v/>
      </c>
      <c r="AH32">
        <f>IF(AND(ISNUMBER(R32),ISNUMBER(R34)),IF(R32&gt;R34,1,IF(R32=R34,0.5,0)),0.5)</f>
        <v/>
      </c>
      <c r="AI32">
        <f>IF(AND(ISNUMBER(R32),ISNUMBER(R35)),IF(R32&gt;R35,1,IF(R32=R35,0.5,0)),0.5)</f>
        <v/>
      </c>
      <c r="AJ32">
        <f>IF(AND(ISNUMBER(R32),ISNUMBER(R36)),IF(R32&gt;R36,1,IF(R32=R36,0.5,0)),0.5)</f>
        <v/>
      </c>
      <c r="AK32">
        <f>IF(AND(ISNUMBER(R32),ISNUMBER(R37)),IF(R32&gt;R37,1,IF(R32=R37,0.5,0)),0.5)</f>
        <v/>
      </c>
      <c r="AL32">
        <f>IF(AND(ISNUMBER(S32),ISNUMBER(S31)),IF(S32&gt;S31,1,IF(S32=S31,0.5,0)),0.5)</f>
        <v/>
      </c>
      <c r="AM32">
        <f>IF(AND(ISNUMBER(S32),ISNUMBER(S33)),IF(S32&gt;S33,1,IF(S32=S33,0.5,0)),0.5)</f>
        <v/>
      </c>
      <c r="AN32">
        <f>IF(AND(ISNUMBER(S32),ISNUMBER(S34)),IF(S32&gt;S34,1,IF(S32=S34,0.5,0)),0.5)</f>
        <v/>
      </c>
      <c r="AO32">
        <f>IF(AND(ISNUMBER(S32),ISNUMBER(S35)),IF(S32&gt;S35,1,IF(S32=S35,0.5,0)),0.5)</f>
        <v/>
      </c>
      <c r="AP32">
        <f>IF(AND(ISNUMBER(S32),ISNUMBER(S36)),IF(S32&gt;S36,1,IF(S32=S36,0.5,0)),0.5)</f>
        <v/>
      </c>
      <c r="AQ32">
        <f>IF(AND(ISNUMBER(S32),ISNUMBER(S37)),IF(S32&gt;S37,1,IF(S32=S37,0.5,0)),0.5)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4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5">
        <f>IFERROR(AVERAGE(T33:Y33),"")</f>
        <v/>
      </c>
      <c r="M33" s="4">
        <f>IFERROR(AVERAGE(Z33:AE33),"")</f>
        <v/>
      </c>
      <c r="N33" s="5">
        <f>P33/6</f>
        <v/>
      </c>
      <c r="O33" s="5">
        <f>Q33/6</f>
        <v/>
      </c>
      <c r="P33" s="4">
        <f>IFERROR(SUM(AF33:AK33),"")</f>
        <v/>
      </c>
      <c r="Q33" s="4">
        <f>IFERROR(SUM(AL33:AQ33),"")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IF(AND(ISNUMBER(R33),ISNUMBER(R31)),VLOOKUP(ABS(R33-R31),'IMP Table'!$A$2:$C$26,3)*SIGN(R33-R31),"")</f>
        <v/>
      </c>
      <c r="U33">
        <f>IF(AND(ISNUMBER(R33),ISNUMBER(R32)),VLOOKUP(ABS(R33-R32),'IMP Table'!$A$2:$C$26,3)*SIGN(R33-R32),"")</f>
        <v/>
      </c>
      <c r="V33">
        <f>IF(AND(ISNUMBER(R33),ISNUMBER(R34)),VLOOKUP(ABS(R33-R34),'IMP Table'!$A$2:$C$26,3)*SIGN(R33-R34),"")</f>
        <v/>
      </c>
      <c r="W33">
        <f>IF(AND(ISNUMBER(R33),ISNUMBER(R35)),VLOOKUP(ABS(R33-R35),'IMP Table'!$A$2:$C$26,3)*SIGN(R33-R35),"")</f>
        <v/>
      </c>
      <c r="X33">
        <f>IF(AND(ISNUMBER(R33),ISNUMBER(R36)),VLOOKUP(ABS(R33-R36),'IMP Table'!$A$2:$C$26,3)*SIGN(R33-R36),"")</f>
        <v/>
      </c>
      <c r="Y33">
        <f>IF(AND(ISNUMBER(R33),ISNUMBER(R37)),VLOOKUP(ABS(R33-R37),'IMP Table'!$A$2:$C$26,3)*SIGN(R33-R37),"")</f>
        <v/>
      </c>
      <c r="Z33">
        <f>IF(AND(ISNUMBER(S33),ISNUMBER(S31)),VLOOKUP(ABS(S33-S31),'IMP Table'!$A$2:$C$26,3)*SIGN(S33-S31),"")</f>
        <v/>
      </c>
      <c r="AA33">
        <f>IF(AND(ISNUMBER(S33),ISNUMBER(S32)),VLOOKUP(ABS(S33-S32),'IMP Table'!$A$2:$C$26,3)*SIGN(S33-S32),"")</f>
        <v/>
      </c>
      <c r="AB33">
        <f>IF(AND(ISNUMBER(S33),ISNUMBER(S34)),VLOOKUP(ABS(S33-S34),'IMP Table'!$A$2:$C$26,3)*SIGN(S33-S34),"")</f>
        <v/>
      </c>
      <c r="AC33">
        <f>IF(AND(ISNUMBER(S33),ISNUMBER(S35)),VLOOKUP(ABS(S33-S35),'IMP Table'!$A$2:$C$26,3)*SIGN(S33-S35),"")</f>
        <v/>
      </c>
      <c r="AD33">
        <f>IF(AND(ISNUMBER(S33),ISNUMBER(S36)),VLOOKUP(ABS(S33-S36),'IMP Table'!$A$2:$C$26,3)*SIGN(S33-S36),"")</f>
        <v/>
      </c>
      <c r="AE33">
        <f>IF(AND(ISNUMBER(S33),ISNUMBER(S37)),VLOOKUP(ABS(S33-S37),'IMP Table'!$A$2:$C$26,3)*SIGN(S33-S37),"")</f>
        <v/>
      </c>
      <c r="AF33">
        <f>IF(AND(ISNUMBER(R33),ISNUMBER(R31)),IF(R33&gt;R31,1,IF(R33=R31,0.5,0)),0.5)</f>
        <v/>
      </c>
      <c r="AG33">
        <f>IF(AND(ISNUMBER(R33),ISNUMBER(R32)),IF(R33&gt;R32,1,IF(R33=R32,0.5,0)),0.5)</f>
        <v/>
      </c>
      <c r="AH33">
        <f>IF(AND(ISNUMBER(R33),ISNUMBER(R34)),IF(R33&gt;R34,1,IF(R33=R34,0.5,0)),0.5)</f>
        <v/>
      </c>
      <c r="AI33">
        <f>IF(AND(ISNUMBER(R33),ISNUMBER(R35)),IF(R33&gt;R35,1,IF(R33=R35,0.5,0)),0.5)</f>
        <v/>
      </c>
      <c r="AJ33">
        <f>IF(AND(ISNUMBER(R33),ISNUMBER(R36)),IF(R33&gt;R36,1,IF(R33=R36,0.5,0)),0.5)</f>
        <v/>
      </c>
      <c r="AK33">
        <f>IF(AND(ISNUMBER(R33),ISNUMBER(R37)),IF(R33&gt;R37,1,IF(R33=R37,0.5,0)),0.5)</f>
        <v/>
      </c>
      <c r="AL33">
        <f>IF(AND(ISNUMBER(S33),ISNUMBER(S31)),IF(S33&gt;S31,1,IF(S33=S31,0.5,0)),0.5)</f>
        <v/>
      </c>
      <c r="AM33">
        <f>IF(AND(ISNUMBER(S33),ISNUMBER(S32)),IF(S33&gt;S32,1,IF(S33=S32,0.5,0)),0.5)</f>
        <v/>
      </c>
      <c r="AN33">
        <f>IF(AND(ISNUMBER(S33),ISNUMBER(S34)),IF(S33&gt;S34,1,IF(S33=S34,0.5,0)),0.5)</f>
        <v/>
      </c>
      <c r="AO33">
        <f>IF(AND(ISNUMBER(S33),ISNUMBER(S35)),IF(S33&gt;S35,1,IF(S33=S35,0.5,0)),0.5)</f>
        <v/>
      </c>
      <c r="AP33">
        <f>IF(AND(ISNUMBER(S33),ISNUMBER(S36)),IF(S33&gt;S36,1,IF(S33=S36,0.5,0)),0.5)</f>
        <v/>
      </c>
      <c r="AQ33">
        <f>IF(AND(ISNUMBER(S33),ISNUMBER(S37)),IF(S33&gt;S37,1,IF(S33=S37,0.5,0)),0.5)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4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5">
        <f>IFERROR(AVERAGE(T34:Y34),"")</f>
        <v/>
      </c>
      <c r="M34" s="4">
        <f>IFERROR(AVERAGE(Z34:AE34),"")</f>
        <v/>
      </c>
      <c r="N34" s="5">
        <f>P34/6</f>
        <v/>
      </c>
      <c r="O34" s="5">
        <f>Q34/6</f>
        <v/>
      </c>
      <c r="P34" s="4">
        <f>IFERROR(SUM(AF34:AK34),"")</f>
        <v/>
      </c>
      <c r="Q34" s="4">
        <f>IFERROR(SUM(AL34:AQ34),"")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IF(AND(ISNUMBER(R34),ISNUMBER(R31)),VLOOKUP(ABS(R34-R31),'IMP Table'!$A$2:$C$26,3)*SIGN(R34-R31),"")</f>
        <v/>
      </c>
      <c r="U34">
        <f>IF(AND(ISNUMBER(R34),ISNUMBER(R32)),VLOOKUP(ABS(R34-R32),'IMP Table'!$A$2:$C$26,3)*SIGN(R34-R32),"")</f>
        <v/>
      </c>
      <c r="V34">
        <f>IF(AND(ISNUMBER(R34),ISNUMBER(R33)),VLOOKUP(ABS(R34-R33),'IMP Table'!$A$2:$C$26,3)*SIGN(R34-R33),"")</f>
        <v/>
      </c>
      <c r="W34">
        <f>IF(AND(ISNUMBER(R34),ISNUMBER(R35)),VLOOKUP(ABS(R34-R35),'IMP Table'!$A$2:$C$26,3)*SIGN(R34-R35),"")</f>
        <v/>
      </c>
      <c r="X34">
        <f>IF(AND(ISNUMBER(R34),ISNUMBER(R36)),VLOOKUP(ABS(R34-R36),'IMP Table'!$A$2:$C$26,3)*SIGN(R34-R36),"")</f>
        <v/>
      </c>
      <c r="Y34">
        <f>IF(AND(ISNUMBER(R34),ISNUMBER(R37)),VLOOKUP(ABS(R34-R37),'IMP Table'!$A$2:$C$26,3)*SIGN(R34-R37),"")</f>
        <v/>
      </c>
      <c r="Z34">
        <f>IF(AND(ISNUMBER(S34),ISNUMBER(S31)),VLOOKUP(ABS(S34-S31),'IMP Table'!$A$2:$C$26,3)*SIGN(S34-S31),"")</f>
        <v/>
      </c>
      <c r="AA34">
        <f>IF(AND(ISNUMBER(S34),ISNUMBER(S32)),VLOOKUP(ABS(S34-S32),'IMP Table'!$A$2:$C$26,3)*SIGN(S34-S32),"")</f>
        <v/>
      </c>
      <c r="AB34">
        <f>IF(AND(ISNUMBER(S34),ISNUMBER(S33)),VLOOKUP(ABS(S34-S33),'IMP Table'!$A$2:$C$26,3)*SIGN(S34-S33),"")</f>
        <v/>
      </c>
      <c r="AC34">
        <f>IF(AND(ISNUMBER(S34),ISNUMBER(S35)),VLOOKUP(ABS(S34-S35),'IMP Table'!$A$2:$C$26,3)*SIGN(S34-S35),"")</f>
        <v/>
      </c>
      <c r="AD34">
        <f>IF(AND(ISNUMBER(S34),ISNUMBER(S36)),VLOOKUP(ABS(S34-S36),'IMP Table'!$A$2:$C$26,3)*SIGN(S34-S36),"")</f>
        <v/>
      </c>
      <c r="AE34">
        <f>IF(AND(ISNUMBER(S34),ISNUMBER(S37)),VLOOKUP(ABS(S34-S37),'IMP Table'!$A$2:$C$26,3)*SIGN(S34-S37),"")</f>
        <v/>
      </c>
      <c r="AF34">
        <f>IF(AND(ISNUMBER(R34),ISNUMBER(R31)),IF(R34&gt;R31,1,IF(R34=R31,0.5,0)),0.5)</f>
        <v/>
      </c>
      <c r="AG34">
        <f>IF(AND(ISNUMBER(R34),ISNUMBER(R32)),IF(R34&gt;R32,1,IF(R34=R32,0.5,0)),0.5)</f>
        <v/>
      </c>
      <c r="AH34">
        <f>IF(AND(ISNUMBER(R34),ISNUMBER(R33)),IF(R34&gt;R33,1,IF(R34=R33,0.5,0)),0.5)</f>
        <v/>
      </c>
      <c r="AI34">
        <f>IF(AND(ISNUMBER(R34),ISNUMBER(R35)),IF(R34&gt;R35,1,IF(R34=R35,0.5,0)),0.5)</f>
        <v/>
      </c>
      <c r="AJ34">
        <f>IF(AND(ISNUMBER(R34),ISNUMBER(R36)),IF(R34&gt;R36,1,IF(R34=R36,0.5,0)),0.5)</f>
        <v/>
      </c>
      <c r="AK34">
        <f>IF(AND(ISNUMBER(R34),ISNUMBER(R37)),IF(R34&gt;R37,1,IF(R34=R37,0.5,0)),0.5)</f>
        <v/>
      </c>
      <c r="AL34">
        <f>IF(AND(ISNUMBER(S34),ISNUMBER(S31)),IF(S34&gt;S31,1,IF(S34=S31,0.5,0)),0.5)</f>
        <v/>
      </c>
      <c r="AM34">
        <f>IF(AND(ISNUMBER(S34),ISNUMBER(S32)),IF(S34&gt;S32,1,IF(S34=S32,0.5,0)),0.5)</f>
        <v/>
      </c>
      <c r="AN34">
        <f>IF(AND(ISNUMBER(S34),ISNUMBER(S33)),IF(S34&gt;S33,1,IF(S34=S33,0.5,0)),0.5)</f>
        <v/>
      </c>
      <c r="AO34">
        <f>IF(AND(ISNUMBER(S34),ISNUMBER(S35)),IF(S34&gt;S35,1,IF(S34=S35,0.5,0)),0.5)</f>
        <v/>
      </c>
      <c r="AP34">
        <f>IF(AND(ISNUMBER(S34),ISNUMBER(S36)),IF(S34&gt;S36,1,IF(S34=S36,0.5,0)),0.5)</f>
        <v/>
      </c>
      <c r="AQ34">
        <f>IF(AND(ISNUMBER(S34),ISNUMBER(S37)),IF(S34&gt;S37,1,IF(S34=S37,0.5,0)),0.5)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4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5">
        <f>IFERROR(AVERAGE(T35:Y35),"")</f>
        <v/>
      </c>
      <c r="M35" s="4">
        <f>IFERROR(AVERAGE(Z35:AE35),"")</f>
        <v/>
      </c>
      <c r="N35" s="5">
        <f>P35/6</f>
        <v/>
      </c>
      <c r="O35" s="5">
        <f>Q35/6</f>
        <v/>
      </c>
      <c r="P35" s="4">
        <f>IFERROR(SUM(AF35:AK35),"")</f>
        <v/>
      </c>
      <c r="Q35" s="4">
        <f>IFERROR(SUM(AL35:AQ35),"")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IF(AND(ISNUMBER(R35),ISNUMBER(R31)),VLOOKUP(ABS(R35-R31),'IMP Table'!$A$2:$C$26,3)*SIGN(R35-R31),"")</f>
        <v/>
      </c>
      <c r="U35">
        <f>IF(AND(ISNUMBER(R35),ISNUMBER(R32)),VLOOKUP(ABS(R35-R32),'IMP Table'!$A$2:$C$26,3)*SIGN(R35-R32),"")</f>
        <v/>
      </c>
      <c r="V35">
        <f>IF(AND(ISNUMBER(R35),ISNUMBER(R33)),VLOOKUP(ABS(R35-R33),'IMP Table'!$A$2:$C$26,3)*SIGN(R35-R33),"")</f>
        <v/>
      </c>
      <c r="W35">
        <f>IF(AND(ISNUMBER(R35),ISNUMBER(R34)),VLOOKUP(ABS(R35-R34),'IMP Table'!$A$2:$C$26,3)*SIGN(R35-R34),"")</f>
        <v/>
      </c>
      <c r="X35">
        <f>IF(AND(ISNUMBER(R35),ISNUMBER(R36)),VLOOKUP(ABS(R35-R36),'IMP Table'!$A$2:$C$26,3)*SIGN(R35-R36),"")</f>
        <v/>
      </c>
      <c r="Y35">
        <f>IF(AND(ISNUMBER(R35),ISNUMBER(R37)),VLOOKUP(ABS(R35-R37),'IMP Table'!$A$2:$C$26,3)*SIGN(R35-R37),"")</f>
        <v/>
      </c>
      <c r="Z35">
        <f>IF(AND(ISNUMBER(S35),ISNUMBER(S31)),VLOOKUP(ABS(S35-S31),'IMP Table'!$A$2:$C$26,3)*SIGN(S35-S31),"")</f>
        <v/>
      </c>
      <c r="AA35">
        <f>IF(AND(ISNUMBER(S35),ISNUMBER(S32)),VLOOKUP(ABS(S35-S32),'IMP Table'!$A$2:$C$26,3)*SIGN(S35-S32),"")</f>
        <v/>
      </c>
      <c r="AB35">
        <f>IF(AND(ISNUMBER(S35),ISNUMBER(S33)),VLOOKUP(ABS(S35-S33),'IMP Table'!$A$2:$C$26,3)*SIGN(S35-S33),"")</f>
        <v/>
      </c>
      <c r="AC35">
        <f>IF(AND(ISNUMBER(S35),ISNUMBER(S34)),VLOOKUP(ABS(S35-S34),'IMP Table'!$A$2:$C$26,3)*SIGN(S35-S34),"")</f>
        <v/>
      </c>
      <c r="AD35">
        <f>IF(AND(ISNUMBER(S35),ISNUMBER(S36)),VLOOKUP(ABS(S35-S36),'IMP Table'!$A$2:$C$26,3)*SIGN(S35-S36),"")</f>
        <v/>
      </c>
      <c r="AE35">
        <f>IF(AND(ISNUMBER(S35),ISNUMBER(S37)),VLOOKUP(ABS(S35-S37),'IMP Table'!$A$2:$C$26,3)*SIGN(S35-S37),"")</f>
        <v/>
      </c>
      <c r="AF35">
        <f>IF(AND(ISNUMBER(R35),ISNUMBER(R31)),IF(R35&gt;R31,1,IF(R35=R31,0.5,0)),0.5)</f>
        <v/>
      </c>
      <c r="AG35">
        <f>IF(AND(ISNUMBER(R35),ISNUMBER(R32)),IF(R35&gt;R32,1,IF(R35=R32,0.5,0)),0.5)</f>
        <v/>
      </c>
      <c r="AH35">
        <f>IF(AND(ISNUMBER(R35),ISNUMBER(R33)),IF(R35&gt;R33,1,IF(R35=R33,0.5,0)),0.5)</f>
        <v/>
      </c>
      <c r="AI35">
        <f>IF(AND(ISNUMBER(R35),ISNUMBER(R34)),IF(R35&gt;R34,1,IF(R35=R34,0.5,0)),0.5)</f>
        <v/>
      </c>
      <c r="AJ35">
        <f>IF(AND(ISNUMBER(R35),ISNUMBER(R36)),IF(R35&gt;R36,1,IF(R35=R36,0.5,0)),0.5)</f>
        <v/>
      </c>
      <c r="AK35">
        <f>IF(AND(ISNUMBER(R35),ISNUMBER(R37)),IF(R35&gt;R37,1,IF(R35=R37,0.5,0)),0.5)</f>
        <v/>
      </c>
      <c r="AL35">
        <f>IF(AND(ISNUMBER(S35),ISNUMBER(S31)),IF(S35&gt;S31,1,IF(S35=S31,0.5,0)),0.5)</f>
        <v/>
      </c>
      <c r="AM35">
        <f>IF(AND(ISNUMBER(S35),ISNUMBER(S32)),IF(S35&gt;S32,1,IF(S35=S32,0.5,0)),0.5)</f>
        <v/>
      </c>
      <c r="AN35">
        <f>IF(AND(ISNUMBER(S35),ISNUMBER(S33)),IF(S35&gt;S33,1,IF(S35=S33,0.5,0)),0.5)</f>
        <v/>
      </c>
      <c r="AO35">
        <f>IF(AND(ISNUMBER(S35),ISNUMBER(S34)),IF(S35&gt;S34,1,IF(S35=S34,0.5,0)),0.5)</f>
        <v/>
      </c>
      <c r="AP35">
        <f>IF(AND(ISNUMBER(S35),ISNUMBER(S36)),IF(S35&gt;S36,1,IF(S35=S36,0.5,0)),0.5)</f>
        <v/>
      </c>
      <c r="AQ35">
        <f>IF(AND(ISNUMBER(S35),ISNUMBER(S37)),IF(S35&gt;S37,1,IF(S35=S37,0.5,0)),0.5)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4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5">
        <f>IFERROR(AVERAGE(T36:Y36),"")</f>
        <v/>
      </c>
      <c r="M36" s="4">
        <f>IFERROR(AVERAGE(Z36:AE36),"")</f>
        <v/>
      </c>
      <c r="N36" s="5">
        <f>P36/6</f>
        <v/>
      </c>
      <c r="O36" s="5">
        <f>Q36/6</f>
        <v/>
      </c>
      <c r="P36" s="4">
        <f>IFERROR(SUM(AF36:AK36),"")</f>
        <v/>
      </c>
      <c r="Q36" s="4">
        <f>IFERROR(SUM(AL36:AQ36),"")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IF(AND(ISNUMBER(R36),ISNUMBER(R31)),VLOOKUP(ABS(R36-R31),'IMP Table'!$A$2:$C$26,3)*SIGN(R36-R31),"")</f>
        <v/>
      </c>
      <c r="U36">
        <f>IF(AND(ISNUMBER(R36),ISNUMBER(R32)),VLOOKUP(ABS(R36-R32),'IMP Table'!$A$2:$C$26,3)*SIGN(R36-R32),"")</f>
        <v/>
      </c>
      <c r="V36">
        <f>IF(AND(ISNUMBER(R36),ISNUMBER(R33)),VLOOKUP(ABS(R36-R33),'IMP Table'!$A$2:$C$26,3)*SIGN(R36-R33),"")</f>
        <v/>
      </c>
      <c r="W36">
        <f>IF(AND(ISNUMBER(R36),ISNUMBER(R34)),VLOOKUP(ABS(R36-R34),'IMP Table'!$A$2:$C$26,3)*SIGN(R36-R34),"")</f>
        <v/>
      </c>
      <c r="X36">
        <f>IF(AND(ISNUMBER(R36),ISNUMBER(R35)),VLOOKUP(ABS(R36-R35),'IMP Table'!$A$2:$C$26,3)*SIGN(R36-R35),"")</f>
        <v/>
      </c>
      <c r="Y36">
        <f>IF(AND(ISNUMBER(R36),ISNUMBER(R37)),VLOOKUP(ABS(R36-R37),'IMP Table'!$A$2:$C$26,3)*SIGN(R36-R37),"")</f>
        <v/>
      </c>
      <c r="Z36">
        <f>IF(AND(ISNUMBER(S36),ISNUMBER(S31)),VLOOKUP(ABS(S36-S31),'IMP Table'!$A$2:$C$26,3)*SIGN(S36-S31),"")</f>
        <v/>
      </c>
      <c r="AA36">
        <f>IF(AND(ISNUMBER(S36),ISNUMBER(S32)),VLOOKUP(ABS(S36-S32),'IMP Table'!$A$2:$C$26,3)*SIGN(S36-S32),"")</f>
        <v/>
      </c>
      <c r="AB36">
        <f>IF(AND(ISNUMBER(S36),ISNUMBER(S33)),VLOOKUP(ABS(S36-S33),'IMP Table'!$A$2:$C$26,3)*SIGN(S36-S33),"")</f>
        <v/>
      </c>
      <c r="AC36">
        <f>IF(AND(ISNUMBER(S36),ISNUMBER(S34)),VLOOKUP(ABS(S36-S34),'IMP Table'!$A$2:$C$26,3)*SIGN(S36-S34),"")</f>
        <v/>
      </c>
      <c r="AD36">
        <f>IF(AND(ISNUMBER(S36),ISNUMBER(S35)),VLOOKUP(ABS(S36-S35),'IMP Table'!$A$2:$C$26,3)*SIGN(S36-S35),"")</f>
        <v/>
      </c>
      <c r="AE36">
        <f>IF(AND(ISNUMBER(S36),ISNUMBER(S37)),VLOOKUP(ABS(S36-S37),'IMP Table'!$A$2:$C$26,3)*SIGN(S36-S37),"")</f>
        <v/>
      </c>
      <c r="AF36">
        <f>IF(AND(ISNUMBER(R36),ISNUMBER(R31)),IF(R36&gt;R31,1,IF(R36=R31,0.5,0)),0.5)</f>
        <v/>
      </c>
      <c r="AG36">
        <f>IF(AND(ISNUMBER(R36),ISNUMBER(R32)),IF(R36&gt;R32,1,IF(R36=R32,0.5,0)),0.5)</f>
        <v/>
      </c>
      <c r="AH36">
        <f>IF(AND(ISNUMBER(R36),ISNUMBER(R33)),IF(R36&gt;R33,1,IF(R36=R33,0.5,0)),0.5)</f>
        <v/>
      </c>
      <c r="AI36">
        <f>IF(AND(ISNUMBER(R36),ISNUMBER(R34)),IF(R36&gt;R34,1,IF(R36=R34,0.5,0)),0.5)</f>
        <v/>
      </c>
      <c r="AJ36">
        <f>IF(AND(ISNUMBER(R36),ISNUMBER(R35)),IF(R36&gt;R35,1,IF(R36=R35,0.5,0)),0.5)</f>
        <v/>
      </c>
      <c r="AK36">
        <f>IF(AND(ISNUMBER(R36),ISNUMBER(R37)),IF(R36&gt;R37,1,IF(R36=R37,0.5,0)),0.5)</f>
        <v/>
      </c>
      <c r="AL36">
        <f>IF(AND(ISNUMBER(S36),ISNUMBER(S31)),IF(S36&gt;S31,1,IF(S36=S31,0.5,0)),0.5)</f>
        <v/>
      </c>
      <c r="AM36">
        <f>IF(AND(ISNUMBER(S36),ISNUMBER(S32)),IF(S36&gt;S32,1,IF(S36=S32,0.5,0)),0.5)</f>
        <v/>
      </c>
      <c r="AN36">
        <f>IF(AND(ISNUMBER(S36),ISNUMBER(S33)),IF(S36&gt;S33,1,IF(S36=S33,0.5,0)),0.5)</f>
        <v/>
      </c>
      <c r="AO36">
        <f>IF(AND(ISNUMBER(S36),ISNUMBER(S34)),IF(S36&gt;S34,1,IF(S36=S34,0.5,0)),0.5)</f>
        <v/>
      </c>
      <c r="AP36">
        <f>IF(AND(ISNUMBER(S36),ISNUMBER(S35)),IF(S36&gt;S35,1,IF(S36=S35,0.5,0)),0.5)</f>
        <v/>
      </c>
      <c r="AQ36">
        <f>IF(AND(ISNUMBER(S36),ISNUMBER(S37)),IF(S36&gt;S37,1,IF(S36=S37,0.5,0)),0.5)</f>
        <v/>
      </c>
    </row>
    <row r="37">
      <c r="A37" s="13" t="n"/>
      <c r="B37" s="13">
        <f>'By Round'!A171</f>
        <v/>
      </c>
      <c r="C37" s="13">
        <f>'By Round'!B175</f>
        <v/>
      </c>
      <c r="D37" s="13">
        <f>'By Round'!C175</f>
        <v/>
      </c>
      <c r="E37" s="13">
        <f>'By Round'!D175</f>
        <v/>
      </c>
      <c r="F37" s="17" t="inlineStr">
        <is>
          <t>NS</t>
        </is>
      </c>
      <c r="G37" s="13">
        <f>IF(ISBLANK('By Round'!G175),"",'By Round'!G175)</f>
        <v/>
      </c>
      <c r="H37" s="13">
        <f>IF(ISBLANK('By Round'!H175),"",'By Round'!H175)</f>
        <v/>
      </c>
      <c r="I37" s="13">
        <f>IF(ISBLANK('By Round'!I175),"",'By Round'!I175)</f>
        <v/>
      </c>
      <c r="J37" s="13">
        <f>IF(ISBLANK('By Round'!J175),"",'By Round'!J175)</f>
        <v/>
      </c>
      <c r="K37" s="13">
        <f>IF(ISBLANK('By Round'!K175),"",'By Round'!K175)</f>
        <v/>
      </c>
      <c r="L37" s="18">
        <f>IFERROR(AVERAGE(T37:Y37),"")</f>
        <v/>
      </c>
      <c r="M37" s="19">
        <f>IFERROR(AVERAGE(Z37:AE37),"")</f>
        <v/>
      </c>
      <c r="N37" s="20">
        <f>P37/6</f>
        <v/>
      </c>
      <c r="O37" s="20">
        <f>Q37/6</f>
        <v/>
      </c>
      <c r="P37" s="19">
        <f>IFERROR(SUM(AF37:AK37),"")</f>
        <v/>
      </c>
      <c r="Q37" s="19">
        <f>IFERROR(SUM(AL37:AQ37),"")</f>
        <v/>
      </c>
      <c r="R37" s="21">
        <f>IF(ISNUMBER(J37),J37,IF(ISNUMBER(K37),-K37,""))</f>
        <v/>
      </c>
      <c r="S37" s="13">
        <f>IF(ISNUMBER(K37),K37,IF(ISNUMBER(J37),-J37,""))</f>
        <v/>
      </c>
      <c r="T37" s="13">
        <f>IF(AND(ISNUMBER(R37),ISNUMBER(R31)),VLOOKUP(ABS(R37-R31),'IMP Table'!$A$2:$C$26,3)*SIGN(R37-R31),"")</f>
        <v/>
      </c>
      <c r="U37" s="13">
        <f>IF(AND(ISNUMBER(R37),ISNUMBER(R32)),VLOOKUP(ABS(R37-R32),'IMP Table'!$A$2:$C$26,3)*SIGN(R37-R32),"")</f>
        <v/>
      </c>
      <c r="V37" s="13">
        <f>IF(AND(ISNUMBER(R37),ISNUMBER(R33)),VLOOKUP(ABS(R37-R33),'IMP Table'!$A$2:$C$26,3)*SIGN(R37-R33),"")</f>
        <v/>
      </c>
      <c r="W37" s="13">
        <f>IF(AND(ISNUMBER(R37),ISNUMBER(R34)),VLOOKUP(ABS(R37-R34),'IMP Table'!$A$2:$C$26,3)*SIGN(R37-R34),"")</f>
        <v/>
      </c>
      <c r="X37" s="13">
        <f>IF(AND(ISNUMBER(R37),ISNUMBER(R35)),VLOOKUP(ABS(R37-R35),'IMP Table'!$A$2:$C$26,3)*SIGN(R37-R35),"")</f>
        <v/>
      </c>
      <c r="Y37" s="13">
        <f>IF(AND(ISNUMBER(R37),ISNUMBER(R36)),VLOOKUP(ABS(R37-R36),'IMP Table'!$A$2:$C$26,3)*SIGN(R37-R36),"")</f>
        <v/>
      </c>
      <c r="Z37" s="13">
        <f>IF(AND(ISNUMBER(S37),ISNUMBER(S31)),VLOOKUP(ABS(S37-S31),'IMP Table'!$A$2:$C$26,3)*SIGN(S37-S31),"")</f>
        <v/>
      </c>
      <c r="AA37" s="13">
        <f>IF(AND(ISNUMBER(S37),ISNUMBER(S32)),VLOOKUP(ABS(S37-S32),'IMP Table'!$A$2:$C$26,3)*SIGN(S37-S32),"")</f>
        <v/>
      </c>
      <c r="AB37" s="13">
        <f>IF(AND(ISNUMBER(S37),ISNUMBER(S33)),VLOOKUP(ABS(S37-S33),'IMP Table'!$A$2:$C$26,3)*SIGN(S37-S33),"")</f>
        <v/>
      </c>
      <c r="AC37" s="13">
        <f>IF(AND(ISNUMBER(S37),ISNUMBER(S34)),VLOOKUP(ABS(S37-S34),'IMP Table'!$A$2:$C$26,3)*SIGN(S37-S34),"")</f>
        <v/>
      </c>
      <c r="AD37" s="13">
        <f>IF(AND(ISNUMBER(S37),ISNUMBER(S35)),VLOOKUP(ABS(S37-S35),'IMP Table'!$A$2:$C$26,3)*SIGN(S37-S35),"")</f>
        <v/>
      </c>
      <c r="AE37" s="13">
        <f>IF(AND(ISNUMBER(S37),ISNUMBER(S36)),VLOOKUP(ABS(S37-S36),'IMP Table'!$A$2:$C$26,3)*SIGN(S37-S36),"")</f>
        <v/>
      </c>
      <c r="AF37" s="13">
        <f>IF(AND(ISNUMBER(R37),ISNUMBER(R31)),IF(R37&gt;R31,1,IF(R37=R31,0.5,0)),0.5)</f>
        <v/>
      </c>
      <c r="AG37" s="13">
        <f>IF(AND(ISNUMBER(R37),ISNUMBER(R32)),IF(R37&gt;R32,1,IF(R37=R32,0.5,0)),0.5)</f>
        <v/>
      </c>
      <c r="AH37" s="13">
        <f>IF(AND(ISNUMBER(R37),ISNUMBER(R33)),IF(R37&gt;R33,1,IF(R37=R33,0.5,0)),0.5)</f>
        <v/>
      </c>
      <c r="AI37" s="13">
        <f>IF(AND(ISNUMBER(R37),ISNUMBER(R34)),IF(R37&gt;R34,1,IF(R37=R34,0.5,0)),0.5)</f>
        <v/>
      </c>
      <c r="AJ37" s="13">
        <f>IF(AND(ISNUMBER(R37),ISNUMBER(R35)),IF(R37&gt;R35,1,IF(R37=R35,0.5,0)),0.5)</f>
        <v/>
      </c>
      <c r="AK37" s="13">
        <f>IF(AND(ISNUMBER(R37),ISNUMBER(R36)),IF(R37&gt;R36,1,IF(R37=R36,0.5,0)),0.5)</f>
        <v/>
      </c>
      <c r="AL37" s="13">
        <f>IF(AND(ISNUMBER(S37),ISNUMBER(S31)),IF(S37&gt;S31,1,IF(S37=S31,0.5,0)),0.5)</f>
        <v/>
      </c>
      <c r="AM37" s="13">
        <f>IF(AND(ISNUMBER(S37),ISNUMBER(S32)),IF(S37&gt;S32,1,IF(S37=S32,0.5,0)),0.5)</f>
        <v/>
      </c>
      <c r="AN37" s="13">
        <f>IF(AND(ISNUMBER(S37),ISNUMBER(S33)),IF(S37&gt;S33,1,IF(S37=S33,0.5,0)),0.5)</f>
        <v/>
      </c>
      <c r="AO37" s="13">
        <f>IF(AND(ISNUMBER(S37),ISNUMBER(S34)),IF(S37&gt;S34,1,IF(S37=S34,0.5,0)),0.5)</f>
        <v/>
      </c>
      <c r="AP37" s="13">
        <f>IF(AND(ISNUMBER(S37),ISNUMBER(S35)),IF(S37&gt;S35,1,IF(S37=S35,0.5,0)),0.5)</f>
        <v/>
      </c>
      <c r="AQ37" s="13">
        <f>IF(AND(ISNUMBER(S37),ISNUMBER(S36)),IF(S37&gt;S36,1,IF(S37=S36,0.5,0)),0.5)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4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5">
        <f>IFERROR(AVERAGE(T38:Y38),"")</f>
        <v/>
      </c>
      <c r="M38" s="4">
        <f>IFERROR(AVERAGE(Z38:AE38),"")</f>
        <v/>
      </c>
      <c r="N38" s="5">
        <f>P38/6</f>
        <v/>
      </c>
      <c r="O38" s="5">
        <f>Q38/6</f>
        <v/>
      </c>
      <c r="P38" s="4">
        <f>IFERROR(SUM(AF38:AK38),"")</f>
        <v/>
      </c>
      <c r="Q38" s="4">
        <f>IFERROR(SUM(AL38:AQ38),"")</f>
        <v/>
      </c>
      <c r="R38" s="16">
        <f>IF(ISNUMBER(J38),J38,IF(ISNUMBER(K38),-K38,""))</f>
        <v/>
      </c>
      <c r="S38">
        <f>IF(ISNUMBER(K38),K38,IF(ISNUMBER(J38),-J38,""))</f>
        <v/>
      </c>
      <c r="T38">
        <f>IF(AND(ISNUMBER(R38),ISNUMBER(R39)),VLOOKUP(ABS(R38-R39),'IMP Table'!$A$2:$C$26,3)*SIGN(R38-R39),"")</f>
        <v/>
      </c>
      <c r="U38">
        <f>IF(AND(ISNUMBER(R38),ISNUMBER(R40)),VLOOKUP(ABS(R38-R40),'IMP Table'!$A$2:$C$26,3)*SIGN(R38-R40),"")</f>
        <v/>
      </c>
      <c r="V38">
        <f>IF(AND(ISNUMBER(R38),ISNUMBER(R41)),VLOOKUP(ABS(R38-R41),'IMP Table'!$A$2:$C$26,3)*SIGN(R38-R41),"")</f>
        <v/>
      </c>
      <c r="W38">
        <f>IF(AND(ISNUMBER(R38),ISNUMBER(R42)),VLOOKUP(ABS(R38-R42),'IMP Table'!$A$2:$C$26,3)*SIGN(R38-R42),"")</f>
        <v/>
      </c>
      <c r="X38">
        <f>IF(AND(ISNUMBER(R38),ISNUMBER(R43)),VLOOKUP(ABS(R38-R43),'IMP Table'!$A$2:$C$26,3)*SIGN(R38-R43),"")</f>
        <v/>
      </c>
      <c r="Y38">
        <f>IF(AND(ISNUMBER(R38),ISNUMBER(R44)),VLOOKUP(ABS(R38-R44),'IMP Table'!$A$2:$C$26,3)*SIGN(R38-R44),"")</f>
        <v/>
      </c>
      <c r="Z38">
        <f>IF(AND(ISNUMBER(S38),ISNUMBER(S39)),VLOOKUP(ABS(S38-S39),'IMP Table'!$A$2:$C$26,3)*SIGN(S38-S39),"")</f>
        <v/>
      </c>
      <c r="AA38">
        <f>IF(AND(ISNUMBER(S38),ISNUMBER(S40)),VLOOKUP(ABS(S38-S40),'IMP Table'!$A$2:$C$26,3)*SIGN(S38-S40),"")</f>
        <v/>
      </c>
      <c r="AB38">
        <f>IF(AND(ISNUMBER(S38),ISNUMBER(S41)),VLOOKUP(ABS(S38-S41),'IMP Table'!$A$2:$C$26,3)*SIGN(S38-S41),"")</f>
        <v/>
      </c>
      <c r="AC38">
        <f>IF(AND(ISNUMBER(S38),ISNUMBER(S42)),VLOOKUP(ABS(S38-S42),'IMP Table'!$A$2:$C$26,3)*SIGN(S38-S42),"")</f>
        <v/>
      </c>
      <c r="AD38">
        <f>IF(AND(ISNUMBER(S38),ISNUMBER(S43)),VLOOKUP(ABS(S38-S43),'IMP Table'!$A$2:$C$26,3)*SIGN(S38-S43),"")</f>
        <v/>
      </c>
      <c r="AE38">
        <f>IF(AND(ISNUMBER(S38),ISNUMBER(S44)),VLOOKUP(ABS(S38-S44),'IMP Table'!$A$2:$C$26,3)*SIGN(S38-S44),"")</f>
        <v/>
      </c>
      <c r="AF38">
        <f>IF(AND(ISNUMBER(R38),ISNUMBER(R39)),IF(R38&gt;R39,1,IF(R38=R39,0.5,0)),0.5)</f>
        <v/>
      </c>
      <c r="AG38">
        <f>IF(AND(ISNUMBER(R38),ISNUMBER(R40)),IF(R38&gt;R40,1,IF(R38=R40,0.5,0)),0.5)</f>
        <v/>
      </c>
      <c r="AH38">
        <f>IF(AND(ISNUMBER(R38),ISNUMBER(R41)),IF(R38&gt;R41,1,IF(R38=R41,0.5,0)),0.5)</f>
        <v/>
      </c>
      <c r="AI38">
        <f>IF(AND(ISNUMBER(R38),ISNUMBER(R42)),IF(R38&gt;R42,1,IF(R38=R42,0.5,0)),0.5)</f>
        <v/>
      </c>
      <c r="AJ38">
        <f>IF(AND(ISNUMBER(R38),ISNUMBER(R43)),IF(R38&gt;R43,1,IF(R38=R43,0.5,0)),0.5)</f>
        <v/>
      </c>
      <c r="AK38">
        <f>IF(AND(ISNUMBER(R38),ISNUMBER(R44)),IF(R38&gt;R44,1,IF(R38=R44,0.5,0)),0.5)</f>
        <v/>
      </c>
      <c r="AL38">
        <f>IF(AND(ISNUMBER(S38),ISNUMBER(S39)),IF(S38&gt;S39,1,IF(S38=S39,0.5,0)),0.5)</f>
        <v/>
      </c>
      <c r="AM38">
        <f>IF(AND(ISNUMBER(S38),ISNUMBER(S40)),IF(S38&gt;S40,1,IF(S38=S40,0.5,0)),0.5)</f>
        <v/>
      </c>
      <c r="AN38">
        <f>IF(AND(ISNUMBER(S38),ISNUMBER(S41)),IF(S38&gt;S41,1,IF(S38=S41,0.5,0)),0.5)</f>
        <v/>
      </c>
      <c r="AO38">
        <f>IF(AND(ISNUMBER(S38),ISNUMBER(S42)),IF(S38&gt;S42,1,IF(S38=S42,0.5,0)),0.5)</f>
        <v/>
      </c>
      <c r="AP38">
        <f>IF(AND(ISNUMBER(S38),ISNUMBER(S43)),IF(S38&gt;S43,1,IF(S38=S43,0.5,0)),0.5)</f>
        <v/>
      </c>
      <c r="AQ38">
        <f>IF(AND(ISNUMBER(S38),ISNUMBER(S44)),IF(S38&gt;S44,1,IF(S38=S44,0.5,0)),0.5)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4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5">
        <f>IFERROR(AVERAGE(T39:Y39),"")</f>
        <v/>
      </c>
      <c r="M39" s="4">
        <f>IFERROR(AVERAGE(Z39:AE39),"")</f>
        <v/>
      </c>
      <c r="N39" s="5">
        <f>P39/6</f>
        <v/>
      </c>
      <c r="O39" s="5">
        <f>Q39/6</f>
        <v/>
      </c>
      <c r="P39" s="4">
        <f>IFERROR(SUM(AF39:AK39),"")</f>
        <v/>
      </c>
      <c r="Q39" s="4">
        <f>IFERROR(SUM(AL39:AQ39),"")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IF(AND(ISNUMBER(R39),ISNUMBER(R38)),VLOOKUP(ABS(R39-R38),'IMP Table'!$A$2:$C$26,3)*SIGN(R39-R38),"")</f>
        <v/>
      </c>
      <c r="U39">
        <f>IF(AND(ISNUMBER(R39),ISNUMBER(R40)),VLOOKUP(ABS(R39-R40),'IMP Table'!$A$2:$C$26,3)*SIGN(R39-R40),"")</f>
        <v/>
      </c>
      <c r="V39">
        <f>IF(AND(ISNUMBER(R39),ISNUMBER(R41)),VLOOKUP(ABS(R39-R41),'IMP Table'!$A$2:$C$26,3)*SIGN(R39-R41),"")</f>
        <v/>
      </c>
      <c r="W39">
        <f>IF(AND(ISNUMBER(R39),ISNUMBER(R42)),VLOOKUP(ABS(R39-R42),'IMP Table'!$A$2:$C$26,3)*SIGN(R39-R42),"")</f>
        <v/>
      </c>
      <c r="X39">
        <f>IF(AND(ISNUMBER(R39),ISNUMBER(R43)),VLOOKUP(ABS(R39-R43),'IMP Table'!$A$2:$C$26,3)*SIGN(R39-R43),"")</f>
        <v/>
      </c>
      <c r="Y39">
        <f>IF(AND(ISNUMBER(R39),ISNUMBER(R44)),VLOOKUP(ABS(R39-R44),'IMP Table'!$A$2:$C$26,3)*SIGN(R39-R44),"")</f>
        <v/>
      </c>
      <c r="Z39">
        <f>IF(AND(ISNUMBER(S39),ISNUMBER(S38)),VLOOKUP(ABS(S39-S38),'IMP Table'!$A$2:$C$26,3)*SIGN(S39-S38),"")</f>
        <v/>
      </c>
      <c r="AA39">
        <f>IF(AND(ISNUMBER(S39),ISNUMBER(S40)),VLOOKUP(ABS(S39-S40),'IMP Table'!$A$2:$C$26,3)*SIGN(S39-S40),"")</f>
        <v/>
      </c>
      <c r="AB39">
        <f>IF(AND(ISNUMBER(S39),ISNUMBER(S41)),VLOOKUP(ABS(S39-S41),'IMP Table'!$A$2:$C$26,3)*SIGN(S39-S41),"")</f>
        <v/>
      </c>
      <c r="AC39">
        <f>IF(AND(ISNUMBER(S39),ISNUMBER(S42)),VLOOKUP(ABS(S39-S42),'IMP Table'!$A$2:$C$26,3)*SIGN(S39-S42),"")</f>
        <v/>
      </c>
      <c r="AD39">
        <f>IF(AND(ISNUMBER(S39),ISNUMBER(S43)),VLOOKUP(ABS(S39-S43),'IMP Table'!$A$2:$C$26,3)*SIGN(S39-S43),"")</f>
        <v/>
      </c>
      <c r="AE39">
        <f>IF(AND(ISNUMBER(S39),ISNUMBER(S44)),VLOOKUP(ABS(S39-S44),'IMP Table'!$A$2:$C$26,3)*SIGN(S39-S44),"")</f>
        <v/>
      </c>
      <c r="AF39">
        <f>IF(AND(ISNUMBER(R39),ISNUMBER(R38)),IF(R39&gt;R38,1,IF(R39=R38,0.5,0)),0.5)</f>
        <v/>
      </c>
      <c r="AG39">
        <f>IF(AND(ISNUMBER(R39),ISNUMBER(R40)),IF(R39&gt;R40,1,IF(R39=R40,0.5,0)),0.5)</f>
        <v/>
      </c>
      <c r="AH39">
        <f>IF(AND(ISNUMBER(R39),ISNUMBER(R41)),IF(R39&gt;R41,1,IF(R39=R41,0.5,0)),0.5)</f>
        <v/>
      </c>
      <c r="AI39">
        <f>IF(AND(ISNUMBER(R39),ISNUMBER(R42)),IF(R39&gt;R42,1,IF(R39=R42,0.5,0)),0.5)</f>
        <v/>
      </c>
      <c r="AJ39">
        <f>IF(AND(ISNUMBER(R39),ISNUMBER(R43)),IF(R39&gt;R43,1,IF(R39=R43,0.5,0)),0.5)</f>
        <v/>
      </c>
      <c r="AK39">
        <f>IF(AND(ISNUMBER(R39),ISNUMBER(R44)),IF(R39&gt;R44,1,IF(R39=R44,0.5,0)),0.5)</f>
        <v/>
      </c>
      <c r="AL39">
        <f>IF(AND(ISNUMBER(S39),ISNUMBER(S38)),IF(S39&gt;S38,1,IF(S39=S38,0.5,0)),0.5)</f>
        <v/>
      </c>
      <c r="AM39">
        <f>IF(AND(ISNUMBER(S39),ISNUMBER(S40)),IF(S39&gt;S40,1,IF(S39=S40,0.5,0)),0.5)</f>
        <v/>
      </c>
      <c r="AN39">
        <f>IF(AND(ISNUMBER(S39),ISNUMBER(S41)),IF(S39&gt;S41,1,IF(S39=S41,0.5,0)),0.5)</f>
        <v/>
      </c>
      <c r="AO39">
        <f>IF(AND(ISNUMBER(S39),ISNUMBER(S42)),IF(S39&gt;S42,1,IF(S39=S42,0.5,0)),0.5)</f>
        <v/>
      </c>
      <c r="AP39">
        <f>IF(AND(ISNUMBER(S39),ISNUMBER(S43)),IF(S39&gt;S43,1,IF(S39=S43,0.5,0)),0.5)</f>
        <v/>
      </c>
      <c r="AQ39">
        <f>IF(AND(ISNUMBER(S39),ISNUMBER(S44)),IF(S39&gt;S44,1,IF(S39=S44,0.5,0)),0.5)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4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5">
        <f>IFERROR(AVERAGE(T40:Y40),"")</f>
        <v/>
      </c>
      <c r="M40" s="4">
        <f>IFERROR(AVERAGE(Z40:AE40),"")</f>
        <v/>
      </c>
      <c r="N40" s="5">
        <f>P40/6</f>
        <v/>
      </c>
      <c r="O40" s="5">
        <f>Q40/6</f>
        <v/>
      </c>
      <c r="P40" s="4">
        <f>IFERROR(SUM(AF40:AK40),"")</f>
        <v/>
      </c>
      <c r="Q40" s="4">
        <f>IFERROR(SUM(AL40:AQ40),"")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IF(AND(ISNUMBER(R40),ISNUMBER(R38)),VLOOKUP(ABS(R40-R38),'IMP Table'!$A$2:$C$26,3)*SIGN(R40-R38),"")</f>
        <v/>
      </c>
      <c r="U40">
        <f>IF(AND(ISNUMBER(R40),ISNUMBER(R39)),VLOOKUP(ABS(R40-R39),'IMP Table'!$A$2:$C$26,3)*SIGN(R40-R39),"")</f>
        <v/>
      </c>
      <c r="V40">
        <f>IF(AND(ISNUMBER(R40),ISNUMBER(R41)),VLOOKUP(ABS(R40-R41),'IMP Table'!$A$2:$C$26,3)*SIGN(R40-R41),"")</f>
        <v/>
      </c>
      <c r="W40">
        <f>IF(AND(ISNUMBER(R40),ISNUMBER(R42)),VLOOKUP(ABS(R40-R42),'IMP Table'!$A$2:$C$26,3)*SIGN(R40-R42),"")</f>
        <v/>
      </c>
      <c r="X40">
        <f>IF(AND(ISNUMBER(R40),ISNUMBER(R43)),VLOOKUP(ABS(R40-R43),'IMP Table'!$A$2:$C$26,3)*SIGN(R40-R43),"")</f>
        <v/>
      </c>
      <c r="Y40">
        <f>IF(AND(ISNUMBER(R40),ISNUMBER(R44)),VLOOKUP(ABS(R40-R44),'IMP Table'!$A$2:$C$26,3)*SIGN(R40-R44),"")</f>
        <v/>
      </c>
      <c r="Z40">
        <f>IF(AND(ISNUMBER(S40),ISNUMBER(S38)),VLOOKUP(ABS(S40-S38),'IMP Table'!$A$2:$C$26,3)*SIGN(S40-S38),"")</f>
        <v/>
      </c>
      <c r="AA40">
        <f>IF(AND(ISNUMBER(S40),ISNUMBER(S39)),VLOOKUP(ABS(S40-S39),'IMP Table'!$A$2:$C$26,3)*SIGN(S40-S39),"")</f>
        <v/>
      </c>
      <c r="AB40">
        <f>IF(AND(ISNUMBER(S40),ISNUMBER(S41)),VLOOKUP(ABS(S40-S41),'IMP Table'!$A$2:$C$26,3)*SIGN(S40-S41),"")</f>
        <v/>
      </c>
      <c r="AC40">
        <f>IF(AND(ISNUMBER(S40),ISNUMBER(S42)),VLOOKUP(ABS(S40-S42),'IMP Table'!$A$2:$C$26,3)*SIGN(S40-S42),"")</f>
        <v/>
      </c>
      <c r="AD40">
        <f>IF(AND(ISNUMBER(S40),ISNUMBER(S43)),VLOOKUP(ABS(S40-S43),'IMP Table'!$A$2:$C$26,3)*SIGN(S40-S43),"")</f>
        <v/>
      </c>
      <c r="AE40">
        <f>IF(AND(ISNUMBER(S40),ISNUMBER(S44)),VLOOKUP(ABS(S40-S44),'IMP Table'!$A$2:$C$26,3)*SIGN(S40-S44),"")</f>
        <v/>
      </c>
      <c r="AF40">
        <f>IF(AND(ISNUMBER(R40),ISNUMBER(R38)),IF(R40&gt;R38,1,IF(R40=R38,0.5,0)),0.5)</f>
        <v/>
      </c>
      <c r="AG40">
        <f>IF(AND(ISNUMBER(R40),ISNUMBER(R39)),IF(R40&gt;R39,1,IF(R40=R39,0.5,0)),0.5)</f>
        <v/>
      </c>
      <c r="AH40">
        <f>IF(AND(ISNUMBER(R40),ISNUMBER(R41)),IF(R40&gt;R41,1,IF(R40=R41,0.5,0)),0.5)</f>
        <v/>
      </c>
      <c r="AI40">
        <f>IF(AND(ISNUMBER(R40),ISNUMBER(R42)),IF(R40&gt;R42,1,IF(R40=R42,0.5,0)),0.5)</f>
        <v/>
      </c>
      <c r="AJ40">
        <f>IF(AND(ISNUMBER(R40),ISNUMBER(R43)),IF(R40&gt;R43,1,IF(R40=R43,0.5,0)),0.5)</f>
        <v/>
      </c>
      <c r="AK40">
        <f>IF(AND(ISNUMBER(R40),ISNUMBER(R44)),IF(R40&gt;R44,1,IF(R40=R44,0.5,0)),0.5)</f>
        <v/>
      </c>
      <c r="AL40">
        <f>IF(AND(ISNUMBER(S40),ISNUMBER(S38)),IF(S40&gt;S38,1,IF(S40=S38,0.5,0)),0.5)</f>
        <v/>
      </c>
      <c r="AM40">
        <f>IF(AND(ISNUMBER(S40),ISNUMBER(S39)),IF(S40&gt;S39,1,IF(S40=S39,0.5,0)),0.5)</f>
        <v/>
      </c>
      <c r="AN40">
        <f>IF(AND(ISNUMBER(S40),ISNUMBER(S41)),IF(S40&gt;S41,1,IF(S40=S41,0.5,0)),0.5)</f>
        <v/>
      </c>
      <c r="AO40">
        <f>IF(AND(ISNUMBER(S40),ISNUMBER(S42)),IF(S40&gt;S42,1,IF(S40=S42,0.5,0)),0.5)</f>
        <v/>
      </c>
      <c r="AP40">
        <f>IF(AND(ISNUMBER(S40),ISNUMBER(S43)),IF(S40&gt;S43,1,IF(S40=S43,0.5,0)),0.5)</f>
        <v/>
      </c>
      <c r="AQ40">
        <f>IF(AND(ISNUMBER(S40),ISNUMBER(S44)),IF(S40&gt;S44,1,IF(S40=S44,0.5,0)),0.5)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4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5">
        <f>IFERROR(AVERAGE(T41:Y41),"")</f>
        <v/>
      </c>
      <c r="M41" s="4">
        <f>IFERROR(AVERAGE(Z41:AE41),"")</f>
        <v/>
      </c>
      <c r="N41" s="5">
        <f>P41/6</f>
        <v/>
      </c>
      <c r="O41" s="5">
        <f>Q41/6</f>
        <v/>
      </c>
      <c r="P41" s="4">
        <f>IFERROR(SUM(AF41:AK41),"")</f>
        <v/>
      </c>
      <c r="Q41" s="4">
        <f>IFERROR(SUM(AL41:AQ41),"")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IF(AND(ISNUMBER(R41),ISNUMBER(R38)),VLOOKUP(ABS(R41-R38),'IMP Table'!$A$2:$C$26,3)*SIGN(R41-R38),"")</f>
        <v/>
      </c>
      <c r="U41">
        <f>IF(AND(ISNUMBER(R41),ISNUMBER(R39)),VLOOKUP(ABS(R41-R39),'IMP Table'!$A$2:$C$26,3)*SIGN(R41-R39),"")</f>
        <v/>
      </c>
      <c r="V41">
        <f>IF(AND(ISNUMBER(R41),ISNUMBER(R40)),VLOOKUP(ABS(R41-R40),'IMP Table'!$A$2:$C$26,3)*SIGN(R41-R40),"")</f>
        <v/>
      </c>
      <c r="W41">
        <f>IF(AND(ISNUMBER(R41),ISNUMBER(R42)),VLOOKUP(ABS(R41-R42),'IMP Table'!$A$2:$C$26,3)*SIGN(R41-R42),"")</f>
        <v/>
      </c>
      <c r="X41">
        <f>IF(AND(ISNUMBER(R41),ISNUMBER(R43)),VLOOKUP(ABS(R41-R43),'IMP Table'!$A$2:$C$26,3)*SIGN(R41-R43),"")</f>
        <v/>
      </c>
      <c r="Y41">
        <f>IF(AND(ISNUMBER(R41),ISNUMBER(R44)),VLOOKUP(ABS(R41-R44),'IMP Table'!$A$2:$C$26,3)*SIGN(R41-R44),"")</f>
        <v/>
      </c>
      <c r="Z41">
        <f>IF(AND(ISNUMBER(S41),ISNUMBER(S38)),VLOOKUP(ABS(S41-S38),'IMP Table'!$A$2:$C$26,3)*SIGN(S41-S38),"")</f>
        <v/>
      </c>
      <c r="AA41">
        <f>IF(AND(ISNUMBER(S41),ISNUMBER(S39)),VLOOKUP(ABS(S41-S39),'IMP Table'!$A$2:$C$26,3)*SIGN(S41-S39),"")</f>
        <v/>
      </c>
      <c r="AB41">
        <f>IF(AND(ISNUMBER(S41),ISNUMBER(S40)),VLOOKUP(ABS(S41-S40),'IMP Table'!$A$2:$C$26,3)*SIGN(S41-S40),"")</f>
        <v/>
      </c>
      <c r="AC41">
        <f>IF(AND(ISNUMBER(S41),ISNUMBER(S42)),VLOOKUP(ABS(S41-S42),'IMP Table'!$A$2:$C$26,3)*SIGN(S41-S42),"")</f>
        <v/>
      </c>
      <c r="AD41">
        <f>IF(AND(ISNUMBER(S41),ISNUMBER(S43)),VLOOKUP(ABS(S41-S43),'IMP Table'!$A$2:$C$26,3)*SIGN(S41-S43),"")</f>
        <v/>
      </c>
      <c r="AE41">
        <f>IF(AND(ISNUMBER(S41),ISNUMBER(S44)),VLOOKUP(ABS(S41-S44),'IMP Table'!$A$2:$C$26,3)*SIGN(S41-S44),"")</f>
        <v/>
      </c>
      <c r="AF41">
        <f>IF(AND(ISNUMBER(R41),ISNUMBER(R38)),IF(R41&gt;R38,1,IF(R41=R38,0.5,0)),0.5)</f>
        <v/>
      </c>
      <c r="AG41">
        <f>IF(AND(ISNUMBER(R41),ISNUMBER(R39)),IF(R41&gt;R39,1,IF(R41=R39,0.5,0)),0.5)</f>
        <v/>
      </c>
      <c r="AH41">
        <f>IF(AND(ISNUMBER(R41),ISNUMBER(R40)),IF(R41&gt;R40,1,IF(R41=R40,0.5,0)),0.5)</f>
        <v/>
      </c>
      <c r="AI41">
        <f>IF(AND(ISNUMBER(R41),ISNUMBER(R42)),IF(R41&gt;R42,1,IF(R41=R42,0.5,0)),0.5)</f>
        <v/>
      </c>
      <c r="AJ41">
        <f>IF(AND(ISNUMBER(R41),ISNUMBER(R43)),IF(R41&gt;R43,1,IF(R41=R43,0.5,0)),0.5)</f>
        <v/>
      </c>
      <c r="AK41">
        <f>IF(AND(ISNUMBER(R41),ISNUMBER(R44)),IF(R41&gt;R44,1,IF(R41=R44,0.5,0)),0.5)</f>
        <v/>
      </c>
      <c r="AL41">
        <f>IF(AND(ISNUMBER(S41),ISNUMBER(S38)),IF(S41&gt;S38,1,IF(S41=S38,0.5,0)),0.5)</f>
        <v/>
      </c>
      <c r="AM41">
        <f>IF(AND(ISNUMBER(S41),ISNUMBER(S39)),IF(S41&gt;S39,1,IF(S41=S39,0.5,0)),0.5)</f>
        <v/>
      </c>
      <c r="AN41">
        <f>IF(AND(ISNUMBER(S41),ISNUMBER(S40)),IF(S41&gt;S40,1,IF(S41=S40,0.5,0)),0.5)</f>
        <v/>
      </c>
      <c r="AO41">
        <f>IF(AND(ISNUMBER(S41),ISNUMBER(S42)),IF(S41&gt;S42,1,IF(S41=S42,0.5,0)),0.5)</f>
        <v/>
      </c>
      <c r="AP41">
        <f>IF(AND(ISNUMBER(S41),ISNUMBER(S43)),IF(S41&gt;S43,1,IF(S41=S43,0.5,0)),0.5)</f>
        <v/>
      </c>
      <c r="AQ41">
        <f>IF(AND(ISNUMBER(S41),ISNUMBER(S44)),IF(S41&gt;S44,1,IF(S41=S44,0.5,0)),0.5)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4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5">
        <f>IFERROR(AVERAGE(T42:Y42),"")</f>
        <v/>
      </c>
      <c r="M42" s="4">
        <f>IFERROR(AVERAGE(Z42:AE42),"")</f>
        <v/>
      </c>
      <c r="N42" s="5">
        <f>P42/6</f>
        <v/>
      </c>
      <c r="O42" s="5">
        <f>Q42/6</f>
        <v/>
      </c>
      <c r="P42" s="4">
        <f>IFERROR(SUM(AF42:AK42),"")</f>
        <v/>
      </c>
      <c r="Q42" s="4">
        <f>IFERROR(SUM(AL42:AQ42),"")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IF(AND(ISNUMBER(R42),ISNUMBER(R38)),VLOOKUP(ABS(R42-R38),'IMP Table'!$A$2:$C$26,3)*SIGN(R42-R38),"")</f>
        <v/>
      </c>
      <c r="U42">
        <f>IF(AND(ISNUMBER(R42),ISNUMBER(R39)),VLOOKUP(ABS(R42-R39),'IMP Table'!$A$2:$C$26,3)*SIGN(R42-R39),"")</f>
        <v/>
      </c>
      <c r="V42">
        <f>IF(AND(ISNUMBER(R42),ISNUMBER(R40)),VLOOKUP(ABS(R42-R40),'IMP Table'!$A$2:$C$26,3)*SIGN(R42-R40),"")</f>
        <v/>
      </c>
      <c r="W42">
        <f>IF(AND(ISNUMBER(R42),ISNUMBER(R41)),VLOOKUP(ABS(R42-R41),'IMP Table'!$A$2:$C$26,3)*SIGN(R42-R41),"")</f>
        <v/>
      </c>
      <c r="X42">
        <f>IF(AND(ISNUMBER(R42),ISNUMBER(R43)),VLOOKUP(ABS(R42-R43),'IMP Table'!$A$2:$C$26,3)*SIGN(R42-R43),"")</f>
        <v/>
      </c>
      <c r="Y42">
        <f>IF(AND(ISNUMBER(R42),ISNUMBER(R44)),VLOOKUP(ABS(R42-R44),'IMP Table'!$A$2:$C$26,3)*SIGN(R42-R44),"")</f>
        <v/>
      </c>
      <c r="Z42">
        <f>IF(AND(ISNUMBER(S42),ISNUMBER(S38)),VLOOKUP(ABS(S42-S38),'IMP Table'!$A$2:$C$26,3)*SIGN(S42-S38),"")</f>
        <v/>
      </c>
      <c r="AA42">
        <f>IF(AND(ISNUMBER(S42),ISNUMBER(S39)),VLOOKUP(ABS(S42-S39),'IMP Table'!$A$2:$C$26,3)*SIGN(S42-S39),"")</f>
        <v/>
      </c>
      <c r="AB42">
        <f>IF(AND(ISNUMBER(S42),ISNUMBER(S40)),VLOOKUP(ABS(S42-S40),'IMP Table'!$A$2:$C$26,3)*SIGN(S42-S40),"")</f>
        <v/>
      </c>
      <c r="AC42">
        <f>IF(AND(ISNUMBER(S42),ISNUMBER(S41)),VLOOKUP(ABS(S42-S41),'IMP Table'!$A$2:$C$26,3)*SIGN(S42-S41),"")</f>
        <v/>
      </c>
      <c r="AD42">
        <f>IF(AND(ISNUMBER(S42),ISNUMBER(S43)),VLOOKUP(ABS(S42-S43),'IMP Table'!$A$2:$C$26,3)*SIGN(S42-S43),"")</f>
        <v/>
      </c>
      <c r="AE42">
        <f>IF(AND(ISNUMBER(S42),ISNUMBER(S44)),VLOOKUP(ABS(S42-S44),'IMP Table'!$A$2:$C$26,3)*SIGN(S42-S44),"")</f>
        <v/>
      </c>
      <c r="AF42">
        <f>IF(AND(ISNUMBER(R42),ISNUMBER(R38)),IF(R42&gt;R38,1,IF(R42=R38,0.5,0)),0.5)</f>
        <v/>
      </c>
      <c r="AG42">
        <f>IF(AND(ISNUMBER(R42),ISNUMBER(R39)),IF(R42&gt;R39,1,IF(R42=R39,0.5,0)),0.5)</f>
        <v/>
      </c>
      <c r="AH42">
        <f>IF(AND(ISNUMBER(R42),ISNUMBER(R40)),IF(R42&gt;R40,1,IF(R42=R40,0.5,0)),0.5)</f>
        <v/>
      </c>
      <c r="AI42">
        <f>IF(AND(ISNUMBER(R42),ISNUMBER(R41)),IF(R42&gt;R41,1,IF(R42=R41,0.5,0)),0.5)</f>
        <v/>
      </c>
      <c r="AJ42">
        <f>IF(AND(ISNUMBER(R42),ISNUMBER(R43)),IF(R42&gt;R43,1,IF(R42=R43,0.5,0)),0.5)</f>
        <v/>
      </c>
      <c r="AK42">
        <f>IF(AND(ISNUMBER(R42),ISNUMBER(R44)),IF(R42&gt;R44,1,IF(R42=R44,0.5,0)),0.5)</f>
        <v/>
      </c>
      <c r="AL42">
        <f>IF(AND(ISNUMBER(S42),ISNUMBER(S38)),IF(S42&gt;S38,1,IF(S42=S38,0.5,0)),0.5)</f>
        <v/>
      </c>
      <c r="AM42">
        <f>IF(AND(ISNUMBER(S42),ISNUMBER(S39)),IF(S42&gt;S39,1,IF(S42=S39,0.5,0)),0.5)</f>
        <v/>
      </c>
      <c r="AN42">
        <f>IF(AND(ISNUMBER(S42),ISNUMBER(S40)),IF(S42&gt;S40,1,IF(S42=S40,0.5,0)),0.5)</f>
        <v/>
      </c>
      <c r="AO42">
        <f>IF(AND(ISNUMBER(S42),ISNUMBER(S41)),IF(S42&gt;S41,1,IF(S42=S41,0.5,0)),0.5)</f>
        <v/>
      </c>
      <c r="AP42">
        <f>IF(AND(ISNUMBER(S42),ISNUMBER(S43)),IF(S42&gt;S43,1,IF(S42=S43,0.5,0)),0.5)</f>
        <v/>
      </c>
      <c r="AQ42">
        <f>IF(AND(ISNUMBER(S42),ISNUMBER(S44)),IF(S42&gt;S44,1,IF(S42=S44,0.5,0)),0.5)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4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5">
        <f>IFERROR(AVERAGE(T43:Y43),"")</f>
        <v/>
      </c>
      <c r="M43" s="4">
        <f>IFERROR(AVERAGE(Z43:AE43),"")</f>
        <v/>
      </c>
      <c r="N43" s="5">
        <f>P43/6</f>
        <v/>
      </c>
      <c r="O43" s="5">
        <f>Q43/6</f>
        <v/>
      </c>
      <c r="P43" s="4">
        <f>IFERROR(SUM(AF43:AK43),"")</f>
        <v/>
      </c>
      <c r="Q43" s="4">
        <f>IFERROR(SUM(AL43:AQ43),"")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IF(AND(ISNUMBER(R43),ISNUMBER(R38)),VLOOKUP(ABS(R43-R38),'IMP Table'!$A$2:$C$26,3)*SIGN(R43-R38),"")</f>
        <v/>
      </c>
      <c r="U43">
        <f>IF(AND(ISNUMBER(R43),ISNUMBER(R39)),VLOOKUP(ABS(R43-R39),'IMP Table'!$A$2:$C$26,3)*SIGN(R43-R39),"")</f>
        <v/>
      </c>
      <c r="V43">
        <f>IF(AND(ISNUMBER(R43),ISNUMBER(R40)),VLOOKUP(ABS(R43-R40),'IMP Table'!$A$2:$C$26,3)*SIGN(R43-R40),"")</f>
        <v/>
      </c>
      <c r="W43">
        <f>IF(AND(ISNUMBER(R43),ISNUMBER(R41)),VLOOKUP(ABS(R43-R41),'IMP Table'!$A$2:$C$26,3)*SIGN(R43-R41),"")</f>
        <v/>
      </c>
      <c r="X43">
        <f>IF(AND(ISNUMBER(R43),ISNUMBER(R42)),VLOOKUP(ABS(R43-R42),'IMP Table'!$A$2:$C$26,3)*SIGN(R43-R42),"")</f>
        <v/>
      </c>
      <c r="Y43">
        <f>IF(AND(ISNUMBER(R43),ISNUMBER(R44)),VLOOKUP(ABS(R43-R44),'IMP Table'!$A$2:$C$26,3)*SIGN(R43-R44),"")</f>
        <v/>
      </c>
      <c r="Z43">
        <f>IF(AND(ISNUMBER(S43),ISNUMBER(S38)),VLOOKUP(ABS(S43-S38),'IMP Table'!$A$2:$C$26,3)*SIGN(S43-S38),"")</f>
        <v/>
      </c>
      <c r="AA43">
        <f>IF(AND(ISNUMBER(S43),ISNUMBER(S39)),VLOOKUP(ABS(S43-S39),'IMP Table'!$A$2:$C$26,3)*SIGN(S43-S39),"")</f>
        <v/>
      </c>
      <c r="AB43">
        <f>IF(AND(ISNUMBER(S43),ISNUMBER(S40)),VLOOKUP(ABS(S43-S40),'IMP Table'!$A$2:$C$26,3)*SIGN(S43-S40),"")</f>
        <v/>
      </c>
      <c r="AC43">
        <f>IF(AND(ISNUMBER(S43),ISNUMBER(S41)),VLOOKUP(ABS(S43-S41),'IMP Table'!$A$2:$C$26,3)*SIGN(S43-S41),"")</f>
        <v/>
      </c>
      <c r="AD43">
        <f>IF(AND(ISNUMBER(S43),ISNUMBER(S42)),VLOOKUP(ABS(S43-S42),'IMP Table'!$A$2:$C$26,3)*SIGN(S43-S42),"")</f>
        <v/>
      </c>
      <c r="AE43">
        <f>IF(AND(ISNUMBER(S43),ISNUMBER(S44)),VLOOKUP(ABS(S43-S44),'IMP Table'!$A$2:$C$26,3)*SIGN(S43-S44),"")</f>
        <v/>
      </c>
      <c r="AF43">
        <f>IF(AND(ISNUMBER(R43),ISNUMBER(R38)),IF(R43&gt;R38,1,IF(R43=R38,0.5,0)),0.5)</f>
        <v/>
      </c>
      <c r="AG43">
        <f>IF(AND(ISNUMBER(R43),ISNUMBER(R39)),IF(R43&gt;R39,1,IF(R43=R39,0.5,0)),0.5)</f>
        <v/>
      </c>
      <c r="AH43">
        <f>IF(AND(ISNUMBER(R43),ISNUMBER(R40)),IF(R43&gt;R40,1,IF(R43=R40,0.5,0)),0.5)</f>
        <v/>
      </c>
      <c r="AI43">
        <f>IF(AND(ISNUMBER(R43),ISNUMBER(R41)),IF(R43&gt;R41,1,IF(R43=R41,0.5,0)),0.5)</f>
        <v/>
      </c>
      <c r="AJ43">
        <f>IF(AND(ISNUMBER(R43),ISNUMBER(R42)),IF(R43&gt;R42,1,IF(R43=R42,0.5,0)),0.5)</f>
        <v/>
      </c>
      <c r="AK43">
        <f>IF(AND(ISNUMBER(R43),ISNUMBER(R44)),IF(R43&gt;R44,1,IF(R43=R44,0.5,0)),0.5)</f>
        <v/>
      </c>
      <c r="AL43">
        <f>IF(AND(ISNUMBER(S43),ISNUMBER(S38)),IF(S43&gt;S38,1,IF(S43=S38,0.5,0)),0.5)</f>
        <v/>
      </c>
      <c r="AM43">
        <f>IF(AND(ISNUMBER(S43),ISNUMBER(S39)),IF(S43&gt;S39,1,IF(S43=S39,0.5,0)),0.5)</f>
        <v/>
      </c>
      <c r="AN43">
        <f>IF(AND(ISNUMBER(S43),ISNUMBER(S40)),IF(S43&gt;S40,1,IF(S43=S40,0.5,0)),0.5)</f>
        <v/>
      </c>
      <c r="AO43">
        <f>IF(AND(ISNUMBER(S43),ISNUMBER(S41)),IF(S43&gt;S41,1,IF(S43=S41,0.5,0)),0.5)</f>
        <v/>
      </c>
      <c r="AP43">
        <f>IF(AND(ISNUMBER(S43),ISNUMBER(S42)),IF(S43&gt;S42,1,IF(S43=S42,0.5,0)),0.5)</f>
        <v/>
      </c>
      <c r="AQ43">
        <f>IF(AND(ISNUMBER(S43),ISNUMBER(S44)),IF(S43&gt;S44,1,IF(S43=S44,0.5,0)),0.5)</f>
        <v/>
      </c>
    </row>
    <row r="44">
      <c r="A44" s="13" t="n"/>
      <c r="B44" s="13">
        <f>'By Round'!A171</f>
        <v/>
      </c>
      <c r="C44" s="13">
        <f>'By Round'!B175</f>
        <v/>
      </c>
      <c r="D44" s="13">
        <f>'By Round'!C175</f>
        <v/>
      </c>
      <c r="E44" s="13">
        <f>'By Round'!D175</f>
        <v/>
      </c>
      <c r="F44" s="17" t="inlineStr">
        <is>
          <t>EW</t>
        </is>
      </c>
      <c r="G44" s="13">
        <f>IF(ISBLANK('By Round'!G175),"",'By Round'!G175)</f>
        <v/>
      </c>
      <c r="H44" s="13">
        <f>IF(ISBLANK('By Round'!H175),"",'By Round'!H175)</f>
        <v/>
      </c>
      <c r="I44" s="13">
        <f>IF(ISBLANK('By Round'!I175),"",'By Round'!I175)</f>
        <v/>
      </c>
      <c r="J44" s="13">
        <f>IF(ISBLANK('By Round'!J175),"",'By Round'!J175)</f>
        <v/>
      </c>
      <c r="K44" s="13">
        <f>IF(ISBLANK('By Round'!K175),"",'By Round'!K175)</f>
        <v/>
      </c>
      <c r="L44" s="18">
        <f>IFERROR(AVERAGE(T44:Y44),"")</f>
        <v/>
      </c>
      <c r="M44" s="19">
        <f>IFERROR(AVERAGE(Z44:AE44),"")</f>
        <v/>
      </c>
      <c r="N44" s="20">
        <f>P44/6</f>
        <v/>
      </c>
      <c r="O44" s="20">
        <f>Q44/6</f>
        <v/>
      </c>
      <c r="P44" s="19">
        <f>IFERROR(SUM(AF44:AK44),"")</f>
        <v/>
      </c>
      <c r="Q44" s="19">
        <f>IFERROR(SUM(AL44:AQ44),"")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IF(AND(ISNUMBER(R44),ISNUMBER(R38)),VLOOKUP(ABS(R44-R38),'IMP Table'!$A$2:$C$26,3)*SIGN(R44-R38),"")</f>
        <v/>
      </c>
      <c r="U44" s="13">
        <f>IF(AND(ISNUMBER(R44),ISNUMBER(R39)),VLOOKUP(ABS(R44-R39),'IMP Table'!$A$2:$C$26,3)*SIGN(R44-R39),"")</f>
        <v/>
      </c>
      <c r="V44" s="13">
        <f>IF(AND(ISNUMBER(R44),ISNUMBER(R40)),VLOOKUP(ABS(R44-R40),'IMP Table'!$A$2:$C$26,3)*SIGN(R44-R40),"")</f>
        <v/>
      </c>
      <c r="W44" s="13">
        <f>IF(AND(ISNUMBER(R44),ISNUMBER(R41)),VLOOKUP(ABS(R44-R41),'IMP Table'!$A$2:$C$26,3)*SIGN(R44-R41),"")</f>
        <v/>
      </c>
      <c r="X44" s="13">
        <f>IF(AND(ISNUMBER(R44),ISNUMBER(R42)),VLOOKUP(ABS(R44-R42),'IMP Table'!$A$2:$C$26,3)*SIGN(R44-R42),"")</f>
        <v/>
      </c>
      <c r="Y44" s="13">
        <f>IF(AND(ISNUMBER(R44),ISNUMBER(R43)),VLOOKUP(ABS(R44-R43),'IMP Table'!$A$2:$C$26,3)*SIGN(R44-R43),"")</f>
        <v/>
      </c>
      <c r="Z44" s="13">
        <f>IF(AND(ISNUMBER(S44),ISNUMBER(S38)),VLOOKUP(ABS(S44-S38),'IMP Table'!$A$2:$C$26,3)*SIGN(S44-S38),"")</f>
        <v/>
      </c>
      <c r="AA44" s="13">
        <f>IF(AND(ISNUMBER(S44),ISNUMBER(S39)),VLOOKUP(ABS(S44-S39),'IMP Table'!$A$2:$C$26,3)*SIGN(S44-S39),"")</f>
        <v/>
      </c>
      <c r="AB44" s="13">
        <f>IF(AND(ISNUMBER(S44),ISNUMBER(S40)),VLOOKUP(ABS(S44-S40),'IMP Table'!$A$2:$C$26,3)*SIGN(S44-S40),"")</f>
        <v/>
      </c>
      <c r="AC44" s="13">
        <f>IF(AND(ISNUMBER(S44),ISNUMBER(S41)),VLOOKUP(ABS(S44-S41),'IMP Table'!$A$2:$C$26,3)*SIGN(S44-S41),"")</f>
        <v/>
      </c>
      <c r="AD44" s="13">
        <f>IF(AND(ISNUMBER(S44),ISNUMBER(S42)),VLOOKUP(ABS(S44-S42),'IMP Table'!$A$2:$C$26,3)*SIGN(S44-S42),"")</f>
        <v/>
      </c>
      <c r="AE44" s="13">
        <f>IF(AND(ISNUMBER(S44),ISNUMBER(S43)),VLOOKUP(ABS(S44-S43),'IMP Table'!$A$2:$C$26,3)*SIGN(S44-S43),"")</f>
        <v/>
      </c>
      <c r="AF44" s="13">
        <f>IF(AND(ISNUMBER(R44),ISNUMBER(R38)),IF(R44&gt;R38,1,IF(R44=R38,0.5,0)),0.5)</f>
        <v/>
      </c>
      <c r="AG44" s="13">
        <f>IF(AND(ISNUMBER(R44),ISNUMBER(R39)),IF(R44&gt;R39,1,IF(R44=R39,0.5,0)),0.5)</f>
        <v/>
      </c>
      <c r="AH44" s="13">
        <f>IF(AND(ISNUMBER(R44),ISNUMBER(R40)),IF(R44&gt;R40,1,IF(R44=R40,0.5,0)),0.5)</f>
        <v/>
      </c>
      <c r="AI44" s="13">
        <f>IF(AND(ISNUMBER(R44),ISNUMBER(R41)),IF(R44&gt;R41,1,IF(R44=R41,0.5,0)),0.5)</f>
        <v/>
      </c>
      <c r="AJ44" s="13">
        <f>IF(AND(ISNUMBER(R44),ISNUMBER(R42)),IF(R44&gt;R42,1,IF(R44=R42,0.5,0)),0.5)</f>
        <v/>
      </c>
      <c r="AK44" s="13">
        <f>IF(AND(ISNUMBER(R44),ISNUMBER(R43)),IF(R44&gt;R43,1,IF(R44=R43,0.5,0)),0.5)</f>
        <v/>
      </c>
      <c r="AL44" s="13">
        <f>IF(AND(ISNUMBER(S44),ISNUMBER(S38)),IF(S44&gt;S38,1,IF(S44=S38,0.5,0)),0.5)</f>
        <v/>
      </c>
      <c r="AM44" s="13">
        <f>IF(AND(ISNUMBER(S44),ISNUMBER(S39)),IF(S44&gt;S39,1,IF(S44=S39,0.5,0)),0.5)</f>
        <v/>
      </c>
      <c r="AN44" s="13">
        <f>IF(AND(ISNUMBER(S44),ISNUMBER(S40)),IF(S44&gt;S40,1,IF(S44=S40,0.5,0)),0.5)</f>
        <v/>
      </c>
      <c r="AO44" s="13">
        <f>IF(AND(ISNUMBER(S44),ISNUMBER(S41)),IF(S44&gt;S41,1,IF(S44=S41,0.5,0)),0.5)</f>
        <v/>
      </c>
      <c r="AP44" s="13">
        <f>IF(AND(ISNUMBER(S44),ISNUMBER(S42)),IF(S44&gt;S42,1,IF(S44=S42,0.5,0)),0.5)</f>
        <v/>
      </c>
      <c r="AQ44" s="13">
        <f>IF(AND(ISNUMBER(S44),ISNUMBER(S43)),IF(S44&gt;S43,1,IF(S44=S43,0.5,0)),0.5)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4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5">
        <f>IFERROR(AVERAGE(T45:Y45),"")</f>
        <v/>
      </c>
      <c r="M45" s="4">
        <f>IFERROR(AVERAGE(Z45:AE45),"")</f>
        <v/>
      </c>
      <c r="N45" s="5">
        <f>P45/6</f>
        <v/>
      </c>
      <c r="O45" s="5">
        <f>Q45/6</f>
        <v/>
      </c>
      <c r="P45" s="4">
        <f>IFERROR(SUM(AF45:AK45),"")</f>
        <v/>
      </c>
      <c r="Q45" s="4">
        <f>IFERROR(SUM(AL45:AQ45),"")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IF(AND(ISNUMBER(R45),ISNUMBER(R48)),VLOOKUP(ABS(R45-R48),'IMP Table'!$A$2:$C$26,3)*SIGN(R45-R48),"")</f>
        <v/>
      </c>
      <c r="W45">
        <f>IF(AND(ISNUMBER(R45),ISNUMBER(R49)),VLOOKUP(ABS(R45-R49),'IMP Table'!$A$2:$C$26,3)*SIGN(R45-R49),"")</f>
        <v/>
      </c>
      <c r="X45">
        <f>IF(AND(ISNUMBER(R45),ISNUMBER(R50)),VLOOKUP(ABS(R45-R50),'IMP Table'!$A$2:$C$26,3)*SIGN(R45-R50),"")</f>
        <v/>
      </c>
      <c r="Y45">
        <f>IF(AND(ISNUMBER(R45),ISNUMBER(R51)),VLOOKUP(ABS(R45-R51),'IMP Table'!$A$2:$C$26,3)*SIGN(R45-R51),"")</f>
        <v/>
      </c>
      <c r="Z45">
        <f>IF(AND(ISNUMBER(S45),ISNUMBER(S46)),VLOOKUP(ABS(S45-S46),'IMP Table'!$A$2:$C$26,3)*SIGN(S45-S46),"")</f>
        <v/>
      </c>
      <c r="AA45">
        <f>IF(AND(ISNUMBER(S45),ISNUMBER(S47)),VLOOKUP(ABS(S45-S47),'IMP Table'!$A$2:$C$26,3)*SIGN(S45-S47),"")</f>
        <v/>
      </c>
      <c r="AB45">
        <f>IF(AND(ISNUMBER(S45),ISNUMBER(S48)),VLOOKUP(ABS(S45-S48),'IMP Table'!$A$2:$C$26,3)*SIGN(S45-S48),"")</f>
        <v/>
      </c>
      <c r="AC45">
        <f>IF(AND(ISNUMBER(S45),ISNUMBER(S49)),VLOOKUP(ABS(S45-S49),'IMP Table'!$A$2:$C$26,3)*SIGN(S45-S49),"")</f>
        <v/>
      </c>
      <c r="AD45">
        <f>IF(AND(ISNUMBER(S45),ISNUMBER(S50)),VLOOKUP(ABS(S45-S50),'IMP Table'!$A$2:$C$26,3)*SIGN(S45-S50),"")</f>
        <v/>
      </c>
      <c r="AE45">
        <f>IF(AND(ISNUMBER(S45),ISNUMBER(S51)),VLOOKUP(ABS(S45-S51),'IMP Table'!$A$2:$C$26,3)*SIGN(S45-S51),"")</f>
        <v/>
      </c>
      <c r="AF45">
        <f>IF(AND(ISNUMBER(R45),ISNUMBER(R46)),IF(R45&gt;R46,1,IF(R45=R46,0.5,0)),0.5)</f>
        <v/>
      </c>
      <c r="AG45">
        <f>IF(AND(ISNUMBER(R45),ISNUMBER(R47)),IF(R45&gt;R47,1,IF(R45=R47,0.5,0)),0.5)</f>
        <v/>
      </c>
      <c r="AH45">
        <f>IF(AND(ISNUMBER(R45),ISNUMBER(R48)),IF(R45&gt;R48,1,IF(R45=R48,0.5,0)),0.5)</f>
        <v/>
      </c>
      <c r="AI45">
        <f>IF(AND(ISNUMBER(R45),ISNUMBER(R49)),IF(R45&gt;R49,1,IF(R45=R49,0.5,0)),0.5)</f>
        <v/>
      </c>
      <c r="AJ45">
        <f>IF(AND(ISNUMBER(R45),ISNUMBER(R50)),IF(R45&gt;R50,1,IF(R45=R50,0.5,0)),0.5)</f>
        <v/>
      </c>
      <c r="AK45">
        <f>IF(AND(ISNUMBER(R45),ISNUMBER(R51)),IF(R45&gt;R51,1,IF(R45=R51,0.5,0)),0.5)</f>
        <v/>
      </c>
      <c r="AL45">
        <f>IF(AND(ISNUMBER(S45),ISNUMBER(S46)),IF(S45&gt;S46,1,IF(S45=S46,0.5,0)),0.5)</f>
        <v/>
      </c>
      <c r="AM45">
        <f>IF(AND(ISNUMBER(S45),ISNUMBER(S47)),IF(S45&gt;S47,1,IF(S45=S47,0.5,0)),0.5)</f>
        <v/>
      </c>
      <c r="AN45">
        <f>IF(AND(ISNUMBER(S45),ISNUMBER(S48)),IF(S45&gt;S48,1,IF(S45=S48,0.5,0)),0.5)</f>
        <v/>
      </c>
      <c r="AO45">
        <f>IF(AND(ISNUMBER(S45),ISNUMBER(S49)),IF(S45&gt;S49,1,IF(S45=S49,0.5,0)),0.5)</f>
        <v/>
      </c>
      <c r="AP45">
        <f>IF(AND(ISNUMBER(S45),ISNUMBER(S50)),IF(S45&gt;S50,1,IF(S45=S50,0.5,0)),0.5)</f>
        <v/>
      </c>
      <c r="AQ45">
        <f>IF(AND(ISNUMBER(S45),ISNUMBER(S51)),IF(S45&gt;S51,1,IF(S45=S51,0.5,0)),0.5)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4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5">
        <f>IFERROR(AVERAGE(T46:Y46),"")</f>
        <v/>
      </c>
      <c r="M46" s="4">
        <f>IFERROR(AVERAGE(Z46:AE46),"")</f>
        <v/>
      </c>
      <c r="N46" s="5">
        <f>P46/6</f>
        <v/>
      </c>
      <c r="O46" s="5">
        <f>Q46/6</f>
        <v/>
      </c>
      <c r="P46" s="4">
        <f>IFERROR(SUM(AF46:AK46),"")</f>
        <v/>
      </c>
      <c r="Q46" s="4">
        <f>IFERROR(SUM(AL46:AQ46),"")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IF(AND(ISNUMBER(R46),ISNUMBER(R48)),VLOOKUP(ABS(R46-R48),'IMP Table'!$A$2:$C$26,3)*SIGN(R46-R48),"")</f>
        <v/>
      </c>
      <c r="W46">
        <f>IF(AND(ISNUMBER(R46),ISNUMBER(R49)),VLOOKUP(ABS(R46-R49),'IMP Table'!$A$2:$C$26,3)*SIGN(R46-R49),"")</f>
        <v/>
      </c>
      <c r="X46">
        <f>IF(AND(ISNUMBER(R46),ISNUMBER(R50)),VLOOKUP(ABS(R46-R50),'IMP Table'!$A$2:$C$26,3)*SIGN(R46-R50),"")</f>
        <v/>
      </c>
      <c r="Y46">
        <f>IF(AND(ISNUMBER(R46),ISNUMBER(R51)),VLOOKUP(ABS(R46-R51),'IMP Table'!$A$2:$C$26,3)*SIGN(R46-R51),"")</f>
        <v/>
      </c>
      <c r="Z46">
        <f>IF(AND(ISNUMBER(S46),ISNUMBER(S45)),VLOOKUP(ABS(S46-S45),'IMP Table'!$A$2:$C$26,3)*SIGN(S46-S45),"")</f>
        <v/>
      </c>
      <c r="AA46">
        <f>IF(AND(ISNUMBER(S46),ISNUMBER(S47)),VLOOKUP(ABS(S46-S47),'IMP Table'!$A$2:$C$26,3)*SIGN(S46-S47),"")</f>
        <v/>
      </c>
      <c r="AB46">
        <f>IF(AND(ISNUMBER(S46),ISNUMBER(S48)),VLOOKUP(ABS(S46-S48),'IMP Table'!$A$2:$C$26,3)*SIGN(S46-S48),"")</f>
        <v/>
      </c>
      <c r="AC46">
        <f>IF(AND(ISNUMBER(S46),ISNUMBER(S49)),VLOOKUP(ABS(S46-S49),'IMP Table'!$A$2:$C$26,3)*SIGN(S46-S49),"")</f>
        <v/>
      </c>
      <c r="AD46">
        <f>IF(AND(ISNUMBER(S46),ISNUMBER(S50)),VLOOKUP(ABS(S46-S50),'IMP Table'!$A$2:$C$26,3)*SIGN(S46-S50),"")</f>
        <v/>
      </c>
      <c r="AE46">
        <f>IF(AND(ISNUMBER(S46),ISNUMBER(S51)),VLOOKUP(ABS(S46-S51),'IMP Table'!$A$2:$C$26,3)*SIGN(S46-S51),"")</f>
        <v/>
      </c>
      <c r="AF46">
        <f>IF(AND(ISNUMBER(R46),ISNUMBER(R45)),IF(R46&gt;R45,1,IF(R46=R45,0.5,0)),0.5)</f>
        <v/>
      </c>
      <c r="AG46">
        <f>IF(AND(ISNUMBER(R46),ISNUMBER(R47)),IF(R46&gt;R47,1,IF(R46=R47,0.5,0)),0.5)</f>
        <v/>
      </c>
      <c r="AH46">
        <f>IF(AND(ISNUMBER(R46),ISNUMBER(R48)),IF(R46&gt;R48,1,IF(R46=R48,0.5,0)),0.5)</f>
        <v/>
      </c>
      <c r="AI46">
        <f>IF(AND(ISNUMBER(R46),ISNUMBER(R49)),IF(R46&gt;R49,1,IF(R46=R49,0.5,0)),0.5)</f>
        <v/>
      </c>
      <c r="AJ46">
        <f>IF(AND(ISNUMBER(R46),ISNUMBER(R50)),IF(R46&gt;R50,1,IF(R46=R50,0.5,0)),0.5)</f>
        <v/>
      </c>
      <c r="AK46">
        <f>IF(AND(ISNUMBER(R46),ISNUMBER(R51)),IF(R46&gt;R51,1,IF(R46=R51,0.5,0)),0.5)</f>
        <v/>
      </c>
      <c r="AL46">
        <f>IF(AND(ISNUMBER(S46),ISNUMBER(S45)),IF(S46&gt;S45,1,IF(S46=S45,0.5,0)),0.5)</f>
        <v/>
      </c>
      <c r="AM46">
        <f>IF(AND(ISNUMBER(S46),ISNUMBER(S47)),IF(S46&gt;S47,1,IF(S46=S47,0.5,0)),0.5)</f>
        <v/>
      </c>
      <c r="AN46">
        <f>IF(AND(ISNUMBER(S46),ISNUMBER(S48)),IF(S46&gt;S48,1,IF(S46=S48,0.5,0)),0.5)</f>
        <v/>
      </c>
      <c r="AO46">
        <f>IF(AND(ISNUMBER(S46),ISNUMBER(S49)),IF(S46&gt;S49,1,IF(S46=S49,0.5,0)),0.5)</f>
        <v/>
      </c>
      <c r="AP46">
        <f>IF(AND(ISNUMBER(S46),ISNUMBER(S50)),IF(S46&gt;S50,1,IF(S46=S50,0.5,0)),0.5)</f>
        <v/>
      </c>
      <c r="AQ46">
        <f>IF(AND(ISNUMBER(S46),ISNUMBER(S51)),IF(S46&gt;S51,1,IF(S46=S51,0.5,0)),0.5)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4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5">
        <f>IFERROR(AVERAGE(T47:Y47),"")</f>
        <v/>
      </c>
      <c r="M47" s="4">
        <f>IFERROR(AVERAGE(Z47:AE47),"")</f>
        <v/>
      </c>
      <c r="N47" s="5">
        <f>P47/6</f>
        <v/>
      </c>
      <c r="O47" s="5">
        <f>Q47/6</f>
        <v/>
      </c>
      <c r="P47" s="4">
        <f>IFERROR(SUM(AF47:AK47),"")</f>
        <v/>
      </c>
      <c r="Q47" s="4">
        <f>IFERROR(SUM(AL47:AQ47),"")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IF(AND(ISNUMBER(R47),ISNUMBER(R48)),VLOOKUP(ABS(R47-R48),'IMP Table'!$A$2:$C$26,3)*SIGN(R47-R48),"")</f>
        <v/>
      </c>
      <c r="W47">
        <f>IF(AND(ISNUMBER(R47),ISNUMBER(R49)),VLOOKUP(ABS(R47-R49),'IMP Table'!$A$2:$C$26,3)*SIGN(R47-R49),"")</f>
        <v/>
      </c>
      <c r="X47">
        <f>IF(AND(ISNUMBER(R47),ISNUMBER(R50)),VLOOKUP(ABS(R47-R50),'IMP Table'!$A$2:$C$26,3)*SIGN(R47-R50),"")</f>
        <v/>
      </c>
      <c r="Y47">
        <f>IF(AND(ISNUMBER(R47),ISNUMBER(R51)),VLOOKUP(ABS(R47-R51),'IMP Table'!$A$2:$C$26,3)*SIGN(R47-R51),"")</f>
        <v/>
      </c>
      <c r="Z47">
        <f>IF(AND(ISNUMBER(S47),ISNUMBER(S45)),VLOOKUP(ABS(S47-S45),'IMP Table'!$A$2:$C$26,3)*SIGN(S47-S45),"")</f>
        <v/>
      </c>
      <c r="AA47">
        <f>IF(AND(ISNUMBER(S47),ISNUMBER(S46)),VLOOKUP(ABS(S47-S46),'IMP Table'!$A$2:$C$26,3)*SIGN(S47-S46),"")</f>
        <v/>
      </c>
      <c r="AB47">
        <f>IF(AND(ISNUMBER(S47),ISNUMBER(S48)),VLOOKUP(ABS(S47-S48),'IMP Table'!$A$2:$C$26,3)*SIGN(S47-S48),"")</f>
        <v/>
      </c>
      <c r="AC47">
        <f>IF(AND(ISNUMBER(S47),ISNUMBER(S49)),VLOOKUP(ABS(S47-S49),'IMP Table'!$A$2:$C$26,3)*SIGN(S47-S49),"")</f>
        <v/>
      </c>
      <c r="AD47">
        <f>IF(AND(ISNUMBER(S47),ISNUMBER(S50)),VLOOKUP(ABS(S47-S50),'IMP Table'!$A$2:$C$26,3)*SIGN(S47-S50),"")</f>
        <v/>
      </c>
      <c r="AE47">
        <f>IF(AND(ISNUMBER(S47),ISNUMBER(S51)),VLOOKUP(ABS(S47-S51),'IMP Table'!$A$2:$C$26,3)*SIGN(S47-S51),"")</f>
        <v/>
      </c>
      <c r="AF47">
        <f>IF(AND(ISNUMBER(R47),ISNUMBER(R45)),IF(R47&gt;R45,1,IF(R47=R45,0.5,0)),0.5)</f>
        <v/>
      </c>
      <c r="AG47">
        <f>IF(AND(ISNUMBER(R47),ISNUMBER(R46)),IF(R47&gt;R46,1,IF(R47=R46,0.5,0)),0.5)</f>
        <v/>
      </c>
      <c r="AH47">
        <f>IF(AND(ISNUMBER(R47),ISNUMBER(R48)),IF(R47&gt;R48,1,IF(R47=R48,0.5,0)),0.5)</f>
        <v/>
      </c>
      <c r="AI47">
        <f>IF(AND(ISNUMBER(R47),ISNUMBER(R49)),IF(R47&gt;R49,1,IF(R47=R49,0.5,0)),0.5)</f>
        <v/>
      </c>
      <c r="AJ47">
        <f>IF(AND(ISNUMBER(R47),ISNUMBER(R50)),IF(R47&gt;R50,1,IF(R47=R50,0.5,0)),0.5)</f>
        <v/>
      </c>
      <c r="AK47">
        <f>IF(AND(ISNUMBER(R47),ISNUMBER(R51)),IF(R47&gt;R51,1,IF(R47=R51,0.5,0)),0.5)</f>
        <v/>
      </c>
      <c r="AL47">
        <f>IF(AND(ISNUMBER(S47),ISNUMBER(S45)),IF(S47&gt;S45,1,IF(S47=S45,0.5,0)),0.5)</f>
        <v/>
      </c>
      <c r="AM47">
        <f>IF(AND(ISNUMBER(S47),ISNUMBER(S46)),IF(S47&gt;S46,1,IF(S47=S46,0.5,0)),0.5)</f>
        <v/>
      </c>
      <c r="AN47">
        <f>IF(AND(ISNUMBER(S47),ISNUMBER(S48)),IF(S47&gt;S48,1,IF(S47=S48,0.5,0)),0.5)</f>
        <v/>
      </c>
      <c r="AO47">
        <f>IF(AND(ISNUMBER(S47),ISNUMBER(S49)),IF(S47&gt;S49,1,IF(S47=S49,0.5,0)),0.5)</f>
        <v/>
      </c>
      <c r="AP47">
        <f>IF(AND(ISNUMBER(S47),ISNUMBER(S50)),IF(S47&gt;S50,1,IF(S47=S50,0.5,0)),0.5)</f>
        <v/>
      </c>
      <c r="AQ47">
        <f>IF(AND(ISNUMBER(S47),ISNUMBER(S51)),IF(S47&gt;S51,1,IF(S47=S51,0.5,0)),0.5)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4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5">
        <f>IFERROR(AVERAGE(T48:Y48),"")</f>
        <v/>
      </c>
      <c r="M48" s="4">
        <f>IFERROR(AVERAGE(Z48:AE48),"")</f>
        <v/>
      </c>
      <c r="N48" s="5">
        <f>P48/6</f>
        <v/>
      </c>
      <c r="O48" s="5">
        <f>Q48/6</f>
        <v/>
      </c>
      <c r="P48" s="4">
        <f>IFERROR(SUM(AF48:AK48),"")</f>
        <v/>
      </c>
      <c r="Q48" s="4">
        <f>IFERROR(SUM(AL48:AQ48),"")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IF(AND(ISNUMBER(R48),ISNUMBER(R45)),VLOOKUP(ABS(R48-R45),'IMP Table'!$A$2:$C$26,3)*SIGN(R48-R45),"")</f>
        <v/>
      </c>
      <c r="U48">
        <f>IF(AND(ISNUMBER(R48),ISNUMBER(R46)),VLOOKUP(ABS(R48-R46),'IMP Table'!$A$2:$C$26,3)*SIGN(R48-R46),"")</f>
        <v/>
      </c>
      <c r="V48">
        <f>IF(AND(ISNUMBER(R48),ISNUMBER(R47)),VLOOKUP(ABS(R48-R47),'IMP Table'!$A$2:$C$26,3)*SIGN(R48-R47),"")</f>
        <v/>
      </c>
      <c r="W48">
        <f>IF(AND(ISNUMBER(R48),ISNUMBER(R49)),VLOOKUP(ABS(R48-R49),'IMP Table'!$A$2:$C$26,3)*SIGN(R48-R49),"")</f>
        <v/>
      </c>
      <c r="X48">
        <f>IF(AND(ISNUMBER(R48),ISNUMBER(R50)),VLOOKUP(ABS(R48-R50),'IMP Table'!$A$2:$C$26,3)*SIGN(R48-R50),"")</f>
        <v/>
      </c>
      <c r="Y48">
        <f>IF(AND(ISNUMBER(R48),ISNUMBER(R51)),VLOOKUP(ABS(R48-R51),'IMP Table'!$A$2:$C$26,3)*SIGN(R48-R51),"")</f>
        <v/>
      </c>
      <c r="Z48">
        <f>IF(AND(ISNUMBER(S48),ISNUMBER(S45)),VLOOKUP(ABS(S48-S45),'IMP Table'!$A$2:$C$26,3)*SIGN(S48-S45),"")</f>
        <v/>
      </c>
      <c r="AA48">
        <f>IF(AND(ISNUMBER(S48),ISNUMBER(S46)),VLOOKUP(ABS(S48-S46),'IMP Table'!$A$2:$C$26,3)*SIGN(S48-S46),"")</f>
        <v/>
      </c>
      <c r="AB48">
        <f>IF(AND(ISNUMBER(S48),ISNUMBER(S47)),VLOOKUP(ABS(S48-S47),'IMP Table'!$A$2:$C$26,3)*SIGN(S48-S47),"")</f>
        <v/>
      </c>
      <c r="AC48">
        <f>IF(AND(ISNUMBER(S48),ISNUMBER(S49)),VLOOKUP(ABS(S48-S49),'IMP Table'!$A$2:$C$26,3)*SIGN(S48-S49),"")</f>
        <v/>
      </c>
      <c r="AD48">
        <f>IF(AND(ISNUMBER(S48),ISNUMBER(S50)),VLOOKUP(ABS(S48-S50),'IMP Table'!$A$2:$C$26,3)*SIGN(S48-S50),"")</f>
        <v/>
      </c>
      <c r="AE48">
        <f>IF(AND(ISNUMBER(S48),ISNUMBER(S51)),VLOOKUP(ABS(S48-S51),'IMP Table'!$A$2:$C$26,3)*SIGN(S48-S51),"")</f>
        <v/>
      </c>
      <c r="AF48">
        <f>IF(AND(ISNUMBER(R48),ISNUMBER(R45)),IF(R48&gt;R45,1,IF(R48=R45,0.5,0)),0.5)</f>
        <v/>
      </c>
      <c r="AG48">
        <f>IF(AND(ISNUMBER(R48),ISNUMBER(R46)),IF(R48&gt;R46,1,IF(R48=R46,0.5,0)),0.5)</f>
        <v/>
      </c>
      <c r="AH48">
        <f>IF(AND(ISNUMBER(R48),ISNUMBER(R47)),IF(R48&gt;R47,1,IF(R48=R47,0.5,0)),0.5)</f>
        <v/>
      </c>
      <c r="AI48">
        <f>IF(AND(ISNUMBER(R48),ISNUMBER(R49)),IF(R48&gt;R49,1,IF(R48=R49,0.5,0)),0.5)</f>
        <v/>
      </c>
      <c r="AJ48">
        <f>IF(AND(ISNUMBER(R48),ISNUMBER(R50)),IF(R48&gt;R50,1,IF(R48=R50,0.5,0)),0.5)</f>
        <v/>
      </c>
      <c r="AK48">
        <f>IF(AND(ISNUMBER(R48),ISNUMBER(R51)),IF(R48&gt;R51,1,IF(R48=R51,0.5,0)),0.5)</f>
        <v/>
      </c>
      <c r="AL48">
        <f>IF(AND(ISNUMBER(S48),ISNUMBER(S45)),IF(S48&gt;S45,1,IF(S48=S45,0.5,0)),0.5)</f>
        <v/>
      </c>
      <c r="AM48">
        <f>IF(AND(ISNUMBER(S48),ISNUMBER(S46)),IF(S48&gt;S46,1,IF(S48=S46,0.5,0)),0.5)</f>
        <v/>
      </c>
      <c r="AN48">
        <f>IF(AND(ISNUMBER(S48),ISNUMBER(S47)),IF(S48&gt;S47,1,IF(S48=S47,0.5,0)),0.5)</f>
        <v/>
      </c>
      <c r="AO48">
        <f>IF(AND(ISNUMBER(S48),ISNUMBER(S49)),IF(S48&gt;S49,1,IF(S48=S49,0.5,0)),0.5)</f>
        <v/>
      </c>
      <c r="AP48">
        <f>IF(AND(ISNUMBER(S48),ISNUMBER(S50)),IF(S48&gt;S50,1,IF(S48=S50,0.5,0)),0.5)</f>
        <v/>
      </c>
      <c r="AQ48">
        <f>IF(AND(ISNUMBER(S48),ISNUMBER(S51)),IF(S48&gt;S51,1,IF(S48=S51,0.5,0)),0.5)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4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5">
        <f>IFERROR(AVERAGE(T49:Y49),"")</f>
        <v/>
      </c>
      <c r="M49" s="4">
        <f>IFERROR(AVERAGE(Z49:AE49),"")</f>
        <v/>
      </c>
      <c r="N49" s="5">
        <f>P49/6</f>
        <v/>
      </c>
      <c r="O49" s="5">
        <f>Q49/6</f>
        <v/>
      </c>
      <c r="P49" s="4">
        <f>IFERROR(SUM(AF49:AK49),"")</f>
        <v/>
      </c>
      <c r="Q49" s="4">
        <f>IFERROR(SUM(AL49:AQ49),"")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IF(AND(ISNUMBER(R49),ISNUMBER(R45)),VLOOKUP(ABS(R49-R45),'IMP Table'!$A$2:$C$26,3)*SIGN(R49-R45),"")</f>
        <v/>
      </c>
      <c r="U49">
        <f>IF(AND(ISNUMBER(R49),ISNUMBER(R46)),VLOOKUP(ABS(R49-R46),'IMP Table'!$A$2:$C$26,3)*SIGN(R49-R46),"")</f>
        <v/>
      </c>
      <c r="V49">
        <f>IF(AND(ISNUMBER(R49),ISNUMBER(R47)),VLOOKUP(ABS(R49-R47),'IMP Table'!$A$2:$C$26,3)*SIGN(R49-R47),"")</f>
        <v/>
      </c>
      <c r="W49">
        <f>IF(AND(ISNUMBER(R49),ISNUMBER(R48)),VLOOKUP(ABS(R49-R48),'IMP Table'!$A$2:$C$26,3)*SIGN(R49-R48),"")</f>
        <v/>
      </c>
      <c r="X49">
        <f>IF(AND(ISNUMBER(R49),ISNUMBER(R50)),VLOOKUP(ABS(R49-R50),'IMP Table'!$A$2:$C$26,3)*SIGN(R49-R50),"")</f>
        <v/>
      </c>
      <c r="Y49">
        <f>IF(AND(ISNUMBER(R49),ISNUMBER(R51)),VLOOKUP(ABS(R49-R51),'IMP Table'!$A$2:$C$26,3)*SIGN(R49-R51),"")</f>
        <v/>
      </c>
      <c r="Z49">
        <f>IF(AND(ISNUMBER(S49),ISNUMBER(S45)),VLOOKUP(ABS(S49-S45),'IMP Table'!$A$2:$C$26,3)*SIGN(S49-S45),"")</f>
        <v/>
      </c>
      <c r="AA49">
        <f>IF(AND(ISNUMBER(S49),ISNUMBER(S46)),VLOOKUP(ABS(S49-S46),'IMP Table'!$A$2:$C$26,3)*SIGN(S49-S46),"")</f>
        <v/>
      </c>
      <c r="AB49">
        <f>IF(AND(ISNUMBER(S49),ISNUMBER(S47)),VLOOKUP(ABS(S49-S47),'IMP Table'!$A$2:$C$26,3)*SIGN(S49-S47),"")</f>
        <v/>
      </c>
      <c r="AC49">
        <f>IF(AND(ISNUMBER(S49),ISNUMBER(S48)),VLOOKUP(ABS(S49-S48),'IMP Table'!$A$2:$C$26,3)*SIGN(S49-S48),"")</f>
        <v/>
      </c>
      <c r="AD49">
        <f>IF(AND(ISNUMBER(S49),ISNUMBER(S50)),VLOOKUP(ABS(S49-S50),'IMP Table'!$A$2:$C$26,3)*SIGN(S49-S50),"")</f>
        <v/>
      </c>
      <c r="AE49">
        <f>IF(AND(ISNUMBER(S49),ISNUMBER(S51)),VLOOKUP(ABS(S49-S51),'IMP Table'!$A$2:$C$26,3)*SIGN(S49-S51),"")</f>
        <v/>
      </c>
      <c r="AF49">
        <f>IF(AND(ISNUMBER(R49),ISNUMBER(R45)),IF(R49&gt;R45,1,IF(R49=R45,0.5,0)),0.5)</f>
        <v/>
      </c>
      <c r="AG49">
        <f>IF(AND(ISNUMBER(R49),ISNUMBER(R46)),IF(R49&gt;R46,1,IF(R49=R46,0.5,0)),0.5)</f>
        <v/>
      </c>
      <c r="AH49">
        <f>IF(AND(ISNUMBER(R49),ISNUMBER(R47)),IF(R49&gt;R47,1,IF(R49=R47,0.5,0)),0.5)</f>
        <v/>
      </c>
      <c r="AI49">
        <f>IF(AND(ISNUMBER(R49),ISNUMBER(R48)),IF(R49&gt;R48,1,IF(R49=R48,0.5,0)),0.5)</f>
        <v/>
      </c>
      <c r="AJ49">
        <f>IF(AND(ISNUMBER(R49),ISNUMBER(R50)),IF(R49&gt;R50,1,IF(R49=R50,0.5,0)),0.5)</f>
        <v/>
      </c>
      <c r="AK49">
        <f>IF(AND(ISNUMBER(R49),ISNUMBER(R51)),IF(R49&gt;R51,1,IF(R49=R51,0.5,0)),0.5)</f>
        <v/>
      </c>
      <c r="AL49">
        <f>IF(AND(ISNUMBER(S49),ISNUMBER(S45)),IF(S49&gt;S45,1,IF(S49=S45,0.5,0)),0.5)</f>
        <v/>
      </c>
      <c r="AM49">
        <f>IF(AND(ISNUMBER(S49),ISNUMBER(S46)),IF(S49&gt;S46,1,IF(S49=S46,0.5,0)),0.5)</f>
        <v/>
      </c>
      <c r="AN49">
        <f>IF(AND(ISNUMBER(S49),ISNUMBER(S47)),IF(S49&gt;S47,1,IF(S49=S47,0.5,0)),0.5)</f>
        <v/>
      </c>
      <c r="AO49">
        <f>IF(AND(ISNUMBER(S49),ISNUMBER(S48)),IF(S49&gt;S48,1,IF(S49=S48,0.5,0)),0.5)</f>
        <v/>
      </c>
      <c r="AP49">
        <f>IF(AND(ISNUMBER(S49),ISNUMBER(S50)),IF(S49&gt;S50,1,IF(S49=S50,0.5,0)),0.5)</f>
        <v/>
      </c>
      <c r="AQ49">
        <f>IF(AND(ISNUMBER(S49),ISNUMBER(S51)),IF(S49&gt;S51,1,IF(S49=S51,0.5,0)),0.5)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4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5">
        <f>IFERROR(AVERAGE(T50:Y50),"")</f>
        <v/>
      </c>
      <c r="M50" s="4">
        <f>IFERROR(AVERAGE(Z50:AE50),"")</f>
        <v/>
      </c>
      <c r="N50" s="5">
        <f>P50/6</f>
        <v/>
      </c>
      <c r="O50" s="5">
        <f>Q50/6</f>
        <v/>
      </c>
      <c r="P50" s="4">
        <f>IFERROR(SUM(AF50:AK50),"")</f>
        <v/>
      </c>
      <c r="Q50" s="4">
        <f>IFERROR(SUM(AL50:AQ50),"")</f>
        <v/>
      </c>
      <c r="R50" s="16">
        <f>IF(ISNUMBER(J50),J50,IF(ISNUMBER(K50),-K50,""))</f>
        <v/>
      </c>
      <c r="S50">
        <f>IF(ISNUMBER(K50),K50,IF(ISNUMBER(J50),-J50,""))</f>
        <v/>
      </c>
      <c r="T50">
        <f>IF(AND(ISNUMBER(R50),ISNUMBER(R45)),VLOOKUP(ABS(R50-R45),'IMP Table'!$A$2:$C$26,3)*SIGN(R50-R45),"")</f>
        <v/>
      </c>
      <c r="U50">
        <f>IF(AND(ISNUMBER(R50),ISNUMBER(R46)),VLOOKUP(ABS(R50-R46),'IMP Table'!$A$2:$C$26,3)*SIGN(R50-R46),"")</f>
        <v/>
      </c>
      <c r="V50">
        <f>IF(AND(ISNUMBER(R50),ISNUMBER(R47)),VLOOKUP(ABS(R50-R47),'IMP Table'!$A$2:$C$26,3)*SIGN(R50-R47),"")</f>
        <v/>
      </c>
      <c r="W50">
        <f>IF(AND(ISNUMBER(R50),ISNUMBER(R48)),VLOOKUP(ABS(R50-R48),'IMP Table'!$A$2:$C$26,3)*SIGN(R50-R48),"")</f>
        <v/>
      </c>
      <c r="X50">
        <f>IF(AND(ISNUMBER(R50),ISNUMBER(R49)),VLOOKUP(ABS(R50-R49),'IMP Table'!$A$2:$C$26,3)*SIGN(R50-R49),"")</f>
        <v/>
      </c>
      <c r="Y50">
        <f>IF(AND(ISNUMBER(R50),ISNUMBER(R51)),VLOOKUP(ABS(R50-R51),'IMP Table'!$A$2:$C$26,3)*SIGN(R50-R51),"")</f>
        <v/>
      </c>
      <c r="Z50">
        <f>IF(AND(ISNUMBER(S50),ISNUMBER(S45)),VLOOKUP(ABS(S50-S45),'IMP Table'!$A$2:$C$26,3)*SIGN(S50-S45),"")</f>
        <v/>
      </c>
      <c r="AA50">
        <f>IF(AND(ISNUMBER(S50),ISNUMBER(S46)),VLOOKUP(ABS(S50-S46),'IMP Table'!$A$2:$C$26,3)*SIGN(S50-S46),"")</f>
        <v/>
      </c>
      <c r="AB50">
        <f>IF(AND(ISNUMBER(S50),ISNUMBER(S47)),VLOOKUP(ABS(S50-S47),'IMP Table'!$A$2:$C$26,3)*SIGN(S50-S47),"")</f>
        <v/>
      </c>
      <c r="AC50">
        <f>IF(AND(ISNUMBER(S50),ISNUMBER(S48)),VLOOKUP(ABS(S50-S48),'IMP Table'!$A$2:$C$26,3)*SIGN(S50-S48),"")</f>
        <v/>
      </c>
      <c r="AD50">
        <f>IF(AND(ISNUMBER(S50),ISNUMBER(S49)),VLOOKUP(ABS(S50-S49),'IMP Table'!$A$2:$C$26,3)*SIGN(S50-S49),"")</f>
        <v/>
      </c>
      <c r="AE50">
        <f>IF(AND(ISNUMBER(S50),ISNUMBER(S51)),VLOOKUP(ABS(S50-S51),'IMP Table'!$A$2:$C$26,3)*SIGN(S50-S51),"")</f>
        <v/>
      </c>
      <c r="AF50">
        <f>IF(AND(ISNUMBER(R50),ISNUMBER(R45)),IF(R50&gt;R45,1,IF(R50=R45,0.5,0)),0.5)</f>
        <v/>
      </c>
      <c r="AG50">
        <f>IF(AND(ISNUMBER(R50),ISNUMBER(R46)),IF(R50&gt;R46,1,IF(R50=R46,0.5,0)),0.5)</f>
        <v/>
      </c>
      <c r="AH50">
        <f>IF(AND(ISNUMBER(R50),ISNUMBER(R47)),IF(R50&gt;R47,1,IF(R50=R47,0.5,0)),0.5)</f>
        <v/>
      </c>
      <c r="AI50">
        <f>IF(AND(ISNUMBER(R50),ISNUMBER(R48)),IF(R50&gt;R48,1,IF(R50=R48,0.5,0)),0.5)</f>
        <v/>
      </c>
      <c r="AJ50">
        <f>IF(AND(ISNUMBER(R50),ISNUMBER(R49)),IF(R50&gt;R49,1,IF(R50=R49,0.5,0)),0.5)</f>
        <v/>
      </c>
      <c r="AK50">
        <f>IF(AND(ISNUMBER(R50),ISNUMBER(R51)),IF(R50&gt;R51,1,IF(R50=R51,0.5,0)),0.5)</f>
        <v/>
      </c>
      <c r="AL50">
        <f>IF(AND(ISNUMBER(S50),ISNUMBER(S45)),IF(S50&gt;S45,1,IF(S50=S45,0.5,0)),0.5)</f>
        <v/>
      </c>
      <c r="AM50">
        <f>IF(AND(ISNUMBER(S50),ISNUMBER(S46)),IF(S50&gt;S46,1,IF(S50=S46,0.5,0)),0.5)</f>
        <v/>
      </c>
      <c r="AN50">
        <f>IF(AND(ISNUMBER(S50),ISNUMBER(S47)),IF(S50&gt;S47,1,IF(S50=S47,0.5,0)),0.5)</f>
        <v/>
      </c>
      <c r="AO50">
        <f>IF(AND(ISNUMBER(S50),ISNUMBER(S48)),IF(S50&gt;S48,1,IF(S50=S48,0.5,0)),0.5)</f>
        <v/>
      </c>
      <c r="AP50">
        <f>IF(AND(ISNUMBER(S50),ISNUMBER(S49)),IF(S50&gt;S49,1,IF(S50=S49,0.5,0)),0.5)</f>
        <v/>
      </c>
      <c r="AQ50">
        <f>IF(AND(ISNUMBER(S50),ISNUMBER(S51)),IF(S50&gt;S51,1,IF(S50=S51,0.5,0)),0.5)</f>
        <v/>
      </c>
    </row>
    <row r="51">
      <c r="A51" s="13" t="n"/>
      <c r="B51" s="13">
        <f>'By Round'!A171</f>
        <v/>
      </c>
      <c r="C51" s="13">
        <f>'By Round'!B177</f>
        <v/>
      </c>
      <c r="D51" s="13">
        <f>'By Round'!C177</f>
        <v/>
      </c>
      <c r="E51" s="13">
        <f>'By Round'!D177</f>
        <v/>
      </c>
      <c r="F51" s="17" t="inlineStr">
        <is>
          <t>Both</t>
        </is>
      </c>
      <c r="G51" s="13">
        <f>IF(ISBLANK('By Round'!G177),"",'By Round'!G177)</f>
        <v/>
      </c>
      <c r="H51" s="13">
        <f>IF(ISBLANK('By Round'!H177),"",'By Round'!H177)</f>
        <v/>
      </c>
      <c r="I51" s="13">
        <f>IF(ISBLANK('By Round'!I177),"",'By Round'!I177)</f>
        <v/>
      </c>
      <c r="J51" s="13">
        <f>IF(ISBLANK('By Round'!J177),"",'By Round'!J177)</f>
        <v/>
      </c>
      <c r="K51" s="13">
        <f>IF(ISBLANK('By Round'!K177),"",'By Round'!K177)</f>
        <v/>
      </c>
      <c r="L51" s="18">
        <f>IFERROR(AVERAGE(T51:Y51),"")</f>
        <v/>
      </c>
      <c r="M51" s="19">
        <f>IFERROR(AVERAGE(Z51:AE51),"")</f>
        <v/>
      </c>
      <c r="N51" s="20">
        <f>P51/6</f>
        <v/>
      </c>
      <c r="O51" s="20">
        <f>Q51/6</f>
        <v/>
      </c>
      <c r="P51" s="19">
        <f>IFERROR(SUM(AF51:AK51),"")</f>
        <v/>
      </c>
      <c r="Q51" s="19">
        <f>IFERROR(SUM(AL51:AQ51),"")</f>
        <v/>
      </c>
      <c r="R51" s="21">
        <f>IF(ISNUMBER(J51),J51,IF(ISNUMBER(K51),-K51,""))</f>
        <v/>
      </c>
      <c r="S51" s="13">
        <f>IF(ISNUMBER(K51),K51,IF(ISNUMBER(J51),-J51,""))</f>
        <v/>
      </c>
      <c r="T51" s="13">
        <f>IF(AND(ISNUMBER(R51),ISNUMBER(R45)),VLOOKUP(ABS(R51-R45),'IMP Table'!$A$2:$C$26,3)*SIGN(R51-R45),"")</f>
        <v/>
      </c>
      <c r="U51" s="13">
        <f>IF(AND(ISNUMBER(R51),ISNUMBER(R46)),VLOOKUP(ABS(R51-R46),'IMP Table'!$A$2:$C$26,3)*SIGN(R51-R46),"")</f>
        <v/>
      </c>
      <c r="V51" s="13">
        <f>IF(AND(ISNUMBER(R51),ISNUMBER(R47)),VLOOKUP(ABS(R51-R47),'IMP Table'!$A$2:$C$26,3)*SIGN(R51-R47),"")</f>
        <v/>
      </c>
      <c r="W51" s="13">
        <f>IF(AND(ISNUMBER(R51),ISNUMBER(R48)),VLOOKUP(ABS(R51-R48),'IMP Table'!$A$2:$C$26,3)*SIGN(R51-R48),"")</f>
        <v/>
      </c>
      <c r="X51" s="13">
        <f>IF(AND(ISNUMBER(R51),ISNUMBER(R49)),VLOOKUP(ABS(R51-R49),'IMP Table'!$A$2:$C$26,3)*SIGN(R51-R49),"")</f>
        <v/>
      </c>
      <c r="Y51" s="13">
        <f>IF(AND(ISNUMBER(R51),ISNUMBER(R50)),VLOOKUP(ABS(R51-R50),'IMP Table'!$A$2:$C$26,3)*SIGN(R51-R50),"")</f>
        <v/>
      </c>
      <c r="Z51" s="13">
        <f>IF(AND(ISNUMBER(S51),ISNUMBER(S45)),VLOOKUP(ABS(S51-S45),'IMP Table'!$A$2:$C$26,3)*SIGN(S51-S45),"")</f>
        <v/>
      </c>
      <c r="AA51" s="13">
        <f>IF(AND(ISNUMBER(S51),ISNUMBER(S46)),VLOOKUP(ABS(S51-S46),'IMP Table'!$A$2:$C$26,3)*SIGN(S51-S46),"")</f>
        <v/>
      </c>
      <c r="AB51" s="13">
        <f>IF(AND(ISNUMBER(S51),ISNUMBER(S47)),VLOOKUP(ABS(S51-S47),'IMP Table'!$A$2:$C$26,3)*SIGN(S51-S47),"")</f>
        <v/>
      </c>
      <c r="AC51" s="13">
        <f>IF(AND(ISNUMBER(S51),ISNUMBER(S48)),VLOOKUP(ABS(S51-S48),'IMP Table'!$A$2:$C$26,3)*SIGN(S51-S48),"")</f>
        <v/>
      </c>
      <c r="AD51" s="13">
        <f>IF(AND(ISNUMBER(S51),ISNUMBER(S49)),VLOOKUP(ABS(S51-S49),'IMP Table'!$A$2:$C$26,3)*SIGN(S51-S49),"")</f>
        <v/>
      </c>
      <c r="AE51" s="13">
        <f>IF(AND(ISNUMBER(S51),ISNUMBER(S50)),VLOOKUP(ABS(S51-S50),'IMP Table'!$A$2:$C$26,3)*SIGN(S51-S50),"")</f>
        <v/>
      </c>
      <c r="AF51" s="13">
        <f>IF(AND(ISNUMBER(R51),ISNUMBER(R45)),IF(R51&gt;R45,1,IF(R51=R45,0.5,0)),0.5)</f>
        <v/>
      </c>
      <c r="AG51" s="13">
        <f>IF(AND(ISNUMBER(R51),ISNUMBER(R46)),IF(R51&gt;R46,1,IF(R51=R46,0.5,0)),0.5)</f>
        <v/>
      </c>
      <c r="AH51" s="13">
        <f>IF(AND(ISNUMBER(R51),ISNUMBER(R47)),IF(R51&gt;R47,1,IF(R51=R47,0.5,0)),0.5)</f>
        <v/>
      </c>
      <c r="AI51" s="13">
        <f>IF(AND(ISNUMBER(R51),ISNUMBER(R48)),IF(R51&gt;R48,1,IF(R51=R48,0.5,0)),0.5)</f>
        <v/>
      </c>
      <c r="AJ51" s="13">
        <f>IF(AND(ISNUMBER(R51),ISNUMBER(R49)),IF(R51&gt;R49,1,IF(R51=R49,0.5,0)),0.5)</f>
        <v/>
      </c>
      <c r="AK51" s="13">
        <f>IF(AND(ISNUMBER(R51),ISNUMBER(R50)),IF(R51&gt;R50,1,IF(R51=R50,0.5,0)),0.5)</f>
        <v/>
      </c>
      <c r="AL51" s="13">
        <f>IF(AND(ISNUMBER(S51),ISNUMBER(S45)),IF(S51&gt;S45,1,IF(S51=S45,0.5,0)),0.5)</f>
        <v/>
      </c>
      <c r="AM51" s="13">
        <f>IF(AND(ISNUMBER(S51),ISNUMBER(S46)),IF(S51&gt;S46,1,IF(S51=S46,0.5,0)),0.5)</f>
        <v/>
      </c>
      <c r="AN51" s="13">
        <f>IF(AND(ISNUMBER(S51),ISNUMBER(S47)),IF(S51&gt;S47,1,IF(S51=S47,0.5,0)),0.5)</f>
        <v/>
      </c>
      <c r="AO51" s="13">
        <f>IF(AND(ISNUMBER(S51),ISNUMBER(S48)),IF(S51&gt;S48,1,IF(S51=S48,0.5,0)),0.5)</f>
        <v/>
      </c>
      <c r="AP51" s="13">
        <f>IF(AND(ISNUMBER(S51),ISNUMBER(S49)),IF(S51&gt;S49,1,IF(S51=S49,0.5,0)),0.5)</f>
        <v/>
      </c>
      <c r="AQ51" s="13">
        <f>IF(AND(ISNUMBER(S51),ISNUMBER(S50)),IF(S51&gt;S50,1,IF(S51=S50,0.5,0)),0.5)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4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5">
        <f>IFERROR(AVERAGE(T52:Y52),"")</f>
        <v/>
      </c>
      <c r="M52" s="4">
        <f>IFERROR(AVERAGE(Z52:AE52),"")</f>
        <v/>
      </c>
      <c r="N52" s="5">
        <f>P52/6</f>
        <v/>
      </c>
      <c r="O52" s="5">
        <f>Q52/6</f>
        <v/>
      </c>
      <c r="P52" s="4">
        <f>IFERROR(SUM(AF52:AK52),"")</f>
        <v/>
      </c>
      <c r="Q52" s="4">
        <f>IFERROR(SUM(AL52:AQ52),"")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IF(AND(ISNUMBER(R52),ISNUMBER(R53)),VLOOKUP(ABS(R52-R53),'IMP Table'!$A$2:$C$26,3)*SIGN(R52-R53),"")</f>
        <v/>
      </c>
      <c r="U52">
        <f>IF(AND(ISNUMBER(R52),ISNUMBER(R54)),VLOOKUP(ABS(R52-R54),'IMP Table'!$A$2:$C$26,3)*SIGN(R52-R54),"")</f>
        <v/>
      </c>
      <c r="V52">
        <f>IF(AND(ISNUMBER(R52),ISNUMBER(R55)),VLOOKUP(ABS(R52-R55),'IMP Table'!$A$2:$C$26,3)*SIGN(R52-R55),"")</f>
        <v/>
      </c>
      <c r="W52">
        <f>IF(AND(ISNUMBER(R52),ISNUMBER(R56)),VLOOKUP(ABS(R52-R56),'IMP Table'!$A$2:$C$26,3)*SIGN(R52-R56),"")</f>
        <v/>
      </c>
      <c r="X52">
        <f>IF(AND(ISNUMBER(R52),ISNUMBER(R57)),VLOOKUP(ABS(R52-R57),'IMP Table'!$A$2:$C$26,3)*SIGN(R52-R57),"")</f>
        <v/>
      </c>
      <c r="Y52">
        <f>IF(AND(ISNUMBER(R52),ISNUMBER(R58)),VLOOKUP(ABS(R52-R58),'IMP Table'!$A$2:$C$26,3)*SIGN(R52-R58),"")</f>
        <v/>
      </c>
      <c r="Z52">
        <f>IF(AND(ISNUMBER(S52),ISNUMBER(S53)),VLOOKUP(ABS(S52-S53),'IMP Table'!$A$2:$C$26,3)*SIGN(S52-S53),"")</f>
        <v/>
      </c>
      <c r="AA52">
        <f>IF(AND(ISNUMBER(S52),ISNUMBER(S54)),VLOOKUP(ABS(S52-S54),'IMP Table'!$A$2:$C$26,3)*SIGN(S52-S54),"")</f>
        <v/>
      </c>
      <c r="AB52">
        <f>IF(AND(ISNUMBER(S52),ISNUMBER(S55)),VLOOKUP(ABS(S52-S55),'IMP Table'!$A$2:$C$26,3)*SIGN(S52-S55),"")</f>
        <v/>
      </c>
      <c r="AC52">
        <f>IF(AND(ISNUMBER(S52),ISNUMBER(S56)),VLOOKUP(ABS(S52-S56),'IMP Table'!$A$2:$C$26,3)*SIGN(S52-S56),"")</f>
        <v/>
      </c>
      <c r="AD52">
        <f>IF(AND(ISNUMBER(S52),ISNUMBER(S57)),VLOOKUP(ABS(S52-S57),'IMP Table'!$A$2:$C$26,3)*SIGN(S52-S57),"")</f>
        <v/>
      </c>
      <c r="AE52">
        <f>IF(AND(ISNUMBER(S52),ISNUMBER(S58)),VLOOKUP(ABS(S52-S58),'IMP Table'!$A$2:$C$26,3)*SIGN(S52-S58),"")</f>
        <v/>
      </c>
      <c r="AF52">
        <f>IF(AND(ISNUMBER(R52),ISNUMBER(R53)),IF(R52&gt;R53,1,IF(R52=R53,0.5,0)),0.5)</f>
        <v/>
      </c>
      <c r="AG52">
        <f>IF(AND(ISNUMBER(R52),ISNUMBER(R54)),IF(R52&gt;R54,1,IF(R52=R54,0.5,0)),0.5)</f>
        <v/>
      </c>
      <c r="AH52">
        <f>IF(AND(ISNUMBER(R52),ISNUMBER(R55)),IF(R52&gt;R55,1,IF(R52=R55,0.5,0)),0.5)</f>
        <v/>
      </c>
      <c r="AI52">
        <f>IF(AND(ISNUMBER(R52),ISNUMBER(R56)),IF(R52&gt;R56,1,IF(R52=R56,0.5,0)),0.5)</f>
        <v/>
      </c>
      <c r="AJ52">
        <f>IF(AND(ISNUMBER(R52),ISNUMBER(R57)),IF(R52&gt;R57,1,IF(R52=R57,0.5,0)),0.5)</f>
        <v/>
      </c>
      <c r="AK52">
        <f>IF(AND(ISNUMBER(R52),ISNUMBER(R58)),IF(R52&gt;R58,1,IF(R52=R58,0.5,0)),0.5)</f>
        <v/>
      </c>
      <c r="AL52">
        <f>IF(AND(ISNUMBER(S52),ISNUMBER(S53)),IF(S52&gt;S53,1,IF(S52=S53,0.5,0)),0.5)</f>
        <v/>
      </c>
      <c r="AM52">
        <f>IF(AND(ISNUMBER(S52),ISNUMBER(S54)),IF(S52&gt;S54,1,IF(S52=S54,0.5,0)),0.5)</f>
        <v/>
      </c>
      <c r="AN52">
        <f>IF(AND(ISNUMBER(S52),ISNUMBER(S55)),IF(S52&gt;S55,1,IF(S52=S55,0.5,0)),0.5)</f>
        <v/>
      </c>
      <c r="AO52">
        <f>IF(AND(ISNUMBER(S52),ISNUMBER(S56)),IF(S52&gt;S56,1,IF(S52=S56,0.5,0)),0.5)</f>
        <v/>
      </c>
      <c r="AP52">
        <f>IF(AND(ISNUMBER(S52),ISNUMBER(S57)),IF(S52&gt;S57,1,IF(S52=S57,0.5,0)),0.5)</f>
        <v/>
      </c>
      <c r="AQ52">
        <f>IF(AND(ISNUMBER(S52),ISNUMBER(S58)),IF(S52&gt;S58,1,IF(S52=S58,0.5,0)),0.5)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4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5">
        <f>IFERROR(AVERAGE(T53:Y53),"")</f>
        <v/>
      </c>
      <c r="M53" s="4">
        <f>IFERROR(AVERAGE(Z53:AE53),"")</f>
        <v/>
      </c>
      <c r="N53" s="5">
        <f>P53/6</f>
        <v/>
      </c>
      <c r="O53" s="5">
        <f>Q53/6</f>
        <v/>
      </c>
      <c r="P53" s="4">
        <f>IFERROR(SUM(AF53:AK53),"")</f>
        <v/>
      </c>
      <c r="Q53" s="4">
        <f>IFERROR(SUM(AL53:AQ53),"")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IF(AND(ISNUMBER(R53),ISNUMBER(R52)),VLOOKUP(ABS(R53-R52),'IMP Table'!$A$2:$C$26,3)*SIGN(R53-R52),"")</f>
        <v/>
      </c>
      <c r="U53">
        <f>IF(AND(ISNUMBER(R53),ISNUMBER(R54)),VLOOKUP(ABS(R53-R54),'IMP Table'!$A$2:$C$26,3)*SIGN(R53-R54),"")</f>
        <v/>
      </c>
      <c r="V53">
        <f>IF(AND(ISNUMBER(R53),ISNUMBER(R55)),VLOOKUP(ABS(R53-R55),'IMP Table'!$A$2:$C$26,3)*SIGN(R53-R55),"")</f>
        <v/>
      </c>
      <c r="W53">
        <f>IF(AND(ISNUMBER(R53),ISNUMBER(R56)),VLOOKUP(ABS(R53-R56),'IMP Table'!$A$2:$C$26,3)*SIGN(R53-R56),"")</f>
        <v/>
      </c>
      <c r="X53">
        <f>IF(AND(ISNUMBER(R53),ISNUMBER(R57)),VLOOKUP(ABS(R53-R57),'IMP Table'!$A$2:$C$26,3)*SIGN(R53-R57),"")</f>
        <v/>
      </c>
      <c r="Y53">
        <f>IF(AND(ISNUMBER(R53),ISNUMBER(R58)),VLOOKUP(ABS(R53-R58),'IMP Table'!$A$2:$C$26,3)*SIGN(R53-R58),"")</f>
        <v/>
      </c>
      <c r="Z53">
        <f>IF(AND(ISNUMBER(S53),ISNUMBER(S52)),VLOOKUP(ABS(S53-S52),'IMP Table'!$A$2:$C$26,3)*SIGN(S53-S52),"")</f>
        <v/>
      </c>
      <c r="AA53">
        <f>IF(AND(ISNUMBER(S53),ISNUMBER(S54)),VLOOKUP(ABS(S53-S54),'IMP Table'!$A$2:$C$26,3)*SIGN(S53-S54),"")</f>
        <v/>
      </c>
      <c r="AB53">
        <f>IF(AND(ISNUMBER(S53),ISNUMBER(S55)),VLOOKUP(ABS(S53-S55),'IMP Table'!$A$2:$C$26,3)*SIGN(S53-S55),"")</f>
        <v/>
      </c>
      <c r="AC53">
        <f>IF(AND(ISNUMBER(S53),ISNUMBER(S56)),VLOOKUP(ABS(S53-S56),'IMP Table'!$A$2:$C$26,3)*SIGN(S53-S56),"")</f>
        <v/>
      </c>
      <c r="AD53">
        <f>IF(AND(ISNUMBER(S53),ISNUMBER(S57)),VLOOKUP(ABS(S53-S57),'IMP Table'!$A$2:$C$26,3)*SIGN(S53-S57),"")</f>
        <v/>
      </c>
      <c r="AE53">
        <f>IF(AND(ISNUMBER(S53),ISNUMBER(S58)),VLOOKUP(ABS(S53-S58),'IMP Table'!$A$2:$C$26,3)*SIGN(S53-S58),"")</f>
        <v/>
      </c>
      <c r="AF53">
        <f>IF(AND(ISNUMBER(R53),ISNUMBER(R52)),IF(R53&gt;R52,1,IF(R53=R52,0.5,0)),0.5)</f>
        <v/>
      </c>
      <c r="AG53">
        <f>IF(AND(ISNUMBER(R53),ISNUMBER(R54)),IF(R53&gt;R54,1,IF(R53=R54,0.5,0)),0.5)</f>
        <v/>
      </c>
      <c r="AH53">
        <f>IF(AND(ISNUMBER(R53),ISNUMBER(R55)),IF(R53&gt;R55,1,IF(R53=R55,0.5,0)),0.5)</f>
        <v/>
      </c>
      <c r="AI53">
        <f>IF(AND(ISNUMBER(R53),ISNUMBER(R56)),IF(R53&gt;R56,1,IF(R53=R56,0.5,0)),0.5)</f>
        <v/>
      </c>
      <c r="AJ53">
        <f>IF(AND(ISNUMBER(R53),ISNUMBER(R57)),IF(R53&gt;R57,1,IF(R53=R57,0.5,0)),0.5)</f>
        <v/>
      </c>
      <c r="AK53">
        <f>IF(AND(ISNUMBER(R53),ISNUMBER(R58)),IF(R53&gt;R58,1,IF(R53=R58,0.5,0)),0.5)</f>
        <v/>
      </c>
      <c r="AL53">
        <f>IF(AND(ISNUMBER(S53),ISNUMBER(S52)),IF(S53&gt;S52,1,IF(S53=S52,0.5,0)),0.5)</f>
        <v/>
      </c>
      <c r="AM53">
        <f>IF(AND(ISNUMBER(S53),ISNUMBER(S54)),IF(S53&gt;S54,1,IF(S53=S54,0.5,0)),0.5)</f>
        <v/>
      </c>
      <c r="AN53">
        <f>IF(AND(ISNUMBER(S53),ISNUMBER(S55)),IF(S53&gt;S55,1,IF(S53=S55,0.5,0)),0.5)</f>
        <v/>
      </c>
      <c r="AO53">
        <f>IF(AND(ISNUMBER(S53),ISNUMBER(S56)),IF(S53&gt;S56,1,IF(S53=S56,0.5,0)),0.5)</f>
        <v/>
      </c>
      <c r="AP53">
        <f>IF(AND(ISNUMBER(S53),ISNUMBER(S57)),IF(S53&gt;S57,1,IF(S53=S57,0.5,0)),0.5)</f>
        <v/>
      </c>
      <c r="AQ53">
        <f>IF(AND(ISNUMBER(S53),ISNUMBER(S58)),IF(S53&gt;S58,1,IF(S53=S58,0.5,0)),0.5)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4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5">
        <f>IFERROR(AVERAGE(T54:Y54),"")</f>
        <v/>
      </c>
      <c r="M54" s="4">
        <f>IFERROR(AVERAGE(Z54:AE54),"")</f>
        <v/>
      </c>
      <c r="N54" s="5">
        <f>P54/6</f>
        <v/>
      </c>
      <c r="O54" s="5">
        <f>Q54/6</f>
        <v/>
      </c>
      <c r="P54" s="4">
        <f>IFERROR(SUM(AF54:AK54),"")</f>
        <v/>
      </c>
      <c r="Q54" s="4">
        <f>IFERROR(SUM(AL54:AQ54),"")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IF(AND(ISNUMBER(R54),ISNUMBER(R52)),VLOOKUP(ABS(R54-R52),'IMP Table'!$A$2:$C$26,3)*SIGN(R54-R52),"")</f>
        <v/>
      </c>
      <c r="U54">
        <f>IF(AND(ISNUMBER(R54),ISNUMBER(R53)),VLOOKUP(ABS(R54-R53),'IMP Table'!$A$2:$C$26,3)*SIGN(R54-R53),"")</f>
        <v/>
      </c>
      <c r="V54">
        <f>IF(AND(ISNUMBER(R54),ISNUMBER(R55)),VLOOKUP(ABS(R54-R55),'IMP Table'!$A$2:$C$26,3)*SIGN(R54-R55),"")</f>
        <v/>
      </c>
      <c r="W54">
        <f>IF(AND(ISNUMBER(R54),ISNUMBER(R56)),VLOOKUP(ABS(R54-R56),'IMP Table'!$A$2:$C$26,3)*SIGN(R54-R56),"")</f>
        <v/>
      </c>
      <c r="X54">
        <f>IF(AND(ISNUMBER(R54),ISNUMBER(R57)),VLOOKUP(ABS(R54-R57),'IMP Table'!$A$2:$C$26,3)*SIGN(R54-R57),"")</f>
        <v/>
      </c>
      <c r="Y54">
        <f>IF(AND(ISNUMBER(R54),ISNUMBER(R58)),VLOOKUP(ABS(R54-R58),'IMP Table'!$A$2:$C$26,3)*SIGN(R54-R58),"")</f>
        <v/>
      </c>
      <c r="Z54">
        <f>IF(AND(ISNUMBER(S54),ISNUMBER(S52)),VLOOKUP(ABS(S54-S52),'IMP Table'!$A$2:$C$26,3)*SIGN(S54-S52),"")</f>
        <v/>
      </c>
      <c r="AA54">
        <f>IF(AND(ISNUMBER(S54),ISNUMBER(S53)),VLOOKUP(ABS(S54-S53),'IMP Table'!$A$2:$C$26,3)*SIGN(S54-S53),"")</f>
        <v/>
      </c>
      <c r="AB54">
        <f>IF(AND(ISNUMBER(S54),ISNUMBER(S55)),VLOOKUP(ABS(S54-S55),'IMP Table'!$A$2:$C$26,3)*SIGN(S54-S55),"")</f>
        <v/>
      </c>
      <c r="AC54">
        <f>IF(AND(ISNUMBER(S54),ISNUMBER(S56)),VLOOKUP(ABS(S54-S56),'IMP Table'!$A$2:$C$26,3)*SIGN(S54-S56),"")</f>
        <v/>
      </c>
      <c r="AD54">
        <f>IF(AND(ISNUMBER(S54),ISNUMBER(S57)),VLOOKUP(ABS(S54-S57),'IMP Table'!$A$2:$C$26,3)*SIGN(S54-S57),"")</f>
        <v/>
      </c>
      <c r="AE54">
        <f>IF(AND(ISNUMBER(S54),ISNUMBER(S58)),VLOOKUP(ABS(S54-S58),'IMP Table'!$A$2:$C$26,3)*SIGN(S54-S58),"")</f>
        <v/>
      </c>
      <c r="AF54">
        <f>IF(AND(ISNUMBER(R54),ISNUMBER(R52)),IF(R54&gt;R52,1,IF(R54=R52,0.5,0)),0.5)</f>
        <v/>
      </c>
      <c r="AG54">
        <f>IF(AND(ISNUMBER(R54),ISNUMBER(R53)),IF(R54&gt;R53,1,IF(R54=R53,0.5,0)),0.5)</f>
        <v/>
      </c>
      <c r="AH54">
        <f>IF(AND(ISNUMBER(R54),ISNUMBER(R55)),IF(R54&gt;R55,1,IF(R54=R55,0.5,0)),0.5)</f>
        <v/>
      </c>
      <c r="AI54">
        <f>IF(AND(ISNUMBER(R54),ISNUMBER(R56)),IF(R54&gt;R56,1,IF(R54=R56,0.5,0)),0.5)</f>
        <v/>
      </c>
      <c r="AJ54">
        <f>IF(AND(ISNUMBER(R54),ISNUMBER(R57)),IF(R54&gt;R57,1,IF(R54=R57,0.5,0)),0.5)</f>
        <v/>
      </c>
      <c r="AK54">
        <f>IF(AND(ISNUMBER(R54),ISNUMBER(R58)),IF(R54&gt;R58,1,IF(R54=R58,0.5,0)),0.5)</f>
        <v/>
      </c>
      <c r="AL54">
        <f>IF(AND(ISNUMBER(S54),ISNUMBER(S52)),IF(S54&gt;S52,1,IF(S54=S52,0.5,0)),0.5)</f>
        <v/>
      </c>
      <c r="AM54">
        <f>IF(AND(ISNUMBER(S54),ISNUMBER(S53)),IF(S54&gt;S53,1,IF(S54=S53,0.5,0)),0.5)</f>
        <v/>
      </c>
      <c r="AN54">
        <f>IF(AND(ISNUMBER(S54),ISNUMBER(S55)),IF(S54&gt;S55,1,IF(S54=S55,0.5,0)),0.5)</f>
        <v/>
      </c>
      <c r="AO54">
        <f>IF(AND(ISNUMBER(S54),ISNUMBER(S56)),IF(S54&gt;S56,1,IF(S54=S56,0.5,0)),0.5)</f>
        <v/>
      </c>
      <c r="AP54">
        <f>IF(AND(ISNUMBER(S54),ISNUMBER(S57)),IF(S54&gt;S57,1,IF(S54=S57,0.5,0)),0.5)</f>
        <v/>
      </c>
      <c r="AQ54">
        <f>IF(AND(ISNUMBER(S54),ISNUMBER(S58)),IF(S54&gt;S58,1,IF(S54=S58,0.5,0)),0.5)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4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5">
        <f>IFERROR(AVERAGE(T55:Y55),"")</f>
        <v/>
      </c>
      <c r="M55" s="4">
        <f>IFERROR(AVERAGE(Z55:AE55),"")</f>
        <v/>
      </c>
      <c r="N55" s="5">
        <f>P55/6</f>
        <v/>
      </c>
      <c r="O55" s="5">
        <f>Q55/6</f>
        <v/>
      </c>
      <c r="P55" s="4">
        <f>IFERROR(SUM(AF55:AK55),"")</f>
        <v/>
      </c>
      <c r="Q55" s="4">
        <f>IFERROR(SUM(AL55:AQ55),"")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IF(AND(ISNUMBER(R55),ISNUMBER(R52)),VLOOKUP(ABS(R55-R52),'IMP Table'!$A$2:$C$26,3)*SIGN(R55-R52),"")</f>
        <v/>
      </c>
      <c r="U55">
        <f>IF(AND(ISNUMBER(R55),ISNUMBER(R53)),VLOOKUP(ABS(R55-R53),'IMP Table'!$A$2:$C$26,3)*SIGN(R55-R53),"")</f>
        <v/>
      </c>
      <c r="V55">
        <f>IF(AND(ISNUMBER(R55),ISNUMBER(R54)),VLOOKUP(ABS(R55-R54),'IMP Table'!$A$2:$C$26,3)*SIGN(R55-R54),"")</f>
        <v/>
      </c>
      <c r="W55">
        <f>IF(AND(ISNUMBER(R55),ISNUMBER(R56)),VLOOKUP(ABS(R55-R56),'IMP Table'!$A$2:$C$26,3)*SIGN(R55-R56),"")</f>
        <v/>
      </c>
      <c r="X55">
        <f>IF(AND(ISNUMBER(R55),ISNUMBER(R57)),VLOOKUP(ABS(R55-R57),'IMP Table'!$A$2:$C$26,3)*SIGN(R55-R57),"")</f>
        <v/>
      </c>
      <c r="Y55">
        <f>IF(AND(ISNUMBER(R55),ISNUMBER(R58)),VLOOKUP(ABS(R55-R58),'IMP Table'!$A$2:$C$26,3)*SIGN(R55-R58),"")</f>
        <v/>
      </c>
      <c r="Z55">
        <f>IF(AND(ISNUMBER(S55),ISNUMBER(S52)),VLOOKUP(ABS(S55-S52),'IMP Table'!$A$2:$C$26,3)*SIGN(S55-S52),"")</f>
        <v/>
      </c>
      <c r="AA55">
        <f>IF(AND(ISNUMBER(S55),ISNUMBER(S53)),VLOOKUP(ABS(S55-S53),'IMP Table'!$A$2:$C$26,3)*SIGN(S55-S53),"")</f>
        <v/>
      </c>
      <c r="AB55">
        <f>IF(AND(ISNUMBER(S55),ISNUMBER(S54)),VLOOKUP(ABS(S55-S54),'IMP Table'!$A$2:$C$26,3)*SIGN(S55-S54),"")</f>
        <v/>
      </c>
      <c r="AC55">
        <f>IF(AND(ISNUMBER(S55),ISNUMBER(S56)),VLOOKUP(ABS(S55-S56),'IMP Table'!$A$2:$C$26,3)*SIGN(S55-S56),"")</f>
        <v/>
      </c>
      <c r="AD55">
        <f>IF(AND(ISNUMBER(S55),ISNUMBER(S57)),VLOOKUP(ABS(S55-S57),'IMP Table'!$A$2:$C$26,3)*SIGN(S55-S57),"")</f>
        <v/>
      </c>
      <c r="AE55">
        <f>IF(AND(ISNUMBER(S55),ISNUMBER(S58)),VLOOKUP(ABS(S55-S58),'IMP Table'!$A$2:$C$26,3)*SIGN(S55-S58),"")</f>
        <v/>
      </c>
      <c r="AF55">
        <f>IF(AND(ISNUMBER(R55),ISNUMBER(R52)),IF(R55&gt;R52,1,IF(R55=R52,0.5,0)),0.5)</f>
        <v/>
      </c>
      <c r="AG55">
        <f>IF(AND(ISNUMBER(R55),ISNUMBER(R53)),IF(R55&gt;R53,1,IF(R55=R53,0.5,0)),0.5)</f>
        <v/>
      </c>
      <c r="AH55">
        <f>IF(AND(ISNUMBER(R55),ISNUMBER(R54)),IF(R55&gt;R54,1,IF(R55=R54,0.5,0)),0.5)</f>
        <v/>
      </c>
      <c r="AI55">
        <f>IF(AND(ISNUMBER(R55),ISNUMBER(R56)),IF(R55&gt;R56,1,IF(R55=R56,0.5,0)),0.5)</f>
        <v/>
      </c>
      <c r="AJ55">
        <f>IF(AND(ISNUMBER(R55),ISNUMBER(R57)),IF(R55&gt;R57,1,IF(R55=R57,0.5,0)),0.5)</f>
        <v/>
      </c>
      <c r="AK55">
        <f>IF(AND(ISNUMBER(R55),ISNUMBER(R58)),IF(R55&gt;R58,1,IF(R55=R58,0.5,0)),0.5)</f>
        <v/>
      </c>
      <c r="AL55">
        <f>IF(AND(ISNUMBER(S55),ISNUMBER(S52)),IF(S55&gt;S52,1,IF(S55=S52,0.5,0)),0.5)</f>
        <v/>
      </c>
      <c r="AM55">
        <f>IF(AND(ISNUMBER(S55),ISNUMBER(S53)),IF(S55&gt;S53,1,IF(S55=S53,0.5,0)),0.5)</f>
        <v/>
      </c>
      <c r="AN55">
        <f>IF(AND(ISNUMBER(S55),ISNUMBER(S54)),IF(S55&gt;S54,1,IF(S55=S54,0.5,0)),0.5)</f>
        <v/>
      </c>
      <c r="AO55">
        <f>IF(AND(ISNUMBER(S55),ISNUMBER(S56)),IF(S55&gt;S56,1,IF(S55=S56,0.5,0)),0.5)</f>
        <v/>
      </c>
      <c r="AP55">
        <f>IF(AND(ISNUMBER(S55),ISNUMBER(S57)),IF(S55&gt;S57,1,IF(S55=S57,0.5,0)),0.5)</f>
        <v/>
      </c>
      <c r="AQ55">
        <f>IF(AND(ISNUMBER(S55),ISNUMBER(S58)),IF(S55&gt;S58,1,IF(S55=S58,0.5,0)),0.5)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4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5">
        <f>IFERROR(AVERAGE(T56:Y56),"")</f>
        <v/>
      </c>
      <c r="M56" s="4">
        <f>IFERROR(AVERAGE(Z56:AE56),"")</f>
        <v/>
      </c>
      <c r="N56" s="5">
        <f>P56/6</f>
        <v/>
      </c>
      <c r="O56" s="5">
        <f>Q56/6</f>
        <v/>
      </c>
      <c r="P56" s="4">
        <f>IFERROR(SUM(AF56:AK56),"")</f>
        <v/>
      </c>
      <c r="Q56" s="4">
        <f>IFERROR(SUM(AL56:AQ56),"")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IF(AND(ISNUMBER(R56),ISNUMBER(R52)),VLOOKUP(ABS(R56-R52),'IMP Table'!$A$2:$C$26,3)*SIGN(R56-R52),"")</f>
        <v/>
      </c>
      <c r="U56">
        <f>IF(AND(ISNUMBER(R56),ISNUMBER(R53)),VLOOKUP(ABS(R56-R53),'IMP Table'!$A$2:$C$26,3)*SIGN(R56-R53),"")</f>
        <v/>
      </c>
      <c r="V56">
        <f>IF(AND(ISNUMBER(R56),ISNUMBER(R54)),VLOOKUP(ABS(R56-R54),'IMP Table'!$A$2:$C$26,3)*SIGN(R56-R54),"")</f>
        <v/>
      </c>
      <c r="W56">
        <f>IF(AND(ISNUMBER(R56),ISNUMBER(R55)),VLOOKUP(ABS(R56-R55),'IMP Table'!$A$2:$C$26,3)*SIGN(R56-R55),"")</f>
        <v/>
      </c>
      <c r="X56">
        <f>IF(AND(ISNUMBER(R56),ISNUMBER(R57)),VLOOKUP(ABS(R56-R57),'IMP Table'!$A$2:$C$26,3)*SIGN(R56-R57),"")</f>
        <v/>
      </c>
      <c r="Y56">
        <f>IF(AND(ISNUMBER(R56),ISNUMBER(R58)),VLOOKUP(ABS(R56-R58),'IMP Table'!$A$2:$C$26,3)*SIGN(R56-R58),"")</f>
        <v/>
      </c>
      <c r="Z56">
        <f>IF(AND(ISNUMBER(S56),ISNUMBER(S52)),VLOOKUP(ABS(S56-S52),'IMP Table'!$A$2:$C$26,3)*SIGN(S56-S52),"")</f>
        <v/>
      </c>
      <c r="AA56">
        <f>IF(AND(ISNUMBER(S56),ISNUMBER(S53)),VLOOKUP(ABS(S56-S53),'IMP Table'!$A$2:$C$26,3)*SIGN(S56-S53),"")</f>
        <v/>
      </c>
      <c r="AB56">
        <f>IF(AND(ISNUMBER(S56),ISNUMBER(S54)),VLOOKUP(ABS(S56-S54),'IMP Table'!$A$2:$C$26,3)*SIGN(S56-S54),"")</f>
        <v/>
      </c>
      <c r="AC56">
        <f>IF(AND(ISNUMBER(S56),ISNUMBER(S55)),VLOOKUP(ABS(S56-S55),'IMP Table'!$A$2:$C$26,3)*SIGN(S56-S55),"")</f>
        <v/>
      </c>
      <c r="AD56">
        <f>IF(AND(ISNUMBER(S56),ISNUMBER(S57)),VLOOKUP(ABS(S56-S57),'IMP Table'!$A$2:$C$26,3)*SIGN(S56-S57),"")</f>
        <v/>
      </c>
      <c r="AE56">
        <f>IF(AND(ISNUMBER(S56),ISNUMBER(S58)),VLOOKUP(ABS(S56-S58),'IMP Table'!$A$2:$C$26,3)*SIGN(S56-S58),"")</f>
        <v/>
      </c>
      <c r="AF56">
        <f>IF(AND(ISNUMBER(R56),ISNUMBER(R52)),IF(R56&gt;R52,1,IF(R56=R52,0.5,0)),0.5)</f>
        <v/>
      </c>
      <c r="AG56">
        <f>IF(AND(ISNUMBER(R56),ISNUMBER(R53)),IF(R56&gt;R53,1,IF(R56=R53,0.5,0)),0.5)</f>
        <v/>
      </c>
      <c r="AH56">
        <f>IF(AND(ISNUMBER(R56),ISNUMBER(R54)),IF(R56&gt;R54,1,IF(R56=R54,0.5,0)),0.5)</f>
        <v/>
      </c>
      <c r="AI56">
        <f>IF(AND(ISNUMBER(R56),ISNUMBER(R55)),IF(R56&gt;R55,1,IF(R56=R55,0.5,0)),0.5)</f>
        <v/>
      </c>
      <c r="AJ56">
        <f>IF(AND(ISNUMBER(R56),ISNUMBER(R57)),IF(R56&gt;R57,1,IF(R56=R57,0.5,0)),0.5)</f>
        <v/>
      </c>
      <c r="AK56">
        <f>IF(AND(ISNUMBER(R56),ISNUMBER(R58)),IF(R56&gt;R58,1,IF(R56=R58,0.5,0)),0.5)</f>
        <v/>
      </c>
      <c r="AL56">
        <f>IF(AND(ISNUMBER(S56),ISNUMBER(S52)),IF(S56&gt;S52,1,IF(S56=S52,0.5,0)),0.5)</f>
        <v/>
      </c>
      <c r="AM56">
        <f>IF(AND(ISNUMBER(S56),ISNUMBER(S53)),IF(S56&gt;S53,1,IF(S56=S53,0.5,0)),0.5)</f>
        <v/>
      </c>
      <c r="AN56">
        <f>IF(AND(ISNUMBER(S56),ISNUMBER(S54)),IF(S56&gt;S54,1,IF(S56=S54,0.5,0)),0.5)</f>
        <v/>
      </c>
      <c r="AO56">
        <f>IF(AND(ISNUMBER(S56),ISNUMBER(S55)),IF(S56&gt;S55,1,IF(S56=S55,0.5,0)),0.5)</f>
        <v/>
      </c>
      <c r="AP56">
        <f>IF(AND(ISNUMBER(S56),ISNUMBER(S57)),IF(S56&gt;S57,1,IF(S56=S57,0.5,0)),0.5)</f>
        <v/>
      </c>
      <c r="AQ56">
        <f>IF(AND(ISNUMBER(S56),ISNUMBER(S58)),IF(S56&gt;S58,1,IF(S56=S58,0.5,0)),0.5)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4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5">
        <f>IFERROR(AVERAGE(T57:Y57),"")</f>
        <v/>
      </c>
      <c r="M57" s="4">
        <f>IFERROR(AVERAGE(Z57:AE57),"")</f>
        <v/>
      </c>
      <c r="N57" s="5">
        <f>P57/6</f>
        <v/>
      </c>
      <c r="O57" s="5">
        <f>Q57/6</f>
        <v/>
      </c>
      <c r="P57" s="4">
        <f>IFERROR(SUM(AF57:AK57),"")</f>
        <v/>
      </c>
      <c r="Q57" s="4">
        <f>IFERROR(SUM(AL57:AQ57),"")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IF(AND(ISNUMBER(R57),ISNUMBER(R52)),VLOOKUP(ABS(R57-R52),'IMP Table'!$A$2:$C$26,3)*SIGN(R57-R52),"")</f>
        <v/>
      </c>
      <c r="U57">
        <f>IF(AND(ISNUMBER(R57),ISNUMBER(R53)),VLOOKUP(ABS(R57-R53),'IMP Table'!$A$2:$C$26,3)*SIGN(R57-R53),"")</f>
        <v/>
      </c>
      <c r="V57">
        <f>IF(AND(ISNUMBER(R57),ISNUMBER(R54)),VLOOKUP(ABS(R57-R54),'IMP Table'!$A$2:$C$26,3)*SIGN(R57-R54),"")</f>
        <v/>
      </c>
      <c r="W57">
        <f>IF(AND(ISNUMBER(R57),ISNUMBER(R55)),VLOOKUP(ABS(R57-R55),'IMP Table'!$A$2:$C$26,3)*SIGN(R57-R55),"")</f>
        <v/>
      </c>
      <c r="X57">
        <f>IF(AND(ISNUMBER(R57),ISNUMBER(R56)),VLOOKUP(ABS(R57-R56),'IMP Table'!$A$2:$C$26,3)*SIGN(R57-R56),"")</f>
        <v/>
      </c>
      <c r="Y57">
        <f>IF(AND(ISNUMBER(R57),ISNUMBER(R58)),VLOOKUP(ABS(R57-R58),'IMP Table'!$A$2:$C$26,3)*SIGN(R57-R58),"")</f>
        <v/>
      </c>
      <c r="Z57">
        <f>IF(AND(ISNUMBER(S57),ISNUMBER(S52)),VLOOKUP(ABS(S57-S52),'IMP Table'!$A$2:$C$26,3)*SIGN(S57-S52),"")</f>
        <v/>
      </c>
      <c r="AA57">
        <f>IF(AND(ISNUMBER(S57),ISNUMBER(S53)),VLOOKUP(ABS(S57-S53),'IMP Table'!$A$2:$C$26,3)*SIGN(S57-S53),"")</f>
        <v/>
      </c>
      <c r="AB57">
        <f>IF(AND(ISNUMBER(S57),ISNUMBER(S54)),VLOOKUP(ABS(S57-S54),'IMP Table'!$A$2:$C$26,3)*SIGN(S57-S54),"")</f>
        <v/>
      </c>
      <c r="AC57">
        <f>IF(AND(ISNUMBER(S57),ISNUMBER(S55)),VLOOKUP(ABS(S57-S55),'IMP Table'!$A$2:$C$26,3)*SIGN(S57-S55),"")</f>
        <v/>
      </c>
      <c r="AD57">
        <f>IF(AND(ISNUMBER(S57),ISNUMBER(S56)),VLOOKUP(ABS(S57-S56),'IMP Table'!$A$2:$C$26,3)*SIGN(S57-S56),"")</f>
        <v/>
      </c>
      <c r="AE57">
        <f>IF(AND(ISNUMBER(S57),ISNUMBER(S58)),VLOOKUP(ABS(S57-S58),'IMP Table'!$A$2:$C$26,3)*SIGN(S57-S58),"")</f>
        <v/>
      </c>
      <c r="AF57">
        <f>IF(AND(ISNUMBER(R57),ISNUMBER(R52)),IF(R57&gt;R52,1,IF(R57=R52,0.5,0)),0.5)</f>
        <v/>
      </c>
      <c r="AG57">
        <f>IF(AND(ISNUMBER(R57),ISNUMBER(R53)),IF(R57&gt;R53,1,IF(R57=R53,0.5,0)),0.5)</f>
        <v/>
      </c>
      <c r="AH57">
        <f>IF(AND(ISNUMBER(R57),ISNUMBER(R54)),IF(R57&gt;R54,1,IF(R57=R54,0.5,0)),0.5)</f>
        <v/>
      </c>
      <c r="AI57">
        <f>IF(AND(ISNUMBER(R57),ISNUMBER(R55)),IF(R57&gt;R55,1,IF(R57=R55,0.5,0)),0.5)</f>
        <v/>
      </c>
      <c r="AJ57">
        <f>IF(AND(ISNUMBER(R57),ISNUMBER(R56)),IF(R57&gt;R56,1,IF(R57=R56,0.5,0)),0.5)</f>
        <v/>
      </c>
      <c r="AK57">
        <f>IF(AND(ISNUMBER(R57),ISNUMBER(R58)),IF(R57&gt;R58,1,IF(R57=R58,0.5,0)),0.5)</f>
        <v/>
      </c>
      <c r="AL57">
        <f>IF(AND(ISNUMBER(S57),ISNUMBER(S52)),IF(S57&gt;S52,1,IF(S57=S52,0.5,0)),0.5)</f>
        <v/>
      </c>
      <c r="AM57">
        <f>IF(AND(ISNUMBER(S57),ISNUMBER(S53)),IF(S57&gt;S53,1,IF(S57=S53,0.5,0)),0.5)</f>
        <v/>
      </c>
      <c r="AN57">
        <f>IF(AND(ISNUMBER(S57),ISNUMBER(S54)),IF(S57&gt;S54,1,IF(S57=S54,0.5,0)),0.5)</f>
        <v/>
      </c>
      <c r="AO57">
        <f>IF(AND(ISNUMBER(S57),ISNUMBER(S55)),IF(S57&gt;S55,1,IF(S57=S55,0.5,0)),0.5)</f>
        <v/>
      </c>
      <c r="AP57">
        <f>IF(AND(ISNUMBER(S57),ISNUMBER(S56)),IF(S57&gt;S56,1,IF(S57=S56,0.5,0)),0.5)</f>
        <v/>
      </c>
      <c r="AQ57">
        <f>IF(AND(ISNUMBER(S57),ISNUMBER(S58)),IF(S57&gt;S58,1,IF(S57=S58,0.5,0)),0.5)</f>
        <v/>
      </c>
    </row>
    <row r="58">
      <c r="A58" s="13" t="n"/>
      <c r="B58" s="13">
        <f>'By Round'!A171</f>
        <v/>
      </c>
      <c r="C58" s="13">
        <f>'By Round'!B177</f>
        <v/>
      </c>
      <c r="D58" s="13">
        <f>'By Round'!C177</f>
        <v/>
      </c>
      <c r="E58" s="13">
        <f>'By Round'!D177</f>
        <v/>
      </c>
      <c r="F58" s="17" t="inlineStr">
        <is>
          <t>None</t>
        </is>
      </c>
      <c r="G58" s="13">
        <f>IF(ISBLANK('By Round'!G177),"",'By Round'!G177)</f>
        <v/>
      </c>
      <c r="H58" s="13">
        <f>IF(ISBLANK('By Round'!H177),"",'By Round'!H177)</f>
        <v/>
      </c>
      <c r="I58" s="13">
        <f>IF(ISBLANK('By Round'!I177),"",'By Round'!I177)</f>
        <v/>
      </c>
      <c r="J58" s="13">
        <f>IF(ISBLANK('By Round'!J177),"",'By Round'!J177)</f>
        <v/>
      </c>
      <c r="K58" s="13">
        <f>IF(ISBLANK('By Round'!K177),"",'By Round'!K177)</f>
        <v/>
      </c>
      <c r="L58" s="18">
        <f>IFERROR(AVERAGE(T58:Y58),"")</f>
        <v/>
      </c>
      <c r="M58" s="19">
        <f>IFERROR(AVERAGE(Z58:AE58),"")</f>
        <v/>
      </c>
      <c r="N58" s="20">
        <f>P58/6</f>
        <v/>
      </c>
      <c r="O58" s="20">
        <f>Q58/6</f>
        <v/>
      </c>
      <c r="P58" s="19">
        <f>IFERROR(SUM(AF58:AK58),"")</f>
        <v/>
      </c>
      <c r="Q58" s="19">
        <f>IFERROR(SUM(AL58:AQ58),"")</f>
        <v/>
      </c>
      <c r="R58" s="21">
        <f>IF(ISNUMBER(J58),J58,IF(ISNUMBER(K58),-K58,""))</f>
        <v/>
      </c>
      <c r="S58" s="13">
        <f>IF(ISNUMBER(K58),K58,IF(ISNUMBER(J58),-J58,""))</f>
        <v/>
      </c>
      <c r="T58" s="13">
        <f>IF(AND(ISNUMBER(R58),ISNUMBER(R52)),VLOOKUP(ABS(R58-R52),'IMP Table'!$A$2:$C$26,3)*SIGN(R58-R52),"")</f>
        <v/>
      </c>
      <c r="U58" s="13">
        <f>IF(AND(ISNUMBER(R58),ISNUMBER(R53)),VLOOKUP(ABS(R58-R53),'IMP Table'!$A$2:$C$26,3)*SIGN(R58-R53),"")</f>
        <v/>
      </c>
      <c r="V58" s="13">
        <f>IF(AND(ISNUMBER(R58),ISNUMBER(R54)),VLOOKUP(ABS(R58-R54),'IMP Table'!$A$2:$C$26,3)*SIGN(R58-R54),"")</f>
        <v/>
      </c>
      <c r="W58" s="13">
        <f>IF(AND(ISNUMBER(R58),ISNUMBER(R55)),VLOOKUP(ABS(R58-R55),'IMP Table'!$A$2:$C$26,3)*SIGN(R58-R55),"")</f>
        <v/>
      </c>
      <c r="X58" s="13">
        <f>IF(AND(ISNUMBER(R58),ISNUMBER(R56)),VLOOKUP(ABS(R58-R56),'IMP Table'!$A$2:$C$26,3)*SIGN(R58-R56),"")</f>
        <v/>
      </c>
      <c r="Y58" s="13">
        <f>IF(AND(ISNUMBER(R58),ISNUMBER(R57)),VLOOKUP(ABS(R58-R57),'IMP Table'!$A$2:$C$26,3)*SIGN(R58-R57),"")</f>
        <v/>
      </c>
      <c r="Z58" s="13">
        <f>IF(AND(ISNUMBER(S58),ISNUMBER(S52)),VLOOKUP(ABS(S58-S52),'IMP Table'!$A$2:$C$26,3)*SIGN(S58-S52),"")</f>
        <v/>
      </c>
      <c r="AA58" s="13">
        <f>IF(AND(ISNUMBER(S58),ISNUMBER(S53)),VLOOKUP(ABS(S58-S53),'IMP Table'!$A$2:$C$26,3)*SIGN(S58-S53),"")</f>
        <v/>
      </c>
      <c r="AB58" s="13">
        <f>IF(AND(ISNUMBER(S58),ISNUMBER(S54)),VLOOKUP(ABS(S58-S54),'IMP Table'!$A$2:$C$26,3)*SIGN(S58-S54),"")</f>
        <v/>
      </c>
      <c r="AC58" s="13">
        <f>IF(AND(ISNUMBER(S58),ISNUMBER(S55)),VLOOKUP(ABS(S58-S55),'IMP Table'!$A$2:$C$26,3)*SIGN(S58-S55),"")</f>
        <v/>
      </c>
      <c r="AD58" s="13">
        <f>IF(AND(ISNUMBER(S58),ISNUMBER(S56)),VLOOKUP(ABS(S58-S56),'IMP Table'!$A$2:$C$26,3)*SIGN(S58-S56),"")</f>
        <v/>
      </c>
      <c r="AE58" s="13">
        <f>IF(AND(ISNUMBER(S58),ISNUMBER(S57)),VLOOKUP(ABS(S58-S57),'IMP Table'!$A$2:$C$26,3)*SIGN(S58-S57),"")</f>
        <v/>
      </c>
      <c r="AF58" s="13">
        <f>IF(AND(ISNUMBER(R58),ISNUMBER(R52)),IF(R58&gt;R52,1,IF(R58=R52,0.5,0)),0.5)</f>
        <v/>
      </c>
      <c r="AG58" s="13">
        <f>IF(AND(ISNUMBER(R58),ISNUMBER(R53)),IF(R58&gt;R53,1,IF(R58=R53,0.5,0)),0.5)</f>
        <v/>
      </c>
      <c r="AH58" s="13">
        <f>IF(AND(ISNUMBER(R58),ISNUMBER(R54)),IF(R58&gt;R54,1,IF(R58=R54,0.5,0)),0.5)</f>
        <v/>
      </c>
      <c r="AI58" s="13">
        <f>IF(AND(ISNUMBER(R58),ISNUMBER(R55)),IF(R58&gt;R55,1,IF(R58=R55,0.5,0)),0.5)</f>
        <v/>
      </c>
      <c r="AJ58" s="13">
        <f>IF(AND(ISNUMBER(R58),ISNUMBER(R56)),IF(R58&gt;R56,1,IF(R58=R56,0.5,0)),0.5)</f>
        <v/>
      </c>
      <c r="AK58" s="13">
        <f>IF(AND(ISNUMBER(R58),ISNUMBER(R57)),IF(R58&gt;R57,1,IF(R58=R57,0.5,0)),0.5)</f>
        <v/>
      </c>
      <c r="AL58" s="13">
        <f>IF(AND(ISNUMBER(S58),ISNUMBER(S52)),IF(S58&gt;S52,1,IF(S58=S52,0.5,0)),0.5)</f>
        <v/>
      </c>
      <c r="AM58" s="13">
        <f>IF(AND(ISNUMBER(S58),ISNUMBER(S53)),IF(S58&gt;S53,1,IF(S58=S53,0.5,0)),0.5)</f>
        <v/>
      </c>
      <c r="AN58" s="13">
        <f>IF(AND(ISNUMBER(S58),ISNUMBER(S54)),IF(S58&gt;S54,1,IF(S58=S54,0.5,0)),0.5)</f>
        <v/>
      </c>
      <c r="AO58" s="13">
        <f>IF(AND(ISNUMBER(S58),ISNUMBER(S55)),IF(S58&gt;S55,1,IF(S58=S55,0.5,0)),0.5)</f>
        <v/>
      </c>
      <c r="AP58" s="13">
        <f>IF(AND(ISNUMBER(S58),ISNUMBER(S56)),IF(S58&gt;S56,1,IF(S58=S56,0.5,0)),0.5)</f>
        <v/>
      </c>
      <c r="AQ58" s="13">
        <f>IF(AND(ISNUMBER(S58),ISNUMBER(S57)),IF(S58&gt;S57,1,IF(S58=S57,0.5,0)),0.5)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4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5">
        <f>IFERROR(AVERAGE(T59:Y59),"")</f>
        <v/>
      </c>
      <c r="M59" s="4">
        <f>IFERROR(AVERAGE(Z59:AE59),"")</f>
        <v/>
      </c>
      <c r="N59" s="5">
        <f>P59/6</f>
        <v/>
      </c>
      <c r="O59" s="5">
        <f>Q59/6</f>
        <v/>
      </c>
      <c r="P59" s="4">
        <f>IFERROR(SUM(AF59:AK59),"")</f>
        <v/>
      </c>
      <c r="Q59" s="4">
        <f>IFERROR(SUM(AL59:AQ59),"")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IF(AND(ISNUMBER(R59),ISNUMBER(R60)),VLOOKUP(ABS(R59-R60),'IMP Table'!$A$2:$C$26,3)*SIGN(R59-R60),"")</f>
        <v/>
      </c>
      <c r="U59">
        <f>IF(AND(ISNUMBER(R59),ISNUMBER(R61)),VLOOKUP(ABS(R59-R61),'IMP Table'!$A$2:$C$26,3)*SIGN(R59-R61),"")</f>
        <v/>
      </c>
      <c r="V59">
        <f>IF(AND(ISNUMBER(R59),ISNUMBER(R62)),VLOOKUP(ABS(R59-R62),'IMP Table'!$A$2:$C$26,3)*SIGN(R59-R62),"")</f>
        <v/>
      </c>
      <c r="W59">
        <f>IF(AND(ISNUMBER(R59),ISNUMBER(R63)),VLOOKUP(ABS(R59-R63),'IMP Table'!$A$2:$C$26,3)*SIGN(R59-R63),"")</f>
        <v/>
      </c>
      <c r="X59">
        <f>IF(AND(ISNUMBER(R59),ISNUMBER(R64)),VLOOKUP(ABS(R59-R64),'IMP Table'!$A$2:$C$26,3)*SIGN(R59-R64),"")</f>
        <v/>
      </c>
      <c r="Y59">
        <f>IF(AND(ISNUMBER(R59),ISNUMBER(R65)),VLOOKUP(ABS(R59-R65),'IMP Table'!$A$2:$C$26,3)*SIGN(R59-R65),"")</f>
        <v/>
      </c>
      <c r="Z59">
        <f>IF(AND(ISNUMBER(S59),ISNUMBER(S60)),VLOOKUP(ABS(S59-S60),'IMP Table'!$A$2:$C$26,3)*SIGN(S59-S60),"")</f>
        <v/>
      </c>
      <c r="AA59">
        <f>IF(AND(ISNUMBER(S59),ISNUMBER(S61)),VLOOKUP(ABS(S59-S61),'IMP Table'!$A$2:$C$26,3)*SIGN(S59-S61),"")</f>
        <v/>
      </c>
      <c r="AB59">
        <f>IF(AND(ISNUMBER(S59),ISNUMBER(S62)),VLOOKUP(ABS(S59-S62),'IMP Table'!$A$2:$C$26,3)*SIGN(S59-S62),"")</f>
        <v/>
      </c>
      <c r="AC59">
        <f>IF(AND(ISNUMBER(S59),ISNUMBER(S63)),VLOOKUP(ABS(S59-S63),'IMP Table'!$A$2:$C$26,3)*SIGN(S59-S63),"")</f>
        <v/>
      </c>
      <c r="AD59">
        <f>IF(AND(ISNUMBER(S59),ISNUMBER(S64)),VLOOKUP(ABS(S59-S64),'IMP Table'!$A$2:$C$26,3)*SIGN(S59-S64),"")</f>
        <v/>
      </c>
      <c r="AE59">
        <f>IF(AND(ISNUMBER(S59),ISNUMBER(S65)),VLOOKUP(ABS(S59-S65),'IMP Table'!$A$2:$C$26,3)*SIGN(S59-S65),"")</f>
        <v/>
      </c>
      <c r="AF59">
        <f>IF(AND(ISNUMBER(R59),ISNUMBER(R60)),IF(R59&gt;R60,1,IF(R59=R60,0.5,0)),0.5)</f>
        <v/>
      </c>
      <c r="AG59">
        <f>IF(AND(ISNUMBER(R59),ISNUMBER(R61)),IF(R59&gt;R61,1,IF(R59=R61,0.5,0)),0.5)</f>
        <v/>
      </c>
      <c r="AH59">
        <f>IF(AND(ISNUMBER(R59),ISNUMBER(R62)),IF(R59&gt;R62,1,IF(R59=R62,0.5,0)),0.5)</f>
        <v/>
      </c>
      <c r="AI59">
        <f>IF(AND(ISNUMBER(R59),ISNUMBER(R63)),IF(R59&gt;R63,1,IF(R59=R63,0.5,0)),0.5)</f>
        <v/>
      </c>
      <c r="AJ59">
        <f>IF(AND(ISNUMBER(R59),ISNUMBER(R64)),IF(R59&gt;R64,1,IF(R59=R64,0.5,0)),0.5)</f>
        <v/>
      </c>
      <c r="AK59">
        <f>IF(AND(ISNUMBER(R59),ISNUMBER(R65)),IF(R59&gt;R65,1,IF(R59=R65,0.5,0)),0.5)</f>
        <v/>
      </c>
      <c r="AL59">
        <f>IF(AND(ISNUMBER(S59),ISNUMBER(S60)),IF(S59&gt;S60,1,IF(S59=S60,0.5,0)),0.5)</f>
        <v/>
      </c>
      <c r="AM59">
        <f>IF(AND(ISNUMBER(S59),ISNUMBER(S61)),IF(S59&gt;S61,1,IF(S59=S61,0.5,0)),0.5)</f>
        <v/>
      </c>
      <c r="AN59">
        <f>IF(AND(ISNUMBER(S59),ISNUMBER(S62)),IF(S59&gt;S62,1,IF(S59=S62,0.5,0)),0.5)</f>
        <v/>
      </c>
      <c r="AO59">
        <f>IF(AND(ISNUMBER(S59),ISNUMBER(S63)),IF(S59&gt;S63,1,IF(S59=S63,0.5,0)),0.5)</f>
        <v/>
      </c>
      <c r="AP59">
        <f>IF(AND(ISNUMBER(S59),ISNUMBER(S64)),IF(S59&gt;S64,1,IF(S59=S64,0.5,0)),0.5)</f>
        <v/>
      </c>
      <c r="AQ59">
        <f>IF(AND(ISNUMBER(S59),ISNUMBER(S65)),IF(S59&gt;S65,1,IF(S59=S65,0.5,0)),0.5)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4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5">
        <f>IFERROR(AVERAGE(T60:Y60),"")</f>
        <v/>
      </c>
      <c r="M60" s="4">
        <f>IFERROR(AVERAGE(Z60:AE60),"")</f>
        <v/>
      </c>
      <c r="N60" s="5">
        <f>P60/6</f>
        <v/>
      </c>
      <c r="O60" s="5">
        <f>Q60/6</f>
        <v/>
      </c>
      <c r="P60" s="4">
        <f>IFERROR(SUM(AF60:AK60),"")</f>
        <v/>
      </c>
      <c r="Q60" s="4">
        <f>IFERROR(SUM(AL60:AQ60),"")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IF(AND(ISNUMBER(R60),ISNUMBER(R59)),VLOOKUP(ABS(R60-R59),'IMP Table'!$A$2:$C$26,3)*SIGN(R60-R59),"")</f>
        <v/>
      </c>
      <c r="U60">
        <f>IF(AND(ISNUMBER(R60),ISNUMBER(R61)),VLOOKUP(ABS(R60-R61),'IMP Table'!$A$2:$C$26,3)*SIGN(R60-R61),"")</f>
        <v/>
      </c>
      <c r="V60">
        <f>IF(AND(ISNUMBER(R60),ISNUMBER(R62)),VLOOKUP(ABS(R60-R62),'IMP Table'!$A$2:$C$26,3)*SIGN(R60-R62),"")</f>
        <v/>
      </c>
      <c r="W60">
        <f>IF(AND(ISNUMBER(R60),ISNUMBER(R63)),VLOOKUP(ABS(R60-R63),'IMP Table'!$A$2:$C$26,3)*SIGN(R60-R63),"")</f>
        <v/>
      </c>
      <c r="X60">
        <f>IF(AND(ISNUMBER(R60),ISNUMBER(R64)),VLOOKUP(ABS(R60-R64),'IMP Table'!$A$2:$C$26,3)*SIGN(R60-R64),"")</f>
        <v/>
      </c>
      <c r="Y60">
        <f>IF(AND(ISNUMBER(R60),ISNUMBER(R65)),VLOOKUP(ABS(R60-R65),'IMP Table'!$A$2:$C$26,3)*SIGN(R60-R65),"")</f>
        <v/>
      </c>
      <c r="Z60">
        <f>IF(AND(ISNUMBER(S60),ISNUMBER(S59)),VLOOKUP(ABS(S60-S59),'IMP Table'!$A$2:$C$26,3)*SIGN(S60-S59),"")</f>
        <v/>
      </c>
      <c r="AA60">
        <f>IF(AND(ISNUMBER(S60),ISNUMBER(S61)),VLOOKUP(ABS(S60-S61),'IMP Table'!$A$2:$C$26,3)*SIGN(S60-S61),"")</f>
        <v/>
      </c>
      <c r="AB60">
        <f>IF(AND(ISNUMBER(S60),ISNUMBER(S62)),VLOOKUP(ABS(S60-S62),'IMP Table'!$A$2:$C$26,3)*SIGN(S60-S62),"")</f>
        <v/>
      </c>
      <c r="AC60">
        <f>IF(AND(ISNUMBER(S60),ISNUMBER(S63)),VLOOKUP(ABS(S60-S63),'IMP Table'!$A$2:$C$26,3)*SIGN(S60-S63),"")</f>
        <v/>
      </c>
      <c r="AD60">
        <f>IF(AND(ISNUMBER(S60),ISNUMBER(S64)),VLOOKUP(ABS(S60-S64),'IMP Table'!$A$2:$C$26,3)*SIGN(S60-S64),"")</f>
        <v/>
      </c>
      <c r="AE60">
        <f>IF(AND(ISNUMBER(S60),ISNUMBER(S65)),VLOOKUP(ABS(S60-S65),'IMP Table'!$A$2:$C$26,3)*SIGN(S60-S65),"")</f>
        <v/>
      </c>
      <c r="AF60">
        <f>IF(AND(ISNUMBER(R60),ISNUMBER(R59)),IF(R60&gt;R59,1,IF(R60=R59,0.5,0)),0.5)</f>
        <v/>
      </c>
      <c r="AG60">
        <f>IF(AND(ISNUMBER(R60),ISNUMBER(R61)),IF(R60&gt;R61,1,IF(R60=R61,0.5,0)),0.5)</f>
        <v/>
      </c>
      <c r="AH60">
        <f>IF(AND(ISNUMBER(R60),ISNUMBER(R62)),IF(R60&gt;R62,1,IF(R60=R62,0.5,0)),0.5)</f>
        <v/>
      </c>
      <c r="AI60">
        <f>IF(AND(ISNUMBER(R60),ISNUMBER(R63)),IF(R60&gt;R63,1,IF(R60=R63,0.5,0)),0.5)</f>
        <v/>
      </c>
      <c r="AJ60">
        <f>IF(AND(ISNUMBER(R60),ISNUMBER(R64)),IF(R60&gt;R64,1,IF(R60=R64,0.5,0)),0.5)</f>
        <v/>
      </c>
      <c r="AK60">
        <f>IF(AND(ISNUMBER(R60),ISNUMBER(R65)),IF(R60&gt;R65,1,IF(R60=R65,0.5,0)),0.5)</f>
        <v/>
      </c>
      <c r="AL60">
        <f>IF(AND(ISNUMBER(S60),ISNUMBER(S59)),IF(S60&gt;S59,1,IF(S60=S59,0.5,0)),0.5)</f>
        <v/>
      </c>
      <c r="AM60">
        <f>IF(AND(ISNUMBER(S60),ISNUMBER(S61)),IF(S60&gt;S61,1,IF(S60=S61,0.5,0)),0.5)</f>
        <v/>
      </c>
      <c r="AN60">
        <f>IF(AND(ISNUMBER(S60),ISNUMBER(S62)),IF(S60&gt;S62,1,IF(S60=S62,0.5,0)),0.5)</f>
        <v/>
      </c>
      <c r="AO60">
        <f>IF(AND(ISNUMBER(S60),ISNUMBER(S63)),IF(S60&gt;S63,1,IF(S60=S63,0.5,0)),0.5)</f>
        <v/>
      </c>
      <c r="AP60">
        <f>IF(AND(ISNUMBER(S60),ISNUMBER(S64)),IF(S60&gt;S64,1,IF(S60=S64,0.5,0)),0.5)</f>
        <v/>
      </c>
      <c r="AQ60">
        <f>IF(AND(ISNUMBER(S60),ISNUMBER(S65)),IF(S60&gt;S65,1,IF(S60=S65,0.5,0)),0.5)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4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5">
        <f>IFERROR(AVERAGE(T61:Y61),"")</f>
        <v/>
      </c>
      <c r="M61" s="4">
        <f>IFERROR(AVERAGE(Z61:AE61),"")</f>
        <v/>
      </c>
      <c r="N61" s="5">
        <f>P61/6</f>
        <v/>
      </c>
      <c r="O61" s="5">
        <f>Q61/6</f>
        <v/>
      </c>
      <c r="P61" s="4">
        <f>IFERROR(SUM(AF61:AK61),"")</f>
        <v/>
      </c>
      <c r="Q61" s="4">
        <f>IFERROR(SUM(AL61:AQ61),"")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IF(AND(ISNUMBER(R61),ISNUMBER(R59)),VLOOKUP(ABS(R61-R59),'IMP Table'!$A$2:$C$26,3)*SIGN(R61-R59),"")</f>
        <v/>
      </c>
      <c r="U61">
        <f>IF(AND(ISNUMBER(R61),ISNUMBER(R60)),VLOOKUP(ABS(R61-R60),'IMP Table'!$A$2:$C$26,3)*SIGN(R61-R60),"")</f>
        <v/>
      </c>
      <c r="V61">
        <f>IF(AND(ISNUMBER(R61),ISNUMBER(R62)),VLOOKUP(ABS(R61-R62),'IMP Table'!$A$2:$C$26,3)*SIGN(R61-R62),"")</f>
        <v/>
      </c>
      <c r="W61">
        <f>IF(AND(ISNUMBER(R61),ISNUMBER(R63)),VLOOKUP(ABS(R61-R63),'IMP Table'!$A$2:$C$26,3)*SIGN(R61-R63),"")</f>
        <v/>
      </c>
      <c r="X61">
        <f>IF(AND(ISNUMBER(R61),ISNUMBER(R64)),VLOOKUP(ABS(R61-R64),'IMP Table'!$A$2:$C$26,3)*SIGN(R61-R64),"")</f>
        <v/>
      </c>
      <c r="Y61">
        <f>IF(AND(ISNUMBER(R61),ISNUMBER(R65)),VLOOKUP(ABS(R61-R65),'IMP Table'!$A$2:$C$26,3)*SIGN(R61-R65),"")</f>
        <v/>
      </c>
      <c r="Z61">
        <f>IF(AND(ISNUMBER(S61),ISNUMBER(S59)),VLOOKUP(ABS(S61-S59),'IMP Table'!$A$2:$C$26,3)*SIGN(S61-S59),"")</f>
        <v/>
      </c>
      <c r="AA61">
        <f>IF(AND(ISNUMBER(S61),ISNUMBER(S60)),VLOOKUP(ABS(S61-S60),'IMP Table'!$A$2:$C$26,3)*SIGN(S61-S60),"")</f>
        <v/>
      </c>
      <c r="AB61">
        <f>IF(AND(ISNUMBER(S61),ISNUMBER(S62)),VLOOKUP(ABS(S61-S62),'IMP Table'!$A$2:$C$26,3)*SIGN(S61-S62),"")</f>
        <v/>
      </c>
      <c r="AC61">
        <f>IF(AND(ISNUMBER(S61),ISNUMBER(S63)),VLOOKUP(ABS(S61-S63),'IMP Table'!$A$2:$C$26,3)*SIGN(S61-S63),"")</f>
        <v/>
      </c>
      <c r="AD61">
        <f>IF(AND(ISNUMBER(S61),ISNUMBER(S64)),VLOOKUP(ABS(S61-S64),'IMP Table'!$A$2:$C$26,3)*SIGN(S61-S64),"")</f>
        <v/>
      </c>
      <c r="AE61">
        <f>IF(AND(ISNUMBER(S61),ISNUMBER(S65)),VLOOKUP(ABS(S61-S65),'IMP Table'!$A$2:$C$26,3)*SIGN(S61-S65),"")</f>
        <v/>
      </c>
      <c r="AF61">
        <f>IF(AND(ISNUMBER(R61),ISNUMBER(R59)),IF(R61&gt;R59,1,IF(R61=R59,0.5,0)),0.5)</f>
        <v/>
      </c>
      <c r="AG61">
        <f>IF(AND(ISNUMBER(R61),ISNUMBER(R60)),IF(R61&gt;R60,1,IF(R61=R60,0.5,0)),0.5)</f>
        <v/>
      </c>
      <c r="AH61">
        <f>IF(AND(ISNUMBER(R61),ISNUMBER(R62)),IF(R61&gt;R62,1,IF(R61=R62,0.5,0)),0.5)</f>
        <v/>
      </c>
      <c r="AI61">
        <f>IF(AND(ISNUMBER(R61),ISNUMBER(R63)),IF(R61&gt;R63,1,IF(R61=R63,0.5,0)),0.5)</f>
        <v/>
      </c>
      <c r="AJ61">
        <f>IF(AND(ISNUMBER(R61),ISNUMBER(R64)),IF(R61&gt;R64,1,IF(R61=R64,0.5,0)),0.5)</f>
        <v/>
      </c>
      <c r="AK61">
        <f>IF(AND(ISNUMBER(R61),ISNUMBER(R65)),IF(R61&gt;R65,1,IF(R61=R65,0.5,0)),0.5)</f>
        <v/>
      </c>
      <c r="AL61">
        <f>IF(AND(ISNUMBER(S61),ISNUMBER(S59)),IF(S61&gt;S59,1,IF(S61=S59,0.5,0)),0.5)</f>
        <v/>
      </c>
      <c r="AM61">
        <f>IF(AND(ISNUMBER(S61),ISNUMBER(S60)),IF(S61&gt;S60,1,IF(S61=S60,0.5,0)),0.5)</f>
        <v/>
      </c>
      <c r="AN61">
        <f>IF(AND(ISNUMBER(S61),ISNUMBER(S62)),IF(S61&gt;S62,1,IF(S61=S62,0.5,0)),0.5)</f>
        <v/>
      </c>
      <c r="AO61">
        <f>IF(AND(ISNUMBER(S61),ISNUMBER(S63)),IF(S61&gt;S63,1,IF(S61=S63,0.5,0)),0.5)</f>
        <v/>
      </c>
      <c r="AP61">
        <f>IF(AND(ISNUMBER(S61),ISNUMBER(S64)),IF(S61&gt;S64,1,IF(S61=S64,0.5,0)),0.5)</f>
        <v/>
      </c>
      <c r="AQ61">
        <f>IF(AND(ISNUMBER(S61),ISNUMBER(S65)),IF(S61&gt;S65,1,IF(S61=S65,0.5,0)),0.5)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4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5">
        <f>IFERROR(AVERAGE(T62:Y62),"")</f>
        <v/>
      </c>
      <c r="M62" s="4">
        <f>IFERROR(AVERAGE(Z62:AE62),"")</f>
        <v/>
      </c>
      <c r="N62" s="5">
        <f>P62/6</f>
        <v/>
      </c>
      <c r="O62" s="5">
        <f>Q62/6</f>
        <v/>
      </c>
      <c r="P62" s="4">
        <f>IFERROR(SUM(AF62:AK62),"")</f>
        <v/>
      </c>
      <c r="Q62" s="4">
        <f>IFERROR(SUM(AL62:AQ62),"")</f>
        <v/>
      </c>
      <c r="R62" s="16">
        <f>IF(ISNUMBER(J62),J62,IF(ISNUMBER(K62),-K62,""))</f>
        <v/>
      </c>
      <c r="S62">
        <f>IF(ISNUMBER(K62),K62,IF(ISNUMBER(J62),-J62,""))</f>
        <v/>
      </c>
      <c r="T62">
        <f>IF(AND(ISNUMBER(R62),ISNUMBER(R59)),VLOOKUP(ABS(R62-R59),'IMP Table'!$A$2:$C$26,3)*SIGN(R62-R59),"")</f>
        <v/>
      </c>
      <c r="U62">
        <f>IF(AND(ISNUMBER(R62),ISNUMBER(R60)),VLOOKUP(ABS(R62-R60),'IMP Table'!$A$2:$C$26,3)*SIGN(R62-R60),"")</f>
        <v/>
      </c>
      <c r="V62">
        <f>IF(AND(ISNUMBER(R62),ISNUMBER(R61)),VLOOKUP(ABS(R62-R61),'IMP Table'!$A$2:$C$26,3)*SIGN(R62-R61),"")</f>
        <v/>
      </c>
      <c r="W62">
        <f>IF(AND(ISNUMBER(R62),ISNUMBER(R63)),VLOOKUP(ABS(R62-R63),'IMP Table'!$A$2:$C$26,3)*SIGN(R62-R63),"")</f>
        <v/>
      </c>
      <c r="X62">
        <f>IF(AND(ISNUMBER(R62),ISNUMBER(R64)),VLOOKUP(ABS(R62-R64),'IMP Table'!$A$2:$C$26,3)*SIGN(R62-R64),"")</f>
        <v/>
      </c>
      <c r="Y62">
        <f>IF(AND(ISNUMBER(R62),ISNUMBER(R65)),VLOOKUP(ABS(R62-R65),'IMP Table'!$A$2:$C$26,3)*SIGN(R62-R65),"")</f>
        <v/>
      </c>
      <c r="Z62">
        <f>IF(AND(ISNUMBER(S62),ISNUMBER(S59)),VLOOKUP(ABS(S62-S59),'IMP Table'!$A$2:$C$26,3)*SIGN(S62-S59),"")</f>
        <v/>
      </c>
      <c r="AA62">
        <f>IF(AND(ISNUMBER(S62),ISNUMBER(S60)),VLOOKUP(ABS(S62-S60),'IMP Table'!$A$2:$C$26,3)*SIGN(S62-S60),"")</f>
        <v/>
      </c>
      <c r="AB62">
        <f>IF(AND(ISNUMBER(S62),ISNUMBER(S61)),VLOOKUP(ABS(S62-S61),'IMP Table'!$A$2:$C$26,3)*SIGN(S62-S61),"")</f>
        <v/>
      </c>
      <c r="AC62">
        <f>IF(AND(ISNUMBER(S62),ISNUMBER(S63)),VLOOKUP(ABS(S62-S63),'IMP Table'!$A$2:$C$26,3)*SIGN(S62-S63),"")</f>
        <v/>
      </c>
      <c r="AD62">
        <f>IF(AND(ISNUMBER(S62),ISNUMBER(S64)),VLOOKUP(ABS(S62-S64),'IMP Table'!$A$2:$C$26,3)*SIGN(S62-S64),"")</f>
        <v/>
      </c>
      <c r="AE62">
        <f>IF(AND(ISNUMBER(S62),ISNUMBER(S65)),VLOOKUP(ABS(S62-S65),'IMP Table'!$A$2:$C$26,3)*SIGN(S62-S65),"")</f>
        <v/>
      </c>
      <c r="AF62">
        <f>IF(AND(ISNUMBER(R62),ISNUMBER(R59)),IF(R62&gt;R59,1,IF(R62=R59,0.5,0)),0.5)</f>
        <v/>
      </c>
      <c r="AG62">
        <f>IF(AND(ISNUMBER(R62),ISNUMBER(R60)),IF(R62&gt;R60,1,IF(R62=R60,0.5,0)),0.5)</f>
        <v/>
      </c>
      <c r="AH62">
        <f>IF(AND(ISNUMBER(R62),ISNUMBER(R61)),IF(R62&gt;R61,1,IF(R62=R61,0.5,0)),0.5)</f>
        <v/>
      </c>
      <c r="AI62">
        <f>IF(AND(ISNUMBER(R62),ISNUMBER(R63)),IF(R62&gt;R63,1,IF(R62=R63,0.5,0)),0.5)</f>
        <v/>
      </c>
      <c r="AJ62">
        <f>IF(AND(ISNUMBER(R62),ISNUMBER(R64)),IF(R62&gt;R64,1,IF(R62=R64,0.5,0)),0.5)</f>
        <v/>
      </c>
      <c r="AK62">
        <f>IF(AND(ISNUMBER(R62),ISNUMBER(R65)),IF(R62&gt;R65,1,IF(R62=R65,0.5,0)),0.5)</f>
        <v/>
      </c>
      <c r="AL62">
        <f>IF(AND(ISNUMBER(S62),ISNUMBER(S59)),IF(S62&gt;S59,1,IF(S62=S59,0.5,0)),0.5)</f>
        <v/>
      </c>
      <c r="AM62">
        <f>IF(AND(ISNUMBER(S62),ISNUMBER(S60)),IF(S62&gt;S60,1,IF(S62=S60,0.5,0)),0.5)</f>
        <v/>
      </c>
      <c r="AN62">
        <f>IF(AND(ISNUMBER(S62),ISNUMBER(S61)),IF(S62&gt;S61,1,IF(S62=S61,0.5,0)),0.5)</f>
        <v/>
      </c>
      <c r="AO62">
        <f>IF(AND(ISNUMBER(S62),ISNUMBER(S63)),IF(S62&gt;S63,1,IF(S62=S63,0.5,0)),0.5)</f>
        <v/>
      </c>
      <c r="AP62">
        <f>IF(AND(ISNUMBER(S62),ISNUMBER(S64)),IF(S62&gt;S64,1,IF(S62=S64,0.5,0)),0.5)</f>
        <v/>
      </c>
      <c r="AQ62">
        <f>IF(AND(ISNUMBER(S62),ISNUMBER(S65)),IF(S62&gt;S65,1,IF(S62=S65,0.5,0)),0.5)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4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5">
        <f>IFERROR(AVERAGE(T63:Y63),"")</f>
        <v/>
      </c>
      <c r="M63" s="4">
        <f>IFERROR(AVERAGE(Z63:AE63),"")</f>
        <v/>
      </c>
      <c r="N63" s="5">
        <f>P63/6</f>
        <v/>
      </c>
      <c r="O63" s="5">
        <f>Q63/6</f>
        <v/>
      </c>
      <c r="P63" s="4">
        <f>IFERROR(SUM(AF63:AK63),"")</f>
        <v/>
      </c>
      <c r="Q63" s="4">
        <f>IFERROR(SUM(AL63:AQ63),"")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IF(AND(ISNUMBER(R63),ISNUMBER(R59)),VLOOKUP(ABS(R63-R59),'IMP Table'!$A$2:$C$26,3)*SIGN(R63-R59),"")</f>
        <v/>
      </c>
      <c r="U63">
        <f>IF(AND(ISNUMBER(R63),ISNUMBER(R60)),VLOOKUP(ABS(R63-R60),'IMP Table'!$A$2:$C$26,3)*SIGN(R63-R60),"")</f>
        <v/>
      </c>
      <c r="V63">
        <f>IF(AND(ISNUMBER(R63),ISNUMBER(R61)),VLOOKUP(ABS(R63-R61),'IMP Table'!$A$2:$C$26,3)*SIGN(R63-R61),"")</f>
        <v/>
      </c>
      <c r="W63">
        <f>IF(AND(ISNUMBER(R63),ISNUMBER(R62)),VLOOKUP(ABS(R63-R62),'IMP Table'!$A$2:$C$26,3)*SIGN(R63-R62),"")</f>
        <v/>
      </c>
      <c r="X63">
        <f>IF(AND(ISNUMBER(R63),ISNUMBER(R64)),VLOOKUP(ABS(R63-R64),'IMP Table'!$A$2:$C$26,3)*SIGN(R63-R64),"")</f>
        <v/>
      </c>
      <c r="Y63">
        <f>IF(AND(ISNUMBER(R63),ISNUMBER(R65)),VLOOKUP(ABS(R63-R65),'IMP Table'!$A$2:$C$26,3)*SIGN(R63-R65),"")</f>
        <v/>
      </c>
      <c r="Z63">
        <f>IF(AND(ISNUMBER(S63),ISNUMBER(S59)),VLOOKUP(ABS(S63-S59),'IMP Table'!$A$2:$C$26,3)*SIGN(S63-S59),"")</f>
        <v/>
      </c>
      <c r="AA63">
        <f>IF(AND(ISNUMBER(S63),ISNUMBER(S60)),VLOOKUP(ABS(S63-S60),'IMP Table'!$A$2:$C$26,3)*SIGN(S63-S60),"")</f>
        <v/>
      </c>
      <c r="AB63">
        <f>IF(AND(ISNUMBER(S63),ISNUMBER(S61)),VLOOKUP(ABS(S63-S61),'IMP Table'!$A$2:$C$26,3)*SIGN(S63-S61),"")</f>
        <v/>
      </c>
      <c r="AC63">
        <f>IF(AND(ISNUMBER(S63),ISNUMBER(S62)),VLOOKUP(ABS(S63-S62),'IMP Table'!$A$2:$C$26,3)*SIGN(S63-S62),"")</f>
        <v/>
      </c>
      <c r="AD63">
        <f>IF(AND(ISNUMBER(S63),ISNUMBER(S64)),VLOOKUP(ABS(S63-S64),'IMP Table'!$A$2:$C$26,3)*SIGN(S63-S64),"")</f>
        <v/>
      </c>
      <c r="AE63">
        <f>IF(AND(ISNUMBER(S63),ISNUMBER(S65)),VLOOKUP(ABS(S63-S65),'IMP Table'!$A$2:$C$26,3)*SIGN(S63-S65),"")</f>
        <v/>
      </c>
      <c r="AF63">
        <f>IF(AND(ISNUMBER(R63),ISNUMBER(R59)),IF(R63&gt;R59,1,IF(R63=R59,0.5,0)),0.5)</f>
        <v/>
      </c>
      <c r="AG63">
        <f>IF(AND(ISNUMBER(R63),ISNUMBER(R60)),IF(R63&gt;R60,1,IF(R63=R60,0.5,0)),0.5)</f>
        <v/>
      </c>
      <c r="AH63">
        <f>IF(AND(ISNUMBER(R63),ISNUMBER(R61)),IF(R63&gt;R61,1,IF(R63=R61,0.5,0)),0.5)</f>
        <v/>
      </c>
      <c r="AI63">
        <f>IF(AND(ISNUMBER(R63),ISNUMBER(R62)),IF(R63&gt;R62,1,IF(R63=R62,0.5,0)),0.5)</f>
        <v/>
      </c>
      <c r="AJ63">
        <f>IF(AND(ISNUMBER(R63),ISNUMBER(R64)),IF(R63&gt;R64,1,IF(R63=R64,0.5,0)),0.5)</f>
        <v/>
      </c>
      <c r="AK63">
        <f>IF(AND(ISNUMBER(R63),ISNUMBER(R65)),IF(R63&gt;R65,1,IF(R63=R65,0.5,0)),0.5)</f>
        <v/>
      </c>
      <c r="AL63">
        <f>IF(AND(ISNUMBER(S63),ISNUMBER(S59)),IF(S63&gt;S59,1,IF(S63=S59,0.5,0)),0.5)</f>
        <v/>
      </c>
      <c r="AM63">
        <f>IF(AND(ISNUMBER(S63),ISNUMBER(S60)),IF(S63&gt;S60,1,IF(S63=S60,0.5,0)),0.5)</f>
        <v/>
      </c>
      <c r="AN63">
        <f>IF(AND(ISNUMBER(S63),ISNUMBER(S61)),IF(S63&gt;S61,1,IF(S63=S61,0.5,0)),0.5)</f>
        <v/>
      </c>
      <c r="AO63">
        <f>IF(AND(ISNUMBER(S63),ISNUMBER(S62)),IF(S63&gt;S62,1,IF(S63=S62,0.5,0)),0.5)</f>
        <v/>
      </c>
      <c r="AP63">
        <f>IF(AND(ISNUMBER(S63),ISNUMBER(S64)),IF(S63&gt;S64,1,IF(S63=S64,0.5,0)),0.5)</f>
        <v/>
      </c>
      <c r="AQ63">
        <f>IF(AND(ISNUMBER(S63),ISNUMBER(S65)),IF(S63&gt;S65,1,IF(S63=S65,0.5,0)),0.5)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4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5">
        <f>IFERROR(AVERAGE(T64:Y64),"")</f>
        <v/>
      </c>
      <c r="M64" s="4">
        <f>IFERROR(AVERAGE(Z64:AE64),"")</f>
        <v/>
      </c>
      <c r="N64" s="5">
        <f>P64/6</f>
        <v/>
      </c>
      <c r="O64" s="5">
        <f>Q64/6</f>
        <v/>
      </c>
      <c r="P64" s="4">
        <f>IFERROR(SUM(AF64:AK64),"")</f>
        <v/>
      </c>
      <c r="Q64" s="4">
        <f>IFERROR(SUM(AL64:AQ64),"")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IF(AND(ISNUMBER(R64),ISNUMBER(R59)),VLOOKUP(ABS(R64-R59),'IMP Table'!$A$2:$C$26,3)*SIGN(R64-R59),"")</f>
        <v/>
      </c>
      <c r="U64">
        <f>IF(AND(ISNUMBER(R64),ISNUMBER(R60)),VLOOKUP(ABS(R64-R60),'IMP Table'!$A$2:$C$26,3)*SIGN(R64-R60),"")</f>
        <v/>
      </c>
      <c r="V64">
        <f>IF(AND(ISNUMBER(R64),ISNUMBER(R61)),VLOOKUP(ABS(R64-R61),'IMP Table'!$A$2:$C$26,3)*SIGN(R64-R61),"")</f>
        <v/>
      </c>
      <c r="W64">
        <f>IF(AND(ISNUMBER(R64),ISNUMBER(R62)),VLOOKUP(ABS(R64-R62),'IMP Table'!$A$2:$C$26,3)*SIGN(R64-R62),"")</f>
        <v/>
      </c>
      <c r="X64">
        <f>IF(AND(ISNUMBER(R64),ISNUMBER(R63)),VLOOKUP(ABS(R64-R63),'IMP Table'!$A$2:$C$26,3)*SIGN(R64-R63),"")</f>
        <v/>
      </c>
      <c r="Y64">
        <f>IF(AND(ISNUMBER(R64),ISNUMBER(R65)),VLOOKUP(ABS(R64-R65),'IMP Table'!$A$2:$C$26,3)*SIGN(R64-R65),"")</f>
        <v/>
      </c>
      <c r="Z64">
        <f>IF(AND(ISNUMBER(S64),ISNUMBER(S59)),VLOOKUP(ABS(S64-S59),'IMP Table'!$A$2:$C$26,3)*SIGN(S64-S59),"")</f>
        <v/>
      </c>
      <c r="AA64">
        <f>IF(AND(ISNUMBER(S64),ISNUMBER(S60)),VLOOKUP(ABS(S64-S60),'IMP Table'!$A$2:$C$26,3)*SIGN(S64-S60),"")</f>
        <v/>
      </c>
      <c r="AB64">
        <f>IF(AND(ISNUMBER(S64),ISNUMBER(S61)),VLOOKUP(ABS(S64-S61),'IMP Table'!$A$2:$C$26,3)*SIGN(S64-S61),"")</f>
        <v/>
      </c>
      <c r="AC64">
        <f>IF(AND(ISNUMBER(S64),ISNUMBER(S62)),VLOOKUP(ABS(S64-S62),'IMP Table'!$A$2:$C$26,3)*SIGN(S64-S62),"")</f>
        <v/>
      </c>
      <c r="AD64">
        <f>IF(AND(ISNUMBER(S64),ISNUMBER(S63)),VLOOKUP(ABS(S64-S63),'IMP Table'!$A$2:$C$26,3)*SIGN(S64-S63),"")</f>
        <v/>
      </c>
      <c r="AE64">
        <f>IF(AND(ISNUMBER(S64),ISNUMBER(S65)),VLOOKUP(ABS(S64-S65),'IMP Table'!$A$2:$C$26,3)*SIGN(S64-S65),"")</f>
        <v/>
      </c>
      <c r="AF64">
        <f>IF(AND(ISNUMBER(R64),ISNUMBER(R59)),IF(R64&gt;R59,1,IF(R64=R59,0.5,0)),0.5)</f>
        <v/>
      </c>
      <c r="AG64">
        <f>IF(AND(ISNUMBER(R64),ISNUMBER(R60)),IF(R64&gt;R60,1,IF(R64=R60,0.5,0)),0.5)</f>
        <v/>
      </c>
      <c r="AH64">
        <f>IF(AND(ISNUMBER(R64),ISNUMBER(R61)),IF(R64&gt;R61,1,IF(R64=R61,0.5,0)),0.5)</f>
        <v/>
      </c>
      <c r="AI64">
        <f>IF(AND(ISNUMBER(R64),ISNUMBER(R62)),IF(R64&gt;R62,1,IF(R64=R62,0.5,0)),0.5)</f>
        <v/>
      </c>
      <c r="AJ64">
        <f>IF(AND(ISNUMBER(R64),ISNUMBER(R63)),IF(R64&gt;R63,1,IF(R64=R63,0.5,0)),0.5)</f>
        <v/>
      </c>
      <c r="AK64">
        <f>IF(AND(ISNUMBER(R64),ISNUMBER(R65)),IF(R64&gt;R65,1,IF(R64=R65,0.5,0)),0.5)</f>
        <v/>
      </c>
      <c r="AL64">
        <f>IF(AND(ISNUMBER(S64),ISNUMBER(S59)),IF(S64&gt;S59,1,IF(S64=S59,0.5,0)),0.5)</f>
        <v/>
      </c>
      <c r="AM64">
        <f>IF(AND(ISNUMBER(S64),ISNUMBER(S60)),IF(S64&gt;S60,1,IF(S64=S60,0.5,0)),0.5)</f>
        <v/>
      </c>
      <c r="AN64">
        <f>IF(AND(ISNUMBER(S64),ISNUMBER(S61)),IF(S64&gt;S61,1,IF(S64=S61,0.5,0)),0.5)</f>
        <v/>
      </c>
      <c r="AO64">
        <f>IF(AND(ISNUMBER(S64),ISNUMBER(S62)),IF(S64&gt;S62,1,IF(S64=S62,0.5,0)),0.5)</f>
        <v/>
      </c>
      <c r="AP64">
        <f>IF(AND(ISNUMBER(S64),ISNUMBER(S63)),IF(S64&gt;S63,1,IF(S64=S63,0.5,0)),0.5)</f>
        <v/>
      </c>
      <c r="AQ64">
        <f>IF(AND(ISNUMBER(S64),ISNUMBER(S65)),IF(S64&gt;S65,1,IF(S64=S65,0.5,0)),0.5)</f>
        <v/>
      </c>
    </row>
    <row r="65">
      <c r="A65" s="13" t="n"/>
      <c r="B65" s="13">
        <f>'By Round'!A115</f>
        <v/>
      </c>
      <c r="C65" s="13">
        <f>'By Round'!B123</f>
        <v/>
      </c>
      <c r="D65" s="13">
        <f>'By Round'!C123</f>
        <v/>
      </c>
      <c r="E65" s="13">
        <f>'By Round'!D123</f>
        <v/>
      </c>
      <c r="F65" s="17" t="inlineStr">
        <is>
          <t>EW</t>
        </is>
      </c>
      <c r="G65" s="13">
        <f>IF(ISBLANK('By Round'!G123),"",'By Round'!G123)</f>
        <v/>
      </c>
      <c r="H65" s="13">
        <f>IF(ISBLANK('By Round'!H123),"",'By Round'!H123)</f>
        <v/>
      </c>
      <c r="I65" s="13">
        <f>IF(ISBLANK('By Round'!I123),"",'By Round'!I123)</f>
        <v/>
      </c>
      <c r="J65" s="13">
        <f>IF(ISBLANK('By Round'!J123),"",'By Round'!J123)</f>
        <v/>
      </c>
      <c r="K65" s="13">
        <f>IF(ISBLANK('By Round'!K123),"",'By Round'!K123)</f>
        <v/>
      </c>
      <c r="L65" s="18">
        <f>IFERROR(AVERAGE(T65:Y65),"")</f>
        <v/>
      </c>
      <c r="M65" s="19">
        <f>IFERROR(AVERAGE(Z65:AE65),"")</f>
        <v/>
      </c>
      <c r="N65" s="20">
        <f>P65/6</f>
        <v/>
      </c>
      <c r="O65" s="20">
        <f>Q65/6</f>
        <v/>
      </c>
      <c r="P65" s="19">
        <f>IFERROR(SUM(AF65:AK65),"")</f>
        <v/>
      </c>
      <c r="Q65" s="19">
        <f>IFERROR(SUM(AL65:AQ65),"")</f>
        <v/>
      </c>
      <c r="R65" s="21">
        <f>IF(ISNUMBER(J65),J65,IF(ISNUMBER(K65),-K65,""))</f>
        <v/>
      </c>
      <c r="S65" s="13">
        <f>IF(ISNUMBER(K65),K65,IF(ISNUMBER(J65),-J65,""))</f>
        <v/>
      </c>
      <c r="T65" s="13">
        <f>IF(AND(ISNUMBER(R65),ISNUMBER(R59)),VLOOKUP(ABS(R65-R59),'IMP Table'!$A$2:$C$26,3)*SIGN(R65-R59),"")</f>
        <v/>
      </c>
      <c r="U65" s="13">
        <f>IF(AND(ISNUMBER(R65),ISNUMBER(R60)),VLOOKUP(ABS(R65-R60),'IMP Table'!$A$2:$C$26,3)*SIGN(R65-R60),"")</f>
        <v/>
      </c>
      <c r="V65" s="13">
        <f>IF(AND(ISNUMBER(R65),ISNUMBER(R61)),VLOOKUP(ABS(R65-R61),'IMP Table'!$A$2:$C$26,3)*SIGN(R65-R61),"")</f>
        <v/>
      </c>
      <c r="W65" s="13">
        <f>IF(AND(ISNUMBER(R65),ISNUMBER(R62)),VLOOKUP(ABS(R65-R62),'IMP Table'!$A$2:$C$26,3)*SIGN(R65-R62),"")</f>
        <v/>
      </c>
      <c r="X65" s="13">
        <f>IF(AND(ISNUMBER(R65),ISNUMBER(R63)),VLOOKUP(ABS(R65-R63),'IMP Table'!$A$2:$C$26,3)*SIGN(R65-R63),"")</f>
        <v/>
      </c>
      <c r="Y65" s="13">
        <f>IF(AND(ISNUMBER(R65),ISNUMBER(R64)),VLOOKUP(ABS(R65-R64),'IMP Table'!$A$2:$C$26,3)*SIGN(R65-R64),"")</f>
        <v/>
      </c>
      <c r="Z65" s="13">
        <f>IF(AND(ISNUMBER(S65),ISNUMBER(S59)),VLOOKUP(ABS(S65-S59),'IMP Table'!$A$2:$C$26,3)*SIGN(S65-S59),"")</f>
        <v/>
      </c>
      <c r="AA65" s="13">
        <f>IF(AND(ISNUMBER(S65),ISNUMBER(S60)),VLOOKUP(ABS(S65-S60),'IMP Table'!$A$2:$C$26,3)*SIGN(S65-S60),"")</f>
        <v/>
      </c>
      <c r="AB65" s="13">
        <f>IF(AND(ISNUMBER(S65),ISNUMBER(S61)),VLOOKUP(ABS(S65-S61),'IMP Table'!$A$2:$C$26,3)*SIGN(S65-S61),"")</f>
        <v/>
      </c>
      <c r="AC65" s="13">
        <f>IF(AND(ISNUMBER(S65),ISNUMBER(S62)),VLOOKUP(ABS(S65-S62),'IMP Table'!$A$2:$C$26,3)*SIGN(S65-S62),"")</f>
        <v/>
      </c>
      <c r="AD65" s="13">
        <f>IF(AND(ISNUMBER(S65),ISNUMBER(S63)),VLOOKUP(ABS(S65-S63),'IMP Table'!$A$2:$C$26,3)*SIGN(S65-S63),"")</f>
        <v/>
      </c>
      <c r="AE65" s="13">
        <f>IF(AND(ISNUMBER(S65),ISNUMBER(S64)),VLOOKUP(ABS(S65-S64),'IMP Table'!$A$2:$C$26,3)*SIGN(S65-S64),"")</f>
        <v/>
      </c>
      <c r="AF65" s="13">
        <f>IF(AND(ISNUMBER(R65),ISNUMBER(R59)),IF(R65&gt;R59,1,IF(R65=R59,0.5,0)),0.5)</f>
        <v/>
      </c>
      <c r="AG65" s="13">
        <f>IF(AND(ISNUMBER(R65),ISNUMBER(R60)),IF(R65&gt;R60,1,IF(R65=R60,0.5,0)),0.5)</f>
        <v/>
      </c>
      <c r="AH65" s="13">
        <f>IF(AND(ISNUMBER(R65),ISNUMBER(R61)),IF(R65&gt;R61,1,IF(R65=R61,0.5,0)),0.5)</f>
        <v/>
      </c>
      <c r="AI65" s="13">
        <f>IF(AND(ISNUMBER(R65),ISNUMBER(R62)),IF(R65&gt;R62,1,IF(R65=R62,0.5,0)),0.5)</f>
        <v/>
      </c>
      <c r="AJ65" s="13">
        <f>IF(AND(ISNUMBER(R65),ISNUMBER(R63)),IF(R65&gt;R63,1,IF(R65=R63,0.5,0)),0.5)</f>
        <v/>
      </c>
      <c r="AK65" s="13">
        <f>IF(AND(ISNUMBER(R65),ISNUMBER(R64)),IF(R65&gt;R64,1,IF(R65=R64,0.5,0)),0.5)</f>
        <v/>
      </c>
      <c r="AL65" s="13">
        <f>IF(AND(ISNUMBER(S65),ISNUMBER(S59)),IF(S65&gt;S59,1,IF(S65=S59,0.5,0)),0.5)</f>
        <v/>
      </c>
      <c r="AM65" s="13">
        <f>IF(AND(ISNUMBER(S65),ISNUMBER(S60)),IF(S65&gt;S60,1,IF(S65=S60,0.5,0)),0.5)</f>
        <v/>
      </c>
      <c r="AN65" s="13">
        <f>IF(AND(ISNUMBER(S65),ISNUMBER(S61)),IF(S65&gt;S61,1,IF(S65=S61,0.5,0)),0.5)</f>
        <v/>
      </c>
      <c r="AO65" s="13">
        <f>IF(AND(ISNUMBER(S65),ISNUMBER(S62)),IF(S65&gt;S62,1,IF(S65=S62,0.5,0)),0.5)</f>
        <v/>
      </c>
      <c r="AP65" s="13">
        <f>IF(AND(ISNUMBER(S65),ISNUMBER(S63)),IF(S65&gt;S63,1,IF(S65=S63,0.5,0)),0.5)</f>
        <v/>
      </c>
      <c r="AQ65" s="13">
        <f>IF(AND(ISNUMBER(S65),ISNUMBER(S64)),IF(S65&gt;S64,1,IF(S65=S64,0.5,0)),0.5)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4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5">
        <f>IFERROR(AVERAGE(T66:Y66),"")</f>
        <v/>
      </c>
      <c r="M66" s="4">
        <f>IFERROR(AVERAGE(Z66:AE66),"")</f>
        <v/>
      </c>
      <c r="N66" s="5">
        <f>P66/6</f>
        <v/>
      </c>
      <c r="O66" s="5">
        <f>Q66/6</f>
        <v/>
      </c>
      <c r="P66" s="4">
        <f>IFERROR(SUM(AF66:AK66),"")</f>
        <v/>
      </c>
      <c r="Q66" s="4">
        <f>IFERROR(SUM(AL66:AQ66),"")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IF(AND(ISNUMBER(R66),ISNUMBER(R67)),VLOOKUP(ABS(R66-R67),'IMP Table'!$A$2:$C$26,3)*SIGN(R66-R67),"")</f>
        <v/>
      </c>
      <c r="U66">
        <f>IF(AND(ISNUMBER(R66),ISNUMBER(R68)),VLOOKUP(ABS(R66-R68),'IMP Table'!$A$2:$C$26,3)*SIGN(R66-R68),"")</f>
        <v/>
      </c>
      <c r="V66">
        <f>IF(AND(ISNUMBER(R66),ISNUMBER(R69)),VLOOKUP(ABS(R66-R69),'IMP Table'!$A$2:$C$26,3)*SIGN(R66-R69),"")</f>
        <v/>
      </c>
      <c r="W66">
        <f>IF(AND(ISNUMBER(R66),ISNUMBER(R70)),VLOOKUP(ABS(R66-R70),'IMP Table'!$A$2:$C$26,3)*SIGN(R66-R70),"")</f>
        <v/>
      </c>
      <c r="X66">
        <f>IF(AND(ISNUMBER(R66),ISNUMBER(R71)),VLOOKUP(ABS(R66-R71),'IMP Table'!$A$2:$C$26,3)*SIGN(R66-R71),"")</f>
        <v/>
      </c>
      <c r="Y66">
        <f>IF(AND(ISNUMBER(R66),ISNUMBER(R72)),VLOOKUP(ABS(R66-R72),'IMP Table'!$A$2:$C$26,3)*SIGN(R66-R72),"")</f>
        <v/>
      </c>
      <c r="Z66">
        <f>IF(AND(ISNUMBER(S66),ISNUMBER(S67)),VLOOKUP(ABS(S66-S67),'IMP Table'!$A$2:$C$26,3)*SIGN(S66-S67),"")</f>
        <v/>
      </c>
      <c r="AA66">
        <f>IF(AND(ISNUMBER(S66),ISNUMBER(S68)),VLOOKUP(ABS(S66-S68),'IMP Table'!$A$2:$C$26,3)*SIGN(S66-S68),"")</f>
        <v/>
      </c>
      <c r="AB66">
        <f>IF(AND(ISNUMBER(S66),ISNUMBER(S69)),VLOOKUP(ABS(S66-S69),'IMP Table'!$A$2:$C$26,3)*SIGN(S66-S69),"")</f>
        <v/>
      </c>
      <c r="AC66">
        <f>IF(AND(ISNUMBER(S66),ISNUMBER(S70)),VLOOKUP(ABS(S66-S70),'IMP Table'!$A$2:$C$26,3)*SIGN(S66-S70),"")</f>
        <v/>
      </c>
      <c r="AD66">
        <f>IF(AND(ISNUMBER(S66),ISNUMBER(S71)),VLOOKUP(ABS(S66-S71),'IMP Table'!$A$2:$C$26,3)*SIGN(S66-S71),"")</f>
        <v/>
      </c>
      <c r="AE66">
        <f>IF(AND(ISNUMBER(S66),ISNUMBER(S72)),VLOOKUP(ABS(S66-S72),'IMP Table'!$A$2:$C$26,3)*SIGN(S66-S72),"")</f>
        <v/>
      </c>
      <c r="AF66">
        <f>IF(AND(ISNUMBER(R66),ISNUMBER(R67)),IF(R66&gt;R67,1,IF(R66=R67,0.5,0)),0.5)</f>
        <v/>
      </c>
      <c r="AG66">
        <f>IF(AND(ISNUMBER(R66),ISNUMBER(R68)),IF(R66&gt;R68,1,IF(R66=R68,0.5,0)),0.5)</f>
        <v/>
      </c>
      <c r="AH66">
        <f>IF(AND(ISNUMBER(R66),ISNUMBER(R69)),IF(R66&gt;R69,1,IF(R66=R69,0.5,0)),0.5)</f>
        <v/>
      </c>
      <c r="AI66">
        <f>IF(AND(ISNUMBER(R66),ISNUMBER(R70)),IF(R66&gt;R70,1,IF(R66=R70,0.5,0)),0.5)</f>
        <v/>
      </c>
      <c r="AJ66">
        <f>IF(AND(ISNUMBER(R66),ISNUMBER(R71)),IF(R66&gt;R71,1,IF(R66=R71,0.5,0)),0.5)</f>
        <v/>
      </c>
      <c r="AK66">
        <f>IF(AND(ISNUMBER(R66),ISNUMBER(R72)),IF(R66&gt;R72,1,IF(R66=R72,0.5,0)),0.5)</f>
        <v/>
      </c>
      <c r="AL66">
        <f>IF(AND(ISNUMBER(S66),ISNUMBER(S67)),IF(S66&gt;S67,1,IF(S66=S67,0.5,0)),0.5)</f>
        <v/>
      </c>
      <c r="AM66">
        <f>IF(AND(ISNUMBER(S66),ISNUMBER(S68)),IF(S66&gt;S68,1,IF(S66=S68,0.5,0)),0.5)</f>
        <v/>
      </c>
      <c r="AN66">
        <f>IF(AND(ISNUMBER(S66),ISNUMBER(S69)),IF(S66&gt;S69,1,IF(S66=S69,0.5,0)),0.5)</f>
        <v/>
      </c>
      <c r="AO66">
        <f>IF(AND(ISNUMBER(S66),ISNUMBER(S70)),IF(S66&gt;S70,1,IF(S66=S70,0.5,0)),0.5)</f>
        <v/>
      </c>
      <c r="AP66">
        <f>IF(AND(ISNUMBER(S66),ISNUMBER(S71)),IF(S66&gt;S71,1,IF(S66=S71,0.5,0)),0.5)</f>
        <v/>
      </c>
      <c r="AQ66">
        <f>IF(AND(ISNUMBER(S66),ISNUMBER(S72)),IF(S66&gt;S72,1,IF(S66=S72,0.5,0)),0.5)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4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5">
        <f>IFERROR(AVERAGE(T67:Y67),"")</f>
        <v/>
      </c>
      <c r="M67" s="4">
        <f>IFERROR(AVERAGE(Z67:AE67),"")</f>
        <v/>
      </c>
      <c r="N67" s="5">
        <f>P67/6</f>
        <v/>
      </c>
      <c r="O67" s="5">
        <f>Q67/6</f>
        <v/>
      </c>
      <c r="P67" s="4">
        <f>IFERROR(SUM(AF67:AK67),"")</f>
        <v/>
      </c>
      <c r="Q67" s="4">
        <f>IFERROR(SUM(AL67:AQ67),"")</f>
        <v/>
      </c>
      <c r="R67" s="16">
        <f>IF(ISNUMBER(J67),J67,IF(ISNUMBER(K67),-K67,""))</f>
        <v/>
      </c>
      <c r="S67">
        <f>IF(ISNUMBER(K67),K67,IF(ISNUMBER(J67),-J67,""))</f>
        <v/>
      </c>
      <c r="T67">
        <f>IF(AND(ISNUMBER(R67),ISNUMBER(R66)),VLOOKUP(ABS(R67-R66),'IMP Table'!$A$2:$C$26,3)*SIGN(R67-R66),"")</f>
        <v/>
      </c>
      <c r="U67">
        <f>IF(AND(ISNUMBER(R67),ISNUMBER(R68)),VLOOKUP(ABS(R67-R68),'IMP Table'!$A$2:$C$26,3)*SIGN(R67-R68),"")</f>
        <v/>
      </c>
      <c r="V67">
        <f>IF(AND(ISNUMBER(R67),ISNUMBER(R69)),VLOOKUP(ABS(R67-R69),'IMP Table'!$A$2:$C$26,3)*SIGN(R67-R69),"")</f>
        <v/>
      </c>
      <c r="W67">
        <f>IF(AND(ISNUMBER(R67),ISNUMBER(R70)),VLOOKUP(ABS(R67-R70),'IMP Table'!$A$2:$C$26,3)*SIGN(R67-R70),"")</f>
        <v/>
      </c>
      <c r="X67">
        <f>IF(AND(ISNUMBER(R67),ISNUMBER(R71)),VLOOKUP(ABS(R67-R71),'IMP Table'!$A$2:$C$26,3)*SIGN(R67-R71),"")</f>
        <v/>
      </c>
      <c r="Y67">
        <f>IF(AND(ISNUMBER(R67),ISNUMBER(R72)),VLOOKUP(ABS(R67-R72),'IMP Table'!$A$2:$C$26,3)*SIGN(R67-R72),"")</f>
        <v/>
      </c>
      <c r="Z67">
        <f>IF(AND(ISNUMBER(S67),ISNUMBER(S66)),VLOOKUP(ABS(S67-S66),'IMP Table'!$A$2:$C$26,3)*SIGN(S67-S66),"")</f>
        <v/>
      </c>
      <c r="AA67">
        <f>IF(AND(ISNUMBER(S67),ISNUMBER(S68)),VLOOKUP(ABS(S67-S68),'IMP Table'!$A$2:$C$26,3)*SIGN(S67-S68),"")</f>
        <v/>
      </c>
      <c r="AB67">
        <f>IF(AND(ISNUMBER(S67),ISNUMBER(S69)),VLOOKUP(ABS(S67-S69),'IMP Table'!$A$2:$C$26,3)*SIGN(S67-S69),"")</f>
        <v/>
      </c>
      <c r="AC67">
        <f>IF(AND(ISNUMBER(S67),ISNUMBER(S70)),VLOOKUP(ABS(S67-S70),'IMP Table'!$A$2:$C$26,3)*SIGN(S67-S70),"")</f>
        <v/>
      </c>
      <c r="AD67">
        <f>IF(AND(ISNUMBER(S67),ISNUMBER(S71)),VLOOKUP(ABS(S67-S71),'IMP Table'!$A$2:$C$26,3)*SIGN(S67-S71),"")</f>
        <v/>
      </c>
      <c r="AE67">
        <f>IF(AND(ISNUMBER(S67),ISNUMBER(S72)),VLOOKUP(ABS(S67-S72),'IMP Table'!$A$2:$C$26,3)*SIGN(S67-S72),"")</f>
        <v/>
      </c>
      <c r="AF67">
        <f>IF(AND(ISNUMBER(R67),ISNUMBER(R66)),IF(R67&gt;R66,1,IF(R67=R66,0.5,0)),0.5)</f>
        <v/>
      </c>
      <c r="AG67">
        <f>IF(AND(ISNUMBER(R67),ISNUMBER(R68)),IF(R67&gt;R68,1,IF(R67=R68,0.5,0)),0.5)</f>
        <v/>
      </c>
      <c r="AH67">
        <f>IF(AND(ISNUMBER(R67),ISNUMBER(R69)),IF(R67&gt;R69,1,IF(R67=R69,0.5,0)),0.5)</f>
        <v/>
      </c>
      <c r="AI67">
        <f>IF(AND(ISNUMBER(R67),ISNUMBER(R70)),IF(R67&gt;R70,1,IF(R67=R70,0.5,0)),0.5)</f>
        <v/>
      </c>
      <c r="AJ67">
        <f>IF(AND(ISNUMBER(R67),ISNUMBER(R71)),IF(R67&gt;R71,1,IF(R67=R71,0.5,0)),0.5)</f>
        <v/>
      </c>
      <c r="AK67">
        <f>IF(AND(ISNUMBER(R67),ISNUMBER(R72)),IF(R67&gt;R72,1,IF(R67=R72,0.5,0)),0.5)</f>
        <v/>
      </c>
      <c r="AL67">
        <f>IF(AND(ISNUMBER(S67),ISNUMBER(S66)),IF(S67&gt;S66,1,IF(S67=S66,0.5,0)),0.5)</f>
        <v/>
      </c>
      <c r="AM67">
        <f>IF(AND(ISNUMBER(S67),ISNUMBER(S68)),IF(S67&gt;S68,1,IF(S67=S68,0.5,0)),0.5)</f>
        <v/>
      </c>
      <c r="AN67">
        <f>IF(AND(ISNUMBER(S67),ISNUMBER(S69)),IF(S67&gt;S69,1,IF(S67=S69,0.5,0)),0.5)</f>
        <v/>
      </c>
      <c r="AO67">
        <f>IF(AND(ISNUMBER(S67),ISNUMBER(S70)),IF(S67&gt;S70,1,IF(S67=S70,0.5,0)),0.5)</f>
        <v/>
      </c>
      <c r="AP67">
        <f>IF(AND(ISNUMBER(S67),ISNUMBER(S71)),IF(S67&gt;S71,1,IF(S67=S71,0.5,0)),0.5)</f>
        <v/>
      </c>
      <c r="AQ67">
        <f>IF(AND(ISNUMBER(S67),ISNUMBER(S72)),IF(S67&gt;S72,1,IF(S67=S72,0.5,0)),0.5)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4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5">
        <f>IFERROR(AVERAGE(T68:Y68),"")</f>
        <v/>
      </c>
      <c r="M68" s="4">
        <f>IFERROR(AVERAGE(Z68:AE68),"")</f>
        <v/>
      </c>
      <c r="N68" s="5">
        <f>P68/6</f>
        <v/>
      </c>
      <c r="O68" s="5">
        <f>Q68/6</f>
        <v/>
      </c>
      <c r="P68" s="4">
        <f>IFERROR(SUM(AF68:AK68),"")</f>
        <v/>
      </c>
      <c r="Q68" s="4">
        <f>IFERROR(SUM(AL68:AQ68),"")</f>
        <v/>
      </c>
      <c r="R68" s="16">
        <f>IF(ISNUMBER(J68),J68,IF(ISNUMBER(K68),-K68,""))</f>
        <v/>
      </c>
      <c r="S68">
        <f>IF(ISNUMBER(K68),K68,IF(ISNUMBER(J68),-J68,""))</f>
        <v/>
      </c>
      <c r="T68">
        <f>IF(AND(ISNUMBER(R68),ISNUMBER(R66)),VLOOKUP(ABS(R68-R66),'IMP Table'!$A$2:$C$26,3)*SIGN(R68-R66),"")</f>
        <v/>
      </c>
      <c r="U68">
        <f>IF(AND(ISNUMBER(R68),ISNUMBER(R67)),VLOOKUP(ABS(R68-R67),'IMP Table'!$A$2:$C$26,3)*SIGN(R68-R67),"")</f>
        <v/>
      </c>
      <c r="V68">
        <f>IF(AND(ISNUMBER(R68),ISNUMBER(R69)),VLOOKUP(ABS(R68-R69),'IMP Table'!$A$2:$C$26,3)*SIGN(R68-R69),"")</f>
        <v/>
      </c>
      <c r="W68">
        <f>IF(AND(ISNUMBER(R68),ISNUMBER(R70)),VLOOKUP(ABS(R68-R70),'IMP Table'!$A$2:$C$26,3)*SIGN(R68-R70),"")</f>
        <v/>
      </c>
      <c r="X68">
        <f>IF(AND(ISNUMBER(R68),ISNUMBER(R71)),VLOOKUP(ABS(R68-R71),'IMP Table'!$A$2:$C$26,3)*SIGN(R68-R71),"")</f>
        <v/>
      </c>
      <c r="Y68">
        <f>IF(AND(ISNUMBER(R68),ISNUMBER(R72)),VLOOKUP(ABS(R68-R72),'IMP Table'!$A$2:$C$26,3)*SIGN(R68-R72),"")</f>
        <v/>
      </c>
      <c r="Z68">
        <f>IF(AND(ISNUMBER(S68),ISNUMBER(S66)),VLOOKUP(ABS(S68-S66),'IMP Table'!$A$2:$C$26,3)*SIGN(S68-S66),"")</f>
        <v/>
      </c>
      <c r="AA68">
        <f>IF(AND(ISNUMBER(S68),ISNUMBER(S67)),VLOOKUP(ABS(S68-S67),'IMP Table'!$A$2:$C$26,3)*SIGN(S68-S67),"")</f>
        <v/>
      </c>
      <c r="AB68">
        <f>IF(AND(ISNUMBER(S68),ISNUMBER(S69)),VLOOKUP(ABS(S68-S69),'IMP Table'!$A$2:$C$26,3)*SIGN(S68-S69),"")</f>
        <v/>
      </c>
      <c r="AC68">
        <f>IF(AND(ISNUMBER(S68),ISNUMBER(S70)),VLOOKUP(ABS(S68-S70),'IMP Table'!$A$2:$C$26,3)*SIGN(S68-S70),"")</f>
        <v/>
      </c>
      <c r="AD68">
        <f>IF(AND(ISNUMBER(S68),ISNUMBER(S71)),VLOOKUP(ABS(S68-S71),'IMP Table'!$A$2:$C$26,3)*SIGN(S68-S71),"")</f>
        <v/>
      </c>
      <c r="AE68">
        <f>IF(AND(ISNUMBER(S68),ISNUMBER(S72)),VLOOKUP(ABS(S68-S72),'IMP Table'!$A$2:$C$26,3)*SIGN(S68-S72),"")</f>
        <v/>
      </c>
      <c r="AF68">
        <f>IF(AND(ISNUMBER(R68),ISNUMBER(R66)),IF(R68&gt;R66,1,IF(R68=R66,0.5,0)),0.5)</f>
        <v/>
      </c>
      <c r="AG68">
        <f>IF(AND(ISNUMBER(R68),ISNUMBER(R67)),IF(R68&gt;R67,1,IF(R68=R67,0.5,0)),0.5)</f>
        <v/>
      </c>
      <c r="AH68">
        <f>IF(AND(ISNUMBER(R68),ISNUMBER(R69)),IF(R68&gt;R69,1,IF(R68=R69,0.5,0)),0.5)</f>
        <v/>
      </c>
      <c r="AI68">
        <f>IF(AND(ISNUMBER(R68),ISNUMBER(R70)),IF(R68&gt;R70,1,IF(R68=R70,0.5,0)),0.5)</f>
        <v/>
      </c>
      <c r="AJ68">
        <f>IF(AND(ISNUMBER(R68),ISNUMBER(R71)),IF(R68&gt;R71,1,IF(R68=R71,0.5,0)),0.5)</f>
        <v/>
      </c>
      <c r="AK68">
        <f>IF(AND(ISNUMBER(R68),ISNUMBER(R72)),IF(R68&gt;R72,1,IF(R68=R72,0.5,0)),0.5)</f>
        <v/>
      </c>
      <c r="AL68">
        <f>IF(AND(ISNUMBER(S68),ISNUMBER(S66)),IF(S68&gt;S66,1,IF(S68=S66,0.5,0)),0.5)</f>
        <v/>
      </c>
      <c r="AM68">
        <f>IF(AND(ISNUMBER(S68),ISNUMBER(S67)),IF(S68&gt;S67,1,IF(S68=S67,0.5,0)),0.5)</f>
        <v/>
      </c>
      <c r="AN68">
        <f>IF(AND(ISNUMBER(S68),ISNUMBER(S69)),IF(S68&gt;S69,1,IF(S68=S69,0.5,0)),0.5)</f>
        <v/>
      </c>
      <c r="AO68">
        <f>IF(AND(ISNUMBER(S68),ISNUMBER(S70)),IF(S68&gt;S70,1,IF(S68=S70,0.5,0)),0.5)</f>
        <v/>
      </c>
      <c r="AP68">
        <f>IF(AND(ISNUMBER(S68),ISNUMBER(S71)),IF(S68&gt;S71,1,IF(S68=S71,0.5,0)),0.5)</f>
        <v/>
      </c>
      <c r="AQ68">
        <f>IF(AND(ISNUMBER(S68),ISNUMBER(S72)),IF(S68&gt;S72,1,IF(S68=S72,0.5,0)),0.5)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4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5">
        <f>IFERROR(AVERAGE(T69:Y69),"")</f>
        <v/>
      </c>
      <c r="M69" s="4">
        <f>IFERROR(AVERAGE(Z69:AE69),"")</f>
        <v/>
      </c>
      <c r="N69" s="5">
        <f>P69/6</f>
        <v/>
      </c>
      <c r="O69" s="5">
        <f>Q69/6</f>
        <v/>
      </c>
      <c r="P69" s="4">
        <f>IFERROR(SUM(AF69:AK69),"")</f>
        <v/>
      </c>
      <c r="Q69" s="4">
        <f>IFERROR(SUM(AL69:AQ69),"")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IF(AND(ISNUMBER(R69),ISNUMBER(R66)),VLOOKUP(ABS(R69-R66),'IMP Table'!$A$2:$C$26,3)*SIGN(R69-R66),"")</f>
        <v/>
      </c>
      <c r="U69">
        <f>IF(AND(ISNUMBER(R69),ISNUMBER(R67)),VLOOKUP(ABS(R69-R67),'IMP Table'!$A$2:$C$26,3)*SIGN(R69-R67),"")</f>
        <v/>
      </c>
      <c r="V69">
        <f>IF(AND(ISNUMBER(R69),ISNUMBER(R68)),VLOOKUP(ABS(R69-R68),'IMP Table'!$A$2:$C$26,3)*SIGN(R69-R68),"")</f>
        <v/>
      </c>
      <c r="W69">
        <f>IF(AND(ISNUMBER(R69),ISNUMBER(R70)),VLOOKUP(ABS(R69-R70),'IMP Table'!$A$2:$C$26,3)*SIGN(R69-R70),"")</f>
        <v/>
      </c>
      <c r="X69">
        <f>IF(AND(ISNUMBER(R69),ISNUMBER(R71)),VLOOKUP(ABS(R69-R71),'IMP Table'!$A$2:$C$26,3)*SIGN(R69-R71),"")</f>
        <v/>
      </c>
      <c r="Y69">
        <f>IF(AND(ISNUMBER(R69),ISNUMBER(R72)),VLOOKUP(ABS(R69-R72),'IMP Table'!$A$2:$C$26,3)*SIGN(R69-R72),"")</f>
        <v/>
      </c>
      <c r="Z69">
        <f>IF(AND(ISNUMBER(S69),ISNUMBER(S66)),VLOOKUP(ABS(S69-S66),'IMP Table'!$A$2:$C$26,3)*SIGN(S69-S66),"")</f>
        <v/>
      </c>
      <c r="AA69">
        <f>IF(AND(ISNUMBER(S69),ISNUMBER(S67)),VLOOKUP(ABS(S69-S67),'IMP Table'!$A$2:$C$26,3)*SIGN(S69-S67),"")</f>
        <v/>
      </c>
      <c r="AB69">
        <f>IF(AND(ISNUMBER(S69),ISNUMBER(S68)),VLOOKUP(ABS(S69-S68),'IMP Table'!$A$2:$C$26,3)*SIGN(S69-S68),"")</f>
        <v/>
      </c>
      <c r="AC69">
        <f>IF(AND(ISNUMBER(S69),ISNUMBER(S70)),VLOOKUP(ABS(S69-S70),'IMP Table'!$A$2:$C$26,3)*SIGN(S69-S70),"")</f>
        <v/>
      </c>
      <c r="AD69">
        <f>IF(AND(ISNUMBER(S69),ISNUMBER(S71)),VLOOKUP(ABS(S69-S71),'IMP Table'!$A$2:$C$26,3)*SIGN(S69-S71),"")</f>
        <v/>
      </c>
      <c r="AE69">
        <f>IF(AND(ISNUMBER(S69),ISNUMBER(S72)),VLOOKUP(ABS(S69-S72),'IMP Table'!$A$2:$C$26,3)*SIGN(S69-S72),"")</f>
        <v/>
      </c>
      <c r="AF69">
        <f>IF(AND(ISNUMBER(R69),ISNUMBER(R66)),IF(R69&gt;R66,1,IF(R69=R66,0.5,0)),0.5)</f>
        <v/>
      </c>
      <c r="AG69">
        <f>IF(AND(ISNUMBER(R69),ISNUMBER(R67)),IF(R69&gt;R67,1,IF(R69=R67,0.5,0)),0.5)</f>
        <v/>
      </c>
      <c r="AH69">
        <f>IF(AND(ISNUMBER(R69),ISNUMBER(R68)),IF(R69&gt;R68,1,IF(R69=R68,0.5,0)),0.5)</f>
        <v/>
      </c>
      <c r="AI69">
        <f>IF(AND(ISNUMBER(R69),ISNUMBER(R70)),IF(R69&gt;R70,1,IF(R69=R70,0.5,0)),0.5)</f>
        <v/>
      </c>
      <c r="AJ69">
        <f>IF(AND(ISNUMBER(R69),ISNUMBER(R71)),IF(R69&gt;R71,1,IF(R69=R71,0.5,0)),0.5)</f>
        <v/>
      </c>
      <c r="AK69">
        <f>IF(AND(ISNUMBER(R69),ISNUMBER(R72)),IF(R69&gt;R72,1,IF(R69=R72,0.5,0)),0.5)</f>
        <v/>
      </c>
      <c r="AL69">
        <f>IF(AND(ISNUMBER(S69),ISNUMBER(S66)),IF(S69&gt;S66,1,IF(S69=S66,0.5,0)),0.5)</f>
        <v/>
      </c>
      <c r="AM69">
        <f>IF(AND(ISNUMBER(S69),ISNUMBER(S67)),IF(S69&gt;S67,1,IF(S69=S67,0.5,0)),0.5)</f>
        <v/>
      </c>
      <c r="AN69">
        <f>IF(AND(ISNUMBER(S69),ISNUMBER(S68)),IF(S69&gt;S68,1,IF(S69=S68,0.5,0)),0.5)</f>
        <v/>
      </c>
      <c r="AO69">
        <f>IF(AND(ISNUMBER(S69),ISNUMBER(S70)),IF(S69&gt;S70,1,IF(S69=S70,0.5,0)),0.5)</f>
        <v/>
      </c>
      <c r="AP69">
        <f>IF(AND(ISNUMBER(S69),ISNUMBER(S71)),IF(S69&gt;S71,1,IF(S69=S71,0.5,0)),0.5)</f>
        <v/>
      </c>
      <c r="AQ69">
        <f>IF(AND(ISNUMBER(S69),ISNUMBER(S72)),IF(S69&gt;S72,1,IF(S69=S72,0.5,0)),0.5)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4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5">
        <f>IFERROR(AVERAGE(T70:Y70),"")</f>
        <v/>
      </c>
      <c r="M70" s="4">
        <f>IFERROR(AVERAGE(Z70:AE70),"")</f>
        <v/>
      </c>
      <c r="N70" s="5">
        <f>P70/6</f>
        <v/>
      </c>
      <c r="O70" s="5">
        <f>Q70/6</f>
        <v/>
      </c>
      <c r="P70" s="4">
        <f>IFERROR(SUM(AF70:AK70),"")</f>
        <v/>
      </c>
      <c r="Q70" s="4">
        <f>IFERROR(SUM(AL70:AQ70),"")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IF(AND(ISNUMBER(R70),ISNUMBER(R66)),VLOOKUP(ABS(R70-R66),'IMP Table'!$A$2:$C$26,3)*SIGN(R70-R66),"")</f>
        <v/>
      </c>
      <c r="U70">
        <f>IF(AND(ISNUMBER(R70),ISNUMBER(R67)),VLOOKUP(ABS(R70-R67),'IMP Table'!$A$2:$C$26,3)*SIGN(R70-R67),"")</f>
        <v/>
      </c>
      <c r="V70">
        <f>IF(AND(ISNUMBER(R70),ISNUMBER(R68)),VLOOKUP(ABS(R70-R68),'IMP Table'!$A$2:$C$26,3)*SIGN(R70-R68),"")</f>
        <v/>
      </c>
      <c r="W70">
        <f>IF(AND(ISNUMBER(R70),ISNUMBER(R69)),VLOOKUP(ABS(R70-R69),'IMP Table'!$A$2:$C$26,3)*SIGN(R70-R69),"")</f>
        <v/>
      </c>
      <c r="X70">
        <f>IF(AND(ISNUMBER(R70),ISNUMBER(R71)),VLOOKUP(ABS(R70-R71),'IMP Table'!$A$2:$C$26,3)*SIGN(R70-R71),"")</f>
        <v/>
      </c>
      <c r="Y70">
        <f>IF(AND(ISNUMBER(R70),ISNUMBER(R72)),VLOOKUP(ABS(R70-R72),'IMP Table'!$A$2:$C$26,3)*SIGN(R70-R72),"")</f>
        <v/>
      </c>
      <c r="Z70">
        <f>IF(AND(ISNUMBER(S70),ISNUMBER(S66)),VLOOKUP(ABS(S70-S66),'IMP Table'!$A$2:$C$26,3)*SIGN(S70-S66),"")</f>
        <v/>
      </c>
      <c r="AA70">
        <f>IF(AND(ISNUMBER(S70),ISNUMBER(S67)),VLOOKUP(ABS(S70-S67),'IMP Table'!$A$2:$C$26,3)*SIGN(S70-S67),"")</f>
        <v/>
      </c>
      <c r="AB70">
        <f>IF(AND(ISNUMBER(S70),ISNUMBER(S68)),VLOOKUP(ABS(S70-S68),'IMP Table'!$A$2:$C$26,3)*SIGN(S70-S68),"")</f>
        <v/>
      </c>
      <c r="AC70">
        <f>IF(AND(ISNUMBER(S70),ISNUMBER(S69)),VLOOKUP(ABS(S70-S69),'IMP Table'!$A$2:$C$26,3)*SIGN(S70-S69),"")</f>
        <v/>
      </c>
      <c r="AD70">
        <f>IF(AND(ISNUMBER(S70),ISNUMBER(S71)),VLOOKUP(ABS(S70-S71),'IMP Table'!$A$2:$C$26,3)*SIGN(S70-S71),"")</f>
        <v/>
      </c>
      <c r="AE70">
        <f>IF(AND(ISNUMBER(S70),ISNUMBER(S72)),VLOOKUP(ABS(S70-S72),'IMP Table'!$A$2:$C$26,3)*SIGN(S70-S72),"")</f>
        <v/>
      </c>
      <c r="AF70">
        <f>IF(AND(ISNUMBER(R70),ISNUMBER(R66)),IF(R70&gt;R66,1,IF(R70=R66,0.5,0)),0.5)</f>
        <v/>
      </c>
      <c r="AG70">
        <f>IF(AND(ISNUMBER(R70),ISNUMBER(R67)),IF(R70&gt;R67,1,IF(R70=R67,0.5,0)),0.5)</f>
        <v/>
      </c>
      <c r="AH70">
        <f>IF(AND(ISNUMBER(R70),ISNUMBER(R68)),IF(R70&gt;R68,1,IF(R70=R68,0.5,0)),0.5)</f>
        <v/>
      </c>
      <c r="AI70">
        <f>IF(AND(ISNUMBER(R70),ISNUMBER(R69)),IF(R70&gt;R69,1,IF(R70=R69,0.5,0)),0.5)</f>
        <v/>
      </c>
      <c r="AJ70">
        <f>IF(AND(ISNUMBER(R70),ISNUMBER(R71)),IF(R70&gt;R71,1,IF(R70=R71,0.5,0)),0.5)</f>
        <v/>
      </c>
      <c r="AK70">
        <f>IF(AND(ISNUMBER(R70),ISNUMBER(R72)),IF(R70&gt;R72,1,IF(R70=R72,0.5,0)),0.5)</f>
        <v/>
      </c>
      <c r="AL70">
        <f>IF(AND(ISNUMBER(S70),ISNUMBER(S66)),IF(S70&gt;S66,1,IF(S70=S66,0.5,0)),0.5)</f>
        <v/>
      </c>
      <c r="AM70">
        <f>IF(AND(ISNUMBER(S70),ISNUMBER(S67)),IF(S70&gt;S67,1,IF(S70=S67,0.5,0)),0.5)</f>
        <v/>
      </c>
      <c r="AN70">
        <f>IF(AND(ISNUMBER(S70),ISNUMBER(S68)),IF(S70&gt;S68,1,IF(S70=S68,0.5,0)),0.5)</f>
        <v/>
      </c>
      <c r="AO70">
        <f>IF(AND(ISNUMBER(S70),ISNUMBER(S69)),IF(S70&gt;S69,1,IF(S70=S69,0.5,0)),0.5)</f>
        <v/>
      </c>
      <c r="AP70">
        <f>IF(AND(ISNUMBER(S70),ISNUMBER(S71)),IF(S70&gt;S71,1,IF(S70=S71,0.5,0)),0.5)</f>
        <v/>
      </c>
      <c r="AQ70">
        <f>IF(AND(ISNUMBER(S70),ISNUMBER(S72)),IF(S70&gt;S72,1,IF(S70=S72,0.5,0)),0.5)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4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5">
        <f>IFERROR(AVERAGE(T71:Y71),"")</f>
        <v/>
      </c>
      <c r="M71" s="4">
        <f>IFERROR(AVERAGE(Z71:AE71),"")</f>
        <v/>
      </c>
      <c r="N71" s="5">
        <f>P71/6</f>
        <v/>
      </c>
      <c r="O71" s="5">
        <f>Q71/6</f>
        <v/>
      </c>
      <c r="P71" s="4">
        <f>IFERROR(SUM(AF71:AK71),"")</f>
        <v/>
      </c>
      <c r="Q71" s="4">
        <f>IFERROR(SUM(AL71:AQ71),"")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IF(AND(ISNUMBER(R71),ISNUMBER(R66)),VLOOKUP(ABS(R71-R66),'IMP Table'!$A$2:$C$26,3)*SIGN(R71-R66),"")</f>
        <v/>
      </c>
      <c r="U71">
        <f>IF(AND(ISNUMBER(R71),ISNUMBER(R67)),VLOOKUP(ABS(R71-R67),'IMP Table'!$A$2:$C$26,3)*SIGN(R71-R67),"")</f>
        <v/>
      </c>
      <c r="V71">
        <f>IF(AND(ISNUMBER(R71),ISNUMBER(R68)),VLOOKUP(ABS(R71-R68),'IMP Table'!$A$2:$C$26,3)*SIGN(R71-R68),"")</f>
        <v/>
      </c>
      <c r="W71">
        <f>IF(AND(ISNUMBER(R71),ISNUMBER(R69)),VLOOKUP(ABS(R71-R69),'IMP Table'!$A$2:$C$26,3)*SIGN(R71-R69),"")</f>
        <v/>
      </c>
      <c r="X71">
        <f>IF(AND(ISNUMBER(R71),ISNUMBER(R70)),VLOOKUP(ABS(R71-R70),'IMP Table'!$A$2:$C$26,3)*SIGN(R71-R70),"")</f>
        <v/>
      </c>
      <c r="Y71">
        <f>IF(AND(ISNUMBER(R71),ISNUMBER(R72)),VLOOKUP(ABS(R71-R72),'IMP Table'!$A$2:$C$26,3)*SIGN(R71-R72),"")</f>
        <v/>
      </c>
      <c r="Z71">
        <f>IF(AND(ISNUMBER(S71),ISNUMBER(S66)),VLOOKUP(ABS(S71-S66),'IMP Table'!$A$2:$C$26,3)*SIGN(S71-S66),"")</f>
        <v/>
      </c>
      <c r="AA71">
        <f>IF(AND(ISNUMBER(S71),ISNUMBER(S67)),VLOOKUP(ABS(S71-S67),'IMP Table'!$A$2:$C$26,3)*SIGN(S71-S67),"")</f>
        <v/>
      </c>
      <c r="AB71">
        <f>IF(AND(ISNUMBER(S71),ISNUMBER(S68)),VLOOKUP(ABS(S71-S68),'IMP Table'!$A$2:$C$26,3)*SIGN(S71-S68),"")</f>
        <v/>
      </c>
      <c r="AC71">
        <f>IF(AND(ISNUMBER(S71),ISNUMBER(S69)),VLOOKUP(ABS(S71-S69),'IMP Table'!$A$2:$C$26,3)*SIGN(S71-S69),"")</f>
        <v/>
      </c>
      <c r="AD71">
        <f>IF(AND(ISNUMBER(S71),ISNUMBER(S70)),VLOOKUP(ABS(S71-S70),'IMP Table'!$A$2:$C$26,3)*SIGN(S71-S70),"")</f>
        <v/>
      </c>
      <c r="AE71">
        <f>IF(AND(ISNUMBER(S71),ISNUMBER(S72)),VLOOKUP(ABS(S71-S72),'IMP Table'!$A$2:$C$26,3)*SIGN(S71-S72),"")</f>
        <v/>
      </c>
      <c r="AF71">
        <f>IF(AND(ISNUMBER(R71),ISNUMBER(R66)),IF(R71&gt;R66,1,IF(R71=R66,0.5,0)),0.5)</f>
        <v/>
      </c>
      <c r="AG71">
        <f>IF(AND(ISNUMBER(R71),ISNUMBER(R67)),IF(R71&gt;R67,1,IF(R71=R67,0.5,0)),0.5)</f>
        <v/>
      </c>
      <c r="AH71">
        <f>IF(AND(ISNUMBER(R71),ISNUMBER(R68)),IF(R71&gt;R68,1,IF(R71=R68,0.5,0)),0.5)</f>
        <v/>
      </c>
      <c r="AI71">
        <f>IF(AND(ISNUMBER(R71),ISNUMBER(R69)),IF(R71&gt;R69,1,IF(R71=R69,0.5,0)),0.5)</f>
        <v/>
      </c>
      <c r="AJ71">
        <f>IF(AND(ISNUMBER(R71),ISNUMBER(R70)),IF(R71&gt;R70,1,IF(R71=R70,0.5,0)),0.5)</f>
        <v/>
      </c>
      <c r="AK71">
        <f>IF(AND(ISNUMBER(R71),ISNUMBER(R72)),IF(R71&gt;R72,1,IF(R71=R72,0.5,0)),0.5)</f>
        <v/>
      </c>
      <c r="AL71">
        <f>IF(AND(ISNUMBER(S71),ISNUMBER(S66)),IF(S71&gt;S66,1,IF(S71=S66,0.5,0)),0.5)</f>
        <v/>
      </c>
      <c r="AM71">
        <f>IF(AND(ISNUMBER(S71),ISNUMBER(S67)),IF(S71&gt;S67,1,IF(S71=S67,0.5,0)),0.5)</f>
        <v/>
      </c>
      <c r="AN71">
        <f>IF(AND(ISNUMBER(S71),ISNUMBER(S68)),IF(S71&gt;S68,1,IF(S71=S68,0.5,0)),0.5)</f>
        <v/>
      </c>
      <c r="AO71">
        <f>IF(AND(ISNUMBER(S71),ISNUMBER(S69)),IF(S71&gt;S69,1,IF(S71=S69,0.5,0)),0.5)</f>
        <v/>
      </c>
      <c r="AP71">
        <f>IF(AND(ISNUMBER(S71),ISNUMBER(S70)),IF(S71&gt;S70,1,IF(S71=S70,0.5,0)),0.5)</f>
        <v/>
      </c>
      <c r="AQ71">
        <f>IF(AND(ISNUMBER(S71),ISNUMBER(S72)),IF(S71&gt;S72,1,IF(S71=S72,0.5,0)),0.5)</f>
        <v/>
      </c>
    </row>
    <row r="72">
      <c r="A72" s="13" t="n"/>
      <c r="B72" s="13">
        <f>'By Round'!A115</f>
        <v/>
      </c>
      <c r="C72" s="13">
        <f>'By Round'!B123</f>
        <v/>
      </c>
      <c r="D72" s="13">
        <f>'By Round'!C123</f>
        <v/>
      </c>
      <c r="E72" s="13">
        <f>'By Round'!D123</f>
        <v/>
      </c>
      <c r="F72" s="17" t="inlineStr">
        <is>
          <t>Both</t>
        </is>
      </c>
      <c r="G72" s="13">
        <f>IF(ISBLANK('By Round'!G123),"",'By Round'!G123)</f>
        <v/>
      </c>
      <c r="H72" s="13">
        <f>IF(ISBLANK('By Round'!H123),"",'By Round'!H123)</f>
        <v/>
      </c>
      <c r="I72" s="13">
        <f>IF(ISBLANK('By Round'!I123),"",'By Round'!I123)</f>
        <v/>
      </c>
      <c r="J72" s="13">
        <f>IF(ISBLANK('By Round'!J123),"",'By Round'!J123)</f>
        <v/>
      </c>
      <c r="K72" s="13">
        <f>IF(ISBLANK('By Round'!K123),"",'By Round'!K123)</f>
        <v/>
      </c>
      <c r="L72" s="18">
        <f>IFERROR(AVERAGE(T72:Y72),"")</f>
        <v/>
      </c>
      <c r="M72" s="19">
        <f>IFERROR(AVERAGE(Z72:AE72),"")</f>
        <v/>
      </c>
      <c r="N72" s="20">
        <f>P72/6</f>
        <v/>
      </c>
      <c r="O72" s="20">
        <f>Q72/6</f>
        <v/>
      </c>
      <c r="P72" s="19">
        <f>IFERROR(SUM(AF72:AK72),"")</f>
        <v/>
      </c>
      <c r="Q72" s="19">
        <f>IFERROR(SUM(AL72:AQ72),"")</f>
        <v/>
      </c>
      <c r="R72" s="21">
        <f>IF(ISNUMBER(J72),J72,IF(ISNUMBER(K72),-K72,""))</f>
        <v/>
      </c>
      <c r="S72" s="13">
        <f>IF(ISNUMBER(K72),K72,IF(ISNUMBER(J72),-J72,""))</f>
        <v/>
      </c>
      <c r="T72" s="13">
        <f>IF(AND(ISNUMBER(R72),ISNUMBER(R66)),VLOOKUP(ABS(R72-R66),'IMP Table'!$A$2:$C$26,3)*SIGN(R72-R66),"")</f>
        <v/>
      </c>
      <c r="U72" s="13">
        <f>IF(AND(ISNUMBER(R72),ISNUMBER(R67)),VLOOKUP(ABS(R72-R67),'IMP Table'!$A$2:$C$26,3)*SIGN(R72-R67),"")</f>
        <v/>
      </c>
      <c r="V72" s="13">
        <f>IF(AND(ISNUMBER(R72),ISNUMBER(R68)),VLOOKUP(ABS(R72-R68),'IMP Table'!$A$2:$C$26,3)*SIGN(R72-R68),"")</f>
        <v/>
      </c>
      <c r="W72" s="13">
        <f>IF(AND(ISNUMBER(R72),ISNUMBER(R69)),VLOOKUP(ABS(R72-R69),'IMP Table'!$A$2:$C$26,3)*SIGN(R72-R69),"")</f>
        <v/>
      </c>
      <c r="X72" s="13">
        <f>IF(AND(ISNUMBER(R72),ISNUMBER(R70)),VLOOKUP(ABS(R72-R70),'IMP Table'!$A$2:$C$26,3)*SIGN(R72-R70),"")</f>
        <v/>
      </c>
      <c r="Y72" s="13">
        <f>IF(AND(ISNUMBER(R72),ISNUMBER(R71)),VLOOKUP(ABS(R72-R71),'IMP Table'!$A$2:$C$26,3)*SIGN(R72-R71),"")</f>
        <v/>
      </c>
      <c r="Z72" s="13">
        <f>IF(AND(ISNUMBER(S72),ISNUMBER(S66)),VLOOKUP(ABS(S72-S66),'IMP Table'!$A$2:$C$26,3)*SIGN(S72-S66),"")</f>
        <v/>
      </c>
      <c r="AA72" s="13">
        <f>IF(AND(ISNUMBER(S72),ISNUMBER(S67)),VLOOKUP(ABS(S72-S67),'IMP Table'!$A$2:$C$26,3)*SIGN(S72-S67),"")</f>
        <v/>
      </c>
      <c r="AB72" s="13">
        <f>IF(AND(ISNUMBER(S72),ISNUMBER(S68)),VLOOKUP(ABS(S72-S68),'IMP Table'!$A$2:$C$26,3)*SIGN(S72-S68),"")</f>
        <v/>
      </c>
      <c r="AC72" s="13">
        <f>IF(AND(ISNUMBER(S72),ISNUMBER(S69)),VLOOKUP(ABS(S72-S69),'IMP Table'!$A$2:$C$26,3)*SIGN(S72-S69),"")</f>
        <v/>
      </c>
      <c r="AD72" s="13">
        <f>IF(AND(ISNUMBER(S72),ISNUMBER(S70)),VLOOKUP(ABS(S72-S70),'IMP Table'!$A$2:$C$26,3)*SIGN(S72-S70),"")</f>
        <v/>
      </c>
      <c r="AE72" s="13">
        <f>IF(AND(ISNUMBER(S72),ISNUMBER(S71)),VLOOKUP(ABS(S72-S71),'IMP Table'!$A$2:$C$26,3)*SIGN(S72-S71),"")</f>
        <v/>
      </c>
      <c r="AF72" s="13">
        <f>IF(AND(ISNUMBER(R72),ISNUMBER(R66)),IF(R72&gt;R66,1,IF(R72=R66,0.5,0)),0.5)</f>
        <v/>
      </c>
      <c r="AG72" s="13">
        <f>IF(AND(ISNUMBER(R72),ISNUMBER(R67)),IF(R72&gt;R67,1,IF(R72=R67,0.5,0)),0.5)</f>
        <v/>
      </c>
      <c r="AH72" s="13">
        <f>IF(AND(ISNUMBER(R72),ISNUMBER(R68)),IF(R72&gt;R68,1,IF(R72=R68,0.5,0)),0.5)</f>
        <v/>
      </c>
      <c r="AI72" s="13">
        <f>IF(AND(ISNUMBER(R72),ISNUMBER(R69)),IF(R72&gt;R69,1,IF(R72=R69,0.5,0)),0.5)</f>
        <v/>
      </c>
      <c r="AJ72" s="13">
        <f>IF(AND(ISNUMBER(R72),ISNUMBER(R70)),IF(R72&gt;R70,1,IF(R72=R70,0.5,0)),0.5)</f>
        <v/>
      </c>
      <c r="AK72" s="13">
        <f>IF(AND(ISNUMBER(R72),ISNUMBER(R71)),IF(R72&gt;R71,1,IF(R72=R71,0.5,0)),0.5)</f>
        <v/>
      </c>
      <c r="AL72" s="13">
        <f>IF(AND(ISNUMBER(S72),ISNUMBER(S66)),IF(S72&gt;S66,1,IF(S72=S66,0.5,0)),0.5)</f>
        <v/>
      </c>
      <c r="AM72" s="13">
        <f>IF(AND(ISNUMBER(S72),ISNUMBER(S67)),IF(S72&gt;S67,1,IF(S72=S67,0.5,0)),0.5)</f>
        <v/>
      </c>
      <c r="AN72" s="13">
        <f>IF(AND(ISNUMBER(S72),ISNUMBER(S68)),IF(S72&gt;S68,1,IF(S72=S68,0.5,0)),0.5)</f>
        <v/>
      </c>
      <c r="AO72" s="13">
        <f>IF(AND(ISNUMBER(S72),ISNUMBER(S69)),IF(S72&gt;S69,1,IF(S72=S69,0.5,0)),0.5)</f>
        <v/>
      </c>
      <c r="AP72" s="13">
        <f>IF(AND(ISNUMBER(S72),ISNUMBER(S70)),IF(S72&gt;S70,1,IF(S72=S70,0.5,0)),0.5)</f>
        <v/>
      </c>
      <c r="AQ72" s="13">
        <f>IF(AND(ISNUMBER(S72),ISNUMBER(S71)),IF(S72&gt;S71,1,IF(S72=S71,0.5,0)),0.5)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4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5">
        <f>IFERROR(AVERAGE(T73:Y73),"")</f>
        <v/>
      </c>
      <c r="M73" s="4">
        <f>IFERROR(AVERAGE(Z73:AE73),"")</f>
        <v/>
      </c>
      <c r="N73" s="5">
        <f>P73/6</f>
        <v/>
      </c>
      <c r="O73" s="5">
        <f>Q73/6</f>
        <v/>
      </c>
      <c r="P73" s="4">
        <f>IFERROR(SUM(AF73:AK73),"")</f>
        <v/>
      </c>
      <c r="Q73" s="4">
        <f>IFERROR(SUM(AL73:AQ73),"")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IF(AND(ISNUMBER(R73),ISNUMBER(R74)),VLOOKUP(ABS(R73-R74),'IMP Table'!$A$2:$C$26,3)*SIGN(R73-R74),"")</f>
        <v/>
      </c>
      <c r="U73">
        <f>IF(AND(ISNUMBER(R73),ISNUMBER(R75)),VLOOKUP(ABS(R73-R75),'IMP Table'!$A$2:$C$26,3)*SIGN(R73-R75),"")</f>
        <v/>
      </c>
      <c r="V73">
        <f>IF(AND(ISNUMBER(R73),ISNUMBER(R76)),VLOOKUP(ABS(R73-R76),'IMP Table'!$A$2:$C$26,3)*SIGN(R73-R76),"")</f>
        <v/>
      </c>
      <c r="W73">
        <f>IF(AND(ISNUMBER(R73),ISNUMBER(R77)),VLOOKUP(ABS(R73-R77),'IMP Table'!$A$2:$C$26,3)*SIGN(R73-R77),"")</f>
        <v/>
      </c>
      <c r="X73">
        <f>IF(AND(ISNUMBER(R73),ISNUMBER(R78)),VLOOKUP(ABS(R73-R78),'IMP Table'!$A$2:$C$26,3)*SIGN(R73-R78),"")</f>
        <v/>
      </c>
      <c r="Y73">
        <f>IF(AND(ISNUMBER(R73),ISNUMBER(R79)),VLOOKUP(ABS(R73-R79),'IMP Table'!$A$2:$C$26,3)*SIGN(R73-R79),"")</f>
        <v/>
      </c>
      <c r="Z73">
        <f>IF(AND(ISNUMBER(S73),ISNUMBER(S74)),VLOOKUP(ABS(S73-S74),'IMP Table'!$A$2:$C$26,3)*SIGN(S73-S74),"")</f>
        <v/>
      </c>
      <c r="AA73">
        <f>IF(AND(ISNUMBER(S73),ISNUMBER(S75)),VLOOKUP(ABS(S73-S75),'IMP Table'!$A$2:$C$26,3)*SIGN(S73-S75),"")</f>
        <v/>
      </c>
      <c r="AB73">
        <f>IF(AND(ISNUMBER(S73),ISNUMBER(S76)),VLOOKUP(ABS(S73-S76),'IMP Table'!$A$2:$C$26,3)*SIGN(S73-S76),"")</f>
        <v/>
      </c>
      <c r="AC73">
        <f>IF(AND(ISNUMBER(S73),ISNUMBER(S77)),VLOOKUP(ABS(S73-S77),'IMP Table'!$A$2:$C$26,3)*SIGN(S73-S77),"")</f>
        <v/>
      </c>
      <c r="AD73">
        <f>IF(AND(ISNUMBER(S73),ISNUMBER(S78)),VLOOKUP(ABS(S73-S78),'IMP Table'!$A$2:$C$26,3)*SIGN(S73-S78),"")</f>
        <v/>
      </c>
      <c r="AE73">
        <f>IF(AND(ISNUMBER(S73),ISNUMBER(S79)),VLOOKUP(ABS(S73-S79),'IMP Table'!$A$2:$C$26,3)*SIGN(S73-S79),"")</f>
        <v/>
      </c>
      <c r="AF73">
        <f>IF(AND(ISNUMBER(R73),ISNUMBER(R74)),IF(R73&gt;R74,1,IF(R73=R74,0.5,0)),0.5)</f>
        <v/>
      </c>
      <c r="AG73">
        <f>IF(AND(ISNUMBER(R73),ISNUMBER(R75)),IF(R73&gt;R75,1,IF(R73=R75,0.5,0)),0.5)</f>
        <v/>
      </c>
      <c r="AH73">
        <f>IF(AND(ISNUMBER(R73),ISNUMBER(R76)),IF(R73&gt;R76,1,IF(R73=R76,0.5,0)),0.5)</f>
        <v/>
      </c>
      <c r="AI73">
        <f>IF(AND(ISNUMBER(R73),ISNUMBER(R77)),IF(R73&gt;R77,1,IF(R73=R77,0.5,0)),0.5)</f>
        <v/>
      </c>
      <c r="AJ73">
        <f>IF(AND(ISNUMBER(R73),ISNUMBER(R78)),IF(R73&gt;R78,1,IF(R73=R78,0.5,0)),0.5)</f>
        <v/>
      </c>
      <c r="AK73">
        <f>IF(AND(ISNUMBER(R73),ISNUMBER(R79)),IF(R73&gt;R79,1,IF(R73=R79,0.5,0)),0.5)</f>
        <v/>
      </c>
      <c r="AL73">
        <f>IF(AND(ISNUMBER(S73),ISNUMBER(S74)),IF(S73&gt;S74,1,IF(S73=S74,0.5,0)),0.5)</f>
        <v/>
      </c>
      <c r="AM73">
        <f>IF(AND(ISNUMBER(S73),ISNUMBER(S75)),IF(S73&gt;S75,1,IF(S73=S75,0.5,0)),0.5)</f>
        <v/>
      </c>
      <c r="AN73">
        <f>IF(AND(ISNUMBER(S73),ISNUMBER(S76)),IF(S73&gt;S76,1,IF(S73=S76,0.5,0)),0.5)</f>
        <v/>
      </c>
      <c r="AO73">
        <f>IF(AND(ISNUMBER(S73),ISNUMBER(S77)),IF(S73&gt;S77,1,IF(S73=S77,0.5,0)),0.5)</f>
        <v/>
      </c>
      <c r="AP73">
        <f>IF(AND(ISNUMBER(S73),ISNUMBER(S78)),IF(S73&gt;S78,1,IF(S73=S78,0.5,0)),0.5)</f>
        <v/>
      </c>
      <c r="AQ73">
        <f>IF(AND(ISNUMBER(S73),ISNUMBER(S79)),IF(S73&gt;S79,1,IF(S73=S79,0.5,0)),0.5)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4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5">
        <f>IFERROR(AVERAGE(T74:Y74),"")</f>
        <v/>
      </c>
      <c r="M74" s="4">
        <f>IFERROR(AVERAGE(Z74:AE74),"")</f>
        <v/>
      </c>
      <c r="N74" s="5">
        <f>P74/6</f>
        <v/>
      </c>
      <c r="O74" s="5">
        <f>Q74/6</f>
        <v/>
      </c>
      <c r="P74" s="4">
        <f>IFERROR(SUM(AF74:AK74),"")</f>
        <v/>
      </c>
      <c r="Q74" s="4">
        <f>IFERROR(SUM(AL74:AQ74),"")</f>
        <v/>
      </c>
      <c r="R74" s="16">
        <f>IF(ISNUMBER(J74),J74,IF(ISNUMBER(K74),-K74,""))</f>
        <v/>
      </c>
      <c r="S74">
        <f>IF(ISNUMBER(K74),K74,IF(ISNUMBER(J74),-J74,""))</f>
        <v/>
      </c>
      <c r="T74">
        <f>IF(AND(ISNUMBER(R74),ISNUMBER(R73)),VLOOKUP(ABS(R74-R73),'IMP Table'!$A$2:$C$26,3)*SIGN(R74-R73),"")</f>
        <v/>
      </c>
      <c r="U74">
        <f>IF(AND(ISNUMBER(R74),ISNUMBER(R75)),VLOOKUP(ABS(R74-R75),'IMP Table'!$A$2:$C$26,3)*SIGN(R74-R75),"")</f>
        <v/>
      </c>
      <c r="V74">
        <f>IF(AND(ISNUMBER(R74),ISNUMBER(R76)),VLOOKUP(ABS(R74-R76),'IMP Table'!$A$2:$C$26,3)*SIGN(R74-R76),"")</f>
        <v/>
      </c>
      <c r="W74">
        <f>IF(AND(ISNUMBER(R74),ISNUMBER(R77)),VLOOKUP(ABS(R74-R77),'IMP Table'!$A$2:$C$26,3)*SIGN(R74-R77),"")</f>
        <v/>
      </c>
      <c r="X74">
        <f>IF(AND(ISNUMBER(R74),ISNUMBER(R78)),VLOOKUP(ABS(R74-R78),'IMP Table'!$A$2:$C$26,3)*SIGN(R74-R78),"")</f>
        <v/>
      </c>
      <c r="Y74">
        <f>IF(AND(ISNUMBER(R74),ISNUMBER(R79)),VLOOKUP(ABS(R74-R79),'IMP Table'!$A$2:$C$26,3)*SIGN(R74-R79),"")</f>
        <v/>
      </c>
      <c r="Z74">
        <f>IF(AND(ISNUMBER(S74),ISNUMBER(S73)),VLOOKUP(ABS(S74-S73),'IMP Table'!$A$2:$C$26,3)*SIGN(S74-S73),"")</f>
        <v/>
      </c>
      <c r="AA74">
        <f>IF(AND(ISNUMBER(S74),ISNUMBER(S75)),VLOOKUP(ABS(S74-S75),'IMP Table'!$A$2:$C$26,3)*SIGN(S74-S75),"")</f>
        <v/>
      </c>
      <c r="AB74">
        <f>IF(AND(ISNUMBER(S74),ISNUMBER(S76)),VLOOKUP(ABS(S74-S76),'IMP Table'!$A$2:$C$26,3)*SIGN(S74-S76),"")</f>
        <v/>
      </c>
      <c r="AC74">
        <f>IF(AND(ISNUMBER(S74),ISNUMBER(S77)),VLOOKUP(ABS(S74-S77),'IMP Table'!$A$2:$C$26,3)*SIGN(S74-S77),"")</f>
        <v/>
      </c>
      <c r="AD74">
        <f>IF(AND(ISNUMBER(S74),ISNUMBER(S78)),VLOOKUP(ABS(S74-S78),'IMP Table'!$A$2:$C$26,3)*SIGN(S74-S78),"")</f>
        <v/>
      </c>
      <c r="AE74">
        <f>IF(AND(ISNUMBER(S74),ISNUMBER(S79)),VLOOKUP(ABS(S74-S79),'IMP Table'!$A$2:$C$26,3)*SIGN(S74-S79),"")</f>
        <v/>
      </c>
      <c r="AF74">
        <f>IF(AND(ISNUMBER(R74),ISNUMBER(R73)),IF(R74&gt;R73,1,IF(R74=R73,0.5,0)),0.5)</f>
        <v/>
      </c>
      <c r="AG74">
        <f>IF(AND(ISNUMBER(R74),ISNUMBER(R75)),IF(R74&gt;R75,1,IF(R74=R75,0.5,0)),0.5)</f>
        <v/>
      </c>
      <c r="AH74">
        <f>IF(AND(ISNUMBER(R74),ISNUMBER(R76)),IF(R74&gt;R76,1,IF(R74=R76,0.5,0)),0.5)</f>
        <v/>
      </c>
      <c r="AI74">
        <f>IF(AND(ISNUMBER(R74),ISNUMBER(R77)),IF(R74&gt;R77,1,IF(R74=R77,0.5,0)),0.5)</f>
        <v/>
      </c>
      <c r="AJ74">
        <f>IF(AND(ISNUMBER(R74),ISNUMBER(R78)),IF(R74&gt;R78,1,IF(R74=R78,0.5,0)),0.5)</f>
        <v/>
      </c>
      <c r="AK74">
        <f>IF(AND(ISNUMBER(R74),ISNUMBER(R79)),IF(R74&gt;R79,1,IF(R74=R79,0.5,0)),0.5)</f>
        <v/>
      </c>
      <c r="AL74">
        <f>IF(AND(ISNUMBER(S74),ISNUMBER(S73)),IF(S74&gt;S73,1,IF(S74=S73,0.5,0)),0.5)</f>
        <v/>
      </c>
      <c r="AM74">
        <f>IF(AND(ISNUMBER(S74),ISNUMBER(S75)),IF(S74&gt;S75,1,IF(S74=S75,0.5,0)),0.5)</f>
        <v/>
      </c>
      <c r="AN74">
        <f>IF(AND(ISNUMBER(S74),ISNUMBER(S76)),IF(S74&gt;S76,1,IF(S74=S76,0.5,0)),0.5)</f>
        <v/>
      </c>
      <c r="AO74">
        <f>IF(AND(ISNUMBER(S74),ISNUMBER(S77)),IF(S74&gt;S77,1,IF(S74=S77,0.5,0)),0.5)</f>
        <v/>
      </c>
      <c r="AP74">
        <f>IF(AND(ISNUMBER(S74),ISNUMBER(S78)),IF(S74&gt;S78,1,IF(S74=S78,0.5,0)),0.5)</f>
        <v/>
      </c>
      <c r="AQ74">
        <f>IF(AND(ISNUMBER(S74),ISNUMBER(S79)),IF(S74&gt;S79,1,IF(S74=S79,0.5,0)),0.5)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4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5">
        <f>IFERROR(AVERAGE(T75:Y75),"")</f>
        <v/>
      </c>
      <c r="M75" s="4">
        <f>IFERROR(AVERAGE(Z75:AE75),"")</f>
        <v/>
      </c>
      <c r="N75" s="5">
        <f>P75/6</f>
        <v/>
      </c>
      <c r="O75" s="5">
        <f>Q75/6</f>
        <v/>
      </c>
      <c r="P75" s="4">
        <f>IFERROR(SUM(AF75:AK75),"")</f>
        <v/>
      </c>
      <c r="Q75" s="4">
        <f>IFERROR(SUM(AL75:AQ75),"")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IF(AND(ISNUMBER(R75),ISNUMBER(R73)),VLOOKUP(ABS(R75-R73),'IMP Table'!$A$2:$C$26,3)*SIGN(R75-R73),"")</f>
        <v/>
      </c>
      <c r="U75">
        <f>IF(AND(ISNUMBER(R75),ISNUMBER(R74)),VLOOKUP(ABS(R75-R74),'IMP Table'!$A$2:$C$26,3)*SIGN(R75-R74),"")</f>
        <v/>
      </c>
      <c r="V75">
        <f>IF(AND(ISNUMBER(R75),ISNUMBER(R76)),VLOOKUP(ABS(R75-R76),'IMP Table'!$A$2:$C$26,3)*SIGN(R75-R76),"")</f>
        <v/>
      </c>
      <c r="W75">
        <f>IF(AND(ISNUMBER(R75),ISNUMBER(R77)),VLOOKUP(ABS(R75-R77),'IMP Table'!$A$2:$C$26,3)*SIGN(R75-R77),"")</f>
        <v/>
      </c>
      <c r="X75">
        <f>IF(AND(ISNUMBER(R75),ISNUMBER(R78)),VLOOKUP(ABS(R75-R78),'IMP Table'!$A$2:$C$26,3)*SIGN(R75-R78),"")</f>
        <v/>
      </c>
      <c r="Y75">
        <f>IF(AND(ISNUMBER(R75),ISNUMBER(R79)),VLOOKUP(ABS(R75-R79),'IMP Table'!$A$2:$C$26,3)*SIGN(R75-R79),"")</f>
        <v/>
      </c>
      <c r="Z75">
        <f>IF(AND(ISNUMBER(S75),ISNUMBER(S73)),VLOOKUP(ABS(S75-S73),'IMP Table'!$A$2:$C$26,3)*SIGN(S75-S73),"")</f>
        <v/>
      </c>
      <c r="AA75">
        <f>IF(AND(ISNUMBER(S75),ISNUMBER(S74)),VLOOKUP(ABS(S75-S74),'IMP Table'!$A$2:$C$26,3)*SIGN(S75-S74),"")</f>
        <v/>
      </c>
      <c r="AB75">
        <f>IF(AND(ISNUMBER(S75),ISNUMBER(S76)),VLOOKUP(ABS(S75-S76),'IMP Table'!$A$2:$C$26,3)*SIGN(S75-S76),"")</f>
        <v/>
      </c>
      <c r="AC75">
        <f>IF(AND(ISNUMBER(S75),ISNUMBER(S77)),VLOOKUP(ABS(S75-S77),'IMP Table'!$A$2:$C$26,3)*SIGN(S75-S77),"")</f>
        <v/>
      </c>
      <c r="AD75">
        <f>IF(AND(ISNUMBER(S75),ISNUMBER(S78)),VLOOKUP(ABS(S75-S78),'IMP Table'!$A$2:$C$26,3)*SIGN(S75-S78),"")</f>
        <v/>
      </c>
      <c r="AE75">
        <f>IF(AND(ISNUMBER(S75),ISNUMBER(S79)),VLOOKUP(ABS(S75-S79),'IMP Table'!$A$2:$C$26,3)*SIGN(S75-S79),"")</f>
        <v/>
      </c>
      <c r="AF75">
        <f>IF(AND(ISNUMBER(R75),ISNUMBER(R73)),IF(R75&gt;R73,1,IF(R75=R73,0.5,0)),0.5)</f>
        <v/>
      </c>
      <c r="AG75">
        <f>IF(AND(ISNUMBER(R75),ISNUMBER(R74)),IF(R75&gt;R74,1,IF(R75=R74,0.5,0)),0.5)</f>
        <v/>
      </c>
      <c r="AH75">
        <f>IF(AND(ISNUMBER(R75),ISNUMBER(R76)),IF(R75&gt;R76,1,IF(R75=R76,0.5,0)),0.5)</f>
        <v/>
      </c>
      <c r="AI75">
        <f>IF(AND(ISNUMBER(R75),ISNUMBER(R77)),IF(R75&gt;R77,1,IF(R75=R77,0.5,0)),0.5)</f>
        <v/>
      </c>
      <c r="AJ75">
        <f>IF(AND(ISNUMBER(R75),ISNUMBER(R78)),IF(R75&gt;R78,1,IF(R75=R78,0.5,0)),0.5)</f>
        <v/>
      </c>
      <c r="AK75">
        <f>IF(AND(ISNUMBER(R75),ISNUMBER(R79)),IF(R75&gt;R79,1,IF(R75=R79,0.5,0)),0.5)</f>
        <v/>
      </c>
      <c r="AL75">
        <f>IF(AND(ISNUMBER(S75),ISNUMBER(S73)),IF(S75&gt;S73,1,IF(S75=S73,0.5,0)),0.5)</f>
        <v/>
      </c>
      <c r="AM75">
        <f>IF(AND(ISNUMBER(S75),ISNUMBER(S74)),IF(S75&gt;S74,1,IF(S75=S74,0.5,0)),0.5)</f>
        <v/>
      </c>
      <c r="AN75">
        <f>IF(AND(ISNUMBER(S75),ISNUMBER(S76)),IF(S75&gt;S76,1,IF(S75=S76,0.5,0)),0.5)</f>
        <v/>
      </c>
      <c r="AO75">
        <f>IF(AND(ISNUMBER(S75),ISNUMBER(S77)),IF(S75&gt;S77,1,IF(S75=S77,0.5,0)),0.5)</f>
        <v/>
      </c>
      <c r="AP75">
        <f>IF(AND(ISNUMBER(S75),ISNUMBER(S78)),IF(S75&gt;S78,1,IF(S75=S78,0.5,0)),0.5)</f>
        <v/>
      </c>
      <c r="AQ75">
        <f>IF(AND(ISNUMBER(S75),ISNUMBER(S79)),IF(S75&gt;S79,1,IF(S75=S79,0.5,0)),0.5)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4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5">
        <f>IFERROR(AVERAGE(T76:Y76),"")</f>
        <v/>
      </c>
      <c r="M76" s="4">
        <f>IFERROR(AVERAGE(Z76:AE76),"")</f>
        <v/>
      </c>
      <c r="N76" s="5">
        <f>P76/6</f>
        <v/>
      </c>
      <c r="O76" s="5">
        <f>Q76/6</f>
        <v/>
      </c>
      <c r="P76" s="4">
        <f>IFERROR(SUM(AF76:AK76),"")</f>
        <v/>
      </c>
      <c r="Q76" s="4">
        <f>IFERROR(SUM(AL76:AQ76),"")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IF(AND(ISNUMBER(R76),ISNUMBER(R73)),VLOOKUP(ABS(R76-R73),'IMP Table'!$A$2:$C$26,3)*SIGN(R76-R73),"")</f>
        <v/>
      </c>
      <c r="U76">
        <f>IF(AND(ISNUMBER(R76),ISNUMBER(R74)),VLOOKUP(ABS(R76-R74),'IMP Table'!$A$2:$C$26,3)*SIGN(R76-R74),"")</f>
        <v/>
      </c>
      <c r="V76">
        <f>IF(AND(ISNUMBER(R76),ISNUMBER(R75)),VLOOKUP(ABS(R76-R75),'IMP Table'!$A$2:$C$26,3)*SIGN(R76-R75),"")</f>
        <v/>
      </c>
      <c r="W76">
        <f>IF(AND(ISNUMBER(R76),ISNUMBER(R77)),VLOOKUP(ABS(R76-R77),'IMP Table'!$A$2:$C$26,3)*SIGN(R76-R77),"")</f>
        <v/>
      </c>
      <c r="X76">
        <f>IF(AND(ISNUMBER(R76),ISNUMBER(R78)),VLOOKUP(ABS(R76-R78),'IMP Table'!$A$2:$C$26,3)*SIGN(R76-R78),"")</f>
        <v/>
      </c>
      <c r="Y76">
        <f>IF(AND(ISNUMBER(R76),ISNUMBER(R79)),VLOOKUP(ABS(R76-R79),'IMP Table'!$A$2:$C$26,3)*SIGN(R76-R79),"")</f>
        <v/>
      </c>
      <c r="Z76">
        <f>IF(AND(ISNUMBER(S76),ISNUMBER(S73)),VLOOKUP(ABS(S76-S73),'IMP Table'!$A$2:$C$26,3)*SIGN(S76-S73),"")</f>
        <v/>
      </c>
      <c r="AA76">
        <f>IF(AND(ISNUMBER(S76),ISNUMBER(S74)),VLOOKUP(ABS(S76-S74),'IMP Table'!$A$2:$C$26,3)*SIGN(S76-S74),"")</f>
        <v/>
      </c>
      <c r="AB76">
        <f>IF(AND(ISNUMBER(S76),ISNUMBER(S75)),VLOOKUP(ABS(S76-S75),'IMP Table'!$A$2:$C$26,3)*SIGN(S76-S75),"")</f>
        <v/>
      </c>
      <c r="AC76">
        <f>IF(AND(ISNUMBER(S76),ISNUMBER(S77)),VLOOKUP(ABS(S76-S77),'IMP Table'!$A$2:$C$26,3)*SIGN(S76-S77),"")</f>
        <v/>
      </c>
      <c r="AD76">
        <f>IF(AND(ISNUMBER(S76),ISNUMBER(S78)),VLOOKUP(ABS(S76-S78),'IMP Table'!$A$2:$C$26,3)*SIGN(S76-S78),"")</f>
        <v/>
      </c>
      <c r="AE76">
        <f>IF(AND(ISNUMBER(S76),ISNUMBER(S79)),VLOOKUP(ABS(S76-S79),'IMP Table'!$A$2:$C$26,3)*SIGN(S76-S79),"")</f>
        <v/>
      </c>
      <c r="AF76">
        <f>IF(AND(ISNUMBER(R76),ISNUMBER(R73)),IF(R76&gt;R73,1,IF(R76=R73,0.5,0)),0.5)</f>
        <v/>
      </c>
      <c r="AG76">
        <f>IF(AND(ISNUMBER(R76),ISNUMBER(R74)),IF(R76&gt;R74,1,IF(R76=R74,0.5,0)),0.5)</f>
        <v/>
      </c>
      <c r="AH76">
        <f>IF(AND(ISNUMBER(R76),ISNUMBER(R75)),IF(R76&gt;R75,1,IF(R76=R75,0.5,0)),0.5)</f>
        <v/>
      </c>
      <c r="AI76">
        <f>IF(AND(ISNUMBER(R76),ISNUMBER(R77)),IF(R76&gt;R77,1,IF(R76=R77,0.5,0)),0.5)</f>
        <v/>
      </c>
      <c r="AJ76">
        <f>IF(AND(ISNUMBER(R76),ISNUMBER(R78)),IF(R76&gt;R78,1,IF(R76=R78,0.5,0)),0.5)</f>
        <v/>
      </c>
      <c r="AK76">
        <f>IF(AND(ISNUMBER(R76),ISNUMBER(R79)),IF(R76&gt;R79,1,IF(R76=R79,0.5,0)),0.5)</f>
        <v/>
      </c>
      <c r="AL76">
        <f>IF(AND(ISNUMBER(S76),ISNUMBER(S73)),IF(S76&gt;S73,1,IF(S76=S73,0.5,0)),0.5)</f>
        <v/>
      </c>
      <c r="AM76">
        <f>IF(AND(ISNUMBER(S76),ISNUMBER(S74)),IF(S76&gt;S74,1,IF(S76=S74,0.5,0)),0.5)</f>
        <v/>
      </c>
      <c r="AN76">
        <f>IF(AND(ISNUMBER(S76),ISNUMBER(S75)),IF(S76&gt;S75,1,IF(S76=S75,0.5,0)),0.5)</f>
        <v/>
      </c>
      <c r="AO76">
        <f>IF(AND(ISNUMBER(S76),ISNUMBER(S77)),IF(S76&gt;S77,1,IF(S76=S77,0.5,0)),0.5)</f>
        <v/>
      </c>
      <c r="AP76">
        <f>IF(AND(ISNUMBER(S76),ISNUMBER(S78)),IF(S76&gt;S78,1,IF(S76=S78,0.5,0)),0.5)</f>
        <v/>
      </c>
      <c r="AQ76">
        <f>IF(AND(ISNUMBER(S76),ISNUMBER(S79)),IF(S76&gt;S79,1,IF(S76=S79,0.5,0)),0.5)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4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5">
        <f>IFERROR(AVERAGE(T77:Y77),"")</f>
        <v/>
      </c>
      <c r="M77" s="4">
        <f>IFERROR(AVERAGE(Z77:AE77),"")</f>
        <v/>
      </c>
      <c r="N77" s="5">
        <f>P77/6</f>
        <v/>
      </c>
      <c r="O77" s="5">
        <f>Q77/6</f>
        <v/>
      </c>
      <c r="P77" s="4">
        <f>IFERROR(SUM(AF77:AK77),"")</f>
        <v/>
      </c>
      <c r="Q77" s="4">
        <f>IFERROR(SUM(AL77:AQ77),"")</f>
        <v/>
      </c>
      <c r="R77" s="16">
        <f>IF(ISNUMBER(J77),J77,IF(ISNUMBER(K77),-K77,""))</f>
        <v/>
      </c>
      <c r="S77">
        <f>IF(ISNUMBER(K77),K77,IF(ISNUMBER(J77),-J77,""))</f>
        <v/>
      </c>
      <c r="T77">
        <f>IF(AND(ISNUMBER(R77),ISNUMBER(R73)),VLOOKUP(ABS(R77-R73),'IMP Table'!$A$2:$C$26,3)*SIGN(R77-R73),"")</f>
        <v/>
      </c>
      <c r="U77">
        <f>IF(AND(ISNUMBER(R77),ISNUMBER(R74)),VLOOKUP(ABS(R77-R74),'IMP Table'!$A$2:$C$26,3)*SIGN(R77-R74),"")</f>
        <v/>
      </c>
      <c r="V77">
        <f>IF(AND(ISNUMBER(R77),ISNUMBER(R75)),VLOOKUP(ABS(R77-R75),'IMP Table'!$A$2:$C$26,3)*SIGN(R77-R75),"")</f>
        <v/>
      </c>
      <c r="W77">
        <f>IF(AND(ISNUMBER(R77),ISNUMBER(R76)),VLOOKUP(ABS(R77-R76),'IMP Table'!$A$2:$C$26,3)*SIGN(R77-R76),"")</f>
        <v/>
      </c>
      <c r="X77">
        <f>IF(AND(ISNUMBER(R77),ISNUMBER(R78)),VLOOKUP(ABS(R77-R78),'IMP Table'!$A$2:$C$26,3)*SIGN(R77-R78),"")</f>
        <v/>
      </c>
      <c r="Y77">
        <f>IF(AND(ISNUMBER(R77),ISNUMBER(R79)),VLOOKUP(ABS(R77-R79),'IMP Table'!$A$2:$C$26,3)*SIGN(R77-R79),"")</f>
        <v/>
      </c>
      <c r="Z77">
        <f>IF(AND(ISNUMBER(S77),ISNUMBER(S73)),VLOOKUP(ABS(S77-S73),'IMP Table'!$A$2:$C$26,3)*SIGN(S77-S73),"")</f>
        <v/>
      </c>
      <c r="AA77">
        <f>IF(AND(ISNUMBER(S77),ISNUMBER(S74)),VLOOKUP(ABS(S77-S74),'IMP Table'!$A$2:$C$26,3)*SIGN(S77-S74),"")</f>
        <v/>
      </c>
      <c r="AB77">
        <f>IF(AND(ISNUMBER(S77),ISNUMBER(S75)),VLOOKUP(ABS(S77-S75),'IMP Table'!$A$2:$C$26,3)*SIGN(S77-S75),"")</f>
        <v/>
      </c>
      <c r="AC77">
        <f>IF(AND(ISNUMBER(S77),ISNUMBER(S76)),VLOOKUP(ABS(S77-S76),'IMP Table'!$A$2:$C$26,3)*SIGN(S77-S76),"")</f>
        <v/>
      </c>
      <c r="AD77">
        <f>IF(AND(ISNUMBER(S77),ISNUMBER(S78)),VLOOKUP(ABS(S77-S78),'IMP Table'!$A$2:$C$26,3)*SIGN(S77-S78),"")</f>
        <v/>
      </c>
      <c r="AE77">
        <f>IF(AND(ISNUMBER(S77),ISNUMBER(S79)),VLOOKUP(ABS(S77-S79),'IMP Table'!$A$2:$C$26,3)*SIGN(S77-S79),"")</f>
        <v/>
      </c>
      <c r="AF77">
        <f>IF(AND(ISNUMBER(R77),ISNUMBER(R73)),IF(R77&gt;R73,1,IF(R77=R73,0.5,0)),0.5)</f>
        <v/>
      </c>
      <c r="AG77">
        <f>IF(AND(ISNUMBER(R77),ISNUMBER(R74)),IF(R77&gt;R74,1,IF(R77=R74,0.5,0)),0.5)</f>
        <v/>
      </c>
      <c r="AH77">
        <f>IF(AND(ISNUMBER(R77),ISNUMBER(R75)),IF(R77&gt;R75,1,IF(R77=R75,0.5,0)),0.5)</f>
        <v/>
      </c>
      <c r="AI77">
        <f>IF(AND(ISNUMBER(R77),ISNUMBER(R76)),IF(R77&gt;R76,1,IF(R77=R76,0.5,0)),0.5)</f>
        <v/>
      </c>
      <c r="AJ77">
        <f>IF(AND(ISNUMBER(R77),ISNUMBER(R78)),IF(R77&gt;R78,1,IF(R77=R78,0.5,0)),0.5)</f>
        <v/>
      </c>
      <c r="AK77">
        <f>IF(AND(ISNUMBER(R77),ISNUMBER(R79)),IF(R77&gt;R79,1,IF(R77=R79,0.5,0)),0.5)</f>
        <v/>
      </c>
      <c r="AL77">
        <f>IF(AND(ISNUMBER(S77),ISNUMBER(S73)),IF(S77&gt;S73,1,IF(S77=S73,0.5,0)),0.5)</f>
        <v/>
      </c>
      <c r="AM77">
        <f>IF(AND(ISNUMBER(S77),ISNUMBER(S74)),IF(S77&gt;S74,1,IF(S77=S74,0.5,0)),0.5)</f>
        <v/>
      </c>
      <c r="AN77">
        <f>IF(AND(ISNUMBER(S77),ISNUMBER(S75)),IF(S77&gt;S75,1,IF(S77=S75,0.5,0)),0.5)</f>
        <v/>
      </c>
      <c r="AO77">
        <f>IF(AND(ISNUMBER(S77),ISNUMBER(S76)),IF(S77&gt;S76,1,IF(S77=S76,0.5,0)),0.5)</f>
        <v/>
      </c>
      <c r="AP77">
        <f>IF(AND(ISNUMBER(S77),ISNUMBER(S78)),IF(S77&gt;S78,1,IF(S77=S78,0.5,0)),0.5)</f>
        <v/>
      </c>
      <c r="AQ77">
        <f>IF(AND(ISNUMBER(S77),ISNUMBER(S79)),IF(S77&gt;S79,1,IF(S77=S79,0.5,0)),0.5)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4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5">
        <f>IFERROR(AVERAGE(T78:Y78),"")</f>
        <v/>
      </c>
      <c r="M78" s="4">
        <f>IFERROR(AVERAGE(Z78:AE78),"")</f>
        <v/>
      </c>
      <c r="N78" s="5">
        <f>P78/6</f>
        <v/>
      </c>
      <c r="O78" s="5">
        <f>Q78/6</f>
        <v/>
      </c>
      <c r="P78" s="4">
        <f>IFERROR(SUM(AF78:AK78),"")</f>
        <v/>
      </c>
      <c r="Q78" s="4">
        <f>IFERROR(SUM(AL78:AQ78),"")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IF(AND(ISNUMBER(R78),ISNUMBER(R73)),VLOOKUP(ABS(R78-R73),'IMP Table'!$A$2:$C$26,3)*SIGN(R78-R73),"")</f>
        <v/>
      </c>
      <c r="U78">
        <f>IF(AND(ISNUMBER(R78),ISNUMBER(R74)),VLOOKUP(ABS(R78-R74),'IMP Table'!$A$2:$C$26,3)*SIGN(R78-R74),"")</f>
        <v/>
      </c>
      <c r="V78">
        <f>IF(AND(ISNUMBER(R78),ISNUMBER(R75)),VLOOKUP(ABS(R78-R75),'IMP Table'!$A$2:$C$26,3)*SIGN(R78-R75),"")</f>
        <v/>
      </c>
      <c r="W78">
        <f>IF(AND(ISNUMBER(R78),ISNUMBER(R76)),VLOOKUP(ABS(R78-R76),'IMP Table'!$A$2:$C$26,3)*SIGN(R78-R76),"")</f>
        <v/>
      </c>
      <c r="X78">
        <f>IF(AND(ISNUMBER(R78),ISNUMBER(R77)),VLOOKUP(ABS(R78-R77),'IMP Table'!$A$2:$C$26,3)*SIGN(R78-R77),"")</f>
        <v/>
      </c>
      <c r="Y78">
        <f>IF(AND(ISNUMBER(R78),ISNUMBER(R79)),VLOOKUP(ABS(R78-R79),'IMP Table'!$A$2:$C$26,3)*SIGN(R78-R79),"")</f>
        <v/>
      </c>
      <c r="Z78">
        <f>IF(AND(ISNUMBER(S78),ISNUMBER(S73)),VLOOKUP(ABS(S78-S73),'IMP Table'!$A$2:$C$26,3)*SIGN(S78-S73),"")</f>
        <v/>
      </c>
      <c r="AA78">
        <f>IF(AND(ISNUMBER(S78),ISNUMBER(S74)),VLOOKUP(ABS(S78-S74),'IMP Table'!$A$2:$C$26,3)*SIGN(S78-S74),"")</f>
        <v/>
      </c>
      <c r="AB78">
        <f>IF(AND(ISNUMBER(S78),ISNUMBER(S75)),VLOOKUP(ABS(S78-S75),'IMP Table'!$A$2:$C$26,3)*SIGN(S78-S75),"")</f>
        <v/>
      </c>
      <c r="AC78">
        <f>IF(AND(ISNUMBER(S78),ISNUMBER(S76)),VLOOKUP(ABS(S78-S76),'IMP Table'!$A$2:$C$26,3)*SIGN(S78-S76),"")</f>
        <v/>
      </c>
      <c r="AD78">
        <f>IF(AND(ISNUMBER(S78),ISNUMBER(S77)),VLOOKUP(ABS(S78-S77),'IMP Table'!$A$2:$C$26,3)*SIGN(S78-S77),"")</f>
        <v/>
      </c>
      <c r="AE78">
        <f>IF(AND(ISNUMBER(S78),ISNUMBER(S79)),VLOOKUP(ABS(S78-S79),'IMP Table'!$A$2:$C$26,3)*SIGN(S78-S79),"")</f>
        <v/>
      </c>
      <c r="AF78">
        <f>IF(AND(ISNUMBER(R78),ISNUMBER(R73)),IF(R78&gt;R73,1,IF(R78=R73,0.5,0)),0.5)</f>
        <v/>
      </c>
      <c r="AG78">
        <f>IF(AND(ISNUMBER(R78),ISNUMBER(R74)),IF(R78&gt;R74,1,IF(R78=R74,0.5,0)),0.5)</f>
        <v/>
      </c>
      <c r="AH78">
        <f>IF(AND(ISNUMBER(R78),ISNUMBER(R75)),IF(R78&gt;R75,1,IF(R78=R75,0.5,0)),0.5)</f>
        <v/>
      </c>
      <c r="AI78">
        <f>IF(AND(ISNUMBER(R78),ISNUMBER(R76)),IF(R78&gt;R76,1,IF(R78=R76,0.5,0)),0.5)</f>
        <v/>
      </c>
      <c r="AJ78">
        <f>IF(AND(ISNUMBER(R78),ISNUMBER(R77)),IF(R78&gt;R77,1,IF(R78=R77,0.5,0)),0.5)</f>
        <v/>
      </c>
      <c r="AK78">
        <f>IF(AND(ISNUMBER(R78),ISNUMBER(R79)),IF(R78&gt;R79,1,IF(R78=R79,0.5,0)),0.5)</f>
        <v/>
      </c>
      <c r="AL78">
        <f>IF(AND(ISNUMBER(S78),ISNUMBER(S73)),IF(S78&gt;S73,1,IF(S78=S73,0.5,0)),0.5)</f>
        <v/>
      </c>
      <c r="AM78">
        <f>IF(AND(ISNUMBER(S78),ISNUMBER(S74)),IF(S78&gt;S74,1,IF(S78=S74,0.5,0)),0.5)</f>
        <v/>
      </c>
      <c r="AN78">
        <f>IF(AND(ISNUMBER(S78),ISNUMBER(S75)),IF(S78&gt;S75,1,IF(S78=S75,0.5,0)),0.5)</f>
        <v/>
      </c>
      <c r="AO78">
        <f>IF(AND(ISNUMBER(S78),ISNUMBER(S76)),IF(S78&gt;S76,1,IF(S78=S76,0.5,0)),0.5)</f>
        <v/>
      </c>
      <c r="AP78">
        <f>IF(AND(ISNUMBER(S78),ISNUMBER(S77)),IF(S78&gt;S77,1,IF(S78=S77,0.5,0)),0.5)</f>
        <v/>
      </c>
      <c r="AQ78">
        <f>IF(AND(ISNUMBER(S78),ISNUMBER(S79)),IF(S78&gt;S79,1,IF(S78=S79,0.5,0)),0.5)</f>
        <v/>
      </c>
    </row>
    <row r="79">
      <c r="A79" s="13" t="n"/>
      <c r="B79" s="13">
        <f>'By Round'!A129</f>
        <v/>
      </c>
      <c r="C79" s="13">
        <f>'By Round'!B137</f>
        <v/>
      </c>
      <c r="D79" s="13">
        <f>'By Round'!C137</f>
        <v/>
      </c>
      <c r="E79" s="13">
        <f>'By Round'!D137</f>
        <v/>
      </c>
      <c r="F79" s="17" t="inlineStr">
        <is>
          <t>None</t>
        </is>
      </c>
      <c r="G79" s="13">
        <f>IF(ISBLANK('By Round'!G137),"",'By Round'!G137)</f>
        <v/>
      </c>
      <c r="H79" s="13">
        <f>IF(ISBLANK('By Round'!H137),"",'By Round'!H137)</f>
        <v/>
      </c>
      <c r="I79" s="13">
        <f>IF(ISBLANK('By Round'!I137),"",'By Round'!I137)</f>
        <v/>
      </c>
      <c r="J79" s="13">
        <f>IF(ISBLANK('By Round'!J137),"",'By Round'!J137)</f>
        <v/>
      </c>
      <c r="K79" s="13">
        <f>IF(ISBLANK('By Round'!K137),"",'By Round'!K137)</f>
        <v/>
      </c>
      <c r="L79" s="18">
        <f>IFERROR(AVERAGE(T79:Y79),"")</f>
        <v/>
      </c>
      <c r="M79" s="19">
        <f>IFERROR(AVERAGE(Z79:AE79),"")</f>
        <v/>
      </c>
      <c r="N79" s="20">
        <f>P79/6</f>
        <v/>
      </c>
      <c r="O79" s="20">
        <f>Q79/6</f>
        <v/>
      </c>
      <c r="P79" s="19">
        <f>IFERROR(SUM(AF79:AK79),"")</f>
        <v/>
      </c>
      <c r="Q79" s="19">
        <f>IFERROR(SUM(AL79:AQ79),"")</f>
        <v/>
      </c>
      <c r="R79" s="21">
        <f>IF(ISNUMBER(J79),J79,IF(ISNUMBER(K79),-K79,""))</f>
        <v/>
      </c>
      <c r="S79" s="13">
        <f>IF(ISNUMBER(K79),K79,IF(ISNUMBER(J79),-J79,""))</f>
        <v/>
      </c>
      <c r="T79" s="13">
        <f>IF(AND(ISNUMBER(R79),ISNUMBER(R73)),VLOOKUP(ABS(R79-R73),'IMP Table'!$A$2:$C$26,3)*SIGN(R79-R73),"")</f>
        <v/>
      </c>
      <c r="U79" s="13">
        <f>IF(AND(ISNUMBER(R79),ISNUMBER(R74)),VLOOKUP(ABS(R79-R74),'IMP Table'!$A$2:$C$26,3)*SIGN(R79-R74),"")</f>
        <v/>
      </c>
      <c r="V79" s="13">
        <f>IF(AND(ISNUMBER(R79),ISNUMBER(R75)),VLOOKUP(ABS(R79-R75),'IMP Table'!$A$2:$C$26,3)*SIGN(R79-R75),"")</f>
        <v/>
      </c>
      <c r="W79" s="13">
        <f>IF(AND(ISNUMBER(R79),ISNUMBER(R76)),VLOOKUP(ABS(R79-R76),'IMP Table'!$A$2:$C$26,3)*SIGN(R79-R76),"")</f>
        <v/>
      </c>
      <c r="X79" s="13">
        <f>IF(AND(ISNUMBER(R79),ISNUMBER(R77)),VLOOKUP(ABS(R79-R77),'IMP Table'!$A$2:$C$26,3)*SIGN(R79-R77),"")</f>
        <v/>
      </c>
      <c r="Y79" s="13">
        <f>IF(AND(ISNUMBER(R79),ISNUMBER(R78)),VLOOKUP(ABS(R79-R78),'IMP Table'!$A$2:$C$26,3)*SIGN(R79-R78),"")</f>
        <v/>
      </c>
      <c r="Z79" s="13">
        <f>IF(AND(ISNUMBER(S79),ISNUMBER(S73)),VLOOKUP(ABS(S79-S73),'IMP Table'!$A$2:$C$26,3)*SIGN(S79-S73),"")</f>
        <v/>
      </c>
      <c r="AA79" s="13">
        <f>IF(AND(ISNUMBER(S79),ISNUMBER(S74)),VLOOKUP(ABS(S79-S74),'IMP Table'!$A$2:$C$26,3)*SIGN(S79-S74),"")</f>
        <v/>
      </c>
      <c r="AB79" s="13">
        <f>IF(AND(ISNUMBER(S79),ISNUMBER(S75)),VLOOKUP(ABS(S79-S75),'IMP Table'!$A$2:$C$26,3)*SIGN(S79-S75),"")</f>
        <v/>
      </c>
      <c r="AC79" s="13">
        <f>IF(AND(ISNUMBER(S79),ISNUMBER(S76)),VLOOKUP(ABS(S79-S76),'IMP Table'!$A$2:$C$26,3)*SIGN(S79-S76),"")</f>
        <v/>
      </c>
      <c r="AD79" s="13">
        <f>IF(AND(ISNUMBER(S79),ISNUMBER(S77)),VLOOKUP(ABS(S79-S77),'IMP Table'!$A$2:$C$26,3)*SIGN(S79-S77),"")</f>
        <v/>
      </c>
      <c r="AE79" s="13">
        <f>IF(AND(ISNUMBER(S79),ISNUMBER(S78)),VLOOKUP(ABS(S79-S78),'IMP Table'!$A$2:$C$26,3)*SIGN(S79-S78),"")</f>
        <v/>
      </c>
      <c r="AF79" s="13">
        <f>IF(AND(ISNUMBER(R79),ISNUMBER(R73)),IF(R79&gt;R73,1,IF(R79=R73,0.5,0)),0.5)</f>
        <v/>
      </c>
      <c r="AG79" s="13">
        <f>IF(AND(ISNUMBER(R79),ISNUMBER(R74)),IF(R79&gt;R74,1,IF(R79=R74,0.5,0)),0.5)</f>
        <v/>
      </c>
      <c r="AH79" s="13">
        <f>IF(AND(ISNUMBER(R79),ISNUMBER(R75)),IF(R79&gt;R75,1,IF(R79=R75,0.5,0)),0.5)</f>
        <v/>
      </c>
      <c r="AI79" s="13">
        <f>IF(AND(ISNUMBER(R79),ISNUMBER(R76)),IF(R79&gt;R76,1,IF(R79=R76,0.5,0)),0.5)</f>
        <v/>
      </c>
      <c r="AJ79" s="13">
        <f>IF(AND(ISNUMBER(R79),ISNUMBER(R77)),IF(R79&gt;R77,1,IF(R79=R77,0.5,0)),0.5)</f>
        <v/>
      </c>
      <c r="AK79" s="13">
        <f>IF(AND(ISNUMBER(R79),ISNUMBER(R78)),IF(R79&gt;R78,1,IF(R79=R78,0.5,0)),0.5)</f>
        <v/>
      </c>
      <c r="AL79" s="13">
        <f>IF(AND(ISNUMBER(S79),ISNUMBER(S73)),IF(S79&gt;S73,1,IF(S79=S73,0.5,0)),0.5)</f>
        <v/>
      </c>
      <c r="AM79" s="13">
        <f>IF(AND(ISNUMBER(S79),ISNUMBER(S74)),IF(S79&gt;S74,1,IF(S79=S74,0.5,0)),0.5)</f>
        <v/>
      </c>
      <c r="AN79" s="13">
        <f>IF(AND(ISNUMBER(S79),ISNUMBER(S75)),IF(S79&gt;S75,1,IF(S79=S75,0.5,0)),0.5)</f>
        <v/>
      </c>
      <c r="AO79" s="13">
        <f>IF(AND(ISNUMBER(S79),ISNUMBER(S76)),IF(S79&gt;S76,1,IF(S79=S76,0.5,0)),0.5)</f>
        <v/>
      </c>
      <c r="AP79" s="13">
        <f>IF(AND(ISNUMBER(S79),ISNUMBER(S77)),IF(S79&gt;S77,1,IF(S79=S77,0.5,0)),0.5)</f>
        <v/>
      </c>
      <c r="AQ79" s="13">
        <f>IF(AND(ISNUMBER(S79),ISNUMBER(S78)),IF(S79&gt;S78,1,IF(S79=S78,0.5,0)),0.5)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4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5">
        <f>IFERROR(AVERAGE(T80:Y80),"")</f>
        <v/>
      </c>
      <c r="M80" s="4">
        <f>IFERROR(AVERAGE(Z80:AE80),"")</f>
        <v/>
      </c>
      <c r="N80" s="5">
        <f>P80/6</f>
        <v/>
      </c>
      <c r="O80" s="5">
        <f>Q80/6</f>
        <v/>
      </c>
      <c r="P80" s="4">
        <f>IFERROR(SUM(AF80:AK80),"")</f>
        <v/>
      </c>
      <c r="Q80" s="4">
        <f>IFERROR(SUM(AL80:AQ80),"")</f>
        <v/>
      </c>
      <c r="R80" s="16">
        <f>IF(ISNUMBER(J80),J80,IF(ISNUMBER(K80),-K80,""))</f>
        <v/>
      </c>
      <c r="S80">
        <f>IF(ISNUMBER(K80),K80,IF(ISNUMBER(J80),-J80,""))</f>
        <v/>
      </c>
      <c r="T80">
        <f>IF(AND(ISNUMBER(R80),ISNUMBER(R81)),VLOOKUP(ABS(R80-R81),'IMP Table'!$A$2:$C$26,3)*SIGN(R80-R81),"")</f>
        <v/>
      </c>
      <c r="U80">
        <f>IF(AND(ISNUMBER(R80),ISNUMBER(R82)),VLOOKUP(ABS(R80-R82),'IMP Table'!$A$2:$C$26,3)*SIGN(R80-R82),"")</f>
        <v/>
      </c>
      <c r="V80">
        <f>IF(AND(ISNUMBER(R80),ISNUMBER(R83)),VLOOKUP(ABS(R80-R83),'IMP Table'!$A$2:$C$26,3)*SIGN(R80-R83),"")</f>
        <v/>
      </c>
      <c r="W80">
        <f>IF(AND(ISNUMBER(R80),ISNUMBER(R84)),VLOOKUP(ABS(R80-R84),'IMP Table'!$A$2:$C$26,3)*SIGN(R80-R84),"")</f>
        <v/>
      </c>
      <c r="X80">
        <f>IF(AND(ISNUMBER(R80),ISNUMBER(R85)),VLOOKUP(ABS(R80-R85),'IMP Table'!$A$2:$C$26,3)*SIGN(R80-R85),"")</f>
        <v/>
      </c>
      <c r="Y80">
        <f>IF(AND(ISNUMBER(R80),ISNUMBER(R86)),VLOOKUP(ABS(R80-R86),'IMP Table'!$A$2:$C$26,3)*SIGN(R80-R86),"")</f>
        <v/>
      </c>
      <c r="Z80">
        <f>IF(AND(ISNUMBER(S80),ISNUMBER(S81)),VLOOKUP(ABS(S80-S81),'IMP Table'!$A$2:$C$26,3)*SIGN(S80-S81),"")</f>
        <v/>
      </c>
      <c r="AA80">
        <f>IF(AND(ISNUMBER(S80),ISNUMBER(S82)),VLOOKUP(ABS(S80-S82),'IMP Table'!$A$2:$C$26,3)*SIGN(S80-S82),"")</f>
        <v/>
      </c>
      <c r="AB80">
        <f>IF(AND(ISNUMBER(S80),ISNUMBER(S83)),VLOOKUP(ABS(S80-S83),'IMP Table'!$A$2:$C$26,3)*SIGN(S80-S83),"")</f>
        <v/>
      </c>
      <c r="AC80">
        <f>IF(AND(ISNUMBER(S80),ISNUMBER(S84)),VLOOKUP(ABS(S80-S84),'IMP Table'!$A$2:$C$26,3)*SIGN(S80-S84),"")</f>
        <v/>
      </c>
      <c r="AD80">
        <f>IF(AND(ISNUMBER(S80),ISNUMBER(S85)),VLOOKUP(ABS(S80-S85),'IMP Table'!$A$2:$C$26,3)*SIGN(S80-S85),"")</f>
        <v/>
      </c>
      <c r="AE80">
        <f>IF(AND(ISNUMBER(S80),ISNUMBER(S86)),VLOOKUP(ABS(S80-S86),'IMP Table'!$A$2:$C$26,3)*SIGN(S80-S86),"")</f>
        <v/>
      </c>
      <c r="AF80">
        <f>IF(AND(ISNUMBER(R80),ISNUMBER(R81)),IF(R80&gt;R81,1,IF(R80=R81,0.5,0)),0.5)</f>
        <v/>
      </c>
      <c r="AG80">
        <f>IF(AND(ISNUMBER(R80),ISNUMBER(R82)),IF(R80&gt;R82,1,IF(R80=R82,0.5,0)),0.5)</f>
        <v/>
      </c>
      <c r="AH80">
        <f>IF(AND(ISNUMBER(R80),ISNUMBER(R83)),IF(R80&gt;R83,1,IF(R80=R83,0.5,0)),0.5)</f>
        <v/>
      </c>
      <c r="AI80">
        <f>IF(AND(ISNUMBER(R80),ISNUMBER(R84)),IF(R80&gt;R84,1,IF(R80=R84,0.5,0)),0.5)</f>
        <v/>
      </c>
      <c r="AJ80">
        <f>IF(AND(ISNUMBER(R80),ISNUMBER(R85)),IF(R80&gt;R85,1,IF(R80=R85,0.5,0)),0.5)</f>
        <v/>
      </c>
      <c r="AK80">
        <f>IF(AND(ISNUMBER(R80),ISNUMBER(R86)),IF(R80&gt;R86,1,IF(R80=R86,0.5,0)),0.5)</f>
        <v/>
      </c>
      <c r="AL80">
        <f>IF(AND(ISNUMBER(S80),ISNUMBER(S81)),IF(S80&gt;S81,1,IF(S80=S81,0.5,0)),0.5)</f>
        <v/>
      </c>
      <c r="AM80">
        <f>IF(AND(ISNUMBER(S80),ISNUMBER(S82)),IF(S80&gt;S82,1,IF(S80=S82,0.5,0)),0.5)</f>
        <v/>
      </c>
      <c r="AN80">
        <f>IF(AND(ISNUMBER(S80),ISNUMBER(S83)),IF(S80&gt;S83,1,IF(S80=S83,0.5,0)),0.5)</f>
        <v/>
      </c>
      <c r="AO80">
        <f>IF(AND(ISNUMBER(S80),ISNUMBER(S84)),IF(S80&gt;S84,1,IF(S80=S84,0.5,0)),0.5)</f>
        <v/>
      </c>
      <c r="AP80">
        <f>IF(AND(ISNUMBER(S80),ISNUMBER(S85)),IF(S80&gt;S85,1,IF(S80=S85,0.5,0)),0.5)</f>
        <v/>
      </c>
      <c r="AQ80">
        <f>IF(AND(ISNUMBER(S80),ISNUMBER(S86)),IF(S80&gt;S86,1,IF(S80=S86,0.5,0)),0.5)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4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5">
        <f>IFERROR(AVERAGE(T81:Y81),"")</f>
        <v/>
      </c>
      <c r="M81" s="4">
        <f>IFERROR(AVERAGE(Z81:AE81),"")</f>
        <v/>
      </c>
      <c r="N81" s="5">
        <f>P81/6</f>
        <v/>
      </c>
      <c r="O81" s="5">
        <f>Q81/6</f>
        <v/>
      </c>
      <c r="P81" s="4">
        <f>IFERROR(SUM(AF81:AK81),"")</f>
        <v/>
      </c>
      <c r="Q81" s="4">
        <f>IFERROR(SUM(AL81:AQ81),"")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IF(AND(ISNUMBER(R81),ISNUMBER(R80)),VLOOKUP(ABS(R81-R80),'IMP Table'!$A$2:$C$26,3)*SIGN(R81-R80),"")</f>
        <v/>
      </c>
      <c r="U81">
        <f>IF(AND(ISNUMBER(R81),ISNUMBER(R82)),VLOOKUP(ABS(R81-R82),'IMP Table'!$A$2:$C$26,3)*SIGN(R81-R82),"")</f>
        <v/>
      </c>
      <c r="V81">
        <f>IF(AND(ISNUMBER(R81),ISNUMBER(R83)),VLOOKUP(ABS(R81-R83),'IMP Table'!$A$2:$C$26,3)*SIGN(R81-R83),"")</f>
        <v/>
      </c>
      <c r="W81">
        <f>IF(AND(ISNUMBER(R81),ISNUMBER(R84)),VLOOKUP(ABS(R81-R84),'IMP Table'!$A$2:$C$26,3)*SIGN(R81-R84),"")</f>
        <v/>
      </c>
      <c r="X81">
        <f>IF(AND(ISNUMBER(R81),ISNUMBER(R85)),VLOOKUP(ABS(R81-R85),'IMP Table'!$A$2:$C$26,3)*SIGN(R81-R85),"")</f>
        <v/>
      </c>
      <c r="Y81">
        <f>IF(AND(ISNUMBER(R81),ISNUMBER(R86)),VLOOKUP(ABS(R81-R86),'IMP Table'!$A$2:$C$26,3)*SIGN(R81-R86),"")</f>
        <v/>
      </c>
      <c r="Z81">
        <f>IF(AND(ISNUMBER(S81),ISNUMBER(S80)),VLOOKUP(ABS(S81-S80),'IMP Table'!$A$2:$C$26,3)*SIGN(S81-S80),"")</f>
        <v/>
      </c>
      <c r="AA81">
        <f>IF(AND(ISNUMBER(S81),ISNUMBER(S82)),VLOOKUP(ABS(S81-S82),'IMP Table'!$A$2:$C$26,3)*SIGN(S81-S82),"")</f>
        <v/>
      </c>
      <c r="AB81">
        <f>IF(AND(ISNUMBER(S81),ISNUMBER(S83)),VLOOKUP(ABS(S81-S83),'IMP Table'!$A$2:$C$26,3)*SIGN(S81-S83),"")</f>
        <v/>
      </c>
      <c r="AC81">
        <f>IF(AND(ISNUMBER(S81),ISNUMBER(S84)),VLOOKUP(ABS(S81-S84),'IMP Table'!$A$2:$C$26,3)*SIGN(S81-S84),"")</f>
        <v/>
      </c>
      <c r="AD81">
        <f>IF(AND(ISNUMBER(S81),ISNUMBER(S85)),VLOOKUP(ABS(S81-S85),'IMP Table'!$A$2:$C$26,3)*SIGN(S81-S85),"")</f>
        <v/>
      </c>
      <c r="AE81">
        <f>IF(AND(ISNUMBER(S81),ISNUMBER(S86)),VLOOKUP(ABS(S81-S86),'IMP Table'!$A$2:$C$26,3)*SIGN(S81-S86),"")</f>
        <v/>
      </c>
      <c r="AF81">
        <f>IF(AND(ISNUMBER(R81),ISNUMBER(R80)),IF(R81&gt;R80,1,IF(R81=R80,0.5,0)),0.5)</f>
        <v/>
      </c>
      <c r="AG81">
        <f>IF(AND(ISNUMBER(R81),ISNUMBER(R82)),IF(R81&gt;R82,1,IF(R81=R82,0.5,0)),0.5)</f>
        <v/>
      </c>
      <c r="AH81">
        <f>IF(AND(ISNUMBER(R81),ISNUMBER(R83)),IF(R81&gt;R83,1,IF(R81=R83,0.5,0)),0.5)</f>
        <v/>
      </c>
      <c r="AI81">
        <f>IF(AND(ISNUMBER(R81),ISNUMBER(R84)),IF(R81&gt;R84,1,IF(R81=R84,0.5,0)),0.5)</f>
        <v/>
      </c>
      <c r="AJ81">
        <f>IF(AND(ISNUMBER(R81),ISNUMBER(R85)),IF(R81&gt;R85,1,IF(R81=R85,0.5,0)),0.5)</f>
        <v/>
      </c>
      <c r="AK81">
        <f>IF(AND(ISNUMBER(R81),ISNUMBER(R86)),IF(R81&gt;R86,1,IF(R81=R86,0.5,0)),0.5)</f>
        <v/>
      </c>
      <c r="AL81">
        <f>IF(AND(ISNUMBER(S81),ISNUMBER(S80)),IF(S81&gt;S80,1,IF(S81=S80,0.5,0)),0.5)</f>
        <v/>
      </c>
      <c r="AM81">
        <f>IF(AND(ISNUMBER(S81),ISNUMBER(S82)),IF(S81&gt;S82,1,IF(S81=S82,0.5,0)),0.5)</f>
        <v/>
      </c>
      <c r="AN81">
        <f>IF(AND(ISNUMBER(S81),ISNUMBER(S83)),IF(S81&gt;S83,1,IF(S81=S83,0.5,0)),0.5)</f>
        <v/>
      </c>
      <c r="AO81">
        <f>IF(AND(ISNUMBER(S81),ISNUMBER(S84)),IF(S81&gt;S84,1,IF(S81=S84,0.5,0)),0.5)</f>
        <v/>
      </c>
      <c r="AP81">
        <f>IF(AND(ISNUMBER(S81),ISNUMBER(S85)),IF(S81&gt;S85,1,IF(S81=S85,0.5,0)),0.5)</f>
        <v/>
      </c>
      <c r="AQ81">
        <f>IF(AND(ISNUMBER(S81),ISNUMBER(S86)),IF(S81&gt;S86,1,IF(S81=S86,0.5,0)),0.5)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4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5">
        <f>IFERROR(AVERAGE(T82:Y82),"")</f>
        <v/>
      </c>
      <c r="M82" s="4">
        <f>IFERROR(AVERAGE(Z82:AE82),"")</f>
        <v/>
      </c>
      <c r="N82" s="5">
        <f>P82/6</f>
        <v/>
      </c>
      <c r="O82" s="5">
        <f>Q82/6</f>
        <v/>
      </c>
      <c r="P82" s="4">
        <f>IFERROR(SUM(AF82:AK82),"")</f>
        <v/>
      </c>
      <c r="Q82" s="4">
        <f>IFERROR(SUM(AL82:AQ82),"")</f>
        <v/>
      </c>
      <c r="R82" s="16">
        <f>IF(ISNUMBER(J82),J82,IF(ISNUMBER(K82),-K82,""))</f>
        <v/>
      </c>
      <c r="S82">
        <f>IF(ISNUMBER(K82),K82,IF(ISNUMBER(J82),-J82,""))</f>
        <v/>
      </c>
      <c r="T82">
        <f>IF(AND(ISNUMBER(R82),ISNUMBER(R80)),VLOOKUP(ABS(R82-R80),'IMP Table'!$A$2:$C$26,3)*SIGN(R82-R80),"")</f>
        <v/>
      </c>
      <c r="U82">
        <f>IF(AND(ISNUMBER(R82),ISNUMBER(R81)),VLOOKUP(ABS(R82-R81),'IMP Table'!$A$2:$C$26,3)*SIGN(R82-R81),"")</f>
        <v/>
      </c>
      <c r="V82">
        <f>IF(AND(ISNUMBER(R82),ISNUMBER(R83)),VLOOKUP(ABS(R82-R83),'IMP Table'!$A$2:$C$26,3)*SIGN(R82-R83),"")</f>
        <v/>
      </c>
      <c r="W82">
        <f>IF(AND(ISNUMBER(R82),ISNUMBER(R84)),VLOOKUP(ABS(R82-R84),'IMP Table'!$A$2:$C$26,3)*SIGN(R82-R84),"")</f>
        <v/>
      </c>
      <c r="X82">
        <f>IF(AND(ISNUMBER(R82),ISNUMBER(R85)),VLOOKUP(ABS(R82-R85),'IMP Table'!$A$2:$C$26,3)*SIGN(R82-R85),"")</f>
        <v/>
      </c>
      <c r="Y82">
        <f>IF(AND(ISNUMBER(R82),ISNUMBER(R86)),VLOOKUP(ABS(R82-R86),'IMP Table'!$A$2:$C$26,3)*SIGN(R82-R86),"")</f>
        <v/>
      </c>
      <c r="Z82">
        <f>IF(AND(ISNUMBER(S82),ISNUMBER(S80)),VLOOKUP(ABS(S82-S80),'IMP Table'!$A$2:$C$26,3)*SIGN(S82-S80),"")</f>
        <v/>
      </c>
      <c r="AA82">
        <f>IF(AND(ISNUMBER(S82),ISNUMBER(S81)),VLOOKUP(ABS(S82-S81),'IMP Table'!$A$2:$C$26,3)*SIGN(S82-S81),"")</f>
        <v/>
      </c>
      <c r="AB82">
        <f>IF(AND(ISNUMBER(S82),ISNUMBER(S83)),VLOOKUP(ABS(S82-S83),'IMP Table'!$A$2:$C$26,3)*SIGN(S82-S83),"")</f>
        <v/>
      </c>
      <c r="AC82">
        <f>IF(AND(ISNUMBER(S82),ISNUMBER(S84)),VLOOKUP(ABS(S82-S84),'IMP Table'!$A$2:$C$26,3)*SIGN(S82-S84),"")</f>
        <v/>
      </c>
      <c r="AD82">
        <f>IF(AND(ISNUMBER(S82),ISNUMBER(S85)),VLOOKUP(ABS(S82-S85),'IMP Table'!$A$2:$C$26,3)*SIGN(S82-S85),"")</f>
        <v/>
      </c>
      <c r="AE82">
        <f>IF(AND(ISNUMBER(S82),ISNUMBER(S86)),VLOOKUP(ABS(S82-S86),'IMP Table'!$A$2:$C$26,3)*SIGN(S82-S86),"")</f>
        <v/>
      </c>
      <c r="AF82">
        <f>IF(AND(ISNUMBER(R82),ISNUMBER(R80)),IF(R82&gt;R80,1,IF(R82=R80,0.5,0)),0.5)</f>
        <v/>
      </c>
      <c r="AG82">
        <f>IF(AND(ISNUMBER(R82),ISNUMBER(R81)),IF(R82&gt;R81,1,IF(R82=R81,0.5,0)),0.5)</f>
        <v/>
      </c>
      <c r="AH82">
        <f>IF(AND(ISNUMBER(R82),ISNUMBER(R83)),IF(R82&gt;R83,1,IF(R82=R83,0.5,0)),0.5)</f>
        <v/>
      </c>
      <c r="AI82">
        <f>IF(AND(ISNUMBER(R82),ISNUMBER(R84)),IF(R82&gt;R84,1,IF(R82=R84,0.5,0)),0.5)</f>
        <v/>
      </c>
      <c r="AJ82">
        <f>IF(AND(ISNUMBER(R82),ISNUMBER(R85)),IF(R82&gt;R85,1,IF(R82=R85,0.5,0)),0.5)</f>
        <v/>
      </c>
      <c r="AK82">
        <f>IF(AND(ISNUMBER(R82),ISNUMBER(R86)),IF(R82&gt;R86,1,IF(R82=R86,0.5,0)),0.5)</f>
        <v/>
      </c>
      <c r="AL82">
        <f>IF(AND(ISNUMBER(S82),ISNUMBER(S80)),IF(S82&gt;S80,1,IF(S82=S80,0.5,0)),0.5)</f>
        <v/>
      </c>
      <c r="AM82">
        <f>IF(AND(ISNUMBER(S82),ISNUMBER(S81)),IF(S82&gt;S81,1,IF(S82=S81,0.5,0)),0.5)</f>
        <v/>
      </c>
      <c r="AN82">
        <f>IF(AND(ISNUMBER(S82),ISNUMBER(S83)),IF(S82&gt;S83,1,IF(S82=S83,0.5,0)),0.5)</f>
        <v/>
      </c>
      <c r="AO82">
        <f>IF(AND(ISNUMBER(S82),ISNUMBER(S84)),IF(S82&gt;S84,1,IF(S82=S84,0.5,0)),0.5)</f>
        <v/>
      </c>
      <c r="AP82">
        <f>IF(AND(ISNUMBER(S82),ISNUMBER(S85)),IF(S82&gt;S85,1,IF(S82=S85,0.5,0)),0.5)</f>
        <v/>
      </c>
      <c r="AQ82">
        <f>IF(AND(ISNUMBER(S82),ISNUMBER(S86)),IF(S82&gt;S86,1,IF(S82=S86,0.5,0)),0.5)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4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5">
        <f>IFERROR(AVERAGE(T83:Y83),"")</f>
        <v/>
      </c>
      <c r="M83" s="4">
        <f>IFERROR(AVERAGE(Z83:AE83),"")</f>
        <v/>
      </c>
      <c r="N83" s="5">
        <f>P83/6</f>
        <v/>
      </c>
      <c r="O83" s="5">
        <f>Q83/6</f>
        <v/>
      </c>
      <c r="P83" s="4">
        <f>IFERROR(SUM(AF83:AK83),"")</f>
        <v/>
      </c>
      <c r="Q83" s="4">
        <f>IFERROR(SUM(AL83:AQ83),"")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IF(AND(ISNUMBER(R83),ISNUMBER(R80)),VLOOKUP(ABS(R83-R80),'IMP Table'!$A$2:$C$26,3)*SIGN(R83-R80),"")</f>
        <v/>
      </c>
      <c r="U83">
        <f>IF(AND(ISNUMBER(R83),ISNUMBER(R81)),VLOOKUP(ABS(R83-R81),'IMP Table'!$A$2:$C$26,3)*SIGN(R83-R81),"")</f>
        <v/>
      </c>
      <c r="V83">
        <f>IF(AND(ISNUMBER(R83),ISNUMBER(R82)),VLOOKUP(ABS(R83-R82),'IMP Table'!$A$2:$C$26,3)*SIGN(R83-R82),"")</f>
        <v/>
      </c>
      <c r="W83">
        <f>IF(AND(ISNUMBER(R83),ISNUMBER(R84)),VLOOKUP(ABS(R83-R84),'IMP Table'!$A$2:$C$26,3)*SIGN(R83-R84),"")</f>
        <v/>
      </c>
      <c r="X83">
        <f>IF(AND(ISNUMBER(R83),ISNUMBER(R85)),VLOOKUP(ABS(R83-R85),'IMP Table'!$A$2:$C$26,3)*SIGN(R83-R85),"")</f>
        <v/>
      </c>
      <c r="Y83">
        <f>IF(AND(ISNUMBER(R83),ISNUMBER(R86)),VLOOKUP(ABS(R83-R86),'IMP Table'!$A$2:$C$26,3)*SIGN(R83-R86),"")</f>
        <v/>
      </c>
      <c r="Z83">
        <f>IF(AND(ISNUMBER(S83),ISNUMBER(S80)),VLOOKUP(ABS(S83-S80),'IMP Table'!$A$2:$C$26,3)*SIGN(S83-S80),"")</f>
        <v/>
      </c>
      <c r="AA83">
        <f>IF(AND(ISNUMBER(S83),ISNUMBER(S81)),VLOOKUP(ABS(S83-S81),'IMP Table'!$A$2:$C$26,3)*SIGN(S83-S81),"")</f>
        <v/>
      </c>
      <c r="AB83">
        <f>IF(AND(ISNUMBER(S83),ISNUMBER(S82)),VLOOKUP(ABS(S83-S82),'IMP Table'!$A$2:$C$26,3)*SIGN(S83-S82),"")</f>
        <v/>
      </c>
      <c r="AC83">
        <f>IF(AND(ISNUMBER(S83),ISNUMBER(S84)),VLOOKUP(ABS(S83-S84),'IMP Table'!$A$2:$C$26,3)*SIGN(S83-S84),"")</f>
        <v/>
      </c>
      <c r="AD83">
        <f>IF(AND(ISNUMBER(S83),ISNUMBER(S85)),VLOOKUP(ABS(S83-S85),'IMP Table'!$A$2:$C$26,3)*SIGN(S83-S85),"")</f>
        <v/>
      </c>
      <c r="AE83">
        <f>IF(AND(ISNUMBER(S83),ISNUMBER(S86)),VLOOKUP(ABS(S83-S86),'IMP Table'!$A$2:$C$26,3)*SIGN(S83-S86),"")</f>
        <v/>
      </c>
      <c r="AF83">
        <f>IF(AND(ISNUMBER(R83),ISNUMBER(R80)),IF(R83&gt;R80,1,IF(R83=R80,0.5,0)),0.5)</f>
        <v/>
      </c>
      <c r="AG83">
        <f>IF(AND(ISNUMBER(R83),ISNUMBER(R81)),IF(R83&gt;R81,1,IF(R83=R81,0.5,0)),0.5)</f>
        <v/>
      </c>
      <c r="AH83">
        <f>IF(AND(ISNUMBER(R83),ISNUMBER(R82)),IF(R83&gt;R82,1,IF(R83=R82,0.5,0)),0.5)</f>
        <v/>
      </c>
      <c r="AI83">
        <f>IF(AND(ISNUMBER(R83),ISNUMBER(R84)),IF(R83&gt;R84,1,IF(R83=R84,0.5,0)),0.5)</f>
        <v/>
      </c>
      <c r="AJ83">
        <f>IF(AND(ISNUMBER(R83),ISNUMBER(R85)),IF(R83&gt;R85,1,IF(R83=R85,0.5,0)),0.5)</f>
        <v/>
      </c>
      <c r="AK83">
        <f>IF(AND(ISNUMBER(R83),ISNUMBER(R86)),IF(R83&gt;R86,1,IF(R83=R86,0.5,0)),0.5)</f>
        <v/>
      </c>
      <c r="AL83">
        <f>IF(AND(ISNUMBER(S83),ISNUMBER(S80)),IF(S83&gt;S80,1,IF(S83=S80,0.5,0)),0.5)</f>
        <v/>
      </c>
      <c r="AM83">
        <f>IF(AND(ISNUMBER(S83),ISNUMBER(S81)),IF(S83&gt;S81,1,IF(S83=S81,0.5,0)),0.5)</f>
        <v/>
      </c>
      <c r="AN83">
        <f>IF(AND(ISNUMBER(S83),ISNUMBER(S82)),IF(S83&gt;S82,1,IF(S83=S82,0.5,0)),0.5)</f>
        <v/>
      </c>
      <c r="AO83">
        <f>IF(AND(ISNUMBER(S83),ISNUMBER(S84)),IF(S83&gt;S84,1,IF(S83=S84,0.5,0)),0.5)</f>
        <v/>
      </c>
      <c r="AP83">
        <f>IF(AND(ISNUMBER(S83),ISNUMBER(S85)),IF(S83&gt;S85,1,IF(S83=S85,0.5,0)),0.5)</f>
        <v/>
      </c>
      <c r="AQ83">
        <f>IF(AND(ISNUMBER(S83),ISNUMBER(S86)),IF(S83&gt;S86,1,IF(S83=S86,0.5,0)),0.5)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4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5">
        <f>IFERROR(AVERAGE(T84:Y84),"")</f>
        <v/>
      </c>
      <c r="M84" s="4">
        <f>IFERROR(AVERAGE(Z84:AE84),"")</f>
        <v/>
      </c>
      <c r="N84" s="5">
        <f>P84/6</f>
        <v/>
      </c>
      <c r="O84" s="5">
        <f>Q84/6</f>
        <v/>
      </c>
      <c r="P84" s="4">
        <f>IFERROR(SUM(AF84:AK84),"")</f>
        <v/>
      </c>
      <c r="Q84" s="4">
        <f>IFERROR(SUM(AL84:AQ84),"")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IF(AND(ISNUMBER(R84),ISNUMBER(R80)),VLOOKUP(ABS(R84-R80),'IMP Table'!$A$2:$C$26,3)*SIGN(R84-R80),"")</f>
        <v/>
      </c>
      <c r="U84">
        <f>IF(AND(ISNUMBER(R84),ISNUMBER(R81)),VLOOKUP(ABS(R84-R81),'IMP Table'!$A$2:$C$26,3)*SIGN(R84-R81),"")</f>
        <v/>
      </c>
      <c r="V84">
        <f>IF(AND(ISNUMBER(R84),ISNUMBER(R82)),VLOOKUP(ABS(R84-R82),'IMP Table'!$A$2:$C$26,3)*SIGN(R84-R82),"")</f>
        <v/>
      </c>
      <c r="W84">
        <f>IF(AND(ISNUMBER(R84),ISNUMBER(R83)),VLOOKUP(ABS(R84-R83),'IMP Table'!$A$2:$C$26,3)*SIGN(R84-R83),"")</f>
        <v/>
      </c>
      <c r="X84">
        <f>IF(AND(ISNUMBER(R84),ISNUMBER(R85)),VLOOKUP(ABS(R84-R85),'IMP Table'!$A$2:$C$26,3)*SIGN(R84-R85),"")</f>
        <v/>
      </c>
      <c r="Y84">
        <f>IF(AND(ISNUMBER(R84),ISNUMBER(R86)),VLOOKUP(ABS(R84-R86),'IMP Table'!$A$2:$C$26,3)*SIGN(R84-R86),"")</f>
        <v/>
      </c>
      <c r="Z84">
        <f>IF(AND(ISNUMBER(S84),ISNUMBER(S80)),VLOOKUP(ABS(S84-S80),'IMP Table'!$A$2:$C$26,3)*SIGN(S84-S80),"")</f>
        <v/>
      </c>
      <c r="AA84">
        <f>IF(AND(ISNUMBER(S84),ISNUMBER(S81)),VLOOKUP(ABS(S84-S81),'IMP Table'!$A$2:$C$26,3)*SIGN(S84-S81),"")</f>
        <v/>
      </c>
      <c r="AB84">
        <f>IF(AND(ISNUMBER(S84),ISNUMBER(S82)),VLOOKUP(ABS(S84-S82),'IMP Table'!$A$2:$C$26,3)*SIGN(S84-S82),"")</f>
        <v/>
      </c>
      <c r="AC84">
        <f>IF(AND(ISNUMBER(S84),ISNUMBER(S83)),VLOOKUP(ABS(S84-S83),'IMP Table'!$A$2:$C$26,3)*SIGN(S84-S83),"")</f>
        <v/>
      </c>
      <c r="AD84">
        <f>IF(AND(ISNUMBER(S84),ISNUMBER(S85)),VLOOKUP(ABS(S84-S85),'IMP Table'!$A$2:$C$26,3)*SIGN(S84-S85),"")</f>
        <v/>
      </c>
      <c r="AE84">
        <f>IF(AND(ISNUMBER(S84),ISNUMBER(S86)),VLOOKUP(ABS(S84-S86),'IMP Table'!$A$2:$C$26,3)*SIGN(S84-S86),"")</f>
        <v/>
      </c>
      <c r="AF84">
        <f>IF(AND(ISNUMBER(R84),ISNUMBER(R80)),IF(R84&gt;R80,1,IF(R84=R80,0.5,0)),0.5)</f>
        <v/>
      </c>
      <c r="AG84">
        <f>IF(AND(ISNUMBER(R84),ISNUMBER(R81)),IF(R84&gt;R81,1,IF(R84=R81,0.5,0)),0.5)</f>
        <v/>
      </c>
      <c r="AH84">
        <f>IF(AND(ISNUMBER(R84),ISNUMBER(R82)),IF(R84&gt;R82,1,IF(R84=R82,0.5,0)),0.5)</f>
        <v/>
      </c>
      <c r="AI84">
        <f>IF(AND(ISNUMBER(R84),ISNUMBER(R83)),IF(R84&gt;R83,1,IF(R84=R83,0.5,0)),0.5)</f>
        <v/>
      </c>
      <c r="AJ84">
        <f>IF(AND(ISNUMBER(R84),ISNUMBER(R85)),IF(R84&gt;R85,1,IF(R84=R85,0.5,0)),0.5)</f>
        <v/>
      </c>
      <c r="AK84">
        <f>IF(AND(ISNUMBER(R84),ISNUMBER(R86)),IF(R84&gt;R86,1,IF(R84=R86,0.5,0)),0.5)</f>
        <v/>
      </c>
      <c r="AL84">
        <f>IF(AND(ISNUMBER(S84),ISNUMBER(S80)),IF(S84&gt;S80,1,IF(S84=S80,0.5,0)),0.5)</f>
        <v/>
      </c>
      <c r="AM84">
        <f>IF(AND(ISNUMBER(S84),ISNUMBER(S81)),IF(S84&gt;S81,1,IF(S84=S81,0.5,0)),0.5)</f>
        <v/>
      </c>
      <c r="AN84">
        <f>IF(AND(ISNUMBER(S84),ISNUMBER(S82)),IF(S84&gt;S82,1,IF(S84=S82,0.5,0)),0.5)</f>
        <v/>
      </c>
      <c r="AO84">
        <f>IF(AND(ISNUMBER(S84),ISNUMBER(S83)),IF(S84&gt;S83,1,IF(S84=S83,0.5,0)),0.5)</f>
        <v/>
      </c>
      <c r="AP84">
        <f>IF(AND(ISNUMBER(S84),ISNUMBER(S85)),IF(S84&gt;S85,1,IF(S84=S85,0.5,0)),0.5)</f>
        <v/>
      </c>
      <c r="AQ84">
        <f>IF(AND(ISNUMBER(S84),ISNUMBER(S86)),IF(S84&gt;S86,1,IF(S84=S86,0.5,0)),0.5)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4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5">
        <f>IFERROR(AVERAGE(T85:Y85),"")</f>
        <v/>
      </c>
      <c r="M85" s="4">
        <f>IFERROR(AVERAGE(Z85:AE85),"")</f>
        <v/>
      </c>
      <c r="N85" s="5">
        <f>P85/6</f>
        <v/>
      </c>
      <c r="O85" s="5">
        <f>Q85/6</f>
        <v/>
      </c>
      <c r="P85" s="4">
        <f>IFERROR(SUM(AF85:AK85),"")</f>
        <v/>
      </c>
      <c r="Q85" s="4">
        <f>IFERROR(SUM(AL85:AQ85),"")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IF(AND(ISNUMBER(R85),ISNUMBER(R80)),VLOOKUP(ABS(R85-R80),'IMP Table'!$A$2:$C$26,3)*SIGN(R85-R80),"")</f>
        <v/>
      </c>
      <c r="U85">
        <f>IF(AND(ISNUMBER(R85),ISNUMBER(R81)),VLOOKUP(ABS(R85-R81),'IMP Table'!$A$2:$C$26,3)*SIGN(R85-R81),"")</f>
        <v/>
      </c>
      <c r="V85">
        <f>IF(AND(ISNUMBER(R85),ISNUMBER(R82)),VLOOKUP(ABS(R85-R82),'IMP Table'!$A$2:$C$26,3)*SIGN(R85-R82),"")</f>
        <v/>
      </c>
      <c r="W85">
        <f>IF(AND(ISNUMBER(R85),ISNUMBER(R83)),VLOOKUP(ABS(R85-R83),'IMP Table'!$A$2:$C$26,3)*SIGN(R85-R83),"")</f>
        <v/>
      </c>
      <c r="X85">
        <f>IF(AND(ISNUMBER(R85),ISNUMBER(R84)),VLOOKUP(ABS(R85-R84),'IMP Table'!$A$2:$C$26,3)*SIGN(R85-R84),"")</f>
        <v/>
      </c>
      <c r="Y85">
        <f>IF(AND(ISNUMBER(R85),ISNUMBER(R86)),VLOOKUP(ABS(R85-R86),'IMP Table'!$A$2:$C$26,3)*SIGN(R85-R86),"")</f>
        <v/>
      </c>
      <c r="Z85">
        <f>IF(AND(ISNUMBER(S85),ISNUMBER(S80)),VLOOKUP(ABS(S85-S80),'IMP Table'!$A$2:$C$26,3)*SIGN(S85-S80),"")</f>
        <v/>
      </c>
      <c r="AA85">
        <f>IF(AND(ISNUMBER(S85),ISNUMBER(S81)),VLOOKUP(ABS(S85-S81),'IMP Table'!$A$2:$C$26,3)*SIGN(S85-S81),"")</f>
        <v/>
      </c>
      <c r="AB85">
        <f>IF(AND(ISNUMBER(S85),ISNUMBER(S82)),VLOOKUP(ABS(S85-S82),'IMP Table'!$A$2:$C$26,3)*SIGN(S85-S82),"")</f>
        <v/>
      </c>
      <c r="AC85">
        <f>IF(AND(ISNUMBER(S85),ISNUMBER(S83)),VLOOKUP(ABS(S85-S83),'IMP Table'!$A$2:$C$26,3)*SIGN(S85-S83),"")</f>
        <v/>
      </c>
      <c r="AD85">
        <f>IF(AND(ISNUMBER(S85),ISNUMBER(S84)),VLOOKUP(ABS(S85-S84),'IMP Table'!$A$2:$C$26,3)*SIGN(S85-S84),"")</f>
        <v/>
      </c>
      <c r="AE85">
        <f>IF(AND(ISNUMBER(S85),ISNUMBER(S86)),VLOOKUP(ABS(S85-S86),'IMP Table'!$A$2:$C$26,3)*SIGN(S85-S86),"")</f>
        <v/>
      </c>
      <c r="AF85">
        <f>IF(AND(ISNUMBER(R85),ISNUMBER(R80)),IF(R85&gt;R80,1,IF(R85=R80,0.5,0)),0.5)</f>
        <v/>
      </c>
      <c r="AG85">
        <f>IF(AND(ISNUMBER(R85),ISNUMBER(R81)),IF(R85&gt;R81,1,IF(R85=R81,0.5,0)),0.5)</f>
        <v/>
      </c>
      <c r="AH85">
        <f>IF(AND(ISNUMBER(R85),ISNUMBER(R82)),IF(R85&gt;R82,1,IF(R85=R82,0.5,0)),0.5)</f>
        <v/>
      </c>
      <c r="AI85">
        <f>IF(AND(ISNUMBER(R85),ISNUMBER(R83)),IF(R85&gt;R83,1,IF(R85=R83,0.5,0)),0.5)</f>
        <v/>
      </c>
      <c r="AJ85">
        <f>IF(AND(ISNUMBER(R85),ISNUMBER(R84)),IF(R85&gt;R84,1,IF(R85=R84,0.5,0)),0.5)</f>
        <v/>
      </c>
      <c r="AK85">
        <f>IF(AND(ISNUMBER(R85),ISNUMBER(R86)),IF(R85&gt;R86,1,IF(R85=R86,0.5,0)),0.5)</f>
        <v/>
      </c>
      <c r="AL85">
        <f>IF(AND(ISNUMBER(S85),ISNUMBER(S80)),IF(S85&gt;S80,1,IF(S85=S80,0.5,0)),0.5)</f>
        <v/>
      </c>
      <c r="AM85">
        <f>IF(AND(ISNUMBER(S85),ISNUMBER(S81)),IF(S85&gt;S81,1,IF(S85=S81,0.5,0)),0.5)</f>
        <v/>
      </c>
      <c r="AN85">
        <f>IF(AND(ISNUMBER(S85),ISNUMBER(S82)),IF(S85&gt;S82,1,IF(S85=S82,0.5,0)),0.5)</f>
        <v/>
      </c>
      <c r="AO85">
        <f>IF(AND(ISNUMBER(S85),ISNUMBER(S83)),IF(S85&gt;S83,1,IF(S85=S83,0.5,0)),0.5)</f>
        <v/>
      </c>
      <c r="AP85">
        <f>IF(AND(ISNUMBER(S85),ISNUMBER(S84)),IF(S85&gt;S84,1,IF(S85=S84,0.5,0)),0.5)</f>
        <v/>
      </c>
      <c r="AQ85">
        <f>IF(AND(ISNUMBER(S85),ISNUMBER(S86)),IF(S85&gt;S86,1,IF(S85=S86,0.5,0)),0.5)</f>
        <v/>
      </c>
    </row>
    <row r="86">
      <c r="A86" s="13" t="n"/>
      <c r="B86" s="13">
        <f>'By Round'!A129</f>
        <v/>
      </c>
      <c r="C86" s="13">
        <f>'By Round'!B137</f>
        <v/>
      </c>
      <c r="D86" s="13">
        <f>'By Round'!C137</f>
        <v/>
      </c>
      <c r="E86" s="13">
        <f>'By Round'!D137</f>
        <v/>
      </c>
      <c r="F86" s="17" t="inlineStr">
        <is>
          <t>NS</t>
        </is>
      </c>
      <c r="G86" s="13">
        <f>IF(ISBLANK('By Round'!G137),"",'By Round'!G137)</f>
        <v/>
      </c>
      <c r="H86" s="13">
        <f>IF(ISBLANK('By Round'!H137),"",'By Round'!H137)</f>
        <v/>
      </c>
      <c r="I86" s="13">
        <f>IF(ISBLANK('By Round'!I137),"",'By Round'!I137)</f>
        <v/>
      </c>
      <c r="J86" s="13">
        <f>IF(ISBLANK('By Round'!J137),"",'By Round'!J137)</f>
        <v/>
      </c>
      <c r="K86" s="13">
        <f>IF(ISBLANK('By Round'!K137),"",'By Round'!K137)</f>
        <v/>
      </c>
      <c r="L86" s="18">
        <f>IFERROR(AVERAGE(T86:Y86),"")</f>
        <v/>
      </c>
      <c r="M86" s="19">
        <f>IFERROR(AVERAGE(Z86:AE86),"")</f>
        <v/>
      </c>
      <c r="N86" s="20">
        <f>P86/6</f>
        <v/>
      </c>
      <c r="O86" s="20">
        <f>Q86/6</f>
        <v/>
      </c>
      <c r="P86" s="19">
        <f>IFERROR(SUM(AF86:AK86),"")</f>
        <v/>
      </c>
      <c r="Q86" s="19">
        <f>IFERROR(SUM(AL86:AQ86),"")</f>
        <v/>
      </c>
      <c r="R86" s="21">
        <f>IF(ISNUMBER(J86),J86,IF(ISNUMBER(K86),-K86,""))</f>
        <v/>
      </c>
      <c r="S86" s="13">
        <f>IF(ISNUMBER(K86),K86,IF(ISNUMBER(J86),-J86,""))</f>
        <v/>
      </c>
      <c r="T86" s="13">
        <f>IF(AND(ISNUMBER(R86),ISNUMBER(R80)),VLOOKUP(ABS(R86-R80),'IMP Table'!$A$2:$C$26,3)*SIGN(R86-R80),"")</f>
        <v/>
      </c>
      <c r="U86" s="13">
        <f>IF(AND(ISNUMBER(R86),ISNUMBER(R81)),VLOOKUP(ABS(R86-R81),'IMP Table'!$A$2:$C$26,3)*SIGN(R86-R81),"")</f>
        <v/>
      </c>
      <c r="V86" s="13">
        <f>IF(AND(ISNUMBER(R86),ISNUMBER(R82)),VLOOKUP(ABS(R86-R82),'IMP Table'!$A$2:$C$26,3)*SIGN(R86-R82),"")</f>
        <v/>
      </c>
      <c r="W86" s="13">
        <f>IF(AND(ISNUMBER(R86),ISNUMBER(R83)),VLOOKUP(ABS(R86-R83),'IMP Table'!$A$2:$C$26,3)*SIGN(R86-R83),"")</f>
        <v/>
      </c>
      <c r="X86" s="13">
        <f>IF(AND(ISNUMBER(R86),ISNUMBER(R84)),VLOOKUP(ABS(R86-R84),'IMP Table'!$A$2:$C$26,3)*SIGN(R86-R84),"")</f>
        <v/>
      </c>
      <c r="Y86" s="13">
        <f>IF(AND(ISNUMBER(R86),ISNUMBER(R85)),VLOOKUP(ABS(R86-R85),'IMP Table'!$A$2:$C$26,3)*SIGN(R86-R85),"")</f>
        <v/>
      </c>
      <c r="Z86" s="13">
        <f>IF(AND(ISNUMBER(S86),ISNUMBER(S80)),VLOOKUP(ABS(S86-S80),'IMP Table'!$A$2:$C$26,3)*SIGN(S86-S80),"")</f>
        <v/>
      </c>
      <c r="AA86" s="13">
        <f>IF(AND(ISNUMBER(S86),ISNUMBER(S81)),VLOOKUP(ABS(S86-S81),'IMP Table'!$A$2:$C$26,3)*SIGN(S86-S81),"")</f>
        <v/>
      </c>
      <c r="AB86" s="13">
        <f>IF(AND(ISNUMBER(S86),ISNUMBER(S82)),VLOOKUP(ABS(S86-S82),'IMP Table'!$A$2:$C$26,3)*SIGN(S86-S82),"")</f>
        <v/>
      </c>
      <c r="AC86" s="13">
        <f>IF(AND(ISNUMBER(S86),ISNUMBER(S83)),VLOOKUP(ABS(S86-S83),'IMP Table'!$A$2:$C$26,3)*SIGN(S86-S83),"")</f>
        <v/>
      </c>
      <c r="AD86" s="13">
        <f>IF(AND(ISNUMBER(S86),ISNUMBER(S84)),VLOOKUP(ABS(S86-S84),'IMP Table'!$A$2:$C$26,3)*SIGN(S86-S84),"")</f>
        <v/>
      </c>
      <c r="AE86" s="13">
        <f>IF(AND(ISNUMBER(S86),ISNUMBER(S85)),VLOOKUP(ABS(S86-S85),'IMP Table'!$A$2:$C$26,3)*SIGN(S86-S85),"")</f>
        <v/>
      </c>
      <c r="AF86" s="13">
        <f>IF(AND(ISNUMBER(R86),ISNUMBER(R80)),IF(R86&gt;R80,1,IF(R86=R80,0.5,0)),0.5)</f>
        <v/>
      </c>
      <c r="AG86" s="13">
        <f>IF(AND(ISNUMBER(R86),ISNUMBER(R81)),IF(R86&gt;R81,1,IF(R86=R81,0.5,0)),0.5)</f>
        <v/>
      </c>
      <c r="AH86" s="13">
        <f>IF(AND(ISNUMBER(R86),ISNUMBER(R82)),IF(R86&gt;R82,1,IF(R86=R82,0.5,0)),0.5)</f>
        <v/>
      </c>
      <c r="AI86" s="13">
        <f>IF(AND(ISNUMBER(R86),ISNUMBER(R83)),IF(R86&gt;R83,1,IF(R86=R83,0.5,0)),0.5)</f>
        <v/>
      </c>
      <c r="AJ86" s="13">
        <f>IF(AND(ISNUMBER(R86),ISNUMBER(R84)),IF(R86&gt;R84,1,IF(R86=R84,0.5,0)),0.5)</f>
        <v/>
      </c>
      <c r="AK86" s="13">
        <f>IF(AND(ISNUMBER(R86),ISNUMBER(R85)),IF(R86&gt;R85,1,IF(R86=R85,0.5,0)),0.5)</f>
        <v/>
      </c>
      <c r="AL86" s="13">
        <f>IF(AND(ISNUMBER(S86),ISNUMBER(S80)),IF(S86&gt;S80,1,IF(S86=S80,0.5,0)),0.5)</f>
        <v/>
      </c>
      <c r="AM86" s="13">
        <f>IF(AND(ISNUMBER(S86),ISNUMBER(S81)),IF(S86&gt;S81,1,IF(S86=S81,0.5,0)),0.5)</f>
        <v/>
      </c>
      <c r="AN86" s="13">
        <f>IF(AND(ISNUMBER(S86),ISNUMBER(S82)),IF(S86&gt;S82,1,IF(S86=S82,0.5,0)),0.5)</f>
        <v/>
      </c>
      <c r="AO86" s="13">
        <f>IF(AND(ISNUMBER(S86),ISNUMBER(S83)),IF(S86&gt;S83,1,IF(S86=S83,0.5,0)),0.5)</f>
        <v/>
      </c>
      <c r="AP86" s="13">
        <f>IF(AND(ISNUMBER(S86),ISNUMBER(S84)),IF(S86&gt;S84,1,IF(S86=S84,0.5,0)),0.5)</f>
        <v/>
      </c>
      <c r="AQ86" s="13">
        <f>IF(AND(ISNUMBER(S86),ISNUMBER(S85)),IF(S86&gt;S85,1,IF(S86=S85,0.5,0)),0.5)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4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5">
        <f>IFERROR(AVERAGE(T87:Y87),"")</f>
        <v/>
      </c>
      <c r="M87" s="4">
        <f>IFERROR(AVERAGE(Z87:AE87),"")</f>
        <v/>
      </c>
      <c r="N87" s="5">
        <f>P87/6</f>
        <v/>
      </c>
      <c r="O87" s="5">
        <f>Q87/6</f>
        <v/>
      </c>
      <c r="P87" s="4">
        <f>IFERROR(SUM(AF87:AK87),"")</f>
        <v/>
      </c>
      <c r="Q87" s="4">
        <f>IFERROR(SUM(AL87:AQ87),"")</f>
        <v/>
      </c>
      <c r="R87" s="16">
        <f>IF(ISNUMBER(J87),J87,IF(ISNUMBER(K87),-K87,""))</f>
        <v/>
      </c>
      <c r="S87">
        <f>IF(ISNUMBER(K87),K87,IF(ISNUMBER(J87),-J87,""))</f>
        <v/>
      </c>
      <c r="T87">
        <f>IF(AND(ISNUMBER(R87),ISNUMBER(R88)),VLOOKUP(ABS(R87-R88),'IMP Table'!$A$2:$C$26,3)*SIGN(R87-R88),"")</f>
        <v/>
      </c>
      <c r="U87">
        <f>IF(AND(ISNUMBER(R87),ISNUMBER(R89)),VLOOKUP(ABS(R87-R89),'IMP Table'!$A$2:$C$26,3)*SIGN(R87-R89),"")</f>
        <v/>
      </c>
      <c r="V87">
        <f>IF(AND(ISNUMBER(R87),ISNUMBER(R90)),VLOOKUP(ABS(R87-R90),'IMP Table'!$A$2:$C$26,3)*SIGN(R87-R90),"")</f>
        <v/>
      </c>
      <c r="W87">
        <f>IF(AND(ISNUMBER(R87),ISNUMBER(R91)),VLOOKUP(ABS(R87-R91),'IMP Table'!$A$2:$C$26,3)*SIGN(R87-R91),"")</f>
        <v/>
      </c>
      <c r="X87">
        <f>IF(AND(ISNUMBER(R87),ISNUMBER(R92)),VLOOKUP(ABS(R87-R92),'IMP Table'!$A$2:$C$26,3)*SIGN(R87-R92),"")</f>
        <v/>
      </c>
      <c r="Y87">
        <f>IF(AND(ISNUMBER(R87),ISNUMBER(R93)),VLOOKUP(ABS(R87-R93),'IMP Table'!$A$2:$C$26,3)*SIGN(R87-R93),"")</f>
        <v/>
      </c>
      <c r="Z87">
        <f>IF(AND(ISNUMBER(S87),ISNUMBER(S88)),VLOOKUP(ABS(S87-S88),'IMP Table'!$A$2:$C$26,3)*SIGN(S87-S88),"")</f>
        <v/>
      </c>
      <c r="AA87">
        <f>IF(AND(ISNUMBER(S87),ISNUMBER(S89)),VLOOKUP(ABS(S87-S89),'IMP Table'!$A$2:$C$26,3)*SIGN(S87-S89),"")</f>
        <v/>
      </c>
      <c r="AB87">
        <f>IF(AND(ISNUMBER(S87),ISNUMBER(S90)),VLOOKUP(ABS(S87-S90),'IMP Table'!$A$2:$C$26,3)*SIGN(S87-S90),"")</f>
        <v/>
      </c>
      <c r="AC87">
        <f>IF(AND(ISNUMBER(S87),ISNUMBER(S91)),VLOOKUP(ABS(S87-S91),'IMP Table'!$A$2:$C$26,3)*SIGN(S87-S91),"")</f>
        <v/>
      </c>
      <c r="AD87">
        <f>IF(AND(ISNUMBER(S87),ISNUMBER(S92)),VLOOKUP(ABS(S87-S92),'IMP Table'!$A$2:$C$26,3)*SIGN(S87-S92),"")</f>
        <v/>
      </c>
      <c r="AE87">
        <f>IF(AND(ISNUMBER(S87),ISNUMBER(S93)),VLOOKUP(ABS(S87-S93),'IMP Table'!$A$2:$C$26,3)*SIGN(S87-S93),"")</f>
        <v/>
      </c>
      <c r="AF87">
        <f>IF(AND(ISNUMBER(R87),ISNUMBER(R88)),IF(R87&gt;R88,1,IF(R87=R88,0.5,0)),0.5)</f>
        <v/>
      </c>
      <c r="AG87">
        <f>IF(AND(ISNUMBER(R87),ISNUMBER(R89)),IF(R87&gt;R89,1,IF(R87=R89,0.5,0)),0.5)</f>
        <v/>
      </c>
      <c r="AH87">
        <f>IF(AND(ISNUMBER(R87),ISNUMBER(R90)),IF(R87&gt;R90,1,IF(R87=R90,0.5,0)),0.5)</f>
        <v/>
      </c>
      <c r="AI87">
        <f>IF(AND(ISNUMBER(R87),ISNUMBER(R91)),IF(R87&gt;R91,1,IF(R87=R91,0.5,0)),0.5)</f>
        <v/>
      </c>
      <c r="AJ87">
        <f>IF(AND(ISNUMBER(R87),ISNUMBER(R92)),IF(R87&gt;R92,1,IF(R87=R92,0.5,0)),0.5)</f>
        <v/>
      </c>
      <c r="AK87">
        <f>IF(AND(ISNUMBER(R87),ISNUMBER(R93)),IF(R87&gt;R93,1,IF(R87=R93,0.5,0)),0.5)</f>
        <v/>
      </c>
      <c r="AL87">
        <f>IF(AND(ISNUMBER(S87),ISNUMBER(S88)),IF(S87&gt;S88,1,IF(S87=S88,0.5,0)),0.5)</f>
        <v/>
      </c>
      <c r="AM87">
        <f>IF(AND(ISNUMBER(S87),ISNUMBER(S89)),IF(S87&gt;S89,1,IF(S87=S89,0.5,0)),0.5)</f>
        <v/>
      </c>
      <c r="AN87">
        <f>IF(AND(ISNUMBER(S87),ISNUMBER(S90)),IF(S87&gt;S90,1,IF(S87=S90,0.5,0)),0.5)</f>
        <v/>
      </c>
      <c r="AO87">
        <f>IF(AND(ISNUMBER(S87),ISNUMBER(S91)),IF(S87&gt;S91,1,IF(S87=S91,0.5,0)),0.5)</f>
        <v/>
      </c>
      <c r="AP87">
        <f>IF(AND(ISNUMBER(S87),ISNUMBER(S92)),IF(S87&gt;S92,1,IF(S87=S92,0.5,0)),0.5)</f>
        <v/>
      </c>
      <c r="AQ87">
        <f>IF(AND(ISNUMBER(S87),ISNUMBER(S93)),IF(S87&gt;S93,1,IF(S87=S93,0.5,0)),0.5)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4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5">
        <f>IFERROR(AVERAGE(T88:Y88),"")</f>
        <v/>
      </c>
      <c r="M88" s="4">
        <f>IFERROR(AVERAGE(Z88:AE88),"")</f>
        <v/>
      </c>
      <c r="N88" s="5">
        <f>P88/6</f>
        <v/>
      </c>
      <c r="O88" s="5">
        <f>Q88/6</f>
        <v/>
      </c>
      <c r="P88" s="4">
        <f>IFERROR(SUM(AF88:AK88),"")</f>
        <v/>
      </c>
      <c r="Q88" s="4">
        <f>IFERROR(SUM(AL88:AQ88),"")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IF(AND(ISNUMBER(R88),ISNUMBER(R87)),VLOOKUP(ABS(R88-R87),'IMP Table'!$A$2:$C$26,3)*SIGN(R88-R87),"")</f>
        <v/>
      </c>
      <c r="U88">
        <f>IF(AND(ISNUMBER(R88),ISNUMBER(R89)),VLOOKUP(ABS(R88-R89),'IMP Table'!$A$2:$C$26,3)*SIGN(R88-R89),"")</f>
        <v/>
      </c>
      <c r="V88">
        <f>IF(AND(ISNUMBER(R88),ISNUMBER(R90)),VLOOKUP(ABS(R88-R90),'IMP Table'!$A$2:$C$26,3)*SIGN(R88-R90),"")</f>
        <v/>
      </c>
      <c r="W88">
        <f>IF(AND(ISNUMBER(R88),ISNUMBER(R91)),VLOOKUP(ABS(R88-R91),'IMP Table'!$A$2:$C$26,3)*SIGN(R88-R91),"")</f>
        <v/>
      </c>
      <c r="X88">
        <f>IF(AND(ISNUMBER(R88),ISNUMBER(R92)),VLOOKUP(ABS(R88-R92),'IMP Table'!$A$2:$C$26,3)*SIGN(R88-R92),"")</f>
        <v/>
      </c>
      <c r="Y88">
        <f>IF(AND(ISNUMBER(R88),ISNUMBER(R93)),VLOOKUP(ABS(R88-R93),'IMP Table'!$A$2:$C$26,3)*SIGN(R88-R93),"")</f>
        <v/>
      </c>
      <c r="Z88">
        <f>IF(AND(ISNUMBER(S88),ISNUMBER(S87)),VLOOKUP(ABS(S88-S87),'IMP Table'!$A$2:$C$26,3)*SIGN(S88-S87),"")</f>
        <v/>
      </c>
      <c r="AA88">
        <f>IF(AND(ISNUMBER(S88),ISNUMBER(S89)),VLOOKUP(ABS(S88-S89),'IMP Table'!$A$2:$C$26,3)*SIGN(S88-S89),"")</f>
        <v/>
      </c>
      <c r="AB88">
        <f>IF(AND(ISNUMBER(S88),ISNUMBER(S90)),VLOOKUP(ABS(S88-S90),'IMP Table'!$A$2:$C$26,3)*SIGN(S88-S90),"")</f>
        <v/>
      </c>
      <c r="AC88">
        <f>IF(AND(ISNUMBER(S88),ISNUMBER(S91)),VLOOKUP(ABS(S88-S91),'IMP Table'!$A$2:$C$26,3)*SIGN(S88-S91),"")</f>
        <v/>
      </c>
      <c r="AD88">
        <f>IF(AND(ISNUMBER(S88),ISNUMBER(S92)),VLOOKUP(ABS(S88-S92),'IMP Table'!$A$2:$C$26,3)*SIGN(S88-S92),"")</f>
        <v/>
      </c>
      <c r="AE88">
        <f>IF(AND(ISNUMBER(S88),ISNUMBER(S93)),VLOOKUP(ABS(S88-S93),'IMP Table'!$A$2:$C$26,3)*SIGN(S88-S93),"")</f>
        <v/>
      </c>
      <c r="AF88">
        <f>IF(AND(ISNUMBER(R88),ISNUMBER(R87)),IF(R88&gt;R87,1,IF(R88=R87,0.5,0)),0.5)</f>
        <v/>
      </c>
      <c r="AG88">
        <f>IF(AND(ISNUMBER(R88),ISNUMBER(R89)),IF(R88&gt;R89,1,IF(R88=R89,0.5,0)),0.5)</f>
        <v/>
      </c>
      <c r="AH88">
        <f>IF(AND(ISNUMBER(R88),ISNUMBER(R90)),IF(R88&gt;R90,1,IF(R88=R90,0.5,0)),0.5)</f>
        <v/>
      </c>
      <c r="AI88">
        <f>IF(AND(ISNUMBER(R88),ISNUMBER(R91)),IF(R88&gt;R91,1,IF(R88=R91,0.5,0)),0.5)</f>
        <v/>
      </c>
      <c r="AJ88">
        <f>IF(AND(ISNUMBER(R88),ISNUMBER(R92)),IF(R88&gt;R92,1,IF(R88=R92,0.5,0)),0.5)</f>
        <v/>
      </c>
      <c r="AK88">
        <f>IF(AND(ISNUMBER(R88),ISNUMBER(R93)),IF(R88&gt;R93,1,IF(R88=R93,0.5,0)),0.5)</f>
        <v/>
      </c>
      <c r="AL88">
        <f>IF(AND(ISNUMBER(S88),ISNUMBER(S87)),IF(S88&gt;S87,1,IF(S88=S87,0.5,0)),0.5)</f>
        <v/>
      </c>
      <c r="AM88">
        <f>IF(AND(ISNUMBER(S88),ISNUMBER(S89)),IF(S88&gt;S89,1,IF(S88=S89,0.5,0)),0.5)</f>
        <v/>
      </c>
      <c r="AN88">
        <f>IF(AND(ISNUMBER(S88),ISNUMBER(S90)),IF(S88&gt;S90,1,IF(S88=S90,0.5,0)),0.5)</f>
        <v/>
      </c>
      <c r="AO88">
        <f>IF(AND(ISNUMBER(S88),ISNUMBER(S91)),IF(S88&gt;S91,1,IF(S88=S91,0.5,0)),0.5)</f>
        <v/>
      </c>
      <c r="AP88">
        <f>IF(AND(ISNUMBER(S88),ISNUMBER(S92)),IF(S88&gt;S92,1,IF(S88=S92,0.5,0)),0.5)</f>
        <v/>
      </c>
      <c r="AQ88">
        <f>IF(AND(ISNUMBER(S88),ISNUMBER(S93)),IF(S88&gt;S93,1,IF(S88=S93,0.5,0)),0.5)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4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5">
        <f>IFERROR(AVERAGE(T89:Y89),"")</f>
        <v/>
      </c>
      <c r="M89" s="4">
        <f>IFERROR(AVERAGE(Z89:AE89),"")</f>
        <v/>
      </c>
      <c r="N89" s="5">
        <f>P89/6</f>
        <v/>
      </c>
      <c r="O89" s="5">
        <f>Q89/6</f>
        <v/>
      </c>
      <c r="P89" s="4">
        <f>IFERROR(SUM(AF89:AK89),"")</f>
        <v/>
      </c>
      <c r="Q89" s="4">
        <f>IFERROR(SUM(AL89:AQ89),"")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IF(AND(ISNUMBER(R89),ISNUMBER(R87)),VLOOKUP(ABS(R89-R87),'IMP Table'!$A$2:$C$26,3)*SIGN(R89-R87),"")</f>
        <v/>
      </c>
      <c r="U89">
        <f>IF(AND(ISNUMBER(R89),ISNUMBER(R88)),VLOOKUP(ABS(R89-R88),'IMP Table'!$A$2:$C$26,3)*SIGN(R89-R88),"")</f>
        <v/>
      </c>
      <c r="V89">
        <f>IF(AND(ISNUMBER(R89),ISNUMBER(R90)),VLOOKUP(ABS(R89-R90),'IMP Table'!$A$2:$C$26,3)*SIGN(R89-R90),"")</f>
        <v/>
      </c>
      <c r="W89">
        <f>IF(AND(ISNUMBER(R89),ISNUMBER(R91)),VLOOKUP(ABS(R89-R91),'IMP Table'!$A$2:$C$26,3)*SIGN(R89-R91),"")</f>
        <v/>
      </c>
      <c r="X89">
        <f>IF(AND(ISNUMBER(R89),ISNUMBER(R92)),VLOOKUP(ABS(R89-R92),'IMP Table'!$A$2:$C$26,3)*SIGN(R89-R92),"")</f>
        <v/>
      </c>
      <c r="Y89">
        <f>IF(AND(ISNUMBER(R89),ISNUMBER(R93)),VLOOKUP(ABS(R89-R93),'IMP Table'!$A$2:$C$26,3)*SIGN(R89-R93),"")</f>
        <v/>
      </c>
      <c r="Z89">
        <f>IF(AND(ISNUMBER(S89),ISNUMBER(S87)),VLOOKUP(ABS(S89-S87),'IMP Table'!$A$2:$C$26,3)*SIGN(S89-S87),"")</f>
        <v/>
      </c>
      <c r="AA89">
        <f>IF(AND(ISNUMBER(S89),ISNUMBER(S88)),VLOOKUP(ABS(S89-S88),'IMP Table'!$A$2:$C$26,3)*SIGN(S89-S88),"")</f>
        <v/>
      </c>
      <c r="AB89">
        <f>IF(AND(ISNUMBER(S89),ISNUMBER(S90)),VLOOKUP(ABS(S89-S90),'IMP Table'!$A$2:$C$26,3)*SIGN(S89-S90),"")</f>
        <v/>
      </c>
      <c r="AC89">
        <f>IF(AND(ISNUMBER(S89),ISNUMBER(S91)),VLOOKUP(ABS(S89-S91),'IMP Table'!$A$2:$C$26,3)*SIGN(S89-S91),"")</f>
        <v/>
      </c>
      <c r="AD89">
        <f>IF(AND(ISNUMBER(S89),ISNUMBER(S92)),VLOOKUP(ABS(S89-S92),'IMP Table'!$A$2:$C$26,3)*SIGN(S89-S92),"")</f>
        <v/>
      </c>
      <c r="AE89">
        <f>IF(AND(ISNUMBER(S89),ISNUMBER(S93)),VLOOKUP(ABS(S89-S93),'IMP Table'!$A$2:$C$26,3)*SIGN(S89-S93),"")</f>
        <v/>
      </c>
      <c r="AF89">
        <f>IF(AND(ISNUMBER(R89),ISNUMBER(R87)),IF(R89&gt;R87,1,IF(R89=R87,0.5,0)),0.5)</f>
        <v/>
      </c>
      <c r="AG89">
        <f>IF(AND(ISNUMBER(R89),ISNUMBER(R88)),IF(R89&gt;R88,1,IF(R89=R88,0.5,0)),0.5)</f>
        <v/>
      </c>
      <c r="AH89">
        <f>IF(AND(ISNUMBER(R89),ISNUMBER(R90)),IF(R89&gt;R90,1,IF(R89=R90,0.5,0)),0.5)</f>
        <v/>
      </c>
      <c r="AI89">
        <f>IF(AND(ISNUMBER(R89),ISNUMBER(R91)),IF(R89&gt;R91,1,IF(R89=R91,0.5,0)),0.5)</f>
        <v/>
      </c>
      <c r="AJ89">
        <f>IF(AND(ISNUMBER(R89),ISNUMBER(R92)),IF(R89&gt;R92,1,IF(R89=R92,0.5,0)),0.5)</f>
        <v/>
      </c>
      <c r="AK89">
        <f>IF(AND(ISNUMBER(R89),ISNUMBER(R93)),IF(R89&gt;R93,1,IF(R89=R93,0.5,0)),0.5)</f>
        <v/>
      </c>
      <c r="AL89">
        <f>IF(AND(ISNUMBER(S89),ISNUMBER(S87)),IF(S89&gt;S87,1,IF(S89=S87,0.5,0)),0.5)</f>
        <v/>
      </c>
      <c r="AM89">
        <f>IF(AND(ISNUMBER(S89),ISNUMBER(S88)),IF(S89&gt;S88,1,IF(S89=S88,0.5,0)),0.5)</f>
        <v/>
      </c>
      <c r="AN89">
        <f>IF(AND(ISNUMBER(S89),ISNUMBER(S90)),IF(S89&gt;S90,1,IF(S89=S90,0.5,0)),0.5)</f>
        <v/>
      </c>
      <c r="AO89">
        <f>IF(AND(ISNUMBER(S89),ISNUMBER(S91)),IF(S89&gt;S91,1,IF(S89=S91,0.5,0)),0.5)</f>
        <v/>
      </c>
      <c r="AP89">
        <f>IF(AND(ISNUMBER(S89),ISNUMBER(S92)),IF(S89&gt;S92,1,IF(S89=S92,0.5,0)),0.5)</f>
        <v/>
      </c>
      <c r="AQ89">
        <f>IF(AND(ISNUMBER(S89),ISNUMBER(S93)),IF(S89&gt;S93,1,IF(S89=S93,0.5,0)),0.5)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4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5">
        <f>IFERROR(AVERAGE(T90:Y90),"")</f>
        <v/>
      </c>
      <c r="M90" s="4">
        <f>IFERROR(AVERAGE(Z90:AE90),"")</f>
        <v/>
      </c>
      <c r="N90" s="5">
        <f>P90/6</f>
        <v/>
      </c>
      <c r="O90" s="5">
        <f>Q90/6</f>
        <v/>
      </c>
      <c r="P90" s="4">
        <f>IFERROR(SUM(AF90:AK90),"")</f>
        <v/>
      </c>
      <c r="Q90" s="4">
        <f>IFERROR(SUM(AL90:AQ90),"")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IF(AND(ISNUMBER(R90),ISNUMBER(R87)),VLOOKUP(ABS(R90-R87),'IMP Table'!$A$2:$C$26,3)*SIGN(R90-R87),"")</f>
        <v/>
      </c>
      <c r="U90">
        <f>IF(AND(ISNUMBER(R90),ISNUMBER(R88)),VLOOKUP(ABS(R90-R88),'IMP Table'!$A$2:$C$26,3)*SIGN(R90-R88),"")</f>
        <v/>
      </c>
      <c r="V90">
        <f>IF(AND(ISNUMBER(R90),ISNUMBER(R89)),VLOOKUP(ABS(R90-R89),'IMP Table'!$A$2:$C$26,3)*SIGN(R90-R89),"")</f>
        <v/>
      </c>
      <c r="W90">
        <f>IF(AND(ISNUMBER(R90),ISNUMBER(R91)),VLOOKUP(ABS(R90-R91),'IMP Table'!$A$2:$C$26,3)*SIGN(R90-R91),"")</f>
        <v/>
      </c>
      <c r="X90">
        <f>IF(AND(ISNUMBER(R90),ISNUMBER(R92)),VLOOKUP(ABS(R90-R92),'IMP Table'!$A$2:$C$26,3)*SIGN(R90-R92),"")</f>
        <v/>
      </c>
      <c r="Y90">
        <f>IF(AND(ISNUMBER(R90),ISNUMBER(R93)),VLOOKUP(ABS(R90-R93),'IMP Table'!$A$2:$C$26,3)*SIGN(R90-R93),"")</f>
        <v/>
      </c>
      <c r="Z90">
        <f>IF(AND(ISNUMBER(S90),ISNUMBER(S87)),VLOOKUP(ABS(S90-S87),'IMP Table'!$A$2:$C$26,3)*SIGN(S90-S87),"")</f>
        <v/>
      </c>
      <c r="AA90">
        <f>IF(AND(ISNUMBER(S90),ISNUMBER(S88)),VLOOKUP(ABS(S90-S88),'IMP Table'!$A$2:$C$26,3)*SIGN(S90-S88),"")</f>
        <v/>
      </c>
      <c r="AB90">
        <f>IF(AND(ISNUMBER(S90),ISNUMBER(S89)),VLOOKUP(ABS(S90-S89),'IMP Table'!$A$2:$C$26,3)*SIGN(S90-S89),"")</f>
        <v/>
      </c>
      <c r="AC90">
        <f>IF(AND(ISNUMBER(S90),ISNUMBER(S91)),VLOOKUP(ABS(S90-S91),'IMP Table'!$A$2:$C$26,3)*SIGN(S90-S91),"")</f>
        <v/>
      </c>
      <c r="AD90">
        <f>IF(AND(ISNUMBER(S90),ISNUMBER(S92)),VLOOKUP(ABS(S90-S92),'IMP Table'!$A$2:$C$26,3)*SIGN(S90-S92),"")</f>
        <v/>
      </c>
      <c r="AE90">
        <f>IF(AND(ISNUMBER(S90),ISNUMBER(S93)),VLOOKUP(ABS(S90-S93),'IMP Table'!$A$2:$C$26,3)*SIGN(S90-S93),"")</f>
        <v/>
      </c>
      <c r="AF90">
        <f>IF(AND(ISNUMBER(R90),ISNUMBER(R87)),IF(R90&gt;R87,1,IF(R90=R87,0.5,0)),0.5)</f>
        <v/>
      </c>
      <c r="AG90">
        <f>IF(AND(ISNUMBER(R90),ISNUMBER(R88)),IF(R90&gt;R88,1,IF(R90=R88,0.5,0)),0.5)</f>
        <v/>
      </c>
      <c r="AH90">
        <f>IF(AND(ISNUMBER(R90),ISNUMBER(R89)),IF(R90&gt;R89,1,IF(R90=R89,0.5,0)),0.5)</f>
        <v/>
      </c>
      <c r="AI90">
        <f>IF(AND(ISNUMBER(R90),ISNUMBER(R91)),IF(R90&gt;R91,1,IF(R90=R91,0.5,0)),0.5)</f>
        <v/>
      </c>
      <c r="AJ90">
        <f>IF(AND(ISNUMBER(R90),ISNUMBER(R92)),IF(R90&gt;R92,1,IF(R90=R92,0.5,0)),0.5)</f>
        <v/>
      </c>
      <c r="AK90">
        <f>IF(AND(ISNUMBER(R90),ISNUMBER(R93)),IF(R90&gt;R93,1,IF(R90=R93,0.5,0)),0.5)</f>
        <v/>
      </c>
      <c r="AL90">
        <f>IF(AND(ISNUMBER(S90),ISNUMBER(S87)),IF(S90&gt;S87,1,IF(S90=S87,0.5,0)),0.5)</f>
        <v/>
      </c>
      <c r="AM90">
        <f>IF(AND(ISNUMBER(S90),ISNUMBER(S88)),IF(S90&gt;S88,1,IF(S90=S88,0.5,0)),0.5)</f>
        <v/>
      </c>
      <c r="AN90">
        <f>IF(AND(ISNUMBER(S90),ISNUMBER(S89)),IF(S90&gt;S89,1,IF(S90=S89,0.5,0)),0.5)</f>
        <v/>
      </c>
      <c r="AO90">
        <f>IF(AND(ISNUMBER(S90),ISNUMBER(S91)),IF(S90&gt;S91,1,IF(S90=S91,0.5,0)),0.5)</f>
        <v/>
      </c>
      <c r="AP90">
        <f>IF(AND(ISNUMBER(S90),ISNUMBER(S92)),IF(S90&gt;S92,1,IF(S90=S92,0.5,0)),0.5)</f>
        <v/>
      </c>
      <c r="AQ90">
        <f>IF(AND(ISNUMBER(S90),ISNUMBER(S93)),IF(S90&gt;S93,1,IF(S90=S93,0.5,0)),0.5)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4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5">
        <f>IFERROR(AVERAGE(T91:Y91),"")</f>
        <v/>
      </c>
      <c r="M91" s="4">
        <f>IFERROR(AVERAGE(Z91:AE91),"")</f>
        <v/>
      </c>
      <c r="N91" s="5">
        <f>P91/6</f>
        <v/>
      </c>
      <c r="O91" s="5">
        <f>Q91/6</f>
        <v/>
      </c>
      <c r="P91" s="4">
        <f>IFERROR(SUM(AF91:AK91),"")</f>
        <v/>
      </c>
      <c r="Q91" s="4">
        <f>IFERROR(SUM(AL91:AQ91),"")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IF(AND(ISNUMBER(R91),ISNUMBER(R87)),VLOOKUP(ABS(R91-R87),'IMP Table'!$A$2:$C$26,3)*SIGN(R91-R87),"")</f>
        <v/>
      </c>
      <c r="U91">
        <f>IF(AND(ISNUMBER(R91),ISNUMBER(R88)),VLOOKUP(ABS(R91-R88),'IMP Table'!$A$2:$C$26,3)*SIGN(R91-R88),"")</f>
        <v/>
      </c>
      <c r="V91">
        <f>IF(AND(ISNUMBER(R91),ISNUMBER(R89)),VLOOKUP(ABS(R91-R89),'IMP Table'!$A$2:$C$26,3)*SIGN(R91-R89),"")</f>
        <v/>
      </c>
      <c r="W91">
        <f>IF(AND(ISNUMBER(R91),ISNUMBER(R90)),VLOOKUP(ABS(R91-R90),'IMP Table'!$A$2:$C$26,3)*SIGN(R91-R90),"")</f>
        <v/>
      </c>
      <c r="X91">
        <f>IF(AND(ISNUMBER(R91),ISNUMBER(R92)),VLOOKUP(ABS(R91-R92),'IMP Table'!$A$2:$C$26,3)*SIGN(R91-R92),"")</f>
        <v/>
      </c>
      <c r="Y91">
        <f>IF(AND(ISNUMBER(R91),ISNUMBER(R93)),VLOOKUP(ABS(R91-R93),'IMP Table'!$A$2:$C$26,3)*SIGN(R91-R93),"")</f>
        <v/>
      </c>
      <c r="Z91">
        <f>IF(AND(ISNUMBER(S91),ISNUMBER(S87)),VLOOKUP(ABS(S91-S87),'IMP Table'!$A$2:$C$26,3)*SIGN(S91-S87),"")</f>
        <v/>
      </c>
      <c r="AA91">
        <f>IF(AND(ISNUMBER(S91),ISNUMBER(S88)),VLOOKUP(ABS(S91-S88),'IMP Table'!$A$2:$C$26,3)*SIGN(S91-S88),"")</f>
        <v/>
      </c>
      <c r="AB91">
        <f>IF(AND(ISNUMBER(S91),ISNUMBER(S89)),VLOOKUP(ABS(S91-S89),'IMP Table'!$A$2:$C$26,3)*SIGN(S91-S89),"")</f>
        <v/>
      </c>
      <c r="AC91">
        <f>IF(AND(ISNUMBER(S91),ISNUMBER(S90)),VLOOKUP(ABS(S91-S90),'IMP Table'!$A$2:$C$26,3)*SIGN(S91-S90),"")</f>
        <v/>
      </c>
      <c r="AD91">
        <f>IF(AND(ISNUMBER(S91),ISNUMBER(S92)),VLOOKUP(ABS(S91-S92),'IMP Table'!$A$2:$C$26,3)*SIGN(S91-S92),"")</f>
        <v/>
      </c>
      <c r="AE91">
        <f>IF(AND(ISNUMBER(S91),ISNUMBER(S93)),VLOOKUP(ABS(S91-S93),'IMP Table'!$A$2:$C$26,3)*SIGN(S91-S93),"")</f>
        <v/>
      </c>
      <c r="AF91">
        <f>IF(AND(ISNUMBER(R91),ISNUMBER(R87)),IF(R91&gt;R87,1,IF(R91=R87,0.5,0)),0.5)</f>
        <v/>
      </c>
      <c r="AG91">
        <f>IF(AND(ISNUMBER(R91),ISNUMBER(R88)),IF(R91&gt;R88,1,IF(R91=R88,0.5,0)),0.5)</f>
        <v/>
      </c>
      <c r="AH91">
        <f>IF(AND(ISNUMBER(R91),ISNUMBER(R89)),IF(R91&gt;R89,1,IF(R91=R89,0.5,0)),0.5)</f>
        <v/>
      </c>
      <c r="AI91">
        <f>IF(AND(ISNUMBER(R91),ISNUMBER(R90)),IF(R91&gt;R90,1,IF(R91=R90,0.5,0)),0.5)</f>
        <v/>
      </c>
      <c r="AJ91">
        <f>IF(AND(ISNUMBER(R91),ISNUMBER(R92)),IF(R91&gt;R92,1,IF(R91=R92,0.5,0)),0.5)</f>
        <v/>
      </c>
      <c r="AK91">
        <f>IF(AND(ISNUMBER(R91),ISNUMBER(R93)),IF(R91&gt;R93,1,IF(R91=R93,0.5,0)),0.5)</f>
        <v/>
      </c>
      <c r="AL91">
        <f>IF(AND(ISNUMBER(S91),ISNUMBER(S87)),IF(S91&gt;S87,1,IF(S91=S87,0.5,0)),0.5)</f>
        <v/>
      </c>
      <c r="AM91">
        <f>IF(AND(ISNUMBER(S91),ISNUMBER(S88)),IF(S91&gt;S88,1,IF(S91=S88,0.5,0)),0.5)</f>
        <v/>
      </c>
      <c r="AN91">
        <f>IF(AND(ISNUMBER(S91),ISNUMBER(S89)),IF(S91&gt;S89,1,IF(S91=S89,0.5,0)),0.5)</f>
        <v/>
      </c>
      <c r="AO91">
        <f>IF(AND(ISNUMBER(S91),ISNUMBER(S90)),IF(S91&gt;S90,1,IF(S91=S90,0.5,0)),0.5)</f>
        <v/>
      </c>
      <c r="AP91">
        <f>IF(AND(ISNUMBER(S91),ISNUMBER(S92)),IF(S91&gt;S92,1,IF(S91=S92,0.5,0)),0.5)</f>
        <v/>
      </c>
      <c r="AQ91">
        <f>IF(AND(ISNUMBER(S91),ISNUMBER(S93)),IF(S91&gt;S93,1,IF(S91=S93,0.5,0)),0.5)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4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5">
        <f>IFERROR(AVERAGE(T92:Y92),"")</f>
        <v/>
      </c>
      <c r="M92" s="4">
        <f>IFERROR(AVERAGE(Z92:AE92),"")</f>
        <v/>
      </c>
      <c r="N92" s="5">
        <f>P92/6</f>
        <v/>
      </c>
      <c r="O92" s="5">
        <f>Q92/6</f>
        <v/>
      </c>
      <c r="P92" s="4">
        <f>IFERROR(SUM(AF92:AK92),"")</f>
        <v/>
      </c>
      <c r="Q92" s="4">
        <f>IFERROR(SUM(AL92:AQ92),"")</f>
        <v/>
      </c>
      <c r="R92" s="16">
        <f>IF(ISNUMBER(J92),J92,IF(ISNUMBER(K92),-K92,""))</f>
        <v/>
      </c>
      <c r="S92">
        <f>IF(ISNUMBER(K92),K92,IF(ISNUMBER(J92),-J92,""))</f>
        <v/>
      </c>
      <c r="T92">
        <f>IF(AND(ISNUMBER(R92),ISNUMBER(R87)),VLOOKUP(ABS(R92-R87),'IMP Table'!$A$2:$C$26,3)*SIGN(R92-R87),"")</f>
        <v/>
      </c>
      <c r="U92">
        <f>IF(AND(ISNUMBER(R92),ISNUMBER(R88)),VLOOKUP(ABS(R92-R88),'IMP Table'!$A$2:$C$26,3)*SIGN(R92-R88),"")</f>
        <v/>
      </c>
      <c r="V92">
        <f>IF(AND(ISNUMBER(R92),ISNUMBER(R89)),VLOOKUP(ABS(R92-R89),'IMP Table'!$A$2:$C$26,3)*SIGN(R92-R89),"")</f>
        <v/>
      </c>
      <c r="W92">
        <f>IF(AND(ISNUMBER(R92),ISNUMBER(R90)),VLOOKUP(ABS(R92-R90),'IMP Table'!$A$2:$C$26,3)*SIGN(R92-R90),"")</f>
        <v/>
      </c>
      <c r="X92">
        <f>IF(AND(ISNUMBER(R92),ISNUMBER(R91)),VLOOKUP(ABS(R92-R91),'IMP Table'!$A$2:$C$26,3)*SIGN(R92-R91),"")</f>
        <v/>
      </c>
      <c r="Y92">
        <f>IF(AND(ISNUMBER(R92),ISNUMBER(R93)),VLOOKUP(ABS(R92-R93),'IMP Table'!$A$2:$C$26,3)*SIGN(R92-R93),"")</f>
        <v/>
      </c>
      <c r="Z92">
        <f>IF(AND(ISNUMBER(S92),ISNUMBER(S87)),VLOOKUP(ABS(S92-S87),'IMP Table'!$A$2:$C$26,3)*SIGN(S92-S87),"")</f>
        <v/>
      </c>
      <c r="AA92">
        <f>IF(AND(ISNUMBER(S92),ISNUMBER(S88)),VLOOKUP(ABS(S92-S88),'IMP Table'!$A$2:$C$26,3)*SIGN(S92-S88),"")</f>
        <v/>
      </c>
      <c r="AB92">
        <f>IF(AND(ISNUMBER(S92),ISNUMBER(S89)),VLOOKUP(ABS(S92-S89),'IMP Table'!$A$2:$C$26,3)*SIGN(S92-S89),"")</f>
        <v/>
      </c>
      <c r="AC92">
        <f>IF(AND(ISNUMBER(S92),ISNUMBER(S90)),VLOOKUP(ABS(S92-S90),'IMP Table'!$A$2:$C$26,3)*SIGN(S92-S90),"")</f>
        <v/>
      </c>
      <c r="AD92">
        <f>IF(AND(ISNUMBER(S92),ISNUMBER(S91)),VLOOKUP(ABS(S92-S91),'IMP Table'!$A$2:$C$26,3)*SIGN(S92-S91),"")</f>
        <v/>
      </c>
      <c r="AE92">
        <f>IF(AND(ISNUMBER(S92),ISNUMBER(S93)),VLOOKUP(ABS(S92-S93),'IMP Table'!$A$2:$C$26,3)*SIGN(S92-S93),"")</f>
        <v/>
      </c>
      <c r="AF92">
        <f>IF(AND(ISNUMBER(R92),ISNUMBER(R87)),IF(R92&gt;R87,1,IF(R92=R87,0.5,0)),0.5)</f>
        <v/>
      </c>
      <c r="AG92">
        <f>IF(AND(ISNUMBER(R92),ISNUMBER(R88)),IF(R92&gt;R88,1,IF(R92=R88,0.5,0)),0.5)</f>
        <v/>
      </c>
      <c r="AH92">
        <f>IF(AND(ISNUMBER(R92),ISNUMBER(R89)),IF(R92&gt;R89,1,IF(R92=R89,0.5,0)),0.5)</f>
        <v/>
      </c>
      <c r="AI92">
        <f>IF(AND(ISNUMBER(R92),ISNUMBER(R90)),IF(R92&gt;R90,1,IF(R92=R90,0.5,0)),0.5)</f>
        <v/>
      </c>
      <c r="AJ92">
        <f>IF(AND(ISNUMBER(R92),ISNUMBER(R91)),IF(R92&gt;R91,1,IF(R92=R91,0.5,0)),0.5)</f>
        <v/>
      </c>
      <c r="AK92">
        <f>IF(AND(ISNUMBER(R92),ISNUMBER(R93)),IF(R92&gt;R93,1,IF(R92=R93,0.5,0)),0.5)</f>
        <v/>
      </c>
      <c r="AL92">
        <f>IF(AND(ISNUMBER(S92),ISNUMBER(S87)),IF(S92&gt;S87,1,IF(S92=S87,0.5,0)),0.5)</f>
        <v/>
      </c>
      <c r="AM92">
        <f>IF(AND(ISNUMBER(S92),ISNUMBER(S88)),IF(S92&gt;S88,1,IF(S92=S88,0.5,0)),0.5)</f>
        <v/>
      </c>
      <c r="AN92">
        <f>IF(AND(ISNUMBER(S92),ISNUMBER(S89)),IF(S92&gt;S89,1,IF(S92=S89,0.5,0)),0.5)</f>
        <v/>
      </c>
      <c r="AO92">
        <f>IF(AND(ISNUMBER(S92),ISNUMBER(S90)),IF(S92&gt;S90,1,IF(S92=S90,0.5,0)),0.5)</f>
        <v/>
      </c>
      <c r="AP92">
        <f>IF(AND(ISNUMBER(S92),ISNUMBER(S91)),IF(S92&gt;S91,1,IF(S92=S91,0.5,0)),0.5)</f>
        <v/>
      </c>
      <c r="AQ92">
        <f>IF(AND(ISNUMBER(S92),ISNUMBER(S93)),IF(S92&gt;S93,1,IF(S92=S93,0.5,0)),0.5)</f>
        <v/>
      </c>
    </row>
    <row r="93">
      <c r="A93" s="13" t="n"/>
      <c r="B93" s="13">
        <f>'By Round'!A143</f>
        <v/>
      </c>
      <c r="C93" s="13">
        <f>'By Round'!B151</f>
        <v/>
      </c>
      <c r="D93" s="13">
        <f>'By Round'!C151</f>
        <v/>
      </c>
      <c r="E93" s="13">
        <f>'By Round'!D151</f>
        <v/>
      </c>
      <c r="F93" s="17" t="inlineStr">
        <is>
          <t>Both</t>
        </is>
      </c>
      <c r="G93" s="13">
        <f>IF(ISBLANK('By Round'!G151),"",'By Round'!G151)</f>
        <v/>
      </c>
      <c r="H93" s="13">
        <f>IF(ISBLANK('By Round'!H151),"",'By Round'!H151)</f>
        <v/>
      </c>
      <c r="I93" s="13">
        <f>IF(ISBLANK('By Round'!I151),"",'By Round'!I151)</f>
        <v/>
      </c>
      <c r="J93" s="13">
        <f>IF(ISBLANK('By Round'!J151),"",'By Round'!J151)</f>
        <v/>
      </c>
      <c r="K93" s="13">
        <f>IF(ISBLANK('By Round'!K151),"",'By Round'!K151)</f>
        <v/>
      </c>
      <c r="L93" s="18">
        <f>IFERROR(AVERAGE(T93:Y93),"")</f>
        <v/>
      </c>
      <c r="M93" s="19">
        <f>IFERROR(AVERAGE(Z93:AE93),"")</f>
        <v/>
      </c>
      <c r="N93" s="20">
        <f>P93/6</f>
        <v/>
      </c>
      <c r="O93" s="20">
        <f>Q93/6</f>
        <v/>
      </c>
      <c r="P93" s="19">
        <f>IFERROR(SUM(AF93:AK93),"")</f>
        <v/>
      </c>
      <c r="Q93" s="19">
        <f>IFERROR(SUM(AL93:AQ93),"")</f>
        <v/>
      </c>
      <c r="R93" s="21">
        <f>IF(ISNUMBER(J93),J93,IF(ISNUMBER(K93),-K93,""))</f>
        <v/>
      </c>
      <c r="S93" s="13">
        <f>IF(ISNUMBER(K93),K93,IF(ISNUMBER(J93),-J93,""))</f>
        <v/>
      </c>
      <c r="T93" s="13">
        <f>IF(AND(ISNUMBER(R93),ISNUMBER(R87)),VLOOKUP(ABS(R93-R87),'IMP Table'!$A$2:$C$26,3)*SIGN(R93-R87),"")</f>
        <v/>
      </c>
      <c r="U93" s="13">
        <f>IF(AND(ISNUMBER(R93),ISNUMBER(R88)),VLOOKUP(ABS(R93-R88),'IMP Table'!$A$2:$C$26,3)*SIGN(R93-R88),"")</f>
        <v/>
      </c>
      <c r="V93" s="13">
        <f>IF(AND(ISNUMBER(R93),ISNUMBER(R89)),VLOOKUP(ABS(R93-R89),'IMP Table'!$A$2:$C$26,3)*SIGN(R93-R89),"")</f>
        <v/>
      </c>
      <c r="W93" s="13">
        <f>IF(AND(ISNUMBER(R93),ISNUMBER(R90)),VLOOKUP(ABS(R93-R90),'IMP Table'!$A$2:$C$26,3)*SIGN(R93-R90),"")</f>
        <v/>
      </c>
      <c r="X93" s="13">
        <f>IF(AND(ISNUMBER(R93),ISNUMBER(R91)),VLOOKUP(ABS(R93-R91),'IMP Table'!$A$2:$C$26,3)*SIGN(R93-R91),"")</f>
        <v/>
      </c>
      <c r="Y93" s="13">
        <f>IF(AND(ISNUMBER(R93),ISNUMBER(R92)),VLOOKUP(ABS(R93-R92),'IMP Table'!$A$2:$C$26,3)*SIGN(R93-R92),"")</f>
        <v/>
      </c>
      <c r="Z93" s="13">
        <f>IF(AND(ISNUMBER(S93),ISNUMBER(S87)),VLOOKUP(ABS(S93-S87),'IMP Table'!$A$2:$C$26,3)*SIGN(S93-S87),"")</f>
        <v/>
      </c>
      <c r="AA93" s="13">
        <f>IF(AND(ISNUMBER(S93),ISNUMBER(S88)),VLOOKUP(ABS(S93-S88),'IMP Table'!$A$2:$C$26,3)*SIGN(S93-S88),"")</f>
        <v/>
      </c>
      <c r="AB93" s="13">
        <f>IF(AND(ISNUMBER(S93),ISNUMBER(S89)),VLOOKUP(ABS(S93-S89),'IMP Table'!$A$2:$C$26,3)*SIGN(S93-S89),"")</f>
        <v/>
      </c>
      <c r="AC93" s="13">
        <f>IF(AND(ISNUMBER(S93),ISNUMBER(S90)),VLOOKUP(ABS(S93-S90),'IMP Table'!$A$2:$C$26,3)*SIGN(S93-S90),"")</f>
        <v/>
      </c>
      <c r="AD93" s="13">
        <f>IF(AND(ISNUMBER(S93),ISNUMBER(S91)),VLOOKUP(ABS(S93-S91),'IMP Table'!$A$2:$C$26,3)*SIGN(S93-S91),"")</f>
        <v/>
      </c>
      <c r="AE93" s="13">
        <f>IF(AND(ISNUMBER(S93),ISNUMBER(S92)),VLOOKUP(ABS(S93-S92),'IMP Table'!$A$2:$C$26,3)*SIGN(S93-S92),"")</f>
        <v/>
      </c>
      <c r="AF93" s="13">
        <f>IF(AND(ISNUMBER(R93),ISNUMBER(R87)),IF(R93&gt;R87,1,IF(R93=R87,0.5,0)),0.5)</f>
        <v/>
      </c>
      <c r="AG93" s="13">
        <f>IF(AND(ISNUMBER(R93),ISNUMBER(R88)),IF(R93&gt;R88,1,IF(R93=R88,0.5,0)),0.5)</f>
        <v/>
      </c>
      <c r="AH93" s="13">
        <f>IF(AND(ISNUMBER(R93),ISNUMBER(R89)),IF(R93&gt;R89,1,IF(R93=R89,0.5,0)),0.5)</f>
        <v/>
      </c>
      <c r="AI93" s="13">
        <f>IF(AND(ISNUMBER(R93),ISNUMBER(R90)),IF(R93&gt;R90,1,IF(R93=R90,0.5,0)),0.5)</f>
        <v/>
      </c>
      <c r="AJ93" s="13">
        <f>IF(AND(ISNUMBER(R93),ISNUMBER(R91)),IF(R93&gt;R91,1,IF(R93=R91,0.5,0)),0.5)</f>
        <v/>
      </c>
      <c r="AK93" s="13">
        <f>IF(AND(ISNUMBER(R93),ISNUMBER(R92)),IF(R93&gt;R92,1,IF(R93=R92,0.5,0)),0.5)</f>
        <v/>
      </c>
      <c r="AL93" s="13">
        <f>IF(AND(ISNUMBER(S93),ISNUMBER(S87)),IF(S93&gt;S87,1,IF(S93=S87,0.5,0)),0.5)</f>
        <v/>
      </c>
      <c r="AM93" s="13">
        <f>IF(AND(ISNUMBER(S93),ISNUMBER(S88)),IF(S93&gt;S88,1,IF(S93=S88,0.5,0)),0.5)</f>
        <v/>
      </c>
      <c r="AN93" s="13">
        <f>IF(AND(ISNUMBER(S93),ISNUMBER(S89)),IF(S93&gt;S89,1,IF(S93=S89,0.5,0)),0.5)</f>
        <v/>
      </c>
      <c r="AO93" s="13">
        <f>IF(AND(ISNUMBER(S93),ISNUMBER(S90)),IF(S93&gt;S90,1,IF(S93=S90,0.5,0)),0.5)</f>
        <v/>
      </c>
      <c r="AP93" s="13">
        <f>IF(AND(ISNUMBER(S93),ISNUMBER(S91)),IF(S93&gt;S91,1,IF(S93=S91,0.5,0)),0.5)</f>
        <v/>
      </c>
      <c r="AQ93" s="13">
        <f>IF(AND(ISNUMBER(S93),ISNUMBER(S92)),IF(S93&gt;S92,1,IF(S93=S92,0.5,0)),0.5)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4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5">
        <f>IFERROR(AVERAGE(T94:Y94),"")</f>
        <v/>
      </c>
      <c r="M94" s="4">
        <f>IFERROR(AVERAGE(Z94:AE94),"")</f>
        <v/>
      </c>
      <c r="N94" s="5">
        <f>P94/6</f>
        <v/>
      </c>
      <c r="O94" s="5">
        <f>Q94/6</f>
        <v/>
      </c>
      <c r="P94" s="4">
        <f>IFERROR(SUM(AF94:AK94),"")</f>
        <v/>
      </c>
      <c r="Q94" s="4">
        <f>IFERROR(SUM(AL94:AQ94),"")</f>
        <v/>
      </c>
      <c r="R94" s="16">
        <f>IF(ISNUMBER(J94),J94,IF(ISNUMBER(K94),-K94,""))</f>
        <v/>
      </c>
      <c r="S94">
        <f>IF(ISNUMBER(K94),K94,IF(ISNUMBER(J94),-J94,""))</f>
        <v/>
      </c>
      <c r="T94">
        <f>IF(AND(ISNUMBER(R94),ISNUMBER(R95)),VLOOKUP(ABS(R94-R95),'IMP Table'!$A$2:$C$26,3)*SIGN(R94-R95),"")</f>
        <v/>
      </c>
      <c r="U94">
        <f>IF(AND(ISNUMBER(R94),ISNUMBER(R96)),VLOOKUP(ABS(R94-R96),'IMP Table'!$A$2:$C$26,3)*SIGN(R94-R96),"")</f>
        <v/>
      </c>
      <c r="V94">
        <f>IF(AND(ISNUMBER(R94),ISNUMBER(R97)),VLOOKUP(ABS(R94-R97),'IMP Table'!$A$2:$C$26,3)*SIGN(R94-R97),"")</f>
        <v/>
      </c>
      <c r="W94">
        <f>IF(AND(ISNUMBER(R94),ISNUMBER(R98)),VLOOKUP(ABS(R94-R98),'IMP Table'!$A$2:$C$26,3)*SIGN(R94-R98),"")</f>
        <v/>
      </c>
      <c r="X94">
        <f>IF(AND(ISNUMBER(R94),ISNUMBER(R99)),VLOOKUP(ABS(R94-R99),'IMP Table'!$A$2:$C$26,3)*SIGN(R94-R99),"")</f>
        <v/>
      </c>
      <c r="Y94">
        <f>IF(AND(ISNUMBER(R94),ISNUMBER(R100)),VLOOKUP(ABS(R94-R100),'IMP Table'!$A$2:$C$26,3)*SIGN(R94-R100),"")</f>
        <v/>
      </c>
      <c r="Z94">
        <f>IF(AND(ISNUMBER(S94),ISNUMBER(S95)),VLOOKUP(ABS(S94-S95),'IMP Table'!$A$2:$C$26,3)*SIGN(S94-S95),"")</f>
        <v/>
      </c>
      <c r="AA94">
        <f>IF(AND(ISNUMBER(S94),ISNUMBER(S96)),VLOOKUP(ABS(S94-S96),'IMP Table'!$A$2:$C$26,3)*SIGN(S94-S96),"")</f>
        <v/>
      </c>
      <c r="AB94">
        <f>IF(AND(ISNUMBER(S94),ISNUMBER(S97)),VLOOKUP(ABS(S94-S97),'IMP Table'!$A$2:$C$26,3)*SIGN(S94-S97),"")</f>
        <v/>
      </c>
      <c r="AC94">
        <f>IF(AND(ISNUMBER(S94),ISNUMBER(S98)),VLOOKUP(ABS(S94-S98),'IMP Table'!$A$2:$C$26,3)*SIGN(S94-S98),"")</f>
        <v/>
      </c>
      <c r="AD94">
        <f>IF(AND(ISNUMBER(S94),ISNUMBER(S99)),VLOOKUP(ABS(S94-S99),'IMP Table'!$A$2:$C$26,3)*SIGN(S94-S99),"")</f>
        <v/>
      </c>
      <c r="AE94">
        <f>IF(AND(ISNUMBER(S94),ISNUMBER(S100)),VLOOKUP(ABS(S94-S100),'IMP Table'!$A$2:$C$26,3)*SIGN(S94-S100),"")</f>
        <v/>
      </c>
      <c r="AF94">
        <f>IF(AND(ISNUMBER(R94),ISNUMBER(R95)),IF(R94&gt;R95,1,IF(R94=R95,0.5,0)),0.5)</f>
        <v/>
      </c>
      <c r="AG94">
        <f>IF(AND(ISNUMBER(R94),ISNUMBER(R96)),IF(R94&gt;R96,1,IF(R94=R96,0.5,0)),0.5)</f>
        <v/>
      </c>
      <c r="AH94">
        <f>IF(AND(ISNUMBER(R94),ISNUMBER(R97)),IF(R94&gt;R97,1,IF(R94=R97,0.5,0)),0.5)</f>
        <v/>
      </c>
      <c r="AI94">
        <f>IF(AND(ISNUMBER(R94),ISNUMBER(R98)),IF(R94&gt;R98,1,IF(R94=R98,0.5,0)),0.5)</f>
        <v/>
      </c>
      <c r="AJ94">
        <f>IF(AND(ISNUMBER(R94),ISNUMBER(R99)),IF(R94&gt;R99,1,IF(R94=R99,0.5,0)),0.5)</f>
        <v/>
      </c>
      <c r="AK94">
        <f>IF(AND(ISNUMBER(R94),ISNUMBER(R100)),IF(R94&gt;R100,1,IF(R94=R100,0.5,0)),0.5)</f>
        <v/>
      </c>
      <c r="AL94">
        <f>IF(AND(ISNUMBER(S94),ISNUMBER(S95)),IF(S94&gt;S95,1,IF(S94=S95,0.5,0)),0.5)</f>
        <v/>
      </c>
      <c r="AM94">
        <f>IF(AND(ISNUMBER(S94),ISNUMBER(S96)),IF(S94&gt;S96,1,IF(S94=S96,0.5,0)),0.5)</f>
        <v/>
      </c>
      <c r="AN94">
        <f>IF(AND(ISNUMBER(S94),ISNUMBER(S97)),IF(S94&gt;S97,1,IF(S94=S97,0.5,0)),0.5)</f>
        <v/>
      </c>
      <c r="AO94">
        <f>IF(AND(ISNUMBER(S94),ISNUMBER(S98)),IF(S94&gt;S98,1,IF(S94=S98,0.5,0)),0.5)</f>
        <v/>
      </c>
      <c r="AP94">
        <f>IF(AND(ISNUMBER(S94),ISNUMBER(S99)),IF(S94&gt;S99,1,IF(S94=S99,0.5,0)),0.5)</f>
        <v/>
      </c>
      <c r="AQ94">
        <f>IF(AND(ISNUMBER(S94),ISNUMBER(S100)),IF(S94&gt;S100,1,IF(S94=S100,0.5,0)),0.5)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4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5">
        <f>IFERROR(AVERAGE(T95:Y95),"")</f>
        <v/>
      </c>
      <c r="M95" s="4">
        <f>IFERROR(AVERAGE(Z95:AE95),"")</f>
        <v/>
      </c>
      <c r="N95" s="5">
        <f>P95/6</f>
        <v/>
      </c>
      <c r="O95" s="5">
        <f>Q95/6</f>
        <v/>
      </c>
      <c r="P95" s="4">
        <f>IFERROR(SUM(AF95:AK95),"")</f>
        <v/>
      </c>
      <c r="Q95" s="4">
        <f>IFERROR(SUM(AL95:AQ95),"")</f>
        <v/>
      </c>
      <c r="R95" s="16">
        <f>IF(ISNUMBER(J95),J95,IF(ISNUMBER(K95),-K95,""))</f>
        <v/>
      </c>
      <c r="S95">
        <f>IF(ISNUMBER(K95),K95,IF(ISNUMBER(J95),-J95,""))</f>
        <v/>
      </c>
      <c r="T95">
        <f>IF(AND(ISNUMBER(R95),ISNUMBER(R94)),VLOOKUP(ABS(R95-R94),'IMP Table'!$A$2:$C$26,3)*SIGN(R95-R94),"")</f>
        <v/>
      </c>
      <c r="U95">
        <f>IF(AND(ISNUMBER(R95),ISNUMBER(R96)),VLOOKUP(ABS(R95-R96),'IMP Table'!$A$2:$C$26,3)*SIGN(R95-R96),"")</f>
        <v/>
      </c>
      <c r="V95">
        <f>IF(AND(ISNUMBER(R95),ISNUMBER(R97)),VLOOKUP(ABS(R95-R97),'IMP Table'!$A$2:$C$26,3)*SIGN(R95-R97),"")</f>
        <v/>
      </c>
      <c r="W95">
        <f>IF(AND(ISNUMBER(R95),ISNUMBER(R98)),VLOOKUP(ABS(R95-R98),'IMP Table'!$A$2:$C$26,3)*SIGN(R95-R98),"")</f>
        <v/>
      </c>
      <c r="X95">
        <f>IF(AND(ISNUMBER(R95),ISNUMBER(R99)),VLOOKUP(ABS(R95-R99),'IMP Table'!$A$2:$C$26,3)*SIGN(R95-R99),"")</f>
        <v/>
      </c>
      <c r="Y95">
        <f>IF(AND(ISNUMBER(R95),ISNUMBER(R100)),VLOOKUP(ABS(R95-R100),'IMP Table'!$A$2:$C$26,3)*SIGN(R95-R100),"")</f>
        <v/>
      </c>
      <c r="Z95">
        <f>IF(AND(ISNUMBER(S95),ISNUMBER(S94)),VLOOKUP(ABS(S95-S94),'IMP Table'!$A$2:$C$26,3)*SIGN(S95-S94),"")</f>
        <v/>
      </c>
      <c r="AA95">
        <f>IF(AND(ISNUMBER(S95),ISNUMBER(S96)),VLOOKUP(ABS(S95-S96),'IMP Table'!$A$2:$C$26,3)*SIGN(S95-S96),"")</f>
        <v/>
      </c>
      <c r="AB95">
        <f>IF(AND(ISNUMBER(S95),ISNUMBER(S97)),VLOOKUP(ABS(S95-S97),'IMP Table'!$A$2:$C$26,3)*SIGN(S95-S97),"")</f>
        <v/>
      </c>
      <c r="AC95">
        <f>IF(AND(ISNUMBER(S95),ISNUMBER(S98)),VLOOKUP(ABS(S95-S98),'IMP Table'!$A$2:$C$26,3)*SIGN(S95-S98),"")</f>
        <v/>
      </c>
      <c r="AD95">
        <f>IF(AND(ISNUMBER(S95),ISNUMBER(S99)),VLOOKUP(ABS(S95-S99),'IMP Table'!$A$2:$C$26,3)*SIGN(S95-S99),"")</f>
        <v/>
      </c>
      <c r="AE95">
        <f>IF(AND(ISNUMBER(S95),ISNUMBER(S100)),VLOOKUP(ABS(S95-S100),'IMP Table'!$A$2:$C$26,3)*SIGN(S95-S100),"")</f>
        <v/>
      </c>
      <c r="AF95">
        <f>IF(AND(ISNUMBER(R95),ISNUMBER(R94)),IF(R95&gt;R94,1,IF(R95=R94,0.5,0)),0.5)</f>
        <v/>
      </c>
      <c r="AG95">
        <f>IF(AND(ISNUMBER(R95),ISNUMBER(R96)),IF(R95&gt;R96,1,IF(R95=R96,0.5,0)),0.5)</f>
        <v/>
      </c>
      <c r="AH95">
        <f>IF(AND(ISNUMBER(R95),ISNUMBER(R97)),IF(R95&gt;R97,1,IF(R95=R97,0.5,0)),0.5)</f>
        <v/>
      </c>
      <c r="AI95">
        <f>IF(AND(ISNUMBER(R95),ISNUMBER(R98)),IF(R95&gt;R98,1,IF(R95=R98,0.5,0)),0.5)</f>
        <v/>
      </c>
      <c r="AJ95">
        <f>IF(AND(ISNUMBER(R95),ISNUMBER(R99)),IF(R95&gt;R99,1,IF(R95=R99,0.5,0)),0.5)</f>
        <v/>
      </c>
      <c r="AK95">
        <f>IF(AND(ISNUMBER(R95),ISNUMBER(R100)),IF(R95&gt;R100,1,IF(R95=R100,0.5,0)),0.5)</f>
        <v/>
      </c>
      <c r="AL95">
        <f>IF(AND(ISNUMBER(S95),ISNUMBER(S94)),IF(S95&gt;S94,1,IF(S95=S94,0.5,0)),0.5)</f>
        <v/>
      </c>
      <c r="AM95">
        <f>IF(AND(ISNUMBER(S95),ISNUMBER(S96)),IF(S95&gt;S96,1,IF(S95=S96,0.5,0)),0.5)</f>
        <v/>
      </c>
      <c r="AN95">
        <f>IF(AND(ISNUMBER(S95),ISNUMBER(S97)),IF(S95&gt;S97,1,IF(S95=S97,0.5,0)),0.5)</f>
        <v/>
      </c>
      <c r="AO95">
        <f>IF(AND(ISNUMBER(S95),ISNUMBER(S98)),IF(S95&gt;S98,1,IF(S95=S98,0.5,0)),0.5)</f>
        <v/>
      </c>
      <c r="AP95">
        <f>IF(AND(ISNUMBER(S95),ISNUMBER(S99)),IF(S95&gt;S99,1,IF(S95=S99,0.5,0)),0.5)</f>
        <v/>
      </c>
      <c r="AQ95">
        <f>IF(AND(ISNUMBER(S95),ISNUMBER(S100)),IF(S95&gt;S100,1,IF(S95=S100,0.5,0)),0.5)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4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5">
        <f>IFERROR(AVERAGE(T96:Y96),"")</f>
        <v/>
      </c>
      <c r="M96" s="4">
        <f>IFERROR(AVERAGE(Z96:AE96),"")</f>
        <v/>
      </c>
      <c r="N96" s="5">
        <f>P96/6</f>
        <v/>
      </c>
      <c r="O96" s="5">
        <f>Q96/6</f>
        <v/>
      </c>
      <c r="P96" s="4">
        <f>IFERROR(SUM(AF96:AK96),"")</f>
        <v/>
      </c>
      <c r="Q96" s="4">
        <f>IFERROR(SUM(AL96:AQ96),"")</f>
        <v/>
      </c>
      <c r="R96" s="16">
        <f>IF(ISNUMBER(J96),J96,IF(ISNUMBER(K96),-K96,""))</f>
        <v/>
      </c>
      <c r="S96">
        <f>IF(ISNUMBER(K96),K96,IF(ISNUMBER(J96),-J96,""))</f>
        <v/>
      </c>
      <c r="T96">
        <f>IF(AND(ISNUMBER(R96),ISNUMBER(R94)),VLOOKUP(ABS(R96-R94),'IMP Table'!$A$2:$C$26,3)*SIGN(R96-R94),"")</f>
        <v/>
      </c>
      <c r="U96">
        <f>IF(AND(ISNUMBER(R96),ISNUMBER(R95)),VLOOKUP(ABS(R96-R95),'IMP Table'!$A$2:$C$26,3)*SIGN(R96-R95),"")</f>
        <v/>
      </c>
      <c r="V96">
        <f>IF(AND(ISNUMBER(R96),ISNUMBER(R97)),VLOOKUP(ABS(R96-R97),'IMP Table'!$A$2:$C$26,3)*SIGN(R96-R97),"")</f>
        <v/>
      </c>
      <c r="W96">
        <f>IF(AND(ISNUMBER(R96),ISNUMBER(R98)),VLOOKUP(ABS(R96-R98),'IMP Table'!$A$2:$C$26,3)*SIGN(R96-R98),"")</f>
        <v/>
      </c>
      <c r="X96">
        <f>IF(AND(ISNUMBER(R96),ISNUMBER(R99)),VLOOKUP(ABS(R96-R99),'IMP Table'!$A$2:$C$26,3)*SIGN(R96-R99),"")</f>
        <v/>
      </c>
      <c r="Y96">
        <f>IF(AND(ISNUMBER(R96),ISNUMBER(R100)),VLOOKUP(ABS(R96-R100),'IMP Table'!$A$2:$C$26,3)*SIGN(R96-R100),"")</f>
        <v/>
      </c>
      <c r="Z96">
        <f>IF(AND(ISNUMBER(S96),ISNUMBER(S94)),VLOOKUP(ABS(S96-S94),'IMP Table'!$A$2:$C$26,3)*SIGN(S96-S94),"")</f>
        <v/>
      </c>
      <c r="AA96">
        <f>IF(AND(ISNUMBER(S96),ISNUMBER(S95)),VLOOKUP(ABS(S96-S95),'IMP Table'!$A$2:$C$26,3)*SIGN(S96-S95),"")</f>
        <v/>
      </c>
      <c r="AB96">
        <f>IF(AND(ISNUMBER(S96),ISNUMBER(S97)),VLOOKUP(ABS(S96-S97),'IMP Table'!$A$2:$C$26,3)*SIGN(S96-S97),"")</f>
        <v/>
      </c>
      <c r="AC96">
        <f>IF(AND(ISNUMBER(S96),ISNUMBER(S98)),VLOOKUP(ABS(S96-S98),'IMP Table'!$A$2:$C$26,3)*SIGN(S96-S98),"")</f>
        <v/>
      </c>
      <c r="AD96">
        <f>IF(AND(ISNUMBER(S96),ISNUMBER(S99)),VLOOKUP(ABS(S96-S99),'IMP Table'!$A$2:$C$26,3)*SIGN(S96-S99),"")</f>
        <v/>
      </c>
      <c r="AE96">
        <f>IF(AND(ISNUMBER(S96),ISNUMBER(S100)),VLOOKUP(ABS(S96-S100),'IMP Table'!$A$2:$C$26,3)*SIGN(S96-S100),"")</f>
        <v/>
      </c>
      <c r="AF96">
        <f>IF(AND(ISNUMBER(R96),ISNUMBER(R94)),IF(R96&gt;R94,1,IF(R96=R94,0.5,0)),0.5)</f>
        <v/>
      </c>
      <c r="AG96">
        <f>IF(AND(ISNUMBER(R96),ISNUMBER(R95)),IF(R96&gt;R95,1,IF(R96=R95,0.5,0)),0.5)</f>
        <v/>
      </c>
      <c r="AH96">
        <f>IF(AND(ISNUMBER(R96),ISNUMBER(R97)),IF(R96&gt;R97,1,IF(R96=R97,0.5,0)),0.5)</f>
        <v/>
      </c>
      <c r="AI96">
        <f>IF(AND(ISNUMBER(R96),ISNUMBER(R98)),IF(R96&gt;R98,1,IF(R96=R98,0.5,0)),0.5)</f>
        <v/>
      </c>
      <c r="AJ96">
        <f>IF(AND(ISNUMBER(R96),ISNUMBER(R99)),IF(R96&gt;R99,1,IF(R96=R99,0.5,0)),0.5)</f>
        <v/>
      </c>
      <c r="AK96">
        <f>IF(AND(ISNUMBER(R96),ISNUMBER(R100)),IF(R96&gt;R100,1,IF(R96=R100,0.5,0)),0.5)</f>
        <v/>
      </c>
      <c r="AL96">
        <f>IF(AND(ISNUMBER(S96),ISNUMBER(S94)),IF(S96&gt;S94,1,IF(S96=S94,0.5,0)),0.5)</f>
        <v/>
      </c>
      <c r="AM96">
        <f>IF(AND(ISNUMBER(S96),ISNUMBER(S95)),IF(S96&gt;S95,1,IF(S96=S95,0.5,0)),0.5)</f>
        <v/>
      </c>
      <c r="AN96">
        <f>IF(AND(ISNUMBER(S96),ISNUMBER(S97)),IF(S96&gt;S97,1,IF(S96=S97,0.5,0)),0.5)</f>
        <v/>
      </c>
      <c r="AO96">
        <f>IF(AND(ISNUMBER(S96),ISNUMBER(S98)),IF(S96&gt;S98,1,IF(S96=S98,0.5,0)),0.5)</f>
        <v/>
      </c>
      <c r="AP96">
        <f>IF(AND(ISNUMBER(S96),ISNUMBER(S99)),IF(S96&gt;S99,1,IF(S96=S99,0.5,0)),0.5)</f>
        <v/>
      </c>
      <c r="AQ96">
        <f>IF(AND(ISNUMBER(S96),ISNUMBER(S100)),IF(S96&gt;S100,1,IF(S96=S100,0.5,0)),0.5)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4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5">
        <f>IFERROR(AVERAGE(T97:Y97),"")</f>
        <v/>
      </c>
      <c r="M97" s="4">
        <f>IFERROR(AVERAGE(Z97:AE97),"")</f>
        <v/>
      </c>
      <c r="N97" s="5">
        <f>P97/6</f>
        <v/>
      </c>
      <c r="O97" s="5">
        <f>Q97/6</f>
        <v/>
      </c>
      <c r="P97" s="4">
        <f>IFERROR(SUM(AF97:AK97),"")</f>
        <v/>
      </c>
      <c r="Q97" s="4">
        <f>IFERROR(SUM(AL97:AQ97),"")</f>
        <v/>
      </c>
      <c r="R97" s="16">
        <f>IF(ISNUMBER(J97),J97,IF(ISNUMBER(K97),-K97,""))</f>
        <v/>
      </c>
      <c r="S97">
        <f>IF(ISNUMBER(K97),K97,IF(ISNUMBER(J97),-J97,""))</f>
        <v/>
      </c>
      <c r="T97">
        <f>IF(AND(ISNUMBER(R97),ISNUMBER(R94)),VLOOKUP(ABS(R97-R94),'IMP Table'!$A$2:$C$26,3)*SIGN(R97-R94),"")</f>
        <v/>
      </c>
      <c r="U97">
        <f>IF(AND(ISNUMBER(R97),ISNUMBER(R95)),VLOOKUP(ABS(R97-R95),'IMP Table'!$A$2:$C$26,3)*SIGN(R97-R95),"")</f>
        <v/>
      </c>
      <c r="V97">
        <f>IF(AND(ISNUMBER(R97),ISNUMBER(R96)),VLOOKUP(ABS(R97-R96),'IMP Table'!$A$2:$C$26,3)*SIGN(R97-R96),"")</f>
        <v/>
      </c>
      <c r="W97">
        <f>IF(AND(ISNUMBER(R97),ISNUMBER(R98)),VLOOKUP(ABS(R97-R98),'IMP Table'!$A$2:$C$26,3)*SIGN(R97-R98),"")</f>
        <v/>
      </c>
      <c r="X97">
        <f>IF(AND(ISNUMBER(R97),ISNUMBER(R99)),VLOOKUP(ABS(R97-R99),'IMP Table'!$A$2:$C$26,3)*SIGN(R97-R99),"")</f>
        <v/>
      </c>
      <c r="Y97">
        <f>IF(AND(ISNUMBER(R97),ISNUMBER(R100)),VLOOKUP(ABS(R97-R100),'IMP Table'!$A$2:$C$26,3)*SIGN(R97-R100),"")</f>
        <v/>
      </c>
      <c r="Z97">
        <f>IF(AND(ISNUMBER(S97),ISNUMBER(S94)),VLOOKUP(ABS(S97-S94),'IMP Table'!$A$2:$C$26,3)*SIGN(S97-S94),"")</f>
        <v/>
      </c>
      <c r="AA97">
        <f>IF(AND(ISNUMBER(S97),ISNUMBER(S95)),VLOOKUP(ABS(S97-S95),'IMP Table'!$A$2:$C$26,3)*SIGN(S97-S95),"")</f>
        <v/>
      </c>
      <c r="AB97">
        <f>IF(AND(ISNUMBER(S97),ISNUMBER(S96)),VLOOKUP(ABS(S97-S96),'IMP Table'!$A$2:$C$26,3)*SIGN(S97-S96),"")</f>
        <v/>
      </c>
      <c r="AC97">
        <f>IF(AND(ISNUMBER(S97),ISNUMBER(S98)),VLOOKUP(ABS(S97-S98),'IMP Table'!$A$2:$C$26,3)*SIGN(S97-S98),"")</f>
        <v/>
      </c>
      <c r="AD97">
        <f>IF(AND(ISNUMBER(S97),ISNUMBER(S99)),VLOOKUP(ABS(S97-S99),'IMP Table'!$A$2:$C$26,3)*SIGN(S97-S99),"")</f>
        <v/>
      </c>
      <c r="AE97">
        <f>IF(AND(ISNUMBER(S97),ISNUMBER(S100)),VLOOKUP(ABS(S97-S100),'IMP Table'!$A$2:$C$26,3)*SIGN(S97-S100),"")</f>
        <v/>
      </c>
      <c r="AF97">
        <f>IF(AND(ISNUMBER(R97),ISNUMBER(R94)),IF(R97&gt;R94,1,IF(R97=R94,0.5,0)),0.5)</f>
        <v/>
      </c>
      <c r="AG97">
        <f>IF(AND(ISNUMBER(R97),ISNUMBER(R95)),IF(R97&gt;R95,1,IF(R97=R95,0.5,0)),0.5)</f>
        <v/>
      </c>
      <c r="AH97">
        <f>IF(AND(ISNUMBER(R97),ISNUMBER(R96)),IF(R97&gt;R96,1,IF(R97=R96,0.5,0)),0.5)</f>
        <v/>
      </c>
      <c r="AI97">
        <f>IF(AND(ISNUMBER(R97),ISNUMBER(R98)),IF(R97&gt;R98,1,IF(R97=R98,0.5,0)),0.5)</f>
        <v/>
      </c>
      <c r="AJ97">
        <f>IF(AND(ISNUMBER(R97),ISNUMBER(R99)),IF(R97&gt;R99,1,IF(R97=R99,0.5,0)),0.5)</f>
        <v/>
      </c>
      <c r="AK97">
        <f>IF(AND(ISNUMBER(R97),ISNUMBER(R100)),IF(R97&gt;R100,1,IF(R97=R100,0.5,0)),0.5)</f>
        <v/>
      </c>
      <c r="AL97">
        <f>IF(AND(ISNUMBER(S97),ISNUMBER(S94)),IF(S97&gt;S94,1,IF(S97=S94,0.5,0)),0.5)</f>
        <v/>
      </c>
      <c r="AM97">
        <f>IF(AND(ISNUMBER(S97),ISNUMBER(S95)),IF(S97&gt;S95,1,IF(S97=S95,0.5,0)),0.5)</f>
        <v/>
      </c>
      <c r="AN97">
        <f>IF(AND(ISNUMBER(S97),ISNUMBER(S96)),IF(S97&gt;S96,1,IF(S97=S96,0.5,0)),0.5)</f>
        <v/>
      </c>
      <c r="AO97">
        <f>IF(AND(ISNUMBER(S97),ISNUMBER(S98)),IF(S97&gt;S98,1,IF(S97=S98,0.5,0)),0.5)</f>
        <v/>
      </c>
      <c r="AP97">
        <f>IF(AND(ISNUMBER(S97),ISNUMBER(S99)),IF(S97&gt;S99,1,IF(S97=S99,0.5,0)),0.5)</f>
        <v/>
      </c>
      <c r="AQ97">
        <f>IF(AND(ISNUMBER(S97),ISNUMBER(S100)),IF(S97&gt;S100,1,IF(S97=S100,0.5,0)),0.5)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4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5">
        <f>IFERROR(AVERAGE(T98:Y98),"")</f>
        <v/>
      </c>
      <c r="M98" s="4">
        <f>IFERROR(AVERAGE(Z98:AE98),"")</f>
        <v/>
      </c>
      <c r="N98" s="5">
        <f>P98/6</f>
        <v/>
      </c>
      <c r="O98" s="5">
        <f>Q98/6</f>
        <v/>
      </c>
      <c r="P98" s="4">
        <f>IFERROR(SUM(AF98:AK98),"")</f>
        <v/>
      </c>
      <c r="Q98" s="4">
        <f>IFERROR(SUM(AL98:AQ98),"")</f>
        <v/>
      </c>
      <c r="R98" s="16">
        <f>IF(ISNUMBER(J98),J98,IF(ISNUMBER(K98),-K98,""))</f>
        <v/>
      </c>
      <c r="S98">
        <f>IF(ISNUMBER(K98),K98,IF(ISNUMBER(J98),-J98,""))</f>
        <v/>
      </c>
      <c r="T98">
        <f>IF(AND(ISNUMBER(R98),ISNUMBER(R94)),VLOOKUP(ABS(R98-R94),'IMP Table'!$A$2:$C$26,3)*SIGN(R98-R94),"")</f>
        <v/>
      </c>
      <c r="U98">
        <f>IF(AND(ISNUMBER(R98),ISNUMBER(R95)),VLOOKUP(ABS(R98-R95),'IMP Table'!$A$2:$C$26,3)*SIGN(R98-R95),"")</f>
        <v/>
      </c>
      <c r="V98">
        <f>IF(AND(ISNUMBER(R98),ISNUMBER(R96)),VLOOKUP(ABS(R98-R96),'IMP Table'!$A$2:$C$26,3)*SIGN(R98-R96),"")</f>
        <v/>
      </c>
      <c r="W98">
        <f>IF(AND(ISNUMBER(R98),ISNUMBER(R97)),VLOOKUP(ABS(R98-R97),'IMP Table'!$A$2:$C$26,3)*SIGN(R98-R97),"")</f>
        <v/>
      </c>
      <c r="X98">
        <f>IF(AND(ISNUMBER(R98),ISNUMBER(R99)),VLOOKUP(ABS(R98-R99),'IMP Table'!$A$2:$C$26,3)*SIGN(R98-R99),"")</f>
        <v/>
      </c>
      <c r="Y98">
        <f>IF(AND(ISNUMBER(R98),ISNUMBER(R100)),VLOOKUP(ABS(R98-R100),'IMP Table'!$A$2:$C$26,3)*SIGN(R98-R100),"")</f>
        <v/>
      </c>
      <c r="Z98">
        <f>IF(AND(ISNUMBER(S98),ISNUMBER(S94)),VLOOKUP(ABS(S98-S94),'IMP Table'!$A$2:$C$26,3)*SIGN(S98-S94),"")</f>
        <v/>
      </c>
      <c r="AA98">
        <f>IF(AND(ISNUMBER(S98),ISNUMBER(S95)),VLOOKUP(ABS(S98-S95),'IMP Table'!$A$2:$C$26,3)*SIGN(S98-S95),"")</f>
        <v/>
      </c>
      <c r="AB98">
        <f>IF(AND(ISNUMBER(S98),ISNUMBER(S96)),VLOOKUP(ABS(S98-S96),'IMP Table'!$A$2:$C$26,3)*SIGN(S98-S96),"")</f>
        <v/>
      </c>
      <c r="AC98">
        <f>IF(AND(ISNUMBER(S98),ISNUMBER(S97)),VLOOKUP(ABS(S98-S97),'IMP Table'!$A$2:$C$26,3)*SIGN(S98-S97),"")</f>
        <v/>
      </c>
      <c r="AD98">
        <f>IF(AND(ISNUMBER(S98),ISNUMBER(S99)),VLOOKUP(ABS(S98-S99),'IMP Table'!$A$2:$C$26,3)*SIGN(S98-S99),"")</f>
        <v/>
      </c>
      <c r="AE98">
        <f>IF(AND(ISNUMBER(S98),ISNUMBER(S100)),VLOOKUP(ABS(S98-S100),'IMP Table'!$A$2:$C$26,3)*SIGN(S98-S100),"")</f>
        <v/>
      </c>
      <c r="AF98">
        <f>IF(AND(ISNUMBER(R98),ISNUMBER(R94)),IF(R98&gt;R94,1,IF(R98=R94,0.5,0)),0.5)</f>
        <v/>
      </c>
      <c r="AG98">
        <f>IF(AND(ISNUMBER(R98),ISNUMBER(R95)),IF(R98&gt;R95,1,IF(R98=R95,0.5,0)),0.5)</f>
        <v/>
      </c>
      <c r="AH98">
        <f>IF(AND(ISNUMBER(R98),ISNUMBER(R96)),IF(R98&gt;R96,1,IF(R98=R96,0.5,0)),0.5)</f>
        <v/>
      </c>
      <c r="AI98">
        <f>IF(AND(ISNUMBER(R98),ISNUMBER(R97)),IF(R98&gt;R97,1,IF(R98=R97,0.5,0)),0.5)</f>
        <v/>
      </c>
      <c r="AJ98">
        <f>IF(AND(ISNUMBER(R98),ISNUMBER(R99)),IF(R98&gt;R99,1,IF(R98=R99,0.5,0)),0.5)</f>
        <v/>
      </c>
      <c r="AK98">
        <f>IF(AND(ISNUMBER(R98),ISNUMBER(R100)),IF(R98&gt;R100,1,IF(R98=R100,0.5,0)),0.5)</f>
        <v/>
      </c>
      <c r="AL98">
        <f>IF(AND(ISNUMBER(S98),ISNUMBER(S94)),IF(S98&gt;S94,1,IF(S98=S94,0.5,0)),0.5)</f>
        <v/>
      </c>
      <c r="AM98">
        <f>IF(AND(ISNUMBER(S98),ISNUMBER(S95)),IF(S98&gt;S95,1,IF(S98=S95,0.5,0)),0.5)</f>
        <v/>
      </c>
      <c r="AN98">
        <f>IF(AND(ISNUMBER(S98),ISNUMBER(S96)),IF(S98&gt;S96,1,IF(S98=S96,0.5,0)),0.5)</f>
        <v/>
      </c>
      <c r="AO98">
        <f>IF(AND(ISNUMBER(S98),ISNUMBER(S97)),IF(S98&gt;S97,1,IF(S98=S97,0.5,0)),0.5)</f>
        <v/>
      </c>
      <c r="AP98">
        <f>IF(AND(ISNUMBER(S98),ISNUMBER(S99)),IF(S98&gt;S99,1,IF(S98=S99,0.5,0)),0.5)</f>
        <v/>
      </c>
      <c r="AQ98">
        <f>IF(AND(ISNUMBER(S98),ISNUMBER(S100)),IF(S98&gt;S100,1,IF(S98=S100,0.5,0)),0.5)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4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5">
        <f>IFERROR(AVERAGE(T99:Y99),"")</f>
        <v/>
      </c>
      <c r="M99" s="4">
        <f>IFERROR(AVERAGE(Z99:AE99),"")</f>
        <v/>
      </c>
      <c r="N99" s="5">
        <f>P99/6</f>
        <v/>
      </c>
      <c r="O99" s="5">
        <f>Q99/6</f>
        <v/>
      </c>
      <c r="P99" s="4">
        <f>IFERROR(SUM(AF99:AK99),"")</f>
        <v/>
      </c>
      <c r="Q99" s="4">
        <f>IFERROR(SUM(AL99:AQ99),"")</f>
        <v/>
      </c>
      <c r="R99" s="16">
        <f>IF(ISNUMBER(J99),J99,IF(ISNUMBER(K99),-K99,""))</f>
        <v/>
      </c>
      <c r="S99">
        <f>IF(ISNUMBER(K99),K99,IF(ISNUMBER(J99),-J99,""))</f>
        <v/>
      </c>
      <c r="T99">
        <f>IF(AND(ISNUMBER(R99),ISNUMBER(R94)),VLOOKUP(ABS(R99-R94),'IMP Table'!$A$2:$C$26,3)*SIGN(R99-R94),"")</f>
        <v/>
      </c>
      <c r="U99">
        <f>IF(AND(ISNUMBER(R99),ISNUMBER(R95)),VLOOKUP(ABS(R99-R95),'IMP Table'!$A$2:$C$26,3)*SIGN(R99-R95),"")</f>
        <v/>
      </c>
      <c r="V99">
        <f>IF(AND(ISNUMBER(R99),ISNUMBER(R96)),VLOOKUP(ABS(R99-R96),'IMP Table'!$A$2:$C$26,3)*SIGN(R99-R96),"")</f>
        <v/>
      </c>
      <c r="W99">
        <f>IF(AND(ISNUMBER(R99),ISNUMBER(R97)),VLOOKUP(ABS(R99-R97),'IMP Table'!$A$2:$C$26,3)*SIGN(R99-R97),"")</f>
        <v/>
      </c>
      <c r="X99">
        <f>IF(AND(ISNUMBER(R99),ISNUMBER(R98)),VLOOKUP(ABS(R99-R98),'IMP Table'!$A$2:$C$26,3)*SIGN(R99-R98),"")</f>
        <v/>
      </c>
      <c r="Y99">
        <f>IF(AND(ISNUMBER(R99),ISNUMBER(R100)),VLOOKUP(ABS(R99-R100),'IMP Table'!$A$2:$C$26,3)*SIGN(R99-R100),"")</f>
        <v/>
      </c>
      <c r="Z99">
        <f>IF(AND(ISNUMBER(S99),ISNUMBER(S94)),VLOOKUP(ABS(S99-S94),'IMP Table'!$A$2:$C$26,3)*SIGN(S99-S94),"")</f>
        <v/>
      </c>
      <c r="AA99">
        <f>IF(AND(ISNUMBER(S99),ISNUMBER(S95)),VLOOKUP(ABS(S99-S95),'IMP Table'!$A$2:$C$26,3)*SIGN(S99-S95),"")</f>
        <v/>
      </c>
      <c r="AB99">
        <f>IF(AND(ISNUMBER(S99),ISNUMBER(S96)),VLOOKUP(ABS(S99-S96),'IMP Table'!$A$2:$C$26,3)*SIGN(S99-S96),"")</f>
        <v/>
      </c>
      <c r="AC99">
        <f>IF(AND(ISNUMBER(S99),ISNUMBER(S97)),VLOOKUP(ABS(S99-S97),'IMP Table'!$A$2:$C$26,3)*SIGN(S99-S97),"")</f>
        <v/>
      </c>
      <c r="AD99">
        <f>IF(AND(ISNUMBER(S99),ISNUMBER(S98)),VLOOKUP(ABS(S99-S98),'IMP Table'!$A$2:$C$26,3)*SIGN(S99-S98),"")</f>
        <v/>
      </c>
      <c r="AE99">
        <f>IF(AND(ISNUMBER(S99),ISNUMBER(S100)),VLOOKUP(ABS(S99-S100),'IMP Table'!$A$2:$C$26,3)*SIGN(S99-S100),"")</f>
        <v/>
      </c>
      <c r="AF99">
        <f>IF(AND(ISNUMBER(R99),ISNUMBER(R94)),IF(R99&gt;R94,1,IF(R99=R94,0.5,0)),0.5)</f>
        <v/>
      </c>
      <c r="AG99">
        <f>IF(AND(ISNUMBER(R99),ISNUMBER(R95)),IF(R99&gt;R95,1,IF(R99=R95,0.5,0)),0.5)</f>
        <v/>
      </c>
      <c r="AH99">
        <f>IF(AND(ISNUMBER(R99),ISNUMBER(R96)),IF(R99&gt;R96,1,IF(R99=R96,0.5,0)),0.5)</f>
        <v/>
      </c>
      <c r="AI99">
        <f>IF(AND(ISNUMBER(R99),ISNUMBER(R97)),IF(R99&gt;R97,1,IF(R99=R97,0.5,0)),0.5)</f>
        <v/>
      </c>
      <c r="AJ99">
        <f>IF(AND(ISNUMBER(R99),ISNUMBER(R98)),IF(R99&gt;R98,1,IF(R99=R98,0.5,0)),0.5)</f>
        <v/>
      </c>
      <c r="AK99">
        <f>IF(AND(ISNUMBER(R99),ISNUMBER(R100)),IF(R99&gt;R100,1,IF(R99=R100,0.5,0)),0.5)</f>
        <v/>
      </c>
      <c r="AL99">
        <f>IF(AND(ISNUMBER(S99),ISNUMBER(S94)),IF(S99&gt;S94,1,IF(S99=S94,0.5,0)),0.5)</f>
        <v/>
      </c>
      <c r="AM99">
        <f>IF(AND(ISNUMBER(S99),ISNUMBER(S95)),IF(S99&gt;S95,1,IF(S99=S95,0.5,0)),0.5)</f>
        <v/>
      </c>
      <c r="AN99">
        <f>IF(AND(ISNUMBER(S99),ISNUMBER(S96)),IF(S99&gt;S96,1,IF(S99=S96,0.5,0)),0.5)</f>
        <v/>
      </c>
      <c r="AO99">
        <f>IF(AND(ISNUMBER(S99),ISNUMBER(S97)),IF(S99&gt;S97,1,IF(S99=S97,0.5,0)),0.5)</f>
        <v/>
      </c>
      <c r="AP99">
        <f>IF(AND(ISNUMBER(S99),ISNUMBER(S98)),IF(S99&gt;S98,1,IF(S99=S98,0.5,0)),0.5)</f>
        <v/>
      </c>
      <c r="AQ99">
        <f>IF(AND(ISNUMBER(S99),ISNUMBER(S100)),IF(S99&gt;S100,1,IF(S99=S100,0.5,0)),0.5)</f>
        <v/>
      </c>
    </row>
    <row r="100">
      <c r="A100" s="13" t="n"/>
      <c r="B100" s="13">
        <f>'By Round'!A143</f>
        <v/>
      </c>
      <c r="C100" s="13">
        <f>'By Round'!B151</f>
        <v/>
      </c>
      <c r="D100" s="13">
        <f>'By Round'!C151</f>
        <v/>
      </c>
      <c r="E100" s="13">
        <f>'By Round'!D151</f>
        <v/>
      </c>
      <c r="F100" s="17" t="inlineStr">
        <is>
          <t>None</t>
        </is>
      </c>
      <c r="G100" s="13">
        <f>IF(ISBLANK('By Round'!G151),"",'By Round'!G151)</f>
        <v/>
      </c>
      <c r="H100" s="13">
        <f>IF(ISBLANK('By Round'!H151),"",'By Round'!H151)</f>
        <v/>
      </c>
      <c r="I100" s="13">
        <f>IF(ISBLANK('By Round'!I151),"",'By Round'!I151)</f>
        <v/>
      </c>
      <c r="J100" s="13">
        <f>IF(ISBLANK('By Round'!J151),"",'By Round'!J151)</f>
        <v/>
      </c>
      <c r="K100" s="13">
        <f>IF(ISBLANK('By Round'!K151),"",'By Round'!K151)</f>
        <v/>
      </c>
      <c r="L100" s="18">
        <f>IFERROR(AVERAGE(T100:Y100),"")</f>
        <v/>
      </c>
      <c r="M100" s="19">
        <f>IFERROR(AVERAGE(Z100:AE100),"")</f>
        <v/>
      </c>
      <c r="N100" s="20">
        <f>P100/6</f>
        <v/>
      </c>
      <c r="O100" s="20">
        <f>Q100/6</f>
        <v/>
      </c>
      <c r="P100" s="19">
        <f>IFERROR(SUM(AF100:AK100),"")</f>
        <v/>
      </c>
      <c r="Q100" s="19">
        <f>IFERROR(SUM(AL100:AQ100),"")</f>
        <v/>
      </c>
      <c r="R100" s="21">
        <f>IF(ISNUMBER(J100),J100,IF(ISNUMBER(K100),-K100,""))</f>
        <v/>
      </c>
      <c r="S100" s="13">
        <f>IF(ISNUMBER(K100),K100,IF(ISNUMBER(J100),-J100,""))</f>
        <v/>
      </c>
      <c r="T100" s="13">
        <f>IF(AND(ISNUMBER(R100),ISNUMBER(R94)),VLOOKUP(ABS(R100-R94),'IMP Table'!$A$2:$C$26,3)*SIGN(R100-R94),"")</f>
        <v/>
      </c>
      <c r="U100" s="13">
        <f>IF(AND(ISNUMBER(R100),ISNUMBER(R95)),VLOOKUP(ABS(R100-R95),'IMP Table'!$A$2:$C$26,3)*SIGN(R100-R95),"")</f>
        <v/>
      </c>
      <c r="V100" s="13">
        <f>IF(AND(ISNUMBER(R100),ISNUMBER(R96)),VLOOKUP(ABS(R100-R96),'IMP Table'!$A$2:$C$26,3)*SIGN(R100-R96),"")</f>
        <v/>
      </c>
      <c r="W100" s="13">
        <f>IF(AND(ISNUMBER(R100),ISNUMBER(R97)),VLOOKUP(ABS(R100-R97),'IMP Table'!$A$2:$C$26,3)*SIGN(R100-R97),"")</f>
        <v/>
      </c>
      <c r="X100" s="13">
        <f>IF(AND(ISNUMBER(R100),ISNUMBER(R98)),VLOOKUP(ABS(R100-R98),'IMP Table'!$A$2:$C$26,3)*SIGN(R100-R98),"")</f>
        <v/>
      </c>
      <c r="Y100" s="13">
        <f>IF(AND(ISNUMBER(R100),ISNUMBER(R99)),VLOOKUP(ABS(R100-R99),'IMP Table'!$A$2:$C$26,3)*SIGN(R100-R99),"")</f>
        <v/>
      </c>
      <c r="Z100" s="13">
        <f>IF(AND(ISNUMBER(S100),ISNUMBER(S94)),VLOOKUP(ABS(S100-S94),'IMP Table'!$A$2:$C$26,3)*SIGN(S100-S94),"")</f>
        <v/>
      </c>
      <c r="AA100" s="13">
        <f>IF(AND(ISNUMBER(S100),ISNUMBER(S95)),VLOOKUP(ABS(S100-S95),'IMP Table'!$A$2:$C$26,3)*SIGN(S100-S95),"")</f>
        <v/>
      </c>
      <c r="AB100" s="13">
        <f>IF(AND(ISNUMBER(S100),ISNUMBER(S96)),VLOOKUP(ABS(S100-S96),'IMP Table'!$A$2:$C$26,3)*SIGN(S100-S96),"")</f>
        <v/>
      </c>
      <c r="AC100" s="13">
        <f>IF(AND(ISNUMBER(S100),ISNUMBER(S97)),VLOOKUP(ABS(S100-S97),'IMP Table'!$A$2:$C$26,3)*SIGN(S100-S97),"")</f>
        <v/>
      </c>
      <c r="AD100" s="13">
        <f>IF(AND(ISNUMBER(S100),ISNUMBER(S98)),VLOOKUP(ABS(S100-S98),'IMP Table'!$A$2:$C$26,3)*SIGN(S100-S98),"")</f>
        <v/>
      </c>
      <c r="AE100" s="13">
        <f>IF(AND(ISNUMBER(S100),ISNUMBER(S99)),VLOOKUP(ABS(S100-S99),'IMP Table'!$A$2:$C$26,3)*SIGN(S100-S99),"")</f>
        <v/>
      </c>
      <c r="AF100" s="13">
        <f>IF(AND(ISNUMBER(R100),ISNUMBER(R94)),IF(R100&gt;R94,1,IF(R100=R94,0.5,0)),0.5)</f>
        <v/>
      </c>
      <c r="AG100" s="13">
        <f>IF(AND(ISNUMBER(R100),ISNUMBER(R95)),IF(R100&gt;R95,1,IF(R100=R95,0.5,0)),0.5)</f>
        <v/>
      </c>
      <c r="AH100" s="13">
        <f>IF(AND(ISNUMBER(R100),ISNUMBER(R96)),IF(R100&gt;R96,1,IF(R100=R96,0.5,0)),0.5)</f>
        <v/>
      </c>
      <c r="AI100" s="13">
        <f>IF(AND(ISNUMBER(R100),ISNUMBER(R97)),IF(R100&gt;R97,1,IF(R100=R97,0.5,0)),0.5)</f>
        <v/>
      </c>
      <c r="AJ100" s="13">
        <f>IF(AND(ISNUMBER(R100),ISNUMBER(R98)),IF(R100&gt;R98,1,IF(R100=R98,0.5,0)),0.5)</f>
        <v/>
      </c>
      <c r="AK100" s="13">
        <f>IF(AND(ISNUMBER(R100),ISNUMBER(R99)),IF(R100&gt;R99,1,IF(R100=R99,0.5,0)),0.5)</f>
        <v/>
      </c>
      <c r="AL100" s="13">
        <f>IF(AND(ISNUMBER(S100),ISNUMBER(S94)),IF(S100&gt;S94,1,IF(S100=S94,0.5,0)),0.5)</f>
        <v/>
      </c>
      <c r="AM100" s="13">
        <f>IF(AND(ISNUMBER(S100),ISNUMBER(S95)),IF(S100&gt;S95,1,IF(S100=S95,0.5,0)),0.5)</f>
        <v/>
      </c>
      <c r="AN100" s="13">
        <f>IF(AND(ISNUMBER(S100),ISNUMBER(S96)),IF(S100&gt;S96,1,IF(S100=S96,0.5,0)),0.5)</f>
        <v/>
      </c>
      <c r="AO100" s="13">
        <f>IF(AND(ISNUMBER(S100),ISNUMBER(S97)),IF(S100&gt;S97,1,IF(S100=S97,0.5,0)),0.5)</f>
        <v/>
      </c>
      <c r="AP100" s="13">
        <f>IF(AND(ISNUMBER(S100),ISNUMBER(S98)),IF(S100&gt;S98,1,IF(S100=S98,0.5,0)),0.5)</f>
        <v/>
      </c>
      <c r="AQ100" s="13">
        <f>IF(AND(ISNUMBER(S100),ISNUMBER(S99)),IF(S100&gt;S99,1,IF(S100=S99,0.5,0)),0.5)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4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5">
        <f>IFERROR(AVERAGE(T101:Y101),"")</f>
        <v/>
      </c>
      <c r="M101" s="4">
        <f>IFERROR(AVERAGE(Z101:AE101),"")</f>
        <v/>
      </c>
      <c r="N101" s="5">
        <f>P101/6</f>
        <v/>
      </c>
      <c r="O101" s="5">
        <f>Q101/6</f>
        <v/>
      </c>
      <c r="P101" s="4">
        <f>IFERROR(SUM(AF101:AK101),"")</f>
        <v/>
      </c>
      <c r="Q101" s="4">
        <f>IFERROR(SUM(AL101:AQ101),"")</f>
        <v/>
      </c>
      <c r="R101" s="16">
        <f>IF(ISNUMBER(J101),J101,IF(ISNUMBER(K101),-K101,""))</f>
        <v/>
      </c>
      <c r="S101">
        <f>IF(ISNUMBER(K101),K101,IF(ISNUMBER(J101),-J101,""))</f>
        <v/>
      </c>
      <c r="T101">
        <f>IF(AND(ISNUMBER(R101),ISNUMBER(R102)),VLOOKUP(ABS(R101-R102),'IMP Table'!$A$2:$C$26,3)*SIGN(R101-R102),"")</f>
        <v/>
      </c>
      <c r="U101">
        <f>IF(AND(ISNUMBER(R101),ISNUMBER(R103)),VLOOKUP(ABS(R101-R103),'IMP Table'!$A$2:$C$26,3)*SIGN(R101-R103),"")</f>
        <v/>
      </c>
      <c r="V101">
        <f>IF(AND(ISNUMBER(R101),ISNUMBER(R104)),VLOOKUP(ABS(R101-R104),'IMP Table'!$A$2:$C$26,3)*SIGN(R101-R104),"")</f>
        <v/>
      </c>
      <c r="W101">
        <f>IF(AND(ISNUMBER(R101),ISNUMBER(R105)),VLOOKUP(ABS(R101-R105),'IMP Table'!$A$2:$C$26,3)*SIGN(R101-R105),"")</f>
        <v/>
      </c>
      <c r="X101">
        <f>IF(AND(ISNUMBER(R101),ISNUMBER(R106)),VLOOKUP(ABS(R101-R106),'IMP Table'!$A$2:$C$26,3)*SIGN(R101-R106),"")</f>
        <v/>
      </c>
      <c r="Y101">
        <f>IF(AND(ISNUMBER(R101),ISNUMBER(R107)),VLOOKUP(ABS(R101-R107),'IMP Table'!$A$2:$C$26,3)*SIGN(R101-R107),"")</f>
        <v/>
      </c>
      <c r="Z101">
        <f>IF(AND(ISNUMBER(S101),ISNUMBER(S102)),VLOOKUP(ABS(S101-S102),'IMP Table'!$A$2:$C$26,3)*SIGN(S101-S102),"")</f>
        <v/>
      </c>
      <c r="AA101">
        <f>IF(AND(ISNUMBER(S101),ISNUMBER(S103)),VLOOKUP(ABS(S101-S103),'IMP Table'!$A$2:$C$26,3)*SIGN(S101-S103),"")</f>
        <v/>
      </c>
      <c r="AB101">
        <f>IF(AND(ISNUMBER(S101),ISNUMBER(S104)),VLOOKUP(ABS(S101-S104),'IMP Table'!$A$2:$C$26,3)*SIGN(S101-S104),"")</f>
        <v/>
      </c>
      <c r="AC101">
        <f>IF(AND(ISNUMBER(S101),ISNUMBER(S105)),VLOOKUP(ABS(S101-S105),'IMP Table'!$A$2:$C$26,3)*SIGN(S101-S105),"")</f>
        <v/>
      </c>
      <c r="AD101">
        <f>IF(AND(ISNUMBER(S101),ISNUMBER(S106)),VLOOKUP(ABS(S101-S106),'IMP Table'!$A$2:$C$26,3)*SIGN(S101-S106),"")</f>
        <v/>
      </c>
      <c r="AE101">
        <f>IF(AND(ISNUMBER(S101),ISNUMBER(S107)),VLOOKUP(ABS(S101-S107),'IMP Table'!$A$2:$C$26,3)*SIGN(S101-S107),"")</f>
        <v/>
      </c>
      <c r="AF101">
        <f>IF(AND(ISNUMBER(R101),ISNUMBER(R102)),IF(R101&gt;R102,1,IF(R101=R102,0.5,0)),0.5)</f>
        <v/>
      </c>
      <c r="AG101">
        <f>IF(AND(ISNUMBER(R101),ISNUMBER(R103)),IF(R101&gt;R103,1,IF(R101=R103,0.5,0)),0.5)</f>
        <v/>
      </c>
      <c r="AH101">
        <f>IF(AND(ISNUMBER(R101),ISNUMBER(R104)),IF(R101&gt;R104,1,IF(R101=R104,0.5,0)),0.5)</f>
        <v/>
      </c>
      <c r="AI101">
        <f>IF(AND(ISNUMBER(R101),ISNUMBER(R105)),IF(R101&gt;R105,1,IF(R101=R105,0.5,0)),0.5)</f>
        <v/>
      </c>
      <c r="AJ101">
        <f>IF(AND(ISNUMBER(R101),ISNUMBER(R106)),IF(R101&gt;R106,1,IF(R101=R106,0.5,0)),0.5)</f>
        <v/>
      </c>
      <c r="AK101">
        <f>IF(AND(ISNUMBER(R101),ISNUMBER(R107)),IF(R101&gt;R107,1,IF(R101=R107,0.5,0)),0.5)</f>
        <v/>
      </c>
      <c r="AL101">
        <f>IF(AND(ISNUMBER(S101),ISNUMBER(S102)),IF(S101&gt;S102,1,IF(S101=S102,0.5,0)),0.5)</f>
        <v/>
      </c>
      <c r="AM101">
        <f>IF(AND(ISNUMBER(S101),ISNUMBER(S103)),IF(S101&gt;S103,1,IF(S101=S103,0.5,0)),0.5)</f>
        <v/>
      </c>
      <c r="AN101">
        <f>IF(AND(ISNUMBER(S101),ISNUMBER(S104)),IF(S101&gt;S104,1,IF(S101=S104,0.5,0)),0.5)</f>
        <v/>
      </c>
      <c r="AO101">
        <f>IF(AND(ISNUMBER(S101),ISNUMBER(S105)),IF(S101&gt;S105,1,IF(S101=S105,0.5,0)),0.5)</f>
        <v/>
      </c>
      <c r="AP101">
        <f>IF(AND(ISNUMBER(S101),ISNUMBER(S106)),IF(S101&gt;S106,1,IF(S101=S106,0.5,0)),0.5)</f>
        <v/>
      </c>
      <c r="AQ101">
        <f>IF(AND(ISNUMBER(S101),ISNUMBER(S107)),IF(S101&gt;S107,1,IF(S101=S107,0.5,0)),0.5)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4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5">
        <f>IFERROR(AVERAGE(T102:Y102),"")</f>
        <v/>
      </c>
      <c r="M102" s="4">
        <f>IFERROR(AVERAGE(Z102:AE102),"")</f>
        <v/>
      </c>
      <c r="N102" s="5">
        <f>P102/6</f>
        <v/>
      </c>
      <c r="O102" s="5">
        <f>Q102/6</f>
        <v/>
      </c>
      <c r="P102" s="4">
        <f>IFERROR(SUM(AF102:AK102),"")</f>
        <v/>
      </c>
      <c r="Q102" s="4">
        <f>IFERROR(SUM(AL102:AQ102),"")</f>
        <v/>
      </c>
      <c r="R102" s="16">
        <f>IF(ISNUMBER(J102),J102,IF(ISNUMBER(K102),-K102,""))</f>
        <v/>
      </c>
      <c r="S102">
        <f>IF(ISNUMBER(K102),K102,IF(ISNUMBER(J102),-J102,""))</f>
        <v/>
      </c>
      <c r="T102">
        <f>IF(AND(ISNUMBER(R102),ISNUMBER(R101)),VLOOKUP(ABS(R102-R101),'IMP Table'!$A$2:$C$26,3)*SIGN(R102-R101),"")</f>
        <v/>
      </c>
      <c r="U102">
        <f>IF(AND(ISNUMBER(R102),ISNUMBER(R103)),VLOOKUP(ABS(R102-R103),'IMP Table'!$A$2:$C$26,3)*SIGN(R102-R103),"")</f>
        <v/>
      </c>
      <c r="V102">
        <f>IF(AND(ISNUMBER(R102),ISNUMBER(R104)),VLOOKUP(ABS(R102-R104),'IMP Table'!$A$2:$C$26,3)*SIGN(R102-R104),"")</f>
        <v/>
      </c>
      <c r="W102">
        <f>IF(AND(ISNUMBER(R102),ISNUMBER(R105)),VLOOKUP(ABS(R102-R105),'IMP Table'!$A$2:$C$26,3)*SIGN(R102-R105),"")</f>
        <v/>
      </c>
      <c r="X102">
        <f>IF(AND(ISNUMBER(R102),ISNUMBER(R106)),VLOOKUP(ABS(R102-R106),'IMP Table'!$A$2:$C$26,3)*SIGN(R102-R106),"")</f>
        <v/>
      </c>
      <c r="Y102">
        <f>IF(AND(ISNUMBER(R102),ISNUMBER(R107)),VLOOKUP(ABS(R102-R107),'IMP Table'!$A$2:$C$26,3)*SIGN(R102-R107),"")</f>
        <v/>
      </c>
      <c r="Z102">
        <f>IF(AND(ISNUMBER(S102),ISNUMBER(S101)),VLOOKUP(ABS(S102-S101),'IMP Table'!$A$2:$C$26,3)*SIGN(S102-S101),"")</f>
        <v/>
      </c>
      <c r="AA102">
        <f>IF(AND(ISNUMBER(S102),ISNUMBER(S103)),VLOOKUP(ABS(S102-S103),'IMP Table'!$A$2:$C$26,3)*SIGN(S102-S103),"")</f>
        <v/>
      </c>
      <c r="AB102">
        <f>IF(AND(ISNUMBER(S102),ISNUMBER(S104)),VLOOKUP(ABS(S102-S104),'IMP Table'!$A$2:$C$26,3)*SIGN(S102-S104),"")</f>
        <v/>
      </c>
      <c r="AC102">
        <f>IF(AND(ISNUMBER(S102),ISNUMBER(S105)),VLOOKUP(ABS(S102-S105),'IMP Table'!$A$2:$C$26,3)*SIGN(S102-S105),"")</f>
        <v/>
      </c>
      <c r="AD102">
        <f>IF(AND(ISNUMBER(S102),ISNUMBER(S106)),VLOOKUP(ABS(S102-S106),'IMP Table'!$A$2:$C$26,3)*SIGN(S102-S106),"")</f>
        <v/>
      </c>
      <c r="AE102">
        <f>IF(AND(ISNUMBER(S102),ISNUMBER(S107)),VLOOKUP(ABS(S102-S107),'IMP Table'!$A$2:$C$26,3)*SIGN(S102-S107),"")</f>
        <v/>
      </c>
      <c r="AF102">
        <f>IF(AND(ISNUMBER(R102),ISNUMBER(R101)),IF(R102&gt;R101,1,IF(R102=R101,0.5,0)),0.5)</f>
        <v/>
      </c>
      <c r="AG102">
        <f>IF(AND(ISNUMBER(R102),ISNUMBER(R103)),IF(R102&gt;R103,1,IF(R102=R103,0.5,0)),0.5)</f>
        <v/>
      </c>
      <c r="AH102">
        <f>IF(AND(ISNUMBER(R102),ISNUMBER(R104)),IF(R102&gt;R104,1,IF(R102=R104,0.5,0)),0.5)</f>
        <v/>
      </c>
      <c r="AI102">
        <f>IF(AND(ISNUMBER(R102),ISNUMBER(R105)),IF(R102&gt;R105,1,IF(R102=R105,0.5,0)),0.5)</f>
        <v/>
      </c>
      <c r="AJ102">
        <f>IF(AND(ISNUMBER(R102),ISNUMBER(R106)),IF(R102&gt;R106,1,IF(R102=R106,0.5,0)),0.5)</f>
        <v/>
      </c>
      <c r="AK102">
        <f>IF(AND(ISNUMBER(R102),ISNUMBER(R107)),IF(R102&gt;R107,1,IF(R102=R107,0.5,0)),0.5)</f>
        <v/>
      </c>
      <c r="AL102">
        <f>IF(AND(ISNUMBER(S102),ISNUMBER(S101)),IF(S102&gt;S101,1,IF(S102=S101,0.5,0)),0.5)</f>
        <v/>
      </c>
      <c r="AM102">
        <f>IF(AND(ISNUMBER(S102),ISNUMBER(S103)),IF(S102&gt;S103,1,IF(S102=S103,0.5,0)),0.5)</f>
        <v/>
      </c>
      <c r="AN102">
        <f>IF(AND(ISNUMBER(S102),ISNUMBER(S104)),IF(S102&gt;S104,1,IF(S102=S104,0.5,0)),0.5)</f>
        <v/>
      </c>
      <c r="AO102">
        <f>IF(AND(ISNUMBER(S102),ISNUMBER(S105)),IF(S102&gt;S105,1,IF(S102=S105,0.5,0)),0.5)</f>
        <v/>
      </c>
      <c r="AP102">
        <f>IF(AND(ISNUMBER(S102),ISNUMBER(S106)),IF(S102&gt;S106,1,IF(S102=S106,0.5,0)),0.5)</f>
        <v/>
      </c>
      <c r="AQ102">
        <f>IF(AND(ISNUMBER(S102),ISNUMBER(S107)),IF(S102&gt;S107,1,IF(S102=S107,0.5,0)),0.5)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4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5">
        <f>IFERROR(AVERAGE(T103:Y103),"")</f>
        <v/>
      </c>
      <c r="M103" s="4">
        <f>IFERROR(AVERAGE(Z103:AE103),"")</f>
        <v/>
      </c>
      <c r="N103" s="5">
        <f>P103/6</f>
        <v/>
      </c>
      <c r="O103" s="5">
        <f>Q103/6</f>
        <v/>
      </c>
      <c r="P103" s="4">
        <f>IFERROR(SUM(AF103:AK103),"")</f>
        <v/>
      </c>
      <c r="Q103" s="4">
        <f>IFERROR(SUM(AL103:AQ103),"")</f>
        <v/>
      </c>
      <c r="R103" s="16">
        <f>IF(ISNUMBER(J103),J103,IF(ISNUMBER(K103),-K103,""))</f>
        <v/>
      </c>
      <c r="S103">
        <f>IF(ISNUMBER(K103),K103,IF(ISNUMBER(J103),-J103,""))</f>
        <v/>
      </c>
      <c r="T103">
        <f>IF(AND(ISNUMBER(R103),ISNUMBER(R101)),VLOOKUP(ABS(R103-R101),'IMP Table'!$A$2:$C$26,3)*SIGN(R103-R101),"")</f>
        <v/>
      </c>
      <c r="U103">
        <f>IF(AND(ISNUMBER(R103),ISNUMBER(R102)),VLOOKUP(ABS(R103-R102),'IMP Table'!$A$2:$C$26,3)*SIGN(R103-R102),"")</f>
        <v/>
      </c>
      <c r="V103">
        <f>IF(AND(ISNUMBER(R103),ISNUMBER(R104)),VLOOKUP(ABS(R103-R104),'IMP Table'!$A$2:$C$26,3)*SIGN(R103-R104),"")</f>
        <v/>
      </c>
      <c r="W103">
        <f>IF(AND(ISNUMBER(R103),ISNUMBER(R105)),VLOOKUP(ABS(R103-R105),'IMP Table'!$A$2:$C$26,3)*SIGN(R103-R105),"")</f>
        <v/>
      </c>
      <c r="X103">
        <f>IF(AND(ISNUMBER(R103),ISNUMBER(R106)),VLOOKUP(ABS(R103-R106),'IMP Table'!$A$2:$C$26,3)*SIGN(R103-R106),"")</f>
        <v/>
      </c>
      <c r="Y103">
        <f>IF(AND(ISNUMBER(R103),ISNUMBER(R107)),VLOOKUP(ABS(R103-R107),'IMP Table'!$A$2:$C$26,3)*SIGN(R103-R107),"")</f>
        <v/>
      </c>
      <c r="Z103">
        <f>IF(AND(ISNUMBER(S103),ISNUMBER(S101)),VLOOKUP(ABS(S103-S101),'IMP Table'!$A$2:$C$26,3)*SIGN(S103-S101),"")</f>
        <v/>
      </c>
      <c r="AA103">
        <f>IF(AND(ISNUMBER(S103),ISNUMBER(S102)),VLOOKUP(ABS(S103-S102),'IMP Table'!$A$2:$C$26,3)*SIGN(S103-S102),"")</f>
        <v/>
      </c>
      <c r="AB103">
        <f>IF(AND(ISNUMBER(S103),ISNUMBER(S104)),VLOOKUP(ABS(S103-S104),'IMP Table'!$A$2:$C$26,3)*SIGN(S103-S104),"")</f>
        <v/>
      </c>
      <c r="AC103">
        <f>IF(AND(ISNUMBER(S103),ISNUMBER(S105)),VLOOKUP(ABS(S103-S105),'IMP Table'!$A$2:$C$26,3)*SIGN(S103-S105),"")</f>
        <v/>
      </c>
      <c r="AD103">
        <f>IF(AND(ISNUMBER(S103),ISNUMBER(S106)),VLOOKUP(ABS(S103-S106),'IMP Table'!$A$2:$C$26,3)*SIGN(S103-S106),"")</f>
        <v/>
      </c>
      <c r="AE103">
        <f>IF(AND(ISNUMBER(S103),ISNUMBER(S107)),VLOOKUP(ABS(S103-S107),'IMP Table'!$A$2:$C$26,3)*SIGN(S103-S107),"")</f>
        <v/>
      </c>
      <c r="AF103">
        <f>IF(AND(ISNUMBER(R103),ISNUMBER(R101)),IF(R103&gt;R101,1,IF(R103=R101,0.5,0)),0.5)</f>
        <v/>
      </c>
      <c r="AG103">
        <f>IF(AND(ISNUMBER(R103),ISNUMBER(R102)),IF(R103&gt;R102,1,IF(R103=R102,0.5,0)),0.5)</f>
        <v/>
      </c>
      <c r="AH103">
        <f>IF(AND(ISNUMBER(R103),ISNUMBER(R104)),IF(R103&gt;R104,1,IF(R103=R104,0.5,0)),0.5)</f>
        <v/>
      </c>
      <c r="AI103">
        <f>IF(AND(ISNUMBER(R103),ISNUMBER(R105)),IF(R103&gt;R105,1,IF(R103=R105,0.5,0)),0.5)</f>
        <v/>
      </c>
      <c r="AJ103">
        <f>IF(AND(ISNUMBER(R103),ISNUMBER(R106)),IF(R103&gt;R106,1,IF(R103=R106,0.5,0)),0.5)</f>
        <v/>
      </c>
      <c r="AK103">
        <f>IF(AND(ISNUMBER(R103),ISNUMBER(R107)),IF(R103&gt;R107,1,IF(R103=R107,0.5,0)),0.5)</f>
        <v/>
      </c>
      <c r="AL103">
        <f>IF(AND(ISNUMBER(S103),ISNUMBER(S101)),IF(S103&gt;S101,1,IF(S103=S101,0.5,0)),0.5)</f>
        <v/>
      </c>
      <c r="AM103">
        <f>IF(AND(ISNUMBER(S103),ISNUMBER(S102)),IF(S103&gt;S102,1,IF(S103=S102,0.5,0)),0.5)</f>
        <v/>
      </c>
      <c r="AN103">
        <f>IF(AND(ISNUMBER(S103),ISNUMBER(S104)),IF(S103&gt;S104,1,IF(S103=S104,0.5,0)),0.5)</f>
        <v/>
      </c>
      <c r="AO103">
        <f>IF(AND(ISNUMBER(S103),ISNUMBER(S105)),IF(S103&gt;S105,1,IF(S103=S105,0.5,0)),0.5)</f>
        <v/>
      </c>
      <c r="AP103">
        <f>IF(AND(ISNUMBER(S103),ISNUMBER(S106)),IF(S103&gt;S106,1,IF(S103=S106,0.5,0)),0.5)</f>
        <v/>
      </c>
      <c r="AQ103">
        <f>IF(AND(ISNUMBER(S103),ISNUMBER(S107)),IF(S103&gt;S107,1,IF(S103=S107,0.5,0)),0.5)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4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5">
        <f>IFERROR(AVERAGE(T104:Y104),"")</f>
        <v/>
      </c>
      <c r="M104" s="4">
        <f>IFERROR(AVERAGE(Z104:AE104),"")</f>
        <v/>
      </c>
      <c r="N104" s="5">
        <f>P104/6</f>
        <v/>
      </c>
      <c r="O104" s="5">
        <f>Q104/6</f>
        <v/>
      </c>
      <c r="P104" s="4">
        <f>IFERROR(SUM(AF104:AK104),"")</f>
        <v/>
      </c>
      <c r="Q104" s="4">
        <f>IFERROR(SUM(AL104:AQ104),"")</f>
        <v/>
      </c>
      <c r="R104" s="16">
        <f>IF(ISNUMBER(J104),J104,IF(ISNUMBER(K104),-K104,""))</f>
        <v/>
      </c>
      <c r="S104">
        <f>IF(ISNUMBER(K104),K104,IF(ISNUMBER(J104),-J104,""))</f>
        <v/>
      </c>
      <c r="T104">
        <f>IF(AND(ISNUMBER(R104),ISNUMBER(R101)),VLOOKUP(ABS(R104-R101),'IMP Table'!$A$2:$C$26,3)*SIGN(R104-R101),"")</f>
        <v/>
      </c>
      <c r="U104">
        <f>IF(AND(ISNUMBER(R104),ISNUMBER(R102)),VLOOKUP(ABS(R104-R102),'IMP Table'!$A$2:$C$26,3)*SIGN(R104-R102),"")</f>
        <v/>
      </c>
      <c r="V104">
        <f>IF(AND(ISNUMBER(R104),ISNUMBER(R103)),VLOOKUP(ABS(R104-R103),'IMP Table'!$A$2:$C$26,3)*SIGN(R104-R103),"")</f>
        <v/>
      </c>
      <c r="W104">
        <f>IF(AND(ISNUMBER(R104),ISNUMBER(R105)),VLOOKUP(ABS(R104-R105),'IMP Table'!$A$2:$C$26,3)*SIGN(R104-R105),"")</f>
        <v/>
      </c>
      <c r="X104">
        <f>IF(AND(ISNUMBER(R104),ISNUMBER(R106)),VLOOKUP(ABS(R104-R106),'IMP Table'!$A$2:$C$26,3)*SIGN(R104-R106),"")</f>
        <v/>
      </c>
      <c r="Y104">
        <f>IF(AND(ISNUMBER(R104),ISNUMBER(R107)),VLOOKUP(ABS(R104-R107),'IMP Table'!$A$2:$C$26,3)*SIGN(R104-R107),"")</f>
        <v/>
      </c>
      <c r="Z104">
        <f>IF(AND(ISNUMBER(S104),ISNUMBER(S101)),VLOOKUP(ABS(S104-S101),'IMP Table'!$A$2:$C$26,3)*SIGN(S104-S101),"")</f>
        <v/>
      </c>
      <c r="AA104">
        <f>IF(AND(ISNUMBER(S104),ISNUMBER(S102)),VLOOKUP(ABS(S104-S102),'IMP Table'!$A$2:$C$26,3)*SIGN(S104-S102),"")</f>
        <v/>
      </c>
      <c r="AB104">
        <f>IF(AND(ISNUMBER(S104),ISNUMBER(S103)),VLOOKUP(ABS(S104-S103),'IMP Table'!$A$2:$C$26,3)*SIGN(S104-S103),"")</f>
        <v/>
      </c>
      <c r="AC104">
        <f>IF(AND(ISNUMBER(S104),ISNUMBER(S105)),VLOOKUP(ABS(S104-S105),'IMP Table'!$A$2:$C$26,3)*SIGN(S104-S105),"")</f>
        <v/>
      </c>
      <c r="AD104">
        <f>IF(AND(ISNUMBER(S104),ISNUMBER(S106)),VLOOKUP(ABS(S104-S106),'IMP Table'!$A$2:$C$26,3)*SIGN(S104-S106),"")</f>
        <v/>
      </c>
      <c r="AE104">
        <f>IF(AND(ISNUMBER(S104),ISNUMBER(S107)),VLOOKUP(ABS(S104-S107),'IMP Table'!$A$2:$C$26,3)*SIGN(S104-S107),"")</f>
        <v/>
      </c>
      <c r="AF104">
        <f>IF(AND(ISNUMBER(R104),ISNUMBER(R101)),IF(R104&gt;R101,1,IF(R104=R101,0.5,0)),0.5)</f>
        <v/>
      </c>
      <c r="AG104">
        <f>IF(AND(ISNUMBER(R104),ISNUMBER(R102)),IF(R104&gt;R102,1,IF(R104=R102,0.5,0)),0.5)</f>
        <v/>
      </c>
      <c r="AH104">
        <f>IF(AND(ISNUMBER(R104),ISNUMBER(R103)),IF(R104&gt;R103,1,IF(R104=R103,0.5,0)),0.5)</f>
        <v/>
      </c>
      <c r="AI104">
        <f>IF(AND(ISNUMBER(R104),ISNUMBER(R105)),IF(R104&gt;R105,1,IF(R104=R105,0.5,0)),0.5)</f>
        <v/>
      </c>
      <c r="AJ104">
        <f>IF(AND(ISNUMBER(R104),ISNUMBER(R106)),IF(R104&gt;R106,1,IF(R104=R106,0.5,0)),0.5)</f>
        <v/>
      </c>
      <c r="AK104">
        <f>IF(AND(ISNUMBER(R104),ISNUMBER(R107)),IF(R104&gt;R107,1,IF(R104=R107,0.5,0)),0.5)</f>
        <v/>
      </c>
      <c r="AL104">
        <f>IF(AND(ISNUMBER(S104),ISNUMBER(S101)),IF(S104&gt;S101,1,IF(S104=S101,0.5,0)),0.5)</f>
        <v/>
      </c>
      <c r="AM104">
        <f>IF(AND(ISNUMBER(S104),ISNUMBER(S102)),IF(S104&gt;S102,1,IF(S104=S102,0.5,0)),0.5)</f>
        <v/>
      </c>
      <c r="AN104">
        <f>IF(AND(ISNUMBER(S104),ISNUMBER(S103)),IF(S104&gt;S103,1,IF(S104=S103,0.5,0)),0.5)</f>
        <v/>
      </c>
      <c r="AO104">
        <f>IF(AND(ISNUMBER(S104),ISNUMBER(S105)),IF(S104&gt;S105,1,IF(S104=S105,0.5,0)),0.5)</f>
        <v/>
      </c>
      <c r="AP104">
        <f>IF(AND(ISNUMBER(S104),ISNUMBER(S106)),IF(S104&gt;S106,1,IF(S104=S106,0.5,0)),0.5)</f>
        <v/>
      </c>
      <c r="AQ104">
        <f>IF(AND(ISNUMBER(S104),ISNUMBER(S107)),IF(S104&gt;S107,1,IF(S104=S107,0.5,0)),0.5)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4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5">
        <f>IFERROR(AVERAGE(T105:Y105),"")</f>
        <v/>
      </c>
      <c r="M105" s="4">
        <f>IFERROR(AVERAGE(Z105:AE105),"")</f>
        <v/>
      </c>
      <c r="N105" s="5">
        <f>P105/6</f>
        <v/>
      </c>
      <c r="O105" s="5">
        <f>Q105/6</f>
        <v/>
      </c>
      <c r="P105" s="4">
        <f>IFERROR(SUM(AF105:AK105),"")</f>
        <v/>
      </c>
      <c r="Q105" s="4">
        <f>IFERROR(SUM(AL105:AQ105),"")</f>
        <v/>
      </c>
      <c r="R105" s="16">
        <f>IF(ISNUMBER(J105),J105,IF(ISNUMBER(K105),-K105,""))</f>
        <v/>
      </c>
      <c r="S105">
        <f>IF(ISNUMBER(K105),K105,IF(ISNUMBER(J105),-J105,""))</f>
        <v/>
      </c>
      <c r="T105">
        <f>IF(AND(ISNUMBER(R105),ISNUMBER(R101)),VLOOKUP(ABS(R105-R101),'IMP Table'!$A$2:$C$26,3)*SIGN(R105-R101),"")</f>
        <v/>
      </c>
      <c r="U105">
        <f>IF(AND(ISNUMBER(R105),ISNUMBER(R102)),VLOOKUP(ABS(R105-R102),'IMP Table'!$A$2:$C$26,3)*SIGN(R105-R102),"")</f>
        <v/>
      </c>
      <c r="V105">
        <f>IF(AND(ISNUMBER(R105),ISNUMBER(R103)),VLOOKUP(ABS(R105-R103),'IMP Table'!$A$2:$C$26,3)*SIGN(R105-R103),"")</f>
        <v/>
      </c>
      <c r="W105">
        <f>IF(AND(ISNUMBER(R105),ISNUMBER(R104)),VLOOKUP(ABS(R105-R104),'IMP Table'!$A$2:$C$26,3)*SIGN(R105-R104),"")</f>
        <v/>
      </c>
      <c r="X105">
        <f>IF(AND(ISNUMBER(R105),ISNUMBER(R106)),VLOOKUP(ABS(R105-R106),'IMP Table'!$A$2:$C$26,3)*SIGN(R105-R106),"")</f>
        <v/>
      </c>
      <c r="Y105">
        <f>IF(AND(ISNUMBER(R105),ISNUMBER(R107)),VLOOKUP(ABS(R105-R107),'IMP Table'!$A$2:$C$26,3)*SIGN(R105-R107),"")</f>
        <v/>
      </c>
      <c r="Z105">
        <f>IF(AND(ISNUMBER(S105),ISNUMBER(S101)),VLOOKUP(ABS(S105-S101),'IMP Table'!$A$2:$C$26,3)*SIGN(S105-S101),"")</f>
        <v/>
      </c>
      <c r="AA105">
        <f>IF(AND(ISNUMBER(S105),ISNUMBER(S102)),VLOOKUP(ABS(S105-S102),'IMP Table'!$A$2:$C$26,3)*SIGN(S105-S102),"")</f>
        <v/>
      </c>
      <c r="AB105">
        <f>IF(AND(ISNUMBER(S105),ISNUMBER(S103)),VLOOKUP(ABS(S105-S103),'IMP Table'!$A$2:$C$26,3)*SIGN(S105-S103),"")</f>
        <v/>
      </c>
      <c r="AC105">
        <f>IF(AND(ISNUMBER(S105),ISNUMBER(S104)),VLOOKUP(ABS(S105-S104),'IMP Table'!$A$2:$C$26,3)*SIGN(S105-S104),"")</f>
        <v/>
      </c>
      <c r="AD105">
        <f>IF(AND(ISNUMBER(S105),ISNUMBER(S106)),VLOOKUP(ABS(S105-S106),'IMP Table'!$A$2:$C$26,3)*SIGN(S105-S106),"")</f>
        <v/>
      </c>
      <c r="AE105">
        <f>IF(AND(ISNUMBER(S105),ISNUMBER(S107)),VLOOKUP(ABS(S105-S107),'IMP Table'!$A$2:$C$26,3)*SIGN(S105-S107),"")</f>
        <v/>
      </c>
      <c r="AF105">
        <f>IF(AND(ISNUMBER(R105),ISNUMBER(R101)),IF(R105&gt;R101,1,IF(R105=R101,0.5,0)),0.5)</f>
        <v/>
      </c>
      <c r="AG105">
        <f>IF(AND(ISNUMBER(R105),ISNUMBER(R102)),IF(R105&gt;R102,1,IF(R105=R102,0.5,0)),0.5)</f>
        <v/>
      </c>
      <c r="AH105">
        <f>IF(AND(ISNUMBER(R105),ISNUMBER(R103)),IF(R105&gt;R103,1,IF(R105=R103,0.5,0)),0.5)</f>
        <v/>
      </c>
      <c r="AI105">
        <f>IF(AND(ISNUMBER(R105),ISNUMBER(R104)),IF(R105&gt;R104,1,IF(R105=R104,0.5,0)),0.5)</f>
        <v/>
      </c>
      <c r="AJ105">
        <f>IF(AND(ISNUMBER(R105),ISNUMBER(R106)),IF(R105&gt;R106,1,IF(R105=R106,0.5,0)),0.5)</f>
        <v/>
      </c>
      <c r="AK105">
        <f>IF(AND(ISNUMBER(R105),ISNUMBER(R107)),IF(R105&gt;R107,1,IF(R105=R107,0.5,0)),0.5)</f>
        <v/>
      </c>
      <c r="AL105">
        <f>IF(AND(ISNUMBER(S105),ISNUMBER(S101)),IF(S105&gt;S101,1,IF(S105=S101,0.5,0)),0.5)</f>
        <v/>
      </c>
      <c r="AM105">
        <f>IF(AND(ISNUMBER(S105),ISNUMBER(S102)),IF(S105&gt;S102,1,IF(S105=S102,0.5,0)),0.5)</f>
        <v/>
      </c>
      <c r="AN105">
        <f>IF(AND(ISNUMBER(S105),ISNUMBER(S103)),IF(S105&gt;S103,1,IF(S105=S103,0.5,0)),0.5)</f>
        <v/>
      </c>
      <c r="AO105">
        <f>IF(AND(ISNUMBER(S105),ISNUMBER(S104)),IF(S105&gt;S104,1,IF(S105=S104,0.5,0)),0.5)</f>
        <v/>
      </c>
      <c r="AP105">
        <f>IF(AND(ISNUMBER(S105),ISNUMBER(S106)),IF(S105&gt;S106,1,IF(S105=S106,0.5,0)),0.5)</f>
        <v/>
      </c>
      <c r="AQ105">
        <f>IF(AND(ISNUMBER(S105),ISNUMBER(S107)),IF(S105&gt;S107,1,IF(S105=S107,0.5,0)),0.5)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4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5">
        <f>IFERROR(AVERAGE(T106:Y106),"")</f>
        <v/>
      </c>
      <c r="M106" s="4">
        <f>IFERROR(AVERAGE(Z106:AE106),"")</f>
        <v/>
      </c>
      <c r="N106" s="5">
        <f>P106/6</f>
        <v/>
      </c>
      <c r="O106" s="5">
        <f>Q106/6</f>
        <v/>
      </c>
      <c r="P106" s="4">
        <f>IFERROR(SUM(AF106:AK106),"")</f>
        <v/>
      </c>
      <c r="Q106" s="4">
        <f>IFERROR(SUM(AL106:AQ106),"")</f>
        <v/>
      </c>
      <c r="R106" s="16">
        <f>IF(ISNUMBER(J106),J106,IF(ISNUMBER(K106),-K106,""))</f>
        <v/>
      </c>
      <c r="S106">
        <f>IF(ISNUMBER(K106),K106,IF(ISNUMBER(J106),-J106,""))</f>
        <v/>
      </c>
      <c r="T106">
        <f>IF(AND(ISNUMBER(R106),ISNUMBER(R101)),VLOOKUP(ABS(R106-R101),'IMP Table'!$A$2:$C$26,3)*SIGN(R106-R101),"")</f>
        <v/>
      </c>
      <c r="U106">
        <f>IF(AND(ISNUMBER(R106),ISNUMBER(R102)),VLOOKUP(ABS(R106-R102),'IMP Table'!$A$2:$C$26,3)*SIGN(R106-R102),"")</f>
        <v/>
      </c>
      <c r="V106">
        <f>IF(AND(ISNUMBER(R106),ISNUMBER(R103)),VLOOKUP(ABS(R106-R103),'IMP Table'!$A$2:$C$26,3)*SIGN(R106-R103),"")</f>
        <v/>
      </c>
      <c r="W106">
        <f>IF(AND(ISNUMBER(R106),ISNUMBER(R104)),VLOOKUP(ABS(R106-R104),'IMP Table'!$A$2:$C$26,3)*SIGN(R106-R104),"")</f>
        <v/>
      </c>
      <c r="X106">
        <f>IF(AND(ISNUMBER(R106),ISNUMBER(R105)),VLOOKUP(ABS(R106-R105),'IMP Table'!$A$2:$C$26,3)*SIGN(R106-R105),"")</f>
        <v/>
      </c>
      <c r="Y106">
        <f>IF(AND(ISNUMBER(R106),ISNUMBER(R107)),VLOOKUP(ABS(R106-R107),'IMP Table'!$A$2:$C$26,3)*SIGN(R106-R107),"")</f>
        <v/>
      </c>
      <c r="Z106">
        <f>IF(AND(ISNUMBER(S106),ISNUMBER(S101)),VLOOKUP(ABS(S106-S101),'IMP Table'!$A$2:$C$26,3)*SIGN(S106-S101),"")</f>
        <v/>
      </c>
      <c r="AA106">
        <f>IF(AND(ISNUMBER(S106),ISNUMBER(S102)),VLOOKUP(ABS(S106-S102),'IMP Table'!$A$2:$C$26,3)*SIGN(S106-S102),"")</f>
        <v/>
      </c>
      <c r="AB106">
        <f>IF(AND(ISNUMBER(S106),ISNUMBER(S103)),VLOOKUP(ABS(S106-S103),'IMP Table'!$A$2:$C$26,3)*SIGN(S106-S103),"")</f>
        <v/>
      </c>
      <c r="AC106">
        <f>IF(AND(ISNUMBER(S106),ISNUMBER(S104)),VLOOKUP(ABS(S106-S104),'IMP Table'!$A$2:$C$26,3)*SIGN(S106-S104),"")</f>
        <v/>
      </c>
      <c r="AD106">
        <f>IF(AND(ISNUMBER(S106),ISNUMBER(S105)),VLOOKUP(ABS(S106-S105),'IMP Table'!$A$2:$C$26,3)*SIGN(S106-S105),"")</f>
        <v/>
      </c>
      <c r="AE106">
        <f>IF(AND(ISNUMBER(S106),ISNUMBER(S107)),VLOOKUP(ABS(S106-S107),'IMP Table'!$A$2:$C$26,3)*SIGN(S106-S107),"")</f>
        <v/>
      </c>
      <c r="AF106">
        <f>IF(AND(ISNUMBER(R106),ISNUMBER(R101)),IF(R106&gt;R101,1,IF(R106=R101,0.5,0)),0.5)</f>
        <v/>
      </c>
      <c r="AG106">
        <f>IF(AND(ISNUMBER(R106),ISNUMBER(R102)),IF(R106&gt;R102,1,IF(R106=R102,0.5,0)),0.5)</f>
        <v/>
      </c>
      <c r="AH106">
        <f>IF(AND(ISNUMBER(R106),ISNUMBER(R103)),IF(R106&gt;R103,1,IF(R106=R103,0.5,0)),0.5)</f>
        <v/>
      </c>
      <c r="AI106">
        <f>IF(AND(ISNUMBER(R106),ISNUMBER(R104)),IF(R106&gt;R104,1,IF(R106=R104,0.5,0)),0.5)</f>
        <v/>
      </c>
      <c r="AJ106">
        <f>IF(AND(ISNUMBER(R106),ISNUMBER(R105)),IF(R106&gt;R105,1,IF(R106=R105,0.5,0)),0.5)</f>
        <v/>
      </c>
      <c r="AK106">
        <f>IF(AND(ISNUMBER(R106),ISNUMBER(R107)),IF(R106&gt;R107,1,IF(R106=R107,0.5,0)),0.5)</f>
        <v/>
      </c>
      <c r="AL106">
        <f>IF(AND(ISNUMBER(S106),ISNUMBER(S101)),IF(S106&gt;S101,1,IF(S106=S101,0.5,0)),0.5)</f>
        <v/>
      </c>
      <c r="AM106">
        <f>IF(AND(ISNUMBER(S106),ISNUMBER(S102)),IF(S106&gt;S102,1,IF(S106=S102,0.5,0)),0.5)</f>
        <v/>
      </c>
      <c r="AN106">
        <f>IF(AND(ISNUMBER(S106),ISNUMBER(S103)),IF(S106&gt;S103,1,IF(S106=S103,0.5,0)),0.5)</f>
        <v/>
      </c>
      <c r="AO106">
        <f>IF(AND(ISNUMBER(S106),ISNUMBER(S104)),IF(S106&gt;S104,1,IF(S106=S104,0.5,0)),0.5)</f>
        <v/>
      </c>
      <c r="AP106">
        <f>IF(AND(ISNUMBER(S106),ISNUMBER(S105)),IF(S106&gt;S105,1,IF(S106=S105,0.5,0)),0.5)</f>
        <v/>
      </c>
      <c r="AQ106">
        <f>IF(AND(ISNUMBER(S106),ISNUMBER(S107)),IF(S106&gt;S107,1,IF(S106=S107,0.5,0)),0.5)</f>
        <v/>
      </c>
    </row>
    <row r="107">
      <c r="A107" s="13" t="n"/>
      <c r="B107" s="13">
        <f>'By Round'!A157</f>
        <v/>
      </c>
      <c r="C107" s="13">
        <f>'By Round'!B165</f>
        <v/>
      </c>
      <c r="D107" s="13">
        <f>'By Round'!C165</f>
        <v/>
      </c>
      <c r="E107" s="13">
        <f>'By Round'!D165</f>
        <v/>
      </c>
      <c r="F107" s="17" t="inlineStr">
        <is>
          <t>NS</t>
        </is>
      </c>
      <c r="G107" s="13">
        <f>IF(ISBLANK('By Round'!G165),"",'By Round'!G165)</f>
        <v/>
      </c>
      <c r="H107" s="13">
        <f>IF(ISBLANK('By Round'!H165),"",'By Round'!H165)</f>
        <v/>
      </c>
      <c r="I107" s="13">
        <f>IF(ISBLANK('By Round'!I165),"",'By Round'!I165)</f>
        <v/>
      </c>
      <c r="J107" s="13">
        <f>IF(ISBLANK('By Round'!J165),"",'By Round'!J165)</f>
        <v/>
      </c>
      <c r="K107" s="13">
        <f>IF(ISBLANK('By Round'!K165),"",'By Round'!K165)</f>
        <v/>
      </c>
      <c r="L107" s="18">
        <f>IFERROR(AVERAGE(T107:Y107),"")</f>
        <v/>
      </c>
      <c r="M107" s="19">
        <f>IFERROR(AVERAGE(Z107:AE107),"")</f>
        <v/>
      </c>
      <c r="N107" s="20">
        <f>P107/6</f>
        <v/>
      </c>
      <c r="O107" s="20">
        <f>Q107/6</f>
        <v/>
      </c>
      <c r="P107" s="19">
        <f>IFERROR(SUM(AF107:AK107),"")</f>
        <v/>
      </c>
      <c r="Q107" s="19">
        <f>IFERROR(SUM(AL107:AQ107),"")</f>
        <v/>
      </c>
      <c r="R107" s="21">
        <f>IF(ISNUMBER(J107),J107,IF(ISNUMBER(K107),-K107,""))</f>
        <v/>
      </c>
      <c r="S107" s="13">
        <f>IF(ISNUMBER(K107),K107,IF(ISNUMBER(J107),-J107,""))</f>
        <v/>
      </c>
      <c r="T107" s="13">
        <f>IF(AND(ISNUMBER(R107),ISNUMBER(R101)),VLOOKUP(ABS(R107-R101),'IMP Table'!$A$2:$C$26,3)*SIGN(R107-R101),"")</f>
        <v/>
      </c>
      <c r="U107" s="13">
        <f>IF(AND(ISNUMBER(R107),ISNUMBER(R102)),VLOOKUP(ABS(R107-R102),'IMP Table'!$A$2:$C$26,3)*SIGN(R107-R102),"")</f>
        <v/>
      </c>
      <c r="V107" s="13">
        <f>IF(AND(ISNUMBER(R107),ISNUMBER(R103)),VLOOKUP(ABS(R107-R103),'IMP Table'!$A$2:$C$26,3)*SIGN(R107-R103),"")</f>
        <v/>
      </c>
      <c r="W107" s="13">
        <f>IF(AND(ISNUMBER(R107),ISNUMBER(R104)),VLOOKUP(ABS(R107-R104),'IMP Table'!$A$2:$C$26,3)*SIGN(R107-R104),"")</f>
        <v/>
      </c>
      <c r="X107" s="13">
        <f>IF(AND(ISNUMBER(R107),ISNUMBER(R105)),VLOOKUP(ABS(R107-R105),'IMP Table'!$A$2:$C$26,3)*SIGN(R107-R105),"")</f>
        <v/>
      </c>
      <c r="Y107" s="13">
        <f>IF(AND(ISNUMBER(R107),ISNUMBER(R106)),VLOOKUP(ABS(R107-R106),'IMP Table'!$A$2:$C$26,3)*SIGN(R107-R106),"")</f>
        <v/>
      </c>
      <c r="Z107" s="13">
        <f>IF(AND(ISNUMBER(S107),ISNUMBER(S101)),VLOOKUP(ABS(S107-S101),'IMP Table'!$A$2:$C$26,3)*SIGN(S107-S101),"")</f>
        <v/>
      </c>
      <c r="AA107" s="13">
        <f>IF(AND(ISNUMBER(S107),ISNUMBER(S102)),VLOOKUP(ABS(S107-S102),'IMP Table'!$A$2:$C$26,3)*SIGN(S107-S102),"")</f>
        <v/>
      </c>
      <c r="AB107" s="13">
        <f>IF(AND(ISNUMBER(S107),ISNUMBER(S103)),VLOOKUP(ABS(S107-S103),'IMP Table'!$A$2:$C$26,3)*SIGN(S107-S103),"")</f>
        <v/>
      </c>
      <c r="AC107" s="13">
        <f>IF(AND(ISNUMBER(S107),ISNUMBER(S104)),VLOOKUP(ABS(S107-S104),'IMP Table'!$A$2:$C$26,3)*SIGN(S107-S104),"")</f>
        <v/>
      </c>
      <c r="AD107" s="13">
        <f>IF(AND(ISNUMBER(S107),ISNUMBER(S105)),VLOOKUP(ABS(S107-S105),'IMP Table'!$A$2:$C$26,3)*SIGN(S107-S105),"")</f>
        <v/>
      </c>
      <c r="AE107" s="13">
        <f>IF(AND(ISNUMBER(S107),ISNUMBER(S106)),VLOOKUP(ABS(S107-S106),'IMP Table'!$A$2:$C$26,3)*SIGN(S107-S106),"")</f>
        <v/>
      </c>
      <c r="AF107" s="13">
        <f>IF(AND(ISNUMBER(R107),ISNUMBER(R101)),IF(R107&gt;R101,1,IF(R107=R101,0.5,0)),0.5)</f>
        <v/>
      </c>
      <c r="AG107" s="13">
        <f>IF(AND(ISNUMBER(R107),ISNUMBER(R102)),IF(R107&gt;R102,1,IF(R107=R102,0.5,0)),0.5)</f>
        <v/>
      </c>
      <c r="AH107" s="13">
        <f>IF(AND(ISNUMBER(R107),ISNUMBER(R103)),IF(R107&gt;R103,1,IF(R107=R103,0.5,0)),0.5)</f>
        <v/>
      </c>
      <c r="AI107" s="13">
        <f>IF(AND(ISNUMBER(R107),ISNUMBER(R104)),IF(R107&gt;R104,1,IF(R107=R104,0.5,0)),0.5)</f>
        <v/>
      </c>
      <c r="AJ107" s="13">
        <f>IF(AND(ISNUMBER(R107),ISNUMBER(R105)),IF(R107&gt;R105,1,IF(R107=R105,0.5,0)),0.5)</f>
        <v/>
      </c>
      <c r="AK107" s="13">
        <f>IF(AND(ISNUMBER(R107),ISNUMBER(R106)),IF(R107&gt;R106,1,IF(R107=R106,0.5,0)),0.5)</f>
        <v/>
      </c>
      <c r="AL107" s="13">
        <f>IF(AND(ISNUMBER(S107),ISNUMBER(S101)),IF(S107&gt;S101,1,IF(S107=S101,0.5,0)),0.5)</f>
        <v/>
      </c>
      <c r="AM107" s="13">
        <f>IF(AND(ISNUMBER(S107),ISNUMBER(S102)),IF(S107&gt;S102,1,IF(S107=S102,0.5,0)),0.5)</f>
        <v/>
      </c>
      <c r="AN107" s="13">
        <f>IF(AND(ISNUMBER(S107),ISNUMBER(S103)),IF(S107&gt;S103,1,IF(S107=S103,0.5,0)),0.5)</f>
        <v/>
      </c>
      <c r="AO107" s="13">
        <f>IF(AND(ISNUMBER(S107),ISNUMBER(S104)),IF(S107&gt;S104,1,IF(S107=S104,0.5,0)),0.5)</f>
        <v/>
      </c>
      <c r="AP107" s="13">
        <f>IF(AND(ISNUMBER(S107),ISNUMBER(S105)),IF(S107&gt;S105,1,IF(S107=S105,0.5,0)),0.5)</f>
        <v/>
      </c>
      <c r="AQ107" s="13">
        <f>IF(AND(ISNUMBER(S107),ISNUMBER(S106)),IF(S107&gt;S106,1,IF(S107=S106,0.5,0)),0.5)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4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5">
        <f>IFERROR(AVERAGE(T108:Y108),"")</f>
        <v/>
      </c>
      <c r="M108" s="4">
        <f>IFERROR(AVERAGE(Z108:AE108),"")</f>
        <v/>
      </c>
      <c r="N108" s="5">
        <f>P108/6</f>
        <v/>
      </c>
      <c r="O108" s="5">
        <f>Q108/6</f>
        <v/>
      </c>
      <c r="P108" s="4">
        <f>IFERROR(SUM(AF108:AK108),"")</f>
        <v/>
      </c>
      <c r="Q108" s="4">
        <f>IFERROR(SUM(AL108:AQ108),"")</f>
        <v/>
      </c>
      <c r="R108" s="16">
        <f>IF(ISNUMBER(J108),J108,IF(ISNUMBER(K108),-K108,""))</f>
        <v/>
      </c>
      <c r="S108">
        <f>IF(ISNUMBER(K108),K108,IF(ISNUMBER(J108),-J108,""))</f>
        <v/>
      </c>
      <c r="T108">
        <f>IF(AND(ISNUMBER(R108),ISNUMBER(R109)),VLOOKUP(ABS(R108-R109),'IMP Table'!$A$2:$C$26,3)*SIGN(R108-R109),"")</f>
        <v/>
      </c>
      <c r="U108">
        <f>IF(AND(ISNUMBER(R108),ISNUMBER(R110)),VLOOKUP(ABS(R108-R110),'IMP Table'!$A$2:$C$26,3)*SIGN(R108-R110),"")</f>
        <v/>
      </c>
      <c r="V108">
        <f>IF(AND(ISNUMBER(R108),ISNUMBER(R111)),VLOOKUP(ABS(R108-R111),'IMP Table'!$A$2:$C$26,3)*SIGN(R108-R111),"")</f>
        <v/>
      </c>
      <c r="W108">
        <f>IF(AND(ISNUMBER(R108),ISNUMBER(R112)),VLOOKUP(ABS(R108-R112),'IMP Table'!$A$2:$C$26,3)*SIGN(R108-R112),"")</f>
        <v/>
      </c>
      <c r="X108">
        <f>IF(AND(ISNUMBER(R108),ISNUMBER(R113)),VLOOKUP(ABS(R108-R113),'IMP Table'!$A$2:$C$26,3)*SIGN(R108-R113),"")</f>
        <v/>
      </c>
      <c r="Y108">
        <f>IF(AND(ISNUMBER(R108),ISNUMBER(R114)),VLOOKUP(ABS(R108-R114),'IMP Table'!$A$2:$C$26,3)*SIGN(R108-R114),"")</f>
        <v/>
      </c>
      <c r="Z108">
        <f>IF(AND(ISNUMBER(S108),ISNUMBER(S109)),VLOOKUP(ABS(S108-S109),'IMP Table'!$A$2:$C$26,3)*SIGN(S108-S109),"")</f>
        <v/>
      </c>
      <c r="AA108">
        <f>IF(AND(ISNUMBER(S108),ISNUMBER(S110)),VLOOKUP(ABS(S108-S110),'IMP Table'!$A$2:$C$26,3)*SIGN(S108-S110),"")</f>
        <v/>
      </c>
      <c r="AB108">
        <f>IF(AND(ISNUMBER(S108),ISNUMBER(S111)),VLOOKUP(ABS(S108-S111),'IMP Table'!$A$2:$C$26,3)*SIGN(S108-S111),"")</f>
        <v/>
      </c>
      <c r="AC108">
        <f>IF(AND(ISNUMBER(S108),ISNUMBER(S112)),VLOOKUP(ABS(S108-S112),'IMP Table'!$A$2:$C$26,3)*SIGN(S108-S112),"")</f>
        <v/>
      </c>
      <c r="AD108">
        <f>IF(AND(ISNUMBER(S108),ISNUMBER(S113)),VLOOKUP(ABS(S108-S113),'IMP Table'!$A$2:$C$26,3)*SIGN(S108-S113),"")</f>
        <v/>
      </c>
      <c r="AE108">
        <f>IF(AND(ISNUMBER(S108),ISNUMBER(S114)),VLOOKUP(ABS(S108-S114),'IMP Table'!$A$2:$C$26,3)*SIGN(S108-S114),"")</f>
        <v/>
      </c>
      <c r="AF108">
        <f>IF(AND(ISNUMBER(R108),ISNUMBER(R109)),IF(R108&gt;R109,1,IF(R108=R109,0.5,0)),0.5)</f>
        <v/>
      </c>
      <c r="AG108">
        <f>IF(AND(ISNUMBER(R108),ISNUMBER(R110)),IF(R108&gt;R110,1,IF(R108=R110,0.5,0)),0.5)</f>
        <v/>
      </c>
      <c r="AH108">
        <f>IF(AND(ISNUMBER(R108),ISNUMBER(R111)),IF(R108&gt;R111,1,IF(R108=R111,0.5,0)),0.5)</f>
        <v/>
      </c>
      <c r="AI108">
        <f>IF(AND(ISNUMBER(R108),ISNUMBER(R112)),IF(R108&gt;R112,1,IF(R108=R112,0.5,0)),0.5)</f>
        <v/>
      </c>
      <c r="AJ108">
        <f>IF(AND(ISNUMBER(R108),ISNUMBER(R113)),IF(R108&gt;R113,1,IF(R108=R113,0.5,0)),0.5)</f>
        <v/>
      </c>
      <c r="AK108">
        <f>IF(AND(ISNUMBER(R108),ISNUMBER(R114)),IF(R108&gt;R114,1,IF(R108=R114,0.5,0)),0.5)</f>
        <v/>
      </c>
      <c r="AL108">
        <f>IF(AND(ISNUMBER(S108),ISNUMBER(S109)),IF(S108&gt;S109,1,IF(S108=S109,0.5,0)),0.5)</f>
        <v/>
      </c>
      <c r="AM108">
        <f>IF(AND(ISNUMBER(S108),ISNUMBER(S110)),IF(S108&gt;S110,1,IF(S108=S110,0.5,0)),0.5)</f>
        <v/>
      </c>
      <c r="AN108">
        <f>IF(AND(ISNUMBER(S108),ISNUMBER(S111)),IF(S108&gt;S111,1,IF(S108=S111,0.5,0)),0.5)</f>
        <v/>
      </c>
      <c r="AO108">
        <f>IF(AND(ISNUMBER(S108),ISNUMBER(S112)),IF(S108&gt;S112,1,IF(S108=S112,0.5,0)),0.5)</f>
        <v/>
      </c>
      <c r="AP108">
        <f>IF(AND(ISNUMBER(S108),ISNUMBER(S113)),IF(S108&gt;S113,1,IF(S108=S113,0.5,0)),0.5)</f>
        <v/>
      </c>
      <c r="AQ108">
        <f>IF(AND(ISNUMBER(S108),ISNUMBER(S114)),IF(S108&gt;S114,1,IF(S108=S114,0.5,0)),0.5)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4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5">
        <f>IFERROR(AVERAGE(T109:Y109),"")</f>
        <v/>
      </c>
      <c r="M109" s="4">
        <f>IFERROR(AVERAGE(Z109:AE109),"")</f>
        <v/>
      </c>
      <c r="N109" s="5">
        <f>P109/6</f>
        <v/>
      </c>
      <c r="O109" s="5">
        <f>Q109/6</f>
        <v/>
      </c>
      <c r="P109" s="4">
        <f>IFERROR(SUM(AF109:AK109),"")</f>
        <v/>
      </c>
      <c r="Q109" s="4">
        <f>IFERROR(SUM(AL109:AQ109),"")</f>
        <v/>
      </c>
      <c r="R109" s="16">
        <f>IF(ISNUMBER(J109),J109,IF(ISNUMBER(K109),-K109,""))</f>
        <v/>
      </c>
      <c r="S109">
        <f>IF(ISNUMBER(K109),K109,IF(ISNUMBER(J109),-J109,""))</f>
        <v/>
      </c>
      <c r="T109">
        <f>IF(AND(ISNUMBER(R109),ISNUMBER(R108)),VLOOKUP(ABS(R109-R108),'IMP Table'!$A$2:$C$26,3)*SIGN(R109-R108),"")</f>
        <v/>
      </c>
      <c r="U109">
        <f>IF(AND(ISNUMBER(R109),ISNUMBER(R110)),VLOOKUP(ABS(R109-R110),'IMP Table'!$A$2:$C$26,3)*SIGN(R109-R110),"")</f>
        <v/>
      </c>
      <c r="V109">
        <f>IF(AND(ISNUMBER(R109),ISNUMBER(R111)),VLOOKUP(ABS(R109-R111),'IMP Table'!$A$2:$C$26,3)*SIGN(R109-R111),"")</f>
        <v/>
      </c>
      <c r="W109">
        <f>IF(AND(ISNUMBER(R109),ISNUMBER(R112)),VLOOKUP(ABS(R109-R112),'IMP Table'!$A$2:$C$26,3)*SIGN(R109-R112),"")</f>
        <v/>
      </c>
      <c r="X109">
        <f>IF(AND(ISNUMBER(R109),ISNUMBER(R113)),VLOOKUP(ABS(R109-R113),'IMP Table'!$A$2:$C$26,3)*SIGN(R109-R113),"")</f>
        <v/>
      </c>
      <c r="Y109">
        <f>IF(AND(ISNUMBER(R109),ISNUMBER(R114)),VLOOKUP(ABS(R109-R114),'IMP Table'!$A$2:$C$26,3)*SIGN(R109-R114),"")</f>
        <v/>
      </c>
      <c r="Z109">
        <f>IF(AND(ISNUMBER(S109),ISNUMBER(S108)),VLOOKUP(ABS(S109-S108),'IMP Table'!$A$2:$C$26,3)*SIGN(S109-S108),"")</f>
        <v/>
      </c>
      <c r="AA109">
        <f>IF(AND(ISNUMBER(S109),ISNUMBER(S110)),VLOOKUP(ABS(S109-S110),'IMP Table'!$A$2:$C$26,3)*SIGN(S109-S110),"")</f>
        <v/>
      </c>
      <c r="AB109">
        <f>IF(AND(ISNUMBER(S109),ISNUMBER(S111)),VLOOKUP(ABS(S109-S111),'IMP Table'!$A$2:$C$26,3)*SIGN(S109-S111),"")</f>
        <v/>
      </c>
      <c r="AC109">
        <f>IF(AND(ISNUMBER(S109),ISNUMBER(S112)),VLOOKUP(ABS(S109-S112),'IMP Table'!$A$2:$C$26,3)*SIGN(S109-S112),"")</f>
        <v/>
      </c>
      <c r="AD109">
        <f>IF(AND(ISNUMBER(S109),ISNUMBER(S113)),VLOOKUP(ABS(S109-S113),'IMP Table'!$A$2:$C$26,3)*SIGN(S109-S113),"")</f>
        <v/>
      </c>
      <c r="AE109">
        <f>IF(AND(ISNUMBER(S109),ISNUMBER(S114)),VLOOKUP(ABS(S109-S114),'IMP Table'!$A$2:$C$26,3)*SIGN(S109-S114),"")</f>
        <v/>
      </c>
      <c r="AF109">
        <f>IF(AND(ISNUMBER(R109),ISNUMBER(R108)),IF(R109&gt;R108,1,IF(R109=R108,0.5,0)),0.5)</f>
        <v/>
      </c>
      <c r="AG109">
        <f>IF(AND(ISNUMBER(R109),ISNUMBER(R110)),IF(R109&gt;R110,1,IF(R109=R110,0.5,0)),0.5)</f>
        <v/>
      </c>
      <c r="AH109">
        <f>IF(AND(ISNUMBER(R109),ISNUMBER(R111)),IF(R109&gt;R111,1,IF(R109=R111,0.5,0)),0.5)</f>
        <v/>
      </c>
      <c r="AI109">
        <f>IF(AND(ISNUMBER(R109),ISNUMBER(R112)),IF(R109&gt;R112,1,IF(R109=R112,0.5,0)),0.5)</f>
        <v/>
      </c>
      <c r="AJ109">
        <f>IF(AND(ISNUMBER(R109),ISNUMBER(R113)),IF(R109&gt;R113,1,IF(R109=R113,0.5,0)),0.5)</f>
        <v/>
      </c>
      <c r="AK109">
        <f>IF(AND(ISNUMBER(R109),ISNUMBER(R114)),IF(R109&gt;R114,1,IF(R109=R114,0.5,0)),0.5)</f>
        <v/>
      </c>
      <c r="AL109">
        <f>IF(AND(ISNUMBER(S109),ISNUMBER(S108)),IF(S109&gt;S108,1,IF(S109=S108,0.5,0)),0.5)</f>
        <v/>
      </c>
      <c r="AM109">
        <f>IF(AND(ISNUMBER(S109),ISNUMBER(S110)),IF(S109&gt;S110,1,IF(S109=S110,0.5,0)),0.5)</f>
        <v/>
      </c>
      <c r="AN109">
        <f>IF(AND(ISNUMBER(S109),ISNUMBER(S111)),IF(S109&gt;S111,1,IF(S109=S111,0.5,0)),0.5)</f>
        <v/>
      </c>
      <c r="AO109">
        <f>IF(AND(ISNUMBER(S109),ISNUMBER(S112)),IF(S109&gt;S112,1,IF(S109=S112,0.5,0)),0.5)</f>
        <v/>
      </c>
      <c r="AP109">
        <f>IF(AND(ISNUMBER(S109),ISNUMBER(S113)),IF(S109&gt;S113,1,IF(S109=S113,0.5,0)),0.5)</f>
        <v/>
      </c>
      <c r="AQ109">
        <f>IF(AND(ISNUMBER(S109),ISNUMBER(S114)),IF(S109&gt;S114,1,IF(S109=S114,0.5,0)),0.5)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4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5">
        <f>IFERROR(AVERAGE(T110:Y110),"")</f>
        <v/>
      </c>
      <c r="M110" s="4">
        <f>IFERROR(AVERAGE(Z110:AE110),"")</f>
        <v/>
      </c>
      <c r="N110" s="5">
        <f>P110/6</f>
        <v/>
      </c>
      <c r="O110" s="5">
        <f>Q110/6</f>
        <v/>
      </c>
      <c r="P110" s="4">
        <f>IFERROR(SUM(AF110:AK110),"")</f>
        <v/>
      </c>
      <c r="Q110" s="4">
        <f>IFERROR(SUM(AL110:AQ110),"")</f>
        <v/>
      </c>
      <c r="R110" s="16">
        <f>IF(ISNUMBER(J110),J110,IF(ISNUMBER(K110),-K110,""))</f>
        <v/>
      </c>
      <c r="S110">
        <f>IF(ISNUMBER(K110),K110,IF(ISNUMBER(J110),-J110,""))</f>
        <v/>
      </c>
      <c r="T110">
        <f>IF(AND(ISNUMBER(R110),ISNUMBER(R108)),VLOOKUP(ABS(R110-R108),'IMP Table'!$A$2:$C$26,3)*SIGN(R110-R108),"")</f>
        <v/>
      </c>
      <c r="U110">
        <f>IF(AND(ISNUMBER(R110),ISNUMBER(R109)),VLOOKUP(ABS(R110-R109),'IMP Table'!$A$2:$C$26,3)*SIGN(R110-R109),"")</f>
        <v/>
      </c>
      <c r="V110">
        <f>IF(AND(ISNUMBER(R110),ISNUMBER(R111)),VLOOKUP(ABS(R110-R111),'IMP Table'!$A$2:$C$26,3)*SIGN(R110-R111),"")</f>
        <v/>
      </c>
      <c r="W110">
        <f>IF(AND(ISNUMBER(R110),ISNUMBER(R112)),VLOOKUP(ABS(R110-R112),'IMP Table'!$A$2:$C$26,3)*SIGN(R110-R112),"")</f>
        <v/>
      </c>
      <c r="X110">
        <f>IF(AND(ISNUMBER(R110),ISNUMBER(R113)),VLOOKUP(ABS(R110-R113),'IMP Table'!$A$2:$C$26,3)*SIGN(R110-R113),"")</f>
        <v/>
      </c>
      <c r="Y110">
        <f>IF(AND(ISNUMBER(R110),ISNUMBER(R114)),VLOOKUP(ABS(R110-R114),'IMP Table'!$A$2:$C$26,3)*SIGN(R110-R114),"")</f>
        <v/>
      </c>
      <c r="Z110">
        <f>IF(AND(ISNUMBER(S110),ISNUMBER(S108)),VLOOKUP(ABS(S110-S108),'IMP Table'!$A$2:$C$26,3)*SIGN(S110-S108),"")</f>
        <v/>
      </c>
      <c r="AA110">
        <f>IF(AND(ISNUMBER(S110),ISNUMBER(S109)),VLOOKUP(ABS(S110-S109),'IMP Table'!$A$2:$C$26,3)*SIGN(S110-S109),"")</f>
        <v/>
      </c>
      <c r="AB110">
        <f>IF(AND(ISNUMBER(S110),ISNUMBER(S111)),VLOOKUP(ABS(S110-S111),'IMP Table'!$A$2:$C$26,3)*SIGN(S110-S111),"")</f>
        <v/>
      </c>
      <c r="AC110">
        <f>IF(AND(ISNUMBER(S110),ISNUMBER(S112)),VLOOKUP(ABS(S110-S112),'IMP Table'!$A$2:$C$26,3)*SIGN(S110-S112),"")</f>
        <v/>
      </c>
      <c r="AD110">
        <f>IF(AND(ISNUMBER(S110),ISNUMBER(S113)),VLOOKUP(ABS(S110-S113),'IMP Table'!$A$2:$C$26,3)*SIGN(S110-S113),"")</f>
        <v/>
      </c>
      <c r="AE110">
        <f>IF(AND(ISNUMBER(S110),ISNUMBER(S114)),VLOOKUP(ABS(S110-S114),'IMP Table'!$A$2:$C$26,3)*SIGN(S110-S114),"")</f>
        <v/>
      </c>
      <c r="AF110">
        <f>IF(AND(ISNUMBER(R110),ISNUMBER(R108)),IF(R110&gt;R108,1,IF(R110=R108,0.5,0)),0.5)</f>
        <v/>
      </c>
      <c r="AG110">
        <f>IF(AND(ISNUMBER(R110),ISNUMBER(R109)),IF(R110&gt;R109,1,IF(R110=R109,0.5,0)),0.5)</f>
        <v/>
      </c>
      <c r="AH110">
        <f>IF(AND(ISNUMBER(R110),ISNUMBER(R111)),IF(R110&gt;R111,1,IF(R110=R111,0.5,0)),0.5)</f>
        <v/>
      </c>
      <c r="AI110">
        <f>IF(AND(ISNUMBER(R110),ISNUMBER(R112)),IF(R110&gt;R112,1,IF(R110=R112,0.5,0)),0.5)</f>
        <v/>
      </c>
      <c r="AJ110">
        <f>IF(AND(ISNUMBER(R110),ISNUMBER(R113)),IF(R110&gt;R113,1,IF(R110=R113,0.5,0)),0.5)</f>
        <v/>
      </c>
      <c r="AK110">
        <f>IF(AND(ISNUMBER(R110),ISNUMBER(R114)),IF(R110&gt;R114,1,IF(R110=R114,0.5,0)),0.5)</f>
        <v/>
      </c>
      <c r="AL110">
        <f>IF(AND(ISNUMBER(S110),ISNUMBER(S108)),IF(S110&gt;S108,1,IF(S110=S108,0.5,0)),0.5)</f>
        <v/>
      </c>
      <c r="AM110">
        <f>IF(AND(ISNUMBER(S110),ISNUMBER(S109)),IF(S110&gt;S109,1,IF(S110=S109,0.5,0)),0.5)</f>
        <v/>
      </c>
      <c r="AN110">
        <f>IF(AND(ISNUMBER(S110),ISNUMBER(S111)),IF(S110&gt;S111,1,IF(S110=S111,0.5,0)),0.5)</f>
        <v/>
      </c>
      <c r="AO110">
        <f>IF(AND(ISNUMBER(S110),ISNUMBER(S112)),IF(S110&gt;S112,1,IF(S110=S112,0.5,0)),0.5)</f>
        <v/>
      </c>
      <c r="AP110">
        <f>IF(AND(ISNUMBER(S110),ISNUMBER(S113)),IF(S110&gt;S113,1,IF(S110=S113,0.5,0)),0.5)</f>
        <v/>
      </c>
      <c r="AQ110">
        <f>IF(AND(ISNUMBER(S110),ISNUMBER(S114)),IF(S110&gt;S114,1,IF(S110=S114,0.5,0)),0.5)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4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5">
        <f>IFERROR(AVERAGE(T111:Y111),"")</f>
        <v/>
      </c>
      <c r="M111" s="4">
        <f>IFERROR(AVERAGE(Z111:AE111),"")</f>
        <v/>
      </c>
      <c r="N111" s="5">
        <f>P111/6</f>
        <v/>
      </c>
      <c r="O111" s="5">
        <f>Q111/6</f>
        <v/>
      </c>
      <c r="P111" s="4">
        <f>IFERROR(SUM(AF111:AK111),"")</f>
        <v/>
      </c>
      <c r="Q111" s="4">
        <f>IFERROR(SUM(AL111:AQ111),"")</f>
        <v/>
      </c>
      <c r="R111" s="16">
        <f>IF(ISNUMBER(J111),J111,IF(ISNUMBER(K111),-K111,""))</f>
        <v/>
      </c>
      <c r="S111">
        <f>IF(ISNUMBER(K111),K111,IF(ISNUMBER(J111),-J111,""))</f>
        <v/>
      </c>
      <c r="T111">
        <f>IF(AND(ISNUMBER(R111),ISNUMBER(R108)),VLOOKUP(ABS(R111-R108),'IMP Table'!$A$2:$C$26,3)*SIGN(R111-R108),"")</f>
        <v/>
      </c>
      <c r="U111">
        <f>IF(AND(ISNUMBER(R111),ISNUMBER(R109)),VLOOKUP(ABS(R111-R109),'IMP Table'!$A$2:$C$26,3)*SIGN(R111-R109),"")</f>
        <v/>
      </c>
      <c r="V111">
        <f>IF(AND(ISNUMBER(R111),ISNUMBER(R110)),VLOOKUP(ABS(R111-R110),'IMP Table'!$A$2:$C$26,3)*SIGN(R111-R110),"")</f>
        <v/>
      </c>
      <c r="W111">
        <f>IF(AND(ISNUMBER(R111),ISNUMBER(R112)),VLOOKUP(ABS(R111-R112),'IMP Table'!$A$2:$C$26,3)*SIGN(R111-R112),"")</f>
        <v/>
      </c>
      <c r="X111">
        <f>IF(AND(ISNUMBER(R111),ISNUMBER(R113)),VLOOKUP(ABS(R111-R113),'IMP Table'!$A$2:$C$26,3)*SIGN(R111-R113),"")</f>
        <v/>
      </c>
      <c r="Y111">
        <f>IF(AND(ISNUMBER(R111),ISNUMBER(R114)),VLOOKUP(ABS(R111-R114),'IMP Table'!$A$2:$C$26,3)*SIGN(R111-R114),"")</f>
        <v/>
      </c>
      <c r="Z111">
        <f>IF(AND(ISNUMBER(S111),ISNUMBER(S108)),VLOOKUP(ABS(S111-S108),'IMP Table'!$A$2:$C$26,3)*SIGN(S111-S108),"")</f>
        <v/>
      </c>
      <c r="AA111">
        <f>IF(AND(ISNUMBER(S111),ISNUMBER(S109)),VLOOKUP(ABS(S111-S109),'IMP Table'!$A$2:$C$26,3)*SIGN(S111-S109),"")</f>
        <v/>
      </c>
      <c r="AB111">
        <f>IF(AND(ISNUMBER(S111),ISNUMBER(S110)),VLOOKUP(ABS(S111-S110),'IMP Table'!$A$2:$C$26,3)*SIGN(S111-S110),"")</f>
        <v/>
      </c>
      <c r="AC111">
        <f>IF(AND(ISNUMBER(S111),ISNUMBER(S112)),VLOOKUP(ABS(S111-S112),'IMP Table'!$A$2:$C$26,3)*SIGN(S111-S112),"")</f>
        <v/>
      </c>
      <c r="AD111">
        <f>IF(AND(ISNUMBER(S111),ISNUMBER(S113)),VLOOKUP(ABS(S111-S113),'IMP Table'!$A$2:$C$26,3)*SIGN(S111-S113),"")</f>
        <v/>
      </c>
      <c r="AE111">
        <f>IF(AND(ISNUMBER(S111),ISNUMBER(S114)),VLOOKUP(ABS(S111-S114),'IMP Table'!$A$2:$C$26,3)*SIGN(S111-S114),"")</f>
        <v/>
      </c>
      <c r="AF111">
        <f>IF(AND(ISNUMBER(R111),ISNUMBER(R108)),IF(R111&gt;R108,1,IF(R111=R108,0.5,0)),0.5)</f>
        <v/>
      </c>
      <c r="AG111">
        <f>IF(AND(ISNUMBER(R111),ISNUMBER(R109)),IF(R111&gt;R109,1,IF(R111=R109,0.5,0)),0.5)</f>
        <v/>
      </c>
      <c r="AH111">
        <f>IF(AND(ISNUMBER(R111),ISNUMBER(R110)),IF(R111&gt;R110,1,IF(R111=R110,0.5,0)),0.5)</f>
        <v/>
      </c>
      <c r="AI111">
        <f>IF(AND(ISNUMBER(R111),ISNUMBER(R112)),IF(R111&gt;R112,1,IF(R111=R112,0.5,0)),0.5)</f>
        <v/>
      </c>
      <c r="AJ111">
        <f>IF(AND(ISNUMBER(R111),ISNUMBER(R113)),IF(R111&gt;R113,1,IF(R111=R113,0.5,0)),0.5)</f>
        <v/>
      </c>
      <c r="AK111">
        <f>IF(AND(ISNUMBER(R111),ISNUMBER(R114)),IF(R111&gt;R114,1,IF(R111=R114,0.5,0)),0.5)</f>
        <v/>
      </c>
      <c r="AL111">
        <f>IF(AND(ISNUMBER(S111),ISNUMBER(S108)),IF(S111&gt;S108,1,IF(S111=S108,0.5,0)),0.5)</f>
        <v/>
      </c>
      <c r="AM111">
        <f>IF(AND(ISNUMBER(S111),ISNUMBER(S109)),IF(S111&gt;S109,1,IF(S111=S109,0.5,0)),0.5)</f>
        <v/>
      </c>
      <c r="AN111">
        <f>IF(AND(ISNUMBER(S111),ISNUMBER(S110)),IF(S111&gt;S110,1,IF(S111=S110,0.5,0)),0.5)</f>
        <v/>
      </c>
      <c r="AO111">
        <f>IF(AND(ISNUMBER(S111),ISNUMBER(S112)),IF(S111&gt;S112,1,IF(S111=S112,0.5,0)),0.5)</f>
        <v/>
      </c>
      <c r="AP111">
        <f>IF(AND(ISNUMBER(S111),ISNUMBER(S113)),IF(S111&gt;S113,1,IF(S111=S113,0.5,0)),0.5)</f>
        <v/>
      </c>
      <c r="AQ111">
        <f>IF(AND(ISNUMBER(S111),ISNUMBER(S114)),IF(S111&gt;S114,1,IF(S111=S114,0.5,0)),0.5)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4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5">
        <f>IFERROR(AVERAGE(T112:Y112),"")</f>
        <v/>
      </c>
      <c r="M112" s="4">
        <f>IFERROR(AVERAGE(Z112:AE112),"")</f>
        <v/>
      </c>
      <c r="N112" s="5">
        <f>P112/6</f>
        <v/>
      </c>
      <c r="O112" s="5">
        <f>Q112/6</f>
        <v/>
      </c>
      <c r="P112" s="4">
        <f>IFERROR(SUM(AF112:AK112),"")</f>
        <v/>
      </c>
      <c r="Q112" s="4">
        <f>IFERROR(SUM(AL112:AQ112),"")</f>
        <v/>
      </c>
      <c r="R112" s="16">
        <f>IF(ISNUMBER(J112),J112,IF(ISNUMBER(K112),-K112,""))</f>
        <v/>
      </c>
      <c r="S112">
        <f>IF(ISNUMBER(K112),K112,IF(ISNUMBER(J112),-J112,""))</f>
        <v/>
      </c>
      <c r="T112">
        <f>IF(AND(ISNUMBER(R112),ISNUMBER(R108)),VLOOKUP(ABS(R112-R108),'IMP Table'!$A$2:$C$26,3)*SIGN(R112-R108),"")</f>
        <v/>
      </c>
      <c r="U112">
        <f>IF(AND(ISNUMBER(R112),ISNUMBER(R109)),VLOOKUP(ABS(R112-R109),'IMP Table'!$A$2:$C$26,3)*SIGN(R112-R109),"")</f>
        <v/>
      </c>
      <c r="V112">
        <f>IF(AND(ISNUMBER(R112),ISNUMBER(R110)),VLOOKUP(ABS(R112-R110),'IMP Table'!$A$2:$C$26,3)*SIGN(R112-R110),"")</f>
        <v/>
      </c>
      <c r="W112">
        <f>IF(AND(ISNUMBER(R112),ISNUMBER(R111)),VLOOKUP(ABS(R112-R111),'IMP Table'!$A$2:$C$26,3)*SIGN(R112-R111),"")</f>
        <v/>
      </c>
      <c r="X112">
        <f>IF(AND(ISNUMBER(R112),ISNUMBER(R113)),VLOOKUP(ABS(R112-R113),'IMP Table'!$A$2:$C$26,3)*SIGN(R112-R113),"")</f>
        <v/>
      </c>
      <c r="Y112">
        <f>IF(AND(ISNUMBER(R112),ISNUMBER(R114)),VLOOKUP(ABS(R112-R114),'IMP Table'!$A$2:$C$26,3)*SIGN(R112-R114),"")</f>
        <v/>
      </c>
      <c r="Z112">
        <f>IF(AND(ISNUMBER(S112),ISNUMBER(S108)),VLOOKUP(ABS(S112-S108),'IMP Table'!$A$2:$C$26,3)*SIGN(S112-S108),"")</f>
        <v/>
      </c>
      <c r="AA112">
        <f>IF(AND(ISNUMBER(S112),ISNUMBER(S109)),VLOOKUP(ABS(S112-S109),'IMP Table'!$A$2:$C$26,3)*SIGN(S112-S109),"")</f>
        <v/>
      </c>
      <c r="AB112">
        <f>IF(AND(ISNUMBER(S112),ISNUMBER(S110)),VLOOKUP(ABS(S112-S110),'IMP Table'!$A$2:$C$26,3)*SIGN(S112-S110),"")</f>
        <v/>
      </c>
      <c r="AC112">
        <f>IF(AND(ISNUMBER(S112),ISNUMBER(S111)),VLOOKUP(ABS(S112-S111),'IMP Table'!$A$2:$C$26,3)*SIGN(S112-S111),"")</f>
        <v/>
      </c>
      <c r="AD112">
        <f>IF(AND(ISNUMBER(S112),ISNUMBER(S113)),VLOOKUP(ABS(S112-S113),'IMP Table'!$A$2:$C$26,3)*SIGN(S112-S113),"")</f>
        <v/>
      </c>
      <c r="AE112">
        <f>IF(AND(ISNUMBER(S112),ISNUMBER(S114)),VLOOKUP(ABS(S112-S114),'IMP Table'!$A$2:$C$26,3)*SIGN(S112-S114),"")</f>
        <v/>
      </c>
      <c r="AF112">
        <f>IF(AND(ISNUMBER(R112),ISNUMBER(R108)),IF(R112&gt;R108,1,IF(R112=R108,0.5,0)),0.5)</f>
        <v/>
      </c>
      <c r="AG112">
        <f>IF(AND(ISNUMBER(R112),ISNUMBER(R109)),IF(R112&gt;R109,1,IF(R112=R109,0.5,0)),0.5)</f>
        <v/>
      </c>
      <c r="AH112">
        <f>IF(AND(ISNUMBER(R112),ISNUMBER(R110)),IF(R112&gt;R110,1,IF(R112=R110,0.5,0)),0.5)</f>
        <v/>
      </c>
      <c r="AI112">
        <f>IF(AND(ISNUMBER(R112),ISNUMBER(R111)),IF(R112&gt;R111,1,IF(R112=R111,0.5,0)),0.5)</f>
        <v/>
      </c>
      <c r="AJ112">
        <f>IF(AND(ISNUMBER(R112),ISNUMBER(R113)),IF(R112&gt;R113,1,IF(R112=R113,0.5,0)),0.5)</f>
        <v/>
      </c>
      <c r="AK112">
        <f>IF(AND(ISNUMBER(R112),ISNUMBER(R114)),IF(R112&gt;R114,1,IF(R112=R114,0.5,0)),0.5)</f>
        <v/>
      </c>
      <c r="AL112">
        <f>IF(AND(ISNUMBER(S112),ISNUMBER(S108)),IF(S112&gt;S108,1,IF(S112=S108,0.5,0)),0.5)</f>
        <v/>
      </c>
      <c r="AM112">
        <f>IF(AND(ISNUMBER(S112),ISNUMBER(S109)),IF(S112&gt;S109,1,IF(S112=S109,0.5,0)),0.5)</f>
        <v/>
      </c>
      <c r="AN112">
        <f>IF(AND(ISNUMBER(S112),ISNUMBER(S110)),IF(S112&gt;S110,1,IF(S112=S110,0.5,0)),0.5)</f>
        <v/>
      </c>
      <c r="AO112">
        <f>IF(AND(ISNUMBER(S112),ISNUMBER(S111)),IF(S112&gt;S111,1,IF(S112=S111,0.5,0)),0.5)</f>
        <v/>
      </c>
      <c r="AP112">
        <f>IF(AND(ISNUMBER(S112),ISNUMBER(S113)),IF(S112&gt;S113,1,IF(S112=S113,0.5,0)),0.5)</f>
        <v/>
      </c>
      <c r="AQ112">
        <f>IF(AND(ISNUMBER(S112),ISNUMBER(S114)),IF(S112&gt;S114,1,IF(S112=S114,0.5,0)),0.5)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4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5">
        <f>IFERROR(AVERAGE(T113:Y113),"")</f>
        <v/>
      </c>
      <c r="M113" s="4">
        <f>IFERROR(AVERAGE(Z113:AE113),"")</f>
        <v/>
      </c>
      <c r="N113" s="5">
        <f>P113/6</f>
        <v/>
      </c>
      <c r="O113" s="5">
        <f>Q113/6</f>
        <v/>
      </c>
      <c r="P113" s="4">
        <f>IFERROR(SUM(AF113:AK113),"")</f>
        <v/>
      </c>
      <c r="Q113" s="4">
        <f>IFERROR(SUM(AL113:AQ113),"")</f>
        <v/>
      </c>
      <c r="R113" s="16">
        <f>IF(ISNUMBER(J113),J113,IF(ISNUMBER(K113),-K113,""))</f>
        <v/>
      </c>
      <c r="S113">
        <f>IF(ISNUMBER(K113),K113,IF(ISNUMBER(J113),-J113,""))</f>
        <v/>
      </c>
      <c r="T113">
        <f>IF(AND(ISNUMBER(R113),ISNUMBER(R108)),VLOOKUP(ABS(R113-R108),'IMP Table'!$A$2:$C$26,3)*SIGN(R113-R108),"")</f>
        <v/>
      </c>
      <c r="U113">
        <f>IF(AND(ISNUMBER(R113),ISNUMBER(R109)),VLOOKUP(ABS(R113-R109),'IMP Table'!$A$2:$C$26,3)*SIGN(R113-R109),"")</f>
        <v/>
      </c>
      <c r="V113">
        <f>IF(AND(ISNUMBER(R113),ISNUMBER(R110)),VLOOKUP(ABS(R113-R110),'IMP Table'!$A$2:$C$26,3)*SIGN(R113-R110),"")</f>
        <v/>
      </c>
      <c r="W113">
        <f>IF(AND(ISNUMBER(R113),ISNUMBER(R111)),VLOOKUP(ABS(R113-R111),'IMP Table'!$A$2:$C$26,3)*SIGN(R113-R111),"")</f>
        <v/>
      </c>
      <c r="X113">
        <f>IF(AND(ISNUMBER(R113),ISNUMBER(R112)),VLOOKUP(ABS(R113-R112),'IMP Table'!$A$2:$C$26,3)*SIGN(R113-R112),"")</f>
        <v/>
      </c>
      <c r="Y113">
        <f>IF(AND(ISNUMBER(R113),ISNUMBER(R114)),VLOOKUP(ABS(R113-R114),'IMP Table'!$A$2:$C$26,3)*SIGN(R113-R114),"")</f>
        <v/>
      </c>
      <c r="Z113">
        <f>IF(AND(ISNUMBER(S113),ISNUMBER(S108)),VLOOKUP(ABS(S113-S108),'IMP Table'!$A$2:$C$26,3)*SIGN(S113-S108),"")</f>
        <v/>
      </c>
      <c r="AA113">
        <f>IF(AND(ISNUMBER(S113),ISNUMBER(S109)),VLOOKUP(ABS(S113-S109),'IMP Table'!$A$2:$C$26,3)*SIGN(S113-S109),"")</f>
        <v/>
      </c>
      <c r="AB113">
        <f>IF(AND(ISNUMBER(S113),ISNUMBER(S110)),VLOOKUP(ABS(S113-S110),'IMP Table'!$A$2:$C$26,3)*SIGN(S113-S110),"")</f>
        <v/>
      </c>
      <c r="AC113">
        <f>IF(AND(ISNUMBER(S113),ISNUMBER(S111)),VLOOKUP(ABS(S113-S111),'IMP Table'!$A$2:$C$26,3)*SIGN(S113-S111),"")</f>
        <v/>
      </c>
      <c r="AD113">
        <f>IF(AND(ISNUMBER(S113),ISNUMBER(S112)),VLOOKUP(ABS(S113-S112),'IMP Table'!$A$2:$C$26,3)*SIGN(S113-S112),"")</f>
        <v/>
      </c>
      <c r="AE113">
        <f>IF(AND(ISNUMBER(S113),ISNUMBER(S114)),VLOOKUP(ABS(S113-S114),'IMP Table'!$A$2:$C$26,3)*SIGN(S113-S114),"")</f>
        <v/>
      </c>
      <c r="AF113">
        <f>IF(AND(ISNUMBER(R113),ISNUMBER(R108)),IF(R113&gt;R108,1,IF(R113=R108,0.5,0)),0.5)</f>
        <v/>
      </c>
      <c r="AG113">
        <f>IF(AND(ISNUMBER(R113),ISNUMBER(R109)),IF(R113&gt;R109,1,IF(R113=R109,0.5,0)),0.5)</f>
        <v/>
      </c>
      <c r="AH113">
        <f>IF(AND(ISNUMBER(R113),ISNUMBER(R110)),IF(R113&gt;R110,1,IF(R113=R110,0.5,0)),0.5)</f>
        <v/>
      </c>
      <c r="AI113">
        <f>IF(AND(ISNUMBER(R113),ISNUMBER(R111)),IF(R113&gt;R111,1,IF(R113=R111,0.5,0)),0.5)</f>
        <v/>
      </c>
      <c r="AJ113">
        <f>IF(AND(ISNUMBER(R113),ISNUMBER(R112)),IF(R113&gt;R112,1,IF(R113=R112,0.5,0)),0.5)</f>
        <v/>
      </c>
      <c r="AK113">
        <f>IF(AND(ISNUMBER(R113),ISNUMBER(R114)),IF(R113&gt;R114,1,IF(R113=R114,0.5,0)),0.5)</f>
        <v/>
      </c>
      <c r="AL113">
        <f>IF(AND(ISNUMBER(S113),ISNUMBER(S108)),IF(S113&gt;S108,1,IF(S113=S108,0.5,0)),0.5)</f>
        <v/>
      </c>
      <c r="AM113">
        <f>IF(AND(ISNUMBER(S113),ISNUMBER(S109)),IF(S113&gt;S109,1,IF(S113=S109,0.5,0)),0.5)</f>
        <v/>
      </c>
      <c r="AN113">
        <f>IF(AND(ISNUMBER(S113),ISNUMBER(S110)),IF(S113&gt;S110,1,IF(S113=S110,0.5,0)),0.5)</f>
        <v/>
      </c>
      <c r="AO113">
        <f>IF(AND(ISNUMBER(S113),ISNUMBER(S111)),IF(S113&gt;S111,1,IF(S113=S111,0.5,0)),0.5)</f>
        <v/>
      </c>
      <c r="AP113">
        <f>IF(AND(ISNUMBER(S113),ISNUMBER(S112)),IF(S113&gt;S112,1,IF(S113=S112,0.5,0)),0.5)</f>
        <v/>
      </c>
      <c r="AQ113">
        <f>IF(AND(ISNUMBER(S113),ISNUMBER(S114)),IF(S113&gt;S114,1,IF(S113=S114,0.5,0)),0.5)</f>
        <v/>
      </c>
    </row>
    <row r="114">
      <c r="A114" s="13" t="n"/>
      <c r="B114" s="13">
        <f>'By Round'!A157</f>
        <v/>
      </c>
      <c r="C114" s="13">
        <f>'By Round'!B165</f>
        <v/>
      </c>
      <c r="D114" s="13">
        <f>'By Round'!C165</f>
        <v/>
      </c>
      <c r="E114" s="13">
        <f>'By Round'!D165</f>
        <v/>
      </c>
      <c r="F114" s="17" t="inlineStr">
        <is>
          <t>EW</t>
        </is>
      </c>
      <c r="G114" s="13">
        <f>IF(ISBLANK('By Round'!G165),"",'By Round'!G165)</f>
        <v/>
      </c>
      <c r="H114" s="13">
        <f>IF(ISBLANK('By Round'!H165),"",'By Round'!H165)</f>
        <v/>
      </c>
      <c r="I114" s="13">
        <f>IF(ISBLANK('By Round'!I165),"",'By Round'!I165)</f>
        <v/>
      </c>
      <c r="J114" s="13">
        <f>IF(ISBLANK('By Round'!J165),"",'By Round'!J165)</f>
        <v/>
      </c>
      <c r="K114" s="13">
        <f>IF(ISBLANK('By Round'!K165),"",'By Round'!K165)</f>
        <v/>
      </c>
      <c r="L114" s="18">
        <f>IFERROR(AVERAGE(T114:Y114),"")</f>
        <v/>
      </c>
      <c r="M114" s="19">
        <f>IFERROR(AVERAGE(Z114:AE114),"")</f>
        <v/>
      </c>
      <c r="N114" s="20">
        <f>P114/6</f>
        <v/>
      </c>
      <c r="O114" s="20">
        <f>Q114/6</f>
        <v/>
      </c>
      <c r="P114" s="19">
        <f>IFERROR(SUM(AF114:AK114),"")</f>
        <v/>
      </c>
      <c r="Q114" s="19">
        <f>IFERROR(SUM(AL114:AQ114),"")</f>
        <v/>
      </c>
      <c r="R114" s="21">
        <f>IF(ISNUMBER(J114),J114,IF(ISNUMBER(K114),-K114,""))</f>
        <v/>
      </c>
      <c r="S114" s="13">
        <f>IF(ISNUMBER(K114),K114,IF(ISNUMBER(J114),-J114,""))</f>
        <v/>
      </c>
      <c r="T114" s="13">
        <f>IF(AND(ISNUMBER(R114),ISNUMBER(R108)),VLOOKUP(ABS(R114-R108),'IMP Table'!$A$2:$C$26,3)*SIGN(R114-R108),"")</f>
        <v/>
      </c>
      <c r="U114" s="13">
        <f>IF(AND(ISNUMBER(R114),ISNUMBER(R109)),VLOOKUP(ABS(R114-R109),'IMP Table'!$A$2:$C$26,3)*SIGN(R114-R109),"")</f>
        <v/>
      </c>
      <c r="V114" s="13">
        <f>IF(AND(ISNUMBER(R114),ISNUMBER(R110)),VLOOKUP(ABS(R114-R110),'IMP Table'!$A$2:$C$26,3)*SIGN(R114-R110),"")</f>
        <v/>
      </c>
      <c r="W114" s="13">
        <f>IF(AND(ISNUMBER(R114),ISNUMBER(R111)),VLOOKUP(ABS(R114-R111),'IMP Table'!$A$2:$C$26,3)*SIGN(R114-R111),"")</f>
        <v/>
      </c>
      <c r="X114" s="13">
        <f>IF(AND(ISNUMBER(R114),ISNUMBER(R112)),VLOOKUP(ABS(R114-R112),'IMP Table'!$A$2:$C$26,3)*SIGN(R114-R112),"")</f>
        <v/>
      </c>
      <c r="Y114" s="13">
        <f>IF(AND(ISNUMBER(R114),ISNUMBER(R113)),VLOOKUP(ABS(R114-R113),'IMP Table'!$A$2:$C$26,3)*SIGN(R114-R113),"")</f>
        <v/>
      </c>
      <c r="Z114" s="13">
        <f>IF(AND(ISNUMBER(S114),ISNUMBER(S108)),VLOOKUP(ABS(S114-S108),'IMP Table'!$A$2:$C$26,3)*SIGN(S114-S108),"")</f>
        <v/>
      </c>
      <c r="AA114" s="13">
        <f>IF(AND(ISNUMBER(S114),ISNUMBER(S109)),VLOOKUP(ABS(S114-S109),'IMP Table'!$A$2:$C$26,3)*SIGN(S114-S109),"")</f>
        <v/>
      </c>
      <c r="AB114" s="13">
        <f>IF(AND(ISNUMBER(S114),ISNUMBER(S110)),VLOOKUP(ABS(S114-S110),'IMP Table'!$A$2:$C$26,3)*SIGN(S114-S110),"")</f>
        <v/>
      </c>
      <c r="AC114" s="13">
        <f>IF(AND(ISNUMBER(S114),ISNUMBER(S111)),VLOOKUP(ABS(S114-S111),'IMP Table'!$A$2:$C$26,3)*SIGN(S114-S111),"")</f>
        <v/>
      </c>
      <c r="AD114" s="13">
        <f>IF(AND(ISNUMBER(S114),ISNUMBER(S112)),VLOOKUP(ABS(S114-S112),'IMP Table'!$A$2:$C$26,3)*SIGN(S114-S112),"")</f>
        <v/>
      </c>
      <c r="AE114" s="13">
        <f>IF(AND(ISNUMBER(S114),ISNUMBER(S113)),VLOOKUP(ABS(S114-S113),'IMP Table'!$A$2:$C$26,3)*SIGN(S114-S113),"")</f>
        <v/>
      </c>
      <c r="AF114" s="13">
        <f>IF(AND(ISNUMBER(R114),ISNUMBER(R108)),IF(R114&gt;R108,1,IF(R114=R108,0.5,0)),0.5)</f>
        <v/>
      </c>
      <c r="AG114" s="13">
        <f>IF(AND(ISNUMBER(R114),ISNUMBER(R109)),IF(R114&gt;R109,1,IF(R114=R109,0.5,0)),0.5)</f>
        <v/>
      </c>
      <c r="AH114" s="13">
        <f>IF(AND(ISNUMBER(R114),ISNUMBER(R110)),IF(R114&gt;R110,1,IF(R114=R110,0.5,0)),0.5)</f>
        <v/>
      </c>
      <c r="AI114" s="13">
        <f>IF(AND(ISNUMBER(R114),ISNUMBER(R111)),IF(R114&gt;R111,1,IF(R114=R111,0.5,0)),0.5)</f>
        <v/>
      </c>
      <c r="AJ114" s="13">
        <f>IF(AND(ISNUMBER(R114),ISNUMBER(R112)),IF(R114&gt;R112,1,IF(R114=R112,0.5,0)),0.5)</f>
        <v/>
      </c>
      <c r="AK114" s="13">
        <f>IF(AND(ISNUMBER(R114),ISNUMBER(R113)),IF(R114&gt;R113,1,IF(R114=R113,0.5,0)),0.5)</f>
        <v/>
      </c>
      <c r="AL114" s="13">
        <f>IF(AND(ISNUMBER(S114),ISNUMBER(S108)),IF(S114&gt;S108,1,IF(S114=S108,0.5,0)),0.5)</f>
        <v/>
      </c>
      <c r="AM114" s="13">
        <f>IF(AND(ISNUMBER(S114),ISNUMBER(S109)),IF(S114&gt;S109,1,IF(S114=S109,0.5,0)),0.5)</f>
        <v/>
      </c>
      <c r="AN114" s="13">
        <f>IF(AND(ISNUMBER(S114),ISNUMBER(S110)),IF(S114&gt;S110,1,IF(S114=S110,0.5,0)),0.5)</f>
        <v/>
      </c>
      <c r="AO114" s="13">
        <f>IF(AND(ISNUMBER(S114),ISNUMBER(S111)),IF(S114&gt;S111,1,IF(S114=S111,0.5,0)),0.5)</f>
        <v/>
      </c>
      <c r="AP114" s="13">
        <f>IF(AND(ISNUMBER(S114),ISNUMBER(S112)),IF(S114&gt;S112,1,IF(S114=S112,0.5,0)),0.5)</f>
        <v/>
      </c>
      <c r="AQ114" s="13">
        <f>IF(AND(ISNUMBER(S114),ISNUMBER(S113)),IF(S114&gt;S113,1,IF(S114=S113,0.5,0)),0.5)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4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5">
        <f>IFERROR(AVERAGE(T115:Y115),"")</f>
        <v/>
      </c>
      <c r="M115" s="4">
        <f>IFERROR(AVERAGE(Z115:AE115),"")</f>
        <v/>
      </c>
      <c r="N115" s="5">
        <f>P115/6</f>
        <v/>
      </c>
      <c r="O115" s="5">
        <f>Q115/6</f>
        <v/>
      </c>
      <c r="P115" s="4">
        <f>IFERROR(SUM(AF115:AK115),"")</f>
        <v/>
      </c>
      <c r="Q115" s="4">
        <f>IFERROR(SUM(AL115:AQ115),"")</f>
        <v/>
      </c>
      <c r="R115" s="16">
        <f>IF(ISNUMBER(J115),J115,IF(ISNUMBER(K115),-K115,""))</f>
        <v/>
      </c>
      <c r="S115">
        <f>IF(ISNUMBER(K115),K115,IF(ISNUMBER(J115),-J115,""))</f>
        <v/>
      </c>
      <c r="T115">
        <f>IF(AND(ISNUMBER(R115),ISNUMBER(R116)),VLOOKUP(ABS(R115-R116),'IMP Table'!$A$2:$C$26,3)*SIGN(R115-R116),"")</f>
        <v/>
      </c>
      <c r="U115">
        <f>IF(AND(ISNUMBER(R115),ISNUMBER(R117)),VLOOKUP(ABS(R115-R117),'IMP Table'!$A$2:$C$26,3)*SIGN(R115-R117),"")</f>
        <v/>
      </c>
      <c r="V115">
        <f>IF(AND(ISNUMBER(R115),ISNUMBER(R118)),VLOOKUP(ABS(R115-R118),'IMP Table'!$A$2:$C$26,3)*SIGN(R115-R118),"")</f>
        <v/>
      </c>
      <c r="W115">
        <f>IF(AND(ISNUMBER(R115),ISNUMBER(R119)),VLOOKUP(ABS(R115-R119),'IMP Table'!$A$2:$C$26,3)*SIGN(R115-R119),"")</f>
        <v/>
      </c>
      <c r="X115">
        <f>IF(AND(ISNUMBER(R115),ISNUMBER(R120)),VLOOKUP(ABS(R115-R120),'IMP Table'!$A$2:$C$26,3)*SIGN(R115-R120),"")</f>
        <v/>
      </c>
      <c r="Y115">
        <f>IF(AND(ISNUMBER(R115),ISNUMBER(R121)),VLOOKUP(ABS(R115-R121),'IMP Table'!$A$2:$C$26,3)*SIGN(R115-R121),"")</f>
        <v/>
      </c>
      <c r="Z115">
        <f>IF(AND(ISNUMBER(S115),ISNUMBER(S116)),VLOOKUP(ABS(S115-S116),'IMP Table'!$A$2:$C$26,3)*SIGN(S115-S116),"")</f>
        <v/>
      </c>
      <c r="AA115">
        <f>IF(AND(ISNUMBER(S115),ISNUMBER(S117)),VLOOKUP(ABS(S115-S117),'IMP Table'!$A$2:$C$26,3)*SIGN(S115-S117),"")</f>
        <v/>
      </c>
      <c r="AB115">
        <f>IF(AND(ISNUMBER(S115),ISNUMBER(S118)),VLOOKUP(ABS(S115-S118),'IMP Table'!$A$2:$C$26,3)*SIGN(S115-S118),"")</f>
        <v/>
      </c>
      <c r="AC115">
        <f>IF(AND(ISNUMBER(S115),ISNUMBER(S119)),VLOOKUP(ABS(S115-S119),'IMP Table'!$A$2:$C$26,3)*SIGN(S115-S119),"")</f>
        <v/>
      </c>
      <c r="AD115">
        <f>IF(AND(ISNUMBER(S115),ISNUMBER(S120)),VLOOKUP(ABS(S115-S120),'IMP Table'!$A$2:$C$26,3)*SIGN(S115-S120),"")</f>
        <v/>
      </c>
      <c r="AE115">
        <f>IF(AND(ISNUMBER(S115),ISNUMBER(S121)),VLOOKUP(ABS(S115-S121),'IMP Table'!$A$2:$C$26,3)*SIGN(S115-S121),"")</f>
        <v/>
      </c>
      <c r="AF115">
        <f>IF(AND(ISNUMBER(R115),ISNUMBER(R116)),IF(R115&gt;R116,1,IF(R115=R116,0.5,0)),0.5)</f>
        <v/>
      </c>
      <c r="AG115">
        <f>IF(AND(ISNUMBER(R115),ISNUMBER(R117)),IF(R115&gt;R117,1,IF(R115=R117,0.5,0)),0.5)</f>
        <v/>
      </c>
      <c r="AH115">
        <f>IF(AND(ISNUMBER(R115),ISNUMBER(R118)),IF(R115&gt;R118,1,IF(R115=R118,0.5,0)),0.5)</f>
        <v/>
      </c>
      <c r="AI115">
        <f>IF(AND(ISNUMBER(R115),ISNUMBER(R119)),IF(R115&gt;R119,1,IF(R115=R119,0.5,0)),0.5)</f>
        <v/>
      </c>
      <c r="AJ115">
        <f>IF(AND(ISNUMBER(R115),ISNUMBER(R120)),IF(R115&gt;R120,1,IF(R115=R120,0.5,0)),0.5)</f>
        <v/>
      </c>
      <c r="AK115">
        <f>IF(AND(ISNUMBER(R115),ISNUMBER(R121)),IF(R115&gt;R121,1,IF(R115=R121,0.5,0)),0.5)</f>
        <v/>
      </c>
      <c r="AL115">
        <f>IF(AND(ISNUMBER(S115),ISNUMBER(S116)),IF(S115&gt;S116,1,IF(S115=S116,0.5,0)),0.5)</f>
        <v/>
      </c>
      <c r="AM115">
        <f>IF(AND(ISNUMBER(S115),ISNUMBER(S117)),IF(S115&gt;S117,1,IF(S115=S117,0.5,0)),0.5)</f>
        <v/>
      </c>
      <c r="AN115">
        <f>IF(AND(ISNUMBER(S115),ISNUMBER(S118)),IF(S115&gt;S118,1,IF(S115=S118,0.5,0)),0.5)</f>
        <v/>
      </c>
      <c r="AO115">
        <f>IF(AND(ISNUMBER(S115),ISNUMBER(S119)),IF(S115&gt;S119,1,IF(S115=S119,0.5,0)),0.5)</f>
        <v/>
      </c>
      <c r="AP115">
        <f>IF(AND(ISNUMBER(S115),ISNUMBER(S120)),IF(S115&gt;S120,1,IF(S115=S120,0.5,0)),0.5)</f>
        <v/>
      </c>
      <c r="AQ115">
        <f>IF(AND(ISNUMBER(S115),ISNUMBER(S121)),IF(S115&gt;S121,1,IF(S115=S121,0.5,0)),0.5)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4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5">
        <f>IFERROR(AVERAGE(T116:Y116),"")</f>
        <v/>
      </c>
      <c r="M116" s="4">
        <f>IFERROR(AVERAGE(Z116:AE116),"")</f>
        <v/>
      </c>
      <c r="N116" s="5">
        <f>P116/6</f>
        <v/>
      </c>
      <c r="O116" s="5">
        <f>Q116/6</f>
        <v/>
      </c>
      <c r="P116" s="4">
        <f>IFERROR(SUM(AF116:AK116),"")</f>
        <v/>
      </c>
      <c r="Q116" s="4">
        <f>IFERROR(SUM(AL116:AQ116),"")</f>
        <v/>
      </c>
      <c r="R116" s="16">
        <f>IF(ISNUMBER(J116),J116,IF(ISNUMBER(K116),-K116,""))</f>
        <v/>
      </c>
      <c r="S116">
        <f>IF(ISNUMBER(K116),K116,IF(ISNUMBER(J116),-J116,""))</f>
        <v/>
      </c>
      <c r="T116">
        <f>IF(AND(ISNUMBER(R116),ISNUMBER(R115)),VLOOKUP(ABS(R116-R115),'IMP Table'!$A$2:$C$26,3)*SIGN(R116-R115),"")</f>
        <v/>
      </c>
      <c r="U116">
        <f>IF(AND(ISNUMBER(R116),ISNUMBER(R117)),VLOOKUP(ABS(R116-R117),'IMP Table'!$A$2:$C$26,3)*SIGN(R116-R117),"")</f>
        <v/>
      </c>
      <c r="V116">
        <f>IF(AND(ISNUMBER(R116),ISNUMBER(R118)),VLOOKUP(ABS(R116-R118),'IMP Table'!$A$2:$C$26,3)*SIGN(R116-R118),"")</f>
        <v/>
      </c>
      <c r="W116">
        <f>IF(AND(ISNUMBER(R116),ISNUMBER(R119)),VLOOKUP(ABS(R116-R119),'IMP Table'!$A$2:$C$26,3)*SIGN(R116-R119),"")</f>
        <v/>
      </c>
      <c r="X116">
        <f>IF(AND(ISNUMBER(R116),ISNUMBER(R120)),VLOOKUP(ABS(R116-R120),'IMP Table'!$A$2:$C$26,3)*SIGN(R116-R120),"")</f>
        <v/>
      </c>
      <c r="Y116">
        <f>IF(AND(ISNUMBER(R116),ISNUMBER(R121)),VLOOKUP(ABS(R116-R121),'IMP Table'!$A$2:$C$26,3)*SIGN(R116-R121),"")</f>
        <v/>
      </c>
      <c r="Z116">
        <f>IF(AND(ISNUMBER(S116),ISNUMBER(S115)),VLOOKUP(ABS(S116-S115),'IMP Table'!$A$2:$C$26,3)*SIGN(S116-S115),"")</f>
        <v/>
      </c>
      <c r="AA116">
        <f>IF(AND(ISNUMBER(S116),ISNUMBER(S117)),VLOOKUP(ABS(S116-S117),'IMP Table'!$A$2:$C$26,3)*SIGN(S116-S117),"")</f>
        <v/>
      </c>
      <c r="AB116">
        <f>IF(AND(ISNUMBER(S116),ISNUMBER(S118)),VLOOKUP(ABS(S116-S118),'IMP Table'!$A$2:$C$26,3)*SIGN(S116-S118),"")</f>
        <v/>
      </c>
      <c r="AC116">
        <f>IF(AND(ISNUMBER(S116),ISNUMBER(S119)),VLOOKUP(ABS(S116-S119),'IMP Table'!$A$2:$C$26,3)*SIGN(S116-S119),"")</f>
        <v/>
      </c>
      <c r="AD116">
        <f>IF(AND(ISNUMBER(S116),ISNUMBER(S120)),VLOOKUP(ABS(S116-S120),'IMP Table'!$A$2:$C$26,3)*SIGN(S116-S120),"")</f>
        <v/>
      </c>
      <c r="AE116">
        <f>IF(AND(ISNUMBER(S116),ISNUMBER(S121)),VLOOKUP(ABS(S116-S121),'IMP Table'!$A$2:$C$26,3)*SIGN(S116-S121),"")</f>
        <v/>
      </c>
      <c r="AF116">
        <f>IF(AND(ISNUMBER(R116),ISNUMBER(R115)),IF(R116&gt;R115,1,IF(R116=R115,0.5,0)),0.5)</f>
        <v/>
      </c>
      <c r="AG116">
        <f>IF(AND(ISNUMBER(R116),ISNUMBER(R117)),IF(R116&gt;R117,1,IF(R116=R117,0.5,0)),0.5)</f>
        <v/>
      </c>
      <c r="AH116">
        <f>IF(AND(ISNUMBER(R116),ISNUMBER(R118)),IF(R116&gt;R118,1,IF(R116=R118,0.5,0)),0.5)</f>
        <v/>
      </c>
      <c r="AI116">
        <f>IF(AND(ISNUMBER(R116),ISNUMBER(R119)),IF(R116&gt;R119,1,IF(R116=R119,0.5,0)),0.5)</f>
        <v/>
      </c>
      <c r="AJ116">
        <f>IF(AND(ISNUMBER(R116),ISNUMBER(R120)),IF(R116&gt;R120,1,IF(R116=R120,0.5,0)),0.5)</f>
        <v/>
      </c>
      <c r="AK116">
        <f>IF(AND(ISNUMBER(R116),ISNUMBER(R121)),IF(R116&gt;R121,1,IF(R116=R121,0.5,0)),0.5)</f>
        <v/>
      </c>
      <c r="AL116">
        <f>IF(AND(ISNUMBER(S116),ISNUMBER(S115)),IF(S116&gt;S115,1,IF(S116=S115,0.5,0)),0.5)</f>
        <v/>
      </c>
      <c r="AM116">
        <f>IF(AND(ISNUMBER(S116),ISNUMBER(S117)),IF(S116&gt;S117,1,IF(S116=S117,0.5,0)),0.5)</f>
        <v/>
      </c>
      <c r="AN116">
        <f>IF(AND(ISNUMBER(S116),ISNUMBER(S118)),IF(S116&gt;S118,1,IF(S116=S118,0.5,0)),0.5)</f>
        <v/>
      </c>
      <c r="AO116">
        <f>IF(AND(ISNUMBER(S116),ISNUMBER(S119)),IF(S116&gt;S119,1,IF(S116=S119,0.5,0)),0.5)</f>
        <v/>
      </c>
      <c r="AP116">
        <f>IF(AND(ISNUMBER(S116),ISNUMBER(S120)),IF(S116&gt;S120,1,IF(S116=S120,0.5,0)),0.5)</f>
        <v/>
      </c>
      <c r="AQ116">
        <f>IF(AND(ISNUMBER(S116),ISNUMBER(S121)),IF(S116&gt;S121,1,IF(S116=S121,0.5,0)),0.5)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4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5">
        <f>IFERROR(AVERAGE(T117:Y117),"")</f>
        <v/>
      </c>
      <c r="M117" s="4">
        <f>IFERROR(AVERAGE(Z117:AE117),"")</f>
        <v/>
      </c>
      <c r="N117" s="5">
        <f>P117/6</f>
        <v/>
      </c>
      <c r="O117" s="5">
        <f>Q117/6</f>
        <v/>
      </c>
      <c r="P117" s="4">
        <f>IFERROR(SUM(AF117:AK117),"")</f>
        <v/>
      </c>
      <c r="Q117" s="4">
        <f>IFERROR(SUM(AL117:AQ117),"")</f>
        <v/>
      </c>
      <c r="R117" s="16">
        <f>IF(ISNUMBER(J117),J117,IF(ISNUMBER(K117),-K117,""))</f>
        <v/>
      </c>
      <c r="S117">
        <f>IF(ISNUMBER(K117),K117,IF(ISNUMBER(J117),-J117,""))</f>
        <v/>
      </c>
      <c r="T117">
        <f>IF(AND(ISNUMBER(R117),ISNUMBER(R115)),VLOOKUP(ABS(R117-R115),'IMP Table'!$A$2:$C$26,3)*SIGN(R117-R115),"")</f>
        <v/>
      </c>
      <c r="U117">
        <f>IF(AND(ISNUMBER(R117),ISNUMBER(R116)),VLOOKUP(ABS(R117-R116),'IMP Table'!$A$2:$C$26,3)*SIGN(R117-R116),"")</f>
        <v/>
      </c>
      <c r="V117">
        <f>IF(AND(ISNUMBER(R117),ISNUMBER(R118)),VLOOKUP(ABS(R117-R118),'IMP Table'!$A$2:$C$26,3)*SIGN(R117-R118),"")</f>
        <v/>
      </c>
      <c r="W117">
        <f>IF(AND(ISNUMBER(R117),ISNUMBER(R119)),VLOOKUP(ABS(R117-R119),'IMP Table'!$A$2:$C$26,3)*SIGN(R117-R119),"")</f>
        <v/>
      </c>
      <c r="X117">
        <f>IF(AND(ISNUMBER(R117),ISNUMBER(R120)),VLOOKUP(ABS(R117-R120),'IMP Table'!$A$2:$C$26,3)*SIGN(R117-R120),"")</f>
        <v/>
      </c>
      <c r="Y117">
        <f>IF(AND(ISNUMBER(R117),ISNUMBER(R121)),VLOOKUP(ABS(R117-R121),'IMP Table'!$A$2:$C$26,3)*SIGN(R117-R121),"")</f>
        <v/>
      </c>
      <c r="Z117">
        <f>IF(AND(ISNUMBER(S117),ISNUMBER(S115)),VLOOKUP(ABS(S117-S115),'IMP Table'!$A$2:$C$26,3)*SIGN(S117-S115),"")</f>
        <v/>
      </c>
      <c r="AA117">
        <f>IF(AND(ISNUMBER(S117),ISNUMBER(S116)),VLOOKUP(ABS(S117-S116),'IMP Table'!$A$2:$C$26,3)*SIGN(S117-S116),"")</f>
        <v/>
      </c>
      <c r="AB117">
        <f>IF(AND(ISNUMBER(S117),ISNUMBER(S118)),VLOOKUP(ABS(S117-S118),'IMP Table'!$A$2:$C$26,3)*SIGN(S117-S118),"")</f>
        <v/>
      </c>
      <c r="AC117">
        <f>IF(AND(ISNUMBER(S117),ISNUMBER(S119)),VLOOKUP(ABS(S117-S119),'IMP Table'!$A$2:$C$26,3)*SIGN(S117-S119),"")</f>
        <v/>
      </c>
      <c r="AD117">
        <f>IF(AND(ISNUMBER(S117),ISNUMBER(S120)),VLOOKUP(ABS(S117-S120),'IMP Table'!$A$2:$C$26,3)*SIGN(S117-S120),"")</f>
        <v/>
      </c>
      <c r="AE117">
        <f>IF(AND(ISNUMBER(S117),ISNUMBER(S121)),VLOOKUP(ABS(S117-S121),'IMP Table'!$A$2:$C$26,3)*SIGN(S117-S121),"")</f>
        <v/>
      </c>
      <c r="AF117">
        <f>IF(AND(ISNUMBER(R117),ISNUMBER(R115)),IF(R117&gt;R115,1,IF(R117=R115,0.5,0)),0.5)</f>
        <v/>
      </c>
      <c r="AG117">
        <f>IF(AND(ISNUMBER(R117),ISNUMBER(R116)),IF(R117&gt;R116,1,IF(R117=R116,0.5,0)),0.5)</f>
        <v/>
      </c>
      <c r="AH117">
        <f>IF(AND(ISNUMBER(R117),ISNUMBER(R118)),IF(R117&gt;R118,1,IF(R117=R118,0.5,0)),0.5)</f>
        <v/>
      </c>
      <c r="AI117">
        <f>IF(AND(ISNUMBER(R117),ISNUMBER(R119)),IF(R117&gt;R119,1,IF(R117=R119,0.5,0)),0.5)</f>
        <v/>
      </c>
      <c r="AJ117">
        <f>IF(AND(ISNUMBER(R117),ISNUMBER(R120)),IF(R117&gt;R120,1,IF(R117=R120,0.5,0)),0.5)</f>
        <v/>
      </c>
      <c r="AK117">
        <f>IF(AND(ISNUMBER(R117),ISNUMBER(R121)),IF(R117&gt;R121,1,IF(R117=R121,0.5,0)),0.5)</f>
        <v/>
      </c>
      <c r="AL117">
        <f>IF(AND(ISNUMBER(S117),ISNUMBER(S115)),IF(S117&gt;S115,1,IF(S117=S115,0.5,0)),0.5)</f>
        <v/>
      </c>
      <c r="AM117">
        <f>IF(AND(ISNUMBER(S117),ISNUMBER(S116)),IF(S117&gt;S116,1,IF(S117=S116,0.5,0)),0.5)</f>
        <v/>
      </c>
      <c r="AN117">
        <f>IF(AND(ISNUMBER(S117),ISNUMBER(S118)),IF(S117&gt;S118,1,IF(S117=S118,0.5,0)),0.5)</f>
        <v/>
      </c>
      <c r="AO117">
        <f>IF(AND(ISNUMBER(S117),ISNUMBER(S119)),IF(S117&gt;S119,1,IF(S117=S119,0.5,0)),0.5)</f>
        <v/>
      </c>
      <c r="AP117">
        <f>IF(AND(ISNUMBER(S117),ISNUMBER(S120)),IF(S117&gt;S120,1,IF(S117=S120,0.5,0)),0.5)</f>
        <v/>
      </c>
      <c r="AQ117">
        <f>IF(AND(ISNUMBER(S117),ISNUMBER(S121)),IF(S117&gt;S121,1,IF(S117=S121,0.5,0)),0.5)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4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5">
        <f>IFERROR(AVERAGE(T118:Y118),"")</f>
        <v/>
      </c>
      <c r="M118" s="4">
        <f>IFERROR(AVERAGE(Z118:AE118),"")</f>
        <v/>
      </c>
      <c r="N118" s="5">
        <f>P118/6</f>
        <v/>
      </c>
      <c r="O118" s="5">
        <f>Q118/6</f>
        <v/>
      </c>
      <c r="P118" s="4">
        <f>IFERROR(SUM(AF118:AK118),"")</f>
        <v/>
      </c>
      <c r="Q118" s="4">
        <f>IFERROR(SUM(AL118:AQ118),"")</f>
        <v/>
      </c>
      <c r="R118" s="16">
        <f>IF(ISNUMBER(J118),J118,IF(ISNUMBER(K118),-K118,""))</f>
        <v/>
      </c>
      <c r="S118">
        <f>IF(ISNUMBER(K118),K118,IF(ISNUMBER(J118),-J118,""))</f>
        <v/>
      </c>
      <c r="T118">
        <f>IF(AND(ISNUMBER(R118),ISNUMBER(R115)),VLOOKUP(ABS(R118-R115),'IMP Table'!$A$2:$C$26,3)*SIGN(R118-R115),"")</f>
        <v/>
      </c>
      <c r="U118">
        <f>IF(AND(ISNUMBER(R118),ISNUMBER(R116)),VLOOKUP(ABS(R118-R116),'IMP Table'!$A$2:$C$26,3)*SIGN(R118-R116),"")</f>
        <v/>
      </c>
      <c r="V118">
        <f>IF(AND(ISNUMBER(R118),ISNUMBER(R117)),VLOOKUP(ABS(R118-R117),'IMP Table'!$A$2:$C$26,3)*SIGN(R118-R117),"")</f>
        <v/>
      </c>
      <c r="W118">
        <f>IF(AND(ISNUMBER(R118),ISNUMBER(R119)),VLOOKUP(ABS(R118-R119),'IMP Table'!$A$2:$C$26,3)*SIGN(R118-R119),"")</f>
        <v/>
      </c>
      <c r="X118">
        <f>IF(AND(ISNUMBER(R118),ISNUMBER(R120)),VLOOKUP(ABS(R118-R120),'IMP Table'!$A$2:$C$26,3)*SIGN(R118-R120),"")</f>
        <v/>
      </c>
      <c r="Y118">
        <f>IF(AND(ISNUMBER(R118),ISNUMBER(R121)),VLOOKUP(ABS(R118-R121),'IMP Table'!$A$2:$C$26,3)*SIGN(R118-R121),"")</f>
        <v/>
      </c>
      <c r="Z118">
        <f>IF(AND(ISNUMBER(S118),ISNUMBER(S115)),VLOOKUP(ABS(S118-S115),'IMP Table'!$A$2:$C$26,3)*SIGN(S118-S115),"")</f>
        <v/>
      </c>
      <c r="AA118">
        <f>IF(AND(ISNUMBER(S118),ISNUMBER(S116)),VLOOKUP(ABS(S118-S116),'IMP Table'!$A$2:$C$26,3)*SIGN(S118-S116),"")</f>
        <v/>
      </c>
      <c r="AB118">
        <f>IF(AND(ISNUMBER(S118),ISNUMBER(S117)),VLOOKUP(ABS(S118-S117),'IMP Table'!$A$2:$C$26,3)*SIGN(S118-S117),"")</f>
        <v/>
      </c>
      <c r="AC118">
        <f>IF(AND(ISNUMBER(S118),ISNUMBER(S119)),VLOOKUP(ABS(S118-S119),'IMP Table'!$A$2:$C$26,3)*SIGN(S118-S119),"")</f>
        <v/>
      </c>
      <c r="AD118">
        <f>IF(AND(ISNUMBER(S118),ISNUMBER(S120)),VLOOKUP(ABS(S118-S120),'IMP Table'!$A$2:$C$26,3)*SIGN(S118-S120),"")</f>
        <v/>
      </c>
      <c r="AE118">
        <f>IF(AND(ISNUMBER(S118),ISNUMBER(S121)),VLOOKUP(ABS(S118-S121),'IMP Table'!$A$2:$C$26,3)*SIGN(S118-S121),"")</f>
        <v/>
      </c>
      <c r="AF118">
        <f>IF(AND(ISNUMBER(R118),ISNUMBER(R115)),IF(R118&gt;R115,1,IF(R118=R115,0.5,0)),0.5)</f>
        <v/>
      </c>
      <c r="AG118">
        <f>IF(AND(ISNUMBER(R118),ISNUMBER(R116)),IF(R118&gt;R116,1,IF(R118=R116,0.5,0)),0.5)</f>
        <v/>
      </c>
      <c r="AH118">
        <f>IF(AND(ISNUMBER(R118),ISNUMBER(R117)),IF(R118&gt;R117,1,IF(R118=R117,0.5,0)),0.5)</f>
        <v/>
      </c>
      <c r="AI118">
        <f>IF(AND(ISNUMBER(R118),ISNUMBER(R119)),IF(R118&gt;R119,1,IF(R118=R119,0.5,0)),0.5)</f>
        <v/>
      </c>
      <c r="AJ118">
        <f>IF(AND(ISNUMBER(R118),ISNUMBER(R120)),IF(R118&gt;R120,1,IF(R118=R120,0.5,0)),0.5)</f>
        <v/>
      </c>
      <c r="AK118">
        <f>IF(AND(ISNUMBER(R118),ISNUMBER(R121)),IF(R118&gt;R121,1,IF(R118=R121,0.5,0)),0.5)</f>
        <v/>
      </c>
      <c r="AL118">
        <f>IF(AND(ISNUMBER(S118),ISNUMBER(S115)),IF(S118&gt;S115,1,IF(S118=S115,0.5,0)),0.5)</f>
        <v/>
      </c>
      <c r="AM118">
        <f>IF(AND(ISNUMBER(S118),ISNUMBER(S116)),IF(S118&gt;S116,1,IF(S118=S116,0.5,0)),0.5)</f>
        <v/>
      </c>
      <c r="AN118">
        <f>IF(AND(ISNUMBER(S118),ISNUMBER(S117)),IF(S118&gt;S117,1,IF(S118=S117,0.5,0)),0.5)</f>
        <v/>
      </c>
      <c r="AO118">
        <f>IF(AND(ISNUMBER(S118),ISNUMBER(S119)),IF(S118&gt;S119,1,IF(S118=S119,0.5,0)),0.5)</f>
        <v/>
      </c>
      <c r="AP118">
        <f>IF(AND(ISNUMBER(S118),ISNUMBER(S120)),IF(S118&gt;S120,1,IF(S118=S120,0.5,0)),0.5)</f>
        <v/>
      </c>
      <c r="AQ118">
        <f>IF(AND(ISNUMBER(S118),ISNUMBER(S121)),IF(S118&gt;S121,1,IF(S118=S121,0.5,0)),0.5)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4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5">
        <f>IFERROR(AVERAGE(T119:Y119),"")</f>
        <v/>
      </c>
      <c r="M119" s="4">
        <f>IFERROR(AVERAGE(Z119:AE119),"")</f>
        <v/>
      </c>
      <c r="N119" s="5">
        <f>P119/6</f>
        <v/>
      </c>
      <c r="O119" s="5">
        <f>Q119/6</f>
        <v/>
      </c>
      <c r="P119" s="4">
        <f>IFERROR(SUM(AF119:AK119),"")</f>
        <v/>
      </c>
      <c r="Q119" s="4">
        <f>IFERROR(SUM(AL119:AQ119),"")</f>
        <v/>
      </c>
      <c r="R119" s="16">
        <f>IF(ISNUMBER(J119),J119,IF(ISNUMBER(K119),-K119,""))</f>
        <v/>
      </c>
      <c r="S119">
        <f>IF(ISNUMBER(K119),K119,IF(ISNUMBER(J119),-J119,""))</f>
        <v/>
      </c>
      <c r="T119">
        <f>IF(AND(ISNUMBER(R119),ISNUMBER(R115)),VLOOKUP(ABS(R119-R115),'IMP Table'!$A$2:$C$26,3)*SIGN(R119-R115),"")</f>
        <v/>
      </c>
      <c r="U119">
        <f>IF(AND(ISNUMBER(R119),ISNUMBER(R116)),VLOOKUP(ABS(R119-R116),'IMP Table'!$A$2:$C$26,3)*SIGN(R119-R116),"")</f>
        <v/>
      </c>
      <c r="V119">
        <f>IF(AND(ISNUMBER(R119),ISNUMBER(R117)),VLOOKUP(ABS(R119-R117),'IMP Table'!$A$2:$C$26,3)*SIGN(R119-R117),"")</f>
        <v/>
      </c>
      <c r="W119">
        <f>IF(AND(ISNUMBER(R119),ISNUMBER(R118)),VLOOKUP(ABS(R119-R118),'IMP Table'!$A$2:$C$26,3)*SIGN(R119-R118),"")</f>
        <v/>
      </c>
      <c r="X119">
        <f>IF(AND(ISNUMBER(R119),ISNUMBER(R120)),VLOOKUP(ABS(R119-R120),'IMP Table'!$A$2:$C$26,3)*SIGN(R119-R120),"")</f>
        <v/>
      </c>
      <c r="Y119">
        <f>IF(AND(ISNUMBER(R119),ISNUMBER(R121)),VLOOKUP(ABS(R119-R121),'IMP Table'!$A$2:$C$26,3)*SIGN(R119-R121),"")</f>
        <v/>
      </c>
      <c r="Z119">
        <f>IF(AND(ISNUMBER(S119),ISNUMBER(S115)),VLOOKUP(ABS(S119-S115),'IMP Table'!$A$2:$C$26,3)*SIGN(S119-S115),"")</f>
        <v/>
      </c>
      <c r="AA119">
        <f>IF(AND(ISNUMBER(S119),ISNUMBER(S116)),VLOOKUP(ABS(S119-S116),'IMP Table'!$A$2:$C$26,3)*SIGN(S119-S116),"")</f>
        <v/>
      </c>
      <c r="AB119">
        <f>IF(AND(ISNUMBER(S119),ISNUMBER(S117)),VLOOKUP(ABS(S119-S117),'IMP Table'!$A$2:$C$26,3)*SIGN(S119-S117),"")</f>
        <v/>
      </c>
      <c r="AC119">
        <f>IF(AND(ISNUMBER(S119),ISNUMBER(S118)),VLOOKUP(ABS(S119-S118),'IMP Table'!$A$2:$C$26,3)*SIGN(S119-S118),"")</f>
        <v/>
      </c>
      <c r="AD119">
        <f>IF(AND(ISNUMBER(S119),ISNUMBER(S120)),VLOOKUP(ABS(S119-S120),'IMP Table'!$A$2:$C$26,3)*SIGN(S119-S120),"")</f>
        <v/>
      </c>
      <c r="AE119">
        <f>IF(AND(ISNUMBER(S119),ISNUMBER(S121)),VLOOKUP(ABS(S119-S121),'IMP Table'!$A$2:$C$26,3)*SIGN(S119-S121),"")</f>
        <v/>
      </c>
      <c r="AF119">
        <f>IF(AND(ISNUMBER(R119),ISNUMBER(R115)),IF(R119&gt;R115,1,IF(R119=R115,0.5,0)),0.5)</f>
        <v/>
      </c>
      <c r="AG119">
        <f>IF(AND(ISNUMBER(R119),ISNUMBER(R116)),IF(R119&gt;R116,1,IF(R119=R116,0.5,0)),0.5)</f>
        <v/>
      </c>
      <c r="AH119">
        <f>IF(AND(ISNUMBER(R119),ISNUMBER(R117)),IF(R119&gt;R117,1,IF(R119=R117,0.5,0)),0.5)</f>
        <v/>
      </c>
      <c r="AI119">
        <f>IF(AND(ISNUMBER(R119),ISNUMBER(R118)),IF(R119&gt;R118,1,IF(R119=R118,0.5,0)),0.5)</f>
        <v/>
      </c>
      <c r="AJ119">
        <f>IF(AND(ISNUMBER(R119),ISNUMBER(R120)),IF(R119&gt;R120,1,IF(R119=R120,0.5,0)),0.5)</f>
        <v/>
      </c>
      <c r="AK119">
        <f>IF(AND(ISNUMBER(R119),ISNUMBER(R121)),IF(R119&gt;R121,1,IF(R119=R121,0.5,0)),0.5)</f>
        <v/>
      </c>
      <c r="AL119">
        <f>IF(AND(ISNUMBER(S119),ISNUMBER(S115)),IF(S119&gt;S115,1,IF(S119=S115,0.5,0)),0.5)</f>
        <v/>
      </c>
      <c r="AM119">
        <f>IF(AND(ISNUMBER(S119),ISNUMBER(S116)),IF(S119&gt;S116,1,IF(S119=S116,0.5,0)),0.5)</f>
        <v/>
      </c>
      <c r="AN119">
        <f>IF(AND(ISNUMBER(S119),ISNUMBER(S117)),IF(S119&gt;S117,1,IF(S119=S117,0.5,0)),0.5)</f>
        <v/>
      </c>
      <c r="AO119">
        <f>IF(AND(ISNUMBER(S119),ISNUMBER(S118)),IF(S119&gt;S118,1,IF(S119=S118,0.5,0)),0.5)</f>
        <v/>
      </c>
      <c r="AP119">
        <f>IF(AND(ISNUMBER(S119),ISNUMBER(S120)),IF(S119&gt;S120,1,IF(S119=S120,0.5,0)),0.5)</f>
        <v/>
      </c>
      <c r="AQ119">
        <f>IF(AND(ISNUMBER(S119),ISNUMBER(S121)),IF(S119&gt;S121,1,IF(S119=S121,0.5,0)),0.5)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4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5">
        <f>IFERROR(AVERAGE(T120:Y120),"")</f>
        <v/>
      </c>
      <c r="M120" s="4">
        <f>IFERROR(AVERAGE(Z120:AE120),"")</f>
        <v/>
      </c>
      <c r="N120" s="5">
        <f>P120/6</f>
        <v/>
      </c>
      <c r="O120" s="5">
        <f>Q120/6</f>
        <v/>
      </c>
      <c r="P120" s="4">
        <f>IFERROR(SUM(AF120:AK120),"")</f>
        <v/>
      </c>
      <c r="Q120" s="4">
        <f>IFERROR(SUM(AL120:AQ120),"")</f>
        <v/>
      </c>
      <c r="R120" s="16">
        <f>IF(ISNUMBER(J120),J120,IF(ISNUMBER(K120),-K120,""))</f>
        <v/>
      </c>
      <c r="S120">
        <f>IF(ISNUMBER(K120),K120,IF(ISNUMBER(J120),-J120,""))</f>
        <v/>
      </c>
      <c r="T120">
        <f>IF(AND(ISNUMBER(R120),ISNUMBER(R115)),VLOOKUP(ABS(R120-R115),'IMP Table'!$A$2:$C$26,3)*SIGN(R120-R115),"")</f>
        <v/>
      </c>
      <c r="U120">
        <f>IF(AND(ISNUMBER(R120),ISNUMBER(R116)),VLOOKUP(ABS(R120-R116),'IMP Table'!$A$2:$C$26,3)*SIGN(R120-R116),"")</f>
        <v/>
      </c>
      <c r="V120">
        <f>IF(AND(ISNUMBER(R120),ISNUMBER(R117)),VLOOKUP(ABS(R120-R117),'IMP Table'!$A$2:$C$26,3)*SIGN(R120-R117),"")</f>
        <v/>
      </c>
      <c r="W120">
        <f>IF(AND(ISNUMBER(R120),ISNUMBER(R118)),VLOOKUP(ABS(R120-R118),'IMP Table'!$A$2:$C$26,3)*SIGN(R120-R118),"")</f>
        <v/>
      </c>
      <c r="X120">
        <f>IF(AND(ISNUMBER(R120),ISNUMBER(R119)),VLOOKUP(ABS(R120-R119),'IMP Table'!$A$2:$C$26,3)*SIGN(R120-R119),"")</f>
        <v/>
      </c>
      <c r="Y120">
        <f>IF(AND(ISNUMBER(R120),ISNUMBER(R121)),VLOOKUP(ABS(R120-R121),'IMP Table'!$A$2:$C$26,3)*SIGN(R120-R121),"")</f>
        <v/>
      </c>
      <c r="Z120">
        <f>IF(AND(ISNUMBER(S120),ISNUMBER(S115)),VLOOKUP(ABS(S120-S115),'IMP Table'!$A$2:$C$26,3)*SIGN(S120-S115),"")</f>
        <v/>
      </c>
      <c r="AA120">
        <f>IF(AND(ISNUMBER(S120),ISNUMBER(S116)),VLOOKUP(ABS(S120-S116),'IMP Table'!$A$2:$C$26,3)*SIGN(S120-S116),"")</f>
        <v/>
      </c>
      <c r="AB120">
        <f>IF(AND(ISNUMBER(S120),ISNUMBER(S117)),VLOOKUP(ABS(S120-S117),'IMP Table'!$A$2:$C$26,3)*SIGN(S120-S117),"")</f>
        <v/>
      </c>
      <c r="AC120">
        <f>IF(AND(ISNUMBER(S120),ISNUMBER(S118)),VLOOKUP(ABS(S120-S118),'IMP Table'!$A$2:$C$26,3)*SIGN(S120-S118),"")</f>
        <v/>
      </c>
      <c r="AD120">
        <f>IF(AND(ISNUMBER(S120),ISNUMBER(S119)),VLOOKUP(ABS(S120-S119),'IMP Table'!$A$2:$C$26,3)*SIGN(S120-S119),"")</f>
        <v/>
      </c>
      <c r="AE120">
        <f>IF(AND(ISNUMBER(S120),ISNUMBER(S121)),VLOOKUP(ABS(S120-S121),'IMP Table'!$A$2:$C$26,3)*SIGN(S120-S121),"")</f>
        <v/>
      </c>
      <c r="AF120">
        <f>IF(AND(ISNUMBER(R120),ISNUMBER(R115)),IF(R120&gt;R115,1,IF(R120=R115,0.5,0)),0.5)</f>
        <v/>
      </c>
      <c r="AG120">
        <f>IF(AND(ISNUMBER(R120),ISNUMBER(R116)),IF(R120&gt;R116,1,IF(R120=R116,0.5,0)),0.5)</f>
        <v/>
      </c>
      <c r="AH120">
        <f>IF(AND(ISNUMBER(R120),ISNUMBER(R117)),IF(R120&gt;R117,1,IF(R120=R117,0.5,0)),0.5)</f>
        <v/>
      </c>
      <c r="AI120">
        <f>IF(AND(ISNUMBER(R120),ISNUMBER(R118)),IF(R120&gt;R118,1,IF(R120=R118,0.5,0)),0.5)</f>
        <v/>
      </c>
      <c r="AJ120">
        <f>IF(AND(ISNUMBER(R120),ISNUMBER(R119)),IF(R120&gt;R119,1,IF(R120=R119,0.5,0)),0.5)</f>
        <v/>
      </c>
      <c r="AK120">
        <f>IF(AND(ISNUMBER(R120),ISNUMBER(R121)),IF(R120&gt;R121,1,IF(R120=R121,0.5,0)),0.5)</f>
        <v/>
      </c>
      <c r="AL120">
        <f>IF(AND(ISNUMBER(S120),ISNUMBER(S115)),IF(S120&gt;S115,1,IF(S120=S115,0.5,0)),0.5)</f>
        <v/>
      </c>
      <c r="AM120">
        <f>IF(AND(ISNUMBER(S120),ISNUMBER(S116)),IF(S120&gt;S116,1,IF(S120=S116,0.5,0)),0.5)</f>
        <v/>
      </c>
      <c r="AN120">
        <f>IF(AND(ISNUMBER(S120),ISNUMBER(S117)),IF(S120&gt;S117,1,IF(S120=S117,0.5,0)),0.5)</f>
        <v/>
      </c>
      <c r="AO120">
        <f>IF(AND(ISNUMBER(S120),ISNUMBER(S118)),IF(S120&gt;S118,1,IF(S120=S118,0.5,0)),0.5)</f>
        <v/>
      </c>
      <c r="AP120">
        <f>IF(AND(ISNUMBER(S120),ISNUMBER(S119)),IF(S120&gt;S119,1,IF(S120=S119,0.5,0)),0.5)</f>
        <v/>
      </c>
      <c r="AQ120">
        <f>IF(AND(ISNUMBER(S120),ISNUMBER(S121)),IF(S120&gt;S121,1,IF(S120=S121,0.5,0)),0.5)</f>
        <v/>
      </c>
    </row>
    <row r="121">
      <c r="A121" s="13" t="n"/>
      <c r="B121" s="13">
        <f>'By Round'!A171</f>
        <v/>
      </c>
      <c r="C121" s="13">
        <f>'By Round'!B179</f>
        <v/>
      </c>
      <c r="D121" s="13">
        <f>'By Round'!C179</f>
        <v/>
      </c>
      <c r="E121" s="13">
        <f>'By Round'!D179</f>
        <v/>
      </c>
      <c r="F121" s="17" t="inlineStr">
        <is>
          <t>None</t>
        </is>
      </c>
      <c r="G121" s="13">
        <f>IF(ISBLANK('By Round'!G179),"",'By Round'!G179)</f>
        <v/>
      </c>
      <c r="H121" s="13">
        <f>IF(ISBLANK('By Round'!H179),"",'By Round'!H179)</f>
        <v/>
      </c>
      <c r="I121" s="13">
        <f>IF(ISBLANK('By Round'!I179),"",'By Round'!I179)</f>
        <v/>
      </c>
      <c r="J121" s="13">
        <f>IF(ISBLANK('By Round'!J179),"",'By Round'!J179)</f>
        <v/>
      </c>
      <c r="K121" s="13">
        <f>IF(ISBLANK('By Round'!K179),"",'By Round'!K179)</f>
        <v/>
      </c>
      <c r="L121" s="18">
        <f>IFERROR(AVERAGE(T121:Y121),"")</f>
        <v/>
      </c>
      <c r="M121" s="19">
        <f>IFERROR(AVERAGE(Z121:AE121),"")</f>
        <v/>
      </c>
      <c r="N121" s="20">
        <f>P121/6</f>
        <v/>
      </c>
      <c r="O121" s="20">
        <f>Q121/6</f>
        <v/>
      </c>
      <c r="P121" s="19">
        <f>IFERROR(SUM(AF121:AK121),"")</f>
        <v/>
      </c>
      <c r="Q121" s="19">
        <f>IFERROR(SUM(AL121:AQ121),"")</f>
        <v/>
      </c>
      <c r="R121" s="21">
        <f>IF(ISNUMBER(J121),J121,IF(ISNUMBER(K121),-K121,""))</f>
        <v/>
      </c>
      <c r="S121" s="13">
        <f>IF(ISNUMBER(K121),K121,IF(ISNUMBER(J121),-J121,""))</f>
        <v/>
      </c>
      <c r="T121" s="13">
        <f>IF(AND(ISNUMBER(R121),ISNUMBER(R115)),VLOOKUP(ABS(R121-R115),'IMP Table'!$A$2:$C$26,3)*SIGN(R121-R115),"")</f>
        <v/>
      </c>
      <c r="U121" s="13">
        <f>IF(AND(ISNUMBER(R121),ISNUMBER(R116)),VLOOKUP(ABS(R121-R116),'IMP Table'!$A$2:$C$26,3)*SIGN(R121-R116),"")</f>
        <v/>
      </c>
      <c r="V121" s="13">
        <f>IF(AND(ISNUMBER(R121),ISNUMBER(R117)),VLOOKUP(ABS(R121-R117),'IMP Table'!$A$2:$C$26,3)*SIGN(R121-R117),"")</f>
        <v/>
      </c>
      <c r="W121" s="13">
        <f>IF(AND(ISNUMBER(R121),ISNUMBER(R118)),VLOOKUP(ABS(R121-R118),'IMP Table'!$A$2:$C$26,3)*SIGN(R121-R118),"")</f>
        <v/>
      </c>
      <c r="X121" s="13">
        <f>IF(AND(ISNUMBER(R121),ISNUMBER(R119)),VLOOKUP(ABS(R121-R119),'IMP Table'!$A$2:$C$26,3)*SIGN(R121-R119),"")</f>
        <v/>
      </c>
      <c r="Y121" s="13">
        <f>IF(AND(ISNUMBER(R121),ISNUMBER(R120)),VLOOKUP(ABS(R121-R120),'IMP Table'!$A$2:$C$26,3)*SIGN(R121-R120),"")</f>
        <v/>
      </c>
      <c r="Z121" s="13">
        <f>IF(AND(ISNUMBER(S121),ISNUMBER(S115)),VLOOKUP(ABS(S121-S115),'IMP Table'!$A$2:$C$26,3)*SIGN(S121-S115),"")</f>
        <v/>
      </c>
      <c r="AA121" s="13">
        <f>IF(AND(ISNUMBER(S121),ISNUMBER(S116)),VLOOKUP(ABS(S121-S116),'IMP Table'!$A$2:$C$26,3)*SIGN(S121-S116),"")</f>
        <v/>
      </c>
      <c r="AB121" s="13">
        <f>IF(AND(ISNUMBER(S121),ISNUMBER(S117)),VLOOKUP(ABS(S121-S117),'IMP Table'!$A$2:$C$26,3)*SIGN(S121-S117),"")</f>
        <v/>
      </c>
      <c r="AC121" s="13">
        <f>IF(AND(ISNUMBER(S121),ISNUMBER(S118)),VLOOKUP(ABS(S121-S118),'IMP Table'!$A$2:$C$26,3)*SIGN(S121-S118),"")</f>
        <v/>
      </c>
      <c r="AD121" s="13">
        <f>IF(AND(ISNUMBER(S121),ISNUMBER(S119)),VLOOKUP(ABS(S121-S119),'IMP Table'!$A$2:$C$26,3)*SIGN(S121-S119),"")</f>
        <v/>
      </c>
      <c r="AE121" s="13">
        <f>IF(AND(ISNUMBER(S121),ISNUMBER(S120)),VLOOKUP(ABS(S121-S120),'IMP Table'!$A$2:$C$26,3)*SIGN(S121-S120),"")</f>
        <v/>
      </c>
      <c r="AF121" s="13">
        <f>IF(AND(ISNUMBER(R121),ISNUMBER(R115)),IF(R121&gt;R115,1,IF(R121=R115,0.5,0)),0.5)</f>
        <v/>
      </c>
      <c r="AG121" s="13">
        <f>IF(AND(ISNUMBER(R121),ISNUMBER(R116)),IF(R121&gt;R116,1,IF(R121=R116,0.5,0)),0.5)</f>
        <v/>
      </c>
      <c r="AH121" s="13">
        <f>IF(AND(ISNUMBER(R121),ISNUMBER(R117)),IF(R121&gt;R117,1,IF(R121=R117,0.5,0)),0.5)</f>
        <v/>
      </c>
      <c r="AI121" s="13">
        <f>IF(AND(ISNUMBER(R121),ISNUMBER(R118)),IF(R121&gt;R118,1,IF(R121=R118,0.5,0)),0.5)</f>
        <v/>
      </c>
      <c r="AJ121" s="13">
        <f>IF(AND(ISNUMBER(R121),ISNUMBER(R119)),IF(R121&gt;R119,1,IF(R121=R119,0.5,0)),0.5)</f>
        <v/>
      </c>
      <c r="AK121" s="13">
        <f>IF(AND(ISNUMBER(R121),ISNUMBER(R120)),IF(R121&gt;R120,1,IF(R121=R120,0.5,0)),0.5)</f>
        <v/>
      </c>
      <c r="AL121" s="13">
        <f>IF(AND(ISNUMBER(S121),ISNUMBER(S115)),IF(S121&gt;S115,1,IF(S121=S115,0.5,0)),0.5)</f>
        <v/>
      </c>
      <c r="AM121" s="13">
        <f>IF(AND(ISNUMBER(S121),ISNUMBER(S116)),IF(S121&gt;S116,1,IF(S121=S116,0.5,0)),0.5)</f>
        <v/>
      </c>
      <c r="AN121" s="13">
        <f>IF(AND(ISNUMBER(S121),ISNUMBER(S117)),IF(S121&gt;S117,1,IF(S121=S117,0.5,0)),0.5)</f>
        <v/>
      </c>
      <c r="AO121" s="13">
        <f>IF(AND(ISNUMBER(S121),ISNUMBER(S118)),IF(S121&gt;S118,1,IF(S121=S118,0.5,0)),0.5)</f>
        <v/>
      </c>
      <c r="AP121" s="13">
        <f>IF(AND(ISNUMBER(S121),ISNUMBER(S119)),IF(S121&gt;S119,1,IF(S121=S119,0.5,0)),0.5)</f>
        <v/>
      </c>
      <c r="AQ121" s="13">
        <f>IF(AND(ISNUMBER(S121),ISNUMBER(S120)),IF(S121&gt;S120,1,IF(S121=S120,0.5,0)),0.5)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4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5">
        <f>IFERROR(AVERAGE(T122:Y122),"")</f>
        <v/>
      </c>
      <c r="M122" s="4">
        <f>IFERROR(AVERAGE(Z122:AE122),"")</f>
        <v/>
      </c>
      <c r="N122" s="5">
        <f>P122/6</f>
        <v/>
      </c>
      <c r="O122" s="5">
        <f>Q122/6</f>
        <v/>
      </c>
      <c r="P122" s="4">
        <f>IFERROR(SUM(AF122:AK122),"")</f>
        <v/>
      </c>
      <c r="Q122" s="4">
        <f>IFERROR(SUM(AL122:AQ122),"")</f>
        <v/>
      </c>
      <c r="R122" s="16">
        <f>IF(ISNUMBER(J122),J122,IF(ISNUMBER(K122),-K122,""))</f>
        <v/>
      </c>
      <c r="S122">
        <f>IF(ISNUMBER(K122),K122,IF(ISNUMBER(J122),-J122,""))</f>
        <v/>
      </c>
      <c r="T122">
        <f>IF(AND(ISNUMBER(R122),ISNUMBER(R123)),VLOOKUP(ABS(R122-R123),'IMP Table'!$A$2:$C$26,3)*SIGN(R122-R123),"")</f>
        <v/>
      </c>
      <c r="U122">
        <f>IF(AND(ISNUMBER(R122),ISNUMBER(R124)),VLOOKUP(ABS(R122-R124),'IMP Table'!$A$2:$C$26,3)*SIGN(R122-R124),"")</f>
        <v/>
      </c>
      <c r="V122">
        <f>IF(AND(ISNUMBER(R122),ISNUMBER(R125)),VLOOKUP(ABS(R122-R125),'IMP Table'!$A$2:$C$26,3)*SIGN(R122-R125),"")</f>
        <v/>
      </c>
      <c r="W122">
        <f>IF(AND(ISNUMBER(R122),ISNUMBER(R126)),VLOOKUP(ABS(R122-R126),'IMP Table'!$A$2:$C$26,3)*SIGN(R122-R126),"")</f>
        <v/>
      </c>
      <c r="X122">
        <f>IF(AND(ISNUMBER(R122),ISNUMBER(R127)),VLOOKUP(ABS(R122-R127),'IMP Table'!$A$2:$C$26,3)*SIGN(R122-R127),"")</f>
        <v/>
      </c>
      <c r="Y122">
        <f>IF(AND(ISNUMBER(R122),ISNUMBER(R128)),VLOOKUP(ABS(R122-R128),'IMP Table'!$A$2:$C$26,3)*SIGN(R122-R128),"")</f>
        <v/>
      </c>
      <c r="Z122">
        <f>IF(AND(ISNUMBER(S122),ISNUMBER(S123)),VLOOKUP(ABS(S122-S123),'IMP Table'!$A$2:$C$26,3)*SIGN(S122-S123),"")</f>
        <v/>
      </c>
      <c r="AA122">
        <f>IF(AND(ISNUMBER(S122),ISNUMBER(S124)),VLOOKUP(ABS(S122-S124),'IMP Table'!$A$2:$C$26,3)*SIGN(S122-S124),"")</f>
        <v/>
      </c>
      <c r="AB122">
        <f>IF(AND(ISNUMBER(S122),ISNUMBER(S125)),VLOOKUP(ABS(S122-S125),'IMP Table'!$A$2:$C$26,3)*SIGN(S122-S125),"")</f>
        <v/>
      </c>
      <c r="AC122">
        <f>IF(AND(ISNUMBER(S122),ISNUMBER(S126)),VLOOKUP(ABS(S122-S126),'IMP Table'!$A$2:$C$26,3)*SIGN(S122-S126),"")</f>
        <v/>
      </c>
      <c r="AD122">
        <f>IF(AND(ISNUMBER(S122),ISNUMBER(S127)),VLOOKUP(ABS(S122-S127),'IMP Table'!$A$2:$C$26,3)*SIGN(S122-S127),"")</f>
        <v/>
      </c>
      <c r="AE122">
        <f>IF(AND(ISNUMBER(S122),ISNUMBER(S128)),VLOOKUP(ABS(S122-S128),'IMP Table'!$A$2:$C$26,3)*SIGN(S122-S128),"")</f>
        <v/>
      </c>
      <c r="AF122">
        <f>IF(AND(ISNUMBER(R122),ISNUMBER(R123)),IF(R122&gt;R123,1,IF(R122=R123,0.5,0)),0.5)</f>
        <v/>
      </c>
      <c r="AG122">
        <f>IF(AND(ISNUMBER(R122),ISNUMBER(R124)),IF(R122&gt;R124,1,IF(R122=R124,0.5,0)),0.5)</f>
        <v/>
      </c>
      <c r="AH122">
        <f>IF(AND(ISNUMBER(R122),ISNUMBER(R125)),IF(R122&gt;R125,1,IF(R122=R125,0.5,0)),0.5)</f>
        <v/>
      </c>
      <c r="AI122">
        <f>IF(AND(ISNUMBER(R122),ISNUMBER(R126)),IF(R122&gt;R126,1,IF(R122=R126,0.5,0)),0.5)</f>
        <v/>
      </c>
      <c r="AJ122">
        <f>IF(AND(ISNUMBER(R122),ISNUMBER(R127)),IF(R122&gt;R127,1,IF(R122=R127,0.5,0)),0.5)</f>
        <v/>
      </c>
      <c r="AK122">
        <f>IF(AND(ISNUMBER(R122),ISNUMBER(R128)),IF(R122&gt;R128,1,IF(R122=R128,0.5,0)),0.5)</f>
        <v/>
      </c>
      <c r="AL122">
        <f>IF(AND(ISNUMBER(S122),ISNUMBER(S123)),IF(S122&gt;S123,1,IF(S122=S123,0.5,0)),0.5)</f>
        <v/>
      </c>
      <c r="AM122">
        <f>IF(AND(ISNUMBER(S122),ISNUMBER(S124)),IF(S122&gt;S124,1,IF(S122=S124,0.5,0)),0.5)</f>
        <v/>
      </c>
      <c r="AN122">
        <f>IF(AND(ISNUMBER(S122),ISNUMBER(S125)),IF(S122&gt;S125,1,IF(S122=S125,0.5,0)),0.5)</f>
        <v/>
      </c>
      <c r="AO122">
        <f>IF(AND(ISNUMBER(S122),ISNUMBER(S126)),IF(S122&gt;S126,1,IF(S122=S126,0.5,0)),0.5)</f>
        <v/>
      </c>
      <c r="AP122">
        <f>IF(AND(ISNUMBER(S122),ISNUMBER(S127)),IF(S122&gt;S127,1,IF(S122=S127,0.5,0)),0.5)</f>
        <v/>
      </c>
      <c r="AQ122">
        <f>IF(AND(ISNUMBER(S122),ISNUMBER(S128)),IF(S122&gt;S128,1,IF(S122=S128,0.5,0)),0.5)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4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5">
        <f>IFERROR(AVERAGE(T123:Y123),"")</f>
        <v/>
      </c>
      <c r="M123" s="4">
        <f>IFERROR(AVERAGE(Z123:AE123),"")</f>
        <v/>
      </c>
      <c r="N123" s="5">
        <f>P123/6</f>
        <v/>
      </c>
      <c r="O123" s="5">
        <f>Q123/6</f>
        <v/>
      </c>
      <c r="P123" s="4">
        <f>IFERROR(SUM(AF123:AK123),"")</f>
        <v/>
      </c>
      <c r="Q123" s="4">
        <f>IFERROR(SUM(AL123:AQ123),"")</f>
        <v/>
      </c>
      <c r="R123" s="16">
        <f>IF(ISNUMBER(J123),J123,IF(ISNUMBER(K123),-K123,""))</f>
        <v/>
      </c>
      <c r="S123">
        <f>IF(ISNUMBER(K123),K123,IF(ISNUMBER(J123),-J123,""))</f>
        <v/>
      </c>
      <c r="T123">
        <f>IF(AND(ISNUMBER(R123),ISNUMBER(R122)),VLOOKUP(ABS(R123-R122),'IMP Table'!$A$2:$C$26,3)*SIGN(R123-R122),"")</f>
        <v/>
      </c>
      <c r="U123">
        <f>IF(AND(ISNUMBER(R123),ISNUMBER(R124)),VLOOKUP(ABS(R123-R124),'IMP Table'!$A$2:$C$26,3)*SIGN(R123-R124),"")</f>
        <v/>
      </c>
      <c r="V123">
        <f>IF(AND(ISNUMBER(R123),ISNUMBER(R125)),VLOOKUP(ABS(R123-R125),'IMP Table'!$A$2:$C$26,3)*SIGN(R123-R125),"")</f>
        <v/>
      </c>
      <c r="W123">
        <f>IF(AND(ISNUMBER(R123),ISNUMBER(R126)),VLOOKUP(ABS(R123-R126),'IMP Table'!$A$2:$C$26,3)*SIGN(R123-R126),"")</f>
        <v/>
      </c>
      <c r="X123">
        <f>IF(AND(ISNUMBER(R123),ISNUMBER(R127)),VLOOKUP(ABS(R123-R127),'IMP Table'!$A$2:$C$26,3)*SIGN(R123-R127),"")</f>
        <v/>
      </c>
      <c r="Y123">
        <f>IF(AND(ISNUMBER(R123),ISNUMBER(R128)),VLOOKUP(ABS(R123-R128),'IMP Table'!$A$2:$C$26,3)*SIGN(R123-R128),"")</f>
        <v/>
      </c>
      <c r="Z123">
        <f>IF(AND(ISNUMBER(S123),ISNUMBER(S122)),VLOOKUP(ABS(S123-S122),'IMP Table'!$A$2:$C$26,3)*SIGN(S123-S122),"")</f>
        <v/>
      </c>
      <c r="AA123">
        <f>IF(AND(ISNUMBER(S123),ISNUMBER(S124)),VLOOKUP(ABS(S123-S124),'IMP Table'!$A$2:$C$26,3)*SIGN(S123-S124),"")</f>
        <v/>
      </c>
      <c r="AB123">
        <f>IF(AND(ISNUMBER(S123),ISNUMBER(S125)),VLOOKUP(ABS(S123-S125),'IMP Table'!$A$2:$C$26,3)*SIGN(S123-S125),"")</f>
        <v/>
      </c>
      <c r="AC123">
        <f>IF(AND(ISNUMBER(S123),ISNUMBER(S126)),VLOOKUP(ABS(S123-S126),'IMP Table'!$A$2:$C$26,3)*SIGN(S123-S126),"")</f>
        <v/>
      </c>
      <c r="AD123">
        <f>IF(AND(ISNUMBER(S123),ISNUMBER(S127)),VLOOKUP(ABS(S123-S127),'IMP Table'!$A$2:$C$26,3)*SIGN(S123-S127),"")</f>
        <v/>
      </c>
      <c r="AE123">
        <f>IF(AND(ISNUMBER(S123),ISNUMBER(S128)),VLOOKUP(ABS(S123-S128),'IMP Table'!$A$2:$C$26,3)*SIGN(S123-S128),"")</f>
        <v/>
      </c>
      <c r="AF123">
        <f>IF(AND(ISNUMBER(R123),ISNUMBER(R122)),IF(R123&gt;R122,1,IF(R123=R122,0.5,0)),0.5)</f>
        <v/>
      </c>
      <c r="AG123">
        <f>IF(AND(ISNUMBER(R123),ISNUMBER(R124)),IF(R123&gt;R124,1,IF(R123=R124,0.5,0)),0.5)</f>
        <v/>
      </c>
      <c r="AH123">
        <f>IF(AND(ISNUMBER(R123),ISNUMBER(R125)),IF(R123&gt;R125,1,IF(R123=R125,0.5,0)),0.5)</f>
        <v/>
      </c>
      <c r="AI123">
        <f>IF(AND(ISNUMBER(R123),ISNUMBER(R126)),IF(R123&gt;R126,1,IF(R123=R126,0.5,0)),0.5)</f>
        <v/>
      </c>
      <c r="AJ123">
        <f>IF(AND(ISNUMBER(R123),ISNUMBER(R127)),IF(R123&gt;R127,1,IF(R123=R127,0.5,0)),0.5)</f>
        <v/>
      </c>
      <c r="AK123">
        <f>IF(AND(ISNUMBER(R123),ISNUMBER(R128)),IF(R123&gt;R128,1,IF(R123=R128,0.5,0)),0.5)</f>
        <v/>
      </c>
      <c r="AL123">
        <f>IF(AND(ISNUMBER(S123),ISNUMBER(S122)),IF(S123&gt;S122,1,IF(S123=S122,0.5,0)),0.5)</f>
        <v/>
      </c>
      <c r="AM123">
        <f>IF(AND(ISNUMBER(S123),ISNUMBER(S124)),IF(S123&gt;S124,1,IF(S123=S124,0.5,0)),0.5)</f>
        <v/>
      </c>
      <c r="AN123">
        <f>IF(AND(ISNUMBER(S123),ISNUMBER(S125)),IF(S123&gt;S125,1,IF(S123=S125,0.5,0)),0.5)</f>
        <v/>
      </c>
      <c r="AO123">
        <f>IF(AND(ISNUMBER(S123),ISNUMBER(S126)),IF(S123&gt;S126,1,IF(S123=S126,0.5,0)),0.5)</f>
        <v/>
      </c>
      <c r="AP123">
        <f>IF(AND(ISNUMBER(S123),ISNUMBER(S127)),IF(S123&gt;S127,1,IF(S123=S127,0.5,0)),0.5)</f>
        <v/>
      </c>
      <c r="AQ123">
        <f>IF(AND(ISNUMBER(S123),ISNUMBER(S128)),IF(S123&gt;S128,1,IF(S123=S128,0.5,0)),0.5)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4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5">
        <f>IFERROR(AVERAGE(T124:Y124),"")</f>
        <v/>
      </c>
      <c r="M124" s="4">
        <f>IFERROR(AVERAGE(Z124:AE124),"")</f>
        <v/>
      </c>
      <c r="N124" s="5">
        <f>P124/6</f>
        <v/>
      </c>
      <c r="O124" s="5">
        <f>Q124/6</f>
        <v/>
      </c>
      <c r="P124" s="4">
        <f>IFERROR(SUM(AF124:AK124),"")</f>
        <v/>
      </c>
      <c r="Q124" s="4">
        <f>IFERROR(SUM(AL124:AQ124),"")</f>
        <v/>
      </c>
      <c r="R124" s="16">
        <f>IF(ISNUMBER(J124),J124,IF(ISNUMBER(K124),-K124,""))</f>
        <v/>
      </c>
      <c r="S124">
        <f>IF(ISNUMBER(K124),K124,IF(ISNUMBER(J124),-J124,""))</f>
        <v/>
      </c>
      <c r="T124">
        <f>IF(AND(ISNUMBER(R124),ISNUMBER(R122)),VLOOKUP(ABS(R124-R122),'IMP Table'!$A$2:$C$26,3)*SIGN(R124-R122),"")</f>
        <v/>
      </c>
      <c r="U124">
        <f>IF(AND(ISNUMBER(R124),ISNUMBER(R123)),VLOOKUP(ABS(R124-R123),'IMP Table'!$A$2:$C$26,3)*SIGN(R124-R123),"")</f>
        <v/>
      </c>
      <c r="V124">
        <f>IF(AND(ISNUMBER(R124),ISNUMBER(R125)),VLOOKUP(ABS(R124-R125),'IMP Table'!$A$2:$C$26,3)*SIGN(R124-R125),"")</f>
        <v/>
      </c>
      <c r="W124">
        <f>IF(AND(ISNUMBER(R124),ISNUMBER(R126)),VLOOKUP(ABS(R124-R126),'IMP Table'!$A$2:$C$26,3)*SIGN(R124-R126),"")</f>
        <v/>
      </c>
      <c r="X124">
        <f>IF(AND(ISNUMBER(R124),ISNUMBER(R127)),VLOOKUP(ABS(R124-R127),'IMP Table'!$A$2:$C$26,3)*SIGN(R124-R127),"")</f>
        <v/>
      </c>
      <c r="Y124">
        <f>IF(AND(ISNUMBER(R124),ISNUMBER(R128)),VLOOKUP(ABS(R124-R128),'IMP Table'!$A$2:$C$26,3)*SIGN(R124-R128),"")</f>
        <v/>
      </c>
      <c r="Z124">
        <f>IF(AND(ISNUMBER(S124),ISNUMBER(S122)),VLOOKUP(ABS(S124-S122),'IMP Table'!$A$2:$C$26,3)*SIGN(S124-S122),"")</f>
        <v/>
      </c>
      <c r="AA124">
        <f>IF(AND(ISNUMBER(S124),ISNUMBER(S123)),VLOOKUP(ABS(S124-S123),'IMP Table'!$A$2:$C$26,3)*SIGN(S124-S123),"")</f>
        <v/>
      </c>
      <c r="AB124">
        <f>IF(AND(ISNUMBER(S124),ISNUMBER(S125)),VLOOKUP(ABS(S124-S125),'IMP Table'!$A$2:$C$26,3)*SIGN(S124-S125),"")</f>
        <v/>
      </c>
      <c r="AC124">
        <f>IF(AND(ISNUMBER(S124),ISNUMBER(S126)),VLOOKUP(ABS(S124-S126),'IMP Table'!$A$2:$C$26,3)*SIGN(S124-S126),"")</f>
        <v/>
      </c>
      <c r="AD124">
        <f>IF(AND(ISNUMBER(S124),ISNUMBER(S127)),VLOOKUP(ABS(S124-S127),'IMP Table'!$A$2:$C$26,3)*SIGN(S124-S127),"")</f>
        <v/>
      </c>
      <c r="AE124">
        <f>IF(AND(ISNUMBER(S124),ISNUMBER(S128)),VLOOKUP(ABS(S124-S128),'IMP Table'!$A$2:$C$26,3)*SIGN(S124-S128),"")</f>
        <v/>
      </c>
      <c r="AF124">
        <f>IF(AND(ISNUMBER(R124),ISNUMBER(R122)),IF(R124&gt;R122,1,IF(R124=R122,0.5,0)),0.5)</f>
        <v/>
      </c>
      <c r="AG124">
        <f>IF(AND(ISNUMBER(R124),ISNUMBER(R123)),IF(R124&gt;R123,1,IF(R124=R123,0.5,0)),0.5)</f>
        <v/>
      </c>
      <c r="AH124">
        <f>IF(AND(ISNUMBER(R124),ISNUMBER(R125)),IF(R124&gt;R125,1,IF(R124=R125,0.5,0)),0.5)</f>
        <v/>
      </c>
      <c r="AI124">
        <f>IF(AND(ISNUMBER(R124),ISNUMBER(R126)),IF(R124&gt;R126,1,IF(R124=R126,0.5,0)),0.5)</f>
        <v/>
      </c>
      <c r="AJ124">
        <f>IF(AND(ISNUMBER(R124),ISNUMBER(R127)),IF(R124&gt;R127,1,IF(R124=R127,0.5,0)),0.5)</f>
        <v/>
      </c>
      <c r="AK124">
        <f>IF(AND(ISNUMBER(R124),ISNUMBER(R128)),IF(R124&gt;R128,1,IF(R124=R128,0.5,0)),0.5)</f>
        <v/>
      </c>
      <c r="AL124">
        <f>IF(AND(ISNUMBER(S124),ISNUMBER(S122)),IF(S124&gt;S122,1,IF(S124=S122,0.5,0)),0.5)</f>
        <v/>
      </c>
      <c r="AM124">
        <f>IF(AND(ISNUMBER(S124),ISNUMBER(S123)),IF(S124&gt;S123,1,IF(S124=S123,0.5,0)),0.5)</f>
        <v/>
      </c>
      <c r="AN124">
        <f>IF(AND(ISNUMBER(S124),ISNUMBER(S125)),IF(S124&gt;S125,1,IF(S124=S125,0.5,0)),0.5)</f>
        <v/>
      </c>
      <c r="AO124">
        <f>IF(AND(ISNUMBER(S124),ISNUMBER(S126)),IF(S124&gt;S126,1,IF(S124=S126,0.5,0)),0.5)</f>
        <v/>
      </c>
      <c r="AP124">
        <f>IF(AND(ISNUMBER(S124),ISNUMBER(S127)),IF(S124&gt;S127,1,IF(S124=S127,0.5,0)),0.5)</f>
        <v/>
      </c>
      <c r="AQ124">
        <f>IF(AND(ISNUMBER(S124),ISNUMBER(S128)),IF(S124&gt;S128,1,IF(S124=S128,0.5,0)),0.5)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4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5">
        <f>IFERROR(AVERAGE(T125:Y125),"")</f>
        <v/>
      </c>
      <c r="M125" s="4">
        <f>IFERROR(AVERAGE(Z125:AE125),"")</f>
        <v/>
      </c>
      <c r="N125" s="5">
        <f>P125/6</f>
        <v/>
      </c>
      <c r="O125" s="5">
        <f>Q125/6</f>
        <v/>
      </c>
      <c r="P125" s="4">
        <f>IFERROR(SUM(AF125:AK125),"")</f>
        <v/>
      </c>
      <c r="Q125" s="4">
        <f>IFERROR(SUM(AL125:AQ125),"")</f>
        <v/>
      </c>
      <c r="R125" s="16">
        <f>IF(ISNUMBER(J125),J125,IF(ISNUMBER(K125),-K125,""))</f>
        <v/>
      </c>
      <c r="S125">
        <f>IF(ISNUMBER(K125),K125,IF(ISNUMBER(J125),-J125,""))</f>
        <v/>
      </c>
      <c r="T125">
        <f>IF(AND(ISNUMBER(R125),ISNUMBER(R122)),VLOOKUP(ABS(R125-R122),'IMP Table'!$A$2:$C$26,3)*SIGN(R125-R122),"")</f>
        <v/>
      </c>
      <c r="U125">
        <f>IF(AND(ISNUMBER(R125),ISNUMBER(R123)),VLOOKUP(ABS(R125-R123),'IMP Table'!$A$2:$C$26,3)*SIGN(R125-R123),"")</f>
        <v/>
      </c>
      <c r="V125">
        <f>IF(AND(ISNUMBER(R125),ISNUMBER(R124)),VLOOKUP(ABS(R125-R124),'IMP Table'!$A$2:$C$26,3)*SIGN(R125-R124),"")</f>
        <v/>
      </c>
      <c r="W125">
        <f>IF(AND(ISNUMBER(R125),ISNUMBER(R126)),VLOOKUP(ABS(R125-R126),'IMP Table'!$A$2:$C$26,3)*SIGN(R125-R126),"")</f>
        <v/>
      </c>
      <c r="X125">
        <f>IF(AND(ISNUMBER(R125),ISNUMBER(R127)),VLOOKUP(ABS(R125-R127),'IMP Table'!$A$2:$C$26,3)*SIGN(R125-R127),"")</f>
        <v/>
      </c>
      <c r="Y125">
        <f>IF(AND(ISNUMBER(R125),ISNUMBER(R128)),VLOOKUP(ABS(R125-R128),'IMP Table'!$A$2:$C$26,3)*SIGN(R125-R128),"")</f>
        <v/>
      </c>
      <c r="Z125">
        <f>IF(AND(ISNUMBER(S125),ISNUMBER(S122)),VLOOKUP(ABS(S125-S122),'IMP Table'!$A$2:$C$26,3)*SIGN(S125-S122),"")</f>
        <v/>
      </c>
      <c r="AA125">
        <f>IF(AND(ISNUMBER(S125),ISNUMBER(S123)),VLOOKUP(ABS(S125-S123),'IMP Table'!$A$2:$C$26,3)*SIGN(S125-S123),"")</f>
        <v/>
      </c>
      <c r="AB125">
        <f>IF(AND(ISNUMBER(S125),ISNUMBER(S124)),VLOOKUP(ABS(S125-S124),'IMP Table'!$A$2:$C$26,3)*SIGN(S125-S124),"")</f>
        <v/>
      </c>
      <c r="AC125">
        <f>IF(AND(ISNUMBER(S125),ISNUMBER(S126)),VLOOKUP(ABS(S125-S126),'IMP Table'!$A$2:$C$26,3)*SIGN(S125-S126),"")</f>
        <v/>
      </c>
      <c r="AD125">
        <f>IF(AND(ISNUMBER(S125),ISNUMBER(S127)),VLOOKUP(ABS(S125-S127),'IMP Table'!$A$2:$C$26,3)*SIGN(S125-S127),"")</f>
        <v/>
      </c>
      <c r="AE125">
        <f>IF(AND(ISNUMBER(S125),ISNUMBER(S128)),VLOOKUP(ABS(S125-S128),'IMP Table'!$A$2:$C$26,3)*SIGN(S125-S128),"")</f>
        <v/>
      </c>
      <c r="AF125">
        <f>IF(AND(ISNUMBER(R125),ISNUMBER(R122)),IF(R125&gt;R122,1,IF(R125=R122,0.5,0)),0.5)</f>
        <v/>
      </c>
      <c r="AG125">
        <f>IF(AND(ISNUMBER(R125),ISNUMBER(R123)),IF(R125&gt;R123,1,IF(R125=R123,0.5,0)),0.5)</f>
        <v/>
      </c>
      <c r="AH125">
        <f>IF(AND(ISNUMBER(R125),ISNUMBER(R124)),IF(R125&gt;R124,1,IF(R125=R124,0.5,0)),0.5)</f>
        <v/>
      </c>
      <c r="AI125">
        <f>IF(AND(ISNUMBER(R125),ISNUMBER(R126)),IF(R125&gt;R126,1,IF(R125=R126,0.5,0)),0.5)</f>
        <v/>
      </c>
      <c r="AJ125">
        <f>IF(AND(ISNUMBER(R125),ISNUMBER(R127)),IF(R125&gt;R127,1,IF(R125=R127,0.5,0)),0.5)</f>
        <v/>
      </c>
      <c r="AK125">
        <f>IF(AND(ISNUMBER(R125),ISNUMBER(R128)),IF(R125&gt;R128,1,IF(R125=R128,0.5,0)),0.5)</f>
        <v/>
      </c>
      <c r="AL125">
        <f>IF(AND(ISNUMBER(S125),ISNUMBER(S122)),IF(S125&gt;S122,1,IF(S125=S122,0.5,0)),0.5)</f>
        <v/>
      </c>
      <c r="AM125">
        <f>IF(AND(ISNUMBER(S125),ISNUMBER(S123)),IF(S125&gt;S123,1,IF(S125=S123,0.5,0)),0.5)</f>
        <v/>
      </c>
      <c r="AN125">
        <f>IF(AND(ISNUMBER(S125),ISNUMBER(S124)),IF(S125&gt;S124,1,IF(S125=S124,0.5,0)),0.5)</f>
        <v/>
      </c>
      <c r="AO125">
        <f>IF(AND(ISNUMBER(S125),ISNUMBER(S126)),IF(S125&gt;S126,1,IF(S125=S126,0.5,0)),0.5)</f>
        <v/>
      </c>
      <c r="AP125">
        <f>IF(AND(ISNUMBER(S125),ISNUMBER(S127)),IF(S125&gt;S127,1,IF(S125=S127,0.5,0)),0.5)</f>
        <v/>
      </c>
      <c r="AQ125">
        <f>IF(AND(ISNUMBER(S125),ISNUMBER(S128)),IF(S125&gt;S128,1,IF(S125=S128,0.5,0)),0.5)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4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5">
        <f>IFERROR(AVERAGE(T126:Y126),"")</f>
        <v/>
      </c>
      <c r="M126" s="4">
        <f>IFERROR(AVERAGE(Z126:AE126),"")</f>
        <v/>
      </c>
      <c r="N126" s="5">
        <f>P126/6</f>
        <v/>
      </c>
      <c r="O126" s="5">
        <f>Q126/6</f>
        <v/>
      </c>
      <c r="P126" s="4">
        <f>IFERROR(SUM(AF126:AK126),"")</f>
        <v/>
      </c>
      <c r="Q126" s="4">
        <f>IFERROR(SUM(AL126:AQ126),"")</f>
        <v/>
      </c>
      <c r="R126" s="16">
        <f>IF(ISNUMBER(J126),J126,IF(ISNUMBER(K126),-K126,""))</f>
        <v/>
      </c>
      <c r="S126">
        <f>IF(ISNUMBER(K126),K126,IF(ISNUMBER(J126),-J126,""))</f>
        <v/>
      </c>
      <c r="T126">
        <f>IF(AND(ISNUMBER(R126),ISNUMBER(R122)),VLOOKUP(ABS(R126-R122),'IMP Table'!$A$2:$C$26,3)*SIGN(R126-R122),"")</f>
        <v/>
      </c>
      <c r="U126">
        <f>IF(AND(ISNUMBER(R126),ISNUMBER(R123)),VLOOKUP(ABS(R126-R123),'IMP Table'!$A$2:$C$26,3)*SIGN(R126-R123),"")</f>
        <v/>
      </c>
      <c r="V126">
        <f>IF(AND(ISNUMBER(R126),ISNUMBER(R124)),VLOOKUP(ABS(R126-R124),'IMP Table'!$A$2:$C$26,3)*SIGN(R126-R124),"")</f>
        <v/>
      </c>
      <c r="W126">
        <f>IF(AND(ISNUMBER(R126),ISNUMBER(R125)),VLOOKUP(ABS(R126-R125),'IMP Table'!$A$2:$C$26,3)*SIGN(R126-R125),"")</f>
        <v/>
      </c>
      <c r="X126">
        <f>IF(AND(ISNUMBER(R126),ISNUMBER(R127)),VLOOKUP(ABS(R126-R127),'IMP Table'!$A$2:$C$26,3)*SIGN(R126-R127),"")</f>
        <v/>
      </c>
      <c r="Y126">
        <f>IF(AND(ISNUMBER(R126),ISNUMBER(R128)),VLOOKUP(ABS(R126-R128),'IMP Table'!$A$2:$C$26,3)*SIGN(R126-R128),"")</f>
        <v/>
      </c>
      <c r="Z126">
        <f>IF(AND(ISNUMBER(S126),ISNUMBER(S122)),VLOOKUP(ABS(S126-S122),'IMP Table'!$A$2:$C$26,3)*SIGN(S126-S122),"")</f>
        <v/>
      </c>
      <c r="AA126">
        <f>IF(AND(ISNUMBER(S126),ISNUMBER(S123)),VLOOKUP(ABS(S126-S123),'IMP Table'!$A$2:$C$26,3)*SIGN(S126-S123),"")</f>
        <v/>
      </c>
      <c r="AB126">
        <f>IF(AND(ISNUMBER(S126),ISNUMBER(S124)),VLOOKUP(ABS(S126-S124),'IMP Table'!$A$2:$C$26,3)*SIGN(S126-S124),"")</f>
        <v/>
      </c>
      <c r="AC126">
        <f>IF(AND(ISNUMBER(S126),ISNUMBER(S125)),VLOOKUP(ABS(S126-S125),'IMP Table'!$A$2:$C$26,3)*SIGN(S126-S125),"")</f>
        <v/>
      </c>
      <c r="AD126">
        <f>IF(AND(ISNUMBER(S126),ISNUMBER(S127)),VLOOKUP(ABS(S126-S127),'IMP Table'!$A$2:$C$26,3)*SIGN(S126-S127),"")</f>
        <v/>
      </c>
      <c r="AE126">
        <f>IF(AND(ISNUMBER(S126),ISNUMBER(S128)),VLOOKUP(ABS(S126-S128),'IMP Table'!$A$2:$C$26,3)*SIGN(S126-S128),"")</f>
        <v/>
      </c>
      <c r="AF126">
        <f>IF(AND(ISNUMBER(R126),ISNUMBER(R122)),IF(R126&gt;R122,1,IF(R126=R122,0.5,0)),0.5)</f>
        <v/>
      </c>
      <c r="AG126">
        <f>IF(AND(ISNUMBER(R126),ISNUMBER(R123)),IF(R126&gt;R123,1,IF(R126=R123,0.5,0)),0.5)</f>
        <v/>
      </c>
      <c r="AH126">
        <f>IF(AND(ISNUMBER(R126),ISNUMBER(R124)),IF(R126&gt;R124,1,IF(R126=R124,0.5,0)),0.5)</f>
        <v/>
      </c>
      <c r="AI126">
        <f>IF(AND(ISNUMBER(R126),ISNUMBER(R125)),IF(R126&gt;R125,1,IF(R126=R125,0.5,0)),0.5)</f>
        <v/>
      </c>
      <c r="AJ126">
        <f>IF(AND(ISNUMBER(R126),ISNUMBER(R127)),IF(R126&gt;R127,1,IF(R126=R127,0.5,0)),0.5)</f>
        <v/>
      </c>
      <c r="AK126">
        <f>IF(AND(ISNUMBER(R126),ISNUMBER(R128)),IF(R126&gt;R128,1,IF(R126=R128,0.5,0)),0.5)</f>
        <v/>
      </c>
      <c r="AL126">
        <f>IF(AND(ISNUMBER(S126),ISNUMBER(S122)),IF(S126&gt;S122,1,IF(S126=S122,0.5,0)),0.5)</f>
        <v/>
      </c>
      <c r="AM126">
        <f>IF(AND(ISNUMBER(S126),ISNUMBER(S123)),IF(S126&gt;S123,1,IF(S126=S123,0.5,0)),0.5)</f>
        <v/>
      </c>
      <c r="AN126">
        <f>IF(AND(ISNUMBER(S126),ISNUMBER(S124)),IF(S126&gt;S124,1,IF(S126=S124,0.5,0)),0.5)</f>
        <v/>
      </c>
      <c r="AO126">
        <f>IF(AND(ISNUMBER(S126),ISNUMBER(S125)),IF(S126&gt;S125,1,IF(S126=S125,0.5,0)),0.5)</f>
        <v/>
      </c>
      <c r="AP126">
        <f>IF(AND(ISNUMBER(S126),ISNUMBER(S127)),IF(S126&gt;S127,1,IF(S126=S127,0.5,0)),0.5)</f>
        <v/>
      </c>
      <c r="AQ126">
        <f>IF(AND(ISNUMBER(S126),ISNUMBER(S128)),IF(S126&gt;S128,1,IF(S126=S128,0.5,0)),0.5)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4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5">
        <f>IFERROR(AVERAGE(T127:Y127),"")</f>
        <v/>
      </c>
      <c r="M127" s="4">
        <f>IFERROR(AVERAGE(Z127:AE127),"")</f>
        <v/>
      </c>
      <c r="N127" s="5">
        <f>P127/6</f>
        <v/>
      </c>
      <c r="O127" s="5">
        <f>Q127/6</f>
        <v/>
      </c>
      <c r="P127" s="4">
        <f>IFERROR(SUM(AF127:AK127),"")</f>
        <v/>
      </c>
      <c r="Q127" s="4">
        <f>IFERROR(SUM(AL127:AQ127),"")</f>
        <v/>
      </c>
      <c r="R127" s="16">
        <f>IF(ISNUMBER(J127),J127,IF(ISNUMBER(K127),-K127,""))</f>
        <v/>
      </c>
      <c r="S127">
        <f>IF(ISNUMBER(K127),K127,IF(ISNUMBER(J127),-J127,""))</f>
        <v/>
      </c>
      <c r="T127">
        <f>IF(AND(ISNUMBER(R127),ISNUMBER(R122)),VLOOKUP(ABS(R127-R122),'IMP Table'!$A$2:$C$26,3)*SIGN(R127-R122),"")</f>
        <v/>
      </c>
      <c r="U127">
        <f>IF(AND(ISNUMBER(R127),ISNUMBER(R123)),VLOOKUP(ABS(R127-R123),'IMP Table'!$A$2:$C$26,3)*SIGN(R127-R123),"")</f>
        <v/>
      </c>
      <c r="V127">
        <f>IF(AND(ISNUMBER(R127),ISNUMBER(R124)),VLOOKUP(ABS(R127-R124),'IMP Table'!$A$2:$C$26,3)*SIGN(R127-R124),"")</f>
        <v/>
      </c>
      <c r="W127">
        <f>IF(AND(ISNUMBER(R127),ISNUMBER(R125)),VLOOKUP(ABS(R127-R125),'IMP Table'!$A$2:$C$26,3)*SIGN(R127-R125),"")</f>
        <v/>
      </c>
      <c r="X127">
        <f>IF(AND(ISNUMBER(R127),ISNUMBER(R126)),VLOOKUP(ABS(R127-R126),'IMP Table'!$A$2:$C$26,3)*SIGN(R127-R126),"")</f>
        <v/>
      </c>
      <c r="Y127">
        <f>IF(AND(ISNUMBER(R127),ISNUMBER(R128)),VLOOKUP(ABS(R127-R128),'IMP Table'!$A$2:$C$26,3)*SIGN(R127-R128),"")</f>
        <v/>
      </c>
      <c r="Z127">
        <f>IF(AND(ISNUMBER(S127),ISNUMBER(S122)),VLOOKUP(ABS(S127-S122),'IMP Table'!$A$2:$C$26,3)*SIGN(S127-S122),"")</f>
        <v/>
      </c>
      <c r="AA127">
        <f>IF(AND(ISNUMBER(S127),ISNUMBER(S123)),VLOOKUP(ABS(S127-S123),'IMP Table'!$A$2:$C$26,3)*SIGN(S127-S123),"")</f>
        <v/>
      </c>
      <c r="AB127">
        <f>IF(AND(ISNUMBER(S127),ISNUMBER(S124)),VLOOKUP(ABS(S127-S124),'IMP Table'!$A$2:$C$26,3)*SIGN(S127-S124),"")</f>
        <v/>
      </c>
      <c r="AC127">
        <f>IF(AND(ISNUMBER(S127),ISNUMBER(S125)),VLOOKUP(ABS(S127-S125),'IMP Table'!$A$2:$C$26,3)*SIGN(S127-S125),"")</f>
        <v/>
      </c>
      <c r="AD127">
        <f>IF(AND(ISNUMBER(S127),ISNUMBER(S126)),VLOOKUP(ABS(S127-S126),'IMP Table'!$A$2:$C$26,3)*SIGN(S127-S126),"")</f>
        <v/>
      </c>
      <c r="AE127">
        <f>IF(AND(ISNUMBER(S127),ISNUMBER(S128)),VLOOKUP(ABS(S127-S128),'IMP Table'!$A$2:$C$26,3)*SIGN(S127-S128),"")</f>
        <v/>
      </c>
      <c r="AF127">
        <f>IF(AND(ISNUMBER(R127),ISNUMBER(R122)),IF(R127&gt;R122,1,IF(R127=R122,0.5,0)),0.5)</f>
        <v/>
      </c>
      <c r="AG127">
        <f>IF(AND(ISNUMBER(R127),ISNUMBER(R123)),IF(R127&gt;R123,1,IF(R127=R123,0.5,0)),0.5)</f>
        <v/>
      </c>
      <c r="AH127">
        <f>IF(AND(ISNUMBER(R127),ISNUMBER(R124)),IF(R127&gt;R124,1,IF(R127=R124,0.5,0)),0.5)</f>
        <v/>
      </c>
      <c r="AI127">
        <f>IF(AND(ISNUMBER(R127),ISNUMBER(R125)),IF(R127&gt;R125,1,IF(R127=R125,0.5,0)),0.5)</f>
        <v/>
      </c>
      <c r="AJ127">
        <f>IF(AND(ISNUMBER(R127),ISNUMBER(R126)),IF(R127&gt;R126,1,IF(R127=R126,0.5,0)),0.5)</f>
        <v/>
      </c>
      <c r="AK127">
        <f>IF(AND(ISNUMBER(R127),ISNUMBER(R128)),IF(R127&gt;R128,1,IF(R127=R128,0.5,0)),0.5)</f>
        <v/>
      </c>
      <c r="AL127">
        <f>IF(AND(ISNUMBER(S127),ISNUMBER(S122)),IF(S127&gt;S122,1,IF(S127=S122,0.5,0)),0.5)</f>
        <v/>
      </c>
      <c r="AM127">
        <f>IF(AND(ISNUMBER(S127),ISNUMBER(S123)),IF(S127&gt;S123,1,IF(S127=S123,0.5,0)),0.5)</f>
        <v/>
      </c>
      <c r="AN127">
        <f>IF(AND(ISNUMBER(S127),ISNUMBER(S124)),IF(S127&gt;S124,1,IF(S127=S124,0.5,0)),0.5)</f>
        <v/>
      </c>
      <c r="AO127">
        <f>IF(AND(ISNUMBER(S127),ISNUMBER(S125)),IF(S127&gt;S125,1,IF(S127=S125,0.5,0)),0.5)</f>
        <v/>
      </c>
      <c r="AP127">
        <f>IF(AND(ISNUMBER(S127),ISNUMBER(S126)),IF(S127&gt;S126,1,IF(S127=S126,0.5,0)),0.5)</f>
        <v/>
      </c>
      <c r="AQ127">
        <f>IF(AND(ISNUMBER(S127),ISNUMBER(S128)),IF(S127&gt;S128,1,IF(S127=S128,0.5,0)),0.5)</f>
        <v/>
      </c>
    </row>
    <row r="128">
      <c r="A128" s="13" t="n"/>
      <c r="B128" s="13">
        <f>'By Round'!A171</f>
        <v/>
      </c>
      <c r="C128" s="13">
        <f>'By Round'!B179</f>
        <v/>
      </c>
      <c r="D128" s="13">
        <f>'By Round'!C179</f>
        <v/>
      </c>
      <c r="E128" s="13">
        <f>'By Round'!D179</f>
        <v/>
      </c>
      <c r="F128" s="17" t="inlineStr">
        <is>
          <t>NS</t>
        </is>
      </c>
      <c r="G128" s="13">
        <f>IF(ISBLANK('By Round'!G179),"",'By Round'!G179)</f>
        <v/>
      </c>
      <c r="H128" s="13">
        <f>IF(ISBLANK('By Round'!H179),"",'By Round'!H179)</f>
        <v/>
      </c>
      <c r="I128" s="13">
        <f>IF(ISBLANK('By Round'!I179),"",'By Round'!I179)</f>
        <v/>
      </c>
      <c r="J128" s="13">
        <f>IF(ISBLANK('By Round'!J179),"",'By Round'!J179)</f>
        <v/>
      </c>
      <c r="K128" s="13">
        <f>IF(ISBLANK('By Round'!K179),"",'By Round'!K179)</f>
        <v/>
      </c>
      <c r="L128" s="18">
        <f>IFERROR(AVERAGE(T128:Y128),"")</f>
        <v/>
      </c>
      <c r="M128" s="19">
        <f>IFERROR(AVERAGE(Z128:AE128),"")</f>
        <v/>
      </c>
      <c r="N128" s="20">
        <f>P128/6</f>
        <v/>
      </c>
      <c r="O128" s="20">
        <f>Q128/6</f>
        <v/>
      </c>
      <c r="P128" s="19">
        <f>IFERROR(SUM(AF128:AK128),"")</f>
        <v/>
      </c>
      <c r="Q128" s="19">
        <f>IFERROR(SUM(AL128:AQ128),"")</f>
        <v/>
      </c>
      <c r="R128" s="21">
        <f>IF(ISNUMBER(J128),J128,IF(ISNUMBER(K128),-K128,""))</f>
        <v/>
      </c>
      <c r="S128" s="13">
        <f>IF(ISNUMBER(K128),K128,IF(ISNUMBER(J128),-J128,""))</f>
        <v/>
      </c>
      <c r="T128" s="13">
        <f>IF(AND(ISNUMBER(R128),ISNUMBER(R122)),VLOOKUP(ABS(R128-R122),'IMP Table'!$A$2:$C$26,3)*SIGN(R128-R122),"")</f>
        <v/>
      </c>
      <c r="U128" s="13">
        <f>IF(AND(ISNUMBER(R128),ISNUMBER(R123)),VLOOKUP(ABS(R128-R123),'IMP Table'!$A$2:$C$26,3)*SIGN(R128-R123),"")</f>
        <v/>
      </c>
      <c r="V128" s="13">
        <f>IF(AND(ISNUMBER(R128),ISNUMBER(R124)),VLOOKUP(ABS(R128-R124),'IMP Table'!$A$2:$C$26,3)*SIGN(R128-R124),"")</f>
        <v/>
      </c>
      <c r="W128" s="13">
        <f>IF(AND(ISNUMBER(R128),ISNUMBER(R125)),VLOOKUP(ABS(R128-R125),'IMP Table'!$A$2:$C$26,3)*SIGN(R128-R125),"")</f>
        <v/>
      </c>
      <c r="X128" s="13">
        <f>IF(AND(ISNUMBER(R128),ISNUMBER(R126)),VLOOKUP(ABS(R128-R126),'IMP Table'!$A$2:$C$26,3)*SIGN(R128-R126),"")</f>
        <v/>
      </c>
      <c r="Y128" s="13">
        <f>IF(AND(ISNUMBER(R128),ISNUMBER(R127)),VLOOKUP(ABS(R128-R127),'IMP Table'!$A$2:$C$26,3)*SIGN(R128-R127),"")</f>
        <v/>
      </c>
      <c r="Z128" s="13">
        <f>IF(AND(ISNUMBER(S128),ISNUMBER(S122)),VLOOKUP(ABS(S128-S122),'IMP Table'!$A$2:$C$26,3)*SIGN(S128-S122),"")</f>
        <v/>
      </c>
      <c r="AA128" s="13">
        <f>IF(AND(ISNUMBER(S128),ISNUMBER(S123)),VLOOKUP(ABS(S128-S123),'IMP Table'!$A$2:$C$26,3)*SIGN(S128-S123),"")</f>
        <v/>
      </c>
      <c r="AB128" s="13">
        <f>IF(AND(ISNUMBER(S128),ISNUMBER(S124)),VLOOKUP(ABS(S128-S124),'IMP Table'!$A$2:$C$26,3)*SIGN(S128-S124),"")</f>
        <v/>
      </c>
      <c r="AC128" s="13">
        <f>IF(AND(ISNUMBER(S128),ISNUMBER(S125)),VLOOKUP(ABS(S128-S125),'IMP Table'!$A$2:$C$26,3)*SIGN(S128-S125),"")</f>
        <v/>
      </c>
      <c r="AD128" s="13">
        <f>IF(AND(ISNUMBER(S128),ISNUMBER(S126)),VLOOKUP(ABS(S128-S126),'IMP Table'!$A$2:$C$26,3)*SIGN(S128-S126),"")</f>
        <v/>
      </c>
      <c r="AE128" s="13">
        <f>IF(AND(ISNUMBER(S128),ISNUMBER(S127)),VLOOKUP(ABS(S128-S127),'IMP Table'!$A$2:$C$26,3)*SIGN(S128-S127),"")</f>
        <v/>
      </c>
      <c r="AF128" s="13">
        <f>IF(AND(ISNUMBER(R128),ISNUMBER(R122)),IF(R128&gt;R122,1,IF(R128=R122,0.5,0)),0.5)</f>
        <v/>
      </c>
      <c r="AG128" s="13">
        <f>IF(AND(ISNUMBER(R128),ISNUMBER(R123)),IF(R128&gt;R123,1,IF(R128=R123,0.5,0)),0.5)</f>
        <v/>
      </c>
      <c r="AH128" s="13">
        <f>IF(AND(ISNUMBER(R128),ISNUMBER(R124)),IF(R128&gt;R124,1,IF(R128=R124,0.5,0)),0.5)</f>
        <v/>
      </c>
      <c r="AI128" s="13">
        <f>IF(AND(ISNUMBER(R128),ISNUMBER(R125)),IF(R128&gt;R125,1,IF(R128=R125,0.5,0)),0.5)</f>
        <v/>
      </c>
      <c r="AJ128" s="13">
        <f>IF(AND(ISNUMBER(R128),ISNUMBER(R126)),IF(R128&gt;R126,1,IF(R128=R126,0.5,0)),0.5)</f>
        <v/>
      </c>
      <c r="AK128" s="13">
        <f>IF(AND(ISNUMBER(R128),ISNUMBER(R127)),IF(R128&gt;R127,1,IF(R128=R127,0.5,0)),0.5)</f>
        <v/>
      </c>
      <c r="AL128" s="13">
        <f>IF(AND(ISNUMBER(S128),ISNUMBER(S122)),IF(S128&gt;S122,1,IF(S128=S122,0.5,0)),0.5)</f>
        <v/>
      </c>
      <c r="AM128" s="13">
        <f>IF(AND(ISNUMBER(S128),ISNUMBER(S123)),IF(S128&gt;S123,1,IF(S128=S123,0.5,0)),0.5)</f>
        <v/>
      </c>
      <c r="AN128" s="13">
        <f>IF(AND(ISNUMBER(S128),ISNUMBER(S124)),IF(S128&gt;S124,1,IF(S128=S124,0.5,0)),0.5)</f>
        <v/>
      </c>
      <c r="AO128" s="13">
        <f>IF(AND(ISNUMBER(S128),ISNUMBER(S125)),IF(S128&gt;S125,1,IF(S128=S125,0.5,0)),0.5)</f>
        <v/>
      </c>
      <c r="AP128" s="13">
        <f>IF(AND(ISNUMBER(S128),ISNUMBER(S126)),IF(S128&gt;S126,1,IF(S128=S126,0.5,0)),0.5)</f>
        <v/>
      </c>
      <c r="AQ128" s="13">
        <f>IF(AND(ISNUMBER(S128),ISNUMBER(S127)),IF(S128&gt;S127,1,IF(S128=S127,0.5,0)),0.5)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4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5">
        <f>IFERROR(AVERAGE(T129:Y129),"")</f>
        <v/>
      </c>
      <c r="M129" s="4">
        <f>IFERROR(AVERAGE(Z129:AE129),"")</f>
        <v/>
      </c>
      <c r="N129" s="5">
        <f>P129/6</f>
        <v/>
      </c>
      <c r="O129" s="5">
        <f>Q129/6</f>
        <v/>
      </c>
      <c r="P129" s="4">
        <f>IFERROR(SUM(AF129:AK129),"")</f>
        <v/>
      </c>
      <c r="Q129" s="4">
        <f>IFERROR(SUM(AL129:AQ129),"")</f>
        <v/>
      </c>
      <c r="R129" s="16">
        <f>IF(ISNUMBER(J129),J129,IF(ISNUMBER(K129),-K129,""))</f>
        <v/>
      </c>
      <c r="S129">
        <f>IF(ISNUMBER(K129),K129,IF(ISNUMBER(J129),-J129,""))</f>
        <v/>
      </c>
      <c r="T129">
        <f>IF(AND(ISNUMBER(R129),ISNUMBER(R130)),VLOOKUP(ABS(R129-R130),'IMP Table'!$A$2:$C$26,3)*SIGN(R129-R130),"")</f>
        <v/>
      </c>
      <c r="U129">
        <f>IF(AND(ISNUMBER(R129),ISNUMBER(R131)),VLOOKUP(ABS(R129-R131),'IMP Table'!$A$2:$C$26,3)*SIGN(R129-R131),"")</f>
        <v/>
      </c>
      <c r="V129">
        <f>IF(AND(ISNUMBER(R129),ISNUMBER(R132)),VLOOKUP(ABS(R129-R132),'IMP Table'!$A$2:$C$26,3)*SIGN(R129-R132),"")</f>
        <v/>
      </c>
      <c r="W129">
        <f>IF(AND(ISNUMBER(R129),ISNUMBER(R133)),VLOOKUP(ABS(R129-R133),'IMP Table'!$A$2:$C$26,3)*SIGN(R129-R133),"")</f>
        <v/>
      </c>
      <c r="X129">
        <f>IF(AND(ISNUMBER(R129),ISNUMBER(R134)),VLOOKUP(ABS(R129-R134),'IMP Table'!$A$2:$C$26,3)*SIGN(R129-R134),"")</f>
        <v/>
      </c>
      <c r="Y129">
        <f>IF(AND(ISNUMBER(R129),ISNUMBER(R135)),VLOOKUP(ABS(R129-R135),'IMP Table'!$A$2:$C$26,3)*SIGN(R129-R135),"")</f>
        <v/>
      </c>
      <c r="Z129">
        <f>IF(AND(ISNUMBER(S129),ISNUMBER(S130)),VLOOKUP(ABS(S129-S130),'IMP Table'!$A$2:$C$26,3)*SIGN(S129-S130),"")</f>
        <v/>
      </c>
      <c r="AA129">
        <f>IF(AND(ISNUMBER(S129),ISNUMBER(S131)),VLOOKUP(ABS(S129-S131),'IMP Table'!$A$2:$C$26,3)*SIGN(S129-S131),"")</f>
        <v/>
      </c>
      <c r="AB129">
        <f>IF(AND(ISNUMBER(S129),ISNUMBER(S132)),VLOOKUP(ABS(S129-S132),'IMP Table'!$A$2:$C$26,3)*SIGN(S129-S132),"")</f>
        <v/>
      </c>
      <c r="AC129">
        <f>IF(AND(ISNUMBER(S129),ISNUMBER(S133)),VLOOKUP(ABS(S129-S133),'IMP Table'!$A$2:$C$26,3)*SIGN(S129-S133),"")</f>
        <v/>
      </c>
      <c r="AD129">
        <f>IF(AND(ISNUMBER(S129),ISNUMBER(S134)),VLOOKUP(ABS(S129-S134),'IMP Table'!$A$2:$C$26,3)*SIGN(S129-S134),"")</f>
        <v/>
      </c>
      <c r="AE129">
        <f>IF(AND(ISNUMBER(S129),ISNUMBER(S135)),VLOOKUP(ABS(S129-S135),'IMP Table'!$A$2:$C$26,3)*SIGN(S129-S135),"")</f>
        <v/>
      </c>
      <c r="AF129">
        <f>IF(AND(ISNUMBER(R129),ISNUMBER(R130)),IF(R129&gt;R130,1,IF(R129=R130,0.5,0)),0.5)</f>
        <v/>
      </c>
      <c r="AG129">
        <f>IF(AND(ISNUMBER(R129),ISNUMBER(R131)),IF(R129&gt;R131,1,IF(R129=R131,0.5,0)),0.5)</f>
        <v/>
      </c>
      <c r="AH129">
        <f>IF(AND(ISNUMBER(R129),ISNUMBER(R132)),IF(R129&gt;R132,1,IF(R129=R132,0.5,0)),0.5)</f>
        <v/>
      </c>
      <c r="AI129">
        <f>IF(AND(ISNUMBER(R129),ISNUMBER(R133)),IF(R129&gt;R133,1,IF(R129=R133,0.5,0)),0.5)</f>
        <v/>
      </c>
      <c r="AJ129">
        <f>IF(AND(ISNUMBER(R129),ISNUMBER(R134)),IF(R129&gt;R134,1,IF(R129=R134,0.5,0)),0.5)</f>
        <v/>
      </c>
      <c r="AK129">
        <f>IF(AND(ISNUMBER(R129),ISNUMBER(R135)),IF(R129&gt;R135,1,IF(R129=R135,0.5,0)),0.5)</f>
        <v/>
      </c>
      <c r="AL129">
        <f>IF(AND(ISNUMBER(S129),ISNUMBER(S130)),IF(S129&gt;S130,1,IF(S129=S130,0.5,0)),0.5)</f>
        <v/>
      </c>
      <c r="AM129">
        <f>IF(AND(ISNUMBER(S129),ISNUMBER(S131)),IF(S129&gt;S131,1,IF(S129=S131,0.5,0)),0.5)</f>
        <v/>
      </c>
      <c r="AN129">
        <f>IF(AND(ISNUMBER(S129),ISNUMBER(S132)),IF(S129&gt;S132,1,IF(S129=S132,0.5,0)),0.5)</f>
        <v/>
      </c>
      <c r="AO129">
        <f>IF(AND(ISNUMBER(S129),ISNUMBER(S133)),IF(S129&gt;S133,1,IF(S129=S133,0.5,0)),0.5)</f>
        <v/>
      </c>
      <c r="AP129">
        <f>IF(AND(ISNUMBER(S129),ISNUMBER(S134)),IF(S129&gt;S134,1,IF(S129=S134,0.5,0)),0.5)</f>
        <v/>
      </c>
      <c r="AQ129">
        <f>IF(AND(ISNUMBER(S129),ISNUMBER(S135)),IF(S129&gt;S135,1,IF(S129=S135,0.5,0)),0.5)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4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5">
        <f>IFERROR(AVERAGE(T130:Y130),"")</f>
        <v/>
      </c>
      <c r="M130" s="4">
        <f>IFERROR(AVERAGE(Z130:AE130),"")</f>
        <v/>
      </c>
      <c r="N130" s="5">
        <f>P130/6</f>
        <v/>
      </c>
      <c r="O130" s="5">
        <f>Q130/6</f>
        <v/>
      </c>
      <c r="P130" s="4">
        <f>IFERROR(SUM(AF130:AK130),"")</f>
        <v/>
      </c>
      <c r="Q130" s="4">
        <f>IFERROR(SUM(AL130:AQ130),"")</f>
        <v/>
      </c>
      <c r="R130" s="16">
        <f>IF(ISNUMBER(J130),J130,IF(ISNUMBER(K130),-K130,""))</f>
        <v/>
      </c>
      <c r="S130">
        <f>IF(ISNUMBER(K130),K130,IF(ISNUMBER(J130),-J130,""))</f>
        <v/>
      </c>
      <c r="T130">
        <f>IF(AND(ISNUMBER(R130),ISNUMBER(R129)),VLOOKUP(ABS(R130-R129),'IMP Table'!$A$2:$C$26,3)*SIGN(R130-R129),"")</f>
        <v/>
      </c>
      <c r="U130">
        <f>IF(AND(ISNUMBER(R130),ISNUMBER(R131)),VLOOKUP(ABS(R130-R131),'IMP Table'!$A$2:$C$26,3)*SIGN(R130-R131),"")</f>
        <v/>
      </c>
      <c r="V130">
        <f>IF(AND(ISNUMBER(R130),ISNUMBER(R132)),VLOOKUP(ABS(R130-R132),'IMP Table'!$A$2:$C$26,3)*SIGN(R130-R132),"")</f>
        <v/>
      </c>
      <c r="W130">
        <f>IF(AND(ISNUMBER(R130),ISNUMBER(R133)),VLOOKUP(ABS(R130-R133),'IMP Table'!$A$2:$C$26,3)*SIGN(R130-R133),"")</f>
        <v/>
      </c>
      <c r="X130">
        <f>IF(AND(ISNUMBER(R130),ISNUMBER(R134)),VLOOKUP(ABS(R130-R134),'IMP Table'!$A$2:$C$26,3)*SIGN(R130-R134),"")</f>
        <v/>
      </c>
      <c r="Y130">
        <f>IF(AND(ISNUMBER(R130),ISNUMBER(R135)),VLOOKUP(ABS(R130-R135),'IMP Table'!$A$2:$C$26,3)*SIGN(R130-R135),"")</f>
        <v/>
      </c>
      <c r="Z130">
        <f>IF(AND(ISNUMBER(S130),ISNUMBER(S129)),VLOOKUP(ABS(S130-S129),'IMP Table'!$A$2:$C$26,3)*SIGN(S130-S129),"")</f>
        <v/>
      </c>
      <c r="AA130">
        <f>IF(AND(ISNUMBER(S130),ISNUMBER(S131)),VLOOKUP(ABS(S130-S131),'IMP Table'!$A$2:$C$26,3)*SIGN(S130-S131),"")</f>
        <v/>
      </c>
      <c r="AB130">
        <f>IF(AND(ISNUMBER(S130),ISNUMBER(S132)),VLOOKUP(ABS(S130-S132),'IMP Table'!$A$2:$C$26,3)*SIGN(S130-S132),"")</f>
        <v/>
      </c>
      <c r="AC130">
        <f>IF(AND(ISNUMBER(S130),ISNUMBER(S133)),VLOOKUP(ABS(S130-S133),'IMP Table'!$A$2:$C$26,3)*SIGN(S130-S133),"")</f>
        <v/>
      </c>
      <c r="AD130">
        <f>IF(AND(ISNUMBER(S130),ISNUMBER(S134)),VLOOKUP(ABS(S130-S134),'IMP Table'!$A$2:$C$26,3)*SIGN(S130-S134),"")</f>
        <v/>
      </c>
      <c r="AE130">
        <f>IF(AND(ISNUMBER(S130),ISNUMBER(S135)),VLOOKUP(ABS(S130-S135),'IMP Table'!$A$2:$C$26,3)*SIGN(S130-S135),"")</f>
        <v/>
      </c>
      <c r="AF130">
        <f>IF(AND(ISNUMBER(R130),ISNUMBER(R129)),IF(R130&gt;R129,1,IF(R130=R129,0.5,0)),0.5)</f>
        <v/>
      </c>
      <c r="AG130">
        <f>IF(AND(ISNUMBER(R130),ISNUMBER(R131)),IF(R130&gt;R131,1,IF(R130=R131,0.5,0)),0.5)</f>
        <v/>
      </c>
      <c r="AH130">
        <f>IF(AND(ISNUMBER(R130),ISNUMBER(R132)),IF(R130&gt;R132,1,IF(R130=R132,0.5,0)),0.5)</f>
        <v/>
      </c>
      <c r="AI130">
        <f>IF(AND(ISNUMBER(R130),ISNUMBER(R133)),IF(R130&gt;R133,1,IF(R130=R133,0.5,0)),0.5)</f>
        <v/>
      </c>
      <c r="AJ130">
        <f>IF(AND(ISNUMBER(R130),ISNUMBER(R134)),IF(R130&gt;R134,1,IF(R130=R134,0.5,0)),0.5)</f>
        <v/>
      </c>
      <c r="AK130">
        <f>IF(AND(ISNUMBER(R130),ISNUMBER(R135)),IF(R130&gt;R135,1,IF(R130=R135,0.5,0)),0.5)</f>
        <v/>
      </c>
      <c r="AL130">
        <f>IF(AND(ISNUMBER(S130),ISNUMBER(S129)),IF(S130&gt;S129,1,IF(S130=S129,0.5,0)),0.5)</f>
        <v/>
      </c>
      <c r="AM130">
        <f>IF(AND(ISNUMBER(S130),ISNUMBER(S131)),IF(S130&gt;S131,1,IF(S130=S131,0.5,0)),0.5)</f>
        <v/>
      </c>
      <c r="AN130">
        <f>IF(AND(ISNUMBER(S130),ISNUMBER(S132)),IF(S130&gt;S132,1,IF(S130=S132,0.5,0)),0.5)</f>
        <v/>
      </c>
      <c r="AO130">
        <f>IF(AND(ISNUMBER(S130),ISNUMBER(S133)),IF(S130&gt;S133,1,IF(S130=S133,0.5,0)),0.5)</f>
        <v/>
      </c>
      <c r="AP130">
        <f>IF(AND(ISNUMBER(S130),ISNUMBER(S134)),IF(S130&gt;S134,1,IF(S130=S134,0.5,0)),0.5)</f>
        <v/>
      </c>
      <c r="AQ130">
        <f>IF(AND(ISNUMBER(S130),ISNUMBER(S135)),IF(S130&gt;S135,1,IF(S130=S135,0.5,0)),0.5)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4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5">
        <f>IFERROR(AVERAGE(T131:Y131),"")</f>
        <v/>
      </c>
      <c r="M131" s="4">
        <f>IFERROR(AVERAGE(Z131:AE131),"")</f>
        <v/>
      </c>
      <c r="N131" s="5">
        <f>P131/6</f>
        <v/>
      </c>
      <c r="O131" s="5">
        <f>Q131/6</f>
        <v/>
      </c>
      <c r="P131" s="4">
        <f>IFERROR(SUM(AF131:AK131),"")</f>
        <v/>
      </c>
      <c r="Q131" s="4">
        <f>IFERROR(SUM(AL131:AQ131),"")</f>
        <v/>
      </c>
      <c r="R131" s="16">
        <f>IF(ISNUMBER(J131),J131,IF(ISNUMBER(K131),-K131,""))</f>
        <v/>
      </c>
      <c r="S131">
        <f>IF(ISNUMBER(K131),K131,IF(ISNUMBER(J131),-J131,""))</f>
        <v/>
      </c>
      <c r="T131">
        <f>IF(AND(ISNUMBER(R131),ISNUMBER(R129)),VLOOKUP(ABS(R131-R129),'IMP Table'!$A$2:$C$26,3)*SIGN(R131-R129),"")</f>
        <v/>
      </c>
      <c r="U131">
        <f>IF(AND(ISNUMBER(R131),ISNUMBER(R130)),VLOOKUP(ABS(R131-R130),'IMP Table'!$A$2:$C$26,3)*SIGN(R131-R130),"")</f>
        <v/>
      </c>
      <c r="V131">
        <f>IF(AND(ISNUMBER(R131),ISNUMBER(R132)),VLOOKUP(ABS(R131-R132),'IMP Table'!$A$2:$C$26,3)*SIGN(R131-R132),"")</f>
        <v/>
      </c>
      <c r="W131">
        <f>IF(AND(ISNUMBER(R131),ISNUMBER(R133)),VLOOKUP(ABS(R131-R133),'IMP Table'!$A$2:$C$26,3)*SIGN(R131-R133),"")</f>
        <v/>
      </c>
      <c r="X131">
        <f>IF(AND(ISNUMBER(R131),ISNUMBER(R134)),VLOOKUP(ABS(R131-R134),'IMP Table'!$A$2:$C$26,3)*SIGN(R131-R134),"")</f>
        <v/>
      </c>
      <c r="Y131">
        <f>IF(AND(ISNUMBER(R131),ISNUMBER(R135)),VLOOKUP(ABS(R131-R135),'IMP Table'!$A$2:$C$26,3)*SIGN(R131-R135),"")</f>
        <v/>
      </c>
      <c r="Z131">
        <f>IF(AND(ISNUMBER(S131),ISNUMBER(S129)),VLOOKUP(ABS(S131-S129),'IMP Table'!$A$2:$C$26,3)*SIGN(S131-S129),"")</f>
        <v/>
      </c>
      <c r="AA131">
        <f>IF(AND(ISNUMBER(S131),ISNUMBER(S130)),VLOOKUP(ABS(S131-S130),'IMP Table'!$A$2:$C$26,3)*SIGN(S131-S130),"")</f>
        <v/>
      </c>
      <c r="AB131">
        <f>IF(AND(ISNUMBER(S131),ISNUMBER(S132)),VLOOKUP(ABS(S131-S132),'IMP Table'!$A$2:$C$26,3)*SIGN(S131-S132),"")</f>
        <v/>
      </c>
      <c r="AC131">
        <f>IF(AND(ISNUMBER(S131),ISNUMBER(S133)),VLOOKUP(ABS(S131-S133),'IMP Table'!$A$2:$C$26,3)*SIGN(S131-S133),"")</f>
        <v/>
      </c>
      <c r="AD131">
        <f>IF(AND(ISNUMBER(S131),ISNUMBER(S134)),VLOOKUP(ABS(S131-S134),'IMP Table'!$A$2:$C$26,3)*SIGN(S131-S134),"")</f>
        <v/>
      </c>
      <c r="AE131">
        <f>IF(AND(ISNUMBER(S131),ISNUMBER(S135)),VLOOKUP(ABS(S131-S135),'IMP Table'!$A$2:$C$26,3)*SIGN(S131-S135),"")</f>
        <v/>
      </c>
      <c r="AF131">
        <f>IF(AND(ISNUMBER(R131),ISNUMBER(R129)),IF(R131&gt;R129,1,IF(R131=R129,0.5,0)),0.5)</f>
        <v/>
      </c>
      <c r="AG131">
        <f>IF(AND(ISNUMBER(R131),ISNUMBER(R130)),IF(R131&gt;R130,1,IF(R131=R130,0.5,0)),0.5)</f>
        <v/>
      </c>
      <c r="AH131">
        <f>IF(AND(ISNUMBER(R131),ISNUMBER(R132)),IF(R131&gt;R132,1,IF(R131=R132,0.5,0)),0.5)</f>
        <v/>
      </c>
      <c r="AI131">
        <f>IF(AND(ISNUMBER(R131),ISNUMBER(R133)),IF(R131&gt;R133,1,IF(R131=R133,0.5,0)),0.5)</f>
        <v/>
      </c>
      <c r="AJ131">
        <f>IF(AND(ISNUMBER(R131),ISNUMBER(R134)),IF(R131&gt;R134,1,IF(R131=R134,0.5,0)),0.5)</f>
        <v/>
      </c>
      <c r="AK131">
        <f>IF(AND(ISNUMBER(R131),ISNUMBER(R135)),IF(R131&gt;R135,1,IF(R131=R135,0.5,0)),0.5)</f>
        <v/>
      </c>
      <c r="AL131">
        <f>IF(AND(ISNUMBER(S131),ISNUMBER(S129)),IF(S131&gt;S129,1,IF(S131=S129,0.5,0)),0.5)</f>
        <v/>
      </c>
      <c r="AM131">
        <f>IF(AND(ISNUMBER(S131),ISNUMBER(S130)),IF(S131&gt;S130,1,IF(S131=S130,0.5,0)),0.5)</f>
        <v/>
      </c>
      <c r="AN131">
        <f>IF(AND(ISNUMBER(S131),ISNUMBER(S132)),IF(S131&gt;S132,1,IF(S131=S132,0.5,0)),0.5)</f>
        <v/>
      </c>
      <c r="AO131">
        <f>IF(AND(ISNUMBER(S131),ISNUMBER(S133)),IF(S131&gt;S133,1,IF(S131=S133,0.5,0)),0.5)</f>
        <v/>
      </c>
      <c r="AP131">
        <f>IF(AND(ISNUMBER(S131),ISNUMBER(S134)),IF(S131&gt;S134,1,IF(S131=S134,0.5,0)),0.5)</f>
        <v/>
      </c>
      <c r="AQ131">
        <f>IF(AND(ISNUMBER(S131),ISNUMBER(S135)),IF(S131&gt;S135,1,IF(S131=S135,0.5,0)),0.5)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4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5">
        <f>IFERROR(AVERAGE(T132:Y132),"")</f>
        <v/>
      </c>
      <c r="M132" s="4">
        <f>IFERROR(AVERAGE(Z132:AE132),"")</f>
        <v/>
      </c>
      <c r="N132" s="5">
        <f>P132/6</f>
        <v/>
      </c>
      <c r="O132" s="5">
        <f>Q132/6</f>
        <v/>
      </c>
      <c r="P132" s="4">
        <f>IFERROR(SUM(AF132:AK132),"")</f>
        <v/>
      </c>
      <c r="Q132" s="4">
        <f>IFERROR(SUM(AL132:AQ132),"")</f>
        <v/>
      </c>
      <c r="R132" s="16">
        <f>IF(ISNUMBER(J132),J132,IF(ISNUMBER(K132),-K132,""))</f>
        <v/>
      </c>
      <c r="S132">
        <f>IF(ISNUMBER(K132),K132,IF(ISNUMBER(J132),-J132,""))</f>
        <v/>
      </c>
      <c r="T132">
        <f>IF(AND(ISNUMBER(R132),ISNUMBER(R129)),VLOOKUP(ABS(R132-R129),'IMP Table'!$A$2:$C$26,3)*SIGN(R132-R129),"")</f>
        <v/>
      </c>
      <c r="U132">
        <f>IF(AND(ISNUMBER(R132),ISNUMBER(R130)),VLOOKUP(ABS(R132-R130),'IMP Table'!$A$2:$C$26,3)*SIGN(R132-R130),"")</f>
        <v/>
      </c>
      <c r="V132">
        <f>IF(AND(ISNUMBER(R132),ISNUMBER(R131)),VLOOKUP(ABS(R132-R131),'IMP Table'!$A$2:$C$26,3)*SIGN(R132-R131),"")</f>
        <v/>
      </c>
      <c r="W132">
        <f>IF(AND(ISNUMBER(R132),ISNUMBER(R133)),VLOOKUP(ABS(R132-R133),'IMP Table'!$A$2:$C$26,3)*SIGN(R132-R133),"")</f>
        <v/>
      </c>
      <c r="X132">
        <f>IF(AND(ISNUMBER(R132),ISNUMBER(R134)),VLOOKUP(ABS(R132-R134),'IMP Table'!$A$2:$C$26,3)*SIGN(R132-R134),"")</f>
        <v/>
      </c>
      <c r="Y132">
        <f>IF(AND(ISNUMBER(R132),ISNUMBER(R135)),VLOOKUP(ABS(R132-R135),'IMP Table'!$A$2:$C$26,3)*SIGN(R132-R135),"")</f>
        <v/>
      </c>
      <c r="Z132">
        <f>IF(AND(ISNUMBER(S132),ISNUMBER(S129)),VLOOKUP(ABS(S132-S129),'IMP Table'!$A$2:$C$26,3)*SIGN(S132-S129),"")</f>
        <v/>
      </c>
      <c r="AA132">
        <f>IF(AND(ISNUMBER(S132),ISNUMBER(S130)),VLOOKUP(ABS(S132-S130),'IMP Table'!$A$2:$C$26,3)*SIGN(S132-S130),"")</f>
        <v/>
      </c>
      <c r="AB132">
        <f>IF(AND(ISNUMBER(S132),ISNUMBER(S131)),VLOOKUP(ABS(S132-S131),'IMP Table'!$A$2:$C$26,3)*SIGN(S132-S131),"")</f>
        <v/>
      </c>
      <c r="AC132">
        <f>IF(AND(ISNUMBER(S132),ISNUMBER(S133)),VLOOKUP(ABS(S132-S133),'IMP Table'!$A$2:$C$26,3)*SIGN(S132-S133),"")</f>
        <v/>
      </c>
      <c r="AD132">
        <f>IF(AND(ISNUMBER(S132),ISNUMBER(S134)),VLOOKUP(ABS(S132-S134),'IMP Table'!$A$2:$C$26,3)*SIGN(S132-S134),"")</f>
        <v/>
      </c>
      <c r="AE132">
        <f>IF(AND(ISNUMBER(S132),ISNUMBER(S135)),VLOOKUP(ABS(S132-S135),'IMP Table'!$A$2:$C$26,3)*SIGN(S132-S135),"")</f>
        <v/>
      </c>
      <c r="AF132">
        <f>IF(AND(ISNUMBER(R132),ISNUMBER(R129)),IF(R132&gt;R129,1,IF(R132=R129,0.5,0)),0.5)</f>
        <v/>
      </c>
      <c r="AG132">
        <f>IF(AND(ISNUMBER(R132),ISNUMBER(R130)),IF(R132&gt;R130,1,IF(R132=R130,0.5,0)),0.5)</f>
        <v/>
      </c>
      <c r="AH132">
        <f>IF(AND(ISNUMBER(R132),ISNUMBER(R131)),IF(R132&gt;R131,1,IF(R132=R131,0.5,0)),0.5)</f>
        <v/>
      </c>
      <c r="AI132">
        <f>IF(AND(ISNUMBER(R132),ISNUMBER(R133)),IF(R132&gt;R133,1,IF(R132=R133,0.5,0)),0.5)</f>
        <v/>
      </c>
      <c r="AJ132">
        <f>IF(AND(ISNUMBER(R132),ISNUMBER(R134)),IF(R132&gt;R134,1,IF(R132=R134,0.5,0)),0.5)</f>
        <v/>
      </c>
      <c r="AK132">
        <f>IF(AND(ISNUMBER(R132),ISNUMBER(R135)),IF(R132&gt;R135,1,IF(R132=R135,0.5,0)),0.5)</f>
        <v/>
      </c>
      <c r="AL132">
        <f>IF(AND(ISNUMBER(S132),ISNUMBER(S129)),IF(S132&gt;S129,1,IF(S132=S129,0.5,0)),0.5)</f>
        <v/>
      </c>
      <c r="AM132">
        <f>IF(AND(ISNUMBER(S132),ISNUMBER(S130)),IF(S132&gt;S130,1,IF(S132=S130,0.5,0)),0.5)</f>
        <v/>
      </c>
      <c r="AN132">
        <f>IF(AND(ISNUMBER(S132),ISNUMBER(S131)),IF(S132&gt;S131,1,IF(S132=S131,0.5,0)),0.5)</f>
        <v/>
      </c>
      <c r="AO132">
        <f>IF(AND(ISNUMBER(S132),ISNUMBER(S133)),IF(S132&gt;S133,1,IF(S132=S133,0.5,0)),0.5)</f>
        <v/>
      </c>
      <c r="AP132">
        <f>IF(AND(ISNUMBER(S132),ISNUMBER(S134)),IF(S132&gt;S134,1,IF(S132=S134,0.5,0)),0.5)</f>
        <v/>
      </c>
      <c r="AQ132">
        <f>IF(AND(ISNUMBER(S132),ISNUMBER(S135)),IF(S132&gt;S135,1,IF(S132=S135,0.5,0)),0.5)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4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5">
        <f>IFERROR(AVERAGE(T133:Y133),"")</f>
        <v/>
      </c>
      <c r="M133" s="4">
        <f>IFERROR(AVERAGE(Z133:AE133),"")</f>
        <v/>
      </c>
      <c r="N133" s="5">
        <f>P133/6</f>
        <v/>
      </c>
      <c r="O133" s="5">
        <f>Q133/6</f>
        <v/>
      </c>
      <c r="P133" s="4">
        <f>IFERROR(SUM(AF133:AK133),"")</f>
        <v/>
      </c>
      <c r="Q133" s="4">
        <f>IFERROR(SUM(AL133:AQ133),"")</f>
        <v/>
      </c>
      <c r="R133" s="16">
        <f>IF(ISNUMBER(J133),J133,IF(ISNUMBER(K133),-K133,""))</f>
        <v/>
      </c>
      <c r="S133">
        <f>IF(ISNUMBER(K133),K133,IF(ISNUMBER(J133),-J133,""))</f>
        <v/>
      </c>
      <c r="T133">
        <f>IF(AND(ISNUMBER(R133),ISNUMBER(R129)),VLOOKUP(ABS(R133-R129),'IMP Table'!$A$2:$C$26,3)*SIGN(R133-R129),"")</f>
        <v/>
      </c>
      <c r="U133">
        <f>IF(AND(ISNUMBER(R133),ISNUMBER(R130)),VLOOKUP(ABS(R133-R130),'IMP Table'!$A$2:$C$26,3)*SIGN(R133-R130),"")</f>
        <v/>
      </c>
      <c r="V133">
        <f>IF(AND(ISNUMBER(R133),ISNUMBER(R131)),VLOOKUP(ABS(R133-R131),'IMP Table'!$A$2:$C$26,3)*SIGN(R133-R131),"")</f>
        <v/>
      </c>
      <c r="W133">
        <f>IF(AND(ISNUMBER(R133),ISNUMBER(R132)),VLOOKUP(ABS(R133-R132),'IMP Table'!$A$2:$C$26,3)*SIGN(R133-R132),"")</f>
        <v/>
      </c>
      <c r="X133">
        <f>IF(AND(ISNUMBER(R133),ISNUMBER(R134)),VLOOKUP(ABS(R133-R134),'IMP Table'!$A$2:$C$26,3)*SIGN(R133-R134),"")</f>
        <v/>
      </c>
      <c r="Y133">
        <f>IF(AND(ISNUMBER(R133),ISNUMBER(R135)),VLOOKUP(ABS(R133-R135),'IMP Table'!$A$2:$C$26,3)*SIGN(R133-R135),"")</f>
        <v/>
      </c>
      <c r="Z133">
        <f>IF(AND(ISNUMBER(S133),ISNUMBER(S129)),VLOOKUP(ABS(S133-S129),'IMP Table'!$A$2:$C$26,3)*SIGN(S133-S129),"")</f>
        <v/>
      </c>
      <c r="AA133">
        <f>IF(AND(ISNUMBER(S133),ISNUMBER(S130)),VLOOKUP(ABS(S133-S130),'IMP Table'!$A$2:$C$26,3)*SIGN(S133-S130),"")</f>
        <v/>
      </c>
      <c r="AB133">
        <f>IF(AND(ISNUMBER(S133),ISNUMBER(S131)),VLOOKUP(ABS(S133-S131),'IMP Table'!$A$2:$C$26,3)*SIGN(S133-S131),"")</f>
        <v/>
      </c>
      <c r="AC133">
        <f>IF(AND(ISNUMBER(S133),ISNUMBER(S132)),VLOOKUP(ABS(S133-S132),'IMP Table'!$A$2:$C$26,3)*SIGN(S133-S132),"")</f>
        <v/>
      </c>
      <c r="AD133">
        <f>IF(AND(ISNUMBER(S133),ISNUMBER(S134)),VLOOKUP(ABS(S133-S134),'IMP Table'!$A$2:$C$26,3)*SIGN(S133-S134),"")</f>
        <v/>
      </c>
      <c r="AE133">
        <f>IF(AND(ISNUMBER(S133),ISNUMBER(S135)),VLOOKUP(ABS(S133-S135),'IMP Table'!$A$2:$C$26,3)*SIGN(S133-S135),"")</f>
        <v/>
      </c>
      <c r="AF133">
        <f>IF(AND(ISNUMBER(R133),ISNUMBER(R129)),IF(R133&gt;R129,1,IF(R133=R129,0.5,0)),0.5)</f>
        <v/>
      </c>
      <c r="AG133">
        <f>IF(AND(ISNUMBER(R133),ISNUMBER(R130)),IF(R133&gt;R130,1,IF(R133=R130,0.5,0)),0.5)</f>
        <v/>
      </c>
      <c r="AH133">
        <f>IF(AND(ISNUMBER(R133),ISNUMBER(R131)),IF(R133&gt;R131,1,IF(R133=R131,0.5,0)),0.5)</f>
        <v/>
      </c>
      <c r="AI133">
        <f>IF(AND(ISNUMBER(R133),ISNUMBER(R132)),IF(R133&gt;R132,1,IF(R133=R132,0.5,0)),0.5)</f>
        <v/>
      </c>
      <c r="AJ133">
        <f>IF(AND(ISNUMBER(R133),ISNUMBER(R134)),IF(R133&gt;R134,1,IF(R133=R134,0.5,0)),0.5)</f>
        <v/>
      </c>
      <c r="AK133">
        <f>IF(AND(ISNUMBER(R133),ISNUMBER(R135)),IF(R133&gt;R135,1,IF(R133=R135,0.5,0)),0.5)</f>
        <v/>
      </c>
      <c r="AL133">
        <f>IF(AND(ISNUMBER(S133),ISNUMBER(S129)),IF(S133&gt;S129,1,IF(S133=S129,0.5,0)),0.5)</f>
        <v/>
      </c>
      <c r="AM133">
        <f>IF(AND(ISNUMBER(S133),ISNUMBER(S130)),IF(S133&gt;S130,1,IF(S133=S130,0.5,0)),0.5)</f>
        <v/>
      </c>
      <c r="AN133">
        <f>IF(AND(ISNUMBER(S133),ISNUMBER(S131)),IF(S133&gt;S131,1,IF(S133=S131,0.5,0)),0.5)</f>
        <v/>
      </c>
      <c r="AO133">
        <f>IF(AND(ISNUMBER(S133),ISNUMBER(S132)),IF(S133&gt;S132,1,IF(S133=S132,0.5,0)),0.5)</f>
        <v/>
      </c>
      <c r="AP133">
        <f>IF(AND(ISNUMBER(S133),ISNUMBER(S134)),IF(S133&gt;S134,1,IF(S133=S134,0.5,0)),0.5)</f>
        <v/>
      </c>
      <c r="AQ133">
        <f>IF(AND(ISNUMBER(S133),ISNUMBER(S135)),IF(S133&gt;S135,1,IF(S133=S135,0.5,0)),0.5)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4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5">
        <f>IFERROR(AVERAGE(T134:Y134),"")</f>
        <v/>
      </c>
      <c r="M134" s="4">
        <f>IFERROR(AVERAGE(Z134:AE134),"")</f>
        <v/>
      </c>
      <c r="N134" s="5">
        <f>P134/6</f>
        <v/>
      </c>
      <c r="O134" s="5">
        <f>Q134/6</f>
        <v/>
      </c>
      <c r="P134" s="4">
        <f>IFERROR(SUM(AF134:AK134),"")</f>
        <v/>
      </c>
      <c r="Q134" s="4">
        <f>IFERROR(SUM(AL134:AQ134),"")</f>
        <v/>
      </c>
      <c r="R134" s="16">
        <f>IF(ISNUMBER(J134),J134,IF(ISNUMBER(K134),-K134,""))</f>
        <v/>
      </c>
      <c r="S134">
        <f>IF(ISNUMBER(K134),K134,IF(ISNUMBER(J134),-J134,""))</f>
        <v/>
      </c>
      <c r="T134">
        <f>IF(AND(ISNUMBER(R134),ISNUMBER(R129)),VLOOKUP(ABS(R134-R129),'IMP Table'!$A$2:$C$26,3)*SIGN(R134-R129),"")</f>
        <v/>
      </c>
      <c r="U134">
        <f>IF(AND(ISNUMBER(R134),ISNUMBER(R130)),VLOOKUP(ABS(R134-R130),'IMP Table'!$A$2:$C$26,3)*SIGN(R134-R130),"")</f>
        <v/>
      </c>
      <c r="V134">
        <f>IF(AND(ISNUMBER(R134),ISNUMBER(R131)),VLOOKUP(ABS(R134-R131),'IMP Table'!$A$2:$C$26,3)*SIGN(R134-R131),"")</f>
        <v/>
      </c>
      <c r="W134">
        <f>IF(AND(ISNUMBER(R134),ISNUMBER(R132)),VLOOKUP(ABS(R134-R132),'IMP Table'!$A$2:$C$26,3)*SIGN(R134-R132),"")</f>
        <v/>
      </c>
      <c r="X134">
        <f>IF(AND(ISNUMBER(R134),ISNUMBER(R133)),VLOOKUP(ABS(R134-R133),'IMP Table'!$A$2:$C$26,3)*SIGN(R134-R133),"")</f>
        <v/>
      </c>
      <c r="Y134">
        <f>IF(AND(ISNUMBER(R134),ISNUMBER(R135)),VLOOKUP(ABS(R134-R135),'IMP Table'!$A$2:$C$26,3)*SIGN(R134-R135),"")</f>
        <v/>
      </c>
      <c r="Z134">
        <f>IF(AND(ISNUMBER(S134),ISNUMBER(S129)),VLOOKUP(ABS(S134-S129),'IMP Table'!$A$2:$C$26,3)*SIGN(S134-S129),"")</f>
        <v/>
      </c>
      <c r="AA134">
        <f>IF(AND(ISNUMBER(S134),ISNUMBER(S130)),VLOOKUP(ABS(S134-S130),'IMP Table'!$A$2:$C$26,3)*SIGN(S134-S130),"")</f>
        <v/>
      </c>
      <c r="AB134">
        <f>IF(AND(ISNUMBER(S134),ISNUMBER(S131)),VLOOKUP(ABS(S134-S131),'IMP Table'!$A$2:$C$26,3)*SIGN(S134-S131),"")</f>
        <v/>
      </c>
      <c r="AC134">
        <f>IF(AND(ISNUMBER(S134),ISNUMBER(S132)),VLOOKUP(ABS(S134-S132),'IMP Table'!$A$2:$C$26,3)*SIGN(S134-S132),"")</f>
        <v/>
      </c>
      <c r="AD134">
        <f>IF(AND(ISNUMBER(S134),ISNUMBER(S133)),VLOOKUP(ABS(S134-S133),'IMP Table'!$A$2:$C$26,3)*SIGN(S134-S133),"")</f>
        <v/>
      </c>
      <c r="AE134">
        <f>IF(AND(ISNUMBER(S134),ISNUMBER(S135)),VLOOKUP(ABS(S134-S135),'IMP Table'!$A$2:$C$26,3)*SIGN(S134-S135),"")</f>
        <v/>
      </c>
      <c r="AF134">
        <f>IF(AND(ISNUMBER(R134),ISNUMBER(R129)),IF(R134&gt;R129,1,IF(R134=R129,0.5,0)),0.5)</f>
        <v/>
      </c>
      <c r="AG134">
        <f>IF(AND(ISNUMBER(R134),ISNUMBER(R130)),IF(R134&gt;R130,1,IF(R134=R130,0.5,0)),0.5)</f>
        <v/>
      </c>
      <c r="AH134">
        <f>IF(AND(ISNUMBER(R134),ISNUMBER(R131)),IF(R134&gt;R131,1,IF(R134=R131,0.5,0)),0.5)</f>
        <v/>
      </c>
      <c r="AI134">
        <f>IF(AND(ISNUMBER(R134),ISNUMBER(R132)),IF(R134&gt;R132,1,IF(R134=R132,0.5,0)),0.5)</f>
        <v/>
      </c>
      <c r="AJ134">
        <f>IF(AND(ISNUMBER(R134),ISNUMBER(R133)),IF(R134&gt;R133,1,IF(R134=R133,0.5,0)),0.5)</f>
        <v/>
      </c>
      <c r="AK134">
        <f>IF(AND(ISNUMBER(R134),ISNUMBER(R135)),IF(R134&gt;R135,1,IF(R134=R135,0.5,0)),0.5)</f>
        <v/>
      </c>
      <c r="AL134">
        <f>IF(AND(ISNUMBER(S134),ISNUMBER(S129)),IF(S134&gt;S129,1,IF(S134=S129,0.5,0)),0.5)</f>
        <v/>
      </c>
      <c r="AM134">
        <f>IF(AND(ISNUMBER(S134),ISNUMBER(S130)),IF(S134&gt;S130,1,IF(S134=S130,0.5,0)),0.5)</f>
        <v/>
      </c>
      <c r="AN134">
        <f>IF(AND(ISNUMBER(S134),ISNUMBER(S131)),IF(S134&gt;S131,1,IF(S134=S131,0.5,0)),0.5)</f>
        <v/>
      </c>
      <c r="AO134">
        <f>IF(AND(ISNUMBER(S134),ISNUMBER(S132)),IF(S134&gt;S132,1,IF(S134=S132,0.5,0)),0.5)</f>
        <v/>
      </c>
      <c r="AP134">
        <f>IF(AND(ISNUMBER(S134),ISNUMBER(S133)),IF(S134&gt;S133,1,IF(S134=S133,0.5,0)),0.5)</f>
        <v/>
      </c>
      <c r="AQ134">
        <f>IF(AND(ISNUMBER(S134),ISNUMBER(S135)),IF(S134&gt;S135,1,IF(S134=S135,0.5,0)),0.5)</f>
        <v/>
      </c>
    </row>
    <row r="135">
      <c r="A135" s="13" t="n"/>
      <c r="B135" s="13">
        <f>'By Round'!A171</f>
        <v/>
      </c>
      <c r="C135" s="13">
        <f>'By Round'!B181</f>
        <v/>
      </c>
      <c r="D135" s="13">
        <f>'By Round'!C181</f>
        <v/>
      </c>
      <c r="E135" s="13">
        <f>'By Round'!D181</f>
        <v/>
      </c>
      <c r="F135" s="17" t="inlineStr">
        <is>
          <t>EW</t>
        </is>
      </c>
      <c r="G135" s="13">
        <f>IF(ISBLANK('By Round'!G181),"",'By Round'!G181)</f>
        <v/>
      </c>
      <c r="H135" s="13">
        <f>IF(ISBLANK('By Round'!H181),"",'By Round'!H181)</f>
        <v/>
      </c>
      <c r="I135" s="13">
        <f>IF(ISBLANK('By Round'!I181),"",'By Round'!I181)</f>
        <v/>
      </c>
      <c r="J135" s="13">
        <f>IF(ISBLANK('By Round'!J181),"",'By Round'!J181)</f>
        <v/>
      </c>
      <c r="K135" s="13">
        <f>IF(ISBLANK('By Round'!K181),"",'By Round'!K181)</f>
        <v/>
      </c>
      <c r="L135" s="18">
        <f>IFERROR(AVERAGE(T135:Y135),"")</f>
        <v/>
      </c>
      <c r="M135" s="19">
        <f>IFERROR(AVERAGE(Z135:AE135),"")</f>
        <v/>
      </c>
      <c r="N135" s="20">
        <f>P135/6</f>
        <v/>
      </c>
      <c r="O135" s="20">
        <f>Q135/6</f>
        <v/>
      </c>
      <c r="P135" s="19">
        <f>IFERROR(SUM(AF135:AK135),"")</f>
        <v/>
      </c>
      <c r="Q135" s="19">
        <f>IFERROR(SUM(AL135:AQ135),"")</f>
        <v/>
      </c>
      <c r="R135" s="21">
        <f>IF(ISNUMBER(J135),J135,IF(ISNUMBER(K135),-K135,""))</f>
        <v/>
      </c>
      <c r="S135" s="13">
        <f>IF(ISNUMBER(K135),K135,IF(ISNUMBER(J135),-J135,""))</f>
        <v/>
      </c>
      <c r="T135" s="13">
        <f>IF(AND(ISNUMBER(R135),ISNUMBER(R129)),VLOOKUP(ABS(R135-R129),'IMP Table'!$A$2:$C$26,3)*SIGN(R135-R129),"")</f>
        <v/>
      </c>
      <c r="U135" s="13">
        <f>IF(AND(ISNUMBER(R135),ISNUMBER(R130)),VLOOKUP(ABS(R135-R130),'IMP Table'!$A$2:$C$26,3)*SIGN(R135-R130),"")</f>
        <v/>
      </c>
      <c r="V135" s="13">
        <f>IF(AND(ISNUMBER(R135),ISNUMBER(R131)),VLOOKUP(ABS(R135-R131),'IMP Table'!$A$2:$C$26,3)*SIGN(R135-R131),"")</f>
        <v/>
      </c>
      <c r="W135" s="13">
        <f>IF(AND(ISNUMBER(R135),ISNUMBER(R132)),VLOOKUP(ABS(R135-R132),'IMP Table'!$A$2:$C$26,3)*SIGN(R135-R132),"")</f>
        <v/>
      </c>
      <c r="X135" s="13">
        <f>IF(AND(ISNUMBER(R135),ISNUMBER(R133)),VLOOKUP(ABS(R135-R133),'IMP Table'!$A$2:$C$26,3)*SIGN(R135-R133),"")</f>
        <v/>
      </c>
      <c r="Y135" s="13">
        <f>IF(AND(ISNUMBER(R135),ISNUMBER(R134)),VLOOKUP(ABS(R135-R134),'IMP Table'!$A$2:$C$26,3)*SIGN(R135-R134),"")</f>
        <v/>
      </c>
      <c r="Z135" s="13">
        <f>IF(AND(ISNUMBER(S135),ISNUMBER(S129)),VLOOKUP(ABS(S135-S129),'IMP Table'!$A$2:$C$26,3)*SIGN(S135-S129),"")</f>
        <v/>
      </c>
      <c r="AA135" s="13">
        <f>IF(AND(ISNUMBER(S135),ISNUMBER(S130)),VLOOKUP(ABS(S135-S130),'IMP Table'!$A$2:$C$26,3)*SIGN(S135-S130),"")</f>
        <v/>
      </c>
      <c r="AB135" s="13">
        <f>IF(AND(ISNUMBER(S135),ISNUMBER(S131)),VLOOKUP(ABS(S135-S131),'IMP Table'!$A$2:$C$26,3)*SIGN(S135-S131),"")</f>
        <v/>
      </c>
      <c r="AC135" s="13">
        <f>IF(AND(ISNUMBER(S135),ISNUMBER(S132)),VLOOKUP(ABS(S135-S132),'IMP Table'!$A$2:$C$26,3)*SIGN(S135-S132),"")</f>
        <v/>
      </c>
      <c r="AD135" s="13">
        <f>IF(AND(ISNUMBER(S135),ISNUMBER(S133)),VLOOKUP(ABS(S135-S133),'IMP Table'!$A$2:$C$26,3)*SIGN(S135-S133),"")</f>
        <v/>
      </c>
      <c r="AE135" s="13">
        <f>IF(AND(ISNUMBER(S135),ISNUMBER(S134)),VLOOKUP(ABS(S135-S134),'IMP Table'!$A$2:$C$26,3)*SIGN(S135-S134),"")</f>
        <v/>
      </c>
      <c r="AF135" s="13">
        <f>IF(AND(ISNUMBER(R135),ISNUMBER(R129)),IF(R135&gt;R129,1,IF(R135=R129,0.5,0)),0.5)</f>
        <v/>
      </c>
      <c r="AG135" s="13">
        <f>IF(AND(ISNUMBER(R135),ISNUMBER(R130)),IF(R135&gt;R130,1,IF(R135=R130,0.5,0)),0.5)</f>
        <v/>
      </c>
      <c r="AH135" s="13">
        <f>IF(AND(ISNUMBER(R135),ISNUMBER(R131)),IF(R135&gt;R131,1,IF(R135=R131,0.5,0)),0.5)</f>
        <v/>
      </c>
      <c r="AI135" s="13">
        <f>IF(AND(ISNUMBER(R135),ISNUMBER(R132)),IF(R135&gt;R132,1,IF(R135=R132,0.5,0)),0.5)</f>
        <v/>
      </c>
      <c r="AJ135" s="13">
        <f>IF(AND(ISNUMBER(R135),ISNUMBER(R133)),IF(R135&gt;R133,1,IF(R135=R133,0.5,0)),0.5)</f>
        <v/>
      </c>
      <c r="AK135" s="13">
        <f>IF(AND(ISNUMBER(R135),ISNUMBER(R134)),IF(R135&gt;R134,1,IF(R135=R134,0.5,0)),0.5)</f>
        <v/>
      </c>
      <c r="AL135" s="13">
        <f>IF(AND(ISNUMBER(S135),ISNUMBER(S129)),IF(S135&gt;S129,1,IF(S135=S129,0.5,0)),0.5)</f>
        <v/>
      </c>
      <c r="AM135" s="13">
        <f>IF(AND(ISNUMBER(S135),ISNUMBER(S130)),IF(S135&gt;S130,1,IF(S135=S130,0.5,0)),0.5)</f>
        <v/>
      </c>
      <c r="AN135" s="13">
        <f>IF(AND(ISNUMBER(S135),ISNUMBER(S131)),IF(S135&gt;S131,1,IF(S135=S131,0.5,0)),0.5)</f>
        <v/>
      </c>
      <c r="AO135" s="13">
        <f>IF(AND(ISNUMBER(S135),ISNUMBER(S132)),IF(S135&gt;S132,1,IF(S135=S132,0.5,0)),0.5)</f>
        <v/>
      </c>
      <c r="AP135" s="13">
        <f>IF(AND(ISNUMBER(S135),ISNUMBER(S133)),IF(S135&gt;S133,1,IF(S135=S133,0.5,0)),0.5)</f>
        <v/>
      </c>
      <c r="AQ135" s="13">
        <f>IF(AND(ISNUMBER(S135),ISNUMBER(S134)),IF(S135&gt;S134,1,IF(S135=S134,0.5,0)),0.5)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4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5">
        <f>IFERROR(AVERAGE(T136:Y136),"")</f>
        <v/>
      </c>
      <c r="M136" s="4">
        <f>IFERROR(AVERAGE(Z136:AE136),"")</f>
        <v/>
      </c>
      <c r="N136" s="5">
        <f>P136/6</f>
        <v/>
      </c>
      <c r="O136" s="5">
        <f>Q136/6</f>
        <v/>
      </c>
      <c r="P136" s="4">
        <f>IFERROR(SUM(AF136:AK136),"")</f>
        <v/>
      </c>
      <c r="Q136" s="4">
        <f>IFERROR(SUM(AL136:AQ136),"")</f>
        <v/>
      </c>
      <c r="R136" s="16">
        <f>IF(ISNUMBER(J136),J136,IF(ISNUMBER(K136),-K136,""))</f>
        <v/>
      </c>
      <c r="S136">
        <f>IF(ISNUMBER(K136),K136,IF(ISNUMBER(J136),-J136,""))</f>
        <v/>
      </c>
      <c r="T136">
        <f>IF(AND(ISNUMBER(R136),ISNUMBER(R137)),VLOOKUP(ABS(R136-R137),'IMP Table'!$A$2:$C$26,3)*SIGN(R136-R137),"")</f>
        <v/>
      </c>
      <c r="U136">
        <f>IF(AND(ISNUMBER(R136),ISNUMBER(R138)),VLOOKUP(ABS(R136-R138),'IMP Table'!$A$2:$C$26,3)*SIGN(R136-R138),"")</f>
        <v/>
      </c>
      <c r="V136">
        <f>IF(AND(ISNUMBER(R136),ISNUMBER(R139)),VLOOKUP(ABS(R136-R139),'IMP Table'!$A$2:$C$26,3)*SIGN(R136-R139),"")</f>
        <v/>
      </c>
      <c r="W136">
        <f>IF(AND(ISNUMBER(R136),ISNUMBER(R140)),VLOOKUP(ABS(R136-R140),'IMP Table'!$A$2:$C$26,3)*SIGN(R136-R140),"")</f>
        <v/>
      </c>
      <c r="X136">
        <f>IF(AND(ISNUMBER(R136),ISNUMBER(R141)),VLOOKUP(ABS(R136-R141),'IMP Table'!$A$2:$C$26,3)*SIGN(R136-R141),"")</f>
        <v/>
      </c>
      <c r="Y136">
        <f>IF(AND(ISNUMBER(R136),ISNUMBER(R142)),VLOOKUP(ABS(R136-R142),'IMP Table'!$A$2:$C$26,3)*SIGN(R136-R142),"")</f>
        <v/>
      </c>
      <c r="Z136">
        <f>IF(AND(ISNUMBER(S136),ISNUMBER(S137)),VLOOKUP(ABS(S136-S137),'IMP Table'!$A$2:$C$26,3)*SIGN(S136-S137),"")</f>
        <v/>
      </c>
      <c r="AA136">
        <f>IF(AND(ISNUMBER(S136),ISNUMBER(S138)),VLOOKUP(ABS(S136-S138),'IMP Table'!$A$2:$C$26,3)*SIGN(S136-S138),"")</f>
        <v/>
      </c>
      <c r="AB136">
        <f>IF(AND(ISNUMBER(S136),ISNUMBER(S139)),VLOOKUP(ABS(S136-S139),'IMP Table'!$A$2:$C$26,3)*SIGN(S136-S139),"")</f>
        <v/>
      </c>
      <c r="AC136">
        <f>IF(AND(ISNUMBER(S136),ISNUMBER(S140)),VLOOKUP(ABS(S136-S140),'IMP Table'!$A$2:$C$26,3)*SIGN(S136-S140),"")</f>
        <v/>
      </c>
      <c r="AD136">
        <f>IF(AND(ISNUMBER(S136),ISNUMBER(S141)),VLOOKUP(ABS(S136-S141),'IMP Table'!$A$2:$C$26,3)*SIGN(S136-S141),"")</f>
        <v/>
      </c>
      <c r="AE136">
        <f>IF(AND(ISNUMBER(S136),ISNUMBER(S142)),VLOOKUP(ABS(S136-S142),'IMP Table'!$A$2:$C$26,3)*SIGN(S136-S142),"")</f>
        <v/>
      </c>
      <c r="AF136">
        <f>IF(AND(ISNUMBER(R136),ISNUMBER(R137)),IF(R136&gt;R137,1,IF(R136=R137,0.5,0)),0.5)</f>
        <v/>
      </c>
      <c r="AG136">
        <f>IF(AND(ISNUMBER(R136),ISNUMBER(R138)),IF(R136&gt;R138,1,IF(R136=R138,0.5,0)),0.5)</f>
        <v/>
      </c>
      <c r="AH136">
        <f>IF(AND(ISNUMBER(R136),ISNUMBER(R139)),IF(R136&gt;R139,1,IF(R136=R139,0.5,0)),0.5)</f>
        <v/>
      </c>
      <c r="AI136">
        <f>IF(AND(ISNUMBER(R136),ISNUMBER(R140)),IF(R136&gt;R140,1,IF(R136=R140,0.5,0)),0.5)</f>
        <v/>
      </c>
      <c r="AJ136">
        <f>IF(AND(ISNUMBER(R136),ISNUMBER(R141)),IF(R136&gt;R141,1,IF(R136=R141,0.5,0)),0.5)</f>
        <v/>
      </c>
      <c r="AK136">
        <f>IF(AND(ISNUMBER(R136),ISNUMBER(R142)),IF(R136&gt;R142,1,IF(R136=R142,0.5,0)),0.5)</f>
        <v/>
      </c>
      <c r="AL136">
        <f>IF(AND(ISNUMBER(S136),ISNUMBER(S137)),IF(S136&gt;S137,1,IF(S136=S137,0.5,0)),0.5)</f>
        <v/>
      </c>
      <c r="AM136">
        <f>IF(AND(ISNUMBER(S136),ISNUMBER(S138)),IF(S136&gt;S138,1,IF(S136=S138,0.5,0)),0.5)</f>
        <v/>
      </c>
      <c r="AN136">
        <f>IF(AND(ISNUMBER(S136),ISNUMBER(S139)),IF(S136&gt;S139,1,IF(S136=S139,0.5,0)),0.5)</f>
        <v/>
      </c>
      <c r="AO136">
        <f>IF(AND(ISNUMBER(S136),ISNUMBER(S140)),IF(S136&gt;S140,1,IF(S136=S140,0.5,0)),0.5)</f>
        <v/>
      </c>
      <c r="AP136">
        <f>IF(AND(ISNUMBER(S136),ISNUMBER(S141)),IF(S136&gt;S141,1,IF(S136=S141,0.5,0)),0.5)</f>
        <v/>
      </c>
      <c r="AQ136">
        <f>IF(AND(ISNUMBER(S136),ISNUMBER(S142)),IF(S136&gt;S142,1,IF(S136=S142,0.5,0)),0.5)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4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5">
        <f>IFERROR(AVERAGE(T137:Y137),"")</f>
        <v/>
      </c>
      <c r="M137" s="4">
        <f>IFERROR(AVERAGE(Z137:AE137),"")</f>
        <v/>
      </c>
      <c r="N137" s="5">
        <f>P137/6</f>
        <v/>
      </c>
      <c r="O137" s="5">
        <f>Q137/6</f>
        <v/>
      </c>
      <c r="P137" s="4">
        <f>IFERROR(SUM(AF137:AK137),"")</f>
        <v/>
      </c>
      <c r="Q137" s="4">
        <f>IFERROR(SUM(AL137:AQ137),"")</f>
        <v/>
      </c>
      <c r="R137" s="16">
        <f>IF(ISNUMBER(J137),J137,IF(ISNUMBER(K137),-K137,""))</f>
        <v/>
      </c>
      <c r="S137">
        <f>IF(ISNUMBER(K137),K137,IF(ISNUMBER(J137),-J137,""))</f>
        <v/>
      </c>
      <c r="T137">
        <f>IF(AND(ISNUMBER(R137),ISNUMBER(R136)),VLOOKUP(ABS(R137-R136),'IMP Table'!$A$2:$C$26,3)*SIGN(R137-R136),"")</f>
        <v/>
      </c>
      <c r="U137">
        <f>IF(AND(ISNUMBER(R137),ISNUMBER(R138)),VLOOKUP(ABS(R137-R138),'IMP Table'!$A$2:$C$26,3)*SIGN(R137-R138),"")</f>
        <v/>
      </c>
      <c r="V137">
        <f>IF(AND(ISNUMBER(R137),ISNUMBER(R139)),VLOOKUP(ABS(R137-R139),'IMP Table'!$A$2:$C$26,3)*SIGN(R137-R139),"")</f>
        <v/>
      </c>
      <c r="W137">
        <f>IF(AND(ISNUMBER(R137),ISNUMBER(R140)),VLOOKUP(ABS(R137-R140),'IMP Table'!$A$2:$C$26,3)*SIGN(R137-R140),"")</f>
        <v/>
      </c>
      <c r="X137">
        <f>IF(AND(ISNUMBER(R137),ISNUMBER(R141)),VLOOKUP(ABS(R137-R141),'IMP Table'!$A$2:$C$26,3)*SIGN(R137-R141),"")</f>
        <v/>
      </c>
      <c r="Y137">
        <f>IF(AND(ISNUMBER(R137),ISNUMBER(R142)),VLOOKUP(ABS(R137-R142),'IMP Table'!$A$2:$C$26,3)*SIGN(R137-R142),"")</f>
        <v/>
      </c>
      <c r="Z137">
        <f>IF(AND(ISNUMBER(S137),ISNUMBER(S136)),VLOOKUP(ABS(S137-S136),'IMP Table'!$A$2:$C$26,3)*SIGN(S137-S136),"")</f>
        <v/>
      </c>
      <c r="AA137">
        <f>IF(AND(ISNUMBER(S137),ISNUMBER(S138)),VLOOKUP(ABS(S137-S138),'IMP Table'!$A$2:$C$26,3)*SIGN(S137-S138),"")</f>
        <v/>
      </c>
      <c r="AB137">
        <f>IF(AND(ISNUMBER(S137),ISNUMBER(S139)),VLOOKUP(ABS(S137-S139),'IMP Table'!$A$2:$C$26,3)*SIGN(S137-S139),"")</f>
        <v/>
      </c>
      <c r="AC137">
        <f>IF(AND(ISNUMBER(S137),ISNUMBER(S140)),VLOOKUP(ABS(S137-S140),'IMP Table'!$A$2:$C$26,3)*SIGN(S137-S140),"")</f>
        <v/>
      </c>
      <c r="AD137">
        <f>IF(AND(ISNUMBER(S137),ISNUMBER(S141)),VLOOKUP(ABS(S137-S141),'IMP Table'!$A$2:$C$26,3)*SIGN(S137-S141),"")</f>
        <v/>
      </c>
      <c r="AE137">
        <f>IF(AND(ISNUMBER(S137),ISNUMBER(S142)),VLOOKUP(ABS(S137-S142),'IMP Table'!$A$2:$C$26,3)*SIGN(S137-S142),"")</f>
        <v/>
      </c>
      <c r="AF137">
        <f>IF(AND(ISNUMBER(R137),ISNUMBER(R136)),IF(R137&gt;R136,1,IF(R137=R136,0.5,0)),0.5)</f>
        <v/>
      </c>
      <c r="AG137">
        <f>IF(AND(ISNUMBER(R137),ISNUMBER(R138)),IF(R137&gt;R138,1,IF(R137=R138,0.5,0)),0.5)</f>
        <v/>
      </c>
      <c r="AH137">
        <f>IF(AND(ISNUMBER(R137),ISNUMBER(R139)),IF(R137&gt;R139,1,IF(R137=R139,0.5,0)),0.5)</f>
        <v/>
      </c>
      <c r="AI137">
        <f>IF(AND(ISNUMBER(R137),ISNUMBER(R140)),IF(R137&gt;R140,1,IF(R137=R140,0.5,0)),0.5)</f>
        <v/>
      </c>
      <c r="AJ137">
        <f>IF(AND(ISNUMBER(R137),ISNUMBER(R141)),IF(R137&gt;R141,1,IF(R137=R141,0.5,0)),0.5)</f>
        <v/>
      </c>
      <c r="AK137">
        <f>IF(AND(ISNUMBER(R137),ISNUMBER(R142)),IF(R137&gt;R142,1,IF(R137=R142,0.5,0)),0.5)</f>
        <v/>
      </c>
      <c r="AL137">
        <f>IF(AND(ISNUMBER(S137),ISNUMBER(S136)),IF(S137&gt;S136,1,IF(S137=S136,0.5,0)),0.5)</f>
        <v/>
      </c>
      <c r="AM137">
        <f>IF(AND(ISNUMBER(S137),ISNUMBER(S138)),IF(S137&gt;S138,1,IF(S137=S138,0.5,0)),0.5)</f>
        <v/>
      </c>
      <c r="AN137">
        <f>IF(AND(ISNUMBER(S137),ISNUMBER(S139)),IF(S137&gt;S139,1,IF(S137=S139,0.5,0)),0.5)</f>
        <v/>
      </c>
      <c r="AO137">
        <f>IF(AND(ISNUMBER(S137),ISNUMBER(S140)),IF(S137&gt;S140,1,IF(S137=S140,0.5,0)),0.5)</f>
        <v/>
      </c>
      <c r="AP137">
        <f>IF(AND(ISNUMBER(S137),ISNUMBER(S141)),IF(S137&gt;S141,1,IF(S137=S141,0.5,0)),0.5)</f>
        <v/>
      </c>
      <c r="AQ137">
        <f>IF(AND(ISNUMBER(S137),ISNUMBER(S142)),IF(S137&gt;S142,1,IF(S137=S142,0.5,0)),0.5)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4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5">
        <f>IFERROR(AVERAGE(T138:Y138),"")</f>
        <v/>
      </c>
      <c r="M138" s="4">
        <f>IFERROR(AVERAGE(Z138:AE138),"")</f>
        <v/>
      </c>
      <c r="N138" s="5">
        <f>P138/6</f>
        <v/>
      </c>
      <c r="O138" s="5">
        <f>Q138/6</f>
        <v/>
      </c>
      <c r="P138" s="4">
        <f>IFERROR(SUM(AF138:AK138),"")</f>
        <v/>
      </c>
      <c r="Q138" s="4">
        <f>IFERROR(SUM(AL138:AQ138),"")</f>
        <v/>
      </c>
      <c r="R138" s="16">
        <f>IF(ISNUMBER(J138),J138,IF(ISNUMBER(K138),-K138,""))</f>
        <v/>
      </c>
      <c r="S138">
        <f>IF(ISNUMBER(K138),K138,IF(ISNUMBER(J138),-J138,""))</f>
        <v/>
      </c>
      <c r="T138">
        <f>IF(AND(ISNUMBER(R138),ISNUMBER(R136)),VLOOKUP(ABS(R138-R136),'IMP Table'!$A$2:$C$26,3)*SIGN(R138-R136),"")</f>
        <v/>
      </c>
      <c r="U138">
        <f>IF(AND(ISNUMBER(R138),ISNUMBER(R137)),VLOOKUP(ABS(R138-R137),'IMP Table'!$A$2:$C$26,3)*SIGN(R138-R137),"")</f>
        <v/>
      </c>
      <c r="V138">
        <f>IF(AND(ISNUMBER(R138),ISNUMBER(R139)),VLOOKUP(ABS(R138-R139),'IMP Table'!$A$2:$C$26,3)*SIGN(R138-R139),"")</f>
        <v/>
      </c>
      <c r="W138">
        <f>IF(AND(ISNUMBER(R138),ISNUMBER(R140)),VLOOKUP(ABS(R138-R140),'IMP Table'!$A$2:$C$26,3)*SIGN(R138-R140),"")</f>
        <v/>
      </c>
      <c r="X138">
        <f>IF(AND(ISNUMBER(R138),ISNUMBER(R141)),VLOOKUP(ABS(R138-R141),'IMP Table'!$A$2:$C$26,3)*SIGN(R138-R141),"")</f>
        <v/>
      </c>
      <c r="Y138">
        <f>IF(AND(ISNUMBER(R138),ISNUMBER(R142)),VLOOKUP(ABS(R138-R142),'IMP Table'!$A$2:$C$26,3)*SIGN(R138-R142),"")</f>
        <v/>
      </c>
      <c r="Z138">
        <f>IF(AND(ISNUMBER(S138),ISNUMBER(S136)),VLOOKUP(ABS(S138-S136),'IMP Table'!$A$2:$C$26,3)*SIGN(S138-S136),"")</f>
        <v/>
      </c>
      <c r="AA138">
        <f>IF(AND(ISNUMBER(S138),ISNUMBER(S137)),VLOOKUP(ABS(S138-S137),'IMP Table'!$A$2:$C$26,3)*SIGN(S138-S137),"")</f>
        <v/>
      </c>
      <c r="AB138">
        <f>IF(AND(ISNUMBER(S138),ISNUMBER(S139)),VLOOKUP(ABS(S138-S139),'IMP Table'!$A$2:$C$26,3)*SIGN(S138-S139),"")</f>
        <v/>
      </c>
      <c r="AC138">
        <f>IF(AND(ISNUMBER(S138),ISNUMBER(S140)),VLOOKUP(ABS(S138-S140),'IMP Table'!$A$2:$C$26,3)*SIGN(S138-S140),"")</f>
        <v/>
      </c>
      <c r="AD138">
        <f>IF(AND(ISNUMBER(S138),ISNUMBER(S141)),VLOOKUP(ABS(S138-S141),'IMP Table'!$A$2:$C$26,3)*SIGN(S138-S141),"")</f>
        <v/>
      </c>
      <c r="AE138">
        <f>IF(AND(ISNUMBER(S138),ISNUMBER(S142)),VLOOKUP(ABS(S138-S142),'IMP Table'!$A$2:$C$26,3)*SIGN(S138-S142),"")</f>
        <v/>
      </c>
      <c r="AF138">
        <f>IF(AND(ISNUMBER(R138),ISNUMBER(R136)),IF(R138&gt;R136,1,IF(R138=R136,0.5,0)),0.5)</f>
        <v/>
      </c>
      <c r="AG138">
        <f>IF(AND(ISNUMBER(R138),ISNUMBER(R137)),IF(R138&gt;R137,1,IF(R138=R137,0.5,0)),0.5)</f>
        <v/>
      </c>
      <c r="AH138">
        <f>IF(AND(ISNUMBER(R138),ISNUMBER(R139)),IF(R138&gt;R139,1,IF(R138=R139,0.5,0)),0.5)</f>
        <v/>
      </c>
      <c r="AI138">
        <f>IF(AND(ISNUMBER(R138),ISNUMBER(R140)),IF(R138&gt;R140,1,IF(R138=R140,0.5,0)),0.5)</f>
        <v/>
      </c>
      <c r="AJ138">
        <f>IF(AND(ISNUMBER(R138),ISNUMBER(R141)),IF(R138&gt;R141,1,IF(R138=R141,0.5,0)),0.5)</f>
        <v/>
      </c>
      <c r="AK138">
        <f>IF(AND(ISNUMBER(R138),ISNUMBER(R142)),IF(R138&gt;R142,1,IF(R138=R142,0.5,0)),0.5)</f>
        <v/>
      </c>
      <c r="AL138">
        <f>IF(AND(ISNUMBER(S138),ISNUMBER(S136)),IF(S138&gt;S136,1,IF(S138=S136,0.5,0)),0.5)</f>
        <v/>
      </c>
      <c r="AM138">
        <f>IF(AND(ISNUMBER(S138),ISNUMBER(S137)),IF(S138&gt;S137,1,IF(S138=S137,0.5,0)),0.5)</f>
        <v/>
      </c>
      <c r="AN138">
        <f>IF(AND(ISNUMBER(S138),ISNUMBER(S139)),IF(S138&gt;S139,1,IF(S138=S139,0.5,0)),0.5)</f>
        <v/>
      </c>
      <c r="AO138">
        <f>IF(AND(ISNUMBER(S138),ISNUMBER(S140)),IF(S138&gt;S140,1,IF(S138=S140,0.5,0)),0.5)</f>
        <v/>
      </c>
      <c r="AP138">
        <f>IF(AND(ISNUMBER(S138),ISNUMBER(S141)),IF(S138&gt;S141,1,IF(S138=S141,0.5,0)),0.5)</f>
        <v/>
      </c>
      <c r="AQ138">
        <f>IF(AND(ISNUMBER(S138),ISNUMBER(S142)),IF(S138&gt;S142,1,IF(S138=S142,0.5,0)),0.5)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4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5">
        <f>IFERROR(AVERAGE(T139:Y139),"")</f>
        <v/>
      </c>
      <c r="M139" s="4">
        <f>IFERROR(AVERAGE(Z139:AE139),"")</f>
        <v/>
      </c>
      <c r="N139" s="5">
        <f>P139/6</f>
        <v/>
      </c>
      <c r="O139" s="5">
        <f>Q139/6</f>
        <v/>
      </c>
      <c r="P139" s="4">
        <f>IFERROR(SUM(AF139:AK139),"")</f>
        <v/>
      </c>
      <c r="Q139" s="4">
        <f>IFERROR(SUM(AL139:AQ139),"")</f>
        <v/>
      </c>
      <c r="R139" s="16">
        <f>IF(ISNUMBER(J139),J139,IF(ISNUMBER(K139),-K139,""))</f>
        <v/>
      </c>
      <c r="S139">
        <f>IF(ISNUMBER(K139),K139,IF(ISNUMBER(J139),-J139,""))</f>
        <v/>
      </c>
      <c r="T139">
        <f>IF(AND(ISNUMBER(R139),ISNUMBER(R136)),VLOOKUP(ABS(R139-R136),'IMP Table'!$A$2:$C$26,3)*SIGN(R139-R136),"")</f>
        <v/>
      </c>
      <c r="U139">
        <f>IF(AND(ISNUMBER(R139),ISNUMBER(R137)),VLOOKUP(ABS(R139-R137),'IMP Table'!$A$2:$C$26,3)*SIGN(R139-R137),"")</f>
        <v/>
      </c>
      <c r="V139">
        <f>IF(AND(ISNUMBER(R139),ISNUMBER(R138)),VLOOKUP(ABS(R139-R138),'IMP Table'!$A$2:$C$26,3)*SIGN(R139-R138),"")</f>
        <v/>
      </c>
      <c r="W139">
        <f>IF(AND(ISNUMBER(R139),ISNUMBER(R140)),VLOOKUP(ABS(R139-R140),'IMP Table'!$A$2:$C$26,3)*SIGN(R139-R140),"")</f>
        <v/>
      </c>
      <c r="X139">
        <f>IF(AND(ISNUMBER(R139),ISNUMBER(R141)),VLOOKUP(ABS(R139-R141),'IMP Table'!$A$2:$C$26,3)*SIGN(R139-R141),"")</f>
        <v/>
      </c>
      <c r="Y139">
        <f>IF(AND(ISNUMBER(R139),ISNUMBER(R142)),VLOOKUP(ABS(R139-R142),'IMP Table'!$A$2:$C$26,3)*SIGN(R139-R142),"")</f>
        <v/>
      </c>
      <c r="Z139">
        <f>IF(AND(ISNUMBER(S139),ISNUMBER(S136)),VLOOKUP(ABS(S139-S136),'IMP Table'!$A$2:$C$26,3)*SIGN(S139-S136),"")</f>
        <v/>
      </c>
      <c r="AA139">
        <f>IF(AND(ISNUMBER(S139),ISNUMBER(S137)),VLOOKUP(ABS(S139-S137),'IMP Table'!$A$2:$C$26,3)*SIGN(S139-S137),"")</f>
        <v/>
      </c>
      <c r="AB139">
        <f>IF(AND(ISNUMBER(S139),ISNUMBER(S138)),VLOOKUP(ABS(S139-S138),'IMP Table'!$A$2:$C$26,3)*SIGN(S139-S138),"")</f>
        <v/>
      </c>
      <c r="AC139">
        <f>IF(AND(ISNUMBER(S139),ISNUMBER(S140)),VLOOKUP(ABS(S139-S140),'IMP Table'!$A$2:$C$26,3)*SIGN(S139-S140),"")</f>
        <v/>
      </c>
      <c r="AD139">
        <f>IF(AND(ISNUMBER(S139),ISNUMBER(S141)),VLOOKUP(ABS(S139-S141),'IMP Table'!$A$2:$C$26,3)*SIGN(S139-S141),"")</f>
        <v/>
      </c>
      <c r="AE139">
        <f>IF(AND(ISNUMBER(S139),ISNUMBER(S142)),VLOOKUP(ABS(S139-S142),'IMP Table'!$A$2:$C$26,3)*SIGN(S139-S142),"")</f>
        <v/>
      </c>
      <c r="AF139">
        <f>IF(AND(ISNUMBER(R139),ISNUMBER(R136)),IF(R139&gt;R136,1,IF(R139=R136,0.5,0)),0.5)</f>
        <v/>
      </c>
      <c r="AG139">
        <f>IF(AND(ISNUMBER(R139),ISNUMBER(R137)),IF(R139&gt;R137,1,IF(R139=R137,0.5,0)),0.5)</f>
        <v/>
      </c>
      <c r="AH139">
        <f>IF(AND(ISNUMBER(R139),ISNUMBER(R138)),IF(R139&gt;R138,1,IF(R139=R138,0.5,0)),0.5)</f>
        <v/>
      </c>
      <c r="AI139">
        <f>IF(AND(ISNUMBER(R139),ISNUMBER(R140)),IF(R139&gt;R140,1,IF(R139=R140,0.5,0)),0.5)</f>
        <v/>
      </c>
      <c r="AJ139">
        <f>IF(AND(ISNUMBER(R139),ISNUMBER(R141)),IF(R139&gt;R141,1,IF(R139=R141,0.5,0)),0.5)</f>
        <v/>
      </c>
      <c r="AK139">
        <f>IF(AND(ISNUMBER(R139),ISNUMBER(R142)),IF(R139&gt;R142,1,IF(R139=R142,0.5,0)),0.5)</f>
        <v/>
      </c>
      <c r="AL139">
        <f>IF(AND(ISNUMBER(S139),ISNUMBER(S136)),IF(S139&gt;S136,1,IF(S139=S136,0.5,0)),0.5)</f>
        <v/>
      </c>
      <c r="AM139">
        <f>IF(AND(ISNUMBER(S139),ISNUMBER(S137)),IF(S139&gt;S137,1,IF(S139=S137,0.5,0)),0.5)</f>
        <v/>
      </c>
      <c r="AN139">
        <f>IF(AND(ISNUMBER(S139),ISNUMBER(S138)),IF(S139&gt;S138,1,IF(S139=S138,0.5,0)),0.5)</f>
        <v/>
      </c>
      <c r="AO139">
        <f>IF(AND(ISNUMBER(S139),ISNUMBER(S140)),IF(S139&gt;S140,1,IF(S139=S140,0.5,0)),0.5)</f>
        <v/>
      </c>
      <c r="AP139">
        <f>IF(AND(ISNUMBER(S139),ISNUMBER(S141)),IF(S139&gt;S141,1,IF(S139=S141,0.5,0)),0.5)</f>
        <v/>
      </c>
      <c r="AQ139">
        <f>IF(AND(ISNUMBER(S139),ISNUMBER(S142)),IF(S139&gt;S142,1,IF(S139=S142,0.5,0)),0.5)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4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5">
        <f>IFERROR(AVERAGE(T140:Y140),"")</f>
        <v/>
      </c>
      <c r="M140" s="4">
        <f>IFERROR(AVERAGE(Z140:AE140),"")</f>
        <v/>
      </c>
      <c r="N140" s="5">
        <f>P140/6</f>
        <v/>
      </c>
      <c r="O140" s="5">
        <f>Q140/6</f>
        <v/>
      </c>
      <c r="P140" s="4">
        <f>IFERROR(SUM(AF140:AK140),"")</f>
        <v/>
      </c>
      <c r="Q140" s="4">
        <f>IFERROR(SUM(AL140:AQ140),"")</f>
        <v/>
      </c>
      <c r="R140" s="16">
        <f>IF(ISNUMBER(J140),J140,IF(ISNUMBER(K140),-K140,""))</f>
        <v/>
      </c>
      <c r="S140">
        <f>IF(ISNUMBER(K140),K140,IF(ISNUMBER(J140),-J140,""))</f>
        <v/>
      </c>
      <c r="T140">
        <f>IF(AND(ISNUMBER(R140),ISNUMBER(R136)),VLOOKUP(ABS(R140-R136),'IMP Table'!$A$2:$C$26,3)*SIGN(R140-R136),"")</f>
        <v/>
      </c>
      <c r="U140">
        <f>IF(AND(ISNUMBER(R140),ISNUMBER(R137)),VLOOKUP(ABS(R140-R137),'IMP Table'!$A$2:$C$26,3)*SIGN(R140-R137),"")</f>
        <v/>
      </c>
      <c r="V140">
        <f>IF(AND(ISNUMBER(R140),ISNUMBER(R138)),VLOOKUP(ABS(R140-R138),'IMP Table'!$A$2:$C$26,3)*SIGN(R140-R138),"")</f>
        <v/>
      </c>
      <c r="W140">
        <f>IF(AND(ISNUMBER(R140),ISNUMBER(R139)),VLOOKUP(ABS(R140-R139),'IMP Table'!$A$2:$C$26,3)*SIGN(R140-R139),"")</f>
        <v/>
      </c>
      <c r="X140">
        <f>IF(AND(ISNUMBER(R140),ISNUMBER(R141)),VLOOKUP(ABS(R140-R141),'IMP Table'!$A$2:$C$26,3)*SIGN(R140-R141),"")</f>
        <v/>
      </c>
      <c r="Y140">
        <f>IF(AND(ISNUMBER(R140),ISNUMBER(R142)),VLOOKUP(ABS(R140-R142),'IMP Table'!$A$2:$C$26,3)*SIGN(R140-R142),"")</f>
        <v/>
      </c>
      <c r="Z140">
        <f>IF(AND(ISNUMBER(S140),ISNUMBER(S136)),VLOOKUP(ABS(S140-S136),'IMP Table'!$A$2:$C$26,3)*SIGN(S140-S136),"")</f>
        <v/>
      </c>
      <c r="AA140">
        <f>IF(AND(ISNUMBER(S140),ISNUMBER(S137)),VLOOKUP(ABS(S140-S137),'IMP Table'!$A$2:$C$26,3)*SIGN(S140-S137),"")</f>
        <v/>
      </c>
      <c r="AB140">
        <f>IF(AND(ISNUMBER(S140),ISNUMBER(S138)),VLOOKUP(ABS(S140-S138),'IMP Table'!$A$2:$C$26,3)*SIGN(S140-S138),"")</f>
        <v/>
      </c>
      <c r="AC140">
        <f>IF(AND(ISNUMBER(S140),ISNUMBER(S139)),VLOOKUP(ABS(S140-S139),'IMP Table'!$A$2:$C$26,3)*SIGN(S140-S139),"")</f>
        <v/>
      </c>
      <c r="AD140">
        <f>IF(AND(ISNUMBER(S140),ISNUMBER(S141)),VLOOKUP(ABS(S140-S141),'IMP Table'!$A$2:$C$26,3)*SIGN(S140-S141),"")</f>
        <v/>
      </c>
      <c r="AE140">
        <f>IF(AND(ISNUMBER(S140),ISNUMBER(S142)),VLOOKUP(ABS(S140-S142),'IMP Table'!$A$2:$C$26,3)*SIGN(S140-S142),"")</f>
        <v/>
      </c>
      <c r="AF140">
        <f>IF(AND(ISNUMBER(R140),ISNUMBER(R136)),IF(R140&gt;R136,1,IF(R140=R136,0.5,0)),0.5)</f>
        <v/>
      </c>
      <c r="AG140">
        <f>IF(AND(ISNUMBER(R140),ISNUMBER(R137)),IF(R140&gt;R137,1,IF(R140=R137,0.5,0)),0.5)</f>
        <v/>
      </c>
      <c r="AH140">
        <f>IF(AND(ISNUMBER(R140),ISNUMBER(R138)),IF(R140&gt;R138,1,IF(R140=R138,0.5,0)),0.5)</f>
        <v/>
      </c>
      <c r="AI140">
        <f>IF(AND(ISNUMBER(R140),ISNUMBER(R139)),IF(R140&gt;R139,1,IF(R140=R139,0.5,0)),0.5)</f>
        <v/>
      </c>
      <c r="AJ140">
        <f>IF(AND(ISNUMBER(R140),ISNUMBER(R141)),IF(R140&gt;R141,1,IF(R140=R141,0.5,0)),0.5)</f>
        <v/>
      </c>
      <c r="AK140">
        <f>IF(AND(ISNUMBER(R140),ISNUMBER(R142)),IF(R140&gt;R142,1,IF(R140=R142,0.5,0)),0.5)</f>
        <v/>
      </c>
      <c r="AL140">
        <f>IF(AND(ISNUMBER(S140),ISNUMBER(S136)),IF(S140&gt;S136,1,IF(S140=S136,0.5,0)),0.5)</f>
        <v/>
      </c>
      <c r="AM140">
        <f>IF(AND(ISNUMBER(S140),ISNUMBER(S137)),IF(S140&gt;S137,1,IF(S140=S137,0.5,0)),0.5)</f>
        <v/>
      </c>
      <c r="AN140">
        <f>IF(AND(ISNUMBER(S140),ISNUMBER(S138)),IF(S140&gt;S138,1,IF(S140=S138,0.5,0)),0.5)</f>
        <v/>
      </c>
      <c r="AO140">
        <f>IF(AND(ISNUMBER(S140),ISNUMBER(S139)),IF(S140&gt;S139,1,IF(S140=S139,0.5,0)),0.5)</f>
        <v/>
      </c>
      <c r="AP140">
        <f>IF(AND(ISNUMBER(S140),ISNUMBER(S141)),IF(S140&gt;S141,1,IF(S140=S141,0.5,0)),0.5)</f>
        <v/>
      </c>
      <c r="AQ140">
        <f>IF(AND(ISNUMBER(S140),ISNUMBER(S142)),IF(S140&gt;S142,1,IF(S140=S142,0.5,0)),0.5)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4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5">
        <f>IFERROR(AVERAGE(T141:Y141),"")</f>
        <v/>
      </c>
      <c r="M141" s="4">
        <f>IFERROR(AVERAGE(Z141:AE141),"")</f>
        <v/>
      </c>
      <c r="N141" s="5">
        <f>P141/6</f>
        <v/>
      </c>
      <c r="O141" s="5">
        <f>Q141/6</f>
        <v/>
      </c>
      <c r="P141" s="4">
        <f>IFERROR(SUM(AF141:AK141),"")</f>
        <v/>
      </c>
      <c r="Q141" s="4">
        <f>IFERROR(SUM(AL141:AQ141),"")</f>
        <v/>
      </c>
      <c r="R141" s="16">
        <f>IF(ISNUMBER(J141),J141,IF(ISNUMBER(K141),-K141,""))</f>
        <v/>
      </c>
      <c r="S141">
        <f>IF(ISNUMBER(K141),K141,IF(ISNUMBER(J141),-J141,""))</f>
        <v/>
      </c>
      <c r="T141">
        <f>IF(AND(ISNUMBER(R141),ISNUMBER(R136)),VLOOKUP(ABS(R141-R136),'IMP Table'!$A$2:$C$26,3)*SIGN(R141-R136),"")</f>
        <v/>
      </c>
      <c r="U141">
        <f>IF(AND(ISNUMBER(R141),ISNUMBER(R137)),VLOOKUP(ABS(R141-R137),'IMP Table'!$A$2:$C$26,3)*SIGN(R141-R137),"")</f>
        <v/>
      </c>
      <c r="V141">
        <f>IF(AND(ISNUMBER(R141),ISNUMBER(R138)),VLOOKUP(ABS(R141-R138),'IMP Table'!$A$2:$C$26,3)*SIGN(R141-R138),"")</f>
        <v/>
      </c>
      <c r="W141">
        <f>IF(AND(ISNUMBER(R141),ISNUMBER(R139)),VLOOKUP(ABS(R141-R139),'IMP Table'!$A$2:$C$26,3)*SIGN(R141-R139),"")</f>
        <v/>
      </c>
      <c r="X141">
        <f>IF(AND(ISNUMBER(R141),ISNUMBER(R140)),VLOOKUP(ABS(R141-R140),'IMP Table'!$A$2:$C$26,3)*SIGN(R141-R140),"")</f>
        <v/>
      </c>
      <c r="Y141">
        <f>IF(AND(ISNUMBER(R141),ISNUMBER(R142)),VLOOKUP(ABS(R141-R142),'IMP Table'!$A$2:$C$26,3)*SIGN(R141-R142),"")</f>
        <v/>
      </c>
      <c r="Z141">
        <f>IF(AND(ISNUMBER(S141),ISNUMBER(S136)),VLOOKUP(ABS(S141-S136),'IMP Table'!$A$2:$C$26,3)*SIGN(S141-S136),"")</f>
        <v/>
      </c>
      <c r="AA141">
        <f>IF(AND(ISNUMBER(S141),ISNUMBER(S137)),VLOOKUP(ABS(S141-S137),'IMP Table'!$A$2:$C$26,3)*SIGN(S141-S137),"")</f>
        <v/>
      </c>
      <c r="AB141">
        <f>IF(AND(ISNUMBER(S141),ISNUMBER(S138)),VLOOKUP(ABS(S141-S138),'IMP Table'!$A$2:$C$26,3)*SIGN(S141-S138),"")</f>
        <v/>
      </c>
      <c r="AC141">
        <f>IF(AND(ISNUMBER(S141),ISNUMBER(S139)),VLOOKUP(ABS(S141-S139),'IMP Table'!$A$2:$C$26,3)*SIGN(S141-S139),"")</f>
        <v/>
      </c>
      <c r="AD141">
        <f>IF(AND(ISNUMBER(S141),ISNUMBER(S140)),VLOOKUP(ABS(S141-S140),'IMP Table'!$A$2:$C$26,3)*SIGN(S141-S140),"")</f>
        <v/>
      </c>
      <c r="AE141">
        <f>IF(AND(ISNUMBER(S141),ISNUMBER(S142)),VLOOKUP(ABS(S141-S142),'IMP Table'!$A$2:$C$26,3)*SIGN(S141-S142),"")</f>
        <v/>
      </c>
      <c r="AF141">
        <f>IF(AND(ISNUMBER(R141),ISNUMBER(R136)),IF(R141&gt;R136,1,IF(R141=R136,0.5,0)),0.5)</f>
        <v/>
      </c>
      <c r="AG141">
        <f>IF(AND(ISNUMBER(R141),ISNUMBER(R137)),IF(R141&gt;R137,1,IF(R141=R137,0.5,0)),0.5)</f>
        <v/>
      </c>
      <c r="AH141">
        <f>IF(AND(ISNUMBER(R141),ISNUMBER(R138)),IF(R141&gt;R138,1,IF(R141=R138,0.5,0)),0.5)</f>
        <v/>
      </c>
      <c r="AI141">
        <f>IF(AND(ISNUMBER(R141),ISNUMBER(R139)),IF(R141&gt;R139,1,IF(R141=R139,0.5,0)),0.5)</f>
        <v/>
      </c>
      <c r="AJ141">
        <f>IF(AND(ISNUMBER(R141),ISNUMBER(R140)),IF(R141&gt;R140,1,IF(R141=R140,0.5,0)),0.5)</f>
        <v/>
      </c>
      <c r="AK141">
        <f>IF(AND(ISNUMBER(R141),ISNUMBER(R142)),IF(R141&gt;R142,1,IF(R141=R142,0.5,0)),0.5)</f>
        <v/>
      </c>
      <c r="AL141">
        <f>IF(AND(ISNUMBER(S141),ISNUMBER(S136)),IF(S141&gt;S136,1,IF(S141=S136,0.5,0)),0.5)</f>
        <v/>
      </c>
      <c r="AM141">
        <f>IF(AND(ISNUMBER(S141),ISNUMBER(S137)),IF(S141&gt;S137,1,IF(S141=S137,0.5,0)),0.5)</f>
        <v/>
      </c>
      <c r="AN141">
        <f>IF(AND(ISNUMBER(S141),ISNUMBER(S138)),IF(S141&gt;S138,1,IF(S141=S138,0.5,0)),0.5)</f>
        <v/>
      </c>
      <c r="AO141">
        <f>IF(AND(ISNUMBER(S141),ISNUMBER(S139)),IF(S141&gt;S139,1,IF(S141=S139,0.5,0)),0.5)</f>
        <v/>
      </c>
      <c r="AP141">
        <f>IF(AND(ISNUMBER(S141),ISNUMBER(S140)),IF(S141&gt;S140,1,IF(S141=S140,0.5,0)),0.5)</f>
        <v/>
      </c>
      <c r="AQ141">
        <f>IF(AND(ISNUMBER(S141),ISNUMBER(S142)),IF(S141&gt;S142,1,IF(S141=S142,0.5,0)),0.5)</f>
        <v/>
      </c>
    </row>
    <row r="142">
      <c r="A142" s="13" t="n"/>
      <c r="B142" s="13">
        <f>'By Round'!A171</f>
        <v/>
      </c>
      <c r="C142" s="13">
        <f>'By Round'!B181</f>
        <v/>
      </c>
      <c r="D142" s="13">
        <f>'By Round'!C181</f>
        <v/>
      </c>
      <c r="E142" s="13">
        <f>'By Round'!D181</f>
        <v/>
      </c>
      <c r="F142" s="17" t="inlineStr">
        <is>
          <t>Both</t>
        </is>
      </c>
      <c r="G142" s="13">
        <f>IF(ISBLANK('By Round'!G181),"",'By Round'!G181)</f>
        <v/>
      </c>
      <c r="H142" s="13">
        <f>IF(ISBLANK('By Round'!H181),"",'By Round'!H181)</f>
        <v/>
      </c>
      <c r="I142" s="13">
        <f>IF(ISBLANK('By Round'!I181),"",'By Round'!I181)</f>
        <v/>
      </c>
      <c r="J142" s="13">
        <f>IF(ISBLANK('By Round'!J181),"",'By Round'!J181)</f>
        <v/>
      </c>
      <c r="K142" s="13">
        <f>IF(ISBLANK('By Round'!K181),"",'By Round'!K181)</f>
        <v/>
      </c>
      <c r="L142" s="18">
        <f>IFERROR(AVERAGE(T142:Y142),"")</f>
        <v/>
      </c>
      <c r="M142" s="19">
        <f>IFERROR(AVERAGE(Z142:AE142),"")</f>
        <v/>
      </c>
      <c r="N142" s="20">
        <f>P142/6</f>
        <v/>
      </c>
      <c r="O142" s="20">
        <f>Q142/6</f>
        <v/>
      </c>
      <c r="P142" s="19">
        <f>IFERROR(SUM(AF142:AK142),"")</f>
        <v/>
      </c>
      <c r="Q142" s="19">
        <f>IFERROR(SUM(AL142:AQ142),"")</f>
        <v/>
      </c>
      <c r="R142" s="21">
        <f>IF(ISNUMBER(J142),J142,IF(ISNUMBER(K142),-K142,""))</f>
        <v/>
      </c>
      <c r="S142" s="13">
        <f>IF(ISNUMBER(K142),K142,IF(ISNUMBER(J142),-J142,""))</f>
        <v/>
      </c>
      <c r="T142" s="13">
        <f>IF(AND(ISNUMBER(R142),ISNUMBER(R136)),VLOOKUP(ABS(R142-R136),'IMP Table'!$A$2:$C$26,3)*SIGN(R142-R136),"")</f>
        <v/>
      </c>
      <c r="U142" s="13">
        <f>IF(AND(ISNUMBER(R142),ISNUMBER(R137)),VLOOKUP(ABS(R142-R137),'IMP Table'!$A$2:$C$26,3)*SIGN(R142-R137),"")</f>
        <v/>
      </c>
      <c r="V142" s="13">
        <f>IF(AND(ISNUMBER(R142),ISNUMBER(R138)),VLOOKUP(ABS(R142-R138),'IMP Table'!$A$2:$C$26,3)*SIGN(R142-R138),"")</f>
        <v/>
      </c>
      <c r="W142" s="13">
        <f>IF(AND(ISNUMBER(R142),ISNUMBER(R139)),VLOOKUP(ABS(R142-R139),'IMP Table'!$A$2:$C$26,3)*SIGN(R142-R139),"")</f>
        <v/>
      </c>
      <c r="X142" s="13">
        <f>IF(AND(ISNUMBER(R142),ISNUMBER(R140)),VLOOKUP(ABS(R142-R140),'IMP Table'!$A$2:$C$26,3)*SIGN(R142-R140),"")</f>
        <v/>
      </c>
      <c r="Y142" s="13">
        <f>IF(AND(ISNUMBER(R142),ISNUMBER(R141)),VLOOKUP(ABS(R142-R141),'IMP Table'!$A$2:$C$26,3)*SIGN(R142-R141),"")</f>
        <v/>
      </c>
      <c r="Z142" s="13">
        <f>IF(AND(ISNUMBER(S142),ISNUMBER(S136)),VLOOKUP(ABS(S142-S136),'IMP Table'!$A$2:$C$26,3)*SIGN(S142-S136),"")</f>
        <v/>
      </c>
      <c r="AA142" s="13">
        <f>IF(AND(ISNUMBER(S142),ISNUMBER(S137)),VLOOKUP(ABS(S142-S137),'IMP Table'!$A$2:$C$26,3)*SIGN(S142-S137),"")</f>
        <v/>
      </c>
      <c r="AB142" s="13">
        <f>IF(AND(ISNUMBER(S142),ISNUMBER(S138)),VLOOKUP(ABS(S142-S138),'IMP Table'!$A$2:$C$26,3)*SIGN(S142-S138),"")</f>
        <v/>
      </c>
      <c r="AC142" s="13">
        <f>IF(AND(ISNUMBER(S142),ISNUMBER(S139)),VLOOKUP(ABS(S142-S139),'IMP Table'!$A$2:$C$26,3)*SIGN(S142-S139),"")</f>
        <v/>
      </c>
      <c r="AD142" s="13">
        <f>IF(AND(ISNUMBER(S142),ISNUMBER(S140)),VLOOKUP(ABS(S142-S140),'IMP Table'!$A$2:$C$26,3)*SIGN(S142-S140),"")</f>
        <v/>
      </c>
      <c r="AE142" s="13">
        <f>IF(AND(ISNUMBER(S142),ISNUMBER(S141)),VLOOKUP(ABS(S142-S141),'IMP Table'!$A$2:$C$26,3)*SIGN(S142-S141),"")</f>
        <v/>
      </c>
      <c r="AF142" s="13">
        <f>IF(AND(ISNUMBER(R142),ISNUMBER(R136)),IF(R142&gt;R136,1,IF(R142=R136,0.5,0)),0.5)</f>
        <v/>
      </c>
      <c r="AG142" s="13">
        <f>IF(AND(ISNUMBER(R142),ISNUMBER(R137)),IF(R142&gt;R137,1,IF(R142=R137,0.5,0)),0.5)</f>
        <v/>
      </c>
      <c r="AH142" s="13">
        <f>IF(AND(ISNUMBER(R142),ISNUMBER(R138)),IF(R142&gt;R138,1,IF(R142=R138,0.5,0)),0.5)</f>
        <v/>
      </c>
      <c r="AI142" s="13">
        <f>IF(AND(ISNUMBER(R142),ISNUMBER(R139)),IF(R142&gt;R139,1,IF(R142=R139,0.5,0)),0.5)</f>
        <v/>
      </c>
      <c r="AJ142" s="13">
        <f>IF(AND(ISNUMBER(R142),ISNUMBER(R140)),IF(R142&gt;R140,1,IF(R142=R140,0.5,0)),0.5)</f>
        <v/>
      </c>
      <c r="AK142" s="13">
        <f>IF(AND(ISNUMBER(R142),ISNUMBER(R141)),IF(R142&gt;R141,1,IF(R142=R141,0.5,0)),0.5)</f>
        <v/>
      </c>
      <c r="AL142" s="13">
        <f>IF(AND(ISNUMBER(S142),ISNUMBER(S136)),IF(S142&gt;S136,1,IF(S142=S136,0.5,0)),0.5)</f>
        <v/>
      </c>
      <c r="AM142" s="13">
        <f>IF(AND(ISNUMBER(S142),ISNUMBER(S137)),IF(S142&gt;S137,1,IF(S142=S137,0.5,0)),0.5)</f>
        <v/>
      </c>
      <c r="AN142" s="13">
        <f>IF(AND(ISNUMBER(S142),ISNUMBER(S138)),IF(S142&gt;S138,1,IF(S142=S138,0.5,0)),0.5)</f>
        <v/>
      </c>
      <c r="AO142" s="13">
        <f>IF(AND(ISNUMBER(S142),ISNUMBER(S139)),IF(S142&gt;S139,1,IF(S142=S139,0.5,0)),0.5)</f>
        <v/>
      </c>
      <c r="AP142" s="13">
        <f>IF(AND(ISNUMBER(S142),ISNUMBER(S140)),IF(S142&gt;S140,1,IF(S142=S140,0.5,0)),0.5)</f>
        <v/>
      </c>
      <c r="AQ142" s="13">
        <f>IF(AND(ISNUMBER(S142),ISNUMBER(S141)),IF(S142&gt;S141,1,IF(S142=S141,0.5,0)),0.5)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4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5">
        <f>IFERROR(AVERAGE(T143:Y143),"")</f>
        <v/>
      </c>
      <c r="M143" s="4">
        <f>IFERROR(AVERAGE(Z143:AE143),"")</f>
        <v/>
      </c>
      <c r="N143" s="5">
        <f>P143/6</f>
        <v/>
      </c>
      <c r="O143" s="5">
        <f>Q143/6</f>
        <v/>
      </c>
      <c r="P143" s="4">
        <f>IFERROR(SUM(AF143:AK143),"")</f>
        <v/>
      </c>
      <c r="Q143" s="4">
        <f>IFERROR(SUM(AL143:AQ143),"")</f>
        <v/>
      </c>
      <c r="R143" s="16">
        <f>IF(ISNUMBER(J143),J143,IF(ISNUMBER(K143),-K143,""))</f>
        <v/>
      </c>
      <c r="S143">
        <f>IF(ISNUMBER(K143),K143,IF(ISNUMBER(J143),-J143,""))</f>
        <v/>
      </c>
      <c r="T143">
        <f>IF(AND(ISNUMBER(R143),ISNUMBER(R144)),VLOOKUP(ABS(R143-R144),'IMP Table'!$A$2:$C$26,3)*SIGN(R143-R144),"")</f>
        <v/>
      </c>
      <c r="U143">
        <f>IF(AND(ISNUMBER(R143),ISNUMBER(R145)),VLOOKUP(ABS(R143-R145),'IMP Table'!$A$2:$C$26,3)*SIGN(R143-R145),"")</f>
        <v/>
      </c>
      <c r="V143">
        <f>IF(AND(ISNUMBER(R143),ISNUMBER(R146)),VLOOKUP(ABS(R143-R146),'IMP Table'!$A$2:$C$26,3)*SIGN(R143-R146),"")</f>
        <v/>
      </c>
      <c r="W143">
        <f>IF(AND(ISNUMBER(R143),ISNUMBER(R147)),VLOOKUP(ABS(R143-R147),'IMP Table'!$A$2:$C$26,3)*SIGN(R143-R147),"")</f>
        <v/>
      </c>
      <c r="X143">
        <f>IF(AND(ISNUMBER(R143),ISNUMBER(R148)),VLOOKUP(ABS(R143-R148),'IMP Table'!$A$2:$C$26,3)*SIGN(R143-R148),"")</f>
        <v/>
      </c>
      <c r="Y143">
        <f>IF(AND(ISNUMBER(R143),ISNUMBER(R149)),VLOOKUP(ABS(R143-R149),'IMP Table'!$A$2:$C$26,3)*SIGN(R143-R149),"")</f>
        <v/>
      </c>
      <c r="Z143">
        <f>IF(AND(ISNUMBER(S143),ISNUMBER(S144)),VLOOKUP(ABS(S143-S144),'IMP Table'!$A$2:$C$26,3)*SIGN(S143-S144),"")</f>
        <v/>
      </c>
      <c r="AA143">
        <f>IF(AND(ISNUMBER(S143),ISNUMBER(S145)),VLOOKUP(ABS(S143-S145),'IMP Table'!$A$2:$C$26,3)*SIGN(S143-S145),"")</f>
        <v/>
      </c>
      <c r="AB143">
        <f>IF(AND(ISNUMBER(S143),ISNUMBER(S146)),VLOOKUP(ABS(S143-S146),'IMP Table'!$A$2:$C$26,3)*SIGN(S143-S146),"")</f>
        <v/>
      </c>
      <c r="AC143">
        <f>IF(AND(ISNUMBER(S143),ISNUMBER(S147)),VLOOKUP(ABS(S143-S147),'IMP Table'!$A$2:$C$26,3)*SIGN(S143-S147),"")</f>
        <v/>
      </c>
      <c r="AD143">
        <f>IF(AND(ISNUMBER(S143),ISNUMBER(S148)),VLOOKUP(ABS(S143-S148),'IMP Table'!$A$2:$C$26,3)*SIGN(S143-S148),"")</f>
        <v/>
      </c>
      <c r="AE143">
        <f>IF(AND(ISNUMBER(S143),ISNUMBER(S149)),VLOOKUP(ABS(S143-S149),'IMP Table'!$A$2:$C$26,3)*SIGN(S143-S149),"")</f>
        <v/>
      </c>
      <c r="AF143">
        <f>IF(AND(ISNUMBER(R143),ISNUMBER(R144)),IF(R143&gt;R144,1,IF(R143=R144,0.5,0)),0.5)</f>
        <v/>
      </c>
      <c r="AG143">
        <f>IF(AND(ISNUMBER(R143),ISNUMBER(R145)),IF(R143&gt;R145,1,IF(R143=R145,0.5,0)),0.5)</f>
        <v/>
      </c>
      <c r="AH143">
        <f>IF(AND(ISNUMBER(R143),ISNUMBER(R146)),IF(R143&gt;R146,1,IF(R143=R146,0.5,0)),0.5)</f>
        <v/>
      </c>
      <c r="AI143">
        <f>IF(AND(ISNUMBER(R143),ISNUMBER(R147)),IF(R143&gt;R147,1,IF(R143=R147,0.5,0)),0.5)</f>
        <v/>
      </c>
      <c r="AJ143">
        <f>IF(AND(ISNUMBER(R143),ISNUMBER(R148)),IF(R143&gt;R148,1,IF(R143=R148,0.5,0)),0.5)</f>
        <v/>
      </c>
      <c r="AK143">
        <f>IF(AND(ISNUMBER(R143),ISNUMBER(R149)),IF(R143&gt;R149,1,IF(R143=R149,0.5,0)),0.5)</f>
        <v/>
      </c>
      <c r="AL143">
        <f>IF(AND(ISNUMBER(S143),ISNUMBER(S144)),IF(S143&gt;S144,1,IF(S143=S144,0.5,0)),0.5)</f>
        <v/>
      </c>
      <c r="AM143">
        <f>IF(AND(ISNUMBER(S143),ISNUMBER(S145)),IF(S143&gt;S145,1,IF(S143=S145,0.5,0)),0.5)</f>
        <v/>
      </c>
      <c r="AN143">
        <f>IF(AND(ISNUMBER(S143),ISNUMBER(S146)),IF(S143&gt;S146,1,IF(S143=S146,0.5,0)),0.5)</f>
        <v/>
      </c>
      <c r="AO143">
        <f>IF(AND(ISNUMBER(S143),ISNUMBER(S147)),IF(S143&gt;S147,1,IF(S143=S147,0.5,0)),0.5)</f>
        <v/>
      </c>
      <c r="AP143">
        <f>IF(AND(ISNUMBER(S143),ISNUMBER(S148)),IF(S143&gt;S148,1,IF(S143=S148,0.5,0)),0.5)</f>
        <v/>
      </c>
      <c r="AQ143">
        <f>IF(AND(ISNUMBER(S143),ISNUMBER(S149)),IF(S143&gt;S149,1,IF(S143=S149,0.5,0)),0.5)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4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5">
        <f>IFERROR(AVERAGE(T144:Y144),"")</f>
        <v/>
      </c>
      <c r="M144" s="4">
        <f>IFERROR(AVERAGE(Z144:AE144),"")</f>
        <v/>
      </c>
      <c r="N144" s="5">
        <f>P144/6</f>
        <v/>
      </c>
      <c r="O144" s="5">
        <f>Q144/6</f>
        <v/>
      </c>
      <c r="P144" s="4">
        <f>IFERROR(SUM(AF144:AK144),"")</f>
        <v/>
      </c>
      <c r="Q144" s="4">
        <f>IFERROR(SUM(AL144:AQ144),"")</f>
        <v/>
      </c>
      <c r="R144" s="16">
        <f>IF(ISNUMBER(J144),J144,IF(ISNUMBER(K144),-K144,""))</f>
        <v/>
      </c>
      <c r="S144">
        <f>IF(ISNUMBER(K144),K144,IF(ISNUMBER(J144),-J144,""))</f>
        <v/>
      </c>
      <c r="T144">
        <f>IF(AND(ISNUMBER(R144),ISNUMBER(R143)),VLOOKUP(ABS(R144-R143),'IMP Table'!$A$2:$C$26,3)*SIGN(R144-R143),"")</f>
        <v/>
      </c>
      <c r="U144">
        <f>IF(AND(ISNUMBER(R144),ISNUMBER(R145)),VLOOKUP(ABS(R144-R145),'IMP Table'!$A$2:$C$26,3)*SIGN(R144-R145),"")</f>
        <v/>
      </c>
      <c r="V144">
        <f>IF(AND(ISNUMBER(R144),ISNUMBER(R146)),VLOOKUP(ABS(R144-R146),'IMP Table'!$A$2:$C$26,3)*SIGN(R144-R146),"")</f>
        <v/>
      </c>
      <c r="W144">
        <f>IF(AND(ISNUMBER(R144),ISNUMBER(R147)),VLOOKUP(ABS(R144-R147),'IMP Table'!$A$2:$C$26,3)*SIGN(R144-R147),"")</f>
        <v/>
      </c>
      <c r="X144">
        <f>IF(AND(ISNUMBER(R144),ISNUMBER(R148)),VLOOKUP(ABS(R144-R148),'IMP Table'!$A$2:$C$26,3)*SIGN(R144-R148),"")</f>
        <v/>
      </c>
      <c r="Y144">
        <f>IF(AND(ISNUMBER(R144),ISNUMBER(R149)),VLOOKUP(ABS(R144-R149),'IMP Table'!$A$2:$C$26,3)*SIGN(R144-R149),"")</f>
        <v/>
      </c>
      <c r="Z144">
        <f>IF(AND(ISNUMBER(S144),ISNUMBER(S143)),VLOOKUP(ABS(S144-S143),'IMP Table'!$A$2:$C$26,3)*SIGN(S144-S143),"")</f>
        <v/>
      </c>
      <c r="AA144">
        <f>IF(AND(ISNUMBER(S144),ISNUMBER(S145)),VLOOKUP(ABS(S144-S145),'IMP Table'!$A$2:$C$26,3)*SIGN(S144-S145),"")</f>
        <v/>
      </c>
      <c r="AB144">
        <f>IF(AND(ISNUMBER(S144),ISNUMBER(S146)),VLOOKUP(ABS(S144-S146),'IMP Table'!$A$2:$C$26,3)*SIGN(S144-S146),"")</f>
        <v/>
      </c>
      <c r="AC144">
        <f>IF(AND(ISNUMBER(S144),ISNUMBER(S147)),VLOOKUP(ABS(S144-S147),'IMP Table'!$A$2:$C$26,3)*SIGN(S144-S147),"")</f>
        <v/>
      </c>
      <c r="AD144">
        <f>IF(AND(ISNUMBER(S144),ISNUMBER(S148)),VLOOKUP(ABS(S144-S148),'IMP Table'!$A$2:$C$26,3)*SIGN(S144-S148),"")</f>
        <v/>
      </c>
      <c r="AE144">
        <f>IF(AND(ISNUMBER(S144),ISNUMBER(S149)),VLOOKUP(ABS(S144-S149),'IMP Table'!$A$2:$C$26,3)*SIGN(S144-S149),"")</f>
        <v/>
      </c>
      <c r="AF144">
        <f>IF(AND(ISNUMBER(R144),ISNUMBER(R143)),IF(R144&gt;R143,1,IF(R144=R143,0.5,0)),0.5)</f>
        <v/>
      </c>
      <c r="AG144">
        <f>IF(AND(ISNUMBER(R144),ISNUMBER(R145)),IF(R144&gt;R145,1,IF(R144=R145,0.5,0)),0.5)</f>
        <v/>
      </c>
      <c r="AH144">
        <f>IF(AND(ISNUMBER(R144),ISNUMBER(R146)),IF(R144&gt;R146,1,IF(R144=R146,0.5,0)),0.5)</f>
        <v/>
      </c>
      <c r="AI144">
        <f>IF(AND(ISNUMBER(R144),ISNUMBER(R147)),IF(R144&gt;R147,1,IF(R144=R147,0.5,0)),0.5)</f>
        <v/>
      </c>
      <c r="AJ144">
        <f>IF(AND(ISNUMBER(R144),ISNUMBER(R148)),IF(R144&gt;R148,1,IF(R144=R148,0.5,0)),0.5)</f>
        <v/>
      </c>
      <c r="AK144">
        <f>IF(AND(ISNUMBER(R144),ISNUMBER(R149)),IF(R144&gt;R149,1,IF(R144=R149,0.5,0)),0.5)</f>
        <v/>
      </c>
      <c r="AL144">
        <f>IF(AND(ISNUMBER(S144),ISNUMBER(S143)),IF(S144&gt;S143,1,IF(S144=S143,0.5,0)),0.5)</f>
        <v/>
      </c>
      <c r="AM144">
        <f>IF(AND(ISNUMBER(S144),ISNUMBER(S145)),IF(S144&gt;S145,1,IF(S144=S145,0.5,0)),0.5)</f>
        <v/>
      </c>
      <c r="AN144">
        <f>IF(AND(ISNUMBER(S144),ISNUMBER(S146)),IF(S144&gt;S146,1,IF(S144=S146,0.5,0)),0.5)</f>
        <v/>
      </c>
      <c r="AO144">
        <f>IF(AND(ISNUMBER(S144),ISNUMBER(S147)),IF(S144&gt;S147,1,IF(S144=S147,0.5,0)),0.5)</f>
        <v/>
      </c>
      <c r="AP144">
        <f>IF(AND(ISNUMBER(S144),ISNUMBER(S148)),IF(S144&gt;S148,1,IF(S144=S148,0.5,0)),0.5)</f>
        <v/>
      </c>
      <c r="AQ144">
        <f>IF(AND(ISNUMBER(S144),ISNUMBER(S149)),IF(S144&gt;S149,1,IF(S144=S149,0.5,0)),0.5)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4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5">
        <f>IFERROR(AVERAGE(T145:Y145),"")</f>
        <v/>
      </c>
      <c r="M145" s="4">
        <f>IFERROR(AVERAGE(Z145:AE145),"")</f>
        <v/>
      </c>
      <c r="N145" s="5">
        <f>P145/6</f>
        <v/>
      </c>
      <c r="O145" s="5">
        <f>Q145/6</f>
        <v/>
      </c>
      <c r="P145" s="4">
        <f>IFERROR(SUM(AF145:AK145),"")</f>
        <v/>
      </c>
      <c r="Q145" s="4">
        <f>IFERROR(SUM(AL145:AQ145),"")</f>
        <v/>
      </c>
      <c r="R145" s="16">
        <f>IF(ISNUMBER(J145),J145,IF(ISNUMBER(K145),-K145,""))</f>
        <v/>
      </c>
      <c r="S145">
        <f>IF(ISNUMBER(K145),K145,IF(ISNUMBER(J145),-J145,""))</f>
        <v/>
      </c>
      <c r="T145">
        <f>IF(AND(ISNUMBER(R145),ISNUMBER(R143)),VLOOKUP(ABS(R145-R143),'IMP Table'!$A$2:$C$26,3)*SIGN(R145-R143),"")</f>
        <v/>
      </c>
      <c r="U145">
        <f>IF(AND(ISNUMBER(R145),ISNUMBER(R144)),VLOOKUP(ABS(R145-R144),'IMP Table'!$A$2:$C$26,3)*SIGN(R145-R144),"")</f>
        <v/>
      </c>
      <c r="V145">
        <f>IF(AND(ISNUMBER(R145),ISNUMBER(R146)),VLOOKUP(ABS(R145-R146),'IMP Table'!$A$2:$C$26,3)*SIGN(R145-R146),"")</f>
        <v/>
      </c>
      <c r="W145">
        <f>IF(AND(ISNUMBER(R145),ISNUMBER(R147)),VLOOKUP(ABS(R145-R147),'IMP Table'!$A$2:$C$26,3)*SIGN(R145-R147),"")</f>
        <v/>
      </c>
      <c r="X145">
        <f>IF(AND(ISNUMBER(R145),ISNUMBER(R148)),VLOOKUP(ABS(R145-R148),'IMP Table'!$A$2:$C$26,3)*SIGN(R145-R148),"")</f>
        <v/>
      </c>
      <c r="Y145">
        <f>IF(AND(ISNUMBER(R145),ISNUMBER(R149)),VLOOKUP(ABS(R145-R149),'IMP Table'!$A$2:$C$26,3)*SIGN(R145-R149),"")</f>
        <v/>
      </c>
      <c r="Z145">
        <f>IF(AND(ISNUMBER(S145),ISNUMBER(S143)),VLOOKUP(ABS(S145-S143),'IMP Table'!$A$2:$C$26,3)*SIGN(S145-S143),"")</f>
        <v/>
      </c>
      <c r="AA145">
        <f>IF(AND(ISNUMBER(S145),ISNUMBER(S144)),VLOOKUP(ABS(S145-S144),'IMP Table'!$A$2:$C$26,3)*SIGN(S145-S144),"")</f>
        <v/>
      </c>
      <c r="AB145">
        <f>IF(AND(ISNUMBER(S145),ISNUMBER(S146)),VLOOKUP(ABS(S145-S146),'IMP Table'!$A$2:$C$26,3)*SIGN(S145-S146),"")</f>
        <v/>
      </c>
      <c r="AC145">
        <f>IF(AND(ISNUMBER(S145),ISNUMBER(S147)),VLOOKUP(ABS(S145-S147),'IMP Table'!$A$2:$C$26,3)*SIGN(S145-S147),"")</f>
        <v/>
      </c>
      <c r="AD145">
        <f>IF(AND(ISNUMBER(S145),ISNUMBER(S148)),VLOOKUP(ABS(S145-S148),'IMP Table'!$A$2:$C$26,3)*SIGN(S145-S148),"")</f>
        <v/>
      </c>
      <c r="AE145">
        <f>IF(AND(ISNUMBER(S145),ISNUMBER(S149)),VLOOKUP(ABS(S145-S149),'IMP Table'!$A$2:$C$26,3)*SIGN(S145-S149),"")</f>
        <v/>
      </c>
      <c r="AF145">
        <f>IF(AND(ISNUMBER(R145),ISNUMBER(R143)),IF(R145&gt;R143,1,IF(R145=R143,0.5,0)),0.5)</f>
        <v/>
      </c>
      <c r="AG145">
        <f>IF(AND(ISNUMBER(R145),ISNUMBER(R144)),IF(R145&gt;R144,1,IF(R145=R144,0.5,0)),0.5)</f>
        <v/>
      </c>
      <c r="AH145">
        <f>IF(AND(ISNUMBER(R145),ISNUMBER(R146)),IF(R145&gt;R146,1,IF(R145=R146,0.5,0)),0.5)</f>
        <v/>
      </c>
      <c r="AI145">
        <f>IF(AND(ISNUMBER(R145),ISNUMBER(R147)),IF(R145&gt;R147,1,IF(R145=R147,0.5,0)),0.5)</f>
        <v/>
      </c>
      <c r="AJ145">
        <f>IF(AND(ISNUMBER(R145),ISNUMBER(R148)),IF(R145&gt;R148,1,IF(R145=R148,0.5,0)),0.5)</f>
        <v/>
      </c>
      <c r="AK145">
        <f>IF(AND(ISNUMBER(R145),ISNUMBER(R149)),IF(R145&gt;R149,1,IF(R145=R149,0.5,0)),0.5)</f>
        <v/>
      </c>
      <c r="AL145">
        <f>IF(AND(ISNUMBER(S145),ISNUMBER(S143)),IF(S145&gt;S143,1,IF(S145=S143,0.5,0)),0.5)</f>
        <v/>
      </c>
      <c r="AM145">
        <f>IF(AND(ISNUMBER(S145),ISNUMBER(S144)),IF(S145&gt;S144,1,IF(S145=S144,0.5,0)),0.5)</f>
        <v/>
      </c>
      <c r="AN145">
        <f>IF(AND(ISNUMBER(S145),ISNUMBER(S146)),IF(S145&gt;S146,1,IF(S145=S146,0.5,0)),0.5)</f>
        <v/>
      </c>
      <c r="AO145">
        <f>IF(AND(ISNUMBER(S145),ISNUMBER(S147)),IF(S145&gt;S147,1,IF(S145=S147,0.5,0)),0.5)</f>
        <v/>
      </c>
      <c r="AP145">
        <f>IF(AND(ISNUMBER(S145),ISNUMBER(S148)),IF(S145&gt;S148,1,IF(S145=S148,0.5,0)),0.5)</f>
        <v/>
      </c>
      <c r="AQ145">
        <f>IF(AND(ISNUMBER(S145),ISNUMBER(S149)),IF(S145&gt;S149,1,IF(S145=S149,0.5,0)),0.5)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4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5">
        <f>IFERROR(AVERAGE(T146:Y146),"")</f>
        <v/>
      </c>
      <c r="M146" s="4">
        <f>IFERROR(AVERAGE(Z146:AE146),"")</f>
        <v/>
      </c>
      <c r="N146" s="5">
        <f>P146/6</f>
        <v/>
      </c>
      <c r="O146" s="5">
        <f>Q146/6</f>
        <v/>
      </c>
      <c r="P146" s="4">
        <f>IFERROR(SUM(AF146:AK146),"")</f>
        <v/>
      </c>
      <c r="Q146" s="4">
        <f>IFERROR(SUM(AL146:AQ146),"")</f>
        <v/>
      </c>
      <c r="R146" s="16">
        <f>IF(ISNUMBER(J146),J146,IF(ISNUMBER(K146),-K146,""))</f>
        <v/>
      </c>
      <c r="S146">
        <f>IF(ISNUMBER(K146),K146,IF(ISNUMBER(J146),-J146,""))</f>
        <v/>
      </c>
      <c r="T146">
        <f>IF(AND(ISNUMBER(R146),ISNUMBER(R143)),VLOOKUP(ABS(R146-R143),'IMP Table'!$A$2:$C$26,3)*SIGN(R146-R143),"")</f>
        <v/>
      </c>
      <c r="U146">
        <f>IF(AND(ISNUMBER(R146),ISNUMBER(R144)),VLOOKUP(ABS(R146-R144),'IMP Table'!$A$2:$C$26,3)*SIGN(R146-R144),"")</f>
        <v/>
      </c>
      <c r="V146">
        <f>IF(AND(ISNUMBER(R146),ISNUMBER(R145)),VLOOKUP(ABS(R146-R145),'IMP Table'!$A$2:$C$26,3)*SIGN(R146-R145),"")</f>
        <v/>
      </c>
      <c r="W146">
        <f>IF(AND(ISNUMBER(R146),ISNUMBER(R147)),VLOOKUP(ABS(R146-R147),'IMP Table'!$A$2:$C$26,3)*SIGN(R146-R147),"")</f>
        <v/>
      </c>
      <c r="X146">
        <f>IF(AND(ISNUMBER(R146),ISNUMBER(R148)),VLOOKUP(ABS(R146-R148),'IMP Table'!$A$2:$C$26,3)*SIGN(R146-R148),"")</f>
        <v/>
      </c>
      <c r="Y146">
        <f>IF(AND(ISNUMBER(R146),ISNUMBER(R149)),VLOOKUP(ABS(R146-R149),'IMP Table'!$A$2:$C$26,3)*SIGN(R146-R149),"")</f>
        <v/>
      </c>
      <c r="Z146">
        <f>IF(AND(ISNUMBER(S146),ISNUMBER(S143)),VLOOKUP(ABS(S146-S143),'IMP Table'!$A$2:$C$26,3)*SIGN(S146-S143),"")</f>
        <v/>
      </c>
      <c r="AA146">
        <f>IF(AND(ISNUMBER(S146),ISNUMBER(S144)),VLOOKUP(ABS(S146-S144),'IMP Table'!$A$2:$C$26,3)*SIGN(S146-S144),"")</f>
        <v/>
      </c>
      <c r="AB146">
        <f>IF(AND(ISNUMBER(S146),ISNUMBER(S145)),VLOOKUP(ABS(S146-S145),'IMP Table'!$A$2:$C$26,3)*SIGN(S146-S145),"")</f>
        <v/>
      </c>
      <c r="AC146">
        <f>IF(AND(ISNUMBER(S146),ISNUMBER(S147)),VLOOKUP(ABS(S146-S147),'IMP Table'!$A$2:$C$26,3)*SIGN(S146-S147),"")</f>
        <v/>
      </c>
      <c r="AD146">
        <f>IF(AND(ISNUMBER(S146),ISNUMBER(S148)),VLOOKUP(ABS(S146-S148),'IMP Table'!$A$2:$C$26,3)*SIGN(S146-S148),"")</f>
        <v/>
      </c>
      <c r="AE146">
        <f>IF(AND(ISNUMBER(S146),ISNUMBER(S149)),VLOOKUP(ABS(S146-S149),'IMP Table'!$A$2:$C$26,3)*SIGN(S146-S149),"")</f>
        <v/>
      </c>
      <c r="AF146">
        <f>IF(AND(ISNUMBER(R146),ISNUMBER(R143)),IF(R146&gt;R143,1,IF(R146=R143,0.5,0)),0.5)</f>
        <v/>
      </c>
      <c r="AG146">
        <f>IF(AND(ISNUMBER(R146),ISNUMBER(R144)),IF(R146&gt;R144,1,IF(R146=R144,0.5,0)),0.5)</f>
        <v/>
      </c>
      <c r="AH146">
        <f>IF(AND(ISNUMBER(R146),ISNUMBER(R145)),IF(R146&gt;R145,1,IF(R146=R145,0.5,0)),0.5)</f>
        <v/>
      </c>
      <c r="AI146">
        <f>IF(AND(ISNUMBER(R146),ISNUMBER(R147)),IF(R146&gt;R147,1,IF(R146=R147,0.5,0)),0.5)</f>
        <v/>
      </c>
      <c r="AJ146">
        <f>IF(AND(ISNUMBER(R146),ISNUMBER(R148)),IF(R146&gt;R148,1,IF(R146=R148,0.5,0)),0.5)</f>
        <v/>
      </c>
      <c r="AK146">
        <f>IF(AND(ISNUMBER(R146),ISNUMBER(R149)),IF(R146&gt;R149,1,IF(R146=R149,0.5,0)),0.5)</f>
        <v/>
      </c>
      <c r="AL146">
        <f>IF(AND(ISNUMBER(S146),ISNUMBER(S143)),IF(S146&gt;S143,1,IF(S146=S143,0.5,0)),0.5)</f>
        <v/>
      </c>
      <c r="AM146">
        <f>IF(AND(ISNUMBER(S146),ISNUMBER(S144)),IF(S146&gt;S144,1,IF(S146=S144,0.5,0)),0.5)</f>
        <v/>
      </c>
      <c r="AN146">
        <f>IF(AND(ISNUMBER(S146),ISNUMBER(S145)),IF(S146&gt;S145,1,IF(S146=S145,0.5,0)),0.5)</f>
        <v/>
      </c>
      <c r="AO146">
        <f>IF(AND(ISNUMBER(S146),ISNUMBER(S147)),IF(S146&gt;S147,1,IF(S146=S147,0.5,0)),0.5)</f>
        <v/>
      </c>
      <c r="AP146">
        <f>IF(AND(ISNUMBER(S146),ISNUMBER(S148)),IF(S146&gt;S148,1,IF(S146=S148,0.5,0)),0.5)</f>
        <v/>
      </c>
      <c r="AQ146">
        <f>IF(AND(ISNUMBER(S146),ISNUMBER(S149)),IF(S146&gt;S149,1,IF(S146=S149,0.5,0)),0.5)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4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5">
        <f>IFERROR(AVERAGE(T147:Y147),"")</f>
        <v/>
      </c>
      <c r="M147" s="4">
        <f>IFERROR(AVERAGE(Z147:AE147),"")</f>
        <v/>
      </c>
      <c r="N147" s="5">
        <f>P147/6</f>
        <v/>
      </c>
      <c r="O147" s="5">
        <f>Q147/6</f>
        <v/>
      </c>
      <c r="P147" s="4">
        <f>IFERROR(SUM(AF147:AK147),"")</f>
        <v/>
      </c>
      <c r="Q147" s="4">
        <f>IFERROR(SUM(AL147:AQ147),"")</f>
        <v/>
      </c>
      <c r="R147" s="16">
        <f>IF(ISNUMBER(J147),J147,IF(ISNUMBER(K147),-K147,""))</f>
        <v/>
      </c>
      <c r="S147">
        <f>IF(ISNUMBER(K147),K147,IF(ISNUMBER(J147),-J147,""))</f>
        <v/>
      </c>
      <c r="T147">
        <f>IF(AND(ISNUMBER(R147),ISNUMBER(R143)),VLOOKUP(ABS(R147-R143),'IMP Table'!$A$2:$C$26,3)*SIGN(R147-R143),"")</f>
        <v/>
      </c>
      <c r="U147">
        <f>IF(AND(ISNUMBER(R147),ISNUMBER(R144)),VLOOKUP(ABS(R147-R144),'IMP Table'!$A$2:$C$26,3)*SIGN(R147-R144),"")</f>
        <v/>
      </c>
      <c r="V147">
        <f>IF(AND(ISNUMBER(R147),ISNUMBER(R145)),VLOOKUP(ABS(R147-R145),'IMP Table'!$A$2:$C$26,3)*SIGN(R147-R145),"")</f>
        <v/>
      </c>
      <c r="W147">
        <f>IF(AND(ISNUMBER(R147),ISNUMBER(R146)),VLOOKUP(ABS(R147-R146),'IMP Table'!$A$2:$C$26,3)*SIGN(R147-R146),"")</f>
        <v/>
      </c>
      <c r="X147">
        <f>IF(AND(ISNUMBER(R147),ISNUMBER(R148)),VLOOKUP(ABS(R147-R148),'IMP Table'!$A$2:$C$26,3)*SIGN(R147-R148),"")</f>
        <v/>
      </c>
      <c r="Y147">
        <f>IF(AND(ISNUMBER(R147),ISNUMBER(R149)),VLOOKUP(ABS(R147-R149),'IMP Table'!$A$2:$C$26,3)*SIGN(R147-R149),"")</f>
        <v/>
      </c>
      <c r="Z147">
        <f>IF(AND(ISNUMBER(S147),ISNUMBER(S143)),VLOOKUP(ABS(S147-S143),'IMP Table'!$A$2:$C$26,3)*SIGN(S147-S143),"")</f>
        <v/>
      </c>
      <c r="AA147">
        <f>IF(AND(ISNUMBER(S147),ISNUMBER(S144)),VLOOKUP(ABS(S147-S144),'IMP Table'!$A$2:$C$26,3)*SIGN(S147-S144),"")</f>
        <v/>
      </c>
      <c r="AB147">
        <f>IF(AND(ISNUMBER(S147),ISNUMBER(S145)),VLOOKUP(ABS(S147-S145),'IMP Table'!$A$2:$C$26,3)*SIGN(S147-S145),"")</f>
        <v/>
      </c>
      <c r="AC147">
        <f>IF(AND(ISNUMBER(S147),ISNUMBER(S146)),VLOOKUP(ABS(S147-S146),'IMP Table'!$A$2:$C$26,3)*SIGN(S147-S146),"")</f>
        <v/>
      </c>
      <c r="AD147">
        <f>IF(AND(ISNUMBER(S147),ISNUMBER(S148)),VLOOKUP(ABS(S147-S148),'IMP Table'!$A$2:$C$26,3)*SIGN(S147-S148),"")</f>
        <v/>
      </c>
      <c r="AE147">
        <f>IF(AND(ISNUMBER(S147),ISNUMBER(S149)),VLOOKUP(ABS(S147-S149),'IMP Table'!$A$2:$C$26,3)*SIGN(S147-S149),"")</f>
        <v/>
      </c>
      <c r="AF147">
        <f>IF(AND(ISNUMBER(R147),ISNUMBER(R143)),IF(R147&gt;R143,1,IF(R147=R143,0.5,0)),0.5)</f>
        <v/>
      </c>
      <c r="AG147">
        <f>IF(AND(ISNUMBER(R147),ISNUMBER(R144)),IF(R147&gt;R144,1,IF(R147=R144,0.5,0)),0.5)</f>
        <v/>
      </c>
      <c r="AH147">
        <f>IF(AND(ISNUMBER(R147),ISNUMBER(R145)),IF(R147&gt;R145,1,IF(R147=R145,0.5,0)),0.5)</f>
        <v/>
      </c>
      <c r="AI147">
        <f>IF(AND(ISNUMBER(R147),ISNUMBER(R146)),IF(R147&gt;R146,1,IF(R147=R146,0.5,0)),0.5)</f>
        <v/>
      </c>
      <c r="AJ147">
        <f>IF(AND(ISNUMBER(R147),ISNUMBER(R148)),IF(R147&gt;R148,1,IF(R147=R148,0.5,0)),0.5)</f>
        <v/>
      </c>
      <c r="AK147">
        <f>IF(AND(ISNUMBER(R147),ISNUMBER(R149)),IF(R147&gt;R149,1,IF(R147=R149,0.5,0)),0.5)</f>
        <v/>
      </c>
      <c r="AL147">
        <f>IF(AND(ISNUMBER(S147),ISNUMBER(S143)),IF(S147&gt;S143,1,IF(S147=S143,0.5,0)),0.5)</f>
        <v/>
      </c>
      <c r="AM147">
        <f>IF(AND(ISNUMBER(S147),ISNUMBER(S144)),IF(S147&gt;S144,1,IF(S147=S144,0.5,0)),0.5)</f>
        <v/>
      </c>
      <c r="AN147">
        <f>IF(AND(ISNUMBER(S147),ISNUMBER(S145)),IF(S147&gt;S145,1,IF(S147=S145,0.5,0)),0.5)</f>
        <v/>
      </c>
      <c r="AO147">
        <f>IF(AND(ISNUMBER(S147),ISNUMBER(S146)),IF(S147&gt;S146,1,IF(S147=S146,0.5,0)),0.5)</f>
        <v/>
      </c>
      <c r="AP147">
        <f>IF(AND(ISNUMBER(S147),ISNUMBER(S148)),IF(S147&gt;S148,1,IF(S147=S148,0.5,0)),0.5)</f>
        <v/>
      </c>
      <c r="AQ147">
        <f>IF(AND(ISNUMBER(S147),ISNUMBER(S149)),IF(S147&gt;S149,1,IF(S147=S149,0.5,0)),0.5)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4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5">
        <f>IFERROR(AVERAGE(T148:Y148),"")</f>
        <v/>
      </c>
      <c r="M148" s="4">
        <f>IFERROR(AVERAGE(Z148:AE148),"")</f>
        <v/>
      </c>
      <c r="N148" s="5">
        <f>P148/6</f>
        <v/>
      </c>
      <c r="O148" s="5">
        <f>Q148/6</f>
        <v/>
      </c>
      <c r="P148" s="4">
        <f>IFERROR(SUM(AF148:AK148),"")</f>
        <v/>
      </c>
      <c r="Q148" s="4">
        <f>IFERROR(SUM(AL148:AQ148),"")</f>
        <v/>
      </c>
      <c r="R148" s="16">
        <f>IF(ISNUMBER(J148),J148,IF(ISNUMBER(K148),-K148,""))</f>
        <v/>
      </c>
      <c r="S148">
        <f>IF(ISNUMBER(K148),K148,IF(ISNUMBER(J148),-J148,""))</f>
        <v/>
      </c>
      <c r="T148">
        <f>IF(AND(ISNUMBER(R148),ISNUMBER(R143)),VLOOKUP(ABS(R148-R143),'IMP Table'!$A$2:$C$26,3)*SIGN(R148-R143),"")</f>
        <v/>
      </c>
      <c r="U148">
        <f>IF(AND(ISNUMBER(R148),ISNUMBER(R144)),VLOOKUP(ABS(R148-R144),'IMP Table'!$A$2:$C$26,3)*SIGN(R148-R144),"")</f>
        <v/>
      </c>
      <c r="V148">
        <f>IF(AND(ISNUMBER(R148),ISNUMBER(R145)),VLOOKUP(ABS(R148-R145),'IMP Table'!$A$2:$C$26,3)*SIGN(R148-R145),"")</f>
        <v/>
      </c>
      <c r="W148">
        <f>IF(AND(ISNUMBER(R148),ISNUMBER(R146)),VLOOKUP(ABS(R148-R146),'IMP Table'!$A$2:$C$26,3)*SIGN(R148-R146),"")</f>
        <v/>
      </c>
      <c r="X148">
        <f>IF(AND(ISNUMBER(R148),ISNUMBER(R147)),VLOOKUP(ABS(R148-R147),'IMP Table'!$A$2:$C$26,3)*SIGN(R148-R147),"")</f>
        <v/>
      </c>
      <c r="Y148">
        <f>IF(AND(ISNUMBER(R148),ISNUMBER(R149)),VLOOKUP(ABS(R148-R149),'IMP Table'!$A$2:$C$26,3)*SIGN(R148-R149),"")</f>
        <v/>
      </c>
      <c r="Z148">
        <f>IF(AND(ISNUMBER(S148),ISNUMBER(S143)),VLOOKUP(ABS(S148-S143),'IMP Table'!$A$2:$C$26,3)*SIGN(S148-S143),"")</f>
        <v/>
      </c>
      <c r="AA148">
        <f>IF(AND(ISNUMBER(S148),ISNUMBER(S144)),VLOOKUP(ABS(S148-S144),'IMP Table'!$A$2:$C$26,3)*SIGN(S148-S144),"")</f>
        <v/>
      </c>
      <c r="AB148">
        <f>IF(AND(ISNUMBER(S148),ISNUMBER(S145)),VLOOKUP(ABS(S148-S145),'IMP Table'!$A$2:$C$26,3)*SIGN(S148-S145),"")</f>
        <v/>
      </c>
      <c r="AC148">
        <f>IF(AND(ISNUMBER(S148),ISNUMBER(S146)),VLOOKUP(ABS(S148-S146),'IMP Table'!$A$2:$C$26,3)*SIGN(S148-S146),"")</f>
        <v/>
      </c>
      <c r="AD148">
        <f>IF(AND(ISNUMBER(S148),ISNUMBER(S147)),VLOOKUP(ABS(S148-S147),'IMP Table'!$A$2:$C$26,3)*SIGN(S148-S147),"")</f>
        <v/>
      </c>
      <c r="AE148">
        <f>IF(AND(ISNUMBER(S148),ISNUMBER(S149)),VLOOKUP(ABS(S148-S149),'IMP Table'!$A$2:$C$26,3)*SIGN(S148-S149),"")</f>
        <v/>
      </c>
      <c r="AF148">
        <f>IF(AND(ISNUMBER(R148),ISNUMBER(R143)),IF(R148&gt;R143,1,IF(R148=R143,0.5,0)),0.5)</f>
        <v/>
      </c>
      <c r="AG148">
        <f>IF(AND(ISNUMBER(R148),ISNUMBER(R144)),IF(R148&gt;R144,1,IF(R148=R144,0.5,0)),0.5)</f>
        <v/>
      </c>
      <c r="AH148">
        <f>IF(AND(ISNUMBER(R148),ISNUMBER(R145)),IF(R148&gt;R145,1,IF(R148=R145,0.5,0)),0.5)</f>
        <v/>
      </c>
      <c r="AI148">
        <f>IF(AND(ISNUMBER(R148),ISNUMBER(R146)),IF(R148&gt;R146,1,IF(R148=R146,0.5,0)),0.5)</f>
        <v/>
      </c>
      <c r="AJ148">
        <f>IF(AND(ISNUMBER(R148),ISNUMBER(R147)),IF(R148&gt;R147,1,IF(R148=R147,0.5,0)),0.5)</f>
        <v/>
      </c>
      <c r="AK148">
        <f>IF(AND(ISNUMBER(R148),ISNUMBER(R149)),IF(R148&gt;R149,1,IF(R148=R149,0.5,0)),0.5)</f>
        <v/>
      </c>
      <c r="AL148">
        <f>IF(AND(ISNUMBER(S148),ISNUMBER(S143)),IF(S148&gt;S143,1,IF(S148=S143,0.5,0)),0.5)</f>
        <v/>
      </c>
      <c r="AM148">
        <f>IF(AND(ISNUMBER(S148),ISNUMBER(S144)),IF(S148&gt;S144,1,IF(S148=S144,0.5,0)),0.5)</f>
        <v/>
      </c>
      <c r="AN148">
        <f>IF(AND(ISNUMBER(S148),ISNUMBER(S145)),IF(S148&gt;S145,1,IF(S148=S145,0.5,0)),0.5)</f>
        <v/>
      </c>
      <c r="AO148">
        <f>IF(AND(ISNUMBER(S148),ISNUMBER(S146)),IF(S148&gt;S146,1,IF(S148=S146,0.5,0)),0.5)</f>
        <v/>
      </c>
      <c r="AP148">
        <f>IF(AND(ISNUMBER(S148),ISNUMBER(S147)),IF(S148&gt;S147,1,IF(S148=S147,0.5,0)),0.5)</f>
        <v/>
      </c>
      <c r="AQ148">
        <f>IF(AND(ISNUMBER(S148),ISNUMBER(S149)),IF(S148&gt;S149,1,IF(S148=S149,0.5,0)),0.5)</f>
        <v/>
      </c>
    </row>
    <row r="149">
      <c r="A149" s="13" t="n"/>
      <c r="B149" s="13">
        <f>'By Round'!A171</f>
        <v/>
      </c>
      <c r="C149" s="13">
        <f>'By Round'!B183</f>
        <v/>
      </c>
      <c r="D149" s="13">
        <f>'By Round'!C183</f>
        <v/>
      </c>
      <c r="E149" s="13">
        <f>'By Round'!D183</f>
        <v/>
      </c>
      <c r="F149" s="17" t="inlineStr">
        <is>
          <t>NS</t>
        </is>
      </c>
      <c r="G149" s="13">
        <f>IF(ISBLANK('By Round'!G183),"",'By Round'!G183)</f>
        <v/>
      </c>
      <c r="H149" s="13">
        <f>IF(ISBLANK('By Round'!H183),"",'By Round'!H183)</f>
        <v/>
      </c>
      <c r="I149" s="13">
        <f>IF(ISBLANK('By Round'!I183),"",'By Round'!I183)</f>
        <v/>
      </c>
      <c r="J149" s="13">
        <f>IF(ISBLANK('By Round'!J183),"",'By Round'!J183)</f>
        <v/>
      </c>
      <c r="K149" s="13">
        <f>IF(ISBLANK('By Round'!K183),"",'By Round'!K183)</f>
        <v/>
      </c>
      <c r="L149" s="18">
        <f>IFERROR(AVERAGE(T149:Y149),"")</f>
        <v/>
      </c>
      <c r="M149" s="19">
        <f>IFERROR(AVERAGE(Z149:AE149),"")</f>
        <v/>
      </c>
      <c r="N149" s="20">
        <f>P149/6</f>
        <v/>
      </c>
      <c r="O149" s="20">
        <f>Q149/6</f>
        <v/>
      </c>
      <c r="P149" s="19">
        <f>IFERROR(SUM(AF149:AK149),"")</f>
        <v/>
      </c>
      <c r="Q149" s="19">
        <f>IFERROR(SUM(AL149:AQ149),"")</f>
        <v/>
      </c>
      <c r="R149" s="21">
        <f>IF(ISNUMBER(J149),J149,IF(ISNUMBER(K149),-K149,""))</f>
        <v/>
      </c>
      <c r="S149" s="13">
        <f>IF(ISNUMBER(K149),K149,IF(ISNUMBER(J149),-J149,""))</f>
        <v/>
      </c>
      <c r="T149" s="13">
        <f>IF(AND(ISNUMBER(R149),ISNUMBER(R143)),VLOOKUP(ABS(R149-R143),'IMP Table'!$A$2:$C$26,3)*SIGN(R149-R143),"")</f>
        <v/>
      </c>
      <c r="U149" s="13">
        <f>IF(AND(ISNUMBER(R149),ISNUMBER(R144)),VLOOKUP(ABS(R149-R144),'IMP Table'!$A$2:$C$26,3)*SIGN(R149-R144),"")</f>
        <v/>
      </c>
      <c r="V149" s="13">
        <f>IF(AND(ISNUMBER(R149),ISNUMBER(R145)),VLOOKUP(ABS(R149-R145),'IMP Table'!$A$2:$C$26,3)*SIGN(R149-R145),"")</f>
        <v/>
      </c>
      <c r="W149" s="13">
        <f>IF(AND(ISNUMBER(R149),ISNUMBER(R146)),VLOOKUP(ABS(R149-R146),'IMP Table'!$A$2:$C$26,3)*SIGN(R149-R146),"")</f>
        <v/>
      </c>
      <c r="X149" s="13">
        <f>IF(AND(ISNUMBER(R149),ISNUMBER(R147)),VLOOKUP(ABS(R149-R147),'IMP Table'!$A$2:$C$26,3)*SIGN(R149-R147),"")</f>
        <v/>
      </c>
      <c r="Y149" s="13">
        <f>IF(AND(ISNUMBER(R149),ISNUMBER(R148)),VLOOKUP(ABS(R149-R148),'IMP Table'!$A$2:$C$26,3)*SIGN(R149-R148),"")</f>
        <v/>
      </c>
      <c r="Z149" s="13">
        <f>IF(AND(ISNUMBER(S149),ISNUMBER(S143)),VLOOKUP(ABS(S149-S143),'IMP Table'!$A$2:$C$26,3)*SIGN(S149-S143),"")</f>
        <v/>
      </c>
      <c r="AA149" s="13">
        <f>IF(AND(ISNUMBER(S149),ISNUMBER(S144)),VLOOKUP(ABS(S149-S144),'IMP Table'!$A$2:$C$26,3)*SIGN(S149-S144),"")</f>
        <v/>
      </c>
      <c r="AB149" s="13">
        <f>IF(AND(ISNUMBER(S149),ISNUMBER(S145)),VLOOKUP(ABS(S149-S145),'IMP Table'!$A$2:$C$26,3)*SIGN(S149-S145),"")</f>
        <v/>
      </c>
      <c r="AC149" s="13">
        <f>IF(AND(ISNUMBER(S149),ISNUMBER(S146)),VLOOKUP(ABS(S149-S146),'IMP Table'!$A$2:$C$26,3)*SIGN(S149-S146),"")</f>
        <v/>
      </c>
      <c r="AD149" s="13">
        <f>IF(AND(ISNUMBER(S149),ISNUMBER(S147)),VLOOKUP(ABS(S149-S147),'IMP Table'!$A$2:$C$26,3)*SIGN(S149-S147),"")</f>
        <v/>
      </c>
      <c r="AE149" s="13">
        <f>IF(AND(ISNUMBER(S149),ISNUMBER(S148)),VLOOKUP(ABS(S149-S148),'IMP Table'!$A$2:$C$26,3)*SIGN(S149-S148),"")</f>
        <v/>
      </c>
      <c r="AF149" s="13">
        <f>IF(AND(ISNUMBER(R149),ISNUMBER(R143)),IF(R149&gt;R143,1,IF(R149=R143,0.5,0)),0.5)</f>
        <v/>
      </c>
      <c r="AG149" s="13">
        <f>IF(AND(ISNUMBER(R149),ISNUMBER(R144)),IF(R149&gt;R144,1,IF(R149=R144,0.5,0)),0.5)</f>
        <v/>
      </c>
      <c r="AH149" s="13">
        <f>IF(AND(ISNUMBER(R149),ISNUMBER(R145)),IF(R149&gt;R145,1,IF(R149=R145,0.5,0)),0.5)</f>
        <v/>
      </c>
      <c r="AI149" s="13">
        <f>IF(AND(ISNUMBER(R149),ISNUMBER(R146)),IF(R149&gt;R146,1,IF(R149=R146,0.5,0)),0.5)</f>
        <v/>
      </c>
      <c r="AJ149" s="13">
        <f>IF(AND(ISNUMBER(R149),ISNUMBER(R147)),IF(R149&gt;R147,1,IF(R149=R147,0.5,0)),0.5)</f>
        <v/>
      </c>
      <c r="AK149" s="13">
        <f>IF(AND(ISNUMBER(R149),ISNUMBER(R148)),IF(R149&gt;R148,1,IF(R149=R148,0.5,0)),0.5)</f>
        <v/>
      </c>
      <c r="AL149" s="13">
        <f>IF(AND(ISNUMBER(S149),ISNUMBER(S143)),IF(S149&gt;S143,1,IF(S149=S143,0.5,0)),0.5)</f>
        <v/>
      </c>
      <c r="AM149" s="13">
        <f>IF(AND(ISNUMBER(S149),ISNUMBER(S144)),IF(S149&gt;S144,1,IF(S149=S144,0.5,0)),0.5)</f>
        <v/>
      </c>
      <c r="AN149" s="13">
        <f>IF(AND(ISNUMBER(S149),ISNUMBER(S145)),IF(S149&gt;S145,1,IF(S149=S145,0.5,0)),0.5)</f>
        <v/>
      </c>
      <c r="AO149" s="13">
        <f>IF(AND(ISNUMBER(S149),ISNUMBER(S146)),IF(S149&gt;S146,1,IF(S149=S146,0.5,0)),0.5)</f>
        <v/>
      </c>
      <c r="AP149" s="13">
        <f>IF(AND(ISNUMBER(S149),ISNUMBER(S147)),IF(S149&gt;S147,1,IF(S149=S147,0.5,0)),0.5)</f>
        <v/>
      </c>
      <c r="AQ149" s="13">
        <f>IF(AND(ISNUMBER(S149),ISNUMBER(S148)),IF(S149&gt;S148,1,IF(S149=S148,0.5,0)),0.5)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4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5">
        <f>IFERROR(AVERAGE(T150:Y150),"")</f>
        <v/>
      </c>
      <c r="M150" s="4">
        <f>IFERROR(AVERAGE(Z150:AE150),"")</f>
        <v/>
      </c>
      <c r="N150" s="5">
        <f>P150/6</f>
        <v/>
      </c>
      <c r="O150" s="5">
        <f>Q150/6</f>
        <v/>
      </c>
      <c r="P150" s="4">
        <f>IFERROR(SUM(AF150:AK150),"")</f>
        <v/>
      </c>
      <c r="Q150" s="4">
        <f>IFERROR(SUM(AL150:AQ150),"")</f>
        <v/>
      </c>
      <c r="R150" s="16">
        <f>IF(ISNUMBER(J150),J150,IF(ISNUMBER(K150),-K150,""))</f>
        <v/>
      </c>
      <c r="S150">
        <f>IF(ISNUMBER(K150),K150,IF(ISNUMBER(J150),-J150,""))</f>
        <v/>
      </c>
      <c r="T150">
        <f>IF(AND(ISNUMBER(R150),ISNUMBER(R151)),VLOOKUP(ABS(R150-R151),'IMP Table'!$A$2:$C$26,3)*SIGN(R150-R151),"")</f>
        <v/>
      </c>
      <c r="U150">
        <f>IF(AND(ISNUMBER(R150),ISNUMBER(R152)),VLOOKUP(ABS(R150-R152),'IMP Table'!$A$2:$C$26,3)*SIGN(R150-R152),"")</f>
        <v/>
      </c>
      <c r="V150">
        <f>IF(AND(ISNUMBER(R150),ISNUMBER(R153)),VLOOKUP(ABS(R150-R153),'IMP Table'!$A$2:$C$26,3)*SIGN(R150-R153),"")</f>
        <v/>
      </c>
      <c r="W150">
        <f>IF(AND(ISNUMBER(R150),ISNUMBER(R154)),VLOOKUP(ABS(R150-R154),'IMP Table'!$A$2:$C$26,3)*SIGN(R150-R154),"")</f>
        <v/>
      </c>
      <c r="X150">
        <f>IF(AND(ISNUMBER(R150),ISNUMBER(R155)),VLOOKUP(ABS(R150-R155),'IMP Table'!$A$2:$C$26,3)*SIGN(R150-R155),"")</f>
        <v/>
      </c>
      <c r="Y150">
        <f>IF(AND(ISNUMBER(R150),ISNUMBER(R156)),VLOOKUP(ABS(R150-R156),'IMP Table'!$A$2:$C$26,3)*SIGN(R150-R156),"")</f>
        <v/>
      </c>
      <c r="Z150">
        <f>IF(AND(ISNUMBER(S150),ISNUMBER(S151)),VLOOKUP(ABS(S150-S151),'IMP Table'!$A$2:$C$26,3)*SIGN(S150-S151),"")</f>
        <v/>
      </c>
      <c r="AA150">
        <f>IF(AND(ISNUMBER(S150),ISNUMBER(S152)),VLOOKUP(ABS(S150-S152),'IMP Table'!$A$2:$C$26,3)*SIGN(S150-S152),"")</f>
        <v/>
      </c>
      <c r="AB150">
        <f>IF(AND(ISNUMBER(S150),ISNUMBER(S153)),VLOOKUP(ABS(S150-S153),'IMP Table'!$A$2:$C$26,3)*SIGN(S150-S153),"")</f>
        <v/>
      </c>
      <c r="AC150">
        <f>IF(AND(ISNUMBER(S150),ISNUMBER(S154)),VLOOKUP(ABS(S150-S154),'IMP Table'!$A$2:$C$26,3)*SIGN(S150-S154),"")</f>
        <v/>
      </c>
      <c r="AD150">
        <f>IF(AND(ISNUMBER(S150),ISNUMBER(S155)),VLOOKUP(ABS(S150-S155),'IMP Table'!$A$2:$C$26,3)*SIGN(S150-S155),"")</f>
        <v/>
      </c>
      <c r="AE150">
        <f>IF(AND(ISNUMBER(S150),ISNUMBER(S156)),VLOOKUP(ABS(S150-S156),'IMP Table'!$A$2:$C$26,3)*SIGN(S150-S156),"")</f>
        <v/>
      </c>
      <c r="AF150">
        <f>IF(AND(ISNUMBER(R150),ISNUMBER(R151)),IF(R150&gt;R151,1,IF(R150=R151,0.5,0)),0.5)</f>
        <v/>
      </c>
      <c r="AG150">
        <f>IF(AND(ISNUMBER(R150),ISNUMBER(R152)),IF(R150&gt;R152,1,IF(R150=R152,0.5,0)),0.5)</f>
        <v/>
      </c>
      <c r="AH150">
        <f>IF(AND(ISNUMBER(R150),ISNUMBER(R153)),IF(R150&gt;R153,1,IF(R150=R153,0.5,0)),0.5)</f>
        <v/>
      </c>
      <c r="AI150">
        <f>IF(AND(ISNUMBER(R150),ISNUMBER(R154)),IF(R150&gt;R154,1,IF(R150=R154,0.5,0)),0.5)</f>
        <v/>
      </c>
      <c r="AJ150">
        <f>IF(AND(ISNUMBER(R150),ISNUMBER(R155)),IF(R150&gt;R155,1,IF(R150=R155,0.5,0)),0.5)</f>
        <v/>
      </c>
      <c r="AK150">
        <f>IF(AND(ISNUMBER(R150),ISNUMBER(R156)),IF(R150&gt;R156,1,IF(R150=R156,0.5,0)),0.5)</f>
        <v/>
      </c>
      <c r="AL150">
        <f>IF(AND(ISNUMBER(S150),ISNUMBER(S151)),IF(S150&gt;S151,1,IF(S150=S151,0.5,0)),0.5)</f>
        <v/>
      </c>
      <c r="AM150">
        <f>IF(AND(ISNUMBER(S150),ISNUMBER(S152)),IF(S150&gt;S152,1,IF(S150=S152,0.5,0)),0.5)</f>
        <v/>
      </c>
      <c r="AN150">
        <f>IF(AND(ISNUMBER(S150),ISNUMBER(S153)),IF(S150&gt;S153,1,IF(S150=S153,0.5,0)),0.5)</f>
        <v/>
      </c>
      <c r="AO150">
        <f>IF(AND(ISNUMBER(S150),ISNUMBER(S154)),IF(S150&gt;S154,1,IF(S150=S154,0.5,0)),0.5)</f>
        <v/>
      </c>
      <c r="AP150">
        <f>IF(AND(ISNUMBER(S150),ISNUMBER(S155)),IF(S150&gt;S155,1,IF(S150=S155,0.5,0)),0.5)</f>
        <v/>
      </c>
      <c r="AQ150">
        <f>IF(AND(ISNUMBER(S150),ISNUMBER(S156)),IF(S150&gt;S156,1,IF(S150=S156,0.5,0)),0.5)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4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5">
        <f>IFERROR(AVERAGE(T151:Y151),"")</f>
        <v/>
      </c>
      <c r="M151" s="4">
        <f>IFERROR(AVERAGE(Z151:AE151),"")</f>
        <v/>
      </c>
      <c r="N151" s="5">
        <f>P151/6</f>
        <v/>
      </c>
      <c r="O151" s="5">
        <f>Q151/6</f>
        <v/>
      </c>
      <c r="P151" s="4">
        <f>IFERROR(SUM(AF151:AK151),"")</f>
        <v/>
      </c>
      <c r="Q151" s="4">
        <f>IFERROR(SUM(AL151:AQ151),"")</f>
        <v/>
      </c>
      <c r="R151" s="16">
        <f>IF(ISNUMBER(J151),J151,IF(ISNUMBER(K151),-K151,""))</f>
        <v/>
      </c>
      <c r="S151">
        <f>IF(ISNUMBER(K151),K151,IF(ISNUMBER(J151),-J151,""))</f>
        <v/>
      </c>
      <c r="T151">
        <f>IF(AND(ISNUMBER(R151),ISNUMBER(R150)),VLOOKUP(ABS(R151-R150),'IMP Table'!$A$2:$C$26,3)*SIGN(R151-R150),"")</f>
        <v/>
      </c>
      <c r="U151">
        <f>IF(AND(ISNUMBER(R151),ISNUMBER(R152)),VLOOKUP(ABS(R151-R152),'IMP Table'!$A$2:$C$26,3)*SIGN(R151-R152),"")</f>
        <v/>
      </c>
      <c r="V151">
        <f>IF(AND(ISNUMBER(R151),ISNUMBER(R153)),VLOOKUP(ABS(R151-R153),'IMP Table'!$A$2:$C$26,3)*SIGN(R151-R153),"")</f>
        <v/>
      </c>
      <c r="W151">
        <f>IF(AND(ISNUMBER(R151),ISNUMBER(R154)),VLOOKUP(ABS(R151-R154),'IMP Table'!$A$2:$C$26,3)*SIGN(R151-R154),"")</f>
        <v/>
      </c>
      <c r="X151">
        <f>IF(AND(ISNUMBER(R151),ISNUMBER(R155)),VLOOKUP(ABS(R151-R155),'IMP Table'!$A$2:$C$26,3)*SIGN(R151-R155),"")</f>
        <v/>
      </c>
      <c r="Y151">
        <f>IF(AND(ISNUMBER(R151),ISNUMBER(R156)),VLOOKUP(ABS(R151-R156),'IMP Table'!$A$2:$C$26,3)*SIGN(R151-R156),"")</f>
        <v/>
      </c>
      <c r="Z151">
        <f>IF(AND(ISNUMBER(S151),ISNUMBER(S150)),VLOOKUP(ABS(S151-S150),'IMP Table'!$A$2:$C$26,3)*SIGN(S151-S150),"")</f>
        <v/>
      </c>
      <c r="AA151">
        <f>IF(AND(ISNUMBER(S151),ISNUMBER(S152)),VLOOKUP(ABS(S151-S152),'IMP Table'!$A$2:$C$26,3)*SIGN(S151-S152),"")</f>
        <v/>
      </c>
      <c r="AB151">
        <f>IF(AND(ISNUMBER(S151),ISNUMBER(S153)),VLOOKUP(ABS(S151-S153),'IMP Table'!$A$2:$C$26,3)*SIGN(S151-S153),"")</f>
        <v/>
      </c>
      <c r="AC151">
        <f>IF(AND(ISNUMBER(S151),ISNUMBER(S154)),VLOOKUP(ABS(S151-S154),'IMP Table'!$A$2:$C$26,3)*SIGN(S151-S154),"")</f>
        <v/>
      </c>
      <c r="AD151">
        <f>IF(AND(ISNUMBER(S151),ISNUMBER(S155)),VLOOKUP(ABS(S151-S155),'IMP Table'!$A$2:$C$26,3)*SIGN(S151-S155),"")</f>
        <v/>
      </c>
      <c r="AE151">
        <f>IF(AND(ISNUMBER(S151),ISNUMBER(S156)),VLOOKUP(ABS(S151-S156),'IMP Table'!$A$2:$C$26,3)*SIGN(S151-S156),"")</f>
        <v/>
      </c>
      <c r="AF151">
        <f>IF(AND(ISNUMBER(R151),ISNUMBER(R150)),IF(R151&gt;R150,1,IF(R151=R150,0.5,0)),0.5)</f>
        <v/>
      </c>
      <c r="AG151">
        <f>IF(AND(ISNUMBER(R151),ISNUMBER(R152)),IF(R151&gt;R152,1,IF(R151=R152,0.5,0)),0.5)</f>
        <v/>
      </c>
      <c r="AH151">
        <f>IF(AND(ISNUMBER(R151),ISNUMBER(R153)),IF(R151&gt;R153,1,IF(R151=R153,0.5,0)),0.5)</f>
        <v/>
      </c>
      <c r="AI151">
        <f>IF(AND(ISNUMBER(R151),ISNUMBER(R154)),IF(R151&gt;R154,1,IF(R151=R154,0.5,0)),0.5)</f>
        <v/>
      </c>
      <c r="AJ151">
        <f>IF(AND(ISNUMBER(R151),ISNUMBER(R155)),IF(R151&gt;R155,1,IF(R151=R155,0.5,0)),0.5)</f>
        <v/>
      </c>
      <c r="AK151">
        <f>IF(AND(ISNUMBER(R151),ISNUMBER(R156)),IF(R151&gt;R156,1,IF(R151=R156,0.5,0)),0.5)</f>
        <v/>
      </c>
      <c r="AL151">
        <f>IF(AND(ISNUMBER(S151),ISNUMBER(S150)),IF(S151&gt;S150,1,IF(S151=S150,0.5,0)),0.5)</f>
        <v/>
      </c>
      <c r="AM151">
        <f>IF(AND(ISNUMBER(S151),ISNUMBER(S152)),IF(S151&gt;S152,1,IF(S151=S152,0.5,0)),0.5)</f>
        <v/>
      </c>
      <c r="AN151">
        <f>IF(AND(ISNUMBER(S151),ISNUMBER(S153)),IF(S151&gt;S153,1,IF(S151=S153,0.5,0)),0.5)</f>
        <v/>
      </c>
      <c r="AO151">
        <f>IF(AND(ISNUMBER(S151),ISNUMBER(S154)),IF(S151&gt;S154,1,IF(S151=S154,0.5,0)),0.5)</f>
        <v/>
      </c>
      <c r="AP151">
        <f>IF(AND(ISNUMBER(S151),ISNUMBER(S155)),IF(S151&gt;S155,1,IF(S151=S155,0.5,0)),0.5)</f>
        <v/>
      </c>
      <c r="AQ151">
        <f>IF(AND(ISNUMBER(S151),ISNUMBER(S156)),IF(S151&gt;S156,1,IF(S151=S156,0.5,0)),0.5)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4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5">
        <f>IFERROR(AVERAGE(T152:Y152),"")</f>
        <v/>
      </c>
      <c r="M152" s="4">
        <f>IFERROR(AVERAGE(Z152:AE152),"")</f>
        <v/>
      </c>
      <c r="N152" s="5">
        <f>P152/6</f>
        <v/>
      </c>
      <c r="O152" s="5">
        <f>Q152/6</f>
        <v/>
      </c>
      <c r="P152" s="4">
        <f>IFERROR(SUM(AF152:AK152),"")</f>
        <v/>
      </c>
      <c r="Q152" s="4">
        <f>IFERROR(SUM(AL152:AQ152),"")</f>
        <v/>
      </c>
      <c r="R152" s="16">
        <f>IF(ISNUMBER(J152),J152,IF(ISNUMBER(K152),-K152,""))</f>
        <v/>
      </c>
      <c r="S152">
        <f>IF(ISNUMBER(K152),K152,IF(ISNUMBER(J152),-J152,""))</f>
        <v/>
      </c>
      <c r="T152">
        <f>IF(AND(ISNUMBER(R152),ISNUMBER(R150)),VLOOKUP(ABS(R152-R150),'IMP Table'!$A$2:$C$26,3)*SIGN(R152-R150),"")</f>
        <v/>
      </c>
      <c r="U152">
        <f>IF(AND(ISNUMBER(R152),ISNUMBER(R151)),VLOOKUP(ABS(R152-R151),'IMP Table'!$A$2:$C$26,3)*SIGN(R152-R151),"")</f>
        <v/>
      </c>
      <c r="V152">
        <f>IF(AND(ISNUMBER(R152),ISNUMBER(R153)),VLOOKUP(ABS(R152-R153),'IMP Table'!$A$2:$C$26,3)*SIGN(R152-R153),"")</f>
        <v/>
      </c>
      <c r="W152">
        <f>IF(AND(ISNUMBER(R152),ISNUMBER(R154)),VLOOKUP(ABS(R152-R154),'IMP Table'!$A$2:$C$26,3)*SIGN(R152-R154),"")</f>
        <v/>
      </c>
      <c r="X152">
        <f>IF(AND(ISNUMBER(R152),ISNUMBER(R155)),VLOOKUP(ABS(R152-R155),'IMP Table'!$A$2:$C$26,3)*SIGN(R152-R155),"")</f>
        <v/>
      </c>
      <c r="Y152">
        <f>IF(AND(ISNUMBER(R152),ISNUMBER(R156)),VLOOKUP(ABS(R152-R156),'IMP Table'!$A$2:$C$26,3)*SIGN(R152-R156),"")</f>
        <v/>
      </c>
      <c r="Z152">
        <f>IF(AND(ISNUMBER(S152),ISNUMBER(S150)),VLOOKUP(ABS(S152-S150),'IMP Table'!$A$2:$C$26,3)*SIGN(S152-S150),"")</f>
        <v/>
      </c>
      <c r="AA152">
        <f>IF(AND(ISNUMBER(S152),ISNUMBER(S151)),VLOOKUP(ABS(S152-S151),'IMP Table'!$A$2:$C$26,3)*SIGN(S152-S151),"")</f>
        <v/>
      </c>
      <c r="AB152">
        <f>IF(AND(ISNUMBER(S152),ISNUMBER(S153)),VLOOKUP(ABS(S152-S153),'IMP Table'!$A$2:$C$26,3)*SIGN(S152-S153),"")</f>
        <v/>
      </c>
      <c r="AC152">
        <f>IF(AND(ISNUMBER(S152),ISNUMBER(S154)),VLOOKUP(ABS(S152-S154),'IMP Table'!$A$2:$C$26,3)*SIGN(S152-S154),"")</f>
        <v/>
      </c>
      <c r="AD152">
        <f>IF(AND(ISNUMBER(S152),ISNUMBER(S155)),VLOOKUP(ABS(S152-S155),'IMP Table'!$A$2:$C$26,3)*SIGN(S152-S155),"")</f>
        <v/>
      </c>
      <c r="AE152">
        <f>IF(AND(ISNUMBER(S152),ISNUMBER(S156)),VLOOKUP(ABS(S152-S156),'IMP Table'!$A$2:$C$26,3)*SIGN(S152-S156),"")</f>
        <v/>
      </c>
      <c r="AF152">
        <f>IF(AND(ISNUMBER(R152),ISNUMBER(R150)),IF(R152&gt;R150,1,IF(R152=R150,0.5,0)),0.5)</f>
        <v/>
      </c>
      <c r="AG152">
        <f>IF(AND(ISNUMBER(R152),ISNUMBER(R151)),IF(R152&gt;R151,1,IF(R152=R151,0.5,0)),0.5)</f>
        <v/>
      </c>
      <c r="AH152">
        <f>IF(AND(ISNUMBER(R152),ISNUMBER(R153)),IF(R152&gt;R153,1,IF(R152=R153,0.5,0)),0.5)</f>
        <v/>
      </c>
      <c r="AI152">
        <f>IF(AND(ISNUMBER(R152),ISNUMBER(R154)),IF(R152&gt;R154,1,IF(R152=R154,0.5,0)),0.5)</f>
        <v/>
      </c>
      <c r="AJ152">
        <f>IF(AND(ISNUMBER(R152),ISNUMBER(R155)),IF(R152&gt;R155,1,IF(R152=R155,0.5,0)),0.5)</f>
        <v/>
      </c>
      <c r="AK152">
        <f>IF(AND(ISNUMBER(R152),ISNUMBER(R156)),IF(R152&gt;R156,1,IF(R152=R156,0.5,0)),0.5)</f>
        <v/>
      </c>
      <c r="AL152">
        <f>IF(AND(ISNUMBER(S152),ISNUMBER(S150)),IF(S152&gt;S150,1,IF(S152=S150,0.5,0)),0.5)</f>
        <v/>
      </c>
      <c r="AM152">
        <f>IF(AND(ISNUMBER(S152),ISNUMBER(S151)),IF(S152&gt;S151,1,IF(S152=S151,0.5,0)),0.5)</f>
        <v/>
      </c>
      <c r="AN152">
        <f>IF(AND(ISNUMBER(S152),ISNUMBER(S153)),IF(S152&gt;S153,1,IF(S152=S153,0.5,0)),0.5)</f>
        <v/>
      </c>
      <c r="AO152">
        <f>IF(AND(ISNUMBER(S152),ISNUMBER(S154)),IF(S152&gt;S154,1,IF(S152=S154,0.5,0)),0.5)</f>
        <v/>
      </c>
      <c r="AP152">
        <f>IF(AND(ISNUMBER(S152),ISNUMBER(S155)),IF(S152&gt;S155,1,IF(S152=S155,0.5,0)),0.5)</f>
        <v/>
      </c>
      <c r="AQ152">
        <f>IF(AND(ISNUMBER(S152),ISNUMBER(S156)),IF(S152&gt;S156,1,IF(S152=S156,0.5,0)),0.5)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4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5">
        <f>IFERROR(AVERAGE(T153:Y153),"")</f>
        <v/>
      </c>
      <c r="M153" s="4">
        <f>IFERROR(AVERAGE(Z153:AE153),"")</f>
        <v/>
      </c>
      <c r="N153" s="5">
        <f>P153/6</f>
        <v/>
      </c>
      <c r="O153" s="5">
        <f>Q153/6</f>
        <v/>
      </c>
      <c r="P153" s="4">
        <f>IFERROR(SUM(AF153:AK153),"")</f>
        <v/>
      </c>
      <c r="Q153" s="4">
        <f>IFERROR(SUM(AL153:AQ153),"")</f>
        <v/>
      </c>
      <c r="R153" s="16">
        <f>IF(ISNUMBER(J153),J153,IF(ISNUMBER(K153),-K153,""))</f>
        <v/>
      </c>
      <c r="S153">
        <f>IF(ISNUMBER(K153),K153,IF(ISNUMBER(J153),-J153,""))</f>
        <v/>
      </c>
      <c r="T153">
        <f>IF(AND(ISNUMBER(R153),ISNUMBER(R150)),VLOOKUP(ABS(R153-R150),'IMP Table'!$A$2:$C$26,3)*SIGN(R153-R150),"")</f>
        <v/>
      </c>
      <c r="U153">
        <f>IF(AND(ISNUMBER(R153),ISNUMBER(R151)),VLOOKUP(ABS(R153-R151),'IMP Table'!$A$2:$C$26,3)*SIGN(R153-R151),"")</f>
        <v/>
      </c>
      <c r="V153">
        <f>IF(AND(ISNUMBER(R153),ISNUMBER(R152)),VLOOKUP(ABS(R153-R152),'IMP Table'!$A$2:$C$26,3)*SIGN(R153-R152),"")</f>
        <v/>
      </c>
      <c r="W153">
        <f>IF(AND(ISNUMBER(R153),ISNUMBER(R154)),VLOOKUP(ABS(R153-R154),'IMP Table'!$A$2:$C$26,3)*SIGN(R153-R154),"")</f>
        <v/>
      </c>
      <c r="X153">
        <f>IF(AND(ISNUMBER(R153),ISNUMBER(R155)),VLOOKUP(ABS(R153-R155),'IMP Table'!$A$2:$C$26,3)*SIGN(R153-R155),"")</f>
        <v/>
      </c>
      <c r="Y153">
        <f>IF(AND(ISNUMBER(R153),ISNUMBER(R156)),VLOOKUP(ABS(R153-R156),'IMP Table'!$A$2:$C$26,3)*SIGN(R153-R156),"")</f>
        <v/>
      </c>
      <c r="Z153">
        <f>IF(AND(ISNUMBER(S153),ISNUMBER(S150)),VLOOKUP(ABS(S153-S150),'IMP Table'!$A$2:$C$26,3)*SIGN(S153-S150),"")</f>
        <v/>
      </c>
      <c r="AA153">
        <f>IF(AND(ISNUMBER(S153),ISNUMBER(S151)),VLOOKUP(ABS(S153-S151),'IMP Table'!$A$2:$C$26,3)*SIGN(S153-S151),"")</f>
        <v/>
      </c>
      <c r="AB153">
        <f>IF(AND(ISNUMBER(S153),ISNUMBER(S152)),VLOOKUP(ABS(S153-S152),'IMP Table'!$A$2:$C$26,3)*SIGN(S153-S152),"")</f>
        <v/>
      </c>
      <c r="AC153">
        <f>IF(AND(ISNUMBER(S153),ISNUMBER(S154)),VLOOKUP(ABS(S153-S154),'IMP Table'!$A$2:$C$26,3)*SIGN(S153-S154),"")</f>
        <v/>
      </c>
      <c r="AD153">
        <f>IF(AND(ISNUMBER(S153),ISNUMBER(S155)),VLOOKUP(ABS(S153-S155),'IMP Table'!$A$2:$C$26,3)*SIGN(S153-S155),"")</f>
        <v/>
      </c>
      <c r="AE153">
        <f>IF(AND(ISNUMBER(S153),ISNUMBER(S156)),VLOOKUP(ABS(S153-S156),'IMP Table'!$A$2:$C$26,3)*SIGN(S153-S156),"")</f>
        <v/>
      </c>
      <c r="AF153">
        <f>IF(AND(ISNUMBER(R153),ISNUMBER(R150)),IF(R153&gt;R150,1,IF(R153=R150,0.5,0)),0.5)</f>
        <v/>
      </c>
      <c r="AG153">
        <f>IF(AND(ISNUMBER(R153),ISNUMBER(R151)),IF(R153&gt;R151,1,IF(R153=R151,0.5,0)),0.5)</f>
        <v/>
      </c>
      <c r="AH153">
        <f>IF(AND(ISNUMBER(R153),ISNUMBER(R152)),IF(R153&gt;R152,1,IF(R153=R152,0.5,0)),0.5)</f>
        <v/>
      </c>
      <c r="AI153">
        <f>IF(AND(ISNUMBER(R153),ISNUMBER(R154)),IF(R153&gt;R154,1,IF(R153=R154,0.5,0)),0.5)</f>
        <v/>
      </c>
      <c r="AJ153">
        <f>IF(AND(ISNUMBER(R153),ISNUMBER(R155)),IF(R153&gt;R155,1,IF(R153=R155,0.5,0)),0.5)</f>
        <v/>
      </c>
      <c r="AK153">
        <f>IF(AND(ISNUMBER(R153),ISNUMBER(R156)),IF(R153&gt;R156,1,IF(R153=R156,0.5,0)),0.5)</f>
        <v/>
      </c>
      <c r="AL153">
        <f>IF(AND(ISNUMBER(S153),ISNUMBER(S150)),IF(S153&gt;S150,1,IF(S153=S150,0.5,0)),0.5)</f>
        <v/>
      </c>
      <c r="AM153">
        <f>IF(AND(ISNUMBER(S153),ISNUMBER(S151)),IF(S153&gt;S151,1,IF(S153=S151,0.5,0)),0.5)</f>
        <v/>
      </c>
      <c r="AN153">
        <f>IF(AND(ISNUMBER(S153),ISNUMBER(S152)),IF(S153&gt;S152,1,IF(S153=S152,0.5,0)),0.5)</f>
        <v/>
      </c>
      <c r="AO153">
        <f>IF(AND(ISNUMBER(S153),ISNUMBER(S154)),IF(S153&gt;S154,1,IF(S153=S154,0.5,0)),0.5)</f>
        <v/>
      </c>
      <c r="AP153">
        <f>IF(AND(ISNUMBER(S153),ISNUMBER(S155)),IF(S153&gt;S155,1,IF(S153=S155,0.5,0)),0.5)</f>
        <v/>
      </c>
      <c r="AQ153">
        <f>IF(AND(ISNUMBER(S153),ISNUMBER(S156)),IF(S153&gt;S156,1,IF(S153=S156,0.5,0)),0.5)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4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5">
        <f>IFERROR(AVERAGE(T154:Y154),"")</f>
        <v/>
      </c>
      <c r="M154" s="4">
        <f>IFERROR(AVERAGE(Z154:AE154),"")</f>
        <v/>
      </c>
      <c r="N154" s="5">
        <f>P154/6</f>
        <v/>
      </c>
      <c r="O154" s="5">
        <f>Q154/6</f>
        <v/>
      </c>
      <c r="P154" s="4">
        <f>IFERROR(SUM(AF154:AK154),"")</f>
        <v/>
      </c>
      <c r="Q154" s="4">
        <f>IFERROR(SUM(AL154:AQ154),"")</f>
        <v/>
      </c>
      <c r="R154" s="16">
        <f>IF(ISNUMBER(J154),J154,IF(ISNUMBER(K154),-K154,""))</f>
        <v/>
      </c>
      <c r="S154">
        <f>IF(ISNUMBER(K154),K154,IF(ISNUMBER(J154),-J154,""))</f>
        <v/>
      </c>
      <c r="T154">
        <f>IF(AND(ISNUMBER(R154),ISNUMBER(R150)),VLOOKUP(ABS(R154-R150),'IMP Table'!$A$2:$C$26,3)*SIGN(R154-R150),"")</f>
        <v/>
      </c>
      <c r="U154">
        <f>IF(AND(ISNUMBER(R154),ISNUMBER(R151)),VLOOKUP(ABS(R154-R151),'IMP Table'!$A$2:$C$26,3)*SIGN(R154-R151),"")</f>
        <v/>
      </c>
      <c r="V154">
        <f>IF(AND(ISNUMBER(R154),ISNUMBER(R152)),VLOOKUP(ABS(R154-R152),'IMP Table'!$A$2:$C$26,3)*SIGN(R154-R152),"")</f>
        <v/>
      </c>
      <c r="W154">
        <f>IF(AND(ISNUMBER(R154),ISNUMBER(R153)),VLOOKUP(ABS(R154-R153),'IMP Table'!$A$2:$C$26,3)*SIGN(R154-R153),"")</f>
        <v/>
      </c>
      <c r="X154">
        <f>IF(AND(ISNUMBER(R154),ISNUMBER(R155)),VLOOKUP(ABS(R154-R155),'IMP Table'!$A$2:$C$26,3)*SIGN(R154-R155),"")</f>
        <v/>
      </c>
      <c r="Y154">
        <f>IF(AND(ISNUMBER(R154),ISNUMBER(R156)),VLOOKUP(ABS(R154-R156),'IMP Table'!$A$2:$C$26,3)*SIGN(R154-R156),"")</f>
        <v/>
      </c>
      <c r="Z154">
        <f>IF(AND(ISNUMBER(S154),ISNUMBER(S150)),VLOOKUP(ABS(S154-S150),'IMP Table'!$A$2:$C$26,3)*SIGN(S154-S150),"")</f>
        <v/>
      </c>
      <c r="AA154">
        <f>IF(AND(ISNUMBER(S154),ISNUMBER(S151)),VLOOKUP(ABS(S154-S151),'IMP Table'!$A$2:$C$26,3)*SIGN(S154-S151),"")</f>
        <v/>
      </c>
      <c r="AB154">
        <f>IF(AND(ISNUMBER(S154),ISNUMBER(S152)),VLOOKUP(ABS(S154-S152),'IMP Table'!$A$2:$C$26,3)*SIGN(S154-S152),"")</f>
        <v/>
      </c>
      <c r="AC154">
        <f>IF(AND(ISNUMBER(S154),ISNUMBER(S153)),VLOOKUP(ABS(S154-S153),'IMP Table'!$A$2:$C$26,3)*SIGN(S154-S153),"")</f>
        <v/>
      </c>
      <c r="AD154">
        <f>IF(AND(ISNUMBER(S154),ISNUMBER(S155)),VLOOKUP(ABS(S154-S155),'IMP Table'!$A$2:$C$26,3)*SIGN(S154-S155),"")</f>
        <v/>
      </c>
      <c r="AE154">
        <f>IF(AND(ISNUMBER(S154),ISNUMBER(S156)),VLOOKUP(ABS(S154-S156),'IMP Table'!$A$2:$C$26,3)*SIGN(S154-S156),"")</f>
        <v/>
      </c>
      <c r="AF154">
        <f>IF(AND(ISNUMBER(R154),ISNUMBER(R150)),IF(R154&gt;R150,1,IF(R154=R150,0.5,0)),0.5)</f>
        <v/>
      </c>
      <c r="AG154">
        <f>IF(AND(ISNUMBER(R154),ISNUMBER(R151)),IF(R154&gt;R151,1,IF(R154=R151,0.5,0)),0.5)</f>
        <v/>
      </c>
      <c r="AH154">
        <f>IF(AND(ISNUMBER(R154),ISNUMBER(R152)),IF(R154&gt;R152,1,IF(R154=R152,0.5,0)),0.5)</f>
        <v/>
      </c>
      <c r="AI154">
        <f>IF(AND(ISNUMBER(R154),ISNUMBER(R153)),IF(R154&gt;R153,1,IF(R154=R153,0.5,0)),0.5)</f>
        <v/>
      </c>
      <c r="AJ154">
        <f>IF(AND(ISNUMBER(R154),ISNUMBER(R155)),IF(R154&gt;R155,1,IF(R154=R155,0.5,0)),0.5)</f>
        <v/>
      </c>
      <c r="AK154">
        <f>IF(AND(ISNUMBER(R154),ISNUMBER(R156)),IF(R154&gt;R156,1,IF(R154=R156,0.5,0)),0.5)</f>
        <v/>
      </c>
      <c r="AL154">
        <f>IF(AND(ISNUMBER(S154),ISNUMBER(S150)),IF(S154&gt;S150,1,IF(S154=S150,0.5,0)),0.5)</f>
        <v/>
      </c>
      <c r="AM154">
        <f>IF(AND(ISNUMBER(S154),ISNUMBER(S151)),IF(S154&gt;S151,1,IF(S154=S151,0.5,0)),0.5)</f>
        <v/>
      </c>
      <c r="AN154">
        <f>IF(AND(ISNUMBER(S154),ISNUMBER(S152)),IF(S154&gt;S152,1,IF(S154=S152,0.5,0)),0.5)</f>
        <v/>
      </c>
      <c r="AO154">
        <f>IF(AND(ISNUMBER(S154),ISNUMBER(S153)),IF(S154&gt;S153,1,IF(S154=S153,0.5,0)),0.5)</f>
        <v/>
      </c>
      <c r="AP154">
        <f>IF(AND(ISNUMBER(S154),ISNUMBER(S155)),IF(S154&gt;S155,1,IF(S154=S155,0.5,0)),0.5)</f>
        <v/>
      </c>
      <c r="AQ154">
        <f>IF(AND(ISNUMBER(S154),ISNUMBER(S156)),IF(S154&gt;S156,1,IF(S154=S156,0.5,0)),0.5)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4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5">
        <f>IFERROR(AVERAGE(T155:Y155),"")</f>
        <v/>
      </c>
      <c r="M155" s="4">
        <f>IFERROR(AVERAGE(Z155:AE155),"")</f>
        <v/>
      </c>
      <c r="N155" s="5">
        <f>P155/6</f>
        <v/>
      </c>
      <c r="O155" s="5">
        <f>Q155/6</f>
        <v/>
      </c>
      <c r="P155" s="4">
        <f>IFERROR(SUM(AF155:AK155),"")</f>
        <v/>
      </c>
      <c r="Q155" s="4">
        <f>IFERROR(SUM(AL155:AQ155),"")</f>
        <v/>
      </c>
      <c r="R155" s="16">
        <f>IF(ISNUMBER(J155),J155,IF(ISNUMBER(K155),-K155,""))</f>
        <v/>
      </c>
      <c r="S155">
        <f>IF(ISNUMBER(K155),K155,IF(ISNUMBER(J155),-J155,""))</f>
        <v/>
      </c>
      <c r="T155">
        <f>IF(AND(ISNUMBER(R155),ISNUMBER(R150)),VLOOKUP(ABS(R155-R150),'IMP Table'!$A$2:$C$26,3)*SIGN(R155-R150),"")</f>
        <v/>
      </c>
      <c r="U155">
        <f>IF(AND(ISNUMBER(R155),ISNUMBER(R151)),VLOOKUP(ABS(R155-R151),'IMP Table'!$A$2:$C$26,3)*SIGN(R155-R151),"")</f>
        <v/>
      </c>
      <c r="V155">
        <f>IF(AND(ISNUMBER(R155),ISNUMBER(R152)),VLOOKUP(ABS(R155-R152),'IMP Table'!$A$2:$C$26,3)*SIGN(R155-R152),"")</f>
        <v/>
      </c>
      <c r="W155">
        <f>IF(AND(ISNUMBER(R155),ISNUMBER(R153)),VLOOKUP(ABS(R155-R153),'IMP Table'!$A$2:$C$26,3)*SIGN(R155-R153),"")</f>
        <v/>
      </c>
      <c r="X155">
        <f>IF(AND(ISNUMBER(R155),ISNUMBER(R154)),VLOOKUP(ABS(R155-R154),'IMP Table'!$A$2:$C$26,3)*SIGN(R155-R154),"")</f>
        <v/>
      </c>
      <c r="Y155">
        <f>IF(AND(ISNUMBER(R155),ISNUMBER(R156)),VLOOKUP(ABS(R155-R156),'IMP Table'!$A$2:$C$26,3)*SIGN(R155-R156),"")</f>
        <v/>
      </c>
      <c r="Z155">
        <f>IF(AND(ISNUMBER(S155),ISNUMBER(S150)),VLOOKUP(ABS(S155-S150),'IMP Table'!$A$2:$C$26,3)*SIGN(S155-S150),"")</f>
        <v/>
      </c>
      <c r="AA155">
        <f>IF(AND(ISNUMBER(S155),ISNUMBER(S151)),VLOOKUP(ABS(S155-S151),'IMP Table'!$A$2:$C$26,3)*SIGN(S155-S151),"")</f>
        <v/>
      </c>
      <c r="AB155">
        <f>IF(AND(ISNUMBER(S155),ISNUMBER(S152)),VLOOKUP(ABS(S155-S152),'IMP Table'!$A$2:$C$26,3)*SIGN(S155-S152),"")</f>
        <v/>
      </c>
      <c r="AC155">
        <f>IF(AND(ISNUMBER(S155),ISNUMBER(S153)),VLOOKUP(ABS(S155-S153),'IMP Table'!$A$2:$C$26,3)*SIGN(S155-S153),"")</f>
        <v/>
      </c>
      <c r="AD155">
        <f>IF(AND(ISNUMBER(S155),ISNUMBER(S154)),VLOOKUP(ABS(S155-S154),'IMP Table'!$A$2:$C$26,3)*SIGN(S155-S154),"")</f>
        <v/>
      </c>
      <c r="AE155">
        <f>IF(AND(ISNUMBER(S155),ISNUMBER(S156)),VLOOKUP(ABS(S155-S156),'IMP Table'!$A$2:$C$26,3)*SIGN(S155-S156),"")</f>
        <v/>
      </c>
      <c r="AF155">
        <f>IF(AND(ISNUMBER(R155),ISNUMBER(R150)),IF(R155&gt;R150,1,IF(R155=R150,0.5,0)),0.5)</f>
        <v/>
      </c>
      <c r="AG155">
        <f>IF(AND(ISNUMBER(R155),ISNUMBER(R151)),IF(R155&gt;R151,1,IF(R155=R151,0.5,0)),0.5)</f>
        <v/>
      </c>
      <c r="AH155">
        <f>IF(AND(ISNUMBER(R155),ISNUMBER(R152)),IF(R155&gt;R152,1,IF(R155=R152,0.5,0)),0.5)</f>
        <v/>
      </c>
      <c r="AI155">
        <f>IF(AND(ISNUMBER(R155),ISNUMBER(R153)),IF(R155&gt;R153,1,IF(R155=R153,0.5,0)),0.5)</f>
        <v/>
      </c>
      <c r="AJ155">
        <f>IF(AND(ISNUMBER(R155),ISNUMBER(R154)),IF(R155&gt;R154,1,IF(R155=R154,0.5,0)),0.5)</f>
        <v/>
      </c>
      <c r="AK155">
        <f>IF(AND(ISNUMBER(R155),ISNUMBER(R156)),IF(R155&gt;R156,1,IF(R155=R156,0.5,0)),0.5)</f>
        <v/>
      </c>
      <c r="AL155">
        <f>IF(AND(ISNUMBER(S155),ISNUMBER(S150)),IF(S155&gt;S150,1,IF(S155=S150,0.5,0)),0.5)</f>
        <v/>
      </c>
      <c r="AM155">
        <f>IF(AND(ISNUMBER(S155),ISNUMBER(S151)),IF(S155&gt;S151,1,IF(S155=S151,0.5,0)),0.5)</f>
        <v/>
      </c>
      <c r="AN155">
        <f>IF(AND(ISNUMBER(S155),ISNUMBER(S152)),IF(S155&gt;S152,1,IF(S155=S152,0.5,0)),0.5)</f>
        <v/>
      </c>
      <c r="AO155">
        <f>IF(AND(ISNUMBER(S155),ISNUMBER(S153)),IF(S155&gt;S153,1,IF(S155=S153,0.5,0)),0.5)</f>
        <v/>
      </c>
      <c r="AP155">
        <f>IF(AND(ISNUMBER(S155),ISNUMBER(S154)),IF(S155&gt;S154,1,IF(S155=S154,0.5,0)),0.5)</f>
        <v/>
      </c>
      <c r="AQ155">
        <f>IF(AND(ISNUMBER(S155),ISNUMBER(S156)),IF(S155&gt;S156,1,IF(S155=S156,0.5,0)),0.5)</f>
        <v/>
      </c>
    </row>
    <row r="156">
      <c r="A156" s="13" t="n"/>
      <c r="B156" s="13">
        <f>'By Round'!A171</f>
        <v/>
      </c>
      <c r="C156" s="13">
        <f>'By Round'!B183</f>
        <v/>
      </c>
      <c r="D156" s="13">
        <f>'By Round'!C183</f>
        <v/>
      </c>
      <c r="E156" s="13">
        <f>'By Round'!D183</f>
        <v/>
      </c>
      <c r="F156" s="17" t="inlineStr">
        <is>
          <t>EW</t>
        </is>
      </c>
      <c r="G156" s="13">
        <f>IF(ISBLANK('By Round'!G183),"",'By Round'!G183)</f>
        <v/>
      </c>
      <c r="H156" s="13">
        <f>IF(ISBLANK('By Round'!H183),"",'By Round'!H183)</f>
        <v/>
      </c>
      <c r="I156" s="13">
        <f>IF(ISBLANK('By Round'!I183),"",'By Round'!I183)</f>
        <v/>
      </c>
      <c r="J156" s="13">
        <f>IF(ISBLANK('By Round'!J183),"",'By Round'!J183)</f>
        <v/>
      </c>
      <c r="K156" s="13">
        <f>IF(ISBLANK('By Round'!K183),"",'By Round'!K183)</f>
        <v/>
      </c>
      <c r="L156" s="18">
        <f>IFERROR(AVERAGE(T156:Y156),"")</f>
        <v/>
      </c>
      <c r="M156" s="19">
        <f>IFERROR(AVERAGE(Z156:AE156),"")</f>
        <v/>
      </c>
      <c r="N156" s="20">
        <f>P156/6</f>
        <v/>
      </c>
      <c r="O156" s="20">
        <f>Q156/6</f>
        <v/>
      </c>
      <c r="P156" s="19">
        <f>IFERROR(SUM(AF156:AK156),"")</f>
        <v/>
      </c>
      <c r="Q156" s="19">
        <f>IFERROR(SUM(AL156:AQ156),"")</f>
        <v/>
      </c>
      <c r="R156" s="21">
        <f>IF(ISNUMBER(J156),J156,IF(ISNUMBER(K156),-K156,""))</f>
        <v/>
      </c>
      <c r="S156" s="13">
        <f>IF(ISNUMBER(K156),K156,IF(ISNUMBER(J156),-J156,""))</f>
        <v/>
      </c>
      <c r="T156" s="13">
        <f>IF(AND(ISNUMBER(R156),ISNUMBER(R150)),VLOOKUP(ABS(R156-R150),'IMP Table'!$A$2:$C$26,3)*SIGN(R156-R150),"")</f>
        <v/>
      </c>
      <c r="U156" s="13">
        <f>IF(AND(ISNUMBER(R156),ISNUMBER(R151)),VLOOKUP(ABS(R156-R151),'IMP Table'!$A$2:$C$26,3)*SIGN(R156-R151),"")</f>
        <v/>
      </c>
      <c r="V156" s="13">
        <f>IF(AND(ISNUMBER(R156),ISNUMBER(R152)),VLOOKUP(ABS(R156-R152),'IMP Table'!$A$2:$C$26,3)*SIGN(R156-R152),"")</f>
        <v/>
      </c>
      <c r="W156" s="13">
        <f>IF(AND(ISNUMBER(R156),ISNUMBER(R153)),VLOOKUP(ABS(R156-R153),'IMP Table'!$A$2:$C$26,3)*SIGN(R156-R153),"")</f>
        <v/>
      </c>
      <c r="X156" s="13">
        <f>IF(AND(ISNUMBER(R156),ISNUMBER(R154)),VLOOKUP(ABS(R156-R154),'IMP Table'!$A$2:$C$26,3)*SIGN(R156-R154),"")</f>
        <v/>
      </c>
      <c r="Y156" s="13">
        <f>IF(AND(ISNUMBER(R156),ISNUMBER(R155)),VLOOKUP(ABS(R156-R155),'IMP Table'!$A$2:$C$26,3)*SIGN(R156-R155),"")</f>
        <v/>
      </c>
      <c r="Z156" s="13">
        <f>IF(AND(ISNUMBER(S156),ISNUMBER(S150)),VLOOKUP(ABS(S156-S150),'IMP Table'!$A$2:$C$26,3)*SIGN(S156-S150),"")</f>
        <v/>
      </c>
      <c r="AA156" s="13">
        <f>IF(AND(ISNUMBER(S156),ISNUMBER(S151)),VLOOKUP(ABS(S156-S151),'IMP Table'!$A$2:$C$26,3)*SIGN(S156-S151),"")</f>
        <v/>
      </c>
      <c r="AB156" s="13">
        <f>IF(AND(ISNUMBER(S156),ISNUMBER(S152)),VLOOKUP(ABS(S156-S152),'IMP Table'!$A$2:$C$26,3)*SIGN(S156-S152),"")</f>
        <v/>
      </c>
      <c r="AC156" s="13">
        <f>IF(AND(ISNUMBER(S156),ISNUMBER(S153)),VLOOKUP(ABS(S156-S153),'IMP Table'!$A$2:$C$26,3)*SIGN(S156-S153),"")</f>
        <v/>
      </c>
      <c r="AD156" s="13">
        <f>IF(AND(ISNUMBER(S156),ISNUMBER(S154)),VLOOKUP(ABS(S156-S154),'IMP Table'!$A$2:$C$26,3)*SIGN(S156-S154),"")</f>
        <v/>
      </c>
      <c r="AE156" s="13">
        <f>IF(AND(ISNUMBER(S156),ISNUMBER(S155)),VLOOKUP(ABS(S156-S155),'IMP Table'!$A$2:$C$26,3)*SIGN(S156-S155),"")</f>
        <v/>
      </c>
      <c r="AF156" s="13">
        <f>IF(AND(ISNUMBER(R156),ISNUMBER(R150)),IF(R156&gt;R150,1,IF(R156=R150,0.5,0)),0.5)</f>
        <v/>
      </c>
      <c r="AG156" s="13">
        <f>IF(AND(ISNUMBER(R156),ISNUMBER(R151)),IF(R156&gt;R151,1,IF(R156=R151,0.5,0)),0.5)</f>
        <v/>
      </c>
      <c r="AH156" s="13">
        <f>IF(AND(ISNUMBER(R156),ISNUMBER(R152)),IF(R156&gt;R152,1,IF(R156=R152,0.5,0)),0.5)</f>
        <v/>
      </c>
      <c r="AI156" s="13">
        <f>IF(AND(ISNUMBER(R156),ISNUMBER(R153)),IF(R156&gt;R153,1,IF(R156=R153,0.5,0)),0.5)</f>
        <v/>
      </c>
      <c r="AJ156" s="13">
        <f>IF(AND(ISNUMBER(R156),ISNUMBER(R154)),IF(R156&gt;R154,1,IF(R156=R154,0.5,0)),0.5)</f>
        <v/>
      </c>
      <c r="AK156" s="13">
        <f>IF(AND(ISNUMBER(R156),ISNUMBER(R155)),IF(R156&gt;R155,1,IF(R156=R155,0.5,0)),0.5)</f>
        <v/>
      </c>
      <c r="AL156" s="13">
        <f>IF(AND(ISNUMBER(S156),ISNUMBER(S150)),IF(S156&gt;S150,1,IF(S156=S150,0.5,0)),0.5)</f>
        <v/>
      </c>
      <c r="AM156" s="13">
        <f>IF(AND(ISNUMBER(S156),ISNUMBER(S151)),IF(S156&gt;S151,1,IF(S156=S151,0.5,0)),0.5)</f>
        <v/>
      </c>
      <c r="AN156" s="13">
        <f>IF(AND(ISNUMBER(S156),ISNUMBER(S152)),IF(S156&gt;S152,1,IF(S156=S152,0.5,0)),0.5)</f>
        <v/>
      </c>
      <c r="AO156" s="13">
        <f>IF(AND(ISNUMBER(S156),ISNUMBER(S153)),IF(S156&gt;S153,1,IF(S156=S153,0.5,0)),0.5)</f>
        <v/>
      </c>
      <c r="AP156" s="13">
        <f>IF(AND(ISNUMBER(S156),ISNUMBER(S154)),IF(S156&gt;S154,1,IF(S156=S154,0.5,0)),0.5)</f>
        <v/>
      </c>
      <c r="AQ156" s="13">
        <f>IF(AND(ISNUMBER(S156),ISNUMBER(S155)),IF(S156&gt;S155,1,IF(S156=S155,0.5,0)),0.5)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4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5">
        <f>IFERROR(AVERAGE(T157:Y157),"")</f>
        <v/>
      </c>
      <c r="M157" s="4">
        <f>IFERROR(AVERAGE(Z157:AE157),"")</f>
        <v/>
      </c>
      <c r="N157" s="5">
        <f>P157/6</f>
        <v/>
      </c>
      <c r="O157" s="5">
        <f>Q157/6</f>
        <v/>
      </c>
      <c r="P157" s="4">
        <f>IFERROR(SUM(AF157:AK157),"")</f>
        <v/>
      </c>
      <c r="Q157" s="4">
        <f>IFERROR(SUM(AL157:AQ157),"")</f>
        <v/>
      </c>
      <c r="R157" s="16">
        <f>IF(ISNUMBER(J157),J157,IF(ISNUMBER(K157),-K157,""))</f>
        <v/>
      </c>
      <c r="S157">
        <f>IF(ISNUMBER(K157),K157,IF(ISNUMBER(J157),-J157,""))</f>
        <v/>
      </c>
      <c r="T157">
        <f>IF(AND(ISNUMBER(R157),ISNUMBER(R158)),VLOOKUP(ABS(R157-R158),'IMP Table'!$A$2:$C$26,3)*SIGN(R157-R158),"")</f>
        <v/>
      </c>
      <c r="U157">
        <f>IF(AND(ISNUMBER(R157),ISNUMBER(R159)),VLOOKUP(ABS(R157-R159),'IMP Table'!$A$2:$C$26,3)*SIGN(R157-R159),"")</f>
        <v/>
      </c>
      <c r="V157">
        <f>IF(AND(ISNUMBER(R157),ISNUMBER(R160)),VLOOKUP(ABS(R157-R160),'IMP Table'!$A$2:$C$26,3)*SIGN(R157-R160),"")</f>
        <v/>
      </c>
      <c r="W157">
        <f>IF(AND(ISNUMBER(R157),ISNUMBER(R161)),VLOOKUP(ABS(R157-R161),'IMP Table'!$A$2:$C$26,3)*SIGN(R157-R161),"")</f>
        <v/>
      </c>
      <c r="X157">
        <f>IF(AND(ISNUMBER(R157),ISNUMBER(R162)),VLOOKUP(ABS(R157-R162),'IMP Table'!$A$2:$C$26,3)*SIGN(R157-R162),"")</f>
        <v/>
      </c>
      <c r="Y157">
        <f>IF(AND(ISNUMBER(R157),ISNUMBER(R163)),VLOOKUP(ABS(R157-R163),'IMP Table'!$A$2:$C$26,3)*SIGN(R157-R163),"")</f>
        <v/>
      </c>
      <c r="Z157">
        <f>IF(AND(ISNUMBER(S157),ISNUMBER(S158)),VLOOKUP(ABS(S157-S158),'IMP Table'!$A$2:$C$26,3)*SIGN(S157-S158),"")</f>
        <v/>
      </c>
      <c r="AA157">
        <f>IF(AND(ISNUMBER(S157),ISNUMBER(S159)),VLOOKUP(ABS(S157-S159),'IMP Table'!$A$2:$C$26,3)*SIGN(S157-S159),"")</f>
        <v/>
      </c>
      <c r="AB157">
        <f>IF(AND(ISNUMBER(S157),ISNUMBER(S160)),VLOOKUP(ABS(S157-S160),'IMP Table'!$A$2:$C$26,3)*SIGN(S157-S160),"")</f>
        <v/>
      </c>
      <c r="AC157">
        <f>IF(AND(ISNUMBER(S157),ISNUMBER(S161)),VLOOKUP(ABS(S157-S161),'IMP Table'!$A$2:$C$26,3)*SIGN(S157-S161),"")</f>
        <v/>
      </c>
      <c r="AD157">
        <f>IF(AND(ISNUMBER(S157),ISNUMBER(S162)),VLOOKUP(ABS(S157-S162),'IMP Table'!$A$2:$C$26,3)*SIGN(S157-S162),"")</f>
        <v/>
      </c>
      <c r="AE157">
        <f>IF(AND(ISNUMBER(S157),ISNUMBER(S163)),VLOOKUP(ABS(S157-S163),'IMP Table'!$A$2:$C$26,3)*SIGN(S157-S163),"")</f>
        <v/>
      </c>
      <c r="AF157">
        <f>IF(AND(ISNUMBER(R157),ISNUMBER(R158)),IF(R157&gt;R158,1,IF(R157=R158,0.5,0)),0.5)</f>
        <v/>
      </c>
      <c r="AG157">
        <f>IF(AND(ISNUMBER(R157),ISNUMBER(R159)),IF(R157&gt;R159,1,IF(R157=R159,0.5,0)),0.5)</f>
        <v/>
      </c>
      <c r="AH157">
        <f>IF(AND(ISNUMBER(R157),ISNUMBER(R160)),IF(R157&gt;R160,1,IF(R157=R160,0.5,0)),0.5)</f>
        <v/>
      </c>
      <c r="AI157">
        <f>IF(AND(ISNUMBER(R157),ISNUMBER(R161)),IF(R157&gt;R161,1,IF(R157=R161,0.5,0)),0.5)</f>
        <v/>
      </c>
      <c r="AJ157">
        <f>IF(AND(ISNUMBER(R157),ISNUMBER(R162)),IF(R157&gt;R162,1,IF(R157=R162,0.5,0)),0.5)</f>
        <v/>
      </c>
      <c r="AK157">
        <f>IF(AND(ISNUMBER(R157),ISNUMBER(R163)),IF(R157&gt;R163,1,IF(R157=R163,0.5,0)),0.5)</f>
        <v/>
      </c>
      <c r="AL157">
        <f>IF(AND(ISNUMBER(S157),ISNUMBER(S158)),IF(S157&gt;S158,1,IF(S157=S158,0.5,0)),0.5)</f>
        <v/>
      </c>
      <c r="AM157">
        <f>IF(AND(ISNUMBER(S157),ISNUMBER(S159)),IF(S157&gt;S159,1,IF(S157=S159,0.5,0)),0.5)</f>
        <v/>
      </c>
      <c r="AN157">
        <f>IF(AND(ISNUMBER(S157),ISNUMBER(S160)),IF(S157&gt;S160,1,IF(S157=S160,0.5,0)),0.5)</f>
        <v/>
      </c>
      <c r="AO157">
        <f>IF(AND(ISNUMBER(S157),ISNUMBER(S161)),IF(S157&gt;S161,1,IF(S157=S161,0.5,0)),0.5)</f>
        <v/>
      </c>
      <c r="AP157">
        <f>IF(AND(ISNUMBER(S157),ISNUMBER(S162)),IF(S157&gt;S162,1,IF(S157=S162,0.5,0)),0.5)</f>
        <v/>
      </c>
      <c r="AQ157">
        <f>IF(AND(ISNUMBER(S157),ISNUMBER(S163)),IF(S157&gt;S163,1,IF(S157=S163,0.5,0)),0.5)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4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5">
        <f>IFERROR(AVERAGE(T158:Y158),"")</f>
        <v/>
      </c>
      <c r="M158" s="4">
        <f>IFERROR(AVERAGE(Z158:AE158),"")</f>
        <v/>
      </c>
      <c r="N158" s="5">
        <f>P158/6</f>
        <v/>
      </c>
      <c r="O158" s="5">
        <f>Q158/6</f>
        <v/>
      </c>
      <c r="P158" s="4">
        <f>IFERROR(SUM(AF158:AK158),"")</f>
        <v/>
      </c>
      <c r="Q158" s="4">
        <f>IFERROR(SUM(AL158:AQ158),"")</f>
        <v/>
      </c>
      <c r="R158" s="16">
        <f>IF(ISNUMBER(J158),J158,IF(ISNUMBER(K158),-K158,""))</f>
        <v/>
      </c>
      <c r="S158">
        <f>IF(ISNUMBER(K158),K158,IF(ISNUMBER(J158),-J158,""))</f>
        <v/>
      </c>
      <c r="T158">
        <f>IF(AND(ISNUMBER(R158),ISNUMBER(R157)),VLOOKUP(ABS(R158-R157),'IMP Table'!$A$2:$C$26,3)*SIGN(R158-R157),"")</f>
        <v/>
      </c>
      <c r="U158">
        <f>IF(AND(ISNUMBER(R158),ISNUMBER(R159)),VLOOKUP(ABS(R158-R159),'IMP Table'!$A$2:$C$26,3)*SIGN(R158-R159),"")</f>
        <v/>
      </c>
      <c r="V158">
        <f>IF(AND(ISNUMBER(R158),ISNUMBER(R160)),VLOOKUP(ABS(R158-R160),'IMP Table'!$A$2:$C$26,3)*SIGN(R158-R160),"")</f>
        <v/>
      </c>
      <c r="W158">
        <f>IF(AND(ISNUMBER(R158),ISNUMBER(R161)),VLOOKUP(ABS(R158-R161),'IMP Table'!$A$2:$C$26,3)*SIGN(R158-R161),"")</f>
        <v/>
      </c>
      <c r="X158">
        <f>IF(AND(ISNUMBER(R158),ISNUMBER(R162)),VLOOKUP(ABS(R158-R162),'IMP Table'!$A$2:$C$26,3)*SIGN(R158-R162),"")</f>
        <v/>
      </c>
      <c r="Y158">
        <f>IF(AND(ISNUMBER(R158),ISNUMBER(R163)),VLOOKUP(ABS(R158-R163),'IMP Table'!$A$2:$C$26,3)*SIGN(R158-R163),"")</f>
        <v/>
      </c>
      <c r="Z158">
        <f>IF(AND(ISNUMBER(S158),ISNUMBER(S157)),VLOOKUP(ABS(S158-S157),'IMP Table'!$A$2:$C$26,3)*SIGN(S158-S157),"")</f>
        <v/>
      </c>
      <c r="AA158">
        <f>IF(AND(ISNUMBER(S158),ISNUMBER(S159)),VLOOKUP(ABS(S158-S159),'IMP Table'!$A$2:$C$26,3)*SIGN(S158-S159),"")</f>
        <v/>
      </c>
      <c r="AB158">
        <f>IF(AND(ISNUMBER(S158),ISNUMBER(S160)),VLOOKUP(ABS(S158-S160),'IMP Table'!$A$2:$C$26,3)*SIGN(S158-S160),"")</f>
        <v/>
      </c>
      <c r="AC158">
        <f>IF(AND(ISNUMBER(S158),ISNUMBER(S161)),VLOOKUP(ABS(S158-S161),'IMP Table'!$A$2:$C$26,3)*SIGN(S158-S161),"")</f>
        <v/>
      </c>
      <c r="AD158">
        <f>IF(AND(ISNUMBER(S158),ISNUMBER(S162)),VLOOKUP(ABS(S158-S162),'IMP Table'!$A$2:$C$26,3)*SIGN(S158-S162),"")</f>
        <v/>
      </c>
      <c r="AE158">
        <f>IF(AND(ISNUMBER(S158),ISNUMBER(S163)),VLOOKUP(ABS(S158-S163),'IMP Table'!$A$2:$C$26,3)*SIGN(S158-S163),"")</f>
        <v/>
      </c>
      <c r="AF158">
        <f>IF(AND(ISNUMBER(R158),ISNUMBER(R157)),IF(R158&gt;R157,1,IF(R158=R157,0.5,0)),0.5)</f>
        <v/>
      </c>
      <c r="AG158">
        <f>IF(AND(ISNUMBER(R158),ISNUMBER(R159)),IF(R158&gt;R159,1,IF(R158=R159,0.5,0)),0.5)</f>
        <v/>
      </c>
      <c r="AH158">
        <f>IF(AND(ISNUMBER(R158),ISNUMBER(R160)),IF(R158&gt;R160,1,IF(R158=R160,0.5,0)),0.5)</f>
        <v/>
      </c>
      <c r="AI158">
        <f>IF(AND(ISNUMBER(R158),ISNUMBER(R161)),IF(R158&gt;R161,1,IF(R158=R161,0.5,0)),0.5)</f>
        <v/>
      </c>
      <c r="AJ158">
        <f>IF(AND(ISNUMBER(R158),ISNUMBER(R162)),IF(R158&gt;R162,1,IF(R158=R162,0.5,0)),0.5)</f>
        <v/>
      </c>
      <c r="AK158">
        <f>IF(AND(ISNUMBER(R158),ISNUMBER(R163)),IF(R158&gt;R163,1,IF(R158=R163,0.5,0)),0.5)</f>
        <v/>
      </c>
      <c r="AL158">
        <f>IF(AND(ISNUMBER(S158),ISNUMBER(S157)),IF(S158&gt;S157,1,IF(S158=S157,0.5,0)),0.5)</f>
        <v/>
      </c>
      <c r="AM158">
        <f>IF(AND(ISNUMBER(S158),ISNUMBER(S159)),IF(S158&gt;S159,1,IF(S158=S159,0.5,0)),0.5)</f>
        <v/>
      </c>
      <c r="AN158">
        <f>IF(AND(ISNUMBER(S158),ISNUMBER(S160)),IF(S158&gt;S160,1,IF(S158=S160,0.5,0)),0.5)</f>
        <v/>
      </c>
      <c r="AO158">
        <f>IF(AND(ISNUMBER(S158),ISNUMBER(S161)),IF(S158&gt;S161,1,IF(S158=S161,0.5,0)),0.5)</f>
        <v/>
      </c>
      <c r="AP158">
        <f>IF(AND(ISNUMBER(S158),ISNUMBER(S162)),IF(S158&gt;S162,1,IF(S158=S162,0.5,0)),0.5)</f>
        <v/>
      </c>
      <c r="AQ158">
        <f>IF(AND(ISNUMBER(S158),ISNUMBER(S163)),IF(S158&gt;S163,1,IF(S158=S163,0.5,0)),0.5)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4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5">
        <f>IFERROR(AVERAGE(T159:Y159),"")</f>
        <v/>
      </c>
      <c r="M159" s="4">
        <f>IFERROR(AVERAGE(Z159:AE159),"")</f>
        <v/>
      </c>
      <c r="N159" s="5">
        <f>P159/6</f>
        <v/>
      </c>
      <c r="O159" s="5">
        <f>Q159/6</f>
        <v/>
      </c>
      <c r="P159" s="4">
        <f>IFERROR(SUM(AF159:AK159),"")</f>
        <v/>
      </c>
      <c r="Q159" s="4">
        <f>IFERROR(SUM(AL159:AQ159),"")</f>
        <v/>
      </c>
      <c r="R159" s="16">
        <f>IF(ISNUMBER(J159),J159,IF(ISNUMBER(K159),-K159,""))</f>
        <v/>
      </c>
      <c r="S159">
        <f>IF(ISNUMBER(K159),K159,IF(ISNUMBER(J159),-J159,""))</f>
        <v/>
      </c>
      <c r="T159">
        <f>IF(AND(ISNUMBER(R159),ISNUMBER(R157)),VLOOKUP(ABS(R159-R157),'IMP Table'!$A$2:$C$26,3)*SIGN(R159-R157),"")</f>
        <v/>
      </c>
      <c r="U159">
        <f>IF(AND(ISNUMBER(R159),ISNUMBER(R158)),VLOOKUP(ABS(R159-R158),'IMP Table'!$A$2:$C$26,3)*SIGN(R159-R158),"")</f>
        <v/>
      </c>
      <c r="V159">
        <f>IF(AND(ISNUMBER(R159),ISNUMBER(R160)),VLOOKUP(ABS(R159-R160),'IMP Table'!$A$2:$C$26,3)*SIGN(R159-R160),"")</f>
        <v/>
      </c>
      <c r="W159">
        <f>IF(AND(ISNUMBER(R159),ISNUMBER(R161)),VLOOKUP(ABS(R159-R161),'IMP Table'!$A$2:$C$26,3)*SIGN(R159-R161),"")</f>
        <v/>
      </c>
      <c r="X159">
        <f>IF(AND(ISNUMBER(R159),ISNUMBER(R162)),VLOOKUP(ABS(R159-R162),'IMP Table'!$A$2:$C$26,3)*SIGN(R159-R162),"")</f>
        <v/>
      </c>
      <c r="Y159">
        <f>IF(AND(ISNUMBER(R159),ISNUMBER(R163)),VLOOKUP(ABS(R159-R163),'IMP Table'!$A$2:$C$26,3)*SIGN(R159-R163),"")</f>
        <v/>
      </c>
      <c r="Z159">
        <f>IF(AND(ISNUMBER(S159),ISNUMBER(S157)),VLOOKUP(ABS(S159-S157),'IMP Table'!$A$2:$C$26,3)*SIGN(S159-S157),"")</f>
        <v/>
      </c>
      <c r="AA159">
        <f>IF(AND(ISNUMBER(S159),ISNUMBER(S158)),VLOOKUP(ABS(S159-S158),'IMP Table'!$A$2:$C$26,3)*SIGN(S159-S158),"")</f>
        <v/>
      </c>
      <c r="AB159">
        <f>IF(AND(ISNUMBER(S159),ISNUMBER(S160)),VLOOKUP(ABS(S159-S160),'IMP Table'!$A$2:$C$26,3)*SIGN(S159-S160),"")</f>
        <v/>
      </c>
      <c r="AC159">
        <f>IF(AND(ISNUMBER(S159),ISNUMBER(S161)),VLOOKUP(ABS(S159-S161),'IMP Table'!$A$2:$C$26,3)*SIGN(S159-S161),"")</f>
        <v/>
      </c>
      <c r="AD159">
        <f>IF(AND(ISNUMBER(S159),ISNUMBER(S162)),VLOOKUP(ABS(S159-S162),'IMP Table'!$A$2:$C$26,3)*SIGN(S159-S162),"")</f>
        <v/>
      </c>
      <c r="AE159">
        <f>IF(AND(ISNUMBER(S159),ISNUMBER(S163)),VLOOKUP(ABS(S159-S163),'IMP Table'!$A$2:$C$26,3)*SIGN(S159-S163),"")</f>
        <v/>
      </c>
      <c r="AF159">
        <f>IF(AND(ISNUMBER(R159),ISNUMBER(R157)),IF(R159&gt;R157,1,IF(R159=R157,0.5,0)),0.5)</f>
        <v/>
      </c>
      <c r="AG159">
        <f>IF(AND(ISNUMBER(R159),ISNUMBER(R158)),IF(R159&gt;R158,1,IF(R159=R158,0.5,0)),0.5)</f>
        <v/>
      </c>
      <c r="AH159">
        <f>IF(AND(ISNUMBER(R159),ISNUMBER(R160)),IF(R159&gt;R160,1,IF(R159=R160,0.5,0)),0.5)</f>
        <v/>
      </c>
      <c r="AI159">
        <f>IF(AND(ISNUMBER(R159),ISNUMBER(R161)),IF(R159&gt;R161,1,IF(R159=R161,0.5,0)),0.5)</f>
        <v/>
      </c>
      <c r="AJ159">
        <f>IF(AND(ISNUMBER(R159),ISNUMBER(R162)),IF(R159&gt;R162,1,IF(R159=R162,0.5,0)),0.5)</f>
        <v/>
      </c>
      <c r="AK159">
        <f>IF(AND(ISNUMBER(R159),ISNUMBER(R163)),IF(R159&gt;R163,1,IF(R159=R163,0.5,0)),0.5)</f>
        <v/>
      </c>
      <c r="AL159">
        <f>IF(AND(ISNUMBER(S159),ISNUMBER(S157)),IF(S159&gt;S157,1,IF(S159=S157,0.5,0)),0.5)</f>
        <v/>
      </c>
      <c r="AM159">
        <f>IF(AND(ISNUMBER(S159),ISNUMBER(S158)),IF(S159&gt;S158,1,IF(S159=S158,0.5,0)),0.5)</f>
        <v/>
      </c>
      <c r="AN159">
        <f>IF(AND(ISNUMBER(S159),ISNUMBER(S160)),IF(S159&gt;S160,1,IF(S159=S160,0.5,0)),0.5)</f>
        <v/>
      </c>
      <c r="AO159">
        <f>IF(AND(ISNUMBER(S159),ISNUMBER(S161)),IF(S159&gt;S161,1,IF(S159=S161,0.5,0)),0.5)</f>
        <v/>
      </c>
      <c r="AP159">
        <f>IF(AND(ISNUMBER(S159),ISNUMBER(S162)),IF(S159&gt;S162,1,IF(S159=S162,0.5,0)),0.5)</f>
        <v/>
      </c>
      <c r="AQ159">
        <f>IF(AND(ISNUMBER(S159),ISNUMBER(S163)),IF(S159&gt;S163,1,IF(S159=S163,0.5,0)),0.5)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4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5">
        <f>IFERROR(AVERAGE(T160:Y160),"")</f>
        <v/>
      </c>
      <c r="M160" s="4">
        <f>IFERROR(AVERAGE(Z160:AE160),"")</f>
        <v/>
      </c>
      <c r="N160" s="5">
        <f>P160/6</f>
        <v/>
      </c>
      <c r="O160" s="5">
        <f>Q160/6</f>
        <v/>
      </c>
      <c r="P160" s="4">
        <f>IFERROR(SUM(AF160:AK160),"")</f>
        <v/>
      </c>
      <c r="Q160" s="4">
        <f>IFERROR(SUM(AL160:AQ160),"")</f>
        <v/>
      </c>
      <c r="R160" s="16">
        <f>IF(ISNUMBER(J160),J160,IF(ISNUMBER(K160),-K160,""))</f>
        <v/>
      </c>
      <c r="S160">
        <f>IF(ISNUMBER(K160),K160,IF(ISNUMBER(J160),-J160,""))</f>
        <v/>
      </c>
      <c r="T160">
        <f>IF(AND(ISNUMBER(R160),ISNUMBER(R157)),VLOOKUP(ABS(R160-R157),'IMP Table'!$A$2:$C$26,3)*SIGN(R160-R157),"")</f>
        <v/>
      </c>
      <c r="U160">
        <f>IF(AND(ISNUMBER(R160),ISNUMBER(R158)),VLOOKUP(ABS(R160-R158),'IMP Table'!$A$2:$C$26,3)*SIGN(R160-R158),"")</f>
        <v/>
      </c>
      <c r="V160">
        <f>IF(AND(ISNUMBER(R160),ISNUMBER(R159)),VLOOKUP(ABS(R160-R159),'IMP Table'!$A$2:$C$26,3)*SIGN(R160-R159),"")</f>
        <v/>
      </c>
      <c r="W160">
        <f>IF(AND(ISNUMBER(R160),ISNUMBER(R161)),VLOOKUP(ABS(R160-R161),'IMP Table'!$A$2:$C$26,3)*SIGN(R160-R161),"")</f>
        <v/>
      </c>
      <c r="X160">
        <f>IF(AND(ISNUMBER(R160),ISNUMBER(R162)),VLOOKUP(ABS(R160-R162),'IMP Table'!$A$2:$C$26,3)*SIGN(R160-R162),"")</f>
        <v/>
      </c>
      <c r="Y160">
        <f>IF(AND(ISNUMBER(R160),ISNUMBER(R163)),VLOOKUP(ABS(R160-R163),'IMP Table'!$A$2:$C$26,3)*SIGN(R160-R163),"")</f>
        <v/>
      </c>
      <c r="Z160">
        <f>IF(AND(ISNUMBER(S160),ISNUMBER(S157)),VLOOKUP(ABS(S160-S157),'IMP Table'!$A$2:$C$26,3)*SIGN(S160-S157),"")</f>
        <v/>
      </c>
      <c r="AA160">
        <f>IF(AND(ISNUMBER(S160),ISNUMBER(S158)),VLOOKUP(ABS(S160-S158),'IMP Table'!$A$2:$C$26,3)*SIGN(S160-S158),"")</f>
        <v/>
      </c>
      <c r="AB160">
        <f>IF(AND(ISNUMBER(S160),ISNUMBER(S159)),VLOOKUP(ABS(S160-S159),'IMP Table'!$A$2:$C$26,3)*SIGN(S160-S159),"")</f>
        <v/>
      </c>
      <c r="AC160">
        <f>IF(AND(ISNUMBER(S160),ISNUMBER(S161)),VLOOKUP(ABS(S160-S161),'IMP Table'!$A$2:$C$26,3)*SIGN(S160-S161),"")</f>
        <v/>
      </c>
      <c r="AD160">
        <f>IF(AND(ISNUMBER(S160),ISNUMBER(S162)),VLOOKUP(ABS(S160-S162),'IMP Table'!$A$2:$C$26,3)*SIGN(S160-S162),"")</f>
        <v/>
      </c>
      <c r="AE160">
        <f>IF(AND(ISNUMBER(S160),ISNUMBER(S163)),VLOOKUP(ABS(S160-S163),'IMP Table'!$A$2:$C$26,3)*SIGN(S160-S163),"")</f>
        <v/>
      </c>
      <c r="AF160">
        <f>IF(AND(ISNUMBER(R160),ISNUMBER(R157)),IF(R160&gt;R157,1,IF(R160=R157,0.5,0)),0.5)</f>
        <v/>
      </c>
      <c r="AG160">
        <f>IF(AND(ISNUMBER(R160),ISNUMBER(R158)),IF(R160&gt;R158,1,IF(R160=R158,0.5,0)),0.5)</f>
        <v/>
      </c>
      <c r="AH160">
        <f>IF(AND(ISNUMBER(R160),ISNUMBER(R159)),IF(R160&gt;R159,1,IF(R160=R159,0.5,0)),0.5)</f>
        <v/>
      </c>
      <c r="AI160">
        <f>IF(AND(ISNUMBER(R160),ISNUMBER(R161)),IF(R160&gt;R161,1,IF(R160=R161,0.5,0)),0.5)</f>
        <v/>
      </c>
      <c r="AJ160">
        <f>IF(AND(ISNUMBER(R160),ISNUMBER(R162)),IF(R160&gt;R162,1,IF(R160=R162,0.5,0)),0.5)</f>
        <v/>
      </c>
      <c r="AK160">
        <f>IF(AND(ISNUMBER(R160),ISNUMBER(R163)),IF(R160&gt;R163,1,IF(R160=R163,0.5,0)),0.5)</f>
        <v/>
      </c>
      <c r="AL160">
        <f>IF(AND(ISNUMBER(S160),ISNUMBER(S157)),IF(S160&gt;S157,1,IF(S160=S157,0.5,0)),0.5)</f>
        <v/>
      </c>
      <c r="AM160">
        <f>IF(AND(ISNUMBER(S160),ISNUMBER(S158)),IF(S160&gt;S158,1,IF(S160=S158,0.5,0)),0.5)</f>
        <v/>
      </c>
      <c r="AN160">
        <f>IF(AND(ISNUMBER(S160),ISNUMBER(S159)),IF(S160&gt;S159,1,IF(S160=S159,0.5,0)),0.5)</f>
        <v/>
      </c>
      <c r="AO160">
        <f>IF(AND(ISNUMBER(S160),ISNUMBER(S161)),IF(S160&gt;S161,1,IF(S160=S161,0.5,0)),0.5)</f>
        <v/>
      </c>
      <c r="AP160">
        <f>IF(AND(ISNUMBER(S160),ISNUMBER(S162)),IF(S160&gt;S162,1,IF(S160=S162,0.5,0)),0.5)</f>
        <v/>
      </c>
      <c r="AQ160">
        <f>IF(AND(ISNUMBER(S160),ISNUMBER(S163)),IF(S160&gt;S163,1,IF(S160=S163,0.5,0)),0.5)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4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5">
        <f>IFERROR(AVERAGE(T161:Y161),"")</f>
        <v/>
      </c>
      <c r="M161" s="4">
        <f>IFERROR(AVERAGE(Z161:AE161),"")</f>
        <v/>
      </c>
      <c r="N161" s="5">
        <f>P161/6</f>
        <v/>
      </c>
      <c r="O161" s="5">
        <f>Q161/6</f>
        <v/>
      </c>
      <c r="P161" s="4">
        <f>IFERROR(SUM(AF161:AK161),"")</f>
        <v/>
      </c>
      <c r="Q161" s="4">
        <f>IFERROR(SUM(AL161:AQ161),"")</f>
        <v/>
      </c>
      <c r="R161" s="16">
        <f>IF(ISNUMBER(J161),J161,IF(ISNUMBER(K161),-K161,""))</f>
        <v/>
      </c>
      <c r="S161">
        <f>IF(ISNUMBER(K161),K161,IF(ISNUMBER(J161),-J161,""))</f>
        <v/>
      </c>
      <c r="T161">
        <f>IF(AND(ISNUMBER(R161),ISNUMBER(R157)),VLOOKUP(ABS(R161-R157),'IMP Table'!$A$2:$C$26,3)*SIGN(R161-R157),"")</f>
        <v/>
      </c>
      <c r="U161">
        <f>IF(AND(ISNUMBER(R161),ISNUMBER(R158)),VLOOKUP(ABS(R161-R158),'IMP Table'!$A$2:$C$26,3)*SIGN(R161-R158),"")</f>
        <v/>
      </c>
      <c r="V161">
        <f>IF(AND(ISNUMBER(R161),ISNUMBER(R159)),VLOOKUP(ABS(R161-R159),'IMP Table'!$A$2:$C$26,3)*SIGN(R161-R159),"")</f>
        <v/>
      </c>
      <c r="W161">
        <f>IF(AND(ISNUMBER(R161),ISNUMBER(R160)),VLOOKUP(ABS(R161-R160),'IMP Table'!$A$2:$C$26,3)*SIGN(R161-R160),"")</f>
        <v/>
      </c>
      <c r="X161">
        <f>IF(AND(ISNUMBER(R161),ISNUMBER(R162)),VLOOKUP(ABS(R161-R162),'IMP Table'!$A$2:$C$26,3)*SIGN(R161-R162),"")</f>
        <v/>
      </c>
      <c r="Y161">
        <f>IF(AND(ISNUMBER(R161),ISNUMBER(R163)),VLOOKUP(ABS(R161-R163),'IMP Table'!$A$2:$C$26,3)*SIGN(R161-R163),"")</f>
        <v/>
      </c>
      <c r="Z161">
        <f>IF(AND(ISNUMBER(S161),ISNUMBER(S157)),VLOOKUP(ABS(S161-S157),'IMP Table'!$A$2:$C$26,3)*SIGN(S161-S157),"")</f>
        <v/>
      </c>
      <c r="AA161">
        <f>IF(AND(ISNUMBER(S161),ISNUMBER(S158)),VLOOKUP(ABS(S161-S158),'IMP Table'!$A$2:$C$26,3)*SIGN(S161-S158),"")</f>
        <v/>
      </c>
      <c r="AB161">
        <f>IF(AND(ISNUMBER(S161),ISNUMBER(S159)),VLOOKUP(ABS(S161-S159),'IMP Table'!$A$2:$C$26,3)*SIGN(S161-S159),"")</f>
        <v/>
      </c>
      <c r="AC161">
        <f>IF(AND(ISNUMBER(S161),ISNUMBER(S160)),VLOOKUP(ABS(S161-S160),'IMP Table'!$A$2:$C$26,3)*SIGN(S161-S160),"")</f>
        <v/>
      </c>
      <c r="AD161">
        <f>IF(AND(ISNUMBER(S161),ISNUMBER(S162)),VLOOKUP(ABS(S161-S162),'IMP Table'!$A$2:$C$26,3)*SIGN(S161-S162),"")</f>
        <v/>
      </c>
      <c r="AE161">
        <f>IF(AND(ISNUMBER(S161),ISNUMBER(S163)),VLOOKUP(ABS(S161-S163),'IMP Table'!$A$2:$C$26,3)*SIGN(S161-S163),"")</f>
        <v/>
      </c>
      <c r="AF161">
        <f>IF(AND(ISNUMBER(R161),ISNUMBER(R157)),IF(R161&gt;R157,1,IF(R161=R157,0.5,0)),0.5)</f>
        <v/>
      </c>
      <c r="AG161">
        <f>IF(AND(ISNUMBER(R161),ISNUMBER(R158)),IF(R161&gt;R158,1,IF(R161=R158,0.5,0)),0.5)</f>
        <v/>
      </c>
      <c r="AH161">
        <f>IF(AND(ISNUMBER(R161),ISNUMBER(R159)),IF(R161&gt;R159,1,IF(R161=R159,0.5,0)),0.5)</f>
        <v/>
      </c>
      <c r="AI161">
        <f>IF(AND(ISNUMBER(R161),ISNUMBER(R160)),IF(R161&gt;R160,1,IF(R161=R160,0.5,0)),0.5)</f>
        <v/>
      </c>
      <c r="AJ161">
        <f>IF(AND(ISNUMBER(R161),ISNUMBER(R162)),IF(R161&gt;R162,1,IF(R161=R162,0.5,0)),0.5)</f>
        <v/>
      </c>
      <c r="AK161">
        <f>IF(AND(ISNUMBER(R161),ISNUMBER(R163)),IF(R161&gt;R163,1,IF(R161=R163,0.5,0)),0.5)</f>
        <v/>
      </c>
      <c r="AL161">
        <f>IF(AND(ISNUMBER(S161),ISNUMBER(S157)),IF(S161&gt;S157,1,IF(S161=S157,0.5,0)),0.5)</f>
        <v/>
      </c>
      <c r="AM161">
        <f>IF(AND(ISNUMBER(S161),ISNUMBER(S158)),IF(S161&gt;S158,1,IF(S161=S158,0.5,0)),0.5)</f>
        <v/>
      </c>
      <c r="AN161">
        <f>IF(AND(ISNUMBER(S161),ISNUMBER(S159)),IF(S161&gt;S159,1,IF(S161=S159,0.5,0)),0.5)</f>
        <v/>
      </c>
      <c r="AO161">
        <f>IF(AND(ISNUMBER(S161),ISNUMBER(S160)),IF(S161&gt;S160,1,IF(S161=S160,0.5,0)),0.5)</f>
        <v/>
      </c>
      <c r="AP161">
        <f>IF(AND(ISNUMBER(S161),ISNUMBER(S162)),IF(S161&gt;S162,1,IF(S161=S162,0.5,0)),0.5)</f>
        <v/>
      </c>
      <c r="AQ161">
        <f>IF(AND(ISNUMBER(S161),ISNUMBER(S163)),IF(S161&gt;S163,1,IF(S161=S163,0.5,0)),0.5)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4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5">
        <f>IFERROR(AVERAGE(T162:Y162),"")</f>
        <v/>
      </c>
      <c r="M162" s="4">
        <f>IFERROR(AVERAGE(Z162:AE162),"")</f>
        <v/>
      </c>
      <c r="N162" s="5">
        <f>P162/6</f>
        <v/>
      </c>
      <c r="O162" s="5">
        <f>Q162/6</f>
        <v/>
      </c>
      <c r="P162" s="4">
        <f>IFERROR(SUM(AF162:AK162),"")</f>
        <v/>
      </c>
      <c r="Q162" s="4">
        <f>IFERROR(SUM(AL162:AQ162),"")</f>
        <v/>
      </c>
      <c r="R162" s="16">
        <f>IF(ISNUMBER(J162),J162,IF(ISNUMBER(K162),-K162,""))</f>
        <v/>
      </c>
      <c r="S162">
        <f>IF(ISNUMBER(K162),K162,IF(ISNUMBER(J162),-J162,""))</f>
        <v/>
      </c>
      <c r="T162">
        <f>IF(AND(ISNUMBER(R162),ISNUMBER(R157)),VLOOKUP(ABS(R162-R157),'IMP Table'!$A$2:$C$26,3)*SIGN(R162-R157),"")</f>
        <v/>
      </c>
      <c r="U162">
        <f>IF(AND(ISNUMBER(R162),ISNUMBER(R158)),VLOOKUP(ABS(R162-R158),'IMP Table'!$A$2:$C$26,3)*SIGN(R162-R158),"")</f>
        <v/>
      </c>
      <c r="V162">
        <f>IF(AND(ISNUMBER(R162),ISNUMBER(R159)),VLOOKUP(ABS(R162-R159),'IMP Table'!$A$2:$C$26,3)*SIGN(R162-R159),"")</f>
        <v/>
      </c>
      <c r="W162">
        <f>IF(AND(ISNUMBER(R162),ISNUMBER(R160)),VLOOKUP(ABS(R162-R160),'IMP Table'!$A$2:$C$26,3)*SIGN(R162-R160),"")</f>
        <v/>
      </c>
      <c r="X162">
        <f>IF(AND(ISNUMBER(R162),ISNUMBER(R161)),VLOOKUP(ABS(R162-R161),'IMP Table'!$A$2:$C$26,3)*SIGN(R162-R161),"")</f>
        <v/>
      </c>
      <c r="Y162">
        <f>IF(AND(ISNUMBER(R162),ISNUMBER(R163)),VLOOKUP(ABS(R162-R163),'IMP Table'!$A$2:$C$26,3)*SIGN(R162-R163),"")</f>
        <v/>
      </c>
      <c r="Z162">
        <f>IF(AND(ISNUMBER(S162),ISNUMBER(S157)),VLOOKUP(ABS(S162-S157),'IMP Table'!$A$2:$C$26,3)*SIGN(S162-S157),"")</f>
        <v/>
      </c>
      <c r="AA162">
        <f>IF(AND(ISNUMBER(S162),ISNUMBER(S158)),VLOOKUP(ABS(S162-S158),'IMP Table'!$A$2:$C$26,3)*SIGN(S162-S158),"")</f>
        <v/>
      </c>
      <c r="AB162">
        <f>IF(AND(ISNUMBER(S162),ISNUMBER(S159)),VLOOKUP(ABS(S162-S159),'IMP Table'!$A$2:$C$26,3)*SIGN(S162-S159),"")</f>
        <v/>
      </c>
      <c r="AC162">
        <f>IF(AND(ISNUMBER(S162),ISNUMBER(S160)),VLOOKUP(ABS(S162-S160),'IMP Table'!$A$2:$C$26,3)*SIGN(S162-S160),"")</f>
        <v/>
      </c>
      <c r="AD162">
        <f>IF(AND(ISNUMBER(S162),ISNUMBER(S161)),VLOOKUP(ABS(S162-S161),'IMP Table'!$A$2:$C$26,3)*SIGN(S162-S161),"")</f>
        <v/>
      </c>
      <c r="AE162">
        <f>IF(AND(ISNUMBER(S162),ISNUMBER(S163)),VLOOKUP(ABS(S162-S163),'IMP Table'!$A$2:$C$26,3)*SIGN(S162-S163),"")</f>
        <v/>
      </c>
      <c r="AF162">
        <f>IF(AND(ISNUMBER(R162),ISNUMBER(R157)),IF(R162&gt;R157,1,IF(R162=R157,0.5,0)),0.5)</f>
        <v/>
      </c>
      <c r="AG162">
        <f>IF(AND(ISNUMBER(R162),ISNUMBER(R158)),IF(R162&gt;R158,1,IF(R162=R158,0.5,0)),0.5)</f>
        <v/>
      </c>
      <c r="AH162">
        <f>IF(AND(ISNUMBER(R162),ISNUMBER(R159)),IF(R162&gt;R159,1,IF(R162=R159,0.5,0)),0.5)</f>
        <v/>
      </c>
      <c r="AI162">
        <f>IF(AND(ISNUMBER(R162),ISNUMBER(R160)),IF(R162&gt;R160,1,IF(R162=R160,0.5,0)),0.5)</f>
        <v/>
      </c>
      <c r="AJ162">
        <f>IF(AND(ISNUMBER(R162),ISNUMBER(R161)),IF(R162&gt;R161,1,IF(R162=R161,0.5,0)),0.5)</f>
        <v/>
      </c>
      <c r="AK162">
        <f>IF(AND(ISNUMBER(R162),ISNUMBER(R163)),IF(R162&gt;R163,1,IF(R162=R163,0.5,0)),0.5)</f>
        <v/>
      </c>
      <c r="AL162">
        <f>IF(AND(ISNUMBER(S162),ISNUMBER(S157)),IF(S162&gt;S157,1,IF(S162=S157,0.5,0)),0.5)</f>
        <v/>
      </c>
      <c r="AM162">
        <f>IF(AND(ISNUMBER(S162),ISNUMBER(S158)),IF(S162&gt;S158,1,IF(S162=S158,0.5,0)),0.5)</f>
        <v/>
      </c>
      <c r="AN162">
        <f>IF(AND(ISNUMBER(S162),ISNUMBER(S159)),IF(S162&gt;S159,1,IF(S162=S159,0.5,0)),0.5)</f>
        <v/>
      </c>
      <c r="AO162">
        <f>IF(AND(ISNUMBER(S162),ISNUMBER(S160)),IF(S162&gt;S160,1,IF(S162=S160,0.5,0)),0.5)</f>
        <v/>
      </c>
      <c r="AP162">
        <f>IF(AND(ISNUMBER(S162),ISNUMBER(S161)),IF(S162&gt;S161,1,IF(S162=S161,0.5,0)),0.5)</f>
        <v/>
      </c>
      <c r="AQ162">
        <f>IF(AND(ISNUMBER(S162),ISNUMBER(S163)),IF(S162&gt;S163,1,IF(S162=S163,0.5,0)),0.5)</f>
        <v/>
      </c>
    </row>
    <row r="163">
      <c r="A163" s="13" t="n"/>
      <c r="B163" s="13">
        <f>'By Round'!A157</f>
        <v/>
      </c>
      <c r="C163" s="13">
        <f>'By Round'!B157</f>
        <v/>
      </c>
      <c r="D163" s="13">
        <f>'By Round'!C157</f>
        <v/>
      </c>
      <c r="E163" s="13">
        <f>'By Round'!D157</f>
        <v/>
      </c>
      <c r="F163" s="17" t="inlineStr">
        <is>
          <t>Both</t>
        </is>
      </c>
      <c r="G163" s="13">
        <f>IF(ISBLANK('By Round'!G157),"",'By Round'!G157)</f>
        <v/>
      </c>
      <c r="H163" s="13">
        <f>IF(ISBLANK('By Round'!H157),"",'By Round'!H157)</f>
        <v/>
      </c>
      <c r="I163" s="13">
        <f>IF(ISBLANK('By Round'!I157),"",'By Round'!I157)</f>
        <v/>
      </c>
      <c r="J163" s="13">
        <f>IF(ISBLANK('By Round'!J157),"",'By Round'!J157)</f>
        <v/>
      </c>
      <c r="K163" s="13">
        <f>IF(ISBLANK('By Round'!K157),"",'By Round'!K157)</f>
        <v/>
      </c>
      <c r="L163" s="18">
        <f>IFERROR(AVERAGE(T163:Y163),"")</f>
        <v/>
      </c>
      <c r="M163" s="19">
        <f>IFERROR(AVERAGE(Z163:AE163),"")</f>
        <v/>
      </c>
      <c r="N163" s="20">
        <f>P163/6</f>
        <v/>
      </c>
      <c r="O163" s="20">
        <f>Q163/6</f>
        <v/>
      </c>
      <c r="P163" s="19">
        <f>IFERROR(SUM(AF163:AK163),"")</f>
        <v/>
      </c>
      <c r="Q163" s="19">
        <f>IFERROR(SUM(AL163:AQ163),"")</f>
        <v/>
      </c>
      <c r="R163" s="21">
        <f>IF(ISNUMBER(J163),J163,IF(ISNUMBER(K163),-K163,""))</f>
        <v/>
      </c>
      <c r="S163" s="13">
        <f>IF(ISNUMBER(K163),K163,IF(ISNUMBER(J163),-J163,""))</f>
        <v/>
      </c>
      <c r="T163" s="13">
        <f>IF(AND(ISNUMBER(R163),ISNUMBER(R157)),VLOOKUP(ABS(R163-R157),'IMP Table'!$A$2:$C$26,3)*SIGN(R163-R157),"")</f>
        <v/>
      </c>
      <c r="U163" s="13">
        <f>IF(AND(ISNUMBER(R163),ISNUMBER(R158)),VLOOKUP(ABS(R163-R158),'IMP Table'!$A$2:$C$26,3)*SIGN(R163-R158),"")</f>
        <v/>
      </c>
      <c r="V163" s="13">
        <f>IF(AND(ISNUMBER(R163),ISNUMBER(R159)),VLOOKUP(ABS(R163-R159),'IMP Table'!$A$2:$C$26,3)*SIGN(R163-R159),"")</f>
        <v/>
      </c>
      <c r="W163" s="13">
        <f>IF(AND(ISNUMBER(R163),ISNUMBER(R160)),VLOOKUP(ABS(R163-R160),'IMP Table'!$A$2:$C$26,3)*SIGN(R163-R160),"")</f>
        <v/>
      </c>
      <c r="X163" s="13">
        <f>IF(AND(ISNUMBER(R163),ISNUMBER(R161)),VLOOKUP(ABS(R163-R161),'IMP Table'!$A$2:$C$26,3)*SIGN(R163-R161),"")</f>
        <v/>
      </c>
      <c r="Y163" s="13">
        <f>IF(AND(ISNUMBER(R163),ISNUMBER(R162)),VLOOKUP(ABS(R163-R162),'IMP Table'!$A$2:$C$26,3)*SIGN(R163-R162),"")</f>
        <v/>
      </c>
      <c r="Z163" s="13">
        <f>IF(AND(ISNUMBER(S163),ISNUMBER(S157)),VLOOKUP(ABS(S163-S157),'IMP Table'!$A$2:$C$26,3)*SIGN(S163-S157),"")</f>
        <v/>
      </c>
      <c r="AA163" s="13">
        <f>IF(AND(ISNUMBER(S163),ISNUMBER(S158)),VLOOKUP(ABS(S163-S158),'IMP Table'!$A$2:$C$26,3)*SIGN(S163-S158),"")</f>
        <v/>
      </c>
      <c r="AB163" s="13">
        <f>IF(AND(ISNUMBER(S163),ISNUMBER(S159)),VLOOKUP(ABS(S163-S159),'IMP Table'!$A$2:$C$26,3)*SIGN(S163-S159),"")</f>
        <v/>
      </c>
      <c r="AC163" s="13">
        <f>IF(AND(ISNUMBER(S163),ISNUMBER(S160)),VLOOKUP(ABS(S163-S160),'IMP Table'!$A$2:$C$26,3)*SIGN(S163-S160),"")</f>
        <v/>
      </c>
      <c r="AD163" s="13">
        <f>IF(AND(ISNUMBER(S163),ISNUMBER(S161)),VLOOKUP(ABS(S163-S161),'IMP Table'!$A$2:$C$26,3)*SIGN(S163-S161),"")</f>
        <v/>
      </c>
      <c r="AE163" s="13">
        <f>IF(AND(ISNUMBER(S163),ISNUMBER(S162)),VLOOKUP(ABS(S163-S162),'IMP Table'!$A$2:$C$26,3)*SIGN(S163-S162),"")</f>
        <v/>
      </c>
      <c r="AF163" s="13">
        <f>IF(AND(ISNUMBER(R163),ISNUMBER(R157)),IF(R163&gt;R157,1,IF(R163=R157,0.5,0)),0.5)</f>
        <v/>
      </c>
      <c r="AG163" s="13">
        <f>IF(AND(ISNUMBER(R163),ISNUMBER(R158)),IF(R163&gt;R158,1,IF(R163=R158,0.5,0)),0.5)</f>
        <v/>
      </c>
      <c r="AH163" s="13">
        <f>IF(AND(ISNUMBER(R163),ISNUMBER(R159)),IF(R163&gt;R159,1,IF(R163=R159,0.5,0)),0.5)</f>
        <v/>
      </c>
      <c r="AI163" s="13">
        <f>IF(AND(ISNUMBER(R163),ISNUMBER(R160)),IF(R163&gt;R160,1,IF(R163=R160,0.5,0)),0.5)</f>
        <v/>
      </c>
      <c r="AJ163" s="13">
        <f>IF(AND(ISNUMBER(R163),ISNUMBER(R161)),IF(R163&gt;R161,1,IF(R163=R161,0.5,0)),0.5)</f>
        <v/>
      </c>
      <c r="AK163" s="13">
        <f>IF(AND(ISNUMBER(R163),ISNUMBER(R162)),IF(R163&gt;R162,1,IF(R163=R162,0.5,0)),0.5)</f>
        <v/>
      </c>
      <c r="AL163" s="13">
        <f>IF(AND(ISNUMBER(S163),ISNUMBER(S157)),IF(S163&gt;S157,1,IF(S163=S157,0.5,0)),0.5)</f>
        <v/>
      </c>
      <c r="AM163" s="13">
        <f>IF(AND(ISNUMBER(S163),ISNUMBER(S158)),IF(S163&gt;S158,1,IF(S163=S158,0.5,0)),0.5)</f>
        <v/>
      </c>
      <c r="AN163" s="13">
        <f>IF(AND(ISNUMBER(S163),ISNUMBER(S159)),IF(S163&gt;S159,1,IF(S163=S159,0.5,0)),0.5)</f>
        <v/>
      </c>
      <c r="AO163" s="13">
        <f>IF(AND(ISNUMBER(S163),ISNUMBER(S160)),IF(S163&gt;S160,1,IF(S163=S160,0.5,0)),0.5)</f>
        <v/>
      </c>
      <c r="AP163" s="13">
        <f>IF(AND(ISNUMBER(S163),ISNUMBER(S161)),IF(S163&gt;S161,1,IF(S163=S161,0.5,0)),0.5)</f>
        <v/>
      </c>
      <c r="AQ163" s="13">
        <f>IF(AND(ISNUMBER(S163),ISNUMBER(S162)),IF(S163&gt;S162,1,IF(S163=S162,0.5,0)),0.5)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4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5">
        <f>IFERROR(AVERAGE(T164:Y164),"")</f>
        <v/>
      </c>
      <c r="M164" s="4">
        <f>IFERROR(AVERAGE(Z164:AE164),"")</f>
        <v/>
      </c>
      <c r="N164" s="5">
        <f>P164/6</f>
        <v/>
      </c>
      <c r="O164" s="5">
        <f>Q164/6</f>
        <v/>
      </c>
      <c r="P164" s="4">
        <f>IFERROR(SUM(AF164:AK164),"")</f>
        <v/>
      </c>
      <c r="Q164" s="4">
        <f>IFERROR(SUM(AL164:AQ164),"")</f>
        <v/>
      </c>
      <c r="R164" s="16">
        <f>IF(ISNUMBER(J164),J164,IF(ISNUMBER(K164),-K164,""))</f>
        <v/>
      </c>
      <c r="S164">
        <f>IF(ISNUMBER(K164),K164,IF(ISNUMBER(J164),-J164,""))</f>
        <v/>
      </c>
      <c r="T164">
        <f>IF(AND(ISNUMBER(R164),ISNUMBER(R165)),VLOOKUP(ABS(R164-R165),'IMP Table'!$A$2:$C$26,3)*SIGN(R164-R165),"")</f>
        <v/>
      </c>
      <c r="U164">
        <f>IF(AND(ISNUMBER(R164),ISNUMBER(R166)),VLOOKUP(ABS(R164-R166),'IMP Table'!$A$2:$C$26,3)*SIGN(R164-R166),"")</f>
        <v/>
      </c>
      <c r="V164">
        <f>IF(AND(ISNUMBER(R164),ISNUMBER(R167)),VLOOKUP(ABS(R164-R167),'IMP Table'!$A$2:$C$26,3)*SIGN(R164-R167),"")</f>
        <v/>
      </c>
      <c r="W164">
        <f>IF(AND(ISNUMBER(R164),ISNUMBER(R168)),VLOOKUP(ABS(R164-R168),'IMP Table'!$A$2:$C$26,3)*SIGN(R164-R168),"")</f>
        <v/>
      </c>
      <c r="X164">
        <f>IF(AND(ISNUMBER(R164),ISNUMBER(R169)),VLOOKUP(ABS(R164-R169),'IMP Table'!$A$2:$C$26,3)*SIGN(R164-R169),"")</f>
        <v/>
      </c>
      <c r="Y164">
        <f>IF(AND(ISNUMBER(R164),ISNUMBER(R170)),VLOOKUP(ABS(R164-R170),'IMP Table'!$A$2:$C$26,3)*SIGN(R164-R170),"")</f>
        <v/>
      </c>
      <c r="Z164">
        <f>IF(AND(ISNUMBER(S164),ISNUMBER(S165)),VLOOKUP(ABS(S164-S165),'IMP Table'!$A$2:$C$26,3)*SIGN(S164-S165),"")</f>
        <v/>
      </c>
      <c r="AA164">
        <f>IF(AND(ISNUMBER(S164),ISNUMBER(S166)),VLOOKUP(ABS(S164-S166),'IMP Table'!$A$2:$C$26,3)*SIGN(S164-S166),"")</f>
        <v/>
      </c>
      <c r="AB164">
        <f>IF(AND(ISNUMBER(S164),ISNUMBER(S167)),VLOOKUP(ABS(S164-S167),'IMP Table'!$A$2:$C$26,3)*SIGN(S164-S167),"")</f>
        <v/>
      </c>
      <c r="AC164">
        <f>IF(AND(ISNUMBER(S164),ISNUMBER(S168)),VLOOKUP(ABS(S164-S168),'IMP Table'!$A$2:$C$26,3)*SIGN(S164-S168),"")</f>
        <v/>
      </c>
      <c r="AD164">
        <f>IF(AND(ISNUMBER(S164),ISNUMBER(S169)),VLOOKUP(ABS(S164-S169),'IMP Table'!$A$2:$C$26,3)*SIGN(S164-S169),"")</f>
        <v/>
      </c>
      <c r="AE164">
        <f>IF(AND(ISNUMBER(S164),ISNUMBER(S170)),VLOOKUP(ABS(S164-S170),'IMP Table'!$A$2:$C$26,3)*SIGN(S164-S170),"")</f>
        <v/>
      </c>
      <c r="AF164">
        <f>IF(AND(ISNUMBER(R164),ISNUMBER(R165)),IF(R164&gt;R165,1,IF(R164=R165,0.5,0)),0.5)</f>
        <v/>
      </c>
      <c r="AG164">
        <f>IF(AND(ISNUMBER(R164),ISNUMBER(R166)),IF(R164&gt;R166,1,IF(R164=R166,0.5,0)),0.5)</f>
        <v/>
      </c>
      <c r="AH164">
        <f>IF(AND(ISNUMBER(R164),ISNUMBER(R167)),IF(R164&gt;R167,1,IF(R164=R167,0.5,0)),0.5)</f>
        <v/>
      </c>
      <c r="AI164">
        <f>IF(AND(ISNUMBER(R164),ISNUMBER(R168)),IF(R164&gt;R168,1,IF(R164=R168,0.5,0)),0.5)</f>
        <v/>
      </c>
      <c r="AJ164">
        <f>IF(AND(ISNUMBER(R164),ISNUMBER(R169)),IF(R164&gt;R169,1,IF(R164=R169,0.5,0)),0.5)</f>
        <v/>
      </c>
      <c r="AK164">
        <f>IF(AND(ISNUMBER(R164),ISNUMBER(R170)),IF(R164&gt;R170,1,IF(R164=R170,0.5,0)),0.5)</f>
        <v/>
      </c>
      <c r="AL164">
        <f>IF(AND(ISNUMBER(S164),ISNUMBER(S165)),IF(S164&gt;S165,1,IF(S164=S165,0.5,0)),0.5)</f>
        <v/>
      </c>
      <c r="AM164">
        <f>IF(AND(ISNUMBER(S164),ISNUMBER(S166)),IF(S164&gt;S166,1,IF(S164=S166,0.5,0)),0.5)</f>
        <v/>
      </c>
      <c r="AN164">
        <f>IF(AND(ISNUMBER(S164),ISNUMBER(S167)),IF(S164&gt;S167,1,IF(S164=S167,0.5,0)),0.5)</f>
        <v/>
      </c>
      <c r="AO164">
        <f>IF(AND(ISNUMBER(S164),ISNUMBER(S168)),IF(S164&gt;S168,1,IF(S164=S168,0.5,0)),0.5)</f>
        <v/>
      </c>
      <c r="AP164">
        <f>IF(AND(ISNUMBER(S164),ISNUMBER(S169)),IF(S164&gt;S169,1,IF(S164=S169,0.5,0)),0.5)</f>
        <v/>
      </c>
      <c r="AQ164">
        <f>IF(AND(ISNUMBER(S164),ISNUMBER(S170)),IF(S164&gt;S170,1,IF(S164=S170,0.5,0)),0.5)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4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5">
        <f>IFERROR(AVERAGE(T165:Y165),"")</f>
        <v/>
      </c>
      <c r="M165" s="4">
        <f>IFERROR(AVERAGE(Z165:AE165),"")</f>
        <v/>
      </c>
      <c r="N165" s="5">
        <f>P165/6</f>
        <v/>
      </c>
      <c r="O165" s="5">
        <f>Q165/6</f>
        <v/>
      </c>
      <c r="P165" s="4">
        <f>IFERROR(SUM(AF165:AK165),"")</f>
        <v/>
      </c>
      <c r="Q165" s="4">
        <f>IFERROR(SUM(AL165:AQ165),"")</f>
        <v/>
      </c>
      <c r="R165" s="16">
        <f>IF(ISNUMBER(J165),J165,IF(ISNUMBER(K165),-K165,""))</f>
        <v/>
      </c>
      <c r="S165">
        <f>IF(ISNUMBER(K165),K165,IF(ISNUMBER(J165),-J165,""))</f>
        <v/>
      </c>
      <c r="T165">
        <f>IF(AND(ISNUMBER(R165),ISNUMBER(R164)),VLOOKUP(ABS(R165-R164),'IMP Table'!$A$2:$C$26,3)*SIGN(R165-R164),"")</f>
        <v/>
      </c>
      <c r="U165">
        <f>IF(AND(ISNUMBER(R165),ISNUMBER(R166)),VLOOKUP(ABS(R165-R166),'IMP Table'!$A$2:$C$26,3)*SIGN(R165-R166),"")</f>
        <v/>
      </c>
      <c r="V165">
        <f>IF(AND(ISNUMBER(R165),ISNUMBER(R167)),VLOOKUP(ABS(R165-R167),'IMP Table'!$A$2:$C$26,3)*SIGN(R165-R167),"")</f>
        <v/>
      </c>
      <c r="W165">
        <f>IF(AND(ISNUMBER(R165),ISNUMBER(R168)),VLOOKUP(ABS(R165-R168),'IMP Table'!$A$2:$C$26,3)*SIGN(R165-R168),"")</f>
        <v/>
      </c>
      <c r="X165">
        <f>IF(AND(ISNUMBER(R165),ISNUMBER(R169)),VLOOKUP(ABS(R165-R169),'IMP Table'!$A$2:$C$26,3)*SIGN(R165-R169),"")</f>
        <v/>
      </c>
      <c r="Y165">
        <f>IF(AND(ISNUMBER(R165),ISNUMBER(R170)),VLOOKUP(ABS(R165-R170),'IMP Table'!$A$2:$C$26,3)*SIGN(R165-R170),"")</f>
        <v/>
      </c>
      <c r="Z165">
        <f>IF(AND(ISNUMBER(S165),ISNUMBER(S164)),VLOOKUP(ABS(S165-S164),'IMP Table'!$A$2:$C$26,3)*SIGN(S165-S164),"")</f>
        <v/>
      </c>
      <c r="AA165">
        <f>IF(AND(ISNUMBER(S165),ISNUMBER(S166)),VLOOKUP(ABS(S165-S166),'IMP Table'!$A$2:$C$26,3)*SIGN(S165-S166),"")</f>
        <v/>
      </c>
      <c r="AB165">
        <f>IF(AND(ISNUMBER(S165),ISNUMBER(S167)),VLOOKUP(ABS(S165-S167),'IMP Table'!$A$2:$C$26,3)*SIGN(S165-S167),"")</f>
        <v/>
      </c>
      <c r="AC165">
        <f>IF(AND(ISNUMBER(S165),ISNUMBER(S168)),VLOOKUP(ABS(S165-S168),'IMP Table'!$A$2:$C$26,3)*SIGN(S165-S168),"")</f>
        <v/>
      </c>
      <c r="AD165">
        <f>IF(AND(ISNUMBER(S165),ISNUMBER(S169)),VLOOKUP(ABS(S165-S169),'IMP Table'!$A$2:$C$26,3)*SIGN(S165-S169),"")</f>
        <v/>
      </c>
      <c r="AE165">
        <f>IF(AND(ISNUMBER(S165),ISNUMBER(S170)),VLOOKUP(ABS(S165-S170),'IMP Table'!$A$2:$C$26,3)*SIGN(S165-S170),"")</f>
        <v/>
      </c>
      <c r="AF165">
        <f>IF(AND(ISNUMBER(R165),ISNUMBER(R164)),IF(R165&gt;R164,1,IF(R165=R164,0.5,0)),0.5)</f>
        <v/>
      </c>
      <c r="AG165">
        <f>IF(AND(ISNUMBER(R165),ISNUMBER(R166)),IF(R165&gt;R166,1,IF(R165=R166,0.5,0)),0.5)</f>
        <v/>
      </c>
      <c r="AH165">
        <f>IF(AND(ISNUMBER(R165),ISNUMBER(R167)),IF(R165&gt;R167,1,IF(R165=R167,0.5,0)),0.5)</f>
        <v/>
      </c>
      <c r="AI165">
        <f>IF(AND(ISNUMBER(R165),ISNUMBER(R168)),IF(R165&gt;R168,1,IF(R165=R168,0.5,0)),0.5)</f>
        <v/>
      </c>
      <c r="AJ165">
        <f>IF(AND(ISNUMBER(R165),ISNUMBER(R169)),IF(R165&gt;R169,1,IF(R165=R169,0.5,0)),0.5)</f>
        <v/>
      </c>
      <c r="AK165">
        <f>IF(AND(ISNUMBER(R165),ISNUMBER(R170)),IF(R165&gt;R170,1,IF(R165=R170,0.5,0)),0.5)</f>
        <v/>
      </c>
      <c r="AL165">
        <f>IF(AND(ISNUMBER(S165),ISNUMBER(S164)),IF(S165&gt;S164,1,IF(S165=S164,0.5,0)),0.5)</f>
        <v/>
      </c>
      <c r="AM165">
        <f>IF(AND(ISNUMBER(S165),ISNUMBER(S166)),IF(S165&gt;S166,1,IF(S165=S166,0.5,0)),0.5)</f>
        <v/>
      </c>
      <c r="AN165">
        <f>IF(AND(ISNUMBER(S165),ISNUMBER(S167)),IF(S165&gt;S167,1,IF(S165=S167,0.5,0)),0.5)</f>
        <v/>
      </c>
      <c r="AO165">
        <f>IF(AND(ISNUMBER(S165),ISNUMBER(S168)),IF(S165&gt;S168,1,IF(S165=S168,0.5,0)),0.5)</f>
        <v/>
      </c>
      <c r="AP165">
        <f>IF(AND(ISNUMBER(S165),ISNUMBER(S169)),IF(S165&gt;S169,1,IF(S165=S169,0.5,0)),0.5)</f>
        <v/>
      </c>
      <c r="AQ165">
        <f>IF(AND(ISNUMBER(S165),ISNUMBER(S170)),IF(S165&gt;S170,1,IF(S165=S170,0.5,0)),0.5)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4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5">
        <f>IFERROR(AVERAGE(T166:Y166),"")</f>
        <v/>
      </c>
      <c r="M166" s="4">
        <f>IFERROR(AVERAGE(Z166:AE166),"")</f>
        <v/>
      </c>
      <c r="N166" s="5">
        <f>P166/6</f>
        <v/>
      </c>
      <c r="O166" s="5">
        <f>Q166/6</f>
        <v/>
      </c>
      <c r="P166" s="4">
        <f>IFERROR(SUM(AF166:AK166),"")</f>
        <v/>
      </c>
      <c r="Q166" s="4">
        <f>IFERROR(SUM(AL166:AQ166),"")</f>
        <v/>
      </c>
      <c r="R166" s="16">
        <f>IF(ISNUMBER(J166),J166,IF(ISNUMBER(K166),-K166,""))</f>
        <v/>
      </c>
      <c r="S166">
        <f>IF(ISNUMBER(K166),K166,IF(ISNUMBER(J166),-J166,""))</f>
        <v/>
      </c>
      <c r="T166">
        <f>IF(AND(ISNUMBER(R166),ISNUMBER(R164)),VLOOKUP(ABS(R166-R164),'IMP Table'!$A$2:$C$26,3)*SIGN(R166-R164),"")</f>
        <v/>
      </c>
      <c r="U166">
        <f>IF(AND(ISNUMBER(R166),ISNUMBER(R165)),VLOOKUP(ABS(R166-R165),'IMP Table'!$A$2:$C$26,3)*SIGN(R166-R165),"")</f>
        <v/>
      </c>
      <c r="V166">
        <f>IF(AND(ISNUMBER(R166),ISNUMBER(R167)),VLOOKUP(ABS(R166-R167),'IMP Table'!$A$2:$C$26,3)*SIGN(R166-R167),"")</f>
        <v/>
      </c>
      <c r="W166">
        <f>IF(AND(ISNUMBER(R166),ISNUMBER(R168)),VLOOKUP(ABS(R166-R168),'IMP Table'!$A$2:$C$26,3)*SIGN(R166-R168),"")</f>
        <v/>
      </c>
      <c r="X166">
        <f>IF(AND(ISNUMBER(R166),ISNUMBER(R169)),VLOOKUP(ABS(R166-R169),'IMP Table'!$A$2:$C$26,3)*SIGN(R166-R169),"")</f>
        <v/>
      </c>
      <c r="Y166">
        <f>IF(AND(ISNUMBER(R166),ISNUMBER(R170)),VLOOKUP(ABS(R166-R170),'IMP Table'!$A$2:$C$26,3)*SIGN(R166-R170),"")</f>
        <v/>
      </c>
      <c r="Z166">
        <f>IF(AND(ISNUMBER(S166),ISNUMBER(S164)),VLOOKUP(ABS(S166-S164),'IMP Table'!$A$2:$C$26,3)*SIGN(S166-S164),"")</f>
        <v/>
      </c>
      <c r="AA166">
        <f>IF(AND(ISNUMBER(S166),ISNUMBER(S165)),VLOOKUP(ABS(S166-S165),'IMP Table'!$A$2:$C$26,3)*SIGN(S166-S165),"")</f>
        <v/>
      </c>
      <c r="AB166">
        <f>IF(AND(ISNUMBER(S166),ISNUMBER(S167)),VLOOKUP(ABS(S166-S167),'IMP Table'!$A$2:$C$26,3)*SIGN(S166-S167),"")</f>
        <v/>
      </c>
      <c r="AC166">
        <f>IF(AND(ISNUMBER(S166),ISNUMBER(S168)),VLOOKUP(ABS(S166-S168),'IMP Table'!$A$2:$C$26,3)*SIGN(S166-S168),"")</f>
        <v/>
      </c>
      <c r="AD166">
        <f>IF(AND(ISNUMBER(S166),ISNUMBER(S169)),VLOOKUP(ABS(S166-S169),'IMP Table'!$A$2:$C$26,3)*SIGN(S166-S169),"")</f>
        <v/>
      </c>
      <c r="AE166">
        <f>IF(AND(ISNUMBER(S166),ISNUMBER(S170)),VLOOKUP(ABS(S166-S170),'IMP Table'!$A$2:$C$26,3)*SIGN(S166-S170),"")</f>
        <v/>
      </c>
      <c r="AF166">
        <f>IF(AND(ISNUMBER(R166),ISNUMBER(R164)),IF(R166&gt;R164,1,IF(R166=R164,0.5,0)),0.5)</f>
        <v/>
      </c>
      <c r="AG166">
        <f>IF(AND(ISNUMBER(R166),ISNUMBER(R165)),IF(R166&gt;R165,1,IF(R166=R165,0.5,0)),0.5)</f>
        <v/>
      </c>
      <c r="AH166">
        <f>IF(AND(ISNUMBER(R166),ISNUMBER(R167)),IF(R166&gt;R167,1,IF(R166=R167,0.5,0)),0.5)</f>
        <v/>
      </c>
      <c r="AI166">
        <f>IF(AND(ISNUMBER(R166),ISNUMBER(R168)),IF(R166&gt;R168,1,IF(R166=R168,0.5,0)),0.5)</f>
        <v/>
      </c>
      <c r="AJ166">
        <f>IF(AND(ISNUMBER(R166),ISNUMBER(R169)),IF(R166&gt;R169,1,IF(R166=R169,0.5,0)),0.5)</f>
        <v/>
      </c>
      <c r="AK166">
        <f>IF(AND(ISNUMBER(R166),ISNUMBER(R170)),IF(R166&gt;R170,1,IF(R166=R170,0.5,0)),0.5)</f>
        <v/>
      </c>
      <c r="AL166">
        <f>IF(AND(ISNUMBER(S166),ISNUMBER(S164)),IF(S166&gt;S164,1,IF(S166=S164,0.5,0)),0.5)</f>
        <v/>
      </c>
      <c r="AM166">
        <f>IF(AND(ISNUMBER(S166),ISNUMBER(S165)),IF(S166&gt;S165,1,IF(S166=S165,0.5,0)),0.5)</f>
        <v/>
      </c>
      <c r="AN166">
        <f>IF(AND(ISNUMBER(S166),ISNUMBER(S167)),IF(S166&gt;S167,1,IF(S166=S167,0.5,0)),0.5)</f>
        <v/>
      </c>
      <c r="AO166">
        <f>IF(AND(ISNUMBER(S166),ISNUMBER(S168)),IF(S166&gt;S168,1,IF(S166=S168,0.5,0)),0.5)</f>
        <v/>
      </c>
      <c r="AP166">
        <f>IF(AND(ISNUMBER(S166),ISNUMBER(S169)),IF(S166&gt;S169,1,IF(S166=S169,0.5,0)),0.5)</f>
        <v/>
      </c>
      <c r="AQ166">
        <f>IF(AND(ISNUMBER(S166),ISNUMBER(S170)),IF(S166&gt;S170,1,IF(S166=S170,0.5,0)),0.5)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4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5">
        <f>IFERROR(AVERAGE(T167:Y167),"")</f>
        <v/>
      </c>
      <c r="M167" s="4">
        <f>IFERROR(AVERAGE(Z167:AE167),"")</f>
        <v/>
      </c>
      <c r="N167" s="5">
        <f>P167/6</f>
        <v/>
      </c>
      <c r="O167" s="5">
        <f>Q167/6</f>
        <v/>
      </c>
      <c r="P167" s="4">
        <f>IFERROR(SUM(AF167:AK167),"")</f>
        <v/>
      </c>
      <c r="Q167" s="4">
        <f>IFERROR(SUM(AL167:AQ167),"")</f>
        <v/>
      </c>
      <c r="R167" s="16">
        <f>IF(ISNUMBER(J167),J167,IF(ISNUMBER(K167),-K167,""))</f>
        <v/>
      </c>
      <c r="S167">
        <f>IF(ISNUMBER(K167),K167,IF(ISNUMBER(J167),-J167,""))</f>
        <v/>
      </c>
      <c r="T167">
        <f>IF(AND(ISNUMBER(R167),ISNUMBER(R164)),VLOOKUP(ABS(R167-R164),'IMP Table'!$A$2:$C$26,3)*SIGN(R167-R164),"")</f>
        <v/>
      </c>
      <c r="U167">
        <f>IF(AND(ISNUMBER(R167),ISNUMBER(R165)),VLOOKUP(ABS(R167-R165),'IMP Table'!$A$2:$C$26,3)*SIGN(R167-R165),"")</f>
        <v/>
      </c>
      <c r="V167">
        <f>IF(AND(ISNUMBER(R167),ISNUMBER(R166)),VLOOKUP(ABS(R167-R166),'IMP Table'!$A$2:$C$26,3)*SIGN(R167-R166),"")</f>
        <v/>
      </c>
      <c r="W167">
        <f>IF(AND(ISNUMBER(R167),ISNUMBER(R168)),VLOOKUP(ABS(R167-R168),'IMP Table'!$A$2:$C$26,3)*SIGN(R167-R168),"")</f>
        <v/>
      </c>
      <c r="X167">
        <f>IF(AND(ISNUMBER(R167),ISNUMBER(R169)),VLOOKUP(ABS(R167-R169),'IMP Table'!$A$2:$C$26,3)*SIGN(R167-R169),"")</f>
        <v/>
      </c>
      <c r="Y167">
        <f>IF(AND(ISNUMBER(R167),ISNUMBER(R170)),VLOOKUP(ABS(R167-R170),'IMP Table'!$A$2:$C$26,3)*SIGN(R167-R170),"")</f>
        <v/>
      </c>
      <c r="Z167">
        <f>IF(AND(ISNUMBER(S167),ISNUMBER(S164)),VLOOKUP(ABS(S167-S164),'IMP Table'!$A$2:$C$26,3)*SIGN(S167-S164),"")</f>
        <v/>
      </c>
      <c r="AA167">
        <f>IF(AND(ISNUMBER(S167),ISNUMBER(S165)),VLOOKUP(ABS(S167-S165),'IMP Table'!$A$2:$C$26,3)*SIGN(S167-S165),"")</f>
        <v/>
      </c>
      <c r="AB167">
        <f>IF(AND(ISNUMBER(S167),ISNUMBER(S166)),VLOOKUP(ABS(S167-S166),'IMP Table'!$A$2:$C$26,3)*SIGN(S167-S166),"")</f>
        <v/>
      </c>
      <c r="AC167">
        <f>IF(AND(ISNUMBER(S167),ISNUMBER(S168)),VLOOKUP(ABS(S167-S168),'IMP Table'!$A$2:$C$26,3)*SIGN(S167-S168),"")</f>
        <v/>
      </c>
      <c r="AD167">
        <f>IF(AND(ISNUMBER(S167),ISNUMBER(S169)),VLOOKUP(ABS(S167-S169),'IMP Table'!$A$2:$C$26,3)*SIGN(S167-S169),"")</f>
        <v/>
      </c>
      <c r="AE167">
        <f>IF(AND(ISNUMBER(S167),ISNUMBER(S170)),VLOOKUP(ABS(S167-S170),'IMP Table'!$A$2:$C$26,3)*SIGN(S167-S170),"")</f>
        <v/>
      </c>
      <c r="AF167">
        <f>IF(AND(ISNUMBER(R167),ISNUMBER(R164)),IF(R167&gt;R164,1,IF(R167=R164,0.5,0)),0.5)</f>
        <v/>
      </c>
      <c r="AG167">
        <f>IF(AND(ISNUMBER(R167),ISNUMBER(R165)),IF(R167&gt;R165,1,IF(R167=R165,0.5,0)),0.5)</f>
        <v/>
      </c>
      <c r="AH167">
        <f>IF(AND(ISNUMBER(R167),ISNUMBER(R166)),IF(R167&gt;R166,1,IF(R167=R166,0.5,0)),0.5)</f>
        <v/>
      </c>
      <c r="AI167">
        <f>IF(AND(ISNUMBER(R167),ISNUMBER(R168)),IF(R167&gt;R168,1,IF(R167=R168,0.5,0)),0.5)</f>
        <v/>
      </c>
      <c r="AJ167">
        <f>IF(AND(ISNUMBER(R167),ISNUMBER(R169)),IF(R167&gt;R169,1,IF(R167=R169,0.5,0)),0.5)</f>
        <v/>
      </c>
      <c r="AK167">
        <f>IF(AND(ISNUMBER(R167),ISNUMBER(R170)),IF(R167&gt;R170,1,IF(R167=R170,0.5,0)),0.5)</f>
        <v/>
      </c>
      <c r="AL167">
        <f>IF(AND(ISNUMBER(S167),ISNUMBER(S164)),IF(S167&gt;S164,1,IF(S167=S164,0.5,0)),0.5)</f>
        <v/>
      </c>
      <c r="AM167">
        <f>IF(AND(ISNUMBER(S167),ISNUMBER(S165)),IF(S167&gt;S165,1,IF(S167=S165,0.5,0)),0.5)</f>
        <v/>
      </c>
      <c r="AN167">
        <f>IF(AND(ISNUMBER(S167),ISNUMBER(S166)),IF(S167&gt;S166,1,IF(S167=S166,0.5,0)),0.5)</f>
        <v/>
      </c>
      <c r="AO167">
        <f>IF(AND(ISNUMBER(S167),ISNUMBER(S168)),IF(S167&gt;S168,1,IF(S167=S168,0.5,0)),0.5)</f>
        <v/>
      </c>
      <c r="AP167">
        <f>IF(AND(ISNUMBER(S167),ISNUMBER(S169)),IF(S167&gt;S169,1,IF(S167=S169,0.5,0)),0.5)</f>
        <v/>
      </c>
      <c r="AQ167">
        <f>IF(AND(ISNUMBER(S167),ISNUMBER(S170)),IF(S167&gt;S170,1,IF(S167=S170,0.5,0)),0.5)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4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5">
        <f>IFERROR(AVERAGE(T168:Y168),"")</f>
        <v/>
      </c>
      <c r="M168" s="4">
        <f>IFERROR(AVERAGE(Z168:AE168),"")</f>
        <v/>
      </c>
      <c r="N168" s="5">
        <f>P168/6</f>
        <v/>
      </c>
      <c r="O168" s="5">
        <f>Q168/6</f>
        <v/>
      </c>
      <c r="P168" s="4">
        <f>IFERROR(SUM(AF168:AK168),"")</f>
        <v/>
      </c>
      <c r="Q168" s="4">
        <f>IFERROR(SUM(AL168:AQ168),"")</f>
        <v/>
      </c>
      <c r="R168" s="16">
        <f>IF(ISNUMBER(J168),J168,IF(ISNUMBER(K168),-K168,""))</f>
        <v/>
      </c>
      <c r="S168">
        <f>IF(ISNUMBER(K168),K168,IF(ISNUMBER(J168),-J168,""))</f>
        <v/>
      </c>
      <c r="T168">
        <f>IF(AND(ISNUMBER(R168),ISNUMBER(R164)),VLOOKUP(ABS(R168-R164),'IMP Table'!$A$2:$C$26,3)*SIGN(R168-R164),"")</f>
        <v/>
      </c>
      <c r="U168">
        <f>IF(AND(ISNUMBER(R168),ISNUMBER(R165)),VLOOKUP(ABS(R168-R165),'IMP Table'!$A$2:$C$26,3)*SIGN(R168-R165),"")</f>
        <v/>
      </c>
      <c r="V168">
        <f>IF(AND(ISNUMBER(R168),ISNUMBER(R166)),VLOOKUP(ABS(R168-R166),'IMP Table'!$A$2:$C$26,3)*SIGN(R168-R166),"")</f>
        <v/>
      </c>
      <c r="W168">
        <f>IF(AND(ISNUMBER(R168),ISNUMBER(R167)),VLOOKUP(ABS(R168-R167),'IMP Table'!$A$2:$C$26,3)*SIGN(R168-R167),"")</f>
        <v/>
      </c>
      <c r="X168">
        <f>IF(AND(ISNUMBER(R168),ISNUMBER(R169)),VLOOKUP(ABS(R168-R169),'IMP Table'!$A$2:$C$26,3)*SIGN(R168-R169),"")</f>
        <v/>
      </c>
      <c r="Y168">
        <f>IF(AND(ISNUMBER(R168),ISNUMBER(R170)),VLOOKUP(ABS(R168-R170),'IMP Table'!$A$2:$C$26,3)*SIGN(R168-R170),"")</f>
        <v/>
      </c>
      <c r="Z168">
        <f>IF(AND(ISNUMBER(S168),ISNUMBER(S164)),VLOOKUP(ABS(S168-S164),'IMP Table'!$A$2:$C$26,3)*SIGN(S168-S164),"")</f>
        <v/>
      </c>
      <c r="AA168">
        <f>IF(AND(ISNUMBER(S168),ISNUMBER(S165)),VLOOKUP(ABS(S168-S165),'IMP Table'!$A$2:$C$26,3)*SIGN(S168-S165),"")</f>
        <v/>
      </c>
      <c r="AB168">
        <f>IF(AND(ISNUMBER(S168),ISNUMBER(S166)),VLOOKUP(ABS(S168-S166),'IMP Table'!$A$2:$C$26,3)*SIGN(S168-S166),"")</f>
        <v/>
      </c>
      <c r="AC168">
        <f>IF(AND(ISNUMBER(S168),ISNUMBER(S167)),VLOOKUP(ABS(S168-S167),'IMP Table'!$A$2:$C$26,3)*SIGN(S168-S167),"")</f>
        <v/>
      </c>
      <c r="AD168">
        <f>IF(AND(ISNUMBER(S168),ISNUMBER(S169)),VLOOKUP(ABS(S168-S169),'IMP Table'!$A$2:$C$26,3)*SIGN(S168-S169),"")</f>
        <v/>
      </c>
      <c r="AE168">
        <f>IF(AND(ISNUMBER(S168),ISNUMBER(S170)),VLOOKUP(ABS(S168-S170),'IMP Table'!$A$2:$C$26,3)*SIGN(S168-S170),"")</f>
        <v/>
      </c>
      <c r="AF168">
        <f>IF(AND(ISNUMBER(R168),ISNUMBER(R164)),IF(R168&gt;R164,1,IF(R168=R164,0.5,0)),0.5)</f>
        <v/>
      </c>
      <c r="AG168">
        <f>IF(AND(ISNUMBER(R168),ISNUMBER(R165)),IF(R168&gt;R165,1,IF(R168=R165,0.5,0)),0.5)</f>
        <v/>
      </c>
      <c r="AH168">
        <f>IF(AND(ISNUMBER(R168),ISNUMBER(R166)),IF(R168&gt;R166,1,IF(R168=R166,0.5,0)),0.5)</f>
        <v/>
      </c>
      <c r="AI168">
        <f>IF(AND(ISNUMBER(R168),ISNUMBER(R167)),IF(R168&gt;R167,1,IF(R168=R167,0.5,0)),0.5)</f>
        <v/>
      </c>
      <c r="AJ168">
        <f>IF(AND(ISNUMBER(R168),ISNUMBER(R169)),IF(R168&gt;R169,1,IF(R168=R169,0.5,0)),0.5)</f>
        <v/>
      </c>
      <c r="AK168">
        <f>IF(AND(ISNUMBER(R168),ISNUMBER(R170)),IF(R168&gt;R170,1,IF(R168=R170,0.5,0)),0.5)</f>
        <v/>
      </c>
      <c r="AL168">
        <f>IF(AND(ISNUMBER(S168),ISNUMBER(S164)),IF(S168&gt;S164,1,IF(S168=S164,0.5,0)),0.5)</f>
        <v/>
      </c>
      <c r="AM168">
        <f>IF(AND(ISNUMBER(S168),ISNUMBER(S165)),IF(S168&gt;S165,1,IF(S168=S165,0.5,0)),0.5)</f>
        <v/>
      </c>
      <c r="AN168">
        <f>IF(AND(ISNUMBER(S168),ISNUMBER(S166)),IF(S168&gt;S166,1,IF(S168=S166,0.5,0)),0.5)</f>
        <v/>
      </c>
      <c r="AO168">
        <f>IF(AND(ISNUMBER(S168),ISNUMBER(S167)),IF(S168&gt;S167,1,IF(S168=S167,0.5,0)),0.5)</f>
        <v/>
      </c>
      <c r="AP168">
        <f>IF(AND(ISNUMBER(S168),ISNUMBER(S169)),IF(S168&gt;S169,1,IF(S168=S169,0.5,0)),0.5)</f>
        <v/>
      </c>
      <c r="AQ168">
        <f>IF(AND(ISNUMBER(S168),ISNUMBER(S170)),IF(S168&gt;S170,1,IF(S168=S170,0.5,0)),0.5)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4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5">
        <f>IFERROR(AVERAGE(T169:Y169),"")</f>
        <v/>
      </c>
      <c r="M169" s="4">
        <f>IFERROR(AVERAGE(Z169:AE169),"")</f>
        <v/>
      </c>
      <c r="N169" s="5">
        <f>P169/6</f>
        <v/>
      </c>
      <c r="O169" s="5">
        <f>Q169/6</f>
        <v/>
      </c>
      <c r="P169" s="4">
        <f>IFERROR(SUM(AF169:AK169),"")</f>
        <v/>
      </c>
      <c r="Q169" s="4">
        <f>IFERROR(SUM(AL169:AQ169),"")</f>
        <v/>
      </c>
      <c r="R169" s="16">
        <f>IF(ISNUMBER(J169),J169,IF(ISNUMBER(K169),-K169,""))</f>
        <v/>
      </c>
      <c r="S169">
        <f>IF(ISNUMBER(K169),K169,IF(ISNUMBER(J169),-J169,""))</f>
        <v/>
      </c>
      <c r="T169">
        <f>IF(AND(ISNUMBER(R169),ISNUMBER(R164)),VLOOKUP(ABS(R169-R164),'IMP Table'!$A$2:$C$26,3)*SIGN(R169-R164),"")</f>
        <v/>
      </c>
      <c r="U169">
        <f>IF(AND(ISNUMBER(R169),ISNUMBER(R165)),VLOOKUP(ABS(R169-R165),'IMP Table'!$A$2:$C$26,3)*SIGN(R169-R165),"")</f>
        <v/>
      </c>
      <c r="V169">
        <f>IF(AND(ISNUMBER(R169),ISNUMBER(R166)),VLOOKUP(ABS(R169-R166),'IMP Table'!$A$2:$C$26,3)*SIGN(R169-R166),"")</f>
        <v/>
      </c>
      <c r="W169">
        <f>IF(AND(ISNUMBER(R169),ISNUMBER(R167)),VLOOKUP(ABS(R169-R167),'IMP Table'!$A$2:$C$26,3)*SIGN(R169-R167),"")</f>
        <v/>
      </c>
      <c r="X169">
        <f>IF(AND(ISNUMBER(R169),ISNUMBER(R168)),VLOOKUP(ABS(R169-R168),'IMP Table'!$A$2:$C$26,3)*SIGN(R169-R168),"")</f>
        <v/>
      </c>
      <c r="Y169">
        <f>IF(AND(ISNUMBER(R169),ISNUMBER(R170)),VLOOKUP(ABS(R169-R170),'IMP Table'!$A$2:$C$26,3)*SIGN(R169-R170),"")</f>
        <v/>
      </c>
      <c r="Z169">
        <f>IF(AND(ISNUMBER(S169),ISNUMBER(S164)),VLOOKUP(ABS(S169-S164),'IMP Table'!$A$2:$C$26,3)*SIGN(S169-S164),"")</f>
        <v/>
      </c>
      <c r="AA169">
        <f>IF(AND(ISNUMBER(S169),ISNUMBER(S165)),VLOOKUP(ABS(S169-S165),'IMP Table'!$A$2:$C$26,3)*SIGN(S169-S165),"")</f>
        <v/>
      </c>
      <c r="AB169">
        <f>IF(AND(ISNUMBER(S169),ISNUMBER(S166)),VLOOKUP(ABS(S169-S166),'IMP Table'!$A$2:$C$26,3)*SIGN(S169-S166),"")</f>
        <v/>
      </c>
      <c r="AC169">
        <f>IF(AND(ISNUMBER(S169),ISNUMBER(S167)),VLOOKUP(ABS(S169-S167),'IMP Table'!$A$2:$C$26,3)*SIGN(S169-S167),"")</f>
        <v/>
      </c>
      <c r="AD169">
        <f>IF(AND(ISNUMBER(S169),ISNUMBER(S168)),VLOOKUP(ABS(S169-S168),'IMP Table'!$A$2:$C$26,3)*SIGN(S169-S168),"")</f>
        <v/>
      </c>
      <c r="AE169">
        <f>IF(AND(ISNUMBER(S169),ISNUMBER(S170)),VLOOKUP(ABS(S169-S170),'IMP Table'!$A$2:$C$26,3)*SIGN(S169-S170),"")</f>
        <v/>
      </c>
      <c r="AF169">
        <f>IF(AND(ISNUMBER(R169),ISNUMBER(R164)),IF(R169&gt;R164,1,IF(R169=R164,0.5,0)),0.5)</f>
        <v/>
      </c>
      <c r="AG169">
        <f>IF(AND(ISNUMBER(R169),ISNUMBER(R165)),IF(R169&gt;R165,1,IF(R169=R165,0.5,0)),0.5)</f>
        <v/>
      </c>
      <c r="AH169">
        <f>IF(AND(ISNUMBER(R169),ISNUMBER(R166)),IF(R169&gt;R166,1,IF(R169=R166,0.5,0)),0.5)</f>
        <v/>
      </c>
      <c r="AI169">
        <f>IF(AND(ISNUMBER(R169),ISNUMBER(R167)),IF(R169&gt;R167,1,IF(R169=R167,0.5,0)),0.5)</f>
        <v/>
      </c>
      <c r="AJ169">
        <f>IF(AND(ISNUMBER(R169),ISNUMBER(R168)),IF(R169&gt;R168,1,IF(R169=R168,0.5,0)),0.5)</f>
        <v/>
      </c>
      <c r="AK169">
        <f>IF(AND(ISNUMBER(R169),ISNUMBER(R170)),IF(R169&gt;R170,1,IF(R169=R170,0.5,0)),0.5)</f>
        <v/>
      </c>
      <c r="AL169">
        <f>IF(AND(ISNUMBER(S169),ISNUMBER(S164)),IF(S169&gt;S164,1,IF(S169=S164,0.5,0)),0.5)</f>
        <v/>
      </c>
      <c r="AM169">
        <f>IF(AND(ISNUMBER(S169),ISNUMBER(S165)),IF(S169&gt;S165,1,IF(S169=S165,0.5,0)),0.5)</f>
        <v/>
      </c>
      <c r="AN169">
        <f>IF(AND(ISNUMBER(S169),ISNUMBER(S166)),IF(S169&gt;S166,1,IF(S169=S166,0.5,0)),0.5)</f>
        <v/>
      </c>
      <c r="AO169">
        <f>IF(AND(ISNUMBER(S169),ISNUMBER(S167)),IF(S169&gt;S167,1,IF(S169=S167,0.5,0)),0.5)</f>
        <v/>
      </c>
      <c r="AP169">
        <f>IF(AND(ISNUMBER(S169),ISNUMBER(S168)),IF(S169&gt;S168,1,IF(S169=S168,0.5,0)),0.5)</f>
        <v/>
      </c>
      <c r="AQ169">
        <f>IF(AND(ISNUMBER(S169),ISNUMBER(S170)),IF(S169&gt;S170,1,IF(S169=S170,0.5,0)),0.5)</f>
        <v/>
      </c>
    </row>
    <row r="170">
      <c r="A170" s="13" t="n"/>
      <c r="B170" s="13">
        <f>'By Round'!A157</f>
        <v/>
      </c>
      <c r="C170" s="13">
        <f>'By Round'!B157</f>
        <v/>
      </c>
      <c r="D170" s="13">
        <f>'By Round'!C157</f>
        <v/>
      </c>
      <c r="E170" s="13">
        <f>'By Round'!D157</f>
        <v/>
      </c>
      <c r="F170" s="17" t="inlineStr">
        <is>
          <t>None</t>
        </is>
      </c>
      <c r="G170" s="13">
        <f>IF(ISBLANK('By Round'!G157),"",'By Round'!G157)</f>
        <v/>
      </c>
      <c r="H170" s="13">
        <f>IF(ISBLANK('By Round'!H157),"",'By Round'!H157)</f>
        <v/>
      </c>
      <c r="I170" s="13">
        <f>IF(ISBLANK('By Round'!I157),"",'By Round'!I157)</f>
        <v/>
      </c>
      <c r="J170" s="13">
        <f>IF(ISBLANK('By Round'!J157),"",'By Round'!J157)</f>
        <v/>
      </c>
      <c r="K170" s="13">
        <f>IF(ISBLANK('By Round'!K157),"",'By Round'!K157)</f>
        <v/>
      </c>
      <c r="L170" s="18">
        <f>IFERROR(AVERAGE(T170:Y170),"")</f>
        <v/>
      </c>
      <c r="M170" s="19">
        <f>IFERROR(AVERAGE(Z170:AE170),"")</f>
        <v/>
      </c>
      <c r="N170" s="20">
        <f>P170/6</f>
        <v/>
      </c>
      <c r="O170" s="20">
        <f>Q170/6</f>
        <v/>
      </c>
      <c r="P170" s="19">
        <f>IFERROR(SUM(AF170:AK170),"")</f>
        <v/>
      </c>
      <c r="Q170" s="19">
        <f>IFERROR(SUM(AL170:AQ170),"")</f>
        <v/>
      </c>
      <c r="R170" s="21">
        <f>IF(ISNUMBER(J170),J170,IF(ISNUMBER(K170),-K170,""))</f>
        <v/>
      </c>
      <c r="S170" s="13">
        <f>IF(ISNUMBER(K170),K170,IF(ISNUMBER(J170),-J170,""))</f>
        <v/>
      </c>
      <c r="T170" s="13">
        <f>IF(AND(ISNUMBER(R170),ISNUMBER(R164)),VLOOKUP(ABS(R170-R164),'IMP Table'!$A$2:$C$26,3)*SIGN(R170-R164),"")</f>
        <v/>
      </c>
      <c r="U170" s="13">
        <f>IF(AND(ISNUMBER(R170),ISNUMBER(R165)),VLOOKUP(ABS(R170-R165),'IMP Table'!$A$2:$C$26,3)*SIGN(R170-R165),"")</f>
        <v/>
      </c>
      <c r="V170" s="13">
        <f>IF(AND(ISNUMBER(R170),ISNUMBER(R166)),VLOOKUP(ABS(R170-R166),'IMP Table'!$A$2:$C$26,3)*SIGN(R170-R166),"")</f>
        <v/>
      </c>
      <c r="W170" s="13">
        <f>IF(AND(ISNUMBER(R170),ISNUMBER(R167)),VLOOKUP(ABS(R170-R167),'IMP Table'!$A$2:$C$26,3)*SIGN(R170-R167),"")</f>
        <v/>
      </c>
      <c r="X170" s="13">
        <f>IF(AND(ISNUMBER(R170),ISNUMBER(R168)),VLOOKUP(ABS(R170-R168),'IMP Table'!$A$2:$C$26,3)*SIGN(R170-R168),"")</f>
        <v/>
      </c>
      <c r="Y170" s="13">
        <f>IF(AND(ISNUMBER(R170),ISNUMBER(R169)),VLOOKUP(ABS(R170-R169),'IMP Table'!$A$2:$C$26,3)*SIGN(R170-R169),"")</f>
        <v/>
      </c>
      <c r="Z170" s="13">
        <f>IF(AND(ISNUMBER(S170),ISNUMBER(S164)),VLOOKUP(ABS(S170-S164),'IMP Table'!$A$2:$C$26,3)*SIGN(S170-S164),"")</f>
        <v/>
      </c>
      <c r="AA170" s="13">
        <f>IF(AND(ISNUMBER(S170),ISNUMBER(S165)),VLOOKUP(ABS(S170-S165),'IMP Table'!$A$2:$C$26,3)*SIGN(S170-S165),"")</f>
        <v/>
      </c>
      <c r="AB170" s="13">
        <f>IF(AND(ISNUMBER(S170),ISNUMBER(S166)),VLOOKUP(ABS(S170-S166),'IMP Table'!$A$2:$C$26,3)*SIGN(S170-S166),"")</f>
        <v/>
      </c>
      <c r="AC170" s="13">
        <f>IF(AND(ISNUMBER(S170),ISNUMBER(S167)),VLOOKUP(ABS(S170-S167),'IMP Table'!$A$2:$C$26,3)*SIGN(S170-S167),"")</f>
        <v/>
      </c>
      <c r="AD170" s="13">
        <f>IF(AND(ISNUMBER(S170),ISNUMBER(S168)),VLOOKUP(ABS(S170-S168),'IMP Table'!$A$2:$C$26,3)*SIGN(S170-S168),"")</f>
        <v/>
      </c>
      <c r="AE170" s="13">
        <f>IF(AND(ISNUMBER(S170),ISNUMBER(S169)),VLOOKUP(ABS(S170-S169),'IMP Table'!$A$2:$C$26,3)*SIGN(S170-S169),"")</f>
        <v/>
      </c>
      <c r="AF170" s="13">
        <f>IF(AND(ISNUMBER(R170),ISNUMBER(R164)),IF(R170&gt;R164,1,IF(R170=R164,0.5,0)),0.5)</f>
        <v/>
      </c>
      <c r="AG170" s="13">
        <f>IF(AND(ISNUMBER(R170),ISNUMBER(R165)),IF(R170&gt;R165,1,IF(R170=R165,0.5,0)),0.5)</f>
        <v/>
      </c>
      <c r="AH170" s="13">
        <f>IF(AND(ISNUMBER(R170),ISNUMBER(R166)),IF(R170&gt;R166,1,IF(R170=R166,0.5,0)),0.5)</f>
        <v/>
      </c>
      <c r="AI170" s="13">
        <f>IF(AND(ISNUMBER(R170),ISNUMBER(R167)),IF(R170&gt;R167,1,IF(R170=R167,0.5,0)),0.5)</f>
        <v/>
      </c>
      <c r="AJ170" s="13">
        <f>IF(AND(ISNUMBER(R170),ISNUMBER(R168)),IF(R170&gt;R168,1,IF(R170=R168,0.5,0)),0.5)</f>
        <v/>
      </c>
      <c r="AK170" s="13">
        <f>IF(AND(ISNUMBER(R170),ISNUMBER(R169)),IF(R170&gt;R169,1,IF(R170=R169,0.5,0)),0.5)</f>
        <v/>
      </c>
      <c r="AL170" s="13">
        <f>IF(AND(ISNUMBER(S170),ISNUMBER(S164)),IF(S170&gt;S164,1,IF(S170=S164,0.5,0)),0.5)</f>
        <v/>
      </c>
      <c r="AM170" s="13">
        <f>IF(AND(ISNUMBER(S170),ISNUMBER(S165)),IF(S170&gt;S165,1,IF(S170=S165,0.5,0)),0.5)</f>
        <v/>
      </c>
      <c r="AN170" s="13">
        <f>IF(AND(ISNUMBER(S170),ISNUMBER(S166)),IF(S170&gt;S166,1,IF(S170=S166,0.5,0)),0.5)</f>
        <v/>
      </c>
      <c r="AO170" s="13">
        <f>IF(AND(ISNUMBER(S170),ISNUMBER(S167)),IF(S170&gt;S167,1,IF(S170=S167,0.5,0)),0.5)</f>
        <v/>
      </c>
      <c r="AP170" s="13">
        <f>IF(AND(ISNUMBER(S170),ISNUMBER(S168)),IF(S170&gt;S168,1,IF(S170=S168,0.5,0)),0.5)</f>
        <v/>
      </c>
      <c r="AQ170" s="13">
        <f>IF(AND(ISNUMBER(S170),ISNUMBER(S169)),IF(S170&gt;S169,1,IF(S170=S169,0.5,0)),0.5)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4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5">
        <f>IFERROR(AVERAGE(T171:Y171),"")</f>
        <v/>
      </c>
      <c r="M171" s="4">
        <f>IFERROR(AVERAGE(Z171:AE171),"")</f>
        <v/>
      </c>
      <c r="N171" s="5">
        <f>P171/6</f>
        <v/>
      </c>
      <c r="O171" s="5">
        <f>Q171/6</f>
        <v/>
      </c>
      <c r="P171" s="4">
        <f>IFERROR(SUM(AF171:AK171),"")</f>
        <v/>
      </c>
      <c r="Q171" s="4">
        <f>IFERROR(SUM(AL171:AQ171),"")</f>
        <v/>
      </c>
      <c r="R171" s="16">
        <f>IF(ISNUMBER(J171),J171,IF(ISNUMBER(K171),-K171,""))</f>
        <v/>
      </c>
      <c r="S171">
        <f>IF(ISNUMBER(K171),K171,IF(ISNUMBER(J171),-J171,""))</f>
        <v/>
      </c>
      <c r="T171">
        <f>IF(AND(ISNUMBER(R171),ISNUMBER(R172)),VLOOKUP(ABS(R171-R172),'IMP Table'!$A$2:$C$26,3)*SIGN(R171-R172),"")</f>
        <v/>
      </c>
      <c r="U171">
        <f>IF(AND(ISNUMBER(R171),ISNUMBER(R173)),VLOOKUP(ABS(R171-R173),'IMP Table'!$A$2:$C$26,3)*SIGN(R171-R173),"")</f>
        <v/>
      </c>
      <c r="V171">
        <f>IF(AND(ISNUMBER(R171),ISNUMBER(R174)),VLOOKUP(ABS(R171-R174),'IMP Table'!$A$2:$C$26,3)*SIGN(R171-R174),"")</f>
        <v/>
      </c>
      <c r="W171">
        <f>IF(AND(ISNUMBER(R171),ISNUMBER(R175)),VLOOKUP(ABS(R171-R175),'IMP Table'!$A$2:$C$26,3)*SIGN(R171-R175),"")</f>
        <v/>
      </c>
      <c r="X171">
        <f>IF(AND(ISNUMBER(R171),ISNUMBER(R176)),VLOOKUP(ABS(R171-R176),'IMP Table'!$A$2:$C$26,3)*SIGN(R171-R176),"")</f>
        <v/>
      </c>
      <c r="Y171">
        <f>IF(AND(ISNUMBER(R171),ISNUMBER(R177)),VLOOKUP(ABS(R171-R177),'IMP Table'!$A$2:$C$26,3)*SIGN(R171-R177),"")</f>
        <v/>
      </c>
      <c r="Z171">
        <f>IF(AND(ISNUMBER(S171),ISNUMBER(S172)),VLOOKUP(ABS(S171-S172),'IMP Table'!$A$2:$C$26,3)*SIGN(S171-S172),"")</f>
        <v/>
      </c>
      <c r="AA171">
        <f>IF(AND(ISNUMBER(S171),ISNUMBER(S173)),VLOOKUP(ABS(S171-S173),'IMP Table'!$A$2:$C$26,3)*SIGN(S171-S173),"")</f>
        <v/>
      </c>
      <c r="AB171">
        <f>IF(AND(ISNUMBER(S171),ISNUMBER(S174)),VLOOKUP(ABS(S171-S174),'IMP Table'!$A$2:$C$26,3)*SIGN(S171-S174),"")</f>
        <v/>
      </c>
      <c r="AC171">
        <f>IF(AND(ISNUMBER(S171),ISNUMBER(S175)),VLOOKUP(ABS(S171-S175),'IMP Table'!$A$2:$C$26,3)*SIGN(S171-S175),"")</f>
        <v/>
      </c>
      <c r="AD171">
        <f>IF(AND(ISNUMBER(S171),ISNUMBER(S176)),VLOOKUP(ABS(S171-S176),'IMP Table'!$A$2:$C$26,3)*SIGN(S171-S176),"")</f>
        <v/>
      </c>
      <c r="AE171">
        <f>IF(AND(ISNUMBER(S171),ISNUMBER(S177)),VLOOKUP(ABS(S171-S177),'IMP Table'!$A$2:$C$26,3)*SIGN(S171-S177),"")</f>
        <v/>
      </c>
      <c r="AF171">
        <f>IF(AND(ISNUMBER(R171),ISNUMBER(R172)),IF(R171&gt;R172,1,IF(R171=R172,0.5,0)),0.5)</f>
        <v/>
      </c>
      <c r="AG171">
        <f>IF(AND(ISNUMBER(R171),ISNUMBER(R173)),IF(R171&gt;R173,1,IF(R171=R173,0.5,0)),0.5)</f>
        <v/>
      </c>
      <c r="AH171">
        <f>IF(AND(ISNUMBER(R171),ISNUMBER(R174)),IF(R171&gt;R174,1,IF(R171=R174,0.5,0)),0.5)</f>
        <v/>
      </c>
      <c r="AI171">
        <f>IF(AND(ISNUMBER(R171),ISNUMBER(R175)),IF(R171&gt;R175,1,IF(R171=R175,0.5,0)),0.5)</f>
        <v/>
      </c>
      <c r="AJ171">
        <f>IF(AND(ISNUMBER(R171),ISNUMBER(R176)),IF(R171&gt;R176,1,IF(R171=R176,0.5,0)),0.5)</f>
        <v/>
      </c>
      <c r="AK171">
        <f>IF(AND(ISNUMBER(R171),ISNUMBER(R177)),IF(R171&gt;R177,1,IF(R171=R177,0.5,0)),0.5)</f>
        <v/>
      </c>
      <c r="AL171">
        <f>IF(AND(ISNUMBER(S171),ISNUMBER(S172)),IF(S171&gt;S172,1,IF(S171=S172,0.5,0)),0.5)</f>
        <v/>
      </c>
      <c r="AM171">
        <f>IF(AND(ISNUMBER(S171),ISNUMBER(S173)),IF(S171&gt;S173,1,IF(S171=S173,0.5,0)),0.5)</f>
        <v/>
      </c>
      <c r="AN171">
        <f>IF(AND(ISNUMBER(S171),ISNUMBER(S174)),IF(S171&gt;S174,1,IF(S171=S174,0.5,0)),0.5)</f>
        <v/>
      </c>
      <c r="AO171">
        <f>IF(AND(ISNUMBER(S171),ISNUMBER(S175)),IF(S171&gt;S175,1,IF(S171=S175,0.5,0)),0.5)</f>
        <v/>
      </c>
      <c r="AP171">
        <f>IF(AND(ISNUMBER(S171),ISNUMBER(S176)),IF(S171&gt;S176,1,IF(S171=S176,0.5,0)),0.5)</f>
        <v/>
      </c>
      <c r="AQ171">
        <f>IF(AND(ISNUMBER(S171),ISNUMBER(S177)),IF(S171&gt;S177,1,IF(S171=S177,0.5,0)),0.5)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4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5">
        <f>IFERROR(AVERAGE(T172:Y172),"")</f>
        <v/>
      </c>
      <c r="M172" s="4">
        <f>IFERROR(AVERAGE(Z172:AE172),"")</f>
        <v/>
      </c>
      <c r="N172" s="5">
        <f>P172/6</f>
        <v/>
      </c>
      <c r="O172" s="5">
        <f>Q172/6</f>
        <v/>
      </c>
      <c r="P172" s="4">
        <f>IFERROR(SUM(AF172:AK172),"")</f>
        <v/>
      </c>
      <c r="Q172" s="4">
        <f>IFERROR(SUM(AL172:AQ172),"")</f>
        <v/>
      </c>
      <c r="R172" s="16">
        <f>IF(ISNUMBER(J172),J172,IF(ISNUMBER(K172),-K172,""))</f>
        <v/>
      </c>
      <c r="S172">
        <f>IF(ISNUMBER(K172),K172,IF(ISNUMBER(J172),-J172,""))</f>
        <v/>
      </c>
      <c r="T172">
        <f>IF(AND(ISNUMBER(R172),ISNUMBER(R171)),VLOOKUP(ABS(R172-R171),'IMP Table'!$A$2:$C$26,3)*SIGN(R172-R171),"")</f>
        <v/>
      </c>
      <c r="U172">
        <f>IF(AND(ISNUMBER(R172),ISNUMBER(R173)),VLOOKUP(ABS(R172-R173),'IMP Table'!$A$2:$C$26,3)*SIGN(R172-R173),"")</f>
        <v/>
      </c>
      <c r="V172">
        <f>IF(AND(ISNUMBER(R172),ISNUMBER(R174)),VLOOKUP(ABS(R172-R174),'IMP Table'!$A$2:$C$26,3)*SIGN(R172-R174),"")</f>
        <v/>
      </c>
      <c r="W172">
        <f>IF(AND(ISNUMBER(R172),ISNUMBER(R175)),VLOOKUP(ABS(R172-R175),'IMP Table'!$A$2:$C$26,3)*SIGN(R172-R175),"")</f>
        <v/>
      </c>
      <c r="X172">
        <f>IF(AND(ISNUMBER(R172),ISNUMBER(R176)),VLOOKUP(ABS(R172-R176),'IMP Table'!$A$2:$C$26,3)*SIGN(R172-R176),"")</f>
        <v/>
      </c>
      <c r="Y172">
        <f>IF(AND(ISNUMBER(R172),ISNUMBER(R177)),VLOOKUP(ABS(R172-R177),'IMP Table'!$A$2:$C$26,3)*SIGN(R172-R177),"")</f>
        <v/>
      </c>
      <c r="Z172">
        <f>IF(AND(ISNUMBER(S172),ISNUMBER(S171)),VLOOKUP(ABS(S172-S171),'IMP Table'!$A$2:$C$26,3)*SIGN(S172-S171),"")</f>
        <v/>
      </c>
      <c r="AA172">
        <f>IF(AND(ISNUMBER(S172),ISNUMBER(S173)),VLOOKUP(ABS(S172-S173),'IMP Table'!$A$2:$C$26,3)*SIGN(S172-S173),"")</f>
        <v/>
      </c>
      <c r="AB172">
        <f>IF(AND(ISNUMBER(S172),ISNUMBER(S174)),VLOOKUP(ABS(S172-S174),'IMP Table'!$A$2:$C$26,3)*SIGN(S172-S174),"")</f>
        <v/>
      </c>
      <c r="AC172">
        <f>IF(AND(ISNUMBER(S172),ISNUMBER(S175)),VLOOKUP(ABS(S172-S175),'IMP Table'!$A$2:$C$26,3)*SIGN(S172-S175),"")</f>
        <v/>
      </c>
      <c r="AD172">
        <f>IF(AND(ISNUMBER(S172),ISNUMBER(S176)),VLOOKUP(ABS(S172-S176),'IMP Table'!$A$2:$C$26,3)*SIGN(S172-S176),"")</f>
        <v/>
      </c>
      <c r="AE172">
        <f>IF(AND(ISNUMBER(S172),ISNUMBER(S177)),VLOOKUP(ABS(S172-S177),'IMP Table'!$A$2:$C$26,3)*SIGN(S172-S177),"")</f>
        <v/>
      </c>
      <c r="AF172">
        <f>IF(AND(ISNUMBER(R172),ISNUMBER(R171)),IF(R172&gt;R171,1,IF(R172=R171,0.5,0)),0.5)</f>
        <v/>
      </c>
      <c r="AG172">
        <f>IF(AND(ISNUMBER(R172),ISNUMBER(R173)),IF(R172&gt;R173,1,IF(R172=R173,0.5,0)),0.5)</f>
        <v/>
      </c>
      <c r="AH172">
        <f>IF(AND(ISNUMBER(R172),ISNUMBER(R174)),IF(R172&gt;R174,1,IF(R172=R174,0.5,0)),0.5)</f>
        <v/>
      </c>
      <c r="AI172">
        <f>IF(AND(ISNUMBER(R172),ISNUMBER(R175)),IF(R172&gt;R175,1,IF(R172=R175,0.5,0)),0.5)</f>
        <v/>
      </c>
      <c r="AJ172">
        <f>IF(AND(ISNUMBER(R172),ISNUMBER(R176)),IF(R172&gt;R176,1,IF(R172=R176,0.5,0)),0.5)</f>
        <v/>
      </c>
      <c r="AK172">
        <f>IF(AND(ISNUMBER(R172),ISNUMBER(R177)),IF(R172&gt;R177,1,IF(R172=R177,0.5,0)),0.5)</f>
        <v/>
      </c>
      <c r="AL172">
        <f>IF(AND(ISNUMBER(S172),ISNUMBER(S171)),IF(S172&gt;S171,1,IF(S172=S171,0.5,0)),0.5)</f>
        <v/>
      </c>
      <c r="AM172">
        <f>IF(AND(ISNUMBER(S172),ISNUMBER(S173)),IF(S172&gt;S173,1,IF(S172=S173,0.5,0)),0.5)</f>
        <v/>
      </c>
      <c r="AN172">
        <f>IF(AND(ISNUMBER(S172),ISNUMBER(S174)),IF(S172&gt;S174,1,IF(S172=S174,0.5,0)),0.5)</f>
        <v/>
      </c>
      <c r="AO172">
        <f>IF(AND(ISNUMBER(S172),ISNUMBER(S175)),IF(S172&gt;S175,1,IF(S172=S175,0.5,0)),0.5)</f>
        <v/>
      </c>
      <c r="AP172">
        <f>IF(AND(ISNUMBER(S172),ISNUMBER(S176)),IF(S172&gt;S176,1,IF(S172=S176,0.5,0)),0.5)</f>
        <v/>
      </c>
      <c r="AQ172">
        <f>IF(AND(ISNUMBER(S172),ISNUMBER(S177)),IF(S172&gt;S177,1,IF(S172=S177,0.5,0)),0.5)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4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5">
        <f>IFERROR(AVERAGE(T173:Y173),"")</f>
        <v/>
      </c>
      <c r="M173" s="4">
        <f>IFERROR(AVERAGE(Z173:AE173),"")</f>
        <v/>
      </c>
      <c r="N173" s="5">
        <f>P173/6</f>
        <v/>
      </c>
      <c r="O173" s="5">
        <f>Q173/6</f>
        <v/>
      </c>
      <c r="P173" s="4">
        <f>IFERROR(SUM(AF173:AK173),"")</f>
        <v/>
      </c>
      <c r="Q173" s="4">
        <f>IFERROR(SUM(AL173:AQ173),"")</f>
        <v/>
      </c>
      <c r="R173" s="16">
        <f>IF(ISNUMBER(J173),J173,IF(ISNUMBER(K173),-K173,""))</f>
        <v/>
      </c>
      <c r="S173">
        <f>IF(ISNUMBER(K173),K173,IF(ISNUMBER(J173),-J173,""))</f>
        <v/>
      </c>
      <c r="T173">
        <f>IF(AND(ISNUMBER(R173),ISNUMBER(R171)),VLOOKUP(ABS(R173-R171),'IMP Table'!$A$2:$C$26,3)*SIGN(R173-R171),"")</f>
        <v/>
      </c>
      <c r="U173">
        <f>IF(AND(ISNUMBER(R173),ISNUMBER(R172)),VLOOKUP(ABS(R173-R172),'IMP Table'!$A$2:$C$26,3)*SIGN(R173-R172),"")</f>
        <v/>
      </c>
      <c r="V173">
        <f>IF(AND(ISNUMBER(R173),ISNUMBER(R174)),VLOOKUP(ABS(R173-R174),'IMP Table'!$A$2:$C$26,3)*SIGN(R173-R174),"")</f>
        <v/>
      </c>
      <c r="W173">
        <f>IF(AND(ISNUMBER(R173),ISNUMBER(R175)),VLOOKUP(ABS(R173-R175),'IMP Table'!$A$2:$C$26,3)*SIGN(R173-R175),"")</f>
        <v/>
      </c>
      <c r="X173">
        <f>IF(AND(ISNUMBER(R173),ISNUMBER(R176)),VLOOKUP(ABS(R173-R176),'IMP Table'!$A$2:$C$26,3)*SIGN(R173-R176),"")</f>
        <v/>
      </c>
      <c r="Y173">
        <f>IF(AND(ISNUMBER(R173),ISNUMBER(R177)),VLOOKUP(ABS(R173-R177),'IMP Table'!$A$2:$C$26,3)*SIGN(R173-R177),"")</f>
        <v/>
      </c>
      <c r="Z173">
        <f>IF(AND(ISNUMBER(S173),ISNUMBER(S171)),VLOOKUP(ABS(S173-S171),'IMP Table'!$A$2:$C$26,3)*SIGN(S173-S171),"")</f>
        <v/>
      </c>
      <c r="AA173">
        <f>IF(AND(ISNUMBER(S173),ISNUMBER(S172)),VLOOKUP(ABS(S173-S172),'IMP Table'!$A$2:$C$26,3)*SIGN(S173-S172),"")</f>
        <v/>
      </c>
      <c r="AB173">
        <f>IF(AND(ISNUMBER(S173),ISNUMBER(S174)),VLOOKUP(ABS(S173-S174),'IMP Table'!$A$2:$C$26,3)*SIGN(S173-S174),"")</f>
        <v/>
      </c>
      <c r="AC173">
        <f>IF(AND(ISNUMBER(S173),ISNUMBER(S175)),VLOOKUP(ABS(S173-S175),'IMP Table'!$A$2:$C$26,3)*SIGN(S173-S175),"")</f>
        <v/>
      </c>
      <c r="AD173">
        <f>IF(AND(ISNUMBER(S173),ISNUMBER(S176)),VLOOKUP(ABS(S173-S176),'IMP Table'!$A$2:$C$26,3)*SIGN(S173-S176),"")</f>
        <v/>
      </c>
      <c r="AE173">
        <f>IF(AND(ISNUMBER(S173),ISNUMBER(S177)),VLOOKUP(ABS(S173-S177),'IMP Table'!$A$2:$C$26,3)*SIGN(S173-S177),"")</f>
        <v/>
      </c>
      <c r="AF173">
        <f>IF(AND(ISNUMBER(R173),ISNUMBER(R171)),IF(R173&gt;R171,1,IF(R173=R171,0.5,0)),0.5)</f>
        <v/>
      </c>
      <c r="AG173">
        <f>IF(AND(ISNUMBER(R173),ISNUMBER(R172)),IF(R173&gt;R172,1,IF(R173=R172,0.5,0)),0.5)</f>
        <v/>
      </c>
      <c r="AH173">
        <f>IF(AND(ISNUMBER(R173),ISNUMBER(R174)),IF(R173&gt;R174,1,IF(R173=R174,0.5,0)),0.5)</f>
        <v/>
      </c>
      <c r="AI173">
        <f>IF(AND(ISNUMBER(R173),ISNUMBER(R175)),IF(R173&gt;R175,1,IF(R173=R175,0.5,0)),0.5)</f>
        <v/>
      </c>
      <c r="AJ173">
        <f>IF(AND(ISNUMBER(R173),ISNUMBER(R176)),IF(R173&gt;R176,1,IF(R173=R176,0.5,0)),0.5)</f>
        <v/>
      </c>
      <c r="AK173">
        <f>IF(AND(ISNUMBER(R173),ISNUMBER(R177)),IF(R173&gt;R177,1,IF(R173=R177,0.5,0)),0.5)</f>
        <v/>
      </c>
      <c r="AL173">
        <f>IF(AND(ISNUMBER(S173),ISNUMBER(S171)),IF(S173&gt;S171,1,IF(S173=S171,0.5,0)),0.5)</f>
        <v/>
      </c>
      <c r="AM173">
        <f>IF(AND(ISNUMBER(S173),ISNUMBER(S172)),IF(S173&gt;S172,1,IF(S173=S172,0.5,0)),0.5)</f>
        <v/>
      </c>
      <c r="AN173">
        <f>IF(AND(ISNUMBER(S173),ISNUMBER(S174)),IF(S173&gt;S174,1,IF(S173=S174,0.5,0)),0.5)</f>
        <v/>
      </c>
      <c r="AO173">
        <f>IF(AND(ISNUMBER(S173),ISNUMBER(S175)),IF(S173&gt;S175,1,IF(S173=S175,0.5,0)),0.5)</f>
        <v/>
      </c>
      <c r="AP173">
        <f>IF(AND(ISNUMBER(S173),ISNUMBER(S176)),IF(S173&gt;S176,1,IF(S173=S176,0.5,0)),0.5)</f>
        <v/>
      </c>
      <c r="AQ173">
        <f>IF(AND(ISNUMBER(S173),ISNUMBER(S177)),IF(S173&gt;S177,1,IF(S173=S177,0.5,0)),0.5)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4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5">
        <f>IFERROR(AVERAGE(T174:Y174),"")</f>
        <v/>
      </c>
      <c r="M174" s="4">
        <f>IFERROR(AVERAGE(Z174:AE174),"")</f>
        <v/>
      </c>
      <c r="N174" s="5">
        <f>P174/6</f>
        <v/>
      </c>
      <c r="O174" s="5">
        <f>Q174/6</f>
        <v/>
      </c>
      <c r="P174" s="4">
        <f>IFERROR(SUM(AF174:AK174),"")</f>
        <v/>
      </c>
      <c r="Q174" s="4">
        <f>IFERROR(SUM(AL174:AQ174),"")</f>
        <v/>
      </c>
      <c r="R174" s="16">
        <f>IF(ISNUMBER(J174),J174,IF(ISNUMBER(K174),-K174,""))</f>
        <v/>
      </c>
      <c r="S174">
        <f>IF(ISNUMBER(K174),K174,IF(ISNUMBER(J174),-J174,""))</f>
        <v/>
      </c>
      <c r="T174">
        <f>IF(AND(ISNUMBER(R174),ISNUMBER(R171)),VLOOKUP(ABS(R174-R171),'IMP Table'!$A$2:$C$26,3)*SIGN(R174-R171),"")</f>
        <v/>
      </c>
      <c r="U174">
        <f>IF(AND(ISNUMBER(R174),ISNUMBER(R172)),VLOOKUP(ABS(R174-R172),'IMP Table'!$A$2:$C$26,3)*SIGN(R174-R172),"")</f>
        <v/>
      </c>
      <c r="V174">
        <f>IF(AND(ISNUMBER(R174),ISNUMBER(R173)),VLOOKUP(ABS(R174-R173),'IMP Table'!$A$2:$C$26,3)*SIGN(R174-R173),"")</f>
        <v/>
      </c>
      <c r="W174">
        <f>IF(AND(ISNUMBER(R174),ISNUMBER(R175)),VLOOKUP(ABS(R174-R175),'IMP Table'!$A$2:$C$26,3)*SIGN(R174-R175),"")</f>
        <v/>
      </c>
      <c r="X174">
        <f>IF(AND(ISNUMBER(R174),ISNUMBER(R176)),VLOOKUP(ABS(R174-R176),'IMP Table'!$A$2:$C$26,3)*SIGN(R174-R176),"")</f>
        <v/>
      </c>
      <c r="Y174">
        <f>IF(AND(ISNUMBER(R174),ISNUMBER(R177)),VLOOKUP(ABS(R174-R177),'IMP Table'!$A$2:$C$26,3)*SIGN(R174-R177),"")</f>
        <v/>
      </c>
      <c r="Z174">
        <f>IF(AND(ISNUMBER(S174),ISNUMBER(S171)),VLOOKUP(ABS(S174-S171),'IMP Table'!$A$2:$C$26,3)*SIGN(S174-S171),"")</f>
        <v/>
      </c>
      <c r="AA174">
        <f>IF(AND(ISNUMBER(S174),ISNUMBER(S172)),VLOOKUP(ABS(S174-S172),'IMP Table'!$A$2:$C$26,3)*SIGN(S174-S172),"")</f>
        <v/>
      </c>
      <c r="AB174">
        <f>IF(AND(ISNUMBER(S174),ISNUMBER(S173)),VLOOKUP(ABS(S174-S173),'IMP Table'!$A$2:$C$26,3)*SIGN(S174-S173),"")</f>
        <v/>
      </c>
      <c r="AC174">
        <f>IF(AND(ISNUMBER(S174),ISNUMBER(S175)),VLOOKUP(ABS(S174-S175),'IMP Table'!$A$2:$C$26,3)*SIGN(S174-S175),"")</f>
        <v/>
      </c>
      <c r="AD174">
        <f>IF(AND(ISNUMBER(S174),ISNUMBER(S176)),VLOOKUP(ABS(S174-S176),'IMP Table'!$A$2:$C$26,3)*SIGN(S174-S176),"")</f>
        <v/>
      </c>
      <c r="AE174">
        <f>IF(AND(ISNUMBER(S174),ISNUMBER(S177)),VLOOKUP(ABS(S174-S177),'IMP Table'!$A$2:$C$26,3)*SIGN(S174-S177),"")</f>
        <v/>
      </c>
      <c r="AF174">
        <f>IF(AND(ISNUMBER(R174),ISNUMBER(R171)),IF(R174&gt;R171,1,IF(R174=R171,0.5,0)),0.5)</f>
        <v/>
      </c>
      <c r="AG174">
        <f>IF(AND(ISNUMBER(R174),ISNUMBER(R172)),IF(R174&gt;R172,1,IF(R174=R172,0.5,0)),0.5)</f>
        <v/>
      </c>
      <c r="AH174">
        <f>IF(AND(ISNUMBER(R174),ISNUMBER(R173)),IF(R174&gt;R173,1,IF(R174=R173,0.5,0)),0.5)</f>
        <v/>
      </c>
      <c r="AI174">
        <f>IF(AND(ISNUMBER(R174),ISNUMBER(R175)),IF(R174&gt;R175,1,IF(R174=R175,0.5,0)),0.5)</f>
        <v/>
      </c>
      <c r="AJ174">
        <f>IF(AND(ISNUMBER(R174),ISNUMBER(R176)),IF(R174&gt;R176,1,IF(R174=R176,0.5,0)),0.5)</f>
        <v/>
      </c>
      <c r="AK174">
        <f>IF(AND(ISNUMBER(R174),ISNUMBER(R177)),IF(R174&gt;R177,1,IF(R174=R177,0.5,0)),0.5)</f>
        <v/>
      </c>
      <c r="AL174">
        <f>IF(AND(ISNUMBER(S174),ISNUMBER(S171)),IF(S174&gt;S171,1,IF(S174=S171,0.5,0)),0.5)</f>
        <v/>
      </c>
      <c r="AM174">
        <f>IF(AND(ISNUMBER(S174),ISNUMBER(S172)),IF(S174&gt;S172,1,IF(S174=S172,0.5,0)),0.5)</f>
        <v/>
      </c>
      <c r="AN174">
        <f>IF(AND(ISNUMBER(S174),ISNUMBER(S173)),IF(S174&gt;S173,1,IF(S174=S173,0.5,0)),0.5)</f>
        <v/>
      </c>
      <c r="AO174">
        <f>IF(AND(ISNUMBER(S174),ISNUMBER(S175)),IF(S174&gt;S175,1,IF(S174=S175,0.5,0)),0.5)</f>
        <v/>
      </c>
      <c r="AP174">
        <f>IF(AND(ISNUMBER(S174),ISNUMBER(S176)),IF(S174&gt;S176,1,IF(S174=S176,0.5,0)),0.5)</f>
        <v/>
      </c>
      <c r="AQ174">
        <f>IF(AND(ISNUMBER(S174),ISNUMBER(S177)),IF(S174&gt;S177,1,IF(S174=S177,0.5,0)),0.5)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4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5">
        <f>IFERROR(AVERAGE(T175:Y175),"")</f>
        <v/>
      </c>
      <c r="M175" s="4">
        <f>IFERROR(AVERAGE(Z175:AE175),"")</f>
        <v/>
      </c>
      <c r="N175" s="5">
        <f>P175/6</f>
        <v/>
      </c>
      <c r="O175" s="5">
        <f>Q175/6</f>
        <v/>
      </c>
      <c r="P175" s="4">
        <f>IFERROR(SUM(AF175:AK175),"")</f>
        <v/>
      </c>
      <c r="Q175" s="4">
        <f>IFERROR(SUM(AL175:AQ175),"")</f>
        <v/>
      </c>
      <c r="R175" s="16">
        <f>IF(ISNUMBER(J175),J175,IF(ISNUMBER(K175),-K175,""))</f>
        <v/>
      </c>
      <c r="S175">
        <f>IF(ISNUMBER(K175),K175,IF(ISNUMBER(J175),-J175,""))</f>
        <v/>
      </c>
      <c r="T175">
        <f>IF(AND(ISNUMBER(R175),ISNUMBER(R171)),VLOOKUP(ABS(R175-R171),'IMP Table'!$A$2:$C$26,3)*SIGN(R175-R171),"")</f>
        <v/>
      </c>
      <c r="U175">
        <f>IF(AND(ISNUMBER(R175),ISNUMBER(R172)),VLOOKUP(ABS(R175-R172),'IMP Table'!$A$2:$C$26,3)*SIGN(R175-R172),"")</f>
        <v/>
      </c>
      <c r="V175">
        <f>IF(AND(ISNUMBER(R175),ISNUMBER(R173)),VLOOKUP(ABS(R175-R173),'IMP Table'!$A$2:$C$26,3)*SIGN(R175-R173),"")</f>
        <v/>
      </c>
      <c r="W175">
        <f>IF(AND(ISNUMBER(R175),ISNUMBER(R174)),VLOOKUP(ABS(R175-R174),'IMP Table'!$A$2:$C$26,3)*SIGN(R175-R174),"")</f>
        <v/>
      </c>
      <c r="X175">
        <f>IF(AND(ISNUMBER(R175),ISNUMBER(R176)),VLOOKUP(ABS(R175-R176),'IMP Table'!$A$2:$C$26,3)*SIGN(R175-R176),"")</f>
        <v/>
      </c>
      <c r="Y175">
        <f>IF(AND(ISNUMBER(R175),ISNUMBER(R177)),VLOOKUP(ABS(R175-R177),'IMP Table'!$A$2:$C$26,3)*SIGN(R175-R177),"")</f>
        <v/>
      </c>
      <c r="Z175">
        <f>IF(AND(ISNUMBER(S175),ISNUMBER(S171)),VLOOKUP(ABS(S175-S171),'IMP Table'!$A$2:$C$26,3)*SIGN(S175-S171),"")</f>
        <v/>
      </c>
      <c r="AA175">
        <f>IF(AND(ISNUMBER(S175),ISNUMBER(S172)),VLOOKUP(ABS(S175-S172),'IMP Table'!$A$2:$C$26,3)*SIGN(S175-S172),"")</f>
        <v/>
      </c>
      <c r="AB175">
        <f>IF(AND(ISNUMBER(S175),ISNUMBER(S173)),VLOOKUP(ABS(S175-S173),'IMP Table'!$A$2:$C$26,3)*SIGN(S175-S173),"")</f>
        <v/>
      </c>
      <c r="AC175">
        <f>IF(AND(ISNUMBER(S175),ISNUMBER(S174)),VLOOKUP(ABS(S175-S174),'IMP Table'!$A$2:$C$26,3)*SIGN(S175-S174),"")</f>
        <v/>
      </c>
      <c r="AD175">
        <f>IF(AND(ISNUMBER(S175),ISNUMBER(S176)),VLOOKUP(ABS(S175-S176),'IMP Table'!$A$2:$C$26,3)*SIGN(S175-S176),"")</f>
        <v/>
      </c>
      <c r="AE175">
        <f>IF(AND(ISNUMBER(S175),ISNUMBER(S177)),VLOOKUP(ABS(S175-S177),'IMP Table'!$A$2:$C$26,3)*SIGN(S175-S177),"")</f>
        <v/>
      </c>
      <c r="AF175">
        <f>IF(AND(ISNUMBER(R175),ISNUMBER(R171)),IF(R175&gt;R171,1,IF(R175=R171,0.5,0)),0.5)</f>
        <v/>
      </c>
      <c r="AG175">
        <f>IF(AND(ISNUMBER(R175),ISNUMBER(R172)),IF(R175&gt;R172,1,IF(R175=R172,0.5,0)),0.5)</f>
        <v/>
      </c>
      <c r="AH175">
        <f>IF(AND(ISNUMBER(R175),ISNUMBER(R173)),IF(R175&gt;R173,1,IF(R175=R173,0.5,0)),0.5)</f>
        <v/>
      </c>
      <c r="AI175">
        <f>IF(AND(ISNUMBER(R175),ISNUMBER(R174)),IF(R175&gt;R174,1,IF(R175=R174,0.5,0)),0.5)</f>
        <v/>
      </c>
      <c r="AJ175">
        <f>IF(AND(ISNUMBER(R175),ISNUMBER(R176)),IF(R175&gt;R176,1,IF(R175=R176,0.5,0)),0.5)</f>
        <v/>
      </c>
      <c r="AK175">
        <f>IF(AND(ISNUMBER(R175),ISNUMBER(R177)),IF(R175&gt;R177,1,IF(R175=R177,0.5,0)),0.5)</f>
        <v/>
      </c>
      <c r="AL175">
        <f>IF(AND(ISNUMBER(S175),ISNUMBER(S171)),IF(S175&gt;S171,1,IF(S175=S171,0.5,0)),0.5)</f>
        <v/>
      </c>
      <c r="AM175">
        <f>IF(AND(ISNUMBER(S175),ISNUMBER(S172)),IF(S175&gt;S172,1,IF(S175=S172,0.5,0)),0.5)</f>
        <v/>
      </c>
      <c r="AN175">
        <f>IF(AND(ISNUMBER(S175),ISNUMBER(S173)),IF(S175&gt;S173,1,IF(S175=S173,0.5,0)),0.5)</f>
        <v/>
      </c>
      <c r="AO175">
        <f>IF(AND(ISNUMBER(S175),ISNUMBER(S174)),IF(S175&gt;S174,1,IF(S175=S174,0.5,0)),0.5)</f>
        <v/>
      </c>
      <c r="AP175">
        <f>IF(AND(ISNUMBER(S175),ISNUMBER(S176)),IF(S175&gt;S176,1,IF(S175=S176,0.5,0)),0.5)</f>
        <v/>
      </c>
      <c r="AQ175">
        <f>IF(AND(ISNUMBER(S175),ISNUMBER(S177)),IF(S175&gt;S177,1,IF(S175=S177,0.5,0)),0.5)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4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5">
        <f>IFERROR(AVERAGE(T176:Y176),"")</f>
        <v/>
      </c>
      <c r="M176" s="4">
        <f>IFERROR(AVERAGE(Z176:AE176),"")</f>
        <v/>
      </c>
      <c r="N176" s="5">
        <f>P176/6</f>
        <v/>
      </c>
      <c r="O176" s="5">
        <f>Q176/6</f>
        <v/>
      </c>
      <c r="P176" s="4">
        <f>IFERROR(SUM(AF176:AK176),"")</f>
        <v/>
      </c>
      <c r="Q176" s="4">
        <f>IFERROR(SUM(AL176:AQ176),"")</f>
        <v/>
      </c>
      <c r="R176" s="16">
        <f>IF(ISNUMBER(J176),J176,IF(ISNUMBER(K176),-K176,""))</f>
        <v/>
      </c>
      <c r="S176">
        <f>IF(ISNUMBER(K176),K176,IF(ISNUMBER(J176),-J176,""))</f>
        <v/>
      </c>
      <c r="T176">
        <f>IF(AND(ISNUMBER(R176),ISNUMBER(R171)),VLOOKUP(ABS(R176-R171),'IMP Table'!$A$2:$C$26,3)*SIGN(R176-R171),"")</f>
        <v/>
      </c>
      <c r="U176">
        <f>IF(AND(ISNUMBER(R176),ISNUMBER(R172)),VLOOKUP(ABS(R176-R172),'IMP Table'!$A$2:$C$26,3)*SIGN(R176-R172),"")</f>
        <v/>
      </c>
      <c r="V176">
        <f>IF(AND(ISNUMBER(R176),ISNUMBER(R173)),VLOOKUP(ABS(R176-R173),'IMP Table'!$A$2:$C$26,3)*SIGN(R176-R173),"")</f>
        <v/>
      </c>
      <c r="W176">
        <f>IF(AND(ISNUMBER(R176),ISNUMBER(R174)),VLOOKUP(ABS(R176-R174),'IMP Table'!$A$2:$C$26,3)*SIGN(R176-R174),"")</f>
        <v/>
      </c>
      <c r="X176">
        <f>IF(AND(ISNUMBER(R176),ISNUMBER(R175)),VLOOKUP(ABS(R176-R175),'IMP Table'!$A$2:$C$26,3)*SIGN(R176-R175),"")</f>
        <v/>
      </c>
      <c r="Y176">
        <f>IF(AND(ISNUMBER(R176),ISNUMBER(R177)),VLOOKUP(ABS(R176-R177),'IMP Table'!$A$2:$C$26,3)*SIGN(R176-R177),"")</f>
        <v/>
      </c>
      <c r="Z176">
        <f>IF(AND(ISNUMBER(S176),ISNUMBER(S171)),VLOOKUP(ABS(S176-S171),'IMP Table'!$A$2:$C$26,3)*SIGN(S176-S171),"")</f>
        <v/>
      </c>
      <c r="AA176">
        <f>IF(AND(ISNUMBER(S176),ISNUMBER(S172)),VLOOKUP(ABS(S176-S172),'IMP Table'!$A$2:$C$26,3)*SIGN(S176-S172),"")</f>
        <v/>
      </c>
      <c r="AB176">
        <f>IF(AND(ISNUMBER(S176),ISNUMBER(S173)),VLOOKUP(ABS(S176-S173),'IMP Table'!$A$2:$C$26,3)*SIGN(S176-S173),"")</f>
        <v/>
      </c>
      <c r="AC176">
        <f>IF(AND(ISNUMBER(S176),ISNUMBER(S174)),VLOOKUP(ABS(S176-S174),'IMP Table'!$A$2:$C$26,3)*SIGN(S176-S174),"")</f>
        <v/>
      </c>
      <c r="AD176">
        <f>IF(AND(ISNUMBER(S176),ISNUMBER(S175)),VLOOKUP(ABS(S176-S175),'IMP Table'!$A$2:$C$26,3)*SIGN(S176-S175),"")</f>
        <v/>
      </c>
      <c r="AE176">
        <f>IF(AND(ISNUMBER(S176),ISNUMBER(S177)),VLOOKUP(ABS(S176-S177),'IMP Table'!$A$2:$C$26,3)*SIGN(S176-S177),"")</f>
        <v/>
      </c>
      <c r="AF176">
        <f>IF(AND(ISNUMBER(R176),ISNUMBER(R171)),IF(R176&gt;R171,1,IF(R176=R171,0.5,0)),0.5)</f>
        <v/>
      </c>
      <c r="AG176">
        <f>IF(AND(ISNUMBER(R176),ISNUMBER(R172)),IF(R176&gt;R172,1,IF(R176=R172,0.5,0)),0.5)</f>
        <v/>
      </c>
      <c r="AH176">
        <f>IF(AND(ISNUMBER(R176),ISNUMBER(R173)),IF(R176&gt;R173,1,IF(R176=R173,0.5,0)),0.5)</f>
        <v/>
      </c>
      <c r="AI176">
        <f>IF(AND(ISNUMBER(R176),ISNUMBER(R174)),IF(R176&gt;R174,1,IF(R176=R174,0.5,0)),0.5)</f>
        <v/>
      </c>
      <c r="AJ176">
        <f>IF(AND(ISNUMBER(R176),ISNUMBER(R175)),IF(R176&gt;R175,1,IF(R176=R175,0.5,0)),0.5)</f>
        <v/>
      </c>
      <c r="AK176">
        <f>IF(AND(ISNUMBER(R176),ISNUMBER(R177)),IF(R176&gt;R177,1,IF(R176=R177,0.5,0)),0.5)</f>
        <v/>
      </c>
      <c r="AL176">
        <f>IF(AND(ISNUMBER(S176),ISNUMBER(S171)),IF(S176&gt;S171,1,IF(S176=S171,0.5,0)),0.5)</f>
        <v/>
      </c>
      <c r="AM176">
        <f>IF(AND(ISNUMBER(S176),ISNUMBER(S172)),IF(S176&gt;S172,1,IF(S176=S172,0.5,0)),0.5)</f>
        <v/>
      </c>
      <c r="AN176">
        <f>IF(AND(ISNUMBER(S176),ISNUMBER(S173)),IF(S176&gt;S173,1,IF(S176=S173,0.5,0)),0.5)</f>
        <v/>
      </c>
      <c r="AO176">
        <f>IF(AND(ISNUMBER(S176),ISNUMBER(S174)),IF(S176&gt;S174,1,IF(S176=S174,0.5,0)),0.5)</f>
        <v/>
      </c>
      <c r="AP176">
        <f>IF(AND(ISNUMBER(S176),ISNUMBER(S175)),IF(S176&gt;S175,1,IF(S176=S175,0.5,0)),0.5)</f>
        <v/>
      </c>
      <c r="AQ176">
        <f>IF(AND(ISNUMBER(S176),ISNUMBER(S177)),IF(S176&gt;S177,1,IF(S176=S177,0.5,0)),0.5)</f>
        <v/>
      </c>
    </row>
    <row r="177">
      <c r="A177" s="13" t="n"/>
      <c r="B177" s="13">
        <f>'By Round'!A171</f>
        <v/>
      </c>
      <c r="C177" s="13">
        <f>'By Round'!B171</f>
        <v/>
      </c>
      <c r="D177" s="13">
        <f>'By Round'!C171</f>
        <v/>
      </c>
      <c r="E177" s="13">
        <f>'By Round'!D171</f>
        <v/>
      </c>
      <c r="F177" s="17" t="inlineStr">
        <is>
          <t>EW</t>
        </is>
      </c>
      <c r="G177" s="13">
        <f>IF(ISBLANK('By Round'!G171),"",'By Round'!G171)</f>
        <v/>
      </c>
      <c r="H177" s="13">
        <f>IF(ISBLANK('By Round'!H171),"",'By Round'!H171)</f>
        <v/>
      </c>
      <c r="I177" s="13">
        <f>IF(ISBLANK('By Round'!I171),"",'By Round'!I171)</f>
        <v/>
      </c>
      <c r="J177" s="13">
        <f>IF(ISBLANK('By Round'!J171),"",'By Round'!J171)</f>
        <v/>
      </c>
      <c r="K177" s="13">
        <f>IF(ISBLANK('By Round'!K171),"",'By Round'!K171)</f>
        <v/>
      </c>
      <c r="L177" s="18">
        <f>IFERROR(AVERAGE(T177:Y177),"")</f>
        <v/>
      </c>
      <c r="M177" s="19">
        <f>IFERROR(AVERAGE(Z177:AE177),"")</f>
        <v/>
      </c>
      <c r="N177" s="20">
        <f>P177/6</f>
        <v/>
      </c>
      <c r="O177" s="20">
        <f>Q177/6</f>
        <v/>
      </c>
      <c r="P177" s="19">
        <f>IFERROR(SUM(AF177:AK177),"")</f>
        <v/>
      </c>
      <c r="Q177" s="19">
        <f>IFERROR(SUM(AL177:AQ177),"")</f>
        <v/>
      </c>
      <c r="R177" s="21">
        <f>IF(ISNUMBER(J177),J177,IF(ISNUMBER(K177),-K177,""))</f>
        <v/>
      </c>
      <c r="S177" s="13">
        <f>IF(ISNUMBER(K177),K177,IF(ISNUMBER(J177),-J177,""))</f>
        <v/>
      </c>
      <c r="T177" s="13">
        <f>IF(AND(ISNUMBER(R177),ISNUMBER(R171)),VLOOKUP(ABS(R177-R171),'IMP Table'!$A$2:$C$26,3)*SIGN(R177-R171),"")</f>
        <v/>
      </c>
      <c r="U177" s="13">
        <f>IF(AND(ISNUMBER(R177),ISNUMBER(R172)),VLOOKUP(ABS(R177-R172),'IMP Table'!$A$2:$C$26,3)*SIGN(R177-R172),"")</f>
        <v/>
      </c>
      <c r="V177" s="13">
        <f>IF(AND(ISNUMBER(R177),ISNUMBER(R173)),VLOOKUP(ABS(R177-R173),'IMP Table'!$A$2:$C$26,3)*SIGN(R177-R173),"")</f>
        <v/>
      </c>
      <c r="W177" s="13">
        <f>IF(AND(ISNUMBER(R177),ISNUMBER(R174)),VLOOKUP(ABS(R177-R174),'IMP Table'!$A$2:$C$26,3)*SIGN(R177-R174),"")</f>
        <v/>
      </c>
      <c r="X177" s="13">
        <f>IF(AND(ISNUMBER(R177),ISNUMBER(R175)),VLOOKUP(ABS(R177-R175),'IMP Table'!$A$2:$C$26,3)*SIGN(R177-R175),"")</f>
        <v/>
      </c>
      <c r="Y177" s="13">
        <f>IF(AND(ISNUMBER(R177),ISNUMBER(R176)),VLOOKUP(ABS(R177-R176),'IMP Table'!$A$2:$C$26,3)*SIGN(R177-R176),"")</f>
        <v/>
      </c>
      <c r="Z177" s="13">
        <f>IF(AND(ISNUMBER(S177),ISNUMBER(S171)),VLOOKUP(ABS(S177-S171),'IMP Table'!$A$2:$C$26,3)*SIGN(S177-S171),"")</f>
        <v/>
      </c>
      <c r="AA177" s="13">
        <f>IF(AND(ISNUMBER(S177),ISNUMBER(S172)),VLOOKUP(ABS(S177-S172),'IMP Table'!$A$2:$C$26,3)*SIGN(S177-S172),"")</f>
        <v/>
      </c>
      <c r="AB177" s="13">
        <f>IF(AND(ISNUMBER(S177),ISNUMBER(S173)),VLOOKUP(ABS(S177-S173),'IMP Table'!$A$2:$C$26,3)*SIGN(S177-S173),"")</f>
        <v/>
      </c>
      <c r="AC177" s="13">
        <f>IF(AND(ISNUMBER(S177),ISNUMBER(S174)),VLOOKUP(ABS(S177-S174),'IMP Table'!$A$2:$C$26,3)*SIGN(S177-S174),"")</f>
        <v/>
      </c>
      <c r="AD177" s="13">
        <f>IF(AND(ISNUMBER(S177),ISNUMBER(S175)),VLOOKUP(ABS(S177-S175),'IMP Table'!$A$2:$C$26,3)*SIGN(S177-S175),"")</f>
        <v/>
      </c>
      <c r="AE177" s="13">
        <f>IF(AND(ISNUMBER(S177),ISNUMBER(S176)),VLOOKUP(ABS(S177-S176),'IMP Table'!$A$2:$C$26,3)*SIGN(S177-S176),"")</f>
        <v/>
      </c>
      <c r="AF177" s="13">
        <f>IF(AND(ISNUMBER(R177),ISNUMBER(R171)),IF(R177&gt;R171,1,IF(R177=R171,0.5,0)),0.5)</f>
        <v/>
      </c>
      <c r="AG177" s="13">
        <f>IF(AND(ISNUMBER(R177),ISNUMBER(R172)),IF(R177&gt;R172,1,IF(R177=R172,0.5,0)),0.5)</f>
        <v/>
      </c>
      <c r="AH177" s="13">
        <f>IF(AND(ISNUMBER(R177),ISNUMBER(R173)),IF(R177&gt;R173,1,IF(R177=R173,0.5,0)),0.5)</f>
        <v/>
      </c>
      <c r="AI177" s="13">
        <f>IF(AND(ISNUMBER(R177),ISNUMBER(R174)),IF(R177&gt;R174,1,IF(R177=R174,0.5,0)),0.5)</f>
        <v/>
      </c>
      <c r="AJ177" s="13">
        <f>IF(AND(ISNUMBER(R177),ISNUMBER(R175)),IF(R177&gt;R175,1,IF(R177=R175,0.5,0)),0.5)</f>
        <v/>
      </c>
      <c r="AK177" s="13">
        <f>IF(AND(ISNUMBER(R177),ISNUMBER(R176)),IF(R177&gt;R176,1,IF(R177=R176,0.5,0)),0.5)</f>
        <v/>
      </c>
      <c r="AL177" s="13">
        <f>IF(AND(ISNUMBER(S177),ISNUMBER(S171)),IF(S177&gt;S171,1,IF(S177=S171,0.5,0)),0.5)</f>
        <v/>
      </c>
      <c r="AM177" s="13">
        <f>IF(AND(ISNUMBER(S177),ISNUMBER(S172)),IF(S177&gt;S172,1,IF(S177=S172,0.5,0)),0.5)</f>
        <v/>
      </c>
      <c r="AN177" s="13">
        <f>IF(AND(ISNUMBER(S177),ISNUMBER(S173)),IF(S177&gt;S173,1,IF(S177=S173,0.5,0)),0.5)</f>
        <v/>
      </c>
      <c r="AO177" s="13">
        <f>IF(AND(ISNUMBER(S177),ISNUMBER(S174)),IF(S177&gt;S174,1,IF(S177=S174,0.5,0)),0.5)</f>
        <v/>
      </c>
      <c r="AP177" s="13">
        <f>IF(AND(ISNUMBER(S177),ISNUMBER(S175)),IF(S177&gt;S175,1,IF(S177=S175,0.5,0)),0.5)</f>
        <v/>
      </c>
      <c r="AQ177" s="13">
        <f>IF(AND(ISNUMBER(S177),ISNUMBER(S176)),IF(S177&gt;S176,1,IF(S177=S176,0.5,0)),0.5)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4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5">
        <f>IFERROR(AVERAGE(T178:Y178),"")</f>
        <v/>
      </c>
      <c r="M178" s="4">
        <f>IFERROR(AVERAGE(Z178:AE178),"")</f>
        <v/>
      </c>
      <c r="N178" s="5">
        <f>P178/6</f>
        <v/>
      </c>
      <c r="O178" s="5">
        <f>Q178/6</f>
        <v/>
      </c>
      <c r="P178" s="4">
        <f>IFERROR(SUM(AF178:AK178),"")</f>
        <v/>
      </c>
      <c r="Q178" s="4">
        <f>IFERROR(SUM(AL178:AQ178),"")</f>
        <v/>
      </c>
      <c r="R178" s="16">
        <f>IF(ISNUMBER(J178),J178,IF(ISNUMBER(K178),-K178,""))</f>
        <v/>
      </c>
      <c r="S178">
        <f>IF(ISNUMBER(K178),K178,IF(ISNUMBER(J178),-J178,""))</f>
        <v/>
      </c>
      <c r="T178">
        <f>IF(AND(ISNUMBER(R178),ISNUMBER(R179)),VLOOKUP(ABS(R178-R179),'IMP Table'!$A$2:$C$26,3)*SIGN(R178-R179),"")</f>
        <v/>
      </c>
      <c r="U178">
        <f>IF(AND(ISNUMBER(R178),ISNUMBER(R180)),VLOOKUP(ABS(R178-R180),'IMP Table'!$A$2:$C$26,3)*SIGN(R178-R180),"")</f>
        <v/>
      </c>
      <c r="V178">
        <f>IF(AND(ISNUMBER(R178),ISNUMBER(R181)),VLOOKUP(ABS(R178-R181),'IMP Table'!$A$2:$C$26,3)*SIGN(R178-R181),"")</f>
        <v/>
      </c>
      <c r="W178">
        <f>IF(AND(ISNUMBER(R178),ISNUMBER(R182)),VLOOKUP(ABS(R178-R182),'IMP Table'!$A$2:$C$26,3)*SIGN(R178-R182),"")</f>
        <v/>
      </c>
      <c r="X178">
        <f>IF(AND(ISNUMBER(R178),ISNUMBER(R183)),VLOOKUP(ABS(R178-R183),'IMP Table'!$A$2:$C$26,3)*SIGN(R178-R183),"")</f>
        <v/>
      </c>
      <c r="Y178">
        <f>IF(AND(ISNUMBER(R178),ISNUMBER(R184)),VLOOKUP(ABS(R178-R184),'IMP Table'!$A$2:$C$26,3)*SIGN(R178-R184),"")</f>
        <v/>
      </c>
      <c r="Z178">
        <f>IF(AND(ISNUMBER(S178),ISNUMBER(S179)),VLOOKUP(ABS(S178-S179),'IMP Table'!$A$2:$C$26,3)*SIGN(S178-S179),"")</f>
        <v/>
      </c>
      <c r="AA178">
        <f>IF(AND(ISNUMBER(S178),ISNUMBER(S180)),VLOOKUP(ABS(S178-S180),'IMP Table'!$A$2:$C$26,3)*SIGN(S178-S180),"")</f>
        <v/>
      </c>
      <c r="AB178">
        <f>IF(AND(ISNUMBER(S178),ISNUMBER(S181)),VLOOKUP(ABS(S178-S181),'IMP Table'!$A$2:$C$26,3)*SIGN(S178-S181),"")</f>
        <v/>
      </c>
      <c r="AC178">
        <f>IF(AND(ISNUMBER(S178),ISNUMBER(S182)),VLOOKUP(ABS(S178-S182),'IMP Table'!$A$2:$C$26,3)*SIGN(S178-S182),"")</f>
        <v/>
      </c>
      <c r="AD178">
        <f>IF(AND(ISNUMBER(S178),ISNUMBER(S183)),VLOOKUP(ABS(S178-S183),'IMP Table'!$A$2:$C$26,3)*SIGN(S178-S183),"")</f>
        <v/>
      </c>
      <c r="AE178">
        <f>IF(AND(ISNUMBER(S178),ISNUMBER(S184)),VLOOKUP(ABS(S178-S184),'IMP Table'!$A$2:$C$26,3)*SIGN(S178-S184),"")</f>
        <v/>
      </c>
      <c r="AF178">
        <f>IF(AND(ISNUMBER(R178),ISNUMBER(R179)),IF(R178&gt;R179,1,IF(R178=R179,0.5,0)),0.5)</f>
        <v/>
      </c>
      <c r="AG178">
        <f>IF(AND(ISNUMBER(R178),ISNUMBER(R180)),IF(R178&gt;R180,1,IF(R178=R180,0.5,0)),0.5)</f>
        <v/>
      </c>
      <c r="AH178">
        <f>IF(AND(ISNUMBER(R178),ISNUMBER(R181)),IF(R178&gt;R181,1,IF(R178=R181,0.5,0)),0.5)</f>
        <v/>
      </c>
      <c r="AI178">
        <f>IF(AND(ISNUMBER(R178),ISNUMBER(R182)),IF(R178&gt;R182,1,IF(R178=R182,0.5,0)),0.5)</f>
        <v/>
      </c>
      <c r="AJ178">
        <f>IF(AND(ISNUMBER(R178),ISNUMBER(R183)),IF(R178&gt;R183,1,IF(R178=R183,0.5,0)),0.5)</f>
        <v/>
      </c>
      <c r="AK178">
        <f>IF(AND(ISNUMBER(R178),ISNUMBER(R184)),IF(R178&gt;R184,1,IF(R178=R184,0.5,0)),0.5)</f>
        <v/>
      </c>
      <c r="AL178">
        <f>IF(AND(ISNUMBER(S178),ISNUMBER(S179)),IF(S178&gt;S179,1,IF(S178=S179,0.5,0)),0.5)</f>
        <v/>
      </c>
      <c r="AM178">
        <f>IF(AND(ISNUMBER(S178),ISNUMBER(S180)),IF(S178&gt;S180,1,IF(S178=S180,0.5,0)),0.5)</f>
        <v/>
      </c>
      <c r="AN178">
        <f>IF(AND(ISNUMBER(S178),ISNUMBER(S181)),IF(S178&gt;S181,1,IF(S178=S181,0.5,0)),0.5)</f>
        <v/>
      </c>
      <c r="AO178">
        <f>IF(AND(ISNUMBER(S178),ISNUMBER(S182)),IF(S178&gt;S182,1,IF(S178=S182,0.5,0)),0.5)</f>
        <v/>
      </c>
      <c r="AP178">
        <f>IF(AND(ISNUMBER(S178),ISNUMBER(S183)),IF(S178&gt;S183,1,IF(S178=S183,0.5,0)),0.5)</f>
        <v/>
      </c>
      <c r="AQ178">
        <f>IF(AND(ISNUMBER(S178),ISNUMBER(S184)),IF(S178&gt;S184,1,IF(S178=S184,0.5,0)),0.5)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4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5">
        <f>IFERROR(AVERAGE(T179:Y179),"")</f>
        <v/>
      </c>
      <c r="M179" s="4">
        <f>IFERROR(AVERAGE(Z179:AE179),"")</f>
        <v/>
      </c>
      <c r="N179" s="5">
        <f>P179/6</f>
        <v/>
      </c>
      <c r="O179" s="5">
        <f>Q179/6</f>
        <v/>
      </c>
      <c r="P179" s="4">
        <f>IFERROR(SUM(AF179:AK179),"")</f>
        <v/>
      </c>
      <c r="Q179" s="4">
        <f>IFERROR(SUM(AL179:AQ179),"")</f>
        <v/>
      </c>
      <c r="R179" s="16">
        <f>IF(ISNUMBER(J179),J179,IF(ISNUMBER(K179),-K179,""))</f>
        <v/>
      </c>
      <c r="S179">
        <f>IF(ISNUMBER(K179),K179,IF(ISNUMBER(J179),-J179,""))</f>
        <v/>
      </c>
      <c r="T179">
        <f>IF(AND(ISNUMBER(R179),ISNUMBER(R178)),VLOOKUP(ABS(R179-R178),'IMP Table'!$A$2:$C$26,3)*SIGN(R179-R178),"")</f>
        <v/>
      </c>
      <c r="U179">
        <f>IF(AND(ISNUMBER(R179),ISNUMBER(R180)),VLOOKUP(ABS(R179-R180),'IMP Table'!$A$2:$C$26,3)*SIGN(R179-R180),"")</f>
        <v/>
      </c>
      <c r="V179">
        <f>IF(AND(ISNUMBER(R179),ISNUMBER(R181)),VLOOKUP(ABS(R179-R181),'IMP Table'!$A$2:$C$26,3)*SIGN(R179-R181),"")</f>
        <v/>
      </c>
      <c r="W179">
        <f>IF(AND(ISNUMBER(R179),ISNUMBER(R182)),VLOOKUP(ABS(R179-R182),'IMP Table'!$A$2:$C$26,3)*SIGN(R179-R182),"")</f>
        <v/>
      </c>
      <c r="X179">
        <f>IF(AND(ISNUMBER(R179),ISNUMBER(R183)),VLOOKUP(ABS(R179-R183),'IMP Table'!$A$2:$C$26,3)*SIGN(R179-R183),"")</f>
        <v/>
      </c>
      <c r="Y179">
        <f>IF(AND(ISNUMBER(R179),ISNUMBER(R184)),VLOOKUP(ABS(R179-R184),'IMP Table'!$A$2:$C$26,3)*SIGN(R179-R184),"")</f>
        <v/>
      </c>
      <c r="Z179">
        <f>IF(AND(ISNUMBER(S179),ISNUMBER(S178)),VLOOKUP(ABS(S179-S178),'IMP Table'!$A$2:$C$26,3)*SIGN(S179-S178),"")</f>
        <v/>
      </c>
      <c r="AA179">
        <f>IF(AND(ISNUMBER(S179),ISNUMBER(S180)),VLOOKUP(ABS(S179-S180),'IMP Table'!$A$2:$C$26,3)*SIGN(S179-S180),"")</f>
        <v/>
      </c>
      <c r="AB179">
        <f>IF(AND(ISNUMBER(S179),ISNUMBER(S181)),VLOOKUP(ABS(S179-S181),'IMP Table'!$A$2:$C$26,3)*SIGN(S179-S181),"")</f>
        <v/>
      </c>
      <c r="AC179">
        <f>IF(AND(ISNUMBER(S179),ISNUMBER(S182)),VLOOKUP(ABS(S179-S182),'IMP Table'!$A$2:$C$26,3)*SIGN(S179-S182),"")</f>
        <v/>
      </c>
      <c r="AD179">
        <f>IF(AND(ISNUMBER(S179),ISNUMBER(S183)),VLOOKUP(ABS(S179-S183),'IMP Table'!$A$2:$C$26,3)*SIGN(S179-S183),"")</f>
        <v/>
      </c>
      <c r="AE179">
        <f>IF(AND(ISNUMBER(S179),ISNUMBER(S184)),VLOOKUP(ABS(S179-S184),'IMP Table'!$A$2:$C$26,3)*SIGN(S179-S184),"")</f>
        <v/>
      </c>
      <c r="AF179">
        <f>IF(AND(ISNUMBER(R179),ISNUMBER(R178)),IF(R179&gt;R178,1,IF(R179=R178,0.5,0)),0.5)</f>
        <v/>
      </c>
      <c r="AG179">
        <f>IF(AND(ISNUMBER(R179),ISNUMBER(R180)),IF(R179&gt;R180,1,IF(R179=R180,0.5,0)),0.5)</f>
        <v/>
      </c>
      <c r="AH179">
        <f>IF(AND(ISNUMBER(R179),ISNUMBER(R181)),IF(R179&gt;R181,1,IF(R179=R181,0.5,0)),0.5)</f>
        <v/>
      </c>
      <c r="AI179">
        <f>IF(AND(ISNUMBER(R179),ISNUMBER(R182)),IF(R179&gt;R182,1,IF(R179=R182,0.5,0)),0.5)</f>
        <v/>
      </c>
      <c r="AJ179">
        <f>IF(AND(ISNUMBER(R179),ISNUMBER(R183)),IF(R179&gt;R183,1,IF(R179=R183,0.5,0)),0.5)</f>
        <v/>
      </c>
      <c r="AK179">
        <f>IF(AND(ISNUMBER(R179),ISNUMBER(R184)),IF(R179&gt;R184,1,IF(R179=R184,0.5,0)),0.5)</f>
        <v/>
      </c>
      <c r="AL179">
        <f>IF(AND(ISNUMBER(S179),ISNUMBER(S178)),IF(S179&gt;S178,1,IF(S179=S178,0.5,0)),0.5)</f>
        <v/>
      </c>
      <c r="AM179">
        <f>IF(AND(ISNUMBER(S179),ISNUMBER(S180)),IF(S179&gt;S180,1,IF(S179=S180,0.5,0)),0.5)</f>
        <v/>
      </c>
      <c r="AN179">
        <f>IF(AND(ISNUMBER(S179),ISNUMBER(S181)),IF(S179&gt;S181,1,IF(S179=S181,0.5,0)),0.5)</f>
        <v/>
      </c>
      <c r="AO179">
        <f>IF(AND(ISNUMBER(S179),ISNUMBER(S182)),IF(S179&gt;S182,1,IF(S179=S182,0.5,0)),0.5)</f>
        <v/>
      </c>
      <c r="AP179">
        <f>IF(AND(ISNUMBER(S179),ISNUMBER(S183)),IF(S179&gt;S183,1,IF(S179=S183,0.5,0)),0.5)</f>
        <v/>
      </c>
      <c r="AQ179">
        <f>IF(AND(ISNUMBER(S179),ISNUMBER(S184)),IF(S179&gt;S184,1,IF(S179=S184,0.5,0)),0.5)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4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5">
        <f>IFERROR(AVERAGE(T180:Y180),"")</f>
        <v/>
      </c>
      <c r="M180" s="4">
        <f>IFERROR(AVERAGE(Z180:AE180),"")</f>
        <v/>
      </c>
      <c r="N180" s="5">
        <f>P180/6</f>
        <v/>
      </c>
      <c r="O180" s="5">
        <f>Q180/6</f>
        <v/>
      </c>
      <c r="P180" s="4">
        <f>IFERROR(SUM(AF180:AK180),"")</f>
        <v/>
      </c>
      <c r="Q180" s="4">
        <f>IFERROR(SUM(AL180:AQ180),"")</f>
        <v/>
      </c>
      <c r="R180" s="16">
        <f>IF(ISNUMBER(J180),J180,IF(ISNUMBER(K180),-K180,""))</f>
        <v/>
      </c>
      <c r="S180">
        <f>IF(ISNUMBER(K180),K180,IF(ISNUMBER(J180),-J180,""))</f>
        <v/>
      </c>
      <c r="T180">
        <f>IF(AND(ISNUMBER(R180),ISNUMBER(R178)),VLOOKUP(ABS(R180-R178),'IMP Table'!$A$2:$C$26,3)*SIGN(R180-R178),"")</f>
        <v/>
      </c>
      <c r="U180">
        <f>IF(AND(ISNUMBER(R180),ISNUMBER(R179)),VLOOKUP(ABS(R180-R179),'IMP Table'!$A$2:$C$26,3)*SIGN(R180-R179),"")</f>
        <v/>
      </c>
      <c r="V180">
        <f>IF(AND(ISNUMBER(R180),ISNUMBER(R181)),VLOOKUP(ABS(R180-R181),'IMP Table'!$A$2:$C$26,3)*SIGN(R180-R181),"")</f>
        <v/>
      </c>
      <c r="W180">
        <f>IF(AND(ISNUMBER(R180),ISNUMBER(R182)),VLOOKUP(ABS(R180-R182),'IMP Table'!$A$2:$C$26,3)*SIGN(R180-R182),"")</f>
        <v/>
      </c>
      <c r="X180">
        <f>IF(AND(ISNUMBER(R180),ISNUMBER(R183)),VLOOKUP(ABS(R180-R183),'IMP Table'!$A$2:$C$26,3)*SIGN(R180-R183),"")</f>
        <v/>
      </c>
      <c r="Y180">
        <f>IF(AND(ISNUMBER(R180),ISNUMBER(R184)),VLOOKUP(ABS(R180-R184),'IMP Table'!$A$2:$C$26,3)*SIGN(R180-R184),"")</f>
        <v/>
      </c>
      <c r="Z180">
        <f>IF(AND(ISNUMBER(S180),ISNUMBER(S178)),VLOOKUP(ABS(S180-S178),'IMP Table'!$A$2:$C$26,3)*SIGN(S180-S178),"")</f>
        <v/>
      </c>
      <c r="AA180">
        <f>IF(AND(ISNUMBER(S180),ISNUMBER(S179)),VLOOKUP(ABS(S180-S179),'IMP Table'!$A$2:$C$26,3)*SIGN(S180-S179),"")</f>
        <v/>
      </c>
      <c r="AB180">
        <f>IF(AND(ISNUMBER(S180),ISNUMBER(S181)),VLOOKUP(ABS(S180-S181),'IMP Table'!$A$2:$C$26,3)*SIGN(S180-S181),"")</f>
        <v/>
      </c>
      <c r="AC180">
        <f>IF(AND(ISNUMBER(S180),ISNUMBER(S182)),VLOOKUP(ABS(S180-S182),'IMP Table'!$A$2:$C$26,3)*SIGN(S180-S182),"")</f>
        <v/>
      </c>
      <c r="AD180">
        <f>IF(AND(ISNUMBER(S180),ISNUMBER(S183)),VLOOKUP(ABS(S180-S183),'IMP Table'!$A$2:$C$26,3)*SIGN(S180-S183),"")</f>
        <v/>
      </c>
      <c r="AE180">
        <f>IF(AND(ISNUMBER(S180),ISNUMBER(S184)),VLOOKUP(ABS(S180-S184),'IMP Table'!$A$2:$C$26,3)*SIGN(S180-S184),"")</f>
        <v/>
      </c>
      <c r="AF180">
        <f>IF(AND(ISNUMBER(R180),ISNUMBER(R178)),IF(R180&gt;R178,1,IF(R180=R178,0.5,0)),0.5)</f>
        <v/>
      </c>
      <c r="AG180">
        <f>IF(AND(ISNUMBER(R180),ISNUMBER(R179)),IF(R180&gt;R179,1,IF(R180=R179,0.5,0)),0.5)</f>
        <v/>
      </c>
      <c r="AH180">
        <f>IF(AND(ISNUMBER(R180),ISNUMBER(R181)),IF(R180&gt;R181,1,IF(R180=R181,0.5,0)),0.5)</f>
        <v/>
      </c>
      <c r="AI180">
        <f>IF(AND(ISNUMBER(R180),ISNUMBER(R182)),IF(R180&gt;R182,1,IF(R180=R182,0.5,0)),0.5)</f>
        <v/>
      </c>
      <c r="AJ180">
        <f>IF(AND(ISNUMBER(R180),ISNUMBER(R183)),IF(R180&gt;R183,1,IF(R180=R183,0.5,0)),0.5)</f>
        <v/>
      </c>
      <c r="AK180">
        <f>IF(AND(ISNUMBER(R180),ISNUMBER(R184)),IF(R180&gt;R184,1,IF(R180=R184,0.5,0)),0.5)</f>
        <v/>
      </c>
      <c r="AL180">
        <f>IF(AND(ISNUMBER(S180),ISNUMBER(S178)),IF(S180&gt;S178,1,IF(S180=S178,0.5,0)),0.5)</f>
        <v/>
      </c>
      <c r="AM180">
        <f>IF(AND(ISNUMBER(S180),ISNUMBER(S179)),IF(S180&gt;S179,1,IF(S180=S179,0.5,0)),0.5)</f>
        <v/>
      </c>
      <c r="AN180">
        <f>IF(AND(ISNUMBER(S180),ISNUMBER(S181)),IF(S180&gt;S181,1,IF(S180=S181,0.5,0)),0.5)</f>
        <v/>
      </c>
      <c r="AO180">
        <f>IF(AND(ISNUMBER(S180),ISNUMBER(S182)),IF(S180&gt;S182,1,IF(S180=S182,0.5,0)),0.5)</f>
        <v/>
      </c>
      <c r="AP180">
        <f>IF(AND(ISNUMBER(S180),ISNUMBER(S183)),IF(S180&gt;S183,1,IF(S180=S183,0.5,0)),0.5)</f>
        <v/>
      </c>
      <c r="AQ180">
        <f>IF(AND(ISNUMBER(S180),ISNUMBER(S184)),IF(S180&gt;S184,1,IF(S180=S184,0.5,0)),0.5)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4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5">
        <f>IFERROR(AVERAGE(T181:Y181),"")</f>
        <v/>
      </c>
      <c r="M181" s="4">
        <f>IFERROR(AVERAGE(Z181:AE181),"")</f>
        <v/>
      </c>
      <c r="N181" s="5">
        <f>P181/6</f>
        <v/>
      </c>
      <c r="O181" s="5">
        <f>Q181/6</f>
        <v/>
      </c>
      <c r="P181" s="4">
        <f>IFERROR(SUM(AF181:AK181),"")</f>
        <v/>
      </c>
      <c r="Q181" s="4">
        <f>IFERROR(SUM(AL181:AQ181),"")</f>
        <v/>
      </c>
      <c r="R181" s="16">
        <f>IF(ISNUMBER(J181),J181,IF(ISNUMBER(K181),-K181,""))</f>
        <v/>
      </c>
      <c r="S181">
        <f>IF(ISNUMBER(K181),K181,IF(ISNUMBER(J181),-J181,""))</f>
        <v/>
      </c>
      <c r="T181">
        <f>IF(AND(ISNUMBER(R181),ISNUMBER(R178)),VLOOKUP(ABS(R181-R178),'IMP Table'!$A$2:$C$26,3)*SIGN(R181-R178),"")</f>
        <v/>
      </c>
      <c r="U181">
        <f>IF(AND(ISNUMBER(R181),ISNUMBER(R179)),VLOOKUP(ABS(R181-R179),'IMP Table'!$A$2:$C$26,3)*SIGN(R181-R179),"")</f>
        <v/>
      </c>
      <c r="V181">
        <f>IF(AND(ISNUMBER(R181),ISNUMBER(R180)),VLOOKUP(ABS(R181-R180),'IMP Table'!$A$2:$C$26,3)*SIGN(R181-R180),"")</f>
        <v/>
      </c>
      <c r="W181">
        <f>IF(AND(ISNUMBER(R181),ISNUMBER(R182)),VLOOKUP(ABS(R181-R182),'IMP Table'!$A$2:$C$26,3)*SIGN(R181-R182),"")</f>
        <v/>
      </c>
      <c r="X181">
        <f>IF(AND(ISNUMBER(R181),ISNUMBER(R183)),VLOOKUP(ABS(R181-R183),'IMP Table'!$A$2:$C$26,3)*SIGN(R181-R183),"")</f>
        <v/>
      </c>
      <c r="Y181">
        <f>IF(AND(ISNUMBER(R181),ISNUMBER(R184)),VLOOKUP(ABS(R181-R184),'IMP Table'!$A$2:$C$26,3)*SIGN(R181-R184),"")</f>
        <v/>
      </c>
      <c r="Z181">
        <f>IF(AND(ISNUMBER(S181),ISNUMBER(S178)),VLOOKUP(ABS(S181-S178),'IMP Table'!$A$2:$C$26,3)*SIGN(S181-S178),"")</f>
        <v/>
      </c>
      <c r="AA181">
        <f>IF(AND(ISNUMBER(S181),ISNUMBER(S179)),VLOOKUP(ABS(S181-S179),'IMP Table'!$A$2:$C$26,3)*SIGN(S181-S179),"")</f>
        <v/>
      </c>
      <c r="AB181">
        <f>IF(AND(ISNUMBER(S181),ISNUMBER(S180)),VLOOKUP(ABS(S181-S180),'IMP Table'!$A$2:$C$26,3)*SIGN(S181-S180),"")</f>
        <v/>
      </c>
      <c r="AC181">
        <f>IF(AND(ISNUMBER(S181),ISNUMBER(S182)),VLOOKUP(ABS(S181-S182),'IMP Table'!$A$2:$C$26,3)*SIGN(S181-S182),"")</f>
        <v/>
      </c>
      <c r="AD181">
        <f>IF(AND(ISNUMBER(S181),ISNUMBER(S183)),VLOOKUP(ABS(S181-S183),'IMP Table'!$A$2:$C$26,3)*SIGN(S181-S183),"")</f>
        <v/>
      </c>
      <c r="AE181">
        <f>IF(AND(ISNUMBER(S181),ISNUMBER(S184)),VLOOKUP(ABS(S181-S184),'IMP Table'!$A$2:$C$26,3)*SIGN(S181-S184),"")</f>
        <v/>
      </c>
      <c r="AF181">
        <f>IF(AND(ISNUMBER(R181),ISNUMBER(R178)),IF(R181&gt;R178,1,IF(R181=R178,0.5,0)),0.5)</f>
        <v/>
      </c>
      <c r="AG181">
        <f>IF(AND(ISNUMBER(R181),ISNUMBER(R179)),IF(R181&gt;R179,1,IF(R181=R179,0.5,0)),0.5)</f>
        <v/>
      </c>
      <c r="AH181">
        <f>IF(AND(ISNUMBER(R181),ISNUMBER(R180)),IF(R181&gt;R180,1,IF(R181=R180,0.5,0)),0.5)</f>
        <v/>
      </c>
      <c r="AI181">
        <f>IF(AND(ISNUMBER(R181),ISNUMBER(R182)),IF(R181&gt;R182,1,IF(R181=R182,0.5,0)),0.5)</f>
        <v/>
      </c>
      <c r="AJ181">
        <f>IF(AND(ISNUMBER(R181),ISNUMBER(R183)),IF(R181&gt;R183,1,IF(R181=R183,0.5,0)),0.5)</f>
        <v/>
      </c>
      <c r="AK181">
        <f>IF(AND(ISNUMBER(R181),ISNUMBER(R184)),IF(R181&gt;R184,1,IF(R181=R184,0.5,0)),0.5)</f>
        <v/>
      </c>
      <c r="AL181">
        <f>IF(AND(ISNUMBER(S181),ISNUMBER(S178)),IF(S181&gt;S178,1,IF(S181=S178,0.5,0)),0.5)</f>
        <v/>
      </c>
      <c r="AM181">
        <f>IF(AND(ISNUMBER(S181),ISNUMBER(S179)),IF(S181&gt;S179,1,IF(S181=S179,0.5,0)),0.5)</f>
        <v/>
      </c>
      <c r="AN181">
        <f>IF(AND(ISNUMBER(S181),ISNUMBER(S180)),IF(S181&gt;S180,1,IF(S181=S180,0.5,0)),0.5)</f>
        <v/>
      </c>
      <c r="AO181">
        <f>IF(AND(ISNUMBER(S181),ISNUMBER(S182)),IF(S181&gt;S182,1,IF(S181=S182,0.5,0)),0.5)</f>
        <v/>
      </c>
      <c r="AP181">
        <f>IF(AND(ISNUMBER(S181),ISNUMBER(S183)),IF(S181&gt;S183,1,IF(S181=S183,0.5,0)),0.5)</f>
        <v/>
      </c>
      <c r="AQ181">
        <f>IF(AND(ISNUMBER(S181),ISNUMBER(S184)),IF(S181&gt;S184,1,IF(S181=S184,0.5,0)),0.5)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4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5">
        <f>IFERROR(AVERAGE(T182:Y182),"")</f>
        <v/>
      </c>
      <c r="M182" s="4">
        <f>IFERROR(AVERAGE(Z182:AE182),"")</f>
        <v/>
      </c>
      <c r="N182" s="5">
        <f>P182/6</f>
        <v/>
      </c>
      <c r="O182" s="5">
        <f>Q182/6</f>
        <v/>
      </c>
      <c r="P182" s="4">
        <f>IFERROR(SUM(AF182:AK182),"")</f>
        <v/>
      </c>
      <c r="Q182" s="4">
        <f>IFERROR(SUM(AL182:AQ182),"")</f>
        <v/>
      </c>
      <c r="R182" s="16">
        <f>IF(ISNUMBER(J182),J182,IF(ISNUMBER(K182),-K182,""))</f>
        <v/>
      </c>
      <c r="S182">
        <f>IF(ISNUMBER(K182),K182,IF(ISNUMBER(J182),-J182,""))</f>
        <v/>
      </c>
      <c r="T182">
        <f>IF(AND(ISNUMBER(R182),ISNUMBER(R178)),VLOOKUP(ABS(R182-R178),'IMP Table'!$A$2:$C$26,3)*SIGN(R182-R178),"")</f>
        <v/>
      </c>
      <c r="U182">
        <f>IF(AND(ISNUMBER(R182),ISNUMBER(R179)),VLOOKUP(ABS(R182-R179),'IMP Table'!$A$2:$C$26,3)*SIGN(R182-R179),"")</f>
        <v/>
      </c>
      <c r="V182">
        <f>IF(AND(ISNUMBER(R182),ISNUMBER(R180)),VLOOKUP(ABS(R182-R180),'IMP Table'!$A$2:$C$26,3)*SIGN(R182-R180),"")</f>
        <v/>
      </c>
      <c r="W182">
        <f>IF(AND(ISNUMBER(R182),ISNUMBER(R181)),VLOOKUP(ABS(R182-R181),'IMP Table'!$A$2:$C$26,3)*SIGN(R182-R181),"")</f>
        <v/>
      </c>
      <c r="X182">
        <f>IF(AND(ISNUMBER(R182),ISNUMBER(R183)),VLOOKUP(ABS(R182-R183),'IMP Table'!$A$2:$C$26,3)*SIGN(R182-R183),"")</f>
        <v/>
      </c>
      <c r="Y182">
        <f>IF(AND(ISNUMBER(R182),ISNUMBER(R184)),VLOOKUP(ABS(R182-R184),'IMP Table'!$A$2:$C$26,3)*SIGN(R182-R184),"")</f>
        <v/>
      </c>
      <c r="Z182">
        <f>IF(AND(ISNUMBER(S182),ISNUMBER(S178)),VLOOKUP(ABS(S182-S178),'IMP Table'!$A$2:$C$26,3)*SIGN(S182-S178),"")</f>
        <v/>
      </c>
      <c r="AA182">
        <f>IF(AND(ISNUMBER(S182),ISNUMBER(S179)),VLOOKUP(ABS(S182-S179),'IMP Table'!$A$2:$C$26,3)*SIGN(S182-S179),"")</f>
        <v/>
      </c>
      <c r="AB182">
        <f>IF(AND(ISNUMBER(S182),ISNUMBER(S180)),VLOOKUP(ABS(S182-S180),'IMP Table'!$A$2:$C$26,3)*SIGN(S182-S180),"")</f>
        <v/>
      </c>
      <c r="AC182">
        <f>IF(AND(ISNUMBER(S182),ISNUMBER(S181)),VLOOKUP(ABS(S182-S181),'IMP Table'!$A$2:$C$26,3)*SIGN(S182-S181),"")</f>
        <v/>
      </c>
      <c r="AD182">
        <f>IF(AND(ISNUMBER(S182),ISNUMBER(S183)),VLOOKUP(ABS(S182-S183),'IMP Table'!$A$2:$C$26,3)*SIGN(S182-S183),"")</f>
        <v/>
      </c>
      <c r="AE182">
        <f>IF(AND(ISNUMBER(S182),ISNUMBER(S184)),VLOOKUP(ABS(S182-S184),'IMP Table'!$A$2:$C$26,3)*SIGN(S182-S184),"")</f>
        <v/>
      </c>
      <c r="AF182">
        <f>IF(AND(ISNUMBER(R182),ISNUMBER(R178)),IF(R182&gt;R178,1,IF(R182=R178,0.5,0)),0.5)</f>
        <v/>
      </c>
      <c r="AG182">
        <f>IF(AND(ISNUMBER(R182),ISNUMBER(R179)),IF(R182&gt;R179,1,IF(R182=R179,0.5,0)),0.5)</f>
        <v/>
      </c>
      <c r="AH182">
        <f>IF(AND(ISNUMBER(R182),ISNUMBER(R180)),IF(R182&gt;R180,1,IF(R182=R180,0.5,0)),0.5)</f>
        <v/>
      </c>
      <c r="AI182">
        <f>IF(AND(ISNUMBER(R182),ISNUMBER(R181)),IF(R182&gt;R181,1,IF(R182=R181,0.5,0)),0.5)</f>
        <v/>
      </c>
      <c r="AJ182">
        <f>IF(AND(ISNUMBER(R182),ISNUMBER(R183)),IF(R182&gt;R183,1,IF(R182=R183,0.5,0)),0.5)</f>
        <v/>
      </c>
      <c r="AK182">
        <f>IF(AND(ISNUMBER(R182),ISNUMBER(R184)),IF(R182&gt;R184,1,IF(R182=R184,0.5,0)),0.5)</f>
        <v/>
      </c>
      <c r="AL182">
        <f>IF(AND(ISNUMBER(S182),ISNUMBER(S178)),IF(S182&gt;S178,1,IF(S182=S178,0.5,0)),0.5)</f>
        <v/>
      </c>
      <c r="AM182">
        <f>IF(AND(ISNUMBER(S182),ISNUMBER(S179)),IF(S182&gt;S179,1,IF(S182=S179,0.5,0)),0.5)</f>
        <v/>
      </c>
      <c r="AN182">
        <f>IF(AND(ISNUMBER(S182),ISNUMBER(S180)),IF(S182&gt;S180,1,IF(S182=S180,0.5,0)),0.5)</f>
        <v/>
      </c>
      <c r="AO182">
        <f>IF(AND(ISNUMBER(S182),ISNUMBER(S181)),IF(S182&gt;S181,1,IF(S182=S181,0.5,0)),0.5)</f>
        <v/>
      </c>
      <c r="AP182">
        <f>IF(AND(ISNUMBER(S182),ISNUMBER(S183)),IF(S182&gt;S183,1,IF(S182=S183,0.5,0)),0.5)</f>
        <v/>
      </c>
      <c r="AQ182">
        <f>IF(AND(ISNUMBER(S182),ISNUMBER(S184)),IF(S182&gt;S184,1,IF(S182=S184,0.5,0)),0.5)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4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5">
        <f>IFERROR(AVERAGE(T183:Y183),"")</f>
        <v/>
      </c>
      <c r="M183" s="4">
        <f>IFERROR(AVERAGE(Z183:AE183),"")</f>
        <v/>
      </c>
      <c r="N183" s="5">
        <f>P183/6</f>
        <v/>
      </c>
      <c r="O183" s="5">
        <f>Q183/6</f>
        <v/>
      </c>
      <c r="P183" s="4">
        <f>IFERROR(SUM(AF183:AK183),"")</f>
        <v/>
      </c>
      <c r="Q183" s="4">
        <f>IFERROR(SUM(AL183:AQ183),"")</f>
        <v/>
      </c>
      <c r="R183" s="16">
        <f>IF(ISNUMBER(J183),J183,IF(ISNUMBER(K183),-K183,""))</f>
        <v/>
      </c>
      <c r="S183">
        <f>IF(ISNUMBER(K183),K183,IF(ISNUMBER(J183),-J183,""))</f>
        <v/>
      </c>
      <c r="T183">
        <f>IF(AND(ISNUMBER(R183),ISNUMBER(R178)),VLOOKUP(ABS(R183-R178),'IMP Table'!$A$2:$C$26,3)*SIGN(R183-R178),"")</f>
        <v/>
      </c>
      <c r="U183">
        <f>IF(AND(ISNUMBER(R183),ISNUMBER(R179)),VLOOKUP(ABS(R183-R179),'IMP Table'!$A$2:$C$26,3)*SIGN(R183-R179),"")</f>
        <v/>
      </c>
      <c r="V183">
        <f>IF(AND(ISNUMBER(R183),ISNUMBER(R180)),VLOOKUP(ABS(R183-R180),'IMP Table'!$A$2:$C$26,3)*SIGN(R183-R180),"")</f>
        <v/>
      </c>
      <c r="W183">
        <f>IF(AND(ISNUMBER(R183),ISNUMBER(R181)),VLOOKUP(ABS(R183-R181),'IMP Table'!$A$2:$C$26,3)*SIGN(R183-R181),"")</f>
        <v/>
      </c>
      <c r="X183">
        <f>IF(AND(ISNUMBER(R183),ISNUMBER(R182)),VLOOKUP(ABS(R183-R182),'IMP Table'!$A$2:$C$26,3)*SIGN(R183-R182),"")</f>
        <v/>
      </c>
      <c r="Y183">
        <f>IF(AND(ISNUMBER(R183),ISNUMBER(R184)),VLOOKUP(ABS(R183-R184),'IMP Table'!$A$2:$C$26,3)*SIGN(R183-R184),"")</f>
        <v/>
      </c>
      <c r="Z183">
        <f>IF(AND(ISNUMBER(S183),ISNUMBER(S178)),VLOOKUP(ABS(S183-S178),'IMP Table'!$A$2:$C$26,3)*SIGN(S183-S178),"")</f>
        <v/>
      </c>
      <c r="AA183">
        <f>IF(AND(ISNUMBER(S183),ISNUMBER(S179)),VLOOKUP(ABS(S183-S179),'IMP Table'!$A$2:$C$26,3)*SIGN(S183-S179),"")</f>
        <v/>
      </c>
      <c r="AB183">
        <f>IF(AND(ISNUMBER(S183),ISNUMBER(S180)),VLOOKUP(ABS(S183-S180),'IMP Table'!$A$2:$C$26,3)*SIGN(S183-S180),"")</f>
        <v/>
      </c>
      <c r="AC183">
        <f>IF(AND(ISNUMBER(S183),ISNUMBER(S181)),VLOOKUP(ABS(S183-S181),'IMP Table'!$A$2:$C$26,3)*SIGN(S183-S181),"")</f>
        <v/>
      </c>
      <c r="AD183">
        <f>IF(AND(ISNUMBER(S183),ISNUMBER(S182)),VLOOKUP(ABS(S183-S182),'IMP Table'!$A$2:$C$26,3)*SIGN(S183-S182),"")</f>
        <v/>
      </c>
      <c r="AE183">
        <f>IF(AND(ISNUMBER(S183),ISNUMBER(S184)),VLOOKUP(ABS(S183-S184),'IMP Table'!$A$2:$C$26,3)*SIGN(S183-S184),"")</f>
        <v/>
      </c>
      <c r="AF183">
        <f>IF(AND(ISNUMBER(R183),ISNUMBER(R178)),IF(R183&gt;R178,1,IF(R183=R178,0.5,0)),0.5)</f>
        <v/>
      </c>
      <c r="AG183">
        <f>IF(AND(ISNUMBER(R183),ISNUMBER(R179)),IF(R183&gt;R179,1,IF(R183=R179,0.5,0)),0.5)</f>
        <v/>
      </c>
      <c r="AH183">
        <f>IF(AND(ISNUMBER(R183),ISNUMBER(R180)),IF(R183&gt;R180,1,IF(R183=R180,0.5,0)),0.5)</f>
        <v/>
      </c>
      <c r="AI183">
        <f>IF(AND(ISNUMBER(R183),ISNUMBER(R181)),IF(R183&gt;R181,1,IF(R183=R181,0.5,0)),0.5)</f>
        <v/>
      </c>
      <c r="AJ183">
        <f>IF(AND(ISNUMBER(R183),ISNUMBER(R182)),IF(R183&gt;R182,1,IF(R183=R182,0.5,0)),0.5)</f>
        <v/>
      </c>
      <c r="AK183">
        <f>IF(AND(ISNUMBER(R183),ISNUMBER(R184)),IF(R183&gt;R184,1,IF(R183=R184,0.5,0)),0.5)</f>
        <v/>
      </c>
      <c r="AL183">
        <f>IF(AND(ISNUMBER(S183),ISNUMBER(S178)),IF(S183&gt;S178,1,IF(S183=S178,0.5,0)),0.5)</f>
        <v/>
      </c>
      <c r="AM183">
        <f>IF(AND(ISNUMBER(S183),ISNUMBER(S179)),IF(S183&gt;S179,1,IF(S183=S179,0.5,0)),0.5)</f>
        <v/>
      </c>
      <c r="AN183">
        <f>IF(AND(ISNUMBER(S183),ISNUMBER(S180)),IF(S183&gt;S180,1,IF(S183=S180,0.5,0)),0.5)</f>
        <v/>
      </c>
      <c r="AO183">
        <f>IF(AND(ISNUMBER(S183),ISNUMBER(S181)),IF(S183&gt;S181,1,IF(S183=S181,0.5,0)),0.5)</f>
        <v/>
      </c>
      <c r="AP183">
        <f>IF(AND(ISNUMBER(S183),ISNUMBER(S182)),IF(S183&gt;S182,1,IF(S183=S182,0.5,0)),0.5)</f>
        <v/>
      </c>
      <c r="AQ183">
        <f>IF(AND(ISNUMBER(S183),ISNUMBER(S184)),IF(S183&gt;S184,1,IF(S183=S184,0.5,0)),0.5)</f>
        <v/>
      </c>
    </row>
    <row r="184">
      <c r="B184">
        <f>'By Round'!A171</f>
        <v/>
      </c>
      <c r="C184">
        <f>'By Round'!B171</f>
        <v/>
      </c>
      <c r="D184">
        <f>'By Round'!C171</f>
        <v/>
      </c>
      <c r="E184">
        <f>'By Round'!D171</f>
        <v/>
      </c>
      <c r="F184" s="14" t="inlineStr">
        <is>
          <t>Both</t>
        </is>
      </c>
      <c r="G184">
        <f>IF(ISBLANK('By Round'!G171),"",'By Round'!G171)</f>
        <v/>
      </c>
      <c r="H184">
        <f>IF(ISBLANK('By Round'!H171),"",'By Round'!H171)</f>
        <v/>
      </c>
      <c r="I184">
        <f>IF(ISBLANK('By Round'!I171),"",'By Round'!I171)</f>
        <v/>
      </c>
      <c r="J184">
        <f>IF(ISBLANK('By Round'!J171),"",'By Round'!J171)</f>
        <v/>
      </c>
      <c r="K184">
        <f>IF(ISBLANK('By Round'!K171),"",'By Round'!K171)</f>
        <v/>
      </c>
      <c r="L184" s="15">
        <f>IFERROR(AVERAGE(T184:Y184),"")</f>
        <v/>
      </c>
      <c r="M184" s="4">
        <f>IFERROR(AVERAGE(Z184:AE184),"")</f>
        <v/>
      </c>
      <c r="N184" s="5">
        <f>P184/6</f>
        <v/>
      </c>
      <c r="O184" s="5">
        <f>Q184/6</f>
        <v/>
      </c>
      <c r="P184" s="4">
        <f>IFERROR(SUM(AF184:AK184),"")</f>
        <v/>
      </c>
      <c r="Q184" s="4">
        <f>IFERROR(SUM(AL184:AQ184),"")</f>
        <v/>
      </c>
      <c r="R184" s="16">
        <f>IF(ISNUMBER(J184),J184,IF(ISNUMBER(K184),-K184,""))</f>
        <v/>
      </c>
      <c r="S184">
        <f>IF(ISNUMBER(K184),K184,IF(ISNUMBER(J184),-J184,""))</f>
        <v/>
      </c>
      <c r="T184">
        <f>IF(AND(ISNUMBER(R184),ISNUMBER(R178)),VLOOKUP(ABS(R184-R178),'IMP Table'!$A$2:$C$26,3)*SIGN(R184-R178),"")</f>
        <v/>
      </c>
      <c r="U184">
        <f>IF(AND(ISNUMBER(R184),ISNUMBER(R179)),VLOOKUP(ABS(R184-R179),'IMP Table'!$A$2:$C$26,3)*SIGN(R184-R179),"")</f>
        <v/>
      </c>
      <c r="V184">
        <f>IF(AND(ISNUMBER(R184),ISNUMBER(R180)),VLOOKUP(ABS(R184-R180),'IMP Table'!$A$2:$C$26,3)*SIGN(R184-R180),"")</f>
        <v/>
      </c>
      <c r="W184">
        <f>IF(AND(ISNUMBER(R184),ISNUMBER(R181)),VLOOKUP(ABS(R184-R181),'IMP Table'!$A$2:$C$26,3)*SIGN(R184-R181),"")</f>
        <v/>
      </c>
      <c r="X184">
        <f>IF(AND(ISNUMBER(R184),ISNUMBER(R182)),VLOOKUP(ABS(R184-R182),'IMP Table'!$A$2:$C$26,3)*SIGN(R184-R182),"")</f>
        <v/>
      </c>
      <c r="Y184">
        <f>IF(AND(ISNUMBER(R184),ISNUMBER(R183)),VLOOKUP(ABS(R184-R183),'IMP Table'!$A$2:$C$26,3)*SIGN(R184-R183),"")</f>
        <v/>
      </c>
      <c r="Z184">
        <f>IF(AND(ISNUMBER(S184),ISNUMBER(S178)),VLOOKUP(ABS(S184-S178),'IMP Table'!$A$2:$C$26,3)*SIGN(S184-S178),"")</f>
        <v/>
      </c>
      <c r="AA184">
        <f>IF(AND(ISNUMBER(S184),ISNUMBER(S179)),VLOOKUP(ABS(S184-S179),'IMP Table'!$A$2:$C$26,3)*SIGN(S184-S179),"")</f>
        <v/>
      </c>
      <c r="AB184">
        <f>IF(AND(ISNUMBER(S184),ISNUMBER(S180)),VLOOKUP(ABS(S184-S180),'IMP Table'!$A$2:$C$26,3)*SIGN(S184-S180),"")</f>
        <v/>
      </c>
      <c r="AC184">
        <f>IF(AND(ISNUMBER(S184),ISNUMBER(S181)),VLOOKUP(ABS(S184-S181),'IMP Table'!$A$2:$C$26,3)*SIGN(S184-S181),"")</f>
        <v/>
      </c>
      <c r="AD184">
        <f>IF(AND(ISNUMBER(S184),ISNUMBER(S182)),VLOOKUP(ABS(S184-S182),'IMP Table'!$A$2:$C$26,3)*SIGN(S184-S182),"")</f>
        <v/>
      </c>
      <c r="AE184">
        <f>IF(AND(ISNUMBER(S184),ISNUMBER(S183)),VLOOKUP(ABS(S184-S183),'IMP Table'!$A$2:$C$26,3)*SIGN(S184-S183),"")</f>
        <v/>
      </c>
      <c r="AF184">
        <f>IF(AND(ISNUMBER(R184),ISNUMBER(R178)),IF(R184&gt;R178,1,IF(R184=R178,0.5,0)),0.5)</f>
        <v/>
      </c>
      <c r="AG184">
        <f>IF(AND(ISNUMBER(R184),ISNUMBER(R179)),IF(R184&gt;R179,1,IF(R184=R179,0.5,0)),0.5)</f>
        <v/>
      </c>
      <c r="AH184">
        <f>IF(AND(ISNUMBER(R184),ISNUMBER(R180)),IF(R184&gt;R180,1,IF(R184=R180,0.5,0)),0.5)</f>
        <v/>
      </c>
      <c r="AI184">
        <f>IF(AND(ISNUMBER(R184),ISNUMBER(R181)),IF(R184&gt;R181,1,IF(R184=R181,0.5,0)),0.5)</f>
        <v/>
      </c>
      <c r="AJ184">
        <f>IF(AND(ISNUMBER(R184),ISNUMBER(R182)),IF(R184&gt;R182,1,IF(R184=R182,0.5,0)),0.5)</f>
        <v/>
      </c>
      <c r="AK184">
        <f>IF(AND(ISNUMBER(R184),ISNUMBER(R183)),IF(R184&gt;R183,1,IF(R184=R183,0.5,0)),0.5)</f>
        <v/>
      </c>
      <c r="AL184">
        <f>IF(AND(ISNUMBER(S184),ISNUMBER(S178)),IF(S184&gt;S178,1,IF(S184=S178,0.5,0)),0.5)</f>
        <v/>
      </c>
      <c r="AM184">
        <f>IF(AND(ISNUMBER(S184),ISNUMBER(S179)),IF(S184&gt;S179,1,IF(S184=S179,0.5,0)),0.5)</f>
        <v/>
      </c>
      <c r="AN184">
        <f>IF(AND(ISNUMBER(S184),ISNUMBER(S180)),IF(S184&gt;S180,1,IF(S184=S180,0.5,0)),0.5)</f>
        <v/>
      </c>
      <c r="AO184">
        <f>IF(AND(ISNUMBER(S184),ISNUMBER(S181)),IF(S184&gt;S181,1,IF(S184=S181,0.5,0)),0.5)</f>
        <v/>
      </c>
      <c r="AP184">
        <f>IF(AND(ISNUMBER(S184),ISNUMBER(S182)),IF(S184&gt;S182,1,IF(S184=S182,0.5,0)),0.5)</f>
        <v/>
      </c>
      <c r="AQ184">
        <f>IF(AND(ISNUMBER(S184),ISNUMBER(S183)),IF(S184&gt;S183,1,IF(S184=S183,0.5,0)),0.5)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14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5</v>
      </c>
      <c r="D5" s="14" t="n">
        <v>10</v>
      </c>
      <c r="E5" s="14" t="n">
        <v>5</v>
      </c>
      <c r="F5" s="14" t="inlineStr">
        <is>
          <t>NS</t>
        </is>
      </c>
    </row>
    <row r="6">
      <c r="B6" s="22" t="n"/>
      <c r="C6" s="22" t="n"/>
      <c r="D6" s="22" t="n"/>
      <c r="E6" s="22" t="n">
        <v>6</v>
      </c>
      <c r="F6" s="22" t="inlineStr">
        <is>
          <t>EW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2</v>
      </c>
      <c r="D7" s="14" t="n">
        <v>3</v>
      </c>
      <c r="E7" s="14" t="n">
        <v>7</v>
      </c>
      <c r="F7" s="14" t="inlineStr">
        <is>
          <t>Both</t>
        </is>
      </c>
    </row>
    <row r="8">
      <c r="B8" s="22" t="n"/>
      <c r="C8" s="22" t="n"/>
      <c r="D8" s="22" t="n"/>
      <c r="E8" s="22" t="n">
        <v>8</v>
      </c>
      <c r="F8" s="22" t="inlineStr">
        <is>
          <t>None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9</v>
      </c>
      <c r="D9" s="14" t="n">
        <v>11</v>
      </c>
      <c r="E9" s="14" t="n">
        <v>9</v>
      </c>
      <c r="F9" s="14" t="inlineStr">
        <is>
          <t>EW</t>
        </is>
      </c>
    </row>
    <row r="10">
      <c r="B10" s="22" t="n"/>
      <c r="C10" s="22" t="n"/>
      <c r="D10" s="22" t="n"/>
      <c r="E10" s="22" t="n">
        <v>10</v>
      </c>
      <c r="F10" s="22" t="inlineStr">
        <is>
          <t>Both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6</v>
      </c>
      <c r="D11" s="14" t="n">
        <v>13</v>
      </c>
      <c r="E11" s="14" t="n">
        <v>19</v>
      </c>
      <c r="F11" s="14" t="inlineStr">
        <is>
          <t>EW</t>
        </is>
      </c>
    </row>
    <row r="12">
      <c r="B12" s="22" t="n"/>
      <c r="C12" s="22" t="n"/>
      <c r="D12" s="22" t="n"/>
      <c r="E12" s="22" t="n">
        <v>20</v>
      </c>
      <c r="F12" s="22" t="inlineStr">
        <is>
          <t>Both</t>
        </is>
      </c>
      <c r="G12" s="23" t="n"/>
      <c r="H12" s="23" t="n"/>
      <c r="I12" s="23" t="n"/>
      <c r="J12" s="23" t="n"/>
      <c r="K12" s="23" t="n"/>
    </row>
    <row r="13">
      <c r="B13" s="14" t="n">
        <v>6</v>
      </c>
      <c r="C13" s="14" t="n">
        <v>8</v>
      </c>
      <c r="D13" s="14" t="n">
        <v>12</v>
      </c>
      <c r="E13" s="14" t="n">
        <v>21</v>
      </c>
      <c r="F13" s="14" t="inlineStr">
        <is>
          <t>NS</t>
        </is>
      </c>
    </row>
    <row r="14">
      <c r="B14" s="22" t="n"/>
      <c r="C14" s="22" t="n"/>
      <c r="D14" s="22" t="n"/>
      <c r="E14" s="22" t="n">
        <v>22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7</v>
      </c>
      <c r="C15" s="14" t="n">
        <v>4</v>
      </c>
      <c r="D15" s="14" t="n">
        <v>7</v>
      </c>
      <c r="E15" s="14" t="n">
        <v>23</v>
      </c>
      <c r="F15" s="14" t="inlineStr">
        <is>
          <t>Both</t>
        </is>
      </c>
    </row>
    <row r="16">
      <c r="A16" s="23" t="n"/>
      <c r="B16" s="22" t="n"/>
      <c r="C16" s="22" t="n"/>
      <c r="D16" s="22" t="n"/>
      <c r="E16" s="22" t="n">
        <v>24</v>
      </c>
      <c r="F16" s="22" t="inlineStr">
        <is>
          <t>None</t>
        </is>
      </c>
      <c r="G16" s="23" t="n"/>
      <c r="H16" s="23" t="n"/>
      <c r="I16" s="23" t="n"/>
      <c r="J16" s="23" t="n"/>
      <c r="K16" s="23" t="n"/>
    </row>
    <row r="17">
      <c r="A17" s="14" t="n">
        <v>2</v>
      </c>
      <c r="B17" s="14" t="n">
        <v>1</v>
      </c>
      <c r="C17" s="14" t="n">
        <v>14</v>
      </c>
      <c r="D17" s="14" t="n">
        <v>2</v>
      </c>
      <c r="E17" s="14" t="n">
        <v>3</v>
      </c>
      <c r="F17" s="14" t="inlineStr">
        <is>
          <t>EW</t>
        </is>
      </c>
    </row>
    <row r="18">
      <c r="B18" s="22" t="n"/>
      <c r="C18" s="22" t="n"/>
      <c r="D18" s="22" t="n"/>
      <c r="E18" s="22" t="n">
        <v>4</v>
      </c>
      <c r="F18" s="22" t="inlineStr">
        <is>
          <t>Both</t>
        </is>
      </c>
      <c r="G18" s="23" t="n"/>
      <c r="H18" s="23" t="n"/>
      <c r="I18" s="23" t="n"/>
      <c r="J18" s="23" t="n"/>
      <c r="K18" s="23" t="n"/>
    </row>
    <row r="19">
      <c r="B19" s="14" t="n">
        <v>2</v>
      </c>
      <c r="C19" s="14" t="n">
        <v>6</v>
      </c>
      <c r="D19" s="14" t="n">
        <v>11</v>
      </c>
      <c r="E19" s="14" t="n">
        <v>7</v>
      </c>
      <c r="F19" s="14" t="inlineStr">
        <is>
          <t>Both</t>
        </is>
      </c>
    </row>
    <row r="20">
      <c r="B20" s="22" t="n"/>
      <c r="C20" s="22" t="n"/>
      <c r="D20" s="22" t="n"/>
      <c r="E20" s="22" t="n">
        <v>8</v>
      </c>
      <c r="F20" s="22" t="inlineStr">
        <is>
          <t>None</t>
        </is>
      </c>
      <c r="G20" s="23" t="n"/>
      <c r="H20" s="23" t="n"/>
      <c r="I20" s="23" t="n"/>
      <c r="J20" s="23" t="n"/>
      <c r="K20" s="23" t="n"/>
    </row>
    <row r="21">
      <c r="B21" s="14" t="n">
        <v>3</v>
      </c>
      <c r="C21" s="14" t="n">
        <v>3</v>
      </c>
      <c r="D21" s="14" t="n">
        <v>4</v>
      </c>
      <c r="E21" s="14" t="n">
        <v>9</v>
      </c>
      <c r="F21" s="14" t="inlineStr">
        <is>
          <t>EW</t>
        </is>
      </c>
    </row>
    <row r="22">
      <c r="B22" s="22" t="n"/>
      <c r="C22" s="22" t="n"/>
      <c r="D22" s="22" t="n"/>
      <c r="E22" s="22" t="n">
        <v>10</v>
      </c>
      <c r="F22" s="22" t="inlineStr">
        <is>
          <t>Both</t>
        </is>
      </c>
      <c r="G22" s="23" t="n"/>
      <c r="H22" s="23" t="n"/>
      <c r="I22" s="23" t="n"/>
      <c r="J22" s="23" t="n"/>
      <c r="K22" s="23" t="n"/>
    </row>
    <row r="23">
      <c r="B23" s="14" t="n">
        <v>4</v>
      </c>
      <c r="C23" s="14" t="n">
        <v>10</v>
      </c>
      <c r="D23" s="14" t="n">
        <v>12</v>
      </c>
      <c r="E23" s="14" t="n">
        <v>11</v>
      </c>
      <c r="F23" s="14" t="inlineStr">
        <is>
          <t>None</t>
        </is>
      </c>
    </row>
    <row r="24">
      <c r="B24" s="22" t="n"/>
      <c r="C24" s="22" t="n"/>
      <c r="D24" s="22" t="n"/>
      <c r="E24" s="22" t="n">
        <v>12</v>
      </c>
      <c r="F24" s="22" t="inlineStr">
        <is>
          <t>NS</t>
        </is>
      </c>
      <c r="G24" s="23" t="n"/>
      <c r="H24" s="23" t="n"/>
      <c r="I24" s="23" t="n"/>
      <c r="J24" s="23" t="n"/>
      <c r="K24" s="23" t="n"/>
    </row>
    <row r="25">
      <c r="B25" s="14" t="n">
        <v>5</v>
      </c>
      <c r="C25" s="14" t="n">
        <v>7</v>
      </c>
      <c r="D25" s="14" t="n">
        <v>1</v>
      </c>
      <c r="E25" s="14" t="n">
        <v>21</v>
      </c>
      <c r="F25" s="14" t="inlineStr">
        <is>
          <t>NS</t>
        </is>
      </c>
    </row>
    <row r="26">
      <c r="B26" s="22" t="n"/>
      <c r="C26" s="22" t="n"/>
      <c r="D26" s="22" t="n"/>
      <c r="E26" s="22" t="n">
        <v>22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B27" s="14" t="n">
        <v>6</v>
      </c>
      <c r="C27" s="14" t="n">
        <v>9</v>
      </c>
      <c r="D27" s="14" t="n">
        <v>13</v>
      </c>
      <c r="E27" s="14" t="n">
        <v>23</v>
      </c>
      <c r="F27" s="14" t="inlineStr">
        <is>
          <t>Both</t>
        </is>
      </c>
    </row>
    <row r="28">
      <c r="B28" s="22" t="n"/>
      <c r="C28" s="22" t="n"/>
      <c r="D28" s="22" t="n"/>
      <c r="E28" s="22" t="n">
        <v>24</v>
      </c>
      <c r="F28" s="22" t="inlineStr">
        <is>
          <t>None</t>
        </is>
      </c>
      <c r="G28" s="23" t="n"/>
      <c r="H28" s="23" t="n"/>
      <c r="I28" s="23" t="n"/>
      <c r="J28" s="23" t="n"/>
      <c r="K28" s="23" t="n"/>
    </row>
    <row r="29">
      <c r="B29" s="14" t="n">
        <v>7</v>
      </c>
      <c r="C29" s="14" t="n">
        <v>5</v>
      </c>
      <c r="D29" s="14" t="n">
        <v>8</v>
      </c>
      <c r="E29" s="14" t="n">
        <v>25</v>
      </c>
      <c r="F29" s="14" t="inlineStr">
        <is>
          <t>EW</t>
        </is>
      </c>
    </row>
    <row r="30">
      <c r="A30" s="23" t="n"/>
      <c r="B30" s="22" t="n"/>
      <c r="C30" s="22" t="n"/>
      <c r="D30" s="22" t="n"/>
      <c r="E30" s="22" t="n">
        <v>26</v>
      </c>
      <c r="F30" s="22" t="inlineStr">
        <is>
          <t>Both</t>
        </is>
      </c>
      <c r="G30" s="23" t="n"/>
      <c r="H30" s="23" t="n"/>
      <c r="I30" s="23" t="n"/>
      <c r="J30" s="23" t="n"/>
      <c r="K30" s="23" t="n"/>
    </row>
    <row r="31">
      <c r="A31" s="14" t="n">
        <v>3</v>
      </c>
      <c r="B31" s="14" t="n">
        <v>1</v>
      </c>
      <c r="C31" s="14" t="n">
        <v>14</v>
      </c>
      <c r="D31" s="14" t="n">
        <v>3</v>
      </c>
      <c r="E31" s="14" t="n">
        <v>5</v>
      </c>
      <c r="F31" s="14" t="inlineStr">
        <is>
          <t>NS</t>
        </is>
      </c>
    </row>
    <row r="32">
      <c r="B32" s="22" t="n"/>
      <c r="C32" s="22" t="n"/>
      <c r="D32" s="22" t="n"/>
      <c r="E32" s="22" t="n">
        <v>6</v>
      </c>
      <c r="F32" s="22" t="inlineStr">
        <is>
          <t>EW</t>
        </is>
      </c>
      <c r="G32" s="23" t="n"/>
      <c r="H32" s="23" t="n"/>
      <c r="I32" s="23" t="n"/>
      <c r="J32" s="23" t="n"/>
      <c r="K32" s="23" t="n"/>
    </row>
    <row r="33">
      <c r="B33" s="14" t="n">
        <v>2</v>
      </c>
      <c r="C33" s="14" t="n">
        <v>7</v>
      </c>
      <c r="D33" s="14" t="n">
        <v>12</v>
      </c>
      <c r="E33" s="14" t="n">
        <v>9</v>
      </c>
      <c r="F33" s="14" t="inlineStr">
        <is>
          <t>EW</t>
        </is>
      </c>
    </row>
    <row r="34">
      <c r="B34" s="22" t="n"/>
      <c r="C34" s="22" t="n"/>
      <c r="D34" s="22" t="n"/>
      <c r="E34" s="22" t="n">
        <v>10</v>
      </c>
      <c r="F34" s="22" t="inlineStr">
        <is>
          <t>Both</t>
        </is>
      </c>
      <c r="G34" s="23" t="n"/>
      <c r="H34" s="23" t="n"/>
      <c r="I34" s="23" t="n"/>
      <c r="J34" s="23" t="n"/>
      <c r="K34" s="23" t="n"/>
    </row>
    <row r="35">
      <c r="B35" s="14" t="n">
        <v>3</v>
      </c>
      <c r="C35" s="14" t="n">
        <v>4</v>
      </c>
      <c r="D35" s="14" t="n">
        <v>5</v>
      </c>
      <c r="E35" s="14" t="n">
        <v>11</v>
      </c>
      <c r="F35" s="14" t="inlineStr">
        <is>
          <t>None</t>
        </is>
      </c>
    </row>
    <row r="36">
      <c r="B36" s="22" t="n"/>
      <c r="C36" s="22" t="n"/>
      <c r="D36" s="22" t="n"/>
      <c r="E36" s="22" t="n">
        <v>12</v>
      </c>
      <c r="F36" s="22" t="inlineStr">
        <is>
          <t>NS</t>
        </is>
      </c>
      <c r="G36" s="23" t="n"/>
      <c r="H36" s="23" t="n"/>
      <c r="I36" s="23" t="n"/>
      <c r="J36" s="23" t="n"/>
      <c r="K36" s="23" t="n"/>
    </row>
    <row r="37">
      <c r="B37" s="14" t="n">
        <v>4</v>
      </c>
      <c r="C37" s="14" t="n">
        <v>11</v>
      </c>
      <c r="D37" s="14" t="n">
        <v>13</v>
      </c>
      <c r="E37" s="14" t="n">
        <v>13</v>
      </c>
      <c r="F37" s="14" t="inlineStr">
        <is>
          <t>Both</t>
        </is>
      </c>
    </row>
    <row r="38">
      <c r="B38" s="22" t="n"/>
      <c r="C38" s="22" t="n"/>
      <c r="D38" s="22" t="n"/>
      <c r="E38" s="22" t="n">
        <v>14</v>
      </c>
      <c r="F38" s="22" t="inlineStr">
        <is>
          <t>None</t>
        </is>
      </c>
      <c r="G38" s="23" t="n"/>
      <c r="H38" s="23" t="n"/>
      <c r="I38" s="23" t="n"/>
      <c r="J38" s="23" t="n"/>
      <c r="K38" s="23" t="n"/>
    </row>
    <row r="39">
      <c r="B39" s="14" t="n">
        <v>5</v>
      </c>
      <c r="C39" s="14" t="n">
        <v>8</v>
      </c>
      <c r="D39" s="14" t="n">
        <v>2</v>
      </c>
      <c r="E39" s="14" t="n">
        <v>23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24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6</v>
      </c>
      <c r="C41" s="14" t="n">
        <v>10</v>
      </c>
      <c r="D41" s="14" t="n">
        <v>1</v>
      </c>
      <c r="E41" s="14" t="n">
        <v>25</v>
      </c>
      <c r="F41" s="14" t="inlineStr">
        <is>
          <t>EW</t>
        </is>
      </c>
    </row>
    <row r="42">
      <c r="B42" s="22" t="n"/>
      <c r="C42" s="22" t="n"/>
      <c r="D42" s="22" t="n"/>
      <c r="E42" s="22" t="n">
        <v>26</v>
      </c>
      <c r="F42" s="22" t="inlineStr">
        <is>
          <t>Both</t>
        </is>
      </c>
      <c r="G42" s="23" t="n"/>
      <c r="H42" s="23" t="n"/>
      <c r="I42" s="23" t="n"/>
      <c r="J42" s="23" t="n"/>
      <c r="K42" s="23" t="n"/>
    </row>
    <row r="43">
      <c r="B43" s="14" t="n">
        <v>7</v>
      </c>
      <c r="C43" s="14" t="n">
        <v>6</v>
      </c>
      <c r="D43" s="14" t="n">
        <v>9</v>
      </c>
      <c r="E43" s="14" t="n">
        <v>1</v>
      </c>
      <c r="F43" s="14" t="inlineStr">
        <is>
          <t>None</t>
        </is>
      </c>
    </row>
    <row r="44">
      <c r="A44" s="23" t="n"/>
      <c r="B44" s="22" t="n"/>
      <c r="C44" s="22" t="n"/>
      <c r="D44" s="22" t="n"/>
      <c r="E44" s="22" t="n">
        <v>2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A45" s="14" t="n">
        <v>4</v>
      </c>
      <c r="B45" s="14" t="n">
        <v>1</v>
      </c>
      <c r="C45" s="14" t="n">
        <v>14</v>
      </c>
      <c r="D45" s="14" t="n">
        <v>4</v>
      </c>
      <c r="E45" s="14" t="n">
        <v>7</v>
      </c>
      <c r="F45" s="14" t="inlineStr">
        <is>
          <t>Both</t>
        </is>
      </c>
    </row>
    <row r="46">
      <c r="B46" s="22" t="n"/>
      <c r="C46" s="22" t="n"/>
      <c r="D46" s="22" t="n"/>
      <c r="E46" s="22" t="n">
        <v>8</v>
      </c>
      <c r="F46" s="22" t="inlineStr">
        <is>
          <t>None</t>
        </is>
      </c>
      <c r="G46" s="23" t="n"/>
      <c r="H46" s="23" t="n"/>
      <c r="I46" s="23" t="n"/>
      <c r="J46" s="23" t="n"/>
      <c r="K46" s="23" t="n"/>
    </row>
    <row r="47">
      <c r="B47" s="14" t="n">
        <v>2</v>
      </c>
      <c r="C47" s="14" t="n">
        <v>8</v>
      </c>
      <c r="D47" s="14" t="n">
        <v>13</v>
      </c>
      <c r="E47" s="14" t="n">
        <v>11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12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3</v>
      </c>
      <c r="C49" s="14" t="n">
        <v>5</v>
      </c>
      <c r="D49" s="14" t="n">
        <v>6</v>
      </c>
      <c r="E49" s="14" t="n">
        <v>13</v>
      </c>
      <c r="F49" s="14" t="inlineStr">
        <is>
          <t>Both</t>
        </is>
      </c>
    </row>
    <row r="50">
      <c r="B50" s="22" t="n"/>
      <c r="C50" s="22" t="n"/>
      <c r="D50" s="22" t="n"/>
      <c r="E50" s="22" t="n">
        <v>14</v>
      </c>
      <c r="F50" s="22" t="inlineStr">
        <is>
          <t>None</t>
        </is>
      </c>
      <c r="G50" s="23" t="n"/>
      <c r="H50" s="23" t="n"/>
      <c r="I50" s="23" t="n"/>
      <c r="J50" s="23" t="n"/>
      <c r="K50" s="23" t="n"/>
    </row>
    <row r="51">
      <c r="B51" s="14" t="n">
        <v>4</v>
      </c>
      <c r="C51" s="14" t="n">
        <v>12</v>
      </c>
      <c r="D51" s="14" t="n">
        <v>1</v>
      </c>
      <c r="E51" s="14" t="n">
        <v>15</v>
      </c>
      <c r="F51" s="14" t="inlineStr">
        <is>
          <t>NS</t>
        </is>
      </c>
    </row>
    <row r="52">
      <c r="B52" s="22" t="n"/>
      <c r="C52" s="22" t="n"/>
      <c r="D52" s="22" t="n"/>
      <c r="E52" s="22" t="n">
        <v>16</v>
      </c>
      <c r="F52" s="22" t="inlineStr">
        <is>
          <t>EW</t>
        </is>
      </c>
      <c r="G52" s="23" t="n"/>
      <c r="H52" s="23" t="n"/>
      <c r="I52" s="23" t="n"/>
      <c r="J52" s="23" t="n"/>
      <c r="K52" s="23" t="n"/>
    </row>
    <row r="53">
      <c r="B53" s="14" t="n">
        <v>5</v>
      </c>
      <c r="C53" s="14" t="n">
        <v>9</v>
      </c>
      <c r="D53" s="14" t="n">
        <v>3</v>
      </c>
      <c r="E53" s="14" t="n">
        <v>25</v>
      </c>
      <c r="F53" s="14" t="inlineStr">
        <is>
          <t>EW</t>
        </is>
      </c>
    </row>
    <row r="54">
      <c r="B54" s="22" t="n"/>
      <c r="C54" s="22" t="n"/>
      <c r="D54" s="22" t="n"/>
      <c r="E54" s="22" t="n">
        <v>26</v>
      </c>
      <c r="F54" s="22" t="inlineStr">
        <is>
          <t>Both</t>
        </is>
      </c>
      <c r="G54" s="23" t="n"/>
      <c r="H54" s="23" t="n"/>
      <c r="I54" s="23" t="n"/>
      <c r="J54" s="23" t="n"/>
      <c r="K54" s="23" t="n"/>
    </row>
    <row r="55">
      <c r="B55" s="14" t="n">
        <v>6</v>
      </c>
      <c r="C55" s="14" t="n">
        <v>11</v>
      </c>
      <c r="D55" s="14" t="n">
        <v>2</v>
      </c>
      <c r="E55" s="14" t="n">
        <v>1</v>
      </c>
      <c r="F55" s="14" t="inlineStr">
        <is>
          <t>None</t>
        </is>
      </c>
    </row>
    <row r="56">
      <c r="B56" s="22" t="n"/>
      <c r="C56" s="22" t="n"/>
      <c r="D56" s="22" t="n"/>
      <c r="E56" s="22" t="n">
        <v>2</v>
      </c>
      <c r="F56" s="22" t="inlineStr">
        <is>
          <t>NS</t>
        </is>
      </c>
      <c r="G56" s="23" t="n"/>
      <c r="H56" s="23" t="n"/>
      <c r="I56" s="23" t="n"/>
      <c r="J56" s="23" t="n"/>
      <c r="K56" s="23" t="n"/>
    </row>
    <row r="57">
      <c r="B57" s="14" t="n">
        <v>7</v>
      </c>
      <c r="C57" s="14" t="n">
        <v>7</v>
      </c>
      <c r="D57" s="14" t="n">
        <v>10</v>
      </c>
      <c r="E57" s="14" t="n">
        <v>3</v>
      </c>
      <c r="F57" s="14" t="inlineStr">
        <is>
          <t>EW</t>
        </is>
      </c>
    </row>
    <row r="58">
      <c r="A58" s="23" t="n"/>
      <c r="B58" s="22" t="n"/>
      <c r="C58" s="22" t="n"/>
      <c r="D58" s="22" t="n"/>
      <c r="E58" s="22" t="n">
        <v>4</v>
      </c>
      <c r="F58" s="22" t="inlineStr">
        <is>
          <t>Both</t>
        </is>
      </c>
      <c r="G58" s="23" t="n"/>
      <c r="H58" s="23" t="n"/>
      <c r="I58" s="23" t="n"/>
      <c r="J58" s="23" t="n"/>
      <c r="K58" s="23" t="n"/>
    </row>
    <row r="59">
      <c r="A59" s="14" t="n">
        <v>5</v>
      </c>
      <c r="B59" s="14" t="n">
        <v>1</v>
      </c>
      <c r="C59" s="14" t="n">
        <v>14</v>
      </c>
      <c r="D59" s="14" t="n">
        <v>5</v>
      </c>
      <c r="E59" s="14" t="n">
        <v>9</v>
      </c>
      <c r="F59" s="14" t="inlineStr">
        <is>
          <t>EW</t>
        </is>
      </c>
    </row>
    <row r="60">
      <c r="B60" s="22" t="n"/>
      <c r="C60" s="22" t="n"/>
      <c r="D60" s="22" t="n"/>
      <c r="E60" s="22" t="n">
        <v>10</v>
      </c>
      <c r="F60" s="22" t="inlineStr">
        <is>
          <t>Both</t>
        </is>
      </c>
      <c r="G60" s="23" t="n"/>
      <c r="H60" s="23" t="n"/>
      <c r="I60" s="23" t="n"/>
      <c r="J60" s="23" t="n"/>
      <c r="K60" s="23" t="n"/>
    </row>
    <row r="61">
      <c r="B61" s="14" t="n">
        <v>2</v>
      </c>
      <c r="C61" s="14" t="n">
        <v>9</v>
      </c>
      <c r="D61" s="14" t="n">
        <v>1</v>
      </c>
      <c r="E61" s="14" t="n">
        <v>13</v>
      </c>
      <c r="F61" s="14" t="inlineStr">
        <is>
          <t>Both</t>
        </is>
      </c>
    </row>
    <row r="62">
      <c r="B62" s="22" t="n"/>
      <c r="C62" s="22" t="n"/>
      <c r="D62" s="22" t="n"/>
      <c r="E62" s="22" t="n">
        <v>14</v>
      </c>
      <c r="F62" s="22" t="inlineStr">
        <is>
          <t>None</t>
        </is>
      </c>
      <c r="G62" s="23" t="n"/>
      <c r="H62" s="23" t="n"/>
      <c r="I62" s="23" t="n"/>
      <c r="J62" s="23" t="n"/>
      <c r="K62" s="23" t="n"/>
    </row>
    <row r="63">
      <c r="B63" s="14" t="n">
        <v>3</v>
      </c>
      <c r="C63" s="14" t="n">
        <v>6</v>
      </c>
      <c r="D63" s="14" t="n">
        <v>7</v>
      </c>
      <c r="E63" s="14" t="n">
        <v>15</v>
      </c>
      <c r="F63" s="14" t="inlineStr">
        <is>
          <t>NS</t>
        </is>
      </c>
    </row>
    <row r="64">
      <c r="B64" s="22" t="n"/>
      <c r="C64" s="22" t="n"/>
      <c r="D64" s="22" t="n"/>
      <c r="E64" s="22" t="n">
        <v>16</v>
      </c>
      <c r="F64" s="22" t="inlineStr">
        <is>
          <t>EW</t>
        </is>
      </c>
      <c r="G64" s="23" t="n"/>
      <c r="H64" s="23" t="n"/>
      <c r="I64" s="23" t="n"/>
      <c r="J64" s="23" t="n"/>
      <c r="K64" s="23" t="n"/>
    </row>
    <row r="65">
      <c r="B65" s="14" t="n">
        <v>4</v>
      </c>
      <c r="C65" s="14" t="n">
        <v>13</v>
      </c>
      <c r="D65" s="14" t="n">
        <v>2</v>
      </c>
      <c r="E65" s="14" t="n">
        <v>17</v>
      </c>
      <c r="F65" s="14" t="inlineStr">
        <is>
          <t>None</t>
        </is>
      </c>
    </row>
    <row r="66">
      <c r="B66" s="22" t="n"/>
      <c r="C66" s="22" t="n"/>
      <c r="D66" s="22" t="n"/>
      <c r="E66" s="22" t="n">
        <v>18</v>
      </c>
      <c r="F66" s="22" t="inlineStr">
        <is>
          <t>NS</t>
        </is>
      </c>
      <c r="G66" s="23" t="n"/>
      <c r="H66" s="23" t="n"/>
      <c r="I66" s="23" t="n"/>
      <c r="J66" s="23" t="n"/>
      <c r="K66" s="23" t="n"/>
    </row>
    <row r="67">
      <c r="B67" s="14" t="n">
        <v>5</v>
      </c>
      <c r="C67" s="14" t="n">
        <v>10</v>
      </c>
      <c r="D67" s="14" t="n">
        <v>4</v>
      </c>
      <c r="E67" s="14" t="n">
        <v>1</v>
      </c>
      <c r="F67" s="14" t="inlineStr">
        <is>
          <t>None</t>
        </is>
      </c>
    </row>
    <row r="68">
      <c r="B68" s="22" t="n"/>
      <c r="C68" s="22" t="n"/>
      <c r="D68" s="22" t="n"/>
      <c r="E68" s="22" t="n">
        <v>2</v>
      </c>
      <c r="F68" s="22" t="inlineStr">
        <is>
          <t>NS</t>
        </is>
      </c>
      <c r="G68" s="23" t="n"/>
      <c r="H68" s="23" t="n"/>
      <c r="I68" s="23" t="n"/>
      <c r="J68" s="23" t="n"/>
      <c r="K68" s="23" t="n"/>
    </row>
    <row r="69">
      <c r="B69" s="14" t="n">
        <v>6</v>
      </c>
      <c r="C69" s="14" t="n">
        <v>12</v>
      </c>
      <c r="D69" s="14" t="n">
        <v>3</v>
      </c>
      <c r="E69" s="14" t="n">
        <v>3</v>
      </c>
      <c r="F69" s="14" t="inlineStr">
        <is>
          <t>EW</t>
        </is>
      </c>
    </row>
    <row r="70">
      <c r="B70" s="22" t="n"/>
      <c r="C70" s="22" t="n"/>
      <c r="D70" s="22" t="n"/>
      <c r="E70" s="22" t="n">
        <v>4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7</v>
      </c>
      <c r="C71" s="14" t="n">
        <v>8</v>
      </c>
      <c r="D71" s="14" t="n">
        <v>11</v>
      </c>
      <c r="E71" s="14" t="n">
        <v>5</v>
      </c>
      <c r="F71" s="14" t="inlineStr">
        <is>
          <t>NS</t>
        </is>
      </c>
    </row>
    <row r="72">
      <c r="A72" s="23" t="n"/>
      <c r="B72" s="22" t="n"/>
      <c r="C72" s="22" t="n"/>
      <c r="D72" s="22" t="n"/>
      <c r="E72" s="22" t="n">
        <v>6</v>
      </c>
      <c r="F72" s="22" t="inlineStr">
        <is>
          <t>EW</t>
        </is>
      </c>
      <c r="G72" s="23" t="n"/>
      <c r="H72" s="23" t="n"/>
      <c r="I72" s="23" t="n"/>
      <c r="J72" s="23" t="n"/>
      <c r="K72" s="23" t="n"/>
    </row>
    <row r="73">
      <c r="A73" s="14" t="n">
        <v>6</v>
      </c>
      <c r="B73" s="14" t="n">
        <v>1</v>
      </c>
      <c r="C73" s="14" t="n">
        <v>14</v>
      </c>
      <c r="D73" s="14" t="n">
        <v>6</v>
      </c>
      <c r="E73" s="14" t="n">
        <v>11</v>
      </c>
      <c r="F73" s="14" t="inlineStr">
        <is>
          <t>None</t>
        </is>
      </c>
    </row>
    <row r="74">
      <c r="B74" s="22" t="n"/>
      <c r="C74" s="22" t="n"/>
      <c r="D74" s="22" t="n"/>
      <c r="E74" s="22" t="n">
        <v>12</v>
      </c>
      <c r="F74" s="22" t="inlineStr">
        <is>
          <t>NS</t>
        </is>
      </c>
      <c r="G74" s="23" t="n"/>
      <c r="H74" s="23" t="n"/>
      <c r="I74" s="23" t="n"/>
      <c r="J74" s="23" t="n"/>
      <c r="K74" s="23" t="n"/>
    </row>
    <row r="75">
      <c r="B75" s="14" t="n">
        <v>2</v>
      </c>
      <c r="C75" s="14" t="n">
        <v>10</v>
      </c>
      <c r="D75" s="14" t="n">
        <v>2</v>
      </c>
      <c r="E75" s="14" t="n">
        <v>15</v>
      </c>
      <c r="F75" s="14" t="inlineStr">
        <is>
          <t>NS</t>
        </is>
      </c>
    </row>
    <row r="76">
      <c r="B76" s="22" t="n"/>
      <c r="C76" s="22" t="n"/>
      <c r="D76" s="22" t="n"/>
      <c r="E76" s="22" t="n">
        <v>16</v>
      </c>
      <c r="F76" s="22" t="inlineStr">
        <is>
          <t>EW</t>
        </is>
      </c>
      <c r="G76" s="23" t="n"/>
      <c r="H76" s="23" t="n"/>
      <c r="I76" s="23" t="n"/>
      <c r="J76" s="23" t="n"/>
      <c r="K76" s="23" t="n"/>
    </row>
    <row r="77">
      <c r="B77" s="14" t="n">
        <v>3</v>
      </c>
      <c r="C77" s="14" t="n">
        <v>7</v>
      </c>
      <c r="D77" s="14" t="n">
        <v>8</v>
      </c>
      <c r="E77" s="14" t="n">
        <v>17</v>
      </c>
      <c r="F77" s="14" t="inlineStr">
        <is>
          <t>None</t>
        </is>
      </c>
    </row>
    <row r="78">
      <c r="B78" s="22" t="n"/>
      <c r="C78" s="22" t="n"/>
      <c r="D78" s="22" t="n"/>
      <c r="E78" s="22" t="n">
        <v>18</v>
      </c>
      <c r="F78" s="22" t="inlineStr">
        <is>
          <t>NS</t>
        </is>
      </c>
      <c r="G78" s="23" t="n"/>
      <c r="H78" s="23" t="n"/>
      <c r="I78" s="23" t="n"/>
      <c r="J78" s="23" t="n"/>
      <c r="K78" s="23" t="n"/>
    </row>
    <row r="79">
      <c r="B79" s="14" t="n">
        <v>4</v>
      </c>
      <c r="C79" s="14" t="n">
        <v>1</v>
      </c>
      <c r="D79" s="14" t="n">
        <v>3</v>
      </c>
      <c r="E79" s="14" t="n">
        <v>19</v>
      </c>
      <c r="F79" s="14" t="inlineStr">
        <is>
          <t>EW</t>
        </is>
      </c>
    </row>
    <row r="80">
      <c r="B80" s="22" t="n"/>
      <c r="C80" s="22" t="n"/>
      <c r="D80" s="22" t="n"/>
      <c r="E80" s="22" t="n">
        <v>20</v>
      </c>
      <c r="F80" s="22" t="inlineStr">
        <is>
          <t>Both</t>
        </is>
      </c>
      <c r="G80" s="23" t="n"/>
      <c r="H80" s="23" t="n"/>
      <c r="I80" s="23" t="n"/>
      <c r="J80" s="23" t="n"/>
      <c r="K80" s="23" t="n"/>
    </row>
    <row r="81">
      <c r="B81" s="14" t="n">
        <v>5</v>
      </c>
      <c r="C81" s="14" t="n">
        <v>11</v>
      </c>
      <c r="D81" s="14" t="n">
        <v>5</v>
      </c>
      <c r="E81" s="14" t="n">
        <v>3</v>
      </c>
      <c r="F81" s="14" t="inlineStr">
        <is>
          <t>EW</t>
        </is>
      </c>
    </row>
    <row r="82">
      <c r="B82" s="22" t="n"/>
      <c r="C82" s="22" t="n"/>
      <c r="D82" s="22" t="n"/>
      <c r="E82" s="22" t="n">
        <v>4</v>
      </c>
      <c r="F82" s="22" t="inlineStr">
        <is>
          <t>Both</t>
        </is>
      </c>
      <c r="G82" s="23" t="n"/>
      <c r="H82" s="23" t="n"/>
      <c r="I82" s="23" t="n"/>
      <c r="J82" s="23" t="n"/>
      <c r="K82" s="23" t="n"/>
    </row>
    <row r="83">
      <c r="B83" s="14" t="n">
        <v>6</v>
      </c>
      <c r="C83" s="14" t="n">
        <v>13</v>
      </c>
      <c r="D83" s="14" t="n">
        <v>4</v>
      </c>
      <c r="E83" s="14" t="n">
        <v>5</v>
      </c>
      <c r="F83" s="14" t="inlineStr">
        <is>
          <t>NS</t>
        </is>
      </c>
    </row>
    <row r="84">
      <c r="B84" s="22" t="n"/>
      <c r="C84" s="22" t="n"/>
      <c r="D84" s="22" t="n"/>
      <c r="E84" s="22" t="n">
        <v>6</v>
      </c>
      <c r="F84" s="22" t="inlineStr">
        <is>
          <t>EW</t>
        </is>
      </c>
      <c r="G84" s="23" t="n"/>
      <c r="H84" s="23" t="n"/>
      <c r="I84" s="23" t="n"/>
      <c r="J84" s="23" t="n"/>
      <c r="K84" s="23" t="n"/>
    </row>
    <row r="85">
      <c r="B85" s="14" t="n">
        <v>7</v>
      </c>
      <c r="C85" s="14" t="n">
        <v>9</v>
      </c>
      <c r="D85" s="14" t="n">
        <v>12</v>
      </c>
      <c r="E85" s="14" t="n">
        <v>7</v>
      </c>
      <c r="F85" s="14" t="inlineStr">
        <is>
          <t>Both</t>
        </is>
      </c>
    </row>
    <row r="86">
      <c r="A86" s="23" t="n"/>
      <c r="B86" s="22" t="n"/>
      <c r="C86" s="22" t="n"/>
      <c r="D86" s="22" t="n"/>
      <c r="E86" s="22" t="n">
        <v>8</v>
      </c>
      <c r="F86" s="22" t="inlineStr">
        <is>
          <t>None</t>
        </is>
      </c>
      <c r="G86" s="23" t="n"/>
      <c r="H86" s="23" t="n"/>
      <c r="I86" s="23" t="n"/>
      <c r="J86" s="23" t="n"/>
      <c r="K86" s="23" t="n"/>
    </row>
    <row r="87">
      <c r="A87" s="14" t="n">
        <v>7</v>
      </c>
      <c r="B87" s="14" t="n">
        <v>1</v>
      </c>
      <c r="C87" s="14" t="n">
        <v>14</v>
      </c>
      <c r="D87" s="14" t="n">
        <v>7</v>
      </c>
      <c r="E87" s="14" t="n">
        <v>13</v>
      </c>
      <c r="F87" s="14" t="inlineStr">
        <is>
          <t>Both</t>
        </is>
      </c>
    </row>
    <row r="88">
      <c r="B88" s="22" t="n"/>
      <c r="C88" s="22" t="n"/>
      <c r="D88" s="22" t="n"/>
      <c r="E88" s="22" t="n">
        <v>14</v>
      </c>
      <c r="F88" s="22" t="inlineStr">
        <is>
          <t>None</t>
        </is>
      </c>
      <c r="G88" s="23" t="n"/>
      <c r="H88" s="23" t="n"/>
      <c r="I88" s="23" t="n"/>
      <c r="J88" s="23" t="n"/>
      <c r="K88" s="23" t="n"/>
    </row>
    <row r="89">
      <c r="B89" s="14" t="n">
        <v>2</v>
      </c>
      <c r="C89" s="14" t="n">
        <v>11</v>
      </c>
      <c r="D89" s="14" t="n">
        <v>3</v>
      </c>
      <c r="E89" s="14" t="n">
        <v>17</v>
      </c>
      <c r="F89" s="14" t="inlineStr">
        <is>
          <t>None</t>
        </is>
      </c>
    </row>
    <row r="90">
      <c r="B90" s="22" t="n"/>
      <c r="C90" s="22" t="n"/>
      <c r="D90" s="22" t="n"/>
      <c r="E90" s="22" t="n">
        <v>18</v>
      </c>
      <c r="F90" s="22" t="inlineStr">
        <is>
          <t>NS</t>
        </is>
      </c>
      <c r="G90" s="23" t="n"/>
      <c r="H90" s="23" t="n"/>
      <c r="I90" s="23" t="n"/>
      <c r="J90" s="23" t="n"/>
      <c r="K90" s="23" t="n"/>
    </row>
    <row r="91">
      <c r="B91" s="14" t="n">
        <v>3</v>
      </c>
      <c r="C91" s="14" t="n">
        <v>8</v>
      </c>
      <c r="D91" s="14" t="n">
        <v>9</v>
      </c>
      <c r="E91" s="14" t="n">
        <v>19</v>
      </c>
      <c r="F91" s="14" t="inlineStr">
        <is>
          <t>EW</t>
        </is>
      </c>
    </row>
    <row r="92">
      <c r="B92" s="22" t="n"/>
      <c r="C92" s="22" t="n"/>
      <c r="D92" s="22" t="n"/>
      <c r="E92" s="22" t="n">
        <v>20</v>
      </c>
      <c r="F92" s="22" t="inlineStr">
        <is>
          <t>Both</t>
        </is>
      </c>
      <c r="G92" s="23" t="n"/>
      <c r="H92" s="23" t="n"/>
      <c r="I92" s="23" t="n"/>
      <c r="J92" s="23" t="n"/>
      <c r="K92" s="23" t="n"/>
    </row>
    <row r="93">
      <c r="B93" s="14" t="n">
        <v>4</v>
      </c>
      <c r="C93" s="14" t="n">
        <v>2</v>
      </c>
      <c r="D93" s="14" t="n">
        <v>4</v>
      </c>
      <c r="E93" s="14" t="n">
        <v>21</v>
      </c>
      <c r="F93" s="14" t="inlineStr">
        <is>
          <t>NS</t>
        </is>
      </c>
    </row>
    <row r="94">
      <c r="B94" s="22" t="n"/>
      <c r="C94" s="22" t="n"/>
      <c r="D94" s="22" t="n"/>
      <c r="E94" s="22" t="n">
        <v>22</v>
      </c>
      <c r="F94" s="22" t="inlineStr">
        <is>
          <t>EW</t>
        </is>
      </c>
      <c r="G94" s="23" t="n"/>
      <c r="H94" s="23" t="n"/>
      <c r="I94" s="23" t="n"/>
      <c r="J94" s="23" t="n"/>
      <c r="K94" s="23" t="n"/>
    </row>
    <row r="95">
      <c r="B95" s="14" t="n">
        <v>5</v>
      </c>
      <c r="C95" s="14" t="n">
        <v>12</v>
      </c>
      <c r="D95" s="14" t="n">
        <v>6</v>
      </c>
      <c r="E95" s="14" t="n">
        <v>5</v>
      </c>
      <c r="F95" s="14" t="inlineStr">
        <is>
          <t>NS</t>
        </is>
      </c>
    </row>
    <row r="96">
      <c r="B96" s="22" t="n"/>
      <c r="C96" s="22" t="n"/>
      <c r="D96" s="22" t="n"/>
      <c r="E96" s="22" t="n">
        <v>6</v>
      </c>
      <c r="F96" s="22" t="inlineStr">
        <is>
          <t>EW</t>
        </is>
      </c>
      <c r="G96" s="23" t="n"/>
      <c r="H96" s="23" t="n"/>
      <c r="I96" s="23" t="n"/>
      <c r="J96" s="23" t="n"/>
      <c r="K96" s="23" t="n"/>
    </row>
    <row r="97">
      <c r="B97" s="14" t="n">
        <v>6</v>
      </c>
      <c r="C97" s="14" t="n">
        <v>1</v>
      </c>
      <c r="D97" s="14" t="n">
        <v>5</v>
      </c>
      <c r="E97" s="14" t="n">
        <v>7</v>
      </c>
      <c r="F97" s="14" t="inlineStr">
        <is>
          <t>Both</t>
        </is>
      </c>
    </row>
    <row r="98">
      <c r="B98" s="22" t="n"/>
      <c r="C98" s="22" t="n"/>
      <c r="D98" s="22" t="n"/>
      <c r="E98" s="22" t="n">
        <v>8</v>
      </c>
      <c r="F98" s="22" t="inlineStr">
        <is>
          <t>None</t>
        </is>
      </c>
      <c r="G98" s="23" t="n"/>
      <c r="H98" s="23" t="n"/>
      <c r="I98" s="23" t="n"/>
      <c r="J98" s="23" t="n"/>
      <c r="K98" s="23" t="n"/>
    </row>
    <row r="99">
      <c r="B99" s="14" t="n">
        <v>7</v>
      </c>
      <c r="C99" s="14" t="n">
        <v>10</v>
      </c>
      <c r="D99" s="14" t="n">
        <v>13</v>
      </c>
      <c r="E99" s="14" t="n">
        <v>9</v>
      </c>
      <c r="F99" s="14" t="inlineStr">
        <is>
          <t>EW</t>
        </is>
      </c>
    </row>
    <row r="100">
      <c r="A100" s="23" t="n"/>
      <c r="B100" s="22" t="n"/>
      <c r="C100" s="22" t="n"/>
      <c r="D100" s="22" t="n"/>
      <c r="E100" s="22" t="n">
        <v>10</v>
      </c>
      <c r="F100" s="22" t="inlineStr">
        <is>
          <t>Both</t>
        </is>
      </c>
      <c r="G100" s="23" t="n"/>
      <c r="H100" s="23" t="n"/>
      <c r="I100" s="23" t="n"/>
      <c r="J100" s="23" t="n"/>
      <c r="K100" s="23" t="n"/>
    </row>
    <row r="101">
      <c r="A101" s="14" t="n">
        <v>8</v>
      </c>
      <c r="B101" s="14" t="n">
        <v>1</v>
      </c>
      <c r="C101" s="14" t="n">
        <v>14</v>
      </c>
      <c r="D101" s="14" t="n">
        <v>8</v>
      </c>
      <c r="E101" s="14" t="n">
        <v>15</v>
      </c>
      <c r="F101" s="14" t="inlineStr">
        <is>
          <t>NS</t>
        </is>
      </c>
    </row>
    <row r="102">
      <c r="B102" s="22" t="n"/>
      <c r="C102" s="22" t="n"/>
      <c r="D102" s="22" t="n"/>
      <c r="E102" s="22" t="n">
        <v>16</v>
      </c>
      <c r="F102" s="22" t="inlineStr">
        <is>
          <t>EW</t>
        </is>
      </c>
      <c r="G102" s="23" t="n"/>
      <c r="H102" s="23" t="n"/>
      <c r="I102" s="23" t="n"/>
      <c r="J102" s="23" t="n"/>
      <c r="K102" s="23" t="n"/>
    </row>
    <row r="103">
      <c r="B103" s="14" t="n">
        <v>2</v>
      </c>
      <c r="C103" s="14" t="n">
        <v>12</v>
      </c>
      <c r="D103" s="14" t="n">
        <v>4</v>
      </c>
      <c r="E103" s="14" t="n">
        <v>19</v>
      </c>
      <c r="F103" s="14" t="inlineStr">
        <is>
          <t>EW</t>
        </is>
      </c>
    </row>
    <row r="104">
      <c r="B104" s="22" t="n"/>
      <c r="C104" s="22" t="n"/>
      <c r="D104" s="22" t="n"/>
      <c r="E104" s="22" t="n">
        <v>20</v>
      </c>
      <c r="F104" s="22" t="inlineStr">
        <is>
          <t>Both</t>
        </is>
      </c>
      <c r="G104" s="23" t="n"/>
      <c r="H104" s="23" t="n"/>
      <c r="I104" s="23" t="n"/>
      <c r="J104" s="23" t="n"/>
      <c r="K104" s="23" t="n"/>
    </row>
    <row r="105">
      <c r="B105" s="14" t="n">
        <v>3</v>
      </c>
      <c r="C105" s="14" t="n">
        <v>9</v>
      </c>
      <c r="D105" s="14" t="n">
        <v>10</v>
      </c>
      <c r="E105" s="14" t="n">
        <v>21</v>
      </c>
      <c r="F105" s="14" t="inlineStr">
        <is>
          <t>NS</t>
        </is>
      </c>
    </row>
    <row r="106">
      <c r="B106" s="22" t="n"/>
      <c r="C106" s="22" t="n"/>
      <c r="D106" s="22" t="n"/>
      <c r="E106" s="22" t="n">
        <v>22</v>
      </c>
      <c r="F106" s="22" t="inlineStr">
        <is>
          <t>EW</t>
        </is>
      </c>
      <c r="G106" s="23" t="n"/>
      <c r="H106" s="23" t="n"/>
      <c r="I106" s="23" t="n"/>
      <c r="J106" s="23" t="n"/>
      <c r="K106" s="23" t="n"/>
    </row>
    <row r="107">
      <c r="B107" s="14" t="n">
        <v>4</v>
      </c>
      <c r="C107" s="14" t="n">
        <v>3</v>
      </c>
      <c r="D107" s="14" t="n">
        <v>5</v>
      </c>
      <c r="E107" s="14" t="n">
        <v>23</v>
      </c>
      <c r="F107" s="14" t="inlineStr">
        <is>
          <t>Both</t>
        </is>
      </c>
    </row>
    <row r="108">
      <c r="B108" s="22" t="n"/>
      <c r="C108" s="22" t="n"/>
      <c r="D108" s="22" t="n"/>
      <c r="E108" s="22" t="n">
        <v>24</v>
      </c>
      <c r="F108" s="22" t="inlineStr">
        <is>
          <t>None</t>
        </is>
      </c>
      <c r="G108" s="23" t="n"/>
      <c r="H108" s="23" t="n"/>
      <c r="I108" s="23" t="n"/>
      <c r="J108" s="23" t="n"/>
      <c r="K108" s="23" t="n"/>
    </row>
    <row r="109">
      <c r="B109" s="14" t="n">
        <v>5</v>
      </c>
      <c r="C109" s="14" t="n">
        <v>13</v>
      </c>
      <c r="D109" s="14" t="n">
        <v>7</v>
      </c>
      <c r="E109" s="14" t="n">
        <v>7</v>
      </c>
      <c r="F109" s="14" t="inlineStr">
        <is>
          <t>Both</t>
        </is>
      </c>
    </row>
    <row r="110">
      <c r="B110" s="22" t="n"/>
      <c r="C110" s="22" t="n"/>
      <c r="D110" s="22" t="n"/>
      <c r="E110" s="22" t="n">
        <v>8</v>
      </c>
      <c r="F110" s="22" t="inlineStr">
        <is>
          <t>None</t>
        </is>
      </c>
      <c r="G110" s="23" t="n"/>
      <c r="H110" s="23" t="n"/>
      <c r="I110" s="23" t="n"/>
      <c r="J110" s="23" t="n"/>
      <c r="K110" s="23" t="n"/>
    </row>
    <row r="111">
      <c r="B111" s="14" t="n">
        <v>6</v>
      </c>
      <c r="C111" s="14" t="n">
        <v>2</v>
      </c>
      <c r="D111" s="14" t="n">
        <v>6</v>
      </c>
      <c r="E111" s="14" t="n">
        <v>9</v>
      </c>
      <c r="F111" s="14" t="inlineStr">
        <is>
          <t>EW</t>
        </is>
      </c>
    </row>
    <row r="112">
      <c r="B112" s="22" t="n"/>
      <c r="C112" s="22" t="n"/>
      <c r="D112" s="22" t="n"/>
      <c r="E112" s="22" t="n">
        <v>10</v>
      </c>
      <c r="F112" s="22" t="inlineStr">
        <is>
          <t>Both</t>
        </is>
      </c>
      <c r="G112" s="23" t="n"/>
      <c r="H112" s="23" t="n"/>
      <c r="I112" s="23" t="n"/>
      <c r="J112" s="23" t="n"/>
      <c r="K112" s="23" t="n"/>
    </row>
    <row r="113">
      <c r="B113" s="14" t="n">
        <v>7</v>
      </c>
      <c r="C113" s="14" t="n">
        <v>11</v>
      </c>
      <c r="D113" s="14" t="n">
        <v>1</v>
      </c>
      <c r="E113" s="14" t="n">
        <v>11</v>
      </c>
      <c r="F113" s="14" t="inlineStr">
        <is>
          <t>None</t>
        </is>
      </c>
    </row>
    <row r="114">
      <c r="A114" s="23" t="n"/>
      <c r="B114" s="22" t="n"/>
      <c r="C114" s="22" t="n"/>
      <c r="D114" s="22" t="n"/>
      <c r="E114" s="22" t="n">
        <v>12</v>
      </c>
      <c r="F114" s="22" t="inlineStr">
        <is>
          <t>NS</t>
        </is>
      </c>
      <c r="G114" s="23" t="n"/>
      <c r="H114" s="23" t="n"/>
      <c r="I114" s="23" t="n"/>
      <c r="J114" s="23" t="n"/>
      <c r="K114" s="23" t="n"/>
    </row>
    <row r="115">
      <c r="A115" s="14" t="n">
        <v>9</v>
      </c>
      <c r="B115" s="14" t="n">
        <v>1</v>
      </c>
      <c r="C115" s="14" t="n">
        <v>14</v>
      </c>
      <c r="D115" s="14" t="n">
        <v>9</v>
      </c>
      <c r="E115" s="14" t="n">
        <v>17</v>
      </c>
      <c r="F115" s="14" t="inlineStr">
        <is>
          <t>None</t>
        </is>
      </c>
    </row>
    <row r="116">
      <c r="B116" s="22" t="n"/>
      <c r="C116" s="22" t="n"/>
      <c r="D116" s="22" t="n"/>
      <c r="E116" s="22" t="n">
        <v>18</v>
      </c>
      <c r="F116" s="22" t="inlineStr">
        <is>
          <t>NS</t>
        </is>
      </c>
      <c r="G116" s="23" t="n"/>
      <c r="H116" s="23" t="n"/>
      <c r="I116" s="23" t="n"/>
      <c r="J116" s="23" t="n"/>
      <c r="K116" s="23" t="n"/>
    </row>
    <row r="117">
      <c r="B117" s="14" t="n">
        <v>2</v>
      </c>
      <c r="C117" s="14" t="n">
        <v>13</v>
      </c>
      <c r="D117" s="14" t="n">
        <v>5</v>
      </c>
      <c r="E117" s="14" t="n">
        <v>21</v>
      </c>
      <c r="F117" s="14" t="inlineStr">
        <is>
          <t>NS</t>
        </is>
      </c>
    </row>
    <row r="118">
      <c r="B118" s="22" t="n"/>
      <c r="C118" s="22" t="n"/>
      <c r="D118" s="22" t="n"/>
      <c r="E118" s="22" t="n">
        <v>22</v>
      </c>
      <c r="F118" s="22" t="inlineStr">
        <is>
          <t>EW</t>
        </is>
      </c>
      <c r="G118" s="23" t="n"/>
      <c r="H118" s="23" t="n"/>
      <c r="I118" s="23" t="n"/>
      <c r="J118" s="23" t="n"/>
      <c r="K118" s="23" t="n"/>
    </row>
    <row r="119">
      <c r="B119" s="14" t="n">
        <v>3</v>
      </c>
      <c r="C119" s="14" t="n">
        <v>10</v>
      </c>
      <c r="D119" s="14" t="n">
        <v>11</v>
      </c>
      <c r="E119" s="14" t="n">
        <v>23</v>
      </c>
      <c r="F119" s="14" t="inlineStr">
        <is>
          <t>Both</t>
        </is>
      </c>
    </row>
    <row r="120">
      <c r="B120" s="22" t="n"/>
      <c r="C120" s="22" t="n"/>
      <c r="D120" s="22" t="n"/>
      <c r="E120" s="22" t="n">
        <v>24</v>
      </c>
      <c r="F120" s="22" t="inlineStr">
        <is>
          <t>None</t>
        </is>
      </c>
      <c r="G120" s="23" t="n"/>
      <c r="H120" s="23" t="n"/>
      <c r="I120" s="23" t="n"/>
      <c r="J120" s="23" t="n"/>
      <c r="K120" s="23" t="n"/>
    </row>
    <row r="121">
      <c r="B121" s="14" t="n">
        <v>4</v>
      </c>
      <c r="C121" s="14" t="n">
        <v>4</v>
      </c>
      <c r="D121" s="14" t="n">
        <v>6</v>
      </c>
      <c r="E121" s="14" t="n">
        <v>25</v>
      </c>
      <c r="F121" s="14" t="inlineStr">
        <is>
          <t>EW</t>
        </is>
      </c>
    </row>
    <row r="122">
      <c r="B122" s="22" t="n"/>
      <c r="C122" s="22" t="n"/>
      <c r="D122" s="22" t="n"/>
      <c r="E122" s="22" t="n">
        <v>26</v>
      </c>
      <c r="F122" s="22" t="inlineStr">
        <is>
          <t>Both</t>
        </is>
      </c>
      <c r="G122" s="23" t="n"/>
      <c r="H122" s="23" t="n"/>
      <c r="I122" s="23" t="n"/>
      <c r="J122" s="23" t="n"/>
      <c r="K122" s="23" t="n"/>
    </row>
    <row r="123">
      <c r="B123" s="14" t="n">
        <v>5</v>
      </c>
      <c r="C123" s="14" t="n">
        <v>1</v>
      </c>
      <c r="D123" s="14" t="n">
        <v>8</v>
      </c>
      <c r="E123" s="14" t="n">
        <v>9</v>
      </c>
      <c r="F123" s="14" t="inlineStr">
        <is>
          <t>EW</t>
        </is>
      </c>
    </row>
    <row r="124">
      <c r="B124" s="22" t="n"/>
      <c r="C124" s="22" t="n"/>
      <c r="D124" s="22" t="n"/>
      <c r="E124" s="22" t="n">
        <v>10</v>
      </c>
      <c r="F124" s="22" t="inlineStr">
        <is>
          <t>Both</t>
        </is>
      </c>
      <c r="G124" s="23" t="n"/>
      <c r="H124" s="23" t="n"/>
      <c r="I124" s="23" t="n"/>
      <c r="J124" s="23" t="n"/>
      <c r="K124" s="23" t="n"/>
    </row>
    <row r="125">
      <c r="B125" s="14" t="n">
        <v>6</v>
      </c>
      <c r="C125" s="14" t="n">
        <v>3</v>
      </c>
      <c r="D125" s="14" t="n">
        <v>7</v>
      </c>
      <c r="E125" s="14" t="n">
        <v>11</v>
      </c>
      <c r="F125" s="14" t="inlineStr">
        <is>
          <t>None</t>
        </is>
      </c>
    </row>
    <row r="126">
      <c r="B126" s="22" t="n"/>
      <c r="C126" s="22" t="n"/>
      <c r="D126" s="22" t="n"/>
      <c r="E126" s="22" t="n">
        <v>12</v>
      </c>
      <c r="F126" s="22" t="inlineStr">
        <is>
          <t>NS</t>
        </is>
      </c>
      <c r="G126" s="23" t="n"/>
      <c r="H126" s="23" t="n"/>
      <c r="I126" s="23" t="n"/>
      <c r="J126" s="23" t="n"/>
      <c r="K126" s="23" t="n"/>
    </row>
    <row r="127">
      <c r="B127" s="14" t="n">
        <v>7</v>
      </c>
      <c r="C127" s="14" t="n">
        <v>12</v>
      </c>
      <c r="D127" s="14" t="n">
        <v>2</v>
      </c>
      <c r="E127" s="14" t="n">
        <v>13</v>
      </c>
      <c r="F127" s="14" t="inlineStr">
        <is>
          <t>Both</t>
        </is>
      </c>
    </row>
    <row r="128">
      <c r="A128" s="23" t="n"/>
      <c r="B128" s="22" t="n"/>
      <c r="C128" s="22" t="n"/>
      <c r="D128" s="22" t="n"/>
      <c r="E128" s="22" t="n">
        <v>14</v>
      </c>
      <c r="F128" s="22" t="inlineStr">
        <is>
          <t>None</t>
        </is>
      </c>
      <c r="G128" s="23" t="n"/>
      <c r="H128" s="23" t="n"/>
      <c r="I128" s="23" t="n"/>
      <c r="J128" s="23" t="n"/>
      <c r="K128" s="23" t="n"/>
    </row>
    <row r="129">
      <c r="A129" s="14" t="n">
        <v>10</v>
      </c>
      <c r="B129" s="14" t="n">
        <v>1</v>
      </c>
      <c r="C129" s="14" t="n">
        <v>14</v>
      </c>
      <c r="D129" s="14" t="n">
        <v>10</v>
      </c>
      <c r="E129" s="14" t="n">
        <v>19</v>
      </c>
      <c r="F129" s="14" t="inlineStr">
        <is>
          <t>EW</t>
        </is>
      </c>
    </row>
    <row r="130">
      <c r="B130" s="22" t="n"/>
      <c r="C130" s="22" t="n"/>
      <c r="D130" s="22" t="n"/>
      <c r="E130" s="22" t="n">
        <v>20</v>
      </c>
      <c r="F130" s="22" t="inlineStr">
        <is>
          <t>Both</t>
        </is>
      </c>
      <c r="G130" s="23" t="n"/>
      <c r="H130" s="23" t="n"/>
      <c r="I130" s="23" t="n"/>
      <c r="J130" s="23" t="n"/>
      <c r="K130" s="23" t="n"/>
    </row>
    <row r="131">
      <c r="B131" s="14" t="n">
        <v>2</v>
      </c>
      <c r="C131" s="14" t="n">
        <v>1</v>
      </c>
      <c r="D131" s="14" t="n">
        <v>6</v>
      </c>
      <c r="E131" s="14" t="n">
        <v>23</v>
      </c>
      <c r="F131" s="14" t="inlineStr">
        <is>
          <t>Both</t>
        </is>
      </c>
    </row>
    <row r="132">
      <c r="B132" s="22" t="n"/>
      <c r="C132" s="22" t="n"/>
      <c r="D132" s="22" t="n"/>
      <c r="E132" s="22" t="n">
        <v>24</v>
      </c>
      <c r="F132" s="22" t="inlineStr">
        <is>
          <t>None</t>
        </is>
      </c>
      <c r="G132" s="23" t="n"/>
      <c r="H132" s="23" t="n"/>
      <c r="I132" s="23" t="n"/>
      <c r="J132" s="23" t="n"/>
      <c r="K132" s="23" t="n"/>
    </row>
    <row r="133">
      <c r="B133" s="14" t="n">
        <v>3</v>
      </c>
      <c r="C133" s="14" t="n">
        <v>11</v>
      </c>
      <c r="D133" s="14" t="n">
        <v>12</v>
      </c>
      <c r="E133" s="14" t="n">
        <v>25</v>
      </c>
      <c r="F133" s="14" t="inlineStr">
        <is>
          <t>EW</t>
        </is>
      </c>
    </row>
    <row r="134">
      <c r="B134" s="22" t="n"/>
      <c r="C134" s="22" t="n"/>
      <c r="D134" s="22" t="n"/>
      <c r="E134" s="22" t="n">
        <v>26</v>
      </c>
      <c r="F134" s="22" t="inlineStr">
        <is>
          <t>Both</t>
        </is>
      </c>
      <c r="G134" s="23" t="n"/>
      <c r="H134" s="23" t="n"/>
      <c r="I134" s="23" t="n"/>
      <c r="J134" s="23" t="n"/>
      <c r="K134" s="23" t="n"/>
    </row>
    <row r="135">
      <c r="B135" s="14" t="n">
        <v>4</v>
      </c>
      <c r="C135" s="14" t="n">
        <v>5</v>
      </c>
      <c r="D135" s="14" t="n">
        <v>7</v>
      </c>
      <c r="E135" s="14" t="n">
        <v>1</v>
      </c>
      <c r="F135" s="14" t="inlineStr">
        <is>
          <t>None</t>
        </is>
      </c>
    </row>
    <row r="136">
      <c r="B136" s="22" t="n"/>
      <c r="C136" s="22" t="n"/>
      <c r="D136" s="22" t="n"/>
      <c r="E136" s="22" t="n">
        <v>2</v>
      </c>
      <c r="F136" s="22" t="inlineStr">
        <is>
          <t>NS</t>
        </is>
      </c>
      <c r="G136" s="23" t="n"/>
      <c r="H136" s="23" t="n"/>
      <c r="I136" s="23" t="n"/>
      <c r="J136" s="23" t="n"/>
      <c r="K136" s="23" t="n"/>
    </row>
    <row r="137">
      <c r="B137" s="14" t="n">
        <v>5</v>
      </c>
      <c r="C137" s="14" t="n">
        <v>2</v>
      </c>
      <c r="D137" s="14" t="n">
        <v>9</v>
      </c>
      <c r="E137" s="14" t="n">
        <v>11</v>
      </c>
      <c r="F137" s="14" t="inlineStr">
        <is>
          <t>None</t>
        </is>
      </c>
    </row>
    <row r="138">
      <c r="B138" s="22" t="n"/>
      <c r="C138" s="22" t="n"/>
      <c r="D138" s="22" t="n"/>
      <c r="E138" s="22" t="n">
        <v>12</v>
      </c>
      <c r="F138" s="22" t="inlineStr">
        <is>
          <t>NS</t>
        </is>
      </c>
      <c r="G138" s="23" t="n"/>
      <c r="H138" s="23" t="n"/>
      <c r="I138" s="23" t="n"/>
      <c r="J138" s="23" t="n"/>
      <c r="K138" s="23" t="n"/>
    </row>
    <row r="139">
      <c r="B139" s="14" t="n">
        <v>6</v>
      </c>
      <c r="C139" s="14" t="n">
        <v>4</v>
      </c>
      <c r="D139" s="14" t="n">
        <v>8</v>
      </c>
      <c r="E139" s="14" t="n">
        <v>13</v>
      </c>
      <c r="F139" s="14" t="inlineStr">
        <is>
          <t>Both</t>
        </is>
      </c>
    </row>
    <row r="140">
      <c r="B140" s="22" t="n"/>
      <c r="C140" s="22" t="n"/>
      <c r="D140" s="22" t="n"/>
      <c r="E140" s="22" t="n">
        <v>14</v>
      </c>
      <c r="F140" s="22" t="inlineStr">
        <is>
          <t>None</t>
        </is>
      </c>
      <c r="G140" s="23" t="n"/>
      <c r="H140" s="23" t="n"/>
      <c r="I140" s="23" t="n"/>
      <c r="J140" s="23" t="n"/>
      <c r="K140" s="23" t="n"/>
    </row>
    <row r="141">
      <c r="B141" s="14" t="n">
        <v>7</v>
      </c>
      <c r="C141" s="14" t="n">
        <v>13</v>
      </c>
      <c r="D141" s="14" t="n">
        <v>3</v>
      </c>
      <c r="E141" s="14" t="n">
        <v>15</v>
      </c>
      <c r="F141" s="14" t="inlineStr">
        <is>
          <t>NS</t>
        </is>
      </c>
    </row>
    <row r="142">
      <c r="A142" s="23" t="n"/>
      <c r="B142" s="22" t="n"/>
      <c r="C142" s="22" t="n"/>
      <c r="D142" s="22" t="n"/>
      <c r="E142" s="22" t="n">
        <v>16</v>
      </c>
      <c r="F142" s="22" t="inlineStr">
        <is>
          <t>EW</t>
        </is>
      </c>
      <c r="G142" s="23" t="n"/>
      <c r="H142" s="23" t="n"/>
      <c r="I142" s="23" t="n"/>
      <c r="J142" s="23" t="n"/>
      <c r="K142" s="23" t="n"/>
    </row>
    <row r="143">
      <c r="A143" s="14" t="n">
        <v>11</v>
      </c>
      <c r="B143" s="14" t="n">
        <v>1</v>
      </c>
      <c r="C143" s="14" t="n">
        <v>14</v>
      </c>
      <c r="D143" s="14" t="n">
        <v>11</v>
      </c>
      <c r="E143" s="14" t="n">
        <v>21</v>
      </c>
      <c r="F143" s="14" t="inlineStr">
        <is>
          <t>NS</t>
        </is>
      </c>
    </row>
    <row r="144">
      <c r="B144" s="22" t="n"/>
      <c r="C144" s="22" t="n"/>
      <c r="D144" s="22" t="n"/>
      <c r="E144" s="22" t="n">
        <v>22</v>
      </c>
      <c r="F144" s="22" t="inlineStr">
        <is>
          <t>EW</t>
        </is>
      </c>
      <c r="G144" s="23" t="n"/>
      <c r="H144" s="23" t="n"/>
      <c r="I144" s="23" t="n"/>
      <c r="J144" s="23" t="n"/>
      <c r="K144" s="23" t="n"/>
    </row>
    <row r="145">
      <c r="B145" s="14" t="n">
        <v>2</v>
      </c>
      <c r="C145" s="14" t="n">
        <v>2</v>
      </c>
      <c r="D145" s="14" t="n">
        <v>7</v>
      </c>
      <c r="E145" s="14" t="n">
        <v>25</v>
      </c>
      <c r="F145" s="14" t="inlineStr">
        <is>
          <t>EW</t>
        </is>
      </c>
    </row>
    <row r="146">
      <c r="B146" s="22" t="n"/>
      <c r="C146" s="22" t="n"/>
      <c r="D146" s="22" t="n"/>
      <c r="E146" s="22" t="n">
        <v>26</v>
      </c>
      <c r="F146" s="22" t="inlineStr">
        <is>
          <t>Both</t>
        </is>
      </c>
      <c r="G146" s="23" t="n"/>
      <c r="H146" s="23" t="n"/>
      <c r="I146" s="23" t="n"/>
      <c r="J146" s="23" t="n"/>
      <c r="K146" s="23" t="n"/>
    </row>
    <row r="147">
      <c r="B147" s="14" t="n">
        <v>3</v>
      </c>
      <c r="C147" s="14" t="n">
        <v>12</v>
      </c>
      <c r="D147" s="14" t="n">
        <v>13</v>
      </c>
      <c r="E147" s="14" t="n">
        <v>1</v>
      </c>
      <c r="F147" s="14" t="inlineStr">
        <is>
          <t>None</t>
        </is>
      </c>
    </row>
    <row r="148">
      <c r="B148" s="22" t="n"/>
      <c r="C148" s="22" t="n"/>
      <c r="D148" s="22" t="n"/>
      <c r="E148" s="22" t="n">
        <v>2</v>
      </c>
      <c r="F148" s="22" t="inlineStr">
        <is>
          <t>NS</t>
        </is>
      </c>
      <c r="G148" s="23" t="n"/>
      <c r="H148" s="23" t="n"/>
      <c r="I148" s="23" t="n"/>
      <c r="J148" s="23" t="n"/>
      <c r="K148" s="23" t="n"/>
    </row>
    <row r="149">
      <c r="B149" s="14" t="n">
        <v>4</v>
      </c>
      <c r="C149" s="14" t="n">
        <v>6</v>
      </c>
      <c r="D149" s="14" t="n">
        <v>8</v>
      </c>
      <c r="E149" s="14" t="n">
        <v>3</v>
      </c>
      <c r="F149" s="14" t="inlineStr">
        <is>
          <t>EW</t>
        </is>
      </c>
    </row>
    <row r="150">
      <c r="B150" s="22" t="n"/>
      <c r="C150" s="22" t="n"/>
      <c r="D150" s="22" t="n"/>
      <c r="E150" s="22" t="n">
        <v>4</v>
      </c>
      <c r="F150" s="22" t="inlineStr">
        <is>
          <t>Both</t>
        </is>
      </c>
      <c r="G150" s="23" t="n"/>
      <c r="H150" s="23" t="n"/>
      <c r="I150" s="23" t="n"/>
      <c r="J150" s="23" t="n"/>
      <c r="K150" s="23" t="n"/>
    </row>
    <row r="151">
      <c r="B151" s="14" t="n">
        <v>5</v>
      </c>
      <c r="C151" s="14" t="n">
        <v>3</v>
      </c>
      <c r="D151" s="14" t="n">
        <v>10</v>
      </c>
      <c r="E151" s="14" t="n">
        <v>13</v>
      </c>
      <c r="F151" s="14" t="inlineStr">
        <is>
          <t>Both</t>
        </is>
      </c>
    </row>
    <row r="152">
      <c r="B152" s="22" t="n"/>
      <c r="C152" s="22" t="n"/>
      <c r="D152" s="22" t="n"/>
      <c r="E152" s="22" t="n">
        <v>14</v>
      </c>
      <c r="F152" s="22" t="inlineStr">
        <is>
          <t>None</t>
        </is>
      </c>
      <c r="G152" s="23" t="n"/>
      <c r="H152" s="23" t="n"/>
      <c r="I152" s="23" t="n"/>
      <c r="J152" s="23" t="n"/>
      <c r="K152" s="23" t="n"/>
    </row>
    <row r="153">
      <c r="B153" s="14" t="n">
        <v>6</v>
      </c>
      <c r="C153" s="14" t="n">
        <v>5</v>
      </c>
      <c r="D153" s="14" t="n">
        <v>9</v>
      </c>
      <c r="E153" s="14" t="n">
        <v>15</v>
      </c>
      <c r="F153" s="14" t="inlineStr">
        <is>
          <t>NS</t>
        </is>
      </c>
    </row>
    <row r="154">
      <c r="B154" s="22" t="n"/>
      <c r="C154" s="22" t="n"/>
      <c r="D154" s="22" t="n"/>
      <c r="E154" s="22" t="n">
        <v>16</v>
      </c>
      <c r="F154" s="22" t="inlineStr">
        <is>
          <t>EW</t>
        </is>
      </c>
      <c r="G154" s="23" t="n"/>
      <c r="H154" s="23" t="n"/>
      <c r="I154" s="23" t="n"/>
      <c r="J154" s="23" t="n"/>
      <c r="K154" s="23" t="n"/>
    </row>
    <row r="155">
      <c r="B155" s="14" t="n">
        <v>7</v>
      </c>
      <c r="C155" s="14" t="n">
        <v>1</v>
      </c>
      <c r="D155" s="14" t="n">
        <v>4</v>
      </c>
      <c r="E155" s="14" t="n">
        <v>17</v>
      </c>
      <c r="F155" s="14" t="inlineStr">
        <is>
          <t>None</t>
        </is>
      </c>
    </row>
    <row r="156">
      <c r="A156" s="23" t="n"/>
      <c r="B156" s="22" t="n"/>
      <c r="C156" s="22" t="n"/>
      <c r="D156" s="22" t="n"/>
      <c r="E156" s="22" t="n">
        <v>18</v>
      </c>
      <c r="F156" s="22" t="inlineStr">
        <is>
          <t>NS</t>
        </is>
      </c>
      <c r="G156" s="23" t="n"/>
      <c r="H156" s="23" t="n"/>
      <c r="I156" s="23" t="n"/>
      <c r="J156" s="23" t="n"/>
      <c r="K156" s="23" t="n"/>
    </row>
    <row r="157">
      <c r="A157" s="14" t="n">
        <v>12</v>
      </c>
      <c r="B157" s="14" t="n">
        <v>1</v>
      </c>
      <c r="C157" s="14" t="n">
        <v>14</v>
      </c>
      <c r="D157" s="14" t="n">
        <v>12</v>
      </c>
      <c r="E157" s="14" t="n">
        <v>23</v>
      </c>
      <c r="F157" s="14" t="inlineStr">
        <is>
          <t>Both</t>
        </is>
      </c>
    </row>
    <row r="158">
      <c r="B158" s="22" t="n"/>
      <c r="C158" s="22" t="n"/>
      <c r="D158" s="22" t="n"/>
      <c r="E158" s="22" t="n">
        <v>24</v>
      </c>
      <c r="F158" s="22" t="inlineStr">
        <is>
          <t>None</t>
        </is>
      </c>
      <c r="G158" s="23" t="n"/>
      <c r="H158" s="23" t="n"/>
      <c r="I158" s="23" t="n"/>
      <c r="J158" s="23" t="n"/>
      <c r="K158" s="23" t="n"/>
    </row>
    <row r="159">
      <c r="B159" s="14" t="n">
        <v>2</v>
      </c>
      <c r="C159" s="14" t="n">
        <v>3</v>
      </c>
      <c r="D159" s="14" t="n">
        <v>8</v>
      </c>
      <c r="E159" s="14" t="n">
        <v>1</v>
      </c>
      <c r="F159" s="14" t="inlineStr">
        <is>
          <t>None</t>
        </is>
      </c>
    </row>
    <row r="160">
      <c r="B160" s="22" t="n"/>
      <c r="C160" s="22" t="n"/>
      <c r="D160" s="22" t="n"/>
      <c r="E160" s="22" t="n">
        <v>2</v>
      </c>
      <c r="F160" s="22" t="inlineStr">
        <is>
          <t>NS</t>
        </is>
      </c>
      <c r="G160" s="23" t="n"/>
      <c r="H160" s="23" t="n"/>
      <c r="I160" s="23" t="n"/>
      <c r="J160" s="23" t="n"/>
      <c r="K160" s="23" t="n"/>
    </row>
    <row r="161">
      <c r="B161" s="14" t="n">
        <v>3</v>
      </c>
      <c r="C161" s="14" t="n">
        <v>13</v>
      </c>
      <c r="D161" s="14" t="n">
        <v>1</v>
      </c>
      <c r="E161" s="14" t="n">
        <v>3</v>
      </c>
      <c r="F161" s="14" t="inlineStr">
        <is>
          <t>EW</t>
        </is>
      </c>
    </row>
    <row r="162">
      <c r="B162" s="22" t="n"/>
      <c r="C162" s="22" t="n"/>
      <c r="D162" s="22" t="n"/>
      <c r="E162" s="22" t="n">
        <v>4</v>
      </c>
      <c r="F162" s="22" t="inlineStr">
        <is>
          <t>Both</t>
        </is>
      </c>
      <c r="G162" s="23" t="n"/>
      <c r="H162" s="23" t="n"/>
      <c r="I162" s="23" t="n"/>
      <c r="J162" s="23" t="n"/>
      <c r="K162" s="23" t="n"/>
    </row>
    <row r="163">
      <c r="B163" s="14" t="n">
        <v>4</v>
      </c>
      <c r="C163" s="14" t="n">
        <v>7</v>
      </c>
      <c r="D163" s="14" t="n">
        <v>9</v>
      </c>
      <c r="E163" s="14" t="n">
        <v>5</v>
      </c>
      <c r="F163" s="14" t="inlineStr">
        <is>
          <t>NS</t>
        </is>
      </c>
    </row>
    <row r="164">
      <c r="B164" s="22" t="n"/>
      <c r="C164" s="22" t="n"/>
      <c r="D164" s="22" t="n"/>
      <c r="E164" s="22" t="n">
        <v>6</v>
      </c>
      <c r="F164" s="22" t="inlineStr">
        <is>
          <t>EW</t>
        </is>
      </c>
      <c r="G164" s="23" t="n"/>
      <c r="H164" s="23" t="n"/>
      <c r="I164" s="23" t="n"/>
      <c r="J164" s="23" t="n"/>
      <c r="K164" s="23" t="n"/>
    </row>
    <row r="165">
      <c r="B165" s="14" t="n">
        <v>5</v>
      </c>
      <c r="C165" s="14" t="n">
        <v>4</v>
      </c>
      <c r="D165" s="14" t="n">
        <v>11</v>
      </c>
      <c r="E165" s="14" t="n">
        <v>15</v>
      </c>
      <c r="F165" s="14" t="inlineStr">
        <is>
          <t>NS</t>
        </is>
      </c>
    </row>
    <row r="166">
      <c r="B166" s="22" t="n"/>
      <c r="C166" s="22" t="n"/>
      <c r="D166" s="22" t="n"/>
      <c r="E166" s="22" t="n">
        <v>16</v>
      </c>
      <c r="F166" s="22" t="inlineStr">
        <is>
          <t>EW</t>
        </is>
      </c>
      <c r="G166" s="23" t="n"/>
      <c r="H166" s="23" t="n"/>
      <c r="I166" s="23" t="n"/>
      <c r="J166" s="23" t="n"/>
      <c r="K166" s="23" t="n"/>
    </row>
    <row r="167">
      <c r="B167" s="14" t="n">
        <v>6</v>
      </c>
      <c r="C167" s="14" t="n">
        <v>6</v>
      </c>
      <c r="D167" s="14" t="n">
        <v>10</v>
      </c>
      <c r="E167" s="14" t="n">
        <v>17</v>
      </c>
      <c r="F167" s="14" t="inlineStr">
        <is>
          <t>None</t>
        </is>
      </c>
    </row>
    <row r="168">
      <c r="B168" s="22" t="n"/>
      <c r="C168" s="22" t="n"/>
      <c r="D168" s="22" t="n"/>
      <c r="E168" s="22" t="n">
        <v>18</v>
      </c>
      <c r="F168" s="22" t="inlineStr">
        <is>
          <t>NS</t>
        </is>
      </c>
      <c r="G168" s="23" t="n"/>
      <c r="H168" s="23" t="n"/>
      <c r="I168" s="23" t="n"/>
      <c r="J168" s="23" t="n"/>
      <c r="K168" s="23" t="n"/>
    </row>
    <row r="169">
      <c r="B169" s="14" t="n">
        <v>7</v>
      </c>
      <c r="C169" s="14" t="n">
        <v>2</v>
      </c>
      <c r="D169" s="14" t="n">
        <v>5</v>
      </c>
      <c r="E169" s="14" t="n">
        <v>19</v>
      </c>
      <c r="F169" s="14" t="inlineStr">
        <is>
          <t>EW</t>
        </is>
      </c>
    </row>
    <row r="170">
      <c r="A170" s="23" t="n"/>
      <c r="B170" s="22" t="n"/>
      <c r="C170" s="22" t="n"/>
      <c r="D170" s="22" t="n"/>
      <c r="E170" s="22" t="n">
        <v>20</v>
      </c>
      <c r="F170" s="22" t="inlineStr">
        <is>
          <t>Both</t>
        </is>
      </c>
      <c r="G170" s="23" t="n"/>
      <c r="H170" s="23" t="n"/>
      <c r="I170" s="23" t="n"/>
      <c r="J170" s="23" t="n"/>
      <c r="K170" s="23" t="n"/>
    </row>
    <row r="171">
      <c r="A171" s="14" t="n">
        <v>13</v>
      </c>
      <c r="B171" s="14" t="n">
        <v>1</v>
      </c>
      <c r="C171" s="14" t="n">
        <v>14</v>
      </c>
      <c r="D171" s="14" t="n">
        <v>13</v>
      </c>
      <c r="E171" s="14" t="n">
        <v>25</v>
      </c>
      <c r="F171" s="14" t="inlineStr">
        <is>
          <t>EW</t>
        </is>
      </c>
    </row>
    <row r="172">
      <c r="B172" s="22" t="n"/>
      <c r="C172" s="22" t="n"/>
      <c r="D172" s="22" t="n"/>
      <c r="E172" s="22" t="n">
        <v>26</v>
      </c>
      <c r="F172" s="22" t="inlineStr">
        <is>
          <t>Both</t>
        </is>
      </c>
      <c r="G172" s="23" t="n"/>
      <c r="H172" s="23" t="n"/>
      <c r="I172" s="23" t="n"/>
      <c r="J172" s="23" t="n"/>
      <c r="K172" s="23" t="n"/>
    </row>
    <row r="173">
      <c r="B173" s="14" t="n">
        <v>2</v>
      </c>
      <c r="C173" s="14" t="n">
        <v>4</v>
      </c>
      <c r="D173" s="14" t="n">
        <v>9</v>
      </c>
      <c r="E173" s="14" t="n">
        <v>3</v>
      </c>
      <c r="F173" s="14" t="inlineStr">
        <is>
          <t>EW</t>
        </is>
      </c>
    </row>
    <row r="174">
      <c r="B174" s="22" t="n"/>
      <c r="C174" s="22" t="n"/>
      <c r="D174" s="22" t="n"/>
      <c r="E174" s="22" t="n">
        <v>4</v>
      </c>
      <c r="F174" s="22" t="inlineStr">
        <is>
          <t>Both</t>
        </is>
      </c>
      <c r="G174" s="23" t="n"/>
      <c r="H174" s="23" t="n"/>
      <c r="I174" s="23" t="n"/>
      <c r="J174" s="23" t="n"/>
      <c r="K174" s="23" t="n"/>
    </row>
    <row r="175">
      <c r="B175" s="14" t="n">
        <v>3</v>
      </c>
      <c r="C175" s="14" t="n">
        <v>1</v>
      </c>
      <c r="D175" s="14" t="n">
        <v>2</v>
      </c>
      <c r="E175" s="14" t="n">
        <v>5</v>
      </c>
      <c r="F175" s="14" t="inlineStr">
        <is>
          <t>NS</t>
        </is>
      </c>
    </row>
    <row r="176">
      <c r="B176" s="22" t="n"/>
      <c r="C176" s="22" t="n"/>
      <c r="D176" s="22" t="n"/>
      <c r="E176" s="22" t="n">
        <v>6</v>
      </c>
      <c r="F176" s="22" t="inlineStr">
        <is>
          <t>EW</t>
        </is>
      </c>
      <c r="G176" s="23" t="n"/>
      <c r="H176" s="23" t="n"/>
      <c r="I176" s="23" t="n"/>
      <c r="J176" s="23" t="n"/>
      <c r="K176" s="23" t="n"/>
    </row>
    <row r="177">
      <c r="B177" s="14" t="n">
        <v>4</v>
      </c>
      <c r="C177" s="14" t="n">
        <v>8</v>
      </c>
      <c r="D177" s="14" t="n">
        <v>10</v>
      </c>
      <c r="E177" s="14" t="n">
        <v>7</v>
      </c>
      <c r="F177" s="14" t="inlineStr">
        <is>
          <t>Both</t>
        </is>
      </c>
    </row>
    <row r="178">
      <c r="B178" s="22" t="n"/>
      <c r="C178" s="22" t="n"/>
      <c r="D178" s="22" t="n"/>
      <c r="E178" s="22" t="n">
        <v>8</v>
      </c>
      <c r="F178" s="22" t="inlineStr">
        <is>
          <t>None</t>
        </is>
      </c>
      <c r="G178" s="23" t="n"/>
      <c r="H178" s="23" t="n"/>
      <c r="I178" s="23" t="n"/>
      <c r="J178" s="23" t="n"/>
      <c r="K178" s="23" t="n"/>
    </row>
    <row r="179">
      <c r="B179" s="14" t="n">
        <v>5</v>
      </c>
      <c r="C179" s="14" t="n">
        <v>5</v>
      </c>
      <c r="D179" s="14" t="n">
        <v>12</v>
      </c>
      <c r="E179" s="14" t="n">
        <v>17</v>
      </c>
      <c r="F179" s="14" t="inlineStr">
        <is>
          <t>None</t>
        </is>
      </c>
    </row>
    <row r="180">
      <c r="B180" s="22" t="n"/>
      <c r="C180" s="22" t="n"/>
      <c r="D180" s="22" t="n"/>
      <c r="E180" s="22" t="n">
        <v>18</v>
      </c>
      <c r="F180" s="22" t="inlineStr">
        <is>
          <t>NS</t>
        </is>
      </c>
      <c r="G180" s="23" t="n"/>
      <c r="H180" s="23" t="n"/>
      <c r="I180" s="23" t="n"/>
      <c r="J180" s="23" t="n"/>
      <c r="K180" s="23" t="n"/>
    </row>
    <row r="181">
      <c r="B181" s="14" t="n">
        <v>6</v>
      </c>
      <c r="C181" s="14" t="n">
        <v>7</v>
      </c>
      <c r="D181" s="14" t="n">
        <v>11</v>
      </c>
      <c r="E181" s="14" t="n">
        <v>19</v>
      </c>
      <c r="F181" s="14" t="inlineStr">
        <is>
          <t>EW</t>
        </is>
      </c>
    </row>
    <row r="182">
      <c r="B182" s="22" t="n"/>
      <c r="C182" s="22" t="n"/>
      <c r="D182" s="22" t="n"/>
      <c r="E182" s="22" t="n">
        <v>20</v>
      </c>
      <c r="F182" s="22" t="inlineStr">
        <is>
          <t>Both</t>
        </is>
      </c>
      <c r="G182" s="23" t="n"/>
      <c r="H182" s="23" t="n"/>
      <c r="I182" s="23" t="n"/>
      <c r="J182" s="23" t="n"/>
      <c r="K182" s="23" t="n"/>
    </row>
    <row r="183">
      <c r="B183" s="14" t="n">
        <v>7</v>
      </c>
      <c r="C183" s="14" t="n">
        <v>3</v>
      </c>
      <c r="D183" s="14" t="n">
        <v>6</v>
      </c>
      <c r="E183" s="14" t="n">
        <v>21</v>
      </c>
      <c r="F183" s="14" t="inlineStr">
        <is>
          <t>NS</t>
        </is>
      </c>
    </row>
    <row r="184">
      <c r="A184" s="23" t="n"/>
      <c r="B184" s="22" t="n"/>
      <c r="C184" s="22" t="n"/>
      <c r="D184" s="22" t="n"/>
      <c r="E184" s="22" t="n">
        <v>22</v>
      </c>
      <c r="F184" s="22" t="inlineStr">
        <is>
          <t>EW</t>
        </is>
      </c>
      <c r="G184" s="23" t="n"/>
      <c r="H184" s="23" t="n"/>
      <c r="I184" s="23" t="n"/>
      <c r="J184" s="23" t="n"/>
      <c r="K184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25" t="n">
        <v>9</v>
      </c>
      <c r="B12" s="26" t="n"/>
      <c r="C12" s="26" t="n"/>
      <c r="D12" s="26" t="n"/>
      <c r="E12" s="26" t="n"/>
      <c r="F12" s="26" t="n"/>
      <c r="G12" s="26" t="n"/>
      <c r="H12" s="26" t="n"/>
    </row>
    <row r="13">
      <c r="A13" s="25" t="n">
        <v>10</v>
      </c>
      <c r="B13" s="26" t="n"/>
      <c r="C13" s="26" t="n"/>
      <c r="D13" s="26" t="n"/>
      <c r="E13" s="26" t="n"/>
      <c r="F13" s="26" t="n"/>
      <c r="G13" s="26" t="n"/>
      <c r="H13" s="26" t="n"/>
    </row>
    <row r="14">
      <c r="A14" s="25" t="n">
        <v>11</v>
      </c>
      <c r="B14" s="26" t="n"/>
      <c r="C14" s="26" t="n"/>
      <c r="D14" s="26" t="n"/>
      <c r="E14" s="26" t="n"/>
      <c r="F14" s="26" t="n"/>
      <c r="G14" s="26" t="n"/>
      <c r="H14" s="26" t="n"/>
    </row>
    <row r="15">
      <c r="A15" s="25" t="n">
        <v>12</v>
      </c>
      <c r="B15" s="26" t="n"/>
      <c r="C15" s="26" t="n"/>
      <c r="D15" s="26" t="n"/>
      <c r="E15" s="26" t="n"/>
      <c r="F15" s="26" t="n"/>
      <c r="G15" s="26" t="n"/>
      <c r="H15" s="26" t="n"/>
    </row>
    <row r="16">
      <c r="A16" s="25" t="n">
        <v>13</v>
      </c>
      <c r="B16" s="26" t="n"/>
      <c r="C16" s="26" t="n"/>
      <c r="D16" s="26" t="n"/>
      <c r="E16" s="26" t="n"/>
      <c r="F16" s="26" t="n"/>
      <c r="G16" s="26" t="n"/>
      <c r="H16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2026-01-29T16:59:39Z</dcterms:created>
  <dcterms:modified xsi:type="dcterms:W3CDTF">2026-01-29T16:59:39Z</dcterms:modified>
</cp:coreProperties>
</file>