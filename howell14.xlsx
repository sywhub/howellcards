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70</t>
        </is>
      </c>
      <c r="C10" t="inlineStr">
        <is>
          <t>Name 45</t>
        </is>
      </c>
      <c r="D10" s="4">
        <f>SUMIF('By Board'!$D$3:$D$184,"=1",'By Board'!$N$3:$N$184)/26+SUMIF('By Board'!$E$3:$E$184,"=1",'By Board'!$O$3:$O$184)/26</f>
        <v/>
      </c>
      <c r="E10" s="5">
        <f>SUMIF('By Board'!$D$3:$D$184,"=1",'By Board'!$L$3:$L$184)+SUMIF('By Board'!$E$3:$E$184,"=1",'By Board'!$M$3:$M$184)</f>
        <v/>
      </c>
    </row>
    <row r="11">
      <c r="A11" s="2" t="n">
        <v>2</v>
      </c>
      <c r="B11" t="inlineStr">
        <is>
          <t>Name 69</t>
        </is>
      </c>
      <c r="C11" t="inlineStr">
        <is>
          <t>Name 37</t>
        </is>
      </c>
      <c r="D11" s="4">
        <f>SUMIF('By Board'!$D$3:$D$184,"=2",'By Board'!$N$3:$N$184)/26+SUMIF('By Board'!$E$3:$E$184,"=2",'By Board'!$O$3:$O$184)/26</f>
        <v/>
      </c>
      <c r="E11" s="5">
        <f>SUMIF('By Board'!$D$3:$D$184,"=2",'By Board'!$L$3:$L$184)+SUMIF('By Board'!$E$3:$E$184,"=2",'By Board'!$M$3:$M$184)</f>
        <v/>
      </c>
    </row>
    <row r="12">
      <c r="A12" s="2" t="n">
        <v>3</v>
      </c>
      <c r="B12" t="inlineStr">
        <is>
          <t>Name 75</t>
        </is>
      </c>
      <c r="C12" t="inlineStr">
        <is>
          <t>Name 56</t>
        </is>
      </c>
      <c r="D12" s="4">
        <f>SUMIF('By Board'!$D$3:$D$184,"=3",'By Board'!$N$3:$N$184)/26+SUMIF('By Board'!$E$3:$E$184,"=3",'By Board'!$O$3:$O$184)/26</f>
        <v/>
      </c>
      <c r="E12" s="5">
        <f>SUMIF('By Board'!$D$3:$D$184,"=3",'By Board'!$L$3:$L$184)+SUMIF('By Board'!$E$3:$E$184,"=3",'By Board'!$M$3:$M$184)</f>
        <v/>
      </c>
    </row>
    <row r="13">
      <c r="A13" s="2" t="n">
        <v>4</v>
      </c>
      <c r="B13" t="inlineStr">
        <is>
          <t>Name 62</t>
        </is>
      </c>
      <c r="C13" t="inlineStr">
        <is>
          <t>Name 27</t>
        </is>
      </c>
      <c r="D13" s="4">
        <f>SUMIF('By Board'!$D$3:$D$184,"=4",'By Board'!$N$3:$N$184)/26+SUMIF('By Board'!$E$3:$E$184,"=4",'By Board'!$O$3:$O$184)/26</f>
        <v/>
      </c>
      <c r="E13" s="5">
        <f>SUMIF('By Board'!$D$3:$D$184,"=4",'By Board'!$L$3:$L$184)+SUMIF('By Board'!$E$3:$E$184,"=4",'By Board'!$M$3:$M$184)</f>
        <v/>
      </c>
    </row>
    <row r="14">
      <c r="A14" s="2" t="n">
        <v>5</v>
      </c>
      <c r="B14" t="inlineStr">
        <is>
          <t>Name 31</t>
        </is>
      </c>
      <c r="C14" t="inlineStr">
        <is>
          <t>Name 67</t>
        </is>
      </c>
      <c r="D14" s="4">
        <f>SUMIF('By Board'!$D$3:$D$184,"=5",'By Board'!$N$3:$N$184)/26+SUMIF('By Board'!$E$3:$E$184,"=5",'By Board'!$O$3:$O$184)/26</f>
        <v/>
      </c>
      <c r="E14" s="5">
        <f>SUMIF('By Board'!$D$3:$D$184,"=5",'By Board'!$L$3:$L$184)+SUMIF('By Board'!$E$3:$E$184,"=5",'By Board'!$M$3:$M$184)</f>
        <v/>
      </c>
    </row>
    <row r="15">
      <c r="A15" s="2" t="n">
        <v>6</v>
      </c>
      <c r="B15" t="inlineStr">
        <is>
          <t>Name 30</t>
        </is>
      </c>
      <c r="C15" t="inlineStr">
        <is>
          <t>Name 57</t>
        </is>
      </c>
      <c r="D15" s="4">
        <f>SUMIF('By Board'!$D$3:$D$184,"=6",'By Board'!$N$3:$N$184)/26+SUMIF('By Board'!$E$3:$E$184,"=6",'By Board'!$O$3:$O$184)/26</f>
        <v/>
      </c>
      <c r="E15" s="5">
        <f>SUMIF('By Board'!$D$3:$D$184,"=6",'By Board'!$L$3:$L$184)+SUMIF('By Board'!$E$3:$E$184,"=6",'By Board'!$M$3:$M$184)</f>
        <v/>
      </c>
    </row>
    <row r="16">
      <c r="A16" s="2" t="n">
        <v>7</v>
      </c>
      <c r="B16" t="inlineStr">
        <is>
          <t>Name 25</t>
        </is>
      </c>
      <c r="C16" t="inlineStr">
        <is>
          <t>Name 62</t>
        </is>
      </c>
      <c r="D16" s="4">
        <f>SUMIF('By Board'!$D$3:$D$184,"=7",'By Board'!$N$3:$N$184)/26+SUMIF('By Board'!$E$3:$E$184,"=7",'By Board'!$O$3:$O$184)/26</f>
        <v/>
      </c>
      <c r="E16" s="5">
        <f>SUMIF('By Board'!$D$3:$D$184,"=7",'By Board'!$L$3:$L$184)+SUMIF('By Board'!$E$3:$E$184,"=7",'By Board'!$M$3:$M$184)</f>
        <v/>
      </c>
    </row>
    <row r="17">
      <c r="A17" s="2" t="n">
        <v>8</v>
      </c>
      <c r="B17" t="inlineStr">
        <is>
          <t>Name 58</t>
        </is>
      </c>
      <c r="C17" t="inlineStr">
        <is>
          <t>Name 78</t>
        </is>
      </c>
      <c r="D17" s="4">
        <f>SUMIF('By Board'!$D$3:$D$184,"=8",'By Board'!$N$3:$N$184)/26+SUMIF('By Board'!$E$3:$E$184,"=8",'By Board'!$O$3:$O$184)/26</f>
        <v/>
      </c>
      <c r="E17" s="5">
        <f>SUMIF('By Board'!$D$3:$D$184,"=8",'By Board'!$L$3:$L$184)+SUMIF('By Board'!$E$3:$E$184,"=8",'By Board'!$M$3:$M$184)</f>
        <v/>
      </c>
    </row>
    <row r="18">
      <c r="A18" s="2" t="n">
        <v>9</v>
      </c>
      <c r="B18" t="inlineStr">
        <is>
          <t>Name 42</t>
        </is>
      </c>
      <c r="C18" t="inlineStr">
        <is>
          <t>Name 16</t>
        </is>
      </c>
      <c r="D18" s="4">
        <f>SUMIF('By Board'!$D$3:$D$184,"=9",'By Board'!$N$3:$N$184)/26+SUMIF('By Board'!$E$3:$E$184,"=9",'By Board'!$O$3:$O$184)/26</f>
        <v/>
      </c>
      <c r="E18" s="5">
        <f>SUMIF('By Board'!$D$3:$D$184,"=9",'By Board'!$L$3:$L$184)+SUMIF('By Board'!$E$3:$E$184,"=9",'By Board'!$M$3:$M$184)</f>
        <v/>
      </c>
    </row>
    <row r="19">
      <c r="A19" s="2" t="n">
        <v>10</v>
      </c>
      <c r="B19" t="inlineStr">
        <is>
          <t>Name 85</t>
        </is>
      </c>
      <c r="C19" t="inlineStr">
        <is>
          <t>Name 48</t>
        </is>
      </c>
      <c r="D19" s="4">
        <f>SUMIF('By Board'!$D$3:$D$184,"=10",'By Board'!$N$3:$N$184)/26+SUMIF('By Board'!$E$3:$E$184,"=10",'By Board'!$O$3:$O$184)/26</f>
        <v/>
      </c>
      <c r="E19" s="5">
        <f>SUMIF('By Board'!$D$3:$D$184,"=10",'By Board'!$L$3:$L$184)+SUMIF('By Board'!$E$3:$E$184,"=10",'By Board'!$M$3:$M$184)</f>
        <v/>
      </c>
    </row>
    <row r="20">
      <c r="A20" s="2" t="n">
        <v>11</v>
      </c>
      <c r="B20" t="inlineStr">
        <is>
          <t>Name 84</t>
        </is>
      </c>
      <c r="C20" t="inlineStr">
        <is>
          <t>Name 30</t>
        </is>
      </c>
      <c r="D20" s="4">
        <f>SUMIF('By Board'!$D$3:$D$184,"=11",'By Board'!$N$3:$N$184)/26+SUMIF('By Board'!$E$3:$E$184,"=11",'By Board'!$O$3:$O$184)/26</f>
        <v/>
      </c>
      <c r="E20" s="5">
        <f>SUMIF('By Board'!$D$3:$D$184,"=11",'By Board'!$L$3:$L$184)+SUMIF('By Board'!$E$3:$E$184,"=11",'By Board'!$M$3:$M$184)</f>
        <v/>
      </c>
    </row>
    <row r="21">
      <c r="A21" s="2" t="n">
        <v>12</v>
      </c>
      <c r="B21" t="inlineStr">
        <is>
          <t>Name 28</t>
        </is>
      </c>
      <c r="C21" t="inlineStr">
        <is>
          <t>Name 49</t>
        </is>
      </c>
      <c r="D21" s="4">
        <f>SUMIF('By Board'!$D$3:$D$184,"=12",'By Board'!$N$3:$N$184)/26+SUMIF('By Board'!$E$3:$E$184,"=12",'By Board'!$O$3:$O$184)/26</f>
        <v/>
      </c>
      <c r="E21" s="5">
        <f>SUMIF('By Board'!$D$3:$D$184,"=12",'By Board'!$L$3:$L$184)+SUMIF('By Board'!$E$3:$E$184,"=12",'By Board'!$M$3:$M$184)</f>
        <v/>
      </c>
    </row>
    <row r="22">
      <c r="A22" s="2" t="n">
        <v>13</v>
      </c>
      <c r="B22" t="inlineStr">
        <is>
          <t>Name 25</t>
        </is>
      </c>
      <c r="C22" t="inlineStr">
        <is>
          <t>Name 20</t>
        </is>
      </c>
      <c r="D22" s="4">
        <f>SUMIF('By Board'!$D$3:$D$184,"=13",'By Board'!$N$3:$N$184)/26+SUMIF('By Board'!$E$3:$E$184,"=13",'By Board'!$O$3:$O$184)/26</f>
        <v/>
      </c>
      <c r="E22" s="5">
        <f>SUMIF('By Board'!$D$3:$D$184,"=13",'By Board'!$L$3:$L$184)+SUMIF('By Board'!$E$3:$E$184,"=13",'By Board'!$M$3:$M$184)</f>
        <v/>
      </c>
    </row>
    <row r="23">
      <c r="A23" s="2" t="n">
        <v>14</v>
      </c>
      <c r="B23" t="inlineStr">
        <is>
          <t>Name 68</t>
        </is>
      </c>
      <c r="C23" t="inlineStr">
        <is>
          <t>Name 17</t>
        </is>
      </c>
      <c r="D23" s="4">
        <f>SUMIF('By Board'!$D$3:$D$184,"=14",'By Board'!$N$3:$N$184)/26+0/26</f>
        <v/>
      </c>
      <c r="E23" s="5">
        <f>SUMIF('By Board'!$D$3:$D$184,"=14",'By Board'!$L$3:$L$184)+0</f>
        <v/>
      </c>
    </row>
    <row r="24">
      <c r="D24" s="6">
        <f>AVERAGE(D10:D23)</f>
        <v/>
      </c>
      <c r="E24" s="7">
        <f>SUM(E10:E23)</f>
        <v/>
      </c>
    </row>
    <row r="26">
      <c r="A26" t="inlineStr">
        <is>
          <t>To sort, remove single quote below</t>
        </is>
      </c>
    </row>
    <row r="27">
      <c r="A27" s="2" t="inlineStr">
        <is>
          <t>IMP Ranking</t>
        </is>
      </c>
    </row>
    <row r="28">
      <c r="A28" t="inlineStr">
        <is>
          <t>'=SORT(A10:E23,4,-1)</t>
        </is>
      </c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6">
      <c r="A46" s="2" t="inlineStr">
        <is>
          <t>MP Ranking</t>
        </is>
      </c>
    </row>
    <row r="47">
      <c r="A47" t="inlineStr">
        <is>
          <t>'=SORT(A10:E23,5,-1)</t>
        </is>
      </c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  <row r="58">
      <c r="D58" s="5" t="n"/>
      <c r="E58" s="8" t="n"/>
    </row>
    <row r="59">
      <c r="D59" s="5" t="n"/>
      <c r="E59" s="8" t="n"/>
    </row>
    <row r="60">
      <c r="D60" s="5" t="n"/>
      <c r="E60" s="8" t="n"/>
    </row>
  </sheetData>
  <mergeCells count="9">
    <mergeCell ref="A4:B4"/>
    <mergeCell ref="A7:B7"/>
    <mergeCell ref="A2:E2"/>
    <mergeCell ref="A5:B5"/>
    <mergeCell ref="A9:C9"/>
    <mergeCell ref="A46:E46"/>
    <mergeCell ref="A3:B3"/>
    <mergeCell ref="A6:B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s="11" t="n">
        <v>1</v>
      </c>
      <c r="B3" s="11">
        <f>'By Round'!A157</f>
        <v/>
      </c>
      <c r="C3" s="11">
        <f>'By Round'!B159</f>
        <v/>
      </c>
      <c r="D3" s="11">
        <f>'By Round'!C159</f>
        <v/>
      </c>
      <c r="E3" s="11">
        <f>'By Round'!D159</f>
        <v/>
      </c>
      <c r="F3" s="11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 s="12">
        <f>AVERAGE(AF3:AK3)</f>
        <v/>
      </c>
      <c r="M3" s="13">
        <f>AVERAGE(AL3:AQ3)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 s="11">
        <f>'By Round'!A129</f>
        <v/>
      </c>
      <c r="C4" s="11">
        <f>'By Round'!B135</f>
        <v/>
      </c>
      <c r="D4" s="11">
        <f>'By Round'!C135</f>
        <v/>
      </c>
      <c r="E4" s="11">
        <f>'By Round'!D135</f>
        <v/>
      </c>
      <c r="F4" s="11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 s="12">
        <f>AVERAGE(AF4:AK4)</f>
        <v/>
      </c>
      <c r="M4" s="13">
        <f>AVERAGE(AL4:AQ4)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 s="11">
        <f>'By Round'!A31</f>
        <v/>
      </c>
      <c r="C5" s="11">
        <f>'By Round'!B43</f>
        <v/>
      </c>
      <c r="D5" s="11">
        <f>'By Round'!C43</f>
        <v/>
      </c>
      <c r="E5" s="11">
        <f>'By Round'!D43</f>
        <v/>
      </c>
      <c r="F5" s="11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 s="12">
        <f>AVERAGE(AF5:AK5)</f>
        <v/>
      </c>
      <c r="M5" s="13">
        <f>AVERAGE(AL5:AQ5)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 s="11">
        <f>'By Round'!A59</f>
        <v/>
      </c>
      <c r="C6" s="11">
        <f>'By Round'!B67</f>
        <v/>
      </c>
      <c r="D6" s="11">
        <f>'By Round'!C67</f>
        <v/>
      </c>
      <c r="E6" s="11">
        <f>'By Round'!D67</f>
        <v/>
      </c>
      <c r="F6" s="11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AVERAGE(AF6:AK6)</f>
        <v/>
      </c>
      <c r="M6" s="13">
        <f>AVERAGE(AL6:AQ6)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 s="11">
        <f>'By Round'!A45</f>
        <v/>
      </c>
      <c r="C7" s="11">
        <f>'By Round'!B55</f>
        <v/>
      </c>
      <c r="D7" s="11">
        <f>'By Round'!C55</f>
        <v/>
      </c>
      <c r="E7" s="11">
        <f>'By Round'!D55</f>
        <v/>
      </c>
      <c r="F7" s="11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 s="12">
        <f>AVERAGE(AF7:AK7)</f>
        <v/>
      </c>
      <c r="M7" s="13">
        <f>AVERAGE(AL7:AQ7)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 s="11">
        <f>'By Round'!A143</f>
        <v/>
      </c>
      <c r="C8" s="11">
        <f>'By Round'!B147</f>
        <v/>
      </c>
      <c r="D8" s="11">
        <f>'By Round'!C147</f>
        <v/>
      </c>
      <c r="E8" s="11">
        <f>'By Round'!D147</f>
        <v/>
      </c>
      <c r="F8" s="11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AVERAGE(AF8:AK8)</f>
        <v/>
      </c>
      <c r="M8" s="13">
        <f>AVERAGE(AL8:AQ8)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7">
        <f>AVERAGE(AF9:AK9)</f>
        <v/>
      </c>
      <c r="M9" s="18">
        <f>AVERAGE(AL9:AQ9)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s="11" t="n">
        <v>2</v>
      </c>
      <c r="B10" s="11">
        <f>'By Round'!A157</f>
        <v/>
      </c>
      <c r="C10" s="11">
        <f>'By Round'!B159</f>
        <v/>
      </c>
      <c r="D10" s="11">
        <f>'By Round'!C159</f>
        <v/>
      </c>
      <c r="E10" s="11">
        <f>'By Round'!D159</f>
        <v/>
      </c>
      <c r="F10" s="11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 s="12">
        <f>AVERAGE(AF10:AK10)</f>
        <v/>
      </c>
      <c r="M10" s="13">
        <f>AVERAGE(AL10:AQ10)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 s="11">
        <f>'By Round'!A129</f>
        <v/>
      </c>
      <c r="C11" s="11">
        <f>'By Round'!B135</f>
        <v/>
      </c>
      <c r="D11" s="11">
        <f>'By Round'!C135</f>
        <v/>
      </c>
      <c r="E11" s="11">
        <f>'By Round'!D135</f>
        <v/>
      </c>
      <c r="F11" s="11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 s="12">
        <f>AVERAGE(AF11:AK11)</f>
        <v/>
      </c>
      <c r="M11" s="13">
        <f>AVERAGE(AL11:AQ11)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 s="11">
        <f>'By Round'!A31</f>
        <v/>
      </c>
      <c r="C12" s="11">
        <f>'By Round'!B43</f>
        <v/>
      </c>
      <c r="D12" s="11">
        <f>'By Round'!C43</f>
        <v/>
      </c>
      <c r="E12" s="11">
        <f>'By Round'!D43</f>
        <v/>
      </c>
      <c r="F12" s="11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2">
        <f>AVERAGE(AF12:AK12)</f>
        <v/>
      </c>
      <c r="M12" s="13">
        <f>AVERAGE(AL12:AQ12)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 s="11">
        <f>'By Round'!A59</f>
        <v/>
      </c>
      <c r="C13" s="11">
        <f>'By Round'!B67</f>
        <v/>
      </c>
      <c r="D13" s="11">
        <f>'By Round'!C67</f>
        <v/>
      </c>
      <c r="E13" s="11">
        <f>'By Round'!D67</f>
        <v/>
      </c>
      <c r="F13" s="11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 s="12">
        <f>AVERAGE(AF13:AK13)</f>
        <v/>
      </c>
      <c r="M13" s="13">
        <f>AVERAGE(AL13:AQ13)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 s="11">
        <f>'By Round'!A45</f>
        <v/>
      </c>
      <c r="C14" s="11">
        <f>'By Round'!B55</f>
        <v/>
      </c>
      <c r="D14" s="11">
        <f>'By Round'!C55</f>
        <v/>
      </c>
      <c r="E14" s="11">
        <f>'By Round'!D55</f>
        <v/>
      </c>
      <c r="F14" s="11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 s="12">
        <f>AVERAGE(AF14:AK14)</f>
        <v/>
      </c>
      <c r="M14" s="13">
        <f>AVERAGE(AL14:AQ14)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 s="11">
        <f>'By Round'!A143</f>
        <v/>
      </c>
      <c r="C15" s="11">
        <f>'By Round'!B147</f>
        <v/>
      </c>
      <c r="D15" s="11">
        <f>'By Round'!C147</f>
        <v/>
      </c>
      <c r="E15" s="11">
        <f>'By Round'!D147</f>
        <v/>
      </c>
      <c r="F15" s="11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 s="12">
        <f>AVERAGE(AF15:AK15)</f>
        <v/>
      </c>
      <c r="M15" s="13">
        <f>AVERAGE(AL15:AQ15)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7">
        <f>AVERAGE(AF16:AK16)</f>
        <v/>
      </c>
      <c r="M16" s="18">
        <f>AVERAGE(AL16:AQ16)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s="11" t="n">
        <v>3</v>
      </c>
      <c r="B17" s="11">
        <f>'By Round'!A171</f>
        <v/>
      </c>
      <c r="C17" s="11">
        <f>'By Round'!B173</f>
        <v/>
      </c>
      <c r="D17" s="11">
        <f>'By Round'!C173</f>
        <v/>
      </c>
      <c r="E17" s="11">
        <f>'By Round'!D173</f>
        <v/>
      </c>
      <c r="F17" s="11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 s="12">
        <f>AVERAGE(AF17:AK17)</f>
        <v/>
      </c>
      <c r="M17" s="13">
        <f>AVERAGE(AL17:AQ17)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 s="11">
        <f>'By Round'!A143</f>
        <v/>
      </c>
      <c r="C18" s="11">
        <f>'By Round'!B149</f>
        <v/>
      </c>
      <c r="D18" s="11">
        <f>'By Round'!C149</f>
        <v/>
      </c>
      <c r="E18" s="11">
        <f>'By Round'!D149</f>
        <v/>
      </c>
      <c r="F18" s="11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 s="12">
        <f>AVERAGE(AF18:AK18)</f>
        <v/>
      </c>
      <c r="M18" s="13">
        <f>AVERAGE(AL18:AQ18)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 s="11">
        <f>'By Round'!A45</f>
        <v/>
      </c>
      <c r="C19" s="11">
        <f>'By Round'!B57</f>
        <v/>
      </c>
      <c r="D19" s="11">
        <f>'By Round'!C57</f>
        <v/>
      </c>
      <c r="E19" s="11">
        <f>'By Round'!D57</f>
        <v/>
      </c>
      <c r="F19" s="11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 s="12">
        <f>AVERAGE(AF19:AK19)</f>
        <v/>
      </c>
      <c r="M19" s="13">
        <f>AVERAGE(AL19:AQ19)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 s="11">
        <f>'By Round'!A73</f>
        <v/>
      </c>
      <c r="C20" s="11">
        <f>'By Round'!B81</f>
        <v/>
      </c>
      <c r="D20" s="11">
        <f>'By Round'!C81</f>
        <v/>
      </c>
      <c r="E20" s="11">
        <f>'By Round'!D81</f>
        <v/>
      </c>
      <c r="F20" s="11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AVERAGE(AF20:AK20)</f>
        <v/>
      </c>
      <c r="M20" s="13">
        <f>AVERAGE(AL20:AQ20)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 s="11">
        <f>'By Round'!A59</f>
        <v/>
      </c>
      <c r="C21" s="11">
        <f>'By Round'!B69</f>
        <v/>
      </c>
      <c r="D21" s="11">
        <f>'By Round'!C69</f>
        <v/>
      </c>
      <c r="E21" s="11">
        <f>'By Round'!D69</f>
        <v/>
      </c>
      <c r="F21" s="11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 s="12">
        <f>AVERAGE(AF21:AK21)</f>
        <v/>
      </c>
      <c r="M21" s="13">
        <f>AVERAGE(AL21:AQ21)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 s="11">
        <f>'By Round'!A157</f>
        <v/>
      </c>
      <c r="C22" s="11">
        <f>'By Round'!B161</f>
        <v/>
      </c>
      <c r="D22" s="11">
        <f>'By Round'!C161</f>
        <v/>
      </c>
      <c r="E22" s="11">
        <f>'By Round'!D161</f>
        <v/>
      </c>
      <c r="F22" s="11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AVERAGE(AF22:AK22)</f>
        <v/>
      </c>
      <c r="M22" s="13">
        <f>AVERAGE(AL22:AQ22)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7">
        <f>AVERAGE(AF23:AK23)</f>
        <v/>
      </c>
      <c r="M23" s="18">
        <f>AVERAGE(AL23:AQ23)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s="11" t="n">
        <v>4</v>
      </c>
      <c r="B24" s="11">
        <f>'By Round'!A171</f>
        <v/>
      </c>
      <c r="C24" s="11">
        <f>'By Round'!B173</f>
        <v/>
      </c>
      <c r="D24" s="11">
        <f>'By Round'!C173</f>
        <v/>
      </c>
      <c r="E24" s="11">
        <f>'By Round'!D173</f>
        <v/>
      </c>
      <c r="F24" s="11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 s="12">
        <f>AVERAGE(AF24:AK24)</f>
        <v/>
      </c>
      <c r="M24" s="13">
        <f>AVERAGE(AL24:AQ24)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 s="11">
        <f>'By Round'!A143</f>
        <v/>
      </c>
      <c r="C25" s="11">
        <f>'By Round'!B149</f>
        <v/>
      </c>
      <c r="D25" s="11">
        <f>'By Round'!C149</f>
        <v/>
      </c>
      <c r="E25" s="11">
        <f>'By Round'!D149</f>
        <v/>
      </c>
      <c r="F25" s="11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 s="12">
        <f>AVERAGE(AF25:AK25)</f>
        <v/>
      </c>
      <c r="M25" s="13">
        <f>AVERAGE(AL25:AQ25)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 s="11">
        <f>'By Round'!A45</f>
        <v/>
      </c>
      <c r="C26" s="11">
        <f>'By Round'!B57</f>
        <v/>
      </c>
      <c r="D26" s="11">
        <f>'By Round'!C57</f>
        <v/>
      </c>
      <c r="E26" s="11">
        <f>'By Round'!D57</f>
        <v/>
      </c>
      <c r="F26" s="11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2">
        <f>AVERAGE(AF26:AK26)</f>
        <v/>
      </c>
      <c r="M26" s="13">
        <f>AVERAGE(AL26:AQ26)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 s="11">
        <f>'By Round'!A73</f>
        <v/>
      </c>
      <c r="C27" s="11">
        <f>'By Round'!B81</f>
        <v/>
      </c>
      <c r="D27" s="11">
        <f>'By Round'!C81</f>
        <v/>
      </c>
      <c r="E27" s="11">
        <f>'By Round'!D81</f>
        <v/>
      </c>
      <c r="F27" s="11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 s="12">
        <f>AVERAGE(AF27:AK27)</f>
        <v/>
      </c>
      <c r="M27" s="13">
        <f>AVERAGE(AL27:AQ27)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 s="11">
        <f>'By Round'!A59</f>
        <v/>
      </c>
      <c r="C28" s="11">
        <f>'By Round'!B69</f>
        <v/>
      </c>
      <c r="D28" s="11">
        <f>'By Round'!C69</f>
        <v/>
      </c>
      <c r="E28" s="11">
        <f>'By Round'!D69</f>
        <v/>
      </c>
      <c r="F28" s="11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 s="12">
        <f>AVERAGE(AF28:AK28)</f>
        <v/>
      </c>
      <c r="M28" s="13">
        <f>AVERAGE(AL28:AQ28)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 s="11">
        <f>'By Round'!A157</f>
        <v/>
      </c>
      <c r="C29" s="11">
        <f>'By Round'!B161</f>
        <v/>
      </c>
      <c r="D29" s="11">
        <f>'By Round'!C161</f>
        <v/>
      </c>
      <c r="E29" s="11">
        <f>'By Round'!D161</f>
        <v/>
      </c>
      <c r="F29" s="11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 s="12">
        <f>AVERAGE(AF29:AK29)</f>
        <v/>
      </c>
      <c r="M29" s="13">
        <f>AVERAGE(AL29:AQ29)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7">
        <f>AVERAGE(AF30:AK30)</f>
        <v/>
      </c>
      <c r="M30" s="18">
        <f>AVERAGE(AL30:AQ30)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s="11" t="n">
        <v>5</v>
      </c>
      <c r="B31" s="11">
        <f>'By Round'!A171</f>
        <v/>
      </c>
      <c r="C31" s="11">
        <f>'By Round'!B175</f>
        <v/>
      </c>
      <c r="D31" s="11">
        <f>'By Round'!C175</f>
        <v/>
      </c>
      <c r="E31" s="11">
        <f>'By Round'!D175</f>
        <v/>
      </c>
      <c r="F31" s="11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 s="12">
        <f>AVERAGE(AF31:AK31)</f>
        <v/>
      </c>
      <c r="M31" s="13">
        <f>AVERAGE(AL31:AQ31)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 s="11">
        <f>'By Round'!A3</f>
        <v/>
      </c>
      <c r="C32" s="11">
        <f>'By Round'!B5</f>
        <v/>
      </c>
      <c r="D32" s="11">
        <f>'By Round'!C5</f>
        <v/>
      </c>
      <c r="E32" s="11">
        <f>'By Round'!D5</f>
        <v/>
      </c>
      <c r="F32" s="11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 s="12">
        <f>AVERAGE(AF32:AK32)</f>
        <v/>
      </c>
      <c r="M32" s="13">
        <f>AVERAGE(AL32:AQ32)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 s="11">
        <f>'By Round'!A157</f>
        <v/>
      </c>
      <c r="C33" s="11">
        <f>'By Round'!B163</f>
        <v/>
      </c>
      <c r="D33" s="11">
        <f>'By Round'!C163</f>
        <v/>
      </c>
      <c r="E33" s="11">
        <f>'By Round'!D163</f>
        <v/>
      </c>
      <c r="F33" s="11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 s="12">
        <f>AVERAGE(AF33:AK33)</f>
        <v/>
      </c>
      <c r="M33" s="13">
        <f>AVERAGE(AL33:AQ33)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 s="11">
        <f>'By Round'!A59</f>
        <v/>
      </c>
      <c r="C34" s="11">
        <f>'By Round'!B71</f>
        <v/>
      </c>
      <c r="D34" s="11">
        <f>'By Round'!C71</f>
        <v/>
      </c>
      <c r="E34" s="11">
        <f>'By Round'!D71</f>
        <v/>
      </c>
      <c r="F34" s="11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 s="12">
        <f>AVERAGE(AF34:AK34)</f>
        <v/>
      </c>
      <c r="M34" s="13">
        <f>AVERAGE(AL34:AQ34)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 s="11">
        <f>'By Round'!A87</f>
        <v/>
      </c>
      <c r="C35" s="11">
        <f>'By Round'!B95</f>
        <v/>
      </c>
      <c r="D35" s="11">
        <f>'By Round'!C95</f>
        <v/>
      </c>
      <c r="E35" s="11">
        <f>'By Round'!D95</f>
        <v/>
      </c>
      <c r="F35" s="11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AVERAGE(AF35:AK35)</f>
        <v/>
      </c>
      <c r="M35" s="13">
        <f>AVERAGE(AL35:AQ35)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 s="11">
        <f>'By Round'!A73</f>
        <v/>
      </c>
      <c r="C36" s="11">
        <f>'By Round'!B83</f>
        <v/>
      </c>
      <c r="D36" s="11">
        <f>'By Round'!C83</f>
        <v/>
      </c>
      <c r="E36" s="11">
        <f>'By Round'!D83</f>
        <v/>
      </c>
      <c r="F36" s="11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 s="12">
        <f>AVERAGE(AF36:AK36)</f>
        <v/>
      </c>
      <c r="M36" s="13">
        <f>AVERAGE(AL36:AQ36)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7">
        <f>AVERAGE(AF37:AK37)</f>
        <v/>
      </c>
      <c r="M37" s="18">
        <f>AVERAGE(AL37:AQ37)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s="11" t="n">
        <v>6</v>
      </c>
      <c r="B38" s="11">
        <f>'By Round'!A171</f>
        <v/>
      </c>
      <c r="C38" s="11">
        <f>'By Round'!B175</f>
        <v/>
      </c>
      <c r="D38" s="11">
        <f>'By Round'!C175</f>
        <v/>
      </c>
      <c r="E38" s="11">
        <f>'By Round'!D175</f>
        <v/>
      </c>
      <c r="F38" s="11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 s="12">
        <f>AVERAGE(AF38:AK38)</f>
        <v/>
      </c>
      <c r="M38" s="13">
        <f>AVERAGE(AL38:AQ38)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 s="11">
        <f>'By Round'!A3</f>
        <v/>
      </c>
      <c r="C39" s="11">
        <f>'By Round'!B5</f>
        <v/>
      </c>
      <c r="D39" s="11">
        <f>'By Round'!C5</f>
        <v/>
      </c>
      <c r="E39" s="11">
        <f>'By Round'!D5</f>
        <v/>
      </c>
      <c r="F39" s="11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 s="12">
        <f>AVERAGE(AF39:AK39)</f>
        <v/>
      </c>
      <c r="M39" s="13">
        <f>AVERAGE(AL39:AQ39)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 s="11">
        <f>'By Round'!A157</f>
        <v/>
      </c>
      <c r="C40" s="11">
        <f>'By Round'!B163</f>
        <v/>
      </c>
      <c r="D40" s="11">
        <f>'By Round'!C163</f>
        <v/>
      </c>
      <c r="E40" s="11">
        <f>'By Round'!D163</f>
        <v/>
      </c>
      <c r="F40" s="11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 s="12">
        <f>AVERAGE(AF40:AK40)</f>
        <v/>
      </c>
      <c r="M40" s="13">
        <f>AVERAGE(AL40:AQ40)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 s="11">
        <f>'By Round'!A59</f>
        <v/>
      </c>
      <c r="C41" s="11">
        <f>'By Round'!B71</f>
        <v/>
      </c>
      <c r="D41" s="11">
        <f>'By Round'!C71</f>
        <v/>
      </c>
      <c r="E41" s="11">
        <f>'By Round'!D71</f>
        <v/>
      </c>
      <c r="F41" s="11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 s="12">
        <f>AVERAGE(AF41:AK41)</f>
        <v/>
      </c>
      <c r="M41" s="13">
        <f>AVERAGE(AL41:AQ41)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Round'!B95</f>
        <v/>
      </c>
      <c r="D42" s="11">
        <f>'By Round'!C95</f>
        <v/>
      </c>
      <c r="E42" s="11">
        <f>'By Round'!D95</f>
        <v/>
      </c>
      <c r="F42" s="11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 s="12">
        <f>AVERAGE(AF42:AK42)</f>
        <v/>
      </c>
      <c r="M42" s="13">
        <f>AVERAGE(AL42:AQ42)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 s="11">
        <f>'By Round'!A73</f>
        <v/>
      </c>
      <c r="C43" s="11">
        <f>'By Round'!B83</f>
        <v/>
      </c>
      <c r="D43" s="11">
        <f>'By Round'!C83</f>
        <v/>
      </c>
      <c r="E43" s="11">
        <f>'By Round'!D83</f>
        <v/>
      </c>
      <c r="F43" s="11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 s="12">
        <f>AVERAGE(AF43:AK43)</f>
        <v/>
      </c>
      <c r="M43" s="13">
        <f>AVERAGE(AL43:AQ43)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7">
        <f>AVERAGE(AF44:AK44)</f>
        <v/>
      </c>
      <c r="M44" s="18">
        <f>AVERAGE(AL44:AQ44)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s="11" t="n">
        <v>7</v>
      </c>
      <c r="B45" s="11">
        <f>'By Round'!A87</f>
        <v/>
      </c>
      <c r="C45" s="11">
        <f>'By Round'!B97</f>
        <v/>
      </c>
      <c r="D45" s="11">
        <f>'By Round'!C97</f>
        <v/>
      </c>
      <c r="E45" s="11">
        <f>'By Round'!D97</f>
        <v/>
      </c>
      <c r="F45" s="11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 s="12">
        <f>AVERAGE(AF45:AK45)</f>
        <v/>
      </c>
      <c r="M45" s="13">
        <f>AVERAGE(AL45:AQ45)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 s="11">
        <f>'By Round'!A3</f>
        <v/>
      </c>
      <c r="C46" s="11">
        <f>'By Round'!B7</f>
        <v/>
      </c>
      <c r="D46" s="11">
        <f>'By Round'!C7</f>
        <v/>
      </c>
      <c r="E46" s="11">
        <f>'By Round'!D7</f>
        <v/>
      </c>
      <c r="F46" s="11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 s="12">
        <f>AVERAGE(AF46:AK46)</f>
        <v/>
      </c>
      <c r="M46" s="13">
        <f>AVERAGE(AL46:AQ46)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 s="11">
        <f>'By Round'!A17</f>
        <v/>
      </c>
      <c r="C47" s="11">
        <f>'By Round'!B19</f>
        <v/>
      </c>
      <c r="D47" s="11">
        <f>'By Round'!C19</f>
        <v/>
      </c>
      <c r="E47" s="11">
        <f>'By Round'!D19</f>
        <v/>
      </c>
      <c r="F47" s="11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 s="12">
        <f>AVERAGE(AF47:AK47)</f>
        <v/>
      </c>
      <c r="M47" s="13">
        <f>AVERAGE(AL47:AQ47)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 s="11">
        <f>'By Round'!A171</f>
        <v/>
      </c>
      <c r="C48" s="11">
        <f>'By Round'!B177</f>
        <v/>
      </c>
      <c r="D48" s="11">
        <f>'By Round'!C177</f>
        <v/>
      </c>
      <c r="E48" s="11">
        <f>'By Round'!D177</f>
        <v/>
      </c>
      <c r="F48" s="11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 s="12">
        <f>AVERAGE(AF48:AK48)</f>
        <v/>
      </c>
      <c r="M48" s="13">
        <f>AVERAGE(AL48:AQ48)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 s="11">
        <f>'By Round'!A73</f>
        <v/>
      </c>
      <c r="C49" s="11">
        <f>'By Round'!B85</f>
        <v/>
      </c>
      <c r="D49" s="11">
        <f>'By Round'!C85</f>
        <v/>
      </c>
      <c r="E49" s="11">
        <f>'By Round'!D85</f>
        <v/>
      </c>
      <c r="F49" s="11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 s="12">
        <f>AVERAGE(AF49:AK49)</f>
        <v/>
      </c>
      <c r="M49" s="13">
        <f>AVERAGE(AL49:AQ49)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 s="11">
        <f>'By Round'!A101</f>
        <v/>
      </c>
      <c r="C50" s="11">
        <f>'By Round'!B109</f>
        <v/>
      </c>
      <c r="D50" s="11">
        <f>'By Round'!C109</f>
        <v/>
      </c>
      <c r="E50" s="11">
        <f>'By Round'!D109</f>
        <v/>
      </c>
      <c r="F50" s="11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AVERAGE(AF50:AK50)</f>
        <v/>
      </c>
      <c r="M50" s="13">
        <f>AVERAGE(AL50:AQ50)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7">
        <f>AVERAGE(AF51:AK51)</f>
        <v/>
      </c>
      <c r="M51" s="18">
        <f>AVERAGE(AL51:AQ51)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s="11" t="n">
        <v>8</v>
      </c>
      <c r="B52" s="11">
        <f>'By Round'!A87</f>
        <v/>
      </c>
      <c r="C52" s="11">
        <f>'By Round'!B97</f>
        <v/>
      </c>
      <c r="D52" s="11">
        <f>'By Round'!C97</f>
        <v/>
      </c>
      <c r="E52" s="11">
        <f>'By Round'!D97</f>
        <v/>
      </c>
      <c r="F52" s="11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 s="12">
        <f>AVERAGE(AF52:AK52)</f>
        <v/>
      </c>
      <c r="M52" s="13">
        <f>AVERAGE(AL52:AQ52)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 s="11">
        <f>'By Round'!A3</f>
        <v/>
      </c>
      <c r="C53" s="11">
        <f>'By Round'!B7</f>
        <v/>
      </c>
      <c r="D53" s="11">
        <f>'By Round'!C7</f>
        <v/>
      </c>
      <c r="E53" s="11">
        <f>'By Round'!D7</f>
        <v/>
      </c>
      <c r="F53" s="11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 s="12">
        <f>AVERAGE(AF53:AK53)</f>
        <v/>
      </c>
      <c r="M53" s="13">
        <f>AVERAGE(AL53:AQ53)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 s="11">
        <f>'By Round'!A17</f>
        <v/>
      </c>
      <c r="C54" s="11">
        <f>'By Round'!B19</f>
        <v/>
      </c>
      <c r="D54" s="11">
        <f>'By Round'!C19</f>
        <v/>
      </c>
      <c r="E54" s="11">
        <f>'By Round'!D19</f>
        <v/>
      </c>
      <c r="F54" s="11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 s="12">
        <f>AVERAGE(AF54:AK54)</f>
        <v/>
      </c>
      <c r="M54" s="13">
        <f>AVERAGE(AL54:AQ54)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 s="11">
        <f>'By Round'!A171</f>
        <v/>
      </c>
      <c r="C55" s="11">
        <f>'By Round'!B177</f>
        <v/>
      </c>
      <c r="D55" s="11">
        <f>'By Round'!C177</f>
        <v/>
      </c>
      <c r="E55" s="11">
        <f>'By Round'!D177</f>
        <v/>
      </c>
      <c r="F55" s="11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 s="12">
        <f>AVERAGE(AF55:AK55)</f>
        <v/>
      </c>
      <c r="M55" s="13">
        <f>AVERAGE(AL55:AQ55)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 s="11">
        <f>'By Round'!A73</f>
        <v/>
      </c>
      <c r="C56" s="11">
        <f>'By Round'!B85</f>
        <v/>
      </c>
      <c r="D56" s="11">
        <f>'By Round'!C85</f>
        <v/>
      </c>
      <c r="E56" s="11">
        <f>'By Round'!D85</f>
        <v/>
      </c>
      <c r="F56" s="11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 s="12">
        <f>AVERAGE(AF56:AK56)</f>
        <v/>
      </c>
      <c r="M56" s="13">
        <f>AVERAGE(AL56:AQ56)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 s="11">
        <f>'By Round'!A101</f>
        <v/>
      </c>
      <c r="C57" s="11">
        <f>'By Round'!B109</f>
        <v/>
      </c>
      <c r="D57" s="11">
        <f>'By Round'!C109</f>
        <v/>
      </c>
      <c r="E57" s="11">
        <f>'By Round'!D109</f>
        <v/>
      </c>
      <c r="F57" s="11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 s="12">
        <f>AVERAGE(AF57:AK57)</f>
        <v/>
      </c>
      <c r="M57" s="13">
        <f>AVERAGE(AL57:AQ57)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7">
        <f>AVERAGE(AF58:AK58)</f>
        <v/>
      </c>
      <c r="M58" s="18">
        <f>AVERAGE(AL58:AQ58)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s="11" t="n">
        <v>9</v>
      </c>
      <c r="B59" s="11">
        <f>'By Round'!A115</f>
        <v/>
      </c>
      <c r="C59" s="11">
        <f>'By Round'!B123</f>
        <v/>
      </c>
      <c r="D59" s="11">
        <f>'By Round'!C123</f>
        <v/>
      </c>
      <c r="E59" s="11">
        <f>'By Round'!D123</f>
        <v/>
      </c>
      <c r="F59" s="11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 s="12">
        <f>AVERAGE(AF59:AK59)</f>
        <v/>
      </c>
      <c r="M59" s="13">
        <f>AVERAGE(AL59:AQ59)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 s="11">
        <f>'By Round'!A101</f>
        <v/>
      </c>
      <c r="C60" s="11">
        <f>'By Round'!B111</f>
        <v/>
      </c>
      <c r="D60" s="11">
        <f>'By Round'!C111</f>
        <v/>
      </c>
      <c r="E60" s="11">
        <f>'By Round'!D111</f>
        <v/>
      </c>
      <c r="F60" s="11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 s="12">
        <f>AVERAGE(AF60:AK60)</f>
        <v/>
      </c>
      <c r="M60" s="13">
        <f>AVERAGE(AL60:AQ60)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 s="11">
        <f>'By Round'!A17</f>
        <v/>
      </c>
      <c r="C61" s="11">
        <f>'By Round'!B21</f>
        <v/>
      </c>
      <c r="D61" s="11">
        <f>'By Round'!C21</f>
        <v/>
      </c>
      <c r="E61" s="11">
        <f>'By Round'!D21</f>
        <v/>
      </c>
      <c r="F61" s="11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 s="12">
        <f>AVERAGE(AF61:AK61)</f>
        <v/>
      </c>
      <c r="M61" s="13">
        <f>AVERAGE(AL61:AQ61)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 s="11">
        <f>'By Round'!A31</f>
        <v/>
      </c>
      <c r="C62" s="11">
        <f>'By Round'!B33</f>
        <v/>
      </c>
      <c r="D62" s="11">
        <f>'By Round'!C33</f>
        <v/>
      </c>
      <c r="E62" s="11">
        <f>'By Round'!D33</f>
        <v/>
      </c>
      <c r="F62" s="11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 s="12">
        <f>AVERAGE(AF62:AK62)</f>
        <v/>
      </c>
      <c r="M62" s="13">
        <f>AVERAGE(AL62:AQ62)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 s="11">
        <f>'By Round'!A3</f>
        <v/>
      </c>
      <c r="C63" s="11">
        <f>'By Round'!B9</f>
        <v/>
      </c>
      <c r="D63" s="11">
        <f>'By Round'!C9</f>
        <v/>
      </c>
      <c r="E63" s="11">
        <f>'By Round'!D9</f>
        <v/>
      </c>
      <c r="F63" s="11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 s="12">
        <f>AVERAGE(AF63:AK63)</f>
        <v/>
      </c>
      <c r="M63" s="13">
        <f>AVERAGE(AL63:AQ63)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 s="11">
        <f>'By Round'!A87</f>
        <v/>
      </c>
      <c r="C64" s="11">
        <f>'By Round'!B99</f>
        <v/>
      </c>
      <c r="D64" s="11">
        <f>'By Round'!C99</f>
        <v/>
      </c>
      <c r="E64" s="11">
        <f>'By Round'!D99</f>
        <v/>
      </c>
      <c r="F64" s="11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 s="12">
        <f>AVERAGE(AF64:AK64)</f>
        <v/>
      </c>
      <c r="M64" s="13">
        <f>AVERAGE(AL64:AQ64)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7">
        <f>AVERAGE(AF65:AK65)</f>
        <v/>
      </c>
      <c r="M65" s="18">
        <f>AVERAGE(AL65:AQ65)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s="11" t="n">
        <v>10</v>
      </c>
      <c r="B66" s="11">
        <f>'By Round'!A115</f>
        <v/>
      </c>
      <c r="C66" s="11">
        <f>'By Round'!B123</f>
        <v/>
      </c>
      <c r="D66" s="11">
        <f>'By Round'!C123</f>
        <v/>
      </c>
      <c r="E66" s="11">
        <f>'By Round'!D123</f>
        <v/>
      </c>
      <c r="F66" s="11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 s="12">
        <f>AVERAGE(AF66:AK66)</f>
        <v/>
      </c>
      <c r="M66" s="13">
        <f>AVERAGE(AL66:AQ66)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 s="11">
        <f>'By Round'!A101</f>
        <v/>
      </c>
      <c r="C67" s="11">
        <f>'By Round'!B111</f>
        <v/>
      </c>
      <c r="D67" s="11">
        <f>'By Round'!C111</f>
        <v/>
      </c>
      <c r="E67" s="11">
        <f>'By Round'!D111</f>
        <v/>
      </c>
      <c r="F67" s="11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 s="12">
        <f>AVERAGE(AF67:AK67)</f>
        <v/>
      </c>
      <c r="M67" s="13">
        <f>AVERAGE(AL67:AQ67)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 s="11">
        <f>'By Round'!A17</f>
        <v/>
      </c>
      <c r="C68" s="11">
        <f>'By Round'!B21</f>
        <v/>
      </c>
      <c r="D68" s="11">
        <f>'By Round'!C21</f>
        <v/>
      </c>
      <c r="E68" s="11">
        <f>'By Round'!D21</f>
        <v/>
      </c>
      <c r="F68" s="11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 s="12">
        <f>AVERAGE(AF68:AK68)</f>
        <v/>
      </c>
      <c r="M68" s="13">
        <f>AVERAGE(AL68:AQ68)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 s="11">
        <f>'By Round'!A31</f>
        <v/>
      </c>
      <c r="C69" s="11">
        <f>'By Round'!B33</f>
        <v/>
      </c>
      <c r="D69" s="11">
        <f>'By Round'!C33</f>
        <v/>
      </c>
      <c r="E69" s="11">
        <f>'By Round'!D33</f>
        <v/>
      </c>
      <c r="F69" s="11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 s="12">
        <f>AVERAGE(AF69:AK69)</f>
        <v/>
      </c>
      <c r="M69" s="13">
        <f>AVERAGE(AL69:AQ69)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 s="11">
        <f>'By Round'!A3</f>
        <v/>
      </c>
      <c r="C70" s="11">
        <f>'By Round'!B9</f>
        <v/>
      </c>
      <c r="D70" s="11">
        <f>'By Round'!C9</f>
        <v/>
      </c>
      <c r="E70" s="11">
        <f>'By Round'!D9</f>
        <v/>
      </c>
      <c r="F70" s="11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 s="12">
        <f>AVERAGE(AF70:AK70)</f>
        <v/>
      </c>
      <c r="M70" s="13">
        <f>AVERAGE(AL70:AQ70)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 s="11">
        <f>'By Round'!A87</f>
        <v/>
      </c>
      <c r="C71" s="11">
        <f>'By Round'!B99</f>
        <v/>
      </c>
      <c r="D71" s="11">
        <f>'By Round'!C99</f>
        <v/>
      </c>
      <c r="E71" s="11">
        <f>'By Round'!D99</f>
        <v/>
      </c>
      <c r="F71" s="11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 s="12">
        <f>AVERAGE(AF71:AK71)</f>
        <v/>
      </c>
      <c r="M71" s="13">
        <f>AVERAGE(AL71:AQ71)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7">
        <f>AVERAGE(AF72:AK72)</f>
        <v/>
      </c>
      <c r="M72" s="18">
        <f>AVERAGE(AL72:AQ72)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s="11" t="n">
        <v>11</v>
      </c>
      <c r="B73" s="11">
        <f>'By Round'!A129</f>
        <v/>
      </c>
      <c r="C73" s="11">
        <f>'By Round'!B137</f>
        <v/>
      </c>
      <c r="D73" s="11">
        <f>'By Round'!C137</f>
        <v/>
      </c>
      <c r="E73" s="11">
        <f>'By Round'!D137</f>
        <v/>
      </c>
      <c r="F73" s="11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 s="12">
        <f>AVERAGE(AF73:AK73)</f>
        <v/>
      </c>
      <c r="M73" s="13">
        <f>AVERAGE(AL73:AQ73)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 s="11">
        <f>'By Round'!A115</f>
        <v/>
      </c>
      <c r="C74" s="11">
        <f>'By Round'!B125</f>
        <v/>
      </c>
      <c r="D74" s="11">
        <f>'By Round'!C125</f>
        <v/>
      </c>
      <c r="E74" s="11">
        <f>'By Round'!D125</f>
        <v/>
      </c>
      <c r="F74" s="11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 s="12">
        <f>AVERAGE(AF74:AK74)</f>
        <v/>
      </c>
      <c r="M74" s="13">
        <f>AVERAGE(AL74:AQ74)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 s="11">
        <f>'By Round'!A31</f>
        <v/>
      </c>
      <c r="C75" s="11">
        <f>'By Round'!B35</f>
        <v/>
      </c>
      <c r="D75" s="11">
        <f>'By Round'!C35</f>
        <v/>
      </c>
      <c r="E75" s="11">
        <f>'By Round'!D35</f>
        <v/>
      </c>
      <c r="F75" s="11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 s="12">
        <f>AVERAGE(AF75:AK75)</f>
        <v/>
      </c>
      <c r="M75" s="13">
        <f>AVERAGE(AL75:AQ75)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 s="11">
        <f>'By Round'!A45</f>
        <v/>
      </c>
      <c r="C76" s="11">
        <f>'By Round'!B47</f>
        <v/>
      </c>
      <c r="D76" s="11">
        <f>'By Round'!C47</f>
        <v/>
      </c>
      <c r="E76" s="11">
        <f>'By Round'!D47</f>
        <v/>
      </c>
      <c r="F76" s="11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 s="12">
        <f>AVERAGE(AF76:AK76)</f>
        <v/>
      </c>
      <c r="M76" s="13">
        <f>AVERAGE(AL76:AQ76)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 s="11">
        <f>'By Round'!A17</f>
        <v/>
      </c>
      <c r="C77" s="11">
        <f>'By Round'!B23</f>
        <v/>
      </c>
      <c r="D77" s="11">
        <f>'By Round'!C23</f>
        <v/>
      </c>
      <c r="E77" s="11">
        <f>'By Round'!D23</f>
        <v/>
      </c>
      <c r="F77" s="11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 s="12">
        <f>AVERAGE(AF77:AK77)</f>
        <v/>
      </c>
      <c r="M77" s="13">
        <f>AVERAGE(AL77:AQ77)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 s="11">
        <f>'By Round'!A101</f>
        <v/>
      </c>
      <c r="C78" s="11">
        <f>'By Round'!B113</f>
        <v/>
      </c>
      <c r="D78" s="11">
        <f>'By Round'!C113</f>
        <v/>
      </c>
      <c r="E78" s="11">
        <f>'By Round'!D113</f>
        <v/>
      </c>
      <c r="F78" s="11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 s="12">
        <f>AVERAGE(AF78:AK78)</f>
        <v/>
      </c>
      <c r="M78" s="13">
        <f>AVERAGE(AL78:AQ78)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7">
        <f>AVERAGE(AF79:AK79)</f>
        <v/>
      </c>
      <c r="M79" s="18">
        <f>AVERAGE(AL79:AQ79)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s="11" t="n">
        <v>12</v>
      </c>
      <c r="B80" s="11">
        <f>'By Round'!A129</f>
        <v/>
      </c>
      <c r="C80" s="11">
        <f>'By Round'!B137</f>
        <v/>
      </c>
      <c r="D80" s="11">
        <f>'By Round'!C137</f>
        <v/>
      </c>
      <c r="E80" s="11">
        <f>'By Round'!D137</f>
        <v/>
      </c>
      <c r="F80" s="11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 s="12">
        <f>AVERAGE(AF80:AK80)</f>
        <v/>
      </c>
      <c r="M80" s="13">
        <f>AVERAGE(AL80:AQ80)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 s="11">
        <f>'By Round'!A115</f>
        <v/>
      </c>
      <c r="C81" s="11">
        <f>'By Round'!B125</f>
        <v/>
      </c>
      <c r="D81" s="11">
        <f>'By Round'!C125</f>
        <v/>
      </c>
      <c r="E81" s="11">
        <f>'By Round'!D125</f>
        <v/>
      </c>
      <c r="F81" s="11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 s="12">
        <f>AVERAGE(AF81:AK81)</f>
        <v/>
      </c>
      <c r="M81" s="13">
        <f>AVERAGE(AL81:AQ81)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 s="11">
        <f>'By Round'!A31</f>
        <v/>
      </c>
      <c r="C82" s="11">
        <f>'By Round'!B35</f>
        <v/>
      </c>
      <c r="D82" s="11">
        <f>'By Round'!C35</f>
        <v/>
      </c>
      <c r="E82" s="11">
        <f>'By Round'!D35</f>
        <v/>
      </c>
      <c r="F82" s="11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 s="12">
        <f>AVERAGE(AF82:AK82)</f>
        <v/>
      </c>
      <c r="M82" s="13">
        <f>AVERAGE(AL82:AQ82)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 s="11">
        <f>'By Round'!A45</f>
        <v/>
      </c>
      <c r="C83" s="11">
        <f>'By Round'!B47</f>
        <v/>
      </c>
      <c r="D83" s="11">
        <f>'By Round'!C47</f>
        <v/>
      </c>
      <c r="E83" s="11">
        <f>'By Round'!D47</f>
        <v/>
      </c>
      <c r="F83" s="11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 s="12">
        <f>AVERAGE(AF83:AK83)</f>
        <v/>
      </c>
      <c r="M83" s="13">
        <f>AVERAGE(AL83:AQ83)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 s="11">
        <f>'By Round'!A17</f>
        <v/>
      </c>
      <c r="C84" s="11">
        <f>'By Round'!B23</f>
        <v/>
      </c>
      <c r="D84" s="11">
        <f>'By Round'!C23</f>
        <v/>
      </c>
      <c r="E84" s="11">
        <f>'By Round'!D23</f>
        <v/>
      </c>
      <c r="F84" s="11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 s="12">
        <f>AVERAGE(AF84:AK84)</f>
        <v/>
      </c>
      <c r="M84" s="13">
        <f>AVERAGE(AL84:AQ84)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 s="11">
        <f>'By Round'!A101</f>
        <v/>
      </c>
      <c r="C85" s="11">
        <f>'By Round'!B113</f>
        <v/>
      </c>
      <c r="D85" s="11">
        <f>'By Round'!C113</f>
        <v/>
      </c>
      <c r="E85" s="11">
        <f>'By Round'!D113</f>
        <v/>
      </c>
      <c r="F85" s="11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 s="12">
        <f>AVERAGE(AF85:AK85)</f>
        <v/>
      </c>
      <c r="M85" s="13">
        <f>AVERAGE(AL85:AQ85)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7">
        <f>AVERAGE(AF86:AK86)</f>
        <v/>
      </c>
      <c r="M86" s="18">
        <f>AVERAGE(AL86:AQ86)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s="11" t="n">
        <v>13</v>
      </c>
      <c r="B87" s="11">
        <f>'By Round'!A143</f>
        <v/>
      </c>
      <c r="C87" s="11">
        <f>'By Round'!B151</f>
        <v/>
      </c>
      <c r="D87" s="11">
        <f>'By Round'!C151</f>
        <v/>
      </c>
      <c r="E87" s="11">
        <f>'By Round'!D151</f>
        <v/>
      </c>
      <c r="F87" s="11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 s="12">
        <f>AVERAGE(AF87:AK87)</f>
        <v/>
      </c>
      <c r="M87" s="13">
        <f>AVERAGE(AL87:AQ87)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 s="11">
        <f>'By Round'!A129</f>
        <v/>
      </c>
      <c r="C88" s="11">
        <f>'By Round'!B139</f>
        <v/>
      </c>
      <c r="D88" s="11">
        <f>'By Round'!C139</f>
        <v/>
      </c>
      <c r="E88" s="11">
        <f>'By Round'!D139</f>
        <v/>
      </c>
      <c r="F88" s="11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 s="12">
        <f>AVERAGE(AF88:AK88)</f>
        <v/>
      </c>
      <c r="M88" s="13">
        <f>AVERAGE(AL88:AQ88)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 s="11">
        <f>'By Round'!A45</f>
        <v/>
      </c>
      <c r="C89" s="11">
        <f>'By Round'!B49</f>
        <v/>
      </c>
      <c r="D89" s="11">
        <f>'By Round'!C49</f>
        <v/>
      </c>
      <c r="E89" s="11">
        <f>'By Round'!D49</f>
        <v/>
      </c>
      <c r="F89" s="11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 s="12">
        <f>AVERAGE(AF89:AK89)</f>
        <v/>
      </c>
      <c r="M89" s="13">
        <f>AVERAGE(AL89:AQ89)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 s="11">
        <f>'By Round'!A59</f>
        <v/>
      </c>
      <c r="C90" s="11">
        <f>'By Round'!B61</f>
        <v/>
      </c>
      <c r="D90" s="11">
        <f>'By Round'!C61</f>
        <v/>
      </c>
      <c r="E90" s="11">
        <f>'By Round'!D61</f>
        <v/>
      </c>
      <c r="F90" s="11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 s="12">
        <f>AVERAGE(AF90:AK90)</f>
        <v/>
      </c>
      <c r="M90" s="13">
        <f>AVERAGE(AL90:AQ90)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 s="11">
        <f>'By Round'!A31</f>
        <v/>
      </c>
      <c r="C91" s="11">
        <f>'By Round'!B37</f>
        <v/>
      </c>
      <c r="D91" s="11">
        <f>'By Round'!C37</f>
        <v/>
      </c>
      <c r="E91" s="11">
        <f>'By Round'!D37</f>
        <v/>
      </c>
      <c r="F91" s="11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 s="12">
        <f>AVERAGE(AF91:AK91)</f>
        <v/>
      </c>
      <c r="M91" s="13">
        <f>AVERAGE(AL91:AQ91)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 s="11">
        <f>'By Round'!A115</f>
        <v/>
      </c>
      <c r="C92" s="11">
        <f>'By Round'!B127</f>
        <v/>
      </c>
      <c r="D92" s="11">
        <f>'By Round'!C127</f>
        <v/>
      </c>
      <c r="E92" s="11">
        <f>'By Round'!D127</f>
        <v/>
      </c>
      <c r="F92" s="11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 s="12">
        <f>AVERAGE(AF92:AK92)</f>
        <v/>
      </c>
      <c r="M92" s="13">
        <f>AVERAGE(AL92:AQ92)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7">
        <f>AVERAGE(AF93:AK93)</f>
        <v/>
      </c>
      <c r="M93" s="18">
        <f>AVERAGE(AL93:AQ93)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s="11" t="n">
        <v>14</v>
      </c>
      <c r="B94" s="11">
        <f>'By Round'!A143</f>
        <v/>
      </c>
      <c r="C94" s="11">
        <f>'By Round'!B151</f>
        <v/>
      </c>
      <c r="D94" s="11">
        <f>'By Round'!C151</f>
        <v/>
      </c>
      <c r="E94" s="11">
        <f>'By Round'!D151</f>
        <v/>
      </c>
      <c r="F94" s="11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 s="12">
        <f>AVERAGE(AF94:AK94)</f>
        <v/>
      </c>
      <c r="M94" s="13">
        <f>AVERAGE(AL94:AQ94)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 s="11">
        <f>'By Round'!A129</f>
        <v/>
      </c>
      <c r="C95" s="11">
        <f>'By Round'!B139</f>
        <v/>
      </c>
      <c r="D95" s="11">
        <f>'By Round'!C139</f>
        <v/>
      </c>
      <c r="E95" s="11">
        <f>'By Round'!D139</f>
        <v/>
      </c>
      <c r="F95" s="11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 s="12">
        <f>AVERAGE(AF95:AK95)</f>
        <v/>
      </c>
      <c r="M95" s="13">
        <f>AVERAGE(AL95:AQ95)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 s="11">
        <f>'By Round'!A45</f>
        <v/>
      </c>
      <c r="C96" s="11">
        <f>'By Round'!B49</f>
        <v/>
      </c>
      <c r="D96" s="11">
        <f>'By Round'!C49</f>
        <v/>
      </c>
      <c r="E96" s="11">
        <f>'By Round'!D49</f>
        <v/>
      </c>
      <c r="F96" s="11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 s="12">
        <f>AVERAGE(AF96:AK96)</f>
        <v/>
      </c>
      <c r="M96" s="13">
        <f>AVERAGE(AL96:AQ96)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 s="11">
        <f>'By Round'!A59</f>
        <v/>
      </c>
      <c r="C97" s="11">
        <f>'By Round'!B61</f>
        <v/>
      </c>
      <c r="D97" s="11">
        <f>'By Round'!C61</f>
        <v/>
      </c>
      <c r="E97" s="11">
        <f>'By Round'!D61</f>
        <v/>
      </c>
      <c r="F97" s="11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 s="12">
        <f>AVERAGE(AF97:AK97)</f>
        <v/>
      </c>
      <c r="M97" s="13">
        <f>AVERAGE(AL97:AQ97)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 s="11">
        <f>'By Round'!A31</f>
        <v/>
      </c>
      <c r="C98" s="11">
        <f>'By Round'!B37</f>
        <v/>
      </c>
      <c r="D98" s="11">
        <f>'By Round'!C37</f>
        <v/>
      </c>
      <c r="E98" s="11">
        <f>'By Round'!D37</f>
        <v/>
      </c>
      <c r="F98" s="11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 s="12">
        <f>AVERAGE(AF98:AK98)</f>
        <v/>
      </c>
      <c r="M98" s="13">
        <f>AVERAGE(AL98:AQ98)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 s="11">
        <f>'By Round'!A115</f>
        <v/>
      </c>
      <c r="C99" s="11">
        <f>'By Round'!B127</f>
        <v/>
      </c>
      <c r="D99" s="11">
        <f>'By Round'!C127</f>
        <v/>
      </c>
      <c r="E99" s="11">
        <f>'By Round'!D127</f>
        <v/>
      </c>
      <c r="F99" s="11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 s="12">
        <f>AVERAGE(AF99:AK99)</f>
        <v/>
      </c>
      <c r="M99" s="13">
        <f>AVERAGE(AL99:AQ99)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7">
        <f>AVERAGE(AF100:AK100)</f>
        <v/>
      </c>
      <c r="M100" s="18">
        <f>AVERAGE(AL100:AQ100)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s="11" t="n">
        <v>15</v>
      </c>
      <c r="B101" s="11">
        <f>'By Round'!A157</f>
        <v/>
      </c>
      <c r="C101" s="11">
        <f>'By Round'!B165</f>
        <v/>
      </c>
      <c r="D101" s="11">
        <f>'By Round'!C165</f>
        <v/>
      </c>
      <c r="E101" s="11">
        <f>'By Round'!D165</f>
        <v/>
      </c>
      <c r="F101" s="11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 s="12">
        <f>AVERAGE(AF101:AK101)</f>
        <v/>
      </c>
      <c r="M101" s="13">
        <f>AVERAGE(AL101:AQ101)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 s="11">
        <f>'By Round'!A143</f>
        <v/>
      </c>
      <c r="C102" s="11">
        <f>'By Round'!B153</f>
        <v/>
      </c>
      <c r="D102" s="11">
        <f>'By Round'!C153</f>
        <v/>
      </c>
      <c r="E102" s="11">
        <f>'By Round'!D153</f>
        <v/>
      </c>
      <c r="F102" s="11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 s="12">
        <f>AVERAGE(AF102:AK102)</f>
        <v/>
      </c>
      <c r="M102" s="13">
        <f>AVERAGE(AL102:AQ102)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 s="11">
        <f>'By Round'!A59</f>
        <v/>
      </c>
      <c r="C103" s="11">
        <f>'By Round'!B63</f>
        <v/>
      </c>
      <c r="D103" s="11">
        <f>'By Round'!C63</f>
        <v/>
      </c>
      <c r="E103" s="11">
        <f>'By Round'!D63</f>
        <v/>
      </c>
      <c r="F103" s="11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 s="12">
        <f>AVERAGE(AF103:AK103)</f>
        <v/>
      </c>
      <c r="M103" s="13">
        <f>AVERAGE(AL103:AQ103)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 s="11">
        <f>'By Round'!A73</f>
        <v/>
      </c>
      <c r="C104" s="11">
        <f>'By Round'!B75</f>
        <v/>
      </c>
      <c r="D104" s="11">
        <f>'By Round'!C75</f>
        <v/>
      </c>
      <c r="E104" s="11">
        <f>'By Round'!D75</f>
        <v/>
      </c>
      <c r="F104" s="11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 s="12">
        <f>AVERAGE(AF104:AK104)</f>
        <v/>
      </c>
      <c r="M104" s="13">
        <f>AVERAGE(AL104:AQ104)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 s="11">
        <f>'By Round'!A45</f>
        <v/>
      </c>
      <c r="C105" s="11">
        <f>'By Round'!B51</f>
        <v/>
      </c>
      <c r="D105" s="11">
        <f>'By Round'!C51</f>
        <v/>
      </c>
      <c r="E105" s="11">
        <f>'By Round'!D51</f>
        <v/>
      </c>
      <c r="F105" s="11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 s="12">
        <f>AVERAGE(AF105:AK105)</f>
        <v/>
      </c>
      <c r="M105" s="13">
        <f>AVERAGE(AL105:AQ105)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 s="11">
        <f>'By Round'!A129</f>
        <v/>
      </c>
      <c r="C106" s="11">
        <f>'By Round'!B141</f>
        <v/>
      </c>
      <c r="D106" s="11">
        <f>'By Round'!C141</f>
        <v/>
      </c>
      <c r="E106" s="11">
        <f>'By Round'!D141</f>
        <v/>
      </c>
      <c r="F106" s="11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 s="12">
        <f>AVERAGE(AF106:AK106)</f>
        <v/>
      </c>
      <c r="M106" s="13">
        <f>AVERAGE(AL106:AQ106)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7">
        <f>AVERAGE(AF107:AK107)</f>
        <v/>
      </c>
      <c r="M107" s="18">
        <f>AVERAGE(AL107:AQ107)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s="11" t="n">
        <v>16</v>
      </c>
      <c r="B108" s="11">
        <f>'By Round'!A157</f>
        <v/>
      </c>
      <c r="C108" s="11">
        <f>'By Round'!B165</f>
        <v/>
      </c>
      <c r="D108" s="11">
        <f>'By Round'!C165</f>
        <v/>
      </c>
      <c r="E108" s="11">
        <f>'By Round'!D165</f>
        <v/>
      </c>
      <c r="F108" s="11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 s="12">
        <f>AVERAGE(AF108:AK108)</f>
        <v/>
      </c>
      <c r="M108" s="13">
        <f>AVERAGE(AL108:AQ108)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 s="11">
        <f>'By Round'!A143</f>
        <v/>
      </c>
      <c r="C109" s="11">
        <f>'By Round'!B153</f>
        <v/>
      </c>
      <c r="D109" s="11">
        <f>'By Round'!C153</f>
        <v/>
      </c>
      <c r="E109" s="11">
        <f>'By Round'!D153</f>
        <v/>
      </c>
      <c r="F109" s="11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 s="12">
        <f>AVERAGE(AF109:AK109)</f>
        <v/>
      </c>
      <c r="M109" s="13">
        <f>AVERAGE(AL109:AQ109)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 s="11">
        <f>'By Round'!A59</f>
        <v/>
      </c>
      <c r="C110" s="11">
        <f>'By Round'!B63</f>
        <v/>
      </c>
      <c r="D110" s="11">
        <f>'By Round'!C63</f>
        <v/>
      </c>
      <c r="E110" s="11">
        <f>'By Round'!D63</f>
        <v/>
      </c>
      <c r="F110" s="11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 s="12">
        <f>AVERAGE(AF110:AK110)</f>
        <v/>
      </c>
      <c r="M110" s="13">
        <f>AVERAGE(AL110:AQ110)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 s="11">
        <f>'By Round'!A73</f>
        <v/>
      </c>
      <c r="C111" s="11">
        <f>'By Round'!B75</f>
        <v/>
      </c>
      <c r="D111" s="11">
        <f>'By Round'!C75</f>
        <v/>
      </c>
      <c r="E111" s="11">
        <f>'By Round'!D75</f>
        <v/>
      </c>
      <c r="F111" s="11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 s="12">
        <f>AVERAGE(AF111:AK111)</f>
        <v/>
      </c>
      <c r="M111" s="13">
        <f>AVERAGE(AL111:AQ111)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 s="11">
        <f>'By Round'!A45</f>
        <v/>
      </c>
      <c r="C112" s="11">
        <f>'By Round'!B51</f>
        <v/>
      </c>
      <c r="D112" s="11">
        <f>'By Round'!C51</f>
        <v/>
      </c>
      <c r="E112" s="11">
        <f>'By Round'!D51</f>
        <v/>
      </c>
      <c r="F112" s="11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 s="12">
        <f>AVERAGE(AF112:AK112)</f>
        <v/>
      </c>
      <c r="M112" s="13">
        <f>AVERAGE(AL112:AQ112)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 s="11">
        <f>'By Round'!A129</f>
        <v/>
      </c>
      <c r="C113" s="11">
        <f>'By Round'!B141</f>
        <v/>
      </c>
      <c r="D113" s="11">
        <f>'By Round'!C141</f>
        <v/>
      </c>
      <c r="E113" s="11">
        <f>'By Round'!D141</f>
        <v/>
      </c>
      <c r="F113" s="11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 s="12">
        <f>AVERAGE(AF113:AK113)</f>
        <v/>
      </c>
      <c r="M113" s="13">
        <f>AVERAGE(AL113:AQ113)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7">
        <f>AVERAGE(AF114:AK114)</f>
        <v/>
      </c>
      <c r="M114" s="18">
        <f>AVERAGE(AL114:AQ114)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s="11" t="n">
        <v>17</v>
      </c>
      <c r="B115" s="11">
        <f>'By Round'!A143</f>
        <v/>
      </c>
      <c r="C115" s="11">
        <f>'By Round'!B155</f>
        <v/>
      </c>
      <c r="D115" s="11">
        <f>'By Round'!C155</f>
        <v/>
      </c>
      <c r="E115" s="11">
        <f>'By Round'!D155</f>
        <v/>
      </c>
      <c r="F115" s="11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 s="12">
        <f>AVERAGE(AF115:AK115)</f>
        <v/>
      </c>
      <c r="M115" s="13">
        <f>AVERAGE(AL115:AQ115)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 s="11">
        <f>'By Round'!A171</f>
        <v/>
      </c>
      <c r="C116" s="11">
        <f>'By Round'!B179</f>
        <v/>
      </c>
      <c r="D116" s="11">
        <f>'By Round'!C179</f>
        <v/>
      </c>
      <c r="E116" s="11">
        <f>'By Round'!D179</f>
        <v/>
      </c>
      <c r="F116" s="11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 s="12">
        <f>AVERAGE(AF116:AK116)</f>
        <v/>
      </c>
      <c r="M116" s="13">
        <f>AVERAGE(AL116:AQ116)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 s="11">
        <f>'By Round'!A157</f>
        <v/>
      </c>
      <c r="C117" s="11">
        <f>'By Round'!B167</f>
        <v/>
      </c>
      <c r="D117" s="11">
        <f>'By Round'!C167</f>
        <v/>
      </c>
      <c r="E117" s="11">
        <f>'By Round'!D167</f>
        <v/>
      </c>
      <c r="F117" s="11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 s="12">
        <f>AVERAGE(AF117:AK117)</f>
        <v/>
      </c>
      <c r="M117" s="13">
        <f>AVERAGE(AL117:AQ117)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 s="11">
        <f>'By Round'!A73</f>
        <v/>
      </c>
      <c r="C118" s="11">
        <f>'By Round'!B77</f>
        <v/>
      </c>
      <c r="D118" s="11">
        <f>'By Round'!C77</f>
        <v/>
      </c>
      <c r="E118" s="11">
        <f>'By Round'!D77</f>
        <v/>
      </c>
      <c r="F118" s="11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 s="12">
        <f>AVERAGE(AF118:AK118)</f>
        <v/>
      </c>
      <c r="M118" s="13">
        <f>AVERAGE(AL118:AQ118)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 s="11">
        <f>'By Round'!A87</f>
        <v/>
      </c>
      <c r="C119" s="11">
        <f>'By Round'!B89</f>
        <v/>
      </c>
      <c r="D119" s="11">
        <f>'By Round'!C89</f>
        <v/>
      </c>
      <c r="E119" s="11">
        <f>'By Round'!D89</f>
        <v/>
      </c>
      <c r="F119" s="11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 s="12">
        <f>AVERAGE(AF119:AK119)</f>
        <v/>
      </c>
      <c r="M119" s="13">
        <f>AVERAGE(AL119:AQ119)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 s="11">
        <f>'By Round'!A59</f>
        <v/>
      </c>
      <c r="C120" s="11">
        <f>'By Round'!B65</f>
        <v/>
      </c>
      <c r="D120" s="11">
        <f>'By Round'!C65</f>
        <v/>
      </c>
      <c r="E120" s="11">
        <f>'By Round'!D65</f>
        <v/>
      </c>
      <c r="F120" s="11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 s="12">
        <f>AVERAGE(AF120:AK120)</f>
        <v/>
      </c>
      <c r="M120" s="13">
        <f>AVERAGE(AL120:AQ120)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7">
        <f>AVERAGE(AF121:AK121)</f>
        <v/>
      </c>
      <c r="M121" s="18">
        <f>AVERAGE(AL121:AQ121)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s="11" t="n">
        <v>18</v>
      </c>
      <c r="B122" s="11">
        <f>'By Round'!A143</f>
        <v/>
      </c>
      <c r="C122" s="11">
        <f>'By Round'!B155</f>
        <v/>
      </c>
      <c r="D122" s="11">
        <f>'By Round'!C155</f>
        <v/>
      </c>
      <c r="E122" s="11">
        <f>'By Round'!D155</f>
        <v/>
      </c>
      <c r="F122" s="11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 s="12">
        <f>AVERAGE(AF122:AK122)</f>
        <v/>
      </c>
      <c r="M122" s="13">
        <f>AVERAGE(AL122:AQ122)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 s="11">
        <f>'By Round'!A171</f>
        <v/>
      </c>
      <c r="C123" s="11">
        <f>'By Round'!B179</f>
        <v/>
      </c>
      <c r="D123" s="11">
        <f>'By Round'!C179</f>
        <v/>
      </c>
      <c r="E123" s="11">
        <f>'By Round'!D179</f>
        <v/>
      </c>
      <c r="F123" s="11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 s="12">
        <f>AVERAGE(AF123:AK123)</f>
        <v/>
      </c>
      <c r="M123" s="13">
        <f>AVERAGE(AL123:AQ123)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 s="11">
        <f>'By Round'!A157</f>
        <v/>
      </c>
      <c r="C124" s="11">
        <f>'By Round'!B167</f>
        <v/>
      </c>
      <c r="D124" s="11">
        <f>'By Round'!C167</f>
        <v/>
      </c>
      <c r="E124" s="11">
        <f>'By Round'!D167</f>
        <v/>
      </c>
      <c r="F124" s="11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 s="12">
        <f>AVERAGE(AF124:AK124)</f>
        <v/>
      </c>
      <c r="M124" s="13">
        <f>AVERAGE(AL124:AQ124)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 s="11">
        <f>'By Round'!A73</f>
        <v/>
      </c>
      <c r="C125" s="11">
        <f>'By Round'!B77</f>
        <v/>
      </c>
      <c r="D125" s="11">
        <f>'By Round'!C77</f>
        <v/>
      </c>
      <c r="E125" s="11">
        <f>'By Round'!D77</f>
        <v/>
      </c>
      <c r="F125" s="11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 s="12">
        <f>AVERAGE(AF125:AK125)</f>
        <v/>
      </c>
      <c r="M125" s="13">
        <f>AVERAGE(AL125:AQ125)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 s="11">
        <f>'By Round'!A87</f>
        <v/>
      </c>
      <c r="C126" s="11">
        <f>'By Round'!B89</f>
        <v/>
      </c>
      <c r="D126" s="11">
        <f>'By Round'!C89</f>
        <v/>
      </c>
      <c r="E126" s="11">
        <f>'By Round'!D89</f>
        <v/>
      </c>
      <c r="F126" s="11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 s="12">
        <f>AVERAGE(AF126:AK126)</f>
        <v/>
      </c>
      <c r="M126" s="13">
        <f>AVERAGE(AL126:AQ126)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 s="11">
        <f>'By Round'!A59</f>
        <v/>
      </c>
      <c r="C127" s="11">
        <f>'By Round'!B65</f>
        <v/>
      </c>
      <c r="D127" s="11">
        <f>'By Round'!C65</f>
        <v/>
      </c>
      <c r="E127" s="11">
        <f>'By Round'!D65</f>
        <v/>
      </c>
      <c r="F127" s="11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 s="12">
        <f>AVERAGE(AF127:AK127)</f>
        <v/>
      </c>
      <c r="M127" s="13">
        <f>AVERAGE(AL127:AQ127)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7">
        <f>AVERAGE(AF128:AK128)</f>
        <v/>
      </c>
      <c r="M128" s="18">
        <f>AVERAGE(AL128:AQ128)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s="11" t="n">
        <v>19</v>
      </c>
      <c r="B129" s="11">
        <f>'By Round'!A73</f>
        <v/>
      </c>
      <c r="C129" s="11">
        <f>'By Round'!B79</f>
        <v/>
      </c>
      <c r="D129" s="11">
        <f>'By Round'!C79</f>
        <v/>
      </c>
      <c r="E129" s="11">
        <f>'By Round'!D79</f>
        <v/>
      </c>
      <c r="F129" s="11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 s="12">
        <f>AVERAGE(AF129:AK129)</f>
        <v/>
      </c>
      <c r="M129" s="13">
        <f>AVERAGE(AL129:AQ129)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 s="11">
        <f>'By Round'!A157</f>
        <v/>
      </c>
      <c r="C130" s="11">
        <f>'By Round'!B169</f>
        <v/>
      </c>
      <c r="D130" s="11">
        <f>'By Round'!C169</f>
        <v/>
      </c>
      <c r="E130" s="11">
        <f>'By Round'!D169</f>
        <v/>
      </c>
      <c r="F130" s="11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 s="12">
        <f>AVERAGE(AF130:AK130)</f>
        <v/>
      </c>
      <c r="M130" s="13">
        <f>AVERAGE(AL130:AQ130)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 s="11">
        <f>'By Round'!A3</f>
        <v/>
      </c>
      <c r="C131" s="11">
        <f>'By Round'!B11</f>
        <v/>
      </c>
      <c r="D131" s="11">
        <f>'By Round'!C11</f>
        <v/>
      </c>
      <c r="E131" s="11">
        <f>'By Round'!D11</f>
        <v/>
      </c>
      <c r="F131" s="11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 s="12">
        <f>AVERAGE(AF131:AK131)</f>
        <v/>
      </c>
      <c r="M131" s="13">
        <f>AVERAGE(AL131:AQ131)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 s="11">
        <f>'By Round'!A171</f>
        <v/>
      </c>
      <c r="C132" s="11">
        <f>'By Round'!B181</f>
        <v/>
      </c>
      <c r="D132" s="11">
        <f>'By Round'!C181</f>
        <v/>
      </c>
      <c r="E132" s="11">
        <f>'By Round'!D181</f>
        <v/>
      </c>
      <c r="F132" s="11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 s="12">
        <f>AVERAGE(AF132:AK132)</f>
        <v/>
      </c>
      <c r="M132" s="13">
        <f>AVERAGE(AL132:AQ132)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 s="11">
        <f>'By Round'!A87</f>
        <v/>
      </c>
      <c r="C133" s="11">
        <f>'By Round'!B91</f>
        <v/>
      </c>
      <c r="D133" s="11">
        <f>'By Round'!C91</f>
        <v/>
      </c>
      <c r="E133" s="11">
        <f>'By Round'!D91</f>
        <v/>
      </c>
      <c r="F133" s="11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 s="12">
        <f>AVERAGE(AF133:AK133)</f>
        <v/>
      </c>
      <c r="M133" s="13">
        <f>AVERAGE(AL133:AQ133)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 s="11">
        <f>'By Round'!A101</f>
        <v/>
      </c>
      <c r="C134" s="11">
        <f>'By Round'!B103</f>
        <v/>
      </c>
      <c r="D134" s="11">
        <f>'By Round'!C103</f>
        <v/>
      </c>
      <c r="E134" s="11">
        <f>'By Round'!D103</f>
        <v/>
      </c>
      <c r="F134" s="11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 s="12">
        <f>AVERAGE(AF134:AK134)</f>
        <v/>
      </c>
      <c r="M134" s="13">
        <f>AVERAGE(AL134:AQ134)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7">
        <f>AVERAGE(AF135:AK135)</f>
        <v/>
      </c>
      <c r="M135" s="18">
        <f>AVERAGE(AL135:AQ135)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s="11" t="n">
        <v>20</v>
      </c>
      <c r="B136" s="11">
        <f>'By Round'!A73</f>
        <v/>
      </c>
      <c r="C136" s="11">
        <f>'By Round'!B79</f>
        <v/>
      </c>
      <c r="D136" s="11">
        <f>'By Round'!C79</f>
        <v/>
      </c>
      <c r="E136" s="11">
        <f>'By Round'!D79</f>
        <v/>
      </c>
      <c r="F136" s="11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 s="12">
        <f>AVERAGE(AF136:AK136)</f>
        <v/>
      </c>
      <c r="M136" s="13">
        <f>AVERAGE(AL136:AQ136)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 s="11">
        <f>'By Round'!A157</f>
        <v/>
      </c>
      <c r="C137" s="11">
        <f>'By Round'!B169</f>
        <v/>
      </c>
      <c r="D137" s="11">
        <f>'By Round'!C169</f>
        <v/>
      </c>
      <c r="E137" s="11">
        <f>'By Round'!D169</f>
        <v/>
      </c>
      <c r="F137" s="11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 s="12">
        <f>AVERAGE(AF137:AK137)</f>
        <v/>
      </c>
      <c r="M137" s="13">
        <f>AVERAGE(AL137:AQ137)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 s="11">
        <f>'By Round'!A3</f>
        <v/>
      </c>
      <c r="C138" s="11">
        <f>'By Round'!B11</f>
        <v/>
      </c>
      <c r="D138" s="11">
        <f>'By Round'!C11</f>
        <v/>
      </c>
      <c r="E138" s="11">
        <f>'By Round'!D11</f>
        <v/>
      </c>
      <c r="F138" s="11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 s="12">
        <f>AVERAGE(AF138:AK138)</f>
        <v/>
      </c>
      <c r="M138" s="13">
        <f>AVERAGE(AL138:AQ138)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 s="11">
        <f>'By Round'!A171</f>
        <v/>
      </c>
      <c r="C139" s="11">
        <f>'By Round'!B181</f>
        <v/>
      </c>
      <c r="D139" s="11">
        <f>'By Round'!C181</f>
        <v/>
      </c>
      <c r="E139" s="11">
        <f>'By Round'!D181</f>
        <v/>
      </c>
      <c r="F139" s="11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 s="12">
        <f>AVERAGE(AF139:AK139)</f>
        <v/>
      </c>
      <c r="M139" s="13">
        <f>AVERAGE(AL139:AQ139)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 s="11">
        <f>'By Round'!A87</f>
        <v/>
      </c>
      <c r="C140" s="11">
        <f>'By Round'!B91</f>
        <v/>
      </c>
      <c r="D140" s="11">
        <f>'By Round'!C91</f>
        <v/>
      </c>
      <c r="E140" s="11">
        <f>'By Round'!D91</f>
        <v/>
      </c>
      <c r="F140" s="11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 s="12">
        <f>AVERAGE(AF140:AK140)</f>
        <v/>
      </c>
      <c r="M140" s="13">
        <f>AVERAGE(AL140:AQ140)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 s="11">
        <f>'By Round'!A101</f>
        <v/>
      </c>
      <c r="C141" s="11">
        <f>'By Round'!B103</f>
        <v/>
      </c>
      <c r="D141" s="11">
        <f>'By Round'!C103</f>
        <v/>
      </c>
      <c r="E141" s="11">
        <f>'By Round'!D103</f>
        <v/>
      </c>
      <c r="F141" s="11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 s="12">
        <f>AVERAGE(AF141:AK141)</f>
        <v/>
      </c>
      <c r="M141" s="13">
        <f>AVERAGE(AL141:AQ141)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7">
        <f>AVERAGE(AF142:AK142)</f>
        <v/>
      </c>
      <c r="M142" s="18">
        <f>AVERAGE(AL142:AQ142)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s="11" t="n">
        <v>21</v>
      </c>
      <c r="B143" s="11">
        <f>'By Round'!A87</f>
        <v/>
      </c>
      <c r="C143" s="11">
        <f>'By Round'!B93</f>
        <v/>
      </c>
      <c r="D143" s="11">
        <f>'By Round'!C93</f>
        <v/>
      </c>
      <c r="E143" s="11">
        <f>'By Round'!D93</f>
        <v/>
      </c>
      <c r="F143" s="11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 s="12">
        <f>AVERAGE(AF143:AK143)</f>
        <v/>
      </c>
      <c r="M143" s="13">
        <f>AVERAGE(AL143:AQ143)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 s="11">
        <f>'By Round'!A171</f>
        <v/>
      </c>
      <c r="C144" s="11">
        <f>'By Round'!B183</f>
        <v/>
      </c>
      <c r="D144" s="11">
        <f>'By Round'!C183</f>
        <v/>
      </c>
      <c r="E144" s="11">
        <f>'By Round'!D183</f>
        <v/>
      </c>
      <c r="F144" s="11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 s="12">
        <f>AVERAGE(AF144:AK144)</f>
        <v/>
      </c>
      <c r="M144" s="13">
        <f>AVERAGE(AL144:AQ144)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 s="11">
        <f>'By Round'!A17</f>
        <v/>
      </c>
      <c r="C145" s="11">
        <f>'By Round'!B25</f>
        <v/>
      </c>
      <c r="D145" s="11">
        <f>'By Round'!C25</f>
        <v/>
      </c>
      <c r="E145" s="11">
        <f>'By Round'!D25</f>
        <v/>
      </c>
      <c r="F145" s="11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 s="12">
        <f>AVERAGE(AF145:AK145)</f>
        <v/>
      </c>
      <c r="M145" s="13">
        <f>AVERAGE(AL145:AQ145)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 s="11">
        <f>'By Round'!A3</f>
        <v/>
      </c>
      <c r="C146" s="11">
        <f>'By Round'!B13</f>
        <v/>
      </c>
      <c r="D146" s="11">
        <f>'By Round'!C13</f>
        <v/>
      </c>
      <c r="E146" s="11">
        <f>'By Round'!D13</f>
        <v/>
      </c>
      <c r="F146" s="11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 s="12">
        <f>AVERAGE(AF146:AK146)</f>
        <v/>
      </c>
      <c r="M146" s="13">
        <f>AVERAGE(AL146:AQ146)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 s="11">
        <f>'By Round'!A101</f>
        <v/>
      </c>
      <c r="C147" s="11">
        <f>'By Round'!B105</f>
        <v/>
      </c>
      <c r="D147" s="11">
        <f>'By Round'!C105</f>
        <v/>
      </c>
      <c r="E147" s="11">
        <f>'By Round'!D105</f>
        <v/>
      </c>
      <c r="F147" s="11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 s="12">
        <f>AVERAGE(AF147:AK147)</f>
        <v/>
      </c>
      <c r="M147" s="13">
        <f>AVERAGE(AL147:AQ147)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 s="11">
        <f>'By Round'!A115</f>
        <v/>
      </c>
      <c r="C148" s="11">
        <f>'By Round'!B117</f>
        <v/>
      </c>
      <c r="D148" s="11">
        <f>'By Round'!C117</f>
        <v/>
      </c>
      <c r="E148" s="11">
        <f>'By Round'!D117</f>
        <v/>
      </c>
      <c r="F148" s="11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 s="12">
        <f>AVERAGE(AF148:AK148)</f>
        <v/>
      </c>
      <c r="M148" s="13">
        <f>AVERAGE(AL148:AQ148)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7">
        <f>AVERAGE(AF149:AK149)</f>
        <v/>
      </c>
      <c r="M149" s="18">
        <f>AVERAGE(AL149:AQ149)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s="11" t="n">
        <v>22</v>
      </c>
      <c r="B150" s="11">
        <f>'By Round'!A87</f>
        <v/>
      </c>
      <c r="C150" s="11">
        <f>'By Round'!B93</f>
        <v/>
      </c>
      <c r="D150" s="11">
        <f>'By Round'!C93</f>
        <v/>
      </c>
      <c r="E150" s="11">
        <f>'By Round'!D93</f>
        <v/>
      </c>
      <c r="F150" s="11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 s="12">
        <f>AVERAGE(AF150:AK150)</f>
        <v/>
      </c>
      <c r="M150" s="13">
        <f>AVERAGE(AL150:AQ150)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 s="11">
        <f>'By Round'!A171</f>
        <v/>
      </c>
      <c r="C151" s="11">
        <f>'By Round'!B183</f>
        <v/>
      </c>
      <c r="D151" s="11">
        <f>'By Round'!C183</f>
        <v/>
      </c>
      <c r="E151" s="11">
        <f>'By Round'!D183</f>
        <v/>
      </c>
      <c r="F151" s="11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 s="12">
        <f>AVERAGE(AF151:AK151)</f>
        <v/>
      </c>
      <c r="M151" s="13">
        <f>AVERAGE(AL151:AQ151)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 s="11">
        <f>'By Round'!A17</f>
        <v/>
      </c>
      <c r="C152" s="11">
        <f>'By Round'!B25</f>
        <v/>
      </c>
      <c r="D152" s="11">
        <f>'By Round'!C25</f>
        <v/>
      </c>
      <c r="E152" s="11">
        <f>'By Round'!D25</f>
        <v/>
      </c>
      <c r="F152" s="11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 s="12">
        <f>AVERAGE(AF152:AK152)</f>
        <v/>
      </c>
      <c r="M152" s="13">
        <f>AVERAGE(AL152:AQ152)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 s="11">
        <f>'By Round'!A3</f>
        <v/>
      </c>
      <c r="C153" s="11">
        <f>'By Round'!B13</f>
        <v/>
      </c>
      <c r="D153" s="11">
        <f>'By Round'!C13</f>
        <v/>
      </c>
      <c r="E153" s="11">
        <f>'By Round'!D13</f>
        <v/>
      </c>
      <c r="F153" s="11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 s="12">
        <f>AVERAGE(AF153:AK153)</f>
        <v/>
      </c>
      <c r="M153" s="13">
        <f>AVERAGE(AL153:AQ153)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 s="11">
        <f>'By Round'!A101</f>
        <v/>
      </c>
      <c r="C154" s="11">
        <f>'By Round'!B105</f>
        <v/>
      </c>
      <c r="D154" s="11">
        <f>'By Round'!C105</f>
        <v/>
      </c>
      <c r="E154" s="11">
        <f>'By Round'!D105</f>
        <v/>
      </c>
      <c r="F154" s="11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 s="12">
        <f>AVERAGE(AF154:AK154)</f>
        <v/>
      </c>
      <c r="M154" s="13">
        <f>AVERAGE(AL154:AQ154)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 s="11">
        <f>'By Round'!A115</f>
        <v/>
      </c>
      <c r="C155" s="11">
        <f>'By Round'!B117</f>
        <v/>
      </c>
      <c r="D155" s="11">
        <f>'By Round'!C117</f>
        <v/>
      </c>
      <c r="E155" s="11">
        <f>'By Round'!D117</f>
        <v/>
      </c>
      <c r="F155" s="11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 s="12">
        <f>AVERAGE(AF155:AK155)</f>
        <v/>
      </c>
      <c r="M155" s="13">
        <f>AVERAGE(AL155:AQ155)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7">
        <f>AVERAGE(AF156:AK156)</f>
        <v/>
      </c>
      <c r="M156" s="18">
        <f>AVERAGE(AL156:AQ156)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s="11" t="n">
        <v>23</v>
      </c>
      <c r="B157" s="11">
        <f>'By Round'!A129</f>
        <v/>
      </c>
      <c r="C157" s="11">
        <f>'By Round'!B131</f>
        <v/>
      </c>
      <c r="D157" s="11">
        <f>'By Round'!C131</f>
        <v/>
      </c>
      <c r="E157" s="11">
        <f>'By Round'!D131</f>
        <v/>
      </c>
      <c r="F157" s="11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 s="12">
        <f>AVERAGE(AF157:AK157)</f>
        <v/>
      </c>
      <c r="M157" s="13">
        <f>AVERAGE(AL157:AQ157)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 s="11">
        <f>'By Round'!A101</f>
        <v/>
      </c>
      <c r="C158" s="11">
        <f>'By Round'!B107</f>
        <v/>
      </c>
      <c r="D158" s="11">
        <f>'By Round'!C107</f>
        <v/>
      </c>
      <c r="E158" s="11">
        <f>'By Round'!D107</f>
        <v/>
      </c>
      <c r="F158" s="11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 s="12">
        <f>AVERAGE(AF158:AK158)</f>
        <v/>
      </c>
      <c r="M158" s="13">
        <f>AVERAGE(AL158:AQ158)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 s="11">
        <f>'By Round'!A3</f>
        <v/>
      </c>
      <c r="C159" s="11">
        <f>'By Round'!B15</f>
        <v/>
      </c>
      <c r="D159" s="11">
        <f>'By Round'!C15</f>
        <v/>
      </c>
      <c r="E159" s="11">
        <f>'By Round'!D15</f>
        <v/>
      </c>
      <c r="F159" s="11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 s="12">
        <f>AVERAGE(AF159:AK159)</f>
        <v/>
      </c>
      <c r="M159" s="13">
        <f>AVERAGE(AL159:AQ159)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 s="11">
        <f>'By Round'!A31</f>
        <v/>
      </c>
      <c r="C160" s="11">
        <f>'By Round'!B39</f>
        <v/>
      </c>
      <c r="D160" s="11">
        <f>'By Round'!C39</f>
        <v/>
      </c>
      <c r="E160" s="11">
        <f>'By Round'!D39</f>
        <v/>
      </c>
      <c r="F160" s="11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 s="12">
        <f>AVERAGE(AF160:AK160)</f>
        <v/>
      </c>
      <c r="M160" s="13">
        <f>AVERAGE(AL160:AQ160)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 s="11">
        <f>'By Round'!A17</f>
        <v/>
      </c>
      <c r="C161" s="11">
        <f>'By Round'!B27</f>
        <v/>
      </c>
      <c r="D161" s="11">
        <f>'By Round'!C27</f>
        <v/>
      </c>
      <c r="E161" s="11">
        <f>'By Round'!D27</f>
        <v/>
      </c>
      <c r="F161" s="11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 s="12">
        <f>AVERAGE(AF161:AK161)</f>
        <v/>
      </c>
      <c r="M161" s="13">
        <f>AVERAGE(AL161:AQ161)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 s="11">
        <f>'By Round'!A115</f>
        <v/>
      </c>
      <c r="C162" s="11">
        <f>'By Round'!B119</f>
        <v/>
      </c>
      <c r="D162" s="11">
        <f>'By Round'!C119</f>
        <v/>
      </c>
      <c r="E162" s="11">
        <f>'By Round'!D119</f>
        <v/>
      </c>
      <c r="F162" s="11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 s="12">
        <f>AVERAGE(AF162:AK162)</f>
        <v/>
      </c>
      <c r="M162" s="13">
        <f>AVERAGE(AL162:AQ162)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AVERAGE(AF163:AK163)</f>
        <v/>
      </c>
      <c r="M163" s="18">
        <f>AVERAGE(AL163:AQ163)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s="11" t="n">
        <v>24</v>
      </c>
      <c r="B164" s="11">
        <f>'By Round'!A129</f>
        <v/>
      </c>
      <c r="C164" s="11">
        <f>'By Round'!B131</f>
        <v/>
      </c>
      <c r="D164" s="11">
        <f>'By Round'!C131</f>
        <v/>
      </c>
      <c r="E164" s="11">
        <f>'By Round'!D131</f>
        <v/>
      </c>
      <c r="F164" s="11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 s="12">
        <f>AVERAGE(AF164:AK164)</f>
        <v/>
      </c>
      <c r="M164" s="13">
        <f>AVERAGE(AL164:AQ164)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 s="11">
        <f>'By Round'!A101</f>
        <v/>
      </c>
      <c r="C165" s="11">
        <f>'By Round'!B107</f>
        <v/>
      </c>
      <c r="D165" s="11">
        <f>'By Round'!C107</f>
        <v/>
      </c>
      <c r="E165" s="11">
        <f>'By Round'!D107</f>
        <v/>
      </c>
      <c r="F165" s="11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 s="12">
        <f>AVERAGE(AF165:AK165)</f>
        <v/>
      </c>
      <c r="M165" s="13">
        <f>AVERAGE(AL165:AQ165)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 s="11">
        <f>'By Round'!A3</f>
        <v/>
      </c>
      <c r="C166" s="11">
        <f>'By Round'!B15</f>
        <v/>
      </c>
      <c r="D166" s="11">
        <f>'By Round'!C15</f>
        <v/>
      </c>
      <c r="E166" s="11">
        <f>'By Round'!D15</f>
        <v/>
      </c>
      <c r="F166" s="11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 s="12">
        <f>AVERAGE(AF166:AK166)</f>
        <v/>
      </c>
      <c r="M166" s="13">
        <f>AVERAGE(AL166:AQ166)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 s="11">
        <f>'By Round'!A31</f>
        <v/>
      </c>
      <c r="C167" s="11">
        <f>'By Round'!B39</f>
        <v/>
      </c>
      <c r="D167" s="11">
        <f>'By Round'!C39</f>
        <v/>
      </c>
      <c r="E167" s="11">
        <f>'By Round'!D39</f>
        <v/>
      </c>
      <c r="F167" s="11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 s="12">
        <f>AVERAGE(AF167:AK167)</f>
        <v/>
      </c>
      <c r="M167" s="13">
        <f>AVERAGE(AL167:AQ167)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 s="11">
        <f>'By Round'!A17</f>
        <v/>
      </c>
      <c r="C168" s="11">
        <f>'By Round'!B27</f>
        <v/>
      </c>
      <c r="D168" s="11">
        <f>'By Round'!C27</f>
        <v/>
      </c>
      <c r="E168" s="11">
        <f>'By Round'!D27</f>
        <v/>
      </c>
      <c r="F168" s="11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 s="12">
        <f>AVERAGE(AF168:AK168)</f>
        <v/>
      </c>
      <c r="M168" s="13">
        <f>AVERAGE(AL168:AQ168)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 s="11">
        <f>'By Round'!A115</f>
        <v/>
      </c>
      <c r="C169" s="11">
        <f>'By Round'!B119</f>
        <v/>
      </c>
      <c r="D169" s="11">
        <f>'By Round'!C119</f>
        <v/>
      </c>
      <c r="E169" s="11">
        <f>'By Round'!D119</f>
        <v/>
      </c>
      <c r="F169" s="11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 s="12">
        <f>AVERAGE(AF169:AK169)</f>
        <v/>
      </c>
      <c r="M169" s="13">
        <f>AVERAGE(AL169:AQ169)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7">
        <f>AVERAGE(AF170:AK170)</f>
        <v/>
      </c>
      <c r="M170" s="18">
        <f>AVERAGE(AL170:AQ170)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s="11" t="n">
        <v>25</v>
      </c>
      <c r="B171" s="11">
        <f>'By Round'!A143</f>
        <v/>
      </c>
      <c r="C171" s="11">
        <f>'By Round'!B145</f>
        <v/>
      </c>
      <c r="D171" s="11">
        <f>'By Round'!C145</f>
        <v/>
      </c>
      <c r="E171" s="11">
        <f>'By Round'!D145</f>
        <v/>
      </c>
      <c r="F171" s="11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 s="12">
        <f>AVERAGE(AF171:AK171)</f>
        <v/>
      </c>
      <c r="M171" s="13">
        <f>AVERAGE(AL171:AQ171)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 s="11">
        <f>'By Round'!A115</f>
        <v/>
      </c>
      <c r="C172" s="11">
        <f>'By Round'!B121</f>
        <v/>
      </c>
      <c r="D172" s="11">
        <f>'By Round'!C121</f>
        <v/>
      </c>
      <c r="E172" s="11">
        <f>'By Round'!D121</f>
        <v/>
      </c>
      <c r="F172" s="11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 s="12">
        <f>AVERAGE(AF172:AK172)</f>
        <v/>
      </c>
      <c r="M172" s="13">
        <f>AVERAGE(AL172:AQ172)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 s="11">
        <f>'By Round'!A17</f>
        <v/>
      </c>
      <c r="C173" s="11">
        <f>'By Round'!B29</f>
        <v/>
      </c>
      <c r="D173" s="11">
        <f>'By Round'!C29</f>
        <v/>
      </c>
      <c r="E173" s="11">
        <f>'By Round'!D29</f>
        <v/>
      </c>
      <c r="F173" s="11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 s="12">
        <f>AVERAGE(AF173:AK173)</f>
        <v/>
      </c>
      <c r="M173" s="13">
        <f>AVERAGE(AL173:AQ173)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 s="11">
        <f>'By Round'!A45</f>
        <v/>
      </c>
      <c r="C174" s="11">
        <f>'By Round'!B53</f>
        <v/>
      </c>
      <c r="D174" s="11">
        <f>'By Round'!C53</f>
        <v/>
      </c>
      <c r="E174" s="11">
        <f>'By Round'!D53</f>
        <v/>
      </c>
      <c r="F174" s="11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 s="12">
        <f>AVERAGE(AF174:AK174)</f>
        <v/>
      </c>
      <c r="M174" s="13">
        <f>AVERAGE(AL174:AQ174)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 s="11">
        <f>'By Round'!A31</f>
        <v/>
      </c>
      <c r="C175" s="11">
        <f>'By Round'!B41</f>
        <v/>
      </c>
      <c r="D175" s="11">
        <f>'By Round'!C41</f>
        <v/>
      </c>
      <c r="E175" s="11">
        <f>'By Round'!D41</f>
        <v/>
      </c>
      <c r="F175" s="11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 s="12">
        <f>AVERAGE(AF175:AK175)</f>
        <v/>
      </c>
      <c r="M175" s="13">
        <f>AVERAGE(AL175:AQ175)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 s="11">
        <f>'By Round'!A129</f>
        <v/>
      </c>
      <c r="C176" s="11">
        <f>'By Round'!B133</f>
        <v/>
      </c>
      <c r="D176" s="11">
        <f>'By Round'!C133</f>
        <v/>
      </c>
      <c r="E176" s="11">
        <f>'By Round'!D133</f>
        <v/>
      </c>
      <c r="F176" s="11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 s="12">
        <f>AVERAGE(AF176:AK176)</f>
        <v/>
      </c>
      <c r="M176" s="13">
        <f>AVERAGE(AL176:AQ176)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AVERAGE(AF177:AK177)</f>
        <v/>
      </c>
      <c r="M177" s="18">
        <f>AVERAGE(AL177:AQ177)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s="11" t="n">
        <v>26</v>
      </c>
      <c r="B178" s="11">
        <f>'By Round'!A143</f>
        <v/>
      </c>
      <c r="C178" s="11">
        <f>'By Round'!B145</f>
        <v/>
      </c>
      <c r="D178" s="11">
        <f>'By Round'!C145</f>
        <v/>
      </c>
      <c r="E178" s="11">
        <f>'By Round'!D145</f>
        <v/>
      </c>
      <c r="F178" s="11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 s="12">
        <f>AVERAGE(AF178:AK178)</f>
        <v/>
      </c>
      <c r="M178" s="13">
        <f>AVERAGE(AL178:AQ178)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 s="11">
        <f>'By Round'!A115</f>
        <v/>
      </c>
      <c r="C179" s="11">
        <f>'By Round'!B121</f>
        <v/>
      </c>
      <c r="D179" s="11">
        <f>'By Round'!C121</f>
        <v/>
      </c>
      <c r="E179" s="11">
        <f>'By Round'!D121</f>
        <v/>
      </c>
      <c r="F179" s="11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 s="12">
        <f>AVERAGE(AF179:AK179)</f>
        <v/>
      </c>
      <c r="M179" s="13">
        <f>AVERAGE(AL179:AQ179)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 s="11">
        <f>'By Round'!A17</f>
        <v/>
      </c>
      <c r="C180" s="11">
        <f>'By Round'!B29</f>
        <v/>
      </c>
      <c r="D180" s="11">
        <f>'By Round'!C29</f>
        <v/>
      </c>
      <c r="E180" s="11">
        <f>'By Round'!D29</f>
        <v/>
      </c>
      <c r="F180" s="11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 s="12">
        <f>AVERAGE(AF180:AK180)</f>
        <v/>
      </c>
      <c r="M180" s="13">
        <f>AVERAGE(AL180:AQ180)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 s="11">
        <f>'By Round'!A45</f>
        <v/>
      </c>
      <c r="C181" s="11">
        <f>'By Round'!B53</f>
        <v/>
      </c>
      <c r="D181" s="11">
        <f>'By Round'!C53</f>
        <v/>
      </c>
      <c r="E181" s="11">
        <f>'By Round'!D53</f>
        <v/>
      </c>
      <c r="F181" s="11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 s="12">
        <f>AVERAGE(AF181:AK181)</f>
        <v/>
      </c>
      <c r="M181" s="13">
        <f>AVERAGE(AL181:AQ181)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 s="11">
        <f>'By Round'!A31</f>
        <v/>
      </c>
      <c r="C182" s="11">
        <f>'By Round'!B41</f>
        <v/>
      </c>
      <c r="D182" s="11">
        <f>'By Round'!C41</f>
        <v/>
      </c>
      <c r="E182" s="11">
        <f>'By Round'!D41</f>
        <v/>
      </c>
      <c r="F182" s="11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 s="12">
        <f>AVERAGE(AF182:AK182)</f>
        <v/>
      </c>
      <c r="M182" s="13">
        <f>AVERAGE(AL182:AQ182)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 s="11">
        <f>'By Round'!A129</f>
        <v/>
      </c>
      <c r="C183" s="11">
        <f>'By Round'!B133</f>
        <v/>
      </c>
      <c r="D183" s="11">
        <f>'By Round'!C133</f>
        <v/>
      </c>
      <c r="E183" s="11">
        <f>'By Round'!D133</f>
        <v/>
      </c>
      <c r="F183" s="11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 s="12">
        <f>AVERAGE(AF183:AK183)</f>
        <v/>
      </c>
      <c r="M183" s="13">
        <f>AVERAGE(AL183:AQ183)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7">
        <f>AVERAGE(AF184:AK184)</f>
        <v/>
      </c>
      <c r="M184" s="18">
        <f>AVERAGE(AL184:AQ184)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2026-02-12T07:17:20Z</dcterms:created>
  <dcterms:modified xsi:type="dcterms:W3CDTF">2026-02-12T07:17:20Z</dcterms:modified>
</cp:coreProperties>
</file>