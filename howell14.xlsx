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24</t>
        </is>
      </c>
      <c r="C2" t="inlineStr">
        <is>
          <t>Name 49</t>
        </is>
      </c>
      <c r="D2" s="4">
        <f>SUMIF('By Board'!$D$3:$D$184,"=1",'By Board'!$L$3:$L$184)+SUMIF('By Board'!$E$3:$E$184,"=1",'By Board'!$M$3:$M$184)</f>
        <v/>
      </c>
      <c r="E2" s="5">
        <f>SUMIF('By Board'!$D$3:$D$184,"=1",'By Board'!$N$3:$N$184)/26+SUMIF('By Board'!$E$3:$E$184,"=1",'By Board'!$O$3:$O$184)/26</f>
        <v/>
      </c>
    </row>
    <row r="3">
      <c r="A3" t="n">
        <v>2</v>
      </c>
      <c r="B3" t="inlineStr">
        <is>
          <t>Name 90</t>
        </is>
      </c>
      <c r="C3" t="inlineStr">
        <is>
          <t>Name 58</t>
        </is>
      </c>
      <c r="D3" s="4">
        <f>SUMIF('By Board'!$D$3:$D$184,"=2",'By Board'!$L$3:$L$184)+SUMIF('By Board'!$E$3:$E$184,"=2",'By Board'!$M$3:$M$184)</f>
        <v/>
      </c>
      <c r="E3" s="5">
        <f>SUMIF('By Board'!$D$3:$D$184,"=2",'By Board'!$N$3:$N$184)/26+SUMIF('By Board'!$E$3:$E$184,"=2",'By Board'!$O$3:$O$184)/26</f>
        <v/>
      </c>
    </row>
    <row r="4">
      <c r="A4" t="n">
        <v>3</v>
      </c>
      <c r="B4" t="inlineStr">
        <is>
          <t>Name 71</t>
        </is>
      </c>
      <c r="C4" t="inlineStr">
        <is>
          <t>Name 15</t>
        </is>
      </c>
      <c r="D4" s="4">
        <f>SUMIF('By Board'!$D$3:$D$184,"=3",'By Board'!$L$3:$L$184)+SUMIF('By Board'!$E$3:$E$184,"=3",'By Board'!$M$3:$M$184)</f>
        <v/>
      </c>
      <c r="E4" s="5">
        <f>SUMIF('By Board'!$D$3:$D$184,"=3",'By Board'!$N$3:$N$184)/26+SUMIF('By Board'!$E$3:$E$184,"=3",'By Board'!$O$3:$O$184)/26</f>
        <v/>
      </c>
    </row>
    <row r="5">
      <c r="A5" t="n">
        <v>4</v>
      </c>
      <c r="B5" t="inlineStr">
        <is>
          <t>Name 12</t>
        </is>
      </c>
      <c r="C5" t="inlineStr">
        <is>
          <t>Name 21</t>
        </is>
      </c>
      <c r="D5" s="4">
        <f>SUMIF('By Board'!$D$3:$D$184,"=4",'By Board'!$L$3:$L$184)+SUMIF('By Board'!$E$3:$E$184,"=4",'By Board'!$M$3:$M$184)</f>
        <v/>
      </c>
      <c r="E5" s="5">
        <f>SUMIF('By Board'!$D$3:$D$184,"=4",'By Board'!$N$3:$N$184)/26+SUMIF('By Board'!$E$3:$E$184,"=4",'By Board'!$O$3:$O$184)/26</f>
        <v/>
      </c>
    </row>
    <row r="6">
      <c r="A6" t="n">
        <v>5</v>
      </c>
      <c r="B6" t="inlineStr">
        <is>
          <t>Name 20</t>
        </is>
      </c>
      <c r="C6" t="inlineStr">
        <is>
          <t>Name 24</t>
        </is>
      </c>
      <c r="D6" s="4">
        <f>SUMIF('By Board'!$D$3:$D$184,"=5",'By Board'!$L$3:$L$184)+SUMIF('By Board'!$E$3:$E$184,"=5",'By Board'!$M$3:$M$184)</f>
        <v/>
      </c>
      <c r="E6" s="5">
        <f>SUMIF('By Board'!$D$3:$D$184,"=5",'By Board'!$N$3:$N$184)/26+SUMIF('By Board'!$E$3:$E$184,"=5",'By Board'!$O$3:$O$184)/26</f>
        <v/>
      </c>
    </row>
    <row r="7">
      <c r="A7" t="n">
        <v>6</v>
      </c>
      <c r="B7" t="inlineStr">
        <is>
          <t>Name 28</t>
        </is>
      </c>
      <c r="C7" t="inlineStr">
        <is>
          <t>Name 74</t>
        </is>
      </c>
      <c r="D7" s="4">
        <f>SUMIF('By Board'!$D$3:$D$184,"=6",'By Board'!$L$3:$L$184)+SUMIF('By Board'!$E$3:$E$184,"=6",'By Board'!$M$3:$M$184)</f>
        <v/>
      </c>
      <c r="E7" s="5">
        <f>SUMIF('By Board'!$D$3:$D$184,"=6",'By Board'!$N$3:$N$184)/26+SUMIF('By Board'!$E$3:$E$184,"=6",'By Board'!$O$3:$O$184)/26</f>
        <v/>
      </c>
    </row>
    <row r="8">
      <c r="A8" t="n">
        <v>7</v>
      </c>
      <c r="B8" t="inlineStr">
        <is>
          <t>Name 86</t>
        </is>
      </c>
      <c r="C8" t="inlineStr">
        <is>
          <t>Name 41</t>
        </is>
      </c>
      <c r="D8" s="4">
        <f>SUMIF('By Board'!$D$3:$D$184,"=7",'By Board'!$L$3:$L$184)+SUMIF('By Board'!$E$3:$E$184,"=7",'By Board'!$M$3:$M$184)</f>
        <v/>
      </c>
      <c r="E8" s="5">
        <f>SUMIF('By Board'!$D$3:$D$184,"=7",'By Board'!$N$3:$N$184)/26+SUMIF('By Board'!$E$3:$E$184,"=7",'By Board'!$O$3:$O$184)/26</f>
        <v/>
      </c>
    </row>
    <row r="9">
      <c r="A9" t="n">
        <v>8</v>
      </c>
      <c r="B9" t="inlineStr">
        <is>
          <t>Name 65</t>
        </is>
      </c>
      <c r="C9" t="inlineStr">
        <is>
          <t>Name 58</t>
        </is>
      </c>
      <c r="D9" s="4">
        <f>SUMIF('By Board'!$D$3:$D$184,"=8",'By Board'!$L$3:$L$184)+SUMIF('By Board'!$E$3:$E$184,"=8",'By Board'!$M$3:$M$184)</f>
        <v/>
      </c>
      <c r="E9" s="5">
        <f>SUMIF('By Board'!$D$3:$D$184,"=8",'By Board'!$N$3:$N$184)/26+SUMIF('By Board'!$E$3:$E$184,"=8",'By Board'!$O$3:$O$184)/26</f>
        <v/>
      </c>
    </row>
    <row r="10">
      <c r="A10" t="n">
        <v>9</v>
      </c>
      <c r="B10" t="inlineStr">
        <is>
          <t>Name 61</t>
        </is>
      </c>
      <c r="C10" t="inlineStr">
        <is>
          <t>Name 54</t>
        </is>
      </c>
      <c r="D10" s="4">
        <f>SUMIF('By Board'!$D$3:$D$184,"=9",'By Board'!$L$3:$L$184)+SUMIF('By Board'!$E$3:$E$184,"=9",'By Board'!$M$3:$M$184)</f>
        <v/>
      </c>
      <c r="E10" s="5">
        <f>SUMIF('By Board'!$D$3:$D$184,"=9",'By Board'!$N$3:$N$184)/26+SUMIF('By Board'!$E$3:$E$184,"=9",'By Board'!$O$3:$O$184)/26</f>
        <v/>
      </c>
    </row>
    <row r="11">
      <c r="A11" t="n">
        <v>10</v>
      </c>
      <c r="B11" t="inlineStr">
        <is>
          <t>Name 78</t>
        </is>
      </c>
      <c r="C11" t="inlineStr">
        <is>
          <t>Name 53</t>
        </is>
      </c>
      <c r="D11" s="4">
        <f>SUMIF('By Board'!$D$3:$D$184,"=10",'By Board'!$L$3:$L$184)+SUMIF('By Board'!$E$3:$E$184,"=10",'By Board'!$M$3:$M$184)</f>
        <v/>
      </c>
      <c r="E11" s="5">
        <f>SUMIF('By Board'!$D$3:$D$184,"=10",'By Board'!$N$3:$N$184)/26+SUMIF('By Board'!$E$3:$E$184,"=10",'By Board'!$O$3:$O$184)/26</f>
        <v/>
      </c>
    </row>
    <row r="12">
      <c r="A12" t="n">
        <v>11</v>
      </c>
      <c r="B12" t="inlineStr">
        <is>
          <t>Name 31</t>
        </is>
      </c>
      <c r="C12" t="inlineStr">
        <is>
          <t>Name 40</t>
        </is>
      </c>
      <c r="D12" s="4">
        <f>SUMIF('By Board'!$D$3:$D$184,"=11",'By Board'!$L$3:$L$184)+SUMIF('By Board'!$E$3:$E$184,"=11",'By Board'!$M$3:$M$184)</f>
        <v/>
      </c>
      <c r="E12" s="5">
        <f>SUMIF('By Board'!$D$3:$D$184,"=11",'By Board'!$N$3:$N$184)/26+SUMIF('By Board'!$E$3:$E$184,"=11",'By Board'!$O$3:$O$184)/26</f>
        <v/>
      </c>
    </row>
    <row r="13">
      <c r="A13" t="n">
        <v>12</v>
      </c>
      <c r="B13" t="inlineStr">
        <is>
          <t>Name 56</t>
        </is>
      </c>
      <c r="C13" t="inlineStr">
        <is>
          <t>Name 48</t>
        </is>
      </c>
      <c r="D13" s="4">
        <f>SUMIF('By Board'!$D$3:$D$184,"=12",'By Board'!$L$3:$L$184)+SUMIF('By Board'!$E$3:$E$184,"=12",'By Board'!$M$3:$M$184)</f>
        <v/>
      </c>
      <c r="E13" s="5">
        <f>SUMIF('By Board'!$D$3:$D$184,"=12",'By Board'!$N$3:$N$184)/26+SUMIF('By Board'!$E$3:$E$184,"=12",'By Board'!$O$3:$O$184)/26</f>
        <v/>
      </c>
    </row>
    <row r="14">
      <c r="A14" t="n">
        <v>13</v>
      </c>
      <c r="B14" t="inlineStr">
        <is>
          <t>Name 82</t>
        </is>
      </c>
      <c r="C14" t="inlineStr">
        <is>
          <t>Name 72</t>
        </is>
      </c>
      <c r="D14" s="4">
        <f>SUMIF('By Board'!$D$3:$D$184,"=13",'By Board'!$L$3:$L$184)+SUMIF('By Board'!$E$3:$E$184,"=13",'By Board'!$M$3:$M$184)</f>
        <v/>
      </c>
      <c r="E14" s="5">
        <f>SUMIF('By Board'!$D$3:$D$184,"=13",'By Board'!$N$3:$N$184)/26+SUMIF('By Board'!$E$3:$E$184,"=13",'By Board'!$O$3:$O$184)/26</f>
        <v/>
      </c>
    </row>
    <row r="15">
      <c r="A15" t="n">
        <v>14</v>
      </c>
      <c r="B15" t="inlineStr">
        <is>
          <t>Name 90</t>
        </is>
      </c>
      <c r="C15" t="inlineStr">
        <is>
          <t>Name 39</t>
        </is>
      </c>
      <c r="D15" s="4">
        <f>SUMIF('By Board'!$D$3:$D$184,"=14",'By Board'!$L$3:$L$184)+0</f>
        <v/>
      </c>
      <c r="E15" s="5">
        <f>SUMIF('By Board'!$D$3:$D$184,"=14",'By Board'!$N$3:$N$184)/26+0/26</f>
        <v/>
      </c>
    </row>
    <row r="16">
      <c r="D16" s="6">
        <f>SUM(D2:D15)</f>
        <v/>
      </c>
      <c r="E16" s="7">
        <f>AVERAGE(E2:E15)</f>
        <v/>
      </c>
    </row>
    <row r="18">
      <c r="A18" t="inlineStr">
        <is>
          <t>Array Formula below, remove single quote</t>
        </is>
      </c>
    </row>
    <row r="19">
      <c r="A19" s="3" t="inlineStr">
        <is>
          <t>IMP Ranking</t>
        </is>
      </c>
    </row>
    <row r="20">
      <c r="A20" t="inlineStr">
        <is>
          <t>'=SORT(A2:E15,4,-1)</t>
        </is>
      </c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8">
      <c r="A38" s="3" t="inlineStr">
        <is>
          <t>MP Ranking</t>
        </is>
      </c>
    </row>
    <row r="39">
      <c r="A39" t="inlineStr">
        <is>
          <t>'=SORT(A2:E15,5,-1)</t>
        </is>
      </c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  <row r="47">
      <c r="D47" s="4" t="n"/>
      <c r="E47" s="8" t="n"/>
    </row>
    <row r="48">
      <c r="D48" s="4" t="n"/>
      <c r="E48" s="8" t="n"/>
    </row>
    <row r="49">
      <c r="D49" s="4" t="n"/>
      <c r="E49" s="8" t="n"/>
    </row>
    <row r="50">
      <c r="D50" s="4" t="n"/>
      <c r="E50" s="8" t="n"/>
    </row>
    <row r="51">
      <c r="D51" s="4" t="n"/>
      <c r="E51" s="8" t="n"/>
    </row>
    <row r="52">
      <c r="D52" s="4" t="n"/>
      <c r="E52" s="8" t="n"/>
    </row>
  </sheetData>
  <mergeCells count="2">
    <mergeCell ref="A38:E38"/>
    <mergeCell ref="A19:E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Z2" s="3" t="inlineStr">
        <is>
          <t>EW MP Scores</t>
        </is>
      </c>
      <c r="AF2" s="10" t="inlineStr">
        <is>
          <t>NS IMP Pair-wise</t>
        </is>
      </c>
      <c r="AL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4">
        <f>SUM(T3:Y3)</f>
        <v/>
      </c>
      <c r="Q3" s="4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4">
        <f>SUM(T4:Y4)</f>
        <v/>
      </c>
      <c r="Q4" s="4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4">
        <f>SUM(T5:Y5)</f>
        <v/>
      </c>
      <c r="Q5" s="4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4">
        <f>SUM(T6:Y6)</f>
        <v/>
      </c>
      <c r="Q6" s="4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4">
        <f>SUM(T7:Y7)</f>
        <v/>
      </c>
      <c r="Q7" s="4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4">
        <f>SUM(T8:Y8)</f>
        <v/>
      </c>
      <c r="Q8" s="4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4">
        <f>SUM(T10:Y10)</f>
        <v/>
      </c>
      <c r="Q10" s="4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4">
        <f>SUM(T11:Y11)</f>
        <v/>
      </c>
      <c r="Q11" s="4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4">
        <f>SUM(T12:Y12)</f>
        <v/>
      </c>
      <c r="Q12" s="4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4">
        <f>SUM(T13:Y13)</f>
        <v/>
      </c>
      <c r="Q13" s="4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4">
        <f>SUM(T14:Y14)</f>
        <v/>
      </c>
      <c r="Q14" s="4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4">
        <f>SUM(T15:Y15)</f>
        <v/>
      </c>
      <c r="Q15" s="4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4">
        <f>SUM(T17:Y17)</f>
        <v/>
      </c>
      <c r="Q17" s="4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4">
        <f>SUM(T18:Y18)</f>
        <v/>
      </c>
      <c r="Q18" s="4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4">
        <f>SUM(T19:Y19)</f>
        <v/>
      </c>
      <c r="Q19" s="4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4">
        <f>SUM(T20:Y20)</f>
        <v/>
      </c>
      <c r="Q20" s="4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4">
        <f>SUM(T21:Y21)</f>
        <v/>
      </c>
      <c r="Q21" s="4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4">
        <f>SUM(T22:Y22)</f>
        <v/>
      </c>
      <c r="Q22" s="4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4">
        <f>SUM(T24:Y24)</f>
        <v/>
      </c>
      <c r="Q24" s="4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4">
        <f>SUM(T25:Y25)</f>
        <v/>
      </c>
      <c r="Q25" s="4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4">
        <f>SUM(T26:Y26)</f>
        <v/>
      </c>
      <c r="Q26" s="4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4">
        <f>SUM(T27:Y27)</f>
        <v/>
      </c>
      <c r="Q27" s="4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4">
        <f>SUM(T28:Y28)</f>
        <v/>
      </c>
      <c r="Q28" s="4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4">
        <f>SUM(T29:Y29)</f>
        <v/>
      </c>
      <c r="Q29" s="4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4">
        <f>SUM(T31:Y31)</f>
        <v/>
      </c>
      <c r="Q31" s="4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4">
        <f>SUM(T32:Y32)</f>
        <v/>
      </c>
      <c r="Q32" s="4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4">
        <f>SUM(T33:Y33)</f>
        <v/>
      </c>
      <c r="Q33" s="4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4">
        <f>SUM(T34:Y34)</f>
        <v/>
      </c>
      <c r="Q34" s="4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4">
        <f>SUM(T35:Y35)</f>
        <v/>
      </c>
      <c r="Q35" s="4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4">
        <f>SUM(T36:Y36)</f>
        <v/>
      </c>
      <c r="Q36" s="4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4">
        <f>SUM(T38:Y38)</f>
        <v/>
      </c>
      <c r="Q38" s="4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4">
        <f>SUM(T39:Y39)</f>
        <v/>
      </c>
      <c r="Q39" s="4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4">
        <f>SUM(T40:Y40)</f>
        <v/>
      </c>
      <c r="Q40" s="4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4">
        <f>SUM(T41:Y41)</f>
        <v/>
      </c>
      <c r="Q41" s="4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4">
        <f>SUM(T42:Y42)</f>
        <v/>
      </c>
      <c r="Q42" s="4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4">
        <f>SUM(T43:Y43)</f>
        <v/>
      </c>
      <c r="Q43" s="4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4">
        <f>SUM(T45:Y45)</f>
        <v/>
      </c>
      <c r="Q45" s="4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4">
        <f>SUM(T46:Y46)</f>
        <v/>
      </c>
      <c r="Q46" s="4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4">
        <f>SUM(T47:Y47)</f>
        <v/>
      </c>
      <c r="Q47" s="4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4">
        <f>SUM(T48:Y48)</f>
        <v/>
      </c>
      <c r="Q48" s="4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4">
        <f>SUM(T49:Y49)</f>
        <v/>
      </c>
      <c r="Q49" s="4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4">
        <f>SUM(T50:Y50)</f>
        <v/>
      </c>
      <c r="Q50" s="4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4">
        <f>SUM(T52:Y52)</f>
        <v/>
      </c>
      <c r="Q52" s="4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4">
        <f>SUM(T53:Y53)</f>
        <v/>
      </c>
      <c r="Q53" s="4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4">
        <f>SUM(T54:Y54)</f>
        <v/>
      </c>
      <c r="Q54" s="4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4">
        <f>SUM(T55:Y55)</f>
        <v/>
      </c>
      <c r="Q55" s="4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4">
        <f>SUM(T56:Y56)</f>
        <v/>
      </c>
      <c r="Q56" s="4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4">
        <f>SUM(T57:Y57)</f>
        <v/>
      </c>
      <c r="Q57" s="4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4">
        <f>SUM(T59:Y59)</f>
        <v/>
      </c>
      <c r="Q59" s="4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4">
        <f>SUM(T60:Y60)</f>
        <v/>
      </c>
      <c r="Q60" s="4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4">
        <f>SUM(T61:Y61)</f>
        <v/>
      </c>
      <c r="Q61" s="4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4">
        <f>SUM(T62:Y62)</f>
        <v/>
      </c>
      <c r="Q62" s="4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4">
        <f>SUM(T63:Y63)</f>
        <v/>
      </c>
      <c r="Q63" s="4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4">
        <f>SUM(T64:Y64)</f>
        <v/>
      </c>
      <c r="Q64" s="4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4">
        <f>SUM(T66:Y66)</f>
        <v/>
      </c>
      <c r="Q66" s="4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4">
        <f>SUM(T67:Y67)</f>
        <v/>
      </c>
      <c r="Q67" s="4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4">
        <f>SUM(T68:Y68)</f>
        <v/>
      </c>
      <c r="Q68" s="4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4">
        <f>SUM(T69:Y69)</f>
        <v/>
      </c>
      <c r="Q69" s="4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4">
        <f>SUM(T70:Y70)</f>
        <v/>
      </c>
      <c r="Q70" s="4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4">
        <f>SUM(T71:Y71)</f>
        <v/>
      </c>
      <c r="Q71" s="4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4">
        <f>SUM(T73:Y73)</f>
        <v/>
      </c>
      <c r="Q73" s="4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4">
        <f>SUM(T74:Y74)</f>
        <v/>
      </c>
      <c r="Q74" s="4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4">
        <f>SUM(T75:Y75)</f>
        <v/>
      </c>
      <c r="Q75" s="4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4">
        <f>SUM(T76:Y76)</f>
        <v/>
      </c>
      <c r="Q76" s="4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4">
        <f>SUM(T77:Y77)</f>
        <v/>
      </c>
      <c r="Q77" s="4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4">
        <f>SUM(T78:Y78)</f>
        <v/>
      </c>
      <c r="Q78" s="4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4">
        <f>SUM(T80:Y80)</f>
        <v/>
      </c>
      <c r="Q80" s="4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4">
        <f>SUM(T81:Y81)</f>
        <v/>
      </c>
      <c r="Q81" s="4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4">
        <f>SUM(T82:Y82)</f>
        <v/>
      </c>
      <c r="Q82" s="4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4">
        <f>SUM(T83:Y83)</f>
        <v/>
      </c>
      <c r="Q83" s="4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4">
        <f>SUM(T84:Y84)</f>
        <v/>
      </c>
      <c r="Q84" s="4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4">
        <f>SUM(T85:Y85)</f>
        <v/>
      </c>
      <c r="Q85" s="4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4">
        <f>SUM(T87:Y87)</f>
        <v/>
      </c>
      <c r="Q87" s="4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4">
        <f>SUM(T88:Y88)</f>
        <v/>
      </c>
      <c r="Q88" s="4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4">
        <f>SUM(T89:Y89)</f>
        <v/>
      </c>
      <c r="Q89" s="4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4">
        <f>SUM(T90:Y90)</f>
        <v/>
      </c>
      <c r="Q90" s="4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4">
        <f>SUM(T91:Y91)</f>
        <v/>
      </c>
      <c r="Q91" s="4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4">
        <f>SUM(T92:Y92)</f>
        <v/>
      </c>
      <c r="Q92" s="4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4">
        <f>SUM(T94:Y94)</f>
        <v/>
      </c>
      <c r="Q94" s="4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4">
        <f>SUM(T95:Y95)</f>
        <v/>
      </c>
      <c r="Q95" s="4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4">
        <f>SUM(T96:Y96)</f>
        <v/>
      </c>
      <c r="Q96" s="4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4">
        <f>SUM(T97:Y97)</f>
        <v/>
      </c>
      <c r="Q97" s="4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4">
        <f>SUM(T98:Y98)</f>
        <v/>
      </c>
      <c r="Q98" s="4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4">
        <f>SUM(T99:Y99)</f>
        <v/>
      </c>
      <c r="Q99" s="4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4">
        <f>SUM(T101:Y101)</f>
        <v/>
      </c>
      <c r="Q101" s="4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4">
        <f>SUM(T102:Y102)</f>
        <v/>
      </c>
      <c r="Q102" s="4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4">
        <f>SUM(T103:Y103)</f>
        <v/>
      </c>
      <c r="Q103" s="4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4">
        <f>SUM(T104:Y104)</f>
        <v/>
      </c>
      <c r="Q104" s="4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4">
        <f>SUM(T105:Y105)</f>
        <v/>
      </c>
      <c r="Q105" s="4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4">
        <f>SUM(T106:Y106)</f>
        <v/>
      </c>
      <c r="Q106" s="4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4">
        <f>SUM(T108:Y108)</f>
        <v/>
      </c>
      <c r="Q108" s="4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4">
        <f>SUM(T109:Y109)</f>
        <v/>
      </c>
      <c r="Q109" s="4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4">
        <f>SUM(T110:Y110)</f>
        <v/>
      </c>
      <c r="Q110" s="4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4">
        <f>SUM(T111:Y111)</f>
        <v/>
      </c>
      <c r="Q111" s="4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4">
        <f>SUM(T112:Y112)</f>
        <v/>
      </c>
      <c r="Q112" s="4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4">
        <f>SUM(T113:Y113)</f>
        <v/>
      </c>
      <c r="Q113" s="4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4">
        <f>SUM(T115:Y115)</f>
        <v/>
      </c>
      <c r="Q115" s="4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4">
        <f>SUM(T116:Y116)</f>
        <v/>
      </c>
      <c r="Q116" s="4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4">
        <f>SUM(T117:Y117)</f>
        <v/>
      </c>
      <c r="Q117" s="4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4">
        <f>SUM(T118:Y118)</f>
        <v/>
      </c>
      <c r="Q118" s="4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4">
        <f>SUM(T119:Y119)</f>
        <v/>
      </c>
      <c r="Q119" s="4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4">
        <f>SUM(T120:Y120)</f>
        <v/>
      </c>
      <c r="Q120" s="4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4">
        <f>SUM(T122:Y122)</f>
        <v/>
      </c>
      <c r="Q122" s="4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4">
        <f>SUM(T123:Y123)</f>
        <v/>
      </c>
      <c r="Q123" s="4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4">
        <f>SUM(T124:Y124)</f>
        <v/>
      </c>
      <c r="Q124" s="4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4">
        <f>SUM(T125:Y125)</f>
        <v/>
      </c>
      <c r="Q125" s="4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4">
        <f>SUM(T126:Y126)</f>
        <v/>
      </c>
      <c r="Q126" s="4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4">
        <f>SUM(T127:Y127)</f>
        <v/>
      </c>
      <c r="Q127" s="4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4">
        <f>SUM(T129:Y129)</f>
        <v/>
      </c>
      <c r="Q129" s="4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4">
        <f>SUM(T130:Y130)</f>
        <v/>
      </c>
      <c r="Q130" s="4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4">
        <f>SUM(T131:Y131)</f>
        <v/>
      </c>
      <c r="Q131" s="4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4">
        <f>SUM(T132:Y132)</f>
        <v/>
      </c>
      <c r="Q132" s="4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4">
        <f>SUM(T133:Y133)</f>
        <v/>
      </c>
      <c r="Q133" s="4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4">
        <f>SUM(T134:Y134)</f>
        <v/>
      </c>
      <c r="Q134" s="4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4">
        <f>SUM(T136:Y136)</f>
        <v/>
      </c>
      <c r="Q136" s="4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4">
        <f>SUM(T137:Y137)</f>
        <v/>
      </c>
      <c r="Q137" s="4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4">
        <f>SUM(T138:Y138)</f>
        <v/>
      </c>
      <c r="Q138" s="4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4">
        <f>SUM(T139:Y139)</f>
        <v/>
      </c>
      <c r="Q139" s="4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4">
        <f>SUM(T140:Y140)</f>
        <v/>
      </c>
      <c r="Q140" s="4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4">
        <f>SUM(T141:Y141)</f>
        <v/>
      </c>
      <c r="Q141" s="4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4">
        <f>SUM(T143:Y143)</f>
        <v/>
      </c>
      <c r="Q143" s="4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4">
        <f>SUM(T144:Y144)</f>
        <v/>
      </c>
      <c r="Q144" s="4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4">
        <f>SUM(T145:Y145)</f>
        <v/>
      </c>
      <c r="Q145" s="4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4">
        <f>SUM(T146:Y146)</f>
        <v/>
      </c>
      <c r="Q146" s="4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4">
        <f>SUM(T147:Y147)</f>
        <v/>
      </c>
      <c r="Q147" s="4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4">
        <f>SUM(T148:Y148)</f>
        <v/>
      </c>
      <c r="Q148" s="4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4">
        <f>SUM(T150:Y150)</f>
        <v/>
      </c>
      <c r="Q150" s="4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4">
        <f>SUM(T151:Y151)</f>
        <v/>
      </c>
      <c r="Q151" s="4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4">
        <f>SUM(T152:Y152)</f>
        <v/>
      </c>
      <c r="Q152" s="4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4">
        <f>SUM(T153:Y153)</f>
        <v/>
      </c>
      <c r="Q153" s="4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4">
        <f>SUM(T154:Y154)</f>
        <v/>
      </c>
      <c r="Q154" s="4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4">
        <f>SUM(T155:Y155)</f>
        <v/>
      </c>
      <c r="Q155" s="4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4">
        <f>SUM(T157:Y157)</f>
        <v/>
      </c>
      <c r="Q157" s="4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4">
        <f>SUM(T158:Y158)</f>
        <v/>
      </c>
      <c r="Q158" s="4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4">
        <f>SUM(T159:Y159)</f>
        <v/>
      </c>
      <c r="Q159" s="4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4">
        <f>SUM(T160:Y160)</f>
        <v/>
      </c>
      <c r="Q160" s="4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4">
        <f>SUM(T161:Y161)</f>
        <v/>
      </c>
      <c r="Q161" s="4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4">
        <f>SUM(T162:Y162)</f>
        <v/>
      </c>
      <c r="Q162" s="4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4">
        <f>SUM(T164:Y164)</f>
        <v/>
      </c>
      <c r="Q164" s="4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4">
        <f>SUM(T165:Y165)</f>
        <v/>
      </c>
      <c r="Q165" s="4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4">
        <f>SUM(T166:Y166)</f>
        <v/>
      </c>
      <c r="Q166" s="4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4">
        <f>SUM(T167:Y167)</f>
        <v/>
      </c>
      <c r="Q167" s="4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4">
        <f>SUM(T168:Y168)</f>
        <v/>
      </c>
      <c r="Q168" s="4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4">
        <f>SUM(T169:Y169)</f>
        <v/>
      </c>
      <c r="Q169" s="4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4">
        <f>SUM(T171:Y171)</f>
        <v/>
      </c>
      <c r="Q171" s="4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4">
        <f>SUM(T172:Y172)</f>
        <v/>
      </c>
      <c r="Q172" s="4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4">
        <f>SUM(T173:Y173)</f>
        <v/>
      </c>
      <c r="Q173" s="4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4">
        <f>SUM(T174:Y174)</f>
        <v/>
      </c>
      <c r="Q174" s="4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4">
        <f>SUM(T175:Y175)</f>
        <v/>
      </c>
      <c r="Q175" s="4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4">
        <f>SUM(T176:Y176)</f>
        <v/>
      </c>
      <c r="Q176" s="4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4">
        <f>SUM(T178:Y178)</f>
        <v/>
      </c>
      <c r="Q178" s="4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4">
        <f>SUM(T179:Y179)</f>
        <v/>
      </c>
      <c r="Q179" s="4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4">
        <f>SUM(T180:Y180)</f>
        <v/>
      </c>
      <c r="Q180" s="4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4">
        <f>SUM(T181:Y181)</f>
        <v/>
      </c>
      <c r="Q181" s="4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4">
        <f>SUM(T182:Y182)</f>
        <v/>
      </c>
      <c r="Q182" s="4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4">
        <f>SUM(T183:Y183)</f>
        <v/>
      </c>
      <c r="Q183" s="4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  <row r="15">
      <c r="A15" s="23" t="n">
        <v>12</v>
      </c>
      <c r="B15" s="24" t="n"/>
      <c r="C15" s="24" t="n"/>
      <c r="D15" s="24" t="n"/>
      <c r="E15" s="24" t="n"/>
      <c r="F15" s="24" t="n"/>
      <c r="G15" s="24" t="n"/>
      <c r="H15" s="24" t="n"/>
    </row>
    <row r="16">
      <c r="A16" s="23" t="n">
        <v>13</v>
      </c>
      <c r="B16" s="24" t="n"/>
      <c r="C16" s="24" t="n"/>
      <c r="D16" s="24" t="n"/>
      <c r="E16" s="24" t="n"/>
      <c r="F16" s="24" t="n"/>
      <c r="G16" s="24" t="n"/>
      <c r="H16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2026-02-02T17:46:19Z</dcterms:created>
  <dcterms:modified xsi:type="dcterms:W3CDTF">2026-02-02T17:46:19Z</dcterms:modified>
</cp:coreProperties>
</file>