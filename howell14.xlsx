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08,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14</v>
      </c>
    </row>
    <row r="4">
      <c r="A4" s="3" t="inlineStr">
        <is>
          <t>Tables</t>
        </is>
      </c>
      <c r="C4" s="3" t="n">
        <v>7</v>
      </c>
    </row>
    <row r="5">
      <c r="A5" s="3" t="inlineStr">
        <is>
          <t>Rounds</t>
        </is>
      </c>
      <c r="C5" s="3" t="n">
        <v>13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26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62</t>
        </is>
      </c>
      <c r="C10" t="inlineStr">
        <is>
          <t>Name 52</t>
        </is>
      </c>
      <c r="D10" s="4">
        <f>SUMIF('By Board'!$D$3:$D$184,"=1",'By Board'!$O$3:$O$184)/26+SUMIF('By Board'!$E$3:$E$184,"=1",'By Board'!$P$3:$P$184)/26</f>
        <v/>
      </c>
      <c r="E10" s="5">
        <f>SUMIF('By Board'!$D$3:$D$184,"=1",'By Board'!$M$3:$M$184)+SUMIF('By Board'!$E$3:$E$184,"=1",'By Board'!$N$3:$N$184)</f>
        <v/>
      </c>
    </row>
    <row r="11">
      <c r="A11" s="2" t="n">
        <v>2</v>
      </c>
      <c r="B11" t="inlineStr">
        <is>
          <t>Name 44</t>
        </is>
      </c>
      <c r="C11" t="inlineStr">
        <is>
          <t>Name 62</t>
        </is>
      </c>
      <c r="D11" s="4">
        <f>SUMIF('By Board'!$D$3:$D$184,"=2",'By Board'!$O$3:$O$184)/26+SUMIF('By Board'!$E$3:$E$184,"=2",'By Board'!$P$3:$P$184)/26</f>
        <v/>
      </c>
      <c r="E11" s="5">
        <f>SUMIF('By Board'!$D$3:$D$184,"=2",'By Board'!$M$3:$M$184)+SUMIF('By Board'!$E$3:$E$184,"=2",'By Board'!$N$3:$N$184)</f>
        <v/>
      </c>
    </row>
    <row r="12">
      <c r="A12" s="2" t="n">
        <v>3</v>
      </c>
      <c r="B12" t="inlineStr">
        <is>
          <t>Name 12</t>
        </is>
      </c>
      <c r="C12" t="inlineStr">
        <is>
          <t>Name 19</t>
        </is>
      </c>
      <c r="D12" s="4">
        <f>SUMIF('By Board'!$D$3:$D$184,"=3",'By Board'!$O$3:$O$184)/26+SUMIF('By Board'!$E$3:$E$184,"=3",'By Board'!$P$3:$P$184)/26</f>
        <v/>
      </c>
      <c r="E12" s="5">
        <f>SUMIF('By Board'!$D$3:$D$184,"=3",'By Board'!$M$3:$M$184)+SUMIF('By Board'!$E$3:$E$184,"=3",'By Board'!$N$3:$N$184)</f>
        <v/>
      </c>
    </row>
    <row r="13">
      <c r="A13" s="2" t="n">
        <v>4</v>
      </c>
      <c r="B13" t="inlineStr">
        <is>
          <t>Name 75</t>
        </is>
      </c>
      <c r="C13" t="inlineStr">
        <is>
          <t>Name 34</t>
        </is>
      </c>
      <c r="D13" s="4">
        <f>SUMIF('By Board'!$D$3:$D$184,"=4",'By Board'!$O$3:$O$184)/26+SUMIF('By Board'!$E$3:$E$184,"=4",'By Board'!$P$3:$P$184)/26</f>
        <v/>
      </c>
      <c r="E13" s="5">
        <f>SUMIF('By Board'!$D$3:$D$184,"=4",'By Board'!$M$3:$M$184)+SUMIF('By Board'!$E$3:$E$184,"=4",'By Board'!$N$3:$N$184)</f>
        <v/>
      </c>
    </row>
    <row r="14">
      <c r="A14" s="2" t="n">
        <v>5</v>
      </c>
      <c r="B14" t="inlineStr">
        <is>
          <t>Name 50</t>
        </is>
      </c>
      <c r="C14" t="inlineStr">
        <is>
          <t>Name 22</t>
        </is>
      </c>
      <c r="D14" s="4">
        <f>SUMIF('By Board'!$D$3:$D$184,"=5",'By Board'!$O$3:$O$184)/26+SUMIF('By Board'!$E$3:$E$184,"=5",'By Board'!$P$3:$P$184)/26</f>
        <v/>
      </c>
      <c r="E14" s="5">
        <f>SUMIF('By Board'!$D$3:$D$184,"=5",'By Board'!$M$3:$M$184)+SUMIF('By Board'!$E$3:$E$184,"=5",'By Board'!$N$3:$N$184)</f>
        <v/>
      </c>
    </row>
    <row r="15">
      <c r="A15" s="2" t="n">
        <v>6</v>
      </c>
      <c r="B15" t="inlineStr">
        <is>
          <t>Name 42</t>
        </is>
      </c>
      <c r="C15" t="inlineStr">
        <is>
          <t>Name 20</t>
        </is>
      </c>
      <c r="D15" s="4">
        <f>SUMIF('By Board'!$D$3:$D$184,"=6",'By Board'!$O$3:$O$184)/26+SUMIF('By Board'!$E$3:$E$184,"=6",'By Board'!$P$3:$P$184)/26</f>
        <v/>
      </c>
      <c r="E15" s="5">
        <f>SUMIF('By Board'!$D$3:$D$184,"=6",'By Board'!$M$3:$M$184)+SUMIF('By Board'!$E$3:$E$184,"=6",'By Board'!$N$3:$N$184)</f>
        <v/>
      </c>
    </row>
    <row r="16">
      <c r="A16" s="2" t="n">
        <v>7</v>
      </c>
      <c r="B16" t="inlineStr">
        <is>
          <t>Name 90</t>
        </is>
      </c>
      <c r="C16" t="inlineStr">
        <is>
          <t>Name 41</t>
        </is>
      </c>
      <c r="D16" s="4">
        <f>SUMIF('By Board'!$D$3:$D$184,"=7",'By Board'!$O$3:$O$184)/26+SUMIF('By Board'!$E$3:$E$184,"=7",'By Board'!$P$3:$P$184)/26</f>
        <v/>
      </c>
      <c r="E16" s="5">
        <f>SUMIF('By Board'!$D$3:$D$184,"=7",'By Board'!$M$3:$M$184)+SUMIF('By Board'!$E$3:$E$184,"=7",'By Board'!$N$3:$N$184)</f>
        <v/>
      </c>
    </row>
    <row r="17">
      <c r="A17" s="2" t="n">
        <v>8</v>
      </c>
      <c r="B17" t="inlineStr">
        <is>
          <t>Name 26</t>
        </is>
      </c>
      <c r="C17" t="inlineStr">
        <is>
          <t>Name 70</t>
        </is>
      </c>
      <c r="D17" s="4">
        <f>SUMIF('By Board'!$D$3:$D$184,"=8",'By Board'!$O$3:$O$184)/26+SUMIF('By Board'!$E$3:$E$184,"=8",'By Board'!$P$3:$P$184)/26</f>
        <v/>
      </c>
      <c r="E17" s="5">
        <f>SUMIF('By Board'!$D$3:$D$184,"=8",'By Board'!$M$3:$M$184)+SUMIF('By Board'!$E$3:$E$184,"=8",'By Board'!$N$3:$N$184)</f>
        <v/>
      </c>
    </row>
    <row r="18">
      <c r="A18" s="2" t="n">
        <v>9</v>
      </c>
      <c r="B18" t="inlineStr">
        <is>
          <t>Name 30</t>
        </is>
      </c>
      <c r="C18" t="inlineStr">
        <is>
          <t>Name 56</t>
        </is>
      </c>
      <c r="D18" s="4">
        <f>SUMIF('By Board'!$D$3:$D$184,"=9",'By Board'!$O$3:$O$184)/26+SUMIF('By Board'!$E$3:$E$184,"=9",'By Board'!$P$3:$P$184)/26</f>
        <v/>
      </c>
      <c r="E18" s="5">
        <f>SUMIF('By Board'!$D$3:$D$184,"=9",'By Board'!$M$3:$M$184)+SUMIF('By Board'!$E$3:$E$184,"=9",'By Board'!$N$3:$N$184)</f>
        <v/>
      </c>
    </row>
    <row r="19">
      <c r="A19" s="2" t="n">
        <v>10</v>
      </c>
      <c r="B19" t="inlineStr">
        <is>
          <t>Name 26</t>
        </is>
      </c>
      <c r="C19" t="inlineStr">
        <is>
          <t>Name 34</t>
        </is>
      </c>
      <c r="D19" s="4">
        <f>SUMIF('By Board'!$D$3:$D$184,"=10",'By Board'!$O$3:$O$184)/26+SUMIF('By Board'!$E$3:$E$184,"=10",'By Board'!$P$3:$P$184)/26</f>
        <v/>
      </c>
      <c r="E19" s="5">
        <f>SUMIF('By Board'!$D$3:$D$184,"=10",'By Board'!$M$3:$M$184)+SUMIF('By Board'!$E$3:$E$184,"=10",'By Board'!$N$3:$N$184)</f>
        <v/>
      </c>
    </row>
    <row r="20">
      <c r="A20" s="2" t="n">
        <v>11</v>
      </c>
      <c r="B20" t="inlineStr">
        <is>
          <t>Name 59</t>
        </is>
      </c>
      <c r="C20" t="inlineStr">
        <is>
          <t>Name 82</t>
        </is>
      </c>
      <c r="D20" s="4">
        <f>SUMIF('By Board'!$D$3:$D$184,"=11",'By Board'!$O$3:$O$184)/26+SUMIF('By Board'!$E$3:$E$184,"=11",'By Board'!$P$3:$P$184)/26</f>
        <v/>
      </c>
      <c r="E20" s="5">
        <f>SUMIF('By Board'!$D$3:$D$184,"=11",'By Board'!$M$3:$M$184)+SUMIF('By Board'!$E$3:$E$184,"=11",'By Board'!$N$3:$N$184)</f>
        <v/>
      </c>
    </row>
    <row r="21">
      <c r="A21" s="2" t="n">
        <v>12</v>
      </c>
      <c r="B21" t="inlineStr">
        <is>
          <t>Name 82</t>
        </is>
      </c>
      <c r="C21" t="inlineStr">
        <is>
          <t>Name 69</t>
        </is>
      </c>
      <c r="D21" s="4">
        <f>SUMIF('By Board'!$D$3:$D$184,"=12",'By Board'!$O$3:$O$184)/26+SUMIF('By Board'!$E$3:$E$184,"=12",'By Board'!$P$3:$P$184)/26</f>
        <v/>
      </c>
      <c r="E21" s="5">
        <f>SUMIF('By Board'!$D$3:$D$184,"=12",'By Board'!$M$3:$M$184)+SUMIF('By Board'!$E$3:$E$184,"=12",'By Board'!$N$3:$N$184)</f>
        <v/>
      </c>
    </row>
    <row r="22">
      <c r="A22" s="2" t="n">
        <v>13</v>
      </c>
      <c r="B22" t="inlineStr">
        <is>
          <t>Name 30</t>
        </is>
      </c>
      <c r="C22" t="inlineStr">
        <is>
          <t>Name 51</t>
        </is>
      </c>
      <c r="D22" s="4">
        <f>SUMIF('By Board'!$D$3:$D$184,"=13",'By Board'!$O$3:$O$184)/26+SUMIF('By Board'!$E$3:$E$184,"=13",'By Board'!$P$3:$P$184)/26</f>
        <v/>
      </c>
      <c r="E22" s="5">
        <f>SUMIF('By Board'!$D$3:$D$184,"=13",'By Board'!$M$3:$M$184)+SUMIF('By Board'!$E$3:$E$184,"=13",'By Board'!$N$3:$N$184)</f>
        <v/>
      </c>
    </row>
    <row r="23">
      <c r="A23" s="2" t="n">
        <v>14</v>
      </c>
      <c r="B23" t="inlineStr">
        <is>
          <t>Name 53</t>
        </is>
      </c>
      <c r="C23" t="inlineStr">
        <is>
          <t>Name 27</t>
        </is>
      </c>
      <c r="D23" s="4">
        <f>SUMIF('By Board'!$D$3:$D$184,"=14",'By Board'!$O$3:$O$184)/26+0/26</f>
        <v/>
      </c>
      <c r="E23" s="5">
        <f>SUMIF('By Board'!$D$3:$D$184,"=14",'By Board'!$M$3:$M$184)+0</f>
        <v/>
      </c>
    </row>
    <row r="24">
      <c r="D24" s="6">
        <f>AVERAGE(D10:D23)</f>
        <v/>
      </c>
      <c r="E24" s="7">
        <f>SUM(E10:E23)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8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G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AA2" s="2" t="inlineStr">
        <is>
          <t>EW MP Scores</t>
        </is>
      </c>
      <c r="AG2" s="9" t="inlineStr">
        <is>
          <t>NS IMP Pair-wise</t>
        </is>
      </c>
      <c r="AM2" s="2" t="inlineStr">
        <is>
          <t>EW IMP Pair-wise</t>
        </is>
      </c>
    </row>
    <row r="3">
      <c r="A3" s="10" t="n">
        <v>1</v>
      </c>
      <c r="B3" s="10">
        <f>'By Round'!A157</f>
        <v/>
      </c>
      <c r="C3" s="10">
        <f>'By Round'!B159</f>
        <v/>
      </c>
      <c r="D3" s="10">
        <f>'By Round'!C159</f>
        <v/>
      </c>
      <c r="E3" s="10">
        <f>'By Round'!D159</f>
        <v/>
      </c>
      <c r="F3" s="10">
        <f>IF(ISBLANK('By Round'!F159),"",'By Round'!F159)</f>
        <v/>
      </c>
      <c r="G3">
        <f>IF(ISBLANK('By Round'!G159),"",'By Round'!G159)</f>
        <v/>
      </c>
      <c r="H3">
        <f>IF(ISBLANK('By Round'!H159),"",'By Round'!H159)</f>
        <v/>
      </c>
      <c r="I3">
        <f>IF(ISBLANK('By Round'!I159),"",'By Round'!I159)</f>
        <v/>
      </c>
      <c r="J3">
        <f>IF(ISBLANK('By Round'!J159),"",'By Round'!J159)</f>
        <v/>
      </c>
      <c r="K3">
        <f>IF(ISBLANK('By Round'!K159),"",'By Round'!K159)</f>
        <v/>
      </c>
      <c r="L3">
        <f>IF(ISBLANK('By Round'!L159),"",'By Round'!L159)</f>
        <v/>
      </c>
      <c r="M3" s="11">
        <f>AVERAGE(AG3:AL3)</f>
        <v/>
      </c>
      <c r="N3" s="12">
        <f>AVERAGE(AM3:AR3)</f>
        <v/>
      </c>
      <c r="O3" s="13">
        <f>IF(COUNT(U3:Z3)&gt;0,Q3/COUNT(U3:Z3),0.5)</f>
        <v/>
      </c>
      <c r="P3" s="13">
        <f>IF(COUNT(AA3:AF3)&gt;0,R3/COUNT(AA3:AF3),0.5)</f>
        <v/>
      </c>
      <c r="Q3" s="5">
        <f>SUM(U3:Z3)</f>
        <v/>
      </c>
      <c r="R3" s="5">
        <f>SUM(AA3:AF3)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IF(ISNUMBER(S3),IF(ISNUMBER(S7),IF(S3&gt;S7,1.0,IF(S3=S7,0.5,0.0)),""),"")</f>
        <v/>
      </c>
      <c r="Y3">
        <f>IF(ISNUMBER(S3),IF(ISNUMBER(S8),IF(S3&gt;S8,1.0,IF(S3=S8,0.5,0.0)),""),"")</f>
        <v/>
      </c>
      <c r="Z3">
        <f>IF(ISNUMBER(S3),IF(ISNUMBER(S9),IF(S3&gt;S9,1.0,IF(S3=S9,0.5,0.0)),""),"")</f>
        <v/>
      </c>
      <c r="AA3">
        <f>IF(ISNUMBER(T3),IF(ISNUMBER(T4),IF(T3&gt;T4,1.0,IF(T3=T4,0.5,0.0)),""),"")</f>
        <v/>
      </c>
      <c r="AB3">
        <f>IF(ISNUMBER(T3),IF(ISNUMBER(T5),IF(T3&gt;T5,1.0,IF(T3=T5,0.5,0.0)),""),"")</f>
        <v/>
      </c>
      <c r="AC3">
        <f>IF(ISNUMBER(T3),IF(ISNUMBER(T6),IF(T3&gt;T6,1.0,IF(T3=T6,0.5,0.0)),""),"")</f>
        <v/>
      </c>
      <c r="AD3">
        <f>IF(ISNUMBER(T3),IF(ISNUMBER(T7),IF(T3&gt;T7,1.0,IF(T3=T7,0.5,0.0)),""),"")</f>
        <v/>
      </c>
      <c r="AE3">
        <f>IF(ISNUMBER(T3),IF(ISNUMBER(T8),IF(T3&gt;T8,1.0,IF(T3=T8,0.5,0.0)),""),"")</f>
        <v/>
      </c>
      <c r="AF3">
        <f>IF(ISNUMBER(T3),IF(ISNUMBER(T9),IF(T3&gt;T9,1.0,IF(T3=T9,0.5,0.0)),""),"")</f>
        <v/>
      </c>
      <c r="AG3" s="14">
        <f>IF(AND(ISNUMBER(S3),ISNUMBER(S4)),VLOOKUP(ABS(S3-S4),'IMP Table'!$A$2:$C$26,3)*SIGN(S3-S4),0)</f>
        <v/>
      </c>
      <c r="AH3">
        <f>IF(AND(ISNUMBER(S3),ISNUMBER(S5)),VLOOKUP(ABS(S3-S5),'IMP Table'!$A$2:$C$26,3)*SIGN(S3-S5),0)</f>
        <v/>
      </c>
      <c r="AI3">
        <f>IF(AND(ISNUMBER(S3),ISNUMBER(S6)),VLOOKUP(ABS(S3-S6),'IMP Table'!$A$2:$C$26,3)*SIGN(S3-S6),0)</f>
        <v/>
      </c>
      <c r="AJ3">
        <f>IF(AND(ISNUMBER(S3),ISNUMBER(S7)),VLOOKUP(ABS(S3-S7),'IMP Table'!$A$2:$C$26,3)*SIGN(S3-S7),0)</f>
        <v/>
      </c>
      <c r="AK3">
        <f>IF(AND(ISNUMBER(S3),ISNUMBER(S8)),VLOOKUP(ABS(S3-S8),'IMP Table'!$A$2:$C$26,3)*SIGN(S3-S8),0)</f>
        <v/>
      </c>
      <c r="AL3">
        <f>IF(AND(ISNUMBER(S3),ISNUMBER(S9)),VLOOKUP(ABS(S3-S9),'IMP Table'!$A$2:$C$26,3)*SIGN(S3-S9),0)</f>
        <v/>
      </c>
      <c r="AM3">
        <f>IF(AND(ISNUMBER(T3),ISNUMBER(T4)),VLOOKUP(ABS(T3-T4),'IMP Table'!$A$2:$C$26,3)*SIGN(T3-T4),0)</f>
        <v/>
      </c>
      <c r="AN3">
        <f>IF(AND(ISNUMBER(T3),ISNUMBER(T5)),VLOOKUP(ABS(T3-T5),'IMP Table'!$A$2:$C$26,3)*SIGN(T3-T5),0)</f>
        <v/>
      </c>
      <c r="AO3">
        <f>IF(AND(ISNUMBER(T3),ISNUMBER(T6)),VLOOKUP(ABS(T3-T6),'IMP Table'!$A$2:$C$26,3)*SIGN(T3-T6),0)</f>
        <v/>
      </c>
      <c r="AP3">
        <f>IF(AND(ISNUMBER(T3),ISNUMBER(T7)),VLOOKUP(ABS(T3-T7),'IMP Table'!$A$2:$C$26,3)*SIGN(T3-T7),0)</f>
        <v/>
      </c>
      <c r="AQ3">
        <f>IF(AND(ISNUMBER(T3),ISNUMBER(T8)),VLOOKUP(ABS(T3-T8),'IMP Table'!$A$2:$C$26,3)*SIGN(T3-T8),0)</f>
        <v/>
      </c>
      <c r="AR3">
        <f>IF(AND(ISNUMBER(T3),ISNUMBER(T9)),VLOOKUP(ABS(T3-T9),'IMP Table'!$A$2:$C$26,3)*SIGN(T3-T9),0)</f>
        <v/>
      </c>
    </row>
    <row r="4">
      <c r="B4" s="10">
        <f>'By Round'!A129</f>
        <v/>
      </c>
      <c r="C4" s="10">
        <f>'By Round'!B135</f>
        <v/>
      </c>
      <c r="D4" s="10">
        <f>'By Round'!C135</f>
        <v/>
      </c>
      <c r="E4" s="10">
        <f>'By Round'!D135</f>
        <v/>
      </c>
      <c r="F4" s="10">
        <f>IF(ISBLANK('By Round'!F135),"",'By Round'!F135)</f>
        <v/>
      </c>
      <c r="G4">
        <f>IF(ISBLANK('By Round'!G135),"",'By Round'!G135)</f>
        <v/>
      </c>
      <c r="H4">
        <f>IF(ISBLANK('By Round'!H135),"",'By Round'!H135)</f>
        <v/>
      </c>
      <c r="I4">
        <f>IF(ISBLANK('By Round'!I135),"",'By Round'!I135)</f>
        <v/>
      </c>
      <c r="J4">
        <f>IF(ISBLANK('By Round'!J135),"",'By Round'!J135)</f>
        <v/>
      </c>
      <c r="K4">
        <f>IF(ISBLANK('By Round'!K135),"",'By Round'!K135)</f>
        <v/>
      </c>
      <c r="L4">
        <f>IF(ISBLANK('By Round'!L135),"",'By Round'!L135)</f>
        <v/>
      </c>
      <c r="M4" s="11">
        <f>AVERAGE(AG4:AL4)</f>
        <v/>
      </c>
      <c r="N4" s="12">
        <f>AVERAGE(AM4:AR4)</f>
        <v/>
      </c>
      <c r="O4" s="13">
        <f>IF(COUNT(U4:Z4)&gt;0,Q4/COUNT(U4:Z4),0.5)</f>
        <v/>
      </c>
      <c r="P4" s="13">
        <f>IF(COUNT(AA4:AF4)&gt;0,R4/COUNT(AA4:AF4),0.5)</f>
        <v/>
      </c>
      <c r="Q4" s="5">
        <f>SUM(U4:Z4)</f>
        <v/>
      </c>
      <c r="R4" s="5">
        <f>SUM(AA4:AF4)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IF(ISNUMBER(S4),IF(ISNUMBER(S7),IF(S4&gt;S7,1.0,IF(S4=S7,0.5,0.0)),""),"")</f>
        <v/>
      </c>
      <c r="Y4">
        <f>IF(ISNUMBER(S4),IF(ISNUMBER(S8),IF(S4&gt;S8,1.0,IF(S4=S8,0.5,0.0)),""),"")</f>
        <v/>
      </c>
      <c r="Z4">
        <f>IF(ISNUMBER(S4),IF(ISNUMBER(S9),IF(S4&gt;S9,1.0,IF(S4=S9,0.5,0.0)),""),"")</f>
        <v/>
      </c>
      <c r="AA4">
        <f>IF(ISNUMBER(T4),IF(ISNUMBER(T3),IF(T4&gt;T3,1.0,IF(T4=T3,0.5,0.0)),""),"")</f>
        <v/>
      </c>
      <c r="AB4">
        <f>IF(ISNUMBER(T4),IF(ISNUMBER(T5),IF(T4&gt;T5,1.0,IF(T4=T5,0.5,0.0)),""),"")</f>
        <v/>
      </c>
      <c r="AC4">
        <f>IF(ISNUMBER(T4),IF(ISNUMBER(T6),IF(T4&gt;T6,1.0,IF(T4=T6,0.5,0.0)),""),"")</f>
        <v/>
      </c>
      <c r="AD4">
        <f>IF(ISNUMBER(T4),IF(ISNUMBER(T7),IF(T4&gt;T7,1.0,IF(T4=T7,0.5,0.0)),""),"")</f>
        <v/>
      </c>
      <c r="AE4">
        <f>IF(ISNUMBER(T4),IF(ISNUMBER(T8),IF(T4&gt;T8,1.0,IF(T4=T8,0.5,0.0)),""),"")</f>
        <v/>
      </c>
      <c r="AF4">
        <f>IF(ISNUMBER(T4),IF(ISNUMBER(T9),IF(T4&gt;T9,1.0,IF(T4=T9,0.5,0.0)),""),"")</f>
        <v/>
      </c>
      <c r="AG4" s="14">
        <f>IF(AND(ISNUMBER(S4),ISNUMBER(S3)),VLOOKUP(ABS(S4-S3),'IMP Table'!$A$2:$C$26,3)*SIGN(S4-S3),0)</f>
        <v/>
      </c>
      <c r="AH4">
        <f>IF(AND(ISNUMBER(S4),ISNUMBER(S5)),VLOOKUP(ABS(S4-S5),'IMP Table'!$A$2:$C$26,3)*SIGN(S4-S5),0)</f>
        <v/>
      </c>
      <c r="AI4">
        <f>IF(AND(ISNUMBER(S4),ISNUMBER(S6)),VLOOKUP(ABS(S4-S6),'IMP Table'!$A$2:$C$26,3)*SIGN(S4-S6),0)</f>
        <v/>
      </c>
      <c r="AJ4">
        <f>IF(AND(ISNUMBER(S4),ISNUMBER(S7)),VLOOKUP(ABS(S4-S7),'IMP Table'!$A$2:$C$26,3)*SIGN(S4-S7),0)</f>
        <v/>
      </c>
      <c r="AK4">
        <f>IF(AND(ISNUMBER(S4),ISNUMBER(S8)),VLOOKUP(ABS(S4-S8),'IMP Table'!$A$2:$C$26,3)*SIGN(S4-S8),0)</f>
        <v/>
      </c>
      <c r="AL4">
        <f>IF(AND(ISNUMBER(S4),ISNUMBER(S9)),VLOOKUP(ABS(S4-S9),'IMP Table'!$A$2:$C$26,3)*SIGN(S4-S9),0)</f>
        <v/>
      </c>
      <c r="AM4">
        <f>IF(AND(ISNUMBER(T4),ISNUMBER(T3)),VLOOKUP(ABS(T4-T3),'IMP Table'!$A$2:$C$26,3)*SIGN(T4-T3),0)</f>
        <v/>
      </c>
      <c r="AN4">
        <f>IF(AND(ISNUMBER(T4),ISNUMBER(T5)),VLOOKUP(ABS(T4-T5),'IMP Table'!$A$2:$C$26,3)*SIGN(T4-T5),0)</f>
        <v/>
      </c>
      <c r="AO4">
        <f>IF(AND(ISNUMBER(T4),ISNUMBER(T6)),VLOOKUP(ABS(T4-T6),'IMP Table'!$A$2:$C$26,3)*SIGN(T4-T6),0)</f>
        <v/>
      </c>
      <c r="AP4">
        <f>IF(AND(ISNUMBER(T4),ISNUMBER(T7)),VLOOKUP(ABS(T4-T7),'IMP Table'!$A$2:$C$26,3)*SIGN(T4-T7),0)</f>
        <v/>
      </c>
      <c r="AQ4">
        <f>IF(AND(ISNUMBER(T4),ISNUMBER(T8)),VLOOKUP(ABS(T4-T8),'IMP Table'!$A$2:$C$26,3)*SIGN(T4-T8),0)</f>
        <v/>
      </c>
      <c r="AR4">
        <f>IF(AND(ISNUMBER(T4),ISNUMBER(T9)),VLOOKUP(ABS(T4-T9),'IMP Table'!$A$2:$C$26,3)*SIGN(T4-T9),0)</f>
        <v/>
      </c>
    </row>
    <row r="5">
      <c r="B5" s="10">
        <f>'By Round'!A31</f>
        <v/>
      </c>
      <c r="C5" s="10">
        <f>'By Round'!B43</f>
        <v/>
      </c>
      <c r="D5" s="10">
        <f>'By Round'!C43</f>
        <v/>
      </c>
      <c r="E5" s="10">
        <f>'By Round'!D43</f>
        <v/>
      </c>
      <c r="F5" s="10">
        <f>IF(ISBLANK('By Round'!F43),"",'By Round'!F43)</f>
        <v/>
      </c>
      <c r="G5">
        <f>IF(ISBLANK('By Round'!G43),"",'By Round'!G43)</f>
        <v/>
      </c>
      <c r="H5">
        <f>IF(ISBLANK('By Round'!H43),"",'By Round'!H43)</f>
        <v/>
      </c>
      <c r="I5">
        <f>IF(ISBLANK('By Round'!I43),"",'By Round'!I43)</f>
        <v/>
      </c>
      <c r="J5">
        <f>IF(ISBLANK('By Round'!J43),"",'By Round'!J43)</f>
        <v/>
      </c>
      <c r="K5">
        <f>IF(ISBLANK('By Round'!K43),"",'By Round'!K43)</f>
        <v/>
      </c>
      <c r="L5">
        <f>IF(ISBLANK('By Round'!L43),"",'By Round'!L43)</f>
        <v/>
      </c>
      <c r="M5" s="11">
        <f>AVERAGE(AG5:AL5)</f>
        <v/>
      </c>
      <c r="N5" s="12">
        <f>AVERAGE(AM5:AR5)</f>
        <v/>
      </c>
      <c r="O5" s="13">
        <f>IF(COUNT(U5:Z5)&gt;0,Q5/COUNT(U5:Z5),0.5)</f>
        <v/>
      </c>
      <c r="P5" s="13">
        <f>IF(COUNT(AA5:AF5)&gt;0,R5/COUNT(AA5:AF5),0.5)</f>
        <v/>
      </c>
      <c r="Q5" s="5">
        <f>SUM(U5:Z5)</f>
        <v/>
      </c>
      <c r="R5" s="5">
        <f>SUM(AA5:AF5)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IF(ISNUMBER(S5),IF(ISNUMBER(S7),IF(S5&gt;S7,1.0,IF(S5=S7,0.5,0.0)),""),"")</f>
        <v/>
      </c>
      <c r="Y5">
        <f>IF(ISNUMBER(S5),IF(ISNUMBER(S8),IF(S5&gt;S8,1.0,IF(S5=S8,0.5,0.0)),""),"")</f>
        <v/>
      </c>
      <c r="Z5">
        <f>IF(ISNUMBER(S5),IF(ISNUMBER(S9),IF(S5&gt;S9,1.0,IF(S5=S9,0.5,0.0)),""),"")</f>
        <v/>
      </c>
      <c r="AA5">
        <f>IF(ISNUMBER(T5),IF(ISNUMBER(T3),IF(T5&gt;T3,1.0,IF(T5=T3,0.5,0.0)),""),"")</f>
        <v/>
      </c>
      <c r="AB5">
        <f>IF(ISNUMBER(T5),IF(ISNUMBER(T4),IF(T5&gt;T4,1.0,IF(T5=T4,0.5,0.0)),""),"")</f>
        <v/>
      </c>
      <c r="AC5">
        <f>IF(ISNUMBER(T5),IF(ISNUMBER(T6),IF(T5&gt;T6,1.0,IF(T5=T6,0.5,0.0)),""),"")</f>
        <v/>
      </c>
      <c r="AD5">
        <f>IF(ISNUMBER(T5),IF(ISNUMBER(T7),IF(T5&gt;T7,1.0,IF(T5=T7,0.5,0.0)),""),"")</f>
        <v/>
      </c>
      <c r="AE5">
        <f>IF(ISNUMBER(T5),IF(ISNUMBER(T8),IF(T5&gt;T8,1.0,IF(T5=T8,0.5,0.0)),""),"")</f>
        <v/>
      </c>
      <c r="AF5">
        <f>IF(ISNUMBER(T5),IF(ISNUMBER(T9),IF(T5&gt;T9,1.0,IF(T5=T9,0.5,0.0)),""),"")</f>
        <v/>
      </c>
      <c r="AG5" s="14">
        <f>IF(AND(ISNUMBER(S5),ISNUMBER(S3)),VLOOKUP(ABS(S5-S3),'IMP Table'!$A$2:$C$26,3)*SIGN(S5-S3),0)</f>
        <v/>
      </c>
      <c r="AH5">
        <f>IF(AND(ISNUMBER(S5),ISNUMBER(S4)),VLOOKUP(ABS(S5-S4),'IMP Table'!$A$2:$C$26,3)*SIGN(S5-S4),0)</f>
        <v/>
      </c>
      <c r="AI5">
        <f>IF(AND(ISNUMBER(S5),ISNUMBER(S6)),VLOOKUP(ABS(S5-S6),'IMP Table'!$A$2:$C$26,3)*SIGN(S5-S6),0)</f>
        <v/>
      </c>
      <c r="AJ5">
        <f>IF(AND(ISNUMBER(S5),ISNUMBER(S7)),VLOOKUP(ABS(S5-S7),'IMP Table'!$A$2:$C$26,3)*SIGN(S5-S7),0)</f>
        <v/>
      </c>
      <c r="AK5">
        <f>IF(AND(ISNUMBER(S5),ISNUMBER(S8)),VLOOKUP(ABS(S5-S8),'IMP Table'!$A$2:$C$26,3)*SIGN(S5-S8),0)</f>
        <v/>
      </c>
      <c r="AL5">
        <f>IF(AND(ISNUMBER(S5),ISNUMBER(S9)),VLOOKUP(ABS(S5-S9),'IMP Table'!$A$2:$C$26,3)*SIGN(S5-S9),0)</f>
        <v/>
      </c>
      <c r="AM5">
        <f>IF(AND(ISNUMBER(T5),ISNUMBER(T3)),VLOOKUP(ABS(T5-T3),'IMP Table'!$A$2:$C$26,3)*SIGN(T5-T3),0)</f>
        <v/>
      </c>
      <c r="AN5">
        <f>IF(AND(ISNUMBER(T5),ISNUMBER(T4)),VLOOKUP(ABS(T5-T4),'IMP Table'!$A$2:$C$26,3)*SIGN(T5-T4),0)</f>
        <v/>
      </c>
      <c r="AO5">
        <f>IF(AND(ISNUMBER(T5),ISNUMBER(T6)),VLOOKUP(ABS(T5-T6),'IMP Table'!$A$2:$C$26,3)*SIGN(T5-T6),0)</f>
        <v/>
      </c>
      <c r="AP5">
        <f>IF(AND(ISNUMBER(T5),ISNUMBER(T7)),VLOOKUP(ABS(T5-T7),'IMP Table'!$A$2:$C$26,3)*SIGN(T5-T7),0)</f>
        <v/>
      </c>
      <c r="AQ5">
        <f>IF(AND(ISNUMBER(T5),ISNUMBER(T8)),VLOOKUP(ABS(T5-T8),'IMP Table'!$A$2:$C$26,3)*SIGN(T5-T8),0)</f>
        <v/>
      </c>
      <c r="AR5">
        <f>IF(AND(ISNUMBER(T5),ISNUMBER(T9)),VLOOKUP(ABS(T5-T9),'IMP Table'!$A$2:$C$26,3)*SIGN(T5-T9),0)</f>
        <v/>
      </c>
    </row>
    <row r="6">
      <c r="B6" s="10">
        <f>'By Round'!A59</f>
        <v/>
      </c>
      <c r="C6" s="10">
        <f>'By Round'!B67</f>
        <v/>
      </c>
      <c r="D6" s="10">
        <f>'By Round'!C67</f>
        <v/>
      </c>
      <c r="E6" s="10">
        <f>'By Round'!D67</f>
        <v/>
      </c>
      <c r="F6" s="10">
        <f>IF(ISBLANK('By Round'!F67),"",'By Round'!F67)</f>
        <v/>
      </c>
      <c r="G6">
        <f>IF(ISBLANK('By Round'!G67),"",'By Round'!G67)</f>
        <v/>
      </c>
      <c r="H6">
        <f>IF(ISBLANK('By Round'!H67),"",'By Round'!H67)</f>
        <v/>
      </c>
      <c r="I6">
        <f>IF(ISBLANK('By Round'!I67),"",'By Round'!I67)</f>
        <v/>
      </c>
      <c r="J6">
        <f>IF(ISBLANK('By Round'!J67),"",'By Round'!J67)</f>
        <v/>
      </c>
      <c r="K6">
        <f>IF(ISBLANK('By Round'!K67),"",'By Round'!K67)</f>
        <v/>
      </c>
      <c r="L6">
        <f>IF(ISBLANK('By Round'!L67),"",'By Round'!L67)</f>
        <v/>
      </c>
      <c r="M6" s="11">
        <f>AVERAGE(AG6:AL6)</f>
        <v/>
      </c>
      <c r="N6" s="12">
        <f>AVERAGE(AM6:AR6)</f>
        <v/>
      </c>
      <c r="O6" s="13">
        <f>IF(COUNT(U6:Z6)&gt;0,Q6/COUNT(U6:Z6),0.5)</f>
        <v/>
      </c>
      <c r="P6" s="13">
        <f>IF(COUNT(AA6:AF6)&gt;0,R6/COUNT(AA6:AF6),0.5)</f>
        <v/>
      </c>
      <c r="Q6" s="5">
        <f>SUM(U6:Z6)</f>
        <v/>
      </c>
      <c r="R6" s="5">
        <f>SUM(AA6:AF6)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IF(ISNUMBER(S6),IF(ISNUMBER(S3),IF(S6&gt;S3,1.0,IF(S6=S3,0.5,0.0)),""),"")</f>
        <v/>
      </c>
      <c r="V6">
        <f>IF(ISNUMBER(S6),IF(ISNUMBER(S4),IF(S6&gt;S4,1.0,IF(S6=S4,0.5,0.0)),""),"")</f>
        <v/>
      </c>
      <c r="W6">
        <f>IF(ISNUMBER(S6),IF(ISNUMBER(S5),IF(S6&gt;S5,1.0,IF(S6=S5,0.5,0.0)),""),"")</f>
        <v/>
      </c>
      <c r="X6">
        <f>IF(ISNUMBER(S6),IF(ISNUMBER(S7),IF(S6&gt;S7,1.0,IF(S6=S7,0.5,0.0)),""),"")</f>
        <v/>
      </c>
      <c r="Y6">
        <f>IF(ISNUMBER(S6),IF(ISNUMBER(S8),IF(S6&gt;S8,1.0,IF(S6=S8,0.5,0.0)),""),"")</f>
        <v/>
      </c>
      <c r="Z6">
        <f>IF(ISNUMBER(S6),IF(ISNUMBER(S9),IF(S6&gt;S9,1.0,IF(S6=S9,0.5,0.0)),""),"")</f>
        <v/>
      </c>
      <c r="AA6">
        <f>IF(ISNUMBER(T6),IF(ISNUMBER(T3),IF(T6&gt;T3,1.0,IF(T6=T3,0.5,0.0)),""),"")</f>
        <v/>
      </c>
      <c r="AB6">
        <f>IF(ISNUMBER(T6),IF(ISNUMBER(T4),IF(T6&gt;T4,1.0,IF(T6=T4,0.5,0.0)),""),"")</f>
        <v/>
      </c>
      <c r="AC6">
        <f>IF(ISNUMBER(T6),IF(ISNUMBER(T5),IF(T6&gt;T5,1.0,IF(T6=T5,0.5,0.0)),""),"")</f>
        <v/>
      </c>
      <c r="AD6">
        <f>IF(ISNUMBER(T6),IF(ISNUMBER(T7),IF(T6&gt;T7,1.0,IF(T6=T7,0.5,0.0)),""),"")</f>
        <v/>
      </c>
      <c r="AE6">
        <f>IF(ISNUMBER(T6),IF(ISNUMBER(T8),IF(T6&gt;T8,1.0,IF(T6=T8,0.5,0.0)),""),"")</f>
        <v/>
      </c>
      <c r="AF6">
        <f>IF(ISNUMBER(T6),IF(ISNUMBER(T9),IF(T6&gt;T9,1.0,IF(T6=T9,0.5,0.0)),""),"")</f>
        <v/>
      </c>
      <c r="AG6" s="14">
        <f>IF(AND(ISNUMBER(S6),ISNUMBER(S3)),VLOOKUP(ABS(S6-S3),'IMP Table'!$A$2:$C$26,3)*SIGN(S6-S3),0)</f>
        <v/>
      </c>
      <c r="AH6">
        <f>IF(AND(ISNUMBER(S6),ISNUMBER(S4)),VLOOKUP(ABS(S6-S4),'IMP Table'!$A$2:$C$26,3)*SIGN(S6-S4),0)</f>
        <v/>
      </c>
      <c r="AI6">
        <f>IF(AND(ISNUMBER(S6),ISNUMBER(S5)),VLOOKUP(ABS(S6-S5),'IMP Table'!$A$2:$C$26,3)*SIGN(S6-S5),0)</f>
        <v/>
      </c>
      <c r="AJ6">
        <f>IF(AND(ISNUMBER(S6),ISNUMBER(S7)),VLOOKUP(ABS(S6-S7),'IMP Table'!$A$2:$C$26,3)*SIGN(S6-S7),0)</f>
        <v/>
      </c>
      <c r="AK6">
        <f>IF(AND(ISNUMBER(S6),ISNUMBER(S8)),VLOOKUP(ABS(S6-S8),'IMP Table'!$A$2:$C$26,3)*SIGN(S6-S8),0)</f>
        <v/>
      </c>
      <c r="AL6">
        <f>IF(AND(ISNUMBER(S6),ISNUMBER(S9)),VLOOKUP(ABS(S6-S9),'IMP Table'!$A$2:$C$26,3)*SIGN(S6-S9),0)</f>
        <v/>
      </c>
      <c r="AM6">
        <f>IF(AND(ISNUMBER(T6),ISNUMBER(T3)),VLOOKUP(ABS(T6-T3),'IMP Table'!$A$2:$C$26,3)*SIGN(T6-T3),0)</f>
        <v/>
      </c>
      <c r="AN6">
        <f>IF(AND(ISNUMBER(T6),ISNUMBER(T4)),VLOOKUP(ABS(T6-T4),'IMP Table'!$A$2:$C$26,3)*SIGN(T6-T4),0)</f>
        <v/>
      </c>
      <c r="AO6">
        <f>IF(AND(ISNUMBER(T6),ISNUMBER(T5)),VLOOKUP(ABS(T6-T5),'IMP Table'!$A$2:$C$26,3)*SIGN(T6-T5),0)</f>
        <v/>
      </c>
      <c r="AP6">
        <f>IF(AND(ISNUMBER(T6),ISNUMBER(T7)),VLOOKUP(ABS(T6-T7),'IMP Table'!$A$2:$C$26,3)*SIGN(T6-T7),0)</f>
        <v/>
      </c>
      <c r="AQ6">
        <f>IF(AND(ISNUMBER(T6),ISNUMBER(T8)),VLOOKUP(ABS(T6-T8),'IMP Table'!$A$2:$C$26,3)*SIGN(T6-T8),0)</f>
        <v/>
      </c>
      <c r="AR6">
        <f>IF(AND(ISNUMBER(T6),ISNUMBER(T9)),VLOOKUP(ABS(T6-T9),'IMP Table'!$A$2:$C$26,3)*SIGN(T6-T9),0)</f>
        <v/>
      </c>
    </row>
    <row r="7">
      <c r="B7" s="10">
        <f>'By Round'!A45</f>
        <v/>
      </c>
      <c r="C7" s="10">
        <f>'By Round'!B55</f>
        <v/>
      </c>
      <c r="D7" s="10">
        <f>'By Round'!C55</f>
        <v/>
      </c>
      <c r="E7" s="10">
        <f>'By Round'!D55</f>
        <v/>
      </c>
      <c r="F7" s="10">
        <f>IF(ISBLANK('By Round'!F55),"",'By Round'!F55)</f>
        <v/>
      </c>
      <c r="G7">
        <f>IF(ISBLANK('By Round'!G55),"",'By Round'!G55)</f>
        <v/>
      </c>
      <c r="H7">
        <f>IF(ISBLANK('By Round'!H55),"",'By Round'!H55)</f>
        <v/>
      </c>
      <c r="I7">
        <f>IF(ISBLANK('By Round'!I55),"",'By Round'!I55)</f>
        <v/>
      </c>
      <c r="J7">
        <f>IF(ISBLANK('By Round'!J55),"",'By Round'!J55)</f>
        <v/>
      </c>
      <c r="K7">
        <f>IF(ISBLANK('By Round'!K55),"",'By Round'!K55)</f>
        <v/>
      </c>
      <c r="L7">
        <f>IF(ISBLANK('By Round'!L55),"",'By Round'!L55)</f>
        <v/>
      </c>
      <c r="M7" s="11">
        <f>AVERAGE(AG7:AL7)</f>
        <v/>
      </c>
      <c r="N7" s="12">
        <f>AVERAGE(AM7:AR7)</f>
        <v/>
      </c>
      <c r="O7" s="13">
        <f>IF(COUNT(U7:Z7)&gt;0,Q7/COUNT(U7:Z7),0.5)</f>
        <v/>
      </c>
      <c r="P7" s="13">
        <f>IF(COUNT(AA7:AF7)&gt;0,R7/COUNT(AA7:AF7),0.5)</f>
        <v/>
      </c>
      <c r="Q7" s="5">
        <f>SUM(U7:Z7)</f>
        <v/>
      </c>
      <c r="R7" s="5">
        <f>SUM(AA7:AF7)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IF(ISNUMBER(S7),IF(ISNUMBER(S3),IF(S7&gt;S3,1.0,IF(S7=S3,0.5,0.0)),""),"")</f>
        <v/>
      </c>
      <c r="V7">
        <f>IF(ISNUMBER(S7),IF(ISNUMBER(S4),IF(S7&gt;S4,1.0,IF(S7=S4,0.5,0.0)),""),"")</f>
        <v/>
      </c>
      <c r="W7">
        <f>IF(ISNUMBER(S7),IF(ISNUMBER(S5),IF(S7&gt;S5,1.0,IF(S7=S5,0.5,0.0)),""),"")</f>
        <v/>
      </c>
      <c r="X7">
        <f>IF(ISNUMBER(S7),IF(ISNUMBER(S6),IF(S7&gt;S6,1.0,IF(S7=S6,0.5,0.0)),""),"")</f>
        <v/>
      </c>
      <c r="Y7">
        <f>IF(ISNUMBER(S7),IF(ISNUMBER(S8),IF(S7&gt;S8,1.0,IF(S7=S8,0.5,0.0)),""),"")</f>
        <v/>
      </c>
      <c r="Z7">
        <f>IF(ISNUMBER(S7),IF(ISNUMBER(S9),IF(S7&gt;S9,1.0,IF(S7=S9,0.5,0.0)),""),"")</f>
        <v/>
      </c>
      <c r="AA7">
        <f>IF(ISNUMBER(T7),IF(ISNUMBER(T3),IF(T7&gt;T3,1.0,IF(T7=T3,0.5,0.0)),""),"")</f>
        <v/>
      </c>
      <c r="AB7">
        <f>IF(ISNUMBER(T7),IF(ISNUMBER(T4),IF(T7&gt;T4,1.0,IF(T7=T4,0.5,0.0)),""),"")</f>
        <v/>
      </c>
      <c r="AC7">
        <f>IF(ISNUMBER(T7),IF(ISNUMBER(T5),IF(T7&gt;T5,1.0,IF(T7=T5,0.5,0.0)),""),"")</f>
        <v/>
      </c>
      <c r="AD7">
        <f>IF(ISNUMBER(T7),IF(ISNUMBER(T6),IF(T7&gt;T6,1.0,IF(T7=T6,0.5,0.0)),""),"")</f>
        <v/>
      </c>
      <c r="AE7">
        <f>IF(ISNUMBER(T7),IF(ISNUMBER(T8),IF(T7&gt;T8,1.0,IF(T7=T8,0.5,0.0)),""),"")</f>
        <v/>
      </c>
      <c r="AF7">
        <f>IF(ISNUMBER(T7),IF(ISNUMBER(T9),IF(T7&gt;T9,1.0,IF(T7=T9,0.5,0.0)),""),"")</f>
        <v/>
      </c>
      <c r="AG7" s="14">
        <f>IF(AND(ISNUMBER(S7),ISNUMBER(S3)),VLOOKUP(ABS(S7-S3),'IMP Table'!$A$2:$C$26,3)*SIGN(S7-S3),0)</f>
        <v/>
      </c>
      <c r="AH7">
        <f>IF(AND(ISNUMBER(S7),ISNUMBER(S4)),VLOOKUP(ABS(S7-S4),'IMP Table'!$A$2:$C$26,3)*SIGN(S7-S4),0)</f>
        <v/>
      </c>
      <c r="AI7">
        <f>IF(AND(ISNUMBER(S7),ISNUMBER(S5)),VLOOKUP(ABS(S7-S5),'IMP Table'!$A$2:$C$26,3)*SIGN(S7-S5),0)</f>
        <v/>
      </c>
      <c r="AJ7">
        <f>IF(AND(ISNUMBER(S7),ISNUMBER(S6)),VLOOKUP(ABS(S7-S6),'IMP Table'!$A$2:$C$26,3)*SIGN(S7-S6),0)</f>
        <v/>
      </c>
      <c r="AK7">
        <f>IF(AND(ISNUMBER(S7),ISNUMBER(S8)),VLOOKUP(ABS(S7-S8),'IMP Table'!$A$2:$C$26,3)*SIGN(S7-S8),0)</f>
        <v/>
      </c>
      <c r="AL7">
        <f>IF(AND(ISNUMBER(S7),ISNUMBER(S9)),VLOOKUP(ABS(S7-S9),'IMP Table'!$A$2:$C$26,3)*SIGN(S7-S9),0)</f>
        <v/>
      </c>
      <c r="AM7">
        <f>IF(AND(ISNUMBER(T7),ISNUMBER(T3)),VLOOKUP(ABS(T7-T3),'IMP Table'!$A$2:$C$26,3)*SIGN(T7-T3),0)</f>
        <v/>
      </c>
      <c r="AN7">
        <f>IF(AND(ISNUMBER(T7),ISNUMBER(T4)),VLOOKUP(ABS(T7-T4),'IMP Table'!$A$2:$C$26,3)*SIGN(T7-T4),0)</f>
        <v/>
      </c>
      <c r="AO7">
        <f>IF(AND(ISNUMBER(T7),ISNUMBER(T5)),VLOOKUP(ABS(T7-T5),'IMP Table'!$A$2:$C$26,3)*SIGN(T7-T5),0)</f>
        <v/>
      </c>
      <c r="AP7">
        <f>IF(AND(ISNUMBER(T7),ISNUMBER(T6)),VLOOKUP(ABS(T7-T6),'IMP Table'!$A$2:$C$26,3)*SIGN(T7-T6),0)</f>
        <v/>
      </c>
      <c r="AQ7">
        <f>IF(AND(ISNUMBER(T7),ISNUMBER(T8)),VLOOKUP(ABS(T7-T8),'IMP Table'!$A$2:$C$26,3)*SIGN(T7-T8),0)</f>
        <v/>
      </c>
      <c r="AR7">
        <f>IF(AND(ISNUMBER(T7),ISNUMBER(T9)),VLOOKUP(ABS(T7-T9),'IMP Table'!$A$2:$C$26,3)*SIGN(T7-T9),0)</f>
        <v/>
      </c>
    </row>
    <row r="8">
      <c r="B8" s="10">
        <f>'By Round'!A143</f>
        <v/>
      </c>
      <c r="C8" s="10">
        <f>'By Round'!B147</f>
        <v/>
      </c>
      <c r="D8" s="10">
        <f>'By Round'!C147</f>
        <v/>
      </c>
      <c r="E8" s="10">
        <f>'By Round'!D147</f>
        <v/>
      </c>
      <c r="F8" s="10">
        <f>IF(ISBLANK('By Round'!F147),"",'By Round'!F147)</f>
        <v/>
      </c>
      <c r="G8">
        <f>IF(ISBLANK('By Round'!G147),"",'By Round'!G147)</f>
        <v/>
      </c>
      <c r="H8">
        <f>IF(ISBLANK('By Round'!H147),"",'By Round'!H147)</f>
        <v/>
      </c>
      <c r="I8">
        <f>IF(ISBLANK('By Round'!I147),"",'By Round'!I147)</f>
        <v/>
      </c>
      <c r="J8">
        <f>IF(ISBLANK('By Round'!J147),"",'By Round'!J147)</f>
        <v/>
      </c>
      <c r="K8">
        <f>IF(ISBLANK('By Round'!K147),"",'By Round'!K147)</f>
        <v/>
      </c>
      <c r="L8">
        <f>IF(ISBLANK('By Round'!L147),"",'By Round'!L147)</f>
        <v/>
      </c>
      <c r="M8" s="11">
        <f>AVERAGE(AG8:AL8)</f>
        <v/>
      </c>
      <c r="N8" s="12">
        <f>AVERAGE(AM8:AR8)</f>
        <v/>
      </c>
      <c r="O8" s="13">
        <f>IF(COUNT(U8:Z8)&gt;0,Q8/COUNT(U8:Z8),0.5)</f>
        <v/>
      </c>
      <c r="P8" s="13">
        <f>IF(COUNT(AA8:AF8)&gt;0,R8/COUNT(AA8:AF8),0.5)</f>
        <v/>
      </c>
      <c r="Q8" s="5">
        <f>SUM(U8:Z8)</f>
        <v/>
      </c>
      <c r="R8" s="5">
        <f>SUM(AA8:AF8)</f>
        <v/>
      </c>
      <c r="S8" s="14">
        <f>IF(ISNUMBER(K8),K8,IF(ISNUMBER(L8),-L8,""))</f>
        <v/>
      </c>
      <c r="T8">
        <f>IF(ISNUMBER(L8),L8,IF(ISNUMBER(K8),-K8,""))</f>
        <v/>
      </c>
      <c r="U8" s="14">
        <f>IF(ISNUMBER(S8),IF(ISNUMBER(S3),IF(S8&gt;S3,1.0,IF(S8=S3,0.5,0.0)),""),"")</f>
        <v/>
      </c>
      <c r="V8">
        <f>IF(ISNUMBER(S8),IF(ISNUMBER(S4),IF(S8&gt;S4,1.0,IF(S8=S4,0.5,0.0)),""),"")</f>
        <v/>
      </c>
      <c r="W8">
        <f>IF(ISNUMBER(S8),IF(ISNUMBER(S5),IF(S8&gt;S5,1.0,IF(S8=S5,0.5,0.0)),""),"")</f>
        <v/>
      </c>
      <c r="X8">
        <f>IF(ISNUMBER(S8),IF(ISNUMBER(S6),IF(S8&gt;S6,1.0,IF(S8=S6,0.5,0.0)),""),"")</f>
        <v/>
      </c>
      <c r="Y8">
        <f>IF(ISNUMBER(S8),IF(ISNUMBER(S7),IF(S8&gt;S7,1.0,IF(S8=S7,0.5,0.0)),""),"")</f>
        <v/>
      </c>
      <c r="Z8">
        <f>IF(ISNUMBER(S8),IF(ISNUMBER(S9),IF(S8&gt;S9,1.0,IF(S8=S9,0.5,0.0)),""),"")</f>
        <v/>
      </c>
      <c r="AA8">
        <f>IF(ISNUMBER(T8),IF(ISNUMBER(T3),IF(T8&gt;T3,1.0,IF(T8=T3,0.5,0.0)),""),"")</f>
        <v/>
      </c>
      <c r="AB8">
        <f>IF(ISNUMBER(T8),IF(ISNUMBER(T4),IF(T8&gt;T4,1.0,IF(T8=T4,0.5,0.0)),""),"")</f>
        <v/>
      </c>
      <c r="AC8">
        <f>IF(ISNUMBER(T8),IF(ISNUMBER(T5),IF(T8&gt;T5,1.0,IF(T8=T5,0.5,0.0)),""),"")</f>
        <v/>
      </c>
      <c r="AD8">
        <f>IF(ISNUMBER(T8),IF(ISNUMBER(T6),IF(T8&gt;T6,1.0,IF(T8=T6,0.5,0.0)),""),"")</f>
        <v/>
      </c>
      <c r="AE8">
        <f>IF(ISNUMBER(T8),IF(ISNUMBER(T7),IF(T8&gt;T7,1.0,IF(T8=T7,0.5,0.0)),""),"")</f>
        <v/>
      </c>
      <c r="AF8">
        <f>IF(ISNUMBER(T8),IF(ISNUMBER(T9),IF(T8&gt;T9,1.0,IF(T8=T9,0.5,0.0)),""),"")</f>
        <v/>
      </c>
      <c r="AG8" s="14">
        <f>IF(AND(ISNUMBER(S8),ISNUMBER(S3)),VLOOKUP(ABS(S8-S3),'IMP Table'!$A$2:$C$26,3)*SIGN(S8-S3),0)</f>
        <v/>
      </c>
      <c r="AH8">
        <f>IF(AND(ISNUMBER(S8),ISNUMBER(S4)),VLOOKUP(ABS(S8-S4),'IMP Table'!$A$2:$C$26,3)*SIGN(S8-S4),0)</f>
        <v/>
      </c>
      <c r="AI8">
        <f>IF(AND(ISNUMBER(S8),ISNUMBER(S5)),VLOOKUP(ABS(S8-S5),'IMP Table'!$A$2:$C$26,3)*SIGN(S8-S5),0)</f>
        <v/>
      </c>
      <c r="AJ8">
        <f>IF(AND(ISNUMBER(S8),ISNUMBER(S6)),VLOOKUP(ABS(S8-S6),'IMP Table'!$A$2:$C$26,3)*SIGN(S8-S6),0)</f>
        <v/>
      </c>
      <c r="AK8">
        <f>IF(AND(ISNUMBER(S8),ISNUMBER(S7)),VLOOKUP(ABS(S8-S7),'IMP Table'!$A$2:$C$26,3)*SIGN(S8-S7),0)</f>
        <v/>
      </c>
      <c r="AL8">
        <f>IF(AND(ISNUMBER(S8),ISNUMBER(S9)),VLOOKUP(ABS(S8-S9),'IMP Table'!$A$2:$C$26,3)*SIGN(S8-S9),0)</f>
        <v/>
      </c>
      <c r="AM8">
        <f>IF(AND(ISNUMBER(T8),ISNUMBER(T3)),VLOOKUP(ABS(T8-T3),'IMP Table'!$A$2:$C$26,3)*SIGN(T8-T3),0)</f>
        <v/>
      </c>
      <c r="AN8">
        <f>IF(AND(ISNUMBER(T8),ISNUMBER(T4)),VLOOKUP(ABS(T8-T4),'IMP Table'!$A$2:$C$26,3)*SIGN(T8-T4),0)</f>
        <v/>
      </c>
      <c r="AO8">
        <f>IF(AND(ISNUMBER(T8),ISNUMBER(T5)),VLOOKUP(ABS(T8-T5),'IMP Table'!$A$2:$C$26,3)*SIGN(T8-T5),0)</f>
        <v/>
      </c>
      <c r="AP8">
        <f>IF(AND(ISNUMBER(T8),ISNUMBER(T6)),VLOOKUP(ABS(T8-T6),'IMP Table'!$A$2:$C$26,3)*SIGN(T8-T6),0)</f>
        <v/>
      </c>
      <c r="AQ8">
        <f>IF(AND(ISNUMBER(T8),ISNUMBER(T7)),VLOOKUP(ABS(T8-T7),'IMP Table'!$A$2:$C$26,3)*SIGN(T8-T7),0)</f>
        <v/>
      </c>
      <c r="AR8">
        <f>IF(AND(ISNUMBER(T8),ISNUMBER(T9)),VLOOKUP(ABS(T8-T9),'IMP Table'!$A$2:$C$26,3)*SIGN(T8-T9),0)</f>
        <v/>
      </c>
    </row>
    <row r="9">
      <c r="A9" s="15" t="n"/>
      <c r="B9" s="16">
        <f>'By Round'!A3</f>
        <v/>
      </c>
      <c r="C9" s="16">
        <f>'By Round'!B3</f>
        <v/>
      </c>
      <c r="D9" s="16">
        <f>'By Round'!C3</f>
        <v/>
      </c>
      <c r="E9" s="16">
        <f>'By Round'!D3</f>
        <v/>
      </c>
      <c r="F9" s="16">
        <f>IF(ISBLANK('By Round'!F3),"",'By Round'!F3)</f>
        <v/>
      </c>
      <c r="G9" s="15">
        <f>IF(ISBLANK('By Round'!G3),"",'By Round'!G3)</f>
        <v/>
      </c>
      <c r="H9" s="15">
        <f>IF(ISBLANK('By Round'!H3),"",'By Round'!H3)</f>
        <v/>
      </c>
      <c r="I9" s="15">
        <f>IF(ISBLANK('By Round'!I3),"",'By Round'!I3)</f>
        <v/>
      </c>
      <c r="J9" s="15">
        <f>IF(ISBLANK('By Round'!J3),"",'By Round'!J3)</f>
        <v/>
      </c>
      <c r="K9" s="15">
        <f>IF(ISBLANK('By Round'!K3),"",'By Round'!K3)</f>
        <v/>
      </c>
      <c r="L9" s="15">
        <f>IF(ISBLANK('By Round'!L3),"",'By Round'!L3)</f>
        <v/>
      </c>
      <c r="M9" s="17">
        <f>AVERAGE(AG9:AL9)</f>
        <v/>
      </c>
      <c r="N9" s="18">
        <f>AVERAGE(AM9:AR9)</f>
        <v/>
      </c>
      <c r="O9" s="19">
        <f>IF(COUNT(U9:Z9)&gt;0,Q9/COUNT(U9:Z9),0.5)</f>
        <v/>
      </c>
      <c r="P9" s="19">
        <f>IF(COUNT(AA9:AF9)&gt;0,R9/COUNT(AA9:AF9),0.5)</f>
        <v/>
      </c>
      <c r="Q9" s="20">
        <f>SUM(U9:Z9)</f>
        <v/>
      </c>
      <c r="R9" s="20">
        <f>SUM(AA9:AF9)</f>
        <v/>
      </c>
      <c r="S9" s="21">
        <f>IF(ISNUMBER(K9),K9,IF(ISNUMBER(L9),-L9,""))</f>
        <v/>
      </c>
      <c r="T9" s="15">
        <f>IF(ISNUMBER(L9),L9,IF(ISNUMBER(K9),-K9,""))</f>
        <v/>
      </c>
      <c r="U9" s="21">
        <f>IF(ISNUMBER(S9),IF(ISNUMBER(S3),IF(S9&gt;S3,1.0,IF(S9=S3,0.5,0.0)),""),"")</f>
        <v/>
      </c>
      <c r="V9" s="15">
        <f>IF(ISNUMBER(S9),IF(ISNUMBER(S4),IF(S9&gt;S4,1.0,IF(S9=S4,0.5,0.0)),""),"")</f>
        <v/>
      </c>
      <c r="W9" s="15">
        <f>IF(ISNUMBER(S9),IF(ISNUMBER(S5),IF(S9&gt;S5,1.0,IF(S9=S5,0.5,0.0)),""),"")</f>
        <v/>
      </c>
      <c r="X9" s="15">
        <f>IF(ISNUMBER(S9),IF(ISNUMBER(S6),IF(S9&gt;S6,1.0,IF(S9=S6,0.5,0.0)),""),"")</f>
        <v/>
      </c>
      <c r="Y9" s="15">
        <f>IF(ISNUMBER(S9),IF(ISNUMBER(S7),IF(S9&gt;S7,1.0,IF(S9=S7,0.5,0.0)),""),"")</f>
        <v/>
      </c>
      <c r="Z9" s="15">
        <f>IF(ISNUMBER(S9),IF(ISNUMBER(S8),IF(S9&gt;S8,1.0,IF(S9=S8,0.5,0.0)),""),"")</f>
        <v/>
      </c>
      <c r="AA9" s="15">
        <f>IF(ISNUMBER(T9),IF(ISNUMBER(T3),IF(T9&gt;T3,1.0,IF(T9=T3,0.5,0.0)),""),"")</f>
        <v/>
      </c>
      <c r="AB9" s="15">
        <f>IF(ISNUMBER(T9),IF(ISNUMBER(T4),IF(T9&gt;T4,1.0,IF(T9=T4,0.5,0.0)),""),"")</f>
        <v/>
      </c>
      <c r="AC9" s="15">
        <f>IF(ISNUMBER(T9),IF(ISNUMBER(T5),IF(T9&gt;T5,1.0,IF(T9=T5,0.5,0.0)),""),"")</f>
        <v/>
      </c>
      <c r="AD9" s="15">
        <f>IF(ISNUMBER(T9),IF(ISNUMBER(T6),IF(T9&gt;T6,1.0,IF(T9=T6,0.5,0.0)),""),"")</f>
        <v/>
      </c>
      <c r="AE9" s="15">
        <f>IF(ISNUMBER(T9),IF(ISNUMBER(T7),IF(T9&gt;T7,1.0,IF(T9=T7,0.5,0.0)),""),"")</f>
        <v/>
      </c>
      <c r="AF9" s="15">
        <f>IF(ISNUMBER(T9),IF(ISNUMBER(T8),IF(T9&gt;T8,1.0,IF(T9=T8,0.5,0.0)),""),"")</f>
        <v/>
      </c>
      <c r="AG9" s="21">
        <f>IF(AND(ISNUMBER(S9),ISNUMBER(S3)),VLOOKUP(ABS(S9-S3),'IMP Table'!$A$2:$C$26,3)*SIGN(S9-S3),0)</f>
        <v/>
      </c>
      <c r="AH9" s="15">
        <f>IF(AND(ISNUMBER(S9),ISNUMBER(S4)),VLOOKUP(ABS(S9-S4),'IMP Table'!$A$2:$C$26,3)*SIGN(S9-S4),0)</f>
        <v/>
      </c>
      <c r="AI9" s="15">
        <f>IF(AND(ISNUMBER(S9),ISNUMBER(S5)),VLOOKUP(ABS(S9-S5),'IMP Table'!$A$2:$C$26,3)*SIGN(S9-S5),0)</f>
        <v/>
      </c>
      <c r="AJ9" s="15">
        <f>IF(AND(ISNUMBER(S9),ISNUMBER(S6)),VLOOKUP(ABS(S9-S6),'IMP Table'!$A$2:$C$26,3)*SIGN(S9-S6),0)</f>
        <v/>
      </c>
      <c r="AK9" s="15">
        <f>IF(AND(ISNUMBER(S9),ISNUMBER(S7)),VLOOKUP(ABS(S9-S7),'IMP Table'!$A$2:$C$26,3)*SIGN(S9-S7),0)</f>
        <v/>
      </c>
      <c r="AL9" s="15">
        <f>IF(AND(ISNUMBER(S9),ISNUMBER(S8)),VLOOKUP(ABS(S9-S8),'IMP Table'!$A$2:$C$26,3)*SIGN(S9-S8),0)</f>
        <v/>
      </c>
      <c r="AM9" s="15">
        <f>IF(AND(ISNUMBER(T9),ISNUMBER(T3)),VLOOKUP(ABS(T9-T3),'IMP Table'!$A$2:$C$26,3)*SIGN(T9-T3),0)</f>
        <v/>
      </c>
      <c r="AN9" s="15">
        <f>IF(AND(ISNUMBER(T9),ISNUMBER(T4)),VLOOKUP(ABS(T9-T4),'IMP Table'!$A$2:$C$26,3)*SIGN(T9-T4),0)</f>
        <v/>
      </c>
      <c r="AO9" s="15">
        <f>IF(AND(ISNUMBER(T9),ISNUMBER(T5)),VLOOKUP(ABS(T9-T5),'IMP Table'!$A$2:$C$26,3)*SIGN(T9-T5),0)</f>
        <v/>
      </c>
      <c r="AP9" s="15">
        <f>IF(AND(ISNUMBER(T9),ISNUMBER(T6)),VLOOKUP(ABS(T9-T6),'IMP Table'!$A$2:$C$26,3)*SIGN(T9-T6),0)</f>
        <v/>
      </c>
      <c r="AQ9" s="15">
        <f>IF(AND(ISNUMBER(T9),ISNUMBER(T7)),VLOOKUP(ABS(T9-T7),'IMP Table'!$A$2:$C$26,3)*SIGN(T9-T7),0)</f>
        <v/>
      </c>
      <c r="AR9" s="15">
        <f>IF(AND(ISNUMBER(T9),ISNUMBER(T8)),VLOOKUP(ABS(T9-T8),'IMP Table'!$A$2:$C$26,3)*SIGN(T9-T8),0)</f>
        <v/>
      </c>
    </row>
    <row r="10">
      <c r="A10" s="10" t="n">
        <v>2</v>
      </c>
      <c r="B10" s="10">
        <f>'By Round'!A157</f>
        <v/>
      </c>
      <c r="C10" s="10">
        <f>'By Round'!B159</f>
        <v/>
      </c>
      <c r="D10" s="10">
        <f>'By Round'!C159</f>
        <v/>
      </c>
      <c r="E10" s="10">
        <f>'By Round'!D159</f>
        <v/>
      </c>
      <c r="F10" s="10">
        <f>IF(ISBLANK('By Round'!F160),"",'By Round'!F160)</f>
        <v/>
      </c>
      <c r="G10">
        <f>IF(ISBLANK('By Round'!G160),"",'By Round'!G160)</f>
        <v/>
      </c>
      <c r="H10">
        <f>IF(ISBLANK('By Round'!H160),"",'By Round'!H160)</f>
        <v/>
      </c>
      <c r="I10">
        <f>IF(ISBLANK('By Round'!I160),"",'By Round'!I160)</f>
        <v/>
      </c>
      <c r="J10">
        <f>IF(ISBLANK('By Round'!J160),"",'By Round'!J160)</f>
        <v/>
      </c>
      <c r="K10">
        <f>IF(ISBLANK('By Round'!K160),"",'By Round'!K160)</f>
        <v/>
      </c>
      <c r="L10">
        <f>IF(ISBLANK('By Round'!L160),"",'By Round'!L160)</f>
        <v/>
      </c>
      <c r="M10" s="11">
        <f>AVERAGE(AG10:AL10)</f>
        <v/>
      </c>
      <c r="N10" s="12">
        <f>AVERAGE(AM10:AR10)</f>
        <v/>
      </c>
      <c r="O10" s="13">
        <f>IF(COUNT(U10:Z10)&gt;0,Q10/COUNT(U10:Z10),0.5)</f>
        <v/>
      </c>
      <c r="P10" s="13">
        <f>IF(COUNT(AA10:AF10)&gt;0,R10/COUNT(AA10:AF10),0.5)</f>
        <v/>
      </c>
      <c r="Q10" s="5">
        <f>SUM(U10:Z10)</f>
        <v/>
      </c>
      <c r="R10" s="5">
        <f>SUM(AA10:AF10)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IF(ISNUMBER(S10),IF(ISNUMBER(S11),IF(S10&gt;S11,1.0,IF(S10=S11,0.5,0.0)),""),"")</f>
        <v/>
      </c>
      <c r="V10">
        <f>IF(ISNUMBER(S10),IF(ISNUMBER(S12),IF(S10&gt;S12,1.0,IF(S10=S12,0.5,0.0)),""),"")</f>
        <v/>
      </c>
      <c r="W10">
        <f>IF(ISNUMBER(S10),IF(ISNUMBER(S13),IF(S10&gt;S13,1.0,IF(S10=S13,0.5,0.0)),""),"")</f>
        <v/>
      </c>
      <c r="X10">
        <f>IF(ISNUMBER(S10),IF(ISNUMBER(S14),IF(S10&gt;S14,1.0,IF(S10=S14,0.5,0.0)),""),"")</f>
        <v/>
      </c>
      <c r="Y10">
        <f>IF(ISNUMBER(S10),IF(ISNUMBER(S15),IF(S10&gt;S15,1.0,IF(S10=S15,0.5,0.0)),""),"")</f>
        <v/>
      </c>
      <c r="Z10">
        <f>IF(ISNUMBER(S10),IF(ISNUMBER(S16),IF(S10&gt;S16,1.0,IF(S10=S16,0.5,0.0)),""),"")</f>
        <v/>
      </c>
      <c r="AA10">
        <f>IF(ISNUMBER(T10),IF(ISNUMBER(T11),IF(T10&gt;T11,1.0,IF(T10=T11,0.5,0.0)),""),"")</f>
        <v/>
      </c>
      <c r="AB10">
        <f>IF(ISNUMBER(T10),IF(ISNUMBER(T12),IF(T10&gt;T12,1.0,IF(T10=T12,0.5,0.0)),""),"")</f>
        <v/>
      </c>
      <c r="AC10">
        <f>IF(ISNUMBER(T10),IF(ISNUMBER(T13),IF(T10&gt;T13,1.0,IF(T10=T13,0.5,0.0)),""),"")</f>
        <v/>
      </c>
      <c r="AD10">
        <f>IF(ISNUMBER(T10),IF(ISNUMBER(T14),IF(T10&gt;T14,1.0,IF(T10=T14,0.5,0.0)),""),"")</f>
        <v/>
      </c>
      <c r="AE10">
        <f>IF(ISNUMBER(T10),IF(ISNUMBER(T15),IF(T10&gt;T15,1.0,IF(T10=T15,0.5,0.0)),""),"")</f>
        <v/>
      </c>
      <c r="AF10">
        <f>IF(ISNUMBER(T10),IF(ISNUMBER(T16),IF(T10&gt;T16,1.0,IF(T10=T16,0.5,0.0)),""),"")</f>
        <v/>
      </c>
      <c r="AG10" s="14">
        <f>IF(AND(ISNUMBER(S10),ISNUMBER(S11)),VLOOKUP(ABS(S10-S11),'IMP Table'!$A$2:$C$26,3)*SIGN(S10-S11),0)</f>
        <v/>
      </c>
      <c r="AH10">
        <f>IF(AND(ISNUMBER(S10),ISNUMBER(S12)),VLOOKUP(ABS(S10-S12),'IMP Table'!$A$2:$C$26,3)*SIGN(S10-S12),0)</f>
        <v/>
      </c>
      <c r="AI10">
        <f>IF(AND(ISNUMBER(S10),ISNUMBER(S13)),VLOOKUP(ABS(S10-S13),'IMP Table'!$A$2:$C$26,3)*SIGN(S10-S13),0)</f>
        <v/>
      </c>
      <c r="AJ10">
        <f>IF(AND(ISNUMBER(S10),ISNUMBER(S14)),VLOOKUP(ABS(S10-S14),'IMP Table'!$A$2:$C$26,3)*SIGN(S10-S14),0)</f>
        <v/>
      </c>
      <c r="AK10">
        <f>IF(AND(ISNUMBER(S10),ISNUMBER(S15)),VLOOKUP(ABS(S10-S15),'IMP Table'!$A$2:$C$26,3)*SIGN(S10-S15),0)</f>
        <v/>
      </c>
      <c r="AL10">
        <f>IF(AND(ISNUMBER(S10),ISNUMBER(S16)),VLOOKUP(ABS(S10-S16),'IMP Table'!$A$2:$C$26,3)*SIGN(S10-S16),0)</f>
        <v/>
      </c>
      <c r="AM10">
        <f>IF(AND(ISNUMBER(T10),ISNUMBER(T11)),VLOOKUP(ABS(T10-T11),'IMP Table'!$A$2:$C$26,3)*SIGN(T10-T11),0)</f>
        <v/>
      </c>
      <c r="AN10">
        <f>IF(AND(ISNUMBER(T10),ISNUMBER(T12)),VLOOKUP(ABS(T10-T12),'IMP Table'!$A$2:$C$26,3)*SIGN(T10-T12),0)</f>
        <v/>
      </c>
      <c r="AO10">
        <f>IF(AND(ISNUMBER(T10),ISNUMBER(T13)),VLOOKUP(ABS(T10-T13),'IMP Table'!$A$2:$C$26,3)*SIGN(T10-T13),0)</f>
        <v/>
      </c>
      <c r="AP10">
        <f>IF(AND(ISNUMBER(T10),ISNUMBER(T14)),VLOOKUP(ABS(T10-T14),'IMP Table'!$A$2:$C$26,3)*SIGN(T10-T14),0)</f>
        <v/>
      </c>
      <c r="AQ10">
        <f>IF(AND(ISNUMBER(T10),ISNUMBER(T15)),VLOOKUP(ABS(T10-T15),'IMP Table'!$A$2:$C$26,3)*SIGN(T10-T15),0)</f>
        <v/>
      </c>
      <c r="AR10">
        <f>IF(AND(ISNUMBER(T10),ISNUMBER(T16)),VLOOKUP(ABS(T10-T16),'IMP Table'!$A$2:$C$26,3)*SIGN(T10-T16),0)</f>
        <v/>
      </c>
    </row>
    <row r="11">
      <c r="B11" s="10">
        <f>'By Round'!A129</f>
        <v/>
      </c>
      <c r="C11" s="10">
        <f>'By Round'!B135</f>
        <v/>
      </c>
      <c r="D11" s="10">
        <f>'By Round'!C135</f>
        <v/>
      </c>
      <c r="E11" s="10">
        <f>'By Round'!D135</f>
        <v/>
      </c>
      <c r="F11" s="10">
        <f>IF(ISBLANK('By Round'!F136),"",'By Round'!F136)</f>
        <v/>
      </c>
      <c r="G11">
        <f>IF(ISBLANK('By Round'!G136),"",'By Round'!G136)</f>
        <v/>
      </c>
      <c r="H11">
        <f>IF(ISBLANK('By Round'!H136),"",'By Round'!H136)</f>
        <v/>
      </c>
      <c r="I11">
        <f>IF(ISBLANK('By Round'!I136),"",'By Round'!I136)</f>
        <v/>
      </c>
      <c r="J11">
        <f>IF(ISBLANK('By Round'!J136),"",'By Round'!J136)</f>
        <v/>
      </c>
      <c r="K11">
        <f>IF(ISBLANK('By Round'!K136),"",'By Round'!K136)</f>
        <v/>
      </c>
      <c r="L11">
        <f>IF(ISBLANK('By Round'!L136),"",'By Round'!L136)</f>
        <v/>
      </c>
      <c r="M11" s="11">
        <f>AVERAGE(AG11:AL11)</f>
        <v/>
      </c>
      <c r="N11" s="12">
        <f>AVERAGE(AM11:AR11)</f>
        <v/>
      </c>
      <c r="O11" s="13">
        <f>IF(COUNT(U11:Z11)&gt;0,Q11/COUNT(U11:Z11),0.5)</f>
        <v/>
      </c>
      <c r="P11" s="13">
        <f>IF(COUNT(AA11:AF11)&gt;0,R11/COUNT(AA11:AF11),0.5)</f>
        <v/>
      </c>
      <c r="Q11" s="5">
        <f>SUM(U11:Z11)</f>
        <v/>
      </c>
      <c r="R11" s="5">
        <f>SUM(AA11:AF11)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IF(ISNUMBER(S11),IF(ISNUMBER(S10),IF(S11&gt;S10,1.0,IF(S11=S10,0.5,0.0)),""),"")</f>
        <v/>
      </c>
      <c r="V11">
        <f>IF(ISNUMBER(S11),IF(ISNUMBER(S12),IF(S11&gt;S12,1.0,IF(S11=S12,0.5,0.0)),""),"")</f>
        <v/>
      </c>
      <c r="W11">
        <f>IF(ISNUMBER(S11),IF(ISNUMBER(S13),IF(S11&gt;S13,1.0,IF(S11=S13,0.5,0.0)),""),"")</f>
        <v/>
      </c>
      <c r="X11">
        <f>IF(ISNUMBER(S11),IF(ISNUMBER(S14),IF(S11&gt;S14,1.0,IF(S11=S14,0.5,0.0)),""),"")</f>
        <v/>
      </c>
      <c r="Y11">
        <f>IF(ISNUMBER(S11),IF(ISNUMBER(S15),IF(S11&gt;S15,1.0,IF(S11=S15,0.5,0.0)),""),"")</f>
        <v/>
      </c>
      <c r="Z11">
        <f>IF(ISNUMBER(S11),IF(ISNUMBER(S16),IF(S11&gt;S16,1.0,IF(S11=S16,0.5,0.0)),""),"")</f>
        <v/>
      </c>
      <c r="AA11">
        <f>IF(ISNUMBER(T11),IF(ISNUMBER(T10),IF(T11&gt;T10,1.0,IF(T11=T10,0.5,0.0)),""),"")</f>
        <v/>
      </c>
      <c r="AB11">
        <f>IF(ISNUMBER(T11),IF(ISNUMBER(T12),IF(T11&gt;T12,1.0,IF(T11=T12,0.5,0.0)),""),"")</f>
        <v/>
      </c>
      <c r="AC11">
        <f>IF(ISNUMBER(T11),IF(ISNUMBER(T13),IF(T11&gt;T13,1.0,IF(T11=T13,0.5,0.0)),""),"")</f>
        <v/>
      </c>
      <c r="AD11">
        <f>IF(ISNUMBER(T11),IF(ISNUMBER(T14),IF(T11&gt;T14,1.0,IF(T11=T14,0.5,0.0)),""),"")</f>
        <v/>
      </c>
      <c r="AE11">
        <f>IF(ISNUMBER(T11),IF(ISNUMBER(T15),IF(T11&gt;T15,1.0,IF(T11=T15,0.5,0.0)),""),"")</f>
        <v/>
      </c>
      <c r="AF11">
        <f>IF(ISNUMBER(T11),IF(ISNUMBER(T16),IF(T11&gt;T16,1.0,IF(T11=T16,0.5,0.0)),""),"")</f>
        <v/>
      </c>
      <c r="AG11" s="14">
        <f>IF(AND(ISNUMBER(S11),ISNUMBER(S10)),VLOOKUP(ABS(S11-S10),'IMP Table'!$A$2:$C$26,3)*SIGN(S11-S10),0)</f>
        <v/>
      </c>
      <c r="AH11">
        <f>IF(AND(ISNUMBER(S11),ISNUMBER(S12)),VLOOKUP(ABS(S11-S12),'IMP Table'!$A$2:$C$26,3)*SIGN(S11-S12),0)</f>
        <v/>
      </c>
      <c r="AI11">
        <f>IF(AND(ISNUMBER(S11),ISNUMBER(S13)),VLOOKUP(ABS(S11-S13),'IMP Table'!$A$2:$C$26,3)*SIGN(S11-S13),0)</f>
        <v/>
      </c>
      <c r="AJ11">
        <f>IF(AND(ISNUMBER(S11),ISNUMBER(S14)),VLOOKUP(ABS(S11-S14),'IMP Table'!$A$2:$C$26,3)*SIGN(S11-S14),0)</f>
        <v/>
      </c>
      <c r="AK11">
        <f>IF(AND(ISNUMBER(S11),ISNUMBER(S15)),VLOOKUP(ABS(S11-S15),'IMP Table'!$A$2:$C$26,3)*SIGN(S11-S15),0)</f>
        <v/>
      </c>
      <c r="AL11">
        <f>IF(AND(ISNUMBER(S11),ISNUMBER(S16)),VLOOKUP(ABS(S11-S16),'IMP Table'!$A$2:$C$26,3)*SIGN(S11-S16),0)</f>
        <v/>
      </c>
      <c r="AM11">
        <f>IF(AND(ISNUMBER(T11),ISNUMBER(T10)),VLOOKUP(ABS(T11-T10),'IMP Table'!$A$2:$C$26,3)*SIGN(T11-T10),0)</f>
        <v/>
      </c>
      <c r="AN11">
        <f>IF(AND(ISNUMBER(T11),ISNUMBER(T12)),VLOOKUP(ABS(T11-T12),'IMP Table'!$A$2:$C$26,3)*SIGN(T11-T12),0)</f>
        <v/>
      </c>
      <c r="AO11">
        <f>IF(AND(ISNUMBER(T11),ISNUMBER(T13)),VLOOKUP(ABS(T11-T13),'IMP Table'!$A$2:$C$26,3)*SIGN(T11-T13),0)</f>
        <v/>
      </c>
      <c r="AP11">
        <f>IF(AND(ISNUMBER(T11),ISNUMBER(T14)),VLOOKUP(ABS(T11-T14),'IMP Table'!$A$2:$C$26,3)*SIGN(T11-T14),0)</f>
        <v/>
      </c>
      <c r="AQ11">
        <f>IF(AND(ISNUMBER(T11),ISNUMBER(T15)),VLOOKUP(ABS(T11-T15),'IMP Table'!$A$2:$C$26,3)*SIGN(T11-T15),0)</f>
        <v/>
      </c>
      <c r="AR11">
        <f>IF(AND(ISNUMBER(T11),ISNUMBER(T16)),VLOOKUP(ABS(T11-T16),'IMP Table'!$A$2:$C$26,3)*SIGN(T11-T16),0)</f>
        <v/>
      </c>
    </row>
    <row r="12">
      <c r="B12" s="10">
        <f>'By Round'!A31</f>
        <v/>
      </c>
      <c r="C12" s="10">
        <f>'By Round'!B43</f>
        <v/>
      </c>
      <c r="D12" s="10">
        <f>'By Round'!C43</f>
        <v/>
      </c>
      <c r="E12" s="10">
        <f>'By Round'!D43</f>
        <v/>
      </c>
      <c r="F12" s="10">
        <f>IF(ISBLANK('By Round'!F44),"",'By Round'!F44)</f>
        <v/>
      </c>
      <c r="G12">
        <f>IF(ISBLANK('By Round'!G44),"",'By Round'!G44)</f>
        <v/>
      </c>
      <c r="H12">
        <f>IF(ISBLANK('By Round'!H44),"",'By Round'!H44)</f>
        <v/>
      </c>
      <c r="I12">
        <f>IF(ISBLANK('By Round'!I44),"",'By Round'!I44)</f>
        <v/>
      </c>
      <c r="J12">
        <f>IF(ISBLANK('By Round'!J44),"",'By Round'!J44)</f>
        <v/>
      </c>
      <c r="K12">
        <f>IF(ISBLANK('By Round'!K44),"",'By Round'!K44)</f>
        <v/>
      </c>
      <c r="L12">
        <f>IF(ISBLANK('By Round'!L44),"",'By Round'!L44)</f>
        <v/>
      </c>
      <c r="M12" s="11">
        <f>AVERAGE(AG12:AL12)</f>
        <v/>
      </c>
      <c r="N12" s="12">
        <f>AVERAGE(AM12:AR12)</f>
        <v/>
      </c>
      <c r="O12" s="13">
        <f>IF(COUNT(U12:Z12)&gt;0,Q12/COUNT(U12:Z12),0.5)</f>
        <v/>
      </c>
      <c r="P12" s="13">
        <f>IF(COUNT(AA12:AF12)&gt;0,R12/COUNT(AA12:AF12),0.5)</f>
        <v/>
      </c>
      <c r="Q12" s="5">
        <f>SUM(U12:Z12)</f>
        <v/>
      </c>
      <c r="R12" s="5">
        <f>SUM(AA12:AF12)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IF(ISNUMBER(S12),IF(ISNUMBER(S10),IF(S12&gt;S10,1.0,IF(S12=S10,0.5,0.0)),""),"")</f>
        <v/>
      </c>
      <c r="V12">
        <f>IF(ISNUMBER(S12),IF(ISNUMBER(S11),IF(S12&gt;S11,1.0,IF(S12=S11,0.5,0.0)),""),"")</f>
        <v/>
      </c>
      <c r="W12">
        <f>IF(ISNUMBER(S12),IF(ISNUMBER(S13),IF(S12&gt;S13,1.0,IF(S12=S13,0.5,0.0)),""),"")</f>
        <v/>
      </c>
      <c r="X12">
        <f>IF(ISNUMBER(S12),IF(ISNUMBER(S14),IF(S12&gt;S14,1.0,IF(S12=S14,0.5,0.0)),""),"")</f>
        <v/>
      </c>
      <c r="Y12">
        <f>IF(ISNUMBER(S12),IF(ISNUMBER(S15),IF(S12&gt;S15,1.0,IF(S12=S15,0.5,0.0)),""),"")</f>
        <v/>
      </c>
      <c r="Z12">
        <f>IF(ISNUMBER(S12),IF(ISNUMBER(S16),IF(S12&gt;S16,1.0,IF(S12=S16,0.5,0.0)),""),"")</f>
        <v/>
      </c>
      <c r="AA12">
        <f>IF(ISNUMBER(T12),IF(ISNUMBER(T10),IF(T12&gt;T10,1.0,IF(T12=T10,0.5,0.0)),""),"")</f>
        <v/>
      </c>
      <c r="AB12">
        <f>IF(ISNUMBER(T12),IF(ISNUMBER(T11),IF(T12&gt;T11,1.0,IF(T12=T11,0.5,0.0)),""),"")</f>
        <v/>
      </c>
      <c r="AC12">
        <f>IF(ISNUMBER(T12),IF(ISNUMBER(T13),IF(T12&gt;T13,1.0,IF(T12=T13,0.5,0.0)),""),"")</f>
        <v/>
      </c>
      <c r="AD12">
        <f>IF(ISNUMBER(T12),IF(ISNUMBER(T14),IF(T12&gt;T14,1.0,IF(T12=T14,0.5,0.0)),""),"")</f>
        <v/>
      </c>
      <c r="AE12">
        <f>IF(ISNUMBER(T12),IF(ISNUMBER(T15),IF(T12&gt;T15,1.0,IF(T12=T15,0.5,0.0)),""),"")</f>
        <v/>
      </c>
      <c r="AF12">
        <f>IF(ISNUMBER(T12),IF(ISNUMBER(T16),IF(T12&gt;T16,1.0,IF(T12=T16,0.5,0.0)),""),"")</f>
        <v/>
      </c>
      <c r="AG12" s="14">
        <f>IF(AND(ISNUMBER(S12),ISNUMBER(S10)),VLOOKUP(ABS(S12-S10),'IMP Table'!$A$2:$C$26,3)*SIGN(S12-S10),0)</f>
        <v/>
      </c>
      <c r="AH12">
        <f>IF(AND(ISNUMBER(S12),ISNUMBER(S11)),VLOOKUP(ABS(S12-S11),'IMP Table'!$A$2:$C$26,3)*SIGN(S12-S11),0)</f>
        <v/>
      </c>
      <c r="AI12">
        <f>IF(AND(ISNUMBER(S12),ISNUMBER(S13)),VLOOKUP(ABS(S12-S13),'IMP Table'!$A$2:$C$26,3)*SIGN(S12-S13),0)</f>
        <v/>
      </c>
      <c r="AJ12">
        <f>IF(AND(ISNUMBER(S12),ISNUMBER(S14)),VLOOKUP(ABS(S12-S14),'IMP Table'!$A$2:$C$26,3)*SIGN(S12-S14),0)</f>
        <v/>
      </c>
      <c r="AK12">
        <f>IF(AND(ISNUMBER(S12),ISNUMBER(S15)),VLOOKUP(ABS(S12-S15),'IMP Table'!$A$2:$C$26,3)*SIGN(S12-S15),0)</f>
        <v/>
      </c>
      <c r="AL12">
        <f>IF(AND(ISNUMBER(S12),ISNUMBER(S16)),VLOOKUP(ABS(S12-S16),'IMP Table'!$A$2:$C$26,3)*SIGN(S12-S16),0)</f>
        <v/>
      </c>
      <c r="AM12">
        <f>IF(AND(ISNUMBER(T12),ISNUMBER(T10)),VLOOKUP(ABS(T12-T10),'IMP Table'!$A$2:$C$26,3)*SIGN(T12-T10),0)</f>
        <v/>
      </c>
      <c r="AN12">
        <f>IF(AND(ISNUMBER(T12),ISNUMBER(T11)),VLOOKUP(ABS(T12-T11),'IMP Table'!$A$2:$C$26,3)*SIGN(T12-T11),0)</f>
        <v/>
      </c>
      <c r="AO12">
        <f>IF(AND(ISNUMBER(T12),ISNUMBER(T13)),VLOOKUP(ABS(T12-T13),'IMP Table'!$A$2:$C$26,3)*SIGN(T12-T13),0)</f>
        <v/>
      </c>
      <c r="AP12">
        <f>IF(AND(ISNUMBER(T12),ISNUMBER(T14)),VLOOKUP(ABS(T12-T14),'IMP Table'!$A$2:$C$26,3)*SIGN(T12-T14),0)</f>
        <v/>
      </c>
      <c r="AQ12">
        <f>IF(AND(ISNUMBER(T12),ISNUMBER(T15)),VLOOKUP(ABS(T12-T15),'IMP Table'!$A$2:$C$26,3)*SIGN(T12-T15),0)</f>
        <v/>
      </c>
      <c r="AR12">
        <f>IF(AND(ISNUMBER(T12),ISNUMBER(T16)),VLOOKUP(ABS(T12-T16),'IMP Table'!$A$2:$C$26,3)*SIGN(T12-T16),0)</f>
        <v/>
      </c>
    </row>
    <row r="13">
      <c r="B13" s="10">
        <f>'By Round'!A59</f>
        <v/>
      </c>
      <c r="C13" s="10">
        <f>'By Round'!B67</f>
        <v/>
      </c>
      <c r="D13" s="10">
        <f>'By Round'!C67</f>
        <v/>
      </c>
      <c r="E13" s="10">
        <f>'By Round'!D67</f>
        <v/>
      </c>
      <c r="F13" s="10">
        <f>IF(ISBLANK('By Round'!F68),"",'By Round'!F68)</f>
        <v/>
      </c>
      <c r="G13">
        <f>IF(ISBLANK('By Round'!G68),"",'By Round'!G68)</f>
        <v/>
      </c>
      <c r="H13">
        <f>IF(ISBLANK('By Round'!H68),"",'By Round'!H68)</f>
        <v/>
      </c>
      <c r="I13">
        <f>IF(ISBLANK('By Round'!I68),"",'By Round'!I68)</f>
        <v/>
      </c>
      <c r="J13">
        <f>IF(ISBLANK('By Round'!J68),"",'By Round'!J68)</f>
        <v/>
      </c>
      <c r="K13">
        <f>IF(ISBLANK('By Round'!K68),"",'By Round'!K68)</f>
        <v/>
      </c>
      <c r="L13">
        <f>IF(ISBLANK('By Round'!L68),"",'By Round'!L68)</f>
        <v/>
      </c>
      <c r="M13" s="11">
        <f>AVERAGE(AG13:AL13)</f>
        <v/>
      </c>
      <c r="N13" s="12">
        <f>AVERAGE(AM13:AR13)</f>
        <v/>
      </c>
      <c r="O13" s="13">
        <f>IF(COUNT(U13:Z13)&gt;0,Q13/COUNT(U13:Z13),0.5)</f>
        <v/>
      </c>
      <c r="P13" s="13">
        <f>IF(COUNT(AA13:AF13)&gt;0,R13/COUNT(AA13:AF13),0.5)</f>
        <v/>
      </c>
      <c r="Q13" s="5">
        <f>SUM(U13:Z13)</f>
        <v/>
      </c>
      <c r="R13" s="5">
        <f>SUM(AA13:AF13)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IF(ISNUMBER(S13),IF(ISNUMBER(S10),IF(S13&gt;S10,1.0,IF(S13=S10,0.5,0.0)),""),"")</f>
        <v/>
      </c>
      <c r="V13">
        <f>IF(ISNUMBER(S13),IF(ISNUMBER(S11),IF(S13&gt;S11,1.0,IF(S13=S11,0.5,0.0)),""),"")</f>
        <v/>
      </c>
      <c r="W13">
        <f>IF(ISNUMBER(S13),IF(ISNUMBER(S12),IF(S13&gt;S12,1.0,IF(S13=S12,0.5,0.0)),""),"")</f>
        <v/>
      </c>
      <c r="X13">
        <f>IF(ISNUMBER(S13),IF(ISNUMBER(S14),IF(S13&gt;S14,1.0,IF(S13=S14,0.5,0.0)),""),"")</f>
        <v/>
      </c>
      <c r="Y13">
        <f>IF(ISNUMBER(S13),IF(ISNUMBER(S15),IF(S13&gt;S15,1.0,IF(S13=S15,0.5,0.0)),""),"")</f>
        <v/>
      </c>
      <c r="Z13">
        <f>IF(ISNUMBER(S13),IF(ISNUMBER(S16),IF(S13&gt;S16,1.0,IF(S13=S16,0.5,0.0)),""),"")</f>
        <v/>
      </c>
      <c r="AA13">
        <f>IF(ISNUMBER(T13),IF(ISNUMBER(T10),IF(T13&gt;T10,1.0,IF(T13=T10,0.5,0.0)),""),"")</f>
        <v/>
      </c>
      <c r="AB13">
        <f>IF(ISNUMBER(T13),IF(ISNUMBER(T11),IF(T13&gt;T11,1.0,IF(T13=T11,0.5,0.0)),""),"")</f>
        <v/>
      </c>
      <c r="AC13">
        <f>IF(ISNUMBER(T13),IF(ISNUMBER(T12),IF(T13&gt;T12,1.0,IF(T13=T12,0.5,0.0)),""),"")</f>
        <v/>
      </c>
      <c r="AD13">
        <f>IF(ISNUMBER(T13),IF(ISNUMBER(T14),IF(T13&gt;T14,1.0,IF(T13=T14,0.5,0.0)),""),"")</f>
        <v/>
      </c>
      <c r="AE13">
        <f>IF(ISNUMBER(T13),IF(ISNUMBER(T15),IF(T13&gt;T15,1.0,IF(T13=T15,0.5,0.0)),""),"")</f>
        <v/>
      </c>
      <c r="AF13">
        <f>IF(ISNUMBER(T13),IF(ISNUMBER(T16),IF(T13&gt;T16,1.0,IF(T13=T16,0.5,0.0)),""),"")</f>
        <v/>
      </c>
      <c r="AG13" s="14">
        <f>IF(AND(ISNUMBER(S13),ISNUMBER(S10)),VLOOKUP(ABS(S13-S10),'IMP Table'!$A$2:$C$26,3)*SIGN(S13-S10),0)</f>
        <v/>
      </c>
      <c r="AH13">
        <f>IF(AND(ISNUMBER(S13),ISNUMBER(S11)),VLOOKUP(ABS(S13-S11),'IMP Table'!$A$2:$C$26,3)*SIGN(S13-S11),0)</f>
        <v/>
      </c>
      <c r="AI13">
        <f>IF(AND(ISNUMBER(S13),ISNUMBER(S12)),VLOOKUP(ABS(S13-S12),'IMP Table'!$A$2:$C$26,3)*SIGN(S13-S12),0)</f>
        <v/>
      </c>
      <c r="AJ13">
        <f>IF(AND(ISNUMBER(S13),ISNUMBER(S14)),VLOOKUP(ABS(S13-S14),'IMP Table'!$A$2:$C$26,3)*SIGN(S13-S14),0)</f>
        <v/>
      </c>
      <c r="AK13">
        <f>IF(AND(ISNUMBER(S13),ISNUMBER(S15)),VLOOKUP(ABS(S13-S15),'IMP Table'!$A$2:$C$26,3)*SIGN(S13-S15),0)</f>
        <v/>
      </c>
      <c r="AL13">
        <f>IF(AND(ISNUMBER(S13),ISNUMBER(S16)),VLOOKUP(ABS(S13-S16),'IMP Table'!$A$2:$C$26,3)*SIGN(S13-S16),0)</f>
        <v/>
      </c>
      <c r="AM13">
        <f>IF(AND(ISNUMBER(T13),ISNUMBER(T10)),VLOOKUP(ABS(T13-T10),'IMP Table'!$A$2:$C$26,3)*SIGN(T13-T10),0)</f>
        <v/>
      </c>
      <c r="AN13">
        <f>IF(AND(ISNUMBER(T13),ISNUMBER(T11)),VLOOKUP(ABS(T13-T11),'IMP Table'!$A$2:$C$26,3)*SIGN(T13-T11),0)</f>
        <v/>
      </c>
      <c r="AO13">
        <f>IF(AND(ISNUMBER(T13),ISNUMBER(T12)),VLOOKUP(ABS(T13-T12),'IMP Table'!$A$2:$C$26,3)*SIGN(T13-T12),0)</f>
        <v/>
      </c>
      <c r="AP13">
        <f>IF(AND(ISNUMBER(T13),ISNUMBER(T14)),VLOOKUP(ABS(T13-T14),'IMP Table'!$A$2:$C$26,3)*SIGN(T13-T14),0)</f>
        <v/>
      </c>
      <c r="AQ13">
        <f>IF(AND(ISNUMBER(T13),ISNUMBER(T15)),VLOOKUP(ABS(T13-T15),'IMP Table'!$A$2:$C$26,3)*SIGN(T13-T15),0)</f>
        <v/>
      </c>
      <c r="AR13">
        <f>IF(AND(ISNUMBER(T13),ISNUMBER(T16)),VLOOKUP(ABS(T13-T16),'IMP Table'!$A$2:$C$26,3)*SIGN(T13-T16),0)</f>
        <v/>
      </c>
    </row>
    <row r="14">
      <c r="B14" s="10">
        <f>'By Round'!A45</f>
        <v/>
      </c>
      <c r="C14" s="10">
        <f>'By Round'!B55</f>
        <v/>
      </c>
      <c r="D14" s="10">
        <f>'By Round'!C55</f>
        <v/>
      </c>
      <c r="E14" s="10">
        <f>'By Round'!D55</f>
        <v/>
      </c>
      <c r="F14" s="10">
        <f>IF(ISBLANK('By Round'!F56),"",'By Round'!F56)</f>
        <v/>
      </c>
      <c r="G14">
        <f>IF(ISBLANK('By Round'!G56),"",'By Round'!G56)</f>
        <v/>
      </c>
      <c r="H14">
        <f>IF(ISBLANK('By Round'!H56),"",'By Round'!H56)</f>
        <v/>
      </c>
      <c r="I14">
        <f>IF(ISBLANK('By Round'!I56),"",'By Round'!I56)</f>
        <v/>
      </c>
      <c r="J14">
        <f>IF(ISBLANK('By Round'!J56),"",'By Round'!J56)</f>
        <v/>
      </c>
      <c r="K14">
        <f>IF(ISBLANK('By Round'!K56),"",'By Round'!K56)</f>
        <v/>
      </c>
      <c r="L14">
        <f>IF(ISBLANK('By Round'!L56),"",'By Round'!L56)</f>
        <v/>
      </c>
      <c r="M14" s="11">
        <f>AVERAGE(AG14:AL14)</f>
        <v/>
      </c>
      <c r="N14" s="12">
        <f>AVERAGE(AM14:AR14)</f>
        <v/>
      </c>
      <c r="O14" s="13">
        <f>IF(COUNT(U14:Z14)&gt;0,Q14/COUNT(U14:Z14),0.5)</f>
        <v/>
      </c>
      <c r="P14" s="13">
        <f>IF(COUNT(AA14:AF14)&gt;0,R14/COUNT(AA14:AF14),0.5)</f>
        <v/>
      </c>
      <c r="Q14" s="5">
        <f>SUM(U14:Z14)</f>
        <v/>
      </c>
      <c r="R14" s="5">
        <f>SUM(AA14:AF14)</f>
        <v/>
      </c>
      <c r="S14" s="14">
        <f>IF(ISNUMBER(K14),K14,IF(ISNUMBER(L14),-L14,""))</f>
        <v/>
      </c>
      <c r="T14">
        <f>IF(ISNUMBER(L14),L14,IF(ISNUMBER(K14),-K14,""))</f>
        <v/>
      </c>
      <c r="U14" s="14">
        <f>IF(ISNUMBER(S14),IF(ISNUMBER(S10),IF(S14&gt;S10,1.0,IF(S14=S10,0.5,0.0)),""),"")</f>
        <v/>
      </c>
      <c r="V14">
        <f>IF(ISNUMBER(S14),IF(ISNUMBER(S11),IF(S14&gt;S11,1.0,IF(S14=S11,0.5,0.0)),""),"")</f>
        <v/>
      </c>
      <c r="W14">
        <f>IF(ISNUMBER(S14),IF(ISNUMBER(S12),IF(S14&gt;S12,1.0,IF(S14=S12,0.5,0.0)),""),"")</f>
        <v/>
      </c>
      <c r="X14">
        <f>IF(ISNUMBER(S14),IF(ISNUMBER(S13),IF(S14&gt;S13,1.0,IF(S14=S13,0.5,0.0)),""),"")</f>
        <v/>
      </c>
      <c r="Y14">
        <f>IF(ISNUMBER(S14),IF(ISNUMBER(S15),IF(S14&gt;S15,1.0,IF(S14=S15,0.5,0.0)),""),"")</f>
        <v/>
      </c>
      <c r="Z14">
        <f>IF(ISNUMBER(S14),IF(ISNUMBER(S16),IF(S14&gt;S16,1.0,IF(S14=S16,0.5,0.0)),""),"")</f>
        <v/>
      </c>
      <c r="AA14">
        <f>IF(ISNUMBER(T14),IF(ISNUMBER(T10),IF(T14&gt;T10,1.0,IF(T14=T10,0.5,0.0)),""),"")</f>
        <v/>
      </c>
      <c r="AB14">
        <f>IF(ISNUMBER(T14),IF(ISNUMBER(T11),IF(T14&gt;T11,1.0,IF(T14=T11,0.5,0.0)),""),"")</f>
        <v/>
      </c>
      <c r="AC14">
        <f>IF(ISNUMBER(T14),IF(ISNUMBER(T12),IF(T14&gt;T12,1.0,IF(T14=T12,0.5,0.0)),""),"")</f>
        <v/>
      </c>
      <c r="AD14">
        <f>IF(ISNUMBER(T14),IF(ISNUMBER(T13),IF(T14&gt;T13,1.0,IF(T14=T13,0.5,0.0)),""),"")</f>
        <v/>
      </c>
      <c r="AE14">
        <f>IF(ISNUMBER(T14),IF(ISNUMBER(T15),IF(T14&gt;T15,1.0,IF(T14=T15,0.5,0.0)),""),"")</f>
        <v/>
      </c>
      <c r="AF14">
        <f>IF(ISNUMBER(T14),IF(ISNUMBER(T16),IF(T14&gt;T16,1.0,IF(T14=T16,0.5,0.0)),""),"")</f>
        <v/>
      </c>
      <c r="AG14" s="14">
        <f>IF(AND(ISNUMBER(S14),ISNUMBER(S10)),VLOOKUP(ABS(S14-S10),'IMP Table'!$A$2:$C$26,3)*SIGN(S14-S10),0)</f>
        <v/>
      </c>
      <c r="AH14">
        <f>IF(AND(ISNUMBER(S14),ISNUMBER(S11)),VLOOKUP(ABS(S14-S11),'IMP Table'!$A$2:$C$26,3)*SIGN(S14-S11),0)</f>
        <v/>
      </c>
      <c r="AI14">
        <f>IF(AND(ISNUMBER(S14),ISNUMBER(S12)),VLOOKUP(ABS(S14-S12),'IMP Table'!$A$2:$C$26,3)*SIGN(S14-S12),0)</f>
        <v/>
      </c>
      <c r="AJ14">
        <f>IF(AND(ISNUMBER(S14),ISNUMBER(S13)),VLOOKUP(ABS(S14-S13),'IMP Table'!$A$2:$C$26,3)*SIGN(S14-S13),0)</f>
        <v/>
      </c>
      <c r="AK14">
        <f>IF(AND(ISNUMBER(S14),ISNUMBER(S15)),VLOOKUP(ABS(S14-S15),'IMP Table'!$A$2:$C$26,3)*SIGN(S14-S15),0)</f>
        <v/>
      </c>
      <c r="AL14">
        <f>IF(AND(ISNUMBER(S14),ISNUMBER(S16)),VLOOKUP(ABS(S14-S16),'IMP Table'!$A$2:$C$26,3)*SIGN(S14-S16),0)</f>
        <v/>
      </c>
      <c r="AM14">
        <f>IF(AND(ISNUMBER(T14),ISNUMBER(T10)),VLOOKUP(ABS(T14-T10),'IMP Table'!$A$2:$C$26,3)*SIGN(T14-T10),0)</f>
        <v/>
      </c>
      <c r="AN14">
        <f>IF(AND(ISNUMBER(T14),ISNUMBER(T11)),VLOOKUP(ABS(T14-T11),'IMP Table'!$A$2:$C$26,3)*SIGN(T14-T11),0)</f>
        <v/>
      </c>
      <c r="AO14">
        <f>IF(AND(ISNUMBER(T14),ISNUMBER(T12)),VLOOKUP(ABS(T14-T12),'IMP Table'!$A$2:$C$26,3)*SIGN(T14-T12),0)</f>
        <v/>
      </c>
      <c r="AP14">
        <f>IF(AND(ISNUMBER(T14),ISNUMBER(T13)),VLOOKUP(ABS(T14-T13),'IMP Table'!$A$2:$C$26,3)*SIGN(T14-T13),0)</f>
        <v/>
      </c>
      <c r="AQ14">
        <f>IF(AND(ISNUMBER(T14),ISNUMBER(T15)),VLOOKUP(ABS(T14-T15),'IMP Table'!$A$2:$C$26,3)*SIGN(T14-T15),0)</f>
        <v/>
      </c>
      <c r="AR14">
        <f>IF(AND(ISNUMBER(T14),ISNUMBER(T16)),VLOOKUP(ABS(T14-T16),'IMP Table'!$A$2:$C$26,3)*SIGN(T14-T16),0)</f>
        <v/>
      </c>
    </row>
    <row r="15">
      <c r="B15" s="10">
        <f>'By Round'!A143</f>
        <v/>
      </c>
      <c r="C15" s="10">
        <f>'By Round'!B147</f>
        <v/>
      </c>
      <c r="D15" s="10">
        <f>'By Round'!C147</f>
        <v/>
      </c>
      <c r="E15" s="10">
        <f>'By Round'!D147</f>
        <v/>
      </c>
      <c r="F15" s="10">
        <f>IF(ISBLANK('By Round'!F148),"",'By Round'!F148)</f>
        <v/>
      </c>
      <c r="G15">
        <f>IF(ISBLANK('By Round'!G148),"",'By Round'!G148)</f>
        <v/>
      </c>
      <c r="H15">
        <f>IF(ISBLANK('By Round'!H148),"",'By Round'!H148)</f>
        <v/>
      </c>
      <c r="I15">
        <f>IF(ISBLANK('By Round'!I148),"",'By Round'!I148)</f>
        <v/>
      </c>
      <c r="J15">
        <f>IF(ISBLANK('By Round'!J148),"",'By Round'!J148)</f>
        <v/>
      </c>
      <c r="K15">
        <f>IF(ISBLANK('By Round'!K148),"",'By Round'!K148)</f>
        <v/>
      </c>
      <c r="L15">
        <f>IF(ISBLANK('By Round'!L148),"",'By Round'!L148)</f>
        <v/>
      </c>
      <c r="M15" s="11">
        <f>AVERAGE(AG15:AL15)</f>
        <v/>
      </c>
      <c r="N15" s="12">
        <f>AVERAGE(AM15:AR15)</f>
        <v/>
      </c>
      <c r="O15" s="13">
        <f>IF(COUNT(U15:Z15)&gt;0,Q15/COUNT(U15:Z15),0.5)</f>
        <v/>
      </c>
      <c r="P15" s="13">
        <f>IF(COUNT(AA15:AF15)&gt;0,R15/COUNT(AA15:AF15),0.5)</f>
        <v/>
      </c>
      <c r="Q15" s="5">
        <f>SUM(U15:Z15)</f>
        <v/>
      </c>
      <c r="R15" s="5">
        <f>SUM(AA15:AF15)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IF(ISNUMBER(S15),IF(ISNUMBER(S10),IF(S15&gt;S10,1.0,IF(S15=S10,0.5,0.0)),""),"")</f>
        <v/>
      </c>
      <c r="V15">
        <f>IF(ISNUMBER(S15),IF(ISNUMBER(S11),IF(S15&gt;S11,1.0,IF(S15=S11,0.5,0.0)),""),"")</f>
        <v/>
      </c>
      <c r="W15">
        <f>IF(ISNUMBER(S15),IF(ISNUMBER(S12),IF(S15&gt;S12,1.0,IF(S15=S12,0.5,0.0)),""),"")</f>
        <v/>
      </c>
      <c r="X15">
        <f>IF(ISNUMBER(S15),IF(ISNUMBER(S13),IF(S15&gt;S13,1.0,IF(S15=S13,0.5,0.0)),""),"")</f>
        <v/>
      </c>
      <c r="Y15">
        <f>IF(ISNUMBER(S15),IF(ISNUMBER(S14),IF(S15&gt;S14,1.0,IF(S15=S14,0.5,0.0)),""),"")</f>
        <v/>
      </c>
      <c r="Z15">
        <f>IF(ISNUMBER(S15),IF(ISNUMBER(S16),IF(S15&gt;S16,1.0,IF(S15=S16,0.5,0.0)),""),"")</f>
        <v/>
      </c>
      <c r="AA15">
        <f>IF(ISNUMBER(T15),IF(ISNUMBER(T10),IF(T15&gt;T10,1.0,IF(T15=T10,0.5,0.0)),""),"")</f>
        <v/>
      </c>
      <c r="AB15">
        <f>IF(ISNUMBER(T15),IF(ISNUMBER(T11),IF(T15&gt;T11,1.0,IF(T15=T11,0.5,0.0)),""),"")</f>
        <v/>
      </c>
      <c r="AC15">
        <f>IF(ISNUMBER(T15),IF(ISNUMBER(T12),IF(T15&gt;T12,1.0,IF(T15=T12,0.5,0.0)),""),"")</f>
        <v/>
      </c>
      <c r="AD15">
        <f>IF(ISNUMBER(T15),IF(ISNUMBER(T13),IF(T15&gt;T13,1.0,IF(T15=T13,0.5,0.0)),""),"")</f>
        <v/>
      </c>
      <c r="AE15">
        <f>IF(ISNUMBER(T15),IF(ISNUMBER(T14),IF(T15&gt;T14,1.0,IF(T15=T14,0.5,0.0)),""),"")</f>
        <v/>
      </c>
      <c r="AF15">
        <f>IF(ISNUMBER(T15),IF(ISNUMBER(T16),IF(T15&gt;T16,1.0,IF(T15=T16,0.5,0.0)),""),"")</f>
        <v/>
      </c>
      <c r="AG15" s="14">
        <f>IF(AND(ISNUMBER(S15),ISNUMBER(S10)),VLOOKUP(ABS(S15-S10),'IMP Table'!$A$2:$C$26,3)*SIGN(S15-S10),0)</f>
        <v/>
      </c>
      <c r="AH15">
        <f>IF(AND(ISNUMBER(S15),ISNUMBER(S11)),VLOOKUP(ABS(S15-S11),'IMP Table'!$A$2:$C$26,3)*SIGN(S15-S11),0)</f>
        <v/>
      </c>
      <c r="AI15">
        <f>IF(AND(ISNUMBER(S15),ISNUMBER(S12)),VLOOKUP(ABS(S15-S12),'IMP Table'!$A$2:$C$26,3)*SIGN(S15-S12),0)</f>
        <v/>
      </c>
      <c r="AJ15">
        <f>IF(AND(ISNUMBER(S15),ISNUMBER(S13)),VLOOKUP(ABS(S15-S13),'IMP Table'!$A$2:$C$26,3)*SIGN(S15-S13),0)</f>
        <v/>
      </c>
      <c r="AK15">
        <f>IF(AND(ISNUMBER(S15),ISNUMBER(S14)),VLOOKUP(ABS(S15-S14),'IMP Table'!$A$2:$C$26,3)*SIGN(S15-S14),0)</f>
        <v/>
      </c>
      <c r="AL15">
        <f>IF(AND(ISNUMBER(S15),ISNUMBER(S16)),VLOOKUP(ABS(S15-S16),'IMP Table'!$A$2:$C$26,3)*SIGN(S15-S16),0)</f>
        <v/>
      </c>
      <c r="AM15">
        <f>IF(AND(ISNUMBER(T15),ISNUMBER(T10)),VLOOKUP(ABS(T15-T10),'IMP Table'!$A$2:$C$26,3)*SIGN(T15-T10),0)</f>
        <v/>
      </c>
      <c r="AN15">
        <f>IF(AND(ISNUMBER(T15),ISNUMBER(T11)),VLOOKUP(ABS(T15-T11),'IMP Table'!$A$2:$C$26,3)*SIGN(T15-T11),0)</f>
        <v/>
      </c>
      <c r="AO15">
        <f>IF(AND(ISNUMBER(T15),ISNUMBER(T12)),VLOOKUP(ABS(T15-T12),'IMP Table'!$A$2:$C$26,3)*SIGN(T15-T12),0)</f>
        <v/>
      </c>
      <c r="AP15">
        <f>IF(AND(ISNUMBER(T15),ISNUMBER(T13)),VLOOKUP(ABS(T15-T13),'IMP Table'!$A$2:$C$26,3)*SIGN(T15-T13),0)</f>
        <v/>
      </c>
      <c r="AQ15">
        <f>IF(AND(ISNUMBER(T15),ISNUMBER(T14)),VLOOKUP(ABS(T15-T14),'IMP Table'!$A$2:$C$26,3)*SIGN(T15-T14),0)</f>
        <v/>
      </c>
      <c r="AR15">
        <f>IF(AND(ISNUMBER(T15),ISNUMBER(T16)),VLOOKUP(ABS(T15-T16),'IMP Table'!$A$2:$C$26,3)*SIGN(T15-T16),0)</f>
        <v/>
      </c>
    </row>
    <row r="16">
      <c r="A16" s="15" t="n"/>
      <c r="B16" s="16">
        <f>'By Round'!A3</f>
        <v/>
      </c>
      <c r="C16" s="16">
        <f>'By Round'!B3</f>
        <v/>
      </c>
      <c r="D16" s="16">
        <f>'By Round'!C3</f>
        <v/>
      </c>
      <c r="E16" s="16">
        <f>'By Round'!D3</f>
        <v/>
      </c>
      <c r="F16" s="16">
        <f>IF(ISBLANK('By Round'!F4),"",'By Round'!F4)</f>
        <v/>
      </c>
      <c r="G16" s="15">
        <f>IF(ISBLANK('By Round'!G4),"",'By Round'!G4)</f>
        <v/>
      </c>
      <c r="H16" s="15">
        <f>IF(ISBLANK('By Round'!H4),"",'By Round'!H4)</f>
        <v/>
      </c>
      <c r="I16" s="15">
        <f>IF(ISBLANK('By Round'!I4),"",'By Round'!I4)</f>
        <v/>
      </c>
      <c r="J16" s="15">
        <f>IF(ISBLANK('By Round'!J4),"",'By Round'!J4)</f>
        <v/>
      </c>
      <c r="K16" s="15">
        <f>IF(ISBLANK('By Round'!K4),"",'By Round'!K4)</f>
        <v/>
      </c>
      <c r="L16" s="15">
        <f>IF(ISBLANK('By Round'!L4),"",'By Round'!L4)</f>
        <v/>
      </c>
      <c r="M16" s="17">
        <f>AVERAGE(AG16:AL16)</f>
        <v/>
      </c>
      <c r="N16" s="18">
        <f>AVERAGE(AM16:AR16)</f>
        <v/>
      </c>
      <c r="O16" s="19">
        <f>IF(COUNT(U16:Z16)&gt;0,Q16/COUNT(U16:Z16),0.5)</f>
        <v/>
      </c>
      <c r="P16" s="19">
        <f>IF(COUNT(AA16:AF16)&gt;0,R16/COUNT(AA16:AF16),0.5)</f>
        <v/>
      </c>
      <c r="Q16" s="20">
        <f>SUM(U16:Z16)</f>
        <v/>
      </c>
      <c r="R16" s="20">
        <f>SUM(AA16:AF16)</f>
        <v/>
      </c>
      <c r="S16" s="21">
        <f>IF(ISNUMBER(K16),K16,IF(ISNUMBER(L16),-L16,""))</f>
        <v/>
      </c>
      <c r="T16" s="15">
        <f>IF(ISNUMBER(L16),L16,IF(ISNUMBER(K16),-K16,""))</f>
        <v/>
      </c>
      <c r="U16" s="21">
        <f>IF(ISNUMBER(S16),IF(ISNUMBER(S10),IF(S16&gt;S10,1.0,IF(S16=S10,0.5,0.0)),""),"")</f>
        <v/>
      </c>
      <c r="V16" s="15">
        <f>IF(ISNUMBER(S16),IF(ISNUMBER(S11),IF(S16&gt;S11,1.0,IF(S16=S11,0.5,0.0)),""),"")</f>
        <v/>
      </c>
      <c r="W16" s="15">
        <f>IF(ISNUMBER(S16),IF(ISNUMBER(S12),IF(S16&gt;S12,1.0,IF(S16=S12,0.5,0.0)),""),"")</f>
        <v/>
      </c>
      <c r="X16" s="15">
        <f>IF(ISNUMBER(S16),IF(ISNUMBER(S13),IF(S16&gt;S13,1.0,IF(S16=S13,0.5,0.0)),""),"")</f>
        <v/>
      </c>
      <c r="Y16" s="15">
        <f>IF(ISNUMBER(S16),IF(ISNUMBER(S14),IF(S16&gt;S14,1.0,IF(S16=S14,0.5,0.0)),""),"")</f>
        <v/>
      </c>
      <c r="Z16" s="15">
        <f>IF(ISNUMBER(S16),IF(ISNUMBER(S15),IF(S16&gt;S15,1.0,IF(S16=S15,0.5,0.0)),""),"")</f>
        <v/>
      </c>
      <c r="AA16" s="15">
        <f>IF(ISNUMBER(T16),IF(ISNUMBER(T10),IF(T16&gt;T10,1.0,IF(T16=T10,0.5,0.0)),""),"")</f>
        <v/>
      </c>
      <c r="AB16" s="15">
        <f>IF(ISNUMBER(T16),IF(ISNUMBER(T11),IF(T16&gt;T11,1.0,IF(T16=T11,0.5,0.0)),""),"")</f>
        <v/>
      </c>
      <c r="AC16" s="15">
        <f>IF(ISNUMBER(T16),IF(ISNUMBER(T12),IF(T16&gt;T12,1.0,IF(T16=T12,0.5,0.0)),""),"")</f>
        <v/>
      </c>
      <c r="AD16" s="15">
        <f>IF(ISNUMBER(T16),IF(ISNUMBER(T13),IF(T16&gt;T13,1.0,IF(T16=T13,0.5,0.0)),""),"")</f>
        <v/>
      </c>
      <c r="AE16" s="15">
        <f>IF(ISNUMBER(T16),IF(ISNUMBER(T14),IF(T16&gt;T14,1.0,IF(T16=T14,0.5,0.0)),""),"")</f>
        <v/>
      </c>
      <c r="AF16" s="15">
        <f>IF(ISNUMBER(T16),IF(ISNUMBER(T15),IF(T16&gt;T15,1.0,IF(T16=T15,0.5,0.0)),""),"")</f>
        <v/>
      </c>
      <c r="AG16" s="21">
        <f>IF(AND(ISNUMBER(S16),ISNUMBER(S10)),VLOOKUP(ABS(S16-S10),'IMP Table'!$A$2:$C$26,3)*SIGN(S16-S10),0)</f>
        <v/>
      </c>
      <c r="AH16" s="15">
        <f>IF(AND(ISNUMBER(S16),ISNUMBER(S11)),VLOOKUP(ABS(S16-S11),'IMP Table'!$A$2:$C$26,3)*SIGN(S16-S11),0)</f>
        <v/>
      </c>
      <c r="AI16" s="15">
        <f>IF(AND(ISNUMBER(S16),ISNUMBER(S12)),VLOOKUP(ABS(S16-S12),'IMP Table'!$A$2:$C$26,3)*SIGN(S16-S12),0)</f>
        <v/>
      </c>
      <c r="AJ16" s="15">
        <f>IF(AND(ISNUMBER(S16),ISNUMBER(S13)),VLOOKUP(ABS(S16-S13),'IMP Table'!$A$2:$C$26,3)*SIGN(S16-S13),0)</f>
        <v/>
      </c>
      <c r="AK16" s="15">
        <f>IF(AND(ISNUMBER(S16),ISNUMBER(S14)),VLOOKUP(ABS(S16-S14),'IMP Table'!$A$2:$C$26,3)*SIGN(S16-S14),0)</f>
        <v/>
      </c>
      <c r="AL16" s="15">
        <f>IF(AND(ISNUMBER(S16),ISNUMBER(S15)),VLOOKUP(ABS(S16-S15),'IMP Table'!$A$2:$C$26,3)*SIGN(S16-S15),0)</f>
        <v/>
      </c>
      <c r="AM16" s="15">
        <f>IF(AND(ISNUMBER(T16),ISNUMBER(T10)),VLOOKUP(ABS(T16-T10),'IMP Table'!$A$2:$C$26,3)*SIGN(T16-T10),0)</f>
        <v/>
      </c>
      <c r="AN16" s="15">
        <f>IF(AND(ISNUMBER(T16),ISNUMBER(T11)),VLOOKUP(ABS(T16-T11),'IMP Table'!$A$2:$C$26,3)*SIGN(T16-T11),0)</f>
        <v/>
      </c>
      <c r="AO16" s="15">
        <f>IF(AND(ISNUMBER(T16),ISNUMBER(T12)),VLOOKUP(ABS(T16-T12),'IMP Table'!$A$2:$C$26,3)*SIGN(T16-T12),0)</f>
        <v/>
      </c>
      <c r="AP16" s="15">
        <f>IF(AND(ISNUMBER(T16),ISNUMBER(T13)),VLOOKUP(ABS(T16-T13),'IMP Table'!$A$2:$C$26,3)*SIGN(T16-T13),0)</f>
        <v/>
      </c>
      <c r="AQ16" s="15">
        <f>IF(AND(ISNUMBER(T16),ISNUMBER(T14)),VLOOKUP(ABS(T16-T14),'IMP Table'!$A$2:$C$26,3)*SIGN(T16-T14),0)</f>
        <v/>
      </c>
      <c r="AR16" s="15">
        <f>IF(AND(ISNUMBER(T16),ISNUMBER(T15)),VLOOKUP(ABS(T16-T15),'IMP Table'!$A$2:$C$26,3)*SIGN(T16-T15),0)</f>
        <v/>
      </c>
    </row>
    <row r="17">
      <c r="A17" s="10" t="n">
        <v>3</v>
      </c>
      <c r="B17" s="10">
        <f>'By Round'!A171</f>
        <v/>
      </c>
      <c r="C17" s="10">
        <f>'By Round'!B173</f>
        <v/>
      </c>
      <c r="D17" s="10">
        <f>'By Round'!C173</f>
        <v/>
      </c>
      <c r="E17" s="10">
        <f>'By Round'!D173</f>
        <v/>
      </c>
      <c r="F17" s="10">
        <f>IF(ISBLANK('By Round'!F173),"",'By Round'!F173)</f>
        <v/>
      </c>
      <c r="G17">
        <f>IF(ISBLANK('By Round'!G173),"",'By Round'!G173)</f>
        <v/>
      </c>
      <c r="H17">
        <f>IF(ISBLANK('By Round'!H173),"",'By Round'!H173)</f>
        <v/>
      </c>
      <c r="I17">
        <f>IF(ISBLANK('By Round'!I173),"",'By Round'!I173)</f>
        <v/>
      </c>
      <c r="J17">
        <f>IF(ISBLANK('By Round'!J173),"",'By Round'!J173)</f>
        <v/>
      </c>
      <c r="K17">
        <f>IF(ISBLANK('By Round'!K173),"",'By Round'!K173)</f>
        <v/>
      </c>
      <c r="L17">
        <f>IF(ISBLANK('By Round'!L173),"",'By Round'!L173)</f>
        <v/>
      </c>
      <c r="M17" s="11">
        <f>AVERAGE(AG17:AL17)</f>
        <v/>
      </c>
      <c r="N17" s="12">
        <f>AVERAGE(AM17:AR17)</f>
        <v/>
      </c>
      <c r="O17" s="13">
        <f>IF(COUNT(U17:Z17)&gt;0,Q17/COUNT(U17:Z17),0.5)</f>
        <v/>
      </c>
      <c r="P17" s="13">
        <f>IF(COUNT(AA17:AF17)&gt;0,R17/COUNT(AA17:AF17),0.5)</f>
        <v/>
      </c>
      <c r="Q17" s="5">
        <f>SUM(U17:Z17)</f>
        <v/>
      </c>
      <c r="R17" s="5">
        <f>SUM(AA17:AF17)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IF(ISNUMBER(S17),IF(ISNUMBER(S18),IF(S17&gt;S18,1.0,IF(S17=S18,0.5,0.0)),""),"")</f>
        <v/>
      </c>
      <c r="V17">
        <f>IF(ISNUMBER(S17),IF(ISNUMBER(S19),IF(S17&gt;S19,1.0,IF(S17=S19,0.5,0.0)),""),"")</f>
        <v/>
      </c>
      <c r="W17">
        <f>IF(ISNUMBER(S17),IF(ISNUMBER(S20),IF(S17&gt;S20,1.0,IF(S17=S20,0.5,0.0)),""),"")</f>
        <v/>
      </c>
      <c r="X17">
        <f>IF(ISNUMBER(S17),IF(ISNUMBER(S21),IF(S17&gt;S21,1.0,IF(S17=S21,0.5,0.0)),""),"")</f>
        <v/>
      </c>
      <c r="Y17">
        <f>IF(ISNUMBER(S17),IF(ISNUMBER(S22),IF(S17&gt;S22,1.0,IF(S17=S22,0.5,0.0)),""),"")</f>
        <v/>
      </c>
      <c r="Z17">
        <f>IF(ISNUMBER(S17),IF(ISNUMBER(S23),IF(S17&gt;S23,1.0,IF(S17=S23,0.5,0.0)),""),"")</f>
        <v/>
      </c>
      <c r="AA17">
        <f>IF(ISNUMBER(T17),IF(ISNUMBER(T18),IF(T17&gt;T18,1.0,IF(T17=T18,0.5,0.0)),""),"")</f>
        <v/>
      </c>
      <c r="AB17">
        <f>IF(ISNUMBER(T17),IF(ISNUMBER(T19),IF(T17&gt;T19,1.0,IF(T17=T19,0.5,0.0)),""),"")</f>
        <v/>
      </c>
      <c r="AC17">
        <f>IF(ISNUMBER(T17),IF(ISNUMBER(T20),IF(T17&gt;T20,1.0,IF(T17=T20,0.5,0.0)),""),"")</f>
        <v/>
      </c>
      <c r="AD17">
        <f>IF(ISNUMBER(T17),IF(ISNUMBER(T21),IF(T17&gt;T21,1.0,IF(T17=T21,0.5,0.0)),""),"")</f>
        <v/>
      </c>
      <c r="AE17">
        <f>IF(ISNUMBER(T17),IF(ISNUMBER(T22),IF(T17&gt;T22,1.0,IF(T17=T22,0.5,0.0)),""),"")</f>
        <v/>
      </c>
      <c r="AF17">
        <f>IF(ISNUMBER(T17),IF(ISNUMBER(T23),IF(T17&gt;T23,1.0,IF(T17=T23,0.5,0.0)),""),"")</f>
        <v/>
      </c>
      <c r="AG17" s="14">
        <f>IF(AND(ISNUMBER(S17),ISNUMBER(S18)),VLOOKUP(ABS(S17-S18),'IMP Table'!$A$2:$C$26,3)*SIGN(S17-S18),0)</f>
        <v/>
      </c>
      <c r="AH17">
        <f>IF(AND(ISNUMBER(S17),ISNUMBER(S19)),VLOOKUP(ABS(S17-S19),'IMP Table'!$A$2:$C$26,3)*SIGN(S17-S19),0)</f>
        <v/>
      </c>
      <c r="AI17">
        <f>IF(AND(ISNUMBER(S17),ISNUMBER(S20)),VLOOKUP(ABS(S17-S20),'IMP Table'!$A$2:$C$26,3)*SIGN(S17-S20),0)</f>
        <v/>
      </c>
      <c r="AJ17">
        <f>IF(AND(ISNUMBER(S17),ISNUMBER(S21)),VLOOKUP(ABS(S17-S21),'IMP Table'!$A$2:$C$26,3)*SIGN(S17-S21),0)</f>
        <v/>
      </c>
      <c r="AK17">
        <f>IF(AND(ISNUMBER(S17),ISNUMBER(S22)),VLOOKUP(ABS(S17-S22),'IMP Table'!$A$2:$C$26,3)*SIGN(S17-S22),0)</f>
        <v/>
      </c>
      <c r="AL17">
        <f>IF(AND(ISNUMBER(S17),ISNUMBER(S23)),VLOOKUP(ABS(S17-S23),'IMP Table'!$A$2:$C$26,3)*SIGN(S17-S23),0)</f>
        <v/>
      </c>
      <c r="AM17">
        <f>IF(AND(ISNUMBER(T17),ISNUMBER(T18)),VLOOKUP(ABS(T17-T18),'IMP Table'!$A$2:$C$26,3)*SIGN(T17-T18),0)</f>
        <v/>
      </c>
      <c r="AN17">
        <f>IF(AND(ISNUMBER(T17),ISNUMBER(T19)),VLOOKUP(ABS(T17-T19),'IMP Table'!$A$2:$C$26,3)*SIGN(T17-T19),0)</f>
        <v/>
      </c>
      <c r="AO17">
        <f>IF(AND(ISNUMBER(T17),ISNUMBER(T20)),VLOOKUP(ABS(T17-T20),'IMP Table'!$A$2:$C$26,3)*SIGN(T17-T20),0)</f>
        <v/>
      </c>
      <c r="AP17">
        <f>IF(AND(ISNUMBER(T17),ISNUMBER(T21)),VLOOKUP(ABS(T17-T21),'IMP Table'!$A$2:$C$26,3)*SIGN(T17-T21),0)</f>
        <v/>
      </c>
      <c r="AQ17">
        <f>IF(AND(ISNUMBER(T17),ISNUMBER(T22)),VLOOKUP(ABS(T17-T22),'IMP Table'!$A$2:$C$26,3)*SIGN(T17-T22),0)</f>
        <v/>
      </c>
      <c r="AR17">
        <f>IF(AND(ISNUMBER(T17),ISNUMBER(T23)),VLOOKUP(ABS(T17-T23),'IMP Table'!$A$2:$C$26,3)*SIGN(T17-T23),0)</f>
        <v/>
      </c>
    </row>
    <row r="18">
      <c r="B18" s="10">
        <f>'By Round'!A143</f>
        <v/>
      </c>
      <c r="C18" s="10">
        <f>'By Round'!B149</f>
        <v/>
      </c>
      <c r="D18" s="10">
        <f>'By Round'!C149</f>
        <v/>
      </c>
      <c r="E18" s="10">
        <f>'By Round'!D149</f>
        <v/>
      </c>
      <c r="F18" s="10">
        <f>IF(ISBLANK('By Round'!F149),"",'By Round'!F149)</f>
        <v/>
      </c>
      <c r="G18">
        <f>IF(ISBLANK('By Round'!G149),"",'By Round'!G149)</f>
        <v/>
      </c>
      <c r="H18">
        <f>IF(ISBLANK('By Round'!H149),"",'By Round'!H149)</f>
        <v/>
      </c>
      <c r="I18">
        <f>IF(ISBLANK('By Round'!I149),"",'By Round'!I149)</f>
        <v/>
      </c>
      <c r="J18">
        <f>IF(ISBLANK('By Round'!J149),"",'By Round'!J149)</f>
        <v/>
      </c>
      <c r="K18">
        <f>IF(ISBLANK('By Round'!K149),"",'By Round'!K149)</f>
        <v/>
      </c>
      <c r="L18">
        <f>IF(ISBLANK('By Round'!L149),"",'By Round'!L149)</f>
        <v/>
      </c>
      <c r="M18" s="11">
        <f>AVERAGE(AG18:AL18)</f>
        <v/>
      </c>
      <c r="N18" s="12">
        <f>AVERAGE(AM18:AR18)</f>
        <v/>
      </c>
      <c r="O18" s="13">
        <f>IF(COUNT(U18:Z18)&gt;0,Q18/COUNT(U18:Z18),0.5)</f>
        <v/>
      </c>
      <c r="P18" s="13">
        <f>IF(COUNT(AA18:AF18)&gt;0,R18/COUNT(AA18:AF18),0.5)</f>
        <v/>
      </c>
      <c r="Q18" s="5">
        <f>SUM(U18:Z18)</f>
        <v/>
      </c>
      <c r="R18" s="5">
        <f>SUM(AA18:AF18)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IF(ISNUMBER(S18),IF(ISNUMBER(S17),IF(S18&gt;S17,1.0,IF(S18=S17,0.5,0.0)),""),"")</f>
        <v/>
      </c>
      <c r="V18">
        <f>IF(ISNUMBER(S18),IF(ISNUMBER(S19),IF(S18&gt;S19,1.0,IF(S18=S19,0.5,0.0)),""),"")</f>
        <v/>
      </c>
      <c r="W18">
        <f>IF(ISNUMBER(S18),IF(ISNUMBER(S20),IF(S18&gt;S20,1.0,IF(S18=S20,0.5,0.0)),""),"")</f>
        <v/>
      </c>
      <c r="X18">
        <f>IF(ISNUMBER(S18),IF(ISNUMBER(S21),IF(S18&gt;S21,1.0,IF(S18=S21,0.5,0.0)),""),"")</f>
        <v/>
      </c>
      <c r="Y18">
        <f>IF(ISNUMBER(S18),IF(ISNUMBER(S22),IF(S18&gt;S22,1.0,IF(S18=S22,0.5,0.0)),""),"")</f>
        <v/>
      </c>
      <c r="Z18">
        <f>IF(ISNUMBER(S18),IF(ISNUMBER(S23),IF(S18&gt;S23,1.0,IF(S18=S23,0.5,0.0)),""),"")</f>
        <v/>
      </c>
      <c r="AA18">
        <f>IF(ISNUMBER(T18),IF(ISNUMBER(T17),IF(T18&gt;T17,1.0,IF(T18=T17,0.5,0.0)),""),"")</f>
        <v/>
      </c>
      <c r="AB18">
        <f>IF(ISNUMBER(T18),IF(ISNUMBER(T19),IF(T18&gt;T19,1.0,IF(T18=T19,0.5,0.0)),""),"")</f>
        <v/>
      </c>
      <c r="AC18">
        <f>IF(ISNUMBER(T18),IF(ISNUMBER(T20),IF(T18&gt;T20,1.0,IF(T18=T20,0.5,0.0)),""),"")</f>
        <v/>
      </c>
      <c r="AD18">
        <f>IF(ISNUMBER(T18),IF(ISNUMBER(T21),IF(T18&gt;T21,1.0,IF(T18=T21,0.5,0.0)),""),"")</f>
        <v/>
      </c>
      <c r="AE18">
        <f>IF(ISNUMBER(T18),IF(ISNUMBER(T22),IF(T18&gt;T22,1.0,IF(T18=T22,0.5,0.0)),""),"")</f>
        <v/>
      </c>
      <c r="AF18">
        <f>IF(ISNUMBER(T18),IF(ISNUMBER(T23),IF(T18&gt;T23,1.0,IF(T18=T23,0.5,0.0)),""),"")</f>
        <v/>
      </c>
      <c r="AG18" s="14">
        <f>IF(AND(ISNUMBER(S18),ISNUMBER(S17)),VLOOKUP(ABS(S18-S17),'IMP Table'!$A$2:$C$26,3)*SIGN(S18-S17),0)</f>
        <v/>
      </c>
      <c r="AH18">
        <f>IF(AND(ISNUMBER(S18),ISNUMBER(S19)),VLOOKUP(ABS(S18-S19),'IMP Table'!$A$2:$C$26,3)*SIGN(S18-S19),0)</f>
        <v/>
      </c>
      <c r="AI18">
        <f>IF(AND(ISNUMBER(S18),ISNUMBER(S20)),VLOOKUP(ABS(S18-S20),'IMP Table'!$A$2:$C$26,3)*SIGN(S18-S20),0)</f>
        <v/>
      </c>
      <c r="AJ18">
        <f>IF(AND(ISNUMBER(S18),ISNUMBER(S21)),VLOOKUP(ABS(S18-S21),'IMP Table'!$A$2:$C$26,3)*SIGN(S18-S21),0)</f>
        <v/>
      </c>
      <c r="AK18">
        <f>IF(AND(ISNUMBER(S18),ISNUMBER(S22)),VLOOKUP(ABS(S18-S22),'IMP Table'!$A$2:$C$26,3)*SIGN(S18-S22),0)</f>
        <v/>
      </c>
      <c r="AL18">
        <f>IF(AND(ISNUMBER(S18),ISNUMBER(S23)),VLOOKUP(ABS(S18-S23),'IMP Table'!$A$2:$C$26,3)*SIGN(S18-S23),0)</f>
        <v/>
      </c>
      <c r="AM18">
        <f>IF(AND(ISNUMBER(T18),ISNUMBER(T17)),VLOOKUP(ABS(T18-T17),'IMP Table'!$A$2:$C$26,3)*SIGN(T18-T17),0)</f>
        <v/>
      </c>
      <c r="AN18">
        <f>IF(AND(ISNUMBER(T18),ISNUMBER(T19)),VLOOKUP(ABS(T18-T19),'IMP Table'!$A$2:$C$26,3)*SIGN(T18-T19),0)</f>
        <v/>
      </c>
      <c r="AO18">
        <f>IF(AND(ISNUMBER(T18),ISNUMBER(T20)),VLOOKUP(ABS(T18-T20),'IMP Table'!$A$2:$C$26,3)*SIGN(T18-T20),0)</f>
        <v/>
      </c>
      <c r="AP18">
        <f>IF(AND(ISNUMBER(T18),ISNUMBER(T21)),VLOOKUP(ABS(T18-T21),'IMP Table'!$A$2:$C$26,3)*SIGN(T18-T21),0)</f>
        <v/>
      </c>
      <c r="AQ18">
        <f>IF(AND(ISNUMBER(T18),ISNUMBER(T22)),VLOOKUP(ABS(T18-T22),'IMP Table'!$A$2:$C$26,3)*SIGN(T18-T22),0)</f>
        <v/>
      </c>
      <c r="AR18">
        <f>IF(AND(ISNUMBER(T18),ISNUMBER(T23)),VLOOKUP(ABS(T18-T23),'IMP Table'!$A$2:$C$26,3)*SIGN(T18-T23),0)</f>
        <v/>
      </c>
    </row>
    <row r="19">
      <c r="B19" s="10">
        <f>'By Round'!A45</f>
        <v/>
      </c>
      <c r="C19" s="10">
        <f>'By Round'!B57</f>
        <v/>
      </c>
      <c r="D19" s="10">
        <f>'By Round'!C57</f>
        <v/>
      </c>
      <c r="E19" s="10">
        <f>'By Round'!D57</f>
        <v/>
      </c>
      <c r="F19" s="10">
        <f>IF(ISBLANK('By Round'!F57),"",'By Round'!F57)</f>
        <v/>
      </c>
      <c r="G19">
        <f>IF(ISBLANK('By Round'!G57),"",'By Round'!G57)</f>
        <v/>
      </c>
      <c r="H19">
        <f>IF(ISBLANK('By Round'!H57),"",'By Round'!H57)</f>
        <v/>
      </c>
      <c r="I19">
        <f>IF(ISBLANK('By Round'!I57),"",'By Round'!I57)</f>
        <v/>
      </c>
      <c r="J19">
        <f>IF(ISBLANK('By Round'!J57),"",'By Round'!J57)</f>
        <v/>
      </c>
      <c r="K19">
        <f>IF(ISBLANK('By Round'!K57),"",'By Round'!K57)</f>
        <v/>
      </c>
      <c r="L19">
        <f>IF(ISBLANK('By Round'!L57),"",'By Round'!L57)</f>
        <v/>
      </c>
      <c r="M19" s="11">
        <f>AVERAGE(AG19:AL19)</f>
        <v/>
      </c>
      <c r="N19" s="12">
        <f>AVERAGE(AM19:AR19)</f>
        <v/>
      </c>
      <c r="O19" s="13">
        <f>IF(COUNT(U19:Z19)&gt;0,Q19/COUNT(U19:Z19),0.5)</f>
        <v/>
      </c>
      <c r="P19" s="13">
        <f>IF(COUNT(AA19:AF19)&gt;0,R19/COUNT(AA19:AF19),0.5)</f>
        <v/>
      </c>
      <c r="Q19" s="5">
        <f>SUM(U19:Z19)</f>
        <v/>
      </c>
      <c r="R19" s="5">
        <f>SUM(AA19:AF19)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IF(ISNUMBER(S19),IF(ISNUMBER(S17),IF(S19&gt;S17,1.0,IF(S19=S17,0.5,0.0)),""),"")</f>
        <v/>
      </c>
      <c r="V19">
        <f>IF(ISNUMBER(S19),IF(ISNUMBER(S18),IF(S19&gt;S18,1.0,IF(S19=S18,0.5,0.0)),""),"")</f>
        <v/>
      </c>
      <c r="W19">
        <f>IF(ISNUMBER(S19),IF(ISNUMBER(S20),IF(S19&gt;S20,1.0,IF(S19=S20,0.5,0.0)),""),"")</f>
        <v/>
      </c>
      <c r="X19">
        <f>IF(ISNUMBER(S19),IF(ISNUMBER(S21),IF(S19&gt;S21,1.0,IF(S19=S21,0.5,0.0)),""),"")</f>
        <v/>
      </c>
      <c r="Y19">
        <f>IF(ISNUMBER(S19),IF(ISNUMBER(S22),IF(S19&gt;S22,1.0,IF(S19=S22,0.5,0.0)),""),"")</f>
        <v/>
      </c>
      <c r="Z19">
        <f>IF(ISNUMBER(S19),IF(ISNUMBER(S23),IF(S19&gt;S23,1.0,IF(S19=S23,0.5,0.0)),""),"")</f>
        <v/>
      </c>
      <c r="AA19">
        <f>IF(ISNUMBER(T19),IF(ISNUMBER(T17),IF(T19&gt;T17,1.0,IF(T19=T17,0.5,0.0)),""),"")</f>
        <v/>
      </c>
      <c r="AB19">
        <f>IF(ISNUMBER(T19),IF(ISNUMBER(T18),IF(T19&gt;T18,1.0,IF(T19=T18,0.5,0.0)),""),"")</f>
        <v/>
      </c>
      <c r="AC19">
        <f>IF(ISNUMBER(T19),IF(ISNUMBER(T20),IF(T19&gt;T20,1.0,IF(T19=T20,0.5,0.0)),""),"")</f>
        <v/>
      </c>
      <c r="AD19">
        <f>IF(ISNUMBER(T19),IF(ISNUMBER(T21),IF(T19&gt;T21,1.0,IF(T19=T21,0.5,0.0)),""),"")</f>
        <v/>
      </c>
      <c r="AE19">
        <f>IF(ISNUMBER(T19),IF(ISNUMBER(T22),IF(T19&gt;T22,1.0,IF(T19=T22,0.5,0.0)),""),"")</f>
        <v/>
      </c>
      <c r="AF19">
        <f>IF(ISNUMBER(T19),IF(ISNUMBER(T23),IF(T19&gt;T23,1.0,IF(T19=T23,0.5,0.0)),""),"")</f>
        <v/>
      </c>
      <c r="AG19" s="14">
        <f>IF(AND(ISNUMBER(S19),ISNUMBER(S17)),VLOOKUP(ABS(S19-S17),'IMP Table'!$A$2:$C$26,3)*SIGN(S19-S17),0)</f>
        <v/>
      </c>
      <c r="AH19">
        <f>IF(AND(ISNUMBER(S19),ISNUMBER(S18)),VLOOKUP(ABS(S19-S18),'IMP Table'!$A$2:$C$26,3)*SIGN(S19-S18),0)</f>
        <v/>
      </c>
      <c r="AI19">
        <f>IF(AND(ISNUMBER(S19),ISNUMBER(S20)),VLOOKUP(ABS(S19-S20),'IMP Table'!$A$2:$C$26,3)*SIGN(S19-S20),0)</f>
        <v/>
      </c>
      <c r="AJ19">
        <f>IF(AND(ISNUMBER(S19),ISNUMBER(S21)),VLOOKUP(ABS(S19-S21),'IMP Table'!$A$2:$C$26,3)*SIGN(S19-S21),0)</f>
        <v/>
      </c>
      <c r="AK19">
        <f>IF(AND(ISNUMBER(S19),ISNUMBER(S22)),VLOOKUP(ABS(S19-S22),'IMP Table'!$A$2:$C$26,3)*SIGN(S19-S22),0)</f>
        <v/>
      </c>
      <c r="AL19">
        <f>IF(AND(ISNUMBER(S19),ISNUMBER(S23)),VLOOKUP(ABS(S19-S23),'IMP Table'!$A$2:$C$26,3)*SIGN(S19-S23),0)</f>
        <v/>
      </c>
      <c r="AM19">
        <f>IF(AND(ISNUMBER(T19),ISNUMBER(T17)),VLOOKUP(ABS(T19-T17),'IMP Table'!$A$2:$C$26,3)*SIGN(T19-T17),0)</f>
        <v/>
      </c>
      <c r="AN19">
        <f>IF(AND(ISNUMBER(T19),ISNUMBER(T18)),VLOOKUP(ABS(T19-T18),'IMP Table'!$A$2:$C$26,3)*SIGN(T19-T18),0)</f>
        <v/>
      </c>
      <c r="AO19">
        <f>IF(AND(ISNUMBER(T19),ISNUMBER(T20)),VLOOKUP(ABS(T19-T20),'IMP Table'!$A$2:$C$26,3)*SIGN(T19-T20),0)</f>
        <v/>
      </c>
      <c r="AP19">
        <f>IF(AND(ISNUMBER(T19),ISNUMBER(T21)),VLOOKUP(ABS(T19-T21),'IMP Table'!$A$2:$C$26,3)*SIGN(T19-T21),0)</f>
        <v/>
      </c>
      <c r="AQ19">
        <f>IF(AND(ISNUMBER(T19),ISNUMBER(T22)),VLOOKUP(ABS(T19-T22),'IMP Table'!$A$2:$C$26,3)*SIGN(T19-T22),0)</f>
        <v/>
      </c>
      <c r="AR19">
        <f>IF(AND(ISNUMBER(T19),ISNUMBER(T23)),VLOOKUP(ABS(T19-T23),'IMP Table'!$A$2:$C$26,3)*SIGN(T19-T23),0)</f>
        <v/>
      </c>
    </row>
    <row r="20">
      <c r="B20" s="10">
        <f>'By Round'!A73</f>
        <v/>
      </c>
      <c r="C20" s="10">
        <f>'By Round'!B81</f>
        <v/>
      </c>
      <c r="D20" s="10">
        <f>'By Round'!C81</f>
        <v/>
      </c>
      <c r="E20" s="10">
        <f>'By Round'!D81</f>
        <v/>
      </c>
      <c r="F20" s="10">
        <f>IF(ISBLANK('By Round'!F81),"",'By Round'!F81)</f>
        <v/>
      </c>
      <c r="G20">
        <f>IF(ISBLANK('By Round'!G81),"",'By Round'!G81)</f>
        <v/>
      </c>
      <c r="H20">
        <f>IF(ISBLANK('By Round'!H81),"",'By Round'!H81)</f>
        <v/>
      </c>
      <c r="I20">
        <f>IF(ISBLANK('By Round'!I81),"",'By Round'!I81)</f>
        <v/>
      </c>
      <c r="J20">
        <f>IF(ISBLANK('By Round'!J81),"",'By Round'!J81)</f>
        <v/>
      </c>
      <c r="K20">
        <f>IF(ISBLANK('By Round'!K81),"",'By Round'!K81)</f>
        <v/>
      </c>
      <c r="L20">
        <f>IF(ISBLANK('By Round'!L81),"",'By Round'!L81)</f>
        <v/>
      </c>
      <c r="M20" s="11">
        <f>AVERAGE(AG20:AL20)</f>
        <v/>
      </c>
      <c r="N20" s="12">
        <f>AVERAGE(AM20:AR20)</f>
        <v/>
      </c>
      <c r="O20" s="13">
        <f>IF(COUNT(U20:Z20)&gt;0,Q20/COUNT(U20:Z20),0.5)</f>
        <v/>
      </c>
      <c r="P20" s="13">
        <f>IF(COUNT(AA20:AF20)&gt;0,R20/COUNT(AA20:AF20),0.5)</f>
        <v/>
      </c>
      <c r="Q20" s="5">
        <f>SUM(U20:Z20)</f>
        <v/>
      </c>
      <c r="R20" s="5">
        <f>SUM(AA20:AF20)</f>
        <v/>
      </c>
      <c r="S20" s="14">
        <f>IF(ISNUMBER(K20),K20,IF(ISNUMBER(L20),-L20,""))</f>
        <v/>
      </c>
      <c r="T20">
        <f>IF(ISNUMBER(L20),L20,IF(ISNUMBER(K20),-K20,""))</f>
        <v/>
      </c>
      <c r="U20" s="14">
        <f>IF(ISNUMBER(S20),IF(ISNUMBER(S17),IF(S20&gt;S17,1.0,IF(S20=S17,0.5,0.0)),""),"")</f>
        <v/>
      </c>
      <c r="V20">
        <f>IF(ISNUMBER(S20),IF(ISNUMBER(S18),IF(S20&gt;S18,1.0,IF(S20=S18,0.5,0.0)),""),"")</f>
        <v/>
      </c>
      <c r="W20">
        <f>IF(ISNUMBER(S20),IF(ISNUMBER(S19),IF(S20&gt;S19,1.0,IF(S20=S19,0.5,0.0)),""),"")</f>
        <v/>
      </c>
      <c r="X20">
        <f>IF(ISNUMBER(S20),IF(ISNUMBER(S21),IF(S20&gt;S21,1.0,IF(S20=S21,0.5,0.0)),""),"")</f>
        <v/>
      </c>
      <c r="Y20">
        <f>IF(ISNUMBER(S20),IF(ISNUMBER(S22),IF(S20&gt;S22,1.0,IF(S20=S22,0.5,0.0)),""),"")</f>
        <v/>
      </c>
      <c r="Z20">
        <f>IF(ISNUMBER(S20),IF(ISNUMBER(S23),IF(S20&gt;S23,1.0,IF(S20=S23,0.5,0.0)),""),"")</f>
        <v/>
      </c>
      <c r="AA20">
        <f>IF(ISNUMBER(T20),IF(ISNUMBER(T17),IF(T20&gt;T17,1.0,IF(T20=T17,0.5,0.0)),""),"")</f>
        <v/>
      </c>
      <c r="AB20">
        <f>IF(ISNUMBER(T20),IF(ISNUMBER(T18),IF(T20&gt;T18,1.0,IF(T20=T18,0.5,0.0)),""),"")</f>
        <v/>
      </c>
      <c r="AC20">
        <f>IF(ISNUMBER(T20),IF(ISNUMBER(T19),IF(T20&gt;T19,1.0,IF(T20=T19,0.5,0.0)),""),"")</f>
        <v/>
      </c>
      <c r="AD20">
        <f>IF(ISNUMBER(T20),IF(ISNUMBER(T21),IF(T20&gt;T21,1.0,IF(T20=T21,0.5,0.0)),""),"")</f>
        <v/>
      </c>
      <c r="AE20">
        <f>IF(ISNUMBER(T20),IF(ISNUMBER(T22),IF(T20&gt;T22,1.0,IF(T20=T22,0.5,0.0)),""),"")</f>
        <v/>
      </c>
      <c r="AF20">
        <f>IF(ISNUMBER(T20),IF(ISNUMBER(T23),IF(T20&gt;T23,1.0,IF(T20=T23,0.5,0.0)),""),"")</f>
        <v/>
      </c>
      <c r="AG20" s="14">
        <f>IF(AND(ISNUMBER(S20),ISNUMBER(S17)),VLOOKUP(ABS(S20-S17),'IMP Table'!$A$2:$C$26,3)*SIGN(S20-S17),0)</f>
        <v/>
      </c>
      <c r="AH20">
        <f>IF(AND(ISNUMBER(S20),ISNUMBER(S18)),VLOOKUP(ABS(S20-S18),'IMP Table'!$A$2:$C$26,3)*SIGN(S20-S18),0)</f>
        <v/>
      </c>
      <c r="AI20">
        <f>IF(AND(ISNUMBER(S20),ISNUMBER(S19)),VLOOKUP(ABS(S20-S19),'IMP Table'!$A$2:$C$26,3)*SIGN(S20-S19),0)</f>
        <v/>
      </c>
      <c r="AJ20">
        <f>IF(AND(ISNUMBER(S20),ISNUMBER(S21)),VLOOKUP(ABS(S20-S21),'IMP Table'!$A$2:$C$26,3)*SIGN(S20-S21),0)</f>
        <v/>
      </c>
      <c r="AK20">
        <f>IF(AND(ISNUMBER(S20),ISNUMBER(S22)),VLOOKUP(ABS(S20-S22),'IMP Table'!$A$2:$C$26,3)*SIGN(S20-S22),0)</f>
        <v/>
      </c>
      <c r="AL20">
        <f>IF(AND(ISNUMBER(S20),ISNUMBER(S23)),VLOOKUP(ABS(S20-S23),'IMP Table'!$A$2:$C$26,3)*SIGN(S20-S23),0)</f>
        <v/>
      </c>
      <c r="AM20">
        <f>IF(AND(ISNUMBER(T20),ISNUMBER(T17)),VLOOKUP(ABS(T20-T17),'IMP Table'!$A$2:$C$26,3)*SIGN(T20-T17),0)</f>
        <v/>
      </c>
      <c r="AN20">
        <f>IF(AND(ISNUMBER(T20),ISNUMBER(T18)),VLOOKUP(ABS(T20-T18),'IMP Table'!$A$2:$C$26,3)*SIGN(T20-T18),0)</f>
        <v/>
      </c>
      <c r="AO20">
        <f>IF(AND(ISNUMBER(T20),ISNUMBER(T19)),VLOOKUP(ABS(T20-T19),'IMP Table'!$A$2:$C$26,3)*SIGN(T20-T19),0)</f>
        <v/>
      </c>
      <c r="AP20">
        <f>IF(AND(ISNUMBER(T20),ISNUMBER(T21)),VLOOKUP(ABS(T20-T21),'IMP Table'!$A$2:$C$26,3)*SIGN(T20-T21),0)</f>
        <v/>
      </c>
      <c r="AQ20">
        <f>IF(AND(ISNUMBER(T20),ISNUMBER(T22)),VLOOKUP(ABS(T20-T22),'IMP Table'!$A$2:$C$26,3)*SIGN(T20-T22),0)</f>
        <v/>
      </c>
      <c r="AR20">
        <f>IF(AND(ISNUMBER(T20),ISNUMBER(T23)),VLOOKUP(ABS(T20-T23),'IMP Table'!$A$2:$C$26,3)*SIGN(T20-T23),0)</f>
        <v/>
      </c>
    </row>
    <row r="21">
      <c r="B21" s="10">
        <f>'By Round'!A59</f>
        <v/>
      </c>
      <c r="C21" s="10">
        <f>'By Round'!B69</f>
        <v/>
      </c>
      <c r="D21" s="10">
        <f>'By Round'!C69</f>
        <v/>
      </c>
      <c r="E21" s="10">
        <f>'By Round'!D69</f>
        <v/>
      </c>
      <c r="F21" s="10">
        <f>IF(ISBLANK('By Round'!F69),"",'By Round'!F69)</f>
        <v/>
      </c>
      <c r="G21">
        <f>IF(ISBLANK('By Round'!G69),"",'By Round'!G69)</f>
        <v/>
      </c>
      <c r="H21">
        <f>IF(ISBLANK('By Round'!H69),"",'By Round'!H69)</f>
        <v/>
      </c>
      <c r="I21">
        <f>IF(ISBLANK('By Round'!I69),"",'By Round'!I69)</f>
        <v/>
      </c>
      <c r="J21">
        <f>IF(ISBLANK('By Round'!J69),"",'By Round'!J69)</f>
        <v/>
      </c>
      <c r="K21">
        <f>IF(ISBLANK('By Round'!K69),"",'By Round'!K69)</f>
        <v/>
      </c>
      <c r="L21">
        <f>IF(ISBLANK('By Round'!L69),"",'By Round'!L69)</f>
        <v/>
      </c>
      <c r="M21" s="11">
        <f>AVERAGE(AG21:AL21)</f>
        <v/>
      </c>
      <c r="N21" s="12">
        <f>AVERAGE(AM21:AR21)</f>
        <v/>
      </c>
      <c r="O21" s="13">
        <f>IF(COUNT(U21:Z21)&gt;0,Q21/COUNT(U21:Z21),0.5)</f>
        <v/>
      </c>
      <c r="P21" s="13">
        <f>IF(COUNT(AA21:AF21)&gt;0,R21/COUNT(AA21:AF21),0.5)</f>
        <v/>
      </c>
      <c r="Q21" s="5">
        <f>SUM(U21:Z21)</f>
        <v/>
      </c>
      <c r="R21" s="5">
        <f>SUM(AA21:AF21)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IF(ISNUMBER(S21),IF(ISNUMBER(S17),IF(S21&gt;S17,1.0,IF(S21=S17,0.5,0.0)),""),"")</f>
        <v/>
      </c>
      <c r="V21">
        <f>IF(ISNUMBER(S21),IF(ISNUMBER(S18),IF(S21&gt;S18,1.0,IF(S21=S18,0.5,0.0)),""),"")</f>
        <v/>
      </c>
      <c r="W21">
        <f>IF(ISNUMBER(S21),IF(ISNUMBER(S19),IF(S21&gt;S19,1.0,IF(S21=S19,0.5,0.0)),""),"")</f>
        <v/>
      </c>
      <c r="X21">
        <f>IF(ISNUMBER(S21),IF(ISNUMBER(S20),IF(S21&gt;S20,1.0,IF(S21=S20,0.5,0.0)),""),"")</f>
        <v/>
      </c>
      <c r="Y21">
        <f>IF(ISNUMBER(S21),IF(ISNUMBER(S22),IF(S21&gt;S22,1.0,IF(S21=S22,0.5,0.0)),""),"")</f>
        <v/>
      </c>
      <c r="Z21">
        <f>IF(ISNUMBER(S21),IF(ISNUMBER(S23),IF(S21&gt;S23,1.0,IF(S21=S23,0.5,0.0)),""),"")</f>
        <v/>
      </c>
      <c r="AA21">
        <f>IF(ISNUMBER(T21),IF(ISNUMBER(T17),IF(T21&gt;T17,1.0,IF(T21=T17,0.5,0.0)),""),"")</f>
        <v/>
      </c>
      <c r="AB21">
        <f>IF(ISNUMBER(T21),IF(ISNUMBER(T18),IF(T21&gt;T18,1.0,IF(T21=T18,0.5,0.0)),""),"")</f>
        <v/>
      </c>
      <c r="AC21">
        <f>IF(ISNUMBER(T21),IF(ISNUMBER(T19),IF(T21&gt;T19,1.0,IF(T21=T19,0.5,0.0)),""),"")</f>
        <v/>
      </c>
      <c r="AD21">
        <f>IF(ISNUMBER(T21),IF(ISNUMBER(T20),IF(T21&gt;T20,1.0,IF(T21=T20,0.5,0.0)),""),"")</f>
        <v/>
      </c>
      <c r="AE21">
        <f>IF(ISNUMBER(T21),IF(ISNUMBER(T22),IF(T21&gt;T22,1.0,IF(T21=T22,0.5,0.0)),""),"")</f>
        <v/>
      </c>
      <c r="AF21">
        <f>IF(ISNUMBER(T21),IF(ISNUMBER(T23),IF(T21&gt;T23,1.0,IF(T21=T23,0.5,0.0)),""),"")</f>
        <v/>
      </c>
      <c r="AG21" s="14">
        <f>IF(AND(ISNUMBER(S21),ISNUMBER(S17)),VLOOKUP(ABS(S21-S17),'IMP Table'!$A$2:$C$26,3)*SIGN(S21-S17),0)</f>
        <v/>
      </c>
      <c r="AH21">
        <f>IF(AND(ISNUMBER(S21),ISNUMBER(S18)),VLOOKUP(ABS(S21-S18),'IMP Table'!$A$2:$C$26,3)*SIGN(S21-S18),0)</f>
        <v/>
      </c>
      <c r="AI21">
        <f>IF(AND(ISNUMBER(S21),ISNUMBER(S19)),VLOOKUP(ABS(S21-S19),'IMP Table'!$A$2:$C$26,3)*SIGN(S21-S19),0)</f>
        <v/>
      </c>
      <c r="AJ21">
        <f>IF(AND(ISNUMBER(S21),ISNUMBER(S20)),VLOOKUP(ABS(S21-S20),'IMP Table'!$A$2:$C$26,3)*SIGN(S21-S20),0)</f>
        <v/>
      </c>
      <c r="AK21">
        <f>IF(AND(ISNUMBER(S21),ISNUMBER(S22)),VLOOKUP(ABS(S21-S22),'IMP Table'!$A$2:$C$26,3)*SIGN(S21-S22),0)</f>
        <v/>
      </c>
      <c r="AL21">
        <f>IF(AND(ISNUMBER(S21),ISNUMBER(S23)),VLOOKUP(ABS(S21-S23),'IMP Table'!$A$2:$C$26,3)*SIGN(S21-S23),0)</f>
        <v/>
      </c>
      <c r="AM21">
        <f>IF(AND(ISNUMBER(T21),ISNUMBER(T17)),VLOOKUP(ABS(T21-T17),'IMP Table'!$A$2:$C$26,3)*SIGN(T21-T17),0)</f>
        <v/>
      </c>
      <c r="AN21">
        <f>IF(AND(ISNUMBER(T21),ISNUMBER(T18)),VLOOKUP(ABS(T21-T18),'IMP Table'!$A$2:$C$26,3)*SIGN(T21-T18),0)</f>
        <v/>
      </c>
      <c r="AO21">
        <f>IF(AND(ISNUMBER(T21),ISNUMBER(T19)),VLOOKUP(ABS(T21-T19),'IMP Table'!$A$2:$C$26,3)*SIGN(T21-T19),0)</f>
        <v/>
      </c>
      <c r="AP21">
        <f>IF(AND(ISNUMBER(T21),ISNUMBER(T20)),VLOOKUP(ABS(T21-T20),'IMP Table'!$A$2:$C$26,3)*SIGN(T21-T20),0)</f>
        <v/>
      </c>
      <c r="AQ21">
        <f>IF(AND(ISNUMBER(T21),ISNUMBER(T22)),VLOOKUP(ABS(T21-T22),'IMP Table'!$A$2:$C$26,3)*SIGN(T21-T22),0)</f>
        <v/>
      </c>
      <c r="AR21">
        <f>IF(AND(ISNUMBER(T21),ISNUMBER(T23)),VLOOKUP(ABS(T21-T23),'IMP Table'!$A$2:$C$26,3)*SIGN(T21-T23),0)</f>
        <v/>
      </c>
    </row>
    <row r="22">
      <c r="B22" s="10">
        <f>'By Round'!A157</f>
        <v/>
      </c>
      <c r="C22" s="10">
        <f>'By Round'!B161</f>
        <v/>
      </c>
      <c r="D22" s="10">
        <f>'By Round'!C161</f>
        <v/>
      </c>
      <c r="E22" s="10">
        <f>'By Round'!D161</f>
        <v/>
      </c>
      <c r="F22" s="10">
        <f>IF(ISBLANK('By Round'!F161),"",'By Round'!F161)</f>
        <v/>
      </c>
      <c r="G22">
        <f>IF(ISBLANK('By Round'!G161),"",'By Round'!G161)</f>
        <v/>
      </c>
      <c r="H22">
        <f>IF(ISBLANK('By Round'!H161),"",'By Round'!H161)</f>
        <v/>
      </c>
      <c r="I22">
        <f>IF(ISBLANK('By Round'!I161),"",'By Round'!I161)</f>
        <v/>
      </c>
      <c r="J22">
        <f>IF(ISBLANK('By Round'!J161),"",'By Round'!J161)</f>
        <v/>
      </c>
      <c r="K22">
        <f>IF(ISBLANK('By Round'!K161),"",'By Round'!K161)</f>
        <v/>
      </c>
      <c r="L22">
        <f>IF(ISBLANK('By Round'!L161),"",'By Round'!L161)</f>
        <v/>
      </c>
      <c r="M22" s="11">
        <f>AVERAGE(AG22:AL22)</f>
        <v/>
      </c>
      <c r="N22" s="12">
        <f>AVERAGE(AM22:AR22)</f>
        <v/>
      </c>
      <c r="O22" s="13">
        <f>IF(COUNT(U22:Z22)&gt;0,Q22/COUNT(U22:Z22),0.5)</f>
        <v/>
      </c>
      <c r="P22" s="13">
        <f>IF(COUNT(AA22:AF22)&gt;0,R22/COUNT(AA22:AF22),0.5)</f>
        <v/>
      </c>
      <c r="Q22" s="5">
        <f>SUM(U22:Z22)</f>
        <v/>
      </c>
      <c r="R22" s="5">
        <f>SUM(AA22:AF22)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IF(ISNUMBER(S22),IF(ISNUMBER(S17),IF(S22&gt;S17,1.0,IF(S22=S17,0.5,0.0)),""),"")</f>
        <v/>
      </c>
      <c r="V22">
        <f>IF(ISNUMBER(S22),IF(ISNUMBER(S18),IF(S22&gt;S18,1.0,IF(S22=S18,0.5,0.0)),""),"")</f>
        <v/>
      </c>
      <c r="W22">
        <f>IF(ISNUMBER(S22),IF(ISNUMBER(S19),IF(S22&gt;S19,1.0,IF(S22=S19,0.5,0.0)),""),"")</f>
        <v/>
      </c>
      <c r="X22">
        <f>IF(ISNUMBER(S22),IF(ISNUMBER(S20),IF(S22&gt;S20,1.0,IF(S22=S20,0.5,0.0)),""),"")</f>
        <v/>
      </c>
      <c r="Y22">
        <f>IF(ISNUMBER(S22),IF(ISNUMBER(S21),IF(S22&gt;S21,1.0,IF(S22=S21,0.5,0.0)),""),"")</f>
        <v/>
      </c>
      <c r="Z22">
        <f>IF(ISNUMBER(S22),IF(ISNUMBER(S23),IF(S22&gt;S23,1.0,IF(S22=S23,0.5,0.0)),""),"")</f>
        <v/>
      </c>
      <c r="AA22">
        <f>IF(ISNUMBER(T22),IF(ISNUMBER(T17),IF(T22&gt;T17,1.0,IF(T22=T17,0.5,0.0)),""),"")</f>
        <v/>
      </c>
      <c r="AB22">
        <f>IF(ISNUMBER(T22),IF(ISNUMBER(T18),IF(T22&gt;T18,1.0,IF(T22=T18,0.5,0.0)),""),"")</f>
        <v/>
      </c>
      <c r="AC22">
        <f>IF(ISNUMBER(T22),IF(ISNUMBER(T19),IF(T22&gt;T19,1.0,IF(T22=T19,0.5,0.0)),""),"")</f>
        <v/>
      </c>
      <c r="AD22">
        <f>IF(ISNUMBER(T22),IF(ISNUMBER(T20),IF(T22&gt;T20,1.0,IF(T22=T20,0.5,0.0)),""),"")</f>
        <v/>
      </c>
      <c r="AE22">
        <f>IF(ISNUMBER(T22),IF(ISNUMBER(T21),IF(T22&gt;T21,1.0,IF(T22=T21,0.5,0.0)),""),"")</f>
        <v/>
      </c>
      <c r="AF22">
        <f>IF(ISNUMBER(T22),IF(ISNUMBER(T23),IF(T22&gt;T23,1.0,IF(T22=T23,0.5,0.0)),""),"")</f>
        <v/>
      </c>
      <c r="AG22" s="14">
        <f>IF(AND(ISNUMBER(S22),ISNUMBER(S17)),VLOOKUP(ABS(S22-S17),'IMP Table'!$A$2:$C$26,3)*SIGN(S22-S17),0)</f>
        <v/>
      </c>
      <c r="AH22">
        <f>IF(AND(ISNUMBER(S22),ISNUMBER(S18)),VLOOKUP(ABS(S22-S18),'IMP Table'!$A$2:$C$26,3)*SIGN(S22-S18),0)</f>
        <v/>
      </c>
      <c r="AI22">
        <f>IF(AND(ISNUMBER(S22),ISNUMBER(S19)),VLOOKUP(ABS(S22-S19),'IMP Table'!$A$2:$C$26,3)*SIGN(S22-S19),0)</f>
        <v/>
      </c>
      <c r="AJ22">
        <f>IF(AND(ISNUMBER(S22),ISNUMBER(S20)),VLOOKUP(ABS(S22-S20),'IMP Table'!$A$2:$C$26,3)*SIGN(S22-S20),0)</f>
        <v/>
      </c>
      <c r="AK22">
        <f>IF(AND(ISNUMBER(S22),ISNUMBER(S21)),VLOOKUP(ABS(S22-S21),'IMP Table'!$A$2:$C$26,3)*SIGN(S22-S21),0)</f>
        <v/>
      </c>
      <c r="AL22">
        <f>IF(AND(ISNUMBER(S22),ISNUMBER(S23)),VLOOKUP(ABS(S22-S23),'IMP Table'!$A$2:$C$26,3)*SIGN(S22-S23),0)</f>
        <v/>
      </c>
      <c r="AM22">
        <f>IF(AND(ISNUMBER(T22),ISNUMBER(T17)),VLOOKUP(ABS(T22-T17),'IMP Table'!$A$2:$C$26,3)*SIGN(T22-T17),0)</f>
        <v/>
      </c>
      <c r="AN22">
        <f>IF(AND(ISNUMBER(T22),ISNUMBER(T18)),VLOOKUP(ABS(T22-T18),'IMP Table'!$A$2:$C$26,3)*SIGN(T22-T18),0)</f>
        <v/>
      </c>
      <c r="AO22">
        <f>IF(AND(ISNUMBER(T22),ISNUMBER(T19)),VLOOKUP(ABS(T22-T19),'IMP Table'!$A$2:$C$26,3)*SIGN(T22-T19),0)</f>
        <v/>
      </c>
      <c r="AP22">
        <f>IF(AND(ISNUMBER(T22),ISNUMBER(T20)),VLOOKUP(ABS(T22-T20),'IMP Table'!$A$2:$C$26,3)*SIGN(T22-T20),0)</f>
        <v/>
      </c>
      <c r="AQ22">
        <f>IF(AND(ISNUMBER(T22),ISNUMBER(T21)),VLOOKUP(ABS(T22-T21),'IMP Table'!$A$2:$C$26,3)*SIGN(T22-T21),0)</f>
        <v/>
      </c>
      <c r="AR22">
        <f>IF(AND(ISNUMBER(T22),ISNUMBER(T23)),VLOOKUP(ABS(T22-T23),'IMP Table'!$A$2:$C$26,3)*SIGN(T22-T23),0)</f>
        <v/>
      </c>
    </row>
    <row r="23">
      <c r="A23" s="15" t="n"/>
      <c r="B23" s="16">
        <f>'By Round'!A17</f>
        <v/>
      </c>
      <c r="C23" s="16">
        <f>'By Round'!B17</f>
        <v/>
      </c>
      <c r="D23" s="16">
        <f>'By Round'!C17</f>
        <v/>
      </c>
      <c r="E23" s="16">
        <f>'By Round'!D17</f>
        <v/>
      </c>
      <c r="F23" s="16">
        <f>IF(ISBLANK('By Round'!F17),"",'By Round'!F17)</f>
        <v/>
      </c>
      <c r="G23" s="15">
        <f>IF(ISBLANK('By Round'!G17),"",'By Round'!G17)</f>
        <v/>
      </c>
      <c r="H23" s="15">
        <f>IF(ISBLANK('By Round'!H17),"",'By Round'!H17)</f>
        <v/>
      </c>
      <c r="I23" s="15">
        <f>IF(ISBLANK('By Round'!I17),"",'By Round'!I17)</f>
        <v/>
      </c>
      <c r="J23" s="15">
        <f>IF(ISBLANK('By Round'!J17),"",'By Round'!J17)</f>
        <v/>
      </c>
      <c r="K23" s="15">
        <f>IF(ISBLANK('By Round'!K17),"",'By Round'!K17)</f>
        <v/>
      </c>
      <c r="L23" s="15">
        <f>IF(ISBLANK('By Round'!L17),"",'By Round'!L17)</f>
        <v/>
      </c>
      <c r="M23" s="17">
        <f>AVERAGE(AG23:AL23)</f>
        <v/>
      </c>
      <c r="N23" s="18">
        <f>AVERAGE(AM23:AR23)</f>
        <v/>
      </c>
      <c r="O23" s="19">
        <f>IF(COUNT(U23:Z23)&gt;0,Q23/COUNT(U23:Z23),0.5)</f>
        <v/>
      </c>
      <c r="P23" s="19">
        <f>IF(COUNT(AA23:AF23)&gt;0,R23/COUNT(AA23:AF23),0.5)</f>
        <v/>
      </c>
      <c r="Q23" s="20">
        <f>SUM(U23:Z23)</f>
        <v/>
      </c>
      <c r="R23" s="20">
        <f>SUM(AA23:AF23)</f>
        <v/>
      </c>
      <c r="S23" s="21">
        <f>IF(ISNUMBER(K23),K23,IF(ISNUMBER(L23),-L23,""))</f>
        <v/>
      </c>
      <c r="T23" s="15">
        <f>IF(ISNUMBER(L23),L23,IF(ISNUMBER(K23),-K23,""))</f>
        <v/>
      </c>
      <c r="U23" s="21">
        <f>IF(ISNUMBER(S23),IF(ISNUMBER(S17),IF(S23&gt;S17,1.0,IF(S23=S17,0.5,0.0)),""),"")</f>
        <v/>
      </c>
      <c r="V23" s="15">
        <f>IF(ISNUMBER(S23),IF(ISNUMBER(S18),IF(S23&gt;S18,1.0,IF(S23=S18,0.5,0.0)),""),"")</f>
        <v/>
      </c>
      <c r="W23" s="15">
        <f>IF(ISNUMBER(S23),IF(ISNUMBER(S19),IF(S23&gt;S19,1.0,IF(S23=S19,0.5,0.0)),""),"")</f>
        <v/>
      </c>
      <c r="X23" s="15">
        <f>IF(ISNUMBER(S23),IF(ISNUMBER(S20),IF(S23&gt;S20,1.0,IF(S23=S20,0.5,0.0)),""),"")</f>
        <v/>
      </c>
      <c r="Y23" s="15">
        <f>IF(ISNUMBER(S23),IF(ISNUMBER(S21),IF(S23&gt;S21,1.0,IF(S23=S21,0.5,0.0)),""),"")</f>
        <v/>
      </c>
      <c r="Z23" s="15">
        <f>IF(ISNUMBER(S23),IF(ISNUMBER(S22),IF(S23&gt;S22,1.0,IF(S23=S22,0.5,0.0)),""),"")</f>
        <v/>
      </c>
      <c r="AA23" s="15">
        <f>IF(ISNUMBER(T23),IF(ISNUMBER(T17),IF(T23&gt;T17,1.0,IF(T23=T17,0.5,0.0)),""),"")</f>
        <v/>
      </c>
      <c r="AB23" s="15">
        <f>IF(ISNUMBER(T23),IF(ISNUMBER(T18),IF(T23&gt;T18,1.0,IF(T23=T18,0.5,0.0)),""),"")</f>
        <v/>
      </c>
      <c r="AC23" s="15">
        <f>IF(ISNUMBER(T23),IF(ISNUMBER(T19),IF(T23&gt;T19,1.0,IF(T23=T19,0.5,0.0)),""),"")</f>
        <v/>
      </c>
      <c r="AD23" s="15">
        <f>IF(ISNUMBER(T23),IF(ISNUMBER(T20),IF(T23&gt;T20,1.0,IF(T23=T20,0.5,0.0)),""),"")</f>
        <v/>
      </c>
      <c r="AE23" s="15">
        <f>IF(ISNUMBER(T23),IF(ISNUMBER(T21),IF(T23&gt;T21,1.0,IF(T23=T21,0.5,0.0)),""),"")</f>
        <v/>
      </c>
      <c r="AF23" s="15">
        <f>IF(ISNUMBER(T23),IF(ISNUMBER(T22),IF(T23&gt;T22,1.0,IF(T23=T22,0.5,0.0)),""),"")</f>
        <v/>
      </c>
      <c r="AG23" s="21">
        <f>IF(AND(ISNUMBER(S23),ISNUMBER(S17)),VLOOKUP(ABS(S23-S17),'IMP Table'!$A$2:$C$26,3)*SIGN(S23-S17),0)</f>
        <v/>
      </c>
      <c r="AH23" s="15">
        <f>IF(AND(ISNUMBER(S23),ISNUMBER(S18)),VLOOKUP(ABS(S23-S18),'IMP Table'!$A$2:$C$26,3)*SIGN(S23-S18),0)</f>
        <v/>
      </c>
      <c r="AI23" s="15">
        <f>IF(AND(ISNUMBER(S23),ISNUMBER(S19)),VLOOKUP(ABS(S23-S19),'IMP Table'!$A$2:$C$26,3)*SIGN(S23-S19),0)</f>
        <v/>
      </c>
      <c r="AJ23" s="15">
        <f>IF(AND(ISNUMBER(S23),ISNUMBER(S20)),VLOOKUP(ABS(S23-S20),'IMP Table'!$A$2:$C$26,3)*SIGN(S23-S20),0)</f>
        <v/>
      </c>
      <c r="AK23" s="15">
        <f>IF(AND(ISNUMBER(S23),ISNUMBER(S21)),VLOOKUP(ABS(S23-S21),'IMP Table'!$A$2:$C$26,3)*SIGN(S23-S21),0)</f>
        <v/>
      </c>
      <c r="AL23" s="15">
        <f>IF(AND(ISNUMBER(S23),ISNUMBER(S22)),VLOOKUP(ABS(S23-S22),'IMP Table'!$A$2:$C$26,3)*SIGN(S23-S22),0)</f>
        <v/>
      </c>
      <c r="AM23" s="15">
        <f>IF(AND(ISNUMBER(T23),ISNUMBER(T17)),VLOOKUP(ABS(T23-T17),'IMP Table'!$A$2:$C$26,3)*SIGN(T23-T17),0)</f>
        <v/>
      </c>
      <c r="AN23" s="15">
        <f>IF(AND(ISNUMBER(T23),ISNUMBER(T18)),VLOOKUP(ABS(T23-T18),'IMP Table'!$A$2:$C$26,3)*SIGN(T23-T18),0)</f>
        <v/>
      </c>
      <c r="AO23" s="15">
        <f>IF(AND(ISNUMBER(T23),ISNUMBER(T19)),VLOOKUP(ABS(T23-T19),'IMP Table'!$A$2:$C$26,3)*SIGN(T23-T19),0)</f>
        <v/>
      </c>
      <c r="AP23" s="15">
        <f>IF(AND(ISNUMBER(T23),ISNUMBER(T20)),VLOOKUP(ABS(T23-T20),'IMP Table'!$A$2:$C$26,3)*SIGN(T23-T20),0)</f>
        <v/>
      </c>
      <c r="AQ23" s="15">
        <f>IF(AND(ISNUMBER(T23),ISNUMBER(T21)),VLOOKUP(ABS(T23-T21),'IMP Table'!$A$2:$C$26,3)*SIGN(T23-T21),0)</f>
        <v/>
      </c>
      <c r="AR23" s="15">
        <f>IF(AND(ISNUMBER(T23),ISNUMBER(T22)),VLOOKUP(ABS(T23-T22),'IMP Table'!$A$2:$C$26,3)*SIGN(T23-T22),0)</f>
        <v/>
      </c>
    </row>
    <row r="24">
      <c r="A24" s="10" t="n">
        <v>4</v>
      </c>
      <c r="B24" s="10">
        <f>'By Round'!A171</f>
        <v/>
      </c>
      <c r="C24" s="10">
        <f>'By Round'!B173</f>
        <v/>
      </c>
      <c r="D24" s="10">
        <f>'By Round'!C173</f>
        <v/>
      </c>
      <c r="E24" s="10">
        <f>'By Round'!D173</f>
        <v/>
      </c>
      <c r="F24" s="10">
        <f>IF(ISBLANK('By Round'!F174),"",'By Round'!F174)</f>
        <v/>
      </c>
      <c r="G24">
        <f>IF(ISBLANK('By Round'!G174),"",'By Round'!G174)</f>
        <v/>
      </c>
      <c r="H24">
        <f>IF(ISBLANK('By Round'!H174),"",'By Round'!H174)</f>
        <v/>
      </c>
      <c r="I24">
        <f>IF(ISBLANK('By Round'!I174),"",'By Round'!I174)</f>
        <v/>
      </c>
      <c r="J24">
        <f>IF(ISBLANK('By Round'!J174),"",'By Round'!J174)</f>
        <v/>
      </c>
      <c r="K24">
        <f>IF(ISBLANK('By Round'!K174),"",'By Round'!K174)</f>
        <v/>
      </c>
      <c r="L24">
        <f>IF(ISBLANK('By Round'!L174),"",'By Round'!L174)</f>
        <v/>
      </c>
      <c r="M24" s="11">
        <f>AVERAGE(AG24:AL24)</f>
        <v/>
      </c>
      <c r="N24" s="12">
        <f>AVERAGE(AM24:AR24)</f>
        <v/>
      </c>
      <c r="O24" s="13">
        <f>IF(COUNT(U24:Z24)&gt;0,Q24/COUNT(U24:Z24),0.5)</f>
        <v/>
      </c>
      <c r="P24" s="13">
        <f>IF(COUNT(AA24:AF24)&gt;0,R24/COUNT(AA24:AF24),0.5)</f>
        <v/>
      </c>
      <c r="Q24" s="5">
        <f>SUM(U24:Z24)</f>
        <v/>
      </c>
      <c r="R24" s="5">
        <f>SUM(AA24:AF24)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IF(ISNUMBER(S24),IF(ISNUMBER(S25),IF(S24&gt;S25,1.0,IF(S24=S25,0.5,0.0)),""),"")</f>
        <v/>
      </c>
      <c r="V24">
        <f>IF(ISNUMBER(S24),IF(ISNUMBER(S26),IF(S24&gt;S26,1.0,IF(S24=S26,0.5,0.0)),""),"")</f>
        <v/>
      </c>
      <c r="W24">
        <f>IF(ISNUMBER(S24),IF(ISNUMBER(S27),IF(S24&gt;S27,1.0,IF(S24=S27,0.5,0.0)),""),"")</f>
        <v/>
      </c>
      <c r="X24">
        <f>IF(ISNUMBER(S24),IF(ISNUMBER(S28),IF(S24&gt;S28,1.0,IF(S24=S28,0.5,0.0)),""),"")</f>
        <v/>
      </c>
      <c r="Y24">
        <f>IF(ISNUMBER(S24),IF(ISNUMBER(S29),IF(S24&gt;S29,1.0,IF(S24=S29,0.5,0.0)),""),"")</f>
        <v/>
      </c>
      <c r="Z24">
        <f>IF(ISNUMBER(S24),IF(ISNUMBER(S30),IF(S24&gt;S30,1.0,IF(S24=S30,0.5,0.0)),""),"")</f>
        <v/>
      </c>
      <c r="AA24">
        <f>IF(ISNUMBER(T24),IF(ISNUMBER(T25),IF(T24&gt;T25,1.0,IF(T24=T25,0.5,0.0)),""),"")</f>
        <v/>
      </c>
      <c r="AB24">
        <f>IF(ISNUMBER(T24),IF(ISNUMBER(T26),IF(T24&gt;T26,1.0,IF(T24=T26,0.5,0.0)),""),"")</f>
        <v/>
      </c>
      <c r="AC24">
        <f>IF(ISNUMBER(T24),IF(ISNUMBER(T27),IF(T24&gt;T27,1.0,IF(T24=T27,0.5,0.0)),""),"")</f>
        <v/>
      </c>
      <c r="AD24">
        <f>IF(ISNUMBER(T24),IF(ISNUMBER(T28),IF(T24&gt;T28,1.0,IF(T24=T28,0.5,0.0)),""),"")</f>
        <v/>
      </c>
      <c r="AE24">
        <f>IF(ISNUMBER(T24),IF(ISNUMBER(T29),IF(T24&gt;T29,1.0,IF(T24=T29,0.5,0.0)),""),"")</f>
        <v/>
      </c>
      <c r="AF24">
        <f>IF(ISNUMBER(T24),IF(ISNUMBER(T30),IF(T24&gt;T30,1.0,IF(T24=T30,0.5,0.0)),""),"")</f>
        <v/>
      </c>
      <c r="AG24" s="14">
        <f>IF(AND(ISNUMBER(S24),ISNUMBER(S25)),VLOOKUP(ABS(S24-S25),'IMP Table'!$A$2:$C$26,3)*SIGN(S24-S25),0)</f>
        <v/>
      </c>
      <c r="AH24">
        <f>IF(AND(ISNUMBER(S24),ISNUMBER(S26)),VLOOKUP(ABS(S24-S26),'IMP Table'!$A$2:$C$26,3)*SIGN(S24-S26),0)</f>
        <v/>
      </c>
      <c r="AI24">
        <f>IF(AND(ISNUMBER(S24),ISNUMBER(S27)),VLOOKUP(ABS(S24-S27),'IMP Table'!$A$2:$C$26,3)*SIGN(S24-S27),0)</f>
        <v/>
      </c>
      <c r="AJ24">
        <f>IF(AND(ISNUMBER(S24),ISNUMBER(S28)),VLOOKUP(ABS(S24-S28),'IMP Table'!$A$2:$C$26,3)*SIGN(S24-S28),0)</f>
        <v/>
      </c>
      <c r="AK24">
        <f>IF(AND(ISNUMBER(S24),ISNUMBER(S29)),VLOOKUP(ABS(S24-S29),'IMP Table'!$A$2:$C$26,3)*SIGN(S24-S29),0)</f>
        <v/>
      </c>
      <c r="AL24">
        <f>IF(AND(ISNUMBER(S24),ISNUMBER(S30)),VLOOKUP(ABS(S24-S30),'IMP Table'!$A$2:$C$26,3)*SIGN(S24-S30),0)</f>
        <v/>
      </c>
      <c r="AM24">
        <f>IF(AND(ISNUMBER(T24),ISNUMBER(T25)),VLOOKUP(ABS(T24-T25),'IMP Table'!$A$2:$C$26,3)*SIGN(T24-T25),0)</f>
        <v/>
      </c>
      <c r="AN24">
        <f>IF(AND(ISNUMBER(T24),ISNUMBER(T26)),VLOOKUP(ABS(T24-T26),'IMP Table'!$A$2:$C$26,3)*SIGN(T24-T26),0)</f>
        <v/>
      </c>
      <c r="AO24">
        <f>IF(AND(ISNUMBER(T24),ISNUMBER(T27)),VLOOKUP(ABS(T24-T27),'IMP Table'!$A$2:$C$26,3)*SIGN(T24-T27),0)</f>
        <v/>
      </c>
      <c r="AP24">
        <f>IF(AND(ISNUMBER(T24),ISNUMBER(T28)),VLOOKUP(ABS(T24-T28),'IMP Table'!$A$2:$C$26,3)*SIGN(T24-T28),0)</f>
        <v/>
      </c>
      <c r="AQ24">
        <f>IF(AND(ISNUMBER(T24),ISNUMBER(T29)),VLOOKUP(ABS(T24-T29),'IMP Table'!$A$2:$C$26,3)*SIGN(T24-T29),0)</f>
        <v/>
      </c>
      <c r="AR24">
        <f>IF(AND(ISNUMBER(T24),ISNUMBER(T30)),VLOOKUP(ABS(T24-T30),'IMP Table'!$A$2:$C$26,3)*SIGN(T24-T30),0)</f>
        <v/>
      </c>
    </row>
    <row r="25">
      <c r="B25" s="10">
        <f>'By Round'!A143</f>
        <v/>
      </c>
      <c r="C25" s="10">
        <f>'By Round'!B149</f>
        <v/>
      </c>
      <c r="D25" s="10">
        <f>'By Round'!C149</f>
        <v/>
      </c>
      <c r="E25" s="10">
        <f>'By Round'!D149</f>
        <v/>
      </c>
      <c r="F25" s="10">
        <f>IF(ISBLANK('By Round'!F150),"",'By Round'!F150)</f>
        <v/>
      </c>
      <c r="G25">
        <f>IF(ISBLANK('By Round'!G150),"",'By Round'!G150)</f>
        <v/>
      </c>
      <c r="H25">
        <f>IF(ISBLANK('By Round'!H150),"",'By Round'!H150)</f>
        <v/>
      </c>
      <c r="I25">
        <f>IF(ISBLANK('By Round'!I150),"",'By Round'!I150)</f>
        <v/>
      </c>
      <c r="J25">
        <f>IF(ISBLANK('By Round'!J150),"",'By Round'!J150)</f>
        <v/>
      </c>
      <c r="K25">
        <f>IF(ISBLANK('By Round'!K150),"",'By Round'!K150)</f>
        <v/>
      </c>
      <c r="L25">
        <f>IF(ISBLANK('By Round'!L150),"",'By Round'!L150)</f>
        <v/>
      </c>
      <c r="M25" s="11">
        <f>AVERAGE(AG25:AL25)</f>
        <v/>
      </c>
      <c r="N25" s="12">
        <f>AVERAGE(AM25:AR25)</f>
        <v/>
      </c>
      <c r="O25" s="13">
        <f>IF(COUNT(U25:Z25)&gt;0,Q25/COUNT(U25:Z25),0.5)</f>
        <v/>
      </c>
      <c r="P25" s="13">
        <f>IF(COUNT(AA25:AF25)&gt;0,R25/COUNT(AA25:AF25),0.5)</f>
        <v/>
      </c>
      <c r="Q25" s="5">
        <f>SUM(U25:Z25)</f>
        <v/>
      </c>
      <c r="R25" s="5">
        <f>SUM(AA25:AF25)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IF(ISNUMBER(S25),IF(ISNUMBER(S24),IF(S25&gt;S24,1.0,IF(S25=S24,0.5,0.0)),""),"")</f>
        <v/>
      </c>
      <c r="V25">
        <f>IF(ISNUMBER(S25),IF(ISNUMBER(S26),IF(S25&gt;S26,1.0,IF(S25=S26,0.5,0.0)),""),"")</f>
        <v/>
      </c>
      <c r="W25">
        <f>IF(ISNUMBER(S25),IF(ISNUMBER(S27),IF(S25&gt;S27,1.0,IF(S25=S27,0.5,0.0)),""),"")</f>
        <v/>
      </c>
      <c r="X25">
        <f>IF(ISNUMBER(S25),IF(ISNUMBER(S28),IF(S25&gt;S28,1.0,IF(S25=S28,0.5,0.0)),""),"")</f>
        <v/>
      </c>
      <c r="Y25">
        <f>IF(ISNUMBER(S25),IF(ISNUMBER(S29),IF(S25&gt;S29,1.0,IF(S25=S29,0.5,0.0)),""),"")</f>
        <v/>
      </c>
      <c r="Z25">
        <f>IF(ISNUMBER(S25),IF(ISNUMBER(S30),IF(S25&gt;S30,1.0,IF(S25=S30,0.5,0.0)),""),"")</f>
        <v/>
      </c>
      <c r="AA25">
        <f>IF(ISNUMBER(T25),IF(ISNUMBER(T24),IF(T25&gt;T24,1.0,IF(T25=T24,0.5,0.0)),""),"")</f>
        <v/>
      </c>
      <c r="AB25">
        <f>IF(ISNUMBER(T25),IF(ISNUMBER(T26),IF(T25&gt;T26,1.0,IF(T25=T26,0.5,0.0)),""),"")</f>
        <v/>
      </c>
      <c r="AC25">
        <f>IF(ISNUMBER(T25),IF(ISNUMBER(T27),IF(T25&gt;T27,1.0,IF(T25=T27,0.5,0.0)),""),"")</f>
        <v/>
      </c>
      <c r="AD25">
        <f>IF(ISNUMBER(T25),IF(ISNUMBER(T28),IF(T25&gt;T28,1.0,IF(T25=T28,0.5,0.0)),""),"")</f>
        <v/>
      </c>
      <c r="AE25">
        <f>IF(ISNUMBER(T25),IF(ISNUMBER(T29),IF(T25&gt;T29,1.0,IF(T25=T29,0.5,0.0)),""),"")</f>
        <v/>
      </c>
      <c r="AF25">
        <f>IF(ISNUMBER(T25),IF(ISNUMBER(T30),IF(T25&gt;T30,1.0,IF(T25=T30,0.5,0.0)),""),"")</f>
        <v/>
      </c>
      <c r="AG25" s="14">
        <f>IF(AND(ISNUMBER(S25),ISNUMBER(S24)),VLOOKUP(ABS(S25-S24),'IMP Table'!$A$2:$C$26,3)*SIGN(S25-S24),0)</f>
        <v/>
      </c>
      <c r="AH25">
        <f>IF(AND(ISNUMBER(S25),ISNUMBER(S26)),VLOOKUP(ABS(S25-S26),'IMP Table'!$A$2:$C$26,3)*SIGN(S25-S26),0)</f>
        <v/>
      </c>
      <c r="AI25">
        <f>IF(AND(ISNUMBER(S25),ISNUMBER(S27)),VLOOKUP(ABS(S25-S27),'IMP Table'!$A$2:$C$26,3)*SIGN(S25-S27),0)</f>
        <v/>
      </c>
      <c r="AJ25">
        <f>IF(AND(ISNUMBER(S25),ISNUMBER(S28)),VLOOKUP(ABS(S25-S28),'IMP Table'!$A$2:$C$26,3)*SIGN(S25-S28),0)</f>
        <v/>
      </c>
      <c r="AK25">
        <f>IF(AND(ISNUMBER(S25),ISNUMBER(S29)),VLOOKUP(ABS(S25-S29),'IMP Table'!$A$2:$C$26,3)*SIGN(S25-S29),0)</f>
        <v/>
      </c>
      <c r="AL25">
        <f>IF(AND(ISNUMBER(S25),ISNUMBER(S30)),VLOOKUP(ABS(S25-S30),'IMP Table'!$A$2:$C$26,3)*SIGN(S25-S30),0)</f>
        <v/>
      </c>
      <c r="AM25">
        <f>IF(AND(ISNUMBER(T25),ISNUMBER(T24)),VLOOKUP(ABS(T25-T24),'IMP Table'!$A$2:$C$26,3)*SIGN(T25-T24),0)</f>
        <v/>
      </c>
      <c r="AN25">
        <f>IF(AND(ISNUMBER(T25),ISNUMBER(T26)),VLOOKUP(ABS(T25-T26),'IMP Table'!$A$2:$C$26,3)*SIGN(T25-T26),0)</f>
        <v/>
      </c>
      <c r="AO25">
        <f>IF(AND(ISNUMBER(T25),ISNUMBER(T27)),VLOOKUP(ABS(T25-T27),'IMP Table'!$A$2:$C$26,3)*SIGN(T25-T27),0)</f>
        <v/>
      </c>
      <c r="AP25">
        <f>IF(AND(ISNUMBER(T25),ISNUMBER(T28)),VLOOKUP(ABS(T25-T28),'IMP Table'!$A$2:$C$26,3)*SIGN(T25-T28),0)</f>
        <v/>
      </c>
      <c r="AQ25">
        <f>IF(AND(ISNUMBER(T25),ISNUMBER(T29)),VLOOKUP(ABS(T25-T29),'IMP Table'!$A$2:$C$26,3)*SIGN(T25-T29),0)</f>
        <v/>
      </c>
      <c r="AR25">
        <f>IF(AND(ISNUMBER(T25),ISNUMBER(T30)),VLOOKUP(ABS(T25-T30),'IMP Table'!$A$2:$C$26,3)*SIGN(T25-T30),0)</f>
        <v/>
      </c>
    </row>
    <row r="26">
      <c r="B26" s="10">
        <f>'By Round'!A45</f>
        <v/>
      </c>
      <c r="C26" s="10">
        <f>'By Round'!B57</f>
        <v/>
      </c>
      <c r="D26" s="10">
        <f>'By Round'!C57</f>
        <v/>
      </c>
      <c r="E26" s="10">
        <f>'By Round'!D57</f>
        <v/>
      </c>
      <c r="F26" s="10">
        <f>IF(ISBLANK('By Round'!F58),"",'By Round'!F58)</f>
        <v/>
      </c>
      <c r="G26">
        <f>IF(ISBLANK('By Round'!G58),"",'By Round'!G58)</f>
        <v/>
      </c>
      <c r="H26">
        <f>IF(ISBLANK('By Round'!H58),"",'By Round'!H58)</f>
        <v/>
      </c>
      <c r="I26">
        <f>IF(ISBLANK('By Round'!I58),"",'By Round'!I58)</f>
        <v/>
      </c>
      <c r="J26">
        <f>IF(ISBLANK('By Round'!J58),"",'By Round'!J58)</f>
        <v/>
      </c>
      <c r="K26">
        <f>IF(ISBLANK('By Round'!K58),"",'By Round'!K58)</f>
        <v/>
      </c>
      <c r="L26">
        <f>IF(ISBLANK('By Round'!L58),"",'By Round'!L58)</f>
        <v/>
      </c>
      <c r="M26" s="11">
        <f>AVERAGE(AG26:AL26)</f>
        <v/>
      </c>
      <c r="N26" s="12">
        <f>AVERAGE(AM26:AR26)</f>
        <v/>
      </c>
      <c r="O26" s="13">
        <f>IF(COUNT(U26:Z26)&gt;0,Q26/COUNT(U26:Z26),0.5)</f>
        <v/>
      </c>
      <c r="P26" s="13">
        <f>IF(COUNT(AA26:AF26)&gt;0,R26/COUNT(AA26:AF26),0.5)</f>
        <v/>
      </c>
      <c r="Q26" s="5">
        <f>SUM(U26:Z26)</f>
        <v/>
      </c>
      <c r="R26" s="5">
        <f>SUM(AA26:AF26)</f>
        <v/>
      </c>
      <c r="S26" s="14">
        <f>IF(ISNUMBER(K26),K26,IF(ISNUMBER(L26),-L26,""))</f>
        <v/>
      </c>
      <c r="T26">
        <f>IF(ISNUMBER(L26),L26,IF(ISNUMBER(K26),-K26,""))</f>
        <v/>
      </c>
      <c r="U26" s="14">
        <f>IF(ISNUMBER(S26),IF(ISNUMBER(S24),IF(S26&gt;S24,1.0,IF(S26=S24,0.5,0.0)),""),"")</f>
        <v/>
      </c>
      <c r="V26">
        <f>IF(ISNUMBER(S26),IF(ISNUMBER(S25),IF(S26&gt;S25,1.0,IF(S26=S25,0.5,0.0)),""),"")</f>
        <v/>
      </c>
      <c r="W26">
        <f>IF(ISNUMBER(S26),IF(ISNUMBER(S27),IF(S26&gt;S27,1.0,IF(S26=S27,0.5,0.0)),""),"")</f>
        <v/>
      </c>
      <c r="X26">
        <f>IF(ISNUMBER(S26),IF(ISNUMBER(S28),IF(S26&gt;S28,1.0,IF(S26=S28,0.5,0.0)),""),"")</f>
        <v/>
      </c>
      <c r="Y26">
        <f>IF(ISNUMBER(S26),IF(ISNUMBER(S29),IF(S26&gt;S29,1.0,IF(S26=S29,0.5,0.0)),""),"")</f>
        <v/>
      </c>
      <c r="Z26">
        <f>IF(ISNUMBER(S26),IF(ISNUMBER(S30),IF(S26&gt;S30,1.0,IF(S26=S30,0.5,0.0)),""),"")</f>
        <v/>
      </c>
      <c r="AA26">
        <f>IF(ISNUMBER(T26),IF(ISNUMBER(T24),IF(T26&gt;T24,1.0,IF(T26=T24,0.5,0.0)),""),"")</f>
        <v/>
      </c>
      <c r="AB26">
        <f>IF(ISNUMBER(T26),IF(ISNUMBER(T25),IF(T26&gt;T25,1.0,IF(T26=T25,0.5,0.0)),""),"")</f>
        <v/>
      </c>
      <c r="AC26">
        <f>IF(ISNUMBER(T26),IF(ISNUMBER(T27),IF(T26&gt;T27,1.0,IF(T26=T27,0.5,0.0)),""),"")</f>
        <v/>
      </c>
      <c r="AD26">
        <f>IF(ISNUMBER(T26),IF(ISNUMBER(T28),IF(T26&gt;T28,1.0,IF(T26=T28,0.5,0.0)),""),"")</f>
        <v/>
      </c>
      <c r="AE26">
        <f>IF(ISNUMBER(T26),IF(ISNUMBER(T29),IF(T26&gt;T29,1.0,IF(T26=T29,0.5,0.0)),""),"")</f>
        <v/>
      </c>
      <c r="AF26">
        <f>IF(ISNUMBER(T26),IF(ISNUMBER(T30),IF(T26&gt;T30,1.0,IF(T26=T30,0.5,0.0)),""),"")</f>
        <v/>
      </c>
      <c r="AG26" s="14">
        <f>IF(AND(ISNUMBER(S26),ISNUMBER(S24)),VLOOKUP(ABS(S26-S24),'IMP Table'!$A$2:$C$26,3)*SIGN(S26-S24),0)</f>
        <v/>
      </c>
      <c r="AH26">
        <f>IF(AND(ISNUMBER(S26),ISNUMBER(S25)),VLOOKUP(ABS(S26-S25),'IMP Table'!$A$2:$C$26,3)*SIGN(S26-S25),0)</f>
        <v/>
      </c>
      <c r="AI26">
        <f>IF(AND(ISNUMBER(S26),ISNUMBER(S27)),VLOOKUP(ABS(S26-S27),'IMP Table'!$A$2:$C$26,3)*SIGN(S26-S27),0)</f>
        <v/>
      </c>
      <c r="AJ26">
        <f>IF(AND(ISNUMBER(S26),ISNUMBER(S28)),VLOOKUP(ABS(S26-S28),'IMP Table'!$A$2:$C$26,3)*SIGN(S26-S28),0)</f>
        <v/>
      </c>
      <c r="AK26">
        <f>IF(AND(ISNUMBER(S26),ISNUMBER(S29)),VLOOKUP(ABS(S26-S29),'IMP Table'!$A$2:$C$26,3)*SIGN(S26-S29),0)</f>
        <v/>
      </c>
      <c r="AL26">
        <f>IF(AND(ISNUMBER(S26),ISNUMBER(S30)),VLOOKUP(ABS(S26-S30),'IMP Table'!$A$2:$C$26,3)*SIGN(S26-S30),0)</f>
        <v/>
      </c>
      <c r="AM26">
        <f>IF(AND(ISNUMBER(T26),ISNUMBER(T24)),VLOOKUP(ABS(T26-T24),'IMP Table'!$A$2:$C$26,3)*SIGN(T26-T24),0)</f>
        <v/>
      </c>
      <c r="AN26">
        <f>IF(AND(ISNUMBER(T26),ISNUMBER(T25)),VLOOKUP(ABS(T26-T25),'IMP Table'!$A$2:$C$26,3)*SIGN(T26-T25),0)</f>
        <v/>
      </c>
      <c r="AO26">
        <f>IF(AND(ISNUMBER(T26),ISNUMBER(T27)),VLOOKUP(ABS(T26-T27),'IMP Table'!$A$2:$C$26,3)*SIGN(T26-T27),0)</f>
        <v/>
      </c>
      <c r="AP26">
        <f>IF(AND(ISNUMBER(T26),ISNUMBER(T28)),VLOOKUP(ABS(T26-T28),'IMP Table'!$A$2:$C$26,3)*SIGN(T26-T28),0)</f>
        <v/>
      </c>
      <c r="AQ26">
        <f>IF(AND(ISNUMBER(T26),ISNUMBER(T29)),VLOOKUP(ABS(T26-T29),'IMP Table'!$A$2:$C$26,3)*SIGN(T26-T29),0)</f>
        <v/>
      </c>
      <c r="AR26">
        <f>IF(AND(ISNUMBER(T26),ISNUMBER(T30)),VLOOKUP(ABS(T26-T30),'IMP Table'!$A$2:$C$26,3)*SIGN(T26-T30),0)</f>
        <v/>
      </c>
    </row>
    <row r="27">
      <c r="B27" s="10">
        <f>'By Round'!A73</f>
        <v/>
      </c>
      <c r="C27" s="10">
        <f>'By Round'!B81</f>
        <v/>
      </c>
      <c r="D27" s="10">
        <f>'By Round'!C81</f>
        <v/>
      </c>
      <c r="E27" s="10">
        <f>'By Round'!D81</f>
        <v/>
      </c>
      <c r="F27" s="10">
        <f>IF(ISBLANK('By Round'!F82),"",'By Round'!F82)</f>
        <v/>
      </c>
      <c r="G27">
        <f>IF(ISBLANK('By Round'!G82),"",'By Round'!G82)</f>
        <v/>
      </c>
      <c r="H27">
        <f>IF(ISBLANK('By Round'!H82),"",'By Round'!H82)</f>
        <v/>
      </c>
      <c r="I27">
        <f>IF(ISBLANK('By Round'!I82),"",'By Round'!I82)</f>
        <v/>
      </c>
      <c r="J27">
        <f>IF(ISBLANK('By Round'!J82),"",'By Round'!J82)</f>
        <v/>
      </c>
      <c r="K27">
        <f>IF(ISBLANK('By Round'!K82),"",'By Round'!K82)</f>
        <v/>
      </c>
      <c r="L27">
        <f>IF(ISBLANK('By Round'!L82),"",'By Round'!L82)</f>
        <v/>
      </c>
      <c r="M27" s="11">
        <f>AVERAGE(AG27:AL27)</f>
        <v/>
      </c>
      <c r="N27" s="12">
        <f>AVERAGE(AM27:AR27)</f>
        <v/>
      </c>
      <c r="O27" s="13">
        <f>IF(COUNT(U27:Z27)&gt;0,Q27/COUNT(U27:Z27),0.5)</f>
        <v/>
      </c>
      <c r="P27" s="13">
        <f>IF(COUNT(AA27:AF27)&gt;0,R27/COUNT(AA27:AF27),0.5)</f>
        <v/>
      </c>
      <c r="Q27" s="5">
        <f>SUM(U27:Z27)</f>
        <v/>
      </c>
      <c r="R27" s="5">
        <f>SUM(AA27:AF27)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IF(ISNUMBER(S27),IF(ISNUMBER(S24),IF(S27&gt;S24,1.0,IF(S27=S24,0.5,0.0)),""),"")</f>
        <v/>
      </c>
      <c r="V27">
        <f>IF(ISNUMBER(S27),IF(ISNUMBER(S25),IF(S27&gt;S25,1.0,IF(S27=S25,0.5,0.0)),""),"")</f>
        <v/>
      </c>
      <c r="W27">
        <f>IF(ISNUMBER(S27),IF(ISNUMBER(S26),IF(S27&gt;S26,1.0,IF(S27=S26,0.5,0.0)),""),"")</f>
        <v/>
      </c>
      <c r="X27">
        <f>IF(ISNUMBER(S27),IF(ISNUMBER(S28),IF(S27&gt;S28,1.0,IF(S27=S28,0.5,0.0)),""),"")</f>
        <v/>
      </c>
      <c r="Y27">
        <f>IF(ISNUMBER(S27),IF(ISNUMBER(S29),IF(S27&gt;S29,1.0,IF(S27=S29,0.5,0.0)),""),"")</f>
        <v/>
      </c>
      <c r="Z27">
        <f>IF(ISNUMBER(S27),IF(ISNUMBER(S30),IF(S27&gt;S30,1.0,IF(S27=S30,0.5,0.0)),""),"")</f>
        <v/>
      </c>
      <c r="AA27">
        <f>IF(ISNUMBER(T27),IF(ISNUMBER(T24),IF(T27&gt;T24,1.0,IF(T27=T24,0.5,0.0)),""),"")</f>
        <v/>
      </c>
      <c r="AB27">
        <f>IF(ISNUMBER(T27),IF(ISNUMBER(T25),IF(T27&gt;T25,1.0,IF(T27=T25,0.5,0.0)),""),"")</f>
        <v/>
      </c>
      <c r="AC27">
        <f>IF(ISNUMBER(T27),IF(ISNUMBER(T26),IF(T27&gt;T26,1.0,IF(T27=T26,0.5,0.0)),""),"")</f>
        <v/>
      </c>
      <c r="AD27">
        <f>IF(ISNUMBER(T27),IF(ISNUMBER(T28),IF(T27&gt;T28,1.0,IF(T27=T28,0.5,0.0)),""),"")</f>
        <v/>
      </c>
      <c r="AE27">
        <f>IF(ISNUMBER(T27),IF(ISNUMBER(T29),IF(T27&gt;T29,1.0,IF(T27=T29,0.5,0.0)),""),"")</f>
        <v/>
      </c>
      <c r="AF27">
        <f>IF(ISNUMBER(T27),IF(ISNUMBER(T30),IF(T27&gt;T30,1.0,IF(T27=T30,0.5,0.0)),""),"")</f>
        <v/>
      </c>
      <c r="AG27" s="14">
        <f>IF(AND(ISNUMBER(S27),ISNUMBER(S24)),VLOOKUP(ABS(S27-S24),'IMP Table'!$A$2:$C$26,3)*SIGN(S27-S24),0)</f>
        <v/>
      </c>
      <c r="AH27">
        <f>IF(AND(ISNUMBER(S27),ISNUMBER(S25)),VLOOKUP(ABS(S27-S25),'IMP Table'!$A$2:$C$26,3)*SIGN(S27-S25),0)</f>
        <v/>
      </c>
      <c r="AI27">
        <f>IF(AND(ISNUMBER(S27),ISNUMBER(S26)),VLOOKUP(ABS(S27-S26),'IMP Table'!$A$2:$C$26,3)*SIGN(S27-S26),0)</f>
        <v/>
      </c>
      <c r="AJ27">
        <f>IF(AND(ISNUMBER(S27),ISNUMBER(S28)),VLOOKUP(ABS(S27-S28),'IMP Table'!$A$2:$C$26,3)*SIGN(S27-S28),0)</f>
        <v/>
      </c>
      <c r="AK27">
        <f>IF(AND(ISNUMBER(S27),ISNUMBER(S29)),VLOOKUP(ABS(S27-S29),'IMP Table'!$A$2:$C$26,3)*SIGN(S27-S29),0)</f>
        <v/>
      </c>
      <c r="AL27">
        <f>IF(AND(ISNUMBER(S27),ISNUMBER(S30)),VLOOKUP(ABS(S27-S30),'IMP Table'!$A$2:$C$26,3)*SIGN(S27-S30),0)</f>
        <v/>
      </c>
      <c r="AM27">
        <f>IF(AND(ISNUMBER(T27),ISNUMBER(T24)),VLOOKUP(ABS(T27-T24),'IMP Table'!$A$2:$C$26,3)*SIGN(T27-T24),0)</f>
        <v/>
      </c>
      <c r="AN27">
        <f>IF(AND(ISNUMBER(T27),ISNUMBER(T25)),VLOOKUP(ABS(T27-T25),'IMP Table'!$A$2:$C$26,3)*SIGN(T27-T25),0)</f>
        <v/>
      </c>
      <c r="AO27">
        <f>IF(AND(ISNUMBER(T27),ISNUMBER(T26)),VLOOKUP(ABS(T27-T26),'IMP Table'!$A$2:$C$26,3)*SIGN(T27-T26),0)</f>
        <v/>
      </c>
      <c r="AP27">
        <f>IF(AND(ISNUMBER(T27),ISNUMBER(T28)),VLOOKUP(ABS(T27-T28),'IMP Table'!$A$2:$C$26,3)*SIGN(T27-T28),0)</f>
        <v/>
      </c>
      <c r="AQ27">
        <f>IF(AND(ISNUMBER(T27),ISNUMBER(T29)),VLOOKUP(ABS(T27-T29),'IMP Table'!$A$2:$C$26,3)*SIGN(T27-T29),0)</f>
        <v/>
      </c>
      <c r="AR27">
        <f>IF(AND(ISNUMBER(T27),ISNUMBER(T30)),VLOOKUP(ABS(T27-T30),'IMP Table'!$A$2:$C$26,3)*SIGN(T27-T30),0)</f>
        <v/>
      </c>
    </row>
    <row r="28">
      <c r="B28" s="10">
        <f>'By Round'!A59</f>
        <v/>
      </c>
      <c r="C28" s="10">
        <f>'By Round'!B69</f>
        <v/>
      </c>
      <c r="D28" s="10">
        <f>'By Round'!C69</f>
        <v/>
      </c>
      <c r="E28" s="10">
        <f>'By Round'!D69</f>
        <v/>
      </c>
      <c r="F28" s="10">
        <f>IF(ISBLANK('By Round'!F70),"",'By Round'!F70)</f>
        <v/>
      </c>
      <c r="G28">
        <f>IF(ISBLANK('By Round'!G70),"",'By Round'!G70)</f>
        <v/>
      </c>
      <c r="H28">
        <f>IF(ISBLANK('By Round'!H70),"",'By Round'!H70)</f>
        <v/>
      </c>
      <c r="I28">
        <f>IF(ISBLANK('By Round'!I70),"",'By Round'!I70)</f>
        <v/>
      </c>
      <c r="J28">
        <f>IF(ISBLANK('By Round'!J70),"",'By Round'!J70)</f>
        <v/>
      </c>
      <c r="K28">
        <f>IF(ISBLANK('By Round'!K70),"",'By Round'!K70)</f>
        <v/>
      </c>
      <c r="L28">
        <f>IF(ISBLANK('By Round'!L70),"",'By Round'!L70)</f>
        <v/>
      </c>
      <c r="M28" s="11">
        <f>AVERAGE(AG28:AL28)</f>
        <v/>
      </c>
      <c r="N28" s="12">
        <f>AVERAGE(AM28:AR28)</f>
        <v/>
      </c>
      <c r="O28" s="13">
        <f>IF(COUNT(U28:Z28)&gt;0,Q28/COUNT(U28:Z28),0.5)</f>
        <v/>
      </c>
      <c r="P28" s="13">
        <f>IF(COUNT(AA28:AF28)&gt;0,R28/COUNT(AA28:AF28),0.5)</f>
        <v/>
      </c>
      <c r="Q28" s="5">
        <f>SUM(U28:Z28)</f>
        <v/>
      </c>
      <c r="R28" s="5">
        <f>SUM(AA28:AF28)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IF(ISNUMBER(S28),IF(ISNUMBER(S24),IF(S28&gt;S24,1.0,IF(S28=S24,0.5,0.0)),""),"")</f>
        <v/>
      </c>
      <c r="V28">
        <f>IF(ISNUMBER(S28),IF(ISNUMBER(S25),IF(S28&gt;S25,1.0,IF(S28=S25,0.5,0.0)),""),"")</f>
        <v/>
      </c>
      <c r="W28">
        <f>IF(ISNUMBER(S28),IF(ISNUMBER(S26),IF(S28&gt;S26,1.0,IF(S28=S26,0.5,0.0)),""),"")</f>
        <v/>
      </c>
      <c r="X28">
        <f>IF(ISNUMBER(S28),IF(ISNUMBER(S27),IF(S28&gt;S27,1.0,IF(S28=S27,0.5,0.0)),""),"")</f>
        <v/>
      </c>
      <c r="Y28">
        <f>IF(ISNUMBER(S28),IF(ISNUMBER(S29),IF(S28&gt;S29,1.0,IF(S28=S29,0.5,0.0)),""),"")</f>
        <v/>
      </c>
      <c r="Z28">
        <f>IF(ISNUMBER(S28),IF(ISNUMBER(S30),IF(S28&gt;S30,1.0,IF(S28=S30,0.5,0.0)),""),"")</f>
        <v/>
      </c>
      <c r="AA28">
        <f>IF(ISNUMBER(T28),IF(ISNUMBER(T24),IF(T28&gt;T24,1.0,IF(T28=T24,0.5,0.0)),""),"")</f>
        <v/>
      </c>
      <c r="AB28">
        <f>IF(ISNUMBER(T28),IF(ISNUMBER(T25),IF(T28&gt;T25,1.0,IF(T28=T25,0.5,0.0)),""),"")</f>
        <v/>
      </c>
      <c r="AC28">
        <f>IF(ISNUMBER(T28),IF(ISNUMBER(T26),IF(T28&gt;T26,1.0,IF(T28=T26,0.5,0.0)),""),"")</f>
        <v/>
      </c>
      <c r="AD28">
        <f>IF(ISNUMBER(T28),IF(ISNUMBER(T27),IF(T28&gt;T27,1.0,IF(T28=T27,0.5,0.0)),""),"")</f>
        <v/>
      </c>
      <c r="AE28">
        <f>IF(ISNUMBER(T28),IF(ISNUMBER(T29),IF(T28&gt;T29,1.0,IF(T28=T29,0.5,0.0)),""),"")</f>
        <v/>
      </c>
      <c r="AF28">
        <f>IF(ISNUMBER(T28),IF(ISNUMBER(T30),IF(T28&gt;T30,1.0,IF(T28=T30,0.5,0.0)),""),"")</f>
        <v/>
      </c>
      <c r="AG28" s="14">
        <f>IF(AND(ISNUMBER(S28),ISNUMBER(S24)),VLOOKUP(ABS(S28-S24),'IMP Table'!$A$2:$C$26,3)*SIGN(S28-S24),0)</f>
        <v/>
      </c>
      <c r="AH28">
        <f>IF(AND(ISNUMBER(S28),ISNUMBER(S25)),VLOOKUP(ABS(S28-S25),'IMP Table'!$A$2:$C$26,3)*SIGN(S28-S25),0)</f>
        <v/>
      </c>
      <c r="AI28">
        <f>IF(AND(ISNUMBER(S28),ISNUMBER(S26)),VLOOKUP(ABS(S28-S26),'IMP Table'!$A$2:$C$26,3)*SIGN(S28-S26),0)</f>
        <v/>
      </c>
      <c r="AJ28">
        <f>IF(AND(ISNUMBER(S28),ISNUMBER(S27)),VLOOKUP(ABS(S28-S27),'IMP Table'!$A$2:$C$26,3)*SIGN(S28-S27),0)</f>
        <v/>
      </c>
      <c r="AK28">
        <f>IF(AND(ISNUMBER(S28),ISNUMBER(S29)),VLOOKUP(ABS(S28-S29),'IMP Table'!$A$2:$C$26,3)*SIGN(S28-S29),0)</f>
        <v/>
      </c>
      <c r="AL28">
        <f>IF(AND(ISNUMBER(S28),ISNUMBER(S30)),VLOOKUP(ABS(S28-S30),'IMP Table'!$A$2:$C$26,3)*SIGN(S28-S30),0)</f>
        <v/>
      </c>
      <c r="AM28">
        <f>IF(AND(ISNUMBER(T28),ISNUMBER(T24)),VLOOKUP(ABS(T28-T24),'IMP Table'!$A$2:$C$26,3)*SIGN(T28-T24),0)</f>
        <v/>
      </c>
      <c r="AN28">
        <f>IF(AND(ISNUMBER(T28),ISNUMBER(T25)),VLOOKUP(ABS(T28-T25),'IMP Table'!$A$2:$C$26,3)*SIGN(T28-T25),0)</f>
        <v/>
      </c>
      <c r="AO28">
        <f>IF(AND(ISNUMBER(T28),ISNUMBER(T26)),VLOOKUP(ABS(T28-T26),'IMP Table'!$A$2:$C$26,3)*SIGN(T28-T26),0)</f>
        <v/>
      </c>
      <c r="AP28">
        <f>IF(AND(ISNUMBER(T28),ISNUMBER(T27)),VLOOKUP(ABS(T28-T27),'IMP Table'!$A$2:$C$26,3)*SIGN(T28-T27),0)</f>
        <v/>
      </c>
      <c r="AQ28">
        <f>IF(AND(ISNUMBER(T28),ISNUMBER(T29)),VLOOKUP(ABS(T28-T29),'IMP Table'!$A$2:$C$26,3)*SIGN(T28-T29),0)</f>
        <v/>
      </c>
      <c r="AR28">
        <f>IF(AND(ISNUMBER(T28),ISNUMBER(T30)),VLOOKUP(ABS(T28-T30),'IMP Table'!$A$2:$C$26,3)*SIGN(T28-T30),0)</f>
        <v/>
      </c>
    </row>
    <row r="29">
      <c r="B29" s="10">
        <f>'By Round'!A157</f>
        <v/>
      </c>
      <c r="C29" s="10">
        <f>'By Round'!B161</f>
        <v/>
      </c>
      <c r="D29" s="10">
        <f>'By Round'!C161</f>
        <v/>
      </c>
      <c r="E29" s="10">
        <f>'By Round'!D161</f>
        <v/>
      </c>
      <c r="F29" s="10">
        <f>IF(ISBLANK('By Round'!F162),"",'By Round'!F162)</f>
        <v/>
      </c>
      <c r="G29">
        <f>IF(ISBLANK('By Round'!G162),"",'By Round'!G162)</f>
        <v/>
      </c>
      <c r="H29">
        <f>IF(ISBLANK('By Round'!H162),"",'By Round'!H162)</f>
        <v/>
      </c>
      <c r="I29">
        <f>IF(ISBLANK('By Round'!I162),"",'By Round'!I162)</f>
        <v/>
      </c>
      <c r="J29">
        <f>IF(ISBLANK('By Round'!J162),"",'By Round'!J162)</f>
        <v/>
      </c>
      <c r="K29">
        <f>IF(ISBLANK('By Round'!K162),"",'By Round'!K162)</f>
        <v/>
      </c>
      <c r="L29">
        <f>IF(ISBLANK('By Round'!L162),"",'By Round'!L162)</f>
        <v/>
      </c>
      <c r="M29" s="11">
        <f>AVERAGE(AG29:AL29)</f>
        <v/>
      </c>
      <c r="N29" s="12">
        <f>AVERAGE(AM29:AR29)</f>
        <v/>
      </c>
      <c r="O29" s="13">
        <f>IF(COUNT(U29:Z29)&gt;0,Q29/COUNT(U29:Z29),0.5)</f>
        <v/>
      </c>
      <c r="P29" s="13">
        <f>IF(COUNT(AA29:AF29)&gt;0,R29/COUNT(AA29:AF29),0.5)</f>
        <v/>
      </c>
      <c r="Q29" s="5">
        <f>SUM(U29:Z29)</f>
        <v/>
      </c>
      <c r="R29" s="5">
        <f>SUM(AA29:AF29)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IF(ISNUMBER(S29),IF(ISNUMBER(S24),IF(S29&gt;S24,1.0,IF(S29=S24,0.5,0.0)),""),"")</f>
        <v/>
      </c>
      <c r="V29">
        <f>IF(ISNUMBER(S29),IF(ISNUMBER(S25),IF(S29&gt;S25,1.0,IF(S29=S25,0.5,0.0)),""),"")</f>
        <v/>
      </c>
      <c r="W29">
        <f>IF(ISNUMBER(S29),IF(ISNUMBER(S26),IF(S29&gt;S26,1.0,IF(S29=S26,0.5,0.0)),""),"")</f>
        <v/>
      </c>
      <c r="X29">
        <f>IF(ISNUMBER(S29),IF(ISNUMBER(S27),IF(S29&gt;S27,1.0,IF(S29=S27,0.5,0.0)),""),"")</f>
        <v/>
      </c>
      <c r="Y29">
        <f>IF(ISNUMBER(S29),IF(ISNUMBER(S28),IF(S29&gt;S28,1.0,IF(S29=S28,0.5,0.0)),""),"")</f>
        <v/>
      </c>
      <c r="Z29">
        <f>IF(ISNUMBER(S29),IF(ISNUMBER(S30),IF(S29&gt;S30,1.0,IF(S29=S30,0.5,0.0)),""),"")</f>
        <v/>
      </c>
      <c r="AA29">
        <f>IF(ISNUMBER(T29),IF(ISNUMBER(T24),IF(T29&gt;T24,1.0,IF(T29=T24,0.5,0.0)),""),"")</f>
        <v/>
      </c>
      <c r="AB29">
        <f>IF(ISNUMBER(T29),IF(ISNUMBER(T25),IF(T29&gt;T25,1.0,IF(T29=T25,0.5,0.0)),""),"")</f>
        <v/>
      </c>
      <c r="AC29">
        <f>IF(ISNUMBER(T29),IF(ISNUMBER(T26),IF(T29&gt;T26,1.0,IF(T29=T26,0.5,0.0)),""),"")</f>
        <v/>
      </c>
      <c r="AD29">
        <f>IF(ISNUMBER(T29),IF(ISNUMBER(T27),IF(T29&gt;T27,1.0,IF(T29=T27,0.5,0.0)),""),"")</f>
        <v/>
      </c>
      <c r="AE29">
        <f>IF(ISNUMBER(T29),IF(ISNUMBER(T28),IF(T29&gt;T28,1.0,IF(T29=T28,0.5,0.0)),""),"")</f>
        <v/>
      </c>
      <c r="AF29">
        <f>IF(ISNUMBER(T29),IF(ISNUMBER(T30),IF(T29&gt;T30,1.0,IF(T29=T30,0.5,0.0)),""),"")</f>
        <v/>
      </c>
      <c r="AG29" s="14">
        <f>IF(AND(ISNUMBER(S29),ISNUMBER(S24)),VLOOKUP(ABS(S29-S24),'IMP Table'!$A$2:$C$26,3)*SIGN(S29-S24),0)</f>
        <v/>
      </c>
      <c r="AH29">
        <f>IF(AND(ISNUMBER(S29),ISNUMBER(S25)),VLOOKUP(ABS(S29-S25),'IMP Table'!$A$2:$C$26,3)*SIGN(S29-S25),0)</f>
        <v/>
      </c>
      <c r="AI29">
        <f>IF(AND(ISNUMBER(S29),ISNUMBER(S26)),VLOOKUP(ABS(S29-S26),'IMP Table'!$A$2:$C$26,3)*SIGN(S29-S26),0)</f>
        <v/>
      </c>
      <c r="AJ29">
        <f>IF(AND(ISNUMBER(S29),ISNUMBER(S27)),VLOOKUP(ABS(S29-S27),'IMP Table'!$A$2:$C$26,3)*SIGN(S29-S27),0)</f>
        <v/>
      </c>
      <c r="AK29">
        <f>IF(AND(ISNUMBER(S29),ISNUMBER(S28)),VLOOKUP(ABS(S29-S28),'IMP Table'!$A$2:$C$26,3)*SIGN(S29-S28),0)</f>
        <v/>
      </c>
      <c r="AL29">
        <f>IF(AND(ISNUMBER(S29),ISNUMBER(S30)),VLOOKUP(ABS(S29-S30),'IMP Table'!$A$2:$C$26,3)*SIGN(S29-S30),0)</f>
        <v/>
      </c>
      <c r="AM29">
        <f>IF(AND(ISNUMBER(T29),ISNUMBER(T24)),VLOOKUP(ABS(T29-T24),'IMP Table'!$A$2:$C$26,3)*SIGN(T29-T24),0)</f>
        <v/>
      </c>
      <c r="AN29">
        <f>IF(AND(ISNUMBER(T29),ISNUMBER(T25)),VLOOKUP(ABS(T29-T25),'IMP Table'!$A$2:$C$26,3)*SIGN(T29-T25),0)</f>
        <v/>
      </c>
      <c r="AO29">
        <f>IF(AND(ISNUMBER(T29),ISNUMBER(T26)),VLOOKUP(ABS(T29-T26),'IMP Table'!$A$2:$C$26,3)*SIGN(T29-T26),0)</f>
        <v/>
      </c>
      <c r="AP29">
        <f>IF(AND(ISNUMBER(T29),ISNUMBER(T27)),VLOOKUP(ABS(T29-T27),'IMP Table'!$A$2:$C$26,3)*SIGN(T29-T27),0)</f>
        <v/>
      </c>
      <c r="AQ29">
        <f>IF(AND(ISNUMBER(T29),ISNUMBER(T28)),VLOOKUP(ABS(T29-T28),'IMP Table'!$A$2:$C$26,3)*SIGN(T29-T28),0)</f>
        <v/>
      </c>
      <c r="AR29">
        <f>IF(AND(ISNUMBER(T29),ISNUMBER(T30)),VLOOKUP(ABS(T29-T30),'IMP Table'!$A$2:$C$26,3)*SIGN(T29-T30),0)</f>
        <v/>
      </c>
    </row>
    <row r="30">
      <c r="A30" s="15" t="n"/>
      <c r="B30" s="16">
        <f>'By Round'!A17</f>
        <v/>
      </c>
      <c r="C30" s="16">
        <f>'By Round'!B17</f>
        <v/>
      </c>
      <c r="D30" s="16">
        <f>'By Round'!C17</f>
        <v/>
      </c>
      <c r="E30" s="16">
        <f>'By Round'!D17</f>
        <v/>
      </c>
      <c r="F30" s="16">
        <f>IF(ISBLANK('By Round'!F18),"",'By Round'!F18)</f>
        <v/>
      </c>
      <c r="G30" s="15">
        <f>IF(ISBLANK('By Round'!G18),"",'By Round'!G18)</f>
        <v/>
      </c>
      <c r="H30" s="15">
        <f>IF(ISBLANK('By Round'!H18),"",'By Round'!H18)</f>
        <v/>
      </c>
      <c r="I30" s="15">
        <f>IF(ISBLANK('By Round'!I18),"",'By Round'!I18)</f>
        <v/>
      </c>
      <c r="J30" s="15">
        <f>IF(ISBLANK('By Round'!J18),"",'By Round'!J18)</f>
        <v/>
      </c>
      <c r="K30" s="15">
        <f>IF(ISBLANK('By Round'!K18),"",'By Round'!K18)</f>
        <v/>
      </c>
      <c r="L30" s="15">
        <f>IF(ISBLANK('By Round'!L18),"",'By Round'!L18)</f>
        <v/>
      </c>
      <c r="M30" s="17">
        <f>AVERAGE(AG30:AL30)</f>
        <v/>
      </c>
      <c r="N30" s="18">
        <f>AVERAGE(AM30:AR30)</f>
        <v/>
      </c>
      <c r="O30" s="19">
        <f>IF(COUNT(U30:Z30)&gt;0,Q30/COUNT(U30:Z30),0.5)</f>
        <v/>
      </c>
      <c r="P30" s="19">
        <f>IF(COUNT(AA30:AF30)&gt;0,R30/COUNT(AA30:AF30),0.5)</f>
        <v/>
      </c>
      <c r="Q30" s="20">
        <f>SUM(U30:Z30)</f>
        <v/>
      </c>
      <c r="R30" s="20">
        <f>SUM(AA30:AF30)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IF(ISNUMBER(S30),IF(ISNUMBER(S24),IF(S30&gt;S24,1.0,IF(S30=S24,0.5,0.0)),""),"")</f>
        <v/>
      </c>
      <c r="V30" s="15">
        <f>IF(ISNUMBER(S30),IF(ISNUMBER(S25),IF(S30&gt;S25,1.0,IF(S30=S25,0.5,0.0)),""),"")</f>
        <v/>
      </c>
      <c r="W30" s="15">
        <f>IF(ISNUMBER(S30),IF(ISNUMBER(S26),IF(S30&gt;S26,1.0,IF(S30=S26,0.5,0.0)),""),"")</f>
        <v/>
      </c>
      <c r="X30" s="15">
        <f>IF(ISNUMBER(S30),IF(ISNUMBER(S27),IF(S30&gt;S27,1.0,IF(S30=S27,0.5,0.0)),""),"")</f>
        <v/>
      </c>
      <c r="Y30" s="15">
        <f>IF(ISNUMBER(S30),IF(ISNUMBER(S28),IF(S30&gt;S28,1.0,IF(S30=S28,0.5,0.0)),""),"")</f>
        <v/>
      </c>
      <c r="Z30" s="15">
        <f>IF(ISNUMBER(S30),IF(ISNUMBER(S29),IF(S30&gt;S29,1.0,IF(S30=S29,0.5,0.0)),""),"")</f>
        <v/>
      </c>
      <c r="AA30" s="15">
        <f>IF(ISNUMBER(T30),IF(ISNUMBER(T24),IF(T30&gt;T24,1.0,IF(T30=T24,0.5,0.0)),""),"")</f>
        <v/>
      </c>
      <c r="AB30" s="15">
        <f>IF(ISNUMBER(T30),IF(ISNUMBER(T25),IF(T30&gt;T25,1.0,IF(T30=T25,0.5,0.0)),""),"")</f>
        <v/>
      </c>
      <c r="AC30" s="15">
        <f>IF(ISNUMBER(T30),IF(ISNUMBER(T26),IF(T30&gt;T26,1.0,IF(T30=T26,0.5,0.0)),""),"")</f>
        <v/>
      </c>
      <c r="AD30" s="15">
        <f>IF(ISNUMBER(T30),IF(ISNUMBER(T27),IF(T30&gt;T27,1.0,IF(T30=T27,0.5,0.0)),""),"")</f>
        <v/>
      </c>
      <c r="AE30" s="15">
        <f>IF(ISNUMBER(T30),IF(ISNUMBER(T28),IF(T30&gt;T28,1.0,IF(T30=T28,0.5,0.0)),""),"")</f>
        <v/>
      </c>
      <c r="AF30" s="15">
        <f>IF(ISNUMBER(T30),IF(ISNUMBER(T29),IF(T30&gt;T29,1.0,IF(T30=T29,0.5,0.0)),""),"")</f>
        <v/>
      </c>
      <c r="AG30" s="21">
        <f>IF(AND(ISNUMBER(S30),ISNUMBER(S24)),VLOOKUP(ABS(S30-S24),'IMP Table'!$A$2:$C$26,3)*SIGN(S30-S24),0)</f>
        <v/>
      </c>
      <c r="AH30" s="15">
        <f>IF(AND(ISNUMBER(S30),ISNUMBER(S25)),VLOOKUP(ABS(S30-S25),'IMP Table'!$A$2:$C$26,3)*SIGN(S30-S25),0)</f>
        <v/>
      </c>
      <c r="AI30" s="15">
        <f>IF(AND(ISNUMBER(S30),ISNUMBER(S26)),VLOOKUP(ABS(S30-S26),'IMP Table'!$A$2:$C$26,3)*SIGN(S30-S26),0)</f>
        <v/>
      </c>
      <c r="AJ30" s="15">
        <f>IF(AND(ISNUMBER(S30),ISNUMBER(S27)),VLOOKUP(ABS(S30-S27),'IMP Table'!$A$2:$C$26,3)*SIGN(S30-S27),0)</f>
        <v/>
      </c>
      <c r="AK30" s="15">
        <f>IF(AND(ISNUMBER(S30),ISNUMBER(S28)),VLOOKUP(ABS(S30-S28),'IMP Table'!$A$2:$C$26,3)*SIGN(S30-S28),0)</f>
        <v/>
      </c>
      <c r="AL30" s="15">
        <f>IF(AND(ISNUMBER(S30),ISNUMBER(S29)),VLOOKUP(ABS(S30-S29),'IMP Table'!$A$2:$C$26,3)*SIGN(S30-S29),0)</f>
        <v/>
      </c>
      <c r="AM30" s="15">
        <f>IF(AND(ISNUMBER(T30),ISNUMBER(T24)),VLOOKUP(ABS(T30-T24),'IMP Table'!$A$2:$C$26,3)*SIGN(T30-T24),0)</f>
        <v/>
      </c>
      <c r="AN30" s="15">
        <f>IF(AND(ISNUMBER(T30),ISNUMBER(T25)),VLOOKUP(ABS(T30-T25),'IMP Table'!$A$2:$C$26,3)*SIGN(T30-T25),0)</f>
        <v/>
      </c>
      <c r="AO30" s="15">
        <f>IF(AND(ISNUMBER(T30),ISNUMBER(T26)),VLOOKUP(ABS(T30-T26),'IMP Table'!$A$2:$C$26,3)*SIGN(T30-T26),0)</f>
        <v/>
      </c>
      <c r="AP30" s="15">
        <f>IF(AND(ISNUMBER(T30),ISNUMBER(T27)),VLOOKUP(ABS(T30-T27),'IMP Table'!$A$2:$C$26,3)*SIGN(T30-T27),0)</f>
        <v/>
      </c>
      <c r="AQ30" s="15">
        <f>IF(AND(ISNUMBER(T30),ISNUMBER(T28)),VLOOKUP(ABS(T30-T28),'IMP Table'!$A$2:$C$26,3)*SIGN(T30-T28),0)</f>
        <v/>
      </c>
      <c r="AR30" s="15">
        <f>IF(AND(ISNUMBER(T30),ISNUMBER(T29)),VLOOKUP(ABS(T30-T29),'IMP Table'!$A$2:$C$26,3)*SIGN(T30-T29),0)</f>
        <v/>
      </c>
    </row>
    <row r="31">
      <c r="A31" s="10" t="n">
        <v>5</v>
      </c>
      <c r="B31" s="10">
        <f>'By Round'!A171</f>
        <v/>
      </c>
      <c r="C31" s="10">
        <f>'By Round'!B175</f>
        <v/>
      </c>
      <c r="D31" s="10">
        <f>'By Round'!C175</f>
        <v/>
      </c>
      <c r="E31" s="10">
        <f>'By Round'!D175</f>
        <v/>
      </c>
      <c r="F31" s="10">
        <f>IF(ISBLANK('By Round'!F175),"",'By Round'!F175)</f>
        <v/>
      </c>
      <c r="G31">
        <f>IF(ISBLANK('By Round'!G175),"",'By Round'!G175)</f>
        <v/>
      </c>
      <c r="H31">
        <f>IF(ISBLANK('By Round'!H175),"",'By Round'!H175)</f>
        <v/>
      </c>
      <c r="I31">
        <f>IF(ISBLANK('By Round'!I175),"",'By Round'!I175)</f>
        <v/>
      </c>
      <c r="J31">
        <f>IF(ISBLANK('By Round'!J175),"",'By Round'!J175)</f>
        <v/>
      </c>
      <c r="K31">
        <f>IF(ISBLANK('By Round'!K175),"",'By Round'!K175)</f>
        <v/>
      </c>
      <c r="L31">
        <f>IF(ISBLANK('By Round'!L175),"",'By Round'!L175)</f>
        <v/>
      </c>
      <c r="M31" s="11">
        <f>AVERAGE(AG31:AL31)</f>
        <v/>
      </c>
      <c r="N31" s="12">
        <f>AVERAGE(AM31:AR31)</f>
        <v/>
      </c>
      <c r="O31" s="13">
        <f>IF(COUNT(U31:Z31)&gt;0,Q31/COUNT(U31:Z31),0.5)</f>
        <v/>
      </c>
      <c r="P31" s="13">
        <f>IF(COUNT(AA31:AF31)&gt;0,R31/COUNT(AA31:AF31),0.5)</f>
        <v/>
      </c>
      <c r="Q31" s="5">
        <f>SUM(U31:Z31)</f>
        <v/>
      </c>
      <c r="R31" s="5">
        <f>SUM(AA31:AF31)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IF(ISNUMBER(S31),IF(ISNUMBER(S32),IF(S31&gt;S32,1.0,IF(S31=S32,0.5,0.0)),""),"")</f>
        <v/>
      </c>
      <c r="V31">
        <f>IF(ISNUMBER(S31),IF(ISNUMBER(S33),IF(S31&gt;S33,1.0,IF(S31=S33,0.5,0.0)),""),"")</f>
        <v/>
      </c>
      <c r="W31">
        <f>IF(ISNUMBER(S31),IF(ISNUMBER(S34),IF(S31&gt;S34,1.0,IF(S31=S34,0.5,0.0)),""),"")</f>
        <v/>
      </c>
      <c r="X31">
        <f>IF(ISNUMBER(S31),IF(ISNUMBER(S35),IF(S31&gt;S35,1.0,IF(S31=S35,0.5,0.0)),""),"")</f>
        <v/>
      </c>
      <c r="Y31">
        <f>IF(ISNUMBER(S31),IF(ISNUMBER(S36),IF(S31&gt;S36,1.0,IF(S31=S36,0.5,0.0)),""),"")</f>
        <v/>
      </c>
      <c r="Z31">
        <f>IF(ISNUMBER(S31),IF(ISNUMBER(S37),IF(S31&gt;S37,1.0,IF(S31=S37,0.5,0.0)),""),"")</f>
        <v/>
      </c>
      <c r="AA31">
        <f>IF(ISNUMBER(T31),IF(ISNUMBER(T32),IF(T31&gt;T32,1.0,IF(T31=T32,0.5,0.0)),""),"")</f>
        <v/>
      </c>
      <c r="AB31">
        <f>IF(ISNUMBER(T31),IF(ISNUMBER(T33),IF(T31&gt;T33,1.0,IF(T31=T33,0.5,0.0)),""),"")</f>
        <v/>
      </c>
      <c r="AC31">
        <f>IF(ISNUMBER(T31),IF(ISNUMBER(T34),IF(T31&gt;T34,1.0,IF(T31=T34,0.5,0.0)),""),"")</f>
        <v/>
      </c>
      <c r="AD31">
        <f>IF(ISNUMBER(T31),IF(ISNUMBER(T35),IF(T31&gt;T35,1.0,IF(T31=T35,0.5,0.0)),""),"")</f>
        <v/>
      </c>
      <c r="AE31">
        <f>IF(ISNUMBER(T31),IF(ISNUMBER(T36),IF(T31&gt;T36,1.0,IF(T31=T36,0.5,0.0)),""),"")</f>
        <v/>
      </c>
      <c r="AF31">
        <f>IF(ISNUMBER(T31),IF(ISNUMBER(T37),IF(T31&gt;T37,1.0,IF(T31=T37,0.5,0.0)),""),"")</f>
        <v/>
      </c>
      <c r="AG31" s="14">
        <f>IF(AND(ISNUMBER(S31),ISNUMBER(S32)),VLOOKUP(ABS(S31-S32),'IMP Table'!$A$2:$C$26,3)*SIGN(S31-S32),0)</f>
        <v/>
      </c>
      <c r="AH31">
        <f>IF(AND(ISNUMBER(S31),ISNUMBER(S33)),VLOOKUP(ABS(S31-S33),'IMP Table'!$A$2:$C$26,3)*SIGN(S31-S33),0)</f>
        <v/>
      </c>
      <c r="AI31">
        <f>IF(AND(ISNUMBER(S31),ISNUMBER(S34)),VLOOKUP(ABS(S31-S34),'IMP Table'!$A$2:$C$26,3)*SIGN(S31-S34),0)</f>
        <v/>
      </c>
      <c r="AJ31">
        <f>IF(AND(ISNUMBER(S31),ISNUMBER(S35)),VLOOKUP(ABS(S31-S35),'IMP Table'!$A$2:$C$26,3)*SIGN(S31-S35),0)</f>
        <v/>
      </c>
      <c r="AK31">
        <f>IF(AND(ISNUMBER(S31),ISNUMBER(S36)),VLOOKUP(ABS(S31-S36),'IMP Table'!$A$2:$C$26,3)*SIGN(S31-S36),0)</f>
        <v/>
      </c>
      <c r="AL31">
        <f>IF(AND(ISNUMBER(S31),ISNUMBER(S37)),VLOOKUP(ABS(S31-S37),'IMP Table'!$A$2:$C$26,3)*SIGN(S31-S37),0)</f>
        <v/>
      </c>
      <c r="AM31">
        <f>IF(AND(ISNUMBER(T31),ISNUMBER(T32)),VLOOKUP(ABS(T31-T32),'IMP Table'!$A$2:$C$26,3)*SIGN(T31-T32),0)</f>
        <v/>
      </c>
      <c r="AN31">
        <f>IF(AND(ISNUMBER(T31),ISNUMBER(T33)),VLOOKUP(ABS(T31-T33),'IMP Table'!$A$2:$C$26,3)*SIGN(T31-T33),0)</f>
        <v/>
      </c>
      <c r="AO31">
        <f>IF(AND(ISNUMBER(T31),ISNUMBER(T34)),VLOOKUP(ABS(T31-T34),'IMP Table'!$A$2:$C$26,3)*SIGN(T31-T34),0)</f>
        <v/>
      </c>
      <c r="AP31">
        <f>IF(AND(ISNUMBER(T31),ISNUMBER(T35)),VLOOKUP(ABS(T31-T35),'IMP Table'!$A$2:$C$26,3)*SIGN(T31-T35),0)</f>
        <v/>
      </c>
      <c r="AQ31">
        <f>IF(AND(ISNUMBER(T31),ISNUMBER(T36)),VLOOKUP(ABS(T31-T36),'IMP Table'!$A$2:$C$26,3)*SIGN(T31-T36),0)</f>
        <v/>
      </c>
      <c r="AR31">
        <f>IF(AND(ISNUMBER(T31),ISNUMBER(T37)),VLOOKUP(ABS(T31-T37),'IMP Table'!$A$2:$C$26,3)*SIGN(T31-T37),0)</f>
        <v/>
      </c>
    </row>
    <row r="32">
      <c r="B32" s="10">
        <f>'By Round'!A3</f>
        <v/>
      </c>
      <c r="C32" s="10">
        <f>'By Round'!B5</f>
        <v/>
      </c>
      <c r="D32" s="10">
        <f>'By Round'!C5</f>
        <v/>
      </c>
      <c r="E32" s="10">
        <f>'By Round'!D5</f>
        <v/>
      </c>
      <c r="F32" s="10">
        <f>IF(ISBLANK('By Round'!F5),"",'By Round'!F5)</f>
        <v/>
      </c>
      <c r="G32">
        <f>IF(ISBLANK('By Round'!G5),"",'By Round'!G5)</f>
        <v/>
      </c>
      <c r="H32">
        <f>IF(ISBLANK('By Round'!H5),"",'By Round'!H5)</f>
        <v/>
      </c>
      <c r="I32">
        <f>IF(ISBLANK('By Round'!I5),"",'By Round'!I5)</f>
        <v/>
      </c>
      <c r="J32">
        <f>IF(ISBLANK('By Round'!J5),"",'By Round'!J5)</f>
        <v/>
      </c>
      <c r="K32">
        <f>IF(ISBLANK('By Round'!K5),"",'By Round'!K5)</f>
        <v/>
      </c>
      <c r="L32">
        <f>IF(ISBLANK('By Round'!L5),"",'By Round'!L5)</f>
        <v/>
      </c>
      <c r="M32" s="11">
        <f>AVERAGE(AG32:AL32)</f>
        <v/>
      </c>
      <c r="N32" s="12">
        <f>AVERAGE(AM32:AR32)</f>
        <v/>
      </c>
      <c r="O32" s="13">
        <f>IF(COUNT(U32:Z32)&gt;0,Q32/COUNT(U32:Z32),0.5)</f>
        <v/>
      </c>
      <c r="P32" s="13">
        <f>IF(COUNT(AA32:AF32)&gt;0,R32/COUNT(AA32:AF32),0.5)</f>
        <v/>
      </c>
      <c r="Q32" s="5">
        <f>SUM(U32:Z32)</f>
        <v/>
      </c>
      <c r="R32" s="5">
        <f>SUM(AA32:AF32)</f>
        <v/>
      </c>
      <c r="S32" s="14">
        <f>IF(ISNUMBER(K32),K32,IF(ISNUMBER(L32),-L32,""))</f>
        <v/>
      </c>
      <c r="T32">
        <f>IF(ISNUMBER(L32),L32,IF(ISNUMBER(K32),-K32,""))</f>
        <v/>
      </c>
      <c r="U32" s="14">
        <f>IF(ISNUMBER(S32),IF(ISNUMBER(S31),IF(S32&gt;S31,1.0,IF(S32=S31,0.5,0.0)),""),"")</f>
        <v/>
      </c>
      <c r="V32">
        <f>IF(ISNUMBER(S32),IF(ISNUMBER(S33),IF(S32&gt;S33,1.0,IF(S32=S33,0.5,0.0)),""),"")</f>
        <v/>
      </c>
      <c r="W32">
        <f>IF(ISNUMBER(S32),IF(ISNUMBER(S34),IF(S32&gt;S34,1.0,IF(S32=S34,0.5,0.0)),""),"")</f>
        <v/>
      </c>
      <c r="X32">
        <f>IF(ISNUMBER(S32),IF(ISNUMBER(S35),IF(S32&gt;S35,1.0,IF(S32=S35,0.5,0.0)),""),"")</f>
        <v/>
      </c>
      <c r="Y32">
        <f>IF(ISNUMBER(S32),IF(ISNUMBER(S36),IF(S32&gt;S36,1.0,IF(S32=S36,0.5,0.0)),""),"")</f>
        <v/>
      </c>
      <c r="Z32">
        <f>IF(ISNUMBER(S32),IF(ISNUMBER(S37),IF(S32&gt;S37,1.0,IF(S32=S37,0.5,0.0)),""),"")</f>
        <v/>
      </c>
      <c r="AA32">
        <f>IF(ISNUMBER(T32),IF(ISNUMBER(T31),IF(T32&gt;T31,1.0,IF(T32=T31,0.5,0.0)),""),"")</f>
        <v/>
      </c>
      <c r="AB32">
        <f>IF(ISNUMBER(T32),IF(ISNUMBER(T33),IF(T32&gt;T33,1.0,IF(T32=T33,0.5,0.0)),""),"")</f>
        <v/>
      </c>
      <c r="AC32">
        <f>IF(ISNUMBER(T32),IF(ISNUMBER(T34),IF(T32&gt;T34,1.0,IF(T32=T34,0.5,0.0)),""),"")</f>
        <v/>
      </c>
      <c r="AD32">
        <f>IF(ISNUMBER(T32),IF(ISNUMBER(T35),IF(T32&gt;T35,1.0,IF(T32=T35,0.5,0.0)),""),"")</f>
        <v/>
      </c>
      <c r="AE32">
        <f>IF(ISNUMBER(T32),IF(ISNUMBER(T36),IF(T32&gt;T36,1.0,IF(T32=T36,0.5,0.0)),""),"")</f>
        <v/>
      </c>
      <c r="AF32">
        <f>IF(ISNUMBER(T32),IF(ISNUMBER(T37),IF(T32&gt;T37,1.0,IF(T32=T37,0.5,0.0)),""),"")</f>
        <v/>
      </c>
      <c r="AG32" s="14">
        <f>IF(AND(ISNUMBER(S32),ISNUMBER(S31)),VLOOKUP(ABS(S32-S31),'IMP Table'!$A$2:$C$26,3)*SIGN(S32-S31),0)</f>
        <v/>
      </c>
      <c r="AH32">
        <f>IF(AND(ISNUMBER(S32),ISNUMBER(S33)),VLOOKUP(ABS(S32-S33),'IMP Table'!$A$2:$C$26,3)*SIGN(S32-S33),0)</f>
        <v/>
      </c>
      <c r="AI32">
        <f>IF(AND(ISNUMBER(S32),ISNUMBER(S34)),VLOOKUP(ABS(S32-S34),'IMP Table'!$A$2:$C$26,3)*SIGN(S32-S34),0)</f>
        <v/>
      </c>
      <c r="AJ32">
        <f>IF(AND(ISNUMBER(S32),ISNUMBER(S35)),VLOOKUP(ABS(S32-S35),'IMP Table'!$A$2:$C$26,3)*SIGN(S32-S35),0)</f>
        <v/>
      </c>
      <c r="AK32">
        <f>IF(AND(ISNUMBER(S32),ISNUMBER(S36)),VLOOKUP(ABS(S32-S36),'IMP Table'!$A$2:$C$26,3)*SIGN(S32-S36),0)</f>
        <v/>
      </c>
      <c r="AL32">
        <f>IF(AND(ISNUMBER(S32),ISNUMBER(S37)),VLOOKUP(ABS(S32-S37),'IMP Table'!$A$2:$C$26,3)*SIGN(S32-S37),0)</f>
        <v/>
      </c>
      <c r="AM32">
        <f>IF(AND(ISNUMBER(T32),ISNUMBER(T31)),VLOOKUP(ABS(T32-T31),'IMP Table'!$A$2:$C$26,3)*SIGN(T32-T31),0)</f>
        <v/>
      </c>
      <c r="AN32">
        <f>IF(AND(ISNUMBER(T32),ISNUMBER(T33)),VLOOKUP(ABS(T32-T33),'IMP Table'!$A$2:$C$26,3)*SIGN(T32-T33),0)</f>
        <v/>
      </c>
      <c r="AO32">
        <f>IF(AND(ISNUMBER(T32),ISNUMBER(T34)),VLOOKUP(ABS(T32-T34),'IMP Table'!$A$2:$C$26,3)*SIGN(T32-T34),0)</f>
        <v/>
      </c>
      <c r="AP32">
        <f>IF(AND(ISNUMBER(T32),ISNUMBER(T35)),VLOOKUP(ABS(T32-T35),'IMP Table'!$A$2:$C$26,3)*SIGN(T32-T35),0)</f>
        <v/>
      </c>
      <c r="AQ32">
        <f>IF(AND(ISNUMBER(T32),ISNUMBER(T36)),VLOOKUP(ABS(T32-T36),'IMP Table'!$A$2:$C$26,3)*SIGN(T32-T36),0)</f>
        <v/>
      </c>
      <c r="AR32">
        <f>IF(AND(ISNUMBER(T32),ISNUMBER(T37)),VLOOKUP(ABS(T32-T37),'IMP Table'!$A$2:$C$26,3)*SIGN(T32-T37),0)</f>
        <v/>
      </c>
    </row>
    <row r="33">
      <c r="B33" s="10">
        <f>'By Round'!A157</f>
        <v/>
      </c>
      <c r="C33" s="10">
        <f>'By Round'!B163</f>
        <v/>
      </c>
      <c r="D33" s="10">
        <f>'By Round'!C163</f>
        <v/>
      </c>
      <c r="E33" s="10">
        <f>'By Round'!D163</f>
        <v/>
      </c>
      <c r="F33" s="10">
        <f>IF(ISBLANK('By Round'!F163),"",'By Round'!F163)</f>
        <v/>
      </c>
      <c r="G33">
        <f>IF(ISBLANK('By Round'!G163),"",'By Round'!G163)</f>
        <v/>
      </c>
      <c r="H33">
        <f>IF(ISBLANK('By Round'!H163),"",'By Round'!H163)</f>
        <v/>
      </c>
      <c r="I33">
        <f>IF(ISBLANK('By Round'!I163),"",'By Round'!I163)</f>
        <v/>
      </c>
      <c r="J33">
        <f>IF(ISBLANK('By Round'!J163),"",'By Round'!J163)</f>
        <v/>
      </c>
      <c r="K33">
        <f>IF(ISBLANK('By Round'!K163),"",'By Round'!K163)</f>
        <v/>
      </c>
      <c r="L33">
        <f>IF(ISBLANK('By Round'!L163),"",'By Round'!L163)</f>
        <v/>
      </c>
      <c r="M33" s="11">
        <f>AVERAGE(AG33:AL33)</f>
        <v/>
      </c>
      <c r="N33" s="12">
        <f>AVERAGE(AM33:AR33)</f>
        <v/>
      </c>
      <c r="O33" s="13">
        <f>IF(COUNT(U33:Z33)&gt;0,Q33/COUNT(U33:Z33),0.5)</f>
        <v/>
      </c>
      <c r="P33" s="13">
        <f>IF(COUNT(AA33:AF33)&gt;0,R33/COUNT(AA33:AF33),0.5)</f>
        <v/>
      </c>
      <c r="Q33" s="5">
        <f>SUM(U33:Z33)</f>
        <v/>
      </c>
      <c r="R33" s="5">
        <f>SUM(AA33:AF33)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IF(ISNUMBER(S33),IF(ISNUMBER(S31),IF(S33&gt;S31,1.0,IF(S33=S31,0.5,0.0)),""),"")</f>
        <v/>
      </c>
      <c r="V33">
        <f>IF(ISNUMBER(S33),IF(ISNUMBER(S32),IF(S33&gt;S32,1.0,IF(S33=S32,0.5,0.0)),""),"")</f>
        <v/>
      </c>
      <c r="W33">
        <f>IF(ISNUMBER(S33),IF(ISNUMBER(S34),IF(S33&gt;S34,1.0,IF(S33=S34,0.5,0.0)),""),"")</f>
        <v/>
      </c>
      <c r="X33">
        <f>IF(ISNUMBER(S33),IF(ISNUMBER(S35),IF(S33&gt;S35,1.0,IF(S33=S35,0.5,0.0)),""),"")</f>
        <v/>
      </c>
      <c r="Y33">
        <f>IF(ISNUMBER(S33),IF(ISNUMBER(S36),IF(S33&gt;S36,1.0,IF(S33=S36,0.5,0.0)),""),"")</f>
        <v/>
      </c>
      <c r="Z33">
        <f>IF(ISNUMBER(S33),IF(ISNUMBER(S37),IF(S33&gt;S37,1.0,IF(S33=S37,0.5,0.0)),""),"")</f>
        <v/>
      </c>
      <c r="AA33">
        <f>IF(ISNUMBER(T33),IF(ISNUMBER(T31),IF(T33&gt;T31,1.0,IF(T33=T31,0.5,0.0)),""),"")</f>
        <v/>
      </c>
      <c r="AB33">
        <f>IF(ISNUMBER(T33),IF(ISNUMBER(T32),IF(T33&gt;T32,1.0,IF(T33=T32,0.5,0.0)),""),"")</f>
        <v/>
      </c>
      <c r="AC33">
        <f>IF(ISNUMBER(T33),IF(ISNUMBER(T34),IF(T33&gt;T34,1.0,IF(T33=T34,0.5,0.0)),""),"")</f>
        <v/>
      </c>
      <c r="AD33">
        <f>IF(ISNUMBER(T33),IF(ISNUMBER(T35),IF(T33&gt;T35,1.0,IF(T33=T35,0.5,0.0)),""),"")</f>
        <v/>
      </c>
      <c r="AE33">
        <f>IF(ISNUMBER(T33),IF(ISNUMBER(T36),IF(T33&gt;T36,1.0,IF(T33=T36,0.5,0.0)),""),"")</f>
        <v/>
      </c>
      <c r="AF33">
        <f>IF(ISNUMBER(T33),IF(ISNUMBER(T37),IF(T33&gt;T37,1.0,IF(T33=T37,0.5,0.0)),""),"")</f>
        <v/>
      </c>
      <c r="AG33" s="14">
        <f>IF(AND(ISNUMBER(S33),ISNUMBER(S31)),VLOOKUP(ABS(S33-S31),'IMP Table'!$A$2:$C$26,3)*SIGN(S33-S31),0)</f>
        <v/>
      </c>
      <c r="AH33">
        <f>IF(AND(ISNUMBER(S33),ISNUMBER(S32)),VLOOKUP(ABS(S33-S32),'IMP Table'!$A$2:$C$26,3)*SIGN(S33-S32),0)</f>
        <v/>
      </c>
      <c r="AI33">
        <f>IF(AND(ISNUMBER(S33),ISNUMBER(S34)),VLOOKUP(ABS(S33-S34),'IMP Table'!$A$2:$C$26,3)*SIGN(S33-S34),0)</f>
        <v/>
      </c>
      <c r="AJ33">
        <f>IF(AND(ISNUMBER(S33),ISNUMBER(S35)),VLOOKUP(ABS(S33-S35),'IMP Table'!$A$2:$C$26,3)*SIGN(S33-S35),0)</f>
        <v/>
      </c>
      <c r="AK33">
        <f>IF(AND(ISNUMBER(S33),ISNUMBER(S36)),VLOOKUP(ABS(S33-S36),'IMP Table'!$A$2:$C$26,3)*SIGN(S33-S36),0)</f>
        <v/>
      </c>
      <c r="AL33">
        <f>IF(AND(ISNUMBER(S33),ISNUMBER(S37)),VLOOKUP(ABS(S33-S37),'IMP Table'!$A$2:$C$26,3)*SIGN(S33-S37),0)</f>
        <v/>
      </c>
      <c r="AM33">
        <f>IF(AND(ISNUMBER(T33),ISNUMBER(T31)),VLOOKUP(ABS(T33-T31),'IMP Table'!$A$2:$C$26,3)*SIGN(T33-T31),0)</f>
        <v/>
      </c>
      <c r="AN33">
        <f>IF(AND(ISNUMBER(T33),ISNUMBER(T32)),VLOOKUP(ABS(T33-T32),'IMP Table'!$A$2:$C$26,3)*SIGN(T33-T32),0)</f>
        <v/>
      </c>
      <c r="AO33">
        <f>IF(AND(ISNUMBER(T33),ISNUMBER(T34)),VLOOKUP(ABS(T33-T34),'IMP Table'!$A$2:$C$26,3)*SIGN(T33-T34),0)</f>
        <v/>
      </c>
      <c r="AP33">
        <f>IF(AND(ISNUMBER(T33),ISNUMBER(T35)),VLOOKUP(ABS(T33-T35),'IMP Table'!$A$2:$C$26,3)*SIGN(T33-T35),0)</f>
        <v/>
      </c>
      <c r="AQ33">
        <f>IF(AND(ISNUMBER(T33),ISNUMBER(T36)),VLOOKUP(ABS(T33-T36),'IMP Table'!$A$2:$C$26,3)*SIGN(T33-T36),0)</f>
        <v/>
      </c>
      <c r="AR33">
        <f>IF(AND(ISNUMBER(T33),ISNUMBER(T37)),VLOOKUP(ABS(T33-T37),'IMP Table'!$A$2:$C$26,3)*SIGN(T33-T37),0)</f>
        <v/>
      </c>
    </row>
    <row r="34">
      <c r="B34" s="10">
        <f>'By Round'!A59</f>
        <v/>
      </c>
      <c r="C34" s="10">
        <f>'By Round'!B71</f>
        <v/>
      </c>
      <c r="D34" s="10">
        <f>'By Round'!C71</f>
        <v/>
      </c>
      <c r="E34" s="10">
        <f>'By Round'!D71</f>
        <v/>
      </c>
      <c r="F34" s="10">
        <f>IF(ISBLANK('By Round'!F71),"",'By Round'!F71)</f>
        <v/>
      </c>
      <c r="G34">
        <f>IF(ISBLANK('By Round'!G71),"",'By Round'!G71)</f>
        <v/>
      </c>
      <c r="H34">
        <f>IF(ISBLANK('By Round'!H71),"",'By Round'!H71)</f>
        <v/>
      </c>
      <c r="I34">
        <f>IF(ISBLANK('By Round'!I71),"",'By Round'!I71)</f>
        <v/>
      </c>
      <c r="J34">
        <f>IF(ISBLANK('By Round'!J71),"",'By Round'!J71)</f>
        <v/>
      </c>
      <c r="K34">
        <f>IF(ISBLANK('By Round'!K71),"",'By Round'!K71)</f>
        <v/>
      </c>
      <c r="L34">
        <f>IF(ISBLANK('By Round'!L71),"",'By Round'!L71)</f>
        <v/>
      </c>
      <c r="M34" s="11">
        <f>AVERAGE(AG34:AL34)</f>
        <v/>
      </c>
      <c r="N34" s="12">
        <f>AVERAGE(AM34:AR34)</f>
        <v/>
      </c>
      <c r="O34" s="13">
        <f>IF(COUNT(U34:Z34)&gt;0,Q34/COUNT(U34:Z34),0.5)</f>
        <v/>
      </c>
      <c r="P34" s="13">
        <f>IF(COUNT(AA34:AF34)&gt;0,R34/COUNT(AA34:AF34),0.5)</f>
        <v/>
      </c>
      <c r="Q34" s="5">
        <f>SUM(U34:Z34)</f>
        <v/>
      </c>
      <c r="R34" s="5">
        <f>SUM(AA34:AF34)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IF(ISNUMBER(S34),IF(ISNUMBER(S31),IF(S34&gt;S31,1.0,IF(S34=S31,0.5,0.0)),""),"")</f>
        <v/>
      </c>
      <c r="V34">
        <f>IF(ISNUMBER(S34),IF(ISNUMBER(S32),IF(S34&gt;S32,1.0,IF(S34=S32,0.5,0.0)),""),"")</f>
        <v/>
      </c>
      <c r="W34">
        <f>IF(ISNUMBER(S34),IF(ISNUMBER(S33),IF(S34&gt;S33,1.0,IF(S34=S33,0.5,0.0)),""),"")</f>
        <v/>
      </c>
      <c r="X34">
        <f>IF(ISNUMBER(S34),IF(ISNUMBER(S35),IF(S34&gt;S35,1.0,IF(S34=S35,0.5,0.0)),""),"")</f>
        <v/>
      </c>
      <c r="Y34">
        <f>IF(ISNUMBER(S34),IF(ISNUMBER(S36),IF(S34&gt;S36,1.0,IF(S34=S36,0.5,0.0)),""),"")</f>
        <v/>
      </c>
      <c r="Z34">
        <f>IF(ISNUMBER(S34),IF(ISNUMBER(S37),IF(S34&gt;S37,1.0,IF(S34=S37,0.5,0.0)),""),"")</f>
        <v/>
      </c>
      <c r="AA34">
        <f>IF(ISNUMBER(T34),IF(ISNUMBER(T31),IF(T34&gt;T31,1.0,IF(T34=T31,0.5,0.0)),""),"")</f>
        <v/>
      </c>
      <c r="AB34">
        <f>IF(ISNUMBER(T34),IF(ISNUMBER(T32),IF(T34&gt;T32,1.0,IF(T34=T32,0.5,0.0)),""),"")</f>
        <v/>
      </c>
      <c r="AC34">
        <f>IF(ISNUMBER(T34),IF(ISNUMBER(T33),IF(T34&gt;T33,1.0,IF(T34=T33,0.5,0.0)),""),"")</f>
        <v/>
      </c>
      <c r="AD34">
        <f>IF(ISNUMBER(T34),IF(ISNUMBER(T35),IF(T34&gt;T35,1.0,IF(T34=T35,0.5,0.0)),""),"")</f>
        <v/>
      </c>
      <c r="AE34">
        <f>IF(ISNUMBER(T34),IF(ISNUMBER(T36),IF(T34&gt;T36,1.0,IF(T34=T36,0.5,0.0)),""),"")</f>
        <v/>
      </c>
      <c r="AF34">
        <f>IF(ISNUMBER(T34),IF(ISNUMBER(T37),IF(T34&gt;T37,1.0,IF(T34=T37,0.5,0.0)),""),"")</f>
        <v/>
      </c>
      <c r="AG34" s="14">
        <f>IF(AND(ISNUMBER(S34),ISNUMBER(S31)),VLOOKUP(ABS(S34-S31),'IMP Table'!$A$2:$C$26,3)*SIGN(S34-S31),0)</f>
        <v/>
      </c>
      <c r="AH34">
        <f>IF(AND(ISNUMBER(S34),ISNUMBER(S32)),VLOOKUP(ABS(S34-S32),'IMP Table'!$A$2:$C$26,3)*SIGN(S34-S32),0)</f>
        <v/>
      </c>
      <c r="AI34">
        <f>IF(AND(ISNUMBER(S34),ISNUMBER(S33)),VLOOKUP(ABS(S34-S33),'IMP Table'!$A$2:$C$26,3)*SIGN(S34-S33),0)</f>
        <v/>
      </c>
      <c r="AJ34">
        <f>IF(AND(ISNUMBER(S34),ISNUMBER(S35)),VLOOKUP(ABS(S34-S35),'IMP Table'!$A$2:$C$26,3)*SIGN(S34-S35),0)</f>
        <v/>
      </c>
      <c r="AK34">
        <f>IF(AND(ISNUMBER(S34),ISNUMBER(S36)),VLOOKUP(ABS(S34-S36),'IMP Table'!$A$2:$C$26,3)*SIGN(S34-S36),0)</f>
        <v/>
      </c>
      <c r="AL34">
        <f>IF(AND(ISNUMBER(S34),ISNUMBER(S37)),VLOOKUP(ABS(S34-S37),'IMP Table'!$A$2:$C$26,3)*SIGN(S34-S37),0)</f>
        <v/>
      </c>
      <c r="AM34">
        <f>IF(AND(ISNUMBER(T34),ISNUMBER(T31)),VLOOKUP(ABS(T34-T31),'IMP Table'!$A$2:$C$26,3)*SIGN(T34-T31),0)</f>
        <v/>
      </c>
      <c r="AN34">
        <f>IF(AND(ISNUMBER(T34),ISNUMBER(T32)),VLOOKUP(ABS(T34-T32),'IMP Table'!$A$2:$C$26,3)*SIGN(T34-T32),0)</f>
        <v/>
      </c>
      <c r="AO34">
        <f>IF(AND(ISNUMBER(T34),ISNUMBER(T33)),VLOOKUP(ABS(T34-T33),'IMP Table'!$A$2:$C$26,3)*SIGN(T34-T33),0)</f>
        <v/>
      </c>
      <c r="AP34">
        <f>IF(AND(ISNUMBER(T34),ISNUMBER(T35)),VLOOKUP(ABS(T34-T35),'IMP Table'!$A$2:$C$26,3)*SIGN(T34-T35),0)</f>
        <v/>
      </c>
      <c r="AQ34">
        <f>IF(AND(ISNUMBER(T34),ISNUMBER(T36)),VLOOKUP(ABS(T34-T36),'IMP Table'!$A$2:$C$26,3)*SIGN(T34-T36),0)</f>
        <v/>
      </c>
      <c r="AR34">
        <f>IF(AND(ISNUMBER(T34),ISNUMBER(T37)),VLOOKUP(ABS(T34-T37),'IMP Table'!$A$2:$C$26,3)*SIGN(T34-T37),0)</f>
        <v/>
      </c>
    </row>
    <row r="35">
      <c r="B35" s="10">
        <f>'By Round'!A87</f>
        <v/>
      </c>
      <c r="C35" s="10">
        <f>'By Round'!B95</f>
        <v/>
      </c>
      <c r="D35" s="10">
        <f>'By Round'!C95</f>
        <v/>
      </c>
      <c r="E35" s="10">
        <f>'By Round'!D95</f>
        <v/>
      </c>
      <c r="F35" s="10">
        <f>IF(ISBLANK('By Round'!F95),"",'By Round'!F95)</f>
        <v/>
      </c>
      <c r="G35">
        <f>IF(ISBLANK('By Round'!G95),"",'By Round'!G95)</f>
        <v/>
      </c>
      <c r="H35">
        <f>IF(ISBLANK('By Round'!H95),"",'By Round'!H95)</f>
        <v/>
      </c>
      <c r="I35">
        <f>IF(ISBLANK('By Round'!I95),"",'By Round'!I95)</f>
        <v/>
      </c>
      <c r="J35">
        <f>IF(ISBLANK('By Round'!J95),"",'By Round'!J95)</f>
        <v/>
      </c>
      <c r="K35">
        <f>IF(ISBLANK('By Round'!K95),"",'By Round'!K95)</f>
        <v/>
      </c>
      <c r="L35">
        <f>IF(ISBLANK('By Round'!L95),"",'By Round'!L95)</f>
        <v/>
      </c>
      <c r="M35" s="11">
        <f>AVERAGE(AG35:AL35)</f>
        <v/>
      </c>
      <c r="N35" s="12">
        <f>AVERAGE(AM35:AR35)</f>
        <v/>
      </c>
      <c r="O35" s="13">
        <f>IF(COUNT(U35:Z35)&gt;0,Q35/COUNT(U35:Z35),0.5)</f>
        <v/>
      </c>
      <c r="P35" s="13">
        <f>IF(COUNT(AA35:AF35)&gt;0,R35/COUNT(AA35:AF35),0.5)</f>
        <v/>
      </c>
      <c r="Q35" s="5">
        <f>SUM(U35:Z35)</f>
        <v/>
      </c>
      <c r="R35" s="5">
        <f>SUM(AA35:AF35)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IF(ISNUMBER(S35),IF(ISNUMBER(S31),IF(S35&gt;S31,1.0,IF(S35=S31,0.5,0.0)),""),"")</f>
        <v/>
      </c>
      <c r="V35">
        <f>IF(ISNUMBER(S35),IF(ISNUMBER(S32),IF(S35&gt;S32,1.0,IF(S35=S32,0.5,0.0)),""),"")</f>
        <v/>
      </c>
      <c r="W35">
        <f>IF(ISNUMBER(S35),IF(ISNUMBER(S33),IF(S35&gt;S33,1.0,IF(S35=S33,0.5,0.0)),""),"")</f>
        <v/>
      </c>
      <c r="X35">
        <f>IF(ISNUMBER(S35),IF(ISNUMBER(S34),IF(S35&gt;S34,1.0,IF(S35=S34,0.5,0.0)),""),"")</f>
        <v/>
      </c>
      <c r="Y35">
        <f>IF(ISNUMBER(S35),IF(ISNUMBER(S36),IF(S35&gt;S36,1.0,IF(S35=S36,0.5,0.0)),""),"")</f>
        <v/>
      </c>
      <c r="Z35">
        <f>IF(ISNUMBER(S35),IF(ISNUMBER(S37),IF(S35&gt;S37,1.0,IF(S35=S37,0.5,0.0)),""),"")</f>
        <v/>
      </c>
      <c r="AA35">
        <f>IF(ISNUMBER(T35),IF(ISNUMBER(T31),IF(T35&gt;T31,1.0,IF(T35=T31,0.5,0.0)),""),"")</f>
        <v/>
      </c>
      <c r="AB35">
        <f>IF(ISNUMBER(T35),IF(ISNUMBER(T32),IF(T35&gt;T32,1.0,IF(T35=T32,0.5,0.0)),""),"")</f>
        <v/>
      </c>
      <c r="AC35">
        <f>IF(ISNUMBER(T35),IF(ISNUMBER(T33),IF(T35&gt;T33,1.0,IF(T35=T33,0.5,0.0)),""),"")</f>
        <v/>
      </c>
      <c r="AD35">
        <f>IF(ISNUMBER(T35),IF(ISNUMBER(T34),IF(T35&gt;T34,1.0,IF(T35=T34,0.5,0.0)),""),"")</f>
        <v/>
      </c>
      <c r="AE35">
        <f>IF(ISNUMBER(T35),IF(ISNUMBER(T36),IF(T35&gt;T36,1.0,IF(T35=T36,0.5,0.0)),""),"")</f>
        <v/>
      </c>
      <c r="AF35">
        <f>IF(ISNUMBER(T35),IF(ISNUMBER(T37),IF(T35&gt;T37,1.0,IF(T35=T37,0.5,0.0)),""),"")</f>
        <v/>
      </c>
      <c r="AG35" s="14">
        <f>IF(AND(ISNUMBER(S35),ISNUMBER(S31)),VLOOKUP(ABS(S35-S31),'IMP Table'!$A$2:$C$26,3)*SIGN(S35-S31),0)</f>
        <v/>
      </c>
      <c r="AH35">
        <f>IF(AND(ISNUMBER(S35),ISNUMBER(S32)),VLOOKUP(ABS(S35-S32),'IMP Table'!$A$2:$C$26,3)*SIGN(S35-S32),0)</f>
        <v/>
      </c>
      <c r="AI35">
        <f>IF(AND(ISNUMBER(S35),ISNUMBER(S33)),VLOOKUP(ABS(S35-S33),'IMP Table'!$A$2:$C$26,3)*SIGN(S35-S33),0)</f>
        <v/>
      </c>
      <c r="AJ35">
        <f>IF(AND(ISNUMBER(S35),ISNUMBER(S34)),VLOOKUP(ABS(S35-S34),'IMP Table'!$A$2:$C$26,3)*SIGN(S35-S34),0)</f>
        <v/>
      </c>
      <c r="AK35">
        <f>IF(AND(ISNUMBER(S35),ISNUMBER(S36)),VLOOKUP(ABS(S35-S36),'IMP Table'!$A$2:$C$26,3)*SIGN(S35-S36),0)</f>
        <v/>
      </c>
      <c r="AL35">
        <f>IF(AND(ISNUMBER(S35),ISNUMBER(S37)),VLOOKUP(ABS(S35-S37),'IMP Table'!$A$2:$C$26,3)*SIGN(S35-S37),0)</f>
        <v/>
      </c>
      <c r="AM35">
        <f>IF(AND(ISNUMBER(T35),ISNUMBER(T31)),VLOOKUP(ABS(T35-T31),'IMP Table'!$A$2:$C$26,3)*SIGN(T35-T31),0)</f>
        <v/>
      </c>
      <c r="AN35">
        <f>IF(AND(ISNUMBER(T35),ISNUMBER(T32)),VLOOKUP(ABS(T35-T32),'IMP Table'!$A$2:$C$26,3)*SIGN(T35-T32),0)</f>
        <v/>
      </c>
      <c r="AO35">
        <f>IF(AND(ISNUMBER(T35),ISNUMBER(T33)),VLOOKUP(ABS(T35-T33),'IMP Table'!$A$2:$C$26,3)*SIGN(T35-T33),0)</f>
        <v/>
      </c>
      <c r="AP35">
        <f>IF(AND(ISNUMBER(T35),ISNUMBER(T34)),VLOOKUP(ABS(T35-T34),'IMP Table'!$A$2:$C$26,3)*SIGN(T35-T34),0)</f>
        <v/>
      </c>
      <c r="AQ35">
        <f>IF(AND(ISNUMBER(T35),ISNUMBER(T36)),VLOOKUP(ABS(T35-T36),'IMP Table'!$A$2:$C$26,3)*SIGN(T35-T36),0)</f>
        <v/>
      </c>
      <c r="AR35">
        <f>IF(AND(ISNUMBER(T35),ISNUMBER(T37)),VLOOKUP(ABS(T35-T37),'IMP Table'!$A$2:$C$26,3)*SIGN(T35-T37),0)</f>
        <v/>
      </c>
    </row>
    <row r="36">
      <c r="B36" s="10">
        <f>'By Round'!A73</f>
        <v/>
      </c>
      <c r="C36" s="10">
        <f>'By Round'!B83</f>
        <v/>
      </c>
      <c r="D36" s="10">
        <f>'By Round'!C83</f>
        <v/>
      </c>
      <c r="E36" s="10">
        <f>'By Round'!D83</f>
        <v/>
      </c>
      <c r="F36" s="10">
        <f>IF(ISBLANK('By Round'!F83),"",'By Round'!F83)</f>
        <v/>
      </c>
      <c r="G36">
        <f>IF(ISBLANK('By Round'!G83),"",'By Round'!G83)</f>
        <v/>
      </c>
      <c r="H36">
        <f>IF(ISBLANK('By Round'!H83),"",'By Round'!H83)</f>
        <v/>
      </c>
      <c r="I36">
        <f>IF(ISBLANK('By Round'!I83),"",'By Round'!I83)</f>
        <v/>
      </c>
      <c r="J36">
        <f>IF(ISBLANK('By Round'!J83),"",'By Round'!J83)</f>
        <v/>
      </c>
      <c r="K36">
        <f>IF(ISBLANK('By Round'!K83),"",'By Round'!K83)</f>
        <v/>
      </c>
      <c r="L36">
        <f>IF(ISBLANK('By Round'!L83),"",'By Round'!L83)</f>
        <v/>
      </c>
      <c r="M36" s="11">
        <f>AVERAGE(AG36:AL36)</f>
        <v/>
      </c>
      <c r="N36" s="12">
        <f>AVERAGE(AM36:AR36)</f>
        <v/>
      </c>
      <c r="O36" s="13">
        <f>IF(COUNT(U36:Z36)&gt;0,Q36/COUNT(U36:Z36),0.5)</f>
        <v/>
      </c>
      <c r="P36" s="13">
        <f>IF(COUNT(AA36:AF36)&gt;0,R36/COUNT(AA36:AF36),0.5)</f>
        <v/>
      </c>
      <c r="Q36" s="5">
        <f>SUM(U36:Z36)</f>
        <v/>
      </c>
      <c r="R36" s="5">
        <f>SUM(AA36:AF36)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IF(ISNUMBER(S36),IF(ISNUMBER(S31),IF(S36&gt;S31,1.0,IF(S36=S31,0.5,0.0)),""),"")</f>
        <v/>
      </c>
      <c r="V36">
        <f>IF(ISNUMBER(S36),IF(ISNUMBER(S32),IF(S36&gt;S32,1.0,IF(S36=S32,0.5,0.0)),""),"")</f>
        <v/>
      </c>
      <c r="W36">
        <f>IF(ISNUMBER(S36),IF(ISNUMBER(S33),IF(S36&gt;S33,1.0,IF(S36=S33,0.5,0.0)),""),"")</f>
        <v/>
      </c>
      <c r="X36">
        <f>IF(ISNUMBER(S36),IF(ISNUMBER(S34),IF(S36&gt;S34,1.0,IF(S36=S34,0.5,0.0)),""),"")</f>
        <v/>
      </c>
      <c r="Y36">
        <f>IF(ISNUMBER(S36),IF(ISNUMBER(S35),IF(S36&gt;S35,1.0,IF(S36=S35,0.5,0.0)),""),"")</f>
        <v/>
      </c>
      <c r="Z36">
        <f>IF(ISNUMBER(S36),IF(ISNUMBER(S37),IF(S36&gt;S37,1.0,IF(S36=S37,0.5,0.0)),""),"")</f>
        <v/>
      </c>
      <c r="AA36">
        <f>IF(ISNUMBER(T36),IF(ISNUMBER(T31),IF(T36&gt;T31,1.0,IF(T36=T31,0.5,0.0)),""),"")</f>
        <v/>
      </c>
      <c r="AB36">
        <f>IF(ISNUMBER(T36),IF(ISNUMBER(T32),IF(T36&gt;T32,1.0,IF(T36=T32,0.5,0.0)),""),"")</f>
        <v/>
      </c>
      <c r="AC36">
        <f>IF(ISNUMBER(T36),IF(ISNUMBER(T33),IF(T36&gt;T33,1.0,IF(T36=T33,0.5,0.0)),""),"")</f>
        <v/>
      </c>
      <c r="AD36">
        <f>IF(ISNUMBER(T36),IF(ISNUMBER(T34),IF(T36&gt;T34,1.0,IF(T36=T34,0.5,0.0)),""),"")</f>
        <v/>
      </c>
      <c r="AE36">
        <f>IF(ISNUMBER(T36),IF(ISNUMBER(T35),IF(T36&gt;T35,1.0,IF(T36=T35,0.5,0.0)),""),"")</f>
        <v/>
      </c>
      <c r="AF36">
        <f>IF(ISNUMBER(T36),IF(ISNUMBER(T37),IF(T36&gt;T37,1.0,IF(T36=T37,0.5,0.0)),""),"")</f>
        <v/>
      </c>
      <c r="AG36" s="14">
        <f>IF(AND(ISNUMBER(S36),ISNUMBER(S31)),VLOOKUP(ABS(S36-S31),'IMP Table'!$A$2:$C$26,3)*SIGN(S36-S31),0)</f>
        <v/>
      </c>
      <c r="AH36">
        <f>IF(AND(ISNUMBER(S36),ISNUMBER(S32)),VLOOKUP(ABS(S36-S32),'IMP Table'!$A$2:$C$26,3)*SIGN(S36-S32),0)</f>
        <v/>
      </c>
      <c r="AI36">
        <f>IF(AND(ISNUMBER(S36),ISNUMBER(S33)),VLOOKUP(ABS(S36-S33),'IMP Table'!$A$2:$C$26,3)*SIGN(S36-S33),0)</f>
        <v/>
      </c>
      <c r="AJ36">
        <f>IF(AND(ISNUMBER(S36),ISNUMBER(S34)),VLOOKUP(ABS(S36-S34),'IMP Table'!$A$2:$C$26,3)*SIGN(S36-S34),0)</f>
        <v/>
      </c>
      <c r="AK36">
        <f>IF(AND(ISNUMBER(S36),ISNUMBER(S35)),VLOOKUP(ABS(S36-S35),'IMP Table'!$A$2:$C$26,3)*SIGN(S36-S35),0)</f>
        <v/>
      </c>
      <c r="AL36">
        <f>IF(AND(ISNUMBER(S36),ISNUMBER(S37)),VLOOKUP(ABS(S36-S37),'IMP Table'!$A$2:$C$26,3)*SIGN(S36-S37),0)</f>
        <v/>
      </c>
      <c r="AM36">
        <f>IF(AND(ISNUMBER(T36),ISNUMBER(T31)),VLOOKUP(ABS(T36-T31),'IMP Table'!$A$2:$C$26,3)*SIGN(T36-T31),0)</f>
        <v/>
      </c>
      <c r="AN36">
        <f>IF(AND(ISNUMBER(T36),ISNUMBER(T32)),VLOOKUP(ABS(T36-T32),'IMP Table'!$A$2:$C$26,3)*SIGN(T36-T32),0)</f>
        <v/>
      </c>
      <c r="AO36">
        <f>IF(AND(ISNUMBER(T36),ISNUMBER(T33)),VLOOKUP(ABS(T36-T33),'IMP Table'!$A$2:$C$26,3)*SIGN(T36-T33),0)</f>
        <v/>
      </c>
      <c r="AP36">
        <f>IF(AND(ISNUMBER(T36),ISNUMBER(T34)),VLOOKUP(ABS(T36-T34),'IMP Table'!$A$2:$C$26,3)*SIGN(T36-T34),0)</f>
        <v/>
      </c>
      <c r="AQ36">
        <f>IF(AND(ISNUMBER(T36),ISNUMBER(T35)),VLOOKUP(ABS(T36-T35),'IMP Table'!$A$2:$C$26,3)*SIGN(T36-T35),0)</f>
        <v/>
      </c>
      <c r="AR36">
        <f>IF(AND(ISNUMBER(T36),ISNUMBER(T37)),VLOOKUP(ABS(T36-T37),'IMP Table'!$A$2:$C$26,3)*SIGN(T36-T37),0)</f>
        <v/>
      </c>
    </row>
    <row r="37">
      <c r="A37" s="15" t="n"/>
      <c r="B37" s="16">
        <f>'By Round'!A31</f>
        <v/>
      </c>
      <c r="C37" s="16">
        <f>'By Round'!B31</f>
        <v/>
      </c>
      <c r="D37" s="16">
        <f>'By Round'!C31</f>
        <v/>
      </c>
      <c r="E37" s="16">
        <f>'By Round'!D31</f>
        <v/>
      </c>
      <c r="F37" s="16">
        <f>IF(ISBLANK('By Round'!F31),"",'By Round'!F31)</f>
        <v/>
      </c>
      <c r="G37" s="15">
        <f>IF(ISBLANK('By Round'!G31),"",'By Round'!G31)</f>
        <v/>
      </c>
      <c r="H37" s="15">
        <f>IF(ISBLANK('By Round'!H31),"",'By Round'!H31)</f>
        <v/>
      </c>
      <c r="I37" s="15">
        <f>IF(ISBLANK('By Round'!I31),"",'By Round'!I31)</f>
        <v/>
      </c>
      <c r="J37" s="15">
        <f>IF(ISBLANK('By Round'!J31),"",'By Round'!J31)</f>
        <v/>
      </c>
      <c r="K37" s="15">
        <f>IF(ISBLANK('By Round'!K31),"",'By Round'!K31)</f>
        <v/>
      </c>
      <c r="L37" s="15">
        <f>IF(ISBLANK('By Round'!L31),"",'By Round'!L31)</f>
        <v/>
      </c>
      <c r="M37" s="17">
        <f>AVERAGE(AG37:AL37)</f>
        <v/>
      </c>
      <c r="N37" s="18">
        <f>AVERAGE(AM37:AR37)</f>
        <v/>
      </c>
      <c r="O37" s="19">
        <f>IF(COUNT(U37:Z37)&gt;0,Q37/COUNT(U37:Z37),0.5)</f>
        <v/>
      </c>
      <c r="P37" s="19">
        <f>IF(COUNT(AA37:AF37)&gt;0,R37/COUNT(AA37:AF37),0.5)</f>
        <v/>
      </c>
      <c r="Q37" s="20">
        <f>SUM(U37:Z37)</f>
        <v/>
      </c>
      <c r="R37" s="20">
        <f>SUM(AA37:AF37)</f>
        <v/>
      </c>
      <c r="S37" s="21">
        <f>IF(ISNUMBER(K37),K37,IF(ISNUMBER(L37),-L37,""))</f>
        <v/>
      </c>
      <c r="T37" s="15">
        <f>IF(ISNUMBER(L37),L37,IF(ISNUMBER(K37),-K37,""))</f>
        <v/>
      </c>
      <c r="U37" s="21">
        <f>IF(ISNUMBER(S37),IF(ISNUMBER(S31),IF(S37&gt;S31,1.0,IF(S37=S31,0.5,0.0)),""),"")</f>
        <v/>
      </c>
      <c r="V37" s="15">
        <f>IF(ISNUMBER(S37),IF(ISNUMBER(S32),IF(S37&gt;S32,1.0,IF(S37=S32,0.5,0.0)),""),"")</f>
        <v/>
      </c>
      <c r="W37" s="15">
        <f>IF(ISNUMBER(S37),IF(ISNUMBER(S33),IF(S37&gt;S33,1.0,IF(S37=S33,0.5,0.0)),""),"")</f>
        <v/>
      </c>
      <c r="X37" s="15">
        <f>IF(ISNUMBER(S37),IF(ISNUMBER(S34),IF(S37&gt;S34,1.0,IF(S37=S34,0.5,0.0)),""),"")</f>
        <v/>
      </c>
      <c r="Y37" s="15">
        <f>IF(ISNUMBER(S37),IF(ISNUMBER(S35),IF(S37&gt;S35,1.0,IF(S37=S35,0.5,0.0)),""),"")</f>
        <v/>
      </c>
      <c r="Z37" s="15">
        <f>IF(ISNUMBER(S37),IF(ISNUMBER(S36),IF(S37&gt;S36,1.0,IF(S37=S36,0.5,0.0)),""),"")</f>
        <v/>
      </c>
      <c r="AA37" s="15">
        <f>IF(ISNUMBER(T37),IF(ISNUMBER(T31),IF(T37&gt;T31,1.0,IF(T37=T31,0.5,0.0)),""),"")</f>
        <v/>
      </c>
      <c r="AB37" s="15">
        <f>IF(ISNUMBER(T37),IF(ISNUMBER(T32),IF(T37&gt;T32,1.0,IF(T37=T32,0.5,0.0)),""),"")</f>
        <v/>
      </c>
      <c r="AC37" s="15">
        <f>IF(ISNUMBER(T37),IF(ISNUMBER(T33),IF(T37&gt;T33,1.0,IF(T37=T33,0.5,0.0)),""),"")</f>
        <v/>
      </c>
      <c r="AD37" s="15">
        <f>IF(ISNUMBER(T37),IF(ISNUMBER(T34),IF(T37&gt;T34,1.0,IF(T37=T34,0.5,0.0)),""),"")</f>
        <v/>
      </c>
      <c r="AE37" s="15">
        <f>IF(ISNUMBER(T37),IF(ISNUMBER(T35),IF(T37&gt;T35,1.0,IF(T37=T35,0.5,0.0)),""),"")</f>
        <v/>
      </c>
      <c r="AF37" s="15">
        <f>IF(ISNUMBER(T37),IF(ISNUMBER(T36),IF(T37&gt;T36,1.0,IF(T37=T36,0.5,0.0)),""),"")</f>
        <v/>
      </c>
      <c r="AG37" s="21">
        <f>IF(AND(ISNUMBER(S37),ISNUMBER(S31)),VLOOKUP(ABS(S37-S31),'IMP Table'!$A$2:$C$26,3)*SIGN(S37-S31),0)</f>
        <v/>
      </c>
      <c r="AH37" s="15">
        <f>IF(AND(ISNUMBER(S37),ISNUMBER(S32)),VLOOKUP(ABS(S37-S32),'IMP Table'!$A$2:$C$26,3)*SIGN(S37-S32),0)</f>
        <v/>
      </c>
      <c r="AI37" s="15">
        <f>IF(AND(ISNUMBER(S37),ISNUMBER(S33)),VLOOKUP(ABS(S37-S33),'IMP Table'!$A$2:$C$26,3)*SIGN(S37-S33),0)</f>
        <v/>
      </c>
      <c r="AJ37" s="15">
        <f>IF(AND(ISNUMBER(S37),ISNUMBER(S34)),VLOOKUP(ABS(S37-S34),'IMP Table'!$A$2:$C$26,3)*SIGN(S37-S34),0)</f>
        <v/>
      </c>
      <c r="AK37" s="15">
        <f>IF(AND(ISNUMBER(S37),ISNUMBER(S35)),VLOOKUP(ABS(S37-S35),'IMP Table'!$A$2:$C$26,3)*SIGN(S37-S35),0)</f>
        <v/>
      </c>
      <c r="AL37" s="15">
        <f>IF(AND(ISNUMBER(S37),ISNUMBER(S36)),VLOOKUP(ABS(S37-S36),'IMP Table'!$A$2:$C$26,3)*SIGN(S37-S36),0)</f>
        <v/>
      </c>
      <c r="AM37" s="15">
        <f>IF(AND(ISNUMBER(T37),ISNUMBER(T31)),VLOOKUP(ABS(T37-T31),'IMP Table'!$A$2:$C$26,3)*SIGN(T37-T31),0)</f>
        <v/>
      </c>
      <c r="AN37" s="15">
        <f>IF(AND(ISNUMBER(T37),ISNUMBER(T32)),VLOOKUP(ABS(T37-T32),'IMP Table'!$A$2:$C$26,3)*SIGN(T37-T32),0)</f>
        <v/>
      </c>
      <c r="AO37" s="15">
        <f>IF(AND(ISNUMBER(T37),ISNUMBER(T33)),VLOOKUP(ABS(T37-T33),'IMP Table'!$A$2:$C$26,3)*SIGN(T37-T33),0)</f>
        <v/>
      </c>
      <c r="AP37" s="15">
        <f>IF(AND(ISNUMBER(T37),ISNUMBER(T34)),VLOOKUP(ABS(T37-T34),'IMP Table'!$A$2:$C$26,3)*SIGN(T37-T34),0)</f>
        <v/>
      </c>
      <c r="AQ37" s="15">
        <f>IF(AND(ISNUMBER(T37),ISNUMBER(T35)),VLOOKUP(ABS(T37-T35),'IMP Table'!$A$2:$C$26,3)*SIGN(T37-T35),0)</f>
        <v/>
      </c>
      <c r="AR37" s="15">
        <f>IF(AND(ISNUMBER(T37),ISNUMBER(T36)),VLOOKUP(ABS(T37-T36),'IMP Table'!$A$2:$C$26,3)*SIGN(T37-T36),0)</f>
        <v/>
      </c>
    </row>
    <row r="38">
      <c r="A38" s="10" t="n">
        <v>6</v>
      </c>
      <c r="B38" s="10">
        <f>'By Round'!A171</f>
        <v/>
      </c>
      <c r="C38" s="10">
        <f>'By Round'!B175</f>
        <v/>
      </c>
      <c r="D38" s="10">
        <f>'By Round'!C175</f>
        <v/>
      </c>
      <c r="E38" s="10">
        <f>'By Round'!D175</f>
        <v/>
      </c>
      <c r="F38" s="10">
        <f>IF(ISBLANK('By Round'!F176),"",'By Round'!F176)</f>
        <v/>
      </c>
      <c r="G38">
        <f>IF(ISBLANK('By Round'!G176),"",'By Round'!G176)</f>
        <v/>
      </c>
      <c r="H38">
        <f>IF(ISBLANK('By Round'!H176),"",'By Round'!H176)</f>
        <v/>
      </c>
      <c r="I38">
        <f>IF(ISBLANK('By Round'!I176),"",'By Round'!I176)</f>
        <v/>
      </c>
      <c r="J38">
        <f>IF(ISBLANK('By Round'!J176),"",'By Round'!J176)</f>
        <v/>
      </c>
      <c r="K38">
        <f>IF(ISBLANK('By Round'!K176),"",'By Round'!K176)</f>
        <v/>
      </c>
      <c r="L38">
        <f>IF(ISBLANK('By Round'!L176),"",'By Round'!L176)</f>
        <v/>
      </c>
      <c r="M38" s="11">
        <f>AVERAGE(AG38:AL38)</f>
        <v/>
      </c>
      <c r="N38" s="12">
        <f>AVERAGE(AM38:AR38)</f>
        <v/>
      </c>
      <c r="O38" s="13">
        <f>IF(COUNT(U38:Z38)&gt;0,Q38/COUNT(U38:Z38),0.5)</f>
        <v/>
      </c>
      <c r="P38" s="13">
        <f>IF(COUNT(AA38:AF38)&gt;0,R38/COUNT(AA38:AF38),0.5)</f>
        <v/>
      </c>
      <c r="Q38" s="5">
        <f>SUM(U38:Z38)</f>
        <v/>
      </c>
      <c r="R38" s="5">
        <f>SUM(AA38:AF38)</f>
        <v/>
      </c>
      <c r="S38" s="14">
        <f>IF(ISNUMBER(K38),K38,IF(ISNUMBER(L38),-L38,""))</f>
        <v/>
      </c>
      <c r="T38">
        <f>IF(ISNUMBER(L38),L38,IF(ISNUMBER(K38),-K38,""))</f>
        <v/>
      </c>
      <c r="U38" s="14">
        <f>IF(ISNUMBER(S38),IF(ISNUMBER(S39),IF(S38&gt;S39,1.0,IF(S38=S39,0.5,0.0)),""),"")</f>
        <v/>
      </c>
      <c r="V38">
        <f>IF(ISNUMBER(S38),IF(ISNUMBER(S40),IF(S38&gt;S40,1.0,IF(S38=S40,0.5,0.0)),""),"")</f>
        <v/>
      </c>
      <c r="W38">
        <f>IF(ISNUMBER(S38),IF(ISNUMBER(S41),IF(S38&gt;S41,1.0,IF(S38=S41,0.5,0.0)),""),"")</f>
        <v/>
      </c>
      <c r="X38">
        <f>IF(ISNUMBER(S38),IF(ISNUMBER(S42),IF(S38&gt;S42,1.0,IF(S38=S42,0.5,0.0)),""),"")</f>
        <v/>
      </c>
      <c r="Y38">
        <f>IF(ISNUMBER(S38),IF(ISNUMBER(S43),IF(S38&gt;S43,1.0,IF(S38=S43,0.5,0.0)),""),"")</f>
        <v/>
      </c>
      <c r="Z38">
        <f>IF(ISNUMBER(S38),IF(ISNUMBER(S44),IF(S38&gt;S44,1.0,IF(S38=S44,0.5,0.0)),""),"")</f>
        <v/>
      </c>
      <c r="AA38">
        <f>IF(ISNUMBER(T38),IF(ISNUMBER(T39),IF(T38&gt;T39,1.0,IF(T38=T39,0.5,0.0)),""),"")</f>
        <v/>
      </c>
      <c r="AB38">
        <f>IF(ISNUMBER(T38),IF(ISNUMBER(T40),IF(T38&gt;T40,1.0,IF(T38=T40,0.5,0.0)),""),"")</f>
        <v/>
      </c>
      <c r="AC38">
        <f>IF(ISNUMBER(T38),IF(ISNUMBER(T41),IF(T38&gt;T41,1.0,IF(T38=T41,0.5,0.0)),""),"")</f>
        <v/>
      </c>
      <c r="AD38">
        <f>IF(ISNUMBER(T38),IF(ISNUMBER(T42),IF(T38&gt;T42,1.0,IF(T38=T42,0.5,0.0)),""),"")</f>
        <v/>
      </c>
      <c r="AE38">
        <f>IF(ISNUMBER(T38),IF(ISNUMBER(T43),IF(T38&gt;T43,1.0,IF(T38=T43,0.5,0.0)),""),"")</f>
        <v/>
      </c>
      <c r="AF38">
        <f>IF(ISNUMBER(T38),IF(ISNUMBER(T44),IF(T38&gt;T44,1.0,IF(T38=T44,0.5,0.0)),""),"")</f>
        <v/>
      </c>
      <c r="AG38" s="14">
        <f>IF(AND(ISNUMBER(S38),ISNUMBER(S39)),VLOOKUP(ABS(S38-S39),'IMP Table'!$A$2:$C$26,3)*SIGN(S38-S39),0)</f>
        <v/>
      </c>
      <c r="AH38">
        <f>IF(AND(ISNUMBER(S38),ISNUMBER(S40)),VLOOKUP(ABS(S38-S40),'IMP Table'!$A$2:$C$26,3)*SIGN(S38-S40),0)</f>
        <v/>
      </c>
      <c r="AI38">
        <f>IF(AND(ISNUMBER(S38),ISNUMBER(S41)),VLOOKUP(ABS(S38-S41),'IMP Table'!$A$2:$C$26,3)*SIGN(S38-S41),0)</f>
        <v/>
      </c>
      <c r="AJ38">
        <f>IF(AND(ISNUMBER(S38),ISNUMBER(S42)),VLOOKUP(ABS(S38-S42),'IMP Table'!$A$2:$C$26,3)*SIGN(S38-S42),0)</f>
        <v/>
      </c>
      <c r="AK38">
        <f>IF(AND(ISNUMBER(S38),ISNUMBER(S43)),VLOOKUP(ABS(S38-S43),'IMP Table'!$A$2:$C$26,3)*SIGN(S38-S43),0)</f>
        <v/>
      </c>
      <c r="AL38">
        <f>IF(AND(ISNUMBER(S38),ISNUMBER(S44)),VLOOKUP(ABS(S38-S44),'IMP Table'!$A$2:$C$26,3)*SIGN(S38-S44),0)</f>
        <v/>
      </c>
      <c r="AM38">
        <f>IF(AND(ISNUMBER(T38),ISNUMBER(T39)),VLOOKUP(ABS(T38-T39),'IMP Table'!$A$2:$C$26,3)*SIGN(T38-T39),0)</f>
        <v/>
      </c>
      <c r="AN38">
        <f>IF(AND(ISNUMBER(T38),ISNUMBER(T40)),VLOOKUP(ABS(T38-T40),'IMP Table'!$A$2:$C$26,3)*SIGN(T38-T40),0)</f>
        <v/>
      </c>
      <c r="AO38">
        <f>IF(AND(ISNUMBER(T38),ISNUMBER(T41)),VLOOKUP(ABS(T38-T41),'IMP Table'!$A$2:$C$26,3)*SIGN(T38-T41),0)</f>
        <v/>
      </c>
      <c r="AP38">
        <f>IF(AND(ISNUMBER(T38),ISNUMBER(T42)),VLOOKUP(ABS(T38-T42),'IMP Table'!$A$2:$C$26,3)*SIGN(T38-T42),0)</f>
        <v/>
      </c>
      <c r="AQ38">
        <f>IF(AND(ISNUMBER(T38),ISNUMBER(T43)),VLOOKUP(ABS(T38-T43),'IMP Table'!$A$2:$C$26,3)*SIGN(T38-T43),0)</f>
        <v/>
      </c>
      <c r="AR38">
        <f>IF(AND(ISNUMBER(T38),ISNUMBER(T44)),VLOOKUP(ABS(T38-T44),'IMP Table'!$A$2:$C$26,3)*SIGN(T38-T44),0)</f>
        <v/>
      </c>
    </row>
    <row r="39">
      <c r="B39" s="10">
        <f>'By Round'!A3</f>
        <v/>
      </c>
      <c r="C39" s="10">
        <f>'By Round'!B5</f>
        <v/>
      </c>
      <c r="D39" s="10">
        <f>'By Round'!C5</f>
        <v/>
      </c>
      <c r="E39" s="10">
        <f>'By Round'!D5</f>
        <v/>
      </c>
      <c r="F39" s="10">
        <f>IF(ISBLANK('By Round'!F6),"",'By Round'!F6)</f>
        <v/>
      </c>
      <c r="G39">
        <f>IF(ISBLANK('By Round'!G6),"",'By Round'!G6)</f>
        <v/>
      </c>
      <c r="H39">
        <f>IF(ISBLANK('By Round'!H6),"",'By Round'!H6)</f>
        <v/>
      </c>
      <c r="I39">
        <f>IF(ISBLANK('By Round'!I6),"",'By Round'!I6)</f>
        <v/>
      </c>
      <c r="J39">
        <f>IF(ISBLANK('By Round'!J6),"",'By Round'!J6)</f>
        <v/>
      </c>
      <c r="K39">
        <f>IF(ISBLANK('By Round'!K6),"",'By Round'!K6)</f>
        <v/>
      </c>
      <c r="L39">
        <f>IF(ISBLANK('By Round'!L6),"",'By Round'!L6)</f>
        <v/>
      </c>
      <c r="M39" s="11">
        <f>AVERAGE(AG39:AL39)</f>
        <v/>
      </c>
      <c r="N39" s="12">
        <f>AVERAGE(AM39:AR39)</f>
        <v/>
      </c>
      <c r="O39" s="13">
        <f>IF(COUNT(U39:Z39)&gt;0,Q39/COUNT(U39:Z39),0.5)</f>
        <v/>
      </c>
      <c r="P39" s="13">
        <f>IF(COUNT(AA39:AF39)&gt;0,R39/COUNT(AA39:AF39),0.5)</f>
        <v/>
      </c>
      <c r="Q39" s="5">
        <f>SUM(U39:Z39)</f>
        <v/>
      </c>
      <c r="R39" s="5">
        <f>SUM(AA39:AF39)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IF(ISNUMBER(S39),IF(ISNUMBER(S38),IF(S39&gt;S38,1.0,IF(S39=S38,0.5,0.0)),""),"")</f>
        <v/>
      </c>
      <c r="V39">
        <f>IF(ISNUMBER(S39),IF(ISNUMBER(S40),IF(S39&gt;S40,1.0,IF(S39=S40,0.5,0.0)),""),"")</f>
        <v/>
      </c>
      <c r="W39">
        <f>IF(ISNUMBER(S39),IF(ISNUMBER(S41),IF(S39&gt;S41,1.0,IF(S39=S41,0.5,0.0)),""),"")</f>
        <v/>
      </c>
      <c r="X39">
        <f>IF(ISNUMBER(S39),IF(ISNUMBER(S42),IF(S39&gt;S42,1.0,IF(S39=S42,0.5,0.0)),""),"")</f>
        <v/>
      </c>
      <c r="Y39">
        <f>IF(ISNUMBER(S39),IF(ISNUMBER(S43),IF(S39&gt;S43,1.0,IF(S39=S43,0.5,0.0)),""),"")</f>
        <v/>
      </c>
      <c r="Z39">
        <f>IF(ISNUMBER(S39),IF(ISNUMBER(S44),IF(S39&gt;S44,1.0,IF(S39=S44,0.5,0.0)),""),"")</f>
        <v/>
      </c>
      <c r="AA39">
        <f>IF(ISNUMBER(T39),IF(ISNUMBER(T38),IF(T39&gt;T38,1.0,IF(T39=T38,0.5,0.0)),""),"")</f>
        <v/>
      </c>
      <c r="AB39">
        <f>IF(ISNUMBER(T39),IF(ISNUMBER(T40),IF(T39&gt;T40,1.0,IF(T39=T40,0.5,0.0)),""),"")</f>
        <v/>
      </c>
      <c r="AC39">
        <f>IF(ISNUMBER(T39),IF(ISNUMBER(T41),IF(T39&gt;T41,1.0,IF(T39=T41,0.5,0.0)),""),"")</f>
        <v/>
      </c>
      <c r="AD39">
        <f>IF(ISNUMBER(T39),IF(ISNUMBER(T42),IF(T39&gt;T42,1.0,IF(T39=T42,0.5,0.0)),""),"")</f>
        <v/>
      </c>
      <c r="AE39">
        <f>IF(ISNUMBER(T39),IF(ISNUMBER(T43),IF(T39&gt;T43,1.0,IF(T39=T43,0.5,0.0)),""),"")</f>
        <v/>
      </c>
      <c r="AF39">
        <f>IF(ISNUMBER(T39),IF(ISNUMBER(T44),IF(T39&gt;T44,1.0,IF(T39=T44,0.5,0.0)),""),"")</f>
        <v/>
      </c>
      <c r="AG39" s="14">
        <f>IF(AND(ISNUMBER(S39),ISNUMBER(S38)),VLOOKUP(ABS(S39-S38),'IMP Table'!$A$2:$C$26,3)*SIGN(S39-S38),0)</f>
        <v/>
      </c>
      <c r="AH39">
        <f>IF(AND(ISNUMBER(S39),ISNUMBER(S40)),VLOOKUP(ABS(S39-S40),'IMP Table'!$A$2:$C$26,3)*SIGN(S39-S40),0)</f>
        <v/>
      </c>
      <c r="AI39">
        <f>IF(AND(ISNUMBER(S39),ISNUMBER(S41)),VLOOKUP(ABS(S39-S41),'IMP Table'!$A$2:$C$26,3)*SIGN(S39-S41),0)</f>
        <v/>
      </c>
      <c r="AJ39">
        <f>IF(AND(ISNUMBER(S39),ISNUMBER(S42)),VLOOKUP(ABS(S39-S42),'IMP Table'!$A$2:$C$26,3)*SIGN(S39-S42),0)</f>
        <v/>
      </c>
      <c r="AK39">
        <f>IF(AND(ISNUMBER(S39),ISNUMBER(S43)),VLOOKUP(ABS(S39-S43),'IMP Table'!$A$2:$C$26,3)*SIGN(S39-S43),0)</f>
        <v/>
      </c>
      <c r="AL39">
        <f>IF(AND(ISNUMBER(S39),ISNUMBER(S44)),VLOOKUP(ABS(S39-S44),'IMP Table'!$A$2:$C$26,3)*SIGN(S39-S44),0)</f>
        <v/>
      </c>
      <c r="AM39">
        <f>IF(AND(ISNUMBER(T39),ISNUMBER(T38)),VLOOKUP(ABS(T39-T38),'IMP Table'!$A$2:$C$26,3)*SIGN(T39-T38),0)</f>
        <v/>
      </c>
      <c r="AN39">
        <f>IF(AND(ISNUMBER(T39),ISNUMBER(T40)),VLOOKUP(ABS(T39-T40),'IMP Table'!$A$2:$C$26,3)*SIGN(T39-T40),0)</f>
        <v/>
      </c>
      <c r="AO39">
        <f>IF(AND(ISNUMBER(T39),ISNUMBER(T41)),VLOOKUP(ABS(T39-T41),'IMP Table'!$A$2:$C$26,3)*SIGN(T39-T41),0)</f>
        <v/>
      </c>
      <c r="AP39">
        <f>IF(AND(ISNUMBER(T39),ISNUMBER(T42)),VLOOKUP(ABS(T39-T42),'IMP Table'!$A$2:$C$26,3)*SIGN(T39-T42),0)</f>
        <v/>
      </c>
      <c r="AQ39">
        <f>IF(AND(ISNUMBER(T39),ISNUMBER(T43)),VLOOKUP(ABS(T39-T43),'IMP Table'!$A$2:$C$26,3)*SIGN(T39-T43),0)</f>
        <v/>
      </c>
      <c r="AR39">
        <f>IF(AND(ISNUMBER(T39),ISNUMBER(T44)),VLOOKUP(ABS(T39-T44),'IMP Table'!$A$2:$C$26,3)*SIGN(T39-T44),0)</f>
        <v/>
      </c>
    </row>
    <row r="40">
      <c r="B40" s="10">
        <f>'By Round'!A157</f>
        <v/>
      </c>
      <c r="C40" s="10">
        <f>'By Round'!B163</f>
        <v/>
      </c>
      <c r="D40" s="10">
        <f>'By Round'!C163</f>
        <v/>
      </c>
      <c r="E40" s="10">
        <f>'By Round'!D163</f>
        <v/>
      </c>
      <c r="F40" s="10">
        <f>IF(ISBLANK('By Round'!F164),"",'By Round'!F164)</f>
        <v/>
      </c>
      <c r="G40">
        <f>IF(ISBLANK('By Round'!G164),"",'By Round'!G164)</f>
        <v/>
      </c>
      <c r="H40">
        <f>IF(ISBLANK('By Round'!H164),"",'By Round'!H164)</f>
        <v/>
      </c>
      <c r="I40">
        <f>IF(ISBLANK('By Round'!I164),"",'By Round'!I164)</f>
        <v/>
      </c>
      <c r="J40">
        <f>IF(ISBLANK('By Round'!J164),"",'By Round'!J164)</f>
        <v/>
      </c>
      <c r="K40">
        <f>IF(ISBLANK('By Round'!K164),"",'By Round'!K164)</f>
        <v/>
      </c>
      <c r="L40">
        <f>IF(ISBLANK('By Round'!L164),"",'By Round'!L164)</f>
        <v/>
      </c>
      <c r="M40" s="11">
        <f>AVERAGE(AG40:AL40)</f>
        <v/>
      </c>
      <c r="N40" s="12">
        <f>AVERAGE(AM40:AR40)</f>
        <v/>
      </c>
      <c r="O40" s="13">
        <f>IF(COUNT(U40:Z40)&gt;0,Q40/COUNT(U40:Z40),0.5)</f>
        <v/>
      </c>
      <c r="P40" s="13">
        <f>IF(COUNT(AA40:AF40)&gt;0,R40/COUNT(AA40:AF40),0.5)</f>
        <v/>
      </c>
      <c r="Q40" s="5">
        <f>SUM(U40:Z40)</f>
        <v/>
      </c>
      <c r="R40" s="5">
        <f>SUM(AA40:AF40)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IF(ISNUMBER(S40),IF(ISNUMBER(S38),IF(S40&gt;S38,1.0,IF(S40=S38,0.5,0.0)),""),"")</f>
        <v/>
      </c>
      <c r="V40">
        <f>IF(ISNUMBER(S40),IF(ISNUMBER(S39),IF(S40&gt;S39,1.0,IF(S40=S39,0.5,0.0)),""),"")</f>
        <v/>
      </c>
      <c r="W40">
        <f>IF(ISNUMBER(S40),IF(ISNUMBER(S41),IF(S40&gt;S41,1.0,IF(S40=S41,0.5,0.0)),""),"")</f>
        <v/>
      </c>
      <c r="X40">
        <f>IF(ISNUMBER(S40),IF(ISNUMBER(S42),IF(S40&gt;S42,1.0,IF(S40=S42,0.5,0.0)),""),"")</f>
        <v/>
      </c>
      <c r="Y40">
        <f>IF(ISNUMBER(S40),IF(ISNUMBER(S43),IF(S40&gt;S43,1.0,IF(S40=S43,0.5,0.0)),""),"")</f>
        <v/>
      </c>
      <c r="Z40">
        <f>IF(ISNUMBER(S40),IF(ISNUMBER(S44),IF(S40&gt;S44,1.0,IF(S40=S44,0.5,0.0)),""),"")</f>
        <v/>
      </c>
      <c r="AA40">
        <f>IF(ISNUMBER(T40),IF(ISNUMBER(T38),IF(T40&gt;T38,1.0,IF(T40=T38,0.5,0.0)),""),"")</f>
        <v/>
      </c>
      <c r="AB40">
        <f>IF(ISNUMBER(T40),IF(ISNUMBER(T39),IF(T40&gt;T39,1.0,IF(T40=T39,0.5,0.0)),""),"")</f>
        <v/>
      </c>
      <c r="AC40">
        <f>IF(ISNUMBER(T40),IF(ISNUMBER(T41),IF(T40&gt;T41,1.0,IF(T40=T41,0.5,0.0)),""),"")</f>
        <v/>
      </c>
      <c r="AD40">
        <f>IF(ISNUMBER(T40),IF(ISNUMBER(T42),IF(T40&gt;T42,1.0,IF(T40=T42,0.5,0.0)),""),"")</f>
        <v/>
      </c>
      <c r="AE40">
        <f>IF(ISNUMBER(T40),IF(ISNUMBER(T43),IF(T40&gt;T43,1.0,IF(T40=T43,0.5,0.0)),""),"")</f>
        <v/>
      </c>
      <c r="AF40">
        <f>IF(ISNUMBER(T40),IF(ISNUMBER(T44),IF(T40&gt;T44,1.0,IF(T40=T44,0.5,0.0)),""),"")</f>
        <v/>
      </c>
      <c r="AG40" s="14">
        <f>IF(AND(ISNUMBER(S40),ISNUMBER(S38)),VLOOKUP(ABS(S40-S38),'IMP Table'!$A$2:$C$26,3)*SIGN(S40-S38),0)</f>
        <v/>
      </c>
      <c r="AH40">
        <f>IF(AND(ISNUMBER(S40),ISNUMBER(S39)),VLOOKUP(ABS(S40-S39),'IMP Table'!$A$2:$C$26,3)*SIGN(S40-S39),0)</f>
        <v/>
      </c>
      <c r="AI40">
        <f>IF(AND(ISNUMBER(S40),ISNUMBER(S41)),VLOOKUP(ABS(S40-S41),'IMP Table'!$A$2:$C$26,3)*SIGN(S40-S41),0)</f>
        <v/>
      </c>
      <c r="AJ40">
        <f>IF(AND(ISNUMBER(S40),ISNUMBER(S42)),VLOOKUP(ABS(S40-S42),'IMP Table'!$A$2:$C$26,3)*SIGN(S40-S42),0)</f>
        <v/>
      </c>
      <c r="AK40">
        <f>IF(AND(ISNUMBER(S40),ISNUMBER(S43)),VLOOKUP(ABS(S40-S43),'IMP Table'!$A$2:$C$26,3)*SIGN(S40-S43),0)</f>
        <v/>
      </c>
      <c r="AL40">
        <f>IF(AND(ISNUMBER(S40),ISNUMBER(S44)),VLOOKUP(ABS(S40-S44),'IMP Table'!$A$2:$C$26,3)*SIGN(S40-S44),0)</f>
        <v/>
      </c>
      <c r="AM40">
        <f>IF(AND(ISNUMBER(T40),ISNUMBER(T38)),VLOOKUP(ABS(T40-T38),'IMP Table'!$A$2:$C$26,3)*SIGN(T40-T38),0)</f>
        <v/>
      </c>
      <c r="AN40">
        <f>IF(AND(ISNUMBER(T40),ISNUMBER(T39)),VLOOKUP(ABS(T40-T39),'IMP Table'!$A$2:$C$26,3)*SIGN(T40-T39),0)</f>
        <v/>
      </c>
      <c r="AO40">
        <f>IF(AND(ISNUMBER(T40),ISNUMBER(T41)),VLOOKUP(ABS(T40-T41),'IMP Table'!$A$2:$C$26,3)*SIGN(T40-T41),0)</f>
        <v/>
      </c>
      <c r="AP40">
        <f>IF(AND(ISNUMBER(T40),ISNUMBER(T42)),VLOOKUP(ABS(T40-T42),'IMP Table'!$A$2:$C$26,3)*SIGN(T40-T42),0)</f>
        <v/>
      </c>
      <c r="AQ40">
        <f>IF(AND(ISNUMBER(T40),ISNUMBER(T43)),VLOOKUP(ABS(T40-T43),'IMP Table'!$A$2:$C$26,3)*SIGN(T40-T43),0)</f>
        <v/>
      </c>
      <c r="AR40">
        <f>IF(AND(ISNUMBER(T40),ISNUMBER(T44)),VLOOKUP(ABS(T40-T44),'IMP Table'!$A$2:$C$26,3)*SIGN(T40-T44),0)</f>
        <v/>
      </c>
    </row>
    <row r="41">
      <c r="B41" s="10">
        <f>'By Round'!A59</f>
        <v/>
      </c>
      <c r="C41" s="10">
        <f>'By Round'!B71</f>
        <v/>
      </c>
      <c r="D41" s="10">
        <f>'By Round'!C71</f>
        <v/>
      </c>
      <c r="E41" s="10">
        <f>'By Round'!D71</f>
        <v/>
      </c>
      <c r="F41" s="10">
        <f>IF(ISBLANK('By Round'!F72),"",'By Round'!F72)</f>
        <v/>
      </c>
      <c r="G41">
        <f>IF(ISBLANK('By Round'!G72),"",'By Round'!G72)</f>
        <v/>
      </c>
      <c r="H41">
        <f>IF(ISBLANK('By Round'!H72),"",'By Round'!H72)</f>
        <v/>
      </c>
      <c r="I41">
        <f>IF(ISBLANK('By Round'!I72),"",'By Round'!I72)</f>
        <v/>
      </c>
      <c r="J41">
        <f>IF(ISBLANK('By Round'!J72),"",'By Round'!J72)</f>
        <v/>
      </c>
      <c r="K41">
        <f>IF(ISBLANK('By Round'!K72),"",'By Round'!K72)</f>
        <v/>
      </c>
      <c r="L41">
        <f>IF(ISBLANK('By Round'!L72),"",'By Round'!L72)</f>
        <v/>
      </c>
      <c r="M41" s="11">
        <f>AVERAGE(AG41:AL41)</f>
        <v/>
      </c>
      <c r="N41" s="12">
        <f>AVERAGE(AM41:AR41)</f>
        <v/>
      </c>
      <c r="O41" s="13">
        <f>IF(COUNT(U41:Z41)&gt;0,Q41/COUNT(U41:Z41),0.5)</f>
        <v/>
      </c>
      <c r="P41" s="13">
        <f>IF(COUNT(AA41:AF41)&gt;0,R41/COUNT(AA41:AF41),0.5)</f>
        <v/>
      </c>
      <c r="Q41" s="5">
        <f>SUM(U41:Z41)</f>
        <v/>
      </c>
      <c r="R41" s="5">
        <f>SUM(AA41:AF41)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IF(ISNUMBER(S41),IF(ISNUMBER(S38),IF(S41&gt;S38,1.0,IF(S41=S38,0.5,0.0)),""),"")</f>
        <v/>
      </c>
      <c r="V41">
        <f>IF(ISNUMBER(S41),IF(ISNUMBER(S39),IF(S41&gt;S39,1.0,IF(S41=S39,0.5,0.0)),""),"")</f>
        <v/>
      </c>
      <c r="W41">
        <f>IF(ISNUMBER(S41),IF(ISNUMBER(S40),IF(S41&gt;S40,1.0,IF(S41=S40,0.5,0.0)),""),"")</f>
        <v/>
      </c>
      <c r="X41">
        <f>IF(ISNUMBER(S41),IF(ISNUMBER(S42),IF(S41&gt;S42,1.0,IF(S41=S42,0.5,0.0)),""),"")</f>
        <v/>
      </c>
      <c r="Y41">
        <f>IF(ISNUMBER(S41),IF(ISNUMBER(S43),IF(S41&gt;S43,1.0,IF(S41=S43,0.5,0.0)),""),"")</f>
        <v/>
      </c>
      <c r="Z41">
        <f>IF(ISNUMBER(S41),IF(ISNUMBER(S44),IF(S41&gt;S44,1.0,IF(S41=S44,0.5,0.0)),""),"")</f>
        <v/>
      </c>
      <c r="AA41">
        <f>IF(ISNUMBER(T41),IF(ISNUMBER(T38),IF(T41&gt;T38,1.0,IF(T41=T38,0.5,0.0)),""),"")</f>
        <v/>
      </c>
      <c r="AB41">
        <f>IF(ISNUMBER(T41),IF(ISNUMBER(T39),IF(T41&gt;T39,1.0,IF(T41=T39,0.5,0.0)),""),"")</f>
        <v/>
      </c>
      <c r="AC41">
        <f>IF(ISNUMBER(T41),IF(ISNUMBER(T40),IF(T41&gt;T40,1.0,IF(T41=T40,0.5,0.0)),""),"")</f>
        <v/>
      </c>
      <c r="AD41">
        <f>IF(ISNUMBER(T41),IF(ISNUMBER(T42),IF(T41&gt;T42,1.0,IF(T41=T42,0.5,0.0)),""),"")</f>
        <v/>
      </c>
      <c r="AE41">
        <f>IF(ISNUMBER(T41),IF(ISNUMBER(T43),IF(T41&gt;T43,1.0,IF(T41=T43,0.5,0.0)),""),"")</f>
        <v/>
      </c>
      <c r="AF41">
        <f>IF(ISNUMBER(T41),IF(ISNUMBER(T44),IF(T41&gt;T44,1.0,IF(T41=T44,0.5,0.0)),""),"")</f>
        <v/>
      </c>
      <c r="AG41" s="14">
        <f>IF(AND(ISNUMBER(S41),ISNUMBER(S38)),VLOOKUP(ABS(S41-S38),'IMP Table'!$A$2:$C$26,3)*SIGN(S41-S38),0)</f>
        <v/>
      </c>
      <c r="AH41">
        <f>IF(AND(ISNUMBER(S41),ISNUMBER(S39)),VLOOKUP(ABS(S41-S39),'IMP Table'!$A$2:$C$26,3)*SIGN(S41-S39),0)</f>
        <v/>
      </c>
      <c r="AI41">
        <f>IF(AND(ISNUMBER(S41),ISNUMBER(S40)),VLOOKUP(ABS(S41-S40),'IMP Table'!$A$2:$C$26,3)*SIGN(S41-S40),0)</f>
        <v/>
      </c>
      <c r="AJ41">
        <f>IF(AND(ISNUMBER(S41),ISNUMBER(S42)),VLOOKUP(ABS(S41-S42),'IMP Table'!$A$2:$C$26,3)*SIGN(S41-S42),0)</f>
        <v/>
      </c>
      <c r="AK41">
        <f>IF(AND(ISNUMBER(S41),ISNUMBER(S43)),VLOOKUP(ABS(S41-S43),'IMP Table'!$A$2:$C$26,3)*SIGN(S41-S43),0)</f>
        <v/>
      </c>
      <c r="AL41">
        <f>IF(AND(ISNUMBER(S41),ISNUMBER(S44)),VLOOKUP(ABS(S41-S44),'IMP Table'!$A$2:$C$26,3)*SIGN(S41-S44),0)</f>
        <v/>
      </c>
      <c r="AM41">
        <f>IF(AND(ISNUMBER(T41),ISNUMBER(T38)),VLOOKUP(ABS(T41-T38),'IMP Table'!$A$2:$C$26,3)*SIGN(T41-T38),0)</f>
        <v/>
      </c>
      <c r="AN41">
        <f>IF(AND(ISNUMBER(T41),ISNUMBER(T39)),VLOOKUP(ABS(T41-T39),'IMP Table'!$A$2:$C$26,3)*SIGN(T41-T39),0)</f>
        <v/>
      </c>
      <c r="AO41">
        <f>IF(AND(ISNUMBER(T41),ISNUMBER(T40)),VLOOKUP(ABS(T41-T40),'IMP Table'!$A$2:$C$26,3)*SIGN(T41-T40),0)</f>
        <v/>
      </c>
      <c r="AP41">
        <f>IF(AND(ISNUMBER(T41),ISNUMBER(T42)),VLOOKUP(ABS(T41-T42),'IMP Table'!$A$2:$C$26,3)*SIGN(T41-T42),0)</f>
        <v/>
      </c>
      <c r="AQ41">
        <f>IF(AND(ISNUMBER(T41),ISNUMBER(T43)),VLOOKUP(ABS(T41-T43),'IMP Table'!$A$2:$C$26,3)*SIGN(T41-T43),0)</f>
        <v/>
      </c>
      <c r="AR41">
        <f>IF(AND(ISNUMBER(T41),ISNUMBER(T44)),VLOOKUP(ABS(T41-T44),'IMP Table'!$A$2:$C$26,3)*SIGN(T41-T44),0)</f>
        <v/>
      </c>
    </row>
    <row r="42">
      <c r="B42" s="10">
        <f>'By Round'!A87</f>
        <v/>
      </c>
      <c r="C42" s="10">
        <f>'By Round'!B95</f>
        <v/>
      </c>
      <c r="D42" s="10">
        <f>'By Round'!C95</f>
        <v/>
      </c>
      <c r="E42" s="10">
        <f>'By Round'!D95</f>
        <v/>
      </c>
      <c r="F42" s="10">
        <f>IF(ISBLANK('By Round'!F96),"",'By Round'!F96)</f>
        <v/>
      </c>
      <c r="G42">
        <f>IF(ISBLANK('By Round'!G96),"",'By Round'!G96)</f>
        <v/>
      </c>
      <c r="H42">
        <f>IF(ISBLANK('By Round'!H96),"",'By Round'!H96)</f>
        <v/>
      </c>
      <c r="I42">
        <f>IF(ISBLANK('By Round'!I96),"",'By Round'!I96)</f>
        <v/>
      </c>
      <c r="J42">
        <f>IF(ISBLANK('By Round'!J96),"",'By Round'!J96)</f>
        <v/>
      </c>
      <c r="K42">
        <f>IF(ISBLANK('By Round'!K96),"",'By Round'!K96)</f>
        <v/>
      </c>
      <c r="L42">
        <f>IF(ISBLANK('By Round'!L96),"",'By Round'!L96)</f>
        <v/>
      </c>
      <c r="M42" s="11">
        <f>AVERAGE(AG42:AL42)</f>
        <v/>
      </c>
      <c r="N42" s="12">
        <f>AVERAGE(AM42:AR42)</f>
        <v/>
      </c>
      <c r="O42" s="13">
        <f>IF(COUNT(U42:Z42)&gt;0,Q42/COUNT(U42:Z42),0.5)</f>
        <v/>
      </c>
      <c r="P42" s="13">
        <f>IF(COUNT(AA42:AF42)&gt;0,R42/COUNT(AA42:AF42),0.5)</f>
        <v/>
      </c>
      <c r="Q42" s="5">
        <f>SUM(U42:Z42)</f>
        <v/>
      </c>
      <c r="R42" s="5">
        <f>SUM(AA42:AF42)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IF(ISNUMBER(S42),IF(ISNUMBER(S38),IF(S42&gt;S38,1.0,IF(S42=S38,0.5,0.0)),""),"")</f>
        <v/>
      </c>
      <c r="V42">
        <f>IF(ISNUMBER(S42),IF(ISNUMBER(S39),IF(S42&gt;S39,1.0,IF(S42=S39,0.5,0.0)),""),"")</f>
        <v/>
      </c>
      <c r="W42">
        <f>IF(ISNUMBER(S42),IF(ISNUMBER(S40),IF(S42&gt;S40,1.0,IF(S42=S40,0.5,0.0)),""),"")</f>
        <v/>
      </c>
      <c r="X42">
        <f>IF(ISNUMBER(S42),IF(ISNUMBER(S41),IF(S42&gt;S41,1.0,IF(S42=S41,0.5,0.0)),""),"")</f>
        <v/>
      </c>
      <c r="Y42">
        <f>IF(ISNUMBER(S42),IF(ISNUMBER(S43),IF(S42&gt;S43,1.0,IF(S42=S43,0.5,0.0)),""),"")</f>
        <v/>
      </c>
      <c r="Z42">
        <f>IF(ISNUMBER(S42),IF(ISNUMBER(S44),IF(S42&gt;S44,1.0,IF(S42=S44,0.5,0.0)),""),"")</f>
        <v/>
      </c>
      <c r="AA42">
        <f>IF(ISNUMBER(T42),IF(ISNUMBER(T38),IF(T42&gt;T38,1.0,IF(T42=T38,0.5,0.0)),""),"")</f>
        <v/>
      </c>
      <c r="AB42">
        <f>IF(ISNUMBER(T42),IF(ISNUMBER(T39),IF(T42&gt;T39,1.0,IF(T42=T39,0.5,0.0)),""),"")</f>
        <v/>
      </c>
      <c r="AC42">
        <f>IF(ISNUMBER(T42),IF(ISNUMBER(T40),IF(T42&gt;T40,1.0,IF(T42=T40,0.5,0.0)),""),"")</f>
        <v/>
      </c>
      <c r="AD42">
        <f>IF(ISNUMBER(T42),IF(ISNUMBER(T41),IF(T42&gt;T41,1.0,IF(T42=T41,0.5,0.0)),""),"")</f>
        <v/>
      </c>
      <c r="AE42">
        <f>IF(ISNUMBER(T42),IF(ISNUMBER(T43),IF(T42&gt;T43,1.0,IF(T42=T43,0.5,0.0)),""),"")</f>
        <v/>
      </c>
      <c r="AF42">
        <f>IF(ISNUMBER(T42),IF(ISNUMBER(T44),IF(T42&gt;T44,1.0,IF(T42=T44,0.5,0.0)),""),"")</f>
        <v/>
      </c>
      <c r="AG42" s="14">
        <f>IF(AND(ISNUMBER(S42),ISNUMBER(S38)),VLOOKUP(ABS(S42-S38),'IMP Table'!$A$2:$C$26,3)*SIGN(S42-S38),0)</f>
        <v/>
      </c>
      <c r="AH42">
        <f>IF(AND(ISNUMBER(S42),ISNUMBER(S39)),VLOOKUP(ABS(S42-S39),'IMP Table'!$A$2:$C$26,3)*SIGN(S42-S39),0)</f>
        <v/>
      </c>
      <c r="AI42">
        <f>IF(AND(ISNUMBER(S42),ISNUMBER(S40)),VLOOKUP(ABS(S42-S40),'IMP Table'!$A$2:$C$26,3)*SIGN(S42-S40),0)</f>
        <v/>
      </c>
      <c r="AJ42">
        <f>IF(AND(ISNUMBER(S42),ISNUMBER(S41)),VLOOKUP(ABS(S42-S41),'IMP Table'!$A$2:$C$26,3)*SIGN(S42-S41),0)</f>
        <v/>
      </c>
      <c r="AK42">
        <f>IF(AND(ISNUMBER(S42),ISNUMBER(S43)),VLOOKUP(ABS(S42-S43),'IMP Table'!$A$2:$C$26,3)*SIGN(S42-S43),0)</f>
        <v/>
      </c>
      <c r="AL42">
        <f>IF(AND(ISNUMBER(S42),ISNUMBER(S44)),VLOOKUP(ABS(S42-S44),'IMP Table'!$A$2:$C$26,3)*SIGN(S42-S44),0)</f>
        <v/>
      </c>
      <c r="AM42">
        <f>IF(AND(ISNUMBER(T42),ISNUMBER(T38)),VLOOKUP(ABS(T42-T38),'IMP Table'!$A$2:$C$26,3)*SIGN(T42-T38),0)</f>
        <v/>
      </c>
      <c r="AN42">
        <f>IF(AND(ISNUMBER(T42),ISNUMBER(T39)),VLOOKUP(ABS(T42-T39),'IMP Table'!$A$2:$C$26,3)*SIGN(T42-T39),0)</f>
        <v/>
      </c>
      <c r="AO42">
        <f>IF(AND(ISNUMBER(T42),ISNUMBER(T40)),VLOOKUP(ABS(T42-T40),'IMP Table'!$A$2:$C$26,3)*SIGN(T42-T40),0)</f>
        <v/>
      </c>
      <c r="AP42">
        <f>IF(AND(ISNUMBER(T42),ISNUMBER(T41)),VLOOKUP(ABS(T42-T41),'IMP Table'!$A$2:$C$26,3)*SIGN(T42-T41),0)</f>
        <v/>
      </c>
      <c r="AQ42">
        <f>IF(AND(ISNUMBER(T42),ISNUMBER(T43)),VLOOKUP(ABS(T42-T43),'IMP Table'!$A$2:$C$26,3)*SIGN(T42-T43),0)</f>
        <v/>
      </c>
      <c r="AR42">
        <f>IF(AND(ISNUMBER(T42),ISNUMBER(T44)),VLOOKUP(ABS(T42-T44),'IMP Table'!$A$2:$C$26,3)*SIGN(T42-T44),0)</f>
        <v/>
      </c>
    </row>
    <row r="43">
      <c r="B43" s="10">
        <f>'By Round'!A73</f>
        <v/>
      </c>
      <c r="C43" s="10">
        <f>'By Round'!B83</f>
        <v/>
      </c>
      <c r="D43" s="10">
        <f>'By Round'!C83</f>
        <v/>
      </c>
      <c r="E43" s="10">
        <f>'By Round'!D83</f>
        <v/>
      </c>
      <c r="F43" s="10">
        <f>IF(ISBLANK('By Round'!F84),"",'By Round'!F84)</f>
        <v/>
      </c>
      <c r="G43">
        <f>IF(ISBLANK('By Round'!G84),"",'By Round'!G84)</f>
        <v/>
      </c>
      <c r="H43">
        <f>IF(ISBLANK('By Round'!H84),"",'By Round'!H84)</f>
        <v/>
      </c>
      <c r="I43">
        <f>IF(ISBLANK('By Round'!I84),"",'By Round'!I84)</f>
        <v/>
      </c>
      <c r="J43">
        <f>IF(ISBLANK('By Round'!J84),"",'By Round'!J84)</f>
        <v/>
      </c>
      <c r="K43">
        <f>IF(ISBLANK('By Round'!K84),"",'By Round'!K84)</f>
        <v/>
      </c>
      <c r="L43">
        <f>IF(ISBLANK('By Round'!L84),"",'By Round'!L84)</f>
        <v/>
      </c>
      <c r="M43" s="11">
        <f>AVERAGE(AG43:AL43)</f>
        <v/>
      </c>
      <c r="N43" s="12">
        <f>AVERAGE(AM43:AR43)</f>
        <v/>
      </c>
      <c r="O43" s="13">
        <f>IF(COUNT(U43:Z43)&gt;0,Q43/COUNT(U43:Z43),0.5)</f>
        <v/>
      </c>
      <c r="P43" s="13">
        <f>IF(COUNT(AA43:AF43)&gt;0,R43/COUNT(AA43:AF43),0.5)</f>
        <v/>
      </c>
      <c r="Q43" s="5">
        <f>SUM(U43:Z43)</f>
        <v/>
      </c>
      <c r="R43" s="5">
        <f>SUM(AA43:AF43)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IF(ISNUMBER(S43),IF(ISNUMBER(S38),IF(S43&gt;S38,1.0,IF(S43=S38,0.5,0.0)),""),"")</f>
        <v/>
      </c>
      <c r="V43">
        <f>IF(ISNUMBER(S43),IF(ISNUMBER(S39),IF(S43&gt;S39,1.0,IF(S43=S39,0.5,0.0)),""),"")</f>
        <v/>
      </c>
      <c r="W43">
        <f>IF(ISNUMBER(S43),IF(ISNUMBER(S40),IF(S43&gt;S40,1.0,IF(S43=S40,0.5,0.0)),""),"")</f>
        <v/>
      </c>
      <c r="X43">
        <f>IF(ISNUMBER(S43),IF(ISNUMBER(S41),IF(S43&gt;S41,1.0,IF(S43=S41,0.5,0.0)),""),"")</f>
        <v/>
      </c>
      <c r="Y43">
        <f>IF(ISNUMBER(S43),IF(ISNUMBER(S42),IF(S43&gt;S42,1.0,IF(S43=S42,0.5,0.0)),""),"")</f>
        <v/>
      </c>
      <c r="Z43">
        <f>IF(ISNUMBER(S43),IF(ISNUMBER(S44),IF(S43&gt;S44,1.0,IF(S43=S44,0.5,0.0)),""),"")</f>
        <v/>
      </c>
      <c r="AA43">
        <f>IF(ISNUMBER(T43),IF(ISNUMBER(T38),IF(T43&gt;T38,1.0,IF(T43=T38,0.5,0.0)),""),"")</f>
        <v/>
      </c>
      <c r="AB43">
        <f>IF(ISNUMBER(T43),IF(ISNUMBER(T39),IF(T43&gt;T39,1.0,IF(T43=T39,0.5,0.0)),""),"")</f>
        <v/>
      </c>
      <c r="AC43">
        <f>IF(ISNUMBER(T43),IF(ISNUMBER(T40),IF(T43&gt;T40,1.0,IF(T43=T40,0.5,0.0)),""),"")</f>
        <v/>
      </c>
      <c r="AD43">
        <f>IF(ISNUMBER(T43),IF(ISNUMBER(T41),IF(T43&gt;T41,1.0,IF(T43=T41,0.5,0.0)),""),"")</f>
        <v/>
      </c>
      <c r="AE43">
        <f>IF(ISNUMBER(T43),IF(ISNUMBER(T42),IF(T43&gt;T42,1.0,IF(T43=T42,0.5,0.0)),""),"")</f>
        <v/>
      </c>
      <c r="AF43">
        <f>IF(ISNUMBER(T43),IF(ISNUMBER(T44),IF(T43&gt;T44,1.0,IF(T43=T44,0.5,0.0)),""),"")</f>
        <v/>
      </c>
      <c r="AG43" s="14">
        <f>IF(AND(ISNUMBER(S43),ISNUMBER(S38)),VLOOKUP(ABS(S43-S38),'IMP Table'!$A$2:$C$26,3)*SIGN(S43-S38),0)</f>
        <v/>
      </c>
      <c r="AH43">
        <f>IF(AND(ISNUMBER(S43),ISNUMBER(S39)),VLOOKUP(ABS(S43-S39),'IMP Table'!$A$2:$C$26,3)*SIGN(S43-S39),0)</f>
        <v/>
      </c>
      <c r="AI43">
        <f>IF(AND(ISNUMBER(S43),ISNUMBER(S40)),VLOOKUP(ABS(S43-S40),'IMP Table'!$A$2:$C$26,3)*SIGN(S43-S40),0)</f>
        <v/>
      </c>
      <c r="AJ43">
        <f>IF(AND(ISNUMBER(S43),ISNUMBER(S41)),VLOOKUP(ABS(S43-S41),'IMP Table'!$A$2:$C$26,3)*SIGN(S43-S41),0)</f>
        <v/>
      </c>
      <c r="AK43">
        <f>IF(AND(ISNUMBER(S43),ISNUMBER(S42)),VLOOKUP(ABS(S43-S42),'IMP Table'!$A$2:$C$26,3)*SIGN(S43-S42),0)</f>
        <v/>
      </c>
      <c r="AL43">
        <f>IF(AND(ISNUMBER(S43),ISNUMBER(S44)),VLOOKUP(ABS(S43-S44),'IMP Table'!$A$2:$C$26,3)*SIGN(S43-S44),0)</f>
        <v/>
      </c>
      <c r="AM43">
        <f>IF(AND(ISNUMBER(T43),ISNUMBER(T38)),VLOOKUP(ABS(T43-T38),'IMP Table'!$A$2:$C$26,3)*SIGN(T43-T38),0)</f>
        <v/>
      </c>
      <c r="AN43">
        <f>IF(AND(ISNUMBER(T43),ISNUMBER(T39)),VLOOKUP(ABS(T43-T39),'IMP Table'!$A$2:$C$26,3)*SIGN(T43-T39),0)</f>
        <v/>
      </c>
      <c r="AO43">
        <f>IF(AND(ISNUMBER(T43),ISNUMBER(T40)),VLOOKUP(ABS(T43-T40),'IMP Table'!$A$2:$C$26,3)*SIGN(T43-T40),0)</f>
        <v/>
      </c>
      <c r="AP43">
        <f>IF(AND(ISNUMBER(T43),ISNUMBER(T41)),VLOOKUP(ABS(T43-T41),'IMP Table'!$A$2:$C$26,3)*SIGN(T43-T41),0)</f>
        <v/>
      </c>
      <c r="AQ43">
        <f>IF(AND(ISNUMBER(T43),ISNUMBER(T42)),VLOOKUP(ABS(T43-T42),'IMP Table'!$A$2:$C$26,3)*SIGN(T43-T42),0)</f>
        <v/>
      </c>
      <c r="AR43">
        <f>IF(AND(ISNUMBER(T43),ISNUMBER(T44)),VLOOKUP(ABS(T43-T44),'IMP Table'!$A$2:$C$26,3)*SIGN(T43-T44),0)</f>
        <v/>
      </c>
    </row>
    <row r="44">
      <c r="A44" s="15" t="n"/>
      <c r="B44" s="16">
        <f>'By Round'!A31</f>
        <v/>
      </c>
      <c r="C44" s="16">
        <f>'By Round'!B31</f>
        <v/>
      </c>
      <c r="D44" s="16">
        <f>'By Round'!C31</f>
        <v/>
      </c>
      <c r="E44" s="16">
        <f>'By Round'!D31</f>
        <v/>
      </c>
      <c r="F44" s="16">
        <f>IF(ISBLANK('By Round'!F32),"",'By Round'!F32)</f>
        <v/>
      </c>
      <c r="G44" s="15">
        <f>IF(ISBLANK('By Round'!G32),"",'By Round'!G32)</f>
        <v/>
      </c>
      <c r="H44" s="15">
        <f>IF(ISBLANK('By Round'!H32),"",'By Round'!H32)</f>
        <v/>
      </c>
      <c r="I44" s="15">
        <f>IF(ISBLANK('By Round'!I32),"",'By Round'!I32)</f>
        <v/>
      </c>
      <c r="J44" s="15">
        <f>IF(ISBLANK('By Round'!J32),"",'By Round'!J32)</f>
        <v/>
      </c>
      <c r="K44" s="15">
        <f>IF(ISBLANK('By Round'!K32),"",'By Round'!K32)</f>
        <v/>
      </c>
      <c r="L44" s="15">
        <f>IF(ISBLANK('By Round'!L32),"",'By Round'!L32)</f>
        <v/>
      </c>
      <c r="M44" s="17">
        <f>AVERAGE(AG44:AL44)</f>
        <v/>
      </c>
      <c r="N44" s="18">
        <f>AVERAGE(AM44:AR44)</f>
        <v/>
      </c>
      <c r="O44" s="19">
        <f>IF(COUNT(U44:Z44)&gt;0,Q44/COUNT(U44:Z44),0.5)</f>
        <v/>
      </c>
      <c r="P44" s="19">
        <f>IF(COUNT(AA44:AF44)&gt;0,R44/COUNT(AA44:AF44),0.5)</f>
        <v/>
      </c>
      <c r="Q44" s="20">
        <f>SUM(U44:Z44)</f>
        <v/>
      </c>
      <c r="R44" s="20">
        <f>SUM(AA44:AF44)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IF(ISNUMBER(S44),IF(ISNUMBER(S38),IF(S44&gt;S38,1.0,IF(S44=S38,0.5,0.0)),""),"")</f>
        <v/>
      </c>
      <c r="V44" s="15">
        <f>IF(ISNUMBER(S44),IF(ISNUMBER(S39),IF(S44&gt;S39,1.0,IF(S44=S39,0.5,0.0)),""),"")</f>
        <v/>
      </c>
      <c r="W44" s="15">
        <f>IF(ISNUMBER(S44),IF(ISNUMBER(S40),IF(S44&gt;S40,1.0,IF(S44=S40,0.5,0.0)),""),"")</f>
        <v/>
      </c>
      <c r="X44" s="15">
        <f>IF(ISNUMBER(S44),IF(ISNUMBER(S41),IF(S44&gt;S41,1.0,IF(S44=S41,0.5,0.0)),""),"")</f>
        <v/>
      </c>
      <c r="Y44" s="15">
        <f>IF(ISNUMBER(S44),IF(ISNUMBER(S42),IF(S44&gt;S42,1.0,IF(S44=S42,0.5,0.0)),""),"")</f>
        <v/>
      </c>
      <c r="Z44" s="15">
        <f>IF(ISNUMBER(S44),IF(ISNUMBER(S43),IF(S44&gt;S43,1.0,IF(S44=S43,0.5,0.0)),""),"")</f>
        <v/>
      </c>
      <c r="AA44" s="15">
        <f>IF(ISNUMBER(T44),IF(ISNUMBER(T38),IF(T44&gt;T38,1.0,IF(T44=T38,0.5,0.0)),""),"")</f>
        <v/>
      </c>
      <c r="AB44" s="15">
        <f>IF(ISNUMBER(T44),IF(ISNUMBER(T39),IF(T44&gt;T39,1.0,IF(T44=T39,0.5,0.0)),""),"")</f>
        <v/>
      </c>
      <c r="AC44" s="15">
        <f>IF(ISNUMBER(T44),IF(ISNUMBER(T40),IF(T44&gt;T40,1.0,IF(T44=T40,0.5,0.0)),""),"")</f>
        <v/>
      </c>
      <c r="AD44" s="15">
        <f>IF(ISNUMBER(T44),IF(ISNUMBER(T41),IF(T44&gt;T41,1.0,IF(T44=T41,0.5,0.0)),""),"")</f>
        <v/>
      </c>
      <c r="AE44" s="15">
        <f>IF(ISNUMBER(T44),IF(ISNUMBER(T42),IF(T44&gt;T42,1.0,IF(T44=T42,0.5,0.0)),""),"")</f>
        <v/>
      </c>
      <c r="AF44" s="15">
        <f>IF(ISNUMBER(T44),IF(ISNUMBER(T43),IF(T44&gt;T43,1.0,IF(T44=T43,0.5,0.0)),""),"")</f>
        <v/>
      </c>
      <c r="AG44" s="21">
        <f>IF(AND(ISNUMBER(S44),ISNUMBER(S38)),VLOOKUP(ABS(S44-S38),'IMP Table'!$A$2:$C$26,3)*SIGN(S44-S38),0)</f>
        <v/>
      </c>
      <c r="AH44" s="15">
        <f>IF(AND(ISNUMBER(S44),ISNUMBER(S39)),VLOOKUP(ABS(S44-S39),'IMP Table'!$A$2:$C$26,3)*SIGN(S44-S39),0)</f>
        <v/>
      </c>
      <c r="AI44" s="15">
        <f>IF(AND(ISNUMBER(S44),ISNUMBER(S40)),VLOOKUP(ABS(S44-S40),'IMP Table'!$A$2:$C$26,3)*SIGN(S44-S40),0)</f>
        <v/>
      </c>
      <c r="AJ44" s="15">
        <f>IF(AND(ISNUMBER(S44),ISNUMBER(S41)),VLOOKUP(ABS(S44-S41),'IMP Table'!$A$2:$C$26,3)*SIGN(S44-S41),0)</f>
        <v/>
      </c>
      <c r="AK44" s="15">
        <f>IF(AND(ISNUMBER(S44),ISNUMBER(S42)),VLOOKUP(ABS(S44-S42),'IMP Table'!$A$2:$C$26,3)*SIGN(S44-S42),0)</f>
        <v/>
      </c>
      <c r="AL44" s="15">
        <f>IF(AND(ISNUMBER(S44),ISNUMBER(S43)),VLOOKUP(ABS(S44-S43),'IMP Table'!$A$2:$C$26,3)*SIGN(S44-S43),0)</f>
        <v/>
      </c>
      <c r="AM44" s="15">
        <f>IF(AND(ISNUMBER(T44),ISNUMBER(T38)),VLOOKUP(ABS(T44-T38),'IMP Table'!$A$2:$C$26,3)*SIGN(T44-T38),0)</f>
        <v/>
      </c>
      <c r="AN44" s="15">
        <f>IF(AND(ISNUMBER(T44),ISNUMBER(T39)),VLOOKUP(ABS(T44-T39),'IMP Table'!$A$2:$C$26,3)*SIGN(T44-T39),0)</f>
        <v/>
      </c>
      <c r="AO44" s="15">
        <f>IF(AND(ISNUMBER(T44),ISNUMBER(T40)),VLOOKUP(ABS(T44-T40),'IMP Table'!$A$2:$C$26,3)*SIGN(T44-T40),0)</f>
        <v/>
      </c>
      <c r="AP44" s="15">
        <f>IF(AND(ISNUMBER(T44),ISNUMBER(T41)),VLOOKUP(ABS(T44-T41),'IMP Table'!$A$2:$C$26,3)*SIGN(T44-T41),0)</f>
        <v/>
      </c>
      <c r="AQ44" s="15">
        <f>IF(AND(ISNUMBER(T44),ISNUMBER(T42)),VLOOKUP(ABS(T44-T42),'IMP Table'!$A$2:$C$26,3)*SIGN(T44-T42),0)</f>
        <v/>
      </c>
      <c r="AR44" s="15">
        <f>IF(AND(ISNUMBER(T44),ISNUMBER(T43)),VLOOKUP(ABS(T44-T43),'IMP Table'!$A$2:$C$26,3)*SIGN(T44-T43),0)</f>
        <v/>
      </c>
    </row>
    <row r="45">
      <c r="A45" s="10" t="n">
        <v>7</v>
      </c>
      <c r="B45" s="10">
        <f>'By Round'!A87</f>
        <v/>
      </c>
      <c r="C45" s="10">
        <f>'By Round'!B97</f>
        <v/>
      </c>
      <c r="D45" s="10">
        <f>'By Round'!C97</f>
        <v/>
      </c>
      <c r="E45" s="10">
        <f>'By Round'!D97</f>
        <v/>
      </c>
      <c r="F45" s="10">
        <f>IF(ISBLANK('By Round'!F97),"",'By Round'!F97)</f>
        <v/>
      </c>
      <c r="G45">
        <f>IF(ISBLANK('By Round'!G97),"",'By Round'!G97)</f>
        <v/>
      </c>
      <c r="H45">
        <f>IF(ISBLANK('By Round'!H97),"",'By Round'!H97)</f>
        <v/>
      </c>
      <c r="I45">
        <f>IF(ISBLANK('By Round'!I97),"",'By Round'!I97)</f>
        <v/>
      </c>
      <c r="J45">
        <f>IF(ISBLANK('By Round'!J97),"",'By Round'!J97)</f>
        <v/>
      </c>
      <c r="K45">
        <f>IF(ISBLANK('By Round'!K97),"",'By Round'!K97)</f>
        <v/>
      </c>
      <c r="L45">
        <f>IF(ISBLANK('By Round'!L97),"",'By Round'!L97)</f>
        <v/>
      </c>
      <c r="M45" s="11">
        <f>AVERAGE(AG45:AL45)</f>
        <v/>
      </c>
      <c r="N45" s="12">
        <f>AVERAGE(AM45:AR45)</f>
        <v/>
      </c>
      <c r="O45" s="13">
        <f>IF(COUNT(U45:Z45)&gt;0,Q45/COUNT(U45:Z45),0.5)</f>
        <v/>
      </c>
      <c r="P45" s="13">
        <f>IF(COUNT(AA45:AF45)&gt;0,R45/COUNT(AA45:AF45),0.5)</f>
        <v/>
      </c>
      <c r="Q45" s="5">
        <f>SUM(U45:Z45)</f>
        <v/>
      </c>
      <c r="R45" s="5">
        <f>SUM(AA45:AF45)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IF(ISNUMBER(S45),IF(ISNUMBER(S46),IF(S45&gt;S46,1.0,IF(S45=S46,0.5,0.0)),""),"")</f>
        <v/>
      </c>
      <c r="V45">
        <f>IF(ISNUMBER(S45),IF(ISNUMBER(S47),IF(S45&gt;S47,1.0,IF(S45=S47,0.5,0.0)),""),"")</f>
        <v/>
      </c>
      <c r="W45">
        <f>IF(ISNUMBER(S45),IF(ISNUMBER(S48),IF(S45&gt;S48,1.0,IF(S45=S48,0.5,0.0)),""),"")</f>
        <v/>
      </c>
      <c r="X45">
        <f>IF(ISNUMBER(S45),IF(ISNUMBER(S49),IF(S45&gt;S49,1.0,IF(S45=S49,0.5,0.0)),""),"")</f>
        <v/>
      </c>
      <c r="Y45">
        <f>IF(ISNUMBER(S45),IF(ISNUMBER(S50),IF(S45&gt;S50,1.0,IF(S45=S50,0.5,0.0)),""),"")</f>
        <v/>
      </c>
      <c r="Z45">
        <f>IF(ISNUMBER(S45),IF(ISNUMBER(S51),IF(S45&gt;S51,1.0,IF(S45=S51,0.5,0.0)),""),"")</f>
        <v/>
      </c>
      <c r="AA45">
        <f>IF(ISNUMBER(T45),IF(ISNUMBER(T46),IF(T45&gt;T46,1.0,IF(T45=T46,0.5,0.0)),""),"")</f>
        <v/>
      </c>
      <c r="AB45">
        <f>IF(ISNUMBER(T45),IF(ISNUMBER(T47),IF(T45&gt;T47,1.0,IF(T45=T47,0.5,0.0)),""),"")</f>
        <v/>
      </c>
      <c r="AC45">
        <f>IF(ISNUMBER(T45),IF(ISNUMBER(T48),IF(T45&gt;T48,1.0,IF(T45=T48,0.5,0.0)),""),"")</f>
        <v/>
      </c>
      <c r="AD45">
        <f>IF(ISNUMBER(T45),IF(ISNUMBER(T49),IF(T45&gt;T49,1.0,IF(T45=T49,0.5,0.0)),""),"")</f>
        <v/>
      </c>
      <c r="AE45">
        <f>IF(ISNUMBER(T45),IF(ISNUMBER(T50),IF(T45&gt;T50,1.0,IF(T45=T50,0.5,0.0)),""),"")</f>
        <v/>
      </c>
      <c r="AF45">
        <f>IF(ISNUMBER(T45),IF(ISNUMBER(T51),IF(T45&gt;T51,1.0,IF(T45=T51,0.5,0.0)),""),"")</f>
        <v/>
      </c>
      <c r="AG45" s="14">
        <f>IF(AND(ISNUMBER(S45),ISNUMBER(S46)),VLOOKUP(ABS(S45-S46),'IMP Table'!$A$2:$C$26,3)*SIGN(S45-S46),0)</f>
        <v/>
      </c>
      <c r="AH45">
        <f>IF(AND(ISNUMBER(S45),ISNUMBER(S47)),VLOOKUP(ABS(S45-S47),'IMP Table'!$A$2:$C$26,3)*SIGN(S45-S47),0)</f>
        <v/>
      </c>
      <c r="AI45">
        <f>IF(AND(ISNUMBER(S45),ISNUMBER(S48)),VLOOKUP(ABS(S45-S48),'IMP Table'!$A$2:$C$26,3)*SIGN(S45-S48),0)</f>
        <v/>
      </c>
      <c r="AJ45">
        <f>IF(AND(ISNUMBER(S45),ISNUMBER(S49)),VLOOKUP(ABS(S45-S49),'IMP Table'!$A$2:$C$26,3)*SIGN(S45-S49),0)</f>
        <v/>
      </c>
      <c r="AK45">
        <f>IF(AND(ISNUMBER(S45),ISNUMBER(S50)),VLOOKUP(ABS(S45-S50),'IMP Table'!$A$2:$C$26,3)*SIGN(S45-S50),0)</f>
        <v/>
      </c>
      <c r="AL45">
        <f>IF(AND(ISNUMBER(S45),ISNUMBER(S51)),VLOOKUP(ABS(S45-S51),'IMP Table'!$A$2:$C$26,3)*SIGN(S45-S51),0)</f>
        <v/>
      </c>
      <c r="AM45">
        <f>IF(AND(ISNUMBER(T45),ISNUMBER(T46)),VLOOKUP(ABS(T45-T46),'IMP Table'!$A$2:$C$26,3)*SIGN(T45-T46),0)</f>
        <v/>
      </c>
      <c r="AN45">
        <f>IF(AND(ISNUMBER(T45),ISNUMBER(T47)),VLOOKUP(ABS(T45-T47),'IMP Table'!$A$2:$C$26,3)*SIGN(T45-T47),0)</f>
        <v/>
      </c>
      <c r="AO45">
        <f>IF(AND(ISNUMBER(T45),ISNUMBER(T48)),VLOOKUP(ABS(T45-T48),'IMP Table'!$A$2:$C$26,3)*SIGN(T45-T48),0)</f>
        <v/>
      </c>
      <c r="AP45">
        <f>IF(AND(ISNUMBER(T45),ISNUMBER(T49)),VLOOKUP(ABS(T45-T49),'IMP Table'!$A$2:$C$26,3)*SIGN(T45-T49),0)</f>
        <v/>
      </c>
      <c r="AQ45">
        <f>IF(AND(ISNUMBER(T45),ISNUMBER(T50)),VLOOKUP(ABS(T45-T50),'IMP Table'!$A$2:$C$26,3)*SIGN(T45-T50),0)</f>
        <v/>
      </c>
      <c r="AR45">
        <f>IF(AND(ISNUMBER(T45),ISNUMBER(T51)),VLOOKUP(ABS(T45-T51),'IMP Table'!$A$2:$C$26,3)*SIGN(T45-T51),0)</f>
        <v/>
      </c>
    </row>
    <row r="46">
      <c r="B46" s="10">
        <f>'By Round'!A3</f>
        <v/>
      </c>
      <c r="C46" s="10">
        <f>'By Round'!B7</f>
        <v/>
      </c>
      <c r="D46" s="10">
        <f>'By Round'!C7</f>
        <v/>
      </c>
      <c r="E46" s="10">
        <f>'By Round'!D7</f>
        <v/>
      </c>
      <c r="F46" s="10">
        <f>IF(ISBLANK('By Round'!F7),"",'By Round'!F7)</f>
        <v/>
      </c>
      <c r="G46">
        <f>IF(ISBLANK('By Round'!G7),"",'By Round'!G7)</f>
        <v/>
      </c>
      <c r="H46">
        <f>IF(ISBLANK('By Round'!H7),"",'By Round'!H7)</f>
        <v/>
      </c>
      <c r="I46">
        <f>IF(ISBLANK('By Round'!I7),"",'By Round'!I7)</f>
        <v/>
      </c>
      <c r="J46">
        <f>IF(ISBLANK('By Round'!J7),"",'By Round'!J7)</f>
        <v/>
      </c>
      <c r="K46">
        <f>IF(ISBLANK('By Round'!K7),"",'By Round'!K7)</f>
        <v/>
      </c>
      <c r="L46">
        <f>IF(ISBLANK('By Round'!L7),"",'By Round'!L7)</f>
        <v/>
      </c>
      <c r="M46" s="11">
        <f>AVERAGE(AG46:AL46)</f>
        <v/>
      </c>
      <c r="N46" s="12">
        <f>AVERAGE(AM46:AR46)</f>
        <v/>
      </c>
      <c r="O46" s="13">
        <f>IF(COUNT(U46:Z46)&gt;0,Q46/COUNT(U46:Z46),0.5)</f>
        <v/>
      </c>
      <c r="P46" s="13">
        <f>IF(COUNT(AA46:AF46)&gt;0,R46/COUNT(AA46:AF46),0.5)</f>
        <v/>
      </c>
      <c r="Q46" s="5">
        <f>SUM(U46:Z46)</f>
        <v/>
      </c>
      <c r="R46" s="5">
        <f>SUM(AA46:AF46)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IF(ISNUMBER(S46),IF(ISNUMBER(S45),IF(S46&gt;S45,1.0,IF(S46=S45,0.5,0.0)),""),"")</f>
        <v/>
      </c>
      <c r="V46">
        <f>IF(ISNUMBER(S46),IF(ISNUMBER(S47),IF(S46&gt;S47,1.0,IF(S46=S47,0.5,0.0)),""),"")</f>
        <v/>
      </c>
      <c r="W46">
        <f>IF(ISNUMBER(S46),IF(ISNUMBER(S48),IF(S46&gt;S48,1.0,IF(S46=S48,0.5,0.0)),""),"")</f>
        <v/>
      </c>
      <c r="X46">
        <f>IF(ISNUMBER(S46),IF(ISNUMBER(S49),IF(S46&gt;S49,1.0,IF(S46=S49,0.5,0.0)),""),"")</f>
        <v/>
      </c>
      <c r="Y46">
        <f>IF(ISNUMBER(S46),IF(ISNUMBER(S50),IF(S46&gt;S50,1.0,IF(S46=S50,0.5,0.0)),""),"")</f>
        <v/>
      </c>
      <c r="Z46">
        <f>IF(ISNUMBER(S46),IF(ISNUMBER(S51),IF(S46&gt;S51,1.0,IF(S46=S51,0.5,0.0)),""),"")</f>
        <v/>
      </c>
      <c r="AA46">
        <f>IF(ISNUMBER(T46),IF(ISNUMBER(T45),IF(T46&gt;T45,1.0,IF(T46=T45,0.5,0.0)),""),"")</f>
        <v/>
      </c>
      <c r="AB46">
        <f>IF(ISNUMBER(T46),IF(ISNUMBER(T47),IF(T46&gt;T47,1.0,IF(T46=T47,0.5,0.0)),""),"")</f>
        <v/>
      </c>
      <c r="AC46">
        <f>IF(ISNUMBER(T46),IF(ISNUMBER(T48),IF(T46&gt;T48,1.0,IF(T46=T48,0.5,0.0)),""),"")</f>
        <v/>
      </c>
      <c r="AD46">
        <f>IF(ISNUMBER(T46),IF(ISNUMBER(T49),IF(T46&gt;T49,1.0,IF(T46=T49,0.5,0.0)),""),"")</f>
        <v/>
      </c>
      <c r="AE46">
        <f>IF(ISNUMBER(T46),IF(ISNUMBER(T50),IF(T46&gt;T50,1.0,IF(T46=T50,0.5,0.0)),""),"")</f>
        <v/>
      </c>
      <c r="AF46">
        <f>IF(ISNUMBER(T46),IF(ISNUMBER(T51),IF(T46&gt;T51,1.0,IF(T46=T51,0.5,0.0)),""),"")</f>
        <v/>
      </c>
      <c r="AG46" s="14">
        <f>IF(AND(ISNUMBER(S46),ISNUMBER(S45)),VLOOKUP(ABS(S46-S45),'IMP Table'!$A$2:$C$26,3)*SIGN(S46-S45),0)</f>
        <v/>
      </c>
      <c r="AH46">
        <f>IF(AND(ISNUMBER(S46),ISNUMBER(S47)),VLOOKUP(ABS(S46-S47),'IMP Table'!$A$2:$C$26,3)*SIGN(S46-S47),0)</f>
        <v/>
      </c>
      <c r="AI46">
        <f>IF(AND(ISNUMBER(S46),ISNUMBER(S48)),VLOOKUP(ABS(S46-S48),'IMP Table'!$A$2:$C$26,3)*SIGN(S46-S48),0)</f>
        <v/>
      </c>
      <c r="AJ46">
        <f>IF(AND(ISNUMBER(S46),ISNUMBER(S49)),VLOOKUP(ABS(S46-S49),'IMP Table'!$A$2:$C$26,3)*SIGN(S46-S49),0)</f>
        <v/>
      </c>
      <c r="AK46">
        <f>IF(AND(ISNUMBER(S46),ISNUMBER(S50)),VLOOKUP(ABS(S46-S50),'IMP Table'!$A$2:$C$26,3)*SIGN(S46-S50),0)</f>
        <v/>
      </c>
      <c r="AL46">
        <f>IF(AND(ISNUMBER(S46),ISNUMBER(S51)),VLOOKUP(ABS(S46-S51),'IMP Table'!$A$2:$C$26,3)*SIGN(S46-S51),0)</f>
        <v/>
      </c>
      <c r="AM46">
        <f>IF(AND(ISNUMBER(T46),ISNUMBER(T45)),VLOOKUP(ABS(T46-T45),'IMP Table'!$A$2:$C$26,3)*SIGN(T46-T45),0)</f>
        <v/>
      </c>
      <c r="AN46">
        <f>IF(AND(ISNUMBER(T46),ISNUMBER(T47)),VLOOKUP(ABS(T46-T47),'IMP Table'!$A$2:$C$26,3)*SIGN(T46-T47),0)</f>
        <v/>
      </c>
      <c r="AO46">
        <f>IF(AND(ISNUMBER(T46),ISNUMBER(T48)),VLOOKUP(ABS(T46-T48),'IMP Table'!$A$2:$C$26,3)*SIGN(T46-T48),0)</f>
        <v/>
      </c>
      <c r="AP46">
        <f>IF(AND(ISNUMBER(T46),ISNUMBER(T49)),VLOOKUP(ABS(T46-T49),'IMP Table'!$A$2:$C$26,3)*SIGN(T46-T49),0)</f>
        <v/>
      </c>
      <c r="AQ46">
        <f>IF(AND(ISNUMBER(T46),ISNUMBER(T50)),VLOOKUP(ABS(T46-T50),'IMP Table'!$A$2:$C$26,3)*SIGN(T46-T50),0)</f>
        <v/>
      </c>
      <c r="AR46">
        <f>IF(AND(ISNUMBER(T46),ISNUMBER(T51)),VLOOKUP(ABS(T46-T51),'IMP Table'!$A$2:$C$26,3)*SIGN(T46-T51),0)</f>
        <v/>
      </c>
    </row>
    <row r="47">
      <c r="B47" s="10">
        <f>'By Round'!A17</f>
        <v/>
      </c>
      <c r="C47" s="10">
        <f>'By Round'!B19</f>
        <v/>
      </c>
      <c r="D47" s="10">
        <f>'By Round'!C19</f>
        <v/>
      </c>
      <c r="E47" s="10">
        <f>'By Round'!D19</f>
        <v/>
      </c>
      <c r="F47" s="10">
        <f>IF(ISBLANK('By Round'!F19),"",'By Round'!F19)</f>
        <v/>
      </c>
      <c r="G47">
        <f>IF(ISBLANK('By Round'!G19),"",'By Round'!G19)</f>
        <v/>
      </c>
      <c r="H47">
        <f>IF(ISBLANK('By Round'!H19),"",'By Round'!H19)</f>
        <v/>
      </c>
      <c r="I47">
        <f>IF(ISBLANK('By Round'!I19),"",'By Round'!I19)</f>
        <v/>
      </c>
      <c r="J47">
        <f>IF(ISBLANK('By Round'!J19),"",'By Round'!J19)</f>
        <v/>
      </c>
      <c r="K47">
        <f>IF(ISBLANK('By Round'!K19),"",'By Round'!K19)</f>
        <v/>
      </c>
      <c r="L47">
        <f>IF(ISBLANK('By Round'!L19),"",'By Round'!L19)</f>
        <v/>
      </c>
      <c r="M47" s="11">
        <f>AVERAGE(AG47:AL47)</f>
        <v/>
      </c>
      <c r="N47" s="12">
        <f>AVERAGE(AM47:AR47)</f>
        <v/>
      </c>
      <c r="O47" s="13">
        <f>IF(COUNT(U47:Z47)&gt;0,Q47/COUNT(U47:Z47),0.5)</f>
        <v/>
      </c>
      <c r="P47" s="13">
        <f>IF(COUNT(AA47:AF47)&gt;0,R47/COUNT(AA47:AF47),0.5)</f>
        <v/>
      </c>
      <c r="Q47" s="5">
        <f>SUM(U47:Z47)</f>
        <v/>
      </c>
      <c r="R47" s="5">
        <f>SUM(AA47:AF47)</f>
        <v/>
      </c>
      <c r="S47" s="14">
        <f>IF(ISNUMBER(K47),K47,IF(ISNUMBER(L47),-L47,""))</f>
        <v/>
      </c>
      <c r="T47">
        <f>IF(ISNUMBER(L47),L47,IF(ISNUMBER(K47),-K47,""))</f>
        <v/>
      </c>
      <c r="U47" s="14">
        <f>IF(ISNUMBER(S47),IF(ISNUMBER(S45),IF(S47&gt;S45,1.0,IF(S47=S45,0.5,0.0)),""),"")</f>
        <v/>
      </c>
      <c r="V47">
        <f>IF(ISNUMBER(S47),IF(ISNUMBER(S46),IF(S47&gt;S46,1.0,IF(S47=S46,0.5,0.0)),""),"")</f>
        <v/>
      </c>
      <c r="W47">
        <f>IF(ISNUMBER(S47),IF(ISNUMBER(S48),IF(S47&gt;S48,1.0,IF(S47=S48,0.5,0.0)),""),"")</f>
        <v/>
      </c>
      <c r="X47">
        <f>IF(ISNUMBER(S47),IF(ISNUMBER(S49),IF(S47&gt;S49,1.0,IF(S47=S49,0.5,0.0)),""),"")</f>
        <v/>
      </c>
      <c r="Y47">
        <f>IF(ISNUMBER(S47),IF(ISNUMBER(S50),IF(S47&gt;S50,1.0,IF(S47=S50,0.5,0.0)),""),"")</f>
        <v/>
      </c>
      <c r="Z47">
        <f>IF(ISNUMBER(S47),IF(ISNUMBER(S51),IF(S47&gt;S51,1.0,IF(S47=S51,0.5,0.0)),""),"")</f>
        <v/>
      </c>
      <c r="AA47">
        <f>IF(ISNUMBER(T47),IF(ISNUMBER(T45),IF(T47&gt;T45,1.0,IF(T47=T45,0.5,0.0)),""),"")</f>
        <v/>
      </c>
      <c r="AB47">
        <f>IF(ISNUMBER(T47),IF(ISNUMBER(T46),IF(T47&gt;T46,1.0,IF(T47=T46,0.5,0.0)),""),"")</f>
        <v/>
      </c>
      <c r="AC47">
        <f>IF(ISNUMBER(T47),IF(ISNUMBER(T48),IF(T47&gt;T48,1.0,IF(T47=T48,0.5,0.0)),""),"")</f>
        <v/>
      </c>
      <c r="AD47">
        <f>IF(ISNUMBER(T47),IF(ISNUMBER(T49),IF(T47&gt;T49,1.0,IF(T47=T49,0.5,0.0)),""),"")</f>
        <v/>
      </c>
      <c r="AE47">
        <f>IF(ISNUMBER(T47),IF(ISNUMBER(T50),IF(T47&gt;T50,1.0,IF(T47=T50,0.5,0.0)),""),"")</f>
        <v/>
      </c>
      <c r="AF47">
        <f>IF(ISNUMBER(T47),IF(ISNUMBER(T51),IF(T47&gt;T51,1.0,IF(T47=T51,0.5,0.0)),""),"")</f>
        <v/>
      </c>
      <c r="AG47" s="14">
        <f>IF(AND(ISNUMBER(S47),ISNUMBER(S45)),VLOOKUP(ABS(S47-S45),'IMP Table'!$A$2:$C$26,3)*SIGN(S47-S45),0)</f>
        <v/>
      </c>
      <c r="AH47">
        <f>IF(AND(ISNUMBER(S47),ISNUMBER(S46)),VLOOKUP(ABS(S47-S46),'IMP Table'!$A$2:$C$26,3)*SIGN(S47-S46),0)</f>
        <v/>
      </c>
      <c r="AI47">
        <f>IF(AND(ISNUMBER(S47),ISNUMBER(S48)),VLOOKUP(ABS(S47-S48),'IMP Table'!$A$2:$C$26,3)*SIGN(S47-S48),0)</f>
        <v/>
      </c>
      <c r="AJ47">
        <f>IF(AND(ISNUMBER(S47),ISNUMBER(S49)),VLOOKUP(ABS(S47-S49),'IMP Table'!$A$2:$C$26,3)*SIGN(S47-S49),0)</f>
        <v/>
      </c>
      <c r="AK47">
        <f>IF(AND(ISNUMBER(S47),ISNUMBER(S50)),VLOOKUP(ABS(S47-S50),'IMP Table'!$A$2:$C$26,3)*SIGN(S47-S50),0)</f>
        <v/>
      </c>
      <c r="AL47">
        <f>IF(AND(ISNUMBER(S47),ISNUMBER(S51)),VLOOKUP(ABS(S47-S51),'IMP Table'!$A$2:$C$26,3)*SIGN(S47-S51),0)</f>
        <v/>
      </c>
      <c r="AM47">
        <f>IF(AND(ISNUMBER(T47),ISNUMBER(T45)),VLOOKUP(ABS(T47-T45),'IMP Table'!$A$2:$C$26,3)*SIGN(T47-T45),0)</f>
        <v/>
      </c>
      <c r="AN47">
        <f>IF(AND(ISNUMBER(T47),ISNUMBER(T46)),VLOOKUP(ABS(T47-T46),'IMP Table'!$A$2:$C$26,3)*SIGN(T47-T46),0)</f>
        <v/>
      </c>
      <c r="AO47">
        <f>IF(AND(ISNUMBER(T47),ISNUMBER(T48)),VLOOKUP(ABS(T47-T48),'IMP Table'!$A$2:$C$26,3)*SIGN(T47-T48),0)</f>
        <v/>
      </c>
      <c r="AP47">
        <f>IF(AND(ISNUMBER(T47),ISNUMBER(T49)),VLOOKUP(ABS(T47-T49),'IMP Table'!$A$2:$C$26,3)*SIGN(T47-T49),0)</f>
        <v/>
      </c>
      <c r="AQ47">
        <f>IF(AND(ISNUMBER(T47),ISNUMBER(T50)),VLOOKUP(ABS(T47-T50),'IMP Table'!$A$2:$C$26,3)*SIGN(T47-T50),0)</f>
        <v/>
      </c>
      <c r="AR47">
        <f>IF(AND(ISNUMBER(T47),ISNUMBER(T51)),VLOOKUP(ABS(T47-T51),'IMP Table'!$A$2:$C$26,3)*SIGN(T47-T51),0)</f>
        <v/>
      </c>
    </row>
    <row r="48">
      <c r="B48" s="10">
        <f>'By Round'!A171</f>
        <v/>
      </c>
      <c r="C48" s="10">
        <f>'By Round'!B177</f>
        <v/>
      </c>
      <c r="D48" s="10">
        <f>'By Round'!C177</f>
        <v/>
      </c>
      <c r="E48" s="10">
        <f>'By Round'!D177</f>
        <v/>
      </c>
      <c r="F48" s="10">
        <f>IF(ISBLANK('By Round'!F177),"",'By Round'!F177)</f>
        <v/>
      </c>
      <c r="G48">
        <f>IF(ISBLANK('By Round'!G177),"",'By Round'!G177)</f>
        <v/>
      </c>
      <c r="H48">
        <f>IF(ISBLANK('By Round'!H177),"",'By Round'!H177)</f>
        <v/>
      </c>
      <c r="I48">
        <f>IF(ISBLANK('By Round'!I177),"",'By Round'!I177)</f>
        <v/>
      </c>
      <c r="J48">
        <f>IF(ISBLANK('By Round'!J177),"",'By Round'!J177)</f>
        <v/>
      </c>
      <c r="K48">
        <f>IF(ISBLANK('By Round'!K177),"",'By Round'!K177)</f>
        <v/>
      </c>
      <c r="L48">
        <f>IF(ISBLANK('By Round'!L177),"",'By Round'!L177)</f>
        <v/>
      </c>
      <c r="M48" s="11">
        <f>AVERAGE(AG48:AL48)</f>
        <v/>
      </c>
      <c r="N48" s="12">
        <f>AVERAGE(AM48:AR48)</f>
        <v/>
      </c>
      <c r="O48" s="13">
        <f>IF(COUNT(U48:Z48)&gt;0,Q48/COUNT(U48:Z48),0.5)</f>
        <v/>
      </c>
      <c r="P48" s="13">
        <f>IF(COUNT(AA48:AF48)&gt;0,R48/COUNT(AA48:AF48),0.5)</f>
        <v/>
      </c>
      <c r="Q48" s="5">
        <f>SUM(U48:Z48)</f>
        <v/>
      </c>
      <c r="R48" s="5">
        <f>SUM(AA48:AF48)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IF(ISNUMBER(S48),IF(ISNUMBER(S45),IF(S48&gt;S45,1.0,IF(S48=S45,0.5,0.0)),""),"")</f>
        <v/>
      </c>
      <c r="V48">
        <f>IF(ISNUMBER(S48),IF(ISNUMBER(S46),IF(S48&gt;S46,1.0,IF(S48=S46,0.5,0.0)),""),"")</f>
        <v/>
      </c>
      <c r="W48">
        <f>IF(ISNUMBER(S48),IF(ISNUMBER(S47),IF(S48&gt;S47,1.0,IF(S48=S47,0.5,0.0)),""),"")</f>
        <v/>
      </c>
      <c r="X48">
        <f>IF(ISNUMBER(S48),IF(ISNUMBER(S49),IF(S48&gt;S49,1.0,IF(S48=S49,0.5,0.0)),""),"")</f>
        <v/>
      </c>
      <c r="Y48">
        <f>IF(ISNUMBER(S48),IF(ISNUMBER(S50),IF(S48&gt;S50,1.0,IF(S48=S50,0.5,0.0)),""),"")</f>
        <v/>
      </c>
      <c r="Z48">
        <f>IF(ISNUMBER(S48),IF(ISNUMBER(S51),IF(S48&gt;S51,1.0,IF(S48=S51,0.5,0.0)),""),"")</f>
        <v/>
      </c>
      <c r="AA48">
        <f>IF(ISNUMBER(T48),IF(ISNUMBER(T45),IF(T48&gt;T45,1.0,IF(T48=T45,0.5,0.0)),""),"")</f>
        <v/>
      </c>
      <c r="AB48">
        <f>IF(ISNUMBER(T48),IF(ISNUMBER(T46),IF(T48&gt;T46,1.0,IF(T48=T46,0.5,0.0)),""),"")</f>
        <v/>
      </c>
      <c r="AC48">
        <f>IF(ISNUMBER(T48),IF(ISNUMBER(T47),IF(T48&gt;T47,1.0,IF(T48=T47,0.5,0.0)),""),"")</f>
        <v/>
      </c>
      <c r="AD48">
        <f>IF(ISNUMBER(T48),IF(ISNUMBER(T49),IF(T48&gt;T49,1.0,IF(T48=T49,0.5,0.0)),""),"")</f>
        <v/>
      </c>
      <c r="AE48">
        <f>IF(ISNUMBER(T48),IF(ISNUMBER(T50),IF(T48&gt;T50,1.0,IF(T48=T50,0.5,0.0)),""),"")</f>
        <v/>
      </c>
      <c r="AF48">
        <f>IF(ISNUMBER(T48),IF(ISNUMBER(T51),IF(T48&gt;T51,1.0,IF(T48=T51,0.5,0.0)),""),"")</f>
        <v/>
      </c>
      <c r="AG48" s="14">
        <f>IF(AND(ISNUMBER(S48),ISNUMBER(S45)),VLOOKUP(ABS(S48-S45),'IMP Table'!$A$2:$C$26,3)*SIGN(S48-S45),0)</f>
        <v/>
      </c>
      <c r="AH48">
        <f>IF(AND(ISNUMBER(S48),ISNUMBER(S46)),VLOOKUP(ABS(S48-S46),'IMP Table'!$A$2:$C$26,3)*SIGN(S48-S46),0)</f>
        <v/>
      </c>
      <c r="AI48">
        <f>IF(AND(ISNUMBER(S48),ISNUMBER(S47)),VLOOKUP(ABS(S48-S47),'IMP Table'!$A$2:$C$26,3)*SIGN(S48-S47),0)</f>
        <v/>
      </c>
      <c r="AJ48">
        <f>IF(AND(ISNUMBER(S48),ISNUMBER(S49)),VLOOKUP(ABS(S48-S49),'IMP Table'!$A$2:$C$26,3)*SIGN(S48-S49),0)</f>
        <v/>
      </c>
      <c r="AK48">
        <f>IF(AND(ISNUMBER(S48),ISNUMBER(S50)),VLOOKUP(ABS(S48-S50),'IMP Table'!$A$2:$C$26,3)*SIGN(S48-S50),0)</f>
        <v/>
      </c>
      <c r="AL48">
        <f>IF(AND(ISNUMBER(S48),ISNUMBER(S51)),VLOOKUP(ABS(S48-S51),'IMP Table'!$A$2:$C$26,3)*SIGN(S48-S51),0)</f>
        <v/>
      </c>
      <c r="AM48">
        <f>IF(AND(ISNUMBER(T48),ISNUMBER(T45)),VLOOKUP(ABS(T48-T45),'IMP Table'!$A$2:$C$26,3)*SIGN(T48-T45),0)</f>
        <v/>
      </c>
      <c r="AN48">
        <f>IF(AND(ISNUMBER(T48),ISNUMBER(T46)),VLOOKUP(ABS(T48-T46),'IMP Table'!$A$2:$C$26,3)*SIGN(T48-T46),0)</f>
        <v/>
      </c>
      <c r="AO48">
        <f>IF(AND(ISNUMBER(T48),ISNUMBER(T47)),VLOOKUP(ABS(T48-T47),'IMP Table'!$A$2:$C$26,3)*SIGN(T48-T47),0)</f>
        <v/>
      </c>
      <c r="AP48">
        <f>IF(AND(ISNUMBER(T48),ISNUMBER(T49)),VLOOKUP(ABS(T48-T49),'IMP Table'!$A$2:$C$26,3)*SIGN(T48-T49),0)</f>
        <v/>
      </c>
      <c r="AQ48">
        <f>IF(AND(ISNUMBER(T48),ISNUMBER(T50)),VLOOKUP(ABS(T48-T50),'IMP Table'!$A$2:$C$26,3)*SIGN(T48-T50),0)</f>
        <v/>
      </c>
      <c r="AR48">
        <f>IF(AND(ISNUMBER(T48),ISNUMBER(T51)),VLOOKUP(ABS(T48-T51),'IMP Table'!$A$2:$C$26,3)*SIGN(T48-T51),0)</f>
        <v/>
      </c>
    </row>
    <row r="49">
      <c r="B49" s="10">
        <f>'By Round'!A73</f>
        <v/>
      </c>
      <c r="C49" s="10">
        <f>'By Round'!B85</f>
        <v/>
      </c>
      <c r="D49" s="10">
        <f>'By Round'!C85</f>
        <v/>
      </c>
      <c r="E49" s="10">
        <f>'By Round'!D85</f>
        <v/>
      </c>
      <c r="F49" s="10">
        <f>IF(ISBLANK('By Round'!F85),"",'By Round'!F85)</f>
        <v/>
      </c>
      <c r="G49">
        <f>IF(ISBLANK('By Round'!G85),"",'By Round'!G85)</f>
        <v/>
      </c>
      <c r="H49">
        <f>IF(ISBLANK('By Round'!H85),"",'By Round'!H85)</f>
        <v/>
      </c>
      <c r="I49">
        <f>IF(ISBLANK('By Round'!I85),"",'By Round'!I85)</f>
        <v/>
      </c>
      <c r="J49">
        <f>IF(ISBLANK('By Round'!J85),"",'By Round'!J85)</f>
        <v/>
      </c>
      <c r="K49">
        <f>IF(ISBLANK('By Round'!K85),"",'By Round'!K85)</f>
        <v/>
      </c>
      <c r="L49">
        <f>IF(ISBLANK('By Round'!L85),"",'By Round'!L85)</f>
        <v/>
      </c>
      <c r="M49" s="11">
        <f>AVERAGE(AG49:AL49)</f>
        <v/>
      </c>
      <c r="N49" s="12">
        <f>AVERAGE(AM49:AR49)</f>
        <v/>
      </c>
      <c r="O49" s="13">
        <f>IF(COUNT(U49:Z49)&gt;0,Q49/COUNT(U49:Z49),0.5)</f>
        <v/>
      </c>
      <c r="P49" s="13">
        <f>IF(COUNT(AA49:AF49)&gt;0,R49/COUNT(AA49:AF49),0.5)</f>
        <v/>
      </c>
      <c r="Q49" s="5">
        <f>SUM(U49:Z49)</f>
        <v/>
      </c>
      <c r="R49" s="5">
        <f>SUM(AA49:AF49)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IF(ISNUMBER(S49),IF(ISNUMBER(S45),IF(S49&gt;S45,1.0,IF(S49=S45,0.5,0.0)),""),"")</f>
        <v/>
      </c>
      <c r="V49">
        <f>IF(ISNUMBER(S49),IF(ISNUMBER(S46),IF(S49&gt;S46,1.0,IF(S49=S46,0.5,0.0)),""),"")</f>
        <v/>
      </c>
      <c r="W49">
        <f>IF(ISNUMBER(S49),IF(ISNUMBER(S47),IF(S49&gt;S47,1.0,IF(S49=S47,0.5,0.0)),""),"")</f>
        <v/>
      </c>
      <c r="X49">
        <f>IF(ISNUMBER(S49),IF(ISNUMBER(S48),IF(S49&gt;S48,1.0,IF(S49=S48,0.5,0.0)),""),"")</f>
        <v/>
      </c>
      <c r="Y49">
        <f>IF(ISNUMBER(S49),IF(ISNUMBER(S50),IF(S49&gt;S50,1.0,IF(S49=S50,0.5,0.0)),""),"")</f>
        <v/>
      </c>
      <c r="Z49">
        <f>IF(ISNUMBER(S49),IF(ISNUMBER(S51),IF(S49&gt;S51,1.0,IF(S49=S51,0.5,0.0)),""),"")</f>
        <v/>
      </c>
      <c r="AA49">
        <f>IF(ISNUMBER(T49),IF(ISNUMBER(T45),IF(T49&gt;T45,1.0,IF(T49=T45,0.5,0.0)),""),"")</f>
        <v/>
      </c>
      <c r="AB49">
        <f>IF(ISNUMBER(T49),IF(ISNUMBER(T46),IF(T49&gt;T46,1.0,IF(T49=T46,0.5,0.0)),""),"")</f>
        <v/>
      </c>
      <c r="AC49">
        <f>IF(ISNUMBER(T49),IF(ISNUMBER(T47),IF(T49&gt;T47,1.0,IF(T49=T47,0.5,0.0)),""),"")</f>
        <v/>
      </c>
      <c r="AD49">
        <f>IF(ISNUMBER(T49),IF(ISNUMBER(T48),IF(T49&gt;T48,1.0,IF(T49=T48,0.5,0.0)),""),"")</f>
        <v/>
      </c>
      <c r="AE49">
        <f>IF(ISNUMBER(T49),IF(ISNUMBER(T50),IF(T49&gt;T50,1.0,IF(T49=T50,0.5,0.0)),""),"")</f>
        <v/>
      </c>
      <c r="AF49">
        <f>IF(ISNUMBER(T49),IF(ISNUMBER(T51),IF(T49&gt;T51,1.0,IF(T49=T51,0.5,0.0)),""),"")</f>
        <v/>
      </c>
      <c r="AG49" s="14">
        <f>IF(AND(ISNUMBER(S49),ISNUMBER(S45)),VLOOKUP(ABS(S49-S45),'IMP Table'!$A$2:$C$26,3)*SIGN(S49-S45),0)</f>
        <v/>
      </c>
      <c r="AH49">
        <f>IF(AND(ISNUMBER(S49),ISNUMBER(S46)),VLOOKUP(ABS(S49-S46),'IMP Table'!$A$2:$C$26,3)*SIGN(S49-S46),0)</f>
        <v/>
      </c>
      <c r="AI49">
        <f>IF(AND(ISNUMBER(S49),ISNUMBER(S47)),VLOOKUP(ABS(S49-S47),'IMP Table'!$A$2:$C$26,3)*SIGN(S49-S47),0)</f>
        <v/>
      </c>
      <c r="AJ49">
        <f>IF(AND(ISNUMBER(S49),ISNUMBER(S48)),VLOOKUP(ABS(S49-S48),'IMP Table'!$A$2:$C$26,3)*SIGN(S49-S48),0)</f>
        <v/>
      </c>
      <c r="AK49">
        <f>IF(AND(ISNUMBER(S49),ISNUMBER(S50)),VLOOKUP(ABS(S49-S50),'IMP Table'!$A$2:$C$26,3)*SIGN(S49-S50),0)</f>
        <v/>
      </c>
      <c r="AL49">
        <f>IF(AND(ISNUMBER(S49),ISNUMBER(S51)),VLOOKUP(ABS(S49-S51),'IMP Table'!$A$2:$C$26,3)*SIGN(S49-S51),0)</f>
        <v/>
      </c>
      <c r="AM49">
        <f>IF(AND(ISNUMBER(T49),ISNUMBER(T45)),VLOOKUP(ABS(T49-T45),'IMP Table'!$A$2:$C$26,3)*SIGN(T49-T45),0)</f>
        <v/>
      </c>
      <c r="AN49">
        <f>IF(AND(ISNUMBER(T49),ISNUMBER(T46)),VLOOKUP(ABS(T49-T46),'IMP Table'!$A$2:$C$26,3)*SIGN(T49-T46),0)</f>
        <v/>
      </c>
      <c r="AO49">
        <f>IF(AND(ISNUMBER(T49),ISNUMBER(T47)),VLOOKUP(ABS(T49-T47),'IMP Table'!$A$2:$C$26,3)*SIGN(T49-T47),0)</f>
        <v/>
      </c>
      <c r="AP49">
        <f>IF(AND(ISNUMBER(T49),ISNUMBER(T48)),VLOOKUP(ABS(T49-T48),'IMP Table'!$A$2:$C$26,3)*SIGN(T49-T48),0)</f>
        <v/>
      </c>
      <c r="AQ49">
        <f>IF(AND(ISNUMBER(T49),ISNUMBER(T50)),VLOOKUP(ABS(T49-T50),'IMP Table'!$A$2:$C$26,3)*SIGN(T49-T50),0)</f>
        <v/>
      </c>
      <c r="AR49">
        <f>IF(AND(ISNUMBER(T49),ISNUMBER(T51)),VLOOKUP(ABS(T49-T51),'IMP Table'!$A$2:$C$26,3)*SIGN(T49-T51),0)</f>
        <v/>
      </c>
    </row>
    <row r="50">
      <c r="B50" s="10">
        <f>'By Round'!A101</f>
        <v/>
      </c>
      <c r="C50" s="10">
        <f>'By Round'!B109</f>
        <v/>
      </c>
      <c r="D50" s="10">
        <f>'By Round'!C109</f>
        <v/>
      </c>
      <c r="E50" s="10">
        <f>'By Round'!D109</f>
        <v/>
      </c>
      <c r="F50" s="10">
        <f>IF(ISBLANK('By Round'!F109),"",'By Round'!F109)</f>
        <v/>
      </c>
      <c r="G50">
        <f>IF(ISBLANK('By Round'!G109),"",'By Round'!G109)</f>
        <v/>
      </c>
      <c r="H50">
        <f>IF(ISBLANK('By Round'!H109),"",'By Round'!H109)</f>
        <v/>
      </c>
      <c r="I50">
        <f>IF(ISBLANK('By Round'!I109),"",'By Round'!I109)</f>
        <v/>
      </c>
      <c r="J50">
        <f>IF(ISBLANK('By Round'!J109),"",'By Round'!J109)</f>
        <v/>
      </c>
      <c r="K50">
        <f>IF(ISBLANK('By Round'!K109),"",'By Round'!K109)</f>
        <v/>
      </c>
      <c r="L50">
        <f>IF(ISBLANK('By Round'!L109),"",'By Round'!L109)</f>
        <v/>
      </c>
      <c r="M50" s="11">
        <f>AVERAGE(AG50:AL50)</f>
        <v/>
      </c>
      <c r="N50" s="12">
        <f>AVERAGE(AM50:AR50)</f>
        <v/>
      </c>
      <c r="O50" s="13">
        <f>IF(COUNT(U50:Z50)&gt;0,Q50/COUNT(U50:Z50),0.5)</f>
        <v/>
      </c>
      <c r="P50" s="13">
        <f>IF(COUNT(AA50:AF50)&gt;0,R50/COUNT(AA50:AF50),0.5)</f>
        <v/>
      </c>
      <c r="Q50" s="5">
        <f>SUM(U50:Z50)</f>
        <v/>
      </c>
      <c r="R50" s="5">
        <f>SUM(AA50:AF50)</f>
        <v/>
      </c>
      <c r="S50" s="14">
        <f>IF(ISNUMBER(K50),K50,IF(ISNUMBER(L50),-L50,""))</f>
        <v/>
      </c>
      <c r="T50">
        <f>IF(ISNUMBER(L50),L50,IF(ISNUMBER(K50),-K50,""))</f>
        <v/>
      </c>
      <c r="U50" s="14">
        <f>IF(ISNUMBER(S50),IF(ISNUMBER(S45),IF(S50&gt;S45,1.0,IF(S50=S45,0.5,0.0)),""),"")</f>
        <v/>
      </c>
      <c r="V50">
        <f>IF(ISNUMBER(S50),IF(ISNUMBER(S46),IF(S50&gt;S46,1.0,IF(S50=S46,0.5,0.0)),""),"")</f>
        <v/>
      </c>
      <c r="W50">
        <f>IF(ISNUMBER(S50),IF(ISNUMBER(S47),IF(S50&gt;S47,1.0,IF(S50=S47,0.5,0.0)),""),"")</f>
        <v/>
      </c>
      <c r="X50">
        <f>IF(ISNUMBER(S50),IF(ISNUMBER(S48),IF(S50&gt;S48,1.0,IF(S50=S48,0.5,0.0)),""),"")</f>
        <v/>
      </c>
      <c r="Y50">
        <f>IF(ISNUMBER(S50),IF(ISNUMBER(S49),IF(S50&gt;S49,1.0,IF(S50=S49,0.5,0.0)),""),"")</f>
        <v/>
      </c>
      <c r="Z50">
        <f>IF(ISNUMBER(S50),IF(ISNUMBER(S51),IF(S50&gt;S51,1.0,IF(S50=S51,0.5,0.0)),""),"")</f>
        <v/>
      </c>
      <c r="AA50">
        <f>IF(ISNUMBER(T50),IF(ISNUMBER(T45),IF(T50&gt;T45,1.0,IF(T50=T45,0.5,0.0)),""),"")</f>
        <v/>
      </c>
      <c r="AB50">
        <f>IF(ISNUMBER(T50),IF(ISNUMBER(T46),IF(T50&gt;T46,1.0,IF(T50=T46,0.5,0.0)),""),"")</f>
        <v/>
      </c>
      <c r="AC50">
        <f>IF(ISNUMBER(T50),IF(ISNUMBER(T47),IF(T50&gt;T47,1.0,IF(T50=T47,0.5,0.0)),""),"")</f>
        <v/>
      </c>
      <c r="AD50">
        <f>IF(ISNUMBER(T50),IF(ISNUMBER(T48),IF(T50&gt;T48,1.0,IF(T50=T48,0.5,0.0)),""),"")</f>
        <v/>
      </c>
      <c r="AE50">
        <f>IF(ISNUMBER(T50),IF(ISNUMBER(T49),IF(T50&gt;T49,1.0,IF(T50=T49,0.5,0.0)),""),"")</f>
        <v/>
      </c>
      <c r="AF50">
        <f>IF(ISNUMBER(T50),IF(ISNUMBER(T51),IF(T50&gt;T51,1.0,IF(T50=T51,0.5,0.0)),""),"")</f>
        <v/>
      </c>
      <c r="AG50" s="14">
        <f>IF(AND(ISNUMBER(S50),ISNUMBER(S45)),VLOOKUP(ABS(S50-S45),'IMP Table'!$A$2:$C$26,3)*SIGN(S50-S45),0)</f>
        <v/>
      </c>
      <c r="AH50">
        <f>IF(AND(ISNUMBER(S50),ISNUMBER(S46)),VLOOKUP(ABS(S50-S46),'IMP Table'!$A$2:$C$26,3)*SIGN(S50-S46),0)</f>
        <v/>
      </c>
      <c r="AI50">
        <f>IF(AND(ISNUMBER(S50),ISNUMBER(S47)),VLOOKUP(ABS(S50-S47),'IMP Table'!$A$2:$C$26,3)*SIGN(S50-S47),0)</f>
        <v/>
      </c>
      <c r="AJ50">
        <f>IF(AND(ISNUMBER(S50),ISNUMBER(S48)),VLOOKUP(ABS(S50-S48),'IMP Table'!$A$2:$C$26,3)*SIGN(S50-S48),0)</f>
        <v/>
      </c>
      <c r="AK50">
        <f>IF(AND(ISNUMBER(S50),ISNUMBER(S49)),VLOOKUP(ABS(S50-S49),'IMP Table'!$A$2:$C$26,3)*SIGN(S50-S49),0)</f>
        <v/>
      </c>
      <c r="AL50">
        <f>IF(AND(ISNUMBER(S50),ISNUMBER(S51)),VLOOKUP(ABS(S50-S51),'IMP Table'!$A$2:$C$26,3)*SIGN(S50-S51),0)</f>
        <v/>
      </c>
      <c r="AM50">
        <f>IF(AND(ISNUMBER(T50),ISNUMBER(T45)),VLOOKUP(ABS(T50-T45),'IMP Table'!$A$2:$C$26,3)*SIGN(T50-T45),0)</f>
        <v/>
      </c>
      <c r="AN50">
        <f>IF(AND(ISNUMBER(T50),ISNUMBER(T46)),VLOOKUP(ABS(T50-T46),'IMP Table'!$A$2:$C$26,3)*SIGN(T50-T46),0)</f>
        <v/>
      </c>
      <c r="AO50">
        <f>IF(AND(ISNUMBER(T50),ISNUMBER(T47)),VLOOKUP(ABS(T50-T47),'IMP Table'!$A$2:$C$26,3)*SIGN(T50-T47),0)</f>
        <v/>
      </c>
      <c r="AP50">
        <f>IF(AND(ISNUMBER(T50),ISNUMBER(T48)),VLOOKUP(ABS(T50-T48),'IMP Table'!$A$2:$C$26,3)*SIGN(T50-T48),0)</f>
        <v/>
      </c>
      <c r="AQ50">
        <f>IF(AND(ISNUMBER(T50),ISNUMBER(T49)),VLOOKUP(ABS(T50-T49),'IMP Table'!$A$2:$C$26,3)*SIGN(T50-T49),0)</f>
        <v/>
      </c>
      <c r="AR50">
        <f>IF(AND(ISNUMBER(T50),ISNUMBER(T51)),VLOOKUP(ABS(T50-T51),'IMP Table'!$A$2:$C$26,3)*SIGN(T50-T51),0)</f>
        <v/>
      </c>
    </row>
    <row r="51">
      <c r="A51" s="15" t="n"/>
      <c r="B51" s="16">
        <f>'By Round'!A45</f>
        <v/>
      </c>
      <c r="C51" s="16">
        <f>'By Round'!B45</f>
        <v/>
      </c>
      <c r="D51" s="16">
        <f>'By Round'!C45</f>
        <v/>
      </c>
      <c r="E51" s="16">
        <f>'By Round'!D45</f>
        <v/>
      </c>
      <c r="F51" s="16">
        <f>IF(ISBLANK('By Round'!F45),"",'By Round'!F45)</f>
        <v/>
      </c>
      <c r="G51" s="15">
        <f>IF(ISBLANK('By Round'!G45),"",'By Round'!G45)</f>
        <v/>
      </c>
      <c r="H51" s="15">
        <f>IF(ISBLANK('By Round'!H45),"",'By Round'!H45)</f>
        <v/>
      </c>
      <c r="I51" s="15">
        <f>IF(ISBLANK('By Round'!I45),"",'By Round'!I45)</f>
        <v/>
      </c>
      <c r="J51" s="15">
        <f>IF(ISBLANK('By Round'!J45),"",'By Round'!J45)</f>
        <v/>
      </c>
      <c r="K51" s="15">
        <f>IF(ISBLANK('By Round'!K45),"",'By Round'!K45)</f>
        <v/>
      </c>
      <c r="L51" s="15">
        <f>IF(ISBLANK('By Round'!L45),"",'By Round'!L45)</f>
        <v/>
      </c>
      <c r="M51" s="17">
        <f>AVERAGE(AG51:AL51)</f>
        <v/>
      </c>
      <c r="N51" s="18">
        <f>AVERAGE(AM51:AR51)</f>
        <v/>
      </c>
      <c r="O51" s="19">
        <f>IF(COUNT(U51:Z51)&gt;0,Q51/COUNT(U51:Z51),0.5)</f>
        <v/>
      </c>
      <c r="P51" s="19">
        <f>IF(COUNT(AA51:AF51)&gt;0,R51/COUNT(AA51:AF51),0.5)</f>
        <v/>
      </c>
      <c r="Q51" s="20">
        <f>SUM(U51:Z51)</f>
        <v/>
      </c>
      <c r="R51" s="20">
        <f>SUM(AA51:AF51)</f>
        <v/>
      </c>
      <c r="S51" s="21">
        <f>IF(ISNUMBER(K51),K51,IF(ISNUMBER(L51),-L51,""))</f>
        <v/>
      </c>
      <c r="T51" s="15">
        <f>IF(ISNUMBER(L51),L51,IF(ISNUMBER(K51),-K51,""))</f>
        <v/>
      </c>
      <c r="U51" s="21">
        <f>IF(ISNUMBER(S51),IF(ISNUMBER(S45),IF(S51&gt;S45,1.0,IF(S51=S45,0.5,0.0)),""),"")</f>
        <v/>
      </c>
      <c r="V51" s="15">
        <f>IF(ISNUMBER(S51),IF(ISNUMBER(S46),IF(S51&gt;S46,1.0,IF(S51=S46,0.5,0.0)),""),"")</f>
        <v/>
      </c>
      <c r="W51" s="15">
        <f>IF(ISNUMBER(S51),IF(ISNUMBER(S47),IF(S51&gt;S47,1.0,IF(S51=S47,0.5,0.0)),""),"")</f>
        <v/>
      </c>
      <c r="X51" s="15">
        <f>IF(ISNUMBER(S51),IF(ISNUMBER(S48),IF(S51&gt;S48,1.0,IF(S51=S48,0.5,0.0)),""),"")</f>
        <v/>
      </c>
      <c r="Y51" s="15">
        <f>IF(ISNUMBER(S51),IF(ISNUMBER(S49),IF(S51&gt;S49,1.0,IF(S51=S49,0.5,0.0)),""),"")</f>
        <v/>
      </c>
      <c r="Z51" s="15">
        <f>IF(ISNUMBER(S51),IF(ISNUMBER(S50),IF(S51&gt;S50,1.0,IF(S51=S50,0.5,0.0)),""),"")</f>
        <v/>
      </c>
      <c r="AA51" s="15">
        <f>IF(ISNUMBER(T51),IF(ISNUMBER(T45),IF(T51&gt;T45,1.0,IF(T51=T45,0.5,0.0)),""),"")</f>
        <v/>
      </c>
      <c r="AB51" s="15">
        <f>IF(ISNUMBER(T51),IF(ISNUMBER(T46),IF(T51&gt;T46,1.0,IF(T51=T46,0.5,0.0)),""),"")</f>
        <v/>
      </c>
      <c r="AC51" s="15">
        <f>IF(ISNUMBER(T51),IF(ISNUMBER(T47),IF(T51&gt;T47,1.0,IF(T51=T47,0.5,0.0)),""),"")</f>
        <v/>
      </c>
      <c r="AD51" s="15">
        <f>IF(ISNUMBER(T51),IF(ISNUMBER(T48),IF(T51&gt;T48,1.0,IF(T51=T48,0.5,0.0)),""),"")</f>
        <v/>
      </c>
      <c r="AE51" s="15">
        <f>IF(ISNUMBER(T51),IF(ISNUMBER(T49),IF(T51&gt;T49,1.0,IF(T51=T49,0.5,0.0)),""),"")</f>
        <v/>
      </c>
      <c r="AF51" s="15">
        <f>IF(ISNUMBER(T51),IF(ISNUMBER(T50),IF(T51&gt;T50,1.0,IF(T51=T50,0.5,0.0)),""),"")</f>
        <v/>
      </c>
      <c r="AG51" s="21">
        <f>IF(AND(ISNUMBER(S51),ISNUMBER(S45)),VLOOKUP(ABS(S51-S45),'IMP Table'!$A$2:$C$26,3)*SIGN(S51-S45),0)</f>
        <v/>
      </c>
      <c r="AH51" s="15">
        <f>IF(AND(ISNUMBER(S51),ISNUMBER(S46)),VLOOKUP(ABS(S51-S46),'IMP Table'!$A$2:$C$26,3)*SIGN(S51-S46),0)</f>
        <v/>
      </c>
      <c r="AI51" s="15">
        <f>IF(AND(ISNUMBER(S51),ISNUMBER(S47)),VLOOKUP(ABS(S51-S47),'IMP Table'!$A$2:$C$26,3)*SIGN(S51-S47),0)</f>
        <v/>
      </c>
      <c r="AJ51" s="15">
        <f>IF(AND(ISNUMBER(S51),ISNUMBER(S48)),VLOOKUP(ABS(S51-S48),'IMP Table'!$A$2:$C$26,3)*SIGN(S51-S48),0)</f>
        <v/>
      </c>
      <c r="AK51" s="15">
        <f>IF(AND(ISNUMBER(S51),ISNUMBER(S49)),VLOOKUP(ABS(S51-S49),'IMP Table'!$A$2:$C$26,3)*SIGN(S51-S49),0)</f>
        <v/>
      </c>
      <c r="AL51" s="15">
        <f>IF(AND(ISNUMBER(S51),ISNUMBER(S50)),VLOOKUP(ABS(S51-S50),'IMP Table'!$A$2:$C$26,3)*SIGN(S51-S50),0)</f>
        <v/>
      </c>
      <c r="AM51" s="15">
        <f>IF(AND(ISNUMBER(T51),ISNUMBER(T45)),VLOOKUP(ABS(T51-T45),'IMP Table'!$A$2:$C$26,3)*SIGN(T51-T45),0)</f>
        <v/>
      </c>
      <c r="AN51" s="15">
        <f>IF(AND(ISNUMBER(T51),ISNUMBER(T46)),VLOOKUP(ABS(T51-T46),'IMP Table'!$A$2:$C$26,3)*SIGN(T51-T46),0)</f>
        <v/>
      </c>
      <c r="AO51" s="15">
        <f>IF(AND(ISNUMBER(T51),ISNUMBER(T47)),VLOOKUP(ABS(T51-T47),'IMP Table'!$A$2:$C$26,3)*SIGN(T51-T47),0)</f>
        <v/>
      </c>
      <c r="AP51" s="15">
        <f>IF(AND(ISNUMBER(T51),ISNUMBER(T48)),VLOOKUP(ABS(T51-T48),'IMP Table'!$A$2:$C$26,3)*SIGN(T51-T48),0)</f>
        <v/>
      </c>
      <c r="AQ51" s="15">
        <f>IF(AND(ISNUMBER(T51),ISNUMBER(T49)),VLOOKUP(ABS(T51-T49),'IMP Table'!$A$2:$C$26,3)*SIGN(T51-T49),0)</f>
        <v/>
      </c>
      <c r="AR51" s="15">
        <f>IF(AND(ISNUMBER(T51),ISNUMBER(T50)),VLOOKUP(ABS(T51-T50),'IMP Table'!$A$2:$C$26,3)*SIGN(T51-T50),0)</f>
        <v/>
      </c>
    </row>
    <row r="52">
      <c r="A52" s="10" t="n">
        <v>8</v>
      </c>
      <c r="B52" s="10">
        <f>'By Round'!A87</f>
        <v/>
      </c>
      <c r="C52" s="10">
        <f>'By Round'!B97</f>
        <v/>
      </c>
      <c r="D52" s="10">
        <f>'By Round'!C97</f>
        <v/>
      </c>
      <c r="E52" s="10">
        <f>'By Round'!D97</f>
        <v/>
      </c>
      <c r="F52" s="10">
        <f>IF(ISBLANK('By Round'!F98),"",'By Round'!F98)</f>
        <v/>
      </c>
      <c r="G52">
        <f>IF(ISBLANK('By Round'!G98),"",'By Round'!G98)</f>
        <v/>
      </c>
      <c r="H52">
        <f>IF(ISBLANK('By Round'!H98),"",'By Round'!H98)</f>
        <v/>
      </c>
      <c r="I52">
        <f>IF(ISBLANK('By Round'!I98),"",'By Round'!I98)</f>
        <v/>
      </c>
      <c r="J52">
        <f>IF(ISBLANK('By Round'!J98),"",'By Round'!J98)</f>
        <v/>
      </c>
      <c r="K52">
        <f>IF(ISBLANK('By Round'!K98),"",'By Round'!K98)</f>
        <v/>
      </c>
      <c r="L52">
        <f>IF(ISBLANK('By Round'!L98),"",'By Round'!L98)</f>
        <v/>
      </c>
      <c r="M52" s="11">
        <f>AVERAGE(AG52:AL52)</f>
        <v/>
      </c>
      <c r="N52" s="12">
        <f>AVERAGE(AM52:AR52)</f>
        <v/>
      </c>
      <c r="O52" s="13">
        <f>IF(COUNT(U52:Z52)&gt;0,Q52/COUNT(U52:Z52),0.5)</f>
        <v/>
      </c>
      <c r="P52" s="13">
        <f>IF(COUNT(AA52:AF52)&gt;0,R52/COUNT(AA52:AF52),0.5)</f>
        <v/>
      </c>
      <c r="Q52" s="5">
        <f>SUM(U52:Z52)</f>
        <v/>
      </c>
      <c r="R52" s="5">
        <f>SUM(AA52:AF52)</f>
        <v/>
      </c>
      <c r="S52" s="14">
        <f>IF(ISNUMBER(K52),K52,IF(ISNUMBER(L52),-L52,""))</f>
        <v/>
      </c>
      <c r="T52">
        <f>IF(ISNUMBER(L52),L52,IF(ISNUMBER(K52),-K52,""))</f>
        <v/>
      </c>
      <c r="U52" s="14">
        <f>IF(ISNUMBER(S52),IF(ISNUMBER(S53),IF(S52&gt;S53,1.0,IF(S52=S53,0.5,0.0)),""),"")</f>
        <v/>
      </c>
      <c r="V52">
        <f>IF(ISNUMBER(S52),IF(ISNUMBER(S54),IF(S52&gt;S54,1.0,IF(S52=S54,0.5,0.0)),""),"")</f>
        <v/>
      </c>
      <c r="W52">
        <f>IF(ISNUMBER(S52),IF(ISNUMBER(S55),IF(S52&gt;S55,1.0,IF(S52=S55,0.5,0.0)),""),"")</f>
        <v/>
      </c>
      <c r="X52">
        <f>IF(ISNUMBER(S52),IF(ISNUMBER(S56),IF(S52&gt;S56,1.0,IF(S52=S56,0.5,0.0)),""),"")</f>
        <v/>
      </c>
      <c r="Y52">
        <f>IF(ISNUMBER(S52),IF(ISNUMBER(S57),IF(S52&gt;S57,1.0,IF(S52=S57,0.5,0.0)),""),"")</f>
        <v/>
      </c>
      <c r="Z52">
        <f>IF(ISNUMBER(S52),IF(ISNUMBER(S58),IF(S52&gt;S58,1.0,IF(S52=S58,0.5,0.0)),""),"")</f>
        <v/>
      </c>
      <c r="AA52">
        <f>IF(ISNUMBER(T52),IF(ISNUMBER(T53),IF(T52&gt;T53,1.0,IF(T52=T53,0.5,0.0)),""),"")</f>
        <v/>
      </c>
      <c r="AB52">
        <f>IF(ISNUMBER(T52),IF(ISNUMBER(T54),IF(T52&gt;T54,1.0,IF(T52=T54,0.5,0.0)),""),"")</f>
        <v/>
      </c>
      <c r="AC52">
        <f>IF(ISNUMBER(T52),IF(ISNUMBER(T55),IF(T52&gt;T55,1.0,IF(T52=T55,0.5,0.0)),""),"")</f>
        <v/>
      </c>
      <c r="AD52">
        <f>IF(ISNUMBER(T52),IF(ISNUMBER(T56),IF(T52&gt;T56,1.0,IF(T52=T56,0.5,0.0)),""),"")</f>
        <v/>
      </c>
      <c r="AE52">
        <f>IF(ISNUMBER(T52),IF(ISNUMBER(T57),IF(T52&gt;T57,1.0,IF(T52=T57,0.5,0.0)),""),"")</f>
        <v/>
      </c>
      <c r="AF52">
        <f>IF(ISNUMBER(T52),IF(ISNUMBER(T58),IF(T52&gt;T58,1.0,IF(T52=T58,0.5,0.0)),""),"")</f>
        <v/>
      </c>
      <c r="AG52" s="14">
        <f>IF(AND(ISNUMBER(S52),ISNUMBER(S53)),VLOOKUP(ABS(S52-S53),'IMP Table'!$A$2:$C$26,3)*SIGN(S52-S53),0)</f>
        <v/>
      </c>
      <c r="AH52">
        <f>IF(AND(ISNUMBER(S52),ISNUMBER(S54)),VLOOKUP(ABS(S52-S54),'IMP Table'!$A$2:$C$26,3)*SIGN(S52-S54),0)</f>
        <v/>
      </c>
      <c r="AI52">
        <f>IF(AND(ISNUMBER(S52),ISNUMBER(S55)),VLOOKUP(ABS(S52-S55),'IMP Table'!$A$2:$C$26,3)*SIGN(S52-S55),0)</f>
        <v/>
      </c>
      <c r="AJ52">
        <f>IF(AND(ISNUMBER(S52),ISNUMBER(S56)),VLOOKUP(ABS(S52-S56),'IMP Table'!$A$2:$C$26,3)*SIGN(S52-S56),0)</f>
        <v/>
      </c>
      <c r="AK52">
        <f>IF(AND(ISNUMBER(S52),ISNUMBER(S57)),VLOOKUP(ABS(S52-S57),'IMP Table'!$A$2:$C$26,3)*SIGN(S52-S57),0)</f>
        <v/>
      </c>
      <c r="AL52">
        <f>IF(AND(ISNUMBER(S52),ISNUMBER(S58)),VLOOKUP(ABS(S52-S58),'IMP Table'!$A$2:$C$26,3)*SIGN(S52-S58),0)</f>
        <v/>
      </c>
      <c r="AM52">
        <f>IF(AND(ISNUMBER(T52),ISNUMBER(T53)),VLOOKUP(ABS(T52-T53),'IMP Table'!$A$2:$C$26,3)*SIGN(T52-T53),0)</f>
        <v/>
      </c>
      <c r="AN52">
        <f>IF(AND(ISNUMBER(T52),ISNUMBER(T54)),VLOOKUP(ABS(T52-T54),'IMP Table'!$A$2:$C$26,3)*SIGN(T52-T54),0)</f>
        <v/>
      </c>
      <c r="AO52">
        <f>IF(AND(ISNUMBER(T52),ISNUMBER(T55)),VLOOKUP(ABS(T52-T55),'IMP Table'!$A$2:$C$26,3)*SIGN(T52-T55),0)</f>
        <v/>
      </c>
      <c r="AP52">
        <f>IF(AND(ISNUMBER(T52),ISNUMBER(T56)),VLOOKUP(ABS(T52-T56),'IMP Table'!$A$2:$C$26,3)*SIGN(T52-T56),0)</f>
        <v/>
      </c>
      <c r="AQ52">
        <f>IF(AND(ISNUMBER(T52),ISNUMBER(T57)),VLOOKUP(ABS(T52-T57),'IMP Table'!$A$2:$C$26,3)*SIGN(T52-T57),0)</f>
        <v/>
      </c>
      <c r="AR52">
        <f>IF(AND(ISNUMBER(T52),ISNUMBER(T58)),VLOOKUP(ABS(T52-T58),'IMP Table'!$A$2:$C$26,3)*SIGN(T52-T58),0)</f>
        <v/>
      </c>
    </row>
    <row r="53">
      <c r="B53" s="10">
        <f>'By Round'!A3</f>
        <v/>
      </c>
      <c r="C53" s="10">
        <f>'By Round'!B7</f>
        <v/>
      </c>
      <c r="D53" s="10">
        <f>'By Round'!C7</f>
        <v/>
      </c>
      <c r="E53" s="10">
        <f>'By Round'!D7</f>
        <v/>
      </c>
      <c r="F53" s="10">
        <f>IF(ISBLANK('By Round'!F8),"",'By Round'!F8)</f>
        <v/>
      </c>
      <c r="G53">
        <f>IF(ISBLANK('By Round'!G8),"",'By Round'!G8)</f>
        <v/>
      </c>
      <c r="H53">
        <f>IF(ISBLANK('By Round'!H8),"",'By Round'!H8)</f>
        <v/>
      </c>
      <c r="I53">
        <f>IF(ISBLANK('By Round'!I8),"",'By Round'!I8)</f>
        <v/>
      </c>
      <c r="J53">
        <f>IF(ISBLANK('By Round'!J8),"",'By Round'!J8)</f>
        <v/>
      </c>
      <c r="K53">
        <f>IF(ISBLANK('By Round'!K8),"",'By Round'!K8)</f>
        <v/>
      </c>
      <c r="L53">
        <f>IF(ISBLANK('By Round'!L8),"",'By Round'!L8)</f>
        <v/>
      </c>
      <c r="M53" s="11">
        <f>AVERAGE(AG53:AL53)</f>
        <v/>
      </c>
      <c r="N53" s="12">
        <f>AVERAGE(AM53:AR53)</f>
        <v/>
      </c>
      <c r="O53" s="13">
        <f>IF(COUNT(U53:Z53)&gt;0,Q53/COUNT(U53:Z53),0.5)</f>
        <v/>
      </c>
      <c r="P53" s="13">
        <f>IF(COUNT(AA53:AF53)&gt;0,R53/COUNT(AA53:AF53),0.5)</f>
        <v/>
      </c>
      <c r="Q53" s="5">
        <f>SUM(U53:Z53)</f>
        <v/>
      </c>
      <c r="R53" s="5">
        <f>SUM(AA53:AF53)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IF(ISNUMBER(S53),IF(ISNUMBER(S52),IF(S53&gt;S52,1.0,IF(S53=S52,0.5,0.0)),""),"")</f>
        <v/>
      </c>
      <c r="V53">
        <f>IF(ISNUMBER(S53),IF(ISNUMBER(S54),IF(S53&gt;S54,1.0,IF(S53=S54,0.5,0.0)),""),"")</f>
        <v/>
      </c>
      <c r="W53">
        <f>IF(ISNUMBER(S53),IF(ISNUMBER(S55),IF(S53&gt;S55,1.0,IF(S53=S55,0.5,0.0)),""),"")</f>
        <v/>
      </c>
      <c r="X53">
        <f>IF(ISNUMBER(S53),IF(ISNUMBER(S56),IF(S53&gt;S56,1.0,IF(S53=S56,0.5,0.0)),""),"")</f>
        <v/>
      </c>
      <c r="Y53">
        <f>IF(ISNUMBER(S53),IF(ISNUMBER(S57),IF(S53&gt;S57,1.0,IF(S53=S57,0.5,0.0)),""),"")</f>
        <v/>
      </c>
      <c r="Z53">
        <f>IF(ISNUMBER(S53),IF(ISNUMBER(S58),IF(S53&gt;S58,1.0,IF(S53=S58,0.5,0.0)),""),"")</f>
        <v/>
      </c>
      <c r="AA53">
        <f>IF(ISNUMBER(T53),IF(ISNUMBER(T52),IF(T53&gt;T52,1.0,IF(T53=T52,0.5,0.0)),""),"")</f>
        <v/>
      </c>
      <c r="AB53">
        <f>IF(ISNUMBER(T53),IF(ISNUMBER(T54),IF(T53&gt;T54,1.0,IF(T53=T54,0.5,0.0)),""),"")</f>
        <v/>
      </c>
      <c r="AC53">
        <f>IF(ISNUMBER(T53),IF(ISNUMBER(T55),IF(T53&gt;T55,1.0,IF(T53=T55,0.5,0.0)),""),"")</f>
        <v/>
      </c>
      <c r="AD53">
        <f>IF(ISNUMBER(T53),IF(ISNUMBER(T56),IF(T53&gt;T56,1.0,IF(T53=T56,0.5,0.0)),""),"")</f>
        <v/>
      </c>
      <c r="AE53">
        <f>IF(ISNUMBER(T53),IF(ISNUMBER(T57),IF(T53&gt;T57,1.0,IF(T53=T57,0.5,0.0)),""),"")</f>
        <v/>
      </c>
      <c r="AF53">
        <f>IF(ISNUMBER(T53),IF(ISNUMBER(T58),IF(T53&gt;T58,1.0,IF(T53=T58,0.5,0.0)),""),"")</f>
        <v/>
      </c>
      <c r="AG53" s="14">
        <f>IF(AND(ISNUMBER(S53),ISNUMBER(S52)),VLOOKUP(ABS(S53-S52),'IMP Table'!$A$2:$C$26,3)*SIGN(S53-S52),0)</f>
        <v/>
      </c>
      <c r="AH53">
        <f>IF(AND(ISNUMBER(S53),ISNUMBER(S54)),VLOOKUP(ABS(S53-S54),'IMP Table'!$A$2:$C$26,3)*SIGN(S53-S54),0)</f>
        <v/>
      </c>
      <c r="AI53">
        <f>IF(AND(ISNUMBER(S53),ISNUMBER(S55)),VLOOKUP(ABS(S53-S55),'IMP Table'!$A$2:$C$26,3)*SIGN(S53-S55),0)</f>
        <v/>
      </c>
      <c r="AJ53">
        <f>IF(AND(ISNUMBER(S53),ISNUMBER(S56)),VLOOKUP(ABS(S53-S56),'IMP Table'!$A$2:$C$26,3)*SIGN(S53-S56),0)</f>
        <v/>
      </c>
      <c r="AK53">
        <f>IF(AND(ISNUMBER(S53),ISNUMBER(S57)),VLOOKUP(ABS(S53-S57),'IMP Table'!$A$2:$C$26,3)*SIGN(S53-S57),0)</f>
        <v/>
      </c>
      <c r="AL53">
        <f>IF(AND(ISNUMBER(S53),ISNUMBER(S58)),VLOOKUP(ABS(S53-S58),'IMP Table'!$A$2:$C$26,3)*SIGN(S53-S58),0)</f>
        <v/>
      </c>
      <c r="AM53">
        <f>IF(AND(ISNUMBER(T53),ISNUMBER(T52)),VLOOKUP(ABS(T53-T52),'IMP Table'!$A$2:$C$26,3)*SIGN(T53-T52),0)</f>
        <v/>
      </c>
      <c r="AN53">
        <f>IF(AND(ISNUMBER(T53),ISNUMBER(T54)),VLOOKUP(ABS(T53-T54),'IMP Table'!$A$2:$C$26,3)*SIGN(T53-T54),0)</f>
        <v/>
      </c>
      <c r="AO53">
        <f>IF(AND(ISNUMBER(T53),ISNUMBER(T55)),VLOOKUP(ABS(T53-T55),'IMP Table'!$A$2:$C$26,3)*SIGN(T53-T55),0)</f>
        <v/>
      </c>
      <c r="AP53">
        <f>IF(AND(ISNUMBER(T53),ISNUMBER(T56)),VLOOKUP(ABS(T53-T56),'IMP Table'!$A$2:$C$26,3)*SIGN(T53-T56),0)</f>
        <v/>
      </c>
      <c r="AQ53">
        <f>IF(AND(ISNUMBER(T53),ISNUMBER(T57)),VLOOKUP(ABS(T53-T57),'IMP Table'!$A$2:$C$26,3)*SIGN(T53-T57),0)</f>
        <v/>
      </c>
      <c r="AR53">
        <f>IF(AND(ISNUMBER(T53),ISNUMBER(T58)),VLOOKUP(ABS(T53-T58),'IMP Table'!$A$2:$C$26,3)*SIGN(T53-T58),0)</f>
        <v/>
      </c>
    </row>
    <row r="54">
      <c r="B54" s="10">
        <f>'By Round'!A17</f>
        <v/>
      </c>
      <c r="C54" s="10">
        <f>'By Round'!B19</f>
        <v/>
      </c>
      <c r="D54" s="10">
        <f>'By Round'!C19</f>
        <v/>
      </c>
      <c r="E54" s="10">
        <f>'By Round'!D19</f>
        <v/>
      </c>
      <c r="F54" s="10">
        <f>IF(ISBLANK('By Round'!F20),"",'By Round'!F20)</f>
        <v/>
      </c>
      <c r="G54">
        <f>IF(ISBLANK('By Round'!G20),"",'By Round'!G20)</f>
        <v/>
      </c>
      <c r="H54">
        <f>IF(ISBLANK('By Round'!H20),"",'By Round'!H20)</f>
        <v/>
      </c>
      <c r="I54">
        <f>IF(ISBLANK('By Round'!I20),"",'By Round'!I20)</f>
        <v/>
      </c>
      <c r="J54">
        <f>IF(ISBLANK('By Round'!J20),"",'By Round'!J20)</f>
        <v/>
      </c>
      <c r="K54">
        <f>IF(ISBLANK('By Round'!K20),"",'By Round'!K20)</f>
        <v/>
      </c>
      <c r="L54">
        <f>IF(ISBLANK('By Round'!L20),"",'By Round'!L20)</f>
        <v/>
      </c>
      <c r="M54" s="11">
        <f>AVERAGE(AG54:AL54)</f>
        <v/>
      </c>
      <c r="N54" s="12">
        <f>AVERAGE(AM54:AR54)</f>
        <v/>
      </c>
      <c r="O54" s="13">
        <f>IF(COUNT(U54:Z54)&gt;0,Q54/COUNT(U54:Z54),0.5)</f>
        <v/>
      </c>
      <c r="P54" s="13">
        <f>IF(COUNT(AA54:AF54)&gt;0,R54/COUNT(AA54:AF54),0.5)</f>
        <v/>
      </c>
      <c r="Q54" s="5">
        <f>SUM(U54:Z54)</f>
        <v/>
      </c>
      <c r="R54" s="5">
        <f>SUM(AA54:AF54)</f>
        <v/>
      </c>
      <c r="S54" s="14">
        <f>IF(ISNUMBER(K54),K54,IF(ISNUMBER(L54),-L54,""))</f>
        <v/>
      </c>
      <c r="T54">
        <f>IF(ISNUMBER(L54),L54,IF(ISNUMBER(K54),-K54,""))</f>
        <v/>
      </c>
      <c r="U54" s="14">
        <f>IF(ISNUMBER(S54),IF(ISNUMBER(S52),IF(S54&gt;S52,1.0,IF(S54=S52,0.5,0.0)),""),"")</f>
        <v/>
      </c>
      <c r="V54">
        <f>IF(ISNUMBER(S54),IF(ISNUMBER(S53),IF(S54&gt;S53,1.0,IF(S54=S53,0.5,0.0)),""),"")</f>
        <v/>
      </c>
      <c r="W54">
        <f>IF(ISNUMBER(S54),IF(ISNUMBER(S55),IF(S54&gt;S55,1.0,IF(S54=S55,0.5,0.0)),""),"")</f>
        <v/>
      </c>
      <c r="X54">
        <f>IF(ISNUMBER(S54),IF(ISNUMBER(S56),IF(S54&gt;S56,1.0,IF(S54=S56,0.5,0.0)),""),"")</f>
        <v/>
      </c>
      <c r="Y54">
        <f>IF(ISNUMBER(S54),IF(ISNUMBER(S57),IF(S54&gt;S57,1.0,IF(S54=S57,0.5,0.0)),""),"")</f>
        <v/>
      </c>
      <c r="Z54">
        <f>IF(ISNUMBER(S54),IF(ISNUMBER(S58),IF(S54&gt;S58,1.0,IF(S54=S58,0.5,0.0)),""),"")</f>
        <v/>
      </c>
      <c r="AA54">
        <f>IF(ISNUMBER(T54),IF(ISNUMBER(T52),IF(T54&gt;T52,1.0,IF(T54=T52,0.5,0.0)),""),"")</f>
        <v/>
      </c>
      <c r="AB54">
        <f>IF(ISNUMBER(T54),IF(ISNUMBER(T53),IF(T54&gt;T53,1.0,IF(T54=T53,0.5,0.0)),""),"")</f>
        <v/>
      </c>
      <c r="AC54">
        <f>IF(ISNUMBER(T54),IF(ISNUMBER(T55),IF(T54&gt;T55,1.0,IF(T54=T55,0.5,0.0)),""),"")</f>
        <v/>
      </c>
      <c r="AD54">
        <f>IF(ISNUMBER(T54),IF(ISNUMBER(T56),IF(T54&gt;T56,1.0,IF(T54=T56,0.5,0.0)),""),"")</f>
        <v/>
      </c>
      <c r="AE54">
        <f>IF(ISNUMBER(T54),IF(ISNUMBER(T57),IF(T54&gt;T57,1.0,IF(T54=T57,0.5,0.0)),""),"")</f>
        <v/>
      </c>
      <c r="AF54">
        <f>IF(ISNUMBER(T54),IF(ISNUMBER(T58),IF(T54&gt;T58,1.0,IF(T54=T58,0.5,0.0)),""),"")</f>
        <v/>
      </c>
      <c r="AG54" s="14">
        <f>IF(AND(ISNUMBER(S54),ISNUMBER(S52)),VLOOKUP(ABS(S54-S52),'IMP Table'!$A$2:$C$26,3)*SIGN(S54-S52),0)</f>
        <v/>
      </c>
      <c r="AH54">
        <f>IF(AND(ISNUMBER(S54),ISNUMBER(S53)),VLOOKUP(ABS(S54-S53),'IMP Table'!$A$2:$C$26,3)*SIGN(S54-S53),0)</f>
        <v/>
      </c>
      <c r="AI54">
        <f>IF(AND(ISNUMBER(S54),ISNUMBER(S55)),VLOOKUP(ABS(S54-S55),'IMP Table'!$A$2:$C$26,3)*SIGN(S54-S55),0)</f>
        <v/>
      </c>
      <c r="AJ54">
        <f>IF(AND(ISNUMBER(S54),ISNUMBER(S56)),VLOOKUP(ABS(S54-S56),'IMP Table'!$A$2:$C$26,3)*SIGN(S54-S56),0)</f>
        <v/>
      </c>
      <c r="AK54">
        <f>IF(AND(ISNUMBER(S54),ISNUMBER(S57)),VLOOKUP(ABS(S54-S57),'IMP Table'!$A$2:$C$26,3)*SIGN(S54-S57),0)</f>
        <v/>
      </c>
      <c r="AL54">
        <f>IF(AND(ISNUMBER(S54),ISNUMBER(S58)),VLOOKUP(ABS(S54-S58),'IMP Table'!$A$2:$C$26,3)*SIGN(S54-S58),0)</f>
        <v/>
      </c>
      <c r="AM54">
        <f>IF(AND(ISNUMBER(T54),ISNUMBER(T52)),VLOOKUP(ABS(T54-T52),'IMP Table'!$A$2:$C$26,3)*SIGN(T54-T52),0)</f>
        <v/>
      </c>
      <c r="AN54">
        <f>IF(AND(ISNUMBER(T54),ISNUMBER(T53)),VLOOKUP(ABS(T54-T53),'IMP Table'!$A$2:$C$26,3)*SIGN(T54-T53),0)</f>
        <v/>
      </c>
      <c r="AO54">
        <f>IF(AND(ISNUMBER(T54),ISNUMBER(T55)),VLOOKUP(ABS(T54-T55),'IMP Table'!$A$2:$C$26,3)*SIGN(T54-T55),0)</f>
        <v/>
      </c>
      <c r="AP54">
        <f>IF(AND(ISNUMBER(T54),ISNUMBER(T56)),VLOOKUP(ABS(T54-T56),'IMP Table'!$A$2:$C$26,3)*SIGN(T54-T56),0)</f>
        <v/>
      </c>
      <c r="AQ54">
        <f>IF(AND(ISNUMBER(T54),ISNUMBER(T57)),VLOOKUP(ABS(T54-T57),'IMP Table'!$A$2:$C$26,3)*SIGN(T54-T57),0)</f>
        <v/>
      </c>
      <c r="AR54">
        <f>IF(AND(ISNUMBER(T54),ISNUMBER(T58)),VLOOKUP(ABS(T54-T58),'IMP Table'!$A$2:$C$26,3)*SIGN(T54-T58),0)</f>
        <v/>
      </c>
    </row>
    <row r="55">
      <c r="B55" s="10">
        <f>'By Round'!A171</f>
        <v/>
      </c>
      <c r="C55" s="10">
        <f>'By Round'!B177</f>
        <v/>
      </c>
      <c r="D55" s="10">
        <f>'By Round'!C177</f>
        <v/>
      </c>
      <c r="E55" s="10">
        <f>'By Round'!D177</f>
        <v/>
      </c>
      <c r="F55" s="10">
        <f>IF(ISBLANK('By Round'!F178),"",'By Round'!F178)</f>
        <v/>
      </c>
      <c r="G55">
        <f>IF(ISBLANK('By Round'!G178),"",'By Round'!G178)</f>
        <v/>
      </c>
      <c r="H55">
        <f>IF(ISBLANK('By Round'!H178),"",'By Round'!H178)</f>
        <v/>
      </c>
      <c r="I55">
        <f>IF(ISBLANK('By Round'!I178),"",'By Round'!I178)</f>
        <v/>
      </c>
      <c r="J55">
        <f>IF(ISBLANK('By Round'!J178),"",'By Round'!J178)</f>
        <v/>
      </c>
      <c r="K55">
        <f>IF(ISBLANK('By Round'!K178),"",'By Round'!K178)</f>
        <v/>
      </c>
      <c r="L55">
        <f>IF(ISBLANK('By Round'!L178),"",'By Round'!L178)</f>
        <v/>
      </c>
      <c r="M55" s="11">
        <f>AVERAGE(AG55:AL55)</f>
        <v/>
      </c>
      <c r="N55" s="12">
        <f>AVERAGE(AM55:AR55)</f>
        <v/>
      </c>
      <c r="O55" s="13">
        <f>IF(COUNT(U55:Z55)&gt;0,Q55/COUNT(U55:Z55),0.5)</f>
        <v/>
      </c>
      <c r="P55" s="13">
        <f>IF(COUNT(AA55:AF55)&gt;0,R55/COUNT(AA55:AF55),0.5)</f>
        <v/>
      </c>
      <c r="Q55" s="5">
        <f>SUM(U55:Z55)</f>
        <v/>
      </c>
      <c r="R55" s="5">
        <f>SUM(AA55:AF55)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IF(ISNUMBER(S55),IF(ISNUMBER(S52),IF(S55&gt;S52,1.0,IF(S55=S52,0.5,0.0)),""),"")</f>
        <v/>
      </c>
      <c r="V55">
        <f>IF(ISNUMBER(S55),IF(ISNUMBER(S53),IF(S55&gt;S53,1.0,IF(S55=S53,0.5,0.0)),""),"")</f>
        <v/>
      </c>
      <c r="W55">
        <f>IF(ISNUMBER(S55),IF(ISNUMBER(S54),IF(S55&gt;S54,1.0,IF(S55=S54,0.5,0.0)),""),"")</f>
        <v/>
      </c>
      <c r="X55">
        <f>IF(ISNUMBER(S55),IF(ISNUMBER(S56),IF(S55&gt;S56,1.0,IF(S55=S56,0.5,0.0)),""),"")</f>
        <v/>
      </c>
      <c r="Y55">
        <f>IF(ISNUMBER(S55),IF(ISNUMBER(S57),IF(S55&gt;S57,1.0,IF(S55=S57,0.5,0.0)),""),"")</f>
        <v/>
      </c>
      <c r="Z55">
        <f>IF(ISNUMBER(S55),IF(ISNUMBER(S58),IF(S55&gt;S58,1.0,IF(S55=S58,0.5,0.0)),""),"")</f>
        <v/>
      </c>
      <c r="AA55">
        <f>IF(ISNUMBER(T55),IF(ISNUMBER(T52),IF(T55&gt;T52,1.0,IF(T55=T52,0.5,0.0)),""),"")</f>
        <v/>
      </c>
      <c r="AB55">
        <f>IF(ISNUMBER(T55),IF(ISNUMBER(T53),IF(T55&gt;T53,1.0,IF(T55=T53,0.5,0.0)),""),"")</f>
        <v/>
      </c>
      <c r="AC55">
        <f>IF(ISNUMBER(T55),IF(ISNUMBER(T54),IF(T55&gt;T54,1.0,IF(T55=T54,0.5,0.0)),""),"")</f>
        <v/>
      </c>
      <c r="AD55">
        <f>IF(ISNUMBER(T55),IF(ISNUMBER(T56),IF(T55&gt;T56,1.0,IF(T55=T56,0.5,0.0)),""),"")</f>
        <v/>
      </c>
      <c r="AE55">
        <f>IF(ISNUMBER(T55),IF(ISNUMBER(T57),IF(T55&gt;T57,1.0,IF(T55=T57,0.5,0.0)),""),"")</f>
        <v/>
      </c>
      <c r="AF55">
        <f>IF(ISNUMBER(T55),IF(ISNUMBER(T58),IF(T55&gt;T58,1.0,IF(T55=T58,0.5,0.0)),""),"")</f>
        <v/>
      </c>
      <c r="AG55" s="14">
        <f>IF(AND(ISNUMBER(S55),ISNUMBER(S52)),VLOOKUP(ABS(S55-S52),'IMP Table'!$A$2:$C$26,3)*SIGN(S55-S52),0)</f>
        <v/>
      </c>
      <c r="AH55">
        <f>IF(AND(ISNUMBER(S55),ISNUMBER(S53)),VLOOKUP(ABS(S55-S53),'IMP Table'!$A$2:$C$26,3)*SIGN(S55-S53),0)</f>
        <v/>
      </c>
      <c r="AI55">
        <f>IF(AND(ISNUMBER(S55),ISNUMBER(S54)),VLOOKUP(ABS(S55-S54),'IMP Table'!$A$2:$C$26,3)*SIGN(S55-S54),0)</f>
        <v/>
      </c>
      <c r="AJ55">
        <f>IF(AND(ISNUMBER(S55),ISNUMBER(S56)),VLOOKUP(ABS(S55-S56),'IMP Table'!$A$2:$C$26,3)*SIGN(S55-S56),0)</f>
        <v/>
      </c>
      <c r="AK55">
        <f>IF(AND(ISNUMBER(S55),ISNUMBER(S57)),VLOOKUP(ABS(S55-S57),'IMP Table'!$A$2:$C$26,3)*SIGN(S55-S57),0)</f>
        <v/>
      </c>
      <c r="AL55">
        <f>IF(AND(ISNUMBER(S55),ISNUMBER(S58)),VLOOKUP(ABS(S55-S58),'IMP Table'!$A$2:$C$26,3)*SIGN(S55-S58),0)</f>
        <v/>
      </c>
      <c r="AM55">
        <f>IF(AND(ISNUMBER(T55),ISNUMBER(T52)),VLOOKUP(ABS(T55-T52),'IMP Table'!$A$2:$C$26,3)*SIGN(T55-T52),0)</f>
        <v/>
      </c>
      <c r="AN55">
        <f>IF(AND(ISNUMBER(T55),ISNUMBER(T53)),VLOOKUP(ABS(T55-T53),'IMP Table'!$A$2:$C$26,3)*SIGN(T55-T53),0)</f>
        <v/>
      </c>
      <c r="AO55">
        <f>IF(AND(ISNUMBER(T55),ISNUMBER(T54)),VLOOKUP(ABS(T55-T54),'IMP Table'!$A$2:$C$26,3)*SIGN(T55-T54),0)</f>
        <v/>
      </c>
      <c r="AP55">
        <f>IF(AND(ISNUMBER(T55),ISNUMBER(T56)),VLOOKUP(ABS(T55-T56),'IMP Table'!$A$2:$C$26,3)*SIGN(T55-T56),0)</f>
        <v/>
      </c>
      <c r="AQ55">
        <f>IF(AND(ISNUMBER(T55),ISNUMBER(T57)),VLOOKUP(ABS(T55-T57),'IMP Table'!$A$2:$C$26,3)*SIGN(T55-T57),0)</f>
        <v/>
      </c>
      <c r="AR55">
        <f>IF(AND(ISNUMBER(T55),ISNUMBER(T58)),VLOOKUP(ABS(T55-T58),'IMP Table'!$A$2:$C$26,3)*SIGN(T55-T58),0)</f>
        <v/>
      </c>
    </row>
    <row r="56">
      <c r="B56" s="10">
        <f>'By Round'!A73</f>
        <v/>
      </c>
      <c r="C56" s="10">
        <f>'By Round'!B85</f>
        <v/>
      </c>
      <c r="D56" s="10">
        <f>'By Round'!C85</f>
        <v/>
      </c>
      <c r="E56" s="10">
        <f>'By Round'!D85</f>
        <v/>
      </c>
      <c r="F56" s="10">
        <f>IF(ISBLANK('By Round'!F86),"",'By Round'!F86)</f>
        <v/>
      </c>
      <c r="G56">
        <f>IF(ISBLANK('By Round'!G86),"",'By Round'!G86)</f>
        <v/>
      </c>
      <c r="H56">
        <f>IF(ISBLANK('By Round'!H86),"",'By Round'!H86)</f>
        <v/>
      </c>
      <c r="I56">
        <f>IF(ISBLANK('By Round'!I86),"",'By Round'!I86)</f>
        <v/>
      </c>
      <c r="J56">
        <f>IF(ISBLANK('By Round'!J86),"",'By Round'!J86)</f>
        <v/>
      </c>
      <c r="K56">
        <f>IF(ISBLANK('By Round'!K86),"",'By Round'!K86)</f>
        <v/>
      </c>
      <c r="L56">
        <f>IF(ISBLANK('By Round'!L86),"",'By Round'!L86)</f>
        <v/>
      </c>
      <c r="M56" s="11">
        <f>AVERAGE(AG56:AL56)</f>
        <v/>
      </c>
      <c r="N56" s="12">
        <f>AVERAGE(AM56:AR56)</f>
        <v/>
      </c>
      <c r="O56" s="13">
        <f>IF(COUNT(U56:Z56)&gt;0,Q56/COUNT(U56:Z56),0.5)</f>
        <v/>
      </c>
      <c r="P56" s="13">
        <f>IF(COUNT(AA56:AF56)&gt;0,R56/COUNT(AA56:AF56),0.5)</f>
        <v/>
      </c>
      <c r="Q56" s="5">
        <f>SUM(U56:Z56)</f>
        <v/>
      </c>
      <c r="R56" s="5">
        <f>SUM(AA56:AF56)</f>
        <v/>
      </c>
      <c r="S56" s="14">
        <f>IF(ISNUMBER(K56),K56,IF(ISNUMBER(L56),-L56,""))</f>
        <v/>
      </c>
      <c r="T56">
        <f>IF(ISNUMBER(L56),L56,IF(ISNUMBER(K56),-K56,""))</f>
        <v/>
      </c>
      <c r="U56" s="14">
        <f>IF(ISNUMBER(S56),IF(ISNUMBER(S52),IF(S56&gt;S52,1.0,IF(S56=S52,0.5,0.0)),""),"")</f>
        <v/>
      </c>
      <c r="V56">
        <f>IF(ISNUMBER(S56),IF(ISNUMBER(S53),IF(S56&gt;S53,1.0,IF(S56=S53,0.5,0.0)),""),"")</f>
        <v/>
      </c>
      <c r="W56">
        <f>IF(ISNUMBER(S56),IF(ISNUMBER(S54),IF(S56&gt;S54,1.0,IF(S56=S54,0.5,0.0)),""),"")</f>
        <v/>
      </c>
      <c r="X56">
        <f>IF(ISNUMBER(S56),IF(ISNUMBER(S55),IF(S56&gt;S55,1.0,IF(S56=S55,0.5,0.0)),""),"")</f>
        <v/>
      </c>
      <c r="Y56">
        <f>IF(ISNUMBER(S56),IF(ISNUMBER(S57),IF(S56&gt;S57,1.0,IF(S56=S57,0.5,0.0)),""),"")</f>
        <v/>
      </c>
      <c r="Z56">
        <f>IF(ISNUMBER(S56),IF(ISNUMBER(S58),IF(S56&gt;S58,1.0,IF(S56=S58,0.5,0.0)),""),"")</f>
        <v/>
      </c>
      <c r="AA56">
        <f>IF(ISNUMBER(T56),IF(ISNUMBER(T52),IF(T56&gt;T52,1.0,IF(T56=T52,0.5,0.0)),""),"")</f>
        <v/>
      </c>
      <c r="AB56">
        <f>IF(ISNUMBER(T56),IF(ISNUMBER(T53),IF(T56&gt;T53,1.0,IF(T56=T53,0.5,0.0)),""),"")</f>
        <v/>
      </c>
      <c r="AC56">
        <f>IF(ISNUMBER(T56),IF(ISNUMBER(T54),IF(T56&gt;T54,1.0,IF(T56=T54,0.5,0.0)),""),"")</f>
        <v/>
      </c>
      <c r="AD56">
        <f>IF(ISNUMBER(T56),IF(ISNUMBER(T55),IF(T56&gt;T55,1.0,IF(T56=T55,0.5,0.0)),""),"")</f>
        <v/>
      </c>
      <c r="AE56">
        <f>IF(ISNUMBER(T56),IF(ISNUMBER(T57),IF(T56&gt;T57,1.0,IF(T56=T57,0.5,0.0)),""),"")</f>
        <v/>
      </c>
      <c r="AF56">
        <f>IF(ISNUMBER(T56),IF(ISNUMBER(T58),IF(T56&gt;T58,1.0,IF(T56=T58,0.5,0.0)),""),"")</f>
        <v/>
      </c>
      <c r="AG56" s="14">
        <f>IF(AND(ISNUMBER(S56),ISNUMBER(S52)),VLOOKUP(ABS(S56-S52),'IMP Table'!$A$2:$C$26,3)*SIGN(S56-S52),0)</f>
        <v/>
      </c>
      <c r="AH56">
        <f>IF(AND(ISNUMBER(S56),ISNUMBER(S53)),VLOOKUP(ABS(S56-S53),'IMP Table'!$A$2:$C$26,3)*SIGN(S56-S53),0)</f>
        <v/>
      </c>
      <c r="AI56">
        <f>IF(AND(ISNUMBER(S56),ISNUMBER(S54)),VLOOKUP(ABS(S56-S54),'IMP Table'!$A$2:$C$26,3)*SIGN(S56-S54),0)</f>
        <v/>
      </c>
      <c r="AJ56">
        <f>IF(AND(ISNUMBER(S56),ISNUMBER(S55)),VLOOKUP(ABS(S56-S55),'IMP Table'!$A$2:$C$26,3)*SIGN(S56-S55),0)</f>
        <v/>
      </c>
      <c r="AK56">
        <f>IF(AND(ISNUMBER(S56),ISNUMBER(S57)),VLOOKUP(ABS(S56-S57),'IMP Table'!$A$2:$C$26,3)*SIGN(S56-S57),0)</f>
        <v/>
      </c>
      <c r="AL56">
        <f>IF(AND(ISNUMBER(S56),ISNUMBER(S58)),VLOOKUP(ABS(S56-S58),'IMP Table'!$A$2:$C$26,3)*SIGN(S56-S58),0)</f>
        <v/>
      </c>
      <c r="AM56">
        <f>IF(AND(ISNUMBER(T56),ISNUMBER(T52)),VLOOKUP(ABS(T56-T52),'IMP Table'!$A$2:$C$26,3)*SIGN(T56-T52),0)</f>
        <v/>
      </c>
      <c r="AN56">
        <f>IF(AND(ISNUMBER(T56),ISNUMBER(T53)),VLOOKUP(ABS(T56-T53),'IMP Table'!$A$2:$C$26,3)*SIGN(T56-T53),0)</f>
        <v/>
      </c>
      <c r="AO56">
        <f>IF(AND(ISNUMBER(T56),ISNUMBER(T54)),VLOOKUP(ABS(T56-T54),'IMP Table'!$A$2:$C$26,3)*SIGN(T56-T54),0)</f>
        <v/>
      </c>
      <c r="AP56">
        <f>IF(AND(ISNUMBER(T56),ISNUMBER(T55)),VLOOKUP(ABS(T56-T55),'IMP Table'!$A$2:$C$26,3)*SIGN(T56-T55),0)</f>
        <v/>
      </c>
      <c r="AQ56">
        <f>IF(AND(ISNUMBER(T56),ISNUMBER(T57)),VLOOKUP(ABS(T56-T57),'IMP Table'!$A$2:$C$26,3)*SIGN(T56-T57),0)</f>
        <v/>
      </c>
      <c r="AR56">
        <f>IF(AND(ISNUMBER(T56),ISNUMBER(T58)),VLOOKUP(ABS(T56-T58),'IMP Table'!$A$2:$C$26,3)*SIGN(T56-T58),0)</f>
        <v/>
      </c>
    </row>
    <row r="57">
      <c r="B57" s="10">
        <f>'By Round'!A101</f>
        <v/>
      </c>
      <c r="C57" s="10">
        <f>'By Round'!B109</f>
        <v/>
      </c>
      <c r="D57" s="10">
        <f>'By Round'!C109</f>
        <v/>
      </c>
      <c r="E57" s="10">
        <f>'By Round'!D109</f>
        <v/>
      </c>
      <c r="F57" s="10">
        <f>IF(ISBLANK('By Round'!F110),"",'By Round'!F110)</f>
        <v/>
      </c>
      <c r="G57">
        <f>IF(ISBLANK('By Round'!G110),"",'By Round'!G110)</f>
        <v/>
      </c>
      <c r="H57">
        <f>IF(ISBLANK('By Round'!H110),"",'By Round'!H110)</f>
        <v/>
      </c>
      <c r="I57">
        <f>IF(ISBLANK('By Round'!I110),"",'By Round'!I110)</f>
        <v/>
      </c>
      <c r="J57">
        <f>IF(ISBLANK('By Round'!J110),"",'By Round'!J110)</f>
        <v/>
      </c>
      <c r="K57">
        <f>IF(ISBLANK('By Round'!K110),"",'By Round'!K110)</f>
        <v/>
      </c>
      <c r="L57">
        <f>IF(ISBLANK('By Round'!L110),"",'By Round'!L110)</f>
        <v/>
      </c>
      <c r="M57" s="11">
        <f>AVERAGE(AG57:AL57)</f>
        <v/>
      </c>
      <c r="N57" s="12">
        <f>AVERAGE(AM57:AR57)</f>
        <v/>
      </c>
      <c r="O57" s="13">
        <f>IF(COUNT(U57:Z57)&gt;0,Q57/COUNT(U57:Z57),0.5)</f>
        <v/>
      </c>
      <c r="P57" s="13">
        <f>IF(COUNT(AA57:AF57)&gt;0,R57/COUNT(AA57:AF57),0.5)</f>
        <v/>
      </c>
      <c r="Q57" s="5">
        <f>SUM(U57:Z57)</f>
        <v/>
      </c>
      <c r="R57" s="5">
        <f>SUM(AA57:AF57)</f>
        <v/>
      </c>
      <c r="S57" s="14">
        <f>IF(ISNUMBER(K57),K57,IF(ISNUMBER(L57),-L57,""))</f>
        <v/>
      </c>
      <c r="T57">
        <f>IF(ISNUMBER(L57),L57,IF(ISNUMBER(K57),-K57,""))</f>
        <v/>
      </c>
      <c r="U57" s="14">
        <f>IF(ISNUMBER(S57),IF(ISNUMBER(S52),IF(S57&gt;S52,1.0,IF(S57=S52,0.5,0.0)),""),"")</f>
        <v/>
      </c>
      <c r="V57">
        <f>IF(ISNUMBER(S57),IF(ISNUMBER(S53),IF(S57&gt;S53,1.0,IF(S57=S53,0.5,0.0)),""),"")</f>
        <v/>
      </c>
      <c r="W57">
        <f>IF(ISNUMBER(S57),IF(ISNUMBER(S54),IF(S57&gt;S54,1.0,IF(S57=S54,0.5,0.0)),""),"")</f>
        <v/>
      </c>
      <c r="X57">
        <f>IF(ISNUMBER(S57),IF(ISNUMBER(S55),IF(S57&gt;S55,1.0,IF(S57=S55,0.5,0.0)),""),"")</f>
        <v/>
      </c>
      <c r="Y57">
        <f>IF(ISNUMBER(S57),IF(ISNUMBER(S56),IF(S57&gt;S56,1.0,IF(S57=S56,0.5,0.0)),""),"")</f>
        <v/>
      </c>
      <c r="Z57">
        <f>IF(ISNUMBER(S57),IF(ISNUMBER(S58),IF(S57&gt;S58,1.0,IF(S57=S58,0.5,0.0)),""),"")</f>
        <v/>
      </c>
      <c r="AA57">
        <f>IF(ISNUMBER(T57),IF(ISNUMBER(T52),IF(T57&gt;T52,1.0,IF(T57=T52,0.5,0.0)),""),"")</f>
        <v/>
      </c>
      <c r="AB57">
        <f>IF(ISNUMBER(T57),IF(ISNUMBER(T53),IF(T57&gt;T53,1.0,IF(T57=T53,0.5,0.0)),""),"")</f>
        <v/>
      </c>
      <c r="AC57">
        <f>IF(ISNUMBER(T57),IF(ISNUMBER(T54),IF(T57&gt;T54,1.0,IF(T57=T54,0.5,0.0)),""),"")</f>
        <v/>
      </c>
      <c r="AD57">
        <f>IF(ISNUMBER(T57),IF(ISNUMBER(T55),IF(T57&gt;T55,1.0,IF(T57=T55,0.5,0.0)),""),"")</f>
        <v/>
      </c>
      <c r="AE57">
        <f>IF(ISNUMBER(T57),IF(ISNUMBER(T56),IF(T57&gt;T56,1.0,IF(T57=T56,0.5,0.0)),""),"")</f>
        <v/>
      </c>
      <c r="AF57">
        <f>IF(ISNUMBER(T57),IF(ISNUMBER(T58),IF(T57&gt;T58,1.0,IF(T57=T58,0.5,0.0)),""),"")</f>
        <v/>
      </c>
      <c r="AG57" s="14">
        <f>IF(AND(ISNUMBER(S57),ISNUMBER(S52)),VLOOKUP(ABS(S57-S52),'IMP Table'!$A$2:$C$26,3)*SIGN(S57-S52),0)</f>
        <v/>
      </c>
      <c r="AH57">
        <f>IF(AND(ISNUMBER(S57),ISNUMBER(S53)),VLOOKUP(ABS(S57-S53),'IMP Table'!$A$2:$C$26,3)*SIGN(S57-S53),0)</f>
        <v/>
      </c>
      <c r="AI57">
        <f>IF(AND(ISNUMBER(S57),ISNUMBER(S54)),VLOOKUP(ABS(S57-S54),'IMP Table'!$A$2:$C$26,3)*SIGN(S57-S54),0)</f>
        <v/>
      </c>
      <c r="AJ57">
        <f>IF(AND(ISNUMBER(S57),ISNUMBER(S55)),VLOOKUP(ABS(S57-S55),'IMP Table'!$A$2:$C$26,3)*SIGN(S57-S55),0)</f>
        <v/>
      </c>
      <c r="AK57">
        <f>IF(AND(ISNUMBER(S57),ISNUMBER(S56)),VLOOKUP(ABS(S57-S56),'IMP Table'!$A$2:$C$26,3)*SIGN(S57-S56),0)</f>
        <v/>
      </c>
      <c r="AL57">
        <f>IF(AND(ISNUMBER(S57),ISNUMBER(S58)),VLOOKUP(ABS(S57-S58),'IMP Table'!$A$2:$C$26,3)*SIGN(S57-S58),0)</f>
        <v/>
      </c>
      <c r="AM57">
        <f>IF(AND(ISNUMBER(T57),ISNUMBER(T52)),VLOOKUP(ABS(T57-T52),'IMP Table'!$A$2:$C$26,3)*SIGN(T57-T52),0)</f>
        <v/>
      </c>
      <c r="AN57">
        <f>IF(AND(ISNUMBER(T57),ISNUMBER(T53)),VLOOKUP(ABS(T57-T53),'IMP Table'!$A$2:$C$26,3)*SIGN(T57-T53),0)</f>
        <v/>
      </c>
      <c r="AO57">
        <f>IF(AND(ISNUMBER(T57),ISNUMBER(T54)),VLOOKUP(ABS(T57-T54),'IMP Table'!$A$2:$C$26,3)*SIGN(T57-T54),0)</f>
        <v/>
      </c>
      <c r="AP57">
        <f>IF(AND(ISNUMBER(T57),ISNUMBER(T55)),VLOOKUP(ABS(T57-T55),'IMP Table'!$A$2:$C$26,3)*SIGN(T57-T55),0)</f>
        <v/>
      </c>
      <c r="AQ57">
        <f>IF(AND(ISNUMBER(T57),ISNUMBER(T56)),VLOOKUP(ABS(T57-T56),'IMP Table'!$A$2:$C$26,3)*SIGN(T57-T56),0)</f>
        <v/>
      </c>
      <c r="AR57">
        <f>IF(AND(ISNUMBER(T57),ISNUMBER(T58)),VLOOKUP(ABS(T57-T58),'IMP Table'!$A$2:$C$26,3)*SIGN(T57-T58),0)</f>
        <v/>
      </c>
    </row>
    <row r="58">
      <c r="A58" s="15" t="n"/>
      <c r="B58" s="16">
        <f>'By Round'!A45</f>
        <v/>
      </c>
      <c r="C58" s="16">
        <f>'By Round'!B45</f>
        <v/>
      </c>
      <c r="D58" s="16">
        <f>'By Round'!C45</f>
        <v/>
      </c>
      <c r="E58" s="16">
        <f>'By Round'!D45</f>
        <v/>
      </c>
      <c r="F58" s="16">
        <f>IF(ISBLANK('By Round'!F46),"",'By Round'!F46)</f>
        <v/>
      </c>
      <c r="G58" s="15">
        <f>IF(ISBLANK('By Round'!G46),"",'By Round'!G46)</f>
        <v/>
      </c>
      <c r="H58" s="15">
        <f>IF(ISBLANK('By Round'!H46),"",'By Round'!H46)</f>
        <v/>
      </c>
      <c r="I58" s="15">
        <f>IF(ISBLANK('By Round'!I46),"",'By Round'!I46)</f>
        <v/>
      </c>
      <c r="J58" s="15">
        <f>IF(ISBLANK('By Round'!J46),"",'By Round'!J46)</f>
        <v/>
      </c>
      <c r="K58" s="15">
        <f>IF(ISBLANK('By Round'!K46),"",'By Round'!K46)</f>
        <v/>
      </c>
      <c r="L58" s="15">
        <f>IF(ISBLANK('By Round'!L46),"",'By Round'!L46)</f>
        <v/>
      </c>
      <c r="M58" s="17">
        <f>AVERAGE(AG58:AL58)</f>
        <v/>
      </c>
      <c r="N58" s="18">
        <f>AVERAGE(AM58:AR58)</f>
        <v/>
      </c>
      <c r="O58" s="19">
        <f>IF(COUNT(U58:Z58)&gt;0,Q58/COUNT(U58:Z58),0.5)</f>
        <v/>
      </c>
      <c r="P58" s="19">
        <f>IF(COUNT(AA58:AF58)&gt;0,R58/COUNT(AA58:AF58),0.5)</f>
        <v/>
      </c>
      <c r="Q58" s="20">
        <f>SUM(U58:Z58)</f>
        <v/>
      </c>
      <c r="R58" s="20">
        <f>SUM(AA58:AF58)</f>
        <v/>
      </c>
      <c r="S58" s="21">
        <f>IF(ISNUMBER(K58),K58,IF(ISNUMBER(L58),-L58,""))</f>
        <v/>
      </c>
      <c r="T58" s="15">
        <f>IF(ISNUMBER(L58),L58,IF(ISNUMBER(K58),-K58,""))</f>
        <v/>
      </c>
      <c r="U58" s="21">
        <f>IF(ISNUMBER(S58),IF(ISNUMBER(S52),IF(S58&gt;S52,1.0,IF(S58=S52,0.5,0.0)),""),"")</f>
        <v/>
      </c>
      <c r="V58" s="15">
        <f>IF(ISNUMBER(S58),IF(ISNUMBER(S53),IF(S58&gt;S53,1.0,IF(S58=S53,0.5,0.0)),""),"")</f>
        <v/>
      </c>
      <c r="W58" s="15">
        <f>IF(ISNUMBER(S58),IF(ISNUMBER(S54),IF(S58&gt;S54,1.0,IF(S58=S54,0.5,0.0)),""),"")</f>
        <v/>
      </c>
      <c r="X58" s="15">
        <f>IF(ISNUMBER(S58),IF(ISNUMBER(S55),IF(S58&gt;S55,1.0,IF(S58=S55,0.5,0.0)),""),"")</f>
        <v/>
      </c>
      <c r="Y58" s="15">
        <f>IF(ISNUMBER(S58),IF(ISNUMBER(S56),IF(S58&gt;S56,1.0,IF(S58=S56,0.5,0.0)),""),"")</f>
        <v/>
      </c>
      <c r="Z58" s="15">
        <f>IF(ISNUMBER(S58),IF(ISNUMBER(S57),IF(S58&gt;S57,1.0,IF(S58=S57,0.5,0.0)),""),"")</f>
        <v/>
      </c>
      <c r="AA58" s="15">
        <f>IF(ISNUMBER(T58),IF(ISNUMBER(T52),IF(T58&gt;T52,1.0,IF(T58=T52,0.5,0.0)),""),"")</f>
        <v/>
      </c>
      <c r="AB58" s="15">
        <f>IF(ISNUMBER(T58),IF(ISNUMBER(T53),IF(T58&gt;T53,1.0,IF(T58=T53,0.5,0.0)),""),"")</f>
        <v/>
      </c>
      <c r="AC58" s="15">
        <f>IF(ISNUMBER(T58),IF(ISNUMBER(T54),IF(T58&gt;T54,1.0,IF(T58=T54,0.5,0.0)),""),"")</f>
        <v/>
      </c>
      <c r="AD58" s="15">
        <f>IF(ISNUMBER(T58),IF(ISNUMBER(T55),IF(T58&gt;T55,1.0,IF(T58=T55,0.5,0.0)),""),"")</f>
        <v/>
      </c>
      <c r="AE58" s="15">
        <f>IF(ISNUMBER(T58),IF(ISNUMBER(T56),IF(T58&gt;T56,1.0,IF(T58=T56,0.5,0.0)),""),"")</f>
        <v/>
      </c>
      <c r="AF58" s="15">
        <f>IF(ISNUMBER(T58),IF(ISNUMBER(T57),IF(T58&gt;T57,1.0,IF(T58=T57,0.5,0.0)),""),"")</f>
        <v/>
      </c>
      <c r="AG58" s="21">
        <f>IF(AND(ISNUMBER(S58),ISNUMBER(S52)),VLOOKUP(ABS(S58-S52),'IMP Table'!$A$2:$C$26,3)*SIGN(S58-S52),0)</f>
        <v/>
      </c>
      <c r="AH58" s="15">
        <f>IF(AND(ISNUMBER(S58),ISNUMBER(S53)),VLOOKUP(ABS(S58-S53),'IMP Table'!$A$2:$C$26,3)*SIGN(S58-S53),0)</f>
        <v/>
      </c>
      <c r="AI58" s="15">
        <f>IF(AND(ISNUMBER(S58),ISNUMBER(S54)),VLOOKUP(ABS(S58-S54),'IMP Table'!$A$2:$C$26,3)*SIGN(S58-S54),0)</f>
        <v/>
      </c>
      <c r="AJ58" s="15">
        <f>IF(AND(ISNUMBER(S58),ISNUMBER(S55)),VLOOKUP(ABS(S58-S55),'IMP Table'!$A$2:$C$26,3)*SIGN(S58-S55),0)</f>
        <v/>
      </c>
      <c r="AK58" s="15">
        <f>IF(AND(ISNUMBER(S58),ISNUMBER(S56)),VLOOKUP(ABS(S58-S56),'IMP Table'!$A$2:$C$26,3)*SIGN(S58-S56),0)</f>
        <v/>
      </c>
      <c r="AL58" s="15">
        <f>IF(AND(ISNUMBER(S58),ISNUMBER(S57)),VLOOKUP(ABS(S58-S57),'IMP Table'!$A$2:$C$26,3)*SIGN(S58-S57),0)</f>
        <v/>
      </c>
      <c r="AM58" s="15">
        <f>IF(AND(ISNUMBER(T58),ISNUMBER(T52)),VLOOKUP(ABS(T58-T52),'IMP Table'!$A$2:$C$26,3)*SIGN(T58-T52),0)</f>
        <v/>
      </c>
      <c r="AN58" s="15">
        <f>IF(AND(ISNUMBER(T58),ISNUMBER(T53)),VLOOKUP(ABS(T58-T53),'IMP Table'!$A$2:$C$26,3)*SIGN(T58-T53),0)</f>
        <v/>
      </c>
      <c r="AO58" s="15">
        <f>IF(AND(ISNUMBER(T58),ISNUMBER(T54)),VLOOKUP(ABS(T58-T54),'IMP Table'!$A$2:$C$26,3)*SIGN(T58-T54),0)</f>
        <v/>
      </c>
      <c r="AP58" s="15">
        <f>IF(AND(ISNUMBER(T58),ISNUMBER(T55)),VLOOKUP(ABS(T58-T55),'IMP Table'!$A$2:$C$26,3)*SIGN(T58-T55),0)</f>
        <v/>
      </c>
      <c r="AQ58" s="15">
        <f>IF(AND(ISNUMBER(T58),ISNUMBER(T56)),VLOOKUP(ABS(T58-T56),'IMP Table'!$A$2:$C$26,3)*SIGN(T58-T56),0)</f>
        <v/>
      </c>
      <c r="AR58" s="15">
        <f>IF(AND(ISNUMBER(T58),ISNUMBER(T57)),VLOOKUP(ABS(T58-T57),'IMP Table'!$A$2:$C$26,3)*SIGN(T58-T57),0)</f>
        <v/>
      </c>
    </row>
    <row r="59">
      <c r="A59" s="10" t="n">
        <v>9</v>
      </c>
      <c r="B59" s="10">
        <f>'By Round'!A115</f>
        <v/>
      </c>
      <c r="C59" s="10">
        <f>'By Round'!B123</f>
        <v/>
      </c>
      <c r="D59" s="10">
        <f>'By Round'!C123</f>
        <v/>
      </c>
      <c r="E59" s="10">
        <f>'By Round'!D123</f>
        <v/>
      </c>
      <c r="F59" s="10">
        <f>IF(ISBLANK('By Round'!F123),"",'By Round'!F123)</f>
        <v/>
      </c>
      <c r="G59">
        <f>IF(ISBLANK('By Round'!G123),"",'By Round'!G123)</f>
        <v/>
      </c>
      <c r="H59">
        <f>IF(ISBLANK('By Round'!H123),"",'By Round'!H123)</f>
        <v/>
      </c>
      <c r="I59">
        <f>IF(ISBLANK('By Round'!I123),"",'By Round'!I123)</f>
        <v/>
      </c>
      <c r="J59">
        <f>IF(ISBLANK('By Round'!J123),"",'By Round'!J123)</f>
        <v/>
      </c>
      <c r="K59">
        <f>IF(ISBLANK('By Round'!K123),"",'By Round'!K123)</f>
        <v/>
      </c>
      <c r="L59">
        <f>IF(ISBLANK('By Round'!L123),"",'By Round'!L123)</f>
        <v/>
      </c>
      <c r="M59" s="11">
        <f>AVERAGE(AG59:AL59)</f>
        <v/>
      </c>
      <c r="N59" s="12">
        <f>AVERAGE(AM59:AR59)</f>
        <v/>
      </c>
      <c r="O59" s="13">
        <f>IF(COUNT(U59:Z59)&gt;0,Q59/COUNT(U59:Z59),0.5)</f>
        <v/>
      </c>
      <c r="P59" s="13">
        <f>IF(COUNT(AA59:AF59)&gt;0,R59/COUNT(AA59:AF59),0.5)</f>
        <v/>
      </c>
      <c r="Q59" s="5">
        <f>SUM(U59:Z59)</f>
        <v/>
      </c>
      <c r="R59" s="5">
        <f>SUM(AA59:AF59)</f>
        <v/>
      </c>
      <c r="S59" s="14">
        <f>IF(ISNUMBER(K59),K59,IF(ISNUMBER(L59),-L59,""))</f>
        <v/>
      </c>
      <c r="T59">
        <f>IF(ISNUMBER(L59),L59,IF(ISNUMBER(K59),-K59,""))</f>
        <v/>
      </c>
      <c r="U59" s="14">
        <f>IF(ISNUMBER(S59),IF(ISNUMBER(S60),IF(S59&gt;S60,1.0,IF(S59=S60,0.5,0.0)),""),"")</f>
        <v/>
      </c>
      <c r="V59">
        <f>IF(ISNUMBER(S59),IF(ISNUMBER(S61),IF(S59&gt;S61,1.0,IF(S59=S61,0.5,0.0)),""),"")</f>
        <v/>
      </c>
      <c r="W59">
        <f>IF(ISNUMBER(S59),IF(ISNUMBER(S62),IF(S59&gt;S62,1.0,IF(S59=S62,0.5,0.0)),""),"")</f>
        <v/>
      </c>
      <c r="X59">
        <f>IF(ISNUMBER(S59),IF(ISNUMBER(S63),IF(S59&gt;S63,1.0,IF(S59=S63,0.5,0.0)),""),"")</f>
        <v/>
      </c>
      <c r="Y59">
        <f>IF(ISNUMBER(S59),IF(ISNUMBER(S64),IF(S59&gt;S64,1.0,IF(S59=S64,0.5,0.0)),""),"")</f>
        <v/>
      </c>
      <c r="Z59">
        <f>IF(ISNUMBER(S59),IF(ISNUMBER(S65),IF(S59&gt;S65,1.0,IF(S59=S65,0.5,0.0)),""),"")</f>
        <v/>
      </c>
      <c r="AA59">
        <f>IF(ISNUMBER(T59),IF(ISNUMBER(T60),IF(T59&gt;T60,1.0,IF(T59=T60,0.5,0.0)),""),"")</f>
        <v/>
      </c>
      <c r="AB59">
        <f>IF(ISNUMBER(T59),IF(ISNUMBER(T61),IF(T59&gt;T61,1.0,IF(T59=T61,0.5,0.0)),""),"")</f>
        <v/>
      </c>
      <c r="AC59">
        <f>IF(ISNUMBER(T59),IF(ISNUMBER(T62),IF(T59&gt;T62,1.0,IF(T59=T62,0.5,0.0)),""),"")</f>
        <v/>
      </c>
      <c r="AD59">
        <f>IF(ISNUMBER(T59),IF(ISNUMBER(T63),IF(T59&gt;T63,1.0,IF(T59=T63,0.5,0.0)),""),"")</f>
        <v/>
      </c>
      <c r="AE59">
        <f>IF(ISNUMBER(T59),IF(ISNUMBER(T64),IF(T59&gt;T64,1.0,IF(T59=T64,0.5,0.0)),""),"")</f>
        <v/>
      </c>
      <c r="AF59">
        <f>IF(ISNUMBER(T59),IF(ISNUMBER(T65),IF(T59&gt;T65,1.0,IF(T59=T65,0.5,0.0)),""),"")</f>
        <v/>
      </c>
      <c r="AG59" s="14">
        <f>IF(AND(ISNUMBER(S59),ISNUMBER(S60)),VLOOKUP(ABS(S59-S60),'IMP Table'!$A$2:$C$26,3)*SIGN(S59-S60),0)</f>
        <v/>
      </c>
      <c r="AH59">
        <f>IF(AND(ISNUMBER(S59),ISNUMBER(S61)),VLOOKUP(ABS(S59-S61),'IMP Table'!$A$2:$C$26,3)*SIGN(S59-S61),0)</f>
        <v/>
      </c>
      <c r="AI59">
        <f>IF(AND(ISNUMBER(S59),ISNUMBER(S62)),VLOOKUP(ABS(S59-S62),'IMP Table'!$A$2:$C$26,3)*SIGN(S59-S62),0)</f>
        <v/>
      </c>
      <c r="AJ59">
        <f>IF(AND(ISNUMBER(S59),ISNUMBER(S63)),VLOOKUP(ABS(S59-S63),'IMP Table'!$A$2:$C$26,3)*SIGN(S59-S63),0)</f>
        <v/>
      </c>
      <c r="AK59">
        <f>IF(AND(ISNUMBER(S59),ISNUMBER(S64)),VLOOKUP(ABS(S59-S64),'IMP Table'!$A$2:$C$26,3)*SIGN(S59-S64),0)</f>
        <v/>
      </c>
      <c r="AL59">
        <f>IF(AND(ISNUMBER(S59),ISNUMBER(S65)),VLOOKUP(ABS(S59-S65),'IMP Table'!$A$2:$C$26,3)*SIGN(S59-S65),0)</f>
        <v/>
      </c>
      <c r="AM59">
        <f>IF(AND(ISNUMBER(T59),ISNUMBER(T60)),VLOOKUP(ABS(T59-T60),'IMP Table'!$A$2:$C$26,3)*SIGN(T59-T60),0)</f>
        <v/>
      </c>
      <c r="AN59">
        <f>IF(AND(ISNUMBER(T59),ISNUMBER(T61)),VLOOKUP(ABS(T59-T61),'IMP Table'!$A$2:$C$26,3)*SIGN(T59-T61),0)</f>
        <v/>
      </c>
      <c r="AO59">
        <f>IF(AND(ISNUMBER(T59),ISNUMBER(T62)),VLOOKUP(ABS(T59-T62),'IMP Table'!$A$2:$C$26,3)*SIGN(T59-T62),0)</f>
        <v/>
      </c>
      <c r="AP59">
        <f>IF(AND(ISNUMBER(T59),ISNUMBER(T63)),VLOOKUP(ABS(T59-T63),'IMP Table'!$A$2:$C$26,3)*SIGN(T59-T63),0)</f>
        <v/>
      </c>
      <c r="AQ59">
        <f>IF(AND(ISNUMBER(T59),ISNUMBER(T64)),VLOOKUP(ABS(T59-T64),'IMP Table'!$A$2:$C$26,3)*SIGN(T59-T64),0)</f>
        <v/>
      </c>
      <c r="AR59">
        <f>IF(AND(ISNUMBER(T59),ISNUMBER(T65)),VLOOKUP(ABS(T59-T65),'IMP Table'!$A$2:$C$26,3)*SIGN(T59-T65),0)</f>
        <v/>
      </c>
    </row>
    <row r="60">
      <c r="B60" s="10">
        <f>'By Round'!A101</f>
        <v/>
      </c>
      <c r="C60" s="10">
        <f>'By Round'!B111</f>
        <v/>
      </c>
      <c r="D60" s="10">
        <f>'By Round'!C111</f>
        <v/>
      </c>
      <c r="E60" s="10">
        <f>'By Round'!D111</f>
        <v/>
      </c>
      <c r="F60" s="10">
        <f>IF(ISBLANK('By Round'!F111),"",'By Round'!F111)</f>
        <v/>
      </c>
      <c r="G60">
        <f>IF(ISBLANK('By Round'!G111),"",'By Round'!G111)</f>
        <v/>
      </c>
      <c r="H60">
        <f>IF(ISBLANK('By Round'!H111),"",'By Round'!H111)</f>
        <v/>
      </c>
      <c r="I60">
        <f>IF(ISBLANK('By Round'!I111),"",'By Round'!I111)</f>
        <v/>
      </c>
      <c r="J60">
        <f>IF(ISBLANK('By Round'!J111),"",'By Round'!J111)</f>
        <v/>
      </c>
      <c r="K60">
        <f>IF(ISBLANK('By Round'!K111),"",'By Round'!K111)</f>
        <v/>
      </c>
      <c r="L60">
        <f>IF(ISBLANK('By Round'!L111),"",'By Round'!L111)</f>
        <v/>
      </c>
      <c r="M60" s="11">
        <f>AVERAGE(AG60:AL60)</f>
        <v/>
      </c>
      <c r="N60" s="12">
        <f>AVERAGE(AM60:AR60)</f>
        <v/>
      </c>
      <c r="O60" s="13">
        <f>IF(COUNT(U60:Z60)&gt;0,Q60/COUNT(U60:Z60),0.5)</f>
        <v/>
      </c>
      <c r="P60" s="13">
        <f>IF(COUNT(AA60:AF60)&gt;0,R60/COUNT(AA60:AF60),0.5)</f>
        <v/>
      </c>
      <c r="Q60" s="5">
        <f>SUM(U60:Z60)</f>
        <v/>
      </c>
      <c r="R60" s="5">
        <f>SUM(AA60:AF60)</f>
        <v/>
      </c>
      <c r="S60" s="14">
        <f>IF(ISNUMBER(K60),K60,IF(ISNUMBER(L60),-L60,""))</f>
        <v/>
      </c>
      <c r="T60">
        <f>IF(ISNUMBER(L60),L60,IF(ISNUMBER(K60),-K60,""))</f>
        <v/>
      </c>
      <c r="U60" s="14">
        <f>IF(ISNUMBER(S60),IF(ISNUMBER(S59),IF(S60&gt;S59,1.0,IF(S60=S59,0.5,0.0)),""),"")</f>
        <v/>
      </c>
      <c r="V60">
        <f>IF(ISNUMBER(S60),IF(ISNUMBER(S61),IF(S60&gt;S61,1.0,IF(S60=S61,0.5,0.0)),""),"")</f>
        <v/>
      </c>
      <c r="W60">
        <f>IF(ISNUMBER(S60),IF(ISNUMBER(S62),IF(S60&gt;S62,1.0,IF(S60=S62,0.5,0.0)),""),"")</f>
        <v/>
      </c>
      <c r="X60">
        <f>IF(ISNUMBER(S60),IF(ISNUMBER(S63),IF(S60&gt;S63,1.0,IF(S60=S63,0.5,0.0)),""),"")</f>
        <v/>
      </c>
      <c r="Y60">
        <f>IF(ISNUMBER(S60),IF(ISNUMBER(S64),IF(S60&gt;S64,1.0,IF(S60=S64,0.5,0.0)),""),"")</f>
        <v/>
      </c>
      <c r="Z60">
        <f>IF(ISNUMBER(S60),IF(ISNUMBER(S65),IF(S60&gt;S65,1.0,IF(S60=S65,0.5,0.0)),""),"")</f>
        <v/>
      </c>
      <c r="AA60">
        <f>IF(ISNUMBER(T60),IF(ISNUMBER(T59),IF(T60&gt;T59,1.0,IF(T60=T59,0.5,0.0)),""),"")</f>
        <v/>
      </c>
      <c r="AB60">
        <f>IF(ISNUMBER(T60),IF(ISNUMBER(T61),IF(T60&gt;T61,1.0,IF(T60=T61,0.5,0.0)),""),"")</f>
        <v/>
      </c>
      <c r="AC60">
        <f>IF(ISNUMBER(T60),IF(ISNUMBER(T62),IF(T60&gt;T62,1.0,IF(T60=T62,0.5,0.0)),""),"")</f>
        <v/>
      </c>
      <c r="AD60">
        <f>IF(ISNUMBER(T60),IF(ISNUMBER(T63),IF(T60&gt;T63,1.0,IF(T60=T63,0.5,0.0)),""),"")</f>
        <v/>
      </c>
      <c r="AE60">
        <f>IF(ISNUMBER(T60),IF(ISNUMBER(T64),IF(T60&gt;T64,1.0,IF(T60=T64,0.5,0.0)),""),"")</f>
        <v/>
      </c>
      <c r="AF60">
        <f>IF(ISNUMBER(T60),IF(ISNUMBER(T65),IF(T60&gt;T65,1.0,IF(T60=T65,0.5,0.0)),""),"")</f>
        <v/>
      </c>
      <c r="AG60" s="14">
        <f>IF(AND(ISNUMBER(S60),ISNUMBER(S59)),VLOOKUP(ABS(S60-S59),'IMP Table'!$A$2:$C$26,3)*SIGN(S60-S59),0)</f>
        <v/>
      </c>
      <c r="AH60">
        <f>IF(AND(ISNUMBER(S60),ISNUMBER(S61)),VLOOKUP(ABS(S60-S61),'IMP Table'!$A$2:$C$26,3)*SIGN(S60-S61),0)</f>
        <v/>
      </c>
      <c r="AI60">
        <f>IF(AND(ISNUMBER(S60),ISNUMBER(S62)),VLOOKUP(ABS(S60-S62),'IMP Table'!$A$2:$C$26,3)*SIGN(S60-S62),0)</f>
        <v/>
      </c>
      <c r="AJ60">
        <f>IF(AND(ISNUMBER(S60),ISNUMBER(S63)),VLOOKUP(ABS(S60-S63),'IMP Table'!$A$2:$C$26,3)*SIGN(S60-S63),0)</f>
        <v/>
      </c>
      <c r="AK60">
        <f>IF(AND(ISNUMBER(S60),ISNUMBER(S64)),VLOOKUP(ABS(S60-S64),'IMP Table'!$A$2:$C$26,3)*SIGN(S60-S64),0)</f>
        <v/>
      </c>
      <c r="AL60">
        <f>IF(AND(ISNUMBER(S60),ISNUMBER(S65)),VLOOKUP(ABS(S60-S65),'IMP Table'!$A$2:$C$26,3)*SIGN(S60-S65),0)</f>
        <v/>
      </c>
      <c r="AM60">
        <f>IF(AND(ISNUMBER(T60),ISNUMBER(T59)),VLOOKUP(ABS(T60-T59),'IMP Table'!$A$2:$C$26,3)*SIGN(T60-T59),0)</f>
        <v/>
      </c>
      <c r="AN60">
        <f>IF(AND(ISNUMBER(T60),ISNUMBER(T61)),VLOOKUP(ABS(T60-T61),'IMP Table'!$A$2:$C$26,3)*SIGN(T60-T61),0)</f>
        <v/>
      </c>
      <c r="AO60">
        <f>IF(AND(ISNUMBER(T60),ISNUMBER(T62)),VLOOKUP(ABS(T60-T62),'IMP Table'!$A$2:$C$26,3)*SIGN(T60-T62),0)</f>
        <v/>
      </c>
      <c r="AP60">
        <f>IF(AND(ISNUMBER(T60),ISNUMBER(T63)),VLOOKUP(ABS(T60-T63),'IMP Table'!$A$2:$C$26,3)*SIGN(T60-T63),0)</f>
        <v/>
      </c>
      <c r="AQ60">
        <f>IF(AND(ISNUMBER(T60),ISNUMBER(T64)),VLOOKUP(ABS(T60-T64),'IMP Table'!$A$2:$C$26,3)*SIGN(T60-T64),0)</f>
        <v/>
      </c>
      <c r="AR60">
        <f>IF(AND(ISNUMBER(T60),ISNUMBER(T65)),VLOOKUP(ABS(T60-T65),'IMP Table'!$A$2:$C$26,3)*SIGN(T60-T65),0)</f>
        <v/>
      </c>
    </row>
    <row r="61">
      <c r="B61" s="10">
        <f>'By Round'!A17</f>
        <v/>
      </c>
      <c r="C61" s="10">
        <f>'By Round'!B21</f>
        <v/>
      </c>
      <c r="D61" s="10">
        <f>'By Round'!C21</f>
        <v/>
      </c>
      <c r="E61" s="10">
        <f>'By Round'!D21</f>
        <v/>
      </c>
      <c r="F61" s="10">
        <f>IF(ISBLANK('By Round'!F21),"",'By Round'!F21)</f>
        <v/>
      </c>
      <c r="G61">
        <f>IF(ISBLANK('By Round'!G21),"",'By Round'!G21)</f>
        <v/>
      </c>
      <c r="H61">
        <f>IF(ISBLANK('By Round'!H21),"",'By Round'!H21)</f>
        <v/>
      </c>
      <c r="I61">
        <f>IF(ISBLANK('By Round'!I21),"",'By Round'!I21)</f>
        <v/>
      </c>
      <c r="J61">
        <f>IF(ISBLANK('By Round'!J21),"",'By Round'!J21)</f>
        <v/>
      </c>
      <c r="K61">
        <f>IF(ISBLANK('By Round'!K21),"",'By Round'!K21)</f>
        <v/>
      </c>
      <c r="L61">
        <f>IF(ISBLANK('By Round'!L21),"",'By Round'!L21)</f>
        <v/>
      </c>
      <c r="M61" s="11">
        <f>AVERAGE(AG61:AL61)</f>
        <v/>
      </c>
      <c r="N61" s="12">
        <f>AVERAGE(AM61:AR61)</f>
        <v/>
      </c>
      <c r="O61" s="13">
        <f>IF(COUNT(U61:Z61)&gt;0,Q61/COUNT(U61:Z61),0.5)</f>
        <v/>
      </c>
      <c r="P61" s="13">
        <f>IF(COUNT(AA61:AF61)&gt;0,R61/COUNT(AA61:AF61),0.5)</f>
        <v/>
      </c>
      <c r="Q61" s="5">
        <f>SUM(U61:Z61)</f>
        <v/>
      </c>
      <c r="R61" s="5">
        <f>SUM(AA61:AF61)</f>
        <v/>
      </c>
      <c r="S61" s="14">
        <f>IF(ISNUMBER(K61),K61,IF(ISNUMBER(L61),-L61,""))</f>
        <v/>
      </c>
      <c r="T61">
        <f>IF(ISNUMBER(L61),L61,IF(ISNUMBER(K61),-K61,""))</f>
        <v/>
      </c>
      <c r="U61" s="14">
        <f>IF(ISNUMBER(S61),IF(ISNUMBER(S59),IF(S61&gt;S59,1.0,IF(S61=S59,0.5,0.0)),""),"")</f>
        <v/>
      </c>
      <c r="V61">
        <f>IF(ISNUMBER(S61),IF(ISNUMBER(S60),IF(S61&gt;S60,1.0,IF(S61=S60,0.5,0.0)),""),"")</f>
        <v/>
      </c>
      <c r="W61">
        <f>IF(ISNUMBER(S61),IF(ISNUMBER(S62),IF(S61&gt;S62,1.0,IF(S61=S62,0.5,0.0)),""),"")</f>
        <v/>
      </c>
      <c r="X61">
        <f>IF(ISNUMBER(S61),IF(ISNUMBER(S63),IF(S61&gt;S63,1.0,IF(S61=S63,0.5,0.0)),""),"")</f>
        <v/>
      </c>
      <c r="Y61">
        <f>IF(ISNUMBER(S61),IF(ISNUMBER(S64),IF(S61&gt;S64,1.0,IF(S61=S64,0.5,0.0)),""),"")</f>
        <v/>
      </c>
      <c r="Z61">
        <f>IF(ISNUMBER(S61),IF(ISNUMBER(S65),IF(S61&gt;S65,1.0,IF(S61=S65,0.5,0.0)),""),"")</f>
        <v/>
      </c>
      <c r="AA61">
        <f>IF(ISNUMBER(T61),IF(ISNUMBER(T59),IF(T61&gt;T59,1.0,IF(T61=T59,0.5,0.0)),""),"")</f>
        <v/>
      </c>
      <c r="AB61">
        <f>IF(ISNUMBER(T61),IF(ISNUMBER(T60),IF(T61&gt;T60,1.0,IF(T61=T60,0.5,0.0)),""),"")</f>
        <v/>
      </c>
      <c r="AC61">
        <f>IF(ISNUMBER(T61),IF(ISNUMBER(T62),IF(T61&gt;T62,1.0,IF(T61=T62,0.5,0.0)),""),"")</f>
        <v/>
      </c>
      <c r="AD61">
        <f>IF(ISNUMBER(T61),IF(ISNUMBER(T63),IF(T61&gt;T63,1.0,IF(T61=T63,0.5,0.0)),""),"")</f>
        <v/>
      </c>
      <c r="AE61">
        <f>IF(ISNUMBER(T61),IF(ISNUMBER(T64),IF(T61&gt;T64,1.0,IF(T61=T64,0.5,0.0)),""),"")</f>
        <v/>
      </c>
      <c r="AF61">
        <f>IF(ISNUMBER(T61),IF(ISNUMBER(T65),IF(T61&gt;T65,1.0,IF(T61=T65,0.5,0.0)),""),"")</f>
        <v/>
      </c>
      <c r="AG61" s="14">
        <f>IF(AND(ISNUMBER(S61),ISNUMBER(S59)),VLOOKUP(ABS(S61-S59),'IMP Table'!$A$2:$C$26,3)*SIGN(S61-S59),0)</f>
        <v/>
      </c>
      <c r="AH61">
        <f>IF(AND(ISNUMBER(S61),ISNUMBER(S60)),VLOOKUP(ABS(S61-S60),'IMP Table'!$A$2:$C$26,3)*SIGN(S61-S60),0)</f>
        <v/>
      </c>
      <c r="AI61">
        <f>IF(AND(ISNUMBER(S61),ISNUMBER(S62)),VLOOKUP(ABS(S61-S62),'IMP Table'!$A$2:$C$26,3)*SIGN(S61-S62),0)</f>
        <v/>
      </c>
      <c r="AJ61">
        <f>IF(AND(ISNUMBER(S61),ISNUMBER(S63)),VLOOKUP(ABS(S61-S63),'IMP Table'!$A$2:$C$26,3)*SIGN(S61-S63),0)</f>
        <v/>
      </c>
      <c r="AK61">
        <f>IF(AND(ISNUMBER(S61),ISNUMBER(S64)),VLOOKUP(ABS(S61-S64),'IMP Table'!$A$2:$C$26,3)*SIGN(S61-S64),0)</f>
        <v/>
      </c>
      <c r="AL61">
        <f>IF(AND(ISNUMBER(S61),ISNUMBER(S65)),VLOOKUP(ABS(S61-S65),'IMP Table'!$A$2:$C$26,3)*SIGN(S61-S65),0)</f>
        <v/>
      </c>
      <c r="AM61">
        <f>IF(AND(ISNUMBER(T61),ISNUMBER(T59)),VLOOKUP(ABS(T61-T59),'IMP Table'!$A$2:$C$26,3)*SIGN(T61-T59),0)</f>
        <v/>
      </c>
      <c r="AN61">
        <f>IF(AND(ISNUMBER(T61),ISNUMBER(T60)),VLOOKUP(ABS(T61-T60),'IMP Table'!$A$2:$C$26,3)*SIGN(T61-T60),0)</f>
        <v/>
      </c>
      <c r="AO61">
        <f>IF(AND(ISNUMBER(T61),ISNUMBER(T62)),VLOOKUP(ABS(T61-T62),'IMP Table'!$A$2:$C$26,3)*SIGN(T61-T62),0)</f>
        <v/>
      </c>
      <c r="AP61">
        <f>IF(AND(ISNUMBER(T61),ISNUMBER(T63)),VLOOKUP(ABS(T61-T63),'IMP Table'!$A$2:$C$26,3)*SIGN(T61-T63),0)</f>
        <v/>
      </c>
      <c r="AQ61">
        <f>IF(AND(ISNUMBER(T61),ISNUMBER(T64)),VLOOKUP(ABS(T61-T64),'IMP Table'!$A$2:$C$26,3)*SIGN(T61-T64),0)</f>
        <v/>
      </c>
      <c r="AR61">
        <f>IF(AND(ISNUMBER(T61),ISNUMBER(T65)),VLOOKUP(ABS(T61-T65),'IMP Table'!$A$2:$C$26,3)*SIGN(T61-T65),0)</f>
        <v/>
      </c>
    </row>
    <row r="62">
      <c r="B62" s="10">
        <f>'By Round'!A31</f>
        <v/>
      </c>
      <c r="C62" s="10">
        <f>'By Round'!B33</f>
        <v/>
      </c>
      <c r="D62" s="10">
        <f>'By Round'!C33</f>
        <v/>
      </c>
      <c r="E62" s="10">
        <f>'By Round'!D33</f>
        <v/>
      </c>
      <c r="F62" s="10">
        <f>IF(ISBLANK('By Round'!F33),"",'By Round'!F33)</f>
        <v/>
      </c>
      <c r="G62">
        <f>IF(ISBLANK('By Round'!G33),"",'By Round'!G33)</f>
        <v/>
      </c>
      <c r="H62">
        <f>IF(ISBLANK('By Round'!H33),"",'By Round'!H33)</f>
        <v/>
      </c>
      <c r="I62">
        <f>IF(ISBLANK('By Round'!I33),"",'By Round'!I33)</f>
        <v/>
      </c>
      <c r="J62">
        <f>IF(ISBLANK('By Round'!J33),"",'By Round'!J33)</f>
        <v/>
      </c>
      <c r="K62">
        <f>IF(ISBLANK('By Round'!K33),"",'By Round'!K33)</f>
        <v/>
      </c>
      <c r="L62">
        <f>IF(ISBLANK('By Round'!L33),"",'By Round'!L33)</f>
        <v/>
      </c>
      <c r="M62" s="11">
        <f>AVERAGE(AG62:AL62)</f>
        <v/>
      </c>
      <c r="N62" s="12">
        <f>AVERAGE(AM62:AR62)</f>
        <v/>
      </c>
      <c r="O62" s="13">
        <f>IF(COUNT(U62:Z62)&gt;0,Q62/COUNT(U62:Z62),0.5)</f>
        <v/>
      </c>
      <c r="P62" s="13">
        <f>IF(COUNT(AA62:AF62)&gt;0,R62/COUNT(AA62:AF62),0.5)</f>
        <v/>
      </c>
      <c r="Q62" s="5">
        <f>SUM(U62:Z62)</f>
        <v/>
      </c>
      <c r="R62" s="5">
        <f>SUM(AA62:AF62)</f>
        <v/>
      </c>
      <c r="S62" s="14">
        <f>IF(ISNUMBER(K62),K62,IF(ISNUMBER(L62),-L62,""))</f>
        <v/>
      </c>
      <c r="T62">
        <f>IF(ISNUMBER(L62),L62,IF(ISNUMBER(K62),-K62,""))</f>
        <v/>
      </c>
      <c r="U62" s="14">
        <f>IF(ISNUMBER(S62),IF(ISNUMBER(S59),IF(S62&gt;S59,1.0,IF(S62=S59,0.5,0.0)),""),"")</f>
        <v/>
      </c>
      <c r="V62">
        <f>IF(ISNUMBER(S62),IF(ISNUMBER(S60),IF(S62&gt;S60,1.0,IF(S62=S60,0.5,0.0)),""),"")</f>
        <v/>
      </c>
      <c r="W62">
        <f>IF(ISNUMBER(S62),IF(ISNUMBER(S61),IF(S62&gt;S61,1.0,IF(S62=S61,0.5,0.0)),""),"")</f>
        <v/>
      </c>
      <c r="X62">
        <f>IF(ISNUMBER(S62),IF(ISNUMBER(S63),IF(S62&gt;S63,1.0,IF(S62=S63,0.5,0.0)),""),"")</f>
        <v/>
      </c>
      <c r="Y62">
        <f>IF(ISNUMBER(S62),IF(ISNUMBER(S64),IF(S62&gt;S64,1.0,IF(S62=S64,0.5,0.0)),""),"")</f>
        <v/>
      </c>
      <c r="Z62">
        <f>IF(ISNUMBER(S62),IF(ISNUMBER(S65),IF(S62&gt;S65,1.0,IF(S62=S65,0.5,0.0)),""),"")</f>
        <v/>
      </c>
      <c r="AA62">
        <f>IF(ISNUMBER(T62),IF(ISNUMBER(T59),IF(T62&gt;T59,1.0,IF(T62=T59,0.5,0.0)),""),"")</f>
        <v/>
      </c>
      <c r="AB62">
        <f>IF(ISNUMBER(T62),IF(ISNUMBER(T60),IF(T62&gt;T60,1.0,IF(T62=T60,0.5,0.0)),""),"")</f>
        <v/>
      </c>
      <c r="AC62">
        <f>IF(ISNUMBER(T62),IF(ISNUMBER(T61),IF(T62&gt;T61,1.0,IF(T62=T61,0.5,0.0)),""),"")</f>
        <v/>
      </c>
      <c r="AD62">
        <f>IF(ISNUMBER(T62),IF(ISNUMBER(T63),IF(T62&gt;T63,1.0,IF(T62=T63,0.5,0.0)),""),"")</f>
        <v/>
      </c>
      <c r="AE62">
        <f>IF(ISNUMBER(T62),IF(ISNUMBER(T64),IF(T62&gt;T64,1.0,IF(T62=T64,0.5,0.0)),""),"")</f>
        <v/>
      </c>
      <c r="AF62">
        <f>IF(ISNUMBER(T62),IF(ISNUMBER(T65),IF(T62&gt;T65,1.0,IF(T62=T65,0.5,0.0)),""),"")</f>
        <v/>
      </c>
      <c r="AG62" s="14">
        <f>IF(AND(ISNUMBER(S62),ISNUMBER(S59)),VLOOKUP(ABS(S62-S59),'IMP Table'!$A$2:$C$26,3)*SIGN(S62-S59),0)</f>
        <v/>
      </c>
      <c r="AH62">
        <f>IF(AND(ISNUMBER(S62),ISNUMBER(S60)),VLOOKUP(ABS(S62-S60),'IMP Table'!$A$2:$C$26,3)*SIGN(S62-S60),0)</f>
        <v/>
      </c>
      <c r="AI62">
        <f>IF(AND(ISNUMBER(S62),ISNUMBER(S61)),VLOOKUP(ABS(S62-S61),'IMP Table'!$A$2:$C$26,3)*SIGN(S62-S61),0)</f>
        <v/>
      </c>
      <c r="AJ62">
        <f>IF(AND(ISNUMBER(S62),ISNUMBER(S63)),VLOOKUP(ABS(S62-S63),'IMP Table'!$A$2:$C$26,3)*SIGN(S62-S63),0)</f>
        <v/>
      </c>
      <c r="AK62">
        <f>IF(AND(ISNUMBER(S62),ISNUMBER(S64)),VLOOKUP(ABS(S62-S64),'IMP Table'!$A$2:$C$26,3)*SIGN(S62-S64),0)</f>
        <v/>
      </c>
      <c r="AL62">
        <f>IF(AND(ISNUMBER(S62),ISNUMBER(S65)),VLOOKUP(ABS(S62-S65),'IMP Table'!$A$2:$C$26,3)*SIGN(S62-S65),0)</f>
        <v/>
      </c>
      <c r="AM62">
        <f>IF(AND(ISNUMBER(T62),ISNUMBER(T59)),VLOOKUP(ABS(T62-T59),'IMP Table'!$A$2:$C$26,3)*SIGN(T62-T59),0)</f>
        <v/>
      </c>
      <c r="AN62">
        <f>IF(AND(ISNUMBER(T62),ISNUMBER(T60)),VLOOKUP(ABS(T62-T60),'IMP Table'!$A$2:$C$26,3)*SIGN(T62-T60),0)</f>
        <v/>
      </c>
      <c r="AO62">
        <f>IF(AND(ISNUMBER(T62),ISNUMBER(T61)),VLOOKUP(ABS(T62-T61),'IMP Table'!$A$2:$C$26,3)*SIGN(T62-T61),0)</f>
        <v/>
      </c>
      <c r="AP62">
        <f>IF(AND(ISNUMBER(T62),ISNUMBER(T63)),VLOOKUP(ABS(T62-T63),'IMP Table'!$A$2:$C$26,3)*SIGN(T62-T63),0)</f>
        <v/>
      </c>
      <c r="AQ62">
        <f>IF(AND(ISNUMBER(T62),ISNUMBER(T64)),VLOOKUP(ABS(T62-T64),'IMP Table'!$A$2:$C$26,3)*SIGN(T62-T64),0)</f>
        <v/>
      </c>
      <c r="AR62">
        <f>IF(AND(ISNUMBER(T62),ISNUMBER(T65)),VLOOKUP(ABS(T62-T65),'IMP Table'!$A$2:$C$26,3)*SIGN(T62-T65),0)</f>
        <v/>
      </c>
    </row>
    <row r="63">
      <c r="B63" s="10">
        <f>'By Round'!A3</f>
        <v/>
      </c>
      <c r="C63" s="10">
        <f>'By Round'!B9</f>
        <v/>
      </c>
      <c r="D63" s="10">
        <f>'By Round'!C9</f>
        <v/>
      </c>
      <c r="E63" s="10">
        <f>'By Round'!D9</f>
        <v/>
      </c>
      <c r="F63" s="10">
        <f>IF(ISBLANK('By Round'!F9),"",'By Round'!F9)</f>
        <v/>
      </c>
      <c r="G63">
        <f>IF(ISBLANK('By Round'!G9),"",'By Round'!G9)</f>
        <v/>
      </c>
      <c r="H63">
        <f>IF(ISBLANK('By Round'!H9),"",'By Round'!H9)</f>
        <v/>
      </c>
      <c r="I63">
        <f>IF(ISBLANK('By Round'!I9),"",'By Round'!I9)</f>
        <v/>
      </c>
      <c r="J63">
        <f>IF(ISBLANK('By Round'!J9),"",'By Round'!J9)</f>
        <v/>
      </c>
      <c r="K63">
        <f>IF(ISBLANK('By Round'!K9),"",'By Round'!K9)</f>
        <v/>
      </c>
      <c r="L63">
        <f>IF(ISBLANK('By Round'!L9),"",'By Round'!L9)</f>
        <v/>
      </c>
      <c r="M63" s="11">
        <f>AVERAGE(AG63:AL63)</f>
        <v/>
      </c>
      <c r="N63" s="12">
        <f>AVERAGE(AM63:AR63)</f>
        <v/>
      </c>
      <c r="O63" s="13">
        <f>IF(COUNT(U63:Z63)&gt;0,Q63/COUNT(U63:Z63),0.5)</f>
        <v/>
      </c>
      <c r="P63" s="13">
        <f>IF(COUNT(AA63:AF63)&gt;0,R63/COUNT(AA63:AF63),0.5)</f>
        <v/>
      </c>
      <c r="Q63" s="5">
        <f>SUM(U63:Z63)</f>
        <v/>
      </c>
      <c r="R63" s="5">
        <f>SUM(AA63:AF63)</f>
        <v/>
      </c>
      <c r="S63" s="14">
        <f>IF(ISNUMBER(K63),K63,IF(ISNUMBER(L63),-L63,""))</f>
        <v/>
      </c>
      <c r="T63">
        <f>IF(ISNUMBER(L63),L63,IF(ISNUMBER(K63),-K63,""))</f>
        <v/>
      </c>
      <c r="U63" s="14">
        <f>IF(ISNUMBER(S63),IF(ISNUMBER(S59),IF(S63&gt;S59,1.0,IF(S63=S59,0.5,0.0)),""),"")</f>
        <v/>
      </c>
      <c r="V63">
        <f>IF(ISNUMBER(S63),IF(ISNUMBER(S60),IF(S63&gt;S60,1.0,IF(S63=S60,0.5,0.0)),""),"")</f>
        <v/>
      </c>
      <c r="W63">
        <f>IF(ISNUMBER(S63),IF(ISNUMBER(S61),IF(S63&gt;S61,1.0,IF(S63=S61,0.5,0.0)),""),"")</f>
        <v/>
      </c>
      <c r="X63">
        <f>IF(ISNUMBER(S63),IF(ISNUMBER(S62),IF(S63&gt;S62,1.0,IF(S63=S62,0.5,0.0)),""),"")</f>
        <v/>
      </c>
      <c r="Y63">
        <f>IF(ISNUMBER(S63),IF(ISNUMBER(S64),IF(S63&gt;S64,1.0,IF(S63=S64,0.5,0.0)),""),"")</f>
        <v/>
      </c>
      <c r="Z63">
        <f>IF(ISNUMBER(S63),IF(ISNUMBER(S65),IF(S63&gt;S65,1.0,IF(S63=S65,0.5,0.0)),""),"")</f>
        <v/>
      </c>
      <c r="AA63">
        <f>IF(ISNUMBER(T63),IF(ISNUMBER(T59),IF(T63&gt;T59,1.0,IF(T63=T59,0.5,0.0)),""),"")</f>
        <v/>
      </c>
      <c r="AB63">
        <f>IF(ISNUMBER(T63),IF(ISNUMBER(T60),IF(T63&gt;T60,1.0,IF(T63=T60,0.5,0.0)),""),"")</f>
        <v/>
      </c>
      <c r="AC63">
        <f>IF(ISNUMBER(T63),IF(ISNUMBER(T61),IF(T63&gt;T61,1.0,IF(T63=T61,0.5,0.0)),""),"")</f>
        <v/>
      </c>
      <c r="AD63">
        <f>IF(ISNUMBER(T63),IF(ISNUMBER(T62),IF(T63&gt;T62,1.0,IF(T63=T62,0.5,0.0)),""),"")</f>
        <v/>
      </c>
      <c r="AE63">
        <f>IF(ISNUMBER(T63),IF(ISNUMBER(T64),IF(T63&gt;T64,1.0,IF(T63=T64,0.5,0.0)),""),"")</f>
        <v/>
      </c>
      <c r="AF63">
        <f>IF(ISNUMBER(T63),IF(ISNUMBER(T65),IF(T63&gt;T65,1.0,IF(T63=T65,0.5,0.0)),""),"")</f>
        <v/>
      </c>
      <c r="AG63" s="14">
        <f>IF(AND(ISNUMBER(S63),ISNUMBER(S59)),VLOOKUP(ABS(S63-S59),'IMP Table'!$A$2:$C$26,3)*SIGN(S63-S59),0)</f>
        <v/>
      </c>
      <c r="AH63">
        <f>IF(AND(ISNUMBER(S63),ISNUMBER(S60)),VLOOKUP(ABS(S63-S60),'IMP Table'!$A$2:$C$26,3)*SIGN(S63-S60),0)</f>
        <v/>
      </c>
      <c r="AI63">
        <f>IF(AND(ISNUMBER(S63),ISNUMBER(S61)),VLOOKUP(ABS(S63-S61),'IMP Table'!$A$2:$C$26,3)*SIGN(S63-S61),0)</f>
        <v/>
      </c>
      <c r="AJ63">
        <f>IF(AND(ISNUMBER(S63),ISNUMBER(S62)),VLOOKUP(ABS(S63-S62),'IMP Table'!$A$2:$C$26,3)*SIGN(S63-S62),0)</f>
        <v/>
      </c>
      <c r="AK63">
        <f>IF(AND(ISNUMBER(S63),ISNUMBER(S64)),VLOOKUP(ABS(S63-S64),'IMP Table'!$A$2:$C$26,3)*SIGN(S63-S64),0)</f>
        <v/>
      </c>
      <c r="AL63">
        <f>IF(AND(ISNUMBER(S63),ISNUMBER(S65)),VLOOKUP(ABS(S63-S65),'IMP Table'!$A$2:$C$26,3)*SIGN(S63-S65),0)</f>
        <v/>
      </c>
      <c r="AM63">
        <f>IF(AND(ISNUMBER(T63),ISNUMBER(T59)),VLOOKUP(ABS(T63-T59),'IMP Table'!$A$2:$C$26,3)*SIGN(T63-T59),0)</f>
        <v/>
      </c>
      <c r="AN63">
        <f>IF(AND(ISNUMBER(T63),ISNUMBER(T60)),VLOOKUP(ABS(T63-T60),'IMP Table'!$A$2:$C$26,3)*SIGN(T63-T60),0)</f>
        <v/>
      </c>
      <c r="AO63">
        <f>IF(AND(ISNUMBER(T63),ISNUMBER(T61)),VLOOKUP(ABS(T63-T61),'IMP Table'!$A$2:$C$26,3)*SIGN(T63-T61),0)</f>
        <v/>
      </c>
      <c r="AP63">
        <f>IF(AND(ISNUMBER(T63),ISNUMBER(T62)),VLOOKUP(ABS(T63-T62),'IMP Table'!$A$2:$C$26,3)*SIGN(T63-T62),0)</f>
        <v/>
      </c>
      <c r="AQ63">
        <f>IF(AND(ISNUMBER(T63),ISNUMBER(T64)),VLOOKUP(ABS(T63-T64),'IMP Table'!$A$2:$C$26,3)*SIGN(T63-T64),0)</f>
        <v/>
      </c>
      <c r="AR63">
        <f>IF(AND(ISNUMBER(T63),ISNUMBER(T65)),VLOOKUP(ABS(T63-T65),'IMP Table'!$A$2:$C$26,3)*SIGN(T63-T65),0)</f>
        <v/>
      </c>
    </row>
    <row r="64">
      <c r="B64" s="10">
        <f>'By Round'!A87</f>
        <v/>
      </c>
      <c r="C64" s="10">
        <f>'By Round'!B99</f>
        <v/>
      </c>
      <c r="D64" s="10">
        <f>'By Round'!C99</f>
        <v/>
      </c>
      <c r="E64" s="10">
        <f>'By Round'!D99</f>
        <v/>
      </c>
      <c r="F64" s="10">
        <f>IF(ISBLANK('By Round'!F99),"",'By Round'!F99)</f>
        <v/>
      </c>
      <c r="G64">
        <f>IF(ISBLANK('By Round'!G99),"",'By Round'!G99)</f>
        <v/>
      </c>
      <c r="H64">
        <f>IF(ISBLANK('By Round'!H99),"",'By Round'!H99)</f>
        <v/>
      </c>
      <c r="I64">
        <f>IF(ISBLANK('By Round'!I99),"",'By Round'!I99)</f>
        <v/>
      </c>
      <c r="J64">
        <f>IF(ISBLANK('By Round'!J99),"",'By Round'!J99)</f>
        <v/>
      </c>
      <c r="K64">
        <f>IF(ISBLANK('By Round'!K99),"",'By Round'!K99)</f>
        <v/>
      </c>
      <c r="L64">
        <f>IF(ISBLANK('By Round'!L99),"",'By Round'!L99)</f>
        <v/>
      </c>
      <c r="M64" s="11">
        <f>AVERAGE(AG64:AL64)</f>
        <v/>
      </c>
      <c r="N64" s="12">
        <f>AVERAGE(AM64:AR64)</f>
        <v/>
      </c>
      <c r="O64" s="13">
        <f>IF(COUNT(U64:Z64)&gt;0,Q64/COUNT(U64:Z64),0.5)</f>
        <v/>
      </c>
      <c r="P64" s="13">
        <f>IF(COUNT(AA64:AF64)&gt;0,R64/COUNT(AA64:AF64),0.5)</f>
        <v/>
      </c>
      <c r="Q64" s="5">
        <f>SUM(U64:Z64)</f>
        <v/>
      </c>
      <c r="R64" s="5">
        <f>SUM(AA64:AF64)</f>
        <v/>
      </c>
      <c r="S64" s="14">
        <f>IF(ISNUMBER(K64),K64,IF(ISNUMBER(L64),-L64,""))</f>
        <v/>
      </c>
      <c r="T64">
        <f>IF(ISNUMBER(L64),L64,IF(ISNUMBER(K64),-K64,""))</f>
        <v/>
      </c>
      <c r="U64" s="14">
        <f>IF(ISNUMBER(S64),IF(ISNUMBER(S59),IF(S64&gt;S59,1.0,IF(S64=S59,0.5,0.0)),""),"")</f>
        <v/>
      </c>
      <c r="V64">
        <f>IF(ISNUMBER(S64),IF(ISNUMBER(S60),IF(S64&gt;S60,1.0,IF(S64=S60,0.5,0.0)),""),"")</f>
        <v/>
      </c>
      <c r="W64">
        <f>IF(ISNUMBER(S64),IF(ISNUMBER(S61),IF(S64&gt;S61,1.0,IF(S64=S61,0.5,0.0)),""),"")</f>
        <v/>
      </c>
      <c r="X64">
        <f>IF(ISNUMBER(S64),IF(ISNUMBER(S62),IF(S64&gt;S62,1.0,IF(S64=S62,0.5,0.0)),""),"")</f>
        <v/>
      </c>
      <c r="Y64">
        <f>IF(ISNUMBER(S64),IF(ISNUMBER(S63),IF(S64&gt;S63,1.0,IF(S64=S63,0.5,0.0)),""),"")</f>
        <v/>
      </c>
      <c r="Z64">
        <f>IF(ISNUMBER(S64),IF(ISNUMBER(S65),IF(S64&gt;S65,1.0,IF(S64=S65,0.5,0.0)),""),"")</f>
        <v/>
      </c>
      <c r="AA64">
        <f>IF(ISNUMBER(T64),IF(ISNUMBER(T59),IF(T64&gt;T59,1.0,IF(T64=T59,0.5,0.0)),""),"")</f>
        <v/>
      </c>
      <c r="AB64">
        <f>IF(ISNUMBER(T64),IF(ISNUMBER(T60),IF(T64&gt;T60,1.0,IF(T64=T60,0.5,0.0)),""),"")</f>
        <v/>
      </c>
      <c r="AC64">
        <f>IF(ISNUMBER(T64),IF(ISNUMBER(T61),IF(T64&gt;T61,1.0,IF(T64=T61,0.5,0.0)),""),"")</f>
        <v/>
      </c>
      <c r="AD64">
        <f>IF(ISNUMBER(T64),IF(ISNUMBER(T62),IF(T64&gt;T62,1.0,IF(T64=T62,0.5,0.0)),""),"")</f>
        <v/>
      </c>
      <c r="AE64">
        <f>IF(ISNUMBER(T64),IF(ISNUMBER(T63),IF(T64&gt;T63,1.0,IF(T64=T63,0.5,0.0)),""),"")</f>
        <v/>
      </c>
      <c r="AF64">
        <f>IF(ISNUMBER(T64),IF(ISNUMBER(T65),IF(T64&gt;T65,1.0,IF(T64=T65,0.5,0.0)),""),"")</f>
        <v/>
      </c>
      <c r="AG64" s="14">
        <f>IF(AND(ISNUMBER(S64),ISNUMBER(S59)),VLOOKUP(ABS(S64-S59),'IMP Table'!$A$2:$C$26,3)*SIGN(S64-S59),0)</f>
        <v/>
      </c>
      <c r="AH64">
        <f>IF(AND(ISNUMBER(S64),ISNUMBER(S60)),VLOOKUP(ABS(S64-S60),'IMP Table'!$A$2:$C$26,3)*SIGN(S64-S60),0)</f>
        <v/>
      </c>
      <c r="AI64">
        <f>IF(AND(ISNUMBER(S64),ISNUMBER(S61)),VLOOKUP(ABS(S64-S61),'IMP Table'!$A$2:$C$26,3)*SIGN(S64-S61),0)</f>
        <v/>
      </c>
      <c r="AJ64">
        <f>IF(AND(ISNUMBER(S64),ISNUMBER(S62)),VLOOKUP(ABS(S64-S62),'IMP Table'!$A$2:$C$26,3)*SIGN(S64-S62),0)</f>
        <v/>
      </c>
      <c r="AK64">
        <f>IF(AND(ISNUMBER(S64),ISNUMBER(S63)),VLOOKUP(ABS(S64-S63),'IMP Table'!$A$2:$C$26,3)*SIGN(S64-S63),0)</f>
        <v/>
      </c>
      <c r="AL64">
        <f>IF(AND(ISNUMBER(S64),ISNUMBER(S65)),VLOOKUP(ABS(S64-S65),'IMP Table'!$A$2:$C$26,3)*SIGN(S64-S65),0)</f>
        <v/>
      </c>
      <c r="AM64">
        <f>IF(AND(ISNUMBER(T64),ISNUMBER(T59)),VLOOKUP(ABS(T64-T59),'IMP Table'!$A$2:$C$26,3)*SIGN(T64-T59),0)</f>
        <v/>
      </c>
      <c r="AN64">
        <f>IF(AND(ISNUMBER(T64),ISNUMBER(T60)),VLOOKUP(ABS(T64-T60),'IMP Table'!$A$2:$C$26,3)*SIGN(T64-T60),0)</f>
        <v/>
      </c>
      <c r="AO64">
        <f>IF(AND(ISNUMBER(T64),ISNUMBER(T61)),VLOOKUP(ABS(T64-T61),'IMP Table'!$A$2:$C$26,3)*SIGN(T64-T61),0)</f>
        <v/>
      </c>
      <c r="AP64">
        <f>IF(AND(ISNUMBER(T64),ISNUMBER(T62)),VLOOKUP(ABS(T64-T62),'IMP Table'!$A$2:$C$26,3)*SIGN(T64-T62),0)</f>
        <v/>
      </c>
      <c r="AQ64">
        <f>IF(AND(ISNUMBER(T64),ISNUMBER(T63)),VLOOKUP(ABS(T64-T63),'IMP Table'!$A$2:$C$26,3)*SIGN(T64-T63),0)</f>
        <v/>
      </c>
      <c r="AR64">
        <f>IF(AND(ISNUMBER(T64),ISNUMBER(T65)),VLOOKUP(ABS(T64-T65),'IMP Table'!$A$2:$C$26,3)*SIGN(T64-T65),0)</f>
        <v/>
      </c>
    </row>
    <row r="65">
      <c r="A65" s="15" t="n"/>
      <c r="B65" s="16">
        <f>'By Round'!A59</f>
        <v/>
      </c>
      <c r="C65" s="16">
        <f>'By Round'!B59</f>
        <v/>
      </c>
      <c r="D65" s="16">
        <f>'By Round'!C59</f>
        <v/>
      </c>
      <c r="E65" s="16">
        <f>'By Round'!D59</f>
        <v/>
      </c>
      <c r="F65" s="16">
        <f>IF(ISBLANK('By Round'!F59),"",'By Round'!F59)</f>
        <v/>
      </c>
      <c r="G65" s="15">
        <f>IF(ISBLANK('By Round'!G59),"",'By Round'!G59)</f>
        <v/>
      </c>
      <c r="H65" s="15">
        <f>IF(ISBLANK('By Round'!H59),"",'By Round'!H59)</f>
        <v/>
      </c>
      <c r="I65" s="15">
        <f>IF(ISBLANK('By Round'!I59),"",'By Round'!I59)</f>
        <v/>
      </c>
      <c r="J65" s="15">
        <f>IF(ISBLANK('By Round'!J59),"",'By Round'!J59)</f>
        <v/>
      </c>
      <c r="K65" s="15">
        <f>IF(ISBLANK('By Round'!K59),"",'By Round'!K59)</f>
        <v/>
      </c>
      <c r="L65" s="15">
        <f>IF(ISBLANK('By Round'!L59),"",'By Round'!L59)</f>
        <v/>
      </c>
      <c r="M65" s="17">
        <f>AVERAGE(AG65:AL65)</f>
        <v/>
      </c>
      <c r="N65" s="18">
        <f>AVERAGE(AM65:AR65)</f>
        <v/>
      </c>
      <c r="O65" s="19">
        <f>IF(COUNT(U65:Z65)&gt;0,Q65/COUNT(U65:Z65),0.5)</f>
        <v/>
      </c>
      <c r="P65" s="19">
        <f>IF(COUNT(AA65:AF65)&gt;0,R65/COUNT(AA65:AF65),0.5)</f>
        <v/>
      </c>
      <c r="Q65" s="20">
        <f>SUM(U65:Z65)</f>
        <v/>
      </c>
      <c r="R65" s="20">
        <f>SUM(AA65:AF65)</f>
        <v/>
      </c>
      <c r="S65" s="21">
        <f>IF(ISNUMBER(K65),K65,IF(ISNUMBER(L65),-L65,""))</f>
        <v/>
      </c>
      <c r="T65" s="15">
        <f>IF(ISNUMBER(L65),L65,IF(ISNUMBER(K65),-K65,""))</f>
        <v/>
      </c>
      <c r="U65" s="21">
        <f>IF(ISNUMBER(S65),IF(ISNUMBER(S59),IF(S65&gt;S59,1.0,IF(S65=S59,0.5,0.0)),""),"")</f>
        <v/>
      </c>
      <c r="V65" s="15">
        <f>IF(ISNUMBER(S65),IF(ISNUMBER(S60),IF(S65&gt;S60,1.0,IF(S65=S60,0.5,0.0)),""),"")</f>
        <v/>
      </c>
      <c r="W65" s="15">
        <f>IF(ISNUMBER(S65),IF(ISNUMBER(S61),IF(S65&gt;S61,1.0,IF(S65=S61,0.5,0.0)),""),"")</f>
        <v/>
      </c>
      <c r="X65" s="15">
        <f>IF(ISNUMBER(S65),IF(ISNUMBER(S62),IF(S65&gt;S62,1.0,IF(S65=S62,0.5,0.0)),""),"")</f>
        <v/>
      </c>
      <c r="Y65" s="15">
        <f>IF(ISNUMBER(S65),IF(ISNUMBER(S63),IF(S65&gt;S63,1.0,IF(S65=S63,0.5,0.0)),""),"")</f>
        <v/>
      </c>
      <c r="Z65" s="15">
        <f>IF(ISNUMBER(S65),IF(ISNUMBER(S64),IF(S65&gt;S64,1.0,IF(S65=S64,0.5,0.0)),""),"")</f>
        <v/>
      </c>
      <c r="AA65" s="15">
        <f>IF(ISNUMBER(T65),IF(ISNUMBER(T59),IF(T65&gt;T59,1.0,IF(T65=T59,0.5,0.0)),""),"")</f>
        <v/>
      </c>
      <c r="AB65" s="15">
        <f>IF(ISNUMBER(T65),IF(ISNUMBER(T60),IF(T65&gt;T60,1.0,IF(T65=T60,0.5,0.0)),""),"")</f>
        <v/>
      </c>
      <c r="AC65" s="15">
        <f>IF(ISNUMBER(T65),IF(ISNUMBER(T61),IF(T65&gt;T61,1.0,IF(T65=T61,0.5,0.0)),""),"")</f>
        <v/>
      </c>
      <c r="AD65" s="15">
        <f>IF(ISNUMBER(T65),IF(ISNUMBER(T62),IF(T65&gt;T62,1.0,IF(T65=T62,0.5,0.0)),""),"")</f>
        <v/>
      </c>
      <c r="AE65" s="15">
        <f>IF(ISNUMBER(T65),IF(ISNUMBER(T63),IF(T65&gt;T63,1.0,IF(T65=T63,0.5,0.0)),""),"")</f>
        <v/>
      </c>
      <c r="AF65" s="15">
        <f>IF(ISNUMBER(T65),IF(ISNUMBER(T64),IF(T65&gt;T64,1.0,IF(T65=T64,0.5,0.0)),""),"")</f>
        <v/>
      </c>
      <c r="AG65" s="21">
        <f>IF(AND(ISNUMBER(S65),ISNUMBER(S59)),VLOOKUP(ABS(S65-S59),'IMP Table'!$A$2:$C$26,3)*SIGN(S65-S59),0)</f>
        <v/>
      </c>
      <c r="AH65" s="15">
        <f>IF(AND(ISNUMBER(S65),ISNUMBER(S60)),VLOOKUP(ABS(S65-S60),'IMP Table'!$A$2:$C$26,3)*SIGN(S65-S60),0)</f>
        <v/>
      </c>
      <c r="AI65" s="15">
        <f>IF(AND(ISNUMBER(S65),ISNUMBER(S61)),VLOOKUP(ABS(S65-S61),'IMP Table'!$A$2:$C$26,3)*SIGN(S65-S61),0)</f>
        <v/>
      </c>
      <c r="AJ65" s="15">
        <f>IF(AND(ISNUMBER(S65),ISNUMBER(S62)),VLOOKUP(ABS(S65-S62),'IMP Table'!$A$2:$C$26,3)*SIGN(S65-S62),0)</f>
        <v/>
      </c>
      <c r="AK65" s="15">
        <f>IF(AND(ISNUMBER(S65),ISNUMBER(S63)),VLOOKUP(ABS(S65-S63),'IMP Table'!$A$2:$C$26,3)*SIGN(S65-S63),0)</f>
        <v/>
      </c>
      <c r="AL65" s="15">
        <f>IF(AND(ISNUMBER(S65),ISNUMBER(S64)),VLOOKUP(ABS(S65-S64),'IMP Table'!$A$2:$C$26,3)*SIGN(S65-S64),0)</f>
        <v/>
      </c>
      <c r="AM65" s="15">
        <f>IF(AND(ISNUMBER(T65),ISNUMBER(T59)),VLOOKUP(ABS(T65-T59),'IMP Table'!$A$2:$C$26,3)*SIGN(T65-T59),0)</f>
        <v/>
      </c>
      <c r="AN65" s="15">
        <f>IF(AND(ISNUMBER(T65),ISNUMBER(T60)),VLOOKUP(ABS(T65-T60),'IMP Table'!$A$2:$C$26,3)*SIGN(T65-T60),0)</f>
        <v/>
      </c>
      <c r="AO65" s="15">
        <f>IF(AND(ISNUMBER(T65),ISNUMBER(T61)),VLOOKUP(ABS(T65-T61),'IMP Table'!$A$2:$C$26,3)*SIGN(T65-T61),0)</f>
        <v/>
      </c>
      <c r="AP65" s="15">
        <f>IF(AND(ISNUMBER(T65),ISNUMBER(T62)),VLOOKUP(ABS(T65-T62),'IMP Table'!$A$2:$C$26,3)*SIGN(T65-T62),0)</f>
        <v/>
      </c>
      <c r="AQ65" s="15">
        <f>IF(AND(ISNUMBER(T65),ISNUMBER(T63)),VLOOKUP(ABS(T65-T63),'IMP Table'!$A$2:$C$26,3)*SIGN(T65-T63),0)</f>
        <v/>
      </c>
      <c r="AR65" s="15">
        <f>IF(AND(ISNUMBER(T65),ISNUMBER(T64)),VLOOKUP(ABS(T65-T64),'IMP Table'!$A$2:$C$26,3)*SIGN(T65-T64),0)</f>
        <v/>
      </c>
    </row>
    <row r="66">
      <c r="A66" s="10" t="n">
        <v>10</v>
      </c>
      <c r="B66" s="10">
        <f>'By Round'!A115</f>
        <v/>
      </c>
      <c r="C66" s="10">
        <f>'By Round'!B123</f>
        <v/>
      </c>
      <c r="D66" s="10">
        <f>'By Round'!C123</f>
        <v/>
      </c>
      <c r="E66" s="10">
        <f>'By Round'!D123</f>
        <v/>
      </c>
      <c r="F66" s="10">
        <f>IF(ISBLANK('By Round'!F124),"",'By Round'!F124)</f>
        <v/>
      </c>
      <c r="G66">
        <f>IF(ISBLANK('By Round'!G124),"",'By Round'!G124)</f>
        <v/>
      </c>
      <c r="H66">
        <f>IF(ISBLANK('By Round'!H124),"",'By Round'!H124)</f>
        <v/>
      </c>
      <c r="I66">
        <f>IF(ISBLANK('By Round'!I124),"",'By Round'!I124)</f>
        <v/>
      </c>
      <c r="J66">
        <f>IF(ISBLANK('By Round'!J124),"",'By Round'!J124)</f>
        <v/>
      </c>
      <c r="K66">
        <f>IF(ISBLANK('By Round'!K124),"",'By Round'!K124)</f>
        <v/>
      </c>
      <c r="L66">
        <f>IF(ISBLANK('By Round'!L124),"",'By Round'!L124)</f>
        <v/>
      </c>
      <c r="M66" s="11">
        <f>AVERAGE(AG66:AL66)</f>
        <v/>
      </c>
      <c r="N66" s="12">
        <f>AVERAGE(AM66:AR66)</f>
        <v/>
      </c>
      <c r="O66" s="13">
        <f>IF(COUNT(U66:Z66)&gt;0,Q66/COUNT(U66:Z66),0.5)</f>
        <v/>
      </c>
      <c r="P66" s="13">
        <f>IF(COUNT(AA66:AF66)&gt;0,R66/COUNT(AA66:AF66),0.5)</f>
        <v/>
      </c>
      <c r="Q66" s="5">
        <f>SUM(U66:Z66)</f>
        <v/>
      </c>
      <c r="R66" s="5">
        <f>SUM(AA66:AF66)</f>
        <v/>
      </c>
      <c r="S66" s="14">
        <f>IF(ISNUMBER(K66),K66,IF(ISNUMBER(L66),-L66,""))</f>
        <v/>
      </c>
      <c r="T66">
        <f>IF(ISNUMBER(L66),L66,IF(ISNUMBER(K66),-K66,""))</f>
        <v/>
      </c>
      <c r="U66" s="14">
        <f>IF(ISNUMBER(S66),IF(ISNUMBER(S67),IF(S66&gt;S67,1.0,IF(S66=S67,0.5,0.0)),""),"")</f>
        <v/>
      </c>
      <c r="V66">
        <f>IF(ISNUMBER(S66),IF(ISNUMBER(S68),IF(S66&gt;S68,1.0,IF(S66=S68,0.5,0.0)),""),"")</f>
        <v/>
      </c>
      <c r="W66">
        <f>IF(ISNUMBER(S66),IF(ISNUMBER(S69),IF(S66&gt;S69,1.0,IF(S66=S69,0.5,0.0)),""),"")</f>
        <v/>
      </c>
      <c r="X66">
        <f>IF(ISNUMBER(S66),IF(ISNUMBER(S70),IF(S66&gt;S70,1.0,IF(S66=S70,0.5,0.0)),""),"")</f>
        <v/>
      </c>
      <c r="Y66">
        <f>IF(ISNUMBER(S66),IF(ISNUMBER(S71),IF(S66&gt;S71,1.0,IF(S66=S71,0.5,0.0)),""),"")</f>
        <v/>
      </c>
      <c r="Z66">
        <f>IF(ISNUMBER(S66),IF(ISNUMBER(S72),IF(S66&gt;S72,1.0,IF(S66=S72,0.5,0.0)),""),"")</f>
        <v/>
      </c>
      <c r="AA66">
        <f>IF(ISNUMBER(T66),IF(ISNUMBER(T67),IF(T66&gt;T67,1.0,IF(T66=T67,0.5,0.0)),""),"")</f>
        <v/>
      </c>
      <c r="AB66">
        <f>IF(ISNUMBER(T66),IF(ISNUMBER(T68),IF(T66&gt;T68,1.0,IF(T66=T68,0.5,0.0)),""),"")</f>
        <v/>
      </c>
      <c r="AC66">
        <f>IF(ISNUMBER(T66),IF(ISNUMBER(T69),IF(T66&gt;T69,1.0,IF(T66=T69,0.5,0.0)),""),"")</f>
        <v/>
      </c>
      <c r="AD66">
        <f>IF(ISNUMBER(T66),IF(ISNUMBER(T70),IF(T66&gt;T70,1.0,IF(T66=T70,0.5,0.0)),""),"")</f>
        <v/>
      </c>
      <c r="AE66">
        <f>IF(ISNUMBER(T66),IF(ISNUMBER(T71),IF(T66&gt;T71,1.0,IF(T66=T71,0.5,0.0)),""),"")</f>
        <v/>
      </c>
      <c r="AF66">
        <f>IF(ISNUMBER(T66),IF(ISNUMBER(T72),IF(T66&gt;T72,1.0,IF(T66=T72,0.5,0.0)),""),"")</f>
        <v/>
      </c>
      <c r="AG66" s="14">
        <f>IF(AND(ISNUMBER(S66),ISNUMBER(S67)),VLOOKUP(ABS(S66-S67),'IMP Table'!$A$2:$C$26,3)*SIGN(S66-S67),0)</f>
        <v/>
      </c>
      <c r="AH66">
        <f>IF(AND(ISNUMBER(S66),ISNUMBER(S68)),VLOOKUP(ABS(S66-S68),'IMP Table'!$A$2:$C$26,3)*SIGN(S66-S68),0)</f>
        <v/>
      </c>
      <c r="AI66">
        <f>IF(AND(ISNUMBER(S66),ISNUMBER(S69)),VLOOKUP(ABS(S66-S69),'IMP Table'!$A$2:$C$26,3)*SIGN(S66-S69),0)</f>
        <v/>
      </c>
      <c r="AJ66">
        <f>IF(AND(ISNUMBER(S66),ISNUMBER(S70)),VLOOKUP(ABS(S66-S70),'IMP Table'!$A$2:$C$26,3)*SIGN(S66-S70),0)</f>
        <v/>
      </c>
      <c r="AK66">
        <f>IF(AND(ISNUMBER(S66),ISNUMBER(S71)),VLOOKUP(ABS(S66-S71),'IMP Table'!$A$2:$C$26,3)*SIGN(S66-S71),0)</f>
        <v/>
      </c>
      <c r="AL66">
        <f>IF(AND(ISNUMBER(S66),ISNUMBER(S72)),VLOOKUP(ABS(S66-S72),'IMP Table'!$A$2:$C$26,3)*SIGN(S66-S72),0)</f>
        <v/>
      </c>
      <c r="AM66">
        <f>IF(AND(ISNUMBER(T66),ISNUMBER(T67)),VLOOKUP(ABS(T66-T67),'IMP Table'!$A$2:$C$26,3)*SIGN(T66-T67),0)</f>
        <v/>
      </c>
      <c r="AN66">
        <f>IF(AND(ISNUMBER(T66),ISNUMBER(T68)),VLOOKUP(ABS(T66-T68),'IMP Table'!$A$2:$C$26,3)*SIGN(T66-T68),0)</f>
        <v/>
      </c>
      <c r="AO66">
        <f>IF(AND(ISNUMBER(T66),ISNUMBER(T69)),VLOOKUP(ABS(T66-T69),'IMP Table'!$A$2:$C$26,3)*SIGN(T66-T69),0)</f>
        <v/>
      </c>
      <c r="AP66">
        <f>IF(AND(ISNUMBER(T66),ISNUMBER(T70)),VLOOKUP(ABS(T66-T70),'IMP Table'!$A$2:$C$26,3)*SIGN(T66-T70),0)</f>
        <v/>
      </c>
      <c r="AQ66">
        <f>IF(AND(ISNUMBER(T66),ISNUMBER(T71)),VLOOKUP(ABS(T66-T71),'IMP Table'!$A$2:$C$26,3)*SIGN(T66-T71),0)</f>
        <v/>
      </c>
      <c r="AR66">
        <f>IF(AND(ISNUMBER(T66),ISNUMBER(T72)),VLOOKUP(ABS(T66-T72),'IMP Table'!$A$2:$C$26,3)*SIGN(T66-T72),0)</f>
        <v/>
      </c>
    </row>
    <row r="67">
      <c r="B67" s="10">
        <f>'By Round'!A101</f>
        <v/>
      </c>
      <c r="C67" s="10">
        <f>'By Round'!B111</f>
        <v/>
      </c>
      <c r="D67" s="10">
        <f>'By Round'!C111</f>
        <v/>
      </c>
      <c r="E67" s="10">
        <f>'By Round'!D111</f>
        <v/>
      </c>
      <c r="F67" s="10">
        <f>IF(ISBLANK('By Round'!F112),"",'By Round'!F112)</f>
        <v/>
      </c>
      <c r="G67">
        <f>IF(ISBLANK('By Round'!G112),"",'By Round'!G112)</f>
        <v/>
      </c>
      <c r="H67">
        <f>IF(ISBLANK('By Round'!H112),"",'By Round'!H112)</f>
        <v/>
      </c>
      <c r="I67">
        <f>IF(ISBLANK('By Round'!I112),"",'By Round'!I112)</f>
        <v/>
      </c>
      <c r="J67">
        <f>IF(ISBLANK('By Round'!J112),"",'By Round'!J112)</f>
        <v/>
      </c>
      <c r="K67">
        <f>IF(ISBLANK('By Round'!K112),"",'By Round'!K112)</f>
        <v/>
      </c>
      <c r="L67">
        <f>IF(ISBLANK('By Round'!L112),"",'By Round'!L112)</f>
        <v/>
      </c>
      <c r="M67" s="11">
        <f>AVERAGE(AG67:AL67)</f>
        <v/>
      </c>
      <c r="N67" s="12">
        <f>AVERAGE(AM67:AR67)</f>
        <v/>
      </c>
      <c r="O67" s="13">
        <f>IF(COUNT(U67:Z67)&gt;0,Q67/COUNT(U67:Z67),0.5)</f>
        <v/>
      </c>
      <c r="P67" s="13">
        <f>IF(COUNT(AA67:AF67)&gt;0,R67/COUNT(AA67:AF67),0.5)</f>
        <v/>
      </c>
      <c r="Q67" s="5">
        <f>SUM(U67:Z67)</f>
        <v/>
      </c>
      <c r="R67" s="5">
        <f>SUM(AA67:AF67)</f>
        <v/>
      </c>
      <c r="S67" s="14">
        <f>IF(ISNUMBER(K67),K67,IF(ISNUMBER(L67),-L67,""))</f>
        <v/>
      </c>
      <c r="T67">
        <f>IF(ISNUMBER(L67),L67,IF(ISNUMBER(K67),-K67,""))</f>
        <v/>
      </c>
      <c r="U67" s="14">
        <f>IF(ISNUMBER(S67),IF(ISNUMBER(S66),IF(S67&gt;S66,1.0,IF(S67=S66,0.5,0.0)),""),"")</f>
        <v/>
      </c>
      <c r="V67">
        <f>IF(ISNUMBER(S67),IF(ISNUMBER(S68),IF(S67&gt;S68,1.0,IF(S67=S68,0.5,0.0)),""),"")</f>
        <v/>
      </c>
      <c r="W67">
        <f>IF(ISNUMBER(S67),IF(ISNUMBER(S69),IF(S67&gt;S69,1.0,IF(S67=S69,0.5,0.0)),""),"")</f>
        <v/>
      </c>
      <c r="X67">
        <f>IF(ISNUMBER(S67),IF(ISNUMBER(S70),IF(S67&gt;S70,1.0,IF(S67=S70,0.5,0.0)),""),"")</f>
        <v/>
      </c>
      <c r="Y67">
        <f>IF(ISNUMBER(S67),IF(ISNUMBER(S71),IF(S67&gt;S71,1.0,IF(S67=S71,0.5,0.0)),""),"")</f>
        <v/>
      </c>
      <c r="Z67">
        <f>IF(ISNUMBER(S67),IF(ISNUMBER(S72),IF(S67&gt;S72,1.0,IF(S67=S72,0.5,0.0)),""),"")</f>
        <v/>
      </c>
      <c r="AA67">
        <f>IF(ISNUMBER(T67),IF(ISNUMBER(T66),IF(T67&gt;T66,1.0,IF(T67=T66,0.5,0.0)),""),"")</f>
        <v/>
      </c>
      <c r="AB67">
        <f>IF(ISNUMBER(T67),IF(ISNUMBER(T68),IF(T67&gt;T68,1.0,IF(T67=T68,0.5,0.0)),""),"")</f>
        <v/>
      </c>
      <c r="AC67">
        <f>IF(ISNUMBER(T67),IF(ISNUMBER(T69),IF(T67&gt;T69,1.0,IF(T67=T69,0.5,0.0)),""),"")</f>
        <v/>
      </c>
      <c r="AD67">
        <f>IF(ISNUMBER(T67),IF(ISNUMBER(T70),IF(T67&gt;T70,1.0,IF(T67=T70,0.5,0.0)),""),"")</f>
        <v/>
      </c>
      <c r="AE67">
        <f>IF(ISNUMBER(T67),IF(ISNUMBER(T71),IF(T67&gt;T71,1.0,IF(T67=T71,0.5,0.0)),""),"")</f>
        <v/>
      </c>
      <c r="AF67">
        <f>IF(ISNUMBER(T67),IF(ISNUMBER(T72),IF(T67&gt;T72,1.0,IF(T67=T72,0.5,0.0)),""),"")</f>
        <v/>
      </c>
      <c r="AG67" s="14">
        <f>IF(AND(ISNUMBER(S67),ISNUMBER(S66)),VLOOKUP(ABS(S67-S66),'IMP Table'!$A$2:$C$26,3)*SIGN(S67-S66),0)</f>
        <v/>
      </c>
      <c r="AH67">
        <f>IF(AND(ISNUMBER(S67),ISNUMBER(S68)),VLOOKUP(ABS(S67-S68),'IMP Table'!$A$2:$C$26,3)*SIGN(S67-S68),0)</f>
        <v/>
      </c>
      <c r="AI67">
        <f>IF(AND(ISNUMBER(S67),ISNUMBER(S69)),VLOOKUP(ABS(S67-S69),'IMP Table'!$A$2:$C$26,3)*SIGN(S67-S69),0)</f>
        <v/>
      </c>
      <c r="AJ67">
        <f>IF(AND(ISNUMBER(S67),ISNUMBER(S70)),VLOOKUP(ABS(S67-S70),'IMP Table'!$A$2:$C$26,3)*SIGN(S67-S70),0)</f>
        <v/>
      </c>
      <c r="AK67">
        <f>IF(AND(ISNUMBER(S67),ISNUMBER(S71)),VLOOKUP(ABS(S67-S71),'IMP Table'!$A$2:$C$26,3)*SIGN(S67-S71),0)</f>
        <v/>
      </c>
      <c r="AL67">
        <f>IF(AND(ISNUMBER(S67),ISNUMBER(S72)),VLOOKUP(ABS(S67-S72),'IMP Table'!$A$2:$C$26,3)*SIGN(S67-S72),0)</f>
        <v/>
      </c>
      <c r="AM67">
        <f>IF(AND(ISNUMBER(T67),ISNUMBER(T66)),VLOOKUP(ABS(T67-T66),'IMP Table'!$A$2:$C$26,3)*SIGN(T67-T66),0)</f>
        <v/>
      </c>
      <c r="AN67">
        <f>IF(AND(ISNUMBER(T67),ISNUMBER(T68)),VLOOKUP(ABS(T67-T68),'IMP Table'!$A$2:$C$26,3)*SIGN(T67-T68),0)</f>
        <v/>
      </c>
      <c r="AO67">
        <f>IF(AND(ISNUMBER(T67),ISNUMBER(T69)),VLOOKUP(ABS(T67-T69),'IMP Table'!$A$2:$C$26,3)*SIGN(T67-T69),0)</f>
        <v/>
      </c>
      <c r="AP67">
        <f>IF(AND(ISNUMBER(T67),ISNUMBER(T70)),VLOOKUP(ABS(T67-T70),'IMP Table'!$A$2:$C$26,3)*SIGN(T67-T70),0)</f>
        <v/>
      </c>
      <c r="AQ67">
        <f>IF(AND(ISNUMBER(T67),ISNUMBER(T71)),VLOOKUP(ABS(T67-T71),'IMP Table'!$A$2:$C$26,3)*SIGN(T67-T71),0)</f>
        <v/>
      </c>
      <c r="AR67">
        <f>IF(AND(ISNUMBER(T67),ISNUMBER(T72)),VLOOKUP(ABS(T67-T72),'IMP Table'!$A$2:$C$26,3)*SIGN(T67-T72),0)</f>
        <v/>
      </c>
    </row>
    <row r="68">
      <c r="B68" s="10">
        <f>'By Round'!A17</f>
        <v/>
      </c>
      <c r="C68" s="10">
        <f>'By Round'!B21</f>
        <v/>
      </c>
      <c r="D68" s="10">
        <f>'By Round'!C21</f>
        <v/>
      </c>
      <c r="E68" s="10">
        <f>'By Round'!D21</f>
        <v/>
      </c>
      <c r="F68" s="10">
        <f>IF(ISBLANK('By Round'!F22),"",'By Round'!F22)</f>
        <v/>
      </c>
      <c r="G68">
        <f>IF(ISBLANK('By Round'!G22),"",'By Round'!G22)</f>
        <v/>
      </c>
      <c r="H68">
        <f>IF(ISBLANK('By Round'!H22),"",'By Round'!H22)</f>
        <v/>
      </c>
      <c r="I68">
        <f>IF(ISBLANK('By Round'!I22),"",'By Round'!I22)</f>
        <v/>
      </c>
      <c r="J68">
        <f>IF(ISBLANK('By Round'!J22),"",'By Round'!J22)</f>
        <v/>
      </c>
      <c r="K68">
        <f>IF(ISBLANK('By Round'!K22),"",'By Round'!K22)</f>
        <v/>
      </c>
      <c r="L68">
        <f>IF(ISBLANK('By Round'!L22),"",'By Round'!L22)</f>
        <v/>
      </c>
      <c r="M68" s="11">
        <f>AVERAGE(AG68:AL68)</f>
        <v/>
      </c>
      <c r="N68" s="12">
        <f>AVERAGE(AM68:AR68)</f>
        <v/>
      </c>
      <c r="O68" s="13">
        <f>IF(COUNT(U68:Z68)&gt;0,Q68/COUNT(U68:Z68),0.5)</f>
        <v/>
      </c>
      <c r="P68" s="13">
        <f>IF(COUNT(AA68:AF68)&gt;0,R68/COUNT(AA68:AF68),0.5)</f>
        <v/>
      </c>
      <c r="Q68" s="5">
        <f>SUM(U68:Z68)</f>
        <v/>
      </c>
      <c r="R68" s="5">
        <f>SUM(AA68:AF68)</f>
        <v/>
      </c>
      <c r="S68" s="14">
        <f>IF(ISNUMBER(K68),K68,IF(ISNUMBER(L68),-L68,""))</f>
        <v/>
      </c>
      <c r="T68">
        <f>IF(ISNUMBER(L68),L68,IF(ISNUMBER(K68),-K68,""))</f>
        <v/>
      </c>
      <c r="U68" s="14">
        <f>IF(ISNUMBER(S68),IF(ISNUMBER(S66),IF(S68&gt;S66,1.0,IF(S68=S66,0.5,0.0)),""),"")</f>
        <v/>
      </c>
      <c r="V68">
        <f>IF(ISNUMBER(S68),IF(ISNUMBER(S67),IF(S68&gt;S67,1.0,IF(S68=S67,0.5,0.0)),""),"")</f>
        <v/>
      </c>
      <c r="W68">
        <f>IF(ISNUMBER(S68),IF(ISNUMBER(S69),IF(S68&gt;S69,1.0,IF(S68=S69,0.5,0.0)),""),"")</f>
        <v/>
      </c>
      <c r="X68">
        <f>IF(ISNUMBER(S68),IF(ISNUMBER(S70),IF(S68&gt;S70,1.0,IF(S68=S70,0.5,0.0)),""),"")</f>
        <v/>
      </c>
      <c r="Y68">
        <f>IF(ISNUMBER(S68),IF(ISNUMBER(S71),IF(S68&gt;S71,1.0,IF(S68=S71,0.5,0.0)),""),"")</f>
        <v/>
      </c>
      <c r="Z68">
        <f>IF(ISNUMBER(S68),IF(ISNUMBER(S72),IF(S68&gt;S72,1.0,IF(S68=S72,0.5,0.0)),""),"")</f>
        <v/>
      </c>
      <c r="AA68">
        <f>IF(ISNUMBER(T68),IF(ISNUMBER(T66),IF(T68&gt;T66,1.0,IF(T68=T66,0.5,0.0)),""),"")</f>
        <v/>
      </c>
      <c r="AB68">
        <f>IF(ISNUMBER(T68),IF(ISNUMBER(T67),IF(T68&gt;T67,1.0,IF(T68=T67,0.5,0.0)),""),"")</f>
        <v/>
      </c>
      <c r="AC68">
        <f>IF(ISNUMBER(T68),IF(ISNUMBER(T69),IF(T68&gt;T69,1.0,IF(T68=T69,0.5,0.0)),""),"")</f>
        <v/>
      </c>
      <c r="AD68">
        <f>IF(ISNUMBER(T68),IF(ISNUMBER(T70),IF(T68&gt;T70,1.0,IF(T68=T70,0.5,0.0)),""),"")</f>
        <v/>
      </c>
      <c r="AE68">
        <f>IF(ISNUMBER(T68),IF(ISNUMBER(T71),IF(T68&gt;T71,1.0,IF(T68=T71,0.5,0.0)),""),"")</f>
        <v/>
      </c>
      <c r="AF68">
        <f>IF(ISNUMBER(T68),IF(ISNUMBER(T72),IF(T68&gt;T72,1.0,IF(T68=T72,0.5,0.0)),""),"")</f>
        <v/>
      </c>
      <c r="AG68" s="14">
        <f>IF(AND(ISNUMBER(S68),ISNUMBER(S66)),VLOOKUP(ABS(S68-S66),'IMP Table'!$A$2:$C$26,3)*SIGN(S68-S66),0)</f>
        <v/>
      </c>
      <c r="AH68">
        <f>IF(AND(ISNUMBER(S68),ISNUMBER(S67)),VLOOKUP(ABS(S68-S67),'IMP Table'!$A$2:$C$26,3)*SIGN(S68-S67),0)</f>
        <v/>
      </c>
      <c r="AI68">
        <f>IF(AND(ISNUMBER(S68),ISNUMBER(S69)),VLOOKUP(ABS(S68-S69),'IMP Table'!$A$2:$C$26,3)*SIGN(S68-S69),0)</f>
        <v/>
      </c>
      <c r="AJ68">
        <f>IF(AND(ISNUMBER(S68),ISNUMBER(S70)),VLOOKUP(ABS(S68-S70),'IMP Table'!$A$2:$C$26,3)*SIGN(S68-S70),0)</f>
        <v/>
      </c>
      <c r="AK68">
        <f>IF(AND(ISNUMBER(S68),ISNUMBER(S71)),VLOOKUP(ABS(S68-S71),'IMP Table'!$A$2:$C$26,3)*SIGN(S68-S71),0)</f>
        <v/>
      </c>
      <c r="AL68">
        <f>IF(AND(ISNUMBER(S68),ISNUMBER(S72)),VLOOKUP(ABS(S68-S72),'IMP Table'!$A$2:$C$26,3)*SIGN(S68-S72),0)</f>
        <v/>
      </c>
      <c r="AM68">
        <f>IF(AND(ISNUMBER(T68),ISNUMBER(T66)),VLOOKUP(ABS(T68-T66),'IMP Table'!$A$2:$C$26,3)*SIGN(T68-T66),0)</f>
        <v/>
      </c>
      <c r="AN68">
        <f>IF(AND(ISNUMBER(T68),ISNUMBER(T67)),VLOOKUP(ABS(T68-T67),'IMP Table'!$A$2:$C$26,3)*SIGN(T68-T67),0)</f>
        <v/>
      </c>
      <c r="AO68">
        <f>IF(AND(ISNUMBER(T68),ISNUMBER(T69)),VLOOKUP(ABS(T68-T69),'IMP Table'!$A$2:$C$26,3)*SIGN(T68-T69),0)</f>
        <v/>
      </c>
      <c r="AP68">
        <f>IF(AND(ISNUMBER(T68),ISNUMBER(T70)),VLOOKUP(ABS(T68-T70),'IMP Table'!$A$2:$C$26,3)*SIGN(T68-T70),0)</f>
        <v/>
      </c>
      <c r="AQ68">
        <f>IF(AND(ISNUMBER(T68),ISNUMBER(T71)),VLOOKUP(ABS(T68-T71),'IMP Table'!$A$2:$C$26,3)*SIGN(T68-T71),0)</f>
        <v/>
      </c>
      <c r="AR68">
        <f>IF(AND(ISNUMBER(T68),ISNUMBER(T72)),VLOOKUP(ABS(T68-T72),'IMP Table'!$A$2:$C$26,3)*SIGN(T68-T72),0)</f>
        <v/>
      </c>
    </row>
    <row r="69">
      <c r="B69" s="10">
        <f>'By Round'!A31</f>
        <v/>
      </c>
      <c r="C69" s="10">
        <f>'By Round'!B33</f>
        <v/>
      </c>
      <c r="D69" s="10">
        <f>'By Round'!C33</f>
        <v/>
      </c>
      <c r="E69" s="10">
        <f>'By Round'!D33</f>
        <v/>
      </c>
      <c r="F69" s="10">
        <f>IF(ISBLANK('By Round'!F34),"",'By Round'!F34)</f>
        <v/>
      </c>
      <c r="G69">
        <f>IF(ISBLANK('By Round'!G34),"",'By Round'!G34)</f>
        <v/>
      </c>
      <c r="H69">
        <f>IF(ISBLANK('By Round'!H34),"",'By Round'!H34)</f>
        <v/>
      </c>
      <c r="I69">
        <f>IF(ISBLANK('By Round'!I34),"",'By Round'!I34)</f>
        <v/>
      </c>
      <c r="J69">
        <f>IF(ISBLANK('By Round'!J34),"",'By Round'!J34)</f>
        <v/>
      </c>
      <c r="K69">
        <f>IF(ISBLANK('By Round'!K34),"",'By Round'!K34)</f>
        <v/>
      </c>
      <c r="L69">
        <f>IF(ISBLANK('By Round'!L34),"",'By Round'!L34)</f>
        <v/>
      </c>
      <c r="M69" s="11">
        <f>AVERAGE(AG69:AL69)</f>
        <v/>
      </c>
      <c r="N69" s="12">
        <f>AVERAGE(AM69:AR69)</f>
        <v/>
      </c>
      <c r="O69" s="13">
        <f>IF(COUNT(U69:Z69)&gt;0,Q69/COUNT(U69:Z69),0.5)</f>
        <v/>
      </c>
      <c r="P69" s="13">
        <f>IF(COUNT(AA69:AF69)&gt;0,R69/COUNT(AA69:AF69),0.5)</f>
        <v/>
      </c>
      <c r="Q69" s="5">
        <f>SUM(U69:Z69)</f>
        <v/>
      </c>
      <c r="R69" s="5">
        <f>SUM(AA69:AF69)</f>
        <v/>
      </c>
      <c r="S69" s="14">
        <f>IF(ISNUMBER(K69),K69,IF(ISNUMBER(L69),-L69,""))</f>
        <v/>
      </c>
      <c r="T69">
        <f>IF(ISNUMBER(L69),L69,IF(ISNUMBER(K69),-K69,""))</f>
        <v/>
      </c>
      <c r="U69" s="14">
        <f>IF(ISNUMBER(S69),IF(ISNUMBER(S66),IF(S69&gt;S66,1.0,IF(S69=S66,0.5,0.0)),""),"")</f>
        <v/>
      </c>
      <c r="V69">
        <f>IF(ISNUMBER(S69),IF(ISNUMBER(S67),IF(S69&gt;S67,1.0,IF(S69=S67,0.5,0.0)),""),"")</f>
        <v/>
      </c>
      <c r="W69">
        <f>IF(ISNUMBER(S69),IF(ISNUMBER(S68),IF(S69&gt;S68,1.0,IF(S69=S68,0.5,0.0)),""),"")</f>
        <v/>
      </c>
      <c r="X69">
        <f>IF(ISNUMBER(S69),IF(ISNUMBER(S70),IF(S69&gt;S70,1.0,IF(S69=S70,0.5,0.0)),""),"")</f>
        <v/>
      </c>
      <c r="Y69">
        <f>IF(ISNUMBER(S69),IF(ISNUMBER(S71),IF(S69&gt;S71,1.0,IF(S69=S71,0.5,0.0)),""),"")</f>
        <v/>
      </c>
      <c r="Z69">
        <f>IF(ISNUMBER(S69),IF(ISNUMBER(S72),IF(S69&gt;S72,1.0,IF(S69=S72,0.5,0.0)),""),"")</f>
        <v/>
      </c>
      <c r="AA69">
        <f>IF(ISNUMBER(T69),IF(ISNUMBER(T66),IF(T69&gt;T66,1.0,IF(T69=T66,0.5,0.0)),""),"")</f>
        <v/>
      </c>
      <c r="AB69">
        <f>IF(ISNUMBER(T69),IF(ISNUMBER(T67),IF(T69&gt;T67,1.0,IF(T69=T67,0.5,0.0)),""),"")</f>
        <v/>
      </c>
      <c r="AC69">
        <f>IF(ISNUMBER(T69),IF(ISNUMBER(T68),IF(T69&gt;T68,1.0,IF(T69=T68,0.5,0.0)),""),"")</f>
        <v/>
      </c>
      <c r="AD69">
        <f>IF(ISNUMBER(T69),IF(ISNUMBER(T70),IF(T69&gt;T70,1.0,IF(T69=T70,0.5,0.0)),""),"")</f>
        <v/>
      </c>
      <c r="AE69">
        <f>IF(ISNUMBER(T69),IF(ISNUMBER(T71),IF(T69&gt;T71,1.0,IF(T69=T71,0.5,0.0)),""),"")</f>
        <v/>
      </c>
      <c r="AF69">
        <f>IF(ISNUMBER(T69),IF(ISNUMBER(T72),IF(T69&gt;T72,1.0,IF(T69=T72,0.5,0.0)),""),"")</f>
        <v/>
      </c>
      <c r="AG69" s="14">
        <f>IF(AND(ISNUMBER(S69),ISNUMBER(S66)),VLOOKUP(ABS(S69-S66),'IMP Table'!$A$2:$C$26,3)*SIGN(S69-S66),0)</f>
        <v/>
      </c>
      <c r="AH69">
        <f>IF(AND(ISNUMBER(S69),ISNUMBER(S67)),VLOOKUP(ABS(S69-S67),'IMP Table'!$A$2:$C$26,3)*SIGN(S69-S67),0)</f>
        <v/>
      </c>
      <c r="AI69">
        <f>IF(AND(ISNUMBER(S69),ISNUMBER(S68)),VLOOKUP(ABS(S69-S68),'IMP Table'!$A$2:$C$26,3)*SIGN(S69-S68),0)</f>
        <v/>
      </c>
      <c r="AJ69">
        <f>IF(AND(ISNUMBER(S69),ISNUMBER(S70)),VLOOKUP(ABS(S69-S70),'IMP Table'!$A$2:$C$26,3)*SIGN(S69-S70),0)</f>
        <v/>
      </c>
      <c r="AK69">
        <f>IF(AND(ISNUMBER(S69),ISNUMBER(S71)),VLOOKUP(ABS(S69-S71),'IMP Table'!$A$2:$C$26,3)*SIGN(S69-S71),0)</f>
        <v/>
      </c>
      <c r="AL69">
        <f>IF(AND(ISNUMBER(S69),ISNUMBER(S72)),VLOOKUP(ABS(S69-S72),'IMP Table'!$A$2:$C$26,3)*SIGN(S69-S72),0)</f>
        <v/>
      </c>
      <c r="AM69">
        <f>IF(AND(ISNUMBER(T69),ISNUMBER(T66)),VLOOKUP(ABS(T69-T66),'IMP Table'!$A$2:$C$26,3)*SIGN(T69-T66),0)</f>
        <v/>
      </c>
      <c r="AN69">
        <f>IF(AND(ISNUMBER(T69),ISNUMBER(T67)),VLOOKUP(ABS(T69-T67),'IMP Table'!$A$2:$C$26,3)*SIGN(T69-T67),0)</f>
        <v/>
      </c>
      <c r="AO69">
        <f>IF(AND(ISNUMBER(T69),ISNUMBER(T68)),VLOOKUP(ABS(T69-T68),'IMP Table'!$A$2:$C$26,3)*SIGN(T69-T68),0)</f>
        <v/>
      </c>
      <c r="AP69">
        <f>IF(AND(ISNUMBER(T69),ISNUMBER(T70)),VLOOKUP(ABS(T69-T70),'IMP Table'!$A$2:$C$26,3)*SIGN(T69-T70),0)</f>
        <v/>
      </c>
      <c r="AQ69">
        <f>IF(AND(ISNUMBER(T69),ISNUMBER(T71)),VLOOKUP(ABS(T69-T71),'IMP Table'!$A$2:$C$26,3)*SIGN(T69-T71),0)</f>
        <v/>
      </c>
      <c r="AR69">
        <f>IF(AND(ISNUMBER(T69),ISNUMBER(T72)),VLOOKUP(ABS(T69-T72),'IMP Table'!$A$2:$C$26,3)*SIGN(T69-T72),0)</f>
        <v/>
      </c>
    </row>
    <row r="70">
      <c r="B70" s="10">
        <f>'By Round'!A3</f>
        <v/>
      </c>
      <c r="C70" s="10">
        <f>'By Round'!B9</f>
        <v/>
      </c>
      <c r="D70" s="10">
        <f>'By Round'!C9</f>
        <v/>
      </c>
      <c r="E70" s="10">
        <f>'By Round'!D9</f>
        <v/>
      </c>
      <c r="F70" s="10">
        <f>IF(ISBLANK('By Round'!F10),"",'By Round'!F10)</f>
        <v/>
      </c>
      <c r="G70">
        <f>IF(ISBLANK('By Round'!G10),"",'By Round'!G10)</f>
        <v/>
      </c>
      <c r="H70">
        <f>IF(ISBLANK('By Round'!H10),"",'By Round'!H10)</f>
        <v/>
      </c>
      <c r="I70">
        <f>IF(ISBLANK('By Round'!I10),"",'By Round'!I10)</f>
        <v/>
      </c>
      <c r="J70">
        <f>IF(ISBLANK('By Round'!J10),"",'By Round'!J10)</f>
        <v/>
      </c>
      <c r="K70">
        <f>IF(ISBLANK('By Round'!K10),"",'By Round'!K10)</f>
        <v/>
      </c>
      <c r="L70">
        <f>IF(ISBLANK('By Round'!L10),"",'By Round'!L10)</f>
        <v/>
      </c>
      <c r="M70" s="11">
        <f>AVERAGE(AG70:AL70)</f>
        <v/>
      </c>
      <c r="N70" s="12">
        <f>AVERAGE(AM70:AR70)</f>
        <v/>
      </c>
      <c r="O70" s="13">
        <f>IF(COUNT(U70:Z70)&gt;0,Q70/COUNT(U70:Z70),0.5)</f>
        <v/>
      </c>
      <c r="P70" s="13">
        <f>IF(COUNT(AA70:AF70)&gt;0,R70/COUNT(AA70:AF70),0.5)</f>
        <v/>
      </c>
      <c r="Q70" s="5">
        <f>SUM(U70:Z70)</f>
        <v/>
      </c>
      <c r="R70" s="5">
        <f>SUM(AA70:AF70)</f>
        <v/>
      </c>
      <c r="S70" s="14">
        <f>IF(ISNUMBER(K70),K70,IF(ISNUMBER(L70),-L70,""))</f>
        <v/>
      </c>
      <c r="T70">
        <f>IF(ISNUMBER(L70),L70,IF(ISNUMBER(K70),-K70,""))</f>
        <v/>
      </c>
      <c r="U70" s="14">
        <f>IF(ISNUMBER(S70),IF(ISNUMBER(S66),IF(S70&gt;S66,1.0,IF(S70=S66,0.5,0.0)),""),"")</f>
        <v/>
      </c>
      <c r="V70">
        <f>IF(ISNUMBER(S70),IF(ISNUMBER(S67),IF(S70&gt;S67,1.0,IF(S70=S67,0.5,0.0)),""),"")</f>
        <v/>
      </c>
      <c r="W70">
        <f>IF(ISNUMBER(S70),IF(ISNUMBER(S68),IF(S70&gt;S68,1.0,IF(S70=S68,0.5,0.0)),""),"")</f>
        <v/>
      </c>
      <c r="X70">
        <f>IF(ISNUMBER(S70),IF(ISNUMBER(S69),IF(S70&gt;S69,1.0,IF(S70=S69,0.5,0.0)),""),"")</f>
        <v/>
      </c>
      <c r="Y70">
        <f>IF(ISNUMBER(S70),IF(ISNUMBER(S71),IF(S70&gt;S71,1.0,IF(S70=S71,0.5,0.0)),""),"")</f>
        <v/>
      </c>
      <c r="Z70">
        <f>IF(ISNUMBER(S70),IF(ISNUMBER(S72),IF(S70&gt;S72,1.0,IF(S70=S72,0.5,0.0)),""),"")</f>
        <v/>
      </c>
      <c r="AA70">
        <f>IF(ISNUMBER(T70),IF(ISNUMBER(T66),IF(T70&gt;T66,1.0,IF(T70=T66,0.5,0.0)),""),"")</f>
        <v/>
      </c>
      <c r="AB70">
        <f>IF(ISNUMBER(T70),IF(ISNUMBER(T67),IF(T70&gt;T67,1.0,IF(T70=T67,0.5,0.0)),""),"")</f>
        <v/>
      </c>
      <c r="AC70">
        <f>IF(ISNUMBER(T70),IF(ISNUMBER(T68),IF(T70&gt;T68,1.0,IF(T70=T68,0.5,0.0)),""),"")</f>
        <v/>
      </c>
      <c r="AD70">
        <f>IF(ISNUMBER(T70),IF(ISNUMBER(T69),IF(T70&gt;T69,1.0,IF(T70=T69,0.5,0.0)),""),"")</f>
        <v/>
      </c>
      <c r="AE70">
        <f>IF(ISNUMBER(T70),IF(ISNUMBER(T71),IF(T70&gt;T71,1.0,IF(T70=T71,0.5,0.0)),""),"")</f>
        <v/>
      </c>
      <c r="AF70">
        <f>IF(ISNUMBER(T70),IF(ISNUMBER(T72),IF(T70&gt;T72,1.0,IF(T70=T72,0.5,0.0)),""),"")</f>
        <v/>
      </c>
      <c r="AG70" s="14">
        <f>IF(AND(ISNUMBER(S70),ISNUMBER(S66)),VLOOKUP(ABS(S70-S66),'IMP Table'!$A$2:$C$26,3)*SIGN(S70-S66),0)</f>
        <v/>
      </c>
      <c r="AH70">
        <f>IF(AND(ISNUMBER(S70),ISNUMBER(S67)),VLOOKUP(ABS(S70-S67),'IMP Table'!$A$2:$C$26,3)*SIGN(S70-S67),0)</f>
        <v/>
      </c>
      <c r="AI70">
        <f>IF(AND(ISNUMBER(S70),ISNUMBER(S68)),VLOOKUP(ABS(S70-S68),'IMP Table'!$A$2:$C$26,3)*SIGN(S70-S68),0)</f>
        <v/>
      </c>
      <c r="AJ70">
        <f>IF(AND(ISNUMBER(S70),ISNUMBER(S69)),VLOOKUP(ABS(S70-S69),'IMP Table'!$A$2:$C$26,3)*SIGN(S70-S69),0)</f>
        <v/>
      </c>
      <c r="AK70">
        <f>IF(AND(ISNUMBER(S70),ISNUMBER(S71)),VLOOKUP(ABS(S70-S71),'IMP Table'!$A$2:$C$26,3)*SIGN(S70-S71),0)</f>
        <v/>
      </c>
      <c r="AL70">
        <f>IF(AND(ISNUMBER(S70),ISNUMBER(S72)),VLOOKUP(ABS(S70-S72),'IMP Table'!$A$2:$C$26,3)*SIGN(S70-S72),0)</f>
        <v/>
      </c>
      <c r="AM70">
        <f>IF(AND(ISNUMBER(T70),ISNUMBER(T66)),VLOOKUP(ABS(T70-T66),'IMP Table'!$A$2:$C$26,3)*SIGN(T70-T66),0)</f>
        <v/>
      </c>
      <c r="AN70">
        <f>IF(AND(ISNUMBER(T70),ISNUMBER(T67)),VLOOKUP(ABS(T70-T67),'IMP Table'!$A$2:$C$26,3)*SIGN(T70-T67),0)</f>
        <v/>
      </c>
      <c r="AO70">
        <f>IF(AND(ISNUMBER(T70),ISNUMBER(T68)),VLOOKUP(ABS(T70-T68),'IMP Table'!$A$2:$C$26,3)*SIGN(T70-T68),0)</f>
        <v/>
      </c>
      <c r="AP70">
        <f>IF(AND(ISNUMBER(T70),ISNUMBER(T69)),VLOOKUP(ABS(T70-T69),'IMP Table'!$A$2:$C$26,3)*SIGN(T70-T69),0)</f>
        <v/>
      </c>
      <c r="AQ70">
        <f>IF(AND(ISNUMBER(T70),ISNUMBER(T71)),VLOOKUP(ABS(T70-T71),'IMP Table'!$A$2:$C$26,3)*SIGN(T70-T71),0)</f>
        <v/>
      </c>
      <c r="AR70">
        <f>IF(AND(ISNUMBER(T70),ISNUMBER(T72)),VLOOKUP(ABS(T70-T72),'IMP Table'!$A$2:$C$26,3)*SIGN(T70-T72),0)</f>
        <v/>
      </c>
    </row>
    <row r="71">
      <c r="B71" s="10">
        <f>'By Round'!A87</f>
        <v/>
      </c>
      <c r="C71" s="10">
        <f>'By Round'!B99</f>
        <v/>
      </c>
      <c r="D71" s="10">
        <f>'By Round'!C99</f>
        <v/>
      </c>
      <c r="E71" s="10">
        <f>'By Round'!D99</f>
        <v/>
      </c>
      <c r="F71" s="10">
        <f>IF(ISBLANK('By Round'!F100),"",'By Round'!F100)</f>
        <v/>
      </c>
      <c r="G71">
        <f>IF(ISBLANK('By Round'!G100),"",'By Round'!G100)</f>
        <v/>
      </c>
      <c r="H71">
        <f>IF(ISBLANK('By Round'!H100),"",'By Round'!H100)</f>
        <v/>
      </c>
      <c r="I71">
        <f>IF(ISBLANK('By Round'!I100),"",'By Round'!I100)</f>
        <v/>
      </c>
      <c r="J71">
        <f>IF(ISBLANK('By Round'!J100),"",'By Round'!J100)</f>
        <v/>
      </c>
      <c r="K71">
        <f>IF(ISBLANK('By Round'!K100),"",'By Round'!K100)</f>
        <v/>
      </c>
      <c r="L71">
        <f>IF(ISBLANK('By Round'!L100),"",'By Round'!L100)</f>
        <v/>
      </c>
      <c r="M71" s="11">
        <f>AVERAGE(AG71:AL71)</f>
        <v/>
      </c>
      <c r="N71" s="12">
        <f>AVERAGE(AM71:AR71)</f>
        <v/>
      </c>
      <c r="O71" s="13">
        <f>IF(COUNT(U71:Z71)&gt;0,Q71/COUNT(U71:Z71),0.5)</f>
        <v/>
      </c>
      <c r="P71" s="13">
        <f>IF(COUNT(AA71:AF71)&gt;0,R71/COUNT(AA71:AF71),0.5)</f>
        <v/>
      </c>
      <c r="Q71" s="5">
        <f>SUM(U71:Z71)</f>
        <v/>
      </c>
      <c r="R71" s="5">
        <f>SUM(AA71:AF71)</f>
        <v/>
      </c>
      <c r="S71" s="14">
        <f>IF(ISNUMBER(K71),K71,IF(ISNUMBER(L71),-L71,""))</f>
        <v/>
      </c>
      <c r="T71">
        <f>IF(ISNUMBER(L71),L71,IF(ISNUMBER(K71),-K71,""))</f>
        <v/>
      </c>
      <c r="U71" s="14">
        <f>IF(ISNUMBER(S71),IF(ISNUMBER(S66),IF(S71&gt;S66,1.0,IF(S71=S66,0.5,0.0)),""),"")</f>
        <v/>
      </c>
      <c r="V71">
        <f>IF(ISNUMBER(S71),IF(ISNUMBER(S67),IF(S71&gt;S67,1.0,IF(S71=S67,0.5,0.0)),""),"")</f>
        <v/>
      </c>
      <c r="W71">
        <f>IF(ISNUMBER(S71),IF(ISNUMBER(S68),IF(S71&gt;S68,1.0,IF(S71=S68,0.5,0.0)),""),"")</f>
        <v/>
      </c>
      <c r="X71">
        <f>IF(ISNUMBER(S71),IF(ISNUMBER(S69),IF(S71&gt;S69,1.0,IF(S71=S69,0.5,0.0)),""),"")</f>
        <v/>
      </c>
      <c r="Y71">
        <f>IF(ISNUMBER(S71),IF(ISNUMBER(S70),IF(S71&gt;S70,1.0,IF(S71=S70,0.5,0.0)),""),"")</f>
        <v/>
      </c>
      <c r="Z71">
        <f>IF(ISNUMBER(S71),IF(ISNUMBER(S72),IF(S71&gt;S72,1.0,IF(S71=S72,0.5,0.0)),""),"")</f>
        <v/>
      </c>
      <c r="AA71">
        <f>IF(ISNUMBER(T71),IF(ISNUMBER(T66),IF(T71&gt;T66,1.0,IF(T71=T66,0.5,0.0)),""),"")</f>
        <v/>
      </c>
      <c r="AB71">
        <f>IF(ISNUMBER(T71),IF(ISNUMBER(T67),IF(T71&gt;T67,1.0,IF(T71=T67,0.5,0.0)),""),"")</f>
        <v/>
      </c>
      <c r="AC71">
        <f>IF(ISNUMBER(T71),IF(ISNUMBER(T68),IF(T71&gt;T68,1.0,IF(T71=T68,0.5,0.0)),""),"")</f>
        <v/>
      </c>
      <c r="AD71">
        <f>IF(ISNUMBER(T71),IF(ISNUMBER(T69),IF(T71&gt;T69,1.0,IF(T71=T69,0.5,0.0)),""),"")</f>
        <v/>
      </c>
      <c r="AE71">
        <f>IF(ISNUMBER(T71),IF(ISNUMBER(T70),IF(T71&gt;T70,1.0,IF(T71=T70,0.5,0.0)),""),"")</f>
        <v/>
      </c>
      <c r="AF71">
        <f>IF(ISNUMBER(T71),IF(ISNUMBER(T72),IF(T71&gt;T72,1.0,IF(T71=T72,0.5,0.0)),""),"")</f>
        <v/>
      </c>
      <c r="AG71" s="14">
        <f>IF(AND(ISNUMBER(S71),ISNUMBER(S66)),VLOOKUP(ABS(S71-S66),'IMP Table'!$A$2:$C$26,3)*SIGN(S71-S66),0)</f>
        <v/>
      </c>
      <c r="AH71">
        <f>IF(AND(ISNUMBER(S71),ISNUMBER(S67)),VLOOKUP(ABS(S71-S67),'IMP Table'!$A$2:$C$26,3)*SIGN(S71-S67),0)</f>
        <v/>
      </c>
      <c r="AI71">
        <f>IF(AND(ISNUMBER(S71),ISNUMBER(S68)),VLOOKUP(ABS(S71-S68),'IMP Table'!$A$2:$C$26,3)*SIGN(S71-S68),0)</f>
        <v/>
      </c>
      <c r="AJ71">
        <f>IF(AND(ISNUMBER(S71),ISNUMBER(S69)),VLOOKUP(ABS(S71-S69),'IMP Table'!$A$2:$C$26,3)*SIGN(S71-S69),0)</f>
        <v/>
      </c>
      <c r="AK71">
        <f>IF(AND(ISNUMBER(S71),ISNUMBER(S70)),VLOOKUP(ABS(S71-S70),'IMP Table'!$A$2:$C$26,3)*SIGN(S71-S70),0)</f>
        <v/>
      </c>
      <c r="AL71">
        <f>IF(AND(ISNUMBER(S71),ISNUMBER(S72)),VLOOKUP(ABS(S71-S72),'IMP Table'!$A$2:$C$26,3)*SIGN(S71-S72),0)</f>
        <v/>
      </c>
      <c r="AM71">
        <f>IF(AND(ISNUMBER(T71),ISNUMBER(T66)),VLOOKUP(ABS(T71-T66),'IMP Table'!$A$2:$C$26,3)*SIGN(T71-T66),0)</f>
        <v/>
      </c>
      <c r="AN71">
        <f>IF(AND(ISNUMBER(T71),ISNUMBER(T67)),VLOOKUP(ABS(T71-T67),'IMP Table'!$A$2:$C$26,3)*SIGN(T71-T67),0)</f>
        <v/>
      </c>
      <c r="AO71">
        <f>IF(AND(ISNUMBER(T71),ISNUMBER(T68)),VLOOKUP(ABS(T71-T68),'IMP Table'!$A$2:$C$26,3)*SIGN(T71-T68),0)</f>
        <v/>
      </c>
      <c r="AP71">
        <f>IF(AND(ISNUMBER(T71),ISNUMBER(T69)),VLOOKUP(ABS(T71-T69),'IMP Table'!$A$2:$C$26,3)*SIGN(T71-T69),0)</f>
        <v/>
      </c>
      <c r="AQ71">
        <f>IF(AND(ISNUMBER(T71),ISNUMBER(T70)),VLOOKUP(ABS(T71-T70),'IMP Table'!$A$2:$C$26,3)*SIGN(T71-T70),0)</f>
        <v/>
      </c>
      <c r="AR71">
        <f>IF(AND(ISNUMBER(T71),ISNUMBER(T72)),VLOOKUP(ABS(T71-T72),'IMP Table'!$A$2:$C$26,3)*SIGN(T71-T72),0)</f>
        <v/>
      </c>
    </row>
    <row r="72">
      <c r="A72" s="15" t="n"/>
      <c r="B72" s="16">
        <f>'By Round'!A59</f>
        <v/>
      </c>
      <c r="C72" s="16">
        <f>'By Round'!B59</f>
        <v/>
      </c>
      <c r="D72" s="16">
        <f>'By Round'!C59</f>
        <v/>
      </c>
      <c r="E72" s="16">
        <f>'By Round'!D59</f>
        <v/>
      </c>
      <c r="F72" s="16">
        <f>IF(ISBLANK('By Round'!F60),"",'By Round'!F60)</f>
        <v/>
      </c>
      <c r="G72" s="15">
        <f>IF(ISBLANK('By Round'!G60),"",'By Round'!G60)</f>
        <v/>
      </c>
      <c r="H72" s="15">
        <f>IF(ISBLANK('By Round'!H60),"",'By Round'!H60)</f>
        <v/>
      </c>
      <c r="I72" s="15">
        <f>IF(ISBLANK('By Round'!I60),"",'By Round'!I60)</f>
        <v/>
      </c>
      <c r="J72" s="15">
        <f>IF(ISBLANK('By Round'!J60),"",'By Round'!J60)</f>
        <v/>
      </c>
      <c r="K72" s="15">
        <f>IF(ISBLANK('By Round'!K60),"",'By Round'!K60)</f>
        <v/>
      </c>
      <c r="L72" s="15">
        <f>IF(ISBLANK('By Round'!L60),"",'By Round'!L60)</f>
        <v/>
      </c>
      <c r="M72" s="17">
        <f>AVERAGE(AG72:AL72)</f>
        <v/>
      </c>
      <c r="N72" s="18">
        <f>AVERAGE(AM72:AR72)</f>
        <v/>
      </c>
      <c r="O72" s="19">
        <f>IF(COUNT(U72:Z72)&gt;0,Q72/COUNT(U72:Z72),0.5)</f>
        <v/>
      </c>
      <c r="P72" s="19">
        <f>IF(COUNT(AA72:AF72)&gt;0,R72/COUNT(AA72:AF72),0.5)</f>
        <v/>
      </c>
      <c r="Q72" s="20">
        <f>SUM(U72:Z72)</f>
        <v/>
      </c>
      <c r="R72" s="20">
        <f>SUM(AA72:AF72)</f>
        <v/>
      </c>
      <c r="S72" s="21">
        <f>IF(ISNUMBER(K72),K72,IF(ISNUMBER(L72),-L72,""))</f>
        <v/>
      </c>
      <c r="T72" s="15">
        <f>IF(ISNUMBER(L72),L72,IF(ISNUMBER(K72),-K72,""))</f>
        <v/>
      </c>
      <c r="U72" s="21">
        <f>IF(ISNUMBER(S72),IF(ISNUMBER(S66),IF(S72&gt;S66,1.0,IF(S72=S66,0.5,0.0)),""),"")</f>
        <v/>
      </c>
      <c r="V72" s="15">
        <f>IF(ISNUMBER(S72),IF(ISNUMBER(S67),IF(S72&gt;S67,1.0,IF(S72=S67,0.5,0.0)),""),"")</f>
        <v/>
      </c>
      <c r="W72" s="15">
        <f>IF(ISNUMBER(S72),IF(ISNUMBER(S68),IF(S72&gt;S68,1.0,IF(S72=S68,0.5,0.0)),""),"")</f>
        <v/>
      </c>
      <c r="X72" s="15">
        <f>IF(ISNUMBER(S72),IF(ISNUMBER(S69),IF(S72&gt;S69,1.0,IF(S72=S69,0.5,0.0)),""),"")</f>
        <v/>
      </c>
      <c r="Y72" s="15">
        <f>IF(ISNUMBER(S72),IF(ISNUMBER(S70),IF(S72&gt;S70,1.0,IF(S72=S70,0.5,0.0)),""),"")</f>
        <v/>
      </c>
      <c r="Z72" s="15">
        <f>IF(ISNUMBER(S72),IF(ISNUMBER(S71),IF(S72&gt;S71,1.0,IF(S72=S71,0.5,0.0)),""),"")</f>
        <v/>
      </c>
      <c r="AA72" s="15">
        <f>IF(ISNUMBER(T72),IF(ISNUMBER(T66),IF(T72&gt;T66,1.0,IF(T72=T66,0.5,0.0)),""),"")</f>
        <v/>
      </c>
      <c r="AB72" s="15">
        <f>IF(ISNUMBER(T72),IF(ISNUMBER(T67),IF(T72&gt;T67,1.0,IF(T72=T67,0.5,0.0)),""),"")</f>
        <v/>
      </c>
      <c r="AC72" s="15">
        <f>IF(ISNUMBER(T72),IF(ISNUMBER(T68),IF(T72&gt;T68,1.0,IF(T72=T68,0.5,0.0)),""),"")</f>
        <v/>
      </c>
      <c r="AD72" s="15">
        <f>IF(ISNUMBER(T72),IF(ISNUMBER(T69),IF(T72&gt;T69,1.0,IF(T72=T69,0.5,0.0)),""),"")</f>
        <v/>
      </c>
      <c r="AE72" s="15">
        <f>IF(ISNUMBER(T72),IF(ISNUMBER(T70),IF(T72&gt;T70,1.0,IF(T72=T70,0.5,0.0)),""),"")</f>
        <v/>
      </c>
      <c r="AF72" s="15">
        <f>IF(ISNUMBER(T72),IF(ISNUMBER(T71),IF(T72&gt;T71,1.0,IF(T72=T71,0.5,0.0)),""),"")</f>
        <v/>
      </c>
      <c r="AG72" s="21">
        <f>IF(AND(ISNUMBER(S72),ISNUMBER(S66)),VLOOKUP(ABS(S72-S66),'IMP Table'!$A$2:$C$26,3)*SIGN(S72-S66),0)</f>
        <v/>
      </c>
      <c r="AH72" s="15">
        <f>IF(AND(ISNUMBER(S72),ISNUMBER(S67)),VLOOKUP(ABS(S72-S67),'IMP Table'!$A$2:$C$26,3)*SIGN(S72-S67),0)</f>
        <v/>
      </c>
      <c r="AI72" s="15">
        <f>IF(AND(ISNUMBER(S72),ISNUMBER(S68)),VLOOKUP(ABS(S72-S68),'IMP Table'!$A$2:$C$26,3)*SIGN(S72-S68),0)</f>
        <v/>
      </c>
      <c r="AJ72" s="15">
        <f>IF(AND(ISNUMBER(S72),ISNUMBER(S69)),VLOOKUP(ABS(S72-S69),'IMP Table'!$A$2:$C$26,3)*SIGN(S72-S69),0)</f>
        <v/>
      </c>
      <c r="AK72" s="15">
        <f>IF(AND(ISNUMBER(S72),ISNUMBER(S70)),VLOOKUP(ABS(S72-S70),'IMP Table'!$A$2:$C$26,3)*SIGN(S72-S70),0)</f>
        <v/>
      </c>
      <c r="AL72" s="15">
        <f>IF(AND(ISNUMBER(S72),ISNUMBER(S71)),VLOOKUP(ABS(S72-S71),'IMP Table'!$A$2:$C$26,3)*SIGN(S72-S71),0)</f>
        <v/>
      </c>
      <c r="AM72" s="15">
        <f>IF(AND(ISNUMBER(T72),ISNUMBER(T66)),VLOOKUP(ABS(T72-T66),'IMP Table'!$A$2:$C$26,3)*SIGN(T72-T66),0)</f>
        <v/>
      </c>
      <c r="AN72" s="15">
        <f>IF(AND(ISNUMBER(T72),ISNUMBER(T67)),VLOOKUP(ABS(T72-T67),'IMP Table'!$A$2:$C$26,3)*SIGN(T72-T67),0)</f>
        <v/>
      </c>
      <c r="AO72" s="15">
        <f>IF(AND(ISNUMBER(T72),ISNUMBER(T68)),VLOOKUP(ABS(T72-T68),'IMP Table'!$A$2:$C$26,3)*SIGN(T72-T68),0)</f>
        <v/>
      </c>
      <c r="AP72" s="15">
        <f>IF(AND(ISNUMBER(T72),ISNUMBER(T69)),VLOOKUP(ABS(T72-T69),'IMP Table'!$A$2:$C$26,3)*SIGN(T72-T69),0)</f>
        <v/>
      </c>
      <c r="AQ72" s="15">
        <f>IF(AND(ISNUMBER(T72),ISNUMBER(T70)),VLOOKUP(ABS(T72-T70),'IMP Table'!$A$2:$C$26,3)*SIGN(T72-T70),0)</f>
        <v/>
      </c>
      <c r="AR72" s="15">
        <f>IF(AND(ISNUMBER(T72),ISNUMBER(T71)),VLOOKUP(ABS(T72-T71),'IMP Table'!$A$2:$C$26,3)*SIGN(T72-T71),0)</f>
        <v/>
      </c>
    </row>
    <row r="73">
      <c r="A73" s="10" t="n">
        <v>11</v>
      </c>
      <c r="B73" s="10">
        <f>'By Round'!A129</f>
        <v/>
      </c>
      <c r="C73" s="10">
        <f>'By Round'!B137</f>
        <v/>
      </c>
      <c r="D73" s="10">
        <f>'By Round'!C137</f>
        <v/>
      </c>
      <c r="E73" s="10">
        <f>'By Round'!D137</f>
        <v/>
      </c>
      <c r="F73" s="10">
        <f>IF(ISBLANK('By Round'!F137),"",'By Round'!F137)</f>
        <v/>
      </c>
      <c r="G73">
        <f>IF(ISBLANK('By Round'!G137),"",'By Round'!G137)</f>
        <v/>
      </c>
      <c r="H73">
        <f>IF(ISBLANK('By Round'!H137),"",'By Round'!H137)</f>
        <v/>
      </c>
      <c r="I73">
        <f>IF(ISBLANK('By Round'!I137),"",'By Round'!I137)</f>
        <v/>
      </c>
      <c r="J73">
        <f>IF(ISBLANK('By Round'!J137),"",'By Round'!J137)</f>
        <v/>
      </c>
      <c r="K73">
        <f>IF(ISBLANK('By Round'!K137),"",'By Round'!K137)</f>
        <v/>
      </c>
      <c r="L73">
        <f>IF(ISBLANK('By Round'!L137),"",'By Round'!L137)</f>
        <v/>
      </c>
      <c r="M73" s="11">
        <f>AVERAGE(AG73:AL73)</f>
        <v/>
      </c>
      <c r="N73" s="12">
        <f>AVERAGE(AM73:AR73)</f>
        <v/>
      </c>
      <c r="O73" s="13">
        <f>IF(COUNT(U73:Z73)&gt;0,Q73/COUNT(U73:Z73),0.5)</f>
        <v/>
      </c>
      <c r="P73" s="13">
        <f>IF(COUNT(AA73:AF73)&gt;0,R73/COUNT(AA73:AF73),0.5)</f>
        <v/>
      </c>
      <c r="Q73" s="5">
        <f>SUM(U73:Z73)</f>
        <v/>
      </c>
      <c r="R73" s="5">
        <f>SUM(AA73:AF73)</f>
        <v/>
      </c>
      <c r="S73" s="14">
        <f>IF(ISNUMBER(K73),K73,IF(ISNUMBER(L73),-L73,""))</f>
        <v/>
      </c>
      <c r="T73">
        <f>IF(ISNUMBER(L73),L73,IF(ISNUMBER(K73),-K73,""))</f>
        <v/>
      </c>
      <c r="U73" s="14">
        <f>IF(ISNUMBER(S73),IF(ISNUMBER(S74),IF(S73&gt;S74,1.0,IF(S73=S74,0.5,0.0)),""),"")</f>
        <v/>
      </c>
      <c r="V73">
        <f>IF(ISNUMBER(S73),IF(ISNUMBER(S75),IF(S73&gt;S75,1.0,IF(S73=S75,0.5,0.0)),""),"")</f>
        <v/>
      </c>
      <c r="W73">
        <f>IF(ISNUMBER(S73),IF(ISNUMBER(S76),IF(S73&gt;S76,1.0,IF(S73=S76,0.5,0.0)),""),"")</f>
        <v/>
      </c>
      <c r="X73">
        <f>IF(ISNUMBER(S73),IF(ISNUMBER(S77),IF(S73&gt;S77,1.0,IF(S73=S77,0.5,0.0)),""),"")</f>
        <v/>
      </c>
      <c r="Y73">
        <f>IF(ISNUMBER(S73),IF(ISNUMBER(S78),IF(S73&gt;S78,1.0,IF(S73=S78,0.5,0.0)),""),"")</f>
        <v/>
      </c>
      <c r="Z73">
        <f>IF(ISNUMBER(S73),IF(ISNUMBER(S79),IF(S73&gt;S79,1.0,IF(S73=S79,0.5,0.0)),""),"")</f>
        <v/>
      </c>
      <c r="AA73">
        <f>IF(ISNUMBER(T73),IF(ISNUMBER(T74),IF(T73&gt;T74,1.0,IF(T73=T74,0.5,0.0)),""),"")</f>
        <v/>
      </c>
      <c r="AB73">
        <f>IF(ISNUMBER(T73),IF(ISNUMBER(T75),IF(T73&gt;T75,1.0,IF(T73=T75,0.5,0.0)),""),"")</f>
        <v/>
      </c>
      <c r="AC73">
        <f>IF(ISNUMBER(T73),IF(ISNUMBER(T76),IF(T73&gt;T76,1.0,IF(T73=T76,0.5,0.0)),""),"")</f>
        <v/>
      </c>
      <c r="AD73">
        <f>IF(ISNUMBER(T73),IF(ISNUMBER(T77),IF(T73&gt;T77,1.0,IF(T73=T77,0.5,0.0)),""),"")</f>
        <v/>
      </c>
      <c r="AE73">
        <f>IF(ISNUMBER(T73),IF(ISNUMBER(T78),IF(T73&gt;T78,1.0,IF(T73=T78,0.5,0.0)),""),"")</f>
        <v/>
      </c>
      <c r="AF73">
        <f>IF(ISNUMBER(T73),IF(ISNUMBER(T79),IF(T73&gt;T79,1.0,IF(T73=T79,0.5,0.0)),""),"")</f>
        <v/>
      </c>
      <c r="AG73" s="14">
        <f>IF(AND(ISNUMBER(S73),ISNUMBER(S74)),VLOOKUP(ABS(S73-S74),'IMP Table'!$A$2:$C$26,3)*SIGN(S73-S74),0)</f>
        <v/>
      </c>
      <c r="AH73">
        <f>IF(AND(ISNUMBER(S73),ISNUMBER(S75)),VLOOKUP(ABS(S73-S75),'IMP Table'!$A$2:$C$26,3)*SIGN(S73-S75),0)</f>
        <v/>
      </c>
      <c r="AI73">
        <f>IF(AND(ISNUMBER(S73),ISNUMBER(S76)),VLOOKUP(ABS(S73-S76),'IMP Table'!$A$2:$C$26,3)*SIGN(S73-S76),0)</f>
        <v/>
      </c>
      <c r="AJ73">
        <f>IF(AND(ISNUMBER(S73),ISNUMBER(S77)),VLOOKUP(ABS(S73-S77),'IMP Table'!$A$2:$C$26,3)*SIGN(S73-S77),0)</f>
        <v/>
      </c>
      <c r="AK73">
        <f>IF(AND(ISNUMBER(S73),ISNUMBER(S78)),VLOOKUP(ABS(S73-S78),'IMP Table'!$A$2:$C$26,3)*SIGN(S73-S78),0)</f>
        <v/>
      </c>
      <c r="AL73">
        <f>IF(AND(ISNUMBER(S73),ISNUMBER(S79)),VLOOKUP(ABS(S73-S79),'IMP Table'!$A$2:$C$26,3)*SIGN(S73-S79),0)</f>
        <v/>
      </c>
      <c r="AM73">
        <f>IF(AND(ISNUMBER(T73),ISNUMBER(T74)),VLOOKUP(ABS(T73-T74),'IMP Table'!$A$2:$C$26,3)*SIGN(T73-T74),0)</f>
        <v/>
      </c>
      <c r="AN73">
        <f>IF(AND(ISNUMBER(T73),ISNUMBER(T75)),VLOOKUP(ABS(T73-T75),'IMP Table'!$A$2:$C$26,3)*SIGN(T73-T75),0)</f>
        <v/>
      </c>
      <c r="AO73">
        <f>IF(AND(ISNUMBER(T73),ISNUMBER(T76)),VLOOKUP(ABS(T73-T76),'IMP Table'!$A$2:$C$26,3)*SIGN(T73-T76),0)</f>
        <v/>
      </c>
      <c r="AP73">
        <f>IF(AND(ISNUMBER(T73),ISNUMBER(T77)),VLOOKUP(ABS(T73-T77),'IMP Table'!$A$2:$C$26,3)*SIGN(T73-T77),0)</f>
        <v/>
      </c>
      <c r="AQ73">
        <f>IF(AND(ISNUMBER(T73),ISNUMBER(T78)),VLOOKUP(ABS(T73-T78),'IMP Table'!$A$2:$C$26,3)*SIGN(T73-T78),0)</f>
        <v/>
      </c>
      <c r="AR73">
        <f>IF(AND(ISNUMBER(T73),ISNUMBER(T79)),VLOOKUP(ABS(T73-T79),'IMP Table'!$A$2:$C$26,3)*SIGN(T73-T79),0)</f>
        <v/>
      </c>
    </row>
    <row r="74">
      <c r="B74" s="10">
        <f>'By Round'!A115</f>
        <v/>
      </c>
      <c r="C74" s="10">
        <f>'By Round'!B125</f>
        <v/>
      </c>
      <c r="D74" s="10">
        <f>'By Round'!C125</f>
        <v/>
      </c>
      <c r="E74" s="10">
        <f>'By Round'!D125</f>
        <v/>
      </c>
      <c r="F74" s="10">
        <f>IF(ISBLANK('By Round'!F125),"",'By Round'!F125)</f>
        <v/>
      </c>
      <c r="G74">
        <f>IF(ISBLANK('By Round'!G125),"",'By Round'!G125)</f>
        <v/>
      </c>
      <c r="H74">
        <f>IF(ISBLANK('By Round'!H125),"",'By Round'!H125)</f>
        <v/>
      </c>
      <c r="I74">
        <f>IF(ISBLANK('By Round'!I125),"",'By Round'!I125)</f>
        <v/>
      </c>
      <c r="J74">
        <f>IF(ISBLANK('By Round'!J125),"",'By Round'!J125)</f>
        <v/>
      </c>
      <c r="K74">
        <f>IF(ISBLANK('By Round'!K125),"",'By Round'!K125)</f>
        <v/>
      </c>
      <c r="L74">
        <f>IF(ISBLANK('By Round'!L125),"",'By Round'!L125)</f>
        <v/>
      </c>
      <c r="M74" s="11">
        <f>AVERAGE(AG74:AL74)</f>
        <v/>
      </c>
      <c r="N74" s="12">
        <f>AVERAGE(AM74:AR74)</f>
        <v/>
      </c>
      <c r="O74" s="13">
        <f>IF(COUNT(U74:Z74)&gt;0,Q74/COUNT(U74:Z74),0.5)</f>
        <v/>
      </c>
      <c r="P74" s="13">
        <f>IF(COUNT(AA74:AF74)&gt;0,R74/COUNT(AA74:AF74),0.5)</f>
        <v/>
      </c>
      <c r="Q74" s="5">
        <f>SUM(U74:Z74)</f>
        <v/>
      </c>
      <c r="R74" s="5">
        <f>SUM(AA74:AF74)</f>
        <v/>
      </c>
      <c r="S74" s="14">
        <f>IF(ISNUMBER(K74),K74,IF(ISNUMBER(L74),-L74,""))</f>
        <v/>
      </c>
      <c r="T74">
        <f>IF(ISNUMBER(L74),L74,IF(ISNUMBER(K74),-K74,""))</f>
        <v/>
      </c>
      <c r="U74" s="14">
        <f>IF(ISNUMBER(S74),IF(ISNUMBER(S73),IF(S74&gt;S73,1.0,IF(S74=S73,0.5,0.0)),""),"")</f>
        <v/>
      </c>
      <c r="V74">
        <f>IF(ISNUMBER(S74),IF(ISNUMBER(S75),IF(S74&gt;S75,1.0,IF(S74=S75,0.5,0.0)),""),"")</f>
        <v/>
      </c>
      <c r="W74">
        <f>IF(ISNUMBER(S74),IF(ISNUMBER(S76),IF(S74&gt;S76,1.0,IF(S74=S76,0.5,0.0)),""),"")</f>
        <v/>
      </c>
      <c r="X74">
        <f>IF(ISNUMBER(S74),IF(ISNUMBER(S77),IF(S74&gt;S77,1.0,IF(S74=S77,0.5,0.0)),""),"")</f>
        <v/>
      </c>
      <c r="Y74">
        <f>IF(ISNUMBER(S74),IF(ISNUMBER(S78),IF(S74&gt;S78,1.0,IF(S74=S78,0.5,0.0)),""),"")</f>
        <v/>
      </c>
      <c r="Z74">
        <f>IF(ISNUMBER(S74),IF(ISNUMBER(S79),IF(S74&gt;S79,1.0,IF(S74=S79,0.5,0.0)),""),"")</f>
        <v/>
      </c>
      <c r="AA74">
        <f>IF(ISNUMBER(T74),IF(ISNUMBER(T73),IF(T74&gt;T73,1.0,IF(T74=T73,0.5,0.0)),""),"")</f>
        <v/>
      </c>
      <c r="AB74">
        <f>IF(ISNUMBER(T74),IF(ISNUMBER(T75),IF(T74&gt;T75,1.0,IF(T74=T75,0.5,0.0)),""),"")</f>
        <v/>
      </c>
      <c r="AC74">
        <f>IF(ISNUMBER(T74),IF(ISNUMBER(T76),IF(T74&gt;T76,1.0,IF(T74=T76,0.5,0.0)),""),"")</f>
        <v/>
      </c>
      <c r="AD74">
        <f>IF(ISNUMBER(T74),IF(ISNUMBER(T77),IF(T74&gt;T77,1.0,IF(T74=T77,0.5,0.0)),""),"")</f>
        <v/>
      </c>
      <c r="AE74">
        <f>IF(ISNUMBER(T74),IF(ISNUMBER(T78),IF(T74&gt;T78,1.0,IF(T74=T78,0.5,0.0)),""),"")</f>
        <v/>
      </c>
      <c r="AF74">
        <f>IF(ISNUMBER(T74),IF(ISNUMBER(T79),IF(T74&gt;T79,1.0,IF(T74=T79,0.5,0.0)),""),"")</f>
        <v/>
      </c>
      <c r="AG74" s="14">
        <f>IF(AND(ISNUMBER(S74),ISNUMBER(S73)),VLOOKUP(ABS(S74-S73),'IMP Table'!$A$2:$C$26,3)*SIGN(S74-S73),0)</f>
        <v/>
      </c>
      <c r="AH74">
        <f>IF(AND(ISNUMBER(S74),ISNUMBER(S75)),VLOOKUP(ABS(S74-S75),'IMP Table'!$A$2:$C$26,3)*SIGN(S74-S75),0)</f>
        <v/>
      </c>
      <c r="AI74">
        <f>IF(AND(ISNUMBER(S74),ISNUMBER(S76)),VLOOKUP(ABS(S74-S76),'IMP Table'!$A$2:$C$26,3)*SIGN(S74-S76),0)</f>
        <v/>
      </c>
      <c r="AJ74">
        <f>IF(AND(ISNUMBER(S74),ISNUMBER(S77)),VLOOKUP(ABS(S74-S77),'IMP Table'!$A$2:$C$26,3)*SIGN(S74-S77),0)</f>
        <v/>
      </c>
      <c r="AK74">
        <f>IF(AND(ISNUMBER(S74),ISNUMBER(S78)),VLOOKUP(ABS(S74-S78),'IMP Table'!$A$2:$C$26,3)*SIGN(S74-S78),0)</f>
        <v/>
      </c>
      <c r="AL74">
        <f>IF(AND(ISNUMBER(S74),ISNUMBER(S79)),VLOOKUP(ABS(S74-S79),'IMP Table'!$A$2:$C$26,3)*SIGN(S74-S79),0)</f>
        <v/>
      </c>
      <c r="AM74">
        <f>IF(AND(ISNUMBER(T74),ISNUMBER(T73)),VLOOKUP(ABS(T74-T73),'IMP Table'!$A$2:$C$26,3)*SIGN(T74-T73),0)</f>
        <v/>
      </c>
      <c r="AN74">
        <f>IF(AND(ISNUMBER(T74),ISNUMBER(T75)),VLOOKUP(ABS(T74-T75),'IMP Table'!$A$2:$C$26,3)*SIGN(T74-T75),0)</f>
        <v/>
      </c>
      <c r="AO74">
        <f>IF(AND(ISNUMBER(T74),ISNUMBER(T76)),VLOOKUP(ABS(T74-T76),'IMP Table'!$A$2:$C$26,3)*SIGN(T74-T76),0)</f>
        <v/>
      </c>
      <c r="AP74">
        <f>IF(AND(ISNUMBER(T74),ISNUMBER(T77)),VLOOKUP(ABS(T74-T77),'IMP Table'!$A$2:$C$26,3)*SIGN(T74-T77),0)</f>
        <v/>
      </c>
      <c r="AQ74">
        <f>IF(AND(ISNUMBER(T74),ISNUMBER(T78)),VLOOKUP(ABS(T74-T78),'IMP Table'!$A$2:$C$26,3)*SIGN(T74-T78),0)</f>
        <v/>
      </c>
      <c r="AR74">
        <f>IF(AND(ISNUMBER(T74),ISNUMBER(T79)),VLOOKUP(ABS(T74-T79),'IMP Table'!$A$2:$C$26,3)*SIGN(T74-T79),0)</f>
        <v/>
      </c>
    </row>
    <row r="75">
      <c r="B75" s="10">
        <f>'By Round'!A31</f>
        <v/>
      </c>
      <c r="C75" s="10">
        <f>'By Round'!B35</f>
        <v/>
      </c>
      <c r="D75" s="10">
        <f>'By Round'!C35</f>
        <v/>
      </c>
      <c r="E75" s="10">
        <f>'By Round'!D35</f>
        <v/>
      </c>
      <c r="F75" s="10">
        <f>IF(ISBLANK('By Round'!F35),"",'By Round'!F35)</f>
        <v/>
      </c>
      <c r="G75">
        <f>IF(ISBLANK('By Round'!G35),"",'By Round'!G35)</f>
        <v/>
      </c>
      <c r="H75">
        <f>IF(ISBLANK('By Round'!H35),"",'By Round'!H35)</f>
        <v/>
      </c>
      <c r="I75">
        <f>IF(ISBLANK('By Round'!I35),"",'By Round'!I35)</f>
        <v/>
      </c>
      <c r="J75">
        <f>IF(ISBLANK('By Round'!J35),"",'By Round'!J35)</f>
        <v/>
      </c>
      <c r="K75">
        <f>IF(ISBLANK('By Round'!K35),"",'By Round'!K35)</f>
        <v/>
      </c>
      <c r="L75">
        <f>IF(ISBLANK('By Round'!L35),"",'By Round'!L35)</f>
        <v/>
      </c>
      <c r="M75" s="11">
        <f>AVERAGE(AG75:AL75)</f>
        <v/>
      </c>
      <c r="N75" s="12">
        <f>AVERAGE(AM75:AR75)</f>
        <v/>
      </c>
      <c r="O75" s="13">
        <f>IF(COUNT(U75:Z75)&gt;0,Q75/COUNT(U75:Z75),0.5)</f>
        <v/>
      </c>
      <c r="P75" s="13">
        <f>IF(COUNT(AA75:AF75)&gt;0,R75/COUNT(AA75:AF75),0.5)</f>
        <v/>
      </c>
      <c r="Q75" s="5">
        <f>SUM(U75:Z75)</f>
        <v/>
      </c>
      <c r="R75" s="5">
        <f>SUM(AA75:AF75)</f>
        <v/>
      </c>
      <c r="S75" s="14">
        <f>IF(ISNUMBER(K75),K75,IF(ISNUMBER(L75),-L75,""))</f>
        <v/>
      </c>
      <c r="T75">
        <f>IF(ISNUMBER(L75),L75,IF(ISNUMBER(K75),-K75,""))</f>
        <v/>
      </c>
      <c r="U75" s="14">
        <f>IF(ISNUMBER(S75),IF(ISNUMBER(S73),IF(S75&gt;S73,1.0,IF(S75=S73,0.5,0.0)),""),"")</f>
        <v/>
      </c>
      <c r="V75">
        <f>IF(ISNUMBER(S75),IF(ISNUMBER(S74),IF(S75&gt;S74,1.0,IF(S75=S74,0.5,0.0)),""),"")</f>
        <v/>
      </c>
      <c r="W75">
        <f>IF(ISNUMBER(S75),IF(ISNUMBER(S76),IF(S75&gt;S76,1.0,IF(S75=S76,0.5,0.0)),""),"")</f>
        <v/>
      </c>
      <c r="X75">
        <f>IF(ISNUMBER(S75),IF(ISNUMBER(S77),IF(S75&gt;S77,1.0,IF(S75=S77,0.5,0.0)),""),"")</f>
        <v/>
      </c>
      <c r="Y75">
        <f>IF(ISNUMBER(S75),IF(ISNUMBER(S78),IF(S75&gt;S78,1.0,IF(S75=S78,0.5,0.0)),""),"")</f>
        <v/>
      </c>
      <c r="Z75">
        <f>IF(ISNUMBER(S75),IF(ISNUMBER(S79),IF(S75&gt;S79,1.0,IF(S75=S79,0.5,0.0)),""),"")</f>
        <v/>
      </c>
      <c r="AA75">
        <f>IF(ISNUMBER(T75),IF(ISNUMBER(T73),IF(T75&gt;T73,1.0,IF(T75=T73,0.5,0.0)),""),"")</f>
        <v/>
      </c>
      <c r="AB75">
        <f>IF(ISNUMBER(T75),IF(ISNUMBER(T74),IF(T75&gt;T74,1.0,IF(T75=T74,0.5,0.0)),""),"")</f>
        <v/>
      </c>
      <c r="AC75">
        <f>IF(ISNUMBER(T75),IF(ISNUMBER(T76),IF(T75&gt;T76,1.0,IF(T75=T76,0.5,0.0)),""),"")</f>
        <v/>
      </c>
      <c r="AD75">
        <f>IF(ISNUMBER(T75),IF(ISNUMBER(T77),IF(T75&gt;T77,1.0,IF(T75=T77,0.5,0.0)),""),"")</f>
        <v/>
      </c>
      <c r="AE75">
        <f>IF(ISNUMBER(T75),IF(ISNUMBER(T78),IF(T75&gt;T78,1.0,IF(T75=T78,0.5,0.0)),""),"")</f>
        <v/>
      </c>
      <c r="AF75">
        <f>IF(ISNUMBER(T75),IF(ISNUMBER(T79),IF(T75&gt;T79,1.0,IF(T75=T79,0.5,0.0)),""),"")</f>
        <v/>
      </c>
      <c r="AG75" s="14">
        <f>IF(AND(ISNUMBER(S75),ISNUMBER(S73)),VLOOKUP(ABS(S75-S73),'IMP Table'!$A$2:$C$26,3)*SIGN(S75-S73),0)</f>
        <v/>
      </c>
      <c r="AH75">
        <f>IF(AND(ISNUMBER(S75),ISNUMBER(S74)),VLOOKUP(ABS(S75-S74),'IMP Table'!$A$2:$C$26,3)*SIGN(S75-S74),0)</f>
        <v/>
      </c>
      <c r="AI75">
        <f>IF(AND(ISNUMBER(S75),ISNUMBER(S76)),VLOOKUP(ABS(S75-S76),'IMP Table'!$A$2:$C$26,3)*SIGN(S75-S76),0)</f>
        <v/>
      </c>
      <c r="AJ75">
        <f>IF(AND(ISNUMBER(S75),ISNUMBER(S77)),VLOOKUP(ABS(S75-S77),'IMP Table'!$A$2:$C$26,3)*SIGN(S75-S77),0)</f>
        <v/>
      </c>
      <c r="AK75">
        <f>IF(AND(ISNUMBER(S75),ISNUMBER(S78)),VLOOKUP(ABS(S75-S78),'IMP Table'!$A$2:$C$26,3)*SIGN(S75-S78),0)</f>
        <v/>
      </c>
      <c r="AL75">
        <f>IF(AND(ISNUMBER(S75),ISNUMBER(S79)),VLOOKUP(ABS(S75-S79),'IMP Table'!$A$2:$C$26,3)*SIGN(S75-S79),0)</f>
        <v/>
      </c>
      <c r="AM75">
        <f>IF(AND(ISNUMBER(T75),ISNUMBER(T73)),VLOOKUP(ABS(T75-T73),'IMP Table'!$A$2:$C$26,3)*SIGN(T75-T73),0)</f>
        <v/>
      </c>
      <c r="AN75">
        <f>IF(AND(ISNUMBER(T75),ISNUMBER(T74)),VLOOKUP(ABS(T75-T74),'IMP Table'!$A$2:$C$26,3)*SIGN(T75-T74),0)</f>
        <v/>
      </c>
      <c r="AO75">
        <f>IF(AND(ISNUMBER(T75),ISNUMBER(T76)),VLOOKUP(ABS(T75-T76),'IMP Table'!$A$2:$C$26,3)*SIGN(T75-T76),0)</f>
        <v/>
      </c>
      <c r="AP75">
        <f>IF(AND(ISNUMBER(T75),ISNUMBER(T77)),VLOOKUP(ABS(T75-T77),'IMP Table'!$A$2:$C$26,3)*SIGN(T75-T77),0)</f>
        <v/>
      </c>
      <c r="AQ75">
        <f>IF(AND(ISNUMBER(T75),ISNUMBER(T78)),VLOOKUP(ABS(T75-T78),'IMP Table'!$A$2:$C$26,3)*SIGN(T75-T78),0)</f>
        <v/>
      </c>
      <c r="AR75">
        <f>IF(AND(ISNUMBER(T75),ISNUMBER(T79)),VLOOKUP(ABS(T75-T79),'IMP Table'!$A$2:$C$26,3)*SIGN(T75-T79),0)</f>
        <v/>
      </c>
    </row>
    <row r="76">
      <c r="B76" s="10">
        <f>'By Round'!A45</f>
        <v/>
      </c>
      <c r="C76" s="10">
        <f>'By Round'!B47</f>
        <v/>
      </c>
      <c r="D76" s="10">
        <f>'By Round'!C47</f>
        <v/>
      </c>
      <c r="E76" s="10">
        <f>'By Round'!D47</f>
        <v/>
      </c>
      <c r="F76" s="10">
        <f>IF(ISBLANK('By Round'!F47),"",'By Round'!F47)</f>
        <v/>
      </c>
      <c r="G76">
        <f>IF(ISBLANK('By Round'!G47),"",'By Round'!G47)</f>
        <v/>
      </c>
      <c r="H76">
        <f>IF(ISBLANK('By Round'!H47),"",'By Round'!H47)</f>
        <v/>
      </c>
      <c r="I76">
        <f>IF(ISBLANK('By Round'!I47),"",'By Round'!I47)</f>
        <v/>
      </c>
      <c r="J76">
        <f>IF(ISBLANK('By Round'!J47),"",'By Round'!J47)</f>
        <v/>
      </c>
      <c r="K76">
        <f>IF(ISBLANK('By Round'!K47),"",'By Round'!K47)</f>
        <v/>
      </c>
      <c r="L76">
        <f>IF(ISBLANK('By Round'!L47),"",'By Round'!L47)</f>
        <v/>
      </c>
      <c r="M76" s="11">
        <f>AVERAGE(AG76:AL76)</f>
        <v/>
      </c>
      <c r="N76" s="12">
        <f>AVERAGE(AM76:AR76)</f>
        <v/>
      </c>
      <c r="O76" s="13">
        <f>IF(COUNT(U76:Z76)&gt;0,Q76/COUNT(U76:Z76),0.5)</f>
        <v/>
      </c>
      <c r="P76" s="13">
        <f>IF(COUNT(AA76:AF76)&gt;0,R76/COUNT(AA76:AF76),0.5)</f>
        <v/>
      </c>
      <c r="Q76" s="5">
        <f>SUM(U76:Z76)</f>
        <v/>
      </c>
      <c r="R76" s="5">
        <f>SUM(AA76:AF76)</f>
        <v/>
      </c>
      <c r="S76" s="14">
        <f>IF(ISNUMBER(K76),K76,IF(ISNUMBER(L76),-L76,""))</f>
        <v/>
      </c>
      <c r="T76">
        <f>IF(ISNUMBER(L76),L76,IF(ISNUMBER(K76),-K76,""))</f>
        <v/>
      </c>
      <c r="U76" s="14">
        <f>IF(ISNUMBER(S76),IF(ISNUMBER(S73),IF(S76&gt;S73,1.0,IF(S76=S73,0.5,0.0)),""),"")</f>
        <v/>
      </c>
      <c r="V76">
        <f>IF(ISNUMBER(S76),IF(ISNUMBER(S74),IF(S76&gt;S74,1.0,IF(S76=S74,0.5,0.0)),""),"")</f>
        <v/>
      </c>
      <c r="W76">
        <f>IF(ISNUMBER(S76),IF(ISNUMBER(S75),IF(S76&gt;S75,1.0,IF(S76=S75,0.5,0.0)),""),"")</f>
        <v/>
      </c>
      <c r="X76">
        <f>IF(ISNUMBER(S76),IF(ISNUMBER(S77),IF(S76&gt;S77,1.0,IF(S76=S77,0.5,0.0)),""),"")</f>
        <v/>
      </c>
      <c r="Y76">
        <f>IF(ISNUMBER(S76),IF(ISNUMBER(S78),IF(S76&gt;S78,1.0,IF(S76=S78,0.5,0.0)),""),"")</f>
        <v/>
      </c>
      <c r="Z76">
        <f>IF(ISNUMBER(S76),IF(ISNUMBER(S79),IF(S76&gt;S79,1.0,IF(S76=S79,0.5,0.0)),""),"")</f>
        <v/>
      </c>
      <c r="AA76">
        <f>IF(ISNUMBER(T76),IF(ISNUMBER(T73),IF(T76&gt;T73,1.0,IF(T76=T73,0.5,0.0)),""),"")</f>
        <v/>
      </c>
      <c r="AB76">
        <f>IF(ISNUMBER(T76),IF(ISNUMBER(T74),IF(T76&gt;T74,1.0,IF(T76=T74,0.5,0.0)),""),"")</f>
        <v/>
      </c>
      <c r="AC76">
        <f>IF(ISNUMBER(T76),IF(ISNUMBER(T75),IF(T76&gt;T75,1.0,IF(T76=T75,0.5,0.0)),""),"")</f>
        <v/>
      </c>
      <c r="AD76">
        <f>IF(ISNUMBER(T76),IF(ISNUMBER(T77),IF(T76&gt;T77,1.0,IF(T76=T77,0.5,0.0)),""),"")</f>
        <v/>
      </c>
      <c r="AE76">
        <f>IF(ISNUMBER(T76),IF(ISNUMBER(T78),IF(T76&gt;T78,1.0,IF(T76=T78,0.5,0.0)),""),"")</f>
        <v/>
      </c>
      <c r="AF76">
        <f>IF(ISNUMBER(T76),IF(ISNUMBER(T79),IF(T76&gt;T79,1.0,IF(T76=T79,0.5,0.0)),""),"")</f>
        <v/>
      </c>
      <c r="AG76" s="14">
        <f>IF(AND(ISNUMBER(S76),ISNUMBER(S73)),VLOOKUP(ABS(S76-S73),'IMP Table'!$A$2:$C$26,3)*SIGN(S76-S73),0)</f>
        <v/>
      </c>
      <c r="AH76">
        <f>IF(AND(ISNUMBER(S76),ISNUMBER(S74)),VLOOKUP(ABS(S76-S74),'IMP Table'!$A$2:$C$26,3)*SIGN(S76-S74),0)</f>
        <v/>
      </c>
      <c r="AI76">
        <f>IF(AND(ISNUMBER(S76),ISNUMBER(S75)),VLOOKUP(ABS(S76-S75),'IMP Table'!$A$2:$C$26,3)*SIGN(S76-S75),0)</f>
        <v/>
      </c>
      <c r="AJ76">
        <f>IF(AND(ISNUMBER(S76),ISNUMBER(S77)),VLOOKUP(ABS(S76-S77),'IMP Table'!$A$2:$C$26,3)*SIGN(S76-S77),0)</f>
        <v/>
      </c>
      <c r="AK76">
        <f>IF(AND(ISNUMBER(S76),ISNUMBER(S78)),VLOOKUP(ABS(S76-S78),'IMP Table'!$A$2:$C$26,3)*SIGN(S76-S78),0)</f>
        <v/>
      </c>
      <c r="AL76">
        <f>IF(AND(ISNUMBER(S76),ISNUMBER(S79)),VLOOKUP(ABS(S76-S79),'IMP Table'!$A$2:$C$26,3)*SIGN(S76-S79),0)</f>
        <v/>
      </c>
      <c r="AM76">
        <f>IF(AND(ISNUMBER(T76),ISNUMBER(T73)),VLOOKUP(ABS(T76-T73),'IMP Table'!$A$2:$C$26,3)*SIGN(T76-T73),0)</f>
        <v/>
      </c>
      <c r="AN76">
        <f>IF(AND(ISNUMBER(T76),ISNUMBER(T74)),VLOOKUP(ABS(T76-T74),'IMP Table'!$A$2:$C$26,3)*SIGN(T76-T74),0)</f>
        <v/>
      </c>
      <c r="AO76">
        <f>IF(AND(ISNUMBER(T76),ISNUMBER(T75)),VLOOKUP(ABS(T76-T75),'IMP Table'!$A$2:$C$26,3)*SIGN(T76-T75),0)</f>
        <v/>
      </c>
      <c r="AP76">
        <f>IF(AND(ISNUMBER(T76),ISNUMBER(T77)),VLOOKUP(ABS(T76-T77),'IMP Table'!$A$2:$C$26,3)*SIGN(T76-T77),0)</f>
        <v/>
      </c>
      <c r="AQ76">
        <f>IF(AND(ISNUMBER(T76),ISNUMBER(T78)),VLOOKUP(ABS(T76-T78),'IMP Table'!$A$2:$C$26,3)*SIGN(T76-T78),0)</f>
        <v/>
      </c>
      <c r="AR76">
        <f>IF(AND(ISNUMBER(T76),ISNUMBER(T79)),VLOOKUP(ABS(T76-T79),'IMP Table'!$A$2:$C$26,3)*SIGN(T76-T79),0)</f>
        <v/>
      </c>
    </row>
    <row r="77">
      <c r="B77" s="10">
        <f>'By Round'!A17</f>
        <v/>
      </c>
      <c r="C77" s="10">
        <f>'By Round'!B23</f>
        <v/>
      </c>
      <c r="D77" s="10">
        <f>'By Round'!C23</f>
        <v/>
      </c>
      <c r="E77" s="10">
        <f>'By Round'!D23</f>
        <v/>
      </c>
      <c r="F77" s="10">
        <f>IF(ISBLANK('By Round'!F23),"",'By Round'!F23)</f>
        <v/>
      </c>
      <c r="G77">
        <f>IF(ISBLANK('By Round'!G23),"",'By Round'!G23)</f>
        <v/>
      </c>
      <c r="H77">
        <f>IF(ISBLANK('By Round'!H23),"",'By Round'!H23)</f>
        <v/>
      </c>
      <c r="I77">
        <f>IF(ISBLANK('By Round'!I23),"",'By Round'!I23)</f>
        <v/>
      </c>
      <c r="J77">
        <f>IF(ISBLANK('By Round'!J23),"",'By Round'!J23)</f>
        <v/>
      </c>
      <c r="K77">
        <f>IF(ISBLANK('By Round'!K23),"",'By Round'!K23)</f>
        <v/>
      </c>
      <c r="L77">
        <f>IF(ISBLANK('By Round'!L23),"",'By Round'!L23)</f>
        <v/>
      </c>
      <c r="M77" s="11">
        <f>AVERAGE(AG77:AL77)</f>
        <v/>
      </c>
      <c r="N77" s="12">
        <f>AVERAGE(AM77:AR77)</f>
        <v/>
      </c>
      <c r="O77" s="13">
        <f>IF(COUNT(U77:Z77)&gt;0,Q77/COUNT(U77:Z77),0.5)</f>
        <v/>
      </c>
      <c r="P77" s="13">
        <f>IF(COUNT(AA77:AF77)&gt;0,R77/COUNT(AA77:AF77),0.5)</f>
        <v/>
      </c>
      <c r="Q77" s="5">
        <f>SUM(U77:Z77)</f>
        <v/>
      </c>
      <c r="R77" s="5">
        <f>SUM(AA77:AF77)</f>
        <v/>
      </c>
      <c r="S77" s="14">
        <f>IF(ISNUMBER(K77),K77,IF(ISNUMBER(L77),-L77,""))</f>
        <v/>
      </c>
      <c r="T77">
        <f>IF(ISNUMBER(L77),L77,IF(ISNUMBER(K77),-K77,""))</f>
        <v/>
      </c>
      <c r="U77" s="14">
        <f>IF(ISNUMBER(S77),IF(ISNUMBER(S73),IF(S77&gt;S73,1.0,IF(S77=S73,0.5,0.0)),""),"")</f>
        <v/>
      </c>
      <c r="V77">
        <f>IF(ISNUMBER(S77),IF(ISNUMBER(S74),IF(S77&gt;S74,1.0,IF(S77=S74,0.5,0.0)),""),"")</f>
        <v/>
      </c>
      <c r="W77">
        <f>IF(ISNUMBER(S77),IF(ISNUMBER(S75),IF(S77&gt;S75,1.0,IF(S77=S75,0.5,0.0)),""),"")</f>
        <v/>
      </c>
      <c r="X77">
        <f>IF(ISNUMBER(S77),IF(ISNUMBER(S76),IF(S77&gt;S76,1.0,IF(S77=S76,0.5,0.0)),""),"")</f>
        <v/>
      </c>
      <c r="Y77">
        <f>IF(ISNUMBER(S77),IF(ISNUMBER(S78),IF(S77&gt;S78,1.0,IF(S77=S78,0.5,0.0)),""),"")</f>
        <v/>
      </c>
      <c r="Z77">
        <f>IF(ISNUMBER(S77),IF(ISNUMBER(S79),IF(S77&gt;S79,1.0,IF(S77=S79,0.5,0.0)),""),"")</f>
        <v/>
      </c>
      <c r="AA77">
        <f>IF(ISNUMBER(T77),IF(ISNUMBER(T73),IF(T77&gt;T73,1.0,IF(T77=T73,0.5,0.0)),""),"")</f>
        <v/>
      </c>
      <c r="AB77">
        <f>IF(ISNUMBER(T77),IF(ISNUMBER(T74),IF(T77&gt;T74,1.0,IF(T77=T74,0.5,0.0)),""),"")</f>
        <v/>
      </c>
      <c r="AC77">
        <f>IF(ISNUMBER(T77),IF(ISNUMBER(T75),IF(T77&gt;T75,1.0,IF(T77=T75,0.5,0.0)),""),"")</f>
        <v/>
      </c>
      <c r="AD77">
        <f>IF(ISNUMBER(T77),IF(ISNUMBER(T76),IF(T77&gt;T76,1.0,IF(T77=T76,0.5,0.0)),""),"")</f>
        <v/>
      </c>
      <c r="AE77">
        <f>IF(ISNUMBER(T77),IF(ISNUMBER(T78),IF(T77&gt;T78,1.0,IF(T77=T78,0.5,0.0)),""),"")</f>
        <v/>
      </c>
      <c r="AF77">
        <f>IF(ISNUMBER(T77),IF(ISNUMBER(T79),IF(T77&gt;T79,1.0,IF(T77=T79,0.5,0.0)),""),"")</f>
        <v/>
      </c>
      <c r="AG77" s="14">
        <f>IF(AND(ISNUMBER(S77),ISNUMBER(S73)),VLOOKUP(ABS(S77-S73),'IMP Table'!$A$2:$C$26,3)*SIGN(S77-S73),0)</f>
        <v/>
      </c>
      <c r="AH77">
        <f>IF(AND(ISNUMBER(S77),ISNUMBER(S74)),VLOOKUP(ABS(S77-S74),'IMP Table'!$A$2:$C$26,3)*SIGN(S77-S74),0)</f>
        <v/>
      </c>
      <c r="AI77">
        <f>IF(AND(ISNUMBER(S77),ISNUMBER(S75)),VLOOKUP(ABS(S77-S75),'IMP Table'!$A$2:$C$26,3)*SIGN(S77-S75),0)</f>
        <v/>
      </c>
      <c r="AJ77">
        <f>IF(AND(ISNUMBER(S77),ISNUMBER(S76)),VLOOKUP(ABS(S77-S76),'IMP Table'!$A$2:$C$26,3)*SIGN(S77-S76),0)</f>
        <v/>
      </c>
      <c r="AK77">
        <f>IF(AND(ISNUMBER(S77),ISNUMBER(S78)),VLOOKUP(ABS(S77-S78),'IMP Table'!$A$2:$C$26,3)*SIGN(S77-S78),0)</f>
        <v/>
      </c>
      <c r="AL77">
        <f>IF(AND(ISNUMBER(S77),ISNUMBER(S79)),VLOOKUP(ABS(S77-S79),'IMP Table'!$A$2:$C$26,3)*SIGN(S77-S79),0)</f>
        <v/>
      </c>
      <c r="AM77">
        <f>IF(AND(ISNUMBER(T77),ISNUMBER(T73)),VLOOKUP(ABS(T77-T73),'IMP Table'!$A$2:$C$26,3)*SIGN(T77-T73),0)</f>
        <v/>
      </c>
      <c r="AN77">
        <f>IF(AND(ISNUMBER(T77),ISNUMBER(T74)),VLOOKUP(ABS(T77-T74),'IMP Table'!$A$2:$C$26,3)*SIGN(T77-T74),0)</f>
        <v/>
      </c>
      <c r="AO77">
        <f>IF(AND(ISNUMBER(T77),ISNUMBER(T75)),VLOOKUP(ABS(T77-T75),'IMP Table'!$A$2:$C$26,3)*SIGN(T77-T75),0)</f>
        <v/>
      </c>
      <c r="AP77">
        <f>IF(AND(ISNUMBER(T77),ISNUMBER(T76)),VLOOKUP(ABS(T77-T76),'IMP Table'!$A$2:$C$26,3)*SIGN(T77-T76),0)</f>
        <v/>
      </c>
      <c r="AQ77">
        <f>IF(AND(ISNUMBER(T77),ISNUMBER(T78)),VLOOKUP(ABS(T77-T78),'IMP Table'!$A$2:$C$26,3)*SIGN(T77-T78),0)</f>
        <v/>
      </c>
      <c r="AR77">
        <f>IF(AND(ISNUMBER(T77),ISNUMBER(T79)),VLOOKUP(ABS(T77-T79),'IMP Table'!$A$2:$C$26,3)*SIGN(T77-T79),0)</f>
        <v/>
      </c>
    </row>
    <row r="78">
      <c r="B78" s="10">
        <f>'By Round'!A101</f>
        <v/>
      </c>
      <c r="C78" s="10">
        <f>'By Round'!B113</f>
        <v/>
      </c>
      <c r="D78" s="10">
        <f>'By Round'!C113</f>
        <v/>
      </c>
      <c r="E78" s="10">
        <f>'By Round'!D113</f>
        <v/>
      </c>
      <c r="F78" s="10">
        <f>IF(ISBLANK('By Round'!F113),"",'By Round'!F113)</f>
        <v/>
      </c>
      <c r="G78">
        <f>IF(ISBLANK('By Round'!G113),"",'By Round'!G113)</f>
        <v/>
      </c>
      <c r="H78">
        <f>IF(ISBLANK('By Round'!H113),"",'By Round'!H113)</f>
        <v/>
      </c>
      <c r="I78">
        <f>IF(ISBLANK('By Round'!I113),"",'By Round'!I113)</f>
        <v/>
      </c>
      <c r="J78">
        <f>IF(ISBLANK('By Round'!J113),"",'By Round'!J113)</f>
        <v/>
      </c>
      <c r="K78">
        <f>IF(ISBLANK('By Round'!K113),"",'By Round'!K113)</f>
        <v/>
      </c>
      <c r="L78">
        <f>IF(ISBLANK('By Round'!L113),"",'By Round'!L113)</f>
        <v/>
      </c>
      <c r="M78" s="11">
        <f>AVERAGE(AG78:AL78)</f>
        <v/>
      </c>
      <c r="N78" s="12">
        <f>AVERAGE(AM78:AR78)</f>
        <v/>
      </c>
      <c r="O78" s="13">
        <f>IF(COUNT(U78:Z78)&gt;0,Q78/COUNT(U78:Z78),0.5)</f>
        <v/>
      </c>
      <c r="P78" s="13">
        <f>IF(COUNT(AA78:AF78)&gt;0,R78/COUNT(AA78:AF78),0.5)</f>
        <v/>
      </c>
      <c r="Q78" s="5">
        <f>SUM(U78:Z78)</f>
        <v/>
      </c>
      <c r="R78" s="5">
        <f>SUM(AA78:AF78)</f>
        <v/>
      </c>
      <c r="S78" s="14">
        <f>IF(ISNUMBER(K78),K78,IF(ISNUMBER(L78),-L78,""))</f>
        <v/>
      </c>
      <c r="T78">
        <f>IF(ISNUMBER(L78),L78,IF(ISNUMBER(K78),-K78,""))</f>
        <v/>
      </c>
      <c r="U78" s="14">
        <f>IF(ISNUMBER(S78),IF(ISNUMBER(S73),IF(S78&gt;S73,1.0,IF(S78=S73,0.5,0.0)),""),"")</f>
        <v/>
      </c>
      <c r="V78">
        <f>IF(ISNUMBER(S78),IF(ISNUMBER(S74),IF(S78&gt;S74,1.0,IF(S78=S74,0.5,0.0)),""),"")</f>
        <v/>
      </c>
      <c r="W78">
        <f>IF(ISNUMBER(S78),IF(ISNUMBER(S75),IF(S78&gt;S75,1.0,IF(S78=S75,0.5,0.0)),""),"")</f>
        <v/>
      </c>
      <c r="X78">
        <f>IF(ISNUMBER(S78),IF(ISNUMBER(S76),IF(S78&gt;S76,1.0,IF(S78=S76,0.5,0.0)),""),"")</f>
        <v/>
      </c>
      <c r="Y78">
        <f>IF(ISNUMBER(S78),IF(ISNUMBER(S77),IF(S78&gt;S77,1.0,IF(S78=S77,0.5,0.0)),""),"")</f>
        <v/>
      </c>
      <c r="Z78">
        <f>IF(ISNUMBER(S78),IF(ISNUMBER(S79),IF(S78&gt;S79,1.0,IF(S78=S79,0.5,0.0)),""),"")</f>
        <v/>
      </c>
      <c r="AA78">
        <f>IF(ISNUMBER(T78),IF(ISNUMBER(T73),IF(T78&gt;T73,1.0,IF(T78=T73,0.5,0.0)),""),"")</f>
        <v/>
      </c>
      <c r="AB78">
        <f>IF(ISNUMBER(T78),IF(ISNUMBER(T74),IF(T78&gt;T74,1.0,IF(T78=T74,0.5,0.0)),""),"")</f>
        <v/>
      </c>
      <c r="AC78">
        <f>IF(ISNUMBER(T78),IF(ISNUMBER(T75),IF(T78&gt;T75,1.0,IF(T78=T75,0.5,0.0)),""),"")</f>
        <v/>
      </c>
      <c r="AD78">
        <f>IF(ISNUMBER(T78),IF(ISNUMBER(T76),IF(T78&gt;T76,1.0,IF(T78=T76,0.5,0.0)),""),"")</f>
        <v/>
      </c>
      <c r="AE78">
        <f>IF(ISNUMBER(T78),IF(ISNUMBER(T77),IF(T78&gt;T77,1.0,IF(T78=T77,0.5,0.0)),""),"")</f>
        <v/>
      </c>
      <c r="AF78">
        <f>IF(ISNUMBER(T78),IF(ISNUMBER(T79),IF(T78&gt;T79,1.0,IF(T78=T79,0.5,0.0)),""),"")</f>
        <v/>
      </c>
      <c r="AG78" s="14">
        <f>IF(AND(ISNUMBER(S78),ISNUMBER(S73)),VLOOKUP(ABS(S78-S73),'IMP Table'!$A$2:$C$26,3)*SIGN(S78-S73),0)</f>
        <v/>
      </c>
      <c r="AH78">
        <f>IF(AND(ISNUMBER(S78),ISNUMBER(S74)),VLOOKUP(ABS(S78-S74),'IMP Table'!$A$2:$C$26,3)*SIGN(S78-S74),0)</f>
        <v/>
      </c>
      <c r="AI78">
        <f>IF(AND(ISNUMBER(S78),ISNUMBER(S75)),VLOOKUP(ABS(S78-S75),'IMP Table'!$A$2:$C$26,3)*SIGN(S78-S75),0)</f>
        <v/>
      </c>
      <c r="AJ78">
        <f>IF(AND(ISNUMBER(S78),ISNUMBER(S76)),VLOOKUP(ABS(S78-S76),'IMP Table'!$A$2:$C$26,3)*SIGN(S78-S76),0)</f>
        <v/>
      </c>
      <c r="AK78">
        <f>IF(AND(ISNUMBER(S78),ISNUMBER(S77)),VLOOKUP(ABS(S78-S77),'IMP Table'!$A$2:$C$26,3)*SIGN(S78-S77),0)</f>
        <v/>
      </c>
      <c r="AL78">
        <f>IF(AND(ISNUMBER(S78),ISNUMBER(S79)),VLOOKUP(ABS(S78-S79),'IMP Table'!$A$2:$C$26,3)*SIGN(S78-S79),0)</f>
        <v/>
      </c>
      <c r="AM78">
        <f>IF(AND(ISNUMBER(T78),ISNUMBER(T73)),VLOOKUP(ABS(T78-T73),'IMP Table'!$A$2:$C$26,3)*SIGN(T78-T73),0)</f>
        <v/>
      </c>
      <c r="AN78">
        <f>IF(AND(ISNUMBER(T78),ISNUMBER(T74)),VLOOKUP(ABS(T78-T74),'IMP Table'!$A$2:$C$26,3)*SIGN(T78-T74),0)</f>
        <v/>
      </c>
      <c r="AO78">
        <f>IF(AND(ISNUMBER(T78),ISNUMBER(T75)),VLOOKUP(ABS(T78-T75),'IMP Table'!$A$2:$C$26,3)*SIGN(T78-T75),0)</f>
        <v/>
      </c>
      <c r="AP78">
        <f>IF(AND(ISNUMBER(T78),ISNUMBER(T76)),VLOOKUP(ABS(T78-T76),'IMP Table'!$A$2:$C$26,3)*SIGN(T78-T76),0)</f>
        <v/>
      </c>
      <c r="AQ78">
        <f>IF(AND(ISNUMBER(T78),ISNUMBER(T77)),VLOOKUP(ABS(T78-T77),'IMP Table'!$A$2:$C$26,3)*SIGN(T78-T77),0)</f>
        <v/>
      </c>
      <c r="AR78">
        <f>IF(AND(ISNUMBER(T78),ISNUMBER(T79)),VLOOKUP(ABS(T78-T79),'IMP Table'!$A$2:$C$26,3)*SIGN(T78-T79),0)</f>
        <v/>
      </c>
    </row>
    <row r="79">
      <c r="A79" s="15" t="n"/>
      <c r="B79" s="16">
        <f>'By Round'!A73</f>
        <v/>
      </c>
      <c r="C79" s="16">
        <f>'By Round'!B73</f>
        <v/>
      </c>
      <c r="D79" s="16">
        <f>'By Round'!C73</f>
        <v/>
      </c>
      <c r="E79" s="16">
        <f>'By Round'!D73</f>
        <v/>
      </c>
      <c r="F79" s="16">
        <f>IF(ISBLANK('By Round'!F73),"",'By Round'!F73)</f>
        <v/>
      </c>
      <c r="G79" s="15">
        <f>IF(ISBLANK('By Round'!G73),"",'By Round'!G73)</f>
        <v/>
      </c>
      <c r="H79" s="15">
        <f>IF(ISBLANK('By Round'!H73),"",'By Round'!H73)</f>
        <v/>
      </c>
      <c r="I79" s="15">
        <f>IF(ISBLANK('By Round'!I73),"",'By Round'!I73)</f>
        <v/>
      </c>
      <c r="J79" s="15">
        <f>IF(ISBLANK('By Round'!J73),"",'By Round'!J73)</f>
        <v/>
      </c>
      <c r="K79" s="15">
        <f>IF(ISBLANK('By Round'!K73),"",'By Round'!K73)</f>
        <v/>
      </c>
      <c r="L79" s="15">
        <f>IF(ISBLANK('By Round'!L73),"",'By Round'!L73)</f>
        <v/>
      </c>
      <c r="M79" s="17">
        <f>AVERAGE(AG79:AL79)</f>
        <v/>
      </c>
      <c r="N79" s="18">
        <f>AVERAGE(AM79:AR79)</f>
        <v/>
      </c>
      <c r="O79" s="19">
        <f>IF(COUNT(U79:Z79)&gt;0,Q79/COUNT(U79:Z79),0.5)</f>
        <v/>
      </c>
      <c r="P79" s="19">
        <f>IF(COUNT(AA79:AF79)&gt;0,R79/COUNT(AA79:AF79),0.5)</f>
        <v/>
      </c>
      <c r="Q79" s="20">
        <f>SUM(U79:Z79)</f>
        <v/>
      </c>
      <c r="R79" s="20">
        <f>SUM(AA79:AF79)</f>
        <v/>
      </c>
      <c r="S79" s="21">
        <f>IF(ISNUMBER(K79),K79,IF(ISNUMBER(L79),-L79,""))</f>
        <v/>
      </c>
      <c r="T79" s="15">
        <f>IF(ISNUMBER(L79),L79,IF(ISNUMBER(K79),-K79,""))</f>
        <v/>
      </c>
      <c r="U79" s="21">
        <f>IF(ISNUMBER(S79),IF(ISNUMBER(S73),IF(S79&gt;S73,1.0,IF(S79=S73,0.5,0.0)),""),"")</f>
        <v/>
      </c>
      <c r="V79" s="15">
        <f>IF(ISNUMBER(S79),IF(ISNUMBER(S74),IF(S79&gt;S74,1.0,IF(S79=S74,0.5,0.0)),""),"")</f>
        <v/>
      </c>
      <c r="W79" s="15">
        <f>IF(ISNUMBER(S79),IF(ISNUMBER(S75),IF(S79&gt;S75,1.0,IF(S79=S75,0.5,0.0)),""),"")</f>
        <v/>
      </c>
      <c r="X79" s="15">
        <f>IF(ISNUMBER(S79),IF(ISNUMBER(S76),IF(S79&gt;S76,1.0,IF(S79=S76,0.5,0.0)),""),"")</f>
        <v/>
      </c>
      <c r="Y79" s="15">
        <f>IF(ISNUMBER(S79),IF(ISNUMBER(S77),IF(S79&gt;S77,1.0,IF(S79=S77,0.5,0.0)),""),"")</f>
        <v/>
      </c>
      <c r="Z79" s="15">
        <f>IF(ISNUMBER(S79),IF(ISNUMBER(S78),IF(S79&gt;S78,1.0,IF(S79=S78,0.5,0.0)),""),"")</f>
        <v/>
      </c>
      <c r="AA79" s="15">
        <f>IF(ISNUMBER(T79),IF(ISNUMBER(T73),IF(T79&gt;T73,1.0,IF(T79=T73,0.5,0.0)),""),"")</f>
        <v/>
      </c>
      <c r="AB79" s="15">
        <f>IF(ISNUMBER(T79),IF(ISNUMBER(T74),IF(T79&gt;T74,1.0,IF(T79=T74,0.5,0.0)),""),"")</f>
        <v/>
      </c>
      <c r="AC79" s="15">
        <f>IF(ISNUMBER(T79),IF(ISNUMBER(T75),IF(T79&gt;T75,1.0,IF(T79=T75,0.5,0.0)),""),"")</f>
        <v/>
      </c>
      <c r="AD79" s="15">
        <f>IF(ISNUMBER(T79),IF(ISNUMBER(T76),IF(T79&gt;T76,1.0,IF(T79=T76,0.5,0.0)),""),"")</f>
        <v/>
      </c>
      <c r="AE79" s="15">
        <f>IF(ISNUMBER(T79),IF(ISNUMBER(T77),IF(T79&gt;T77,1.0,IF(T79=T77,0.5,0.0)),""),"")</f>
        <v/>
      </c>
      <c r="AF79" s="15">
        <f>IF(ISNUMBER(T79),IF(ISNUMBER(T78),IF(T79&gt;T78,1.0,IF(T79=T78,0.5,0.0)),""),"")</f>
        <v/>
      </c>
      <c r="AG79" s="21">
        <f>IF(AND(ISNUMBER(S79),ISNUMBER(S73)),VLOOKUP(ABS(S79-S73),'IMP Table'!$A$2:$C$26,3)*SIGN(S79-S73),0)</f>
        <v/>
      </c>
      <c r="AH79" s="15">
        <f>IF(AND(ISNUMBER(S79),ISNUMBER(S74)),VLOOKUP(ABS(S79-S74),'IMP Table'!$A$2:$C$26,3)*SIGN(S79-S74),0)</f>
        <v/>
      </c>
      <c r="AI79" s="15">
        <f>IF(AND(ISNUMBER(S79),ISNUMBER(S75)),VLOOKUP(ABS(S79-S75),'IMP Table'!$A$2:$C$26,3)*SIGN(S79-S75),0)</f>
        <v/>
      </c>
      <c r="AJ79" s="15">
        <f>IF(AND(ISNUMBER(S79),ISNUMBER(S76)),VLOOKUP(ABS(S79-S76),'IMP Table'!$A$2:$C$26,3)*SIGN(S79-S76),0)</f>
        <v/>
      </c>
      <c r="AK79" s="15">
        <f>IF(AND(ISNUMBER(S79),ISNUMBER(S77)),VLOOKUP(ABS(S79-S77),'IMP Table'!$A$2:$C$26,3)*SIGN(S79-S77),0)</f>
        <v/>
      </c>
      <c r="AL79" s="15">
        <f>IF(AND(ISNUMBER(S79),ISNUMBER(S78)),VLOOKUP(ABS(S79-S78),'IMP Table'!$A$2:$C$26,3)*SIGN(S79-S78),0)</f>
        <v/>
      </c>
      <c r="AM79" s="15">
        <f>IF(AND(ISNUMBER(T79),ISNUMBER(T73)),VLOOKUP(ABS(T79-T73),'IMP Table'!$A$2:$C$26,3)*SIGN(T79-T73),0)</f>
        <v/>
      </c>
      <c r="AN79" s="15">
        <f>IF(AND(ISNUMBER(T79),ISNUMBER(T74)),VLOOKUP(ABS(T79-T74),'IMP Table'!$A$2:$C$26,3)*SIGN(T79-T74),0)</f>
        <v/>
      </c>
      <c r="AO79" s="15">
        <f>IF(AND(ISNUMBER(T79),ISNUMBER(T75)),VLOOKUP(ABS(T79-T75),'IMP Table'!$A$2:$C$26,3)*SIGN(T79-T75),0)</f>
        <v/>
      </c>
      <c r="AP79" s="15">
        <f>IF(AND(ISNUMBER(T79),ISNUMBER(T76)),VLOOKUP(ABS(T79-T76),'IMP Table'!$A$2:$C$26,3)*SIGN(T79-T76),0)</f>
        <v/>
      </c>
      <c r="AQ79" s="15">
        <f>IF(AND(ISNUMBER(T79),ISNUMBER(T77)),VLOOKUP(ABS(T79-T77),'IMP Table'!$A$2:$C$26,3)*SIGN(T79-T77),0)</f>
        <v/>
      </c>
      <c r="AR79" s="15">
        <f>IF(AND(ISNUMBER(T79),ISNUMBER(T78)),VLOOKUP(ABS(T79-T78),'IMP Table'!$A$2:$C$26,3)*SIGN(T79-T78),0)</f>
        <v/>
      </c>
    </row>
    <row r="80">
      <c r="A80" s="10" t="n">
        <v>12</v>
      </c>
      <c r="B80" s="10">
        <f>'By Round'!A129</f>
        <v/>
      </c>
      <c r="C80" s="10">
        <f>'By Round'!B137</f>
        <v/>
      </c>
      <c r="D80" s="10">
        <f>'By Round'!C137</f>
        <v/>
      </c>
      <c r="E80" s="10">
        <f>'By Round'!D137</f>
        <v/>
      </c>
      <c r="F80" s="10">
        <f>IF(ISBLANK('By Round'!F138),"",'By Round'!F138)</f>
        <v/>
      </c>
      <c r="G80">
        <f>IF(ISBLANK('By Round'!G138),"",'By Round'!G138)</f>
        <v/>
      </c>
      <c r="H80">
        <f>IF(ISBLANK('By Round'!H138),"",'By Round'!H138)</f>
        <v/>
      </c>
      <c r="I80">
        <f>IF(ISBLANK('By Round'!I138),"",'By Round'!I138)</f>
        <v/>
      </c>
      <c r="J80">
        <f>IF(ISBLANK('By Round'!J138),"",'By Round'!J138)</f>
        <v/>
      </c>
      <c r="K80">
        <f>IF(ISBLANK('By Round'!K138),"",'By Round'!K138)</f>
        <v/>
      </c>
      <c r="L80">
        <f>IF(ISBLANK('By Round'!L138),"",'By Round'!L138)</f>
        <v/>
      </c>
      <c r="M80" s="11">
        <f>AVERAGE(AG80:AL80)</f>
        <v/>
      </c>
      <c r="N80" s="12">
        <f>AVERAGE(AM80:AR80)</f>
        <v/>
      </c>
      <c r="O80" s="13">
        <f>IF(COUNT(U80:Z80)&gt;0,Q80/COUNT(U80:Z80),0.5)</f>
        <v/>
      </c>
      <c r="P80" s="13">
        <f>IF(COUNT(AA80:AF80)&gt;0,R80/COUNT(AA80:AF80),0.5)</f>
        <v/>
      </c>
      <c r="Q80" s="5">
        <f>SUM(U80:Z80)</f>
        <v/>
      </c>
      <c r="R80" s="5">
        <f>SUM(AA80:AF80)</f>
        <v/>
      </c>
      <c r="S80" s="14">
        <f>IF(ISNUMBER(K80),K80,IF(ISNUMBER(L80),-L80,""))</f>
        <v/>
      </c>
      <c r="T80">
        <f>IF(ISNUMBER(L80),L80,IF(ISNUMBER(K80),-K80,""))</f>
        <v/>
      </c>
      <c r="U80" s="14">
        <f>IF(ISNUMBER(S80),IF(ISNUMBER(S81),IF(S80&gt;S81,1.0,IF(S80=S81,0.5,0.0)),""),"")</f>
        <v/>
      </c>
      <c r="V80">
        <f>IF(ISNUMBER(S80),IF(ISNUMBER(S82),IF(S80&gt;S82,1.0,IF(S80=S82,0.5,0.0)),""),"")</f>
        <v/>
      </c>
      <c r="W80">
        <f>IF(ISNUMBER(S80),IF(ISNUMBER(S83),IF(S80&gt;S83,1.0,IF(S80=S83,0.5,0.0)),""),"")</f>
        <v/>
      </c>
      <c r="X80">
        <f>IF(ISNUMBER(S80),IF(ISNUMBER(S84),IF(S80&gt;S84,1.0,IF(S80=S84,0.5,0.0)),""),"")</f>
        <v/>
      </c>
      <c r="Y80">
        <f>IF(ISNUMBER(S80),IF(ISNUMBER(S85),IF(S80&gt;S85,1.0,IF(S80=S85,0.5,0.0)),""),"")</f>
        <v/>
      </c>
      <c r="Z80">
        <f>IF(ISNUMBER(S80),IF(ISNUMBER(S86),IF(S80&gt;S86,1.0,IF(S80=S86,0.5,0.0)),""),"")</f>
        <v/>
      </c>
      <c r="AA80">
        <f>IF(ISNUMBER(T80),IF(ISNUMBER(T81),IF(T80&gt;T81,1.0,IF(T80=T81,0.5,0.0)),""),"")</f>
        <v/>
      </c>
      <c r="AB80">
        <f>IF(ISNUMBER(T80),IF(ISNUMBER(T82),IF(T80&gt;T82,1.0,IF(T80=T82,0.5,0.0)),""),"")</f>
        <v/>
      </c>
      <c r="AC80">
        <f>IF(ISNUMBER(T80),IF(ISNUMBER(T83),IF(T80&gt;T83,1.0,IF(T80=T83,0.5,0.0)),""),"")</f>
        <v/>
      </c>
      <c r="AD80">
        <f>IF(ISNUMBER(T80),IF(ISNUMBER(T84),IF(T80&gt;T84,1.0,IF(T80=T84,0.5,0.0)),""),"")</f>
        <v/>
      </c>
      <c r="AE80">
        <f>IF(ISNUMBER(T80),IF(ISNUMBER(T85),IF(T80&gt;T85,1.0,IF(T80=T85,0.5,0.0)),""),"")</f>
        <v/>
      </c>
      <c r="AF80">
        <f>IF(ISNUMBER(T80),IF(ISNUMBER(T86),IF(T80&gt;T86,1.0,IF(T80=T86,0.5,0.0)),""),"")</f>
        <v/>
      </c>
      <c r="AG80" s="14">
        <f>IF(AND(ISNUMBER(S80),ISNUMBER(S81)),VLOOKUP(ABS(S80-S81),'IMP Table'!$A$2:$C$26,3)*SIGN(S80-S81),0)</f>
        <v/>
      </c>
      <c r="AH80">
        <f>IF(AND(ISNUMBER(S80),ISNUMBER(S82)),VLOOKUP(ABS(S80-S82),'IMP Table'!$A$2:$C$26,3)*SIGN(S80-S82),0)</f>
        <v/>
      </c>
      <c r="AI80">
        <f>IF(AND(ISNUMBER(S80),ISNUMBER(S83)),VLOOKUP(ABS(S80-S83),'IMP Table'!$A$2:$C$26,3)*SIGN(S80-S83),0)</f>
        <v/>
      </c>
      <c r="AJ80">
        <f>IF(AND(ISNUMBER(S80),ISNUMBER(S84)),VLOOKUP(ABS(S80-S84),'IMP Table'!$A$2:$C$26,3)*SIGN(S80-S84),0)</f>
        <v/>
      </c>
      <c r="AK80">
        <f>IF(AND(ISNUMBER(S80),ISNUMBER(S85)),VLOOKUP(ABS(S80-S85),'IMP Table'!$A$2:$C$26,3)*SIGN(S80-S85),0)</f>
        <v/>
      </c>
      <c r="AL80">
        <f>IF(AND(ISNUMBER(S80),ISNUMBER(S86)),VLOOKUP(ABS(S80-S86),'IMP Table'!$A$2:$C$26,3)*SIGN(S80-S86),0)</f>
        <v/>
      </c>
      <c r="AM80">
        <f>IF(AND(ISNUMBER(T80),ISNUMBER(T81)),VLOOKUP(ABS(T80-T81),'IMP Table'!$A$2:$C$26,3)*SIGN(T80-T81),0)</f>
        <v/>
      </c>
      <c r="AN80">
        <f>IF(AND(ISNUMBER(T80),ISNUMBER(T82)),VLOOKUP(ABS(T80-T82),'IMP Table'!$A$2:$C$26,3)*SIGN(T80-T82),0)</f>
        <v/>
      </c>
      <c r="AO80">
        <f>IF(AND(ISNUMBER(T80),ISNUMBER(T83)),VLOOKUP(ABS(T80-T83),'IMP Table'!$A$2:$C$26,3)*SIGN(T80-T83),0)</f>
        <v/>
      </c>
      <c r="AP80">
        <f>IF(AND(ISNUMBER(T80),ISNUMBER(T84)),VLOOKUP(ABS(T80-T84),'IMP Table'!$A$2:$C$26,3)*SIGN(T80-T84),0)</f>
        <v/>
      </c>
      <c r="AQ80">
        <f>IF(AND(ISNUMBER(T80),ISNUMBER(T85)),VLOOKUP(ABS(T80-T85),'IMP Table'!$A$2:$C$26,3)*SIGN(T80-T85),0)</f>
        <v/>
      </c>
      <c r="AR80">
        <f>IF(AND(ISNUMBER(T80),ISNUMBER(T86)),VLOOKUP(ABS(T80-T86),'IMP Table'!$A$2:$C$26,3)*SIGN(T80-T86),0)</f>
        <v/>
      </c>
    </row>
    <row r="81">
      <c r="B81" s="10">
        <f>'By Round'!A115</f>
        <v/>
      </c>
      <c r="C81" s="10">
        <f>'By Round'!B125</f>
        <v/>
      </c>
      <c r="D81" s="10">
        <f>'By Round'!C125</f>
        <v/>
      </c>
      <c r="E81" s="10">
        <f>'By Round'!D125</f>
        <v/>
      </c>
      <c r="F81" s="10">
        <f>IF(ISBLANK('By Round'!F126),"",'By Round'!F126)</f>
        <v/>
      </c>
      <c r="G81">
        <f>IF(ISBLANK('By Round'!G126),"",'By Round'!G126)</f>
        <v/>
      </c>
      <c r="H81">
        <f>IF(ISBLANK('By Round'!H126),"",'By Round'!H126)</f>
        <v/>
      </c>
      <c r="I81">
        <f>IF(ISBLANK('By Round'!I126),"",'By Round'!I126)</f>
        <v/>
      </c>
      <c r="J81">
        <f>IF(ISBLANK('By Round'!J126),"",'By Round'!J126)</f>
        <v/>
      </c>
      <c r="K81">
        <f>IF(ISBLANK('By Round'!K126),"",'By Round'!K126)</f>
        <v/>
      </c>
      <c r="L81">
        <f>IF(ISBLANK('By Round'!L126),"",'By Round'!L126)</f>
        <v/>
      </c>
      <c r="M81" s="11">
        <f>AVERAGE(AG81:AL81)</f>
        <v/>
      </c>
      <c r="N81" s="12">
        <f>AVERAGE(AM81:AR81)</f>
        <v/>
      </c>
      <c r="O81" s="13">
        <f>IF(COUNT(U81:Z81)&gt;0,Q81/COUNT(U81:Z81),0.5)</f>
        <v/>
      </c>
      <c r="P81" s="13">
        <f>IF(COUNT(AA81:AF81)&gt;0,R81/COUNT(AA81:AF81),0.5)</f>
        <v/>
      </c>
      <c r="Q81" s="5">
        <f>SUM(U81:Z81)</f>
        <v/>
      </c>
      <c r="R81" s="5">
        <f>SUM(AA81:AF81)</f>
        <v/>
      </c>
      <c r="S81" s="14">
        <f>IF(ISNUMBER(K81),K81,IF(ISNUMBER(L81),-L81,""))</f>
        <v/>
      </c>
      <c r="T81">
        <f>IF(ISNUMBER(L81),L81,IF(ISNUMBER(K81),-K81,""))</f>
        <v/>
      </c>
      <c r="U81" s="14">
        <f>IF(ISNUMBER(S81),IF(ISNUMBER(S80),IF(S81&gt;S80,1.0,IF(S81=S80,0.5,0.0)),""),"")</f>
        <v/>
      </c>
      <c r="V81">
        <f>IF(ISNUMBER(S81),IF(ISNUMBER(S82),IF(S81&gt;S82,1.0,IF(S81=S82,0.5,0.0)),""),"")</f>
        <v/>
      </c>
      <c r="W81">
        <f>IF(ISNUMBER(S81),IF(ISNUMBER(S83),IF(S81&gt;S83,1.0,IF(S81=S83,0.5,0.0)),""),"")</f>
        <v/>
      </c>
      <c r="X81">
        <f>IF(ISNUMBER(S81),IF(ISNUMBER(S84),IF(S81&gt;S84,1.0,IF(S81=S84,0.5,0.0)),""),"")</f>
        <v/>
      </c>
      <c r="Y81">
        <f>IF(ISNUMBER(S81),IF(ISNUMBER(S85),IF(S81&gt;S85,1.0,IF(S81=S85,0.5,0.0)),""),"")</f>
        <v/>
      </c>
      <c r="Z81">
        <f>IF(ISNUMBER(S81),IF(ISNUMBER(S86),IF(S81&gt;S86,1.0,IF(S81=S86,0.5,0.0)),""),"")</f>
        <v/>
      </c>
      <c r="AA81">
        <f>IF(ISNUMBER(T81),IF(ISNUMBER(T80),IF(T81&gt;T80,1.0,IF(T81=T80,0.5,0.0)),""),"")</f>
        <v/>
      </c>
      <c r="AB81">
        <f>IF(ISNUMBER(T81),IF(ISNUMBER(T82),IF(T81&gt;T82,1.0,IF(T81=T82,0.5,0.0)),""),"")</f>
        <v/>
      </c>
      <c r="AC81">
        <f>IF(ISNUMBER(T81),IF(ISNUMBER(T83),IF(T81&gt;T83,1.0,IF(T81=T83,0.5,0.0)),""),"")</f>
        <v/>
      </c>
      <c r="AD81">
        <f>IF(ISNUMBER(T81),IF(ISNUMBER(T84),IF(T81&gt;T84,1.0,IF(T81=T84,0.5,0.0)),""),"")</f>
        <v/>
      </c>
      <c r="AE81">
        <f>IF(ISNUMBER(T81),IF(ISNUMBER(T85),IF(T81&gt;T85,1.0,IF(T81=T85,0.5,0.0)),""),"")</f>
        <v/>
      </c>
      <c r="AF81">
        <f>IF(ISNUMBER(T81),IF(ISNUMBER(T86),IF(T81&gt;T86,1.0,IF(T81=T86,0.5,0.0)),""),"")</f>
        <v/>
      </c>
      <c r="AG81" s="14">
        <f>IF(AND(ISNUMBER(S81),ISNUMBER(S80)),VLOOKUP(ABS(S81-S80),'IMP Table'!$A$2:$C$26,3)*SIGN(S81-S80),0)</f>
        <v/>
      </c>
      <c r="AH81">
        <f>IF(AND(ISNUMBER(S81),ISNUMBER(S82)),VLOOKUP(ABS(S81-S82),'IMP Table'!$A$2:$C$26,3)*SIGN(S81-S82),0)</f>
        <v/>
      </c>
      <c r="AI81">
        <f>IF(AND(ISNUMBER(S81),ISNUMBER(S83)),VLOOKUP(ABS(S81-S83),'IMP Table'!$A$2:$C$26,3)*SIGN(S81-S83),0)</f>
        <v/>
      </c>
      <c r="AJ81">
        <f>IF(AND(ISNUMBER(S81),ISNUMBER(S84)),VLOOKUP(ABS(S81-S84),'IMP Table'!$A$2:$C$26,3)*SIGN(S81-S84),0)</f>
        <v/>
      </c>
      <c r="AK81">
        <f>IF(AND(ISNUMBER(S81),ISNUMBER(S85)),VLOOKUP(ABS(S81-S85),'IMP Table'!$A$2:$C$26,3)*SIGN(S81-S85),0)</f>
        <v/>
      </c>
      <c r="AL81">
        <f>IF(AND(ISNUMBER(S81),ISNUMBER(S86)),VLOOKUP(ABS(S81-S86),'IMP Table'!$A$2:$C$26,3)*SIGN(S81-S86),0)</f>
        <v/>
      </c>
      <c r="AM81">
        <f>IF(AND(ISNUMBER(T81),ISNUMBER(T80)),VLOOKUP(ABS(T81-T80),'IMP Table'!$A$2:$C$26,3)*SIGN(T81-T80),0)</f>
        <v/>
      </c>
      <c r="AN81">
        <f>IF(AND(ISNUMBER(T81),ISNUMBER(T82)),VLOOKUP(ABS(T81-T82),'IMP Table'!$A$2:$C$26,3)*SIGN(T81-T82),0)</f>
        <v/>
      </c>
      <c r="AO81">
        <f>IF(AND(ISNUMBER(T81),ISNUMBER(T83)),VLOOKUP(ABS(T81-T83),'IMP Table'!$A$2:$C$26,3)*SIGN(T81-T83),0)</f>
        <v/>
      </c>
      <c r="AP81">
        <f>IF(AND(ISNUMBER(T81),ISNUMBER(T84)),VLOOKUP(ABS(T81-T84),'IMP Table'!$A$2:$C$26,3)*SIGN(T81-T84),0)</f>
        <v/>
      </c>
      <c r="AQ81">
        <f>IF(AND(ISNUMBER(T81),ISNUMBER(T85)),VLOOKUP(ABS(T81-T85),'IMP Table'!$A$2:$C$26,3)*SIGN(T81-T85),0)</f>
        <v/>
      </c>
      <c r="AR81">
        <f>IF(AND(ISNUMBER(T81),ISNUMBER(T86)),VLOOKUP(ABS(T81-T86),'IMP Table'!$A$2:$C$26,3)*SIGN(T81-T86),0)</f>
        <v/>
      </c>
    </row>
    <row r="82">
      <c r="B82" s="10">
        <f>'By Round'!A31</f>
        <v/>
      </c>
      <c r="C82" s="10">
        <f>'By Round'!B35</f>
        <v/>
      </c>
      <c r="D82" s="10">
        <f>'By Round'!C35</f>
        <v/>
      </c>
      <c r="E82" s="10">
        <f>'By Round'!D35</f>
        <v/>
      </c>
      <c r="F82" s="10">
        <f>IF(ISBLANK('By Round'!F36),"",'By Round'!F36)</f>
        <v/>
      </c>
      <c r="G82">
        <f>IF(ISBLANK('By Round'!G36),"",'By Round'!G36)</f>
        <v/>
      </c>
      <c r="H82">
        <f>IF(ISBLANK('By Round'!H36),"",'By Round'!H36)</f>
        <v/>
      </c>
      <c r="I82">
        <f>IF(ISBLANK('By Round'!I36),"",'By Round'!I36)</f>
        <v/>
      </c>
      <c r="J82">
        <f>IF(ISBLANK('By Round'!J36),"",'By Round'!J36)</f>
        <v/>
      </c>
      <c r="K82">
        <f>IF(ISBLANK('By Round'!K36),"",'By Round'!K36)</f>
        <v/>
      </c>
      <c r="L82">
        <f>IF(ISBLANK('By Round'!L36),"",'By Round'!L36)</f>
        <v/>
      </c>
      <c r="M82" s="11">
        <f>AVERAGE(AG82:AL82)</f>
        <v/>
      </c>
      <c r="N82" s="12">
        <f>AVERAGE(AM82:AR82)</f>
        <v/>
      </c>
      <c r="O82" s="13">
        <f>IF(COUNT(U82:Z82)&gt;0,Q82/COUNT(U82:Z82),0.5)</f>
        <v/>
      </c>
      <c r="P82" s="13">
        <f>IF(COUNT(AA82:AF82)&gt;0,R82/COUNT(AA82:AF82),0.5)</f>
        <v/>
      </c>
      <c r="Q82" s="5">
        <f>SUM(U82:Z82)</f>
        <v/>
      </c>
      <c r="R82" s="5">
        <f>SUM(AA82:AF82)</f>
        <v/>
      </c>
      <c r="S82" s="14">
        <f>IF(ISNUMBER(K82),K82,IF(ISNUMBER(L82),-L82,""))</f>
        <v/>
      </c>
      <c r="T82">
        <f>IF(ISNUMBER(L82),L82,IF(ISNUMBER(K82),-K82,""))</f>
        <v/>
      </c>
      <c r="U82" s="14">
        <f>IF(ISNUMBER(S82),IF(ISNUMBER(S80),IF(S82&gt;S80,1.0,IF(S82=S80,0.5,0.0)),""),"")</f>
        <v/>
      </c>
      <c r="V82">
        <f>IF(ISNUMBER(S82),IF(ISNUMBER(S81),IF(S82&gt;S81,1.0,IF(S82=S81,0.5,0.0)),""),"")</f>
        <v/>
      </c>
      <c r="W82">
        <f>IF(ISNUMBER(S82),IF(ISNUMBER(S83),IF(S82&gt;S83,1.0,IF(S82=S83,0.5,0.0)),""),"")</f>
        <v/>
      </c>
      <c r="X82">
        <f>IF(ISNUMBER(S82),IF(ISNUMBER(S84),IF(S82&gt;S84,1.0,IF(S82=S84,0.5,0.0)),""),"")</f>
        <v/>
      </c>
      <c r="Y82">
        <f>IF(ISNUMBER(S82),IF(ISNUMBER(S85),IF(S82&gt;S85,1.0,IF(S82=S85,0.5,0.0)),""),"")</f>
        <v/>
      </c>
      <c r="Z82">
        <f>IF(ISNUMBER(S82),IF(ISNUMBER(S86),IF(S82&gt;S86,1.0,IF(S82=S86,0.5,0.0)),""),"")</f>
        <v/>
      </c>
      <c r="AA82">
        <f>IF(ISNUMBER(T82),IF(ISNUMBER(T80),IF(T82&gt;T80,1.0,IF(T82=T80,0.5,0.0)),""),"")</f>
        <v/>
      </c>
      <c r="AB82">
        <f>IF(ISNUMBER(T82),IF(ISNUMBER(T81),IF(T82&gt;T81,1.0,IF(T82=T81,0.5,0.0)),""),"")</f>
        <v/>
      </c>
      <c r="AC82">
        <f>IF(ISNUMBER(T82),IF(ISNUMBER(T83),IF(T82&gt;T83,1.0,IF(T82=T83,0.5,0.0)),""),"")</f>
        <v/>
      </c>
      <c r="AD82">
        <f>IF(ISNUMBER(T82),IF(ISNUMBER(T84),IF(T82&gt;T84,1.0,IF(T82=T84,0.5,0.0)),""),"")</f>
        <v/>
      </c>
      <c r="AE82">
        <f>IF(ISNUMBER(T82),IF(ISNUMBER(T85),IF(T82&gt;T85,1.0,IF(T82=T85,0.5,0.0)),""),"")</f>
        <v/>
      </c>
      <c r="AF82">
        <f>IF(ISNUMBER(T82),IF(ISNUMBER(T86),IF(T82&gt;T86,1.0,IF(T82=T86,0.5,0.0)),""),"")</f>
        <v/>
      </c>
      <c r="AG82" s="14">
        <f>IF(AND(ISNUMBER(S82),ISNUMBER(S80)),VLOOKUP(ABS(S82-S80),'IMP Table'!$A$2:$C$26,3)*SIGN(S82-S80),0)</f>
        <v/>
      </c>
      <c r="AH82">
        <f>IF(AND(ISNUMBER(S82),ISNUMBER(S81)),VLOOKUP(ABS(S82-S81),'IMP Table'!$A$2:$C$26,3)*SIGN(S82-S81),0)</f>
        <v/>
      </c>
      <c r="AI82">
        <f>IF(AND(ISNUMBER(S82),ISNUMBER(S83)),VLOOKUP(ABS(S82-S83),'IMP Table'!$A$2:$C$26,3)*SIGN(S82-S83),0)</f>
        <v/>
      </c>
      <c r="AJ82">
        <f>IF(AND(ISNUMBER(S82),ISNUMBER(S84)),VLOOKUP(ABS(S82-S84),'IMP Table'!$A$2:$C$26,3)*SIGN(S82-S84),0)</f>
        <v/>
      </c>
      <c r="AK82">
        <f>IF(AND(ISNUMBER(S82),ISNUMBER(S85)),VLOOKUP(ABS(S82-S85),'IMP Table'!$A$2:$C$26,3)*SIGN(S82-S85),0)</f>
        <v/>
      </c>
      <c r="AL82">
        <f>IF(AND(ISNUMBER(S82),ISNUMBER(S86)),VLOOKUP(ABS(S82-S86),'IMP Table'!$A$2:$C$26,3)*SIGN(S82-S86),0)</f>
        <v/>
      </c>
      <c r="AM82">
        <f>IF(AND(ISNUMBER(T82),ISNUMBER(T80)),VLOOKUP(ABS(T82-T80),'IMP Table'!$A$2:$C$26,3)*SIGN(T82-T80),0)</f>
        <v/>
      </c>
      <c r="AN82">
        <f>IF(AND(ISNUMBER(T82),ISNUMBER(T81)),VLOOKUP(ABS(T82-T81),'IMP Table'!$A$2:$C$26,3)*SIGN(T82-T81),0)</f>
        <v/>
      </c>
      <c r="AO82">
        <f>IF(AND(ISNUMBER(T82),ISNUMBER(T83)),VLOOKUP(ABS(T82-T83),'IMP Table'!$A$2:$C$26,3)*SIGN(T82-T83),0)</f>
        <v/>
      </c>
      <c r="AP82">
        <f>IF(AND(ISNUMBER(T82),ISNUMBER(T84)),VLOOKUP(ABS(T82-T84),'IMP Table'!$A$2:$C$26,3)*SIGN(T82-T84),0)</f>
        <v/>
      </c>
      <c r="AQ82">
        <f>IF(AND(ISNUMBER(T82),ISNUMBER(T85)),VLOOKUP(ABS(T82-T85),'IMP Table'!$A$2:$C$26,3)*SIGN(T82-T85),0)</f>
        <v/>
      </c>
      <c r="AR82">
        <f>IF(AND(ISNUMBER(T82),ISNUMBER(T86)),VLOOKUP(ABS(T82-T86),'IMP Table'!$A$2:$C$26,3)*SIGN(T82-T86),0)</f>
        <v/>
      </c>
    </row>
    <row r="83">
      <c r="B83" s="10">
        <f>'By Round'!A45</f>
        <v/>
      </c>
      <c r="C83" s="10">
        <f>'By Round'!B47</f>
        <v/>
      </c>
      <c r="D83" s="10">
        <f>'By Round'!C47</f>
        <v/>
      </c>
      <c r="E83" s="10">
        <f>'By Round'!D47</f>
        <v/>
      </c>
      <c r="F83" s="10">
        <f>IF(ISBLANK('By Round'!F48),"",'By Round'!F48)</f>
        <v/>
      </c>
      <c r="G83">
        <f>IF(ISBLANK('By Round'!G48),"",'By Round'!G48)</f>
        <v/>
      </c>
      <c r="H83">
        <f>IF(ISBLANK('By Round'!H48),"",'By Round'!H48)</f>
        <v/>
      </c>
      <c r="I83">
        <f>IF(ISBLANK('By Round'!I48),"",'By Round'!I48)</f>
        <v/>
      </c>
      <c r="J83">
        <f>IF(ISBLANK('By Round'!J48),"",'By Round'!J48)</f>
        <v/>
      </c>
      <c r="K83">
        <f>IF(ISBLANK('By Round'!K48),"",'By Round'!K48)</f>
        <v/>
      </c>
      <c r="L83">
        <f>IF(ISBLANK('By Round'!L48),"",'By Round'!L48)</f>
        <v/>
      </c>
      <c r="M83" s="11">
        <f>AVERAGE(AG83:AL83)</f>
        <v/>
      </c>
      <c r="N83" s="12">
        <f>AVERAGE(AM83:AR83)</f>
        <v/>
      </c>
      <c r="O83" s="13">
        <f>IF(COUNT(U83:Z83)&gt;0,Q83/COUNT(U83:Z83),0.5)</f>
        <v/>
      </c>
      <c r="P83" s="13">
        <f>IF(COUNT(AA83:AF83)&gt;0,R83/COUNT(AA83:AF83),0.5)</f>
        <v/>
      </c>
      <c r="Q83" s="5">
        <f>SUM(U83:Z83)</f>
        <v/>
      </c>
      <c r="R83" s="5">
        <f>SUM(AA83:AF83)</f>
        <v/>
      </c>
      <c r="S83" s="14">
        <f>IF(ISNUMBER(K83),K83,IF(ISNUMBER(L83),-L83,""))</f>
        <v/>
      </c>
      <c r="T83">
        <f>IF(ISNUMBER(L83),L83,IF(ISNUMBER(K83),-K83,""))</f>
        <v/>
      </c>
      <c r="U83" s="14">
        <f>IF(ISNUMBER(S83),IF(ISNUMBER(S80),IF(S83&gt;S80,1.0,IF(S83=S80,0.5,0.0)),""),"")</f>
        <v/>
      </c>
      <c r="V83">
        <f>IF(ISNUMBER(S83),IF(ISNUMBER(S81),IF(S83&gt;S81,1.0,IF(S83=S81,0.5,0.0)),""),"")</f>
        <v/>
      </c>
      <c r="W83">
        <f>IF(ISNUMBER(S83),IF(ISNUMBER(S82),IF(S83&gt;S82,1.0,IF(S83=S82,0.5,0.0)),""),"")</f>
        <v/>
      </c>
      <c r="X83">
        <f>IF(ISNUMBER(S83),IF(ISNUMBER(S84),IF(S83&gt;S84,1.0,IF(S83=S84,0.5,0.0)),""),"")</f>
        <v/>
      </c>
      <c r="Y83">
        <f>IF(ISNUMBER(S83),IF(ISNUMBER(S85),IF(S83&gt;S85,1.0,IF(S83=S85,0.5,0.0)),""),"")</f>
        <v/>
      </c>
      <c r="Z83">
        <f>IF(ISNUMBER(S83),IF(ISNUMBER(S86),IF(S83&gt;S86,1.0,IF(S83=S86,0.5,0.0)),""),"")</f>
        <v/>
      </c>
      <c r="AA83">
        <f>IF(ISNUMBER(T83),IF(ISNUMBER(T80),IF(T83&gt;T80,1.0,IF(T83=T80,0.5,0.0)),""),"")</f>
        <v/>
      </c>
      <c r="AB83">
        <f>IF(ISNUMBER(T83),IF(ISNUMBER(T81),IF(T83&gt;T81,1.0,IF(T83=T81,0.5,0.0)),""),"")</f>
        <v/>
      </c>
      <c r="AC83">
        <f>IF(ISNUMBER(T83),IF(ISNUMBER(T82),IF(T83&gt;T82,1.0,IF(T83=T82,0.5,0.0)),""),"")</f>
        <v/>
      </c>
      <c r="AD83">
        <f>IF(ISNUMBER(T83),IF(ISNUMBER(T84),IF(T83&gt;T84,1.0,IF(T83=T84,0.5,0.0)),""),"")</f>
        <v/>
      </c>
      <c r="AE83">
        <f>IF(ISNUMBER(T83),IF(ISNUMBER(T85),IF(T83&gt;T85,1.0,IF(T83=T85,0.5,0.0)),""),"")</f>
        <v/>
      </c>
      <c r="AF83">
        <f>IF(ISNUMBER(T83),IF(ISNUMBER(T86),IF(T83&gt;T86,1.0,IF(T83=T86,0.5,0.0)),""),"")</f>
        <v/>
      </c>
      <c r="AG83" s="14">
        <f>IF(AND(ISNUMBER(S83),ISNUMBER(S80)),VLOOKUP(ABS(S83-S80),'IMP Table'!$A$2:$C$26,3)*SIGN(S83-S80),0)</f>
        <v/>
      </c>
      <c r="AH83">
        <f>IF(AND(ISNUMBER(S83),ISNUMBER(S81)),VLOOKUP(ABS(S83-S81),'IMP Table'!$A$2:$C$26,3)*SIGN(S83-S81),0)</f>
        <v/>
      </c>
      <c r="AI83">
        <f>IF(AND(ISNUMBER(S83),ISNUMBER(S82)),VLOOKUP(ABS(S83-S82),'IMP Table'!$A$2:$C$26,3)*SIGN(S83-S82),0)</f>
        <v/>
      </c>
      <c r="AJ83">
        <f>IF(AND(ISNUMBER(S83),ISNUMBER(S84)),VLOOKUP(ABS(S83-S84),'IMP Table'!$A$2:$C$26,3)*SIGN(S83-S84),0)</f>
        <v/>
      </c>
      <c r="AK83">
        <f>IF(AND(ISNUMBER(S83),ISNUMBER(S85)),VLOOKUP(ABS(S83-S85),'IMP Table'!$A$2:$C$26,3)*SIGN(S83-S85),0)</f>
        <v/>
      </c>
      <c r="AL83">
        <f>IF(AND(ISNUMBER(S83),ISNUMBER(S86)),VLOOKUP(ABS(S83-S86),'IMP Table'!$A$2:$C$26,3)*SIGN(S83-S86),0)</f>
        <v/>
      </c>
      <c r="AM83">
        <f>IF(AND(ISNUMBER(T83),ISNUMBER(T80)),VLOOKUP(ABS(T83-T80),'IMP Table'!$A$2:$C$26,3)*SIGN(T83-T80),0)</f>
        <v/>
      </c>
      <c r="AN83">
        <f>IF(AND(ISNUMBER(T83),ISNUMBER(T81)),VLOOKUP(ABS(T83-T81),'IMP Table'!$A$2:$C$26,3)*SIGN(T83-T81),0)</f>
        <v/>
      </c>
      <c r="AO83">
        <f>IF(AND(ISNUMBER(T83),ISNUMBER(T82)),VLOOKUP(ABS(T83-T82),'IMP Table'!$A$2:$C$26,3)*SIGN(T83-T82),0)</f>
        <v/>
      </c>
      <c r="AP83">
        <f>IF(AND(ISNUMBER(T83),ISNUMBER(T84)),VLOOKUP(ABS(T83-T84),'IMP Table'!$A$2:$C$26,3)*SIGN(T83-T84),0)</f>
        <v/>
      </c>
      <c r="AQ83">
        <f>IF(AND(ISNUMBER(T83),ISNUMBER(T85)),VLOOKUP(ABS(T83-T85),'IMP Table'!$A$2:$C$26,3)*SIGN(T83-T85),0)</f>
        <v/>
      </c>
      <c r="AR83">
        <f>IF(AND(ISNUMBER(T83),ISNUMBER(T86)),VLOOKUP(ABS(T83-T86),'IMP Table'!$A$2:$C$26,3)*SIGN(T83-T86),0)</f>
        <v/>
      </c>
    </row>
    <row r="84">
      <c r="B84" s="10">
        <f>'By Round'!A17</f>
        <v/>
      </c>
      <c r="C84" s="10">
        <f>'By Round'!B23</f>
        <v/>
      </c>
      <c r="D84" s="10">
        <f>'By Round'!C23</f>
        <v/>
      </c>
      <c r="E84" s="10">
        <f>'By Round'!D23</f>
        <v/>
      </c>
      <c r="F84" s="10">
        <f>IF(ISBLANK('By Round'!F24),"",'By Round'!F24)</f>
        <v/>
      </c>
      <c r="G84">
        <f>IF(ISBLANK('By Round'!G24),"",'By Round'!G24)</f>
        <v/>
      </c>
      <c r="H84">
        <f>IF(ISBLANK('By Round'!H24),"",'By Round'!H24)</f>
        <v/>
      </c>
      <c r="I84">
        <f>IF(ISBLANK('By Round'!I24),"",'By Round'!I24)</f>
        <v/>
      </c>
      <c r="J84">
        <f>IF(ISBLANK('By Round'!J24),"",'By Round'!J24)</f>
        <v/>
      </c>
      <c r="K84">
        <f>IF(ISBLANK('By Round'!K24),"",'By Round'!K24)</f>
        <v/>
      </c>
      <c r="L84">
        <f>IF(ISBLANK('By Round'!L24),"",'By Round'!L24)</f>
        <v/>
      </c>
      <c r="M84" s="11">
        <f>AVERAGE(AG84:AL84)</f>
        <v/>
      </c>
      <c r="N84" s="12">
        <f>AVERAGE(AM84:AR84)</f>
        <v/>
      </c>
      <c r="O84" s="13">
        <f>IF(COUNT(U84:Z84)&gt;0,Q84/COUNT(U84:Z84),0.5)</f>
        <v/>
      </c>
      <c r="P84" s="13">
        <f>IF(COUNT(AA84:AF84)&gt;0,R84/COUNT(AA84:AF84),0.5)</f>
        <v/>
      </c>
      <c r="Q84" s="5">
        <f>SUM(U84:Z84)</f>
        <v/>
      </c>
      <c r="R84" s="5">
        <f>SUM(AA84:AF84)</f>
        <v/>
      </c>
      <c r="S84" s="14">
        <f>IF(ISNUMBER(K84),K84,IF(ISNUMBER(L84),-L84,""))</f>
        <v/>
      </c>
      <c r="T84">
        <f>IF(ISNUMBER(L84),L84,IF(ISNUMBER(K84),-K84,""))</f>
        <v/>
      </c>
      <c r="U84" s="14">
        <f>IF(ISNUMBER(S84),IF(ISNUMBER(S80),IF(S84&gt;S80,1.0,IF(S84=S80,0.5,0.0)),""),"")</f>
        <v/>
      </c>
      <c r="V84">
        <f>IF(ISNUMBER(S84),IF(ISNUMBER(S81),IF(S84&gt;S81,1.0,IF(S84=S81,0.5,0.0)),""),"")</f>
        <v/>
      </c>
      <c r="W84">
        <f>IF(ISNUMBER(S84),IF(ISNUMBER(S82),IF(S84&gt;S82,1.0,IF(S84=S82,0.5,0.0)),""),"")</f>
        <v/>
      </c>
      <c r="X84">
        <f>IF(ISNUMBER(S84),IF(ISNUMBER(S83),IF(S84&gt;S83,1.0,IF(S84=S83,0.5,0.0)),""),"")</f>
        <v/>
      </c>
      <c r="Y84">
        <f>IF(ISNUMBER(S84),IF(ISNUMBER(S85),IF(S84&gt;S85,1.0,IF(S84=S85,0.5,0.0)),""),"")</f>
        <v/>
      </c>
      <c r="Z84">
        <f>IF(ISNUMBER(S84),IF(ISNUMBER(S86),IF(S84&gt;S86,1.0,IF(S84=S86,0.5,0.0)),""),"")</f>
        <v/>
      </c>
      <c r="AA84">
        <f>IF(ISNUMBER(T84),IF(ISNUMBER(T80),IF(T84&gt;T80,1.0,IF(T84=T80,0.5,0.0)),""),"")</f>
        <v/>
      </c>
      <c r="AB84">
        <f>IF(ISNUMBER(T84),IF(ISNUMBER(T81),IF(T84&gt;T81,1.0,IF(T84=T81,0.5,0.0)),""),"")</f>
        <v/>
      </c>
      <c r="AC84">
        <f>IF(ISNUMBER(T84),IF(ISNUMBER(T82),IF(T84&gt;T82,1.0,IF(T84=T82,0.5,0.0)),""),"")</f>
        <v/>
      </c>
      <c r="AD84">
        <f>IF(ISNUMBER(T84),IF(ISNUMBER(T83),IF(T84&gt;T83,1.0,IF(T84=T83,0.5,0.0)),""),"")</f>
        <v/>
      </c>
      <c r="AE84">
        <f>IF(ISNUMBER(T84),IF(ISNUMBER(T85),IF(T84&gt;T85,1.0,IF(T84=T85,0.5,0.0)),""),"")</f>
        <v/>
      </c>
      <c r="AF84">
        <f>IF(ISNUMBER(T84),IF(ISNUMBER(T86),IF(T84&gt;T86,1.0,IF(T84=T86,0.5,0.0)),""),"")</f>
        <v/>
      </c>
      <c r="AG84" s="14">
        <f>IF(AND(ISNUMBER(S84),ISNUMBER(S80)),VLOOKUP(ABS(S84-S80),'IMP Table'!$A$2:$C$26,3)*SIGN(S84-S80),0)</f>
        <v/>
      </c>
      <c r="AH84">
        <f>IF(AND(ISNUMBER(S84),ISNUMBER(S81)),VLOOKUP(ABS(S84-S81),'IMP Table'!$A$2:$C$26,3)*SIGN(S84-S81),0)</f>
        <v/>
      </c>
      <c r="AI84">
        <f>IF(AND(ISNUMBER(S84),ISNUMBER(S82)),VLOOKUP(ABS(S84-S82),'IMP Table'!$A$2:$C$26,3)*SIGN(S84-S82),0)</f>
        <v/>
      </c>
      <c r="AJ84">
        <f>IF(AND(ISNUMBER(S84),ISNUMBER(S83)),VLOOKUP(ABS(S84-S83),'IMP Table'!$A$2:$C$26,3)*SIGN(S84-S83),0)</f>
        <v/>
      </c>
      <c r="AK84">
        <f>IF(AND(ISNUMBER(S84),ISNUMBER(S85)),VLOOKUP(ABS(S84-S85),'IMP Table'!$A$2:$C$26,3)*SIGN(S84-S85),0)</f>
        <v/>
      </c>
      <c r="AL84">
        <f>IF(AND(ISNUMBER(S84),ISNUMBER(S86)),VLOOKUP(ABS(S84-S86),'IMP Table'!$A$2:$C$26,3)*SIGN(S84-S86),0)</f>
        <v/>
      </c>
      <c r="AM84">
        <f>IF(AND(ISNUMBER(T84),ISNUMBER(T80)),VLOOKUP(ABS(T84-T80),'IMP Table'!$A$2:$C$26,3)*SIGN(T84-T80),0)</f>
        <v/>
      </c>
      <c r="AN84">
        <f>IF(AND(ISNUMBER(T84),ISNUMBER(T81)),VLOOKUP(ABS(T84-T81),'IMP Table'!$A$2:$C$26,3)*SIGN(T84-T81),0)</f>
        <v/>
      </c>
      <c r="AO84">
        <f>IF(AND(ISNUMBER(T84),ISNUMBER(T82)),VLOOKUP(ABS(T84-T82),'IMP Table'!$A$2:$C$26,3)*SIGN(T84-T82),0)</f>
        <v/>
      </c>
      <c r="AP84">
        <f>IF(AND(ISNUMBER(T84),ISNUMBER(T83)),VLOOKUP(ABS(T84-T83),'IMP Table'!$A$2:$C$26,3)*SIGN(T84-T83),0)</f>
        <v/>
      </c>
      <c r="AQ84">
        <f>IF(AND(ISNUMBER(T84),ISNUMBER(T85)),VLOOKUP(ABS(T84-T85),'IMP Table'!$A$2:$C$26,3)*SIGN(T84-T85),0)</f>
        <v/>
      </c>
      <c r="AR84">
        <f>IF(AND(ISNUMBER(T84),ISNUMBER(T86)),VLOOKUP(ABS(T84-T86),'IMP Table'!$A$2:$C$26,3)*SIGN(T84-T86),0)</f>
        <v/>
      </c>
    </row>
    <row r="85">
      <c r="B85" s="10">
        <f>'By Round'!A101</f>
        <v/>
      </c>
      <c r="C85" s="10">
        <f>'By Round'!B113</f>
        <v/>
      </c>
      <c r="D85" s="10">
        <f>'By Round'!C113</f>
        <v/>
      </c>
      <c r="E85" s="10">
        <f>'By Round'!D113</f>
        <v/>
      </c>
      <c r="F85" s="10">
        <f>IF(ISBLANK('By Round'!F114),"",'By Round'!F114)</f>
        <v/>
      </c>
      <c r="G85">
        <f>IF(ISBLANK('By Round'!G114),"",'By Round'!G114)</f>
        <v/>
      </c>
      <c r="H85">
        <f>IF(ISBLANK('By Round'!H114),"",'By Round'!H114)</f>
        <v/>
      </c>
      <c r="I85">
        <f>IF(ISBLANK('By Round'!I114),"",'By Round'!I114)</f>
        <v/>
      </c>
      <c r="J85">
        <f>IF(ISBLANK('By Round'!J114),"",'By Round'!J114)</f>
        <v/>
      </c>
      <c r="K85">
        <f>IF(ISBLANK('By Round'!K114),"",'By Round'!K114)</f>
        <v/>
      </c>
      <c r="L85">
        <f>IF(ISBLANK('By Round'!L114),"",'By Round'!L114)</f>
        <v/>
      </c>
      <c r="M85" s="11">
        <f>AVERAGE(AG85:AL85)</f>
        <v/>
      </c>
      <c r="N85" s="12">
        <f>AVERAGE(AM85:AR85)</f>
        <v/>
      </c>
      <c r="O85" s="13">
        <f>IF(COUNT(U85:Z85)&gt;0,Q85/COUNT(U85:Z85),0.5)</f>
        <v/>
      </c>
      <c r="P85" s="13">
        <f>IF(COUNT(AA85:AF85)&gt;0,R85/COUNT(AA85:AF85),0.5)</f>
        <v/>
      </c>
      <c r="Q85" s="5">
        <f>SUM(U85:Z85)</f>
        <v/>
      </c>
      <c r="R85" s="5">
        <f>SUM(AA85:AF85)</f>
        <v/>
      </c>
      <c r="S85" s="14">
        <f>IF(ISNUMBER(K85),K85,IF(ISNUMBER(L85),-L85,""))</f>
        <v/>
      </c>
      <c r="T85">
        <f>IF(ISNUMBER(L85),L85,IF(ISNUMBER(K85),-K85,""))</f>
        <v/>
      </c>
      <c r="U85" s="14">
        <f>IF(ISNUMBER(S85),IF(ISNUMBER(S80),IF(S85&gt;S80,1.0,IF(S85=S80,0.5,0.0)),""),"")</f>
        <v/>
      </c>
      <c r="V85">
        <f>IF(ISNUMBER(S85),IF(ISNUMBER(S81),IF(S85&gt;S81,1.0,IF(S85=S81,0.5,0.0)),""),"")</f>
        <v/>
      </c>
      <c r="W85">
        <f>IF(ISNUMBER(S85),IF(ISNUMBER(S82),IF(S85&gt;S82,1.0,IF(S85=S82,0.5,0.0)),""),"")</f>
        <v/>
      </c>
      <c r="X85">
        <f>IF(ISNUMBER(S85),IF(ISNUMBER(S83),IF(S85&gt;S83,1.0,IF(S85=S83,0.5,0.0)),""),"")</f>
        <v/>
      </c>
      <c r="Y85">
        <f>IF(ISNUMBER(S85),IF(ISNUMBER(S84),IF(S85&gt;S84,1.0,IF(S85=S84,0.5,0.0)),""),"")</f>
        <v/>
      </c>
      <c r="Z85">
        <f>IF(ISNUMBER(S85),IF(ISNUMBER(S86),IF(S85&gt;S86,1.0,IF(S85=S86,0.5,0.0)),""),"")</f>
        <v/>
      </c>
      <c r="AA85">
        <f>IF(ISNUMBER(T85),IF(ISNUMBER(T80),IF(T85&gt;T80,1.0,IF(T85=T80,0.5,0.0)),""),"")</f>
        <v/>
      </c>
      <c r="AB85">
        <f>IF(ISNUMBER(T85),IF(ISNUMBER(T81),IF(T85&gt;T81,1.0,IF(T85=T81,0.5,0.0)),""),"")</f>
        <v/>
      </c>
      <c r="AC85">
        <f>IF(ISNUMBER(T85),IF(ISNUMBER(T82),IF(T85&gt;T82,1.0,IF(T85=T82,0.5,0.0)),""),"")</f>
        <v/>
      </c>
      <c r="AD85">
        <f>IF(ISNUMBER(T85),IF(ISNUMBER(T83),IF(T85&gt;T83,1.0,IF(T85=T83,0.5,0.0)),""),"")</f>
        <v/>
      </c>
      <c r="AE85">
        <f>IF(ISNUMBER(T85),IF(ISNUMBER(T84),IF(T85&gt;T84,1.0,IF(T85=T84,0.5,0.0)),""),"")</f>
        <v/>
      </c>
      <c r="AF85">
        <f>IF(ISNUMBER(T85),IF(ISNUMBER(T86),IF(T85&gt;T86,1.0,IF(T85=T86,0.5,0.0)),""),"")</f>
        <v/>
      </c>
      <c r="AG85" s="14">
        <f>IF(AND(ISNUMBER(S85),ISNUMBER(S80)),VLOOKUP(ABS(S85-S80),'IMP Table'!$A$2:$C$26,3)*SIGN(S85-S80),0)</f>
        <v/>
      </c>
      <c r="AH85">
        <f>IF(AND(ISNUMBER(S85),ISNUMBER(S81)),VLOOKUP(ABS(S85-S81),'IMP Table'!$A$2:$C$26,3)*SIGN(S85-S81),0)</f>
        <v/>
      </c>
      <c r="AI85">
        <f>IF(AND(ISNUMBER(S85),ISNUMBER(S82)),VLOOKUP(ABS(S85-S82),'IMP Table'!$A$2:$C$26,3)*SIGN(S85-S82),0)</f>
        <v/>
      </c>
      <c r="AJ85">
        <f>IF(AND(ISNUMBER(S85),ISNUMBER(S83)),VLOOKUP(ABS(S85-S83),'IMP Table'!$A$2:$C$26,3)*SIGN(S85-S83),0)</f>
        <v/>
      </c>
      <c r="AK85">
        <f>IF(AND(ISNUMBER(S85),ISNUMBER(S84)),VLOOKUP(ABS(S85-S84),'IMP Table'!$A$2:$C$26,3)*SIGN(S85-S84),0)</f>
        <v/>
      </c>
      <c r="AL85">
        <f>IF(AND(ISNUMBER(S85),ISNUMBER(S86)),VLOOKUP(ABS(S85-S86),'IMP Table'!$A$2:$C$26,3)*SIGN(S85-S86),0)</f>
        <v/>
      </c>
      <c r="AM85">
        <f>IF(AND(ISNUMBER(T85),ISNUMBER(T80)),VLOOKUP(ABS(T85-T80),'IMP Table'!$A$2:$C$26,3)*SIGN(T85-T80),0)</f>
        <v/>
      </c>
      <c r="AN85">
        <f>IF(AND(ISNUMBER(T85),ISNUMBER(T81)),VLOOKUP(ABS(T85-T81),'IMP Table'!$A$2:$C$26,3)*SIGN(T85-T81),0)</f>
        <v/>
      </c>
      <c r="AO85">
        <f>IF(AND(ISNUMBER(T85),ISNUMBER(T82)),VLOOKUP(ABS(T85-T82),'IMP Table'!$A$2:$C$26,3)*SIGN(T85-T82),0)</f>
        <v/>
      </c>
      <c r="AP85">
        <f>IF(AND(ISNUMBER(T85),ISNUMBER(T83)),VLOOKUP(ABS(T85-T83),'IMP Table'!$A$2:$C$26,3)*SIGN(T85-T83),0)</f>
        <v/>
      </c>
      <c r="AQ85">
        <f>IF(AND(ISNUMBER(T85),ISNUMBER(T84)),VLOOKUP(ABS(T85-T84),'IMP Table'!$A$2:$C$26,3)*SIGN(T85-T84),0)</f>
        <v/>
      </c>
      <c r="AR85">
        <f>IF(AND(ISNUMBER(T85),ISNUMBER(T86)),VLOOKUP(ABS(T85-T86),'IMP Table'!$A$2:$C$26,3)*SIGN(T85-T86),0)</f>
        <v/>
      </c>
    </row>
    <row r="86">
      <c r="A86" s="15" t="n"/>
      <c r="B86" s="16">
        <f>'By Round'!A73</f>
        <v/>
      </c>
      <c r="C86" s="16">
        <f>'By Round'!B73</f>
        <v/>
      </c>
      <c r="D86" s="16">
        <f>'By Round'!C73</f>
        <v/>
      </c>
      <c r="E86" s="16">
        <f>'By Round'!D73</f>
        <v/>
      </c>
      <c r="F86" s="16">
        <f>IF(ISBLANK('By Round'!F74),"",'By Round'!F74)</f>
        <v/>
      </c>
      <c r="G86" s="15">
        <f>IF(ISBLANK('By Round'!G74),"",'By Round'!G74)</f>
        <v/>
      </c>
      <c r="H86" s="15">
        <f>IF(ISBLANK('By Round'!H74),"",'By Round'!H74)</f>
        <v/>
      </c>
      <c r="I86" s="15">
        <f>IF(ISBLANK('By Round'!I74),"",'By Round'!I74)</f>
        <v/>
      </c>
      <c r="J86" s="15">
        <f>IF(ISBLANK('By Round'!J74),"",'By Round'!J74)</f>
        <v/>
      </c>
      <c r="K86" s="15">
        <f>IF(ISBLANK('By Round'!K74),"",'By Round'!K74)</f>
        <v/>
      </c>
      <c r="L86" s="15">
        <f>IF(ISBLANK('By Round'!L74),"",'By Round'!L74)</f>
        <v/>
      </c>
      <c r="M86" s="17">
        <f>AVERAGE(AG86:AL86)</f>
        <v/>
      </c>
      <c r="N86" s="18">
        <f>AVERAGE(AM86:AR86)</f>
        <v/>
      </c>
      <c r="O86" s="19">
        <f>IF(COUNT(U86:Z86)&gt;0,Q86/COUNT(U86:Z86),0.5)</f>
        <v/>
      </c>
      <c r="P86" s="19">
        <f>IF(COUNT(AA86:AF86)&gt;0,R86/COUNT(AA86:AF86),0.5)</f>
        <v/>
      </c>
      <c r="Q86" s="20">
        <f>SUM(U86:Z86)</f>
        <v/>
      </c>
      <c r="R86" s="20">
        <f>SUM(AA86:AF86)</f>
        <v/>
      </c>
      <c r="S86" s="21">
        <f>IF(ISNUMBER(K86),K86,IF(ISNUMBER(L86),-L86,""))</f>
        <v/>
      </c>
      <c r="T86" s="15">
        <f>IF(ISNUMBER(L86),L86,IF(ISNUMBER(K86),-K86,""))</f>
        <v/>
      </c>
      <c r="U86" s="21">
        <f>IF(ISNUMBER(S86),IF(ISNUMBER(S80),IF(S86&gt;S80,1.0,IF(S86=S80,0.5,0.0)),""),"")</f>
        <v/>
      </c>
      <c r="V86" s="15">
        <f>IF(ISNUMBER(S86),IF(ISNUMBER(S81),IF(S86&gt;S81,1.0,IF(S86=S81,0.5,0.0)),""),"")</f>
        <v/>
      </c>
      <c r="W86" s="15">
        <f>IF(ISNUMBER(S86),IF(ISNUMBER(S82),IF(S86&gt;S82,1.0,IF(S86=S82,0.5,0.0)),""),"")</f>
        <v/>
      </c>
      <c r="X86" s="15">
        <f>IF(ISNUMBER(S86),IF(ISNUMBER(S83),IF(S86&gt;S83,1.0,IF(S86=S83,0.5,0.0)),""),"")</f>
        <v/>
      </c>
      <c r="Y86" s="15">
        <f>IF(ISNUMBER(S86),IF(ISNUMBER(S84),IF(S86&gt;S84,1.0,IF(S86=S84,0.5,0.0)),""),"")</f>
        <v/>
      </c>
      <c r="Z86" s="15">
        <f>IF(ISNUMBER(S86),IF(ISNUMBER(S85),IF(S86&gt;S85,1.0,IF(S86=S85,0.5,0.0)),""),"")</f>
        <v/>
      </c>
      <c r="AA86" s="15">
        <f>IF(ISNUMBER(T86),IF(ISNUMBER(T80),IF(T86&gt;T80,1.0,IF(T86=T80,0.5,0.0)),""),"")</f>
        <v/>
      </c>
      <c r="AB86" s="15">
        <f>IF(ISNUMBER(T86),IF(ISNUMBER(T81),IF(T86&gt;T81,1.0,IF(T86=T81,0.5,0.0)),""),"")</f>
        <v/>
      </c>
      <c r="AC86" s="15">
        <f>IF(ISNUMBER(T86),IF(ISNUMBER(T82),IF(T86&gt;T82,1.0,IF(T86=T82,0.5,0.0)),""),"")</f>
        <v/>
      </c>
      <c r="AD86" s="15">
        <f>IF(ISNUMBER(T86),IF(ISNUMBER(T83),IF(T86&gt;T83,1.0,IF(T86=T83,0.5,0.0)),""),"")</f>
        <v/>
      </c>
      <c r="AE86" s="15">
        <f>IF(ISNUMBER(T86),IF(ISNUMBER(T84),IF(T86&gt;T84,1.0,IF(T86=T84,0.5,0.0)),""),"")</f>
        <v/>
      </c>
      <c r="AF86" s="15">
        <f>IF(ISNUMBER(T86),IF(ISNUMBER(T85),IF(T86&gt;T85,1.0,IF(T86=T85,0.5,0.0)),""),"")</f>
        <v/>
      </c>
      <c r="AG86" s="21">
        <f>IF(AND(ISNUMBER(S86),ISNUMBER(S80)),VLOOKUP(ABS(S86-S80),'IMP Table'!$A$2:$C$26,3)*SIGN(S86-S80),0)</f>
        <v/>
      </c>
      <c r="AH86" s="15">
        <f>IF(AND(ISNUMBER(S86),ISNUMBER(S81)),VLOOKUP(ABS(S86-S81),'IMP Table'!$A$2:$C$26,3)*SIGN(S86-S81),0)</f>
        <v/>
      </c>
      <c r="AI86" s="15">
        <f>IF(AND(ISNUMBER(S86),ISNUMBER(S82)),VLOOKUP(ABS(S86-S82),'IMP Table'!$A$2:$C$26,3)*SIGN(S86-S82),0)</f>
        <v/>
      </c>
      <c r="AJ86" s="15">
        <f>IF(AND(ISNUMBER(S86),ISNUMBER(S83)),VLOOKUP(ABS(S86-S83),'IMP Table'!$A$2:$C$26,3)*SIGN(S86-S83),0)</f>
        <v/>
      </c>
      <c r="AK86" s="15">
        <f>IF(AND(ISNUMBER(S86),ISNUMBER(S84)),VLOOKUP(ABS(S86-S84),'IMP Table'!$A$2:$C$26,3)*SIGN(S86-S84),0)</f>
        <v/>
      </c>
      <c r="AL86" s="15">
        <f>IF(AND(ISNUMBER(S86),ISNUMBER(S85)),VLOOKUP(ABS(S86-S85),'IMP Table'!$A$2:$C$26,3)*SIGN(S86-S85),0)</f>
        <v/>
      </c>
      <c r="AM86" s="15">
        <f>IF(AND(ISNUMBER(T86),ISNUMBER(T80)),VLOOKUP(ABS(T86-T80),'IMP Table'!$A$2:$C$26,3)*SIGN(T86-T80),0)</f>
        <v/>
      </c>
      <c r="AN86" s="15">
        <f>IF(AND(ISNUMBER(T86),ISNUMBER(T81)),VLOOKUP(ABS(T86-T81),'IMP Table'!$A$2:$C$26,3)*SIGN(T86-T81),0)</f>
        <v/>
      </c>
      <c r="AO86" s="15">
        <f>IF(AND(ISNUMBER(T86),ISNUMBER(T82)),VLOOKUP(ABS(T86-T82),'IMP Table'!$A$2:$C$26,3)*SIGN(T86-T82),0)</f>
        <v/>
      </c>
      <c r="AP86" s="15">
        <f>IF(AND(ISNUMBER(T86),ISNUMBER(T83)),VLOOKUP(ABS(T86-T83),'IMP Table'!$A$2:$C$26,3)*SIGN(T86-T83),0)</f>
        <v/>
      </c>
      <c r="AQ86" s="15">
        <f>IF(AND(ISNUMBER(T86),ISNUMBER(T84)),VLOOKUP(ABS(T86-T84),'IMP Table'!$A$2:$C$26,3)*SIGN(T86-T84),0)</f>
        <v/>
      </c>
      <c r="AR86" s="15">
        <f>IF(AND(ISNUMBER(T86),ISNUMBER(T85)),VLOOKUP(ABS(T86-T85),'IMP Table'!$A$2:$C$26,3)*SIGN(T86-T85),0)</f>
        <v/>
      </c>
    </row>
    <row r="87">
      <c r="A87" s="10" t="n">
        <v>13</v>
      </c>
      <c r="B87" s="10">
        <f>'By Round'!A143</f>
        <v/>
      </c>
      <c r="C87" s="10">
        <f>'By Round'!B151</f>
        <v/>
      </c>
      <c r="D87" s="10">
        <f>'By Round'!C151</f>
        <v/>
      </c>
      <c r="E87" s="10">
        <f>'By Round'!D151</f>
        <v/>
      </c>
      <c r="F87" s="10">
        <f>IF(ISBLANK('By Round'!F151),"",'By Round'!F151)</f>
        <v/>
      </c>
      <c r="G87">
        <f>IF(ISBLANK('By Round'!G151),"",'By Round'!G151)</f>
        <v/>
      </c>
      <c r="H87">
        <f>IF(ISBLANK('By Round'!H151),"",'By Round'!H151)</f>
        <v/>
      </c>
      <c r="I87">
        <f>IF(ISBLANK('By Round'!I151),"",'By Round'!I151)</f>
        <v/>
      </c>
      <c r="J87">
        <f>IF(ISBLANK('By Round'!J151),"",'By Round'!J151)</f>
        <v/>
      </c>
      <c r="K87">
        <f>IF(ISBLANK('By Round'!K151),"",'By Round'!K151)</f>
        <v/>
      </c>
      <c r="L87">
        <f>IF(ISBLANK('By Round'!L151),"",'By Round'!L151)</f>
        <v/>
      </c>
      <c r="M87" s="11">
        <f>AVERAGE(AG87:AL87)</f>
        <v/>
      </c>
      <c r="N87" s="12">
        <f>AVERAGE(AM87:AR87)</f>
        <v/>
      </c>
      <c r="O87" s="13">
        <f>IF(COUNT(U87:Z87)&gt;0,Q87/COUNT(U87:Z87),0.5)</f>
        <v/>
      </c>
      <c r="P87" s="13">
        <f>IF(COUNT(AA87:AF87)&gt;0,R87/COUNT(AA87:AF87),0.5)</f>
        <v/>
      </c>
      <c r="Q87" s="5">
        <f>SUM(U87:Z87)</f>
        <v/>
      </c>
      <c r="R87" s="5">
        <f>SUM(AA87:AF87)</f>
        <v/>
      </c>
      <c r="S87" s="14">
        <f>IF(ISNUMBER(K87),K87,IF(ISNUMBER(L87),-L87,""))</f>
        <v/>
      </c>
      <c r="T87">
        <f>IF(ISNUMBER(L87),L87,IF(ISNUMBER(K87),-K87,""))</f>
        <v/>
      </c>
      <c r="U87" s="14">
        <f>IF(ISNUMBER(S87),IF(ISNUMBER(S88),IF(S87&gt;S88,1.0,IF(S87=S88,0.5,0.0)),""),"")</f>
        <v/>
      </c>
      <c r="V87">
        <f>IF(ISNUMBER(S87),IF(ISNUMBER(S89),IF(S87&gt;S89,1.0,IF(S87=S89,0.5,0.0)),""),"")</f>
        <v/>
      </c>
      <c r="W87">
        <f>IF(ISNUMBER(S87),IF(ISNUMBER(S90),IF(S87&gt;S90,1.0,IF(S87=S90,0.5,0.0)),""),"")</f>
        <v/>
      </c>
      <c r="X87">
        <f>IF(ISNUMBER(S87),IF(ISNUMBER(S91),IF(S87&gt;S91,1.0,IF(S87=S91,0.5,0.0)),""),"")</f>
        <v/>
      </c>
      <c r="Y87">
        <f>IF(ISNUMBER(S87),IF(ISNUMBER(S92),IF(S87&gt;S92,1.0,IF(S87=S92,0.5,0.0)),""),"")</f>
        <v/>
      </c>
      <c r="Z87">
        <f>IF(ISNUMBER(S87),IF(ISNUMBER(S93),IF(S87&gt;S93,1.0,IF(S87=S93,0.5,0.0)),""),"")</f>
        <v/>
      </c>
      <c r="AA87">
        <f>IF(ISNUMBER(T87),IF(ISNUMBER(T88),IF(T87&gt;T88,1.0,IF(T87=T88,0.5,0.0)),""),"")</f>
        <v/>
      </c>
      <c r="AB87">
        <f>IF(ISNUMBER(T87),IF(ISNUMBER(T89),IF(T87&gt;T89,1.0,IF(T87=T89,0.5,0.0)),""),"")</f>
        <v/>
      </c>
      <c r="AC87">
        <f>IF(ISNUMBER(T87),IF(ISNUMBER(T90),IF(T87&gt;T90,1.0,IF(T87=T90,0.5,0.0)),""),"")</f>
        <v/>
      </c>
      <c r="AD87">
        <f>IF(ISNUMBER(T87),IF(ISNUMBER(T91),IF(T87&gt;T91,1.0,IF(T87=T91,0.5,0.0)),""),"")</f>
        <v/>
      </c>
      <c r="AE87">
        <f>IF(ISNUMBER(T87),IF(ISNUMBER(T92),IF(T87&gt;T92,1.0,IF(T87=T92,0.5,0.0)),""),"")</f>
        <v/>
      </c>
      <c r="AF87">
        <f>IF(ISNUMBER(T87),IF(ISNUMBER(T93),IF(T87&gt;T93,1.0,IF(T87=T93,0.5,0.0)),""),"")</f>
        <v/>
      </c>
      <c r="AG87" s="14">
        <f>IF(AND(ISNUMBER(S87),ISNUMBER(S88)),VLOOKUP(ABS(S87-S88),'IMP Table'!$A$2:$C$26,3)*SIGN(S87-S88),0)</f>
        <v/>
      </c>
      <c r="AH87">
        <f>IF(AND(ISNUMBER(S87),ISNUMBER(S89)),VLOOKUP(ABS(S87-S89),'IMP Table'!$A$2:$C$26,3)*SIGN(S87-S89),0)</f>
        <v/>
      </c>
      <c r="AI87">
        <f>IF(AND(ISNUMBER(S87),ISNUMBER(S90)),VLOOKUP(ABS(S87-S90),'IMP Table'!$A$2:$C$26,3)*SIGN(S87-S90),0)</f>
        <v/>
      </c>
      <c r="AJ87">
        <f>IF(AND(ISNUMBER(S87),ISNUMBER(S91)),VLOOKUP(ABS(S87-S91),'IMP Table'!$A$2:$C$26,3)*SIGN(S87-S91),0)</f>
        <v/>
      </c>
      <c r="AK87">
        <f>IF(AND(ISNUMBER(S87),ISNUMBER(S92)),VLOOKUP(ABS(S87-S92),'IMP Table'!$A$2:$C$26,3)*SIGN(S87-S92),0)</f>
        <v/>
      </c>
      <c r="AL87">
        <f>IF(AND(ISNUMBER(S87),ISNUMBER(S93)),VLOOKUP(ABS(S87-S93),'IMP Table'!$A$2:$C$26,3)*SIGN(S87-S93),0)</f>
        <v/>
      </c>
      <c r="AM87">
        <f>IF(AND(ISNUMBER(T87),ISNUMBER(T88)),VLOOKUP(ABS(T87-T88),'IMP Table'!$A$2:$C$26,3)*SIGN(T87-T88),0)</f>
        <v/>
      </c>
      <c r="AN87">
        <f>IF(AND(ISNUMBER(T87),ISNUMBER(T89)),VLOOKUP(ABS(T87-T89),'IMP Table'!$A$2:$C$26,3)*SIGN(T87-T89),0)</f>
        <v/>
      </c>
      <c r="AO87">
        <f>IF(AND(ISNUMBER(T87),ISNUMBER(T90)),VLOOKUP(ABS(T87-T90),'IMP Table'!$A$2:$C$26,3)*SIGN(T87-T90),0)</f>
        <v/>
      </c>
      <c r="AP87">
        <f>IF(AND(ISNUMBER(T87),ISNUMBER(T91)),VLOOKUP(ABS(T87-T91),'IMP Table'!$A$2:$C$26,3)*SIGN(T87-T91),0)</f>
        <v/>
      </c>
      <c r="AQ87">
        <f>IF(AND(ISNUMBER(T87),ISNUMBER(T92)),VLOOKUP(ABS(T87-T92),'IMP Table'!$A$2:$C$26,3)*SIGN(T87-T92),0)</f>
        <v/>
      </c>
      <c r="AR87">
        <f>IF(AND(ISNUMBER(T87),ISNUMBER(T93)),VLOOKUP(ABS(T87-T93),'IMP Table'!$A$2:$C$26,3)*SIGN(T87-T93),0)</f>
        <v/>
      </c>
    </row>
    <row r="88">
      <c r="B88" s="10">
        <f>'By Round'!A129</f>
        <v/>
      </c>
      <c r="C88" s="10">
        <f>'By Round'!B139</f>
        <v/>
      </c>
      <c r="D88" s="10">
        <f>'By Round'!C139</f>
        <v/>
      </c>
      <c r="E88" s="10">
        <f>'By Round'!D139</f>
        <v/>
      </c>
      <c r="F88" s="10">
        <f>IF(ISBLANK('By Round'!F139),"",'By Round'!F139)</f>
        <v/>
      </c>
      <c r="G88">
        <f>IF(ISBLANK('By Round'!G139),"",'By Round'!G139)</f>
        <v/>
      </c>
      <c r="H88">
        <f>IF(ISBLANK('By Round'!H139),"",'By Round'!H139)</f>
        <v/>
      </c>
      <c r="I88">
        <f>IF(ISBLANK('By Round'!I139),"",'By Round'!I139)</f>
        <v/>
      </c>
      <c r="J88">
        <f>IF(ISBLANK('By Round'!J139),"",'By Round'!J139)</f>
        <v/>
      </c>
      <c r="K88">
        <f>IF(ISBLANK('By Round'!K139),"",'By Round'!K139)</f>
        <v/>
      </c>
      <c r="L88">
        <f>IF(ISBLANK('By Round'!L139),"",'By Round'!L139)</f>
        <v/>
      </c>
      <c r="M88" s="11">
        <f>AVERAGE(AG88:AL88)</f>
        <v/>
      </c>
      <c r="N88" s="12">
        <f>AVERAGE(AM88:AR88)</f>
        <v/>
      </c>
      <c r="O88" s="13">
        <f>IF(COUNT(U88:Z88)&gt;0,Q88/COUNT(U88:Z88),0.5)</f>
        <v/>
      </c>
      <c r="P88" s="13">
        <f>IF(COUNT(AA88:AF88)&gt;0,R88/COUNT(AA88:AF88),0.5)</f>
        <v/>
      </c>
      <c r="Q88" s="5">
        <f>SUM(U88:Z88)</f>
        <v/>
      </c>
      <c r="R88" s="5">
        <f>SUM(AA88:AF88)</f>
        <v/>
      </c>
      <c r="S88" s="14">
        <f>IF(ISNUMBER(K88),K88,IF(ISNUMBER(L88),-L88,""))</f>
        <v/>
      </c>
      <c r="T88">
        <f>IF(ISNUMBER(L88),L88,IF(ISNUMBER(K88),-K88,""))</f>
        <v/>
      </c>
      <c r="U88" s="14">
        <f>IF(ISNUMBER(S88),IF(ISNUMBER(S87),IF(S88&gt;S87,1.0,IF(S88=S87,0.5,0.0)),""),"")</f>
        <v/>
      </c>
      <c r="V88">
        <f>IF(ISNUMBER(S88),IF(ISNUMBER(S89),IF(S88&gt;S89,1.0,IF(S88=S89,0.5,0.0)),""),"")</f>
        <v/>
      </c>
      <c r="W88">
        <f>IF(ISNUMBER(S88),IF(ISNUMBER(S90),IF(S88&gt;S90,1.0,IF(S88=S90,0.5,0.0)),""),"")</f>
        <v/>
      </c>
      <c r="X88">
        <f>IF(ISNUMBER(S88),IF(ISNUMBER(S91),IF(S88&gt;S91,1.0,IF(S88=S91,0.5,0.0)),""),"")</f>
        <v/>
      </c>
      <c r="Y88">
        <f>IF(ISNUMBER(S88),IF(ISNUMBER(S92),IF(S88&gt;S92,1.0,IF(S88=S92,0.5,0.0)),""),"")</f>
        <v/>
      </c>
      <c r="Z88">
        <f>IF(ISNUMBER(S88),IF(ISNUMBER(S93),IF(S88&gt;S93,1.0,IF(S88=S93,0.5,0.0)),""),"")</f>
        <v/>
      </c>
      <c r="AA88">
        <f>IF(ISNUMBER(T88),IF(ISNUMBER(T87),IF(T88&gt;T87,1.0,IF(T88=T87,0.5,0.0)),""),"")</f>
        <v/>
      </c>
      <c r="AB88">
        <f>IF(ISNUMBER(T88),IF(ISNUMBER(T89),IF(T88&gt;T89,1.0,IF(T88=T89,0.5,0.0)),""),"")</f>
        <v/>
      </c>
      <c r="AC88">
        <f>IF(ISNUMBER(T88),IF(ISNUMBER(T90),IF(T88&gt;T90,1.0,IF(T88=T90,0.5,0.0)),""),"")</f>
        <v/>
      </c>
      <c r="AD88">
        <f>IF(ISNUMBER(T88),IF(ISNUMBER(T91),IF(T88&gt;T91,1.0,IF(T88=T91,0.5,0.0)),""),"")</f>
        <v/>
      </c>
      <c r="AE88">
        <f>IF(ISNUMBER(T88),IF(ISNUMBER(T92),IF(T88&gt;T92,1.0,IF(T88=T92,0.5,0.0)),""),"")</f>
        <v/>
      </c>
      <c r="AF88">
        <f>IF(ISNUMBER(T88),IF(ISNUMBER(T93),IF(T88&gt;T93,1.0,IF(T88=T93,0.5,0.0)),""),"")</f>
        <v/>
      </c>
      <c r="AG88" s="14">
        <f>IF(AND(ISNUMBER(S88),ISNUMBER(S87)),VLOOKUP(ABS(S88-S87),'IMP Table'!$A$2:$C$26,3)*SIGN(S88-S87),0)</f>
        <v/>
      </c>
      <c r="AH88">
        <f>IF(AND(ISNUMBER(S88),ISNUMBER(S89)),VLOOKUP(ABS(S88-S89),'IMP Table'!$A$2:$C$26,3)*SIGN(S88-S89),0)</f>
        <v/>
      </c>
      <c r="AI88">
        <f>IF(AND(ISNUMBER(S88),ISNUMBER(S90)),VLOOKUP(ABS(S88-S90),'IMP Table'!$A$2:$C$26,3)*SIGN(S88-S90),0)</f>
        <v/>
      </c>
      <c r="AJ88">
        <f>IF(AND(ISNUMBER(S88),ISNUMBER(S91)),VLOOKUP(ABS(S88-S91),'IMP Table'!$A$2:$C$26,3)*SIGN(S88-S91),0)</f>
        <v/>
      </c>
      <c r="AK88">
        <f>IF(AND(ISNUMBER(S88),ISNUMBER(S92)),VLOOKUP(ABS(S88-S92),'IMP Table'!$A$2:$C$26,3)*SIGN(S88-S92),0)</f>
        <v/>
      </c>
      <c r="AL88">
        <f>IF(AND(ISNUMBER(S88),ISNUMBER(S93)),VLOOKUP(ABS(S88-S93),'IMP Table'!$A$2:$C$26,3)*SIGN(S88-S93),0)</f>
        <v/>
      </c>
      <c r="AM88">
        <f>IF(AND(ISNUMBER(T88),ISNUMBER(T87)),VLOOKUP(ABS(T88-T87),'IMP Table'!$A$2:$C$26,3)*SIGN(T88-T87),0)</f>
        <v/>
      </c>
      <c r="AN88">
        <f>IF(AND(ISNUMBER(T88),ISNUMBER(T89)),VLOOKUP(ABS(T88-T89),'IMP Table'!$A$2:$C$26,3)*SIGN(T88-T89),0)</f>
        <v/>
      </c>
      <c r="AO88">
        <f>IF(AND(ISNUMBER(T88),ISNUMBER(T90)),VLOOKUP(ABS(T88-T90),'IMP Table'!$A$2:$C$26,3)*SIGN(T88-T90),0)</f>
        <v/>
      </c>
      <c r="AP88">
        <f>IF(AND(ISNUMBER(T88),ISNUMBER(T91)),VLOOKUP(ABS(T88-T91),'IMP Table'!$A$2:$C$26,3)*SIGN(T88-T91),0)</f>
        <v/>
      </c>
      <c r="AQ88">
        <f>IF(AND(ISNUMBER(T88),ISNUMBER(T92)),VLOOKUP(ABS(T88-T92),'IMP Table'!$A$2:$C$26,3)*SIGN(T88-T92),0)</f>
        <v/>
      </c>
      <c r="AR88">
        <f>IF(AND(ISNUMBER(T88),ISNUMBER(T93)),VLOOKUP(ABS(T88-T93),'IMP Table'!$A$2:$C$26,3)*SIGN(T88-T93),0)</f>
        <v/>
      </c>
    </row>
    <row r="89">
      <c r="B89" s="10">
        <f>'By Round'!A45</f>
        <v/>
      </c>
      <c r="C89" s="10">
        <f>'By Round'!B49</f>
        <v/>
      </c>
      <c r="D89" s="10">
        <f>'By Round'!C49</f>
        <v/>
      </c>
      <c r="E89" s="10">
        <f>'By Round'!D49</f>
        <v/>
      </c>
      <c r="F89" s="10">
        <f>IF(ISBLANK('By Round'!F49),"",'By Round'!F49)</f>
        <v/>
      </c>
      <c r="G89">
        <f>IF(ISBLANK('By Round'!G49),"",'By Round'!G49)</f>
        <v/>
      </c>
      <c r="H89">
        <f>IF(ISBLANK('By Round'!H49),"",'By Round'!H49)</f>
        <v/>
      </c>
      <c r="I89">
        <f>IF(ISBLANK('By Round'!I49),"",'By Round'!I49)</f>
        <v/>
      </c>
      <c r="J89">
        <f>IF(ISBLANK('By Round'!J49),"",'By Round'!J49)</f>
        <v/>
      </c>
      <c r="K89">
        <f>IF(ISBLANK('By Round'!K49),"",'By Round'!K49)</f>
        <v/>
      </c>
      <c r="L89">
        <f>IF(ISBLANK('By Round'!L49),"",'By Round'!L49)</f>
        <v/>
      </c>
      <c r="M89" s="11">
        <f>AVERAGE(AG89:AL89)</f>
        <v/>
      </c>
      <c r="N89" s="12">
        <f>AVERAGE(AM89:AR89)</f>
        <v/>
      </c>
      <c r="O89" s="13">
        <f>IF(COUNT(U89:Z89)&gt;0,Q89/COUNT(U89:Z89),0.5)</f>
        <v/>
      </c>
      <c r="P89" s="13">
        <f>IF(COUNT(AA89:AF89)&gt;0,R89/COUNT(AA89:AF89),0.5)</f>
        <v/>
      </c>
      <c r="Q89" s="5">
        <f>SUM(U89:Z89)</f>
        <v/>
      </c>
      <c r="R89" s="5">
        <f>SUM(AA89:AF89)</f>
        <v/>
      </c>
      <c r="S89" s="14">
        <f>IF(ISNUMBER(K89),K89,IF(ISNUMBER(L89),-L89,""))</f>
        <v/>
      </c>
      <c r="T89">
        <f>IF(ISNUMBER(L89),L89,IF(ISNUMBER(K89),-K89,""))</f>
        <v/>
      </c>
      <c r="U89" s="14">
        <f>IF(ISNUMBER(S89),IF(ISNUMBER(S87),IF(S89&gt;S87,1.0,IF(S89=S87,0.5,0.0)),""),"")</f>
        <v/>
      </c>
      <c r="V89">
        <f>IF(ISNUMBER(S89),IF(ISNUMBER(S88),IF(S89&gt;S88,1.0,IF(S89=S88,0.5,0.0)),""),"")</f>
        <v/>
      </c>
      <c r="W89">
        <f>IF(ISNUMBER(S89),IF(ISNUMBER(S90),IF(S89&gt;S90,1.0,IF(S89=S90,0.5,0.0)),""),"")</f>
        <v/>
      </c>
      <c r="X89">
        <f>IF(ISNUMBER(S89),IF(ISNUMBER(S91),IF(S89&gt;S91,1.0,IF(S89=S91,0.5,0.0)),""),"")</f>
        <v/>
      </c>
      <c r="Y89">
        <f>IF(ISNUMBER(S89),IF(ISNUMBER(S92),IF(S89&gt;S92,1.0,IF(S89=S92,0.5,0.0)),""),"")</f>
        <v/>
      </c>
      <c r="Z89">
        <f>IF(ISNUMBER(S89),IF(ISNUMBER(S93),IF(S89&gt;S93,1.0,IF(S89=S93,0.5,0.0)),""),"")</f>
        <v/>
      </c>
      <c r="AA89">
        <f>IF(ISNUMBER(T89),IF(ISNUMBER(T87),IF(T89&gt;T87,1.0,IF(T89=T87,0.5,0.0)),""),"")</f>
        <v/>
      </c>
      <c r="AB89">
        <f>IF(ISNUMBER(T89),IF(ISNUMBER(T88),IF(T89&gt;T88,1.0,IF(T89=T88,0.5,0.0)),""),"")</f>
        <v/>
      </c>
      <c r="AC89">
        <f>IF(ISNUMBER(T89),IF(ISNUMBER(T90),IF(T89&gt;T90,1.0,IF(T89=T90,0.5,0.0)),""),"")</f>
        <v/>
      </c>
      <c r="AD89">
        <f>IF(ISNUMBER(T89),IF(ISNUMBER(T91),IF(T89&gt;T91,1.0,IF(T89=T91,0.5,0.0)),""),"")</f>
        <v/>
      </c>
      <c r="AE89">
        <f>IF(ISNUMBER(T89),IF(ISNUMBER(T92),IF(T89&gt;T92,1.0,IF(T89=T92,0.5,0.0)),""),"")</f>
        <v/>
      </c>
      <c r="AF89">
        <f>IF(ISNUMBER(T89),IF(ISNUMBER(T93),IF(T89&gt;T93,1.0,IF(T89=T93,0.5,0.0)),""),"")</f>
        <v/>
      </c>
      <c r="AG89" s="14">
        <f>IF(AND(ISNUMBER(S89),ISNUMBER(S87)),VLOOKUP(ABS(S89-S87),'IMP Table'!$A$2:$C$26,3)*SIGN(S89-S87),0)</f>
        <v/>
      </c>
      <c r="AH89">
        <f>IF(AND(ISNUMBER(S89),ISNUMBER(S88)),VLOOKUP(ABS(S89-S88),'IMP Table'!$A$2:$C$26,3)*SIGN(S89-S88),0)</f>
        <v/>
      </c>
      <c r="AI89">
        <f>IF(AND(ISNUMBER(S89),ISNUMBER(S90)),VLOOKUP(ABS(S89-S90),'IMP Table'!$A$2:$C$26,3)*SIGN(S89-S90),0)</f>
        <v/>
      </c>
      <c r="AJ89">
        <f>IF(AND(ISNUMBER(S89),ISNUMBER(S91)),VLOOKUP(ABS(S89-S91),'IMP Table'!$A$2:$C$26,3)*SIGN(S89-S91),0)</f>
        <v/>
      </c>
      <c r="AK89">
        <f>IF(AND(ISNUMBER(S89),ISNUMBER(S92)),VLOOKUP(ABS(S89-S92),'IMP Table'!$A$2:$C$26,3)*SIGN(S89-S92),0)</f>
        <v/>
      </c>
      <c r="AL89">
        <f>IF(AND(ISNUMBER(S89),ISNUMBER(S93)),VLOOKUP(ABS(S89-S93),'IMP Table'!$A$2:$C$26,3)*SIGN(S89-S93),0)</f>
        <v/>
      </c>
      <c r="AM89">
        <f>IF(AND(ISNUMBER(T89),ISNUMBER(T87)),VLOOKUP(ABS(T89-T87),'IMP Table'!$A$2:$C$26,3)*SIGN(T89-T87),0)</f>
        <v/>
      </c>
      <c r="AN89">
        <f>IF(AND(ISNUMBER(T89),ISNUMBER(T88)),VLOOKUP(ABS(T89-T88),'IMP Table'!$A$2:$C$26,3)*SIGN(T89-T88),0)</f>
        <v/>
      </c>
      <c r="AO89">
        <f>IF(AND(ISNUMBER(T89),ISNUMBER(T90)),VLOOKUP(ABS(T89-T90),'IMP Table'!$A$2:$C$26,3)*SIGN(T89-T90),0)</f>
        <v/>
      </c>
      <c r="AP89">
        <f>IF(AND(ISNUMBER(T89),ISNUMBER(T91)),VLOOKUP(ABS(T89-T91),'IMP Table'!$A$2:$C$26,3)*SIGN(T89-T91),0)</f>
        <v/>
      </c>
      <c r="AQ89">
        <f>IF(AND(ISNUMBER(T89),ISNUMBER(T92)),VLOOKUP(ABS(T89-T92),'IMP Table'!$A$2:$C$26,3)*SIGN(T89-T92),0)</f>
        <v/>
      </c>
      <c r="AR89">
        <f>IF(AND(ISNUMBER(T89),ISNUMBER(T93)),VLOOKUP(ABS(T89-T93),'IMP Table'!$A$2:$C$26,3)*SIGN(T89-T93),0)</f>
        <v/>
      </c>
    </row>
    <row r="90">
      <c r="B90" s="10">
        <f>'By Round'!A59</f>
        <v/>
      </c>
      <c r="C90" s="10">
        <f>'By Round'!B61</f>
        <v/>
      </c>
      <c r="D90" s="10">
        <f>'By Round'!C61</f>
        <v/>
      </c>
      <c r="E90" s="10">
        <f>'By Round'!D61</f>
        <v/>
      </c>
      <c r="F90" s="10">
        <f>IF(ISBLANK('By Round'!F61),"",'By Round'!F61)</f>
        <v/>
      </c>
      <c r="G90">
        <f>IF(ISBLANK('By Round'!G61),"",'By Round'!G61)</f>
        <v/>
      </c>
      <c r="H90">
        <f>IF(ISBLANK('By Round'!H61),"",'By Round'!H61)</f>
        <v/>
      </c>
      <c r="I90">
        <f>IF(ISBLANK('By Round'!I61),"",'By Round'!I61)</f>
        <v/>
      </c>
      <c r="J90">
        <f>IF(ISBLANK('By Round'!J61),"",'By Round'!J61)</f>
        <v/>
      </c>
      <c r="K90">
        <f>IF(ISBLANK('By Round'!K61),"",'By Round'!K61)</f>
        <v/>
      </c>
      <c r="L90">
        <f>IF(ISBLANK('By Round'!L61),"",'By Round'!L61)</f>
        <v/>
      </c>
      <c r="M90" s="11">
        <f>AVERAGE(AG90:AL90)</f>
        <v/>
      </c>
      <c r="N90" s="12">
        <f>AVERAGE(AM90:AR90)</f>
        <v/>
      </c>
      <c r="O90" s="13">
        <f>IF(COUNT(U90:Z90)&gt;0,Q90/COUNT(U90:Z90),0.5)</f>
        <v/>
      </c>
      <c r="P90" s="13">
        <f>IF(COUNT(AA90:AF90)&gt;0,R90/COUNT(AA90:AF90),0.5)</f>
        <v/>
      </c>
      <c r="Q90" s="5">
        <f>SUM(U90:Z90)</f>
        <v/>
      </c>
      <c r="R90" s="5">
        <f>SUM(AA90:AF90)</f>
        <v/>
      </c>
      <c r="S90" s="14">
        <f>IF(ISNUMBER(K90),K90,IF(ISNUMBER(L90),-L90,""))</f>
        <v/>
      </c>
      <c r="T90">
        <f>IF(ISNUMBER(L90),L90,IF(ISNUMBER(K90),-K90,""))</f>
        <v/>
      </c>
      <c r="U90" s="14">
        <f>IF(ISNUMBER(S90),IF(ISNUMBER(S87),IF(S90&gt;S87,1.0,IF(S90=S87,0.5,0.0)),""),"")</f>
        <v/>
      </c>
      <c r="V90">
        <f>IF(ISNUMBER(S90),IF(ISNUMBER(S88),IF(S90&gt;S88,1.0,IF(S90=S88,0.5,0.0)),""),"")</f>
        <v/>
      </c>
      <c r="W90">
        <f>IF(ISNUMBER(S90),IF(ISNUMBER(S89),IF(S90&gt;S89,1.0,IF(S90=S89,0.5,0.0)),""),"")</f>
        <v/>
      </c>
      <c r="X90">
        <f>IF(ISNUMBER(S90),IF(ISNUMBER(S91),IF(S90&gt;S91,1.0,IF(S90=S91,0.5,0.0)),""),"")</f>
        <v/>
      </c>
      <c r="Y90">
        <f>IF(ISNUMBER(S90),IF(ISNUMBER(S92),IF(S90&gt;S92,1.0,IF(S90=S92,0.5,0.0)),""),"")</f>
        <v/>
      </c>
      <c r="Z90">
        <f>IF(ISNUMBER(S90),IF(ISNUMBER(S93),IF(S90&gt;S93,1.0,IF(S90=S93,0.5,0.0)),""),"")</f>
        <v/>
      </c>
      <c r="AA90">
        <f>IF(ISNUMBER(T90),IF(ISNUMBER(T87),IF(T90&gt;T87,1.0,IF(T90=T87,0.5,0.0)),""),"")</f>
        <v/>
      </c>
      <c r="AB90">
        <f>IF(ISNUMBER(T90),IF(ISNUMBER(T88),IF(T90&gt;T88,1.0,IF(T90=T88,0.5,0.0)),""),"")</f>
        <v/>
      </c>
      <c r="AC90">
        <f>IF(ISNUMBER(T90),IF(ISNUMBER(T89),IF(T90&gt;T89,1.0,IF(T90=T89,0.5,0.0)),""),"")</f>
        <v/>
      </c>
      <c r="AD90">
        <f>IF(ISNUMBER(T90),IF(ISNUMBER(T91),IF(T90&gt;T91,1.0,IF(T90=T91,0.5,0.0)),""),"")</f>
        <v/>
      </c>
      <c r="AE90">
        <f>IF(ISNUMBER(T90),IF(ISNUMBER(T92),IF(T90&gt;T92,1.0,IF(T90=T92,0.5,0.0)),""),"")</f>
        <v/>
      </c>
      <c r="AF90">
        <f>IF(ISNUMBER(T90),IF(ISNUMBER(T93),IF(T90&gt;T93,1.0,IF(T90=T93,0.5,0.0)),""),"")</f>
        <v/>
      </c>
      <c r="AG90" s="14">
        <f>IF(AND(ISNUMBER(S90),ISNUMBER(S87)),VLOOKUP(ABS(S90-S87),'IMP Table'!$A$2:$C$26,3)*SIGN(S90-S87),0)</f>
        <v/>
      </c>
      <c r="AH90">
        <f>IF(AND(ISNUMBER(S90),ISNUMBER(S88)),VLOOKUP(ABS(S90-S88),'IMP Table'!$A$2:$C$26,3)*SIGN(S90-S88),0)</f>
        <v/>
      </c>
      <c r="AI90">
        <f>IF(AND(ISNUMBER(S90),ISNUMBER(S89)),VLOOKUP(ABS(S90-S89),'IMP Table'!$A$2:$C$26,3)*SIGN(S90-S89),0)</f>
        <v/>
      </c>
      <c r="AJ90">
        <f>IF(AND(ISNUMBER(S90),ISNUMBER(S91)),VLOOKUP(ABS(S90-S91),'IMP Table'!$A$2:$C$26,3)*SIGN(S90-S91),0)</f>
        <v/>
      </c>
      <c r="AK90">
        <f>IF(AND(ISNUMBER(S90),ISNUMBER(S92)),VLOOKUP(ABS(S90-S92),'IMP Table'!$A$2:$C$26,3)*SIGN(S90-S92),0)</f>
        <v/>
      </c>
      <c r="AL90">
        <f>IF(AND(ISNUMBER(S90),ISNUMBER(S93)),VLOOKUP(ABS(S90-S93),'IMP Table'!$A$2:$C$26,3)*SIGN(S90-S93),0)</f>
        <v/>
      </c>
      <c r="AM90">
        <f>IF(AND(ISNUMBER(T90),ISNUMBER(T87)),VLOOKUP(ABS(T90-T87),'IMP Table'!$A$2:$C$26,3)*SIGN(T90-T87),0)</f>
        <v/>
      </c>
      <c r="AN90">
        <f>IF(AND(ISNUMBER(T90),ISNUMBER(T88)),VLOOKUP(ABS(T90-T88),'IMP Table'!$A$2:$C$26,3)*SIGN(T90-T88),0)</f>
        <v/>
      </c>
      <c r="AO90">
        <f>IF(AND(ISNUMBER(T90),ISNUMBER(T89)),VLOOKUP(ABS(T90-T89),'IMP Table'!$A$2:$C$26,3)*SIGN(T90-T89),0)</f>
        <v/>
      </c>
      <c r="AP90">
        <f>IF(AND(ISNUMBER(T90),ISNUMBER(T91)),VLOOKUP(ABS(T90-T91),'IMP Table'!$A$2:$C$26,3)*SIGN(T90-T91),0)</f>
        <v/>
      </c>
      <c r="AQ90">
        <f>IF(AND(ISNUMBER(T90),ISNUMBER(T92)),VLOOKUP(ABS(T90-T92),'IMP Table'!$A$2:$C$26,3)*SIGN(T90-T92),0)</f>
        <v/>
      </c>
      <c r="AR90">
        <f>IF(AND(ISNUMBER(T90),ISNUMBER(T93)),VLOOKUP(ABS(T90-T93),'IMP Table'!$A$2:$C$26,3)*SIGN(T90-T93),0)</f>
        <v/>
      </c>
    </row>
    <row r="91">
      <c r="B91" s="10">
        <f>'By Round'!A31</f>
        <v/>
      </c>
      <c r="C91" s="10">
        <f>'By Round'!B37</f>
        <v/>
      </c>
      <c r="D91" s="10">
        <f>'By Round'!C37</f>
        <v/>
      </c>
      <c r="E91" s="10">
        <f>'By Round'!D37</f>
        <v/>
      </c>
      <c r="F91" s="10">
        <f>IF(ISBLANK('By Round'!F37),"",'By Round'!F37)</f>
        <v/>
      </c>
      <c r="G91">
        <f>IF(ISBLANK('By Round'!G37),"",'By Round'!G37)</f>
        <v/>
      </c>
      <c r="H91">
        <f>IF(ISBLANK('By Round'!H37),"",'By Round'!H37)</f>
        <v/>
      </c>
      <c r="I91">
        <f>IF(ISBLANK('By Round'!I37),"",'By Round'!I37)</f>
        <v/>
      </c>
      <c r="J91">
        <f>IF(ISBLANK('By Round'!J37),"",'By Round'!J37)</f>
        <v/>
      </c>
      <c r="K91">
        <f>IF(ISBLANK('By Round'!K37),"",'By Round'!K37)</f>
        <v/>
      </c>
      <c r="L91">
        <f>IF(ISBLANK('By Round'!L37),"",'By Round'!L37)</f>
        <v/>
      </c>
      <c r="M91" s="11">
        <f>AVERAGE(AG91:AL91)</f>
        <v/>
      </c>
      <c r="N91" s="12">
        <f>AVERAGE(AM91:AR91)</f>
        <v/>
      </c>
      <c r="O91" s="13">
        <f>IF(COUNT(U91:Z91)&gt;0,Q91/COUNT(U91:Z91),0.5)</f>
        <v/>
      </c>
      <c r="P91" s="13">
        <f>IF(COUNT(AA91:AF91)&gt;0,R91/COUNT(AA91:AF91),0.5)</f>
        <v/>
      </c>
      <c r="Q91" s="5">
        <f>SUM(U91:Z91)</f>
        <v/>
      </c>
      <c r="R91" s="5">
        <f>SUM(AA91:AF91)</f>
        <v/>
      </c>
      <c r="S91" s="14">
        <f>IF(ISNUMBER(K91),K91,IF(ISNUMBER(L91),-L91,""))</f>
        <v/>
      </c>
      <c r="T91">
        <f>IF(ISNUMBER(L91),L91,IF(ISNUMBER(K91),-K91,""))</f>
        <v/>
      </c>
      <c r="U91" s="14">
        <f>IF(ISNUMBER(S91),IF(ISNUMBER(S87),IF(S91&gt;S87,1.0,IF(S91=S87,0.5,0.0)),""),"")</f>
        <v/>
      </c>
      <c r="V91">
        <f>IF(ISNUMBER(S91),IF(ISNUMBER(S88),IF(S91&gt;S88,1.0,IF(S91=S88,0.5,0.0)),""),"")</f>
        <v/>
      </c>
      <c r="W91">
        <f>IF(ISNUMBER(S91),IF(ISNUMBER(S89),IF(S91&gt;S89,1.0,IF(S91=S89,0.5,0.0)),""),"")</f>
        <v/>
      </c>
      <c r="X91">
        <f>IF(ISNUMBER(S91),IF(ISNUMBER(S90),IF(S91&gt;S90,1.0,IF(S91=S90,0.5,0.0)),""),"")</f>
        <v/>
      </c>
      <c r="Y91">
        <f>IF(ISNUMBER(S91),IF(ISNUMBER(S92),IF(S91&gt;S92,1.0,IF(S91=S92,0.5,0.0)),""),"")</f>
        <v/>
      </c>
      <c r="Z91">
        <f>IF(ISNUMBER(S91),IF(ISNUMBER(S93),IF(S91&gt;S93,1.0,IF(S91=S93,0.5,0.0)),""),"")</f>
        <v/>
      </c>
      <c r="AA91">
        <f>IF(ISNUMBER(T91),IF(ISNUMBER(T87),IF(T91&gt;T87,1.0,IF(T91=T87,0.5,0.0)),""),"")</f>
        <v/>
      </c>
      <c r="AB91">
        <f>IF(ISNUMBER(T91),IF(ISNUMBER(T88),IF(T91&gt;T88,1.0,IF(T91=T88,0.5,0.0)),""),"")</f>
        <v/>
      </c>
      <c r="AC91">
        <f>IF(ISNUMBER(T91),IF(ISNUMBER(T89),IF(T91&gt;T89,1.0,IF(T91=T89,0.5,0.0)),""),"")</f>
        <v/>
      </c>
      <c r="AD91">
        <f>IF(ISNUMBER(T91),IF(ISNUMBER(T90),IF(T91&gt;T90,1.0,IF(T91=T90,0.5,0.0)),""),"")</f>
        <v/>
      </c>
      <c r="AE91">
        <f>IF(ISNUMBER(T91),IF(ISNUMBER(T92),IF(T91&gt;T92,1.0,IF(T91=T92,0.5,0.0)),""),"")</f>
        <v/>
      </c>
      <c r="AF91">
        <f>IF(ISNUMBER(T91),IF(ISNUMBER(T93),IF(T91&gt;T93,1.0,IF(T91=T93,0.5,0.0)),""),"")</f>
        <v/>
      </c>
      <c r="AG91" s="14">
        <f>IF(AND(ISNUMBER(S91),ISNUMBER(S87)),VLOOKUP(ABS(S91-S87),'IMP Table'!$A$2:$C$26,3)*SIGN(S91-S87),0)</f>
        <v/>
      </c>
      <c r="AH91">
        <f>IF(AND(ISNUMBER(S91),ISNUMBER(S88)),VLOOKUP(ABS(S91-S88),'IMP Table'!$A$2:$C$26,3)*SIGN(S91-S88),0)</f>
        <v/>
      </c>
      <c r="AI91">
        <f>IF(AND(ISNUMBER(S91),ISNUMBER(S89)),VLOOKUP(ABS(S91-S89),'IMP Table'!$A$2:$C$26,3)*SIGN(S91-S89),0)</f>
        <v/>
      </c>
      <c r="AJ91">
        <f>IF(AND(ISNUMBER(S91),ISNUMBER(S90)),VLOOKUP(ABS(S91-S90),'IMP Table'!$A$2:$C$26,3)*SIGN(S91-S90),0)</f>
        <v/>
      </c>
      <c r="AK91">
        <f>IF(AND(ISNUMBER(S91),ISNUMBER(S92)),VLOOKUP(ABS(S91-S92),'IMP Table'!$A$2:$C$26,3)*SIGN(S91-S92),0)</f>
        <v/>
      </c>
      <c r="AL91">
        <f>IF(AND(ISNUMBER(S91),ISNUMBER(S93)),VLOOKUP(ABS(S91-S93),'IMP Table'!$A$2:$C$26,3)*SIGN(S91-S93),0)</f>
        <v/>
      </c>
      <c r="AM91">
        <f>IF(AND(ISNUMBER(T91),ISNUMBER(T87)),VLOOKUP(ABS(T91-T87),'IMP Table'!$A$2:$C$26,3)*SIGN(T91-T87),0)</f>
        <v/>
      </c>
      <c r="AN91">
        <f>IF(AND(ISNUMBER(T91),ISNUMBER(T88)),VLOOKUP(ABS(T91-T88),'IMP Table'!$A$2:$C$26,3)*SIGN(T91-T88),0)</f>
        <v/>
      </c>
      <c r="AO91">
        <f>IF(AND(ISNUMBER(T91),ISNUMBER(T89)),VLOOKUP(ABS(T91-T89),'IMP Table'!$A$2:$C$26,3)*SIGN(T91-T89),0)</f>
        <v/>
      </c>
      <c r="AP91">
        <f>IF(AND(ISNUMBER(T91),ISNUMBER(T90)),VLOOKUP(ABS(T91-T90),'IMP Table'!$A$2:$C$26,3)*SIGN(T91-T90),0)</f>
        <v/>
      </c>
      <c r="AQ91">
        <f>IF(AND(ISNUMBER(T91),ISNUMBER(T92)),VLOOKUP(ABS(T91-T92),'IMP Table'!$A$2:$C$26,3)*SIGN(T91-T92),0)</f>
        <v/>
      </c>
      <c r="AR91">
        <f>IF(AND(ISNUMBER(T91),ISNUMBER(T93)),VLOOKUP(ABS(T91-T93),'IMP Table'!$A$2:$C$26,3)*SIGN(T91-T93),0)</f>
        <v/>
      </c>
    </row>
    <row r="92">
      <c r="B92" s="10">
        <f>'By Round'!A115</f>
        <v/>
      </c>
      <c r="C92" s="10">
        <f>'By Round'!B127</f>
        <v/>
      </c>
      <c r="D92" s="10">
        <f>'By Round'!C127</f>
        <v/>
      </c>
      <c r="E92" s="10">
        <f>'By Round'!D127</f>
        <v/>
      </c>
      <c r="F92" s="10">
        <f>IF(ISBLANK('By Round'!F127),"",'By Round'!F127)</f>
        <v/>
      </c>
      <c r="G92">
        <f>IF(ISBLANK('By Round'!G127),"",'By Round'!G127)</f>
        <v/>
      </c>
      <c r="H92">
        <f>IF(ISBLANK('By Round'!H127),"",'By Round'!H127)</f>
        <v/>
      </c>
      <c r="I92">
        <f>IF(ISBLANK('By Round'!I127),"",'By Round'!I127)</f>
        <v/>
      </c>
      <c r="J92">
        <f>IF(ISBLANK('By Round'!J127),"",'By Round'!J127)</f>
        <v/>
      </c>
      <c r="K92">
        <f>IF(ISBLANK('By Round'!K127),"",'By Round'!K127)</f>
        <v/>
      </c>
      <c r="L92">
        <f>IF(ISBLANK('By Round'!L127),"",'By Round'!L127)</f>
        <v/>
      </c>
      <c r="M92" s="11">
        <f>AVERAGE(AG92:AL92)</f>
        <v/>
      </c>
      <c r="N92" s="12">
        <f>AVERAGE(AM92:AR92)</f>
        <v/>
      </c>
      <c r="O92" s="13">
        <f>IF(COUNT(U92:Z92)&gt;0,Q92/COUNT(U92:Z92),0.5)</f>
        <v/>
      </c>
      <c r="P92" s="13">
        <f>IF(COUNT(AA92:AF92)&gt;0,R92/COUNT(AA92:AF92),0.5)</f>
        <v/>
      </c>
      <c r="Q92" s="5">
        <f>SUM(U92:Z92)</f>
        <v/>
      </c>
      <c r="R92" s="5">
        <f>SUM(AA92:AF92)</f>
        <v/>
      </c>
      <c r="S92" s="14">
        <f>IF(ISNUMBER(K92),K92,IF(ISNUMBER(L92),-L92,""))</f>
        <v/>
      </c>
      <c r="T92">
        <f>IF(ISNUMBER(L92),L92,IF(ISNUMBER(K92),-K92,""))</f>
        <v/>
      </c>
      <c r="U92" s="14">
        <f>IF(ISNUMBER(S92),IF(ISNUMBER(S87),IF(S92&gt;S87,1.0,IF(S92=S87,0.5,0.0)),""),"")</f>
        <v/>
      </c>
      <c r="V92">
        <f>IF(ISNUMBER(S92),IF(ISNUMBER(S88),IF(S92&gt;S88,1.0,IF(S92=S88,0.5,0.0)),""),"")</f>
        <v/>
      </c>
      <c r="W92">
        <f>IF(ISNUMBER(S92),IF(ISNUMBER(S89),IF(S92&gt;S89,1.0,IF(S92=S89,0.5,0.0)),""),"")</f>
        <v/>
      </c>
      <c r="X92">
        <f>IF(ISNUMBER(S92),IF(ISNUMBER(S90),IF(S92&gt;S90,1.0,IF(S92=S90,0.5,0.0)),""),"")</f>
        <v/>
      </c>
      <c r="Y92">
        <f>IF(ISNUMBER(S92),IF(ISNUMBER(S91),IF(S92&gt;S91,1.0,IF(S92=S91,0.5,0.0)),""),"")</f>
        <v/>
      </c>
      <c r="Z92">
        <f>IF(ISNUMBER(S92),IF(ISNUMBER(S93),IF(S92&gt;S93,1.0,IF(S92=S93,0.5,0.0)),""),"")</f>
        <v/>
      </c>
      <c r="AA92">
        <f>IF(ISNUMBER(T92),IF(ISNUMBER(T87),IF(T92&gt;T87,1.0,IF(T92=T87,0.5,0.0)),""),"")</f>
        <v/>
      </c>
      <c r="AB92">
        <f>IF(ISNUMBER(T92),IF(ISNUMBER(T88),IF(T92&gt;T88,1.0,IF(T92=T88,0.5,0.0)),""),"")</f>
        <v/>
      </c>
      <c r="AC92">
        <f>IF(ISNUMBER(T92),IF(ISNUMBER(T89),IF(T92&gt;T89,1.0,IF(T92=T89,0.5,0.0)),""),"")</f>
        <v/>
      </c>
      <c r="AD92">
        <f>IF(ISNUMBER(T92),IF(ISNUMBER(T90),IF(T92&gt;T90,1.0,IF(T92=T90,0.5,0.0)),""),"")</f>
        <v/>
      </c>
      <c r="AE92">
        <f>IF(ISNUMBER(T92),IF(ISNUMBER(T91),IF(T92&gt;T91,1.0,IF(T92=T91,0.5,0.0)),""),"")</f>
        <v/>
      </c>
      <c r="AF92">
        <f>IF(ISNUMBER(T92),IF(ISNUMBER(T93),IF(T92&gt;T93,1.0,IF(T92=T93,0.5,0.0)),""),"")</f>
        <v/>
      </c>
      <c r="AG92" s="14">
        <f>IF(AND(ISNUMBER(S92),ISNUMBER(S87)),VLOOKUP(ABS(S92-S87),'IMP Table'!$A$2:$C$26,3)*SIGN(S92-S87),0)</f>
        <v/>
      </c>
      <c r="AH92">
        <f>IF(AND(ISNUMBER(S92),ISNUMBER(S88)),VLOOKUP(ABS(S92-S88),'IMP Table'!$A$2:$C$26,3)*SIGN(S92-S88),0)</f>
        <v/>
      </c>
      <c r="AI92">
        <f>IF(AND(ISNUMBER(S92),ISNUMBER(S89)),VLOOKUP(ABS(S92-S89),'IMP Table'!$A$2:$C$26,3)*SIGN(S92-S89),0)</f>
        <v/>
      </c>
      <c r="AJ92">
        <f>IF(AND(ISNUMBER(S92),ISNUMBER(S90)),VLOOKUP(ABS(S92-S90),'IMP Table'!$A$2:$C$26,3)*SIGN(S92-S90),0)</f>
        <v/>
      </c>
      <c r="AK92">
        <f>IF(AND(ISNUMBER(S92),ISNUMBER(S91)),VLOOKUP(ABS(S92-S91),'IMP Table'!$A$2:$C$26,3)*SIGN(S92-S91),0)</f>
        <v/>
      </c>
      <c r="AL92">
        <f>IF(AND(ISNUMBER(S92),ISNUMBER(S93)),VLOOKUP(ABS(S92-S93),'IMP Table'!$A$2:$C$26,3)*SIGN(S92-S93),0)</f>
        <v/>
      </c>
      <c r="AM92">
        <f>IF(AND(ISNUMBER(T92),ISNUMBER(T87)),VLOOKUP(ABS(T92-T87),'IMP Table'!$A$2:$C$26,3)*SIGN(T92-T87),0)</f>
        <v/>
      </c>
      <c r="AN92">
        <f>IF(AND(ISNUMBER(T92),ISNUMBER(T88)),VLOOKUP(ABS(T92-T88),'IMP Table'!$A$2:$C$26,3)*SIGN(T92-T88),0)</f>
        <v/>
      </c>
      <c r="AO92">
        <f>IF(AND(ISNUMBER(T92),ISNUMBER(T89)),VLOOKUP(ABS(T92-T89),'IMP Table'!$A$2:$C$26,3)*SIGN(T92-T89),0)</f>
        <v/>
      </c>
      <c r="AP92">
        <f>IF(AND(ISNUMBER(T92),ISNUMBER(T90)),VLOOKUP(ABS(T92-T90),'IMP Table'!$A$2:$C$26,3)*SIGN(T92-T90),0)</f>
        <v/>
      </c>
      <c r="AQ92">
        <f>IF(AND(ISNUMBER(T92),ISNUMBER(T91)),VLOOKUP(ABS(T92-T91),'IMP Table'!$A$2:$C$26,3)*SIGN(T92-T91),0)</f>
        <v/>
      </c>
      <c r="AR92">
        <f>IF(AND(ISNUMBER(T92),ISNUMBER(T93)),VLOOKUP(ABS(T92-T93),'IMP Table'!$A$2:$C$26,3)*SIGN(T92-T93),0)</f>
        <v/>
      </c>
    </row>
    <row r="93">
      <c r="A93" s="15" t="n"/>
      <c r="B93" s="16">
        <f>'By Round'!A87</f>
        <v/>
      </c>
      <c r="C93" s="16">
        <f>'By Round'!B87</f>
        <v/>
      </c>
      <c r="D93" s="16">
        <f>'By Round'!C87</f>
        <v/>
      </c>
      <c r="E93" s="16">
        <f>'By Round'!D87</f>
        <v/>
      </c>
      <c r="F93" s="16">
        <f>IF(ISBLANK('By Round'!F87),"",'By Round'!F87)</f>
        <v/>
      </c>
      <c r="G93" s="15">
        <f>IF(ISBLANK('By Round'!G87),"",'By Round'!G87)</f>
        <v/>
      </c>
      <c r="H93" s="15">
        <f>IF(ISBLANK('By Round'!H87),"",'By Round'!H87)</f>
        <v/>
      </c>
      <c r="I93" s="15">
        <f>IF(ISBLANK('By Round'!I87),"",'By Round'!I87)</f>
        <v/>
      </c>
      <c r="J93" s="15">
        <f>IF(ISBLANK('By Round'!J87),"",'By Round'!J87)</f>
        <v/>
      </c>
      <c r="K93" s="15">
        <f>IF(ISBLANK('By Round'!K87),"",'By Round'!K87)</f>
        <v/>
      </c>
      <c r="L93" s="15">
        <f>IF(ISBLANK('By Round'!L87),"",'By Round'!L87)</f>
        <v/>
      </c>
      <c r="M93" s="17">
        <f>AVERAGE(AG93:AL93)</f>
        <v/>
      </c>
      <c r="N93" s="18">
        <f>AVERAGE(AM93:AR93)</f>
        <v/>
      </c>
      <c r="O93" s="19">
        <f>IF(COUNT(U93:Z93)&gt;0,Q93/COUNT(U93:Z93),0.5)</f>
        <v/>
      </c>
      <c r="P93" s="19">
        <f>IF(COUNT(AA93:AF93)&gt;0,R93/COUNT(AA93:AF93),0.5)</f>
        <v/>
      </c>
      <c r="Q93" s="20">
        <f>SUM(U93:Z93)</f>
        <v/>
      </c>
      <c r="R93" s="20">
        <f>SUM(AA93:AF93)</f>
        <v/>
      </c>
      <c r="S93" s="21">
        <f>IF(ISNUMBER(K93),K93,IF(ISNUMBER(L93),-L93,""))</f>
        <v/>
      </c>
      <c r="T93" s="15">
        <f>IF(ISNUMBER(L93),L93,IF(ISNUMBER(K93),-K93,""))</f>
        <v/>
      </c>
      <c r="U93" s="21">
        <f>IF(ISNUMBER(S93),IF(ISNUMBER(S87),IF(S93&gt;S87,1.0,IF(S93=S87,0.5,0.0)),""),"")</f>
        <v/>
      </c>
      <c r="V93" s="15">
        <f>IF(ISNUMBER(S93),IF(ISNUMBER(S88),IF(S93&gt;S88,1.0,IF(S93=S88,0.5,0.0)),""),"")</f>
        <v/>
      </c>
      <c r="W93" s="15">
        <f>IF(ISNUMBER(S93),IF(ISNUMBER(S89),IF(S93&gt;S89,1.0,IF(S93=S89,0.5,0.0)),""),"")</f>
        <v/>
      </c>
      <c r="X93" s="15">
        <f>IF(ISNUMBER(S93),IF(ISNUMBER(S90),IF(S93&gt;S90,1.0,IF(S93=S90,0.5,0.0)),""),"")</f>
        <v/>
      </c>
      <c r="Y93" s="15">
        <f>IF(ISNUMBER(S93),IF(ISNUMBER(S91),IF(S93&gt;S91,1.0,IF(S93=S91,0.5,0.0)),""),"")</f>
        <v/>
      </c>
      <c r="Z93" s="15">
        <f>IF(ISNUMBER(S93),IF(ISNUMBER(S92),IF(S93&gt;S92,1.0,IF(S93=S92,0.5,0.0)),""),"")</f>
        <v/>
      </c>
      <c r="AA93" s="15">
        <f>IF(ISNUMBER(T93),IF(ISNUMBER(T87),IF(T93&gt;T87,1.0,IF(T93=T87,0.5,0.0)),""),"")</f>
        <v/>
      </c>
      <c r="AB93" s="15">
        <f>IF(ISNUMBER(T93),IF(ISNUMBER(T88),IF(T93&gt;T88,1.0,IF(T93=T88,0.5,0.0)),""),"")</f>
        <v/>
      </c>
      <c r="AC93" s="15">
        <f>IF(ISNUMBER(T93),IF(ISNUMBER(T89),IF(T93&gt;T89,1.0,IF(T93=T89,0.5,0.0)),""),"")</f>
        <v/>
      </c>
      <c r="AD93" s="15">
        <f>IF(ISNUMBER(T93),IF(ISNUMBER(T90),IF(T93&gt;T90,1.0,IF(T93=T90,0.5,0.0)),""),"")</f>
        <v/>
      </c>
      <c r="AE93" s="15">
        <f>IF(ISNUMBER(T93),IF(ISNUMBER(T91),IF(T93&gt;T91,1.0,IF(T93=T91,0.5,0.0)),""),"")</f>
        <v/>
      </c>
      <c r="AF93" s="15">
        <f>IF(ISNUMBER(T93),IF(ISNUMBER(T92),IF(T93&gt;T92,1.0,IF(T93=T92,0.5,0.0)),""),"")</f>
        <v/>
      </c>
      <c r="AG93" s="21">
        <f>IF(AND(ISNUMBER(S93),ISNUMBER(S87)),VLOOKUP(ABS(S93-S87),'IMP Table'!$A$2:$C$26,3)*SIGN(S93-S87),0)</f>
        <v/>
      </c>
      <c r="AH93" s="15">
        <f>IF(AND(ISNUMBER(S93),ISNUMBER(S88)),VLOOKUP(ABS(S93-S88),'IMP Table'!$A$2:$C$26,3)*SIGN(S93-S88),0)</f>
        <v/>
      </c>
      <c r="AI93" s="15">
        <f>IF(AND(ISNUMBER(S93),ISNUMBER(S89)),VLOOKUP(ABS(S93-S89),'IMP Table'!$A$2:$C$26,3)*SIGN(S93-S89),0)</f>
        <v/>
      </c>
      <c r="AJ93" s="15">
        <f>IF(AND(ISNUMBER(S93),ISNUMBER(S90)),VLOOKUP(ABS(S93-S90),'IMP Table'!$A$2:$C$26,3)*SIGN(S93-S90),0)</f>
        <v/>
      </c>
      <c r="AK93" s="15">
        <f>IF(AND(ISNUMBER(S93),ISNUMBER(S91)),VLOOKUP(ABS(S93-S91),'IMP Table'!$A$2:$C$26,3)*SIGN(S93-S91),0)</f>
        <v/>
      </c>
      <c r="AL93" s="15">
        <f>IF(AND(ISNUMBER(S93),ISNUMBER(S92)),VLOOKUP(ABS(S93-S92),'IMP Table'!$A$2:$C$26,3)*SIGN(S93-S92),0)</f>
        <v/>
      </c>
      <c r="AM93" s="15">
        <f>IF(AND(ISNUMBER(T93),ISNUMBER(T87)),VLOOKUP(ABS(T93-T87),'IMP Table'!$A$2:$C$26,3)*SIGN(T93-T87),0)</f>
        <v/>
      </c>
      <c r="AN93" s="15">
        <f>IF(AND(ISNUMBER(T93),ISNUMBER(T88)),VLOOKUP(ABS(T93-T88),'IMP Table'!$A$2:$C$26,3)*SIGN(T93-T88),0)</f>
        <v/>
      </c>
      <c r="AO93" s="15">
        <f>IF(AND(ISNUMBER(T93),ISNUMBER(T89)),VLOOKUP(ABS(T93-T89),'IMP Table'!$A$2:$C$26,3)*SIGN(T93-T89),0)</f>
        <v/>
      </c>
      <c r="AP93" s="15">
        <f>IF(AND(ISNUMBER(T93),ISNUMBER(T90)),VLOOKUP(ABS(T93-T90),'IMP Table'!$A$2:$C$26,3)*SIGN(T93-T90),0)</f>
        <v/>
      </c>
      <c r="AQ93" s="15">
        <f>IF(AND(ISNUMBER(T93),ISNUMBER(T91)),VLOOKUP(ABS(T93-T91),'IMP Table'!$A$2:$C$26,3)*SIGN(T93-T91),0)</f>
        <v/>
      </c>
      <c r="AR93" s="15">
        <f>IF(AND(ISNUMBER(T93),ISNUMBER(T92)),VLOOKUP(ABS(T93-T92),'IMP Table'!$A$2:$C$26,3)*SIGN(T93-T92),0)</f>
        <v/>
      </c>
    </row>
    <row r="94">
      <c r="A94" s="10" t="n">
        <v>14</v>
      </c>
      <c r="B94" s="10">
        <f>'By Round'!A143</f>
        <v/>
      </c>
      <c r="C94" s="10">
        <f>'By Round'!B151</f>
        <v/>
      </c>
      <c r="D94" s="10">
        <f>'By Round'!C151</f>
        <v/>
      </c>
      <c r="E94" s="10">
        <f>'By Round'!D151</f>
        <v/>
      </c>
      <c r="F94" s="10">
        <f>IF(ISBLANK('By Round'!F152),"",'By Round'!F152)</f>
        <v/>
      </c>
      <c r="G94">
        <f>IF(ISBLANK('By Round'!G152),"",'By Round'!G152)</f>
        <v/>
      </c>
      <c r="H94">
        <f>IF(ISBLANK('By Round'!H152),"",'By Round'!H152)</f>
        <v/>
      </c>
      <c r="I94">
        <f>IF(ISBLANK('By Round'!I152),"",'By Round'!I152)</f>
        <v/>
      </c>
      <c r="J94">
        <f>IF(ISBLANK('By Round'!J152),"",'By Round'!J152)</f>
        <v/>
      </c>
      <c r="K94">
        <f>IF(ISBLANK('By Round'!K152),"",'By Round'!K152)</f>
        <v/>
      </c>
      <c r="L94">
        <f>IF(ISBLANK('By Round'!L152),"",'By Round'!L152)</f>
        <v/>
      </c>
      <c r="M94" s="11">
        <f>AVERAGE(AG94:AL94)</f>
        <v/>
      </c>
      <c r="N94" s="12">
        <f>AVERAGE(AM94:AR94)</f>
        <v/>
      </c>
      <c r="O94" s="13">
        <f>IF(COUNT(U94:Z94)&gt;0,Q94/COUNT(U94:Z94),0.5)</f>
        <v/>
      </c>
      <c r="P94" s="13">
        <f>IF(COUNT(AA94:AF94)&gt;0,R94/COUNT(AA94:AF94),0.5)</f>
        <v/>
      </c>
      <c r="Q94" s="5">
        <f>SUM(U94:Z94)</f>
        <v/>
      </c>
      <c r="R94" s="5">
        <f>SUM(AA94:AF94)</f>
        <v/>
      </c>
      <c r="S94" s="14">
        <f>IF(ISNUMBER(K94),K94,IF(ISNUMBER(L94),-L94,""))</f>
        <v/>
      </c>
      <c r="T94">
        <f>IF(ISNUMBER(L94),L94,IF(ISNUMBER(K94),-K94,""))</f>
        <v/>
      </c>
      <c r="U94" s="14">
        <f>IF(ISNUMBER(S94),IF(ISNUMBER(S95),IF(S94&gt;S95,1.0,IF(S94=S95,0.5,0.0)),""),"")</f>
        <v/>
      </c>
      <c r="V94">
        <f>IF(ISNUMBER(S94),IF(ISNUMBER(S96),IF(S94&gt;S96,1.0,IF(S94=S96,0.5,0.0)),""),"")</f>
        <v/>
      </c>
      <c r="W94">
        <f>IF(ISNUMBER(S94),IF(ISNUMBER(S97),IF(S94&gt;S97,1.0,IF(S94=S97,0.5,0.0)),""),"")</f>
        <v/>
      </c>
      <c r="X94">
        <f>IF(ISNUMBER(S94),IF(ISNUMBER(S98),IF(S94&gt;S98,1.0,IF(S94=S98,0.5,0.0)),""),"")</f>
        <v/>
      </c>
      <c r="Y94">
        <f>IF(ISNUMBER(S94),IF(ISNUMBER(S99),IF(S94&gt;S99,1.0,IF(S94=S99,0.5,0.0)),""),"")</f>
        <v/>
      </c>
      <c r="Z94">
        <f>IF(ISNUMBER(S94),IF(ISNUMBER(S100),IF(S94&gt;S100,1.0,IF(S94=S100,0.5,0.0)),""),"")</f>
        <v/>
      </c>
      <c r="AA94">
        <f>IF(ISNUMBER(T94),IF(ISNUMBER(T95),IF(T94&gt;T95,1.0,IF(T94=T95,0.5,0.0)),""),"")</f>
        <v/>
      </c>
      <c r="AB94">
        <f>IF(ISNUMBER(T94),IF(ISNUMBER(T96),IF(T94&gt;T96,1.0,IF(T94=T96,0.5,0.0)),""),"")</f>
        <v/>
      </c>
      <c r="AC94">
        <f>IF(ISNUMBER(T94),IF(ISNUMBER(T97),IF(T94&gt;T97,1.0,IF(T94=T97,0.5,0.0)),""),"")</f>
        <v/>
      </c>
      <c r="AD94">
        <f>IF(ISNUMBER(T94),IF(ISNUMBER(T98),IF(T94&gt;T98,1.0,IF(T94=T98,0.5,0.0)),""),"")</f>
        <v/>
      </c>
      <c r="AE94">
        <f>IF(ISNUMBER(T94),IF(ISNUMBER(T99),IF(T94&gt;T99,1.0,IF(T94=T99,0.5,0.0)),""),"")</f>
        <v/>
      </c>
      <c r="AF94">
        <f>IF(ISNUMBER(T94),IF(ISNUMBER(T100),IF(T94&gt;T100,1.0,IF(T94=T100,0.5,0.0)),""),"")</f>
        <v/>
      </c>
      <c r="AG94" s="14">
        <f>IF(AND(ISNUMBER(S94),ISNUMBER(S95)),VLOOKUP(ABS(S94-S95),'IMP Table'!$A$2:$C$26,3)*SIGN(S94-S95),0)</f>
        <v/>
      </c>
      <c r="AH94">
        <f>IF(AND(ISNUMBER(S94),ISNUMBER(S96)),VLOOKUP(ABS(S94-S96),'IMP Table'!$A$2:$C$26,3)*SIGN(S94-S96),0)</f>
        <v/>
      </c>
      <c r="AI94">
        <f>IF(AND(ISNUMBER(S94),ISNUMBER(S97)),VLOOKUP(ABS(S94-S97),'IMP Table'!$A$2:$C$26,3)*SIGN(S94-S97),0)</f>
        <v/>
      </c>
      <c r="AJ94">
        <f>IF(AND(ISNUMBER(S94),ISNUMBER(S98)),VLOOKUP(ABS(S94-S98),'IMP Table'!$A$2:$C$26,3)*SIGN(S94-S98),0)</f>
        <v/>
      </c>
      <c r="AK94">
        <f>IF(AND(ISNUMBER(S94),ISNUMBER(S99)),VLOOKUP(ABS(S94-S99),'IMP Table'!$A$2:$C$26,3)*SIGN(S94-S99),0)</f>
        <v/>
      </c>
      <c r="AL94">
        <f>IF(AND(ISNUMBER(S94),ISNUMBER(S100)),VLOOKUP(ABS(S94-S100),'IMP Table'!$A$2:$C$26,3)*SIGN(S94-S100),0)</f>
        <v/>
      </c>
      <c r="AM94">
        <f>IF(AND(ISNUMBER(T94),ISNUMBER(T95)),VLOOKUP(ABS(T94-T95),'IMP Table'!$A$2:$C$26,3)*SIGN(T94-T95),0)</f>
        <v/>
      </c>
      <c r="AN94">
        <f>IF(AND(ISNUMBER(T94),ISNUMBER(T96)),VLOOKUP(ABS(T94-T96),'IMP Table'!$A$2:$C$26,3)*SIGN(T94-T96),0)</f>
        <v/>
      </c>
      <c r="AO94">
        <f>IF(AND(ISNUMBER(T94),ISNUMBER(T97)),VLOOKUP(ABS(T94-T97),'IMP Table'!$A$2:$C$26,3)*SIGN(T94-T97),0)</f>
        <v/>
      </c>
      <c r="AP94">
        <f>IF(AND(ISNUMBER(T94),ISNUMBER(T98)),VLOOKUP(ABS(T94-T98),'IMP Table'!$A$2:$C$26,3)*SIGN(T94-T98),0)</f>
        <v/>
      </c>
      <c r="AQ94">
        <f>IF(AND(ISNUMBER(T94),ISNUMBER(T99)),VLOOKUP(ABS(T94-T99),'IMP Table'!$A$2:$C$26,3)*SIGN(T94-T99),0)</f>
        <v/>
      </c>
      <c r="AR94">
        <f>IF(AND(ISNUMBER(T94),ISNUMBER(T100)),VLOOKUP(ABS(T94-T100),'IMP Table'!$A$2:$C$26,3)*SIGN(T94-T100),0)</f>
        <v/>
      </c>
    </row>
    <row r="95">
      <c r="B95" s="10">
        <f>'By Round'!A129</f>
        <v/>
      </c>
      <c r="C95" s="10">
        <f>'By Round'!B139</f>
        <v/>
      </c>
      <c r="D95" s="10">
        <f>'By Round'!C139</f>
        <v/>
      </c>
      <c r="E95" s="10">
        <f>'By Round'!D139</f>
        <v/>
      </c>
      <c r="F95" s="10">
        <f>IF(ISBLANK('By Round'!F140),"",'By Round'!F140)</f>
        <v/>
      </c>
      <c r="G95">
        <f>IF(ISBLANK('By Round'!G140),"",'By Round'!G140)</f>
        <v/>
      </c>
      <c r="H95">
        <f>IF(ISBLANK('By Round'!H140),"",'By Round'!H140)</f>
        <v/>
      </c>
      <c r="I95">
        <f>IF(ISBLANK('By Round'!I140),"",'By Round'!I140)</f>
        <v/>
      </c>
      <c r="J95">
        <f>IF(ISBLANK('By Round'!J140),"",'By Round'!J140)</f>
        <v/>
      </c>
      <c r="K95">
        <f>IF(ISBLANK('By Round'!K140),"",'By Round'!K140)</f>
        <v/>
      </c>
      <c r="L95">
        <f>IF(ISBLANK('By Round'!L140),"",'By Round'!L140)</f>
        <v/>
      </c>
      <c r="M95" s="11">
        <f>AVERAGE(AG95:AL95)</f>
        <v/>
      </c>
      <c r="N95" s="12">
        <f>AVERAGE(AM95:AR95)</f>
        <v/>
      </c>
      <c r="O95" s="13">
        <f>IF(COUNT(U95:Z95)&gt;0,Q95/COUNT(U95:Z95),0.5)</f>
        <v/>
      </c>
      <c r="P95" s="13">
        <f>IF(COUNT(AA95:AF95)&gt;0,R95/COUNT(AA95:AF95),0.5)</f>
        <v/>
      </c>
      <c r="Q95" s="5">
        <f>SUM(U95:Z95)</f>
        <v/>
      </c>
      <c r="R95" s="5">
        <f>SUM(AA95:AF95)</f>
        <v/>
      </c>
      <c r="S95" s="14">
        <f>IF(ISNUMBER(K95),K95,IF(ISNUMBER(L95),-L95,""))</f>
        <v/>
      </c>
      <c r="T95">
        <f>IF(ISNUMBER(L95),L95,IF(ISNUMBER(K95),-K95,""))</f>
        <v/>
      </c>
      <c r="U95" s="14">
        <f>IF(ISNUMBER(S95),IF(ISNUMBER(S94),IF(S95&gt;S94,1.0,IF(S95=S94,0.5,0.0)),""),"")</f>
        <v/>
      </c>
      <c r="V95">
        <f>IF(ISNUMBER(S95),IF(ISNUMBER(S96),IF(S95&gt;S96,1.0,IF(S95=S96,0.5,0.0)),""),"")</f>
        <v/>
      </c>
      <c r="W95">
        <f>IF(ISNUMBER(S95),IF(ISNUMBER(S97),IF(S95&gt;S97,1.0,IF(S95=S97,0.5,0.0)),""),"")</f>
        <v/>
      </c>
      <c r="X95">
        <f>IF(ISNUMBER(S95),IF(ISNUMBER(S98),IF(S95&gt;S98,1.0,IF(S95=S98,0.5,0.0)),""),"")</f>
        <v/>
      </c>
      <c r="Y95">
        <f>IF(ISNUMBER(S95),IF(ISNUMBER(S99),IF(S95&gt;S99,1.0,IF(S95=S99,0.5,0.0)),""),"")</f>
        <v/>
      </c>
      <c r="Z95">
        <f>IF(ISNUMBER(S95),IF(ISNUMBER(S100),IF(S95&gt;S100,1.0,IF(S95=S100,0.5,0.0)),""),"")</f>
        <v/>
      </c>
      <c r="AA95">
        <f>IF(ISNUMBER(T95),IF(ISNUMBER(T94),IF(T95&gt;T94,1.0,IF(T95=T94,0.5,0.0)),""),"")</f>
        <v/>
      </c>
      <c r="AB95">
        <f>IF(ISNUMBER(T95),IF(ISNUMBER(T96),IF(T95&gt;T96,1.0,IF(T95=T96,0.5,0.0)),""),"")</f>
        <v/>
      </c>
      <c r="AC95">
        <f>IF(ISNUMBER(T95),IF(ISNUMBER(T97),IF(T95&gt;T97,1.0,IF(T95=T97,0.5,0.0)),""),"")</f>
        <v/>
      </c>
      <c r="AD95">
        <f>IF(ISNUMBER(T95),IF(ISNUMBER(T98),IF(T95&gt;T98,1.0,IF(T95=T98,0.5,0.0)),""),"")</f>
        <v/>
      </c>
      <c r="AE95">
        <f>IF(ISNUMBER(T95),IF(ISNUMBER(T99),IF(T95&gt;T99,1.0,IF(T95=T99,0.5,0.0)),""),"")</f>
        <v/>
      </c>
      <c r="AF95">
        <f>IF(ISNUMBER(T95),IF(ISNUMBER(T100),IF(T95&gt;T100,1.0,IF(T95=T100,0.5,0.0)),""),"")</f>
        <v/>
      </c>
      <c r="AG95" s="14">
        <f>IF(AND(ISNUMBER(S95),ISNUMBER(S94)),VLOOKUP(ABS(S95-S94),'IMP Table'!$A$2:$C$26,3)*SIGN(S95-S94),0)</f>
        <v/>
      </c>
      <c r="AH95">
        <f>IF(AND(ISNUMBER(S95),ISNUMBER(S96)),VLOOKUP(ABS(S95-S96),'IMP Table'!$A$2:$C$26,3)*SIGN(S95-S96),0)</f>
        <v/>
      </c>
      <c r="AI95">
        <f>IF(AND(ISNUMBER(S95),ISNUMBER(S97)),VLOOKUP(ABS(S95-S97),'IMP Table'!$A$2:$C$26,3)*SIGN(S95-S97),0)</f>
        <v/>
      </c>
      <c r="AJ95">
        <f>IF(AND(ISNUMBER(S95),ISNUMBER(S98)),VLOOKUP(ABS(S95-S98),'IMP Table'!$A$2:$C$26,3)*SIGN(S95-S98),0)</f>
        <v/>
      </c>
      <c r="AK95">
        <f>IF(AND(ISNUMBER(S95),ISNUMBER(S99)),VLOOKUP(ABS(S95-S99),'IMP Table'!$A$2:$C$26,3)*SIGN(S95-S99),0)</f>
        <v/>
      </c>
      <c r="AL95">
        <f>IF(AND(ISNUMBER(S95),ISNUMBER(S100)),VLOOKUP(ABS(S95-S100),'IMP Table'!$A$2:$C$26,3)*SIGN(S95-S100),0)</f>
        <v/>
      </c>
      <c r="AM95">
        <f>IF(AND(ISNUMBER(T95),ISNUMBER(T94)),VLOOKUP(ABS(T95-T94),'IMP Table'!$A$2:$C$26,3)*SIGN(T95-T94),0)</f>
        <v/>
      </c>
      <c r="AN95">
        <f>IF(AND(ISNUMBER(T95),ISNUMBER(T96)),VLOOKUP(ABS(T95-T96),'IMP Table'!$A$2:$C$26,3)*SIGN(T95-T96),0)</f>
        <v/>
      </c>
      <c r="AO95">
        <f>IF(AND(ISNUMBER(T95),ISNUMBER(T97)),VLOOKUP(ABS(T95-T97),'IMP Table'!$A$2:$C$26,3)*SIGN(T95-T97),0)</f>
        <v/>
      </c>
      <c r="AP95">
        <f>IF(AND(ISNUMBER(T95),ISNUMBER(T98)),VLOOKUP(ABS(T95-T98),'IMP Table'!$A$2:$C$26,3)*SIGN(T95-T98),0)</f>
        <v/>
      </c>
      <c r="AQ95">
        <f>IF(AND(ISNUMBER(T95),ISNUMBER(T99)),VLOOKUP(ABS(T95-T99),'IMP Table'!$A$2:$C$26,3)*SIGN(T95-T99),0)</f>
        <v/>
      </c>
      <c r="AR95">
        <f>IF(AND(ISNUMBER(T95),ISNUMBER(T100)),VLOOKUP(ABS(T95-T100),'IMP Table'!$A$2:$C$26,3)*SIGN(T95-T100),0)</f>
        <v/>
      </c>
    </row>
    <row r="96">
      <c r="B96" s="10">
        <f>'By Round'!A45</f>
        <v/>
      </c>
      <c r="C96" s="10">
        <f>'By Round'!B49</f>
        <v/>
      </c>
      <c r="D96" s="10">
        <f>'By Round'!C49</f>
        <v/>
      </c>
      <c r="E96" s="10">
        <f>'By Round'!D49</f>
        <v/>
      </c>
      <c r="F96" s="10">
        <f>IF(ISBLANK('By Round'!F50),"",'By Round'!F50)</f>
        <v/>
      </c>
      <c r="G96">
        <f>IF(ISBLANK('By Round'!G50),"",'By Round'!G50)</f>
        <v/>
      </c>
      <c r="H96">
        <f>IF(ISBLANK('By Round'!H50),"",'By Round'!H50)</f>
        <v/>
      </c>
      <c r="I96">
        <f>IF(ISBLANK('By Round'!I50),"",'By Round'!I50)</f>
        <v/>
      </c>
      <c r="J96">
        <f>IF(ISBLANK('By Round'!J50),"",'By Round'!J50)</f>
        <v/>
      </c>
      <c r="K96">
        <f>IF(ISBLANK('By Round'!K50),"",'By Round'!K50)</f>
        <v/>
      </c>
      <c r="L96">
        <f>IF(ISBLANK('By Round'!L50),"",'By Round'!L50)</f>
        <v/>
      </c>
      <c r="M96" s="11">
        <f>AVERAGE(AG96:AL96)</f>
        <v/>
      </c>
      <c r="N96" s="12">
        <f>AVERAGE(AM96:AR96)</f>
        <v/>
      </c>
      <c r="O96" s="13">
        <f>IF(COUNT(U96:Z96)&gt;0,Q96/COUNT(U96:Z96),0.5)</f>
        <v/>
      </c>
      <c r="P96" s="13">
        <f>IF(COUNT(AA96:AF96)&gt;0,R96/COUNT(AA96:AF96),0.5)</f>
        <v/>
      </c>
      <c r="Q96" s="5">
        <f>SUM(U96:Z96)</f>
        <v/>
      </c>
      <c r="R96" s="5">
        <f>SUM(AA96:AF96)</f>
        <v/>
      </c>
      <c r="S96" s="14">
        <f>IF(ISNUMBER(K96),K96,IF(ISNUMBER(L96),-L96,""))</f>
        <v/>
      </c>
      <c r="T96">
        <f>IF(ISNUMBER(L96),L96,IF(ISNUMBER(K96),-K96,""))</f>
        <v/>
      </c>
      <c r="U96" s="14">
        <f>IF(ISNUMBER(S96),IF(ISNUMBER(S94),IF(S96&gt;S94,1.0,IF(S96=S94,0.5,0.0)),""),"")</f>
        <v/>
      </c>
      <c r="V96">
        <f>IF(ISNUMBER(S96),IF(ISNUMBER(S95),IF(S96&gt;S95,1.0,IF(S96=S95,0.5,0.0)),""),"")</f>
        <v/>
      </c>
      <c r="W96">
        <f>IF(ISNUMBER(S96),IF(ISNUMBER(S97),IF(S96&gt;S97,1.0,IF(S96=S97,0.5,0.0)),""),"")</f>
        <v/>
      </c>
      <c r="X96">
        <f>IF(ISNUMBER(S96),IF(ISNUMBER(S98),IF(S96&gt;S98,1.0,IF(S96=S98,0.5,0.0)),""),"")</f>
        <v/>
      </c>
      <c r="Y96">
        <f>IF(ISNUMBER(S96),IF(ISNUMBER(S99),IF(S96&gt;S99,1.0,IF(S96=S99,0.5,0.0)),""),"")</f>
        <v/>
      </c>
      <c r="Z96">
        <f>IF(ISNUMBER(S96),IF(ISNUMBER(S100),IF(S96&gt;S100,1.0,IF(S96=S100,0.5,0.0)),""),"")</f>
        <v/>
      </c>
      <c r="AA96">
        <f>IF(ISNUMBER(T96),IF(ISNUMBER(T94),IF(T96&gt;T94,1.0,IF(T96=T94,0.5,0.0)),""),"")</f>
        <v/>
      </c>
      <c r="AB96">
        <f>IF(ISNUMBER(T96),IF(ISNUMBER(T95),IF(T96&gt;T95,1.0,IF(T96=T95,0.5,0.0)),""),"")</f>
        <v/>
      </c>
      <c r="AC96">
        <f>IF(ISNUMBER(T96),IF(ISNUMBER(T97),IF(T96&gt;T97,1.0,IF(T96=T97,0.5,0.0)),""),"")</f>
        <v/>
      </c>
      <c r="AD96">
        <f>IF(ISNUMBER(T96),IF(ISNUMBER(T98),IF(T96&gt;T98,1.0,IF(T96=T98,0.5,0.0)),""),"")</f>
        <v/>
      </c>
      <c r="AE96">
        <f>IF(ISNUMBER(T96),IF(ISNUMBER(T99),IF(T96&gt;T99,1.0,IF(T96=T99,0.5,0.0)),""),"")</f>
        <v/>
      </c>
      <c r="AF96">
        <f>IF(ISNUMBER(T96),IF(ISNUMBER(T100),IF(T96&gt;T100,1.0,IF(T96=T100,0.5,0.0)),""),"")</f>
        <v/>
      </c>
      <c r="AG96" s="14">
        <f>IF(AND(ISNUMBER(S96),ISNUMBER(S94)),VLOOKUP(ABS(S96-S94),'IMP Table'!$A$2:$C$26,3)*SIGN(S96-S94),0)</f>
        <v/>
      </c>
      <c r="AH96">
        <f>IF(AND(ISNUMBER(S96),ISNUMBER(S95)),VLOOKUP(ABS(S96-S95),'IMP Table'!$A$2:$C$26,3)*SIGN(S96-S95),0)</f>
        <v/>
      </c>
      <c r="AI96">
        <f>IF(AND(ISNUMBER(S96),ISNUMBER(S97)),VLOOKUP(ABS(S96-S97),'IMP Table'!$A$2:$C$26,3)*SIGN(S96-S97),0)</f>
        <v/>
      </c>
      <c r="AJ96">
        <f>IF(AND(ISNUMBER(S96),ISNUMBER(S98)),VLOOKUP(ABS(S96-S98),'IMP Table'!$A$2:$C$26,3)*SIGN(S96-S98),0)</f>
        <v/>
      </c>
      <c r="AK96">
        <f>IF(AND(ISNUMBER(S96),ISNUMBER(S99)),VLOOKUP(ABS(S96-S99),'IMP Table'!$A$2:$C$26,3)*SIGN(S96-S99),0)</f>
        <v/>
      </c>
      <c r="AL96">
        <f>IF(AND(ISNUMBER(S96),ISNUMBER(S100)),VLOOKUP(ABS(S96-S100),'IMP Table'!$A$2:$C$26,3)*SIGN(S96-S100),0)</f>
        <v/>
      </c>
      <c r="AM96">
        <f>IF(AND(ISNUMBER(T96),ISNUMBER(T94)),VLOOKUP(ABS(T96-T94),'IMP Table'!$A$2:$C$26,3)*SIGN(T96-T94),0)</f>
        <v/>
      </c>
      <c r="AN96">
        <f>IF(AND(ISNUMBER(T96),ISNUMBER(T95)),VLOOKUP(ABS(T96-T95),'IMP Table'!$A$2:$C$26,3)*SIGN(T96-T95),0)</f>
        <v/>
      </c>
      <c r="AO96">
        <f>IF(AND(ISNUMBER(T96),ISNUMBER(T97)),VLOOKUP(ABS(T96-T97),'IMP Table'!$A$2:$C$26,3)*SIGN(T96-T97),0)</f>
        <v/>
      </c>
      <c r="AP96">
        <f>IF(AND(ISNUMBER(T96),ISNUMBER(T98)),VLOOKUP(ABS(T96-T98),'IMP Table'!$A$2:$C$26,3)*SIGN(T96-T98),0)</f>
        <v/>
      </c>
      <c r="AQ96">
        <f>IF(AND(ISNUMBER(T96),ISNUMBER(T99)),VLOOKUP(ABS(T96-T99),'IMP Table'!$A$2:$C$26,3)*SIGN(T96-T99),0)</f>
        <v/>
      </c>
      <c r="AR96">
        <f>IF(AND(ISNUMBER(T96),ISNUMBER(T100)),VLOOKUP(ABS(T96-T100),'IMP Table'!$A$2:$C$26,3)*SIGN(T96-T100),0)</f>
        <v/>
      </c>
    </row>
    <row r="97">
      <c r="B97" s="10">
        <f>'By Round'!A59</f>
        <v/>
      </c>
      <c r="C97" s="10">
        <f>'By Round'!B61</f>
        <v/>
      </c>
      <c r="D97" s="10">
        <f>'By Round'!C61</f>
        <v/>
      </c>
      <c r="E97" s="10">
        <f>'By Round'!D61</f>
        <v/>
      </c>
      <c r="F97" s="10">
        <f>IF(ISBLANK('By Round'!F62),"",'By Round'!F62)</f>
        <v/>
      </c>
      <c r="G97">
        <f>IF(ISBLANK('By Round'!G62),"",'By Round'!G62)</f>
        <v/>
      </c>
      <c r="H97">
        <f>IF(ISBLANK('By Round'!H62),"",'By Round'!H62)</f>
        <v/>
      </c>
      <c r="I97">
        <f>IF(ISBLANK('By Round'!I62),"",'By Round'!I62)</f>
        <v/>
      </c>
      <c r="J97">
        <f>IF(ISBLANK('By Round'!J62),"",'By Round'!J62)</f>
        <v/>
      </c>
      <c r="K97">
        <f>IF(ISBLANK('By Round'!K62),"",'By Round'!K62)</f>
        <v/>
      </c>
      <c r="L97">
        <f>IF(ISBLANK('By Round'!L62),"",'By Round'!L62)</f>
        <v/>
      </c>
      <c r="M97" s="11">
        <f>AVERAGE(AG97:AL97)</f>
        <v/>
      </c>
      <c r="N97" s="12">
        <f>AVERAGE(AM97:AR97)</f>
        <v/>
      </c>
      <c r="O97" s="13">
        <f>IF(COUNT(U97:Z97)&gt;0,Q97/COUNT(U97:Z97),0.5)</f>
        <v/>
      </c>
      <c r="P97" s="13">
        <f>IF(COUNT(AA97:AF97)&gt;0,R97/COUNT(AA97:AF97),0.5)</f>
        <v/>
      </c>
      <c r="Q97" s="5">
        <f>SUM(U97:Z97)</f>
        <v/>
      </c>
      <c r="R97" s="5">
        <f>SUM(AA97:AF97)</f>
        <v/>
      </c>
      <c r="S97" s="14">
        <f>IF(ISNUMBER(K97),K97,IF(ISNUMBER(L97),-L97,""))</f>
        <v/>
      </c>
      <c r="T97">
        <f>IF(ISNUMBER(L97),L97,IF(ISNUMBER(K97),-K97,""))</f>
        <v/>
      </c>
      <c r="U97" s="14">
        <f>IF(ISNUMBER(S97),IF(ISNUMBER(S94),IF(S97&gt;S94,1.0,IF(S97=S94,0.5,0.0)),""),"")</f>
        <v/>
      </c>
      <c r="V97">
        <f>IF(ISNUMBER(S97),IF(ISNUMBER(S95),IF(S97&gt;S95,1.0,IF(S97=S95,0.5,0.0)),""),"")</f>
        <v/>
      </c>
      <c r="W97">
        <f>IF(ISNUMBER(S97),IF(ISNUMBER(S96),IF(S97&gt;S96,1.0,IF(S97=S96,0.5,0.0)),""),"")</f>
        <v/>
      </c>
      <c r="X97">
        <f>IF(ISNUMBER(S97),IF(ISNUMBER(S98),IF(S97&gt;S98,1.0,IF(S97=S98,0.5,0.0)),""),"")</f>
        <v/>
      </c>
      <c r="Y97">
        <f>IF(ISNUMBER(S97),IF(ISNUMBER(S99),IF(S97&gt;S99,1.0,IF(S97=S99,0.5,0.0)),""),"")</f>
        <v/>
      </c>
      <c r="Z97">
        <f>IF(ISNUMBER(S97),IF(ISNUMBER(S100),IF(S97&gt;S100,1.0,IF(S97=S100,0.5,0.0)),""),"")</f>
        <v/>
      </c>
      <c r="AA97">
        <f>IF(ISNUMBER(T97),IF(ISNUMBER(T94),IF(T97&gt;T94,1.0,IF(T97=T94,0.5,0.0)),""),"")</f>
        <v/>
      </c>
      <c r="AB97">
        <f>IF(ISNUMBER(T97),IF(ISNUMBER(T95),IF(T97&gt;T95,1.0,IF(T97=T95,0.5,0.0)),""),"")</f>
        <v/>
      </c>
      <c r="AC97">
        <f>IF(ISNUMBER(T97),IF(ISNUMBER(T96),IF(T97&gt;T96,1.0,IF(T97=T96,0.5,0.0)),""),"")</f>
        <v/>
      </c>
      <c r="AD97">
        <f>IF(ISNUMBER(T97),IF(ISNUMBER(T98),IF(T97&gt;T98,1.0,IF(T97=T98,0.5,0.0)),""),"")</f>
        <v/>
      </c>
      <c r="AE97">
        <f>IF(ISNUMBER(T97),IF(ISNUMBER(T99),IF(T97&gt;T99,1.0,IF(T97=T99,0.5,0.0)),""),"")</f>
        <v/>
      </c>
      <c r="AF97">
        <f>IF(ISNUMBER(T97),IF(ISNUMBER(T100),IF(T97&gt;T100,1.0,IF(T97=T100,0.5,0.0)),""),"")</f>
        <v/>
      </c>
      <c r="AG97" s="14">
        <f>IF(AND(ISNUMBER(S97),ISNUMBER(S94)),VLOOKUP(ABS(S97-S94),'IMP Table'!$A$2:$C$26,3)*SIGN(S97-S94),0)</f>
        <v/>
      </c>
      <c r="AH97">
        <f>IF(AND(ISNUMBER(S97),ISNUMBER(S95)),VLOOKUP(ABS(S97-S95),'IMP Table'!$A$2:$C$26,3)*SIGN(S97-S95),0)</f>
        <v/>
      </c>
      <c r="AI97">
        <f>IF(AND(ISNUMBER(S97),ISNUMBER(S96)),VLOOKUP(ABS(S97-S96),'IMP Table'!$A$2:$C$26,3)*SIGN(S97-S96),0)</f>
        <v/>
      </c>
      <c r="AJ97">
        <f>IF(AND(ISNUMBER(S97),ISNUMBER(S98)),VLOOKUP(ABS(S97-S98),'IMP Table'!$A$2:$C$26,3)*SIGN(S97-S98),0)</f>
        <v/>
      </c>
      <c r="AK97">
        <f>IF(AND(ISNUMBER(S97),ISNUMBER(S99)),VLOOKUP(ABS(S97-S99),'IMP Table'!$A$2:$C$26,3)*SIGN(S97-S99),0)</f>
        <v/>
      </c>
      <c r="AL97">
        <f>IF(AND(ISNUMBER(S97),ISNUMBER(S100)),VLOOKUP(ABS(S97-S100),'IMP Table'!$A$2:$C$26,3)*SIGN(S97-S100),0)</f>
        <v/>
      </c>
      <c r="AM97">
        <f>IF(AND(ISNUMBER(T97),ISNUMBER(T94)),VLOOKUP(ABS(T97-T94),'IMP Table'!$A$2:$C$26,3)*SIGN(T97-T94),0)</f>
        <v/>
      </c>
      <c r="AN97">
        <f>IF(AND(ISNUMBER(T97),ISNUMBER(T95)),VLOOKUP(ABS(T97-T95),'IMP Table'!$A$2:$C$26,3)*SIGN(T97-T95),0)</f>
        <v/>
      </c>
      <c r="AO97">
        <f>IF(AND(ISNUMBER(T97),ISNUMBER(T96)),VLOOKUP(ABS(T97-T96),'IMP Table'!$A$2:$C$26,3)*SIGN(T97-T96),0)</f>
        <v/>
      </c>
      <c r="AP97">
        <f>IF(AND(ISNUMBER(T97),ISNUMBER(T98)),VLOOKUP(ABS(T97-T98),'IMP Table'!$A$2:$C$26,3)*SIGN(T97-T98),0)</f>
        <v/>
      </c>
      <c r="AQ97">
        <f>IF(AND(ISNUMBER(T97),ISNUMBER(T99)),VLOOKUP(ABS(T97-T99),'IMP Table'!$A$2:$C$26,3)*SIGN(T97-T99),0)</f>
        <v/>
      </c>
      <c r="AR97">
        <f>IF(AND(ISNUMBER(T97),ISNUMBER(T100)),VLOOKUP(ABS(T97-T100),'IMP Table'!$A$2:$C$26,3)*SIGN(T97-T100),0)</f>
        <v/>
      </c>
    </row>
    <row r="98">
      <c r="B98" s="10">
        <f>'By Round'!A31</f>
        <v/>
      </c>
      <c r="C98" s="10">
        <f>'By Round'!B37</f>
        <v/>
      </c>
      <c r="D98" s="10">
        <f>'By Round'!C37</f>
        <v/>
      </c>
      <c r="E98" s="10">
        <f>'By Round'!D37</f>
        <v/>
      </c>
      <c r="F98" s="10">
        <f>IF(ISBLANK('By Round'!F38),"",'By Round'!F38)</f>
        <v/>
      </c>
      <c r="G98">
        <f>IF(ISBLANK('By Round'!G38),"",'By Round'!G38)</f>
        <v/>
      </c>
      <c r="H98">
        <f>IF(ISBLANK('By Round'!H38),"",'By Round'!H38)</f>
        <v/>
      </c>
      <c r="I98">
        <f>IF(ISBLANK('By Round'!I38),"",'By Round'!I38)</f>
        <v/>
      </c>
      <c r="J98">
        <f>IF(ISBLANK('By Round'!J38),"",'By Round'!J38)</f>
        <v/>
      </c>
      <c r="K98">
        <f>IF(ISBLANK('By Round'!K38),"",'By Round'!K38)</f>
        <v/>
      </c>
      <c r="L98">
        <f>IF(ISBLANK('By Round'!L38),"",'By Round'!L38)</f>
        <v/>
      </c>
      <c r="M98" s="11">
        <f>AVERAGE(AG98:AL98)</f>
        <v/>
      </c>
      <c r="N98" s="12">
        <f>AVERAGE(AM98:AR98)</f>
        <v/>
      </c>
      <c r="O98" s="13">
        <f>IF(COUNT(U98:Z98)&gt;0,Q98/COUNT(U98:Z98),0.5)</f>
        <v/>
      </c>
      <c r="P98" s="13">
        <f>IF(COUNT(AA98:AF98)&gt;0,R98/COUNT(AA98:AF98),0.5)</f>
        <v/>
      </c>
      <c r="Q98" s="5">
        <f>SUM(U98:Z98)</f>
        <v/>
      </c>
      <c r="R98" s="5">
        <f>SUM(AA98:AF98)</f>
        <v/>
      </c>
      <c r="S98" s="14">
        <f>IF(ISNUMBER(K98),K98,IF(ISNUMBER(L98),-L98,""))</f>
        <v/>
      </c>
      <c r="T98">
        <f>IF(ISNUMBER(L98),L98,IF(ISNUMBER(K98),-K98,""))</f>
        <v/>
      </c>
      <c r="U98" s="14">
        <f>IF(ISNUMBER(S98),IF(ISNUMBER(S94),IF(S98&gt;S94,1.0,IF(S98=S94,0.5,0.0)),""),"")</f>
        <v/>
      </c>
      <c r="V98">
        <f>IF(ISNUMBER(S98),IF(ISNUMBER(S95),IF(S98&gt;S95,1.0,IF(S98=S95,0.5,0.0)),""),"")</f>
        <v/>
      </c>
      <c r="W98">
        <f>IF(ISNUMBER(S98),IF(ISNUMBER(S96),IF(S98&gt;S96,1.0,IF(S98=S96,0.5,0.0)),""),"")</f>
        <v/>
      </c>
      <c r="X98">
        <f>IF(ISNUMBER(S98),IF(ISNUMBER(S97),IF(S98&gt;S97,1.0,IF(S98=S97,0.5,0.0)),""),"")</f>
        <v/>
      </c>
      <c r="Y98">
        <f>IF(ISNUMBER(S98),IF(ISNUMBER(S99),IF(S98&gt;S99,1.0,IF(S98=S99,0.5,0.0)),""),"")</f>
        <v/>
      </c>
      <c r="Z98">
        <f>IF(ISNUMBER(S98),IF(ISNUMBER(S100),IF(S98&gt;S100,1.0,IF(S98=S100,0.5,0.0)),""),"")</f>
        <v/>
      </c>
      <c r="AA98">
        <f>IF(ISNUMBER(T98),IF(ISNUMBER(T94),IF(T98&gt;T94,1.0,IF(T98=T94,0.5,0.0)),""),"")</f>
        <v/>
      </c>
      <c r="AB98">
        <f>IF(ISNUMBER(T98),IF(ISNUMBER(T95),IF(T98&gt;T95,1.0,IF(T98=T95,0.5,0.0)),""),"")</f>
        <v/>
      </c>
      <c r="AC98">
        <f>IF(ISNUMBER(T98),IF(ISNUMBER(T96),IF(T98&gt;T96,1.0,IF(T98=T96,0.5,0.0)),""),"")</f>
        <v/>
      </c>
      <c r="AD98">
        <f>IF(ISNUMBER(T98),IF(ISNUMBER(T97),IF(T98&gt;T97,1.0,IF(T98=T97,0.5,0.0)),""),"")</f>
        <v/>
      </c>
      <c r="AE98">
        <f>IF(ISNUMBER(T98),IF(ISNUMBER(T99),IF(T98&gt;T99,1.0,IF(T98=T99,0.5,0.0)),""),"")</f>
        <v/>
      </c>
      <c r="AF98">
        <f>IF(ISNUMBER(T98),IF(ISNUMBER(T100),IF(T98&gt;T100,1.0,IF(T98=T100,0.5,0.0)),""),"")</f>
        <v/>
      </c>
      <c r="AG98" s="14">
        <f>IF(AND(ISNUMBER(S98),ISNUMBER(S94)),VLOOKUP(ABS(S98-S94),'IMP Table'!$A$2:$C$26,3)*SIGN(S98-S94),0)</f>
        <v/>
      </c>
      <c r="AH98">
        <f>IF(AND(ISNUMBER(S98),ISNUMBER(S95)),VLOOKUP(ABS(S98-S95),'IMP Table'!$A$2:$C$26,3)*SIGN(S98-S95),0)</f>
        <v/>
      </c>
      <c r="AI98">
        <f>IF(AND(ISNUMBER(S98),ISNUMBER(S96)),VLOOKUP(ABS(S98-S96),'IMP Table'!$A$2:$C$26,3)*SIGN(S98-S96),0)</f>
        <v/>
      </c>
      <c r="AJ98">
        <f>IF(AND(ISNUMBER(S98),ISNUMBER(S97)),VLOOKUP(ABS(S98-S97),'IMP Table'!$A$2:$C$26,3)*SIGN(S98-S97),0)</f>
        <v/>
      </c>
      <c r="AK98">
        <f>IF(AND(ISNUMBER(S98),ISNUMBER(S99)),VLOOKUP(ABS(S98-S99),'IMP Table'!$A$2:$C$26,3)*SIGN(S98-S99),0)</f>
        <v/>
      </c>
      <c r="AL98">
        <f>IF(AND(ISNUMBER(S98),ISNUMBER(S100)),VLOOKUP(ABS(S98-S100),'IMP Table'!$A$2:$C$26,3)*SIGN(S98-S100),0)</f>
        <v/>
      </c>
      <c r="AM98">
        <f>IF(AND(ISNUMBER(T98),ISNUMBER(T94)),VLOOKUP(ABS(T98-T94),'IMP Table'!$A$2:$C$26,3)*SIGN(T98-T94),0)</f>
        <v/>
      </c>
      <c r="AN98">
        <f>IF(AND(ISNUMBER(T98),ISNUMBER(T95)),VLOOKUP(ABS(T98-T95),'IMP Table'!$A$2:$C$26,3)*SIGN(T98-T95),0)</f>
        <v/>
      </c>
      <c r="AO98">
        <f>IF(AND(ISNUMBER(T98),ISNUMBER(T96)),VLOOKUP(ABS(T98-T96),'IMP Table'!$A$2:$C$26,3)*SIGN(T98-T96),0)</f>
        <v/>
      </c>
      <c r="AP98">
        <f>IF(AND(ISNUMBER(T98),ISNUMBER(T97)),VLOOKUP(ABS(T98-T97),'IMP Table'!$A$2:$C$26,3)*SIGN(T98-T97),0)</f>
        <v/>
      </c>
      <c r="AQ98">
        <f>IF(AND(ISNUMBER(T98),ISNUMBER(T99)),VLOOKUP(ABS(T98-T99),'IMP Table'!$A$2:$C$26,3)*SIGN(T98-T99),0)</f>
        <v/>
      </c>
      <c r="AR98">
        <f>IF(AND(ISNUMBER(T98),ISNUMBER(T100)),VLOOKUP(ABS(T98-T100),'IMP Table'!$A$2:$C$26,3)*SIGN(T98-T100),0)</f>
        <v/>
      </c>
    </row>
    <row r="99">
      <c r="B99" s="10">
        <f>'By Round'!A115</f>
        <v/>
      </c>
      <c r="C99" s="10">
        <f>'By Round'!B127</f>
        <v/>
      </c>
      <c r="D99" s="10">
        <f>'By Round'!C127</f>
        <v/>
      </c>
      <c r="E99" s="10">
        <f>'By Round'!D127</f>
        <v/>
      </c>
      <c r="F99" s="10">
        <f>IF(ISBLANK('By Round'!F128),"",'By Round'!F128)</f>
        <v/>
      </c>
      <c r="G99">
        <f>IF(ISBLANK('By Round'!G128),"",'By Round'!G128)</f>
        <v/>
      </c>
      <c r="H99">
        <f>IF(ISBLANK('By Round'!H128),"",'By Round'!H128)</f>
        <v/>
      </c>
      <c r="I99">
        <f>IF(ISBLANK('By Round'!I128),"",'By Round'!I128)</f>
        <v/>
      </c>
      <c r="J99">
        <f>IF(ISBLANK('By Round'!J128),"",'By Round'!J128)</f>
        <v/>
      </c>
      <c r="K99">
        <f>IF(ISBLANK('By Round'!K128),"",'By Round'!K128)</f>
        <v/>
      </c>
      <c r="L99">
        <f>IF(ISBLANK('By Round'!L128),"",'By Round'!L128)</f>
        <v/>
      </c>
      <c r="M99" s="11">
        <f>AVERAGE(AG99:AL99)</f>
        <v/>
      </c>
      <c r="N99" s="12">
        <f>AVERAGE(AM99:AR99)</f>
        <v/>
      </c>
      <c r="O99" s="13">
        <f>IF(COUNT(U99:Z99)&gt;0,Q99/COUNT(U99:Z99),0.5)</f>
        <v/>
      </c>
      <c r="P99" s="13">
        <f>IF(COUNT(AA99:AF99)&gt;0,R99/COUNT(AA99:AF99),0.5)</f>
        <v/>
      </c>
      <c r="Q99" s="5">
        <f>SUM(U99:Z99)</f>
        <v/>
      </c>
      <c r="R99" s="5">
        <f>SUM(AA99:AF99)</f>
        <v/>
      </c>
      <c r="S99" s="14">
        <f>IF(ISNUMBER(K99),K99,IF(ISNUMBER(L99),-L99,""))</f>
        <v/>
      </c>
      <c r="T99">
        <f>IF(ISNUMBER(L99),L99,IF(ISNUMBER(K99),-K99,""))</f>
        <v/>
      </c>
      <c r="U99" s="14">
        <f>IF(ISNUMBER(S99),IF(ISNUMBER(S94),IF(S99&gt;S94,1.0,IF(S99=S94,0.5,0.0)),""),"")</f>
        <v/>
      </c>
      <c r="V99">
        <f>IF(ISNUMBER(S99),IF(ISNUMBER(S95),IF(S99&gt;S95,1.0,IF(S99=S95,0.5,0.0)),""),"")</f>
        <v/>
      </c>
      <c r="W99">
        <f>IF(ISNUMBER(S99),IF(ISNUMBER(S96),IF(S99&gt;S96,1.0,IF(S99=S96,0.5,0.0)),""),"")</f>
        <v/>
      </c>
      <c r="X99">
        <f>IF(ISNUMBER(S99),IF(ISNUMBER(S97),IF(S99&gt;S97,1.0,IF(S99=S97,0.5,0.0)),""),"")</f>
        <v/>
      </c>
      <c r="Y99">
        <f>IF(ISNUMBER(S99),IF(ISNUMBER(S98),IF(S99&gt;S98,1.0,IF(S99=S98,0.5,0.0)),""),"")</f>
        <v/>
      </c>
      <c r="Z99">
        <f>IF(ISNUMBER(S99),IF(ISNUMBER(S100),IF(S99&gt;S100,1.0,IF(S99=S100,0.5,0.0)),""),"")</f>
        <v/>
      </c>
      <c r="AA99">
        <f>IF(ISNUMBER(T99),IF(ISNUMBER(T94),IF(T99&gt;T94,1.0,IF(T99=T94,0.5,0.0)),""),"")</f>
        <v/>
      </c>
      <c r="AB99">
        <f>IF(ISNUMBER(T99),IF(ISNUMBER(T95),IF(T99&gt;T95,1.0,IF(T99=T95,0.5,0.0)),""),"")</f>
        <v/>
      </c>
      <c r="AC99">
        <f>IF(ISNUMBER(T99),IF(ISNUMBER(T96),IF(T99&gt;T96,1.0,IF(T99=T96,0.5,0.0)),""),"")</f>
        <v/>
      </c>
      <c r="AD99">
        <f>IF(ISNUMBER(T99),IF(ISNUMBER(T97),IF(T99&gt;T97,1.0,IF(T99=T97,0.5,0.0)),""),"")</f>
        <v/>
      </c>
      <c r="AE99">
        <f>IF(ISNUMBER(T99),IF(ISNUMBER(T98),IF(T99&gt;T98,1.0,IF(T99=T98,0.5,0.0)),""),"")</f>
        <v/>
      </c>
      <c r="AF99">
        <f>IF(ISNUMBER(T99),IF(ISNUMBER(T100),IF(T99&gt;T100,1.0,IF(T99=T100,0.5,0.0)),""),"")</f>
        <v/>
      </c>
      <c r="AG99" s="14">
        <f>IF(AND(ISNUMBER(S99),ISNUMBER(S94)),VLOOKUP(ABS(S99-S94),'IMP Table'!$A$2:$C$26,3)*SIGN(S99-S94),0)</f>
        <v/>
      </c>
      <c r="AH99">
        <f>IF(AND(ISNUMBER(S99),ISNUMBER(S95)),VLOOKUP(ABS(S99-S95),'IMP Table'!$A$2:$C$26,3)*SIGN(S99-S95),0)</f>
        <v/>
      </c>
      <c r="AI99">
        <f>IF(AND(ISNUMBER(S99),ISNUMBER(S96)),VLOOKUP(ABS(S99-S96),'IMP Table'!$A$2:$C$26,3)*SIGN(S99-S96),0)</f>
        <v/>
      </c>
      <c r="AJ99">
        <f>IF(AND(ISNUMBER(S99),ISNUMBER(S97)),VLOOKUP(ABS(S99-S97),'IMP Table'!$A$2:$C$26,3)*SIGN(S99-S97),0)</f>
        <v/>
      </c>
      <c r="AK99">
        <f>IF(AND(ISNUMBER(S99),ISNUMBER(S98)),VLOOKUP(ABS(S99-S98),'IMP Table'!$A$2:$C$26,3)*SIGN(S99-S98),0)</f>
        <v/>
      </c>
      <c r="AL99">
        <f>IF(AND(ISNUMBER(S99),ISNUMBER(S100)),VLOOKUP(ABS(S99-S100),'IMP Table'!$A$2:$C$26,3)*SIGN(S99-S100),0)</f>
        <v/>
      </c>
      <c r="AM99">
        <f>IF(AND(ISNUMBER(T99),ISNUMBER(T94)),VLOOKUP(ABS(T99-T94),'IMP Table'!$A$2:$C$26,3)*SIGN(T99-T94),0)</f>
        <v/>
      </c>
      <c r="AN99">
        <f>IF(AND(ISNUMBER(T99),ISNUMBER(T95)),VLOOKUP(ABS(T99-T95),'IMP Table'!$A$2:$C$26,3)*SIGN(T99-T95),0)</f>
        <v/>
      </c>
      <c r="AO99">
        <f>IF(AND(ISNUMBER(T99),ISNUMBER(T96)),VLOOKUP(ABS(T99-T96),'IMP Table'!$A$2:$C$26,3)*SIGN(T99-T96),0)</f>
        <v/>
      </c>
      <c r="AP99">
        <f>IF(AND(ISNUMBER(T99),ISNUMBER(T97)),VLOOKUP(ABS(T99-T97),'IMP Table'!$A$2:$C$26,3)*SIGN(T99-T97),0)</f>
        <v/>
      </c>
      <c r="AQ99">
        <f>IF(AND(ISNUMBER(T99),ISNUMBER(T98)),VLOOKUP(ABS(T99-T98),'IMP Table'!$A$2:$C$26,3)*SIGN(T99-T98),0)</f>
        <v/>
      </c>
      <c r="AR99">
        <f>IF(AND(ISNUMBER(T99),ISNUMBER(T100)),VLOOKUP(ABS(T99-T100),'IMP Table'!$A$2:$C$26,3)*SIGN(T99-T100),0)</f>
        <v/>
      </c>
    </row>
    <row r="100">
      <c r="A100" s="15" t="n"/>
      <c r="B100" s="16">
        <f>'By Round'!A87</f>
        <v/>
      </c>
      <c r="C100" s="16">
        <f>'By Round'!B87</f>
        <v/>
      </c>
      <c r="D100" s="16">
        <f>'By Round'!C87</f>
        <v/>
      </c>
      <c r="E100" s="16">
        <f>'By Round'!D87</f>
        <v/>
      </c>
      <c r="F100" s="16">
        <f>IF(ISBLANK('By Round'!F88),"",'By Round'!F88)</f>
        <v/>
      </c>
      <c r="G100" s="15">
        <f>IF(ISBLANK('By Round'!G88),"",'By Round'!G88)</f>
        <v/>
      </c>
      <c r="H100" s="15">
        <f>IF(ISBLANK('By Round'!H88),"",'By Round'!H88)</f>
        <v/>
      </c>
      <c r="I100" s="15">
        <f>IF(ISBLANK('By Round'!I88),"",'By Round'!I88)</f>
        <v/>
      </c>
      <c r="J100" s="15">
        <f>IF(ISBLANK('By Round'!J88),"",'By Round'!J88)</f>
        <v/>
      </c>
      <c r="K100" s="15">
        <f>IF(ISBLANK('By Round'!K88),"",'By Round'!K88)</f>
        <v/>
      </c>
      <c r="L100" s="15">
        <f>IF(ISBLANK('By Round'!L88),"",'By Round'!L88)</f>
        <v/>
      </c>
      <c r="M100" s="17">
        <f>AVERAGE(AG100:AL100)</f>
        <v/>
      </c>
      <c r="N100" s="18">
        <f>AVERAGE(AM100:AR100)</f>
        <v/>
      </c>
      <c r="O100" s="19">
        <f>IF(COUNT(U100:Z100)&gt;0,Q100/COUNT(U100:Z100),0.5)</f>
        <v/>
      </c>
      <c r="P100" s="19">
        <f>IF(COUNT(AA100:AF100)&gt;0,R100/COUNT(AA100:AF100),0.5)</f>
        <v/>
      </c>
      <c r="Q100" s="20">
        <f>SUM(U100:Z100)</f>
        <v/>
      </c>
      <c r="R100" s="20">
        <f>SUM(AA100:AF100)</f>
        <v/>
      </c>
      <c r="S100" s="21">
        <f>IF(ISNUMBER(K100),K100,IF(ISNUMBER(L100),-L100,""))</f>
        <v/>
      </c>
      <c r="T100" s="15">
        <f>IF(ISNUMBER(L100),L100,IF(ISNUMBER(K100),-K100,""))</f>
        <v/>
      </c>
      <c r="U100" s="21">
        <f>IF(ISNUMBER(S100),IF(ISNUMBER(S94),IF(S100&gt;S94,1.0,IF(S100=S94,0.5,0.0)),""),"")</f>
        <v/>
      </c>
      <c r="V100" s="15">
        <f>IF(ISNUMBER(S100),IF(ISNUMBER(S95),IF(S100&gt;S95,1.0,IF(S100=S95,0.5,0.0)),""),"")</f>
        <v/>
      </c>
      <c r="W100" s="15">
        <f>IF(ISNUMBER(S100),IF(ISNUMBER(S96),IF(S100&gt;S96,1.0,IF(S100=S96,0.5,0.0)),""),"")</f>
        <v/>
      </c>
      <c r="X100" s="15">
        <f>IF(ISNUMBER(S100),IF(ISNUMBER(S97),IF(S100&gt;S97,1.0,IF(S100=S97,0.5,0.0)),""),"")</f>
        <v/>
      </c>
      <c r="Y100" s="15">
        <f>IF(ISNUMBER(S100),IF(ISNUMBER(S98),IF(S100&gt;S98,1.0,IF(S100=S98,0.5,0.0)),""),"")</f>
        <v/>
      </c>
      <c r="Z100" s="15">
        <f>IF(ISNUMBER(S100),IF(ISNUMBER(S99),IF(S100&gt;S99,1.0,IF(S100=S99,0.5,0.0)),""),"")</f>
        <v/>
      </c>
      <c r="AA100" s="15">
        <f>IF(ISNUMBER(T100),IF(ISNUMBER(T94),IF(T100&gt;T94,1.0,IF(T100=T94,0.5,0.0)),""),"")</f>
        <v/>
      </c>
      <c r="AB100" s="15">
        <f>IF(ISNUMBER(T100),IF(ISNUMBER(T95),IF(T100&gt;T95,1.0,IF(T100=T95,0.5,0.0)),""),"")</f>
        <v/>
      </c>
      <c r="AC100" s="15">
        <f>IF(ISNUMBER(T100),IF(ISNUMBER(T96),IF(T100&gt;T96,1.0,IF(T100=T96,0.5,0.0)),""),"")</f>
        <v/>
      </c>
      <c r="AD100" s="15">
        <f>IF(ISNUMBER(T100),IF(ISNUMBER(T97),IF(T100&gt;T97,1.0,IF(T100=T97,0.5,0.0)),""),"")</f>
        <v/>
      </c>
      <c r="AE100" s="15">
        <f>IF(ISNUMBER(T100),IF(ISNUMBER(T98),IF(T100&gt;T98,1.0,IF(T100=T98,0.5,0.0)),""),"")</f>
        <v/>
      </c>
      <c r="AF100" s="15">
        <f>IF(ISNUMBER(T100),IF(ISNUMBER(T99),IF(T100&gt;T99,1.0,IF(T100=T99,0.5,0.0)),""),"")</f>
        <v/>
      </c>
      <c r="AG100" s="21">
        <f>IF(AND(ISNUMBER(S100),ISNUMBER(S94)),VLOOKUP(ABS(S100-S94),'IMP Table'!$A$2:$C$26,3)*SIGN(S100-S94),0)</f>
        <v/>
      </c>
      <c r="AH100" s="15">
        <f>IF(AND(ISNUMBER(S100),ISNUMBER(S95)),VLOOKUP(ABS(S100-S95),'IMP Table'!$A$2:$C$26,3)*SIGN(S100-S95),0)</f>
        <v/>
      </c>
      <c r="AI100" s="15">
        <f>IF(AND(ISNUMBER(S100),ISNUMBER(S96)),VLOOKUP(ABS(S100-S96),'IMP Table'!$A$2:$C$26,3)*SIGN(S100-S96),0)</f>
        <v/>
      </c>
      <c r="AJ100" s="15">
        <f>IF(AND(ISNUMBER(S100),ISNUMBER(S97)),VLOOKUP(ABS(S100-S97),'IMP Table'!$A$2:$C$26,3)*SIGN(S100-S97),0)</f>
        <v/>
      </c>
      <c r="AK100" s="15">
        <f>IF(AND(ISNUMBER(S100),ISNUMBER(S98)),VLOOKUP(ABS(S100-S98),'IMP Table'!$A$2:$C$26,3)*SIGN(S100-S98),0)</f>
        <v/>
      </c>
      <c r="AL100" s="15">
        <f>IF(AND(ISNUMBER(S100),ISNUMBER(S99)),VLOOKUP(ABS(S100-S99),'IMP Table'!$A$2:$C$26,3)*SIGN(S100-S99),0)</f>
        <v/>
      </c>
      <c r="AM100" s="15">
        <f>IF(AND(ISNUMBER(T100),ISNUMBER(T94)),VLOOKUP(ABS(T100-T94),'IMP Table'!$A$2:$C$26,3)*SIGN(T100-T94),0)</f>
        <v/>
      </c>
      <c r="AN100" s="15">
        <f>IF(AND(ISNUMBER(T100),ISNUMBER(T95)),VLOOKUP(ABS(T100-T95),'IMP Table'!$A$2:$C$26,3)*SIGN(T100-T95),0)</f>
        <v/>
      </c>
      <c r="AO100" s="15">
        <f>IF(AND(ISNUMBER(T100),ISNUMBER(T96)),VLOOKUP(ABS(T100-T96),'IMP Table'!$A$2:$C$26,3)*SIGN(T100-T96),0)</f>
        <v/>
      </c>
      <c r="AP100" s="15">
        <f>IF(AND(ISNUMBER(T100),ISNUMBER(T97)),VLOOKUP(ABS(T100-T97),'IMP Table'!$A$2:$C$26,3)*SIGN(T100-T97),0)</f>
        <v/>
      </c>
      <c r="AQ100" s="15">
        <f>IF(AND(ISNUMBER(T100),ISNUMBER(T98)),VLOOKUP(ABS(T100-T98),'IMP Table'!$A$2:$C$26,3)*SIGN(T100-T98),0)</f>
        <v/>
      </c>
      <c r="AR100" s="15">
        <f>IF(AND(ISNUMBER(T100),ISNUMBER(T99)),VLOOKUP(ABS(T100-T99),'IMP Table'!$A$2:$C$26,3)*SIGN(T100-T99),0)</f>
        <v/>
      </c>
    </row>
    <row r="101">
      <c r="A101" s="10" t="n">
        <v>15</v>
      </c>
      <c r="B101" s="10">
        <f>'By Round'!A157</f>
        <v/>
      </c>
      <c r="C101" s="10">
        <f>'By Round'!B165</f>
        <v/>
      </c>
      <c r="D101" s="10">
        <f>'By Round'!C165</f>
        <v/>
      </c>
      <c r="E101" s="10">
        <f>'By Round'!D165</f>
        <v/>
      </c>
      <c r="F101" s="10">
        <f>IF(ISBLANK('By Round'!F165),"",'By Round'!F165)</f>
        <v/>
      </c>
      <c r="G101">
        <f>IF(ISBLANK('By Round'!G165),"",'By Round'!G165)</f>
        <v/>
      </c>
      <c r="H101">
        <f>IF(ISBLANK('By Round'!H165),"",'By Round'!H165)</f>
        <v/>
      </c>
      <c r="I101">
        <f>IF(ISBLANK('By Round'!I165),"",'By Round'!I165)</f>
        <v/>
      </c>
      <c r="J101">
        <f>IF(ISBLANK('By Round'!J165),"",'By Round'!J165)</f>
        <v/>
      </c>
      <c r="K101">
        <f>IF(ISBLANK('By Round'!K165),"",'By Round'!K165)</f>
        <v/>
      </c>
      <c r="L101">
        <f>IF(ISBLANK('By Round'!L165),"",'By Round'!L165)</f>
        <v/>
      </c>
      <c r="M101" s="11">
        <f>AVERAGE(AG101:AL101)</f>
        <v/>
      </c>
      <c r="N101" s="12">
        <f>AVERAGE(AM101:AR101)</f>
        <v/>
      </c>
      <c r="O101" s="13">
        <f>IF(COUNT(U101:Z101)&gt;0,Q101/COUNT(U101:Z101),0.5)</f>
        <v/>
      </c>
      <c r="P101" s="13">
        <f>IF(COUNT(AA101:AF101)&gt;0,R101/COUNT(AA101:AF101),0.5)</f>
        <v/>
      </c>
      <c r="Q101" s="5">
        <f>SUM(U101:Z101)</f>
        <v/>
      </c>
      <c r="R101" s="5">
        <f>SUM(AA101:AF101)</f>
        <v/>
      </c>
      <c r="S101" s="14">
        <f>IF(ISNUMBER(K101),K101,IF(ISNUMBER(L101),-L101,""))</f>
        <v/>
      </c>
      <c r="T101">
        <f>IF(ISNUMBER(L101),L101,IF(ISNUMBER(K101),-K101,""))</f>
        <v/>
      </c>
      <c r="U101" s="14">
        <f>IF(ISNUMBER(S101),IF(ISNUMBER(S102),IF(S101&gt;S102,1.0,IF(S101=S102,0.5,0.0)),""),"")</f>
        <v/>
      </c>
      <c r="V101">
        <f>IF(ISNUMBER(S101),IF(ISNUMBER(S103),IF(S101&gt;S103,1.0,IF(S101=S103,0.5,0.0)),""),"")</f>
        <v/>
      </c>
      <c r="W101">
        <f>IF(ISNUMBER(S101),IF(ISNUMBER(S104),IF(S101&gt;S104,1.0,IF(S101=S104,0.5,0.0)),""),"")</f>
        <v/>
      </c>
      <c r="X101">
        <f>IF(ISNUMBER(S101),IF(ISNUMBER(S105),IF(S101&gt;S105,1.0,IF(S101=S105,0.5,0.0)),""),"")</f>
        <v/>
      </c>
      <c r="Y101">
        <f>IF(ISNUMBER(S101),IF(ISNUMBER(S106),IF(S101&gt;S106,1.0,IF(S101=S106,0.5,0.0)),""),"")</f>
        <v/>
      </c>
      <c r="Z101">
        <f>IF(ISNUMBER(S101),IF(ISNUMBER(S107),IF(S101&gt;S107,1.0,IF(S101=S107,0.5,0.0)),""),"")</f>
        <v/>
      </c>
      <c r="AA101">
        <f>IF(ISNUMBER(T101),IF(ISNUMBER(T102),IF(T101&gt;T102,1.0,IF(T101=T102,0.5,0.0)),""),"")</f>
        <v/>
      </c>
      <c r="AB101">
        <f>IF(ISNUMBER(T101),IF(ISNUMBER(T103),IF(T101&gt;T103,1.0,IF(T101=T103,0.5,0.0)),""),"")</f>
        <v/>
      </c>
      <c r="AC101">
        <f>IF(ISNUMBER(T101),IF(ISNUMBER(T104),IF(T101&gt;T104,1.0,IF(T101=T104,0.5,0.0)),""),"")</f>
        <v/>
      </c>
      <c r="AD101">
        <f>IF(ISNUMBER(T101),IF(ISNUMBER(T105),IF(T101&gt;T105,1.0,IF(T101=T105,0.5,0.0)),""),"")</f>
        <v/>
      </c>
      <c r="AE101">
        <f>IF(ISNUMBER(T101),IF(ISNUMBER(T106),IF(T101&gt;T106,1.0,IF(T101=T106,0.5,0.0)),""),"")</f>
        <v/>
      </c>
      <c r="AF101">
        <f>IF(ISNUMBER(T101),IF(ISNUMBER(T107),IF(T101&gt;T107,1.0,IF(T101=T107,0.5,0.0)),""),"")</f>
        <v/>
      </c>
      <c r="AG101" s="14">
        <f>IF(AND(ISNUMBER(S101),ISNUMBER(S102)),VLOOKUP(ABS(S101-S102),'IMP Table'!$A$2:$C$26,3)*SIGN(S101-S102),0)</f>
        <v/>
      </c>
      <c r="AH101">
        <f>IF(AND(ISNUMBER(S101),ISNUMBER(S103)),VLOOKUP(ABS(S101-S103),'IMP Table'!$A$2:$C$26,3)*SIGN(S101-S103),0)</f>
        <v/>
      </c>
      <c r="AI101">
        <f>IF(AND(ISNUMBER(S101),ISNUMBER(S104)),VLOOKUP(ABS(S101-S104),'IMP Table'!$A$2:$C$26,3)*SIGN(S101-S104),0)</f>
        <v/>
      </c>
      <c r="AJ101">
        <f>IF(AND(ISNUMBER(S101),ISNUMBER(S105)),VLOOKUP(ABS(S101-S105),'IMP Table'!$A$2:$C$26,3)*SIGN(S101-S105),0)</f>
        <v/>
      </c>
      <c r="AK101">
        <f>IF(AND(ISNUMBER(S101),ISNUMBER(S106)),VLOOKUP(ABS(S101-S106),'IMP Table'!$A$2:$C$26,3)*SIGN(S101-S106),0)</f>
        <v/>
      </c>
      <c r="AL101">
        <f>IF(AND(ISNUMBER(S101),ISNUMBER(S107)),VLOOKUP(ABS(S101-S107),'IMP Table'!$A$2:$C$26,3)*SIGN(S101-S107),0)</f>
        <v/>
      </c>
      <c r="AM101">
        <f>IF(AND(ISNUMBER(T101),ISNUMBER(T102)),VLOOKUP(ABS(T101-T102),'IMP Table'!$A$2:$C$26,3)*SIGN(T101-T102),0)</f>
        <v/>
      </c>
      <c r="AN101">
        <f>IF(AND(ISNUMBER(T101),ISNUMBER(T103)),VLOOKUP(ABS(T101-T103),'IMP Table'!$A$2:$C$26,3)*SIGN(T101-T103),0)</f>
        <v/>
      </c>
      <c r="AO101">
        <f>IF(AND(ISNUMBER(T101),ISNUMBER(T104)),VLOOKUP(ABS(T101-T104),'IMP Table'!$A$2:$C$26,3)*SIGN(T101-T104),0)</f>
        <v/>
      </c>
      <c r="AP101">
        <f>IF(AND(ISNUMBER(T101),ISNUMBER(T105)),VLOOKUP(ABS(T101-T105),'IMP Table'!$A$2:$C$26,3)*SIGN(T101-T105),0)</f>
        <v/>
      </c>
      <c r="AQ101">
        <f>IF(AND(ISNUMBER(T101),ISNUMBER(T106)),VLOOKUP(ABS(T101-T106),'IMP Table'!$A$2:$C$26,3)*SIGN(T101-T106),0)</f>
        <v/>
      </c>
      <c r="AR101">
        <f>IF(AND(ISNUMBER(T101),ISNUMBER(T107)),VLOOKUP(ABS(T101-T107),'IMP Table'!$A$2:$C$26,3)*SIGN(T101-T107),0)</f>
        <v/>
      </c>
    </row>
    <row r="102">
      <c r="B102" s="10">
        <f>'By Round'!A143</f>
        <v/>
      </c>
      <c r="C102" s="10">
        <f>'By Round'!B153</f>
        <v/>
      </c>
      <c r="D102" s="10">
        <f>'By Round'!C153</f>
        <v/>
      </c>
      <c r="E102" s="10">
        <f>'By Round'!D153</f>
        <v/>
      </c>
      <c r="F102" s="10">
        <f>IF(ISBLANK('By Round'!F153),"",'By Round'!F153)</f>
        <v/>
      </c>
      <c r="G102">
        <f>IF(ISBLANK('By Round'!G153),"",'By Round'!G153)</f>
        <v/>
      </c>
      <c r="H102">
        <f>IF(ISBLANK('By Round'!H153),"",'By Round'!H153)</f>
        <v/>
      </c>
      <c r="I102">
        <f>IF(ISBLANK('By Round'!I153),"",'By Round'!I153)</f>
        <v/>
      </c>
      <c r="J102">
        <f>IF(ISBLANK('By Round'!J153),"",'By Round'!J153)</f>
        <v/>
      </c>
      <c r="K102">
        <f>IF(ISBLANK('By Round'!K153),"",'By Round'!K153)</f>
        <v/>
      </c>
      <c r="L102">
        <f>IF(ISBLANK('By Round'!L153),"",'By Round'!L153)</f>
        <v/>
      </c>
      <c r="M102" s="11">
        <f>AVERAGE(AG102:AL102)</f>
        <v/>
      </c>
      <c r="N102" s="12">
        <f>AVERAGE(AM102:AR102)</f>
        <v/>
      </c>
      <c r="O102" s="13">
        <f>IF(COUNT(U102:Z102)&gt;0,Q102/COUNT(U102:Z102),0.5)</f>
        <v/>
      </c>
      <c r="P102" s="13">
        <f>IF(COUNT(AA102:AF102)&gt;0,R102/COUNT(AA102:AF102),0.5)</f>
        <v/>
      </c>
      <c r="Q102" s="5">
        <f>SUM(U102:Z102)</f>
        <v/>
      </c>
      <c r="R102" s="5">
        <f>SUM(AA102:AF102)</f>
        <v/>
      </c>
      <c r="S102" s="14">
        <f>IF(ISNUMBER(K102),K102,IF(ISNUMBER(L102),-L102,""))</f>
        <v/>
      </c>
      <c r="T102">
        <f>IF(ISNUMBER(L102),L102,IF(ISNUMBER(K102),-K102,""))</f>
        <v/>
      </c>
      <c r="U102" s="14">
        <f>IF(ISNUMBER(S102),IF(ISNUMBER(S101),IF(S102&gt;S101,1.0,IF(S102=S101,0.5,0.0)),""),"")</f>
        <v/>
      </c>
      <c r="V102">
        <f>IF(ISNUMBER(S102),IF(ISNUMBER(S103),IF(S102&gt;S103,1.0,IF(S102=S103,0.5,0.0)),""),"")</f>
        <v/>
      </c>
      <c r="W102">
        <f>IF(ISNUMBER(S102),IF(ISNUMBER(S104),IF(S102&gt;S104,1.0,IF(S102=S104,0.5,0.0)),""),"")</f>
        <v/>
      </c>
      <c r="X102">
        <f>IF(ISNUMBER(S102),IF(ISNUMBER(S105),IF(S102&gt;S105,1.0,IF(S102=S105,0.5,0.0)),""),"")</f>
        <v/>
      </c>
      <c r="Y102">
        <f>IF(ISNUMBER(S102),IF(ISNUMBER(S106),IF(S102&gt;S106,1.0,IF(S102=S106,0.5,0.0)),""),"")</f>
        <v/>
      </c>
      <c r="Z102">
        <f>IF(ISNUMBER(S102),IF(ISNUMBER(S107),IF(S102&gt;S107,1.0,IF(S102=S107,0.5,0.0)),""),"")</f>
        <v/>
      </c>
      <c r="AA102">
        <f>IF(ISNUMBER(T102),IF(ISNUMBER(T101),IF(T102&gt;T101,1.0,IF(T102=T101,0.5,0.0)),""),"")</f>
        <v/>
      </c>
      <c r="AB102">
        <f>IF(ISNUMBER(T102),IF(ISNUMBER(T103),IF(T102&gt;T103,1.0,IF(T102=T103,0.5,0.0)),""),"")</f>
        <v/>
      </c>
      <c r="AC102">
        <f>IF(ISNUMBER(T102),IF(ISNUMBER(T104),IF(T102&gt;T104,1.0,IF(T102=T104,0.5,0.0)),""),"")</f>
        <v/>
      </c>
      <c r="AD102">
        <f>IF(ISNUMBER(T102),IF(ISNUMBER(T105),IF(T102&gt;T105,1.0,IF(T102=T105,0.5,0.0)),""),"")</f>
        <v/>
      </c>
      <c r="AE102">
        <f>IF(ISNUMBER(T102),IF(ISNUMBER(T106),IF(T102&gt;T106,1.0,IF(T102=T106,0.5,0.0)),""),"")</f>
        <v/>
      </c>
      <c r="AF102">
        <f>IF(ISNUMBER(T102),IF(ISNUMBER(T107),IF(T102&gt;T107,1.0,IF(T102=T107,0.5,0.0)),""),"")</f>
        <v/>
      </c>
      <c r="AG102" s="14">
        <f>IF(AND(ISNUMBER(S102),ISNUMBER(S101)),VLOOKUP(ABS(S102-S101),'IMP Table'!$A$2:$C$26,3)*SIGN(S102-S101),0)</f>
        <v/>
      </c>
      <c r="AH102">
        <f>IF(AND(ISNUMBER(S102),ISNUMBER(S103)),VLOOKUP(ABS(S102-S103),'IMP Table'!$A$2:$C$26,3)*SIGN(S102-S103),0)</f>
        <v/>
      </c>
      <c r="AI102">
        <f>IF(AND(ISNUMBER(S102),ISNUMBER(S104)),VLOOKUP(ABS(S102-S104),'IMP Table'!$A$2:$C$26,3)*SIGN(S102-S104),0)</f>
        <v/>
      </c>
      <c r="AJ102">
        <f>IF(AND(ISNUMBER(S102),ISNUMBER(S105)),VLOOKUP(ABS(S102-S105),'IMP Table'!$A$2:$C$26,3)*SIGN(S102-S105),0)</f>
        <v/>
      </c>
      <c r="AK102">
        <f>IF(AND(ISNUMBER(S102),ISNUMBER(S106)),VLOOKUP(ABS(S102-S106),'IMP Table'!$A$2:$C$26,3)*SIGN(S102-S106),0)</f>
        <v/>
      </c>
      <c r="AL102">
        <f>IF(AND(ISNUMBER(S102),ISNUMBER(S107)),VLOOKUP(ABS(S102-S107),'IMP Table'!$A$2:$C$26,3)*SIGN(S102-S107),0)</f>
        <v/>
      </c>
      <c r="AM102">
        <f>IF(AND(ISNUMBER(T102),ISNUMBER(T101)),VLOOKUP(ABS(T102-T101),'IMP Table'!$A$2:$C$26,3)*SIGN(T102-T101),0)</f>
        <v/>
      </c>
      <c r="AN102">
        <f>IF(AND(ISNUMBER(T102),ISNUMBER(T103)),VLOOKUP(ABS(T102-T103),'IMP Table'!$A$2:$C$26,3)*SIGN(T102-T103),0)</f>
        <v/>
      </c>
      <c r="AO102">
        <f>IF(AND(ISNUMBER(T102),ISNUMBER(T104)),VLOOKUP(ABS(T102-T104),'IMP Table'!$A$2:$C$26,3)*SIGN(T102-T104),0)</f>
        <v/>
      </c>
      <c r="AP102">
        <f>IF(AND(ISNUMBER(T102),ISNUMBER(T105)),VLOOKUP(ABS(T102-T105),'IMP Table'!$A$2:$C$26,3)*SIGN(T102-T105),0)</f>
        <v/>
      </c>
      <c r="AQ102">
        <f>IF(AND(ISNUMBER(T102),ISNUMBER(T106)),VLOOKUP(ABS(T102-T106),'IMP Table'!$A$2:$C$26,3)*SIGN(T102-T106),0)</f>
        <v/>
      </c>
      <c r="AR102">
        <f>IF(AND(ISNUMBER(T102),ISNUMBER(T107)),VLOOKUP(ABS(T102-T107),'IMP Table'!$A$2:$C$26,3)*SIGN(T102-T107),0)</f>
        <v/>
      </c>
    </row>
    <row r="103">
      <c r="B103" s="10">
        <f>'By Round'!A59</f>
        <v/>
      </c>
      <c r="C103" s="10">
        <f>'By Round'!B63</f>
        <v/>
      </c>
      <c r="D103" s="10">
        <f>'By Round'!C63</f>
        <v/>
      </c>
      <c r="E103" s="10">
        <f>'By Round'!D63</f>
        <v/>
      </c>
      <c r="F103" s="10">
        <f>IF(ISBLANK('By Round'!F63),"",'By Round'!F63)</f>
        <v/>
      </c>
      <c r="G103">
        <f>IF(ISBLANK('By Round'!G63),"",'By Round'!G63)</f>
        <v/>
      </c>
      <c r="H103">
        <f>IF(ISBLANK('By Round'!H63),"",'By Round'!H63)</f>
        <v/>
      </c>
      <c r="I103">
        <f>IF(ISBLANK('By Round'!I63),"",'By Round'!I63)</f>
        <v/>
      </c>
      <c r="J103">
        <f>IF(ISBLANK('By Round'!J63),"",'By Round'!J63)</f>
        <v/>
      </c>
      <c r="K103">
        <f>IF(ISBLANK('By Round'!K63),"",'By Round'!K63)</f>
        <v/>
      </c>
      <c r="L103">
        <f>IF(ISBLANK('By Round'!L63),"",'By Round'!L63)</f>
        <v/>
      </c>
      <c r="M103" s="11">
        <f>AVERAGE(AG103:AL103)</f>
        <v/>
      </c>
      <c r="N103" s="12">
        <f>AVERAGE(AM103:AR103)</f>
        <v/>
      </c>
      <c r="O103" s="13">
        <f>IF(COUNT(U103:Z103)&gt;0,Q103/COUNT(U103:Z103),0.5)</f>
        <v/>
      </c>
      <c r="P103" s="13">
        <f>IF(COUNT(AA103:AF103)&gt;0,R103/COUNT(AA103:AF103),0.5)</f>
        <v/>
      </c>
      <c r="Q103" s="5">
        <f>SUM(U103:Z103)</f>
        <v/>
      </c>
      <c r="R103" s="5">
        <f>SUM(AA103:AF103)</f>
        <v/>
      </c>
      <c r="S103" s="14">
        <f>IF(ISNUMBER(K103),K103,IF(ISNUMBER(L103),-L103,""))</f>
        <v/>
      </c>
      <c r="T103">
        <f>IF(ISNUMBER(L103),L103,IF(ISNUMBER(K103),-K103,""))</f>
        <v/>
      </c>
      <c r="U103" s="14">
        <f>IF(ISNUMBER(S103),IF(ISNUMBER(S101),IF(S103&gt;S101,1.0,IF(S103=S101,0.5,0.0)),""),"")</f>
        <v/>
      </c>
      <c r="V103">
        <f>IF(ISNUMBER(S103),IF(ISNUMBER(S102),IF(S103&gt;S102,1.0,IF(S103=S102,0.5,0.0)),""),"")</f>
        <v/>
      </c>
      <c r="W103">
        <f>IF(ISNUMBER(S103),IF(ISNUMBER(S104),IF(S103&gt;S104,1.0,IF(S103=S104,0.5,0.0)),""),"")</f>
        <v/>
      </c>
      <c r="X103">
        <f>IF(ISNUMBER(S103),IF(ISNUMBER(S105),IF(S103&gt;S105,1.0,IF(S103=S105,0.5,0.0)),""),"")</f>
        <v/>
      </c>
      <c r="Y103">
        <f>IF(ISNUMBER(S103),IF(ISNUMBER(S106),IF(S103&gt;S106,1.0,IF(S103=S106,0.5,0.0)),""),"")</f>
        <v/>
      </c>
      <c r="Z103">
        <f>IF(ISNUMBER(S103),IF(ISNUMBER(S107),IF(S103&gt;S107,1.0,IF(S103=S107,0.5,0.0)),""),"")</f>
        <v/>
      </c>
      <c r="AA103">
        <f>IF(ISNUMBER(T103),IF(ISNUMBER(T101),IF(T103&gt;T101,1.0,IF(T103=T101,0.5,0.0)),""),"")</f>
        <v/>
      </c>
      <c r="AB103">
        <f>IF(ISNUMBER(T103),IF(ISNUMBER(T102),IF(T103&gt;T102,1.0,IF(T103=T102,0.5,0.0)),""),"")</f>
        <v/>
      </c>
      <c r="AC103">
        <f>IF(ISNUMBER(T103),IF(ISNUMBER(T104),IF(T103&gt;T104,1.0,IF(T103=T104,0.5,0.0)),""),"")</f>
        <v/>
      </c>
      <c r="AD103">
        <f>IF(ISNUMBER(T103),IF(ISNUMBER(T105),IF(T103&gt;T105,1.0,IF(T103=T105,0.5,0.0)),""),"")</f>
        <v/>
      </c>
      <c r="AE103">
        <f>IF(ISNUMBER(T103),IF(ISNUMBER(T106),IF(T103&gt;T106,1.0,IF(T103=T106,0.5,0.0)),""),"")</f>
        <v/>
      </c>
      <c r="AF103">
        <f>IF(ISNUMBER(T103),IF(ISNUMBER(T107),IF(T103&gt;T107,1.0,IF(T103=T107,0.5,0.0)),""),"")</f>
        <v/>
      </c>
      <c r="AG103" s="14">
        <f>IF(AND(ISNUMBER(S103),ISNUMBER(S101)),VLOOKUP(ABS(S103-S101),'IMP Table'!$A$2:$C$26,3)*SIGN(S103-S101),0)</f>
        <v/>
      </c>
      <c r="AH103">
        <f>IF(AND(ISNUMBER(S103),ISNUMBER(S102)),VLOOKUP(ABS(S103-S102),'IMP Table'!$A$2:$C$26,3)*SIGN(S103-S102),0)</f>
        <v/>
      </c>
      <c r="AI103">
        <f>IF(AND(ISNUMBER(S103),ISNUMBER(S104)),VLOOKUP(ABS(S103-S104),'IMP Table'!$A$2:$C$26,3)*SIGN(S103-S104),0)</f>
        <v/>
      </c>
      <c r="AJ103">
        <f>IF(AND(ISNUMBER(S103),ISNUMBER(S105)),VLOOKUP(ABS(S103-S105),'IMP Table'!$A$2:$C$26,3)*SIGN(S103-S105),0)</f>
        <v/>
      </c>
      <c r="AK103">
        <f>IF(AND(ISNUMBER(S103),ISNUMBER(S106)),VLOOKUP(ABS(S103-S106),'IMP Table'!$A$2:$C$26,3)*SIGN(S103-S106),0)</f>
        <v/>
      </c>
      <c r="AL103">
        <f>IF(AND(ISNUMBER(S103),ISNUMBER(S107)),VLOOKUP(ABS(S103-S107),'IMP Table'!$A$2:$C$26,3)*SIGN(S103-S107),0)</f>
        <v/>
      </c>
      <c r="AM103">
        <f>IF(AND(ISNUMBER(T103),ISNUMBER(T101)),VLOOKUP(ABS(T103-T101),'IMP Table'!$A$2:$C$26,3)*SIGN(T103-T101),0)</f>
        <v/>
      </c>
      <c r="AN103">
        <f>IF(AND(ISNUMBER(T103),ISNUMBER(T102)),VLOOKUP(ABS(T103-T102),'IMP Table'!$A$2:$C$26,3)*SIGN(T103-T102),0)</f>
        <v/>
      </c>
      <c r="AO103">
        <f>IF(AND(ISNUMBER(T103),ISNUMBER(T104)),VLOOKUP(ABS(T103-T104),'IMP Table'!$A$2:$C$26,3)*SIGN(T103-T104),0)</f>
        <v/>
      </c>
      <c r="AP103">
        <f>IF(AND(ISNUMBER(T103),ISNUMBER(T105)),VLOOKUP(ABS(T103-T105),'IMP Table'!$A$2:$C$26,3)*SIGN(T103-T105),0)</f>
        <v/>
      </c>
      <c r="AQ103">
        <f>IF(AND(ISNUMBER(T103),ISNUMBER(T106)),VLOOKUP(ABS(T103-T106),'IMP Table'!$A$2:$C$26,3)*SIGN(T103-T106),0)</f>
        <v/>
      </c>
      <c r="AR103">
        <f>IF(AND(ISNUMBER(T103),ISNUMBER(T107)),VLOOKUP(ABS(T103-T107),'IMP Table'!$A$2:$C$26,3)*SIGN(T103-T107),0)</f>
        <v/>
      </c>
    </row>
    <row r="104">
      <c r="B104" s="10">
        <f>'By Round'!A73</f>
        <v/>
      </c>
      <c r="C104" s="10">
        <f>'By Round'!B75</f>
        <v/>
      </c>
      <c r="D104" s="10">
        <f>'By Round'!C75</f>
        <v/>
      </c>
      <c r="E104" s="10">
        <f>'By Round'!D75</f>
        <v/>
      </c>
      <c r="F104" s="10">
        <f>IF(ISBLANK('By Round'!F75),"",'By Round'!F75)</f>
        <v/>
      </c>
      <c r="G104">
        <f>IF(ISBLANK('By Round'!G75),"",'By Round'!G75)</f>
        <v/>
      </c>
      <c r="H104">
        <f>IF(ISBLANK('By Round'!H75),"",'By Round'!H75)</f>
        <v/>
      </c>
      <c r="I104">
        <f>IF(ISBLANK('By Round'!I75),"",'By Round'!I75)</f>
        <v/>
      </c>
      <c r="J104">
        <f>IF(ISBLANK('By Round'!J75),"",'By Round'!J75)</f>
        <v/>
      </c>
      <c r="K104">
        <f>IF(ISBLANK('By Round'!K75),"",'By Round'!K75)</f>
        <v/>
      </c>
      <c r="L104">
        <f>IF(ISBLANK('By Round'!L75),"",'By Round'!L75)</f>
        <v/>
      </c>
      <c r="M104" s="11">
        <f>AVERAGE(AG104:AL104)</f>
        <v/>
      </c>
      <c r="N104" s="12">
        <f>AVERAGE(AM104:AR104)</f>
        <v/>
      </c>
      <c r="O104" s="13">
        <f>IF(COUNT(U104:Z104)&gt;0,Q104/COUNT(U104:Z104),0.5)</f>
        <v/>
      </c>
      <c r="P104" s="13">
        <f>IF(COUNT(AA104:AF104)&gt;0,R104/COUNT(AA104:AF104),0.5)</f>
        <v/>
      </c>
      <c r="Q104" s="5">
        <f>SUM(U104:Z104)</f>
        <v/>
      </c>
      <c r="R104" s="5">
        <f>SUM(AA104:AF104)</f>
        <v/>
      </c>
      <c r="S104" s="14">
        <f>IF(ISNUMBER(K104),K104,IF(ISNUMBER(L104),-L104,""))</f>
        <v/>
      </c>
      <c r="T104">
        <f>IF(ISNUMBER(L104),L104,IF(ISNUMBER(K104),-K104,""))</f>
        <v/>
      </c>
      <c r="U104" s="14">
        <f>IF(ISNUMBER(S104),IF(ISNUMBER(S101),IF(S104&gt;S101,1.0,IF(S104=S101,0.5,0.0)),""),"")</f>
        <v/>
      </c>
      <c r="V104">
        <f>IF(ISNUMBER(S104),IF(ISNUMBER(S102),IF(S104&gt;S102,1.0,IF(S104=S102,0.5,0.0)),""),"")</f>
        <v/>
      </c>
      <c r="W104">
        <f>IF(ISNUMBER(S104),IF(ISNUMBER(S103),IF(S104&gt;S103,1.0,IF(S104=S103,0.5,0.0)),""),"")</f>
        <v/>
      </c>
      <c r="X104">
        <f>IF(ISNUMBER(S104),IF(ISNUMBER(S105),IF(S104&gt;S105,1.0,IF(S104=S105,0.5,0.0)),""),"")</f>
        <v/>
      </c>
      <c r="Y104">
        <f>IF(ISNUMBER(S104),IF(ISNUMBER(S106),IF(S104&gt;S106,1.0,IF(S104=S106,0.5,0.0)),""),"")</f>
        <v/>
      </c>
      <c r="Z104">
        <f>IF(ISNUMBER(S104),IF(ISNUMBER(S107),IF(S104&gt;S107,1.0,IF(S104=S107,0.5,0.0)),""),"")</f>
        <v/>
      </c>
      <c r="AA104">
        <f>IF(ISNUMBER(T104),IF(ISNUMBER(T101),IF(T104&gt;T101,1.0,IF(T104=T101,0.5,0.0)),""),"")</f>
        <v/>
      </c>
      <c r="AB104">
        <f>IF(ISNUMBER(T104),IF(ISNUMBER(T102),IF(T104&gt;T102,1.0,IF(T104=T102,0.5,0.0)),""),"")</f>
        <v/>
      </c>
      <c r="AC104">
        <f>IF(ISNUMBER(T104),IF(ISNUMBER(T103),IF(T104&gt;T103,1.0,IF(T104=T103,0.5,0.0)),""),"")</f>
        <v/>
      </c>
      <c r="AD104">
        <f>IF(ISNUMBER(T104),IF(ISNUMBER(T105),IF(T104&gt;T105,1.0,IF(T104=T105,0.5,0.0)),""),"")</f>
        <v/>
      </c>
      <c r="AE104">
        <f>IF(ISNUMBER(T104),IF(ISNUMBER(T106),IF(T104&gt;T106,1.0,IF(T104=T106,0.5,0.0)),""),"")</f>
        <v/>
      </c>
      <c r="AF104">
        <f>IF(ISNUMBER(T104),IF(ISNUMBER(T107),IF(T104&gt;T107,1.0,IF(T104=T107,0.5,0.0)),""),"")</f>
        <v/>
      </c>
      <c r="AG104" s="14">
        <f>IF(AND(ISNUMBER(S104),ISNUMBER(S101)),VLOOKUP(ABS(S104-S101),'IMP Table'!$A$2:$C$26,3)*SIGN(S104-S101),0)</f>
        <v/>
      </c>
      <c r="AH104">
        <f>IF(AND(ISNUMBER(S104),ISNUMBER(S102)),VLOOKUP(ABS(S104-S102),'IMP Table'!$A$2:$C$26,3)*SIGN(S104-S102),0)</f>
        <v/>
      </c>
      <c r="AI104">
        <f>IF(AND(ISNUMBER(S104),ISNUMBER(S103)),VLOOKUP(ABS(S104-S103),'IMP Table'!$A$2:$C$26,3)*SIGN(S104-S103),0)</f>
        <v/>
      </c>
      <c r="AJ104">
        <f>IF(AND(ISNUMBER(S104),ISNUMBER(S105)),VLOOKUP(ABS(S104-S105),'IMP Table'!$A$2:$C$26,3)*SIGN(S104-S105),0)</f>
        <v/>
      </c>
      <c r="AK104">
        <f>IF(AND(ISNUMBER(S104),ISNUMBER(S106)),VLOOKUP(ABS(S104-S106),'IMP Table'!$A$2:$C$26,3)*SIGN(S104-S106),0)</f>
        <v/>
      </c>
      <c r="AL104">
        <f>IF(AND(ISNUMBER(S104),ISNUMBER(S107)),VLOOKUP(ABS(S104-S107),'IMP Table'!$A$2:$C$26,3)*SIGN(S104-S107),0)</f>
        <v/>
      </c>
      <c r="AM104">
        <f>IF(AND(ISNUMBER(T104),ISNUMBER(T101)),VLOOKUP(ABS(T104-T101),'IMP Table'!$A$2:$C$26,3)*SIGN(T104-T101),0)</f>
        <v/>
      </c>
      <c r="AN104">
        <f>IF(AND(ISNUMBER(T104),ISNUMBER(T102)),VLOOKUP(ABS(T104-T102),'IMP Table'!$A$2:$C$26,3)*SIGN(T104-T102),0)</f>
        <v/>
      </c>
      <c r="AO104">
        <f>IF(AND(ISNUMBER(T104),ISNUMBER(T103)),VLOOKUP(ABS(T104-T103),'IMP Table'!$A$2:$C$26,3)*SIGN(T104-T103),0)</f>
        <v/>
      </c>
      <c r="AP104">
        <f>IF(AND(ISNUMBER(T104),ISNUMBER(T105)),VLOOKUP(ABS(T104-T105),'IMP Table'!$A$2:$C$26,3)*SIGN(T104-T105),0)</f>
        <v/>
      </c>
      <c r="AQ104">
        <f>IF(AND(ISNUMBER(T104),ISNUMBER(T106)),VLOOKUP(ABS(T104-T106),'IMP Table'!$A$2:$C$26,3)*SIGN(T104-T106),0)</f>
        <v/>
      </c>
      <c r="AR104">
        <f>IF(AND(ISNUMBER(T104),ISNUMBER(T107)),VLOOKUP(ABS(T104-T107),'IMP Table'!$A$2:$C$26,3)*SIGN(T104-T107),0)</f>
        <v/>
      </c>
    </row>
    <row r="105">
      <c r="B105" s="10">
        <f>'By Round'!A45</f>
        <v/>
      </c>
      <c r="C105" s="10">
        <f>'By Round'!B51</f>
        <v/>
      </c>
      <c r="D105" s="10">
        <f>'By Round'!C51</f>
        <v/>
      </c>
      <c r="E105" s="10">
        <f>'By Round'!D51</f>
        <v/>
      </c>
      <c r="F105" s="10">
        <f>IF(ISBLANK('By Round'!F51),"",'By Round'!F51)</f>
        <v/>
      </c>
      <c r="G105">
        <f>IF(ISBLANK('By Round'!G51),"",'By Round'!G51)</f>
        <v/>
      </c>
      <c r="H105">
        <f>IF(ISBLANK('By Round'!H51),"",'By Round'!H51)</f>
        <v/>
      </c>
      <c r="I105">
        <f>IF(ISBLANK('By Round'!I51),"",'By Round'!I51)</f>
        <v/>
      </c>
      <c r="J105">
        <f>IF(ISBLANK('By Round'!J51),"",'By Round'!J51)</f>
        <v/>
      </c>
      <c r="K105">
        <f>IF(ISBLANK('By Round'!K51),"",'By Round'!K51)</f>
        <v/>
      </c>
      <c r="L105">
        <f>IF(ISBLANK('By Round'!L51),"",'By Round'!L51)</f>
        <v/>
      </c>
      <c r="M105" s="11">
        <f>AVERAGE(AG105:AL105)</f>
        <v/>
      </c>
      <c r="N105" s="12">
        <f>AVERAGE(AM105:AR105)</f>
        <v/>
      </c>
      <c r="O105" s="13">
        <f>IF(COUNT(U105:Z105)&gt;0,Q105/COUNT(U105:Z105),0.5)</f>
        <v/>
      </c>
      <c r="P105" s="13">
        <f>IF(COUNT(AA105:AF105)&gt;0,R105/COUNT(AA105:AF105),0.5)</f>
        <v/>
      </c>
      <c r="Q105" s="5">
        <f>SUM(U105:Z105)</f>
        <v/>
      </c>
      <c r="R105" s="5">
        <f>SUM(AA105:AF105)</f>
        <v/>
      </c>
      <c r="S105" s="14">
        <f>IF(ISNUMBER(K105),K105,IF(ISNUMBER(L105),-L105,""))</f>
        <v/>
      </c>
      <c r="T105">
        <f>IF(ISNUMBER(L105),L105,IF(ISNUMBER(K105),-K105,""))</f>
        <v/>
      </c>
      <c r="U105" s="14">
        <f>IF(ISNUMBER(S105),IF(ISNUMBER(S101),IF(S105&gt;S101,1.0,IF(S105=S101,0.5,0.0)),""),"")</f>
        <v/>
      </c>
      <c r="V105">
        <f>IF(ISNUMBER(S105),IF(ISNUMBER(S102),IF(S105&gt;S102,1.0,IF(S105=S102,0.5,0.0)),""),"")</f>
        <v/>
      </c>
      <c r="W105">
        <f>IF(ISNUMBER(S105),IF(ISNUMBER(S103),IF(S105&gt;S103,1.0,IF(S105=S103,0.5,0.0)),""),"")</f>
        <v/>
      </c>
      <c r="X105">
        <f>IF(ISNUMBER(S105),IF(ISNUMBER(S104),IF(S105&gt;S104,1.0,IF(S105=S104,0.5,0.0)),""),"")</f>
        <v/>
      </c>
      <c r="Y105">
        <f>IF(ISNUMBER(S105),IF(ISNUMBER(S106),IF(S105&gt;S106,1.0,IF(S105=S106,0.5,0.0)),""),"")</f>
        <v/>
      </c>
      <c r="Z105">
        <f>IF(ISNUMBER(S105),IF(ISNUMBER(S107),IF(S105&gt;S107,1.0,IF(S105=S107,0.5,0.0)),""),"")</f>
        <v/>
      </c>
      <c r="AA105">
        <f>IF(ISNUMBER(T105),IF(ISNUMBER(T101),IF(T105&gt;T101,1.0,IF(T105=T101,0.5,0.0)),""),"")</f>
        <v/>
      </c>
      <c r="AB105">
        <f>IF(ISNUMBER(T105),IF(ISNUMBER(T102),IF(T105&gt;T102,1.0,IF(T105=T102,0.5,0.0)),""),"")</f>
        <v/>
      </c>
      <c r="AC105">
        <f>IF(ISNUMBER(T105),IF(ISNUMBER(T103),IF(T105&gt;T103,1.0,IF(T105=T103,0.5,0.0)),""),"")</f>
        <v/>
      </c>
      <c r="AD105">
        <f>IF(ISNUMBER(T105),IF(ISNUMBER(T104),IF(T105&gt;T104,1.0,IF(T105=T104,0.5,0.0)),""),"")</f>
        <v/>
      </c>
      <c r="AE105">
        <f>IF(ISNUMBER(T105),IF(ISNUMBER(T106),IF(T105&gt;T106,1.0,IF(T105=T106,0.5,0.0)),""),"")</f>
        <v/>
      </c>
      <c r="AF105">
        <f>IF(ISNUMBER(T105),IF(ISNUMBER(T107),IF(T105&gt;T107,1.0,IF(T105=T107,0.5,0.0)),""),"")</f>
        <v/>
      </c>
      <c r="AG105" s="14">
        <f>IF(AND(ISNUMBER(S105),ISNUMBER(S101)),VLOOKUP(ABS(S105-S101),'IMP Table'!$A$2:$C$26,3)*SIGN(S105-S101),0)</f>
        <v/>
      </c>
      <c r="AH105">
        <f>IF(AND(ISNUMBER(S105),ISNUMBER(S102)),VLOOKUP(ABS(S105-S102),'IMP Table'!$A$2:$C$26,3)*SIGN(S105-S102),0)</f>
        <v/>
      </c>
      <c r="AI105">
        <f>IF(AND(ISNUMBER(S105),ISNUMBER(S103)),VLOOKUP(ABS(S105-S103),'IMP Table'!$A$2:$C$26,3)*SIGN(S105-S103),0)</f>
        <v/>
      </c>
      <c r="AJ105">
        <f>IF(AND(ISNUMBER(S105),ISNUMBER(S104)),VLOOKUP(ABS(S105-S104),'IMP Table'!$A$2:$C$26,3)*SIGN(S105-S104),0)</f>
        <v/>
      </c>
      <c r="AK105">
        <f>IF(AND(ISNUMBER(S105),ISNUMBER(S106)),VLOOKUP(ABS(S105-S106),'IMP Table'!$A$2:$C$26,3)*SIGN(S105-S106),0)</f>
        <v/>
      </c>
      <c r="AL105">
        <f>IF(AND(ISNUMBER(S105),ISNUMBER(S107)),VLOOKUP(ABS(S105-S107),'IMP Table'!$A$2:$C$26,3)*SIGN(S105-S107),0)</f>
        <v/>
      </c>
      <c r="AM105">
        <f>IF(AND(ISNUMBER(T105),ISNUMBER(T101)),VLOOKUP(ABS(T105-T101),'IMP Table'!$A$2:$C$26,3)*SIGN(T105-T101),0)</f>
        <v/>
      </c>
      <c r="AN105">
        <f>IF(AND(ISNUMBER(T105),ISNUMBER(T102)),VLOOKUP(ABS(T105-T102),'IMP Table'!$A$2:$C$26,3)*SIGN(T105-T102),0)</f>
        <v/>
      </c>
      <c r="AO105">
        <f>IF(AND(ISNUMBER(T105),ISNUMBER(T103)),VLOOKUP(ABS(T105-T103),'IMP Table'!$A$2:$C$26,3)*SIGN(T105-T103),0)</f>
        <v/>
      </c>
      <c r="AP105">
        <f>IF(AND(ISNUMBER(T105),ISNUMBER(T104)),VLOOKUP(ABS(T105-T104),'IMP Table'!$A$2:$C$26,3)*SIGN(T105-T104),0)</f>
        <v/>
      </c>
      <c r="AQ105">
        <f>IF(AND(ISNUMBER(T105),ISNUMBER(T106)),VLOOKUP(ABS(T105-T106),'IMP Table'!$A$2:$C$26,3)*SIGN(T105-T106),0)</f>
        <v/>
      </c>
      <c r="AR105">
        <f>IF(AND(ISNUMBER(T105),ISNUMBER(T107)),VLOOKUP(ABS(T105-T107),'IMP Table'!$A$2:$C$26,3)*SIGN(T105-T107),0)</f>
        <v/>
      </c>
    </row>
    <row r="106">
      <c r="B106" s="10">
        <f>'By Round'!A129</f>
        <v/>
      </c>
      <c r="C106" s="10">
        <f>'By Round'!B141</f>
        <v/>
      </c>
      <c r="D106" s="10">
        <f>'By Round'!C141</f>
        <v/>
      </c>
      <c r="E106" s="10">
        <f>'By Round'!D141</f>
        <v/>
      </c>
      <c r="F106" s="10">
        <f>IF(ISBLANK('By Round'!F141),"",'By Round'!F141)</f>
        <v/>
      </c>
      <c r="G106">
        <f>IF(ISBLANK('By Round'!G141),"",'By Round'!G141)</f>
        <v/>
      </c>
      <c r="H106">
        <f>IF(ISBLANK('By Round'!H141),"",'By Round'!H141)</f>
        <v/>
      </c>
      <c r="I106">
        <f>IF(ISBLANK('By Round'!I141),"",'By Round'!I141)</f>
        <v/>
      </c>
      <c r="J106">
        <f>IF(ISBLANK('By Round'!J141),"",'By Round'!J141)</f>
        <v/>
      </c>
      <c r="K106">
        <f>IF(ISBLANK('By Round'!K141),"",'By Round'!K141)</f>
        <v/>
      </c>
      <c r="L106">
        <f>IF(ISBLANK('By Round'!L141),"",'By Round'!L141)</f>
        <v/>
      </c>
      <c r="M106" s="11">
        <f>AVERAGE(AG106:AL106)</f>
        <v/>
      </c>
      <c r="N106" s="12">
        <f>AVERAGE(AM106:AR106)</f>
        <v/>
      </c>
      <c r="O106" s="13">
        <f>IF(COUNT(U106:Z106)&gt;0,Q106/COUNT(U106:Z106),0.5)</f>
        <v/>
      </c>
      <c r="P106" s="13">
        <f>IF(COUNT(AA106:AF106)&gt;0,R106/COUNT(AA106:AF106),0.5)</f>
        <v/>
      </c>
      <c r="Q106" s="5">
        <f>SUM(U106:Z106)</f>
        <v/>
      </c>
      <c r="R106" s="5">
        <f>SUM(AA106:AF106)</f>
        <v/>
      </c>
      <c r="S106" s="14">
        <f>IF(ISNUMBER(K106),K106,IF(ISNUMBER(L106),-L106,""))</f>
        <v/>
      </c>
      <c r="T106">
        <f>IF(ISNUMBER(L106),L106,IF(ISNUMBER(K106),-K106,""))</f>
        <v/>
      </c>
      <c r="U106" s="14">
        <f>IF(ISNUMBER(S106),IF(ISNUMBER(S101),IF(S106&gt;S101,1.0,IF(S106=S101,0.5,0.0)),""),"")</f>
        <v/>
      </c>
      <c r="V106">
        <f>IF(ISNUMBER(S106),IF(ISNUMBER(S102),IF(S106&gt;S102,1.0,IF(S106=S102,0.5,0.0)),""),"")</f>
        <v/>
      </c>
      <c r="W106">
        <f>IF(ISNUMBER(S106),IF(ISNUMBER(S103),IF(S106&gt;S103,1.0,IF(S106=S103,0.5,0.0)),""),"")</f>
        <v/>
      </c>
      <c r="X106">
        <f>IF(ISNUMBER(S106),IF(ISNUMBER(S104),IF(S106&gt;S104,1.0,IF(S106=S104,0.5,0.0)),""),"")</f>
        <v/>
      </c>
      <c r="Y106">
        <f>IF(ISNUMBER(S106),IF(ISNUMBER(S105),IF(S106&gt;S105,1.0,IF(S106=S105,0.5,0.0)),""),"")</f>
        <v/>
      </c>
      <c r="Z106">
        <f>IF(ISNUMBER(S106),IF(ISNUMBER(S107),IF(S106&gt;S107,1.0,IF(S106=S107,0.5,0.0)),""),"")</f>
        <v/>
      </c>
      <c r="AA106">
        <f>IF(ISNUMBER(T106),IF(ISNUMBER(T101),IF(T106&gt;T101,1.0,IF(T106=T101,0.5,0.0)),""),"")</f>
        <v/>
      </c>
      <c r="AB106">
        <f>IF(ISNUMBER(T106),IF(ISNUMBER(T102),IF(T106&gt;T102,1.0,IF(T106=T102,0.5,0.0)),""),"")</f>
        <v/>
      </c>
      <c r="AC106">
        <f>IF(ISNUMBER(T106),IF(ISNUMBER(T103),IF(T106&gt;T103,1.0,IF(T106=T103,0.5,0.0)),""),"")</f>
        <v/>
      </c>
      <c r="AD106">
        <f>IF(ISNUMBER(T106),IF(ISNUMBER(T104),IF(T106&gt;T104,1.0,IF(T106=T104,0.5,0.0)),""),"")</f>
        <v/>
      </c>
      <c r="AE106">
        <f>IF(ISNUMBER(T106),IF(ISNUMBER(T105),IF(T106&gt;T105,1.0,IF(T106=T105,0.5,0.0)),""),"")</f>
        <v/>
      </c>
      <c r="AF106">
        <f>IF(ISNUMBER(T106),IF(ISNUMBER(T107),IF(T106&gt;T107,1.0,IF(T106=T107,0.5,0.0)),""),"")</f>
        <v/>
      </c>
      <c r="AG106" s="14">
        <f>IF(AND(ISNUMBER(S106),ISNUMBER(S101)),VLOOKUP(ABS(S106-S101),'IMP Table'!$A$2:$C$26,3)*SIGN(S106-S101),0)</f>
        <v/>
      </c>
      <c r="AH106">
        <f>IF(AND(ISNUMBER(S106),ISNUMBER(S102)),VLOOKUP(ABS(S106-S102),'IMP Table'!$A$2:$C$26,3)*SIGN(S106-S102),0)</f>
        <v/>
      </c>
      <c r="AI106">
        <f>IF(AND(ISNUMBER(S106),ISNUMBER(S103)),VLOOKUP(ABS(S106-S103),'IMP Table'!$A$2:$C$26,3)*SIGN(S106-S103),0)</f>
        <v/>
      </c>
      <c r="AJ106">
        <f>IF(AND(ISNUMBER(S106),ISNUMBER(S104)),VLOOKUP(ABS(S106-S104),'IMP Table'!$A$2:$C$26,3)*SIGN(S106-S104),0)</f>
        <v/>
      </c>
      <c r="AK106">
        <f>IF(AND(ISNUMBER(S106),ISNUMBER(S105)),VLOOKUP(ABS(S106-S105),'IMP Table'!$A$2:$C$26,3)*SIGN(S106-S105),0)</f>
        <v/>
      </c>
      <c r="AL106">
        <f>IF(AND(ISNUMBER(S106),ISNUMBER(S107)),VLOOKUP(ABS(S106-S107),'IMP Table'!$A$2:$C$26,3)*SIGN(S106-S107),0)</f>
        <v/>
      </c>
      <c r="AM106">
        <f>IF(AND(ISNUMBER(T106),ISNUMBER(T101)),VLOOKUP(ABS(T106-T101),'IMP Table'!$A$2:$C$26,3)*SIGN(T106-T101),0)</f>
        <v/>
      </c>
      <c r="AN106">
        <f>IF(AND(ISNUMBER(T106),ISNUMBER(T102)),VLOOKUP(ABS(T106-T102),'IMP Table'!$A$2:$C$26,3)*SIGN(T106-T102),0)</f>
        <v/>
      </c>
      <c r="AO106">
        <f>IF(AND(ISNUMBER(T106),ISNUMBER(T103)),VLOOKUP(ABS(T106-T103),'IMP Table'!$A$2:$C$26,3)*SIGN(T106-T103),0)</f>
        <v/>
      </c>
      <c r="AP106">
        <f>IF(AND(ISNUMBER(T106),ISNUMBER(T104)),VLOOKUP(ABS(T106-T104),'IMP Table'!$A$2:$C$26,3)*SIGN(T106-T104),0)</f>
        <v/>
      </c>
      <c r="AQ106">
        <f>IF(AND(ISNUMBER(T106),ISNUMBER(T105)),VLOOKUP(ABS(T106-T105),'IMP Table'!$A$2:$C$26,3)*SIGN(T106-T105),0)</f>
        <v/>
      </c>
      <c r="AR106">
        <f>IF(AND(ISNUMBER(T106),ISNUMBER(T107)),VLOOKUP(ABS(T106-T107),'IMP Table'!$A$2:$C$26,3)*SIGN(T106-T107),0)</f>
        <v/>
      </c>
    </row>
    <row r="107">
      <c r="A107" s="15" t="n"/>
      <c r="B107" s="16">
        <f>'By Round'!A101</f>
        <v/>
      </c>
      <c r="C107" s="16">
        <f>'By Round'!B101</f>
        <v/>
      </c>
      <c r="D107" s="16">
        <f>'By Round'!C101</f>
        <v/>
      </c>
      <c r="E107" s="16">
        <f>'By Round'!D101</f>
        <v/>
      </c>
      <c r="F107" s="16">
        <f>IF(ISBLANK('By Round'!F101),"",'By Round'!F101)</f>
        <v/>
      </c>
      <c r="G107" s="15">
        <f>IF(ISBLANK('By Round'!G101),"",'By Round'!G101)</f>
        <v/>
      </c>
      <c r="H107" s="15">
        <f>IF(ISBLANK('By Round'!H101),"",'By Round'!H101)</f>
        <v/>
      </c>
      <c r="I107" s="15">
        <f>IF(ISBLANK('By Round'!I101),"",'By Round'!I101)</f>
        <v/>
      </c>
      <c r="J107" s="15">
        <f>IF(ISBLANK('By Round'!J101),"",'By Round'!J101)</f>
        <v/>
      </c>
      <c r="K107" s="15">
        <f>IF(ISBLANK('By Round'!K101),"",'By Round'!K101)</f>
        <v/>
      </c>
      <c r="L107" s="15">
        <f>IF(ISBLANK('By Round'!L101),"",'By Round'!L101)</f>
        <v/>
      </c>
      <c r="M107" s="17">
        <f>AVERAGE(AG107:AL107)</f>
        <v/>
      </c>
      <c r="N107" s="18">
        <f>AVERAGE(AM107:AR107)</f>
        <v/>
      </c>
      <c r="O107" s="19">
        <f>IF(COUNT(U107:Z107)&gt;0,Q107/COUNT(U107:Z107),0.5)</f>
        <v/>
      </c>
      <c r="P107" s="19">
        <f>IF(COUNT(AA107:AF107)&gt;0,R107/COUNT(AA107:AF107),0.5)</f>
        <v/>
      </c>
      <c r="Q107" s="20">
        <f>SUM(U107:Z107)</f>
        <v/>
      </c>
      <c r="R107" s="20">
        <f>SUM(AA107:AF107)</f>
        <v/>
      </c>
      <c r="S107" s="21">
        <f>IF(ISNUMBER(K107),K107,IF(ISNUMBER(L107),-L107,""))</f>
        <v/>
      </c>
      <c r="T107" s="15">
        <f>IF(ISNUMBER(L107),L107,IF(ISNUMBER(K107),-K107,""))</f>
        <v/>
      </c>
      <c r="U107" s="21">
        <f>IF(ISNUMBER(S107),IF(ISNUMBER(S101),IF(S107&gt;S101,1.0,IF(S107=S101,0.5,0.0)),""),"")</f>
        <v/>
      </c>
      <c r="V107" s="15">
        <f>IF(ISNUMBER(S107),IF(ISNUMBER(S102),IF(S107&gt;S102,1.0,IF(S107=S102,0.5,0.0)),""),"")</f>
        <v/>
      </c>
      <c r="W107" s="15">
        <f>IF(ISNUMBER(S107),IF(ISNUMBER(S103),IF(S107&gt;S103,1.0,IF(S107=S103,0.5,0.0)),""),"")</f>
        <v/>
      </c>
      <c r="X107" s="15">
        <f>IF(ISNUMBER(S107),IF(ISNUMBER(S104),IF(S107&gt;S104,1.0,IF(S107=S104,0.5,0.0)),""),"")</f>
        <v/>
      </c>
      <c r="Y107" s="15">
        <f>IF(ISNUMBER(S107),IF(ISNUMBER(S105),IF(S107&gt;S105,1.0,IF(S107=S105,0.5,0.0)),""),"")</f>
        <v/>
      </c>
      <c r="Z107" s="15">
        <f>IF(ISNUMBER(S107),IF(ISNUMBER(S106),IF(S107&gt;S106,1.0,IF(S107=S106,0.5,0.0)),""),"")</f>
        <v/>
      </c>
      <c r="AA107" s="15">
        <f>IF(ISNUMBER(T107),IF(ISNUMBER(T101),IF(T107&gt;T101,1.0,IF(T107=T101,0.5,0.0)),""),"")</f>
        <v/>
      </c>
      <c r="AB107" s="15">
        <f>IF(ISNUMBER(T107),IF(ISNUMBER(T102),IF(T107&gt;T102,1.0,IF(T107=T102,0.5,0.0)),""),"")</f>
        <v/>
      </c>
      <c r="AC107" s="15">
        <f>IF(ISNUMBER(T107),IF(ISNUMBER(T103),IF(T107&gt;T103,1.0,IF(T107=T103,0.5,0.0)),""),"")</f>
        <v/>
      </c>
      <c r="AD107" s="15">
        <f>IF(ISNUMBER(T107),IF(ISNUMBER(T104),IF(T107&gt;T104,1.0,IF(T107=T104,0.5,0.0)),""),"")</f>
        <v/>
      </c>
      <c r="AE107" s="15">
        <f>IF(ISNUMBER(T107),IF(ISNUMBER(T105),IF(T107&gt;T105,1.0,IF(T107=T105,0.5,0.0)),""),"")</f>
        <v/>
      </c>
      <c r="AF107" s="15">
        <f>IF(ISNUMBER(T107),IF(ISNUMBER(T106),IF(T107&gt;T106,1.0,IF(T107=T106,0.5,0.0)),""),"")</f>
        <v/>
      </c>
      <c r="AG107" s="21">
        <f>IF(AND(ISNUMBER(S107),ISNUMBER(S101)),VLOOKUP(ABS(S107-S101),'IMP Table'!$A$2:$C$26,3)*SIGN(S107-S101),0)</f>
        <v/>
      </c>
      <c r="AH107" s="15">
        <f>IF(AND(ISNUMBER(S107),ISNUMBER(S102)),VLOOKUP(ABS(S107-S102),'IMP Table'!$A$2:$C$26,3)*SIGN(S107-S102),0)</f>
        <v/>
      </c>
      <c r="AI107" s="15">
        <f>IF(AND(ISNUMBER(S107),ISNUMBER(S103)),VLOOKUP(ABS(S107-S103),'IMP Table'!$A$2:$C$26,3)*SIGN(S107-S103),0)</f>
        <v/>
      </c>
      <c r="AJ107" s="15">
        <f>IF(AND(ISNUMBER(S107),ISNUMBER(S104)),VLOOKUP(ABS(S107-S104),'IMP Table'!$A$2:$C$26,3)*SIGN(S107-S104),0)</f>
        <v/>
      </c>
      <c r="AK107" s="15">
        <f>IF(AND(ISNUMBER(S107),ISNUMBER(S105)),VLOOKUP(ABS(S107-S105),'IMP Table'!$A$2:$C$26,3)*SIGN(S107-S105),0)</f>
        <v/>
      </c>
      <c r="AL107" s="15">
        <f>IF(AND(ISNUMBER(S107),ISNUMBER(S106)),VLOOKUP(ABS(S107-S106),'IMP Table'!$A$2:$C$26,3)*SIGN(S107-S106),0)</f>
        <v/>
      </c>
      <c r="AM107" s="15">
        <f>IF(AND(ISNUMBER(T107),ISNUMBER(T101)),VLOOKUP(ABS(T107-T101),'IMP Table'!$A$2:$C$26,3)*SIGN(T107-T101),0)</f>
        <v/>
      </c>
      <c r="AN107" s="15">
        <f>IF(AND(ISNUMBER(T107),ISNUMBER(T102)),VLOOKUP(ABS(T107-T102),'IMP Table'!$A$2:$C$26,3)*SIGN(T107-T102),0)</f>
        <v/>
      </c>
      <c r="AO107" s="15">
        <f>IF(AND(ISNUMBER(T107),ISNUMBER(T103)),VLOOKUP(ABS(T107-T103),'IMP Table'!$A$2:$C$26,3)*SIGN(T107-T103),0)</f>
        <v/>
      </c>
      <c r="AP107" s="15">
        <f>IF(AND(ISNUMBER(T107),ISNUMBER(T104)),VLOOKUP(ABS(T107-T104),'IMP Table'!$A$2:$C$26,3)*SIGN(T107-T104),0)</f>
        <v/>
      </c>
      <c r="AQ107" s="15">
        <f>IF(AND(ISNUMBER(T107),ISNUMBER(T105)),VLOOKUP(ABS(T107-T105),'IMP Table'!$A$2:$C$26,3)*SIGN(T107-T105),0)</f>
        <v/>
      </c>
      <c r="AR107" s="15">
        <f>IF(AND(ISNUMBER(T107),ISNUMBER(T106)),VLOOKUP(ABS(T107-T106),'IMP Table'!$A$2:$C$26,3)*SIGN(T107-T106),0)</f>
        <v/>
      </c>
    </row>
    <row r="108">
      <c r="A108" s="10" t="n">
        <v>16</v>
      </c>
      <c r="B108" s="10">
        <f>'By Round'!A157</f>
        <v/>
      </c>
      <c r="C108" s="10">
        <f>'By Round'!B165</f>
        <v/>
      </c>
      <c r="D108" s="10">
        <f>'By Round'!C165</f>
        <v/>
      </c>
      <c r="E108" s="10">
        <f>'By Round'!D165</f>
        <v/>
      </c>
      <c r="F108" s="10">
        <f>IF(ISBLANK('By Round'!F166),"",'By Round'!F166)</f>
        <v/>
      </c>
      <c r="G108">
        <f>IF(ISBLANK('By Round'!G166),"",'By Round'!G166)</f>
        <v/>
      </c>
      <c r="H108">
        <f>IF(ISBLANK('By Round'!H166),"",'By Round'!H166)</f>
        <v/>
      </c>
      <c r="I108">
        <f>IF(ISBLANK('By Round'!I166),"",'By Round'!I166)</f>
        <v/>
      </c>
      <c r="J108">
        <f>IF(ISBLANK('By Round'!J166),"",'By Round'!J166)</f>
        <v/>
      </c>
      <c r="K108">
        <f>IF(ISBLANK('By Round'!K166),"",'By Round'!K166)</f>
        <v/>
      </c>
      <c r="L108">
        <f>IF(ISBLANK('By Round'!L166),"",'By Round'!L166)</f>
        <v/>
      </c>
      <c r="M108" s="11">
        <f>AVERAGE(AG108:AL108)</f>
        <v/>
      </c>
      <c r="N108" s="12">
        <f>AVERAGE(AM108:AR108)</f>
        <v/>
      </c>
      <c r="O108" s="13">
        <f>IF(COUNT(U108:Z108)&gt;0,Q108/COUNT(U108:Z108),0.5)</f>
        <v/>
      </c>
      <c r="P108" s="13">
        <f>IF(COUNT(AA108:AF108)&gt;0,R108/COUNT(AA108:AF108),0.5)</f>
        <v/>
      </c>
      <c r="Q108" s="5">
        <f>SUM(U108:Z108)</f>
        <v/>
      </c>
      <c r="R108" s="5">
        <f>SUM(AA108:AF108)</f>
        <v/>
      </c>
      <c r="S108" s="14">
        <f>IF(ISNUMBER(K108),K108,IF(ISNUMBER(L108),-L108,""))</f>
        <v/>
      </c>
      <c r="T108">
        <f>IF(ISNUMBER(L108),L108,IF(ISNUMBER(K108),-K108,""))</f>
        <v/>
      </c>
      <c r="U108" s="14">
        <f>IF(ISNUMBER(S108),IF(ISNUMBER(S109),IF(S108&gt;S109,1.0,IF(S108=S109,0.5,0.0)),""),"")</f>
        <v/>
      </c>
      <c r="V108">
        <f>IF(ISNUMBER(S108),IF(ISNUMBER(S110),IF(S108&gt;S110,1.0,IF(S108=S110,0.5,0.0)),""),"")</f>
        <v/>
      </c>
      <c r="W108">
        <f>IF(ISNUMBER(S108),IF(ISNUMBER(S111),IF(S108&gt;S111,1.0,IF(S108=S111,0.5,0.0)),""),"")</f>
        <v/>
      </c>
      <c r="X108">
        <f>IF(ISNUMBER(S108),IF(ISNUMBER(S112),IF(S108&gt;S112,1.0,IF(S108=S112,0.5,0.0)),""),"")</f>
        <v/>
      </c>
      <c r="Y108">
        <f>IF(ISNUMBER(S108),IF(ISNUMBER(S113),IF(S108&gt;S113,1.0,IF(S108=S113,0.5,0.0)),""),"")</f>
        <v/>
      </c>
      <c r="Z108">
        <f>IF(ISNUMBER(S108),IF(ISNUMBER(S114),IF(S108&gt;S114,1.0,IF(S108=S114,0.5,0.0)),""),"")</f>
        <v/>
      </c>
      <c r="AA108">
        <f>IF(ISNUMBER(T108),IF(ISNUMBER(T109),IF(T108&gt;T109,1.0,IF(T108=T109,0.5,0.0)),""),"")</f>
        <v/>
      </c>
      <c r="AB108">
        <f>IF(ISNUMBER(T108),IF(ISNUMBER(T110),IF(T108&gt;T110,1.0,IF(T108=T110,0.5,0.0)),""),"")</f>
        <v/>
      </c>
      <c r="AC108">
        <f>IF(ISNUMBER(T108),IF(ISNUMBER(T111),IF(T108&gt;T111,1.0,IF(T108=T111,0.5,0.0)),""),"")</f>
        <v/>
      </c>
      <c r="AD108">
        <f>IF(ISNUMBER(T108),IF(ISNUMBER(T112),IF(T108&gt;T112,1.0,IF(T108=T112,0.5,0.0)),""),"")</f>
        <v/>
      </c>
      <c r="AE108">
        <f>IF(ISNUMBER(T108),IF(ISNUMBER(T113),IF(T108&gt;T113,1.0,IF(T108=T113,0.5,0.0)),""),"")</f>
        <v/>
      </c>
      <c r="AF108">
        <f>IF(ISNUMBER(T108),IF(ISNUMBER(T114),IF(T108&gt;T114,1.0,IF(T108=T114,0.5,0.0)),""),"")</f>
        <v/>
      </c>
      <c r="AG108" s="14">
        <f>IF(AND(ISNUMBER(S108),ISNUMBER(S109)),VLOOKUP(ABS(S108-S109),'IMP Table'!$A$2:$C$26,3)*SIGN(S108-S109),0)</f>
        <v/>
      </c>
      <c r="AH108">
        <f>IF(AND(ISNUMBER(S108),ISNUMBER(S110)),VLOOKUP(ABS(S108-S110),'IMP Table'!$A$2:$C$26,3)*SIGN(S108-S110),0)</f>
        <v/>
      </c>
      <c r="AI108">
        <f>IF(AND(ISNUMBER(S108),ISNUMBER(S111)),VLOOKUP(ABS(S108-S111),'IMP Table'!$A$2:$C$26,3)*SIGN(S108-S111),0)</f>
        <v/>
      </c>
      <c r="AJ108">
        <f>IF(AND(ISNUMBER(S108),ISNUMBER(S112)),VLOOKUP(ABS(S108-S112),'IMP Table'!$A$2:$C$26,3)*SIGN(S108-S112),0)</f>
        <v/>
      </c>
      <c r="AK108">
        <f>IF(AND(ISNUMBER(S108),ISNUMBER(S113)),VLOOKUP(ABS(S108-S113),'IMP Table'!$A$2:$C$26,3)*SIGN(S108-S113),0)</f>
        <v/>
      </c>
      <c r="AL108">
        <f>IF(AND(ISNUMBER(S108),ISNUMBER(S114)),VLOOKUP(ABS(S108-S114),'IMP Table'!$A$2:$C$26,3)*SIGN(S108-S114),0)</f>
        <v/>
      </c>
      <c r="AM108">
        <f>IF(AND(ISNUMBER(T108),ISNUMBER(T109)),VLOOKUP(ABS(T108-T109),'IMP Table'!$A$2:$C$26,3)*SIGN(T108-T109),0)</f>
        <v/>
      </c>
      <c r="AN108">
        <f>IF(AND(ISNUMBER(T108),ISNUMBER(T110)),VLOOKUP(ABS(T108-T110),'IMP Table'!$A$2:$C$26,3)*SIGN(T108-T110),0)</f>
        <v/>
      </c>
      <c r="AO108">
        <f>IF(AND(ISNUMBER(T108),ISNUMBER(T111)),VLOOKUP(ABS(T108-T111),'IMP Table'!$A$2:$C$26,3)*SIGN(T108-T111),0)</f>
        <v/>
      </c>
      <c r="AP108">
        <f>IF(AND(ISNUMBER(T108),ISNUMBER(T112)),VLOOKUP(ABS(T108-T112),'IMP Table'!$A$2:$C$26,3)*SIGN(T108-T112),0)</f>
        <v/>
      </c>
      <c r="AQ108">
        <f>IF(AND(ISNUMBER(T108),ISNUMBER(T113)),VLOOKUP(ABS(T108-T113),'IMP Table'!$A$2:$C$26,3)*SIGN(T108-T113),0)</f>
        <v/>
      </c>
      <c r="AR108">
        <f>IF(AND(ISNUMBER(T108),ISNUMBER(T114)),VLOOKUP(ABS(T108-T114),'IMP Table'!$A$2:$C$26,3)*SIGN(T108-T114),0)</f>
        <v/>
      </c>
    </row>
    <row r="109">
      <c r="B109" s="10">
        <f>'By Round'!A143</f>
        <v/>
      </c>
      <c r="C109" s="10">
        <f>'By Round'!B153</f>
        <v/>
      </c>
      <c r="D109" s="10">
        <f>'By Round'!C153</f>
        <v/>
      </c>
      <c r="E109" s="10">
        <f>'By Round'!D153</f>
        <v/>
      </c>
      <c r="F109" s="10">
        <f>IF(ISBLANK('By Round'!F154),"",'By Round'!F154)</f>
        <v/>
      </c>
      <c r="G109">
        <f>IF(ISBLANK('By Round'!G154),"",'By Round'!G154)</f>
        <v/>
      </c>
      <c r="H109">
        <f>IF(ISBLANK('By Round'!H154),"",'By Round'!H154)</f>
        <v/>
      </c>
      <c r="I109">
        <f>IF(ISBLANK('By Round'!I154),"",'By Round'!I154)</f>
        <v/>
      </c>
      <c r="J109">
        <f>IF(ISBLANK('By Round'!J154),"",'By Round'!J154)</f>
        <v/>
      </c>
      <c r="K109">
        <f>IF(ISBLANK('By Round'!K154),"",'By Round'!K154)</f>
        <v/>
      </c>
      <c r="L109">
        <f>IF(ISBLANK('By Round'!L154),"",'By Round'!L154)</f>
        <v/>
      </c>
      <c r="M109" s="11">
        <f>AVERAGE(AG109:AL109)</f>
        <v/>
      </c>
      <c r="N109" s="12">
        <f>AVERAGE(AM109:AR109)</f>
        <v/>
      </c>
      <c r="O109" s="13">
        <f>IF(COUNT(U109:Z109)&gt;0,Q109/COUNT(U109:Z109),0.5)</f>
        <v/>
      </c>
      <c r="P109" s="13">
        <f>IF(COUNT(AA109:AF109)&gt;0,R109/COUNT(AA109:AF109),0.5)</f>
        <v/>
      </c>
      <c r="Q109" s="5">
        <f>SUM(U109:Z109)</f>
        <v/>
      </c>
      <c r="R109" s="5">
        <f>SUM(AA109:AF109)</f>
        <v/>
      </c>
      <c r="S109" s="14">
        <f>IF(ISNUMBER(K109),K109,IF(ISNUMBER(L109),-L109,""))</f>
        <v/>
      </c>
      <c r="T109">
        <f>IF(ISNUMBER(L109),L109,IF(ISNUMBER(K109),-K109,""))</f>
        <v/>
      </c>
      <c r="U109" s="14">
        <f>IF(ISNUMBER(S109),IF(ISNUMBER(S108),IF(S109&gt;S108,1.0,IF(S109=S108,0.5,0.0)),""),"")</f>
        <v/>
      </c>
      <c r="V109">
        <f>IF(ISNUMBER(S109),IF(ISNUMBER(S110),IF(S109&gt;S110,1.0,IF(S109=S110,0.5,0.0)),""),"")</f>
        <v/>
      </c>
      <c r="W109">
        <f>IF(ISNUMBER(S109),IF(ISNUMBER(S111),IF(S109&gt;S111,1.0,IF(S109=S111,0.5,0.0)),""),"")</f>
        <v/>
      </c>
      <c r="X109">
        <f>IF(ISNUMBER(S109),IF(ISNUMBER(S112),IF(S109&gt;S112,1.0,IF(S109=S112,0.5,0.0)),""),"")</f>
        <v/>
      </c>
      <c r="Y109">
        <f>IF(ISNUMBER(S109),IF(ISNUMBER(S113),IF(S109&gt;S113,1.0,IF(S109=S113,0.5,0.0)),""),"")</f>
        <v/>
      </c>
      <c r="Z109">
        <f>IF(ISNUMBER(S109),IF(ISNUMBER(S114),IF(S109&gt;S114,1.0,IF(S109=S114,0.5,0.0)),""),"")</f>
        <v/>
      </c>
      <c r="AA109">
        <f>IF(ISNUMBER(T109),IF(ISNUMBER(T108),IF(T109&gt;T108,1.0,IF(T109=T108,0.5,0.0)),""),"")</f>
        <v/>
      </c>
      <c r="AB109">
        <f>IF(ISNUMBER(T109),IF(ISNUMBER(T110),IF(T109&gt;T110,1.0,IF(T109=T110,0.5,0.0)),""),"")</f>
        <v/>
      </c>
      <c r="AC109">
        <f>IF(ISNUMBER(T109),IF(ISNUMBER(T111),IF(T109&gt;T111,1.0,IF(T109=T111,0.5,0.0)),""),"")</f>
        <v/>
      </c>
      <c r="AD109">
        <f>IF(ISNUMBER(T109),IF(ISNUMBER(T112),IF(T109&gt;T112,1.0,IF(T109=T112,0.5,0.0)),""),"")</f>
        <v/>
      </c>
      <c r="AE109">
        <f>IF(ISNUMBER(T109),IF(ISNUMBER(T113),IF(T109&gt;T113,1.0,IF(T109=T113,0.5,0.0)),""),"")</f>
        <v/>
      </c>
      <c r="AF109">
        <f>IF(ISNUMBER(T109),IF(ISNUMBER(T114),IF(T109&gt;T114,1.0,IF(T109=T114,0.5,0.0)),""),"")</f>
        <v/>
      </c>
      <c r="AG109" s="14">
        <f>IF(AND(ISNUMBER(S109),ISNUMBER(S108)),VLOOKUP(ABS(S109-S108),'IMP Table'!$A$2:$C$26,3)*SIGN(S109-S108),0)</f>
        <v/>
      </c>
      <c r="AH109">
        <f>IF(AND(ISNUMBER(S109),ISNUMBER(S110)),VLOOKUP(ABS(S109-S110),'IMP Table'!$A$2:$C$26,3)*SIGN(S109-S110),0)</f>
        <v/>
      </c>
      <c r="AI109">
        <f>IF(AND(ISNUMBER(S109),ISNUMBER(S111)),VLOOKUP(ABS(S109-S111),'IMP Table'!$A$2:$C$26,3)*SIGN(S109-S111),0)</f>
        <v/>
      </c>
      <c r="AJ109">
        <f>IF(AND(ISNUMBER(S109),ISNUMBER(S112)),VLOOKUP(ABS(S109-S112),'IMP Table'!$A$2:$C$26,3)*SIGN(S109-S112),0)</f>
        <v/>
      </c>
      <c r="AK109">
        <f>IF(AND(ISNUMBER(S109),ISNUMBER(S113)),VLOOKUP(ABS(S109-S113),'IMP Table'!$A$2:$C$26,3)*SIGN(S109-S113),0)</f>
        <v/>
      </c>
      <c r="AL109">
        <f>IF(AND(ISNUMBER(S109),ISNUMBER(S114)),VLOOKUP(ABS(S109-S114),'IMP Table'!$A$2:$C$26,3)*SIGN(S109-S114),0)</f>
        <v/>
      </c>
      <c r="AM109">
        <f>IF(AND(ISNUMBER(T109),ISNUMBER(T108)),VLOOKUP(ABS(T109-T108),'IMP Table'!$A$2:$C$26,3)*SIGN(T109-T108),0)</f>
        <v/>
      </c>
      <c r="AN109">
        <f>IF(AND(ISNUMBER(T109),ISNUMBER(T110)),VLOOKUP(ABS(T109-T110),'IMP Table'!$A$2:$C$26,3)*SIGN(T109-T110),0)</f>
        <v/>
      </c>
      <c r="AO109">
        <f>IF(AND(ISNUMBER(T109),ISNUMBER(T111)),VLOOKUP(ABS(T109-T111),'IMP Table'!$A$2:$C$26,3)*SIGN(T109-T111),0)</f>
        <v/>
      </c>
      <c r="AP109">
        <f>IF(AND(ISNUMBER(T109),ISNUMBER(T112)),VLOOKUP(ABS(T109-T112),'IMP Table'!$A$2:$C$26,3)*SIGN(T109-T112),0)</f>
        <v/>
      </c>
      <c r="AQ109">
        <f>IF(AND(ISNUMBER(T109),ISNUMBER(T113)),VLOOKUP(ABS(T109-T113),'IMP Table'!$A$2:$C$26,3)*SIGN(T109-T113),0)</f>
        <v/>
      </c>
      <c r="AR109">
        <f>IF(AND(ISNUMBER(T109),ISNUMBER(T114)),VLOOKUP(ABS(T109-T114),'IMP Table'!$A$2:$C$26,3)*SIGN(T109-T114),0)</f>
        <v/>
      </c>
    </row>
    <row r="110">
      <c r="B110" s="10">
        <f>'By Round'!A59</f>
        <v/>
      </c>
      <c r="C110" s="10">
        <f>'By Round'!B63</f>
        <v/>
      </c>
      <c r="D110" s="10">
        <f>'By Round'!C63</f>
        <v/>
      </c>
      <c r="E110" s="10">
        <f>'By Round'!D63</f>
        <v/>
      </c>
      <c r="F110" s="10">
        <f>IF(ISBLANK('By Round'!F64),"",'By Round'!F64)</f>
        <v/>
      </c>
      <c r="G110">
        <f>IF(ISBLANK('By Round'!G64),"",'By Round'!G64)</f>
        <v/>
      </c>
      <c r="H110">
        <f>IF(ISBLANK('By Round'!H64),"",'By Round'!H64)</f>
        <v/>
      </c>
      <c r="I110">
        <f>IF(ISBLANK('By Round'!I64),"",'By Round'!I64)</f>
        <v/>
      </c>
      <c r="J110">
        <f>IF(ISBLANK('By Round'!J64),"",'By Round'!J64)</f>
        <v/>
      </c>
      <c r="K110">
        <f>IF(ISBLANK('By Round'!K64),"",'By Round'!K64)</f>
        <v/>
      </c>
      <c r="L110">
        <f>IF(ISBLANK('By Round'!L64),"",'By Round'!L64)</f>
        <v/>
      </c>
      <c r="M110" s="11">
        <f>AVERAGE(AG110:AL110)</f>
        <v/>
      </c>
      <c r="N110" s="12">
        <f>AVERAGE(AM110:AR110)</f>
        <v/>
      </c>
      <c r="O110" s="13">
        <f>IF(COUNT(U110:Z110)&gt;0,Q110/COUNT(U110:Z110),0.5)</f>
        <v/>
      </c>
      <c r="P110" s="13">
        <f>IF(COUNT(AA110:AF110)&gt;0,R110/COUNT(AA110:AF110),0.5)</f>
        <v/>
      </c>
      <c r="Q110" s="5">
        <f>SUM(U110:Z110)</f>
        <v/>
      </c>
      <c r="R110" s="5">
        <f>SUM(AA110:AF110)</f>
        <v/>
      </c>
      <c r="S110" s="14">
        <f>IF(ISNUMBER(K110),K110,IF(ISNUMBER(L110),-L110,""))</f>
        <v/>
      </c>
      <c r="T110">
        <f>IF(ISNUMBER(L110),L110,IF(ISNUMBER(K110),-K110,""))</f>
        <v/>
      </c>
      <c r="U110" s="14">
        <f>IF(ISNUMBER(S110),IF(ISNUMBER(S108),IF(S110&gt;S108,1.0,IF(S110=S108,0.5,0.0)),""),"")</f>
        <v/>
      </c>
      <c r="V110">
        <f>IF(ISNUMBER(S110),IF(ISNUMBER(S109),IF(S110&gt;S109,1.0,IF(S110=S109,0.5,0.0)),""),"")</f>
        <v/>
      </c>
      <c r="W110">
        <f>IF(ISNUMBER(S110),IF(ISNUMBER(S111),IF(S110&gt;S111,1.0,IF(S110=S111,0.5,0.0)),""),"")</f>
        <v/>
      </c>
      <c r="X110">
        <f>IF(ISNUMBER(S110),IF(ISNUMBER(S112),IF(S110&gt;S112,1.0,IF(S110=S112,0.5,0.0)),""),"")</f>
        <v/>
      </c>
      <c r="Y110">
        <f>IF(ISNUMBER(S110),IF(ISNUMBER(S113),IF(S110&gt;S113,1.0,IF(S110=S113,0.5,0.0)),""),"")</f>
        <v/>
      </c>
      <c r="Z110">
        <f>IF(ISNUMBER(S110),IF(ISNUMBER(S114),IF(S110&gt;S114,1.0,IF(S110=S114,0.5,0.0)),""),"")</f>
        <v/>
      </c>
      <c r="AA110">
        <f>IF(ISNUMBER(T110),IF(ISNUMBER(T108),IF(T110&gt;T108,1.0,IF(T110=T108,0.5,0.0)),""),"")</f>
        <v/>
      </c>
      <c r="AB110">
        <f>IF(ISNUMBER(T110),IF(ISNUMBER(T109),IF(T110&gt;T109,1.0,IF(T110=T109,0.5,0.0)),""),"")</f>
        <v/>
      </c>
      <c r="AC110">
        <f>IF(ISNUMBER(T110),IF(ISNUMBER(T111),IF(T110&gt;T111,1.0,IF(T110=T111,0.5,0.0)),""),"")</f>
        <v/>
      </c>
      <c r="AD110">
        <f>IF(ISNUMBER(T110),IF(ISNUMBER(T112),IF(T110&gt;T112,1.0,IF(T110=T112,0.5,0.0)),""),"")</f>
        <v/>
      </c>
      <c r="AE110">
        <f>IF(ISNUMBER(T110),IF(ISNUMBER(T113),IF(T110&gt;T113,1.0,IF(T110=T113,0.5,0.0)),""),"")</f>
        <v/>
      </c>
      <c r="AF110">
        <f>IF(ISNUMBER(T110),IF(ISNUMBER(T114),IF(T110&gt;T114,1.0,IF(T110=T114,0.5,0.0)),""),"")</f>
        <v/>
      </c>
      <c r="AG110" s="14">
        <f>IF(AND(ISNUMBER(S110),ISNUMBER(S108)),VLOOKUP(ABS(S110-S108),'IMP Table'!$A$2:$C$26,3)*SIGN(S110-S108),0)</f>
        <v/>
      </c>
      <c r="AH110">
        <f>IF(AND(ISNUMBER(S110),ISNUMBER(S109)),VLOOKUP(ABS(S110-S109),'IMP Table'!$A$2:$C$26,3)*SIGN(S110-S109),0)</f>
        <v/>
      </c>
      <c r="AI110">
        <f>IF(AND(ISNUMBER(S110),ISNUMBER(S111)),VLOOKUP(ABS(S110-S111),'IMP Table'!$A$2:$C$26,3)*SIGN(S110-S111),0)</f>
        <v/>
      </c>
      <c r="AJ110">
        <f>IF(AND(ISNUMBER(S110),ISNUMBER(S112)),VLOOKUP(ABS(S110-S112),'IMP Table'!$A$2:$C$26,3)*SIGN(S110-S112),0)</f>
        <v/>
      </c>
      <c r="AK110">
        <f>IF(AND(ISNUMBER(S110),ISNUMBER(S113)),VLOOKUP(ABS(S110-S113),'IMP Table'!$A$2:$C$26,3)*SIGN(S110-S113),0)</f>
        <v/>
      </c>
      <c r="AL110">
        <f>IF(AND(ISNUMBER(S110),ISNUMBER(S114)),VLOOKUP(ABS(S110-S114),'IMP Table'!$A$2:$C$26,3)*SIGN(S110-S114),0)</f>
        <v/>
      </c>
      <c r="AM110">
        <f>IF(AND(ISNUMBER(T110),ISNUMBER(T108)),VLOOKUP(ABS(T110-T108),'IMP Table'!$A$2:$C$26,3)*SIGN(T110-T108),0)</f>
        <v/>
      </c>
      <c r="AN110">
        <f>IF(AND(ISNUMBER(T110),ISNUMBER(T109)),VLOOKUP(ABS(T110-T109),'IMP Table'!$A$2:$C$26,3)*SIGN(T110-T109),0)</f>
        <v/>
      </c>
      <c r="AO110">
        <f>IF(AND(ISNUMBER(T110),ISNUMBER(T111)),VLOOKUP(ABS(T110-T111),'IMP Table'!$A$2:$C$26,3)*SIGN(T110-T111),0)</f>
        <v/>
      </c>
      <c r="AP110">
        <f>IF(AND(ISNUMBER(T110),ISNUMBER(T112)),VLOOKUP(ABS(T110-T112),'IMP Table'!$A$2:$C$26,3)*SIGN(T110-T112),0)</f>
        <v/>
      </c>
      <c r="AQ110">
        <f>IF(AND(ISNUMBER(T110),ISNUMBER(T113)),VLOOKUP(ABS(T110-T113),'IMP Table'!$A$2:$C$26,3)*SIGN(T110-T113),0)</f>
        <v/>
      </c>
      <c r="AR110">
        <f>IF(AND(ISNUMBER(T110),ISNUMBER(T114)),VLOOKUP(ABS(T110-T114),'IMP Table'!$A$2:$C$26,3)*SIGN(T110-T114),0)</f>
        <v/>
      </c>
    </row>
    <row r="111">
      <c r="B111" s="10">
        <f>'By Round'!A73</f>
        <v/>
      </c>
      <c r="C111" s="10">
        <f>'By Round'!B75</f>
        <v/>
      </c>
      <c r="D111" s="10">
        <f>'By Round'!C75</f>
        <v/>
      </c>
      <c r="E111" s="10">
        <f>'By Round'!D75</f>
        <v/>
      </c>
      <c r="F111" s="10">
        <f>IF(ISBLANK('By Round'!F76),"",'By Round'!F76)</f>
        <v/>
      </c>
      <c r="G111">
        <f>IF(ISBLANK('By Round'!G76),"",'By Round'!G76)</f>
        <v/>
      </c>
      <c r="H111">
        <f>IF(ISBLANK('By Round'!H76),"",'By Round'!H76)</f>
        <v/>
      </c>
      <c r="I111">
        <f>IF(ISBLANK('By Round'!I76),"",'By Round'!I76)</f>
        <v/>
      </c>
      <c r="J111">
        <f>IF(ISBLANK('By Round'!J76),"",'By Round'!J76)</f>
        <v/>
      </c>
      <c r="K111">
        <f>IF(ISBLANK('By Round'!K76),"",'By Round'!K76)</f>
        <v/>
      </c>
      <c r="L111">
        <f>IF(ISBLANK('By Round'!L76),"",'By Round'!L76)</f>
        <v/>
      </c>
      <c r="M111" s="11">
        <f>AVERAGE(AG111:AL111)</f>
        <v/>
      </c>
      <c r="N111" s="12">
        <f>AVERAGE(AM111:AR111)</f>
        <v/>
      </c>
      <c r="O111" s="13">
        <f>IF(COUNT(U111:Z111)&gt;0,Q111/COUNT(U111:Z111),0.5)</f>
        <v/>
      </c>
      <c r="P111" s="13">
        <f>IF(COUNT(AA111:AF111)&gt;0,R111/COUNT(AA111:AF111),0.5)</f>
        <v/>
      </c>
      <c r="Q111" s="5">
        <f>SUM(U111:Z111)</f>
        <v/>
      </c>
      <c r="R111" s="5">
        <f>SUM(AA111:AF111)</f>
        <v/>
      </c>
      <c r="S111" s="14">
        <f>IF(ISNUMBER(K111),K111,IF(ISNUMBER(L111),-L111,""))</f>
        <v/>
      </c>
      <c r="T111">
        <f>IF(ISNUMBER(L111),L111,IF(ISNUMBER(K111),-K111,""))</f>
        <v/>
      </c>
      <c r="U111" s="14">
        <f>IF(ISNUMBER(S111),IF(ISNUMBER(S108),IF(S111&gt;S108,1.0,IF(S111=S108,0.5,0.0)),""),"")</f>
        <v/>
      </c>
      <c r="V111">
        <f>IF(ISNUMBER(S111),IF(ISNUMBER(S109),IF(S111&gt;S109,1.0,IF(S111=S109,0.5,0.0)),""),"")</f>
        <v/>
      </c>
      <c r="W111">
        <f>IF(ISNUMBER(S111),IF(ISNUMBER(S110),IF(S111&gt;S110,1.0,IF(S111=S110,0.5,0.0)),""),"")</f>
        <v/>
      </c>
      <c r="X111">
        <f>IF(ISNUMBER(S111),IF(ISNUMBER(S112),IF(S111&gt;S112,1.0,IF(S111=S112,0.5,0.0)),""),"")</f>
        <v/>
      </c>
      <c r="Y111">
        <f>IF(ISNUMBER(S111),IF(ISNUMBER(S113),IF(S111&gt;S113,1.0,IF(S111=S113,0.5,0.0)),""),"")</f>
        <v/>
      </c>
      <c r="Z111">
        <f>IF(ISNUMBER(S111),IF(ISNUMBER(S114),IF(S111&gt;S114,1.0,IF(S111=S114,0.5,0.0)),""),"")</f>
        <v/>
      </c>
      <c r="AA111">
        <f>IF(ISNUMBER(T111),IF(ISNUMBER(T108),IF(T111&gt;T108,1.0,IF(T111=T108,0.5,0.0)),""),"")</f>
        <v/>
      </c>
      <c r="AB111">
        <f>IF(ISNUMBER(T111),IF(ISNUMBER(T109),IF(T111&gt;T109,1.0,IF(T111=T109,0.5,0.0)),""),"")</f>
        <v/>
      </c>
      <c r="AC111">
        <f>IF(ISNUMBER(T111),IF(ISNUMBER(T110),IF(T111&gt;T110,1.0,IF(T111=T110,0.5,0.0)),""),"")</f>
        <v/>
      </c>
      <c r="AD111">
        <f>IF(ISNUMBER(T111),IF(ISNUMBER(T112),IF(T111&gt;T112,1.0,IF(T111=T112,0.5,0.0)),""),"")</f>
        <v/>
      </c>
      <c r="AE111">
        <f>IF(ISNUMBER(T111),IF(ISNUMBER(T113),IF(T111&gt;T113,1.0,IF(T111=T113,0.5,0.0)),""),"")</f>
        <v/>
      </c>
      <c r="AF111">
        <f>IF(ISNUMBER(T111),IF(ISNUMBER(T114),IF(T111&gt;T114,1.0,IF(T111=T114,0.5,0.0)),""),"")</f>
        <v/>
      </c>
      <c r="AG111" s="14">
        <f>IF(AND(ISNUMBER(S111),ISNUMBER(S108)),VLOOKUP(ABS(S111-S108),'IMP Table'!$A$2:$C$26,3)*SIGN(S111-S108),0)</f>
        <v/>
      </c>
      <c r="AH111">
        <f>IF(AND(ISNUMBER(S111),ISNUMBER(S109)),VLOOKUP(ABS(S111-S109),'IMP Table'!$A$2:$C$26,3)*SIGN(S111-S109),0)</f>
        <v/>
      </c>
      <c r="AI111">
        <f>IF(AND(ISNUMBER(S111),ISNUMBER(S110)),VLOOKUP(ABS(S111-S110),'IMP Table'!$A$2:$C$26,3)*SIGN(S111-S110),0)</f>
        <v/>
      </c>
      <c r="AJ111">
        <f>IF(AND(ISNUMBER(S111),ISNUMBER(S112)),VLOOKUP(ABS(S111-S112),'IMP Table'!$A$2:$C$26,3)*SIGN(S111-S112),0)</f>
        <v/>
      </c>
      <c r="AK111">
        <f>IF(AND(ISNUMBER(S111),ISNUMBER(S113)),VLOOKUP(ABS(S111-S113),'IMP Table'!$A$2:$C$26,3)*SIGN(S111-S113),0)</f>
        <v/>
      </c>
      <c r="AL111">
        <f>IF(AND(ISNUMBER(S111),ISNUMBER(S114)),VLOOKUP(ABS(S111-S114),'IMP Table'!$A$2:$C$26,3)*SIGN(S111-S114),0)</f>
        <v/>
      </c>
      <c r="AM111">
        <f>IF(AND(ISNUMBER(T111),ISNUMBER(T108)),VLOOKUP(ABS(T111-T108),'IMP Table'!$A$2:$C$26,3)*SIGN(T111-T108),0)</f>
        <v/>
      </c>
      <c r="AN111">
        <f>IF(AND(ISNUMBER(T111),ISNUMBER(T109)),VLOOKUP(ABS(T111-T109),'IMP Table'!$A$2:$C$26,3)*SIGN(T111-T109),0)</f>
        <v/>
      </c>
      <c r="AO111">
        <f>IF(AND(ISNUMBER(T111),ISNUMBER(T110)),VLOOKUP(ABS(T111-T110),'IMP Table'!$A$2:$C$26,3)*SIGN(T111-T110),0)</f>
        <v/>
      </c>
      <c r="AP111">
        <f>IF(AND(ISNUMBER(T111),ISNUMBER(T112)),VLOOKUP(ABS(T111-T112),'IMP Table'!$A$2:$C$26,3)*SIGN(T111-T112),0)</f>
        <v/>
      </c>
      <c r="AQ111">
        <f>IF(AND(ISNUMBER(T111),ISNUMBER(T113)),VLOOKUP(ABS(T111-T113),'IMP Table'!$A$2:$C$26,3)*SIGN(T111-T113),0)</f>
        <v/>
      </c>
      <c r="AR111">
        <f>IF(AND(ISNUMBER(T111),ISNUMBER(T114)),VLOOKUP(ABS(T111-T114),'IMP Table'!$A$2:$C$26,3)*SIGN(T111-T114),0)</f>
        <v/>
      </c>
    </row>
    <row r="112">
      <c r="B112" s="10">
        <f>'By Round'!A45</f>
        <v/>
      </c>
      <c r="C112" s="10">
        <f>'By Round'!B51</f>
        <v/>
      </c>
      <c r="D112" s="10">
        <f>'By Round'!C51</f>
        <v/>
      </c>
      <c r="E112" s="10">
        <f>'By Round'!D51</f>
        <v/>
      </c>
      <c r="F112" s="10">
        <f>IF(ISBLANK('By Round'!F52),"",'By Round'!F52)</f>
        <v/>
      </c>
      <c r="G112">
        <f>IF(ISBLANK('By Round'!G52),"",'By Round'!G52)</f>
        <v/>
      </c>
      <c r="H112">
        <f>IF(ISBLANK('By Round'!H52),"",'By Round'!H52)</f>
        <v/>
      </c>
      <c r="I112">
        <f>IF(ISBLANK('By Round'!I52),"",'By Round'!I52)</f>
        <v/>
      </c>
      <c r="J112">
        <f>IF(ISBLANK('By Round'!J52),"",'By Round'!J52)</f>
        <v/>
      </c>
      <c r="K112">
        <f>IF(ISBLANK('By Round'!K52),"",'By Round'!K52)</f>
        <v/>
      </c>
      <c r="L112">
        <f>IF(ISBLANK('By Round'!L52),"",'By Round'!L52)</f>
        <v/>
      </c>
      <c r="M112" s="11">
        <f>AVERAGE(AG112:AL112)</f>
        <v/>
      </c>
      <c r="N112" s="12">
        <f>AVERAGE(AM112:AR112)</f>
        <v/>
      </c>
      <c r="O112" s="13">
        <f>IF(COUNT(U112:Z112)&gt;0,Q112/COUNT(U112:Z112),0.5)</f>
        <v/>
      </c>
      <c r="P112" s="13">
        <f>IF(COUNT(AA112:AF112)&gt;0,R112/COUNT(AA112:AF112),0.5)</f>
        <v/>
      </c>
      <c r="Q112" s="5">
        <f>SUM(U112:Z112)</f>
        <v/>
      </c>
      <c r="R112" s="5">
        <f>SUM(AA112:AF112)</f>
        <v/>
      </c>
      <c r="S112" s="14">
        <f>IF(ISNUMBER(K112),K112,IF(ISNUMBER(L112),-L112,""))</f>
        <v/>
      </c>
      <c r="T112">
        <f>IF(ISNUMBER(L112),L112,IF(ISNUMBER(K112),-K112,""))</f>
        <v/>
      </c>
      <c r="U112" s="14">
        <f>IF(ISNUMBER(S112),IF(ISNUMBER(S108),IF(S112&gt;S108,1.0,IF(S112=S108,0.5,0.0)),""),"")</f>
        <v/>
      </c>
      <c r="V112">
        <f>IF(ISNUMBER(S112),IF(ISNUMBER(S109),IF(S112&gt;S109,1.0,IF(S112=S109,0.5,0.0)),""),"")</f>
        <v/>
      </c>
      <c r="W112">
        <f>IF(ISNUMBER(S112),IF(ISNUMBER(S110),IF(S112&gt;S110,1.0,IF(S112=S110,0.5,0.0)),""),"")</f>
        <v/>
      </c>
      <c r="X112">
        <f>IF(ISNUMBER(S112),IF(ISNUMBER(S111),IF(S112&gt;S111,1.0,IF(S112=S111,0.5,0.0)),""),"")</f>
        <v/>
      </c>
      <c r="Y112">
        <f>IF(ISNUMBER(S112),IF(ISNUMBER(S113),IF(S112&gt;S113,1.0,IF(S112=S113,0.5,0.0)),""),"")</f>
        <v/>
      </c>
      <c r="Z112">
        <f>IF(ISNUMBER(S112),IF(ISNUMBER(S114),IF(S112&gt;S114,1.0,IF(S112=S114,0.5,0.0)),""),"")</f>
        <v/>
      </c>
      <c r="AA112">
        <f>IF(ISNUMBER(T112),IF(ISNUMBER(T108),IF(T112&gt;T108,1.0,IF(T112=T108,0.5,0.0)),""),"")</f>
        <v/>
      </c>
      <c r="AB112">
        <f>IF(ISNUMBER(T112),IF(ISNUMBER(T109),IF(T112&gt;T109,1.0,IF(T112=T109,0.5,0.0)),""),"")</f>
        <v/>
      </c>
      <c r="AC112">
        <f>IF(ISNUMBER(T112),IF(ISNUMBER(T110),IF(T112&gt;T110,1.0,IF(T112=T110,0.5,0.0)),""),"")</f>
        <v/>
      </c>
      <c r="AD112">
        <f>IF(ISNUMBER(T112),IF(ISNUMBER(T111),IF(T112&gt;T111,1.0,IF(T112=T111,0.5,0.0)),""),"")</f>
        <v/>
      </c>
      <c r="AE112">
        <f>IF(ISNUMBER(T112),IF(ISNUMBER(T113),IF(T112&gt;T113,1.0,IF(T112=T113,0.5,0.0)),""),"")</f>
        <v/>
      </c>
      <c r="AF112">
        <f>IF(ISNUMBER(T112),IF(ISNUMBER(T114),IF(T112&gt;T114,1.0,IF(T112=T114,0.5,0.0)),""),"")</f>
        <v/>
      </c>
      <c r="AG112" s="14">
        <f>IF(AND(ISNUMBER(S112),ISNUMBER(S108)),VLOOKUP(ABS(S112-S108),'IMP Table'!$A$2:$C$26,3)*SIGN(S112-S108),0)</f>
        <v/>
      </c>
      <c r="AH112">
        <f>IF(AND(ISNUMBER(S112),ISNUMBER(S109)),VLOOKUP(ABS(S112-S109),'IMP Table'!$A$2:$C$26,3)*SIGN(S112-S109),0)</f>
        <v/>
      </c>
      <c r="AI112">
        <f>IF(AND(ISNUMBER(S112),ISNUMBER(S110)),VLOOKUP(ABS(S112-S110),'IMP Table'!$A$2:$C$26,3)*SIGN(S112-S110),0)</f>
        <v/>
      </c>
      <c r="AJ112">
        <f>IF(AND(ISNUMBER(S112),ISNUMBER(S111)),VLOOKUP(ABS(S112-S111),'IMP Table'!$A$2:$C$26,3)*SIGN(S112-S111),0)</f>
        <v/>
      </c>
      <c r="AK112">
        <f>IF(AND(ISNUMBER(S112),ISNUMBER(S113)),VLOOKUP(ABS(S112-S113),'IMP Table'!$A$2:$C$26,3)*SIGN(S112-S113),0)</f>
        <v/>
      </c>
      <c r="AL112">
        <f>IF(AND(ISNUMBER(S112),ISNUMBER(S114)),VLOOKUP(ABS(S112-S114),'IMP Table'!$A$2:$C$26,3)*SIGN(S112-S114),0)</f>
        <v/>
      </c>
      <c r="AM112">
        <f>IF(AND(ISNUMBER(T112),ISNUMBER(T108)),VLOOKUP(ABS(T112-T108),'IMP Table'!$A$2:$C$26,3)*SIGN(T112-T108),0)</f>
        <v/>
      </c>
      <c r="AN112">
        <f>IF(AND(ISNUMBER(T112),ISNUMBER(T109)),VLOOKUP(ABS(T112-T109),'IMP Table'!$A$2:$C$26,3)*SIGN(T112-T109),0)</f>
        <v/>
      </c>
      <c r="AO112">
        <f>IF(AND(ISNUMBER(T112),ISNUMBER(T110)),VLOOKUP(ABS(T112-T110),'IMP Table'!$A$2:$C$26,3)*SIGN(T112-T110),0)</f>
        <v/>
      </c>
      <c r="AP112">
        <f>IF(AND(ISNUMBER(T112),ISNUMBER(T111)),VLOOKUP(ABS(T112-T111),'IMP Table'!$A$2:$C$26,3)*SIGN(T112-T111),0)</f>
        <v/>
      </c>
      <c r="AQ112">
        <f>IF(AND(ISNUMBER(T112),ISNUMBER(T113)),VLOOKUP(ABS(T112-T113),'IMP Table'!$A$2:$C$26,3)*SIGN(T112-T113),0)</f>
        <v/>
      </c>
      <c r="AR112">
        <f>IF(AND(ISNUMBER(T112),ISNUMBER(T114)),VLOOKUP(ABS(T112-T114),'IMP Table'!$A$2:$C$26,3)*SIGN(T112-T114),0)</f>
        <v/>
      </c>
    </row>
    <row r="113">
      <c r="B113" s="10">
        <f>'By Round'!A129</f>
        <v/>
      </c>
      <c r="C113" s="10">
        <f>'By Round'!B141</f>
        <v/>
      </c>
      <c r="D113" s="10">
        <f>'By Round'!C141</f>
        <v/>
      </c>
      <c r="E113" s="10">
        <f>'By Round'!D141</f>
        <v/>
      </c>
      <c r="F113" s="10">
        <f>IF(ISBLANK('By Round'!F142),"",'By Round'!F142)</f>
        <v/>
      </c>
      <c r="G113">
        <f>IF(ISBLANK('By Round'!G142),"",'By Round'!G142)</f>
        <v/>
      </c>
      <c r="H113">
        <f>IF(ISBLANK('By Round'!H142),"",'By Round'!H142)</f>
        <v/>
      </c>
      <c r="I113">
        <f>IF(ISBLANK('By Round'!I142),"",'By Round'!I142)</f>
        <v/>
      </c>
      <c r="J113">
        <f>IF(ISBLANK('By Round'!J142),"",'By Round'!J142)</f>
        <v/>
      </c>
      <c r="K113">
        <f>IF(ISBLANK('By Round'!K142),"",'By Round'!K142)</f>
        <v/>
      </c>
      <c r="L113">
        <f>IF(ISBLANK('By Round'!L142),"",'By Round'!L142)</f>
        <v/>
      </c>
      <c r="M113" s="11">
        <f>AVERAGE(AG113:AL113)</f>
        <v/>
      </c>
      <c r="N113" s="12">
        <f>AVERAGE(AM113:AR113)</f>
        <v/>
      </c>
      <c r="O113" s="13">
        <f>IF(COUNT(U113:Z113)&gt;0,Q113/COUNT(U113:Z113),0.5)</f>
        <v/>
      </c>
      <c r="P113" s="13">
        <f>IF(COUNT(AA113:AF113)&gt;0,R113/COUNT(AA113:AF113),0.5)</f>
        <v/>
      </c>
      <c r="Q113" s="5">
        <f>SUM(U113:Z113)</f>
        <v/>
      </c>
      <c r="R113" s="5">
        <f>SUM(AA113:AF113)</f>
        <v/>
      </c>
      <c r="S113" s="14">
        <f>IF(ISNUMBER(K113),K113,IF(ISNUMBER(L113),-L113,""))</f>
        <v/>
      </c>
      <c r="T113">
        <f>IF(ISNUMBER(L113),L113,IF(ISNUMBER(K113),-K113,""))</f>
        <v/>
      </c>
      <c r="U113" s="14">
        <f>IF(ISNUMBER(S113),IF(ISNUMBER(S108),IF(S113&gt;S108,1.0,IF(S113=S108,0.5,0.0)),""),"")</f>
        <v/>
      </c>
      <c r="V113">
        <f>IF(ISNUMBER(S113),IF(ISNUMBER(S109),IF(S113&gt;S109,1.0,IF(S113=S109,0.5,0.0)),""),"")</f>
        <v/>
      </c>
      <c r="W113">
        <f>IF(ISNUMBER(S113),IF(ISNUMBER(S110),IF(S113&gt;S110,1.0,IF(S113=S110,0.5,0.0)),""),"")</f>
        <v/>
      </c>
      <c r="X113">
        <f>IF(ISNUMBER(S113),IF(ISNUMBER(S111),IF(S113&gt;S111,1.0,IF(S113=S111,0.5,0.0)),""),"")</f>
        <v/>
      </c>
      <c r="Y113">
        <f>IF(ISNUMBER(S113),IF(ISNUMBER(S112),IF(S113&gt;S112,1.0,IF(S113=S112,0.5,0.0)),""),"")</f>
        <v/>
      </c>
      <c r="Z113">
        <f>IF(ISNUMBER(S113),IF(ISNUMBER(S114),IF(S113&gt;S114,1.0,IF(S113=S114,0.5,0.0)),""),"")</f>
        <v/>
      </c>
      <c r="AA113">
        <f>IF(ISNUMBER(T113),IF(ISNUMBER(T108),IF(T113&gt;T108,1.0,IF(T113=T108,0.5,0.0)),""),"")</f>
        <v/>
      </c>
      <c r="AB113">
        <f>IF(ISNUMBER(T113),IF(ISNUMBER(T109),IF(T113&gt;T109,1.0,IF(T113=T109,0.5,0.0)),""),"")</f>
        <v/>
      </c>
      <c r="AC113">
        <f>IF(ISNUMBER(T113),IF(ISNUMBER(T110),IF(T113&gt;T110,1.0,IF(T113=T110,0.5,0.0)),""),"")</f>
        <v/>
      </c>
      <c r="AD113">
        <f>IF(ISNUMBER(T113),IF(ISNUMBER(T111),IF(T113&gt;T111,1.0,IF(T113=T111,0.5,0.0)),""),"")</f>
        <v/>
      </c>
      <c r="AE113">
        <f>IF(ISNUMBER(T113),IF(ISNUMBER(T112),IF(T113&gt;T112,1.0,IF(T113=T112,0.5,0.0)),""),"")</f>
        <v/>
      </c>
      <c r="AF113">
        <f>IF(ISNUMBER(T113),IF(ISNUMBER(T114),IF(T113&gt;T114,1.0,IF(T113=T114,0.5,0.0)),""),"")</f>
        <v/>
      </c>
      <c r="AG113" s="14">
        <f>IF(AND(ISNUMBER(S113),ISNUMBER(S108)),VLOOKUP(ABS(S113-S108),'IMP Table'!$A$2:$C$26,3)*SIGN(S113-S108),0)</f>
        <v/>
      </c>
      <c r="AH113">
        <f>IF(AND(ISNUMBER(S113),ISNUMBER(S109)),VLOOKUP(ABS(S113-S109),'IMP Table'!$A$2:$C$26,3)*SIGN(S113-S109),0)</f>
        <v/>
      </c>
      <c r="AI113">
        <f>IF(AND(ISNUMBER(S113),ISNUMBER(S110)),VLOOKUP(ABS(S113-S110),'IMP Table'!$A$2:$C$26,3)*SIGN(S113-S110),0)</f>
        <v/>
      </c>
      <c r="AJ113">
        <f>IF(AND(ISNUMBER(S113),ISNUMBER(S111)),VLOOKUP(ABS(S113-S111),'IMP Table'!$A$2:$C$26,3)*SIGN(S113-S111),0)</f>
        <v/>
      </c>
      <c r="AK113">
        <f>IF(AND(ISNUMBER(S113),ISNUMBER(S112)),VLOOKUP(ABS(S113-S112),'IMP Table'!$A$2:$C$26,3)*SIGN(S113-S112),0)</f>
        <v/>
      </c>
      <c r="AL113">
        <f>IF(AND(ISNUMBER(S113),ISNUMBER(S114)),VLOOKUP(ABS(S113-S114),'IMP Table'!$A$2:$C$26,3)*SIGN(S113-S114),0)</f>
        <v/>
      </c>
      <c r="AM113">
        <f>IF(AND(ISNUMBER(T113),ISNUMBER(T108)),VLOOKUP(ABS(T113-T108),'IMP Table'!$A$2:$C$26,3)*SIGN(T113-T108),0)</f>
        <v/>
      </c>
      <c r="AN113">
        <f>IF(AND(ISNUMBER(T113),ISNUMBER(T109)),VLOOKUP(ABS(T113-T109),'IMP Table'!$A$2:$C$26,3)*SIGN(T113-T109),0)</f>
        <v/>
      </c>
      <c r="AO113">
        <f>IF(AND(ISNUMBER(T113),ISNUMBER(T110)),VLOOKUP(ABS(T113-T110),'IMP Table'!$A$2:$C$26,3)*SIGN(T113-T110),0)</f>
        <v/>
      </c>
      <c r="AP113">
        <f>IF(AND(ISNUMBER(T113),ISNUMBER(T111)),VLOOKUP(ABS(T113-T111),'IMP Table'!$A$2:$C$26,3)*SIGN(T113-T111),0)</f>
        <v/>
      </c>
      <c r="AQ113">
        <f>IF(AND(ISNUMBER(T113),ISNUMBER(T112)),VLOOKUP(ABS(T113-T112),'IMP Table'!$A$2:$C$26,3)*SIGN(T113-T112),0)</f>
        <v/>
      </c>
      <c r="AR113">
        <f>IF(AND(ISNUMBER(T113),ISNUMBER(T114)),VLOOKUP(ABS(T113-T114),'IMP Table'!$A$2:$C$26,3)*SIGN(T113-T114),0)</f>
        <v/>
      </c>
    </row>
    <row r="114">
      <c r="A114" s="15" t="n"/>
      <c r="B114" s="16">
        <f>'By Round'!A101</f>
        <v/>
      </c>
      <c r="C114" s="16">
        <f>'By Round'!B101</f>
        <v/>
      </c>
      <c r="D114" s="16">
        <f>'By Round'!C101</f>
        <v/>
      </c>
      <c r="E114" s="16">
        <f>'By Round'!D101</f>
        <v/>
      </c>
      <c r="F114" s="16">
        <f>IF(ISBLANK('By Round'!F102),"",'By Round'!F102)</f>
        <v/>
      </c>
      <c r="G114" s="15">
        <f>IF(ISBLANK('By Round'!G102),"",'By Round'!G102)</f>
        <v/>
      </c>
      <c r="H114" s="15">
        <f>IF(ISBLANK('By Round'!H102),"",'By Round'!H102)</f>
        <v/>
      </c>
      <c r="I114" s="15">
        <f>IF(ISBLANK('By Round'!I102),"",'By Round'!I102)</f>
        <v/>
      </c>
      <c r="J114" s="15">
        <f>IF(ISBLANK('By Round'!J102),"",'By Round'!J102)</f>
        <v/>
      </c>
      <c r="K114" s="15">
        <f>IF(ISBLANK('By Round'!K102),"",'By Round'!K102)</f>
        <v/>
      </c>
      <c r="L114" s="15">
        <f>IF(ISBLANK('By Round'!L102),"",'By Round'!L102)</f>
        <v/>
      </c>
      <c r="M114" s="17">
        <f>AVERAGE(AG114:AL114)</f>
        <v/>
      </c>
      <c r="N114" s="18">
        <f>AVERAGE(AM114:AR114)</f>
        <v/>
      </c>
      <c r="O114" s="19">
        <f>IF(COUNT(U114:Z114)&gt;0,Q114/COUNT(U114:Z114),0.5)</f>
        <v/>
      </c>
      <c r="P114" s="19">
        <f>IF(COUNT(AA114:AF114)&gt;0,R114/COUNT(AA114:AF114),0.5)</f>
        <v/>
      </c>
      <c r="Q114" s="20">
        <f>SUM(U114:Z114)</f>
        <v/>
      </c>
      <c r="R114" s="20">
        <f>SUM(AA114:AF114)</f>
        <v/>
      </c>
      <c r="S114" s="21">
        <f>IF(ISNUMBER(K114),K114,IF(ISNUMBER(L114),-L114,""))</f>
        <v/>
      </c>
      <c r="T114" s="15">
        <f>IF(ISNUMBER(L114),L114,IF(ISNUMBER(K114),-K114,""))</f>
        <v/>
      </c>
      <c r="U114" s="21">
        <f>IF(ISNUMBER(S114),IF(ISNUMBER(S108),IF(S114&gt;S108,1.0,IF(S114=S108,0.5,0.0)),""),"")</f>
        <v/>
      </c>
      <c r="V114" s="15">
        <f>IF(ISNUMBER(S114),IF(ISNUMBER(S109),IF(S114&gt;S109,1.0,IF(S114=S109,0.5,0.0)),""),"")</f>
        <v/>
      </c>
      <c r="W114" s="15">
        <f>IF(ISNUMBER(S114),IF(ISNUMBER(S110),IF(S114&gt;S110,1.0,IF(S114=S110,0.5,0.0)),""),"")</f>
        <v/>
      </c>
      <c r="X114" s="15">
        <f>IF(ISNUMBER(S114),IF(ISNUMBER(S111),IF(S114&gt;S111,1.0,IF(S114=S111,0.5,0.0)),""),"")</f>
        <v/>
      </c>
      <c r="Y114" s="15">
        <f>IF(ISNUMBER(S114),IF(ISNUMBER(S112),IF(S114&gt;S112,1.0,IF(S114=S112,0.5,0.0)),""),"")</f>
        <v/>
      </c>
      <c r="Z114" s="15">
        <f>IF(ISNUMBER(S114),IF(ISNUMBER(S113),IF(S114&gt;S113,1.0,IF(S114=S113,0.5,0.0)),""),"")</f>
        <v/>
      </c>
      <c r="AA114" s="15">
        <f>IF(ISNUMBER(T114),IF(ISNUMBER(T108),IF(T114&gt;T108,1.0,IF(T114=T108,0.5,0.0)),""),"")</f>
        <v/>
      </c>
      <c r="AB114" s="15">
        <f>IF(ISNUMBER(T114),IF(ISNUMBER(T109),IF(T114&gt;T109,1.0,IF(T114=T109,0.5,0.0)),""),"")</f>
        <v/>
      </c>
      <c r="AC114" s="15">
        <f>IF(ISNUMBER(T114),IF(ISNUMBER(T110),IF(T114&gt;T110,1.0,IF(T114=T110,0.5,0.0)),""),"")</f>
        <v/>
      </c>
      <c r="AD114" s="15">
        <f>IF(ISNUMBER(T114),IF(ISNUMBER(T111),IF(T114&gt;T111,1.0,IF(T114=T111,0.5,0.0)),""),"")</f>
        <v/>
      </c>
      <c r="AE114" s="15">
        <f>IF(ISNUMBER(T114),IF(ISNUMBER(T112),IF(T114&gt;T112,1.0,IF(T114=T112,0.5,0.0)),""),"")</f>
        <v/>
      </c>
      <c r="AF114" s="15">
        <f>IF(ISNUMBER(T114),IF(ISNUMBER(T113),IF(T114&gt;T113,1.0,IF(T114=T113,0.5,0.0)),""),"")</f>
        <v/>
      </c>
      <c r="AG114" s="21">
        <f>IF(AND(ISNUMBER(S114),ISNUMBER(S108)),VLOOKUP(ABS(S114-S108),'IMP Table'!$A$2:$C$26,3)*SIGN(S114-S108),0)</f>
        <v/>
      </c>
      <c r="AH114" s="15">
        <f>IF(AND(ISNUMBER(S114),ISNUMBER(S109)),VLOOKUP(ABS(S114-S109),'IMP Table'!$A$2:$C$26,3)*SIGN(S114-S109),0)</f>
        <v/>
      </c>
      <c r="AI114" s="15">
        <f>IF(AND(ISNUMBER(S114),ISNUMBER(S110)),VLOOKUP(ABS(S114-S110),'IMP Table'!$A$2:$C$26,3)*SIGN(S114-S110),0)</f>
        <v/>
      </c>
      <c r="AJ114" s="15">
        <f>IF(AND(ISNUMBER(S114),ISNUMBER(S111)),VLOOKUP(ABS(S114-S111),'IMP Table'!$A$2:$C$26,3)*SIGN(S114-S111),0)</f>
        <v/>
      </c>
      <c r="AK114" s="15">
        <f>IF(AND(ISNUMBER(S114),ISNUMBER(S112)),VLOOKUP(ABS(S114-S112),'IMP Table'!$A$2:$C$26,3)*SIGN(S114-S112),0)</f>
        <v/>
      </c>
      <c r="AL114" s="15">
        <f>IF(AND(ISNUMBER(S114),ISNUMBER(S113)),VLOOKUP(ABS(S114-S113),'IMP Table'!$A$2:$C$26,3)*SIGN(S114-S113),0)</f>
        <v/>
      </c>
      <c r="AM114" s="15">
        <f>IF(AND(ISNUMBER(T114),ISNUMBER(T108)),VLOOKUP(ABS(T114-T108),'IMP Table'!$A$2:$C$26,3)*SIGN(T114-T108),0)</f>
        <v/>
      </c>
      <c r="AN114" s="15">
        <f>IF(AND(ISNUMBER(T114),ISNUMBER(T109)),VLOOKUP(ABS(T114-T109),'IMP Table'!$A$2:$C$26,3)*SIGN(T114-T109),0)</f>
        <v/>
      </c>
      <c r="AO114" s="15">
        <f>IF(AND(ISNUMBER(T114),ISNUMBER(T110)),VLOOKUP(ABS(T114-T110),'IMP Table'!$A$2:$C$26,3)*SIGN(T114-T110),0)</f>
        <v/>
      </c>
      <c r="AP114" s="15">
        <f>IF(AND(ISNUMBER(T114),ISNUMBER(T111)),VLOOKUP(ABS(T114-T111),'IMP Table'!$A$2:$C$26,3)*SIGN(T114-T111),0)</f>
        <v/>
      </c>
      <c r="AQ114" s="15">
        <f>IF(AND(ISNUMBER(T114),ISNUMBER(T112)),VLOOKUP(ABS(T114-T112),'IMP Table'!$A$2:$C$26,3)*SIGN(T114-T112),0)</f>
        <v/>
      </c>
      <c r="AR114" s="15">
        <f>IF(AND(ISNUMBER(T114),ISNUMBER(T113)),VLOOKUP(ABS(T114-T113),'IMP Table'!$A$2:$C$26,3)*SIGN(T114-T113),0)</f>
        <v/>
      </c>
    </row>
    <row r="115">
      <c r="A115" s="10" t="n">
        <v>17</v>
      </c>
      <c r="B115" s="10">
        <f>'By Round'!A143</f>
        <v/>
      </c>
      <c r="C115" s="10">
        <f>'By Round'!B155</f>
        <v/>
      </c>
      <c r="D115" s="10">
        <f>'By Round'!C155</f>
        <v/>
      </c>
      <c r="E115" s="10">
        <f>'By Round'!D155</f>
        <v/>
      </c>
      <c r="F115" s="10">
        <f>IF(ISBLANK('By Round'!F155),"",'By Round'!F155)</f>
        <v/>
      </c>
      <c r="G115">
        <f>IF(ISBLANK('By Round'!G155),"",'By Round'!G155)</f>
        <v/>
      </c>
      <c r="H115">
        <f>IF(ISBLANK('By Round'!H155),"",'By Round'!H155)</f>
        <v/>
      </c>
      <c r="I115">
        <f>IF(ISBLANK('By Round'!I155),"",'By Round'!I155)</f>
        <v/>
      </c>
      <c r="J115">
        <f>IF(ISBLANK('By Round'!J155),"",'By Round'!J155)</f>
        <v/>
      </c>
      <c r="K115">
        <f>IF(ISBLANK('By Round'!K155),"",'By Round'!K155)</f>
        <v/>
      </c>
      <c r="L115">
        <f>IF(ISBLANK('By Round'!L155),"",'By Round'!L155)</f>
        <v/>
      </c>
      <c r="M115" s="11">
        <f>AVERAGE(AG115:AL115)</f>
        <v/>
      </c>
      <c r="N115" s="12">
        <f>AVERAGE(AM115:AR115)</f>
        <v/>
      </c>
      <c r="O115" s="13">
        <f>IF(COUNT(U115:Z115)&gt;0,Q115/COUNT(U115:Z115),0.5)</f>
        <v/>
      </c>
      <c r="P115" s="13">
        <f>IF(COUNT(AA115:AF115)&gt;0,R115/COUNT(AA115:AF115),0.5)</f>
        <v/>
      </c>
      <c r="Q115" s="5">
        <f>SUM(U115:Z115)</f>
        <v/>
      </c>
      <c r="R115" s="5">
        <f>SUM(AA115:AF115)</f>
        <v/>
      </c>
      <c r="S115" s="14">
        <f>IF(ISNUMBER(K115),K115,IF(ISNUMBER(L115),-L115,""))</f>
        <v/>
      </c>
      <c r="T115">
        <f>IF(ISNUMBER(L115),L115,IF(ISNUMBER(K115),-K115,""))</f>
        <v/>
      </c>
      <c r="U115" s="14">
        <f>IF(ISNUMBER(S115),IF(ISNUMBER(S116),IF(S115&gt;S116,1.0,IF(S115=S116,0.5,0.0)),""),"")</f>
        <v/>
      </c>
      <c r="V115">
        <f>IF(ISNUMBER(S115),IF(ISNUMBER(S117),IF(S115&gt;S117,1.0,IF(S115=S117,0.5,0.0)),""),"")</f>
        <v/>
      </c>
      <c r="W115">
        <f>IF(ISNUMBER(S115),IF(ISNUMBER(S118),IF(S115&gt;S118,1.0,IF(S115=S118,0.5,0.0)),""),"")</f>
        <v/>
      </c>
      <c r="X115">
        <f>IF(ISNUMBER(S115),IF(ISNUMBER(S119),IF(S115&gt;S119,1.0,IF(S115=S119,0.5,0.0)),""),"")</f>
        <v/>
      </c>
      <c r="Y115">
        <f>IF(ISNUMBER(S115),IF(ISNUMBER(S120),IF(S115&gt;S120,1.0,IF(S115=S120,0.5,0.0)),""),"")</f>
        <v/>
      </c>
      <c r="Z115">
        <f>IF(ISNUMBER(S115),IF(ISNUMBER(S121),IF(S115&gt;S121,1.0,IF(S115=S121,0.5,0.0)),""),"")</f>
        <v/>
      </c>
      <c r="AA115">
        <f>IF(ISNUMBER(T115),IF(ISNUMBER(T116),IF(T115&gt;T116,1.0,IF(T115=T116,0.5,0.0)),""),"")</f>
        <v/>
      </c>
      <c r="AB115">
        <f>IF(ISNUMBER(T115),IF(ISNUMBER(T117),IF(T115&gt;T117,1.0,IF(T115=T117,0.5,0.0)),""),"")</f>
        <v/>
      </c>
      <c r="AC115">
        <f>IF(ISNUMBER(T115),IF(ISNUMBER(T118),IF(T115&gt;T118,1.0,IF(T115=T118,0.5,0.0)),""),"")</f>
        <v/>
      </c>
      <c r="AD115">
        <f>IF(ISNUMBER(T115),IF(ISNUMBER(T119),IF(T115&gt;T119,1.0,IF(T115=T119,0.5,0.0)),""),"")</f>
        <v/>
      </c>
      <c r="AE115">
        <f>IF(ISNUMBER(T115),IF(ISNUMBER(T120),IF(T115&gt;T120,1.0,IF(T115=T120,0.5,0.0)),""),"")</f>
        <v/>
      </c>
      <c r="AF115">
        <f>IF(ISNUMBER(T115),IF(ISNUMBER(T121),IF(T115&gt;T121,1.0,IF(T115=T121,0.5,0.0)),""),"")</f>
        <v/>
      </c>
      <c r="AG115" s="14">
        <f>IF(AND(ISNUMBER(S115),ISNUMBER(S116)),VLOOKUP(ABS(S115-S116),'IMP Table'!$A$2:$C$26,3)*SIGN(S115-S116),0)</f>
        <v/>
      </c>
      <c r="AH115">
        <f>IF(AND(ISNUMBER(S115),ISNUMBER(S117)),VLOOKUP(ABS(S115-S117),'IMP Table'!$A$2:$C$26,3)*SIGN(S115-S117),0)</f>
        <v/>
      </c>
      <c r="AI115">
        <f>IF(AND(ISNUMBER(S115),ISNUMBER(S118)),VLOOKUP(ABS(S115-S118),'IMP Table'!$A$2:$C$26,3)*SIGN(S115-S118),0)</f>
        <v/>
      </c>
      <c r="AJ115">
        <f>IF(AND(ISNUMBER(S115),ISNUMBER(S119)),VLOOKUP(ABS(S115-S119),'IMP Table'!$A$2:$C$26,3)*SIGN(S115-S119),0)</f>
        <v/>
      </c>
      <c r="AK115">
        <f>IF(AND(ISNUMBER(S115),ISNUMBER(S120)),VLOOKUP(ABS(S115-S120),'IMP Table'!$A$2:$C$26,3)*SIGN(S115-S120),0)</f>
        <v/>
      </c>
      <c r="AL115">
        <f>IF(AND(ISNUMBER(S115),ISNUMBER(S121)),VLOOKUP(ABS(S115-S121),'IMP Table'!$A$2:$C$26,3)*SIGN(S115-S121),0)</f>
        <v/>
      </c>
      <c r="AM115">
        <f>IF(AND(ISNUMBER(T115),ISNUMBER(T116)),VLOOKUP(ABS(T115-T116),'IMP Table'!$A$2:$C$26,3)*SIGN(T115-T116),0)</f>
        <v/>
      </c>
      <c r="AN115">
        <f>IF(AND(ISNUMBER(T115),ISNUMBER(T117)),VLOOKUP(ABS(T115-T117),'IMP Table'!$A$2:$C$26,3)*SIGN(T115-T117),0)</f>
        <v/>
      </c>
      <c r="AO115">
        <f>IF(AND(ISNUMBER(T115),ISNUMBER(T118)),VLOOKUP(ABS(T115-T118),'IMP Table'!$A$2:$C$26,3)*SIGN(T115-T118),0)</f>
        <v/>
      </c>
      <c r="AP115">
        <f>IF(AND(ISNUMBER(T115),ISNUMBER(T119)),VLOOKUP(ABS(T115-T119),'IMP Table'!$A$2:$C$26,3)*SIGN(T115-T119),0)</f>
        <v/>
      </c>
      <c r="AQ115">
        <f>IF(AND(ISNUMBER(T115),ISNUMBER(T120)),VLOOKUP(ABS(T115-T120),'IMP Table'!$A$2:$C$26,3)*SIGN(T115-T120),0)</f>
        <v/>
      </c>
      <c r="AR115">
        <f>IF(AND(ISNUMBER(T115),ISNUMBER(T121)),VLOOKUP(ABS(T115-T121),'IMP Table'!$A$2:$C$26,3)*SIGN(T115-T121),0)</f>
        <v/>
      </c>
    </row>
    <row r="116">
      <c r="B116" s="10">
        <f>'By Round'!A171</f>
        <v/>
      </c>
      <c r="C116" s="10">
        <f>'By Round'!B179</f>
        <v/>
      </c>
      <c r="D116" s="10">
        <f>'By Round'!C179</f>
        <v/>
      </c>
      <c r="E116" s="10">
        <f>'By Round'!D179</f>
        <v/>
      </c>
      <c r="F116" s="10">
        <f>IF(ISBLANK('By Round'!F179),"",'By Round'!F179)</f>
        <v/>
      </c>
      <c r="G116">
        <f>IF(ISBLANK('By Round'!G179),"",'By Round'!G179)</f>
        <v/>
      </c>
      <c r="H116">
        <f>IF(ISBLANK('By Round'!H179),"",'By Round'!H179)</f>
        <v/>
      </c>
      <c r="I116">
        <f>IF(ISBLANK('By Round'!I179),"",'By Round'!I179)</f>
        <v/>
      </c>
      <c r="J116">
        <f>IF(ISBLANK('By Round'!J179),"",'By Round'!J179)</f>
        <v/>
      </c>
      <c r="K116">
        <f>IF(ISBLANK('By Round'!K179),"",'By Round'!K179)</f>
        <v/>
      </c>
      <c r="L116">
        <f>IF(ISBLANK('By Round'!L179),"",'By Round'!L179)</f>
        <v/>
      </c>
      <c r="M116" s="11">
        <f>AVERAGE(AG116:AL116)</f>
        <v/>
      </c>
      <c r="N116" s="12">
        <f>AVERAGE(AM116:AR116)</f>
        <v/>
      </c>
      <c r="O116" s="13">
        <f>IF(COUNT(U116:Z116)&gt;0,Q116/COUNT(U116:Z116),0.5)</f>
        <v/>
      </c>
      <c r="P116" s="13">
        <f>IF(COUNT(AA116:AF116)&gt;0,R116/COUNT(AA116:AF116),0.5)</f>
        <v/>
      </c>
      <c r="Q116" s="5">
        <f>SUM(U116:Z116)</f>
        <v/>
      </c>
      <c r="R116" s="5">
        <f>SUM(AA116:AF116)</f>
        <v/>
      </c>
      <c r="S116" s="14">
        <f>IF(ISNUMBER(K116),K116,IF(ISNUMBER(L116),-L116,""))</f>
        <v/>
      </c>
      <c r="T116">
        <f>IF(ISNUMBER(L116),L116,IF(ISNUMBER(K116),-K116,""))</f>
        <v/>
      </c>
      <c r="U116" s="14">
        <f>IF(ISNUMBER(S116),IF(ISNUMBER(S115),IF(S116&gt;S115,1.0,IF(S116=S115,0.5,0.0)),""),"")</f>
        <v/>
      </c>
      <c r="V116">
        <f>IF(ISNUMBER(S116),IF(ISNUMBER(S117),IF(S116&gt;S117,1.0,IF(S116=S117,0.5,0.0)),""),"")</f>
        <v/>
      </c>
      <c r="W116">
        <f>IF(ISNUMBER(S116),IF(ISNUMBER(S118),IF(S116&gt;S118,1.0,IF(S116=S118,0.5,0.0)),""),"")</f>
        <v/>
      </c>
      <c r="X116">
        <f>IF(ISNUMBER(S116),IF(ISNUMBER(S119),IF(S116&gt;S119,1.0,IF(S116=S119,0.5,0.0)),""),"")</f>
        <v/>
      </c>
      <c r="Y116">
        <f>IF(ISNUMBER(S116),IF(ISNUMBER(S120),IF(S116&gt;S120,1.0,IF(S116=S120,0.5,0.0)),""),"")</f>
        <v/>
      </c>
      <c r="Z116">
        <f>IF(ISNUMBER(S116),IF(ISNUMBER(S121),IF(S116&gt;S121,1.0,IF(S116=S121,0.5,0.0)),""),"")</f>
        <v/>
      </c>
      <c r="AA116">
        <f>IF(ISNUMBER(T116),IF(ISNUMBER(T115),IF(T116&gt;T115,1.0,IF(T116=T115,0.5,0.0)),""),"")</f>
        <v/>
      </c>
      <c r="AB116">
        <f>IF(ISNUMBER(T116),IF(ISNUMBER(T117),IF(T116&gt;T117,1.0,IF(T116=T117,0.5,0.0)),""),"")</f>
        <v/>
      </c>
      <c r="AC116">
        <f>IF(ISNUMBER(T116),IF(ISNUMBER(T118),IF(T116&gt;T118,1.0,IF(T116=T118,0.5,0.0)),""),"")</f>
        <v/>
      </c>
      <c r="AD116">
        <f>IF(ISNUMBER(T116),IF(ISNUMBER(T119),IF(T116&gt;T119,1.0,IF(T116=T119,0.5,0.0)),""),"")</f>
        <v/>
      </c>
      <c r="AE116">
        <f>IF(ISNUMBER(T116),IF(ISNUMBER(T120),IF(T116&gt;T120,1.0,IF(T116=T120,0.5,0.0)),""),"")</f>
        <v/>
      </c>
      <c r="AF116">
        <f>IF(ISNUMBER(T116),IF(ISNUMBER(T121),IF(T116&gt;T121,1.0,IF(T116=T121,0.5,0.0)),""),"")</f>
        <v/>
      </c>
      <c r="AG116" s="14">
        <f>IF(AND(ISNUMBER(S116),ISNUMBER(S115)),VLOOKUP(ABS(S116-S115),'IMP Table'!$A$2:$C$26,3)*SIGN(S116-S115),0)</f>
        <v/>
      </c>
      <c r="AH116">
        <f>IF(AND(ISNUMBER(S116),ISNUMBER(S117)),VLOOKUP(ABS(S116-S117),'IMP Table'!$A$2:$C$26,3)*SIGN(S116-S117),0)</f>
        <v/>
      </c>
      <c r="AI116">
        <f>IF(AND(ISNUMBER(S116),ISNUMBER(S118)),VLOOKUP(ABS(S116-S118),'IMP Table'!$A$2:$C$26,3)*SIGN(S116-S118),0)</f>
        <v/>
      </c>
      <c r="AJ116">
        <f>IF(AND(ISNUMBER(S116),ISNUMBER(S119)),VLOOKUP(ABS(S116-S119),'IMP Table'!$A$2:$C$26,3)*SIGN(S116-S119),0)</f>
        <v/>
      </c>
      <c r="AK116">
        <f>IF(AND(ISNUMBER(S116),ISNUMBER(S120)),VLOOKUP(ABS(S116-S120),'IMP Table'!$A$2:$C$26,3)*SIGN(S116-S120),0)</f>
        <v/>
      </c>
      <c r="AL116">
        <f>IF(AND(ISNUMBER(S116),ISNUMBER(S121)),VLOOKUP(ABS(S116-S121),'IMP Table'!$A$2:$C$26,3)*SIGN(S116-S121),0)</f>
        <v/>
      </c>
      <c r="AM116">
        <f>IF(AND(ISNUMBER(T116),ISNUMBER(T115)),VLOOKUP(ABS(T116-T115),'IMP Table'!$A$2:$C$26,3)*SIGN(T116-T115),0)</f>
        <v/>
      </c>
      <c r="AN116">
        <f>IF(AND(ISNUMBER(T116),ISNUMBER(T117)),VLOOKUP(ABS(T116-T117),'IMP Table'!$A$2:$C$26,3)*SIGN(T116-T117),0)</f>
        <v/>
      </c>
      <c r="AO116">
        <f>IF(AND(ISNUMBER(T116),ISNUMBER(T118)),VLOOKUP(ABS(T116-T118),'IMP Table'!$A$2:$C$26,3)*SIGN(T116-T118),0)</f>
        <v/>
      </c>
      <c r="AP116">
        <f>IF(AND(ISNUMBER(T116),ISNUMBER(T119)),VLOOKUP(ABS(T116-T119),'IMP Table'!$A$2:$C$26,3)*SIGN(T116-T119),0)</f>
        <v/>
      </c>
      <c r="AQ116">
        <f>IF(AND(ISNUMBER(T116),ISNUMBER(T120)),VLOOKUP(ABS(T116-T120),'IMP Table'!$A$2:$C$26,3)*SIGN(T116-T120),0)</f>
        <v/>
      </c>
      <c r="AR116">
        <f>IF(AND(ISNUMBER(T116),ISNUMBER(T121)),VLOOKUP(ABS(T116-T121),'IMP Table'!$A$2:$C$26,3)*SIGN(T116-T121),0)</f>
        <v/>
      </c>
    </row>
    <row r="117">
      <c r="B117" s="10">
        <f>'By Round'!A157</f>
        <v/>
      </c>
      <c r="C117" s="10">
        <f>'By Round'!B167</f>
        <v/>
      </c>
      <c r="D117" s="10">
        <f>'By Round'!C167</f>
        <v/>
      </c>
      <c r="E117" s="10">
        <f>'By Round'!D167</f>
        <v/>
      </c>
      <c r="F117" s="10">
        <f>IF(ISBLANK('By Round'!F167),"",'By Round'!F167)</f>
        <v/>
      </c>
      <c r="G117">
        <f>IF(ISBLANK('By Round'!G167),"",'By Round'!G167)</f>
        <v/>
      </c>
      <c r="H117">
        <f>IF(ISBLANK('By Round'!H167),"",'By Round'!H167)</f>
        <v/>
      </c>
      <c r="I117">
        <f>IF(ISBLANK('By Round'!I167),"",'By Round'!I167)</f>
        <v/>
      </c>
      <c r="J117">
        <f>IF(ISBLANK('By Round'!J167),"",'By Round'!J167)</f>
        <v/>
      </c>
      <c r="K117">
        <f>IF(ISBLANK('By Round'!K167),"",'By Round'!K167)</f>
        <v/>
      </c>
      <c r="L117">
        <f>IF(ISBLANK('By Round'!L167),"",'By Round'!L167)</f>
        <v/>
      </c>
      <c r="M117" s="11">
        <f>AVERAGE(AG117:AL117)</f>
        <v/>
      </c>
      <c r="N117" s="12">
        <f>AVERAGE(AM117:AR117)</f>
        <v/>
      </c>
      <c r="O117" s="13">
        <f>IF(COUNT(U117:Z117)&gt;0,Q117/COUNT(U117:Z117),0.5)</f>
        <v/>
      </c>
      <c r="P117" s="13">
        <f>IF(COUNT(AA117:AF117)&gt;0,R117/COUNT(AA117:AF117),0.5)</f>
        <v/>
      </c>
      <c r="Q117" s="5">
        <f>SUM(U117:Z117)</f>
        <v/>
      </c>
      <c r="R117" s="5">
        <f>SUM(AA117:AF117)</f>
        <v/>
      </c>
      <c r="S117" s="14">
        <f>IF(ISNUMBER(K117),K117,IF(ISNUMBER(L117),-L117,""))</f>
        <v/>
      </c>
      <c r="T117">
        <f>IF(ISNUMBER(L117),L117,IF(ISNUMBER(K117),-K117,""))</f>
        <v/>
      </c>
      <c r="U117" s="14">
        <f>IF(ISNUMBER(S117),IF(ISNUMBER(S115),IF(S117&gt;S115,1.0,IF(S117=S115,0.5,0.0)),""),"")</f>
        <v/>
      </c>
      <c r="V117">
        <f>IF(ISNUMBER(S117),IF(ISNUMBER(S116),IF(S117&gt;S116,1.0,IF(S117=S116,0.5,0.0)),""),"")</f>
        <v/>
      </c>
      <c r="W117">
        <f>IF(ISNUMBER(S117),IF(ISNUMBER(S118),IF(S117&gt;S118,1.0,IF(S117=S118,0.5,0.0)),""),"")</f>
        <v/>
      </c>
      <c r="X117">
        <f>IF(ISNUMBER(S117),IF(ISNUMBER(S119),IF(S117&gt;S119,1.0,IF(S117=S119,0.5,0.0)),""),"")</f>
        <v/>
      </c>
      <c r="Y117">
        <f>IF(ISNUMBER(S117),IF(ISNUMBER(S120),IF(S117&gt;S120,1.0,IF(S117=S120,0.5,0.0)),""),"")</f>
        <v/>
      </c>
      <c r="Z117">
        <f>IF(ISNUMBER(S117),IF(ISNUMBER(S121),IF(S117&gt;S121,1.0,IF(S117=S121,0.5,0.0)),""),"")</f>
        <v/>
      </c>
      <c r="AA117">
        <f>IF(ISNUMBER(T117),IF(ISNUMBER(T115),IF(T117&gt;T115,1.0,IF(T117=T115,0.5,0.0)),""),"")</f>
        <v/>
      </c>
      <c r="AB117">
        <f>IF(ISNUMBER(T117),IF(ISNUMBER(T116),IF(T117&gt;T116,1.0,IF(T117=T116,0.5,0.0)),""),"")</f>
        <v/>
      </c>
      <c r="AC117">
        <f>IF(ISNUMBER(T117),IF(ISNUMBER(T118),IF(T117&gt;T118,1.0,IF(T117=T118,0.5,0.0)),""),"")</f>
        <v/>
      </c>
      <c r="AD117">
        <f>IF(ISNUMBER(T117),IF(ISNUMBER(T119),IF(T117&gt;T119,1.0,IF(T117=T119,0.5,0.0)),""),"")</f>
        <v/>
      </c>
      <c r="AE117">
        <f>IF(ISNUMBER(T117),IF(ISNUMBER(T120),IF(T117&gt;T120,1.0,IF(T117=T120,0.5,0.0)),""),"")</f>
        <v/>
      </c>
      <c r="AF117">
        <f>IF(ISNUMBER(T117),IF(ISNUMBER(T121),IF(T117&gt;T121,1.0,IF(T117=T121,0.5,0.0)),""),"")</f>
        <v/>
      </c>
      <c r="AG117" s="14">
        <f>IF(AND(ISNUMBER(S117),ISNUMBER(S115)),VLOOKUP(ABS(S117-S115),'IMP Table'!$A$2:$C$26,3)*SIGN(S117-S115),0)</f>
        <v/>
      </c>
      <c r="AH117">
        <f>IF(AND(ISNUMBER(S117),ISNUMBER(S116)),VLOOKUP(ABS(S117-S116),'IMP Table'!$A$2:$C$26,3)*SIGN(S117-S116),0)</f>
        <v/>
      </c>
      <c r="AI117">
        <f>IF(AND(ISNUMBER(S117),ISNUMBER(S118)),VLOOKUP(ABS(S117-S118),'IMP Table'!$A$2:$C$26,3)*SIGN(S117-S118),0)</f>
        <v/>
      </c>
      <c r="AJ117">
        <f>IF(AND(ISNUMBER(S117),ISNUMBER(S119)),VLOOKUP(ABS(S117-S119),'IMP Table'!$A$2:$C$26,3)*SIGN(S117-S119),0)</f>
        <v/>
      </c>
      <c r="AK117">
        <f>IF(AND(ISNUMBER(S117),ISNUMBER(S120)),VLOOKUP(ABS(S117-S120),'IMP Table'!$A$2:$C$26,3)*SIGN(S117-S120),0)</f>
        <v/>
      </c>
      <c r="AL117">
        <f>IF(AND(ISNUMBER(S117),ISNUMBER(S121)),VLOOKUP(ABS(S117-S121),'IMP Table'!$A$2:$C$26,3)*SIGN(S117-S121),0)</f>
        <v/>
      </c>
      <c r="AM117">
        <f>IF(AND(ISNUMBER(T117),ISNUMBER(T115)),VLOOKUP(ABS(T117-T115),'IMP Table'!$A$2:$C$26,3)*SIGN(T117-T115),0)</f>
        <v/>
      </c>
      <c r="AN117">
        <f>IF(AND(ISNUMBER(T117),ISNUMBER(T116)),VLOOKUP(ABS(T117-T116),'IMP Table'!$A$2:$C$26,3)*SIGN(T117-T116),0)</f>
        <v/>
      </c>
      <c r="AO117">
        <f>IF(AND(ISNUMBER(T117),ISNUMBER(T118)),VLOOKUP(ABS(T117-T118),'IMP Table'!$A$2:$C$26,3)*SIGN(T117-T118),0)</f>
        <v/>
      </c>
      <c r="AP117">
        <f>IF(AND(ISNUMBER(T117),ISNUMBER(T119)),VLOOKUP(ABS(T117-T119),'IMP Table'!$A$2:$C$26,3)*SIGN(T117-T119),0)</f>
        <v/>
      </c>
      <c r="AQ117">
        <f>IF(AND(ISNUMBER(T117),ISNUMBER(T120)),VLOOKUP(ABS(T117-T120),'IMP Table'!$A$2:$C$26,3)*SIGN(T117-T120),0)</f>
        <v/>
      </c>
      <c r="AR117">
        <f>IF(AND(ISNUMBER(T117),ISNUMBER(T121)),VLOOKUP(ABS(T117-T121),'IMP Table'!$A$2:$C$26,3)*SIGN(T117-T121),0)</f>
        <v/>
      </c>
    </row>
    <row r="118">
      <c r="B118" s="10">
        <f>'By Round'!A73</f>
        <v/>
      </c>
      <c r="C118" s="10">
        <f>'By Round'!B77</f>
        <v/>
      </c>
      <c r="D118" s="10">
        <f>'By Round'!C77</f>
        <v/>
      </c>
      <c r="E118" s="10">
        <f>'By Round'!D77</f>
        <v/>
      </c>
      <c r="F118" s="10">
        <f>IF(ISBLANK('By Round'!F77),"",'By Round'!F77)</f>
        <v/>
      </c>
      <c r="G118">
        <f>IF(ISBLANK('By Round'!G77),"",'By Round'!G77)</f>
        <v/>
      </c>
      <c r="H118">
        <f>IF(ISBLANK('By Round'!H77),"",'By Round'!H77)</f>
        <v/>
      </c>
      <c r="I118">
        <f>IF(ISBLANK('By Round'!I77),"",'By Round'!I77)</f>
        <v/>
      </c>
      <c r="J118">
        <f>IF(ISBLANK('By Round'!J77),"",'By Round'!J77)</f>
        <v/>
      </c>
      <c r="K118">
        <f>IF(ISBLANK('By Round'!K77),"",'By Round'!K77)</f>
        <v/>
      </c>
      <c r="L118">
        <f>IF(ISBLANK('By Round'!L77),"",'By Round'!L77)</f>
        <v/>
      </c>
      <c r="M118" s="11">
        <f>AVERAGE(AG118:AL118)</f>
        <v/>
      </c>
      <c r="N118" s="12">
        <f>AVERAGE(AM118:AR118)</f>
        <v/>
      </c>
      <c r="O118" s="13">
        <f>IF(COUNT(U118:Z118)&gt;0,Q118/COUNT(U118:Z118),0.5)</f>
        <v/>
      </c>
      <c r="P118" s="13">
        <f>IF(COUNT(AA118:AF118)&gt;0,R118/COUNT(AA118:AF118),0.5)</f>
        <v/>
      </c>
      <c r="Q118" s="5">
        <f>SUM(U118:Z118)</f>
        <v/>
      </c>
      <c r="R118" s="5">
        <f>SUM(AA118:AF118)</f>
        <v/>
      </c>
      <c r="S118" s="14">
        <f>IF(ISNUMBER(K118),K118,IF(ISNUMBER(L118),-L118,""))</f>
        <v/>
      </c>
      <c r="T118">
        <f>IF(ISNUMBER(L118),L118,IF(ISNUMBER(K118),-K118,""))</f>
        <v/>
      </c>
      <c r="U118" s="14">
        <f>IF(ISNUMBER(S118),IF(ISNUMBER(S115),IF(S118&gt;S115,1.0,IF(S118=S115,0.5,0.0)),""),"")</f>
        <v/>
      </c>
      <c r="V118">
        <f>IF(ISNUMBER(S118),IF(ISNUMBER(S116),IF(S118&gt;S116,1.0,IF(S118=S116,0.5,0.0)),""),"")</f>
        <v/>
      </c>
      <c r="W118">
        <f>IF(ISNUMBER(S118),IF(ISNUMBER(S117),IF(S118&gt;S117,1.0,IF(S118=S117,0.5,0.0)),""),"")</f>
        <v/>
      </c>
      <c r="X118">
        <f>IF(ISNUMBER(S118),IF(ISNUMBER(S119),IF(S118&gt;S119,1.0,IF(S118=S119,0.5,0.0)),""),"")</f>
        <v/>
      </c>
      <c r="Y118">
        <f>IF(ISNUMBER(S118),IF(ISNUMBER(S120),IF(S118&gt;S120,1.0,IF(S118=S120,0.5,0.0)),""),"")</f>
        <v/>
      </c>
      <c r="Z118">
        <f>IF(ISNUMBER(S118),IF(ISNUMBER(S121),IF(S118&gt;S121,1.0,IF(S118=S121,0.5,0.0)),""),"")</f>
        <v/>
      </c>
      <c r="AA118">
        <f>IF(ISNUMBER(T118),IF(ISNUMBER(T115),IF(T118&gt;T115,1.0,IF(T118=T115,0.5,0.0)),""),"")</f>
        <v/>
      </c>
      <c r="AB118">
        <f>IF(ISNUMBER(T118),IF(ISNUMBER(T116),IF(T118&gt;T116,1.0,IF(T118=T116,0.5,0.0)),""),"")</f>
        <v/>
      </c>
      <c r="AC118">
        <f>IF(ISNUMBER(T118),IF(ISNUMBER(T117),IF(T118&gt;T117,1.0,IF(T118=T117,0.5,0.0)),""),"")</f>
        <v/>
      </c>
      <c r="AD118">
        <f>IF(ISNUMBER(T118),IF(ISNUMBER(T119),IF(T118&gt;T119,1.0,IF(T118=T119,0.5,0.0)),""),"")</f>
        <v/>
      </c>
      <c r="AE118">
        <f>IF(ISNUMBER(T118),IF(ISNUMBER(T120),IF(T118&gt;T120,1.0,IF(T118=T120,0.5,0.0)),""),"")</f>
        <v/>
      </c>
      <c r="AF118">
        <f>IF(ISNUMBER(T118),IF(ISNUMBER(T121),IF(T118&gt;T121,1.0,IF(T118=T121,0.5,0.0)),""),"")</f>
        <v/>
      </c>
      <c r="AG118" s="14">
        <f>IF(AND(ISNUMBER(S118),ISNUMBER(S115)),VLOOKUP(ABS(S118-S115),'IMP Table'!$A$2:$C$26,3)*SIGN(S118-S115),0)</f>
        <v/>
      </c>
      <c r="AH118">
        <f>IF(AND(ISNUMBER(S118),ISNUMBER(S116)),VLOOKUP(ABS(S118-S116),'IMP Table'!$A$2:$C$26,3)*SIGN(S118-S116),0)</f>
        <v/>
      </c>
      <c r="AI118">
        <f>IF(AND(ISNUMBER(S118),ISNUMBER(S117)),VLOOKUP(ABS(S118-S117),'IMP Table'!$A$2:$C$26,3)*SIGN(S118-S117),0)</f>
        <v/>
      </c>
      <c r="AJ118">
        <f>IF(AND(ISNUMBER(S118),ISNUMBER(S119)),VLOOKUP(ABS(S118-S119),'IMP Table'!$A$2:$C$26,3)*SIGN(S118-S119),0)</f>
        <v/>
      </c>
      <c r="AK118">
        <f>IF(AND(ISNUMBER(S118),ISNUMBER(S120)),VLOOKUP(ABS(S118-S120),'IMP Table'!$A$2:$C$26,3)*SIGN(S118-S120),0)</f>
        <v/>
      </c>
      <c r="AL118">
        <f>IF(AND(ISNUMBER(S118),ISNUMBER(S121)),VLOOKUP(ABS(S118-S121),'IMP Table'!$A$2:$C$26,3)*SIGN(S118-S121),0)</f>
        <v/>
      </c>
      <c r="AM118">
        <f>IF(AND(ISNUMBER(T118),ISNUMBER(T115)),VLOOKUP(ABS(T118-T115),'IMP Table'!$A$2:$C$26,3)*SIGN(T118-T115),0)</f>
        <v/>
      </c>
      <c r="AN118">
        <f>IF(AND(ISNUMBER(T118),ISNUMBER(T116)),VLOOKUP(ABS(T118-T116),'IMP Table'!$A$2:$C$26,3)*SIGN(T118-T116),0)</f>
        <v/>
      </c>
      <c r="AO118">
        <f>IF(AND(ISNUMBER(T118),ISNUMBER(T117)),VLOOKUP(ABS(T118-T117),'IMP Table'!$A$2:$C$26,3)*SIGN(T118-T117),0)</f>
        <v/>
      </c>
      <c r="AP118">
        <f>IF(AND(ISNUMBER(T118),ISNUMBER(T119)),VLOOKUP(ABS(T118-T119),'IMP Table'!$A$2:$C$26,3)*SIGN(T118-T119),0)</f>
        <v/>
      </c>
      <c r="AQ118">
        <f>IF(AND(ISNUMBER(T118),ISNUMBER(T120)),VLOOKUP(ABS(T118-T120),'IMP Table'!$A$2:$C$26,3)*SIGN(T118-T120),0)</f>
        <v/>
      </c>
      <c r="AR118">
        <f>IF(AND(ISNUMBER(T118),ISNUMBER(T121)),VLOOKUP(ABS(T118-T121),'IMP Table'!$A$2:$C$26,3)*SIGN(T118-T121),0)</f>
        <v/>
      </c>
    </row>
    <row r="119">
      <c r="B119" s="10">
        <f>'By Round'!A87</f>
        <v/>
      </c>
      <c r="C119" s="10">
        <f>'By Round'!B89</f>
        <v/>
      </c>
      <c r="D119" s="10">
        <f>'By Round'!C89</f>
        <v/>
      </c>
      <c r="E119" s="10">
        <f>'By Round'!D89</f>
        <v/>
      </c>
      <c r="F119" s="10">
        <f>IF(ISBLANK('By Round'!F89),"",'By Round'!F89)</f>
        <v/>
      </c>
      <c r="G119">
        <f>IF(ISBLANK('By Round'!G89),"",'By Round'!G89)</f>
        <v/>
      </c>
      <c r="H119">
        <f>IF(ISBLANK('By Round'!H89),"",'By Round'!H89)</f>
        <v/>
      </c>
      <c r="I119">
        <f>IF(ISBLANK('By Round'!I89),"",'By Round'!I89)</f>
        <v/>
      </c>
      <c r="J119">
        <f>IF(ISBLANK('By Round'!J89),"",'By Round'!J89)</f>
        <v/>
      </c>
      <c r="K119">
        <f>IF(ISBLANK('By Round'!K89),"",'By Round'!K89)</f>
        <v/>
      </c>
      <c r="L119">
        <f>IF(ISBLANK('By Round'!L89),"",'By Round'!L89)</f>
        <v/>
      </c>
      <c r="M119" s="11">
        <f>AVERAGE(AG119:AL119)</f>
        <v/>
      </c>
      <c r="N119" s="12">
        <f>AVERAGE(AM119:AR119)</f>
        <v/>
      </c>
      <c r="O119" s="13">
        <f>IF(COUNT(U119:Z119)&gt;0,Q119/COUNT(U119:Z119),0.5)</f>
        <v/>
      </c>
      <c r="P119" s="13">
        <f>IF(COUNT(AA119:AF119)&gt;0,R119/COUNT(AA119:AF119),0.5)</f>
        <v/>
      </c>
      <c r="Q119" s="5">
        <f>SUM(U119:Z119)</f>
        <v/>
      </c>
      <c r="R119" s="5">
        <f>SUM(AA119:AF119)</f>
        <v/>
      </c>
      <c r="S119" s="14">
        <f>IF(ISNUMBER(K119),K119,IF(ISNUMBER(L119),-L119,""))</f>
        <v/>
      </c>
      <c r="T119">
        <f>IF(ISNUMBER(L119),L119,IF(ISNUMBER(K119),-K119,""))</f>
        <v/>
      </c>
      <c r="U119" s="14">
        <f>IF(ISNUMBER(S119),IF(ISNUMBER(S115),IF(S119&gt;S115,1.0,IF(S119=S115,0.5,0.0)),""),"")</f>
        <v/>
      </c>
      <c r="V119">
        <f>IF(ISNUMBER(S119),IF(ISNUMBER(S116),IF(S119&gt;S116,1.0,IF(S119=S116,0.5,0.0)),""),"")</f>
        <v/>
      </c>
      <c r="W119">
        <f>IF(ISNUMBER(S119),IF(ISNUMBER(S117),IF(S119&gt;S117,1.0,IF(S119=S117,0.5,0.0)),""),"")</f>
        <v/>
      </c>
      <c r="X119">
        <f>IF(ISNUMBER(S119),IF(ISNUMBER(S118),IF(S119&gt;S118,1.0,IF(S119=S118,0.5,0.0)),""),"")</f>
        <v/>
      </c>
      <c r="Y119">
        <f>IF(ISNUMBER(S119),IF(ISNUMBER(S120),IF(S119&gt;S120,1.0,IF(S119=S120,0.5,0.0)),""),"")</f>
        <v/>
      </c>
      <c r="Z119">
        <f>IF(ISNUMBER(S119),IF(ISNUMBER(S121),IF(S119&gt;S121,1.0,IF(S119=S121,0.5,0.0)),""),"")</f>
        <v/>
      </c>
      <c r="AA119">
        <f>IF(ISNUMBER(T119),IF(ISNUMBER(T115),IF(T119&gt;T115,1.0,IF(T119=T115,0.5,0.0)),""),"")</f>
        <v/>
      </c>
      <c r="AB119">
        <f>IF(ISNUMBER(T119),IF(ISNUMBER(T116),IF(T119&gt;T116,1.0,IF(T119=T116,0.5,0.0)),""),"")</f>
        <v/>
      </c>
      <c r="AC119">
        <f>IF(ISNUMBER(T119),IF(ISNUMBER(T117),IF(T119&gt;T117,1.0,IF(T119=T117,0.5,0.0)),""),"")</f>
        <v/>
      </c>
      <c r="AD119">
        <f>IF(ISNUMBER(T119),IF(ISNUMBER(T118),IF(T119&gt;T118,1.0,IF(T119=T118,0.5,0.0)),""),"")</f>
        <v/>
      </c>
      <c r="AE119">
        <f>IF(ISNUMBER(T119),IF(ISNUMBER(T120),IF(T119&gt;T120,1.0,IF(T119=T120,0.5,0.0)),""),"")</f>
        <v/>
      </c>
      <c r="AF119">
        <f>IF(ISNUMBER(T119),IF(ISNUMBER(T121),IF(T119&gt;T121,1.0,IF(T119=T121,0.5,0.0)),""),"")</f>
        <v/>
      </c>
      <c r="AG119" s="14">
        <f>IF(AND(ISNUMBER(S119),ISNUMBER(S115)),VLOOKUP(ABS(S119-S115),'IMP Table'!$A$2:$C$26,3)*SIGN(S119-S115),0)</f>
        <v/>
      </c>
      <c r="AH119">
        <f>IF(AND(ISNUMBER(S119),ISNUMBER(S116)),VLOOKUP(ABS(S119-S116),'IMP Table'!$A$2:$C$26,3)*SIGN(S119-S116),0)</f>
        <v/>
      </c>
      <c r="AI119">
        <f>IF(AND(ISNUMBER(S119),ISNUMBER(S117)),VLOOKUP(ABS(S119-S117),'IMP Table'!$A$2:$C$26,3)*SIGN(S119-S117),0)</f>
        <v/>
      </c>
      <c r="AJ119">
        <f>IF(AND(ISNUMBER(S119),ISNUMBER(S118)),VLOOKUP(ABS(S119-S118),'IMP Table'!$A$2:$C$26,3)*SIGN(S119-S118),0)</f>
        <v/>
      </c>
      <c r="AK119">
        <f>IF(AND(ISNUMBER(S119),ISNUMBER(S120)),VLOOKUP(ABS(S119-S120),'IMP Table'!$A$2:$C$26,3)*SIGN(S119-S120),0)</f>
        <v/>
      </c>
      <c r="AL119">
        <f>IF(AND(ISNUMBER(S119),ISNUMBER(S121)),VLOOKUP(ABS(S119-S121),'IMP Table'!$A$2:$C$26,3)*SIGN(S119-S121),0)</f>
        <v/>
      </c>
      <c r="AM119">
        <f>IF(AND(ISNUMBER(T119),ISNUMBER(T115)),VLOOKUP(ABS(T119-T115),'IMP Table'!$A$2:$C$26,3)*SIGN(T119-T115),0)</f>
        <v/>
      </c>
      <c r="AN119">
        <f>IF(AND(ISNUMBER(T119),ISNUMBER(T116)),VLOOKUP(ABS(T119-T116),'IMP Table'!$A$2:$C$26,3)*SIGN(T119-T116),0)</f>
        <v/>
      </c>
      <c r="AO119">
        <f>IF(AND(ISNUMBER(T119),ISNUMBER(T117)),VLOOKUP(ABS(T119-T117),'IMP Table'!$A$2:$C$26,3)*SIGN(T119-T117),0)</f>
        <v/>
      </c>
      <c r="AP119">
        <f>IF(AND(ISNUMBER(T119),ISNUMBER(T118)),VLOOKUP(ABS(T119-T118),'IMP Table'!$A$2:$C$26,3)*SIGN(T119-T118),0)</f>
        <v/>
      </c>
      <c r="AQ119">
        <f>IF(AND(ISNUMBER(T119),ISNUMBER(T120)),VLOOKUP(ABS(T119-T120),'IMP Table'!$A$2:$C$26,3)*SIGN(T119-T120),0)</f>
        <v/>
      </c>
      <c r="AR119">
        <f>IF(AND(ISNUMBER(T119),ISNUMBER(T121)),VLOOKUP(ABS(T119-T121),'IMP Table'!$A$2:$C$26,3)*SIGN(T119-T121),0)</f>
        <v/>
      </c>
    </row>
    <row r="120">
      <c r="B120" s="10">
        <f>'By Round'!A59</f>
        <v/>
      </c>
      <c r="C120" s="10">
        <f>'By Round'!B65</f>
        <v/>
      </c>
      <c r="D120" s="10">
        <f>'By Round'!C65</f>
        <v/>
      </c>
      <c r="E120" s="10">
        <f>'By Round'!D65</f>
        <v/>
      </c>
      <c r="F120" s="10">
        <f>IF(ISBLANK('By Round'!F65),"",'By Round'!F65)</f>
        <v/>
      </c>
      <c r="G120">
        <f>IF(ISBLANK('By Round'!G65),"",'By Round'!G65)</f>
        <v/>
      </c>
      <c r="H120">
        <f>IF(ISBLANK('By Round'!H65),"",'By Round'!H65)</f>
        <v/>
      </c>
      <c r="I120">
        <f>IF(ISBLANK('By Round'!I65),"",'By Round'!I65)</f>
        <v/>
      </c>
      <c r="J120">
        <f>IF(ISBLANK('By Round'!J65),"",'By Round'!J65)</f>
        <v/>
      </c>
      <c r="K120">
        <f>IF(ISBLANK('By Round'!K65),"",'By Round'!K65)</f>
        <v/>
      </c>
      <c r="L120">
        <f>IF(ISBLANK('By Round'!L65),"",'By Round'!L65)</f>
        <v/>
      </c>
      <c r="M120" s="11">
        <f>AVERAGE(AG120:AL120)</f>
        <v/>
      </c>
      <c r="N120" s="12">
        <f>AVERAGE(AM120:AR120)</f>
        <v/>
      </c>
      <c r="O120" s="13">
        <f>IF(COUNT(U120:Z120)&gt;0,Q120/COUNT(U120:Z120),0.5)</f>
        <v/>
      </c>
      <c r="P120" s="13">
        <f>IF(COUNT(AA120:AF120)&gt;0,R120/COUNT(AA120:AF120),0.5)</f>
        <v/>
      </c>
      <c r="Q120" s="5">
        <f>SUM(U120:Z120)</f>
        <v/>
      </c>
      <c r="R120" s="5">
        <f>SUM(AA120:AF120)</f>
        <v/>
      </c>
      <c r="S120" s="14">
        <f>IF(ISNUMBER(K120),K120,IF(ISNUMBER(L120),-L120,""))</f>
        <v/>
      </c>
      <c r="T120">
        <f>IF(ISNUMBER(L120),L120,IF(ISNUMBER(K120),-K120,""))</f>
        <v/>
      </c>
      <c r="U120" s="14">
        <f>IF(ISNUMBER(S120),IF(ISNUMBER(S115),IF(S120&gt;S115,1.0,IF(S120=S115,0.5,0.0)),""),"")</f>
        <v/>
      </c>
      <c r="V120">
        <f>IF(ISNUMBER(S120),IF(ISNUMBER(S116),IF(S120&gt;S116,1.0,IF(S120=S116,0.5,0.0)),""),"")</f>
        <v/>
      </c>
      <c r="W120">
        <f>IF(ISNUMBER(S120),IF(ISNUMBER(S117),IF(S120&gt;S117,1.0,IF(S120=S117,0.5,0.0)),""),"")</f>
        <v/>
      </c>
      <c r="X120">
        <f>IF(ISNUMBER(S120),IF(ISNUMBER(S118),IF(S120&gt;S118,1.0,IF(S120=S118,0.5,0.0)),""),"")</f>
        <v/>
      </c>
      <c r="Y120">
        <f>IF(ISNUMBER(S120),IF(ISNUMBER(S119),IF(S120&gt;S119,1.0,IF(S120=S119,0.5,0.0)),""),"")</f>
        <v/>
      </c>
      <c r="Z120">
        <f>IF(ISNUMBER(S120),IF(ISNUMBER(S121),IF(S120&gt;S121,1.0,IF(S120=S121,0.5,0.0)),""),"")</f>
        <v/>
      </c>
      <c r="AA120">
        <f>IF(ISNUMBER(T120),IF(ISNUMBER(T115),IF(T120&gt;T115,1.0,IF(T120=T115,0.5,0.0)),""),"")</f>
        <v/>
      </c>
      <c r="AB120">
        <f>IF(ISNUMBER(T120),IF(ISNUMBER(T116),IF(T120&gt;T116,1.0,IF(T120=T116,0.5,0.0)),""),"")</f>
        <v/>
      </c>
      <c r="AC120">
        <f>IF(ISNUMBER(T120),IF(ISNUMBER(T117),IF(T120&gt;T117,1.0,IF(T120=T117,0.5,0.0)),""),"")</f>
        <v/>
      </c>
      <c r="AD120">
        <f>IF(ISNUMBER(T120),IF(ISNUMBER(T118),IF(T120&gt;T118,1.0,IF(T120=T118,0.5,0.0)),""),"")</f>
        <v/>
      </c>
      <c r="AE120">
        <f>IF(ISNUMBER(T120),IF(ISNUMBER(T119),IF(T120&gt;T119,1.0,IF(T120=T119,0.5,0.0)),""),"")</f>
        <v/>
      </c>
      <c r="AF120">
        <f>IF(ISNUMBER(T120),IF(ISNUMBER(T121),IF(T120&gt;T121,1.0,IF(T120=T121,0.5,0.0)),""),"")</f>
        <v/>
      </c>
      <c r="AG120" s="14">
        <f>IF(AND(ISNUMBER(S120),ISNUMBER(S115)),VLOOKUP(ABS(S120-S115),'IMP Table'!$A$2:$C$26,3)*SIGN(S120-S115),0)</f>
        <v/>
      </c>
      <c r="AH120">
        <f>IF(AND(ISNUMBER(S120),ISNUMBER(S116)),VLOOKUP(ABS(S120-S116),'IMP Table'!$A$2:$C$26,3)*SIGN(S120-S116),0)</f>
        <v/>
      </c>
      <c r="AI120">
        <f>IF(AND(ISNUMBER(S120),ISNUMBER(S117)),VLOOKUP(ABS(S120-S117),'IMP Table'!$A$2:$C$26,3)*SIGN(S120-S117),0)</f>
        <v/>
      </c>
      <c r="AJ120">
        <f>IF(AND(ISNUMBER(S120),ISNUMBER(S118)),VLOOKUP(ABS(S120-S118),'IMP Table'!$A$2:$C$26,3)*SIGN(S120-S118),0)</f>
        <v/>
      </c>
      <c r="AK120">
        <f>IF(AND(ISNUMBER(S120),ISNUMBER(S119)),VLOOKUP(ABS(S120-S119),'IMP Table'!$A$2:$C$26,3)*SIGN(S120-S119),0)</f>
        <v/>
      </c>
      <c r="AL120">
        <f>IF(AND(ISNUMBER(S120),ISNUMBER(S121)),VLOOKUP(ABS(S120-S121),'IMP Table'!$A$2:$C$26,3)*SIGN(S120-S121),0)</f>
        <v/>
      </c>
      <c r="AM120">
        <f>IF(AND(ISNUMBER(T120),ISNUMBER(T115)),VLOOKUP(ABS(T120-T115),'IMP Table'!$A$2:$C$26,3)*SIGN(T120-T115),0)</f>
        <v/>
      </c>
      <c r="AN120">
        <f>IF(AND(ISNUMBER(T120),ISNUMBER(T116)),VLOOKUP(ABS(T120-T116),'IMP Table'!$A$2:$C$26,3)*SIGN(T120-T116),0)</f>
        <v/>
      </c>
      <c r="AO120">
        <f>IF(AND(ISNUMBER(T120),ISNUMBER(T117)),VLOOKUP(ABS(T120-T117),'IMP Table'!$A$2:$C$26,3)*SIGN(T120-T117),0)</f>
        <v/>
      </c>
      <c r="AP120">
        <f>IF(AND(ISNUMBER(T120),ISNUMBER(T118)),VLOOKUP(ABS(T120-T118),'IMP Table'!$A$2:$C$26,3)*SIGN(T120-T118),0)</f>
        <v/>
      </c>
      <c r="AQ120">
        <f>IF(AND(ISNUMBER(T120),ISNUMBER(T119)),VLOOKUP(ABS(T120-T119),'IMP Table'!$A$2:$C$26,3)*SIGN(T120-T119),0)</f>
        <v/>
      </c>
      <c r="AR120">
        <f>IF(AND(ISNUMBER(T120),ISNUMBER(T121)),VLOOKUP(ABS(T120-T121),'IMP Table'!$A$2:$C$26,3)*SIGN(T120-T121),0)</f>
        <v/>
      </c>
    </row>
    <row r="121">
      <c r="A121" s="15" t="n"/>
      <c r="B121" s="16">
        <f>'By Round'!A115</f>
        <v/>
      </c>
      <c r="C121" s="16">
        <f>'By Round'!B115</f>
        <v/>
      </c>
      <c r="D121" s="16">
        <f>'By Round'!C115</f>
        <v/>
      </c>
      <c r="E121" s="16">
        <f>'By Round'!D115</f>
        <v/>
      </c>
      <c r="F121" s="16">
        <f>IF(ISBLANK('By Round'!F115),"",'By Round'!F115)</f>
        <v/>
      </c>
      <c r="G121" s="15">
        <f>IF(ISBLANK('By Round'!G115),"",'By Round'!G115)</f>
        <v/>
      </c>
      <c r="H121" s="15">
        <f>IF(ISBLANK('By Round'!H115),"",'By Round'!H115)</f>
        <v/>
      </c>
      <c r="I121" s="15">
        <f>IF(ISBLANK('By Round'!I115),"",'By Round'!I115)</f>
        <v/>
      </c>
      <c r="J121" s="15">
        <f>IF(ISBLANK('By Round'!J115),"",'By Round'!J115)</f>
        <v/>
      </c>
      <c r="K121" s="15">
        <f>IF(ISBLANK('By Round'!K115),"",'By Round'!K115)</f>
        <v/>
      </c>
      <c r="L121" s="15">
        <f>IF(ISBLANK('By Round'!L115),"",'By Round'!L115)</f>
        <v/>
      </c>
      <c r="M121" s="17">
        <f>AVERAGE(AG121:AL121)</f>
        <v/>
      </c>
      <c r="N121" s="18">
        <f>AVERAGE(AM121:AR121)</f>
        <v/>
      </c>
      <c r="O121" s="19">
        <f>IF(COUNT(U121:Z121)&gt;0,Q121/COUNT(U121:Z121),0.5)</f>
        <v/>
      </c>
      <c r="P121" s="19">
        <f>IF(COUNT(AA121:AF121)&gt;0,R121/COUNT(AA121:AF121),0.5)</f>
        <v/>
      </c>
      <c r="Q121" s="20">
        <f>SUM(U121:Z121)</f>
        <v/>
      </c>
      <c r="R121" s="20">
        <f>SUM(AA121:AF121)</f>
        <v/>
      </c>
      <c r="S121" s="21">
        <f>IF(ISNUMBER(K121),K121,IF(ISNUMBER(L121),-L121,""))</f>
        <v/>
      </c>
      <c r="T121" s="15">
        <f>IF(ISNUMBER(L121),L121,IF(ISNUMBER(K121),-K121,""))</f>
        <v/>
      </c>
      <c r="U121" s="21">
        <f>IF(ISNUMBER(S121),IF(ISNUMBER(S115),IF(S121&gt;S115,1.0,IF(S121=S115,0.5,0.0)),""),"")</f>
        <v/>
      </c>
      <c r="V121" s="15">
        <f>IF(ISNUMBER(S121),IF(ISNUMBER(S116),IF(S121&gt;S116,1.0,IF(S121=S116,0.5,0.0)),""),"")</f>
        <v/>
      </c>
      <c r="W121" s="15">
        <f>IF(ISNUMBER(S121),IF(ISNUMBER(S117),IF(S121&gt;S117,1.0,IF(S121=S117,0.5,0.0)),""),"")</f>
        <v/>
      </c>
      <c r="X121" s="15">
        <f>IF(ISNUMBER(S121),IF(ISNUMBER(S118),IF(S121&gt;S118,1.0,IF(S121=S118,0.5,0.0)),""),"")</f>
        <v/>
      </c>
      <c r="Y121" s="15">
        <f>IF(ISNUMBER(S121),IF(ISNUMBER(S119),IF(S121&gt;S119,1.0,IF(S121=S119,0.5,0.0)),""),"")</f>
        <v/>
      </c>
      <c r="Z121" s="15">
        <f>IF(ISNUMBER(S121),IF(ISNUMBER(S120),IF(S121&gt;S120,1.0,IF(S121=S120,0.5,0.0)),""),"")</f>
        <v/>
      </c>
      <c r="AA121" s="15">
        <f>IF(ISNUMBER(T121),IF(ISNUMBER(T115),IF(T121&gt;T115,1.0,IF(T121=T115,0.5,0.0)),""),"")</f>
        <v/>
      </c>
      <c r="AB121" s="15">
        <f>IF(ISNUMBER(T121),IF(ISNUMBER(T116),IF(T121&gt;T116,1.0,IF(T121=T116,0.5,0.0)),""),"")</f>
        <v/>
      </c>
      <c r="AC121" s="15">
        <f>IF(ISNUMBER(T121),IF(ISNUMBER(T117),IF(T121&gt;T117,1.0,IF(T121=T117,0.5,0.0)),""),"")</f>
        <v/>
      </c>
      <c r="AD121" s="15">
        <f>IF(ISNUMBER(T121),IF(ISNUMBER(T118),IF(T121&gt;T118,1.0,IF(T121=T118,0.5,0.0)),""),"")</f>
        <v/>
      </c>
      <c r="AE121" s="15">
        <f>IF(ISNUMBER(T121),IF(ISNUMBER(T119),IF(T121&gt;T119,1.0,IF(T121=T119,0.5,0.0)),""),"")</f>
        <v/>
      </c>
      <c r="AF121" s="15">
        <f>IF(ISNUMBER(T121),IF(ISNUMBER(T120),IF(T121&gt;T120,1.0,IF(T121=T120,0.5,0.0)),""),"")</f>
        <v/>
      </c>
      <c r="AG121" s="21">
        <f>IF(AND(ISNUMBER(S121),ISNUMBER(S115)),VLOOKUP(ABS(S121-S115),'IMP Table'!$A$2:$C$26,3)*SIGN(S121-S115),0)</f>
        <v/>
      </c>
      <c r="AH121" s="15">
        <f>IF(AND(ISNUMBER(S121),ISNUMBER(S116)),VLOOKUP(ABS(S121-S116),'IMP Table'!$A$2:$C$26,3)*SIGN(S121-S116),0)</f>
        <v/>
      </c>
      <c r="AI121" s="15">
        <f>IF(AND(ISNUMBER(S121),ISNUMBER(S117)),VLOOKUP(ABS(S121-S117),'IMP Table'!$A$2:$C$26,3)*SIGN(S121-S117),0)</f>
        <v/>
      </c>
      <c r="AJ121" s="15">
        <f>IF(AND(ISNUMBER(S121),ISNUMBER(S118)),VLOOKUP(ABS(S121-S118),'IMP Table'!$A$2:$C$26,3)*SIGN(S121-S118),0)</f>
        <v/>
      </c>
      <c r="AK121" s="15">
        <f>IF(AND(ISNUMBER(S121),ISNUMBER(S119)),VLOOKUP(ABS(S121-S119),'IMP Table'!$A$2:$C$26,3)*SIGN(S121-S119),0)</f>
        <v/>
      </c>
      <c r="AL121" s="15">
        <f>IF(AND(ISNUMBER(S121),ISNUMBER(S120)),VLOOKUP(ABS(S121-S120),'IMP Table'!$A$2:$C$26,3)*SIGN(S121-S120),0)</f>
        <v/>
      </c>
      <c r="AM121" s="15">
        <f>IF(AND(ISNUMBER(T121),ISNUMBER(T115)),VLOOKUP(ABS(T121-T115),'IMP Table'!$A$2:$C$26,3)*SIGN(T121-T115),0)</f>
        <v/>
      </c>
      <c r="AN121" s="15">
        <f>IF(AND(ISNUMBER(T121),ISNUMBER(T116)),VLOOKUP(ABS(T121-T116),'IMP Table'!$A$2:$C$26,3)*SIGN(T121-T116),0)</f>
        <v/>
      </c>
      <c r="AO121" s="15">
        <f>IF(AND(ISNUMBER(T121),ISNUMBER(T117)),VLOOKUP(ABS(T121-T117),'IMP Table'!$A$2:$C$26,3)*SIGN(T121-T117),0)</f>
        <v/>
      </c>
      <c r="AP121" s="15">
        <f>IF(AND(ISNUMBER(T121),ISNUMBER(T118)),VLOOKUP(ABS(T121-T118),'IMP Table'!$A$2:$C$26,3)*SIGN(T121-T118),0)</f>
        <v/>
      </c>
      <c r="AQ121" s="15">
        <f>IF(AND(ISNUMBER(T121),ISNUMBER(T119)),VLOOKUP(ABS(T121-T119),'IMP Table'!$A$2:$C$26,3)*SIGN(T121-T119),0)</f>
        <v/>
      </c>
      <c r="AR121" s="15">
        <f>IF(AND(ISNUMBER(T121),ISNUMBER(T120)),VLOOKUP(ABS(T121-T120),'IMP Table'!$A$2:$C$26,3)*SIGN(T121-T120),0)</f>
        <v/>
      </c>
    </row>
    <row r="122">
      <c r="A122" s="10" t="n">
        <v>18</v>
      </c>
      <c r="B122" s="10">
        <f>'By Round'!A143</f>
        <v/>
      </c>
      <c r="C122" s="10">
        <f>'By Round'!B155</f>
        <v/>
      </c>
      <c r="D122" s="10">
        <f>'By Round'!C155</f>
        <v/>
      </c>
      <c r="E122" s="10">
        <f>'By Round'!D155</f>
        <v/>
      </c>
      <c r="F122" s="10">
        <f>IF(ISBLANK('By Round'!F156),"",'By Round'!F156)</f>
        <v/>
      </c>
      <c r="G122">
        <f>IF(ISBLANK('By Round'!G156),"",'By Round'!G156)</f>
        <v/>
      </c>
      <c r="H122">
        <f>IF(ISBLANK('By Round'!H156),"",'By Round'!H156)</f>
        <v/>
      </c>
      <c r="I122">
        <f>IF(ISBLANK('By Round'!I156),"",'By Round'!I156)</f>
        <v/>
      </c>
      <c r="J122">
        <f>IF(ISBLANK('By Round'!J156),"",'By Round'!J156)</f>
        <v/>
      </c>
      <c r="K122">
        <f>IF(ISBLANK('By Round'!K156),"",'By Round'!K156)</f>
        <v/>
      </c>
      <c r="L122">
        <f>IF(ISBLANK('By Round'!L156),"",'By Round'!L156)</f>
        <v/>
      </c>
      <c r="M122" s="11">
        <f>AVERAGE(AG122:AL122)</f>
        <v/>
      </c>
      <c r="N122" s="12">
        <f>AVERAGE(AM122:AR122)</f>
        <v/>
      </c>
      <c r="O122" s="13">
        <f>IF(COUNT(U122:Z122)&gt;0,Q122/COUNT(U122:Z122),0.5)</f>
        <v/>
      </c>
      <c r="P122" s="13">
        <f>IF(COUNT(AA122:AF122)&gt;0,R122/COUNT(AA122:AF122),0.5)</f>
        <v/>
      </c>
      <c r="Q122" s="5">
        <f>SUM(U122:Z122)</f>
        <v/>
      </c>
      <c r="R122" s="5">
        <f>SUM(AA122:AF122)</f>
        <v/>
      </c>
      <c r="S122" s="14">
        <f>IF(ISNUMBER(K122),K122,IF(ISNUMBER(L122),-L122,""))</f>
        <v/>
      </c>
      <c r="T122">
        <f>IF(ISNUMBER(L122),L122,IF(ISNUMBER(K122),-K122,""))</f>
        <v/>
      </c>
      <c r="U122" s="14">
        <f>IF(ISNUMBER(S122),IF(ISNUMBER(S123),IF(S122&gt;S123,1.0,IF(S122=S123,0.5,0.0)),""),"")</f>
        <v/>
      </c>
      <c r="V122">
        <f>IF(ISNUMBER(S122),IF(ISNUMBER(S124),IF(S122&gt;S124,1.0,IF(S122=S124,0.5,0.0)),""),"")</f>
        <v/>
      </c>
      <c r="W122">
        <f>IF(ISNUMBER(S122),IF(ISNUMBER(S125),IF(S122&gt;S125,1.0,IF(S122=S125,0.5,0.0)),""),"")</f>
        <v/>
      </c>
      <c r="X122">
        <f>IF(ISNUMBER(S122),IF(ISNUMBER(S126),IF(S122&gt;S126,1.0,IF(S122=S126,0.5,0.0)),""),"")</f>
        <v/>
      </c>
      <c r="Y122">
        <f>IF(ISNUMBER(S122),IF(ISNUMBER(S127),IF(S122&gt;S127,1.0,IF(S122=S127,0.5,0.0)),""),"")</f>
        <v/>
      </c>
      <c r="Z122">
        <f>IF(ISNUMBER(S122),IF(ISNUMBER(S128),IF(S122&gt;S128,1.0,IF(S122=S128,0.5,0.0)),""),"")</f>
        <v/>
      </c>
      <c r="AA122">
        <f>IF(ISNUMBER(T122),IF(ISNUMBER(T123),IF(T122&gt;T123,1.0,IF(T122=T123,0.5,0.0)),""),"")</f>
        <v/>
      </c>
      <c r="AB122">
        <f>IF(ISNUMBER(T122),IF(ISNUMBER(T124),IF(T122&gt;T124,1.0,IF(T122=T124,0.5,0.0)),""),"")</f>
        <v/>
      </c>
      <c r="AC122">
        <f>IF(ISNUMBER(T122),IF(ISNUMBER(T125),IF(T122&gt;T125,1.0,IF(T122=T125,0.5,0.0)),""),"")</f>
        <v/>
      </c>
      <c r="AD122">
        <f>IF(ISNUMBER(T122),IF(ISNUMBER(T126),IF(T122&gt;T126,1.0,IF(T122=T126,0.5,0.0)),""),"")</f>
        <v/>
      </c>
      <c r="AE122">
        <f>IF(ISNUMBER(T122),IF(ISNUMBER(T127),IF(T122&gt;T127,1.0,IF(T122=T127,0.5,0.0)),""),"")</f>
        <v/>
      </c>
      <c r="AF122">
        <f>IF(ISNUMBER(T122),IF(ISNUMBER(T128),IF(T122&gt;T128,1.0,IF(T122=T128,0.5,0.0)),""),"")</f>
        <v/>
      </c>
      <c r="AG122" s="14">
        <f>IF(AND(ISNUMBER(S122),ISNUMBER(S123)),VLOOKUP(ABS(S122-S123),'IMP Table'!$A$2:$C$26,3)*SIGN(S122-S123),0)</f>
        <v/>
      </c>
      <c r="AH122">
        <f>IF(AND(ISNUMBER(S122),ISNUMBER(S124)),VLOOKUP(ABS(S122-S124),'IMP Table'!$A$2:$C$26,3)*SIGN(S122-S124),0)</f>
        <v/>
      </c>
      <c r="AI122">
        <f>IF(AND(ISNUMBER(S122),ISNUMBER(S125)),VLOOKUP(ABS(S122-S125),'IMP Table'!$A$2:$C$26,3)*SIGN(S122-S125),0)</f>
        <v/>
      </c>
      <c r="AJ122">
        <f>IF(AND(ISNUMBER(S122),ISNUMBER(S126)),VLOOKUP(ABS(S122-S126),'IMP Table'!$A$2:$C$26,3)*SIGN(S122-S126),0)</f>
        <v/>
      </c>
      <c r="AK122">
        <f>IF(AND(ISNUMBER(S122),ISNUMBER(S127)),VLOOKUP(ABS(S122-S127),'IMP Table'!$A$2:$C$26,3)*SIGN(S122-S127),0)</f>
        <v/>
      </c>
      <c r="AL122">
        <f>IF(AND(ISNUMBER(S122),ISNUMBER(S128)),VLOOKUP(ABS(S122-S128),'IMP Table'!$A$2:$C$26,3)*SIGN(S122-S128),0)</f>
        <v/>
      </c>
      <c r="AM122">
        <f>IF(AND(ISNUMBER(T122),ISNUMBER(T123)),VLOOKUP(ABS(T122-T123),'IMP Table'!$A$2:$C$26,3)*SIGN(T122-T123),0)</f>
        <v/>
      </c>
      <c r="AN122">
        <f>IF(AND(ISNUMBER(T122),ISNUMBER(T124)),VLOOKUP(ABS(T122-T124),'IMP Table'!$A$2:$C$26,3)*SIGN(T122-T124),0)</f>
        <v/>
      </c>
      <c r="AO122">
        <f>IF(AND(ISNUMBER(T122),ISNUMBER(T125)),VLOOKUP(ABS(T122-T125),'IMP Table'!$A$2:$C$26,3)*SIGN(T122-T125),0)</f>
        <v/>
      </c>
      <c r="AP122">
        <f>IF(AND(ISNUMBER(T122),ISNUMBER(T126)),VLOOKUP(ABS(T122-T126),'IMP Table'!$A$2:$C$26,3)*SIGN(T122-T126),0)</f>
        <v/>
      </c>
      <c r="AQ122">
        <f>IF(AND(ISNUMBER(T122),ISNUMBER(T127)),VLOOKUP(ABS(T122-T127),'IMP Table'!$A$2:$C$26,3)*SIGN(T122-T127),0)</f>
        <v/>
      </c>
      <c r="AR122">
        <f>IF(AND(ISNUMBER(T122),ISNUMBER(T128)),VLOOKUP(ABS(T122-T128),'IMP Table'!$A$2:$C$26,3)*SIGN(T122-T128),0)</f>
        <v/>
      </c>
    </row>
    <row r="123">
      <c r="B123" s="10">
        <f>'By Round'!A171</f>
        <v/>
      </c>
      <c r="C123" s="10">
        <f>'By Round'!B179</f>
        <v/>
      </c>
      <c r="D123" s="10">
        <f>'By Round'!C179</f>
        <v/>
      </c>
      <c r="E123" s="10">
        <f>'By Round'!D179</f>
        <v/>
      </c>
      <c r="F123" s="10">
        <f>IF(ISBLANK('By Round'!F180),"",'By Round'!F180)</f>
        <v/>
      </c>
      <c r="G123">
        <f>IF(ISBLANK('By Round'!G180),"",'By Round'!G180)</f>
        <v/>
      </c>
      <c r="H123">
        <f>IF(ISBLANK('By Round'!H180),"",'By Round'!H180)</f>
        <v/>
      </c>
      <c r="I123">
        <f>IF(ISBLANK('By Round'!I180),"",'By Round'!I180)</f>
        <v/>
      </c>
      <c r="J123">
        <f>IF(ISBLANK('By Round'!J180),"",'By Round'!J180)</f>
        <v/>
      </c>
      <c r="K123">
        <f>IF(ISBLANK('By Round'!K180),"",'By Round'!K180)</f>
        <v/>
      </c>
      <c r="L123">
        <f>IF(ISBLANK('By Round'!L180),"",'By Round'!L180)</f>
        <v/>
      </c>
      <c r="M123" s="11">
        <f>AVERAGE(AG123:AL123)</f>
        <v/>
      </c>
      <c r="N123" s="12">
        <f>AVERAGE(AM123:AR123)</f>
        <v/>
      </c>
      <c r="O123" s="13">
        <f>IF(COUNT(U123:Z123)&gt;0,Q123/COUNT(U123:Z123),0.5)</f>
        <v/>
      </c>
      <c r="P123" s="13">
        <f>IF(COUNT(AA123:AF123)&gt;0,R123/COUNT(AA123:AF123),0.5)</f>
        <v/>
      </c>
      <c r="Q123" s="5">
        <f>SUM(U123:Z123)</f>
        <v/>
      </c>
      <c r="R123" s="5">
        <f>SUM(AA123:AF123)</f>
        <v/>
      </c>
      <c r="S123" s="14">
        <f>IF(ISNUMBER(K123),K123,IF(ISNUMBER(L123),-L123,""))</f>
        <v/>
      </c>
      <c r="T123">
        <f>IF(ISNUMBER(L123),L123,IF(ISNUMBER(K123),-K123,""))</f>
        <v/>
      </c>
      <c r="U123" s="14">
        <f>IF(ISNUMBER(S123),IF(ISNUMBER(S122),IF(S123&gt;S122,1.0,IF(S123=S122,0.5,0.0)),""),"")</f>
        <v/>
      </c>
      <c r="V123">
        <f>IF(ISNUMBER(S123),IF(ISNUMBER(S124),IF(S123&gt;S124,1.0,IF(S123=S124,0.5,0.0)),""),"")</f>
        <v/>
      </c>
      <c r="W123">
        <f>IF(ISNUMBER(S123),IF(ISNUMBER(S125),IF(S123&gt;S125,1.0,IF(S123=S125,0.5,0.0)),""),"")</f>
        <v/>
      </c>
      <c r="X123">
        <f>IF(ISNUMBER(S123),IF(ISNUMBER(S126),IF(S123&gt;S126,1.0,IF(S123=S126,0.5,0.0)),""),"")</f>
        <v/>
      </c>
      <c r="Y123">
        <f>IF(ISNUMBER(S123),IF(ISNUMBER(S127),IF(S123&gt;S127,1.0,IF(S123=S127,0.5,0.0)),""),"")</f>
        <v/>
      </c>
      <c r="Z123">
        <f>IF(ISNUMBER(S123),IF(ISNUMBER(S128),IF(S123&gt;S128,1.0,IF(S123=S128,0.5,0.0)),""),"")</f>
        <v/>
      </c>
      <c r="AA123">
        <f>IF(ISNUMBER(T123),IF(ISNUMBER(T122),IF(T123&gt;T122,1.0,IF(T123=T122,0.5,0.0)),""),"")</f>
        <v/>
      </c>
      <c r="AB123">
        <f>IF(ISNUMBER(T123),IF(ISNUMBER(T124),IF(T123&gt;T124,1.0,IF(T123=T124,0.5,0.0)),""),"")</f>
        <v/>
      </c>
      <c r="AC123">
        <f>IF(ISNUMBER(T123),IF(ISNUMBER(T125),IF(T123&gt;T125,1.0,IF(T123=T125,0.5,0.0)),""),"")</f>
        <v/>
      </c>
      <c r="AD123">
        <f>IF(ISNUMBER(T123),IF(ISNUMBER(T126),IF(T123&gt;T126,1.0,IF(T123=T126,0.5,0.0)),""),"")</f>
        <v/>
      </c>
      <c r="AE123">
        <f>IF(ISNUMBER(T123),IF(ISNUMBER(T127),IF(T123&gt;T127,1.0,IF(T123=T127,0.5,0.0)),""),"")</f>
        <v/>
      </c>
      <c r="AF123">
        <f>IF(ISNUMBER(T123),IF(ISNUMBER(T128),IF(T123&gt;T128,1.0,IF(T123=T128,0.5,0.0)),""),"")</f>
        <v/>
      </c>
      <c r="AG123" s="14">
        <f>IF(AND(ISNUMBER(S123),ISNUMBER(S122)),VLOOKUP(ABS(S123-S122),'IMP Table'!$A$2:$C$26,3)*SIGN(S123-S122),0)</f>
        <v/>
      </c>
      <c r="AH123">
        <f>IF(AND(ISNUMBER(S123),ISNUMBER(S124)),VLOOKUP(ABS(S123-S124),'IMP Table'!$A$2:$C$26,3)*SIGN(S123-S124),0)</f>
        <v/>
      </c>
      <c r="AI123">
        <f>IF(AND(ISNUMBER(S123),ISNUMBER(S125)),VLOOKUP(ABS(S123-S125),'IMP Table'!$A$2:$C$26,3)*SIGN(S123-S125),0)</f>
        <v/>
      </c>
      <c r="AJ123">
        <f>IF(AND(ISNUMBER(S123),ISNUMBER(S126)),VLOOKUP(ABS(S123-S126),'IMP Table'!$A$2:$C$26,3)*SIGN(S123-S126),0)</f>
        <v/>
      </c>
      <c r="AK123">
        <f>IF(AND(ISNUMBER(S123),ISNUMBER(S127)),VLOOKUP(ABS(S123-S127),'IMP Table'!$A$2:$C$26,3)*SIGN(S123-S127),0)</f>
        <v/>
      </c>
      <c r="AL123">
        <f>IF(AND(ISNUMBER(S123),ISNUMBER(S128)),VLOOKUP(ABS(S123-S128),'IMP Table'!$A$2:$C$26,3)*SIGN(S123-S128),0)</f>
        <v/>
      </c>
      <c r="AM123">
        <f>IF(AND(ISNUMBER(T123),ISNUMBER(T122)),VLOOKUP(ABS(T123-T122),'IMP Table'!$A$2:$C$26,3)*SIGN(T123-T122),0)</f>
        <v/>
      </c>
      <c r="AN123">
        <f>IF(AND(ISNUMBER(T123),ISNUMBER(T124)),VLOOKUP(ABS(T123-T124),'IMP Table'!$A$2:$C$26,3)*SIGN(T123-T124),0)</f>
        <v/>
      </c>
      <c r="AO123">
        <f>IF(AND(ISNUMBER(T123),ISNUMBER(T125)),VLOOKUP(ABS(T123-T125),'IMP Table'!$A$2:$C$26,3)*SIGN(T123-T125),0)</f>
        <v/>
      </c>
      <c r="AP123">
        <f>IF(AND(ISNUMBER(T123),ISNUMBER(T126)),VLOOKUP(ABS(T123-T126),'IMP Table'!$A$2:$C$26,3)*SIGN(T123-T126),0)</f>
        <v/>
      </c>
      <c r="AQ123">
        <f>IF(AND(ISNUMBER(T123),ISNUMBER(T127)),VLOOKUP(ABS(T123-T127),'IMP Table'!$A$2:$C$26,3)*SIGN(T123-T127),0)</f>
        <v/>
      </c>
      <c r="AR123">
        <f>IF(AND(ISNUMBER(T123),ISNUMBER(T128)),VLOOKUP(ABS(T123-T128),'IMP Table'!$A$2:$C$26,3)*SIGN(T123-T128),0)</f>
        <v/>
      </c>
    </row>
    <row r="124">
      <c r="B124" s="10">
        <f>'By Round'!A157</f>
        <v/>
      </c>
      <c r="C124" s="10">
        <f>'By Round'!B167</f>
        <v/>
      </c>
      <c r="D124" s="10">
        <f>'By Round'!C167</f>
        <v/>
      </c>
      <c r="E124" s="10">
        <f>'By Round'!D167</f>
        <v/>
      </c>
      <c r="F124" s="10">
        <f>IF(ISBLANK('By Round'!F168),"",'By Round'!F168)</f>
        <v/>
      </c>
      <c r="G124">
        <f>IF(ISBLANK('By Round'!G168),"",'By Round'!G168)</f>
        <v/>
      </c>
      <c r="H124">
        <f>IF(ISBLANK('By Round'!H168),"",'By Round'!H168)</f>
        <v/>
      </c>
      <c r="I124">
        <f>IF(ISBLANK('By Round'!I168),"",'By Round'!I168)</f>
        <v/>
      </c>
      <c r="J124">
        <f>IF(ISBLANK('By Round'!J168),"",'By Round'!J168)</f>
        <v/>
      </c>
      <c r="K124">
        <f>IF(ISBLANK('By Round'!K168),"",'By Round'!K168)</f>
        <v/>
      </c>
      <c r="L124">
        <f>IF(ISBLANK('By Round'!L168),"",'By Round'!L168)</f>
        <v/>
      </c>
      <c r="M124" s="11">
        <f>AVERAGE(AG124:AL124)</f>
        <v/>
      </c>
      <c r="N124" s="12">
        <f>AVERAGE(AM124:AR124)</f>
        <v/>
      </c>
      <c r="O124" s="13">
        <f>IF(COUNT(U124:Z124)&gt;0,Q124/COUNT(U124:Z124),0.5)</f>
        <v/>
      </c>
      <c r="P124" s="13">
        <f>IF(COUNT(AA124:AF124)&gt;0,R124/COUNT(AA124:AF124),0.5)</f>
        <v/>
      </c>
      <c r="Q124" s="5">
        <f>SUM(U124:Z124)</f>
        <v/>
      </c>
      <c r="R124" s="5">
        <f>SUM(AA124:AF124)</f>
        <v/>
      </c>
      <c r="S124" s="14">
        <f>IF(ISNUMBER(K124),K124,IF(ISNUMBER(L124),-L124,""))</f>
        <v/>
      </c>
      <c r="T124">
        <f>IF(ISNUMBER(L124),L124,IF(ISNUMBER(K124),-K124,""))</f>
        <v/>
      </c>
      <c r="U124" s="14">
        <f>IF(ISNUMBER(S124),IF(ISNUMBER(S122),IF(S124&gt;S122,1.0,IF(S124=S122,0.5,0.0)),""),"")</f>
        <v/>
      </c>
      <c r="V124">
        <f>IF(ISNUMBER(S124),IF(ISNUMBER(S123),IF(S124&gt;S123,1.0,IF(S124=S123,0.5,0.0)),""),"")</f>
        <v/>
      </c>
      <c r="W124">
        <f>IF(ISNUMBER(S124),IF(ISNUMBER(S125),IF(S124&gt;S125,1.0,IF(S124=S125,0.5,0.0)),""),"")</f>
        <v/>
      </c>
      <c r="X124">
        <f>IF(ISNUMBER(S124),IF(ISNUMBER(S126),IF(S124&gt;S126,1.0,IF(S124=S126,0.5,0.0)),""),"")</f>
        <v/>
      </c>
      <c r="Y124">
        <f>IF(ISNUMBER(S124),IF(ISNUMBER(S127),IF(S124&gt;S127,1.0,IF(S124=S127,0.5,0.0)),""),"")</f>
        <v/>
      </c>
      <c r="Z124">
        <f>IF(ISNUMBER(S124),IF(ISNUMBER(S128),IF(S124&gt;S128,1.0,IF(S124=S128,0.5,0.0)),""),"")</f>
        <v/>
      </c>
      <c r="AA124">
        <f>IF(ISNUMBER(T124),IF(ISNUMBER(T122),IF(T124&gt;T122,1.0,IF(T124=T122,0.5,0.0)),""),"")</f>
        <v/>
      </c>
      <c r="AB124">
        <f>IF(ISNUMBER(T124),IF(ISNUMBER(T123),IF(T124&gt;T123,1.0,IF(T124=T123,0.5,0.0)),""),"")</f>
        <v/>
      </c>
      <c r="AC124">
        <f>IF(ISNUMBER(T124),IF(ISNUMBER(T125),IF(T124&gt;T125,1.0,IF(T124=T125,0.5,0.0)),""),"")</f>
        <v/>
      </c>
      <c r="AD124">
        <f>IF(ISNUMBER(T124),IF(ISNUMBER(T126),IF(T124&gt;T126,1.0,IF(T124=T126,0.5,0.0)),""),"")</f>
        <v/>
      </c>
      <c r="AE124">
        <f>IF(ISNUMBER(T124),IF(ISNUMBER(T127),IF(T124&gt;T127,1.0,IF(T124=T127,0.5,0.0)),""),"")</f>
        <v/>
      </c>
      <c r="AF124">
        <f>IF(ISNUMBER(T124),IF(ISNUMBER(T128),IF(T124&gt;T128,1.0,IF(T124=T128,0.5,0.0)),""),"")</f>
        <v/>
      </c>
      <c r="AG124" s="14">
        <f>IF(AND(ISNUMBER(S124),ISNUMBER(S122)),VLOOKUP(ABS(S124-S122),'IMP Table'!$A$2:$C$26,3)*SIGN(S124-S122),0)</f>
        <v/>
      </c>
      <c r="AH124">
        <f>IF(AND(ISNUMBER(S124),ISNUMBER(S123)),VLOOKUP(ABS(S124-S123),'IMP Table'!$A$2:$C$26,3)*SIGN(S124-S123),0)</f>
        <v/>
      </c>
      <c r="AI124">
        <f>IF(AND(ISNUMBER(S124),ISNUMBER(S125)),VLOOKUP(ABS(S124-S125),'IMP Table'!$A$2:$C$26,3)*SIGN(S124-S125),0)</f>
        <v/>
      </c>
      <c r="AJ124">
        <f>IF(AND(ISNUMBER(S124),ISNUMBER(S126)),VLOOKUP(ABS(S124-S126),'IMP Table'!$A$2:$C$26,3)*SIGN(S124-S126),0)</f>
        <v/>
      </c>
      <c r="AK124">
        <f>IF(AND(ISNUMBER(S124),ISNUMBER(S127)),VLOOKUP(ABS(S124-S127),'IMP Table'!$A$2:$C$26,3)*SIGN(S124-S127),0)</f>
        <v/>
      </c>
      <c r="AL124">
        <f>IF(AND(ISNUMBER(S124),ISNUMBER(S128)),VLOOKUP(ABS(S124-S128),'IMP Table'!$A$2:$C$26,3)*SIGN(S124-S128),0)</f>
        <v/>
      </c>
      <c r="AM124">
        <f>IF(AND(ISNUMBER(T124),ISNUMBER(T122)),VLOOKUP(ABS(T124-T122),'IMP Table'!$A$2:$C$26,3)*SIGN(T124-T122),0)</f>
        <v/>
      </c>
      <c r="AN124">
        <f>IF(AND(ISNUMBER(T124),ISNUMBER(T123)),VLOOKUP(ABS(T124-T123),'IMP Table'!$A$2:$C$26,3)*SIGN(T124-T123),0)</f>
        <v/>
      </c>
      <c r="AO124">
        <f>IF(AND(ISNUMBER(T124),ISNUMBER(T125)),VLOOKUP(ABS(T124-T125),'IMP Table'!$A$2:$C$26,3)*SIGN(T124-T125),0)</f>
        <v/>
      </c>
      <c r="AP124">
        <f>IF(AND(ISNUMBER(T124),ISNUMBER(T126)),VLOOKUP(ABS(T124-T126),'IMP Table'!$A$2:$C$26,3)*SIGN(T124-T126),0)</f>
        <v/>
      </c>
      <c r="AQ124">
        <f>IF(AND(ISNUMBER(T124),ISNUMBER(T127)),VLOOKUP(ABS(T124-T127),'IMP Table'!$A$2:$C$26,3)*SIGN(T124-T127),0)</f>
        <v/>
      </c>
      <c r="AR124">
        <f>IF(AND(ISNUMBER(T124),ISNUMBER(T128)),VLOOKUP(ABS(T124-T128),'IMP Table'!$A$2:$C$26,3)*SIGN(T124-T128),0)</f>
        <v/>
      </c>
    </row>
    <row r="125">
      <c r="B125" s="10">
        <f>'By Round'!A73</f>
        <v/>
      </c>
      <c r="C125" s="10">
        <f>'By Round'!B77</f>
        <v/>
      </c>
      <c r="D125" s="10">
        <f>'By Round'!C77</f>
        <v/>
      </c>
      <c r="E125" s="10">
        <f>'By Round'!D77</f>
        <v/>
      </c>
      <c r="F125" s="10">
        <f>IF(ISBLANK('By Round'!F78),"",'By Round'!F78)</f>
        <v/>
      </c>
      <c r="G125">
        <f>IF(ISBLANK('By Round'!G78),"",'By Round'!G78)</f>
        <v/>
      </c>
      <c r="H125">
        <f>IF(ISBLANK('By Round'!H78),"",'By Round'!H78)</f>
        <v/>
      </c>
      <c r="I125">
        <f>IF(ISBLANK('By Round'!I78),"",'By Round'!I78)</f>
        <v/>
      </c>
      <c r="J125">
        <f>IF(ISBLANK('By Round'!J78),"",'By Round'!J78)</f>
        <v/>
      </c>
      <c r="K125">
        <f>IF(ISBLANK('By Round'!K78),"",'By Round'!K78)</f>
        <v/>
      </c>
      <c r="L125">
        <f>IF(ISBLANK('By Round'!L78),"",'By Round'!L78)</f>
        <v/>
      </c>
      <c r="M125" s="11">
        <f>AVERAGE(AG125:AL125)</f>
        <v/>
      </c>
      <c r="N125" s="12">
        <f>AVERAGE(AM125:AR125)</f>
        <v/>
      </c>
      <c r="O125" s="13">
        <f>IF(COUNT(U125:Z125)&gt;0,Q125/COUNT(U125:Z125),0.5)</f>
        <v/>
      </c>
      <c r="P125" s="13">
        <f>IF(COUNT(AA125:AF125)&gt;0,R125/COUNT(AA125:AF125),0.5)</f>
        <v/>
      </c>
      <c r="Q125" s="5">
        <f>SUM(U125:Z125)</f>
        <v/>
      </c>
      <c r="R125" s="5">
        <f>SUM(AA125:AF125)</f>
        <v/>
      </c>
      <c r="S125" s="14">
        <f>IF(ISNUMBER(K125),K125,IF(ISNUMBER(L125),-L125,""))</f>
        <v/>
      </c>
      <c r="T125">
        <f>IF(ISNUMBER(L125),L125,IF(ISNUMBER(K125),-K125,""))</f>
        <v/>
      </c>
      <c r="U125" s="14">
        <f>IF(ISNUMBER(S125),IF(ISNUMBER(S122),IF(S125&gt;S122,1.0,IF(S125=S122,0.5,0.0)),""),"")</f>
        <v/>
      </c>
      <c r="V125">
        <f>IF(ISNUMBER(S125),IF(ISNUMBER(S123),IF(S125&gt;S123,1.0,IF(S125=S123,0.5,0.0)),""),"")</f>
        <v/>
      </c>
      <c r="W125">
        <f>IF(ISNUMBER(S125),IF(ISNUMBER(S124),IF(S125&gt;S124,1.0,IF(S125=S124,0.5,0.0)),""),"")</f>
        <v/>
      </c>
      <c r="X125">
        <f>IF(ISNUMBER(S125),IF(ISNUMBER(S126),IF(S125&gt;S126,1.0,IF(S125=S126,0.5,0.0)),""),"")</f>
        <v/>
      </c>
      <c r="Y125">
        <f>IF(ISNUMBER(S125),IF(ISNUMBER(S127),IF(S125&gt;S127,1.0,IF(S125=S127,0.5,0.0)),""),"")</f>
        <v/>
      </c>
      <c r="Z125">
        <f>IF(ISNUMBER(S125),IF(ISNUMBER(S128),IF(S125&gt;S128,1.0,IF(S125=S128,0.5,0.0)),""),"")</f>
        <v/>
      </c>
      <c r="AA125">
        <f>IF(ISNUMBER(T125),IF(ISNUMBER(T122),IF(T125&gt;T122,1.0,IF(T125=T122,0.5,0.0)),""),"")</f>
        <v/>
      </c>
      <c r="AB125">
        <f>IF(ISNUMBER(T125),IF(ISNUMBER(T123),IF(T125&gt;T123,1.0,IF(T125=T123,0.5,0.0)),""),"")</f>
        <v/>
      </c>
      <c r="AC125">
        <f>IF(ISNUMBER(T125),IF(ISNUMBER(T124),IF(T125&gt;T124,1.0,IF(T125=T124,0.5,0.0)),""),"")</f>
        <v/>
      </c>
      <c r="AD125">
        <f>IF(ISNUMBER(T125),IF(ISNUMBER(T126),IF(T125&gt;T126,1.0,IF(T125=T126,0.5,0.0)),""),"")</f>
        <v/>
      </c>
      <c r="AE125">
        <f>IF(ISNUMBER(T125),IF(ISNUMBER(T127),IF(T125&gt;T127,1.0,IF(T125=T127,0.5,0.0)),""),"")</f>
        <v/>
      </c>
      <c r="AF125">
        <f>IF(ISNUMBER(T125),IF(ISNUMBER(T128),IF(T125&gt;T128,1.0,IF(T125=T128,0.5,0.0)),""),"")</f>
        <v/>
      </c>
      <c r="AG125" s="14">
        <f>IF(AND(ISNUMBER(S125),ISNUMBER(S122)),VLOOKUP(ABS(S125-S122),'IMP Table'!$A$2:$C$26,3)*SIGN(S125-S122),0)</f>
        <v/>
      </c>
      <c r="AH125">
        <f>IF(AND(ISNUMBER(S125),ISNUMBER(S123)),VLOOKUP(ABS(S125-S123),'IMP Table'!$A$2:$C$26,3)*SIGN(S125-S123),0)</f>
        <v/>
      </c>
      <c r="AI125">
        <f>IF(AND(ISNUMBER(S125),ISNUMBER(S124)),VLOOKUP(ABS(S125-S124),'IMP Table'!$A$2:$C$26,3)*SIGN(S125-S124),0)</f>
        <v/>
      </c>
      <c r="AJ125">
        <f>IF(AND(ISNUMBER(S125),ISNUMBER(S126)),VLOOKUP(ABS(S125-S126),'IMP Table'!$A$2:$C$26,3)*SIGN(S125-S126),0)</f>
        <v/>
      </c>
      <c r="AK125">
        <f>IF(AND(ISNUMBER(S125),ISNUMBER(S127)),VLOOKUP(ABS(S125-S127),'IMP Table'!$A$2:$C$26,3)*SIGN(S125-S127),0)</f>
        <v/>
      </c>
      <c r="AL125">
        <f>IF(AND(ISNUMBER(S125),ISNUMBER(S128)),VLOOKUP(ABS(S125-S128),'IMP Table'!$A$2:$C$26,3)*SIGN(S125-S128),0)</f>
        <v/>
      </c>
      <c r="AM125">
        <f>IF(AND(ISNUMBER(T125),ISNUMBER(T122)),VLOOKUP(ABS(T125-T122),'IMP Table'!$A$2:$C$26,3)*SIGN(T125-T122),0)</f>
        <v/>
      </c>
      <c r="AN125">
        <f>IF(AND(ISNUMBER(T125),ISNUMBER(T123)),VLOOKUP(ABS(T125-T123),'IMP Table'!$A$2:$C$26,3)*SIGN(T125-T123),0)</f>
        <v/>
      </c>
      <c r="AO125">
        <f>IF(AND(ISNUMBER(T125),ISNUMBER(T124)),VLOOKUP(ABS(T125-T124),'IMP Table'!$A$2:$C$26,3)*SIGN(T125-T124),0)</f>
        <v/>
      </c>
      <c r="AP125">
        <f>IF(AND(ISNUMBER(T125),ISNUMBER(T126)),VLOOKUP(ABS(T125-T126),'IMP Table'!$A$2:$C$26,3)*SIGN(T125-T126),0)</f>
        <v/>
      </c>
      <c r="AQ125">
        <f>IF(AND(ISNUMBER(T125),ISNUMBER(T127)),VLOOKUP(ABS(T125-T127),'IMP Table'!$A$2:$C$26,3)*SIGN(T125-T127),0)</f>
        <v/>
      </c>
      <c r="AR125">
        <f>IF(AND(ISNUMBER(T125),ISNUMBER(T128)),VLOOKUP(ABS(T125-T128),'IMP Table'!$A$2:$C$26,3)*SIGN(T125-T128),0)</f>
        <v/>
      </c>
    </row>
    <row r="126">
      <c r="B126" s="10">
        <f>'By Round'!A87</f>
        <v/>
      </c>
      <c r="C126" s="10">
        <f>'By Round'!B89</f>
        <v/>
      </c>
      <c r="D126" s="10">
        <f>'By Round'!C89</f>
        <v/>
      </c>
      <c r="E126" s="10">
        <f>'By Round'!D89</f>
        <v/>
      </c>
      <c r="F126" s="10">
        <f>IF(ISBLANK('By Round'!F90),"",'By Round'!F90)</f>
        <v/>
      </c>
      <c r="G126">
        <f>IF(ISBLANK('By Round'!G90),"",'By Round'!G90)</f>
        <v/>
      </c>
      <c r="H126">
        <f>IF(ISBLANK('By Round'!H90),"",'By Round'!H90)</f>
        <v/>
      </c>
      <c r="I126">
        <f>IF(ISBLANK('By Round'!I90),"",'By Round'!I90)</f>
        <v/>
      </c>
      <c r="J126">
        <f>IF(ISBLANK('By Round'!J90),"",'By Round'!J90)</f>
        <v/>
      </c>
      <c r="K126">
        <f>IF(ISBLANK('By Round'!K90),"",'By Round'!K90)</f>
        <v/>
      </c>
      <c r="L126">
        <f>IF(ISBLANK('By Round'!L90),"",'By Round'!L90)</f>
        <v/>
      </c>
      <c r="M126" s="11">
        <f>AVERAGE(AG126:AL126)</f>
        <v/>
      </c>
      <c r="N126" s="12">
        <f>AVERAGE(AM126:AR126)</f>
        <v/>
      </c>
      <c r="O126" s="13">
        <f>IF(COUNT(U126:Z126)&gt;0,Q126/COUNT(U126:Z126),0.5)</f>
        <v/>
      </c>
      <c r="P126" s="13">
        <f>IF(COUNT(AA126:AF126)&gt;0,R126/COUNT(AA126:AF126),0.5)</f>
        <v/>
      </c>
      <c r="Q126" s="5">
        <f>SUM(U126:Z126)</f>
        <v/>
      </c>
      <c r="R126" s="5">
        <f>SUM(AA126:AF126)</f>
        <v/>
      </c>
      <c r="S126" s="14">
        <f>IF(ISNUMBER(K126),K126,IF(ISNUMBER(L126),-L126,""))</f>
        <v/>
      </c>
      <c r="T126">
        <f>IF(ISNUMBER(L126),L126,IF(ISNUMBER(K126),-K126,""))</f>
        <v/>
      </c>
      <c r="U126" s="14">
        <f>IF(ISNUMBER(S126),IF(ISNUMBER(S122),IF(S126&gt;S122,1.0,IF(S126=S122,0.5,0.0)),""),"")</f>
        <v/>
      </c>
      <c r="V126">
        <f>IF(ISNUMBER(S126),IF(ISNUMBER(S123),IF(S126&gt;S123,1.0,IF(S126=S123,0.5,0.0)),""),"")</f>
        <v/>
      </c>
      <c r="W126">
        <f>IF(ISNUMBER(S126),IF(ISNUMBER(S124),IF(S126&gt;S124,1.0,IF(S126=S124,0.5,0.0)),""),"")</f>
        <v/>
      </c>
      <c r="X126">
        <f>IF(ISNUMBER(S126),IF(ISNUMBER(S125),IF(S126&gt;S125,1.0,IF(S126=S125,0.5,0.0)),""),"")</f>
        <v/>
      </c>
      <c r="Y126">
        <f>IF(ISNUMBER(S126),IF(ISNUMBER(S127),IF(S126&gt;S127,1.0,IF(S126=S127,0.5,0.0)),""),"")</f>
        <v/>
      </c>
      <c r="Z126">
        <f>IF(ISNUMBER(S126),IF(ISNUMBER(S128),IF(S126&gt;S128,1.0,IF(S126=S128,0.5,0.0)),""),"")</f>
        <v/>
      </c>
      <c r="AA126">
        <f>IF(ISNUMBER(T126),IF(ISNUMBER(T122),IF(T126&gt;T122,1.0,IF(T126=T122,0.5,0.0)),""),"")</f>
        <v/>
      </c>
      <c r="AB126">
        <f>IF(ISNUMBER(T126),IF(ISNUMBER(T123),IF(T126&gt;T123,1.0,IF(T126=T123,0.5,0.0)),""),"")</f>
        <v/>
      </c>
      <c r="AC126">
        <f>IF(ISNUMBER(T126),IF(ISNUMBER(T124),IF(T126&gt;T124,1.0,IF(T126=T124,0.5,0.0)),""),"")</f>
        <v/>
      </c>
      <c r="AD126">
        <f>IF(ISNUMBER(T126),IF(ISNUMBER(T125),IF(T126&gt;T125,1.0,IF(T126=T125,0.5,0.0)),""),"")</f>
        <v/>
      </c>
      <c r="AE126">
        <f>IF(ISNUMBER(T126),IF(ISNUMBER(T127),IF(T126&gt;T127,1.0,IF(T126=T127,0.5,0.0)),""),"")</f>
        <v/>
      </c>
      <c r="AF126">
        <f>IF(ISNUMBER(T126),IF(ISNUMBER(T128),IF(T126&gt;T128,1.0,IF(T126=T128,0.5,0.0)),""),"")</f>
        <v/>
      </c>
      <c r="AG126" s="14">
        <f>IF(AND(ISNUMBER(S126),ISNUMBER(S122)),VLOOKUP(ABS(S126-S122),'IMP Table'!$A$2:$C$26,3)*SIGN(S126-S122),0)</f>
        <v/>
      </c>
      <c r="AH126">
        <f>IF(AND(ISNUMBER(S126),ISNUMBER(S123)),VLOOKUP(ABS(S126-S123),'IMP Table'!$A$2:$C$26,3)*SIGN(S126-S123),0)</f>
        <v/>
      </c>
      <c r="AI126">
        <f>IF(AND(ISNUMBER(S126),ISNUMBER(S124)),VLOOKUP(ABS(S126-S124),'IMP Table'!$A$2:$C$26,3)*SIGN(S126-S124),0)</f>
        <v/>
      </c>
      <c r="AJ126">
        <f>IF(AND(ISNUMBER(S126),ISNUMBER(S125)),VLOOKUP(ABS(S126-S125),'IMP Table'!$A$2:$C$26,3)*SIGN(S126-S125),0)</f>
        <v/>
      </c>
      <c r="AK126">
        <f>IF(AND(ISNUMBER(S126),ISNUMBER(S127)),VLOOKUP(ABS(S126-S127),'IMP Table'!$A$2:$C$26,3)*SIGN(S126-S127),0)</f>
        <v/>
      </c>
      <c r="AL126">
        <f>IF(AND(ISNUMBER(S126),ISNUMBER(S128)),VLOOKUP(ABS(S126-S128),'IMP Table'!$A$2:$C$26,3)*SIGN(S126-S128),0)</f>
        <v/>
      </c>
      <c r="AM126">
        <f>IF(AND(ISNUMBER(T126),ISNUMBER(T122)),VLOOKUP(ABS(T126-T122),'IMP Table'!$A$2:$C$26,3)*SIGN(T126-T122),0)</f>
        <v/>
      </c>
      <c r="AN126">
        <f>IF(AND(ISNUMBER(T126),ISNUMBER(T123)),VLOOKUP(ABS(T126-T123),'IMP Table'!$A$2:$C$26,3)*SIGN(T126-T123),0)</f>
        <v/>
      </c>
      <c r="AO126">
        <f>IF(AND(ISNUMBER(T126),ISNUMBER(T124)),VLOOKUP(ABS(T126-T124),'IMP Table'!$A$2:$C$26,3)*SIGN(T126-T124),0)</f>
        <v/>
      </c>
      <c r="AP126">
        <f>IF(AND(ISNUMBER(T126),ISNUMBER(T125)),VLOOKUP(ABS(T126-T125),'IMP Table'!$A$2:$C$26,3)*SIGN(T126-T125),0)</f>
        <v/>
      </c>
      <c r="AQ126">
        <f>IF(AND(ISNUMBER(T126),ISNUMBER(T127)),VLOOKUP(ABS(T126-T127),'IMP Table'!$A$2:$C$26,3)*SIGN(T126-T127),0)</f>
        <v/>
      </c>
      <c r="AR126">
        <f>IF(AND(ISNUMBER(T126),ISNUMBER(T128)),VLOOKUP(ABS(T126-T128),'IMP Table'!$A$2:$C$26,3)*SIGN(T126-T128),0)</f>
        <v/>
      </c>
    </row>
    <row r="127">
      <c r="B127" s="10">
        <f>'By Round'!A59</f>
        <v/>
      </c>
      <c r="C127" s="10">
        <f>'By Round'!B65</f>
        <v/>
      </c>
      <c r="D127" s="10">
        <f>'By Round'!C65</f>
        <v/>
      </c>
      <c r="E127" s="10">
        <f>'By Round'!D65</f>
        <v/>
      </c>
      <c r="F127" s="10">
        <f>IF(ISBLANK('By Round'!F66),"",'By Round'!F66)</f>
        <v/>
      </c>
      <c r="G127">
        <f>IF(ISBLANK('By Round'!G66),"",'By Round'!G66)</f>
        <v/>
      </c>
      <c r="H127">
        <f>IF(ISBLANK('By Round'!H66),"",'By Round'!H66)</f>
        <v/>
      </c>
      <c r="I127">
        <f>IF(ISBLANK('By Round'!I66),"",'By Round'!I66)</f>
        <v/>
      </c>
      <c r="J127">
        <f>IF(ISBLANK('By Round'!J66),"",'By Round'!J66)</f>
        <v/>
      </c>
      <c r="K127">
        <f>IF(ISBLANK('By Round'!K66),"",'By Round'!K66)</f>
        <v/>
      </c>
      <c r="L127">
        <f>IF(ISBLANK('By Round'!L66),"",'By Round'!L66)</f>
        <v/>
      </c>
      <c r="M127" s="11">
        <f>AVERAGE(AG127:AL127)</f>
        <v/>
      </c>
      <c r="N127" s="12">
        <f>AVERAGE(AM127:AR127)</f>
        <v/>
      </c>
      <c r="O127" s="13">
        <f>IF(COUNT(U127:Z127)&gt;0,Q127/COUNT(U127:Z127),0.5)</f>
        <v/>
      </c>
      <c r="P127" s="13">
        <f>IF(COUNT(AA127:AF127)&gt;0,R127/COUNT(AA127:AF127),0.5)</f>
        <v/>
      </c>
      <c r="Q127" s="5">
        <f>SUM(U127:Z127)</f>
        <v/>
      </c>
      <c r="R127" s="5">
        <f>SUM(AA127:AF127)</f>
        <v/>
      </c>
      <c r="S127" s="14">
        <f>IF(ISNUMBER(K127),K127,IF(ISNUMBER(L127),-L127,""))</f>
        <v/>
      </c>
      <c r="T127">
        <f>IF(ISNUMBER(L127),L127,IF(ISNUMBER(K127),-K127,""))</f>
        <v/>
      </c>
      <c r="U127" s="14">
        <f>IF(ISNUMBER(S127),IF(ISNUMBER(S122),IF(S127&gt;S122,1.0,IF(S127=S122,0.5,0.0)),""),"")</f>
        <v/>
      </c>
      <c r="V127">
        <f>IF(ISNUMBER(S127),IF(ISNUMBER(S123),IF(S127&gt;S123,1.0,IF(S127=S123,0.5,0.0)),""),"")</f>
        <v/>
      </c>
      <c r="W127">
        <f>IF(ISNUMBER(S127),IF(ISNUMBER(S124),IF(S127&gt;S124,1.0,IF(S127=S124,0.5,0.0)),""),"")</f>
        <v/>
      </c>
      <c r="X127">
        <f>IF(ISNUMBER(S127),IF(ISNUMBER(S125),IF(S127&gt;S125,1.0,IF(S127=S125,0.5,0.0)),""),"")</f>
        <v/>
      </c>
      <c r="Y127">
        <f>IF(ISNUMBER(S127),IF(ISNUMBER(S126),IF(S127&gt;S126,1.0,IF(S127=S126,0.5,0.0)),""),"")</f>
        <v/>
      </c>
      <c r="Z127">
        <f>IF(ISNUMBER(S127),IF(ISNUMBER(S128),IF(S127&gt;S128,1.0,IF(S127=S128,0.5,0.0)),""),"")</f>
        <v/>
      </c>
      <c r="AA127">
        <f>IF(ISNUMBER(T127),IF(ISNUMBER(T122),IF(T127&gt;T122,1.0,IF(T127=T122,0.5,0.0)),""),"")</f>
        <v/>
      </c>
      <c r="AB127">
        <f>IF(ISNUMBER(T127),IF(ISNUMBER(T123),IF(T127&gt;T123,1.0,IF(T127=T123,0.5,0.0)),""),"")</f>
        <v/>
      </c>
      <c r="AC127">
        <f>IF(ISNUMBER(T127),IF(ISNUMBER(T124),IF(T127&gt;T124,1.0,IF(T127=T124,0.5,0.0)),""),"")</f>
        <v/>
      </c>
      <c r="AD127">
        <f>IF(ISNUMBER(T127),IF(ISNUMBER(T125),IF(T127&gt;T125,1.0,IF(T127=T125,0.5,0.0)),""),"")</f>
        <v/>
      </c>
      <c r="AE127">
        <f>IF(ISNUMBER(T127),IF(ISNUMBER(T126),IF(T127&gt;T126,1.0,IF(T127=T126,0.5,0.0)),""),"")</f>
        <v/>
      </c>
      <c r="AF127">
        <f>IF(ISNUMBER(T127),IF(ISNUMBER(T128),IF(T127&gt;T128,1.0,IF(T127=T128,0.5,0.0)),""),"")</f>
        <v/>
      </c>
      <c r="AG127" s="14">
        <f>IF(AND(ISNUMBER(S127),ISNUMBER(S122)),VLOOKUP(ABS(S127-S122),'IMP Table'!$A$2:$C$26,3)*SIGN(S127-S122),0)</f>
        <v/>
      </c>
      <c r="AH127">
        <f>IF(AND(ISNUMBER(S127),ISNUMBER(S123)),VLOOKUP(ABS(S127-S123),'IMP Table'!$A$2:$C$26,3)*SIGN(S127-S123),0)</f>
        <v/>
      </c>
      <c r="AI127">
        <f>IF(AND(ISNUMBER(S127),ISNUMBER(S124)),VLOOKUP(ABS(S127-S124),'IMP Table'!$A$2:$C$26,3)*SIGN(S127-S124),0)</f>
        <v/>
      </c>
      <c r="AJ127">
        <f>IF(AND(ISNUMBER(S127),ISNUMBER(S125)),VLOOKUP(ABS(S127-S125),'IMP Table'!$A$2:$C$26,3)*SIGN(S127-S125),0)</f>
        <v/>
      </c>
      <c r="AK127">
        <f>IF(AND(ISNUMBER(S127),ISNUMBER(S126)),VLOOKUP(ABS(S127-S126),'IMP Table'!$A$2:$C$26,3)*SIGN(S127-S126),0)</f>
        <v/>
      </c>
      <c r="AL127">
        <f>IF(AND(ISNUMBER(S127),ISNUMBER(S128)),VLOOKUP(ABS(S127-S128),'IMP Table'!$A$2:$C$26,3)*SIGN(S127-S128),0)</f>
        <v/>
      </c>
      <c r="AM127">
        <f>IF(AND(ISNUMBER(T127),ISNUMBER(T122)),VLOOKUP(ABS(T127-T122),'IMP Table'!$A$2:$C$26,3)*SIGN(T127-T122),0)</f>
        <v/>
      </c>
      <c r="AN127">
        <f>IF(AND(ISNUMBER(T127),ISNUMBER(T123)),VLOOKUP(ABS(T127-T123),'IMP Table'!$A$2:$C$26,3)*SIGN(T127-T123),0)</f>
        <v/>
      </c>
      <c r="AO127">
        <f>IF(AND(ISNUMBER(T127),ISNUMBER(T124)),VLOOKUP(ABS(T127-T124),'IMP Table'!$A$2:$C$26,3)*SIGN(T127-T124),0)</f>
        <v/>
      </c>
      <c r="AP127">
        <f>IF(AND(ISNUMBER(T127),ISNUMBER(T125)),VLOOKUP(ABS(T127-T125),'IMP Table'!$A$2:$C$26,3)*SIGN(T127-T125),0)</f>
        <v/>
      </c>
      <c r="AQ127">
        <f>IF(AND(ISNUMBER(T127),ISNUMBER(T126)),VLOOKUP(ABS(T127-T126),'IMP Table'!$A$2:$C$26,3)*SIGN(T127-T126),0)</f>
        <v/>
      </c>
      <c r="AR127">
        <f>IF(AND(ISNUMBER(T127),ISNUMBER(T128)),VLOOKUP(ABS(T127-T128),'IMP Table'!$A$2:$C$26,3)*SIGN(T127-T128),0)</f>
        <v/>
      </c>
    </row>
    <row r="128">
      <c r="A128" s="15" t="n"/>
      <c r="B128" s="16">
        <f>'By Round'!A115</f>
        <v/>
      </c>
      <c r="C128" s="16">
        <f>'By Round'!B115</f>
        <v/>
      </c>
      <c r="D128" s="16">
        <f>'By Round'!C115</f>
        <v/>
      </c>
      <c r="E128" s="16">
        <f>'By Round'!D115</f>
        <v/>
      </c>
      <c r="F128" s="16">
        <f>IF(ISBLANK('By Round'!F116),"",'By Round'!F116)</f>
        <v/>
      </c>
      <c r="G128" s="15">
        <f>IF(ISBLANK('By Round'!G116),"",'By Round'!G116)</f>
        <v/>
      </c>
      <c r="H128" s="15">
        <f>IF(ISBLANK('By Round'!H116),"",'By Round'!H116)</f>
        <v/>
      </c>
      <c r="I128" s="15">
        <f>IF(ISBLANK('By Round'!I116),"",'By Round'!I116)</f>
        <v/>
      </c>
      <c r="J128" s="15">
        <f>IF(ISBLANK('By Round'!J116),"",'By Round'!J116)</f>
        <v/>
      </c>
      <c r="K128" s="15">
        <f>IF(ISBLANK('By Round'!K116),"",'By Round'!K116)</f>
        <v/>
      </c>
      <c r="L128" s="15">
        <f>IF(ISBLANK('By Round'!L116),"",'By Round'!L116)</f>
        <v/>
      </c>
      <c r="M128" s="17">
        <f>AVERAGE(AG128:AL128)</f>
        <v/>
      </c>
      <c r="N128" s="18">
        <f>AVERAGE(AM128:AR128)</f>
        <v/>
      </c>
      <c r="O128" s="19">
        <f>IF(COUNT(U128:Z128)&gt;0,Q128/COUNT(U128:Z128),0.5)</f>
        <v/>
      </c>
      <c r="P128" s="19">
        <f>IF(COUNT(AA128:AF128)&gt;0,R128/COUNT(AA128:AF128),0.5)</f>
        <v/>
      </c>
      <c r="Q128" s="20">
        <f>SUM(U128:Z128)</f>
        <v/>
      </c>
      <c r="R128" s="20">
        <f>SUM(AA128:AF128)</f>
        <v/>
      </c>
      <c r="S128" s="21">
        <f>IF(ISNUMBER(K128),K128,IF(ISNUMBER(L128),-L128,""))</f>
        <v/>
      </c>
      <c r="T128" s="15">
        <f>IF(ISNUMBER(L128),L128,IF(ISNUMBER(K128),-K128,""))</f>
        <v/>
      </c>
      <c r="U128" s="21">
        <f>IF(ISNUMBER(S128),IF(ISNUMBER(S122),IF(S128&gt;S122,1.0,IF(S128=S122,0.5,0.0)),""),"")</f>
        <v/>
      </c>
      <c r="V128" s="15">
        <f>IF(ISNUMBER(S128),IF(ISNUMBER(S123),IF(S128&gt;S123,1.0,IF(S128=S123,0.5,0.0)),""),"")</f>
        <v/>
      </c>
      <c r="W128" s="15">
        <f>IF(ISNUMBER(S128),IF(ISNUMBER(S124),IF(S128&gt;S124,1.0,IF(S128=S124,0.5,0.0)),""),"")</f>
        <v/>
      </c>
      <c r="X128" s="15">
        <f>IF(ISNUMBER(S128),IF(ISNUMBER(S125),IF(S128&gt;S125,1.0,IF(S128=S125,0.5,0.0)),""),"")</f>
        <v/>
      </c>
      <c r="Y128" s="15">
        <f>IF(ISNUMBER(S128),IF(ISNUMBER(S126),IF(S128&gt;S126,1.0,IF(S128=S126,0.5,0.0)),""),"")</f>
        <v/>
      </c>
      <c r="Z128" s="15">
        <f>IF(ISNUMBER(S128),IF(ISNUMBER(S127),IF(S128&gt;S127,1.0,IF(S128=S127,0.5,0.0)),""),"")</f>
        <v/>
      </c>
      <c r="AA128" s="15">
        <f>IF(ISNUMBER(T128),IF(ISNUMBER(T122),IF(T128&gt;T122,1.0,IF(T128=T122,0.5,0.0)),""),"")</f>
        <v/>
      </c>
      <c r="AB128" s="15">
        <f>IF(ISNUMBER(T128),IF(ISNUMBER(T123),IF(T128&gt;T123,1.0,IF(T128=T123,0.5,0.0)),""),"")</f>
        <v/>
      </c>
      <c r="AC128" s="15">
        <f>IF(ISNUMBER(T128),IF(ISNUMBER(T124),IF(T128&gt;T124,1.0,IF(T128=T124,0.5,0.0)),""),"")</f>
        <v/>
      </c>
      <c r="AD128" s="15">
        <f>IF(ISNUMBER(T128),IF(ISNUMBER(T125),IF(T128&gt;T125,1.0,IF(T128=T125,0.5,0.0)),""),"")</f>
        <v/>
      </c>
      <c r="AE128" s="15">
        <f>IF(ISNUMBER(T128),IF(ISNUMBER(T126),IF(T128&gt;T126,1.0,IF(T128=T126,0.5,0.0)),""),"")</f>
        <v/>
      </c>
      <c r="AF128" s="15">
        <f>IF(ISNUMBER(T128),IF(ISNUMBER(T127),IF(T128&gt;T127,1.0,IF(T128=T127,0.5,0.0)),""),"")</f>
        <v/>
      </c>
      <c r="AG128" s="21">
        <f>IF(AND(ISNUMBER(S128),ISNUMBER(S122)),VLOOKUP(ABS(S128-S122),'IMP Table'!$A$2:$C$26,3)*SIGN(S128-S122),0)</f>
        <v/>
      </c>
      <c r="AH128" s="15">
        <f>IF(AND(ISNUMBER(S128),ISNUMBER(S123)),VLOOKUP(ABS(S128-S123),'IMP Table'!$A$2:$C$26,3)*SIGN(S128-S123),0)</f>
        <v/>
      </c>
      <c r="AI128" s="15">
        <f>IF(AND(ISNUMBER(S128),ISNUMBER(S124)),VLOOKUP(ABS(S128-S124),'IMP Table'!$A$2:$C$26,3)*SIGN(S128-S124),0)</f>
        <v/>
      </c>
      <c r="AJ128" s="15">
        <f>IF(AND(ISNUMBER(S128),ISNUMBER(S125)),VLOOKUP(ABS(S128-S125),'IMP Table'!$A$2:$C$26,3)*SIGN(S128-S125),0)</f>
        <v/>
      </c>
      <c r="AK128" s="15">
        <f>IF(AND(ISNUMBER(S128),ISNUMBER(S126)),VLOOKUP(ABS(S128-S126),'IMP Table'!$A$2:$C$26,3)*SIGN(S128-S126),0)</f>
        <v/>
      </c>
      <c r="AL128" s="15">
        <f>IF(AND(ISNUMBER(S128),ISNUMBER(S127)),VLOOKUP(ABS(S128-S127),'IMP Table'!$A$2:$C$26,3)*SIGN(S128-S127),0)</f>
        <v/>
      </c>
      <c r="AM128" s="15">
        <f>IF(AND(ISNUMBER(T128),ISNUMBER(T122)),VLOOKUP(ABS(T128-T122),'IMP Table'!$A$2:$C$26,3)*SIGN(T128-T122),0)</f>
        <v/>
      </c>
      <c r="AN128" s="15">
        <f>IF(AND(ISNUMBER(T128),ISNUMBER(T123)),VLOOKUP(ABS(T128-T123),'IMP Table'!$A$2:$C$26,3)*SIGN(T128-T123),0)</f>
        <v/>
      </c>
      <c r="AO128" s="15">
        <f>IF(AND(ISNUMBER(T128),ISNUMBER(T124)),VLOOKUP(ABS(T128-T124),'IMP Table'!$A$2:$C$26,3)*SIGN(T128-T124),0)</f>
        <v/>
      </c>
      <c r="AP128" s="15">
        <f>IF(AND(ISNUMBER(T128),ISNUMBER(T125)),VLOOKUP(ABS(T128-T125),'IMP Table'!$A$2:$C$26,3)*SIGN(T128-T125),0)</f>
        <v/>
      </c>
      <c r="AQ128" s="15">
        <f>IF(AND(ISNUMBER(T128),ISNUMBER(T126)),VLOOKUP(ABS(T128-T126),'IMP Table'!$A$2:$C$26,3)*SIGN(T128-T126),0)</f>
        <v/>
      </c>
      <c r="AR128" s="15">
        <f>IF(AND(ISNUMBER(T128),ISNUMBER(T127)),VLOOKUP(ABS(T128-T127),'IMP Table'!$A$2:$C$26,3)*SIGN(T128-T127),0)</f>
        <v/>
      </c>
    </row>
    <row r="129">
      <c r="A129" s="10" t="n">
        <v>19</v>
      </c>
      <c r="B129" s="10">
        <f>'By Round'!A73</f>
        <v/>
      </c>
      <c r="C129" s="10">
        <f>'By Round'!B79</f>
        <v/>
      </c>
      <c r="D129" s="10">
        <f>'By Round'!C79</f>
        <v/>
      </c>
      <c r="E129" s="10">
        <f>'By Round'!D79</f>
        <v/>
      </c>
      <c r="F129" s="10">
        <f>IF(ISBLANK('By Round'!F79),"",'By Round'!F79)</f>
        <v/>
      </c>
      <c r="G129">
        <f>IF(ISBLANK('By Round'!G79),"",'By Round'!G79)</f>
        <v/>
      </c>
      <c r="H129">
        <f>IF(ISBLANK('By Round'!H79),"",'By Round'!H79)</f>
        <v/>
      </c>
      <c r="I129">
        <f>IF(ISBLANK('By Round'!I79),"",'By Round'!I79)</f>
        <v/>
      </c>
      <c r="J129">
        <f>IF(ISBLANK('By Round'!J79),"",'By Round'!J79)</f>
        <v/>
      </c>
      <c r="K129">
        <f>IF(ISBLANK('By Round'!K79),"",'By Round'!K79)</f>
        <v/>
      </c>
      <c r="L129">
        <f>IF(ISBLANK('By Round'!L79),"",'By Round'!L79)</f>
        <v/>
      </c>
      <c r="M129" s="11">
        <f>AVERAGE(AG129:AL129)</f>
        <v/>
      </c>
      <c r="N129" s="12">
        <f>AVERAGE(AM129:AR129)</f>
        <v/>
      </c>
      <c r="O129" s="13">
        <f>IF(COUNT(U129:Z129)&gt;0,Q129/COUNT(U129:Z129),0.5)</f>
        <v/>
      </c>
      <c r="P129" s="13">
        <f>IF(COUNT(AA129:AF129)&gt;0,R129/COUNT(AA129:AF129),0.5)</f>
        <v/>
      </c>
      <c r="Q129" s="5">
        <f>SUM(U129:Z129)</f>
        <v/>
      </c>
      <c r="R129" s="5">
        <f>SUM(AA129:AF129)</f>
        <v/>
      </c>
      <c r="S129" s="14">
        <f>IF(ISNUMBER(K129),K129,IF(ISNUMBER(L129),-L129,""))</f>
        <v/>
      </c>
      <c r="T129">
        <f>IF(ISNUMBER(L129),L129,IF(ISNUMBER(K129),-K129,""))</f>
        <v/>
      </c>
      <c r="U129" s="14">
        <f>IF(ISNUMBER(S129),IF(ISNUMBER(S130),IF(S129&gt;S130,1.0,IF(S129=S130,0.5,0.0)),""),"")</f>
        <v/>
      </c>
      <c r="V129">
        <f>IF(ISNUMBER(S129),IF(ISNUMBER(S131),IF(S129&gt;S131,1.0,IF(S129=S131,0.5,0.0)),""),"")</f>
        <v/>
      </c>
      <c r="W129">
        <f>IF(ISNUMBER(S129),IF(ISNUMBER(S132),IF(S129&gt;S132,1.0,IF(S129=S132,0.5,0.0)),""),"")</f>
        <v/>
      </c>
      <c r="X129">
        <f>IF(ISNUMBER(S129),IF(ISNUMBER(S133),IF(S129&gt;S133,1.0,IF(S129=S133,0.5,0.0)),""),"")</f>
        <v/>
      </c>
      <c r="Y129">
        <f>IF(ISNUMBER(S129),IF(ISNUMBER(S134),IF(S129&gt;S134,1.0,IF(S129=S134,0.5,0.0)),""),"")</f>
        <v/>
      </c>
      <c r="Z129">
        <f>IF(ISNUMBER(S129),IF(ISNUMBER(S135),IF(S129&gt;S135,1.0,IF(S129=S135,0.5,0.0)),""),"")</f>
        <v/>
      </c>
      <c r="AA129">
        <f>IF(ISNUMBER(T129),IF(ISNUMBER(T130),IF(T129&gt;T130,1.0,IF(T129=T130,0.5,0.0)),""),"")</f>
        <v/>
      </c>
      <c r="AB129">
        <f>IF(ISNUMBER(T129),IF(ISNUMBER(T131),IF(T129&gt;T131,1.0,IF(T129=T131,0.5,0.0)),""),"")</f>
        <v/>
      </c>
      <c r="AC129">
        <f>IF(ISNUMBER(T129),IF(ISNUMBER(T132),IF(T129&gt;T132,1.0,IF(T129=T132,0.5,0.0)),""),"")</f>
        <v/>
      </c>
      <c r="AD129">
        <f>IF(ISNUMBER(T129),IF(ISNUMBER(T133),IF(T129&gt;T133,1.0,IF(T129=T133,0.5,0.0)),""),"")</f>
        <v/>
      </c>
      <c r="AE129">
        <f>IF(ISNUMBER(T129),IF(ISNUMBER(T134),IF(T129&gt;T134,1.0,IF(T129=T134,0.5,0.0)),""),"")</f>
        <v/>
      </c>
      <c r="AF129">
        <f>IF(ISNUMBER(T129),IF(ISNUMBER(T135),IF(T129&gt;T135,1.0,IF(T129=T135,0.5,0.0)),""),"")</f>
        <v/>
      </c>
      <c r="AG129" s="14">
        <f>IF(AND(ISNUMBER(S129),ISNUMBER(S130)),VLOOKUP(ABS(S129-S130),'IMP Table'!$A$2:$C$26,3)*SIGN(S129-S130),0)</f>
        <v/>
      </c>
      <c r="AH129">
        <f>IF(AND(ISNUMBER(S129),ISNUMBER(S131)),VLOOKUP(ABS(S129-S131),'IMP Table'!$A$2:$C$26,3)*SIGN(S129-S131),0)</f>
        <v/>
      </c>
      <c r="AI129">
        <f>IF(AND(ISNUMBER(S129),ISNUMBER(S132)),VLOOKUP(ABS(S129-S132),'IMP Table'!$A$2:$C$26,3)*SIGN(S129-S132),0)</f>
        <v/>
      </c>
      <c r="AJ129">
        <f>IF(AND(ISNUMBER(S129),ISNUMBER(S133)),VLOOKUP(ABS(S129-S133),'IMP Table'!$A$2:$C$26,3)*SIGN(S129-S133),0)</f>
        <v/>
      </c>
      <c r="AK129">
        <f>IF(AND(ISNUMBER(S129),ISNUMBER(S134)),VLOOKUP(ABS(S129-S134),'IMP Table'!$A$2:$C$26,3)*SIGN(S129-S134),0)</f>
        <v/>
      </c>
      <c r="AL129">
        <f>IF(AND(ISNUMBER(S129),ISNUMBER(S135)),VLOOKUP(ABS(S129-S135),'IMP Table'!$A$2:$C$26,3)*SIGN(S129-S135),0)</f>
        <v/>
      </c>
      <c r="AM129">
        <f>IF(AND(ISNUMBER(T129),ISNUMBER(T130)),VLOOKUP(ABS(T129-T130),'IMP Table'!$A$2:$C$26,3)*SIGN(T129-T130),0)</f>
        <v/>
      </c>
      <c r="AN129">
        <f>IF(AND(ISNUMBER(T129),ISNUMBER(T131)),VLOOKUP(ABS(T129-T131),'IMP Table'!$A$2:$C$26,3)*SIGN(T129-T131),0)</f>
        <v/>
      </c>
      <c r="AO129">
        <f>IF(AND(ISNUMBER(T129),ISNUMBER(T132)),VLOOKUP(ABS(T129-T132),'IMP Table'!$A$2:$C$26,3)*SIGN(T129-T132),0)</f>
        <v/>
      </c>
      <c r="AP129">
        <f>IF(AND(ISNUMBER(T129),ISNUMBER(T133)),VLOOKUP(ABS(T129-T133),'IMP Table'!$A$2:$C$26,3)*SIGN(T129-T133),0)</f>
        <v/>
      </c>
      <c r="AQ129">
        <f>IF(AND(ISNUMBER(T129),ISNUMBER(T134)),VLOOKUP(ABS(T129-T134),'IMP Table'!$A$2:$C$26,3)*SIGN(T129-T134),0)</f>
        <v/>
      </c>
      <c r="AR129">
        <f>IF(AND(ISNUMBER(T129),ISNUMBER(T135)),VLOOKUP(ABS(T129-T135),'IMP Table'!$A$2:$C$26,3)*SIGN(T129-T135),0)</f>
        <v/>
      </c>
    </row>
    <row r="130">
      <c r="B130" s="10">
        <f>'By Round'!A157</f>
        <v/>
      </c>
      <c r="C130" s="10">
        <f>'By Round'!B169</f>
        <v/>
      </c>
      <c r="D130" s="10">
        <f>'By Round'!C169</f>
        <v/>
      </c>
      <c r="E130" s="10">
        <f>'By Round'!D169</f>
        <v/>
      </c>
      <c r="F130" s="10">
        <f>IF(ISBLANK('By Round'!F169),"",'By Round'!F169)</f>
        <v/>
      </c>
      <c r="G130">
        <f>IF(ISBLANK('By Round'!G169),"",'By Round'!G169)</f>
        <v/>
      </c>
      <c r="H130">
        <f>IF(ISBLANK('By Round'!H169),"",'By Round'!H169)</f>
        <v/>
      </c>
      <c r="I130">
        <f>IF(ISBLANK('By Round'!I169),"",'By Round'!I169)</f>
        <v/>
      </c>
      <c r="J130">
        <f>IF(ISBLANK('By Round'!J169),"",'By Round'!J169)</f>
        <v/>
      </c>
      <c r="K130">
        <f>IF(ISBLANK('By Round'!K169),"",'By Round'!K169)</f>
        <v/>
      </c>
      <c r="L130">
        <f>IF(ISBLANK('By Round'!L169),"",'By Round'!L169)</f>
        <v/>
      </c>
      <c r="M130" s="11">
        <f>AVERAGE(AG130:AL130)</f>
        <v/>
      </c>
      <c r="N130" s="12">
        <f>AVERAGE(AM130:AR130)</f>
        <v/>
      </c>
      <c r="O130" s="13">
        <f>IF(COUNT(U130:Z130)&gt;0,Q130/COUNT(U130:Z130),0.5)</f>
        <v/>
      </c>
      <c r="P130" s="13">
        <f>IF(COUNT(AA130:AF130)&gt;0,R130/COUNT(AA130:AF130),0.5)</f>
        <v/>
      </c>
      <c r="Q130" s="5">
        <f>SUM(U130:Z130)</f>
        <v/>
      </c>
      <c r="R130" s="5">
        <f>SUM(AA130:AF130)</f>
        <v/>
      </c>
      <c r="S130" s="14">
        <f>IF(ISNUMBER(K130),K130,IF(ISNUMBER(L130),-L130,""))</f>
        <v/>
      </c>
      <c r="T130">
        <f>IF(ISNUMBER(L130),L130,IF(ISNUMBER(K130),-K130,""))</f>
        <v/>
      </c>
      <c r="U130" s="14">
        <f>IF(ISNUMBER(S130),IF(ISNUMBER(S129),IF(S130&gt;S129,1.0,IF(S130=S129,0.5,0.0)),""),"")</f>
        <v/>
      </c>
      <c r="V130">
        <f>IF(ISNUMBER(S130),IF(ISNUMBER(S131),IF(S130&gt;S131,1.0,IF(S130=S131,0.5,0.0)),""),"")</f>
        <v/>
      </c>
      <c r="W130">
        <f>IF(ISNUMBER(S130),IF(ISNUMBER(S132),IF(S130&gt;S132,1.0,IF(S130=S132,0.5,0.0)),""),"")</f>
        <v/>
      </c>
      <c r="X130">
        <f>IF(ISNUMBER(S130),IF(ISNUMBER(S133),IF(S130&gt;S133,1.0,IF(S130=S133,0.5,0.0)),""),"")</f>
        <v/>
      </c>
      <c r="Y130">
        <f>IF(ISNUMBER(S130),IF(ISNUMBER(S134),IF(S130&gt;S134,1.0,IF(S130=S134,0.5,0.0)),""),"")</f>
        <v/>
      </c>
      <c r="Z130">
        <f>IF(ISNUMBER(S130),IF(ISNUMBER(S135),IF(S130&gt;S135,1.0,IF(S130=S135,0.5,0.0)),""),"")</f>
        <v/>
      </c>
      <c r="AA130">
        <f>IF(ISNUMBER(T130),IF(ISNUMBER(T129),IF(T130&gt;T129,1.0,IF(T130=T129,0.5,0.0)),""),"")</f>
        <v/>
      </c>
      <c r="AB130">
        <f>IF(ISNUMBER(T130),IF(ISNUMBER(T131),IF(T130&gt;T131,1.0,IF(T130=T131,0.5,0.0)),""),"")</f>
        <v/>
      </c>
      <c r="AC130">
        <f>IF(ISNUMBER(T130),IF(ISNUMBER(T132),IF(T130&gt;T132,1.0,IF(T130=T132,0.5,0.0)),""),"")</f>
        <v/>
      </c>
      <c r="AD130">
        <f>IF(ISNUMBER(T130),IF(ISNUMBER(T133),IF(T130&gt;T133,1.0,IF(T130=T133,0.5,0.0)),""),"")</f>
        <v/>
      </c>
      <c r="AE130">
        <f>IF(ISNUMBER(T130),IF(ISNUMBER(T134),IF(T130&gt;T134,1.0,IF(T130=T134,0.5,0.0)),""),"")</f>
        <v/>
      </c>
      <c r="AF130">
        <f>IF(ISNUMBER(T130),IF(ISNUMBER(T135),IF(T130&gt;T135,1.0,IF(T130=T135,0.5,0.0)),""),"")</f>
        <v/>
      </c>
      <c r="AG130" s="14">
        <f>IF(AND(ISNUMBER(S130),ISNUMBER(S129)),VLOOKUP(ABS(S130-S129),'IMP Table'!$A$2:$C$26,3)*SIGN(S130-S129),0)</f>
        <v/>
      </c>
      <c r="AH130">
        <f>IF(AND(ISNUMBER(S130),ISNUMBER(S131)),VLOOKUP(ABS(S130-S131),'IMP Table'!$A$2:$C$26,3)*SIGN(S130-S131),0)</f>
        <v/>
      </c>
      <c r="AI130">
        <f>IF(AND(ISNUMBER(S130),ISNUMBER(S132)),VLOOKUP(ABS(S130-S132),'IMP Table'!$A$2:$C$26,3)*SIGN(S130-S132),0)</f>
        <v/>
      </c>
      <c r="AJ130">
        <f>IF(AND(ISNUMBER(S130),ISNUMBER(S133)),VLOOKUP(ABS(S130-S133),'IMP Table'!$A$2:$C$26,3)*SIGN(S130-S133),0)</f>
        <v/>
      </c>
      <c r="AK130">
        <f>IF(AND(ISNUMBER(S130),ISNUMBER(S134)),VLOOKUP(ABS(S130-S134),'IMP Table'!$A$2:$C$26,3)*SIGN(S130-S134),0)</f>
        <v/>
      </c>
      <c r="AL130">
        <f>IF(AND(ISNUMBER(S130),ISNUMBER(S135)),VLOOKUP(ABS(S130-S135),'IMP Table'!$A$2:$C$26,3)*SIGN(S130-S135),0)</f>
        <v/>
      </c>
      <c r="AM130">
        <f>IF(AND(ISNUMBER(T130),ISNUMBER(T129)),VLOOKUP(ABS(T130-T129),'IMP Table'!$A$2:$C$26,3)*SIGN(T130-T129),0)</f>
        <v/>
      </c>
      <c r="AN130">
        <f>IF(AND(ISNUMBER(T130),ISNUMBER(T131)),VLOOKUP(ABS(T130-T131),'IMP Table'!$A$2:$C$26,3)*SIGN(T130-T131),0)</f>
        <v/>
      </c>
      <c r="AO130">
        <f>IF(AND(ISNUMBER(T130),ISNUMBER(T132)),VLOOKUP(ABS(T130-T132),'IMP Table'!$A$2:$C$26,3)*SIGN(T130-T132),0)</f>
        <v/>
      </c>
      <c r="AP130">
        <f>IF(AND(ISNUMBER(T130),ISNUMBER(T133)),VLOOKUP(ABS(T130-T133),'IMP Table'!$A$2:$C$26,3)*SIGN(T130-T133),0)</f>
        <v/>
      </c>
      <c r="AQ130">
        <f>IF(AND(ISNUMBER(T130),ISNUMBER(T134)),VLOOKUP(ABS(T130-T134),'IMP Table'!$A$2:$C$26,3)*SIGN(T130-T134),0)</f>
        <v/>
      </c>
      <c r="AR130">
        <f>IF(AND(ISNUMBER(T130),ISNUMBER(T135)),VLOOKUP(ABS(T130-T135),'IMP Table'!$A$2:$C$26,3)*SIGN(T130-T135),0)</f>
        <v/>
      </c>
    </row>
    <row r="131">
      <c r="B131" s="10">
        <f>'By Round'!A3</f>
        <v/>
      </c>
      <c r="C131" s="10">
        <f>'By Round'!B11</f>
        <v/>
      </c>
      <c r="D131" s="10">
        <f>'By Round'!C11</f>
        <v/>
      </c>
      <c r="E131" s="10">
        <f>'By Round'!D11</f>
        <v/>
      </c>
      <c r="F131" s="10">
        <f>IF(ISBLANK('By Round'!F11),"",'By Round'!F11)</f>
        <v/>
      </c>
      <c r="G131">
        <f>IF(ISBLANK('By Round'!G11),"",'By Round'!G11)</f>
        <v/>
      </c>
      <c r="H131">
        <f>IF(ISBLANK('By Round'!H11),"",'By Round'!H11)</f>
        <v/>
      </c>
      <c r="I131">
        <f>IF(ISBLANK('By Round'!I11),"",'By Round'!I11)</f>
        <v/>
      </c>
      <c r="J131">
        <f>IF(ISBLANK('By Round'!J11),"",'By Round'!J11)</f>
        <v/>
      </c>
      <c r="K131">
        <f>IF(ISBLANK('By Round'!K11),"",'By Round'!K11)</f>
        <v/>
      </c>
      <c r="L131">
        <f>IF(ISBLANK('By Round'!L11),"",'By Round'!L11)</f>
        <v/>
      </c>
      <c r="M131" s="11">
        <f>AVERAGE(AG131:AL131)</f>
        <v/>
      </c>
      <c r="N131" s="12">
        <f>AVERAGE(AM131:AR131)</f>
        <v/>
      </c>
      <c r="O131" s="13">
        <f>IF(COUNT(U131:Z131)&gt;0,Q131/COUNT(U131:Z131),0.5)</f>
        <v/>
      </c>
      <c r="P131" s="13">
        <f>IF(COUNT(AA131:AF131)&gt;0,R131/COUNT(AA131:AF131),0.5)</f>
        <v/>
      </c>
      <c r="Q131" s="5">
        <f>SUM(U131:Z131)</f>
        <v/>
      </c>
      <c r="R131" s="5">
        <f>SUM(AA131:AF131)</f>
        <v/>
      </c>
      <c r="S131" s="14">
        <f>IF(ISNUMBER(K131),K131,IF(ISNUMBER(L131),-L131,""))</f>
        <v/>
      </c>
      <c r="T131">
        <f>IF(ISNUMBER(L131),L131,IF(ISNUMBER(K131),-K131,""))</f>
        <v/>
      </c>
      <c r="U131" s="14">
        <f>IF(ISNUMBER(S131),IF(ISNUMBER(S129),IF(S131&gt;S129,1.0,IF(S131=S129,0.5,0.0)),""),"")</f>
        <v/>
      </c>
      <c r="V131">
        <f>IF(ISNUMBER(S131),IF(ISNUMBER(S130),IF(S131&gt;S130,1.0,IF(S131=S130,0.5,0.0)),""),"")</f>
        <v/>
      </c>
      <c r="W131">
        <f>IF(ISNUMBER(S131),IF(ISNUMBER(S132),IF(S131&gt;S132,1.0,IF(S131=S132,0.5,0.0)),""),"")</f>
        <v/>
      </c>
      <c r="X131">
        <f>IF(ISNUMBER(S131),IF(ISNUMBER(S133),IF(S131&gt;S133,1.0,IF(S131=S133,0.5,0.0)),""),"")</f>
        <v/>
      </c>
      <c r="Y131">
        <f>IF(ISNUMBER(S131),IF(ISNUMBER(S134),IF(S131&gt;S134,1.0,IF(S131=S134,0.5,0.0)),""),"")</f>
        <v/>
      </c>
      <c r="Z131">
        <f>IF(ISNUMBER(S131),IF(ISNUMBER(S135),IF(S131&gt;S135,1.0,IF(S131=S135,0.5,0.0)),""),"")</f>
        <v/>
      </c>
      <c r="AA131">
        <f>IF(ISNUMBER(T131),IF(ISNUMBER(T129),IF(T131&gt;T129,1.0,IF(T131=T129,0.5,0.0)),""),"")</f>
        <v/>
      </c>
      <c r="AB131">
        <f>IF(ISNUMBER(T131),IF(ISNUMBER(T130),IF(T131&gt;T130,1.0,IF(T131=T130,0.5,0.0)),""),"")</f>
        <v/>
      </c>
      <c r="AC131">
        <f>IF(ISNUMBER(T131),IF(ISNUMBER(T132),IF(T131&gt;T132,1.0,IF(T131=T132,0.5,0.0)),""),"")</f>
        <v/>
      </c>
      <c r="AD131">
        <f>IF(ISNUMBER(T131),IF(ISNUMBER(T133),IF(T131&gt;T133,1.0,IF(T131=T133,0.5,0.0)),""),"")</f>
        <v/>
      </c>
      <c r="AE131">
        <f>IF(ISNUMBER(T131),IF(ISNUMBER(T134),IF(T131&gt;T134,1.0,IF(T131=T134,0.5,0.0)),""),"")</f>
        <v/>
      </c>
      <c r="AF131">
        <f>IF(ISNUMBER(T131),IF(ISNUMBER(T135),IF(T131&gt;T135,1.0,IF(T131=T135,0.5,0.0)),""),"")</f>
        <v/>
      </c>
      <c r="AG131" s="14">
        <f>IF(AND(ISNUMBER(S131),ISNUMBER(S129)),VLOOKUP(ABS(S131-S129),'IMP Table'!$A$2:$C$26,3)*SIGN(S131-S129),0)</f>
        <v/>
      </c>
      <c r="AH131">
        <f>IF(AND(ISNUMBER(S131),ISNUMBER(S130)),VLOOKUP(ABS(S131-S130),'IMP Table'!$A$2:$C$26,3)*SIGN(S131-S130),0)</f>
        <v/>
      </c>
      <c r="AI131">
        <f>IF(AND(ISNUMBER(S131),ISNUMBER(S132)),VLOOKUP(ABS(S131-S132),'IMP Table'!$A$2:$C$26,3)*SIGN(S131-S132),0)</f>
        <v/>
      </c>
      <c r="AJ131">
        <f>IF(AND(ISNUMBER(S131),ISNUMBER(S133)),VLOOKUP(ABS(S131-S133),'IMP Table'!$A$2:$C$26,3)*SIGN(S131-S133),0)</f>
        <v/>
      </c>
      <c r="AK131">
        <f>IF(AND(ISNUMBER(S131),ISNUMBER(S134)),VLOOKUP(ABS(S131-S134),'IMP Table'!$A$2:$C$26,3)*SIGN(S131-S134),0)</f>
        <v/>
      </c>
      <c r="AL131">
        <f>IF(AND(ISNUMBER(S131),ISNUMBER(S135)),VLOOKUP(ABS(S131-S135),'IMP Table'!$A$2:$C$26,3)*SIGN(S131-S135),0)</f>
        <v/>
      </c>
      <c r="AM131">
        <f>IF(AND(ISNUMBER(T131),ISNUMBER(T129)),VLOOKUP(ABS(T131-T129),'IMP Table'!$A$2:$C$26,3)*SIGN(T131-T129),0)</f>
        <v/>
      </c>
      <c r="AN131">
        <f>IF(AND(ISNUMBER(T131),ISNUMBER(T130)),VLOOKUP(ABS(T131-T130),'IMP Table'!$A$2:$C$26,3)*SIGN(T131-T130),0)</f>
        <v/>
      </c>
      <c r="AO131">
        <f>IF(AND(ISNUMBER(T131),ISNUMBER(T132)),VLOOKUP(ABS(T131-T132),'IMP Table'!$A$2:$C$26,3)*SIGN(T131-T132),0)</f>
        <v/>
      </c>
      <c r="AP131">
        <f>IF(AND(ISNUMBER(T131),ISNUMBER(T133)),VLOOKUP(ABS(T131-T133),'IMP Table'!$A$2:$C$26,3)*SIGN(T131-T133),0)</f>
        <v/>
      </c>
      <c r="AQ131">
        <f>IF(AND(ISNUMBER(T131),ISNUMBER(T134)),VLOOKUP(ABS(T131-T134),'IMP Table'!$A$2:$C$26,3)*SIGN(T131-T134),0)</f>
        <v/>
      </c>
      <c r="AR131">
        <f>IF(AND(ISNUMBER(T131),ISNUMBER(T135)),VLOOKUP(ABS(T131-T135),'IMP Table'!$A$2:$C$26,3)*SIGN(T131-T135),0)</f>
        <v/>
      </c>
    </row>
    <row r="132">
      <c r="B132" s="10">
        <f>'By Round'!A171</f>
        <v/>
      </c>
      <c r="C132" s="10">
        <f>'By Round'!B181</f>
        <v/>
      </c>
      <c r="D132" s="10">
        <f>'By Round'!C181</f>
        <v/>
      </c>
      <c r="E132" s="10">
        <f>'By Round'!D181</f>
        <v/>
      </c>
      <c r="F132" s="10">
        <f>IF(ISBLANK('By Round'!F181),"",'By Round'!F181)</f>
        <v/>
      </c>
      <c r="G132">
        <f>IF(ISBLANK('By Round'!G181),"",'By Round'!G181)</f>
        <v/>
      </c>
      <c r="H132">
        <f>IF(ISBLANK('By Round'!H181),"",'By Round'!H181)</f>
        <v/>
      </c>
      <c r="I132">
        <f>IF(ISBLANK('By Round'!I181),"",'By Round'!I181)</f>
        <v/>
      </c>
      <c r="J132">
        <f>IF(ISBLANK('By Round'!J181),"",'By Round'!J181)</f>
        <v/>
      </c>
      <c r="K132">
        <f>IF(ISBLANK('By Round'!K181),"",'By Round'!K181)</f>
        <v/>
      </c>
      <c r="L132">
        <f>IF(ISBLANK('By Round'!L181),"",'By Round'!L181)</f>
        <v/>
      </c>
      <c r="M132" s="11">
        <f>AVERAGE(AG132:AL132)</f>
        <v/>
      </c>
      <c r="N132" s="12">
        <f>AVERAGE(AM132:AR132)</f>
        <v/>
      </c>
      <c r="O132" s="13">
        <f>IF(COUNT(U132:Z132)&gt;0,Q132/COUNT(U132:Z132),0.5)</f>
        <v/>
      </c>
      <c r="P132" s="13">
        <f>IF(COUNT(AA132:AF132)&gt;0,R132/COUNT(AA132:AF132),0.5)</f>
        <v/>
      </c>
      <c r="Q132" s="5">
        <f>SUM(U132:Z132)</f>
        <v/>
      </c>
      <c r="R132" s="5">
        <f>SUM(AA132:AF132)</f>
        <v/>
      </c>
      <c r="S132" s="14">
        <f>IF(ISNUMBER(K132),K132,IF(ISNUMBER(L132),-L132,""))</f>
        <v/>
      </c>
      <c r="T132">
        <f>IF(ISNUMBER(L132),L132,IF(ISNUMBER(K132),-K132,""))</f>
        <v/>
      </c>
      <c r="U132" s="14">
        <f>IF(ISNUMBER(S132),IF(ISNUMBER(S129),IF(S132&gt;S129,1.0,IF(S132=S129,0.5,0.0)),""),"")</f>
        <v/>
      </c>
      <c r="V132">
        <f>IF(ISNUMBER(S132),IF(ISNUMBER(S130),IF(S132&gt;S130,1.0,IF(S132=S130,0.5,0.0)),""),"")</f>
        <v/>
      </c>
      <c r="W132">
        <f>IF(ISNUMBER(S132),IF(ISNUMBER(S131),IF(S132&gt;S131,1.0,IF(S132=S131,0.5,0.0)),""),"")</f>
        <v/>
      </c>
      <c r="X132">
        <f>IF(ISNUMBER(S132),IF(ISNUMBER(S133),IF(S132&gt;S133,1.0,IF(S132=S133,0.5,0.0)),""),"")</f>
        <v/>
      </c>
      <c r="Y132">
        <f>IF(ISNUMBER(S132),IF(ISNUMBER(S134),IF(S132&gt;S134,1.0,IF(S132=S134,0.5,0.0)),""),"")</f>
        <v/>
      </c>
      <c r="Z132">
        <f>IF(ISNUMBER(S132),IF(ISNUMBER(S135),IF(S132&gt;S135,1.0,IF(S132=S135,0.5,0.0)),""),"")</f>
        <v/>
      </c>
      <c r="AA132">
        <f>IF(ISNUMBER(T132),IF(ISNUMBER(T129),IF(T132&gt;T129,1.0,IF(T132=T129,0.5,0.0)),""),"")</f>
        <v/>
      </c>
      <c r="AB132">
        <f>IF(ISNUMBER(T132),IF(ISNUMBER(T130),IF(T132&gt;T130,1.0,IF(T132=T130,0.5,0.0)),""),"")</f>
        <v/>
      </c>
      <c r="AC132">
        <f>IF(ISNUMBER(T132),IF(ISNUMBER(T131),IF(T132&gt;T131,1.0,IF(T132=T131,0.5,0.0)),""),"")</f>
        <v/>
      </c>
      <c r="AD132">
        <f>IF(ISNUMBER(T132),IF(ISNUMBER(T133),IF(T132&gt;T133,1.0,IF(T132=T133,0.5,0.0)),""),"")</f>
        <v/>
      </c>
      <c r="AE132">
        <f>IF(ISNUMBER(T132),IF(ISNUMBER(T134),IF(T132&gt;T134,1.0,IF(T132=T134,0.5,0.0)),""),"")</f>
        <v/>
      </c>
      <c r="AF132">
        <f>IF(ISNUMBER(T132),IF(ISNUMBER(T135),IF(T132&gt;T135,1.0,IF(T132=T135,0.5,0.0)),""),"")</f>
        <v/>
      </c>
      <c r="AG132" s="14">
        <f>IF(AND(ISNUMBER(S132),ISNUMBER(S129)),VLOOKUP(ABS(S132-S129),'IMP Table'!$A$2:$C$26,3)*SIGN(S132-S129),0)</f>
        <v/>
      </c>
      <c r="AH132">
        <f>IF(AND(ISNUMBER(S132),ISNUMBER(S130)),VLOOKUP(ABS(S132-S130),'IMP Table'!$A$2:$C$26,3)*SIGN(S132-S130),0)</f>
        <v/>
      </c>
      <c r="AI132">
        <f>IF(AND(ISNUMBER(S132),ISNUMBER(S131)),VLOOKUP(ABS(S132-S131),'IMP Table'!$A$2:$C$26,3)*SIGN(S132-S131),0)</f>
        <v/>
      </c>
      <c r="AJ132">
        <f>IF(AND(ISNUMBER(S132),ISNUMBER(S133)),VLOOKUP(ABS(S132-S133),'IMP Table'!$A$2:$C$26,3)*SIGN(S132-S133),0)</f>
        <v/>
      </c>
      <c r="AK132">
        <f>IF(AND(ISNUMBER(S132),ISNUMBER(S134)),VLOOKUP(ABS(S132-S134),'IMP Table'!$A$2:$C$26,3)*SIGN(S132-S134),0)</f>
        <v/>
      </c>
      <c r="AL132">
        <f>IF(AND(ISNUMBER(S132),ISNUMBER(S135)),VLOOKUP(ABS(S132-S135),'IMP Table'!$A$2:$C$26,3)*SIGN(S132-S135),0)</f>
        <v/>
      </c>
      <c r="AM132">
        <f>IF(AND(ISNUMBER(T132),ISNUMBER(T129)),VLOOKUP(ABS(T132-T129),'IMP Table'!$A$2:$C$26,3)*SIGN(T132-T129),0)</f>
        <v/>
      </c>
      <c r="AN132">
        <f>IF(AND(ISNUMBER(T132),ISNUMBER(T130)),VLOOKUP(ABS(T132-T130),'IMP Table'!$A$2:$C$26,3)*SIGN(T132-T130),0)</f>
        <v/>
      </c>
      <c r="AO132">
        <f>IF(AND(ISNUMBER(T132),ISNUMBER(T131)),VLOOKUP(ABS(T132-T131),'IMP Table'!$A$2:$C$26,3)*SIGN(T132-T131),0)</f>
        <v/>
      </c>
      <c r="AP132">
        <f>IF(AND(ISNUMBER(T132),ISNUMBER(T133)),VLOOKUP(ABS(T132-T133),'IMP Table'!$A$2:$C$26,3)*SIGN(T132-T133),0)</f>
        <v/>
      </c>
      <c r="AQ132">
        <f>IF(AND(ISNUMBER(T132),ISNUMBER(T134)),VLOOKUP(ABS(T132-T134),'IMP Table'!$A$2:$C$26,3)*SIGN(T132-T134),0)</f>
        <v/>
      </c>
      <c r="AR132">
        <f>IF(AND(ISNUMBER(T132),ISNUMBER(T135)),VLOOKUP(ABS(T132-T135),'IMP Table'!$A$2:$C$26,3)*SIGN(T132-T135),0)</f>
        <v/>
      </c>
    </row>
    <row r="133">
      <c r="B133" s="10">
        <f>'By Round'!A87</f>
        <v/>
      </c>
      <c r="C133" s="10">
        <f>'By Round'!B91</f>
        <v/>
      </c>
      <c r="D133" s="10">
        <f>'By Round'!C91</f>
        <v/>
      </c>
      <c r="E133" s="10">
        <f>'By Round'!D91</f>
        <v/>
      </c>
      <c r="F133" s="10">
        <f>IF(ISBLANK('By Round'!F91),"",'By Round'!F91)</f>
        <v/>
      </c>
      <c r="G133">
        <f>IF(ISBLANK('By Round'!G91),"",'By Round'!G91)</f>
        <v/>
      </c>
      <c r="H133">
        <f>IF(ISBLANK('By Round'!H91),"",'By Round'!H91)</f>
        <v/>
      </c>
      <c r="I133">
        <f>IF(ISBLANK('By Round'!I91),"",'By Round'!I91)</f>
        <v/>
      </c>
      <c r="J133">
        <f>IF(ISBLANK('By Round'!J91),"",'By Round'!J91)</f>
        <v/>
      </c>
      <c r="K133">
        <f>IF(ISBLANK('By Round'!K91),"",'By Round'!K91)</f>
        <v/>
      </c>
      <c r="L133">
        <f>IF(ISBLANK('By Round'!L91),"",'By Round'!L91)</f>
        <v/>
      </c>
      <c r="M133" s="11">
        <f>AVERAGE(AG133:AL133)</f>
        <v/>
      </c>
      <c r="N133" s="12">
        <f>AVERAGE(AM133:AR133)</f>
        <v/>
      </c>
      <c r="O133" s="13">
        <f>IF(COUNT(U133:Z133)&gt;0,Q133/COUNT(U133:Z133),0.5)</f>
        <v/>
      </c>
      <c r="P133" s="13">
        <f>IF(COUNT(AA133:AF133)&gt;0,R133/COUNT(AA133:AF133),0.5)</f>
        <v/>
      </c>
      <c r="Q133" s="5">
        <f>SUM(U133:Z133)</f>
        <v/>
      </c>
      <c r="R133" s="5">
        <f>SUM(AA133:AF133)</f>
        <v/>
      </c>
      <c r="S133" s="14">
        <f>IF(ISNUMBER(K133),K133,IF(ISNUMBER(L133),-L133,""))</f>
        <v/>
      </c>
      <c r="T133">
        <f>IF(ISNUMBER(L133),L133,IF(ISNUMBER(K133),-K133,""))</f>
        <v/>
      </c>
      <c r="U133" s="14">
        <f>IF(ISNUMBER(S133),IF(ISNUMBER(S129),IF(S133&gt;S129,1.0,IF(S133=S129,0.5,0.0)),""),"")</f>
        <v/>
      </c>
      <c r="V133">
        <f>IF(ISNUMBER(S133),IF(ISNUMBER(S130),IF(S133&gt;S130,1.0,IF(S133=S130,0.5,0.0)),""),"")</f>
        <v/>
      </c>
      <c r="W133">
        <f>IF(ISNUMBER(S133),IF(ISNUMBER(S131),IF(S133&gt;S131,1.0,IF(S133=S131,0.5,0.0)),""),"")</f>
        <v/>
      </c>
      <c r="X133">
        <f>IF(ISNUMBER(S133),IF(ISNUMBER(S132),IF(S133&gt;S132,1.0,IF(S133=S132,0.5,0.0)),""),"")</f>
        <v/>
      </c>
      <c r="Y133">
        <f>IF(ISNUMBER(S133),IF(ISNUMBER(S134),IF(S133&gt;S134,1.0,IF(S133=S134,0.5,0.0)),""),"")</f>
        <v/>
      </c>
      <c r="Z133">
        <f>IF(ISNUMBER(S133),IF(ISNUMBER(S135),IF(S133&gt;S135,1.0,IF(S133=S135,0.5,0.0)),""),"")</f>
        <v/>
      </c>
      <c r="AA133">
        <f>IF(ISNUMBER(T133),IF(ISNUMBER(T129),IF(T133&gt;T129,1.0,IF(T133=T129,0.5,0.0)),""),"")</f>
        <v/>
      </c>
      <c r="AB133">
        <f>IF(ISNUMBER(T133),IF(ISNUMBER(T130),IF(T133&gt;T130,1.0,IF(T133=T130,0.5,0.0)),""),"")</f>
        <v/>
      </c>
      <c r="AC133">
        <f>IF(ISNUMBER(T133),IF(ISNUMBER(T131),IF(T133&gt;T131,1.0,IF(T133=T131,0.5,0.0)),""),"")</f>
        <v/>
      </c>
      <c r="AD133">
        <f>IF(ISNUMBER(T133),IF(ISNUMBER(T132),IF(T133&gt;T132,1.0,IF(T133=T132,0.5,0.0)),""),"")</f>
        <v/>
      </c>
      <c r="AE133">
        <f>IF(ISNUMBER(T133),IF(ISNUMBER(T134),IF(T133&gt;T134,1.0,IF(T133=T134,0.5,0.0)),""),"")</f>
        <v/>
      </c>
      <c r="AF133">
        <f>IF(ISNUMBER(T133),IF(ISNUMBER(T135),IF(T133&gt;T135,1.0,IF(T133=T135,0.5,0.0)),""),"")</f>
        <v/>
      </c>
      <c r="AG133" s="14">
        <f>IF(AND(ISNUMBER(S133),ISNUMBER(S129)),VLOOKUP(ABS(S133-S129),'IMP Table'!$A$2:$C$26,3)*SIGN(S133-S129),0)</f>
        <v/>
      </c>
      <c r="AH133">
        <f>IF(AND(ISNUMBER(S133),ISNUMBER(S130)),VLOOKUP(ABS(S133-S130),'IMP Table'!$A$2:$C$26,3)*SIGN(S133-S130),0)</f>
        <v/>
      </c>
      <c r="AI133">
        <f>IF(AND(ISNUMBER(S133),ISNUMBER(S131)),VLOOKUP(ABS(S133-S131),'IMP Table'!$A$2:$C$26,3)*SIGN(S133-S131),0)</f>
        <v/>
      </c>
      <c r="AJ133">
        <f>IF(AND(ISNUMBER(S133),ISNUMBER(S132)),VLOOKUP(ABS(S133-S132),'IMP Table'!$A$2:$C$26,3)*SIGN(S133-S132),0)</f>
        <v/>
      </c>
      <c r="AK133">
        <f>IF(AND(ISNUMBER(S133),ISNUMBER(S134)),VLOOKUP(ABS(S133-S134),'IMP Table'!$A$2:$C$26,3)*SIGN(S133-S134),0)</f>
        <v/>
      </c>
      <c r="AL133">
        <f>IF(AND(ISNUMBER(S133),ISNUMBER(S135)),VLOOKUP(ABS(S133-S135),'IMP Table'!$A$2:$C$26,3)*SIGN(S133-S135),0)</f>
        <v/>
      </c>
      <c r="AM133">
        <f>IF(AND(ISNUMBER(T133),ISNUMBER(T129)),VLOOKUP(ABS(T133-T129),'IMP Table'!$A$2:$C$26,3)*SIGN(T133-T129),0)</f>
        <v/>
      </c>
      <c r="AN133">
        <f>IF(AND(ISNUMBER(T133),ISNUMBER(T130)),VLOOKUP(ABS(T133-T130),'IMP Table'!$A$2:$C$26,3)*SIGN(T133-T130),0)</f>
        <v/>
      </c>
      <c r="AO133">
        <f>IF(AND(ISNUMBER(T133),ISNUMBER(T131)),VLOOKUP(ABS(T133-T131),'IMP Table'!$A$2:$C$26,3)*SIGN(T133-T131),0)</f>
        <v/>
      </c>
      <c r="AP133">
        <f>IF(AND(ISNUMBER(T133),ISNUMBER(T132)),VLOOKUP(ABS(T133-T132),'IMP Table'!$A$2:$C$26,3)*SIGN(T133-T132),0)</f>
        <v/>
      </c>
      <c r="AQ133">
        <f>IF(AND(ISNUMBER(T133),ISNUMBER(T134)),VLOOKUP(ABS(T133-T134),'IMP Table'!$A$2:$C$26,3)*SIGN(T133-T134),0)</f>
        <v/>
      </c>
      <c r="AR133">
        <f>IF(AND(ISNUMBER(T133),ISNUMBER(T135)),VLOOKUP(ABS(T133-T135),'IMP Table'!$A$2:$C$26,3)*SIGN(T133-T135),0)</f>
        <v/>
      </c>
    </row>
    <row r="134">
      <c r="B134" s="10">
        <f>'By Round'!A101</f>
        <v/>
      </c>
      <c r="C134" s="10">
        <f>'By Round'!B103</f>
        <v/>
      </c>
      <c r="D134" s="10">
        <f>'By Round'!C103</f>
        <v/>
      </c>
      <c r="E134" s="10">
        <f>'By Round'!D103</f>
        <v/>
      </c>
      <c r="F134" s="10">
        <f>IF(ISBLANK('By Round'!F103),"",'By Round'!F103)</f>
        <v/>
      </c>
      <c r="G134">
        <f>IF(ISBLANK('By Round'!G103),"",'By Round'!G103)</f>
        <v/>
      </c>
      <c r="H134">
        <f>IF(ISBLANK('By Round'!H103),"",'By Round'!H103)</f>
        <v/>
      </c>
      <c r="I134">
        <f>IF(ISBLANK('By Round'!I103),"",'By Round'!I103)</f>
        <v/>
      </c>
      <c r="J134">
        <f>IF(ISBLANK('By Round'!J103),"",'By Round'!J103)</f>
        <v/>
      </c>
      <c r="K134">
        <f>IF(ISBLANK('By Round'!K103),"",'By Round'!K103)</f>
        <v/>
      </c>
      <c r="L134">
        <f>IF(ISBLANK('By Round'!L103),"",'By Round'!L103)</f>
        <v/>
      </c>
      <c r="M134" s="11">
        <f>AVERAGE(AG134:AL134)</f>
        <v/>
      </c>
      <c r="N134" s="12">
        <f>AVERAGE(AM134:AR134)</f>
        <v/>
      </c>
      <c r="O134" s="13">
        <f>IF(COUNT(U134:Z134)&gt;0,Q134/COUNT(U134:Z134),0.5)</f>
        <v/>
      </c>
      <c r="P134" s="13">
        <f>IF(COUNT(AA134:AF134)&gt;0,R134/COUNT(AA134:AF134),0.5)</f>
        <v/>
      </c>
      <c r="Q134" s="5">
        <f>SUM(U134:Z134)</f>
        <v/>
      </c>
      <c r="R134" s="5">
        <f>SUM(AA134:AF134)</f>
        <v/>
      </c>
      <c r="S134" s="14">
        <f>IF(ISNUMBER(K134),K134,IF(ISNUMBER(L134),-L134,""))</f>
        <v/>
      </c>
      <c r="T134">
        <f>IF(ISNUMBER(L134),L134,IF(ISNUMBER(K134),-K134,""))</f>
        <v/>
      </c>
      <c r="U134" s="14">
        <f>IF(ISNUMBER(S134),IF(ISNUMBER(S129),IF(S134&gt;S129,1.0,IF(S134=S129,0.5,0.0)),""),"")</f>
        <v/>
      </c>
      <c r="V134">
        <f>IF(ISNUMBER(S134),IF(ISNUMBER(S130),IF(S134&gt;S130,1.0,IF(S134=S130,0.5,0.0)),""),"")</f>
        <v/>
      </c>
      <c r="W134">
        <f>IF(ISNUMBER(S134),IF(ISNUMBER(S131),IF(S134&gt;S131,1.0,IF(S134=S131,0.5,0.0)),""),"")</f>
        <v/>
      </c>
      <c r="X134">
        <f>IF(ISNUMBER(S134),IF(ISNUMBER(S132),IF(S134&gt;S132,1.0,IF(S134=S132,0.5,0.0)),""),"")</f>
        <v/>
      </c>
      <c r="Y134">
        <f>IF(ISNUMBER(S134),IF(ISNUMBER(S133),IF(S134&gt;S133,1.0,IF(S134=S133,0.5,0.0)),""),"")</f>
        <v/>
      </c>
      <c r="Z134">
        <f>IF(ISNUMBER(S134),IF(ISNUMBER(S135),IF(S134&gt;S135,1.0,IF(S134=S135,0.5,0.0)),""),"")</f>
        <v/>
      </c>
      <c r="AA134">
        <f>IF(ISNUMBER(T134),IF(ISNUMBER(T129),IF(T134&gt;T129,1.0,IF(T134=T129,0.5,0.0)),""),"")</f>
        <v/>
      </c>
      <c r="AB134">
        <f>IF(ISNUMBER(T134),IF(ISNUMBER(T130),IF(T134&gt;T130,1.0,IF(T134=T130,0.5,0.0)),""),"")</f>
        <v/>
      </c>
      <c r="AC134">
        <f>IF(ISNUMBER(T134),IF(ISNUMBER(T131),IF(T134&gt;T131,1.0,IF(T134=T131,0.5,0.0)),""),"")</f>
        <v/>
      </c>
      <c r="AD134">
        <f>IF(ISNUMBER(T134),IF(ISNUMBER(T132),IF(T134&gt;T132,1.0,IF(T134=T132,0.5,0.0)),""),"")</f>
        <v/>
      </c>
      <c r="AE134">
        <f>IF(ISNUMBER(T134),IF(ISNUMBER(T133),IF(T134&gt;T133,1.0,IF(T134=T133,0.5,0.0)),""),"")</f>
        <v/>
      </c>
      <c r="AF134">
        <f>IF(ISNUMBER(T134),IF(ISNUMBER(T135),IF(T134&gt;T135,1.0,IF(T134=T135,0.5,0.0)),""),"")</f>
        <v/>
      </c>
      <c r="AG134" s="14">
        <f>IF(AND(ISNUMBER(S134),ISNUMBER(S129)),VLOOKUP(ABS(S134-S129),'IMP Table'!$A$2:$C$26,3)*SIGN(S134-S129),0)</f>
        <v/>
      </c>
      <c r="AH134">
        <f>IF(AND(ISNUMBER(S134),ISNUMBER(S130)),VLOOKUP(ABS(S134-S130),'IMP Table'!$A$2:$C$26,3)*SIGN(S134-S130),0)</f>
        <v/>
      </c>
      <c r="AI134">
        <f>IF(AND(ISNUMBER(S134),ISNUMBER(S131)),VLOOKUP(ABS(S134-S131),'IMP Table'!$A$2:$C$26,3)*SIGN(S134-S131),0)</f>
        <v/>
      </c>
      <c r="AJ134">
        <f>IF(AND(ISNUMBER(S134),ISNUMBER(S132)),VLOOKUP(ABS(S134-S132),'IMP Table'!$A$2:$C$26,3)*SIGN(S134-S132),0)</f>
        <v/>
      </c>
      <c r="AK134">
        <f>IF(AND(ISNUMBER(S134),ISNUMBER(S133)),VLOOKUP(ABS(S134-S133),'IMP Table'!$A$2:$C$26,3)*SIGN(S134-S133),0)</f>
        <v/>
      </c>
      <c r="AL134">
        <f>IF(AND(ISNUMBER(S134),ISNUMBER(S135)),VLOOKUP(ABS(S134-S135),'IMP Table'!$A$2:$C$26,3)*SIGN(S134-S135),0)</f>
        <v/>
      </c>
      <c r="AM134">
        <f>IF(AND(ISNUMBER(T134),ISNUMBER(T129)),VLOOKUP(ABS(T134-T129),'IMP Table'!$A$2:$C$26,3)*SIGN(T134-T129),0)</f>
        <v/>
      </c>
      <c r="AN134">
        <f>IF(AND(ISNUMBER(T134),ISNUMBER(T130)),VLOOKUP(ABS(T134-T130),'IMP Table'!$A$2:$C$26,3)*SIGN(T134-T130),0)</f>
        <v/>
      </c>
      <c r="AO134">
        <f>IF(AND(ISNUMBER(T134),ISNUMBER(T131)),VLOOKUP(ABS(T134-T131),'IMP Table'!$A$2:$C$26,3)*SIGN(T134-T131),0)</f>
        <v/>
      </c>
      <c r="AP134">
        <f>IF(AND(ISNUMBER(T134),ISNUMBER(T132)),VLOOKUP(ABS(T134-T132),'IMP Table'!$A$2:$C$26,3)*SIGN(T134-T132),0)</f>
        <v/>
      </c>
      <c r="AQ134">
        <f>IF(AND(ISNUMBER(T134),ISNUMBER(T133)),VLOOKUP(ABS(T134-T133),'IMP Table'!$A$2:$C$26,3)*SIGN(T134-T133),0)</f>
        <v/>
      </c>
      <c r="AR134">
        <f>IF(AND(ISNUMBER(T134),ISNUMBER(T135)),VLOOKUP(ABS(T134-T135),'IMP Table'!$A$2:$C$26,3)*SIGN(T134-T135),0)</f>
        <v/>
      </c>
    </row>
    <row r="135">
      <c r="A135" s="15" t="n"/>
      <c r="B135" s="16">
        <f>'By Round'!A129</f>
        <v/>
      </c>
      <c r="C135" s="16">
        <f>'By Round'!B129</f>
        <v/>
      </c>
      <c r="D135" s="16">
        <f>'By Round'!C129</f>
        <v/>
      </c>
      <c r="E135" s="16">
        <f>'By Round'!D129</f>
        <v/>
      </c>
      <c r="F135" s="16">
        <f>IF(ISBLANK('By Round'!F129),"",'By Round'!F129)</f>
        <v/>
      </c>
      <c r="G135" s="15">
        <f>IF(ISBLANK('By Round'!G129),"",'By Round'!G129)</f>
        <v/>
      </c>
      <c r="H135" s="15">
        <f>IF(ISBLANK('By Round'!H129),"",'By Round'!H129)</f>
        <v/>
      </c>
      <c r="I135" s="15">
        <f>IF(ISBLANK('By Round'!I129),"",'By Round'!I129)</f>
        <v/>
      </c>
      <c r="J135" s="15">
        <f>IF(ISBLANK('By Round'!J129),"",'By Round'!J129)</f>
        <v/>
      </c>
      <c r="K135" s="15">
        <f>IF(ISBLANK('By Round'!K129),"",'By Round'!K129)</f>
        <v/>
      </c>
      <c r="L135" s="15">
        <f>IF(ISBLANK('By Round'!L129),"",'By Round'!L129)</f>
        <v/>
      </c>
      <c r="M135" s="17">
        <f>AVERAGE(AG135:AL135)</f>
        <v/>
      </c>
      <c r="N135" s="18">
        <f>AVERAGE(AM135:AR135)</f>
        <v/>
      </c>
      <c r="O135" s="19">
        <f>IF(COUNT(U135:Z135)&gt;0,Q135/COUNT(U135:Z135),0.5)</f>
        <v/>
      </c>
      <c r="P135" s="19">
        <f>IF(COUNT(AA135:AF135)&gt;0,R135/COUNT(AA135:AF135),0.5)</f>
        <v/>
      </c>
      <c r="Q135" s="20">
        <f>SUM(U135:Z135)</f>
        <v/>
      </c>
      <c r="R135" s="20">
        <f>SUM(AA135:AF135)</f>
        <v/>
      </c>
      <c r="S135" s="21">
        <f>IF(ISNUMBER(K135),K135,IF(ISNUMBER(L135),-L135,""))</f>
        <v/>
      </c>
      <c r="T135" s="15">
        <f>IF(ISNUMBER(L135),L135,IF(ISNUMBER(K135),-K135,""))</f>
        <v/>
      </c>
      <c r="U135" s="21">
        <f>IF(ISNUMBER(S135),IF(ISNUMBER(S129),IF(S135&gt;S129,1.0,IF(S135=S129,0.5,0.0)),""),"")</f>
        <v/>
      </c>
      <c r="V135" s="15">
        <f>IF(ISNUMBER(S135),IF(ISNUMBER(S130),IF(S135&gt;S130,1.0,IF(S135=S130,0.5,0.0)),""),"")</f>
        <v/>
      </c>
      <c r="W135" s="15">
        <f>IF(ISNUMBER(S135),IF(ISNUMBER(S131),IF(S135&gt;S131,1.0,IF(S135=S131,0.5,0.0)),""),"")</f>
        <v/>
      </c>
      <c r="X135" s="15">
        <f>IF(ISNUMBER(S135),IF(ISNUMBER(S132),IF(S135&gt;S132,1.0,IF(S135=S132,0.5,0.0)),""),"")</f>
        <v/>
      </c>
      <c r="Y135" s="15">
        <f>IF(ISNUMBER(S135),IF(ISNUMBER(S133),IF(S135&gt;S133,1.0,IF(S135=S133,0.5,0.0)),""),"")</f>
        <v/>
      </c>
      <c r="Z135" s="15">
        <f>IF(ISNUMBER(S135),IF(ISNUMBER(S134),IF(S135&gt;S134,1.0,IF(S135=S134,0.5,0.0)),""),"")</f>
        <v/>
      </c>
      <c r="AA135" s="15">
        <f>IF(ISNUMBER(T135),IF(ISNUMBER(T129),IF(T135&gt;T129,1.0,IF(T135=T129,0.5,0.0)),""),"")</f>
        <v/>
      </c>
      <c r="AB135" s="15">
        <f>IF(ISNUMBER(T135),IF(ISNUMBER(T130),IF(T135&gt;T130,1.0,IF(T135=T130,0.5,0.0)),""),"")</f>
        <v/>
      </c>
      <c r="AC135" s="15">
        <f>IF(ISNUMBER(T135),IF(ISNUMBER(T131),IF(T135&gt;T131,1.0,IF(T135=T131,0.5,0.0)),""),"")</f>
        <v/>
      </c>
      <c r="AD135" s="15">
        <f>IF(ISNUMBER(T135),IF(ISNUMBER(T132),IF(T135&gt;T132,1.0,IF(T135=T132,0.5,0.0)),""),"")</f>
        <v/>
      </c>
      <c r="AE135" s="15">
        <f>IF(ISNUMBER(T135),IF(ISNUMBER(T133),IF(T135&gt;T133,1.0,IF(T135=T133,0.5,0.0)),""),"")</f>
        <v/>
      </c>
      <c r="AF135" s="15">
        <f>IF(ISNUMBER(T135),IF(ISNUMBER(T134),IF(T135&gt;T134,1.0,IF(T135=T134,0.5,0.0)),""),"")</f>
        <v/>
      </c>
      <c r="AG135" s="21">
        <f>IF(AND(ISNUMBER(S135),ISNUMBER(S129)),VLOOKUP(ABS(S135-S129),'IMP Table'!$A$2:$C$26,3)*SIGN(S135-S129),0)</f>
        <v/>
      </c>
      <c r="AH135" s="15">
        <f>IF(AND(ISNUMBER(S135),ISNUMBER(S130)),VLOOKUP(ABS(S135-S130),'IMP Table'!$A$2:$C$26,3)*SIGN(S135-S130),0)</f>
        <v/>
      </c>
      <c r="AI135" s="15">
        <f>IF(AND(ISNUMBER(S135),ISNUMBER(S131)),VLOOKUP(ABS(S135-S131),'IMP Table'!$A$2:$C$26,3)*SIGN(S135-S131),0)</f>
        <v/>
      </c>
      <c r="AJ135" s="15">
        <f>IF(AND(ISNUMBER(S135),ISNUMBER(S132)),VLOOKUP(ABS(S135-S132),'IMP Table'!$A$2:$C$26,3)*SIGN(S135-S132),0)</f>
        <v/>
      </c>
      <c r="AK135" s="15">
        <f>IF(AND(ISNUMBER(S135),ISNUMBER(S133)),VLOOKUP(ABS(S135-S133),'IMP Table'!$A$2:$C$26,3)*SIGN(S135-S133),0)</f>
        <v/>
      </c>
      <c r="AL135" s="15">
        <f>IF(AND(ISNUMBER(S135),ISNUMBER(S134)),VLOOKUP(ABS(S135-S134),'IMP Table'!$A$2:$C$26,3)*SIGN(S135-S134),0)</f>
        <v/>
      </c>
      <c r="AM135" s="15">
        <f>IF(AND(ISNUMBER(T135),ISNUMBER(T129)),VLOOKUP(ABS(T135-T129),'IMP Table'!$A$2:$C$26,3)*SIGN(T135-T129),0)</f>
        <v/>
      </c>
      <c r="AN135" s="15">
        <f>IF(AND(ISNUMBER(T135),ISNUMBER(T130)),VLOOKUP(ABS(T135-T130),'IMP Table'!$A$2:$C$26,3)*SIGN(T135-T130),0)</f>
        <v/>
      </c>
      <c r="AO135" s="15">
        <f>IF(AND(ISNUMBER(T135),ISNUMBER(T131)),VLOOKUP(ABS(T135-T131),'IMP Table'!$A$2:$C$26,3)*SIGN(T135-T131),0)</f>
        <v/>
      </c>
      <c r="AP135" s="15">
        <f>IF(AND(ISNUMBER(T135),ISNUMBER(T132)),VLOOKUP(ABS(T135-T132),'IMP Table'!$A$2:$C$26,3)*SIGN(T135-T132),0)</f>
        <v/>
      </c>
      <c r="AQ135" s="15">
        <f>IF(AND(ISNUMBER(T135),ISNUMBER(T133)),VLOOKUP(ABS(T135-T133),'IMP Table'!$A$2:$C$26,3)*SIGN(T135-T133),0)</f>
        <v/>
      </c>
      <c r="AR135" s="15">
        <f>IF(AND(ISNUMBER(T135),ISNUMBER(T134)),VLOOKUP(ABS(T135-T134),'IMP Table'!$A$2:$C$26,3)*SIGN(T135-T134),0)</f>
        <v/>
      </c>
    </row>
    <row r="136">
      <c r="A136" s="10" t="n">
        <v>20</v>
      </c>
      <c r="B136" s="10">
        <f>'By Round'!A73</f>
        <v/>
      </c>
      <c r="C136" s="10">
        <f>'By Round'!B79</f>
        <v/>
      </c>
      <c r="D136" s="10">
        <f>'By Round'!C79</f>
        <v/>
      </c>
      <c r="E136" s="10">
        <f>'By Round'!D79</f>
        <v/>
      </c>
      <c r="F136" s="10">
        <f>IF(ISBLANK('By Round'!F80),"",'By Round'!F80)</f>
        <v/>
      </c>
      <c r="G136">
        <f>IF(ISBLANK('By Round'!G80),"",'By Round'!G80)</f>
        <v/>
      </c>
      <c r="H136">
        <f>IF(ISBLANK('By Round'!H80),"",'By Round'!H80)</f>
        <v/>
      </c>
      <c r="I136">
        <f>IF(ISBLANK('By Round'!I80),"",'By Round'!I80)</f>
        <v/>
      </c>
      <c r="J136">
        <f>IF(ISBLANK('By Round'!J80),"",'By Round'!J80)</f>
        <v/>
      </c>
      <c r="K136">
        <f>IF(ISBLANK('By Round'!K80),"",'By Round'!K80)</f>
        <v/>
      </c>
      <c r="L136">
        <f>IF(ISBLANK('By Round'!L80),"",'By Round'!L80)</f>
        <v/>
      </c>
      <c r="M136" s="11">
        <f>AVERAGE(AG136:AL136)</f>
        <v/>
      </c>
      <c r="N136" s="12">
        <f>AVERAGE(AM136:AR136)</f>
        <v/>
      </c>
      <c r="O136" s="13">
        <f>IF(COUNT(U136:Z136)&gt;0,Q136/COUNT(U136:Z136),0.5)</f>
        <v/>
      </c>
      <c r="P136" s="13">
        <f>IF(COUNT(AA136:AF136)&gt;0,R136/COUNT(AA136:AF136),0.5)</f>
        <v/>
      </c>
      <c r="Q136" s="5">
        <f>SUM(U136:Z136)</f>
        <v/>
      </c>
      <c r="R136" s="5">
        <f>SUM(AA136:AF136)</f>
        <v/>
      </c>
      <c r="S136" s="14">
        <f>IF(ISNUMBER(K136),K136,IF(ISNUMBER(L136),-L136,""))</f>
        <v/>
      </c>
      <c r="T136">
        <f>IF(ISNUMBER(L136),L136,IF(ISNUMBER(K136),-K136,""))</f>
        <v/>
      </c>
      <c r="U136" s="14">
        <f>IF(ISNUMBER(S136),IF(ISNUMBER(S137),IF(S136&gt;S137,1.0,IF(S136=S137,0.5,0.0)),""),"")</f>
        <v/>
      </c>
      <c r="V136">
        <f>IF(ISNUMBER(S136),IF(ISNUMBER(S138),IF(S136&gt;S138,1.0,IF(S136=S138,0.5,0.0)),""),"")</f>
        <v/>
      </c>
      <c r="W136">
        <f>IF(ISNUMBER(S136),IF(ISNUMBER(S139),IF(S136&gt;S139,1.0,IF(S136=S139,0.5,0.0)),""),"")</f>
        <v/>
      </c>
      <c r="X136">
        <f>IF(ISNUMBER(S136),IF(ISNUMBER(S140),IF(S136&gt;S140,1.0,IF(S136=S140,0.5,0.0)),""),"")</f>
        <v/>
      </c>
      <c r="Y136">
        <f>IF(ISNUMBER(S136),IF(ISNUMBER(S141),IF(S136&gt;S141,1.0,IF(S136=S141,0.5,0.0)),""),"")</f>
        <v/>
      </c>
      <c r="Z136">
        <f>IF(ISNUMBER(S136),IF(ISNUMBER(S142),IF(S136&gt;S142,1.0,IF(S136=S142,0.5,0.0)),""),"")</f>
        <v/>
      </c>
      <c r="AA136">
        <f>IF(ISNUMBER(T136),IF(ISNUMBER(T137),IF(T136&gt;T137,1.0,IF(T136=T137,0.5,0.0)),""),"")</f>
        <v/>
      </c>
      <c r="AB136">
        <f>IF(ISNUMBER(T136),IF(ISNUMBER(T138),IF(T136&gt;T138,1.0,IF(T136=T138,0.5,0.0)),""),"")</f>
        <v/>
      </c>
      <c r="AC136">
        <f>IF(ISNUMBER(T136),IF(ISNUMBER(T139),IF(T136&gt;T139,1.0,IF(T136=T139,0.5,0.0)),""),"")</f>
        <v/>
      </c>
      <c r="AD136">
        <f>IF(ISNUMBER(T136),IF(ISNUMBER(T140),IF(T136&gt;T140,1.0,IF(T136=T140,0.5,0.0)),""),"")</f>
        <v/>
      </c>
      <c r="AE136">
        <f>IF(ISNUMBER(T136),IF(ISNUMBER(T141),IF(T136&gt;T141,1.0,IF(T136=T141,0.5,0.0)),""),"")</f>
        <v/>
      </c>
      <c r="AF136">
        <f>IF(ISNUMBER(T136),IF(ISNUMBER(T142),IF(T136&gt;T142,1.0,IF(T136=T142,0.5,0.0)),""),"")</f>
        <v/>
      </c>
      <c r="AG136" s="14">
        <f>IF(AND(ISNUMBER(S136),ISNUMBER(S137)),VLOOKUP(ABS(S136-S137),'IMP Table'!$A$2:$C$26,3)*SIGN(S136-S137),0)</f>
        <v/>
      </c>
      <c r="AH136">
        <f>IF(AND(ISNUMBER(S136),ISNUMBER(S138)),VLOOKUP(ABS(S136-S138),'IMP Table'!$A$2:$C$26,3)*SIGN(S136-S138),0)</f>
        <v/>
      </c>
      <c r="AI136">
        <f>IF(AND(ISNUMBER(S136),ISNUMBER(S139)),VLOOKUP(ABS(S136-S139),'IMP Table'!$A$2:$C$26,3)*SIGN(S136-S139),0)</f>
        <v/>
      </c>
      <c r="AJ136">
        <f>IF(AND(ISNUMBER(S136),ISNUMBER(S140)),VLOOKUP(ABS(S136-S140),'IMP Table'!$A$2:$C$26,3)*SIGN(S136-S140),0)</f>
        <v/>
      </c>
      <c r="AK136">
        <f>IF(AND(ISNUMBER(S136),ISNUMBER(S141)),VLOOKUP(ABS(S136-S141),'IMP Table'!$A$2:$C$26,3)*SIGN(S136-S141),0)</f>
        <v/>
      </c>
      <c r="AL136">
        <f>IF(AND(ISNUMBER(S136),ISNUMBER(S142)),VLOOKUP(ABS(S136-S142),'IMP Table'!$A$2:$C$26,3)*SIGN(S136-S142),0)</f>
        <v/>
      </c>
      <c r="AM136">
        <f>IF(AND(ISNUMBER(T136),ISNUMBER(T137)),VLOOKUP(ABS(T136-T137),'IMP Table'!$A$2:$C$26,3)*SIGN(T136-T137),0)</f>
        <v/>
      </c>
      <c r="AN136">
        <f>IF(AND(ISNUMBER(T136),ISNUMBER(T138)),VLOOKUP(ABS(T136-T138),'IMP Table'!$A$2:$C$26,3)*SIGN(T136-T138),0)</f>
        <v/>
      </c>
      <c r="AO136">
        <f>IF(AND(ISNUMBER(T136),ISNUMBER(T139)),VLOOKUP(ABS(T136-T139),'IMP Table'!$A$2:$C$26,3)*SIGN(T136-T139),0)</f>
        <v/>
      </c>
      <c r="AP136">
        <f>IF(AND(ISNUMBER(T136),ISNUMBER(T140)),VLOOKUP(ABS(T136-T140),'IMP Table'!$A$2:$C$26,3)*SIGN(T136-T140),0)</f>
        <v/>
      </c>
      <c r="AQ136">
        <f>IF(AND(ISNUMBER(T136),ISNUMBER(T141)),VLOOKUP(ABS(T136-T141),'IMP Table'!$A$2:$C$26,3)*SIGN(T136-T141),0)</f>
        <v/>
      </c>
      <c r="AR136">
        <f>IF(AND(ISNUMBER(T136),ISNUMBER(T142)),VLOOKUP(ABS(T136-T142),'IMP Table'!$A$2:$C$26,3)*SIGN(T136-T142),0)</f>
        <v/>
      </c>
    </row>
    <row r="137">
      <c r="B137" s="10">
        <f>'By Round'!A157</f>
        <v/>
      </c>
      <c r="C137" s="10">
        <f>'By Round'!B169</f>
        <v/>
      </c>
      <c r="D137" s="10">
        <f>'By Round'!C169</f>
        <v/>
      </c>
      <c r="E137" s="10">
        <f>'By Round'!D169</f>
        <v/>
      </c>
      <c r="F137" s="10">
        <f>IF(ISBLANK('By Round'!F170),"",'By Round'!F170)</f>
        <v/>
      </c>
      <c r="G137">
        <f>IF(ISBLANK('By Round'!G170),"",'By Round'!G170)</f>
        <v/>
      </c>
      <c r="H137">
        <f>IF(ISBLANK('By Round'!H170),"",'By Round'!H170)</f>
        <v/>
      </c>
      <c r="I137">
        <f>IF(ISBLANK('By Round'!I170),"",'By Round'!I170)</f>
        <v/>
      </c>
      <c r="J137">
        <f>IF(ISBLANK('By Round'!J170),"",'By Round'!J170)</f>
        <v/>
      </c>
      <c r="K137">
        <f>IF(ISBLANK('By Round'!K170),"",'By Round'!K170)</f>
        <v/>
      </c>
      <c r="L137">
        <f>IF(ISBLANK('By Round'!L170),"",'By Round'!L170)</f>
        <v/>
      </c>
      <c r="M137" s="11">
        <f>AVERAGE(AG137:AL137)</f>
        <v/>
      </c>
      <c r="N137" s="12">
        <f>AVERAGE(AM137:AR137)</f>
        <v/>
      </c>
      <c r="O137" s="13">
        <f>IF(COUNT(U137:Z137)&gt;0,Q137/COUNT(U137:Z137),0.5)</f>
        <v/>
      </c>
      <c r="P137" s="13">
        <f>IF(COUNT(AA137:AF137)&gt;0,R137/COUNT(AA137:AF137),0.5)</f>
        <v/>
      </c>
      <c r="Q137" s="5">
        <f>SUM(U137:Z137)</f>
        <v/>
      </c>
      <c r="R137" s="5">
        <f>SUM(AA137:AF137)</f>
        <v/>
      </c>
      <c r="S137" s="14">
        <f>IF(ISNUMBER(K137),K137,IF(ISNUMBER(L137),-L137,""))</f>
        <v/>
      </c>
      <c r="T137">
        <f>IF(ISNUMBER(L137),L137,IF(ISNUMBER(K137),-K137,""))</f>
        <v/>
      </c>
      <c r="U137" s="14">
        <f>IF(ISNUMBER(S137),IF(ISNUMBER(S136),IF(S137&gt;S136,1.0,IF(S137=S136,0.5,0.0)),""),"")</f>
        <v/>
      </c>
      <c r="V137">
        <f>IF(ISNUMBER(S137),IF(ISNUMBER(S138),IF(S137&gt;S138,1.0,IF(S137=S138,0.5,0.0)),""),"")</f>
        <v/>
      </c>
      <c r="W137">
        <f>IF(ISNUMBER(S137),IF(ISNUMBER(S139),IF(S137&gt;S139,1.0,IF(S137=S139,0.5,0.0)),""),"")</f>
        <v/>
      </c>
      <c r="X137">
        <f>IF(ISNUMBER(S137),IF(ISNUMBER(S140),IF(S137&gt;S140,1.0,IF(S137=S140,0.5,0.0)),""),"")</f>
        <v/>
      </c>
      <c r="Y137">
        <f>IF(ISNUMBER(S137),IF(ISNUMBER(S141),IF(S137&gt;S141,1.0,IF(S137=S141,0.5,0.0)),""),"")</f>
        <v/>
      </c>
      <c r="Z137">
        <f>IF(ISNUMBER(S137),IF(ISNUMBER(S142),IF(S137&gt;S142,1.0,IF(S137=S142,0.5,0.0)),""),"")</f>
        <v/>
      </c>
      <c r="AA137">
        <f>IF(ISNUMBER(T137),IF(ISNUMBER(T136),IF(T137&gt;T136,1.0,IF(T137=T136,0.5,0.0)),""),"")</f>
        <v/>
      </c>
      <c r="AB137">
        <f>IF(ISNUMBER(T137),IF(ISNUMBER(T138),IF(T137&gt;T138,1.0,IF(T137=T138,0.5,0.0)),""),"")</f>
        <v/>
      </c>
      <c r="AC137">
        <f>IF(ISNUMBER(T137),IF(ISNUMBER(T139),IF(T137&gt;T139,1.0,IF(T137=T139,0.5,0.0)),""),"")</f>
        <v/>
      </c>
      <c r="AD137">
        <f>IF(ISNUMBER(T137),IF(ISNUMBER(T140),IF(T137&gt;T140,1.0,IF(T137=T140,0.5,0.0)),""),"")</f>
        <v/>
      </c>
      <c r="AE137">
        <f>IF(ISNUMBER(T137),IF(ISNUMBER(T141),IF(T137&gt;T141,1.0,IF(T137=T141,0.5,0.0)),""),"")</f>
        <v/>
      </c>
      <c r="AF137">
        <f>IF(ISNUMBER(T137),IF(ISNUMBER(T142),IF(T137&gt;T142,1.0,IF(T137=T142,0.5,0.0)),""),"")</f>
        <v/>
      </c>
      <c r="AG137" s="14">
        <f>IF(AND(ISNUMBER(S137),ISNUMBER(S136)),VLOOKUP(ABS(S137-S136),'IMP Table'!$A$2:$C$26,3)*SIGN(S137-S136),0)</f>
        <v/>
      </c>
      <c r="AH137">
        <f>IF(AND(ISNUMBER(S137),ISNUMBER(S138)),VLOOKUP(ABS(S137-S138),'IMP Table'!$A$2:$C$26,3)*SIGN(S137-S138),0)</f>
        <v/>
      </c>
      <c r="AI137">
        <f>IF(AND(ISNUMBER(S137),ISNUMBER(S139)),VLOOKUP(ABS(S137-S139),'IMP Table'!$A$2:$C$26,3)*SIGN(S137-S139),0)</f>
        <v/>
      </c>
      <c r="AJ137">
        <f>IF(AND(ISNUMBER(S137),ISNUMBER(S140)),VLOOKUP(ABS(S137-S140),'IMP Table'!$A$2:$C$26,3)*SIGN(S137-S140),0)</f>
        <v/>
      </c>
      <c r="AK137">
        <f>IF(AND(ISNUMBER(S137),ISNUMBER(S141)),VLOOKUP(ABS(S137-S141),'IMP Table'!$A$2:$C$26,3)*SIGN(S137-S141),0)</f>
        <v/>
      </c>
      <c r="AL137">
        <f>IF(AND(ISNUMBER(S137),ISNUMBER(S142)),VLOOKUP(ABS(S137-S142),'IMP Table'!$A$2:$C$26,3)*SIGN(S137-S142),0)</f>
        <v/>
      </c>
      <c r="AM137">
        <f>IF(AND(ISNUMBER(T137),ISNUMBER(T136)),VLOOKUP(ABS(T137-T136),'IMP Table'!$A$2:$C$26,3)*SIGN(T137-T136),0)</f>
        <v/>
      </c>
      <c r="AN137">
        <f>IF(AND(ISNUMBER(T137),ISNUMBER(T138)),VLOOKUP(ABS(T137-T138),'IMP Table'!$A$2:$C$26,3)*SIGN(T137-T138),0)</f>
        <v/>
      </c>
      <c r="AO137">
        <f>IF(AND(ISNUMBER(T137),ISNUMBER(T139)),VLOOKUP(ABS(T137-T139),'IMP Table'!$A$2:$C$26,3)*SIGN(T137-T139),0)</f>
        <v/>
      </c>
      <c r="AP137">
        <f>IF(AND(ISNUMBER(T137),ISNUMBER(T140)),VLOOKUP(ABS(T137-T140),'IMP Table'!$A$2:$C$26,3)*SIGN(T137-T140),0)</f>
        <v/>
      </c>
      <c r="AQ137">
        <f>IF(AND(ISNUMBER(T137),ISNUMBER(T141)),VLOOKUP(ABS(T137-T141),'IMP Table'!$A$2:$C$26,3)*SIGN(T137-T141),0)</f>
        <v/>
      </c>
      <c r="AR137">
        <f>IF(AND(ISNUMBER(T137),ISNUMBER(T142)),VLOOKUP(ABS(T137-T142),'IMP Table'!$A$2:$C$26,3)*SIGN(T137-T142),0)</f>
        <v/>
      </c>
    </row>
    <row r="138">
      <c r="B138" s="10">
        <f>'By Round'!A3</f>
        <v/>
      </c>
      <c r="C138" s="10">
        <f>'By Round'!B11</f>
        <v/>
      </c>
      <c r="D138" s="10">
        <f>'By Round'!C11</f>
        <v/>
      </c>
      <c r="E138" s="10">
        <f>'By Round'!D11</f>
        <v/>
      </c>
      <c r="F138" s="10">
        <f>IF(ISBLANK('By Round'!F12),"",'By Round'!F12)</f>
        <v/>
      </c>
      <c r="G138">
        <f>IF(ISBLANK('By Round'!G12),"",'By Round'!G12)</f>
        <v/>
      </c>
      <c r="H138">
        <f>IF(ISBLANK('By Round'!H12),"",'By Round'!H12)</f>
        <v/>
      </c>
      <c r="I138">
        <f>IF(ISBLANK('By Round'!I12),"",'By Round'!I12)</f>
        <v/>
      </c>
      <c r="J138">
        <f>IF(ISBLANK('By Round'!J12),"",'By Round'!J12)</f>
        <v/>
      </c>
      <c r="K138">
        <f>IF(ISBLANK('By Round'!K12),"",'By Round'!K12)</f>
        <v/>
      </c>
      <c r="L138">
        <f>IF(ISBLANK('By Round'!L12),"",'By Round'!L12)</f>
        <v/>
      </c>
      <c r="M138" s="11">
        <f>AVERAGE(AG138:AL138)</f>
        <v/>
      </c>
      <c r="N138" s="12">
        <f>AVERAGE(AM138:AR138)</f>
        <v/>
      </c>
      <c r="O138" s="13">
        <f>IF(COUNT(U138:Z138)&gt;0,Q138/COUNT(U138:Z138),0.5)</f>
        <v/>
      </c>
      <c r="P138" s="13">
        <f>IF(COUNT(AA138:AF138)&gt;0,R138/COUNT(AA138:AF138),0.5)</f>
        <v/>
      </c>
      <c r="Q138" s="5">
        <f>SUM(U138:Z138)</f>
        <v/>
      </c>
      <c r="R138" s="5">
        <f>SUM(AA138:AF138)</f>
        <v/>
      </c>
      <c r="S138" s="14">
        <f>IF(ISNUMBER(K138),K138,IF(ISNUMBER(L138),-L138,""))</f>
        <v/>
      </c>
      <c r="T138">
        <f>IF(ISNUMBER(L138),L138,IF(ISNUMBER(K138),-K138,""))</f>
        <v/>
      </c>
      <c r="U138" s="14">
        <f>IF(ISNUMBER(S138),IF(ISNUMBER(S136),IF(S138&gt;S136,1.0,IF(S138=S136,0.5,0.0)),""),"")</f>
        <v/>
      </c>
      <c r="V138">
        <f>IF(ISNUMBER(S138),IF(ISNUMBER(S137),IF(S138&gt;S137,1.0,IF(S138=S137,0.5,0.0)),""),"")</f>
        <v/>
      </c>
      <c r="W138">
        <f>IF(ISNUMBER(S138),IF(ISNUMBER(S139),IF(S138&gt;S139,1.0,IF(S138=S139,0.5,0.0)),""),"")</f>
        <v/>
      </c>
      <c r="X138">
        <f>IF(ISNUMBER(S138),IF(ISNUMBER(S140),IF(S138&gt;S140,1.0,IF(S138=S140,0.5,0.0)),""),"")</f>
        <v/>
      </c>
      <c r="Y138">
        <f>IF(ISNUMBER(S138),IF(ISNUMBER(S141),IF(S138&gt;S141,1.0,IF(S138=S141,0.5,0.0)),""),"")</f>
        <v/>
      </c>
      <c r="Z138">
        <f>IF(ISNUMBER(S138),IF(ISNUMBER(S142),IF(S138&gt;S142,1.0,IF(S138=S142,0.5,0.0)),""),"")</f>
        <v/>
      </c>
      <c r="AA138">
        <f>IF(ISNUMBER(T138),IF(ISNUMBER(T136),IF(T138&gt;T136,1.0,IF(T138=T136,0.5,0.0)),""),"")</f>
        <v/>
      </c>
      <c r="AB138">
        <f>IF(ISNUMBER(T138),IF(ISNUMBER(T137),IF(T138&gt;T137,1.0,IF(T138=T137,0.5,0.0)),""),"")</f>
        <v/>
      </c>
      <c r="AC138">
        <f>IF(ISNUMBER(T138),IF(ISNUMBER(T139),IF(T138&gt;T139,1.0,IF(T138=T139,0.5,0.0)),""),"")</f>
        <v/>
      </c>
      <c r="AD138">
        <f>IF(ISNUMBER(T138),IF(ISNUMBER(T140),IF(T138&gt;T140,1.0,IF(T138=T140,0.5,0.0)),""),"")</f>
        <v/>
      </c>
      <c r="AE138">
        <f>IF(ISNUMBER(T138),IF(ISNUMBER(T141),IF(T138&gt;T141,1.0,IF(T138=T141,0.5,0.0)),""),"")</f>
        <v/>
      </c>
      <c r="AF138">
        <f>IF(ISNUMBER(T138),IF(ISNUMBER(T142),IF(T138&gt;T142,1.0,IF(T138=T142,0.5,0.0)),""),"")</f>
        <v/>
      </c>
      <c r="AG138" s="14">
        <f>IF(AND(ISNUMBER(S138),ISNUMBER(S136)),VLOOKUP(ABS(S138-S136),'IMP Table'!$A$2:$C$26,3)*SIGN(S138-S136),0)</f>
        <v/>
      </c>
      <c r="AH138">
        <f>IF(AND(ISNUMBER(S138),ISNUMBER(S137)),VLOOKUP(ABS(S138-S137),'IMP Table'!$A$2:$C$26,3)*SIGN(S138-S137),0)</f>
        <v/>
      </c>
      <c r="AI138">
        <f>IF(AND(ISNUMBER(S138),ISNUMBER(S139)),VLOOKUP(ABS(S138-S139),'IMP Table'!$A$2:$C$26,3)*SIGN(S138-S139),0)</f>
        <v/>
      </c>
      <c r="AJ138">
        <f>IF(AND(ISNUMBER(S138),ISNUMBER(S140)),VLOOKUP(ABS(S138-S140),'IMP Table'!$A$2:$C$26,3)*SIGN(S138-S140),0)</f>
        <v/>
      </c>
      <c r="AK138">
        <f>IF(AND(ISNUMBER(S138),ISNUMBER(S141)),VLOOKUP(ABS(S138-S141),'IMP Table'!$A$2:$C$26,3)*SIGN(S138-S141),0)</f>
        <v/>
      </c>
      <c r="AL138">
        <f>IF(AND(ISNUMBER(S138),ISNUMBER(S142)),VLOOKUP(ABS(S138-S142),'IMP Table'!$A$2:$C$26,3)*SIGN(S138-S142),0)</f>
        <v/>
      </c>
      <c r="AM138">
        <f>IF(AND(ISNUMBER(T138),ISNUMBER(T136)),VLOOKUP(ABS(T138-T136),'IMP Table'!$A$2:$C$26,3)*SIGN(T138-T136),0)</f>
        <v/>
      </c>
      <c r="AN138">
        <f>IF(AND(ISNUMBER(T138),ISNUMBER(T137)),VLOOKUP(ABS(T138-T137),'IMP Table'!$A$2:$C$26,3)*SIGN(T138-T137),0)</f>
        <v/>
      </c>
      <c r="AO138">
        <f>IF(AND(ISNUMBER(T138),ISNUMBER(T139)),VLOOKUP(ABS(T138-T139),'IMP Table'!$A$2:$C$26,3)*SIGN(T138-T139),0)</f>
        <v/>
      </c>
      <c r="AP138">
        <f>IF(AND(ISNUMBER(T138),ISNUMBER(T140)),VLOOKUP(ABS(T138-T140),'IMP Table'!$A$2:$C$26,3)*SIGN(T138-T140),0)</f>
        <v/>
      </c>
      <c r="AQ138">
        <f>IF(AND(ISNUMBER(T138),ISNUMBER(T141)),VLOOKUP(ABS(T138-T141),'IMP Table'!$A$2:$C$26,3)*SIGN(T138-T141),0)</f>
        <v/>
      </c>
      <c r="AR138">
        <f>IF(AND(ISNUMBER(T138),ISNUMBER(T142)),VLOOKUP(ABS(T138-T142),'IMP Table'!$A$2:$C$26,3)*SIGN(T138-T142),0)</f>
        <v/>
      </c>
    </row>
    <row r="139">
      <c r="B139" s="10">
        <f>'By Round'!A171</f>
        <v/>
      </c>
      <c r="C139" s="10">
        <f>'By Round'!B181</f>
        <v/>
      </c>
      <c r="D139" s="10">
        <f>'By Round'!C181</f>
        <v/>
      </c>
      <c r="E139" s="10">
        <f>'By Round'!D181</f>
        <v/>
      </c>
      <c r="F139" s="10">
        <f>IF(ISBLANK('By Round'!F182),"",'By Round'!F182)</f>
        <v/>
      </c>
      <c r="G139">
        <f>IF(ISBLANK('By Round'!G182),"",'By Round'!G182)</f>
        <v/>
      </c>
      <c r="H139">
        <f>IF(ISBLANK('By Round'!H182),"",'By Round'!H182)</f>
        <v/>
      </c>
      <c r="I139">
        <f>IF(ISBLANK('By Round'!I182),"",'By Round'!I182)</f>
        <v/>
      </c>
      <c r="J139">
        <f>IF(ISBLANK('By Round'!J182),"",'By Round'!J182)</f>
        <v/>
      </c>
      <c r="K139">
        <f>IF(ISBLANK('By Round'!K182),"",'By Round'!K182)</f>
        <v/>
      </c>
      <c r="L139">
        <f>IF(ISBLANK('By Round'!L182),"",'By Round'!L182)</f>
        <v/>
      </c>
      <c r="M139" s="11">
        <f>AVERAGE(AG139:AL139)</f>
        <v/>
      </c>
      <c r="N139" s="12">
        <f>AVERAGE(AM139:AR139)</f>
        <v/>
      </c>
      <c r="O139" s="13">
        <f>IF(COUNT(U139:Z139)&gt;0,Q139/COUNT(U139:Z139),0.5)</f>
        <v/>
      </c>
      <c r="P139" s="13">
        <f>IF(COUNT(AA139:AF139)&gt;0,R139/COUNT(AA139:AF139),0.5)</f>
        <v/>
      </c>
      <c r="Q139" s="5">
        <f>SUM(U139:Z139)</f>
        <v/>
      </c>
      <c r="R139" s="5">
        <f>SUM(AA139:AF139)</f>
        <v/>
      </c>
      <c r="S139" s="14">
        <f>IF(ISNUMBER(K139),K139,IF(ISNUMBER(L139),-L139,""))</f>
        <v/>
      </c>
      <c r="T139">
        <f>IF(ISNUMBER(L139),L139,IF(ISNUMBER(K139),-K139,""))</f>
        <v/>
      </c>
      <c r="U139" s="14">
        <f>IF(ISNUMBER(S139),IF(ISNUMBER(S136),IF(S139&gt;S136,1.0,IF(S139=S136,0.5,0.0)),""),"")</f>
        <v/>
      </c>
      <c r="V139">
        <f>IF(ISNUMBER(S139),IF(ISNUMBER(S137),IF(S139&gt;S137,1.0,IF(S139=S137,0.5,0.0)),""),"")</f>
        <v/>
      </c>
      <c r="W139">
        <f>IF(ISNUMBER(S139),IF(ISNUMBER(S138),IF(S139&gt;S138,1.0,IF(S139=S138,0.5,0.0)),""),"")</f>
        <v/>
      </c>
      <c r="X139">
        <f>IF(ISNUMBER(S139),IF(ISNUMBER(S140),IF(S139&gt;S140,1.0,IF(S139=S140,0.5,0.0)),""),"")</f>
        <v/>
      </c>
      <c r="Y139">
        <f>IF(ISNUMBER(S139),IF(ISNUMBER(S141),IF(S139&gt;S141,1.0,IF(S139=S141,0.5,0.0)),""),"")</f>
        <v/>
      </c>
      <c r="Z139">
        <f>IF(ISNUMBER(S139),IF(ISNUMBER(S142),IF(S139&gt;S142,1.0,IF(S139=S142,0.5,0.0)),""),"")</f>
        <v/>
      </c>
      <c r="AA139">
        <f>IF(ISNUMBER(T139),IF(ISNUMBER(T136),IF(T139&gt;T136,1.0,IF(T139=T136,0.5,0.0)),""),"")</f>
        <v/>
      </c>
      <c r="AB139">
        <f>IF(ISNUMBER(T139),IF(ISNUMBER(T137),IF(T139&gt;T137,1.0,IF(T139=T137,0.5,0.0)),""),"")</f>
        <v/>
      </c>
      <c r="AC139">
        <f>IF(ISNUMBER(T139),IF(ISNUMBER(T138),IF(T139&gt;T138,1.0,IF(T139=T138,0.5,0.0)),""),"")</f>
        <v/>
      </c>
      <c r="AD139">
        <f>IF(ISNUMBER(T139),IF(ISNUMBER(T140),IF(T139&gt;T140,1.0,IF(T139=T140,0.5,0.0)),""),"")</f>
        <v/>
      </c>
      <c r="AE139">
        <f>IF(ISNUMBER(T139),IF(ISNUMBER(T141),IF(T139&gt;T141,1.0,IF(T139=T141,0.5,0.0)),""),"")</f>
        <v/>
      </c>
      <c r="AF139">
        <f>IF(ISNUMBER(T139),IF(ISNUMBER(T142),IF(T139&gt;T142,1.0,IF(T139=T142,0.5,0.0)),""),"")</f>
        <v/>
      </c>
      <c r="AG139" s="14">
        <f>IF(AND(ISNUMBER(S139),ISNUMBER(S136)),VLOOKUP(ABS(S139-S136),'IMP Table'!$A$2:$C$26,3)*SIGN(S139-S136),0)</f>
        <v/>
      </c>
      <c r="AH139">
        <f>IF(AND(ISNUMBER(S139),ISNUMBER(S137)),VLOOKUP(ABS(S139-S137),'IMP Table'!$A$2:$C$26,3)*SIGN(S139-S137),0)</f>
        <v/>
      </c>
      <c r="AI139">
        <f>IF(AND(ISNUMBER(S139),ISNUMBER(S138)),VLOOKUP(ABS(S139-S138),'IMP Table'!$A$2:$C$26,3)*SIGN(S139-S138),0)</f>
        <v/>
      </c>
      <c r="AJ139">
        <f>IF(AND(ISNUMBER(S139),ISNUMBER(S140)),VLOOKUP(ABS(S139-S140),'IMP Table'!$A$2:$C$26,3)*SIGN(S139-S140),0)</f>
        <v/>
      </c>
      <c r="AK139">
        <f>IF(AND(ISNUMBER(S139),ISNUMBER(S141)),VLOOKUP(ABS(S139-S141),'IMP Table'!$A$2:$C$26,3)*SIGN(S139-S141),0)</f>
        <v/>
      </c>
      <c r="AL139">
        <f>IF(AND(ISNUMBER(S139),ISNUMBER(S142)),VLOOKUP(ABS(S139-S142),'IMP Table'!$A$2:$C$26,3)*SIGN(S139-S142),0)</f>
        <v/>
      </c>
      <c r="AM139">
        <f>IF(AND(ISNUMBER(T139),ISNUMBER(T136)),VLOOKUP(ABS(T139-T136),'IMP Table'!$A$2:$C$26,3)*SIGN(T139-T136),0)</f>
        <v/>
      </c>
      <c r="AN139">
        <f>IF(AND(ISNUMBER(T139),ISNUMBER(T137)),VLOOKUP(ABS(T139-T137),'IMP Table'!$A$2:$C$26,3)*SIGN(T139-T137),0)</f>
        <v/>
      </c>
      <c r="AO139">
        <f>IF(AND(ISNUMBER(T139),ISNUMBER(T138)),VLOOKUP(ABS(T139-T138),'IMP Table'!$A$2:$C$26,3)*SIGN(T139-T138),0)</f>
        <v/>
      </c>
      <c r="AP139">
        <f>IF(AND(ISNUMBER(T139),ISNUMBER(T140)),VLOOKUP(ABS(T139-T140),'IMP Table'!$A$2:$C$26,3)*SIGN(T139-T140),0)</f>
        <v/>
      </c>
      <c r="AQ139">
        <f>IF(AND(ISNUMBER(T139),ISNUMBER(T141)),VLOOKUP(ABS(T139-T141),'IMP Table'!$A$2:$C$26,3)*SIGN(T139-T141),0)</f>
        <v/>
      </c>
      <c r="AR139">
        <f>IF(AND(ISNUMBER(T139),ISNUMBER(T142)),VLOOKUP(ABS(T139-T142),'IMP Table'!$A$2:$C$26,3)*SIGN(T139-T142),0)</f>
        <v/>
      </c>
    </row>
    <row r="140">
      <c r="B140" s="10">
        <f>'By Round'!A87</f>
        <v/>
      </c>
      <c r="C140" s="10">
        <f>'By Round'!B91</f>
        <v/>
      </c>
      <c r="D140" s="10">
        <f>'By Round'!C91</f>
        <v/>
      </c>
      <c r="E140" s="10">
        <f>'By Round'!D91</f>
        <v/>
      </c>
      <c r="F140" s="10">
        <f>IF(ISBLANK('By Round'!F92),"",'By Round'!F92)</f>
        <v/>
      </c>
      <c r="G140">
        <f>IF(ISBLANK('By Round'!G92),"",'By Round'!G92)</f>
        <v/>
      </c>
      <c r="H140">
        <f>IF(ISBLANK('By Round'!H92),"",'By Round'!H92)</f>
        <v/>
      </c>
      <c r="I140">
        <f>IF(ISBLANK('By Round'!I92),"",'By Round'!I92)</f>
        <v/>
      </c>
      <c r="J140">
        <f>IF(ISBLANK('By Round'!J92),"",'By Round'!J92)</f>
        <v/>
      </c>
      <c r="K140">
        <f>IF(ISBLANK('By Round'!K92),"",'By Round'!K92)</f>
        <v/>
      </c>
      <c r="L140">
        <f>IF(ISBLANK('By Round'!L92),"",'By Round'!L92)</f>
        <v/>
      </c>
      <c r="M140" s="11">
        <f>AVERAGE(AG140:AL140)</f>
        <v/>
      </c>
      <c r="N140" s="12">
        <f>AVERAGE(AM140:AR140)</f>
        <v/>
      </c>
      <c r="O140" s="13">
        <f>IF(COUNT(U140:Z140)&gt;0,Q140/COUNT(U140:Z140),0.5)</f>
        <v/>
      </c>
      <c r="P140" s="13">
        <f>IF(COUNT(AA140:AF140)&gt;0,R140/COUNT(AA140:AF140),0.5)</f>
        <v/>
      </c>
      <c r="Q140" s="5">
        <f>SUM(U140:Z140)</f>
        <v/>
      </c>
      <c r="R140" s="5">
        <f>SUM(AA140:AF140)</f>
        <v/>
      </c>
      <c r="S140" s="14">
        <f>IF(ISNUMBER(K140),K140,IF(ISNUMBER(L140),-L140,""))</f>
        <v/>
      </c>
      <c r="T140">
        <f>IF(ISNUMBER(L140),L140,IF(ISNUMBER(K140),-K140,""))</f>
        <v/>
      </c>
      <c r="U140" s="14">
        <f>IF(ISNUMBER(S140),IF(ISNUMBER(S136),IF(S140&gt;S136,1.0,IF(S140=S136,0.5,0.0)),""),"")</f>
        <v/>
      </c>
      <c r="V140">
        <f>IF(ISNUMBER(S140),IF(ISNUMBER(S137),IF(S140&gt;S137,1.0,IF(S140=S137,0.5,0.0)),""),"")</f>
        <v/>
      </c>
      <c r="W140">
        <f>IF(ISNUMBER(S140),IF(ISNUMBER(S138),IF(S140&gt;S138,1.0,IF(S140=S138,0.5,0.0)),""),"")</f>
        <v/>
      </c>
      <c r="X140">
        <f>IF(ISNUMBER(S140),IF(ISNUMBER(S139),IF(S140&gt;S139,1.0,IF(S140=S139,0.5,0.0)),""),"")</f>
        <v/>
      </c>
      <c r="Y140">
        <f>IF(ISNUMBER(S140),IF(ISNUMBER(S141),IF(S140&gt;S141,1.0,IF(S140=S141,0.5,0.0)),""),"")</f>
        <v/>
      </c>
      <c r="Z140">
        <f>IF(ISNUMBER(S140),IF(ISNUMBER(S142),IF(S140&gt;S142,1.0,IF(S140=S142,0.5,0.0)),""),"")</f>
        <v/>
      </c>
      <c r="AA140">
        <f>IF(ISNUMBER(T140),IF(ISNUMBER(T136),IF(T140&gt;T136,1.0,IF(T140=T136,0.5,0.0)),""),"")</f>
        <v/>
      </c>
      <c r="AB140">
        <f>IF(ISNUMBER(T140),IF(ISNUMBER(T137),IF(T140&gt;T137,1.0,IF(T140=T137,0.5,0.0)),""),"")</f>
        <v/>
      </c>
      <c r="AC140">
        <f>IF(ISNUMBER(T140),IF(ISNUMBER(T138),IF(T140&gt;T138,1.0,IF(T140=T138,0.5,0.0)),""),"")</f>
        <v/>
      </c>
      <c r="AD140">
        <f>IF(ISNUMBER(T140),IF(ISNUMBER(T139),IF(T140&gt;T139,1.0,IF(T140=T139,0.5,0.0)),""),"")</f>
        <v/>
      </c>
      <c r="AE140">
        <f>IF(ISNUMBER(T140),IF(ISNUMBER(T141),IF(T140&gt;T141,1.0,IF(T140=T141,0.5,0.0)),""),"")</f>
        <v/>
      </c>
      <c r="AF140">
        <f>IF(ISNUMBER(T140),IF(ISNUMBER(T142),IF(T140&gt;T142,1.0,IF(T140=T142,0.5,0.0)),""),"")</f>
        <v/>
      </c>
      <c r="AG140" s="14">
        <f>IF(AND(ISNUMBER(S140),ISNUMBER(S136)),VLOOKUP(ABS(S140-S136),'IMP Table'!$A$2:$C$26,3)*SIGN(S140-S136),0)</f>
        <v/>
      </c>
      <c r="AH140">
        <f>IF(AND(ISNUMBER(S140),ISNUMBER(S137)),VLOOKUP(ABS(S140-S137),'IMP Table'!$A$2:$C$26,3)*SIGN(S140-S137),0)</f>
        <v/>
      </c>
      <c r="AI140">
        <f>IF(AND(ISNUMBER(S140),ISNUMBER(S138)),VLOOKUP(ABS(S140-S138),'IMP Table'!$A$2:$C$26,3)*SIGN(S140-S138),0)</f>
        <v/>
      </c>
      <c r="AJ140">
        <f>IF(AND(ISNUMBER(S140),ISNUMBER(S139)),VLOOKUP(ABS(S140-S139),'IMP Table'!$A$2:$C$26,3)*SIGN(S140-S139),0)</f>
        <v/>
      </c>
      <c r="AK140">
        <f>IF(AND(ISNUMBER(S140),ISNUMBER(S141)),VLOOKUP(ABS(S140-S141),'IMP Table'!$A$2:$C$26,3)*SIGN(S140-S141),0)</f>
        <v/>
      </c>
      <c r="AL140">
        <f>IF(AND(ISNUMBER(S140),ISNUMBER(S142)),VLOOKUP(ABS(S140-S142),'IMP Table'!$A$2:$C$26,3)*SIGN(S140-S142),0)</f>
        <v/>
      </c>
      <c r="AM140">
        <f>IF(AND(ISNUMBER(T140),ISNUMBER(T136)),VLOOKUP(ABS(T140-T136),'IMP Table'!$A$2:$C$26,3)*SIGN(T140-T136),0)</f>
        <v/>
      </c>
      <c r="AN140">
        <f>IF(AND(ISNUMBER(T140),ISNUMBER(T137)),VLOOKUP(ABS(T140-T137),'IMP Table'!$A$2:$C$26,3)*SIGN(T140-T137),0)</f>
        <v/>
      </c>
      <c r="AO140">
        <f>IF(AND(ISNUMBER(T140),ISNUMBER(T138)),VLOOKUP(ABS(T140-T138),'IMP Table'!$A$2:$C$26,3)*SIGN(T140-T138),0)</f>
        <v/>
      </c>
      <c r="AP140">
        <f>IF(AND(ISNUMBER(T140),ISNUMBER(T139)),VLOOKUP(ABS(T140-T139),'IMP Table'!$A$2:$C$26,3)*SIGN(T140-T139),0)</f>
        <v/>
      </c>
      <c r="AQ140">
        <f>IF(AND(ISNUMBER(T140),ISNUMBER(T141)),VLOOKUP(ABS(T140-T141),'IMP Table'!$A$2:$C$26,3)*SIGN(T140-T141),0)</f>
        <v/>
      </c>
      <c r="AR140">
        <f>IF(AND(ISNUMBER(T140),ISNUMBER(T142)),VLOOKUP(ABS(T140-T142),'IMP Table'!$A$2:$C$26,3)*SIGN(T140-T142),0)</f>
        <v/>
      </c>
    </row>
    <row r="141">
      <c r="B141" s="10">
        <f>'By Round'!A101</f>
        <v/>
      </c>
      <c r="C141" s="10">
        <f>'By Round'!B103</f>
        <v/>
      </c>
      <c r="D141" s="10">
        <f>'By Round'!C103</f>
        <v/>
      </c>
      <c r="E141" s="10">
        <f>'By Round'!D103</f>
        <v/>
      </c>
      <c r="F141" s="10">
        <f>IF(ISBLANK('By Round'!F104),"",'By Round'!F104)</f>
        <v/>
      </c>
      <c r="G141">
        <f>IF(ISBLANK('By Round'!G104),"",'By Round'!G104)</f>
        <v/>
      </c>
      <c r="H141">
        <f>IF(ISBLANK('By Round'!H104),"",'By Round'!H104)</f>
        <v/>
      </c>
      <c r="I141">
        <f>IF(ISBLANK('By Round'!I104),"",'By Round'!I104)</f>
        <v/>
      </c>
      <c r="J141">
        <f>IF(ISBLANK('By Round'!J104),"",'By Round'!J104)</f>
        <v/>
      </c>
      <c r="K141">
        <f>IF(ISBLANK('By Round'!K104),"",'By Round'!K104)</f>
        <v/>
      </c>
      <c r="L141">
        <f>IF(ISBLANK('By Round'!L104),"",'By Round'!L104)</f>
        <v/>
      </c>
      <c r="M141" s="11">
        <f>AVERAGE(AG141:AL141)</f>
        <v/>
      </c>
      <c r="N141" s="12">
        <f>AVERAGE(AM141:AR141)</f>
        <v/>
      </c>
      <c r="O141" s="13">
        <f>IF(COUNT(U141:Z141)&gt;0,Q141/COUNT(U141:Z141),0.5)</f>
        <v/>
      </c>
      <c r="P141" s="13">
        <f>IF(COUNT(AA141:AF141)&gt;0,R141/COUNT(AA141:AF141),0.5)</f>
        <v/>
      </c>
      <c r="Q141" s="5">
        <f>SUM(U141:Z141)</f>
        <v/>
      </c>
      <c r="R141" s="5">
        <f>SUM(AA141:AF141)</f>
        <v/>
      </c>
      <c r="S141" s="14">
        <f>IF(ISNUMBER(K141),K141,IF(ISNUMBER(L141),-L141,""))</f>
        <v/>
      </c>
      <c r="T141">
        <f>IF(ISNUMBER(L141),L141,IF(ISNUMBER(K141),-K141,""))</f>
        <v/>
      </c>
      <c r="U141" s="14">
        <f>IF(ISNUMBER(S141),IF(ISNUMBER(S136),IF(S141&gt;S136,1.0,IF(S141=S136,0.5,0.0)),""),"")</f>
        <v/>
      </c>
      <c r="V141">
        <f>IF(ISNUMBER(S141),IF(ISNUMBER(S137),IF(S141&gt;S137,1.0,IF(S141=S137,0.5,0.0)),""),"")</f>
        <v/>
      </c>
      <c r="W141">
        <f>IF(ISNUMBER(S141),IF(ISNUMBER(S138),IF(S141&gt;S138,1.0,IF(S141=S138,0.5,0.0)),""),"")</f>
        <v/>
      </c>
      <c r="X141">
        <f>IF(ISNUMBER(S141),IF(ISNUMBER(S139),IF(S141&gt;S139,1.0,IF(S141=S139,0.5,0.0)),""),"")</f>
        <v/>
      </c>
      <c r="Y141">
        <f>IF(ISNUMBER(S141),IF(ISNUMBER(S140),IF(S141&gt;S140,1.0,IF(S141=S140,0.5,0.0)),""),"")</f>
        <v/>
      </c>
      <c r="Z141">
        <f>IF(ISNUMBER(S141),IF(ISNUMBER(S142),IF(S141&gt;S142,1.0,IF(S141=S142,0.5,0.0)),""),"")</f>
        <v/>
      </c>
      <c r="AA141">
        <f>IF(ISNUMBER(T141),IF(ISNUMBER(T136),IF(T141&gt;T136,1.0,IF(T141=T136,0.5,0.0)),""),"")</f>
        <v/>
      </c>
      <c r="AB141">
        <f>IF(ISNUMBER(T141),IF(ISNUMBER(T137),IF(T141&gt;T137,1.0,IF(T141=T137,0.5,0.0)),""),"")</f>
        <v/>
      </c>
      <c r="AC141">
        <f>IF(ISNUMBER(T141),IF(ISNUMBER(T138),IF(T141&gt;T138,1.0,IF(T141=T138,0.5,0.0)),""),"")</f>
        <v/>
      </c>
      <c r="AD141">
        <f>IF(ISNUMBER(T141),IF(ISNUMBER(T139),IF(T141&gt;T139,1.0,IF(T141=T139,0.5,0.0)),""),"")</f>
        <v/>
      </c>
      <c r="AE141">
        <f>IF(ISNUMBER(T141),IF(ISNUMBER(T140),IF(T141&gt;T140,1.0,IF(T141=T140,0.5,0.0)),""),"")</f>
        <v/>
      </c>
      <c r="AF141">
        <f>IF(ISNUMBER(T141),IF(ISNUMBER(T142),IF(T141&gt;T142,1.0,IF(T141=T142,0.5,0.0)),""),"")</f>
        <v/>
      </c>
      <c r="AG141" s="14">
        <f>IF(AND(ISNUMBER(S141),ISNUMBER(S136)),VLOOKUP(ABS(S141-S136),'IMP Table'!$A$2:$C$26,3)*SIGN(S141-S136),0)</f>
        <v/>
      </c>
      <c r="AH141">
        <f>IF(AND(ISNUMBER(S141),ISNUMBER(S137)),VLOOKUP(ABS(S141-S137),'IMP Table'!$A$2:$C$26,3)*SIGN(S141-S137),0)</f>
        <v/>
      </c>
      <c r="AI141">
        <f>IF(AND(ISNUMBER(S141),ISNUMBER(S138)),VLOOKUP(ABS(S141-S138),'IMP Table'!$A$2:$C$26,3)*SIGN(S141-S138),0)</f>
        <v/>
      </c>
      <c r="AJ141">
        <f>IF(AND(ISNUMBER(S141),ISNUMBER(S139)),VLOOKUP(ABS(S141-S139),'IMP Table'!$A$2:$C$26,3)*SIGN(S141-S139),0)</f>
        <v/>
      </c>
      <c r="AK141">
        <f>IF(AND(ISNUMBER(S141),ISNUMBER(S140)),VLOOKUP(ABS(S141-S140),'IMP Table'!$A$2:$C$26,3)*SIGN(S141-S140),0)</f>
        <v/>
      </c>
      <c r="AL141">
        <f>IF(AND(ISNUMBER(S141),ISNUMBER(S142)),VLOOKUP(ABS(S141-S142),'IMP Table'!$A$2:$C$26,3)*SIGN(S141-S142),0)</f>
        <v/>
      </c>
      <c r="AM141">
        <f>IF(AND(ISNUMBER(T141),ISNUMBER(T136)),VLOOKUP(ABS(T141-T136),'IMP Table'!$A$2:$C$26,3)*SIGN(T141-T136),0)</f>
        <v/>
      </c>
      <c r="AN141">
        <f>IF(AND(ISNUMBER(T141),ISNUMBER(T137)),VLOOKUP(ABS(T141-T137),'IMP Table'!$A$2:$C$26,3)*SIGN(T141-T137),0)</f>
        <v/>
      </c>
      <c r="AO141">
        <f>IF(AND(ISNUMBER(T141),ISNUMBER(T138)),VLOOKUP(ABS(T141-T138),'IMP Table'!$A$2:$C$26,3)*SIGN(T141-T138),0)</f>
        <v/>
      </c>
      <c r="AP141">
        <f>IF(AND(ISNUMBER(T141),ISNUMBER(T139)),VLOOKUP(ABS(T141-T139),'IMP Table'!$A$2:$C$26,3)*SIGN(T141-T139),0)</f>
        <v/>
      </c>
      <c r="AQ141">
        <f>IF(AND(ISNUMBER(T141),ISNUMBER(T140)),VLOOKUP(ABS(T141-T140),'IMP Table'!$A$2:$C$26,3)*SIGN(T141-T140),0)</f>
        <v/>
      </c>
      <c r="AR141">
        <f>IF(AND(ISNUMBER(T141),ISNUMBER(T142)),VLOOKUP(ABS(T141-T142),'IMP Table'!$A$2:$C$26,3)*SIGN(T141-T142),0)</f>
        <v/>
      </c>
    </row>
    <row r="142">
      <c r="A142" s="15" t="n"/>
      <c r="B142" s="16">
        <f>'By Round'!A129</f>
        <v/>
      </c>
      <c r="C142" s="16">
        <f>'By Round'!B129</f>
        <v/>
      </c>
      <c r="D142" s="16">
        <f>'By Round'!C129</f>
        <v/>
      </c>
      <c r="E142" s="16">
        <f>'By Round'!D129</f>
        <v/>
      </c>
      <c r="F142" s="16">
        <f>IF(ISBLANK('By Round'!F130),"",'By Round'!F130)</f>
        <v/>
      </c>
      <c r="G142" s="15">
        <f>IF(ISBLANK('By Round'!G130),"",'By Round'!G130)</f>
        <v/>
      </c>
      <c r="H142" s="15">
        <f>IF(ISBLANK('By Round'!H130),"",'By Round'!H130)</f>
        <v/>
      </c>
      <c r="I142" s="15">
        <f>IF(ISBLANK('By Round'!I130),"",'By Round'!I130)</f>
        <v/>
      </c>
      <c r="J142" s="15">
        <f>IF(ISBLANK('By Round'!J130),"",'By Round'!J130)</f>
        <v/>
      </c>
      <c r="K142" s="15">
        <f>IF(ISBLANK('By Round'!K130),"",'By Round'!K130)</f>
        <v/>
      </c>
      <c r="L142" s="15">
        <f>IF(ISBLANK('By Round'!L130),"",'By Round'!L130)</f>
        <v/>
      </c>
      <c r="M142" s="17">
        <f>AVERAGE(AG142:AL142)</f>
        <v/>
      </c>
      <c r="N142" s="18">
        <f>AVERAGE(AM142:AR142)</f>
        <v/>
      </c>
      <c r="O142" s="19">
        <f>IF(COUNT(U142:Z142)&gt;0,Q142/COUNT(U142:Z142),0.5)</f>
        <v/>
      </c>
      <c r="P142" s="19">
        <f>IF(COUNT(AA142:AF142)&gt;0,R142/COUNT(AA142:AF142),0.5)</f>
        <v/>
      </c>
      <c r="Q142" s="20">
        <f>SUM(U142:Z142)</f>
        <v/>
      </c>
      <c r="R142" s="20">
        <f>SUM(AA142:AF142)</f>
        <v/>
      </c>
      <c r="S142" s="21">
        <f>IF(ISNUMBER(K142),K142,IF(ISNUMBER(L142),-L142,""))</f>
        <v/>
      </c>
      <c r="T142" s="15">
        <f>IF(ISNUMBER(L142),L142,IF(ISNUMBER(K142),-K142,""))</f>
        <v/>
      </c>
      <c r="U142" s="21">
        <f>IF(ISNUMBER(S142),IF(ISNUMBER(S136),IF(S142&gt;S136,1.0,IF(S142=S136,0.5,0.0)),""),"")</f>
        <v/>
      </c>
      <c r="V142" s="15">
        <f>IF(ISNUMBER(S142),IF(ISNUMBER(S137),IF(S142&gt;S137,1.0,IF(S142=S137,0.5,0.0)),""),"")</f>
        <v/>
      </c>
      <c r="W142" s="15">
        <f>IF(ISNUMBER(S142),IF(ISNUMBER(S138),IF(S142&gt;S138,1.0,IF(S142=S138,0.5,0.0)),""),"")</f>
        <v/>
      </c>
      <c r="X142" s="15">
        <f>IF(ISNUMBER(S142),IF(ISNUMBER(S139),IF(S142&gt;S139,1.0,IF(S142=S139,0.5,0.0)),""),"")</f>
        <v/>
      </c>
      <c r="Y142" s="15">
        <f>IF(ISNUMBER(S142),IF(ISNUMBER(S140),IF(S142&gt;S140,1.0,IF(S142=S140,0.5,0.0)),""),"")</f>
        <v/>
      </c>
      <c r="Z142" s="15">
        <f>IF(ISNUMBER(S142),IF(ISNUMBER(S141),IF(S142&gt;S141,1.0,IF(S142=S141,0.5,0.0)),""),"")</f>
        <v/>
      </c>
      <c r="AA142" s="15">
        <f>IF(ISNUMBER(T142),IF(ISNUMBER(T136),IF(T142&gt;T136,1.0,IF(T142=T136,0.5,0.0)),""),"")</f>
        <v/>
      </c>
      <c r="AB142" s="15">
        <f>IF(ISNUMBER(T142),IF(ISNUMBER(T137),IF(T142&gt;T137,1.0,IF(T142=T137,0.5,0.0)),""),"")</f>
        <v/>
      </c>
      <c r="AC142" s="15">
        <f>IF(ISNUMBER(T142),IF(ISNUMBER(T138),IF(T142&gt;T138,1.0,IF(T142=T138,0.5,0.0)),""),"")</f>
        <v/>
      </c>
      <c r="AD142" s="15">
        <f>IF(ISNUMBER(T142),IF(ISNUMBER(T139),IF(T142&gt;T139,1.0,IF(T142=T139,0.5,0.0)),""),"")</f>
        <v/>
      </c>
      <c r="AE142" s="15">
        <f>IF(ISNUMBER(T142),IF(ISNUMBER(T140),IF(T142&gt;T140,1.0,IF(T142=T140,0.5,0.0)),""),"")</f>
        <v/>
      </c>
      <c r="AF142" s="15">
        <f>IF(ISNUMBER(T142),IF(ISNUMBER(T141),IF(T142&gt;T141,1.0,IF(T142=T141,0.5,0.0)),""),"")</f>
        <v/>
      </c>
      <c r="AG142" s="21">
        <f>IF(AND(ISNUMBER(S142),ISNUMBER(S136)),VLOOKUP(ABS(S142-S136),'IMP Table'!$A$2:$C$26,3)*SIGN(S142-S136),0)</f>
        <v/>
      </c>
      <c r="AH142" s="15">
        <f>IF(AND(ISNUMBER(S142),ISNUMBER(S137)),VLOOKUP(ABS(S142-S137),'IMP Table'!$A$2:$C$26,3)*SIGN(S142-S137),0)</f>
        <v/>
      </c>
      <c r="AI142" s="15">
        <f>IF(AND(ISNUMBER(S142),ISNUMBER(S138)),VLOOKUP(ABS(S142-S138),'IMP Table'!$A$2:$C$26,3)*SIGN(S142-S138),0)</f>
        <v/>
      </c>
      <c r="AJ142" s="15">
        <f>IF(AND(ISNUMBER(S142),ISNUMBER(S139)),VLOOKUP(ABS(S142-S139),'IMP Table'!$A$2:$C$26,3)*SIGN(S142-S139),0)</f>
        <v/>
      </c>
      <c r="AK142" s="15">
        <f>IF(AND(ISNUMBER(S142),ISNUMBER(S140)),VLOOKUP(ABS(S142-S140),'IMP Table'!$A$2:$C$26,3)*SIGN(S142-S140),0)</f>
        <v/>
      </c>
      <c r="AL142" s="15">
        <f>IF(AND(ISNUMBER(S142),ISNUMBER(S141)),VLOOKUP(ABS(S142-S141),'IMP Table'!$A$2:$C$26,3)*SIGN(S142-S141),0)</f>
        <v/>
      </c>
      <c r="AM142" s="15">
        <f>IF(AND(ISNUMBER(T142),ISNUMBER(T136)),VLOOKUP(ABS(T142-T136),'IMP Table'!$A$2:$C$26,3)*SIGN(T142-T136),0)</f>
        <v/>
      </c>
      <c r="AN142" s="15">
        <f>IF(AND(ISNUMBER(T142),ISNUMBER(T137)),VLOOKUP(ABS(T142-T137),'IMP Table'!$A$2:$C$26,3)*SIGN(T142-T137),0)</f>
        <v/>
      </c>
      <c r="AO142" s="15">
        <f>IF(AND(ISNUMBER(T142),ISNUMBER(T138)),VLOOKUP(ABS(T142-T138),'IMP Table'!$A$2:$C$26,3)*SIGN(T142-T138),0)</f>
        <v/>
      </c>
      <c r="AP142" s="15">
        <f>IF(AND(ISNUMBER(T142),ISNUMBER(T139)),VLOOKUP(ABS(T142-T139),'IMP Table'!$A$2:$C$26,3)*SIGN(T142-T139),0)</f>
        <v/>
      </c>
      <c r="AQ142" s="15">
        <f>IF(AND(ISNUMBER(T142),ISNUMBER(T140)),VLOOKUP(ABS(T142-T140),'IMP Table'!$A$2:$C$26,3)*SIGN(T142-T140),0)</f>
        <v/>
      </c>
      <c r="AR142" s="15">
        <f>IF(AND(ISNUMBER(T142),ISNUMBER(T141)),VLOOKUP(ABS(T142-T141),'IMP Table'!$A$2:$C$26,3)*SIGN(T142-T141),0)</f>
        <v/>
      </c>
    </row>
    <row r="143">
      <c r="A143" s="10" t="n">
        <v>21</v>
      </c>
      <c r="B143" s="10">
        <f>'By Round'!A87</f>
        <v/>
      </c>
      <c r="C143" s="10">
        <f>'By Round'!B93</f>
        <v/>
      </c>
      <c r="D143" s="10">
        <f>'By Round'!C93</f>
        <v/>
      </c>
      <c r="E143" s="10">
        <f>'By Round'!D93</f>
        <v/>
      </c>
      <c r="F143" s="10">
        <f>IF(ISBLANK('By Round'!F93),"",'By Round'!F93)</f>
        <v/>
      </c>
      <c r="G143">
        <f>IF(ISBLANK('By Round'!G93),"",'By Round'!G93)</f>
        <v/>
      </c>
      <c r="H143">
        <f>IF(ISBLANK('By Round'!H93),"",'By Round'!H93)</f>
        <v/>
      </c>
      <c r="I143">
        <f>IF(ISBLANK('By Round'!I93),"",'By Round'!I93)</f>
        <v/>
      </c>
      <c r="J143">
        <f>IF(ISBLANK('By Round'!J93),"",'By Round'!J93)</f>
        <v/>
      </c>
      <c r="K143">
        <f>IF(ISBLANK('By Round'!K93),"",'By Round'!K93)</f>
        <v/>
      </c>
      <c r="L143">
        <f>IF(ISBLANK('By Round'!L93),"",'By Round'!L93)</f>
        <v/>
      </c>
      <c r="M143" s="11">
        <f>AVERAGE(AG143:AL143)</f>
        <v/>
      </c>
      <c r="N143" s="12">
        <f>AVERAGE(AM143:AR143)</f>
        <v/>
      </c>
      <c r="O143" s="13">
        <f>IF(COUNT(U143:Z143)&gt;0,Q143/COUNT(U143:Z143),0.5)</f>
        <v/>
      </c>
      <c r="P143" s="13">
        <f>IF(COUNT(AA143:AF143)&gt;0,R143/COUNT(AA143:AF143),0.5)</f>
        <v/>
      </c>
      <c r="Q143" s="5">
        <f>SUM(U143:Z143)</f>
        <v/>
      </c>
      <c r="R143" s="5">
        <f>SUM(AA143:AF143)</f>
        <v/>
      </c>
      <c r="S143" s="14">
        <f>IF(ISNUMBER(K143),K143,IF(ISNUMBER(L143),-L143,""))</f>
        <v/>
      </c>
      <c r="T143">
        <f>IF(ISNUMBER(L143),L143,IF(ISNUMBER(K143),-K143,""))</f>
        <v/>
      </c>
      <c r="U143" s="14">
        <f>IF(ISNUMBER(S143),IF(ISNUMBER(S144),IF(S143&gt;S144,1.0,IF(S143=S144,0.5,0.0)),""),"")</f>
        <v/>
      </c>
      <c r="V143">
        <f>IF(ISNUMBER(S143),IF(ISNUMBER(S145),IF(S143&gt;S145,1.0,IF(S143=S145,0.5,0.0)),""),"")</f>
        <v/>
      </c>
      <c r="W143">
        <f>IF(ISNUMBER(S143),IF(ISNUMBER(S146),IF(S143&gt;S146,1.0,IF(S143=S146,0.5,0.0)),""),"")</f>
        <v/>
      </c>
      <c r="X143">
        <f>IF(ISNUMBER(S143),IF(ISNUMBER(S147),IF(S143&gt;S147,1.0,IF(S143=S147,0.5,0.0)),""),"")</f>
        <v/>
      </c>
      <c r="Y143">
        <f>IF(ISNUMBER(S143),IF(ISNUMBER(S148),IF(S143&gt;S148,1.0,IF(S143=S148,0.5,0.0)),""),"")</f>
        <v/>
      </c>
      <c r="Z143">
        <f>IF(ISNUMBER(S143),IF(ISNUMBER(S149),IF(S143&gt;S149,1.0,IF(S143=S149,0.5,0.0)),""),"")</f>
        <v/>
      </c>
      <c r="AA143">
        <f>IF(ISNUMBER(T143),IF(ISNUMBER(T144),IF(T143&gt;T144,1.0,IF(T143=T144,0.5,0.0)),""),"")</f>
        <v/>
      </c>
      <c r="AB143">
        <f>IF(ISNUMBER(T143),IF(ISNUMBER(T145),IF(T143&gt;T145,1.0,IF(T143=T145,0.5,0.0)),""),"")</f>
        <v/>
      </c>
      <c r="AC143">
        <f>IF(ISNUMBER(T143),IF(ISNUMBER(T146),IF(T143&gt;T146,1.0,IF(T143=T146,0.5,0.0)),""),"")</f>
        <v/>
      </c>
      <c r="AD143">
        <f>IF(ISNUMBER(T143),IF(ISNUMBER(T147),IF(T143&gt;T147,1.0,IF(T143=T147,0.5,0.0)),""),"")</f>
        <v/>
      </c>
      <c r="AE143">
        <f>IF(ISNUMBER(T143),IF(ISNUMBER(T148),IF(T143&gt;T148,1.0,IF(T143=T148,0.5,0.0)),""),"")</f>
        <v/>
      </c>
      <c r="AF143">
        <f>IF(ISNUMBER(T143),IF(ISNUMBER(T149),IF(T143&gt;T149,1.0,IF(T143=T149,0.5,0.0)),""),"")</f>
        <v/>
      </c>
      <c r="AG143" s="14">
        <f>IF(AND(ISNUMBER(S143),ISNUMBER(S144)),VLOOKUP(ABS(S143-S144),'IMP Table'!$A$2:$C$26,3)*SIGN(S143-S144),0)</f>
        <v/>
      </c>
      <c r="AH143">
        <f>IF(AND(ISNUMBER(S143),ISNUMBER(S145)),VLOOKUP(ABS(S143-S145),'IMP Table'!$A$2:$C$26,3)*SIGN(S143-S145),0)</f>
        <v/>
      </c>
      <c r="AI143">
        <f>IF(AND(ISNUMBER(S143),ISNUMBER(S146)),VLOOKUP(ABS(S143-S146),'IMP Table'!$A$2:$C$26,3)*SIGN(S143-S146),0)</f>
        <v/>
      </c>
      <c r="AJ143">
        <f>IF(AND(ISNUMBER(S143),ISNUMBER(S147)),VLOOKUP(ABS(S143-S147),'IMP Table'!$A$2:$C$26,3)*SIGN(S143-S147),0)</f>
        <v/>
      </c>
      <c r="AK143">
        <f>IF(AND(ISNUMBER(S143),ISNUMBER(S148)),VLOOKUP(ABS(S143-S148),'IMP Table'!$A$2:$C$26,3)*SIGN(S143-S148),0)</f>
        <v/>
      </c>
      <c r="AL143">
        <f>IF(AND(ISNUMBER(S143),ISNUMBER(S149)),VLOOKUP(ABS(S143-S149),'IMP Table'!$A$2:$C$26,3)*SIGN(S143-S149),0)</f>
        <v/>
      </c>
      <c r="AM143">
        <f>IF(AND(ISNUMBER(T143),ISNUMBER(T144)),VLOOKUP(ABS(T143-T144),'IMP Table'!$A$2:$C$26,3)*SIGN(T143-T144),0)</f>
        <v/>
      </c>
      <c r="AN143">
        <f>IF(AND(ISNUMBER(T143),ISNUMBER(T145)),VLOOKUP(ABS(T143-T145),'IMP Table'!$A$2:$C$26,3)*SIGN(T143-T145),0)</f>
        <v/>
      </c>
      <c r="AO143">
        <f>IF(AND(ISNUMBER(T143),ISNUMBER(T146)),VLOOKUP(ABS(T143-T146),'IMP Table'!$A$2:$C$26,3)*SIGN(T143-T146),0)</f>
        <v/>
      </c>
      <c r="AP143">
        <f>IF(AND(ISNUMBER(T143),ISNUMBER(T147)),VLOOKUP(ABS(T143-T147),'IMP Table'!$A$2:$C$26,3)*SIGN(T143-T147),0)</f>
        <v/>
      </c>
      <c r="AQ143">
        <f>IF(AND(ISNUMBER(T143),ISNUMBER(T148)),VLOOKUP(ABS(T143-T148),'IMP Table'!$A$2:$C$26,3)*SIGN(T143-T148),0)</f>
        <v/>
      </c>
      <c r="AR143">
        <f>IF(AND(ISNUMBER(T143),ISNUMBER(T149)),VLOOKUP(ABS(T143-T149),'IMP Table'!$A$2:$C$26,3)*SIGN(T143-T149),0)</f>
        <v/>
      </c>
    </row>
    <row r="144">
      <c r="B144" s="10">
        <f>'By Round'!A171</f>
        <v/>
      </c>
      <c r="C144" s="10">
        <f>'By Round'!B183</f>
        <v/>
      </c>
      <c r="D144" s="10">
        <f>'By Round'!C183</f>
        <v/>
      </c>
      <c r="E144" s="10">
        <f>'By Round'!D183</f>
        <v/>
      </c>
      <c r="F144" s="10">
        <f>IF(ISBLANK('By Round'!F183),"",'By Round'!F183)</f>
        <v/>
      </c>
      <c r="G144">
        <f>IF(ISBLANK('By Round'!G183),"",'By Round'!G183)</f>
        <v/>
      </c>
      <c r="H144">
        <f>IF(ISBLANK('By Round'!H183),"",'By Round'!H183)</f>
        <v/>
      </c>
      <c r="I144">
        <f>IF(ISBLANK('By Round'!I183),"",'By Round'!I183)</f>
        <v/>
      </c>
      <c r="J144">
        <f>IF(ISBLANK('By Round'!J183),"",'By Round'!J183)</f>
        <v/>
      </c>
      <c r="K144">
        <f>IF(ISBLANK('By Round'!K183),"",'By Round'!K183)</f>
        <v/>
      </c>
      <c r="L144">
        <f>IF(ISBLANK('By Round'!L183),"",'By Round'!L183)</f>
        <v/>
      </c>
      <c r="M144" s="11">
        <f>AVERAGE(AG144:AL144)</f>
        <v/>
      </c>
      <c r="N144" s="12">
        <f>AVERAGE(AM144:AR144)</f>
        <v/>
      </c>
      <c r="O144" s="13">
        <f>IF(COUNT(U144:Z144)&gt;0,Q144/COUNT(U144:Z144),0.5)</f>
        <v/>
      </c>
      <c r="P144" s="13">
        <f>IF(COUNT(AA144:AF144)&gt;0,R144/COUNT(AA144:AF144),0.5)</f>
        <v/>
      </c>
      <c r="Q144" s="5">
        <f>SUM(U144:Z144)</f>
        <v/>
      </c>
      <c r="R144" s="5">
        <f>SUM(AA144:AF144)</f>
        <v/>
      </c>
      <c r="S144" s="14">
        <f>IF(ISNUMBER(K144),K144,IF(ISNUMBER(L144),-L144,""))</f>
        <v/>
      </c>
      <c r="T144">
        <f>IF(ISNUMBER(L144),L144,IF(ISNUMBER(K144),-K144,""))</f>
        <v/>
      </c>
      <c r="U144" s="14">
        <f>IF(ISNUMBER(S144),IF(ISNUMBER(S143),IF(S144&gt;S143,1.0,IF(S144=S143,0.5,0.0)),""),"")</f>
        <v/>
      </c>
      <c r="V144">
        <f>IF(ISNUMBER(S144),IF(ISNUMBER(S145),IF(S144&gt;S145,1.0,IF(S144=S145,0.5,0.0)),""),"")</f>
        <v/>
      </c>
      <c r="W144">
        <f>IF(ISNUMBER(S144),IF(ISNUMBER(S146),IF(S144&gt;S146,1.0,IF(S144=S146,0.5,0.0)),""),"")</f>
        <v/>
      </c>
      <c r="X144">
        <f>IF(ISNUMBER(S144),IF(ISNUMBER(S147),IF(S144&gt;S147,1.0,IF(S144=S147,0.5,0.0)),""),"")</f>
        <v/>
      </c>
      <c r="Y144">
        <f>IF(ISNUMBER(S144),IF(ISNUMBER(S148),IF(S144&gt;S148,1.0,IF(S144=S148,0.5,0.0)),""),"")</f>
        <v/>
      </c>
      <c r="Z144">
        <f>IF(ISNUMBER(S144),IF(ISNUMBER(S149),IF(S144&gt;S149,1.0,IF(S144=S149,0.5,0.0)),""),"")</f>
        <v/>
      </c>
      <c r="AA144">
        <f>IF(ISNUMBER(T144),IF(ISNUMBER(T143),IF(T144&gt;T143,1.0,IF(T144=T143,0.5,0.0)),""),"")</f>
        <v/>
      </c>
      <c r="AB144">
        <f>IF(ISNUMBER(T144),IF(ISNUMBER(T145),IF(T144&gt;T145,1.0,IF(T144=T145,0.5,0.0)),""),"")</f>
        <v/>
      </c>
      <c r="AC144">
        <f>IF(ISNUMBER(T144),IF(ISNUMBER(T146),IF(T144&gt;T146,1.0,IF(T144=T146,0.5,0.0)),""),"")</f>
        <v/>
      </c>
      <c r="AD144">
        <f>IF(ISNUMBER(T144),IF(ISNUMBER(T147),IF(T144&gt;T147,1.0,IF(T144=T147,0.5,0.0)),""),"")</f>
        <v/>
      </c>
      <c r="AE144">
        <f>IF(ISNUMBER(T144),IF(ISNUMBER(T148),IF(T144&gt;T148,1.0,IF(T144=T148,0.5,0.0)),""),"")</f>
        <v/>
      </c>
      <c r="AF144">
        <f>IF(ISNUMBER(T144),IF(ISNUMBER(T149),IF(T144&gt;T149,1.0,IF(T144=T149,0.5,0.0)),""),"")</f>
        <v/>
      </c>
      <c r="AG144" s="14">
        <f>IF(AND(ISNUMBER(S144),ISNUMBER(S143)),VLOOKUP(ABS(S144-S143),'IMP Table'!$A$2:$C$26,3)*SIGN(S144-S143),0)</f>
        <v/>
      </c>
      <c r="AH144">
        <f>IF(AND(ISNUMBER(S144),ISNUMBER(S145)),VLOOKUP(ABS(S144-S145),'IMP Table'!$A$2:$C$26,3)*SIGN(S144-S145),0)</f>
        <v/>
      </c>
      <c r="AI144">
        <f>IF(AND(ISNUMBER(S144),ISNUMBER(S146)),VLOOKUP(ABS(S144-S146),'IMP Table'!$A$2:$C$26,3)*SIGN(S144-S146),0)</f>
        <v/>
      </c>
      <c r="AJ144">
        <f>IF(AND(ISNUMBER(S144),ISNUMBER(S147)),VLOOKUP(ABS(S144-S147),'IMP Table'!$A$2:$C$26,3)*SIGN(S144-S147),0)</f>
        <v/>
      </c>
      <c r="AK144">
        <f>IF(AND(ISNUMBER(S144),ISNUMBER(S148)),VLOOKUP(ABS(S144-S148),'IMP Table'!$A$2:$C$26,3)*SIGN(S144-S148),0)</f>
        <v/>
      </c>
      <c r="AL144">
        <f>IF(AND(ISNUMBER(S144),ISNUMBER(S149)),VLOOKUP(ABS(S144-S149),'IMP Table'!$A$2:$C$26,3)*SIGN(S144-S149),0)</f>
        <v/>
      </c>
      <c r="AM144">
        <f>IF(AND(ISNUMBER(T144),ISNUMBER(T143)),VLOOKUP(ABS(T144-T143),'IMP Table'!$A$2:$C$26,3)*SIGN(T144-T143),0)</f>
        <v/>
      </c>
      <c r="AN144">
        <f>IF(AND(ISNUMBER(T144),ISNUMBER(T145)),VLOOKUP(ABS(T144-T145),'IMP Table'!$A$2:$C$26,3)*SIGN(T144-T145),0)</f>
        <v/>
      </c>
      <c r="AO144">
        <f>IF(AND(ISNUMBER(T144),ISNUMBER(T146)),VLOOKUP(ABS(T144-T146),'IMP Table'!$A$2:$C$26,3)*SIGN(T144-T146),0)</f>
        <v/>
      </c>
      <c r="AP144">
        <f>IF(AND(ISNUMBER(T144),ISNUMBER(T147)),VLOOKUP(ABS(T144-T147),'IMP Table'!$A$2:$C$26,3)*SIGN(T144-T147),0)</f>
        <v/>
      </c>
      <c r="AQ144">
        <f>IF(AND(ISNUMBER(T144),ISNUMBER(T148)),VLOOKUP(ABS(T144-T148),'IMP Table'!$A$2:$C$26,3)*SIGN(T144-T148),0)</f>
        <v/>
      </c>
      <c r="AR144">
        <f>IF(AND(ISNUMBER(T144),ISNUMBER(T149)),VLOOKUP(ABS(T144-T149),'IMP Table'!$A$2:$C$26,3)*SIGN(T144-T149),0)</f>
        <v/>
      </c>
    </row>
    <row r="145">
      <c r="B145" s="10">
        <f>'By Round'!A17</f>
        <v/>
      </c>
      <c r="C145" s="10">
        <f>'By Round'!B25</f>
        <v/>
      </c>
      <c r="D145" s="10">
        <f>'By Round'!C25</f>
        <v/>
      </c>
      <c r="E145" s="10">
        <f>'By Round'!D25</f>
        <v/>
      </c>
      <c r="F145" s="10">
        <f>IF(ISBLANK('By Round'!F25),"",'By Round'!F25)</f>
        <v/>
      </c>
      <c r="G145">
        <f>IF(ISBLANK('By Round'!G25),"",'By Round'!G25)</f>
        <v/>
      </c>
      <c r="H145">
        <f>IF(ISBLANK('By Round'!H25),"",'By Round'!H25)</f>
        <v/>
      </c>
      <c r="I145">
        <f>IF(ISBLANK('By Round'!I25),"",'By Round'!I25)</f>
        <v/>
      </c>
      <c r="J145">
        <f>IF(ISBLANK('By Round'!J25),"",'By Round'!J25)</f>
        <v/>
      </c>
      <c r="K145">
        <f>IF(ISBLANK('By Round'!K25),"",'By Round'!K25)</f>
        <v/>
      </c>
      <c r="L145">
        <f>IF(ISBLANK('By Round'!L25),"",'By Round'!L25)</f>
        <v/>
      </c>
      <c r="M145" s="11">
        <f>AVERAGE(AG145:AL145)</f>
        <v/>
      </c>
      <c r="N145" s="12">
        <f>AVERAGE(AM145:AR145)</f>
        <v/>
      </c>
      <c r="O145" s="13">
        <f>IF(COUNT(U145:Z145)&gt;0,Q145/COUNT(U145:Z145),0.5)</f>
        <v/>
      </c>
      <c r="P145" s="13">
        <f>IF(COUNT(AA145:AF145)&gt;0,R145/COUNT(AA145:AF145),0.5)</f>
        <v/>
      </c>
      <c r="Q145" s="5">
        <f>SUM(U145:Z145)</f>
        <v/>
      </c>
      <c r="R145" s="5">
        <f>SUM(AA145:AF145)</f>
        <v/>
      </c>
      <c r="S145" s="14">
        <f>IF(ISNUMBER(K145),K145,IF(ISNUMBER(L145),-L145,""))</f>
        <v/>
      </c>
      <c r="T145">
        <f>IF(ISNUMBER(L145),L145,IF(ISNUMBER(K145),-K145,""))</f>
        <v/>
      </c>
      <c r="U145" s="14">
        <f>IF(ISNUMBER(S145),IF(ISNUMBER(S143),IF(S145&gt;S143,1.0,IF(S145=S143,0.5,0.0)),""),"")</f>
        <v/>
      </c>
      <c r="V145">
        <f>IF(ISNUMBER(S145),IF(ISNUMBER(S144),IF(S145&gt;S144,1.0,IF(S145=S144,0.5,0.0)),""),"")</f>
        <v/>
      </c>
      <c r="W145">
        <f>IF(ISNUMBER(S145),IF(ISNUMBER(S146),IF(S145&gt;S146,1.0,IF(S145=S146,0.5,0.0)),""),"")</f>
        <v/>
      </c>
      <c r="X145">
        <f>IF(ISNUMBER(S145),IF(ISNUMBER(S147),IF(S145&gt;S147,1.0,IF(S145=S147,0.5,0.0)),""),"")</f>
        <v/>
      </c>
      <c r="Y145">
        <f>IF(ISNUMBER(S145),IF(ISNUMBER(S148),IF(S145&gt;S148,1.0,IF(S145=S148,0.5,0.0)),""),"")</f>
        <v/>
      </c>
      <c r="Z145">
        <f>IF(ISNUMBER(S145),IF(ISNUMBER(S149),IF(S145&gt;S149,1.0,IF(S145=S149,0.5,0.0)),""),"")</f>
        <v/>
      </c>
      <c r="AA145">
        <f>IF(ISNUMBER(T145),IF(ISNUMBER(T143),IF(T145&gt;T143,1.0,IF(T145=T143,0.5,0.0)),""),"")</f>
        <v/>
      </c>
      <c r="AB145">
        <f>IF(ISNUMBER(T145),IF(ISNUMBER(T144),IF(T145&gt;T144,1.0,IF(T145=T144,0.5,0.0)),""),"")</f>
        <v/>
      </c>
      <c r="AC145">
        <f>IF(ISNUMBER(T145),IF(ISNUMBER(T146),IF(T145&gt;T146,1.0,IF(T145=T146,0.5,0.0)),""),"")</f>
        <v/>
      </c>
      <c r="AD145">
        <f>IF(ISNUMBER(T145),IF(ISNUMBER(T147),IF(T145&gt;T147,1.0,IF(T145=T147,0.5,0.0)),""),"")</f>
        <v/>
      </c>
      <c r="AE145">
        <f>IF(ISNUMBER(T145),IF(ISNUMBER(T148),IF(T145&gt;T148,1.0,IF(T145=T148,0.5,0.0)),""),"")</f>
        <v/>
      </c>
      <c r="AF145">
        <f>IF(ISNUMBER(T145),IF(ISNUMBER(T149),IF(T145&gt;T149,1.0,IF(T145=T149,0.5,0.0)),""),"")</f>
        <v/>
      </c>
      <c r="AG145" s="14">
        <f>IF(AND(ISNUMBER(S145),ISNUMBER(S143)),VLOOKUP(ABS(S145-S143),'IMP Table'!$A$2:$C$26,3)*SIGN(S145-S143),0)</f>
        <v/>
      </c>
      <c r="AH145">
        <f>IF(AND(ISNUMBER(S145),ISNUMBER(S144)),VLOOKUP(ABS(S145-S144),'IMP Table'!$A$2:$C$26,3)*SIGN(S145-S144),0)</f>
        <v/>
      </c>
      <c r="AI145">
        <f>IF(AND(ISNUMBER(S145),ISNUMBER(S146)),VLOOKUP(ABS(S145-S146),'IMP Table'!$A$2:$C$26,3)*SIGN(S145-S146),0)</f>
        <v/>
      </c>
      <c r="AJ145">
        <f>IF(AND(ISNUMBER(S145),ISNUMBER(S147)),VLOOKUP(ABS(S145-S147),'IMP Table'!$A$2:$C$26,3)*SIGN(S145-S147),0)</f>
        <v/>
      </c>
      <c r="AK145">
        <f>IF(AND(ISNUMBER(S145),ISNUMBER(S148)),VLOOKUP(ABS(S145-S148),'IMP Table'!$A$2:$C$26,3)*SIGN(S145-S148),0)</f>
        <v/>
      </c>
      <c r="AL145">
        <f>IF(AND(ISNUMBER(S145),ISNUMBER(S149)),VLOOKUP(ABS(S145-S149),'IMP Table'!$A$2:$C$26,3)*SIGN(S145-S149),0)</f>
        <v/>
      </c>
      <c r="AM145">
        <f>IF(AND(ISNUMBER(T145),ISNUMBER(T143)),VLOOKUP(ABS(T145-T143),'IMP Table'!$A$2:$C$26,3)*SIGN(T145-T143),0)</f>
        <v/>
      </c>
      <c r="AN145">
        <f>IF(AND(ISNUMBER(T145),ISNUMBER(T144)),VLOOKUP(ABS(T145-T144),'IMP Table'!$A$2:$C$26,3)*SIGN(T145-T144),0)</f>
        <v/>
      </c>
      <c r="AO145">
        <f>IF(AND(ISNUMBER(T145),ISNUMBER(T146)),VLOOKUP(ABS(T145-T146),'IMP Table'!$A$2:$C$26,3)*SIGN(T145-T146),0)</f>
        <v/>
      </c>
      <c r="AP145">
        <f>IF(AND(ISNUMBER(T145),ISNUMBER(T147)),VLOOKUP(ABS(T145-T147),'IMP Table'!$A$2:$C$26,3)*SIGN(T145-T147),0)</f>
        <v/>
      </c>
      <c r="AQ145">
        <f>IF(AND(ISNUMBER(T145),ISNUMBER(T148)),VLOOKUP(ABS(T145-T148),'IMP Table'!$A$2:$C$26,3)*SIGN(T145-T148),0)</f>
        <v/>
      </c>
      <c r="AR145">
        <f>IF(AND(ISNUMBER(T145),ISNUMBER(T149)),VLOOKUP(ABS(T145-T149),'IMP Table'!$A$2:$C$26,3)*SIGN(T145-T149),0)</f>
        <v/>
      </c>
    </row>
    <row r="146">
      <c r="B146" s="10">
        <f>'By Round'!A3</f>
        <v/>
      </c>
      <c r="C146" s="10">
        <f>'By Round'!B13</f>
        <v/>
      </c>
      <c r="D146" s="10">
        <f>'By Round'!C13</f>
        <v/>
      </c>
      <c r="E146" s="10">
        <f>'By Round'!D13</f>
        <v/>
      </c>
      <c r="F146" s="10">
        <f>IF(ISBLANK('By Round'!F13),"",'By Round'!F13)</f>
        <v/>
      </c>
      <c r="G146">
        <f>IF(ISBLANK('By Round'!G13),"",'By Round'!G13)</f>
        <v/>
      </c>
      <c r="H146">
        <f>IF(ISBLANK('By Round'!H13),"",'By Round'!H13)</f>
        <v/>
      </c>
      <c r="I146">
        <f>IF(ISBLANK('By Round'!I13),"",'By Round'!I13)</f>
        <v/>
      </c>
      <c r="J146">
        <f>IF(ISBLANK('By Round'!J13),"",'By Round'!J13)</f>
        <v/>
      </c>
      <c r="K146">
        <f>IF(ISBLANK('By Round'!K13),"",'By Round'!K13)</f>
        <v/>
      </c>
      <c r="L146">
        <f>IF(ISBLANK('By Round'!L13),"",'By Round'!L13)</f>
        <v/>
      </c>
      <c r="M146" s="11">
        <f>AVERAGE(AG146:AL146)</f>
        <v/>
      </c>
      <c r="N146" s="12">
        <f>AVERAGE(AM146:AR146)</f>
        <v/>
      </c>
      <c r="O146" s="13">
        <f>IF(COUNT(U146:Z146)&gt;0,Q146/COUNT(U146:Z146),0.5)</f>
        <v/>
      </c>
      <c r="P146" s="13">
        <f>IF(COUNT(AA146:AF146)&gt;0,R146/COUNT(AA146:AF146),0.5)</f>
        <v/>
      </c>
      <c r="Q146" s="5">
        <f>SUM(U146:Z146)</f>
        <v/>
      </c>
      <c r="R146" s="5">
        <f>SUM(AA146:AF146)</f>
        <v/>
      </c>
      <c r="S146" s="14">
        <f>IF(ISNUMBER(K146),K146,IF(ISNUMBER(L146),-L146,""))</f>
        <v/>
      </c>
      <c r="T146">
        <f>IF(ISNUMBER(L146),L146,IF(ISNUMBER(K146),-K146,""))</f>
        <v/>
      </c>
      <c r="U146" s="14">
        <f>IF(ISNUMBER(S146),IF(ISNUMBER(S143),IF(S146&gt;S143,1.0,IF(S146=S143,0.5,0.0)),""),"")</f>
        <v/>
      </c>
      <c r="V146">
        <f>IF(ISNUMBER(S146),IF(ISNUMBER(S144),IF(S146&gt;S144,1.0,IF(S146=S144,0.5,0.0)),""),"")</f>
        <v/>
      </c>
      <c r="W146">
        <f>IF(ISNUMBER(S146),IF(ISNUMBER(S145),IF(S146&gt;S145,1.0,IF(S146=S145,0.5,0.0)),""),"")</f>
        <v/>
      </c>
      <c r="X146">
        <f>IF(ISNUMBER(S146),IF(ISNUMBER(S147),IF(S146&gt;S147,1.0,IF(S146=S147,0.5,0.0)),""),"")</f>
        <v/>
      </c>
      <c r="Y146">
        <f>IF(ISNUMBER(S146),IF(ISNUMBER(S148),IF(S146&gt;S148,1.0,IF(S146=S148,0.5,0.0)),""),"")</f>
        <v/>
      </c>
      <c r="Z146">
        <f>IF(ISNUMBER(S146),IF(ISNUMBER(S149),IF(S146&gt;S149,1.0,IF(S146=S149,0.5,0.0)),""),"")</f>
        <v/>
      </c>
      <c r="AA146">
        <f>IF(ISNUMBER(T146),IF(ISNUMBER(T143),IF(T146&gt;T143,1.0,IF(T146=T143,0.5,0.0)),""),"")</f>
        <v/>
      </c>
      <c r="AB146">
        <f>IF(ISNUMBER(T146),IF(ISNUMBER(T144),IF(T146&gt;T144,1.0,IF(T146=T144,0.5,0.0)),""),"")</f>
        <v/>
      </c>
      <c r="AC146">
        <f>IF(ISNUMBER(T146),IF(ISNUMBER(T145),IF(T146&gt;T145,1.0,IF(T146=T145,0.5,0.0)),""),"")</f>
        <v/>
      </c>
      <c r="AD146">
        <f>IF(ISNUMBER(T146),IF(ISNUMBER(T147),IF(T146&gt;T147,1.0,IF(T146=T147,0.5,0.0)),""),"")</f>
        <v/>
      </c>
      <c r="AE146">
        <f>IF(ISNUMBER(T146),IF(ISNUMBER(T148),IF(T146&gt;T148,1.0,IF(T146=T148,0.5,0.0)),""),"")</f>
        <v/>
      </c>
      <c r="AF146">
        <f>IF(ISNUMBER(T146),IF(ISNUMBER(T149),IF(T146&gt;T149,1.0,IF(T146=T149,0.5,0.0)),""),"")</f>
        <v/>
      </c>
      <c r="AG146" s="14">
        <f>IF(AND(ISNUMBER(S146),ISNUMBER(S143)),VLOOKUP(ABS(S146-S143),'IMP Table'!$A$2:$C$26,3)*SIGN(S146-S143),0)</f>
        <v/>
      </c>
      <c r="AH146">
        <f>IF(AND(ISNUMBER(S146),ISNUMBER(S144)),VLOOKUP(ABS(S146-S144),'IMP Table'!$A$2:$C$26,3)*SIGN(S146-S144),0)</f>
        <v/>
      </c>
      <c r="AI146">
        <f>IF(AND(ISNUMBER(S146),ISNUMBER(S145)),VLOOKUP(ABS(S146-S145),'IMP Table'!$A$2:$C$26,3)*SIGN(S146-S145),0)</f>
        <v/>
      </c>
      <c r="AJ146">
        <f>IF(AND(ISNUMBER(S146),ISNUMBER(S147)),VLOOKUP(ABS(S146-S147),'IMP Table'!$A$2:$C$26,3)*SIGN(S146-S147),0)</f>
        <v/>
      </c>
      <c r="AK146">
        <f>IF(AND(ISNUMBER(S146),ISNUMBER(S148)),VLOOKUP(ABS(S146-S148),'IMP Table'!$A$2:$C$26,3)*SIGN(S146-S148),0)</f>
        <v/>
      </c>
      <c r="AL146">
        <f>IF(AND(ISNUMBER(S146),ISNUMBER(S149)),VLOOKUP(ABS(S146-S149),'IMP Table'!$A$2:$C$26,3)*SIGN(S146-S149),0)</f>
        <v/>
      </c>
      <c r="AM146">
        <f>IF(AND(ISNUMBER(T146),ISNUMBER(T143)),VLOOKUP(ABS(T146-T143),'IMP Table'!$A$2:$C$26,3)*SIGN(T146-T143),0)</f>
        <v/>
      </c>
      <c r="AN146">
        <f>IF(AND(ISNUMBER(T146),ISNUMBER(T144)),VLOOKUP(ABS(T146-T144),'IMP Table'!$A$2:$C$26,3)*SIGN(T146-T144),0)</f>
        <v/>
      </c>
      <c r="AO146">
        <f>IF(AND(ISNUMBER(T146),ISNUMBER(T145)),VLOOKUP(ABS(T146-T145),'IMP Table'!$A$2:$C$26,3)*SIGN(T146-T145),0)</f>
        <v/>
      </c>
      <c r="AP146">
        <f>IF(AND(ISNUMBER(T146),ISNUMBER(T147)),VLOOKUP(ABS(T146-T147),'IMP Table'!$A$2:$C$26,3)*SIGN(T146-T147),0)</f>
        <v/>
      </c>
      <c r="AQ146">
        <f>IF(AND(ISNUMBER(T146),ISNUMBER(T148)),VLOOKUP(ABS(T146-T148),'IMP Table'!$A$2:$C$26,3)*SIGN(T146-T148),0)</f>
        <v/>
      </c>
      <c r="AR146">
        <f>IF(AND(ISNUMBER(T146),ISNUMBER(T149)),VLOOKUP(ABS(T146-T149),'IMP Table'!$A$2:$C$26,3)*SIGN(T146-T149),0)</f>
        <v/>
      </c>
    </row>
    <row r="147">
      <c r="B147" s="10">
        <f>'By Round'!A101</f>
        <v/>
      </c>
      <c r="C147" s="10">
        <f>'By Round'!B105</f>
        <v/>
      </c>
      <c r="D147" s="10">
        <f>'By Round'!C105</f>
        <v/>
      </c>
      <c r="E147" s="10">
        <f>'By Round'!D105</f>
        <v/>
      </c>
      <c r="F147" s="10">
        <f>IF(ISBLANK('By Round'!F105),"",'By Round'!F105)</f>
        <v/>
      </c>
      <c r="G147">
        <f>IF(ISBLANK('By Round'!G105),"",'By Round'!G105)</f>
        <v/>
      </c>
      <c r="H147">
        <f>IF(ISBLANK('By Round'!H105),"",'By Round'!H105)</f>
        <v/>
      </c>
      <c r="I147">
        <f>IF(ISBLANK('By Round'!I105),"",'By Round'!I105)</f>
        <v/>
      </c>
      <c r="J147">
        <f>IF(ISBLANK('By Round'!J105),"",'By Round'!J105)</f>
        <v/>
      </c>
      <c r="K147">
        <f>IF(ISBLANK('By Round'!K105),"",'By Round'!K105)</f>
        <v/>
      </c>
      <c r="L147">
        <f>IF(ISBLANK('By Round'!L105),"",'By Round'!L105)</f>
        <v/>
      </c>
      <c r="M147" s="11">
        <f>AVERAGE(AG147:AL147)</f>
        <v/>
      </c>
      <c r="N147" s="12">
        <f>AVERAGE(AM147:AR147)</f>
        <v/>
      </c>
      <c r="O147" s="13">
        <f>IF(COUNT(U147:Z147)&gt;0,Q147/COUNT(U147:Z147),0.5)</f>
        <v/>
      </c>
      <c r="P147" s="13">
        <f>IF(COUNT(AA147:AF147)&gt;0,R147/COUNT(AA147:AF147),0.5)</f>
        <v/>
      </c>
      <c r="Q147" s="5">
        <f>SUM(U147:Z147)</f>
        <v/>
      </c>
      <c r="R147" s="5">
        <f>SUM(AA147:AF147)</f>
        <v/>
      </c>
      <c r="S147" s="14">
        <f>IF(ISNUMBER(K147),K147,IF(ISNUMBER(L147),-L147,""))</f>
        <v/>
      </c>
      <c r="T147">
        <f>IF(ISNUMBER(L147),L147,IF(ISNUMBER(K147),-K147,""))</f>
        <v/>
      </c>
      <c r="U147" s="14">
        <f>IF(ISNUMBER(S147),IF(ISNUMBER(S143),IF(S147&gt;S143,1.0,IF(S147=S143,0.5,0.0)),""),"")</f>
        <v/>
      </c>
      <c r="V147">
        <f>IF(ISNUMBER(S147),IF(ISNUMBER(S144),IF(S147&gt;S144,1.0,IF(S147=S144,0.5,0.0)),""),"")</f>
        <v/>
      </c>
      <c r="W147">
        <f>IF(ISNUMBER(S147),IF(ISNUMBER(S145),IF(S147&gt;S145,1.0,IF(S147=S145,0.5,0.0)),""),"")</f>
        <v/>
      </c>
      <c r="X147">
        <f>IF(ISNUMBER(S147),IF(ISNUMBER(S146),IF(S147&gt;S146,1.0,IF(S147=S146,0.5,0.0)),""),"")</f>
        <v/>
      </c>
      <c r="Y147">
        <f>IF(ISNUMBER(S147),IF(ISNUMBER(S148),IF(S147&gt;S148,1.0,IF(S147=S148,0.5,0.0)),""),"")</f>
        <v/>
      </c>
      <c r="Z147">
        <f>IF(ISNUMBER(S147),IF(ISNUMBER(S149),IF(S147&gt;S149,1.0,IF(S147=S149,0.5,0.0)),""),"")</f>
        <v/>
      </c>
      <c r="AA147">
        <f>IF(ISNUMBER(T147),IF(ISNUMBER(T143),IF(T147&gt;T143,1.0,IF(T147=T143,0.5,0.0)),""),"")</f>
        <v/>
      </c>
      <c r="AB147">
        <f>IF(ISNUMBER(T147),IF(ISNUMBER(T144),IF(T147&gt;T144,1.0,IF(T147=T144,0.5,0.0)),""),"")</f>
        <v/>
      </c>
      <c r="AC147">
        <f>IF(ISNUMBER(T147),IF(ISNUMBER(T145),IF(T147&gt;T145,1.0,IF(T147=T145,0.5,0.0)),""),"")</f>
        <v/>
      </c>
      <c r="AD147">
        <f>IF(ISNUMBER(T147),IF(ISNUMBER(T146),IF(T147&gt;T146,1.0,IF(T147=T146,0.5,0.0)),""),"")</f>
        <v/>
      </c>
      <c r="AE147">
        <f>IF(ISNUMBER(T147),IF(ISNUMBER(T148),IF(T147&gt;T148,1.0,IF(T147=T148,0.5,0.0)),""),"")</f>
        <v/>
      </c>
      <c r="AF147">
        <f>IF(ISNUMBER(T147),IF(ISNUMBER(T149),IF(T147&gt;T149,1.0,IF(T147=T149,0.5,0.0)),""),"")</f>
        <v/>
      </c>
      <c r="AG147" s="14">
        <f>IF(AND(ISNUMBER(S147),ISNUMBER(S143)),VLOOKUP(ABS(S147-S143),'IMP Table'!$A$2:$C$26,3)*SIGN(S147-S143),0)</f>
        <v/>
      </c>
      <c r="AH147">
        <f>IF(AND(ISNUMBER(S147),ISNUMBER(S144)),VLOOKUP(ABS(S147-S144),'IMP Table'!$A$2:$C$26,3)*SIGN(S147-S144),0)</f>
        <v/>
      </c>
      <c r="AI147">
        <f>IF(AND(ISNUMBER(S147),ISNUMBER(S145)),VLOOKUP(ABS(S147-S145),'IMP Table'!$A$2:$C$26,3)*SIGN(S147-S145),0)</f>
        <v/>
      </c>
      <c r="AJ147">
        <f>IF(AND(ISNUMBER(S147),ISNUMBER(S146)),VLOOKUP(ABS(S147-S146),'IMP Table'!$A$2:$C$26,3)*SIGN(S147-S146),0)</f>
        <v/>
      </c>
      <c r="AK147">
        <f>IF(AND(ISNUMBER(S147),ISNUMBER(S148)),VLOOKUP(ABS(S147-S148),'IMP Table'!$A$2:$C$26,3)*SIGN(S147-S148),0)</f>
        <v/>
      </c>
      <c r="AL147">
        <f>IF(AND(ISNUMBER(S147),ISNUMBER(S149)),VLOOKUP(ABS(S147-S149),'IMP Table'!$A$2:$C$26,3)*SIGN(S147-S149),0)</f>
        <v/>
      </c>
      <c r="AM147">
        <f>IF(AND(ISNUMBER(T147),ISNUMBER(T143)),VLOOKUP(ABS(T147-T143),'IMP Table'!$A$2:$C$26,3)*SIGN(T147-T143),0)</f>
        <v/>
      </c>
      <c r="AN147">
        <f>IF(AND(ISNUMBER(T147),ISNUMBER(T144)),VLOOKUP(ABS(T147-T144),'IMP Table'!$A$2:$C$26,3)*SIGN(T147-T144),0)</f>
        <v/>
      </c>
      <c r="AO147">
        <f>IF(AND(ISNUMBER(T147),ISNUMBER(T145)),VLOOKUP(ABS(T147-T145),'IMP Table'!$A$2:$C$26,3)*SIGN(T147-T145),0)</f>
        <v/>
      </c>
      <c r="AP147">
        <f>IF(AND(ISNUMBER(T147),ISNUMBER(T146)),VLOOKUP(ABS(T147-T146),'IMP Table'!$A$2:$C$26,3)*SIGN(T147-T146),0)</f>
        <v/>
      </c>
      <c r="AQ147">
        <f>IF(AND(ISNUMBER(T147),ISNUMBER(T148)),VLOOKUP(ABS(T147-T148),'IMP Table'!$A$2:$C$26,3)*SIGN(T147-T148),0)</f>
        <v/>
      </c>
      <c r="AR147">
        <f>IF(AND(ISNUMBER(T147),ISNUMBER(T149)),VLOOKUP(ABS(T147-T149),'IMP Table'!$A$2:$C$26,3)*SIGN(T147-T149),0)</f>
        <v/>
      </c>
    </row>
    <row r="148">
      <c r="B148" s="10">
        <f>'By Round'!A115</f>
        <v/>
      </c>
      <c r="C148" s="10">
        <f>'By Round'!B117</f>
        <v/>
      </c>
      <c r="D148" s="10">
        <f>'By Round'!C117</f>
        <v/>
      </c>
      <c r="E148" s="10">
        <f>'By Round'!D117</f>
        <v/>
      </c>
      <c r="F148" s="10">
        <f>IF(ISBLANK('By Round'!F117),"",'By Round'!F117)</f>
        <v/>
      </c>
      <c r="G148">
        <f>IF(ISBLANK('By Round'!G117),"",'By Round'!G117)</f>
        <v/>
      </c>
      <c r="H148">
        <f>IF(ISBLANK('By Round'!H117),"",'By Round'!H117)</f>
        <v/>
      </c>
      <c r="I148">
        <f>IF(ISBLANK('By Round'!I117),"",'By Round'!I117)</f>
        <v/>
      </c>
      <c r="J148">
        <f>IF(ISBLANK('By Round'!J117),"",'By Round'!J117)</f>
        <v/>
      </c>
      <c r="K148">
        <f>IF(ISBLANK('By Round'!K117),"",'By Round'!K117)</f>
        <v/>
      </c>
      <c r="L148">
        <f>IF(ISBLANK('By Round'!L117),"",'By Round'!L117)</f>
        <v/>
      </c>
      <c r="M148" s="11">
        <f>AVERAGE(AG148:AL148)</f>
        <v/>
      </c>
      <c r="N148" s="12">
        <f>AVERAGE(AM148:AR148)</f>
        <v/>
      </c>
      <c r="O148" s="13">
        <f>IF(COUNT(U148:Z148)&gt;0,Q148/COUNT(U148:Z148),0.5)</f>
        <v/>
      </c>
      <c r="P148" s="13">
        <f>IF(COUNT(AA148:AF148)&gt;0,R148/COUNT(AA148:AF148),0.5)</f>
        <v/>
      </c>
      <c r="Q148" s="5">
        <f>SUM(U148:Z148)</f>
        <v/>
      </c>
      <c r="R148" s="5">
        <f>SUM(AA148:AF148)</f>
        <v/>
      </c>
      <c r="S148" s="14">
        <f>IF(ISNUMBER(K148),K148,IF(ISNUMBER(L148),-L148,""))</f>
        <v/>
      </c>
      <c r="T148">
        <f>IF(ISNUMBER(L148),L148,IF(ISNUMBER(K148),-K148,""))</f>
        <v/>
      </c>
      <c r="U148" s="14">
        <f>IF(ISNUMBER(S148),IF(ISNUMBER(S143),IF(S148&gt;S143,1.0,IF(S148=S143,0.5,0.0)),""),"")</f>
        <v/>
      </c>
      <c r="V148">
        <f>IF(ISNUMBER(S148),IF(ISNUMBER(S144),IF(S148&gt;S144,1.0,IF(S148=S144,0.5,0.0)),""),"")</f>
        <v/>
      </c>
      <c r="W148">
        <f>IF(ISNUMBER(S148),IF(ISNUMBER(S145),IF(S148&gt;S145,1.0,IF(S148=S145,0.5,0.0)),""),"")</f>
        <v/>
      </c>
      <c r="X148">
        <f>IF(ISNUMBER(S148),IF(ISNUMBER(S146),IF(S148&gt;S146,1.0,IF(S148=S146,0.5,0.0)),""),"")</f>
        <v/>
      </c>
      <c r="Y148">
        <f>IF(ISNUMBER(S148),IF(ISNUMBER(S147),IF(S148&gt;S147,1.0,IF(S148=S147,0.5,0.0)),""),"")</f>
        <v/>
      </c>
      <c r="Z148">
        <f>IF(ISNUMBER(S148),IF(ISNUMBER(S149),IF(S148&gt;S149,1.0,IF(S148=S149,0.5,0.0)),""),"")</f>
        <v/>
      </c>
      <c r="AA148">
        <f>IF(ISNUMBER(T148),IF(ISNUMBER(T143),IF(T148&gt;T143,1.0,IF(T148=T143,0.5,0.0)),""),"")</f>
        <v/>
      </c>
      <c r="AB148">
        <f>IF(ISNUMBER(T148),IF(ISNUMBER(T144),IF(T148&gt;T144,1.0,IF(T148=T144,0.5,0.0)),""),"")</f>
        <v/>
      </c>
      <c r="AC148">
        <f>IF(ISNUMBER(T148),IF(ISNUMBER(T145),IF(T148&gt;T145,1.0,IF(T148=T145,0.5,0.0)),""),"")</f>
        <v/>
      </c>
      <c r="AD148">
        <f>IF(ISNUMBER(T148),IF(ISNUMBER(T146),IF(T148&gt;T146,1.0,IF(T148=T146,0.5,0.0)),""),"")</f>
        <v/>
      </c>
      <c r="AE148">
        <f>IF(ISNUMBER(T148),IF(ISNUMBER(T147),IF(T148&gt;T147,1.0,IF(T148=T147,0.5,0.0)),""),"")</f>
        <v/>
      </c>
      <c r="AF148">
        <f>IF(ISNUMBER(T148),IF(ISNUMBER(T149),IF(T148&gt;T149,1.0,IF(T148=T149,0.5,0.0)),""),"")</f>
        <v/>
      </c>
      <c r="AG148" s="14">
        <f>IF(AND(ISNUMBER(S148),ISNUMBER(S143)),VLOOKUP(ABS(S148-S143),'IMP Table'!$A$2:$C$26,3)*SIGN(S148-S143),0)</f>
        <v/>
      </c>
      <c r="AH148">
        <f>IF(AND(ISNUMBER(S148),ISNUMBER(S144)),VLOOKUP(ABS(S148-S144),'IMP Table'!$A$2:$C$26,3)*SIGN(S148-S144),0)</f>
        <v/>
      </c>
      <c r="AI148">
        <f>IF(AND(ISNUMBER(S148),ISNUMBER(S145)),VLOOKUP(ABS(S148-S145),'IMP Table'!$A$2:$C$26,3)*SIGN(S148-S145),0)</f>
        <v/>
      </c>
      <c r="AJ148">
        <f>IF(AND(ISNUMBER(S148),ISNUMBER(S146)),VLOOKUP(ABS(S148-S146),'IMP Table'!$A$2:$C$26,3)*SIGN(S148-S146),0)</f>
        <v/>
      </c>
      <c r="AK148">
        <f>IF(AND(ISNUMBER(S148),ISNUMBER(S147)),VLOOKUP(ABS(S148-S147),'IMP Table'!$A$2:$C$26,3)*SIGN(S148-S147),0)</f>
        <v/>
      </c>
      <c r="AL148">
        <f>IF(AND(ISNUMBER(S148),ISNUMBER(S149)),VLOOKUP(ABS(S148-S149),'IMP Table'!$A$2:$C$26,3)*SIGN(S148-S149),0)</f>
        <v/>
      </c>
      <c r="AM148">
        <f>IF(AND(ISNUMBER(T148),ISNUMBER(T143)),VLOOKUP(ABS(T148-T143),'IMP Table'!$A$2:$C$26,3)*SIGN(T148-T143),0)</f>
        <v/>
      </c>
      <c r="AN148">
        <f>IF(AND(ISNUMBER(T148),ISNUMBER(T144)),VLOOKUP(ABS(T148-T144),'IMP Table'!$A$2:$C$26,3)*SIGN(T148-T144),0)</f>
        <v/>
      </c>
      <c r="AO148">
        <f>IF(AND(ISNUMBER(T148),ISNUMBER(T145)),VLOOKUP(ABS(T148-T145),'IMP Table'!$A$2:$C$26,3)*SIGN(T148-T145),0)</f>
        <v/>
      </c>
      <c r="AP148">
        <f>IF(AND(ISNUMBER(T148),ISNUMBER(T146)),VLOOKUP(ABS(T148-T146),'IMP Table'!$A$2:$C$26,3)*SIGN(T148-T146),0)</f>
        <v/>
      </c>
      <c r="AQ148">
        <f>IF(AND(ISNUMBER(T148),ISNUMBER(T147)),VLOOKUP(ABS(T148-T147),'IMP Table'!$A$2:$C$26,3)*SIGN(T148-T147),0)</f>
        <v/>
      </c>
      <c r="AR148">
        <f>IF(AND(ISNUMBER(T148),ISNUMBER(T149)),VLOOKUP(ABS(T148-T149),'IMP Table'!$A$2:$C$26,3)*SIGN(T148-T149),0)</f>
        <v/>
      </c>
    </row>
    <row r="149">
      <c r="A149" s="15" t="n"/>
      <c r="B149" s="16">
        <f>'By Round'!A143</f>
        <v/>
      </c>
      <c r="C149" s="16">
        <f>'By Round'!B143</f>
        <v/>
      </c>
      <c r="D149" s="16">
        <f>'By Round'!C143</f>
        <v/>
      </c>
      <c r="E149" s="16">
        <f>'By Round'!D143</f>
        <v/>
      </c>
      <c r="F149" s="16">
        <f>IF(ISBLANK('By Round'!F143),"",'By Round'!F143)</f>
        <v/>
      </c>
      <c r="G149" s="15">
        <f>IF(ISBLANK('By Round'!G143),"",'By Round'!G143)</f>
        <v/>
      </c>
      <c r="H149" s="15">
        <f>IF(ISBLANK('By Round'!H143),"",'By Round'!H143)</f>
        <v/>
      </c>
      <c r="I149" s="15">
        <f>IF(ISBLANK('By Round'!I143),"",'By Round'!I143)</f>
        <v/>
      </c>
      <c r="J149" s="15">
        <f>IF(ISBLANK('By Round'!J143),"",'By Round'!J143)</f>
        <v/>
      </c>
      <c r="K149" s="15">
        <f>IF(ISBLANK('By Round'!K143),"",'By Round'!K143)</f>
        <v/>
      </c>
      <c r="L149" s="15">
        <f>IF(ISBLANK('By Round'!L143),"",'By Round'!L143)</f>
        <v/>
      </c>
      <c r="M149" s="17">
        <f>AVERAGE(AG149:AL149)</f>
        <v/>
      </c>
      <c r="N149" s="18">
        <f>AVERAGE(AM149:AR149)</f>
        <v/>
      </c>
      <c r="O149" s="19">
        <f>IF(COUNT(U149:Z149)&gt;0,Q149/COUNT(U149:Z149),0.5)</f>
        <v/>
      </c>
      <c r="P149" s="19">
        <f>IF(COUNT(AA149:AF149)&gt;0,R149/COUNT(AA149:AF149),0.5)</f>
        <v/>
      </c>
      <c r="Q149" s="20">
        <f>SUM(U149:Z149)</f>
        <v/>
      </c>
      <c r="R149" s="20">
        <f>SUM(AA149:AF149)</f>
        <v/>
      </c>
      <c r="S149" s="21">
        <f>IF(ISNUMBER(K149),K149,IF(ISNUMBER(L149),-L149,""))</f>
        <v/>
      </c>
      <c r="T149" s="15">
        <f>IF(ISNUMBER(L149),L149,IF(ISNUMBER(K149),-K149,""))</f>
        <v/>
      </c>
      <c r="U149" s="21">
        <f>IF(ISNUMBER(S149),IF(ISNUMBER(S143),IF(S149&gt;S143,1.0,IF(S149=S143,0.5,0.0)),""),"")</f>
        <v/>
      </c>
      <c r="V149" s="15">
        <f>IF(ISNUMBER(S149),IF(ISNUMBER(S144),IF(S149&gt;S144,1.0,IF(S149=S144,0.5,0.0)),""),"")</f>
        <v/>
      </c>
      <c r="W149" s="15">
        <f>IF(ISNUMBER(S149),IF(ISNUMBER(S145),IF(S149&gt;S145,1.0,IF(S149=S145,0.5,0.0)),""),"")</f>
        <v/>
      </c>
      <c r="X149" s="15">
        <f>IF(ISNUMBER(S149),IF(ISNUMBER(S146),IF(S149&gt;S146,1.0,IF(S149=S146,0.5,0.0)),""),"")</f>
        <v/>
      </c>
      <c r="Y149" s="15">
        <f>IF(ISNUMBER(S149),IF(ISNUMBER(S147),IF(S149&gt;S147,1.0,IF(S149=S147,0.5,0.0)),""),"")</f>
        <v/>
      </c>
      <c r="Z149" s="15">
        <f>IF(ISNUMBER(S149),IF(ISNUMBER(S148),IF(S149&gt;S148,1.0,IF(S149=S148,0.5,0.0)),""),"")</f>
        <v/>
      </c>
      <c r="AA149" s="15">
        <f>IF(ISNUMBER(T149),IF(ISNUMBER(T143),IF(T149&gt;T143,1.0,IF(T149=T143,0.5,0.0)),""),"")</f>
        <v/>
      </c>
      <c r="AB149" s="15">
        <f>IF(ISNUMBER(T149),IF(ISNUMBER(T144),IF(T149&gt;T144,1.0,IF(T149=T144,0.5,0.0)),""),"")</f>
        <v/>
      </c>
      <c r="AC149" s="15">
        <f>IF(ISNUMBER(T149),IF(ISNUMBER(T145),IF(T149&gt;T145,1.0,IF(T149=T145,0.5,0.0)),""),"")</f>
        <v/>
      </c>
      <c r="AD149" s="15">
        <f>IF(ISNUMBER(T149),IF(ISNUMBER(T146),IF(T149&gt;T146,1.0,IF(T149=T146,0.5,0.0)),""),"")</f>
        <v/>
      </c>
      <c r="AE149" s="15">
        <f>IF(ISNUMBER(T149),IF(ISNUMBER(T147),IF(T149&gt;T147,1.0,IF(T149=T147,0.5,0.0)),""),"")</f>
        <v/>
      </c>
      <c r="AF149" s="15">
        <f>IF(ISNUMBER(T149),IF(ISNUMBER(T148),IF(T149&gt;T148,1.0,IF(T149=T148,0.5,0.0)),""),"")</f>
        <v/>
      </c>
      <c r="AG149" s="21">
        <f>IF(AND(ISNUMBER(S149),ISNUMBER(S143)),VLOOKUP(ABS(S149-S143),'IMP Table'!$A$2:$C$26,3)*SIGN(S149-S143),0)</f>
        <v/>
      </c>
      <c r="AH149" s="15">
        <f>IF(AND(ISNUMBER(S149),ISNUMBER(S144)),VLOOKUP(ABS(S149-S144),'IMP Table'!$A$2:$C$26,3)*SIGN(S149-S144),0)</f>
        <v/>
      </c>
      <c r="AI149" s="15">
        <f>IF(AND(ISNUMBER(S149),ISNUMBER(S145)),VLOOKUP(ABS(S149-S145),'IMP Table'!$A$2:$C$26,3)*SIGN(S149-S145),0)</f>
        <v/>
      </c>
      <c r="AJ149" s="15">
        <f>IF(AND(ISNUMBER(S149),ISNUMBER(S146)),VLOOKUP(ABS(S149-S146),'IMP Table'!$A$2:$C$26,3)*SIGN(S149-S146),0)</f>
        <v/>
      </c>
      <c r="AK149" s="15">
        <f>IF(AND(ISNUMBER(S149),ISNUMBER(S147)),VLOOKUP(ABS(S149-S147),'IMP Table'!$A$2:$C$26,3)*SIGN(S149-S147),0)</f>
        <v/>
      </c>
      <c r="AL149" s="15">
        <f>IF(AND(ISNUMBER(S149),ISNUMBER(S148)),VLOOKUP(ABS(S149-S148),'IMP Table'!$A$2:$C$26,3)*SIGN(S149-S148),0)</f>
        <v/>
      </c>
      <c r="AM149" s="15">
        <f>IF(AND(ISNUMBER(T149),ISNUMBER(T143)),VLOOKUP(ABS(T149-T143),'IMP Table'!$A$2:$C$26,3)*SIGN(T149-T143),0)</f>
        <v/>
      </c>
      <c r="AN149" s="15">
        <f>IF(AND(ISNUMBER(T149),ISNUMBER(T144)),VLOOKUP(ABS(T149-T144),'IMP Table'!$A$2:$C$26,3)*SIGN(T149-T144),0)</f>
        <v/>
      </c>
      <c r="AO149" s="15">
        <f>IF(AND(ISNUMBER(T149),ISNUMBER(T145)),VLOOKUP(ABS(T149-T145),'IMP Table'!$A$2:$C$26,3)*SIGN(T149-T145),0)</f>
        <v/>
      </c>
      <c r="AP149" s="15">
        <f>IF(AND(ISNUMBER(T149),ISNUMBER(T146)),VLOOKUP(ABS(T149-T146),'IMP Table'!$A$2:$C$26,3)*SIGN(T149-T146),0)</f>
        <v/>
      </c>
      <c r="AQ149" s="15">
        <f>IF(AND(ISNUMBER(T149),ISNUMBER(T147)),VLOOKUP(ABS(T149-T147),'IMP Table'!$A$2:$C$26,3)*SIGN(T149-T147),0)</f>
        <v/>
      </c>
      <c r="AR149" s="15">
        <f>IF(AND(ISNUMBER(T149),ISNUMBER(T148)),VLOOKUP(ABS(T149-T148),'IMP Table'!$A$2:$C$26,3)*SIGN(T149-T148),0)</f>
        <v/>
      </c>
    </row>
    <row r="150">
      <c r="A150" s="10" t="n">
        <v>22</v>
      </c>
      <c r="B150" s="10">
        <f>'By Round'!A87</f>
        <v/>
      </c>
      <c r="C150" s="10">
        <f>'By Round'!B93</f>
        <v/>
      </c>
      <c r="D150" s="10">
        <f>'By Round'!C93</f>
        <v/>
      </c>
      <c r="E150" s="10">
        <f>'By Round'!D93</f>
        <v/>
      </c>
      <c r="F150" s="10">
        <f>IF(ISBLANK('By Round'!F94),"",'By Round'!F94)</f>
        <v/>
      </c>
      <c r="G150">
        <f>IF(ISBLANK('By Round'!G94),"",'By Round'!G94)</f>
        <v/>
      </c>
      <c r="H150">
        <f>IF(ISBLANK('By Round'!H94),"",'By Round'!H94)</f>
        <v/>
      </c>
      <c r="I150">
        <f>IF(ISBLANK('By Round'!I94),"",'By Round'!I94)</f>
        <v/>
      </c>
      <c r="J150">
        <f>IF(ISBLANK('By Round'!J94),"",'By Round'!J94)</f>
        <v/>
      </c>
      <c r="K150">
        <f>IF(ISBLANK('By Round'!K94),"",'By Round'!K94)</f>
        <v/>
      </c>
      <c r="L150">
        <f>IF(ISBLANK('By Round'!L94),"",'By Round'!L94)</f>
        <v/>
      </c>
      <c r="M150" s="11">
        <f>AVERAGE(AG150:AL150)</f>
        <v/>
      </c>
      <c r="N150" s="12">
        <f>AVERAGE(AM150:AR150)</f>
        <v/>
      </c>
      <c r="O150" s="13">
        <f>IF(COUNT(U150:Z150)&gt;0,Q150/COUNT(U150:Z150),0.5)</f>
        <v/>
      </c>
      <c r="P150" s="13">
        <f>IF(COUNT(AA150:AF150)&gt;0,R150/COUNT(AA150:AF150),0.5)</f>
        <v/>
      </c>
      <c r="Q150" s="5">
        <f>SUM(U150:Z150)</f>
        <v/>
      </c>
      <c r="R150" s="5">
        <f>SUM(AA150:AF150)</f>
        <v/>
      </c>
      <c r="S150" s="14">
        <f>IF(ISNUMBER(K150),K150,IF(ISNUMBER(L150),-L150,""))</f>
        <v/>
      </c>
      <c r="T150">
        <f>IF(ISNUMBER(L150),L150,IF(ISNUMBER(K150),-K150,""))</f>
        <v/>
      </c>
      <c r="U150" s="14">
        <f>IF(ISNUMBER(S150),IF(ISNUMBER(S151),IF(S150&gt;S151,1.0,IF(S150=S151,0.5,0.0)),""),"")</f>
        <v/>
      </c>
      <c r="V150">
        <f>IF(ISNUMBER(S150),IF(ISNUMBER(S152),IF(S150&gt;S152,1.0,IF(S150=S152,0.5,0.0)),""),"")</f>
        <v/>
      </c>
      <c r="W150">
        <f>IF(ISNUMBER(S150),IF(ISNUMBER(S153),IF(S150&gt;S153,1.0,IF(S150=S153,0.5,0.0)),""),"")</f>
        <v/>
      </c>
      <c r="X150">
        <f>IF(ISNUMBER(S150),IF(ISNUMBER(S154),IF(S150&gt;S154,1.0,IF(S150=S154,0.5,0.0)),""),"")</f>
        <v/>
      </c>
      <c r="Y150">
        <f>IF(ISNUMBER(S150),IF(ISNUMBER(S155),IF(S150&gt;S155,1.0,IF(S150=S155,0.5,0.0)),""),"")</f>
        <v/>
      </c>
      <c r="Z150">
        <f>IF(ISNUMBER(S150),IF(ISNUMBER(S156),IF(S150&gt;S156,1.0,IF(S150=S156,0.5,0.0)),""),"")</f>
        <v/>
      </c>
      <c r="AA150">
        <f>IF(ISNUMBER(T150),IF(ISNUMBER(T151),IF(T150&gt;T151,1.0,IF(T150=T151,0.5,0.0)),""),"")</f>
        <v/>
      </c>
      <c r="AB150">
        <f>IF(ISNUMBER(T150),IF(ISNUMBER(T152),IF(T150&gt;T152,1.0,IF(T150=T152,0.5,0.0)),""),"")</f>
        <v/>
      </c>
      <c r="AC150">
        <f>IF(ISNUMBER(T150),IF(ISNUMBER(T153),IF(T150&gt;T153,1.0,IF(T150=T153,0.5,0.0)),""),"")</f>
        <v/>
      </c>
      <c r="AD150">
        <f>IF(ISNUMBER(T150),IF(ISNUMBER(T154),IF(T150&gt;T154,1.0,IF(T150=T154,0.5,0.0)),""),"")</f>
        <v/>
      </c>
      <c r="AE150">
        <f>IF(ISNUMBER(T150),IF(ISNUMBER(T155),IF(T150&gt;T155,1.0,IF(T150=T155,0.5,0.0)),""),"")</f>
        <v/>
      </c>
      <c r="AF150">
        <f>IF(ISNUMBER(T150),IF(ISNUMBER(T156),IF(T150&gt;T156,1.0,IF(T150=T156,0.5,0.0)),""),"")</f>
        <v/>
      </c>
      <c r="AG150" s="14">
        <f>IF(AND(ISNUMBER(S150),ISNUMBER(S151)),VLOOKUP(ABS(S150-S151),'IMP Table'!$A$2:$C$26,3)*SIGN(S150-S151),0)</f>
        <v/>
      </c>
      <c r="AH150">
        <f>IF(AND(ISNUMBER(S150),ISNUMBER(S152)),VLOOKUP(ABS(S150-S152),'IMP Table'!$A$2:$C$26,3)*SIGN(S150-S152),0)</f>
        <v/>
      </c>
      <c r="AI150">
        <f>IF(AND(ISNUMBER(S150),ISNUMBER(S153)),VLOOKUP(ABS(S150-S153),'IMP Table'!$A$2:$C$26,3)*SIGN(S150-S153),0)</f>
        <v/>
      </c>
      <c r="AJ150">
        <f>IF(AND(ISNUMBER(S150),ISNUMBER(S154)),VLOOKUP(ABS(S150-S154),'IMP Table'!$A$2:$C$26,3)*SIGN(S150-S154),0)</f>
        <v/>
      </c>
      <c r="AK150">
        <f>IF(AND(ISNUMBER(S150),ISNUMBER(S155)),VLOOKUP(ABS(S150-S155),'IMP Table'!$A$2:$C$26,3)*SIGN(S150-S155),0)</f>
        <v/>
      </c>
      <c r="AL150">
        <f>IF(AND(ISNUMBER(S150),ISNUMBER(S156)),VLOOKUP(ABS(S150-S156),'IMP Table'!$A$2:$C$26,3)*SIGN(S150-S156),0)</f>
        <v/>
      </c>
      <c r="AM150">
        <f>IF(AND(ISNUMBER(T150),ISNUMBER(T151)),VLOOKUP(ABS(T150-T151),'IMP Table'!$A$2:$C$26,3)*SIGN(T150-T151),0)</f>
        <v/>
      </c>
      <c r="AN150">
        <f>IF(AND(ISNUMBER(T150),ISNUMBER(T152)),VLOOKUP(ABS(T150-T152),'IMP Table'!$A$2:$C$26,3)*SIGN(T150-T152),0)</f>
        <v/>
      </c>
      <c r="AO150">
        <f>IF(AND(ISNUMBER(T150),ISNUMBER(T153)),VLOOKUP(ABS(T150-T153),'IMP Table'!$A$2:$C$26,3)*SIGN(T150-T153),0)</f>
        <v/>
      </c>
      <c r="AP150">
        <f>IF(AND(ISNUMBER(T150),ISNUMBER(T154)),VLOOKUP(ABS(T150-T154),'IMP Table'!$A$2:$C$26,3)*SIGN(T150-T154),0)</f>
        <v/>
      </c>
      <c r="AQ150">
        <f>IF(AND(ISNUMBER(T150),ISNUMBER(T155)),VLOOKUP(ABS(T150-T155),'IMP Table'!$A$2:$C$26,3)*SIGN(T150-T155),0)</f>
        <v/>
      </c>
      <c r="AR150">
        <f>IF(AND(ISNUMBER(T150),ISNUMBER(T156)),VLOOKUP(ABS(T150-T156),'IMP Table'!$A$2:$C$26,3)*SIGN(T150-T156),0)</f>
        <v/>
      </c>
    </row>
    <row r="151">
      <c r="B151" s="10">
        <f>'By Round'!A171</f>
        <v/>
      </c>
      <c r="C151" s="10">
        <f>'By Round'!B183</f>
        <v/>
      </c>
      <c r="D151" s="10">
        <f>'By Round'!C183</f>
        <v/>
      </c>
      <c r="E151" s="10">
        <f>'By Round'!D183</f>
        <v/>
      </c>
      <c r="F151" s="10">
        <f>IF(ISBLANK('By Round'!F184),"",'By Round'!F184)</f>
        <v/>
      </c>
      <c r="G151">
        <f>IF(ISBLANK('By Round'!G184),"",'By Round'!G184)</f>
        <v/>
      </c>
      <c r="H151">
        <f>IF(ISBLANK('By Round'!H184),"",'By Round'!H184)</f>
        <v/>
      </c>
      <c r="I151">
        <f>IF(ISBLANK('By Round'!I184),"",'By Round'!I184)</f>
        <v/>
      </c>
      <c r="J151">
        <f>IF(ISBLANK('By Round'!J184),"",'By Round'!J184)</f>
        <v/>
      </c>
      <c r="K151">
        <f>IF(ISBLANK('By Round'!K184),"",'By Round'!K184)</f>
        <v/>
      </c>
      <c r="L151">
        <f>IF(ISBLANK('By Round'!L184),"",'By Round'!L184)</f>
        <v/>
      </c>
      <c r="M151" s="11">
        <f>AVERAGE(AG151:AL151)</f>
        <v/>
      </c>
      <c r="N151" s="12">
        <f>AVERAGE(AM151:AR151)</f>
        <v/>
      </c>
      <c r="O151" s="13">
        <f>IF(COUNT(U151:Z151)&gt;0,Q151/COUNT(U151:Z151),0.5)</f>
        <v/>
      </c>
      <c r="P151" s="13">
        <f>IF(COUNT(AA151:AF151)&gt;0,R151/COUNT(AA151:AF151),0.5)</f>
        <v/>
      </c>
      <c r="Q151" s="5">
        <f>SUM(U151:Z151)</f>
        <v/>
      </c>
      <c r="R151" s="5">
        <f>SUM(AA151:AF151)</f>
        <v/>
      </c>
      <c r="S151" s="14">
        <f>IF(ISNUMBER(K151),K151,IF(ISNUMBER(L151),-L151,""))</f>
        <v/>
      </c>
      <c r="T151">
        <f>IF(ISNUMBER(L151),L151,IF(ISNUMBER(K151),-K151,""))</f>
        <v/>
      </c>
      <c r="U151" s="14">
        <f>IF(ISNUMBER(S151),IF(ISNUMBER(S150),IF(S151&gt;S150,1.0,IF(S151=S150,0.5,0.0)),""),"")</f>
        <v/>
      </c>
      <c r="V151">
        <f>IF(ISNUMBER(S151),IF(ISNUMBER(S152),IF(S151&gt;S152,1.0,IF(S151=S152,0.5,0.0)),""),"")</f>
        <v/>
      </c>
      <c r="W151">
        <f>IF(ISNUMBER(S151),IF(ISNUMBER(S153),IF(S151&gt;S153,1.0,IF(S151=S153,0.5,0.0)),""),"")</f>
        <v/>
      </c>
      <c r="X151">
        <f>IF(ISNUMBER(S151),IF(ISNUMBER(S154),IF(S151&gt;S154,1.0,IF(S151=S154,0.5,0.0)),""),"")</f>
        <v/>
      </c>
      <c r="Y151">
        <f>IF(ISNUMBER(S151),IF(ISNUMBER(S155),IF(S151&gt;S155,1.0,IF(S151=S155,0.5,0.0)),""),"")</f>
        <v/>
      </c>
      <c r="Z151">
        <f>IF(ISNUMBER(S151),IF(ISNUMBER(S156),IF(S151&gt;S156,1.0,IF(S151=S156,0.5,0.0)),""),"")</f>
        <v/>
      </c>
      <c r="AA151">
        <f>IF(ISNUMBER(T151),IF(ISNUMBER(T150),IF(T151&gt;T150,1.0,IF(T151=T150,0.5,0.0)),""),"")</f>
        <v/>
      </c>
      <c r="AB151">
        <f>IF(ISNUMBER(T151),IF(ISNUMBER(T152),IF(T151&gt;T152,1.0,IF(T151=T152,0.5,0.0)),""),"")</f>
        <v/>
      </c>
      <c r="AC151">
        <f>IF(ISNUMBER(T151),IF(ISNUMBER(T153),IF(T151&gt;T153,1.0,IF(T151=T153,0.5,0.0)),""),"")</f>
        <v/>
      </c>
      <c r="AD151">
        <f>IF(ISNUMBER(T151),IF(ISNUMBER(T154),IF(T151&gt;T154,1.0,IF(T151=T154,0.5,0.0)),""),"")</f>
        <v/>
      </c>
      <c r="AE151">
        <f>IF(ISNUMBER(T151),IF(ISNUMBER(T155),IF(T151&gt;T155,1.0,IF(T151=T155,0.5,0.0)),""),"")</f>
        <v/>
      </c>
      <c r="AF151">
        <f>IF(ISNUMBER(T151),IF(ISNUMBER(T156),IF(T151&gt;T156,1.0,IF(T151=T156,0.5,0.0)),""),"")</f>
        <v/>
      </c>
      <c r="AG151" s="14">
        <f>IF(AND(ISNUMBER(S151),ISNUMBER(S150)),VLOOKUP(ABS(S151-S150),'IMP Table'!$A$2:$C$26,3)*SIGN(S151-S150),0)</f>
        <v/>
      </c>
      <c r="AH151">
        <f>IF(AND(ISNUMBER(S151),ISNUMBER(S152)),VLOOKUP(ABS(S151-S152),'IMP Table'!$A$2:$C$26,3)*SIGN(S151-S152),0)</f>
        <v/>
      </c>
      <c r="AI151">
        <f>IF(AND(ISNUMBER(S151),ISNUMBER(S153)),VLOOKUP(ABS(S151-S153),'IMP Table'!$A$2:$C$26,3)*SIGN(S151-S153),0)</f>
        <v/>
      </c>
      <c r="AJ151">
        <f>IF(AND(ISNUMBER(S151),ISNUMBER(S154)),VLOOKUP(ABS(S151-S154),'IMP Table'!$A$2:$C$26,3)*SIGN(S151-S154),0)</f>
        <v/>
      </c>
      <c r="AK151">
        <f>IF(AND(ISNUMBER(S151),ISNUMBER(S155)),VLOOKUP(ABS(S151-S155),'IMP Table'!$A$2:$C$26,3)*SIGN(S151-S155),0)</f>
        <v/>
      </c>
      <c r="AL151">
        <f>IF(AND(ISNUMBER(S151),ISNUMBER(S156)),VLOOKUP(ABS(S151-S156),'IMP Table'!$A$2:$C$26,3)*SIGN(S151-S156),0)</f>
        <v/>
      </c>
      <c r="AM151">
        <f>IF(AND(ISNUMBER(T151),ISNUMBER(T150)),VLOOKUP(ABS(T151-T150),'IMP Table'!$A$2:$C$26,3)*SIGN(T151-T150),0)</f>
        <v/>
      </c>
      <c r="AN151">
        <f>IF(AND(ISNUMBER(T151),ISNUMBER(T152)),VLOOKUP(ABS(T151-T152),'IMP Table'!$A$2:$C$26,3)*SIGN(T151-T152),0)</f>
        <v/>
      </c>
      <c r="AO151">
        <f>IF(AND(ISNUMBER(T151),ISNUMBER(T153)),VLOOKUP(ABS(T151-T153),'IMP Table'!$A$2:$C$26,3)*SIGN(T151-T153),0)</f>
        <v/>
      </c>
      <c r="AP151">
        <f>IF(AND(ISNUMBER(T151),ISNUMBER(T154)),VLOOKUP(ABS(T151-T154),'IMP Table'!$A$2:$C$26,3)*SIGN(T151-T154),0)</f>
        <v/>
      </c>
      <c r="AQ151">
        <f>IF(AND(ISNUMBER(T151),ISNUMBER(T155)),VLOOKUP(ABS(T151-T155),'IMP Table'!$A$2:$C$26,3)*SIGN(T151-T155),0)</f>
        <v/>
      </c>
      <c r="AR151">
        <f>IF(AND(ISNUMBER(T151),ISNUMBER(T156)),VLOOKUP(ABS(T151-T156),'IMP Table'!$A$2:$C$26,3)*SIGN(T151-T156),0)</f>
        <v/>
      </c>
    </row>
    <row r="152">
      <c r="B152" s="10">
        <f>'By Round'!A17</f>
        <v/>
      </c>
      <c r="C152" s="10">
        <f>'By Round'!B25</f>
        <v/>
      </c>
      <c r="D152" s="10">
        <f>'By Round'!C25</f>
        <v/>
      </c>
      <c r="E152" s="10">
        <f>'By Round'!D25</f>
        <v/>
      </c>
      <c r="F152" s="10">
        <f>IF(ISBLANK('By Round'!F26),"",'By Round'!F26)</f>
        <v/>
      </c>
      <c r="G152">
        <f>IF(ISBLANK('By Round'!G26),"",'By Round'!G26)</f>
        <v/>
      </c>
      <c r="H152">
        <f>IF(ISBLANK('By Round'!H26),"",'By Round'!H26)</f>
        <v/>
      </c>
      <c r="I152">
        <f>IF(ISBLANK('By Round'!I26),"",'By Round'!I26)</f>
        <v/>
      </c>
      <c r="J152">
        <f>IF(ISBLANK('By Round'!J26),"",'By Round'!J26)</f>
        <v/>
      </c>
      <c r="K152">
        <f>IF(ISBLANK('By Round'!K26),"",'By Round'!K26)</f>
        <v/>
      </c>
      <c r="L152">
        <f>IF(ISBLANK('By Round'!L26),"",'By Round'!L26)</f>
        <v/>
      </c>
      <c r="M152" s="11">
        <f>AVERAGE(AG152:AL152)</f>
        <v/>
      </c>
      <c r="N152" s="12">
        <f>AVERAGE(AM152:AR152)</f>
        <v/>
      </c>
      <c r="O152" s="13">
        <f>IF(COUNT(U152:Z152)&gt;0,Q152/COUNT(U152:Z152),0.5)</f>
        <v/>
      </c>
      <c r="P152" s="13">
        <f>IF(COUNT(AA152:AF152)&gt;0,R152/COUNT(AA152:AF152),0.5)</f>
        <v/>
      </c>
      <c r="Q152" s="5">
        <f>SUM(U152:Z152)</f>
        <v/>
      </c>
      <c r="R152" s="5">
        <f>SUM(AA152:AF152)</f>
        <v/>
      </c>
      <c r="S152" s="14">
        <f>IF(ISNUMBER(K152),K152,IF(ISNUMBER(L152),-L152,""))</f>
        <v/>
      </c>
      <c r="T152">
        <f>IF(ISNUMBER(L152),L152,IF(ISNUMBER(K152),-K152,""))</f>
        <v/>
      </c>
      <c r="U152" s="14">
        <f>IF(ISNUMBER(S152),IF(ISNUMBER(S150),IF(S152&gt;S150,1.0,IF(S152=S150,0.5,0.0)),""),"")</f>
        <v/>
      </c>
      <c r="V152">
        <f>IF(ISNUMBER(S152),IF(ISNUMBER(S151),IF(S152&gt;S151,1.0,IF(S152=S151,0.5,0.0)),""),"")</f>
        <v/>
      </c>
      <c r="W152">
        <f>IF(ISNUMBER(S152),IF(ISNUMBER(S153),IF(S152&gt;S153,1.0,IF(S152=S153,0.5,0.0)),""),"")</f>
        <v/>
      </c>
      <c r="X152">
        <f>IF(ISNUMBER(S152),IF(ISNUMBER(S154),IF(S152&gt;S154,1.0,IF(S152=S154,0.5,0.0)),""),"")</f>
        <v/>
      </c>
      <c r="Y152">
        <f>IF(ISNUMBER(S152),IF(ISNUMBER(S155),IF(S152&gt;S155,1.0,IF(S152=S155,0.5,0.0)),""),"")</f>
        <v/>
      </c>
      <c r="Z152">
        <f>IF(ISNUMBER(S152),IF(ISNUMBER(S156),IF(S152&gt;S156,1.0,IF(S152=S156,0.5,0.0)),""),"")</f>
        <v/>
      </c>
      <c r="AA152">
        <f>IF(ISNUMBER(T152),IF(ISNUMBER(T150),IF(T152&gt;T150,1.0,IF(T152=T150,0.5,0.0)),""),"")</f>
        <v/>
      </c>
      <c r="AB152">
        <f>IF(ISNUMBER(T152),IF(ISNUMBER(T151),IF(T152&gt;T151,1.0,IF(T152=T151,0.5,0.0)),""),"")</f>
        <v/>
      </c>
      <c r="AC152">
        <f>IF(ISNUMBER(T152),IF(ISNUMBER(T153),IF(T152&gt;T153,1.0,IF(T152=T153,0.5,0.0)),""),"")</f>
        <v/>
      </c>
      <c r="AD152">
        <f>IF(ISNUMBER(T152),IF(ISNUMBER(T154),IF(T152&gt;T154,1.0,IF(T152=T154,0.5,0.0)),""),"")</f>
        <v/>
      </c>
      <c r="AE152">
        <f>IF(ISNUMBER(T152),IF(ISNUMBER(T155),IF(T152&gt;T155,1.0,IF(T152=T155,0.5,0.0)),""),"")</f>
        <v/>
      </c>
      <c r="AF152">
        <f>IF(ISNUMBER(T152),IF(ISNUMBER(T156),IF(T152&gt;T156,1.0,IF(T152=T156,0.5,0.0)),""),"")</f>
        <v/>
      </c>
      <c r="AG152" s="14">
        <f>IF(AND(ISNUMBER(S152),ISNUMBER(S150)),VLOOKUP(ABS(S152-S150),'IMP Table'!$A$2:$C$26,3)*SIGN(S152-S150),0)</f>
        <v/>
      </c>
      <c r="AH152">
        <f>IF(AND(ISNUMBER(S152),ISNUMBER(S151)),VLOOKUP(ABS(S152-S151),'IMP Table'!$A$2:$C$26,3)*SIGN(S152-S151),0)</f>
        <v/>
      </c>
      <c r="AI152">
        <f>IF(AND(ISNUMBER(S152),ISNUMBER(S153)),VLOOKUP(ABS(S152-S153),'IMP Table'!$A$2:$C$26,3)*SIGN(S152-S153),0)</f>
        <v/>
      </c>
      <c r="AJ152">
        <f>IF(AND(ISNUMBER(S152),ISNUMBER(S154)),VLOOKUP(ABS(S152-S154),'IMP Table'!$A$2:$C$26,3)*SIGN(S152-S154),0)</f>
        <v/>
      </c>
      <c r="AK152">
        <f>IF(AND(ISNUMBER(S152),ISNUMBER(S155)),VLOOKUP(ABS(S152-S155),'IMP Table'!$A$2:$C$26,3)*SIGN(S152-S155),0)</f>
        <v/>
      </c>
      <c r="AL152">
        <f>IF(AND(ISNUMBER(S152),ISNUMBER(S156)),VLOOKUP(ABS(S152-S156),'IMP Table'!$A$2:$C$26,3)*SIGN(S152-S156),0)</f>
        <v/>
      </c>
      <c r="AM152">
        <f>IF(AND(ISNUMBER(T152),ISNUMBER(T150)),VLOOKUP(ABS(T152-T150),'IMP Table'!$A$2:$C$26,3)*SIGN(T152-T150),0)</f>
        <v/>
      </c>
      <c r="AN152">
        <f>IF(AND(ISNUMBER(T152),ISNUMBER(T151)),VLOOKUP(ABS(T152-T151),'IMP Table'!$A$2:$C$26,3)*SIGN(T152-T151),0)</f>
        <v/>
      </c>
      <c r="AO152">
        <f>IF(AND(ISNUMBER(T152),ISNUMBER(T153)),VLOOKUP(ABS(T152-T153),'IMP Table'!$A$2:$C$26,3)*SIGN(T152-T153),0)</f>
        <v/>
      </c>
      <c r="AP152">
        <f>IF(AND(ISNUMBER(T152),ISNUMBER(T154)),VLOOKUP(ABS(T152-T154),'IMP Table'!$A$2:$C$26,3)*SIGN(T152-T154),0)</f>
        <v/>
      </c>
      <c r="AQ152">
        <f>IF(AND(ISNUMBER(T152),ISNUMBER(T155)),VLOOKUP(ABS(T152-T155),'IMP Table'!$A$2:$C$26,3)*SIGN(T152-T155),0)</f>
        <v/>
      </c>
      <c r="AR152">
        <f>IF(AND(ISNUMBER(T152),ISNUMBER(T156)),VLOOKUP(ABS(T152-T156),'IMP Table'!$A$2:$C$26,3)*SIGN(T152-T156),0)</f>
        <v/>
      </c>
    </row>
    <row r="153">
      <c r="B153" s="10">
        <f>'By Round'!A3</f>
        <v/>
      </c>
      <c r="C153" s="10">
        <f>'By Round'!B13</f>
        <v/>
      </c>
      <c r="D153" s="10">
        <f>'By Round'!C13</f>
        <v/>
      </c>
      <c r="E153" s="10">
        <f>'By Round'!D13</f>
        <v/>
      </c>
      <c r="F153" s="10">
        <f>IF(ISBLANK('By Round'!F14),"",'By Round'!F14)</f>
        <v/>
      </c>
      <c r="G153">
        <f>IF(ISBLANK('By Round'!G14),"",'By Round'!G14)</f>
        <v/>
      </c>
      <c r="H153">
        <f>IF(ISBLANK('By Round'!H14),"",'By Round'!H14)</f>
        <v/>
      </c>
      <c r="I153">
        <f>IF(ISBLANK('By Round'!I14),"",'By Round'!I14)</f>
        <v/>
      </c>
      <c r="J153">
        <f>IF(ISBLANK('By Round'!J14),"",'By Round'!J14)</f>
        <v/>
      </c>
      <c r="K153">
        <f>IF(ISBLANK('By Round'!K14),"",'By Round'!K14)</f>
        <v/>
      </c>
      <c r="L153">
        <f>IF(ISBLANK('By Round'!L14),"",'By Round'!L14)</f>
        <v/>
      </c>
      <c r="M153" s="11">
        <f>AVERAGE(AG153:AL153)</f>
        <v/>
      </c>
      <c r="N153" s="12">
        <f>AVERAGE(AM153:AR153)</f>
        <v/>
      </c>
      <c r="O153" s="13">
        <f>IF(COUNT(U153:Z153)&gt;0,Q153/COUNT(U153:Z153),0.5)</f>
        <v/>
      </c>
      <c r="P153" s="13">
        <f>IF(COUNT(AA153:AF153)&gt;0,R153/COUNT(AA153:AF153),0.5)</f>
        <v/>
      </c>
      <c r="Q153" s="5">
        <f>SUM(U153:Z153)</f>
        <v/>
      </c>
      <c r="R153" s="5">
        <f>SUM(AA153:AF153)</f>
        <v/>
      </c>
      <c r="S153" s="14">
        <f>IF(ISNUMBER(K153),K153,IF(ISNUMBER(L153),-L153,""))</f>
        <v/>
      </c>
      <c r="T153">
        <f>IF(ISNUMBER(L153),L153,IF(ISNUMBER(K153),-K153,""))</f>
        <v/>
      </c>
      <c r="U153" s="14">
        <f>IF(ISNUMBER(S153),IF(ISNUMBER(S150),IF(S153&gt;S150,1.0,IF(S153=S150,0.5,0.0)),""),"")</f>
        <v/>
      </c>
      <c r="V153">
        <f>IF(ISNUMBER(S153),IF(ISNUMBER(S151),IF(S153&gt;S151,1.0,IF(S153=S151,0.5,0.0)),""),"")</f>
        <v/>
      </c>
      <c r="W153">
        <f>IF(ISNUMBER(S153),IF(ISNUMBER(S152),IF(S153&gt;S152,1.0,IF(S153=S152,0.5,0.0)),""),"")</f>
        <v/>
      </c>
      <c r="X153">
        <f>IF(ISNUMBER(S153),IF(ISNUMBER(S154),IF(S153&gt;S154,1.0,IF(S153=S154,0.5,0.0)),""),"")</f>
        <v/>
      </c>
      <c r="Y153">
        <f>IF(ISNUMBER(S153),IF(ISNUMBER(S155),IF(S153&gt;S155,1.0,IF(S153=S155,0.5,0.0)),""),"")</f>
        <v/>
      </c>
      <c r="Z153">
        <f>IF(ISNUMBER(S153),IF(ISNUMBER(S156),IF(S153&gt;S156,1.0,IF(S153=S156,0.5,0.0)),""),"")</f>
        <v/>
      </c>
      <c r="AA153">
        <f>IF(ISNUMBER(T153),IF(ISNUMBER(T150),IF(T153&gt;T150,1.0,IF(T153=T150,0.5,0.0)),""),"")</f>
        <v/>
      </c>
      <c r="AB153">
        <f>IF(ISNUMBER(T153),IF(ISNUMBER(T151),IF(T153&gt;T151,1.0,IF(T153=T151,0.5,0.0)),""),"")</f>
        <v/>
      </c>
      <c r="AC153">
        <f>IF(ISNUMBER(T153),IF(ISNUMBER(T152),IF(T153&gt;T152,1.0,IF(T153=T152,0.5,0.0)),""),"")</f>
        <v/>
      </c>
      <c r="AD153">
        <f>IF(ISNUMBER(T153),IF(ISNUMBER(T154),IF(T153&gt;T154,1.0,IF(T153=T154,0.5,0.0)),""),"")</f>
        <v/>
      </c>
      <c r="AE153">
        <f>IF(ISNUMBER(T153),IF(ISNUMBER(T155),IF(T153&gt;T155,1.0,IF(T153=T155,0.5,0.0)),""),"")</f>
        <v/>
      </c>
      <c r="AF153">
        <f>IF(ISNUMBER(T153),IF(ISNUMBER(T156),IF(T153&gt;T156,1.0,IF(T153=T156,0.5,0.0)),""),"")</f>
        <v/>
      </c>
      <c r="AG153" s="14">
        <f>IF(AND(ISNUMBER(S153),ISNUMBER(S150)),VLOOKUP(ABS(S153-S150),'IMP Table'!$A$2:$C$26,3)*SIGN(S153-S150),0)</f>
        <v/>
      </c>
      <c r="AH153">
        <f>IF(AND(ISNUMBER(S153),ISNUMBER(S151)),VLOOKUP(ABS(S153-S151),'IMP Table'!$A$2:$C$26,3)*SIGN(S153-S151),0)</f>
        <v/>
      </c>
      <c r="AI153">
        <f>IF(AND(ISNUMBER(S153),ISNUMBER(S152)),VLOOKUP(ABS(S153-S152),'IMP Table'!$A$2:$C$26,3)*SIGN(S153-S152),0)</f>
        <v/>
      </c>
      <c r="AJ153">
        <f>IF(AND(ISNUMBER(S153),ISNUMBER(S154)),VLOOKUP(ABS(S153-S154),'IMP Table'!$A$2:$C$26,3)*SIGN(S153-S154),0)</f>
        <v/>
      </c>
      <c r="AK153">
        <f>IF(AND(ISNUMBER(S153),ISNUMBER(S155)),VLOOKUP(ABS(S153-S155),'IMP Table'!$A$2:$C$26,3)*SIGN(S153-S155),0)</f>
        <v/>
      </c>
      <c r="AL153">
        <f>IF(AND(ISNUMBER(S153),ISNUMBER(S156)),VLOOKUP(ABS(S153-S156),'IMP Table'!$A$2:$C$26,3)*SIGN(S153-S156),0)</f>
        <v/>
      </c>
      <c r="AM153">
        <f>IF(AND(ISNUMBER(T153),ISNUMBER(T150)),VLOOKUP(ABS(T153-T150),'IMP Table'!$A$2:$C$26,3)*SIGN(T153-T150),0)</f>
        <v/>
      </c>
      <c r="AN153">
        <f>IF(AND(ISNUMBER(T153),ISNUMBER(T151)),VLOOKUP(ABS(T153-T151),'IMP Table'!$A$2:$C$26,3)*SIGN(T153-T151),0)</f>
        <v/>
      </c>
      <c r="AO153">
        <f>IF(AND(ISNUMBER(T153),ISNUMBER(T152)),VLOOKUP(ABS(T153-T152),'IMP Table'!$A$2:$C$26,3)*SIGN(T153-T152),0)</f>
        <v/>
      </c>
      <c r="AP153">
        <f>IF(AND(ISNUMBER(T153),ISNUMBER(T154)),VLOOKUP(ABS(T153-T154),'IMP Table'!$A$2:$C$26,3)*SIGN(T153-T154),0)</f>
        <v/>
      </c>
      <c r="AQ153">
        <f>IF(AND(ISNUMBER(T153),ISNUMBER(T155)),VLOOKUP(ABS(T153-T155),'IMP Table'!$A$2:$C$26,3)*SIGN(T153-T155),0)</f>
        <v/>
      </c>
      <c r="AR153">
        <f>IF(AND(ISNUMBER(T153),ISNUMBER(T156)),VLOOKUP(ABS(T153-T156),'IMP Table'!$A$2:$C$26,3)*SIGN(T153-T156),0)</f>
        <v/>
      </c>
    </row>
    <row r="154">
      <c r="B154" s="10">
        <f>'By Round'!A101</f>
        <v/>
      </c>
      <c r="C154" s="10">
        <f>'By Round'!B105</f>
        <v/>
      </c>
      <c r="D154" s="10">
        <f>'By Round'!C105</f>
        <v/>
      </c>
      <c r="E154" s="10">
        <f>'By Round'!D105</f>
        <v/>
      </c>
      <c r="F154" s="10">
        <f>IF(ISBLANK('By Round'!F106),"",'By Round'!F106)</f>
        <v/>
      </c>
      <c r="G154">
        <f>IF(ISBLANK('By Round'!G106),"",'By Round'!G106)</f>
        <v/>
      </c>
      <c r="H154">
        <f>IF(ISBLANK('By Round'!H106),"",'By Round'!H106)</f>
        <v/>
      </c>
      <c r="I154">
        <f>IF(ISBLANK('By Round'!I106),"",'By Round'!I106)</f>
        <v/>
      </c>
      <c r="J154">
        <f>IF(ISBLANK('By Round'!J106),"",'By Round'!J106)</f>
        <v/>
      </c>
      <c r="K154">
        <f>IF(ISBLANK('By Round'!K106),"",'By Round'!K106)</f>
        <v/>
      </c>
      <c r="L154">
        <f>IF(ISBLANK('By Round'!L106),"",'By Round'!L106)</f>
        <v/>
      </c>
      <c r="M154" s="11">
        <f>AVERAGE(AG154:AL154)</f>
        <v/>
      </c>
      <c r="N154" s="12">
        <f>AVERAGE(AM154:AR154)</f>
        <v/>
      </c>
      <c r="O154" s="13">
        <f>IF(COUNT(U154:Z154)&gt;0,Q154/COUNT(U154:Z154),0.5)</f>
        <v/>
      </c>
      <c r="P154" s="13">
        <f>IF(COUNT(AA154:AF154)&gt;0,R154/COUNT(AA154:AF154),0.5)</f>
        <v/>
      </c>
      <c r="Q154" s="5">
        <f>SUM(U154:Z154)</f>
        <v/>
      </c>
      <c r="R154" s="5">
        <f>SUM(AA154:AF154)</f>
        <v/>
      </c>
      <c r="S154" s="14">
        <f>IF(ISNUMBER(K154),K154,IF(ISNUMBER(L154),-L154,""))</f>
        <v/>
      </c>
      <c r="T154">
        <f>IF(ISNUMBER(L154),L154,IF(ISNUMBER(K154),-K154,""))</f>
        <v/>
      </c>
      <c r="U154" s="14">
        <f>IF(ISNUMBER(S154),IF(ISNUMBER(S150),IF(S154&gt;S150,1.0,IF(S154=S150,0.5,0.0)),""),"")</f>
        <v/>
      </c>
      <c r="V154">
        <f>IF(ISNUMBER(S154),IF(ISNUMBER(S151),IF(S154&gt;S151,1.0,IF(S154=S151,0.5,0.0)),""),"")</f>
        <v/>
      </c>
      <c r="W154">
        <f>IF(ISNUMBER(S154),IF(ISNUMBER(S152),IF(S154&gt;S152,1.0,IF(S154=S152,0.5,0.0)),""),"")</f>
        <v/>
      </c>
      <c r="X154">
        <f>IF(ISNUMBER(S154),IF(ISNUMBER(S153),IF(S154&gt;S153,1.0,IF(S154=S153,0.5,0.0)),""),"")</f>
        <v/>
      </c>
      <c r="Y154">
        <f>IF(ISNUMBER(S154),IF(ISNUMBER(S155),IF(S154&gt;S155,1.0,IF(S154=S155,0.5,0.0)),""),"")</f>
        <v/>
      </c>
      <c r="Z154">
        <f>IF(ISNUMBER(S154),IF(ISNUMBER(S156),IF(S154&gt;S156,1.0,IF(S154=S156,0.5,0.0)),""),"")</f>
        <v/>
      </c>
      <c r="AA154">
        <f>IF(ISNUMBER(T154),IF(ISNUMBER(T150),IF(T154&gt;T150,1.0,IF(T154=T150,0.5,0.0)),""),"")</f>
        <v/>
      </c>
      <c r="AB154">
        <f>IF(ISNUMBER(T154),IF(ISNUMBER(T151),IF(T154&gt;T151,1.0,IF(T154=T151,0.5,0.0)),""),"")</f>
        <v/>
      </c>
      <c r="AC154">
        <f>IF(ISNUMBER(T154),IF(ISNUMBER(T152),IF(T154&gt;T152,1.0,IF(T154=T152,0.5,0.0)),""),"")</f>
        <v/>
      </c>
      <c r="AD154">
        <f>IF(ISNUMBER(T154),IF(ISNUMBER(T153),IF(T154&gt;T153,1.0,IF(T154=T153,0.5,0.0)),""),"")</f>
        <v/>
      </c>
      <c r="AE154">
        <f>IF(ISNUMBER(T154),IF(ISNUMBER(T155),IF(T154&gt;T155,1.0,IF(T154=T155,0.5,0.0)),""),"")</f>
        <v/>
      </c>
      <c r="AF154">
        <f>IF(ISNUMBER(T154),IF(ISNUMBER(T156),IF(T154&gt;T156,1.0,IF(T154=T156,0.5,0.0)),""),"")</f>
        <v/>
      </c>
      <c r="AG154" s="14">
        <f>IF(AND(ISNUMBER(S154),ISNUMBER(S150)),VLOOKUP(ABS(S154-S150),'IMP Table'!$A$2:$C$26,3)*SIGN(S154-S150),0)</f>
        <v/>
      </c>
      <c r="AH154">
        <f>IF(AND(ISNUMBER(S154),ISNUMBER(S151)),VLOOKUP(ABS(S154-S151),'IMP Table'!$A$2:$C$26,3)*SIGN(S154-S151),0)</f>
        <v/>
      </c>
      <c r="AI154">
        <f>IF(AND(ISNUMBER(S154),ISNUMBER(S152)),VLOOKUP(ABS(S154-S152),'IMP Table'!$A$2:$C$26,3)*SIGN(S154-S152),0)</f>
        <v/>
      </c>
      <c r="AJ154">
        <f>IF(AND(ISNUMBER(S154),ISNUMBER(S153)),VLOOKUP(ABS(S154-S153),'IMP Table'!$A$2:$C$26,3)*SIGN(S154-S153),0)</f>
        <v/>
      </c>
      <c r="AK154">
        <f>IF(AND(ISNUMBER(S154),ISNUMBER(S155)),VLOOKUP(ABS(S154-S155),'IMP Table'!$A$2:$C$26,3)*SIGN(S154-S155),0)</f>
        <v/>
      </c>
      <c r="AL154">
        <f>IF(AND(ISNUMBER(S154),ISNUMBER(S156)),VLOOKUP(ABS(S154-S156),'IMP Table'!$A$2:$C$26,3)*SIGN(S154-S156),0)</f>
        <v/>
      </c>
      <c r="AM154">
        <f>IF(AND(ISNUMBER(T154),ISNUMBER(T150)),VLOOKUP(ABS(T154-T150),'IMP Table'!$A$2:$C$26,3)*SIGN(T154-T150),0)</f>
        <v/>
      </c>
      <c r="AN154">
        <f>IF(AND(ISNUMBER(T154),ISNUMBER(T151)),VLOOKUP(ABS(T154-T151),'IMP Table'!$A$2:$C$26,3)*SIGN(T154-T151),0)</f>
        <v/>
      </c>
      <c r="AO154">
        <f>IF(AND(ISNUMBER(T154),ISNUMBER(T152)),VLOOKUP(ABS(T154-T152),'IMP Table'!$A$2:$C$26,3)*SIGN(T154-T152),0)</f>
        <v/>
      </c>
      <c r="AP154">
        <f>IF(AND(ISNUMBER(T154),ISNUMBER(T153)),VLOOKUP(ABS(T154-T153),'IMP Table'!$A$2:$C$26,3)*SIGN(T154-T153),0)</f>
        <v/>
      </c>
      <c r="AQ154">
        <f>IF(AND(ISNUMBER(T154),ISNUMBER(T155)),VLOOKUP(ABS(T154-T155),'IMP Table'!$A$2:$C$26,3)*SIGN(T154-T155),0)</f>
        <v/>
      </c>
      <c r="AR154">
        <f>IF(AND(ISNUMBER(T154),ISNUMBER(T156)),VLOOKUP(ABS(T154-T156),'IMP Table'!$A$2:$C$26,3)*SIGN(T154-T156),0)</f>
        <v/>
      </c>
    </row>
    <row r="155">
      <c r="B155" s="10">
        <f>'By Round'!A115</f>
        <v/>
      </c>
      <c r="C155" s="10">
        <f>'By Round'!B117</f>
        <v/>
      </c>
      <c r="D155" s="10">
        <f>'By Round'!C117</f>
        <v/>
      </c>
      <c r="E155" s="10">
        <f>'By Round'!D117</f>
        <v/>
      </c>
      <c r="F155" s="10">
        <f>IF(ISBLANK('By Round'!F118),"",'By Round'!F118)</f>
        <v/>
      </c>
      <c r="G155">
        <f>IF(ISBLANK('By Round'!G118),"",'By Round'!G118)</f>
        <v/>
      </c>
      <c r="H155">
        <f>IF(ISBLANK('By Round'!H118),"",'By Round'!H118)</f>
        <v/>
      </c>
      <c r="I155">
        <f>IF(ISBLANK('By Round'!I118),"",'By Round'!I118)</f>
        <v/>
      </c>
      <c r="J155">
        <f>IF(ISBLANK('By Round'!J118),"",'By Round'!J118)</f>
        <v/>
      </c>
      <c r="K155">
        <f>IF(ISBLANK('By Round'!K118),"",'By Round'!K118)</f>
        <v/>
      </c>
      <c r="L155">
        <f>IF(ISBLANK('By Round'!L118),"",'By Round'!L118)</f>
        <v/>
      </c>
      <c r="M155" s="11">
        <f>AVERAGE(AG155:AL155)</f>
        <v/>
      </c>
      <c r="N155" s="12">
        <f>AVERAGE(AM155:AR155)</f>
        <v/>
      </c>
      <c r="O155" s="13">
        <f>IF(COUNT(U155:Z155)&gt;0,Q155/COUNT(U155:Z155),0.5)</f>
        <v/>
      </c>
      <c r="P155" s="13">
        <f>IF(COUNT(AA155:AF155)&gt;0,R155/COUNT(AA155:AF155),0.5)</f>
        <v/>
      </c>
      <c r="Q155" s="5">
        <f>SUM(U155:Z155)</f>
        <v/>
      </c>
      <c r="R155" s="5">
        <f>SUM(AA155:AF155)</f>
        <v/>
      </c>
      <c r="S155" s="14">
        <f>IF(ISNUMBER(K155),K155,IF(ISNUMBER(L155),-L155,""))</f>
        <v/>
      </c>
      <c r="T155">
        <f>IF(ISNUMBER(L155),L155,IF(ISNUMBER(K155),-K155,""))</f>
        <v/>
      </c>
      <c r="U155" s="14">
        <f>IF(ISNUMBER(S155),IF(ISNUMBER(S150),IF(S155&gt;S150,1.0,IF(S155=S150,0.5,0.0)),""),"")</f>
        <v/>
      </c>
      <c r="V155">
        <f>IF(ISNUMBER(S155),IF(ISNUMBER(S151),IF(S155&gt;S151,1.0,IF(S155=S151,0.5,0.0)),""),"")</f>
        <v/>
      </c>
      <c r="W155">
        <f>IF(ISNUMBER(S155),IF(ISNUMBER(S152),IF(S155&gt;S152,1.0,IF(S155=S152,0.5,0.0)),""),"")</f>
        <v/>
      </c>
      <c r="X155">
        <f>IF(ISNUMBER(S155),IF(ISNUMBER(S153),IF(S155&gt;S153,1.0,IF(S155=S153,0.5,0.0)),""),"")</f>
        <v/>
      </c>
      <c r="Y155">
        <f>IF(ISNUMBER(S155),IF(ISNUMBER(S154),IF(S155&gt;S154,1.0,IF(S155=S154,0.5,0.0)),""),"")</f>
        <v/>
      </c>
      <c r="Z155">
        <f>IF(ISNUMBER(S155),IF(ISNUMBER(S156),IF(S155&gt;S156,1.0,IF(S155=S156,0.5,0.0)),""),"")</f>
        <v/>
      </c>
      <c r="AA155">
        <f>IF(ISNUMBER(T155),IF(ISNUMBER(T150),IF(T155&gt;T150,1.0,IF(T155=T150,0.5,0.0)),""),"")</f>
        <v/>
      </c>
      <c r="AB155">
        <f>IF(ISNUMBER(T155),IF(ISNUMBER(T151),IF(T155&gt;T151,1.0,IF(T155=T151,0.5,0.0)),""),"")</f>
        <v/>
      </c>
      <c r="AC155">
        <f>IF(ISNUMBER(T155),IF(ISNUMBER(T152),IF(T155&gt;T152,1.0,IF(T155=T152,0.5,0.0)),""),"")</f>
        <v/>
      </c>
      <c r="AD155">
        <f>IF(ISNUMBER(T155),IF(ISNUMBER(T153),IF(T155&gt;T153,1.0,IF(T155=T153,0.5,0.0)),""),"")</f>
        <v/>
      </c>
      <c r="AE155">
        <f>IF(ISNUMBER(T155),IF(ISNUMBER(T154),IF(T155&gt;T154,1.0,IF(T155=T154,0.5,0.0)),""),"")</f>
        <v/>
      </c>
      <c r="AF155">
        <f>IF(ISNUMBER(T155),IF(ISNUMBER(T156),IF(T155&gt;T156,1.0,IF(T155=T156,0.5,0.0)),""),"")</f>
        <v/>
      </c>
      <c r="AG155" s="14">
        <f>IF(AND(ISNUMBER(S155),ISNUMBER(S150)),VLOOKUP(ABS(S155-S150),'IMP Table'!$A$2:$C$26,3)*SIGN(S155-S150),0)</f>
        <v/>
      </c>
      <c r="AH155">
        <f>IF(AND(ISNUMBER(S155),ISNUMBER(S151)),VLOOKUP(ABS(S155-S151),'IMP Table'!$A$2:$C$26,3)*SIGN(S155-S151),0)</f>
        <v/>
      </c>
      <c r="AI155">
        <f>IF(AND(ISNUMBER(S155),ISNUMBER(S152)),VLOOKUP(ABS(S155-S152),'IMP Table'!$A$2:$C$26,3)*SIGN(S155-S152),0)</f>
        <v/>
      </c>
      <c r="AJ155">
        <f>IF(AND(ISNUMBER(S155),ISNUMBER(S153)),VLOOKUP(ABS(S155-S153),'IMP Table'!$A$2:$C$26,3)*SIGN(S155-S153),0)</f>
        <v/>
      </c>
      <c r="AK155">
        <f>IF(AND(ISNUMBER(S155),ISNUMBER(S154)),VLOOKUP(ABS(S155-S154),'IMP Table'!$A$2:$C$26,3)*SIGN(S155-S154),0)</f>
        <v/>
      </c>
      <c r="AL155">
        <f>IF(AND(ISNUMBER(S155),ISNUMBER(S156)),VLOOKUP(ABS(S155-S156),'IMP Table'!$A$2:$C$26,3)*SIGN(S155-S156),0)</f>
        <v/>
      </c>
      <c r="AM155">
        <f>IF(AND(ISNUMBER(T155),ISNUMBER(T150)),VLOOKUP(ABS(T155-T150),'IMP Table'!$A$2:$C$26,3)*SIGN(T155-T150),0)</f>
        <v/>
      </c>
      <c r="AN155">
        <f>IF(AND(ISNUMBER(T155),ISNUMBER(T151)),VLOOKUP(ABS(T155-T151),'IMP Table'!$A$2:$C$26,3)*SIGN(T155-T151),0)</f>
        <v/>
      </c>
      <c r="AO155">
        <f>IF(AND(ISNUMBER(T155),ISNUMBER(T152)),VLOOKUP(ABS(T155-T152),'IMP Table'!$A$2:$C$26,3)*SIGN(T155-T152),0)</f>
        <v/>
      </c>
      <c r="AP155">
        <f>IF(AND(ISNUMBER(T155),ISNUMBER(T153)),VLOOKUP(ABS(T155-T153),'IMP Table'!$A$2:$C$26,3)*SIGN(T155-T153),0)</f>
        <v/>
      </c>
      <c r="AQ155">
        <f>IF(AND(ISNUMBER(T155),ISNUMBER(T154)),VLOOKUP(ABS(T155-T154),'IMP Table'!$A$2:$C$26,3)*SIGN(T155-T154),0)</f>
        <v/>
      </c>
      <c r="AR155">
        <f>IF(AND(ISNUMBER(T155),ISNUMBER(T156)),VLOOKUP(ABS(T155-T156),'IMP Table'!$A$2:$C$26,3)*SIGN(T155-T156),0)</f>
        <v/>
      </c>
    </row>
    <row r="156">
      <c r="A156" s="15" t="n"/>
      <c r="B156" s="16">
        <f>'By Round'!A143</f>
        <v/>
      </c>
      <c r="C156" s="16">
        <f>'By Round'!B143</f>
        <v/>
      </c>
      <c r="D156" s="16">
        <f>'By Round'!C143</f>
        <v/>
      </c>
      <c r="E156" s="16">
        <f>'By Round'!D143</f>
        <v/>
      </c>
      <c r="F156" s="16">
        <f>IF(ISBLANK('By Round'!F144),"",'By Round'!F144)</f>
        <v/>
      </c>
      <c r="G156" s="15">
        <f>IF(ISBLANK('By Round'!G144),"",'By Round'!G144)</f>
        <v/>
      </c>
      <c r="H156" s="15">
        <f>IF(ISBLANK('By Round'!H144),"",'By Round'!H144)</f>
        <v/>
      </c>
      <c r="I156" s="15">
        <f>IF(ISBLANK('By Round'!I144),"",'By Round'!I144)</f>
        <v/>
      </c>
      <c r="J156" s="15">
        <f>IF(ISBLANK('By Round'!J144),"",'By Round'!J144)</f>
        <v/>
      </c>
      <c r="K156" s="15">
        <f>IF(ISBLANK('By Round'!K144),"",'By Round'!K144)</f>
        <v/>
      </c>
      <c r="L156" s="15">
        <f>IF(ISBLANK('By Round'!L144),"",'By Round'!L144)</f>
        <v/>
      </c>
      <c r="M156" s="17">
        <f>AVERAGE(AG156:AL156)</f>
        <v/>
      </c>
      <c r="N156" s="18">
        <f>AVERAGE(AM156:AR156)</f>
        <v/>
      </c>
      <c r="O156" s="19">
        <f>IF(COUNT(U156:Z156)&gt;0,Q156/COUNT(U156:Z156),0.5)</f>
        <v/>
      </c>
      <c r="P156" s="19">
        <f>IF(COUNT(AA156:AF156)&gt;0,R156/COUNT(AA156:AF156),0.5)</f>
        <v/>
      </c>
      <c r="Q156" s="20">
        <f>SUM(U156:Z156)</f>
        <v/>
      </c>
      <c r="R156" s="20">
        <f>SUM(AA156:AF156)</f>
        <v/>
      </c>
      <c r="S156" s="21">
        <f>IF(ISNUMBER(K156),K156,IF(ISNUMBER(L156),-L156,""))</f>
        <v/>
      </c>
      <c r="T156" s="15">
        <f>IF(ISNUMBER(L156),L156,IF(ISNUMBER(K156),-K156,""))</f>
        <v/>
      </c>
      <c r="U156" s="21">
        <f>IF(ISNUMBER(S156),IF(ISNUMBER(S150),IF(S156&gt;S150,1.0,IF(S156=S150,0.5,0.0)),""),"")</f>
        <v/>
      </c>
      <c r="V156" s="15">
        <f>IF(ISNUMBER(S156),IF(ISNUMBER(S151),IF(S156&gt;S151,1.0,IF(S156=S151,0.5,0.0)),""),"")</f>
        <v/>
      </c>
      <c r="W156" s="15">
        <f>IF(ISNUMBER(S156),IF(ISNUMBER(S152),IF(S156&gt;S152,1.0,IF(S156=S152,0.5,0.0)),""),"")</f>
        <v/>
      </c>
      <c r="X156" s="15">
        <f>IF(ISNUMBER(S156),IF(ISNUMBER(S153),IF(S156&gt;S153,1.0,IF(S156=S153,0.5,0.0)),""),"")</f>
        <v/>
      </c>
      <c r="Y156" s="15">
        <f>IF(ISNUMBER(S156),IF(ISNUMBER(S154),IF(S156&gt;S154,1.0,IF(S156=S154,0.5,0.0)),""),"")</f>
        <v/>
      </c>
      <c r="Z156" s="15">
        <f>IF(ISNUMBER(S156),IF(ISNUMBER(S155),IF(S156&gt;S155,1.0,IF(S156=S155,0.5,0.0)),""),"")</f>
        <v/>
      </c>
      <c r="AA156" s="15">
        <f>IF(ISNUMBER(T156),IF(ISNUMBER(T150),IF(T156&gt;T150,1.0,IF(T156=T150,0.5,0.0)),""),"")</f>
        <v/>
      </c>
      <c r="AB156" s="15">
        <f>IF(ISNUMBER(T156),IF(ISNUMBER(T151),IF(T156&gt;T151,1.0,IF(T156=T151,0.5,0.0)),""),"")</f>
        <v/>
      </c>
      <c r="AC156" s="15">
        <f>IF(ISNUMBER(T156),IF(ISNUMBER(T152),IF(T156&gt;T152,1.0,IF(T156=T152,0.5,0.0)),""),"")</f>
        <v/>
      </c>
      <c r="AD156" s="15">
        <f>IF(ISNUMBER(T156),IF(ISNUMBER(T153),IF(T156&gt;T153,1.0,IF(T156=T153,0.5,0.0)),""),"")</f>
        <v/>
      </c>
      <c r="AE156" s="15">
        <f>IF(ISNUMBER(T156),IF(ISNUMBER(T154),IF(T156&gt;T154,1.0,IF(T156=T154,0.5,0.0)),""),"")</f>
        <v/>
      </c>
      <c r="AF156" s="15">
        <f>IF(ISNUMBER(T156),IF(ISNUMBER(T155),IF(T156&gt;T155,1.0,IF(T156=T155,0.5,0.0)),""),"")</f>
        <v/>
      </c>
      <c r="AG156" s="21">
        <f>IF(AND(ISNUMBER(S156),ISNUMBER(S150)),VLOOKUP(ABS(S156-S150),'IMP Table'!$A$2:$C$26,3)*SIGN(S156-S150),0)</f>
        <v/>
      </c>
      <c r="AH156" s="15">
        <f>IF(AND(ISNUMBER(S156),ISNUMBER(S151)),VLOOKUP(ABS(S156-S151),'IMP Table'!$A$2:$C$26,3)*SIGN(S156-S151),0)</f>
        <v/>
      </c>
      <c r="AI156" s="15">
        <f>IF(AND(ISNUMBER(S156),ISNUMBER(S152)),VLOOKUP(ABS(S156-S152),'IMP Table'!$A$2:$C$26,3)*SIGN(S156-S152),0)</f>
        <v/>
      </c>
      <c r="AJ156" s="15">
        <f>IF(AND(ISNUMBER(S156),ISNUMBER(S153)),VLOOKUP(ABS(S156-S153),'IMP Table'!$A$2:$C$26,3)*SIGN(S156-S153),0)</f>
        <v/>
      </c>
      <c r="AK156" s="15">
        <f>IF(AND(ISNUMBER(S156),ISNUMBER(S154)),VLOOKUP(ABS(S156-S154),'IMP Table'!$A$2:$C$26,3)*SIGN(S156-S154),0)</f>
        <v/>
      </c>
      <c r="AL156" s="15">
        <f>IF(AND(ISNUMBER(S156),ISNUMBER(S155)),VLOOKUP(ABS(S156-S155),'IMP Table'!$A$2:$C$26,3)*SIGN(S156-S155),0)</f>
        <v/>
      </c>
      <c r="AM156" s="15">
        <f>IF(AND(ISNUMBER(T156),ISNUMBER(T150)),VLOOKUP(ABS(T156-T150),'IMP Table'!$A$2:$C$26,3)*SIGN(T156-T150),0)</f>
        <v/>
      </c>
      <c r="AN156" s="15">
        <f>IF(AND(ISNUMBER(T156),ISNUMBER(T151)),VLOOKUP(ABS(T156-T151),'IMP Table'!$A$2:$C$26,3)*SIGN(T156-T151),0)</f>
        <v/>
      </c>
      <c r="AO156" s="15">
        <f>IF(AND(ISNUMBER(T156),ISNUMBER(T152)),VLOOKUP(ABS(T156-T152),'IMP Table'!$A$2:$C$26,3)*SIGN(T156-T152),0)</f>
        <v/>
      </c>
      <c r="AP156" s="15">
        <f>IF(AND(ISNUMBER(T156),ISNUMBER(T153)),VLOOKUP(ABS(T156-T153),'IMP Table'!$A$2:$C$26,3)*SIGN(T156-T153),0)</f>
        <v/>
      </c>
      <c r="AQ156" s="15">
        <f>IF(AND(ISNUMBER(T156),ISNUMBER(T154)),VLOOKUP(ABS(T156-T154),'IMP Table'!$A$2:$C$26,3)*SIGN(T156-T154),0)</f>
        <v/>
      </c>
      <c r="AR156" s="15">
        <f>IF(AND(ISNUMBER(T156),ISNUMBER(T155)),VLOOKUP(ABS(T156-T155),'IMP Table'!$A$2:$C$26,3)*SIGN(T156-T155),0)</f>
        <v/>
      </c>
    </row>
    <row r="157">
      <c r="A157" s="10" t="n">
        <v>23</v>
      </c>
      <c r="B157" s="10">
        <f>'By Round'!A129</f>
        <v/>
      </c>
      <c r="C157" s="10">
        <f>'By Round'!B131</f>
        <v/>
      </c>
      <c r="D157" s="10">
        <f>'By Round'!C131</f>
        <v/>
      </c>
      <c r="E157" s="10">
        <f>'By Round'!D131</f>
        <v/>
      </c>
      <c r="F157" s="10">
        <f>IF(ISBLANK('By Round'!F131),"",'By Round'!F131)</f>
        <v/>
      </c>
      <c r="G157">
        <f>IF(ISBLANK('By Round'!G131),"",'By Round'!G131)</f>
        <v/>
      </c>
      <c r="H157">
        <f>IF(ISBLANK('By Round'!H131),"",'By Round'!H131)</f>
        <v/>
      </c>
      <c r="I157">
        <f>IF(ISBLANK('By Round'!I131),"",'By Round'!I131)</f>
        <v/>
      </c>
      <c r="J157">
        <f>IF(ISBLANK('By Round'!J131),"",'By Round'!J131)</f>
        <v/>
      </c>
      <c r="K157">
        <f>IF(ISBLANK('By Round'!K131),"",'By Round'!K131)</f>
        <v/>
      </c>
      <c r="L157">
        <f>IF(ISBLANK('By Round'!L131),"",'By Round'!L131)</f>
        <v/>
      </c>
      <c r="M157" s="11">
        <f>AVERAGE(AG157:AL157)</f>
        <v/>
      </c>
      <c r="N157" s="12">
        <f>AVERAGE(AM157:AR157)</f>
        <v/>
      </c>
      <c r="O157" s="13">
        <f>IF(COUNT(U157:Z157)&gt;0,Q157/COUNT(U157:Z157),0.5)</f>
        <v/>
      </c>
      <c r="P157" s="13">
        <f>IF(COUNT(AA157:AF157)&gt;0,R157/COUNT(AA157:AF157),0.5)</f>
        <v/>
      </c>
      <c r="Q157" s="5">
        <f>SUM(U157:Z157)</f>
        <v/>
      </c>
      <c r="R157" s="5">
        <f>SUM(AA157:AF157)</f>
        <v/>
      </c>
      <c r="S157" s="14">
        <f>IF(ISNUMBER(K157),K157,IF(ISNUMBER(L157),-L157,""))</f>
        <v/>
      </c>
      <c r="T157">
        <f>IF(ISNUMBER(L157),L157,IF(ISNUMBER(K157),-K157,""))</f>
        <v/>
      </c>
      <c r="U157" s="14">
        <f>IF(ISNUMBER(S157),IF(ISNUMBER(S158),IF(S157&gt;S158,1.0,IF(S157=S158,0.5,0.0)),""),"")</f>
        <v/>
      </c>
      <c r="V157">
        <f>IF(ISNUMBER(S157),IF(ISNUMBER(S159),IF(S157&gt;S159,1.0,IF(S157=S159,0.5,0.0)),""),"")</f>
        <v/>
      </c>
      <c r="W157">
        <f>IF(ISNUMBER(S157),IF(ISNUMBER(S160),IF(S157&gt;S160,1.0,IF(S157=S160,0.5,0.0)),""),"")</f>
        <v/>
      </c>
      <c r="X157">
        <f>IF(ISNUMBER(S157),IF(ISNUMBER(S161),IF(S157&gt;S161,1.0,IF(S157=S161,0.5,0.0)),""),"")</f>
        <v/>
      </c>
      <c r="Y157">
        <f>IF(ISNUMBER(S157),IF(ISNUMBER(S162),IF(S157&gt;S162,1.0,IF(S157=S162,0.5,0.0)),""),"")</f>
        <v/>
      </c>
      <c r="Z157">
        <f>IF(ISNUMBER(S157),IF(ISNUMBER(S163),IF(S157&gt;S163,1.0,IF(S157=S163,0.5,0.0)),""),"")</f>
        <v/>
      </c>
      <c r="AA157">
        <f>IF(ISNUMBER(T157),IF(ISNUMBER(T158),IF(T157&gt;T158,1.0,IF(T157=T158,0.5,0.0)),""),"")</f>
        <v/>
      </c>
      <c r="AB157">
        <f>IF(ISNUMBER(T157),IF(ISNUMBER(T159),IF(T157&gt;T159,1.0,IF(T157=T159,0.5,0.0)),""),"")</f>
        <v/>
      </c>
      <c r="AC157">
        <f>IF(ISNUMBER(T157),IF(ISNUMBER(T160),IF(T157&gt;T160,1.0,IF(T157=T160,0.5,0.0)),""),"")</f>
        <v/>
      </c>
      <c r="AD157">
        <f>IF(ISNUMBER(T157),IF(ISNUMBER(T161),IF(T157&gt;T161,1.0,IF(T157=T161,0.5,0.0)),""),"")</f>
        <v/>
      </c>
      <c r="AE157">
        <f>IF(ISNUMBER(T157),IF(ISNUMBER(T162),IF(T157&gt;T162,1.0,IF(T157=T162,0.5,0.0)),""),"")</f>
        <v/>
      </c>
      <c r="AF157">
        <f>IF(ISNUMBER(T157),IF(ISNUMBER(T163),IF(T157&gt;T163,1.0,IF(T157=T163,0.5,0.0)),""),"")</f>
        <v/>
      </c>
      <c r="AG157" s="14">
        <f>IF(AND(ISNUMBER(S157),ISNUMBER(S158)),VLOOKUP(ABS(S157-S158),'IMP Table'!$A$2:$C$26,3)*SIGN(S157-S158),0)</f>
        <v/>
      </c>
      <c r="AH157">
        <f>IF(AND(ISNUMBER(S157),ISNUMBER(S159)),VLOOKUP(ABS(S157-S159),'IMP Table'!$A$2:$C$26,3)*SIGN(S157-S159),0)</f>
        <v/>
      </c>
      <c r="AI157">
        <f>IF(AND(ISNUMBER(S157),ISNUMBER(S160)),VLOOKUP(ABS(S157-S160),'IMP Table'!$A$2:$C$26,3)*SIGN(S157-S160),0)</f>
        <v/>
      </c>
      <c r="AJ157">
        <f>IF(AND(ISNUMBER(S157),ISNUMBER(S161)),VLOOKUP(ABS(S157-S161),'IMP Table'!$A$2:$C$26,3)*SIGN(S157-S161),0)</f>
        <v/>
      </c>
      <c r="AK157">
        <f>IF(AND(ISNUMBER(S157),ISNUMBER(S162)),VLOOKUP(ABS(S157-S162),'IMP Table'!$A$2:$C$26,3)*SIGN(S157-S162),0)</f>
        <v/>
      </c>
      <c r="AL157">
        <f>IF(AND(ISNUMBER(S157),ISNUMBER(S163)),VLOOKUP(ABS(S157-S163),'IMP Table'!$A$2:$C$26,3)*SIGN(S157-S163),0)</f>
        <v/>
      </c>
      <c r="AM157">
        <f>IF(AND(ISNUMBER(T157),ISNUMBER(T158)),VLOOKUP(ABS(T157-T158),'IMP Table'!$A$2:$C$26,3)*SIGN(T157-T158),0)</f>
        <v/>
      </c>
      <c r="AN157">
        <f>IF(AND(ISNUMBER(T157),ISNUMBER(T159)),VLOOKUP(ABS(T157-T159),'IMP Table'!$A$2:$C$26,3)*SIGN(T157-T159),0)</f>
        <v/>
      </c>
      <c r="AO157">
        <f>IF(AND(ISNUMBER(T157),ISNUMBER(T160)),VLOOKUP(ABS(T157-T160),'IMP Table'!$A$2:$C$26,3)*SIGN(T157-T160),0)</f>
        <v/>
      </c>
      <c r="AP157">
        <f>IF(AND(ISNUMBER(T157),ISNUMBER(T161)),VLOOKUP(ABS(T157-T161),'IMP Table'!$A$2:$C$26,3)*SIGN(T157-T161),0)</f>
        <v/>
      </c>
      <c r="AQ157">
        <f>IF(AND(ISNUMBER(T157),ISNUMBER(T162)),VLOOKUP(ABS(T157-T162),'IMP Table'!$A$2:$C$26,3)*SIGN(T157-T162),0)</f>
        <v/>
      </c>
      <c r="AR157">
        <f>IF(AND(ISNUMBER(T157),ISNUMBER(T163)),VLOOKUP(ABS(T157-T163),'IMP Table'!$A$2:$C$26,3)*SIGN(T157-T163),0)</f>
        <v/>
      </c>
    </row>
    <row r="158">
      <c r="B158" s="10">
        <f>'By Round'!A101</f>
        <v/>
      </c>
      <c r="C158" s="10">
        <f>'By Round'!B107</f>
        <v/>
      </c>
      <c r="D158" s="10">
        <f>'By Round'!C107</f>
        <v/>
      </c>
      <c r="E158" s="10">
        <f>'By Round'!D107</f>
        <v/>
      </c>
      <c r="F158" s="10">
        <f>IF(ISBLANK('By Round'!F107),"",'By Round'!F107)</f>
        <v/>
      </c>
      <c r="G158">
        <f>IF(ISBLANK('By Round'!G107),"",'By Round'!G107)</f>
        <v/>
      </c>
      <c r="H158">
        <f>IF(ISBLANK('By Round'!H107),"",'By Round'!H107)</f>
        <v/>
      </c>
      <c r="I158">
        <f>IF(ISBLANK('By Round'!I107),"",'By Round'!I107)</f>
        <v/>
      </c>
      <c r="J158">
        <f>IF(ISBLANK('By Round'!J107),"",'By Round'!J107)</f>
        <v/>
      </c>
      <c r="K158">
        <f>IF(ISBLANK('By Round'!K107),"",'By Round'!K107)</f>
        <v/>
      </c>
      <c r="L158">
        <f>IF(ISBLANK('By Round'!L107),"",'By Round'!L107)</f>
        <v/>
      </c>
      <c r="M158" s="11">
        <f>AVERAGE(AG158:AL158)</f>
        <v/>
      </c>
      <c r="N158" s="12">
        <f>AVERAGE(AM158:AR158)</f>
        <v/>
      </c>
      <c r="O158" s="13">
        <f>IF(COUNT(U158:Z158)&gt;0,Q158/COUNT(U158:Z158),0.5)</f>
        <v/>
      </c>
      <c r="P158" s="13">
        <f>IF(COUNT(AA158:AF158)&gt;0,R158/COUNT(AA158:AF158),0.5)</f>
        <v/>
      </c>
      <c r="Q158" s="5">
        <f>SUM(U158:Z158)</f>
        <v/>
      </c>
      <c r="R158" s="5">
        <f>SUM(AA158:AF158)</f>
        <v/>
      </c>
      <c r="S158" s="14">
        <f>IF(ISNUMBER(K158),K158,IF(ISNUMBER(L158),-L158,""))</f>
        <v/>
      </c>
      <c r="T158">
        <f>IF(ISNUMBER(L158),L158,IF(ISNUMBER(K158),-K158,""))</f>
        <v/>
      </c>
      <c r="U158" s="14">
        <f>IF(ISNUMBER(S158),IF(ISNUMBER(S157),IF(S158&gt;S157,1.0,IF(S158=S157,0.5,0.0)),""),"")</f>
        <v/>
      </c>
      <c r="V158">
        <f>IF(ISNUMBER(S158),IF(ISNUMBER(S159),IF(S158&gt;S159,1.0,IF(S158=S159,0.5,0.0)),""),"")</f>
        <v/>
      </c>
      <c r="W158">
        <f>IF(ISNUMBER(S158),IF(ISNUMBER(S160),IF(S158&gt;S160,1.0,IF(S158=S160,0.5,0.0)),""),"")</f>
        <v/>
      </c>
      <c r="X158">
        <f>IF(ISNUMBER(S158),IF(ISNUMBER(S161),IF(S158&gt;S161,1.0,IF(S158=S161,0.5,0.0)),""),"")</f>
        <v/>
      </c>
      <c r="Y158">
        <f>IF(ISNUMBER(S158),IF(ISNUMBER(S162),IF(S158&gt;S162,1.0,IF(S158=S162,0.5,0.0)),""),"")</f>
        <v/>
      </c>
      <c r="Z158">
        <f>IF(ISNUMBER(S158),IF(ISNUMBER(S163),IF(S158&gt;S163,1.0,IF(S158=S163,0.5,0.0)),""),"")</f>
        <v/>
      </c>
      <c r="AA158">
        <f>IF(ISNUMBER(T158),IF(ISNUMBER(T157),IF(T158&gt;T157,1.0,IF(T158=T157,0.5,0.0)),""),"")</f>
        <v/>
      </c>
      <c r="AB158">
        <f>IF(ISNUMBER(T158),IF(ISNUMBER(T159),IF(T158&gt;T159,1.0,IF(T158=T159,0.5,0.0)),""),"")</f>
        <v/>
      </c>
      <c r="AC158">
        <f>IF(ISNUMBER(T158),IF(ISNUMBER(T160),IF(T158&gt;T160,1.0,IF(T158=T160,0.5,0.0)),""),"")</f>
        <v/>
      </c>
      <c r="AD158">
        <f>IF(ISNUMBER(T158),IF(ISNUMBER(T161),IF(T158&gt;T161,1.0,IF(T158=T161,0.5,0.0)),""),"")</f>
        <v/>
      </c>
      <c r="AE158">
        <f>IF(ISNUMBER(T158),IF(ISNUMBER(T162),IF(T158&gt;T162,1.0,IF(T158=T162,0.5,0.0)),""),"")</f>
        <v/>
      </c>
      <c r="AF158">
        <f>IF(ISNUMBER(T158),IF(ISNUMBER(T163),IF(T158&gt;T163,1.0,IF(T158=T163,0.5,0.0)),""),"")</f>
        <v/>
      </c>
      <c r="AG158" s="14">
        <f>IF(AND(ISNUMBER(S158),ISNUMBER(S157)),VLOOKUP(ABS(S158-S157),'IMP Table'!$A$2:$C$26,3)*SIGN(S158-S157),0)</f>
        <v/>
      </c>
      <c r="AH158">
        <f>IF(AND(ISNUMBER(S158),ISNUMBER(S159)),VLOOKUP(ABS(S158-S159),'IMP Table'!$A$2:$C$26,3)*SIGN(S158-S159),0)</f>
        <v/>
      </c>
      <c r="AI158">
        <f>IF(AND(ISNUMBER(S158),ISNUMBER(S160)),VLOOKUP(ABS(S158-S160),'IMP Table'!$A$2:$C$26,3)*SIGN(S158-S160),0)</f>
        <v/>
      </c>
      <c r="AJ158">
        <f>IF(AND(ISNUMBER(S158),ISNUMBER(S161)),VLOOKUP(ABS(S158-S161),'IMP Table'!$A$2:$C$26,3)*SIGN(S158-S161),0)</f>
        <v/>
      </c>
      <c r="AK158">
        <f>IF(AND(ISNUMBER(S158),ISNUMBER(S162)),VLOOKUP(ABS(S158-S162),'IMP Table'!$A$2:$C$26,3)*SIGN(S158-S162),0)</f>
        <v/>
      </c>
      <c r="AL158">
        <f>IF(AND(ISNUMBER(S158),ISNUMBER(S163)),VLOOKUP(ABS(S158-S163),'IMP Table'!$A$2:$C$26,3)*SIGN(S158-S163),0)</f>
        <v/>
      </c>
      <c r="AM158">
        <f>IF(AND(ISNUMBER(T158),ISNUMBER(T157)),VLOOKUP(ABS(T158-T157),'IMP Table'!$A$2:$C$26,3)*SIGN(T158-T157),0)</f>
        <v/>
      </c>
      <c r="AN158">
        <f>IF(AND(ISNUMBER(T158),ISNUMBER(T159)),VLOOKUP(ABS(T158-T159),'IMP Table'!$A$2:$C$26,3)*SIGN(T158-T159),0)</f>
        <v/>
      </c>
      <c r="AO158">
        <f>IF(AND(ISNUMBER(T158),ISNUMBER(T160)),VLOOKUP(ABS(T158-T160),'IMP Table'!$A$2:$C$26,3)*SIGN(T158-T160),0)</f>
        <v/>
      </c>
      <c r="AP158">
        <f>IF(AND(ISNUMBER(T158),ISNUMBER(T161)),VLOOKUP(ABS(T158-T161),'IMP Table'!$A$2:$C$26,3)*SIGN(T158-T161),0)</f>
        <v/>
      </c>
      <c r="AQ158">
        <f>IF(AND(ISNUMBER(T158),ISNUMBER(T162)),VLOOKUP(ABS(T158-T162),'IMP Table'!$A$2:$C$26,3)*SIGN(T158-T162),0)</f>
        <v/>
      </c>
      <c r="AR158">
        <f>IF(AND(ISNUMBER(T158),ISNUMBER(T163)),VLOOKUP(ABS(T158-T163),'IMP Table'!$A$2:$C$26,3)*SIGN(T158-T163),0)</f>
        <v/>
      </c>
    </row>
    <row r="159">
      <c r="B159" s="10">
        <f>'By Round'!A3</f>
        <v/>
      </c>
      <c r="C159" s="10">
        <f>'By Round'!B15</f>
        <v/>
      </c>
      <c r="D159" s="10">
        <f>'By Round'!C15</f>
        <v/>
      </c>
      <c r="E159" s="10">
        <f>'By Round'!D15</f>
        <v/>
      </c>
      <c r="F159" s="10">
        <f>IF(ISBLANK('By Round'!F15),"",'By Round'!F15)</f>
        <v/>
      </c>
      <c r="G159">
        <f>IF(ISBLANK('By Round'!G15),"",'By Round'!G15)</f>
        <v/>
      </c>
      <c r="H159">
        <f>IF(ISBLANK('By Round'!H15),"",'By Round'!H15)</f>
        <v/>
      </c>
      <c r="I159">
        <f>IF(ISBLANK('By Round'!I15),"",'By Round'!I15)</f>
        <v/>
      </c>
      <c r="J159">
        <f>IF(ISBLANK('By Round'!J15),"",'By Round'!J15)</f>
        <v/>
      </c>
      <c r="K159">
        <f>IF(ISBLANK('By Round'!K15),"",'By Round'!K15)</f>
        <v/>
      </c>
      <c r="L159">
        <f>IF(ISBLANK('By Round'!L15),"",'By Round'!L15)</f>
        <v/>
      </c>
      <c r="M159" s="11">
        <f>AVERAGE(AG159:AL159)</f>
        <v/>
      </c>
      <c r="N159" s="12">
        <f>AVERAGE(AM159:AR159)</f>
        <v/>
      </c>
      <c r="O159" s="13">
        <f>IF(COUNT(U159:Z159)&gt;0,Q159/COUNT(U159:Z159),0.5)</f>
        <v/>
      </c>
      <c r="P159" s="13">
        <f>IF(COUNT(AA159:AF159)&gt;0,R159/COUNT(AA159:AF159),0.5)</f>
        <v/>
      </c>
      <c r="Q159" s="5">
        <f>SUM(U159:Z159)</f>
        <v/>
      </c>
      <c r="R159" s="5">
        <f>SUM(AA159:AF159)</f>
        <v/>
      </c>
      <c r="S159" s="14">
        <f>IF(ISNUMBER(K159),K159,IF(ISNUMBER(L159),-L159,""))</f>
        <v/>
      </c>
      <c r="T159">
        <f>IF(ISNUMBER(L159),L159,IF(ISNUMBER(K159),-K159,""))</f>
        <v/>
      </c>
      <c r="U159" s="14">
        <f>IF(ISNUMBER(S159),IF(ISNUMBER(S157),IF(S159&gt;S157,1.0,IF(S159=S157,0.5,0.0)),""),"")</f>
        <v/>
      </c>
      <c r="V159">
        <f>IF(ISNUMBER(S159),IF(ISNUMBER(S158),IF(S159&gt;S158,1.0,IF(S159=S158,0.5,0.0)),""),"")</f>
        <v/>
      </c>
      <c r="W159">
        <f>IF(ISNUMBER(S159),IF(ISNUMBER(S160),IF(S159&gt;S160,1.0,IF(S159=S160,0.5,0.0)),""),"")</f>
        <v/>
      </c>
      <c r="X159">
        <f>IF(ISNUMBER(S159),IF(ISNUMBER(S161),IF(S159&gt;S161,1.0,IF(S159=S161,0.5,0.0)),""),"")</f>
        <v/>
      </c>
      <c r="Y159">
        <f>IF(ISNUMBER(S159),IF(ISNUMBER(S162),IF(S159&gt;S162,1.0,IF(S159=S162,0.5,0.0)),""),"")</f>
        <v/>
      </c>
      <c r="Z159">
        <f>IF(ISNUMBER(S159),IF(ISNUMBER(S163),IF(S159&gt;S163,1.0,IF(S159=S163,0.5,0.0)),""),"")</f>
        <v/>
      </c>
      <c r="AA159">
        <f>IF(ISNUMBER(T159),IF(ISNUMBER(T157),IF(T159&gt;T157,1.0,IF(T159=T157,0.5,0.0)),""),"")</f>
        <v/>
      </c>
      <c r="AB159">
        <f>IF(ISNUMBER(T159),IF(ISNUMBER(T158),IF(T159&gt;T158,1.0,IF(T159=T158,0.5,0.0)),""),"")</f>
        <v/>
      </c>
      <c r="AC159">
        <f>IF(ISNUMBER(T159),IF(ISNUMBER(T160),IF(T159&gt;T160,1.0,IF(T159=T160,0.5,0.0)),""),"")</f>
        <v/>
      </c>
      <c r="AD159">
        <f>IF(ISNUMBER(T159),IF(ISNUMBER(T161),IF(T159&gt;T161,1.0,IF(T159=T161,0.5,0.0)),""),"")</f>
        <v/>
      </c>
      <c r="AE159">
        <f>IF(ISNUMBER(T159),IF(ISNUMBER(T162),IF(T159&gt;T162,1.0,IF(T159=T162,0.5,0.0)),""),"")</f>
        <v/>
      </c>
      <c r="AF159">
        <f>IF(ISNUMBER(T159),IF(ISNUMBER(T163),IF(T159&gt;T163,1.0,IF(T159=T163,0.5,0.0)),""),"")</f>
        <v/>
      </c>
      <c r="AG159" s="14">
        <f>IF(AND(ISNUMBER(S159),ISNUMBER(S157)),VLOOKUP(ABS(S159-S157),'IMP Table'!$A$2:$C$26,3)*SIGN(S159-S157),0)</f>
        <v/>
      </c>
      <c r="AH159">
        <f>IF(AND(ISNUMBER(S159),ISNUMBER(S158)),VLOOKUP(ABS(S159-S158),'IMP Table'!$A$2:$C$26,3)*SIGN(S159-S158),0)</f>
        <v/>
      </c>
      <c r="AI159">
        <f>IF(AND(ISNUMBER(S159),ISNUMBER(S160)),VLOOKUP(ABS(S159-S160),'IMP Table'!$A$2:$C$26,3)*SIGN(S159-S160),0)</f>
        <v/>
      </c>
      <c r="AJ159">
        <f>IF(AND(ISNUMBER(S159),ISNUMBER(S161)),VLOOKUP(ABS(S159-S161),'IMP Table'!$A$2:$C$26,3)*SIGN(S159-S161),0)</f>
        <v/>
      </c>
      <c r="AK159">
        <f>IF(AND(ISNUMBER(S159),ISNUMBER(S162)),VLOOKUP(ABS(S159-S162),'IMP Table'!$A$2:$C$26,3)*SIGN(S159-S162),0)</f>
        <v/>
      </c>
      <c r="AL159">
        <f>IF(AND(ISNUMBER(S159),ISNUMBER(S163)),VLOOKUP(ABS(S159-S163),'IMP Table'!$A$2:$C$26,3)*SIGN(S159-S163),0)</f>
        <v/>
      </c>
      <c r="AM159">
        <f>IF(AND(ISNUMBER(T159),ISNUMBER(T157)),VLOOKUP(ABS(T159-T157),'IMP Table'!$A$2:$C$26,3)*SIGN(T159-T157),0)</f>
        <v/>
      </c>
      <c r="AN159">
        <f>IF(AND(ISNUMBER(T159),ISNUMBER(T158)),VLOOKUP(ABS(T159-T158),'IMP Table'!$A$2:$C$26,3)*SIGN(T159-T158),0)</f>
        <v/>
      </c>
      <c r="AO159">
        <f>IF(AND(ISNUMBER(T159),ISNUMBER(T160)),VLOOKUP(ABS(T159-T160),'IMP Table'!$A$2:$C$26,3)*SIGN(T159-T160),0)</f>
        <v/>
      </c>
      <c r="AP159">
        <f>IF(AND(ISNUMBER(T159),ISNUMBER(T161)),VLOOKUP(ABS(T159-T161),'IMP Table'!$A$2:$C$26,3)*SIGN(T159-T161),0)</f>
        <v/>
      </c>
      <c r="AQ159">
        <f>IF(AND(ISNUMBER(T159),ISNUMBER(T162)),VLOOKUP(ABS(T159-T162),'IMP Table'!$A$2:$C$26,3)*SIGN(T159-T162),0)</f>
        <v/>
      </c>
      <c r="AR159">
        <f>IF(AND(ISNUMBER(T159),ISNUMBER(T163)),VLOOKUP(ABS(T159-T163),'IMP Table'!$A$2:$C$26,3)*SIGN(T159-T163),0)</f>
        <v/>
      </c>
    </row>
    <row r="160">
      <c r="B160" s="10">
        <f>'By Round'!A31</f>
        <v/>
      </c>
      <c r="C160" s="10">
        <f>'By Round'!B39</f>
        <v/>
      </c>
      <c r="D160" s="10">
        <f>'By Round'!C39</f>
        <v/>
      </c>
      <c r="E160" s="10">
        <f>'By Round'!D39</f>
        <v/>
      </c>
      <c r="F160" s="10">
        <f>IF(ISBLANK('By Round'!F39),"",'By Round'!F39)</f>
        <v/>
      </c>
      <c r="G160">
        <f>IF(ISBLANK('By Round'!G39),"",'By Round'!G39)</f>
        <v/>
      </c>
      <c r="H160">
        <f>IF(ISBLANK('By Round'!H39),"",'By Round'!H39)</f>
        <v/>
      </c>
      <c r="I160">
        <f>IF(ISBLANK('By Round'!I39),"",'By Round'!I39)</f>
        <v/>
      </c>
      <c r="J160">
        <f>IF(ISBLANK('By Round'!J39),"",'By Round'!J39)</f>
        <v/>
      </c>
      <c r="K160">
        <f>IF(ISBLANK('By Round'!K39),"",'By Round'!K39)</f>
        <v/>
      </c>
      <c r="L160">
        <f>IF(ISBLANK('By Round'!L39),"",'By Round'!L39)</f>
        <v/>
      </c>
      <c r="M160" s="11">
        <f>AVERAGE(AG160:AL160)</f>
        <v/>
      </c>
      <c r="N160" s="12">
        <f>AVERAGE(AM160:AR160)</f>
        <v/>
      </c>
      <c r="O160" s="13">
        <f>IF(COUNT(U160:Z160)&gt;0,Q160/COUNT(U160:Z160),0.5)</f>
        <v/>
      </c>
      <c r="P160" s="13">
        <f>IF(COUNT(AA160:AF160)&gt;0,R160/COUNT(AA160:AF160),0.5)</f>
        <v/>
      </c>
      <c r="Q160" s="5">
        <f>SUM(U160:Z160)</f>
        <v/>
      </c>
      <c r="R160" s="5">
        <f>SUM(AA160:AF160)</f>
        <v/>
      </c>
      <c r="S160" s="14">
        <f>IF(ISNUMBER(K160),K160,IF(ISNUMBER(L160),-L160,""))</f>
        <v/>
      </c>
      <c r="T160">
        <f>IF(ISNUMBER(L160),L160,IF(ISNUMBER(K160),-K160,""))</f>
        <v/>
      </c>
      <c r="U160" s="14">
        <f>IF(ISNUMBER(S160),IF(ISNUMBER(S157),IF(S160&gt;S157,1.0,IF(S160=S157,0.5,0.0)),""),"")</f>
        <v/>
      </c>
      <c r="V160">
        <f>IF(ISNUMBER(S160),IF(ISNUMBER(S158),IF(S160&gt;S158,1.0,IF(S160=S158,0.5,0.0)),""),"")</f>
        <v/>
      </c>
      <c r="W160">
        <f>IF(ISNUMBER(S160),IF(ISNUMBER(S159),IF(S160&gt;S159,1.0,IF(S160=S159,0.5,0.0)),""),"")</f>
        <v/>
      </c>
      <c r="X160">
        <f>IF(ISNUMBER(S160),IF(ISNUMBER(S161),IF(S160&gt;S161,1.0,IF(S160=S161,0.5,0.0)),""),"")</f>
        <v/>
      </c>
      <c r="Y160">
        <f>IF(ISNUMBER(S160),IF(ISNUMBER(S162),IF(S160&gt;S162,1.0,IF(S160=S162,0.5,0.0)),""),"")</f>
        <v/>
      </c>
      <c r="Z160">
        <f>IF(ISNUMBER(S160),IF(ISNUMBER(S163),IF(S160&gt;S163,1.0,IF(S160=S163,0.5,0.0)),""),"")</f>
        <v/>
      </c>
      <c r="AA160">
        <f>IF(ISNUMBER(T160),IF(ISNUMBER(T157),IF(T160&gt;T157,1.0,IF(T160=T157,0.5,0.0)),""),"")</f>
        <v/>
      </c>
      <c r="AB160">
        <f>IF(ISNUMBER(T160),IF(ISNUMBER(T158),IF(T160&gt;T158,1.0,IF(T160=T158,0.5,0.0)),""),"")</f>
        <v/>
      </c>
      <c r="AC160">
        <f>IF(ISNUMBER(T160),IF(ISNUMBER(T159),IF(T160&gt;T159,1.0,IF(T160=T159,0.5,0.0)),""),"")</f>
        <v/>
      </c>
      <c r="AD160">
        <f>IF(ISNUMBER(T160),IF(ISNUMBER(T161),IF(T160&gt;T161,1.0,IF(T160=T161,0.5,0.0)),""),"")</f>
        <v/>
      </c>
      <c r="AE160">
        <f>IF(ISNUMBER(T160),IF(ISNUMBER(T162),IF(T160&gt;T162,1.0,IF(T160=T162,0.5,0.0)),""),"")</f>
        <v/>
      </c>
      <c r="AF160">
        <f>IF(ISNUMBER(T160),IF(ISNUMBER(T163),IF(T160&gt;T163,1.0,IF(T160=T163,0.5,0.0)),""),"")</f>
        <v/>
      </c>
      <c r="AG160" s="14">
        <f>IF(AND(ISNUMBER(S160),ISNUMBER(S157)),VLOOKUP(ABS(S160-S157),'IMP Table'!$A$2:$C$26,3)*SIGN(S160-S157),0)</f>
        <v/>
      </c>
      <c r="AH160">
        <f>IF(AND(ISNUMBER(S160),ISNUMBER(S158)),VLOOKUP(ABS(S160-S158),'IMP Table'!$A$2:$C$26,3)*SIGN(S160-S158),0)</f>
        <v/>
      </c>
      <c r="AI160">
        <f>IF(AND(ISNUMBER(S160),ISNUMBER(S159)),VLOOKUP(ABS(S160-S159),'IMP Table'!$A$2:$C$26,3)*SIGN(S160-S159),0)</f>
        <v/>
      </c>
      <c r="AJ160">
        <f>IF(AND(ISNUMBER(S160),ISNUMBER(S161)),VLOOKUP(ABS(S160-S161),'IMP Table'!$A$2:$C$26,3)*SIGN(S160-S161),0)</f>
        <v/>
      </c>
      <c r="AK160">
        <f>IF(AND(ISNUMBER(S160),ISNUMBER(S162)),VLOOKUP(ABS(S160-S162),'IMP Table'!$A$2:$C$26,3)*SIGN(S160-S162),0)</f>
        <v/>
      </c>
      <c r="AL160">
        <f>IF(AND(ISNUMBER(S160),ISNUMBER(S163)),VLOOKUP(ABS(S160-S163),'IMP Table'!$A$2:$C$26,3)*SIGN(S160-S163),0)</f>
        <v/>
      </c>
      <c r="AM160">
        <f>IF(AND(ISNUMBER(T160),ISNUMBER(T157)),VLOOKUP(ABS(T160-T157),'IMP Table'!$A$2:$C$26,3)*SIGN(T160-T157),0)</f>
        <v/>
      </c>
      <c r="AN160">
        <f>IF(AND(ISNUMBER(T160),ISNUMBER(T158)),VLOOKUP(ABS(T160-T158),'IMP Table'!$A$2:$C$26,3)*SIGN(T160-T158),0)</f>
        <v/>
      </c>
      <c r="AO160">
        <f>IF(AND(ISNUMBER(T160),ISNUMBER(T159)),VLOOKUP(ABS(T160-T159),'IMP Table'!$A$2:$C$26,3)*SIGN(T160-T159),0)</f>
        <v/>
      </c>
      <c r="AP160">
        <f>IF(AND(ISNUMBER(T160),ISNUMBER(T161)),VLOOKUP(ABS(T160-T161),'IMP Table'!$A$2:$C$26,3)*SIGN(T160-T161),0)</f>
        <v/>
      </c>
      <c r="AQ160">
        <f>IF(AND(ISNUMBER(T160),ISNUMBER(T162)),VLOOKUP(ABS(T160-T162),'IMP Table'!$A$2:$C$26,3)*SIGN(T160-T162),0)</f>
        <v/>
      </c>
      <c r="AR160">
        <f>IF(AND(ISNUMBER(T160),ISNUMBER(T163)),VLOOKUP(ABS(T160-T163),'IMP Table'!$A$2:$C$26,3)*SIGN(T160-T163),0)</f>
        <v/>
      </c>
    </row>
    <row r="161">
      <c r="B161" s="10">
        <f>'By Round'!A17</f>
        <v/>
      </c>
      <c r="C161" s="10">
        <f>'By Round'!B27</f>
        <v/>
      </c>
      <c r="D161" s="10">
        <f>'By Round'!C27</f>
        <v/>
      </c>
      <c r="E161" s="10">
        <f>'By Round'!D27</f>
        <v/>
      </c>
      <c r="F161" s="10">
        <f>IF(ISBLANK('By Round'!F27),"",'By Round'!F27)</f>
        <v/>
      </c>
      <c r="G161">
        <f>IF(ISBLANK('By Round'!G27),"",'By Round'!G27)</f>
        <v/>
      </c>
      <c r="H161">
        <f>IF(ISBLANK('By Round'!H27),"",'By Round'!H27)</f>
        <v/>
      </c>
      <c r="I161">
        <f>IF(ISBLANK('By Round'!I27),"",'By Round'!I27)</f>
        <v/>
      </c>
      <c r="J161">
        <f>IF(ISBLANK('By Round'!J27),"",'By Round'!J27)</f>
        <v/>
      </c>
      <c r="K161">
        <f>IF(ISBLANK('By Round'!K27),"",'By Round'!K27)</f>
        <v/>
      </c>
      <c r="L161">
        <f>IF(ISBLANK('By Round'!L27),"",'By Round'!L27)</f>
        <v/>
      </c>
      <c r="M161" s="11">
        <f>AVERAGE(AG161:AL161)</f>
        <v/>
      </c>
      <c r="N161" s="12">
        <f>AVERAGE(AM161:AR161)</f>
        <v/>
      </c>
      <c r="O161" s="13">
        <f>IF(COUNT(U161:Z161)&gt;0,Q161/COUNT(U161:Z161),0.5)</f>
        <v/>
      </c>
      <c r="P161" s="13">
        <f>IF(COUNT(AA161:AF161)&gt;0,R161/COUNT(AA161:AF161),0.5)</f>
        <v/>
      </c>
      <c r="Q161" s="5">
        <f>SUM(U161:Z161)</f>
        <v/>
      </c>
      <c r="R161" s="5">
        <f>SUM(AA161:AF161)</f>
        <v/>
      </c>
      <c r="S161" s="14">
        <f>IF(ISNUMBER(K161),K161,IF(ISNUMBER(L161),-L161,""))</f>
        <v/>
      </c>
      <c r="T161">
        <f>IF(ISNUMBER(L161),L161,IF(ISNUMBER(K161),-K161,""))</f>
        <v/>
      </c>
      <c r="U161" s="14">
        <f>IF(ISNUMBER(S161),IF(ISNUMBER(S157),IF(S161&gt;S157,1.0,IF(S161=S157,0.5,0.0)),""),"")</f>
        <v/>
      </c>
      <c r="V161">
        <f>IF(ISNUMBER(S161),IF(ISNUMBER(S158),IF(S161&gt;S158,1.0,IF(S161=S158,0.5,0.0)),""),"")</f>
        <v/>
      </c>
      <c r="W161">
        <f>IF(ISNUMBER(S161),IF(ISNUMBER(S159),IF(S161&gt;S159,1.0,IF(S161=S159,0.5,0.0)),""),"")</f>
        <v/>
      </c>
      <c r="X161">
        <f>IF(ISNUMBER(S161),IF(ISNUMBER(S160),IF(S161&gt;S160,1.0,IF(S161=S160,0.5,0.0)),""),"")</f>
        <v/>
      </c>
      <c r="Y161">
        <f>IF(ISNUMBER(S161),IF(ISNUMBER(S162),IF(S161&gt;S162,1.0,IF(S161=S162,0.5,0.0)),""),"")</f>
        <v/>
      </c>
      <c r="Z161">
        <f>IF(ISNUMBER(S161),IF(ISNUMBER(S163),IF(S161&gt;S163,1.0,IF(S161=S163,0.5,0.0)),""),"")</f>
        <v/>
      </c>
      <c r="AA161">
        <f>IF(ISNUMBER(T161),IF(ISNUMBER(T157),IF(T161&gt;T157,1.0,IF(T161=T157,0.5,0.0)),""),"")</f>
        <v/>
      </c>
      <c r="AB161">
        <f>IF(ISNUMBER(T161),IF(ISNUMBER(T158),IF(T161&gt;T158,1.0,IF(T161=T158,0.5,0.0)),""),"")</f>
        <v/>
      </c>
      <c r="AC161">
        <f>IF(ISNUMBER(T161),IF(ISNUMBER(T159),IF(T161&gt;T159,1.0,IF(T161=T159,0.5,0.0)),""),"")</f>
        <v/>
      </c>
      <c r="AD161">
        <f>IF(ISNUMBER(T161),IF(ISNUMBER(T160),IF(T161&gt;T160,1.0,IF(T161=T160,0.5,0.0)),""),"")</f>
        <v/>
      </c>
      <c r="AE161">
        <f>IF(ISNUMBER(T161),IF(ISNUMBER(T162),IF(T161&gt;T162,1.0,IF(T161=T162,0.5,0.0)),""),"")</f>
        <v/>
      </c>
      <c r="AF161">
        <f>IF(ISNUMBER(T161),IF(ISNUMBER(T163),IF(T161&gt;T163,1.0,IF(T161=T163,0.5,0.0)),""),"")</f>
        <v/>
      </c>
      <c r="AG161" s="14">
        <f>IF(AND(ISNUMBER(S161),ISNUMBER(S157)),VLOOKUP(ABS(S161-S157),'IMP Table'!$A$2:$C$26,3)*SIGN(S161-S157),0)</f>
        <v/>
      </c>
      <c r="AH161">
        <f>IF(AND(ISNUMBER(S161),ISNUMBER(S158)),VLOOKUP(ABS(S161-S158),'IMP Table'!$A$2:$C$26,3)*SIGN(S161-S158),0)</f>
        <v/>
      </c>
      <c r="AI161">
        <f>IF(AND(ISNUMBER(S161),ISNUMBER(S159)),VLOOKUP(ABS(S161-S159),'IMP Table'!$A$2:$C$26,3)*SIGN(S161-S159),0)</f>
        <v/>
      </c>
      <c r="AJ161">
        <f>IF(AND(ISNUMBER(S161),ISNUMBER(S160)),VLOOKUP(ABS(S161-S160),'IMP Table'!$A$2:$C$26,3)*SIGN(S161-S160),0)</f>
        <v/>
      </c>
      <c r="AK161">
        <f>IF(AND(ISNUMBER(S161),ISNUMBER(S162)),VLOOKUP(ABS(S161-S162),'IMP Table'!$A$2:$C$26,3)*SIGN(S161-S162),0)</f>
        <v/>
      </c>
      <c r="AL161">
        <f>IF(AND(ISNUMBER(S161),ISNUMBER(S163)),VLOOKUP(ABS(S161-S163),'IMP Table'!$A$2:$C$26,3)*SIGN(S161-S163),0)</f>
        <v/>
      </c>
      <c r="AM161">
        <f>IF(AND(ISNUMBER(T161),ISNUMBER(T157)),VLOOKUP(ABS(T161-T157),'IMP Table'!$A$2:$C$26,3)*SIGN(T161-T157),0)</f>
        <v/>
      </c>
      <c r="AN161">
        <f>IF(AND(ISNUMBER(T161),ISNUMBER(T158)),VLOOKUP(ABS(T161-T158),'IMP Table'!$A$2:$C$26,3)*SIGN(T161-T158),0)</f>
        <v/>
      </c>
      <c r="AO161">
        <f>IF(AND(ISNUMBER(T161),ISNUMBER(T159)),VLOOKUP(ABS(T161-T159),'IMP Table'!$A$2:$C$26,3)*SIGN(T161-T159),0)</f>
        <v/>
      </c>
      <c r="AP161">
        <f>IF(AND(ISNUMBER(T161),ISNUMBER(T160)),VLOOKUP(ABS(T161-T160),'IMP Table'!$A$2:$C$26,3)*SIGN(T161-T160),0)</f>
        <v/>
      </c>
      <c r="AQ161">
        <f>IF(AND(ISNUMBER(T161),ISNUMBER(T162)),VLOOKUP(ABS(T161-T162),'IMP Table'!$A$2:$C$26,3)*SIGN(T161-T162),0)</f>
        <v/>
      </c>
      <c r="AR161">
        <f>IF(AND(ISNUMBER(T161),ISNUMBER(T163)),VLOOKUP(ABS(T161-T163),'IMP Table'!$A$2:$C$26,3)*SIGN(T161-T163),0)</f>
        <v/>
      </c>
    </row>
    <row r="162">
      <c r="B162" s="10">
        <f>'By Round'!A115</f>
        <v/>
      </c>
      <c r="C162" s="10">
        <f>'By Round'!B119</f>
        <v/>
      </c>
      <c r="D162" s="10">
        <f>'By Round'!C119</f>
        <v/>
      </c>
      <c r="E162" s="10">
        <f>'By Round'!D119</f>
        <v/>
      </c>
      <c r="F162" s="10">
        <f>IF(ISBLANK('By Round'!F119),"",'By Round'!F119)</f>
        <v/>
      </c>
      <c r="G162">
        <f>IF(ISBLANK('By Round'!G119),"",'By Round'!G119)</f>
        <v/>
      </c>
      <c r="H162">
        <f>IF(ISBLANK('By Round'!H119),"",'By Round'!H119)</f>
        <v/>
      </c>
      <c r="I162">
        <f>IF(ISBLANK('By Round'!I119),"",'By Round'!I119)</f>
        <v/>
      </c>
      <c r="J162">
        <f>IF(ISBLANK('By Round'!J119),"",'By Round'!J119)</f>
        <v/>
      </c>
      <c r="K162">
        <f>IF(ISBLANK('By Round'!K119),"",'By Round'!K119)</f>
        <v/>
      </c>
      <c r="L162">
        <f>IF(ISBLANK('By Round'!L119),"",'By Round'!L119)</f>
        <v/>
      </c>
      <c r="M162" s="11">
        <f>AVERAGE(AG162:AL162)</f>
        <v/>
      </c>
      <c r="N162" s="12">
        <f>AVERAGE(AM162:AR162)</f>
        <v/>
      </c>
      <c r="O162" s="13">
        <f>IF(COUNT(U162:Z162)&gt;0,Q162/COUNT(U162:Z162),0.5)</f>
        <v/>
      </c>
      <c r="P162" s="13">
        <f>IF(COUNT(AA162:AF162)&gt;0,R162/COUNT(AA162:AF162),0.5)</f>
        <v/>
      </c>
      <c r="Q162" s="5">
        <f>SUM(U162:Z162)</f>
        <v/>
      </c>
      <c r="R162" s="5">
        <f>SUM(AA162:AF162)</f>
        <v/>
      </c>
      <c r="S162" s="14">
        <f>IF(ISNUMBER(K162),K162,IF(ISNUMBER(L162),-L162,""))</f>
        <v/>
      </c>
      <c r="T162">
        <f>IF(ISNUMBER(L162),L162,IF(ISNUMBER(K162),-K162,""))</f>
        <v/>
      </c>
      <c r="U162" s="14">
        <f>IF(ISNUMBER(S162),IF(ISNUMBER(S157),IF(S162&gt;S157,1.0,IF(S162=S157,0.5,0.0)),""),"")</f>
        <v/>
      </c>
      <c r="V162">
        <f>IF(ISNUMBER(S162),IF(ISNUMBER(S158),IF(S162&gt;S158,1.0,IF(S162=S158,0.5,0.0)),""),"")</f>
        <v/>
      </c>
      <c r="W162">
        <f>IF(ISNUMBER(S162),IF(ISNUMBER(S159),IF(S162&gt;S159,1.0,IF(S162=S159,0.5,0.0)),""),"")</f>
        <v/>
      </c>
      <c r="X162">
        <f>IF(ISNUMBER(S162),IF(ISNUMBER(S160),IF(S162&gt;S160,1.0,IF(S162=S160,0.5,0.0)),""),"")</f>
        <v/>
      </c>
      <c r="Y162">
        <f>IF(ISNUMBER(S162),IF(ISNUMBER(S161),IF(S162&gt;S161,1.0,IF(S162=S161,0.5,0.0)),""),"")</f>
        <v/>
      </c>
      <c r="Z162">
        <f>IF(ISNUMBER(S162),IF(ISNUMBER(S163),IF(S162&gt;S163,1.0,IF(S162=S163,0.5,0.0)),""),"")</f>
        <v/>
      </c>
      <c r="AA162">
        <f>IF(ISNUMBER(T162),IF(ISNUMBER(T157),IF(T162&gt;T157,1.0,IF(T162=T157,0.5,0.0)),""),"")</f>
        <v/>
      </c>
      <c r="AB162">
        <f>IF(ISNUMBER(T162),IF(ISNUMBER(T158),IF(T162&gt;T158,1.0,IF(T162=T158,0.5,0.0)),""),"")</f>
        <v/>
      </c>
      <c r="AC162">
        <f>IF(ISNUMBER(T162),IF(ISNUMBER(T159),IF(T162&gt;T159,1.0,IF(T162=T159,0.5,0.0)),""),"")</f>
        <v/>
      </c>
      <c r="AD162">
        <f>IF(ISNUMBER(T162),IF(ISNUMBER(T160),IF(T162&gt;T160,1.0,IF(T162=T160,0.5,0.0)),""),"")</f>
        <v/>
      </c>
      <c r="AE162">
        <f>IF(ISNUMBER(T162),IF(ISNUMBER(T161),IF(T162&gt;T161,1.0,IF(T162=T161,0.5,0.0)),""),"")</f>
        <v/>
      </c>
      <c r="AF162">
        <f>IF(ISNUMBER(T162),IF(ISNUMBER(T163),IF(T162&gt;T163,1.0,IF(T162=T163,0.5,0.0)),""),"")</f>
        <v/>
      </c>
      <c r="AG162" s="14">
        <f>IF(AND(ISNUMBER(S162),ISNUMBER(S157)),VLOOKUP(ABS(S162-S157),'IMP Table'!$A$2:$C$26,3)*SIGN(S162-S157),0)</f>
        <v/>
      </c>
      <c r="AH162">
        <f>IF(AND(ISNUMBER(S162),ISNUMBER(S158)),VLOOKUP(ABS(S162-S158),'IMP Table'!$A$2:$C$26,3)*SIGN(S162-S158),0)</f>
        <v/>
      </c>
      <c r="AI162">
        <f>IF(AND(ISNUMBER(S162),ISNUMBER(S159)),VLOOKUP(ABS(S162-S159),'IMP Table'!$A$2:$C$26,3)*SIGN(S162-S159),0)</f>
        <v/>
      </c>
      <c r="AJ162">
        <f>IF(AND(ISNUMBER(S162),ISNUMBER(S160)),VLOOKUP(ABS(S162-S160),'IMP Table'!$A$2:$C$26,3)*SIGN(S162-S160),0)</f>
        <v/>
      </c>
      <c r="AK162">
        <f>IF(AND(ISNUMBER(S162),ISNUMBER(S161)),VLOOKUP(ABS(S162-S161),'IMP Table'!$A$2:$C$26,3)*SIGN(S162-S161),0)</f>
        <v/>
      </c>
      <c r="AL162">
        <f>IF(AND(ISNUMBER(S162),ISNUMBER(S163)),VLOOKUP(ABS(S162-S163),'IMP Table'!$A$2:$C$26,3)*SIGN(S162-S163),0)</f>
        <v/>
      </c>
      <c r="AM162">
        <f>IF(AND(ISNUMBER(T162),ISNUMBER(T157)),VLOOKUP(ABS(T162-T157),'IMP Table'!$A$2:$C$26,3)*SIGN(T162-T157),0)</f>
        <v/>
      </c>
      <c r="AN162">
        <f>IF(AND(ISNUMBER(T162),ISNUMBER(T158)),VLOOKUP(ABS(T162-T158),'IMP Table'!$A$2:$C$26,3)*SIGN(T162-T158),0)</f>
        <v/>
      </c>
      <c r="AO162">
        <f>IF(AND(ISNUMBER(T162),ISNUMBER(T159)),VLOOKUP(ABS(T162-T159),'IMP Table'!$A$2:$C$26,3)*SIGN(T162-T159),0)</f>
        <v/>
      </c>
      <c r="AP162">
        <f>IF(AND(ISNUMBER(T162),ISNUMBER(T160)),VLOOKUP(ABS(T162-T160),'IMP Table'!$A$2:$C$26,3)*SIGN(T162-T160),0)</f>
        <v/>
      </c>
      <c r="AQ162">
        <f>IF(AND(ISNUMBER(T162),ISNUMBER(T161)),VLOOKUP(ABS(T162-T161),'IMP Table'!$A$2:$C$26,3)*SIGN(T162-T161),0)</f>
        <v/>
      </c>
      <c r="AR162">
        <f>IF(AND(ISNUMBER(T162),ISNUMBER(T163)),VLOOKUP(ABS(T162-T163),'IMP Table'!$A$2:$C$26,3)*SIGN(T162-T163),0)</f>
        <v/>
      </c>
    </row>
    <row r="163">
      <c r="A163" s="15" t="n"/>
      <c r="B163" s="16">
        <f>'By Round'!A157</f>
        <v/>
      </c>
      <c r="C163" s="16">
        <f>'By Round'!B157</f>
        <v/>
      </c>
      <c r="D163" s="16">
        <f>'By Round'!C157</f>
        <v/>
      </c>
      <c r="E163" s="16">
        <f>'By Round'!D157</f>
        <v/>
      </c>
      <c r="F163" s="16">
        <f>IF(ISBLANK('By Round'!F157),"",'By Round'!F157)</f>
        <v/>
      </c>
      <c r="G163" s="15">
        <f>IF(ISBLANK('By Round'!G157),"",'By Round'!G157)</f>
        <v/>
      </c>
      <c r="H163" s="15">
        <f>IF(ISBLANK('By Round'!H157),"",'By Round'!H157)</f>
        <v/>
      </c>
      <c r="I163" s="15">
        <f>IF(ISBLANK('By Round'!I157),"",'By Round'!I157)</f>
        <v/>
      </c>
      <c r="J163" s="15">
        <f>IF(ISBLANK('By Round'!J157),"",'By Round'!J157)</f>
        <v/>
      </c>
      <c r="K163" s="15">
        <f>IF(ISBLANK('By Round'!K157),"",'By Round'!K157)</f>
        <v/>
      </c>
      <c r="L163" s="15">
        <f>IF(ISBLANK('By Round'!L157),"",'By Round'!L157)</f>
        <v/>
      </c>
      <c r="M163" s="17">
        <f>AVERAGE(AG163:AL163)</f>
        <v/>
      </c>
      <c r="N163" s="18">
        <f>AVERAGE(AM163:AR163)</f>
        <v/>
      </c>
      <c r="O163" s="19">
        <f>IF(COUNT(U163:Z163)&gt;0,Q163/COUNT(U163:Z163),0.5)</f>
        <v/>
      </c>
      <c r="P163" s="19">
        <f>IF(COUNT(AA163:AF163)&gt;0,R163/COUNT(AA163:AF163),0.5)</f>
        <v/>
      </c>
      <c r="Q163" s="20">
        <f>SUM(U163:Z163)</f>
        <v/>
      </c>
      <c r="R163" s="20">
        <f>SUM(AA163:AF163)</f>
        <v/>
      </c>
      <c r="S163" s="21">
        <f>IF(ISNUMBER(K163),K163,IF(ISNUMBER(L163),-L163,""))</f>
        <v/>
      </c>
      <c r="T163" s="15">
        <f>IF(ISNUMBER(L163),L163,IF(ISNUMBER(K163),-K163,""))</f>
        <v/>
      </c>
      <c r="U163" s="21">
        <f>IF(ISNUMBER(S163),IF(ISNUMBER(S157),IF(S163&gt;S157,1.0,IF(S163=S157,0.5,0.0)),""),"")</f>
        <v/>
      </c>
      <c r="V163" s="15">
        <f>IF(ISNUMBER(S163),IF(ISNUMBER(S158),IF(S163&gt;S158,1.0,IF(S163=S158,0.5,0.0)),""),"")</f>
        <v/>
      </c>
      <c r="W163" s="15">
        <f>IF(ISNUMBER(S163),IF(ISNUMBER(S159),IF(S163&gt;S159,1.0,IF(S163=S159,0.5,0.0)),""),"")</f>
        <v/>
      </c>
      <c r="X163" s="15">
        <f>IF(ISNUMBER(S163),IF(ISNUMBER(S160),IF(S163&gt;S160,1.0,IF(S163=S160,0.5,0.0)),""),"")</f>
        <v/>
      </c>
      <c r="Y163" s="15">
        <f>IF(ISNUMBER(S163),IF(ISNUMBER(S161),IF(S163&gt;S161,1.0,IF(S163=S161,0.5,0.0)),""),"")</f>
        <v/>
      </c>
      <c r="Z163" s="15">
        <f>IF(ISNUMBER(S163),IF(ISNUMBER(S162),IF(S163&gt;S162,1.0,IF(S163=S162,0.5,0.0)),""),"")</f>
        <v/>
      </c>
      <c r="AA163" s="15">
        <f>IF(ISNUMBER(T163),IF(ISNUMBER(T157),IF(T163&gt;T157,1.0,IF(T163=T157,0.5,0.0)),""),"")</f>
        <v/>
      </c>
      <c r="AB163" s="15">
        <f>IF(ISNUMBER(T163),IF(ISNUMBER(T158),IF(T163&gt;T158,1.0,IF(T163=T158,0.5,0.0)),""),"")</f>
        <v/>
      </c>
      <c r="AC163" s="15">
        <f>IF(ISNUMBER(T163),IF(ISNUMBER(T159),IF(T163&gt;T159,1.0,IF(T163=T159,0.5,0.0)),""),"")</f>
        <v/>
      </c>
      <c r="AD163" s="15">
        <f>IF(ISNUMBER(T163),IF(ISNUMBER(T160),IF(T163&gt;T160,1.0,IF(T163=T160,0.5,0.0)),""),"")</f>
        <v/>
      </c>
      <c r="AE163" s="15">
        <f>IF(ISNUMBER(T163),IF(ISNUMBER(T161),IF(T163&gt;T161,1.0,IF(T163=T161,0.5,0.0)),""),"")</f>
        <v/>
      </c>
      <c r="AF163" s="15">
        <f>IF(ISNUMBER(T163),IF(ISNUMBER(T162),IF(T163&gt;T162,1.0,IF(T163=T162,0.5,0.0)),""),"")</f>
        <v/>
      </c>
      <c r="AG163" s="21">
        <f>IF(AND(ISNUMBER(S163),ISNUMBER(S157)),VLOOKUP(ABS(S163-S157),'IMP Table'!$A$2:$C$26,3)*SIGN(S163-S157),0)</f>
        <v/>
      </c>
      <c r="AH163" s="15">
        <f>IF(AND(ISNUMBER(S163),ISNUMBER(S158)),VLOOKUP(ABS(S163-S158),'IMP Table'!$A$2:$C$26,3)*SIGN(S163-S158),0)</f>
        <v/>
      </c>
      <c r="AI163" s="15">
        <f>IF(AND(ISNUMBER(S163),ISNUMBER(S159)),VLOOKUP(ABS(S163-S159),'IMP Table'!$A$2:$C$26,3)*SIGN(S163-S159),0)</f>
        <v/>
      </c>
      <c r="AJ163" s="15">
        <f>IF(AND(ISNUMBER(S163),ISNUMBER(S160)),VLOOKUP(ABS(S163-S160),'IMP Table'!$A$2:$C$26,3)*SIGN(S163-S160),0)</f>
        <v/>
      </c>
      <c r="AK163" s="15">
        <f>IF(AND(ISNUMBER(S163),ISNUMBER(S161)),VLOOKUP(ABS(S163-S161),'IMP Table'!$A$2:$C$26,3)*SIGN(S163-S161),0)</f>
        <v/>
      </c>
      <c r="AL163" s="15">
        <f>IF(AND(ISNUMBER(S163),ISNUMBER(S162)),VLOOKUP(ABS(S163-S162),'IMP Table'!$A$2:$C$26,3)*SIGN(S163-S162),0)</f>
        <v/>
      </c>
      <c r="AM163" s="15">
        <f>IF(AND(ISNUMBER(T163),ISNUMBER(T157)),VLOOKUP(ABS(T163-T157),'IMP Table'!$A$2:$C$26,3)*SIGN(T163-T157),0)</f>
        <v/>
      </c>
      <c r="AN163" s="15">
        <f>IF(AND(ISNUMBER(T163),ISNUMBER(T158)),VLOOKUP(ABS(T163-T158),'IMP Table'!$A$2:$C$26,3)*SIGN(T163-T158),0)</f>
        <v/>
      </c>
      <c r="AO163" s="15">
        <f>IF(AND(ISNUMBER(T163),ISNUMBER(T159)),VLOOKUP(ABS(T163-T159),'IMP Table'!$A$2:$C$26,3)*SIGN(T163-T159),0)</f>
        <v/>
      </c>
      <c r="AP163" s="15">
        <f>IF(AND(ISNUMBER(T163),ISNUMBER(T160)),VLOOKUP(ABS(T163-T160),'IMP Table'!$A$2:$C$26,3)*SIGN(T163-T160),0)</f>
        <v/>
      </c>
      <c r="AQ163" s="15">
        <f>IF(AND(ISNUMBER(T163),ISNUMBER(T161)),VLOOKUP(ABS(T163-T161),'IMP Table'!$A$2:$C$26,3)*SIGN(T163-T161),0)</f>
        <v/>
      </c>
      <c r="AR163" s="15">
        <f>IF(AND(ISNUMBER(T163),ISNUMBER(T162)),VLOOKUP(ABS(T163-T162),'IMP Table'!$A$2:$C$26,3)*SIGN(T163-T162),0)</f>
        <v/>
      </c>
    </row>
    <row r="164">
      <c r="A164" s="10" t="n">
        <v>24</v>
      </c>
      <c r="B164" s="10">
        <f>'By Round'!A129</f>
        <v/>
      </c>
      <c r="C164" s="10">
        <f>'By Round'!B131</f>
        <v/>
      </c>
      <c r="D164" s="10">
        <f>'By Round'!C131</f>
        <v/>
      </c>
      <c r="E164" s="10">
        <f>'By Round'!D131</f>
        <v/>
      </c>
      <c r="F164" s="10">
        <f>IF(ISBLANK('By Round'!F132),"",'By Round'!F132)</f>
        <v/>
      </c>
      <c r="G164">
        <f>IF(ISBLANK('By Round'!G132),"",'By Round'!G132)</f>
        <v/>
      </c>
      <c r="H164">
        <f>IF(ISBLANK('By Round'!H132),"",'By Round'!H132)</f>
        <v/>
      </c>
      <c r="I164">
        <f>IF(ISBLANK('By Round'!I132),"",'By Round'!I132)</f>
        <v/>
      </c>
      <c r="J164">
        <f>IF(ISBLANK('By Round'!J132),"",'By Round'!J132)</f>
        <v/>
      </c>
      <c r="K164">
        <f>IF(ISBLANK('By Round'!K132),"",'By Round'!K132)</f>
        <v/>
      </c>
      <c r="L164">
        <f>IF(ISBLANK('By Round'!L132),"",'By Round'!L132)</f>
        <v/>
      </c>
      <c r="M164" s="11">
        <f>AVERAGE(AG164:AL164)</f>
        <v/>
      </c>
      <c r="N164" s="12">
        <f>AVERAGE(AM164:AR164)</f>
        <v/>
      </c>
      <c r="O164" s="13">
        <f>IF(COUNT(U164:Z164)&gt;0,Q164/COUNT(U164:Z164),0.5)</f>
        <v/>
      </c>
      <c r="P164" s="13">
        <f>IF(COUNT(AA164:AF164)&gt;0,R164/COUNT(AA164:AF164),0.5)</f>
        <v/>
      </c>
      <c r="Q164" s="5">
        <f>SUM(U164:Z164)</f>
        <v/>
      </c>
      <c r="R164" s="5">
        <f>SUM(AA164:AF164)</f>
        <v/>
      </c>
      <c r="S164" s="14">
        <f>IF(ISNUMBER(K164),K164,IF(ISNUMBER(L164),-L164,""))</f>
        <v/>
      </c>
      <c r="T164">
        <f>IF(ISNUMBER(L164),L164,IF(ISNUMBER(K164),-K164,""))</f>
        <v/>
      </c>
      <c r="U164" s="14">
        <f>IF(ISNUMBER(S164),IF(ISNUMBER(S165),IF(S164&gt;S165,1.0,IF(S164=S165,0.5,0.0)),""),"")</f>
        <v/>
      </c>
      <c r="V164">
        <f>IF(ISNUMBER(S164),IF(ISNUMBER(S166),IF(S164&gt;S166,1.0,IF(S164=S166,0.5,0.0)),""),"")</f>
        <v/>
      </c>
      <c r="W164">
        <f>IF(ISNUMBER(S164),IF(ISNUMBER(S167),IF(S164&gt;S167,1.0,IF(S164=S167,0.5,0.0)),""),"")</f>
        <v/>
      </c>
      <c r="X164">
        <f>IF(ISNUMBER(S164),IF(ISNUMBER(S168),IF(S164&gt;S168,1.0,IF(S164=S168,0.5,0.0)),""),"")</f>
        <v/>
      </c>
      <c r="Y164">
        <f>IF(ISNUMBER(S164),IF(ISNUMBER(S169),IF(S164&gt;S169,1.0,IF(S164=S169,0.5,0.0)),""),"")</f>
        <v/>
      </c>
      <c r="Z164">
        <f>IF(ISNUMBER(S164),IF(ISNUMBER(S170),IF(S164&gt;S170,1.0,IF(S164=S170,0.5,0.0)),""),"")</f>
        <v/>
      </c>
      <c r="AA164">
        <f>IF(ISNUMBER(T164),IF(ISNUMBER(T165),IF(T164&gt;T165,1.0,IF(T164=T165,0.5,0.0)),""),"")</f>
        <v/>
      </c>
      <c r="AB164">
        <f>IF(ISNUMBER(T164),IF(ISNUMBER(T166),IF(T164&gt;T166,1.0,IF(T164=T166,0.5,0.0)),""),"")</f>
        <v/>
      </c>
      <c r="AC164">
        <f>IF(ISNUMBER(T164),IF(ISNUMBER(T167),IF(T164&gt;T167,1.0,IF(T164=T167,0.5,0.0)),""),"")</f>
        <v/>
      </c>
      <c r="AD164">
        <f>IF(ISNUMBER(T164),IF(ISNUMBER(T168),IF(T164&gt;T168,1.0,IF(T164=T168,0.5,0.0)),""),"")</f>
        <v/>
      </c>
      <c r="AE164">
        <f>IF(ISNUMBER(T164),IF(ISNUMBER(T169),IF(T164&gt;T169,1.0,IF(T164=T169,0.5,0.0)),""),"")</f>
        <v/>
      </c>
      <c r="AF164">
        <f>IF(ISNUMBER(T164),IF(ISNUMBER(T170),IF(T164&gt;T170,1.0,IF(T164=T170,0.5,0.0)),""),"")</f>
        <v/>
      </c>
      <c r="AG164" s="14">
        <f>IF(AND(ISNUMBER(S164),ISNUMBER(S165)),VLOOKUP(ABS(S164-S165),'IMP Table'!$A$2:$C$26,3)*SIGN(S164-S165),0)</f>
        <v/>
      </c>
      <c r="AH164">
        <f>IF(AND(ISNUMBER(S164),ISNUMBER(S166)),VLOOKUP(ABS(S164-S166),'IMP Table'!$A$2:$C$26,3)*SIGN(S164-S166),0)</f>
        <v/>
      </c>
      <c r="AI164">
        <f>IF(AND(ISNUMBER(S164),ISNUMBER(S167)),VLOOKUP(ABS(S164-S167),'IMP Table'!$A$2:$C$26,3)*SIGN(S164-S167),0)</f>
        <v/>
      </c>
      <c r="AJ164">
        <f>IF(AND(ISNUMBER(S164),ISNUMBER(S168)),VLOOKUP(ABS(S164-S168),'IMP Table'!$A$2:$C$26,3)*SIGN(S164-S168),0)</f>
        <v/>
      </c>
      <c r="AK164">
        <f>IF(AND(ISNUMBER(S164),ISNUMBER(S169)),VLOOKUP(ABS(S164-S169),'IMP Table'!$A$2:$C$26,3)*SIGN(S164-S169),0)</f>
        <v/>
      </c>
      <c r="AL164">
        <f>IF(AND(ISNUMBER(S164),ISNUMBER(S170)),VLOOKUP(ABS(S164-S170),'IMP Table'!$A$2:$C$26,3)*SIGN(S164-S170),0)</f>
        <v/>
      </c>
      <c r="AM164">
        <f>IF(AND(ISNUMBER(T164),ISNUMBER(T165)),VLOOKUP(ABS(T164-T165),'IMP Table'!$A$2:$C$26,3)*SIGN(T164-T165),0)</f>
        <v/>
      </c>
      <c r="AN164">
        <f>IF(AND(ISNUMBER(T164),ISNUMBER(T166)),VLOOKUP(ABS(T164-T166),'IMP Table'!$A$2:$C$26,3)*SIGN(T164-T166),0)</f>
        <v/>
      </c>
      <c r="AO164">
        <f>IF(AND(ISNUMBER(T164),ISNUMBER(T167)),VLOOKUP(ABS(T164-T167),'IMP Table'!$A$2:$C$26,3)*SIGN(T164-T167),0)</f>
        <v/>
      </c>
      <c r="AP164">
        <f>IF(AND(ISNUMBER(T164),ISNUMBER(T168)),VLOOKUP(ABS(T164-T168),'IMP Table'!$A$2:$C$26,3)*SIGN(T164-T168),0)</f>
        <v/>
      </c>
      <c r="AQ164">
        <f>IF(AND(ISNUMBER(T164),ISNUMBER(T169)),VLOOKUP(ABS(T164-T169),'IMP Table'!$A$2:$C$26,3)*SIGN(T164-T169),0)</f>
        <v/>
      </c>
      <c r="AR164">
        <f>IF(AND(ISNUMBER(T164),ISNUMBER(T170)),VLOOKUP(ABS(T164-T170),'IMP Table'!$A$2:$C$26,3)*SIGN(T164-T170),0)</f>
        <v/>
      </c>
    </row>
    <row r="165">
      <c r="B165" s="10">
        <f>'By Round'!A101</f>
        <v/>
      </c>
      <c r="C165" s="10">
        <f>'By Round'!B107</f>
        <v/>
      </c>
      <c r="D165" s="10">
        <f>'By Round'!C107</f>
        <v/>
      </c>
      <c r="E165" s="10">
        <f>'By Round'!D107</f>
        <v/>
      </c>
      <c r="F165" s="10">
        <f>IF(ISBLANK('By Round'!F108),"",'By Round'!F108)</f>
        <v/>
      </c>
      <c r="G165">
        <f>IF(ISBLANK('By Round'!G108),"",'By Round'!G108)</f>
        <v/>
      </c>
      <c r="H165">
        <f>IF(ISBLANK('By Round'!H108),"",'By Round'!H108)</f>
        <v/>
      </c>
      <c r="I165">
        <f>IF(ISBLANK('By Round'!I108),"",'By Round'!I108)</f>
        <v/>
      </c>
      <c r="J165">
        <f>IF(ISBLANK('By Round'!J108),"",'By Round'!J108)</f>
        <v/>
      </c>
      <c r="K165">
        <f>IF(ISBLANK('By Round'!K108),"",'By Round'!K108)</f>
        <v/>
      </c>
      <c r="L165">
        <f>IF(ISBLANK('By Round'!L108),"",'By Round'!L108)</f>
        <v/>
      </c>
      <c r="M165" s="11">
        <f>AVERAGE(AG165:AL165)</f>
        <v/>
      </c>
      <c r="N165" s="12">
        <f>AVERAGE(AM165:AR165)</f>
        <v/>
      </c>
      <c r="O165" s="13">
        <f>IF(COUNT(U165:Z165)&gt;0,Q165/COUNT(U165:Z165),0.5)</f>
        <v/>
      </c>
      <c r="P165" s="13">
        <f>IF(COUNT(AA165:AF165)&gt;0,R165/COUNT(AA165:AF165),0.5)</f>
        <v/>
      </c>
      <c r="Q165" s="5">
        <f>SUM(U165:Z165)</f>
        <v/>
      </c>
      <c r="R165" s="5">
        <f>SUM(AA165:AF165)</f>
        <v/>
      </c>
      <c r="S165" s="14">
        <f>IF(ISNUMBER(K165),K165,IF(ISNUMBER(L165),-L165,""))</f>
        <v/>
      </c>
      <c r="T165">
        <f>IF(ISNUMBER(L165),L165,IF(ISNUMBER(K165),-K165,""))</f>
        <v/>
      </c>
      <c r="U165" s="14">
        <f>IF(ISNUMBER(S165),IF(ISNUMBER(S164),IF(S165&gt;S164,1.0,IF(S165=S164,0.5,0.0)),""),"")</f>
        <v/>
      </c>
      <c r="V165">
        <f>IF(ISNUMBER(S165),IF(ISNUMBER(S166),IF(S165&gt;S166,1.0,IF(S165=S166,0.5,0.0)),""),"")</f>
        <v/>
      </c>
      <c r="W165">
        <f>IF(ISNUMBER(S165),IF(ISNUMBER(S167),IF(S165&gt;S167,1.0,IF(S165=S167,0.5,0.0)),""),"")</f>
        <v/>
      </c>
      <c r="X165">
        <f>IF(ISNUMBER(S165),IF(ISNUMBER(S168),IF(S165&gt;S168,1.0,IF(S165=S168,0.5,0.0)),""),"")</f>
        <v/>
      </c>
      <c r="Y165">
        <f>IF(ISNUMBER(S165),IF(ISNUMBER(S169),IF(S165&gt;S169,1.0,IF(S165=S169,0.5,0.0)),""),"")</f>
        <v/>
      </c>
      <c r="Z165">
        <f>IF(ISNUMBER(S165),IF(ISNUMBER(S170),IF(S165&gt;S170,1.0,IF(S165=S170,0.5,0.0)),""),"")</f>
        <v/>
      </c>
      <c r="AA165">
        <f>IF(ISNUMBER(T165),IF(ISNUMBER(T164),IF(T165&gt;T164,1.0,IF(T165=T164,0.5,0.0)),""),"")</f>
        <v/>
      </c>
      <c r="AB165">
        <f>IF(ISNUMBER(T165),IF(ISNUMBER(T166),IF(T165&gt;T166,1.0,IF(T165=T166,0.5,0.0)),""),"")</f>
        <v/>
      </c>
      <c r="AC165">
        <f>IF(ISNUMBER(T165),IF(ISNUMBER(T167),IF(T165&gt;T167,1.0,IF(T165=T167,0.5,0.0)),""),"")</f>
        <v/>
      </c>
      <c r="AD165">
        <f>IF(ISNUMBER(T165),IF(ISNUMBER(T168),IF(T165&gt;T168,1.0,IF(T165=T168,0.5,0.0)),""),"")</f>
        <v/>
      </c>
      <c r="AE165">
        <f>IF(ISNUMBER(T165),IF(ISNUMBER(T169),IF(T165&gt;T169,1.0,IF(T165=T169,0.5,0.0)),""),"")</f>
        <v/>
      </c>
      <c r="AF165">
        <f>IF(ISNUMBER(T165),IF(ISNUMBER(T170),IF(T165&gt;T170,1.0,IF(T165=T170,0.5,0.0)),""),"")</f>
        <v/>
      </c>
      <c r="AG165" s="14">
        <f>IF(AND(ISNUMBER(S165),ISNUMBER(S164)),VLOOKUP(ABS(S165-S164),'IMP Table'!$A$2:$C$26,3)*SIGN(S165-S164),0)</f>
        <v/>
      </c>
      <c r="AH165">
        <f>IF(AND(ISNUMBER(S165),ISNUMBER(S166)),VLOOKUP(ABS(S165-S166),'IMP Table'!$A$2:$C$26,3)*SIGN(S165-S166),0)</f>
        <v/>
      </c>
      <c r="AI165">
        <f>IF(AND(ISNUMBER(S165),ISNUMBER(S167)),VLOOKUP(ABS(S165-S167),'IMP Table'!$A$2:$C$26,3)*SIGN(S165-S167),0)</f>
        <v/>
      </c>
      <c r="AJ165">
        <f>IF(AND(ISNUMBER(S165),ISNUMBER(S168)),VLOOKUP(ABS(S165-S168),'IMP Table'!$A$2:$C$26,3)*SIGN(S165-S168),0)</f>
        <v/>
      </c>
      <c r="AK165">
        <f>IF(AND(ISNUMBER(S165),ISNUMBER(S169)),VLOOKUP(ABS(S165-S169),'IMP Table'!$A$2:$C$26,3)*SIGN(S165-S169),0)</f>
        <v/>
      </c>
      <c r="AL165">
        <f>IF(AND(ISNUMBER(S165),ISNUMBER(S170)),VLOOKUP(ABS(S165-S170),'IMP Table'!$A$2:$C$26,3)*SIGN(S165-S170),0)</f>
        <v/>
      </c>
      <c r="AM165">
        <f>IF(AND(ISNUMBER(T165),ISNUMBER(T164)),VLOOKUP(ABS(T165-T164),'IMP Table'!$A$2:$C$26,3)*SIGN(T165-T164),0)</f>
        <v/>
      </c>
      <c r="AN165">
        <f>IF(AND(ISNUMBER(T165),ISNUMBER(T166)),VLOOKUP(ABS(T165-T166),'IMP Table'!$A$2:$C$26,3)*SIGN(T165-T166),0)</f>
        <v/>
      </c>
      <c r="AO165">
        <f>IF(AND(ISNUMBER(T165),ISNUMBER(T167)),VLOOKUP(ABS(T165-T167),'IMP Table'!$A$2:$C$26,3)*SIGN(T165-T167),0)</f>
        <v/>
      </c>
      <c r="AP165">
        <f>IF(AND(ISNUMBER(T165),ISNUMBER(T168)),VLOOKUP(ABS(T165-T168),'IMP Table'!$A$2:$C$26,3)*SIGN(T165-T168),0)</f>
        <v/>
      </c>
      <c r="AQ165">
        <f>IF(AND(ISNUMBER(T165),ISNUMBER(T169)),VLOOKUP(ABS(T165-T169),'IMP Table'!$A$2:$C$26,3)*SIGN(T165-T169),0)</f>
        <v/>
      </c>
      <c r="AR165">
        <f>IF(AND(ISNUMBER(T165),ISNUMBER(T170)),VLOOKUP(ABS(T165-T170),'IMP Table'!$A$2:$C$26,3)*SIGN(T165-T170),0)</f>
        <v/>
      </c>
    </row>
    <row r="166">
      <c r="B166" s="10">
        <f>'By Round'!A3</f>
        <v/>
      </c>
      <c r="C166" s="10">
        <f>'By Round'!B15</f>
        <v/>
      </c>
      <c r="D166" s="10">
        <f>'By Round'!C15</f>
        <v/>
      </c>
      <c r="E166" s="10">
        <f>'By Round'!D15</f>
        <v/>
      </c>
      <c r="F166" s="10">
        <f>IF(ISBLANK('By Round'!F16),"",'By Round'!F16)</f>
        <v/>
      </c>
      <c r="G166">
        <f>IF(ISBLANK('By Round'!G16),"",'By Round'!G16)</f>
        <v/>
      </c>
      <c r="H166">
        <f>IF(ISBLANK('By Round'!H16),"",'By Round'!H16)</f>
        <v/>
      </c>
      <c r="I166">
        <f>IF(ISBLANK('By Round'!I16),"",'By Round'!I16)</f>
        <v/>
      </c>
      <c r="J166">
        <f>IF(ISBLANK('By Round'!J16),"",'By Round'!J16)</f>
        <v/>
      </c>
      <c r="K166">
        <f>IF(ISBLANK('By Round'!K16),"",'By Round'!K16)</f>
        <v/>
      </c>
      <c r="L166">
        <f>IF(ISBLANK('By Round'!L16),"",'By Round'!L16)</f>
        <v/>
      </c>
      <c r="M166" s="11">
        <f>AVERAGE(AG166:AL166)</f>
        <v/>
      </c>
      <c r="N166" s="12">
        <f>AVERAGE(AM166:AR166)</f>
        <v/>
      </c>
      <c r="O166" s="13">
        <f>IF(COUNT(U166:Z166)&gt;0,Q166/COUNT(U166:Z166),0.5)</f>
        <v/>
      </c>
      <c r="P166" s="13">
        <f>IF(COUNT(AA166:AF166)&gt;0,R166/COUNT(AA166:AF166),0.5)</f>
        <v/>
      </c>
      <c r="Q166" s="5">
        <f>SUM(U166:Z166)</f>
        <v/>
      </c>
      <c r="R166" s="5">
        <f>SUM(AA166:AF166)</f>
        <v/>
      </c>
      <c r="S166" s="14">
        <f>IF(ISNUMBER(K166),K166,IF(ISNUMBER(L166),-L166,""))</f>
        <v/>
      </c>
      <c r="T166">
        <f>IF(ISNUMBER(L166),L166,IF(ISNUMBER(K166),-K166,""))</f>
        <v/>
      </c>
      <c r="U166" s="14">
        <f>IF(ISNUMBER(S166),IF(ISNUMBER(S164),IF(S166&gt;S164,1.0,IF(S166=S164,0.5,0.0)),""),"")</f>
        <v/>
      </c>
      <c r="V166">
        <f>IF(ISNUMBER(S166),IF(ISNUMBER(S165),IF(S166&gt;S165,1.0,IF(S166=S165,0.5,0.0)),""),"")</f>
        <v/>
      </c>
      <c r="W166">
        <f>IF(ISNUMBER(S166),IF(ISNUMBER(S167),IF(S166&gt;S167,1.0,IF(S166=S167,0.5,0.0)),""),"")</f>
        <v/>
      </c>
      <c r="X166">
        <f>IF(ISNUMBER(S166),IF(ISNUMBER(S168),IF(S166&gt;S168,1.0,IF(S166=S168,0.5,0.0)),""),"")</f>
        <v/>
      </c>
      <c r="Y166">
        <f>IF(ISNUMBER(S166),IF(ISNUMBER(S169),IF(S166&gt;S169,1.0,IF(S166=S169,0.5,0.0)),""),"")</f>
        <v/>
      </c>
      <c r="Z166">
        <f>IF(ISNUMBER(S166),IF(ISNUMBER(S170),IF(S166&gt;S170,1.0,IF(S166=S170,0.5,0.0)),""),"")</f>
        <v/>
      </c>
      <c r="AA166">
        <f>IF(ISNUMBER(T166),IF(ISNUMBER(T164),IF(T166&gt;T164,1.0,IF(T166=T164,0.5,0.0)),""),"")</f>
        <v/>
      </c>
      <c r="AB166">
        <f>IF(ISNUMBER(T166),IF(ISNUMBER(T165),IF(T166&gt;T165,1.0,IF(T166=T165,0.5,0.0)),""),"")</f>
        <v/>
      </c>
      <c r="AC166">
        <f>IF(ISNUMBER(T166),IF(ISNUMBER(T167),IF(T166&gt;T167,1.0,IF(T166=T167,0.5,0.0)),""),"")</f>
        <v/>
      </c>
      <c r="AD166">
        <f>IF(ISNUMBER(T166),IF(ISNUMBER(T168),IF(T166&gt;T168,1.0,IF(T166=T168,0.5,0.0)),""),"")</f>
        <v/>
      </c>
      <c r="AE166">
        <f>IF(ISNUMBER(T166),IF(ISNUMBER(T169),IF(T166&gt;T169,1.0,IF(T166=T169,0.5,0.0)),""),"")</f>
        <v/>
      </c>
      <c r="AF166">
        <f>IF(ISNUMBER(T166),IF(ISNUMBER(T170),IF(T166&gt;T170,1.0,IF(T166=T170,0.5,0.0)),""),"")</f>
        <v/>
      </c>
      <c r="AG166" s="14">
        <f>IF(AND(ISNUMBER(S166),ISNUMBER(S164)),VLOOKUP(ABS(S166-S164),'IMP Table'!$A$2:$C$26,3)*SIGN(S166-S164),0)</f>
        <v/>
      </c>
      <c r="AH166">
        <f>IF(AND(ISNUMBER(S166),ISNUMBER(S165)),VLOOKUP(ABS(S166-S165),'IMP Table'!$A$2:$C$26,3)*SIGN(S166-S165),0)</f>
        <v/>
      </c>
      <c r="AI166">
        <f>IF(AND(ISNUMBER(S166),ISNUMBER(S167)),VLOOKUP(ABS(S166-S167),'IMP Table'!$A$2:$C$26,3)*SIGN(S166-S167),0)</f>
        <v/>
      </c>
      <c r="AJ166">
        <f>IF(AND(ISNUMBER(S166),ISNUMBER(S168)),VLOOKUP(ABS(S166-S168),'IMP Table'!$A$2:$C$26,3)*SIGN(S166-S168),0)</f>
        <v/>
      </c>
      <c r="AK166">
        <f>IF(AND(ISNUMBER(S166),ISNUMBER(S169)),VLOOKUP(ABS(S166-S169),'IMP Table'!$A$2:$C$26,3)*SIGN(S166-S169),0)</f>
        <v/>
      </c>
      <c r="AL166">
        <f>IF(AND(ISNUMBER(S166),ISNUMBER(S170)),VLOOKUP(ABS(S166-S170),'IMP Table'!$A$2:$C$26,3)*SIGN(S166-S170),0)</f>
        <v/>
      </c>
      <c r="AM166">
        <f>IF(AND(ISNUMBER(T166),ISNUMBER(T164)),VLOOKUP(ABS(T166-T164),'IMP Table'!$A$2:$C$26,3)*SIGN(T166-T164),0)</f>
        <v/>
      </c>
      <c r="AN166">
        <f>IF(AND(ISNUMBER(T166),ISNUMBER(T165)),VLOOKUP(ABS(T166-T165),'IMP Table'!$A$2:$C$26,3)*SIGN(T166-T165),0)</f>
        <v/>
      </c>
      <c r="AO166">
        <f>IF(AND(ISNUMBER(T166),ISNUMBER(T167)),VLOOKUP(ABS(T166-T167),'IMP Table'!$A$2:$C$26,3)*SIGN(T166-T167),0)</f>
        <v/>
      </c>
      <c r="AP166">
        <f>IF(AND(ISNUMBER(T166),ISNUMBER(T168)),VLOOKUP(ABS(T166-T168),'IMP Table'!$A$2:$C$26,3)*SIGN(T166-T168),0)</f>
        <v/>
      </c>
      <c r="AQ166">
        <f>IF(AND(ISNUMBER(T166),ISNUMBER(T169)),VLOOKUP(ABS(T166-T169),'IMP Table'!$A$2:$C$26,3)*SIGN(T166-T169),0)</f>
        <v/>
      </c>
      <c r="AR166">
        <f>IF(AND(ISNUMBER(T166),ISNUMBER(T170)),VLOOKUP(ABS(T166-T170),'IMP Table'!$A$2:$C$26,3)*SIGN(T166-T170),0)</f>
        <v/>
      </c>
    </row>
    <row r="167">
      <c r="B167" s="10">
        <f>'By Round'!A31</f>
        <v/>
      </c>
      <c r="C167" s="10">
        <f>'By Round'!B39</f>
        <v/>
      </c>
      <c r="D167" s="10">
        <f>'By Round'!C39</f>
        <v/>
      </c>
      <c r="E167" s="10">
        <f>'By Round'!D39</f>
        <v/>
      </c>
      <c r="F167" s="10">
        <f>IF(ISBLANK('By Round'!F40),"",'By Round'!F40)</f>
        <v/>
      </c>
      <c r="G167">
        <f>IF(ISBLANK('By Round'!G40),"",'By Round'!G40)</f>
        <v/>
      </c>
      <c r="H167">
        <f>IF(ISBLANK('By Round'!H40),"",'By Round'!H40)</f>
        <v/>
      </c>
      <c r="I167">
        <f>IF(ISBLANK('By Round'!I40),"",'By Round'!I40)</f>
        <v/>
      </c>
      <c r="J167">
        <f>IF(ISBLANK('By Round'!J40),"",'By Round'!J40)</f>
        <v/>
      </c>
      <c r="K167">
        <f>IF(ISBLANK('By Round'!K40),"",'By Round'!K40)</f>
        <v/>
      </c>
      <c r="L167">
        <f>IF(ISBLANK('By Round'!L40),"",'By Round'!L40)</f>
        <v/>
      </c>
      <c r="M167" s="11">
        <f>AVERAGE(AG167:AL167)</f>
        <v/>
      </c>
      <c r="N167" s="12">
        <f>AVERAGE(AM167:AR167)</f>
        <v/>
      </c>
      <c r="O167" s="13">
        <f>IF(COUNT(U167:Z167)&gt;0,Q167/COUNT(U167:Z167),0.5)</f>
        <v/>
      </c>
      <c r="P167" s="13">
        <f>IF(COUNT(AA167:AF167)&gt;0,R167/COUNT(AA167:AF167),0.5)</f>
        <v/>
      </c>
      <c r="Q167" s="5">
        <f>SUM(U167:Z167)</f>
        <v/>
      </c>
      <c r="R167" s="5">
        <f>SUM(AA167:AF167)</f>
        <v/>
      </c>
      <c r="S167" s="14">
        <f>IF(ISNUMBER(K167),K167,IF(ISNUMBER(L167),-L167,""))</f>
        <v/>
      </c>
      <c r="T167">
        <f>IF(ISNUMBER(L167),L167,IF(ISNUMBER(K167),-K167,""))</f>
        <v/>
      </c>
      <c r="U167" s="14">
        <f>IF(ISNUMBER(S167),IF(ISNUMBER(S164),IF(S167&gt;S164,1.0,IF(S167=S164,0.5,0.0)),""),"")</f>
        <v/>
      </c>
      <c r="V167">
        <f>IF(ISNUMBER(S167),IF(ISNUMBER(S165),IF(S167&gt;S165,1.0,IF(S167=S165,0.5,0.0)),""),"")</f>
        <v/>
      </c>
      <c r="W167">
        <f>IF(ISNUMBER(S167),IF(ISNUMBER(S166),IF(S167&gt;S166,1.0,IF(S167=S166,0.5,0.0)),""),"")</f>
        <v/>
      </c>
      <c r="X167">
        <f>IF(ISNUMBER(S167),IF(ISNUMBER(S168),IF(S167&gt;S168,1.0,IF(S167=S168,0.5,0.0)),""),"")</f>
        <v/>
      </c>
      <c r="Y167">
        <f>IF(ISNUMBER(S167),IF(ISNUMBER(S169),IF(S167&gt;S169,1.0,IF(S167=S169,0.5,0.0)),""),"")</f>
        <v/>
      </c>
      <c r="Z167">
        <f>IF(ISNUMBER(S167),IF(ISNUMBER(S170),IF(S167&gt;S170,1.0,IF(S167=S170,0.5,0.0)),""),"")</f>
        <v/>
      </c>
      <c r="AA167">
        <f>IF(ISNUMBER(T167),IF(ISNUMBER(T164),IF(T167&gt;T164,1.0,IF(T167=T164,0.5,0.0)),""),"")</f>
        <v/>
      </c>
      <c r="AB167">
        <f>IF(ISNUMBER(T167),IF(ISNUMBER(T165),IF(T167&gt;T165,1.0,IF(T167=T165,0.5,0.0)),""),"")</f>
        <v/>
      </c>
      <c r="AC167">
        <f>IF(ISNUMBER(T167),IF(ISNUMBER(T166),IF(T167&gt;T166,1.0,IF(T167=T166,0.5,0.0)),""),"")</f>
        <v/>
      </c>
      <c r="AD167">
        <f>IF(ISNUMBER(T167),IF(ISNUMBER(T168),IF(T167&gt;T168,1.0,IF(T167=T168,0.5,0.0)),""),"")</f>
        <v/>
      </c>
      <c r="AE167">
        <f>IF(ISNUMBER(T167),IF(ISNUMBER(T169),IF(T167&gt;T169,1.0,IF(T167=T169,0.5,0.0)),""),"")</f>
        <v/>
      </c>
      <c r="AF167">
        <f>IF(ISNUMBER(T167),IF(ISNUMBER(T170),IF(T167&gt;T170,1.0,IF(T167=T170,0.5,0.0)),""),"")</f>
        <v/>
      </c>
      <c r="AG167" s="14">
        <f>IF(AND(ISNUMBER(S167),ISNUMBER(S164)),VLOOKUP(ABS(S167-S164),'IMP Table'!$A$2:$C$26,3)*SIGN(S167-S164),0)</f>
        <v/>
      </c>
      <c r="AH167">
        <f>IF(AND(ISNUMBER(S167),ISNUMBER(S165)),VLOOKUP(ABS(S167-S165),'IMP Table'!$A$2:$C$26,3)*SIGN(S167-S165),0)</f>
        <v/>
      </c>
      <c r="AI167">
        <f>IF(AND(ISNUMBER(S167),ISNUMBER(S166)),VLOOKUP(ABS(S167-S166),'IMP Table'!$A$2:$C$26,3)*SIGN(S167-S166),0)</f>
        <v/>
      </c>
      <c r="AJ167">
        <f>IF(AND(ISNUMBER(S167),ISNUMBER(S168)),VLOOKUP(ABS(S167-S168),'IMP Table'!$A$2:$C$26,3)*SIGN(S167-S168),0)</f>
        <v/>
      </c>
      <c r="AK167">
        <f>IF(AND(ISNUMBER(S167),ISNUMBER(S169)),VLOOKUP(ABS(S167-S169),'IMP Table'!$A$2:$C$26,3)*SIGN(S167-S169),0)</f>
        <v/>
      </c>
      <c r="AL167">
        <f>IF(AND(ISNUMBER(S167),ISNUMBER(S170)),VLOOKUP(ABS(S167-S170),'IMP Table'!$A$2:$C$26,3)*SIGN(S167-S170),0)</f>
        <v/>
      </c>
      <c r="AM167">
        <f>IF(AND(ISNUMBER(T167),ISNUMBER(T164)),VLOOKUP(ABS(T167-T164),'IMP Table'!$A$2:$C$26,3)*SIGN(T167-T164),0)</f>
        <v/>
      </c>
      <c r="AN167">
        <f>IF(AND(ISNUMBER(T167),ISNUMBER(T165)),VLOOKUP(ABS(T167-T165),'IMP Table'!$A$2:$C$26,3)*SIGN(T167-T165),0)</f>
        <v/>
      </c>
      <c r="AO167">
        <f>IF(AND(ISNUMBER(T167),ISNUMBER(T166)),VLOOKUP(ABS(T167-T166),'IMP Table'!$A$2:$C$26,3)*SIGN(T167-T166),0)</f>
        <v/>
      </c>
      <c r="AP167">
        <f>IF(AND(ISNUMBER(T167),ISNUMBER(T168)),VLOOKUP(ABS(T167-T168),'IMP Table'!$A$2:$C$26,3)*SIGN(T167-T168),0)</f>
        <v/>
      </c>
      <c r="AQ167">
        <f>IF(AND(ISNUMBER(T167),ISNUMBER(T169)),VLOOKUP(ABS(T167-T169),'IMP Table'!$A$2:$C$26,3)*SIGN(T167-T169),0)</f>
        <v/>
      </c>
      <c r="AR167">
        <f>IF(AND(ISNUMBER(T167),ISNUMBER(T170)),VLOOKUP(ABS(T167-T170),'IMP Table'!$A$2:$C$26,3)*SIGN(T167-T170),0)</f>
        <v/>
      </c>
    </row>
    <row r="168">
      <c r="B168" s="10">
        <f>'By Round'!A17</f>
        <v/>
      </c>
      <c r="C168" s="10">
        <f>'By Round'!B27</f>
        <v/>
      </c>
      <c r="D168" s="10">
        <f>'By Round'!C27</f>
        <v/>
      </c>
      <c r="E168" s="10">
        <f>'By Round'!D27</f>
        <v/>
      </c>
      <c r="F168" s="10">
        <f>IF(ISBLANK('By Round'!F28),"",'By Round'!F28)</f>
        <v/>
      </c>
      <c r="G168">
        <f>IF(ISBLANK('By Round'!G28),"",'By Round'!G28)</f>
        <v/>
      </c>
      <c r="H168">
        <f>IF(ISBLANK('By Round'!H28),"",'By Round'!H28)</f>
        <v/>
      </c>
      <c r="I168">
        <f>IF(ISBLANK('By Round'!I28),"",'By Round'!I28)</f>
        <v/>
      </c>
      <c r="J168">
        <f>IF(ISBLANK('By Round'!J28),"",'By Round'!J28)</f>
        <v/>
      </c>
      <c r="K168">
        <f>IF(ISBLANK('By Round'!K28),"",'By Round'!K28)</f>
        <v/>
      </c>
      <c r="L168">
        <f>IF(ISBLANK('By Round'!L28),"",'By Round'!L28)</f>
        <v/>
      </c>
      <c r="M168" s="11">
        <f>AVERAGE(AG168:AL168)</f>
        <v/>
      </c>
      <c r="N168" s="12">
        <f>AVERAGE(AM168:AR168)</f>
        <v/>
      </c>
      <c r="O168" s="13">
        <f>IF(COUNT(U168:Z168)&gt;0,Q168/COUNT(U168:Z168),0.5)</f>
        <v/>
      </c>
      <c r="P168" s="13">
        <f>IF(COUNT(AA168:AF168)&gt;0,R168/COUNT(AA168:AF168),0.5)</f>
        <v/>
      </c>
      <c r="Q168" s="5">
        <f>SUM(U168:Z168)</f>
        <v/>
      </c>
      <c r="R168" s="5">
        <f>SUM(AA168:AF168)</f>
        <v/>
      </c>
      <c r="S168" s="14">
        <f>IF(ISNUMBER(K168),K168,IF(ISNUMBER(L168),-L168,""))</f>
        <v/>
      </c>
      <c r="T168">
        <f>IF(ISNUMBER(L168),L168,IF(ISNUMBER(K168),-K168,""))</f>
        <v/>
      </c>
      <c r="U168" s="14">
        <f>IF(ISNUMBER(S168),IF(ISNUMBER(S164),IF(S168&gt;S164,1.0,IF(S168=S164,0.5,0.0)),""),"")</f>
        <v/>
      </c>
      <c r="V168">
        <f>IF(ISNUMBER(S168),IF(ISNUMBER(S165),IF(S168&gt;S165,1.0,IF(S168=S165,0.5,0.0)),""),"")</f>
        <v/>
      </c>
      <c r="W168">
        <f>IF(ISNUMBER(S168),IF(ISNUMBER(S166),IF(S168&gt;S166,1.0,IF(S168=S166,0.5,0.0)),""),"")</f>
        <v/>
      </c>
      <c r="X168">
        <f>IF(ISNUMBER(S168),IF(ISNUMBER(S167),IF(S168&gt;S167,1.0,IF(S168=S167,0.5,0.0)),""),"")</f>
        <v/>
      </c>
      <c r="Y168">
        <f>IF(ISNUMBER(S168),IF(ISNUMBER(S169),IF(S168&gt;S169,1.0,IF(S168=S169,0.5,0.0)),""),"")</f>
        <v/>
      </c>
      <c r="Z168">
        <f>IF(ISNUMBER(S168),IF(ISNUMBER(S170),IF(S168&gt;S170,1.0,IF(S168=S170,0.5,0.0)),""),"")</f>
        <v/>
      </c>
      <c r="AA168">
        <f>IF(ISNUMBER(T168),IF(ISNUMBER(T164),IF(T168&gt;T164,1.0,IF(T168=T164,0.5,0.0)),""),"")</f>
        <v/>
      </c>
      <c r="AB168">
        <f>IF(ISNUMBER(T168),IF(ISNUMBER(T165),IF(T168&gt;T165,1.0,IF(T168=T165,0.5,0.0)),""),"")</f>
        <v/>
      </c>
      <c r="AC168">
        <f>IF(ISNUMBER(T168),IF(ISNUMBER(T166),IF(T168&gt;T166,1.0,IF(T168=T166,0.5,0.0)),""),"")</f>
        <v/>
      </c>
      <c r="AD168">
        <f>IF(ISNUMBER(T168),IF(ISNUMBER(T167),IF(T168&gt;T167,1.0,IF(T168=T167,0.5,0.0)),""),"")</f>
        <v/>
      </c>
      <c r="AE168">
        <f>IF(ISNUMBER(T168),IF(ISNUMBER(T169),IF(T168&gt;T169,1.0,IF(T168=T169,0.5,0.0)),""),"")</f>
        <v/>
      </c>
      <c r="AF168">
        <f>IF(ISNUMBER(T168),IF(ISNUMBER(T170),IF(T168&gt;T170,1.0,IF(T168=T170,0.5,0.0)),""),"")</f>
        <v/>
      </c>
      <c r="AG168" s="14">
        <f>IF(AND(ISNUMBER(S168),ISNUMBER(S164)),VLOOKUP(ABS(S168-S164),'IMP Table'!$A$2:$C$26,3)*SIGN(S168-S164),0)</f>
        <v/>
      </c>
      <c r="AH168">
        <f>IF(AND(ISNUMBER(S168),ISNUMBER(S165)),VLOOKUP(ABS(S168-S165),'IMP Table'!$A$2:$C$26,3)*SIGN(S168-S165),0)</f>
        <v/>
      </c>
      <c r="AI168">
        <f>IF(AND(ISNUMBER(S168),ISNUMBER(S166)),VLOOKUP(ABS(S168-S166),'IMP Table'!$A$2:$C$26,3)*SIGN(S168-S166),0)</f>
        <v/>
      </c>
      <c r="AJ168">
        <f>IF(AND(ISNUMBER(S168),ISNUMBER(S167)),VLOOKUP(ABS(S168-S167),'IMP Table'!$A$2:$C$26,3)*SIGN(S168-S167),0)</f>
        <v/>
      </c>
      <c r="AK168">
        <f>IF(AND(ISNUMBER(S168),ISNUMBER(S169)),VLOOKUP(ABS(S168-S169),'IMP Table'!$A$2:$C$26,3)*SIGN(S168-S169),0)</f>
        <v/>
      </c>
      <c r="AL168">
        <f>IF(AND(ISNUMBER(S168),ISNUMBER(S170)),VLOOKUP(ABS(S168-S170),'IMP Table'!$A$2:$C$26,3)*SIGN(S168-S170),0)</f>
        <v/>
      </c>
      <c r="AM168">
        <f>IF(AND(ISNUMBER(T168),ISNUMBER(T164)),VLOOKUP(ABS(T168-T164),'IMP Table'!$A$2:$C$26,3)*SIGN(T168-T164),0)</f>
        <v/>
      </c>
      <c r="AN168">
        <f>IF(AND(ISNUMBER(T168),ISNUMBER(T165)),VLOOKUP(ABS(T168-T165),'IMP Table'!$A$2:$C$26,3)*SIGN(T168-T165),0)</f>
        <v/>
      </c>
      <c r="AO168">
        <f>IF(AND(ISNUMBER(T168),ISNUMBER(T166)),VLOOKUP(ABS(T168-T166),'IMP Table'!$A$2:$C$26,3)*SIGN(T168-T166),0)</f>
        <v/>
      </c>
      <c r="AP168">
        <f>IF(AND(ISNUMBER(T168),ISNUMBER(T167)),VLOOKUP(ABS(T168-T167),'IMP Table'!$A$2:$C$26,3)*SIGN(T168-T167),0)</f>
        <v/>
      </c>
      <c r="AQ168">
        <f>IF(AND(ISNUMBER(T168),ISNUMBER(T169)),VLOOKUP(ABS(T168-T169),'IMP Table'!$A$2:$C$26,3)*SIGN(T168-T169),0)</f>
        <v/>
      </c>
      <c r="AR168">
        <f>IF(AND(ISNUMBER(T168),ISNUMBER(T170)),VLOOKUP(ABS(T168-T170),'IMP Table'!$A$2:$C$26,3)*SIGN(T168-T170),0)</f>
        <v/>
      </c>
    </row>
    <row r="169">
      <c r="B169" s="10">
        <f>'By Round'!A115</f>
        <v/>
      </c>
      <c r="C169" s="10">
        <f>'By Round'!B119</f>
        <v/>
      </c>
      <c r="D169" s="10">
        <f>'By Round'!C119</f>
        <v/>
      </c>
      <c r="E169" s="10">
        <f>'By Round'!D119</f>
        <v/>
      </c>
      <c r="F169" s="10">
        <f>IF(ISBLANK('By Round'!F120),"",'By Round'!F120)</f>
        <v/>
      </c>
      <c r="G169">
        <f>IF(ISBLANK('By Round'!G120),"",'By Round'!G120)</f>
        <v/>
      </c>
      <c r="H169">
        <f>IF(ISBLANK('By Round'!H120),"",'By Round'!H120)</f>
        <v/>
      </c>
      <c r="I169">
        <f>IF(ISBLANK('By Round'!I120),"",'By Round'!I120)</f>
        <v/>
      </c>
      <c r="J169">
        <f>IF(ISBLANK('By Round'!J120),"",'By Round'!J120)</f>
        <v/>
      </c>
      <c r="K169">
        <f>IF(ISBLANK('By Round'!K120),"",'By Round'!K120)</f>
        <v/>
      </c>
      <c r="L169">
        <f>IF(ISBLANK('By Round'!L120),"",'By Round'!L120)</f>
        <v/>
      </c>
      <c r="M169" s="11">
        <f>AVERAGE(AG169:AL169)</f>
        <v/>
      </c>
      <c r="N169" s="12">
        <f>AVERAGE(AM169:AR169)</f>
        <v/>
      </c>
      <c r="O169" s="13">
        <f>IF(COUNT(U169:Z169)&gt;0,Q169/COUNT(U169:Z169),0.5)</f>
        <v/>
      </c>
      <c r="P169" s="13">
        <f>IF(COUNT(AA169:AF169)&gt;0,R169/COUNT(AA169:AF169),0.5)</f>
        <v/>
      </c>
      <c r="Q169" s="5">
        <f>SUM(U169:Z169)</f>
        <v/>
      </c>
      <c r="R169" s="5">
        <f>SUM(AA169:AF169)</f>
        <v/>
      </c>
      <c r="S169" s="14">
        <f>IF(ISNUMBER(K169),K169,IF(ISNUMBER(L169),-L169,""))</f>
        <v/>
      </c>
      <c r="T169">
        <f>IF(ISNUMBER(L169),L169,IF(ISNUMBER(K169),-K169,""))</f>
        <v/>
      </c>
      <c r="U169" s="14">
        <f>IF(ISNUMBER(S169),IF(ISNUMBER(S164),IF(S169&gt;S164,1.0,IF(S169=S164,0.5,0.0)),""),"")</f>
        <v/>
      </c>
      <c r="V169">
        <f>IF(ISNUMBER(S169),IF(ISNUMBER(S165),IF(S169&gt;S165,1.0,IF(S169=S165,0.5,0.0)),""),"")</f>
        <v/>
      </c>
      <c r="W169">
        <f>IF(ISNUMBER(S169),IF(ISNUMBER(S166),IF(S169&gt;S166,1.0,IF(S169=S166,0.5,0.0)),""),"")</f>
        <v/>
      </c>
      <c r="X169">
        <f>IF(ISNUMBER(S169),IF(ISNUMBER(S167),IF(S169&gt;S167,1.0,IF(S169=S167,0.5,0.0)),""),"")</f>
        <v/>
      </c>
      <c r="Y169">
        <f>IF(ISNUMBER(S169),IF(ISNUMBER(S168),IF(S169&gt;S168,1.0,IF(S169=S168,0.5,0.0)),""),"")</f>
        <v/>
      </c>
      <c r="Z169">
        <f>IF(ISNUMBER(S169),IF(ISNUMBER(S170),IF(S169&gt;S170,1.0,IF(S169=S170,0.5,0.0)),""),"")</f>
        <v/>
      </c>
      <c r="AA169">
        <f>IF(ISNUMBER(T169),IF(ISNUMBER(T164),IF(T169&gt;T164,1.0,IF(T169=T164,0.5,0.0)),""),"")</f>
        <v/>
      </c>
      <c r="AB169">
        <f>IF(ISNUMBER(T169),IF(ISNUMBER(T165),IF(T169&gt;T165,1.0,IF(T169=T165,0.5,0.0)),""),"")</f>
        <v/>
      </c>
      <c r="AC169">
        <f>IF(ISNUMBER(T169),IF(ISNUMBER(T166),IF(T169&gt;T166,1.0,IF(T169=T166,0.5,0.0)),""),"")</f>
        <v/>
      </c>
      <c r="AD169">
        <f>IF(ISNUMBER(T169),IF(ISNUMBER(T167),IF(T169&gt;T167,1.0,IF(T169=T167,0.5,0.0)),""),"")</f>
        <v/>
      </c>
      <c r="AE169">
        <f>IF(ISNUMBER(T169),IF(ISNUMBER(T168),IF(T169&gt;T168,1.0,IF(T169=T168,0.5,0.0)),""),"")</f>
        <v/>
      </c>
      <c r="AF169">
        <f>IF(ISNUMBER(T169),IF(ISNUMBER(T170),IF(T169&gt;T170,1.0,IF(T169=T170,0.5,0.0)),""),"")</f>
        <v/>
      </c>
      <c r="AG169" s="14">
        <f>IF(AND(ISNUMBER(S169),ISNUMBER(S164)),VLOOKUP(ABS(S169-S164),'IMP Table'!$A$2:$C$26,3)*SIGN(S169-S164),0)</f>
        <v/>
      </c>
      <c r="AH169">
        <f>IF(AND(ISNUMBER(S169),ISNUMBER(S165)),VLOOKUP(ABS(S169-S165),'IMP Table'!$A$2:$C$26,3)*SIGN(S169-S165),0)</f>
        <v/>
      </c>
      <c r="AI169">
        <f>IF(AND(ISNUMBER(S169),ISNUMBER(S166)),VLOOKUP(ABS(S169-S166),'IMP Table'!$A$2:$C$26,3)*SIGN(S169-S166),0)</f>
        <v/>
      </c>
      <c r="AJ169">
        <f>IF(AND(ISNUMBER(S169),ISNUMBER(S167)),VLOOKUP(ABS(S169-S167),'IMP Table'!$A$2:$C$26,3)*SIGN(S169-S167),0)</f>
        <v/>
      </c>
      <c r="AK169">
        <f>IF(AND(ISNUMBER(S169),ISNUMBER(S168)),VLOOKUP(ABS(S169-S168),'IMP Table'!$A$2:$C$26,3)*SIGN(S169-S168),0)</f>
        <v/>
      </c>
      <c r="AL169">
        <f>IF(AND(ISNUMBER(S169),ISNUMBER(S170)),VLOOKUP(ABS(S169-S170),'IMP Table'!$A$2:$C$26,3)*SIGN(S169-S170),0)</f>
        <v/>
      </c>
      <c r="AM169">
        <f>IF(AND(ISNUMBER(T169),ISNUMBER(T164)),VLOOKUP(ABS(T169-T164),'IMP Table'!$A$2:$C$26,3)*SIGN(T169-T164),0)</f>
        <v/>
      </c>
      <c r="AN169">
        <f>IF(AND(ISNUMBER(T169),ISNUMBER(T165)),VLOOKUP(ABS(T169-T165),'IMP Table'!$A$2:$C$26,3)*SIGN(T169-T165),0)</f>
        <v/>
      </c>
      <c r="AO169">
        <f>IF(AND(ISNUMBER(T169),ISNUMBER(T166)),VLOOKUP(ABS(T169-T166),'IMP Table'!$A$2:$C$26,3)*SIGN(T169-T166),0)</f>
        <v/>
      </c>
      <c r="AP169">
        <f>IF(AND(ISNUMBER(T169),ISNUMBER(T167)),VLOOKUP(ABS(T169-T167),'IMP Table'!$A$2:$C$26,3)*SIGN(T169-T167),0)</f>
        <v/>
      </c>
      <c r="AQ169">
        <f>IF(AND(ISNUMBER(T169),ISNUMBER(T168)),VLOOKUP(ABS(T169-T168),'IMP Table'!$A$2:$C$26,3)*SIGN(T169-T168),0)</f>
        <v/>
      </c>
      <c r="AR169">
        <f>IF(AND(ISNUMBER(T169),ISNUMBER(T170)),VLOOKUP(ABS(T169-T170),'IMP Table'!$A$2:$C$26,3)*SIGN(T169-T170),0)</f>
        <v/>
      </c>
    </row>
    <row r="170">
      <c r="A170" s="15" t="n"/>
      <c r="B170" s="16">
        <f>'By Round'!A157</f>
        <v/>
      </c>
      <c r="C170" s="16">
        <f>'By Round'!B157</f>
        <v/>
      </c>
      <c r="D170" s="16">
        <f>'By Round'!C157</f>
        <v/>
      </c>
      <c r="E170" s="16">
        <f>'By Round'!D157</f>
        <v/>
      </c>
      <c r="F170" s="16">
        <f>IF(ISBLANK('By Round'!F158),"",'By Round'!F158)</f>
        <v/>
      </c>
      <c r="G170" s="15">
        <f>IF(ISBLANK('By Round'!G158),"",'By Round'!G158)</f>
        <v/>
      </c>
      <c r="H170" s="15">
        <f>IF(ISBLANK('By Round'!H158),"",'By Round'!H158)</f>
        <v/>
      </c>
      <c r="I170" s="15">
        <f>IF(ISBLANK('By Round'!I158),"",'By Round'!I158)</f>
        <v/>
      </c>
      <c r="J170" s="15">
        <f>IF(ISBLANK('By Round'!J158),"",'By Round'!J158)</f>
        <v/>
      </c>
      <c r="K170" s="15">
        <f>IF(ISBLANK('By Round'!K158),"",'By Round'!K158)</f>
        <v/>
      </c>
      <c r="L170" s="15">
        <f>IF(ISBLANK('By Round'!L158),"",'By Round'!L158)</f>
        <v/>
      </c>
      <c r="M170" s="17">
        <f>AVERAGE(AG170:AL170)</f>
        <v/>
      </c>
      <c r="N170" s="18">
        <f>AVERAGE(AM170:AR170)</f>
        <v/>
      </c>
      <c r="O170" s="19">
        <f>IF(COUNT(U170:Z170)&gt;0,Q170/COUNT(U170:Z170),0.5)</f>
        <v/>
      </c>
      <c r="P170" s="19">
        <f>IF(COUNT(AA170:AF170)&gt;0,R170/COUNT(AA170:AF170),0.5)</f>
        <v/>
      </c>
      <c r="Q170" s="20">
        <f>SUM(U170:Z170)</f>
        <v/>
      </c>
      <c r="R170" s="20">
        <f>SUM(AA170:AF170)</f>
        <v/>
      </c>
      <c r="S170" s="21">
        <f>IF(ISNUMBER(K170),K170,IF(ISNUMBER(L170),-L170,""))</f>
        <v/>
      </c>
      <c r="T170" s="15">
        <f>IF(ISNUMBER(L170),L170,IF(ISNUMBER(K170),-K170,""))</f>
        <v/>
      </c>
      <c r="U170" s="21">
        <f>IF(ISNUMBER(S170),IF(ISNUMBER(S164),IF(S170&gt;S164,1.0,IF(S170=S164,0.5,0.0)),""),"")</f>
        <v/>
      </c>
      <c r="V170" s="15">
        <f>IF(ISNUMBER(S170),IF(ISNUMBER(S165),IF(S170&gt;S165,1.0,IF(S170=S165,0.5,0.0)),""),"")</f>
        <v/>
      </c>
      <c r="W170" s="15">
        <f>IF(ISNUMBER(S170),IF(ISNUMBER(S166),IF(S170&gt;S166,1.0,IF(S170=S166,0.5,0.0)),""),"")</f>
        <v/>
      </c>
      <c r="X170" s="15">
        <f>IF(ISNUMBER(S170),IF(ISNUMBER(S167),IF(S170&gt;S167,1.0,IF(S170=S167,0.5,0.0)),""),"")</f>
        <v/>
      </c>
      <c r="Y170" s="15">
        <f>IF(ISNUMBER(S170),IF(ISNUMBER(S168),IF(S170&gt;S168,1.0,IF(S170=S168,0.5,0.0)),""),"")</f>
        <v/>
      </c>
      <c r="Z170" s="15">
        <f>IF(ISNUMBER(S170),IF(ISNUMBER(S169),IF(S170&gt;S169,1.0,IF(S170=S169,0.5,0.0)),""),"")</f>
        <v/>
      </c>
      <c r="AA170" s="15">
        <f>IF(ISNUMBER(T170),IF(ISNUMBER(T164),IF(T170&gt;T164,1.0,IF(T170=T164,0.5,0.0)),""),"")</f>
        <v/>
      </c>
      <c r="AB170" s="15">
        <f>IF(ISNUMBER(T170),IF(ISNUMBER(T165),IF(T170&gt;T165,1.0,IF(T170=T165,0.5,0.0)),""),"")</f>
        <v/>
      </c>
      <c r="AC170" s="15">
        <f>IF(ISNUMBER(T170),IF(ISNUMBER(T166),IF(T170&gt;T166,1.0,IF(T170=T166,0.5,0.0)),""),"")</f>
        <v/>
      </c>
      <c r="AD170" s="15">
        <f>IF(ISNUMBER(T170),IF(ISNUMBER(T167),IF(T170&gt;T167,1.0,IF(T170=T167,0.5,0.0)),""),"")</f>
        <v/>
      </c>
      <c r="AE170" s="15">
        <f>IF(ISNUMBER(T170),IF(ISNUMBER(T168),IF(T170&gt;T168,1.0,IF(T170=T168,0.5,0.0)),""),"")</f>
        <v/>
      </c>
      <c r="AF170" s="15">
        <f>IF(ISNUMBER(T170),IF(ISNUMBER(T169),IF(T170&gt;T169,1.0,IF(T170=T169,0.5,0.0)),""),"")</f>
        <v/>
      </c>
      <c r="AG170" s="21">
        <f>IF(AND(ISNUMBER(S170),ISNUMBER(S164)),VLOOKUP(ABS(S170-S164),'IMP Table'!$A$2:$C$26,3)*SIGN(S170-S164),0)</f>
        <v/>
      </c>
      <c r="AH170" s="15">
        <f>IF(AND(ISNUMBER(S170),ISNUMBER(S165)),VLOOKUP(ABS(S170-S165),'IMP Table'!$A$2:$C$26,3)*SIGN(S170-S165),0)</f>
        <v/>
      </c>
      <c r="AI170" s="15">
        <f>IF(AND(ISNUMBER(S170),ISNUMBER(S166)),VLOOKUP(ABS(S170-S166),'IMP Table'!$A$2:$C$26,3)*SIGN(S170-S166),0)</f>
        <v/>
      </c>
      <c r="AJ170" s="15">
        <f>IF(AND(ISNUMBER(S170),ISNUMBER(S167)),VLOOKUP(ABS(S170-S167),'IMP Table'!$A$2:$C$26,3)*SIGN(S170-S167),0)</f>
        <v/>
      </c>
      <c r="AK170" s="15">
        <f>IF(AND(ISNUMBER(S170),ISNUMBER(S168)),VLOOKUP(ABS(S170-S168),'IMP Table'!$A$2:$C$26,3)*SIGN(S170-S168),0)</f>
        <v/>
      </c>
      <c r="AL170" s="15">
        <f>IF(AND(ISNUMBER(S170),ISNUMBER(S169)),VLOOKUP(ABS(S170-S169),'IMP Table'!$A$2:$C$26,3)*SIGN(S170-S169),0)</f>
        <v/>
      </c>
      <c r="AM170" s="15">
        <f>IF(AND(ISNUMBER(T170),ISNUMBER(T164)),VLOOKUP(ABS(T170-T164),'IMP Table'!$A$2:$C$26,3)*SIGN(T170-T164),0)</f>
        <v/>
      </c>
      <c r="AN170" s="15">
        <f>IF(AND(ISNUMBER(T170),ISNUMBER(T165)),VLOOKUP(ABS(T170-T165),'IMP Table'!$A$2:$C$26,3)*SIGN(T170-T165),0)</f>
        <v/>
      </c>
      <c r="AO170" s="15">
        <f>IF(AND(ISNUMBER(T170),ISNUMBER(T166)),VLOOKUP(ABS(T170-T166),'IMP Table'!$A$2:$C$26,3)*SIGN(T170-T166),0)</f>
        <v/>
      </c>
      <c r="AP170" s="15">
        <f>IF(AND(ISNUMBER(T170),ISNUMBER(T167)),VLOOKUP(ABS(T170-T167),'IMP Table'!$A$2:$C$26,3)*SIGN(T170-T167),0)</f>
        <v/>
      </c>
      <c r="AQ170" s="15">
        <f>IF(AND(ISNUMBER(T170),ISNUMBER(T168)),VLOOKUP(ABS(T170-T168),'IMP Table'!$A$2:$C$26,3)*SIGN(T170-T168),0)</f>
        <v/>
      </c>
      <c r="AR170" s="15">
        <f>IF(AND(ISNUMBER(T170),ISNUMBER(T169)),VLOOKUP(ABS(T170-T169),'IMP Table'!$A$2:$C$26,3)*SIGN(T170-T169),0)</f>
        <v/>
      </c>
    </row>
    <row r="171">
      <c r="A171" s="10" t="n">
        <v>25</v>
      </c>
      <c r="B171" s="10">
        <f>'By Round'!A143</f>
        <v/>
      </c>
      <c r="C171" s="10">
        <f>'By Round'!B145</f>
        <v/>
      </c>
      <c r="D171" s="10">
        <f>'By Round'!C145</f>
        <v/>
      </c>
      <c r="E171" s="10">
        <f>'By Round'!D145</f>
        <v/>
      </c>
      <c r="F171" s="10">
        <f>IF(ISBLANK('By Round'!F145),"",'By Round'!F145)</f>
        <v/>
      </c>
      <c r="G171">
        <f>IF(ISBLANK('By Round'!G145),"",'By Round'!G145)</f>
        <v/>
      </c>
      <c r="H171">
        <f>IF(ISBLANK('By Round'!H145),"",'By Round'!H145)</f>
        <v/>
      </c>
      <c r="I171">
        <f>IF(ISBLANK('By Round'!I145),"",'By Round'!I145)</f>
        <v/>
      </c>
      <c r="J171">
        <f>IF(ISBLANK('By Round'!J145),"",'By Round'!J145)</f>
        <v/>
      </c>
      <c r="K171">
        <f>IF(ISBLANK('By Round'!K145),"",'By Round'!K145)</f>
        <v/>
      </c>
      <c r="L171">
        <f>IF(ISBLANK('By Round'!L145),"",'By Round'!L145)</f>
        <v/>
      </c>
      <c r="M171" s="11">
        <f>AVERAGE(AG171:AL171)</f>
        <v/>
      </c>
      <c r="N171" s="12">
        <f>AVERAGE(AM171:AR171)</f>
        <v/>
      </c>
      <c r="O171" s="13">
        <f>IF(COUNT(U171:Z171)&gt;0,Q171/COUNT(U171:Z171),0.5)</f>
        <v/>
      </c>
      <c r="P171" s="13">
        <f>IF(COUNT(AA171:AF171)&gt;0,R171/COUNT(AA171:AF171),0.5)</f>
        <v/>
      </c>
      <c r="Q171" s="5">
        <f>SUM(U171:Z171)</f>
        <v/>
      </c>
      <c r="R171" s="5">
        <f>SUM(AA171:AF171)</f>
        <v/>
      </c>
      <c r="S171" s="14">
        <f>IF(ISNUMBER(K171),K171,IF(ISNUMBER(L171),-L171,""))</f>
        <v/>
      </c>
      <c r="T171">
        <f>IF(ISNUMBER(L171),L171,IF(ISNUMBER(K171),-K171,""))</f>
        <v/>
      </c>
      <c r="U171" s="14">
        <f>IF(ISNUMBER(S171),IF(ISNUMBER(S172),IF(S171&gt;S172,1.0,IF(S171=S172,0.5,0.0)),""),"")</f>
        <v/>
      </c>
      <c r="V171">
        <f>IF(ISNUMBER(S171),IF(ISNUMBER(S173),IF(S171&gt;S173,1.0,IF(S171=S173,0.5,0.0)),""),"")</f>
        <v/>
      </c>
      <c r="W171">
        <f>IF(ISNUMBER(S171),IF(ISNUMBER(S174),IF(S171&gt;S174,1.0,IF(S171=S174,0.5,0.0)),""),"")</f>
        <v/>
      </c>
      <c r="X171">
        <f>IF(ISNUMBER(S171),IF(ISNUMBER(S175),IF(S171&gt;S175,1.0,IF(S171=S175,0.5,0.0)),""),"")</f>
        <v/>
      </c>
      <c r="Y171">
        <f>IF(ISNUMBER(S171),IF(ISNUMBER(S176),IF(S171&gt;S176,1.0,IF(S171=S176,0.5,0.0)),""),"")</f>
        <v/>
      </c>
      <c r="Z171">
        <f>IF(ISNUMBER(S171),IF(ISNUMBER(S177),IF(S171&gt;S177,1.0,IF(S171=S177,0.5,0.0)),""),"")</f>
        <v/>
      </c>
      <c r="AA171">
        <f>IF(ISNUMBER(T171),IF(ISNUMBER(T172),IF(T171&gt;T172,1.0,IF(T171=T172,0.5,0.0)),""),"")</f>
        <v/>
      </c>
      <c r="AB171">
        <f>IF(ISNUMBER(T171),IF(ISNUMBER(T173),IF(T171&gt;T173,1.0,IF(T171=T173,0.5,0.0)),""),"")</f>
        <v/>
      </c>
      <c r="AC171">
        <f>IF(ISNUMBER(T171),IF(ISNUMBER(T174),IF(T171&gt;T174,1.0,IF(T171=T174,0.5,0.0)),""),"")</f>
        <v/>
      </c>
      <c r="AD171">
        <f>IF(ISNUMBER(T171),IF(ISNUMBER(T175),IF(T171&gt;T175,1.0,IF(T171=T175,0.5,0.0)),""),"")</f>
        <v/>
      </c>
      <c r="AE171">
        <f>IF(ISNUMBER(T171),IF(ISNUMBER(T176),IF(T171&gt;T176,1.0,IF(T171=T176,0.5,0.0)),""),"")</f>
        <v/>
      </c>
      <c r="AF171">
        <f>IF(ISNUMBER(T171),IF(ISNUMBER(T177),IF(T171&gt;T177,1.0,IF(T171=T177,0.5,0.0)),""),"")</f>
        <v/>
      </c>
      <c r="AG171" s="14">
        <f>IF(AND(ISNUMBER(S171),ISNUMBER(S172)),VLOOKUP(ABS(S171-S172),'IMP Table'!$A$2:$C$26,3)*SIGN(S171-S172),0)</f>
        <v/>
      </c>
      <c r="AH171">
        <f>IF(AND(ISNUMBER(S171),ISNUMBER(S173)),VLOOKUP(ABS(S171-S173),'IMP Table'!$A$2:$C$26,3)*SIGN(S171-S173),0)</f>
        <v/>
      </c>
      <c r="AI171">
        <f>IF(AND(ISNUMBER(S171),ISNUMBER(S174)),VLOOKUP(ABS(S171-S174),'IMP Table'!$A$2:$C$26,3)*SIGN(S171-S174),0)</f>
        <v/>
      </c>
      <c r="AJ171">
        <f>IF(AND(ISNUMBER(S171),ISNUMBER(S175)),VLOOKUP(ABS(S171-S175),'IMP Table'!$A$2:$C$26,3)*SIGN(S171-S175),0)</f>
        <v/>
      </c>
      <c r="AK171">
        <f>IF(AND(ISNUMBER(S171),ISNUMBER(S176)),VLOOKUP(ABS(S171-S176),'IMP Table'!$A$2:$C$26,3)*SIGN(S171-S176),0)</f>
        <v/>
      </c>
      <c r="AL171">
        <f>IF(AND(ISNUMBER(S171),ISNUMBER(S177)),VLOOKUP(ABS(S171-S177),'IMP Table'!$A$2:$C$26,3)*SIGN(S171-S177),0)</f>
        <v/>
      </c>
      <c r="AM171">
        <f>IF(AND(ISNUMBER(T171),ISNUMBER(T172)),VLOOKUP(ABS(T171-T172),'IMP Table'!$A$2:$C$26,3)*SIGN(T171-T172),0)</f>
        <v/>
      </c>
      <c r="AN171">
        <f>IF(AND(ISNUMBER(T171),ISNUMBER(T173)),VLOOKUP(ABS(T171-T173),'IMP Table'!$A$2:$C$26,3)*SIGN(T171-T173),0)</f>
        <v/>
      </c>
      <c r="AO171">
        <f>IF(AND(ISNUMBER(T171),ISNUMBER(T174)),VLOOKUP(ABS(T171-T174),'IMP Table'!$A$2:$C$26,3)*SIGN(T171-T174),0)</f>
        <v/>
      </c>
      <c r="AP171">
        <f>IF(AND(ISNUMBER(T171),ISNUMBER(T175)),VLOOKUP(ABS(T171-T175),'IMP Table'!$A$2:$C$26,3)*SIGN(T171-T175),0)</f>
        <v/>
      </c>
      <c r="AQ171">
        <f>IF(AND(ISNUMBER(T171),ISNUMBER(T176)),VLOOKUP(ABS(T171-T176),'IMP Table'!$A$2:$C$26,3)*SIGN(T171-T176),0)</f>
        <v/>
      </c>
      <c r="AR171">
        <f>IF(AND(ISNUMBER(T171),ISNUMBER(T177)),VLOOKUP(ABS(T171-T177),'IMP Table'!$A$2:$C$26,3)*SIGN(T171-T177),0)</f>
        <v/>
      </c>
    </row>
    <row r="172">
      <c r="B172" s="10">
        <f>'By Round'!A115</f>
        <v/>
      </c>
      <c r="C172" s="10">
        <f>'By Round'!B121</f>
        <v/>
      </c>
      <c r="D172" s="10">
        <f>'By Round'!C121</f>
        <v/>
      </c>
      <c r="E172" s="10">
        <f>'By Round'!D121</f>
        <v/>
      </c>
      <c r="F172" s="10">
        <f>IF(ISBLANK('By Round'!F121),"",'By Round'!F121)</f>
        <v/>
      </c>
      <c r="G172">
        <f>IF(ISBLANK('By Round'!G121),"",'By Round'!G121)</f>
        <v/>
      </c>
      <c r="H172">
        <f>IF(ISBLANK('By Round'!H121),"",'By Round'!H121)</f>
        <v/>
      </c>
      <c r="I172">
        <f>IF(ISBLANK('By Round'!I121),"",'By Round'!I121)</f>
        <v/>
      </c>
      <c r="J172">
        <f>IF(ISBLANK('By Round'!J121),"",'By Round'!J121)</f>
        <v/>
      </c>
      <c r="K172">
        <f>IF(ISBLANK('By Round'!K121),"",'By Round'!K121)</f>
        <v/>
      </c>
      <c r="L172">
        <f>IF(ISBLANK('By Round'!L121),"",'By Round'!L121)</f>
        <v/>
      </c>
      <c r="M172" s="11">
        <f>AVERAGE(AG172:AL172)</f>
        <v/>
      </c>
      <c r="N172" s="12">
        <f>AVERAGE(AM172:AR172)</f>
        <v/>
      </c>
      <c r="O172" s="13">
        <f>IF(COUNT(U172:Z172)&gt;0,Q172/COUNT(U172:Z172),0.5)</f>
        <v/>
      </c>
      <c r="P172" s="13">
        <f>IF(COUNT(AA172:AF172)&gt;0,R172/COUNT(AA172:AF172),0.5)</f>
        <v/>
      </c>
      <c r="Q172" s="5">
        <f>SUM(U172:Z172)</f>
        <v/>
      </c>
      <c r="R172" s="5">
        <f>SUM(AA172:AF172)</f>
        <v/>
      </c>
      <c r="S172" s="14">
        <f>IF(ISNUMBER(K172),K172,IF(ISNUMBER(L172),-L172,""))</f>
        <v/>
      </c>
      <c r="T172">
        <f>IF(ISNUMBER(L172),L172,IF(ISNUMBER(K172),-K172,""))</f>
        <v/>
      </c>
      <c r="U172" s="14">
        <f>IF(ISNUMBER(S172),IF(ISNUMBER(S171),IF(S172&gt;S171,1.0,IF(S172=S171,0.5,0.0)),""),"")</f>
        <v/>
      </c>
      <c r="V172">
        <f>IF(ISNUMBER(S172),IF(ISNUMBER(S173),IF(S172&gt;S173,1.0,IF(S172=S173,0.5,0.0)),""),"")</f>
        <v/>
      </c>
      <c r="W172">
        <f>IF(ISNUMBER(S172),IF(ISNUMBER(S174),IF(S172&gt;S174,1.0,IF(S172=S174,0.5,0.0)),""),"")</f>
        <v/>
      </c>
      <c r="X172">
        <f>IF(ISNUMBER(S172),IF(ISNUMBER(S175),IF(S172&gt;S175,1.0,IF(S172=S175,0.5,0.0)),""),"")</f>
        <v/>
      </c>
      <c r="Y172">
        <f>IF(ISNUMBER(S172),IF(ISNUMBER(S176),IF(S172&gt;S176,1.0,IF(S172=S176,0.5,0.0)),""),"")</f>
        <v/>
      </c>
      <c r="Z172">
        <f>IF(ISNUMBER(S172),IF(ISNUMBER(S177),IF(S172&gt;S177,1.0,IF(S172=S177,0.5,0.0)),""),"")</f>
        <v/>
      </c>
      <c r="AA172">
        <f>IF(ISNUMBER(T172),IF(ISNUMBER(T171),IF(T172&gt;T171,1.0,IF(T172=T171,0.5,0.0)),""),"")</f>
        <v/>
      </c>
      <c r="AB172">
        <f>IF(ISNUMBER(T172),IF(ISNUMBER(T173),IF(T172&gt;T173,1.0,IF(T172=T173,0.5,0.0)),""),"")</f>
        <v/>
      </c>
      <c r="AC172">
        <f>IF(ISNUMBER(T172),IF(ISNUMBER(T174),IF(T172&gt;T174,1.0,IF(T172=T174,0.5,0.0)),""),"")</f>
        <v/>
      </c>
      <c r="AD172">
        <f>IF(ISNUMBER(T172),IF(ISNUMBER(T175),IF(T172&gt;T175,1.0,IF(T172=T175,0.5,0.0)),""),"")</f>
        <v/>
      </c>
      <c r="AE172">
        <f>IF(ISNUMBER(T172),IF(ISNUMBER(T176),IF(T172&gt;T176,1.0,IF(T172=T176,0.5,0.0)),""),"")</f>
        <v/>
      </c>
      <c r="AF172">
        <f>IF(ISNUMBER(T172),IF(ISNUMBER(T177),IF(T172&gt;T177,1.0,IF(T172=T177,0.5,0.0)),""),"")</f>
        <v/>
      </c>
      <c r="AG172" s="14">
        <f>IF(AND(ISNUMBER(S172),ISNUMBER(S171)),VLOOKUP(ABS(S172-S171),'IMP Table'!$A$2:$C$26,3)*SIGN(S172-S171),0)</f>
        <v/>
      </c>
      <c r="AH172">
        <f>IF(AND(ISNUMBER(S172),ISNUMBER(S173)),VLOOKUP(ABS(S172-S173),'IMP Table'!$A$2:$C$26,3)*SIGN(S172-S173),0)</f>
        <v/>
      </c>
      <c r="AI172">
        <f>IF(AND(ISNUMBER(S172),ISNUMBER(S174)),VLOOKUP(ABS(S172-S174),'IMP Table'!$A$2:$C$26,3)*SIGN(S172-S174),0)</f>
        <v/>
      </c>
      <c r="AJ172">
        <f>IF(AND(ISNUMBER(S172),ISNUMBER(S175)),VLOOKUP(ABS(S172-S175),'IMP Table'!$A$2:$C$26,3)*SIGN(S172-S175),0)</f>
        <v/>
      </c>
      <c r="AK172">
        <f>IF(AND(ISNUMBER(S172),ISNUMBER(S176)),VLOOKUP(ABS(S172-S176),'IMP Table'!$A$2:$C$26,3)*SIGN(S172-S176),0)</f>
        <v/>
      </c>
      <c r="AL172">
        <f>IF(AND(ISNUMBER(S172),ISNUMBER(S177)),VLOOKUP(ABS(S172-S177),'IMP Table'!$A$2:$C$26,3)*SIGN(S172-S177),0)</f>
        <v/>
      </c>
      <c r="AM172">
        <f>IF(AND(ISNUMBER(T172),ISNUMBER(T171)),VLOOKUP(ABS(T172-T171),'IMP Table'!$A$2:$C$26,3)*SIGN(T172-T171),0)</f>
        <v/>
      </c>
      <c r="AN172">
        <f>IF(AND(ISNUMBER(T172),ISNUMBER(T173)),VLOOKUP(ABS(T172-T173),'IMP Table'!$A$2:$C$26,3)*SIGN(T172-T173),0)</f>
        <v/>
      </c>
      <c r="AO172">
        <f>IF(AND(ISNUMBER(T172),ISNUMBER(T174)),VLOOKUP(ABS(T172-T174),'IMP Table'!$A$2:$C$26,3)*SIGN(T172-T174),0)</f>
        <v/>
      </c>
      <c r="AP172">
        <f>IF(AND(ISNUMBER(T172),ISNUMBER(T175)),VLOOKUP(ABS(T172-T175),'IMP Table'!$A$2:$C$26,3)*SIGN(T172-T175),0)</f>
        <v/>
      </c>
      <c r="AQ172">
        <f>IF(AND(ISNUMBER(T172),ISNUMBER(T176)),VLOOKUP(ABS(T172-T176),'IMP Table'!$A$2:$C$26,3)*SIGN(T172-T176),0)</f>
        <v/>
      </c>
      <c r="AR172">
        <f>IF(AND(ISNUMBER(T172),ISNUMBER(T177)),VLOOKUP(ABS(T172-T177),'IMP Table'!$A$2:$C$26,3)*SIGN(T172-T177),0)</f>
        <v/>
      </c>
    </row>
    <row r="173">
      <c r="B173" s="10">
        <f>'By Round'!A17</f>
        <v/>
      </c>
      <c r="C173" s="10">
        <f>'By Round'!B29</f>
        <v/>
      </c>
      <c r="D173" s="10">
        <f>'By Round'!C29</f>
        <v/>
      </c>
      <c r="E173" s="10">
        <f>'By Round'!D29</f>
        <v/>
      </c>
      <c r="F173" s="10">
        <f>IF(ISBLANK('By Round'!F29),"",'By Round'!F29)</f>
        <v/>
      </c>
      <c r="G173">
        <f>IF(ISBLANK('By Round'!G29),"",'By Round'!G29)</f>
        <v/>
      </c>
      <c r="H173">
        <f>IF(ISBLANK('By Round'!H29),"",'By Round'!H29)</f>
        <v/>
      </c>
      <c r="I173">
        <f>IF(ISBLANK('By Round'!I29),"",'By Round'!I29)</f>
        <v/>
      </c>
      <c r="J173">
        <f>IF(ISBLANK('By Round'!J29),"",'By Round'!J29)</f>
        <v/>
      </c>
      <c r="K173">
        <f>IF(ISBLANK('By Round'!K29),"",'By Round'!K29)</f>
        <v/>
      </c>
      <c r="L173">
        <f>IF(ISBLANK('By Round'!L29),"",'By Round'!L29)</f>
        <v/>
      </c>
      <c r="M173" s="11">
        <f>AVERAGE(AG173:AL173)</f>
        <v/>
      </c>
      <c r="N173" s="12">
        <f>AVERAGE(AM173:AR173)</f>
        <v/>
      </c>
      <c r="O173" s="13">
        <f>IF(COUNT(U173:Z173)&gt;0,Q173/COUNT(U173:Z173),0.5)</f>
        <v/>
      </c>
      <c r="P173" s="13">
        <f>IF(COUNT(AA173:AF173)&gt;0,R173/COUNT(AA173:AF173),0.5)</f>
        <v/>
      </c>
      <c r="Q173" s="5">
        <f>SUM(U173:Z173)</f>
        <v/>
      </c>
      <c r="R173" s="5">
        <f>SUM(AA173:AF173)</f>
        <v/>
      </c>
      <c r="S173" s="14">
        <f>IF(ISNUMBER(K173),K173,IF(ISNUMBER(L173),-L173,""))</f>
        <v/>
      </c>
      <c r="T173">
        <f>IF(ISNUMBER(L173),L173,IF(ISNUMBER(K173),-K173,""))</f>
        <v/>
      </c>
      <c r="U173" s="14">
        <f>IF(ISNUMBER(S173),IF(ISNUMBER(S171),IF(S173&gt;S171,1.0,IF(S173=S171,0.5,0.0)),""),"")</f>
        <v/>
      </c>
      <c r="V173">
        <f>IF(ISNUMBER(S173),IF(ISNUMBER(S172),IF(S173&gt;S172,1.0,IF(S173=S172,0.5,0.0)),""),"")</f>
        <v/>
      </c>
      <c r="W173">
        <f>IF(ISNUMBER(S173),IF(ISNUMBER(S174),IF(S173&gt;S174,1.0,IF(S173=S174,0.5,0.0)),""),"")</f>
        <v/>
      </c>
      <c r="X173">
        <f>IF(ISNUMBER(S173),IF(ISNUMBER(S175),IF(S173&gt;S175,1.0,IF(S173=S175,0.5,0.0)),""),"")</f>
        <v/>
      </c>
      <c r="Y173">
        <f>IF(ISNUMBER(S173),IF(ISNUMBER(S176),IF(S173&gt;S176,1.0,IF(S173=S176,0.5,0.0)),""),"")</f>
        <v/>
      </c>
      <c r="Z173">
        <f>IF(ISNUMBER(S173),IF(ISNUMBER(S177),IF(S173&gt;S177,1.0,IF(S173=S177,0.5,0.0)),""),"")</f>
        <v/>
      </c>
      <c r="AA173">
        <f>IF(ISNUMBER(T173),IF(ISNUMBER(T171),IF(T173&gt;T171,1.0,IF(T173=T171,0.5,0.0)),""),"")</f>
        <v/>
      </c>
      <c r="AB173">
        <f>IF(ISNUMBER(T173),IF(ISNUMBER(T172),IF(T173&gt;T172,1.0,IF(T173=T172,0.5,0.0)),""),"")</f>
        <v/>
      </c>
      <c r="AC173">
        <f>IF(ISNUMBER(T173),IF(ISNUMBER(T174),IF(T173&gt;T174,1.0,IF(T173=T174,0.5,0.0)),""),"")</f>
        <v/>
      </c>
      <c r="AD173">
        <f>IF(ISNUMBER(T173),IF(ISNUMBER(T175),IF(T173&gt;T175,1.0,IF(T173=T175,0.5,0.0)),""),"")</f>
        <v/>
      </c>
      <c r="AE173">
        <f>IF(ISNUMBER(T173),IF(ISNUMBER(T176),IF(T173&gt;T176,1.0,IF(T173=T176,0.5,0.0)),""),"")</f>
        <v/>
      </c>
      <c r="AF173">
        <f>IF(ISNUMBER(T173),IF(ISNUMBER(T177),IF(T173&gt;T177,1.0,IF(T173=T177,0.5,0.0)),""),"")</f>
        <v/>
      </c>
      <c r="AG173" s="14">
        <f>IF(AND(ISNUMBER(S173),ISNUMBER(S171)),VLOOKUP(ABS(S173-S171),'IMP Table'!$A$2:$C$26,3)*SIGN(S173-S171),0)</f>
        <v/>
      </c>
      <c r="AH173">
        <f>IF(AND(ISNUMBER(S173),ISNUMBER(S172)),VLOOKUP(ABS(S173-S172),'IMP Table'!$A$2:$C$26,3)*SIGN(S173-S172),0)</f>
        <v/>
      </c>
      <c r="AI173">
        <f>IF(AND(ISNUMBER(S173),ISNUMBER(S174)),VLOOKUP(ABS(S173-S174),'IMP Table'!$A$2:$C$26,3)*SIGN(S173-S174),0)</f>
        <v/>
      </c>
      <c r="AJ173">
        <f>IF(AND(ISNUMBER(S173),ISNUMBER(S175)),VLOOKUP(ABS(S173-S175),'IMP Table'!$A$2:$C$26,3)*SIGN(S173-S175),0)</f>
        <v/>
      </c>
      <c r="AK173">
        <f>IF(AND(ISNUMBER(S173),ISNUMBER(S176)),VLOOKUP(ABS(S173-S176),'IMP Table'!$A$2:$C$26,3)*SIGN(S173-S176),0)</f>
        <v/>
      </c>
      <c r="AL173">
        <f>IF(AND(ISNUMBER(S173),ISNUMBER(S177)),VLOOKUP(ABS(S173-S177),'IMP Table'!$A$2:$C$26,3)*SIGN(S173-S177),0)</f>
        <v/>
      </c>
      <c r="AM173">
        <f>IF(AND(ISNUMBER(T173),ISNUMBER(T171)),VLOOKUP(ABS(T173-T171),'IMP Table'!$A$2:$C$26,3)*SIGN(T173-T171),0)</f>
        <v/>
      </c>
      <c r="AN173">
        <f>IF(AND(ISNUMBER(T173),ISNUMBER(T172)),VLOOKUP(ABS(T173-T172),'IMP Table'!$A$2:$C$26,3)*SIGN(T173-T172),0)</f>
        <v/>
      </c>
      <c r="AO173">
        <f>IF(AND(ISNUMBER(T173),ISNUMBER(T174)),VLOOKUP(ABS(T173-T174),'IMP Table'!$A$2:$C$26,3)*SIGN(T173-T174),0)</f>
        <v/>
      </c>
      <c r="AP173">
        <f>IF(AND(ISNUMBER(T173),ISNUMBER(T175)),VLOOKUP(ABS(T173-T175),'IMP Table'!$A$2:$C$26,3)*SIGN(T173-T175),0)</f>
        <v/>
      </c>
      <c r="AQ173">
        <f>IF(AND(ISNUMBER(T173),ISNUMBER(T176)),VLOOKUP(ABS(T173-T176),'IMP Table'!$A$2:$C$26,3)*SIGN(T173-T176),0)</f>
        <v/>
      </c>
      <c r="AR173">
        <f>IF(AND(ISNUMBER(T173),ISNUMBER(T177)),VLOOKUP(ABS(T173-T177),'IMP Table'!$A$2:$C$26,3)*SIGN(T173-T177),0)</f>
        <v/>
      </c>
    </row>
    <row r="174">
      <c r="B174" s="10">
        <f>'By Round'!A45</f>
        <v/>
      </c>
      <c r="C174" s="10">
        <f>'By Round'!B53</f>
        <v/>
      </c>
      <c r="D174" s="10">
        <f>'By Round'!C53</f>
        <v/>
      </c>
      <c r="E174" s="10">
        <f>'By Round'!D53</f>
        <v/>
      </c>
      <c r="F174" s="10">
        <f>IF(ISBLANK('By Round'!F53),"",'By Round'!F53)</f>
        <v/>
      </c>
      <c r="G174">
        <f>IF(ISBLANK('By Round'!G53),"",'By Round'!G53)</f>
        <v/>
      </c>
      <c r="H174">
        <f>IF(ISBLANK('By Round'!H53),"",'By Round'!H53)</f>
        <v/>
      </c>
      <c r="I174">
        <f>IF(ISBLANK('By Round'!I53),"",'By Round'!I53)</f>
        <v/>
      </c>
      <c r="J174">
        <f>IF(ISBLANK('By Round'!J53),"",'By Round'!J53)</f>
        <v/>
      </c>
      <c r="K174">
        <f>IF(ISBLANK('By Round'!K53),"",'By Round'!K53)</f>
        <v/>
      </c>
      <c r="L174">
        <f>IF(ISBLANK('By Round'!L53),"",'By Round'!L53)</f>
        <v/>
      </c>
      <c r="M174" s="11">
        <f>AVERAGE(AG174:AL174)</f>
        <v/>
      </c>
      <c r="N174" s="12">
        <f>AVERAGE(AM174:AR174)</f>
        <v/>
      </c>
      <c r="O174" s="13">
        <f>IF(COUNT(U174:Z174)&gt;0,Q174/COUNT(U174:Z174),0.5)</f>
        <v/>
      </c>
      <c r="P174" s="13">
        <f>IF(COUNT(AA174:AF174)&gt;0,R174/COUNT(AA174:AF174),0.5)</f>
        <v/>
      </c>
      <c r="Q174" s="5">
        <f>SUM(U174:Z174)</f>
        <v/>
      </c>
      <c r="R174" s="5">
        <f>SUM(AA174:AF174)</f>
        <v/>
      </c>
      <c r="S174" s="14">
        <f>IF(ISNUMBER(K174),K174,IF(ISNUMBER(L174),-L174,""))</f>
        <v/>
      </c>
      <c r="T174">
        <f>IF(ISNUMBER(L174),L174,IF(ISNUMBER(K174),-K174,""))</f>
        <v/>
      </c>
      <c r="U174" s="14">
        <f>IF(ISNUMBER(S174),IF(ISNUMBER(S171),IF(S174&gt;S171,1.0,IF(S174=S171,0.5,0.0)),""),"")</f>
        <v/>
      </c>
      <c r="V174">
        <f>IF(ISNUMBER(S174),IF(ISNUMBER(S172),IF(S174&gt;S172,1.0,IF(S174=S172,0.5,0.0)),""),"")</f>
        <v/>
      </c>
      <c r="W174">
        <f>IF(ISNUMBER(S174),IF(ISNUMBER(S173),IF(S174&gt;S173,1.0,IF(S174=S173,0.5,0.0)),""),"")</f>
        <v/>
      </c>
      <c r="X174">
        <f>IF(ISNUMBER(S174),IF(ISNUMBER(S175),IF(S174&gt;S175,1.0,IF(S174=S175,0.5,0.0)),""),"")</f>
        <v/>
      </c>
      <c r="Y174">
        <f>IF(ISNUMBER(S174),IF(ISNUMBER(S176),IF(S174&gt;S176,1.0,IF(S174=S176,0.5,0.0)),""),"")</f>
        <v/>
      </c>
      <c r="Z174">
        <f>IF(ISNUMBER(S174),IF(ISNUMBER(S177),IF(S174&gt;S177,1.0,IF(S174=S177,0.5,0.0)),""),"")</f>
        <v/>
      </c>
      <c r="AA174">
        <f>IF(ISNUMBER(T174),IF(ISNUMBER(T171),IF(T174&gt;T171,1.0,IF(T174=T171,0.5,0.0)),""),"")</f>
        <v/>
      </c>
      <c r="AB174">
        <f>IF(ISNUMBER(T174),IF(ISNUMBER(T172),IF(T174&gt;T172,1.0,IF(T174=T172,0.5,0.0)),""),"")</f>
        <v/>
      </c>
      <c r="AC174">
        <f>IF(ISNUMBER(T174),IF(ISNUMBER(T173),IF(T174&gt;T173,1.0,IF(T174=T173,0.5,0.0)),""),"")</f>
        <v/>
      </c>
      <c r="AD174">
        <f>IF(ISNUMBER(T174),IF(ISNUMBER(T175),IF(T174&gt;T175,1.0,IF(T174=T175,0.5,0.0)),""),"")</f>
        <v/>
      </c>
      <c r="AE174">
        <f>IF(ISNUMBER(T174),IF(ISNUMBER(T176),IF(T174&gt;T176,1.0,IF(T174=T176,0.5,0.0)),""),"")</f>
        <v/>
      </c>
      <c r="AF174">
        <f>IF(ISNUMBER(T174),IF(ISNUMBER(T177),IF(T174&gt;T177,1.0,IF(T174=T177,0.5,0.0)),""),"")</f>
        <v/>
      </c>
      <c r="AG174" s="14">
        <f>IF(AND(ISNUMBER(S174),ISNUMBER(S171)),VLOOKUP(ABS(S174-S171),'IMP Table'!$A$2:$C$26,3)*SIGN(S174-S171),0)</f>
        <v/>
      </c>
      <c r="AH174">
        <f>IF(AND(ISNUMBER(S174),ISNUMBER(S172)),VLOOKUP(ABS(S174-S172),'IMP Table'!$A$2:$C$26,3)*SIGN(S174-S172),0)</f>
        <v/>
      </c>
      <c r="AI174">
        <f>IF(AND(ISNUMBER(S174),ISNUMBER(S173)),VLOOKUP(ABS(S174-S173),'IMP Table'!$A$2:$C$26,3)*SIGN(S174-S173),0)</f>
        <v/>
      </c>
      <c r="AJ174">
        <f>IF(AND(ISNUMBER(S174),ISNUMBER(S175)),VLOOKUP(ABS(S174-S175),'IMP Table'!$A$2:$C$26,3)*SIGN(S174-S175),0)</f>
        <v/>
      </c>
      <c r="AK174">
        <f>IF(AND(ISNUMBER(S174),ISNUMBER(S176)),VLOOKUP(ABS(S174-S176),'IMP Table'!$A$2:$C$26,3)*SIGN(S174-S176),0)</f>
        <v/>
      </c>
      <c r="AL174">
        <f>IF(AND(ISNUMBER(S174),ISNUMBER(S177)),VLOOKUP(ABS(S174-S177),'IMP Table'!$A$2:$C$26,3)*SIGN(S174-S177),0)</f>
        <v/>
      </c>
      <c r="AM174">
        <f>IF(AND(ISNUMBER(T174),ISNUMBER(T171)),VLOOKUP(ABS(T174-T171),'IMP Table'!$A$2:$C$26,3)*SIGN(T174-T171),0)</f>
        <v/>
      </c>
      <c r="AN174">
        <f>IF(AND(ISNUMBER(T174),ISNUMBER(T172)),VLOOKUP(ABS(T174-T172),'IMP Table'!$A$2:$C$26,3)*SIGN(T174-T172),0)</f>
        <v/>
      </c>
      <c r="AO174">
        <f>IF(AND(ISNUMBER(T174),ISNUMBER(T173)),VLOOKUP(ABS(T174-T173),'IMP Table'!$A$2:$C$26,3)*SIGN(T174-T173),0)</f>
        <v/>
      </c>
      <c r="AP174">
        <f>IF(AND(ISNUMBER(T174),ISNUMBER(T175)),VLOOKUP(ABS(T174-T175),'IMP Table'!$A$2:$C$26,3)*SIGN(T174-T175),0)</f>
        <v/>
      </c>
      <c r="AQ174">
        <f>IF(AND(ISNUMBER(T174),ISNUMBER(T176)),VLOOKUP(ABS(T174-T176),'IMP Table'!$A$2:$C$26,3)*SIGN(T174-T176),0)</f>
        <v/>
      </c>
      <c r="AR174">
        <f>IF(AND(ISNUMBER(T174),ISNUMBER(T177)),VLOOKUP(ABS(T174-T177),'IMP Table'!$A$2:$C$26,3)*SIGN(T174-T177),0)</f>
        <v/>
      </c>
    </row>
    <row r="175">
      <c r="B175" s="10">
        <f>'By Round'!A31</f>
        <v/>
      </c>
      <c r="C175" s="10">
        <f>'By Round'!B41</f>
        <v/>
      </c>
      <c r="D175" s="10">
        <f>'By Round'!C41</f>
        <v/>
      </c>
      <c r="E175" s="10">
        <f>'By Round'!D41</f>
        <v/>
      </c>
      <c r="F175" s="10">
        <f>IF(ISBLANK('By Round'!F41),"",'By Round'!F41)</f>
        <v/>
      </c>
      <c r="G175">
        <f>IF(ISBLANK('By Round'!G41),"",'By Round'!G41)</f>
        <v/>
      </c>
      <c r="H175">
        <f>IF(ISBLANK('By Round'!H41),"",'By Round'!H41)</f>
        <v/>
      </c>
      <c r="I175">
        <f>IF(ISBLANK('By Round'!I41),"",'By Round'!I41)</f>
        <v/>
      </c>
      <c r="J175">
        <f>IF(ISBLANK('By Round'!J41),"",'By Round'!J41)</f>
        <v/>
      </c>
      <c r="K175">
        <f>IF(ISBLANK('By Round'!K41),"",'By Round'!K41)</f>
        <v/>
      </c>
      <c r="L175">
        <f>IF(ISBLANK('By Round'!L41),"",'By Round'!L41)</f>
        <v/>
      </c>
      <c r="M175" s="11">
        <f>AVERAGE(AG175:AL175)</f>
        <v/>
      </c>
      <c r="N175" s="12">
        <f>AVERAGE(AM175:AR175)</f>
        <v/>
      </c>
      <c r="O175" s="13">
        <f>IF(COUNT(U175:Z175)&gt;0,Q175/COUNT(U175:Z175),0.5)</f>
        <v/>
      </c>
      <c r="P175" s="13">
        <f>IF(COUNT(AA175:AF175)&gt;0,R175/COUNT(AA175:AF175),0.5)</f>
        <v/>
      </c>
      <c r="Q175" s="5">
        <f>SUM(U175:Z175)</f>
        <v/>
      </c>
      <c r="R175" s="5">
        <f>SUM(AA175:AF175)</f>
        <v/>
      </c>
      <c r="S175" s="14">
        <f>IF(ISNUMBER(K175),K175,IF(ISNUMBER(L175),-L175,""))</f>
        <v/>
      </c>
      <c r="T175">
        <f>IF(ISNUMBER(L175),L175,IF(ISNUMBER(K175),-K175,""))</f>
        <v/>
      </c>
      <c r="U175" s="14">
        <f>IF(ISNUMBER(S175),IF(ISNUMBER(S171),IF(S175&gt;S171,1.0,IF(S175=S171,0.5,0.0)),""),"")</f>
        <v/>
      </c>
      <c r="V175">
        <f>IF(ISNUMBER(S175),IF(ISNUMBER(S172),IF(S175&gt;S172,1.0,IF(S175=S172,0.5,0.0)),""),"")</f>
        <v/>
      </c>
      <c r="W175">
        <f>IF(ISNUMBER(S175),IF(ISNUMBER(S173),IF(S175&gt;S173,1.0,IF(S175=S173,0.5,0.0)),""),"")</f>
        <v/>
      </c>
      <c r="X175">
        <f>IF(ISNUMBER(S175),IF(ISNUMBER(S174),IF(S175&gt;S174,1.0,IF(S175=S174,0.5,0.0)),""),"")</f>
        <v/>
      </c>
      <c r="Y175">
        <f>IF(ISNUMBER(S175),IF(ISNUMBER(S176),IF(S175&gt;S176,1.0,IF(S175=S176,0.5,0.0)),""),"")</f>
        <v/>
      </c>
      <c r="Z175">
        <f>IF(ISNUMBER(S175),IF(ISNUMBER(S177),IF(S175&gt;S177,1.0,IF(S175=S177,0.5,0.0)),""),"")</f>
        <v/>
      </c>
      <c r="AA175">
        <f>IF(ISNUMBER(T175),IF(ISNUMBER(T171),IF(T175&gt;T171,1.0,IF(T175=T171,0.5,0.0)),""),"")</f>
        <v/>
      </c>
      <c r="AB175">
        <f>IF(ISNUMBER(T175),IF(ISNUMBER(T172),IF(T175&gt;T172,1.0,IF(T175=T172,0.5,0.0)),""),"")</f>
        <v/>
      </c>
      <c r="AC175">
        <f>IF(ISNUMBER(T175),IF(ISNUMBER(T173),IF(T175&gt;T173,1.0,IF(T175=T173,0.5,0.0)),""),"")</f>
        <v/>
      </c>
      <c r="AD175">
        <f>IF(ISNUMBER(T175),IF(ISNUMBER(T174),IF(T175&gt;T174,1.0,IF(T175=T174,0.5,0.0)),""),"")</f>
        <v/>
      </c>
      <c r="AE175">
        <f>IF(ISNUMBER(T175),IF(ISNUMBER(T176),IF(T175&gt;T176,1.0,IF(T175=T176,0.5,0.0)),""),"")</f>
        <v/>
      </c>
      <c r="AF175">
        <f>IF(ISNUMBER(T175),IF(ISNUMBER(T177),IF(T175&gt;T177,1.0,IF(T175=T177,0.5,0.0)),""),"")</f>
        <v/>
      </c>
      <c r="AG175" s="14">
        <f>IF(AND(ISNUMBER(S175),ISNUMBER(S171)),VLOOKUP(ABS(S175-S171),'IMP Table'!$A$2:$C$26,3)*SIGN(S175-S171),0)</f>
        <v/>
      </c>
      <c r="AH175">
        <f>IF(AND(ISNUMBER(S175),ISNUMBER(S172)),VLOOKUP(ABS(S175-S172),'IMP Table'!$A$2:$C$26,3)*SIGN(S175-S172),0)</f>
        <v/>
      </c>
      <c r="AI175">
        <f>IF(AND(ISNUMBER(S175),ISNUMBER(S173)),VLOOKUP(ABS(S175-S173),'IMP Table'!$A$2:$C$26,3)*SIGN(S175-S173),0)</f>
        <v/>
      </c>
      <c r="AJ175">
        <f>IF(AND(ISNUMBER(S175),ISNUMBER(S174)),VLOOKUP(ABS(S175-S174),'IMP Table'!$A$2:$C$26,3)*SIGN(S175-S174),0)</f>
        <v/>
      </c>
      <c r="AK175">
        <f>IF(AND(ISNUMBER(S175),ISNUMBER(S176)),VLOOKUP(ABS(S175-S176),'IMP Table'!$A$2:$C$26,3)*SIGN(S175-S176),0)</f>
        <v/>
      </c>
      <c r="AL175">
        <f>IF(AND(ISNUMBER(S175),ISNUMBER(S177)),VLOOKUP(ABS(S175-S177),'IMP Table'!$A$2:$C$26,3)*SIGN(S175-S177),0)</f>
        <v/>
      </c>
      <c r="AM175">
        <f>IF(AND(ISNUMBER(T175),ISNUMBER(T171)),VLOOKUP(ABS(T175-T171),'IMP Table'!$A$2:$C$26,3)*SIGN(T175-T171),0)</f>
        <v/>
      </c>
      <c r="AN175">
        <f>IF(AND(ISNUMBER(T175),ISNUMBER(T172)),VLOOKUP(ABS(T175-T172),'IMP Table'!$A$2:$C$26,3)*SIGN(T175-T172),0)</f>
        <v/>
      </c>
      <c r="AO175">
        <f>IF(AND(ISNUMBER(T175),ISNUMBER(T173)),VLOOKUP(ABS(T175-T173),'IMP Table'!$A$2:$C$26,3)*SIGN(T175-T173),0)</f>
        <v/>
      </c>
      <c r="AP175">
        <f>IF(AND(ISNUMBER(T175),ISNUMBER(T174)),VLOOKUP(ABS(T175-T174),'IMP Table'!$A$2:$C$26,3)*SIGN(T175-T174),0)</f>
        <v/>
      </c>
      <c r="AQ175">
        <f>IF(AND(ISNUMBER(T175),ISNUMBER(T176)),VLOOKUP(ABS(T175-T176),'IMP Table'!$A$2:$C$26,3)*SIGN(T175-T176),0)</f>
        <v/>
      </c>
      <c r="AR175">
        <f>IF(AND(ISNUMBER(T175),ISNUMBER(T177)),VLOOKUP(ABS(T175-T177),'IMP Table'!$A$2:$C$26,3)*SIGN(T175-T177),0)</f>
        <v/>
      </c>
    </row>
    <row r="176">
      <c r="B176" s="10">
        <f>'By Round'!A129</f>
        <v/>
      </c>
      <c r="C176" s="10">
        <f>'By Round'!B133</f>
        <v/>
      </c>
      <c r="D176" s="10">
        <f>'By Round'!C133</f>
        <v/>
      </c>
      <c r="E176" s="10">
        <f>'By Round'!D133</f>
        <v/>
      </c>
      <c r="F176" s="10">
        <f>IF(ISBLANK('By Round'!F133),"",'By Round'!F133)</f>
        <v/>
      </c>
      <c r="G176">
        <f>IF(ISBLANK('By Round'!G133),"",'By Round'!G133)</f>
        <v/>
      </c>
      <c r="H176">
        <f>IF(ISBLANK('By Round'!H133),"",'By Round'!H133)</f>
        <v/>
      </c>
      <c r="I176">
        <f>IF(ISBLANK('By Round'!I133),"",'By Round'!I133)</f>
        <v/>
      </c>
      <c r="J176">
        <f>IF(ISBLANK('By Round'!J133),"",'By Round'!J133)</f>
        <v/>
      </c>
      <c r="K176">
        <f>IF(ISBLANK('By Round'!K133),"",'By Round'!K133)</f>
        <v/>
      </c>
      <c r="L176">
        <f>IF(ISBLANK('By Round'!L133),"",'By Round'!L133)</f>
        <v/>
      </c>
      <c r="M176" s="11">
        <f>AVERAGE(AG176:AL176)</f>
        <v/>
      </c>
      <c r="N176" s="12">
        <f>AVERAGE(AM176:AR176)</f>
        <v/>
      </c>
      <c r="O176" s="13">
        <f>IF(COUNT(U176:Z176)&gt;0,Q176/COUNT(U176:Z176),0.5)</f>
        <v/>
      </c>
      <c r="P176" s="13">
        <f>IF(COUNT(AA176:AF176)&gt;0,R176/COUNT(AA176:AF176),0.5)</f>
        <v/>
      </c>
      <c r="Q176" s="5">
        <f>SUM(U176:Z176)</f>
        <v/>
      </c>
      <c r="R176" s="5">
        <f>SUM(AA176:AF176)</f>
        <v/>
      </c>
      <c r="S176" s="14">
        <f>IF(ISNUMBER(K176),K176,IF(ISNUMBER(L176),-L176,""))</f>
        <v/>
      </c>
      <c r="T176">
        <f>IF(ISNUMBER(L176),L176,IF(ISNUMBER(K176),-K176,""))</f>
        <v/>
      </c>
      <c r="U176" s="14">
        <f>IF(ISNUMBER(S176),IF(ISNUMBER(S171),IF(S176&gt;S171,1.0,IF(S176=S171,0.5,0.0)),""),"")</f>
        <v/>
      </c>
      <c r="V176">
        <f>IF(ISNUMBER(S176),IF(ISNUMBER(S172),IF(S176&gt;S172,1.0,IF(S176=S172,0.5,0.0)),""),"")</f>
        <v/>
      </c>
      <c r="W176">
        <f>IF(ISNUMBER(S176),IF(ISNUMBER(S173),IF(S176&gt;S173,1.0,IF(S176=S173,0.5,0.0)),""),"")</f>
        <v/>
      </c>
      <c r="X176">
        <f>IF(ISNUMBER(S176),IF(ISNUMBER(S174),IF(S176&gt;S174,1.0,IF(S176=S174,0.5,0.0)),""),"")</f>
        <v/>
      </c>
      <c r="Y176">
        <f>IF(ISNUMBER(S176),IF(ISNUMBER(S175),IF(S176&gt;S175,1.0,IF(S176=S175,0.5,0.0)),""),"")</f>
        <v/>
      </c>
      <c r="Z176">
        <f>IF(ISNUMBER(S176),IF(ISNUMBER(S177),IF(S176&gt;S177,1.0,IF(S176=S177,0.5,0.0)),""),"")</f>
        <v/>
      </c>
      <c r="AA176">
        <f>IF(ISNUMBER(T176),IF(ISNUMBER(T171),IF(T176&gt;T171,1.0,IF(T176=T171,0.5,0.0)),""),"")</f>
        <v/>
      </c>
      <c r="AB176">
        <f>IF(ISNUMBER(T176),IF(ISNUMBER(T172),IF(T176&gt;T172,1.0,IF(T176=T172,0.5,0.0)),""),"")</f>
        <v/>
      </c>
      <c r="AC176">
        <f>IF(ISNUMBER(T176),IF(ISNUMBER(T173),IF(T176&gt;T173,1.0,IF(T176=T173,0.5,0.0)),""),"")</f>
        <v/>
      </c>
      <c r="AD176">
        <f>IF(ISNUMBER(T176),IF(ISNUMBER(T174),IF(T176&gt;T174,1.0,IF(T176=T174,0.5,0.0)),""),"")</f>
        <v/>
      </c>
      <c r="AE176">
        <f>IF(ISNUMBER(T176),IF(ISNUMBER(T175),IF(T176&gt;T175,1.0,IF(T176=T175,0.5,0.0)),""),"")</f>
        <v/>
      </c>
      <c r="AF176">
        <f>IF(ISNUMBER(T176),IF(ISNUMBER(T177),IF(T176&gt;T177,1.0,IF(T176=T177,0.5,0.0)),""),"")</f>
        <v/>
      </c>
      <c r="AG176" s="14">
        <f>IF(AND(ISNUMBER(S176),ISNUMBER(S171)),VLOOKUP(ABS(S176-S171),'IMP Table'!$A$2:$C$26,3)*SIGN(S176-S171),0)</f>
        <v/>
      </c>
      <c r="AH176">
        <f>IF(AND(ISNUMBER(S176),ISNUMBER(S172)),VLOOKUP(ABS(S176-S172),'IMP Table'!$A$2:$C$26,3)*SIGN(S176-S172),0)</f>
        <v/>
      </c>
      <c r="AI176">
        <f>IF(AND(ISNUMBER(S176),ISNUMBER(S173)),VLOOKUP(ABS(S176-S173),'IMP Table'!$A$2:$C$26,3)*SIGN(S176-S173),0)</f>
        <v/>
      </c>
      <c r="AJ176">
        <f>IF(AND(ISNUMBER(S176),ISNUMBER(S174)),VLOOKUP(ABS(S176-S174),'IMP Table'!$A$2:$C$26,3)*SIGN(S176-S174),0)</f>
        <v/>
      </c>
      <c r="AK176">
        <f>IF(AND(ISNUMBER(S176),ISNUMBER(S175)),VLOOKUP(ABS(S176-S175),'IMP Table'!$A$2:$C$26,3)*SIGN(S176-S175),0)</f>
        <v/>
      </c>
      <c r="AL176">
        <f>IF(AND(ISNUMBER(S176),ISNUMBER(S177)),VLOOKUP(ABS(S176-S177),'IMP Table'!$A$2:$C$26,3)*SIGN(S176-S177),0)</f>
        <v/>
      </c>
      <c r="AM176">
        <f>IF(AND(ISNUMBER(T176),ISNUMBER(T171)),VLOOKUP(ABS(T176-T171),'IMP Table'!$A$2:$C$26,3)*SIGN(T176-T171),0)</f>
        <v/>
      </c>
      <c r="AN176">
        <f>IF(AND(ISNUMBER(T176),ISNUMBER(T172)),VLOOKUP(ABS(T176-T172),'IMP Table'!$A$2:$C$26,3)*SIGN(T176-T172),0)</f>
        <v/>
      </c>
      <c r="AO176">
        <f>IF(AND(ISNUMBER(T176),ISNUMBER(T173)),VLOOKUP(ABS(T176-T173),'IMP Table'!$A$2:$C$26,3)*SIGN(T176-T173),0)</f>
        <v/>
      </c>
      <c r="AP176">
        <f>IF(AND(ISNUMBER(T176),ISNUMBER(T174)),VLOOKUP(ABS(T176-T174),'IMP Table'!$A$2:$C$26,3)*SIGN(T176-T174),0)</f>
        <v/>
      </c>
      <c r="AQ176">
        <f>IF(AND(ISNUMBER(T176),ISNUMBER(T175)),VLOOKUP(ABS(T176-T175),'IMP Table'!$A$2:$C$26,3)*SIGN(T176-T175),0)</f>
        <v/>
      </c>
      <c r="AR176">
        <f>IF(AND(ISNUMBER(T176),ISNUMBER(T177)),VLOOKUP(ABS(T176-T177),'IMP Table'!$A$2:$C$26,3)*SIGN(T176-T177),0)</f>
        <v/>
      </c>
    </row>
    <row r="177">
      <c r="A177" s="15" t="n"/>
      <c r="B177" s="16">
        <f>'By Round'!A171</f>
        <v/>
      </c>
      <c r="C177" s="16">
        <f>'By Round'!B171</f>
        <v/>
      </c>
      <c r="D177" s="16">
        <f>'By Round'!C171</f>
        <v/>
      </c>
      <c r="E177" s="16">
        <f>'By Round'!D171</f>
        <v/>
      </c>
      <c r="F177" s="16">
        <f>IF(ISBLANK('By Round'!F171),"",'By Round'!F171)</f>
        <v/>
      </c>
      <c r="G177" s="15">
        <f>IF(ISBLANK('By Round'!G171),"",'By Round'!G171)</f>
        <v/>
      </c>
      <c r="H177" s="15">
        <f>IF(ISBLANK('By Round'!H171),"",'By Round'!H171)</f>
        <v/>
      </c>
      <c r="I177" s="15">
        <f>IF(ISBLANK('By Round'!I171),"",'By Round'!I171)</f>
        <v/>
      </c>
      <c r="J177" s="15">
        <f>IF(ISBLANK('By Round'!J171),"",'By Round'!J171)</f>
        <v/>
      </c>
      <c r="K177" s="15">
        <f>IF(ISBLANK('By Round'!K171),"",'By Round'!K171)</f>
        <v/>
      </c>
      <c r="L177" s="15">
        <f>IF(ISBLANK('By Round'!L171),"",'By Round'!L171)</f>
        <v/>
      </c>
      <c r="M177" s="17">
        <f>AVERAGE(AG177:AL177)</f>
        <v/>
      </c>
      <c r="N177" s="18">
        <f>AVERAGE(AM177:AR177)</f>
        <v/>
      </c>
      <c r="O177" s="19">
        <f>IF(COUNT(U177:Z177)&gt;0,Q177/COUNT(U177:Z177),0.5)</f>
        <v/>
      </c>
      <c r="P177" s="19">
        <f>IF(COUNT(AA177:AF177)&gt;0,R177/COUNT(AA177:AF177),0.5)</f>
        <v/>
      </c>
      <c r="Q177" s="20">
        <f>SUM(U177:Z177)</f>
        <v/>
      </c>
      <c r="R177" s="20">
        <f>SUM(AA177:AF177)</f>
        <v/>
      </c>
      <c r="S177" s="21">
        <f>IF(ISNUMBER(K177),K177,IF(ISNUMBER(L177),-L177,""))</f>
        <v/>
      </c>
      <c r="T177" s="15">
        <f>IF(ISNUMBER(L177),L177,IF(ISNUMBER(K177),-K177,""))</f>
        <v/>
      </c>
      <c r="U177" s="21">
        <f>IF(ISNUMBER(S177),IF(ISNUMBER(S171),IF(S177&gt;S171,1.0,IF(S177=S171,0.5,0.0)),""),"")</f>
        <v/>
      </c>
      <c r="V177" s="15">
        <f>IF(ISNUMBER(S177),IF(ISNUMBER(S172),IF(S177&gt;S172,1.0,IF(S177=S172,0.5,0.0)),""),"")</f>
        <v/>
      </c>
      <c r="W177" s="15">
        <f>IF(ISNUMBER(S177),IF(ISNUMBER(S173),IF(S177&gt;S173,1.0,IF(S177=S173,0.5,0.0)),""),"")</f>
        <v/>
      </c>
      <c r="X177" s="15">
        <f>IF(ISNUMBER(S177),IF(ISNUMBER(S174),IF(S177&gt;S174,1.0,IF(S177=S174,0.5,0.0)),""),"")</f>
        <v/>
      </c>
      <c r="Y177" s="15">
        <f>IF(ISNUMBER(S177),IF(ISNUMBER(S175),IF(S177&gt;S175,1.0,IF(S177=S175,0.5,0.0)),""),"")</f>
        <v/>
      </c>
      <c r="Z177" s="15">
        <f>IF(ISNUMBER(S177),IF(ISNUMBER(S176),IF(S177&gt;S176,1.0,IF(S177=S176,0.5,0.0)),""),"")</f>
        <v/>
      </c>
      <c r="AA177" s="15">
        <f>IF(ISNUMBER(T177),IF(ISNUMBER(T171),IF(T177&gt;T171,1.0,IF(T177=T171,0.5,0.0)),""),"")</f>
        <v/>
      </c>
      <c r="AB177" s="15">
        <f>IF(ISNUMBER(T177),IF(ISNUMBER(T172),IF(T177&gt;T172,1.0,IF(T177=T172,0.5,0.0)),""),"")</f>
        <v/>
      </c>
      <c r="AC177" s="15">
        <f>IF(ISNUMBER(T177),IF(ISNUMBER(T173),IF(T177&gt;T173,1.0,IF(T177=T173,0.5,0.0)),""),"")</f>
        <v/>
      </c>
      <c r="AD177" s="15">
        <f>IF(ISNUMBER(T177),IF(ISNUMBER(T174),IF(T177&gt;T174,1.0,IF(T177=T174,0.5,0.0)),""),"")</f>
        <v/>
      </c>
      <c r="AE177" s="15">
        <f>IF(ISNUMBER(T177),IF(ISNUMBER(T175),IF(T177&gt;T175,1.0,IF(T177=T175,0.5,0.0)),""),"")</f>
        <v/>
      </c>
      <c r="AF177" s="15">
        <f>IF(ISNUMBER(T177),IF(ISNUMBER(T176),IF(T177&gt;T176,1.0,IF(T177=T176,0.5,0.0)),""),"")</f>
        <v/>
      </c>
      <c r="AG177" s="21">
        <f>IF(AND(ISNUMBER(S177),ISNUMBER(S171)),VLOOKUP(ABS(S177-S171),'IMP Table'!$A$2:$C$26,3)*SIGN(S177-S171),0)</f>
        <v/>
      </c>
      <c r="AH177" s="15">
        <f>IF(AND(ISNUMBER(S177),ISNUMBER(S172)),VLOOKUP(ABS(S177-S172),'IMP Table'!$A$2:$C$26,3)*SIGN(S177-S172),0)</f>
        <v/>
      </c>
      <c r="AI177" s="15">
        <f>IF(AND(ISNUMBER(S177),ISNUMBER(S173)),VLOOKUP(ABS(S177-S173),'IMP Table'!$A$2:$C$26,3)*SIGN(S177-S173),0)</f>
        <v/>
      </c>
      <c r="AJ177" s="15">
        <f>IF(AND(ISNUMBER(S177),ISNUMBER(S174)),VLOOKUP(ABS(S177-S174),'IMP Table'!$A$2:$C$26,3)*SIGN(S177-S174),0)</f>
        <v/>
      </c>
      <c r="AK177" s="15">
        <f>IF(AND(ISNUMBER(S177),ISNUMBER(S175)),VLOOKUP(ABS(S177-S175),'IMP Table'!$A$2:$C$26,3)*SIGN(S177-S175),0)</f>
        <v/>
      </c>
      <c r="AL177" s="15">
        <f>IF(AND(ISNUMBER(S177),ISNUMBER(S176)),VLOOKUP(ABS(S177-S176),'IMP Table'!$A$2:$C$26,3)*SIGN(S177-S176),0)</f>
        <v/>
      </c>
      <c r="AM177" s="15">
        <f>IF(AND(ISNUMBER(T177),ISNUMBER(T171)),VLOOKUP(ABS(T177-T171),'IMP Table'!$A$2:$C$26,3)*SIGN(T177-T171),0)</f>
        <v/>
      </c>
      <c r="AN177" s="15">
        <f>IF(AND(ISNUMBER(T177),ISNUMBER(T172)),VLOOKUP(ABS(T177-T172),'IMP Table'!$A$2:$C$26,3)*SIGN(T177-T172),0)</f>
        <v/>
      </c>
      <c r="AO177" s="15">
        <f>IF(AND(ISNUMBER(T177),ISNUMBER(T173)),VLOOKUP(ABS(T177-T173),'IMP Table'!$A$2:$C$26,3)*SIGN(T177-T173),0)</f>
        <v/>
      </c>
      <c r="AP177" s="15">
        <f>IF(AND(ISNUMBER(T177),ISNUMBER(T174)),VLOOKUP(ABS(T177-T174),'IMP Table'!$A$2:$C$26,3)*SIGN(T177-T174),0)</f>
        <v/>
      </c>
      <c r="AQ177" s="15">
        <f>IF(AND(ISNUMBER(T177),ISNUMBER(T175)),VLOOKUP(ABS(T177-T175),'IMP Table'!$A$2:$C$26,3)*SIGN(T177-T175),0)</f>
        <v/>
      </c>
      <c r="AR177" s="15">
        <f>IF(AND(ISNUMBER(T177),ISNUMBER(T176)),VLOOKUP(ABS(T177-T176),'IMP Table'!$A$2:$C$26,3)*SIGN(T177-T176),0)</f>
        <v/>
      </c>
    </row>
    <row r="178">
      <c r="A178" s="10" t="n">
        <v>26</v>
      </c>
      <c r="B178" s="10">
        <f>'By Round'!A143</f>
        <v/>
      </c>
      <c r="C178" s="10">
        <f>'By Round'!B145</f>
        <v/>
      </c>
      <c r="D178" s="10">
        <f>'By Round'!C145</f>
        <v/>
      </c>
      <c r="E178" s="10">
        <f>'By Round'!D145</f>
        <v/>
      </c>
      <c r="F178" s="10">
        <f>IF(ISBLANK('By Round'!F146),"",'By Round'!F146)</f>
        <v/>
      </c>
      <c r="G178">
        <f>IF(ISBLANK('By Round'!G146),"",'By Round'!G146)</f>
        <v/>
      </c>
      <c r="H178">
        <f>IF(ISBLANK('By Round'!H146),"",'By Round'!H146)</f>
        <v/>
      </c>
      <c r="I178">
        <f>IF(ISBLANK('By Round'!I146),"",'By Round'!I146)</f>
        <v/>
      </c>
      <c r="J178">
        <f>IF(ISBLANK('By Round'!J146),"",'By Round'!J146)</f>
        <v/>
      </c>
      <c r="K178">
        <f>IF(ISBLANK('By Round'!K146),"",'By Round'!K146)</f>
        <v/>
      </c>
      <c r="L178">
        <f>IF(ISBLANK('By Round'!L146),"",'By Round'!L146)</f>
        <v/>
      </c>
      <c r="M178" s="11">
        <f>AVERAGE(AG178:AL178)</f>
        <v/>
      </c>
      <c r="N178" s="12">
        <f>AVERAGE(AM178:AR178)</f>
        <v/>
      </c>
      <c r="O178" s="13">
        <f>IF(COUNT(U178:Z178)&gt;0,Q178/COUNT(U178:Z178),0.5)</f>
        <v/>
      </c>
      <c r="P178" s="13">
        <f>IF(COUNT(AA178:AF178)&gt;0,R178/COUNT(AA178:AF178),0.5)</f>
        <v/>
      </c>
      <c r="Q178" s="5">
        <f>SUM(U178:Z178)</f>
        <v/>
      </c>
      <c r="R178" s="5">
        <f>SUM(AA178:AF178)</f>
        <v/>
      </c>
      <c r="S178" s="14">
        <f>IF(ISNUMBER(K178),K178,IF(ISNUMBER(L178),-L178,""))</f>
        <v/>
      </c>
      <c r="T178">
        <f>IF(ISNUMBER(L178),L178,IF(ISNUMBER(K178),-K178,""))</f>
        <v/>
      </c>
      <c r="U178" s="14">
        <f>IF(ISNUMBER(S178),IF(ISNUMBER(S179),IF(S178&gt;S179,1.0,IF(S178=S179,0.5,0.0)),""),"")</f>
        <v/>
      </c>
      <c r="V178">
        <f>IF(ISNUMBER(S178),IF(ISNUMBER(S180),IF(S178&gt;S180,1.0,IF(S178=S180,0.5,0.0)),""),"")</f>
        <v/>
      </c>
      <c r="W178">
        <f>IF(ISNUMBER(S178),IF(ISNUMBER(S181),IF(S178&gt;S181,1.0,IF(S178=S181,0.5,0.0)),""),"")</f>
        <v/>
      </c>
      <c r="X178">
        <f>IF(ISNUMBER(S178),IF(ISNUMBER(S182),IF(S178&gt;S182,1.0,IF(S178=S182,0.5,0.0)),""),"")</f>
        <v/>
      </c>
      <c r="Y178">
        <f>IF(ISNUMBER(S178),IF(ISNUMBER(S183),IF(S178&gt;S183,1.0,IF(S178=S183,0.5,0.0)),""),"")</f>
        <v/>
      </c>
      <c r="Z178">
        <f>IF(ISNUMBER(S178),IF(ISNUMBER(S184),IF(S178&gt;S184,1.0,IF(S178=S184,0.5,0.0)),""),"")</f>
        <v/>
      </c>
      <c r="AA178">
        <f>IF(ISNUMBER(T178),IF(ISNUMBER(T179),IF(T178&gt;T179,1.0,IF(T178=T179,0.5,0.0)),""),"")</f>
        <v/>
      </c>
      <c r="AB178">
        <f>IF(ISNUMBER(T178),IF(ISNUMBER(T180),IF(T178&gt;T180,1.0,IF(T178=T180,0.5,0.0)),""),"")</f>
        <v/>
      </c>
      <c r="AC178">
        <f>IF(ISNUMBER(T178),IF(ISNUMBER(T181),IF(T178&gt;T181,1.0,IF(T178=T181,0.5,0.0)),""),"")</f>
        <v/>
      </c>
      <c r="AD178">
        <f>IF(ISNUMBER(T178),IF(ISNUMBER(T182),IF(T178&gt;T182,1.0,IF(T178=T182,0.5,0.0)),""),"")</f>
        <v/>
      </c>
      <c r="AE178">
        <f>IF(ISNUMBER(T178),IF(ISNUMBER(T183),IF(T178&gt;T183,1.0,IF(T178=T183,0.5,0.0)),""),"")</f>
        <v/>
      </c>
      <c r="AF178">
        <f>IF(ISNUMBER(T178),IF(ISNUMBER(T184),IF(T178&gt;T184,1.0,IF(T178=T184,0.5,0.0)),""),"")</f>
        <v/>
      </c>
      <c r="AG178" s="14">
        <f>IF(AND(ISNUMBER(S178),ISNUMBER(S179)),VLOOKUP(ABS(S178-S179),'IMP Table'!$A$2:$C$26,3)*SIGN(S178-S179),0)</f>
        <v/>
      </c>
      <c r="AH178">
        <f>IF(AND(ISNUMBER(S178),ISNUMBER(S180)),VLOOKUP(ABS(S178-S180),'IMP Table'!$A$2:$C$26,3)*SIGN(S178-S180),0)</f>
        <v/>
      </c>
      <c r="AI178">
        <f>IF(AND(ISNUMBER(S178),ISNUMBER(S181)),VLOOKUP(ABS(S178-S181),'IMP Table'!$A$2:$C$26,3)*SIGN(S178-S181),0)</f>
        <v/>
      </c>
      <c r="AJ178">
        <f>IF(AND(ISNUMBER(S178),ISNUMBER(S182)),VLOOKUP(ABS(S178-S182),'IMP Table'!$A$2:$C$26,3)*SIGN(S178-S182),0)</f>
        <v/>
      </c>
      <c r="AK178">
        <f>IF(AND(ISNUMBER(S178),ISNUMBER(S183)),VLOOKUP(ABS(S178-S183),'IMP Table'!$A$2:$C$26,3)*SIGN(S178-S183),0)</f>
        <v/>
      </c>
      <c r="AL178">
        <f>IF(AND(ISNUMBER(S178),ISNUMBER(S184)),VLOOKUP(ABS(S178-S184),'IMP Table'!$A$2:$C$26,3)*SIGN(S178-S184),0)</f>
        <v/>
      </c>
      <c r="AM178">
        <f>IF(AND(ISNUMBER(T178),ISNUMBER(T179)),VLOOKUP(ABS(T178-T179),'IMP Table'!$A$2:$C$26,3)*SIGN(T178-T179),0)</f>
        <v/>
      </c>
      <c r="AN178">
        <f>IF(AND(ISNUMBER(T178),ISNUMBER(T180)),VLOOKUP(ABS(T178-T180),'IMP Table'!$A$2:$C$26,3)*SIGN(T178-T180),0)</f>
        <v/>
      </c>
      <c r="AO178">
        <f>IF(AND(ISNUMBER(T178),ISNUMBER(T181)),VLOOKUP(ABS(T178-T181),'IMP Table'!$A$2:$C$26,3)*SIGN(T178-T181),0)</f>
        <v/>
      </c>
      <c r="AP178">
        <f>IF(AND(ISNUMBER(T178),ISNUMBER(T182)),VLOOKUP(ABS(T178-T182),'IMP Table'!$A$2:$C$26,3)*SIGN(T178-T182),0)</f>
        <v/>
      </c>
      <c r="AQ178">
        <f>IF(AND(ISNUMBER(T178),ISNUMBER(T183)),VLOOKUP(ABS(T178-T183),'IMP Table'!$A$2:$C$26,3)*SIGN(T178-T183),0)</f>
        <v/>
      </c>
      <c r="AR178">
        <f>IF(AND(ISNUMBER(T178),ISNUMBER(T184)),VLOOKUP(ABS(T178-T184),'IMP Table'!$A$2:$C$26,3)*SIGN(T178-T184),0)</f>
        <v/>
      </c>
    </row>
    <row r="179">
      <c r="B179" s="10">
        <f>'By Round'!A115</f>
        <v/>
      </c>
      <c r="C179" s="10">
        <f>'By Round'!B121</f>
        <v/>
      </c>
      <c r="D179" s="10">
        <f>'By Round'!C121</f>
        <v/>
      </c>
      <c r="E179" s="10">
        <f>'By Round'!D121</f>
        <v/>
      </c>
      <c r="F179" s="10">
        <f>IF(ISBLANK('By Round'!F122),"",'By Round'!F122)</f>
        <v/>
      </c>
      <c r="G179">
        <f>IF(ISBLANK('By Round'!G122),"",'By Round'!G122)</f>
        <v/>
      </c>
      <c r="H179">
        <f>IF(ISBLANK('By Round'!H122),"",'By Round'!H122)</f>
        <v/>
      </c>
      <c r="I179">
        <f>IF(ISBLANK('By Round'!I122),"",'By Round'!I122)</f>
        <v/>
      </c>
      <c r="J179">
        <f>IF(ISBLANK('By Round'!J122),"",'By Round'!J122)</f>
        <v/>
      </c>
      <c r="K179">
        <f>IF(ISBLANK('By Round'!K122),"",'By Round'!K122)</f>
        <v/>
      </c>
      <c r="L179">
        <f>IF(ISBLANK('By Round'!L122),"",'By Round'!L122)</f>
        <v/>
      </c>
      <c r="M179" s="11">
        <f>AVERAGE(AG179:AL179)</f>
        <v/>
      </c>
      <c r="N179" s="12">
        <f>AVERAGE(AM179:AR179)</f>
        <v/>
      </c>
      <c r="O179" s="13">
        <f>IF(COUNT(U179:Z179)&gt;0,Q179/COUNT(U179:Z179),0.5)</f>
        <v/>
      </c>
      <c r="P179" s="13">
        <f>IF(COUNT(AA179:AF179)&gt;0,R179/COUNT(AA179:AF179),0.5)</f>
        <v/>
      </c>
      <c r="Q179" s="5">
        <f>SUM(U179:Z179)</f>
        <v/>
      </c>
      <c r="R179" s="5">
        <f>SUM(AA179:AF179)</f>
        <v/>
      </c>
      <c r="S179" s="14">
        <f>IF(ISNUMBER(K179),K179,IF(ISNUMBER(L179),-L179,""))</f>
        <v/>
      </c>
      <c r="T179">
        <f>IF(ISNUMBER(L179),L179,IF(ISNUMBER(K179),-K179,""))</f>
        <v/>
      </c>
      <c r="U179" s="14">
        <f>IF(ISNUMBER(S179),IF(ISNUMBER(S178),IF(S179&gt;S178,1.0,IF(S179=S178,0.5,0.0)),""),"")</f>
        <v/>
      </c>
      <c r="V179">
        <f>IF(ISNUMBER(S179),IF(ISNUMBER(S180),IF(S179&gt;S180,1.0,IF(S179=S180,0.5,0.0)),""),"")</f>
        <v/>
      </c>
      <c r="W179">
        <f>IF(ISNUMBER(S179),IF(ISNUMBER(S181),IF(S179&gt;S181,1.0,IF(S179=S181,0.5,0.0)),""),"")</f>
        <v/>
      </c>
      <c r="X179">
        <f>IF(ISNUMBER(S179),IF(ISNUMBER(S182),IF(S179&gt;S182,1.0,IF(S179=S182,0.5,0.0)),""),"")</f>
        <v/>
      </c>
      <c r="Y179">
        <f>IF(ISNUMBER(S179),IF(ISNUMBER(S183),IF(S179&gt;S183,1.0,IF(S179=S183,0.5,0.0)),""),"")</f>
        <v/>
      </c>
      <c r="Z179">
        <f>IF(ISNUMBER(S179),IF(ISNUMBER(S184),IF(S179&gt;S184,1.0,IF(S179=S184,0.5,0.0)),""),"")</f>
        <v/>
      </c>
      <c r="AA179">
        <f>IF(ISNUMBER(T179),IF(ISNUMBER(T178),IF(T179&gt;T178,1.0,IF(T179=T178,0.5,0.0)),""),"")</f>
        <v/>
      </c>
      <c r="AB179">
        <f>IF(ISNUMBER(T179),IF(ISNUMBER(T180),IF(T179&gt;T180,1.0,IF(T179=T180,0.5,0.0)),""),"")</f>
        <v/>
      </c>
      <c r="AC179">
        <f>IF(ISNUMBER(T179),IF(ISNUMBER(T181),IF(T179&gt;T181,1.0,IF(T179=T181,0.5,0.0)),""),"")</f>
        <v/>
      </c>
      <c r="AD179">
        <f>IF(ISNUMBER(T179),IF(ISNUMBER(T182),IF(T179&gt;T182,1.0,IF(T179=T182,0.5,0.0)),""),"")</f>
        <v/>
      </c>
      <c r="AE179">
        <f>IF(ISNUMBER(T179),IF(ISNUMBER(T183),IF(T179&gt;T183,1.0,IF(T179=T183,0.5,0.0)),""),"")</f>
        <v/>
      </c>
      <c r="AF179">
        <f>IF(ISNUMBER(T179),IF(ISNUMBER(T184),IF(T179&gt;T184,1.0,IF(T179=T184,0.5,0.0)),""),"")</f>
        <v/>
      </c>
      <c r="AG179" s="14">
        <f>IF(AND(ISNUMBER(S179),ISNUMBER(S178)),VLOOKUP(ABS(S179-S178),'IMP Table'!$A$2:$C$26,3)*SIGN(S179-S178),0)</f>
        <v/>
      </c>
      <c r="AH179">
        <f>IF(AND(ISNUMBER(S179),ISNUMBER(S180)),VLOOKUP(ABS(S179-S180),'IMP Table'!$A$2:$C$26,3)*SIGN(S179-S180),0)</f>
        <v/>
      </c>
      <c r="AI179">
        <f>IF(AND(ISNUMBER(S179),ISNUMBER(S181)),VLOOKUP(ABS(S179-S181),'IMP Table'!$A$2:$C$26,3)*SIGN(S179-S181),0)</f>
        <v/>
      </c>
      <c r="AJ179">
        <f>IF(AND(ISNUMBER(S179),ISNUMBER(S182)),VLOOKUP(ABS(S179-S182),'IMP Table'!$A$2:$C$26,3)*SIGN(S179-S182),0)</f>
        <v/>
      </c>
      <c r="AK179">
        <f>IF(AND(ISNUMBER(S179),ISNUMBER(S183)),VLOOKUP(ABS(S179-S183),'IMP Table'!$A$2:$C$26,3)*SIGN(S179-S183),0)</f>
        <v/>
      </c>
      <c r="AL179">
        <f>IF(AND(ISNUMBER(S179),ISNUMBER(S184)),VLOOKUP(ABS(S179-S184),'IMP Table'!$A$2:$C$26,3)*SIGN(S179-S184),0)</f>
        <v/>
      </c>
      <c r="AM179">
        <f>IF(AND(ISNUMBER(T179),ISNUMBER(T178)),VLOOKUP(ABS(T179-T178),'IMP Table'!$A$2:$C$26,3)*SIGN(T179-T178),0)</f>
        <v/>
      </c>
      <c r="AN179">
        <f>IF(AND(ISNUMBER(T179),ISNUMBER(T180)),VLOOKUP(ABS(T179-T180),'IMP Table'!$A$2:$C$26,3)*SIGN(T179-T180),0)</f>
        <v/>
      </c>
      <c r="AO179">
        <f>IF(AND(ISNUMBER(T179),ISNUMBER(T181)),VLOOKUP(ABS(T179-T181),'IMP Table'!$A$2:$C$26,3)*SIGN(T179-T181),0)</f>
        <v/>
      </c>
      <c r="AP179">
        <f>IF(AND(ISNUMBER(T179),ISNUMBER(T182)),VLOOKUP(ABS(T179-T182),'IMP Table'!$A$2:$C$26,3)*SIGN(T179-T182),0)</f>
        <v/>
      </c>
      <c r="AQ179">
        <f>IF(AND(ISNUMBER(T179),ISNUMBER(T183)),VLOOKUP(ABS(T179-T183),'IMP Table'!$A$2:$C$26,3)*SIGN(T179-T183),0)</f>
        <v/>
      </c>
      <c r="AR179">
        <f>IF(AND(ISNUMBER(T179),ISNUMBER(T184)),VLOOKUP(ABS(T179-T184),'IMP Table'!$A$2:$C$26,3)*SIGN(T179-T184),0)</f>
        <v/>
      </c>
    </row>
    <row r="180">
      <c r="B180" s="10">
        <f>'By Round'!A17</f>
        <v/>
      </c>
      <c r="C180" s="10">
        <f>'By Round'!B29</f>
        <v/>
      </c>
      <c r="D180" s="10">
        <f>'By Round'!C29</f>
        <v/>
      </c>
      <c r="E180" s="10">
        <f>'By Round'!D29</f>
        <v/>
      </c>
      <c r="F180" s="10">
        <f>IF(ISBLANK('By Round'!F30),"",'By Round'!F30)</f>
        <v/>
      </c>
      <c r="G180">
        <f>IF(ISBLANK('By Round'!G30),"",'By Round'!G30)</f>
        <v/>
      </c>
      <c r="H180">
        <f>IF(ISBLANK('By Round'!H30),"",'By Round'!H30)</f>
        <v/>
      </c>
      <c r="I180">
        <f>IF(ISBLANK('By Round'!I30),"",'By Round'!I30)</f>
        <v/>
      </c>
      <c r="J180">
        <f>IF(ISBLANK('By Round'!J30),"",'By Round'!J30)</f>
        <v/>
      </c>
      <c r="K180">
        <f>IF(ISBLANK('By Round'!K30),"",'By Round'!K30)</f>
        <v/>
      </c>
      <c r="L180">
        <f>IF(ISBLANK('By Round'!L30),"",'By Round'!L30)</f>
        <v/>
      </c>
      <c r="M180" s="11">
        <f>AVERAGE(AG180:AL180)</f>
        <v/>
      </c>
      <c r="N180" s="12">
        <f>AVERAGE(AM180:AR180)</f>
        <v/>
      </c>
      <c r="O180" s="13">
        <f>IF(COUNT(U180:Z180)&gt;0,Q180/COUNT(U180:Z180),0.5)</f>
        <v/>
      </c>
      <c r="P180" s="13">
        <f>IF(COUNT(AA180:AF180)&gt;0,R180/COUNT(AA180:AF180),0.5)</f>
        <v/>
      </c>
      <c r="Q180" s="5">
        <f>SUM(U180:Z180)</f>
        <v/>
      </c>
      <c r="R180" s="5">
        <f>SUM(AA180:AF180)</f>
        <v/>
      </c>
      <c r="S180" s="14">
        <f>IF(ISNUMBER(K180),K180,IF(ISNUMBER(L180),-L180,""))</f>
        <v/>
      </c>
      <c r="T180">
        <f>IF(ISNUMBER(L180),L180,IF(ISNUMBER(K180),-K180,""))</f>
        <v/>
      </c>
      <c r="U180" s="14">
        <f>IF(ISNUMBER(S180),IF(ISNUMBER(S178),IF(S180&gt;S178,1.0,IF(S180=S178,0.5,0.0)),""),"")</f>
        <v/>
      </c>
      <c r="V180">
        <f>IF(ISNUMBER(S180),IF(ISNUMBER(S179),IF(S180&gt;S179,1.0,IF(S180=S179,0.5,0.0)),""),"")</f>
        <v/>
      </c>
      <c r="W180">
        <f>IF(ISNUMBER(S180),IF(ISNUMBER(S181),IF(S180&gt;S181,1.0,IF(S180=S181,0.5,0.0)),""),"")</f>
        <v/>
      </c>
      <c r="X180">
        <f>IF(ISNUMBER(S180),IF(ISNUMBER(S182),IF(S180&gt;S182,1.0,IF(S180=S182,0.5,0.0)),""),"")</f>
        <v/>
      </c>
      <c r="Y180">
        <f>IF(ISNUMBER(S180),IF(ISNUMBER(S183),IF(S180&gt;S183,1.0,IF(S180=S183,0.5,0.0)),""),"")</f>
        <v/>
      </c>
      <c r="Z180">
        <f>IF(ISNUMBER(S180),IF(ISNUMBER(S184),IF(S180&gt;S184,1.0,IF(S180=S184,0.5,0.0)),""),"")</f>
        <v/>
      </c>
      <c r="AA180">
        <f>IF(ISNUMBER(T180),IF(ISNUMBER(T178),IF(T180&gt;T178,1.0,IF(T180=T178,0.5,0.0)),""),"")</f>
        <v/>
      </c>
      <c r="AB180">
        <f>IF(ISNUMBER(T180),IF(ISNUMBER(T179),IF(T180&gt;T179,1.0,IF(T180=T179,0.5,0.0)),""),"")</f>
        <v/>
      </c>
      <c r="AC180">
        <f>IF(ISNUMBER(T180),IF(ISNUMBER(T181),IF(T180&gt;T181,1.0,IF(T180=T181,0.5,0.0)),""),"")</f>
        <v/>
      </c>
      <c r="AD180">
        <f>IF(ISNUMBER(T180),IF(ISNUMBER(T182),IF(T180&gt;T182,1.0,IF(T180=T182,0.5,0.0)),""),"")</f>
        <v/>
      </c>
      <c r="AE180">
        <f>IF(ISNUMBER(T180),IF(ISNUMBER(T183),IF(T180&gt;T183,1.0,IF(T180=T183,0.5,0.0)),""),"")</f>
        <v/>
      </c>
      <c r="AF180">
        <f>IF(ISNUMBER(T180),IF(ISNUMBER(T184),IF(T180&gt;T184,1.0,IF(T180=T184,0.5,0.0)),""),"")</f>
        <v/>
      </c>
      <c r="AG180" s="14">
        <f>IF(AND(ISNUMBER(S180),ISNUMBER(S178)),VLOOKUP(ABS(S180-S178),'IMP Table'!$A$2:$C$26,3)*SIGN(S180-S178),0)</f>
        <v/>
      </c>
      <c r="AH180">
        <f>IF(AND(ISNUMBER(S180),ISNUMBER(S179)),VLOOKUP(ABS(S180-S179),'IMP Table'!$A$2:$C$26,3)*SIGN(S180-S179),0)</f>
        <v/>
      </c>
      <c r="AI180">
        <f>IF(AND(ISNUMBER(S180),ISNUMBER(S181)),VLOOKUP(ABS(S180-S181),'IMP Table'!$A$2:$C$26,3)*SIGN(S180-S181),0)</f>
        <v/>
      </c>
      <c r="AJ180">
        <f>IF(AND(ISNUMBER(S180),ISNUMBER(S182)),VLOOKUP(ABS(S180-S182),'IMP Table'!$A$2:$C$26,3)*SIGN(S180-S182),0)</f>
        <v/>
      </c>
      <c r="AK180">
        <f>IF(AND(ISNUMBER(S180),ISNUMBER(S183)),VLOOKUP(ABS(S180-S183),'IMP Table'!$A$2:$C$26,3)*SIGN(S180-S183),0)</f>
        <v/>
      </c>
      <c r="AL180">
        <f>IF(AND(ISNUMBER(S180),ISNUMBER(S184)),VLOOKUP(ABS(S180-S184),'IMP Table'!$A$2:$C$26,3)*SIGN(S180-S184),0)</f>
        <v/>
      </c>
      <c r="AM180">
        <f>IF(AND(ISNUMBER(T180),ISNUMBER(T178)),VLOOKUP(ABS(T180-T178),'IMP Table'!$A$2:$C$26,3)*SIGN(T180-T178),0)</f>
        <v/>
      </c>
      <c r="AN180">
        <f>IF(AND(ISNUMBER(T180),ISNUMBER(T179)),VLOOKUP(ABS(T180-T179),'IMP Table'!$A$2:$C$26,3)*SIGN(T180-T179),0)</f>
        <v/>
      </c>
      <c r="AO180">
        <f>IF(AND(ISNUMBER(T180),ISNUMBER(T181)),VLOOKUP(ABS(T180-T181),'IMP Table'!$A$2:$C$26,3)*SIGN(T180-T181),0)</f>
        <v/>
      </c>
      <c r="AP180">
        <f>IF(AND(ISNUMBER(T180),ISNUMBER(T182)),VLOOKUP(ABS(T180-T182),'IMP Table'!$A$2:$C$26,3)*SIGN(T180-T182),0)</f>
        <v/>
      </c>
      <c r="AQ180">
        <f>IF(AND(ISNUMBER(T180),ISNUMBER(T183)),VLOOKUP(ABS(T180-T183),'IMP Table'!$A$2:$C$26,3)*SIGN(T180-T183),0)</f>
        <v/>
      </c>
      <c r="AR180">
        <f>IF(AND(ISNUMBER(T180),ISNUMBER(T184)),VLOOKUP(ABS(T180-T184),'IMP Table'!$A$2:$C$26,3)*SIGN(T180-T184),0)</f>
        <v/>
      </c>
    </row>
    <row r="181">
      <c r="B181" s="10">
        <f>'By Round'!A45</f>
        <v/>
      </c>
      <c r="C181" s="10">
        <f>'By Round'!B53</f>
        <v/>
      </c>
      <c r="D181" s="10">
        <f>'By Round'!C53</f>
        <v/>
      </c>
      <c r="E181" s="10">
        <f>'By Round'!D53</f>
        <v/>
      </c>
      <c r="F181" s="10">
        <f>IF(ISBLANK('By Round'!F54),"",'By Round'!F54)</f>
        <v/>
      </c>
      <c r="G181">
        <f>IF(ISBLANK('By Round'!G54),"",'By Round'!G54)</f>
        <v/>
      </c>
      <c r="H181">
        <f>IF(ISBLANK('By Round'!H54),"",'By Round'!H54)</f>
        <v/>
      </c>
      <c r="I181">
        <f>IF(ISBLANK('By Round'!I54),"",'By Round'!I54)</f>
        <v/>
      </c>
      <c r="J181">
        <f>IF(ISBLANK('By Round'!J54),"",'By Round'!J54)</f>
        <v/>
      </c>
      <c r="K181">
        <f>IF(ISBLANK('By Round'!K54),"",'By Round'!K54)</f>
        <v/>
      </c>
      <c r="L181">
        <f>IF(ISBLANK('By Round'!L54),"",'By Round'!L54)</f>
        <v/>
      </c>
      <c r="M181" s="11">
        <f>AVERAGE(AG181:AL181)</f>
        <v/>
      </c>
      <c r="N181" s="12">
        <f>AVERAGE(AM181:AR181)</f>
        <v/>
      </c>
      <c r="O181" s="13">
        <f>IF(COUNT(U181:Z181)&gt;0,Q181/COUNT(U181:Z181),0.5)</f>
        <v/>
      </c>
      <c r="P181" s="13">
        <f>IF(COUNT(AA181:AF181)&gt;0,R181/COUNT(AA181:AF181),0.5)</f>
        <v/>
      </c>
      <c r="Q181" s="5">
        <f>SUM(U181:Z181)</f>
        <v/>
      </c>
      <c r="R181" s="5">
        <f>SUM(AA181:AF181)</f>
        <v/>
      </c>
      <c r="S181" s="14">
        <f>IF(ISNUMBER(K181),K181,IF(ISNUMBER(L181),-L181,""))</f>
        <v/>
      </c>
      <c r="T181">
        <f>IF(ISNUMBER(L181),L181,IF(ISNUMBER(K181),-K181,""))</f>
        <v/>
      </c>
      <c r="U181" s="14">
        <f>IF(ISNUMBER(S181),IF(ISNUMBER(S178),IF(S181&gt;S178,1.0,IF(S181=S178,0.5,0.0)),""),"")</f>
        <v/>
      </c>
      <c r="V181">
        <f>IF(ISNUMBER(S181),IF(ISNUMBER(S179),IF(S181&gt;S179,1.0,IF(S181=S179,0.5,0.0)),""),"")</f>
        <v/>
      </c>
      <c r="W181">
        <f>IF(ISNUMBER(S181),IF(ISNUMBER(S180),IF(S181&gt;S180,1.0,IF(S181=S180,0.5,0.0)),""),"")</f>
        <v/>
      </c>
      <c r="X181">
        <f>IF(ISNUMBER(S181),IF(ISNUMBER(S182),IF(S181&gt;S182,1.0,IF(S181=S182,0.5,0.0)),""),"")</f>
        <v/>
      </c>
      <c r="Y181">
        <f>IF(ISNUMBER(S181),IF(ISNUMBER(S183),IF(S181&gt;S183,1.0,IF(S181=S183,0.5,0.0)),""),"")</f>
        <v/>
      </c>
      <c r="Z181">
        <f>IF(ISNUMBER(S181),IF(ISNUMBER(S184),IF(S181&gt;S184,1.0,IF(S181=S184,0.5,0.0)),""),"")</f>
        <v/>
      </c>
      <c r="AA181">
        <f>IF(ISNUMBER(T181),IF(ISNUMBER(T178),IF(T181&gt;T178,1.0,IF(T181=T178,0.5,0.0)),""),"")</f>
        <v/>
      </c>
      <c r="AB181">
        <f>IF(ISNUMBER(T181),IF(ISNUMBER(T179),IF(T181&gt;T179,1.0,IF(T181=T179,0.5,0.0)),""),"")</f>
        <v/>
      </c>
      <c r="AC181">
        <f>IF(ISNUMBER(T181),IF(ISNUMBER(T180),IF(T181&gt;T180,1.0,IF(T181=T180,0.5,0.0)),""),"")</f>
        <v/>
      </c>
      <c r="AD181">
        <f>IF(ISNUMBER(T181),IF(ISNUMBER(T182),IF(T181&gt;T182,1.0,IF(T181=T182,0.5,0.0)),""),"")</f>
        <v/>
      </c>
      <c r="AE181">
        <f>IF(ISNUMBER(T181),IF(ISNUMBER(T183),IF(T181&gt;T183,1.0,IF(T181=T183,0.5,0.0)),""),"")</f>
        <v/>
      </c>
      <c r="AF181">
        <f>IF(ISNUMBER(T181),IF(ISNUMBER(T184),IF(T181&gt;T184,1.0,IF(T181=T184,0.5,0.0)),""),"")</f>
        <v/>
      </c>
      <c r="AG181" s="14">
        <f>IF(AND(ISNUMBER(S181),ISNUMBER(S178)),VLOOKUP(ABS(S181-S178),'IMP Table'!$A$2:$C$26,3)*SIGN(S181-S178),0)</f>
        <v/>
      </c>
      <c r="AH181">
        <f>IF(AND(ISNUMBER(S181),ISNUMBER(S179)),VLOOKUP(ABS(S181-S179),'IMP Table'!$A$2:$C$26,3)*SIGN(S181-S179),0)</f>
        <v/>
      </c>
      <c r="AI181">
        <f>IF(AND(ISNUMBER(S181),ISNUMBER(S180)),VLOOKUP(ABS(S181-S180),'IMP Table'!$A$2:$C$26,3)*SIGN(S181-S180),0)</f>
        <v/>
      </c>
      <c r="AJ181">
        <f>IF(AND(ISNUMBER(S181),ISNUMBER(S182)),VLOOKUP(ABS(S181-S182),'IMP Table'!$A$2:$C$26,3)*SIGN(S181-S182),0)</f>
        <v/>
      </c>
      <c r="AK181">
        <f>IF(AND(ISNUMBER(S181),ISNUMBER(S183)),VLOOKUP(ABS(S181-S183),'IMP Table'!$A$2:$C$26,3)*SIGN(S181-S183),0)</f>
        <v/>
      </c>
      <c r="AL181">
        <f>IF(AND(ISNUMBER(S181),ISNUMBER(S184)),VLOOKUP(ABS(S181-S184),'IMP Table'!$A$2:$C$26,3)*SIGN(S181-S184),0)</f>
        <v/>
      </c>
      <c r="AM181">
        <f>IF(AND(ISNUMBER(T181),ISNUMBER(T178)),VLOOKUP(ABS(T181-T178),'IMP Table'!$A$2:$C$26,3)*SIGN(T181-T178),0)</f>
        <v/>
      </c>
      <c r="AN181">
        <f>IF(AND(ISNUMBER(T181),ISNUMBER(T179)),VLOOKUP(ABS(T181-T179),'IMP Table'!$A$2:$C$26,3)*SIGN(T181-T179),0)</f>
        <v/>
      </c>
      <c r="AO181">
        <f>IF(AND(ISNUMBER(T181),ISNUMBER(T180)),VLOOKUP(ABS(T181-T180),'IMP Table'!$A$2:$C$26,3)*SIGN(T181-T180),0)</f>
        <v/>
      </c>
      <c r="AP181">
        <f>IF(AND(ISNUMBER(T181),ISNUMBER(T182)),VLOOKUP(ABS(T181-T182),'IMP Table'!$A$2:$C$26,3)*SIGN(T181-T182),0)</f>
        <v/>
      </c>
      <c r="AQ181">
        <f>IF(AND(ISNUMBER(T181),ISNUMBER(T183)),VLOOKUP(ABS(T181-T183),'IMP Table'!$A$2:$C$26,3)*SIGN(T181-T183),0)</f>
        <v/>
      </c>
      <c r="AR181">
        <f>IF(AND(ISNUMBER(T181),ISNUMBER(T184)),VLOOKUP(ABS(T181-T184),'IMP Table'!$A$2:$C$26,3)*SIGN(T181-T184),0)</f>
        <v/>
      </c>
    </row>
    <row r="182">
      <c r="B182" s="10">
        <f>'By Round'!A31</f>
        <v/>
      </c>
      <c r="C182" s="10">
        <f>'By Round'!B41</f>
        <v/>
      </c>
      <c r="D182" s="10">
        <f>'By Round'!C41</f>
        <v/>
      </c>
      <c r="E182" s="10">
        <f>'By Round'!D41</f>
        <v/>
      </c>
      <c r="F182" s="10">
        <f>IF(ISBLANK('By Round'!F42),"",'By Round'!F42)</f>
        <v/>
      </c>
      <c r="G182">
        <f>IF(ISBLANK('By Round'!G42),"",'By Round'!G42)</f>
        <v/>
      </c>
      <c r="H182">
        <f>IF(ISBLANK('By Round'!H42),"",'By Round'!H42)</f>
        <v/>
      </c>
      <c r="I182">
        <f>IF(ISBLANK('By Round'!I42),"",'By Round'!I42)</f>
        <v/>
      </c>
      <c r="J182">
        <f>IF(ISBLANK('By Round'!J42),"",'By Round'!J42)</f>
        <v/>
      </c>
      <c r="K182">
        <f>IF(ISBLANK('By Round'!K42),"",'By Round'!K42)</f>
        <v/>
      </c>
      <c r="L182">
        <f>IF(ISBLANK('By Round'!L42),"",'By Round'!L42)</f>
        <v/>
      </c>
      <c r="M182" s="11">
        <f>AVERAGE(AG182:AL182)</f>
        <v/>
      </c>
      <c r="N182" s="12">
        <f>AVERAGE(AM182:AR182)</f>
        <v/>
      </c>
      <c r="O182" s="13">
        <f>IF(COUNT(U182:Z182)&gt;0,Q182/COUNT(U182:Z182),0.5)</f>
        <v/>
      </c>
      <c r="P182" s="13">
        <f>IF(COUNT(AA182:AF182)&gt;0,R182/COUNT(AA182:AF182),0.5)</f>
        <v/>
      </c>
      <c r="Q182" s="5">
        <f>SUM(U182:Z182)</f>
        <v/>
      </c>
      <c r="R182" s="5">
        <f>SUM(AA182:AF182)</f>
        <v/>
      </c>
      <c r="S182" s="14">
        <f>IF(ISNUMBER(K182),K182,IF(ISNUMBER(L182),-L182,""))</f>
        <v/>
      </c>
      <c r="T182">
        <f>IF(ISNUMBER(L182),L182,IF(ISNUMBER(K182),-K182,""))</f>
        <v/>
      </c>
      <c r="U182" s="14">
        <f>IF(ISNUMBER(S182),IF(ISNUMBER(S178),IF(S182&gt;S178,1.0,IF(S182=S178,0.5,0.0)),""),"")</f>
        <v/>
      </c>
      <c r="V182">
        <f>IF(ISNUMBER(S182),IF(ISNUMBER(S179),IF(S182&gt;S179,1.0,IF(S182=S179,0.5,0.0)),""),"")</f>
        <v/>
      </c>
      <c r="W182">
        <f>IF(ISNUMBER(S182),IF(ISNUMBER(S180),IF(S182&gt;S180,1.0,IF(S182=S180,0.5,0.0)),""),"")</f>
        <v/>
      </c>
      <c r="X182">
        <f>IF(ISNUMBER(S182),IF(ISNUMBER(S181),IF(S182&gt;S181,1.0,IF(S182=S181,0.5,0.0)),""),"")</f>
        <v/>
      </c>
      <c r="Y182">
        <f>IF(ISNUMBER(S182),IF(ISNUMBER(S183),IF(S182&gt;S183,1.0,IF(S182=S183,0.5,0.0)),""),"")</f>
        <v/>
      </c>
      <c r="Z182">
        <f>IF(ISNUMBER(S182),IF(ISNUMBER(S184),IF(S182&gt;S184,1.0,IF(S182=S184,0.5,0.0)),""),"")</f>
        <v/>
      </c>
      <c r="AA182">
        <f>IF(ISNUMBER(T182),IF(ISNUMBER(T178),IF(T182&gt;T178,1.0,IF(T182=T178,0.5,0.0)),""),"")</f>
        <v/>
      </c>
      <c r="AB182">
        <f>IF(ISNUMBER(T182),IF(ISNUMBER(T179),IF(T182&gt;T179,1.0,IF(T182=T179,0.5,0.0)),""),"")</f>
        <v/>
      </c>
      <c r="AC182">
        <f>IF(ISNUMBER(T182),IF(ISNUMBER(T180),IF(T182&gt;T180,1.0,IF(T182=T180,0.5,0.0)),""),"")</f>
        <v/>
      </c>
      <c r="AD182">
        <f>IF(ISNUMBER(T182),IF(ISNUMBER(T181),IF(T182&gt;T181,1.0,IF(T182=T181,0.5,0.0)),""),"")</f>
        <v/>
      </c>
      <c r="AE182">
        <f>IF(ISNUMBER(T182),IF(ISNUMBER(T183),IF(T182&gt;T183,1.0,IF(T182=T183,0.5,0.0)),""),"")</f>
        <v/>
      </c>
      <c r="AF182">
        <f>IF(ISNUMBER(T182),IF(ISNUMBER(T184),IF(T182&gt;T184,1.0,IF(T182=T184,0.5,0.0)),""),"")</f>
        <v/>
      </c>
      <c r="AG182" s="14">
        <f>IF(AND(ISNUMBER(S182),ISNUMBER(S178)),VLOOKUP(ABS(S182-S178),'IMP Table'!$A$2:$C$26,3)*SIGN(S182-S178),0)</f>
        <v/>
      </c>
      <c r="AH182">
        <f>IF(AND(ISNUMBER(S182),ISNUMBER(S179)),VLOOKUP(ABS(S182-S179),'IMP Table'!$A$2:$C$26,3)*SIGN(S182-S179),0)</f>
        <v/>
      </c>
      <c r="AI182">
        <f>IF(AND(ISNUMBER(S182),ISNUMBER(S180)),VLOOKUP(ABS(S182-S180),'IMP Table'!$A$2:$C$26,3)*SIGN(S182-S180),0)</f>
        <v/>
      </c>
      <c r="AJ182">
        <f>IF(AND(ISNUMBER(S182),ISNUMBER(S181)),VLOOKUP(ABS(S182-S181),'IMP Table'!$A$2:$C$26,3)*SIGN(S182-S181),0)</f>
        <v/>
      </c>
      <c r="AK182">
        <f>IF(AND(ISNUMBER(S182),ISNUMBER(S183)),VLOOKUP(ABS(S182-S183),'IMP Table'!$A$2:$C$26,3)*SIGN(S182-S183),0)</f>
        <v/>
      </c>
      <c r="AL182">
        <f>IF(AND(ISNUMBER(S182),ISNUMBER(S184)),VLOOKUP(ABS(S182-S184),'IMP Table'!$A$2:$C$26,3)*SIGN(S182-S184),0)</f>
        <v/>
      </c>
      <c r="AM182">
        <f>IF(AND(ISNUMBER(T182),ISNUMBER(T178)),VLOOKUP(ABS(T182-T178),'IMP Table'!$A$2:$C$26,3)*SIGN(T182-T178),0)</f>
        <v/>
      </c>
      <c r="AN182">
        <f>IF(AND(ISNUMBER(T182),ISNUMBER(T179)),VLOOKUP(ABS(T182-T179),'IMP Table'!$A$2:$C$26,3)*SIGN(T182-T179),0)</f>
        <v/>
      </c>
      <c r="AO182">
        <f>IF(AND(ISNUMBER(T182),ISNUMBER(T180)),VLOOKUP(ABS(T182-T180),'IMP Table'!$A$2:$C$26,3)*SIGN(T182-T180),0)</f>
        <v/>
      </c>
      <c r="AP182">
        <f>IF(AND(ISNUMBER(T182),ISNUMBER(T181)),VLOOKUP(ABS(T182-T181),'IMP Table'!$A$2:$C$26,3)*SIGN(T182-T181),0)</f>
        <v/>
      </c>
      <c r="AQ182">
        <f>IF(AND(ISNUMBER(T182),ISNUMBER(T183)),VLOOKUP(ABS(T182-T183),'IMP Table'!$A$2:$C$26,3)*SIGN(T182-T183),0)</f>
        <v/>
      </c>
      <c r="AR182">
        <f>IF(AND(ISNUMBER(T182),ISNUMBER(T184)),VLOOKUP(ABS(T182-T184),'IMP Table'!$A$2:$C$26,3)*SIGN(T182-T184),0)</f>
        <v/>
      </c>
    </row>
    <row r="183">
      <c r="B183" s="10">
        <f>'By Round'!A129</f>
        <v/>
      </c>
      <c r="C183" s="10">
        <f>'By Round'!B133</f>
        <v/>
      </c>
      <c r="D183" s="10">
        <f>'By Round'!C133</f>
        <v/>
      </c>
      <c r="E183" s="10">
        <f>'By Round'!D133</f>
        <v/>
      </c>
      <c r="F183" s="10">
        <f>IF(ISBLANK('By Round'!F134),"",'By Round'!F134)</f>
        <v/>
      </c>
      <c r="G183">
        <f>IF(ISBLANK('By Round'!G134),"",'By Round'!G134)</f>
        <v/>
      </c>
      <c r="H183">
        <f>IF(ISBLANK('By Round'!H134),"",'By Round'!H134)</f>
        <v/>
      </c>
      <c r="I183">
        <f>IF(ISBLANK('By Round'!I134),"",'By Round'!I134)</f>
        <v/>
      </c>
      <c r="J183">
        <f>IF(ISBLANK('By Round'!J134),"",'By Round'!J134)</f>
        <v/>
      </c>
      <c r="K183">
        <f>IF(ISBLANK('By Round'!K134),"",'By Round'!K134)</f>
        <v/>
      </c>
      <c r="L183">
        <f>IF(ISBLANK('By Round'!L134),"",'By Round'!L134)</f>
        <v/>
      </c>
      <c r="M183" s="11">
        <f>AVERAGE(AG183:AL183)</f>
        <v/>
      </c>
      <c r="N183" s="12">
        <f>AVERAGE(AM183:AR183)</f>
        <v/>
      </c>
      <c r="O183" s="13">
        <f>IF(COUNT(U183:Z183)&gt;0,Q183/COUNT(U183:Z183),0.5)</f>
        <v/>
      </c>
      <c r="P183" s="13">
        <f>IF(COUNT(AA183:AF183)&gt;0,R183/COUNT(AA183:AF183),0.5)</f>
        <v/>
      </c>
      <c r="Q183" s="5">
        <f>SUM(U183:Z183)</f>
        <v/>
      </c>
      <c r="R183" s="5">
        <f>SUM(AA183:AF183)</f>
        <v/>
      </c>
      <c r="S183" s="14">
        <f>IF(ISNUMBER(K183),K183,IF(ISNUMBER(L183),-L183,""))</f>
        <v/>
      </c>
      <c r="T183">
        <f>IF(ISNUMBER(L183),L183,IF(ISNUMBER(K183),-K183,""))</f>
        <v/>
      </c>
      <c r="U183" s="14">
        <f>IF(ISNUMBER(S183),IF(ISNUMBER(S178),IF(S183&gt;S178,1.0,IF(S183=S178,0.5,0.0)),""),"")</f>
        <v/>
      </c>
      <c r="V183">
        <f>IF(ISNUMBER(S183),IF(ISNUMBER(S179),IF(S183&gt;S179,1.0,IF(S183=S179,0.5,0.0)),""),"")</f>
        <v/>
      </c>
      <c r="W183">
        <f>IF(ISNUMBER(S183),IF(ISNUMBER(S180),IF(S183&gt;S180,1.0,IF(S183=S180,0.5,0.0)),""),"")</f>
        <v/>
      </c>
      <c r="X183">
        <f>IF(ISNUMBER(S183),IF(ISNUMBER(S181),IF(S183&gt;S181,1.0,IF(S183=S181,0.5,0.0)),""),"")</f>
        <v/>
      </c>
      <c r="Y183">
        <f>IF(ISNUMBER(S183),IF(ISNUMBER(S182),IF(S183&gt;S182,1.0,IF(S183=S182,0.5,0.0)),""),"")</f>
        <v/>
      </c>
      <c r="Z183">
        <f>IF(ISNUMBER(S183),IF(ISNUMBER(S184),IF(S183&gt;S184,1.0,IF(S183=S184,0.5,0.0)),""),"")</f>
        <v/>
      </c>
      <c r="AA183">
        <f>IF(ISNUMBER(T183),IF(ISNUMBER(T178),IF(T183&gt;T178,1.0,IF(T183=T178,0.5,0.0)),""),"")</f>
        <v/>
      </c>
      <c r="AB183">
        <f>IF(ISNUMBER(T183),IF(ISNUMBER(T179),IF(T183&gt;T179,1.0,IF(T183=T179,0.5,0.0)),""),"")</f>
        <v/>
      </c>
      <c r="AC183">
        <f>IF(ISNUMBER(T183),IF(ISNUMBER(T180),IF(T183&gt;T180,1.0,IF(T183=T180,0.5,0.0)),""),"")</f>
        <v/>
      </c>
      <c r="AD183">
        <f>IF(ISNUMBER(T183),IF(ISNUMBER(T181),IF(T183&gt;T181,1.0,IF(T183=T181,0.5,0.0)),""),"")</f>
        <v/>
      </c>
      <c r="AE183">
        <f>IF(ISNUMBER(T183),IF(ISNUMBER(T182),IF(T183&gt;T182,1.0,IF(T183=T182,0.5,0.0)),""),"")</f>
        <v/>
      </c>
      <c r="AF183">
        <f>IF(ISNUMBER(T183),IF(ISNUMBER(T184),IF(T183&gt;T184,1.0,IF(T183=T184,0.5,0.0)),""),"")</f>
        <v/>
      </c>
      <c r="AG183" s="14">
        <f>IF(AND(ISNUMBER(S183),ISNUMBER(S178)),VLOOKUP(ABS(S183-S178),'IMP Table'!$A$2:$C$26,3)*SIGN(S183-S178),0)</f>
        <v/>
      </c>
      <c r="AH183">
        <f>IF(AND(ISNUMBER(S183),ISNUMBER(S179)),VLOOKUP(ABS(S183-S179),'IMP Table'!$A$2:$C$26,3)*SIGN(S183-S179),0)</f>
        <v/>
      </c>
      <c r="AI183">
        <f>IF(AND(ISNUMBER(S183),ISNUMBER(S180)),VLOOKUP(ABS(S183-S180),'IMP Table'!$A$2:$C$26,3)*SIGN(S183-S180),0)</f>
        <v/>
      </c>
      <c r="AJ183">
        <f>IF(AND(ISNUMBER(S183),ISNUMBER(S181)),VLOOKUP(ABS(S183-S181),'IMP Table'!$A$2:$C$26,3)*SIGN(S183-S181),0)</f>
        <v/>
      </c>
      <c r="AK183">
        <f>IF(AND(ISNUMBER(S183),ISNUMBER(S182)),VLOOKUP(ABS(S183-S182),'IMP Table'!$A$2:$C$26,3)*SIGN(S183-S182),0)</f>
        <v/>
      </c>
      <c r="AL183">
        <f>IF(AND(ISNUMBER(S183),ISNUMBER(S184)),VLOOKUP(ABS(S183-S184),'IMP Table'!$A$2:$C$26,3)*SIGN(S183-S184),0)</f>
        <v/>
      </c>
      <c r="AM183">
        <f>IF(AND(ISNUMBER(T183),ISNUMBER(T178)),VLOOKUP(ABS(T183-T178),'IMP Table'!$A$2:$C$26,3)*SIGN(T183-T178),0)</f>
        <v/>
      </c>
      <c r="AN183">
        <f>IF(AND(ISNUMBER(T183),ISNUMBER(T179)),VLOOKUP(ABS(T183-T179),'IMP Table'!$A$2:$C$26,3)*SIGN(T183-T179),0)</f>
        <v/>
      </c>
      <c r="AO183">
        <f>IF(AND(ISNUMBER(T183),ISNUMBER(T180)),VLOOKUP(ABS(T183-T180),'IMP Table'!$A$2:$C$26,3)*SIGN(T183-T180),0)</f>
        <v/>
      </c>
      <c r="AP183">
        <f>IF(AND(ISNUMBER(T183),ISNUMBER(T181)),VLOOKUP(ABS(T183-T181),'IMP Table'!$A$2:$C$26,3)*SIGN(T183-T181),0)</f>
        <v/>
      </c>
      <c r="AQ183">
        <f>IF(AND(ISNUMBER(T183),ISNUMBER(T182)),VLOOKUP(ABS(T183-T182),'IMP Table'!$A$2:$C$26,3)*SIGN(T183-T182),0)</f>
        <v/>
      </c>
      <c r="AR183">
        <f>IF(AND(ISNUMBER(T183),ISNUMBER(T184)),VLOOKUP(ABS(T183-T184),'IMP Table'!$A$2:$C$26,3)*SIGN(T183-T184),0)</f>
        <v/>
      </c>
    </row>
    <row r="184">
      <c r="A184" s="15" t="n"/>
      <c r="B184" s="16">
        <f>'By Round'!A171</f>
        <v/>
      </c>
      <c r="C184" s="16">
        <f>'By Round'!B171</f>
        <v/>
      </c>
      <c r="D184" s="16">
        <f>'By Round'!C171</f>
        <v/>
      </c>
      <c r="E184" s="16">
        <f>'By Round'!D171</f>
        <v/>
      </c>
      <c r="F184" s="16">
        <f>IF(ISBLANK('By Round'!F172),"",'By Round'!F172)</f>
        <v/>
      </c>
      <c r="G184" s="15">
        <f>IF(ISBLANK('By Round'!G172),"",'By Round'!G172)</f>
        <v/>
      </c>
      <c r="H184" s="15">
        <f>IF(ISBLANK('By Round'!H172),"",'By Round'!H172)</f>
        <v/>
      </c>
      <c r="I184" s="15">
        <f>IF(ISBLANK('By Round'!I172),"",'By Round'!I172)</f>
        <v/>
      </c>
      <c r="J184" s="15">
        <f>IF(ISBLANK('By Round'!J172),"",'By Round'!J172)</f>
        <v/>
      </c>
      <c r="K184" s="15">
        <f>IF(ISBLANK('By Round'!K172),"",'By Round'!K172)</f>
        <v/>
      </c>
      <c r="L184" s="15">
        <f>IF(ISBLANK('By Round'!L172),"",'By Round'!L172)</f>
        <v/>
      </c>
      <c r="M184" s="17">
        <f>AVERAGE(AG184:AL184)</f>
        <v/>
      </c>
      <c r="N184" s="18">
        <f>AVERAGE(AM184:AR184)</f>
        <v/>
      </c>
      <c r="O184" s="19">
        <f>IF(COUNT(U184:Z184)&gt;0,Q184/COUNT(U184:Z184),0.5)</f>
        <v/>
      </c>
      <c r="P184" s="19">
        <f>IF(COUNT(AA184:AF184)&gt;0,R184/COUNT(AA184:AF184),0.5)</f>
        <v/>
      </c>
      <c r="Q184" s="20">
        <f>SUM(U184:Z184)</f>
        <v/>
      </c>
      <c r="R184" s="20">
        <f>SUM(AA184:AF184)</f>
        <v/>
      </c>
      <c r="S184" s="21">
        <f>IF(ISNUMBER(K184),K184,IF(ISNUMBER(L184),-L184,""))</f>
        <v/>
      </c>
      <c r="T184" s="15">
        <f>IF(ISNUMBER(L184),L184,IF(ISNUMBER(K184),-K184,""))</f>
        <v/>
      </c>
      <c r="U184" s="21">
        <f>IF(ISNUMBER(S184),IF(ISNUMBER(S178),IF(S184&gt;S178,1.0,IF(S184=S178,0.5,0.0)),""),"")</f>
        <v/>
      </c>
      <c r="V184" s="15">
        <f>IF(ISNUMBER(S184),IF(ISNUMBER(S179),IF(S184&gt;S179,1.0,IF(S184=S179,0.5,0.0)),""),"")</f>
        <v/>
      </c>
      <c r="W184" s="15">
        <f>IF(ISNUMBER(S184),IF(ISNUMBER(S180),IF(S184&gt;S180,1.0,IF(S184=S180,0.5,0.0)),""),"")</f>
        <v/>
      </c>
      <c r="X184" s="15">
        <f>IF(ISNUMBER(S184),IF(ISNUMBER(S181),IF(S184&gt;S181,1.0,IF(S184=S181,0.5,0.0)),""),"")</f>
        <v/>
      </c>
      <c r="Y184" s="15">
        <f>IF(ISNUMBER(S184),IF(ISNUMBER(S182),IF(S184&gt;S182,1.0,IF(S184=S182,0.5,0.0)),""),"")</f>
        <v/>
      </c>
      <c r="Z184" s="15">
        <f>IF(ISNUMBER(S184),IF(ISNUMBER(S183),IF(S184&gt;S183,1.0,IF(S184=S183,0.5,0.0)),""),"")</f>
        <v/>
      </c>
      <c r="AA184" s="15">
        <f>IF(ISNUMBER(T184),IF(ISNUMBER(T178),IF(T184&gt;T178,1.0,IF(T184=T178,0.5,0.0)),""),"")</f>
        <v/>
      </c>
      <c r="AB184" s="15">
        <f>IF(ISNUMBER(T184),IF(ISNUMBER(T179),IF(T184&gt;T179,1.0,IF(T184=T179,0.5,0.0)),""),"")</f>
        <v/>
      </c>
      <c r="AC184" s="15">
        <f>IF(ISNUMBER(T184),IF(ISNUMBER(T180),IF(T184&gt;T180,1.0,IF(T184=T180,0.5,0.0)),""),"")</f>
        <v/>
      </c>
      <c r="AD184" s="15">
        <f>IF(ISNUMBER(T184),IF(ISNUMBER(T181),IF(T184&gt;T181,1.0,IF(T184=T181,0.5,0.0)),""),"")</f>
        <v/>
      </c>
      <c r="AE184" s="15">
        <f>IF(ISNUMBER(T184),IF(ISNUMBER(T182),IF(T184&gt;T182,1.0,IF(T184=T182,0.5,0.0)),""),"")</f>
        <v/>
      </c>
      <c r="AF184" s="15">
        <f>IF(ISNUMBER(T184),IF(ISNUMBER(T183),IF(T184&gt;T183,1.0,IF(T184=T183,0.5,0.0)),""),"")</f>
        <v/>
      </c>
      <c r="AG184" s="21">
        <f>IF(AND(ISNUMBER(S184),ISNUMBER(S178)),VLOOKUP(ABS(S184-S178),'IMP Table'!$A$2:$C$26,3)*SIGN(S184-S178),0)</f>
        <v/>
      </c>
      <c r="AH184" s="15">
        <f>IF(AND(ISNUMBER(S184),ISNUMBER(S179)),VLOOKUP(ABS(S184-S179),'IMP Table'!$A$2:$C$26,3)*SIGN(S184-S179),0)</f>
        <v/>
      </c>
      <c r="AI184" s="15">
        <f>IF(AND(ISNUMBER(S184),ISNUMBER(S180)),VLOOKUP(ABS(S184-S180),'IMP Table'!$A$2:$C$26,3)*SIGN(S184-S180),0)</f>
        <v/>
      </c>
      <c r="AJ184" s="15">
        <f>IF(AND(ISNUMBER(S184),ISNUMBER(S181)),VLOOKUP(ABS(S184-S181),'IMP Table'!$A$2:$C$26,3)*SIGN(S184-S181),0)</f>
        <v/>
      </c>
      <c r="AK184" s="15">
        <f>IF(AND(ISNUMBER(S184),ISNUMBER(S182)),VLOOKUP(ABS(S184-S182),'IMP Table'!$A$2:$C$26,3)*SIGN(S184-S182),0)</f>
        <v/>
      </c>
      <c r="AL184" s="15">
        <f>IF(AND(ISNUMBER(S184),ISNUMBER(S183)),VLOOKUP(ABS(S184-S183),'IMP Table'!$A$2:$C$26,3)*SIGN(S184-S183),0)</f>
        <v/>
      </c>
      <c r="AM184" s="15">
        <f>IF(AND(ISNUMBER(T184),ISNUMBER(T178)),VLOOKUP(ABS(T184-T178),'IMP Table'!$A$2:$C$26,3)*SIGN(T184-T178),0)</f>
        <v/>
      </c>
      <c r="AN184" s="15">
        <f>IF(AND(ISNUMBER(T184),ISNUMBER(T179)),VLOOKUP(ABS(T184-T179),'IMP Table'!$A$2:$C$26,3)*SIGN(T184-T179),0)</f>
        <v/>
      </c>
      <c r="AO184" s="15">
        <f>IF(AND(ISNUMBER(T184),ISNUMBER(T180)),VLOOKUP(ABS(T184-T180),'IMP Table'!$A$2:$C$26,3)*SIGN(T184-T180),0)</f>
        <v/>
      </c>
      <c r="AP184" s="15">
        <f>IF(AND(ISNUMBER(T184),ISNUMBER(T181)),VLOOKUP(ABS(T184-T181),'IMP Table'!$A$2:$C$26,3)*SIGN(T184-T181),0)</f>
        <v/>
      </c>
      <c r="AQ184" s="15">
        <f>IF(AND(ISNUMBER(T184),ISNUMBER(T182)),VLOOKUP(ABS(T184-T182),'IMP Table'!$A$2:$C$26,3)*SIGN(T184-T182),0)</f>
        <v/>
      </c>
      <c r="AR184" s="15">
        <f>IF(AND(ISNUMBER(T184),ISNUMBER(T183)),VLOOKUP(ABS(T184-T183),'IMP Table'!$A$2:$C$26,3)*SIGN(T184-T183),0)</f>
        <v/>
      </c>
    </row>
  </sheetData>
  <mergeCells count="12">
    <mergeCell ref="AA2:AF2"/>
    <mergeCell ref="U2:Z2"/>
    <mergeCell ref="AG2:AL2"/>
    <mergeCell ref="Q1:R1"/>
    <mergeCell ref="AG1:AR1"/>
    <mergeCell ref="K1:L1"/>
    <mergeCell ref="S1:T1"/>
    <mergeCell ref="U1:AF1"/>
    <mergeCell ref="O1:P1"/>
    <mergeCell ref="M1:N1"/>
    <mergeCell ref="AM2:AR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14</v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5</v>
      </c>
      <c r="D5" s="10" t="n">
        <v>10</v>
      </c>
      <c r="E5" s="10" t="n">
        <v>5</v>
      </c>
      <c r="F5" s="10" t="inlineStr">
        <is>
          <t>NS</t>
        </is>
      </c>
    </row>
    <row r="6">
      <c r="B6" s="16" t="n"/>
      <c r="C6" s="16" t="n"/>
      <c r="D6" s="16" t="n"/>
      <c r="E6" s="16" t="n">
        <v>6</v>
      </c>
      <c r="F6" s="16" t="inlineStr">
        <is>
          <t>EW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2</v>
      </c>
      <c r="D7" s="10" t="n">
        <v>3</v>
      </c>
      <c r="E7" s="10" t="n">
        <v>7</v>
      </c>
      <c r="F7" s="10" t="inlineStr">
        <is>
          <t>Both</t>
        </is>
      </c>
    </row>
    <row r="8">
      <c r="B8" s="16" t="n"/>
      <c r="C8" s="16" t="n"/>
      <c r="D8" s="16" t="n"/>
      <c r="E8" s="16" t="n">
        <v>8</v>
      </c>
      <c r="F8" s="16" t="inlineStr">
        <is>
          <t>None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9</v>
      </c>
      <c r="D9" s="10" t="n">
        <v>11</v>
      </c>
      <c r="E9" s="10" t="n">
        <v>9</v>
      </c>
      <c r="F9" s="10" t="inlineStr">
        <is>
          <t>EW</t>
        </is>
      </c>
    </row>
    <row r="10">
      <c r="B10" s="16" t="n"/>
      <c r="C10" s="16" t="n"/>
      <c r="D10" s="16" t="n"/>
      <c r="E10" s="16" t="n">
        <v>10</v>
      </c>
      <c r="F10" s="16" t="inlineStr">
        <is>
          <t>Both</t>
        </is>
      </c>
      <c r="G10" s="15" t="n"/>
      <c r="H10" s="15" t="n"/>
      <c r="I10" s="15" t="n"/>
      <c r="J10" s="15" t="n"/>
      <c r="K10" s="15" t="n"/>
      <c r="L10" s="15" t="n"/>
    </row>
    <row r="11">
      <c r="B11" s="10" t="n">
        <v>5</v>
      </c>
      <c r="C11" s="10" t="n">
        <v>6</v>
      </c>
      <c r="D11" s="10" t="n">
        <v>13</v>
      </c>
      <c r="E11" s="10" t="n">
        <v>19</v>
      </c>
      <c r="F11" s="10" t="inlineStr">
        <is>
          <t>EW</t>
        </is>
      </c>
    </row>
    <row r="12">
      <c r="B12" s="16" t="n"/>
      <c r="C12" s="16" t="n"/>
      <c r="D12" s="16" t="n"/>
      <c r="E12" s="16" t="n">
        <v>20</v>
      </c>
      <c r="F12" s="16" t="inlineStr">
        <is>
          <t>Both</t>
        </is>
      </c>
      <c r="G12" s="15" t="n"/>
      <c r="H12" s="15" t="n"/>
      <c r="I12" s="15" t="n"/>
      <c r="J12" s="15" t="n"/>
      <c r="K12" s="15" t="n"/>
      <c r="L12" s="15" t="n"/>
    </row>
    <row r="13">
      <c r="B13" s="10" t="n">
        <v>6</v>
      </c>
      <c r="C13" s="10" t="n">
        <v>8</v>
      </c>
      <c r="D13" s="10" t="n">
        <v>12</v>
      </c>
      <c r="E13" s="10" t="n">
        <v>21</v>
      </c>
      <c r="F13" s="10" t="inlineStr">
        <is>
          <t>NS</t>
        </is>
      </c>
    </row>
    <row r="14">
      <c r="B14" s="16" t="n"/>
      <c r="C14" s="16" t="n"/>
      <c r="D14" s="16" t="n"/>
      <c r="E14" s="16" t="n">
        <v>22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7</v>
      </c>
      <c r="C15" s="10" t="n">
        <v>4</v>
      </c>
      <c r="D15" s="10" t="n">
        <v>7</v>
      </c>
      <c r="E15" s="10" t="n">
        <v>23</v>
      </c>
      <c r="F15" s="10" t="inlineStr">
        <is>
          <t>Both</t>
        </is>
      </c>
    </row>
    <row r="16">
      <c r="A16" s="15" t="n"/>
      <c r="B16" s="16" t="n"/>
      <c r="C16" s="16" t="n"/>
      <c r="D16" s="16" t="n"/>
      <c r="E16" s="16" t="n">
        <v>24</v>
      </c>
      <c r="F16" s="16" t="inlineStr">
        <is>
          <t>None</t>
        </is>
      </c>
      <c r="G16" s="15" t="n"/>
      <c r="H16" s="15" t="n"/>
      <c r="I16" s="15" t="n"/>
      <c r="J16" s="15" t="n"/>
      <c r="K16" s="15" t="n"/>
      <c r="L16" s="15" t="n"/>
    </row>
    <row r="17">
      <c r="A17" s="10" t="n">
        <v>2</v>
      </c>
      <c r="B17" s="10" t="n">
        <v>1</v>
      </c>
      <c r="C17" s="10" t="n">
        <v>14</v>
      </c>
      <c r="D17" s="10" t="n">
        <v>2</v>
      </c>
      <c r="E17" s="10" t="n">
        <v>3</v>
      </c>
      <c r="F17" s="10" t="inlineStr">
        <is>
          <t>EW</t>
        </is>
      </c>
    </row>
    <row r="18">
      <c r="B18" s="16" t="n"/>
      <c r="C18" s="16" t="n"/>
      <c r="D18" s="16" t="n"/>
      <c r="E18" s="16" t="n">
        <v>4</v>
      </c>
      <c r="F18" s="16" t="inlineStr">
        <is>
          <t>Both</t>
        </is>
      </c>
      <c r="G18" s="15" t="n"/>
      <c r="H18" s="15" t="n"/>
      <c r="I18" s="15" t="n"/>
      <c r="J18" s="15" t="n"/>
      <c r="K18" s="15" t="n"/>
      <c r="L18" s="15" t="n"/>
    </row>
    <row r="19">
      <c r="B19" s="10" t="n">
        <v>2</v>
      </c>
      <c r="C19" s="10" t="n">
        <v>6</v>
      </c>
      <c r="D19" s="10" t="n">
        <v>11</v>
      </c>
      <c r="E19" s="10" t="n">
        <v>7</v>
      </c>
      <c r="F19" s="10" t="inlineStr">
        <is>
          <t>Both</t>
        </is>
      </c>
    </row>
    <row r="20">
      <c r="B20" s="16" t="n"/>
      <c r="C20" s="16" t="n"/>
      <c r="D20" s="16" t="n"/>
      <c r="E20" s="16" t="n">
        <v>8</v>
      </c>
      <c r="F20" s="16" t="inlineStr">
        <is>
          <t>None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3</v>
      </c>
      <c r="C21" s="10" t="n">
        <v>3</v>
      </c>
      <c r="D21" s="10" t="n">
        <v>4</v>
      </c>
      <c r="E21" s="10" t="n">
        <v>9</v>
      </c>
      <c r="F21" s="10" t="inlineStr">
        <is>
          <t>EW</t>
        </is>
      </c>
    </row>
    <row r="22">
      <c r="B22" s="16" t="n"/>
      <c r="C22" s="16" t="n"/>
      <c r="D22" s="16" t="n"/>
      <c r="E22" s="16" t="n">
        <v>10</v>
      </c>
      <c r="F22" s="16" t="inlineStr">
        <is>
          <t>Both</t>
        </is>
      </c>
      <c r="G22" s="15" t="n"/>
      <c r="H22" s="15" t="n"/>
      <c r="I22" s="15" t="n"/>
      <c r="J22" s="15" t="n"/>
      <c r="K22" s="15" t="n"/>
      <c r="L22" s="15" t="n"/>
    </row>
    <row r="23">
      <c r="B23" s="10" t="n">
        <v>4</v>
      </c>
      <c r="C23" s="10" t="n">
        <v>10</v>
      </c>
      <c r="D23" s="10" t="n">
        <v>12</v>
      </c>
      <c r="E23" s="10" t="n">
        <v>11</v>
      </c>
      <c r="F23" s="10" t="inlineStr">
        <is>
          <t>None</t>
        </is>
      </c>
    </row>
    <row r="24">
      <c r="B24" s="16" t="n"/>
      <c r="C24" s="16" t="n"/>
      <c r="D24" s="16" t="n"/>
      <c r="E24" s="16" t="n">
        <v>12</v>
      </c>
      <c r="F24" s="16" t="inlineStr">
        <is>
          <t>NS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5</v>
      </c>
      <c r="C25" s="10" t="n">
        <v>7</v>
      </c>
      <c r="D25" s="10" t="n">
        <v>1</v>
      </c>
      <c r="E25" s="10" t="n">
        <v>21</v>
      </c>
      <c r="F25" s="10" t="inlineStr">
        <is>
          <t>NS</t>
        </is>
      </c>
    </row>
    <row r="26">
      <c r="B26" s="16" t="n"/>
      <c r="C26" s="16" t="n"/>
      <c r="D26" s="16" t="n"/>
      <c r="E26" s="16" t="n">
        <v>22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6</v>
      </c>
      <c r="C27" s="10" t="n">
        <v>9</v>
      </c>
      <c r="D27" s="10" t="n">
        <v>13</v>
      </c>
      <c r="E27" s="10" t="n">
        <v>23</v>
      </c>
      <c r="F27" s="10" t="inlineStr">
        <is>
          <t>Both</t>
        </is>
      </c>
    </row>
    <row r="28">
      <c r="B28" s="16" t="n"/>
      <c r="C28" s="16" t="n"/>
      <c r="D28" s="16" t="n"/>
      <c r="E28" s="16" t="n">
        <v>24</v>
      </c>
      <c r="F28" s="16" t="inlineStr">
        <is>
          <t>None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7</v>
      </c>
      <c r="C29" s="10" t="n">
        <v>5</v>
      </c>
      <c r="D29" s="10" t="n">
        <v>8</v>
      </c>
      <c r="E29" s="10" t="n">
        <v>25</v>
      </c>
      <c r="F29" s="10" t="inlineStr">
        <is>
          <t>EW</t>
        </is>
      </c>
    </row>
    <row r="30">
      <c r="A30" s="15" t="n"/>
      <c r="B30" s="16" t="n"/>
      <c r="C30" s="16" t="n"/>
      <c r="D30" s="16" t="n"/>
      <c r="E30" s="16" t="n">
        <v>26</v>
      </c>
      <c r="F30" s="16" t="inlineStr">
        <is>
          <t>Both</t>
        </is>
      </c>
      <c r="G30" s="15" t="n"/>
      <c r="H30" s="15" t="n"/>
      <c r="I30" s="15" t="n"/>
      <c r="J30" s="15" t="n"/>
      <c r="K30" s="15" t="n"/>
      <c r="L30" s="15" t="n"/>
    </row>
    <row r="31">
      <c r="A31" s="10" t="n">
        <v>3</v>
      </c>
      <c r="B31" s="10" t="n">
        <v>1</v>
      </c>
      <c r="C31" s="10" t="n">
        <v>14</v>
      </c>
      <c r="D31" s="10" t="n">
        <v>3</v>
      </c>
      <c r="E31" s="10" t="n">
        <v>5</v>
      </c>
      <c r="F31" s="10" t="inlineStr">
        <is>
          <t>NS</t>
        </is>
      </c>
    </row>
    <row r="32">
      <c r="B32" s="16" t="n"/>
      <c r="C32" s="16" t="n"/>
      <c r="D32" s="16" t="n"/>
      <c r="E32" s="16" t="n">
        <v>6</v>
      </c>
      <c r="F32" s="16" t="inlineStr">
        <is>
          <t>EW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2</v>
      </c>
      <c r="C33" s="10" t="n">
        <v>7</v>
      </c>
      <c r="D33" s="10" t="n">
        <v>12</v>
      </c>
      <c r="E33" s="10" t="n">
        <v>9</v>
      </c>
      <c r="F33" s="10" t="inlineStr">
        <is>
          <t>EW</t>
        </is>
      </c>
    </row>
    <row r="34">
      <c r="B34" s="16" t="n"/>
      <c r="C34" s="16" t="n"/>
      <c r="D34" s="16" t="n"/>
      <c r="E34" s="16" t="n">
        <v>10</v>
      </c>
      <c r="F34" s="16" t="inlineStr">
        <is>
          <t>Both</t>
        </is>
      </c>
      <c r="G34" s="15" t="n"/>
      <c r="H34" s="15" t="n"/>
      <c r="I34" s="15" t="n"/>
      <c r="J34" s="15" t="n"/>
      <c r="K34" s="15" t="n"/>
      <c r="L34" s="15" t="n"/>
    </row>
    <row r="35">
      <c r="B35" s="10" t="n">
        <v>3</v>
      </c>
      <c r="C35" s="10" t="n">
        <v>4</v>
      </c>
      <c r="D35" s="10" t="n">
        <v>5</v>
      </c>
      <c r="E35" s="10" t="n">
        <v>11</v>
      </c>
      <c r="F35" s="10" t="inlineStr">
        <is>
          <t>None</t>
        </is>
      </c>
    </row>
    <row r="36">
      <c r="B36" s="16" t="n"/>
      <c r="C36" s="16" t="n"/>
      <c r="D36" s="16" t="n"/>
      <c r="E36" s="16" t="n">
        <v>12</v>
      </c>
      <c r="F36" s="16" t="inlineStr">
        <is>
          <t>NS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4</v>
      </c>
      <c r="C37" s="10" t="n">
        <v>11</v>
      </c>
      <c r="D37" s="10" t="n">
        <v>13</v>
      </c>
      <c r="E37" s="10" t="n">
        <v>13</v>
      </c>
      <c r="F37" s="10" t="inlineStr">
        <is>
          <t>Both</t>
        </is>
      </c>
    </row>
    <row r="38">
      <c r="B38" s="16" t="n"/>
      <c r="C38" s="16" t="n"/>
      <c r="D38" s="16" t="n"/>
      <c r="E38" s="16" t="n">
        <v>14</v>
      </c>
      <c r="F38" s="16" t="inlineStr">
        <is>
          <t>None</t>
        </is>
      </c>
      <c r="G38" s="15" t="n"/>
      <c r="H38" s="15" t="n"/>
      <c r="I38" s="15" t="n"/>
      <c r="J38" s="15" t="n"/>
      <c r="K38" s="15" t="n"/>
      <c r="L38" s="15" t="n"/>
    </row>
    <row r="39">
      <c r="B39" s="10" t="n">
        <v>5</v>
      </c>
      <c r="C39" s="10" t="n">
        <v>8</v>
      </c>
      <c r="D39" s="10" t="n">
        <v>2</v>
      </c>
      <c r="E39" s="10" t="n">
        <v>23</v>
      </c>
      <c r="F39" s="10" t="inlineStr">
        <is>
          <t>Both</t>
        </is>
      </c>
    </row>
    <row r="40">
      <c r="B40" s="16" t="n"/>
      <c r="C40" s="16" t="n"/>
      <c r="D40" s="16" t="n"/>
      <c r="E40" s="16" t="n">
        <v>24</v>
      </c>
      <c r="F40" s="16" t="inlineStr">
        <is>
          <t>None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6</v>
      </c>
      <c r="C41" s="10" t="n">
        <v>10</v>
      </c>
      <c r="D41" s="10" t="n">
        <v>1</v>
      </c>
      <c r="E41" s="10" t="n">
        <v>25</v>
      </c>
      <c r="F41" s="10" t="inlineStr">
        <is>
          <t>EW</t>
        </is>
      </c>
    </row>
    <row r="42">
      <c r="B42" s="16" t="n"/>
      <c r="C42" s="16" t="n"/>
      <c r="D42" s="16" t="n"/>
      <c r="E42" s="16" t="n">
        <v>26</v>
      </c>
      <c r="F42" s="16" t="inlineStr">
        <is>
          <t>Both</t>
        </is>
      </c>
      <c r="G42" s="15" t="n"/>
      <c r="H42" s="15" t="n"/>
      <c r="I42" s="15" t="n"/>
      <c r="J42" s="15" t="n"/>
      <c r="K42" s="15" t="n"/>
      <c r="L42" s="15" t="n"/>
    </row>
    <row r="43">
      <c r="B43" s="10" t="n">
        <v>7</v>
      </c>
      <c r="C43" s="10" t="n">
        <v>6</v>
      </c>
      <c r="D43" s="10" t="n">
        <v>9</v>
      </c>
      <c r="E43" s="10" t="n">
        <v>1</v>
      </c>
      <c r="F43" s="10" t="inlineStr">
        <is>
          <t>None</t>
        </is>
      </c>
    </row>
    <row r="44">
      <c r="A44" s="15" t="n"/>
      <c r="B44" s="16" t="n"/>
      <c r="C44" s="16" t="n"/>
      <c r="D44" s="16" t="n"/>
      <c r="E44" s="16" t="n">
        <v>2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A45" s="10" t="n">
        <v>4</v>
      </c>
      <c r="B45" s="10" t="n">
        <v>1</v>
      </c>
      <c r="C45" s="10" t="n">
        <v>14</v>
      </c>
      <c r="D45" s="10" t="n">
        <v>4</v>
      </c>
      <c r="E45" s="10" t="n">
        <v>7</v>
      </c>
      <c r="F45" s="10" t="inlineStr">
        <is>
          <t>Both</t>
        </is>
      </c>
    </row>
    <row r="46">
      <c r="B46" s="16" t="n"/>
      <c r="C46" s="16" t="n"/>
      <c r="D46" s="16" t="n"/>
      <c r="E46" s="16" t="n">
        <v>8</v>
      </c>
      <c r="F46" s="16" t="inlineStr">
        <is>
          <t>None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2</v>
      </c>
      <c r="C47" s="10" t="n">
        <v>8</v>
      </c>
      <c r="D47" s="10" t="n">
        <v>13</v>
      </c>
      <c r="E47" s="10" t="n">
        <v>11</v>
      </c>
      <c r="F47" s="10" t="inlineStr">
        <is>
          <t>None</t>
        </is>
      </c>
    </row>
    <row r="48">
      <c r="B48" s="16" t="n"/>
      <c r="C48" s="16" t="n"/>
      <c r="D48" s="16" t="n"/>
      <c r="E48" s="16" t="n">
        <v>12</v>
      </c>
      <c r="F48" s="16" t="inlineStr">
        <is>
          <t>NS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3</v>
      </c>
      <c r="C49" s="10" t="n">
        <v>5</v>
      </c>
      <c r="D49" s="10" t="n">
        <v>6</v>
      </c>
      <c r="E49" s="10" t="n">
        <v>13</v>
      </c>
      <c r="F49" s="10" t="inlineStr">
        <is>
          <t>Both</t>
        </is>
      </c>
    </row>
    <row r="50">
      <c r="B50" s="16" t="n"/>
      <c r="C50" s="16" t="n"/>
      <c r="D50" s="16" t="n"/>
      <c r="E50" s="16" t="n">
        <v>14</v>
      </c>
      <c r="F50" s="16" t="inlineStr">
        <is>
          <t>None</t>
        </is>
      </c>
      <c r="G50" s="15" t="n"/>
      <c r="H50" s="15" t="n"/>
      <c r="I50" s="15" t="n"/>
      <c r="J50" s="15" t="n"/>
      <c r="K50" s="15" t="n"/>
      <c r="L50" s="15" t="n"/>
    </row>
    <row r="51">
      <c r="B51" s="10" t="n">
        <v>4</v>
      </c>
      <c r="C51" s="10" t="n">
        <v>12</v>
      </c>
      <c r="D51" s="10" t="n">
        <v>1</v>
      </c>
      <c r="E51" s="10" t="n">
        <v>15</v>
      </c>
      <c r="F51" s="10" t="inlineStr">
        <is>
          <t>NS</t>
        </is>
      </c>
    </row>
    <row r="52">
      <c r="B52" s="16" t="n"/>
      <c r="C52" s="16" t="n"/>
      <c r="D52" s="16" t="n"/>
      <c r="E52" s="16" t="n">
        <v>16</v>
      </c>
      <c r="F52" s="16" t="inlineStr">
        <is>
          <t>EW</t>
        </is>
      </c>
      <c r="G52" s="15" t="n"/>
      <c r="H52" s="15" t="n"/>
      <c r="I52" s="15" t="n"/>
      <c r="J52" s="15" t="n"/>
      <c r="K52" s="15" t="n"/>
      <c r="L52" s="15" t="n"/>
    </row>
    <row r="53">
      <c r="B53" s="10" t="n">
        <v>5</v>
      </c>
      <c r="C53" s="10" t="n">
        <v>9</v>
      </c>
      <c r="D53" s="10" t="n">
        <v>3</v>
      </c>
      <c r="E53" s="10" t="n">
        <v>25</v>
      </c>
      <c r="F53" s="10" t="inlineStr">
        <is>
          <t>EW</t>
        </is>
      </c>
    </row>
    <row r="54">
      <c r="B54" s="16" t="n"/>
      <c r="C54" s="16" t="n"/>
      <c r="D54" s="16" t="n"/>
      <c r="E54" s="16" t="n">
        <v>26</v>
      </c>
      <c r="F54" s="16" t="inlineStr">
        <is>
          <t>Both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6</v>
      </c>
      <c r="C55" s="10" t="n">
        <v>11</v>
      </c>
      <c r="D55" s="10" t="n">
        <v>2</v>
      </c>
      <c r="E55" s="10" t="n">
        <v>1</v>
      </c>
      <c r="F55" s="10" t="inlineStr">
        <is>
          <t>None</t>
        </is>
      </c>
    </row>
    <row r="56">
      <c r="B56" s="16" t="n"/>
      <c r="C56" s="16" t="n"/>
      <c r="D56" s="16" t="n"/>
      <c r="E56" s="16" t="n">
        <v>2</v>
      </c>
      <c r="F56" s="16" t="inlineStr">
        <is>
          <t>NS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7</v>
      </c>
      <c r="C57" s="10" t="n">
        <v>7</v>
      </c>
      <c r="D57" s="10" t="n">
        <v>10</v>
      </c>
      <c r="E57" s="10" t="n">
        <v>3</v>
      </c>
      <c r="F57" s="10" t="inlineStr">
        <is>
          <t>EW</t>
        </is>
      </c>
    </row>
    <row r="58">
      <c r="A58" s="15" t="n"/>
      <c r="B58" s="16" t="n"/>
      <c r="C58" s="16" t="n"/>
      <c r="D58" s="16" t="n"/>
      <c r="E58" s="16" t="n">
        <v>4</v>
      </c>
      <c r="F58" s="16" t="inlineStr">
        <is>
          <t>Both</t>
        </is>
      </c>
      <c r="G58" s="15" t="n"/>
      <c r="H58" s="15" t="n"/>
      <c r="I58" s="15" t="n"/>
      <c r="J58" s="15" t="n"/>
      <c r="K58" s="15" t="n"/>
      <c r="L58" s="15" t="n"/>
    </row>
    <row r="59">
      <c r="A59" s="10" t="n">
        <v>5</v>
      </c>
      <c r="B59" s="10" t="n">
        <v>1</v>
      </c>
      <c r="C59" s="10" t="n">
        <v>14</v>
      </c>
      <c r="D59" s="10" t="n">
        <v>5</v>
      </c>
      <c r="E59" s="10" t="n">
        <v>9</v>
      </c>
      <c r="F59" s="10" t="inlineStr">
        <is>
          <t>EW</t>
        </is>
      </c>
    </row>
    <row r="60">
      <c r="B60" s="16" t="n"/>
      <c r="C60" s="16" t="n"/>
      <c r="D60" s="16" t="n"/>
      <c r="E60" s="16" t="n">
        <v>10</v>
      </c>
      <c r="F60" s="16" t="inlineStr">
        <is>
          <t>Both</t>
        </is>
      </c>
      <c r="G60" s="15" t="n"/>
      <c r="H60" s="15" t="n"/>
      <c r="I60" s="15" t="n"/>
      <c r="J60" s="15" t="n"/>
      <c r="K60" s="15" t="n"/>
      <c r="L60" s="15" t="n"/>
    </row>
    <row r="61">
      <c r="B61" s="10" t="n">
        <v>2</v>
      </c>
      <c r="C61" s="10" t="n">
        <v>9</v>
      </c>
      <c r="D61" s="10" t="n">
        <v>1</v>
      </c>
      <c r="E61" s="10" t="n">
        <v>13</v>
      </c>
      <c r="F61" s="10" t="inlineStr">
        <is>
          <t>Both</t>
        </is>
      </c>
    </row>
    <row r="62">
      <c r="B62" s="16" t="n"/>
      <c r="C62" s="16" t="n"/>
      <c r="D62" s="16" t="n"/>
      <c r="E62" s="16" t="n">
        <v>14</v>
      </c>
      <c r="F62" s="16" t="inlineStr">
        <is>
          <t>None</t>
        </is>
      </c>
      <c r="G62" s="15" t="n"/>
      <c r="H62" s="15" t="n"/>
      <c r="I62" s="15" t="n"/>
      <c r="J62" s="15" t="n"/>
      <c r="K62" s="15" t="n"/>
      <c r="L62" s="15" t="n"/>
    </row>
    <row r="63">
      <c r="B63" s="10" t="n">
        <v>3</v>
      </c>
      <c r="C63" s="10" t="n">
        <v>6</v>
      </c>
      <c r="D63" s="10" t="n">
        <v>7</v>
      </c>
      <c r="E63" s="10" t="n">
        <v>15</v>
      </c>
      <c r="F63" s="10" t="inlineStr">
        <is>
          <t>NS</t>
        </is>
      </c>
    </row>
    <row r="64">
      <c r="B64" s="16" t="n"/>
      <c r="C64" s="16" t="n"/>
      <c r="D64" s="16" t="n"/>
      <c r="E64" s="16" t="n">
        <v>16</v>
      </c>
      <c r="F64" s="16" t="inlineStr">
        <is>
          <t>EW</t>
        </is>
      </c>
      <c r="G64" s="15" t="n"/>
      <c r="H64" s="15" t="n"/>
      <c r="I64" s="15" t="n"/>
      <c r="J64" s="15" t="n"/>
      <c r="K64" s="15" t="n"/>
      <c r="L64" s="15" t="n"/>
    </row>
    <row r="65">
      <c r="B65" s="10" t="n">
        <v>4</v>
      </c>
      <c r="C65" s="10" t="n">
        <v>13</v>
      </c>
      <c r="D65" s="10" t="n">
        <v>2</v>
      </c>
      <c r="E65" s="10" t="n">
        <v>17</v>
      </c>
      <c r="F65" s="10" t="inlineStr">
        <is>
          <t>None</t>
        </is>
      </c>
    </row>
    <row r="66">
      <c r="B66" s="16" t="n"/>
      <c r="C66" s="16" t="n"/>
      <c r="D66" s="16" t="n"/>
      <c r="E66" s="16" t="n">
        <v>18</v>
      </c>
      <c r="F66" s="16" t="inlineStr">
        <is>
          <t>NS</t>
        </is>
      </c>
      <c r="G66" s="15" t="n"/>
      <c r="H66" s="15" t="n"/>
      <c r="I66" s="15" t="n"/>
      <c r="J66" s="15" t="n"/>
      <c r="K66" s="15" t="n"/>
      <c r="L66" s="15" t="n"/>
    </row>
    <row r="67">
      <c r="B67" s="10" t="n">
        <v>5</v>
      </c>
      <c r="C67" s="10" t="n">
        <v>10</v>
      </c>
      <c r="D67" s="10" t="n">
        <v>4</v>
      </c>
      <c r="E67" s="10" t="n">
        <v>1</v>
      </c>
      <c r="F67" s="10" t="inlineStr">
        <is>
          <t>None</t>
        </is>
      </c>
    </row>
    <row r="68">
      <c r="B68" s="16" t="n"/>
      <c r="C68" s="16" t="n"/>
      <c r="D68" s="16" t="n"/>
      <c r="E68" s="16" t="n">
        <v>2</v>
      </c>
      <c r="F68" s="16" t="inlineStr">
        <is>
          <t>NS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6</v>
      </c>
      <c r="C69" s="10" t="n">
        <v>12</v>
      </c>
      <c r="D69" s="10" t="n">
        <v>3</v>
      </c>
      <c r="E69" s="10" t="n">
        <v>3</v>
      </c>
      <c r="F69" s="10" t="inlineStr">
        <is>
          <t>EW</t>
        </is>
      </c>
    </row>
    <row r="70">
      <c r="B70" s="16" t="n"/>
      <c r="C70" s="16" t="n"/>
      <c r="D70" s="16" t="n"/>
      <c r="E70" s="16" t="n">
        <v>4</v>
      </c>
      <c r="F70" s="16" t="inlineStr">
        <is>
          <t>Both</t>
        </is>
      </c>
      <c r="G70" s="15" t="n"/>
      <c r="H70" s="15" t="n"/>
      <c r="I70" s="15" t="n"/>
      <c r="J70" s="15" t="n"/>
      <c r="K70" s="15" t="n"/>
      <c r="L70" s="15" t="n"/>
    </row>
    <row r="71">
      <c r="B71" s="10" t="n">
        <v>7</v>
      </c>
      <c r="C71" s="10" t="n">
        <v>8</v>
      </c>
      <c r="D71" s="10" t="n">
        <v>11</v>
      </c>
      <c r="E71" s="10" t="n">
        <v>5</v>
      </c>
      <c r="F71" s="10" t="inlineStr">
        <is>
          <t>NS</t>
        </is>
      </c>
    </row>
    <row r="72">
      <c r="A72" s="15" t="n"/>
      <c r="B72" s="16" t="n"/>
      <c r="C72" s="16" t="n"/>
      <c r="D72" s="16" t="n"/>
      <c r="E72" s="16" t="n">
        <v>6</v>
      </c>
      <c r="F72" s="16" t="inlineStr">
        <is>
          <t>EW</t>
        </is>
      </c>
      <c r="G72" s="15" t="n"/>
      <c r="H72" s="15" t="n"/>
      <c r="I72" s="15" t="n"/>
      <c r="J72" s="15" t="n"/>
      <c r="K72" s="15" t="n"/>
      <c r="L72" s="15" t="n"/>
    </row>
    <row r="73">
      <c r="A73" s="10" t="n">
        <v>6</v>
      </c>
      <c r="B73" s="10" t="n">
        <v>1</v>
      </c>
      <c r="C73" s="10" t="n">
        <v>14</v>
      </c>
      <c r="D73" s="10" t="n">
        <v>6</v>
      </c>
      <c r="E73" s="10" t="n">
        <v>11</v>
      </c>
      <c r="F73" s="10" t="inlineStr">
        <is>
          <t>None</t>
        </is>
      </c>
    </row>
    <row r="74">
      <c r="B74" s="16" t="n"/>
      <c r="C74" s="16" t="n"/>
      <c r="D74" s="16" t="n"/>
      <c r="E74" s="16" t="n">
        <v>12</v>
      </c>
      <c r="F74" s="16" t="inlineStr">
        <is>
          <t>NS</t>
        </is>
      </c>
      <c r="G74" s="15" t="n"/>
      <c r="H74" s="15" t="n"/>
      <c r="I74" s="15" t="n"/>
      <c r="J74" s="15" t="n"/>
      <c r="K74" s="15" t="n"/>
      <c r="L74" s="15" t="n"/>
    </row>
    <row r="75">
      <c r="B75" s="10" t="n">
        <v>2</v>
      </c>
      <c r="C75" s="10" t="n">
        <v>10</v>
      </c>
      <c r="D75" s="10" t="n">
        <v>2</v>
      </c>
      <c r="E75" s="10" t="n">
        <v>15</v>
      </c>
      <c r="F75" s="10" t="inlineStr">
        <is>
          <t>NS</t>
        </is>
      </c>
    </row>
    <row r="76">
      <c r="B76" s="16" t="n"/>
      <c r="C76" s="16" t="n"/>
      <c r="D76" s="16" t="n"/>
      <c r="E76" s="16" t="n">
        <v>16</v>
      </c>
      <c r="F76" s="16" t="inlineStr">
        <is>
          <t>EW</t>
        </is>
      </c>
      <c r="G76" s="15" t="n"/>
      <c r="H76" s="15" t="n"/>
      <c r="I76" s="15" t="n"/>
      <c r="J76" s="15" t="n"/>
      <c r="K76" s="15" t="n"/>
      <c r="L76" s="15" t="n"/>
    </row>
    <row r="77">
      <c r="B77" s="10" t="n">
        <v>3</v>
      </c>
      <c r="C77" s="10" t="n">
        <v>7</v>
      </c>
      <c r="D77" s="10" t="n">
        <v>8</v>
      </c>
      <c r="E77" s="10" t="n">
        <v>17</v>
      </c>
      <c r="F77" s="10" t="inlineStr">
        <is>
          <t>None</t>
        </is>
      </c>
    </row>
    <row r="78">
      <c r="B78" s="16" t="n"/>
      <c r="C78" s="16" t="n"/>
      <c r="D78" s="16" t="n"/>
      <c r="E78" s="16" t="n">
        <v>18</v>
      </c>
      <c r="F78" s="16" t="inlineStr">
        <is>
          <t>NS</t>
        </is>
      </c>
      <c r="G78" s="15" t="n"/>
      <c r="H78" s="15" t="n"/>
      <c r="I78" s="15" t="n"/>
      <c r="J78" s="15" t="n"/>
      <c r="K78" s="15" t="n"/>
      <c r="L78" s="15" t="n"/>
    </row>
    <row r="79">
      <c r="B79" s="10" t="n">
        <v>4</v>
      </c>
      <c r="C79" s="10" t="n">
        <v>1</v>
      </c>
      <c r="D79" s="10" t="n">
        <v>3</v>
      </c>
      <c r="E79" s="10" t="n">
        <v>19</v>
      </c>
      <c r="F79" s="10" t="inlineStr">
        <is>
          <t>EW</t>
        </is>
      </c>
    </row>
    <row r="80">
      <c r="B80" s="16" t="n"/>
      <c r="C80" s="16" t="n"/>
      <c r="D80" s="16" t="n"/>
      <c r="E80" s="16" t="n">
        <v>20</v>
      </c>
      <c r="F80" s="16" t="inlineStr">
        <is>
          <t>Both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5</v>
      </c>
      <c r="C81" s="10" t="n">
        <v>11</v>
      </c>
      <c r="D81" s="10" t="n">
        <v>5</v>
      </c>
      <c r="E81" s="10" t="n">
        <v>3</v>
      </c>
      <c r="F81" s="10" t="inlineStr">
        <is>
          <t>EW</t>
        </is>
      </c>
    </row>
    <row r="82">
      <c r="B82" s="16" t="n"/>
      <c r="C82" s="16" t="n"/>
      <c r="D82" s="16" t="n"/>
      <c r="E82" s="16" t="n">
        <v>4</v>
      </c>
      <c r="F82" s="16" t="inlineStr">
        <is>
          <t>Both</t>
        </is>
      </c>
      <c r="G82" s="15" t="n"/>
      <c r="H82" s="15" t="n"/>
      <c r="I82" s="15" t="n"/>
      <c r="J82" s="15" t="n"/>
      <c r="K82" s="15" t="n"/>
      <c r="L82" s="15" t="n"/>
    </row>
    <row r="83">
      <c r="B83" s="10" t="n">
        <v>6</v>
      </c>
      <c r="C83" s="10" t="n">
        <v>13</v>
      </c>
      <c r="D83" s="10" t="n">
        <v>4</v>
      </c>
      <c r="E83" s="10" t="n">
        <v>5</v>
      </c>
      <c r="F83" s="10" t="inlineStr">
        <is>
          <t>NS</t>
        </is>
      </c>
    </row>
    <row r="84">
      <c r="B84" s="16" t="n"/>
      <c r="C84" s="16" t="n"/>
      <c r="D84" s="16" t="n"/>
      <c r="E84" s="16" t="n">
        <v>6</v>
      </c>
      <c r="F84" s="16" t="inlineStr">
        <is>
          <t>EW</t>
        </is>
      </c>
      <c r="G84" s="15" t="n"/>
      <c r="H84" s="15" t="n"/>
      <c r="I84" s="15" t="n"/>
      <c r="J84" s="15" t="n"/>
      <c r="K84" s="15" t="n"/>
      <c r="L84" s="15" t="n"/>
    </row>
    <row r="85">
      <c r="B85" s="10" t="n">
        <v>7</v>
      </c>
      <c r="C85" s="10" t="n">
        <v>9</v>
      </c>
      <c r="D85" s="10" t="n">
        <v>12</v>
      </c>
      <c r="E85" s="10" t="n">
        <v>7</v>
      </c>
      <c r="F85" s="10" t="inlineStr">
        <is>
          <t>Both</t>
        </is>
      </c>
    </row>
    <row r="86">
      <c r="A86" s="15" t="n"/>
      <c r="B86" s="16" t="n"/>
      <c r="C86" s="16" t="n"/>
      <c r="D86" s="16" t="n"/>
      <c r="E86" s="16" t="n">
        <v>8</v>
      </c>
      <c r="F86" s="16" t="inlineStr">
        <is>
          <t>None</t>
        </is>
      </c>
      <c r="G86" s="15" t="n"/>
      <c r="H86" s="15" t="n"/>
      <c r="I86" s="15" t="n"/>
      <c r="J86" s="15" t="n"/>
      <c r="K86" s="15" t="n"/>
      <c r="L86" s="15" t="n"/>
    </row>
    <row r="87">
      <c r="A87" s="10" t="n">
        <v>7</v>
      </c>
      <c r="B87" s="10" t="n">
        <v>1</v>
      </c>
      <c r="C87" s="10" t="n">
        <v>14</v>
      </c>
      <c r="D87" s="10" t="n">
        <v>7</v>
      </c>
      <c r="E87" s="10" t="n">
        <v>13</v>
      </c>
      <c r="F87" s="10" t="inlineStr">
        <is>
          <t>Both</t>
        </is>
      </c>
    </row>
    <row r="88">
      <c r="B88" s="16" t="n"/>
      <c r="C88" s="16" t="n"/>
      <c r="D88" s="16" t="n"/>
      <c r="E88" s="16" t="n">
        <v>14</v>
      </c>
      <c r="F88" s="16" t="inlineStr">
        <is>
          <t>None</t>
        </is>
      </c>
      <c r="G88" s="15" t="n"/>
      <c r="H88" s="15" t="n"/>
      <c r="I88" s="15" t="n"/>
      <c r="J88" s="15" t="n"/>
      <c r="K88" s="15" t="n"/>
      <c r="L88" s="15" t="n"/>
    </row>
    <row r="89">
      <c r="B89" s="10" t="n">
        <v>2</v>
      </c>
      <c r="C89" s="10" t="n">
        <v>11</v>
      </c>
      <c r="D89" s="10" t="n">
        <v>3</v>
      </c>
      <c r="E89" s="10" t="n">
        <v>17</v>
      </c>
      <c r="F89" s="10" t="inlineStr">
        <is>
          <t>None</t>
        </is>
      </c>
    </row>
    <row r="90">
      <c r="B90" s="16" t="n"/>
      <c r="C90" s="16" t="n"/>
      <c r="D90" s="16" t="n"/>
      <c r="E90" s="16" t="n">
        <v>18</v>
      </c>
      <c r="F90" s="16" t="inlineStr">
        <is>
          <t>NS</t>
        </is>
      </c>
      <c r="G90" s="15" t="n"/>
      <c r="H90" s="15" t="n"/>
      <c r="I90" s="15" t="n"/>
      <c r="J90" s="15" t="n"/>
      <c r="K90" s="15" t="n"/>
      <c r="L90" s="15" t="n"/>
    </row>
    <row r="91">
      <c r="B91" s="10" t="n">
        <v>3</v>
      </c>
      <c r="C91" s="10" t="n">
        <v>8</v>
      </c>
      <c r="D91" s="10" t="n">
        <v>9</v>
      </c>
      <c r="E91" s="10" t="n">
        <v>19</v>
      </c>
      <c r="F91" s="10" t="inlineStr">
        <is>
          <t>EW</t>
        </is>
      </c>
    </row>
    <row r="92">
      <c r="B92" s="16" t="n"/>
      <c r="C92" s="16" t="n"/>
      <c r="D92" s="16" t="n"/>
      <c r="E92" s="16" t="n">
        <v>20</v>
      </c>
      <c r="F92" s="16" t="inlineStr">
        <is>
          <t>Both</t>
        </is>
      </c>
      <c r="G92" s="15" t="n"/>
      <c r="H92" s="15" t="n"/>
      <c r="I92" s="15" t="n"/>
      <c r="J92" s="15" t="n"/>
      <c r="K92" s="15" t="n"/>
      <c r="L92" s="15" t="n"/>
    </row>
    <row r="93">
      <c r="B93" s="10" t="n">
        <v>4</v>
      </c>
      <c r="C93" s="10" t="n">
        <v>2</v>
      </c>
      <c r="D93" s="10" t="n">
        <v>4</v>
      </c>
      <c r="E93" s="10" t="n">
        <v>21</v>
      </c>
      <c r="F93" s="10" t="inlineStr">
        <is>
          <t>NS</t>
        </is>
      </c>
    </row>
    <row r="94">
      <c r="B94" s="16" t="n"/>
      <c r="C94" s="16" t="n"/>
      <c r="D94" s="16" t="n"/>
      <c r="E94" s="16" t="n">
        <v>22</v>
      </c>
      <c r="F94" s="16" t="inlineStr">
        <is>
          <t>EW</t>
        </is>
      </c>
      <c r="G94" s="15" t="n"/>
      <c r="H94" s="15" t="n"/>
      <c r="I94" s="15" t="n"/>
      <c r="J94" s="15" t="n"/>
      <c r="K94" s="15" t="n"/>
      <c r="L94" s="15" t="n"/>
    </row>
    <row r="95">
      <c r="B95" s="10" t="n">
        <v>5</v>
      </c>
      <c r="C95" s="10" t="n">
        <v>12</v>
      </c>
      <c r="D95" s="10" t="n">
        <v>6</v>
      </c>
      <c r="E95" s="10" t="n">
        <v>5</v>
      </c>
      <c r="F95" s="10" t="inlineStr">
        <is>
          <t>NS</t>
        </is>
      </c>
    </row>
    <row r="96">
      <c r="B96" s="16" t="n"/>
      <c r="C96" s="16" t="n"/>
      <c r="D96" s="16" t="n"/>
      <c r="E96" s="16" t="n">
        <v>6</v>
      </c>
      <c r="F96" s="16" t="inlineStr">
        <is>
          <t>EW</t>
        </is>
      </c>
      <c r="G96" s="15" t="n"/>
      <c r="H96" s="15" t="n"/>
      <c r="I96" s="15" t="n"/>
      <c r="J96" s="15" t="n"/>
      <c r="K96" s="15" t="n"/>
      <c r="L96" s="15" t="n"/>
    </row>
    <row r="97">
      <c r="B97" s="10" t="n">
        <v>6</v>
      </c>
      <c r="C97" s="10" t="n">
        <v>1</v>
      </c>
      <c r="D97" s="10" t="n">
        <v>5</v>
      </c>
      <c r="E97" s="10" t="n">
        <v>7</v>
      </c>
      <c r="F97" s="10" t="inlineStr">
        <is>
          <t>Both</t>
        </is>
      </c>
    </row>
    <row r="98">
      <c r="B98" s="16" t="n"/>
      <c r="C98" s="16" t="n"/>
      <c r="D98" s="16" t="n"/>
      <c r="E98" s="16" t="n">
        <v>8</v>
      </c>
      <c r="F98" s="16" t="inlineStr">
        <is>
          <t>None</t>
        </is>
      </c>
      <c r="G98" s="15" t="n"/>
      <c r="H98" s="15" t="n"/>
      <c r="I98" s="15" t="n"/>
      <c r="J98" s="15" t="n"/>
      <c r="K98" s="15" t="n"/>
      <c r="L98" s="15" t="n"/>
    </row>
    <row r="99">
      <c r="B99" s="10" t="n">
        <v>7</v>
      </c>
      <c r="C99" s="10" t="n">
        <v>10</v>
      </c>
      <c r="D99" s="10" t="n">
        <v>13</v>
      </c>
      <c r="E99" s="10" t="n">
        <v>9</v>
      </c>
      <c r="F99" s="10" t="inlineStr">
        <is>
          <t>EW</t>
        </is>
      </c>
    </row>
    <row r="100">
      <c r="A100" s="15" t="n"/>
      <c r="B100" s="16" t="n"/>
      <c r="C100" s="16" t="n"/>
      <c r="D100" s="16" t="n"/>
      <c r="E100" s="16" t="n">
        <v>10</v>
      </c>
      <c r="F100" s="16" t="inlineStr">
        <is>
          <t>Both</t>
        </is>
      </c>
      <c r="G100" s="15" t="n"/>
      <c r="H100" s="15" t="n"/>
      <c r="I100" s="15" t="n"/>
      <c r="J100" s="15" t="n"/>
      <c r="K100" s="15" t="n"/>
      <c r="L100" s="15" t="n"/>
    </row>
    <row r="101">
      <c r="A101" s="10" t="n">
        <v>8</v>
      </c>
      <c r="B101" s="10" t="n">
        <v>1</v>
      </c>
      <c r="C101" s="10" t="n">
        <v>14</v>
      </c>
      <c r="D101" s="10" t="n">
        <v>8</v>
      </c>
      <c r="E101" s="10" t="n">
        <v>15</v>
      </c>
      <c r="F101" s="10" t="inlineStr">
        <is>
          <t>NS</t>
        </is>
      </c>
    </row>
    <row r="102">
      <c r="B102" s="16" t="n"/>
      <c r="C102" s="16" t="n"/>
      <c r="D102" s="16" t="n"/>
      <c r="E102" s="16" t="n">
        <v>16</v>
      </c>
      <c r="F102" s="16" t="inlineStr">
        <is>
          <t>EW</t>
        </is>
      </c>
      <c r="G102" s="15" t="n"/>
      <c r="H102" s="15" t="n"/>
      <c r="I102" s="15" t="n"/>
      <c r="J102" s="15" t="n"/>
      <c r="K102" s="15" t="n"/>
      <c r="L102" s="15" t="n"/>
    </row>
    <row r="103">
      <c r="B103" s="10" t="n">
        <v>2</v>
      </c>
      <c r="C103" s="10" t="n">
        <v>12</v>
      </c>
      <c r="D103" s="10" t="n">
        <v>4</v>
      </c>
      <c r="E103" s="10" t="n">
        <v>19</v>
      </c>
      <c r="F103" s="10" t="inlineStr">
        <is>
          <t>EW</t>
        </is>
      </c>
    </row>
    <row r="104">
      <c r="B104" s="16" t="n"/>
      <c r="C104" s="16" t="n"/>
      <c r="D104" s="16" t="n"/>
      <c r="E104" s="16" t="n">
        <v>20</v>
      </c>
      <c r="F104" s="16" t="inlineStr">
        <is>
          <t>Both</t>
        </is>
      </c>
      <c r="G104" s="15" t="n"/>
      <c r="H104" s="15" t="n"/>
      <c r="I104" s="15" t="n"/>
      <c r="J104" s="15" t="n"/>
      <c r="K104" s="15" t="n"/>
      <c r="L104" s="15" t="n"/>
    </row>
    <row r="105">
      <c r="B105" s="10" t="n">
        <v>3</v>
      </c>
      <c r="C105" s="10" t="n">
        <v>9</v>
      </c>
      <c r="D105" s="10" t="n">
        <v>10</v>
      </c>
      <c r="E105" s="10" t="n">
        <v>21</v>
      </c>
      <c r="F105" s="10" t="inlineStr">
        <is>
          <t>NS</t>
        </is>
      </c>
    </row>
    <row r="106">
      <c r="B106" s="16" t="n"/>
      <c r="C106" s="16" t="n"/>
      <c r="D106" s="16" t="n"/>
      <c r="E106" s="16" t="n">
        <v>22</v>
      </c>
      <c r="F106" s="16" t="inlineStr">
        <is>
          <t>EW</t>
        </is>
      </c>
      <c r="G106" s="15" t="n"/>
      <c r="H106" s="15" t="n"/>
      <c r="I106" s="15" t="n"/>
      <c r="J106" s="15" t="n"/>
      <c r="K106" s="15" t="n"/>
      <c r="L106" s="15" t="n"/>
    </row>
    <row r="107">
      <c r="B107" s="10" t="n">
        <v>4</v>
      </c>
      <c r="C107" s="10" t="n">
        <v>3</v>
      </c>
      <c r="D107" s="10" t="n">
        <v>5</v>
      </c>
      <c r="E107" s="10" t="n">
        <v>23</v>
      </c>
      <c r="F107" s="10" t="inlineStr">
        <is>
          <t>Both</t>
        </is>
      </c>
    </row>
    <row r="108">
      <c r="B108" s="16" t="n"/>
      <c r="C108" s="16" t="n"/>
      <c r="D108" s="16" t="n"/>
      <c r="E108" s="16" t="n">
        <v>24</v>
      </c>
      <c r="F108" s="16" t="inlineStr">
        <is>
          <t>None</t>
        </is>
      </c>
      <c r="G108" s="15" t="n"/>
      <c r="H108" s="15" t="n"/>
      <c r="I108" s="15" t="n"/>
      <c r="J108" s="15" t="n"/>
      <c r="K108" s="15" t="n"/>
      <c r="L108" s="15" t="n"/>
    </row>
    <row r="109">
      <c r="B109" s="10" t="n">
        <v>5</v>
      </c>
      <c r="C109" s="10" t="n">
        <v>13</v>
      </c>
      <c r="D109" s="10" t="n">
        <v>7</v>
      </c>
      <c r="E109" s="10" t="n">
        <v>7</v>
      </c>
      <c r="F109" s="10" t="inlineStr">
        <is>
          <t>Both</t>
        </is>
      </c>
    </row>
    <row r="110">
      <c r="B110" s="16" t="n"/>
      <c r="C110" s="16" t="n"/>
      <c r="D110" s="16" t="n"/>
      <c r="E110" s="16" t="n">
        <v>8</v>
      </c>
      <c r="F110" s="16" t="inlineStr">
        <is>
          <t>None</t>
        </is>
      </c>
      <c r="G110" s="15" t="n"/>
      <c r="H110" s="15" t="n"/>
      <c r="I110" s="15" t="n"/>
      <c r="J110" s="15" t="n"/>
      <c r="K110" s="15" t="n"/>
      <c r="L110" s="15" t="n"/>
    </row>
    <row r="111">
      <c r="B111" s="10" t="n">
        <v>6</v>
      </c>
      <c r="C111" s="10" t="n">
        <v>2</v>
      </c>
      <c r="D111" s="10" t="n">
        <v>6</v>
      </c>
      <c r="E111" s="10" t="n">
        <v>9</v>
      </c>
      <c r="F111" s="10" t="inlineStr">
        <is>
          <t>EW</t>
        </is>
      </c>
    </row>
    <row r="112">
      <c r="B112" s="16" t="n"/>
      <c r="C112" s="16" t="n"/>
      <c r="D112" s="16" t="n"/>
      <c r="E112" s="16" t="n">
        <v>10</v>
      </c>
      <c r="F112" s="16" t="inlineStr">
        <is>
          <t>Both</t>
        </is>
      </c>
      <c r="G112" s="15" t="n"/>
      <c r="H112" s="15" t="n"/>
      <c r="I112" s="15" t="n"/>
      <c r="J112" s="15" t="n"/>
      <c r="K112" s="15" t="n"/>
      <c r="L112" s="15" t="n"/>
    </row>
    <row r="113">
      <c r="B113" s="10" t="n">
        <v>7</v>
      </c>
      <c r="C113" s="10" t="n">
        <v>11</v>
      </c>
      <c r="D113" s="10" t="n">
        <v>1</v>
      </c>
      <c r="E113" s="10" t="n">
        <v>11</v>
      </c>
      <c r="F113" s="10" t="inlineStr">
        <is>
          <t>None</t>
        </is>
      </c>
    </row>
    <row r="114">
      <c r="A114" s="15" t="n"/>
      <c r="B114" s="16" t="n"/>
      <c r="C114" s="16" t="n"/>
      <c r="D114" s="16" t="n"/>
      <c r="E114" s="16" t="n">
        <v>12</v>
      </c>
      <c r="F114" s="16" t="inlineStr">
        <is>
          <t>NS</t>
        </is>
      </c>
      <c r="G114" s="15" t="n"/>
      <c r="H114" s="15" t="n"/>
      <c r="I114" s="15" t="n"/>
      <c r="J114" s="15" t="n"/>
      <c r="K114" s="15" t="n"/>
      <c r="L114" s="15" t="n"/>
    </row>
    <row r="115">
      <c r="A115" s="10" t="n">
        <v>9</v>
      </c>
      <c r="B115" s="10" t="n">
        <v>1</v>
      </c>
      <c r="C115" s="10" t="n">
        <v>14</v>
      </c>
      <c r="D115" s="10" t="n">
        <v>9</v>
      </c>
      <c r="E115" s="10" t="n">
        <v>17</v>
      </c>
      <c r="F115" s="10" t="inlineStr">
        <is>
          <t>None</t>
        </is>
      </c>
    </row>
    <row r="116">
      <c r="B116" s="16" t="n"/>
      <c r="C116" s="16" t="n"/>
      <c r="D116" s="16" t="n"/>
      <c r="E116" s="16" t="n">
        <v>18</v>
      </c>
      <c r="F116" s="16" t="inlineStr">
        <is>
          <t>NS</t>
        </is>
      </c>
      <c r="G116" s="15" t="n"/>
      <c r="H116" s="15" t="n"/>
      <c r="I116" s="15" t="n"/>
      <c r="J116" s="15" t="n"/>
      <c r="K116" s="15" t="n"/>
      <c r="L116" s="15" t="n"/>
    </row>
    <row r="117">
      <c r="B117" s="10" t="n">
        <v>2</v>
      </c>
      <c r="C117" s="10" t="n">
        <v>13</v>
      </c>
      <c r="D117" s="10" t="n">
        <v>5</v>
      </c>
      <c r="E117" s="10" t="n">
        <v>21</v>
      </c>
      <c r="F117" s="10" t="inlineStr">
        <is>
          <t>NS</t>
        </is>
      </c>
    </row>
    <row r="118">
      <c r="B118" s="16" t="n"/>
      <c r="C118" s="16" t="n"/>
      <c r="D118" s="16" t="n"/>
      <c r="E118" s="16" t="n">
        <v>22</v>
      </c>
      <c r="F118" s="16" t="inlineStr">
        <is>
          <t>EW</t>
        </is>
      </c>
      <c r="G118" s="15" t="n"/>
      <c r="H118" s="15" t="n"/>
      <c r="I118" s="15" t="n"/>
      <c r="J118" s="15" t="n"/>
      <c r="K118" s="15" t="n"/>
      <c r="L118" s="15" t="n"/>
    </row>
    <row r="119">
      <c r="B119" s="10" t="n">
        <v>3</v>
      </c>
      <c r="C119" s="10" t="n">
        <v>10</v>
      </c>
      <c r="D119" s="10" t="n">
        <v>11</v>
      </c>
      <c r="E119" s="10" t="n">
        <v>23</v>
      </c>
      <c r="F119" s="10" t="inlineStr">
        <is>
          <t>Both</t>
        </is>
      </c>
    </row>
    <row r="120">
      <c r="B120" s="16" t="n"/>
      <c r="C120" s="16" t="n"/>
      <c r="D120" s="16" t="n"/>
      <c r="E120" s="16" t="n">
        <v>24</v>
      </c>
      <c r="F120" s="16" t="inlineStr">
        <is>
          <t>None</t>
        </is>
      </c>
      <c r="G120" s="15" t="n"/>
      <c r="H120" s="15" t="n"/>
      <c r="I120" s="15" t="n"/>
      <c r="J120" s="15" t="n"/>
      <c r="K120" s="15" t="n"/>
      <c r="L120" s="15" t="n"/>
    </row>
    <row r="121">
      <c r="B121" s="10" t="n">
        <v>4</v>
      </c>
      <c r="C121" s="10" t="n">
        <v>4</v>
      </c>
      <c r="D121" s="10" t="n">
        <v>6</v>
      </c>
      <c r="E121" s="10" t="n">
        <v>25</v>
      </c>
      <c r="F121" s="10" t="inlineStr">
        <is>
          <t>EW</t>
        </is>
      </c>
    </row>
    <row r="122">
      <c r="B122" s="16" t="n"/>
      <c r="C122" s="16" t="n"/>
      <c r="D122" s="16" t="n"/>
      <c r="E122" s="16" t="n">
        <v>26</v>
      </c>
      <c r="F122" s="16" t="inlineStr">
        <is>
          <t>Both</t>
        </is>
      </c>
      <c r="G122" s="15" t="n"/>
      <c r="H122" s="15" t="n"/>
      <c r="I122" s="15" t="n"/>
      <c r="J122" s="15" t="n"/>
      <c r="K122" s="15" t="n"/>
      <c r="L122" s="15" t="n"/>
    </row>
    <row r="123">
      <c r="B123" s="10" t="n">
        <v>5</v>
      </c>
      <c r="C123" s="10" t="n">
        <v>1</v>
      </c>
      <c r="D123" s="10" t="n">
        <v>8</v>
      </c>
      <c r="E123" s="10" t="n">
        <v>9</v>
      </c>
      <c r="F123" s="10" t="inlineStr">
        <is>
          <t>EW</t>
        </is>
      </c>
    </row>
    <row r="124">
      <c r="B124" s="16" t="n"/>
      <c r="C124" s="16" t="n"/>
      <c r="D124" s="16" t="n"/>
      <c r="E124" s="16" t="n">
        <v>10</v>
      </c>
      <c r="F124" s="16" t="inlineStr">
        <is>
          <t>Both</t>
        </is>
      </c>
      <c r="G124" s="15" t="n"/>
      <c r="H124" s="15" t="n"/>
      <c r="I124" s="15" t="n"/>
      <c r="J124" s="15" t="n"/>
      <c r="K124" s="15" t="n"/>
      <c r="L124" s="15" t="n"/>
    </row>
    <row r="125">
      <c r="B125" s="10" t="n">
        <v>6</v>
      </c>
      <c r="C125" s="10" t="n">
        <v>3</v>
      </c>
      <c r="D125" s="10" t="n">
        <v>7</v>
      </c>
      <c r="E125" s="10" t="n">
        <v>11</v>
      </c>
      <c r="F125" s="10" t="inlineStr">
        <is>
          <t>None</t>
        </is>
      </c>
    </row>
    <row r="126">
      <c r="B126" s="16" t="n"/>
      <c r="C126" s="16" t="n"/>
      <c r="D126" s="16" t="n"/>
      <c r="E126" s="16" t="n">
        <v>12</v>
      </c>
      <c r="F126" s="16" t="inlineStr">
        <is>
          <t>NS</t>
        </is>
      </c>
      <c r="G126" s="15" t="n"/>
      <c r="H126" s="15" t="n"/>
      <c r="I126" s="15" t="n"/>
      <c r="J126" s="15" t="n"/>
      <c r="K126" s="15" t="n"/>
      <c r="L126" s="15" t="n"/>
    </row>
    <row r="127">
      <c r="B127" s="10" t="n">
        <v>7</v>
      </c>
      <c r="C127" s="10" t="n">
        <v>12</v>
      </c>
      <c r="D127" s="10" t="n">
        <v>2</v>
      </c>
      <c r="E127" s="10" t="n">
        <v>13</v>
      </c>
      <c r="F127" s="10" t="inlineStr">
        <is>
          <t>Both</t>
        </is>
      </c>
    </row>
    <row r="128">
      <c r="A128" s="15" t="n"/>
      <c r="B128" s="16" t="n"/>
      <c r="C128" s="16" t="n"/>
      <c r="D128" s="16" t="n"/>
      <c r="E128" s="16" t="n">
        <v>14</v>
      </c>
      <c r="F128" s="16" t="inlineStr">
        <is>
          <t>None</t>
        </is>
      </c>
      <c r="G128" s="15" t="n"/>
      <c r="H128" s="15" t="n"/>
      <c r="I128" s="15" t="n"/>
      <c r="J128" s="15" t="n"/>
      <c r="K128" s="15" t="n"/>
      <c r="L128" s="15" t="n"/>
    </row>
    <row r="129">
      <c r="A129" s="10" t="n">
        <v>10</v>
      </c>
      <c r="B129" s="10" t="n">
        <v>1</v>
      </c>
      <c r="C129" s="10" t="n">
        <v>14</v>
      </c>
      <c r="D129" s="10" t="n">
        <v>10</v>
      </c>
      <c r="E129" s="10" t="n">
        <v>19</v>
      </c>
      <c r="F129" s="10" t="inlineStr">
        <is>
          <t>EW</t>
        </is>
      </c>
    </row>
    <row r="130">
      <c r="B130" s="16" t="n"/>
      <c r="C130" s="16" t="n"/>
      <c r="D130" s="16" t="n"/>
      <c r="E130" s="16" t="n">
        <v>20</v>
      </c>
      <c r="F130" s="16" t="inlineStr">
        <is>
          <t>Both</t>
        </is>
      </c>
      <c r="G130" s="15" t="n"/>
      <c r="H130" s="15" t="n"/>
      <c r="I130" s="15" t="n"/>
      <c r="J130" s="15" t="n"/>
      <c r="K130" s="15" t="n"/>
      <c r="L130" s="15" t="n"/>
    </row>
    <row r="131">
      <c r="B131" s="10" t="n">
        <v>2</v>
      </c>
      <c r="C131" s="10" t="n">
        <v>1</v>
      </c>
      <c r="D131" s="10" t="n">
        <v>6</v>
      </c>
      <c r="E131" s="10" t="n">
        <v>23</v>
      </c>
      <c r="F131" s="10" t="inlineStr">
        <is>
          <t>Both</t>
        </is>
      </c>
    </row>
    <row r="132">
      <c r="B132" s="16" t="n"/>
      <c r="C132" s="16" t="n"/>
      <c r="D132" s="16" t="n"/>
      <c r="E132" s="16" t="n">
        <v>24</v>
      </c>
      <c r="F132" s="16" t="inlineStr">
        <is>
          <t>None</t>
        </is>
      </c>
      <c r="G132" s="15" t="n"/>
      <c r="H132" s="15" t="n"/>
      <c r="I132" s="15" t="n"/>
      <c r="J132" s="15" t="n"/>
      <c r="K132" s="15" t="n"/>
      <c r="L132" s="15" t="n"/>
    </row>
    <row r="133">
      <c r="B133" s="10" t="n">
        <v>3</v>
      </c>
      <c r="C133" s="10" t="n">
        <v>11</v>
      </c>
      <c r="D133" s="10" t="n">
        <v>12</v>
      </c>
      <c r="E133" s="10" t="n">
        <v>25</v>
      </c>
      <c r="F133" s="10" t="inlineStr">
        <is>
          <t>EW</t>
        </is>
      </c>
    </row>
    <row r="134">
      <c r="B134" s="16" t="n"/>
      <c r="C134" s="16" t="n"/>
      <c r="D134" s="16" t="n"/>
      <c r="E134" s="16" t="n">
        <v>26</v>
      </c>
      <c r="F134" s="16" t="inlineStr">
        <is>
          <t>Both</t>
        </is>
      </c>
      <c r="G134" s="15" t="n"/>
      <c r="H134" s="15" t="n"/>
      <c r="I134" s="15" t="n"/>
      <c r="J134" s="15" t="n"/>
      <c r="K134" s="15" t="n"/>
      <c r="L134" s="15" t="n"/>
    </row>
    <row r="135">
      <c r="B135" s="10" t="n">
        <v>4</v>
      </c>
      <c r="C135" s="10" t="n">
        <v>5</v>
      </c>
      <c r="D135" s="10" t="n">
        <v>7</v>
      </c>
      <c r="E135" s="10" t="n">
        <v>1</v>
      </c>
      <c r="F135" s="10" t="inlineStr">
        <is>
          <t>None</t>
        </is>
      </c>
    </row>
    <row r="136">
      <c r="B136" s="16" t="n"/>
      <c r="C136" s="16" t="n"/>
      <c r="D136" s="16" t="n"/>
      <c r="E136" s="16" t="n">
        <v>2</v>
      </c>
      <c r="F136" s="16" t="inlineStr">
        <is>
          <t>NS</t>
        </is>
      </c>
      <c r="G136" s="15" t="n"/>
      <c r="H136" s="15" t="n"/>
      <c r="I136" s="15" t="n"/>
      <c r="J136" s="15" t="n"/>
      <c r="K136" s="15" t="n"/>
      <c r="L136" s="15" t="n"/>
    </row>
    <row r="137">
      <c r="B137" s="10" t="n">
        <v>5</v>
      </c>
      <c r="C137" s="10" t="n">
        <v>2</v>
      </c>
      <c r="D137" s="10" t="n">
        <v>9</v>
      </c>
      <c r="E137" s="10" t="n">
        <v>11</v>
      </c>
      <c r="F137" s="10" t="inlineStr">
        <is>
          <t>None</t>
        </is>
      </c>
    </row>
    <row r="138">
      <c r="B138" s="16" t="n"/>
      <c r="C138" s="16" t="n"/>
      <c r="D138" s="16" t="n"/>
      <c r="E138" s="16" t="n">
        <v>12</v>
      </c>
      <c r="F138" s="16" t="inlineStr">
        <is>
          <t>NS</t>
        </is>
      </c>
      <c r="G138" s="15" t="n"/>
      <c r="H138" s="15" t="n"/>
      <c r="I138" s="15" t="n"/>
      <c r="J138" s="15" t="n"/>
      <c r="K138" s="15" t="n"/>
      <c r="L138" s="15" t="n"/>
    </row>
    <row r="139">
      <c r="B139" s="10" t="n">
        <v>6</v>
      </c>
      <c r="C139" s="10" t="n">
        <v>4</v>
      </c>
      <c r="D139" s="10" t="n">
        <v>8</v>
      </c>
      <c r="E139" s="10" t="n">
        <v>13</v>
      </c>
      <c r="F139" s="10" t="inlineStr">
        <is>
          <t>Both</t>
        </is>
      </c>
    </row>
    <row r="140">
      <c r="B140" s="16" t="n"/>
      <c r="C140" s="16" t="n"/>
      <c r="D140" s="16" t="n"/>
      <c r="E140" s="16" t="n">
        <v>14</v>
      </c>
      <c r="F140" s="16" t="inlineStr">
        <is>
          <t>None</t>
        </is>
      </c>
      <c r="G140" s="15" t="n"/>
      <c r="H140" s="15" t="n"/>
      <c r="I140" s="15" t="n"/>
      <c r="J140" s="15" t="n"/>
      <c r="K140" s="15" t="n"/>
      <c r="L140" s="15" t="n"/>
    </row>
    <row r="141">
      <c r="B141" s="10" t="n">
        <v>7</v>
      </c>
      <c r="C141" s="10" t="n">
        <v>13</v>
      </c>
      <c r="D141" s="10" t="n">
        <v>3</v>
      </c>
      <c r="E141" s="10" t="n">
        <v>15</v>
      </c>
      <c r="F141" s="10" t="inlineStr">
        <is>
          <t>NS</t>
        </is>
      </c>
    </row>
    <row r="142">
      <c r="A142" s="15" t="n"/>
      <c r="B142" s="16" t="n"/>
      <c r="C142" s="16" t="n"/>
      <c r="D142" s="16" t="n"/>
      <c r="E142" s="16" t="n">
        <v>16</v>
      </c>
      <c r="F142" s="16" t="inlineStr">
        <is>
          <t>EW</t>
        </is>
      </c>
      <c r="G142" s="15" t="n"/>
      <c r="H142" s="15" t="n"/>
      <c r="I142" s="15" t="n"/>
      <c r="J142" s="15" t="n"/>
      <c r="K142" s="15" t="n"/>
      <c r="L142" s="15" t="n"/>
    </row>
    <row r="143">
      <c r="A143" s="10" t="n">
        <v>11</v>
      </c>
      <c r="B143" s="10" t="n">
        <v>1</v>
      </c>
      <c r="C143" s="10" t="n">
        <v>14</v>
      </c>
      <c r="D143" s="10" t="n">
        <v>11</v>
      </c>
      <c r="E143" s="10" t="n">
        <v>21</v>
      </c>
      <c r="F143" s="10" t="inlineStr">
        <is>
          <t>NS</t>
        </is>
      </c>
    </row>
    <row r="144">
      <c r="B144" s="16" t="n"/>
      <c r="C144" s="16" t="n"/>
      <c r="D144" s="16" t="n"/>
      <c r="E144" s="16" t="n">
        <v>22</v>
      </c>
      <c r="F144" s="16" t="inlineStr">
        <is>
          <t>EW</t>
        </is>
      </c>
      <c r="G144" s="15" t="n"/>
      <c r="H144" s="15" t="n"/>
      <c r="I144" s="15" t="n"/>
      <c r="J144" s="15" t="n"/>
      <c r="K144" s="15" t="n"/>
      <c r="L144" s="15" t="n"/>
    </row>
    <row r="145">
      <c r="B145" s="10" t="n">
        <v>2</v>
      </c>
      <c r="C145" s="10" t="n">
        <v>2</v>
      </c>
      <c r="D145" s="10" t="n">
        <v>7</v>
      </c>
      <c r="E145" s="10" t="n">
        <v>25</v>
      </c>
      <c r="F145" s="10" t="inlineStr">
        <is>
          <t>EW</t>
        </is>
      </c>
    </row>
    <row r="146">
      <c r="B146" s="16" t="n"/>
      <c r="C146" s="16" t="n"/>
      <c r="D146" s="16" t="n"/>
      <c r="E146" s="16" t="n">
        <v>26</v>
      </c>
      <c r="F146" s="16" t="inlineStr">
        <is>
          <t>Both</t>
        </is>
      </c>
      <c r="G146" s="15" t="n"/>
      <c r="H146" s="15" t="n"/>
      <c r="I146" s="15" t="n"/>
      <c r="J146" s="15" t="n"/>
      <c r="K146" s="15" t="n"/>
      <c r="L146" s="15" t="n"/>
    </row>
    <row r="147">
      <c r="B147" s="10" t="n">
        <v>3</v>
      </c>
      <c r="C147" s="10" t="n">
        <v>12</v>
      </c>
      <c r="D147" s="10" t="n">
        <v>13</v>
      </c>
      <c r="E147" s="10" t="n">
        <v>1</v>
      </c>
      <c r="F147" s="10" t="inlineStr">
        <is>
          <t>None</t>
        </is>
      </c>
    </row>
    <row r="148">
      <c r="B148" s="16" t="n"/>
      <c r="C148" s="16" t="n"/>
      <c r="D148" s="16" t="n"/>
      <c r="E148" s="16" t="n">
        <v>2</v>
      </c>
      <c r="F148" s="16" t="inlineStr">
        <is>
          <t>NS</t>
        </is>
      </c>
      <c r="G148" s="15" t="n"/>
      <c r="H148" s="15" t="n"/>
      <c r="I148" s="15" t="n"/>
      <c r="J148" s="15" t="n"/>
      <c r="K148" s="15" t="n"/>
      <c r="L148" s="15" t="n"/>
    </row>
    <row r="149">
      <c r="B149" s="10" t="n">
        <v>4</v>
      </c>
      <c r="C149" s="10" t="n">
        <v>6</v>
      </c>
      <c r="D149" s="10" t="n">
        <v>8</v>
      </c>
      <c r="E149" s="10" t="n">
        <v>3</v>
      </c>
      <c r="F149" s="10" t="inlineStr">
        <is>
          <t>EW</t>
        </is>
      </c>
    </row>
    <row r="150">
      <c r="B150" s="16" t="n"/>
      <c r="C150" s="16" t="n"/>
      <c r="D150" s="16" t="n"/>
      <c r="E150" s="16" t="n">
        <v>4</v>
      </c>
      <c r="F150" s="16" t="inlineStr">
        <is>
          <t>Both</t>
        </is>
      </c>
      <c r="G150" s="15" t="n"/>
      <c r="H150" s="15" t="n"/>
      <c r="I150" s="15" t="n"/>
      <c r="J150" s="15" t="n"/>
      <c r="K150" s="15" t="n"/>
      <c r="L150" s="15" t="n"/>
    </row>
    <row r="151">
      <c r="B151" s="10" t="n">
        <v>5</v>
      </c>
      <c r="C151" s="10" t="n">
        <v>3</v>
      </c>
      <c r="D151" s="10" t="n">
        <v>10</v>
      </c>
      <c r="E151" s="10" t="n">
        <v>13</v>
      </c>
      <c r="F151" s="10" t="inlineStr">
        <is>
          <t>Both</t>
        </is>
      </c>
    </row>
    <row r="152">
      <c r="B152" s="16" t="n"/>
      <c r="C152" s="16" t="n"/>
      <c r="D152" s="16" t="n"/>
      <c r="E152" s="16" t="n">
        <v>14</v>
      </c>
      <c r="F152" s="16" t="inlineStr">
        <is>
          <t>None</t>
        </is>
      </c>
      <c r="G152" s="15" t="n"/>
      <c r="H152" s="15" t="n"/>
      <c r="I152" s="15" t="n"/>
      <c r="J152" s="15" t="n"/>
      <c r="K152" s="15" t="n"/>
      <c r="L152" s="15" t="n"/>
    </row>
    <row r="153">
      <c r="B153" s="10" t="n">
        <v>6</v>
      </c>
      <c r="C153" s="10" t="n">
        <v>5</v>
      </c>
      <c r="D153" s="10" t="n">
        <v>9</v>
      </c>
      <c r="E153" s="10" t="n">
        <v>15</v>
      </c>
      <c r="F153" s="10" t="inlineStr">
        <is>
          <t>NS</t>
        </is>
      </c>
    </row>
    <row r="154">
      <c r="B154" s="16" t="n"/>
      <c r="C154" s="16" t="n"/>
      <c r="D154" s="16" t="n"/>
      <c r="E154" s="16" t="n">
        <v>16</v>
      </c>
      <c r="F154" s="16" t="inlineStr">
        <is>
          <t>EW</t>
        </is>
      </c>
      <c r="G154" s="15" t="n"/>
      <c r="H154" s="15" t="n"/>
      <c r="I154" s="15" t="n"/>
      <c r="J154" s="15" t="n"/>
      <c r="K154" s="15" t="n"/>
      <c r="L154" s="15" t="n"/>
    </row>
    <row r="155">
      <c r="B155" s="10" t="n">
        <v>7</v>
      </c>
      <c r="C155" s="10" t="n">
        <v>1</v>
      </c>
      <c r="D155" s="10" t="n">
        <v>4</v>
      </c>
      <c r="E155" s="10" t="n">
        <v>17</v>
      </c>
      <c r="F155" s="10" t="inlineStr">
        <is>
          <t>None</t>
        </is>
      </c>
    </row>
    <row r="156">
      <c r="A156" s="15" t="n"/>
      <c r="B156" s="16" t="n"/>
      <c r="C156" s="16" t="n"/>
      <c r="D156" s="16" t="n"/>
      <c r="E156" s="16" t="n">
        <v>18</v>
      </c>
      <c r="F156" s="16" t="inlineStr">
        <is>
          <t>NS</t>
        </is>
      </c>
      <c r="G156" s="15" t="n"/>
      <c r="H156" s="15" t="n"/>
      <c r="I156" s="15" t="n"/>
      <c r="J156" s="15" t="n"/>
      <c r="K156" s="15" t="n"/>
      <c r="L156" s="15" t="n"/>
    </row>
    <row r="157">
      <c r="A157" s="10" t="n">
        <v>12</v>
      </c>
      <c r="B157" s="10" t="n">
        <v>1</v>
      </c>
      <c r="C157" s="10" t="n">
        <v>14</v>
      </c>
      <c r="D157" s="10" t="n">
        <v>12</v>
      </c>
      <c r="E157" s="10" t="n">
        <v>23</v>
      </c>
      <c r="F157" s="10" t="inlineStr">
        <is>
          <t>Both</t>
        </is>
      </c>
    </row>
    <row r="158">
      <c r="B158" s="16" t="n"/>
      <c r="C158" s="16" t="n"/>
      <c r="D158" s="16" t="n"/>
      <c r="E158" s="16" t="n">
        <v>24</v>
      </c>
      <c r="F158" s="16" t="inlineStr">
        <is>
          <t>None</t>
        </is>
      </c>
      <c r="G158" s="15" t="n"/>
      <c r="H158" s="15" t="n"/>
      <c r="I158" s="15" t="n"/>
      <c r="J158" s="15" t="n"/>
      <c r="K158" s="15" t="n"/>
      <c r="L158" s="15" t="n"/>
    </row>
    <row r="159">
      <c r="B159" s="10" t="n">
        <v>2</v>
      </c>
      <c r="C159" s="10" t="n">
        <v>3</v>
      </c>
      <c r="D159" s="10" t="n">
        <v>8</v>
      </c>
      <c r="E159" s="10" t="n">
        <v>1</v>
      </c>
      <c r="F159" s="10" t="inlineStr">
        <is>
          <t>None</t>
        </is>
      </c>
    </row>
    <row r="160">
      <c r="B160" s="16" t="n"/>
      <c r="C160" s="16" t="n"/>
      <c r="D160" s="16" t="n"/>
      <c r="E160" s="16" t="n">
        <v>2</v>
      </c>
      <c r="F160" s="16" t="inlineStr">
        <is>
          <t>NS</t>
        </is>
      </c>
      <c r="G160" s="15" t="n"/>
      <c r="H160" s="15" t="n"/>
      <c r="I160" s="15" t="n"/>
      <c r="J160" s="15" t="n"/>
      <c r="K160" s="15" t="n"/>
      <c r="L160" s="15" t="n"/>
    </row>
    <row r="161">
      <c r="B161" s="10" t="n">
        <v>3</v>
      </c>
      <c r="C161" s="10" t="n">
        <v>13</v>
      </c>
      <c r="D161" s="10" t="n">
        <v>1</v>
      </c>
      <c r="E161" s="10" t="n">
        <v>3</v>
      </c>
      <c r="F161" s="10" t="inlineStr">
        <is>
          <t>EW</t>
        </is>
      </c>
    </row>
    <row r="162">
      <c r="B162" s="16" t="n"/>
      <c r="C162" s="16" t="n"/>
      <c r="D162" s="16" t="n"/>
      <c r="E162" s="16" t="n">
        <v>4</v>
      </c>
      <c r="F162" s="16" t="inlineStr">
        <is>
          <t>Both</t>
        </is>
      </c>
      <c r="G162" s="15" t="n"/>
      <c r="H162" s="15" t="n"/>
      <c r="I162" s="15" t="n"/>
      <c r="J162" s="15" t="n"/>
      <c r="K162" s="15" t="n"/>
      <c r="L162" s="15" t="n"/>
    </row>
    <row r="163">
      <c r="B163" s="10" t="n">
        <v>4</v>
      </c>
      <c r="C163" s="10" t="n">
        <v>7</v>
      </c>
      <c r="D163" s="10" t="n">
        <v>9</v>
      </c>
      <c r="E163" s="10" t="n">
        <v>5</v>
      </c>
      <c r="F163" s="10" t="inlineStr">
        <is>
          <t>NS</t>
        </is>
      </c>
    </row>
    <row r="164">
      <c r="B164" s="16" t="n"/>
      <c r="C164" s="16" t="n"/>
      <c r="D164" s="16" t="n"/>
      <c r="E164" s="16" t="n">
        <v>6</v>
      </c>
      <c r="F164" s="16" t="inlineStr">
        <is>
          <t>EW</t>
        </is>
      </c>
      <c r="G164" s="15" t="n"/>
      <c r="H164" s="15" t="n"/>
      <c r="I164" s="15" t="n"/>
      <c r="J164" s="15" t="n"/>
      <c r="K164" s="15" t="n"/>
      <c r="L164" s="15" t="n"/>
    </row>
    <row r="165">
      <c r="B165" s="10" t="n">
        <v>5</v>
      </c>
      <c r="C165" s="10" t="n">
        <v>4</v>
      </c>
      <c r="D165" s="10" t="n">
        <v>11</v>
      </c>
      <c r="E165" s="10" t="n">
        <v>15</v>
      </c>
      <c r="F165" s="10" t="inlineStr">
        <is>
          <t>NS</t>
        </is>
      </c>
    </row>
    <row r="166">
      <c r="B166" s="16" t="n"/>
      <c r="C166" s="16" t="n"/>
      <c r="D166" s="16" t="n"/>
      <c r="E166" s="16" t="n">
        <v>16</v>
      </c>
      <c r="F166" s="16" t="inlineStr">
        <is>
          <t>EW</t>
        </is>
      </c>
      <c r="G166" s="15" t="n"/>
      <c r="H166" s="15" t="n"/>
      <c r="I166" s="15" t="n"/>
      <c r="J166" s="15" t="n"/>
      <c r="K166" s="15" t="n"/>
      <c r="L166" s="15" t="n"/>
    </row>
    <row r="167">
      <c r="B167" s="10" t="n">
        <v>6</v>
      </c>
      <c r="C167" s="10" t="n">
        <v>6</v>
      </c>
      <c r="D167" s="10" t="n">
        <v>10</v>
      </c>
      <c r="E167" s="10" t="n">
        <v>17</v>
      </c>
      <c r="F167" s="10" t="inlineStr">
        <is>
          <t>None</t>
        </is>
      </c>
    </row>
    <row r="168">
      <c r="B168" s="16" t="n"/>
      <c r="C168" s="16" t="n"/>
      <c r="D168" s="16" t="n"/>
      <c r="E168" s="16" t="n">
        <v>18</v>
      </c>
      <c r="F168" s="16" t="inlineStr">
        <is>
          <t>NS</t>
        </is>
      </c>
      <c r="G168" s="15" t="n"/>
      <c r="H168" s="15" t="n"/>
      <c r="I168" s="15" t="n"/>
      <c r="J168" s="15" t="n"/>
      <c r="K168" s="15" t="n"/>
      <c r="L168" s="15" t="n"/>
    </row>
    <row r="169">
      <c r="B169" s="10" t="n">
        <v>7</v>
      </c>
      <c r="C169" s="10" t="n">
        <v>2</v>
      </c>
      <c r="D169" s="10" t="n">
        <v>5</v>
      </c>
      <c r="E169" s="10" t="n">
        <v>19</v>
      </c>
      <c r="F169" s="10" t="inlineStr">
        <is>
          <t>EW</t>
        </is>
      </c>
    </row>
    <row r="170">
      <c r="A170" s="15" t="n"/>
      <c r="B170" s="16" t="n"/>
      <c r="C170" s="16" t="n"/>
      <c r="D170" s="16" t="n"/>
      <c r="E170" s="16" t="n">
        <v>20</v>
      </c>
      <c r="F170" s="16" t="inlineStr">
        <is>
          <t>Both</t>
        </is>
      </c>
      <c r="G170" s="15" t="n"/>
      <c r="H170" s="15" t="n"/>
      <c r="I170" s="15" t="n"/>
      <c r="J170" s="15" t="n"/>
      <c r="K170" s="15" t="n"/>
      <c r="L170" s="15" t="n"/>
    </row>
    <row r="171">
      <c r="A171" s="10" t="n">
        <v>13</v>
      </c>
      <c r="B171" s="10" t="n">
        <v>1</v>
      </c>
      <c r="C171" s="10" t="n">
        <v>14</v>
      </c>
      <c r="D171" s="10" t="n">
        <v>13</v>
      </c>
      <c r="E171" s="10" t="n">
        <v>25</v>
      </c>
      <c r="F171" s="10" t="inlineStr">
        <is>
          <t>EW</t>
        </is>
      </c>
    </row>
    <row r="172">
      <c r="B172" s="16" t="n"/>
      <c r="C172" s="16" t="n"/>
      <c r="D172" s="16" t="n"/>
      <c r="E172" s="16" t="n">
        <v>26</v>
      </c>
      <c r="F172" s="16" t="inlineStr">
        <is>
          <t>Both</t>
        </is>
      </c>
      <c r="G172" s="15" t="n"/>
      <c r="H172" s="15" t="n"/>
      <c r="I172" s="15" t="n"/>
      <c r="J172" s="15" t="n"/>
      <c r="K172" s="15" t="n"/>
      <c r="L172" s="15" t="n"/>
    </row>
    <row r="173">
      <c r="B173" s="10" t="n">
        <v>2</v>
      </c>
      <c r="C173" s="10" t="n">
        <v>4</v>
      </c>
      <c r="D173" s="10" t="n">
        <v>9</v>
      </c>
      <c r="E173" s="10" t="n">
        <v>3</v>
      </c>
      <c r="F173" s="10" t="inlineStr">
        <is>
          <t>EW</t>
        </is>
      </c>
    </row>
    <row r="174">
      <c r="B174" s="16" t="n"/>
      <c r="C174" s="16" t="n"/>
      <c r="D174" s="16" t="n"/>
      <c r="E174" s="16" t="n">
        <v>4</v>
      </c>
      <c r="F174" s="16" t="inlineStr">
        <is>
          <t>Both</t>
        </is>
      </c>
      <c r="G174" s="15" t="n"/>
      <c r="H174" s="15" t="n"/>
      <c r="I174" s="15" t="n"/>
      <c r="J174" s="15" t="n"/>
      <c r="K174" s="15" t="n"/>
      <c r="L174" s="15" t="n"/>
    </row>
    <row r="175">
      <c r="B175" s="10" t="n">
        <v>3</v>
      </c>
      <c r="C175" s="10" t="n">
        <v>1</v>
      </c>
      <c r="D175" s="10" t="n">
        <v>2</v>
      </c>
      <c r="E175" s="10" t="n">
        <v>5</v>
      </c>
      <c r="F175" s="10" t="inlineStr">
        <is>
          <t>NS</t>
        </is>
      </c>
    </row>
    <row r="176">
      <c r="B176" s="16" t="n"/>
      <c r="C176" s="16" t="n"/>
      <c r="D176" s="16" t="n"/>
      <c r="E176" s="16" t="n">
        <v>6</v>
      </c>
      <c r="F176" s="16" t="inlineStr">
        <is>
          <t>EW</t>
        </is>
      </c>
      <c r="G176" s="15" t="n"/>
      <c r="H176" s="15" t="n"/>
      <c r="I176" s="15" t="n"/>
      <c r="J176" s="15" t="n"/>
      <c r="K176" s="15" t="n"/>
      <c r="L176" s="15" t="n"/>
    </row>
    <row r="177">
      <c r="B177" s="10" t="n">
        <v>4</v>
      </c>
      <c r="C177" s="10" t="n">
        <v>8</v>
      </c>
      <c r="D177" s="10" t="n">
        <v>10</v>
      </c>
      <c r="E177" s="10" t="n">
        <v>7</v>
      </c>
      <c r="F177" s="10" t="inlineStr">
        <is>
          <t>Both</t>
        </is>
      </c>
    </row>
    <row r="178">
      <c r="B178" s="16" t="n"/>
      <c r="C178" s="16" t="n"/>
      <c r="D178" s="16" t="n"/>
      <c r="E178" s="16" t="n">
        <v>8</v>
      </c>
      <c r="F178" s="16" t="inlineStr">
        <is>
          <t>None</t>
        </is>
      </c>
      <c r="G178" s="15" t="n"/>
      <c r="H178" s="15" t="n"/>
      <c r="I178" s="15" t="n"/>
      <c r="J178" s="15" t="n"/>
      <c r="K178" s="15" t="n"/>
      <c r="L178" s="15" t="n"/>
    </row>
    <row r="179">
      <c r="B179" s="10" t="n">
        <v>5</v>
      </c>
      <c r="C179" s="10" t="n">
        <v>5</v>
      </c>
      <c r="D179" s="10" t="n">
        <v>12</v>
      </c>
      <c r="E179" s="10" t="n">
        <v>17</v>
      </c>
      <c r="F179" s="10" t="inlineStr">
        <is>
          <t>None</t>
        </is>
      </c>
    </row>
    <row r="180">
      <c r="B180" s="16" t="n"/>
      <c r="C180" s="16" t="n"/>
      <c r="D180" s="16" t="n"/>
      <c r="E180" s="16" t="n">
        <v>18</v>
      </c>
      <c r="F180" s="16" t="inlineStr">
        <is>
          <t>NS</t>
        </is>
      </c>
      <c r="G180" s="15" t="n"/>
      <c r="H180" s="15" t="n"/>
      <c r="I180" s="15" t="n"/>
      <c r="J180" s="15" t="n"/>
      <c r="K180" s="15" t="n"/>
      <c r="L180" s="15" t="n"/>
    </row>
    <row r="181">
      <c r="B181" s="10" t="n">
        <v>6</v>
      </c>
      <c r="C181" s="10" t="n">
        <v>7</v>
      </c>
      <c r="D181" s="10" t="n">
        <v>11</v>
      </c>
      <c r="E181" s="10" t="n">
        <v>19</v>
      </c>
      <c r="F181" s="10" t="inlineStr">
        <is>
          <t>EW</t>
        </is>
      </c>
    </row>
    <row r="182">
      <c r="B182" s="16" t="n"/>
      <c r="C182" s="16" t="n"/>
      <c r="D182" s="16" t="n"/>
      <c r="E182" s="16" t="n">
        <v>20</v>
      </c>
      <c r="F182" s="16" t="inlineStr">
        <is>
          <t>Both</t>
        </is>
      </c>
      <c r="G182" s="15" t="n"/>
      <c r="H182" s="15" t="n"/>
      <c r="I182" s="15" t="n"/>
      <c r="J182" s="15" t="n"/>
      <c r="K182" s="15" t="n"/>
      <c r="L182" s="15" t="n"/>
    </row>
    <row r="183">
      <c r="B183" s="10" t="n">
        <v>7</v>
      </c>
      <c r="C183" s="10" t="n">
        <v>3</v>
      </c>
      <c r="D183" s="10" t="n">
        <v>6</v>
      </c>
      <c r="E183" s="10" t="n">
        <v>21</v>
      </c>
      <c r="F183" s="10" t="inlineStr">
        <is>
          <t>NS</t>
        </is>
      </c>
    </row>
    <row r="184">
      <c r="A184" s="15" t="n"/>
      <c r="B184" s="16" t="n"/>
      <c r="C184" s="16" t="n"/>
      <c r="D184" s="16" t="n"/>
      <c r="E184" s="16" t="n">
        <v>22</v>
      </c>
      <c r="F184" s="16" t="inlineStr">
        <is>
          <t>EW</t>
        </is>
      </c>
      <c r="G184" s="15" t="n"/>
      <c r="H184" s="15" t="n"/>
      <c r="I184" s="15" t="n"/>
      <c r="J184" s="15" t="n"/>
      <c r="K184" s="15" t="n"/>
      <c r="L184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2026-03-08T17:16:07Z</dcterms:created>
  <dcterms:modified xsi:type="dcterms:W3CDTF">2026-03-08T17:16:07Z</dcterms:modified>
</cp:coreProperties>
</file>