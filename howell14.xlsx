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64</t>
        </is>
      </c>
      <c r="C10" t="inlineStr">
        <is>
          <t>Name 44</t>
        </is>
      </c>
      <c r="D10" s="4">
        <f>SUMIF('By Board'!$D$3:$D$184,"=1",'By Board'!$N$3:$N$184)/26+SUMIF('By Board'!$E$3:$E$184,"=1",'By Board'!$O$3:$O$184)/26</f>
        <v/>
      </c>
      <c r="E10" s="5">
        <f>SUMIF('By Board'!$D$3:$D$184,"=1",'By Board'!$L$3:$L$184)+SUMIF('By Board'!$E$3:$E$184,"=1",'By Board'!$M$3:$M$184)</f>
        <v/>
      </c>
    </row>
    <row r="11">
      <c r="A11" s="2" t="n">
        <v>2</v>
      </c>
      <c r="B11" t="inlineStr">
        <is>
          <t>Name 56</t>
        </is>
      </c>
      <c r="C11" t="inlineStr">
        <is>
          <t>Name 32</t>
        </is>
      </c>
      <c r="D11" s="4">
        <f>SUMIF('By Board'!$D$3:$D$184,"=2",'By Board'!$N$3:$N$184)/26+SUMIF('By Board'!$E$3:$E$184,"=2",'By Board'!$O$3:$O$184)/26</f>
        <v/>
      </c>
      <c r="E11" s="5">
        <f>SUMIF('By Board'!$D$3:$D$184,"=2",'By Board'!$L$3:$L$184)+SUMIF('By Board'!$E$3:$E$184,"=2",'By Board'!$M$3:$M$184)</f>
        <v/>
      </c>
    </row>
    <row r="12">
      <c r="A12" s="2" t="n">
        <v>3</v>
      </c>
      <c r="B12" t="inlineStr">
        <is>
          <t>Name 88</t>
        </is>
      </c>
      <c r="C12" t="inlineStr">
        <is>
          <t>Name 18</t>
        </is>
      </c>
      <c r="D12" s="4">
        <f>SUMIF('By Board'!$D$3:$D$184,"=3",'By Board'!$N$3:$N$184)/26+SUMIF('By Board'!$E$3:$E$184,"=3",'By Board'!$O$3:$O$184)/26</f>
        <v/>
      </c>
      <c r="E12" s="5">
        <f>SUMIF('By Board'!$D$3:$D$184,"=3",'By Board'!$L$3:$L$184)+SUMIF('By Board'!$E$3:$E$184,"=3",'By Board'!$M$3:$M$184)</f>
        <v/>
      </c>
    </row>
    <row r="13">
      <c r="A13" s="2" t="n">
        <v>4</v>
      </c>
      <c r="B13" t="inlineStr">
        <is>
          <t>Name 24</t>
        </is>
      </c>
      <c r="C13" t="inlineStr">
        <is>
          <t>Name 56</t>
        </is>
      </c>
      <c r="D13" s="4">
        <f>SUMIF('By Board'!$D$3:$D$184,"=4",'By Board'!$N$3:$N$184)/26+SUMIF('By Board'!$E$3:$E$184,"=4",'By Board'!$O$3:$O$184)/26</f>
        <v/>
      </c>
      <c r="E13" s="5">
        <f>SUMIF('By Board'!$D$3:$D$184,"=4",'By Board'!$L$3:$L$184)+SUMIF('By Board'!$E$3:$E$184,"=4",'By Board'!$M$3:$M$184)</f>
        <v/>
      </c>
    </row>
    <row r="14">
      <c r="A14" s="2" t="n">
        <v>5</v>
      </c>
      <c r="B14" t="inlineStr">
        <is>
          <t>Name 12</t>
        </is>
      </c>
      <c r="C14" t="inlineStr">
        <is>
          <t>Name 34</t>
        </is>
      </c>
      <c r="D14" s="4">
        <f>SUMIF('By Board'!$D$3:$D$184,"=5",'By Board'!$N$3:$N$184)/26+SUMIF('By Board'!$E$3:$E$184,"=5",'By Board'!$O$3:$O$184)/26</f>
        <v/>
      </c>
      <c r="E14" s="5">
        <f>SUMIF('By Board'!$D$3:$D$184,"=5",'By Board'!$L$3:$L$184)+SUMIF('By Board'!$E$3:$E$184,"=5",'By Board'!$M$3:$M$184)</f>
        <v/>
      </c>
    </row>
    <row r="15">
      <c r="A15" s="2" t="n">
        <v>6</v>
      </c>
      <c r="B15" t="inlineStr">
        <is>
          <t>Name 35</t>
        </is>
      </c>
      <c r="C15" t="inlineStr">
        <is>
          <t>Name 39</t>
        </is>
      </c>
      <c r="D15" s="4">
        <f>SUMIF('By Board'!$D$3:$D$184,"=6",'By Board'!$N$3:$N$184)/26+SUMIF('By Board'!$E$3:$E$184,"=6",'By Board'!$O$3:$O$184)/26</f>
        <v/>
      </c>
      <c r="E15" s="5">
        <f>SUMIF('By Board'!$D$3:$D$184,"=6",'By Board'!$L$3:$L$184)+SUMIF('By Board'!$E$3:$E$184,"=6",'By Board'!$M$3:$M$184)</f>
        <v/>
      </c>
    </row>
    <row r="16">
      <c r="A16" s="2" t="n">
        <v>7</v>
      </c>
      <c r="B16" t="inlineStr">
        <is>
          <t>Name 39</t>
        </is>
      </c>
      <c r="C16" t="inlineStr">
        <is>
          <t>Name 82</t>
        </is>
      </c>
      <c r="D16" s="4">
        <f>SUMIF('By Board'!$D$3:$D$184,"=7",'By Board'!$N$3:$N$184)/26+SUMIF('By Board'!$E$3:$E$184,"=7",'By Board'!$O$3:$O$184)/26</f>
        <v/>
      </c>
      <c r="E16" s="5">
        <f>SUMIF('By Board'!$D$3:$D$184,"=7",'By Board'!$L$3:$L$184)+SUMIF('By Board'!$E$3:$E$184,"=7",'By Board'!$M$3:$M$184)</f>
        <v/>
      </c>
    </row>
    <row r="17">
      <c r="A17" s="2" t="n">
        <v>8</v>
      </c>
      <c r="B17" t="inlineStr">
        <is>
          <t>Name 83</t>
        </is>
      </c>
      <c r="C17" t="inlineStr">
        <is>
          <t>Name 36</t>
        </is>
      </c>
      <c r="D17" s="4">
        <f>SUMIF('By Board'!$D$3:$D$184,"=8",'By Board'!$N$3:$N$184)/26+SUMIF('By Board'!$E$3:$E$184,"=8",'By Board'!$O$3:$O$184)/26</f>
        <v/>
      </c>
      <c r="E17" s="5">
        <f>SUMIF('By Board'!$D$3:$D$184,"=8",'By Board'!$L$3:$L$184)+SUMIF('By Board'!$E$3:$E$184,"=8",'By Board'!$M$3:$M$184)</f>
        <v/>
      </c>
    </row>
    <row r="18">
      <c r="A18" s="2" t="n">
        <v>9</v>
      </c>
      <c r="B18" t="inlineStr">
        <is>
          <t>Name 25</t>
        </is>
      </c>
      <c r="C18" t="inlineStr">
        <is>
          <t>Name 88</t>
        </is>
      </c>
      <c r="D18" s="4">
        <f>SUMIF('By Board'!$D$3:$D$184,"=9",'By Board'!$N$3:$N$184)/26+SUMIF('By Board'!$E$3:$E$184,"=9",'By Board'!$O$3:$O$184)/26</f>
        <v/>
      </c>
      <c r="E18" s="5">
        <f>SUMIF('By Board'!$D$3:$D$184,"=9",'By Board'!$L$3:$L$184)+SUMIF('By Board'!$E$3:$E$184,"=9",'By Board'!$M$3:$M$184)</f>
        <v/>
      </c>
    </row>
    <row r="19">
      <c r="A19" s="2" t="n">
        <v>10</v>
      </c>
      <c r="B19" t="inlineStr">
        <is>
          <t>Name 64</t>
        </is>
      </c>
      <c r="C19" t="inlineStr">
        <is>
          <t>Name 70</t>
        </is>
      </c>
      <c r="D19" s="4">
        <f>SUMIF('By Board'!$D$3:$D$184,"=10",'By Board'!$N$3:$N$184)/26+SUMIF('By Board'!$E$3:$E$184,"=10",'By Board'!$O$3:$O$184)/26</f>
        <v/>
      </c>
      <c r="E19" s="5">
        <f>SUMIF('By Board'!$D$3:$D$184,"=10",'By Board'!$L$3:$L$184)+SUMIF('By Board'!$E$3:$E$184,"=10",'By Board'!$M$3:$M$184)</f>
        <v/>
      </c>
    </row>
    <row r="20">
      <c r="A20" s="2" t="n">
        <v>11</v>
      </c>
      <c r="B20" t="inlineStr">
        <is>
          <t>Name 80</t>
        </is>
      </c>
      <c r="C20" t="inlineStr">
        <is>
          <t>Name 90</t>
        </is>
      </c>
      <c r="D20" s="4">
        <f>SUMIF('By Board'!$D$3:$D$184,"=11",'By Board'!$N$3:$N$184)/26+SUMIF('By Board'!$E$3:$E$184,"=11",'By Board'!$O$3:$O$184)/26</f>
        <v/>
      </c>
      <c r="E20" s="5">
        <f>SUMIF('By Board'!$D$3:$D$184,"=11",'By Board'!$L$3:$L$184)+SUMIF('By Board'!$E$3:$E$184,"=11",'By Board'!$M$3:$M$184)</f>
        <v/>
      </c>
    </row>
    <row r="21">
      <c r="A21" s="2" t="n">
        <v>12</v>
      </c>
      <c r="B21" t="inlineStr">
        <is>
          <t>Name 44</t>
        </is>
      </c>
      <c r="C21" t="inlineStr">
        <is>
          <t>Name 82</t>
        </is>
      </c>
      <c r="D21" s="4">
        <f>SUMIF('By Board'!$D$3:$D$184,"=12",'By Board'!$N$3:$N$184)/26+SUMIF('By Board'!$E$3:$E$184,"=12",'By Board'!$O$3:$O$184)/26</f>
        <v/>
      </c>
      <c r="E21" s="5">
        <f>SUMIF('By Board'!$D$3:$D$184,"=12",'By Board'!$L$3:$L$184)+SUMIF('By Board'!$E$3:$E$184,"=12",'By Board'!$M$3:$M$184)</f>
        <v/>
      </c>
    </row>
    <row r="22">
      <c r="A22" s="2" t="n">
        <v>13</v>
      </c>
      <c r="B22" t="inlineStr">
        <is>
          <t>Name 35</t>
        </is>
      </c>
      <c r="C22" t="inlineStr">
        <is>
          <t>Name 33</t>
        </is>
      </c>
      <c r="D22" s="4">
        <f>SUMIF('By Board'!$D$3:$D$184,"=13",'By Board'!$N$3:$N$184)/26+SUMIF('By Board'!$E$3:$E$184,"=13",'By Board'!$O$3:$O$184)/26</f>
        <v/>
      </c>
      <c r="E22" s="5">
        <f>SUMIF('By Board'!$D$3:$D$184,"=13",'By Board'!$L$3:$L$184)+SUMIF('By Board'!$E$3:$E$184,"=13",'By Board'!$M$3:$M$184)</f>
        <v/>
      </c>
    </row>
    <row r="23">
      <c r="A23" s="2" t="n">
        <v>14</v>
      </c>
      <c r="B23" t="inlineStr">
        <is>
          <t>Name 35</t>
        </is>
      </c>
      <c r="C23" t="inlineStr">
        <is>
          <t>Name 81</t>
        </is>
      </c>
      <c r="D23" s="4">
        <f>SUMIF('By Board'!$D$3:$D$184,"=14",'By Board'!$N$3:$N$184)/26+0/26</f>
        <v/>
      </c>
      <c r="E23" s="5">
        <f>SUMIF('By Board'!$D$3:$D$184,"=14",'By Board'!$L$3:$L$184)+0</f>
        <v/>
      </c>
    </row>
    <row r="24">
      <c r="D24" s="6">
        <f>AVERAGE(D10:D23)</f>
        <v/>
      </c>
      <c r="E24" s="7">
        <f>SUM(E10:E23)</f>
        <v/>
      </c>
    </row>
    <row r="26">
      <c r="A26" t="inlineStr">
        <is>
          <t>To sort, remove single quote below</t>
        </is>
      </c>
    </row>
    <row r="27">
      <c r="A27" s="2" t="inlineStr">
        <is>
          <t>IMP Ranking</t>
        </is>
      </c>
    </row>
    <row r="28">
      <c r="A28" t="inlineStr">
        <is>
          <t>'=SORT(A10:E23,4,-1)</t>
        </is>
      </c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6">
      <c r="A46" s="2" t="inlineStr">
        <is>
          <t>MP Ranking</t>
        </is>
      </c>
    </row>
    <row r="47">
      <c r="A47" t="inlineStr">
        <is>
          <t>'=SORT(A10:E23,5,-1)</t>
        </is>
      </c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  <row r="58">
      <c r="D58" s="5" t="n"/>
      <c r="E58" s="8" t="n"/>
    </row>
    <row r="59">
      <c r="D59" s="5" t="n"/>
      <c r="E59" s="8" t="n"/>
    </row>
    <row r="60">
      <c r="D60" s="5" t="n"/>
      <c r="E60" s="8" t="n"/>
    </row>
  </sheetData>
  <mergeCells count="9">
    <mergeCell ref="A4:B4"/>
    <mergeCell ref="A7:B7"/>
    <mergeCell ref="A2:E2"/>
    <mergeCell ref="A5:B5"/>
    <mergeCell ref="A9:C9"/>
    <mergeCell ref="A46:E46"/>
    <mergeCell ref="A3:B3"/>
    <mergeCell ref="A6:B6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14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14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14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14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14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14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14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14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14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14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14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14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14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2026-02-06T19:39:30Z</dcterms:created>
  <dcterms:modified xsi:type="dcterms:W3CDTF">2026-02-06T19:39:30Z</dcterms:modified>
</cp:coreProperties>
</file>