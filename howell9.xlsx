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25</t>
        </is>
      </c>
      <c r="C10" t="inlineStr">
        <is>
          <t>Name 51</t>
        </is>
      </c>
      <c r="D10" s="4">
        <f>SUMIF('By Board'!$D$3:$D$82,"=1",'By Board'!$N$3:$N$82)/16+SUMIF('By Board'!$E$3:$E$82,"=1",'By Board'!$O$3:$O$82)/16</f>
        <v/>
      </c>
      <c r="E10" s="5">
        <f>SUMIF('By Board'!$D$3:$D$82,"=1",'By Board'!$L$3:$L$82)+SUMIF('By Board'!$E$3:$E$82,"=1",'By Board'!$M$3:$M$82)</f>
        <v/>
      </c>
    </row>
    <row r="11">
      <c r="A11" s="2" t="n">
        <v>2</v>
      </c>
      <c r="B11" t="inlineStr">
        <is>
          <t>Name 23</t>
        </is>
      </c>
      <c r="C11" t="inlineStr">
        <is>
          <t>Name 16</t>
        </is>
      </c>
      <c r="D11" s="4">
        <f>SUMIF('By Board'!$D$3:$D$82,"=2",'By Board'!$N$3:$N$82)/16+SUMIF('By Board'!$E$3:$E$82,"=2",'By Board'!$O$3:$O$82)/16</f>
        <v/>
      </c>
      <c r="E11" s="5">
        <f>SUMIF('By Board'!$D$3:$D$82,"=2",'By Board'!$L$3:$L$82)+SUMIF('By Board'!$E$3:$E$82,"=2",'By Board'!$M$3:$M$82)</f>
        <v/>
      </c>
    </row>
    <row r="12">
      <c r="A12" s="2" t="n">
        <v>3</v>
      </c>
      <c r="B12" t="inlineStr">
        <is>
          <t>Name 17</t>
        </is>
      </c>
      <c r="C12" t="inlineStr">
        <is>
          <t>Name 31</t>
        </is>
      </c>
      <c r="D12" s="4">
        <f>SUMIF('By Board'!$D$3:$D$82,"=3",'By Board'!$N$3:$N$82)/16+SUMIF('By Board'!$E$3:$E$82,"=3",'By Board'!$O$3:$O$82)/16</f>
        <v/>
      </c>
      <c r="E12" s="5">
        <f>SUMIF('By Board'!$D$3:$D$82,"=3",'By Board'!$L$3:$L$82)+SUMIF('By Board'!$E$3:$E$82,"=3",'By Board'!$M$3:$M$82)</f>
        <v/>
      </c>
    </row>
    <row r="13">
      <c r="A13" s="2" t="n">
        <v>4</v>
      </c>
      <c r="B13" t="inlineStr">
        <is>
          <t>Name 17</t>
        </is>
      </c>
      <c r="C13" t="inlineStr">
        <is>
          <t>Name 36</t>
        </is>
      </c>
      <c r="D13" s="4">
        <f>SUMIF('By Board'!$D$3:$D$82,"=4",'By Board'!$N$3:$N$82)/16+SUMIF('By Board'!$E$3:$E$82,"=4",'By Board'!$O$3:$O$82)/16</f>
        <v/>
      </c>
      <c r="E13" s="5">
        <f>SUMIF('By Board'!$D$3:$D$82,"=4",'By Board'!$L$3:$L$82)+SUMIF('By Board'!$E$3:$E$82,"=4",'By Board'!$M$3:$M$82)</f>
        <v/>
      </c>
    </row>
    <row r="14">
      <c r="A14" s="2" t="n">
        <v>5</v>
      </c>
      <c r="B14" t="inlineStr">
        <is>
          <t>Name 49</t>
        </is>
      </c>
      <c r="C14" t="inlineStr">
        <is>
          <t>Name 24</t>
        </is>
      </c>
      <c r="D14" s="4">
        <f>SUMIF('By Board'!$D$3:$D$82,"=5",'By Board'!$N$3:$N$82)/16+SUMIF('By Board'!$E$3:$E$82,"=5",'By Board'!$O$3:$O$82)/16</f>
        <v/>
      </c>
      <c r="E14" s="5">
        <f>SUMIF('By Board'!$D$3:$D$82,"=5",'By Board'!$L$3:$L$82)+SUMIF('By Board'!$E$3:$E$82,"=5",'By Board'!$M$3:$M$82)</f>
        <v/>
      </c>
    </row>
    <row r="15">
      <c r="A15" s="2" t="n">
        <v>6</v>
      </c>
      <c r="B15" t="inlineStr">
        <is>
          <t>Name 27</t>
        </is>
      </c>
      <c r="C15" t="inlineStr">
        <is>
          <t>Name 31</t>
        </is>
      </c>
      <c r="D15" s="4">
        <f>SUMIF('By Board'!$D$3:$D$82,"=6",'By Board'!$N$3:$N$82)/16+SUMIF('By Board'!$E$3:$E$82,"=6",'By Board'!$O$3:$O$82)/16</f>
        <v/>
      </c>
      <c r="E15" s="5">
        <f>SUMIF('By Board'!$D$3:$D$82,"=6",'By Board'!$L$3:$L$82)+SUMIF('By Board'!$E$3:$E$82,"=6",'By Board'!$M$3:$M$82)</f>
        <v/>
      </c>
    </row>
    <row r="16">
      <c r="A16" s="2" t="n">
        <v>7</v>
      </c>
      <c r="B16" t="inlineStr">
        <is>
          <t>Name 75</t>
        </is>
      </c>
      <c r="C16" t="inlineStr">
        <is>
          <t>Name 46</t>
        </is>
      </c>
      <c r="D16" s="4">
        <f>SUMIF('By Board'!$D$3:$D$82,"=7",'By Board'!$N$3:$N$82)/16+SUMIF('By Board'!$E$3:$E$82,"=7",'By Board'!$O$3:$O$82)/16</f>
        <v/>
      </c>
      <c r="E16" s="5">
        <f>SUMIF('By Board'!$D$3:$D$82,"=7",'By Board'!$L$3:$L$82)+SUMIF('By Board'!$E$3:$E$82,"=7",'By Board'!$M$3:$M$82)</f>
        <v/>
      </c>
    </row>
    <row r="17">
      <c r="A17" s="2" t="n">
        <v>8</v>
      </c>
      <c r="B17" t="inlineStr">
        <is>
          <t>Name 58</t>
        </is>
      </c>
      <c r="C17" t="inlineStr">
        <is>
          <t>Name 50</t>
        </is>
      </c>
      <c r="D17" s="4">
        <f>SUMIF('By Board'!$D$3:$D$82,"=8",'By Board'!$N$3:$N$82)/16+SUMIF('By Board'!$E$3:$E$82,"=8",'By Board'!$O$3:$O$82)/16</f>
        <v/>
      </c>
      <c r="E17" s="5">
        <f>SUMIF('By Board'!$D$3:$D$82,"=8",'By Board'!$L$3:$L$82)+SUMIF('By Board'!$E$3:$E$82,"=8",'By Board'!$M$3:$M$82)</f>
        <v/>
      </c>
    </row>
    <row r="18">
      <c r="A18" s="2" t="n">
        <v>9</v>
      </c>
      <c r="B18" t="inlineStr">
        <is>
          <t>Name 13</t>
        </is>
      </c>
      <c r="C18" t="inlineStr">
        <is>
          <t>Name 89</t>
        </is>
      </c>
      <c r="D18" s="4">
        <f>SUMIF('By Board'!$D$3:$D$82,"=9",'By Board'!$N$3:$N$82)/16+SUMIF('By Board'!$E$3:$E$82,"=9",'By Board'!$O$3:$O$82)/16</f>
        <v/>
      </c>
      <c r="E18" s="5">
        <f>SUMIF('By Board'!$D$3:$D$82,"=9",'By Board'!$L$3:$L$82)+SUMIF('By Board'!$E$3:$E$82,"=9",'By Board'!$M$3:$M$82)</f>
        <v/>
      </c>
    </row>
    <row r="19">
      <c r="D19" s="6">
        <f>AVERAGE(D10:D18)</f>
        <v/>
      </c>
      <c r="E19" s="7">
        <f>SUM(E10:E18)</f>
        <v/>
      </c>
    </row>
    <row r="21">
      <c r="A21" t="inlineStr">
        <is>
          <t>To sort, remove single quote below</t>
        </is>
      </c>
    </row>
    <row r="22">
      <c r="A22" s="2" t="inlineStr">
        <is>
          <t>IMP Ranking</t>
        </is>
      </c>
    </row>
    <row r="23">
      <c r="A23" t="inlineStr">
        <is>
          <t>'=SORT(A10:E18,4,-1)</t>
        </is>
      </c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6">
      <c r="A36" s="2" t="inlineStr">
        <is>
          <t>MP Ranking</t>
        </is>
      </c>
    </row>
    <row r="37">
      <c r="A37" t="inlineStr">
        <is>
          <t>'=SORT(A10:E18,5,-1)</t>
        </is>
      </c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</sheetData>
  <mergeCells count="9">
    <mergeCell ref="A4:B4"/>
    <mergeCell ref="A7:B7"/>
    <mergeCell ref="A2:E2"/>
    <mergeCell ref="A5:B5"/>
    <mergeCell ref="A9:C9"/>
    <mergeCell ref="A36:E36"/>
    <mergeCell ref="A22:E2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1">
        <f>'By Round'!A13</f>
        <v/>
      </c>
      <c r="C4" s="11">
        <f>'By Round'!B21</f>
        <v/>
      </c>
      <c r="D4" s="11">
        <f>'By Round'!C21</f>
        <v/>
      </c>
      <c r="E4" s="11">
        <f>'By Round'!D21</f>
        <v/>
      </c>
      <c r="F4" s="11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1">
        <f>'By Round'!A23</f>
        <v/>
      </c>
      <c r="C5" s="11">
        <f>'By Round'!B29</f>
        <v/>
      </c>
      <c r="D5" s="11">
        <f>'By Round'!C29</f>
        <v/>
      </c>
      <c r="E5" s="11">
        <f>'By Round'!D29</f>
        <v/>
      </c>
      <c r="F5" s="11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1">
        <f>'By Round'!A73</f>
        <v/>
      </c>
      <c r="C6" s="11">
        <f>'By Round'!B77</f>
        <v/>
      </c>
      <c r="D6" s="11">
        <f>'By Round'!C77</f>
        <v/>
      </c>
      <c r="E6" s="11">
        <f>'By Round'!D77</f>
        <v/>
      </c>
      <c r="F6" s="11">
        <f>IF(ISBLANK('By Round'!F77),"",'By Round'!F77)</f>
        <v/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s="11" t="n">
        <v>2</v>
      </c>
      <c r="B8" s="11">
        <f>'By Round'!A3</f>
        <v/>
      </c>
      <c r="C8" s="11">
        <f>'By Round'!B3</f>
        <v/>
      </c>
      <c r="D8" s="11">
        <f>'By Round'!C3</f>
        <v/>
      </c>
      <c r="E8" s="11">
        <f>'By Round'!D3</f>
        <v/>
      </c>
      <c r="F8" s="11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1">
        <f>'By Round'!A13</f>
        <v/>
      </c>
      <c r="C9" s="11">
        <f>'By Round'!B21</f>
        <v/>
      </c>
      <c r="D9" s="11">
        <f>'By Round'!C21</f>
        <v/>
      </c>
      <c r="E9" s="11">
        <f>'By Round'!D21</f>
        <v/>
      </c>
      <c r="F9" s="11">
        <f>IF(ISBLANK('By Round'!F22),"",'By Round'!F22)</f>
        <v/>
      </c>
      <c r="G9">
        <f>IF(ISBLANK('By Round'!G22),"",'By Round'!G22)</f>
        <v/>
      </c>
      <c r="H9">
        <f>IF(ISBLANK('By Round'!H22),"",'By Round'!H22)</f>
        <v/>
      </c>
      <c r="I9">
        <f>IF(ISBLANK('By Round'!I22),"",'By Round'!I22)</f>
        <v/>
      </c>
      <c r="J9">
        <f>IF(ISBLANK('By Round'!J22),"",'By Round'!J22)</f>
        <v/>
      </c>
      <c r="K9">
        <f>IF(ISBLANK('By Round'!K22),"",'By Round'!K22)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1">
        <f>'By Round'!A23</f>
        <v/>
      </c>
      <c r="C10" s="11">
        <f>'By Round'!B29</f>
        <v/>
      </c>
      <c r="D10" s="11">
        <f>'By Round'!C29</f>
        <v/>
      </c>
      <c r="E10" s="11">
        <f>'By Round'!D29</f>
        <v/>
      </c>
      <c r="F10" s="11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1">
        <f>'By Round'!A73</f>
        <v/>
      </c>
      <c r="C11" s="11">
        <f>'By Round'!B77</f>
        <v/>
      </c>
      <c r="D11" s="11">
        <f>'By Round'!C77</f>
        <v/>
      </c>
      <c r="E11" s="11">
        <f>'By Round'!D77</f>
        <v/>
      </c>
      <c r="F11" s="11">
        <f>IF(ISBLANK('By Round'!F78),"",'By Round'!F78)</f>
        <v/>
      </c>
      <c r="G11">
        <f>IF(ISBLANK('By Round'!G78),"",'By Round'!G78)</f>
        <v/>
      </c>
      <c r="H11">
        <f>IF(ISBLANK('By Round'!H78),"",'By Round'!H78)</f>
        <v/>
      </c>
      <c r="I11">
        <f>IF(ISBLANK('By Round'!I78),"",'By Round'!I78)</f>
        <v/>
      </c>
      <c r="J11">
        <f>IF(ISBLANK('By Round'!J78),"",'By Round'!J78)</f>
        <v/>
      </c>
      <c r="K11">
        <f>IF(ISBLANK('By Round'!K78),"",'By Round'!K78)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s="11" t="n">
        <v>3</v>
      </c>
      <c r="B13" s="11">
        <f>'By Round'!A3</f>
        <v/>
      </c>
      <c r="C13" s="11">
        <f>'By Round'!B5</f>
        <v/>
      </c>
      <c r="D13" s="11">
        <f>'By Round'!C5</f>
        <v/>
      </c>
      <c r="E13" s="11">
        <f>'By Round'!D5</f>
        <v/>
      </c>
      <c r="F13" s="11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1">
        <f>'By Round'!A13</f>
        <v/>
      </c>
      <c r="C14" s="11">
        <f>'By Round'!B13</f>
        <v/>
      </c>
      <c r="D14" s="11">
        <f>'By Round'!C13</f>
        <v/>
      </c>
      <c r="E14" s="11">
        <f>'By Round'!D13</f>
        <v/>
      </c>
      <c r="F14" s="11">
        <f>IF(ISBLANK('By Round'!F13),"",'By Round'!F13)</f>
        <v/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1">
        <f>'By Round'!A23</f>
        <v/>
      </c>
      <c r="C15" s="11">
        <f>'By Round'!B31</f>
        <v/>
      </c>
      <c r="D15" s="11">
        <f>'By Round'!C31</f>
        <v/>
      </c>
      <c r="E15" s="11">
        <f>'By Round'!D31</f>
        <v/>
      </c>
      <c r="F15" s="11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1">
        <f>'By Round'!A33</f>
        <v/>
      </c>
      <c r="C16" s="11">
        <f>'By Round'!B39</f>
        <v/>
      </c>
      <c r="D16" s="11">
        <f>'By Round'!C39</f>
        <v/>
      </c>
      <c r="E16" s="11">
        <f>'By Round'!D39</f>
        <v/>
      </c>
      <c r="F16" s="11">
        <f>IF(ISBLANK('By Round'!F39),"",'By Round'!F39)</f>
        <v/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6">
        <f>'By Round'!A83</f>
        <v/>
      </c>
      <c r="C17" s="16">
        <f>'By Round'!B87</f>
        <v/>
      </c>
      <c r="D17" s="16">
        <f>'By Round'!C87</f>
        <v/>
      </c>
      <c r="E17" s="16">
        <f>'By Round'!D87</f>
        <v/>
      </c>
      <c r="F17" s="16">
        <f>IF(ISBLANK('By Round'!F87),"",'By Round'!F87)</f>
        <v/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s="11" t="n">
        <v>4</v>
      </c>
      <c r="B18" s="11">
        <f>'By Round'!A3</f>
        <v/>
      </c>
      <c r="C18" s="11">
        <f>'By Round'!B5</f>
        <v/>
      </c>
      <c r="D18" s="11">
        <f>'By Round'!C5</f>
        <v/>
      </c>
      <c r="E18" s="11">
        <f>'By Round'!D5</f>
        <v/>
      </c>
      <c r="F18" s="11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1">
        <f>'By Round'!A13</f>
        <v/>
      </c>
      <c r="C19" s="11">
        <f>'By Round'!B13</f>
        <v/>
      </c>
      <c r="D19" s="11">
        <f>'By Round'!C13</f>
        <v/>
      </c>
      <c r="E19" s="11">
        <f>'By Round'!D13</f>
        <v/>
      </c>
      <c r="F19" s="11">
        <f>IF(ISBLANK('By Round'!F14),"",'By Round'!F14)</f>
        <v/>
      </c>
      <c r="G19">
        <f>IF(ISBLANK('By Round'!G14),"",'By Round'!G14)</f>
        <v/>
      </c>
      <c r="H19">
        <f>IF(ISBLANK('By Round'!H14),"",'By Round'!H14)</f>
        <v/>
      </c>
      <c r="I19">
        <f>IF(ISBLANK('By Round'!I14),"",'By Round'!I14)</f>
        <v/>
      </c>
      <c r="J19">
        <f>IF(ISBLANK('By Round'!J14),"",'By Round'!J14)</f>
        <v/>
      </c>
      <c r="K19">
        <f>IF(ISBLANK('By Round'!K14),"",'By Round'!K14)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1">
        <f>'By Round'!A23</f>
        <v/>
      </c>
      <c r="C20" s="11">
        <f>'By Round'!B31</f>
        <v/>
      </c>
      <c r="D20" s="11">
        <f>'By Round'!C31</f>
        <v/>
      </c>
      <c r="E20" s="11">
        <f>'By Round'!D31</f>
        <v/>
      </c>
      <c r="F20" s="11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1">
        <f>'By Round'!A33</f>
        <v/>
      </c>
      <c r="C21" s="11">
        <f>'By Round'!B39</f>
        <v/>
      </c>
      <c r="D21" s="11">
        <f>'By Round'!C39</f>
        <v/>
      </c>
      <c r="E21" s="11">
        <f>'By Round'!D39</f>
        <v/>
      </c>
      <c r="F21" s="11">
        <f>IF(ISBLANK('By Round'!F40),"",'By Round'!F40)</f>
        <v/>
      </c>
      <c r="G21">
        <f>IF(ISBLANK('By Round'!G40),"",'By Round'!G40)</f>
        <v/>
      </c>
      <c r="H21">
        <f>IF(ISBLANK('By Round'!H40),"",'By Round'!H40)</f>
        <v/>
      </c>
      <c r="I21">
        <f>IF(ISBLANK('By Round'!I40),"",'By Round'!I40)</f>
        <v/>
      </c>
      <c r="J21">
        <f>IF(ISBLANK('By Round'!J40),"",'By Round'!J40)</f>
        <v/>
      </c>
      <c r="K21">
        <f>IF(ISBLANK('By Round'!K40),"",'By Round'!K40)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6">
        <f>'By Round'!A83</f>
        <v/>
      </c>
      <c r="C22" s="16">
        <f>'By Round'!B87</f>
        <v/>
      </c>
      <c r="D22" s="16">
        <f>'By Round'!C87</f>
        <v/>
      </c>
      <c r="E22" s="16">
        <f>'By Round'!D87</f>
        <v/>
      </c>
      <c r="F22" s="16">
        <f>IF(ISBLANK('By Round'!F88),"",'By Round'!F88)</f>
        <v/>
      </c>
      <c r="G22" s="15">
        <f>IF(ISBLANK('By Round'!G88),"",'By Round'!G88)</f>
        <v/>
      </c>
      <c r="H22" s="15">
        <f>IF(ISBLANK('By Round'!H88),"",'By Round'!H88)</f>
        <v/>
      </c>
      <c r="I22" s="15">
        <f>IF(ISBLANK('By Round'!I88),"",'By Round'!I88)</f>
        <v/>
      </c>
      <c r="J22" s="15">
        <f>IF(ISBLANK('By Round'!J88),"",'By Round'!J88)</f>
        <v/>
      </c>
      <c r="K22" s="15">
        <f>IF(ISBLANK('By Round'!K88),"",'By Round'!K88)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s="11" t="n">
        <v>5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1">
        <f>'By Round'!A13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1">
        <f>'By Round'!A23</f>
        <v/>
      </c>
      <c r="C25" s="11">
        <f>'By Round'!B23</f>
        <v/>
      </c>
      <c r="D25" s="11">
        <f>'By Round'!C23</f>
        <v/>
      </c>
      <c r="E25" s="11">
        <f>'By Round'!D23</f>
        <v/>
      </c>
      <c r="F25" s="11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1">
        <f>'By Round'!A33</f>
        <v/>
      </c>
      <c r="C26" s="11">
        <f>'By Round'!B41</f>
        <v/>
      </c>
      <c r="D26" s="11">
        <f>'By Round'!C41</f>
        <v/>
      </c>
      <c r="E26" s="11">
        <f>'By Round'!D41</f>
        <v/>
      </c>
      <c r="F26" s="11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6">
        <f>'By Round'!A43</f>
        <v/>
      </c>
      <c r="C27" s="16">
        <f>'By Round'!B49</f>
        <v/>
      </c>
      <c r="D27" s="16">
        <f>'By Round'!C49</f>
        <v/>
      </c>
      <c r="E27" s="16">
        <f>'By Round'!D49</f>
        <v/>
      </c>
      <c r="F27" s="16">
        <f>IF(ISBLANK('By Round'!F49),"",'By Round'!F49)</f>
        <v/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s="11" t="n">
        <v>6</v>
      </c>
      <c r="B28" s="11">
        <f>'By Round'!A3</f>
        <v/>
      </c>
      <c r="C28" s="11">
        <f>'By Round'!B7</f>
        <v/>
      </c>
      <c r="D28" s="11">
        <f>'By Round'!C7</f>
        <v/>
      </c>
      <c r="E28" s="11">
        <f>'By Round'!D7</f>
        <v/>
      </c>
      <c r="F28" s="11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1">
        <f>'By Round'!A13</f>
        <v/>
      </c>
      <c r="C29" s="11">
        <f>'By Round'!B15</f>
        <v/>
      </c>
      <c r="D29" s="11">
        <f>'By Round'!C15</f>
        <v/>
      </c>
      <c r="E29" s="11">
        <f>'By Round'!D15</f>
        <v/>
      </c>
      <c r="F29" s="11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1">
        <f>'By Round'!A23</f>
        <v/>
      </c>
      <c r="C30" s="11">
        <f>'By Round'!B23</f>
        <v/>
      </c>
      <c r="D30" s="11">
        <f>'By Round'!C23</f>
        <v/>
      </c>
      <c r="E30" s="11">
        <f>'By Round'!D23</f>
        <v/>
      </c>
      <c r="F30" s="11">
        <f>IF(ISBLANK('By Round'!F24),"",'By Round'!F24)</f>
        <v/>
      </c>
      <c r="G30">
        <f>IF(ISBLANK('By Round'!G24),"",'By Round'!G24)</f>
        <v/>
      </c>
      <c r="H30">
        <f>IF(ISBLANK('By Round'!H24),"",'By Round'!H24)</f>
        <v/>
      </c>
      <c r="I30">
        <f>IF(ISBLANK('By Round'!I24),"",'By Round'!I24)</f>
        <v/>
      </c>
      <c r="J30">
        <f>IF(ISBLANK('By Round'!J24),"",'By Round'!J24)</f>
        <v/>
      </c>
      <c r="K30">
        <f>IF(ISBLANK('By Round'!K24),"",'By Round'!K24)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1">
        <f>'By Round'!A33</f>
        <v/>
      </c>
      <c r="C31" s="11">
        <f>'By Round'!B41</f>
        <v/>
      </c>
      <c r="D31" s="11">
        <f>'By Round'!C41</f>
        <v/>
      </c>
      <c r="E31" s="11">
        <f>'By Round'!D41</f>
        <v/>
      </c>
      <c r="F31" s="11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6">
        <f>'By Round'!A43</f>
        <v/>
      </c>
      <c r="C32" s="16">
        <f>'By Round'!B49</f>
        <v/>
      </c>
      <c r="D32" s="16">
        <f>'By Round'!C49</f>
        <v/>
      </c>
      <c r="E32" s="16">
        <f>'By Round'!D49</f>
        <v/>
      </c>
      <c r="F32" s="16">
        <f>IF(ISBLANK('By Round'!F50),"",'By Round'!F50)</f>
        <v/>
      </c>
      <c r="G32" s="15">
        <f>IF(ISBLANK('By Round'!G50),"",'By Round'!G50)</f>
        <v/>
      </c>
      <c r="H32" s="15">
        <f>IF(ISBLANK('By Round'!H50),"",'By Round'!H50)</f>
        <v/>
      </c>
      <c r="I32" s="15">
        <f>IF(ISBLANK('By Round'!I50),"",'By Round'!I50)</f>
        <v/>
      </c>
      <c r="J32" s="15">
        <f>IF(ISBLANK('By Round'!J50),"",'By Round'!J50)</f>
        <v/>
      </c>
      <c r="K32" s="15">
        <f>IF(ISBLANK('By Round'!K50),"",'By Round'!K50)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s="11" t="n">
        <v>7</v>
      </c>
      <c r="B33" s="11">
        <f>'By Round'!A13</f>
        <v/>
      </c>
      <c r="C33" s="11">
        <f>'By Round'!B17</f>
        <v/>
      </c>
      <c r="D33" s="11">
        <f>'By Round'!C17</f>
        <v/>
      </c>
      <c r="E33" s="11">
        <f>'By Round'!D17</f>
        <v/>
      </c>
      <c r="F33" s="11">
        <f>IF(ISBLANK('By Round'!F17),"",'By Round'!F17)</f>
        <v/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1">
        <f>'By Round'!A23</f>
        <v/>
      </c>
      <c r="C34" s="11">
        <f>'By Round'!B25</f>
        <v/>
      </c>
      <c r="D34" s="11">
        <f>'By Round'!C25</f>
        <v/>
      </c>
      <c r="E34" s="11">
        <f>'By Round'!D25</f>
        <v/>
      </c>
      <c r="F34" s="11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1">
        <f>'By Round'!A33</f>
        <v/>
      </c>
      <c r="C35" s="11">
        <f>'By Round'!B33</f>
        <v/>
      </c>
      <c r="D35" s="11">
        <f>'By Round'!C33</f>
        <v/>
      </c>
      <c r="E35" s="11">
        <f>'By Round'!D33</f>
        <v/>
      </c>
      <c r="F35" s="11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1">
        <f>'By Round'!A43</f>
        <v/>
      </c>
      <c r="C36" s="11">
        <f>'By Round'!B51</f>
        <v/>
      </c>
      <c r="D36" s="11">
        <f>'By Round'!C51</f>
        <v/>
      </c>
      <c r="E36" s="11">
        <f>'By Round'!D51</f>
        <v/>
      </c>
      <c r="F36" s="11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6">
        <f>'By Round'!A53</f>
        <v/>
      </c>
      <c r="C37" s="16">
        <f>'By Round'!B59</f>
        <v/>
      </c>
      <c r="D37" s="16">
        <f>'By Round'!C59</f>
        <v/>
      </c>
      <c r="E37" s="16">
        <f>'By Round'!D59</f>
        <v/>
      </c>
      <c r="F37" s="16">
        <f>IF(ISBLANK('By Round'!F59),"",'By Round'!F59)</f>
        <v/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s="11" t="n">
        <v>8</v>
      </c>
      <c r="B38" s="11">
        <f>'By Round'!A13</f>
        <v/>
      </c>
      <c r="C38" s="11">
        <f>'By Round'!B17</f>
        <v/>
      </c>
      <c r="D38" s="11">
        <f>'By Round'!C17</f>
        <v/>
      </c>
      <c r="E38" s="11">
        <f>'By Round'!D17</f>
        <v/>
      </c>
      <c r="F38" s="11">
        <f>IF(ISBLANK('By Round'!F18),"",'By Round'!F18)</f>
        <v/>
      </c>
      <c r="G38">
        <f>IF(ISBLANK('By Round'!G18),"",'By Round'!G18)</f>
        <v/>
      </c>
      <c r="H38">
        <f>IF(ISBLANK('By Round'!H18),"",'By Round'!H18)</f>
        <v/>
      </c>
      <c r="I38">
        <f>IF(ISBLANK('By Round'!I18),"",'By Round'!I18)</f>
        <v/>
      </c>
      <c r="J38">
        <f>IF(ISBLANK('By Round'!J18),"",'By Round'!J18)</f>
        <v/>
      </c>
      <c r="K38">
        <f>IF(ISBLANK('By Round'!K18),"",'By Round'!K18)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1">
        <f>'By Round'!A23</f>
        <v/>
      </c>
      <c r="C39" s="11">
        <f>'By Round'!B25</f>
        <v/>
      </c>
      <c r="D39" s="11">
        <f>'By Round'!C25</f>
        <v/>
      </c>
      <c r="E39" s="11">
        <f>'By Round'!D25</f>
        <v/>
      </c>
      <c r="F39" s="11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1">
        <f>'By Round'!A33</f>
        <v/>
      </c>
      <c r="C40" s="11">
        <f>'By Round'!B33</f>
        <v/>
      </c>
      <c r="D40" s="11">
        <f>'By Round'!C33</f>
        <v/>
      </c>
      <c r="E40" s="11">
        <f>'By Round'!D33</f>
        <v/>
      </c>
      <c r="F40" s="11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1">
        <f>'By Round'!A43</f>
        <v/>
      </c>
      <c r="C41" s="11">
        <f>'By Round'!B51</f>
        <v/>
      </c>
      <c r="D41" s="11">
        <f>'By Round'!C51</f>
        <v/>
      </c>
      <c r="E41" s="11">
        <f>'By Round'!D51</f>
        <v/>
      </c>
      <c r="F41" s="11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6">
        <f>'By Round'!A53</f>
        <v/>
      </c>
      <c r="C42" s="16">
        <f>'By Round'!B59</f>
        <v/>
      </c>
      <c r="D42" s="16">
        <f>'By Round'!C59</f>
        <v/>
      </c>
      <c r="E42" s="16">
        <f>'By Round'!D59</f>
        <v/>
      </c>
      <c r="F42" s="16">
        <f>IF(ISBLANK('By Round'!F60),"",'By Round'!F60)</f>
        <v/>
      </c>
      <c r="G42" s="15">
        <f>IF(ISBLANK('By Round'!G60),"",'By Round'!G60)</f>
        <v/>
      </c>
      <c r="H42" s="15">
        <f>IF(ISBLANK('By Round'!H60),"",'By Round'!H60)</f>
        <v/>
      </c>
      <c r="I42" s="15">
        <f>IF(ISBLANK('By Round'!I60),"",'By Round'!I60)</f>
        <v/>
      </c>
      <c r="J42" s="15">
        <f>IF(ISBLANK('By Round'!J60),"",'By Round'!J60)</f>
        <v/>
      </c>
      <c r="K42" s="15">
        <f>IF(ISBLANK('By Round'!K60),"",'By Round'!K60)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s="11" t="n">
        <v>9</v>
      </c>
      <c r="B43" s="11">
        <f>'By Round'!A23</f>
        <v/>
      </c>
      <c r="C43" s="11">
        <f>'By Round'!B27</f>
        <v/>
      </c>
      <c r="D43" s="11">
        <f>'By Round'!C27</f>
        <v/>
      </c>
      <c r="E43" s="11">
        <f>'By Round'!D27</f>
        <v/>
      </c>
      <c r="F43" s="11">
        <f>IF(ISBLANK('By Round'!F27),"",'By Round'!F27)</f>
        <v/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1">
        <f>'By Round'!A33</f>
        <v/>
      </c>
      <c r="C44" s="11">
        <f>'By Round'!B35</f>
        <v/>
      </c>
      <c r="D44" s="11">
        <f>'By Round'!C35</f>
        <v/>
      </c>
      <c r="E44" s="11">
        <f>'By Round'!D35</f>
        <v/>
      </c>
      <c r="F44" s="11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1">
        <f>'By Round'!A43</f>
        <v/>
      </c>
      <c r="C45" s="11">
        <f>'By Round'!B43</f>
        <v/>
      </c>
      <c r="D45" s="11">
        <f>'By Round'!C43</f>
        <v/>
      </c>
      <c r="E45" s="11">
        <f>'By Round'!D43</f>
        <v/>
      </c>
      <c r="F45" s="11">
        <f>IF(ISBLANK('By Round'!F43),"",'By Round'!F43)</f>
        <v/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1">
        <f>'By Round'!A53</f>
        <v/>
      </c>
      <c r="C46" s="11">
        <f>'By Round'!B61</f>
        <v/>
      </c>
      <c r="D46" s="11">
        <f>'By Round'!C61</f>
        <v/>
      </c>
      <c r="E46" s="11">
        <f>'By Round'!D61</f>
        <v/>
      </c>
      <c r="F46" s="11">
        <f>IF(ISBLANK('By Round'!F61),"",'By Round'!F61)</f>
        <v/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s="11" t="n">
        <v>10</v>
      </c>
      <c r="B48" s="11">
        <f>'By Round'!A23</f>
        <v/>
      </c>
      <c r="C48" s="11">
        <f>'By Round'!B27</f>
        <v/>
      </c>
      <c r="D48" s="11">
        <f>'By Round'!C27</f>
        <v/>
      </c>
      <c r="E48" s="11">
        <f>'By Round'!D27</f>
        <v/>
      </c>
      <c r="F48" s="11">
        <f>IF(ISBLANK('By Round'!F28),"",'By Round'!F28)</f>
        <v/>
      </c>
      <c r="G48">
        <f>IF(ISBLANK('By Round'!G28),"",'By Round'!G28)</f>
        <v/>
      </c>
      <c r="H48">
        <f>IF(ISBLANK('By Round'!H28),"",'By Round'!H28)</f>
        <v/>
      </c>
      <c r="I48">
        <f>IF(ISBLANK('By Round'!I28),"",'By Round'!I28)</f>
        <v/>
      </c>
      <c r="J48">
        <f>IF(ISBLANK('By Round'!J28),"",'By Round'!J28)</f>
        <v/>
      </c>
      <c r="K48">
        <f>IF(ISBLANK('By Round'!K28),"",'By Round'!K28)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1">
        <f>'By Round'!A33</f>
        <v/>
      </c>
      <c r="C49" s="11">
        <f>'By Round'!B35</f>
        <v/>
      </c>
      <c r="D49" s="11">
        <f>'By Round'!C35</f>
        <v/>
      </c>
      <c r="E49" s="11">
        <f>'By Round'!D35</f>
        <v/>
      </c>
      <c r="F49" s="11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1">
        <f>'By Round'!A43</f>
        <v/>
      </c>
      <c r="C50" s="11">
        <f>'By Round'!B43</f>
        <v/>
      </c>
      <c r="D50" s="11">
        <f>'By Round'!C43</f>
        <v/>
      </c>
      <c r="E50" s="11">
        <f>'By Round'!D43</f>
        <v/>
      </c>
      <c r="F50" s="11">
        <f>IF(ISBLANK('By Round'!F44),"",'By Round'!F44)</f>
        <v/>
      </c>
      <c r="G50">
        <f>IF(ISBLANK('By Round'!G44),"",'By Round'!G44)</f>
        <v/>
      </c>
      <c r="H50">
        <f>IF(ISBLANK('By Round'!H44),"",'By Round'!H44)</f>
        <v/>
      </c>
      <c r="I50">
        <f>IF(ISBLANK('By Round'!I44),"",'By Round'!I44)</f>
        <v/>
      </c>
      <c r="J50">
        <f>IF(ISBLANK('By Round'!J44),"",'By Round'!J44)</f>
        <v/>
      </c>
      <c r="K50">
        <f>IF(ISBLANK('By Round'!K44),"",'By Round'!K44)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1">
        <f>'By Round'!A53</f>
        <v/>
      </c>
      <c r="C51" s="11">
        <f>'By Round'!B61</f>
        <v/>
      </c>
      <c r="D51" s="11">
        <f>'By Round'!C61</f>
        <v/>
      </c>
      <c r="E51" s="11">
        <f>'By Round'!D61</f>
        <v/>
      </c>
      <c r="F51" s="11">
        <f>IF(ISBLANK('By Round'!F62),"",'By Round'!F62)</f>
        <v/>
      </c>
      <c r="G51">
        <f>IF(ISBLANK('By Round'!G62),"",'By Round'!G62)</f>
        <v/>
      </c>
      <c r="H51">
        <f>IF(ISBLANK('By Round'!H62),"",'By Round'!H62)</f>
        <v/>
      </c>
      <c r="I51">
        <f>IF(ISBLANK('By Round'!I62),"",'By Round'!I62)</f>
        <v/>
      </c>
      <c r="J51">
        <f>IF(ISBLANK('By Round'!J62),"",'By Round'!J62)</f>
        <v/>
      </c>
      <c r="K51">
        <f>IF(ISBLANK('By Round'!K62),"",'By Round'!K62)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s="11" t="n">
        <v>11</v>
      </c>
      <c r="B53" s="11">
        <f>'By Round'!A33</f>
        <v/>
      </c>
      <c r="C53" s="11">
        <f>'By Round'!B37</f>
        <v/>
      </c>
      <c r="D53" s="11">
        <f>'By Round'!C37</f>
        <v/>
      </c>
      <c r="E53" s="11">
        <f>'By Round'!D37</f>
        <v/>
      </c>
      <c r="F53" s="11">
        <f>IF(ISBLANK('By Round'!F37),"",'By Round'!F37)</f>
        <v/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1">
        <f>'By Round'!A43</f>
        <v/>
      </c>
      <c r="C54" s="11">
        <f>'By Round'!B45</f>
        <v/>
      </c>
      <c r="D54" s="11">
        <f>'By Round'!C45</f>
        <v/>
      </c>
      <c r="E54" s="11">
        <f>'By Round'!D45</f>
        <v/>
      </c>
      <c r="F54" s="11">
        <f>IF(ISBLANK('By Round'!F45),"",'By Round'!F45)</f>
        <v/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1">
        <f>'By Round'!A53</f>
        <v/>
      </c>
      <c r="C55" s="11">
        <f>'By Round'!B53</f>
        <v/>
      </c>
      <c r="D55" s="11">
        <f>'By Round'!C53</f>
        <v/>
      </c>
      <c r="E55" s="11">
        <f>'By Round'!D53</f>
        <v/>
      </c>
      <c r="F55" s="11">
        <f>IF(ISBLANK('By Round'!F53),"",'By Round'!F53)</f>
        <v/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1">
        <f>'By Round'!A63</f>
        <v/>
      </c>
      <c r="C56" s="11">
        <f>'By Round'!B71</f>
        <v/>
      </c>
      <c r="D56" s="11">
        <f>'By Round'!C71</f>
        <v/>
      </c>
      <c r="E56" s="11">
        <f>'By Round'!D71</f>
        <v/>
      </c>
      <c r="F56" s="11">
        <f>IF(ISBLANK('By Round'!F71),"",'By Round'!F71)</f>
        <v/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6">
        <f>'By Round'!A73</f>
        <v/>
      </c>
      <c r="C57" s="16">
        <f>'By Round'!B79</f>
        <v/>
      </c>
      <c r="D57" s="16">
        <f>'By Round'!C79</f>
        <v/>
      </c>
      <c r="E57" s="16">
        <f>'By Round'!D79</f>
        <v/>
      </c>
      <c r="F57" s="16">
        <f>IF(ISBLANK('By Round'!F79),"",'By Round'!F79)</f>
        <v/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s="11" t="n">
        <v>12</v>
      </c>
      <c r="B58" s="11">
        <f>'By Round'!A33</f>
        <v/>
      </c>
      <c r="C58" s="11">
        <f>'By Round'!B37</f>
        <v/>
      </c>
      <c r="D58" s="11">
        <f>'By Round'!C37</f>
        <v/>
      </c>
      <c r="E58" s="11">
        <f>'By Round'!D37</f>
        <v/>
      </c>
      <c r="F58" s="11">
        <f>IF(ISBLANK('By Round'!F38),"",'By Round'!F38)</f>
        <v/>
      </c>
      <c r="G58">
        <f>IF(ISBLANK('By Round'!G38),"",'By Round'!G38)</f>
        <v/>
      </c>
      <c r="H58">
        <f>IF(ISBLANK('By Round'!H38),"",'By Round'!H38)</f>
        <v/>
      </c>
      <c r="I58">
        <f>IF(ISBLANK('By Round'!I38),"",'By Round'!I38)</f>
        <v/>
      </c>
      <c r="J58">
        <f>IF(ISBLANK('By Round'!J38),"",'By Round'!J38)</f>
        <v/>
      </c>
      <c r="K58">
        <f>IF(ISBLANK('By Round'!K38),"",'By Round'!K38)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1">
        <f>'By Round'!A43</f>
        <v/>
      </c>
      <c r="C59" s="11">
        <f>'By Round'!B45</f>
        <v/>
      </c>
      <c r="D59" s="11">
        <f>'By Round'!C45</f>
        <v/>
      </c>
      <c r="E59" s="11">
        <f>'By Round'!D45</f>
        <v/>
      </c>
      <c r="F59" s="11">
        <f>IF(ISBLANK('By Round'!F46),"",'By Round'!F46)</f>
        <v/>
      </c>
      <c r="G59">
        <f>IF(ISBLANK('By Round'!G46),"",'By Round'!G46)</f>
        <v/>
      </c>
      <c r="H59">
        <f>IF(ISBLANK('By Round'!H46),"",'By Round'!H46)</f>
        <v/>
      </c>
      <c r="I59">
        <f>IF(ISBLANK('By Round'!I46),"",'By Round'!I46)</f>
        <v/>
      </c>
      <c r="J59">
        <f>IF(ISBLANK('By Round'!J46),"",'By Round'!J46)</f>
        <v/>
      </c>
      <c r="K59">
        <f>IF(ISBLANK('By Round'!K46),"",'By Round'!K46)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1">
        <f>'By Round'!A53</f>
        <v/>
      </c>
      <c r="C60" s="11">
        <f>'By Round'!B53</f>
        <v/>
      </c>
      <c r="D60" s="11">
        <f>'By Round'!C53</f>
        <v/>
      </c>
      <c r="E60" s="11">
        <f>'By Round'!D53</f>
        <v/>
      </c>
      <c r="F60" s="11">
        <f>IF(ISBLANK('By Round'!F54),"",'By Round'!F54)</f>
        <v/>
      </c>
      <c r="G60">
        <f>IF(ISBLANK('By Round'!G54),"",'By Round'!G54)</f>
        <v/>
      </c>
      <c r="H60">
        <f>IF(ISBLANK('By Round'!H54),"",'By Round'!H54)</f>
        <v/>
      </c>
      <c r="I60">
        <f>IF(ISBLANK('By Round'!I54),"",'By Round'!I54)</f>
        <v/>
      </c>
      <c r="J60">
        <f>IF(ISBLANK('By Round'!J54),"",'By Round'!J54)</f>
        <v/>
      </c>
      <c r="K60">
        <f>IF(ISBLANK('By Round'!K54),"",'By Round'!K54)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1">
        <f>'By Round'!A63</f>
        <v/>
      </c>
      <c r="C61" s="11">
        <f>'By Round'!B71</f>
        <v/>
      </c>
      <c r="D61" s="11">
        <f>'By Round'!C71</f>
        <v/>
      </c>
      <c r="E61" s="11">
        <f>'By Round'!D71</f>
        <v/>
      </c>
      <c r="F61" s="11">
        <f>IF(ISBLANK('By Round'!F72),"",'By Round'!F72)</f>
        <v/>
      </c>
      <c r="G61">
        <f>IF(ISBLANK('By Round'!G72),"",'By Round'!G72)</f>
        <v/>
      </c>
      <c r="H61">
        <f>IF(ISBLANK('By Round'!H72),"",'By Round'!H72)</f>
        <v/>
      </c>
      <c r="I61">
        <f>IF(ISBLANK('By Round'!I72),"",'By Round'!I72)</f>
        <v/>
      </c>
      <c r="J61">
        <f>IF(ISBLANK('By Round'!J72),"",'By Round'!J72)</f>
        <v/>
      </c>
      <c r="K61">
        <f>IF(ISBLANK('By Round'!K72),"",'By Round'!K72)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6">
        <f>'By Round'!A73</f>
        <v/>
      </c>
      <c r="C62" s="16">
        <f>'By Round'!B79</f>
        <v/>
      </c>
      <c r="D62" s="16">
        <f>'By Round'!C79</f>
        <v/>
      </c>
      <c r="E62" s="16">
        <f>'By Round'!D79</f>
        <v/>
      </c>
      <c r="F62" s="16">
        <f>IF(ISBLANK('By Round'!F80),"",'By Round'!F80)</f>
        <v/>
      </c>
      <c r="G62" s="15">
        <f>IF(ISBLANK('By Round'!G80),"",'By Round'!G80)</f>
        <v/>
      </c>
      <c r="H62" s="15">
        <f>IF(ISBLANK('By Round'!H80),"",'By Round'!H80)</f>
        <v/>
      </c>
      <c r="I62" s="15">
        <f>IF(ISBLANK('By Round'!I80),"",'By Round'!I80)</f>
        <v/>
      </c>
      <c r="J62" s="15">
        <f>IF(ISBLANK('By Round'!J80),"",'By Round'!J80)</f>
        <v/>
      </c>
      <c r="K62" s="15">
        <f>IF(ISBLANK('By Round'!K80),"",'By Round'!K80)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s="11" t="n">
        <v>13</v>
      </c>
      <c r="B63" s="11">
        <f>'By Round'!A43</f>
        <v/>
      </c>
      <c r="C63" s="11">
        <f>'By Round'!B47</f>
        <v/>
      </c>
      <c r="D63" s="11">
        <f>'By Round'!C47</f>
        <v/>
      </c>
      <c r="E63" s="11">
        <f>'By Round'!D47</f>
        <v/>
      </c>
      <c r="F63" s="11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1">
        <f>'By Round'!A53</f>
        <v/>
      </c>
      <c r="C64" s="11">
        <f>'By Round'!B55</f>
        <v/>
      </c>
      <c r="D64" s="11">
        <f>'By Round'!C55</f>
        <v/>
      </c>
      <c r="E64" s="11">
        <f>'By Round'!D55</f>
        <v/>
      </c>
      <c r="F64" s="11">
        <f>IF(ISBLANK('By Round'!F55),"",'By Round'!F55)</f>
        <v/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1">
        <f>'By Round'!A63</f>
        <v/>
      </c>
      <c r="C65" s="11">
        <f>'By Round'!B63</f>
        <v/>
      </c>
      <c r="D65" s="11">
        <f>'By Round'!C63</f>
        <v/>
      </c>
      <c r="E65" s="11">
        <f>'By Round'!D63</f>
        <v/>
      </c>
      <c r="F65" s="11">
        <f>IF(ISBLANK('By Round'!F63),"",'By Round'!F63)</f>
        <v/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1">
        <f>'By Round'!A73</f>
        <v/>
      </c>
      <c r="C66" s="11">
        <f>'By Round'!B81</f>
        <v/>
      </c>
      <c r="D66" s="11">
        <f>'By Round'!C81</f>
        <v/>
      </c>
      <c r="E66" s="11">
        <f>'By Round'!D81</f>
        <v/>
      </c>
      <c r="F66" s="11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6">
        <f>'By Round'!A83</f>
        <v/>
      </c>
      <c r="C67" s="16">
        <f>'By Round'!B89</f>
        <v/>
      </c>
      <c r="D67" s="16">
        <f>'By Round'!C89</f>
        <v/>
      </c>
      <c r="E67" s="16">
        <f>'By Round'!D89</f>
        <v/>
      </c>
      <c r="F67" s="16">
        <f>IF(ISBLANK('By Round'!F89),"",'By Round'!F89)</f>
        <v/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s="11" t="n">
        <v>14</v>
      </c>
      <c r="B68" s="11">
        <f>'By Round'!A43</f>
        <v/>
      </c>
      <c r="C68" s="11">
        <f>'By Round'!B47</f>
        <v/>
      </c>
      <c r="D68" s="11">
        <f>'By Round'!C47</f>
        <v/>
      </c>
      <c r="E68" s="11">
        <f>'By Round'!D47</f>
        <v/>
      </c>
      <c r="F68" s="11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1">
        <f>'By Round'!A53</f>
        <v/>
      </c>
      <c r="C69" s="11">
        <f>'By Round'!B55</f>
        <v/>
      </c>
      <c r="D69" s="11">
        <f>'By Round'!C55</f>
        <v/>
      </c>
      <c r="E69" s="11">
        <f>'By Round'!D55</f>
        <v/>
      </c>
      <c r="F69" s="11">
        <f>IF(ISBLANK('By Round'!F56),"",'By Round'!F56)</f>
        <v/>
      </c>
      <c r="G69">
        <f>IF(ISBLANK('By Round'!G56),"",'By Round'!G56)</f>
        <v/>
      </c>
      <c r="H69">
        <f>IF(ISBLANK('By Round'!H56),"",'By Round'!H56)</f>
        <v/>
      </c>
      <c r="I69">
        <f>IF(ISBLANK('By Round'!I56),"",'By Round'!I56)</f>
        <v/>
      </c>
      <c r="J69">
        <f>IF(ISBLANK('By Round'!J56),"",'By Round'!J56)</f>
        <v/>
      </c>
      <c r="K69">
        <f>IF(ISBLANK('By Round'!K56),"",'By Round'!K56)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1">
        <f>'By Round'!A63</f>
        <v/>
      </c>
      <c r="C70" s="11">
        <f>'By Round'!B63</f>
        <v/>
      </c>
      <c r="D70" s="11">
        <f>'By Round'!C63</f>
        <v/>
      </c>
      <c r="E70" s="11">
        <f>'By Round'!D63</f>
        <v/>
      </c>
      <c r="F70" s="11">
        <f>IF(ISBLANK('By Round'!F64),"",'By Round'!F64)</f>
        <v/>
      </c>
      <c r="G70">
        <f>IF(ISBLANK('By Round'!G64),"",'By Round'!G64)</f>
        <v/>
      </c>
      <c r="H70">
        <f>IF(ISBLANK('By Round'!H64),"",'By Round'!H64)</f>
        <v/>
      </c>
      <c r="I70">
        <f>IF(ISBLANK('By Round'!I64),"",'By Round'!I64)</f>
        <v/>
      </c>
      <c r="J70">
        <f>IF(ISBLANK('By Round'!J64),"",'By Round'!J64)</f>
        <v/>
      </c>
      <c r="K70">
        <f>IF(ISBLANK('By Round'!K64),"",'By Round'!K64)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1">
        <f>'By Round'!A73</f>
        <v/>
      </c>
      <c r="C71" s="11">
        <f>'By Round'!B81</f>
        <v/>
      </c>
      <c r="D71" s="11">
        <f>'By Round'!C81</f>
        <v/>
      </c>
      <c r="E71" s="11">
        <f>'By Round'!D81</f>
        <v/>
      </c>
      <c r="F71" s="11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6">
        <f>'By Round'!A83</f>
        <v/>
      </c>
      <c r="C72" s="16">
        <f>'By Round'!B89</f>
        <v/>
      </c>
      <c r="D72" s="16">
        <f>'By Round'!C89</f>
        <v/>
      </c>
      <c r="E72" s="16">
        <f>'By Round'!D89</f>
        <v/>
      </c>
      <c r="F72" s="16">
        <f>IF(ISBLANK('By Round'!F90),"",'By Round'!F90)</f>
        <v/>
      </c>
      <c r="G72" s="15">
        <f>IF(ISBLANK('By Round'!G90),"",'By Round'!G90)</f>
        <v/>
      </c>
      <c r="H72" s="15">
        <f>IF(ISBLANK('By Round'!H90),"",'By Round'!H90)</f>
        <v/>
      </c>
      <c r="I72" s="15">
        <f>IF(ISBLANK('By Round'!I90),"",'By Round'!I90)</f>
        <v/>
      </c>
      <c r="J72" s="15">
        <f>IF(ISBLANK('By Round'!J90),"",'By Round'!J90)</f>
        <v/>
      </c>
      <c r="K72" s="15">
        <f>IF(ISBLANK('By Round'!K90),"",'By Round'!K90)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s="11" t="n">
        <v>15</v>
      </c>
      <c r="B73" s="11">
        <f>'By Round'!A3</f>
        <v/>
      </c>
      <c r="C73" s="11">
        <f>'By Round'!B9</f>
        <v/>
      </c>
      <c r="D73" s="11">
        <f>'By Round'!C9</f>
        <v/>
      </c>
      <c r="E73" s="11">
        <f>'By Round'!D9</f>
        <v/>
      </c>
      <c r="F73" s="11">
        <f>IF(ISBLANK('By Round'!F9),"",'By Round'!F9)</f>
        <v/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1">
        <f>'By Round'!A53</f>
        <v/>
      </c>
      <c r="C74" s="11">
        <f>'By Round'!B57</f>
        <v/>
      </c>
      <c r="D74" s="11">
        <f>'By Round'!C57</f>
        <v/>
      </c>
      <c r="E74" s="11">
        <f>'By Round'!D57</f>
        <v/>
      </c>
      <c r="F74" s="11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1">
        <f>'By Round'!A63</f>
        <v/>
      </c>
      <c r="C75" s="11">
        <f>'By Round'!B65</f>
        <v/>
      </c>
      <c r="D75" s="11">
        <f>'By Round'!C65</f>
        <v/>
      </c>
      <c r="E75" s="11">
        <f>'By Round'!D65</f>
        <v/>
      </c>
      <c r="F75" s="11">
        <f>IF(ISBLANK('By Round'!F65),"",'By Round'!F65)</f>
        <v/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1">
        <f>'By Round'!A73</f>
        <v/>
      </c>
      <c r="C76" s="11">
        <f>'By Round'!B73</f>
        <v/>
      </c>
      <c r="D76" s="11">
        <f>'By Round'!C73</f>
        <v/>
      </c>
      <c r="E76" s="11">
        <f>'By Round'!D73</f>
        <v/>
      </c>
      <c r="F76" s="11">
        <f>IF(ISBLANK('By Round'!F73),"",'By Round'!F73)</f>
        <v/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6">
        <f>'By Round'!A83</f>
        <v/>
      </c>
      <c r="C77" s="16">
        <f>'By Round'!B91</f>
        <v/>
      </c>
      <c r="D77" s="16">
        <f>'By Round'!C91</f>
        <v/>
      </c>
      <c r="E77" s="16">
        <f>'By Round'!D91</f>
        <v/>
      </c>
      <c r="F77" s="16">
        <f>IF(ISBLANK('By Round'!F91),"",'By Round'!F91)</f>
        <v/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s="11" t="n">
        <v>16</v>
      </c>
      <c r="B78" s="11">
        <f>'By Round'!A3</f>
        <v/>
      </c>
      <c r="C78" s="11">
        <f>'By Round'!B9</f>
        <v/>
      </c>
      <c r="D78" s="11">
        <f>'By Round'!C9</f>
        <v/>
      </c>
      <c r="E78" s="11">
        <f>'By Round'!D9</f>
        <v/>
      </c>
      <c r="F78" s="11">
        <f>IF(ISBLANK('By Round'!F10),"",'By Round'!F10)</f>
        <v/>
      </c>
      <c r="G78">
        <f>IF(ISBLANK('By Round'!G10),"",'By Round'!G10)</f>
        <v/>
      </c>
      <c r="H78">
        <f>IF(ISBLANK('By Round'!H10),"",'By Round'!H10)</f>
        <v/>
      </c>
      <c r="I78">
        <f>IF(ISBLANK('By Round'!I10),"",'By Round'!I10)</f>
        <v/>
      </c>
      <c r="J78">
        <f>IF(ISBLANK('By Round'!J10),"",'By Round'!J10)</f>
        <v/>
      </c>
      <c r="K78">
        <f>IF(ISBLANK('By Round'!K10),"",'By Round'!K10)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 s="11">
        <f>'By Round'!A53</f>
        <v/>
      </c>
      <c r="C79" s="11">
        <f>'By Round'!B57</f>
        <v/>
      </c>
      <c r="D79" s="11">
        <f>'By Round'!C57</f>
        <v/>
      </c>
      <c r="E79" s="11">
        <f>'By Round'!D57</f>
        <v/>
      </c>
      <c r="F79" s="11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 s="11">
        <f>'By Round'!A63</f>
        <v/>
      </c>
      <c r="C80" s="11">
        <f>'By Round'!B65</f>
        <v/>
      </c>
      <c r="D80" s="11">
        <f>'By Round'!C65</f>
        <v/>
      </c>
      <c r="E80" s="11">
        <f>'By Round'!D65</f>
        <v/>
      </c>
      <c r="F80" s="11">
        <f>IF(ISBLANK('By Round'!F66),"",'By Round'!F66)</f>
        <v/>
      </c>
      <c r="G80">
        <f>IF(ISBLANK('By Round'!G66),"",'By Round'!G66)</f>
        <v/>
      </c>
      <c r="H80">
        <f>IF(ISBLANK('By Round'!H66),"",'By Round'!H66)</f>
        <v/>
      </c>
      <c r="I80">
        <f>IF(ISBLANK('By Round'!I66),"",'By Round'!I66)</f>
        <v/>
      </c>
      <c r="J80">
        <f>IF(ISBLANK('By Round'!J66),"",'By Round'!J66)</f>
        <v/>
      </c>
      <c r="K80">
        <f>IF(ISBLANK('By Round'!K66),"",'By Round'!K66)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 s="11">
        <f>'By Round'!A73</f>
        <v/>
      </c>
      <c r="C81" s="11">
        <f>'By Round'!B73</f>
        <v/>
      </c>
      <c r="D81" s="11">
        <f>'By Round'!C73</f>
        <v/>
      </c>
      <c r="E81" s="11">
        <f>'By Round'!D73</f>
        <v/>
      </c>
      <c r="F81" s="11">
        <f>IF(ISBLANK('By Round'!F74),"",'By Round'!F74)</f>
        <v/>
      </c>
      <c r="G81">
        <f>IF(ISBLANK('By Round'!G74),"",'By Round'!G74)</f>
        <v/>
      </c>
      <c r="H81">
        <f>IF(ISBLANK('By Round'!H74),"",'By Round'!H74)</f>
        <v/>
      </c>
      <c r="I81">
        <f>IF(ISBLANK('By Round'!I74),"",'By Round'!I74)</f>
        <v/>
      </c>
      <c r="J81">
        <f>IF(ISBLANK('By Round'!J74),"",'By Round'!J74)</f>
        <v/>
      </c>
      <c r="K81">
        <f>IF(ISBLANK('By Round'!K74),"",'By Round'!K74)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6">
        <f>'By Round'!A83</f>
        <v/>
      </c>
      <c r="C82" s="16">
        <f>'By Round'!B91</f>
        <v/>
      </c>
      <c r="D82" s="16">
        <f>'By Round'!C91</f>
        <v/>
      </c>
      <c r="E82" s="16">
        <f>'By Round'!D91</f>
        <v/>
      </c>
      <c r="F82" s="16">
        <f>IF(ISBLANK('By Round'!F92),"",'By Round'!F92)</f>
        <v/>
      </c>
      <c r="G82" s="15">
        <f>IF(ISBLANK('By Round'!G92),"",'By Round'!G92)</f>
        <v/>
      </c>
      <c r="H82" s="15">
        <f>IF(ISBLANK('By Round'!H92),"",'By Round'!H92)</f>
        <v/>
      </c>
      <c r="I82" s="15">
        <f>IF(ISBLANK('By Round'!I92),"",'By Round'!I92)</f>
        <v/>
      </c>
      <c r="J82" s="15">
        <f>IF(ISBLANK('By Round'!J92),"",'By Round'!J92)</f>
        <v/>
      </c>
      <c r="K82" s="15">
        <f>IF(ISBLANK('By Round'!K92),"",'By Round'!K92)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s="11" t="n">
        <v>17</v>
      </c>
      <c r="B83" s="11">
        <f>'By Round'!A3</f>
        <v/>
      </c>
      <c r="C83" s="11">
        <f>'By Round'!B11</f>
        <v/>
      </c>
      <c r="D83" s="11">
        <f>'By Round'!C11</f>
        <v/>
      </c>
      <c r="E83" s="11">
        <f>'By Round'!D11</f>
        <v/>
      </c>
      <c r="F83" s="11">
        <f>IF(ISBLANK('By Round'!F11),"",'By Round'!F11)</f>
        <v/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 s="11">
        <f>'By Round'!A13</f>
        <v/>
      </c>
      <c r="C84" s="11">
        <f>'By Round'!B19</f>
        <v/>
      </c>
      <c r="D84" s="11">
        <f>'By Round'!C19</f>
        <v/>
      </c>
      <c r="E84" s="11">
        <f>'By Round'!D19</f>
        <v/>
      </c>
      <c r="F84" s="11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 s="11">
        <f>'By Round'!A63</f>
        <v/>
      </c>
      <c r="C85" s="11">
        <f>'By Round'!B67</f>
        <v/>
      </c>
      <c r="D85" s="11">
        <f>'By Round'!C67</f>
        <v/>
      </c>
      <c r="E85" s="11">
        <f>'By Round'!D67</f>
        <v/>
      </c>
      <c r="F85" s="11">
        <f>IF(ISBLANK('By Round'!F67),"",'By Round'!F67)</f>
        <v/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 s="11">
        <f>'By Round'!A73</f>
        <v/>
      </c>
      <c r="C86" s="11">
        <f>'By Round'!B75</f>
        <v/>
      </c>
      <c r="D86" s="11">
        <f>'By Round'!C75</f>
        <v/>
      </c>
      <c r="E86" s="11">
        <f>'By Round'!D75</f>
        <v/>
      </c>
      <c r="F86" s="11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s="11" t="n">
        <v>18</v>
      </c>
      <c r="B88" s="11">
        <f>'By Round'!A3</f>
        <v/>
      </c>
      <c r="C88" s="11">
        <f>'By Round'!B11</f>
        <v/>
      </c>
      <c r="D88" s="11">
        <f>'By Round'!C11</f>
        <v/>
      </c>
      <c r="E88" s="11">
        <f>'By Round'!D11</f>
        <v/>
      </c>
      <c r="F88" s="11">
        <f>IF(ISBLANK('By Round'!F12),"",'By Round'!F12)</f>
        <v/>
      </c>
      <c r="G88">
        <f>IF(ISBLANK('By Round'!G12),"",'By Round'!G12)</f>
        <v/>
      </c>
      <c r="H88">
        <f>IF(ISBLANK('By Round'!H12),"",'By Round'!H12)</f>
        <v/>
      </c>
      <c r="I88">
        <f>IF(ISBLANK('By Round'!I12),"",'By Round'!I12)</f>
        <v/>
      </c>
      <c r="J88">
        <f>IF(ISBLANK('By Round'!J12),"",'By Round'!J12)</f>
        <v/>
      </c>
      <c r="K88">
        <f>IF(ISBLANK('By Round'!K12),"",'By Round'!K12)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 s="11">
        <f>'By Round'!A13</f>
        <v/>
      </c>
      <c r="C89" s="11">
        <f>'By Round'!B19</f>
        <v/>
      </c>
      <c r="D89" s="11">
        <f>'By Round'!C19</f>
        <v/>
      </c>
      <c r="E89" s="11">
        <f>'By Round'!D19</f>
        <v/>
      </c>
      <c r="F89" s="11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 s="11">
        <f>'By Round'!A63</f>
        <v/>
      </c>
      <c r="C90" s="11">
        <f>'By Round'!B67</f>
        <v/>
      </c>
      <c r="D90" s="11">
        <f>'By Round'!C67</f>
        <v/>
      </c>
      <c r="E90" s="11">
        <f>'By Round'!D67</f>
        <v/>
      </c>
      <c r="F90" s="11">
        <f>IF(ISBLANK('By Round'!F68),"",'By Round'!F68)</f>
        <v/>
      </c>
      <c r="G90">
        <f>IF(ISBLANK('By Round'!G68),"",'By Round'!G68)</f>
        <v/>
      </c>
      <c r="H90">
        <f>IF(ISBLANK('By Round'!H68),"",'By Round'!H68)</f>
        <v/>
      </c>
      <c r="I90">
        <f>IF(ISBLANK('By Round'!I68),"",'By Round'!I68)</f>
        <v/>
      </c>
      <c r="J90">
        <f>IF(ISBLANK('By Round'!J68),"",'By Round'!J68)</f>
        <v/>
      </c>
      <c r="K90">
        <f>IF(ISBLANK('By Round'!K68),"",'By Round'!K68)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 s="11">
        <f>'By Round'!A73</f>
        <v/>
      </c>
      <c r="C91" s="11">
        <f>'By Round'!B75</f>
        <v/>
      </c>
      <c r="D91" s="11">
        <f>'By Round'!C75</f>
        <v/>
      </c>
      <c r="E91" s="11">
        <f>'By Round'!D75</f>
        <v/>
      </c>
      <c r="F91" s="11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inlineStr">
        <is>
          <t>Sit-Out</t>
        </is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inlineStr">
        <is>
          <t>Sit-Out</t>
        </is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inlineStr">
        <is>
          <t>Sit-Out</t>
        </is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inlineStr">
        <is>
          <t>Sit-Out</t>
        </is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inlineStr">
        <is>
          <t>Sit-Out</t>
        </is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inlineStr">
        <is>
          <t>Sit-Out</t>
        </is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inlineStr">
        <is>
          <t>Sit-Out</t>
        </is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inlineStr">
        <is>
          <t>Sit-Out</t>
        </is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2026-02-08T17:33:30Z</dcterms:created>
  <dcterms:modified xsi:type="dcterms:W3CDTF">2026-02-08T17:33:30Z</dcterms:modified>
</cp:coreProperties>
</file>