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10,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54</t>
        </is>
      </c>
      <c r="C10" t="inlineStr">
        <is>
          <t>Name 29</t>
        </is>
      </c>
      <c r="D10" s="4">
        <f>SUMIF('By Board'!$D$3:$D$82,"=1",'By Board'!$N$3:$N$82)/16+SUMIF('By Board'!$E$3:$E$82,"=1",'By Board'!$O$3:$O$82)/16</f>
        <v/>
      </c>
      <c r="E10" s="5">
        <f>SUMIF('By Board'!$D$3:$D$82,"=1",'By Board'!$L$3:$L$82)+SUMIF('By Board'!$E$3:$E$82,"=1",'By Board'!$M$3:$M$82)</f>
        <v/>
      </c>
    </row>
    <row r="11">
      <c r="A11" s="2" t="n">
        <v>2</v>
      </c>
      <c r="B11" t="inlineStr">
        <is>
          <t>Name 25</t>
        </is>
      </c>
      <c r="C11" t="inlineStr">
        <is>
          <t>Name 59</t>
        </is>
      </c>
      <c r="D11" s="4">
        <f>SUMIF('By Board'!$D$3:$D$82,"=2",'By Board'!$N$3:$N$82)/16+SUMIF('By Board'!$E$3:$E$82,"=2",'By Board'!$O$3:$O$82)/16</f>
        <v/>
      </c>
      <c r="E11" s="5">
        <f>SUMIF('By Board'!$D$3:$D$82,"=2",'By Board'!$L$3:$L$82)+SUMIF('By Board'!$E$3:$E$82,"=2",'By Board'!$M$3:$M$82)</f>
        <v/>
      </c>
    </row>
    <row r="12">
      <c r="A12" s="2" t="n">
        <v>3</v>
      </c>
      <c r="B12" t="inlineStr">
        <is>
          <t>Name 11</t>
        </is>
      </c>
      <c r="C12" t="inlineStr">
        <is>
          <t>Name 47</t>
        </is>
      </c>
      <c r="D12" s="4">
        <f>SUMIF('By Board'!$D$3:$D$82,"=3",'By Board'!$N$3:$N$82)/16+SUMIF('By Board'!$E$3:$E$82,"=3",'By Board'!$O$3:$O$82)/16</f>
        <v/>
      </c>
      <c r="E12" s="5">
        <f>SUMIF('By Board'!$D$3:$D$82,"=3",'By Board'!$L$3:$L$82)+SUMIF('By Board'!$E$3:$E$82,"=3",'By Board'!$M$3:$M$82)</f>
        <v/>
      </c>
    </row>
    <row r="13">
      <c r="A13" s="2" t="n">
        <v>4</v>
      </c>
      <c r="B13" t="inlineStr">
        <is>
          <t>Name 27</t>
        </is>
      </c>
      <c r="C13" t="inlineStr">
        <is>
          <t>Name 37</t>
        </is>
      </c>
      <c r="D13" s="4">
        <f>SUMIF('By Board'!$D$3:$D$82,"=4",'By Board'!$N$3:$N$82)/16+SUMIF('By Board'!$E$3:$E$82,"=4",'By Board'!$O$3:$O$82)/16</f>
        <v/>
      </c>
      <c r="E13" s="5">
        <f>SUMIF('By Board'!$D$3:$D$82,"=4",'By Board'!$L$3:$L$82)+SUMIF('By Board'!$E$3:$E$82,"=4",'By Board'!$M$3:$M$82)</f>
        <v/>
      </c>
    </row>
    <row r="14">
      <c r="A14" s="2" t="n">
        <v>5</v>
      </c>
      <c r="B14" t="inlineStr">
        <is>
          <t>Name 46</t>
        </is>
      </c>
      <c r="C14" t="inlineStr">
        <is>
          <t>Name 14</t>
        </is>
      </c>
      <c r="D14" s="4">
        <f>SUMIF('By Board'!$D$3:$D$82,"=5",'By Board'!$N$3:$N$82)/16+SUMIF('By Board'!$E$3:$E$82,"=5",'By Board'!$O$3:$O$82)/16</f>
        <v/>
      </c>
      <c r="E14" s="5">
        <f>SUMIF('By Board'!$D$3:$D$82,"=5",'By Board'!$L$3:$L$82)+SUMIF('By Board'!$E$3:$E$82,"=5",'By Board'!$M$3:$M$82)</f>
        <v/>
      </c>
    </row>
    <row r="15">
      <c r="A15" s="2" t="n">
        <v>6</v>
      </c>
      <c r="B15" t="inlineStr">
        <is>
          <t>Name 36</t>
        </is>
      </c>
      <c r="C15" t="inlineStr">
        <is>
          <t>Name 25</t>
        </is>
      </c>
      <c r="D15" s="4">
        <f>SUMIF('By Board'!$D$3:$D$82,"=6",'By Board'!$N$3:$N$82)/16+SUMIF('By Board'!$E$3:$E$82,"=6",'By Board'!$O$3:$O$82)/16</f>
        <v/>
      </c>
      <c r="E15" s="5">
        <f>SUMIF('By Board'!$D$3:$D$82,"=6",'By Board'!$L$3:$L$82)+SUMIF('By Board'!$E$3:$E$82,"=6",'By Board'!$M$3:$M$82)</f>
        <v/>
      </c>
    </row>
    <row r="16">
      <c r="A16" s="2" t="n">
        <v>7</v>
      </c>
      <c r="B16" t="inlineStr">
        <is>
          <t>Name 73</t>
        </is>
      </c>
      <c r="C16" t="inlineStr">
        <is>
          <t>Name 77</t>
        </is>
      </c>
      <c r="D16" s="4">
        <f>SUMIF('By Board'!$D$3:$D$82,"=7",'By Board'!$N$3:$N$82)/16+SUMIF('By Board'!$E$3:$E$82,"=7",'By Board'!$O$3:$O$82)/16</f>
        <v/>
      </c>
      <c r="E16" s="5">
        <f>SUMIF('By Board'!$D$3:$D$82,"=7",'By Board'!$L$3:$L$82)+SUMIF('By Board'!$E$3:$E$82,"=7",'By Board'!$M$3:$M$82)</f>
        <v/>
      </c>
    </row>
    <row r="17">
      <c r="A17" s="2" t="n">
        <v>8</v>
      </c>
      <c r="B17" t="inlineStr">
        <is>
          <t>Name 43</t>
        </is>
      </c>
      <c r="C17" t="inlineStr">
        <is>
          <t>Name 17</t>
        </is>
      </c>
      <c r="D17" s="4">
        <f>SUMIF('By Board'!$D$3:$D$82,"=8",'By Board'!$N$3:$N$82)/16+SUMIF('By Board'!$E$3:$E$82,"=8",'By Board'!$O$3:$O$82)/16</f>
        <v/>
      </c>
      <c r="E17" s="5">
        <f>SUMIF('By Board'!$D$3:$D$82,"=8",'By Board'!$L$3:$L$82)+SUMIF('By Board'!$E$3:$E$82,"=8",'By Board'!$M$3:$M$82)</f>
        <v/>
      </c>
    </row>
    <row r="18">
      <c r="A18" s="2" t="n">
        <v>9</v>
      </c>
      <c r="B18" t="inlineStr">
        <is>
          <t>Name 76</t>
        </is>
      </c>
      <c r="C18" t="inlineStr">
        <is>
          <t>Name 74</t>
        </is>
      </c>
      <c r="D18" s="4">
        <f>SUMIF('By Board'!$D$3:$D$82,"=9",'By Board'!$N$3:$N$82)/16+SUMIF('By Board'!$E$3:$E$82,"=9",'By Board'!$O$3:$O$82)/16</f>
        <v/>
      </c>
      <c r="E18" s="5">
        <f>SUMIF('By Board'!$D$3:$D$82,"=9",'By Board'!$L$3:$L$82)+SUMIF('By Board'!$E$3:$E$82,"=9",'By Board'!$M$3:$M$82)</f>
        <v/>
      </c>
    </row>
    <row r="19">
      <c r="D19" s="6">
        <f>AVERAGE(D10:D18)</f>
        <v/>
      </c>
      <c r="E19" s="7">
        <f>SUM(E10:E18)</f>
        <v/>
      </c>
    </row>
    <row r="21">
      <c r="A21" t="inlineStr">
        <is>
          <t>To sort, remove single quote below</t>
        </is>
      </c>
    </row>
    <row r="22">
      <c r="A22" s="2" t="inlineStr">
        <is>
          <t>IMP Ranking</t>
        </is>
      </c>
    </row>
    <row r="23">
      <c r="A23" t="inlineStr">
        <is>
          <t>'=SORT(A10:E18,4,-1)</t>
        </is>
      </c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6">
      <c r="A36" s="2" t="inlineStr">
        <is>
          <t>MP Ranking</t>
        </is>
      </c>
    </row>
    <row r="37">
      <c r="A37" t="inlineStr">
        <is>
          <t>'=SORT(A10:E18,5,-1)</t>
        </is>
      </c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</sheetData>
  <mergeCells count="9">
    <mergeCell ref="A4:B4"/>
    <mergeCell ref="A7:B7"/>
    <mergeCell ref="A2:E2"/>
    <mergeCell ref="A5:B5"/>
    <mergeCell ref="A9:C9"/>
    <mergeCell ref="A36:E36"/>
    <mergeCell ref="A22:E22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X2" s="2" t="inlineStr">
        <is>
          <t>EW MP Scores</t>
        </is>
      </c>
      <c r="AB2" s="10" t="inlineStr">
        <is>
          <t>NS IMP Pair-wise</t>
        </is>
      </c>
      <c r="AF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SUM(AB3:AE3)</f>
        <v/>
      </c>
      <c r="M3" s="13">
        <f>SUM(AF3:AI3)</f>
        <v/>
      </c>
      <c r="N3" s="8">
        <f>IF(COUNT(T3:W3)&gt;0,P3/COUNT(T3:W3),0.5)</f>
        <v/>
      </c>
      <c r="O3" s="8">
        <f>IF(COUNT(X3:AA3)&gt;0,Q3/COUNT(X3:AA3),0.5)</f>
        <v/>
      </c>
      <c r="P3" s="5">
        <f>SUM(T3:W3)</f>
        <v/>
      </c>
      <c r="Q3" s="5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1">
        <f>'By Round'!A13</f>
        <v/>
      </c>
      <c r="C4" s="11">
        <f>'By Round'!B21</f>
        <v/>
      </c>
      <c r="D4" s="11">
        <f>'By Round'!C21</f>
        <v/>
      </c>
      <c r="E4" s="11">
        <f>'By Round'!D21</f>
        <v/>
      </c>
      <c r="F4" s="11">
        <f>IF(ISBLANK('By Round'!F21),"",'By Round'!F21)</f>
        <v/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 s="12">
        <f>SUM(AB4:AE4)</f>
        <v/>
      </c>
      <c r="M4" s="13">
        <f>SUM(AF4:AI4)</f>
        <v/>
      </c>
      <c r="N4" s="8">
        <f>IF(COUNT(T4:W4)&gt;0,P4/COUNT(T4:W4),0.5)</f>
        <v/>
      </c>
      <c r="O4" s="8">
        <f>IF(COUNT(X4:AA4)&gt;0,Q4/COUNT(X4:AA4),0.5)</f>
        <v/>
      </c>
      <c r="P4" s="5">
        <f>SUM(T4:W4)</f>
        <v/>
      </c>
      <c r="Q4" s="5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1">
        <f>'By Round'!A23</f>
        <v/>
      </c>
      <c r="C5" s="11">
        <f>'By Round'!B29</f>
        <v/>
      </c>
      <c r="D5" s="11">
        <f>'By Round'!C29</f>
        <v/>
      </c>
      <c r="E5" s="11">
        <f>'By Round'!D29</f>
        <v/>
      </c>
      <c r="F5" s="11">
        <f>IF(ISBLANK('By Round'!F29),"",'By Round'!F29)</f>
        <v/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2">
        <f>SUM(AB5:AE5)</f>
        <v/>
      </c>
      <c r="M5" s="13">
        <f>SUM(AF5:AI5)</f>
        <v/>
      </c>
      <c r="N5" s="8">
        <f>IF(COUNT(T5:W5)&gt;0,P5/COUNT(T5:W5),0.5)</f>
        <v/>
      </c>
      <c r="O5" s="8">
        <f>IF(COUNT(X5:AA5)&gt;0,Q5/COUNT(X5:AA5),0.5)</f>
        <v/>
      </c>
      <c r="P5" s="5">
        <f>SUM(T5:W5)</f>
        <v/>
      </c>
      <c r="Q5" s="5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1">
        <f>'By Round'!A73</f>
        <v/>
      </c>
      <c r="C6" s="11">
        <f>'By Round'!B77</f>
        <v/>
      </c>
      <c r="D6" s="11">
        <f>'By Round'!C77</f>
        <v/>
      </c>
      <c r="E6" s="11">
        <f>'By Round'!D77</f>
        <v/>
      </c>
      <c r="F6" s="11">
        <f>IF(ISBLANK('By Round'!F77),"",'By Round'!F77)</f>
        <v/>
      </c>
      <c r="G6">
        <f>IF(ISBLANK('By Round'!G77),"",'By Round'!G77)</f>
        <v/>
      </c>
      <c r="H6">
        <f>IF(ISBLANK('By Round'!H77),"",'By Round'!H77)</f>
        <v/>
      </c>
      <c r="I6">
        <f>IF(ISBLANK('By Round'!I77),"",'By Round'!I77)</f>
        <v/>
      </c>
      <c r="J6">
        <f>IF(ISBLANK('By Round'!J77),"",'By Round'!J77)</f>
        <v/>
      </c>
      <c r="K6">
        <f>IF(ISBLANK('By Round'!K77),"",'By Round'!K77)</f>
        <v/>
      </c>
      <c r="L6" s="12">
        <f>SUM(AB6:AE6)</f>
        <v/>
      </c>
      <c r="M6" s="13">
        <f>SUM(AF6:AI6)</f>
        <v/>
      </c>
      <c r="N6" s="8">
        <f>IF(COUNT(T6:W6)&gt;0,P6/COUNT(T6:W6),0.5)</f>
        <v/>
      </c>
      <c r="O6" s="8">
        <f>IF(COUNT(X6:AA6)&gt;0,Q6/COUNT(X6:AA6),0.5)</f>
        <v/>
      </c>
      <c r="P6" s="5">
        <f>SUM(T6:W6)</f>
        <v/>
      </c>
      <c r="Q6" s="5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6">
        <f>'By Round'!A83</f>
        <v/>
      </c>
      <c r="C7" s="16">
        <f>'By Round'!B85</f>
        <v/>
      </c>
      <c r="D7" s="16">
        <f>'By Round'!C85</f>
        <v/>
      </c>
      <c r="E7" s="16">
        <f>'By Round'!D85</f>
        <v/>
      </c>
      <c r="F7" s="16">
        <f>IF(ISBLANK('By Round'!F85),"",'By Round'!F85)</f>
        <v/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7">
        <f>SUM(AB7:AE7)</f>
        <v/>
      </c>
      <c r="M7" s="18">
        <f>SUM(AF7:AI7)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s="11" t="n">
        <v>2</v>
      </c>
      <c r="B8" s="11">
        <f>'By Round'!A3</f>
        <v/>
      </c>
      <c r="C8" s="11">
        <f>'By Round'!B3</f>
        <v/>
      </c>
      <c r="D8" s="11">
        <f>'By Round'!C3</f>
        <v/>
      </c>
      <c r="E8" s="11">
        <f>'By Round'!D3</f>
        <v/>
      </c>
      <c r="F8" s="11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2">
        <f>SUM(AB8:AE8)</f>
        <v/>
      </c>
      <c r="M8" s="13">
        <f>SUM(AF8:AI8)</f>
        <v/>
      </c>
      <c r="N8" s="8">
        <f>IF(COUNT(T8:W8)&gt;0,P8/COUNT(T8:W8),0.5)</f>
        <v/>
      </c>
      <c r="O8" s="8">
        <f>IF(COUNT(X8:AA8)&gt;0,Q8/COUNT(X8:AA8),0.5)</f>
        <v/>
      </c>
      <c r="P8" s="5">
        <f>SUM(T8:W8)</f>
        <v/>
      </c>
      <c r="Q8" s="5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1">
        <f>'By Round'!A13</f>
        <v/>
      </c>
      <c r="C9" s="11">
        <f>'By Round'!B21</f>
        <v/>
      </c>
      <c r="D9" s="11">
        <f>'By Round'!C21</f>
        <v/>
      </c>
      <c r="E9" s="11">
        <f>'By Round'!D21</f>
        <v/>
      </c>
      <c r="F9" s="11">
        <f>IF(ISBLANK('By Round'!F22),"",'By Round'!F22)</f>
        <v/>
      </c>
      <c r="G9">
        <f>IF(ISBLANK('By Round'!G22),"",'By Round'!G22)</f>
        <v/>
      </c>
      <c r="H9">
        <f>IF(ISBLANK('By Round'!H22),"",'By Round'!H22)</f>
        <v/>
      </c>
      <c r="I9">
        <f>IF(ISBLANK('By Round'!I22),"",'By Round'!I22)</f>
        <v/>
      </c>
      <c r="J9">
        <f>IF(ISBLANK('By Round'!J22),"",'By Round'!J22)</f>
        <v/>
      </c>
      <c r="K9">
        <f>IF(ISBLANK('By Round'!K22),"",'By Round'!K22)</f>
        <v/>
      </c>
      <c r="L9" s="12">
        <f>SUM(AB9:AE9)</f>
        <v/>
      </c>
      <c r="M9" s="13">
        <f>SUM(AF9:AI9)</f>
        <v/>
      </c>
      <c r="N9" s="8">
        <f>IF(COUNT(T9:W9)&gt;0,P9/COUNT(T9:W9),0.5)</f>
        <v/>
      </c>
      <c r="O9" s="8">
        <f>IF(COUNT(X9:AA9)&gt;0,Q9/COUNT(X9:AA9),0.5)</f>
        <v/>
      </c>
      <c r="P9" s="5">
        <f>SUM(T9:W9)</f>
        <v/>
      </c>
      <c r="Q9" s="5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1">
        <f>'By Round'!A23</f>
        <v/>
      </c>
      <c r="C10" s="11">
        <f>'By Round'!B29</f>
        <v/>
      </c>
      <c r="D10" s="11">
        <f>'By Round'!C29</f>
        <v/>
      </c>
      <c r="E10" s="11">
        <f>'By Round'!D29</f>
        <v/>
      </c>
      <c r="F10" s="11">
        <f>IF(ISBLANK('By Round'!F30),"",'By Round'!F30)</f>
        <v/>
      </c>
      <c r="G10">
        <f>IF(ISBLANK('By Round'!G30),"",'By Round'!G30)</f>
        <v/>
      </c>
      <c r="H10">
        <f>IF(ISBLANK('By Round'!H30),"",'By Round'!H30)</f>
        <v/>
      </c>
      <c r="I10">
        <f>IF(ISBLANK('By Round'!I30),"",'By Round'!I30)</f>
        <v/>
      </c>
      <c r="J10">
        <f>IF(ISBLANK('By Round'!J30),"",'By Round'!J30)</f>
        <v/>
      </c>
      <c r="K10">
        <f>IF(ISBLANK('By Round'!K30),"",'By Round'!K30)</f>
        <v/>
      </c>
      <c r="L10" s="12">
        <f>SUM(AB10:AE10)</f>
        <v/>
      </c>
      <c r="M10" s="13">
        <f>SUM(AF10:AI10)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5">
        <f>SUM(T10:W10)</f>
        <v/>
      </c>
      <c r="Q10" s="5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1">
        <f>'By Round'!A73</f>
        <v/>
      </c>
      <c r="C11" s="11">
        <f>'By Round'!B77</f>
        <v/>
      </c>
      <c r="D11" s="11">
        <f>'By Round'!C77</f>
        <v/>
      </c>
      <c r="E11" s="11">
        <f>'By Round'!D77</f>
        <v/>
      </c>
      <c r="F11" s="11">
        <f>IF(ISBLANK('By Round'!F78),"",'By Round'!F78)</f>
        <v/>
      </c>
      <c r="G11">
        <f>IF(ISBLANK('By Round'!G78),"",'By Round'!G78)</f>
        <v/>
      </c>
      <c r="H11">
        <f>IF(ISBLANK('By Round'!H78),"",'By Round'!H78)</f>
        <v/>
      </c>
      <c r="I11">
        <f>IF(ISBLANK('By Round'!I78),"",'By Round'!I78)</f>
        <v/>
      </c>
      <c r="J11">
        <f>IF(ISBLANK('By Round'!J78),"",'By Round'!J78)</f>
        <v/>
      </c>
      <c r="K11">
        <f>IF(ISBLANK('By Round'!K78),"",'By Round'!K78)</f>
        <v/>
      </c>
      <c r="L11" s="12">
        <f>SUM(AB11:AE11)</f>
        <v/>
      </c>
      <c r="M11" s="13">
        <f>SUM(AF11:AI11)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5">
        <f>SUM(T11:W11)</f>
        <v/>
      </c>
      <c r="Q11" s="5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6">
        <f>'By Round'!A83</f>
        <v/>
      </c>
      <c r="C12" s="16">
        <f>'By Round'!B85</f>
        <v/>
      </c>
      <c r="D12" s="16">
        <f>'By Round'!C85</f>
        <v/>
      </c>
      <c r="E12" s="16">
        <f>'By Round'!D85</f>
        <v/>
      </c>
      <c r="F12" s="16">
        <f>IF(ISBLANK('By Round'!F86),"",'By Round'!F86)</f>
        <v/>
      </c>
      <c r="G12" s="15">
        <f>IF(ISBLANK('By Round'!G86),"",'By Round'!G86)</f>
        <v/>
      </c>
      <c r="H12" s="15">
        <f>IF(ISBLANK('By Round'!H86),"",'By Round'!H86)</f>
        <v/>
      </c>
      <c r="I12" s="15">
        <f>IF(ISBLANK('By Round'!I86),"",'By Round'!I86)</f>
        <v/>
      </c>
      <c r="J12" s="15">
        <f>IF(ISBLANK('By Round'!J86),"",'By Round'!J86)</f>
        <v/>
      </c>
      <c r="K12" s="15">
        <f>IF(ISBLANK('By Round'!K86),"",'By Round'!K86)</f>
        <v/>
      </c>
      <c r="L12" s="17">
        <f>SUM(AB12:AE12)</f>
        <v/>
      </c>
      <c r="M12" s="18">
        <f>SUM(AF12:AI12)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s="11" t="n">
        <v>3</v>
      </c>
      <c r="B13" s="11">
        <f>'By Round'!A3</f>
        <v/>
      </c>
      <c r="C13" s="11">
        <f>'By Round'!B5</f>
        <v/>
      </c>
      <c r="D13" s="11">
        <f>'By Round'!C5</f>
        <v/>
      </c>
      <c r="E13" s="11">
        <f>'By Round'!D5</f>
        <v/>
      </c>
      <c r="F13" s="11">
        <f>IF(ISBLANK('By Round'!F5),"",'By Round'!F5)</f>
        <v/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2">
        <f>SUM(AB13:AE13)</f>
        <v/>
      </c>
      <c r="M13" s="13">
        <f>SUM(AF13:AI13)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5">
        <f>SUM(T13:W13)</f>
        <v/>
      </c>
      <c r="Q13" s="5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1">
        <f>'By Round'!A13</f>
        <v/>
      </c>
      <c r="C14" s="11">
        <f>'By Round'!B13</f>
        <v/>
      </c>
      <c r="D14" s="11">
        <f>'By Round'!C13</f>
        <v/>
      </c>
      <c r="E14" s="11">
        <f>'By Round'!D13</f>
        <v/>
      </c>
      <c r="F14" s="11">
        <f>IF(ISBLANK('By Round'!F13),"",'By Round'!F13)</f>
        <v/>
      </c>
      <c r="G14">
        <f>IF(ISBLANK('By Round'!G13),"",'By Round'!G13)</f>
        <v/>
      </c>
      <c r="H14">
        <f>IF(ISBLANK('By Round'!H13),"",'By Round'!H13)</f>
        <v/>
      </c>
      <c r="I14">
        <f>IF(ISBLANK('By Round'!I13),"",'By Round'!I13)</f>
        <v/>
      </c>
      <c r="J14">
        <f>IF(ISBLANK('By Round'!J13),"",'By Round'!J13)</f>
        <v/>
      </c>
      <c r="K14">
        <f>IF(ISBLANK('By Round'!K13),"",'By Round'!K13)</f>
        <v/>
      </c>
      <c r="L14" s="12">
        <f>SUM(AB14:AE14)</f>
        <v/>
      </c>
      <c r="M14" s="13">
        <f>SUM(AF14:AI14)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5">
        <f>SUM(T14:W14)</f>
        <v/>
      </c>
      <c r="Q14" s="5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1">
        <f>'By Round'!A23</f>
        <v/>
      </c>
      <c r="C15" s="11">
        <f>'By Round'!B31</f>
        <v/>
      </c>
      <c r="D15" s="11">
        <f>'By Round'!C31</f>
        <v/>
      </c>
      <c r="E15" s="11">
        <f>'By Round'!D31</f>
        <v/>
      </c>
      <c r="F15" s="11">
        <f>IF(ISBLANK('By Round'!F31),"",'By Round'!F31)</f>
        <v/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2">
        <f>SUM(AB15:AE15)</f>
        <v/>
      </c>
      <c r="M15" s="13">
        <f>SUM(AF15:AI15)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5">
        <f>SUM(T15:W15)</f>
        <v/>
      </c>
      <c r="Q15" s="5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1">
        <f>'By Round'!A33</f>
        <v/>
      </c>
      <c r="C16" s="11">
        <f>'By Round'!B39</f>
        <v/>
      </c>
      <c r="D16" s="11">
        <f>'By Round'!C39</f>
        <v/>
      </c>
      <c r="E16" s="11">
        <f>'By Round'!D39</f>
        <v/>
      </c>
      <c r="F16" s="11">
        <f>IF(ISBLANK('By Round'!F39),"",'By Round'!F39)</f>
        <v/>
      </c>
      <c r="G16">
        <f>IF(ISBLANK('By Round'!G39),"",'By Round'!G39)</f>
        <v/>
      </c>
      <c r="H16">
        <f>IF(ISBLANK('By Round'!H39),"",'By Round'!H39)</f>
        <v/>
      </c>
      <c r="I16">
        <f>IF(ISBLANK('By Round'!I39),"",'By Round'!I39)</f>
        <v/>
      </c>
      <c r="J16">
        <f>IF(ISBLANK('By Round'!J39),"",'By Round'!J39)</f>
        <v/>
      </c>
      <c r="K16">
        <f>IF(ISBLANK('By Round'!K39),"",'By Round'!K39)</f>
        <v/>
      </c>
      <c r="L16" s="12">
        <f>SUM(AB16:AE16)</f>
        <v/>
      </c>
      <c r="M16" s="13">
        <f>SUM(AF16:AI16)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5">
        <f>SUM(T16:W16)</f>
        <v/>
      </c>
      <c r="Q16" s="5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6">
        <f>'By Round'!A83</f>
        <v/>
      </c>
      <c r="C17" s="16">
        <f>'By Round'!B87</f>
        <v/>
      </c>
      <c r="D17" s="16">
        <f>'By Round'!C87</f>
        <v/>
      </c>
      <c r="E17" s="16">
        <f>'By Round'!D87</f>
        <v/>
      </c>
      <c r="F17" s="16">
        <f>IF(ISBLANK('By Round'!F87),"",'By Round'!F87)</f>
        <v/>
      </c>
      <c r="G17" s="15">
        <f>IF(ISBLANK('By Round'!G87),"",'By Round'!G87)</f>
        <v/>
      </c>
      <c r="H17" s="15">
        <f>IF(ISBLANK('By Round'!H87),"",'By Round'!H87)</f>
        <v/>
      </c>
      <c r="I17" s="15">
        <f>IF(ISBLANK('By Round'!I87),"",'By Round'!I87)</f>
        <v/>
      </c>
      <c r="J17" s="15">
        <f>IF(ISBLANK('By Round'!J87),"",'By Round'!J87)</f>
        <v/>
      </c>
      <c r="K17" s="15">
        <f>IF(ISBLANK('By Round'!K87),"",'By Round'!K87)</f>
        <v/>
      </c>
      <c r="L17" s="17">
        <f>SUM(AB17:AE17)</f>
        <v/>
      </c>
      <c r="M17" s="18">
        <f>SUM(AF17:AI17)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s="11" t="n">
        <v>4</v>
      </c>
      <c r="B18" s="11">
        <f>'By Round'!A3</f>
        <v/>
      </c>
      <c r="C18" s="11">
        <f>'By Round'!B5</f>
        <v/>
      </c>
      <c r="D18" s="11">
        <f>'By Round'!C5</f>
        <v/>
      </c>
      <c r="E18" s="11">
        <f>'By Round'!D5</f>
        <v/>
      </c>
      <c r="F18" s="11">
        <f>IF(ISBLANK('By Round'!F6),"",'By Round'!F6)</f>
        <v/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2">
        <f>SUM(AB18:AE18)</f>
        <v/>
      </c>
      <c r="M18" s="13">
        <f>SUM(AF18:AI18)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5">
        <f>SUM(T18:W18)</f>
        <v/>
      </c>
      <c r="Q18" s="5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1">
        <f>'By Round'!A13</f>
        <v/>
      </c>
      <c r="C19" s="11">
        <f>'By Round'!B13</f>
        <v/>
      </c>
      <c r="D19" s="11">
        <f>'By Round'!C13</f>
        <v/>
      </c>
      <c r="E19" s="11">
        <f>'By Round'!D13</f>
        <v/>
      </c>
      <c r="F19" s="11">
        <f>IF(ISBLANK('By Round'!F14),"",'By Round'!F14)</f>
        <v/>
      </c>
      <c r="G19">
        <f>IF(ISBLANK('By Round'!G14),"",'By Round'!G14)</f>
        <v/>
      </c>
      <c r="H19">
        <f>IF(ISBLANK('By Round'!H14),"",'By Round'!H14)</f>
        <v/>
      </c>
      <c r="I19">
        <f>IF(ISBLANK('By Round'!I14),"",'By Round'!I14)</f>
        <v/>
      </c>
      <c r="J19">
        <f>IF(ISBLANK('By Round'!J14),"",'By Round'!J14)</f>
        <v/>
      </c>
      <c r="K19">
        <f>IF(ISBLANK('By Round'!K14),"",'By Round'!K14)</f>
        <v/>
      </c>
      <c r="L19" s="12">
        <f>SUM(AB19:AE19)</f>
        <v/>
      </c>
      <c r="M19" s="13">
        <f>SUM(AF19:AI19)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5">
        <f>SUM(T19:W19)</f>
        <v/>
      </c>
      <c r="Q19" s="5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1">
        <f>'By Round'!A23</f>
        <v/>
      </c>
      <c r="C20" s="11">
        <f>'By Round'!B31</f>
        <v/>
      </c>
      <c r="D20" s="11">
        <f>'By Round'!C31</f>
        <v/>
      </c>
      <c r="E20" s="11">
        <f>'By Round'!D31</f>
        <v/>
      </c>
      <c r="F20" s="11">
        <f>IF(ISBLANK('By Round'!F32),"",'By Round'!F32)</f>
        <v/>
      </c>
      <c r="G20">
        <f>IF(ISBLANK('By Round'!G32),"",'By Round'!G32)</f>
        <v/>
      </c>
      <c r="H20">
        <f>IF(ISBLANK('By Round'!H32),"",'By Round'!H32)</f>
        <v/>
      </c>
      <c r="I20">
        <f>IF(ISBLANK('By Round'!I32),"",'By Round'!I32)</f>
        <v/>
      </c>
      <c r="J20">
        <f>IF(ISBLANK('By Round'!J32),"",'By Round'!J32)</f>
        <v/>
      </c>
      <c r="K20">
        <f>IF(ISBLANK('By Round'!K32),"",'By Round'!K32)</f>
        <v/>
      </c>
      <c r="L20" s="12">
        <f>SUM(AB20:AE20)</f>
        <v/>
      </c>
      <c r="M20" s="13">
        <f>SUM(AF20:AI20)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5">
        <f>SUM(T20:W20)</f>
        <v/>
      </c>
      <c r="Q20" s="5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1">
        <f>'By Round'!A33</f>
        <v/>
      </c>
      <c r="C21" s="11">
        <f>'By Round'!B39</f>
        <v/>
      </c>
      <c r="D21" s="11">
        <f>'By Round'!C39</f>
        <v/>
      </c>
      <c r="E21" s="11">
        <f>'By Round'!D39</f>
        <v/>
      </c>
      <c r="F21" s="11">
        <f>IF(ISBLANK('By Round'!F40),"",'By Round'!F40)</f>
        <v/>
      </c>
      <c r="G21">
        <f>IF(ISBLANK('By Round'!G40),"",'By Round'!G40)</f>
        <v/>
      </c>
      <c r="H21">
        <f>IF(ISBLANK('By Round'!H40),"",'By Round'!H40)</f>
        <v/>
      </c>
      <c r="I21">
        <f>IF(ISBLANK('By Round'!I40),"",'By Round'!I40)</f>
        <v/>
      </c>
      <c r="J21">
        <f>IF(ISBLANK('By Round'!J40),"",'By Round'!J40)</f>
        <v/>
      </c>
      <c r="K21">
        <f>IF(ISBLANK('By Round'!K40),"",'By Round'!K40)</f>
        <v/>
      </c>
      <c r="L21" s="12">
        <f>SUM(AB21:AE21)</f>
        <v/>
      </c>
      <c r="M21" s="13">
        <f>SUM(AF21:AI21)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5">
        <f>SUM(T21:W21)</f>
        <v/>
      </c>
      <c r="Q21" s="5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6">
        <f>'By Round'!A83</f>
        <v/>
      </c>
      <c r="C22" s="16">
        <f>'By Round'!B87</f>
        <v/>
      </c>
      <c r="D22" s="16">
        <f>'By Round'!C87</f>
        <v/>
      </c>
      <c r="E22" s="16">
        <f>'By Round'!D87</f>
        <v/>
      </c>
      <c r="F22" s="16">
        <f>IF(ISBLANK('By Round'!F88),"",'By Round'!F88)</f>
        <v/>
      </c>
      <c r="G22" s="15">
        <f>IF(ISBLANK('By Round'!G88),"",'By Round'!G88)</f>
        <v/>
      </c>
      <c r="H22" s="15">
        <f>IF(ISBLANK('By Round'!H88),"",'By Round'!H88)</f>
        <v/>
      </c>
      <c r="I22" s="15">
        <f>IF(ISBLANK('By Round'!I88),"",'By Round'!I88)</f>
        <v/>
      </c>
      <c r="J22" s="15">
        <f>IF(ISBLANK('By Round'!J88),"",'By Round'!J88)</f>
        <v/>
      </c>
      <c r="K22" s="15">
        <f>IF(ISBLANK('By Round'!K88),"",'By Round'!K88)</f>
        <v/>
      </c>
      <c r="L22" s="17">
        <f>SUM(AB22:AE22)</f>
        <v/>
      </c>
      <c r="M22" s="18">
        <f>SUM(AF22:AI22)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s="11" t="n">
        <v>5</v>
      </c>
      <c r="B23" s="11">
        <f>'By Round'!A3</f>
        <v/>
      </c>
      <c r="C23" s="11">
        <f>'By Round'!B7</f>
        <v/>
      </c>
      <c r="D23" s="11">
        <f>'By Round'!C7</f>
        <v/>
      </c>
      <c r="E23" s="11">
        <f>'By Round'!D7</f>
        <v/>
      </c>
      <c r="F23" s="11">
        <f>IF(ISBLANK('By Round'!F7),"",'By Round'!F7)</f>
        <v/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SUM(AB23:AE23)</f>
        <v/>
      </c>
      <c r="M23" s="13">
        <f>SUM(AF23:AI23)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5">
        <f>SUM(T23:W23)</f>
        <v/>
      </c>
      <c r="Q23" s="5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1">
        <f>'By Round'!A13</f>
        <v/>
      </c>
      <c r="C24" s="11">
        <f>'By Round'!B15</f>
        <v/>
      </c>
      <c r="D24" s="11">
        <f>'By Round'!C15</f>
        <v/>
      </c>
      <c r="E24" s="11">
        <f>'By Round'!D15</f>
        <v/>
      </c>
      <c r="F24" s="11">
        <f>IF(ISBLANK('By Round'!F15),"",'By Round'!F15)</f>
        <v/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SUM(AB24:AE24)</f>
        <v/>
      </c>
      <c r="M24" s="13">
        <f>SUM(AF24:AI24)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5">
        <f>SUM(T24:W24)</f>
        <v/>
      </c>
      <c r="Q24" s="5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1">
        <f>'By Round'!A23</f>
        <v/>
      </c>
      <c r="C25" s="11">
        <f>'By Round'!B23</f>
        <v/>
      </c>
      <c r="D25" s="11">
        <f>'By Round'!C23</f>
        <v/>
      </c>
      <c r="E25" s="11">
        <f>'By Round'!D23</f>
        <v/>
      </c>
      <c r="F25" s="11">
        <f>IF(ISBLANK('By Round'!F23),"",'By Round'!F23)</f>
        <v/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2">
        <f>SUM(AB25:AE25)</f>
        <v/>
      </c>
      <c r="M25" s="13">
        <f>SUM(AF25:AI25)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5">
        <f>SUM(T25:W25)</f>
        <v/>
      </c>
      <c r="Q25" s="5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1">
        <f>'By Round'!A33</f>
        <v/>
      </c>
      <c r="C26" s="11">
        <f>'By Round'!B41</f>
        <v/>
      </c>
      <c r="D26" s="11">
        <f>'By Round'!C41</f>
        <v/>
      </c>
      <c r="E26" s="11">
        <f>'By Round'!D41</f>
        <v/>
      </c>
      <c r="F26" s="11">
        <f>IF(ISBLANK('By Round'!F41),"",'By Round'!F41)</f>
        <v/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2">
        <f>SUM(AB26:AE26)</f>
        <v/>
      </c>
      <c r="M26" s="13">
        <f>SUM(AF26:AI26)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5">
        <f>SUM(T26:W26)</f>
        <v/>
      </c>
      <c r="Q26" s="5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6">
        <f>'By Round'!A43</f>
        <v/>
      </c>
      <c r="C27" s="16">
        <f>'By Round'!B49</f>
        <v/>
      </c>
      <c r="D27" s="16">
        <f>'By Round'!C49</f>
        <v/>
      </c>
      <c r="E27" s="16">
        <f>'By Round'!D49</f>
        <v/>
      </c>
      <c r="F27" s="16">
        <f>IF(ISBLANK('By Round'!F49),"",'By Round'!F49)</f>
        <v/>
      </c>
      <c r="G27" s="15">
        <f>IF(ISBLANK('By Round'!G49),"",'By Round'!G49)</f>
        <v/>
      </c>
      <c r="H27" s="15">
        <f>IF(ISBLANK('By Round'!H49),"",'By Round'!H49)</f>
        <v/>
      </c>
      <c r="I27" s="15">
        <f>IF(ISBLANK('By Round'!I49),"",'By Round'!I49)</f>
        <v/>
      </c>
      <c r="J27" s="15">
        <f>IF(ISBLANK('By Round'!J49),"",'By Round'!J49)</f>
        <v/>
      </c>
      <c r="K27" s="15">
        <f>IF(ISBLANK('By Round'!K49),"",'By Round'!K49)</f>
        <v/>
      </c>
      <c r="L27" s="17">
        <f>SUM(AB27:AE27)</f>
        <v/>
      </c>
      <c r="M27" s="18">
        <f>SUM(AF27:AI27)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s="11" t="n">
        <v>6</v>
      </c>
      <c r="B28" s="11">
        <f>'By Round'!A3</f>
        <v/>
      </c>
      <c r="C28" s="11">
        <f>'By Round'!B7</f>
        <v/>
      </c>
      <c r="D28" s="11">
        <f>'By Round'!C7</f>
        <v/>
      </c>
      <c r="E28" s="11">
        <f>'By Round'!D7</f>
        <v/>
      </c>
      <c r="F28" s="11">
        <f>IF(ISBLANK('By Round'!F8),"",'By Round'!F8)</f>
        <v/>
      </c>
      <c r="G28">
        <f>IF(ISBLANK('By Round'!G8),"",'By Round'!G8)</f>
        <v/>
      </c>
      <c r="H28">
        <f>IF(ISBLANK('By Round'!H8),"",'By Round'!H8)</f>
        <v/>
      </c>
      <c r="I28">
        <f>IF(ISBLANK('By Round'!I8),"",'By Round'!I8)</f>
        <v/>
      </c>
      <c r="J28">
        <f>IF(ISBLANK('By Round'!J8),"",'By Round'!J8)</f>
        <v/>
      </c>
      <c r="K28">
        <f>IF(ISBLANK('By Round'!K8),"",'By Round'!K8)</f>
        <v/>
      </c>
      <c r="L28" s="12">
        <f>SUM(AB28:AE28)</f>
        <v/>
      </c>
      <c r="M28" s="13">
        <f>SUM(AF28:AI28)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5">
        <f>SUM(T28:W28)</f>
        <v/>
      </c>
      <c r="Q28" s="5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1">
        <f>'By Round'!A13</f>
        <v/>
      </c>
      <c r="C29" s="11">
        <f>'By Round'!B15</f>
        <v/>
      </c>
      <c r="D29" s="11">
        <f>'By Round'!C15</f>
        <v/>
      </c>
      <c r="E29" s="11">
        <f>'By Round'!D15</f>
        <v/>
      </c>
      <c r="F29" s="11">
        <f>IF(ISBLANK('By Round'!F16),"",'By Round'!F16)</f>
        <v/>
      </c>
      <c r="G29">
        <f>IF(ISBLANK('By Round'!G16),"",'By Round'!G16)</f>
        <v/>
      </c>
      <c r="H29">
        <f>IF(ISBLANK('By Round'!H16),"",'By Round'!H16)</f>
        <v/>
      </c>
      <c r="I29">
        <f>IF(ISBLANK('By Round'!I16),"",'By Round'!I16)</f>
        <v/>
      </c>
      <c r="J29">
        <f>IF(ISBLANK('By Round'!J16),"",'By Round'!J16)</f>
        <v/>
      </c>
      <c r="K29">
        <f>IF(ISBLANK('By Round'!K16),"",'By Round'!K16)</f>
        <v/>
      </c>
      <c r="L29" s="12">
        <f>SUM(AB29:AE29)</f>
        <v/>
      </c>
      <c r="M29" s="13">
        <f>SUM(AF29:AI29)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5">
        <f>SUM(T29:W29)</f>
        <v/>
      </c>
      <c r="Q29" s="5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1">
        <f>'By Round'!A23</f>
        <v/>
      </c>
      <c r="C30" s="11">
        <f>'By Round'!B23</f>
        <v/>
      </c>
      <c r="D30" s="11">
        <f>'By Round'!C23</f>
        <v/>
      </c>
      <c r="E30" s="11">
        <f>'By Round'!D23</f>
        <v/>
      </c>
      <c r="F30" s="11">
        <f>IF(ISBLANK('By Round'!F24),"",'By Round'!F24)</f>
        <v/>
      </c>
      <c r="G30">
        <f>IF(ISBLANK('By Round'!G24),"",'By Round'!G24)</f>
        <v/>
      </c>
      <c r="H30">
        <f>IF(ISBLANK('By Round'!H24),"",'By Round'!H24)</f>
        <v/>
      </c>
      <c r="I30">
        <f>IF(ISBLANK('By Round'!I24),"",'By Round'!I24)</f>
        <v/>
      </c>
      <c r="J30">
        <f>IF(ISBLANK('By Round'!J24),"",'By Round'!J24)</f>
        <v/>
      </c>
      <c r="K30">
        <f>IF(ISBLANK('By Round'!K24),"",'By Round'!K24)</f>
        <v/>
      </c>
      <c r="L30" s="12">
        <f>SUM(AB30:AE30)</f>
        <v/>
      </c>
      <c r="M30" s="13">
        <f>SUM(AF30:AI30)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5">
        <f>SUM(T30:W30)</f>
        <v/>
      </c>
      <c r="Q30" s="5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1">
        <f>'By Round'!A33</f>
        <v/>
      </c>
      <c r="C31" s="11">
        <f>'By Round'!B41</f>
        <v/>
      </c>
      <c r="D31" s="11">
        <f>'By Round'!C41</f>
        <v/>
      </c>
      <c r="E31" s="11">
        <f>'By Round'!D41</f>
        <v/>
      </c>
      <c r="F31" s="11">
        <f>IF(ISBLANK('By Round'!F42),"",'By Round'!F42)</f>
        <v/>
      </c>
      <c r="G31">
        <f>IF(ISBLANK('By Round'!G42),"",'By Round'!G42)</f>
        <v/>
      </c>
      <c r="H31">
        <f>IF(ISBLANK('By Round'!H42),"",'By Round'!H42)</f>
        <v/>
      </c>
      <c r="I31">
        <f>IF(ISBLANK('By Round'!I42),"",'By Round'!I42)</f>
        <v/>
      </c>
      <c r="J31">
        <f>IF(ISBLANK('By Round'!J42),"",'By Round'!J42)</f>
        <v/>
      </c>
      <c r="K31">
        <f>IF(ISBLANK('By Round'!K42),"",'By Round'!K42)</f>
        <v/>
      </c>
      <c r="L31" s="12">
        <f>SUM(AB31:AE31)</f>
        <v/>
      </c>
      <c r="M31" s="13">
        <f>SUM(AF31:AI31)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5">
        <f>SUM(T31:W31)</f>
        <v/>
      </c>
      <c r="Q31" s="5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6">
        <f>'By Round'!A43</f>
        <v/>
      </c>
      <c r="C32" s="16">
        <f>'By Round'!B49</f>
        <v/>
      </c>
      <c r="D32" s="16">
        <f>'By Round'!C49</f>
        <v/>
      </c>
      <c r="E32" s="16">
        <f>'By Round'!D49</f>
        <v/>
      </c>
      <c r="F32" s="16">
        <f>IF(ISBLANK('By Round'!F50),"",'By Round'!F50)</f>
        <v/>
      </c>
      <c r="G32" s="15">
        <f>IF(ISBLANK('By Round'!G50),"",'By Round'!G50)</f>
        <v/>
      </c>
      <c r="H32" s="15">
        <f>IF(ISBLANK('By Round'!H50),"",'By Round'!H50)</f>
        <v/>
      </c>
      <c r="I32" s="15">
        <f>IF(ISBLANK('By Round'!I50),"",'By Round'!I50)</f>
        <v/>
      </c>
      <c r="J32" s="15">
        <f>IF(ISBLANK('By Round'!J50),"",'By Round'!J50)</f>
        <v/>
      </c>
      <c r="K32" s="15">
        <f>IF(ISBLANK('By Round'!K50),"",'By Round'!K50)</f>
        <v/>
      </c>
      <c r="L32" s="17">
        <f>SUM(AB32:AE32)</f>
        <v/>
      </c>
      <c r="M32" s="18">
        <f>SUM(AF32:AI32)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s="11" t="n">
        <v>7</v>
      </c>
      <c r="B33" s="11">
        <f>'By Round'!A13</f>
        <v/>
      </c>
      <c r="C33" s="11">
        <f>'By Round'!B17</f>
        <v/>
      </c>
      <c r="D33" s="11">
        <f>'By Round'!C17</f>
        <v/>
      </c>
      <c r="E33" s="11">
        <f>'By Round'!D17</f>
        <v/>
      </c>
      <c r="F33" s="11">
        <f>IF(ISBLANK('By Round'!F17),"",'By Round'!F17)</f>
        <v/>
      </c>
      <c r="G33">
        <f>IF(ISBLANK('By Round'!G17),"",'By Round'!G17)</f>
        <v/>
      </c>
      <c r="H33">
        <f>IF(ISBLANK('By Round'!H17),"",'By Round'!H17)</f>
        <v/>
      </c>
      <c r="I33">
        <f>IF(ISBLANK('By Round'!I17),"",'By Round'!I17)</f>
        <v/>
      </c>
      <c r="J33">
        <f>IF(ISBLANK('By Round'!J17),"",'By Round'!J17)</f>
        <v/>
      </c>
      <c r="K33">
        <f>IF(ISBLANK('By Round'!K17),"",'By Round'!K17)</f>
        <v/>
      </c>
      <c r="L33" s="12">
        <f>SUM(AB33:AE33)</f>
        <v/>
      </c>
      <c r="M33" s="13">
        <f>SUM(AF33:AI33)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5">
        <f>SUM(T33:W33)</f>
        <v/>
      </c>
      <c r="Q33" s="5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1">
        <f>'By Round'!A23</f>
        <v/>
      </c>
      <c r="C34" s="11">
        <f>'By Round'!B25</f>
        <v/>
      </c>
      <c r="D34" s="11">
        <f>'By Round'!C25</f>
        <v/>
      </c>
      <c r="E34" s="11">
        <f>'By Round'!D25</f>
        <v/>
      </c>
      <c r="F34" s="11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2">
        <f>SUM(AB34:AE34)</f>
        <v/>
      </c>
      <c r="M34" s="13">
        <f>SUM(AF34:AI34)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5">
        <f>SUM(T34:W34)</f>
        <v/>
      </c>
      <c r="Q34" s="5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1">
        <f>'By Round'!A33</f>
        <v/>
      </c>
      <c r="C35" s="11">
        <f>'By Round'!B33</f>
        <v/>
      </c>
      <c r="D35" s="11">
        <f>'By Round'!C33</f>
        <v/>
      </c>
      <c r="E35" s="11">
        <f>'By Round'!D33</f>
        <v/>
      </c>
      <c r="F35" s="11">
        <f>IF(ISBLANK('By Round'!F33),"",'By Round'!F33)</f>
        <v/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2">
        <f>SUM(AB35:AE35)</f>
        <v/>
      </c>
      <c r="M35" s="13">
        <f>SUM(AF35:AI35)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5">
        <f>SUM(T35:W35)</f>
        <v/>
      </c>
      <c r="Q35" s="5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1">
        <f>'By Round'!A43</f>
        <v/>
      </c>
      <c r="C36" s="11">
        <f>'By Round'!B51</f>
        <v/>
      </c>
      <c r="D36" s="11">
        <f>'By Round'!C51</f>
        <v/>
      </c>
      <c r="E36" s="11">
        <f>'By Round'!D51</f>
        <v/>
      </c>
      <c r="F36" s="11">
        <f>IF(ISBLANK('By Round'!F51),"",'By Round'!F51)</f>
        <v/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2">
        <f>SUM(AB36:AE36)</f>
        <v/>
      </c>
      <c r="M36" s="13">
        <f>SUM(AF36:AI36)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5">
        <f>SUM(T36:W36)</f>
        <v/>
      </c>
      <c r="Q36" s="5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6">
        <f>'By Round'!A53</f>
        <v/>
      </c>
      <c r="C37" s="16">
        <f>'By Round'!B59</f>
        <v/>
      </c>
      <c r="D37" s="16">
        <f>'By Round'!C59</f>
        <v/>
      </c>
      <c r="E37" s="16">
        <f>'By Round'!D59</f>
        <v/>
      </c>
      <c r="F37" s="16">
        <f>IF(ISBLANK('By Round'!F59),"",'By Round'!F59)</f>
        <v/>
      </c>
      <c r="G37" s="15">
        <f>IF(ISBLANK('By Round'!G59),"",'By Round'!G59)</f>
        <v/>
      </c>
      <c r="H37" s="15">
        <f>IF(ISBLANK('By Round'!H59),"",'By Round'!H59)</f>
        <v/>
      </c>
      <c r="I37" s="15">
        <f>IF(ISBLANK('By Round'!I59),"",'By Round'!I59)</f>
        <v/>
      </c>
      <c r="J37" s="15">
        <f>IF(ISBLANK('By Round'!J59),"",'By Round'!J59)</f>
        <v/>
      </c>
      <c r="K37" s="15">
        <f>IF(ISBLANK('By Round'!K59),"",'By Round'!K59)</f>
        <v/>
      </c>
      <c r="L37" s="17">
        <f>SUM(AB37:AE37)</f>
        <v/>
      </c>
      <c r="M37" s="18">
        <f>SUM(AF37:AI37)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s="11" t="n">
        <v>8</v>
      </c>
      <c r="B38" s="11">
        <f>'By Round'!A13</f>
        <v/>
      </c>
      <c r="C38" s="11">
        <f>'By Round'!B17</f>
        <v/>
      </c>
      <c r="D38" s="11">
        <f>'By Round'!C17</f>
        <v/>
      </c>
      <c r="E38" s="11">
        <f>'By Round'!D17</f>
        <v/>
      </c>
      <c r="F38" s="11">
        <f>IF(ISBLANK('By Round'!F18),"",'By Round'!F18)</f>
        <v/>
      </c>
      <c r="G38">
        <f>IF(ISBLANK('By Round'!G18),"",'By Round'!G18)</f>
        <v/>
      </c>
      <c r="H38">
        <f>IF(ISBLANK('By Round'!H18),"",'By Round'!H18)</f>
        <v/>
      </c>
      <c r="I38">
        <f>IF(ISBLANK('By Round'!I18),"",'By Round'!I18)</f>
        <v/>
      </c>
      <c r="J38">
        <f>IF(ISBLANK('By Round'!J18),"",'By Round'!J18)</f>
        <v/>
      </c>
      <c r="K38">
        <f>IF(ISBLANK('By Round'!K18),"",'By Round'!K18)</f>
        <v/>
      </c>
      <c r="L38" s="12">
        <f>SUM(AB38:AE38)</f>
        <v/>
      </c>
      <c r="M38" s="13">
        <f>SUM(AF38:AI38)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5">
        <f>SUM(T38:W38)</f>
        <v/>
      </c>
      <c r="Q38" s="5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1">
        <f>'By Round'!A23</f>
        <v/>
      </c>
      <c r="C39" s="11">
        <f>'By Round'!B25</f>
        <v/>
      </c>
      <c r="D39" s="11">
        <f>'By Round'!C25</f>
        <v/>
      </c>
      <c r="E39" s="11">
        <f>'By Round'!D25</f>
        <v/>
      </c>
      <c r="F39" s="11">
        <f>IF(ISBLANK('By Round'!F26),"",'By Round'!F26)</f>
        <v/>
      </c>
      <c r="G39">
        <f>IF(ISBLANK('By Round'!G26),"",'By Round'!G26)</f>
        <v/>
      </c>
      <c r="H39">
        <f>IF(ISBLANK('By Round'!H26),"",'By Round'!H26)</f>
        <v/>
      </c>
      <c r="I39">
        <f>IF(ISBLANK('By Round'!I26),"",'By Round'!I26)</f>
        <v/>
      </c>
      <c r="J39">
        <f>IF(ISBLANK('By Round'!J26),"",'By Round'!J26)</f>
        <v/>
      </c>
      <c r="K39">
        <f>IF(ISBLANK('By Round'!K26),"",'By Round'!K26)</f>
        <v/>
      </c>
      <c r="L39" s="12">
        <f>SUM(AB39:AE39)</f>
        <v/>
      </c>
      <c r="M39" s="13">
        <f>SUM(AF39:AI39)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5">
        <f>SUM(T39:W39)</f>
        <v/>
      </c>
      <c r="Q39" s="5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1">
        <f>'By Round'!A33</f>
        <v/>
      </c>
      <c r="C40" s="11">
        <f>'By Round'!B33</f>
        <v/>
      </c>
      <c r="D40" s="11">
        <f>'By Round'!C33</f>
        <v/>
      </c>
      <c r="E40" s="11">
        <f>'By Round'!D33</f>
        <v/>
      </c>
      <c r="F40" s="11">
        <f>IF(ISBLANK('By Round'!F34),"",'By Round'!F34)</f>
        <v/>
      </c>
      <c r="G40">
        <f>IF(ISBLANK('By Round'!G34),"",'By Round'!G34)</f>
        <v/>
      </c>
      <c r="H40">
        <f>IF(ISBLANK('By Round'!H34),"",'By Round'!H34)</f>
        <v/>
      </c>
      <c r="I40">
        <f>IF(ISBLANK('By Round'!I34),"",'By Round'!I34)</f>
        <v/>
      </c>
      <c r="J40">
        <f>IF(ISBLANK('By Round'!J34),"",'By Round'!J34)</f>
        <v/>
      </c>
      <c r="K40">
        <f>IF(ISBLANK('By Round'!K34),"",'By Round'!K34)</f>
        <v/>
      </c>
      <c r="L40" s="12">
        <f>SUM(AB40:AE40)</f>
        <v/>
      </c>
      <c r="M40" s="13">
        <f>SUM(AF40:AI40)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5">
        <f>SUM(T40:W40)</f>
        <v/>
      </c>
      <c r="Q40" s="5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1">
        <f>'By Round'!A43</f>
        <v/>
      </c>
      <c r="C41" s="11">
        <f>'By Round'!B51</f>
        <v/>
      </c>
      <c r="D41" s="11">
        <f>'By Round'!C51</f>
        <v/>
      </c>
      <c r="E41" s="11">
        <f>'By Round'!D51</f>
        <v/>
      </c>
      <c r="F41" s="11">
        <f>IF(ISBLANK('By Round'!F52),"",'By Round'!F52)</f>
        <v/>
      </c>
      <c r="G41">
        <f>IF(ISBLANK('By Round'!G52),"",'By Round'!G52)</f>
        <v/>
      </c>
      <c r="H41">
        <f>IF(ISBLANK('By Round'!H52),"",'By Round'!H52)</f>
        <v/>
      </c>
      <c r="I41">
        <f>IF(ISBLANK('By Round'!I52),"",'By Round'!I52)</f>
        <v/>
      </c>
      <c r="J41">
        <f>IF(ISBLANK('By Round'!J52),"",'By Round'!J52)</f>
        <v/>
      </c>
      <c r="K41">
        <f>IF(ISBLANK('By Round'!K52),"",'By Round'!K52)</f>
        <v/>
      </c>
      <c r="L41" s="12">
        <f>SUM(AB41:AE41)</f>
        <v/>
      </c>
      <c r="M41" s="13">
        <f>SUM(AF41:AI41)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5">
        <f>SUM(T41:W41)</f>
        <v/>
      </c>
      <c r="Q41" s="5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6">
        <f>'By Round'!A53</f>
        <v/>
      </c>
      <c r="C42" s="16">
        <f>'By Round'!B59</f>
        <v/>
      </c>
      <c r="D42" s="16">
        <f>'By Round'!C59</f>
        <v/>
      </c>
      <c r="E42" s="16">
        <f>'By Round'!D59</f>
        <v/>
      </c>
      <c r="F42" s="16">
        <f>IF(ISBLANK('By Round'!F60),"",'By Round'!F60)</f>
        <v/>
      </c>
      <c r="G42" s="15">
        <f>IF(ISBLANK('By Round'!G60),"",'By Round'!G60)</f>
        <v/>
      </c>
      <c r="H42" s="15">
        <f>IF(ISBLANK('By Round'!H60),"",'By Round'!H60)</f>
        <v/>
      </c>
      <c r="I42" s="15">
        <f>IF(ISBLANK('By Round'!I60),"",'By Round'!I60)</f>
        <v/>
      </c>
      <c r="J42" s="15">
        <f>IF(ISBLANK('By Round'!J60),"",'By Round'!J60)</f>
        <v/>
      </c>
      <c r="K42" s="15">
        <f>IF(ISBLANK('By Round'!K60),"",'By Round'!K60)</f>
        <v/>
      </c>
      <c r="L42" s="17">
        <f>SUM(AB42:AE42)</f>
        <v/>
      </c>
      <c r="M42" s="18">
        <f>SUM(AF42:AI42)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s="11" t="n">
        <v>9</v>
      </c>
      <c r="B43" s="11">
        <f>'By Round'!A23</f>
        <v/>
      </c>
      <c r="C43" s="11">
        <f>'By Round'!B27</f>
        <v/>
      </c>
      <c r="D43" s="11">
        <f>'By Round'!C27</f>
        <v/>
      </c>
      <c r="E43" s="11">
        <f>'By Round'!D27</f>
        <v/>
      </c>
      <c r="F43" s="11">
        <f>IF(ISBLANK('By Round'!F27),"",'By Round'!F27)</f>
        <v/>
      </c>
      <c r="G43">
        <f>IF(ISBLANK('By Round'!G27),"",'By Round'!G27)</f>
        <v/>
      </c>
      <c r="H43">
        <f>IF(ISBLANK('By Round'!H27),"",'By Round'!H27)</f>
        <v/>
      </c>
      <c r="I43">
        <f>IF(ISBLANK('By Round'!I27),"",'By Round'!I27)</f>
        <v/>
      </c>
      <c r="J43">
        <f>IF(ISBLANK('By Round'!J27),"",'By Round'!J27)</f>
        <v/>
      </c>
      <c r="K43">
        <f>IF(ISBLANK('By Round'!K27),"",'By Round'!K27)</f>
        <v/>
      </c>
      <c r="L43" s="12">
        <f>SUM(AB43:AE43)</f>
        <v/>
      </c>
      <c r="M43" s="13">
        <f>SUM(AF43:AI43)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5">
        <f>SUM(T43:W43)</f>
        <v/>
      </c>
      <c r="Q43" s="5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1">
        <f>'By Round'!A33</f>
        <v/>
      </c>
      <c r="C44" s="11">
        <f>'By Round'!B35</f>
        <v/>
      </c>
      <c r="D44" s="11">
        <f>'By Round'!C35</f>
        <v/>
      </c>
      <c r="E44" s="11">
        <f>'By Round'!D35</f>
        <v/>
      </c>
      <c r="F44" s="11">
        <f>IF(ISBLANK('By Round'!F35),"",'By Round'!F35)</f>
        <v/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2">
        <f>SUM(AB44:AE44)</f>
        <v/>
      </c>
      <c r="M44" s="13">
        <f>SUM(AF44:AI44)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5">
        <f>SUM(T44:W44)</f>
        <v/>
      </c>
      <c r="Q44" s="5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1">
        <f>'By Round'!A43</f>
        <v/>
      </c>
      <c r="C45" s="11">
        <f>'By Round'!B43</f>
        <v/>
      </c>
      <c r="D45" s="11">
        <f>'By Round'!C43</f>
        <v/>
      </c>
      <c r="E45" s="11">
        <f>'By Round'!D43</f>
        <v/>
      </c>
      <c r="F45" s="11">
        <f>IF(ISBLANK('By Round'!F43),"",'By Round'!F43)</f>
        <v/>
      </c>
      <c r="G45">
        <f>IF(ISBLANK('By Round'!G43),"",'By Round'!G43)</f>
        <v/>
      </c>
      <c r="H45">
        <f>IF(ISBLANK('By Round'!H43),"",'By Round'!H43)</f>
        <v/>
      </c>
      <c r="I45">
        <f>IF(ISBLANK('By Round'!I43),"",'By Round'!I43)</f>
        <v/>
      </c>
      <c r="J45">
        <f>IF(ISBLANK('By Round'!J43),"",'By Round'!J43)</f>
        <v/>
      </c>
      <c r="K45">
        <f>IF(ISBLANK('By Round'!K43),"",'By Round'!K43)</f>
        <v/>
      </c>
      <c r="L45" s="12">
        <f>SUM(AB45:AE45)</f>
        <v/>
      </c>
      <c r="M45" s="13">
        <f>SUM(AF45:AI45)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5">
        <f>SUM(T45:W45)</f>
        <v/>
      </c>
      <c r="Q45" s="5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1">
        <f>'By Round'!A53</f>
        <v/>
      </c>
      <c r="C46" s="11">
        <f>'By Round'!B61</f>
        <v/>
      </c>
      <c r="D46" s="11">
        <f>'By Round'!C61</f>
        <v/>
      </c>
      <c r="E46" s="11">
        <f>'By Round'!D61</f>
        <v/>
      </c>
      <c r="F46" s="11">
        <f>IF(ISBLANK('By Round'!F61),"",'By Round'!F61)</f>
        <v/>
      </c>
      <c r="G46">
        <f>IF(ISBLANK('By Round'!G61),"",'By Round'!G61)</f>
        <v/>
      </c>
      <c r="H46">
        <f>IF(ISBLANK('By Round'!H61),"",'By Round'!H61)</f>
        <v/>
      </c>
      <c r="I46">
        <f>IF(ISBLANK('By Round'!I61),"",'By Round'!I61)</f>
        <v/>
      </c>
      <c r="J46">
        <f>IF(ISBLANK('By Round'!J61),"",'By Round'!J61)</f>
        <v/>
      </c>
      <c r="K46">
        <f>IF(ISBLANK('By Round'!K61),"",'By Round'!K61)</f>
        <v/>
      </c>
      <c r="L46" s="12">
        <f>SUM(AB46:AE46)</f>
        <v/>
      </c>
      <c r="M46" s="13">
        <f>SUM(AF46:AI46)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5">
        <f>SUM(T46:W46)</f>
        <v/>
      </c>
      <c r="Q46" s="5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6">
        <f>'By Round'!A63</f>
        <v/>
      </c>
      <c r="C47" s="16">
        <f>'By Round'!B69</f>
        <v/>
      </c>
      <c r="D47" s="16">
        <f>'By Round'!C69</f>
        <v/>
      </c>
      <c r="E47" s="16">
        <f>'By Round'!D69</f>
        <v/>
      </c>
      <c r="F47" s="16">
        <f>IF(ISBLANK('By Round'!F69),"",'By Round'!F69)</f>
        <v/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7">
        <f>SUM(AB47:AE47)</f>
        <v/>
      </c>
      <c r="M47" s="18">
        <f>SUM(AF47:AI47)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s="11" t="n">
        <v>10</v>
      </c>
      <c r="B48" s="11">
        <f>'By Round'!A23</f>
        <v/>
      </c>
      <c r="C48" s="11">
        <f>'By Round'!B27</f>
        <v/>
      </c>
      <c r="D48" s="11">
        <f>'By Round'!C27</f>
        <v/>
      </c>
      <c r="E48" s="11">
        <f>'By Round'!D27</f>
        <v/>
      </c>
      <c r="F48" s="11">
        <f>IF(ISBLANK('By Round'!F28),"",'By Round'!F28)</f>
        <v/>
      </c>
      <c r="G48">
        <f>IF(ISBLANK('By Round'!G28),"",'By Round'!G28)</f>
        <v/>
      </c>
      <c r="H48">
        <f>IF(ISBLANK('By Round'!H28),"",'By Round'!H28)</f>
        <v/>
      </c>
      <c r="I48">
        <f>IF(ISBLANK('By Round'!I28),"",'By Round'!I28)</f>
        <v/>
      </c>
      <c r="J48">
        <f>IF(ISBLANK('By Round'!J28),"",'By Round'!J28)</f>
        <v/>
      </c>
      <c r="K48">
        <f>IF(ISBLANK('By Round'!K28),"",'By Round'!K28)</f>
        <v/>
      </c>
      <c r="L48" s="12">
        <f>SUM(AB48:AE48)</f>
        <v/>
      </c>
      <c r="M48" s="13">
        <f>SUM(AF48:AI48)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5">
        <f>SUM(T48:W48)</f>
        <v/>
      </c>
      <c r="Q48" s="5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1">
        <f>'By Round'!A33</f>
        <v/>
      </c>
      <c r="C49" s="11">
        <f>'By Round'!B35</f>
        <v/>
      </c>
      <c r="D49" s="11">
        <f>'By Round'!C35</f>
        <v/>
      </c>
      <c r="E49" s="11">
        <f>'By Round'!D35</f>
        <v/>
      </c>
      <c r="F49" s="11">
        <f>IF(ISBLANK('By Round'!F36),"",'By Round'!F36)</f>
        <v/>
      </c>
      <c r="G49">
        <f>IF(ISBLANK('By Round'!G36),"",'By Round'!G36)</f>
        <v/>
      </c>
      <c r="H49">
        <f>IF(ISBLANK('By Round'!H36),"",'By Round'!H36)</f>
        <v/>
      </c>
      <c r="I49">
        <f>IF(ISBLANK('By Round'!I36),"",'By Round'!I36)</f>
        <v/>
      </c>
      <c r="J49">
        <f>IF(ISBLANK('By Round'!J36),"",'By Round'!J36)</f>
        <v/>
      </c>
      <c r="K49">
        <f>IF(ISBLANK('By Round'!K36),"",'By Round'!K36)</f>
        <v/>
      </c>
      <c r="L49" s="12">
        <f>SUM(AB49:AE49)</f>
        <v/>
      </c>
      <c r="M49" s="13">
        <f>SUM(AF49:AI49)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5">
        <f>SUM(T49:W49)</f>
        <v/>
      </c>
      <c r="Q49" s="5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1">
        <f>'By Round'!A43</f>
        <v/>
      </c>
      <c r="C50" s="11">
        <f>'By Round'!B43</f>
        <v/>
      </c>
      <c r="D50" s="11">
        <f>'By Round'!C43</f>
        <v/>
      </c>
      <c r="E50" s="11">
        <f>'By Round'!D43</f>
        <v/>
      </c>
      <c r="F50" s="11">
        <f>IF(ISBLANK('By Round'!F44),"",'By Round'!F44)</f>
        <v/>
      </c>
      <c r="G50">
        <f>IF(ISBLANK('By Round'!G44),"",'By Round'!G44)</f>
        <v/>
      </c>
      <c r="H50">
        <f>IF(ISBLANK('By Round'!H44),"",'By Round'!H44)</f>
        <v/>
      </c>
      <c r="I50">
        <f>IF(ISBLANK('By Round'!I44),"",'By Round'!I44)</f>
        <v/>
      </c>
      <c r="J50">
        <f>IF(ISBLANK('By Round'!J44),"",'By Round'!J44)</f>
        <v/>
      </c>
      <c r="K50">
        <f>IF(ISBLANK('By Round'!K44),"",'By Round'!K44)</f>
        <v/>
      </c>
      <c r="L50" s="12">
        <f>SUM(AB50:AE50)</f>
        <v/>
      </c>
      <c r="M50" s="13">
        <f>SUM(AF50:AI50)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5">
        <f>SUM(T50:W50)</f>
        <v/>
      </c>
      <c r="Q50" s="5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1">
        <f>'By Round'!A53</f>
        <v/>
      </c>
      <c r="C51" s="11">
        <f>'By Round'!B61</f>
        <v/>
      </c>
      <c r="D51" s="11">
        <f>'By Round'!C61</f>
        <v/>
      </c>
      <c r="E51" s="11">
        <f>'By Round'!D61</f>
        <v/>
      </c>
      <c r="F51" s="11">
        <f>IF(ISBLANK('By Round'!F62),"",'By Round'!F62)</f>
        <v/>
      </c>
      <c r="G51">
        <f>IF(ISBLANK('By Round'!G62),"",'By Round'!G62)</f>
        <v/>
      </c>
      <c r="H51">
        <f>IF(ISBLANK('By Round'!H62),"",'By Round'!H62)</f>
        <v/>
      </c>
      <c r="I51">
        <f>IF(ISBLANK('By Round'!I62),"",'By Round'!I62)</f>
        <v/>
      </c>
      <c r="J51">
        <f>IF(ISBLANK('By Round'!J62),"",'By Round'!J62)</f>
        <v/>
      </c>
      <c r="K51">
        <f>IF(ISBLANK('By Round'!K62),"",'By Round'!K62)</f>
        <v/>
      </c>
      <c r="L51" s="12">
        <f>SUM(AB51:AE51)</f>
        <v/>
      </c>
      <c r="M51" s="13">
        <f>SUM(AF51:AI51)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5">
        <f>SUM(T51:W51)</f>
        <v/>
      </c>
      <c r="Q51" s="5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6">
        <f>'By Round'!A63</f>
        <v/>
      </c>
      <c r="C52" s="16">
        <f>'By Round'!B69</f>
        <v/>
      </c>
      <c r="D52" s="16">
        <f>'By Round'!C69</f>
        <v/>
      </c>
      <c r="E52" s="16">
        <f>'By Round'!D69</f>
        <v/>
      </c>
      <c r="F52" s="16">
        <f>IF(ISBLANK('By Round'!F70),"",'By Round'!F70)</f>
        <v/>
      </c>
      <c r="G52" s="15">
        <f>IF(ISBLANK('By Round'!G70),"",'By Round'!G70)</f>
        <v/>
      </c>
      <c r="H52" s="15">
        <f>IF(ISBLANK('By Round'!H70),"",'By Round'!H70)</f>
        <v/>
      </c>
      <c r="I52" s="15">
        <f>IF(ISBLANK('By Round'!I70),"",'By Round'!I70)</f>
        <v/>
      </c>
      <c r="J52" s="15">
        <f>IF(ISBLANK('By Round'!J70),"",'By Round'!J70)</f>
        <v/>
      </c>
      <c r="K52" s="15">
        <f>IF(ISBLANK('By Round'!K70),"",'By Round'!K70)</f>
        <v/>
      </c>
      <c r="L52" s="17">
        <f>SUM(AB52:AE52)</f>
        <v/>
      </c>
      <c r="M52" s="18">
        <f>SUM(AF52:AI52)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s="11" t="n">
        <v>11</v>
      </c>
      <c r="B53" s="11">
        <f>'By Round'!A33</f>
        <v/>
      </c>
      <c r="C53" s="11">
        <f>'By Round'!B37</f>
        <v/>
      </c>
      <c r="D53" s="11">
        <f>'By Round'!C37</f>
        <v/>
      </c>
      <c r="E53" s="11">
        <f>'By Round'!D37</f>
        <v/>
      </c>
      <c r="F53" s="11">
        <f>IF(ISBLANK('By Round'!F37),"",'By Round'!F37)</f>
        <v/>
      </c>
      <c r="G53">
        <f>IF(ISBLANK('By Round'!G37),"",'By Round'!G37)</f>
        <v/>
      </c>
      <c r="H53">
        <f>IF(ISBLANK('By Round'!H37),"",'By Round'!H37)</f>
        <v/>
      </c>
      <c r="I53">
        <f>IF(ISBLANK('By Round'!I37),"",'By Round'!I37)</f>
        <v/>
      </c>
      <c r="J53">
        <f>IF(ISBLANK('By Round'!J37),"",'By Round'!J37)</f>
        <v/>
      </c>
      <c r="K53">
        <f>IF(ISBLANK('By Round'!K37),"",'By Round'!K37)</f>
        <v/>
      </c>
      <c r="L53" s="12">
        <f>SUM(AB53:AE53)</f>
        <v/>
      </c>
      <c r="M53" s="13">
        <f>SUM(AF53:AI53)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5">
        <f>SUM(T53:W53)</f>
        <v/>
      </c>
      <c r="Q53" s="5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1">
        <f>'By Round'!A43</f>
        <v/>
      </c>
      <c r="C54" s="11">
        <f>'By Round'!B45</f>
        <v/>
      </c>
      <c r="D54" s="11">
        <f>'By Round'!C45</f>
        <v/>
      </c>
      <c r="E54" s="11">
        <f>'By Round'!D45</f>
        <v/>
      </c>
      <c r="F54" s="11">
        <f>IF(ISBLANK('By Round'!F45),"",'By Round'!F45)</f>
        <v/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SUM(AB54:AE54)</f>
        <v/>
      </c>
      <c r="M54" s="13">
        <f>SUM(AF54:AI54)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5">
        <f>SUM(T54:W54)</f>
        <v/>
      </c>
      <c r="Q54" s="5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1">
        <f>'By Round'!A53</f>
        <v/>
      </c>
      <c r="C55" s="11">
        <f>'By Round'!B53</f>
        <v/>
      </c>
      <c r="D55" s="11">
        <f>'By Round'!C53</f>
        <v/>
      </c>
      <c r="E55" s="11">
        <f>'By Round'!D53</f>
        <v/>
      </c>
      <c r="F55" s="11">
        <f>IF(ISBLANK('By Round'!F53),"",'By Round'!F53)</f>
        <v/>
      </c>
      <c r="G55">
        <f>IF(ISBLANK('By Round'!G53),"",'By Round'!G53)</f>
        <v/>
      </c>
      <c r="H55">
        <f>IF(ISBLANK('By Round'!H53),"",'By Round'!H53)</f>
        <v/>
      </c>
      <c r="I55">
        <f>IF(ISBLANK('By Round'!I53),"",'By Round'!I53)</f>
        <v/>
      </c>
      <c r="J55">
        <f>IF(ISBLANK('By Round'!J53),"",'By Round'!J53)</f>
        <v/>
      </c>
      <c r="K55">
        <f>IF(ISBLANK('By Round'!K53),"",'By Round'!K53)</f>
        <v/>
      </c>
      <c r="L55" s="12">
        <f>SUM(AB55:AE55)</f>
        <v/>
      </c>
      <c r="M55" s="13">
        <f>SUM(AF55:AI55)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5">
        <f>SUM(T55:W55)</f>
        <v/>
      </c>
      <c r="Q55" s="5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1">
        <f>'By Round'!A63</f>
        <v/>
      </c>
      <c r="C56" s="11">
        <f>'By Round'!B71</f>
        <v/>
      </c>
      <c r="D56" s="11">
        <f>'By Round'!C71</f>
        <v/>
      </c>
      <c r="E56" s="11">
        <f>'By Round'!D71</f>
        <v/>
      </c>
      <c r="F56" s="11">
        <f>IF(ISBLANK('By Round'!F71),"",'By Round'!F71)</f>
        <v/>
      </c>
      <c r="G56">
        <f>IF(ISBLANK('By Round'!G71),"",'By Round'!G71)</f>
        <v/>
      </c>
      <c r="H56">
        <f>IF(ISBLANK('By Round'!H71),"",'By Round'!H71)</f>
        <v/>
      </c>
      <c r="I56">
        <f>IF(ISBLANK('By Round'!I71),"",'By Round'!I71)</f>
        <v/>
      </c>
      <c r="J56">
        <f>IF(ISBLANK('By Round'!J71),"",'By Round'!J71)</f>
        <v/>
      </c>
      <c r="K56">
        <f>IF(ISBLANK('By Round'!K71),"",'By Round'!K71)</f>
        <v/>
      </c>
      <c r="L56" s="12">
        <f>SUM(AB56:AE56)</f>
        <v/>
      </c>
      <c r="M56" s="13">
        <f>SUM(AF56:AI56)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5">
        <f>SUM(T56:W56)</f>
        <v/>
      </c>
      <c r="Q56" s="5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6">
        <f>'By Round'!A73</f>
        <v/>
      </c>
      <c r="C57" s="16">
        <f>'By Round'!B79</f>
        <v/>
      </c>
      <c r="D57" s="16">
        <f>'By Round'!C79</f>
        <v/>
      </c>
      <c r="E57" s="16">
        <f>'By Round'!D79</f>
        <v/>
      </c>
      <c r="F57" s="16">
        <f>IF(ISBLANK('By Round'!F79),"",'By Round'!F79)</f>
        <v/>
      </c>
      <c r="G57" s="15">
        <f>IF(ISBLANK('By Round'!G79),"",'By Round'!G79)</f>
        <v/>
      </c>
      <c r="H57" s="15">
        <f>IF(ISBLANK('By Round'!H79),"",'By Round'!H79)</f>
        <v/>
      </c>
      <c r="I57" s="15">
        <f>IF(ISBLANK('By Round'!I79),"",'By Round'!I79)</f>
        <v/>
      </c>
      <c r="J57" s="15">
        <f>IF(ISBLANK('By Round'!J79),"",'By Round'!J79)</f>
        <v/>
      </c>
      <c r="K57" s="15">
        <f>IF(ISBLANK('By Round'!K79),"",'By Round'!K79)</f>
        <v/>
      </c>
      <c r="L57" s="17">
        <f>SUM(AB57:AE57)</f>
        <v/>
      </c>
      <c r="M57" s="18">
        <f>SUM(AF57:AI57)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s="11" t="n">
        <v>12</v>
      </c>
      <c r="B58" s="11">
        <f>'By Round'!A33</f>
        <v/>
      </c>
      <c r="C58" s="11">
        <f>'By Round'!B37</f>
        <v/>
      </c>
      <c r="D58" s="11">
        <f>'By Round'!C37</f>
        <v/>
      </c>
      <c r="E58" s="11">
        <f>'By Round'!D37</f>
        <v/>
      </c>
      <c r="F58" s="11">
        <f>IF(ISBLANK('By Round'!F38),"",'By Round'!F38)</f>
        <v/>
      </c>
      <c r="G58">
        <f>IF(ISBLANK('By Round'!G38),"",'By Round'!G38)</f>
        <v/>
      </c>
      <c r="H58">
        <f>IF(ISBLANK('By Round'!H38),"",'By Round'!H38)</f>
        <v/>
      </c>
      <c r="I58">
        <f>IF(ISBLANK('By Round'!I38),"",'By Round'!I38)</f>
        <v/>
      </c>
      <c r="J58">
        <f>IF(ISBLANK('By Round'!J38),"",'By Round'!J38)</f>
        <v/>
      </c>
      <c r="K58">
        <f>IF(ISBLANK('By Round'!K38),"",'By Round'!K38)</f>
        <v/>
      </c>
      <c r="L58" s="12">
        <f>SUM(AB58:AE58)</f>
        <v/>
      </c>
      <c r="M58" s="13">
        <f>SUM(AF58:AI58)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5">
        <f>SUM(T58:W58)</f>
        <v/>
      </c>
      <c r="Q58" s="5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1">
        <f>'By Round'!A43</f>
        <v/>
      </c>
      <c r="C59" s="11">
        <f>'By Round'!B45</f>
        <v/>
      </c>
      <c r="D59" s="11">
        <f>'By Round'!C45</f>
        <v/>
      </c>
      <c r="E59" s="11">
        <f>'By Round'!D45</f>
        <v/>
      </c>
      <c r="F59" s="11">
        <f>IF(ISBLANK('By Round'!F46),"",'By Round'!F46)</f>
        <v/>
      </c>
      <c r="G59">
        <f>IF(ISBLANK('By Round'!G46),"",'By Round'!G46)</f>
        <v/>
      </c>
      <c r="H59">
        <f>IF(ISBLANK('By Round'!H46),"",'By Round'!H46)</f>
        <v/>
      </c>
      <c r="I59">
        <f>IF(ISBLANK('By Round'!I46),"",'By Round'!I46)</f>
        <v/>
      </c>
      <c r="J59">
        <f>IF(ISBLANK('By Round'!J46),"",'By Round'!J46)</f>
        <v/>
      </c>
      <c r="K59">
        <f>IF(ISBLANK('By Round'!K46),"",'By Round'!K46)</f>
        <v/>
      </c>
      <c r="L59" s="12">
        <f>SUM(AB59:AE59)</f>
        <v/>
      </c>
      <c r="M59" s="13">
        <f>SUM(AF59:AI59)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5">
        <f>SUM(T59:W59)</f>
        <v/>
      </c>
      <c r="Q59" s="5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1">
        <f>'By Round'!A53</f>
        <v/>
      </c>
      <c r="C60" s="11">
        <f>'By Round'!B53</f>
        <v/>
      </c>
      <c r="D60" s="11">
        <f>'By Round'!C53</f>
        <v/>
      </c>
      <c r="E60" s="11">
        <f>'By Round'!D53</f>
        <v/>
      </c>
      <c r="F60" s="11">
        <f>IF(ISBLANK('By Round'!F54),"",'By Round'!F54)</f>
        <v/>
      </c>
      <c r="G60">
        <f>IF(ISBLANK('By Round'!G54),"",'By Round'!G54)</f>
        <v/>
      </c>
      <c r="H60">
        <f>IF(ISBLANK('By Round'!H54),"",'By Round'!H54)</f>
        <v/>
      </c>
      <c r="I60">
        <f>IF(ISBLANK('By Round'!I54),"",'By Round'!I54)</f>
        <v/>
      </c>
      <c r="J60">
        <f>IF(ISBLANK('By Round'!J54),"",'By Round'!J54)</f>
        <v/>
      </c>
      <c r="K60">
        <f>IF(ISBLANK('By Round'!K54),"",'By Round'!K54)</f>
        <v/>
      </c>
      <c r="L60" s="12">
        <f>SUM(AB60:AE60)</f>
        <v/>
      </c>
      <c r="M60" s="13">
        <f>SUM(AF60:AI60)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5">
        <f>SUM(T60:W60)</f>
        <v/>
      </c>
      <c r="Q60" s="5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1">
        <f>'By Round'!A63</f>
        <v/>
      </c>
      <c r="C61" s="11">
        <f>'By Round'!B71</f>
        <v/>
      </c>
      <c r="D61" s="11">
        <f>'By Round'!C71</f>
        <v/>
      </c>
      <c r="E61" s="11">
        <f>'By Round'!D71</f>
        <v/>
      </c>
      <c r="F61" s="11">
        <f>IF(ISBLANK('By Round'!F72),"",'By Round'!F72)</f>
        <v/>
      </c>
      <c r="G61">
        <f>IF(ISBLANK('By Round'!G72),"",'By Round'!G72)</f>
        <v/>
      </c>
      <c r="H61">
        <f>IF(ISBLANK('By Round'!H72),"",'By Round'!H72)</f>
        <v/>
      </c>
      <c r="I61">
        <f>IF(ISBLANK('By Round'!I72),"",'By Round'!I72)</f>
        <v/>
      </c>
      <c r="J61">
        <f>IF(ISBLANK('By Round'!J72),"",'By Round'!J72)</f>
        <v/>
      </c>
      <c r="K61">
        <f>IF(ISBLANK('By Round'!K72),"",'By Round'!K72)</f>
        <v/>
      </c>
      <c r="L61" s="12">
        <f>SUM(AB61:AE61)</f>
        <v/>
      </c>
      <c r="M61" s="13">
        <f>SUM(AF61:AI61)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5">
        <f>SUM(T61:W61)</f>
        <v/>
      </c>
      <c r="Q61" s="5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6">
        <f>'By Round'!A73</f>
        <v/>
      </c>
      <c r="C62" s="16">
        <f>'By Round'!B79</f>
        <v/>
      </c>
      <c r="D62" s="16">
        <f>'By Round'!C79</f>
        <v/>
      </c>
      <c r="E62" s="16">
        <f>'By Round'!D79</f>
        <v/>
      </c>
      <c r="F62" s="16">
        <f>IF(ISBLANK('By Round'!F80),"",'By Round'!F80)</f>
        <v/>
      </c>
      <c r="G62" s="15">
        <f>IF(ISBLANK('By Round'!G80),"",'By Round'!G80)</f>
        <v/>
      </c>
      <c r="H62" s="15">
        <f>IF(ISBLANK('By Round'!H80),"",'By Round'!H80)</f>
        <v/>
      </c>
      <c r="I62" s="15">
        <f>IF(ISBLANK('By Round'!I80),"",'By Round'!I80)</f>
        <v/>
      </c>
      <c r="J62" s="15">
        <f>IF(ISBLANK('By Round'!J80),"",'By Round'!J80)</f>
        <v/>
      </c>
      <c r="K62" s="15">
        <f>IF(ISBLANK('By Round'!K80),"",'By Round'!K80)</f>
        <v/>
      </c>
      <c r="L62" s="17">
        <f>SUM(AB62:AE62)</f>
        <v/>
      </c>
      <c r="M62" s="18">
        <f>SUM(AF62:AI62)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s="11" t="n">
        <v>13</v>
      </c>
      <c r="B63" s="11">
        <f>'By Round'!A43</f>
        <v/>
      </c>
      <c r="C63" s="11">
        <f>'By Round'!B47</f>
        <v/>
      </c>
      <c r="D63" s="11">
        <f>'By Round'!C47</f>
        <v/>
      </c>
      <c r="E63" s="11">
        <f>'By Round'!D47</f>
        <v/>
      </c>
      <c r="F63" s="11">
        <f>IF(ISBLANK('By Round'!F47),"",'By Round'!F47)</f>
        <v/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2">
        <f>SUM(AB63:AE63)</f>
        <v/>
      </c>
      <c r="M63" s="13">
        <f>SUM(AF63:AI63)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5">
        <f>SUM(T63:W63)</f>
        <v/>
      </c>
      <c r="Q63" s="5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1">
        <f>'By Round'!A53</f>
        <v/>
      </c>
      <c r="C64" s="11">
        <f>'By Round'!B55</f>
        <v/>
      </c>
      <c r="D64" s="11">
        <f>'By Round'!C55</f>
        <v/>
      </c>
      <c r="E64" s="11">
        <f>'By Round'!D55</f>
        <v/>
      </c>
      <c r="F64" s="11">
        <f>IF(ISBLANK('By Round'!F55),"",'By Round'!F55)</f>
        <v/>
      </c>
      <c r="G64">
        <f>IF(ISBLANK('By Round'!G55),"",'By Round'!G55)</f>
        <v/>
      </c>
      <c r="H64">
        <f>IF(ISBLANK('By Round'!H55),"",'By Round'!H55)</f>
        <v/>
      </c>
      <c r="I64">
        <f>IF(ISBLANK('By Round'!I55),"",'By Round'!I55)</f>
        <v/>
      </c>
      <c r="J64">
        <f>IF(ISBLANK('By Round'!J55),"",'By Round'!J55)</f>
        <v/>
      </c>
      <c r="K64">
        <f>IF(ISBLANK('By Round'!K55),"",'By Round'!K55)</f>
        <v/>
      </c>
      <c r="L64" s="12">
        <f>SUM(AB64:AE64)</f>
        <v/>
      </c>
      <c r="M64" s="13">
        <f>SUM(AF64:AI64)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5">
        <f>SUM(T64:W64)</f>
        <v/>
      </c>
      <c r="Q64" s="5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1">
        <f>'By Round'!A63</f>
        <v/>
      </c>
      <c r="C65" s="11">
        <f>'By Round'!B63</f>
        <v/>
      </c>
      <c r="D65" s="11">
        <f>'By Round'!C63</f>
        <v/>
      </c>
      <c r="E65" s="11">
        <f>'By Round'!D63</f>
        <v/>
      </c>
      <c r="F65" s="11">
        <f>IF(ISBLANK('By Round'!F63),"",'By Round'!F63)</f>
        <v/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SUM(AB65:AE65)</f>
        <v/>
      </c>
      <c r="M65" s="13">
        <f>SUM(AF65:AI65)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5">
        <f>SUM(T65:W65)</f>
        <v/>
      </c>
      <c r="Q65" s="5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1">
        <f>'By Round'!A73</f>
        <v/>
      </c>
      <c r="C66" s="11">
        <f>'By Round'!B81</f>
        <v/>
      </c>
      <c r="D66" s="11">
        <f>'By Round'!C81</f>
        <v/>
      </c>
      <c r="E66" s="11">
        <f>'By Round'!D81</f>
        <v/>
      </c>
      <c r="F66" s="11">
        <f>IF(ISBLANK('By Round'!F81),"",'By Round'!F81)</f>
        <v/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2">
        <f>SUM(AB66:AE66)</f>
        <v/>
      </c>
      <c r="M66" s="13">
        <f>SUM(AF66:AI66)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5">
        <f>SUM(T66:W66)</f>
        <v/>
      </c>
      <c r="Q66" s="5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6">
        <f>'By Round'!A83</f>
        <v/>
      </c>
      <c r="C67" s="16">
        <f>'By Round'!B89</f>
        <v/>
      </c>
      <c r="D67" s="16">
        <f>'By Round'!C89</f>
        <v/>
      </c>
      <c r="E67" s="16">
        <f>'By Round'!D89</f>
        <v/>
      </c>
      <c r="F67" s="16">
        <f>IF(ISBLANK('By Round'!F89),"",'By Round'!F89)</f>
        <v/>
      </c>
      <c r="G67" s="15">
        <f>IF(ISBLANK('By Round'!G89),"",'By Round'!G89)</f>
        <v/>
      </c>
      <c r="H67" s="15">
        <f>IF(ISBLANK('By Round'!H89),"",'By Round'!H89)</f>
        <v/>
      </c>
      <c r="I67" s="15">
        <f>IF(ISBLANK('By Round'!I89),"",'By Round'!I89)</f>
        <v/>
      </c>
      <c r="J67" s="15">
        <f>IF(ISBLANK('By Round'!J89),"",'By Round'!J89)</f>
        <v/>
      </c>
      <c r="K67" s="15">
        <f>IF(ISBLANK('By Round'!K89),"",'By Round'!K89)</f>
        <v/>
      </c>
      <c r="L67" s="17">
        <f>SUM(AB67:AE67)</f>
        <v/>
      </c>
      <c r="M67" s="18">
        <f>SUM(AF67:AI67)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s="11" t="n">
        <v>14</v>
      </c>
      <c r="B68" s="11">
        <f>'By Round'!A43</f>
        <v/>
      </c>
      <c r="C68" s="11">
        <f>'By Round'!B47</f>
        <v/>
      </c>
      <c r="D68" s="11">
        <f>'By Round'!C47</f>
        <v/>
      </c>
      <c r="E68" s="11">
        <f>'By Round'!D47</f>
        <v/>
      </c>
      <c r="F68" s="11">
        <f>IF(ISBLANK('By Round'!F48),"",'By Round'!F48)</f>
        <v/>
      </c>
      <c r="G68">
        <f>IF(ISBLANK('By Round'!G48),"",'By Round'!G48)</f>
        <v/>
      </c>
      <c r="H68">
        <f>IF(ISBLANK('By Round'!H48),"",'By Round'!H48)</f>
        <v/>
      </c>
      <c r="I68">
        <f>IF(ISBLANK('By Round'!I48),"",'By Round'!I48)</f>
        <v/>
      </c>
      <c r="J68">
        <f>IF(ISBLANK('By Round'!J48),"",'By Round'!J48)</f>
        <v/>
      </c>
      <c r="K68">
        <f>IF(ISBLANK('By Round'!K48),"",'By Round'!K48)</f>
        <v/>
      </c>
      <c r="L68" s="12">
        <f>SUM(AB68:AE68)</f>
        <v/>
      </c>
      <c r="M68" s="13">
        <f>SUM(AF68:AI68)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5">
        <f>SUM(T68:W68)</f>
        <v/>
      </c>
      <c r="Q68" s="5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1">
        <f>'By Round'!A53</f>
        <v/>
      </c>
      <c r="C69" s="11">
        <f>'By Round'!B55</f>
        <v/>
      </c>
      <c r="D69" s="11">
        <f>'By Round'!C55</f>
        <v/>
      </c>
      <c r="E69" s="11">
        <f>'By Round'!D55</f>
        <v/>
      </c>
      <c r="F69" s="11">
        <f>IF(ISBLANK('By Round'!F56),"",'By Round'!F56)</f>
        <v/>
      </c>
      <c r="G69">
        <f>IF(ISBLANK('By Round'!G56),"",'By Round'!G56)</f>
        <v/>
      </c>
      <c r="H69">
        <f>IF(ISBLANK('By Round'!H56),"",'By Round'!H56)</f>
        <v/>
      </c>
      <c r="I69">
        <f>IF(ISBLANK('By Round'!I56),"",'By Round'!I56)</f>
        <v/>
      </c>
      <c r="J69">
        <f>IF(ISBLANK('By Round'!J56),"",'By Round'!J56)</f>
        <v/>
      </c>
      <c r="K69">
        <f>IF(ISBLANK('By Round'!K56),"",'By Round'!K56)</f>
        <v/>
      </c>
      <c r="L69" s="12">
        <f>SUM(AB69:AE69)</f>
        <v/>
      </c>
      <c r="M69" s="13">
        <f>SUM(AF69:AI69)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5">
        <f>SUM(T69:W69)</f>
        <v/>
      </c>
      <c r="Q69" s="5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1">
        <f>'By Round'!A63</f>
        <v/>
      </c>
      <c r="C70" s="11">
        <f>'By Round'!B63</f>
        <v/>
      </c>
      <c r="D70" s="11">
        <f>'By Round'!C63</f>
        <v/>
      </c>
      <c r="E70" s="11">
        <f>'By Round'!D63</f>
        <v/>
      </c>
      <c r="F70" s="11">
        <f>IF(ISBLANK('By Round'!F64),"",'By Round'!F64)</f>
        <v/>
      </c>
      <c r="G70">
        <f>IF(ISBLANK('By Round'!G64),"",'By Round'!G64)</f>
        <v/>
      </c>
      <c r="H70">
        <f>IF(ISBLANK('By Round'!H64),"",'By Round'!H64)</f>
        <v/>
      </c>
      <c r="I70">
        <f>IF(ISBLANK('By Round'!I64),"",'By Round'!I64)</f>
        <v/>
      </c>
      <c r="J70">
        <f>IF(ISBLANK('By Round'!J64),"",'By Round'!J64)</f>
        <v/>
      </c>
      <c r="K70">
        <f>IF(ISBLANK('By Round'!K64),"",'By Round'!K64)</f>
        <v/>
      </c>
      <c r="L70" s="12">
        <f>SUM(AB70:AE70)</f>
        <v/>
      </c>
      <c r="M70" s="13">
        <f>SUM(AF70:AI70)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5">
        <f>SUM(T70:W70)</f>
        <v/>
      </c>
      <c r="Q70" s="5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1">
        <f>'By Round'!A73</f>
        <v/>
      </c>
      <c r="C71" s="11">
        <f>'By Round'!B81</f>
        <v/>
      </c>
      <c r="D71" s="11">
        <f>'By Round'!C81</f>
        <v/>
      </c>
      <c r="E71" s="11">
        <f>'By Round'!D81</f>
        <v/>
      </c>
      <c r="F71" s="11">
        <f>IF(ISBLANK('By Round'!F82),"",'By Round'!F82)</f>
        <v/>
      </c>
      <c r="G71">
        <f>IF(ISBLANK('By Round'!G82),"",'By Round'!G82)</f>
        <v/>
      </c>
      <c r="H71">
        <f>IF(ISBLANK('By Round'!H82),"",'By Round'!H82)</f>
        <v/>
      </c>
      <c r="I71">
        <f>IF(ISBLANK('By Round'!I82),"",'By Round'!I82)</f>
        <v/>
      </c>
      <c r="J71">
        <f>IF(ISBLANK('By Round'!J82),"",'By Round'!J82)</f>
        <v/>
      </c>
      <c r="K71">
        <f>IF(ISBLANK('By Round'!K82),"",'By Round'!K82)</f>
        <v/>
      </c>
      <c r="L71" s="12">
        <f>SUM(AB71:AE71)</f>
        <v/>
      </c>
      <c r="M71" s="13">
        <f>SUM(AF71:AI71)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5">
        <f>SUM(T71:W71)</f>
        <v/>
      </c>
      <c r="Q71" s="5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6">
        <f>'By Round'!A83</f>
        <v/>
      </c>
      <c r="C72" s="16">
        <f>'By Round'!B89</f>
        <v/>
      </c>
      <c r="D72" s="16">
        <f>'By Round'!C89</f>
        <v/>
      </c>
      <c r="E72" s="16">
        <f>'By Round'!D89</f>
        <v/>
      </c>
      <c r="F72" s="16">
        <f>IF(ISBLANK('By Round'!F90),"",'By Round'!F90)</f>
        <v/>
      </c>
      <c r="G72" s="15">
        <f>IF(ISBLANK('By Round'!G90),"",'By Round'!G90)</f>
        <v/>
      </c>
      <c r="H72" s="15">
        <f>IF(ISBLANK('By Round'!H90),"",'By Round'!H90)</f>
        <v/>
      </c>
      <c r="I72" s="15">
        <f>IF(ISBLANK('By Round'!I90),"",'By Round'!I90)</f>
        <v/>
      </c>
      <c r="J72" s="15">
        <f>IF(ISBLANK('By Round'!J90),"",'By Round'!J90)</f>
        <v/>
      </c>
      <c r="K72" s="15">
        <f>IF(ISBLANK('By Round'!K90),"",'By Round'!K90)</f>
        <v/>
      </c>
      <c r="L72" s="17">
        <f>SUM(AB72:AE72)</f>
        <v/>
      </c>
      <c r="M72" s="18">
        <f>SUM(AF72:AI72)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s="11" t="n">
        <v>15</v>
      </c>
      <c r="B73" s="11">
        <f>'By Round'!A3</f>
        <v/>
      </c>
      <c r="C73" s="11">
        <f>'By Round'!B9</f>
        <v/>
      </c>
      <c r="D73" s="11">
        <f>'By Round'!C9</f>
        <v/>
      </c>
      <c r="E73" s="11">
        <f>'By Round'!D9</f>
        <v/>
      </c>
      <c r="F73" s="11">
        <f>IF(ISBLANK('By Round'!F9),"",'By Round'!F9)</f>
        <v/>
      </c>
      <c r="G73">
        <f>IF(ISBLANK('By Round'!G9),"",'By Round'!G9)</f>
        <v/>
      </c>
      <c r="H73">
        <f>IF(ISBLANK('By Round'!H9),"",'By Round'!H9)</f>
        <v/>
      </c>
      <c r="I73">
        <f>IF(ISBLANK('By Round'!I9),"",'By Round'!I9)</f>
        <v/>
      </c>
      <c r="J73">
        <f>IF(ISBLANK('By Round'!J9),"",'By Round'!J9)</f>
        <v/>
      </c>
      <c r="K73">
        <f>IF(ISBLANK('By Round'!K9),"",'By Round'!K9)</f>
        <v/>
      </c>
      <c r="L73" s="12">
        <f>SUM(AB73:AE73)</f>
        <v/>
      </c>
      <c r="M73" s="13">
        <f>SUM(AF73:AI73)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5">
        <f>SUM(T73:W73)</f>
        <v/>
      </c>
      <c r="Q73" s="5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1">
        <f>'By Round'!A53</f>
        <v/>
      </c>
      <c r="C74" s="11">
        <f>'By Round'!B57</f>
        <v/>
      </c>
      <c r="D74" s="11">
        <f>'By Round'!C57</f>
        <v/>
      </c>
      <c r="E74" s="11">
        <f>'By Round'!D57</f>
        <v/>
      </c>
      <c r="F74" s="11">
        <f>IF(ISBLANK('By Round'!F57),"",'By Round'!F57)</f>
        <v/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2">
        <f>SUM(AB74:AE74)</f>
        <v/>
      </c>
      <c r="M74" s="13">
        <f>SUM(AF74:AI74)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5">
        <f>SUM(T74:W74)</f>
        <v/>
      </c>
      <c r="Q74" s="5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1">
        <f>'By Round'!A63</f>
        <v/>
      </c>
      <c r="C75" s="11">
        <f>'By Round'!B65</f>
        <v/>
      </c>
      <c r="D75" s="11">
        <f>'By Round'!C65</f>
        <v/>
      </c>
      <c r="E75" s="11">
        <f>'By Round'!D65</f>
        <v/>
      </c>
      <c r="F75" s="11">
        <f>IF(ISBLANK('By Round'!F65),"",'By Round'!F65)</f>
        <v/>
      </c>
      <c r="G75">
        <f>IF(ISBLANK('By Round'!G65),"",'By Round'!G65)</f>
        <v/>
      </c>
      <c r="H75">
        <f>IF(ISBLANK('By Round'!H65),"",'By Round'!H65)</f>
        <v/>
      </c>
      <c r="I75">
        <f>IF(ISBLANK('By Round'!I65),"",'By Round'!I65)</f>
        <v/>
      </c>
      <c r="J75">
        <f>IF(ISBLANK('By Round'!J65),"",'By Round'!J65)</f>
        <v/>
      </c>
      <c r="K75">
        <f>IF(ISBLANK('By Round'!K65),"",'By Round'!K65)</f>
        <v/>
      </c>
      <c r="L75" s="12">
        <f>SUM(AB75:AE75)</f>
        <v/>
      </c>
      <c r="M75" s="13">
        <f>SUM(AF75:AI75)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5">
        <f>SUM(T75:W75)</f>
        <v/>
      </c>
      <c r="Q75" s="5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1">
        <f>'By Round'!A73</f>
        <v/>
      </c>
      <c r="C76" s="11">
        <f>'By Round'!B73</f>
        <v/>
      </c>
      <c r="D76" s="11">
        <f>'By Round'!C73</f>
        <v/>
      </c>
      <c r="E76" s="11">
        <f>'By Round'!D73</f>
        <v/>
      </c>
      <c r="F76" s="11">
        <f>IF(ISBLANK('By Round'!F73),"",'By Round'!F73)</f>
        <v/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SUM(AB76:AE76)</f>
        <v/>
      </c>
      <c r="M76" s="13">
        <f>SUM(AF76:AI76)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5">
        <f>SUM(T76:W76)</f>
        <v/>
      </c>
      <c r="Q76" s="5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6">
        <f>'By Round'!A83</f>
        <v/>
      </c>
      <c r="C77" s="16">
        <f>'By Round'!B91</f>
        <v/>
      </c>
      <c r="D77" s="16">
        <f>'By Round'!C91</f>
        <v/>
      </c>
      <c r="E77" s="16">
        <f>'By Round'!D91</f>
        <v/>
      </c>
      <c r="F77" s="16">
        <f>IF(ISBLANK('By Round'!F91),"",'By Round'!F91)</f>
        <v/>
      </c>
      <c r="G77" s="15">
        <f>IF(ISBLANK('By Round'!G91),"",'By Round'!G91)</f>
        <v/>
      </c>
      <c r="H77" s="15">
        <f>IF(ISBLANK('By Round'!H91),"",'By Round'!H91)</f>
        <v/>
      </c>
      <c r="I77" s="15">
        <f>IF(ISBLANK('By Round'!I91),"",'By Round'!I91)</f>
        <v/>
      </c>
      <c r="J77" s="15">
        <f>IF(ISBLANK('By Round'!J91),"",'By Round'!J91)</f>
        <v/>
      </c>
      <c r="K77" s="15">
        <f>IF(ISBLANK('By Round'!K91),"",'By Round'!K91)</f>
        <v/>
      </c>
      <c r="L77" s="17">
        <f>SUM(AB77:AE77)</f>
        <v/>
      </c>
      <c r="M77" s="18">
        <f>SUM(AF77:AI77)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s="11" t="n">
        <v>16</v>
      </c>
      <c r="B78" s="11">
        <f>'By Round'!A3</f>
        <v/>
      </c>
      <c r="C78" s="11">
        <f>'By Round'!B9</f>
        <v/>
      </c>
      <c r="D78" s="11">
        <f>'By Round'!C9</f>
        <v/>
      </c>
      <c r="E78" s="11">
        <f>'By Round'!D9</f>
        <v/>
      </c>
      <c r="F78" s="11">
        <f>IF(ISBLANK('By Round'!F10),"",'By Round'!F10)</f>
        <v/>
      </c>
      <c r="G78">
        <f>IF(ISBLANK('By Round'!G10),"",'By Round'!G10)</f>
        <v/>
      </c>
      <c r="H78">
        <f>IF(ISBLANK('By Round'!H10),"",'By Round'!H10)</f>
        <v/>
      </c>
      <c r="I78">
        <f>IF(ISBLANK('By Round'!I10),"",'By Round'!I10)</f>
        <v/>
      </c>
      <c r="J78">
        <f>IF(ISBLANK('By Round'!J10),"",'By Round'!J10)</f>
        <v/>
      </c>
      <c r="K78">
        <f>IF(ISBLANK('By Round'!K10),"",'By Round'!K10)</f>
        <v/>
      </c>
      <c r="L78" s="12">
        <f>SUM(AB78:AE78)</f>
        <v/>
      </c>
      <c r="M78" s="13">
        <f>SUM(AF78:AI78)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5">
        <f>SUM(T78:W78)</f>
        <v/>
      </c>
      <c r="Q78" s="5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 s="11">
        <f>'By Round'!A53</f>
        <v/>
      </c>
      <c r="C79" s="11">
        <f>'By Round'!B57</f>
        <v/>
      </c>
      <c r="D79" s="11">
        <f>'By Round'!C57</f>
        <v/>
      </c>
      <c r="E79" s="11">
        <f>'By Round'!D57</f>
        <v/>
      </c>
      <c r="F79" s="11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 s="12">
        <f>SUM(AB79:AE79)</f>
        <v/>
      </c>
      <c r="M79" s="13">
        <f>SUM(AF79:AI79)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5">
        <f>SUM(T79:W79)</f>
        <v/>
      </c>
      <c r="Q79" s="5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 s="11">
        <f>'By Round'!A63</f>
        <v/>
      </c>
      <c r="C80" s="11">
        <f>'By Round'!B65</f>
        <v/>
      </c>
      <c r="D80" s="11">
        <f>'By Round'!C65</f>
        <v/>
      </c>
      <c r="E80" s="11">
        <f>'By Round'!D65</f>
        <v/>
      </c>
      <c r="F80" s="11">
        <f>IF(ISBLANK('By Round'!F66),"",'By Round'!F66)</f>
        <v/>
      </c>
      <c r="G80">
        <f>IF(ISBLANK('By Round'!G66),"",'By Round'!G66)</f>
        <v/>
      </c>
      <c r="H80">
        <f>IF(ISBLANK('By Round'!H66),"",'By Round'!H66)</f>
        <v/>
      </c>
      <c r="I80">
        <f>IF(ISBLANK('By Round'!I66),"",'By Round'!I66)</f>
        <v/>
      </c>
      <c r="J80">
        <f>IF(ISBLANK('By Round'!J66),"",'By Round'!J66)</f>
        <v/>
      </c>
      <c r="K80">
        <f>IF(ISBLANK('By Round'!K66),"",'By Round'!K66)</f>
        <v/>
      </c>
      <c r="L80" s="12">
        <f>SUM(AB80:AE80)</f>
        <v/>
      </c>
      <c r="M80" s="13">
        <f>SUM(AF80:AI80)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5">
        <f>SUM(T80:W80)</f>
        <v/>
      </c>
      <c r="Q80" s="5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 s="11">
        <f>'By Round'!A73</f>
        <v/>
      </c>
      <c r="C81" s="11">
        <f>'By Round'!B73</f>
        <v/>
      </c>
      <c r="D81" s="11">
        <f>'By Round'!C73</f>
        <v/>
      </c>
      <c r="E81" s="11">
        <f>'By Round'!D73</f>
        <v/>
      </c>
      <c r="F81" s="11">
        <f>IF(ISBLANK('By Round'!F74),"",'By Round'!F74)</f>
        <v/>
      </c>
      <c r="G81">
        <f>IF(ISBLANK('By Round'!G74),"",'By Round'!G74)</f>
        <v/>
      </c>
      <c r="H81">
        <f>IF(ISBLANK('By Round'!H74),"",'By Round'!H74)</f>
        <v/>
      </c>
      <c r="I81">
        <f>IF(ISBLANK('By Round'!I74),"",'By Round'!I74)</f>
        <v/>
      </c>
      <c r="J81">
        <f>IF(ISBLANK('By Round'!J74),"",'By Round'!J74)</f>
        <v/>
      </c>
      <c r="K81">
        <f>IF(ISBLANK('By Round'!K74),"",'By Round'!K74)</f>
        <v/>
      </c>
      <c r="L81" s="12">
        <f>SUM(AB81:AE81)</f>
        <v/>
      </c>
      <c r="M81" s="13">
        <f>SUM(AF81:AI81)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5">
        <f>SUM(T81:W81)</f>
        <v/>
      </c>
      <c r="Q81" s="5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6">
        <f>'By Round'!A83</f>
        <v/>
      </c>
      <c r="C82" s="16">
        <f>'By Round'!B91</f>
        <v/>
      </c>
      <c r="D82" s="16">
        <f>'By Round'!C91</f>
        <v/>
      </c>
      <c r="E82" s="16">
        <f>'By Round'!D91</f>
        <v/>
      </c>
      <c r="F82" s="16">
        <f>IF(ISBLANK('By Round'!F92),"",'By Round'!F92)</f>
        <v/>
      </c>
      <c r="G82" s="15">
        <f>IF(ISBLANK('By Round'!G92),"",'By Round'!G92)</f>
        <v/>
      </c>
      <c r="H82" s="15">
        <f>IF(ISBLANK('By Round'!H92),"",'By Round'!H92)</f>
        <v/>
      </c>
      <c r="I82" s="15">
        <f>IF(ISBLANK('By Round'!I92),"",'By Round'!I92)</f>
        <v/>
      </c>
      <c r="J82" s="15">
        <f>IF(ISBLANK('By Round'!J92),"",'By Round'!J92)</f>
        <v/>
      </c>
      <c r="K82" s="15">
        <f>IF(ISBLANK('By Round'!K92),"",'By Round'!K92)</f>
        <v/>
      </c>
      <c r="L82" s="17">
        <f>SUM(AB82:AE82)</f>
        <v/>
      </c>
      <c r="M82" s="18">
        <f>SUM(AF82:AI82)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s="11" t="n">
        <v>17</v>
      </c>
      <c r="B83" s="11">
        <f>'By Round'!A3</f>
        <v/>
      </c>
      <c r="C83" s="11">
        <f>'By Round'!B11</f>
        <v/>
      </c>
      <c r="D83" s="11">
        <f>'By Round'!C11</f>
        <v/>
      </c>
      <c r="E83" s="11">
        <f>'By Round'!D11</f>
        <v/>
      </c>
      <c r="F83" s="11">
        <f>IF(ISBLANK('By Round'!F11),"",'By Round'!F11)</f>
        <v/>
      </c>
      <c r="G83">
        <f>IF(ISBLANK('By Round'!G11),"",'By Round'!G11)</f>
        <v/>
      </c>
      <c r="H83">
        <f>IF(ISBLANK('By Round'!H11),"",'By Round'!H11)</f>
        <v/>
      </c>
      <c r="I83">
        <f>IF(ISBLANK('By Round'!I11),"",'By Round'!I11)</f>
        <v/>
      </c>
      <c r="J83">
        <f>IF(ISBLANK('By Round'!J11),"",'By Round'!J11)</f>
        <v/>
      </c>
      <c r="K83">
        <f>IF(ISBLANK('By Round'!K11),"",'By Round'!K11)</f>
        <v/>
      </c>
      <c r="L83" s="12">
        <f>SUM(AB83:AE83)</f>
        <v/>
      </c>
      <c r="M83" s="13">
        <f>SUM(AF83:AI83)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5">
        <f>SUM(T83:W83)</f>
        <v/>
      </c>
      <c r="Q83" s="5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 s="11">
        <f>'By Round'!A13</f>
        <v/>
      </c>
      <c r="C84" s="11">
        <f>'By Round'!B19</f>
        <v/>
      </c>
      <c r="D84" s="11">
        <f>'By Round'!C19</f>
        <v/>
      </c>
      <c r="E84" s="11">
        <f>'By Round'!D19</f>
        <v/>
      </c>
      <c r="F84" s="11">
        <f>IF(ISBLANK('By Round'!F19),"",'By Round'!F19)</f>
        <v/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2">
        <f>SUM(AB84:AE84)</f>
        <v/>
      </c>
      <c r="M84" s="13">
        <f>SUM(AF84:AI84)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5">
        <f>SUM(T84:W84)</f>
        <v/>
      </c>
      <c r="Q84" s="5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 s="11">
        <f>'By Round'!A63</f>
        <v/>
      </c>
      <c r="C85" s="11">
        <f>'By Round'!B67</f>
        <v/>
      </c>
      <c r="D85" s="11">
        <f>'By Round'!C67</f>
        <v/>
      </c>
      <c r="E85" s="11">
        <f>'By Round'!D67</f>
        <v/>
      </c>
      <c r="F85" s="11">
        <f>IF(ISBLANK('By Round'!F67),"",'By Round'!F67)</f>
        <v/>
      </c>
      <c r="G85">
        <f>IF(ISBLANK('By Round'!G67),"",'By Round'!G67)</f>
        <v/>
      </c>
      <c r="H85">
        <f>IF(ISBLANK('By Round'!H67),"",'By Round'!H67)</f>
        <v/>
      </c>
      <c r="I85">
        <f>IF(ISBLANK('By Round'!I67),"",'By Round'!I67)</f>
        <v/>
      </c>
      <c r="J85">
        <f>IF(ISBLANK('By Round'!J67),"",'By Round'!J67)</f>
        <v/>
      </c>
      <c r="K85">
        <f>IF(ISBLANK('By Round'!K67),"",'By Round'!K67)</f>
        <v/>
      </c>
      <c r="L85" s="12">
        <f>SUM(AB85:AE85)</f>
        <v/>
      </c>
      <c r="M85" s="13">
        <f>SUM(AF85:AI85)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5">
        <f>SUM(T85:W85)</f>
        <v/>
      </c>
      <c r="Q85" s="5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 s="11">
        <f>'By Round'!A73</f>
        <v/>
      </c>
      <c r="C86" s="11">
        <f>'By Round'!B75</f>
        <v/>
      </c>
      <c r="D86" s="11">
        <f>'By Round'!C75</f>
        <v/>
      </c>
      <c r="E86" s="11">
        <f>'By Round'!D75</f>
        <v/>
      </c>
      <c r="F86" s="11">
        <f>IF(ISBLANK('By Round'!F75),"",'By Round'!F75)</f>
        <v/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2">
        <f>SUM(AB86:AE86)</f>
        <v/>
      </c>
      <c r="M86" s="13">
        <f>SUM(AF86:AI86)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5">
        <f>SUM(T86:W86)</f>
        <v/>
      </c>
      <c r="Q86" s="5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6">
        <f>'By Round'!A83</f>
        <v/>
      </c>
      <c r="C87" s="16">
        <f>'By Round'!B83</f>
        <v/>
      </c>
      <c r="D87" s="16">
        <f>'By Round'!C83</f>
        <v/>
      </c>
      <c r="E87" s="16">
        <f>'By Round'!D83</f>
        <v/>
      </c>
      <c r="F87" s="16">
        <f>IF(ISBLANK('By Round'!F83),"",'By Round'!F83)</f>
        <v/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7">
        <f>SUM(AB87:AE87)</f>
        <v/>
      </c>
      <c r="M87" s="18">
        <f>SUM(AF87:AI87)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s="11" t="n">
        <v>18</v>
      </c>
      <c r="B88" s="11">
        <f>'By Round'!A3</f>
        <v/>
      </c>
      <c r="C88" s="11">
        <f>'By Round'!B11</f>
        <v/>
      </c>
      <c r="D88" s="11">
        <f>'By Round'!C11</f>
        <v/>
      </c>
      <c r="E88" s="11">
        <f>'By Round'!D11</f>
        <v/>
      </c>
      <c r="F88" s="11">
        <f>IF(ISBLANK('By Round'!F12),"",'By Round'!F12)</f>
        <v/>
      </c>
      <c r="G88">
        <f>IF(ISBLANK('By Round'!G12),"",'By Round'!G12)</f>
        <v/>
      </c>
      <c r="H88">
        <f>IF(ISBLANK('By Round'!H12),"",'By Round'!H12)</f>
        <v/>
      </c>
      <c r="I88">
        <f>IF(ISBLANK('By Round'!I12),"",'By Round'!I12)</f>
        <v/>
      </c>
      <c r="J88">
        <f>IF(ISBLANK('By Round'!J12),"",'By Round'!J12)</f>
        <v/>
      </c>
      <c r="K88">
        <f>IF(ISBLANK('By Round'!K12),"",'By Round'!K12)</f>
        <v/>
      </c>
      <c r="L88" s="12">
        <f>SUM(AB88:AE88)</f>
        <v/>
      </c>
      <c r="M88" s="13">
        <f>SUM(AF88:AI88)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5">
        <f>SUM(T88:W88)</f>
        <v/>
      </c>
      <c r="Q88" s="5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 s="11">
        <f>'By Round'!A13</f>
        <v/>
      </c>
      <c r="C89" s="11">
        <f>'By Round'!B19</f>
        <v/>
      </c>
      <c r="D89" s="11">
        <f>'By Round'!C19</f>
        <v/>
      </c>
      <c r="E89" s="11">
        <f>'By Round'!D19</f>
        <v/>
      </c>
      <c r="F89" s="11">
        <f>IF(ISBLANK('By Round'!F20),"",'By Round'!F20)</f>
        <v/>
      </c>
      <c r="G89">
        <f>IF(ISBLANK('By Round'!G20),"",'By Round'!G20)</f>
        <v/>
      </c>
      <c r="H89">
        <f>IF(ISBLANK('By Round'!H20),"",'By Round'!H20)</f>
        <v/>
      </c>
      <c r="I89">
        <f>IF(ISBLANK('By Round'!I20),"",'By Round'!I20)</f>
        <v/>
      </c>
      <c r="J89">
        <f>IF(ISBLANK('By Round'!J20),"",'By Round'!J20)</f>
        <v/>
      </c>
      <c r="K89">
        <f>IF(ISBLANK('By Round'!K20),"",'By Round'!K20)</f>
        <v/>
      </c>
      <c r="L89" s="12">
        <f>SUM(AB89:AE89)</f>
        <v/>
      </c>
      <c r="M89" s="13">
        <f>SUM(AF89:AI89)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5">
        <f>SUM(T89:W89)</f>
        <v/>
      </c>
      <c r="Q89" s="5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 s="11">
        <f>'By Round'!A63</f>
        <v/>
      </c>
      <c r="C90" s="11">
        <f>'By Round'!B67</f>
        <v/>
      </c>
      <c r="D90" s="11">
        <f>'By Round'!C67</f>
        <v/>
      </c>
      <c r="E90" s="11">
        <f>'By Round'!D67</f>
        <v/>
      </c>
      <c r="F90" s="11">
        <f>IF(ISBLANK('By Round'!F68),"",'By Round'!F68)</f>
        <v/>
      </c>
      <c r="G90">
        <f>IF(ISBLANK('By Round'!G68),"",'By Round'!G68)</f>
        <v/>
      </c>
      <c r="H90">
        <f>IF(ISBLANK('By Round'!H68),"",'By Round'!H68)</f>
        <v/>
      </c>
      <c r="I90">
        <f>IF(ISBLANK('By Round'!I68),"",'By Round'!I68)</f>
        <v/>
      </c>
      <c r="J90">
        <f>IF(ISBLANK('By Round'!J68),"",'By Round'!J68)</f>
        <v/>
      </c>
      <c r="K90">
        <f>IF(ISBLANK('By Round'!K68),"",'By Round'!K68)</f>
        <v/>
      </c>
      <c r="L90" s="12">
        <f>SUM(AB90:AE90)</f>
        <v/>
      </c>
      <c r="M90" s="13">
        <f>SUM(AF90:AI90)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5">
        <f>SUM(T90:W90)</f>
        <v/>
      </c>
      <c r="Q90" s="5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 s="11">
        <f>'By Round'!A73</f>
        <v/>
      </c>
      <c r="C91" s="11">
        <f>'By Round'!B75</f>
        <v/>
      </c>
      <c r="D91" s="11">
        <f>'By Round'!C75</f>
        <v/>
      </c>
      <c r="E91" s="11">
        <f>'By Round'!D75</f>
        <v/>
      </c>
      <c r="F91" s="11">
        <f>IF(ISBLANK('By Round'!F76),"",'By Round'!F76)</f>
        <v/>
      </c>
      <c r="G91">
        <f>IF(ISBLANK('By Round'!G76),"",'By Round'!G76)</f>
        <v/>
      </c>
      <c r="H91">
        <f>IF(ISBLANK('By Round'!H76),"",'By Round'!H76)</f>
        <v/>
      </c>
      <c r="I91">
        <f>IF(ISBLANK('By Round'!I76),"",'By Round'!I76)</f>
        <v/>
      </c>
      <c r="J91">
        <f>IF(ISBLANK('By Round'!J76),"",'By Round'!J76)</f>
        <v/>
      </c>
      <c r="K91">
        <f>IF(ISBLANK('By Round'!K76),"",'By Round'!K76)</f>
        <v/>
      </c>
      <c r="L91" s="12">
        <f>SUM(AB91:AE91)</f>
        <v/>
      </c>
      <c r="M91" s="13">
        <f>SUM(AF91:AI91)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5">
        <f>SUM(T91:W91)</f>
        <v/>
      </c>
      <c r="Q91" s="5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6">
        <f>'By Round'!A83</f>
        <v/>
      </c>
      <c r="C92" s="16">
        <f>'By Round'!B83</f>
        <v/>
      </c>
      <c r="D92" s="16">
        <f>'By Round'!C83</f>
        <v/>
      </c>
      <c r="E92" s="16">
        <f>'By Round'!D83</f>
        <v/>
      </c>
      <c r="F92" s="16">
        <f>IF(ISBLANK('By Round'!F84),"",'By Round'!F84)</f>
        <v/>
      </c>
      <c r="G92" s="15">
        <f>IF(ISBLANK('By Round'!G84),"",'By Round'!G84)</f>
        <v/>
      </c>
      <c r="H92" s="15">
        <f>IF(ISBLANK('By Round'!H84),"",'By Round'!H84)</f>
        <v/>
      </c>
      <c r="I92" s="15">
        <f>IF(ISBLANK('By Round'!I84),"",'By Round'!I84)</f>
        <v/>
      </c>
      <c r="J92" s="15">
        <f>IF(ISBLANK('By Round'!J84),"",'By Round'!J84)</f>
        <v/>
      </c>
      <c r="K92" s="15">
        <f>IF(ISBLANK('By Round'!K84),"",'By Round'!K84)</f>
        <v/>
      </c>
      <c r="L92" s="17">
        <f>SUM(AB92:AE92)</f>
        <v/>
      </c>
      <c r="M92" s="18">
        <f>SUM(AF92:AI92)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9</v>
      </c>
      <c r="D5" s="11" t="n">
        <v>8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6</v>
      </c>
      <c r="D7" s="11" t="n">
        <v>4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3</v>
      </c>
      <c r="D9" s="11" t="n">
        <v>7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5</v>
      </c>
      <c r="D11" s="11" t="n">
        <v>2</v>
      </c>
      <c r="E11" s="11" t="n">
        <v>17</v>
      </c>
      <c r="F11" s="11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A13" s="11" t="n">
        <v>2</v>
      </c>
      <c r="B13" s="11" t="n">
        <v>1</v>
      </c>
      <c r="C13" s="11" t="inlineStr">
        <is>
          <t>Sit-Out</t>
        </is>
      </c>
      <c r="D13" s="11" t="n">
        <v>2</v>
      </c>
      <c r="E13" s="11" t="n">
        <v>3</v>
      </c>
      <c r="F13" s="11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1</v>
      </c>
      <c r="D15" s="11" t="n">
        <v>9</v>
      </c>
      <c r="E15" s="11" t="n">
        <v>5</v>
      </c>
      <c r="F15" s="11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</row>
    <row r="17">
      <c r="B17" s="11" t="n">
        <v>3</v>
      </c>
      <c r="C17" s="11" t="n">
        <v>7</v>
      </c>
      <c r="D17" s="11" t="n">
        <v>5</v>
      </c>
      <c r="E17" s="11" t="n">
        <v>7</v>
      </c>
      <c r="F17" s="11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</row>
    <row r="19">
      <c r="B19" s="11" t="n">
        <v>4</v>
      </c>
      <c r="C19" s="11" t="n">
        <v>4</v>
      </c>
      <c r="D19" s="11" t="n">
        <v>8</v>
      </c>
      <c r="E19" s="11" t="n">
        <v>17</v>
      </c>
      <c r="F19" s="11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B21" s="11" t="n">
        <v>5</v>
      </c>
      <c r="C21" s="11" t="n">
        <v>6</v>
      </c>
      <c r="D21" s="11" t="n">
        <v>3</v>
      </c>
      <c r="E21" s="11" t="n">
        <v>1</v>
      </c>
      <c r="F21" s="11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A23" s="11" t="n">
        <v>3</v>
      </c>
      <c r="B23" s="11" t="n">
        <v>1</v>
      </c>
      <c r="C23" s="11" t="inlineStr">
        <is>
          <t>Sit-Out</t>
        </is>
      </c>
      <c r="D23" s="11" t="n">
        <v>3</v>
      </c>
      <c r="E23" s="11" t="n">
        <v>5</v>
      </c>
      <c r="F23" s="11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</row>
    <row r="25">
      <c r="B25" s="11" t="n">
        <v>2</v>
      </c>
      <c r="C25" s="11" t="n">
        <v>2</v>
      </c>
      <c r="D25" s="11" t="n">
        <v>1</v>
      </c>
      <c r="E25" s="11" t="n">
        <v>7</v>
      </c>
      <c r="F25" s="11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8</v>
      </c>
      <c r="D27" s="11" t="n">
        <v>6</v>
      </c>
      <c r="E27" s="11" t="n">
        <v>9</v>
      </c>
      <c r="F27" s="11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</row>
    <row r="29">
      <c r="B29" s="11" t="n">
        <v>4</v>
      </c>
      <c r="C29" s="11" t="n">
        <v>5</v>
      </c>
      <c r="D29" s="11" t="n">
        <v>9</v>
      </c>
      <c r="E29" s="11" t="n">
        <v>1</v>
      </c>
      <c r="F29" s="11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</row>
    <row r="31">
      <c r="B31" s="11" t="n">
        <v>5</v>
      </c>
      <c r="C31" s="11" t="n">
        <v>7</v>
      </c>
      <c r="D31" s="11" t="n">
        <v>4</v>
      </c>
      <c r="E31" s="11" t="n">
        <v>3</v>
      </c>
      <c r="F31" s="11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</row>
    <row r="33">
      <c r="A33" s="11" t="n">
        <v>4</v>
      </c>
      <c r="B33" s="11" t="n">
        <v>1</v>
      </c>
      <c r="C33" s="11" t="inlineStr">
        <is>
          <t>Sit-Out</t>
        </is>
      </c>
      <c r="D33" s="11" t="n">
        <v>4</v>
      </c>
      <c r="E33" s="11" t="n">
        <v>7</v>
      </c>
      <c r="F33" s="11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</row>
    <row r="35">
      <c r="B35" s="11" t="n">
        <v>2</v>
      </c>
      <c r="C35" s="11" t="n">
        <v>3</v>
      </c>
      <c r="D35" s="11" t="n">
        <v>2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3</v>
      </c>
      <c r="C37" s="11" t="n">
        <v>9</v>
      </c>
      <c r="D37" s="11" t="n">
        <v>7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4</v>
      </c>
      <c r="C39" s="11" t="n">
        <v>6</v>
      </c>
      <c r="D39" s="11" t="n">
        <v>1</v>
      </c>
      <c r="E39" s="11" t="n">
        <v>3</v>
      </c>
      <c r="F39" s="11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</row>
    <row r="41">
      <c r="B41" s="11" t="n">
        <v>5</v>
      </c>
      <c r="C41" s="11" t="n">
        <v>8</v>
      </c>
      <c r="D41" s="11" t="n">
        <v>5</v>
      </c>
      <c r="E41" s="11" t="n">
        <v>5</v>
      </c>
      <c r="F41" s="11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A43" s="11" t="n">
        <v>5</v>
      </c>
      <c r="B43" s="11" t="n">
        <v>1</v>
      </c>
      <c r="C43" s="11" t="inlineStr">
        <is>
          <t>Sit-Out</t>
        </is>
      </c>
      <c r="D43" s="11" t="n">
        <v>5</v>
      </c>
      <c r="E43" s="11" t="n">
        <v>9</v>
      </c>
      <c r="F43" s="11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11</v>
      </c>
      <c r="F45" s="11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1</v>
      </c>
      <c r="D47" s="11" t="n">
        <v>8</v>
      </c>
      <c r="E47" s="11" t="n">
        <v>13</v>
      </c>
      <c r="F47" s="11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7</v>
      </c>
      <c r="D49" s="11" t="n">
        <v>2</v>
      </c>
      <c r="E49" s="11" t="n">
        <v>5</v>
      </c>
      <c r="F49" s="11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B51" s="11" t="n">
        <v>5</v>
      </c>
      <c r="C51" s="11" t="n">
        <v>9</v>
      </c>
      <c r="D51" s="11" t="n">
        <v>6</v>
      </c>
      <c r="E51" s="11" t="n">
        <v>7</v>
      </c>
      <c r="F51" s="11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A53" s="11" t="n">
        <v>6</v>
      </c>
      <c r="B53" s="11" t="n">
        <v>1</v>
      </c>
      <c r="C53" s="11" t="inlineStr">
        <is>
          <t>Sit-Out</t>
        </is>
      </c>
      <c r="D53" s="11" t="n">
        <v>6</v>
      </c>
      <c r="E53" s="11" t="n">
        <v>11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2</v>
      </c>
      <c r="C55" s="11" t="n">
        <v>5</v>
      </c>
      <c r="D55" s="11" t="n">
        <v>4</v>
      </c>
      <c r="E55" s="11" t="n">
        <v>13</v>
      </c>
      <c r="F55" s="11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</row>
    <row r="57">
      <c r="B57" s="11" t="n">
        <v>3</v>
      </c>
      <c r="C57" s="11" t="n">
        <v>2</v>
      </c>
      <c r="D57" s="11" t="n">
        <v>9</v>
      </c>
      <c r="E57" s="11" t="n">
        <v>15</v>
      </c>
      <c r="F57" s="11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</row>
    <row r="59">
      <c r="B59" s="11" t="n">
        <v>4</v>
      </c>
      <c r="C59" s="11" t="n">
        <v>8</v>
      </c>
      <c r="D59" s="11" t="n">
        <v>3</v>
      </c>
      <c r="E59" s="11" t="n">
        <v>7</v>
      </c>
      <c r="F59" s="11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</row>
    <row r="61">
      <c r="B61" s="11" t="n">
        <v>5</v>
      </c>
      <c r="C61" s="11" t="n">
        <v>1</v>
      </c>
      <c r="D61" s="11" t="n">
        <v>7</v>
      </c>
      <c r="E61" s="11" t="n">
        <v>9</v>
      </c>
      <c r="F61" s="11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</row>
    <row r="63">
      <c r="A63" s="11" t="n">
        <v>7</v>
      </c>
      <c r="B63" s="11" t="n">
        <v>1</v>
      </c>
      <c r="C63" s="11" t="inlineStr">
        <is>
          <t>Sit-Out</t>
        </is>
      </c>
      <c r="D63" s="11" t="n">
        <v>7</v>
      </c>
      <c r="E63" s="11" t="n">
        <v>13</v>
      </c>
      <c r="F63" s="11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6</v>
      </c>
      <c r="D65" s="11" t="n">
        <v>5</v>
      </c>
      <c r="E65" s="11" t="n">
        <v>15</v>
      </c>
      <c r="F65" s="11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3</v>
      </c>
      <c r="D67" s="11" t="n">
        <v>1</v>
      </c>
      <c r="E67" s="11" t="n">
        <v>17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9</v>
      </c>
      <c r="D69" s="11" t="n">
        <v>4</v>
      </c>
      <c r="E69" s="11" t="n">
        <v>9</v>
      </c>
      <c r="F69" s="11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2</v>
      </c>
      <c r="D71" s="11" t="n">
        <v>8</v>
      </c>
      <c r="E71" s="11" t="n">
        <v>11</v>
      </c>
      <c r="F71" s="11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</row>
    <row r="73">
      <c r="A73" s="11" t="n">
        <v>8</v>
      </c>
      <c r="B73" s="11" t="n">
        <v>1</v>
      </c>
      <c r="C73" s="11" t="inlineStr">
        <is>
          <t>Sit-Out</t>
        </is>
      </c>
      <c r="D73" s="11" t="n">
        <v>8</v>
      </c>
      <c r="E73" s="11" t="n">
        <v>15</v>
      </c>
      <c r="F73" s="11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7</v>
      </c>
      <c r="D75" s="11" t="n">
        <v>6</v>
      </c>
      <c r="E75" s="11" t="n">
        <v>17</v>
      </c>
      <c r="F75" s="11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4</v>
      </c>
      <c r="D77" s="11" t="n">
        <v>2</v>
      </c>
      <c r="E77" s="11" t="n">
        <v>1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5</v>
      </c>
      <c r="E79" s="11" t="n">
        <v>11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3</v>
      </c>
      <c r="D81" s="11" t="n">
        <v>9</v>
      </c>
      <c r="E81" s="11" t="n">
        <v>13</v>
      </c>
      <c r="F81" s="11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</row>
    <row r="83">
      <c r="A83" s="11" t="n">
        <v>9</v>
      </c>
      <c r="B83" s="11" t="n">
        <v>1</v>
      </c>
      <c r="C83" s="11" t="inlineStr">
        <is>
          <t>Sit-Out</t>
        </is>
      </c>
      <c r="D83" s="11" t="n">
        <v>9</v>
      </c>
      <c r="E83" s="11" t="n">
        <v>17</v>
      </c>
      <c r="F83" s="11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</row>
    <row r="85">
      <c r="B85" s="11" t="n">
        <v>2</v>
      </c>
      <c r="C85" s="11" t="n">
        <v>8</v>
      </c>
      <c r="D85" s="11" t="n">
        <v>7</v>
      </c>
      <c r="E85" s="11" t="n">
        <v>1</v>
      </c>
      <c r="F85" s="11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</row>
    <row r="87">
      <c r="B87" s="11" t="n">
        <v>3</v>
      </c>
      <c r="C87" s="11" t="n">
        <v>5</v>
      </c>
      <c r="D87" s="11" t="n">
        <v>3</v>
      </c>
      <c r="E87" s="11" t="n">
        <v>3</v>
      </c>
      <c r="F87" s="11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</row>
    <row r="89">
      <c r="B89" s="11" t="n">
        <v>4</v>
      </c>
      <c r="C89" s="11" t="n">
        <v>2</v>
      </c>
      <c r="D89" s="11" t="n">
        <v>6</v>
      </c>
      <c r="E89" s="11" t="n">
        <v>13</v>
      </c>
      <c r="F89" s="11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</row>
    <row r="91">
      <c r="B91" s="11" t="n">
        <v>5</v>
      </c>
      <c r="C91" s="11" t="n">
        <v>4</v>
      </c>
      <c r="D91" s="11" t="n">
        <v>1</v>
      </c>
      <c r="E91" s="11" t="n">
        <v>15</v>
      </c>
      <c r="F91" s="11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2026-02-11T04:50:28Z</dcterms:created>
  <dcterms:modified xsi:type="dcterms:W3CDTF">2026-02-11T04:50:28Z</dcterms:modified>
</cp:coreProperties>
</file>