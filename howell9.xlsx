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Mar 08,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9</v>
      </c>
    </row>
    <row r="4">
      <c r="A4" s="3" t="inlineStr">
        <is>
          <t>Tables</t>
        </is>
      </c>
      <c r="C4" s="3" t="n">
        <v>5</v>
      </c>
    </row>
    <row r="5">
      <c r="A5" s="3" t="inlineStr">
        <is>
          <t>Rounds</t>
        </is>
      </c>
      <c r="C5" s="3" t="n">
        <v>9</v>
      </c>
    </row>
    <row r="6">
      <c r="A6" s="3" t="inlineStr">
        <is>
          <t>Boards per round</t>
        </is>
      </c>
      <c r="C6" s="3" t="n">
        <v>2</v>
      </c>
    </row>
    <row r="7">
      <c r="A7" s="3" t="inlineStr">
        <is>
          <t>Total Boards to play</t>
        </is>
      </c>
      <c r="C7" s="3" t="n">
        <v>18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15</t>
        </is>
      </c>
      <c r="C10" t="inlineStr">
        <is>
          <t>Name 76</t>
        </is>
      </c>
      <c r="D10" s="4">
        <f>SUMIF('By Board'!$D$3:$D$82,"=1",'By Board'!$O$3:$O$82)/16+SUMIF('By Board'!$E$3:$E$82,"=1",'By Board'!$P$3:$P$82)/16</f>
        <v/>
      </c>
      <c r="E10" s="5">
        <f>SUMIF('By Board'!$D$3:$D$82,"=1",'By Board'!$M$3:$M$82)+SUMIF('By Board'!$E$3:$E$82,"=1",'By Board'!$N$3:$N$82)</f>
        <v/>
      </c>
    </row>
    <row r="11">
      <c r="A11" s="2" t="n">
        <v>2</v>
      </c>
      <c r="B11" t="inlineStr">
        <is>
          <t>Name 80</t>
        </is>
      </c>
      <c r="C11" t="inlineStr">
        <is>
          <t>Name 21</t>
        </is>
      </c>
      <c r="D11" s="4">
        <f>SUMIF('By Board'!$D$3:$D$82,"=2",'By Board'!$O$3:$O$82)/16+SUMIF('By Board'!$E$3:$E$82,"=2",'By Board'!$P$3:$P$82)/16</f>
        <v/>
      </c>
      <c r="E11" s="5">
        <f>SUMIF('By Board'!$D$3:$D$82,"=2",'By Board'!$M$3:$M$82)+SUMIF('By Board'!$E$3:$E$82,"=2",'By Board'!$N$3:$N$82)</f>
        <v/>
      </c>
    </row>
    <row r="12">
      <c r="A12" s="2" t="n">
        <v>3</v>
      </c>
      <c r="B12" t="inlineStr">
        <is>
          <t>Name 85</t>
        </is>
      </c>
      <c r="C12" t="inlineStr">
        <is>
          <t>Name 36</t>
        </is>
      </c>
      <c r="D12" s="4">
        <f>SUMIF('By Board'!$D$3:$D$82,"=3",'By Board'!$O$3:$O$82)/16+SUMIF('By Board'!$E$3:$E$82,"=3",'By Board'!$P$3:$P$82)/16</f>
        <v/>
      </c>
      <c r="E12" s="5">
        <f>SUMIF('By Board'!$D$3:$D$82,"=3",'By Board'!$M$3:$M$82)+SUMIF('By Board'!$E$3:$E$82,"=3",'By Board'!$N$3:$N$82)</f>
        <v/>
      </c>
    </row>
    <row r="13">
      <c r="A13" s="2" t="n">
        <v>4</v>
      </c>
      <c r="B13" t="inlineStr">
        <is>
          <t>Name 13</t>
        </is>
      </c>
      <c r="C13" t="inlineStr">
        <is>
          <t>Name 43</t>
        </is>
      </c>
      <c r="D13" s="4">
        <f>SUMIF('By Board'!$D$3:$D$82,"=4",'By Board'!$O$3:$O$82)/16+SUMIF('By Board'!$E$3:$E$82,"=4",'By Board'!$P$3:$P$82)/16</f>
        <v/>
      </c>
      <c r="E13" s="5">
        <f>SUMIF('By Board'!$D$3:$D$82,"=4",'By Board'!$M$3:$M$82)+SUMIF('By Board'!$E$3:$E$82,"=4",'By Board'!$N$3:$N$82)</f>
        <v/>
      </c>
    </row>
    <row r="14">
      <c r="A14" s="2" t="n">
        <v>5</v>
      </c>
      <c r="B14" t="inlineStr">
        <is>
          <t>Name 20</t>
        </is>
      </c>
      <c r="C14" t="inlineStr">
        <is>
          <t>Name 66</t>
        </is>
      </c>
      <c r="D14" s="4">
        <f>SUMIF('By Board'!$D$3:$D$82,"=5",'By Board'!$O$3:$O$82)/16+SUMIF('By Board'!$E$3:$E$82,"=5",'By Board'!$P$3:$P$82)/16</f>
        <v/>
      </c>
      <c r="E14" s="5">
        <f>SUMIF('By Board'!$D$3:$D$82,"=5",'By Board'!$M$3:$M$82)+SUMIF('By Board'!$E$3:$E$82,"=5",'By Board'!$N$3:$N$82)</f>
        <v/>
      </c>
    </row>
    <row r="15">
      <c r="A15" s="2" t="n">
        <v>6</v>
      </c>
      <c r="B15" t="inlineStr">
        <is>
          <t>Name 65</t>
        </is>
      </c>
      <c r="C15" t="inlineStr">
        <is>
          <t>Name 64</t>
        </is>
      </c>
      <c r="D15" s="4">
        <f>SUMIF('By Board'!$D$3:$D$82,"=6",'By Board'!$O$3:$O$82)/16+SUMIF('By Board'!$E$3:$E$82,"=6",'By Board'!$P$3:$P$82)/16</f>
        <v/>
      </c>
      <c r="E15" s="5">
        <f>SUMIF('By Board'!$D$3:$D$82,"=6",'By Board'!$M$3:$M$82)+SUMIF('By Board'!$E$3:$E$82,"=6",'By Board'!$N$3:$N$82)</f>
        <v/>
      </c>
    </row>
    <row r="16">
      <c r="A16" s="2" t="n">
        <v>7</v>
      </c>
      <c r="B16" t="inlineStr">
        <is>
          <t>Name 53</t>
        </is>
      </c>
      <c r="C16" t="inlineStr">
        <is>
          <t>Name 29</t>
        </is>
      </c>
      <c r="D16" s="4">
        <f>SUMIF('By Board'!$D$3:$D$82,"=7",'By Board'!$O$3:$O$82)/16+SUMIF('By Board'!$E$3:$E$82,"=7",'By Board'!$P$3:$P$82)/16</f>
        <v/>
      </c>
      <c r="E16" s="5">
        <f>SUMIF('By Board'!$D$3:$D$82,"=7",'By Board'!$M$3:$M$82)+SUMIF('By Board'!$E$3:$E$82,"=7",'By Board'!$N$3:$N$82)</f>
        <v/>
      </c>
    </row>
    <row r="17">
      <c r="A17" s="2" t="n">
        <v>8</v>
      </c>
      <c r="B17" t="inlineStr">
        <is>
          <t>Name 69</t>
        </is>
      </c>
      <c r="C17" t="inlineStr">
        <is>
          <t>Name 17</t>
        </is>
      </c>
      <c r="D17" s="4">
        <f>SUMIF('By Board'!$D$3:$D$82,"=8",'By Board'!$O$3:$O$82)/16+SUMIF('By Board'!$E$3:$E$82,"=8",'By Board'!$P$3:$P$82)/16</f>
        <v/>
      </c>
      <c r="E17" s="5">
        <f>SUMIF('By Board'!$D$3:$D$82,"=8",'By Board'!$M$3:$M$82)+SUMIF('By Board'!$E$3:$E$82,"=8",'By Board'!$N$3:$N$82)</f>
        <v/>
      </c>
    </row>
    <row r="18">
      <c r="A18" s="2" t="n">
        <v>9</v>
      </c>
      <c r="B18" t="inlineStr">
        <is>
          <t>Name 79</t>
        </is>
      </c>
      <c r="C18" t="inlineStr">
        <is>
          <t>Name 55</t>
        </is>
      </c>
      <c r="D18" s="4">
        <f>SUMIF('By Board'!$D$3:$D$82,"=9",'By Board'!$O$3:$O$82)/16+SUMIF('By Board'!$E$3:$E$82,"=9",'By Board'!$P$3:$P$82)/16</f>
        <v/>
      </c>
      <c r="E18" s="5">
        <f>SUMIF('By Board'!$D$3:$D$82,"=9",'By Board'!$M$3:$M$82)+SUMIF('By Board'!$E$3:$E$82,"=9",'By Board'!$N$3:$N$82)</f>
        <v/>
      </c>
    </row>
    <row r="19">
      <c r="D19" s="6">
        <f>AVERAGE(D10:D18)</f>
        <v/>
      </c>
      <c r="E19" s="7">
        <f>SUM(E10:E18)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AC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Y2" s="2" t="inlineStr">
        <is>
          <t>EW MP Scores</t>
        </is>
      </c>
      <c r="AC2" s="9" t="inlineStr">
        <is>
          <t>NS IMP Pair-wise</t>
        </is>
      </c>
      <c r="AG2" s="2" t="inlineStr">
        <is>
          <t>EW IMP Pair-wise</t>
        </is>
      </c>
    </row>
    <row r="3">
      <c r="A3" s="10" t="n">
        <v>1</v>
      </c>
      <c r="B3" s="10">
        <f>'By Round'!A3</f>
        <v/>
      </c>
      <c r="C3" s="10">
        <f>'By Round'!B3</f>
        <v/>
      </c>
      <c r="D3" s="10">
        <f>'By Round'!C3</f>
        <v/>
      </c>
      <c r="E3" s="10">
        <f>'By Round'!D3</f>
        <v/>
      </c>
      <c r="F3" s="10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1">
        <f>AVERAGE(AC3:AF3)</f>
        <v/>
      </c>
      <c r="N3" s="12">
        <f>AVERAGE(AG3:AJ3)</f>
        <v/>
      </c>
      <c r="O3" s="13">
        <f>IF(COUNT(U3:X3)&gt;0,Q3/COUNT(U3:X3),0.5)</f>
        <v/>
      </c>
      <c r="P3" s="13">
        <f>IF(COUNT(Y3:AB3)&gt;0,R3/COUNT(Y3:AB3),0.5)</f>
        <v/>
      </c>
      <c r="Q3" s="5">
        <f>SUM(U3:X3)</f>
        <v/>
      </c>
      <c r="R3" s="5">
        <f>SUM(Y3:AB3)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IF(ISNUMBER(S3),IF(ISNUMBER(S4),IF(S3&gt;S4,1.0,IF(S3=S4,0.5,0.0)),""),"")</f>
        <v/>
      </c>
      <c r="V3">
        <f>IF(ISNUMBER(S3),IF(ISNUMBER(S5),IF(S3&gt;S5,1.0,IF(S3=S5,0.5,0.0)),""),"")</f>
        <v/>
      </c>
      <c r="W3">
        <f>IF(ISNUMBER(S3),IF(ISNUMBER(S6),IF(S3&gt;S6,1.0,IF(S3=S6,0.5,0.0)),""),"")</f>
        <v/>
      </c>
      <c r="X3">
        <f>IF(ISNUMBER(S3),IF(ISNUMBER(S7),IF(S3&gt;S7,1.0,IF(S3=S7,0.5,0.0)),""),"")</f>
        <v/>
      </c>
      <c r="Y3">
        <f>IF(ISNUMBER(T3),IF(ISNUMBER(T4),IF(T3&gt;T4,1.0,IF(T3=T4,0.5,0.0)),""),"")</f>
        <v/>
      </c>
      <c r="Z3">
        <f>IF(ISNUMBER(T3),IF(ISNUMBER(T5),IF(T3&gt;T5,1.0,IF(T3=T5,0.5,0.0)),""),"")</f>
        <v/>
      </c>
      <c r="AA3">
        <f>IF(ISNUMBER(T3),IF(ISNUMBER(T6),IF(T3&gt;T6,1.0,IF(T3=T6,0.5,0.0)),""),"")</f>
        <v/>
      </c>
      <c r="AB3">
        <f>IF(ISNUMBER(T3),IF(ISNUMBER(T7),IF(T3&gt;T7,1.0,IF(T3=T7,0.5,0.0)),""),"")</f>
        <v/>
      </c>
      <c r="AC3" s="14">
        <f>IF(AND(ISNUMBER(S3),ISNUMBER(S4)),VLOOKUP(ABS(S3-S4),'IMP Table'!$A$2:$C$26,3)*SIGN(S3-S4),0)</f>
        <v/>
      </c>
      <c r="AD3">
        <f>IF(AND(ISNUMBER(S3),ISNUMBER(S5)),VLOOKUP(ABS(S3-S5),'IMP Table'!$A$2:$C$26,3)*SIGN(S3-S5),0)</f>
        <v/>
      </c>
      <c r="AE3">
        <f>IF(AND(ISNUMBER(S3),ISNUMBER(S6)),VLOOKUP(ABS(S3-S6),'IMP Table'!$A$2:$C$26,3)*SIGN(S3-S6),0)</f>
        <v/>
      </c>
      <c r="AF3">
        <f>IF(AND(ISNUMBER(S3),ISNUMBER(S7)),VLOOKUP(ABS(S3-S7),'IMP Table'!$A$2:$C$26,3)*SIGN(S3-S7),0)</f>
        <v/>
      </c>
      <c r="AG3">
        <f>IF(AND(ISNUMBER(T3),ISNUMBER(T4)),VLOOKUP(ABS(T3-T4),'IMP Table'!$A$2:$C$26,3)*SIGN(T3-T4),0)</f>
        <v/>
      </c>
      <c r="AH3">
        <f>IF(AND(ISNUMBER(T3),ISNUMBER(T5)),VLOOKUP(ABS(T3-T5),'IMP Table'!$A$2:$C$26,3)*SIGN(T3-T5),0)</f>
        <v/>
      </c>
      <c r="AI3">
        <f>IF(AND(ISNUMBER(T3),ISNUMBER(T6)),VLOOKUP(ABS(T3-T6),'IMP Table'!$A$2:$C$26,3)*SIGN(T3-T6),0)</f>
        <v/>
      </c>
      <c r="AJ3">
        <f>IF(AND(ISNUMBER(T3),ISNUMBER(T7)),VLOOKUP(ABS(T3-T7),'IMP Table'!$A$2:$C$26,3)*SIGN(T3-T7),0)</f>
        <v/>
      </c>
    </row>
    <row r="4">
      <c r="B4" s="10">
        <f>'By Round'!A73</f>
        <v/>
      </c>
      <c r="C4" s="10">
        <f>'By Round'!B77</f>
        <v/>
      </c>
      <c r="D4" s="10">
        <f>'By Round'!C77</f>
        <v/>
      </c>
      <c r="E4" s="10">
        <f>'By Round'!D77</f>
        <v/>
      </c>
      <c r="F4" s="10">
        <f>IF(ISBLANK('By Round'!F77),"",'By Round'!F77)</f>
        <v/>
      </c>
      <c r="G4">
        <f>IF(ISBLANK('By Round'!G77),"",'By Round'!G77)</f>
        <v/>
      </c>
      <c r="H4">
        <f>IF(ISBLANK('By Round'!H77),"",'By Round'!H77)</f>
        <v/>
      </c>
      <c r="I4">
        <f>IF(ISBLANK('By Round'!I77),"",'By Round'!I77)</f>
        <v/>
      </c>
      <c r="J4">
        <f>IF(ISBLANK('By Round'!J77),"",'By Round'!J77)</f>
        <v/>
      </c>
      <c r="K4">
        <f>IF(ISBLANK('By Round'!K77),"",'By Round'!K77)</f>
        <v/>
      </c>
      <c r="L4">
        <f>IF(ISBLANK('By Round'!L77),"",'By Round'!L77)</f>
        <v/>
      </c>
      <c r="M4" s="11">
        <f>AVERAGE(AC4:AF4)</f>
        <v/>
      </c>
      <c r="N4" s="12">
        <f>AVERAGE(AG4:AJ4)</f>
        <v/>
      </c>
      <c r="O4" s="13">
        <f>IF(COUNT(U4:X4)&gt;0,Q4/COUNT(U4:X4),0.5)</f>
        <v/>
      </c>
      <c r="P4" s="13">
        <f>IF(COUNT(Y4:AB4)&gt;0,R4/COUNT(Y4:AB4),0.5)</f>
        <v/>
      </c>
      <c r="Q4" s="5">
        <f>SUM(U4:X4)</f>
        <v/>
      </c>
      <c r="R4" s="5">
        <f>SUM(Y4:AB4)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IF(ISNUMBER(S4),IF(ISNUMBER(S3),IF(S4&gt;S3,1.0,IF(S4=S3,0.5,0.0)),""),"")</f>
        <v/>
      </c>
      <c r="V4">
        <f>IF(ISNUMBER(S4),IF(ISNUMBER(S5),IF(S4&gt;S5,1.0,IF(S4=S5,0.5,0.0)),""),"")</f>
        <v/>
      </c>
      <c r="W4">
        <f>IF(ISNUMBER(S4),IF(ISNUMBER(S6),IF(S4&gt;S6,1.0,IF(S4=S6,0.5,0.0)),""),"")</f>
        <v/>
      </c>
      <c r="X4">
        <f>IF(ISNUMBER(S4),IF(ISNUMBER(S7),IF(S4&gt;S7,1.0,IF(S4=S7,0.5,0.0)),""),"")</f>
        <v/>
      </c>
      <c r="Y4">
        <f>IF(ISNUMBER(T4),IF(ISNUMBER(T3),IF(T4&gt;T3,1.0,IF(T4=T3,0.5,0.0)),""),"")</f>
        <v/>
      </c>
      <c r="Z4">
        <f>IF(ISNUMBER(T4),IF(ISNUMBER(T5),IF(T4&gt;T5,1.0,IF(T4=T5,0.5,0.0)),""),"")</f>
        <v/>
      </c>
      <c r="AA4">
        <f>IF(ISNUMBER(T4),IF(ISNUMBER(T6),IF(T4&gt;T6,1.0,IF(T4=T6,0.5,0.0)),""),"")</f>
        <v/>
      </c>
      <c r="AB4">
        <f>IF(ISNUMBER(T4),IF(ISNUMBER(T7),IF(T4&gt;T7,1.0,IF(T4=T7,0.5,0.0)),""),"")</f>
        <v/>
      </c>
      <c r="AC4" s="14">
        <f>IF(AND(ISNUMBER(S4),ISNUMBER(S3)),VLOOKUP(ABS(S4-S3),'IMP Table'!$A$2:$C$26,3)*SIGN(S4-S3),0)</f>
        <v/>
      </c>
      <c r="AD4">
        <f>IF(AND(ISNUMBER(S4),ISNUMBER(S5)),VLOOKUP(ABS(S4-S5),'IMP Table'!$A$2:$C$26,3)*SIGN(S4-S5),0)</f>
        <v/>
      </c>
      <c r="AE4">
        <f>IF(AND(ISNUMBER(S4),ISNUMBER(S6)),VLOOKUP(ABS(S4-S6),'IMP Table'!$A$2:$C$26,3)*SIGN(S4-S6),0)</f>
        <v/>
      </c>
      <c r="AF4">
        <f>IF(AND(ISNUMBER(S4),ISNUMBER(S7)),VLOOKUP(ABS(S4-S7),'IMP Table'!$A$2:$C$26,3)*SIGN(S4-S7),0)</f>
        <v/>
      </c>
      <c r="AG4">
        <f>IF(AND(ISNUMBER(T4),ISNUMBER(T3)),VLOOKUP(ABS(T4-T3),'IMP Table'!$A$2:$C$26,3)*SIGN(T4-T3),0)</f>
        <v/>
      </c>
      <c r="AH4">
        <f>IF(AND(ISNUMBER(T4),ISNUMBER(T5)),VLOOKUP(ABS(T4-T5),'IMP Table'!$A$2:$C$26,3)*SIGN(T4-T5),0)</f>
        <v/>
      </c>
      <c r="AI4">
        <f>IF(AND(ISNUMBER(T4),ISNUMBER(T6)),VLOOKUP(ABS(T4-T6),'IMP Table'!$A$2:$C$26,3)*SIGN(T4-T6),0)</f>
        <v/>
      </c>
      <c r="AJ4">
        <f>IF(AND(ISNUMBER(T4),ISNUMBER(T7)),VLOOKUP(ABS(T4-T7),'IMP Table'!$A$2:$C$26,3)*SIGN(T4-T7),0)</f>
        <v/>
      </c>
    </row>
    <row r="5">
      <c r="B5" s="10">
        <f>'By Round'!A23</f>
        <v/>
      </c>
      <c r="C5" s="10">
        <f>'By Round'!B29</f>
        <v/>
      </c>
      <c r="D5" s="10">
        <f>'By Round'!C29</f>
        <v/>
      </c>
      <c r="E5" s="10">
        <f>'By Round'!D29</f>
        <v/>
      </c>
      <c r="F5" s="10">
        <f>IF(ISBLANK('By Round'!F29),"",'By Round'!F29)</f>
        <v/>
      </c>
      <c r="G5">
        <f>IF(ISBLANK('By Round'!G29),"",'By Round'!G29)</f>
        <v/>
      </c>
      <c r="H5">
        <f>IF(ISBLANK('By Round'!H29),"",'By Round'!H29)</f>
        <v/>
      </c>
      <c r="I5">
        <f>IF(ISBLANK('By Round'!I29),"",'By Round'!I29)</f>
        <v/>
      </c>
      <c r="J5">
        <f>IF(ISBLANK('By Round'!J29),"",'By Round'!J29)</f>
        <v/>
      </c>
      <c r="K5">
        <f>IF(ISBLANK('By Round'!K29),"",'By Round'!K29)</f>
        <v/>
      </c>
      <c r="L5">
        <f>IF(ISBLANK('By Round'!L29),"",'By Round'!L29)</f>
        <v/>
      </c>
      <c r="M5" s="11">
        <f>AVERAGE(AC5:AF5)</f>
        <v/>
      </c>
      <c r="N5" s="12">
        <f>AVERAGE(AG5:AJ5)</f>
        <v/>
      </c>
      <c r="O5" s="13">
        <f>IF(COUNT(U5:X5)&gt;0,Q5/COUNT(U5:X5),0.5)</f>
        <v/>
      </c>
      <c r="P5" s="13">
        <f>IF(COUNT(Y5:AB5)&gt;0,R5/COUNT(Y5:AB5),0.5)</f>
        <v/>
      </c>
      <c r="Q5" s="5">
        <f>SUM(U5:X5)</f>
        <v/>
      </c>
      <c r="R5" s="5">
        <f>SUM(Y5:AB5)</f>
        <v/>
      </c>
      <c r="S5" s="14">
        <f>IF(ISNUMBER(K5),K5,IF(ISNUMBER(L5),-L5,""))</f>
        <v/>
      </c>
      <c r="T5">
        <f>IF(ISNUMBER(L5),L5,IF(ISNUMBER(K5),-K5,""))</f>
        <v/>
      </c>
      <c r="U5" s="14">
        <f>IF(ISNUMBER(S5),IF(ISNUMBER(S3),IF(S5&gt;S3,1.0,IF(S5=S3,0.5,0.0)),""),"")</f>
        <v/>
      </c>
      <c r="V5">
        <f>IF(ISNUMBER(S5),IF(ISNUMBER(S4),IF(S5&gt;S4,1.0,IF(S5=S4,0.5,0.0)),""),"")</f>
        <v/>
      </c>
      <c r="W5">
        <f>IF(ISNUMBER(S5),IF(ISNUMBER(S6),IF(S5&gt;S6,1.0,IF(S5=S6,0.5,0.0)),""),"")</f>
        <v/>
      </c>
      <c r="X5">
        <f>IF(ISNUMBER(S5),IF(ISNUMBER(S7),IF(S5&gt;S7,1.0,IF(S5=S7,0.5,0.0)),""),"")</f>
        <v/>
      </c>
      <c r="Y5">
        <f>IF(ISNUMBER(T5),IF(ISNUMBER(T3),IF(T5&gt;T3,1.0,IF(T5=T3,0.5,0.0)),""),"")</f>
        <v/>
      </c>
      <c r="Z5">
        <f>IF(ISNUMBER(T5),IF(ISNUMBER(T4),IF(T5&gt;T4,1.0,IF(T5=T4,0.5,0.0)),""),"")</f>
        <v/>
      </c>
      <c r="AA5">
        <f>IF(ISNUMBER(T5),IF(ISNUMBER(T6),IF(T5&gt;T6,1.0,IF(T5=T6,0.5,0.0)),""),"")</f>
        <v/>
      </c>
      <c r="AB5">
        <f>IF(ISNUMBER(T5),IF(ISNUMBER(T7),IF(T5&gt;T7,1.0,IF(T5=T7,0.5,0.0)),""),"")</f>
        <v/>
      </c>
      <c r="AC5" s="14">
        <f>IF(AND(ISNUMBER(S5),ISNUMBER(S3)),VLOOKUP(ABS(S5-S3),'IMP Table'!$A$2:$C$26,3)*SIGN(S5-S3),0)</f>
        <v/>
      </c>
      <c r="AD5">
        <f>IF(AND(ISNUMBER(S5),ISNUMBER(S4)),VLOOKUP(ABS(S5-S4),'IMP Table'!$A$2:$C$26,3)*SIGN(S5-S4),0)</f>
        <v/>
      </c>
      <c r="AE5">
        <f>IF(AND(ISNUMBER(S5),ISNUMBER(S6)),VLOOKUP(ABS(S5-S6),'IMP Table'!$A$2:$C$26,3)*SIGN(S5-S6),0)</f>
        <v/>
      </c>
      <c r="AF5">
        <f>IF(AND(ISNUMBER(S5),ISNUMBER(S7)),VLOOKUP(ABS(S5-S7),'IMP Table'!$A$2:$C$26,3)*SIGN(S5-S7),0)</f>
        <v/>
      </c>
      <c r="AG5">
        <f>IF(AND(ISNUMBER(T5),ISNUMBER(T3)),VLOOKUP(ABS(T5-T3),'IMP Table'!$A$2:$C$26,3)*SIGN(T5-T3),0)</f>
        <v/>
      </c>
      <c r="AH5">
        <f>IF(AND(ISNUMBER(T5),ISNUMBER(T4)),VLOOKUP(ABS(T5-T4),'IMP Table'!$A$2:$C$26,3)*SIGN(T5-T4),0)</f>
        <v/>
      </c>
      <c r="AI5">
        <f>IF(AND(ISNUMBER(T5),ISNUMBER(T6)),VLOOKUP(ABS(T5-T6),'IMP Table'!$A$2:$C$26,3)*SIGN(T5-T6),0)</f>
        <v/>
      </c>
      <c r="AJ5">
        <f>IF(AND(ISNUMBER(T5),ISNUMBER(T7)),VLOOKUP(ABS(T5-T7),'IMP Table'!$A$2:$C$26,3)*SIGN(T5-T7),0)</f>
        <v/>
      </c>
    </row>
    <row r="6">
      <c r="B6" s="10">
        <f>'By Round'!A13</f>
        <v/>
      </c>
      <c r="C6" s="10">
        <f>'By Round'!B21</f>
        <v/>
      </c>
      <c r="D6" s="10">
        <f>'By Round'!C21</f>
        <v/>
      </c>
      <c r="E6" s="10">
        <f>'By Round'!D21</f>
        <v/>
      </c>
      <c r="F6" s="10">
        <f>IF(ISBLANK('By Round'!F21),"",'By Round'!F21)</f>
        <v/>
      </c>
      <c r="G6">
        <f>IF(ISBLANK('By Round'!G21),"",'By Round'!G21)</f>
        <v/>
      </c>
      <c r="H6">
        <f>IF(ISBLANK('By Round'!H21),"",'By Round'!H21)</f>
        <v/>
      </c>
      <c r="I6">
        <f>IF(ISBLANK('By Round'!I21),"",'By Round'!I21)</f>
        <v/>
      </c>
      <c r="J6">
        <f>IF(ISBLANK('By Round'!J21),"",'By Round'!J21)</f>
        <v/>
      </c>
      <c r="K6">
        <f>IF(ISBLANK('By Round'!K21),"",'By Round'!K21)</f>
        <v/>
      </c>
      <c r="L6">
        <f>IF(ISBLANK('By Round'!L21),"",'By Round'!L21)</f>
        <v/>
      </c>
      <c r="M6" s="11">
        <f>AVERAGE(AC6:AF6)</f>
        <v/>
      </c>
      <c r="N6" s="12">
        <f>AVERAGE(AG6:AJ6)</f>
        <v/>
      </c>
      <c r="O6" s="13">
        <f>IF(COUNT(U6:X6)&gt;0,Q6/COUNT(U6:X6),0.5)</f>
        <v/>
      </c>
      <c r="P6" s="13">
        <f>IF(COUNT(Y6:AB6)&gt;0,R6/COUNT(Y6:AB6),0.5)</f>
        <v/>
      </c>
      <c r="Q6" s="5">
        <f>SUM(U6:X6)</f>
        <v/>
      </c>
      <c r="R6" s="5">
        <f>SUM(Y6:AB6)</f>
        <v/>
      </c>
      <c r="S6" s="14">
        <f>IF(ISNUMBER(K6),K6,IF(ISNUMBER(L6),-L6,""))</f>
        <v/>
      </c>
      <c r="T6">
        <f>IF(ISNUMBER(L6),L6,IF(ISNUMBER(K6),-K6,""))</f>
        <v/>
      </c>
      <c r="U6" s="14">
        <f>IF(ISNUMBER(S6),IF(ISNUMBER(S3),IF(S6&gt;S3,1.0,IF(S6=S3,0.5,0.0)),""),"")</f>
        <v/>
      </c>
      <c r="V6">
        <f>IF(ISNUMBER(S6),IF(ISNUMBER(S4),IF(S6&gt;S4,1.0,IF(S6=S4,0.5,0.0)),""),"")</f>
        <v/>
      </c>
      <c r="W6">
        <f>IF(ISNUMBER(S6),IF(ISNUMBER(S5),IF(S6&gt;S5,1.0,IF(S6=S5,0.5,0.0)),""),"")</f>
        <v/>
      </c>
      <c r="X6">
        <f>IF(ISNUMBER(S6),IF(ISNUMBER(S7),IF(S6&gt;S7,1.0,IF(S6=S7,0.5,0.0)),""),"")</f>
        <v/>
      </c>
      <c r="Y6">
        <f>IF(ISNUMBER(T6),IF(ISNUMBER(T3),IF(T6&gt;T3,1.0,IF(T6=T3,0.5,0.0)),""),"")</f>
        <v/>
      </c>
      <c r="Z6">
        <f>IF(ISNUMBER(T6),IF(ISNUMBER(T4),IF(T6&gt;T4,1.0,IF(T6=T4,0.5,0.0)),""),"")</f>
        <v/>
      </c>
      <c r="AA6">
        <f>IF(ISNUMBER(T6),IF(ISNUMBER(T5),IF(T6&gt;T5,1.0,IF(T6=T5,0.5,0.0)),""),"")</f>
        <v/>
      </c>
      <c r="AB6">
        <f>IF(ISNUMBER(T6),IF(ISNUMBER(T7),IF(T6&gt;T7,1.0,IF(T6=T7,0.5,0.0)),""),"")</f>
        <v/>
      </c>
      <c r="AC6" s="14">
        <f>IF(AND(ISNUMBER(S6),ISNUMBER(S3)),VLOOKUP(ABS(S6-S3),'IMP Table'!$A$2:$C$26,3)*SIGN(S6-S3),0)</f>
        <v/>
      </c>
      <c r="AD6">
        <f>IF(AND(ISNUMBER(S6),ISNUMBER(S4)),VLOOKUP(ABS(S6-S4),'IMP Table'!$A$2:$C$26,3)*SIGN(S6-S4),0)</f>
        <v/>
      </c>
      <c r="AE6">
        <f>IF(AND(ISNUMBER(S6),ISNUMBER(S5)),VLOOKUP(ABS(S6-S5),'IMP Table'!$A$2:$C$26,3)*SIGN(S6-S5),0)</f>
        <v/>
      </c>
      <c r="AF6">
        <f>IF(AND(ISNUMBER(S6),ISNUMBER(S7)),VLOOKUP(ABS(S6-S7),'IMP Table'!$A$2:$C$26,3)*SIGN(S6-S7),0)</f>
        <v/>
      </c>
      <c r="AG6">
        <f>IF(AND(ISNUMBER(T6),ISNUMBER(T3)),VLOOKUP(ABS(T6-T3),'IMP Table'!$A$2:$C$26,3)*SIGN(T6-T3),0)</f>
        <v/>
      </c>
      <c r="AH6">
        <f>IF(AND(ISNUMBER(T6),ISNUMBER(T4)),VLOOKUP(ABS(T6-T4),'IMP Table'!$A$2:$C$26,3)*SIGN(T6-T4),0)</f>
        <v/>
      </c>
      <c r="AI6">
        <f>IF(AND(ISNUMBER(T6),ISNUMBER(T5)),VLOOKUP(ABS(T6-T5),'IMP Table'!$A$2:$C$26,3)*SIGN(T6-T5),0)</f>
        <v/>
      </c>
      <c r="AJ6">
        <f>IF(AND(ISNUMBER(T6),ISNUMBER(T7)),VLOOKUP(ABS(T6-T7),'IMP Table'!$A$2:$C$26,3)*SIGN(T6-T7),0)</f>
        <v/>
      </c>
    </row>
    <row r="7">
      <c r="A7" s="15" t="n"/>
      <c r="B7" s="16">
        <f>'By Round'!A83</f>
        <v/>
      </c>
      <c r="C7" s="16">
        <f>'By Round'!B85</f>
        <v/>
      </c>
      <c r="D7" s="16">
        <f>'By Round'!C85</f>
        <v/>
      </c>
      <c r="E7" s="16">
        <f>'By Round'!D85</f>
        <v/>
      </c>
      <c r="F7" s="16">
        <f>IF(ISBLANK('By Round'!F85),"",'By Round'!F85)</f>
        <v/>
      </c>
      <c r="G7" s="15">
        <f>IF(ISBLANK('By Round'!G85),"",'By Round'!G85)</f>
        <v/>
      </c>
      <c r="H7" s="15">
        <f>IF(ISBLANK('By Round'!H85),"",'By Round'!H85)</f>
        <v/>
      </c>
      <c r="I7" s="15">
        <f>IF(ISBLANK('By Round'!I85),"",'By Round'!I85)</f>
        <v/>
      </c>
      <c r="J7" s="15">
        <f>IF(ISBLANK('By Round'!J85),"",'By Round'!J85)</f>
        <v/>
      </c>
      <c r="K7" s="15">
        <f>IF(ISBLANK('By Round'!K85),"",'By Round'!K85)</f>
        <v/>
      </c>
      <c r="L7" s="15">
        <f>IF(ISBLANK('By Round'!L85),"",'By Round'!L85)</f>
        <v/>
      </c>
      <c r="M7" s="17">
        <f>AVERAGE(AC7:AF7)</f>
        <v/>
      </c>
      <c r="N7" s="18">
        <f>AVERAGE(AG7:AJ7)</f>
        <v/>
      </c>
      <c r="O7" s="19">
        <f>IF(COUNT(U7:X7)&gt;0,Q7/COUNT(U7:X7),0.5)</f>
        <v/>
      </c>
      <c r="P7" s="19">
        <f>IF(COUNT(Y7:AB7)&gt;0,R7/COUNT(Y7:AB7),0.5)</f>
        <v/>
      </c>
      <c r="Q7" s="20">
        <f>SUM(U7:X7)</f>
        <v/>
      </c>
      <c r="R7" s="20">
        <f>SUM(Y7:AB7)</f>
        <v/>
      </c>
      <c r="S7" s="21">
        <f>IF(ISNUMBER(K7),K7,IF(ISNUMBER(L7),-L7,""))</f>
        <v/>
      </c>
      <c r="T7" s="15">
        <f>IF(ISNUMBER(L7),L7,IF(ISNUMBER(K7),-K7,""))</f>
        <v/>
      </c>
      <c r="U7" s="21">
        <f>IF(ISNUMBER(S7),IF(ISNUMBER(S3),IF(S7&gt;S3,1.0,IF(S7=S3,0.5,0.0)),""),"")</f>
        <v/>
      </c>
      <c r="V7" s="15">
        <f>IF(ISNUMBER(S7),IF(ISNUMBER(S4),IF(S7&gt;S4,1.0,IF(S7=S4,0.5,0.0)),""),"")</f>
        <v/>
      </c>
      <c r="W7" s="15">
        <f>IF(ISNUMBER(S7),IF(ISNUMBER(S5),IF(S7&gt;S5,1.0,IF(S7=S5,0.5,0.0)),""),"")</f>
        <v/>
      </c>
      <c r="X7" s="15">
        <f>IF(ISNUMBER(S7),IF(ISNUMBER(S6),IF(S7&gt;S6,1.0,IF(S7=S6,0.5,0.0)),""),"")</f>
        <v/>
      </c>
      <c r="Y7" s="15">
        <f>IF(ISNUMBER(T7),IF(ISNUMBER(T3),IF(T7&gt;T3,1.0,IF(T7=T3,0.5,0.0)),""),"")</f>
        <v/>
      </c>
      <c r="Z7" s="15">
        <f>IF(ISNUMBER(T7),IF(ISNUMBER(T4),IF(T7&gt;T4,1.0,IF(T7=T4,0.5,0.0)),""),"")</f>
        <v/>
      </c>
      <c r="AA7" s="15">
        <f>IF(ISNUMBER(T7),IF(ISNUMBER(T5),IF(T7&gt;T5,1.0,IF(T7=T5,0.5,0.0)),""),"")</f>
        <v/>
      </c>
      <c r="AB7" s="15">
        <f>IF(ISNUMBER(T7),IF(ISNUMBER(T6),IF(T7&gt;T6,1.0,IF(T7=T6,0.5,0.0)),""),"")</f>
        <v/>
      </c>
      <c r="AC7" s="21">
        <f>IF(AND(ISNUMBER(S7),ISNUMBER(S3)),VLOOKUP(ABS(S7-S3),'IMP Table'!$A$2:$C$26,3)*SIGN(S7-S3),0)</f>
        <v/>
      </c>
      <c r="AD7" s="15">
        <f>IF(AND(ISNUMBER(S7),ISNUMBER(S4)),VLOOKUP(ABS(S7-S4),'IMP Table'!$A$2:$C$26,3)*SIGN(S7-S4),0)</f>
        <v/>
      </c>
      <c r="AE7" s="15">
        <f>IF(AND(ISNUMBER(S7),ISNUMBER(S5)),VLOOKUP(ABS(S7-S5),'IMP Table'!$A$2:$C$26,3)*SIGN(S7-S5),0)</f>
        <v/>
      </c>
      <c r="AF7" s="15">
        <f>IF(AND(ISNUMBER(S7),ISNUMBER(S6)),VLOOKUP(ABS(S7-S6),'IMP Table'!$A$2:$C$26,3)*SIGN(S7-S6),0)</f>
        <v/>
      </c>
      <c r="AG7" s="15">
        <f>IF(AND(ISNUMBER(T7),ISNUMBER(T3)),VLOOKUP(ABS(T7-T3),'IMP Table'!$A$2:$C$26,3)*SIGN(T7-T3),0)</f>
        <v/>
      </c>
      <c r="AH7" s="15">
        <f>IF(AND(ISNUMBER(T7),ISNUMBER(T4)),VLOOKUP(ABS(T7-T4),'IMP Table'!$A$2:$C$26,3)*SIGN(T7-T4),0)</f>
        <v/>
      </c>
      <c r="AI7" s="15">
        <f>IF(AND(ISNUMBER(T7),ISNUMBER(T5)),VLOOKUP(ABS(T7-T5),'IMP Table'!$A$2:$C$26,3)*SIGN(T7-T5),0)</f>
        <v/>
      </c>
      <c r="AJ7" s="15">
        <f>IF(AND(ISNUMBER(T7),ISNUMBER(T6)),VLOOKUP(ABS(T7-T6),'IMP Table'!$A$2:$C$26,3)*SIGN(T7-T6),0)</f>
        <v/>
      </c>
    </row>
    <row r="8">
      <c r="A8" s="10" t="n">
        <v>2</v>
      </c>
      <c r="B8" s="10">
        <f>'By Round'!A3</f>
        <v/>
      </c>
      <c r="C8" s="10">
        <f>'By Round'!B3</f>
        <v/>
      </c>
      <c r="D8" s="10">
        <f>'By Round'!C3</f>
        <v/>
      </c>
      <c r="E8" s="10">
        <f>'By Round'!D3</f>
        <v/>
      </c>
      <c r="F8" s="10">
        <f>IF(ISBLANK('By Round'!F4),"",'By Round'!F4)</f>
        <v/>
      </c>
      <c r="G8">
        <f>IF(ISBLANK('By Round'!G4),"",'By Round'!G4)</f>
        <v/>
      </c>
      <c r="H8">
        <f>IF(ISBLANK('By Round'!H4),"",'By Round'!H4)</f>
        <v/>
      </c>
      <c r="I8">
        <f>IF(ISBLANK('By Round'!I4),"",'By Round'!I4)</f>
        <v/>
      </c>
      <c r="J8">
        <f>IF(ISBLANK('By Round'!J4),"",'By Round'!J4)</f>
        <v/>
      </c>
      <c r="K8">
        <f>IF(ISBLANK('By Round'!K4),"",'By Round'!K4)</f>
        <v/>
      </c>
      <c r="L8">
        <f>IF(ISBLANK('By Round'!L4),"",'By Round'!L4)</f>
        <v/>
      </c>
      <c r="M8" s="11">
        <f>AVERAGE(AC8:AF8)</f>
        <v/>
      </c>
      <c r="N8" s="12">
        <f>AVERAGE(AG8:AJ8)</f>
        <v/>
      </c>
      <c r="O8" s="13">
        <f>IF(COUNT(U8:X8)&gt;0,Q8/COUNT(U8:X8),0.5)</f>
        <v/>
      </c>
      <c r="P8" s="13">
        <f>IF(COUNT(Y8:AB8)&gt;0,R8/COUNT(Y8:AB8),0.5)</f>
        <v/>
      </c>
      <c r="Q8" s="5">
        <f>SUM(U8:X8)</f>
        <v/>
      </c>
      <c r="R8" s="5">
        <f>SUM(Y8:AB8)</f>
        <v/>
      </c>
      <c r="S8" s="14">
        <f>IF(ISNUMBER(K8),K8,IF(ISNUMBER(L8),-L8,""))</f>
        <v/>
      </c>
      <c r="T8">
        <f>IF(ISNUMBER(L8),L8,IF(ISNUMBER(K8),-K8,""))</f>
        <v/>
      </c>
      <c r="U8" s="14">
        <f>IF(ISNUMBER(S8),IF(ISNUMBER(S9),IF(S8&gt;S9,1.0,IF(S8=S9,0.5,0.0)),""),"")</f>
        <v/>
      </c>
      <c r="V8">
        <f>IF(ISNUMBER(S8),IF(ISNUMBER(S10),IF(S8&gt;S10,1.0,IF(S8=S10,0.5,0.0)),""),"")</f>
        <v/>
      </c>
      <c r="W8">
        <f>IF(ISNUMBER(S8),IF(ISNUMBER(S11),IF(S8&gt;S11,1.0,IF(S8=S11,0.5,0.0)),""),"")</f>
        <v/>
      </c>
      <c r="X8">
        <f>IF(ISNUMBER(S8),IF(ISNUMBER(S12),IF(S8&gt;S12,1.0,IF(S8=S12,0.5,0.0)),""),"")</f>
        <v/>
      </c>
      <c r="Y8">
        <f>IF(ISNUMBER(T8),IF(ISNUMBER(T9),IF(T8&gt;T9,1.0,IF(T8=T9,0.5,0.0)),""),"")</f>
        <v/>
      </c>
      <c r="Z8">
        <f>IF(ISNUMBER(T8),IF(ISNUMBER(T10),IF(T8&gt;T10,1.0,IF(T8=T10,0.5,0.0)),""),"")</f>
        <v/>
      </c>
      <c r="AA8">
        <f>IF(ISNUMBER(T8),IF(ISNUMBER(T11),IF(T8&gt;T11,1.0,IF(T8=T11,0.5,0.0)),""),"")</f>
        <v/>
      </c>
      <c r="AB8">
        <f>IF(ISNUMBER(T8),IF(ISNUMBER(T12),IF(T8&gt;T12,1.0,IF(T8=T12,0.5,0.0)),""),"")</f>
        <v/>
      </c>
      <c r="AC8" s="14">
        <f>IF(AND(ISNUMBER(S8),ISNUMBER(S9)),VLOOKUP(ABS(S8-S9),'IMP Table'!$A$2:$C$26,3)*SIGN(S8-S9),0)</f>
        <v/>
      </c>
      <c r="AD8">
        <f>IF(AND(ISNUMBER(S8),ISNUMBER(S10)),VLOOKUP(ABS(S8-S10),'IMP Table'!$A$2:$C$26,3)*SIGN(S8-S10),0)</f>
        <v/>
      </c>
      <c r="AE8">
        <f>IF(AND(ISNUMBER(S8),ISNUMBER(S11)),VLOOKUP(ABS(S8-S11),'IMP Table'!$A$2:$C$26,3)*SIGN(S8-S11),0)</f>
        <v/>
      </c>
      <c r="AF8">
        <f>IF(AND(ISNUMBER(S8),ISNUMBER(S12)),VLOOKUP(ABS(S8-S12),'IMP Table'!$A$2:$C$26,3)*SIGN(S8-S12),0)</f>
        <v/>
      </c>
      <c r="AG8">
        <f>IF(AND(ISNUMBER(T8),ISNUMBER(T9)),VLOOKUP(ABS(T8-T9),'IMP Table'!$A$2:$C$26,3)*SIGN(T8-T9),0)</f>
        <v/>
      </c>
      <c r="AH8">
        <f>IF(AND(ISNUMBER(T8),ISNUMBER(T10)),VLOOKUP(ABS(T8-T10),'IMP Table'!$A$2:$C$26,3)*SIGN(T8-T10),0)</f>
        <v/>
      </c>
      <c r="AI8">
        <f>IF(AND(ISNUMBER(T8),ISNUMBER(T11)),VLOOKUP(ABS(T8-T11),'IMP Table'!$A$2:$C$26,3)*SIGN(T8-T11),0)</f>
        <v/>
      </c>
      <c r="AJ8">
        <f>IF(AND(ISNUMBER(T8),ISNUMBER(T12)),VLOOKUP(ABS(T8-T12),'IMP Table'!$A$2:$C$26,3)*SIGN(T8-T12),0)</f>
        <v/>
      </c>
    </row>
    <row r="9">
      <c r="B9" s="10">
        <f>'By Round'!A73</f>
        <v/>
      </c>
      <c r="C9" s="10">
        <f>'By Round'!B77</f>
        <v/>
      </c>
      <c r="D9" s="10">
        <f>'By Round'!C77</f>
        <v/>
      </c>
      <c r="E9" s="10">
        <f>'By Round'!D77</f>
        <v/>
      </c>
      <c r="F9" s="10">
        <f>IF(ISBLANK('By Round'!F78),"",'By Round'!F78)</f>
        <v/>
      </c>
      <c r="G9">
        <f>IF(ISBLANK('By Round'!G78),"",'By Round'!G78)</f>
        <v/>
      </c>
      <c r="H9">
        <f>IF(ISBLANK('By Round'!H78),"",'By Round'!H78)</f>
        <v/>
      </c>
      <c r="I9">
        <f>IF(ISBLANK('By Round'!I78),"",'By Round'!I78)</f>
        <v/>
      </c>
      <c r="J9">
        <f>IF(ISBLANK('By Round'!J78),"",'By Round'!J78)</f>
        <v/>
      </c>
      <c r="K9">
        <f>IF(ISBLANK('By Round'!K78),"",'By Round'!K78)</f>
        <v/>
      </c>
      <c r="L9">
        <f>IF(ISBLANK('By Round'!L78),"",'By Round'!L78)</f>
        <v/>
      </c>
      <c r="M9" s="11">
        <f>AVERAGE(AC9:AF9)</f>
        <v/>
      </c>
      <c r="N9" s="12">
        <f>AVERAGE(AG9:AJ9)</f>
        <v/>
      </c>
      <c r="O9" s="13">
        <f>IF(COUNT(U9:X9)&gt;0,Q9/COUNT(U9:X9),0.5)</f>
        <v/>
      </c>
      <c r="P9" s="13">
        <f>IF(COUNT(Y9:AB9)&gt;0,R9/COUNT(Y9:AB9),0.5)</f>
        <v/>
      </c>
      <c r="Q9" s="5">
        <f>SUM(U9:X9)</f>
        <v/>
      </c>
      <c r="R9" s="5">
        <f>SUM(Y9:AB9)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IF(ISNUMBER(S9),IF(ISNUMBER(S8),IF(S9&gt;S8,1.0,IF(S9=S8,0.5,0.0)),""),"")</f>
        <v/>
      </c>
      <c r="V9">
        <f>IF(ISNUMBER(S9),IF(ISNUMBER(S10),IF(S9&gt;S10,1.0,IF(S9=S10,0.5,0.0)),""),"")</f>
        <v/>
      </c>
      <c r="W9">
        <f>IF(ISNUMBER(S9),IF(ISNUMBER(S11),IF(S9&gt;S11,1.0,IF(S9=S11,0.5,0.0)),""),"")</f>
        <v/>
      </c>
      <c r="X9">
        <f>IF(ISNUMBER(S9),IF(ISNUMBER(S12),IF(S9&gt;S12,1.0,IF(S9=S12,0.5,0.0)),""),"")</f>
        <v/>
      </c>
      <c r="Y9">
        <f>IF(ISNUMBER(T9),IF(ISNUMBER(T8),IF(T9&gt;T8,1.0,IF(T9=T8,0.5,0.0)),""),"")</f>
        <v/>
      </c>
      <c r="Z9">
        <f>IF(ISNUMBER(T9),IF(ISNUMBER(T10),IF(T9&gt;T10,1.0,IF(T9=T10,0.5,0.0)),""),"")</f>
        <v/>
      </c>
      <c r="AA9">
        <f>IF(ISNUMBER(T9),IF(ISNUMBER(T11),IF(T9&gt;T11,1.0,IF(T9=T11,0.5,0.0)),""),"")</f>
        <v/>
      </c>
      <c r="AB9">
        <f>IF(ISNUMBER(T9),IF(ISNUMBER(T12),IF(T9&gt;T12,1.0,IF(T9=T12,0.5,0.0)),""),"")</f>
        <v/>
      </c>
      <c r="AC9" s="14">
        <f>IF(AND(ISNUMBER(S9),ISNUMBER(S8)),VLOOKUP(ABS(S9-S8),'IMP Table'!$A$2:$C$26,3)*SIGN(S9-S8),0)</f>
        <v/>
      </c>
      <c r="AD9">
        <f>IF(AND(ISNUMBER(S9),ISNUMBER(S10)),VLOOKUP(ABS(S9-S10),'IMP Table'!$A$2:$C$26,3)*SIGN(S9-S10),0)</f>
        <v/>
      </c>
      <c r="AE9">
        <f>IF(AND(ISNUMBER(S9),ISNUMBER(S11)),VLOOKUP(ABS(S9-S11),'IMP Table'!$A$2:$C$26,3)*SIGN(S9-S11),0)</f>
        <v/>
      </c>
      <c r="AF9">
        <f>IF(AND(ISNUMBER(S9),ISNUMBER(S12)),VLOOKUP(ABS(S9-S12),'IMP Table'!$A$2:$C$26,3)*SIGN(S9-S12),0)</f>
        <v/>
      </c>
      <c r="AG9">
        <f>IF(AND(ISNUMBER(T9),ISNUMBER(T8)),VLOOKUP(ABS(T9-T8),'IMP Table'!$A$2:$C$26,3)*SIGN(T9-T8),0)</f>
        <v/>
      </c>
      <c r="AH9">
        <f>IF(AND(ISNUMBER(T9),ISNUMBER(T10)),VLOOKUP(ABS(T9-T10),'IMP Table'!$A$2:$C$26,3)*SIGN(T9-T10),0)</f>
        <v/>
      </c>
      <c r="AI9">
        <f>IF(AND(ISNUMBER(T9),ISNUMBER(T11)),VLOOKUP(ABS(T9-T11),'IMP Table'!$A$2:$C$26,3)*SIGN(T9-T11),0)</f>
        <v/>
      </c>
      <c r="AJ9">
        <f>IF(AND(ISNUMBER(T9),ISNUMBER(T12)),VLOOKUP(ABS(T9-T12),'IMP Table'!$A$2:$C$26,3)*SIGN(T9-T12),0)</f>
        <v/>
      </c>
    </row>
    <row r="10">
      <c r="B10" s="10">
        <f>'By Round'!A23</f>
        <v/>
      </c>
      <c r="C10" s="10">
        <f>'By Round'!B29</f>
        <v/>
      </c>
      <c r="D10" s="10">
        <f>'By Round'!C29</f>
        <v/>
      </c>
      <c r="E10" s="10">
        <f>'By Round'!D29</f>
        <v/>
      </c>
      <c r="F10" s="10">
        <f>IF(ISBLANK('By Round'!F30),"",'By Round'!F30)</f>
        <v/>
      </c>
      <c r="G10">
        <f>IF(ISBLANK('By Round'!G30),"",'By Round'!G30)</f>
        <v/>
      </c>
      <c r="H10">
        <f>IF(ISBLANK('By Round'!H30),"",'By Round'!H30)</f>
        <v/>
      </c>
      <c r="I10">
        <f>IF(ISBLANK('By Round'!I30),"",'By Round'!I30)</f>
        <v/>
      </c>
      <c r="J10">
        <f>IF(ISBLANK('By Round'!J30),"",'By Round'!J30)</f>
        <v/>
      </c>
      <c r="K10">
        <f>IF(ISBLANK('By Round'!K30),"",'By Round'!K30)</f>
        <v/>
      </c>
      <c r="L10">
        <f>IF(ISBLANK('By Round'!L30),"",'By Round'!L30)</f>
        <v/>
      </c>
      <c r="M10" s="11">
        <f>AVERAGE(AC10:AF10)</f>
        <v/>
      </c>
      <c r="N10" s="12">
        <f>AVERAGE(AG10:AJ10)</f>
        <v/>
      </c>
      <c r="O10" s="13">
        <f>IF(COUNT(U10:X10)&gt;0,Q10/COUNT(U10:X10),0.5)</f>
        <v/>
      </c>
      <c r="P10" s="13">
        <f>IF(COUNT(Y10:AB10)&gt;0,R10/COUNT(Y10:AB10),0.5)</f>
        <v/>
      </c>
      <c r="Q10" s="5">
        <f>SUM(U10:X10)</f>
        <v/>
      </c>
      <c r="R10" s="5">
        <f>SUM(Y10:AB10)</f>
        <v/>
      </c>
      <c r="S10" s="14">
        <f>IF(ISNUMBER(K10),K10,IF(ISNUMBER(L10),-L10,""))</f>
        <v/>
      </c>
      <c r="T10">
        <f>IF(ISNUMBER(L10),L10,IF(ISNUMBER(K10),-K10,""))</f>
        <v/>
      </c>
      <c r="U10" s="14">
        <f>IF(ISNUMBER(S10),IF(ISNUMBER(S8),IF(S10&gt;S8,1.0,IF(S10=S8,0.5,0.0)),""),"")</f>
        <v/>
      </c>
      <c r="V10">
        <f>IF(ISNUMBER(S10),IF(ISNUMBER(S9),IF(S10&gt;S9,1.0,IF(S10=S9,0.5,0.0)),""),"")</f>
        <v/>
      </c>
      <c r="W10">
        <f>IF(ISNUMBER(S10),IF(ISNUMBER(S11),IF(S10&gt;S11,1.0,IF(S10=S11,0.5,0.0)),""),"")</f>
        <v/>
      </c>
      <c r="X10">
        <f>IF(ISNUMBER(S10),IF(ISNUMBER(S12),IF(S10&gt;S12,1.0,IF(S10=S12,0.5,0.0)),""),"")</f>
        <v/>
      </c>
      <c r="Y10">
        <f>IF(ISNUMBER(T10),IF(ISNUMBER(T8),IF(T10&gt;T8,1.0,IF(T10=T8,0.5,0.0)),""),"")</f>
        <v/>
      </c>
      <c r="Z10">
        <f>IF(ISNUMBER(T10),IF(ISNUMBER(T9),IF(T10&gt;T9,1.0,IF(T10=T9,0.5,0.0)),""),"")</f>
        <v/>
      </c>
      <c r="AA10">
        <f>IF(ISNUMBER(T10),IF(ISNUMBER(T11),IF(T10&gt;T11,1.0,IF(T10=T11,0.5,0.0)),""),"")</f>
        <v/>
      </c>
      <c r="AB10">
        <f>IF(ISNUMBER(T10),IF(ISNUMBER(T12),IF(T10&gt;T12,1.0,IF(T10=T12,0.5,0.0)),""),"")</f>
        <v/>
      </c>
      <c r="AC10" s="14">
        <f>IF(AND(ISNUMBER(S10),ISNUMBER(S8)),VLOOKUP(ABS(S10-S8),'IMP Table'!$A$2:$C$26,3)*SIGN(S10-S8),0)</f>
        <v/>
      </c>
      <c r="AD10">
        <f>IF(AND(ISNUMBER(S10),ISNUMBER(S9)),VLOOKUP(ABS(S10-S9),'IMP Table'!$A$2:$C$26,3)*SIGN(S10-S9),0)</f>
        <v/>
      </c>
      <c r="AE10">
        <f>IF(AND(ISNUMBER(S10),ISNUMBER(S11)),VLOOKUP(ABS(S10-S11),'IMP Table'!$A$2:$C$26,3)*SIGN(S10-S11),0)</f>
        <v/>
      </c>
      <c r="AF10">
        <f>IF(AND(ISNUMBER(S10),ISNUMBER(S12)),VLOOKUP(ABS(S10-S12),'IMP Table'!$A$2:$C$26,3)*SIGN(S10-S12),0)</f>
        <v/>
      </c>
      <c r="AG10">
        <f>IF(AND(ISNUMBER(T10),ISNUMBER(T8)),VLOOKUP(ABS(T10-T8),'IMP Table'!$A$2:$C$26,3)*SIGN(T10-T8),0)</f>
        <v/>
      </c>
      <c r="AH10">
        <f>IF(AND(ISNUMBER(T10),ISNUMBER(T9)),VLOOKUP(ABS(T10-T9),'IMP Table'!$A$2:$C$26,3)*SIGN(T10-T9),0)</f>
        <v/>
      </c>
      <c r="AI10">
        <f>IF(AND(ISNUMBER(T10),ISNUMBER(T11)),VLOOKUP(ABS(T10-T11),'IMP Table'!$A$2:$C$26,3)*SIGN(T10-T11),0)</f>
        <v/>
      </c>
      <c r="AJ10">
        <f>IF(AND(ISNUMBER(T10),ISNUMBER(T12)),VLOOKUP(ABS(T10-T12),'IMP Table'!$A$2:$C$26,3)*SIGN(T10-T12),0)</f>
        <v/>
      </c>
    </row>
    <row r="11">
      <c r="B11" s="10">
        <f>'By Round'!A13</f>
        <v/>
      </c>
      <c r="C11" s="10">
        <f>'By Round'!B21</f>
        <v/>
      </c>
      <c r="D11" s="10">
        <f>'By Round'!C21</f>
        <v/>
      </c>
      <c r="E11" s="10">
        <f>'By Round'!D21</f>
        <v/>
      </c>
      <c r="F11" s="10">
        <f>IF(ISBLANK('By Round'!F22),"",'By Round'!F22)</f>
        <v/>
      </c>
      <c r="G11">
        <f>IF(ISBLANK('By Round'!G22),"",'By Round'!G22)</f>
        <v/>
      </c>
      <c r="H11">
        <f>IF(ISBLANK('By Round'!H22),"",'By Round'!H22)</f>
        <v/>
      </c>
      <c r="I11">
        <f>IF(ISBLANK('By Round'!I22),"",'By Round'!I22)</f>
        <v/>
      </c>
      <c r="J11">
        <f>IF(ISBLANK('By Round'!J22),"",'By Round'!J22)</f>
        <v/>
      </c>
      <c r="K11">
        <f>IF(ISBLANK('By Round'!K22),"",'By Round'!K22)</f>
        <v/>
      </c>
      <c r="L11">
        <f>IF(ISBLANK('By Round'!L22),"",'By Round'!L22)</f>
        <v/>
      </c>
      <c r="M11" s="11">
        <f>AVERAGE(AC11:AF11)</f>
        <v/>
      </c>
      <c r="N11" s="12">
        <f>AVERAGE(AG11:AJ11)</f>
        <v/>
      </c>
      <c r="O11" s="13">
        <f>IF(COUNT(U11:X11)&gt;0,Q11/COUNT(U11:X11),0.5)</f>
        <v/>
      </c>
      <c r="P11" s="13">
        <f>IF(COUNT(Y11:AB11)&gt;0,R11/COUNT(Y11:AB11),0.5)</f>
        <v/>
      </c>
      <c r="Q11" s="5">
        <f>SUM(U11:X11)</f>
        <v/>
      </c>
      <c r="R11" s="5">
        <f>SUM(Y11:AB11)</f>
        <v/>
      </c>
      <c r="S11" s="14">
        <f>IF(ISNUMBER(K11),K11,IF(ISNUMBER(L11),-L11,""))</f>
        <v/>
      </c>
      <c r="T11">
        <f>IF(ISNUMBER(L11),L11,IF(ISNUMBER(K11),-K11,""))</f>
        <v/>
      </c>
      <c r="U11" s="14">
        <f>IF(ISNUMBER(S11),IF(ISNUMBER(S8),IF(S11&gt;S8,1.0,IF(S11=S8,0.5,0.0)),""),"")</f>
        <v/>
      </c>
      <c r="V11">
        <f>IF(ISNUMBER(S11),IF(ISNUMBER(S9),IF(S11&gt;S9,1.0,IF(S11=S9,0.5,0.0)),""),"")</f>
        <v/>
      </c>
      <c r="W11">
        <f>IF(ISNUMBER(S11),IF(ISNUMBER(S10),IF(S11&gt;S10,1.0,IF(S11=S10,0.5,0.0)),""),"")</f>
        <v/>
      </c>
      <c r="X11">
        <f>IF(ISNUMBER(S11),IF(ISNUMBER(S12),IF(S11&gt;S12,1.0,IF(S11=S12,0.5,0.0)),""),"")</f>
        <v/>
      </c>
      <c r="Y11">
        <f>IF(ISNUMBER(T11),IF(ISNUMBER(T8),IF(T11&gt;T8,1.0,IF(T11=T8,0.5,0.0)),""),"")</f>
        <v/>
      </c>
      <c r="Z11">
        <f>IF(ISNUMBER(T11),IF(ISNUMBER(T9),IF(T11&gt;T9,1.0,IF(T11=T9,0.5,0.0)),""),"")</f>
        <v/>
      </c>
      <c r="AA11">
        <f>IF(ISNUMBER(T11),IF(ISNUMBER(T10),IF(T11&gt;T10,1.0,IF(T11=T10,0.5,0.0)),""),"")</f>
        <v/>
      </c>
      <c r="AB11">
        <f>IF(ISNUMBER(T11),IF(ISNUMBER(T12),IF(T11&gt;T12,1.0,IF(T11=T12,0.5,0.0)),""),"")</f>
        <v/>
      </c>
      <c r="AC11" s="14">
        <f>IF(AND(ISNUMBER(S11),ISNUMBER(S8)),VLOOKUP(ABS(S11-S8),'IMP Table'!$A$2:$C$26,3)*SIGN(S11-S8),0)</f>
        <v/>
      </c>
      <c r="AD11">
        <f>IF(AND(ISNUMBER(S11),ISNUMBER(S9)),VLOOKUP(ABS(S11-S9),'IMP Table'!$A$2:$C$26,3)*SIGN(S11-S9),0)</f>
        <v/>
      </c>
      <c r="AE11">
        <f>IF(AND(ISNUMBER(S11),ISNUMBER(S10)),VLOOKUP(ABS(S11-S10),'IMP Table'!$A$2:$C$26,3)*SIGN(S11-S10),0)</f>
        <v/>
      </c>
      <c r="AF11">
        <f>IF(AND(ISNUMBER(S11),ISNUMBER(S12)),VLOOKUP(ABS(S11-S12),'IMP Table'!$A$2:$C$26,3)*SIGN(S11-S12),0)</f>
        <v/>
      </c>
      <c r="AG11">
        <f>IF(AND(ISNUMBER(T11),ISNUMBER(T8)),VLOOKUP(ABS(T11-T8),'IMP Table'!$A$2:$C$26,3)*SIGN(T11-T8),0)</f>
        <v/>
      </c>
      <c r="AH11">
        <f>IF(AND(ISNUMBER(T11),ISNUMBER(T9)),VLOOKUP(ABS(T11-T9),'IMP Table'!$A$2:$C$26,3)*SIGN(T11-T9),0)</f>
        <v/>
      </c>
      <c r="AI11">
        <f>IF(AND(ISNUMBER(T11),ISNUMBER(T10)),VLOOKUP(ABS(T11-T10),'IMP Table'!$A$2:$C$26,3)*SIGN(T11-T10),0)</f>
        <v/>
      </c>
      <c r="AJ11">
        <f>IF(AND(ISNUMBER(T11),ISNUMBER(T12)),VLOOKUP(ABS(T11-T12),'IMP Table'!$A$2:$C$26,3)*SIGN(T11-T12),0)</f>
        <v/>
      </c>
    </row>
    <row r="12">
      <c r="A12" s="15" t="n"/>
      <c r="B12" s="16">
        <f>'By Round'!A83</f>
        <v/>
      </c>
      <c r="C12" s="16">
        <f>'By Round'!B85</f>
        <v/>
      </c>
      <c r="D12" s="16">
        <f>'By Round'!C85</f>
        <v/>
      </c>
      <c r="E12" s="16">
        <f>'By Round'!D85</f>
        <v/>
      </c>
      <c r="F12" s="16">
        <f>IF(ISBLANK('By Round'!F86),"",'By Round'!F86)</f>
        <v/>
      </c>
      <c r="G12" s="15">
        <f>IF(ISBLANK('By Round'!G86),"",'By Round'!G86)</f>
        <v/>
      </c>
      <c r="H12" s="15">
        <f>IF(ISBLANK('By Round'!H86),"",'By Round'!H86)</f>
        <v/>
      </c>
      <c r="I12" s="15">
        <f>IF(ISBLANK('By Round'!I86),"",'By Round'!I86)</f>
        <v/>
      </c>
      <c r="J12" s="15">
        <f>IF(ISBLANK('By Round'!J86),"",'By Round'!J86)</f>
        <v/>
      </c>
      <c r="K12" s="15">
        <f>IF(ISBLANK('By Round'!K86),"",'By Round'!K86)</f>
        <v/>
      </c>
      <c r="L12" s="15">
        <f>IF(ISBLANK('By Round'!L86),"",'By Round'!L86)</f>
        <v/>
      </c>
      <c r="M12" s="17">
        <f>AVERAGE(AC12:AF12)</f>
        <v/>
      </c>
      <c r="N12" s="18">
        <f>AVERAGE(AG12:AJ12)</f>
        <v/>
      </c>
      <c r="O12" s="19">
        <f>IF(COUNT(U12:X12)&gt;0,Q12/COUNT(U12:X12),0.5)</f>
        <v/>
      </c>
      <c r="P12" s="19">
        <f>IF(COUNT(Y12:AB12)&gt;0,R12/COUNT(Y12:AB12),0.5)</f>
        <v/>
      </c>
      <c r="Q12" s="20">
        <f>SUM(U12:X12)</f>
        <v/>
      </c>
      <c r="R12" s="20">
        <f>SUM(Y12:AB12)</f>
        <v/>
      </c>
      <c r="S12" s="21">
        <f>IF(ISNUMBER(K12),K12,IF(ISNUMBER(L12),-L12,""))</f>
        <v/>
      </c>
      <c r="T12" s="15">
        <f>IF(ISNUMBER(L12),L12,IF(ISNUMBER(K12),-K12,""))</f>
        <v/>
      </c>
      <c r="U12" s="21">
        <f>IF(ISNUMBER(S12),IF(ISNUMBER(S8),IF(S12&gt;S8,1.0,IF(S12=S8,0.5,0.0)),""),"")</f>
        <v/>
      </c>
      <c r="V12" s="15">
        <f>IF(ISNUMBER(S12),IF(ISNUMBER(S9),IF(S12&gt;S9,1.0,IF(S12=S9,0.5,0.0)),""),"")</f>
        <v/>
      </c>
      <c r="W12" s="15">
        <f>IF(ISNUMBER(S12),IF(ISNUMBER(S10),IF(S12&gt;S10,1.0,IF(S12=S10,0.5,0.0)),""),"")</f>
        <v/>
      </c>
      <c r="X12" s="15">
        <f>IF(ISNUMBER(S12),IF(ISNUMBER(S11),IF(S12&gt;S11,1.0,IF(S12=S11,0.5,0.0)),""),"")</f>
        <v/>
      </c>
      <c r="Y12" s="15">
        <f>IF(ISNUMBER(T12),IF(ISNUMBER(T8),IF(T12&gt;T8,1.0,IF(T12=T8,0.5,0.0)),""),"")</f>
        <v/>
      </c>
      <c r="Z12" s="15">
        <f>IF(ISNUMBER(T12),IF(ISNUMBER(T9),IF(T12&gt;T9,1.0,IF(T12=T9,0.5,0.0)),""),"")</f>
        <v/>
      </c>
      <c r="AA12" s="15">
        <f>IF(ISNUMBER(T12),IF(ISNUMBER(T10),IF(T12&gt;T10,1.0,IF(T12=T10,0.5,0.0)),""),"")</f>
        <v/>
      </c>
      <c r="AB12" s="15">
        <f>IF(ISNUMBER(T12),IF(ISNUMBER(T11),IF(T12&gt;T11,1.0,IF(T12=T11,0.5,0.0)),""),"")</f>
        <v/>
      </c>
      <c r="AC12" s="21">
        <f>IF(AND(ISNUMBER(S12),ISNUMBER(S8)),VLOOKUP(ABS(S12-S8),'IMP Table'!$A$2:$C$26,3)*SIGN(S12-S8),0)</f>
        <v/>
      </c>
      <c r="AD12" s="15">
        <f>IF(AND(ISNUMBER(S12),ISNUMBER(S9)),VLOOKUP(ABS(S12-S9),'IMP Table'!$A$2:$C$26,3)*SIGN(S12-S9),0)</f>
        <v/>
      </c>
      <c r="AE12" s="15">
        <f>IF(AND(ISNUMBER(S12),ISNUMBER(S10)),VLOOKUP(ABS(S12-S10),'IMP Table'!$A$2:$C$26,3)*SIGN(S12-S10),0)</f>
        <v/>
      </c>
      <c r="AF12" s="15">
        <f>IF(AND(ISNUMBER(S12),ISNUMBER(S11)),VLOOKUP(ABS(S12-S11),'IMP Table'!$A$2:$C$26,3)*SIGN(S12-S11),0)</f>
        <v/>
      </c>
      <c r="AG12" s="15">
        <f>IF(AND(ISNUMBER(T12),ISNUMBER(T8)),VLOOKUP(ABS(T12-T8),'IMP Table'!$A$2:$C$26,3)*SIGN(T12-T8),0)</f>
        <v/>
      </c>
      <c r="AH12" s="15">
        <f>IF(AND(ISNUMBER(T12),ISNUMBER(T9)),VLOOKUP(ABS(T12-T9),'IMP Table'!$A$2:$C$26,3)*SIGN(T12-T9),0)</f>
        <v/>
      </c>
      <c r="AI12" s="15">
        <f>IF(AND(ISNUMBER(T12),ISNUMBER(T10)),VLOOKUP(ABS(T12-T10),'IMP Table'!$A$2:$C$26,3)*SIGN(T12-T10),0)</f>
        <v/>
      </c>
      <c r="AJ12" s="15">
        <f>IF(AND(ISNUMBER(T12),ISNUMBER(T11)),VLOOKUP(ABS(T12-T11),'IMP Table'!$A$2:$C$26,3)*SIGN(T12-T11),0)</f>
        <v/>
      </c>
    </row>
    <row r="13">
      <c r="A13" s="10" t="n">
        <v>3</v>
      </c>
      <c r="B13" s="10">
        <f>'By Round'!A13</f>
        <v/>
      </c>
      <c r="C13" s="10">
        <f>'By Round'!B13</f>
        <v/>
      </c>
      <c r="D13" s="10">
        <f>'By Round'!C13</f>
        <v/>
      </c>
      <c r="E13" s="10">
        <f>'By Round'!D13</f>
        <v/>
      </c>
      <c r="F13" s="10">
        <f>IF(ISBLANK('By Round'!F13),"",'By Round'!F13)</f>
        <v/>
      </c>
      <c r="G13">
        <f>IF(ISBLANK('By Round'!G13),"",'By Round'!G13)</f>
        <v/>
      </c>
      <c r="H13">
        <f>IF(ISBLANK('By Round'!H13),"",'By Round'!H13)</f>
        <v/>
      </c>
      <c r="I13">
        <f>IF(ISBLANK('By Round'!I13),"",'By Round'!I13)</f>
        <v/>
      </c>
      <c r="J13">
        <f>IF(ISBLANK('By Round'!J13),"",'By Round'!J13)</f>
        <v/>
      </c>
      <c r="K13">
        <f>IF(ISBLANK('By Round'!K13),"",'By Round'!K13)</f>
        <v/>
      </c>
      <c r="L13">
        <f>IF(ISBLANK('By Round'!L13),"",'By Round'!L13)</f>
        <v/>
      </c>
      <c r="M13" s="11">
        <f>AVERAGE(AC13:AF13)</f>
        <v/>
      </c>
      <c r="N13" s="12">
        <f>AVERAGE(AG13:AJ13)</f>
        <v/>
      </c>
      <c r="O13" s="13">
        <f>IF(COUNT(U13:X13)&gt;0,Q13/COUNT(U13:X13),0.5)</f>
        <v/>
      </c>
      <c r="P13" s="13">
        <f>IF(COUNT(Y13:AB13)&gt;0,R13/COUNT(Y13:AB13),0.5)</f>
        <v/>
      </c>
      <c r="Q13" s="5">
        <f>SUM(U13:X13)</f>
        <v/>
      </c>
      <c r="R13" s="5">
        <f>SUM(Y13:AB13)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IF(ISNUMBER(S13),IF(ISNUMBER(S14),IF(S13&gt;S14,1.0,IF(S13=S14,0.5,0.0)),""),"")</f>
        <v/>
      </c>
      <c r="V13">
        <f>IF(ISNUMBER(S13),IF(ISNUMBER(S15),IF(S13&gt;S15,1.0,IF(S13=S15,0.5,0.0)),""),"")</f>
        <v/>
      </c>
      <c r="W13">
        <f>IF(ISNUMBER(S13),IF(ISNUMBER(S16),IF(S13&gt;S16,1.0,IF(S13=S16,0.5,0.0)),""),"")</f>
        <v/>
      </c>
      <c r="X13">
        <f>IF(ISNUMBER(S13),IF(ISNUMBER(S17),IF(S13&gt;S17,1.0,IF(S13=S17,0.5,0.0)),""),"")</f>
        <v/>
      </c>
      <c r="Y13">
        <f>IF(ISNUMBER(T13),IF(ISNUMBER(T14),IF(T13&gt;T14,1.0,IF(T13=T14,0.5,0.0)),""),"")</f>
        <v/>
      </c>
      <c r="Z13">
        <f>IF(ISNUMBER(T13),IF(ISNUMBER(T15),IF(T13&gt;T15,1.0,IF(T13=T15,0.5,0.0)),""),"")</f>
        <v/>
      </c>
      <c r="AA13">
        <f>IF(ISNUMBER(T13),IF(ISNUMBER(T16),IF(T13&gt;T16,1.0,IF(T13=T16,0.5,0.0)),""),"")</f>
        <v/>
      </c>
      <c r="AB13">
        <f>IF(ISNUMBER(T13),IF(ISNUMBER(T17),IF(T13&gt;T17,1.0,IF(T13=T17,0.5,0.0)),""),"")</f>
        <v/>
      </c>
      <c r="AC13" s="14">
        <f>IF(AND(ISNUMBER(S13),ISNUMBER(S14)),VLOOKUP(ABS(S13-S14),'IMP Table'!$A$2:$C$26,3)*SIGN(S13-S14),0)</f>
        <v/>
      </c>
      <c r="AD13">
        <f>IF(AND(ISNUMBER(S13),ISNUMBER(S15)),VLOOKUP(ABS(S13-S15),'IMP Table'!$A$2:$C$26,3)*SIGN(S13-S15),0)</f>
        <v/>
      </c>
      <c r="AE13">
        <f>IF(AND(ISNUMBER(S13),ISNUMBER(S16)),VLOOKUP(ABS(S13-S16),'IMP Table'!$A$2:$C$26,3)*SIGN(S13-S16),0)</f>
        <v/>
      </c>
      <c r="AF13">
        <f>IF(AND(ISNUMBER(S13),ISNUMBER(S17)),VLOOKUP(ABS(S13-S17),'IMP Table'!$A$2:$C$26,3)*SIGN(S13-S17),0)</f>
        <v/>
      </c>
      <c r="AG13">
        <f>IF(AND(ISNUMBER(T13),ISNUMBER(T14)),VLOOKUP(ABS(T13-T14),'IMP Table'!$A$2:$C$26,3)*SIGN(T13-T14),0)</f>
        <v/>
      </c>
      <c r="AH13">
        <f>IF(AND(ISNUMBER(T13),ISNUMBER(T15)),VLOOKUP(ABS(T13-T15),'IMP Table'!$A$2:$C$26,3)*SIGN(T13-T15),0)</f>
        <v/>
      </c>
      <c r="AI13">
        <f>IF(AND(ISNUMBER(T13),ISNUMBER(T16)),VLOOKUP(ABS(T13-T16),'IMP Table'!$A$2:$C$26,3)*SIGN(T13-T16),0)</f>
        <v/>
      </c>
      <c r="AJ13">
        <f>IF(AND(ISNUMBER(T13),ISNUMBER(T17)),VLOOKUP(ABS(T13-T17),'IMP Table'!$A$2:$C$26,3)*SIGN(T13-T17),0)</f>
        <v/>
      </c>
    </row>
    <row r="14">
      <c r="B14" s="10">
        <f>'By Round'!A83</f>
        <v/>
      </c>
      <c r="C14" s="10">
        <f>'By Round'!B87</f>
        <v/>
      </c>
      <c r="D14" s="10">
        <f>'By Round'!C87</f>
        <v/>
      </c>
      <c r="E14" s="10">
        <f>'By Round'!D87</f>
        <v/>
      </c>
      <c r="F14" s="10">
        <f>IF(ISBLANK('By Round'!F87),"",'By Round'!F87)</f>
        <v/>
      </c>
      <c r="G14">
        <f>IF(ISBLANK('By Round'!G87),"",'By Round'!G87)</f>
        <v/>
      </c>
      <c r="H14">
        <f>IF(ISBLANK('By Round'!H87),"",'By Round'!H87)</f>
        <v/>
      </c>
      <c r="I14">
        <f>IF(ISBLANK('By Round'!I87),"",'By Round'!I87)</f>
        <v/>
      </c>
      <c r="J14">
        <f>IF(ISBLANK('By Round'!J87),"",'By Round'!J87)</f>
        <v/>
      </c>
      <c r="K14">
        <f>IF(ISBLANK('By Round'!K87),"",'By Round'!K87)</f>
        <v/>
      </c>
      <c r="L14">
        <f>IF(ISBLANK('By Round'!L87),"",'By Round'!L87)</f>
        <v/>
      </c>
      <c r="M14" s="11">
        <f>AVERAGE(AC14:AF14)</f>
        <v/>
      </c>
      <c r="N14" s="12">
        <f>AVERAGE(AG14:AJ14)</f>
        <v/>
      </c>
      <c r="O14" s="13">
        <f>IF(COUNT(U14:X14)&gt;0,Q14/COUNT(U14:X14),0.5)</f>
        <v/>
      </c>
      <c r="P14" s="13">
        <f>IF(COUNT(Y14:AB14)&gt;0,R14/COUNT(Y14:AB14),0.5)</f>
        <v/>
      </c>
      <c r="Q14" s="5">
        <f>SUM(U14:X14)</f>
        <v/>
      </c>
      <c r="R14" s="5">
        <f>SUM(Y14:AB14)</f>
        <v/>
      </c>
      <c r="S14" s="14">
        <f>IF(ISNUMBER(K14),K14,IF(ISNUMBER(L14),-L14,""))</f>
        <v/>
      </c>
      <c r="T14">
        <f>IF(ISNUMBER(L14),L14,IF(ISNUMBER(K14),-K14,""))</f>
        <v/>
      </c>
      <c r="U14" s="14">
        <f>IF(ISNUMBER(S14),IF(ISNUMBER(S13),IF(S14&gt;S13,1.0,IF(S14=S13,0.5,0.0)),""),"")</f>
        <v/>
      </c>
      <c r="V14">
        <f>IF(ISNUMBER(S14),IF(ISNUMBER(S15),IF(S14&gt;S15,1.0,IF(S14=S15,0.5,0.0)),""),"")</f>
        <v/>
      </c>
      <c r="W14">
        <f>IF(ISNUMBER(S14),IF(ISNUMBER(S16),IF(S14&gt;S16,1.0,IF(S14=S16,0.5,0.0)),""),"")</f>
        <v/>
      </c>
      <c r="X14">
        <f>IF(ISNUMBER(S14),IF(ISNUMBER(S17),IF(S14&gt;S17,1.0,IF(S14=S17,0.5,0.0)),""),"")</f>
        <v/>
      </c>
      <c r="Y14">
        <f>IF(ISNUMBER(T14),IF(ISNUMBER(T13),IF(T14&gt;T13,1.0,IF(T14=T13,0.5,0.0)),""),"")</f>
        <v/>
      </c>
      <c r="Z14">
        <f>IF(ISNUMBER(T14),IF(ISNUMBER(T15),IF(T14&gt;T15,1.0,IF(T14=T15,0.5,0.0)),""),"")</f>
        <v/>
      </c>
      <c r="AA14">
        <f>IF(ISNUMBER(T14),IF(ISNUMBER(T16),IF(T14&gt;T16,1.0,IF(T14=T16,0.5,0.0)),""),"")</f>
        <v/>
      </c>
      <c r="AB14">
        <f>IF(ISNUMBER(T14),IF(ISNUMBER(T17),IF(T14&gt;T17,1.0,IF(T14=T17,0.5,0.0)),""),"")</f>
        <v/>
      </c>
      <c r="AC14" s="14">
        <f>IF(AND(ISNUMBER(S14),ISNUMBER(S13)),VLOOKUP(ABS(S14-S13),'IMP Table'!$A$2:$C$26,3)*SIGN(S14-S13),0)</f>
        <v/>
      </c>
      <c r="AD14">
        <f>IF(AND(ISNUMBER(S14),ISNUMBER(S15)),VLOOKUP(ABS(S14-S15),'IMP Table'!$A$2:$C$26,3)*SIGN(S14-S15),0)</f>
        <v/>
      </c>
      <c r="AE14">
        <f>IF(AND(ISNUMBER(S14),ISNUMBER(S16)),VLOOKUP(ABS(S14-S16),'IMP Table'!$A$2:$C$26,3)*SIGN(S14-S16),0)</f>
        <v/>
      </c>
      <c r="AF14">
        <f>IF(AND(ISNUMBER(S14),ISNUMBER(S17)),VLOOKUP(ABS(S14-S17),'IMP Table'!$A$2:$C$26,3)*SIGN(S14-S17),0)</f>
        <v/>
      </c>
      <c r="AG14">
        <f>IF(AND(ISNUMBER(T14),ISNUMBER(T13)),VLOOKUP(ABS(T14-T13),'IMP Table'!$A$2:$C$26,3)*SIGN(T14-T13),0)</f>
        <v/>
      </c>
      <c r="AH14">
        <f>IF(AND(ISNUMBER(T14),ISNUMBER(T15)),VLOOKUP(ABS(T14-T15),'IMP Table'!$A$2:$C$26,3)*SIGN(T14-T15),0)</f>
        <v/>
      </c>
      <c r="AI14">
        <f>IF(AND(ISNUMBER(T14),ISNUMBER(T16)),VLOOKUP(ABS(T14-T16),'IMP Table'!$A$2:$C$26,3)*SIGN(T14-T16),0)</f>
        <v/>
      </c>
      <c r="AJ14">
        <f>IF(AND(ISNUMBER(T14),ISNUMBER(T17)),VLOOKUP(ABS(T14-T17),'IMP Table'!$A$2:$C$26,3)*SIGN(T14-T17),0)</f>
        <v/>
      </c>
    </row>
    <row r="15">
      <c r="B15" s="10">
        <f>'By Round'!A33</f>
        <v/>
      </c>
      <c r="C15" s="10">
        <f>'By Round'!B39</f>
        <v/>
      </c>
      <c r="D15" s="10">
        <f>'By Round'!C39</f>
        <v/>
      </c>
      <c r="E15" s="10">
        <f>'By Round'!D39</f>
        <v/>
      </c>
      <c r="F15" s="10">
        <f>IF(ISBLANK('By Round'!F39),"",'By Round'!F39)</f>
        <v/>
      </c>
      <c r="G15">
        <f>IF(ISBLANK('By Round'!G39),"",'By Round'!G39)</f>
        <v/>
      </c>
      <c r="H15">
        <f>IF(ISBLANK('By Round'!H39),"",'By Round'!H39)</f>
        <v/>
      </c>
      <c r="I15">
        <f>IF(ISBLANK('By Round'!I39),"",'By Round'!I39)</f>
        <v/>
      </c>
      <c r="J15">
        <f>IF(ISBLANK('By Round'!J39),"",'By Round'!J39)</f>
        <v/>
      </c>
      <c r="K15">
        <f>IF(ISBLANK('By Round'!K39),"",'By Round'!K39)</f>
        <v/>
      </c>
      <c r="L15">
        <f>IF(ISBLANK('By Round'!L39),"",'By Round'!L39)</f>
        <v/>
      </c>
      <c r="M15" s="11">
        <f>AVERAGE(AC15:AF15)</f>
        <v/>
      </c>
      <c r="N15" s="12">
        <f>AVERAGE(AG15:AJ15)</f>
        <v/>
      </c>
      <c r="O15" s="13">
        <f>IF(COUNT(U15:X15)&gt;0,Q15/COUNT(U15:X15),0.5)</f>
        <v/>
      </c>
      <c r="P15" s="13">
        <f>IF(COUNT(Y15:AB15)&gt;0,R15/COUNT(Y15:AB15),0.5)</f>
        <v/>
      </c>
      <c r="Q15" s="5">
        <f>SUM(U15:X15)</f>
        <v/>
      </c>
      <c r="R15" s="5">
        <f>SUM(Y15:AB15)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IF(ISNUMBER(S15),IF(ISNUMBER(S13),IF(S15&gt;S13,1.0,IF(S15=S13,0.5,0.0)),""),"")</f>
        <v/>
      </c>
      <c r="V15">
        <f>IF(ISNUMBER(S15),IF(ISNUMBER(S14),IF(S15&gt;S14,1.0,IF(S15=S14,0.5,0.0)),""),"")</f>
        <v/>
      </c>
      <c r="W15">
        <f>IF(ISNUMBER(S15),IF(ISNUMBER(S16),IF(S15&gt;S16,1.0,IF(S15=S16,0.5,0.0)),""),"")</f>
        <v/>
      </c>
      <c r="X15">
        <f>IF(ISNUMBER(S15),IF(ISNUMBER(S17),IF(S15&gt;S17,1.0,IF(S15=S17,0.5,0.0)),""),"")</f>
        <v/>
      </c>
      <c r="Y15">
        <f>IF(ISNUMBER(T15),IF(ISNUMBER(T13),IF(T15&gt;T13,1.0,IF(T15=T13,0.5,0.0)),""),"")</f>
        <v/>
      </c>
      <c r="Z15">
        <f>IF(ISNUMBER(T15),IF(ISNUMBER(T14),IF(T15&gt;T14,1.0,IF(T15=T14,0.5,0.0)),""),"")</f>
        <v/>
      </c>
      <c r="AA15">
        <f>IF(ISNUMBER(T15),IF(ISNUMBER(T16),IF(T15&gt;T16,1.0,IF(T15=T16,0.5,0.0)),""),"")</f>
        <v/>
      </c>
      <c r="AB15">
        <f>IF(ISNUMBER(T15),IF(ISNUMBER(T17),IF(T15&gt;T17,1.0,IF(T15=T17,0.5,0.0)),""),"")</f>
        <v/>
      </c>
      <c r="AC15" s="14">
        <f>IF(AND(ISNUMBER(S15),ISNUMBER(S13)),VLOOKUP(ABS(S15-S13),'IMP Table'!$A$2:$C$26,3)*SIGN(S15-S13),0)</f>
        <v/>
      </c>
      <c r="AD15">
        <f>IF(AND(ISNUMBER(S15),ISNUMBER(S14)),VLOOKUP(ABS(S15-S14),'IMP Table'!$A$2:$C$26,3)*SIGN(S15-S14),0)</f>
        <v/>
      </c>
      <c r="AE15">
        <f>IF(AND(ISNUMBER(S15),ISNUMBER(S16)),VLOOKUP(ABS(S15-S16),'IMP Table'!$A$2:$C$26,3)*SIGN(S15-S16),0)</f>
        <v/>
      </c>
      <c r="AF15">
        <f>IF(AND(ISNUMBER(S15),ISNUMBER(S17)),VLOOKUP(ABS(S15-S17),'IMP Table'!$A$2:$C$26,3)*SIGN(S15-S17),0)</f>
        <v/>
      </c>
      <c r="AG15">
        <f>IF(AND(ISNUMBER(T15),ISNUMBER(T13)),VLOOKUP(ABS(T15-T13),'IMP Table'!$A$2:$C$26,3)*SIGN(T15-T13),0)</f>
        <v/>
      </c>
      <c r="AH15">
        <f>IF(AND(ISNUMBER(T15),ISNUMBER(T14)),VLOOKUP(ABS(T15-T14),'IMP Table'!$A$2:$C$26,3)*SIGN(T15-T14),0)</f>
        <v/>
      </c>
      <c r="AI15">
        <f>IF(AND(ISNUMBER(T15),ISNUMBER(T16)),VLOOKUP(ABS(T15-T16),'IMP Table'!$A$2:$C$26,3)*SIGN(T15-T16),0)</f>
        <v/>
      </c>
      <c r="AJ15">
        <f>IF(AND(ISNUMBER(T15),ISNUMBER(T17)),VLOOKUP(ABS(T15-T17),'IMP Table'!$A$2:$C$26,3)*SIGN(T15-T17),0)</f>
        <v/>
      </c>
    </row>
    <row r="16">
      <c r="B16" s="10">
        <f>'By Round'!A23</f>
        <v/>
      </c>
      <c r="C16" s="10">
        <f>'By Round'!B31</f>
        <v/>
      </c>
      <c r="D16" s="10">
        <f>'By Round'!C31</f>
        <v/>
      </c>
      <c r="E16" s="10">
        <f>'By Round'!D31</f>
        <v/>
      </c>
      <c r="F16" s="10">
        <f>IF(ISBLANK('By Round'!F31),"",'By Round'!F31)</f>
        <v/>
      </c>
      <c r="G16">
        <f>IF(ISBLANK('By Round'!G31),"",'By Round'!G31)</f>
        <v/>
      </c>
      <c r="H16">
        <f>IF(ISBLANK('By Round'!H31),"",'By Round'!H31)</f>
        <v/>
      </c>
      <c r="I16">
        <f>IF(ISBLANK('By Round'!I31),"",'By Round'!I31)</f>
        <v/>
      </c>
      <c r="J16">
        <f>IF(ISBLANK('By Round'!J31),"",'By Round'!J31)</f>
        <v/>
      </c>
      <c r="K16">
        <f>IF(ISBLANK('By Round'!K31),"",'By Round'!K31)</f>
        <v/>
      </c>
      <c r="L16">
        <f>IF(ISBLANK('By Round'!L31),"",'By Round'!L31)</f>
        <v/>
      </c>
      <c r="M16" s="11">
        <f>AVERAGE(AC16:AF16)</f>
        <v/>
      </c>
      <c r="N16" s="12">
        <f>AVERAGE(AG16:AJ16)</f>
        <v/>
      </c>
      <c r="O16" s="13">
        <f>IF(COUNT(U16:X16)&gt;0,Q16/COUNT(U16:X16),0.5)</f>
        <v/>
      </c>
      <c r="P16" s="13">
        <f>IF(COUNT(Y16:AB16)&gt;0,R16/COUNT(Y16:AB16),0.5)</f>
        <v/>
      </c>
      <c r="Q16" s="5">
        <f>SUM(U16:X16)</f>
        <v/>
      </c>
      <c r="R16" s="5">
        <f>SUM(Y16:AB16)</f>
        <v/>
      </c>
      <c r="S16" s="14">
        <f>IF(ISNUMBER(K16),K16,IF(ISNUMBER(L16),-L16,""))</f>
        <v/>
      </c>
      <c r="T16">
        <f>IF(ISNUMBER(L16),L16,IF(ISNUMBER(K16),-K16,""))</f>
        <v/>
      </c>
      <c r="U16" s="14">
        <f>IF(ISNUMBER(S16),IF(ISNUMBER(S13),IF(S16&gt;S13,1.0,IF(S16=S13,0.5,0.0)),""),"")</f>
        <v/>
      </c>
      <c r="V16">
        <f>IF(ISNUMBER(S16),IF(ISNUMBER(S14),IF(S16&gt;S14,1.0,IF(S16=S14,0.5,0.0)),""),"")</f>
        <v/>
      </c>
      <c r="W16">
        <f>IF(ISNUMBER(S16),IF(ISNUMBER(S15),IF(S16&gt;S15,1.0,IF(S16=S15,0.5,0.0)),""),"")</f>
        <v/>
      </c>
      <c r="X16">
        <f>IF(ISNUMBER(S16),IF(ISNUMBER(S17),IF(S16&gt;S17,1.0,IF(S16=S17,0.5,0.0)),""),"")</f>
        <v/>
      </c>
      <c r="Y16">
        <f>IF(ISNUMBER(T16),IF(ISNUMBER(T13),IF(T16&gt;T13,1.0,IF(T16=T13,0.5,0.0)),""),"")</f>
        <v/>
      </c>
      <c r="Z16">
        <f>IF(ISNUMBER(T16),IF(ISNUMBER(T14),IF(T16&gt;T14,1.0,IF(T16=T14,0.5,0.0)),""),"")</f>
        <v/>
      </c>
      <c r="AA16">
        <f>IF(ISNUMBER(T16),IF(ISNUMBER(T15),IF(T16&gt;T15,1.0,IF(T16=T15,0.5,0.0)),""),"")</f>
        <v/>
      </c>
      <c r="AB16">
        <f>IF(ISNUMBER(T16),IF(ISNUMBER(T17),IF(T16&gt;T17,1.0,IF(T16=T17,0.5,0.0)),""),"")</f>
        <v/>
      </c>
      <c r="AC16" s="14">
        <f>IF(AND(ISNUMBER(S16),ISNUMBER(S13)),VLOOKUP(ABS(S16-S13),'IMP Table'!$A$2:$C$26,3)*SIGN(S16-S13),0)</f>
        <v/>
      </c>
      <c r="AD16">
        <f>IF(AND(ISNUMBER(S16),ISNUMBER(S14)),VLOOKUP(ABS(S16-S14),'IMP Table'!$A$2:$C$26,3)*SIGN(S16-S14),0)</f>
        <v/>
      </c>
      <c r="AE16">
        <f>IF(AND(ISNUMBER(S16),ISNUMBER(S15)),VLOOKUP(ABS(S16-S15),'IMP Table'!$A$2:$C$26,3)*SIGN(S16-S15),0)</f>
        <v/>
      </c>
      <c r="AF16">
        <f>IF(AND(ISNUMBER(S16),ISNUMBER(S17)),VLOOKUP(ABS(S16-S17),'IMP Table'!$A$2:$C$26,3)*SIGN(S16-S17),0)</f>
        <v/>
      </c>
      <c r="AG16">
        <f>IF(AND(ISNUMBER(T16),ISNUMBER(T13)),VLOOKUP(ABS(T16-T13),'IMP Table'!$A$2:$C$26,3)*SIGN(T16-T13),0)</f>
        <v/>
      </c>
      <c r="AH16">
        <f>IF(AND(ISNUMBER(T16),ISNUMBER(T14)),VLOOKUP(ABS(T16-T14),'IMP Table'!$A$2:$C$26,3)*SIGN(T16-T14),0)</f>
        <v/>
      </c>
      <c r="AI16">
        <f>IF(AND(ISNUMBER(T16),ISNUMBER(T15)),VLOOKUP(ABS(T16-T15),'IMP Table'!$A$2:$C$26,3)*SIGN(T16-T15),0)</f>
        <v/>
      </c>
      <c r="AJ16">
        <f>IF(AND(ISNUMBER(T16),ISNUMBER(T17)),VLOOKUP(ABS(T16-T17),'IMP Table'!$A$2:$C$26,3)*SIGN(T16-T17),0)</f>
        <v/>
      </c>
    </row>
    <row r="17">
      <c r="A17" s="15" t="n"/>
      <c r="B17" s="16">
        <f>'By Round'!A3</f>
        <v/>
      </c>
      <c r="C17" s="16">
        <f>'By Round'!B5</f>
        <v/>
      </c>
      <c r="D17" s="16">
        <f>'By Round'!C5</f>
        <v/>
      </c>
      <c r="E17" s="16">
        <f>'By Round'!D5</f>
        <v/>
      </c>
      <c r="F17" s="16">
        <f>IF(ISBLANK('By Round'!F5),"",'By Round'!F5)</f>
        <v/>
      </c>
      <c r="G17" s="15">
        <f>IF(ISBLANK('By Round'!G5),"",'By Round'!G5)</f>
        <v/>
      </c>
      <c r="H17" s="15">
        <f>IF(ISBLANK('By Round'!H5),"",'By Round'!H5)</f>
        <v/>
      </c>
      <c r="I17" s="15">
        <f>IF(ISBLANK('By Round'!I5),"",'By Round'!I5)</f>
        <v/>
      </c>
      <c r="J17" s="15">
        <f>IF(ISBLANK('By Round'!J5),"",'By Round'!J5)</f>
        <v/>
      </c>
      <c r="K17" s="15">
        <f>IF(ISBLANK('By Round'!K5),"",'By Round'!K5)</f>
        <v/>
      </c>
      <c r="L17" s="15">
        <f>IF(ISBLANK('By Round'!L5),"",'By Round'!L5)</f>
        <v/>
      </c>
      <c r="M17" s="17">
        <f>AVERAGE(AC17:AF17)</f>
        <v/>
      </c>
      <c r="N17" s="18">
        <f>AVERAGE(AG17:AJ17)</f>
        <v/>
      </c>
      <c r="O17" s="19">
        <f>IF(COUNT(U17:X17)&gt;0,Q17/COUNT(U17:X17),0.5)</f>
        <v/>
      </c>
      <c r="P17" s="19">
        <f>IF(COUNT(Y17:AB17)&gt;0,R17/COUNT(Y17:AB17),0.5)</f>
        <v/>
      </c>
      <c r="Q17" s="20">
        <f>SUM(U17:X17)</f>
        <v/>
      </c>
      <c r="R17" s="20">
        <f>SUM(Y17:AB17)</f>
        <v/>
      </c>
      <c r="S17" s="21">
        <f>IF(ISNUMBER(K17),K17,IF(ISNUMBER(L17),-L17,""))</f>
        <v/>
      </c>
      <c r="T17" s="15">
        <f>IF(ISNUMBER(L17),L17,IF(ISNUMBER(K17),-K17,""))</f>
        <v/>
      </c>
      <c r="U17" s="21">
        <f>IF(ISNUMBER(S17),IF(ISNUMBER(S13),IF(S17&gt;S13,1.0,IF(S17=S13,0.5,0.0)),""),"")</f>
        <v/>
      </c>
      <c r="V17" s="15">
        <f>IF(ISNUMBER(S17),IF(ISNUMBER(S14),IF(S17&gt;S14,1.0,IF(S17=S14,0.5,0.0)),""),"")</f>
        <v/>
      </c>
      <c r="W17" s="15">
        <f>IF(ISNUMBER(S17),IF(ISNUMBER(S15),IF(S17&gt;S15,1.0,IF(S17=S15,0.5,0.0)),""),"")</f>
        <v/>
      </c>
      <c r="X17" s="15">
        <f>IF(ISNUMBER(S17),IF(ISNUMBER(S16),IF(S17&gt;S16,1.0,IF(S17=S16,0.5,0.0)),""),"")</f>
        <v/>
      </c>
      <c r="Y17" s="15">
        <f>IF(ISNUMBER(T17),IF(ISNUMBER(T13),IF(T17&gt;T13,1.0,IF(T17=T13,0.5,0.0)),""),"")</f>
        <v/>
      </c>
      <c r="Z17" s="15">
        <f>IF(ISNUMBER(T17),IF(ISNUMBER(T14),IF(T17&gt;T14,1.0,IF(T17=T14,0.5,0.0)),""),"")</f>
        <v/>
      </c>
      <c r="AA17" s="15">
        <f>IF(ISNUMBER(T17),IF(ISNUMBER(T15),IF(T17&gt;T15,1.0,IF(T17=T15,0.5,0.0)),""),"")</f>
        <v/>
      </c>
      <c r="AB17" s="15">
        <f>IF(ISNUMBER(T17),IF(ISNUMBER(T16),IF(T17&gt;T16,1.0,IF(T17=T16,0.5,0.0)),""),"")</f>
        <v/>
      </c>
      <c r="AC17" s="21">
        <f>IF(AND(ISNUMBER(S17),ISNUMBER(S13)),VLOOKUP(ABS(S17-S13),'IMP Table'!$A$2:$C$26,3)*SIGN(S17-S13),0)</f>
        <v/>
      </c>
      <c r="AD17" s="15">
        <f>IF(AND(ISNUMBER(S17),ISNUMBER(S14)),VLOOKUP(ABS(S17-S14),'IMP Table'!$A$2:$C$26,3)*SIGN(S17-S14),0)</f>
        <v/>
      </c>
      <c r="AE17" s="15">
        <f>IF(AND(ISNUMBER(S17),ISNUMBER(S15)),VLOOKUP(ABS(S17-S15),'IMP Table'!$A$2:$C$26,3)*SIGN(S17-S15),0)</f>
        <v/>
      </c>
      <c r="AF17" s="15">
        <f>IF(AND(ISNUMBER(S17),ISNUMBER(S16)),VLOOKUP(ABS(S17-S16),'IMP Table'!$A$2:$C$26,3)*SIGN(S17-S16),0)</f>
        <v/>
      </c>
      <c r="AG17" s="15">
        <f>IF(AND(ISNUMBER(T17),ISNUMBER(T13)),VLOOKUP(ABS(T17-T13),'IMP Table'!$A$2:$C$26,3)*SIGN(T17-T13),0)</f>
        <v/>
      </c>
      <c r="AH17" s="15">
        <f>IF(AND(ISNUMBER(T17),ISNUMBER(T14)),VLOOKUP(ABS(T17-T14),'IMP Table'!$A$2:$C$26,3)*SIGN(T17-T14),0)</f>
        <v/>
      </c>
      <c r="AI17" s="15">
        <f>IF(AND(ISNUMBER(T17),ISNUMBER(T15)),VLOOKUP(ABS(T17-T15),'IMP Table'!$A$2:$C$26,3)*SIGN(T17-T15),0)</f>
        <v/>
      </c>
      <c r="AJ17" s="15">
        <f>IF(AND(ISNUMBER(T17),ISNUMBER(T16)),VLOOKUP(ABS(T17-T16),'IMP Table'!$A$2:$C$26,3)*SIGN(T17-T16),0)</f>
        <v/>
      </c>
    </row>
    <row r="18">
      <c r="A18" s="10" t="n">
        <v>4</v>
      </c>
      <c r="B18" s="10">
        <f>'By Round'!A13</f>
        <v/>
      </c>
      <c r="C18" s="10">
        <f>'By Round'!B13</f>
        <v/>
      </c>
      <c r="D18" s="10">
        <f>'By Round'!C13</f>
        <v/>
      </c>
      <c r="E18" s="10">
        <f>'By Round'!D13</f>
        <v/>
      </c>
      <c r="F18" s="10">
        <f>IF(ISBLANK('By Round'!F14),"",'By Round'!F14)</f>
        <v/>
      </c>
      <c r="G18">
        <f>IF(ISBLANK('By Round'!G14),"",'By Round'!G14)</f>
        <v/>
      </c>
      <c r="H18">
        <f>IF(ISBLANK('By Round'!H14),"",'By Round'!H14)</f>
        <v/>
      </c>
      <c r="I18">
        <f>IF(ISBLANK('By Round'!I14),"",'By Round'!I14)</f>
        <v/>
      </c>
      <c r="J18">
        <f>IF(ISBLANK('By Round'!J14),"",'By Round'!J14)</f>
        <v/>
      </c>
      <c r="K18">
        <f>IF(ISBLANK('By Round'!K14),"",'By Round'!K14)</f>
        <v/>
      </c>
      <c r="L18">
        <f>IF(ISBLANK('By Round'!L14),"",'By Round'!L14)</f>
        <v/>
      </c>
      <c r="M18" s="11">
        <f>AVERAGE(AC18:AF18)</f>
        <v/>
      </c>
      <c r="N18" s="12">
        <f>AVERAGE(AG18:AJ18)</f>
        <v/>
      </c>
      <c r="O18" s="13">
        <f>IF(COUNT(U18:X18)&gt;0,Q18/COUNT(U18:X18),0.5)</f>
        <v/>
      </c>
      <c r="P18" s="13">
        <f>IF(COUNT(Y18:AB18)&gt;0,R18/COUNT(Y18:AB18),0.5)</f>
        <v/>
      </c>
      <c r="Q18" s="5">
        <f>SUM(U18:X18)</f>
        <v/>
      </c>
      <c r="R18" s="5">
        <f>SUM(Y18:AB18)</f>
        <v/>
      </c>
      <c r="S18" s="14">
        <f>IF(ISNUMBER(K18),K18,IF(ISNUMBER(L18),-L18,""))</f>
        <v/>
      </c>
      <c r="T18">
        <f>IF(ISNUMBER(L18),L18,IF(ISNUMBER(K18),-K18,""))</f>
        <v/>
      </c>
      <c r="U18" s="14">
        <f>IF(ISNUMBER(S18),IF(ISNUMBER(S19),IF(S18&gt;S19,1.0,IF(S18=S19,0.5,0.0)),""),"")</f>
        <v/>
      </c>
      <c r="V18">
        <f>IF(ISNUMBER(S18),IF(ISNUMBER(S20),IF(S18&gt;S20,1.0,IF(S18=S20,0.5,0.0)),""),"")</f>
        <v/>
      </c>
      <c r="W18">
        <f>IF(ISNUMBER(S18),IF(ISNUMBER(S21),IF(S18&gt;S21,1.0,IF(S18=S21,0.5,0.0)),""),"")</f>
        <v/>
      </c>
      <c r="X18">
        <f>IF(ISNUMBER(S18),IF(ISNUMBER(S22),IF(S18&gt;S22,1.0,IF(S18=S22,0.5,0.0)),""),"")</f>
        <v/>
      </c>
      <c r="Y18">
        <f>IF(ISNUMBER(T18),IF(ISNUMBER(T19),IF(T18&gt;T19,1.0,IF(T18=T19,0.5,0.0)),""),"")</f>
        <v/>
      </c>
      <c r="Z18">
        <f>IF(ISNUMBER(T18),IF(ISNUMBER(T20),IF(T18&gt;T20,1.0,IF(T18=T20,0.5,0.0)),""),"")</f>
        <v/>
      </c>
      <c r="AA18">
        <f>IF(ISNUMBER(T18),IF(ISNUMBER(T21),IF(T18&gt;T21,1.0,IF(T18=T21,0.5,0.0)),""),"")</f>
        <v/>
      </c>
      <c r="AB18">
        <f>IF(ISNUMBER(T18),IF(ISNUMBER(T22),IF(T18&gt;T22,1.0,IF(T18=T22,0.5,0.0)),""),"")</f>
        <v/>
      </c>
      <c r="AC18" s="14">
        <f>IF(AND(ISNUMBER(S18),ISNUMBER(S19)),VLOOKUP(ABS(S18-S19),'IMP Table'!$A$2:$C$26,3)*SIGN(S18-S19),0)</f>
        <v/>
      </c>
      <c r="AD18">
        <f>IF(AND(ISNUMBER(S18),ISNUMBER(S20)),VLOOKUP(ABS(S18-S20),'IMP Table'!$A$2:$C$26,3)*SIGN(S18-S20),0)</f>
        <v/>
      </c>
      <c r="AE18">
        <f>IF(AND(ISNUMBER(S18),ISNUMBER(S21)),VLOOKUP(ABS(S18-S21),'IMP Table'!$A$2:$C$26,3)*SIGN(S18-S21),0)</f>
        <v/>
      </c>
      <c r="AF18">
        <f>IF(AND(ISNUMBER(S18),ISNUMBER(S22)),VLOOKUP(ABS(S18-S22),'IMP Table'!$A$2:$C$26,3)*SIGN(S18-S22),0)</f>
        <v/>
      </c>
      <c r="AG18">
        <f>IF(AND(ISNUMBER(T18),ISNUMBER(T19)),VLOOKUP(ABS(T18-T19),'IMP Table'!$A$2:$C$26,3)*SIGN(T18-T19),0)</f>
        <v/>
      </c>
      <c r="AH18">
        <f>IF(AND(ISNUMBER(T18),ISNUMBER(T20)),VLOOKUP(ABS(T18-T20),'IMP Table'!$A$2:$C$26,3)*SIGN(T18-T20),0)</f>
        <v/>
      </c>
      <c r="AI18">
        <f>IF(AND(ISNUMBER(T18),ISNUMBER(T21)),VLOOKUP(ABS(T18-T21),'IMP Table'!$A$2:$C$26,3)*SIGN(T18-T21),0)</f>
        <v/>
      </c>
      <c r="AJ18">
        <f>IF(AND(ISNUMBER(T18),ISNUMBER(T22)),VLOOKUP(ABS(T18-T22),'IMP Table'!$A$2:$C$26,3)*SIGN(T18-T22),0)</f>
        <v/>
      </c>
    </row>
    <row r="19">
      <c r="B19" s="10">
        <f>'By Round'!A83</f>
        <v/>
      </c>
      <c r="C19" s="10">
        <f>'By Round'!B87</f>
        <v/>
      </c>
      <c r="D19" s="10">
        <f>'By Round'!C87</f>
        <v/>
      </c>
      <c r="E19" s="10">
        <f>'By Round'!D87</f>
        <v/>
      </c>
      <c r="F19" s="10">
        <f>IF(ISBLANK('By Round'!F88),"",'By Round'!F88)</f>
        <v/>
      </c>
      <c r="G19">
        <f>IF(ISBLANK('By Round'!G88),"",'By Round'!G88)</f>
        <v/>
      </c>
      <c r="H19">
        <f>IF(ISBLANK('By Round'!H88),"",'By Round'!H88)</f>
        <v/>
      </c>
      <c r="I19">
        <f>IF(ISBLANK('By Round'!I88),"",'By Round'!I88)</f>
        <v/>
      </c>
      <c r="J19">
        <f>IF(ISBLANK('By Round'!J88),"",'By Round'!J88)</f>
        <v/>
      </c>
      <c r="K19">
        <f>IF(ISBLANK('By Round'!K88),"",'By Round'!K88)</f>
        <v/>
      </c>
      <c r="L19">
        <f>IF(ISBLANK('By Round'!L88),"",'By Round'!L88)</f>
        <v/>
      </c>
      <c r="M19" s="11">
        <f>AVERAGE(AC19:AF19)</f>
        <v/>
      </c>
      <c r="N19" s="12">
        <f>AVERAGE(AG19:AJ19)</f>
        <v/>
      </c>
      <c r="O19" s="13">
        <f>IF(COUNT(U19:X19)&gt;0,Q19/COUNT(U19:X19),0.5)</f>
        <v/>
      </c>
      <c r="P19" s="13">
        <f>IF(COUNT(Y19:AB19)&gt;0,R19/COUNT(Y19:AB19),0.5)</f>
        <v/>
      </c>
      <c r="Q19" s="5">
        <f>SUM(U19:X19)</f>
        <v/>
      </c>
      <c r="R19" s="5">
        <f>SUM(Y19:AB19)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IF(ISNUMBER(S19),IF(ISNUMBER(S18),IF(S19&gt;S18,1.0,IF(S19=S18,0.5,0.0)),""),"")</f>
        <v/>
      </c>
      <c r="V19">
        <f>IF(ISNUMBER(S19),IF(ISNUMBER(S20),IF(S19&gt;S20,1.0,IF(S19=S20,0.5,0.0)),""),"")</f>
        <v/>
      </c>
      <c r="W19">
        <f>IF(ISNUMBER(S19),IF(ISNUMBER(S21),IF(S19&gt;S21,1.0,IF(S19=S21,0.5,0.0)),""),"")</f>
        <v/>
      </c>
      <c r="X19">
        <f>IF(ISNUMBER(S19),IF(ISNUMBER(S22),IF(S19&gt;S22,1.0,IF(S19=S22,0.5,0.0)),""),"")</f>
        <v/>
      </c>
      <c r="Y19">
        <f>IF(ISNUMBER(T19),IF(ISNUMBER(T18),IF(T19&gt;T18,1.0,IF(T19=T18,0.5,0.0)),""),"")</f>
        <v/>
      </c>
      <c r="Z19">
        <f>IF(ISNUMBER(T19),IF(ISNUMBER(T20),IF(T19&gt;T20,1.0,IF(T19=T20,0.5,0.0)),""),"")</f>
        <v/>
      </c>
      <c r="AA19">
        <f>IF(ISNUMBER(T19),IF(ISNUMBER(T21),IF(T19&gt;T21,1.0,IF(T19=T21,0.5,0.0)),""),"")</f>
        <v/>
      </c>
      <c r="AB19">
        <f>IF(ISNUMBER(T19),IF(ISNUMBER(T22),IF(T19&gt;T22,1.0,IF(T19=T22,0.5,0.0)),""),"")</f>
        <v/>
      </c>
      <c r="AC19" s="14">
        <f>IF(AND(ISNUMBER(S19),ISNUMBER(S18)),VLOOKUP(ABS(S19-S18),'IMP Table'!$A$2:$C$26,3)*SIGN(S19-S18),0)</f>
        <v/>
      </c>
      <c r="AD19">
        <f>IF(AND(ISNUMBER(S19),ISNUMBER(S20)),VLOOKUP(ABS(S19-S20),'IMP Table'!$A$2:$C$26,3)*SIGN(S19-S20),0)</f>
        <v/>
      </c>
      <c r="AE19">
        <f>IF(AND(ISNUMBER(S19),ISNUMBER(S21)),VLOOKUP(ABS(S19-S21),'IMP Table'!$A$2:$C$26,3)*SIGN(S19-S21),0)</f>
        <v/>
      </c>
      <c r="AF19">
        <f>IF(AND(ISNUMBER(S19),ISNUMBER(S22)),VLOOKUP(ABS(S19-S22),'IMP Table'!$A$2:$C$26,3)*SIGN(S19-S22),0)</f>
        <v/>
      </c>
      <c r="AG19">
        <f>IF(AND(ISNUMBER(T19),ISNUMBER(T18)),VLOOKUP(ABS(T19-T18),'IMP Table'!$A$2:$C$26,3)*SIGN(T19-T18),0)</f>
        <v/>
      </c>
      <c r="AH19">
        <f>IF(AND(ISNUMBER(T19),ISNUMBER(T20)),VLOOKUP(ABS(T19-T20),'IMP Table'!$A$2:$C$26,3)*SIGN(T19-T20),0)</f>
        <v/>
      </c>
      <c r="AI19">
        <f>IF(AND(ISNUMBER(T19),ISNUMBER(T21)),VLOOKUP(ABS(T19-T21),'IMP Table'!$A$2:$C$26,3)*SIGN(T19-T21),0)</f>
        <v/>
      </c>
      <c r="AJ19">
        <f>IF(AND(ISNUMBER(T19),ISNUMBER(T22)),VLOOKUP(ABS(T19-T22),'IMP Table'!$A$2:$C$26,3)*SIGN(T19-T22),0)</f>
        <v/>
      </c>
    </row>
    <row r="20">
      <c r="B20" s="10">
        <f>'By Round'!A33</f>
        <v/>
      </c>
      <c r="C20" s="10">
        <f>'By Round'!B39</f>
        <v/>
      </c>
      <c r="D20" s="10">
        <f>'By Round'!C39</f>
        <v/>
      </c>
      <c r="E20" s="10">
        <f>'By Round'!D39</f>
        <v/>
      </c>
      <c r="F20" s="10">
        <f>IF(ISBLANK('By Round'!F40),"",'By Round'!F40)</f>
        <v/>
      </c>
      <c r="G20">
        <f>IF(ISBLANK('By Round'!G40),"",'By Round'!G40)</f>
        <v/>
      </c>
      <c r="H20">
        <f>IF(ISBLANK('By Round'!H40),"",'By Round'!H40)</f>
        <v/>
      </c>
      <c r="I20">
        <f>IF(ISBLANK('By Round'!I40),"",'By Round'!I40)</f>
        <v/>
      </c>
      <c r="J20">
        <f>IF(ISBLANK('By Round'!J40),"",'By Round'!J40)</f>
        <v/>
      </c>
      <c r="K20">
        <f>IF(ISBLANK('By Round'!K40),"",'By Round'!K40)</f>
        <v/>
      </c>
      <c r="L20">
        <f>IF(ISBLANK('By Round'!L40),"",'By Round'!L40)</f>
        <v/>
      </c>
      <c r="M20" s="11">
        <f>AVERAGE(AC20:AF20)</f>
        <v/>
      </c>
      <c r="N20" s="12">
        <f>AVERAGE(AG20:AJ20)</f>
        <v/>
      </c>
      <c r="O20" s="13">
        <f>IF(COUNT(U20:X20)&gt;0,Q20/COUNT(U20:X20),0.5)</f>
        <v/>
      </c>
      <c r="P20" s="13">
        <f>IF(COUNT(Y20:AB20)&gt;0,R20/COUNT(Y20:AB20),0.5)</f>
        <v/>
      </c>
      <c r="Q20" s="5">
        <f>SUM(U20:X20)</f>
        <v/>
      </c>
      <c r="R20" s="5">
        <f>SUM(Y20:AB20)</f>
        <v/>
      </c>
      <c r="S20" s="14">
        <f>IF(ISNUMBER(K20),K20,IF(ISNUMBER(L20),-L20,""))</f>
        <v/>
      </c>
      <c r="T20">
        <f>IF(ISNUMBER(L20),L20,IF(ISNUMBER(K20),-K20,""))</f>
        <v/>
      </c>
      <c r="U20" s="14">
        <f>IF(ISNUMBER(S20),IF(ISNUMBER(S18),IF(S20&gt;S18,1.0,IF(S20=S18,0.5,0.0)),""),"")</f>
        <v/>
      </c>
      <c r="V20">
        <f>IF(ISNUMBER(S20),IF(ISNUMBER(S19),IF(S20&gt;S19,1.0,IF(S20=S19,0.5,0.0)),""),"")</f>
        <v/>
      </c>
      <c r="W20">
        <f>IF(ISNUMBER(S20),IF(ISNUMBER(S21),IF(S20&gt;S21,1.0,IF(S20=S21,0.5,0.0)),""),"")</f>
        <v/>
      </c>
      <c r="X20">
        <f>IF(ISNUMBER(S20),IF(ISNUMBER(S22),IF(S20&gt;S22,1.0,IF(S20=S22,0.5,0.0)),""),"")</f>
        <v/>
      </c>
      <c r="Y20">
        <f>IF(ISNUMBER(T20),IF(ISNUMBER(T18),IF(T20&gt;T18,1.0,IF(T20=T18,0.5,0.0)),""),"")</f>
        <v/>
      </c>
      <c r="Z20">
        <f>IF(ISNUMBER(T20),IF(ISNUMBER(T19),IF(T20&gt;T19,1.0,IF(T20=T19,0.5,0.0)),""),"")</f>
        <v/>
      </c>
      <c r="AA20">
        <f>IF(ISNUMBER(T20),IF(ISNUMBER(T21),IF(T20&gt;T21,1.0,IF(T20=T21,0.5,0.0)),""),"")</f>
        <v/>
      </c>
      <c r="AB20">
        <f>IF(ISNUMBER(T20),IF(ISNUMBER(T22),IF(T20&gt;T22,1.0,IF(T20=T22,0.5,0.0)),""),"")</f>
        <v/>
      </c>
      <c r="AC20" s="14">
        <f>IF(AND(ISNUMBER(S20),ISNUMBER(S18)),VLOOKUP(ABS(S20-S18),'IMP Table'!$A$2:$C$26,3)*SIGN(S20-S18),0)</f>
        <v/>
      </c>
      <c r="AD20">
        <f>IF(AND(ISNUMBER(S20),ISNUMBER(S19)),VLOOKUP(ABS(S20-S19),'IMP Table'!$A$2:$C$26,3)*SIGN(S20-S19),0)</f>
        <v/>
      </c>
      <c r="AE20">
        <f>IF(AND(ISNUMBER(S20),ISNUMBER(S21)),VLOOKUP(ABS(S20-S21),'IMP Table'!$A$2:$C$26,3)*SIGN(S20-S21),0)</f>
        <v/>
      </c>
      <c r="AF20">
        <f>IF(AND(ISNUMBER(S20),ISNUMBER(S22)),VLOOKUP(ABS(S20-S22),'IMP Table'!$A$2:$C$26,3)*SIGN(S20-S22),0)</f>
        <v/>
      </c>
      <c r="AG20">
        <f>IF(AND(ISNUMBER(T20),ISNUMBER(T18)),VLOOKUP(ABS(T20-T18),'IMP Table'!$A$2:$C$26,3)*SIGN(T20-T18),0)</f>
        <v/>
      </c>
      <c r="AH20">
        <f>IF(AND(ISNUMBER(T20),ISNUMBER(T19)),VLOOKUP(ABS(T20-T19),'IMP Table'!$A$2:$C$26,3)*SIGN(T20-T19),0)</f>
        <v/>
      </c>
      <c r="AI20">
        <f>IF(AND(ISNUMBER(T20),ISNUMBER(T21)),VLOOKUP(ABS(T20-T21),'IMP Table'!$A$2:$C$26,3)*SIGN(T20-T21),0)</f>
        <v/>
      </c>
      <c r="AJ20">
        <f>IF(AND(ISNUMBER(T20),ISNUMBER(T22)),VLOOKUP(ABS(T20-T22),'IMP Table'!$A$2:$C$26,3)*SIGN(T20-T22),0)</f>
        <v/>
      </c>
    </row>
    <row r="21">
      <c r="B21" s="10">
        <f>'By Round'!A23</f>
        <v/>
      </c>
      <c r="C21" s="10">
        <f>'By Round'!B31</f>
        <v/>
      </c>
      <c r="D21" s="10">
        <f>'By Round'!C31</f>
        <v/>
      </c>
      <c r="E21" s="10">
        <f>'By Round'!D31</f>
        <v/>
      </c>
      <c r="F21" s="10">
        <f>IF(ISBLANK('By Round'!F32),"",'By Round'!F32)</f>
        <v/>
      </c>
      <c r="G21">
        <f>IF(ISBLANK('By Round'!G32),"",'By Round'!G32)</f>
        <v/>
      </c>
      <c r="H21">
        <f>IF(ISBLANK('By Round'!H32),"",'By Round'!H32)</f>
        <v/>
      </c>
      <c r="I21">
        <f>IF(ISBLANK('By Round'!I32),"",'By Round'!I32)</f>
        <v/>
      </c>
      <c r="J21">
        <f>IF(ISBLANK('By Round'!J32),"",'By Round'!J32)</f>
        <v/>
      </c>
      <c r="K21">
        <f>IF(ISBLANK('By Round'!K32),"",'By Round'!K32)</f>
        <v/>
      </c>
      <c r="L21">
        <f>IF(ISBLANK('By Round'!L32),"",'By Round'!L32)</f>
        <v/>
      </c>
      <c r="M21" s="11">
        <f>AVERAGE(AC21:AF21)</f>
        <v/>
      </c>
      <c r="N21" s="12">
        <f>AVERAGE(AG21:AJ21)</f>
        <v/>
      </c>
      <c r="O21" s="13">
        <f>IF(COUNT(U21:X21)&gt;0,Q21/COUNT(U21:X21),0.5)</f>
        <v/>
      </c>
      <c r="P21" s="13">
        <f>IF(COUNT(Y21:AB21)&gt;0,R21/COUNT(Y21:AB21),0.5)</f>
        <v/>
      </c>
      <c r="Q21" s="5">
        <f>SUM(U21:X21)</f>
        <v/>
      </c>
      <c r="R21" s="5">
        <f>SUM(Y21:AB21)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IF(ISNUMBER(S21),IF(ISNUMBER(S18),IF(S21&gt;S18,1.0,IF(S21=S18,0.5,0.0)),""),"")</f>
        <v/>
      </c>
      <c r="V21">
        <f>IF(ISNUMBER(S21),IF(ISNUMBER(S19),IF(S21&gt;S19,1.0,IF(S21=S19,0.5,0.0)),""),"")</f>
        <v/>
      </c>
      <c r="W21">
        <f>IF(ISNUMBER(S21),IF(ISNUMBER(S20),IF(S21&gt;S20,1.0,IF(S21=S20,0.5,0.0)),""),"")</f>
        <v/>
      </c>
      <c r="X21">
        <f>IF(ISNUMBER(S21),IF(ISNUMBER(S22),IF(S21&gt;S22,1.0,IF(S21=S22,0.5,0.0)),""),"")</f>
        <v/>
      </c>
      <c r="Y21">
        <f>IF(ISNUMBER(T21),IF(ISNUMBER(T18),IF(T21&gt;T18,1.0,IF(T21=T18,0.5,0.0)),""),"")</f>
        <v/>
      </c>
      <c r="Z21">
        <f>IF(ISNUMBER(T21),IF(ISNUMBER(T19),IF(T21&gt;T19,1.0,IF(T21=T19,0.5,0.0)),""),"")</f>
        <v/>
      </c>
      <c r="AA21">
        <f>IF(ISNUMBER(T21),IF(ISNUMBER(T20),IF(T21&gt;T20,1.0,IF(T21=T20,0.5,0.0)),""),"")</f>
        <v/>
      </c>
      <c r="AB21">
        <f>IF(ISNUMBER(T21),IF(ISNUMBER(T22),IF(T21&gt;T22,1.0,IF(T21=T22,0.5,0.0)),""),"")</f>
        <v/>
      </c>
      <c r="AC21" s="14">
        <f>IF(AND(ISNUMBER(S21),ISNUMBER(S18)),VLOOKUP(ABS(S21-S18),'IMP Table'!$A$2:$C$26,3)*SIGN(S21-S18),0)</f>
        <v/>
      </c>
      <c r="AD21">
        <f>IF(AND(ISNUMBER(S21),ISNUMBER(S19)),VLOOKUP(ABS(S21-S19),'IMP Table'!$A$2:$C$26,3)*SIGN(S21-S19),0)</f>
        <v/>
      </c>
      <c r="AE21">
        <f>IF(AND(ISNUMBER(S21),ISNUMBER(S20)),VLOOKUP(ABS(S21-S20),'IMP Table'!$A$2:$C$26,3)*SIGN(S21-S20),0)</f>
        <v/>
      </c>
      <c r="AF21">
        <f>IF(AND(ISNUMBER(S21),ISNUMBER(S22)),VLOOKUP(ABS(S21-S22),'IMP Table'!$A$2:$C$26,3)*SIGN(S21-S22),0)</f>
        <v/>
      </c>
      <c r="AG21">
        <f>IF(AND(ISNUMBER(T21),ISNUMBER(T18)),VLOOKUP(ABS(T21-T18),'IMP Table'!$A$2:$C$26,3)*SIGN(T21-T18),0)</f>
        <v/>
      </c>
      <c r="AH21">
        <f>IF(AND(ISNUMBER(T21),ISNUMBER(T19)),VLOOKUP(ABS(T21-T19),'IMP Table'!$A$2:$C$26,3)*SIGN(T21-T19),0)</f>
        <v/>
      </c>
      <c r="AI21">
        <f>IF(AND(ISNUMBER(T21),ISNUMBER(T20)),VLOOKUP(ABS(T21-T20),'IMP Table'!$A$2:$C$26,3)*SIGN(T21-T20),0)</f>
        <v/>
      </c>
      <c r="AJ21">
        <f>IF(AND(ISNUMBER(T21),ISNUMBER(T22)),VLOOKUP(ABS(T21-T22),'IMP Table'!$A$2:$C$26,3)*SIGN(T21-T22),0)</f>
        <v/>
      </c>
    </row>
    <row r="22">
      <c r="A22" s="15" t="n"/>
      <c r="B22" s="16">
        <f>'By Round'!A3</f>
        <v/>
      </c>
      <c r="C22" s="16">
        <f>'By Round'!B5</f>
        <v/>
      </c>
      <c r="D22" s="16">
        <f>'By Round'!C5</f>
        <v/>
      </c>
      <c r="E22" s="16">
        <f>'By Round'!D5</f>
        <v/>
      </c>
      <c r="F22" s="16">
        <f>IF(ISBLANK('By Round'!F6),"",'By Round'!F6)</f>
        <v/>
      </c>
      <c r="G22" s="15">
        <f>IF(ISBLANK('By Round'!G6),"",'By Round'!G6)</f>
        <v/>
      </c>
      <c r="H22" s="15">
        <f>IF(ISBLANK('By Round'!H6),"",'By Round'!H6)</f>
        <v/>
      </c>
      <c r="I22" s="15">
        <f>IF(ISBLANK('By Round'!I6),"",'By Round'!I6)</f>
        <v/>
      </c>
      <c r="J22" s="15">
        <f>IF(ISBLANK('By Round'!J6),"",'By Round'!J6)</f>
        <v/>
      </c>
      <c r="K22" s="15">
        <f>IF(ISBLANK('By Round'!K6),"",'By Round'!K6)</f>
        <v/>
      </c>
      <c r="L22" s="15">
        <f>IF(ISBLANK('By Round'!L6),"",'By Round'!L6)</f>
        <v/>
      </c>
      <c r="M22" s="17">
        <f>AVERAGE(AC22:AF22)</f>
        <v/>
      </c>
      <c r="N22" s="18">
        <f>AVERAGE(AG22:AJ22)</f>
        <v/>
      </c>
      <c r="O22" s="19">
        <f>IF(COUNT(U22:X22)&gt;0,Q22/COUNT(U22:X22),0.5)</f>
        <v/>
      </c>
      <c r="P22" s="19">
        <f>IF(COUNT(Y22:AB22)&gt;0,R22/COUNT(Y22:AB22),0.5)</f>
        <v/>
      </c>
      <c r="Q22" s="20">
        <f>SUM(U22:X22)</f>
        <v/>
      </c>
      <c r="R22" s="20">
        <f>SUM(Y22:AB22)</f>
        <v/>
      </c>
      <c r="S22" s="21">
        <f>IF(ISNUMBER(K22),K22,IF(ISNUMBER(L22),-L22,""))</f>
        <v/>
      </c>
      <c r="T22" s="15">
        <f>IF(ISNUMBER(L22),L22,IF(ISNUMBER(K22),-K22,""))</f>
        <v/>
      </c>
      <c r="U22" s="21">
        <f>IF(ISNUMBER(S22),IF(ISNUMBER(S18),IF(S22&gt;S18,1.0,IF(S22=S18,0.5,0.0)),""),"")</f>
        <v/>
      </c>
      <c r="V22" s="15">
        <f>IF(ISNUMBER(S22),IF(ISNUMBER(S19),IF(S22&gt;S19,1.0,IF(S22=S19,0.5,0.0)),""),"")</f>
        <v/>
      </c>
      <c r="W22" s="15">
        <f>IF(ISNUMBER(S22),IF(ISNUMBER(S20),IF(S22&gt;S20,1.0,IF(S22=S20,0.5,0.0)),""),"")</f>
        <v/>
      </c>
      <c r="X22" s="15">
        <f>IF(ISNUMBER(S22),IF(ISNUMBER(S21),IF(S22&gt;S21,1.0,IF(S22=S21,0.5,0.0)),""),"")</f>
        <v/>
      </c>
      <c r="Y22" s="15">
        <f>IF(ISNUMBER(T22),IF(ISNUMBER(T18),IF(T22&gt;T18,1.0,IF(T22=T18,0.5,0.0)),""),"")</f>
        <v/>
      </c>
      <c r="Z22" s="15">
        <f>IF(ISNUMBER(T22),IF(ISNUMBER(T19),IF(T22&gt;T19,1.0,IF(T22=T19,0.5,0.0)),""),"")</f>
        <v/>
      </c>
      <c r="AA22" s="15">
        <f>IF(ISNUMBER(T22),IF(ISNUMBER(T20),IF(T22&gt;T20,1.0,IF(T22=T20,0.5,0.0)),""),"")</f>
        <v/>
      </c>
      <c r="AB22" s="15">
        <f>IF(ISNUMBER(T22),IF(ISNUMBER(T21),IF(T22&gt;T21,1.0,IF(T22=T21,0.5,0.0)),""),"")</f>
        <v/>
      </c>
      <c r="AC22" s="21">
        <f>IF(AND(ISNUMBER(S22),ISNUMBER(S18)),VLOOKUP(ABS(S22-S18),'IMP Table'!$A$2:$C$26,3)*SIGN(S22-S18),0)</f>
        <v/>
      </c>
      <c r="AD22" s="15">
        <f>IF(AND(ISNUMBER(S22),ISNUMBER(S19)),VLOOKUP(ABS(S22-S19),'IMP Table'!$A$2:$C$26,3)*SIGN(S22-S19),0)</f>
        <v/>
      </c>
      <c r="AE22" s="15">
        <f>IF(AND(ISNUMBER(S22),ISNUMBER(S20)),VLOOKUP(ABS(S22-S20),'IMP Table'!$A$2:$C$26,3)*SIGN(S22-S20),0)</f>
        <v/>
      </c>
      <c r="AF22" s="15">
        <f>IF(AND(ISNUMBER(S22),ISNUMBER(S21)),VLOOKUP(ABS(S22-S21),'IMP Table'!$A$2:$C$26,3)*SIGN(S22-S21),0)</f>
        <v/>
      </c>
      <c r="AG22" s="15">
        <f>IF(AND(ISNUMBER(T22),ISNUMBER(T18)),VLOOKUP(ABS(T22-T18),'IMP Table'!$A$2:$C$26,3)*SIGN(T22-T18),0)</f>
        <v/>
      </c>
      <c r="AH22" s="15">
        <f>IF(AND(ISNUMBER(T22),ISNUMBER(T19)),VLOOKUP(ABS(T22-T19),'IMP Table'!$A$2:$C$26,3)*SIGN(T22-T19),0)</f>
        <v/>
      </c>
      <c r="AI22" s="15">
        <f>IF(AND(ISNUMBER(T22),ISNUMBER(T20)),VLOOKUP(ABS(T22-T20),'IMP Table'!$A$2:$C$26,3)*SIGN(T22-T20),0)</f>
        <v/>
      </c>
      <c r="AJ22" s="15">
        <f>IF(AND(ISNUMBER(T22),ISNUMBER(T21)),VLOOKUP(ABS(T22-T21),'IMP Table'!$A$2:$C$26,3)*SIGN(T22-T21),0)</f>
        <v/>
      </c>
    </row>
    <row r="23">
      <c r="A23" s="10" t="n">
        <v>5</v>
      </c>
      <c r="B23" s="10">
        <f>'By Round'!A23</f>
        <v/>
      </c>
      <c r="C23" s="10">
        <f>'By Round'!B23</f>
        <v/>
      </c>
      <c r="D23" s="10">
        <f>'By Round'!C23</f>
        <v/>
      </c>
      <c r="E23" s="10">
        <f>'By Round'!D23</f>
        <v/>
      </c>
      <c r="F23" s="10">
        <f>IF(ISBLANK('By Round'!F23),"",'By Round'!F23)</f>
        <v/>
      </c>
      <c r="G23">
        <f>IF(ISBLANK('By Round'!G23),"",'By Round'!G23)</f>
        <v/>
      </c>
      <c r="H23">
        <f>IF(ISBLANK('By Round'!H23),"",'By Round'!H23)</f>
        <v/>
      </c>
      <c r="I23">
        <f>IF(ISBLANK('By Round'!I23),"",'By Round'!I23)</f>
        <v/>
      </c>
      <c r="J23">
        <f>IF(ISBLANK('By Round'!J23),"",'By Round'!J23)</f>
        <v/>
      </c>
      <c r="K23">
        <f>IF(ISBLANK('By Round'!K23),"",'By Round'!K23)</f>
        <v/>
      </c>
      <c r="L23">
        <f>IF(ISBLANK('By Round'!L23),"",'By Round'!L23)</f>
        <v/>
      </c>
      <c r="M23" s="11">
        <f>AVERAGE(AC23:AF23)</f>
        <v/>
      </c>
      <c r="N23" s="12">
        <f>AVERAGE(AG23:AJ23)</f>
        <v/>
      </c>
      <c r="O23" s="13">
        <f>IF(COUNT(U23:X23)&gt;0,Q23/COUNT(U23:X23),0.5)</f>
        <v/>
      </c>
      <c r="P23" s="13">
        <f>IF(COUNT(Y23:AB23)&gt;0,R23/COUNT(Y23:AB23),0.5)</f>
        <v/>
      </c>
      <c r="Q23" s="5">
        <f>SUM(U23:X23)</f>
        <v/>
      </c>
      <c r="R23" s="5">
        <f>SUM(Y23:AB23)</f>
        <v/>
      </c>
      <c r="S23" s="14">
        <f>IF(ISNUMBER(K23),K23,IF(ISNUMBER(L23),-L23,""))</f>
        <v/>
      </c>
      <c r="T23">
        <f>IF(ISNUMBER(L23),L23,IF(ISNUMBER(K23),-K23,""))</f>
        <v/>
      </c>
      <c r="U23" s="14">
        <f>IF(ISNUMBER(S23),IF(ISNUMBER(S24),IF(S23&gt;S24,1.0,IF(S23=S24,0.5,0.0)),""),"")</f>
        <v/>
      </c>
      <c r="V23">
        <f>IF(ISNUMBER(S23),IF(ISNUMBER(S25),IF(S23&gt;S25,1.0,IF(S23=S25,0.5,0.0)),""),"")</f>
        <v/>
      </c>
      <c r="W23">
        <f>IF(ISNUMBER(S23),IF(ISNUMBER(S26),IF(S23&gt;S26,1.0,IF(S23=S26,0.5,0.0)),""),"")</f>
        <v/>
      </c>
      <c r="X23">
        <f>IF(ISNUMBER(S23),IF(ISNUMBER(S27),IF(S23&gt;S27,1.0,IF(S23=S27,0.5,0.0)),""),"")</f>
        <v/>
      </c>
      <c r="Y23">
        <f>IF(ISNUMBER(T23),IF(ISNUMBER(T24),IF(T23&gt;T24,1.0,IF(T23=T24,0.5,0.0)),""),"")</f>
        <v/>
      </c>
      <c r="Z23">
        <f>IF(ISNUMBER(T23),IF(ISNUMBER(T25),IF(T23&gt;T25,1.0,IF(T23=T25,0.5,0.0)),""),"")</f>
        <v/>
      </c>
      <c r="AA23">
        <f>IF(ISNUMBER(T23),IF(ISNUMBER(T26),IF(T23&gt;T26,1.0,IF(T23=T26,0.5,0.0)),""),"")</f>
        <v/>
      </c>
      <c r="AB23">
        <f>IF(ISNUMBER(T23),IF(ISNUMBER(T27),IF(T23&gt;T27,1.0,IF(T23=T27,0.5,0.0)),""),"")</f>
        <v/>
      </c>
      <c r="AC23" s="14">
        <f>IF(AND(ISNUMBER(S23),ISNUMBER(S24)),VLOOKUP(ABS(S23-S24),'IMP Table'!$A$2:$C$26,3)*SIGN(S23-S24),0)</f>
        <v/>
      </c>
      <c r="AD23">
        <f>IF(AND(ISNUMBER(S23),ISNUMBER(S25)),VLOOKUP(ABS(S23-S25),'IMP Table'!$A$2:$C$26,3)*SIGN(S23-S25),0)</f>
        <v/>
      </c>
      <c r="AE23">
        <f>IF(AND(ISNUMBER(S23),ISNUMBER(S26)),VLOOKUP(ABS(S23-S26),'IMP Table'!$A$2:$C$26,3)*SIGN(S23-S26),0)</f>
        <v/>
      </c>
      <c r="AF23">
        <f>IF(AND(ISNUMBER(S23),ISNUMBER(S27)),VLOOKUP(ABS(S23-S27),'IMP Table'!$A$2:$C$26,3)*SIGN(S23-S27),0)</f>
        <v/>
      </c>
      <c r="AG23">
        <f>IF(AND(ISNUMBER(T23),ISNUMBER(T24)),VLOOKUP(ABS(T23-T24),'IMP Table'!$A$2:$C$26,3)*SIGN(T23-T24),0)</f>
        <v/>
      </c>
      <c r="AH23">
        <f>IF(AND(ISNUMBER(T23),ISNUMBER(T25)),VLOOKUP(ABS(T23-T25),'IMP Table'!$A$2:$C$26,3)*SIGN(T23-T25),0)</f>
        <v/>
      </c>
      <c r="AI23">
        <f>IF(AND(ISNUMBER(T23),ISNUMBER(T26)),VLOOKUP(ABS(T23-T26),'IMP Table'!$A$2:$C$26,3)*SIGN(T23-T26),0)</f>
        <v/>
      </c>
      <c r="AJ23">
        <f>IF(AND(ISNUMBER(T23),ISNUMBER(T27)),VLOOKUP(ABS(T23-T27),'IMP Table'!$A$2:$C$26,3)*SIGN(T23-T27),0)</f>
        <v/>
      </c>
    </row>
    <row r="24">
      <c r="B24" s="10">
        <f>'By Round'!A13</f>
        <v/>
      </c>
      <c r="C24" s="10">
        <f>'By Round'!B15</f>
        <v/>
      </c>
      <c r="D24" s="10">
        <f>'By Round'!C15</f>
        <v/>
      </c>
      <c r="E24" s="10">
        <f>'By Round'!D15</f>
        <v/>
      </c>
      <c r="F24" s="10">
        <f>IF(ISBLANK('By Round'!F15),"",'By Round'!F15)</f>
        <v/>
      </c>
      <c r="G24">
        <f>IF(ISBLANK('By Round'!G15),"",'By Round'!G15)</f>
        <v/>
      </c>
      <c r="H24">
        <f>IF(ISBLANK('By Round'!H15),"",'By Round'!H15)</f>
        <v/>
      </c>
      <c r="I24">
        <f>IF(ISBLANK('By Round'!I15),"",'By Round'!I15)</f>
        <v/>
      </c>
      <c r="J24">
        <f>IF(ISBLANK('By Round'!J15),"",'By Round'!J15)</f>
        <v/>
      </c>
      <c r="K24">
        <f>IF(ISBLANK('By Round'!K15),"",'By Round'!K15)</f>
        <v/>
      </c>
      <c r="L24">
        <f>IF(ISBLANK('By Round'!L15),"",'By Round'!L15)</f>
        <v/>
      </c>
      <c r="M24" s="11">
        <f>AVERAGE(AC24:AF24)</f>
        <v/>
      </c>
      <c r="N24" s="12">
        <f>AVERAGE(AG24:AJ24)</f>
        <v/>
      </c>
      <c r="O24" s="13">
        <f>IF(COUNT(U24:X24)&gt;0,Q24/COUNT(U24:X24),0.5)</f>
        <v/>
      </c>
      <c r="P24" s="13">
        <f>IF(COUNT(Y24:AB24)&gt;0,R24/COUNT(Y24:AB24),0.5)</f>
        <v/>
      </c>
      <c r="Q24" s="5">
        <f>SUM(U24:X24)</f>
        <v/>
      </c>
      <c r="R24" s="5">
        <f>SUM(Y24:AB24)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IF(ISNUMBER(S24),IF(ISNUMBER(S23),IF(S24&gt;S23,1.0,IF(S24=S23,0.5,0.0)),""),"")</f>
        <v/>
      </c>
      <c r="V24">
        <f>IF(ISNUMBER(S24),IF(ISNUMBER(S25),IF(S24&gt;S25,1.0,IF(S24=S25,0.5,0.0)),""),"")</f>
        <v/>
      </c>
      <c r="W24">
        <f>IF(ISNUMBER(S24),IF(ISNUMBER(S26),IF(S24&gt;S26,1.0,IF(S24=S26,0.5,0.0)),""),"")</f>
        <v/>
      </c>
      <c r="X24">
        <f>IF(ISNUMBER(S24),IF(ISNUMBER(S27),IF(S24&gt;S27,1.0,IF(S24=S27,0.5,0.0)),""),"")</f>
        <v/>
      </c>
      <c r="Y24">
        <f>IF(ISNUMBER(T24),IF(ISNUMBER(T23),IF(T24&gt;T23,1.0,IF(T24=T23,0.5,0.0)),""),"")</f>
        <v/>
      </c>
      <c r="Z24">
        <f>IF(ISNUMBER(T24),IF(ISNUMBER(T25),IF(T24&gt;T25,1.0,IF(T24=T25,0.5,0.0)),""),"")</f>
        <v/>
      </c>
      <c r="AA24">
        <f>IF(ISNUMBER(T24),IF(ISNUMBER(T26),IF(T24&gt;T26,1.0,IF(T24=T26,0.5,0.0)),""),"")</f>
        <v/>
      </c>
      <c r="AB24">
        <f>IF(ISNUMBER(T24),IF(ISNUMBER(T27),IF(T24&gt;T27,1.0,IF(T24=T27,0.5,0.0)),""),"")</f>
        <v/>
      </c>
      <c r="AC24" s="14">
        <f>IF(AND(ISNUMBER(S24),ISNUMBER(S23)),VLOOKUP(ABS(S24-S23),'IMP Table'!$A$2:$C$26,3)*SIGN(S24-S23),0)</f>
        <v/>
      </c>
      <c r="AD24">
        <f>IF(AND(ISNUMBER(S24),ISNUMBER(S25)),VLOOKUP(ABS(S24-S25),'IMP Table'!$A$2:$C$26,3)*SIGN(S24-S25),0)</f>
        <v/>
      </c>
      <c r="AE24">
        <f>IF(AND(ISNUMBER(S24),ISNUMBER(S26)),VLOOKUP(ABS(S24-S26),'IMP Table'!$A$2:$C$26,3)*SIGN(S24-S26),0)</f>
        <v/>
      </c>
      <c r="AF24">
        <f>IF(AND(ISNUMBER(S24),ISNUMBER(S27)),VLOOKUP(ABS(S24-S27),'IMP Table'!$A$2:$C$26,3)*SIGN(S24-S27),0)</f>
        <v/>
      </c>
      <c r="AG24">
        <f>IF(AND(ISNUMBER(T24),ISNUMBER(T23)),VLOOKUP(ABS(T24-T23),'IMP Table'!$A$2:$C$26,3)*SIGN(T24-T23),0)</f>
        <v/>
      </c>
      <c r="AH24">
        <f>IF(AND(ISNUMBER(T24),ISNUMBER(T25)),VLOOKUP(ABS(T24-T25),'IMP Table'!$A$2:$C$26,3)*SIGN(T24-T25),0)</f>
        <v/>
      </c>
      <c r="AI24">
        <f>IF(AND(ISNUMBER(T24),ISNUMBER(T26)),VLOOKUP(ABS(T24-T26),'IMP Table'!$A$2:$C$26,3)*SIGN(T24-T26),0)</f>
        <v/>
      </c>
      <c r="AJ24">
        <f>IF(AND(ISNUMBER(T24),ISNUMBER(T27)),VLOOKUP(ABS(T24-T27),'IMP Table'!$A$2:$C$26,3)*SIGN(T24-T27),0)</f>
        <v/>
      </c>
    </row>
    <row r="25">
      <c r="B25" s="10">
        <f>'By Round'!A3</f>
        <v/>
      </c>
      <c r="C25" s="10">
        <f>'By Round'!B7</f>
        <v/>
      </c>
      <c r="D25" s="10">
        <f>'By Round'!C7</f>
        <v/>
      </c>
      <c r="E25" s="10">
        <f>'By Round'!D7</f>
        <v/>
      </c>
      <c r="F25" s="10">
        <f>IF(ISBLANK('By Round'!F7),"",'By Round'!F7)</f>
        <v/>
      </c>
      <c r="G25">
        <f>IF(ISBLANK('By Round'!G7),"",'By Round'!G7)</f>
        <v/>
      </c>
      <c r="H25">
        <f>IF(ISBLANK('By Round'!H7),"",'By Round'!H7)</f>
        <v/>
      </c>
      <c r="I25">
        <f>IF(ISBLANK('By Round'!I7),"",'By Round'!I7)</f>
        <v/>
      </c>
      <c r="J25">
        <f>IF(ISBLANK('By Round'!J7),"",'By Round'!J7)</f>
        <v/>
      </c>
      <c r="K25">
        <f>IF(ISBLANK('By Round'!K7),"",'By Round'!K7)</f>
        <v/>
      </c>
      <c r="L25">
        <f>IF(ISBLANK('By Round'!L7),"",'By Round'!L7)</f>
        <v/>
      </c>
      <c r="M25" s="11">
        <f>AVERAGE(AC25:AF25)</f>
        <v/>
      </c>
      <c r="N25" s="12">
        <f>AVERAGE(AG25:AJ25)</f>
        <v/>
      </c>
      <c r="O25" s="13">
        <f>IF(COUNT(U25:X25)&gt;0,Q25/COUNT(U25:X25),0.5)</f>
        <v/>
      </c>
      <c r="P25" s="13">
        <f>IF(COUNT(Y25:AB25)&gt;0,R25/COUNT(Y25:AB25),0.5)</f>
        <v/>
      </c>
      <c r="Q25" s="5">
        <f>SUM(U25:X25)</f>
        <v/>
      </c>
      <c r="R25" s="5">
        <f>SUM(Y25:AB25)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IF(ISNUMBER(S25),IF(ISNUMBER(S23),IF(S25&gt;S23,1.0,IF(S25=S23,0.5,0.0)),""),"")</f>
        <v/>
      </c>
      <c r="V25">
        <f>IF(ISNUMBER(S25),IF(ISNUMBER(S24),IF(S25&gt;S24,1.0,IF(S25=S24,0.5,0.0)),""),"")</f>
        <v/>
      </c>
      <c r="W25">
        <f>IF(ISNUMBER(S25),IF(ISNUMBER(S26),IF(S25&gt;S26,1.0,IF(S25=S26,0.5,0.0)),""),"")</f>
        <v/>
      </c>
      <c r="X25">
        <f>IF(ISNUMBER(S25),IF(ISNUMBER(S27),IF(S25&gt;S27,1.0,IF(S25=S27,0.5,0.0)),""),"")</f>
        <v/>
      </c>
      <c r="Y25">
        <f>IF(ISNUMBER(T25),IF(ISNUMBER(T23),IF(T25&gt;T23,1.0,IF(T25=T23,0.5,0.0)),""),"")</f>
        <v/>
      </c>
      <c r="Z25">
        <f>IF(ISNUMBER(T25),IF(ISNUMBER(T24),IF(T25&gt;T24,1.0,IF(T25=T24,0.5,0.0)),""),"")</f>
        <v/>
      </c>
      <c r="AA25">
        <f>IF(ISNUMBER(T25),IF(ISNUMBER(T26),IF(T25&gt;T26,1.0,IF(T25=T26,0.5,0.0)),""),"")</f>
        <v/>
      </c>
      <c r="AB25">
        <f>IF(ISNUMBER(T25),IF(ISNUMBER(T27),IF(T25&gt;T27,1.0,IF(T25=T27,0.5,0.0)),""),"")</f>
        <v/>
      </c>
      <c r="AC25" s="14">
        <f>IF(AND(ISNUMBER(S25),ISNUMBER(S23)),VLOOKUP(ABS(S25-S23),'IMP Table'!$A$2:$C$26,3)*SIGN(S25-S23),0)</f>
        <v/>
      </c>
      <c r="AD25">
        <f>IF(AND(ISNUMBER(S25),ISNUMBER(S24)),VLOOKUP(ABS(S25-S24),'IMP Table'!$A$2:$C$26,3)*SIGN(S25-S24),0)</f>
        <v/>
      </c>
      <c r="AE25">
        <f>IF(AND(ISNUMBER(S25),ISNUMBER(S26)),VLOOKUP(ABS(S25-S26),'IMP Table'!$A$2:$C$26,3)*SIGN(S25-S26),0)</f>
        <v/>
      </c>
      <c r="AF25">
        <f>IF(AND(ISNUMBER(S25),ISNUMBER(S27)),VLOOKUP(ABS(S25-S27),'IMP Table'!$A$2:$C$26,3)*SIGN(S25-S27),0)</f>
        <v/>
      </c>
      <c r="AG25">
        <f>IF(AND(ISNUMBER(T25),ISNUMBER(T23)),VLOOKUP(ABS(T25-T23),'IMP Table'!$A$2:$C$26,3)*SIGN(T25-T23),0)</f>
        <v/>
      </c>
      <c r="AH25">
        <f>IF(AND(ISNUMBER(T25),ISNUMBER(T24)),VLOOKUP(ABS(T25-T24),'IMP Table'!$A$2:$C$26,3)*SIGN(T25-T24),0)</f>
        <v/>
      </c>
      <c r="AI25">
        <f>IF(AND(ISNUMBER(T25),ISNUMBER(T26)),VLOOKUP(ABS(T25-T26),'IMP Table'!$A$2:$C$26,3)*SIGN(T25-T26),0)</f>
        <v/>
      </c>
      <c r="AJ25">
        <f>IF(AND(ISNUMBER(T25),ISNUMBER(T27)),VLOOKUP(ABS(T25-T27),'IMP Table'!$A$2:$C$26,3)*SIGN(T25-T27),0)</f>
        <v/>
      </c>
    </row>
    <row r="26">
      <c r="B26" s="10">
        <f>'By Round'!A43</f>
        <v/>
      </c>
      <c r="C26" s="10">
        <f>'By Round'!B49</f>
        <v/>
      </c>
      <c r="D26" s="10">
        <f>'By Round'!C49</f>
        <v/>
      </c>
      <c r="E26" s="10">
        <f>'By Round'!D49</f>
        <v/>
      </c>
      <c r="F26" s="10">
        <f>IF(ISBLANK('By Round'!F49),"",'By Round'!F49)</f>
        <v/>
      </c>
      <c r="G26">
        <f>IF(ISBLANK('By Round'!G49),"",'By Round'!G49)</f>
        <v/>
      </c>
      <c r="H26">
        <f>IF(ISBLANK('By Round'!H49),"",'By Round'!H49)</f>
        <v/>
      </c>
      <c r="I26">
        <f>IF(ISBLANK('By Round'!I49),"",'By Round'!I49)</f>
        <v/>
      </c>
      <c r="J26">
        <f>IF(ISBLANK('By Round'!J49),"",'By Round'!J49)</f>
        <v/>
      </c>
      <c r="K26">
        <f>IF(ISBLANK('By Round'!K49),"",'By Round'!K49)</f>
        <v/>
      </c>
      <c r="L26">
        <f>IF(ISBLANK('By Round'!L49),"",'By Round'!L49)</f>
        <v/>
      </c>
      <c r="M26" s="11">
        <f>AVERAGE(AC26:AF26)</f>
        <v/>
      </c>
      <c r="N26" s="12">
        <f>AVERAGE(AG26:AJ26)</f>
        <v/>
      </c>
      <c r="O26" s="13">
        <f>IF(COUNT(U26:X26)&gt;0,Q26/COUNT(U26:X26),0.5)</f>
        <v/>
      </c>
      <c r="P26" s="13">
        <f>IF(COUNT(Y26:AB26)&gt;0,R26/COUNT(Y26:AB26),0.5)</f>
        <v/>
      </c>
      <c r="Q26" s="5">
        <f>SUM(U26:X26)</f>
        <v/>
      </c>
      <c r="R26" s="5">
        <f>SUM(Y26:AB26)</f>
        <v/>
      </c>
      <c r="S26" s="14">
        <f>IF(ISNUMBER(K26),K26,IF(ISNUMBER(L26),-L26,""))</f>
        <v/>
      </c>
      <c r="T26">
        <f>IF(ISNUMBER(L26),L26,IF(ISNUMBER(K26),-K26,""))</f>
        <v/>
      </c>
      <c r="U26" s="14">
        <f>IF(ISNUMBER(S26),IF(ISNUMBER(S23),IF(S26&gt;S23,1.0,IF(S26=S23,0.5,0.0)),""),"")</f>
        <v/>
      </c>
      <c r="V26">
        <f>IF(ISNUMBER(S26),IF(ISNUMBER(S24),IF(S26&gt;S24,1.0,IF(S26=S24,0.5,0.0)),""),"")</f>
        <v/>
      </c>
      <c r="W26">
        <f>IF(ISNUMBER(S26),IF(ISNUMBER(S25),IF(S26&gt;S25,1.0,IF(S26=S25,0.5,0.0)),""),"")</f>
        <v/>
      </c>
      <c r="X26">
        <f>IF(ISNUMBER(S26),IF(ISNUMBER(S27),IF(S26&gt;S27,1.0,IF(S26=S27,0.5,0.0)),""),"")</f>
        <v/>
      </c>
      <c r="Y26">
        <f>IF(ISNUMBER(T26),IF(ISNUMBER(T23),IF(T26&gt;T23,1.0,IF(T26=T23,0.5,0.0)),""),"")</f>
        <v/>
      </c>
      <c r="Z26">
        <f>IF(ISNUMBER(T26),IF(ISNUMBER(T24),IF(T26&gt;T24,1.0,IF(T26=T24,0.5,0.0)),""),"")</f>
        <v/>
      </c>
      <c r="AA26">
        <f>IF(ISNUMBER(T26),IF(ISNUMBER(T25),IF(T26&gt;T25,1.0,IF(T26=T25,0.5,0.0)),""),"")</f>
        <v/>
      </c>
      <c r="AB26">
        <f>IF(ISNUMBER(T26),IF(ISNUMBER(T27),IF(T26&gt;T27,1.0,IF(T26=T27,0.5,0.0)),""),"")</f>
        <v/>
      </c>
      <c r="AC26" s="14">
        <f>IF(AND(ISNUMBER(S26),ISNUMBER(S23)),VLOOKUP(ABS(S26-S23),'IMP Table'!$A$2:$C$26,3)*SIGN(S26-S23),0)</f>
        <v/>
      </c>
      <c r="AD26">
        <f>IF(AND(ISNUMBER(S26),ISNUMBER(S24)),VLOOKUP(ABS(S26-S24),'IMP Table'!$A$2:$C$26,3)*SIGN(S26-S24),0)</f>
        <v/>
      </c>
      <c r="AE26">
        <f>IF(AND(ISNUMBER(S26),ISNUMBER(S25)),VLOOKUP(ABS(S26-S25),'IMP Table'!$A$2:$C$26,3)*SIGN(S26-S25),0)</f>
        <v/>
      </c>
      <c r="AF26">
        <f>IF(AND(ISNUMBER(S26),ISNUMBER(S27)),VLOOKUP(ABS(S26-S27),'IMP Table'!$A$2:$C$26,3)*SIGN(S26-S27),0)</f>
        <v/>
      </c>
      <c r="AG26">
        <f>IF(AND(ISNUMBER(T26),ISNUMBER(T23)),VLOOKUP(ABS(T26-T23),'IMP Table'!$A$2:$C$26,3)*SIGN(T26-T23),0)</f>
        <v/>
      </c>
      <c r="AH26">
        <f>IF(AND(ISNUMBER(T26),ISNUMBER(T24)),VLOOKUP(ABS(T26-T24),'IMP Table'!$A$2:$C$26,3)*SIGN(T26-T24),0)</f>
        <v/>
      </c>
      <c r="AI26">
        <f>IF(AND(ISNUMBER(T26),ISNUMBER(T25)),VLOOKUP(ABS(T26-T25),'IMP Table'!$A$2:$C$26,3)*SIGN(T26-T25),0)</f>
        <v/>
      </c>
      <c r="AJ26">
        <f>IF(AND(ISNUMBER(T26),ISNUMBER(T27)),VLOOKUP(ABS(T26-T27),'IMP Table'!$A$2:$C$26,3)*SIGN(T26-T27),0)</f>
        <v/>
      </c>
    </row>
    <row r="27">
      <c r="A27" s="15" t="n"/>
      <c r="B27" s="16">
        <f>'By Round'!A33</f>
        <v/>
      </c>
      <c r="C27" s="16">
        <f>'By Round'!B41</f>
        <v/>
      </c>
      <c r="D27" s="16">
        <f>'By Round'!C41</f>
        <v/>
      </c>
      <c r="E27" s="16">
        <f>'By Round'!D41</f>
        <v/>
      </c>
      <c r="F27" s="16">
        <f>IF(ISBLANK('By Round'!F41),"",'By Round'!F41)</f>
        <v/>
      </c>
      <c r="G27" s="15">
        <f>IF(ISBLANK('By Round'!G41),"",'By Round'!G41)</f>
        <v/>
      </c>
      <c r="H27" s="15">
        <f>IF(ISBLANK('By Round'!H41),"",'By Round'!H41)</f>
        <v/>
      </c>
      <c r="I27" s="15">
        <f>IF(ISBLANK('By Round'!I41),"",'By Round'!I41)</f>
        <v/>
      </c>
      <c r="J27" s="15">
        <f>IF(ISBLANK('By Round'!J41),"",'By Round'!J41)</f>
        <v/>
      </c>
      <c r="K27" s="15">
        <f>IF(ISBLANK('By Round'!K41),"",'By Round'!K41)</f>
        <v/>
      </c>
      <c r="L27" s="15">
        <f>IF(ISBLANK('By Round'!L41),"",'By Round'!L41)</f>
        <v/>
      </c>
      <c r="M27" s="17">
        <f>AVERAGE(AC27:AF27)</f>
        <v/>
      </c>
      <c r="N27" s="18">
        <f>AVERAGE(AG27:AJ27)</f>
        <v/>
      </c>
      <c r="O27" s="19">
        <f>IF(COUNT(U27:X27)&gt;0,Q27/COUNT(U27:X27),0.5)</f>
        <v/>
      </c>
      <c r="P27" s="19">
        <f>IF(COUNT(Y27:AB27)&gt;0,R27/COUNT(Y27:AB27),0.5)</f>
        <v/>
      </c>
      <c r="Q27" s="20">
        <f>SUM(U27:X27)</f>
        <v/>
      </c>
      <c r="R27" s="20">
        <f>SUM(Y27:AB27)</f>
        <v/>
      </c>
      <c r="S27" s="21">
        <f>IF(ISNUMBER(K27),K27,IF(ISNUMBER(L27),-L27,""))</f>
        <v/>
      </c>
      <c r="T27" s="15">
        <f>IF(ISNUMBER(L27),L27,IF(ISNUMBER(K27),-K27,""))</f>
        <v/>
      </c>
      <c r="U27" s="21">
        <f>IF(ISNUMBER(S27),IF(ISNUMBER(S23),IF(S27&gt;S23,1.0,IF(S27=S23,0.5,0.0)),""),"")</f>
        <v/>
      </c>
      <c r="V27" s="15">
        <f>IF(ISNUMBER(S27),IF(ISNUMBER(S24),IF(S27&gt;S24,1.0,IF(S27=S24,0.5,0.0)),""),"")</f>
        <v/>
      </c>
      <c r="W27" s="15">
        <f>IF(ISNUMBER(S27),IF(ISNUMBER(S25),IF(S27&gt;S25,1.0,IF(S27=S25,0.5,0.0)),""),"")</f>
        <v/>
      </c>
      <c r="X27" s="15">
        <f>IF(ISNUMBER(S27),IF(ISNUMBER(S26),IF(S27&gt;S26,1.0,IF(S27=S26,0.5,0.0)),""),"")</f>
        <v/>
      </c>
      <c r="Y27" s="15">
        <f>IF(ISNUMBER(T27),IF(ISNUMBER(T23),IF(T27&gt;T23,1.0,IF(T27=T23,0.5,0.0)),""),"")</f>
        <v/>
      </c>
      <c r="Z27" s="15">
        <f>IF(ISNUMBER(T27),IF(ISNUMBER(T24),IF(T27&gt;T24,1.0,IF(T27=T24,0.5,0.0)),""),"")</f>
        <v/>
      </c>
      <c r="AA27" s="15">
        <f>IF(ISNUMBER(T27),IF(ISNUMBER(T25),IF(T27&gt;T25,1.0,IF(T27=T25,0.5,0.0)),""),"")</f>
        <v/>
      </c>
      <c r="AB27" s="15">
        <f>IF(ISNUMBER(T27),IF(ISNUMBER(T26),IF(T27&gt;T26,1.0,IF(T27=T26,0.5,0.0)),""),"")</f>
        <v/>
      </c>
      <c r="AC27" s="21">
        <f>IF(AND(ISNUMBER(S27),ISNUMBER(S23)),VLOOKUP(ABS(S27-S23),'IMP Table'!$A$2:$C$26,3)*SIGN(S27-S23),0)</f>
        <v/>
      </c>
      <c r="AD27" s="15">
        <f>IF(AND(ISNUMBER(S27),ISNUMBER(S24)),VLOOKUP(ABS(S27-S24),'IMP Table'!$A$2:$C$26,3)*SIGN(S27-S24),0)</f>
        <v/>
      </c>
      <c r="AE27" s="15">
        <f>IF(AND(ISNUMBER(S27),ISNUMBER(S25)),VLOOKUP(ABS(S27-S25),'IMP Table'!$A$2:$C$26,3)*SIGN(S27-S25),0)</f>
        <v/>
      </c>
      <c r="AF27" s="15">
        <f>IF(AND(ISNUMBER(S27),ISNUMBER(S26)),VLOOKUP(ABS(S27-S26),'IMP Table'!$A$2:$C$26,3)*SIGN(S27-S26),0)</f>
        <v/>
      </c>
      <c r="AG27" s="15">
        <f>IF(AND(ISNUMBER(T27),ISNUMBER(T23)),VLOOKUP(ABS(T27-T23),'IMP Table'!$A$2:$C$26,3)*SIGN(T27-T23),0)</f>
        <v/>
      </c>
      <c r="AH27" s="15">
        <f>IF(AND(ISNUMBER(T27),ISNUMBER(T24)),VLOOKUP(ABS(T27-T24),'IMP Table'!$A$2:$C$26,3)*SIGN(T27-T24),0)</f>
        <v/>
      </c>
      <c r="AI27" s="15">
        <f>IF(AND(ISNUMBER(T27),ISNUMBER(T25)),VLOOKUP(ABS(T27-T25),'IMP Table'!$A$2:$C$26,3)*SIGN(T27-T25),0)</f>
        <v/>
      </c>
      <c r="AJ27" s="15">
        <f>IF(AND(ISNUMBER(T27),ISNUMBER(T26)),VLOOKUP(ABS(T27-T26),'IMP Table'!$A$2:$C$26,3)*SIGN(T27-T26),0)</f>
        <v/>
      </c>
    </row>
    <row r="28">
      <c r="A28" s="10" t="n">
        <v>6</v>
      </c>
      <c r="B28" s="10">
        <f>'By Round'!A23</f>
        <v/>
      </c>
      <c r="C28" s="10">
        <f>'By Round'!B23</f>
        <v/>
      </c>
      <c r="D28" s="10">
        <f>'By Round'!C23</f>
        <v/>
      </c>
      <c r="E28" s="10">
        <f>'By Round'!D23</f>
        <v/>
      </c>
      <c r="F28" s="10">
        <f>IF(ISBLANK('By Round'!F24),"",'By Round'!F24)</f>
        <v/>
      </c>
      <c r="G28">
        <f>IF(ISBLANK('By Round'!G24),"",'By Round'!G24)</f>
        <v/>
      </c>
      <c r="H28">
        <f>IF(ISBLANK('By Round'!H24),"",'By Round'!H24)</f>
        <v/>
      </c>
      <c r="I28">
        <f>IF(ISBLANK('By Round'!I24),"",'By Round'!I24)</f>
        <v/>
      </c>
      <c r="J28">
        <f>IF(ISBLANK('By Round'!J24),"",'By Round'!J24)</f>
        <v/>
      </c>
      <c r="K28">
        <f>IF(ISBLANK('By Round'!K24),"",'By Round'!K24)</f>
        <v/>
      </c>
      <c r="L28">
        <f>IF(ISBLANK('By Round'!L24),"",'By Round'!L24)</f>
        <v/>
      </c>
      <c r="M28" s="11">
        <f>AVERAGE(AC28:AF28)</f>
        <v/>
      </c>
      <c r="N28" s="12">
        <f>AVERAGE(AG28:AJ28)</f>
        <v/>
      </c>
      <c r="O28" s="13">
        <f>IF(COUNT(U28:X28)&gt;0,Q28/COUNT(U28:X28),0.5)</f>
        <v/>
      </c>
      <c r="P28" s="13">
        <f>IF(COUNT(Y28:AB28)&gt;0,R28/COUNT(Y28:AB28),0.5)</f>
        <v/>
      </c>
      <c r="Q28" s="5">
        <f>SUM(U28:X28)</f>
        <v/>
      </c>
      <c r="R28" s="5">
        <f>SUM(Y28:AB28)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IF(ISNUMBER(S28),IF(ISNUMBER(S29),IF(S28&gt;S29,1.0,IF(S28=S29,0.5,0.0)),""),"")</f>
        <v/>
      </c>
      <c r="V28">
        <f>IF(ISNUMBER(S28),IF(ISNUMBER(S30),IF(S28&gt;S30,1.0,IF(S28=S30,0.5,0.0)),""),"")</f>
        <v/>
      </c>
      <c r="W28">
        <f>IF(ISNUMBER(S28),IF(ISNUMBER(S31),IF(S28&gt;S31,1.0,IF(S28=S31,0.5,0.0)),""),"")</f>
        <v/>
      </c>
      <c r="X28">
        <f>IF(ISNUMBER(S28),IF(ISNUMBER(S32),IF(S28&gt;S32,1.0,IF(S28=S32,0.5,0.0)),""),"")</f>
        <v/>
      </c>
      <c r="Y28">
        <f>IF(ISNUMBER(T28),IF(ISNUMBER(T29),IF(T28&gt;T29,1.0,IF(T28=T29,0.5,0.0)),""),"")</f>
        <v/>
      </c>
      <c r="Z28">
        <f>IF(ISNUMBER(T28),IF(ISNUMBER(T30),IF(T28&gt;T30,1.0,IF(T28=T30,0.5,0.0)),""),"")</f>
        <v/>
      </c>
      <c r="AA28">
        <f>IF(ISNUMBER(T28),IF(ISNUMBER(T31),IF(T28&gt;T31,1.0,IF(T28=T31,0.5,0.0)),""),"")</f>
        <v/>
      </c>
      <c r="AB28">
        <f>IF(ISNUMBER(T28),IF(ISNUMBER(T32),IF(T28&gt;T32,1.0,IF(T28=T32,0.5,0.0)),""),"")</f>
        <v/>
      </c>
      <c r="AC28" s="14">
        <f>IF(AND(ISNUMBER(S28),ISNUMBER(S29)),VLOOKUP(ABS(S28-S29),'IMP Table'!$A$2:$C$26,3)*SIGN(S28-S29),0)</f>
        <v/>
      </c>
      <c r="AD28">
        <f>IF(AND(ISNUMBER(S28),ISNUMBER(S30)),VLOOKUP(ABS(S28-S30),'IMP Table'!$A$2:$C$26,3)*SIGN(S28-S30),0)</f>
        <v/>
      </c>
      <c r="AE28">
        <f>IF(AND(ISNUMBER(S28),ISNUMBER(S31)),VLOOKUP(ABS(S28-S31),'IMP Table'!$A$2:$C$26,3)*SIGN(S28-S31),0)</f>
        <v/>
      </c>
      <c r="AF28">
        <f>IF(AND(ISNUMBER(S28),ISNUMBER(S32)),VLOOKUP(ABS(S28-S32),'IMP Table'!$A$2:$C$26,3)*SIGN(S28-S32),0)</f>
        <v/>
      </c>
      <c r="AG28">
        <f>IF(AND(ISNUMBER(T28),ISNUMBER(T29)),VLOOKUP(ABS(T28-T29),'IMP Table'!$A$2:$C$26,3)*SIGN(T28-T29),0)</f>
        <v/>
      </c>
      <c r="AH28">
        <f>IF(AND(ISNUMBER(T28),ISNUMBER(T30)),VLOOKUP(ABS(T28-T30),'IMP Table'!$A$2:$C$26,3)*SIGN(T28-T30),0)</f>
        <v/>
      </c>
      <c r="AI28">
        <f>IF(AND(ISNUMBER(T28),ISNUMBER(T31)),VLOOKUP(ABS(T28-T31),'IMP Table'!$A$2:$C$26,3)*SIGN(T28-T31),0)</f>
        <v/>
      </c>
      <c r="AJ28">
        <f>IF(AND(ISNUMBER(T28),ISNUMBER(T32)),VLOOKUP(ABS(T28-T32),'IMP Table'!$A$2:$C$26,3)*SIGN(T28-T32),0)</f>
        <v/>
      </c>
    </row>
    <row r="29">
      <c r="B29" s="10">
        <f>'By Round'!A13</f>
        <v/>
      </c>
      <c r="C29" s="10">
        <f>'By Round'!B15</f>
        <v/>
      </c>
      <c r="D29" s="10">
        <f>'By Round'!C15</f>
        <v/>
      </c>
      <c r="E29" s="10">
        <f>'By Round'!D15</f>
        <v/>
      </c>
      <c r="F29" s="10">
        <f>IF(ISBLANK('By Round'!F16),"",'By Round'!F16)</f>
        <v/>
      </c>
      <c r="G29">
        <f>IF(ISBLANK('By Round'!G16),"",'By Round'!G16)</f>
        <v/>
      </c>
      <c r="H29">
        <f>IF(ISBLANK('By Round'!H16),"",'By Round'!H16)</f>
        <v/>
      </c>
      <c r="I29">
        <f>IF(ISBLANK('By Round'!I16),"",'By Round'!I16)</f>
        <v/>
      </c>
      <c r="J29">
        <f>IF(ISBLANK('By Round'!J16),"",'By Round'!J16)</f>
        <v/>
      </c>
      <c r="K29">
        <f>IF(ISBLANK('By Round'!K16),"",'By Round'!K16)</f>
        <v/>
      </c>
      <c r="L29">
        <f>IF(ISBLANK('By Round'!L16),"",'By Round'!L16)</f>
        <v/>
      </c>
      <c r="M29" s="11">
        <f>AVERAGE(AC29:AF29)</f>
        <v/>
      </c>
      <c r="N29" s="12">
        <f>AVERAGE(AG29:AJ29)</f>
        <v/>
      </c>
      <c r="O29" s="13">
        <f>IF(COUNT(U29:X29)&gt;0,Q29/COUNT(U29:X29),0.5)</f>
        <v/>
      </c>
      <c r="P29" s="13">
        <f>IF(COUNT(Y29:AB29)&gt;0,R29/COUNT(Y29:AB29),0.5)</f>
        <v/>
      </c>
      <c r="Q29" s="5">
        <f>SUM(U29:X29)</f>
        <v/>
      </c>
      <c r="R29" s="5">
        <f>SUM(Y29:AB29)</f>
        <v/>
      </c>
      <c r="S29" s="14">
        <f>IF(ISNUMBER(K29),K29,IF(ISNUMBER(L29),-L29,""))</f>
        <v/>
      </c>
      <c r="T29">
        <f>IF(ISNUMBER(L29),L29,IF(ISNUMBER(K29),-K29,""))</f>
        <v/>
      </c>
      <c r="U29" s="14">
        <f>IF(ISNUMBER(S29),IF(ISNUMBER(S28),IF(S29&gt;S28,1.0,IF(S29=S28,0.5,0.0)),""),"")</f>
        <v/>
      </c>
      <c r="V29">
        <f>IF(ISNUMBER(S29),IF(ISNUMBER(S30),IF(S29&gt;S30,1.0,IF(S29=S30,0.5,0.0)),""),"")</f>
        <v/>
      </c>
      <c r="W29">
        <f>IF(ISNUMBER(S29),IF(ISNUMBER(S31),IF(S29&gt;S31,1.0,IF(S29=S31,0.5,0.0)),""),"")</f>
        <v/>
      </c>
      <c r="X29">
        <f>IF(ISNUMBER(S29),IF(ISNUMBER(S32),IF(S29&gt;S32,1.0,IF(S29=S32,0.5,0.0)),""),"")</f>
        <v/>
      </c>
      <c r="Y29">
        <f>IF(ISNUMBER(T29),IF(ISNUMBER(T28),IF(T29&gt;T28,1.0,IF(T29=T28,0.5,0.0)),""),"")</f>
        <v/>
      </c>
      <c r="Z29">
        <f>IF(ISNUMBER(T29),IF(ISNUMBER(T30),IF(T29&gt;T30,1.0,IF(T29=T30,0.5,0.0)),""),"")</f>
        <v/>
      </c>
      <c r="AA29">
        <f>IF(ISNUMBER(T29),IF(ISNUMBER(T31),IF(T29&gt;T31,1.0,IF(T29=T31,0.5,0.0)),""),"")</f>
        <v/>
      </c>
      <c r="AB29">
        <f>IF(ISNUMBER(T29),IF(ISNUMBER(T32),IF(T29&gt;T32,1.0,IF(T29=T32,0.5,0.0)),""),"")</f>
        <v/>
      </c>
      <c r="AC29" s="14">
        <f>IF(AND(ISNUMBER(S29),ISNUMBER(S28)),VLOOKUP(ABS(S29-S28),'IMP Table'!$A$2:$C$26,3)*SIGN(S29-S28),0)</f>
        <v/>
      </c>
      <c r="AD29">
        <f>IF(AND(ISNUMBER(S29),ISNUMBER(S30)),VLOOKUP(ABS(S29-S30),'IMP Table'!$A$2:$C$26,3)*SIGN(S29-S30),0)</f>
        <v/>
      </c>
      <c r="AE29">
        <f>IF(AND(ISNUMBER(S29),ISNUMBER(S31)),VLOOKUP(ABS(S29-S31),'IMP Table'!$A$2:$C$26,3)*SIGN(S29-S31),0)</f>
        <v/>
      </c>
      <c r="AF29">
        <f>IF(AND(ISNUMBER(S29),ISNUMBER(S32)),VLOOKUP(ABS(S29-S32),'IMP Table'!$A$2:$C$26,3)*SIGN(S29-S32),0)</f>
        <v/>
      </c>
      <c r="AG29">
        <f>IF(AND(ISNUMBER(T29),ISNUMBER(T28)),VLOOKUP(ABS(T29-T28),'IMP Table'!$A$2:$C$26,3)*SIGN(T29-T28),0)</f>
        <v/>
      </c>
      <c r="AH29">
        <f>IF(AND(ISNUMBER(T29),ISNUMBER(T30)),VLOOKUP(ABS(T29-T30),'IMP Table'!$A$2:$C$26,3)*SIGN(T29-T30),0)</f>
        <v/>
      </c>
      <c r="AI29">
        <f>IF(AND(ISNUMBER(T29),ISNUMBER(T31)),VLOOKUP(ABS(T29-T31),'IMP Table'!$A$2:$C$26,3)*SIGN(T29-T31),0)</f>
        <v/>
      </c>
      <c r="AJ29">
        <f>IF(AND(ISNUMBER(T29),ISNUMBER(T32)),VLOOKUP(ABS(T29-T32),'IMP Table'!$A$2:$C$26,3)*SIGN(T29-T32),0)</f>
        <v/>
      </c>
    </row>
    <row r="30">
      <c r="B30" s="10">
        <f>'By Round'!A3</f>
        <v/>
      </c>
      <c r="C30" s="10">
        <f>'By Round'!B7</f>
        <v/>
      </c>
      <c r="D30" s="10">
        <f>'By Round'!C7</f>
        <v/>
      </c>
      <c r="E30" s="10">
        <f>'By Round'!D7</f>
        <v/>
      </c>
      <c r="F30" s="10">
        <f>IF(ISBLANK('By Round'!F8),"",'By Round'!F8)</f>
        <v/>
      </c>
      <c r="G30">
        <f>IF(ISBLANK('By Round'!G8),"",'By Round'!G8)</f>
        <v/>
      </c>
      <c r="H30">
        <f>IF(ISBLANK('By Round'!H8),"",'By Round'!H8)</f>
        <v/>
      </c>
      <c r="I30">
        <f>IF(ISBLANK('By Round'!I8),"",'By Round'!I8)</f>
        <v/>
      </c>
      <c r="J30">
        <f>IF(ISBLANK('By Round'!J8),"",'By Round'!J8)</f>
        <v/>
      </c>
      <c r="K30">
        <f>IF(ISBLANK('By Round'!K8),"",'By Round'!K8)</f>
        <v/>
      </c>
      <c r="L30">
        <f>IF(ISBLANK('By Round'!L8),"",'By Round'!L8)</f>
        <v/>
      </c>
      <c r="M30" s="11">
        <f>AVERAGE(AC30:AF30)</f>
        <v/>
      </c>
      <c r="N30" s="12">
        <f>AVERAGE(AG30:AJ30)</f>
        <v/>
      </c>
      <c r="O30" s="13">
        <f>IF(COUNT(U30:X30)&gt;0,Q30/COUNT(U30:X30),0.5)</f>
        <v/>
      </c>
      <c r="P30" s="13">
        <f>IF(COUNT(Y30:AB30)&gt;0,R30/COUNT(Y30:AB30),0.5)</f>
        <v/>
      </c>
      <c r="Q30" s="5">
        <f>SUM(U30:X30)</f>
        <v/>
      </c>
      <c r="R30" s="5">
        <f>SUM(Y30:AB30)</f>
        <v/>
      </c>
      <c r="S30" s="14">
        <f>IF(ISNUMBER(K30),K30,IF(ISNUMBER(L30),-L30,""))</f>
        <v/>
      </c>
      <c r="T30">
        <f>IF(ISNUMBER(L30),L30,IF(ISNUMBER(K30),-K30,""))</f>
        <v/>
      </c>
      <c r="U30" s="14">
        <f>IF(ISNUMBER(S30),IF(ISNUMBER(S28),IF(S30&gt;S28,1.0,IF(S30=S28,0.5,0.0)),""),"")</f>
        <v/>
      </c>
      <c r="V30">
        <f>IF(ISNUMBER(S30),IF(ISNUMBER(S29),IF(S30&gt;S29,1.0,IF(S30=S29,0.5,0.0)),""),"")</f>
        <v/>
      </c>
      <c r="W30">
        <f>IF(ISNUMBER(S30),IF(ISNUMBER(S31),IF(S30&gt;S31,1.0,IF(S30=S31,0.5,0.0)),""),"")</f>
        <v/>
      </c>
      <c r="X30">
        <f>IF(ISNUMBER(S30),IF(ISNUMBER(S32),IF(S30&gt;S32,1.0,IF(S30=S32,0.5,0.0)),""),"")</f>
        <v/>
      </c>
      <c r="Y30">
        <f>IF(ISNUMBER(T30),IF(ISNUMBER(T28),IF(T30&gt;T28,1.0,IF(T30=T28,0.5,0.0)),""),"")</f>
        <v/>
      </c>
      <c r="Z30">
        <f>IF(ISNUMBER(T30),IF(ISNUMBER(T29),IF(T30&gt;T29,1.0,IF(T30=T29,0.5,0.0)),""),"")</f>
        <v/>
      </c>
      <c r="AA30">
        <f>IF(ISNUMBER(T30),IF(ISNUMBER(T31),IF(T30&gt;T31,1.0,IF(T30=T31,0.5,0.0)),""),"")</f>
        <v/>
      </c>
      <c r="AB30">
        <f>IF(ISNUMBER(T30),IF(ISNUMBER(T32),IF(T30&gt;T32,1.0,IF(T30=T32,0.5,0.0)),""),"")</f>
        <v/>
      </c>
      <c r="AC30" s="14">
        <f>IF(AND(ISNUMBER(S30),ISNUMBER(S28)),VLOOKUP(ABS(S30-S28),'IMP Table'!$A$2:$C$26,3)*SIGN(S30-S28),0)</f>
        <v/>
      </c>
      <c r="AD30">
        <f>IF(AND(ISNUMBER(S30),ISNUMBER(S29)),VLOOKUP(ABS(S30-S29),'IMP Table'!$A$2:$C$26,3)*SIGN(S30-S29),0)</f>
        <v/>
      </c>
      <c r="AE30">
        <f>IF(AND(ISNUMBER(S30),ISNUMBER(S31)),VLOOKUP(ABS(S30-S31),'IMP Table'!$A$2:$C$26,3)*SIGN(S30-S31),0)</f>
        <v/>
      </c>
      <c r="AF30">
        <f>IF(AND(ISNUMBER(S30),ISNUMBER(S32)),VLOOKUP(ABS(S30-S32),'IMP Table'!$A$2:$C$26,3)*SIGN(S30-S32),0)</f>
        <v/>
      </c>
      <c r="AG30">
        <f>IF(AND(ISNUMBER(T30),ISNUMBER(T28)),VLOOKUP(ABS(T30-T28),'IMP Table'!$A$2:$C$26,3)*SIGN(T30-T28),0)</f>
        <v/>
      </c>
      <c r="AH30">
        <f>IF(AND(ISNUMBER(T30),ISNUMBER(T29)),VLOOKUP(ABS(T30-T29),'IMP Table'!$A$2:$C$26,3)*SIGN(T30-T29),0)</f>
        <v/>
      </c>
      <c r="AI30">
        <f>IF(AND(ISNUMBER(T30),ISNUMBER(T31)),VLOOKUP(ABS(T30-T31),'IMP Table'!$A$2:$C$26,3)*SIGN(T30-T31),0)</f>
        <v/>
      </c>
      <c r="AJ30">
        <f>IF(AND(ISNUMBER(T30),ISNUMBER(T32)),VLOOKUP(ABS(T30-T32),'IMP Table'!$A$2:$C$26,3)*SIGN(T30-T32),0)</f>
        <v/>
      </c>
    </row>
    <row r="31">
      <c r="B31" s="10">
        <f>'By Round'!A43</f>
        <v/>
      </c>
      <c r="C31" s="10">
        <f>'By Round'!B49</f>
        <v/>
      </c>
      <c r="D31" s="10">
        <f>'By Round'!C49</f>
        <v/>
      </c>
      <c r="E31" s="10">
        <f>'By Round'!D49</f>
        <v/>
      </c>
      <c r="F31" s="10">
        <f>IF(ISBLANK('By Round'!F50),"",'By Round'!F50)</f>
        <v/>
      </c>
      <c r="G31">
        <f>IF(ISBLANK('By Round'!G50),"",'By Round'!G50)</f>
        <v/>
      </c>
      <c r="H31">
        <f>IF(ISBLANK('By Round'!H50),"",'By Round'!H50)</f>
        <v/>
      </c>
      <c r="I31">
        <f>IF(ISBLANK('By Round'!I50),"",'By Round'!I50)</f>
        <v/>
      </c>
      <c r="J31">
        <f>IF(ISBLANK('By Round'!J50),"",'By Round'!J50)</f>
        <v/>
      </c>
      <c r="K31">
        <f>IF(ISBLANK('By Round'!K50),"",'By Round'!K50)</f>
        <v/>
      </c>
      <c r="L31">
        <f>IF(ISBLANK('By Round'!L50),"",'By Round'!L50)</f>
        <v/>
      </c>
      <c r="M31" s="11">
        <f>AVERAGE(AC31:AF31)</f>
        <v/>
      </c>
      <c r="N31" s="12">
        <f>AVERAGE(AG31:AJ31)</f>
        <v/>
      </c>
      <c r="O31" s="13">
        <f>IF(COUNT(U31:X31)&gt;0,Q31/COUNT(U31:X31),0.5)</f>
        <v/>
      </c>
      <c r="P31" s="13">
        <f>IF(COUNT(Y31:AB31)&gt;0,R31/COUNT(Y31:AB31),0.5)</f>
        <v/>
      </c>
      <c r="Q31" s="5">
        <f>SUM(U31:X31)</f>
        <v/>
      </c>
      <c r="R31" s="5">
        <f>SUM(Y31:AB31)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IF(ISNUMBER(S31),IF(ISNUMBER(S28),IF(S31&gt;S28,1.0,IF(S31=S28,0.5,0.0)),""),"")</f>
        <v/>
      </c>
      <c r="V31">
        <f>IF(ISNUMBER(S31),IF(ISNUMBER(S29),IF(S31&gt;S29,1.0,IF(S31=S29,0.5,0.0)),""),"")</f>
        <v/>
      </c>
      <c r="W31">
        <f>IF(ISNUMBER(S31),IF(ISNUMBER(S30),IF(S31&gt;S30,1.0,IF(S31=S30,0.5,0.0)),""),"")</f>
        <v/>
      </c>
      <c r="X31">
        <f>IF(ISNUMBER(S31),IF(ISNUMBER(S32),IF(S31&gt;S32,1.0,IF(S31=S32,0.5,0.0)),""),"")</f>
        <v/>
      </c>
      <c r="Y31">
        <f>IF(ISNUMBER(T31),IF(ISNUMBER(T28),IF(T31&gt;T28,1.0,IF(T31=T28,0.5,0.0)),""),"")</f>
        <v/>
      </c>
      <c r="Z31">
        <f>IF(ISNUMBER(T31),IF(ISNUMBER(T29),IF(T31&gt;T29,1.0,IF(T31=T29,0.5,0.0)),""),"")</f>
        <v/>
      </c>
      <c r="AA31">
        <f>IF(ISNUMBER(T31),IF(ISNUMBER(T30),IF(T31&gt;T30,1.0,IF(T31=T30,0.5,0.0)),""),"")</f>
        <v/>
      </c>
      <c r="AB31">
        <f>IF(ISNUMBER(T31),IF(ISNUMBER(T32),IF(T31&gt;T32,1.0,IF(T31=T32,0.5,0.0)),""),"")</f>
        <v/>
      </c>
      <c r="AC31" s="14">
        <f>IF(AND(ISNUMBER(S31),ISNUMBER(S28)),VLOOKUP(ABS(S31-S28),'IMP Table'!$A$2:$C$26,3)*SIGN(S31-S28),0)</f>
        <v/>
      </c>
      <c r="AD31">
        <f>IF(AND(ISNUMBER(S31),ISNUMBER(S29)),VLOOKUP(ABS(S31-S29),'IMP Table'!$A$2:$C$26,3)*SIGN(S31-S29),0)</f>
        <v/>
      </c>
      <c r="AE31">
        <f>IF(AND(ISNUMBER(S31),ISNUMBER(S30)),VLOOKUP(ABS(S31-S30),'IMP Table'!$A$2:$C$26,3)*SIGN(S31-S30),0)</f>
        <v/>
      </c>
      <c r="AF31">
        <f>IF(AND(ISNUMBER(S31),ISNUMBER(S32)),VLOOKUP(ABS(S31-S32),'IMP Table'!$A$2:$C$26,3)*SIGN(S31-S32),0)</f>
        <v/>
      </c>
      <c r="AG31">
        <f>IF(AND(ISNUMBER(T31),ISNUMBER(T28)),VLOOKUP(ABS(T31-T28),'IMP Table'!$A$2:$C$26,3)*SIGN(T31-T28),0)</f>
        <v/>
      </c>
      <c r="AH31">
        <f>IF(AND(ISNUMBER(T31),ISNUMBER(T29)),VLOOKUP(ABS(T31-T29),'IMP Table'!$A$2:$C$26,3)*SIGN(T31-T29),0)</f>
        <v/>
      </c>
      <c r="AI31">
        <f>IF(AND(ISNUMBER(T31),ISNUMBER(T30)),VLOOKUP(ABS(T31-T30),'IMP Table'!$A$2:$C$26,3)*SIGN(T31-T30),0)</f>
        <v/>
      </c>
      <c r="AJ31">
        <f>IF(AND(ISNUMBER(T31),ISNUMBER(T32)),VLOOKUP(ABS(T31-T32),'IMP Table'!$A$2:$C$26,3)*SIGN(T31-T32),0)</f>
        <v/>
      </c>
    </row>
    <row r="32">
      <c r="A32" s="15" t="n"/>
      <c r="B32" s="16">
        <f>'By Round'!A33</f>
        <v/>
      </c>
      <c r="C32" s="16">
        <f>'By Round'!B41</f>
        <v/>
      </c>
      <c r="D32" s="16">
        <f>'By Round'!C41</f>
        <v/>
      </c>
      <c r="E32" s="16">
        <f>'By Round'!D41</f>
        <v/>
      </c>
      <c r="F32" s="16">
        <f>IF(ISBLANK('By Round'!F42),"",'By Round'!F42)</f>
        <v/>
      </c>
      <c r="G32" s="15">
        <f>IF(ISBLANK('By Round'!G42),"",'By Round'!G42)</f>
        <v/>
      </c>
      <c r="H32" s="15">
        <f>IF(ISBLANK('By Round'!H42),"",'By Round'!H42)</f>
        <v/>
      </c>
      <c r="I32" s="15">
        <f>IF(ISBLANK('By Round'!I42),"",'By Round'!I42)</f>
        <v/>
      </c>
      <c r="J32" s="15">
        <f>IF(ISBLANK('By Round'!J42),"",'By Round'!J42)</f>
        <v/>
      </c>
      <c r="K32" s="15">
        <f>IF(ISBLANK('By Round'!K42),"",'By Round'!K42)</f>
        <v/>
      </c>
      <c r="L32" s="15">
        <f>IF(ISBLANK('By Round'!L42),"",'By Round'!L42)</f>
        <v/>
      </c>
      <c r="M32" s="17">
        <f>AVERAGE(AC32:AF32)</f>
        <v/>
      </c>
      <c r="N32" s="18">
        <f>AVERAGE(AG32:AJ32)</f>
        <v/>
      </c>
      <c r="O32" s="19">
        <f>IF(COUNT(U32:X32)&gt;0,Q32/COUNT(U32:X32),0.5)</f>
        <v/>
      </c>
      <c r="P32" s="19">
        <f>IF(COUNT(Y32:AB32)&gt;0,R32/COUNT(Y32:AB32),0.5)</f>
        <v/>
      </c>
      <c r="Q32" s="20">
        <f>SUM(U32:X32)</f>
        <v/>
      </c>
      <c r="R32" s="20">
        <f>SUM(Y32:AB32)</f>
        <v/>
      </c>
      <c r="S32" s="21">
        <f>IF(ISNUMBER(K32),K32,IF(ISNUMBER(L32),-L32,""))</f>
        <v/>
      </c>
      <c r="T32" s="15">
        <f>IF(ISNUMBER(L32),L32,IF(ISNUMBER(K32),-K32,""))</f>
        <v/>
      </c>
      <c r="U32" s="21">
        <f>IF(ISNUMBER(S32),IF(ISNUMBER(S28),IF(S32&gt;S28,1.0,IF(S32=S28,0.5,0.0)),""),"")</f>
        <v/>
      </c>
      <c r="V32" s="15">
        <f>IF(ISNUMBER(S32),IF(ISNUMBER(S29),IF(S32&gt;S29,1.0,IF(S32=S29,0.5,0.0)),""),"")</f>
        <v/>
      </c>
      <c r="W32" s="15">
        <f>IF(ISNUMBER(S32),IF(ISNUMBER(S30),IF(S32&gt;S30,1.0,IF(S32=S30,0.5,0.0)),""),"")</f>
        <v/>
      </c>
      <c r="X32" s="15">
        <f>IF(ISNUMBER(S32),IF(ISNUMBER(S31),IF(S32&gt;S31,1.0,IF(S32=S31,0.5,0.0)),""),"")</f>
        <v/>
      </c>
      <c r="Y32" s="15">
        <f>IF(ISNUMBER(T32),IF(ISNUMBER(T28),IF(T32&gt;T28,1.0,IF(T32=T28,0.5,0.0)),""),"")</f>
        <v/>
      </c>
      <c r="Z32" s="15">
        <f>IF(ISNUMBER(T32),IF(ISNUMBER(T29),IF(T32&gt;T29,1.0,IF(T32=T29,0.5,0.0)),""),"")</f>
        <v/>
      </c>
      <c r="AA32" s="15">
        <f>IF(ISNUMBER(T32),IF(ISNUMBER(T30),IF(T32&gt;T30,1.0,IF(T32=T30,0.5,0.0)),""),"")</f>
        <v/>
      </c>
      <c r="AB32" s="15">
        <f>IF(ISNUMBER(T32),IF(ISNUMBER(T31),IF(T32&gt;T31,1.0,IF(T32=T31,0.5,0.0)),""),"")</f>
        <v/>
      </c>
      <c r="AC32" s="21">
        <f>IF(AND(ISNUMBER(S32),ISNUMBER(S28)),VLOOKUP(ABS(S32-S28),'IMP Table'!$A$2:$C$26,3)*SIGN(S32-S28),0)</f>
        <v/>
      </c>
      <c r="AD32" s="15">
        <f>IF(AND(ISNUMBER(S32),ISNUMBER(S29)),VLOOKUP(ABS(S32-S29),'IMP Table'!$A$2:$C$26,3)*SIGN(S32-S29),0)</f>
        <v/>
      </c>
      <c r="AE32" s="15">
        <f>IF(AND(ISNUMBER(S32),ISNUMBER(S30)),VLOOKUP(ABS(S32-S30),'IMP Table'!$A$2:$C$26,3)*SIGN(S32-S30),0)</f>
        <v/>
      </c>
      <c r="AF32" s="15">
        <f>IF(AND(ISNUMBER(S32),ISNUMBER(S31)),VLOOKUP(ABS(S32-S31),'IMP Table'!$A$2:$C$26,3)*SIGN(S32-S31),0)</f>
        <v/>
      </c>
      <c r="AG32" s="15">
        <f>IF(AND(ISNUMBER(T32),ISNUMBER(T28)),VLOOKUP(ABS(T32-T28),'IMP Table'!$A$2:$C$26,3)*SIGN(T32-T28),0)</f>
        <v/>
      </c>
      <c r="AH32" s="15">
        <f>IF(AND(ISNUMBER(T32),ISNUMBER(T29)),VLOOKUP(ABS(T32-T29),'IMP Table'!$A$2:$C$26,3)*SIGN(T32-T29),0)</f>
        <v/>
      </c>
      <c r="AI32" s="15">
        <f>IF(AND(ISNUMBER(T32),ISNUMBER(T30)),VLOOKUP(ABS(T32-T30),'IMP Table'!$A$2:$C$26,3)*SIGN(T32-T30),0)</f>
        <v/>
      </c>
      <c r="AJ32" s="15">
        <f>IF(AND(ISNUMBER(T32),ISNUMBER(T31)),VLOOKUP(ABS(T32-T31),'IMP Table'!$A$2:$C$26,3)*SIGN(T32-T31),0)</f>
        <v/>
      </c>
    </row>
    <row r="33">
      <c r="A33" s="10" t="n">
        <v>7</v>
      </c>
      <c r="B33" s="10">
        <f>'By Round'!A33</f>
        <v/>
      </c>
      <c r="C33" s="10">
        <f>'By Round'!B33</f>
        <v/>
      </c>
      <c r="D33" s="10">
        <f>'By Round'!C33</f>
        <v/>
      </c>
      <c r="E33" s="10">
        <f>'By Round'!D33</f>
        <v/>
      </c>
      <c r="F33" s="10">
        <f>IF(ISBLANK('By Round'!F33),"",'By Round'!F33)</f>
        <v/>
      </c>
      <c r="G33">
        <f>IF(ISBLANK('By Round'!G33),"",'By Round'!G33)</f>
        <v/>
      </c>
      <c r="H33">
        <f>IF(ISBLANK('By Round'!H33),"",'By Round'!H33)</f>
        <v/>
      </c>
      <c r="I33">
        <f>IF(ISBLANK('By Round'!I33),"",'By Round'!I33)</f>
        <v/>
      </c>
      <c r="J33">
        <f>IF(ISBLANK('By Round'!J33),"",'By Round'!J33)</f>
        <v/>
      </c>
      <c r="K33">
        <f>IF(ISBLANK('By Round'!K33),"",'By Round'!K33)</f>
        <v/>
      </c>
      <c r="L33">
        <f>IF(ISBLANK('By Round'!L33),"",'By Round'!L33)</f>
        <v/>
      </c>
      <c r="M33" s="11">
        <f>AVERAGE(AC33:AF33)</f>
        <v/>
      </c>
      <c r="N33" s="12">
        <f>AVERAGE(AG33:AJ33)</f>
        <v/>
      </c>
      <c r="O33" s="13">
        <f>IF(COUNT(U33:X33)&gt;0,Q33/COUNT(U33:X33),0.5)</f>
        <v/>
      </c>
      <c r="P33" s="13">
        <f>IF(COUNT(Y33:AB33)&gt;0,R33/COUNT(Y33:AB33),0.5)</f>
        <v/>
      </c>
      <c r="Q33" s="5">
        <f>SUM(U33:X33)</f>
        <v/>
      </c>
      <c r="R33" s="5">
        <f>SUM(Y33:AB33)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IF(ISNUMBER(S33),IF(ISNUMBER(S34),IF(S33&gt;S34,1.0,IF(S33=S34,0.5,0.0)),""),"")</f>
        <v/>
      </c>
      <c r="V33">
        <f>IF(ISNUMBER(S33),IF(ISNUMBER(S35),IF(S33&gt;S35,1.0,IF(S33=S35,0.5,0.0)),""),"")</f>
        <v/>
      </c>
      <c r="W33">
        <f>IF(ISNUMBER(S33),IF(ISNUMBER(S36),IF(S33&gt;S36,1.0,IF(S33=S36,0.5,0.0)),""),"")</f>
        <v/>
      </c>
      <c r="X33">
        <f>IF(ISNUMBER(S33),IF(ISNUMBER(S37),IF(S33&gt;S37,1.0,IF(S33=S37,0.5,0.0)),""),"")</f>
        <v/>
      </c>
      <c r="Y33">
        <f>IF(ISNUMBER(T33),IF(ISNUMBER(T34),IF(T33&gt;T34,1.0,IF(T33=T34,0.5,0.0)),""),"")</f>
        <v/>
      </c>
      <c r="Z33">
        <f>IF(ISNUMBER(T33),IF(ISNUMBER(T35),IF(T33&gt;T35,1.0,IF(T33=T35,0.5,0.0)),""),"")</f>
        <v/>
      </c>
      <c r="AA33">
        <f>IF(ISNUMBER(T33),IF(ISNUMBER(T36),IF(T33&gt;T36,1.0,IF(T33=T36,0.5,0.0)),""),"")</f>
        <v/>
      </c>
      <c r="AB33">
        <f>IF(ISNUMBER(T33),IF(ISNUMBER(T37),IF(T33&gt;T37,1.0,IF(T33=T37,0.5,0.0)),""),"")</f>
        <v/>
      </c>
      <c r="AC33" s="14">
        <f>IF(AND(ISNUMBER(S33),ISNUMBER(S34)),VLOOKUP(ABS(S33-S34),'IMP Table'!$A$2:$C$26,3)*SIGN(S33-S34),0)</f>
        <v/>
      </c>
      <c r="AD33">
        <f>IF(AND(ISNUMBER(S33),ISNUMBER(S35)),VLOOKUP(ABS(S33-S35),'IMP Table'!$A$2:$C$26,3)*SIGN(S33-S35),0)</f>
        <v/>
      </c>
      <c r="AE33">
        <f>IF(AND(ISNUMBER(S33),ISNUMBER(S36)),VLOOKUP(ABS(S33-S36),'IMP Table'!$A$2:$C$26,3)*SIGN(S33-S36),0)</f>
        <v/>
      </c>
      <c r="AF33">
        <f>IF(AND(ISNUMBER(S33),ISNUMBER(S37)),VLOOKUP(ABS(S33-S37),'IMP Table'!$A$2:$C$26,3)*SIGN(S33-S37),0)</f>
        <v/>
      </c>
      <c r="AG33">
        <f>IF(AND(ISNUMBER(T33),ISNUMBER(T34)),VLOOKUP(ABS(T33-T34),'IMP Table'!$A$2:$C$26,3)*SIGN(T33-T34),0)</f>
        <v/>
      </c>
      <c r="AH33">
        <f>IF(AND(ISNUMBER(T33),ISNUMBER(T35)),VLOOKUP(ABS(T33-T35),'IMP Table'!$A$2:$C$26,3)*SIGN(T33-T35),0)</f>
        <v/>
      </c>
      <c r="AI33">
        <f>IF(AND(ISNUMBER(T33),ISNUMBER(T36)),VLOOKUP(ABS(T33-T36),'IMP Table'!$A$2:$C$26,3)*SIGN(T33-T36),0)</f>
        <v/>
      </c>
      <c r="AJ33">
        <f>IF(AND(ISNUMBER(T33),ISNUMBER(T37)),VLOOKUP(ABS(T33-T37),'IMP Table'!$A$2:$C$26,3)*SIGN(T33-T37),0)</f>
        <v/>
      </c>
    </row>
    <row r="34">
      <c r="B34" s="10">
        <f>'By Round'!A23</f>
        <v/>
      </c>
      <c r="C34" s="10">
        <f>'By Round'!B25</f>
        <v/>
      </c>
      <c r="D34" s="10">
        <f>'By Round'!C25</f>
        <v/>
      </c>
      <c r="E34" s="10">
        <f>'By Round'!D25</f>
        <v/>
      </c>
      <c r="F34" s="10">
        <f>IF(ISBLANK('By Round'!F25),"",'By Round'!F25)</f>
        <v/>
      </c>
      <c r="G34">
        <f>IF(ISBLANK('By Round'!G25),"",'By Round'!G25)</f>
        <v/>
      </c>
      <c r="H34">
        <f>IF(ISBLANK('By Round'!H25),"",'By Round'!H25)</f>
        <v/>
      </c>
      <c r="I34">
        <f>IF(ISBLANK('By Round'!I25),"",'By Round'!I25)</f>
        <v/>
      </c>
      <c r="J34">
        <f>IF(ISBLANK('By Round'!J25),"",'By Round'!J25)</f>
        <v/>
      </c>
      <c r="K34">
        <f>IF(ISBLANK('By Round'!K25),"",'By Round'!K25)</f>
        <v/>
      </c>
      <c r="L34">
        <f>IF(ISBLANK('By Round'!L25),"",'By Round'!L25)</f>
        <v/>
      </c>
      <c r="M34" s="11">
        <f>AVERAGE(AC34:AF34)</f>
        <v/>
      </c>
      <c r="N34" s="12">
        <f>AVERAGE(AG34:AJ34)</f>
        <v/>
      </c>
      <c r="O34" s="13">
        <f>IF(COUNT(U34:X34)&gt;0,Q34/COUNT(U34:X34),0.5)</f>
        <v/>
      </c>
      <c r="P34" s="13">
        <f>IF(COUNT(Y34:AB34)&gt;0,R34/COUNT(Y34:AB34),0.5)</f>
        <v/>
      </c>
      <c r="Q34" s="5">
        <f>SUM(U34:X34)</f>
        <v/>
      </c>
      <c r="R34" s="5">
        <f>SUM(Y34:AB34)</f>
        <v/>
      </c>
      <c r="S34" s="14">
        <f>IF(ISNUMBER(K34),K34,IF(ISNUMBER(L34),-L34,""))</f>
        <v/>
      </c>
      <c r="T34">
        <f>IF(ISNUMBER(L34),L34,IF(ISNUMBER(K34),-K34,""))</f>
        <v/>
      </c>
      <c r="U34" s="14">
        <f>IF(ISNUMBER(S34),IF(ISNUMBER(S33),IF(S34&gt;S33,1.0,IF(S34=S33,0.5,0.0)),""),"")</f>
        <v/>
      </c>
      <c r="V34">
        <f>IF(ISNUMBER(S34),IF(ISNUMBER(S35),IF(S34&gt;S35,1.0,IF(S34=S35,0.5,0.0)),""),"")</f>
        <v/>
      </c>
      <c r="W34">
        <f>IF(ISNUMBER(S34),IF(ISNUMBER(S36),IF(S34&gt;S36,1.0,IF(S34=S36,0.5,0.0)),""),"")</f>
        <v/>
      </c>
      <c r="X34">
        <f>IF(ISNUMBER(S34),IF(ISNUMBER(S37),IF(S34&gt;S37,1.0,IF(S34=S37,0.5,0.0)),""),"")</f>
        <v/>
      </c>
      <c r="Y34">
        <f>IF(ISNUMBER(T34),IF(ISNUMBER(T33),IF(T34&gt;T33,1.0,IF(T34=T33,0.5,0.0)),""),"")</f>
        <v/>
      </c>
      <c r="Z34">
        <f>IF(ISNUMBER(T34),IF(ISNUMBER(T35),IF(T34&gt;T35,1.0,IF(T34=T35,0.5,0.0)),""),"")</f>
        <v/>
      </c>
      <c r="AA34">
        <f>IF(ISNUMBER(T34),IF(ISNUMBER(T36),IF(T34&gt;T36,1.0,IF(T34=T36,0.5,0.0)),""),"")</f>
        <v/>
      </c>
      <c r="AB34">
        <f>IF(ISNUMBER(T34),IF(ISNUMBER(T37),IF(T34&gt;T37,1.0,IF(T34=T37,0.5,0.0)),""),"")</f>
        <v/>
      </c>
      <c r="AC34" s="14">
        <f>IF(AND(ISNUMBER(S34),ISNUMBER(S33)),VLOOKUP(ABS(S34-S33),'IMP Table'!$A$2:$C$26,3)*SIGN(S34-S33),0)</f>
        <v/>
      </c>
      <c r="AD34">
        <f>IF(AND(ISNUMBER(S34),ISNUMBER(S35)),VLOOKUP(ABS(S34-S35),'IMP Table'!$A$2:$C$26,3)*SIGN(S34-S35),0)</f>
        <v/>
      </c>
      <c r="AE34">
        <f>IF(AND(ISNUMBER(S34),ISNUMBER(S36)),VLOOKUP(ABS(S34-S36),'IMP Table'!$A$2:$C$26,3)*SIGN(S34-S36),0)</f>
        <v/>
      </c>
      <c r="AF34">
        <f>IF(AND(ISNUMBER(S34),ISNUMBER(S37)),VLOOKUP(ABS(S34-S37),'IMP Table'!$A$2:$C$26,3)*SIGN(S34-S37),0)</f>
        <v/>
      </c>
      <c r="AG34">
        <f>IF(AND(ISNUMBER(T34),ISNUMBER(T33)),VLOOKUP(ABS(T34-T33),'IMP Table'!$A$2:$C$26,3)*SIGN(T34-T33),0)</f>
        <v/>
      </c>
      <c r="AH34">
        <f>IF(AND(ISNUMBER(T34),ISNUMBER(T35)),VLOOKUP(ABS(T34-T35),'IMP Table'!$A$2:$C$26,3)*SIGN(T34-T35),0)</f>
        <v/>
      </c>
      <c r="AI34">
        <f>IF(AND(ISNUMBER(T34),ISNUMBER(T36)),VLOOKUP(ABS(T34-T36),'IMP Table'!$A$2:$C$26,3)*SIGN(T34-T36),0)</f>
        <v/>
      </c>
      <c r="AJ34">
        <f>IF(AND(ISNUMBER(T34),ISNUMBER(T37)),VLOOKUP(ABS(T34-T37),'IMP Table'!$A$2:$C$26,3)*SIGN(T34-T37),0)</f>
        <v/>
      </c>
    </row>
    <row r="35">
      <c r="B35" s="10">
        <f>'By Round'!A13</f>
        <v/>
      </c>
      <c r="C35" s="10">
        <f>'By Round'!B17</f>
        <v/>
      </c>
      <c r="D35" s="10">
        <f>'By Round'!C17</f>
        <v/>
      </c>
      <c r="E35" s="10">
        <f>'By Round'!D17</f>
        <v/>
      </c>
      <c r="F35" s="10">
        <f>IF(ISBLANK('By Round'!F17),"",'By Round'!F17)</f>
        <v/>
      </c>
      <c r="G35">
        <f>IF(ISBLANK('By Round'!G17),"",'By Round'!G17)</f>
        <v/>
      </c>
      <c r="H35">
        <f>IF(ISBLANK('By Round'!H17),"",'By Round'!H17)</f>
        <v/>
      </c>
      <c r="I35">
        <f>IF(ISBLANK('By Round'!I17),"",'By Round'!I17)</f>
        <v/>
      </c>
      <c r="J35">
        <f>IF(ISBLANK('By Round'!J17),"",'By Round'!J17)</f>
        <v/>
      </c>
      <c r="K35">
        <f>IF(ISBLANK('By Round'!K17),"",'By Round'!K17)</f>
        <v/>
      </c>
      <c r="L35">
        <f>IF(ISBLANK('By Round'!L17),"",'By Round'!L17)</f>
        <v/>
      </c>
      <c r="M35" s="11">
        <f>AVERAGE(AC35:AF35)</f>
        <v/>
      </c>
      <c r="N35" s="12">
        <f>AVERAGE(AG35:AJ35)</f>
        <v/>
      </c>
      <c r="O35" s="13">
        <f>IF(COUNT(U35:X35)&gt;0,Q35/COUNT(U35:X35),0.5)</f>
        <v/>
      </c>
      <c r="P35" s="13">
        <f>IF(COUNT(Y35:AB35)&gt;0,R35/COUNT(Y35:AB35),0.5)</f>
        <v/>
      </c>
      <c r="Q35" s="5">
        <f>SUM(U35:X35)</f>
        <v/>
      </c>
      <c r="R35" s="5">
        <f>SUM(Y35:AB35)</f>
        <v/>
      </c>
      <c r="S35" s="14">
        <f>IF(ISNUMBER(K35),K35,IF(ISNUMBER(L35),-L35,""))</f>
        <v/>
      </c>
      <c r="T35">
        <f>IF(ISNUMBER(L35),L35,IF(ISNUMBER(K35),-K35,""))</f>
        <v/>
      </c>
      <c r="U35" s="14">
        <f>IF(ISNUMBER(S35),IF(ISNUMBER(S33),IF(S35&gt;S33,1.0,IF(S35=S33,0.5,0.0)),""),"")</f>
        <v/>
      </c>
      <c r="V35">
        <f>IF(ISNUMBER(S35),IF(ISNUMBER(S34),IF(S35&gt;S34,1.0,IF(S35=S34,0.5,0.0)),""),"")</f>
        <v/>
      </c>
      <c r="W35">
        <f>IF(ISNUMBER(S35),IF(ISNUMBER(S36),IF(S35&gt;S36,1.0,IF(S35=S36,0.5,0.0)),""),"")</f>
        <v/>
      </c>
      <c r="X35">
        <f>IF(ISNUMBER(S35),IF(ISNUMBER(S37),IF(S35&gt;S37,1.0,IF(S35=S37,0.5,0.0)),""),"")</f>
        <v/>
      </c>
      <c r="Y35">
        <f>IF(ISNUMBER(T35),IF(ISNUMBER(T33),IF(T35&gt;T33,1.0,IF(T35=T33,0.5,0.0)),""),"")</f>
        <v/>
      </c>
      <c r="Z35">
        <f>IF(ISNUMBER(T35),IF(ISNUMBER(T34),IF(T35&gt;T34,1.0,IF(T35=T34,0.5,0.0)),""),"")</f>
        <v/>
      </c>
      <c r="AA35">
        <f>IF(ISNUMBER(T35),IF(ISNUMBER(T36),IF(T35&gt;T36,1.0,IF(T35=T36,0.5,0.0)),""),"")</f>
        <v/>
      </c>
      <c r="AB35">
        <f>IF(ISNUMBER(T35),IF(ISNUMBER(T37),IF(T35&gt;T37,1.0,IF(T35=T37,0.5,0.0)),""),"")</f>
        <v/>
      </c>
      <c r="AC35" s="14">
        <f>IF(AND(ISNUMBER(S35),ISNUMBER(S33)),VLOOKUP(ABS(S35-S33),'IMP Table'!$A$2:$C$26,3)*SIGN(S35-S33),0)</f>
        <v/>
      </c>
      <c r="AD35">
        <f>IF(AND(ISNUMBER(S35),ISNUMBER(S34)),VLOOKUP(ABS(S35-S34),'IMP Table'!$A$2:$C$26,3)*SIGN(S35-S34),0)</f>
        <v/>
      </c>
      <c r="AE35">
        <f>IF(AND(ISNUMBER(S35),ISNUMBER(S36)),VLOOKUP(ABS(S35-S36),'IMP Table'!$A$2:$C$26,3)*SIGN(S35-S36),0)</f>
        <v/>
      </c>
      <c r="AF35">
        <f>IF(AND(ISNUMBER(S35),ISNUMBER(S37)),VLOOKUP(ABS(S35-S37),'IMP Table'!$A$2:$C$26,3)*SIGN(S35-S37),0)</f>
        <v/>
      </c>
      <c r="AG35">
        <f>IF(AND(ISNUMBER(T35),ISNUMBER(T33)),VLOOKUP(ABS(T35-T33),'IMP Table'!$A$2:$C$26,3)*SIGN(T35-T33),0)</f>
        <v/>
      </c>
      <c r="AH35">
        <f>IF(AND(ISNUMBER(T35),ISNUMBER(T34)),VLOOKUP(ABS(T35-T34),'IMP Table'!$A$2:$C$26,3)*SIGN(T35-T34),0)</f>
        <v/>
      </c>
      <c r="AI35">
        <f>IF(AND(ISNUMBER(T35),ISNUMBER(T36)),VLOOKUP(ABS(T35-T36),'IMP Table'!$A$2:$C$26,3)*SIGN(T35-T36),0)</f>
        <v/>
      </c>
      <c r="AJ35">
        <f>IF(AND(ISNUMBER(T35),ISNUMBER(T37)),VLOOKUP(ABS(T35-T37),'IMP Table'!$A$2:$C$26,3)*SIGN(T35-T37),0)</f>
        <v/>
      </c>
    </row>
    <row r="36">
      <c r="B36" s="10">
        <f>'By Round'!A53</f>
        <v/>
      </c>
      <c r="C36" s="10">
        <f>'By Round'!B59</f>
        <v/>
      </c>
      <c r="D36" s="10">
        <f>'By Round'!C59</f>
        <v/>
      </c>
      <c r="E36" s="10">
        <f>'By Round'!D59</f>
        <v/>
      </c>
      <c r="F36" s="10">
        <f>IF(ISBLANK('By Round'!F59),"",'By Round'!F59)</f>
        <v/>
      </c>
      <c r="G36">
        <f>IF(ISBLANK('By Round'!G59),"",'By Round'!G59)</f>
        <v/>
      </c>
      <c r="H36">
        <f>IF(ISBLANK('By Round'!H59),"",'By Round'!H59)</f>
        <v/>
      </c>
      <c r="I36">
        <f>IF(ISBLANK('By Round'!I59),"",'By Round'!I59)</f>
        <v/>
      </c>
      <c r="J36">
        <f>IF(ISBLANK('By Round'!J59),"",'By Round'!J59)</f>
        <v/>
      </c>
      <c r="K36">
        <f>IF(ISBLANK('By Round'!K59),"",'By Round'!K59)</f>
        <v/>
      </c>
      <c r="L36">
        <f>IF(ISBLANK('By Round'!L59),"",'By Round'!L59)</f>
        <v/>
      </c>
      <c r="M36" s="11">
        <f>AVERAGE(AC36:AF36)</f>
        <v/>
      </c>
      <c r="N36" s="12">
        <f>AVERAGE(AG36:AJ36)</f>
        <v/>
      </c>
      <c r="O36" s="13">
        <f>IF(COUNT(U36:X36)&gt;0,Q36/COUNT(U36:X36),0.5)</f>
        <v/>
      </c>
      <c r="P36" s="13">
        <f>IF(COUNT(Y36:AB36)&gt;0,R36/COUNT(Y36:AB36),0.5)</f>
        <v/>
      </c>
      <c r="Q36" s="5">
        <f>SUM(U36:X36)</f>
        <v/>
      </c>
      <c r="R36" s="5">
        <f>SUM(Y36:AB36)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IF(ISNUMBER(S36),IF(ISNUMBER(S33),IF(S36&gt;S33,1.0,IF(S36=S33,0.5,0.0)),""),"")</f>
        <v/>
      </c>
      <c r="V36">
        <f>IF(ISNUMBER(S36),IF(ISNUMBER(S34),IF(S36&gt;S34,1.0,IF(S36=S34,0.5,0.0)),""),"")</f>
        <v/>
      </c>
      <c r="W36">
        <f>IF(ISNUMBER(S36),IF(ISNUMBER(S35),IF(S36&gt;S35,1.0,IF(S36=S35,0.5,0.0)),""),"")</f>
        <v/>
      </c>
      <c r="X36">
        <f>IF(ISNUMBER(S36),IF(ISNUMBER(S37),IF(S36&gt;S37,1.0,IF(S36=S37,0.5,0.0)),""),"")</f>
        <v/>
      </c>
      <c r="Y36">
        <f>IF(ISNUMBER(T36),IF(ISNUMBER(T33),IF(T36&gt;T33,1.0,IF(T36=T33,0.5,0.0)),""),"")</f>
        <v/>
      </c>
      <c r="Z36">
        <f>IF(ISNUMBER(T36),IF(ISNUMBER(T34),IF(T36&gt;T34,1.0,IF(T36=T34,0.5,0.0)),""),"")</f>
        <v/>
      </c>
      <c r="AA36">
        <f>IF(ISNUMBER(T36),IF(ISNUMBER(T35),IF(T36&gt;T35,1.0,IF(T36=T35,0.5,0.0)),""),"")</f>
        <v/>
      </c>
      <c r="AB36">
        <f>IF(ISNUMBER(T36),IF(ISNUMBER(T37),IF(T36&gt;T37,1.0,IF(T36=T37,0.5,0.0)),""),"")</f>
        <v/>
      </c>
      <c r="AC36" s="14">
        <f>IF(AND(ISNUMBER(S36),ISNUMBER(S33)),VLOOKUP(ABS(S36-S33),'IMP Table'!$A$2:$C$26,3)*SIGN(S36-S33),0)</f>
        <v/>
      </c>
      <c r="AD36">
        <f>IF(AND(ISNUMBER(S36),ISNUMBER(S34)),VLOOKUP(ABS(S36-S34),'IMP Table'!$A$2:$C$26,3)*SIGN(S36-S34),0)</f>
        <v/>
      </c>
      <c r="AE36">
        <f>IF(AND(ISNUMBER(S36),ISNUMBER(S35)),VLOOKUP(ABS(S36-S35),'IMP Table'!$A$2:$C$26,3)*SIGN(S36-S35),0)</f>
        <v/>
      </c>
      <c r="AF36">
        <f>IF(AND(ISNUMBER(S36),ISNUMBER(S37)),VLOOKUP(ABS(S36-S37),'IMP Table'!$A$2:$C$26,3)*SIGN(S36-S37),0)</f>
        <v/>
      </c>
      <c r="AG36">
        <f>IF(AND(ISNUMBER(T36),ISNUMBER(T33)),VLOOKUP(ABS(T36-T33),'IMP Table'!$A$2:$C$26,3)*SIGN(T36-T33),0)</f>
        <v/>
      </c>
      <c r="AH36">
        <f>IF(AND(ISNUMBER(T36),ISNUMBER(T34)),VLOOKUP(ABS(T36-T34),'IMP Table'!$A$2:$C$26,3)*SIGN(T36-T34),0)</f>
        <v/>
      </c>
      <c r="AI36">
        <f>IF(AND(ISNUMBER(T36),ISNUMBER(T35)),VLOOKUP(ABS(T36-T35),'IMP Table'!$A$2:$C$26,3)*SIGN(T36-T35),0)</f>
        <v/>
      </c>
      <c r="AJ36">
        <f>IF(AND(ISNUMBER(T36),ISNUMBER(T37)),VLOOKUP(ABS(T36-T37),'IMP Table'!$A$2:$C$26,3)*SIGN(T36-T37),0)</f>
        <v/>
      </c>
    </row>
    <row r="37">
      <c r="A37" s="15" t="n"/>
      <c r="B37" s="16">
        <f>'By Round'!A43</f>
        <v/>
      </c>
      <c r="C37" s="16">
        <f>'By Round'!B51</f>
        <v/>
      </c>
      <c r="D37" s="16">
        <f>'By Round'!C51</f>
        <v/>
      </c>
      <c r="E37" s="16">
        <f>'By Round'!D51</f>
        <v/>
      </c>
      <c r="F37" s="16">
        <f>IF(ISBLANK('By Round'!F51),"",'By Round'!F51)</f>
        <v/>
      </c>
      <c r="G37" s="15">
        <f>IF(ISBLANK('By Round'!G51),"",'By Round'!G51)</f>
        <v/>
      </c>
      <c r="H37" s="15">
        <f>IF(ISBLANK('By Round'!H51),"",'By Round'!H51)</f>
        <v/>
      </c>
      <c r="I37" s="15">
        <f>IF(ISBLANK('By Round'!I51),"",'By Round'!I51)</f>
        <v/>
      </c>
      <c r="J37" s="15">
        <f>IF(ISBLANK('By Round'!J51),"",'By Round'!J51)</f>
        <v/>
      </c>
      <c r="K37" s="15">
        <f>IF(ISBLANK('By Round'!K51),"",'By Round'!K51)</f>
        <v/>
      </c>
      <c r="L37" s="15">
        <f>IF(ISBLANK('By Round'!L51),"",'By Round'!L51)</f>
        <v/>
      </c>
      <c r="M37" s="17">
        <f>AVERAGE(AC37:AF37)</f>
        <v/>
      </c>
      <c r="N37" s="18">
        <f>AVERAGE(AG37:AJ37)</f>
        <v/>
      </c>
      <c r="O37" s="19">
        <f>IF(COUNT(U37:X37)&gt;0,Q37/COUNT(U37:X37),0.5)</f>
        <v/>
      </c>
      <c r="P37" s="19">
        <f>IF(COUNT(Y37:AB37)&gt;0,R37/COUNT(Y37:AB37),0.5)</f>
        <v/>
      </c>
      <c r="Q37" s="20">
        <f>SUM(U37:X37)</f>
        <v/>
      </c>
      <c r="R37" s="20">
        <f>SUM(Y37:AB37)</f>
        <v/>
      </c>
      <c r="S37" s="21">
        <f>IF(ISNUMBER(K37),K37,IF(ISNUMBER(L37),-L37,""))</f>
        <v/>
      </c>
      <c r="T37" s="15">
        <f>IF(ISNUMBER(L37),L37,IF(ISNUMBER(K37),-K37,""))</f>
        <v/>
      </c>
      <c r="U37" s="21">
        <f>IF(ISNUMBER(S37),IF(ISNUMBER(S33),IF(S37&gt;S33,1.0,IF(S37=S33,0.5,0.0)),""),"")</f>
        <v/>
      </c>
      <c r="V37" s="15">
        <f>IF(ISNUMBER(S37),IF(ISNUMBER(S34),IF(S37&gt;S34,1.0,IF(S37=S34,0.5,0.0)),""),"")</f>
        <v/>
      </c>
      <c r="W37" s="15">
        <f>IF(ISNUMBER(S37),IF(ISNUMBER(S35),IF(S37&gt;S35,1.0,IF(S37=S35,0.5,0.0)),""),"")</f>
        <v/>
      </c>
      <c r="X37" s="15">
        <f>IF(ISNUMBER(S37),IF(ISNUMBER(S36),IF(S37&gt;S36,1.0,IF(S37=S36,0.5,0.0)),""),"")</f>
        <v/>
      </c>
      <c r="Y37" s="15">
        <f>IF(ISNUMBER(T37),IF(ISNUMBER(T33),IF(T37&gt;T33,1.0,IF(T37=T33,0.5,0.0)),""),"")</f>
        <v/>
      </c>
      <c r="Z37" s="15">
        <f>IF(ISNUMBER(T37),IF(ISNUMBER(T34),IF(T37&gt;T34,1.0,IF(T37=T34,0.5,0.0)),""),"")</f>
        <v/>
      </c>
      <c r="AA37" s="15">
        <f>IF(ISNUMBER(T37),IF(ISNUMBER(T35),IF(T37&gt;T35,1.0,IF(T37=T35,0.5,0.0)),""),"")</f>
        <v/>
      </c>
      <c r="AB37" s="15">
        <f>IF(ISNUMBER(T37),IF(ISNUMBER(T36),IF(T37&gt;T36,1.0,IF(T37=T36,0.5,0.0)),""),"")</f>
        <v/>
      </c>
      <c r="AC37" s="21">
        <f>IF(AND(ISNUMBER(S37),ISNUMBER(S33)),VLOOKUP(ABS(S37-S33),'IMP Table'!$A$2:$C$26,3)*SIGN(S37-S33),0)</f>
        <v/>
      </c>
      <c r="AD37" s="15">
        <f>IF(AND(ISNUMBER(S37),ISNUMBER(S34)),VLOOKUP(ABS(S37-S34),'IMP Table'!$A$2:$C$26,3)*SIGN(S37-S34),0)</f>
        <v/>
      </c>
      <c r="AE37" s="15">
        <f>IF(AND(ISNUMBER(S37),ISNUMBER(S35)),VLOOKUP(ABS(S37-S35),'IMP Table'!$A$2:$C$26,3)*SIGN(S37-S35),0)</f>
        <v/>
      </c>
      <c r="AF37" s="15">
        <f>IF(AND(ISNUMBER(S37),ISNUMBER(S36)),VLOOKUP(ABS(S37-S36),'IMP Table'!$A$2:$C$26,3)*SIGN(S37-S36),0)</f>
        <v/>
      </c>
      <c r="AG37" s="15">
        <f>IF(AND(ISNUMBER(T37),ISNUMBER(T33)),VLOOKUP(ABS(T37-T33),'IMP Table'!$A$2:$C$26,3)*SIGN(T37-T33),0)</f>
        <v/>
      </c>
      <c r="AH37" s="15">
        <f>IF(AND(ISNUMBER(T37),ISNUMBER(T34)),VLOOKUP(ABS(T37-T34),'IMP Table'!$A$2:$C$26,3)*SIGN(T37-T34),0)</f>
        <v/>
      </c>
      <c r="AI37" s="15">
        <f>IF(AND(ISNUMBER(T37),ISNUMBER(T35)),VLOOKUP(ABS(T37-T35),'IMP Table'!$A$2:$C$26,3)*SIGN(T37-T35),0)</f>
        <v/>
      </c>
      <c r="AJ37" s="15">
        <f>IF(AND(ISNUMBER(T37),ISNUMBER(T36)),VLOOKUP(ABS(T37-T36),'IMP Table'!$A$2:$C$26,3)*SIGN(T37-T36),0)</f>
        <v/>
      </c>
    </row>
    <row r="38">
      <c r="A38" s="10" t="n">
        <v>8</v>
      </c>
      <c r="B38" s="10">
        <f>'By Round'!A33</f>
        <v/>
      </c>
      <c r="C38" s="10">
        <f>'By Round'!B33</f>
        <v/>
      </c>
      <c r="D38" s="10">
        <f>'By Round'!C33</f>
        <v/>
      </c>
      <c r="E38" s="10">
        <f>'By Round'!D33</f>
        <v/>
      </c>
      <c r="F38" s="10">
        <f>IF(ISBLANK('By Round'!F34),"",'By Round'!F34)</f>
        <v/>
      </c>
      <c r="G38">
        <f>IF(ISBLANK('By Round'!G34),"",'By Round'!G34)</f>
        <v/>
      </c>
      <c r="H38">
        <f>IF(ISBLANK('By Round'!H34),"",'By Round'!H34)</f>
        <v/>
      </c>
      <c r="I38">
        <f>IF(ISBLANK('By Round'!I34),"",'By Round'!I34)</f>
        <v/>
      </c>
      <c r="J38">
        <f>IF(ISBLANK('By Round'!J34),"",'By Round'!J34)</f>
        <v/>
      </c>
      <c r="K38">
        <f>IF(ISBLANK('By Round'!K34),"",'By Round'!K34)</f>
        <v/>
      </c>
      <c r="L38">
        <f>IF(ISBLANK('By Round'!L34),"",'By Round'!L34)</f>
        <v/>
      </c>
      <c r="M38" s="11">
        <f>AVERAGE(AC38:AF38)</f>
        <v/>
      </c>
      <c r="N38" s="12">
        <f>AVERAGE(AG38:AJ38)</f>
        <v/>
      </c>
      <c r="O38" s="13">
        <f>IF(COUNT(U38:X38)&gt;0,Q38/COUNT(U38:X38),0.5)</f>
        <v/>
      </c>
      <c r="P38" s="13">
        <f>IF(COUNT(Y38:AB38)&gt;0,R38/COUNT(Y38:AB38),0.5)</f>
        <v/>
      </c>
      <c r="Q38" s="5">
        <f>SUM(U38:X38)</f>
        <v/>
      </c>
      <c r="R38" s="5">
        <f>SUM(Y38:AB38)</f>
        <v/>
      </c>
      <c r="S38" s="14">
        <f>IF(ISNUMBER(K38),K38,IF(ISNUMBER(L38),-L38,""))</f>
        <v/>
      </c>
      <c r="T38">
        <f>IF(ISNUMBER(L38),L38,IF(ISNUMBER(K38),-K38,""))</f>
        <v/>
      </c>
      <c r="U38" s="14">
        <f>IF(ISNUMBER(S38),IF(ISNUMBER(S39),IF(S38&gt;S39,1.0,IF(S38=S39,0.5,0.0)),""),"")</f>
        <v/>
      </c>
      <c r="V38">
        <f>IF(ISNUMBER(S38),IF(ISNUMBER(S40),IF(S38&gt;S40,1.0,IF(S38=S40,0.5,0.0)),""),"")</f>
        <v/>
      </c>
      <c r="W38">
        <f>IF(ISNUMBER(S38),IF(ISNUMBER(S41),IF(S38&gt;S41,1.0,IF(S38=S41,0.5,0.0)),""),"")</f>
        <v/>
      </c>
      <c r="X38">
        <f>IF(ISNUMBER(S38),IF(ISNUMBER(S42),IF(S38&gt;S42,1.0,IF(S38=S42,0.5,0.0)),""),"")</f>
        <v/>
      </c>
      <c r="Y38">
        <f>IF(ISNUMBER(T38),IF(ISNUMBER(T39),IF(T38&gt;T39,1.0,IF(T38=T39,0.5,0.0)),""),"")</f>
        <v/>
      </c>
      <c r="Z38">
        <f>IF(ISNUMBER(T38),IF(ISNUMBER(T40),IF(T38&gt;T40,1.0,IF(T38=T40,0.5,0.0)),""),"")</f>
        <v/>
      </c>
      <c r="AA38">
        <f>IF(ISNUMBER(T38),IF(ISNUMBER(T41),IF(T38&gt;T41,1.0,IF(T38=T41,0.5,0.0)),""),"")</f>
        <v/>
      </c>
      <c r="AB38">
        <f>IF(ISNUMBER(T38),IF(ISNUMBER(T42),IF(T38&gt;T42,1.0,IF(T38=T42,0.5,0.0)),""),"")</f>
        <v/>
      </c>
      <c r="AC38" s="14">
        <f>IF(AND(ISNUMBER(S38),ISNUMBER(S39)),VLOOKUP(ABS(S38-S39),'IMP Table'!$A$2:$C$26,3)*SIGN(S38-S39),0)</f>
        <v/>
      </c>
      <c r="AD38">
        <f>IF(AND(ISNUMBER(S38),ISNUMBER(S40)),VLOOKUP(ABS(S38-S40),'IMP Table'!$A$2:$C$26,3)*SIGN(S38-S40),0)</f>
        <v/>
      </c>
      <c r="AE38">
        <f>IF(AND(ISNUMBER(S38),ISNUMBER(S41)),VLOOKUP(ABS(S38-S41),'IMP Table'!$A$2:$C$26,3)*SIGN(S38-S41),0)</f>
        <v/>
      </c>
      <c r="AF38">
        <f>IF(AND(ISNUMBER(S38),ISNUMBER(S42)),VLOOKUP(ABS(S38-S42),'IMP Table'!$A$2:$C$26,3)*SIGN(S38-S42),0)</f>
        <v/>
      </c>
      <c r="AG38">
        <f>IF(AND(ISNUMBER(T38),ISNUMBER(T39)),VLOOKUP(ABS(T38-T39),'IMP Table'!$A$2:$C$26,3)*SIGN(T38-T39),0)</f>
        <v/>
      </c>
      <c r="AH38">
        <f>IF(AND(ISNUMBER(T38),ISNUMBER(T40)),VLOOKUP(ABS(T38-T40),'IMP Table'!$A$2:$C$26,3)*SIGN(T38-T40),0)</f>
        <v/>
      </c>
      <c r="AI38">
        <f>IF(AND(ISNUMBER(T38),ISNUMBER(T41)),VLOOKUP(ABS(T38-T41),'IMP Table'!$A$2:$C$26,3)*SIGN(T38-T41),0)</f>
        <v/>
      </c>
      <c r="AJ38">
        <f>IF(AND(ISNUMBER(T38),ISNUMBER(T42)),VLOOKUP(ABS(T38-T42),'IMP Table'!$A$2:$C$26,3)*SIGN(T38-T42),0)</f>
        <v/>
      </c>
    </row>
    <row r="39">
      <c r="B39" s="10">
        <f>'By Round'!A23</f>
        <v/>
      </c>
      <c r="C39" s="10">
        <f>'By Round'!B25</f>
        <v/>
      </c>
      <c r="D39" s="10">
        <f>'By Round'!C25</f>
        <v/>
      </c>
      <c r="E39" s="10">
        <f>'By Round'!D25</f>
        <v/>
      </c>
      <c r="F39" s="10">
        <f>IF(ISBLANK('By Round'!F26),"",'By Round'!F26)</f>
        <v/>
      </c>
      <c r="G39">
        <f>IF(ISBLANK('By Round'!G26),"",'By Round'!G26)</f>
        <v/>
      </c>
      <c r="H39">
        <f>IF(ISBLANK('By Round'!H26),"",'By Round'!H26)</f>
        <v/>
      </c>
      <c r="I39">
        <f>IF(ISBLANK('By Round'!I26),"",'By Round'!I26)</f>
        <v/>
      </c>
      <c r="J39">
        <f>IF(ISBLANK('By Round'!J26),"",'By Round'!J26)</f>
        <v/>
      </c>
      <c r="K39">
        <f>IF(ISBLANK('By Round'!K26),"",'By Round'!K26)</f>
        <v/>
      </c>
      <c r="L39">
        <f>IF(ISBLANK('By Round'!L26),"",'By Round'!L26)</f>
        <v/>
      </c>
      <c r="M39" s="11">
        <f>AVERAGE(AC39:AF39)</f>
        <v/>
      </c>
      <c r="N39" s="12">
        <f>AVERAGE(AG39:AJ39)</f>
        <v/>
      </c>
      <c r="O39" s="13">
        <f>IF(COUNT(U39:X39)&gt;0,Q39/COUNT(U39:X39),0.5)</f>
        <v/>
      </c>
      <c r="P39" s="13">
        <f>IF(COUNT(Y39:AB39)&gt;0,R39/COUNT(Y39:AB39),0.5)</f>
        <v/>
      </c>
      <c r="Q39" s="5">
        <f>SUM(U39:X39)</f>
        <v/>
      </c>
      <c r="R39" s="5">
        <f>SUM(Y39:AB39)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IF(ISNUMBER(S39),IF(ISNUMBER(S38),IF(S39&gt;S38,1.0,IF(S39=S38,0.5,0.0)),""),"")</f>
        <v/>
      </c>
      <c r="V39">
        <f>IF(ISNUMBER(S39),IF(ISNUMBER(S40),IF(S39&gt;S40,1.0,IF(S39=S40,0.5,0.0)),""),"")</f>
        <v/>
      </c>
      <c r="W39">
        <f>IF(ISNUMBER(S39),IF(ISNUMBER(S41),IF(S39&gt;S41,1.0,IF(S39=S41,0.5,0.0)),""),"")</f>
        <v/>
      </c>
      <c r="X39">
        <f>IF(ISNUMBER(S39),IF(ISNUMBER(S42),IF(S39&gt;S42,1.0,IF(S39=S42,0.5,0.0)),""),"")</f>
        <v/>
      </c>
      <c r="Y39">
        <f>IF(ISNUMBER(T39),IF(ISNUMBER(T38),IF(T39&gt;T38,1.0,IF(T39=T38,0.5,0.0)),""),"")</f>
        <v/>
      </c>
      <c r="Z39">
        <f>IF(ISNUMBER(T39),IF(ISNUMBER(T40),IF(T39&gt;T40,1.0,IF(T39=T40,0.5,0.0)),""),"")</f>
        <v/>
      </c>
      <c r="AA39">
        <f>IF(ISNUMBER(T39),IF(ISNUMBER(T41),IF(T39&gt;T41,1.0,IF(T39=T41,0.5,0.0)),""),"")</f>
        <v/>
      </c>
      <c r="AB39">
        <f>IF(ISNUMBER(T39),IF(ISNUMBER(T42),IF(T39&gt;T42,1.0,IF(T39=T42,0.5,0.0)),""),"")</f>
        <v/>
      </c>
      <c r="AC39" s="14">
        <f>IF(AND(ISNUMBER(S39),ISNUMBER(S38)),VLOOKUP(ABS(S39-S38),'IMP Table'!$A$2:$C$26,3)*SIGN(S39-S38),0)</f>
        <v/>
      </c>
      <c r="AD39">
        <f>IF(AND(ISNUMBER(S39),ISNUMBER(S40)),VLOOKUP(ABS(S39-S40),'IMP Table'!$A$2:$C$26,3)*SIGN(S39-S40),0)</f>
        <v/>
      </c>
      <c r="AE39">
        <f>IF(AND(ISNUMBER(S39),ISNUMBER(S41)),VLOOKUP(ABS(S39-S41),'IMP Table'!$A$2:$C$26,3)*SIGN(S39-S41),0)</f>
        <v/>
      </c>
      <c r="AF39">
        <f>IF(AND(ISNUMBER(S39),ISNUMBER(S42)),VLOOKUP(ABS(S39-S42),'IMP Table'!$A$2:$C$26,3)*SIGN(S39-S42),0)</f>
        <v/>
      </c>
      <c r="AG39">
        <f>IF(AND(ISNUMBER(T39),ISNUMBER(T38)),VLOOKUP(ABS(T39-T38),'IMP Table'!$A$2:$C$26,3)*SIGN(T39-T38),0)</f>
        <v/>
      </c>
      <c r="AH39">
        <f>IF(AND(ISNUMBER(T39),ISNUMBER(T40)),VLOOKUP(ABS(T39-T40),'IMP Table'!$A$2:$C$26,3)*SIGN(T39-T40),0)</f>
        <v/>
      </c>
      <c r="AI39">
        <f>IF(AND(ISNUMBER(T39),ISNUMBER(T41)),VLOOKUP(ABS(T39-T41),'IMP Table'!$A$2:$C$26,3)*SIGN(T39-T41),0)</f>
        <v/>
      </c>
      <c r="AJ39">
        <f>IF(AND(ISNUMBER(T39),ISNUMBER(T42)),VLOOKUP(ABS(T39-T42),'IMP Table'!$A$2:$C$26,3)*SIGN(T39-T42),0)</f>
        <v/>
      </c>
    </row>
    <row r="40">
      <c r="B40" s="10">
        <f>'By Round'!A13</f>
        <v/>
      </c>
      <c r="C40" s="10">
        <f>'By Round'!B17</f>
        <v/>
      </c>
      <c r="D40" s="10">
        <f>'By Round'!C17</f>
        <v/>
      </c>
      <c r="E40" s="10">
        <f>'By Round'!D17</f>
        <v/>
      </c>
      <c r="F40" s="10">
        <f>IF(ISBLANK('By Round'!F18),"",'By Round'!F18)</f>
        <v/>
      </c>
      <c r="G40">
        <f>IF(ISBLANK('By Round'!G18),"",'By Round'!G18)</f>
        <v/>
      </c>
      <c r="H40">
        <f>IF(ISBLANK('By Round'!H18),"",'By Round'!H18)</f>
        <v/>
      </c>
      <c r="I40">
        <f>IF(ISBLANK('By Round'!I18),"",'By Round'!I18)</f>
        <v/>
      </c>
      <c r="J40">
        <f>IF(ISBLANK('By Round'!J18),"",'By Round'!J18)</f>
        <v/>
      </c>
      <c r="K40">
        <f>IF(ISBLANK('By Round'!K18),"",'By Round'!K18)</f>
        <v/>
      </c>
      <c r="L40">
        <f>IF(ISBLANK('By Round'!L18),"",'By Round'!L18)</f>
        <v/>
      </c>
      <c r="M40" s="11">
        <f>AVERAGE(AC40:AF40)</f>
        <v/>
      </c>
      <c r="N40" s="12">
        <f>AVERAGE(AG40:AJ40)</f>
        <v/>
      </c>
      <c r="O40" s="13">
        <f>IF(COUNT(U40:X40)&gt;0,Q40/COUNT(U40:X40),0.5)</f>
        <v/>
      </c>
      <c r="P40" s="13">
        <f>IF(COUNT(Y40:AB40)&gt;0,R40/COUNT(Y40:AB40),0.5)</f>
        <v/>
      </c>
      <c r="Q40" s="5">
        <f>SUM(U40:X40)</f>
        <v/>
      </c>
      <c r="R40" s="5">
        <f>SUM(Y40:AB40)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IF(ISNUMBER(S40),IF(ISNUMBER(S38),IF(S40&gt;S38,1.0,IF(S40=S38,0.5,0.0)),""),"")</f>
        <v/>
      </c>
      <c r="V40">
        <f>IF(ISNUMBER(S40),IF(ISNUMBER(S39),IF(S40&gt;S39,1.0,IF(S40=S39,0.5,0.0)),""),"")</f>
        <v/>
      </c>
      <c r="W40">
        <f>IF(ISNUMBER(S40),IF(ISNUMBER(S41),IF(S40&gt;S41,1.0,IF(S40=S41,0.5,0.0)),""),"")</f>
        <v/>
      </c>
      <c r="X40">
        <f>IF(ISNUMBER(S40),IF(ISNUMBER(S42),IF(S40&gt;S42,1.0,IF(S40=S42,0.5,0.0)),""),"")</f>
        <v/>
      </c>
      <c r="Y40">
        <f>IF(ISNUMBER(T40),IF(ISNUMBER(T38),IF(T40&gt;T38,1.0,IF(T40=T38,0.5,0.0)),""),"")</f>
        <v/>
      </c>
      <c r="Z40">
        <f>IF(ISNUMBER(T40),IF(ISNUMBER(T39),IF(T40&gt;T39,1.0,IF(T40=T39,0.5,0.0)),""),"")</f>
        <v/>
      </c>
      <c r="AA40">
        <f>IF(ISNUMBER(T40),IF(ISNUMBER(T41),IF(T40&gt;T41,1.0,IF(T40=T41,0.5,0.0)),""),"")</f>
        <v/>
      </c>
      <c r="AB40">
        <f>IF(ISNUMBER(T40),IF(ISNUMBER(T42),IF(T40&gt;T42,1.0,IF(T40=T42,0.5,0.0)),""),"")</f>
        <v/>
      </c>
      <c r="AC40" s="14">
        <f>IF(AND(ISNUMBER(S40),ISNUMBER(S38)),VLOOKUP(ABS(S40-S38),'IMP Table'!$A$2:$C$26,3)*SIGN(S40-S38),0)</f>
        <v/>
      </c>
      <c r="AD40">
        <f>IF(AND(ISNUMBER(S40),ISNUMBER(S39)),VLOOKUP(ABS(S40-S39),'IMP Table'!$A$2:$C$26,3)*SIGN(S40-S39),0)</f>
        <v/>
      </c>
      <c r="AE40">
        <f>IF(AND(ISNUMBER(S40),ISNUMBER(S41)),VLOOKUP(ABS(S40-S41),'IMP Table'!$A$2:$C$26,3)*SIGN(S40-S41),0)</f>
        <v/>
      </c>
      <c r="AF40">
        <f>IF(AND(ISNUMBER(S40),ISNUMBER(S42)),VLOOKUP(ABS(S40-S42),'IMP Table'!$A$2:$C$26,3)*SIGN(S40-S42),0)</f>
        <v/>
      </c>
      <c r="AG40">
        <f>IF(AND(ISNUMBER(T40),ISNUMBER(T38)),VLOOKUP(ABS(T40-T38),'IMP Table'!$A$2:$C$26,3)*SIGN(T40-T38),0)</f>
        <v/>
      </c>
      <c r="AH40">
        <f>IF(AND(ISNUMBER(T40),ISNUMBER(T39)),VLOOKUP(ABS(T40-T39),'IMP Table'!$A$2:$C$26,3)*SIGN(T40-T39),0)</f>
        <v/>
      </c>
      <c r="AI40">
        <f>IF(AND(ISNUMBER(T40),ISNUMBER(T41)),VLOOKUP(ABS(T40-T41),'IMP Table'!$A$2:$C$26,3)*SIGN(T40-T41),0)</f>
        <v/>
      </c>
      <c r="AJ40">
        <f>IF(AND(ISNUMBER(T40),ISNUMBER(T42)),VLOOKUP(ABS(T40-T42),'IMP Table'!$A$2:$C$26,3)*SIGN(T40-T42),0)</f>
        <v/>
      </c>
    </row>
    <row r="41">
      <c r="B41" s="10">
        <f>'By Round'!A53</f>
        <v/>
      </c>
      <c r="C41" s="10">
        <f>'By Round'!B59</f>
        <v/>
      </c>
      <c r="D41" s="10">
        <f>'By Round'!C59</f>
        <v/>
      </c>
      <c r="E41" s="10">
        <f>'By Round'!D59</f>
        <v/>
      </c>
      <c r="F41" s="10">
        <f>IF(ISBLANK('By Round'!F60),"",'By Round'!F60)</f>
        <v/>
      </c>
      <c r="G41">
        <f>IF(ISBLANK('By Round'!G60),"",'By Round'!G60)</f>
        <v/>
      </c>
      <c r="H41">
        <f>IF(ISBLANK('By Round'!H60),"",'By Round'!H60)</f>
        <v/>
      </c>
      <c r="I41">
        <f>IF(ISBLANK('By Round'!I60),"",'By Round'!I60)</f>
        <v/>
      </c>
      <c r="J41">
        <f>IF(ISBLANK('By Round'!J60),"",'By Round'!J60)</f>
        <v/>
      </c>
      <c r="K41">
        <f>IF(ISBLANK('By Round'!K60),"",'By Round'!K60)</f>
        <v/>
      </c>
      <c r="L41">
        <f>IF(ISBLANK('By Round'!L60),"",'By Round'!L60)</f>
        <v/>
      </c>
      <c r="M41" s="11">
        <f>AVERAGE(AC41:AF41)</f>
        <v/>
      </c>
      <c r="N41" s="12">
        <f>AVERAGE(AG41:AJ41)</f>
        <v/>
      </c>
      <c r="O41" s="13">
        <f>IF(COUNT(U41:X41)&gt;0,Q41/COUNT(U41:X41),0.5)</f>
        <v/>
      </c>
      <c r="P41" s="13">
        <f>IF(COUNT(Y41:AB41)&gt;0,R41/COUNT(Y41:AB41),0.5)</f>
        <v/>
      </c>
      <c r="Q41" s="5">
        <f>SUM(U41:X41)</f>
        <v/>
      </c>
      <c r="R41" s="5">
        <f>SUM(Y41:AB41)</f>
        <v/>
      </c>
      <c r="S41" s="14">
        <f>IF(ISNUMBER(K41),K41,IF(ISNUMBER(L41),-L41,""))</f>
        <v/>
      </c>
      <c r="T41">
        <f>IF(ISNUMBER(L41),L41,IF(ISNUMBER(K41),-K41,""))</f>
        <v/>
      </c>
      <c r="U41" s="14">
        <f>IF(ISNUMBER(S41),IF(ISNUMBER(S38),IF(S41&gt;S38,1.0,IF(S41=S38,0.5,0.0)),""),"")</f>
        <v/>
      </c>
      <c r="V41">
        <f>IF(ISNUMBER(S41),IF(ISNUMBER(S39),IF(S41&gt;S39,1.0,IF(S41=S39,0.5,0.0)),""),"")</f>
        <v/>
      </c>
      <c r="W41">
        <f>IF(ISNUMBER(S41),IF(ISNUMBER(S40),IF(S41&gt;S40,1.0,IF(S41=S40,0.5,0.0)),""),"")</f>
        <v/>
      </c>
      <c r="X41">
        <f>IF(ISNUMBER(S41),IF(ISNUMBER(S42),IF(S41&gt;S42,1.0,IF(S41=S42,0.5,0.0)),""),"")</f>
        <v/>
      </c>
      <c r="Y41">
        <f>IF(ISNUMBER(T41),IF(ISNUMBER(T38),IF(T41&gt;T38,1.0,IF(T41=T38,0.5,0.0)),""),"")</f>
        <v/>
      </c>
      <c r="Z41">
        <f>IF(ISNUMBER(T41),IF(ISNUMBER(T39),IF(T41&gt;T39,1.0,IF(T41=T39,0.5,0.0)),""),"")</f>
        <v/>
      </c>
      <c r="AA41">
        <f>IF(ISNUMBER(T41),IF(ISNUMBER(T40),IF(T41&gt;T40,1.0,IF(T41=T40,0.5,0.0)),""),"")</f>
        <v/>
      </c>
      <c r="AB41">
        <f>IF(ISNUMBER(T41),IF(ISNUMBER(T42),IF(T41&gt;T42,1.0,IF(T41=T42,0.5,0.0)),""),"")</f>
        <v/>
      </c>
      <c r="AC41" s="14">
        <f>IF(AND(ISNUMBER(S41),ISNUMBER(S38)),VLOOKUP(ABS(S41-S38),'IMP Table'!$A$2:$C$26,3)*SIGN(S41-S38),0)</f>
        <v/>
      </c>
      <c r="AD41">
        <f>IF(AND(ISNUMBER(S41),ISNUMBER(S39)),VLOOKUP(ABS(S41-S39),'IMP Table'!$A$2:$C$26,3)*SIGN(S41-S39),0)</f>
        <v/>
      </c>
      <c r="AE41">
        <f>IF(AND(ISNUMBER(S41),ISNUMBER(S40)),VLOOKUP(ABS(S41-S40),'IMP Table'!$A$2:$C$26,3)*SIGN(S41-S40),0)</f>
        <v/>
      </c>
      <c r="AF41">
        <f>IF(AND(ISNUMBER(S41),ISNUMBER(S42)),VLOOKUP(ABS(S41-S42),'IMP Table'!$A$2:$C$26,3)*SIGN(S41-S42),0)</f>
        <v/>
      </c>
      <c r="AG41">
        <f>IF(AND(ISNUMBER(T41),ISNUMBER(T38)),VLOOKUP(ABS(T41-T38),'IMP Table'!$A$2:$C$26,3)*SIGN(T41-T38),0)</f>
        <v/>
      </c>
      <c r="AH41">
        <f>IF(AND(ISNUMBER(T41),ISNUMBER(T39)),VLOOKUP(ABS(T41-T39),'IMP Table'!$A$2:$C$26,3)*SIGN(T41-T39),0)</f>
        <v/>
      </c>
      <c r="AI41">
        <f>IF(AND(ISNUMBER(T41),ISNUMBER(T40)),VLOOKUP(ABS(T41-T40),'IMP Table'!$A$2:$C$26,3)*SIGN(T41-T40),0)</f>
        <v/>
      </c>
      <c r="AJ41">
        <f>IF(AND(ISNUMBER(T41),ISNUMBER(T42)),VLOOKUP(ABS(T41-T42),'IMP Table'!$A$2:$C$26,3)*SIGN(T41-T42),0)</f>
        <v/>
      </c>
    </row>
    <row r="42">
      <c r="A42" s="15" t="n"/>
      <c r="B42" s="16">
        <f>'By Round'!A43</f>
        <v/>
      </c>
      <c r="C42" s="16">
        <f>'By Round'!B51</f>
        <v/>
      </c>
      <c r="D42" s="16">
        <f>'By Round'!C51</f>
        <v/>
      </c>
      <c r="E42" s="16">
        <f>'By Round'!D51</f>
        <v/>
      </c>
      <c r="F42" s="16">
        <f>IF(ISBLANK('By Round'!F52),"",'By Round'!F52)</f>
        <v/>
      </c>
      <c r="G42" s="15">
        <f>IF(ISBLANK('By Round'!G52),"",'By Round'!G52)</f>
        <v/>
      </c>
      <c r="H42" s="15">
        <f>IF(ISBLANK('By Round'!H52),"",'By Round'!H52)</f>
        <v/>
      </c>
      <c r="I42" s="15">
        <f>IF(ISBLANK('By Round'!I52),"",'By Round'!I52)</f>
        <v/>
      </c>
      <c r="J42" s="15">
        <f>IF(ISBLANK('By Round'!J52),"",'By Round'!J52)</f>
        <v/>
      </c>
      <c r="K42" s="15">
        <f>IF(ISBLANK('By Round'!K52),"",'By Round'!K52)</f>
        <v/>
      </c>
      <c r="L42" s="15">
        <f>IF(ISBLANK('By Round'!L52),"",'By Round'!L52)</f>
        <v/>
      </c>
      <c r="M42" s="17">
        <f>AVERAGE(AC42:AF42)</f>
        <v/>
      </c>
      <c r="N42" s="18">
        <f>AVERAGE(AG42:AJ42)</f>
        <v/>
      </c>
      <c r="O42" s="19">
        <f>IF(COUNT(U42:X42)&gt;0,Q42/COUNT(U42:X42),0.5)</f>
        <v/>
      </c>
      <c r="P42" s="19">
        <f>IF(COUNT(Y42:AB42)&gt;0,R42/COUNT(Y42:AB42),0.5)</f>
        <v/>
      </c>
      <c r="Q42" s="20">
        <f>SUM(U42:X42)</f>
        <v/>
      </c>
      <c r="R42" s="20">
        <f>SUM(Y42:AB42)</f>
        <v/>
      </c>
      <c r="S42" s="21">
        <f>IF(ISNUMBER(K42),K42,IF(ISNUMBER(L42),-L42,""))</f>
        <v/>
      </c>
      <c r="T42" s="15">
        <f>IF(ISNUMBER(L42),L42,IF(ISNUMBER(K42),-K42,""))</f>
        <v/>
      </c>
      <c r="U42" s="21">
        <f>IF(ISNUMBER(S42),IF(ISNUMBER(S38),IF(S42&gt;S38,1.0,IF(S42=S38,0.5,0.0)),""),"")</f>
        <v/>
      </c>
      <c r="V42" s="15">
        <f>IF(ISNUMBER(S42),IF(ISNUMBER(S39),IF(S42&gt;S39,1.0,IF(S42=S39,0.5,0.0)),""),"")</f>
        <v/>
      </c>
      <c r="W42" s="15">
        <f>IF(ISNUMBER(S42),IF(ISNUMBER(S40),IF(S42&gt;S40,1.0,IF(S42=S40,0.5,0.0)),""),"")</f>
        <v/>
      </c>
      <c r="X42" s="15">
        <f>IF(ISNUMBER(S42),IF(ISNUMBER(S41),IF(S42&gt;S41,1.0,IF(S42=S41,0.5,0.0)),""),"")</f>
        <v/>
      </c>
      <c r="Y42" s="15">
        <f>IF(ISNUMBER(T42),IF(ISNUMBER(T38),IF(T42&gt;T38,1.0,IF(T42=T38,0.5,0.0)),""),"")</f>
        <v/>
      </c>
      <c r="Z42" s="15">
        <f>IF(ISNUMBER(T42),IF(ISNUMBER(T39),IF(T42&gt;T39,1.0,IF(T42=T39,0.5,0.0)),""),"")</f>
        <v/>
      </c>
      <c r="AA42" s="15">
        <f>IF(ISNUMBER(T42),IF(ISNUMBER(T40),IF(T42&gt;T40,1.0,IF(T42=T40,0.5,0.0)),""),"")</f>
        <v/>
      </c>
      <c r="AB42" s="15">
        <f>IF(ISNUMBER(T42),IF(ISNUMBER(T41),IF(T42&gt;T41,1.0,IF(T42=T41,0.5,0.0)),""),"")</f>
        <v/>
      </c>
      <c r="AC42" s="21">
        <f>IF(AND(ISNUMBER(S42),ISNUMBER(S38)),VLOOKUP(ABS(S42-S38),'IMP Table'!$A$2:$C$26,3)*SIGN(S42-S38),0)</f>
        <v/>
      </c>
      <c r="AD42" s="15">
        <f>IF(AND(ISNUMBER(S42),ISNUMBER(S39)),VLOOKUP(ABS(S42-S39),'IMP Table'!$A$2:$C$26,3)*SIGN(S42-S39),0)</f>
        <v/>
      </c>
      <c r="AE42" s="15">
        <f>IF(AND(ISNUMBER(S42),ISNUMBER(S40)),VLOOKUP(ABS(S42-S40),'IMP Table'!$A$2:$C$26,3)*SIGN(S42-S40),0)</f>
        <v/>
      </c>
      <c r="AF42" s="15">
        <f>IF(AND(ISNUMBER(S42),ISNUMBER(S41)),VLOOKUP(ABS(S42-S41),'IMP Table'!$A$2:$C$26,3)*SIGN(S42-S41),0)</f>
        <v/>
      </c>
      <c r="AG42" s="15">
        <f>IF(AND(ISNUMBER(T42),ISNUMBER(T38)),VLOOKUP(ABS(T42-T38),'IMP Table'!$A$2:$C$26,3)*SIGN(T42-T38),0)</f>
        <v/>
      </c>
      <c r="AH42" s="15">
        <f>IF(AND(ISNUMBER(T42),ISNUMBER(T39)),VLOOKUP(ABS(T42-T39),'IMP Table'!$A$2:$C$26,3)*SIGN(T42-T39),0)</f>
        <v/>
      </c>
      <c r="AI42" s="15">
        <f>IF(AND(ISNUMBER(T42),ISNUMBER(T40)),VLOOKUP(ABS(T42-T40),'IMP Table'!$A$2:$C$26,3)*SIGN(T42-T40),0)</f>
        <v/>
      </c>
      <c r="AJ42" s="15">
        <f>IF(AND(ISNUMBER(T42),ISNUMBER(T41)),VLOOKUP(ABS(T42-T41),'IMP Table'!$A$2:$C$26,3)*SIGN(T42-T41),0)</f>
        <v/>
      </c>
    </row>
    <row r="43">
      <c r="A43" s="10" t="n">
        <v>9</v>
      </c>
      <c r="B43" s="10">
        <f>'By Round'!A43</f>
        <v/>
      </c>
      <c r="C43" s="10">
        <f>'By Round'!B43</f>
        <v/>
      </c>
      <c r="D43" s="10">
        <f>'By Round'!C43</f>
        <v/>
      </c>
      <c r="E43" s="10">
        <f>'By Round'!D43</f>
        <v/>
      </c>
      <c r="F43" s="10">
        <f>IF(ISBLANK('By Round'!F43),"",'By Round'!F43)</f>
        <v/>
      </c>
      <c r="G43">
        <f>IF(ISBLANK('By Round'!G43),"",'By Round'!G43)</f>
        <v/>
      </c>
      <c r="H43">
        <f>IF(ISBLANK('By Round'!H43),"",'By Round'!H43)</f>
        <v/>
      </c>
      <c r="I43">
        <f>IF(ISBLANK('By Round'!I43),"",'By Round'!I43)</f>
        <v/>
      </c>
      <c r="J43">
        <f>IF(ISBLANK('By Round'!J43),"",'By Round'!J43)</f>
        <v/>
      </c>
      <c r="K43">
        <f>IF(ISBLANK('By Round'!K43),"",'By Round'!K43)</f>
        <v/>
      </c>
      <c r="L43">
        <f>IF(ISBLANK('By Round'!L43),"",'By Round'!L43)</f>
        <v/>
      </c>
      <c r="M43" s="11">
        <f>AVERAGE(AC43:AF43)</f>
        <v/>
      </c>
      <c r="N43" s="12">
        <f>AVERAGE(AG43:AJ43)</f>
        <v/>
      </c>
      <c r="O43" s="13">
        <f>IF(COUNT(U43:X43)&gt;0,Q43/COUNT(U43:X43),0.5)</f>
        <v/>
      </c>
      <c r="P43" s="13">
        <f>IF(COUNT(Y43:AB43)&gt;0,R43/COUNT(Y43:AB43),0.5)</f>
        <v/>
      </c>
      <c r="Q43" s="5">
        <f>SUM(U43:X43)</f>
        <v/>
      </c>
      <c r="R43" s="5">
        <f>SUM(Y43:AB43)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IF(ISNUMBER(S43),IF(ISNUMBER(S44),IF(S43&gt;S44,1.0,IF(S43=S44,0.5,0.0)),""),"")</f>
        <v/>
      </c>
      <c r="V43">
        <f>IF(ISNUMBER(S43),IF(ISNUMBER(S45),IF(S43&gt;S45,1.0,IF(S43=S45,0.5,0.0)),""),"")</f>
        <v/>
      </c>
      <c r="W43">
        <f>IF(ISNUMBER(S43),IF(ISNUMBER(S46),IF(S43&gt;S46,1.0,IF(S43=S46,0.5,0.0)),""),"")</f>
        <v/>
      </c>
      <c r="X43">
        <f>IF(ISNUMBER(S43),IF(ISNUMBER(S47),IF(S43&gt;S47,1.0,IF(S43=S47,0.5,0.0)),""),"")</f>
        <v/>
      </c>
      <c r="Y43">
        <f>IF(ISNUMBER(T43),IF(ISNUMBER(T44),IF(T43&gt;T44,1.0,IF(T43=T44,0.5,0.0)),""),"")</f>
        <v/>
      </c>
      <c r="Z43">
        <f>IF(ISNUMBER(T43),IF(ISNUMBER(T45),IF(T43&gt;T45,1.0,IF(T43=T45,0.5,0.0)),""),"")</f>
        <v/>
      </c>
      <c r="AA43">
        <f>IF(ISNUMBER(T43),IF(ISNUMBER(T46),IF(T43&gt;T46,1.0,IF(T43=T46,0.5,0.0)),""),"")</f>
        <v/>
      </c>
      <c r="AB43">
        <f>IF(ISNUMBER(T43),IF(ISNUMBER(T47),IF(T43&gt;T47,1.0,IF(T43=T47,0.5,0.0)),""),"")</f>
        <v/>
      </c>
      <c r="AC43" s="14">
        <f>IF(AND(ISNUMBER(S43),ISNUMBER(S44)),VLOOKUP(ABS(S43-S44),'IMP Table'!$A$2:$C$26,3)*SIGN(S43-S44),0)</f>
        <v/>
      </c>
      <c r="AD43">
        <f>IF(AND(ISNUMBER(S43),ISNUMBER(S45)),VLOOKUP(ABS(S43-S45),'IMP Table'!$A$2:$C$26,3)*SIGN(S43-S45),0)</f>
        <v/>
      </c>
      <c r="AE43">
        <f>IF(AND(ISNUMBER(S43),ISNUMBER(S46)),VLOOKUP(ABS(S43-S46),'IMP Table'!$A$2:$C$26,3)*SIGN(S43-S46),0)</f>
        <v/>
      </c>
      <c r="AF43">
        <f>IF(AND(ISNUMBER(S43),ISNUMBER(S47)),VLOOKUP(ABS(S43-S47),'IMP Table'!$A$2:$C$26,3)*SIGN(S43-S47),0)</f>
        <v/>
      </c>
      <c r="AG43">
        <f>IF(AND(ISNUMBER(T43),ISNUMBER(T44)),VLOOKUP(ABS(T43-T44),'IMP Table'!$A$2:$C$26,3)*SIGN(T43-T44),0)</f>
        <v/>
      </c>
      <c r="AH43">
        <f>IF(AND(ISNUMBER(T43),ISNUMBER(T45)),VLOOKUP(ABS(T43-T45),'IMP Table'!$A$2:$C$26,3)*SIGN(T43-T45),0)</f>
        <v/>
      </c>
      <c r="AI43">
        <f>IF(AND(ISNUMBER(T43),ISNUMBER(T46)),VLOOKUP(ABS(T43-T46),'IMP Table'!$A$2:$C$26,3)*SIGN(T43-T46),0)</f>
        <v/>
      </c>
      <c r="AJ43">
        <f>IF(AND(ISNUMBER(T43),ISNUMBER(T47)),VLOOKUP(ABS(T43-T47),'IMP Table'!$A$2:$C$26,3)*SIGN(T43-T47),0)</f>
        <v/>
      </c>
    </row>
    <row r="44">
      <c r="B44" s="10">
        <f>'By Round'!A53</f>
        <v/>
      </c>
      <c r="C44" s="10">
        <f>'By Round'!B61</f>
        <v/>
      </c>
      <c r="D44" s="10">
        <f>'By Round'!C61</f>
        <v/>
      </c>
      <c r="E44" s="10">
        <f>'By Round'!D61</f>
        <v/>
      </c>
      <c r="F44" s="10">
        <f>IF(ISBLANK('By Round'!F61),"",'By Round'!F61)</f>
        <v/>
      </c>
      <c r="G44">
        <f>IF(ISBLANK('By Round'!G61),"",'By Round'!G61)</f>
        <v/>
      </c>
      <c r="H44">
        <f>IF(ISBLANK('By Round'!H61),"",'By Round'!H61)</f>
        <v/>
      </c>
      <c r="I44">
        <f>IF(ISBLANK('By Round'!I61),"",'By Round'!I61)</f>
        <v/>
      </c>
      <c r="J44">
        <f>IF(ISBLANK('By Round'!J61),"",'By Round'!J61)</f>
        <v/>
      </c>
      <c r="K44">
        <f>IF(ISBLANK('By Round'!K61),"",'By Round'!K61)</f>
        <v/>
      </c>
      <c r="L44">
        <f>IF(ISBLANK('By Round'!L61),"",'By Round'!L61)</f>
        <v/>
      </c>
      <c r="M44" s="11">
        <f>AVERAGE(AC44:AF44)</f>
        <v/>
      </c>
      <c r="N44" s="12">
        <f>AVERAGE(AG44:AJ44)</f>
        <v/>
      </c>
      <c r="O44" s="13">
        <f>IF(COUNT(U44:X44)&gt;0,Q44/COUNT(U44:X44),0.5)</f>
        <v/>
      </c>
      <c r="P44" s="13">
        <f>IF(COUNT(Y44:AB44)&gt;0,R44/COUNT(Y44:AB44),0.5)</f>
        <v/>
      </c>
      <c r="Q44" s="5">
        <f>SUM(U44:X44)</f>
        <v/>
      </c>
      <c r="R44" s="5">
        <f>SUM(Y44:AB44)</f>
        <v/>
      </c>
      <c r="S44" s="14">
        <f>IF(ISNUMBER(K44),K44,IF(ISNUMBER(L44),-L44,""))</f>
        <v/>
      </c>
      <c r="T44">
        <f>IF(ISNUMBER(L44),L44,IF(ISNUMBER(K44),-K44,""))</f>
        <v/>
      </c>
      <c r="U44" s="14">
        <f>IF(ISNUMBER(S44),IF(ISNUMBER(S43),IF(S44&gt;S43,1.0,IF(S44=S43,0.5,0.0)),""),"")</f>
        <v/>
      </c>
      <c r="V44">
        <f>IF(ISNUMBER(S44),IF(ISNUMBER(S45),IF(S44&gt;S45,1.0,IF(S44=S45,0.5,0.0)),""),"")</f>
        <v/>
      </c>
      <c r="W44">
        <f>IF(ISNUMBER(S44),IF(ISNUMBER(S46),IF(S44&gt;S46,1.0,IF(S44=S46,0.5,0.0)),""),"")</f>
        <v/>
      </c>
      <c r="X44">
        <f>IF(ISNUMBER(S44),IF(ISNUMBER(S47),IF(S44&gt;S47,1.0,IF(S44=S47,0.5,0.0)),""),"")</f>
        <v/>
      </c>
      <c r="Y44">
        <f>IF(ISNUMBER(T44),IF(ISNUMBER(T43),IF(T44&gt;T43,1.0,IF(T44=T43,0.5,0.0)),""),"")</f>
        <v/>
      </c>
      <c r="Z44">
        <f>IF(ISNUMBER(T44),IF(ISNUMBER(T45),IF(T44&gt;T45,1.0,IF(T44=T45,0.5,0.0)),""),"")</f>
        <v/>
      </c>
      <c r="AA44">
        <f>IF(ISNUMBER(T44),IF(ISNUMBER(T46),IF(T44&gt;T46,1.0,IF(T44=T46,0.5,0.0)),""),"")</f>
        <v/>
      </c>
      <c r="AB44">
        <f>IF(ISNUMBER(T44),IF(ISNUMBER(T47),IF(T44&gt;T47,1.0,IF(T44=T47,0.5,0.0)),""),"")</f>
        <v/>
      </c>
      <c r="AC44" s="14">
        <f>IF(AND(ISNUMBER(S44),ISNUMBER(S43)),VLOOKUP(ABS(S44-S43),'IMP Table'!$A$2:$C$26,3)*SIGN(S44-S43),0)</f>
        <v/>
      </c>
      <c r="AD44">
        <f>IF(AND(ISNUMBER(S44),ISNUMBER(S45)),VLOOKUP(ABS(S44-S45),'IMP Table'!$A$2:$C$26,3)*SIGN(S44-S45),0)</f>
        <v/>
      </c>
      <c r="AE44">
        <f>IF(AND(ISNUMBER(S44),ISNUMBER(S46)),VLOOKUP(ABS(S44-S46),'IMP Table'!$A$2:$C$26,3)*SIGN(S44-S46),0)</f>
        <v/>
      </c>
      <c r="AF44">
        <f>IF(AND(ISNUMBER(S44),ISNUMBER(S47)),VLOOKUP(ABS(S44-S47),'IMP Table'!$A$2:$C$26,3)*SIGN(S44-S47),0)</f>
        <v/>
      </c>
      <c r="AG44">
        <f>IF(AND(ISNUMBER(T44),ISNUMBER(T43)),VLOOKUP(ABS(T44-T43),'IMP Table'!$A$2:$C$26,3)*SIGN(T44-T43),0)</f>
        <v/>
      </c>
      <c r="AH44">
        <f>IF(AND(ISNUMBER(T44),ISNUMBER(T45)),VLOOKUP(ABS(T44-T45),'IMP Table'!$A$2:$C$26,3)*SIGN(T44-T45),0)</f>
        <v/>
      </c>
      <c r="AI44">
        <f>IF(AND(ISNUMBER(T44),ISNUMBER(T46)),VLOOKUP(ABS(T44-T46),'IMP Table'!$A$2:$C$26,3)*SIGN(T44-T46),0)</f>
        <v/>
      </c>
      <c r="AJ44">
        <f>IF(AND(ISNUMBER(T44),ISNUMBER(T47)),VLOOKUP(ABS(T44-T47),'IMP Table'!$A$2:$C$26,3)*SIGN(T44-T47),0)</f>
        <v/>
      </c>
    </row>
    <row r="45">
      <c r="B45" s="10">
        <f>'By Round'!A33</f>
        <v/>
      </c>
      <c r="C45" s="10">
        <f>'By Round'!B35</f>
        <v/>
      </c>
      <c r="D45" s="10">
        <f>'By Round'!C35</f>
        <v/>
      </c>
      <c r="E45" s="10">
        <f>'By Round'!D35</f>
        <v/>
      </c>
      <c r="F45" s="10">
        <f>IF(ISBLANK('By Round'!F35),"",'By Round'!F35)</f>
        <v/>
      </c>
      <c r="G45">
        <f>IF(ISBLANK('By Round'!G35),"",'By Round'!G35)</f>
        <v/>
      </c>
      <c r="H45">
        <f>IF(ISBLANK('By Round'!H35),"",'By Round'!H35)</f>
        <v/>
      </c>
      <c r="I45">
        <f>IF(ISBLANK('By Round'!I35),"",'By Round'!I35)</f>
        <v/>
      </c>
      <c r="J45">
        <f>IF(ISBLANK('By Round'!J35),"",'By Round'!J35)</f>
        <v/>
      </c>
      <c r="K45">
        <f>IF(ISBLANK('By Round'!K35),"",'By Round'!K35)</f>
        <v/>
      </c>
      <c r="L45">
        <f>IF(ISBLANK('By Round'!L35),"",'By Round'!L35)</f>
        <v/>
      </c>
      <c r="M45" s="11">
        <f>AVERAGE(AC45:AF45)</f>
        <v/>
      </c>
      <c r="N45" s="12">
        <f>AVERAGE(AG45:AJ45)</f>
        <v/>
      </c>
      <c r="O45" s="13">
        <f>IF(COUNT(U45:X45)&gt;0,Q45/COUNT(U45:X45),0.5)</f>
        <v/>
      </c>
      <c r="P45" s="13">
        <f>IF(COUNT(Y45:AB45)&gt;0,R45/COUNT(Y45:AB45),0.5)</f>
        <v/>
      </c>
      <c r="Q45" s="5">
        <f>SUM(U45:X45)</f>
        <v/>
      </c>
      <c r="R45" s="5">
        <f>SUM(Y45:AB45)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IF(ISNUMBER(S45),IF(ISNUMBER(S43),IF(S45&gt;S43,1.0,IF(S45=S43,0.5,0.0)),""),"")</f>
        <v/>
      </c>
      <c r="V45">
        <f>IF(ISNUMBER(S45),IF(ISNUMBER(S44),IF(S45&gt;S44,1.0,IF(S45=S44,0.5,0.0)),""),"")</f>
        <v/>
      </c>
      <c r="W45">
        <f>IF(ISNUMBER(S45),IF(ISNUMBER(S46),IF(S45&gt;S46,1.0,IF(S45=S46,0.5,0.0)),""),"")</f>
        <v/>
      </c>
      <c r="X45">
        <f>IF(ISNUMBER(S45),IF(ISNUMBER(S47),IF(S45&gt;S47,1.0,IF(S45=S47,0.5,0.0)),""),"")</f>
        <v/>
      </c>
      <c r="Y45">
        <f>IF(ISNUMBER(T45),IF(ISNUMBER(T43),IF(T45&gt;T43,1.0,IF(T45=T43,0.5,0.0)),""),"")</f>
        <v/>
      </c>
      <c r="Z45">
        <f>IF(ISNUMBER(T45),IF(ISNUMBER(T44),IF(T45&gt;T44,1.0,IF(T45=T44,0.5,0.0)),""),"")</f>
        <v/>
      </c>
      <c r="AA45">
        <f>IF(ISNUMBER(T45),IF(ISNUMBER(T46),IF(T45&gt;T46,1.0,IF(T45=T46,0.5,0.0)),""),"")</f>
        <v/>
      </c>
      <c r="AB45">
        <f>IF(ISNUMBER(T45),IF(ISNUMBER(T47),IF(T45&gt;T47,1.0,IF(T45=T47,0.5,0.0)),""),"")</f>
        <v/>
      </c>
      <c r="AC45" s="14">
        <f>IF(AND(ISNUMBER(S45),ISNUMBER(S43)),VLOOKUP(ABS(S45-S43),'IMP Table'!$A$2:$C$26,3)*SIGN(S45-S43),0)</f>
        <v/>
      </c>
      <c r="AD45">
        <f>IF(AND(ISNUMBER(S45),ISNUMBER(S44)),VLOOKUP(ABS(S45-S44),'IMP Table'!$A$2:$C$26,3)*SIGN(S45-S44),0)</f>
        <v/>
      </c>
      <c r="AE45">
        <f>IF(AND(ISNUMBER(S45),ISNUMBER(S46)),VLOOKUP(ABS(S45-S46),'IMP Table'!$A$2:$C$26,3)*SIGN(S45-S46),0)</f>
        <v/>
      </c>
      <c r="AF45">
        <f>IF(AND(ISNUMBER(S45),ISNUMBER(S47)),VLOOKUP(ABS(S45-S47),'IMP Table'!$A$2:$C$26,3)*SIGN(S45-S47),0)</f>
        <v/>
      </c>
      <c r="AG45">
        <f>IF(AND(ISNUMBER(T45),ISNUMBER(T43)),VLOOKUP(ABS(T45-T43),'IMP Table'!$A$2:$C$26,3)*SIGN(T45-T43),0)</f>
        <v/>
      </c>
      <c r="AH45">
        <f>IF(AND(ISNUMBER(T45),ISNUMBER(T44)),VLOOKUP(ABS(T45-T44),'IMP Table'!$A$2:$C$26,3)*SIGN(T45-T44),0)</f>
        <v/>
      </c>
      <c r="AI45">
        <f>IF(AND(ISNUMBER(T45),ISNUMBER(T46)),VLOOKUP(ABS(T45-T46),'IMP Table'!$A$2:$C$26,3)*SIGN(T45-T46),0)</f>
        <v/>
      </c>
      <c r="AJ45">
        <f>IF(AND(ISNUMBER(T45),ISNUMBER(T47)),VLOOKUP(ABS(T45-T47),'IMP Table'!$A$2:$C$26,3)*SIGN(T45-T47),0)</f>
        <v/>
      </c>
    </row>
    <row r="46">
      <c r="B46" s="10">
        <f>'By Round'!A23</f>
        <v/>
      </c>
      <c r="C46" s="10">
        <f>'By Round'!B27</f>
        <v/>
      </c>
      <c r="D46" s="10">
        <f>'By Round'!C27</f>
        <v/>
      </c>
      <c r="E46" s="10">
        <f>'By Round'!D27</f>
        <v/>
      </c>
      <c r="F46" s="10">
        <f>IF(ISBLANK('By Round'!F27),"",'By Round'!F27)</f>
        <v/>
      </c>
      <c r="G46">
        <f>IF(ISBLANK('By Round'!G27),"",'By Round'!G27)</f>
        <v/>
      </c>
      <c r="H46">
        <f>IF(ISBLANK('By Round'!H27),"",'By Round'!H27)</f>
        <v/>
      </c>
      <c r="I46">
        <f>IF(ISBLANK('By Round'!I27),"",'By Round'!I27)</f>
        <v/>
      </c>
      <c r="J46">
        <f>IF(ISBLANK('By Round'!J27),"",'By Round'!J27)</f>
        <v/>
      </c>
      <c r="K46">
        <f>IF(ISBLANK('By Round'!K27),"",'By Round'!K27)</f>
        <v/>
      </c>
      <c r="L46">
        <f>IF(ISBLANK('By Round'!L27),"",'By Round'!L27)</f>
        <v/>
      </c>
      <c r="M46" s="11">
        <f>AVERAGE(AC46:AF46)</f>
        <v/>
      </c>
      <c r="N46" s="12">
        <f>AVERAGE(AG46:AJ46)</f>
        <v/>
      </c>
      <c r="O46" s="13">
        <f>IF(COUNT(U46:X46)&gt;0,Q46/COUNT(U46:X46),0.5)</f>
        <v/>
      </c>
      <c r="P46" s="13">
        <f>IF(COUNT(Y46:AB46)&gt;0,R46/COUNT(Y46:AB46),0.5)</f>
        <v/>
      </c>
      <c r="Q46" s="5">
        <f>SUM(U46:X46)</f>
        <v/>
      </c>
      <c r="R46" s="5">
        <f>SUM(Y46:AB46)</f>
        <v/>
      </c>
      <c r="S46" s="14">
        <f>IF(ISNUMBER(K46),K46,IF(ISNUMBER(L46),-L46,""))</f>
        <v/>
      </c>
      <c r="T46">
        <f>IF(ISNUMBER(L46),L46,IF(ISNUMBER(K46),-K46,""))</f>
        <v/>
      </c>
      <c r="U46" s="14">
        <f>IF(ISNUMBER(S46),IF(ISNUMBER(S43),IF(S46&gt;S43,1.0,IF(S46=S43,0.5,0.0)),""),"")</f>
        <v/>
      </c>
      <c r="V46">
        <f>IF(ISNUMBER(S46),IF(ISNUMBER(S44),IF(S46&gt;S44,1.0,IF(S46=S44,0.5,0.0)),""),"")</f>
        <v/>
      </c>
      <c r="W46">
        <f>IF(ISNUMBER(S46),IF(ISNUMBER(S45),IF(S46&gt;S45,1.0,IF(S46=S45,0.5,0.0)),""),"")</f>
        <v/>
      </c>
      <c r="X46">
        <f>IF(ISNUMBER(S46),IF(ISNUMBER(S47),IF(S46&gt;S47,1.0,IF(S46=S47,0.5,0.0)),""),"")</f>
        <v/>
      </c>
      <c r="Y46">
        <f>IF(ISNUMBER(T46),IF(ISNUMBER(T43),IF(T46&gt;T43,1.0,IF(T46=T43,0.5,0.0)),""),"")</f>
        <v/>
      </c>
      <c r="Z46">
        <f>IF(ISNUMBER(T46),IF(ISNUMBER(T44),IF(T46&gt;T44,1.0,IF(T46=T44,0.5,0.0)),""),"")</f>
        <v/>
      </c>
      <c r="AA46">
        <f>IF(ISNUMBER(T46),IF(ISNUMBER(T45),IF(T46&gt;T45,1.0,IF(T46=T45,0.5,0.0)),""),"")</f>
        <v/>
      </c>
      <c r="AB46">
        <f>IF(ISNUMBER(T46),IF(ISNUMBER(T47),IF(T46&gt;T47,1.0,IF(T46=T47,0.5,0.0)),""),"")</f>
        <v/>
      </c>
      <c r="AC46" s="14">
        <f>IF(AND(ISNUMBER(S46),ISNUMBER(S43)),VLOOKUP(ABS(S46-S43),'IMP Table'!$A$2:$C$26,3)*SIGN(S46-S43),0)</f>
        <v/>
      </c>
      <c r="AD46">
        <f>IF(AND(ISNUMBER(S46),ISNUMBER(S44)),VLOOKUP(ABS(S46-S44),'IMP Table'!$A$2:$C$26,3)*SIGN(S46-S44),0)</f>
        <v/>
      </c>
      <c r="AE46">
        <f>IF(AND(ISNUMBER(S46),ISNUMBER(S45)),VLOOKUP(ABS(S46-S45),'IMP Table'!$A$2:$C$26,3)*SIGN(S46-S45),0)</f>
        <v/>
      </c>
      <c r="AF46">
        <f>IF(AND(ISNUMBER(S46),ISNUMBER(S47)),VLOOKUP(ABS(S46-S47),'IMP Table'!$A$2:$C$26,3)*SIGN(S46-S47),0)</f>
        <v/>
      </c>
      <c r="AG46">
        <f>IF(AND(ISNUMBER(T46),ISNUMBER(T43)),VLOOKUP(ABS(T46-T43),'IMP Table'!$A$2:$C$26,3)*SIGN(T46-T43),0)</f>
        <v/>
      </c>
      <c r="AH46">
        <f>IF(AND(ISNUMBER(T46),ISNUMBER(T44)),VLOOKUP(ABS(T46-T44),'IMP Table'!$A$2:$C$26,3)*SIGN(T46-T44),0)</f>
        <v/>
      </c>
      <c r="AI46">
        <f>IF(AND(ISNUMBER(T46),ISNUMBER(T45)),VLOOKUP(ABS(T46-T45),'IMP Table'!$A$2:$C$26,3)*SIGN(T46-T45),0)</f>
        <v/>
      </c>
      <c r="AJ46">
        <f>IF(AND(ISNUMBER(T46),ISNUMBER(T47)),VLOOKUP(ABS(T46-T47),'IMP Table'!$A$2:$C$26,3)*SIGN(T46-T47),0)</f>
        <v/>
      </c>
    </row>
    <row r="47">
      <c r="A47" s="15" t="n"/>
      <c r="B47" s="16">
        <f>'By Round'!A63</f>
        <v/>
      </c>
      <c r="C47" s="16">
        <f>'By Round'!B69</f>
        <v/>
      </c>
      <c r="D47" s="16">
        <f>'By Round'!C69</f>
        <v/>
      </c>
      <c r="E47" s="16">
        <f>'By Round'!D69</f>
        <v/>
      </c>
      <c r="F47" s="16">
        <f>IF(ISBLANK('By Round'!F69),"",'By Round'!F69)</f>
        <v/>
      </c>
      <c r="G47" s="15">
        <f>IF(ISBLANK('By Round'!G69),"",'By Round'!G69)</f>
        <v/>
      </c>
      <c r="H47" s="15">
        <f>IF(ISBLANK('By Round'!H69),"",'By Round'!H69)</f>
        <v/>
      </c>
      <c r="I47" s="15">
        <f>IF(ISBLANK('By Round'!I69),"",'By Round'!I69)</f>
        <v/>
      </c>
      <c r="J47" s="15">
        <f>IF(ISBLANK('By Round'!J69),"",'By Round'!J69)</f>
        <v/>
      </c>
      <c r="K47" s="15">
        <f>IF(ISBLANK('By Round'!K69),"",'By Round'!K69)</f>
        <v/>
      </c>
      <c r="L47" s="15">
        <f>IF(ISBLANK('By Round'!L69),"",'By Round'!L69)</f>
        <v/>
      </c>
      <c r="M47" s="17">
        <f>AVERAGE(AC47:AF47)</f>
        <v/>
      </c>
      <c r="N47" s="18">
        <f>AVERAGE(AG47:AJ47)</f>
        <v/>
      </c>
      <c r="O47" s="19">
        <f>IF(COUNT(U47:X47)&gt;0,Q47/COUNT(U47:X47),0.5)</f>
        <v/>
      </c>
      <c r="P47" s="19">
        <f>IF(COUNT(Y47:AB47)&gt;0,R47/COUNT(Y47:AB47),0.5)</f>
        <v/>
      </c>
      <c r="Q47" s="20">
        <f>SUM(U47:X47)</f>
        <v/>
      </c>
      <c r="R47" s="20">
        <f>SUM(Y47:AB47)</f>
        <v/>
      </c>
      <c r="S47" s="21">
        <f>IF(ISNUMBER(K47),K47,IF(ISNUMBER(L47),-L47,""))</f>
        <v/>
      </c>
      <c r="T47" s="15">
        <f>IF(ISNUMBER(L47),L47,IF(ISNUMBER(K47),-K47,""))</f>
        <v/>
      </c>
      <c r="U47" s="21">
        <f>IF(ISNUMBER(S47),IF(ISNUMBER(S43),IF(S47&gt;S43,1.0,IF(S47=S43,0.5,0.0)),""),"")</f>
        <v/>
      </c>
      <c r="V47" s="15">
        <f>IF(ISNUMBER(S47),IF(ISNUMBER(S44),IF(S47&gt;S44,1.0,IF(S47=S44,0.5,0.0)),""),"")</f>
        <v/>
      </c>
      <c r="W47" s="15">
        <f>IF(ISNUMBER(S47),IF(ISNUMBER(S45),IF(S47&gt;S45,1.0,IF(S47=S45,0.5,0.0)),""),"")</f>
        <v/>
      </c>
      <c r="X47" s="15">
        <f>IF(ISNUMBER(S47),IF(ISNUMBER(S46),IF(S47&gt;S46,1.0,IF(S47=S46,0.5,0.0)),""),"")</f>
        <v/>
      </c>
      <c r="Y47" s="15">
        <f>IF(ISNUMBER(T47),IF(ISNUMBER(T43),IF(T47&gt;T43,1.0,IF(T47=T43,0.5,0.0)),""),"")</f>
        <v/>
      </c>
      <c r="Z47" s="15">
        <f>IF(ISNUMBER(T47),IF(ISNUMBER(T44),IF(T47&gt;T44,1.0,IF(T47=T44,0.5,0.0)),""),"")</f>
        <v/>
      </c>
      <c r="AA47" s="15">
        <f>IF(ISNUMBER(T47),IF(ISNUMBER(T45),IF(T47&gt;T45,1.0,IF(T47=T45,0.5,0.0)),""),"")</f>
        <v/>
      </c>
      <c r="AB47" s="15">
        <f>IF(ISNUMBER(T47),IF(ISNUMBER(T46),IF(T47&gt;T46,1.0,IF(T47=T46,0.5,0.0)),""),"")</f>
        <v/>
      </c>
      <c r="AC47" s="21">
        <f>IF(AND(ISNUMBER(S47),ISNUMBER(S43)),VLOOKUP(ABS(S47-S43),'IMP Table'!$A$2:$C$26,3)*SIGN(S47-S43),0)</f>
        <v/>
      </c>
      <c r="AD47" s="15">
        <f>IF(AND(ISNUMBER(S47),ISNUMBER(S44)),VLOOKUP(ABS(S47-S44),'IMP Table'!$A$2:$C$26,3)*SIGN(S47-S44),0)</f>
        <v/>
      </c>
      <c r="AE47" s="15">
        <f>IF(AND(ISNUMBER(S47),ISNUMBER(S45)),VLOOKUP(ABS(S47-S45),'IMP Table'!$A$2:$C$26,3)*SIGN(S47-S45),0)</f>
        <v/>
      </c>
      <c r="AF47" s="15">
        <f>IF(AND(ISNUMBER(S47),ISNUMBER(S46)),VLOOKUP(ABS(S47-S46),'IMP Table'!$A$2:$C$26,3)*SIGN(S47-S46),0)</f>
        <v/>
      </c>
      <c r="AG47" s="15">
        <f>IF(AND(ISNUMBER(T47),ISNUMBER(T43)),VLOOKUP(ABS(T47-T43),'IMP Table'!$A$2:$C$26,3)*SIGN(T47-T43),0)</f>
        <v/>
      </c>
      <c r="AH47" s="15">
        <f>IF(AND(ISNUMBER(T47),ISNUMBER(T44)),VLOOKUP(ABS(T47-T44),'IMP Table'!$A$2:$C$26,3)*SIGN(T47-T44),0)</f>
        <v/>
      </c>
      <c r="AI47" s="15">
        <f>IF(AND(ISNUMBER(T47),ISNUMBER(T45)),VLOOKUP(ABS(T47-T45),'IMP Table'!$A$2:$C$26,3)*SIGN(T47-T45),0)</f>
        <v/>
      </c>
      <c r="AJ47" s="15">
        <f>IF(AND(ISNUMBER(T47),ISNUMBER(T46)),VLOOKUP(ABS(T47-T46),'IMP Table'!$A$2:$C$26,3)*SIGN(T47-T46),0)</f>
        <v/>
      </c>
    </row>
    <row r="48">
      <c r="A48" s="10" t="n">
        <v>10</v>
      </c>
      <c r="B48" s="10">
        <f>'By Round'!A43</f>
        <v/>
      </c>
      <c r="C48" s="10">
        <f>'By Round'!B43</f>
        <v/>
      </c>
      <c r="D48" s="10">
        <f>'By Round'!C43</f>
        <v/>
      </c>
      <c r="E48" s="10">
        <f>'By Round'!D43</f>
        <v/>
      </c>
      <c r="F48" s="10">
        <f>IF(ISBLANK('By Round'!F44),"",'By Round'!F44)</f>
        <v/>
      </c>
      <c r="G48">
        <f>IF(ISBLANK('By Round'!G44),"",'By Round'!G44)</f>
        <v/>
      </c>
      <c r="H48">
        <f>IF(ISBLANK('By Round'!H44),"",'By Round'!H44)</f>
        <v/>
      </c>
      <c r="I48">
        <f>IF(ISBLANK('By Round'!I44),"",'By Round'!I44)</f>
        <v/>
      </c>
      <c r="J48">
        <f>IF(ISBLANK('By Round'!J44),"",'By Round'!J44)</f>
        <v/>
      </c>
      <c r="K48">
        <f>IF(ISBLANK('By Round'!K44),"",'By Round'!K44)</f>
        <v/>
      </c>
      <c r="L48">
        <f>IF(ISBLANK('By Round'!L44),"",'By Round'!L44)</f>
        <v/>
      </c>
      <c r="M48" s="11">
        <f>AVERAGE(AC48:AF48)</f>
        <v/>
      </c>
      <c r="N48" s="12">
        <f>AVERAGE(AG48:AJ48)</f>
        <v/>
      </c>
      <c r="O48" s="13">
        <f>IF(COUNT(U48:X48)&gt;0,Q48/COUNT(U48:X48),0.5)</f>
        <v/>
      </c>
      <c r="P48" s="13">
        <f>IF(COUNT(Y48:AB48)&gt;0,R48/COUNT(Y48:AB48),0.5)</f>
        <v/>
      </c>
      <c r="Q48" s="5">
        <f>SUM(U48:X48)</f>
        <v/>
      </c>
      <c r="R48" s="5">
        <f>SUM(Y48:AB48)</f>
        <v/>
      </c>
      <c r="S48" s="14">
        <f>IF(ISNUMBER(K48),K48,IF(ISNUMBER(L48),-L48,""))</f>
        <v/>
      </c>
      <c r="T48">
        <f>IF(ISNUMBER(L48),L48,IF(ISNUMBER(K48),-K48,""))</f>
        <v/>
      </c>
      <c r="U48" s="14">
        <f>IF(ISNUMBER(S48),IF(ISNUMBER(S49),IF(S48&gt;S49,1.0,IF(S48=S49,0.5,0.0)),""),"")</f>
        <v/>
      </c>
      <c r="V48">
        <f>IF(ISNUMBER(S48),IF(ISNUMBER(S50),IF(S48&gt;S50,1.0,IF(S48=S50,0.5,0.0)),""),"")</f>
        <v/>
      </c>
      <c r="W48">
        <f>IF(ISNUMBER(S48),IF(ISNUMBER(S51),IF(S48&gt;S51,1.0,IF(S48=S51,0.5,0.0)),""),"")</f>
        <v/>
      </c>
      <c r="X48">
        <f>IF(ISNUMBER(S48),IF(ISNUMBER(S52),IF(S48&gt;S52,1.0,IF(S48=S52,0.5,0.0)),""),"")</f>
        <v/>
      </c>
      <c r="Y48">
        <f>IF(ISNUMBER(T48),IF(ISNUMBER(T49),IF(T48&gt;T49,1.0,IF(T48=T49,0.5,0.0)),""),"")</f>
        <v/>
      </c>
      <c r="Z48">
        <f>IF(ISNUMBER(T48),IF(ISNUMBER(T50),IF(T48&gt;T50,1.0,IF(T48=T50,0.5,0.0)),""),"")</f>
        <v/>
      </c>
      <c r="AA48">
        <f>IF(ISNUMBER(T48),IF(ISNUMBER(T51),IF(T48&gt;T51,1.0,IF(T48=T51,0.5,0.0)),""),"")</f>
        <v/>
      </c>
      <c r="AB48">
        <f>IF(ISNUMBER(T48),IF(ISNUMBER(T52),IF(T48&gt;T52,1.0,IF(T48=T52,0.5,0.0)),""),"")</f>
        <v/>
      </c>
      <c r="AC48" s="14">
        <f>IF(AND(ISNUMBER(S48),ISNUMBER(S49)),VLOOKUP(ABS(S48-S49),'IMP Table'!$A$2:$C$26,3)*SIGN(S48-S49),0)</f>
        <v/>
      </c>
      <c r="AD48">
        <f>IF(AND(ISNUMBER(S48),ISNUMBER(S50)),VLOOKUP(ABS(S48-S50),'IMP Table'!$A$2:$C$26,3)*SIGN(S48-S50),0)</f>
        <v/>
      </c>
      <c r="AE48">
        <f>IF(AND(ISNUMBER(S48),ISNUMBER(S51)),VLOOKUP(ABS(S48-S51),'IMP Table'!$A$2:$C$26,3)*SIGN(S48-S51),0)</f>
        <v/>
      </c>
      <c r="AF48">
        <f>IF(AND(ISNUMBER(S48),ISNUMBER(S52)),VLOOKUP(ABS(S48-S52),'IMP Table'!$A$2:$C$26,3)*SIGN(S48-S52),0)</f>
        <v/>
      </c>
      <c r="AG48">
        <f>IF(AND(ISNUMBER(T48),ISNUMBER(T49)),VLOOKUP(ABS(T48-T49),'IMP Table'!$A$2:$C$26,3)*SIGN(T48-T49),0)</f>
        <v/>
      </c>
      <c r="AH48">
        <f>IF(AND(ISNUMBER(T48),ISNUMBER(T50)),VLOOKUP(ABS(T48-T50),'IMP Table'!$A$2:$C$26,3)*SIGN(T48-T50),0)</f>
        <v/>
      </c>
      <c r="AI48">
        <f>IF(AND(ISNUMBER(T48),ISNUMBER(T51)),VLOOKUP(ABS(T48-T51),'IMP Table'!$A$2:$C$26,3)*SIGN(T48-T51),0)</f>
        <v/>
      </c>
      <c r="AJ48">
        <f>IF(AND(ISNUMBER(T48),ISNUMBER(T52)),VLOOKUP(ABS(T48-T52),'IMP Table'!$A$2:$C$26,3)*SIGN(T48-T52),0)</f>
        <v/>
      </c>
    </row>
    <row r="49">
      <c r="B49" s="10">
        <f>'By Round'!A53</f>
        <v/>
      </c>
      <c r="C49" s="10">
        <f>'By Round'!B61</f>
        <v/>
      </c>
      <c r="D49" s="10">
        <f>'By Round'!C61</f>
        <v/>
      </c>
      <c r="E49" s="10">
        <f>'By Round'!D61</f>
        <v/>
      </c>
      <c r="F49" s="10">
        <f>IF(ISBLANK('By Round'!F62),"",'By Round'!F62)</f>
        <v/>
      </c>
      <c r="G49">
        <f>IF(ISBLANK('By Round'!G62),"",'By Round'!G62)</f>
        <v/>
      </c>
      <c r="H49">
        <f>IF(ISBLANK('By Round'!H62),"",'By Round'!H62)</f>
        <v/>
      </c>
      <c r="I49">
        <f>IF(ISBLANK('By Round'!I62),"",'By Round'!I62)</f>
        <v/>
      </c>
      <c r="J49">
        <f>IF(ISBLANK('By Round'!J62),"",'By Round'!J62)</f>
        <v/>
      </c>
      <c r="K49">
        <f>IF(ISBLANK('By Round'!K62),"",'By Round'!K62)</f>
        <v/>
      </c>
      <c r="L49">
        <f>IF(ISBLANK('By Round'!L62),"",'By Round'!L62)</f>
        <v/>
      </c>
      <c r="M49" s="11">
        <f>AVERAGE(AC49:AF49)</f>
        <v/>
      </c>
      <c r="N49" s="12">
        <f>AVERAGE(AG49:AJ49)</f>
        <v/>
      </c>
      <c r="O49" s="13">
        <f>IF(COUNT(U49:X49)&gt;0,Q49/COUNT(U49:X49),0.5)</f>
        <v/>
      </c>
      <c r="P49" s="13">
        <f>IF(COUNT(Y49:AB49)&gt;0,R49/COUNT(Y49:AB49),0.5)</f>
        <v/>
      </c>
      <c r="Q49" s="5">
        <f>SUM(U49:X49)</f>
        <v/>
      </c>
      <c r="R49" s="5">
        <f>SUM(Y49:AB49)</f>
        <v/>
      </c>
      <c r="S49" s="14">
        <f>IF(ISNUMBER(K49),K49,IF(ISNUMBER(L49),-L49,""))</f>
        <v/>
      </c>
      <c r="T49">
        <f>IF(ISNUMBER(L49),L49,IF(ISNUMBER(K49),-K49,""))</f>
        <v/>
      </c>
      <c r="U49" s="14">
        <f>IF(ISNUMBER(S49),IF(ISNUMBER(S48),IF(S49&gt;S48,1.0,IF(S49=S48,0.5,0.0)),""),"")</f>
        <v/>
      </c>
      <c r="V49">
        <f>IF(ISNUMBER(S49),IF(ISNUMBER(S50),IF(S49&gt;S50,1.0,IF(S49=S50,0.5,0.0)),""),"")</f>
        <v/>
      </c>
      <c r="W49">
        <f>IF(ISNUMBER(S49),IF(ISNUMBER(S51),IF(S49&gt;S51,1.0,IF(S49=S51,0.5,0.0)),""),"")</f>
        <v/>
      </c>
      <c r="X49">
        <f>IF(ISNUMBER(S49),IF(ISNUMBER(S52),IF(S49&gt;S52,1.0,IF(S49=S52,0.5,0.0)),""),"")</f>
        <v/>
      </c>
      <c r="Y49">
        <f>IF(ISNUMBER(T49),IF(ISNUMBER(T48),IF(T49&gt;T48,1.0,IF(T49=T48,0.5,0.0)),""),"")</f>
        <v/>
      </c>
      <c r="Z49">
        <f>IF(ISNUMBER(T49),IF(ISNUMBER(T50),IF(T49&gt;T50,1.0,IF(T49=T50,0.5,0.0)),""),"")</f>
        <v/>
      </c>
      <c r="AA49">
        <f>IF(ISNUMBER(T49),IF(ISNUMBER(T51),IF(T49&gt;T51,1.0,IF(T49=T51,0.5,0.0)),""),"")</f>
        <v/>
      </c>
      <c r="AB49">
        <f>IF(ISNUMBER(T49),IF(ISNUMBER(T52),IF(T49&gt;T52,1.0,IF(T49=T52,0.5,0.0)),""),"")</f>
        <v/>
      </c>
      <c r="AC49" s="14">
        <f>IF(AND(ISNUMBER(S49),ISNUMBER(S48)),VLOOKUP(ABS(S49-S48),'IMP Table'!$A$2:$C$26,3)*SIGN(S49-S48),0)</f>
        <v/>
      </c>
      <c r="AD49">
        <f>IF(AND(ISNUMBER(S49),ISNUMBER(S50)),VLOOKUP(ABS(S49-S50),'IMP Table'!$A$2:$C$26,3)*SIGN(S49-S50),0)</f>
        <v/>
      </c>
      <c r="AE49">
        <f>IF(AND(ISNUMBER(S49),ISNUMBER(S51)),VLOOKUP(ABS(S49-S51),'IMP Table'!$A$2:$C$26,3)*SIGN(S49-S51),0)</f>
        <v/>
      </c>
      <c r="AF49">
        <f>IF(AND(ISNUMBER(S49),ISNUMBER(S52)),VLOOKUP(ABS(S49-S52),'IMP Table'!$A$2:$C$26,3)*SIGN(S49-S52),0)</f>
        <v/>
      </c>
      <c r="AG49">
        <f>IF(AND(ISNUMBER(T49),ISNUMBER(T48)),VLOOKUP(ABS(T49-T48),'IMP Table'!$A$2:$C$26,3)*SIGN(T49-T48),0)</f>
        <v/>
      </c>
      <c r="AH49">
        <f>IF(AND(ISNUMBER(T49),ISNUMBER(T50)),VLOOKUP(ABS(T49-T50),'IMP Table'!$A$2:$C$26,3)*SIGN(T49-T50),0)</f>
        <v/>
      </c>
      <c r="AI49">
        <f>IF(AND(ISNUMBER(T49),ISNUMBER(T51)),VLOOKUP(ABS(T49-T51),'IMP Table'!$A$2:$C$26,3)*SIGN(T49-T51),0)</f>
        <v/>
      </c>
      <c r="AJ49">
        <f>IF(AND(ISNUMBER(T49),ISNUMBER(T52)),VLOOKUP(ABS(T49-T52),'IMP Table'!$A$2:$C$26,3)*SIGN(T49-T52),0)</f>
        <v/>
      </c>
    </row>
    <row r="50">
      <c r="B50" s="10">
        <f>'By Round'!A33</f>
        <v/>
      </c>
      <c r="C50" s="10">
        <f>'By Round'!B35</f>
        <v/>
      </c>
      <c r="D50" s="10">
        <f>'By Round'!C35</f>
        <v/>
      </c>
      <c r="E50" s="10">
        <f>'By Round'!D35</f>
        <v/>
      </c>
      <c r="F50" s="10">
        <f>IF(ISBLANK('By Round'!F36),"",'By Round'!F36)</f>
        <v/>
      </c>
      <c r="G50">
        <f>IF(ISBLANK('By Round'!G36),"",'By Round'!G36)</f>
        <v/>
      </c>
      <c r="H50">
        <f>IF(ISBLANK('By Round'!H36),"",'By Round'!H36)</f>
        <v/>
      </c>
      <c r="I50">
        <f>IF(ISBLANK('By Round'!I36),"",'By Round'!I36)</f>
        <v/>
      </c>
      <c r="J50">
        <f>IF(ISBLANK('By Round'!J36),"",'By Round'!J36)</f>
        <v/>
      </c>
      <c r="K50">
        <f>IF(ISBLANK('By Round'!K36),"",'By Round'!K36)</f>
        <v/>
      </c>
      <c r="L50">
        <f>IF(ISBLANK('By Round'!L36),"",'By Round'!L36)</f>
        <v/>
      </c>
      <c r="M50" s="11">
        <f>AVERAGE(AC50:AF50)</f>
        <v/>
      </c>
      <c r="N50" s="12">
        <f>AVERAGE(AG50:AJ50)</f>
        <v/>
      </c>
      <c r="O50" s="13">
        <f>IF(COUNT(U50:X50)&gt;0,Q50/COUNT(U50:X50),0.5)</f>
        <v/>
      </c>
      <c r="P50" s="13">
        <f>IF(COUNT(Y50:AB50)&gt;0,R50/COUNT(Y50:AB50),0.5)</f>
        <v/>
      </c>
      <c r="Q50" s="5">
        <f>SUM(U50:X50)</f>
        <v/>
      </c>
      <c r="R50" s="5">
        <f>SUM(Y50:AB50)</f>
        <v/>
      </c>
      <c r="S50" s="14">
        <f>IF(ISNUMBER(K50),K50,IF(ISNUMBER(L50),-L50,""))</f>
        <v/>
      </c>
      <c r="T50">
        <f>IF(ISNUMBER(L50),L50,IF(ISNUMBER(K50),-K50,""))</f>
        <v/>
      </c>
      <c r="U50" s="14">
        <f>IF(ISNUMBER(S50),IF(ISNUMBER(S48),IF(S50&gt;S48,1.0,IF(S50=S48,0.5,0.0)),""),"")</f>
        <v/>
      </c>
      <c r="V50">
        <f>IF(ISNUMBER(S50),IF(ISNUMBER(S49),IF(S50&gt;S49,1.0,IF(S50=S49,0.5,0.0)),""),"")</f>
        <v/>
      </c>
      <c r="W50">
        <f>IF(ISNUMBER(S50),IF(ISNUMBER(S51),IF(S50&gt;S51,1.0,IF(S50=S51,0.5,0.0)),""),"")</f>
        <v/>
      </c>
      <c r="X50">
        <f>IF(ISNUMBER(S50),IF(ISNUMBER(S52),IF(S50&gt;S52,1.0,IF(S50=S52,0.5,0.0)),""),"")</f>
        <v/>
      </c>
      <c r="Y50">
        <f>IF(ISNUMBER(T50),IF(ISNUMBER(T48),IF(T50&gt;T48,1.0,IF(T50=T48,0.5,0.0)),""),"")</f>
        <v/>
      </c>
      <c r="Z50">
        <f>IF(ISNUMBER(T50),IF(ISNUMBER(T49),IF(T50&gt;T49,1.0,IF(T50=T49,0.5,0.0)),""),"")</f>
        <v/>
      </c>
      <c r="AA50">
        <f>IF(ISNUMBER(T50),IF(ISNUMBER(T51),IF(T50&gt;T51,1.0,IF(T50=T51,0.5,0.0)),""),"")</f>
        <v/>
      </c>
      <c r="AB50">
        <f>IF(ISNUMBER(T50),IF(ISNUMBER(T52),IF(T50&gt;T52,1.0,IF(T50=T52,0.5,0.0)),""),"")</f>
        <v/>
      </c>
      <c r="AC50" s="14">
        <f>IF(AND(ISNUMBER(S50),ISNUMBER(S48)),VLOOKUP(ABS(S50-S48),'IMP Table'!$A$2:$C$26,3)*SIGN(S50-S48),0)</f>
        <v/>
      </c>
      <c r="AD50">
        <f>IF(AND(ISNUMBER(S50),ISNUMBER(S49)),VLOOKUP(ABS(S50-S49),'IMP Table'!$A$2:$C$26,3)*SIGN(S50-S49),0)</f>
        <v/>
      </c>
      <c r="AE50">
        <f>IF(AND(ISNUMBER(S50),ISNUMBER(S51)),VLOOKUP(ABS(S50-S51),'IMP Table'!$A$2:$C$26,3)*SIGN(S50-S51),0)</f>
        <v/>
      </c>
      <c r="AF50">
        <f>IF(AND(ISNUMBER(S50),ISNUMBER(S52)),VLOOKUP(ABS(S50-S52),'IMP Table'!$A$2:$C$26,3)*SIGN(S50-S52),0)</f>
        <v/>
      </c>
      <c r="AG50">
        <f>IF(AND(ISNUMBER(T50),ISNUMBER(T48)),VLOOKUP(ABS(T50-T48),'IMP Table'!$A$2:$C$26,3)*SIGN(T50-T48),0)</f>
        <v/>
      </c>
      <c r="AH50">
        <f>IF(AND(ISNUMBER(T50),ISNUMBER(T49)),VLOOKUP(ABS(T50-T49),'IMP Table'!$A$2:$C$26,3)*SIGN(T50-T49),0)</f>
        <v/>
      </c>
      <c r="AI50">
        <f>IF(AND(ISNUMBER(T50),ISNUMBER(T51)),VLOOKUP(ABS(T50-T51),'IMP Table'!$A$2:$C$26,3)*SIGN(T50-T51),0)</f>
        <v/>
      </c>
      <c r="AJ50">
        <f>IF(AND(ISNUMBER(T50),ISNUMBER(T52)),VLOOKUP(ABS(T50-T52),'IMP Table'!$A$2:$C$26,3)*SIGN(T50-T52),0)</f>
        <v/>
      </c>
    </row>
    <row r="51">
      <c r="B51" s="10">
        <f>'By Round'!A23</f>
        <v/>
      </c>
      <c r="C51" s="10">
        <f>'By Round'!B27</f>
        <v/>
      </c>
      <c r="D51" s="10">
        <f>'By Round'!C27</f>
        <v/>
      </c>
      <c r="E51" s="10">
        <f>'By Round'!D27</f>
        <v/>
      </c>
      <c r="F51" s="10">
        <f>IF(ISBLANK('By Round'!F28),"",'By Round'!F28)</f>
        <v/>
      </c>
      <c r="G51">
        <f>IF(ISBLANK('By Round'!G28),"",'By Round'!G28)</f>
        <v/>
      </c>
      <c r="H51">
        <f>IF(ISBLANK('By Round'!H28),"",'By Round'!H28)</f>
        <v/>
      </c>
      <c r="I51">
        <f>IF(ISBLANK('By Round'!I28),"",'By Round'!I28)</f>
        <v/>
      </c>
      <c r="J51">
        <f>IF(ISBLANK('By Round'!J28),"",'By Round'!J28)</f>
        <v/>
      </c>
      <c r="K51">
        <f>IF(ISBLANK('By Round'!K28),"",'By Round'!K28)</f>
        <v/>
      </c>
      <c r="L51">
        <f>IF(ISBLANK('By Round'!L28),"",'By Round'!L28)</f>
        <v/>
      </c>
      <c r="M51" s="11">
        <f>AVERAGE(AC51:AF51)</f>
        <v/>
      </c>
      <c r="N51" s="12">
        <f>AVERAGE(AG51:AJ51)</f>
        <v/>
      </c>
      <c r="O51" s="13">
        <f>IF(COUNT(U51:X51)&gt;0,Q51/COUNT(U51:X51),0.5)</f>
        <v/>
      </c>
      <c r="P51" s="13">
        <f>IF(COUNT(Y51:AB51)&gt;0,R51/COUNT(Y51:AB51),0.5)</f>
        <v/>
      </c>
      <c r="Q51" s="5">
        <f>SUM(U51:X51)</f>
        <v/>
      </c>
      <c r="R51" s="5">
        <f>SUM(Y51:AB51)</f>
        <v/>
      </c>
      <c r="S51" s="14">
        <f>IF(ISNUMBER(K51),K51,IF(ISNUMBER(L51),-L51,""))</f>
        <v/>
      </c>
      <c r="T51">
        <f>IF(ISNUMBER(L51),L51,IF(ISNUMBER(K51),-K51,""))</f>
        <v/>
      </c>
      <c r="U51" s="14">
        <f>IF(ISNUMBER(S51),IF(ISNUMBER(S48),IF(S51&gt;S48,1.0,IF(S51=S48,0.5,0.0)),""),"")</f>
        <v/>
      </c>
      <c r="V51">
        <f>IF(ISNUMBER(S51),IF(ISNUMBER(S49),IF(S51&gt;S49,1.0,IF(S51=S49,0.5,0.0)),""),"")</f>
        <v/>
      </c>
      <c r="W51">
        <f>IF(ISNUMBER(S51),IF(ISNUMBER(S50),IF(S51&gt;S50,1.0,IF(S51=S50,0.5,0.0)),""),"")</f>
        <v/>
      </c>
      <c r="X51">
        <f>IF(ISNUMBER(S51),IF(ISNUMBER(S52),IF(S51&gt;S52,1.0,IF(S51=S52,0.5,0.0)),""),"")</f>
        <v/>
      </c>
      <c r="Y51">
        <f>IF(ISNUMBER(T51),IF(ISNUMBER(T48),IF(T51&gt;T48,1.0,IF(T51=T48,0.5,0.0)),""),"")</f>
        <v/>
      </c>
      <c r="Z51">
        <f>IF(ISNUMBER(T51),IF(ISNUMBER(T49),IF(T51&gt;T49,1.0,IF(T51=T49,0.5,0.0)),""),"")</f>
        <v/>
      </c>
      <c r="AA51">
        <f>IF(ISNUMBER(T51),IF(ISNUMBER(T50),IF(T51&gt;T50,1.0,IF(T51=T50,0.5,0.0)),""),"")</f>
        <v/>
      </c>
      <c r="AB51">
        <f>IF(ISNUMBER(T51),IF(ISNUMBER(T52),IF(T51&gt;T52,1.0,IF(T51=T52,0.5,0.0)),""),"")</f>
        <v/>
      </c>
      <c r="AC51" s="14">
        <f>IF(AND(ISNUMBER(S51),ISNUMBER(S48)),VLOOKUP(ABS(S51-S48),'IMP Table'!$A$2:$C$26,3)*SIGN(S51-S48),0)</f>
        <v/>
      </c>
      <c r="AD51">
        <f>IF(AND(ISNUMBER(S51),ISNUMBER(S49)),VLOOKUP(ABS(S51-S49),'IMP Table'!$A$2:$C$26,3)*SIGN(S51-S49),0)</f>
        <v/>
      </c>
      <c r="AE51">
        <f>IF(AND(ISNUMBER(S51),ISNUMBER(S50)),VLOOKUP(ABS(S51-S50),'IMP Table'!$A$2:$C$26,3)*SIGN(S51-S50),0)</f>
        <v/>
      </c>
      <c r="AF51">
        <f>IF(AND(ISNUMBER(S51),ISNUMBER(S52)),VLOOKUP(ABS(S51-S52),'IMP Table'!$A$2:$C$26,3)*SIGN(S51-S52),0)</f>
        <v/>
      </c>
      <c r="AG51">
        <f>IF(AND(ISNUMBER(T51),ISNUMBER(T48)),VLOOKUP(ABS(T51-T48),'IMP Table'!$A$2:$C$26,3)*SIGN(T51-T48),0)</f>
        <v/>
      </c>
      <c r="AH51">
        <f>IF(AND(ISNUMBER(T51),ISNUMBER(T49)),VLOOKUP(ABS(T51-T49),'IMP Table'!$A$2:$C$26,3)*SIGN(T51-T49),0)</f>
        <v/>
      </c>
      <c r="AI51">
        <f>IF(AND(ISNUMBER(T51),ISNUMBER(T50)),VLOOKUP(ABS(T51-T50),'IMP Table'!$A$2:$C$26,3)*SIGN(T51-T50),0)</f>
        <v/>
      </c>
      <c r="AJ51">
        <f>IF(AND(ISNUMBER(T51),ISNUMBER(T52)),VLOOKUP(ABS(T51-T52),'IMP Table'!$A$2:$C$26,3)*SIGN(T51-T52),0)</f>
        <v/>
      </c>
    </row>
    <row r="52">
      <c r="A52" s="15" t="n"/>
      <c r="B52" s="16">
        <f>'By Round'!A63</f>
        <v/>
      </c>
      <c r="C52" s="16">
        <f>'By Round'!B69</f>
        <v/>
      </c>
      <c r="D52" s="16">
        <f>'By Round'!C69</f>
        <v/>
      </c>
      <c r="E52" s="16">
        <f>'By Round'!D69</f>
        <v/>
      </c>
      <c r="F52" s="16">
        <f>IF(ISBLANK('By Round'!F70),"",'By Round'!F70)</f>
        <v/>
      </c>
      <c r="G52" s="15">
        <f>IF(ISBLANK('By Round'!G70),"",'By Round'!G70)</f>
        <v/>
      </c>
      <c r="H52" s="15">
        <f>IF(ISBLANK('By Round'!H70),"",'By Round'!H70)</f>
        <v/>
      </c>
      <c r="I52" s="15">
        <f>IF(ISBLANK('By Round'!I70),"",'By Round'!I70)</f>
        <v/>
      </c>
      <c r="J52" s="15">
        <f>IF(ISBLANK('By Round'!J70),"",'By Round'!J70)</f>
        <v/>
      </c>
      <c r="K52" s="15">
        <f>IF(ISBLANK('By Round'!K70),"",'By Round'!K70)</f>
        <v/>
      </c>
      <c r="L52" s="15">
        <f>IF(ISBLANK('By Round'!L70),"",'By Round'!L70)</f>
        <v/>
      </c>
      <c r="M52" s="17">
        <f>AVERAGE(AC52:AF52)</f>
        <v/>
      </c>
      <c r="N52" s="18">
        <f>AVERAGE(AG52:AJ52)</f>
        <v/>
      </c>
      <c r="O52" s="19">
        <f>IF(COUNT(U52:X52)&gt;0,Q52/COUNT(U52:X52),0.5)</f>
        <v/>
      </c>
      <c r="P52" s="19">
        <f>IF(COUNT(Y52:AB52)&gt;0,R52/COUNT(Y52:AB52),0.5)</f>
        <v/>
      </c>
      <c r="Q52" s="20">
        <f>SUM(U52:X52)</f>
        <v/>
      </c>
      <c r="R52" s="20">
        <f>SUM(Y52:AB52)</f>
        <v/>
      </c>
      <c r="S52" s="21">
        <f>IF(ISNUMBER(K52),K52,IF(ISNUMBER(L52),-L52,""))</f>
        <v/>
      </c>
      <c r="T52" s="15">
        <f>IF(ISNUMBER(L52),L52,IF(ISNUMBER(K52),-K52,""))</f>
        <v/>
      </c>
      <c r="U52" s="21">
        <f>IF(ISNUMBER(S52),IF(ISNUMBER(S48),IF(S52&gt;S48,1.0,IF(S52=S48,0.5,0.0)),""),"")</f>
        <v/>
      </c>
      <c r="V52" s="15">
        <f>IF(ISNUMBER(S52),IF(ISNUMBER(S49),IF(S52&gt;S49,1.0,IF(S52=S49,0.5,0.0)),""),"")</f>
        <v/>
      </c>
      <c r="W52" s="15">
        <f>IF(ISNUMBER(S52),IF(ISNUMBER(S50),IF(S52&gt;S50,1.0,IF(S52=S50,0.5,0.0)),""),"")</f>
        <v/>
      </c>
      <c r="X52" s="15">
        <f>IF(ISNUMBER(S52),IF(ISNUMBER(S51),IF(S52&gt;S51,1.0,IF(S52=S51,0.5,0.0)),""),"")</f>
        <v/>
      </c>
      <c r="Y52" s="15">
        <f>IF(ISNUMBER(T52),IF(ISNUMBER(T48),IF(T52&gt;T48,1.0,IF(T52=T48,0.5,0.0)),""),"")</f>
        <v/>
      </c>
      <c r="Z52" s="15">
        <f>IF(ISNUMBER(T52),IF(ISNUMBER(T49),IF(T52&gt;T49,1.0,IF(T52=T49,0.5,0.0)),""),"")</f>
        <v/>
      </c>
      <c r="AA52" s="15">
        <f>IF(ISNUMBER(T52),IF(ISNUMBER(T50),IF(T52&gt;T50,1.0,IF(T52=T50,0.5,0.0)),""),"")</f>
        <v/>
      </c>
      <c r="AB52" s="15">
        <f>IF(ISNUMBER(T52),IF(ISNUMBER(T51),IF(T52&gt;T51,1.0,IF(T52=T51,0.5,0.0)),""),"")</f>
        <v/>
      </c>
      <c r="AC52" s="21">
        <f>IF(AND(ISNUMBER(S52),ISNUMBER(S48)),VLOOKUP(ABS(S52-S48),'IMP Table'!$A$2:$C$26,3)*SIGN(S52-S48),0)</f>
        <v/>
      </c>
      <c r="AD52" s="15">
        <f>IF(AND(ISNUMBER(S52),ISNUMBER(S49)),VLOOKUP(ABS(S52-S49),'IMP Table'!$A$2:$C$26,3)*SIGN(S52-S49),0)</f>
        <v/>
      </c>
      <c r="AE52" s="15">
        <f>IF(AND(ISNUMBER(S52),ISNUMBER(S50)),VLOOKUP(ABS(S52-S50),'IMP Table'!$A$2:$C$26,3)*SIGN(S52-S50),0)</f>
        <v/>
      </c>
      <c r="AF52" s="15">
        <f>IF(AND(ISNUMBER(S52),ISNUMBER(S51)),VLOOKUP(ABS(S52-S51),'IMP Table'!$A$2:$C$26,3)*SIGN(S52-S51),0)</f>
        <v/>
      </c>
      <c r="AG52" s="15">
        <f>IF(AND(ISNUMBER(T52),ISNUMBER(T48)),VLOOKUP(ABS(T52-T48),'IMP Table'!$A$2:$C$26,3)*SIGN(T52-T48),0)</f>
        <v/>
      </c>
      <c r="AH52" s="15">
        <f>IF(AND(ISNUMBER(T52),ISNUMBER(T49)),VLOOKUP(ABS(T52-T49),'IMP Table'!$A$2:$C$26,3)*SIGN(T52-T49),0)</f>
        <v/>
      </c>
      <c r="AI52" s="15">
        <f>IF(AND(ISNUMBER(T52),ISNUMBER(T50)),VLOOKUP(ABS(T52-T50),'IMP Table'!$A$2:$C$26,3)*SIGN(T52-T50),0)</f>
        <v/>
      </c>
      <c r="AJ52" s="15">
        <f>IF(AND(ISNUMBER(T52),ISNUMBER(T51)),VLOOKUP(ABS(T52-T51),'IMP Table'!$A$2:$C$26,3)*SIGN(T52-T51),0)</f>
        <v/>
      </c>
    </row>
    <row r="53">
      <c r="A53" s="10" t="n">
        <v>11</v>
      </c>
      <c r="B53" s="10">
        <f>'By Round'!A53</f>
        <v/>
      </c>
      <c r="C53" s="10">
        <f>'By Round'!B53</f>
        <v/>
      </c>
      <c r="D53" s="10">
        <f>'By Round'!C53</f>
        <v/>
      </c>
      <c r="E53" s="10">
        <f>'By Round'!D53</f>
        <v/>
      </c>
      <c r="F53" s="10">
        <f>IF(ISBLANK('By Round'!F53),"",'By Round'!F53)</f>
        <v/>
      </c>
      <c r="G53">
        <f>IF(ISBLANK('By Round'!G53),"",'By Round'!G53)</f>
        <v/>
      </c>
      <c r="H53">
        <f>IF(ISBLANK('By Round'!H53),"",'By Round'!H53)</f>
        <v/>
      </c>
      <c r="I53">
        <f>IF(ISBLANK('By Round'!I53),"",'By Round'!I53)</f>
        <v/>
      </c>
      <c r="J53">
        <f>IF(ISBLANK('By Round'!J53),"",'By Round'!J53)</f>
        <v/>
      </c>
      <c r="K53">
        <f>IF(ISBLANK('By Round'!K53),"",'By Round'!K53)</f>
        <v/>
      </c>
      <c r="L53">
        <f>IF(ISBLANK('By Round'!L53),"",'By Round'!L53)</f>
        <v/>
      </c>
      <c r="M53" s="11">
        <f>AVERAGE(AC53:AF53)</f>
        <v/>
      </c>
      <c r="N53" s="12">
        <f>AVERAGE(AG53:AJ53)</f>
        <v/>
      </c>
      <c r="O53" s="13">
        <f>IF(COUNT(U53:X53)&gt;0,Q53/COUNT(U53:X53),0.5)</f>
        <v/>
      </c>
      <c r="P53" s="13">
        <f>IF(COUNT(Y53:AB53)&gt;0,R53/COUNT(Y53:AB53),0.5)</f>
        <v/>
      </c>
      <c r="Q53" s="5">
        <f>SUM(U53:X53)</f>
        <v/>
      </c>
      <c r="R53" s="5">
        <f>SUM(Y53:AB53)</f>
        <v/>
      </c>
      <c r="S53" s="14">
        <f>IF(ISNUMBER(K53),K53,IF(ISNUMBER(L53),-L53,""))</f>
        <v/>
      </c>
      <c r="T53">
        <f>IF(ISNUMBER(L53),L53,IF(ISNUMBER(K53),-K53,""))</f>
        <v/>
      </c>
      <c r="U53" s="14">
        <f>IF(ISNUMBER(S53),IF(ISNUMBER(S54),IF(S53&gt;S54,1.0,IF(S53=S54,0.5,0.0)),""),"")</f>
        <v/>
      </c>
      <c r="V53">
        <f>IF(ISNUMBER(S53),IF(ISNUMBER(S55),IF(S53&gt;S55,1.0,IF(S53=S55,0.5,0.0)),""),"")</f>
        <v/>
      </c>
      <c r="W53">
        <f>IF(ISNUMBER(S53),IF(ISNUMBER(S56),IF(S53&gt;S56,1.0,IF(S53=S56,0.5,0.0)),""),"")</f>
        <v/>
      </c>
      <c r="X53">
        <f>IF(ISNUMBER(S53),IF(ISNUMBER(S57),IF(S53&gt;S57,1.0,IF(S53=S57,0.5,0.0)),""),"")</f>
        <v/>
      </c>
      <c r="Y53">
        <f>IF(ISNUMBER(T53),IF(ISNUMBER(T54),IF(T53&gt;T54,1.0,IF(T53=T54,0.5,0.0)),""),"")</f>
        <v/>
      </c>
      <c r="Z53">
        <f>IF(ISNUMBER(T53),IF(ISNUMBER(T55),IF(T53&gt;T55,1.0,IF(T53=T55,0.5,0.0)),""),"")</f>
        <v/>
      </c>
      <c r="AA53">
        <f>IF(ISNUMBER(T53),IF(ISNUMBER(T56),IF(T53&gt;T56,1.0,IF(T53=T56,0.5,0.0)),""),"")</f>
        <v/>
      </c>
      <c r="AB53">
        <f>IF(ISNUMBER(T53),IF(ISNUMBER(T57),IF(T53&gt;T57,1.0,IF(T53=T57,0.5,0.0)),""),"")</f>
        <v/>
      </c>
      <c r="AC53" s="14">
        <f>IF(AND(ISNUMBER(S53),ISNUMBER(S54)),VLOOKUP(ABS(S53-S54),'IMP Table'!$A$2:$C$26,3)*SIGN(S53-S54),0)</f>
        <v/>
      </c>
      <c r="AD53">
        <f>IF(AND(ISNUMBER(S53),ISNUMBER(S55)),VLOOKUP(ABS(S53-S55),'IMP Table'!$A$2:$C$26,3)*SIGN(S53-S55),0)</f>
        <v/>
      </c>
      <c r="AE53">
        <f>IF(AND(ISNUMBER(S53),ISNUMBER(S56)),VLOOKUP(ABS(S53-S56),'IMP Table'!$A$2:$C$26,3)*SIGN(S53-S56),0)</f>
        <v/>
      </c>
      <c r="AF53">
        <f>IF(AND(ISNUMBER(S53),ISNUMBER(S57)),VLOOKUP(ABS(S53-S57),'IMP Table'!$A$2:$C$26,3)*SIGN(S53-S57),0)</f>
        <v/>
      </c>
      <c r="AG53">
        <f>IF(AND(ISNUMBER(T53),ISNUMBER(T54)),VLOOKUP(ABS(T53-T54),'IMP Table'!$A$2:$C$26,3)*SIGN(T53-T54),0)</f>
        <v/>
      </c>
      <c r="AH53">
        <f>IF(AND(ISNUMBER(T53),ISNUMBER(T55)),VLOOKUP(ABS(T53-T55),'IMP Table'!$A$2:$C$26,3)*SIGN(T53-T55),0)</f>
        <v/>
      </c>
      <c r="AI53">
        <f>IF(AND(ISNUMBER(T53),ISNUMBER(T56)),VLOOKUP(ABS(T53-T56),'IMP Table'!$A$2:$C$26,3)*SIGN(T53-T56),0)</f>
        <v/>
      </c>
      <c r="AJ53">
        <f>IF(AND(ISNUMBER(T53),ISNUMBER(T57)),VLOOKUP(ABS(T53-T57),'IMP Table'!$A$2:$C$26,3)*SIGN(T53-T57),0)</f>
        <v/>
      </c>
    </row>
    <row r="54">
      <c r="B54" s="10">
        <f>'By Round'!A73</f>
        <v/>
      </c>
      <c r="C54" s="10">
        <f>'By Round'!B79</f>
        <v/>
      </c>
      <c r="D54" s="10">
        <f>'By Round'!C79</f>
        <v/>
      </c>
      <c r="E54" s="10">
        <f>'By Round'!D79</f>
        <v/>
      </c>
      <c r="F54" s="10">
        <f>IF(ISBLANK('By Round'!F79),"",'By Round'!F79)</f>
        <v/>
      </c>
      <c r="G54">
        <f>IF(ISBLANK('By Round'!G79),"",'By Round'!G79)</f>
        <v/>
      </c>
      <c r="H54">
        <f>IF(ISBLANK('By Round'!H79),"",'By Round'!H79)</f>
        <v/>
      </c>
      <c r="I54">
        <f>IF(ISBLANK('By Round'!I79),"",'By Round'!I79)</f>
        <v/>
      </c>
      <c r="J54">
        <f>IF(ISBLANK('By Round'!J79),"",'By Round'!J79)</f>
        <v/>
      </c>
      <c r="K54">
        <f>IF(ISBLANK('By Round'!K79),"",'By Round'!K79)</f>
        <v/>
      </c>
      <c r="L54">
        <f>IF(ISBLANK('By Round'!L79),"",'By Round'!L79)</f>
        <v/>
      </c>
      <c r="M54" s="11">
        <f>AVERAGE(AC54:AF54)</f>
        <v/>
      </c>
      <c r="N54" s="12">
        <f>AVERAGE(AG54:AJ54)</f>
        <v/>
      </c>
      <c r="O54" s="13">
        <f>IF(COUNT(U54:X54)&gt;0,Q54/COUNT(U54:X54),0.5)</f>
        <v/>
      </c>
      <c r="P54" s="13">
        <f>IF(COUNT(Y54:AB54)&gt;0,R54/COUNT(Y54:AB54),0.5)</f>
        <v/>
      </c>
      <c r="Q54" s="5">
        <f>SUM(U54:X54)</f>
        <v/>
      </c>
      <c r="R54" s="5">
        <f>SUM(Y54:AB54)</f>
        <v/>
      </c>
      <c r="S54" s="14">
        <f>IF(ISNUMBER(K54),K54,IF(ISNUMBER(L54),-L54,""))</f>
        <v/>
      </c>
      <c r="T54">
        <f>IF(ISNUMBER(L54),L54,IF(ISNUMBER(K54),-K54,""))</f>
        <v/>
      </c>
      <c r="U54" s="14">
        <f>IF(ISNUMBER(S54),IF(ISNUMBER(S53),IF(S54&gt;S53,1.0,IF(S54=S53,0.5,0.0)),""),"")</f>
        <v/>
      </c>
      <c r="V54">
        <f>IF(ISNUMBER(S54),IF(ISNUMBER(S55),IF(S54&gt;S55,1.0,IF(S54=S55,0.5,0.0)),""),"")</f>
        <v/>
      </c>
      <c r="W54">
        <f>IF(ISNUMBER(S54),IF(ISNUMBER(S56),IF(S54&gt;S56,1.0,IF(S54=S56,0.5,0.0)),""),"")</f>
        <v/>
      </c>
      <c r="X54">
        <f>IF(ISNUMBER(S54),IF(ISNUMBER(S57),IF(S54&gt;S57,1.0,IF(S54=S57,0.5,0.0)),""),"")</f>
        <v/>
      </c>
      <c r="Y54">
        <f>IF(ISNUMBER(T54),IF(ISNUMBER(T53),IF(T54&gt;T53,1.0,IF(T54=T53,0.5,0.0)),""),"")</f>
        <v/>
      </c>
      <c r="Z54">
        <f>IF(ISNUMBER(T54),IF(ISNUMBER(T55),IF(T54&gt;T55,1.0,IF(T54=T55,0.5,0.0)),""),"")</f>
        <v/>
      </c>
      <c r="AA54">
        <f>IF(ISNUMBER(T54),IF(ISNUMBER(T56),IF(T54&gt;T56,1.0,IF(T54=T56,0.5,0.0)),""),"")</f>
        <v/>
      </c>
      <c r="AB54">
        <f>IF(ISNUMBER(T54),IF(ISNUMBER(T57),IF(T54&gt;T57,1.0,IF(T54=T57,0.5,0.0)),""),"")</f>
        <v/>
      </c>
      <c r="AC54" s="14">
        <f>IF(AND(ISNUMBER(S54),ISNUMBER(S53)),VLOOKUP(ABS(S54-S53),'IMP Table'!$A$2:$C$26,3)*SIGN(S54-S53),0)</f>
        <v/>
      </c>
      <c r="AD54">
        <f>IF(AND(ISNUMBER(S54),ISNUMBER(S55)),VLOOKUP(ABS(S54-S55),'IMP Table'!$A$2:$C$26,3)*SIGN(S54-S55),0)</f>
        <v/>
      </c>
      <c r="AE54">
        <f>IF(AND(ISNUMBER(S54),ISNUMBER(S56)),VLOOKUP(ABS(S54-S56),'IMP Table'!$A$2:$C$26,3)*SIGN(S54-S56),0)</f>
        <v/>
      </c>
      <c r="AF54">
        <f>IF(AND(ISNUMBER(S54),ISNUMBER(S57)),VLOOKUP(ABS(S54-S57),'IMP Table'!$A$2:$C$26,3)*SIGN(S54-S57),0)</f>
        <v/>
      </c>
      <c r="AG54">
        <f>IF(AND(ISNUMBER(T54),ISNUMBER(T53)),VLOOKUP(ABS(T54-T53),'IMP Table'!$A$2:$C$26,3)*SIGN(T54-T53),0)</f>
        <v/>
      </c>
      <c r="AH54">
        <f>IF(AND(ISNUMBER(T54),ISNUMBER(T55)),VLOOKUP(ABS(T54-T55),'IMP Table'!$A$2:$C$26,3)*SIGN(T54-T55),0)</f>
        <v/>
      </c>
      <c r="AI54">
        <f>IF(AND(ISNUMBER(T54),ISNUMBER(T56)),VLOOKUP(ABS(T54-T56),'IMP Table'!$A$2:$C$26,3)*SIGN(T54-T56),0)</f>
        <v/>
      </c>
      <c r="AJ54">
        <f>IF(AND(ISNUMBER(T54),ISNUMBER(T57)),VLOOKUP(ABS(T54-T57),'IMP Table'!$A$2:$C$26,3)*SIGN(T54-T57),0)</f>
        <v/>
      </c>
    </row>
    <row r="55">
      <c r="B55" s="10">
        <f>'By Round'!A63</f>
        <v/>
      </c>
      <c r="C55" s="10">
        <f>'By Round'!B71</f>
        <v/>
      </c>
      <c r="D55" s="10">
        <f>'By Round'!C71</f>
        <v/>
      </c>
      <c r="E55" s="10">
        <f>'By Round'!D71</f>
        <v/>
      </c>
      <c r="F55" s="10">
        <f>IF(ISBLANK('By Round'!F71),"",'By Round'!F71)</f>
        <v/>
      </c>
      <c r="G55">
        <f>IF(ISBLANK('By Round'!G71),"",'By Round'!G71)</f>
        <v/>
      </c>
      <c r="H55">
        <f>IF(ISBLANK('By Round'!H71),"",'By Round'!H71)</f>
        <v/>
      </c>
      <c r="I55">
        <f>IF(ISBLANK('By Round'!I71),"",'By Round'!I71)</f>
        <v/>
      </c>
      <c r="J55">
        <f>IF(ISBLANK('By Round'!J71),"",'By Round'!J71)</f>
        <v/>
      </c>
      <c r="K55">
        <f>IF(ISBLANK('By Round'!K71),"",'By Round'!K71)</f>
        <v/>
      </c>
      <c r="L55">
        <f>IF(ISBLANK('By Round'!L71),"",'By Round'!L71)</f>
        <v/>
      </c>
      <c r="M55" s="11">
        <f>AVERAGE(AC55:AF55)</f>
        <v/>
      </c>
      <c r="N55" s="12">
        <f>AVERAGE(AG55:AJ55)</f>
        <v/>
      </c>
      <c r="O55" s="13">
        <f>IF(COUNT(U55:X55)&gt;0,Q55/COUNT(U55:X55),0.5)</f>
        <v/>
      </c>
      <c r="P55" s="13">
        <f>IF(COUNT(Y55:AB55)&gt;0,R55/COUNT(Y55:AB55),0.5)</f>
        <v/>
      </c>
      <c r="Q55" s="5">
        <f>SUM(U55:X55)</f>
        <v/>
      </c>
      <c r="R55" s="5">
        <f>SUM(Y55:AB55)</f>
        <v/>
      </c>
      <c r="S55" s="14">
        <f>IF(ISNUMBER(K55),K55,IF(ISNUMBER(L55),-L55,""))</f>
        <v/>
      </c>
      <c r="T55">
        <f>IF(ISNUMBER(L55),L55,IF(ISNUMBER(K55),-K55,""))</f>
        <v/>
      </c>
      <c r="U55" s="14">
        <f>IF(ISNUMBER(S55),IF(ISNUMBER(S53),IF(S55&gt;S53,1.0,IF(S55=S53,0.5,0.0)),""),"")</f>
        <v/>
      </c>
      <c r="V55">
        <f>IF(ISNUMBER(S55),IF(ISNUMBER(S54),IF(S55&gt;S54,1.0,IF(S55=S54,0.5,0.0)),""),"")</f>
        <v/>
      </c>
      <c r="W55">
        <f>IF(ISNUMBER(S55),IF(ISNUMBER(S56),IF(S55&gt;S56,1.0,IF(S55=S56,0.5,0.0)),""),"")</f>
        <v/>
      </c>
      <c r="X55">
        <f>IF(ISNUMBER(S55),IF(ISNUMBER(S57),IF(S55&gt;S57,1.0,IF(S55=S57,0.5,0.0)),""),"")</f>
        <v/>
      </c>
      <c r="Y55">
        <f>IF(ISNUMBER(T55),IF(ISNUMBER(T53),IF(T55&gt;T53,1.0,IF(T55=T53,0.5,0.0)),""),"")</f>
        <v/>
      </c>
      <c r="Z55">
        <f>IF(ISNUMBER(T55),IF(ISNUMBER(T54),IF(T55&gt;T54,1.0,IF(T55=T54,0.5,0.0)),""),"")</f>
        <v/>
      </c>
      <c r="AA55">
        <f>IF(ISNUMBER(T55),IF(ISNUMBER(T56),IF(T55&gt;T56,1.0,IF(T55=T56,0.5,0.0)),""),"")</f>
        <v/>
      </c>
      <c r="AB55">
        <f>IF(ISNUMBER(T55),IF(ISNUMBER(T57),IF(T55&gt;T57,1.0,IF(T55=T57,0.5,0.0)),""),"")</f>
        <v/>
      </c>
      <c r="AC55" s="14">
        <f>IF(AND(ISNUMBER(S55),ISNUMBER(S53)),VLOOKUP(ABS(S55-S53),'IMP Table'!$A$2:$C$26,3)*SIGN(S55-S53),0)</f>
        <v/>
      </c>
      <c r="AD55">
        <f>IF(AND(ISNUMBER(S55),ISNUMBER(S54)),VLOOKUP(ABS(S55-S54),'IMP Table'!$A$2:$C$26,3)*SIGN(S55-S54),0)</f>
        <v/>
      </c>
      <c r="AE55">
        <f>IF(AND(ISNUMBER(S55),ISNUMBER(S56)),VLOOKUP(ABS(S55-S56),'IMP Table'!$A$2:$C$26,3)*SIGN(S55-S56),0)</f>
        <v/>
      </c>
      <c r="AF55">
        <f>IF(AND(ISNUMBER(S55),ISNUMBER(S57)),VLOOKUP(ABS(S55-S57),'IMP Table'!$A$2:$C$26,3)*SIGN(S55-S57),0)</f>
        <v/>
      </c>
      <c r="AG55">
        <f>IF(AND(ISNUMBER(T55),ISNUMBER(T53)),VLOOKUP(ABS(T55-T53),'IMP Table'!$A$2:$C$26,3)*SIGN(T55-T53),0)</f>
        <v/>
      </c>
      <c r="AH55">
        <f>IF(AND(ISNUMBER(T55),ISNUMBER(T54)),VLOOKUP(ABS(T55-T54),'IMP Table'!$A$2:$C$26,3)*SIGN(T55-T54),0)</f>
        <v/>
      </c>
      <c r="AI55">
        <f>IF(AND(ISNUMBER(T55),ISNUMBER(T56)),VLOOKUP(ABS(T55-T56),'IMP Table'!$A$2:$C$26,3)*SIGN(T55-T56),0)</f>
        <v/>
      </c>
      <c r="AJ55">
        <f>IF(AND(ISNUMBER(T55),ISNUMBER(T57)),VLOOKUP(ABS(T55-T57),'IMP Table'!$A$2:$C$26,3)*SIGN(T55-T57),0)</f>
        <v/>
      </c>
    </row>
    <row r="56">
      <c r="B56" s="10">
        <f>'By Round'!A43</f>
        <v/>
      </c>
      <c r="C56" s="10">
        <f>'By Round'!B45</f>
        <v/>
      </c>
      <c r="D56" s="10">
        <f>'By Round'!C45</f>
        <v/>
      </c>
      <c r="E56" s="10">
        <f>'By Round'!D45</f>
        <v/>
      </c>
      <c r="F56" s="10">
        <f>IF(ISBLANK('By Round'!F45),"",'By Round'!F45)</f>
        <v/>
      </c>
      <c r="G56">
        <f>IF(ISBLANK('By Round'!G45),"",'By Round'!G45)</f>
        <v/>
      </c>
      <c r="H56">
        <f>IF(ISBLANK('By Round'!H45),"",'By Round'!H45)</f>
        <v/>
      </c>
      <c r="I56">
        <f>IF(ISBLANK('By Round'!I45),"",'By Round'!I45)</f>
        <v/>
      </c>
      <c r="J56">
        <f>IF(ISBLANK('By Round'!J45),"",'By Round'!J45)</f>
        <v/>
      </c>
      <c r="K56">
        <f>IF(ISBLANK('By Round'!K45),"",'By Round'!K45)</f>
        <v/>
      </c>
      <c r="L56">
        <f>IF(ISBLANK('By Round'!L45),"",'By Round'!L45)</f>
        <v/>
      </c>
      <c r="M56" s="11">
        <f>AVERAGE(AC56:AF56)</f>
        <v/>
      </c>
      <c r="N56" s="12">
        <f>AVERAGE(AG56:AJ56)</f>
        <v/>
      </c>
      <c r="O56" s="13">
        <f>IF(COUNT(U56:X56)&gt;0,Q56/COUNT(U56:X56),0.5)</f>
        <v/>
      </c>
      <c r="P56" s="13">
        <f>IF(COUNT(Y56:AB56)&gt;0,R56/COUNT(Y56:AB56),0.5)</f>
        <v/>
      </c>
      <c r="Q56" s="5">
        <f>SUM(U56:X56)</f>
        <v/>
      </c>
      <c r="R56" s="5">
        <f>SUM(Y56:AB56)</f>
        <v/>
      </c>
      <c r="S56" s="14">
        <f>IF(ISNUMBER(K56),K56,IF(ISNUMBER(L56),-L56,""))</f>
        <v/>
      </c>
      <c r="T56">
        <f>IF(ISNUMBER(L56),L56,IF(ISNUMBER(K56),-K56,""))</f>
        <v/>
      </c>
      <c r="U56" s="14">
        <f>IF(ISNUMBER(S56),IF(ISNUMBER(S53),IF(S56&gt;S53,1.0,IF(S56=S53,0.5,0.0)),""),"")</f>
        <v/>
      </c>
      <c r="V56">
        <f>IF(ISNUMBER(S56),IF(ISNUMBER(S54),IF(S56&gt;S54,1.0,IF(S56=S54,0.5,0.0)),""),"")</f>
        <v/>
      </c>
      <c r="W56">
        <f>IF(ISNUMBER(S56),IF(ISNUMBER(S55),IF(S56&gt;S55,1.0,IF(S56=S55,0.5,0.0)),""),"")</f>
        <v/>
      </c>
      <c r="X56">
        <f>IF(ISNUMBER(S56),IF(ISNUMBER(S57),IF(S56&gt;S57,1.0,IF(S56=S57,0.5,0.0)),""),"")</f>
        <v/>
      </c>
      <c r="Y56">
        <f>IF(ISNUMBER(T56),IF(ISNUMBER(T53),IF(T56&gt;T53,1.0,IF(T56=T53,0.5,0.0)),""),"")</f>
        <v/>
      </c>
      <c r="Z56">
        <f>IF(ISNUMBER(T56),IF(ISNUMBER(T54),IF(T56&gt;T54,1.0,IF(T56=T54,0.5,0.0)),""),"")</f>
        <v/>
      </c>
      <c r="AA56">
        <f>IF(ISNUMBER(T56),IF(ISNUMBER(T55),IF(T56&gt;T55,1.0,IF(T56=T55,0.5,0.0)),""),"")</f>
        <v/>
      </c>
      <c r="AB56">
        <f>IF(ISNUMBER(T56),IF(ISNUMBER(T57),IF(T56&gt;T57,1.0,IF(T56=T57,0.5,0.0)),""),"")</f>
        <v/>
      </c>
      <c r="AC56" s="14">
        <f>IF(AND(ISNUMBER(S56),ISNUMBER(S53)),VLOOKUP(ABS(S56-S53),'IMP Table'!$A$2:$C$26,3)*SIGN(S56-S53),0)</f>
        <v/>
      </c>
      <c r="AD56">
        <f>IF(AND(ISNUMBER(S56),ISNUMBER(S54)),VLOOKUP(ABS(S56-S54),'IMP Table'!$A$2:$C$26,3)*SIGN(S56-S54),0)</f>
        <v/>
      </c>
      <c r="AE56">
        <f>IF(AND(ISNUMBER(S56),ISNUMBER(S55)),VLOOKUP(ABS(S56-S55),'IMP Table'!$A$2:$C$26,3)*SIGN(S56-S55),0)</f>
        <v/>
      </c>
      <c r="AF56">
        <f>IF(AND(ISNUMBER(S56),ISNUMBER(S57)),VLOOKUP(ABS(S56-S57),'IMP Table'!$A$2:$C$26,3)*SIGN(S56-S57),0)</f>
        <v/>
      </c>
      <c r="AG56">
        <f>IF(AND(ISNUMBER(T56),ISNUMBER(T53)),VLOOKUP(ABS(T56-T53),'IMP Table'!$A$2:$C$26,3)*SIGN(T56-T53),0)</f>
        <v/>
      </c>
      <c r="AH56">
        <f>IF(AND(ISNUMBER(T56),ISNUMBER(T54)),VLOOKUP(ABS(T56-T54),'IMP Table'!$A$2:$C$26,3)*SIGN(T56-T54),0)</f>
        <v/>
      </c>
      <c r="AI56">
        <f>IF(AND(ISNUMBER(T56),ISNUMBER(T55)),VLOOKUP(ABS(T56-T55),'IMP Table'!$A$2:$C$26,3)*SIGN(T56-T55),0)</f>
        <v/>
      </c>
      <c r="AJ56">
        <f>IF(AND(ISNUMBER(T56),ISNUMBER(T57)),VLOOKUP(ABS(T56-T57),'IMP Table'!$A$2:$C$26,3)*SIGN(T56-T57),0)</f>
        <v/>
      </c>
    </row>
    <row r="57">
      <c r="A57" s="15" t="n"/>
      <c r="B57" s="16">
        <f>'By Round'!A33</f>
        <v/>
      </c>
      <c r="C57" s="16">
        <f>'By Round'!B37</f>
        <v/>
      </c>
      <c r="D57" s="16">
        <f>'By Round'!C37</f>
        <v/>
      </c>
      <c r="E57" s="16">
        <f>'By Round'!D37</f>
        <v/>
      </c>
      <c r="F57" s="16">
        <f>IF(ISBLANK('By Round'!F37),"",'By Round'!F37)</f>
        <v/>
      </c>
      <c r="G57" s="15">
        <f>IF(ISBLANK('By Round'!G37),"",'By Round'!G37)</f>
        <v/>
      </c>
      <c r="H57" s="15">
        <f>IF(ISBLANK('By Round'!H37),"",'By Round'!H37)</f>
        <v/>
      </c>
      <c r="I57" s="15">
        <f>IF(ISBLANK('By Round'!I37),"",'By Round'!I37)</f>
        <v/>
      </c>
      <c r="J57" s="15">
        <f>IF(ISBLANK('By Round'!J37),"",'By Round'!J37)</f>
        <v/>
      </c>
      <c r="K57" s="15">
        <f>IF(ISBLANK('By Round'!K37),"",'By Round'!K37)</f>
        <v/>
      </c>
      <c r="L57" s="15">
        <f>IF(ISBLANK('By Round'!L37),"",'By Round'!L37)</f>
        <v/>
      </c>
      <c r="M57" s="17">
        <f>AVERAGE(AC57:AF57)</f>
        <v/>
      </c>
      <c r="N57" s="18">
        <f>AVERAGE(AG57:AJ57)</f>
        <v/>
      </c>
      <c r="O57" s="19">
        <f>IF(COUNT(U57:X57)&gt;0,Q57/COUNT(U57:X57),0.5)</f>
        <v/>
      </c>
      <c r="P57" s="19">
        <f>IF(COUNT(Y57:AB57)&gt;0,R57/COUNT(Y57:AB57),0.5)</f>
        <v/>
      </c>
      <c r="Q57" s="20">
        <f>SUM(U57:X57)</f>
        <v/>
      </c>
      <c r="R57" s="20">
        <f>SUM(Y57:AB57)</f>
        <v/>
      </c>
      <c r="S57" s="21">
        <f>IF(ISNUMBER(K57),K57,IF(ISNUMBER(L57),-L57,""))</f>
        <v/>
      </c>
      <c r="T57" s="15">
        <f>IF(ISNUMBER(L57),L57,IF(ISNUMBER(K57),-K57,""))</f>
        <v/>
      </c>
      <c r="U57" s="21">
        <f>IF(ISNUMBER(S57),IF(ISNUMBER(S53),IF(S57&gt;S53,1.0,IF(S57=S53,0.5,0.0)),""),"")</f>
        <v/>
      </c>
      <c r="V57" s="15">
        <f>IF(ISNUMBER(S57),IF(ISNUMBER(S54),IF(S57&gt;S54,1.0,IF(S57=S54,0.5,0.0)),""),"")</f>
        <v/>
      </c>
      <c r="W57" s="15">
        <f>IF(ISNUMBER(S57),IF(ISNUMBER(S55),IF(S57&gt;S55,1.0,IF(S57=S55,0.5,0.0)),""),"")</f>
        <v/>
      </c>
      <c r="X57" s="15">
        <f>IF(ISNUMBER(S57),IF(ISNUMBER(S56),IF(S57&gt;S56,1.0,IF(S57=S56,0.5,0.0)),""),"")</f>
        <v/>
      </c>
      <c r="Y57" s="15">
        <f>IF(ISNUMBER(T57),IF(ISNUMBER(T53),IF(T57&gt;T53,1.0,IF(T57=T53,0.5,0.0)),""),"")</f>
        <v/>
      </c>
      <c r="Z57" s="15">
        <f>IF(ISNUMBER(T57),IF(ISNUMBER(T54),IF(T57&gt;T54,1.0,IF(T57=T54,0.5,0.0)),""),"")</f>
        <v/>
      </c>
      <c r="AA57" s="15">
        <f>IF(ISNUMBER(T57),IF(ISNUMBER(T55),IF(T57&gt;T55,1.0,IF(T57=T55,0.5,0.0)),""),"")</f>
        <v/>
      </c>
      <c r="AB57" s="15">
        <f>IF(ISNUMBER(T57),IF(ISNUMBER(T56),IF(T57&gt;T56,1.0,IF(T57=T56,0.5,0.0)),""),"")</f>
        <v/>
      </c>
      <c r="AC57" s="21">
        <f>IF(AND(ISNUMBER(S57),ISNUMBER(S53)),VLOOKUP(ABS(S57-S53),'IMP Table'!$A$2:$C$26,3)*SIGN(S57-S53),0)</f>
        <v/>
      </c>
      <c r="AD57" s="15">
        <f>IF(AND(ISNUMBER(S57),ISNUMBER(S54)),VLOOKUP(ABS(S57-S54),'IMP Table'!$A$2:$C$26,3)*SIGN(S57-S54),0)</f>
        <v/>
      </c>
      <c r="AE57" s="15">
        <f>IF(AND(ISNUMBER(S57),ISNUMBER(S55)),VLOOKUP(ABS(S57-S55),'IMP Table'!$A$2:$C$26,3)*SIGN(S57-S55),0)</f>
        <v/>
      </c>
      <c r="AF57" s="15">
        <f>IF(AND(ISNUMBER(S57),ISNUMBER(S56)),VLOOKUP(ABS(S57-S56),'IMP Table'!$A$2:$C$26,3)*SIGN(S57-S56),0)</f>
        <v/>
      </c>
      <c r="AG57" s="15">
        <f>IF(AND(ISNUMBER(T57),ISNUMBER(T53)),VLOOKUP(ABS(T57-T53),'IMP Table'!$A$2:$C$26,3)*SIGN(T57-T53),0)</f>
        <v/>
      </c>
      <c r="AH57" s="15">
        <f>IF(AND(ISNUMBER(T57),ISNUMBER(T54)),VLOOKUP(ABS(T57-T54),'IMP Table'!$A$2:$C$26,3)*SIGN(T57-T54),0)</f>
        <v/>
      </c>
      <c r="AI57" s="15">
        <f>IF(AND(ISNUMBER(T57),ISNUMBER(T55)),VLOOKUP(ABS(T57-T55),'IMP Table'!$A$2:$C$26,3)*SIGN(T57-T55),0)</f>
        <v/>
      </c>
      <c r="AJ57" s="15">
        <f>IF(AND(ISNUMBER(T57),ISNUMBER(T56)),VLOOKUP(ABS(T57-T56),'IMP Table'!$A$2:$C$26,3)*SIGN(T57-T56),0)</f>
        <v/>
      </c>
    </row>
    <row r="58">
      <c r="A58" s="10" t="n">
        <v>12</v>
      </c>
      <c r="B58" s="10">
        <f>'By Round'!A53</f>
        <v/>
      </c>
      <c r="C58" s="10">
        <f>'By Round'!B53</f>
        <v/>
      </c>
      <c r="D58" s="10">
        <f>'By Round'!C53</f>
        <v/>
      </c>
      <c r="E58" s="10">
        <f>'By Round'!D53</f>
        <v/>
      </c>
      <c r="F58" s="10">
        <f>IF(ISBLANK('By Round'!F54),"",'By Round'!F54)</f>
        <v/>
      </c>
      <c r="G58">
        <f>IF(ISBLANK('By Round'!G54),"",'By Round'!G54)</f>
        <v/>
      </c>
      <c r="H58">
        <f>IF(ISBLANK('By Round'!H54),"",'By Round'!H54)</f>
        <v/>
      </c>
      <c r="I58">
        <f>IF(ISBLANK('By Round'!I54),"",'By Round'!I54)</f>
        <v/>
      </c>
      <c r="J58">
        <f>IF(ISBLANK('By Round'!J54),"",'By Round'!J54)</f>
        <v/>
      </c>
      <c r="K58">
        <f>IF(ISBLANK('By Round'!K54),"",'By Round'!K54)</f>
        <v/>
      </c>
      <c r="L58">
        <f>IF(ISBLANK('By Round'!L54),"",'By Round'!L54)</f>
        <v/>
      </c>
      <c r="M58" s="11">
        <f>AVERAGE(AC58:AF58)</f>
        <v/>
      </c>
      <c r="N58" s="12">
        <f>AVERAGE(AG58:AJ58)</f>
        <v/>
      </c>
      <c r="O58" s="13">
        <f>IF(COUNT(U58:X58)&gt;0,Q58/COUNT(U58:X58),0.5)</f>
        <v/>
      </c>
      <c r="P58" s="13">
        <f>IF(COUNT(Y58:AB58)&gt;0,R58/COUNT(Y58:AB58),0.5)</f>
        <v/>
      </c>
      <c r="Q58" s="5">
        <f>SUM(U58:X58)</f>
        <v/>
      </c>
      <c r="R58" s="5">
        <f>SUM(Y58:AB58)</f>
        <v/>
      </c>
      <c r="S58" s="14">
        <f>IF(ISNUMBER(K58),K58,IF(ISNUMBER(L58),-L58,""))</f>
        <v/>
      </c>
      <c r="T58">
        <f>IF(ISNUMBER(L58),L58,IF(ISNUMBER(K58),-K58,""))</f>
        <v/>
      </c>
      <c r="U58" s="14">
        <f>IF(ISNUMBER(S58),IF(ISNUMBER(S59),IF(S58&gt;S59,1.0,IF(S58=S59,0.5,0.0)),""),"")</f>
        <v/>
      </c>
      <c r="V58">
        <f>IF(ISNUMBER(S58),IF(ISNUMBER(S60),IF(S58&gt;S60,1.0,IF(S58=S60,0.5,0.0)),""),"")</f>
        <v/>
      </c>
      <c r="W58">
        <f>IF(ISNUMBER(S58),IF(ISNUMBER(S61),IF(S58&gt;S61,1.0,IF(S58=S61,0.5,0.0)),""),"")</f>
        <v/>
      </c>
      <c r="X58">
        <f>IF(ISNUMBER(S58),IF(ISNUMBER(S62),IF(S58&gt;S62,1.0,IF(S58=S62,0.5,0.0)),""),"")</f>
        <v/>
      </c>
      <c r="Y58">
        <f>IF(ISNUMBER(T58),IF(ISNUMBER(T59),IF(T58&gt;T59,1.0,IF(T58=T59,0.5,0.0)),""),"")</f>
        <v/>
      </c>
      <c r="Z58">
        <f>IF(ISNUMBER(T58),IF(ISNUMBER(T60),IF(T58&gt;T60,1.0,IF(T58=T60,0.5,0.0)),""),"")</f>
        <v/>
      </c>
      <c r="AA58">
        <f>IF(ISNUMBER(T58),IF(ISNUMBER(T61),IF(T58&gt;T61,1.0,IF(T58=T61,0.5,0.0)),""),"")</f>
        <v/>
      </c>
      <c r="AB58">
        <f>IF(ISNUMBER(T58),IF(ISNUMBER(T62),IF(T58&gt;T62,1.0,IF(T58=T62,0.5,0.0)),""),"")</f>
        <v/>
      </c>
      <c r="AC58" s="14">
        <f>IF(AND(ISNUMBER(S58),ISNUMBER(S59)),VLOOKUP(ABS(S58-S59),'IMP Table'!$A$2:$C$26,3)*SIGN(S58-S59),0)</f>
        <v/>
      </c>
      <c r="AD58">
        <f>IF(AND(ISNUMBER(S58),ISNUMBER(S60)),VLOOKUP(ABS(S58-S60),'IMP Table'!$A$2:$C$26,3)*SIGN(S58-S60),0)</f>
        <v/>
      </c>
      <c r="AE58">
        <f>IF(AND(ISNUMBER(S58),ISNUMBER(S61)),VLOOKUP(ABS(S58-S61),'IMP Table'!$A$2:$C$26,3)*SIGN(S58-S61),0)</f>
        <v/>
      </c>
      <c r="AF58">
        <f>IF(AND(ISNUMBER(S58),ISNUMBER(S62)),VLOOKUP(ABS(S58-S62),'IMP Table'!$A$2:$C$26,3)*SIGN(S58-S62),0)</f>
        <v/>
      </c>
      <c r="AG58">
        <f>IF(AND(ISNUMBER(T58),ISNUMBER(T59)),VLOOKUP(ABS(T58-T59),'IMP Table'!$A$2:$C$26,3)*SIGN(T58-T59),0)</f>
        <v/>
      </c>
      <c r="AH58">
        <f>IF(AND(ISNUMBER(T58),ISNUMBER(T60)),VLOOKUP(ABS(T58-T60),'IMP Table'!$A$2:$C$26,3)*SIGN(T58-T60),0)</f>
        <v/>
      </c>
      <c r="AI58">
        <f>IF(AND(ISNUMBER(T58),ISNUMBER(T61)),VLOOKUP(ABS(T58-T61),'IMP Table'!$A$2:$C$26,3)*SIGN(T58-T61),0)</f>
        <v/>
      </c>
      <c r="AJ58">
        <f>IF(AND(ISNUMBER(T58),ISNUMBER(T62)),VLOOKUP(ABS(T58-T62),'IMP Table'!$A$2:$C$26,3)*SIGN(T58-T62),0)</f>
        <v/>
      </c>
    </row>
    <row r="59">
      <c r="B59" s="10">
        <f>'By Round'!A73</f>
        <v/>
      </c>
      <c r="C59" s="10">
        <f>'By Round'!B79</f>
        <v/>
      </c>
      <c r="D59" s="10">
        <f>'By Round'!C79</f>
        <v/>
      </c>
      <c r="E59" s="10">
        <f>'By Round'!D79</f>
        <v/>
      </c>
      <c r="F59" s="10">
        <f>IF(ISBLANK('By Round'!F80),"",'By Round'!F80)</f>
        <v/>
      </c>
      <c r="G59">
        <f>IF(ISBLANK('By Round'!G80),"",'By Round'!G80)</f>
        <v/>
      </c>
      <c r="H59">
        <f>IF(ISBLANK('By Round'!H80),"",'By Round'!H80)</f>
        <v/>
      </c>
      <c r="I59">
        <f>IF(ISBLANK('By Round'!I80),"",'By Round'!I80)</f>
        <v/>
      </c>
      <c r="J59">
        <f>IF(ISBLANK('By Round'!J80),"",'By Round'!J80)</f>
        <v/>
      </c>
      <c r="K59">
        <f>IF(ISBLANK('By Round'!K80),"",'By Round'!K80)</f>
        <v/>
      </c>
      <c r="L59">
        <f>IF(ISBLANK('By Round'!L80),"",'By Round'!L80)</f>
        <v/>
      </c>
      <c r="M59" s="11">
        <f>AVERAGE(AC59:AF59)</f>
        <v/>
      </c>
      <c r="N59" s="12">
        <f>AVERAGE(AG59:AJ59)</f>
        <v/>
      </c>
      <c r="O59" s="13">
        <f>IF(COUNT(U59:X59)&gt;0,Q59/COUNT(U59:X59),0.5)</f>
        <v/>
      </c>
      <c r="P59" s="13">
        <f>IF(COUNT(Y59:AB59)&gt;0,R59/COUNT(Y59:AB59),0.5)</f>
        <v/>
      </c>
      <c r="Q59" s="5">
        <f>SUM(U59:X59)</f>
        <v/>
      </c>
      <c r="R59" s="5">
        <f>SUM(Y59:AB59)</f>
        <v/>
      </c>
      <c r="S59" s="14">
        <f>IF(ISNUMBER(K59),K59,IF(ISNUMBER(L59),-L59,""))</f>
        <v/>
      </c>
      <c r="T59">
        <f>IF(ISNUMBER(L59),L59,IF(ISNUMBER(K59),-K59,""))</f>
        <v/>
      </c>
      <c r="U59" s="14">
        <f>IF(ISNUMBER(S59),IF(ISNUMBER(S58),IF(S59&gt;S58,1.0,IF(S59=S58,0.5,0.0)),""),"")</f>
        <v/>
      </c>
      <c r="V59">
        <f>IF(ISNUMBER(S59),IF(ISNUMBER(S60),IF(S59&gt;S60,1.0,IF(S59=S60,0.5,0.0)),""),"")</f>
        <v/>
      </c>
      <c r="W59">
        <f>IF(ISNUMBER(S59),IF(ISNUMBER(S61),IF(S59&gt;S61,1.0,IF(S59=S61,0.5,0.0)),""),"")</f>
        <v/>
      </c>
      <c r="X59">
        <f>IF(ISNUMBER(S59),IF(ISNUMBER(S62),IF(S59&gt;S62,1.0,IF(S59=S62,0.5,0.0)),""),"")</f>
        <v/>
      </c>
      <c r="Y59">
        <f>IF(ISNUMBER(T59),IF(ISNUMBER(T58),IF(T59&gt;T58,1.0,IF(T59=T58,0.5,0.0)),""),"")</f>
        <v/>
      </c>
      <c r="Z59">
        <f>IF(ISNUMBER(T59),IF(ISNUMBER(T60),IF(T59&gt;T60,1.0,IF(T59=T60,0.5,0.0)),""),"")</f>
        <v/>
      </c>
      <c r="AA59">
        <f>IF(ISNUMBER(T59),IF(ISNUMBER(T61),IF(T59&gt;T61,1.0,IF(T59=T61,0.5,0.0)),""),"")</f>
        <v/>
      </c>
      <c r="AB59">
        <f>IF(ISNUMBER(T59),IF(ISNUMBER(T62),IF(T59&gt;T62,1.0,IF(T59=T62,0.5,0.0)),""),"")</f>
        <v/>
      </c>
      <c r="AC59" s="14">
        <f>IF(AND(ISNUMBER(S59),ISNUMBER(S58)),VLOOKUP(ABS(S59-S58),'IMP Table'!$A$2:$C$26,3)*SIGN(S59-S58),0)</f>
        <v/>
      </c>
      <c r="AD59">
        <f>IF(AND(ISNUMBER(S59),ISNUMBER(S60)),VLOOKUP(ABS(S59-S60),'IMP Table'!$A$2:$C$26,3)*SIGN(S59-S60),0)</f>
        <v/>
      </c>
      <c r="AE59">
        <f>IF(AND(ISNUMBER(S59),ISNUMBER(S61)),VLOOKUP(ABS(S59-S61),'IMP Table'!$A$2:$C$26,3)*SIGN(S59-S61),0)</f>
        <v/>
      </c>
      <c r="AF59">
        <f>IF(AND(ISNUMBER(S59),ISNUMBER(S62)),VLOOKUP(ABS(S59-S62),'IMP Table'!$A$2:$C$26,3)*SIGN(S59-S62),0)</f>
        <v/>
      </c>
      <c r="AG59">
        <f>IF(AND(ISNUMBER(T59),ISNUMBER(T58)),VLOOKUP(ABS(T59-T58),'IMP Table'!$A$2:$C$26,3)*SIGN(T59-T58),0)</f>
        <v/>
      </c>
      <c r="AH59">
        <f>IF(AND(ISNUMBER(T59),ISNUMBER(T60)),VLOOKUP(ABS(T59-T60),'IMP Table'!$A$2:$C$26,3)*SIGN(T59-T60),0)</f>
        <v/>
      </c>
      <c r="AI59">
        <f>IF(AND(ISNUMBER(T59),ISNUMBER(T61)),VLOOKUP(ABS(T59-T61),'IMP Table'!$A$2:$C$26,3)*SIGN(T59-T61),0)</f>
        <v/>
      </c>
      <c r="AJ59">
        <f>IF(AND(ISNUMBER(T59),ISNUMBER(T62)),VLOOKUP(ABS(T59-T62),'IMP Table'!$A$2:$C$26,3)*SIGN(T59-T62),0)</f>
        <v/>
      </c>
    </row>
    <row r="60">
      <c r="B60" s="10">
        <f>'By Round'!A63</f>
        <v/>
      </c>
      <c r="C60" s="10">
        <f>'By Round'!B71</f>
        <v/>
      </c>
      <c r="D60" s="10">
        <f>'By Round'!C71</f>
        <v/>
      </c>
      <c r="E60" s="10">
        <f>'By Round'!D71</f>
        <v/>
      </c>
      <c r="F60" s="10">
        <f>IF(ISBLANK('By Round'!F72),"",'By Round'!F72)</f>
        <v/>
      </c>
      <c r="G60">
        <f>IF(ISBLANK('By Round'!G72),"",'By Round'!G72)</f>
        <v/>
      </c>
      <c r="H60">
        <f>IF(ISBLANK('By Round'!H72),"",'By Round'!H72)</f>
        <v/>
      </c>
      <c r="I60">
        <f>IF(ISBLANK('By Round'!I72),"",'By Round'!I72)</f>
        <v/>
      </c>
      <c r="J60">
        <f>IF(ISBLANK('By Round'!J72),"",'By Round'!J72)</f>
        <v/>
      </c>
      <c r="K60">
        <f>IF(ISBLANK('By Round'!K72),"",'By Round'!K72)</f>
        <v/>
      </c>
      <c r="L60">
        <f>IF(ISBLANK('By Round'!L72),"",'By Round'!L72)</f>
        <v/>
      </c>
      <c r="M60" s="11">
        <f>AVERAGE(AC60:AF60)</f>
        <v/>
      </c>
      <c r="N60" s="12">
        <f>AVERAGE(AG60:AJ60)</f>
        <v/>
      </c>
      <c r="O60" s="13">
        <f>IF(COUNT(U60:X60)&gt;0,Q60/COUNT(U60:X60),0.5)</f>
        <v/>
      </c>
      <c r="P60" s="13">
        <f>IF(COUNT(Y60:AB60)&gt;0,R60/COUNT(Y60:AB60),0.5)</f>
        <v/>
      </c>
      <c r="Q60" s="5">
        <f>SUM(U60:X60)</f>
        <v/>
      </c>
      <c r="R60" s="5">
        <f>SUM(Y60:AB60)</f>
        <v/>
      </c>
      <c r="S60" s="14">
        <f>IF(ISNUMBER(K60),K60,IF(ISNUMBER(L60),-L60,""))</f>
        <v/>
      </c>
      <c r="T60">
        <f>IF(ISNUMBER(L60),L60,IF(ISNUMBER(K60),-K60,""))</f>
        <v/>
      </c>
      <c r="U60" s="14">
        <f>IF(ISNUMBER(S60),IF(ISNUMBER(S58),IF(S60&gt;S58,1.0,IF(S60=S58,0.5,0.0)),""),"")</f>
        <v/>
      </c>
      <c r="V60">
        <f>IF(ISNUMBER(S60),IF(ISNUMBER(S59),IF(S60&gt;S59,1.0,IF(S60=S59,0.5,0.0)),""),"")</f>
        <v/>
      </c>
      <c r="W60">
        <f>IF(ISNUMBER(S60),IF(ISNUMBER(S61),IF(S60&gt;S61,1.0,IF(S60=S61,0.5,0.0)),""),"")</f>
        <v/>
      </c>
      <c r="X60">
        <f>IF(ISNUMBER(S60),IF(ISNUMBER(S62),IF(S60&gt;S62,1.0,IF(S60=S62,0.5,0.0)),""),"")</f>
        <v/>
      </c>
      <c r="Y60">
        <f>IF(ISNUMBER(T60),IF(ISNUMBER(T58),IF(T60&gt;T58,1.0,IF(T60=T58,0.5,0.0)),""),"")</f>
        <v/>
      </c>
      <c r="Z60">
        <f>IF(ISNUMBER(T60),IF(ISNUMBER(T59),IF(T60&gt;T59,1.0,IF(T60=T59,0.5,0.0)),""),"")</f>
        <v/>
      </c>
      <c r="AA60">
        <f>IF(ISNUMBER(T60),IF(ISNUMBER(T61),IF(T60&gt;T61,1.0,IF(T60=T61,0.5,0.0)),""),"")</f>
        <v/>
      </c>
      <c r="AB60">
        <f>IF(ISNUMBER(T60),IF(ISNUMBER(T62),IF(T60&gt;T62,1.0,IF(T60=T62,0.5,0.0)),""),"")</f>
        <v/>
      </c>
      <c r="AC60" s="14">
        <f>IF(AND(ISNUMBER(S60),ISNUMBER(S58)),VLOOKUP(ABS(S60-S58),'IMP Table'!$A$2:$C$26,3)*SIGN(S60-S58),0)</f>
        <v/>
      </c>
      <c r="AD60">
        <f>IF(AND(ISNUMBER(S60),ISNUMBER(S59)),VLOOKUP(ABS(S60-S59),'IMP Table'!$A$2:$C$26,3)*SIGN(S60-S59),0)</f>
        <v/>
      </c>
      <c r="AE60">
        <f>IF(AND(ISNUMBER(S60),ISNUMBER(S61)),VLOOKUP(ABS(S60-S61),'IMP Table'!$A$2:$C$26,3)*SIGN(S60-S61),0)</f>
        <v/>
      </c>
      <c r="AF60">
        <f>IF(AND(ISNUMBER(S60),ISNUMBER(S62)),VLOOKUP(ABS(S60-S62),'IMP Table'!$A$2:$C$26,3)*SIGN(S60-S62),0)</f>
        <v/>
      </c>
      <c r="AG60">
        <f>IF(AND(ISNUMBER(T60),ISNUMBER(T58)),VLOOKUP(ABS(T60-T58),'IMP Table'!$A$2:$C$26,3)*SIGN(T60-T58),0)</f>
        <v/>
      </c>
      <c r="AH60">
        <f>IF(AND(ISNUMBER(T60),ISNUMBER(T59)),VLOOKUP(ABS(T60-T59),'IMP Table'!$A$2:$C$26,3)*SIGN(T60-T59),0)</f>
        <v/>
      </c>
      <c r="AI60">
        <f>IF(AND(ISNUMBER(T60),ISNUMBER(T61)),VLOOKUP(ABS(T60-T61),'IMP Table'!$A$2:$C$26,3)*SIGN(T60-T61),0)</f>
        <v/>
      </c>
      <c r="AJ60">
        <f>IF(AND(ISNUMBER(T60),ISNUMBER(T62)),VLOOKUP(ABS(T60-T62),'IMP Table'!$A$2:$C$26,3)*SIGN(T60-T62),0)</f>
        <v/>
      </c>
    </row>
    <row r="61">
      <c r="B61" s="10">
        <f>'By Round'!A43</f>
        <v/>
      </c>
      <c r="C61" s="10">
        <f>'By Round'!B45</f>
        <v/>
      </c>
      <c r="D61" s="10">
        <f>'By Round'!C45</f>
        <v/>
      </c>
      <c r="E61" s="10">
        <f>'By Round'!D45</f>
        <v/>
      </c>
      <c r="F61" s="10">
        <f>IF(ISBLANK('By Round'!F46),"",'By Round'!F46)</f>
        <v/>
      </c>
      <c r="G61">
        <f>IF(ISBLANK('By Round'!G46),"",'By Round'!G46)</f>
        <v/>
      </c>
      <c r="H61">
        <f>IF(ISBLANK('By Round'!H46),"",'By Round'!H46)</f>
        <v/>
      </c>
      <c r="I61">
        <f>IF(ISBLANK('By Round'!I46),"",'By Round'!I46)</f>
        <v/>
      </c>
      <c r="J61">
        <f>IF(ISBLANK('By Round'!J46),"",'By Round'!J46)</f>
        <v/>
      </c>
      <c r="K61">
        <f>IF(ISBLANK('By Round'!K46),"",'By Round'!K46)</f>
        <v/>
      </c>
      <c r="L61">
        <f>IF(ISBLANK('By Round'!L46),"",'By Round'!L46)</f>
        <v/>
      </c>
      <c r="M61" s="11">
        <f>AVERAGE(AC61:AF61)</f>
        <v/>
      </c>
      <c r="N61" s="12">
        <f>AVERAGE(AG61:AJ61)</f>
        <v/>
      </c>
      <c r="O61" s="13">
        <f>IF(COUNT(U61:X61)&gt;0,Q61/COUNT(U61:X61),0.5)</f>
        <v/>
      </c>
      <c r="P61" s="13">
        <f>IF(COUNT(Y61:AB61)&gt;0,R61/COUNT(Y61:AB61),0.5)</f>
        <v/>
      </c>
      <c r="Q61" s="5">
        <f>SUM(U61:X61)</f>
        <v/>
      </c>
      <c r="R61" s="5">
        <f>SUM(Y61:AB61)</f>
        <v/>
      </c>
      <c r="S61" s="14">
        <f>IF(ISNUMBER(K61),K61,IF(ISNUMBER(L61),-L61,""))</f>
        <v/>
      </c>
      <c r="T61">
        <f>IF(ISNUMBER(L61),L61,IF(ISNUMBER(K61),-K61,""))</f>
        <v/>
      </c>
      <c r="U61" s="14">
        <f>IF(ISNUMBER(S61),IF(ISNUMBER(S58),IF(S61&gt;S58,1.0,IF(S61=S58,0.5,0.0)),""),"")</f>
        <v/>
      </c>
      <c r="V61">
        <f>IF(ISNUMBER(S61),IF(ISNUMBER(S59),IF(S61&gt;S59,1.0,IF(S61=S59,0.5,0.0)),""),"")</f>
        <v/>
      </c>
      <c r="W61">
        <f>IF(ISNUMBER(S61),IF(ISNUMBER(S60),IF(S61&gt;S60,1.0,IF(S61=S60,0.5,0.0)),""),"")</f>
        <v/>
      </c>
      <c r="X61">
        <f>IF(ISNUMBER(S61),IF(ISNUMBER(S62),IF(S61&gt;S62,1.0,IF(S61=S62,0.5,0.0)),""),"")</f>
        <v/>
      </c>
      <c r="Y61">
        <f>IF(ISNUMBER(T61),IF(ISNUMBER(T58),IF(T61&gt;T58,1.0,IF(T61=T58,0.5,0.0)),""),"")</f>
        <v/>
      </c>
      <c r="Z61">
        <f>IF(ISNUMBER(T61),IF(ISNUMBER(T59),IF(T61&gt;T59,1.0,IF(T61=T59,0.5,0.0)),""),"")</f>
        <v/>
      </c>
      <c r="AA61">
        <f>IF(ISNUMBER(T61),IF(ISNUMBER(T60),IF(T61&gt;T60,1.0,IF(T61=T60,0.5,0.0)),""),"")</f>
        <v/>
      </c>
      <c r="AB61">
        <f>IF(ISNUMBER(T61),IF(ISNUMBER(T62),IF(T61&gt;T62,1.0,IF(T61=T62,0.5,0.0)),""),"")</f>
        <v/>
      </c>
      <c r="AC61" s="14">
        <f>IF(AND(ISNUMBER(S61),ISNUMBER(S58)),VLOOKUP(ABS(S61-S58),'IMP Table'!$A$2:$C$26,3)*SIGN(S61-S58),0)</f>
        <v/>
      </c>
      <c r="AD61">
        <f>IF(AND(ISNUMBER(S61),ISNUMBER(S59)),VLOOKUP(ABS(S61-S59),'IMP Table'!$A$2:$C$26,3)*SIGN(S61-S59),0)</f>
        <v/>
      </c>
      <c r="AE61">
        <f>IF(AND(ISNUMBER(S61),ISNUMBER(S60)),VLOOKUP(ABS(S61-S60),'IMP Table'!$A$2:$C$26,3)*SIGN(S61-S60),0)</f>
        <v/>
      </c>
      <c r="AF61">
        <f>IF(AND(ISNUMBER(S61),ISNUMBER(S62)),VLOOKUP(ABS(S61-S62),'IMP Table'!$A$2:$C$26,3)*SIGN(S61-S62),0)</f>
        <v/>
      </c>
      <c r="AG61">
        <f>IF(AND(ISNUMBER(T61),ISNUMBER(T58)),VLOOKUP(ABS(T61-T58),'IMP Table'!$A$2:$C$26,3)*SIGN(T61-T58),0)</f>
        <v/>
      </c>
      <c r="AH61">
        <f>IF(AND(ISNUMBER(T61),ISNUMBER(T59)),VLOOKUP(ABS(T61-T59),'IMP Table'!$A$2:$C$26,3)*SIGN(T61-T59),0)</f>
        <v/>
      </c>
      <c r="AI61">
        <f>IF(AND(ISNUMBER(T61),ISNUMBER(T60)),VLOOKUP(ABS(T61-T60),'IMP Table'!$A$2:$C$26,3)*SIGN(T61-T60),0)</f>
        <v/>
      </c>
      <c r="AJ61">
        <f>IF(AND(ISNUMBER(T61),ISNUMBER(T62)),VLOOKUP(ABS(T61-T62),'IMP Table'!$A$2:$C$26,3)*SIGN(T61-T62),0)</f>
        <v/>
      </c>
    </row>
    <row r="62">
      <c r="A62" s="15" t="n"/>
      <c r="B62" s="16">
        <f>'By Round'!A33</f>
        <v/>
      </c>
      <c r="C62" s="16">
        <f>'By Round'!B37</f>
        <v/>
      </c>
      <c r="D62" s="16">
        <f>'By Round'!C37</f>
        <v/>
      </c>
      <c r="E62" s="16">
        <f>'By Round'!D37</f>
        <v/>
      </c>
      <c r="F62" s="16">
        <f>IF(ISBLANK('By Round'!F38),"",'By Round'!F38)</f>
        <v/>
      </c>
      <c r="G62" s="15">
        <f>IF(ISBLANK('By Round'!G38),"",'By Round'!G38)</f>
        <v/>
      </c>
      <c r="H62" s="15">
        <f>IF(ISBLANK('By Round'!H38),"",'By Round'!H38)</f>
        <v/>
      </c>
      <c r="I62" s="15">
        <f>IF(ISBLANK('By Round'!I38),"",'By Round'!I38)</f>
        <v/>
      </c>
      <c r="J62" s="15">
        <f>IF(ISBLANK('By Round'!J38),"",'By Round'!J38)</f>
        <v/>
      </c>
      <c r="K62" s="15">
        <f>IF(ISBLANK('By Round'!K38),"",'By Round'!K38)</f>
        <v/>
      </c>
      <c r="L62" s="15">
        <f>IF(ISBLANK('By Round'!L38),"",'By Round'!L38)</f>
        <v/>
      </c>
      <c r="M62" s="17">
        <f>AVERAGE(AC62:AF62)</f>
        <v/>
      </c>
      <c r="N62" s="18">
        <f>AVERAGE(AG62:AJ62)</f>
        <v/>
      </c>
      <c r="O62" s="19">
        <f>IF(COUNT(U62:X62)&gt;0,Q62/COUNT(U62:X62),0.5)</f>
        <v/>
      </c>
      <c r="P62" s="19">
        <f>IF(COUNT(Y62:AB62)&gt;0,R62/COUNT(Y62:AB62),0.5)</f>
        <v/>
      </c>
      <c r="Q62" s="20">
        <f>SUM(U62:X62)</f>
        <v/>
      </c>
      <c r="R62" s="20">
        <f>SUM(Y62:AB62)</f>
        <v/>
      </c>
      <c r="S62" s="21">
        <f>IF(ISNUMBER(K62),K62,IF(ISNUMBER(L62),-L62,""))</f>
        <v/>
      </c>
      <c r="T62" s="15">
        <f>IF(ISNUMBER(L62),L62,IF(ISNUMBER(K62),-K62,""))</f>
        <v/>
      </c>
      <c r="U62" s="21">
        <f>IF(ISNUMBER(S62),IF(ISNUMBER(S58),IF(S62&gt;S58,1.0,IF(S62=S58,0.5,0.0)),""),"")</f>
        <v/>
      </c>
      <c r="V62" s="15">
        <f>IF(ISNUMBER(S62),IF(ISNUMBER(S59),IF(S62&gt;S59,1.0,IF(S62=S59,0.5,0.0)),""),"")</f>
        <v/>
      </c>
      <c r="W62" s="15">
        <f>IF(ISNUMBER(S62),IF(ISNUMBER(S60),IF(S62&gt;S60,1.0,IF(S62=S60,0.5,0.0)),""),"")</f>
        <v/>
      </c>
      <c r="X62" s="15">
        <f>IF(ISNUMBER(S62),IF(ISNUMBER(S61),IF(S62&gt;S61,1.0,IF(S62=S61,0.5,0.0)),""),"")</f>
        <v/>
      </c>
      <c r="Y62" s="15">
        <f>IF(ISNUMBER(T62),IF(ISNUMBER(T58),IF(T62&gt;T58,1.0,IF(T62=T58,0.5,0.0)),""),"")</f>
        <v/>
      </c>
      <c r="Z62" s="15">
        <f>IF(ISNUMBER(T62),IF(ISNUMBER(T59),IF(T62&gt;T59,1.0,IF(T62=T59,0.5,0.0)),""),"")</f>
        <v/>
      </c>
      <c r="AA62" s="15">
        <f>IF(ISNUMBER(T62),IF(ISNUMBER(T60),IF(T62&gt;T60,1.0,IF(T62=T60,0.5,0.0)),""),"")</f>
        <v/>
      </c>
      <c r="AB62" s="15">
        <f>IF(ISNUMBER(T62),IF(ISNUMBER(T61),IF(T62&gt;T61,1.0,IF(T62=T61,0.5,0.0)),""),"")</f>
        <v/>
      </c>
      <c r="AC62" s="21">
        <f>IF(AND(ISNUMBER(S62),ISNUMBER(S58)),VLOOKUP(ABS(S62-S58),'IMP Table'!$A$2:$C$26,3)*SIGN(S62-S58),0)</f>
        <v/>
      </c>
      <c r="AD62" s="15">
        <f>IF(AND(ISNUMBER(S62),ISNUMBER(S59)),VLOOKUP(ABS(S62-S59),'IMP Table'!$A$2:$C$26,3)*SIGN(S62-S59),0)</f>
        <v/>
      </c>
      <c r="AE62" s="15">
        <f>IF(AND(ISNUMBER(S62),ISNUMBER(S60)),VLOOKUP(ABS(S62-S60),'IMP Table'!$A$2:$C$26,3)*SIGN(S62-S60),0)</f>
        <v/>
      </c>
      <c r="AF62" s="15">
        <f>IF(AND(ISNUMBER(S62),ISNUMBER(S61)),VLOOKUP(ABS(S62-S61),'IMP Table'!$A$2:$C$26,3)*SIGN(S62-S61),0)</f>
        <v/>
      </c>
      <c r="AG62" s="15">
        <f>IF(AND(ISNUMBER(T62),ISNUMBER(T58)),VLOOKUP(ABS(T62-T58),'IMP Table'!$A$2:$C$26,3)*SIGN(T62-T58),0)</f>
        <v/>
      </c>
      <c r="AH62" s="15">
        <f>IF(AND(ISNUMBER(T62),ISNUMBER(T59)),VLOOKUP(ABS(T62-T59),'IMP Table'!$A$2:$C$26,3)*SIGN(T62-T59),0)</f>
        <v/>
      </c>
      <c r="AI62" s="15">
        <f>IF(AND(ISNUMBER(T62),ISNUMBER(T60)),VLOOKUP(ABS(T62-T60),'IMP Table'!$A$2:$C$26,3)*SIGN(T62-T60),0)</f>
        <v/>
      </c>
      <c r="AJ62" s="15">
        <f>IF(AND(ISNUMBER(T62),ISNUMBER(T61)),VLOOKUP(ABS(T62-T61),'IMP Table'!$A$2:$C$26,3)*SIGN(T62-T61),0)</f>
        <v/>
      </c>
    </row>
    <row r="63">
      <c r="A63" s="10" t="n">
        <v>13</v>
      </c>
      <c r="B63" s="10">
        <f>'By Round'!A63</f>
        <v/>
      </c>
      <c r="C63" s="10">
        <f>'By Round'!B63</f>
        <v/>
      </c>
      <c r="D63" s="10">
        <f>'By Round'!C63</f>
        <v/>
      </c>
      <c r="E63" s="10">
        <f>'By Round'!D63</f>
        <v/>
      </c>
      <c r="F63" s="10">
        <f>IF(ISBLANK('By Round'!F63),"",'By Round'!F63)</f>
        <v/>
      </c>
      <c r="G63">
        <f>IF(ISBLANK('By Round'!G63),"",'By Round'!G63)</f>
        <v/>
      </c>
      <c r="H63">
        <f>IF(ISBLANK('By Round'!H63),"",'By Round'!H63)</f>
        <v/>
      </c>
      <c r="I63">
        <f>IF(ISBLANK('By Round'!I63),"",'By Round'!I63)</f>
        <v/>
      </c>
      <c r="J63">
        <f>IF(ISBLANK('By Round'!J63),"",'By Round'!J63)</f>
        <v/>
      </c>
      <c r="K63">
        <f>IF(ISBLANK('By Round'!K63),"",'By Round'!K63)</f>
        <v/>
      </c>
      <c r="L63">
        <f>IF(ISBLANK('By Round'!L63),"",'By Round'!L63)</f>
        <v/>
      </c>
      <c r="M63" s="11">
        <f>AVERAGE(AC63:AF63)</f>
        <v/>
      </c>
      <c r="N63" s="12">
        <f>AVERAGE(AG63:AJ63)</f>
        <v/>
      </c>
      <c r="O63" s="13">
        <f>IF(COUNT(U63:X63)&gt;0,Q63/COUNT(U63:X63),0.5)</f>
        <v/>
      </c>
      <c r="P63" s="13">
        <f>IF(COUNT(Y63:AB63)&gt;0,R63/COUNT(Y63:AB63),0.5)</f>
        <v/>
      </c>
      <c r="Q63" s="5">
        <f>SUM(U63:X63)</f>
        <v/>
      </c>
      <c r="R63" s="5">
        <f>SUM(Y63:AB63)</f>
        <v/>
      </c>
      <c r="S63" s="14">
        <f>IF(ISNUMBER(K63),K63,IF(ISNUMBER(L63),-L63,""))</f>
        <v/>
      </c>
      <c r="T63">
        <f>IF(ISNUMBER(L63),L63,IF(ISNUMBER(K63),-K63,""))</f>
        <v/>
      </c>
      <c r="U63" s="14">
        <f>IF(ISNUMBER(S63),IF(ISNUMBER(S64),IF(S63&gt;S64,1.0,IF(S63=S64,0.5,0.0)),""),"")</f>
        <v/>
      </c>
      <c r="V63">
        <f>IF(ISNUMBER(S63),IF(ISNUMBER(S65),IF(S63&gt;S65,1.0,IF(S63=S65,0.5,0.0)),""),"")</f>
        <v/>
      </c>
      <c r="W63">
        <f>IF(ISNUMBER(S63),IF(ISNUMBER(S66),IF(S63&gt;S66,1.0,IF(S63=S66,0.5,0.0)),""),"")</f>
        <v/>
      </c>
      <c r="X63">
        <f>IF(ISNUMBER(S63),IF(ISNUMBER(S67),IF(S63&gt;S67,1.0,IF(S63=S67,0.5,0.0)),""),"")</f>
        <v/>
      </c>
      <c r="Y63">
        <f>IF(ISNUMBER(T63),IF(ISNUMBER(T64),IF(T63&gt;T64,1.0,IF(T63=T64,0.5,0.0)),""),"")</f>
        <v/>
      </c>
      <c r="Z63">
        <f>IF(ISNUMBER(T63),IF(ISNUMBER(T65),IF(T63&gt;T65,1.0,IF(T63=T65,0.5,0.0)),""),"")</f>
        <v/>
      </c>
      <c r="AA63">
        <f>IF(ISNUMBER(T63),IF(ISNUMBER(T66),IF(T63&gt;T66,1.0,IF(T63=T66,0.5,0.0)),""),"")</f>
        <v/>
      </c>
      <c r="AB63">
        <f>IF(ISNUMBER(T63),IF(ISNUMBER(T67),IF(T63&gt;T67,1.0,IF(T63=T67,0.5,0.0)),""),"")</f>
        <v/>
      </c>
      <c r="AC63" s="14">
        <f>IF(AND(ISNUMBER(S63),ISNUMBER(S64)),VLOOKUP(ABS(S63-S64),'IMP Table'!$A$2:$C$26,3)*SIGN(S63-S64),0)</f>
        <v/>
      </c>
      <c r="AD63">
        <f>IF(AND(ISNUMBER(S63),ISNUMBER(S65)),VLOOKUP(ABS(S63-S65),'IMP Table'!$A$2:$C$26,3)*SIGN(S63-S65),0)</f>
        <v/>
      </c>
      <c r="AE63">
        <f>IF(AND(ISNUMBER(S63),ISNUMBER(S66)),VLOOKUP(ABS(S63-S66),'IMP Table'!$A$2:$C$26,3)*SIGN(S63-S66),0)</f>
        <v/>
      </c>
      <c r="AF63">
        <f>IF(AND(ISNUMBER(S63),ISNUMBER(S67)),VLOOKUP(ABS(S63-S67),'IMP Table'!$A$2:$C$26,3)*SIGN(S63-S67),0)</f>
        <v/>
      </c>
      <c r="AG63">
        <f>IF(AND(ISNUMBER(T63),ISNUMBER(T64)),VLOOKUP(ABS(T63-T64),'IMP Table'!$A$2:$C$26,3)*SIGN(T63-T64),0)</f>
        <v/>
      </c>
      <c r="AH63">
        <f>IF(AND(ISNUMBER(T63),ISNUMBER(T65)),VLOOKUP(ABS(T63-T65),'IMP Table'!$A$2:$C$26,3)*SIGN(T63-T65),0)</f>
        <v/>
      </c>
      <c r="AI63">
        <f>IF(AND(ISNUMBER(T63),ISNUMBER(T66)),VLOOKUP(ABS(T63-T66),'IMP Table'!$A$2:$C$26,3)*SIGN(T63-T66),0)</f>
        <v/>
      </c>
      <c r="AJ63">
        <f>IF(AND(ISNUMBER(T63),ISNUMBER(T67)),VLOOKUP(ABS(T63-T67),'IMP Table'!$A$2:$C$26,3)*SIGN(T63-T67),0)</f>
        <v/>
      </c>
    </row>
    <row r="64">
      <c r="B64" s="10">
        <f>'By Round'!A43</f>
        <v/>
      </c>
      <c r="C64" s="10">
        <f>'By Round'!B47</f>
        <v/>
      </c>
      <c r="D64" s="10">
        <f>'By Round'!C47</f>
        <v/>
      </c>
      <c r="E64" s="10">
        <f>'By Round'!D47</f>
        <v/>
      </c>
      <c r="F64" s="10">
        <f>IF(ISBLANK('By Round'!F47),"",'By Round'!F47)</f>
        <v/>
      </c>
      <c r="G64">
        <f>IF(ISBLANK('By Round'!G47),"",'By Round'!G47)</f>
        <v/>
      </c>
      <c r="H64">
        <f>IF(ISBLANK('By Round'!H47),"",'By Round'!H47)</f>
        <v/>
      </c>
      <c r="I64">
        <f>IF(ISBLANK('By Round'!I47),"",'By Round'!I47)</f>
        <v/>
      </c>
      <c r="J64">
        <f>IF(ISBLANK('By Round'!J47),"",'By Round'!J47)</f>
        <v/>
      </c>
      <c r="K64">
        <f>IF(ISBLANK('By Round'!K47),"",'By Round'!K47)</f>
        <v/>
      </c>
      <c r="L64">
        <f>IF(ISBLANK('By Round'!L47),"",'By Round'!L47)</f>
        <v/>
      </c>
      <c r="M64" s="11">
        <f>AVERAGE(AC64:AF64)</f>
        <v/>
      </c>
      <c r="N64" s="12">
        <f>AVERAGE(AG64:AJ64)</f>
        <v/>
      </c>
      <c r="O64" s="13">
        <f>IF(COUNT(U64:X64)&gt;0,Q64/COUNT(U64:X64),0.5)</f>
        <v/>
      </c>
      <c r="P64" s="13">
        <f>IF(COUNT(Y64:AB64)&gt;0,R64/COUNT(Y64:AB64),0.5)</f>
        <v/>
      </c>
      <c r="Q64" s="5">
        <f>SUM(U64:X64)</f>
        <v/>
      </c>
      <c r="R64" s="5">
        <f>SUM(Y64:AB64)</f>
        <v/>
      </c>
      <c r="S64" s="14">
        <f>IF(ISNUMBER(K64),K64,IF(ISNUMBER(L64),-L64,""))</f>
        <v/>
      </c>
      <c r="T64">
        <f>IF(ISNUMBER(L64),L64,IF(ISNUMBER(K64),-K64,""))</f>
        <v/>
      </c>
      <c r="U64" s="14">
        <f>IF(ISNUMBER(S64),IF(ISNUMBER(S63),IF(S64&gt;S63,1.0,IF(S64=S63,0.5,0.0)),""),"")</f>
        <v/>
      </c>
      <c r="V64">
        <f>IF(ISNUMBER(S64),IF(ISNUMBER(S65),IF(S64&gt;S65,1.0,IF(S64=S65,0.5,0.0)),""),"")</f>
        <v/>
      </c>
      <c r="W64">
        <f>IF(ISNUMBER(S64),IF(ISNUMBER(S66),IF(S64&gt;S66,1.0,IF(S64=S66,0.5,0.0)),""),"")</f>
        <v/>
      </c>
      <c r="X64">
        <f>IF(ISNUMBER(S64),IF(ISNUMBER(S67),IF(S64&gt;S67,1.0,IF(S64=S67,0.5,0.0)),""),"")</f>
        <v/>
      </c>
      <c r="Y64">
        <f>IF(ISNUMBER(T64),IF(ISNUMBER(T63),IF(T64&gt;T63,1.0,IF(T64=T63,0.5,0.0)),""),"")</f>
        <v/>
      </c>
      <c r="Z64">
        <f>IF(ISNUMBER(T64),IF(ISNUMBER(T65),IF(T64&gt;T65,1.0,IF(T64=T65,0.5,0.0)),""),"")</f>
        <v/>
      </c>
      <c r="AA64">
        <f>IF(ISNUMBER(T64),IF(ISNUMBER(T66),IF(T64&gt;T66,1.0,IF(T64=T66,0.5,0.0)),""),"")</f>
        <v/>
      </c>
      <c r="AB64">
        <f>IF(ISNUMBER(T64),IF(ISNUMBER(T67),IF(T64&gt;T67,1.0,IF(T64=T67,0.5,0.0)),""),"")</f>
        <v/>
      </c>
      <c r="AC64" s="14">
        <f>IF(AND(ISNUMBER(S64),ISNUMBER(S63)),VLOOKUP(ABS(S64-S63),'IMP Table'!$A$2:$C$26,3)*SIGN(S64-S63),0)</f>
        <v/>
      </c>
      <c r="AD64">
        <f>IF(AND(ISNUMBER(S64),ISNUMBER(S65)),VLOOKUP(ABS(S64-S65),'IMP Table'!$A$2:$C$26,3)*SIGN(S64-S65),0)</f>
        <v/>
      </c>
      <c r="AE64">
        <f>IF(AND(ISNUMBER(S64),ISNUMBER(S66)),VLOOKUP(ABS(S64-S66),'IMP Table'!$A$2:$C$26,3)*SIGN(S64-S66),0)</f>
        <v/>
      </c>
      <c r="AF64">
        <f>IF(AND(ISNUMBER(S64),ISNUMBER(S67)),VLOOKUP(ABS(S64-S67),'IMP Table'!$A$2:$C$26,3)*SIGN(S64-S67),0)</f>
        <v/>
      </c>
      <c r="AG64">
        <f>IF(AND(ISNUMBER(T64),ISNUMBER(T63)),VLOOKUP(ABS(T64-T63),'IMP Table'!$A$2:$C$26,3)*SIGN(T64-T63),0)</f>
        <v/>
      </c>
      <c r="AH64">
        <f>IF(AND(ISNUMBER(T64),ISNUMBER(T65)),VLOOKUP(ABS(T64-T65),'IMP Table'!$A$2:$C$26,3)*SIGN(T64-T65),0)</f>
        <v/>
      </c>
      <c r="AI64">
        <f>IF(AND(ISNUMBER(T64),ISNUMBER(T66)),VLOOKUP(ABS(T64-T66),'IMP Table'!$A$2:$C$26,3)*SIGN(T64-T66),0)</f>
        <v/>
      </c>
      <c r="AJ64">
        <f>IF(AND(ISNUMBER(T64),ISNUMBER(T67)),VLOOKUP(ABS(T64-T67),'IMP Table'!$A$2:$C$26,3)*SIGN(T64-T67),0)</f>
        <v/>
      </c>
    </row>
    <row r="65">
      <c r="B65" s="10">
        <f>'By Round'!A83</f>
        <v/>
      </c>
      <c r="C65" s="10">
        <f>'By Round'!B89</f>
        <v/>
      </c>
      <c r="D65" s="10">
        <f>'By Round'!C89</f>
        <v/>
      </c>
      <c r="E65" s="10">
        <f>'By Round'!D89</f>
        <v/>
      </c>
      <c r="F65" s="10">
        <f>IF(ISBLANK('By Round'!F89),"",'By Round'!F89)</f>
        <v/>
      </c>
      <c r="G65">
        <f>IF(ISBLANK('By Round'!G89),"",'By Round'!G89)</f>
        <v/>
      </c>
      <c r="H65">
        <f>IF(ISBLANK('By Round'!H89),"",'By Round'!H89)</f>
        <v/>
      </c>
      <c r="I65">
        <f>IF(ISBLANK('By Round'!I89),"",'By Round'!I89)</f>
        <v/>
      </c>
      <c r="J65">
        <f>IF(ISBLANK('By Round'!J89),"",'By Round'!J89)</f>
        <v/>
      </c>
      <c r="K65">
        <f>IF(ISBLANK('By Round'!K89),"",'By Round'!K89)</f>
        <v/>
      </c>
      <c r="L65">
        <f>IF(ISBLANK('By Round'!L89),"",'By Round'!L89)</f>
        <v/>
      </c>
      <c r="M65" s="11">
        <f>AVERAGE(AC65:AF65)</f>
        <v/>
      </c>
      <c r="N65" s="12">
        <f>AVERAGE(AG65:AJ65)</f>
        <v/>
      </c>
      <c r="O65" s="13">
        <f>IF(COUNT(U65:X65)&gt;0,Q65/COUNT(U65:X65),0.5)</f>
        <v/>
      </c>
      <c r="P65" s="13">
        <f>IF(COUNT(Y65:AB65)&gt;0,R65/COUNT(Y65:AB65),0.5)</f>
        <v/>
      </c>
      <c r="Q65" s="5">
        <f>SUM(U65:X65)</f>
        <v/>
      </c>
      <c r="R65" s="5">
        <f>SUM(Y65:AB65)</f>
        <v/>
      </c>
      <c r="S65" s="14">
        <f>IF(ISNUMBER(K65),K65,IF(ISNUMBER(L65),-L65,""))</f>
        <v/>
      </c>
      <c r="T65">
        <f>IF(ISNUMBER(L65),L65,IF(ISNUMBER(K65),-K65,""))</f>
        <v/>
      </c>
      <c r="U65" s="14">
        <f>IF(ISNUMBER(S65),IF(ISNUMBER(S63),IF(S65&gt;S63,1.0,IF(S65=S63,0.5,0.0)),""),"")</f>
        <v/>
      </c>
      <c r="V65">
        <f>IF(ISNUMBER(S65),IF(ISNUMBER(S64),IF(S65&gt;S64,1.0,IF(S65=S64,0.5,0.0)),""),"")</f>
        <v/>
      </c>
      <c r="W65">
        <f>IF(ISNUMBER(S65),IF(ISNUMBER(S66),IF(S65&gt;S66,1.0,IF(S65=S66,0.5,0.0)),""),"")</f>
        <v/>
      </c>
      <c r="X65">
        <f>IF(ISNUMBER(S65),IF(ISNUMBER(S67),IF(S65&gt;S67,1.0,IF(S65=S67,0.5,0.0)),""),"")</f>
        <v/>
      </c>
      <c r="Y65">
        <f>IF(ISNUMBER(T65),IF(ISNUMBER(T63),IF(T65&gt;T63,1.0,IF(T65=T63,0.5,0.0)),""),"")</f>
        <v/>
      </c>
      <c r="Z65">
        <f>IF(ISNUMBER(T65),IF(ISNUMBER(T64),IF(T65&gt;T64,1.0,IF(T65=T64,0.5,0.0)),""),"")</f>
        <v/>
      </c>
      <c r="AA65">
        <f>IF(ISNUMBER(T65),IF(ISNUMBER(T66),IF(T65&gt;T66,1.0,IF(T65=T66,0.5,0.0)),""),"")</f>
        <v/>
      </c>
      <c r="AB65">
        <f>IF(ISNUMBER(T65),IF(ISNUMBER(T67),IF(T65&gt;T67,1.0,IF(T65=T67,0.5,0.0)),""),"")</f>
        <v/>
      </c>
      <c r="AC65" s="14">
        <f>IF(AND(ISNUMBER(S65),ISNUMBER(S63)),VLOOKUP(ABS(S65-S63),'IMP Table'!$A$2:$C$26,3)*SIGN(S65-S63),0)</f>
        <v/>
      </c>
      <c r="AD65">
        <f>IF(AND(ISNUMBER(S65),ISNUMBER(S64)),VLOOKUP(ABS(S65-S64),'IMP Table'!$A$2:$C$26,3)*SIGN(S65-S64),0)</f>
        <v/>
      </c>
      <c r="AE65">
        <f>IF(AND(ISNUMBER(S65),ISNUMBER(S66)),VLOOKUP(ABS(S65-S66),'IMP Table'!$A$2:$C$26,3)*SIGN(S65-S66),0)</f>
        <v/>
      </c>
      <c r="AF65">
        <f>IF(AND(ISNUMBER(S65),ISNUMBER(S67)),VLOOKUP(ABS(S65-S67),'IMP Table'!$A$2:$C$26,3)*SIGN(S65-S67),0)</f>
        <v/>
      </c>
      <c r="AG65">
        <f>IF(AND(ISNUMBER(T65),ISNUMBER(T63)),VLOOKUP(ABS(T65-T63),'IMP Table'!$A$2:$C$26,3)*SIGN(T65-T63),0)</f>
        <v/>
      </c>
      <c r="AH65">
        <f>IF(AND(ISNUMBER(T65),ISNUMBER(T64)),VLOOKUP(ABS(T65-T64),'IMP Table'!$A$2:$C$26,3)*SIGN(T65-T64),0)</f>
        <v/>
      </c>
      <c r="AI65">
        <f>IF(AND(ISNUMBER(T65),ISNUMBER(T66)),VLOOKUP(ABS(T65-T66),'IMP Table'!$A$2:$C$26,3)*SIGN(T65-T66),0)</f>
        <v/>
      </c>
      <c r="AJ65">
        <f>IF(AND(ISNUMBER(T65),ISNUMBER(T67)),VLOOKUP(ABS(T65-T67),'IMP Table'!$A$2:$C$26,3)*SIGN(T65-T67),0)</f>
        <v/>
      </c>
    </row>
    <row r="66">
      <c r="B66" s="10">
        <f>'By Round'!A73</f>
        <v/>
      </c>
      <c r="C66" s="10">
        <f>'By Round'!B81</f>
        <v/>
      </c>
      <c r="D66" s="10">
        <f>'By Round'!C81</f>
        <v/>
      </c>
      <c r="E66" s="10">
        <f>'By Round'!D81</f>
        <v/>
      </c>
      <c r="F66" s="10">
        <f>IF(ISBLANK('By Round'!F81),"",'By Round'!F81)</f>
        <v/>
      </c>
      <c r="G66">
        <f>IF(ISBLANK('By Round'!G81),"",'By Round'!G81)</f>
        <v/>
      </c>
      <c r="H66">
        <f>IF(ISBLANK('By Round'!H81),"",'By Round'!H81)</f>
        <v/>
      </c>
      <c r="I66">
        <f>IF(ISBLANK('By Round'!I81),"",'By Round'!I81)</f>
        <v/>
      </c>
      <c r="J66">
        <f>IF(ISBLANK('By Round'!J81),"",'By Round'!J81)</f>
        <v/>
      </c>
      <c r="K66">
        <f>IF(ISBLANK('By Round'!K81),"",'By Round'!K81)</f>
        <v/>
      </c>
      <c r="L66">
        <f>IF(ISBLANK('By Round'!L81),"",'By Round'!L81)</f>
        <v/>
      </c>
      <c r="M66" s="11">
        <f>AVERAGE(AC66:AF66)</f>
        <v/>
      </c>
      <c r="N66" s="12">
        <f>AVERAGE(AG66:AJ66)</f>
        <v/>
      </c>
      <c r="O66" s="13">
        <f>IF(COUNT(U66:X66)&gt;0,Q66/COUNT(U66:X66),0.5)</f>
        <v/>
      </c>
      <c r="P66" s="13">
        <f>IF(COUNT(Y66:AB66)&gt;0,R66/COUNT(Y66:AB66),0.5)</f>
        <v/>
      </c>
      <c r="Q66" s="5">
        <f>SUM(U66:X66)</f>
        <v/>
      </c>
      <c r="R66" s="5">
        <f>SUM(Y66:AB66)</f>
        <v/>
      </c>
      <c r="S66" s="14">
        <f>IF(ISNUMBER(K66),K66,IF(ISNUMBER(L66),-L66,""))</f>
        <v/>
      </c>
      <c r="T66">
        <f>IF(ISNUMBER(L66),L66,IF(ISNUMBER(K66),-K66,""))</f>
        <v/>
      </c>
      <c r="U66" s="14">
        <f>IF(ISNUMBER(S66),IF(ISNUMBER(S63),IF(S66&gt;S63,1.0,IF(S66=S63,0.5,0.0)),""),"")</f>
        <v/>
      </c>
      <c r="V66">
        <f>IF(ISNUMBER(S66),IF(ISNUMBER(S64),IF(S66&gt;S64,1.0,IF(S66=S64,0.5,0.0)),""),"")</f>
        <v/>
      </c>
      <c r="W66">
        <f>IF(ISNUMBER(S66),IF(ISNUMBER(S65),IF(S66&gt;S65,1.0,IF(S66=S65,0.5,0.0)),""),"")</f>
        <v/>
      </c>
      <c r="X66">
        <f>IF(ISNUMBER(S66),IF(ISNUMBER(S67),IF(S66&gt;S67,1.0,IF(S66=S67,0.5,0.0)),""),"")</f>
        <v/>
      </c>
      <c r="Y66">
        <f>IF(ISNUMBER(T66),IF(ISNUMBER(T63),IF(T66&gt;T63,1.0,IF(T66=T63,0.5,0.0)),""),"")</f>
        <v/>
      </c>
      <c r="Z66">
        <f>IF(ISNUMBER(T66),IF(ISNUMBER(T64),IF(T66&gt;T64,1.0,IF(T66=T64,0.5,0.0)),""),"")</f>
        <v/>
      </c>
      <c r="AA66">
        <f>IF(ISNUMBER(T66),IF(ISNUMBER(T65),IF(T66&gt;T65,1.0,IF(T66=T65,0.5,0.0)),""),"")</f>
        <v/>
      </c>
      <c r="AB66">
        <f>IF(ISNUMBER(T66),IF(ISNUMBER(T67),IF(T66&gt;T67,1.0,IF(T66=T67,0.5,0.0)),""),"")</f>
        <v/>
      </c>
      <c r="AC66" s="14">
        <f>IF(AND(ISNUMBER(S66),ISNUMBER(S63)),VLOOKUP(ABS(S66-S63),'IMP Table'!$A$2:$C$26,3)*SIGN(S66-S63),0)</f>
        <v/>
      </c>
      <c r="AD66">
        <f>IF(AND(ISNUMBER(S66),ISNUMBER(S64)),VLOOKUP(ABS(S66-S64),'IMP Table'!$A$2:$C$26,3)*SIGN(S66-S64),0)</f>
        <v/>
      </c>
      <c r="AE66">
        <f>IF(AND(ISNUMBER(S66),ISNUMBER(S65)),VLOOKUP(ABS(S66-S65),'IMP Table'!$A$2:$C$26,3)*SIGN(S66-S65),0)</f>
        <v/>
      </c>
      <c r="AF66">
        <f>IF(AND(ISNUMBER(S66),ISNUMBER(S67)),VLOOKUP(ABS(S66-S67),'IMP Table'!$A$2:$C$26,3)*SIGN(S66-S67),0)</f>
        <v/>
      </c>
      <c r="AG66">
        <f>IF(AND(ISNUMBER(T66),ISNUMBER(T63)),VLOOKUP(ABS(T66-T63),'IMP Table'!$A$2:$C$26,3)*SIGN(T66-T63),0)</f>
        <v/>
      </c>
      <c r="AH66">
        <f>IF(AND(ISNUMBER(T66),ISNUMBER(T64)),VLOOKUP(ABS(T66-T64),'IMP Table'!$A$2:$C$26,3)*SIGN(T66-T64),0)</f>
        <v/>
      </c>
      <c r="AI66">
        <f>IF(AND(ISNUMBER(T66),ISNUMBER(T65)),VLOOKUP(ABS(T66-T65),'IMP Table'!$A$2:$C$26,3)*SIGN(T66-T65),0)</f>
        <v/>
      </c>
      <c r="AJ66">
        <f>IF(AND(ISNUMBER(T66),ISNUMBER(T67)),VLOOKUP(ABS(T66-T67),'IMP Table'!$A$2:$C$26,3)*SIGN(T66-T67),0)</f>
        <v/>
      </c>
    </row>
    <row r="67">
      <c r="A67" s="15" t="n"/>
      <c r="B67" s="16">
        <f>'By Round'!A53</f>
        <v/>
      </c>
      <c r="C67" s="16">
        <f>'By Round'!B55</f>
        <v/>
      </c>
      <c r="D67" s="16">
        <f>'By Round'!C55</f>
        <v/>
      </c>
      <c r="E67" s="16">
        <f>'By Round'!D55</f>
        <v/>
      </c>
      <c r="F67" s="16">
        <f>IF(ISBLANK('By Round'!F55),"",'By Round'!F55)</f>
        <v/>
      </c>
      <c r="G67" s="15">
        <f>IF(ISBLANK('By Round'!G55),"",'By Round'!G55)</f>
        <v/>
      </c>
      <c r="H67" s="15">
        <f>IF(ISBLANK('By Round'!H55),"",'By Round'!H55)</f>
        <v/>
      </c>
      <c r="I67" s="15">
        <f>IF(ISBLANK('By Round'!I55),"",'By Round'!I55)</f>
        <v/>
      </c>
      <c r="J67" s="15">
        <f>IF(ISBLANK('By Round'!J55),"",'By Round'!J55)</f>
        <v/>
      </c>
      <c r="K67" s="15">
        <f>IF(ISBLANK('By Round'!K55),"",'By Round'!K55)</f>
        <v/>
      </c>
      <c r="L67" s="15">
        <f>IF(ISBLANK('By Round'!L55),"",'By Round'!L55)</f>
        <v/>
      </c>
      <c r="M67" s="17">
        <f>AVERAGE(AC67:AF67)</f>
        <v/>
      </c>
      <c r="N67" s="18">
        <f>AVERAGE(AG67:AJ67)</f>
        <v/>
      </c>
      <c r="O67" s="19">
        <f>IF(COUNT(U67:X67)&gt;0,Q67/COUNT(U67:X67),0.5)</f>
        <v/>
      </c>
      <c r="P67" s="19">
        <f>IF(COUNT(Y67:AB67)&gt;0,R67/COUNT(Y67:AB67),0.5)</f>
        <v/>
      </c>
      <c r="Q67" s="20">
        <f>SUM(U67:X67)</f>
        <v/>
      </c>
      <c r="R67" s="20">
        <f>SUM(Y67:AB67)</f>
        <v/>
      </c>
      <c r="S67" s="21">
        <f>IF(ISNUMBER(K67),K67,IF(ISNUMBER(L67),-L67,""))</f>
        <v/>
      </c>
      <c r="T67" s="15">
        <f>IF(ISNUMBER(L67),L67,IF(ISNUMBER(K67),-K67,""))</f>
        <v/>
      </c>
      <c r="U67" s="21">
        <f>IF(ISNUMBER(S67),IF(ISNUMBER(S63),IF(S67&gt;S63,1.0,IF(S67=S63,0.5,0.0)),""),"")</f>
        <v/>
      </c>
      <c r="V67" s="15">
        <f>IF(ISNUMBER(S67),IF(ISNUMBER(S64),IF(S67&gt;S64,1.0,IF(S67=S64,0.5,0.0)),""),"")</f>
        <v/>
      </c>
      <c r="W67" s="15">
        <f>IF(ISNUMBER(S67),IF(ISNUMBER(S65),IF(S67&gt;S65,1.0,IF(S67=S65,0.5,0.0)),""),"")</f>
        <v/>
      </c>
      <c r="X67" s="15">
        <f>IF(ISNUMBER(S67),IF(ISNUMBER(S66),IF(S67&gt;S66,1.0,IF(S67=S66,0.5,0.0)),""),"")</f>
        <v/>
      </c>
      <c r="Y67" s="15">
        <f>IF(ISNUMBER(T67),IF(ISNUMBER(T63),IF(T67&gt;T63,1.0,IF(T67=T63,0.5,0.0)),""),"")</f>
        <v/>
      </c>
      <c r="Z67" s="15">
        <f>IF(ISNUMBER(T67),IF(ISNUMBER(T64),IF(T67&gt;T64,1.0,IF(T67=T64,0.5,0.0)),""),"")</f>
        <v/>
      </c>
      <c r="AA67" s="15">
        <f>IF(ISNUMBER(T67),IF(ISNUMBER(T65),IF(T67&gt;T65,1.0,IF(T67=T65,0.5,0.0)),""),"")</f>
        <v/>
      </c>
      <c r="AB67" s="15">
        <f>IF(ISNUMBER(T67),IF(ISNUMBER(T66),IF(T67&gt;T66,1.0,IF(T67=T66,0.5,0.0)),""),"")</f>
        <v/>
      </c>
      <c r="AC67" s="21">
        <f>IF(AND(ISNUMBER(S67),ISNUMBER(S63)),VLOOKUP(ABS(S67-S63),'IMP Table'!$A$2:$C$26,3)*SIGN(S67-S63),0)</f>
        <v/>
      </c>
      <c r="AD67" s="15">
        <f>IF(AND(ISNUMBER(S67),ISNUMBER(S64)),VLOOKUP(ABS(S67-S64),'IMP Table'!$A$2:$C$26,3)*SIGN(S67-S64),0)</f>
        <v/>
      </c>
      <c r="AE67" s="15">
        <f>IF(AND(ISNUMBER(S67),ISNUMBER(S65)),VLOOKUP(ABS(S67-S65),'IMP Table'!$A$2:$C$26,3)*SIGN(S67-S65),0)</f>
        <v/>
      </c>
      <c r="AF67" s="15">
        <f>IF(AND(ISNUMBER(S67),ISNUMBER(S66)),VLOOKUP(ABS(S67-S66),'IMP Table'!$A$2:$C$26,3)*SIGN(S67-S66),0)</f>
        <v/>
      </c>
      <c r="AG67" s="15">
        <f>IF(AND(ISNUMBER(T67),ISNUMBER(T63)),VLOOKUP(ABS(T67-T63),'IMP Table'!$A$2:$C$26,3)*SIGN(T67-T63),0)</f>
        <v/>
      </c>
      <c r="AH67" s="15">
        <f>IF(AND(ISNUMBER(T67),ISNUMBER(T64)),VLOOKUP(ABS(T67-T64),'IMP Table'!$A$2:$C$26,3)*SIGN(T67-T64),0)</f>
        <v/>
      </c>
      <c r="AI67" s="15">
        <f>IF(AND(ISNUMBER(T67),ISNUMBER(T65)),VLOOKUP(ABS(T67-T65),'IMP Table'!$A$2:$C$26,3)*SIGN(T67-T65),0)</f>
        <v/>
      </c>
      <c r="AJ67" s="15">
        <f>IF(AND(ISNUMBER(T67),ISNUMBER(T66)),VLOOKUP(ABS(T67-T66),'IMP Table'!$A$2:$C$26,3)*SIGN(T67-T66),0)</f>
        <v/>
      </c>
    </row>
    <row r="68">
      <c r="A68" s="10" t="n">
        <v>14</v>
      </c>
      <c r="B68" s="10">
        <f>'By Round'!A63</f>
        <v/>
      </c>
      <c r="C68" s="10">
        <f>'By Round'!B63</f>
        <v/>
      </c>
      <c r="D68" s="10">
        <f>'By Round'!C63</f>
        <v/>
      </c>
      <c r="E68" s="10">
        <f>'By Round'!D63</f>
        <v/>
      </c>
      <c r="F68" s="10">
        <f>IF(ISBLANK('By Round'!F64),"",'By Round'!F64)</f>
        <v/>
      </c>
      <c r="G68">
        <f>IF(ISBLANK('By Round'!G64),"",'By Round'!G64)</f>
        <v/>
      </c>
      <c r="H68">
        <f>IF(ISBLANK('By Round'!H64),"",'By Round'!H64)</f>
        <v/>
      </c>
      <c r="I68">
        <f>IF(ISBLANK('By Round'!I64),"",'By Round'!I64)</f>
        <v/>
      </c>
      <c r="J68">
        <f>IF(ISBLANK('By Round'!J64),"",'By Round'!J64)</f>
        <v/>
      </c>
      <c r="K68">
        <f>IF(ISBLANK('By Round'!K64),"",'By Round'!K64)</f>
        <v/>
      </c>
      <c r="L68">
        <f>IF(ISBLANK('By Round'!L64),"",'By Round'!L64)</f>
        <v/>
      </c>
      <c r="M68" s="11">
        <f>AVERAGE(AC68:AF68)</f>
        <v/>
      </c>
      <c r="N68" s="12">
        <f>AVERAGE(AG68:AJ68)</f>
        <v/>
      </c>
      <c r="O68" s="13">
        <f>IF(COUNT(U68:X68)&gt;0,Q68/COUNT(U68:X68),0.5)</f>
        <v/>
      </c>
      <c r="P68" s="13">
        <f>IF(COUNT(Y68:AB68)&gt;0,R68/COUNT(Y68:AB68),0.5)</f>
        <v/>
      </c>
      <c r="Q68" s="5">
        <f>SUM(U68:X68)</f>
        <v/>
      </c>
      <c r="R68" s="5">
        <f>SUM(Y68:AB68)</f>
        <v/>
      </c>
      <c r="S68" s="14">
        <f>IF(ISNUMBER(K68),K68,IF(ISNUMBER(L68),-L68,""))</f>
        <v/>
      </c>
      <c r="T68">
        <f>IF(ISNUMBER(L68),L68,IF(ISNUMBER(K68),-K68,""))</f>
        <v/>
      </c>
      <c r="U68" s="14">
        <f>IF(ISNUMBER(S68),IF(ISNUMBER(S69),IF(S68&gt;S69,1.0,IF(S68=S69,0.5,0.0)),""),"")</f>
        <v/>
      </c>
      <c r="V68">
        <f>IF(ISNUMBER(S68),IF(ISNUMBER(S70),IF(S68&gt;S70,1.0,IF(S68=S70,0.5,0.0)),""),"")</f>
        <v/>
      </c>
      <c r="W68">
        <f>IF(ISNUMBER(S68),IF(ISNUMBER(S71),IF(S68&gt;S71,1.0,IF(S68=S71,0.5,0.0)),""),"")</f>
        <v/>
      </c>
      <c r="X68">
        <f>IF(ISNUMBER(S68),IF(ISNUMBER(S72),IF(S68&gt;S72,1.0,IF(S68=S72,0.5,0.0)),""),"")</f>
        <v/>
      </c>
      <c r="Y68">
        <f>IF(ISNUMBER(T68),IF(ISNUMBER(T69),IF(T68&gt;T69,1.0,IF(T68=T69,0.5,0.0)),""),"")</f>
        <v/>
      </c>
      <c r="Z68">
        <f>IF(ISNUMBER(T68),IF(ISNUMBER(T70),IF(T68&gt;T70,1.0,IF(T68=T70,0.5,0.0)),""),"")</f>
        <v/>
      </c>
      <c r="AA68">
        <f>IF(ISNUMBER(T68),IF(ISNUMBER(T71),IF(T68&gt;T71,1.0,IF(T68=T71,0.5,0.0)),""),"")</f>
        <v/>
      </c>
      <c r="AB68">
        <f>IF(ISNUMBER(T68),IF(ISNUMBER(T72),IF(T68&gt;T72,1.0,IF(T68=T72,0.5,0.0)),""),"")</f>
        <v/>
      </c>
      <c r="AC68" s="14">
        <f>IF(AND(ISNUMBER(S68),ISNUMBER(S69)),VLOOKUP(ABS(S68-S69),'IMP Table'!$A$2:$C$26,3)*SIGN(S68-S69),0)</f>
        <v/>
      </c>
      <c r="AD68">
        <f>IF(AND(ISNUMBER(S68),ISNUMBER(S70)),VLOOKUP(ABS(S68-S70),'IMP Table'!$A$2:$C$26,3)*SIGN(S68-S70),0)</f>
        <v/>
      </c>
      <c r="AE68">
        <f>IF(AND(ISNUMBER(S68),ISNUMBER(S71)),VLOOKUP(ABS(S68-S71),'IMP Table'!$A$2:$C$26,3)*SIGN(S68-S71),0)</f>
        <v/>
      </c>
      <c r="AF68">
        <f>IF(AND(ISNUMBER(S68),ISNUMBER(S72)),VLOOKUP(ABS(S68-S72),'IMP Table'!$A$2:$C$26,3)*SIGN(S68-S72),0)</f>
        <v/>
      </c>
      <c r="AG68">
        <f>IF(AND(ISNUMBER(T68),ISNUMBER(T69)),VLOOKUP(ABS(T68-T69),'IMP Table'!$A$2:$C$26,3)*SIGN(T68-T69),0)</f>
        <v/>
      </c>
      <c r="AH68">
        <f>IF(AND(ISNUMBER(T68),ISNUMBER(T70)),VLOOKUP(ABS(T68-T70),'IMP Table'!$A$2:$C$26,3)*SIGN(T68-T70),0)</f>
        <v/>
      </c>
      <c r="AI68">
        <f>IF(AND(ISNUMBER(T68),ISNUMBER(T71)),VLOOKUP(ABS(T68-T71),'IMP Table'!$A$2:$C$26,3)*SIGN(T68-T71),0)</f>
        <v/>
      </c>
      <c r="AJ68">
        <f>IF(AND(ISNUMBER(T68),ISNUMBER(T72)),VLOOKUP(ABS(T68-T72),'IMP Table'!$A$2:$C$26,3)*SIGN(T68-T72),0)</f>
        <v/>
      </c>
    </row>
    <row r="69">
      <c r="B69" s="10">
        <f>'By Round'!A43</f>
        <v/>
      </c>
      <c r="C69" s="10">
        <f>'By Round'!B47</f>
        <v/>
      </c>
      <c r="D69" s="10">
        <f>'By Round'!C47</f>
        <v/>
      </c>
      <c r="E69" s="10">
        <f>'By Round'!D47</f>
        <v/>
      </c>
      <c r="F69" s="10">
        <f>IF(ISBLANK('By Round'!F48),"",'By Round'!F48)</f>
        <v/>
      </c>
      <c r="G69">
        <f>IF(ISBLANK('By Round'!G48),"",'By Round'!G48)</f>
        <v/>
      </c>
      <c r="H69">
        <f>IF(ISBLANK('By Round'!H48),"",'By Round'!H48)</f>
        <v/>
      </c>
      <c r="I69">
        <f>IF(ISBLANK('By Round'!I48),"",'By Round'!I48)</f>
        <v/>
      </c>
      <c r="J69">
        <f>IF(ISBLANK('By Round'!J48),"",'By Round'!J48)</f>
        <v/>
      </c>
      <c r="K69">
        <f>IF(ISBLANK('By Round'!K48),"",'By Round'!K48)</f>
        <v/>
      </c>
      <c r="L69">
        <f>IF(ISBLANK('By Round'!L48),"",'By Round'!L48)</f>
        <v/>
      </c>
      <c r="M69" s="11">
        <f>AVERAGE(AC69:AF69)</f>
        <v/>
      </c>
      <c r="N69" s="12">
        <f>AVERAGE(AG69:AJ69)</f>
        <v/>
      </c>
      <c r="O69" s="13">
        <f>IF(COUNT(U69:X69)&gt;0,Q69/COUNT(U69:X69),0.5)</f>
        <v/>
      </c>
      <c r="P69" s="13">
        <f>IF(COUNT(Y69:AB69)&gt;0,R69/COUNT(Y69:AB69),0.5)</f>
        <v/>
      </c>
      <c r="Q69" s="5">
        <f>SUM(U69:X69)</f>
        <v/>
      </c>
      <c r="R69" s="5">
        <f>SUM(Y69:AB69)</f>
        <v/>
      </c>
      <c r="S69" s="14">
        <f>IF(ISNUMBER(K69),K69,IF(ISNUMBER(L69),-L69,""))</f>
        <v/>
      </c>
      <c r="T69">
        <f>IF(ISNUMBER(L69),L69,IF(ISNUMBER(K69),-K69,""))</f>
        <v/>
      </c>
      <c r="U69" s="14">
        <f>IF(ISNUMBER(S69),IF(ISNUMBER(S68),IF(S69&gt;S68,1.0,IF(S69=S68,0.5,0.0)),""),"")</f>
        <v/>
      </c>
      <c r="V69">
        <f>IF(ISNUMBER(S69),IF(ISNUMBER(S70),IF(S69&gt;S70,1.0,IF(S69=S70,0.5,0.0)),""),"")</f>
        <v/>
      </c>
      <c r="W69">
        <f>IF(ISNUMBER(S69),IF(ISNUMBER(S71),IF(S69&gt;S71,1.0,IF(S69=S71,0.5,0.0)),""),"")</f>
        <v/>
      </c>
      <c r="X69">
        <f>IF(ISNUMBER(S69),IF(ISNUMBER(S72),IF(S69&gt;S72,1.0,IF(S69=S72,0.5,0.0)),""),"")</f>
        <v/>
      </c>
      <c r="Y69">
        <f>IF(ISNUMBER(T69),IF(ISNUMBER(T68),IF(T69&gt;T68,1.0,IF(T69=T68,0.5,0.0)),""),"")</f>
        <v/>
      </c>
      <c r="Z69">
        <f>IF(ISNUMBER(T69),IF(ISNUMBER(T70),IF(T69&gt;T70,1.0,IF(T69=T70,0.5,0.0)),""),"")</f>
        <v/>
      </c>
      <c r="AA69">
        <f>IF(ISNUMBER(T69),IF(ISNUMBER(T71),IF(T69&gt;T71,1.0,IF(T69=T71,0.5,0.0)),""),"")</f>
        <v/>
      </c>
      <c r="AB69">
        <f>IF(ISNUMBER(T69),IF(ISNUMBER(T72),IF(T69&gt;T72,1.0,IF(T69=T72,0.5,0.0)),""),"")</f>
        <v/>
      </c>
      <c r="AC69" s="14">
        <f>IF(AND(ISNUMBER(S69),ISNUMBER(S68)),VLOOKUP(ABS(S69-S68),'IMP Table'!$A$2:$C$26,3)*SIGN(S69-S68),0)</f>
        <v/>
      </c>
      <c r="AD69">
        <f>IF(AND(ISNUMBER(S69),ISNUMBER(S70)),VLOOKUP(ABS(S69-S70),'IMP Table'!$A$2:$C$26,3)*SIGN(S69-S70),0)</f>
        <v/>
      </c>
      <c r="AE69">
        <f>IF(AND(ISNUMBER(S69),ISNUMBER(S71)),VLOOKUP(ABS(S69-S71),'IMP Table'!$A$2:$C$26,3)*SIGN(S69-S71),0)</f>
        <v/>
      </c>
      <c r="AF69">
        <f>IF(AND(ISNUMBER(S69),ISNUMBER(S72)),VLOOKUP(ABS(S69-S72),'IMP Table'!$A$2:$C$26,3)*SIGN(S69-S72),0)</f>
        <v/>
      </c>
      <c r="AG69">
        <f>IF(AND(ISNUMBER(T69),ISNUMBER(T68)),VLOOKUP(ABS(T69-T68),'IMP Table'!$A$2:$C$26,3)*SIGN(T69-T68),0)</f>
        <v/>
      </c>
      <c r="AH69">
        <f>IF(AND(ISNUMBER(T69),ISNUMBER(T70)),VLOOKUP(ABS(T69-T70),'IMP Table'!$A$2:$C$26,3)*SIGN(T69-T70),0)</f>
        <v/>
      </c>
      <c r="AI69">
        <f>IF(AND(ISNUMBER(T69),ISNUMBER(T71)),VLOOKUP(ABS(T69-T71),'IMP Table'!$A$2:$C$26,3)*SIGN(T69-T71),0)</f>
        <v/>
      </c>
      <c r="AJ69">
        <f>IF(AND(ISNUMBER(T69),ISNUMBER(T72)),VLOOKUP(ABS(T69-T72),'IMP Table'!$A$2:$C$26,3)*SIGN(T69-T72),0)</f>
        <v/>
      </c>
    </row>
    <row r="70">
      <c r="B70" s="10">
        <f>'By Round'!A83</f>
        <v/>
      </c>
      <c r="C70" s="10">
        <f>'By Round'!B89</f>
        <v/>
      </c>
      <c r="D70" s="10">
        <f>'By Round'!C89</f>
        <v/>
      </c>
      <c r="E70" s="10">
        <f>'By Round'!D89</f>
        <v/>
      </c>
      <c r="F70" s="10">
        <f>IF(ISBLANK('By Round'!F90),"",'By Round'!F90)</f>
        <v/>
      </c>
      <c r="G70">
        <f>IF(ISBLANK('By Round'!G90),"",'By Round'!G90)</f>
        <v/>
      </c>
      <c r="H70">
        <f>IF(ISBLANK('By Round'!H90),"",'By Round'!H90)</f>
        <v/>
      </c>
      <c r="I70">
        <f>IF(ISBLANK('By Round'!I90),"",'By Round'!I90)</f>
        <v/>
      </c>
      <c r="J70">
        <f>IF(ISBLANK('By Round'!J90),"",'By Round'!J90)</f>
        <v/>
      </c>
      <c r="K70">
        <f>IF(ISBLANK('By Round'!K90),"",'By Round'!K90)</f>
        <v/>
      </c>
      <c r="L70">
        <f>IF(ISBLANK('By Round'!L90),"",'By Round'!L90)</f>
        <v/>
      </c>
      <c r="M70" s="11">
        <f>AVERAGE(AC70:AF70)</f>
        <v/>
      </c>
      <c r="N70" s="12">
        <f>AVERAGE(AG70:AJ70)</f>
        <v/>
      </c>
      <c r="O70" s="13">
        <f>IF(COUNT(U70:X70)&gt;0,Q70/COUNT(U70:X70),0.5)</f>
        <v/>
      </c>
      <c r="P70" s="13">
        <f>IF(COUNT(Y70:AB70)&gt;0,R70/COUNT(Y70:AB70),0.5)</f>
        <v/>
      </c>
      <c r="Q70" s="5">
        <f>SUM(U70:X70)</f>
        <v/>
      </c>
      <c r="R70" s="5">
        <f>SUM(Y70:AB70)</f>
        <v/>
      </c>
      <c r="S70" s="14">
        <f>IF(ISNUMBER(K70),K70,IF(ISNUMBER(L70),-L70,""))</f>
        <v/>
      </c>
      <c r="T70">
        <f>IF(ISNUMBER(L70),L70,IF(ISNUMBER(K70),-K70,""))</f>
        <v/>
      </c>
      <c r="U70" s="14">
        <f>IF(ISNUMBER(S70),IF(ISNUMBER(S68),IF(S70&gt;S68,1.0,IF(S70=S68,0.5,0.0)),""),"")</f>
        <v/>
      </c>
      <c r="V70">
        <f>IF(ISNUMBER(S70),IF(ISNUMBER(S69),IF(S70&gt;S69,1.0,IF(S70=S69,0.5,0.0)),""),"")</f>
        <v/>
      </c>
      <c r="W70">
        <f>IF(ISNUMBER(S70),IF(ISNUMBER(S71),IF(S70&gt;S71,1.0,IF(S70=S71,0.5,0.0)),""),"")</f>
        <v/>
      </c>
      <c r="X70">
        <f>IF(ISNUMBER(S70),IF(ISNUMBER(S72),IF(S70&gt;S72,1.0,IF(S70=S72,0.5,0.0)),""),"")</f>
        <v/>
      </c>
      <c r="Y70">
        <f>IF(ISNUMBER(T70),IF(ISNUMBER(T68),IF(T70&gt;T68,1.0,IF(T70=T68,0.5,0.0)),""),"")</f>
        <v/>
      </c>
      <c r="Z70">
        <f>IF(ISNUMBER(T70),IF(ISNUMBER(T69),IF(T70&gt;T69,1.0,IF(T70=T69,0.5,0.0)),""),"")</f>
        <v/>
      </c>
      <c r="AA70">
        <f>IF(ISNUMBER(T70),IF(ISNUMBER(T71),IF(T70&gt;T71,1.0,IF(T70=T71,0.5,0.0)),""),"")</f>
        <v/>
      </c>
      <c r="AB70">
        <f>IF(ISNUMBER(T70),IF(ISNUMBER(T72),IF(T70&gt;T72,1.0,IF(T70=T72,0.5,0.0)),""),"")</f>
        <v/>
      </c>
      <c r="AC70" s="14">
        <f>IF(AND(ISNUMBER(S70),ISNUMBER(S68)),VLOOKUP(ABS(S70-S68),'IMP Table'!$A$2:$C$26,3)*SIGN(S70-S68),0)</f>
        <v/>
      </c>
      <c r="AD70">
        <f>IF(AND(ISNUMBER(S70),ISNUMBER(S69)),VLOOKUP(ABS(S70-S69),'IMP Table'!$A$2:$C$26,3)*SIGN(S70-S69),0)</f>
        <v/>
      </c>
      <c r="AE70">
        <f>IF(AND(ISNUMBER(S70),ISNUMBER(S71)),VLOOKUP(ABS(S70-S71),'IMP Table'!$A$2:$C$26,3)*SIGN(S70-S71),0)</f>
        <v/>
      </c>
      <c r="AF70">
        <f>IF(AND(ISNUMBER(S70),ISNUMBER(S72)),VLOOKUP(ABS(S70-S72),'IMP Table'!$A$2:$C$26,3)*SIGN(S70-S72),0)</f>
        <v/>
      </c>
      <c r="AG70">
        <f>IF(AND(ISNUMBER(T70),ISNUMBER(T68)),VLOOKUP(ABS(T70-T68),'IMP Table'!$A$2:$C$26,3)*SIGN(T70-T68),0)</f>
        <v/>
      </c>
      <c r="AH70">
        <f>IF(AND(ISNUMBER(T70),ISNUMBER(T69)),VLOOKUP(ABS(T70-T69),'IMP Table'!$A$2:$C$26,3)*SIGN(T70-T69),0)</f>
        <v/>
      </c>
      <c r="AI70">
        <f>IF(AND(ISNUMBER(T70),ISNUMBER(T71)),VLOOKUP(ABS(T70-T71),'IMP Table'!$A$2:$C$26,3)*SIGN(T70-T71),0)</f>
        <v/>
      </c>
      <c r="AJ70">
        <f>IF(AND(ISNUMBER(T70),ISNUMBER(T72)),VLOOKUP(ABS(T70-T72),'IMP Table'!$A$2:$C$26,3)*SIGN(T70-T72),0)</f>
        <v/>
      </c>
    </row>
    <row r="71">
      <c r="B71" s="10">
        <f>'By Round'!A73</f>
        <v/>
      </c>
      <c r="C71" s="10">
        <f>'By Round'!B81</f>
        <v/>
      </c>
      <c r="D71" s="10">
        <f>'By Round'!C81</f>
        <v/>
      </c>
      <c r="E71" s="10">
        <f>'By Round'!D81</f>
        <v/>
      </c>
      <c r="F71" s="10">
        <f>IF(ISBLANK('By Round'!F82),"",'By Round'!F82)</f>
        <v/>
      </c>
      <c r="G71">
        <f>IF(ISBLANK('By Round'!G82),"",'By Round'!G82)</f>
        <v/>
      </c>
      <c r="H71">
        <f>IF(ISBLANK('By Round'!H82),"",'By Round'!H82)</f>
        <v/>
      </c>
      <c r="I71">
        <f>IF(ISBLANK('By Round'!I82),"",'By Round'!I82)</f>
        <v/>
      </c>
      <c r="J71">
        <f>IF(ISBLANK('By Round'!J82),"",'By Round'!J82)</f>
        <v/>
      </c>
      <c r="K71">
        <f>IF(ISBLANK('By Round'!K82),"",'By Round'!K82)</f>
        <v/>
      </c>
      <c r="L71">
        <f>IF(ISBLANK('By Round'!L82),"",'By Round'!L82)</f>
        <v/>
      </c>
      <c r="M71" s="11">
        <f>AVERAGE(AC71:AF71)</f>
        <v/>
      </c>
      <c r="N71" s="12">
        <f>AVERAGE(AG71:AJ71)</f>
        <v/>
      </c>
      <c r="O71" s="13">
        <f>IF(COUNT(U71:X71)&gt;0,Q71/COUNT(U71:X71),0.5)</f>
        <v/>
      </c>
      <c r="P71" s="13">
        <f>IF(COUNT(Y71:AB71)&gt;0,R71/COUNT(Y71:AB71),0.5)</f>
        <v/>
      </c>
      <c r="Q71" s="5">
        <f>SUM(U71:X71)</f>
        <v/>
      </c>
      <c r="R71" s="5">
        <f>SUM(Y71:AB71)</f>
        <v/>
      </c>
      <c r="S71" s="14">
        <f>IF(ISNUMBER(K71),K71,IF(ISNUMBER(L71),-L71,""))</f>
        <v/>
      </c>
      <c r="T71">
        <f>IF(ISNUMBER(L71),L71,IF(ISNUMBER(K71),-K71,""))</f>
        <v/>
      </c>
      <c r="U71" s="14">
        <f>IF(ISNUMBER(S71),IF(ISNUMBER(S68),IF(S71&gt;S68,1.0,IF(S71=S68,0.5,0.0)),""),"")</f>
        <v/>
      </c>
      <c r="V71">
        <f>IF(ISNUMBER(S71),IF(ISNUMBER(S69),IF(S71&gt;S69,1.0,IF(S71=S69,0.5,0.0)),""),"")</f>
        <v/>
      </c>
      <c r="W71">
        <f>IF(ISNUMBER(S71),IF(ISNUMBER(S70),IF(S71&gt;S70,1.0,IF(S71=S70,0.5,0.0)),""),"")</f>
        <v/>
      </c>
      <c r="X71">
        <f>IF(ISNUMBER(S71),IF(ISNUMBER(S72),IF(S71&gt;S72,1.0,IF(S71=S72,0.5,0.0)),""),"")</f>
        <v/>
      </c>
      <c r="Y71">
        <f>IF(ISNUMBER(T71),IF(ISNUMBER(T68),IF(T71&gt;T68,1.0,IF(T71=T68,0.5,0.0)),""),"")</f>
        <v/>
      </c>
      <c r="Z71">
        <f>IF(ISNUMBER(T71),IF(ISNUMBER(T69),IF(T71&gt;T69,1.0,IF(T71=T69,0.5,0.0)),""),"")</f>
        <v/>
      </c>
      <c r="AA71">
        <f>IF(ISNUMBER(T71),IF(ISNUMBER(T70),IF(T71&gt;T70,1.0,IF(T71=T70,0.5,0.0)),""),"")</f>
        <v/>
      </c>
      <c r="AB71">
        <f>IF(ISNUMBER(T71),IF(ISNUMBER(T72),IF(T71&gt;T72,1.0,IF(T71=T72,0.5,0.0)),""),"")</f>
        <v/>
      </c>
      <c r="AC71" s="14">
        <f>IF(AND(ISNUMBER(S71),ISNUMBER(S68)),VLOOKUP(ABS(S71-S68),'IMP Table'!$A$2:$C$26,3)*SIGN(S71-S68),0)</f>
        <v/>
      </c>
      <c r="AD71">
        <f>IF(AND(ISNUMBER(S71),ISNUMBER(S69)),VLOOKUP(ABS(S71-S69),'IMP Table'!$A$2:$C$26,3)*SIGN(S71-S69),0)</f>
        <v/>
      </c>
      <c r="AE71">
        <f>IF(AND(ISNUMBER(S71),ISNUMBER(S70)),VLOOKUP(ABS(S71-S70),'IMP Table'!$A$2:$C$26,3)*SIGN(S71-S70),0)</f>
        <v/>
      </c>
      <c r="AF71">
        <f>IF(AND(ISNUMBER(S71),ISNUMBER(S72)),VLOOKUP(ABS(S71-S72),'IMP Table'!$A$2:$C$26,3)*SIGN(S71-S72),0)</f>
        <v/>
      </c>
      <c r="AG71">
        <f>IF(AND(ISNUMBER(T71),ISNUMBER(T68)),VLOOKUP(ABS(T71-T68),'IMP Table'!$A$2:$C$26,3)*SIGN(T71-T68),0)</f>
        <v/>
      </c>
      <c r="AH71">
        <f>IF(AND(ISNUMBER(T71),ISNUMBER(T69)),VLOOKUP(ABS(T71-T69),'IMP Table'!$A$2:$C$26,3)*SIGN(T71-T69),0)</f>
        <v/>
      </c>
      <c r="AI71">
        <f>IF(AND(ISNUMBER(T71),ISNUMBER(T70)),VLOOKUP(ABS(T71-T70),'IMP Table'!$A$2:$C$26,3)*SIGN(T71-T70),0)</f>
        <v/>
      </c>
      <c r="AJ71">
        <f>IF(AND(ISNUMBER(T71),ISNUMBER(T72)),VLOOKUP(ABS(T71-T72),'IMP Table'!$A$2:$C$26,3)*SIGN(T71-T72),0)</f>
        <v/>
      </c>
    </row>
    <row r="72">
      <c r="A72" s="15" t="n"/>
      <c r="B72" s="16">
        <f>'By Round'!A53</f>
        <v/>
      </c>
      <c r="C72" s="16">
        <f>'By Round'!B55</f>
        <v/>
      </c>
      <c r="D72" s="16">
        <f>'By Round'!C55</f>
        <v/>
      </c>
      <c r="E72" s="16">
        <f>'By Round'!D55</f>
        <v/>
      </c>
      <c r="F72" s="16">
        <f>IF(ISBLANK('By Round'!F56),"",'By Round'!F56)</f>
        <v/>
      </c>
      <c r="G72" s="15">
        <f>IF(ISBLANK('By Round'!G56),"",'By Round'!G56)</f>
        <v/>
      </c>
      <c r="H72" s="15">
        <f>IF(ISBLANK('By Round'!H56),"",'By Round'!H56)</f>
        <v/>
      </c>
      <c r="I72" s="15">
        <f>IF(ISBLANK('By Round'!I56),"",'By Round'!I56)</f>
        <v/>
      </c>
      <c r="J72" s="15">
        <f>IF(ISBLANK('By Round'!J56),"",'By Round'!J56)</f>
        <v/>
      </c>
      <c r="K72" s="15">
        <f>IF(ISBLANK('By Round'!K56),"",'By Round'!K56)</f>
        <v/>
      </c>
      <c r="L72" s="15">
        <f>IF(ISBLANK('By Round'!L56),"",'By Round'!L56)</f>
        <v/>
      </c>
      <c r="M72" s="17">
        <f>AVERAGE(AC72:AF72)</f>
        <v/>
      </c>
      <c r="N72" s="18">
        <f>AVERAGE(AG72:AJ72)</f>
        <v/>
      </c>
      <c r="O72" s="19">
        <f>IF(COUNT(U72:X72)&gt;0,Q72/COUNT(U72:X72),0.5)</f>
        <v/>
      </c>
      <c r="P72" s="19">
        <f>IF(COUNT(Y72:AB72)&gt;0,R72/COUNT(Y72:AB72),0.5)</f>
        <v/>
      </c>
      <c r="Q72" s="20">
        <f>SUM(U72:X72)</f>
        <v/>
      </c>
      <c r="R72" s="20">
        <f>SUM(Y72:AB72)</f>
        <v/>
      </c>
      <c r="S72" s="21">
        <f>IF(ISNUMBER(K72),K72,IF(ISNUMBER(L72),-L72,""))</f>
        <v/>
      </c>
      <c r="T72" s="15">
        <f>IF(ISNUMBER(L72),L72,IF(ISNUMBER(K72),-K72,""))</f>
        <v/>
      </c>
      <c r="U72" s="21">
        <f>IF(ISNUMBER(S72),IF(ISNUMBER(S68),IF(S72&gt;S68,1.0,IF(S72=S68,0.5,0.0)),""),"")</f>
        <v/>
      </c>
      <c r="V72" s="15">
        <f>IF(ISNUMBER(S72),IF(ISNUMBER(S69),IF(S72&gt;S69,1.0,IF(S72=S69,0.5,0.0)),""),"")</f>
        <v/>
      </c>
      <c r="W72" s="15">
        <f>IF(ISNUMBER(S72),IF(ISNUMBER(S70),IF(S72&gt;S70,1.0,IF(S72=S70,0.5,0.0)),""),"")</f>
        <v/>
      </c>
      <c r="X72" s="15">
        <f>IF(ISNUMBER(S72),IF(ISNUMBER(S71),IF(S72&gt;S71,1.0,IF(S72=S71,0.5,0.0)),""),"")</f>
        <v/>
      </c>
      <c r="Y72" s="15">
        <f>IF(ISNUMBER(T72),IF(ISNUMBER(T68),IF(T72&gt;T68,1.0,IF(T72=T68,0.5,0.0)),""),"")</f>
        <v/>
      </c>
      <c r="Z72" s="15">
        <f>IF(ISNUMBER(T72),IF(ISNUMBER(T69),IF(T72&gt;T69,1.0,IF(T72=T69,0.5,0.0)),""),"")</f>
        <v/>
      </c>
      <c r="AA72" s="15">
        <f>IF(ISNUMBER(T72),IF(ISNUMBER(T70),IF(T72&gt;T70,1.0,IF(T72=T70,0.5,0.0)),""),"")</f>
        <v/>
      </c>
      <c r="AB72" s="15">
        <f>IF(ISNUMBER(T72),IF(ISNUMBER(T71),IF(T72&gt;T71,1.0,IF(T72=T71,0.5,0.0)),""),"")</f>
        <v/>
      </c>
      <c r="AC72" s="21">
        <f>IF(AND(ISNUMBER(S72),ISNUMBER(S68)),VLOOKUP(ABS(S72-S68),'IMP Table'!$A$2:$C$26,3)*SIGN(S72-S68),0)</f>
        <v/>
      </c>
      <c r="AD72" s="15">
        <f>IF(AND(ISNUMBER(S72),ISNUMBER(S69)),VLOOKUP(ABS(S72-S69),'IMP Table'!$A$2:$C$26,3)*SIGN(S72-S69),0)</f>
        <v/>
      </c>
      <c r="AE72" s="15">
        <f>IF(AND(ISNUMBER(S72),ISNUMBER(S70)),VLOOKUP(ABS(S72-S70),'IMP Table'!$A$2:$C$26,3)*SIGN(S72-S70),0)</f>
        <v/>
      </c>
      <c r="AF72" s="15">
        <f>IF(AND(ISNUMBER(S72),ISNUMBER(S71)),VLOOKUP(ABS(S72-S71),'IMP Table'!$A$2:$C$26,3)*SIGN(S72-S71),0)</f>
        <v/>
      </c>
      <c r="AG72" s="15">
        <f>IF(AND(ISNUMBER(T72),ISNUMBER(T68)),VLOOKUP(ABS(T72-T68),'IMP Table'!$A$2:$C$26,3)*SIGN(T72-T68),0)</f>
        <v/>
      </c>
      <c r="AH72" s="15">
        <f>IF(AND(ISNUMBER(T72),ISNUMBER(T69)),VLOOKUP(ABS(T72-T69),'IMP Table'!$A$2:$C$26,3)*SIGN(T72-T69),0)</f>
        <v/>
      </c>
      <c r="AI72" s="15">
        <f>IF(AND(ISNUMBER(T72),ISNUMBER(T70)),VLOOKUP(ABS(T72-T70),'IMP Table'!$A$2:$C$26,3)*SIGN(T72-T70),0)</f>
        <v/>
      </c>
      <c r="AJ72" s="15">
        <f>IF(AND(ISNUMBER(T72),ISNUMBER(T71)),VLOOKUP(ABS(T72-T71),'IMP Table'!$A$2:$C$26,3)*SIGN(T72-T71),0)</f>
        <v/>
      </c>
    </row>
    <row r="73">
      <c r="A73" s="10" t="n">
        <v>15</v>
      </c>
      <c r="B73" s="10">
        <f>'By Round'!A73</f>
        <v/>
      </c>
      <c r="C73" s="10">
        <f>'By Round'!B73</f>
        <v/>
      </c>
      <c r="D73" s="10">
        <f>'By Round'!C73</f>
        <v/>
      </c>
      <c r="E73" s="10">
        <f>'By Round'!D73</f>
        <v/>
      </c>
      <c r="F73" s="10">
        <f>IF(ISBLANK('By Round'!F73),"",'By Round'!F73)</f>
        <v/>
      </c>
      <c r="G73">
        <f>IF(ISBLANK('By Round'!G73),"",'By Round'!G73)</f>
        <v/>
      </c>
      <c r="H73">
        <f>IF(ISBLANK('By Round'!H73),"",'By Round'!H73)</f>
        <v/>
      </c>
      <c r="I73">
        <f>IF(ISBLANK('By Round'!I73),"",'By Round'!I73)</f>
        <v/>
      </c>
      <c r="J73">
        <f>IF(ISBLANK('By Round'!J73),"",'By Round'!J73)</f>
        <v/>
      </c>
      <c r="K73">
        <f>IF(ISBLANK('By Round'!K73),"",'By Round'!K73)</f>
        <v/>
      </c>
      <c r="L73">
        <f>IF(ISBLANK('By Round'!L73),"",'By Round'!L73)</f>
        <v/>
      </c>
      <c r="M73" s="11">
        <f>AVERAGE(AC73:AF73)</f>
        <v/>
      </c>
      <c r="N73" s="12">
        <f>AVERAGE(AG73:AJ73)</f>
        <v/>
      </c>
      <c r="O73" s="13">
        <f>IF(COUNT(U73:X73)&gt;0,Q73/COUNT(U73:X73),0.5)</f>
        <v/>
      </c>
      <c r="P73" s="13">
        <f>IF(COUNT(Y73:AB73)&gt;0,R73/COUNT(Y73:AB73),0.5)</f>
        <v/>
      </c>
      <c r="Q73" s="5">
        <f>SUM(U73:X73)</f>
        <v/>
      </c>
      <c r="R73" s="5">
        <f>SUM(Y73:AB73)</f>
        <v/>
      </c>
      <c r="S73" s="14">
        <f>IF(ISNUMBER(K73),K73,IF(ISNUMBER(L73),-L73,""))</f>
        <v/>
      </c>
      <c r="T73">
        <f>IF(ISNUMBER(L73),L73,IF(ISNUMBER(K73),-K73,""))</f>
        <v/>
      </c>
      <c r="U73" s="14">
        <f>IF(ISNUMBER(S73),IF(ISNUMBER(S74),IF(S73&gt;S74,1.0,IF(S73=S74,0.5,0.0)),""),"")</f>
        <v/>
      </c>
      <c r="V73">
        <f>IF(ISNUMBER(S73),IF(ISNUMBER(S75),IF(S73&gt;S75,1.0,IF(S73=S75,0.5,0.0)),""),"")</f>
        <v/>
      </c>
      <c r="W73">
        <f>IF(ISNUMBER(S73),IF(ISNUMBER(S76),IF(S73&gt;S76,1.0,IF(S73=S76,0.5,0.0)),""),"")</f>
        <v/>
      </c>
      <c r="X73">
        <f>IF(ISNUMBER(S73),IF(ISNUMBER(S77),IF(S73&gt;S77,1.0,IF(S73=S77,0.5,0.0)),""),"")</f>
        <v/>
      </c>
      <c r="Y73">
        <f>IF(ISNUMBER(T73),IF(ISNUMBER(T74),IF(T73&gt;T74,1.0,IF(T73=T74,0.5,0.0)),""),"")</f>
        <v/>
      </c>
      <c r="Z73">
        <f>IF(ISNUMBER(T73),IF(ISNUMBER(T75),IF(T73&gt;T75,1.0,IF(T73=T75,0.5,0.0)),""),"")</f>
        <v/>
      </c>
      <c r="AA73">
        <f>IF(ISNUMBER(T73),IF(ISNUMBER(T76),IF(T73&gt;T76,1.0,IF(T73=T76,0.5,0.0)),""),"")</f>
        <v/>
      </c>
      <c r="AB73">
        <f>IF(ISNUMBER(T73),IF(ISNUMBER(T77),IF(T73&gt;T77,1.0,IF(T73=T77,0.5,0.0)),""),"")</f>
        <v/>
      </c>
      <c r="AC73" s="14">
        <f>IF(AND(ISNUMBER(S73),ISNUMBER(S74)),VLOOKUP(ABS(S73-S74),'IMP Table'!$A$2:$C$26,3)*SIGN(S73-S74),0)</f>
        <v/>
      </c>
      <c r="AD73">
        <f>IF(AND(ISNUMBER(S73),ISNUMBER(S75)),VLOOKUP(ABS(S73-S75),'IMP Table'!$A$2:$C$26,3)*SIGN(S73-S75),0)</f>
        <v/>
      </c>
      <c r="AE73">
        <f>IF(AND(ISNUMBER(S73),ISNUMBER(S76)),VLOOKUP(ABS(S73-S76),'IMP Table'!$A$2:$C$26,3)*SIGN(S73-S76),0)</f>
        <v/>
      </c>
      <c r="AF73">
        <f>IF(AND(ISNUMBER(S73),ISNUMBER(S77)),VLOOKUP(ABS(S73-S77),'IMP Table'!$A$2:$C$26,3)*SIGN(S73-S77),0)</f>
        <v/>
      </c>
      <c r="AG73">
        <f>IF(AND(ISNUMBER(T73),ISNUMBER(T74)),VLOOKUP(ABS(T73-T74),'IMP Table'!$A$2:$C$26,3)*SIGN(T73-T74),0)</f>
        <v/>
      </c>
      <c r="AH73">
        <f>IF(AND(ISNUMBER(T73),ISNUMBER(T75)),VLOOKUP(ABS(T73-T75),'IMP Table'!$A$2:$C$26,3)*SIGN(T73-T75),0)</f>
        <v/>
      </c>
      <c r="AI73">
        <f>IF(AND(ISNUMBER(T73),ISNUMBER(T76)),VLOOKUP(ABS(T73-T76),'IMP Table'!$A$2:$C$26,3)*SIGN(T73-T76),0)</f>
        <v/>
      </c>
      <c r="AJ73">
        <f>IF(AND(ISNUMBER(T73),ISNUMBER(T77)),VLOOKUP(ABS(T73-T77),'IMP Table'!$A$2:$C$26,3)*SIGN(T73-T77),0)</f>
        <v/>
      </c>
    </row>
    <row r="74">
      <c r="B74" s="10">
        <f>'By Round'!A53</f>
        <v/>
      </c>
      <c r="C74" s="10">
        <f>'By Round'!B57</f>
        <v/>
      </c>
      <c r="D74" s="10">
        <f>'By Round'!C57</f>
        <v/>
      </c>
      <c r="E74" s="10">
        <f>'By Round'!D57</f>
        <v/>
      </c>
      <c r="F74" s="10">
        <f>IF(ISBLANK('By Round'!F57),"",'By Round'!F57)</f>
        <v/>
      </c>
      <c r="G74">
        <f>IF(ISBLANK('By Round'!G57),"",'By Round'!G57)</f>
        <v/>
      </c>
      <c r="H74">
        <f>IF(ISBLANK('By Round'!H57),"",'By Round'!H57)</f>
        <v/>
      </c>
      <c r="I74">
        <f>IF(ISBLANK('By Round'!I57),"",'By Round'!I57)</f>
        <v/>
      </c>
      <c r="J74">
        <f>IF(ISBLANK('By Round'!J57),"",'By Round'!J57)</f>
        <v/>
      </c>
      <c r="K74">
        <f>IF(ISBLANK('By Round'!K57),"",'By Round'!K57)</f>
        <v/>
      </c>
      <c r="L74">
        <f>IF(ISBLANK('By Round'!L57),"",'By Round'!L57)</f>
        <v/>
      </c>
      <c r="M74" s="11">
        <f>AVERAGE(AC74:AF74)</f>
        <v/>
      </c>
      <c r="N74" s="12">
        <f>AVERAGE(AG74:AJ74)</f>
        <v/>
      </c>
      <c r="O74" s="13">
        <f>IF(COUNT(U74:X74)&gt;0,Q74/COUNT(U74:X74),0.5)</f>
        <v/>
      </c>
      <c r="P74" s="13">
        <f>IF(COUNT(Y74:AB74)&gt;0,R74/COUNT(Y74:AB74),0.5)</f>
        <v/>
      </c>
      <c r="Q74" s="5">
        <f>SUM(U74:X74)</f>
        <v/>
      </c>
      <c r="R74" s="5">
        <f>SUM(Y74:AB74)</f>
        <v/>
      </c>
      <c r="S74" s="14">
        <f>IF(ISNUMBER(K74),K74,IF(ISNUMBER(L74),-L74,""))</f>
        <v/>
      </c>
      <c r="T74">
        <f>IF(ISNUMBER(L74),L74,IF(ISNUMBER(K74),-K74,""))</f>
        <v/>
      </c>
      <c r="U74" s="14">
        <f>IF(ISNUMBER(S74),IF(ISNUMBER(S73),IF(S74&gt;S73,1.0,IF(S74=S73,0.5,0.0)),""),"")</f>
        <v/>
      </c>
      <c r="V74">
        <f>IF(ISNUMBER(S74),IF(ISNUMBER(S75),IF(S74&gt;S75,1.0,IF(S74=S75,0.5,0.0)),""),"")</f>
        <v/>
      </c>
      <c r="W74">
        <f>IF(ISNUMBER(S74),IF(ISNUMBER(S76),IF(S74&gt;S76,1.0,IF(S74=S76,0.5,0.0)),""),"")</f>
        <v/>
      </c>
      <c r="X74">
        <f>IF(ISNUMBER(S74),IF(ISNUMBER(S77),IF(S74&gt;S77,1.0,IF(S74=S77,0.5,0.0)),""),"")</f>
        <v/>
      </c>
      <c r="Y74">
        <f>IF(ISNUMBER(T74),IF(ISNUMBER(T73),IF(T74&gt;T73,1.0,IF(T74=T73,0.5,0.0)),""),"")</f>
        <v/>
      </c>
      <c r="Z74">
        <f>IF(ISNUMBER(T74),IF(ISNUMBER(T75),IF(T74&gt;T75,1.0,IF(T74=T75,0.5,0.0)),""),"")</f>
        <v/>
      </c>
      <c r="AA74">
        <f>IF(ISNUMBER(T74),IF(ISNUMBER(T76),IF(T74&gt;T76,1.0,IF(T74=T76,0.5,0.0)),""),"")</f>
        <v/>
      </c>
      <c r="AB74">
        <f>IF(ISNUMBER(T74),IF(ISNUMBER(T77),IF(T74&gt;T77,1.0,IF(T74=T77,0.5,0.0)),""),"")</f>
        <v/>
      </c>
      <c r="AC74" s="14">
        <f>IF(AND(ISNUMBER(S74),ISNUMBER(S73)),VLOOKUP(ABS(S74-S73),'IMP Table'!$A$2:$C$26,3)*SIGN(S74-S73),0)</f>
        <v/>
      </c>
      <c r="AD74">
        <f>IF(AND(ISNUMBER(S74),ISNUMBER(S75)),VLOOKUP(ABS(S74-S75),'IMP Table'!$A$2:$C$26,3)*SIGN(S74-S75),0)</f>
        <v/>
      </c>
      <c r="AE74">
        <f>IF(AND(ISNUMBER(S74),ISNUMBER(S76)),VLOOKUP(ABS(S74-S76),'IMP Table'!$A$2:$C$26,3)*SIGN(S74-S76),0)</f>
        <v/>
      </c>
      <c r="AF74">
        <f>IF(AND(ISNUMBER(S74),ISNUMBER(S77)),VLOOKUP(ABS(S74-S77),'IMP Table'!$A$2:$C$26,3)*SIGN(S74-S77),0)</f>
        <v/>
      </c>
      <c r="AG74">
        <f>IF(AND(ISNUMBER(T74),ISNUMBER(T73)),VLOOKUP(ABS(T74-T73),'IMP Table'!$A$2:$C$26,3)*SIGN(T74-T73),0)</f>
        <v/>
      </c>
      <c r="AH74">
        <f>IF(AND(ISNUMBER(T74),ISNUMBER(T75)),VLOOKUP(ABS(T74-T75),'IMP Table'!$A$2:$C$26,3)*SIGN(T74-T75),0)</f>
        <v/>
      </c>
      <c r="AI74">
        <f>IF(AND(ISNUMBER(T74),ISNUMBER(T76)),VLOOKUP(ABS(T74-T76),'IMP Table'!$A$2:$C$26,3)*SIGN(T74-T76),0)</f>
        <v/>
      </c>
      <c r="AJ74">
        <f>IF(AND(ISNUMBER(T74),ISNUMBER(T77)),VLOOKUP(ABS(T74-T77),'IMP Table'!$A$2:$C$26,3)*SIGN(T74-T77),0)</f>
        <v/>
      </c>
    </row>
    <row r="75">
      <c r="B75" s="10">
        <f>'By Round'!A3</f>
        <v/>
      </c>
      <c r="C75" s="10">
        <f>'By Round'!B9</f>
        <v/>
      </c>
      <c r="D75" s="10">
        <f>'By Round'!C9</f>
        <v/>
      </c>
      <c r="E75" s="10">
        <f>'By Round'!D9</f>
        <v/>
      </c>
      <c r="F75" s="10">
        <f>IF(ISBLANK('By Round'!F9),"",'By Round'!F9)</f>
        <v/>
      </c>
      <c r="G75">
        <f>IF(ISBLANK('By Round'!G9),"",'By Round'!G9)</f>
        <v/>
      </c>
      <c r="H75">
        <f>IF(ISBLANK('By Round'!H9),"",'By Round'!H9)</f>
        <v/>
      </c>
      <c r="I75">
        <f>IF(ISBLANK('By Round'!I9),"",'By Round'!I9)</f>
        <v/>
      </c>
      <c r="J75">
        <f>IF(ISBLANK('By Round'!J9),"",'By Round'!J9)</f>
        <v/>
      </c>
      <c r="K75">
        <f>IF(ISBLANK('By Round'!K9),"",'By Round'!K9)</f>
        <v/>
      </c>
      <c r="L75">
        <f>IF(ISBLANK('By Round'!L9),"",'By Round'!L9)</f>
        <v/>
      </c>
      <c r="M75" s="11">
        <f>AVERAGE(AC75:AF75)</f>
        <v/>
      </c>
      <c r="N75" s="12">
        <f>AVERAGE(AG75:AJ75)</f>
        <v/>
      </c>
      <c r="O75" s="13">
        <f>IF(COUNT(U75:X75)&gt;0,Q75/COUNT(U75:X75),0.5)</f>
        <v/>
      </c>
      <c r="P75" s="13">
        <f>IF(COUNT(Y75:AB75)&gt;0,R75/COUNT(Y75:AB75),0.5)</f>
        <v/>
      </c>
      <c r="Q75" s="5">
        <f>SUM(U75:X75)</f>
        <v/>
      </c>
      <c r="R75" s="5">
        <f>SUM(Y75:AB75)</f>
        <v/>
      </c>
      <c r="S75" s="14">
        <f>IF(ISNUMBER(K75),K75,IF(ISNUMBER(L75),-L75,""))</f>
        <v/>
      </c>
      <c r="T75">
        <f>IF(ISNUMBER(L75),L75,IF(ISNUMBER(K75),-K75,""))</f>
        <v/>
      </c>
      <c r="U75" s="14">
        <f>IF(ISNUMBER(S75),IF(ISNUMBER(S73),IF(S75&gt;S73,1.0,IF(S75=S73,0.5,0.0)),""),"")</f>
        <v/>
      </c>
      <c r="V75">
        <f>IF(ISNUMBER(S75),IF(ISNUMBER(S74),IF(S75&gt;S74,1.0,IF(S75=S74,0.5,0.0)),""),"")</f>
        <v/>
      </c>
      <c r="W75">
        <f>IF(ISNUMBER(S75),IF(ISNUMBER(S76),IF(S75&gt;S76,1.0,IF(S75=S76,0.5,0.0)),""),"")</f>
        <v/>
      </c>
      <c r="X75">
        <f>IF(ISNUMBER(S75),IF(ISNUMBER(S77),IF(S75&gt;S77,1.0,IF(S75=S77,0.5,0.0)),""),"")</f>
        <v/>
      </c>
      <c r="Y75">
        <f>IF(ISNUMBER(T75),IF(ISNUMBER(T73),IF(T75&gt;T73,1.0,IF(T75=T73,0.5,0.0)),""),"")</f>
        <v/>
      </c>
      <c r="Z75">
        <f>IF(ISNUMBER(T75),IF(ISNUMBER(T74),IF(T75&gt;T74,1.0,IF(T75=T74,0.5,0.0)),""),"")</f>
        <v/>
      </c>
      <c r="AA75">
        <f>IF(ISNUMBER(T75),IF(ISNUMBER(T76),IF(T75&gt;T76,1.0,IF(T75=T76,0.5,0.0)),""),"")</f>
        <v/>
      </c>
      <c r="AB75">
        <f>IF(ISNUMBER(T75),IF(ISNUMBER(T77),IF(T75&gt;T77,1.0,IF(T75=T77,0.5,0.0)),""),"")</f>
        <v/>
      </c>
      <c r="AC75" s="14">
        <f>IF(AND(ISNUMBER(S75),ISNUMBER(S73)),VLOOKUP(ABS(S75-S73),'IMP Table'!$A$2:$C$26,3)*SIGN(S75-S73),0)</f>
        <v/>
      </c>
      <c r="AD75">
        <f>IF(AND(ISNUMBER(S75),ISNUMBER(S74)),VLOOKUP(ABS(S75-S74),'IMP Table'!$A$2:$C$26,3)*SIGN(S75-S74),0)</f>
        <v/>
      </c>
      <c r="AE75">
        <f>IF(AND(ISNUMBER(S75),ISNUMBER(S76)),VLOOKUP(ABS(S75-S76),'IMP Table'!$A$2:$C$26,3)*SIGN(S75-S76),0)</f>
        <v/>
      </c>
      <c r="AF75">
        <f>IF(AND(ISNUMBER(S75),ISNUMBER(S77)),VLOOKUP(ABS(S75-S77),'IMP Table'!$A$2:$C$26,3)*SIGN(S75-S77),0)</f>
        <v/>
      </c>
      <c r="AG75">
        <f>IF(AND(ISNUMBER(T75),ISNUMBER(T73)),VLOOKUP(ABS(T75-T73),'IMP Table'!$A$2:$C$26,3)*SIGN(T75-T73),0)</f>
        <v/>
      </c>
      <c r="AH75">
        <f>IF(AND(ISNUMBER(T75),ISNUMBER(T74)),VLOOKUP(ABS(T75-T74),'IMP Table'!$A$2:$C$26,3)*SIGN(T75-T74),0)</f>
        <v/>
      </c>
      <c r="AI75">
        <f>IF(AND(ISNUMBER(T75),ISNUMBER(T76)),VLOOKUP(ABS(T75-T76),'IMP Table'!$A$2:$C$26,3)*SIGN(T75-T76),0)</f>
        <v/>
      </c>
      <c r="AJ75">
        <f>IF(AND(ISNUMBER(T75),ISNUMBER(T77)),VLOOKUP(ABS(T75-T77),'IMP Table'!$A$2:$C$26,3)*SIGN(T75-T77),0)</f>
        <v/>
      </c>
    </row>
    <row r="76">
      <c r="B76" s="10">
        <f>'By Round'!A83</f>
        <v/>
      </c>
      <c r="C76" s="10">
        <f>'By Round'!B91</f>
        <v/>
      </c>
      <c r="D76" s="10">
        <f>'By Round'!C91</f>
        <v/>
      </c>
      <c r="E76" s="10">
        <f>'By Round'!D91</f>
        <v/>
      </c>
      <c r="F76" s="10">
        <f>IF(ISBLANK('By Round'!F91),"",'By Round'!F91)</f>
        <v/>
      </c>
      <c r="G76">
        <f>IF(ISBLANK('By Round'!G91),"",'By Round'!G91)</f>
        <v/>
      </c>
      <c r="H76">
        <f>IF(ISBLANK('By Round'!H91),"",'By Round'!H91)</f>
        <v/>
      </c>
      <c r="I76">
        <f>IF(ISBLANK('By Round'!I91),"",'By Round'!I91)</f>
        <v/>
      </c>
      <c r="J76">
        <f>IF(ISBLANK('By Round'!J91),"",'By Round'!J91)</f>
        <v/>
      </c>
      <c r="K76">
        <f>IF(ISBLANK('By Round'!K91),"",'By Round'!K91)</f>
        <v/>
      </c>
      <c r="L76">
        <f>IF(ISBLANK('By Round'!L91),"",'By Round'!L91)</f>
        <v/>
      </c>
      <c r="M76" s="11">
        <f>AVERAGE(AC76:AF76)</f>
        <v/>
      </c>
      <c r="N76" s="12">
        <f>AVERAGE(AG76:AJ76)</f>
        <v/>
      </c>
      <c r="O76" s="13">
        <f>IF(COUNT(U76:X76)&gt;0,Q76/COUNT(U76:X76),0.5)</f>
        <v/>
      </c>
      <c r="P76" s="13">
        <f>IF(COUNT(Y76:AB76)&gt;0,R76/COUNT(Y76:AB76),0.5)</f>
        <v/>
      </c>
      <c r="Q76" s="5">
        <f>SUM(U76:X76)</f>
        <v/>
      </c>
      <c r="R76" s="5">
        <f>SUM(Y76:AB76)</f>
        <v/>
      </c>
      <c r="S76" s="14">
        <f>IF(ISNUMBER(K76),K76,IF(ISNUMBER(L76),-L76,""))</f>
        <v/>
      </c>
      <c r="T76">
        <f>IF(ISNUMBER(L76),L76,IF(ISNUMBER(K76),-K76,""))</f>
        <v/>
      </c>
      <c r="U76" s="14">
        <f>IF(ISNUMBER(S76),IF(ISNUMBER(S73),IF(S76&gt;S73,1.0,IF(S76=S73,0.5,0.0)),""),"")</f>
        <v/>
      </c>
      <c r="V76">
        <f>IF(ISNUMBER(S76),IF(ISNUMBER(S74),IF(S76&gt;S74,1.0,IF(S76=S74,0.5,0.0)),""),"")</f>
        <v/>
      </c>
      <c r="W76">
        <f>IF(ISNUMBER(S76),IF(ISNUMBER(S75),IF(S76&gt;S75,1.0,IF(S76=S75,0.5,0.0)),""),"")</f>
        <v/>
      </c>
      <c r="X76">
        <f>IF(ISNUMBER(S76),IF(ISNUMBER(S77),IF(S76&gt;S77,1.0,IF(S76=S77,0.5,0.0)),""),"")</f>
        <v/>
      </c>
      <c r="Y76">
        <f>IF(ISNUMBER(T76),IF(ISNUMBER(T73),IF(T76&gt;T73,1.0,IF(T76=T73,0.5,0.0)),""),"")</f>
        <v/>
      </c>
      <c r="Z76">
        <f>IF(ISNUMBER(T76),IF(ISNUMBER(T74),IF(T76&gt;T74,1.0,IF(T76=T74,0.5,0.0)),""),"")</f>
        <v/>
      </c>
      <c r="AA76">
        <f>IF(ISNUMBER(T76),IF(ISNUMBER(T75),IF(T76&gt;T75,1.0,IF(T76=T75,0.5,0.0)),""),"")</f>
        <v/>
      </c>
      <c r="AB76">
        <f>IF(ISNUMBER(T76),IF(ISNUMBER(T77),IF(T76&gt;T77,1.0,IF(T76=T77,0.5,0.0)),""),"")</f>
        <v/>
      </c>
      <c r="AC76" s="14">
        <f>IF(AND(ISNUMBER(S76),ISNUMBER(S73)),VLOOKUP(ABS(S76-S73),'IMP Table'!$A$2:$C$26,3)*SIGN(S76-S73),0)</f>
        <v/>
      </c>
      <c r="AD76">
        <f>IF(AND(ISNUMBER(S76),ISNUMBER(S74)),VLOOKUP(ABS(S76-S74),'IMP Table'!$A$2:$C$26,3)*SIGN(S76-S74),0)</f>
        <v/>
      </c>
      <c r="AE76">
        <f>IF(AND(ISNUMBER(S76),ISNUMBER(S75)),VLOOKUP(ABS(S76-S75),'IMP Table'!$A$2:$C$26,3)*SIGN(S76-S75),0)</f>
        <v/>
      </c>
      <c r="AF76">
        <f>IF(AND(ISNUMBER(S76),ISNUMBER(S77)),VLOOKUP(ABS(S76-S77),'IMP Table'!$A$2:$C$26,3)*SIGN(S76-S77),0)</f>
        <v/>
      </c>
      <c r="AG76">
        <f>IF(AND(ISNUMBER(T76),ISNUMBER(T73)),VLOOKUP(ABS(T76-T73),'IMP Table'!$A$2:$C$26,3)*SIGN(T76-T73),0)</f>
        <v/>
      </c>
      <c r="AH76">
        <f>IF(AND(ISNUMBER(T76),ISNUMBER(T74)),VLOOKUP(ABS(T76-T74),'IMP Table'!$A$2:$C$26,3)*SIGN(T76-T74),0)</f>
        <v/>
      </c>
      <c r="AI76">
        <f>IF(AND(ISNUMBER(T76),ISNUMBER(T75)),VLOOKUP(ABS(T76-T75),'IMP Table'!$A$2:$C$26,3)*SIGN(T76-T75),0)</f>
        <v/>
      </c>
      <c r="AJ76">
        <f>IF(AND(ISNUMBER(T76),ISNUMBER(T77)),VLOOKUP(ABS(T76-T77),'IMP Table'!$A$2:$C$26,3)*SIGN(T76-T77),0)</f>
        <v/>
      </c>
    </row>
    <row r="77">
      <c r="A77" s="15" t="n"/>
      <c r="B77" s="16">
        <f>'By Round'!A63</f>
        <v/>
      </c>
      <c r="C77" s="16">
        <f>'By Round'!B65</f>
        <v/>
      </c>
      <c r="D77" s="16">
        <f>'By Round'!C65</f>
        <v/>
      </c>
      <c r="E77" s="16">
        <f>'By Round'!D65</f>
        <v/>
      </c>
      <c r="F77" s="16">
        <f>IF(ISBLANK('By Round'!F65),"",'By Round'!F65)</f>
        <v/>
      </c>
      <c r="G77" s="15">
        <f>IF(ISBLANK('By Round'!G65),"",'By Round'!G65)</f>
        <v/>
      </c>
      <c r="H77" s="15">
        <f>IF(ISBLANK('By Round'!H65),"",'By Round'!H65)</f>
        <v/>
      </c>
      <c r="I77" s="15">
        <f>IF(ISBLANK('By Round'!I65),"",'By Round'!I65)</f>
        <v/>
      </c>
      <c r="J77" s="15">
        <f>IF(ISBLANK('By Round'!J65),"",'By Round'!J65)</f>
        <v/>
      </c>
      <c r="K77" s="15">
        <f>IF(ISBLANK('By Round'!K65),"",'By Round'!K65)</f>
        <v/>
      </c>
      <c r="L77" s="15">
        <f>IF(ISBLANK('By Round'!L65),"",'By Round'!L65)</f>
        <v/>
      </c>
      <c r="M77" s="17">
        <f>AVERAGE(AC77:AF77)</f>
        <v/>
      </c>
      <c r="N77" s="18">
        <f>AVERAGE(AG77:AJ77)</f>
        <v/>
      </c>
      <c r="O77" s="19">
        <f>IF(COUNT(U77:X77)&gt;0,Q77/COUNT(U77:X77),0.5)</f>
        <v/>
      </c>
      <c r="P77" s="19">
        <f>IF(COUNT(Y77:AB77)&gt;0,R77/COUNT(Y77:AB77),0.5)</f>
        <v/>
      </c>
      <c r="Q77" s="20">
        <f>SUM(U77:X77)</f>
        <v/>
      </c>
      <c r="R77" s="20">
        <f>SUM(Y77:AB77)</f>
        <v/>
      </c>
      <c r="S77" s="21">
        <f>IF(ISNUMBER(K77),K77,IF(ISNUMBER(L77),-L77,""))</f>
        <v/>
      </c>
      <c r="T77" s="15">
        <f>IF(ISNUMBER(L77),L77,IF(ISNUMBER(K77),-K77,""))</f>
        <v/>
      </c>
      <c r="U77" s="21">
        <f>IF(ISNUMBER(S77),IF(ISNUMBER(S73),IF(S77&gt;S73,1.0,IF(S77=S73,0.5,0.0)),""),"")</f>
        <v/>
      </c>
      <c r="V77" s="15">
        <f>IF(ISNUMBER(S77),IF(ISNUMBER(S74),IF(S77&gt;S74,1.0,IF(S77=S74,0.5,0.0)),""),"")</f>
        <v/>
      </c>
      <c r="W77" s="15">
        <f>IF(ISNUMBER(S77),IF(ISNUMBER(S75),IF(S77&gt;S75,1.0,IF(S77=S75,0.5,0.0)),""),"")</f>
        <v/>
      </c>
      <c r="X77" s="15">
        <f>IF(ISNUMBER(S77),IF(ISNUMBER(S76),IF(S77&gt;S76,1.0,IF(S77=S76,0.5,0.0)),""),"")</f>
        <v/>
      </c>
      <c r="Y77" s="15">
        <f>IF(ISNUMBER(T77),IF(ISNUMBER(T73),IF(T77&gt;T73,1.0,IF(T77=T73,0.5,0.0)),""),"")</f>
        <v/>
      </c>
      <c r="Z77" s="15">
        <f>IF(ISNUMBER(T77),IF(ISNUMBER(T74),IF(T77&gt;T74,1.0,IF(T77=T74,0.5,0.0)),""),"")</f>
        <v/>
      </c>
      <c r="AA77" s="15">
        <f>IF(ISNUMBER(T77),IF(ISNUMBER(T75),IF(T77&gt;T75,1.0,IF(T77=T75,0.5,0.0)),""),"")</f>
        <v/>
      </c>
      <c r="AB77" s="15">
        <f>IF(ISNUMBER(T77),IF(ISNUMBER(T76),IF(T77&gt;T76,1.0,IF(T77=T76,0.5,0.0)),""),"")</f>
        <v/>
      </c>
      <c r="AC77" s="21">
        <f>IF(AND(ISNUMBER(S77),ISNUMBER(S73)),VLOOKUP(ABS(S77-S73),'IMP Table'!$A$2:$C$26,3)*SIGN(S77-S73),0)</f>
        <v/>
      </c>
      <c r="AD77" s="15">
        <f>IF(AND(ISNUMBER(S77),ISNUMBER(S74)),VLOOKUP(ABS(S77-S74),'IMP Table'!$A$2:$C$26,3)*SIGN(S77-S74),0)</f>
        <v/>
      </c>
      <c r="AE77" s="15">
        <f>IF(AND(ISNUMBER(S77),ISNUMBER(S75)),VLOOKUP(ABS(S77-S75),'IMP Table'!$A$2:$C$26,3)*SIGN(S77-S75),0)</f>
        <v/>
      </c>
      <c r="AF77" s="15">
        <f>IF(AND(ISNUMBER(S77),ISNUMBER(S76)),VLOOKUP(ABS(S77-S76),'IMP Table'!$A$2:$C$26,3)*SIGN(S77-S76),0)</f>
        <v/>
      </c>
      <c r="AG77" s="15">
        <f>IF(AND(ISNUMBER(T77),ISNUMBER(T73)),VLOOKUP(ABS(T77-T73),'IMP Table'!$A$2:$C$26,3)*SIGN(T77-T73),0)</f>
        <v/>
      </c>
      <c r="AH77" s="15">
        <f>IF(AND(ISNUMBER(T77),ISNUMBER(T74)),VLOOKUP(ABS(T77-T74),'IMP Table'!$A$2:$C$26,3)*SIGN(T77-T74),0)</f>
        <v/>
      </c>
      <c r="AI77" s="15">
        <f>IF(AND(ISNUMBER(T77),ISNUMBER(T75)),VLOOKUP(ABS(T77-T75),'IMP Table'!$A$2:$C$26,3)*SIGN(T77-T75),0)</f>
        <v/>
      </c>
      <c r="AJ77" s="15">
        <f>IF(AND(ISNUMBER(T77),ISNUMBER(T76)),VLOOKUP(ABS(T77-T76),'IMP Table'!$A$2:$C$26,3)*SIGN(T77-T76),0)</f>
        <v/>
      </c>
    </row>
    <row r="78">
      <c r="A78" s="10" t="n">
        <v>16</v>
      </c>
      <c r="B78" s="10">
        <f>'By Round'!A73</f>
        <v/>
      </c>
      <c r="C78" s="10">
        <f>'By Round'!B73</f>
        <v/>
      </c>
      <c r="D78" s="10">
        <f>'By Round'!C73</f>
        <v/>
      </c>
      <c r="E78" s="10">
        <f>'By Round'!D73</f>
        <v/>
      </c>
      <c r="F78" s="10">
        <f>IF(ISBLANK('By Round'!F74),"",'By Round'!F74)</f>
        <v/>
      </c>
      <c r="G78">
        <f>IF(ISBLANK('By Round'!G74),"",'By Round'!G74)</f>
        <v/>
      </c>
      <c r="H78">
        <f>IF(ISBLANK('By Round'!H74),"",'By Round'!H74)</f>
        <v/>
      </c>
      <c r="I78">
        <f>IF(ISBLANK('By Round'!I74),"",'By Round'!I74)</f>
        <v/>
      </c>
      <c r="J78">
        <f>IF(ISBLANK('By Round'!J74),"",'By Round'!J74)</f>
        <v/>
      </c>
      <c r="K78">
        <f>IF(ISBLANK('By Round'!K74),"",'By Round'!K74)</f>
        <v/>
      </c>
      <c r="L78">
        <f>IF(ISBLANK('By Round'!L74),"",'By Round'!L74)</f>
        <v/>
      </c>
      <c r="M78" s="11">
        <f>AVERAGE(AC78:AF78)</f>
        <v/>
      </c>
      <c r="N78" s="12">
        <f>AVERAGE(AG78:AJ78)</f>
        <v/>
      </c>
      <c r="O78" s="13">
        <f>IF(COUNT(U78:X78)&gt;0,Q78/COUNT(U78:X78),0.5)</f>
        <v/>
      </c>
      <c r="P78" s="13">
        <f>IF(COUNT(Y78:AB78)&gt;0,R78/COUNT(Y78:AB78),0.5)</f>
        <v/>
      </c>
      <c r="Q78" s="5">
        <f>SUM(U78:X78)</f>
        <v/>
      </c>
      <c r="R78" s="5">
        <f>SUM(Y78:AB78)</f>
        <v/>
      </c>
      <c r="S78" s="14">
        <f>IF(ISNUMBER(K78),K78,IF(ISNUMBER(L78),-L78,""))</f>
        <v/>
      </c>
      <c r="T78">
        <f>IF(ISNUMBER(L78),L78,IF(ISNUMBER(K78),-K78,""))</f>
        <v/>
      </c>
      <c r="U78" s="14">
        <f>IF(ISNUMBER(S78),IF(ISNUMBER(S79),IF(S78&gt;S79,1.0,IF(S78=S79,0.5,0.0)),""),"")</f>
        <v/>
      </c>
      <c r="V78">
        <f>IF(ISNUMBER(S78),IF(ISNUMBER(S80),IF(S78&gt;S80,1.0,IF(S78=S80,0.5,0.0)),""),"")</f>
        <v/>
      </c>
      <c r="W78">
        <f>IF(ISNUMBER(S78),IF(ISNUMBER(S81),IF(S78&gt;S81,1.0,IF(S78=S81,0.5,0.0)),""),"")</f>
        <v/>
      </c>
      <c r="X78">
        <f>IF(ISNUMBER(S78),IF(ISNUMBER(S82),IF(S78&gt;S82,1.0,IF(S78=S82,0.5,0.0)),""),"")</f>
        <v/>
      </c>
      <c r="Y78">
        <f>IF(ISNUMBER(T78),IF(ISNUMBER(T79),IF(T78&gt;T79,1.0,IF(T78=T79,0.5,0.0)),""),"")</f>
        <v/>
      </c>
      <c r="Z78">
        <f>IF(ISNUMBER(T78),IF(ISNUMBER(T80),IF(T78&gt;T80,1.0,IF(T78=T80,0.5,0.0)),""),"")</f>
        <v/>
      </c>
      <c r="AA78">
        <f>IF(ISNUMBER(T78),IF(ISNUMBER(T81),IF(T78&gt;T81,1.0,IF(T78=T81,0.5,0.0)),""),"")</f>
        <v/>
      </c>
      <c r="AB78">
        <f>IF(ISNUMBER(T78),IF(ISNUMBER(T82),IF(T78&gt;T82,1.0,IF(T78=T82,0.5,0.0)),""),"")</f>
        <v/>
      </c>
      <c r="AC78" s="14">
        <f>IF(AND(ISNUMBER(S78),ISNUMBER(S79)),VLOOKUP(ABS(S78-S79),'IMP Table'!$A$2:$C$26,3)*SIGN(S78-S79),0)</f>
        <v/>
      </c>
      <c r="AD78">
        <f>IF(AND(ISNUMBER(S78),ISNUMBER(S80)),VLOOKUP(ABS(S78-S80),'IMP Table'!$A$2:$C$26,3)*SIGN(S78-S80),0)</f>
        <v/>
      </c>
      <c r="AE78">
        <f>IF(AND(ISNUMBER(S78),ISNUMBER(S81)),VLOOKUP(ABS(S78-S81),'IMP Table'!$A$2:$C$26,3)*SIGN(S78-S81),0)</f>
        <v/>
      </c>
      <c r="AF78">
        <f>IF(AND(ISNUMBER(S78),ISNUMBER(S82)),VLOOKUP(ABS(S78-S82),'IMP Table'!$A$2:$C$26,3)*SIGN(S78-S82),0)</f>
        <v/>
      </c>
      <c r="AG78">
        <f>IF(AND(ISNUMBER(T78),ISNUMBER(T79)),VLOOKUP(ABS(T78-T79),'IMP Table'!$A$2:$C$26,3)*SIGN(T78-T79),0)</f>
        <v/>
      </c>
      <c r="AH78">
        <f>IF(AND(ISNUMBER(T78),ISNUMBER(T80)),VLOOKUP(ABS(T78-T80),'IMP Table'!$A$2:$C$26,3)*SIGN(T78-T80),0)</f>
        <v/>
      </c>
      <c r="AI78">
        <f>IF(AND(ISNUMBER(T78),ISNUMBER(T81)),VLOOKUP(ABS(T78-T81),'IMP Table'!$A$2:$C$26,3)*SIGN(T78-T81),0)</f>
        <v/>
      </c>
      <c r="AJ78">
        <f>IF(AND(ISNUMBER(T78),ISNUMBER(T82)),VLOOKUP(ABS(T78-T82),'IMP Table'!$A$2:$C$26,3)*SIGN(T78-T82),0)</f>
        <v/>
      </c>
    </row>
    <row r="79">
      <c r="B79" s="10">
        <f>'By Round'!A53</f>
        <v/>
      </c>
      <c r="C79" s="10">
        <f>'By Round'!B57</f>
        <v/>
      </c>
      <c r="D79" s="10">
        <f>'By Round'!C57</f>
        <v/>
      </c>
      <c r="E79" s="10">
        <f>'By Round'!D57</f>
        <v/>
      </c>
      <c r="F79" s="10">
        <f>IF(ISBLANK('By Round'!F58),"",'By Round'!F58)</f>
        <v/>
      </c>
      <c r="G79">
        <f>IF(ISBLANK('By Round'!G58),"",'By Round'!G58)</f>
        <v/>
      </c>
      <c r="H79">
        <f>IF(ISBLANK('By Round'!H58),"",'By Round'!H58)</f>
        <v/>
      </c>
      <c r="I79">
        <f>IF(ISBLANK('By Round'!I58),"",'By Round'!I58)</f>
        <v/>
      </c>
      <c r="J79">
        <f>IF(ISBLANK('By Round'!J58),"",'By Round'!J58)</f>
        <v/>
      </c>
      <c r="K79">
        <f>IF(ISBLANK('By Round'!K58),"",'By Round'!K58)</f>
        <v/>
      </c>
      <c r="L79">
        <f>IF(ISBLANK('By Round'!L58),"",'By Round'!L58)</f>
        <v/>
      </c>
      <c r="M79" s="11">
        <f>AVERAGE(AC79:AF79)</f>
        <v/>
      </c>
      <c r="N79" s="12">
        <f>AVERAGE(AG79:AJ79)</f>
        <v/>
      </c>
      <c r="O79" s="13">
        <f>IF(COUNT(U79:X79)&gt;0,Q79/COUNT(U79:X79),0.5)</f>
        <v/>
      </c>
      <c r="P79" s="13">
        <f>IF(COUNT(Y79:AB79)&gt;0,R79/COUNT(Y79:AB79),0.5)</f>
        <v/>
      </c>
      <c r="Q79" s="5">
        <f>SUM(U79:X79)</f>
        <v/>
      </c>
      <c r="R79" s="5">
        <f>SUM(Y79:AB79)</f>
        <v/>
      </c>
      <c r="S79" s="14">
        <f>IF(ISNUMBER(K79),K79,IF(ISNUMBER(L79),-L79,""))</f>
        <v/>
      </c>
      <c r="T79">
        <f>IF(ISNUMBER(L79),L79,IF(ISNUMBER(K79),-K79,""))</f>
        <v/>
      </c>
      <c r="U79" s="14">
        <f>IF(ISNUMBER(S79),IF(ISNUMBER(S78),IF(S79&gt;S78,1.0,IF(S79=S78,0.5,0.0)),""),"")</f>
        <v/>
      </c>
      <c r="V79">
        <f>IF(ISNUMBER(S79),IF(ISNUMBER(S80),IF(S79&gt;S80,1.0,IF(S79=S80,0.5,0.0)),""),"")</f>
        <v/>
      </c>
      <c r="W79">
        <f>IF(ISNUMBER(S79),IF(ISNUMBER(S81),IF(S79&gt;S81,1.0,IF(S79=S81,0.5,0.0)),""),"")</f>
        <v/>
      </c>
      <c r="X79">
        <f>IF(ISNUMBER(S79),IF(ISNUMBER(S82),IF(S79&gt;S82,1.0,IF(S79=S82,0.5,0.0)),""),"")</f>
        <v/>
      </c>
      <c r="Y79">
        <f>IF(ISNUMBER(T79),IF(ISNUMBER(T78),IF(T79&gt;T78,1.0,IF(T79=T78,0.5,0.0)),""),"")</f>
        <v/>
      </c>
      <c r="Z79">
        <f>IF(ISNUMBER(T79),IF(ISNUMBER(T80),IF(T79&gt;T80,1.0,IF(T79=T80,0.5,0.0)),""),"")</f>
        <v/>
      </c>
      <c r="AA79">
        <f>IF(ISNUMBER(T79),IF(ISNUMBER(T81),IF(T79&gt;T81,1.0,IF(T79=T81,0.5,0.0)),""),"")</f>
        <v/>
      </c>
      <c r="AB79">
        <f>IF(ISNUMBER(T79),IF(ISNUMBER(T82),IF(T79&gt;T82,1.0,IF(T79=T82,0.5,0.0)),""),"")</f>
        <v/>
      </c>
      <c r="AC79" s="14">
        <f>IF(AND(ISNUMBER(S79),ISNUMBER(S78)),VLOOKUP(ABS(S79-S78),'IMP Table'!$A$2:$C$26,3)*SIGN(S79-S78),0)</f>
        <v/>
      </c>
      <c r="AD79">
        <f>IF(AND(ISNUMBER(S79),ISNUMBER(S80)),VLOOKUP(ABS(S79-S80),'IMP Table'!$A$2:$C$26,3)*SIGN(S79-S80),0)</f>
        <v/>
      </c>
      <c r="AE79">
        <f>IF(AND(ISNUMBER(S79),ISNUMBER(S81)),VLOOKUP(ABS(S79-S81),'IMP Table'!$A$2:$C$26,3)*SIGN(S79-S81),0)</f>
        <v/>
      </c>
      <c r="AF79">
        <f>IF(AND(ISNUMBER(S79),ISNUMBER(S82)),VLOOKUP(ABS(S79-S82),'IMP Table'!$A$2:$C$26,3)*SIGN(S79-S82),0)</f>
        <v/>
      </c>
      <c r="AG79">
        <f>IF(AND(ISNUMBER(T79),ISNUMBER(T78)),VLOOKUP(ABS(T79-T78),'IMP Table'!$A$2:$C$26,3)*SIGN(T79-T78),0)</f>
        <v/>
      </c>
      <c r="AH79">
        <f>IF(AND(ISNUMBER(T79),ISNUMBER(T80)),VLOOKUP(ABS(T79-T80),'IMP Table'!$A$2:$C$26,3)*SIGN(T79-T80),0)</f>
        <v/>
      </c>
      <c r="AI79">
        <f>IF(AND(ISNUMBER(T79),ISNUMBER(T81)),VLOOKUP(ABS(T79-T81),'IMP Table'!$A$2:$C$26,3)*SIGN(T79-T81),0)</f>
        <v/>
      </c>
      <c r="AJ79">
        <f>IF(AND(ISNUMBER(T79),ISNUMBER(T82)),VLOOKUP(ABS(T79-T82),'IMP Table'!$A$2:$C$26,3)*SIGN(T79-T82),0)</f>
        <v/>
      </c>
    </row>
    <row r="80">
      <c r="B80" s="10">
        <f>'By Round'!A3</f>
        <v/>
      </c>
      <c r="C80" s="10">
        <f>'By Round'!B9</f>
        <v/>
      </c>
      <c r="D80" s="10">
        <f>'By Round'!C9</f>
        <v/>
      </c>
      <c r="E80" s="10">
        <f>'By Round'!D9</f>
        <v/>
      </c>
      <c r="F80" s="10">
        <f>IF(ISBLANK('By Round'!F10),"",'By Round'!F10)</f>
        <v/>
      </c>
      <c r="G80">
        <f>IF(ISBLANK('By Round'!G10),"",'By Round'!G10)</f>
        <v/>
      </c>
      <c r="H80">
        <f>IF(ISBLANK('By Round'!H10),"",'By Round'!H10)</f>
        <v/>
      </c>
      <c r="I80">
        <f>IF(ISBLANK('By Round'!I10),"",'By Round'!I10)</f>
        <v/>
      </c>
      <c r="J80">
        <f>IF(ISBLANK('By Round'!J10),"",'By Round'!J10)</f>
        <v/>
      </c>
      <c r="K80">
        <f>IF(ISBLANK('By Round'!K10),"",'By Round'!K10)</f>
        <v/>
      </c>
      <c r="L80">
        <f>IF(ISBLANK('By Round'!L10),"",'By Round'!L10)</f>
        <v/>
      </c>
      <c r="M80" s="11">
        <f>AVERAGE(AC80:AF80)</f>
        <v/>
      </c>
      <c r="N80" s="12">
        <f>AVERAGE(AG80:AJ80)</f>
        <v/>
      </c>
      <c r="O80" s="13">
        <f>IF(COUNT(U80:X80)&gt;0,Q80/COUNT(U80:X80),0.5)</f>
        <v/>
      </c>
      <c r="P80" s="13">
        <f>IF(COUNT(Y80:AB80)&gt;0,R80/COUNT(Y80:AB80),0.5)</f>
        <v/>
      </c>
      <c r="Q80" s="5">
        <f>SUM(U80:X80)</f>
        <v/>
      </c>
      <c r="R80" s="5">
        <f>SUM(Y80:AB80)</f>
        <v/>
      </c>
      <c r="S80" s="14">
        <f>IF(ISNUMBER(K80),K80,IF(ISNUMBER(L80),-L80,""))</f>
        <v/>
      </c>
      <c r="T80">
        <f>IF(ISNUMBER(L80),L80,IF(ISNUMBER(K80),-K80,""))</f>
        <v/>
      </c>
      <c r="U80" s="14">
        <f>IF(ISNUMBER(S80),IF(ISNUMBER(S78),IF(S80&gt;S78,1.0,IF(S80=S78,0.5,0.0)),""),"")</f>
        <v/>
      </c>
      <c r="V80">
        <f>IF(ISNUMBER(S80),IF(ISNUMBER(S79),IF(S80&gt;S79,1.0,IF(S80=S79,0.5,0.0)),""),"")</f>
        <v/>
      </c>
      <c r="W80">
        <f>IF(ISNUMBER(S80),IF(ISNUMBER(S81),IF(S80&gt;S81,1.0,IF(S80=S81,0.5,0.0)),""),"")</f>
        <v/>
      </c>
      <c r="X80">
        <f>IF(ISNUMBER(S80),IF(ISNUMBER(S82),IF(S80&gt;S82,1.0,IF(S80=S82,0.5,0.0)),""),"")</f>
        <v/>
      </c>
      <c r="Y80">
        <f>IF(ISNUMBER(T80),IF(ISNUMBER(T78),IF(T80&gt;T78,1.0,IF(T80=T78,0.5,0.0)),""),"")</f>
        <v/>
      </c>
      <c r="Z80">
        <f>IF(ISNUMBER(T80),IF(ISNUMBER(T79),IF(T80&gt;T79,1.0,IF(T80=T79,0.5,0.0)),""),"")</f>
        <v/>
      </c>
      <c r="AA80">
        <f>IF(ISNUMBER(T80),IF(ISNUMBER(T81),IF(T80&gt;T81,1.0,IF(T80=T81,0.5,0.0)),""),"")</f>
        <v/>
      </c>
      <c r="AB80">
        <f>IF(ISNUMBER(T80),IF(ISNUMBER(T82),IF(T80&gt;T82,1.0,IF(T80=T82,0.5,0.0)),""),"")</f>
        <v/>
      </c>
      <c r="AC80" s="14">
        <f>IF(AND(ISNUMBER(S80),ISNUMBER(S78)),VLOOKUP(ABS(S80-S78),'IMP Table'!$A$2:$C$26,3)*SIGN(S80-S78),0)</f>
        <v/>
      </c>
      <c r="AD80">
        <f>IF(AND(ISNUMBER(S80),ISNUMBER(S79)),VLOOKUP(ABS(S80-S79),'IMP Table'!$A$2:$C$26,3)*SIGN(S80-S79),0)</f>
        <v/>
      </c>
      <c r="AE80">
        <f>IF(AND(ISNUMBER(S80),ISNUMBER(S81)),VLOOKUP(ABS(S80-S81),'IMP Table'!$A$2:$C$26,3)*SIGN(S80-S81),0)</f>
        <v/>
      </c>
      <c r="AF80">
        <f>IF(AND(ISNUMBER(S80),ISNUMBER(S82)),VLOOKUP(ABS(S80-S82),'IMP Table'!$A$2:$C$26,3)*SIGN(S80-S82),0)</f>
        <v/>
      </c>
      <c r="AG80">
        <f>IF(AND(ISNUMBER(T80),ISNUMBER(T78)),VLOOKUP(ABS(T80-T78),'IMP Table'!$A$2:$C$26,3)*SIGN(T80-T78),0)</f>
        <v/>
      </c>
      <c r="AH80">
        <f>IF(AND(ISNUMBER(T80),ISNUMBER(T79)),VLOOKUP(ABS(T80-T79),'IMP Table'!$A$2:$C$26,3)*SIGN(T80-T79),0)</f>
        <v/>
      </c>
      <c r="AI80">
        <f>IF(AND(ISNUMBER(T80),ISNUMBER(T81)),VLOOKUP(ABS(T80-T81),'IMP Table'!$A$2:$C$26,3)*SIGN(T80-T81),0)</f>
        <v/>
      </c>
      <c r="AJ80">
        <f>IF(AND(ISNUMBER(T80),ISNUMBER(T82)),VLOOKUP(ABS(T80-T82),'IMP Table'!$A$2:$C$26,3)*SIGN(T80-T82),0)</f>
        <v/>
      </c>
    </row>
    <row r="81">
      <c r="B81" s="10">
        <f>'By Round'!A83</f>
        <v/>
      </c>
      <c r="C81" s="10">
        <f>'By Round'!B91</f>
        <v/>
      </c>
      <c r="D81" s="10">
        <f>'By Round'!C91</f>
        <v/>
      </c>
      <c r="E81" s="10">
        <f>'By Round'!D91</f>
        <v/>
      </c>
      <c r="F81" s="10">
        <f>IF(ISBLANK('By Round'!F92),"",'By Round'!F92)</f>
        <v/>
      </c>
      <c r="G81">
        <f>IF(ISBLANK('By Round'!G92),"",'By Round'!G92)</f>
        <v/>
      </c>
      <c r="H81">
        <f>IF(ISBLANK('By Round'!H92),"",'By Round'!H92)</f>
        <v/>
      </c>
      <c r="I81">
        <f>IF(ISBLANK('By Round'!I92),"",'By Round'!I92)</f>
        <v/>
      </c>
      <c r="J81">
        <f>IF(ISBLANK('By Round'!J92),"",'By Round'!J92)</f>
        <v/>
      </c>
      <c r="K81">
        <f>IF(ISBLANK('By Round'!K92),"",'By Round'!K92)</f>
        <v/>
      </c>
      <c r="L81">
        <f>IF(ISBLANK('By Round'!L92),"",'By Round'!L92)</f>
        <v/>
      </c>
      <c r="M81" s="11">
        <f>AVERAGE(AC81:AF81)</f>
        <v/>
      </c>
      <c r="N81" s="12">
        <f>AVERAGE(AG81:AJ81)</f>
        <v/>
      </c>
      <c r="O81" s="13">
        <f>IF(COUNT(U81:X81)&gt;0,Q81/COUNT(U81:X81),0.5)</f>
        <v/>
      </c>
      <c r="P81" s="13">
        <f>IF(COUNT(Y81:AB81)&gt;0,R81/COUNT(Y81:AB81),0.5)</f>
        <v/>
      </c>
      <c r="Q81" s="5">
        <f>SUM(U81:X81)</f>
        <v/>
      </c>
      <c r="R81" s="5">
        <f>SUM(Y81:AB81)</f>
        <v/>
      </c>
      <c r="S81" s="14">
        <f>IF(ISNUMBER(K81),K81,IF(ISNUMBER(L81),-L81,""))</f>
        <v/>
      </c>
      <c r="T81">
        <f>IF(ISNUMBER(L81),L81,IF(ISNUMBER(K81),-K81,""))</f>
        <v/>
      </c>
      <c r="U81" s="14">
        <f>IF(ISNUMBER(S81),IF(ISNUMBER(S78),IF(S81&gt;S78,1.0,IF(S81=S78,0.5,0.0)),""),"")</f>
        <v/>
      </c>
      <c r="V81">
        <f>IF(ISNUMBER(S81),IF(ISNUMBER(S79),IF(S81&gt;S79,1.0,IF(S81=S79,0.5,0.0)),""),"")</f>
        <v/>
      </c>
      <c r="W81">
        <f>IF(ISNUMBER(S81),IF(ISNUMBER(S80),IF(S81&gt;S80,1.0,IF(S81=S80,0.5,0.0)),""),"")</f>
        <v/>
      </c>
      <c r="X81">
        <f>IF(ISNUMBER(S81),IF(ISNUMBER(S82),IF(S81&gt;S82,1.0,IF(S81=S82,0.5,0.0)),""),"")</f>
        <v/>
      </c>
      <c r="Y81">
        <f>IF(ISNUMBER(T81),IF(ISNUMBER(T78),IF(T81&gt;T78,1.0,IF(T81=T78,0.5,0.0)),""),"")</f>
        <v/>
      </c>
      <c r="Z81">
        <f>IF(ISNUMBER(T81),IF(ISNUMBER(T79),IF(T81&gt;T79,1.0,IF(T81=T79,0.5,0.0)),""),"")</f>
        <v/>
      </c>
      <c r="AA81">
        <f>IF(ISNUMBER(T81),IF(ISNUMBER(T80),IF(T81&gt;T80,1.0,IF(T81=T80,0.5,0.0)),""),"")</f>
        <v/>
      </c>
      <c r="AB81">
        <f>IF(ISNUMBER(T81),IF(ISNUMBER(T82),IF(T81&gt;T82,1.0,IF(T81=T82,0.5,0.0)),""),"")</f>
        <v/>
      </c>
      <c r="AC81" s="14">
        <f>IF(AND(ISNUMBER(S81),ISNUMBER(S78)),VLOOKUP(ABS(S81-S78),'IMP Table'!$A$2:$C$26,3)*SIGN(S81-S78),0)</f>
        <v/>
      </c>
      <c r="AD81">
        <f>IF(AND(ISNUMBER(S81),ISNUMBER(S79)),VLOOKUP(ABS(S81-S79),'IMP Table'!$A$2:$C$26,3)*SIGN(S81-S79),0)</f>
        <v/>
      </c>
      <c r="AE81">
        <f>IF(AND(ISNUMBER(S81),ISNUMBER(S80)),VLOOKUP(ABS(S81-S80),'IMP Table'!$A$2:$C$26,3)*SIGN(S81-S80),0)</f>
        <v/>
      </c>
      <c r="AF81">
        <f>IF(AND(ISNUMBER(S81),ISNUMBER(S82)),VLOOKUP(ABS(S81-S82),'IMP Table'!$A$2:$C$26,3)*SIGN(S81-S82),0)</f>
        <v/>
      </c>
      <c r="AG81">
        <f>IF(AND(ISNUMBER(T81),ISNUMBER(T78)),VLOOKUP(ABS(T81-T78),'IMP Table'!$A$2:$C$26,3)*SIGN(T81-T78),0)</f>
        <v/>
      </c>
      <c r="AH81">
        <f>IF(AND(ISNUMBER(T81),ISNUMBER(T79)),VLOOKUP(ABS(T81-T79),'IMP Table'!$A$2:$C$26,3)*SIGN(T81-T79),0)</f>
        <v/>
      </c>
      <c r="AI81">
        <f>IF(AND(ISNUMBER(T81),ISNUMBER(T80)),VLOOKUP(ABS(T81-T80),'IMP Table'!$A$2:$C$26,3)*SIGN(T81-T80),0)</f>
        <v/>
      </c>
      <c r="AJ81">
        <f>IF(AND(ISNUMBER(T81),ISNUMBER(T82)),VLOOKUP(ABS(T81-T82),'IMP Table'!$A$2:$C$26,3)*SIGN(T81-T82),0)</f>
        <v/>
      </c>
    </row>
    <row r="82">
      <c r="A82" s="15" t="n"/>
      <c r="B82" s="16">
        <f>'By Round'!A63</f>
        <v/>
      </c>
      <c r="C82" s="16">
        <f>'By Round'!B65</f>
        <v/>
      </c>
      <c r="D82" s="16">
        <f>'By Round'!C65</f>
        <v/>
      </c>
      <c r="E82" s="16">
        <f>'By Round'!D65</f>
        <v/>
      </c>
      <c r="F82" s="16">
        <f>IF(ISBLANK('By Round'!F66),"",'By Round'!F66)</f>
        <v/>
      </c>
      <c r="G82" s="15">
        <f>IF(ISBLANK('By Round'!G66),"",'By Round'!G66)</f>
        <v/>
      </c>
      <c r="H82" s="15">
        <f>IF(ISBLANK('By Round'!H66),"",'By Round'!H66)</f>
        <v/>
      </c>
      <c r="I82" s="15">
        <f>IF(ISBLANK('By Round'!I66),"",'By Round'!I66)</f>
        <v/>
      </c>
      <c r="J82" s="15">
        <f>IF(ISBLANK('By Round'!J66),"",'By Round'!J66)</f>
        <v/>
      </c>
      <c r="K82" s="15">
        <f>IF(ISBLANK('By Round'!K66),"",'By Round'!K66)</f>
        <v/>
      </c>
      <c r="L82" s="15">
        <f>IF(ISBLANK('By Round'!L66),"",'By Round'!L66)</f>
        <v/>
      </c>
      <c r="M82" s="17">
        <f>AVERAGE(AC82:AF82)</f>
        <v/>
      </c>
      <c r="N82" s="18">
        <f>AVERAGE(AG82:AJ82)</f>
        <v/>
      </c>
      <c r="O82" s="19">
        <f>IF(COUNT(U82:X82)&gt;0,Q82/COUNT(U82:X82),0.5)</f>
        <v/>
      </c>
      <c r="P82" s="19">
        <f>IF(COUNT(Y82:AB82)&gt;0,R82/COUNT(Y82:AB82),0.5)</f>
        <v/>
      </c>
      <c r="Q82" s="20">
        <f>SUM(U82:X82)</f>
        <v/>
      </c>
      <c r="R82" s="20">
        <f>SUM(Y82:AB82)</f>
        <v/>
      </c>
      <c r="S82" s="21">
        <f>IF(ISNUMBER(K82),K82,IF(ISNUMBER(L82),-L82,""))</f>
        <v/>
      </c>
      <c r="T82" s="15">
        <f>IF(ISNUMBER(L82),L82,IF(ISNUMBER(K82),-K82,""))</f>
        <v/>
      </c>
      <c r="U82" s="21">
        <f>IF(ISNUMBER(S82),IF(ISNUMBER(S78),IF(S82&gt;S78,1.0,IF(S82=S78,0.5,0.0)),""),"")</f>
        <v/>
      </c>
      <c r="V82" s="15">
        <f>IF(ISNUMBER(S82),IF(ISNUMBER(S79),IF(S82&gt;S79,1.0,IF(S82=S79,0.5,0.0)),""),"")</f>
        <v/>
      </c>
      <c r="W82" s="15">
        <f>IF(ISNUMBER(S82),IF(ISNUMBER(S80),IF(S82&gt;S80,1.0,IF(S82=S80,0.5,0.0)),""),"")</f>
        <v/>
      </c>
      <c r="X82" s="15">
        <f>IF(ISNUMBER(S82),IF(ISNUMBER(S81),IF(S82&gt;S81,1.0,IF(S82=S81,0.5,0.0)),""),"")</f>
        <v/>
      </c>
      <c r="Y82" s="15">
        <f>IF(ISNUMBER(T82),IF(ISNUMBER(T78),IF(T82&gt;T78,1.0,IF(T82=T78,0.5,0.0)),""),"")</f>
        <v/>
      </c>
      <c r="Z82" s="15">
        <f>IF(ISNUMBER(T82),IF(ISNUMBER(T79),IF(T82&gt;T79,1.0,IF(T82=T79,0.5,0.0)),""),"")</f>
        <v/>
      </c>
      <c r="AA82" s="15">
        <f>IF(ISNUMBER(T82),IF(ISNUMBER(T80),IF(T82&gt;T80,1.0,IF(T82=T80,0.5,0.0)),""),"")</f>
        <v/>
      </c>
      <c r="AB82" s="15">
        <f>IF(ISNUMBER(T82),IF(ISNUMBER(T81),IF(T82&gt;T81,1.0,IF(T82=T81,0.5,0.0)),""),"")</f>
        <v/>
      </c>
      <c r="AC82" s="21">
        <f>IF(AND(ISNUMBER(S82),ISNUMBER(S78)),VLOOKUP(ABS(S82-S78),'IMP Table'!$A$2:$C$26,3)*SIGN(S82-S78),0)</f>
        <v/>
      </c>
      <c r="AD82" s="15">
        <f>IF(AND(ISNUMBER(S82),ISNUMBER(S79)),VLOOKUP(ABS(S82-S79),'IMP Table'!$A$2:$C$26,3)*SIGN(S82-S79),0)</f>
        <v/>
      </c>
      <c r="AE82" s="15">
        <f>IF(AND(ISNUMBER(S82),ISNUMBER(S80)),VLOOKUP(ABS(S82-S80),'IMP Table'!$A$2:$C$26,3)*SIGN(S82-S80),0)</f>
        <v/>
      </c>
      <c r="AF82" s="15">
        <f>IF(AND(ISNUMBER(S82),ISNUMBER(S81)),VLOOKUP(ABS(S82-S81),'IMP Table'!$A$2:$C$26,3)*SIGN(S82-S81),0)</f>
        <v/>
      </c>
      <c r="AG82" s="15">
        <f>IF(AND(ISNUMBER(T82),ISNUMBER(T78)),VLOOKUP(ABS(T82-T78),'IMP Table'!$A$2:$C$26,3)*SIGN(T82-T78),0)</f>
        <v/>
      </c>
      <c r="AH82" s="15">
        <f>IF(AND(ISNUMBER(T82),ISNUMBER(T79)),VLOOKUP(ABS(T82-T79),'IMP Table'!$A$2:$C$26,3)*SIGN(T82-T79),0)</f>
        <v/>
      </c>
      <c r="AI82" s="15">
        <f>IF(AND(ISNUMBER(T82),ISNUMBER(T80)),VLOOKUP(ABS(T82-T80),'IMP Table'!$A$2:$C$26,3)*SIGN(T82-T80),0)</f>
        <v/>
      </c>
      <c r="AJ82" s="15">
        <f>IF(AND(ISNUMBER(T82),ISNUMBER(T81)),VLOOKUP(ABS(T82-T81),'IMP Table'!$A$2:$C$26,3)*SIGN(T82-T81),0)</f>
        <v/>
      </c>
    </row>
    <row r="83">
      <c r="A83" s="10" t="n">
        <v>17</v>
      </c>
      <c r="B83" s="10">
        <f>'By Round'!A83</f>
        <v/>
      </c>
      <c r="C83" s="10">
        <f>'By Round'!B83</f>
        <v/>
      </c>
      <c r="D83" s="10">
        <f>'By Round'!C83</f>
        <v/>
      </c>
      <c r="E83" s="10">
        <f>'By Round'!D83</f>
        <v/>
      </c>
      <c r="F83" s="10">
        <f>IF(ISBLANK('By Round'!F83),"",'By Round'!F83)</f>
        <v/>
      </c>
      <c r="G83">
        <f>IF(ISBLANK('By Round'!G83),"",'By Round'!G83)</f>
        <v/>
      </c>
      <c r="H83">
        <f>IF(ISBLANK('By Round'!H83),"",'By Round'!H83)</f>
        <v/>
      </c>
      <c r="I83">
        <f>IF(ISBLANK('By Round'!I83),"",'By Round'!I83)</f>
        <v/>
      </c>
      <c r="J83">
        <f>IF(ISBLANK('By Round'!J83),"",'By Round'!J83)</f>
        <v/>
      </c>
      <c r="K83">
        <f>IF(ISBLANK('By Round'!K83),"",'By Round'!K83)</f>
        <v/>
      </c>
      <c r="L83">
        <f>IF(ISBLANK('By Round'!L83),"",'By Round'!L83)</f>
        <v/>
      </c>
      <c r="M83" s="11">
        <f>AVERAGE(AC83:AF83)</f>
        <v/>
      </c>
      <c r="N83" s="12">
        <f>AVERAGE(AG83:AJ83)</f>
        <v/>
      </c>
      <c r="O83" s="13">
        <f>IF(COUNT(U83:X83)&gt;0,Q83/COUNT(U83:X83),0.5)</f>
        <v/>
      </c>
      <c r="P83" s="13">
        <f>IF(COUNT(Y83:AB83)&gt;0,R83/COUNT(Y83:AB83),0.5)</f>
        <v/>
      </c>
      <c r="Q83" s="5">
        <f>SUM(U83:X83)</f>
        <v/>
      </c>
      <c r="R83" s="5">
        <f>SUM(Y83:AB83)</f>
        <v/>
      </c>
      <c r="S83" s="14">
        <f>IF(ISNUMBER(K83),K83,IF(ISNUMBER(L83),-L83,""))</f>
        <v/>
      </c>
      <c r="T83">
        <f>IF(ISNUMBER(L83),L83,IF(ISNUMBER(K83),-K83,""))</f>
        <v/>
      </c>
      <c r="U83" s="14">
        <f>IF(ISNUMBER(S83),IF(ISNUMBER(S84),IF(S83&gt;S84,1.0,IF(S83=S84,0.5,0.0)),""),"")</f>
        <v/>
      </c>
      <c r="V83">
        <f>IF(ISNUMBER(S83),IF(ISNUMBER(S85),IF(S83&gt;S85,1.0,IF(S83=S85,0.5,0.0)),""),"")</f>
        <v/>
      </c>
      <c r="W83">
        <f>IF(ISNUMBER(S83),IF(ISNUMBER(S86),IF(S83&gt;S86,1.0,IF(S83=S86,0.5,0.0)),""),"")</f>
        <v/>
      </c>
      <c r="X83">
        <f>IF(ISNUMBER(S83),IF(ISNUMBER(S87),IF(S83&gt;S87,1.0,IF(S83=S87,0.5,0.0)),""),"")</f>
        <v/>
      </c>
      <c r="Y83">
        <f>IF(ISNUMBER(T83),IF(ISNUMBER(T84),IF(T83&gt;T84,1.0,IF(T83=T84,0.5,0.0)),""),"")</f>
        <v/>
      </c>
      <c r="Z83">
        <f>IF(ISNUMBER(T83),IF(ISNUMBER(T85),IF(T83&gt;T85,1.0,IF(T83=T85,0.5,0.0)),""),"")</f>
        <v/>
      </c>
      <c r="AA83">
        <f>IF(ISNUMBER(T83),IF(ISNUMBER(T86),IF(T83&gt;T86,1.0,IF(T83=T86,0.5,0.0)),""),"")</f>
        <v/>
      </c>
      <c r="AB83">
        <f>IF(ISNUMBER(T83),IF(ISNUMBER(T87),IF(T83&gt;T87,1.0,IF(T83=T87,0.5,0.0)),""),"")</f>
        <v/>
      </c>
      <c r="AC83" s="14">
        <f>IF(AND(ISNUMBER(S83),ISNUMBER(S84)),VLOOKUP(ABS(S83-S84),'IMP Table'!$A$2:$C$26,3)*SIGN(S83-S84),0)</f>
        <v/>
      </c>
      <c r="AD83">
        <f>IF(AND(ISNUMBER(S83),ISNUMBER(S85)),VLOOKUP(ABS(S83-S85),'IMP Table'!$A$2:$C$26,3)*SIGN(S83-S85),0)</f>
        <v/>
      </c>
      <c r="AE83">
        <f>IF(AND(ISNUMBER(S83),ISNUMBER(S86)),VLOOKUP(ABS(S83-S86),'IMP Table'!$A$2:$C$26,3)*SIGN(S83-S86),0)</f>
        <v/>
      </c>
      <c r="AF83">
        <f>IF(AND(ISNUMBER(S83),ISNUMBER(S87)),VLOOKUP(ABS(S83-S87),'IMP Table'!$A$2:$C$26,3)*SIGN(S83-S87),0)</f>
        <v/>
      </c>
      <c r="AG83">
        <f>IF(AND(ISNUMBER(T83),ISNUMBER(T84)),VLOOKUP(ABS(T83-T84),'IMP Table'!$A$2:$C$26,3)*SIGN(T83-T84),0)</f>
        <v/>
      </c>
      <c r="AH83">
        <f>IF(AND(ISNUMBER(T83),ISNUMBER(T85)),VLOOKUP(ABS(T83-T85),'IMP Table'!$A$2:$C$26,3)*SIGN(T83-T85),0)</f>
        <v/>
      </c>
      <c r="AI83">
        <f>IF(AND(ISNUMBER(T83),ISNUMBER(T86)),VLOOKUP(ABS(T83-T86),'IMP Table'!$A$2:$C$26,3)*SIGN(T83-T86),0)</f>
        <v/>
      </c>
      <c r="AJ83">
        <f>IF(AND(ISNUMBER(T83),ISNUMBER(T87)),VLOOKUP(ABS(T83-T87),'IMP Table'!$A$2:$C$26,3)*SIGN(T83-T87),0)</f>
        <v/>
      </c>
    </row>
    <row r="84">
      <c r="B84" s="10">
        <f>'By Round'!A63</f>
        <v/>
      </c>
      <c r="C84" s="10">
        <f>'By Round'!B67</f>
        <v/>
      </c>
      <c r="D84" s="10">
        <f>'By Round'!C67</f>
        <v/>
      </c>
      <c r="E84" s="10">
        <f>'By Round'!D67</f>
        <v/>
      </c>
      <c r="F84" s="10">
        <f>IF(ISBLANK('By Round'!F67),"",'By Round'!F67)</f>
        <v/>
      </c>
      <c r="G84">
        <f>IF(ISBLANK('By Round'!G67),"",'By Round'!G67)</f>
        <v/>
      </c>
      <c r="H84">
        <f>IF(ISBLANK('By Round'!H67),"",'By Round'!H67)</f>
        <v/>
      </c>
      <c r="I84">
        <f>IF(ISBLANK('By Round'!I67),"",'By Round'!I67)</f>
        <v/>
      </c>
      <c r="J84">
        <f>IF(ISBLANK('By Round'!J67),"",'By Round'!J67)</f>
        <v/>
      </c>
      <c r="K84">
        <f>IF(ISBLANK('By Round'!K67),"",'By Round'!K67)</f>
        <v/>
      </c>
      <c r="L84">
        <f>IF(ISBLANK('By Round'!L67),"",'By Round'!L67)</f>
        <v/>
      </c>
      <c r="M84" s="11">
        <f>AVERAGE(AC84:AF84)</f>
        <v/>
      </c>
      <c r="N84" s="12">
        <f>AVERAGE(AG84:AJ84)</f>
        <v/>
      </c>
      <c r="O84" s="13">
        <f>IF(COUNT(U84:X84)&gt;0,Q84/COUNT(U84:X84),0.5)</f>
        <v/>
      </c>
      <c r="P84" s="13">
        <f>IF(COUNT(Y84:AB84)&gt;0,R84/COUNT(Y84:AB84),0.5)</f>
        <v/>
      </c>
      <c r="Q84" s="5">
        <f>SUM(U84:X84)</f>
        <v/>
      </c>
      <c r="R84" s="5">
        <f>SUM(Y84:AB84)</f>
        <v/>
      </c>
      <c r="S84" s="14">
        <f>IF(ISNUMBER(K84),K84,IF(ISNUMBER(L84),-L84,""))</f>
        <v/>
      </c>
      <c r="T84">
        <f>IF(ISNUMBER(L84),L84,IF(ISNUMBER(K84),-K84,""))</f>
        <v/>
      </c>
      <c r="U84" s="14">
        <f>IF(ISNUMBER(S84),IF(ISNUMBER(S83),IF(S84&gt;S83,1.0,IF(S84=S83,0.5,0.0)),""),"")</f>
        <v/>
      </c>
      <c r="V84">
        <f>IF(ISNUMBER(S84),IF(ISNUMBER(S85),IF(S84&gt;S85,1.0,IF(S84=S85,0.5,0.0)),""),"")</f>
        <v/>
      </c>
      <c r="W84">
        <f>IF(ISNUMBER(S84),IF(ISNUMBER(S86),IF(S84&gt;S86,1.0,IF(S84=S86,0.5,0.0)),""),"")</f>
        <v/>
      </c>
      <c r="X84">
        <f>IF(ISNUMBER(S84),IF(ISNUMBER(S87),IF(S84&gt;S87,1.0,IF(S84=S87,0.5,0.0)),""),"")</f>
        <v/>
      </c>
      <c r="Y84">
        <f>IF(ISNUMBER(T84),IF(ISNUMBER(T83),IF(T84&gt;T83,1.0,IF(T84=T83,0.5,0.0)),""),"")</f>
        <v/>
      </c>
      <c r="Z84">
        <f>IF(ISNUMBER(T84),IF(ISNUMBER(T85),IF(T84&gt;T85,1.0,IF(T84=T85,0.5,0.0)),""),"")</f>
        <v/>
      </c>
      <c r="AA84">
        <f>IF(ISNUMBER(T84),IF(ISNUMBER(T86),IF(T84&gt;T86,1.0,IF(T84=T86,0.5,0.0)),""),"")</f>
        <v/>
      </c>
      <c r="AB84">
        <f>IF(ISNUMBER(T84),IF(ISNUMBER(T87),IF(T84&gt;T87,1.0,IF(T84=T87,0.5,0.0)),""),"")</f>
        <v/>
      </c>
      <c r="AC84" s="14">
        <f>IF(AND(ISNUMBER(S84),ISNUMBER(S83)),VLOOKUP(ABS(S84-S83),'IMP Table'!$A$2:$C$26,3)*SIGN(S84-S83),0)</f>
        <v/>
      </c>
      <c r="AD84">
        <f>IF(AND(ISNUMBER(S84),ISNUMBER(S85)),VLOOKUP(ABS(S84-S85),'IMP Table'!$A$2:$C$26,3)*SIGN(S84-S85),0)</f>
        <v/>
      </c>
      <c r="AE84">
        <f>IF(AND(ISNUMBER(S84),ISNUMBER(S86)),VLOOKUP(ABS(S84-S86),'IMP Table'!$A$2:$C$26,3)*SIGN(S84-S86),0)</f>
        <v/>
      </c>
      <c r="AF84">
        <f>IF(AND(ISNUMBER(S84),ISNUMBER(S87)),VLOOKUP(ABS(S84-S87),'IMP Table'!$A$2:$C$26,3)*SIGN(S84-S87),0)</f>
        <v/>
      </c>
      <c r="AG84">
        <f>IF(AND(ISNUMBER(T84),ISNUMBER(T83)),VLOOKUP(ABS(T84-T83),'IMP Table'!$A$2:$C$26,3)*SIGN(T84-T83),0)</f>
        <v/>
      </c>
      <c r="AH84">
        <f>IF(AND(ISNUMBER(T84),ISNUMBER(T85)),VLOOKUP(ABS(T84-T85),'IMP Table'!$A$2:$C$26,3)*SIGN(T84-T85),0)</f>
        <v/>
      </c>
      <c r="AI84">
        <f>IF(AND(ISNUMBER(T84),ISNUMBER(T86)),VLOOKUP(ABS(T84-T86),'IMP Table'!$A$2:$C$26,3)*SIGN(T84-T86),0)</f>
        <v/>
      </c>
      <c r="AJ84">
        <f>IF(AND(ISNUMBER(T84),ISNUMBER(T87)),VLOOKUP(ABS(T84-T87),'IMP Table'!$A$2:$C$26,3)*SIGN(T84-T87),0)</f>
        <v/>
      </c>
    </row>
    <row r="85">
      <c r="B85" s="10">
        <f>'By Round'!A13</f>
        <v/>
      </c>
      <c r="C85" s="10">
        <f>'By Round'!B19</f>
        <v/>
      </c>
      <c r="D85" s="10">
        <f>'By Round'!C19</f>
        <v/>
      </c>
      <c r="E85" s="10">
        <f>'By Round'!D19</f>
        <v/>
      </c>
      <c r="F85" s="10">
        <f>IF(ISBLANK('By Round'!F19),"",'By Round'!F19)</f>
        <v/>
      </c>
      <c r="G85">
        <f>IF(ISBLANK('By Round'!G19),"",'By Round'!G19)</f>
        <v/>
      </c>
      <c r="H85">
        <f>IF(ISBLANK('By Round'!H19),"",'By Round'!H19)</f>
        <v/>
      </c>
      <c r="I85">
        <f>IF(ISBLANK('By Round'!I19),"",'By Round'!I19)</f>
        <v/>
      </c>
      <c r="J85">
        <f>IF(ISBLANK('By Round'!J19),"",'By Round'!J19)</f>
        <v/>
      </c>
      <c r="K85">
        <f>IF(ISBLANK('By Round'!K19),"",'By Round'!K19)</f>
        <v/>
      </c>
      <c r="L85">
        <f>IF(ISBLANK('By Round'!L19),"",'By Round'!L19)</f>
        <v/>
      </c>
      <c r="M85" s="11">
        <f>AVERAGE(AC85:AF85)</f>
        <v/>
      </c>
      <c r="N85" s="12">
        <f>AVERAGE(AG85:AJ85)</f>
        <v/>
      </c>
      <c r="O85" s="13">
        <f>IF(COUNT(U85:X85)&gt;0,Q85/COUNT(U85:X85),0.5)</f>
        <v/>
      </c>
      <c r="P85" s="13">
        <f>IF(COUNT(Y85:AB85)&gt;0,R85/COUNT(Y85:AB85),0.5)</f>
        <v/>
      </c>
      <c r="Q85" s="5">
        <f>SUM(U85:X85)</f>
        <v/>
      </c>
      <c r="R85" s="5">
        <f>SUM(Y85:AB85)</f>
        <v/>
      </c>
      <c r="S85" s="14">
        <f>IF(ISNUMBER(K85),K85,IF(ISNUMBER(L85),-L85,""))</f>
        <v/>
      </c>
      <c r="T85">
        <f>IF(ISNUMBER(L85),L85,IF(ISNUMBER(K85),-K85,""))</f>
        <v/>
      </c>
      <c r="U85" s="14">
        <f>IF(ISNUMBER(S85),IF(ISNUMBER(S83),IF(S85&gt;S83,1.0,IF(S85=S83,0.5,0.0)),""),"")</f>
        <v/>
      </c>
      <c r="V85">
        <f>IF(ISNUMBER(S85),IF(ISNUMBER(S84),IF(S85&gt;S84,1.0,IF(S85=S84,0.5,0.0)),""),"")</f>
        <v/>
      </c>
      <c r="W85">
        <f>IF(ISNUMBER(S85),IF(ISNUMBER(S86),IF(S85&gt;S86,1.0,IF(S85=S86,0.5,0.0)),""),"")</f>
        <v/>
      </c>
      <c r="X85">
        <f>IF(ISNUMBER(S85),IF(ISNUMBER(S87),IF(S85&gt;S87,1.0,IF(S85=S87,0.5,0.0)),""),"")</f>
        <v/>
      </c>
      <c r="Y85">
        <f>IF(ISNUMBER(T85),IF(ISNUMBER(T83),IF(T85&gt;T83,1.0,IF(T85=T83,0.5,0.0)),""),"")</f>
        <v/>
      </c>
      <c r="Z85">
        <f>IF(ISNUMBER(T85),IF(ISNUMBER(T84),IF(T85&gt;T84,1.0,IF(T85=T84,0.5,0.0)),""),"")</f>
        <v/>
      </c>
      <c r="AA85">
        <f>IF(ISNUMBER(T85),IF(ISNUMBER(T86),IF(T85&gt;T86,1.0,IF(T85=T86,0.5,0.0)),""),"")</f>
        <v/>
      </c>
      <c r="AB85">
        <f>IF(ISNUMBER(T85),IF(ISNUMBER(T87),IF(T85&gt;T87,1.0,IF(T85=T87,0.5,0.0)),""),"")</f>
        <v/>
      </c>
      <c r="AC85" s="14">
        <f>IF(AND(ISNUMBER(S85),ISNUMBER(S83)),VLOOKUP(ABS(S85-S83),'IMP Table'!$A$2:$C$26,3)*SIGN(S85-S83),0)</f>
        <v/>
      </c>
      <c r="AD85">
        <f>IF(AND(ISNUMBER(S85),ISNUMBER(S84)),VLOOKUP(ABS(S85-S84),'IMP Table'!$A$2:$C$26,3)*SIGN(S85-S84),0)</f>
        <v/>
      </c>
      <c r="AE85">
        <f>IF(AND(ISNUMBER(S85),ISNUMBER(S86)),VLOOKUP(ABS(S85-S86),'IMP Table'!$A$2:$C$26,3)*SIGN(S85-S86),0)</f>
        <v/>
      </c>
      <c r="AF85">
        <f>IF(AND(ISNUMBER(S85),ISNUMBER(S87)),VLOOKUP(ABS(S85-S87),'IMP Table'!$A$2:$C$26,3)*SIGN(S85-S87),0)</f>
        <v/>
      </c>
      <c r="AG85">
        <f>IF(AND(ISNUMBER(T85),ISNUMBER(T83)),VLOOKUP(ABS(T85-T83),'IMP Table'!$A$2:$C$26,3)*SIGN(T85-T83),0)</f>
        <v/>
      </c>
      <c r="AH85">
        <f>IF(AND(ISNUMBER(T85),ISNUMBER(T84)),VLOOKUP(ABS(T85-T84),'IMP Table'!$A$2:$C$26,3)*SIGN(T85-T84),0)</f>
        <v/>
      </c>
      <c r="AI85">
        <f>IF(AND(ISNUMBER(T85),ISNUMBER(T86)),VLOOKUP(ABS(T85-T86),'IMP Table'!$A$2:$C$26,3)*SIGN(T85-T86),0)</f>
        <v/>
      </c>
      <c r="AJ85">
        <f>IF(AND(ISNUMBER(T85),ISNUMBER(T87)),VLOOKUP(ABS(T85-T87),'IMP Table'!$A$2:$C$26,3)*SIGN(T85-T87),0)</f>
        <v/>
      </c>
    </row>
    <row r="86">
      <c r="B86" s="10">
        <f>'By Round'!A3</f>
        <v/>
      </c>
      <c r="C86" s="10">
        <f>'By Round'!B11</f>
        <v/>
      </c>
      <c r="D86" s="10">
        <f>'By Round'!C11</f>
        <v/>
      </c>
      <c r="E86" s="10">
        <f>'By Round'!D11</f>
        <v/>
      </c>
      <c r="F86" s="10">
        <f>IF(ISBLANK('By Round'!F11),"",'By Round'!F11)</f>
        <v/>
      </c>
      <c r="G86">
        <f>IF(ISBLANK('By Round'!G11),"",'By Round'!G11)</f>
        <v/>
      </c>
      <c r="H86">
        <f>IF(ISBLANK('By Round'!H11),"",'By Round'!H11)</f>
        <v/>
      </c>
      <c r="I86">
        <f>IF(ISBLANK('By Round'!I11),"",'By Round'!I11)</f>
        <v/>
      </c>
      <c r="J86">
        <f>IF(ISBLANK('By Round'!J11),"",'By Round'!J11)</f>
        <v/>
      </c>
      <c r="K86">
        <f>IF(ISBLANK('By Round'!K11),"",'By Round'!K11)</f>
        <v/>
      </c>
      <c r="L86">
        <f>IF(ISBLANK('By Round'!L11),"",'By Round'!L11)</f>
        <v/>
      </c>
      <c r="M86" s="11">
        <f>AVERAGE(AC86:AF86)</f>
        <v/>
      </c>
      <c r="N86" s="12">
        <f>AVERAGE(AG86:AJ86)</f>
        <v/>
      </c>
      <c r="O86" s="13">
        <f>IF(COUNT(U86:X86)&gt;0,Q86/COUNT(U86:X86),0.5)</f>
        <v/>
      </c>
      <c r="P86" s="13">
        <f>IF(COUNT(Y86:AB86)&gt;0,R86/COUNT(Y86:AB86),0.5)</f>
        <v/>
      </c>
      <c r="Q86" s="5">
        <f>SUM(U86:X86)</f>
        <v/>
      </c>
      <c r="R86" s="5">
        <f>SUM(Y86:AB86)</f>
        <v/>
      </c>
      <c r="S86" s="14">
        <f>IF(ISNUMBER(K86),K86,IF(ISNUMBER(L86),-L86,""))</f>
        <v/>
      </c>
      <c r="T86">
        <f>IF(ISNUMBER(L86),L86,IF(ISNUMBER(K86),-K86,""))</f>
        <v/>
      </c>
      <c r="U86" s="14">
        <f>IF(ISNUMBER(S86),IF(ISNUMBER(S83),IF(S86&gt;S83,1.0,IF(S86=S83,0.5,0.0)),""),"")</f>
        <v/>
      </c>
      <c r="V86">
        <f>IF(ISNUMBER(S86),IF(ISNUMBER(S84),IF(S86&gt;S84,1.0,IF(S86=S84,0.5,0.0)),""),"")</f>
        <v/>
      </c>
      <c r="W86">
        <f>IF(ISNUMBER(S86),IF(ISNUMBER(S85),IF(S86&gt;S85,1.0,IF(S86=S85,0.5,0.0)),""),"")</f>
        <v/>
      </c>
      <c r="X86">
        <f>IF(ISNUMBER(S86),IF(ISNUMBER(S87),IF(S86&gt;S87,1.0,IF(S86=S87,0.5,0.0)),""),"")</f>
        <v/>
      </c>
      <c r="Y86">
        <f>IF(ISNUMBER(T86),IF(ISNUMBER(T83),IF(T86&gt;T83,1.0,IF(T86=T83,0.5,0.0)),""),"")</f>
        <v/>
      </c>
      <c r="Z86">
        <f>IF(ISNUMBER(T86),IF(ISNUMBER(T84),IF(T86&gt;T84,1.0,IF(T86=T84,0.5,0.0)),""),"")</f>
        <v/>
      </c>
      <c r="AA86">
        <f>IF(ISNUMBER(T86),IF(ISNUMBER(T85),IF(T86&gt;T85,1.0,IF(T86=T85,0.5,0.0)),""),"")</f>
        <v/>
      </c>
      <c r="AB86">
        <f>IF(ISNUMBER(T86),IF(ISNUMBER(T87),IF(T86&gt;T87,1.0,IF(T86=T87,0.5,0.0)),""),"")</f>
        <v/>
      </c>
      <c r="AC86" s="14">
        <f>IF(AND(ISNUMBER(S86),ISNUMBER(S83)),VLOOKUP(ABS(S86-S83),'IMP Table'!$A$2:$C$26,3)*SIGN(S86-S83),0)</f>
        <v/>
      </c>
      <c r="AD86">
        <f>IF(AND(ISNUMBER(S86),ISNUMBER(S84)),VLOOKUP(ABS(S86-S84),'IMP Table'!$A$2:$C$26,3)*SIGN(S86-S84),0)</f>
        <v/>
      </c>
      <c r="AE86">
        <f>IF(AND(ISNUMBER(S86),ISNUMBER(S85)),VLOOKUP(ABS(S86-S85),'IMP Table'!$A$2:$C$26,3)*SIGN(S86-S85),0)</f>
        <v/>
      </c>
      <c r="AF86">
        <f>IF(AND(ISNUMBER(S86),ISNUMBER(S87)),VLOOKUP(ABS(S86-S87),'IMP Table'!$A$2:$C$26,3)*SIGN(S86-S87),0)</f>
        <v/>
      </c>
      <c r="AG86">
        <f>IF(AND(ISNUMBER(T86),ISNUMBER(T83)),VLOOKUP(ABS(T86-T83),'IMP Table'!$A$2:$C$26,3)*SIGN(T86-T83),0)</f>
        <v/>
      </c>
      <c r="AH86">
        <f>IF(AND(ISNUMBER(T86),ISNUMBER(T84)),VLOOKUP(ABS(T86-T84),'IMP Table'!$A$2:$C$26,3)*SIGN(T86-T84),0)</f>
        <v/>
      </c>
      <c r="AI86">
        <f>IF(AND(ISNUMBER(T86),ISNUMBER(T85)),VLOOKUP(ABS(T86-T85),'IMP Table'!$A$2:$C$26,3)*SIGN(T86-T85),0)</f>
        <v/>
      </c>
      <c r="AJ86">
        <f>IF(AND(ISNUMBER(T86),ISNUMBER(T87)),VLOOKUP(ABS(T86-T87),'IMP Table'!$A$2:$C$26,3)*SIGN(T86-T87),0)</f>
        <v/>
      </c>
    </row>
    <row r="87">
      <c r="A87" s="15" t="n"/>
      <c r="B87" s="16">
        <f>'By Round'!A73</f>
        <v/>
      </c>
      <c r="C87" s="16">
        <f>'By Round'!B75</f>
        <v/>
      </c>
      <c r="D87" s="16">
        <f>'By Round'!C75</f>
        <v/>
      </c>
      <c r="E87" s="16">
        <f>'By Round'!D75</f>
        <v/>
      </c>
      <c r="F87" s="16">
        <f>IF(ISBLANK('By Round'!F75),"",'By Round'!F75)</f>
        <v/>
      </c>
      <c r="G87" s="15">
        <f>IF(ISBLANK('By Round'!G75),"",'By Round'!G75)</f>
        <v/>
      </c>
      <c r="H87" s="15">
        <f>IF(ISBLANK('By Round'!H75),"",'By Round'!H75)</f>
        <v/>
      </c>
      <c r="I87" s="15">
        <f>IF(ISBLANK('By Round'!I75),"",'By Round'!I75)</f>
        <v/>
      </c>
      <c r="J87" s="15">
        <f>IF(ISBLANK('By Round'!J75),"",'By Round'!J75)</f>
        <v/>
      </c>
      <c r="K87" s="15">
        <f>IF(ISBLANK('By Round'!K75),"",'By Round'!K75)</f>
        <v/>
      </c>
      <c r="L87" s="15">
        <f>IF(ISBLANK('By Round'!L75),"",'By Round'!L75)</f>
        <v/>
      </c>
      <c r="M87" s="17">
        <f>AVERAGE(AC87:AF87)</f>
        <v/>
      </c>
      <c r="N87" s="18">
        <f>AVERAGE(AG87:AJ87)</f>
        <v/>
      </c>
      <c r="O87" s="19">
        <f>IF(COUNT(U87:X87)&gt;0,Q87/COUNT(U87:X87),0.5)</f>
        <v/>
      </c>
      <c r="P87" s="19">
        <f>IF(COUNT(Y87:AB87)&gt;0,R87/COUNT(Y87:AB87),0.5)</f>
        <v/>
      </c>
      <c r="Q87" s="20">
        <f>SUM(U87:X87)</f>
        <v/>
      </c>
      <c r="R87" s="20">
        <f>SUM(Y87:AB87)</f>
        <v/>
      </c>
      <c r="S87" s="21">
        <f>IF(ISNUMBER(K87),K87,IF(ISNUMBER(L87),-L87,""))</f>
        <v/>
      </c>
      <c r="T87" s="15">
        <f>IF(ISNUMBER(L87),L87,IF(ISNUMBER(K87),-K87,""))</f>
        <v/>
      </c>
      <c r="U87" s="21">
        <f>IF(ISNUMBER(S87),IF(ISNUMBER(S83),IF(S87&gt;S83,1.0,IF(S87=S83,0.5,0.0)),""),"")</f>
        <v/>
      </c>
      <c r="V87" s="15">
        <f>IF(ISNUMBER(S87),IF(ISNUMBER(S84),IF(S87&gt;S84,1.0,IF(S87=S84,0.5,0.0)),""),"")</f>
        <v/>
      </c>
      <c r="W87" s="15">
        <f>IF(ISNUMBER(S87),IF(ISNUMBER(S85),IF(S87&gt;S85,1.0,IF(S87=S85,0.5,0.0)),""),"")</f>
        <v/>
      </c>
      <c r="X87" s="15">
        <f>IF(ISNUMBER(S87),IF(ISNUMBER(S86),IF(S87&gt;S86,1.0,IF(S87=S86,0.5,0.0)),""),"")</f>
        <v/>
      </c>
      <c r="Y87" s="15">
        <f>IF(ISNUMBER(T87),IF(ISNUMBER(T83),IF(T87&gt;T83,1.0,IF(T87=T83,0.5,0.0)),""),"")</f>
        <v/>
      </c>
      <c r="Z87" s="15">
        <f>IF(ISNUMBER(T87),IF(ISNUMBER(T84),IF(T87&gt;T84,1.0,IF(T87=T84,0.5,0.0)),""),"")</f>
        <v/>
      </c>
      <c r="AA87" s="15">
        <f>IF(ISNUMBER(T87),IF(ISNUMBER(T85),IF(T87&gt;T85,1.0,IF(T87=T85,0.5,0.0)),""),"")</f>
        <v/>
      </c>
      <c r="AB87" s="15">
        <f>IF(ISNUMBER(T87),IF(ISNUMBER(T86),IF(T87&gt;T86,1.0,IF(T87=T86,0.5,0.0)),""),"")</f>
        <v/>
      </c>
      <c r="AC87" s="21">
        <f>IF(AND(ISNUMBER(S87),ISNUMBER(S83)),VLOOKUP(ABS(S87-S83),'IMP Table'!$A$2:$C$26,3)*SIGN(S87-S83),0)</f>
        <v/>
      </c>
      <c r="AD87" s="15">
        <f>IF(AND(ISNUMBER(S87),ISNUMBER(S84)),VLOOKUP(ABS(S87-S84),'IMP Table'!$A$2:$C$26,3)*SIGN(S87-S84),0)</f>
        <v/>
      </c>
      <c r="AE87" s="15">
        <f>IF(AND(ISNUMBER(S87),ISNUMBER(S85)),VLOOKUP(ABS(S87-S85),'IMP Table'!$A$2:$C$26,3)*SIGN(S87-S85),0)</f>
        <v/>
      </c>
      <c r="AF87" s="15">
        <f>IF(AND(ISNUMBER(S87),ISNUMBER(S86)),VLOOKUP(ABS(S87-S86),'IMP Table'!$A$2:$C$26,3)*SIGN(S87-S86),0)</f>
        <v/>
      </c>
      <c r="AG87" s="15">
        <f>IF(AND(ISNUMBER(T87),ISNUMBER(T83)),VLOOKUP(ABS(T87-T83),'IMP Table'!$A$2:$C$26,3)*SIGN(T87-T83),0)</f>
        <v/>
      </c>
      <c r="AH87" s="15">
        <f>IF(AND(ISNUMBER(T87),ISNUMBER(T84)),VLOOKUP(ABS(T87-T84),'IMP Table'!$A$2:$C$26,3)*SIGN(T87-T84),0)</f>
        <v/>
      </c>
      <c r="AI87" s="15">
        <f>IF(AND(ISNUMBER(T87),ISNUMBER(T85)),VLOOKUP(ABS(T87-T85),'IMP Table'!$A$2:$C$26,3)*SIGN(T87-T85),0)</f>
        <v/>
      </c>
      <c r="AJ87" s="15">
        <f>IF(AND(ISNUMBER(T87),ISNUMBER(T86)),VLOOKUP(ABS(T87-T86),'IMP Table'!$A$2:$C$26,3)*SIGN(T87-T86),0)</f>
        <v/>
      </c>
    </row>
    <row r="88">
      <c r="A88" s="10" t="n">
        <v>18</v>
      </c>
      <c r="B88" s="10">
        <f>'By Round'!A83</f>
        <v/>
      </c>
      <c r="C88" s="10">
        <f>'By Round'!B83</f>
        <v/>
      </c>
      <c r="D88" s="10">
        <f>'By Round'!C83</f>
        <v/>
      </c>
      <c r="E88" s="10">
        <f>'By Round'!D83</f>
        <v/>
      </c>
      <c r="F88" s="10">
        <f>IF(ISBLANK('By Round'!F84),"",'By Round'!F84)</f>
        <v/>
      </c>
      <c r="G88">
        <f>IF(ISBLANK('By Round'!G84),"",'By Round'!G84)</f>
        <v/>
      </c>
      <c r="H88">
        <f>IF(ISBLANK('By Round'!H84),"",'By Round'!H84)</f>
        <v/>
      </c>
      <c r="I88">
        <f>IF(ISBLANK('By Round'!I84),"",'By Round'!I84)</f>
        <v/>
      </c>
      <c r="J88">
        <f>IF(ISBLANK('By Round'!J84),"",'By Round'!J84)</f>
        <v/>
      </c>
      <c r="K88">
        <f>IF(ISBLANK('By Round'!K84),"",'By Round'!K84)</f>
        <v/>
      </c>
      <c r="L88">
        <f>IF(ISBLANK('By Round'!L84),"",'By Round'!L84)</f>
        <v/>
      </c>
      <c r="M88" s="11">
        <f>AVERAGE(AC88:AF88)</f>
        <v/>
      </c>
      <c r="N88" s="12">
        <f>AVERAGE(AG88:AJ88)</f>
        <v/>
      </c>
      <c r="O88" s="13">
        <f>IF(COUNT(U88:X88)&gt;0,Q88/COUNT(U88:X88),0.5)</f>
        <v/>
      </c>
      <c r="P88" s="13">
        <f>IF(COUNT(Y88:AB88)&gt;0,R88/COUNT(Y88:AB88),0.5)</f>
        <v/>
      </c>
      <c r="Q88" s="5">
        <f>SUM(U88:X88)</f>
        <v/>
      </c>
      <c r="R88" s="5">
        <f>SUM(Y88:AB88)</f>
        <v/>
      </c>
      <c r="S88" s="14">
        <f>IF(ISNUMBER(K88),K88,IF(ISNUMBER(L88),-L88,""))</f>
        <v/>
      </c>
      <c r="T88">
        <f>IF(ISNUMBER(L88),L88,IF(ISNUMBER(K88),-K88,""))</f>
        <v/>
      </c>
      <c r="U88" s="14">
        <f>IF(ISNUMBER(S88),IF(ISNUMBER(S89),IF(S88&gt;S89,1.0,IF(S88=S89,0.5,0.0)),""),"")</f>
        <v/>
      </c>
      <c r="V88">
        <f>IF(ISNUMBER(S88),IF(ISNUMBER(S90),IF(S88&gt;S90,1.0,IF(S88=S90,0.5,0.0)),""),"")</f>
        <v/>
      </c>
      <c r="W88">
        <f>IF(ISNUMBER(S88),IF(ISNUMBER(S91),IF(S88&gt;S91,1.0,IF(S88=S91,0.5,0.0)),""),"")</f>
        <v/>
      </c>
      <c r="X88">
        <f>IF(ISNUMBER(S88),IF(ISNUMBER(S92),IF(S88&gt;S92,1.0,IF(S88=S92,0.5,0.0)),""),"")</f>
        <v/>
      </c>
      <c r="Y88">
        <f>IF(ISNUMBER(T88),IF(ISNUMBER(T89),IF(T88&gt;T89,1.0,IF(T88=T89,0.5,0.0)),""),"")</f>
        <v/>
      </c>
      <c r="Z88">
        <f>IF(ISNUMBER(T88),IF(ISNUMBER(T90),IF(T88&gt;T90,1.0,IF(T88=T90,0.5,0.0)),""),"")</f>
        <v/>
      </c>
      <c r="AA88">
        <f>IF(ISNUMBER(T88),IF(ISNUMBER(T91),IF(T88&gt;T91,1.0,IF(T88=T91,0.5,0.0)),""),"")</f>
        <v/>
      </c>
      <c r="AB88">
        <f>IF(ISNUMBER(T88),IF(ISNUMBER(T92),IF(T88&gt;T92,1.0,IF(T88=T92,0.5,0.0)),""),"")</f>
        <v/>
      </c>
      <c r="AC88" s="14">
        <f>IF(AND(ISNUMBER(S88),ISNUMBER(S89)),VLOOKUP(ABS(S88-S89),'IMP Table'!$A$2:$C$26,3)*SIGN(S88-S89),0)</f>
        <v/>
      </c>
      <c r="AD88">
        <f>IF(AND(ISNUMBER(S88),ISNUMBER(S90)),VLOOKUP(ABS(S88-S90),'IMP Table'!$A$2:$C$26,3)*SIGN(S88-S90),0)</f>
        <v/>
      </c>
      <c r="AE88">
        <f>IF(AND(ISNUMBER(S88),ISNUMBER(S91)),VLOOKUP(ABS(S88-S91),'IMP Table'!$A$2:$C$26,3)*SIGN(S88-S91),0)</f>
        <v/>
      </c>
      <c r="AF88">
        <f>IF(AND(ISNUMBER(S88),ISNUMBER(S92)),VLOOKUP(ABS(S88-S92),'IMP Table'!$A$2:$C$26,3)*SIGN(S88-S92),0)</f>
        <v/>
      </c>
      <c r="AG88">
        <f>IF(AND(ISNUMBER(T88),ISNUMBER(T89)),VLOOKUP(ABS(T88-T89),'IMP Table'!$A$2:$C$26,3)*SIGN(T88-T89),0)</f>
        <v/>
      </c>
      <c r="AH88">
        <f>IF(AND(ISNUMBER(T88),ISNUMBER(T90)),VLOOKUP(ABS(T88-T90),'IMP Table'!$A$2:$C$26,3)*SIGN(T88-T90),0)</f>
        <v/>
      </c>
      <c r="AI88">
        <f>IF(AND(ISNUMBER(T88),ISNUMBER(T91)),VLOOKUP(ABS(T88-T91),'IMP Table'!$A$2:$C$26,3)*SIGN(T88-T91),0)</f>
        <v/>
      </c>
      <c r="AJ88">
        <f>IF(AND(ISNUMBER(T88),ISNUMBER(T92)),VLOOKUP(ABS(T88-T92),'IMP Table'!$A$2:$C$26,3)*SIGN(T88-T92),0)</f>
        <v/>
      </c>
    </row>
    <row r="89">
      <c r="B89" s="10">
        <f>'By Round'!A63</f>
        <v/>
      </c>
      <c r="C89" s="10">
        <f>'By Round'!B67</f>
        <v/>
      </c>
      <c r="D89" s="10">
        <f>'By Round'!C67</f>
        <v/>
      </c>
      <c r="E89" s="10">
        <f>'By Round'!D67</f>
        <v/>
      </c>
      <c r="F89" s="10">
        <f>IF(ISBLANK('By Round'!F68),"",'By Round'!F68)</f>
        <v/>
      </c>
      <c r="G89">
        <f>IF(ISBLANK('By Round'!G68),"",'By Round'!G68)</f>
        <v/>
      </c>
      <c r="H89">
        <f>IF(ISBLANK('By Round'!H68),"",'By Round'!H68)</f>
        <v/>
      </c>
      <c r="I89">
        <f>IF(ISBLANK('By Round'!I68),"",'By Round'!I68)</f>
        <v/>
      </c>
      <c r="J89">
        <f>IF(ISBLANK('By Round'!J68),"",'By Round'!J68)</f>
        <v/>
      </c>
      <c r="K89">
        <f>IF(ISBLANK('By Round'!K68),"",'By Round'!K68)</f>
        <v/>
      </c>
      <c r="L89">
        <f>IF(ISBLANK('By Round'!L68),"",'By Round'!L68)</f>
        <v/>
      </c>
      <c r="M89" s="11">
        <f>AVERAGE(AC89:AF89)</f>
        <v/>
      </c>
      <c r="N89" s="12">
        <f>AVERAGE(AG89:AJ89)</f>
        <v/>
      </c>
      <c r="O89" s="13">
        <f>IF(COUNT(U89:X89)&gt;0,Q89/COUNT(U89:X89),0.5)</f>
        <v/>
      </c>
      <c r="P89" s="13">
        <f>IF(COUNT(Y89:AB89)&gt;0,R89/COUNT(Y89:AB89),0.5)</f>
        <v/>
      </c>
      <c r="Q89" s="5">
        <f>SUM(U89:X89)</f>
        <v/>
      </c>
      <c r="R89" s="5">
        <f>SUM(Y89:AB89)</f>
        <v/>
      </c>
      <c r="S89" s="14">
        <f>IF(ISNUMBER(K89),K89,IF(ISNUMBER(L89),-L89,""))</f>
        <v/>
      </c>
      <c r="T89">
        <f>IF(ISNUMBER(L89),L89,IF(ISNUMBER(K89),-K89,""))</f>
        <v/>
      </c>
      <c r="U89" s="14">
        <f>IF(ISNUMBER(S89),IF(ISNUMBER(S88),IF(S89&gt;S88,1.0,IF(S89=S88,0.5,0.0)),""),"")</f>
        <v/>
      </c>
      <c r="V89">
        <f>IF(ISNUMBER(S89),IF(ISNUMBER(S90),IF(S89&gt;S90,1.0,IF(S89=S90,0.5,0.0)),""),"")</f>
        <v/>
      </c>
      <c r="W89">
        <f>IF(ISNUMBER(S89),IF(ISNUMBER(S91),IF(S89&gt;S91,1.0,IF(S89=S91,0.5,0.0)),""),"")</f>
        <v/>
      </c>
      <c r="X89">
        <f>IF(ISNUMBER(S89),IF(ISNUMBER(S92),IF(S89&gt;S92,1.0,IF(S89=S92,0.5,0.0)),""),"")</f>
        <v/>
      </c>
      <c r="Y89">
        <f>IF(ISNUMBER(T89),IF(ISNUMBER(T88),IF(T89&gt;T88,1.0,IF(T89=T88,0.5,0.0)),""),"")</f>
        <v/>
      </c>
      <c r="Z89">
        <f>IF(ISNUMBER(T89),IF(ISNUMBER(T90),IF(T89&gt;T90,1.0,IF(T89=T90,0.5,0.0)),""),"")</f>
        <v/>
      </c>
      <c r="AA89">
        <f>IF(ISNUMBER(T89),IF(ISNUMBER(T91),IF(T89&gt;T91,1.0,IF(T89=T91,0.5,0.0)),""),"")</f>
        <v/>
      </c>
      <c r="AB89">
        <f>IF(ISNUMBER(T89),IF(ISNUMBER(T92),IF(T89&gt;T92,1.0,IF(T89=T92,0.5,0.0)),""),"")</f>
        <v/>
      </c>
      <c r="AC89" s="14">
        <f>IF(AND(ISNUMBER(S89),ISNUMBER(S88)),VLOOKUP(ABS(S89-S88),'IMP Table'!$A$2:$C$26,3)*SIGN(S89-S88),0)</f>
        <v/>
      </c>
      <c r="AD89">
        <f>IF(AND(ISNUMBER(S89),ISNUMBER(S90)),VLOOKUP(ABS(S89-S90),'IMP Table'!$A$2:$C$26,3)*SIGN(S89-S90),0)</f>
        <v/>
      </c>
      <c r="AE89">
        <f>IF(AND(ISNUMBER(S89),ISNUMBER(S91)),VLOOKUP(ABS(S89-S91),'IMP Table'!$A$2:$C$26,3)*SIGN(S89-S91),0)</f>
        <v/>
      </c>
      <c r="AF89">
        <f>IF(AND(ISNUMBER(S89),ISNUMBER(S92)),VLOOKUP(ABS(S89-S92),'IMP Table'!$A$2:$C$26,3)*SIGN(S89-S92),0)</f>
        <v/>
      </c>
      <c r="AG89">
        <f>IF(AND(ISNUMBER(T89),ISNUMBER(T88)),VLOOKUP(ABS(T89-T88),'IMP Table'!$A$2:$C$26,3)*SIGN(T89-T88),0)</f>
        <v/>
      </c>
      <c r="AH89">
        <f>IF(AND(ISNUMBER(T89),ISNUMBER(T90)),VLOOKUP(ABS(T89-T90),'IMP Table'!$A$2:$C$26,3)*SIGN(T89-T90),0)</f>
        <v/>
      </c>
      <c r="AI89">
        <f>IF(AND(ISNUMBER(T89),ISNUMBER(T91)),VLOOKUP(ABS(T89-T91),'IMP Table'!$A$2:$C$26,3)*SIGN(T89-T91),0)</f>
        <v/>
      </c>
      <c r="AJ89">
        <f>IF(AND(ISNUMBER(T89),ISNUMBER(T92)),VLOOKUP(ABS(T89-T92),'IMP Table'!$A$2:$C$26,3)*SIGN(T89-T92),0)</f>
        <v/>
      </c>
    </row>
    <row r="90">
      <c r="B90" s="10">
        <f>'By Round'!A13</f>
        <v/>
      </c>
      <c r="C90" s="10">
        <f>'By Round'!B19</f>
        <v/>
      </c>
      <c r="D90" s="10">
        <f>'By Round'!C19</f>
        <v/>
      </c>
      <c r="E90" s="10">
        <f>'By Round'!D19</f>
        <v/>
      </c>
      <c r="F90" s="10">
        <f>IF(ISBLANK('By Round'!F20),"",'By Round'!F20)</f>
        <v/>
      </c>
      <c r="G90">
        <f>IF(ISBLANK('By Round'!G20),"",'By Round'!G20)</f>
        <v/>
      </c>
      <c r="H90">
        <f>IF(ISBLANK('By Round'!H20),"",'By Round'!H20)</f>
        <v/>
      </c>
      <c r="I90">
        <f>IF(ISBLANK('By Round'!I20),"",'By Round'!I20)</f>
        <v/>
      </c>
      <c r="J90">
        <f>IF(ISBLANK('By Round'!J20),"",'By Round'!J20)</f>
        <v/>
      </c>
      <c r="K90">
        <f>IF(ISBLANK('By Round'!K20),"",'By Round'!K20)</f>
        <v/>
      </c>
      <c r="L90">
        <f>IF(ISBLANK('By Round'!L20),"",'By Round'!L20)</f>
        <v/>
      </c>
      <c r="M90" s="11">
        <f>AVERAGE(AC90:AF90)</f>
        <v/>
      </c>
      <c r="N90" s="12">
        <f>AVERAGE(AG90:AJ90)</f>
        <v/>
      </c>
      <c r="O90" s="13">
        <f>IF(COUNT(U90:X90)&gt;0,Q90/COUNT(U90:X90),0.5)</f>
        <v/>
      </c>
      <c r="P90" s="13">
        <f>IF(COUNT(Y90:AB90)&gt;0,R90/COUNT(Y90:AB90),0.5)</f>
        <v/>
      </c>
      <c r="Q90" s="5">
        <f>SUM(U90:X90)</f>
        <v/>
      </c>
      <c r="R90" s="5">
        <f>SUM(Y90:AB90)</f>
        <v/>
      </c>
      <c r="S90" s="14">
        <f>IF(ISNUMBER(K90),K90,IF(ISNUMBER(L90),-L90,""))</f>
        <v/>
      </c>
      <c r="T90">
        <f>IF(ISNUMBER(L90),L90,IF(ISNUMBER(K90),-K90,""))</f>
        <v/>
      </c>
      <c r="U90" s="14">
        <f>IF(ISNUMBER(S90),IF(ISNUMBER(S88),IF(S90&gt;S88,1.0,IF(S90=S88,0.5,0.0)),""),"")</f>
        <v/>
      </c>
      <c r="V90">
        <f>IF(ISNUMBER(S90),IF(ISNUMBER(S89),IF(S90&gt;S89,1.0,IF(S90=S89,0.5,0.0)),""),"")</f>
        <v/>
      </c>
      <c r="W90">
        <f>IF(ISNUMBER(S90),IF(ISNUMBER(S91),IF(S90&gt;S91,1.0,IF(S90=S91,0.5,0.0)),""),"")</f>
        <v/>
      </c>
      <c r="X90">
        <f>IF(ISNUMBER(S90),IF(ISNUMBER(S92),IF(S90&gt;S92,1.0,IF(S90=S92,0.5,0.0)),""),"")</f>
        <v/>
      </c>
      <c r="Y90">
        <f>IF(ISNUMBER(T90),IF(ISNUMBER(T88),IF(T90&gt;T88,1.0,IF(T90=T88,0.5,0.0)),""),"")</f>
        <v/>
      </c>
      <c r="Z90">
        <f>IF(ISNUMBER(T90),IF(ISNUMBER(T89),IF(T90&gt;T89,1.0,IF(T90=T89,0.5,0.0)),""),"")</f>
        <v/>
      </c>
      <c r="AA90">
        <f>IF(ISNUMBER(T90),IF(ISNUMBER(T91),IF(T90&gt;T91,1.0,IF(T90=T91,0.5,0.0)),""),"")</f>
        <v/>
      </c>
      <c r="AB90">
        <f>IF(ISNUMBER(T90),IF(ISNUMBER(T92),IF(T90&gt;T92,1.0,IF(T90=T92,0.5,0.0)),""),"")</f>
        <v/>
      </c>
      <c r="AC90" s="14">
        <f>IF(AND(ISNUMBER(S90),ISNUMBER(S88)),VLOOKUP(ABS(S90-S88),'IMP Table'!$A$2:$C$26,3)*SIGN(S90-S88),0)</f>
        <v/>
      </c>
      <c r="AD90">
        <f>IF(AND(ISNUMBER(S90),ISNUMBER(S89)),VLOOKUP(ABS(S90-S89),'IMP Table'!$A$2:$C$26,3)*SIGN(S90-S89),0)</f>
        <v/>
      </c>
      <c r="AE90">
        <f>IF(AND(ISNUMBER(S90),ISNUMBER(S91)),VLOOKUP(ABS(S90-S91),'IMP Table'!$A$2:$C$26,3)*SIGN(S90-S91),0)</f>
        <v/>
      </c>
      <c r="AF90">
        <f>IF(AND(ISNUMBER(S90),ISNUMBER(S92)),VLOOKUP(ABS(S90-S92),'IMP Table'!$A$2:$C$26,3)*SIGN(S90-S92),0)</f>
        <v/>
      </c>
      <c r="AG90">
        <f>IF(AND(ISNUMBER(T90),ISNUMBER(T88)),VLOOKUP(ABS(T90-T88),'IMP Table'!$A$2:$C$26,3)*SIGN(T90-T88),0)</f>
        <v/>
      </c>
      <c r="AH90">
        <f>IF(AND(ISNUMBER(T90),ISNUMBER(T89)),VLOOKUP(ABS(T90-T89),'IMP Table'!$A$2:$C$26,3)*SIGN(T90-T89),0)</f>
        <v/>
      </c>
      <c r="AI90">
        <f>IF(AND(ISNUMBER(T90),ISNUMBER(T91)),VLOOKUP(ABS(T90-T91),'IMP Table'!$A$2:$C$26,3)*SIGN(T90-T91),0)</f>
        <v/>
      </c>
      <c r="AJ90">
        <f>IF(AND(ISNUMBER(T90),ISNUMBER(T92)),VLOOKUP(ABS(T90-T92),'IMP Table'!$A$2:$C$26,3)*SIGN(T90-T92),0)</f>
        <v/>
      </c>
    </row>
    <row r="91">
      <c r="B91" s="10">
        <f>'By Round'!A3</f>
        <v/>
      </c>
      <c r="C91" s="10">
        <f>'By Round'!B11</f>
        <v/>
      </c>
      <c r="D91" s="10">
        <f>'By Round'!C11</f>
        <v/>
      </c>
      <c r="E91" s="10">
        <f>'By Round'!D11</f>
        <v/>
      </c>
      <c r="F91" s="10">
        <f>IF(ISBLANK('By Round'!F12),"",'By Round'!F12)</f>
        <v/>
      </c>
      <c r="G91">
        <f>IF(ISBLANK('By Round'!G12),"",'By Round'!G12)</f>
        <v/>
      </c>
      <c r="H91">
        <f>IF(ISBLANK('By Round'!H12),"",'By Round'!H12)</f>
        <v/>
      </c>
      <c r="I91">
        <f>IF(ISBLANK('By Round'!I12),"",'By Round'!I12)</f>
        <v/>
      </c>
      <c r="J91">
        <f>IF(ISBLANK('By Round'!J12),"",'By Round'!J12)</f>
        <v/>
      </c>
      <c r="K91">
        <f>IF(ISBLANK('By Round'!K12),"",'By Round'!K12)</f>
        <v/>
      </c>
      <c r="L91">
        <f>IF(ISBLANK('By Round'!L12),"",'By Round'!L12)</f>
        <v/>
      </c>
      <c r="M91" s="11">
        <f>AVERAGE(AC91:AF91)</f>
        <v/>
      </c>
      <c r="N91" s="12">
        <f>AVERAGE(AG91:AJ91)</f>
        <v/>
      </c>
      <c r="O91" s="13">
        <f>IF(COUNT(U91:X91)&gt;0,Q91/COUNT(U91:X91),0.5)</f>
        <v/>
      </c>
      <c r="P91" s="13">
        <f>IF(COUNT(Y91:AB91)&gt;0,R91/COUNT(Y91:AB91),0.5)</f>
        <v/>
      </c>
      <c r="Q91" s="5">
        <f>SUM(U91:X91)</f>
        <v/>
      </c>
      <c r="R91" s="5">
        <f>SUM(Y91:AB91)</f>
        <v/>
      </c>
      <c r="S91" s="14">
        <f>IF(ISNUMBER(K91),K91,IF(ISNUMBER(L91),-L91,""))</f>
        <v/>
      </c>
      <c r="T91">
        <f>IF(ISNUMBER(L91),L91,IF(ISNUMBER(K91),-K91,""))</f>
        <v/>
      </c>
      <c r="U91" s="14">
        <f>IF(ISNUMBER(S91),IF(ISNUMBER(S88),IF(S91&gt;S88,1.0,IF(S91=S88,0.5,0.0)),""),"")</f>
        <v/>
      </c>
      <c r="V91">
        <f>IF(ISNUMBER(S91),IF(ISNUMBER(S89),IF(S91&gt;S89,1.0,IF(S91=S89,0.5,0.0)),""),"")</f>
        <v/>
      </c>
      <c r="W91">
        <f>IF(ISNUMBER(S91),IF(ISNUMBER(S90),IF(S91&gt;S90,1.0,IF(S91=S90,0.5,0.0)),""),"")</f>
        <v/>
      </c>
      <c r="X91">
        <f>IF(ISNUMBER(S91),IF(ISNUMBER(S92),IF(S91&gt;S92,1.0,IF(S91=S92,0.5,0.0)),""),"")</f>
        <v/>
      </c>
      <c r="Y91">
        <f>IF(ISNUMBER(T91),IF(ISNUMBER(T88),IF(T91&gt;T88,1.0,IF(T91=T88,0.5,0.0)),""),"")</f>
        <v/>
      </c>
      <c r="Z91">
        <f>IF(ISNUMBER(T91),IF(ISNUMBER(T89),IF(T91&gt;T89,1.0,IF(T91=T89,0.5,0.0)),""),"")</f>
        <v/>
      </c>
      <c r="AA91">
        <f>IF(ISNUMBER(T91),IF(ISNUMBER(T90),IF(T91&gt;T90,1.0,IF(T91=T90,0.5,0.0)),""),"")</f>
        <v/>
      </c>
      <c r="AB91">
        <f>IF(ISNUMBER(T91),IF(ISNUMBER(T92),IF(T91&gt;T92,1.0,IF(T91=T92,0.5,0.0)),""),"")</f>
        <v/>
      </c>
      <c r="AC91" s="14">
        <f>IF(AND(ISNUMBER(S91),ISNUMBER(S88)),VLOOKUP(ABS(S91-S88),'IMP Table'!$A$2:$C$26,3)*SIGN(S91-S88),0)</f>
        <v/>
      </c>
      <c r="AD91">
        <f>IF(AND(ISNUMBER(S91),ISNUMBER(S89)),VLOOKUP(ABS(S91-S89),'IMP Table'!$A$2:$C$26,3)*SIGN(S91-S89),0)</f>
        <v/>
      </c>
      <c r="AE91">
        <f>IF(AND(ISNUMBER(S91),ISNUMBER(S90)),VLOOKUP(ABS(S91-S90),'IMP Table'!$A$2:$C$26,3)*SIGN(S91-S90),0)</f>
        <v/>
      </c>
      <c r="AF91">
        <f>IF(AND(ISNUMBER(S91),ISNUMBER(S92)),VLOOKUP(ABS(S91-S92),'IMP Table'!$A$2:$C$26,3)*SIGN(S91-S92),0)</f>
        <v/>
      </c>
      <c r="AG91">
        <f>IF(AND(ISNUMBER(T91),ISNUMBER(T88)),VLOOKUP(ABS(T91-T88),'IMP Table'!$A$2:$C$26,3)*SIGN(T91-T88),0)</f>
        <v/>
      </c>
      <c r="AH91">
        <f>IF(AND(ISNUMBER(T91),ISNUMBER(T89)),VLOOKUP(ABS(T91-T89),'IMP Table'!$A$2:$C$26,3)*SIGN(T91-T89),0)</f>
        <v/>
      </c>
      <c r="AI91">
        <f>IF(AND(ISNUMBER(T91),ISNUMBER(T90)),VLOOKUP(ABS(T91-T90),'IMP Table'!$A$2:$C$26,3)*SIGN(T91-T90),0)</f>
        <v/>
      </c>
      <c r="AJ91">
        <f>IF(AND(ISNUMBER(T91),ISNUMBER(T92)),VLOOKUP(ABS(T91-T92),'IMP Table'!$A$2:$C$26,3)*SIGN(T91-T92),0)</f>
        <v/>
      </c>
    </row>
    <row r="92">
      <c r="A92" s="15" t="n"/>
      <c r="B92" s="16">
        <f>'By Round'!A73</f>
        <v/>
      </c>
      <c r="C92" s="16">
        <f>'By Round'!B75</f>
        <v/>
      </c>
      <c r="D92" s="16">
        <f>'By Round'!C75</f>
        <v/>
      </c>
      <c r="E92" s="16">
        <f>'By Round'!D75</f>
        <v/>
      </c>
      <c r="F92" s="16">
        <f>IF(ISBLANK('By Round'!F76),"",'By Round'!F76)</f>
        <v/>
      </c>
      <c r="G92" s="15">
        <f>IF(ISBLANK('By Round'!G76),"",'By Round'!G76)</f>
        <v/>
      </c>
      <c r="H92" s="15">
        <f>IF(ISBLANK('By Round'!H76),"",'By Round'!H76)</f>
        <v/>
      </c>
      <c r="I92" s="15">
        <f>IF(ISBLANK('By Round'!I76),"",'By Round'!I76)</f>
        <v/>
      </c>
      <c r="J92" s="15">
        <f>IF(ISBLANK('By Round'!J76),"",'By Round'!J76)</f>
        <v/>
      </c>
      <c r="K92" s="15">
        <f>IF(ISBLANK('By Round'!K76),"",'By Round'!K76)</f>
        <v/>
      </c>
      <c r="L92" s="15">
        <f>IF(ISBLANK('By Round'!L76),"",'By Round'!L76)</f>
        <v/>
      </c>
      <c r="M92" s="17">
        <f>AVERAGE(AC92:AF92)</f>
        <v/>
      </c>
      <c r="N92" s="18">
        <f>AVERAGE(AG92:AJ92)</f>
        <v/>
      </c>
      <c r="O92" s="19">
        <f>IF(COUNT(U92:X92)&gt;0,Q92/COUNT(U92:X92),0.5)</f>
        <v/>
      </c>
      <c r="P92" s="19">
        <f>IF(COUNT(Y92:AB92)&gt;0,R92/COUNT(Y92:AB92),0.5)</f>
        <v/>
      </c>
      <c r="Q92" s="20">
        <f>SUM(U92:X92)</f>
        <v/>
      </c>
      <c r="R92" s="20">
        <f>SUM(Y92:AB92)</f>
        <v/>
      </c>
      <c r="S92" s="21">
        <f>IF(ISNUMBER(K92),K92,IF(ISNUMBER(L92),-L92,""))</f>
        <v/>
      </c>
      <c r="T92" s="15">
        <f>IF(ISNUMBER(L92),L92,IF(ISNUMBER(K92),-K92,""))</f>
        <v/>
      </c>
      <c r="U92" s="21">
        <f>IF(ISNUMBER(S92),IF(ISNUMBER(S88),IF(S92&gt;S88,1.0,IF(S92=S88,0.5,0.0)),""),"")</f>
        <v/>
      </c>
      <c r="V92" s="15">
        <f>IF(ISNUMBER(S92),IF(ISNUMBER(S89),IF(S92&gt;S89,1.0,IF(S92=S89,0.5,0.0)),""),"")</f>
        <v/>
      </c>
      <c r="W92" s="15">
        <f>IF(ISNUMBER(S92),IF(ISNUMBER(S90),IF(S92&gt;S90,1.0,IF(S92=S90,0.5,0.0)),""),"")</f>
        <v/>
      </c>
      <c r="X92" s="15">
        <f>IF(ISNUMBER(S92),IF(ISNUMBER(S91),IF(S92&gt;S91,1.0,IF(S92=S91,0.5,0.0)),""),"")</f>
        <v/>
      </c>
      <c r="Y92" s="15">
        <f>IF(ISNUMBER(T92),IF(ISNUMBER(T88),IF(T92&gt;T88,1.0,IF(T92=T88,0.5,0.0)),""),"")</f>
        <v/>
      </c>
      <c r="Z92" s="15">
        <f>IF(ISNUMBER(T92),IF(ISNUMBER(T89),IF(T92&gt;T89,1.0,IF(T92=T89,0.5,0.0)),""),"")</f>
        <v/>
      </c>
      <c r="AA92" s="15">
        <f>IF(ISNUMBER(T92),IF(ISNUMBER(T90),IF(T92&gt;T90,1.0,IF(T92=T90,0.5,0.0)),""),"")</f>
        <v/>
      </c>
      <c r="AB92" s="15">
        <f>IF(ISNUMBER(T92),IF(ISNUMBER(T91),IF(T92&gt;T91,1.0,IF(T92=T91,0.5,0.0)),""),"")</f>
        <v/>
      </c>
      <c r="AC92" s="21">
        <f>IF(AND(ISNUMBER(S92),ISNUMBER(S88)),VLOOKUP(ABS(S92-S88),'IMP Table'!$A$2:$C$26,3)*SIGN(S92-S88),0)</f>
        <v/>
      </c>
      <c r="AD92" s="15">
        <f>IF(AND(ISNUMBER(S92),ISNUMBER(S89)),VLOOKUP(ABS(S92-S89),'IMP Table'!$A$2:$C$26,3)*SIGN(S92-S89),0)</f>
        <v/>
      </c>
      <c r="AE92" s="15">
        <f>IF(AND(ISNUMBER(S92),ISNUMBER(S90)),VLOOKUP(ABS(S92-S90),'IMP Table'!$A$2:$C$26,3)*SIGN(S92-S90),0)</f>
        <v/>
      </c>
      <c r="AF92" s="15">
        <f>IF(AND(ISNUMBER(S92),ISNUMBER(S91)),VLOOKUP(ABS(S92-S91),'IMP Table'!$A$2:$C$26,3)*SIGN(S92-S91),0)</f>
        <v/>
      </c>
      <c r="AG92" s="15">
        <f>IF(AND(ISNUMBER(T92),ISNUMBER(T88)),VLOOKUP(ABS(T92-T88),'IMP Table'!$A$2:$C$26,3)*SIGN(T92-T88),0)</f>
        <v/>
      </c>
      <c r="AH92" s="15">
        <f>IF(AND(ISNUMBER(T92),ISNUMBER(T89)),VLOOKUP(ABS(T92-T89),'IMP Table'!$A$2:$C$26,3)*SIGN(T92-T89),0)</f>
        <v/>
      </c>
      <c r="AI92" s="15">
        <f>IF(AND(ISNUMBER(T92),ISNUMBER(T90)),VLOOKUP(ABS(T92-T90),'IMP Table'!$A$2:$C$26,3)*SIGN(T92-T90),0)</f>
        <v/>
      </c>
      <c r="AJ92" s="15">
        <f>IF(AND(ISNUMBER(T92),ISNUMBER(T91)),VLOOKUP(ABS(T92-T91),'IMP Table'!$A$2:$C$26,3)*SIGN(T92-T91),0)</f>
        <v/>
      </c>
    </row>
  </sheetData>
  <mergeCells count="12">
    <mergeCell ref="Q1:R1"/>
    <mergeCell ref="K1:L1"/>
    <mergeCell ref="S1:T1"/>
    <mergeCell ref="AC1:AJ1"/>
    <mergeCell ref="O1:P1"/>
    <mergeCell ref="U2:X2"/>
    <mergeCell ref="U1:AB1"/>
    <mergeCell ref="Y2:AB2"/>
    <mergeCell ref="M1:N1"/>
    <mergeCell ref="AC2:AF2"/>
    <mergeCell ref="AG2:AJ2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inlineStr">
        <is>
          <t>Sit-Out</t>
        </is>
      </c>
      <c r="D3" s="10" t="n">
        <v>1</v>
      </c>
      <c r="E3" s="10" t="n">
        <v>1</v>
      </c>
      <c r="F3" s="10" t="inlineStr">
        <is>
          <t>None</t>
        </is>
      </c>
    </row>
    <row r="4">
      <c r="B4" s="16" t="n"/>
      <c r="C4" s="16" t="n"/>
      <c r="D4" s="16" t="n"/>
      <c r="E4" s="16" t="n">
        <v>2</v>
      </c>
      <c r="F4" s="16" t="inlineStr">
        <is>
          <t>NS</t>
        </is>
      </c>
      <c r="G4" s="15" t="n"/>
      <c r="H4" s="15" t="n"/>
      <c r="I4" s="15" t="n"/>
      <c r="J4" s="15" t="n"/>
      <c r="K4" s="15" t="n"/>
      <c r="L4" s="15" t="n"/>
    </row>
    <row r="5">
      <c r="B5" s="10" t="n">
        <v>2</v>
      </c>
      <c r="C5" s="10" t="n">
        <v>9</v>
      </c>
      <c r="D5" s="10" t="n">
        <v>8</v>
      </c>
      <c r="E5" s="10" t="n">
        <v>3</v>
      </c>
      <c r="F5" s="10" t="inlineStr">
        <is>
          <t>EW</t>
        </is>
      </c>
    </row>
    <row r="6">
      <c r="B6" s="16" t="n"/>
      <c r="C6" s="16" t="n"/>
      <c r="D6" s="16" t="n"/>
      <c r="E6" s="16" t="n">
        <v>4</v>
      </c>
      <c r="F6" s="16" t="inlineStr">
        <is>
          <t>Both</t>
        </is>
      </c>
      <c r="G6" s="15" t="n"/>
      <c r="H6" s="15" t="n"/>
      <c r="I6" s="15" t="n"/>
      <c r="J6" s="15" t="n"/>
      <c r="K6" s="15" t="n"/>
      <c r="L6" s="15" t="n"/>
    </row>
    <row r="7">
      <c r="B7" s="10" t="n">
        <v>3</v>
      </c>
      <c r="C7" s="10" t="n">
        <v>6</v>
      </c>
      <c r="D7" s="10" t="n">
        <v>4</v>
      </c>
      <c r="E7" s="10" t="n">
        <v>5</v>
      </c>
      <c r="F7" s="10" t="inlineStr">
        <is>
          <t>NS</t>
        </is>
      </c>
    </row>
    <row r="8">
      <c r="B8" s="16" t="n"/>
      <c r="C8" s="16" t="n"/>
      <c r="D8" s="16" t="n"/>
      <c r="E8" s="16" t="n">
        <v>6</v>
      </c>
      <c r="F8" s="16" t="inlineStr">
        <is>
          <t>EW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4</v>
      </c>
      <c r="C9" s="10" t="n">
        <v>3</v>
      </c>
      <c r="D9" s="10" t="n">
        <v>7</v>
      </c>
      <c r="E9" s="10" t="n">
        <v>15</v>
      </c>
      <c r="F9" s="10" t="inlineStr">
        <is>
          <t>NS</t>
        </is>
      </c>
    </row>
    <row r="10">
      <c r="B10" s="16" t="n"/>
      <c r="C10" s="16" t="n"/>
      <c r="D10" s="16" t="n"/>
      <c r="E10" s="16" t="n">
        <v>16</v>
      </c>
      <c r="F10" s="16" t="inlineStr">
        <is>
          <t>EW</t>
        </is>
      </c>
      <c r="G10" s="15" t="n"/>
      <c r="H10" s="15" t="n"/>
      <c r="I10" s="15" t="n"/>
      <c r="J10" s="15" t="n"/>
      <c r="K10" s="15" t="n"/>
      <c r="L10" s="15" t="n"/>
    </row>
    <row r="11">
      <c r="B11" s="10" t="n">
        <v>5</v>
      </c>
      <c r="C11" s="10" t="n">
        <v>5</v>
      </c>
      <c r="D11" s="10" t="n">
        <v>2</v>
      </c>
      <c r="E11" s="10" t="n">
        <v>17</v>
      </c>
      <c r="F11" s="10" t="inlineStr">
        <is>
          <t>None</t>
        </is>
      </c>
    </row>
    <row r="12">
      <c r="A12" s="15" t="n"/>
      <c r="B12" s="16" t="n"/>
      <c r="C12" s="16" t="n"/>
      <c r="D12" s="16" t="n"/>
      <c r="E12" s="16" t="n">
        <v>18</v>
      </c>
      <c r="F12" s="16" t="inlineStr">
        <is>
          <t>NS</t>
        </is>
      </c>
      <c r="G12" s="15" t="n"/>
      <c r="H12" s="15" t="n"/>
      <c r="I12" s="15" t="n"/>
      <c r="J12" s="15" t="n"/>
      <c r="K12" s="15" t="n"/>
      <c r="L12" s="15" t="n"/>
    </row>
    <row r="13">
      <c r="A13" s="10" t="n">
        <v>2</v>
      </c>
      <c r="B13" s="10" t="n">
        <v>1</v>
      </c>
      <c r="C13" s="10" t="inlineStr">
        <is>
          <t>Sit-Out</t>
        </is>
      </c>
      <c r="D13" s="10" t="n">
        <v>2</v>
      </c>
      <c r="E13" s="10" t="n">
        <v>3</v>
      </c>
      <c r="F13" s="10" t="inlineStr">
        <is>
          <t>EW</t>
        </is>
      </c>
    </row>
    <row r="14">
      <c r="B14" s="16" t="n"/>
      <c r="C14" s="16" t="n"/>
      <c r="D14" s="16" t="n"/>
      <c r="E14" s="16" t="n">
        <v>4</v>
      </c>
      <c r="F14" s="16" t="inlineStr">
        <is>
          <t>Both</t>
        </is>
      </c>
      <c r="G14" s="15" t="n"/>
      <c r="H14" s="15" t="n"/>
      <c r="I14" s="15" t="n"/>
      <c r="J14" s="15" t="n"/>
      <c r="K14" s="15" t="n"/>
      <c r="L14" s="15" t="n"/>
    </row>
    <row r="15">
      <c r="B15" s="10" t="n">
        <v>2</v>
      </c>
      <c r="C15" s="10" t="n">
        <v>1</v>
      </c>
      <c r="D15" s="10" t="n">
        <v>9</v>
      </c>
      <c r="E15" s="10" t="n">
        <v>5</v>
      </c>
      <c r="F15" s="10" t="inlineStr">
        <is>
          <t>NS</t>
        </is>
      </c>
    </row>
    <row r="16">
      <c r="B16" s="16" t="n"/>
      <c r="C16" s="16" t="n"/>
      <c r="D16" s="16" t="n"/>
      <c r="E16" s="16" t="n">
        <v>6</v>
      </c>
      <c r="F16" s="16" t="inlineStr">
        <is>
          <t>EW</t>
        </is>
      </c>
      <c r="G16" s="15" t="n"/>
      <c r="H16" s="15" t="n"/>
      <c r="I16" s="15" t="n"/>
      <c r="J16" s="15" t="n"/>
      <c r="K16" s="15" t="n"/>
      <c r="L16" s="15" t="n"/>
    </row>
    <row r="17">
      <c r="B17" s="10" t="n">
        <v>3</v>
      </c>
      <c r="C17" s="10" t="n">
        <v>7</v>
      </c>
      <c r="D17" s="10" t="n">
        <v>5</v>
      </c>
      <c r="E17" s="10" t="n">
        <v>7</v>
      </c>
      <c r="F17" s="10" t="inlineStr">
        <is>
          <t>Both</t>
        </is>
      </c>
    </row>
    <row r="18">
      <c r="B18" s="16" t="n"/>
      <c r="C18" s="16" t="n"/>
      <c r="D18" s="16" t="n"/>
      <c r="E18" s="16" t="n">
        <v>8</v>
      </c>
      <c r="F18" s="16" t="inlineStr">
        <is>
          <t>None</t>
        </is>
      </c>
      <c r="G18" s="15" t="n"/>
      <c r="H18" s="15" t="n"/>
      <c r="I18" s="15" t="n"/>
      <c r="J18" s="15" t="n"/>
      <c r="K18" s="15" t="n"/>
      <c r="L18" s="15" t="n"/>
    </row>
    <row r="19">
      <c r="B19" s="10" t="n">
        <v>4</v>
      </c>
      <c r="C19" s="10" t="n">
        <v>4</v>
      </c>
      <c r="D19" s="10" t="n">
        <v>8</v>
      </c>
      <c r="E19" s="10" t="n">
        <v>17</v>
      </c>
      <c r="F19" s="10" t="inlineStr">
        <is>
          <t>None</t>
        </is>
      </c>
    </row>
    <row r="20">
      <c r="B20" s="16" t="n"/>
      <c r="C20" s="16" t="n"/>
      <c r="D20" s="16" t="n"/>
      <c r="E20" s="16" t="n">
        <v>18</v>
      </c>
      <c r="F20" s="16" t="inlineStr">
        <is>
          <t>NS</t>
        </is>
      </c>
      <c r="G20" s="15" t="n"/>
      <c r="H20" s="15" t="n"/>
      <c r="I20" s="15" t="n"/>
      <c r="J20" s="15" t="n"/>
      <c r="K20" s="15" t="n"/>
      <c r="L20" s="15" t="n"/>
    </row>
    <row r="21">
      <c r="B21" s="10" t="n">
        <v>5</v>
      </c>
      <c r="C21" s="10" t="n">
        <v>6</v>
      </c>
      <c r="D21" s="10" t="n">
        <v>3</v>
      </c>
      <c r="E21" s="10" t="n">
        <v>1</v>
      </c>
      <c r="F21" s="10" t="inlineStr">
        <is>
          <t>None</t>
        </is>
      </c>
    </row>
    <row r="22">
      <c r="A22" s="15" t="n"/>
      <c r="B22" s="16" t="n"/>
      <c r="C22" s="16" t="n"/>
      <c r="D22" s="16" t="n"/>
      <c r="E22" s="16" t="n">
        <v>2</v>
      </c>
      <c r="F22" s="16" t="inlineStr">
        <is>
          <t>NS</t>
        </is>
      </c>
      <c r="G22" s="15" t="n"/>
      <c r="H22" s="15" t="n"/>
      <c r="I22" s="15" t="n"/>
      <c r="J22" s="15" t="n"/>
      <c r="K22" s="15" t="n"/>
      <c r="L22" s="15" t="n"/>
    </row>
    <row r="23">
      <c r="A23" s="10" t="n">
        <v>3</v>
      </c>
      <c r="B23" s="10" t="n">
        <v>1</v>
      </c>
      <c r="C23" s="10" t="inlineStr">
        <is>
          <t>Sit-Out</t>
        </is>
      </c>
      <c r="D23" s="10" t="n">
        <v>3</v>
      </c>
      <c r="E23" s="10" t="n">
        <v>5</v>
      </c>
      <c r="F23" s="10" t="inlineStr">
        <is>
          <t>NS</t>
        </is>
      </c>
    </row>
    <row r="24">
      <c r="B24" s="16" t="n"/>
      <c r="C24" s="16" t="n"/>
      <c r="D24" s="16" t="n"/>
      <c r="E24" s="16" t="n">
        <v>6</v>
      </c>
      <c r="F24" s="16" t="inlineStr">
        <is>
          <t>EW</t>
        </is>
      </c>
      <c r="G24" s="15" t="n"/>
      <c r="H24" s="15" t="n"/>
      <c r="I24" s="15" t="n"/>
      <c r="J24" s="15" t="n"/>
      <c r="K24" s="15" t="n"/>
      <c r="L24" s="15" t="n"/>
    </row>
    <row r="25">
      <c r="B25" s="10" t="n">
        <v>2</v>
      </c>
      <c r="C25" s="10" t="n">
        <v>2</v>
      </c>
      <c r="D25" s="10" t="n">
        <v>1</v>
      </c>
      <c r="E25" s="10" t="n">
        <v>7</v>
      </c>
      <c r="F25" s="10" t="inlineStr">
        <is>
          <t>Both</t>
        </is>
      </c>
    </row>
    <row r="26">
      <c r="B26" s="16" t="n"/>
      <c r="C26" s="16" t="n"/>
      <c r="D26" s="16" t="n"/>
      <c r="E26" s="16" t="n">
        <v>8</v>
      </c>
      <c r="F26" s="16" t="inlineStr">
        <is>
          <t>None</t>
        </is>
      </c>
      <c r="G26" s="15" t="n"/>
      <c r="H26" s="15" t="n"/>
      <c r="I26" s="15" t="n"/>
      <c r="J26" s="15" t="n"/>
      <c r="K26" s="15" t="n"/>
      <c r="L26" s="15" t="n"/>
    </row>
    <row r="27">
      <c r="B27" s="10" t="n">
        <v>3</v>
      </c>
      <c r="C27" s="10" t="n">
        <v>8</v>
      </c>
      <c r="D27" s="10" t="n">
        <v>6</v>
      </c>
      <c r="E27" s="10" t="n">
        <v>9</v>
      </c>
      <c r="F27" s="10" t="inlineStr">
        <is>
          <t>EW</t>
        </is>
      </c>
    </row>
    <row r="28">
      <c r="B28" s="16" t="n"/>
      <c r="C28" s="16" t="n"/>
      <c r="D28" s="16" t="n"/>
      <c r="E28" s="16" t="n">
        <v>10</v>
      </c>
      <c r="F28" s="16" t="inlineStr">
        <is>
          <t>Both</t>
        </is>
      </c>
      <c r="G28" s="15" t="n"/>
      <c r="H28" s="15" t="n"/>
      <c r="I28" s="15" t="n"/>
      <c r="J28" s="15" t="n"/>
      <c r="K28" s="15" t="n"/>
      <c r="L28" s="15" t="n"/>
    </row>
    <row r="29">
      <c r="B29" s="10" t="n">
        <v>4</v>
      </c>
      <c r="C29" s="10" t="n">
        <v>5</v>
      </c>
      <c r="D29" s="10" t="n">
        <v>9</v>
      </c>
      <c r="E29" s="10" t="n">
        <v>1</v>
      </c>
      <c r="F29" s="10" t="inlineStr">
        <is>
          <t>None</t>
        </is>
      </c>
    </row>
    <row r="30">
      <c r="B30" s="16" t="n"/>
      <c r="C30" s="16" t="n"/>
      <c r="D30" s="16" t="n"/>
      <c r="E30" s="16" t="n">
        <v>2</v>
      </c>
      <c r="F30" s="16" t="inlineStr">
        <is>
          <t>NS</t>
        </is>
      </c>
      <c r="G30" s="15" t="n"/>
      <c r="H30" s="15" t="n"/>
      <c r="I30" s="15" t="n"/>
      <c r="J30" s="15" t="n"/>
      <c r="K30" s="15" t="n"/>
      <c r="L30" s="15" t="n"/>
    </row>
    <row r="31">
      <c r="B31" s="10" t="n">
        <v>5</v>
      </c>
      <c r="C31" s="10" t="n">
        <v>7</v>
      </c>
      <c r="D31" s="10" t="n">
        <v>4</v>
      </c>
      <c r="E31" s="10" t="n">
        <v>3</v>
      </c>
      <c r="F31" s="10" t="inlineStr">
        <is>
          <t>EW</t>
        </is>
      </c>
    </row>
    <row r="32">
      <c r="A32" s="15" t="n"/>
      <c r="B32" s="16" t="n"/>
      <c r="C32" s="16" t="n"/>
      <c r="D32" s="16" t="n"/>
      <c r="E32" s="16" t="n">
        <v>4</v>
      </c>
      <c r="F32" s="16" t="inlineStr">
        <is>
          <t>Both</t>
        </is>
      </c>
      <c r="G32" s="15" t="n"/>
      <c r="H32" s="15" t="n"/>
      <c r="I32" s="15" t="n"/>
      <c r="J32" s="15" t="n"/>
      <c r="K32" s="15" t="n"/>
      <c r="L32" s="15" t="n"/>
    </row>
    <row r="33">
      <c r="A33" s="10" t="n">
        <v>4</v>
      </c>
      <c r="B33" s="10" t="n">
        <v>1</v>
      </c>
      <c r="C33" s="10" t="inlineStr">
        <is>
          <t>Sit-Out</t>
        </is>
      </c>
      <c r="D33" s="10" t="n">
        <v>4</v>
      </c>
      <c r="E33" s="10" t="n">
        <v>7</v>
      </c>
      <c r="F33" s="10" t="inlineStr">
        <is>
          <t>Both</t>
        </is>
      </c>
    </row>
    <row r="34">
      <c r="B34" s="16" t="n"/>
      <c r="C34" s="16" t="n"/>
      <c r="D34" s="16" t="n"/>
      <c r="E34" s="16" t="n">
        <v>8</v>
      </c>
      <c r="F34" s="16" t="inlineStr">
        <is>
          <t>None</t>
        </is>
      </c>
      <c r="G34" s="15" t="n"/>
      <c r="H34" s="15" t="n"/>
      <c r="I34" s="15" t="n"/>
      <c r="J34" s="15" t="n"/>
      <c r="K34" s="15" t="n"/>
      <c r="L34" s="15" t="n"/>
    </row>
    <row r="35">
      <c r="B35" s="10" t="n">
        <v>2</v>
      </c>
      <c r="C35" s="10" t="n">
        <v>3</v>
      </c>
      <c r="D35" s="10" t="n">
        <v>2</v>
      </c>
      <c r="E35" s="10" t="n">
        <v>9</v>
      </c>
      <c r="F35" s="10" t="inlineStr">
        <is>
          <t>EW</t>
        </is>
      </c>
    </row>
    <row r="36">
      <c r="B36" s="16" t="n"/>
      <c r="C36" s="16" t="n"/>
      <c r="D36" s="16" t="n"/>
      <c r="E36" s="16" t="n">
        <v>10</v>
      </c>
      <c r="F36" s="16" t="inlineStr">
        <is>
          <t>Both</t>
        </is>
      </c>
      <c r="G36" s="15" t="n"/>
      <c r="H36" s="15" t="n"/>
      <c r="I36" s="15" t="n"/>
      <c r="J36" s="15" t="n"/>
      <c r="K36" s="15" t="n"/>
      <c r="L36" s="15" t="n"/>
    </row>
    <row r="37">
      <c r="B37" s="10" t="n">
        <v>3</v>
      </c>
      <c r="C37" s="10" t="n">
        <v>9</v>
      </c>
      <c r="D37" s="10" t="n">
        <v>7</v>
      </c>
      <c r="E37" s="10" t="n">
        <v>11</v>
      </c>
      <c r="F37" s="10" t="inlineStr">
        <is>
          <t>None</t>
        </is>
      </c>
    </row>
    <row r="38">
      <c r="B38" s="16" t="n"/>
      <c r="C38" s="16" t="n"/>
      <c r="D38" s="16" t="n"/>
      <c r="E38" s="16" t="n">
        <v>12</v>
      </c>
      <c r="F38" s="16" t="inlineStr">
        <is>
          <t>NS</t>
        </is>
      </c>
      <c r="G38" s="15" t="n"/>
      <c r="H38" s="15" t="n"/>
      <c r="I38" s="15" t="n"/>
      <c r="J38" s="15" t="n"/>
      <c r="K38" s="15" t="n"/>
      <c r="L38" s="15" t="n"/>
    </row>
    <row r="39">
      <c r="B39" s="10" t="n">
        <v>4</v>
      </c>
      <c r="C39" s="10" t="n">
        <v>6</v>
      </c>
      <c r="D39" s="10" t="n">
        <v>1</v>
      </c>
      <c r="E39" s="10" t="n">
        <v>3</v>
      </c>
      <c r="F39" s="10" t="inlineStr">
        <is>
          <t>EW</t>
        </is>
      </c>
    </row>
    <row r="40">
      <c r="B40" s="16" t="n"/>
      <c r="C40" s="16" t="n"/>
      <c r="D40" s="16" t="n"/>
      <c r="E40" s="16" t="n">
        <v>4</v>
      </c>
      <c r="F40" s="16" t="inlineStr">
        <is>
          <t>Both</t>
        </is>
      </c>
      <c r="G40" s="15" t="n"/>
      <c r="H40" s="15" t="n"/>
      <c r="I40" s="15" t="n"/>
      <c r="J40" s="15" t="n"/>
      <c r="K40" s="15" t="n"/>
      <c r="L40" s="15" t="n"/>
    </row>
    <row r="41">
      <c r="B41" s="10" t="n">
        <v>5</v>
      </c>
      <c r="C41" s="10" t="n">
        <v>8</v>
      </c>
      <c r="D41" s="10" t="n">
        <v>5</v>
      </c>
      <c r="E41" s="10" t="n">
        <v>5</v>
      </c>
      <c r="F41" s="10" t="inlineStr">
        <is>
          <t>NS</t>
        </is>
      </c>
    </row>
    <row r="42">
      <c r="A42" s="15" t="n"/>
      <c r="B42" s="16" t="n"/>
      <c r="C42" s="16" t="n"/>
      <c r="D42" s="16" t="n"/>
      <c r="E42" s="16" t="n">
        <v>6</v>
      </c>
      <c r="F42" s="16" t="inlineStr">
        <is>
          <t>EW</t>
        </is>
      </c>
      <c r="G42" s="15" t="n"/>
      <c r="H42" s="15" t="n"/>
      <c r="I42" s="15" t="n"/>
      <c r="J42" s="15" t="n"/>
      <c r="K42" s="15" t="n"/>
      <c r="L42" s="15" t="n"/>
    </row>
    <row r="43">
      <c r="A43" s="10" t="n">
        <v>5</v>
      </c>
      <c r="B43" s="10" t="n">
        <v>1</v>
      </c>
      <c r="C43" s="10" t="inlineStr">
        <is>
          <t>Sit-Out</t>
        </is>
      </c>
      <c r="D43" s="10" t="n">
        <v>5</v>
      </c>
      <c r="E43" s="10" t="n">
        <v>9</v>
      </c>
      <c r="F43" s="10" t="inlineStr">
        <is>
          <t>EW</t>
        </is>
      </c>
    </row>
    <row r="44">
      <c r="B44" s="16" t="n"/>
      <c r="C44" s="16" t="n"/>
      <c r="D44" s="16" t="n"/>
      <c r="E44" s="16" t="n">
        <v>10</v>
      </c>
      <c r="F44" s="16" t="inlineStr">
        <is>
          <t>Both</t>
        </is>
      </c>
      <c r="G44" s="15" t="n"/>
      <c r="H44" s="15" t="n"/>
      <c r="I44" s="15" t="n"/>
      <c r="J44" s="15" t="n"/>
      <c r="K44" s="15" t="n"/>
      <c r="L44" s="15" t="n"/>
    </row>
    <row r="45">
      <c r="B45" s="10" t="n">
        <v>2</v>
      </c>
      <c r="C45" s="10" t="n">
        <v>4</v>
      </c>
      <c r="D45" s="10" t="n">
        <v>3</v>
      </c>
      <c r="E45" s="10" t="n">
        <v>11</v>
      </c>
      <c r="F45" s="10" t="inlineStr">
        <is>
          <t>None</t>
        </is>
      </c>
    </row>
    <row r="46">
      <c r="B46" s="16" t="n"/>
      <c r="C46" s="16" t="n"/>
      <c r="D46" s="16" t="n"/>
      <c r="E46" s="16" t="n">
        <v>12</v>
      </c>
      <c r="F46" s="16" t="inlineStr">
        <is>
          <t>NS</t>
        </is>
      </c>
      <c r="G46" s="15" t="n"/>
      <c r="H46" s="15" t="n"/>
      <c r="I46" s="15" t="n"/>
      <c r="J46" s="15" t="n"/>
      <c r="K46" s="15" t="n"/>
      <c r="L46" s="15" t="n"/>
    </row>
    <row r="47">
      <c r="B47" s="10" t="n">
        <v>3</v>
      </c>
      <c r="C47" s="10" t="n">
        <v>1</v>
      </c>
      <c r="D47" s="10" t="n">
        <v>8</v>
      </c>
      <c r="E47" s="10" t="n">
        <v>13</v>
      </c>
      <c r="F47" s="10" t="inlineStr">
        <is>
          <t>Both</t>
        </is>
      </c>
    </row>
    <row r="48">
      <c r="B48" s="16" t="n"/>
      <c r="C48" s="16" t="n"/>
      <c r="D48" s="16" t="n"/>
      <c r="E48" s="16" t="n">
        <v>14</v>
      </c>
      <c r="F48" s="16" t="inlineStr">
        <is>
          <t>None</t>
        </is>
      </c>
      <c r="G48" s="15" t="n"/>
      <c r="H48" s="15" t="n"/>
      <c r="I48" s="15" t="n"/>
      <c r="J48" s="15" t="n"/>
      <c r="K48" s="15" t="n"/>
      <c r="L48" s="15" t="n"/>
    </row>
    <row r="49">
      <c r="B49" s="10" t="n">
        <v>4</v>
      </c>
      <c r="C49" s="10" t="n">
        <v>7</v>
      </c>
      <c r="D49" s="10" t="n">
        <v>2</v>
      </c>
      <c r="E49" s="10" t="n">
        <v>5</v>
      </c>
      <c r="F49" s="10" t="inlineStr">
        <is>
          <t>NS</t>
        </is>
      </c>
    </row>
    <row r="50">
      <c r="B50" s="16" t="n"/>
      <c r="C50" s="16" t="n"/>
      <c r="D50" s="16" t="n"/>
      <c r="E50" s="16" t="n">
        <v>6</v>
      </c>
      <c r="F50" s="16" t="inlineStr">
        <is>
          <t>EW</t>
        </is>
      </c>
      <c r="G50" s="15" t="n"/>
      <c r="H50" s="15" t="n"/>
      <c r="I50" s="15" t="n"/>
      <c r="J50" s="15" t="n"/>
      <c r="K50" s="15" t="n"/>
      <c r="L50" s="15" t="n"/>
    </row>
    <row r="51">
      <c r="B51" s="10" t="n">
        <v>5</v>
      </c>
      <c r="C51" s="10" t="n">
        <v>9</v>
      </c>
      <c r="D51" s="10" t="n">
        <v>6</v>
      </c>
      <c r="E51" s="10" t="n">
        <v>7</v>
      </c>
      <c r="F51" s="10" t="inlineStr">
        <is>
          <t>Both</t>
        </is>
      </c>
    </row>
    <row r="52">
      <c r="A52" s="15" t="n"/>
      <c r="B52" s="16" t="n"/>
      <c r="C52" s="16" t="n"/>
      <c r="D52" s="16" t="n"/>
      <c r="E52" s="16" t="n">
        <v>8</v>
      </c>
      <c r="F52" s="16" t="inlineStr">
        <is>
          <t>None</t>
        </is>
      </c>
      <c r="G52" s="15" t="n"/>
      <c r="H52" s="15" t="n"/>
      <c r="I52" s="15" t="n"/>
      <c r="J52" s="15" t="n"/>
      <c r="K52" s="15" t="n"/>
      <c r="L52" s="15" t="n"/>
    </row>
    <row r="53">
      <c r="A53" s="10" t="n">
        <v>6</v>
      </c>
      <c r="B53" s="10" t="n">
        <v>1</v>
      </c>
      <c r="C53" s="10" t="inlineStr">
        <is>
          <t>Sit-Out</t>
        </is>
      </c>
      <c r="D53" s="10" t="n">
        <v>6</v>
      </c>
      <c r="E53" s="10" t="n">
        <v>11</v>
      </c>
      <c r="F53" s="10" t="inlineStr">
        <is>
          <t>None</t>
        </is>
      </c>
    </row>
    <row r="54">
      <c r="B54" s="16" t="n"/>
      <c r="C54" s="16" t="n"/>
      <c r="D54" s="16" t="n"/>
      <c r="E54" s="16" t="n">
        <v>12</v>
      </c>
      <c r="F54" s="16" t="inlineStr">
        <is>
          <t>NS</t>
        </is>
      </c>
      <c r="G54" s="15" t="n"/>
      <c r="H54" s="15" t="n"/>
      <c r="I54" s="15" t="n"/>
      <c r="J54" s="15" t="n"/>
      <c r="K54" s="15" t="n"/>
      <c r="L54" s="15" t="n"/>
    </row>
    <row r="55">
      <c r="B55" s="10" t="n">
        <v>2</v>
      </c>
      <c r="C55" s="10" t="n">
        <v>5</v>
      </c>
      <c r="D55" s="10" t="n">
        <v>4</v>
      </c>
      <c r="E55" s="10" t="n">
        <v>13</v>
      </c>
      <c r="F55" s="10" t="inlineStr">
        <is>
          <t>Both</t>
        </is>
      </c>
    </row>
    <row r="56">
      <c r="B56" s="16" t="n"/>
      <c r="C56" s="16" t="n"/>
      <c r="D56" s="16" t="n"/>
      <c r="E56" s="16" t="n">
        <v>14</v>
      </c>
      <c r="F56" s="16" t="inlineStr">
        <is>
          <t>None</t>
        </is>
      </c>
      <c r="G56" s="15" t="n"/>
      <c r="H56" s="15" t="n"/>
      <c r="I56" s="15" t="n"/>
      <c r="J56" s="15" t="n"/>
      <c r="K56" s="15" t="n"/>
      <c r="L56" s="15" t="n"/>
    </row>
    <row r="57">
      <c r="B57" s="10" t="n">
        <v>3</v>
      </c>
      <c r="C57" s="10" t="n">
        <v>2</v>
      </c>
      <c r="D57" s="10" t="n">
        <v>9</v>
      </c>
      <c r="E57" s="10" t="n">
        <v>15</v>
      </c>
      <c r="F57" s="10" t="inlineStr">
        <is>
          <t>NS</t>
        </is>
      </c>
    </row>
    <row r="58">
      <c r="B58" s="16" t="n"/>
      <c r="C58" s="16" t="n"/>
      <c r="D58" s="16" t="n"/>
      <c r="E58" s="16" t="n">
        <v>16</v>
      </c>
      <c r="F58" s="16" t="inlineStr">
        <is>
          <t>EW</t>
        </is>
      </c>
      <c r="G58" s="15" t="n"/>
      <c r="H58" s="15" t="n"/>
      <c r="I58" s="15" t="n"/>
      <c r="J58" s="15" t="n"/>
      <c r="K58" s="15" t="n"/>
      <c r="L58" s="15" t="n"/>
    </row>
    <row r="59">
      <c r="B59" s="10" t="n">
        <v>4</v>
      </c>
      <c r="C59" s="10" t="n">
        <v>8</v>
      </c>
      <c r="D59" s="10" t="n">
        <v>3</v>
      </c>
      <c r="E59" s="10" t="n">
        <v>7</v>
      </c>
      <c r="F59" s="10" t="inlineStr">
        <is>
          <t>Both</t>
        </is>
      </c>
    </row>
    <row r="60">
      <c r="B60" s="16" t="n"/>
      <c r="C60" s="16" t="n"/>
      <c r="D60" s="16" t="n"/>
      <c r="E60" s="16" t="n">
        <v>8</v>
      </c>
      <c r="F60" s="16" t="inlineStr">
        <is>
          <t>None</t>
        </is>
      </c>
      <c r="G60" s="15" t="n"/>
      <c r="H60" s="15" t="n"/>
      <c r="I60" s="15" t="n"/>
      <c r="J60" s="15" t="n"/>
      <c r="K60" s="15" t="n"/>
      <c r="L60" s="15" t="n"/>
    </row>
    <row r="61">
      <c r="B61" s="10" t="n">
        <v>5</v>
      </c>
      <c r="C61" s="10" t="n">
        <v>1</v>
      </c>
      <c r="D61" s="10" t="n">
        <v>7</v>
      </c>
      <c r="E61" s="10" t="n">
        <v>9</v>
      </c>
      <c r="F61" s="10" t="inlineStr">
        <is>
          <t>EW</t>
        </is>
      </c>
    </row>
    <row r="62">
      <c r="A62" s="15" t="n"/>
      <c r="B62" s="16" t="n"/>
      <c r="C62" s="16" t="n"/>
      <c r="D62" s="16" t="n"/>
      <c r="E62" s="16" t="n">
        <v>10</v>
      </c>
      <c r="F62" s="16" t="inlineStr">
        <is>
          <t>Both</t>
        </is>
      </c>
      <c r="G62" s="15" t="n"/>
      <c r="H62" s="15" t="n"/>
      <c r="I62" s="15" t="n"/>
      <c r="J62" s="15" t="n"/>
      <c r="K62" s="15" t="n"/>
      <c r="L62" s="15" t="n"/>
    </row>
    <row r="63">
      <c r="A63" s="10" t="n">
        <v>7</v>
      </c>
      <c r="B63" s="10" t="n">
        <v>1</v>
      </c>
      <c r="C63" s="10" t="inlineStr">
        <is>
          <t>Sit-Out</t>
        </is>
      </c>
      <c r="D63" s="10" t="n">
        <v>7</v>
      </c>
      <c r="E63" s="10" t="n">
        <v>13</v>
      </c>
      <c r="F63" s="10" t="inlineStr">
        <is>
          <t>Both</t>
        </is>
      </c>
    </row>
    <row r="64">
      <c r="B64" s="16" t="n"/>
      <c r="C64" s="16" t="n"/>
      <c r="D64" s="16" t="n"/>
      <c r="E64" s="16" t="n">
        <v>14</v>
      </c>
      <c r="F64" s="16" t="inlineStr">
        <is>
          <t>None</t>
        </is>
      </c>
      <c r="G64" s="15" t="n"/>
      <c r="H64" s="15" t="n"/>
      <c r="I64" s="15" t="n"/>
      <c r="J64" s="15" t="n"/>
      <c r="K64" s="15" t="n"/>
      <c r="L64" s="15" t="n"/>
    </row>
    <row r="65">
      <c r="B65" s="10" t="n">
        <v>2</v>
      </c>
      <c r="C65" s="10" t="n">
        <v>6</v>
      </c>
      <c r="D65" s="10" t="n">
        <v>5</v>
      </c>
      <c r="E65" s="10" t="n">
        <v>15</v>
      </c>
      <c r="F65" s="10" t="inlineStr">
        <is>
          <t>NS</t>
        </is>
      </c>
    </row>
    <row r="66">
      <c r="B66" s="16" t="n"/>
      <c r="C66" s="16" t="n"/>
      <c r="D66" s="16" t="n"/>
      <c r="E66" s="16" t="n">
        <v>16</v>
      </c>
      <c r="F66" s="16" t="inlineStr">
        <is>
          <t>EW</t>
        </is>
      </c>
      <c r="G66" s="15" t="n"/>
      <c r="H66" s="15" t="n"/>
      <c r="I66" s="15" t="n"/>
      <c r="J66" s="15" t="n"/>
      <c r="K66" s="15" t="n"/>
      <c r="L66" s="15" t="n"/>
    </row>
    <row r="67">
      <c r="B67" s="10" t="n">
        <v>3</v>
      </c>
      <c r="C67" s="10" t="n">
        <v>3</v>
      </c>
      <c r="D67" s="10" t="n">
        <v>1</v>
      </c>
      <c r="E67" s="10" t="n">
        <v>17</v>
      </c>
      <c r="F67" s="10" t="inlineStr">
        <is>
          <t>None</t>
        </is>
      </c>
    </row>
    <row r="68">
      <c r="B68" s="16" t="n"/>
      <c r="C68" s="16" t="n"/>
      <c r="D68" s="16" t="n"/>
      <c r="E68" s="16" t="n">
        <v>18</v>
      </c>
      <c r="F68" s="16" t="inlineStr">
        <is>
          <t>NS</t>
        </is>
      </c>
      <c r="G68" s="15" t="n"/>
      <c r="H68" s="15" t="n"/>
      <c r="I68" s="15" t="n"/>
      <c r="J68" s="15" t="n"/>
      <c r="K68" s="15" t="n"/>
      <c r="L68" s="15" t="n"/>
    </row>
    <row r="69">
      <c r="B69" s="10" t="n">
        <v>4</v>
      </c>
      <c r="C69" s="10" t="n">
        <v>9</v>
      </c>
      <c r="D69" s="10" t="n">
        <v>4</v>
      </c>
      <c r="E69" s="10" t="n">
        <v>9</v>
      </c>
      <c r="F69" s="10" t="inlineStr">
        <is>
          <t>EW</t>
        </is>
      </c>
    </row>
    <row r="70">
      <c r="B70" s="16" t="n"/>
      <c r="C70" s="16" t="n"/>
      <c r="D70" s="16" t="n"/>
      <c r="E70" s="16" t="n">
        <v>10</v>
      </c>
      <c r="F70" s="16" t="inlineStr">
        <is>
          <t>Both</t>
        </is>
      </c>
      <c r="G70" s="15" t="n"/>
      <c r="H70" s="15" t="n"/>
      <c r="I70" s="15" t="n"/>
      <c r="J70" s="15" t="n"/>
      <c r="K70" s="15" t="n"/>
      <c r="L70" s="15" t="n"/>
    </row>
    <row r="71">
      <c r="B71" s="10" t="n">
        <v>5</v>
      </c>
      <c r="C71" s="10" t="n">
        <v>2</v>
      </c>
      <c r="D71" s="10" t="n">
        <v>8</v>
      </c>
      <c r="E71" s="10" t="n">
        <v>11</v>
      </c>
      <c r="F71" s="10" t="inlineStr">
        <is>
          <t>None</t>
        </is>
      </c>
    </row>
    <row r="72">
      <c r="A72" s="15" t="n"/>
      <c r="B72" s="16" t="n"/>
      <c r="C72" s="16" t="n"/>
      <c r="D72" s="16" t="n"/>
      <c r="E72" s="16" t="n">
        <v>12</v>
      </c>
      <c r="F72" s="16" t="inlineStr">
        <is>
          <t>NS</t>
        </is>
      </c>
      <c r="G72" s="15" t="n"/>
      <c r="H72" s="15" t="n"/>
      <c r="I72" s="15" t="n"/>
      <c r="J72" s="15" t="n"/>
      <c r="K72" s="15" t="n"/>
      <c r="L72" s="15" t="n"/>
    </row>
    <row r="73">
      <c r="A73" s="10" t="n">
        <v>8</v>
      </c>
      <c r="B73" s="10" t="n">
        <v>1</v>
      </c>
      <c r="C73" s="10" t="inlineStr">
        <is>
          <t>Sit-Out</t>
        </is>
      </c>
      <c r="D73" s="10" t="n">
        <v>8</v>
      </c>
      <c r="E73" s="10" t="n">
        <v>15</v>
      </c>
      <c r="F73" s="10" t="inlineStr">
        <is>
          <t>NS</t>
        </is>
      </c>
    </row>
    <row r="74">
      <c r="B74" s="16" t="n"/>
      <c r="C74" s="16" t="n"/>
      <c r="D74" s="16" t="n"/>
      <c r="E74" s="16" t="n">
        <v>16</v>
      </c>
      <c r="F74" s="16" t="inlineStr">
        <is>
          <t>EW</t>
        </is>
      </c>
      <c r="G74" s="15" t="n"/>
      <c r="H74" s="15" t="n"/>
      <c r="I74" s="15" t="n"/>
      <c r="J74" s="15" t="n"/>
      <c r="K74" s="15" t="n"/>
      <c r="L74" s="15" t="n"/>
    </row>
    <row r="75">
      <c r="B75" s="10" t="n">
        <v>2</v>
      </c>
      <c r="C75" s="10" t="n">
        <v>7</v>
      </c>
      <c r="D75" s="10" t="n">
        <v>6</v>
      </c>
      <c r="E75" s="10" t="n">
        <v>17</v>
      </c>
      <c r="F75" s="10" t="inlineStr">
        <is>
          <t>None</t>
        </is>
      </c>
    </row>
    <row r="76">
      <c r="B76" s="16" t="n"/>
      <c r="C76" s="16" t="n"/>
      <c r="D76" s="16" t="n"/>
      <c r="E76" s="16" t="n">
        <v>18</v>
      </c>
      <c r="F76" s="16" t="inlineStr">
        <is>
          <t>NS</t>
        </is>
      </c>
      <c r="G76" s="15" t="n"/>
      <c r="H76" s="15" t="n"/>
      <c r="I76" s="15" t="n"/>
      <c r="J76" s="15" t="n"/>
      <c r="K76" s="15" t="n"/>
      <c r="L76" s="15" t="n"/>
    </row>
    <row r="77">
      <c r="B77" s="10" t="n">
        <v>3</v>
      </c>
      <c r="C77" s="10" t="n">
        <v>4</v>
      </c>
      <c r="D77" s="10" t="n">
        <v>2</v>
      </c>
      <c r="E77" s="10" t="n">
        <v>1</v>
      </c>
      <c r="F77" s="10" t="inlineStr">
        <is>
          <t>None</t>
        </is>
      </c>
    </row>
    <row r="78">
      <c r="B78" s="16" t="n"/>
      <c r="C78" s="16" t="n"/>
      <c r="D78" s="16" t="n"/>
      <c r="E78" s="16" t="n">
        <v>2</v>
      </c>
      <c r="F78" s="16" t="inlineStr">
        <is>
          <t>NS</t>
        </is>
      </c>
      <c r="G78" s="15" t="n"/>
      <c r="H78" s="15" t="n"/>
      <c r="I78" s="15" t="n"/>
      <c r="J78" s="15" t="n"/>
      <c r="K78" s="15" t="n"/>
      <c r="L78" s="15" t="n"/>
    </row>
    <row r="79">
      <c r="B79" s="10" t="n">
        <v>4</v>
      </c>
      <c r="C79" s="10" t="n">
        <v>1</v>
      </c>
      <c r="D79" s="10" t="n">
        <v>5</v>
      </c>
      <c r="E79" s="10" t="n">
        <v>11</v>
      </c>
      <c r="F79" s="10" t="inlineStr">
        <is>
          <t>None</t>
        </is>
      </c>
    </row>
    <row r="80">
      <c r="B80" s="16" t="n"/>
      <c r="C80" s="16" t="n"/>
      <c r="D80" s="16" t="n"/>
      <c r="E80" s="16" t="n">
        <v>12</v>
      </c>
      <c r="F80" s="16" t="inlineStr">
        <is>
          <t>NS</t>
        </is>
      </c>
      <c r="G80" s="15" t="n"/>
      <c r="H80" s="15" t="n"/>
      <c r="I80" s="15" t="n"/>
      <c r="J80" s="15" t="n"/>
      <c r="K80" s="15" t="n"/>
      <c r="L80" s="15" t="n"/>
    </row>
    <row r="81">
      <c r="B81" s="10" t="n">
        <v>5</v>
      </c>
      <c r="C81" s="10" t="n">
        <v>3</v>
      </c>
      <c r="D81" s="10" t="n">
        <v>9</v>
      </c>
      <c r="E81" s="10" t="n">
        <v>13</v>
      </c>
      <c r="F81" s="10" t="inlineStr">
        <is>
          <t>Both</t>
        </is>
      </c>
    </row>
    <row r="82">
      <c r="A82" s="15" t="n"/>
      <c r="B82" s="16" t="n"/>
      <c r="C82" s="16" t="n"/>
      <c r="D82" s="16" t="n"/>
      <c r="E82" s="16" t="n">
        <v>14</v>
      </c>
      <c r="F82" s="16" t="inlineStr">
        <is>
          <t>None</t>
        </is>
      </c>
      <c r="G82" s="15" t="n"/>
      <c r="H82" s="15" t="n"/>
      <c r="I82" s="15" t="n"/>
      <c r="J82" s="15" t="n"/>
      <c r="K82" s="15" t="n"/>
      <c r="L82" s="15" t="n"/>
    </row>
    <row r="83">
      <c r="A83" s="10" t="n">
        <v>9</v>
      </c>
      <c r="B83" s="10" t="n">
        <v>1</v>
      </c>
      <c r="C83" s="10" t="inlineStr">
        <is>
          <t>Sit-Out</t>
        </is>
      </c>
      <c r="D83" s="10" t="n">
        <v>9</v>
      </c>
      <c r="E83" s="10" t="n">
        <v>17</v>
      </c>
      <c r="F83" s="10" t="inlineStr">
        <is>
          <t>None</t>
        </is>
      </c>
    </row>
    <row r="84">
      <c r="B84" s="16" t="n"/>
      <c r="C84" s="16" t="n"/>
      <c r="D84" s="16" t="n"/>
      <c r="E84" s="16" t="n">
        <v>18</v>
      </c>
      <c r="F84" s="16" t="inlineStr">
        <is>
          <t>NS</t>
        </is>
      </c>
      <c r="G84" s="15" t="n"/>
      <c r="H84" s="15" t="n"/>
      <c r="I84" s="15" t="n"/>
      <c r="J84" s="15" t="n"/>
      <c r="K84" s="15" t="n"/>
      <c r="L84" s="15" t="n"/>
    </row>
    <row r="85">
      <c r="B85" s="10" t="n">
        <v>2</v>
      </c>
      <c r="C85" s="10" t="n">
        <v>8</v>
      </c>
      <c r="D85" s="10" t="n">
        <v>7</v>
      </c>
      <c r="E85" s="10" t="n">
        <v>1</v>
      </c>
      <c r="F85" s="10" t="inlineStr">
        <is>
          <t>None</t>
        </is>
      </c>
    </row>
    <row r="86">
      <c r="B86" s="16" t="n"/>
      <c r="C86" s="16" t="n"/>
      <c r="D86" s="16" t="n"/>
      <c r="E86" s="16" t="n">
        <v>2</v>
      </c>
      <c r="F86" s="16" t="inlineStr">
        <is>
          <t>NS</t>
        </is>
      </c>
      <c r="G86" s="15" t="n"/>
      <c r="H86" s="15" t="n"/>
      <c r="I86" s="15" t="n"/>
      <c r="J86" s="15" t="n"/>
      <c r="K86" s="15" t="n"/>
      <c r="L86" s="15" t="n"/>
    </row>
    <row r="87">
      <c r="B87" s="10" t="n">
        <v>3</v>
      </c>
      <c r="C87" s="10" t="n">
        <v>5</v>
      </c>
      <c r="D87" s="10" t="n">
        <v>3</v>
      </c>
      <c r="E87" s="10" t="n">
        <v>3</v>
      </c>
      <c r="F87" s="10" t="inlineStr">
        <is>
          <t>EW</t>
        </is>
      </c>
    </row>
    <row r="88">
      <c r="B88" s="16" t="n"/>
      <c r="C88" s="16" t="n"/>
      <c r="D88" s="16" t="n"/>
      <c r="E88" s="16" t="n">
        <v>4</v>
      </c>
      <c r="F88" s="16" t="inlineStr">
        <is>
          <t>Both</t>
        </is>
      </c>
      <c r="G88" s="15" t="n"/>
      <c r="H88" s="15" t="n"/>
      <c r="I88" s="15" t="n"/>
      <c r="J88" s="15" t="n"/>
      <c r="K88" s="15" t="n"/>
      <c r="L88" s="15" t="n"/>
    </row>
    <row r="89">
      <c r="B89" s="10" t="n">
        <v>4</v>
      </c>
      <c r="C89" s="10" t="n">
        <v>2</v>
      </c>
      <c r="D89" s="10" t="n">
        <v>6</v>
      </c>
      <c r="E89" s="10" t="n">
        <v>13</v>
      </c>
      <c r="F89" s="10" t="inlineStr">
        <is>
          <t>Both</t>
        </is>
      </c>
    </row>
    <row r="90">
      <c r="B90" s="16" t="n"/>
      <c r="C90" s="16" t="n"/>
      <c r="D90" s="16" t="n"/>
      <c r="E90" s="16" t="n">
        <v>14</v>
      </c>
      <c r="F90" s="16" t="inlineStr">
        <is>
          <t>None</t>
        </is>
      </c>
      <c r="G90" s="15" t="n"/>
      <c r="H90" s="15" t="n"/>
      <c r="I90" s="15" t="n"/>
      <c r="J90" s="15" t="n"/>
      <c r="K90" s="15" t="n"/>
      <c r="L90" s="15" t="n"/>
    </row>
    <row r="91">
      <c r="B91" s="10" t="n">
        <v>5</v>
      </c>
      <c r="C91" s="10" t="n">
        <v>4</v>
      </c>
      <c r="D91" s="10" t="n">
        <v>1</v>
      </c>
      <c r="E91" s="10" t="n">
        <v>15</v>
      </c>
      <c r="F91" s="10" t="inlineStr">
        <is>
          <t>NS</t>
        </is>
      </c>
    </row>
    <row r="92">
      <c r="A92" s="15" t="n"/>
      <c r="B92" s="16" t="n"/>
      <c r="C92" s="16" t="n"/>
      <c r="D92" s="16" t="n"/>
      <c r="E92" s="16" t="n">
        <v>16</v>
      </c>
      <c r="F92" s="16" t="inlineStr">
        <is>
          <t>EW</t>
        </is>
      </c>
      <c r="G92" s="15" t="n"/>
      <c r="H92" s="15" t="n"/>
      <c r="I92" s="15" t="n"/>
      <c r="J92" s="15" t="n"/>
      <c r="K92" s="15" t="n"/>
      <c r="L92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2026-03-08T17:16:03Z</dcterms:created>
  <dcterms:modified xsi:type="dcterms:W3CDTF">2026-03-08T17:16:04Z</dcterms:modified>
</cp:coreProperties>
</file>