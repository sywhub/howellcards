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9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22</t>
        </is>
      </c>
      <c r="C2" t="inlineStr">
        <is>
          <t>Name 63</t>
        </is>
      </c>
      <c r="D2" s="4">
        <f>SUMIF('By Board'!$D$3:$D$82,"=1",'By Board'!$L$3:$L$82)+SUMIF('By Board'!$E$3:$E$82,"=1",'By Board'!$M$3:$M$82)</f>
        <v/>
      </c>
      <c r="E2" s="5">
        <f>SUMIF('By Board'!$D$3:$D$82,"=1",'By Board'!$N$3:$N$82)/16+SUMIF('By Board'!$E$3:$E$82,"=1",'By Board'!$O$3:$O$82)/16</f>
        <v/>
      </c>
    </row>
    <row r="3">
      <c r="A3" t="n">
        <v>2</v>
      </c>
      <c r="B3" t="inlineStr">
        <is>
          <t>Name 38</t>
        </is>
      </c>
      <c r="C3" t="inlineStr">
        <is>
          <t>Name 88</t>
        </is>
      </c>
      <c r="D3" s="4">
        <f>SUMIF('By Board'!$D$3:$D$82,"=2",'By Board'!$L$3:$L$82)+SUMIF('By Board'!$E$3:$E$82,"=2",'By Board'!$M$3:$M$82)</f>
        <v/>
      </c>
      <c r="E3" s="5">
        <f>SUMIF('By Board'!$D$3:$D$82,"=2",'By Board'!$N$3:$N$82)/16+SUMIF('By Board'!$E$3:$E$82,"=2",'By Board'!$O$3:$O$82)/16</f>
        <v/>
      </c>
    </row>
    <row r="4">
      <c r="A4" t="n">
        <v>3</v>
      </c>
      <c r="B4" t="inlineStr">
        <is>
          <t>Name 18</t>
        </is>
      </c>
      <c r="C4" t="inlineStr">
        <is>
          <t>Name 83</t>
        </is>
      </c>
      <c r="D4" s="4">
        <f>SUMIF('By Board'!$D$3:$D$82,"=3",'By Board'!$L$3:$L$82)+SUMIF('By Board'!$E$3:$E$82,"=3",'By Board'!$M$3:$M$82)</f>
        <v/>
      </c>
      <c r="E4" s="5">
        <f>SUMIF('By Board'!$D$3:$D$82,"=3",'By Board'!$N$3:$N$82)/16+SUMIF('By Board'!$E$3:$E$82,"=3",'By Board'!$O$3:$O$82)/16</f>
        <v/>
      </c>
    </row>
    <row r="5">
      <c r="A5" t="n">
        <v>4</v>
      </c>
      <c r="B5" t="inlineStr">
        <is>
          <t>Name 42</t>
        </is>
      </c>
      <c r="C5" t="inlineStr">
        <is>
          <t>Name 76</t>
        </is>
      </c>
      <c r="D5" s="4">
        <f>SUMIF('By Board'!$D$3:$D$82,"=4",'By Board'!$L$3:$L$82)+SUMIF('By Board'!$E$3:$E$82,"=4",'By Board'!$M$3:$M$82)</f>
        <v/>
      </c>
      <c r="E5" s="5">
        <f>SUMIF('By Board'!$D$3:$D$82,"=4",'By Board'!$N$3:$N$82)/16+SUMIF('By Board'!$E$3:$E$82,"=4",'By Board'!$O$3:$O$82)/16</f>
        <v/>
      </c>
    </row>
    <row r="6">
      <c r="A6" t="n">
        <v>5</v>
      </c>
      <c r="B6" t="inlineStr">
        <is>
          <t>Name 88</t>
        </is>
      </c>
      <c r="C6" t="inlineStr">
        <is>
          <t>Name 74</t>
        </is>
      </c>
      <c r="D6" s="4">
        <f>SUMIF('By Board'!$D$3:$D$82,"=5",'By Board'!$L$3:$L$82)+SUMIF('By Board'!$E$3:$E$82,"=5",'By Board'!$M$3:$M$82)</f>
        <v/>
      </c>
      <c r="E6" s="5">
        <f>SUMIF('By Board'!$D$3:$D$82,"=5",'By Board'!$N$3:$N$82)/16+SUMIF('By Board'!$E$3:$E$82,"=5",'By Board'!$O$3:$O$82)/16</f>
        <v/>
      </c>
    </row>
    <row r="7">
      <c r="A7" t="n">
        <v>6</v>
      </c>
      <c r="B7" t="inlineStr">
        <is>
          <t>Name 78</t>
        </is>
      </c>
      <c r="C7" t="inlineStr">
        <is>
          <t>Name 77</t>
        </is>
      </c>
      <c r="D7" s="4">
        <f>SUMIF('By Board'!$D$3:$D$82,"=6",'By Board'!$L$3:$L$82)+SUMIF('By Board'!$E$3:$E$82,"=6",'By Board'!$M$3:$M$82)</f>
        <v/>
      </c>
      <c r="E7" s="5">
        <f>SUMIF('By Board'!$D$3:$D$82,"=6",'By Board'!$N$3:$N$82)/16+SUMIF('By Board'!$E$3:$E$82,"=6",'By Board'!$O$3:$O$82)/16</f>
        <v/>
      </c>
    </row>
    <row r="8">
      <c r="A8" t="n">
        <v>7</v>
      </c>
      <c r="B8" t="inlineStr">
        <is>
          <t>Name 85</t>
        </is>
      </c>
      <c r="C8" t="inlineStr">
        <is>
          <t>Name 81</t>
        </is>
      </c>
      <c r="D8" s="4">
        <f>SUMIF('By Board'!$D$3:$D$82,"=7",'By Board'!$L$3:$L$82)+SUMIF('By Board'!$E$3:$E$82,"=7",'By Board'!$M$3:$M$82)</f>
        <v/>
      </c>
      <c r="E8" s="5">
        <f>SUMIF('By Board'!$D$3:$D$82,"=7",'By Board'!$N$3:$N$82)/16+SUMIF('By Board'!$E$3:$E$82,"=7",'By Board'!$O$3:$O$82)/16</f>
        <v/>
      </c>
    </row>
    <row r="9">
      <c r="A9" t="n">
        <v>8</v>
      </c>
      <c r="B9" t="inlineStr">
        <is>
          <t>Name 36</t>
        </is>
      </c>
      <c r="C9" t="inlineStr">
        <is>
          <t>Name 54</t>
        </is>
      </c>
      <c r="D9" s="4">
        <f>SUMIF('By Board'!$D$3:$D$82,"=8",'By Board'!$L$3:$L$82)+SUMIF('By Board'!$E$3:$E$82,"=8",'By Board'!$M$3:$M$82)</f>
        <v/>
      </c>
      <c r="E9" s="5">
        <f>SUMIF('By Board'!$D$3:$D$82,"=8",'By Board'!$N$3:$N$82)/16+SUMIF('By Board'!$E$3:$E$82,"=8",'By Board'!$O$3:$O$82)/16</f>
        <v/>
      </c>
    </row>
    <row r="10">
      <c r="A10" t="n">
        <v>9</v>
      </c>
      <c r="B10" t="inlineStr">
        <is>
          <t>Name 60</t>
        </is>
      </c>
      <c r="C10" t="inlineStr">
        <is>
          <t>Name 68</t>
        </is>
      </c>
      <c r="D10" s="4">
        <f>SUMIF('By Board'!$D$3:$D$82,"=9",'By Board'!$L$3:$L$82)+SUMIF('By Board'!$E$3:$E$82,"=9",'By Board'!$M$3:$M$82)</f>
        <v/>
      </c>
      <c r="E10" s="5">
        <f>SUMIF('By Board'!$D$3:$D$82,"=9",'By Board'!$N$3:$N$82)/16+SUMIF('By Board'!$E$3:$E$82,"=9",'By Board'!$O$3:$O$82)/16</f>
        <v/>
      </c>
    </row>
    <row r="11">
      <c r="D11" s="6">
        <f>SUM(D2:D10)</f>
        <v/>
      </c>
      <c r="E11" s="7">
        <f>AVERAGE(E2:E10)</f>
        <v/>
      </c>
    </row>
    <row r="13">
      <c r="A13" t="inlineStr">
        <is>
          <t>Array Formula below, remove single quote</t>
        </is>
      </c>
    </row>
    <row r="14">
      <c r="A14" s="3" t="inlineStr">
        <is>
          <t>IMP Ranking</t>
        </is>
      </c>
    </row>
    <row r="15">
      <c r="A15" t="inlineStr">
        <is>
          <t>'=SORT(A2:E10,4,-1)</t>
        </is>
      </c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8">
      <c r="A28" s="3" t="inlineStr">
        <is>
          <t>MP Ranking</t>
        </is>
      </c>
    </row>
    <row r="29">
      <c r="A29" t="inlineStr">
        <is>
          <t>'=SORT(A2:E10,5,-1)</t>
        </is>
      </c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</sheetData>
  <mergeCells count="2">
    <mergeCell ref="A28:E28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X2" s="3" t="inlineStr">
        <is>
          <t>EW MP Scores</t>
        </is>
      </c>
      <c r="AB2" s="10" t="inlineStr">
        <is>
          <t>NS IMP Pair-wise</t>
        </is>
      </c>
      <c r="AF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4">
        <f>SUM(T3:W3)</f>
        <v/>
      </c>
      <c r="Q3" s="4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4">
        <f>SUM(T4:W4)</f>
        <v/>
      </c>
      <c r="Q4" s="4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4">
        <f>SUM(T5:W5)</f>
        <v/>
      </c>
      <c r="Q5" s="4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4">
        <f>SUM(T6:W6)</f>
        <v/>
      </c>
      <c r="Q6" s="4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4">
        <f>SUM(T8:W8)</f>
        <v/>
      </c>
      <c r="Q8" s="4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4">
        <f>SUM(T9:W9)</f>
        <v/>
      </c>
      <c r="Q9" s="4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4">
        <f>SUM(T10:W10)</f>
        <v/>
      </c>
      <c r="Q10" s="4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4">
        <f>SUM(T11:W11)</f>
        <v/>
      </c>
      <c r="Q11" s="4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4">
        <f>SUM(T13:W13)</f>
        <v/>
      </c>
      <c r="Q13" s="4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4">
        <f>SUM(T14:W14)</f>
        <v/>
      </c>
      <c r="Q14" s="4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4">
        <f>SUM(T15:W15)</f>
        <v/>
      </c>
      <c r="Q15" s="4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4">
        <f>SUM(T16:W16)</f>
        <v/>
      </c>
      <c r="Q16" s="4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4">
        <f>SUM(T18:W18)</f>
        <v/>
      </c>
      <c r="Q18" s="4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4">
        <f>SUM(T19:W19)</f>
        <v/>
      </c>
      <c r="Q19" s="4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4">
        <f>SUM(T20:W20)</f>
        <v/>
      </c>
      <c r="Q20" s="4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4">
        <f>SUM(T21:W21)</f>
        <v/>
      </c>
      <c r="Q21" s="4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4">
        <f>SUM(T23:W23)</f>
        <v/>
      </c>
      <c r="Q23" s="4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4">
        <f>SUM(T24:W24)</f>
        <v/>
      </c>
      <c r="Q24" s="4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4">
        <f>SUM(T25:W25)</f>
        <v/>
      </c>
      <c r="Q25" s="4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4">
        <f>SUM(T26:W26)</f>
        <v/>
      </c>
      <c r="Q26" s="4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4">
        <f>SUM(T28:W28)</f>
        <v/>
      </c>
      <c r="Q28" s="4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4">
        <f>SUM(T29:W29)</f>
        <v/>
      </c>
      <c r="Q29" s="4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4">
        <f>SUM(T30:W30)</f>
        <v/>
      </c>
      <c r="Q30" s="4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4">
        <f>SUM(T31:W31)</f>
        <v/>
      </c>
      <c r="Q31" s="4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4">
        <f>SUM(T33:W33)</f>
        <v/>
      </c>
      <c r="Q33" s="4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4">
        <f>SUM(T34:W34)</f>
        <v/>
      </c>
      <c r="Q34" s="4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4">
        <f>SUM(T35:W35)</f>
        <v/>
      </c>
      <c r="Q35" s="4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4">
        <f>SUM(T36:W36)</f>
        <v/>
      </c>
      <c r="Q36" s="4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4">
        <f>SUM(T38:W38)</f>
        <v/>
      </c>
      <c r="Q38" s="4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4">
        <f>SUM(T39:W39)</f>
        <v/>
      </c>
      <c r="Q39" s="4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4">
        <f>SUM(T40:W40)</f>
        <v/>
      </c>
      <c r="Q40" s="4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4">
        <f>SUM(T41:W41)</f>
        <v/>
      </c>
      <c r="Q41" s="4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4">
        <f>SUM(T43:W43)</f>
        <v/>
      </c>
      <c r="Q43" s="4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4">
        <f>SUM(T44:W44)</f>
        <v/>
      </c>
      <c r="Q44" s="4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4">
        <f>SUM(T45:W45)</f>
        <v/>
      </c>
      <c r="Q45" s="4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4">
        <f>SUM(T46:W46)</f>
        <v/>
      </c>
      <c r="Q46" s="4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4">
        <f>SUM(T48:W48)</f>
        <v/>
      </c>
      <c r="Q48" s="4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4">
        <f>SUM(T49:W49)</f>
        <v/>
      </c>
      <c r="Q49" s="4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4">
        <f>SUM(T50:W50)</f>
        <v/>
      </c>
      <c r="Q50" s="4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4">
        <f>SUM(T51:W51)</f>
        <v/>
      </c>
      <c r="Q51" s="4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4">
        <f>SUM(T53:W53)</f>
        <v/>
      </c>
      <c r="Q53" s="4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4">
        <f>SUM(T54:W54)</f>
        <v/>
      </c>
      <c r="Q54" s="4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4">
        <f>SUM(T55:W55)</f>
        <v/>
      </c>
      <c r="Q55" s="4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4">
        <f>SUM(T56:W56)</f>
        <v/>
      </c>
      <c r="Q56" s="4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4">
        <f>SUM(T58:W58)</f>
        <v/>
      </c>
      <c r="Q58" s="4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4">
        <f>SUM(T59:W59)</f>
        <v/>
      </c>
      <c r="Q59" s="4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4">
        <f>SUM(T60:W60)</f>
        <v/>
      </c>
      <c r="Q60" s="4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4">
        <f>SUM(T61:W61)</f>
        <v/>
      </c>
      <c r="Q61" s="4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4">
        <f>SUM(T63:W63)</f>
        <v/>
      </c>
      <c r="Q63" s="4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4">
        <f>SUM(T64:W64)</f>
        <v/>
      </c>
      <c r="Q64" s="4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4">
        <f>SUM(T65:W65)</f>
        <v/>
      </c>
      <c r="Q65" s="4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4">
        <f>SUM(T66:W66)</f>
        <v/>
      </c>
      <c r="Q66" s="4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4">
        <f>SUM(T68:W68)</f>
        <v/>
      </c>
      <c r="Q68" s="4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4">
        <f>SUM(T69:W69)</f>
        <v/>
      </c>
      <c r="Q69" s="4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4">
        <f>SUM(T70:W70)</f>
        <v/>
      </c>
      <c r="Q70" s="4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4">
        <f>SUM(T71:W71)</f>
        <v/>
      </c>
      <c r="Q71" s="4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4">
        <f>SUM(T73:W73)</f>
        <v/>
      </c>
      <c r="Q73" s="4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4">
        <f>SUM(T74:W74)</f>
        <v/>
      </c>
      <c r="Q74" s="4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4">
        <f>SUM(T75:W75)</f>
        <v/>
      </c>
      <c r="Q75" s="4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4">
        <f>SUM(T76:W76)</f>
        <v/>
      </c>
      <c r="Q76" s="4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4">
        <f>SUM(T78:W78)</f>
        <v/>
      </c>
      <c r="Q78" s="4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4">
        <f>SUM(T79:W79)</f>
        <v/>
      </c>
      <c r="Q79" s="4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4">
        <f>SUM(T80:W80)</f>
        <v/>
      </c>
      <c r="Q80" s="4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4">
        <f>SUM(T81:W81)</f>
        <v/>
      </c>
      <c r="Q81" s="4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4">
        <f>SUM(T83:W83)</f>
        <v/>
      </c>
      <c r="Q83" s="4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4">
        <f>SUM(T84:W84)</f>
        <v/>
      </c>
      <c r="Q84" s="4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4">
        <f>SUM(T85:W85)</f>
        <v/>
      </c>
      <c r="Q85" s="4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4">
        <f>SUM(T86:W86)</f>
        <v/>
      </c>
      <c r="Q86" s="4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4">
        <f>SUM(T88:W88)</f>
        <v/>
      </c>
      <c r="Q88" s="4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4">
        <f>SUM(T89:W89)</f>
        <v/>
      </c>
      <c r="Q89" s="4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4">
        <f>SUM(T90:W90)</f>
        <v/>
      </c>
      <c r="Q90" s="4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4">
        <f>SUM(T91:W91)</f>
        <v/>
      </c>
      <c r="Q91" s="4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2026-02-02T17:46:16Z</dcterms:created>
  <dcterms:modified xsi:type="dcterms:W3CDTF">2026-02-02T17:46:16Z</dcterms:modified>
</cp:coreProperties>
</file>