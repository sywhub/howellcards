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1</v>
      </c>
      <c r="B9" t="inlineStr">
        <is>
          <t>Name 50</t>
        </is>
      </c>
      <c r="C9" t="inlineStr">
        <is>
          <t>Name 43</t>
        </is>
      </c>
      <c r="D9" s="6">
        <f>SUMIF('By Board'!D3:D78,"="&amp;A9,'By Board'!N3:N78)/15</f>
        <v/>
      </c>
      <c r="E9" s="7">
        <f>SUMIF('By Board'!D3:D78,"="&amp;A9,'By Board'!L3:L78)</f>
        <v/>
      </c>
    </row>
    <row r="10">
      <c r="A10" s="2" t="n">
        <v>2</v>
      </c>
      <c r="B10" t="inlineStr">
        <is>
          <t>Name 19</t>
        </is>
      </c>
      <c r="C10" t="inlineStr">
        <is>
          <t>Name 64</t>
        </is>
      </c>
      <c r="D10" s="6">
        <f>SUMIF('By Board'!D3:D78,"="&amp;A10,'By Board'!N3:N78)/15</f>
        <v/>
      </c>
      <c r="E10" s="7">
        <f>SUMIF('By Board'!D3:D78,"="&amp;A10,'By Board'!L3:L78)</f>
        <v/>
      </c>
    </row>
    <row r="11">
      <c r="A11" s="2" t="n">
        <v>3</v>
      </c>
      <c r="B11" t="inlineStr">
        <is>
          <t>Name 48</t>
        </is>
      </c>
      <c r="C11" t="inlineStr">
        <is>
          <t>Name 40</t>
        </is>
      </c>
      <c r="D11" s="6">
        <f>SUMIF('By Board'!D3:D78,"="&amp;A11,'By Board'!N3:N78)/15</f>
        <v/>
      </c>
      <c r="E11" s="7">
        <f>SUMIF('By Board'!D3:D78,"="&amp;A11,'By Board'!L3:L78)</f>
        <v/>
      </c>
    </row>
    <row r="12">
      <c r="A12" s="2" t="n">
        <v>4</v>
      </c>
      <c r="B12" t="inlineStr">
        <is>
          <t>Name 43</t>
        </is>
      </c>
      <c r="C12" t="inlineStr">
        <is>
          <t>Name 14</t>
        </is>
      </c>
      <c r="D12" s="6">
        <f>SUMIF('By Board'!D3:D78,"="&amp;A12,'By Board'!N3:N78)/15</f>
        <v/>
      </c>
      <c r="E12" s="7">
        <f>SUMIF('By Board'!D3:D78,"="&amp;A12,'By Board'!L3:L78)</f>
        <v/>
      </c>
    </row>
    <row r="13">
      <c r="A13" s="8" t="n">
        <v>5</v>
      </c>
      <c r="B13" s="9" t="inlineStr">
        <is>
          <t>Name 43</t>
        </is>
      </c>
      <c r="C13" s="9" t="inlineStr">
        <is>
          <t>Name 26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1</v>
      </c>
      <c r="B17" t="inlineStr">
        <is>
          <t>Name 59</t>
        </is>
      </c>
      <c r="C17" t="inlineStr">
        <is>
          <t>Name 37</t>
        </is>
      </c>
      <c r="D17" s="6">
        <f>SUMIF('By Board'!E3:E78,"="&amp;A17,'By Board'!O3:O78)/15</f>
        <v/>
      </c>
      <c r="E17" s="7">
        <f>SUMIF('By Board'!E3:E78,"="&amp;A17,'By Board'!M3:M78)</f>
        <v/>
      </c>
    </row>
    <row r="18">
      <c r="A18" s="2" t="n">
        <v>2</v>
      </c>
      <c r="B18" t="inlineStr">
        <is>
          <t>Name 19</t>
        </is>
      </c>
      <c r="C18" t="inlineStr">
        <is>
          <t>Name 21</t>
        </is>
      </c>
      <c r="D18" s="6">
        <f>SUMIF('By Board'!E3:E78,"="&amp;A18,'By Board'!O3:O78)/15</f>
        <v/>
      </c>
      <c r="E18" s="7">
        <f>SUMIF('By Board'!E3:E78,"="&amp;A18,'By Board'!M3:M78)</f>
        <v/>
      </c>
    </row>
    <row r="19">
      <c r="A19" s="2" t="n">
        <v>3</v>
      </c>
      <c r="B19" t="inlineStr">
        <is>
          <t>Name 28</t>
        </is>
      </c>
      <c r="C19" t="inlineStr">
        <is>
          <t>Name 19</t>
        </is>
      </c>
      <c r="D19" s="6">
        <f>SUMIF('By Board'!E3:E78,"="&amp;A19,'By Board'!O3:O78)/15</f>
        <v/>
      </c>
      <c r="E19" s="7">
        <f>SUMIF('By Board'!E3:E78,"="&amp;A19,'By Board'!M3:M78)</f>
        <v/>
      </c>
    </row>
    <row r="20">
      <c r="A20" s="2" t="n">
        <v>4</v>
      </c>
      <c r="B20" t="inlineStr">
        <is>
          <t>Name 40</t>
        </is>
      </c>
      <c r="C20" t="inlineStr">
        <is>
          <t>Name 69</t>
        </is>
      </c>
      <c r="D20" s="6">
        <f>SUMIF('By Board'!E3:E78,"="&amp;A20,'By Board'!O3:O78)/15</f>
        <v/>
      </c>
      <c r="E20" s="7">
        <f>SUMIF('By Board'!E3:E78,"="&amp;A20,'By Board'!M3:M78)</f>
        <v/>
      </c>
    </row>
    <row r="21">
      <c r="A21" s="8" t="n">
        <v>5</v>
      </c>
      <c r="B21" s="9" t="inlineStr">
        <is>
          <t>Name 44</t>
        </is>
      </c>
      <c r="C21" s="9" t="inlineStr">
        <is>
          <t>Name 85</t>
        </is>
      </c>
      <c r="D21" s="9" t="n"/>
      <c r="E21" s="9" t="n"/>
      <c r="F21" s="9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7">
        <f>SUM(AF3:AI3)</f>
        <v/>
      </c>
      <c r="N3" s="6">
        <f>IF(COUNT(T3:W3)&gt;0,P3/COUNT(T3:W3),0.5)</f>
        <v/>
      </c>
      <c r="O3" s="6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7">
        <f>SUM(AF4:AI4)</f>
        <v/>
      </c>
      <c r="N4" s="6">
        <f>IF(COUNT(T4:W4)&gt;0,P4/COUNT(T4:W4),0.5)</f>
        <v/>
      </c>
      <c r="O4" s="6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7">
        <f>SUM(AF5:AI5)</f>
        <v/>
      </c>
      <c r="N5" s="6">
        <f>IF(COUNT(T5:W5)&gt;0,P5/COUNT(T5:W5),0.5)</f>
        <v/>
      </c>
      <c r="O5" s="6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7">
        <f>SUM(AF6:AI6)</f>
        <v/>
      </c>
      <c r="N6" s="6">
        <f>IF(COUNT(T6:W6)&gt;0,P6/COUNT(T6:W6),0.5)</f>
        <v/>
      </c>
      <c r="O6" s="6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9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9">
        <f>IF(ISBLANK('By Round'!G66),"",'By Round'!G66)</f>
        <v/>
      </c>
      <c r="H7" s="9">
        <f>IF(ISBLANK('By Round'!H66),"",'By Round'!H66)</f>
        <v/>
      </c>
      <c r="I7" s="9">
        <f>IF(ISBLANK('By Round'!I66),"",'By Round'!I66)</f>
        <v/>
      </c>
      <c r="J7" s="9">
        <f>IF(ISBLANK('By Round'!J66),"",'By Round'!J66)</f>
        <v/>
      </c>
      <c r="K7" s="9">
        <f>IF(ISBLANK('By Round'!K66),"",'By Round'!K66)</f>
        <v/>
      </c>
      <c r="L7" s="20">
        <f>SUM(AB7:AE7)</f>
        <v/>
      </c>
      <c r="M7" s="21">
        <f>SUM(AF7:AI7)</f>
        <v/>
      </c>
      <c r="N7" s="22">
        <f>IF(COUNT(T7:W7)&gt;0,P7/COUNT(T7:W7),0.5)</f>
        <v/>
      </c>
      <c r="O7" s="22">
        <f>IF(COUNT(X7:AA7)&gt;0,Q7/COUNT(X7:AA7),0.5)</f>
        <v/>
      </c>
      <c r="P7" s="23">
        <f>SUM(T7:W7)</f>
        <v/>
      </c>
      <c r="Q7" s="23">
        <f>SUM(X7:AA7)</f>
        <v/>
      </c>
      <c r="R7" s="24">
        <f>IF(ISNUMBER(J7),J7,IF(ISNUMBER(K7),-K7,""))</f>
        <v/>
      </c>
      <c r="S7" s="9">
        <f>IF(ISNUMBER(K7),K7,IF(ISNUMBER(J7),-J7,""))</f>
        <v/>
      </c>
      <c r="T7" s="24">
        <f>IF(ISNUMBER(R7),IF(ISNUMBER(R3),IF(R7&gt;R3,1.0,IF(R7=R3,0.5,0.0)),""),"")</f>
        <v/>
      </c>
      <c r="U7" s="9">
        <f>IF(ISNUMBER(R7),IF(ISNUMBER(R4),IF(R7&gt;R4,1.0,IF(R7=R4,0.5,0.0)),""),"")</f>
        <v/>
      </c>
      <c r="V7" s="9">
        <f>IF(ISNUMBER(R7),IF(ISNUMBER(R5),IF(R7&gt;R5,1.0,IF(R7=R5,0.5,0.0)),""),"")</f>
        <v/>
      </c>
      <c r="W7" s="9">
        <f>IF(ISNUMBER(R7),IF(ISNUMBER(R6),IF(R7&gt;R6,1.0,IF(R7=R6,0.5,0.0)),""),"")</f>
        <v/>
      </c>
      <c r="X7" s="9">
        <f>IF(ISNUMBER(S7),IF(ISNUMBER(S3),IF(S7&gt;S3,1.0,IF(S7=S3,0.5,0.0)),""),"")</f>
        <v/>
      </c>
      <c r="Y7" s="9">
        <f>IF(ISNUMBER(S7),IF(ISNUMBER(S4),IF(S7&gt;S4,1.0,IF(S7=S4,0.5,0.0)),""),"")</f>
        <v/>
      </c>
      <c r="Z7" s="9">
        <f>IF(ISNUMBER(S7),IF(ISNUMBER(S5),IF(S7&gt;S5,1.0,IF(S7=S5,0.5,0.0)),""),"")</f>
        <v/>
      </c>
      <c r="AA7" s="9">
        <f>IF(ISNUMBER(S7),IF(ISNUMBER(S6),IF(S7&gt;S6,1.0,IF(S7=S6,0.5,0.0)),""),"")</f>
        <v/>
      </c>
      <c r="AB7" s="24">
        <f>IF(AND(ISNUMBER(R7),ISNUMBER(R3)),VLOOKUP(ABS(R7-R3),'IMP Table'!$A$2:$C$26,3)*SIGN(R7-R3),0)</f>
        <v/>
      </c>
      <c r="AC7" s="9">
        <f>IF(AND(ISNUMBER(R7),ISNUMBER(R4)),VLOOKUP(ABS(R7-R4),'IMP Table'!$A$2:$C$26,3)*SIGN(R7-R4),0)</f>
        <v/>
      </c>
      <c r="AD7" s="9">
        <f>IF(AND(ISNUMBER(R7),ISNUMBER(R5)),VLOOKUP(ABS(R7-R5),'IMP Table'!$A$2:$C$26,3)*SIGN(R7-R5),0)</f>
        <v/>
      </c>
      <c r="AE7" s="9">
        <f>IF(AND(ISNUMBER(R7),ISNUMBER(R6)),VLOOKUP(ABS(R7-R6),'IMP Table'!$A$2:$C$26,3)*SIGN(R7-R6),0)</f>
        <v/>
      </c>
      <c r="AF7" s="9">
        <f>IF(AND(ISNUMBER(S7),ISNUMBER(S3)),VLOOKUP(ABS(S7-S3),'IMP Table'!$A$2:$C$26,3)*SIGN(S7-S3),0)</f>
        <v/>
      </c>
      <c r="AG7" s="9">
        <f>IF(AND(ISNUMBER(S7),ISNUMBER(S4)),VLOOKUP(ABS(S7-S4),'IMP Table'!$A$2:$C$26,3)*SIGN(S7-S4),0)</f>
        <v/>
      </c>
      <c r="AH7" s="9">
        <f>IF(AND(ISNUMBER(S7),ISNUMBER(S5)),VLOOKUP(ABS(S7-S5),'IMP Table'!$A$2:$C$26,3)*SIGN(S7-S5),0)</f>
        <v/>
      </c>
      <c r="AI7" s="9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7">
        <f>SUM(AF8:AI8)</f>
        <v/>
      </c>
      <c r="N8" s="6">
        <f>IF(COUNT(T8:W8)&gt;0,P8/COUNT(T8:W8),0.5)</f>
        <v/>
      </c>
      <c r="O8" s="6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7">
        <f>SUM(AF9:AI9)</f>
        <v/>
      </c>
      <c r="N9" s="6">
        <f>IF(COUNT(T9:W9)&gt;0,P9/COUNT(T9:W9),0.5)</f>
        <v/>
      </c>
      <c r="O9" s="6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7">
        <f>SUM(AF10:AI10)</f>
        <v/>
      </c>
      <c r="N10" s="6">
        <f>IF(COUNT(T10:W10)&gt;0,P10/COUNT(T10:W10),0.5)</f>
        <v/>
      </c>
      <c r="O10" s="6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7">
        <f>SUM(AF11:AI11)</f>
        <v/>
      </c>
      <c r="N11" s="6">
        <f>IF(COUNT(T11:W11)&gt;0,P11/COUNT(T11:W11),0.5)</f>
        <v/>
      </c>
      <c r="O11" s="6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9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9">
        <f>IF(ISBLANK('By Round'!G67),"",'By Round'!G67)</f>
        <v/>
      </c>
      <c r="H12" s="9">
        <f>IF(ISBLANK('By Round'!H67),"",'By Round'!H67)</f>
        <v/>
      </c>
      <c r="I12" s="9">
        <f>IF(ISBLANK('By Round'!I67),"",'By Round'!I67)</f>
        <v/>
      </c>
      <c r="J12" s="9">
        <f>IF(ISBLANK('By Round'!J67),"",'By Round'!J67)</f>
        <v/>
      </c>
      <c r="K12" s="9">
        <f>IF(ISBLANK('By Round'!K67),"",'By Round'!K67)</f>
        <v/>
      </c>
      <c r="L12" s="20">
        <f>SUM(AB12:AE12)</f>
        <v/>
      </c>
      <c r="M12" s="21">
        <f>SUM(AF12:AI12)</f>
        <v/>
      </c>
      <c r="N12" s="22">
        <f>IF(COUNT(T12:W12)&gt;0,P12/COUNT(T12:W12),0.5)</f>
        <v/>
      </c>
      <c r="O12" s="22">
        <f>IF(COUNT(X12:AA12)&gt;0,Q12/COUNT(X12:AA12),0.5)</f>
        <v/>
      </c>
      <c r="P12" s="23">
        <f>SUM(T12:W12)</f>
        <v/>
      </c>
      <c r="Q12" s="23">
        <f>SUM(X12:AA12)</f>
        <v/>
      </c>
      <c r="R12" s="24">
        <f>IF(ISNUMBER(J12),J12,IF(ISNUMBER(K12),-K12,""))</f>
        <v/>
      </c>
      <c r="S12" s="9">
        <f>IF(ISNUMBER(K12),K12,IF(ISNUMBER(J12),-J12,""))</f>
        <v/>
      </c>
      <c r="T12" s="24">
        <f>IF(ISNUMBER(R12),IF(ISNUMBER(R8),IF(R12&gt;R8,1.0,IF(R12=R8,0.5,0.0)),""),"")</f>
        <v/>
      </c>
      <c r="U12" s="9">
        <f>IF(ISNUMBER(R12),IF(ISNUMBER(R9),IF(R12&gt;R9,1.0,IF(R12=R9,0.5,0.0)),""),"")</f>
        <v/>
      </c>
      <c r="V12" s="9">
        <f>IF(ISNUMBER(R12),IF(ISNUMBER(R10),IF(R12&gt;R10,1.0,IF(R12=R10,0.5,0.0)),""),"")</f>
        <v/>
      </c>
      <c r="W12" s="9">
        <f>IF(ISNUMBER(R12),IF(ISNUMBER(R11),IF(R12&gt;R11,1.0,IF(R12=R11,0.5,0.0)),""),"")</f>
        <v/>
      </c>
      <c r="X12" s="9">
        <f>IF(ISNUMBER(S12),IF(ISNUMBER(S8),IF(S12&gt;S8,1.0,IF(S12=S8,0.5,0.0)),""),"")</f>
        <v/>
      </c>
      <c r="Y12" s="9">
        <f>IF(ISNUMBER(S12),IF(ISNUMBER(S9),IF(S12&gt;S9,1.0,IF(S12=S9,0.5,0.0)),""),"")</f>
        <v/>
      </c>
      <c r="Z12" s="9">
        <f>IF(ISNUMBER(S12),IF(ISNUMBER(S10),IF(S12&gt;S10,1.0,IF(S12=S10,0.5,0.0)),""),"")</f>
        <v/>
      </c>
      <c r="AA12" s="9">
        <f>IF(ISNUMBER(S12),IF(ISNUMBER(S11),IF(S12&gt;S11,1.0,IF(S12=S11,0.5,0.0)),""),"")</f>
        <v/>
      </c>
      <c r="AB12" s="24">
        <f>IF(AND(ISNUMBER(R12),ISNUMBER(R8)),VLOOKUP(ABS(R12-R8),'IMP Table'!$A$2:$C$26,3)*SIGN(R12-R8),0)</f>
        <v/>
      </c>
      <c r="AC12" s="9">
        <f>IF(AND(ISNUMBER(R12),ISNUMBER(R9)),VLOOKUP(ABS(R12-R9),'IMP Table'!$A$2:$C$26,3)*SIGN(R12-R9),0)</f>
        <v/>
      </c>
      <c r="AD12" s="9">
        <f>IF(AND(ISNUMBER(R12),ISNUMBER(R10)),VLOOKUP(ABS(R12-R10),'IMP Table'!$A$2:$C$26,3)*SIGN(R12-R10),0)</f>
        <v/>
      </c>
      <c r="AE12" s="9">
        <f>IF(AND(ISNUMBER(R12),ISNUMBER(R11)),VLOOKUP(ABS(R12-R11),'IMP Table'!$A$2:$C$26,3)*SIGN(R12-R11),0)</f>
        <v/>
      </c>
      <c r="AF12" s="9">
        <f>IF(AND(ISNUMBER(S12),ISNUMBER(S8)),VLOOKUP(ABS(S12-S8),'IMP Table'!$A$2:$C$26,3)*SIGN(S12-S8),0)</f>
        <v/>
      </c>
      <c r="AG12" s="9">
        <f>IF(AND(ISNUMBER(S12),ISNUMBER(S9)),VLOOKUP(ABS(S12-S9),'IMP Table'!$A$2:$C$26,3)*SIGN(S12-S9),0)</f>
        <v/>
      </c>
      <c r="AH12" s="9">
        <f>IF(AND(ISNUMBER(S12),ISNUMBER(S10)),VLOOKUP(ABS(S12-S10),'IMP Table'!$A$2:$C$26,3)*SIGN(S12-S10),0)</f>
        <v/>
      </c>
      <c r="AI12" s="9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7">
        <f>SUM(AF13:AI13)</f>
        <v/>
      </c>
      <c r="N13" s="6">
        <f>IF(COUNT(T13:W13)&gt;0,P13/COUNT(T13:W13),0.5)</f>
        <v/>
      </c>
      <c r="O13" s="6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7">
        <f>SUM(AF14:AI14)</f>
        <v/>
      </c>
      <c r="N14" s="6">
        <f>IF(COUNT(T14:W14)&gt;0,P14/COUNT(T14:W14),0.5)</f>
        <v/>
      </c>
      <c r="O14" s="6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7">
        <f>SUM(AF15:AI15)</f>
        <v/>
      </c>
      <c r="N15" s="6">
        <f>IF(COUNT(T15:W15)&gt;0,P15/COUNT(T15:W15),0.5)</f>
        <v/>
      </c>
      <c r="O15" s="6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7">
        <f>SUM(AF16:AI16)</f>
        <v/>
      </c>
      <c r="N16" s="6">
        <f>IF(COUNT(T16:W16)&gt;0,P16/COUNT(T16:W16),0.5)</f>
        <v/>
      </c>
      <c r="O16" s="6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9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9">
        <f>IF(ISBLANK('By Round'!G68),"",'By Round'!G68)</f>
        <v/>
      </c>
      <c r="H17" s="9">
        <f>IF(ISBLANK('By Round'!H68),"",'By Round'!H68)</f>
        <v/>
      </c>
      <c r="I17" s="9">
        <f>IF(ISBLANK('By Round'!I68),"",'By Round'!I68)</f>
        <v/>
      </c>
      <c r="J17" s="9">
        <f>IF(ISBLANK('By Round'!J68),"",'By Round'!J68)</f>
        <v/>
      </c>
      <c r="K17" s="9">
        <f>IF(ISBLANK('By Round'!K68),"",'By Round'!K68)</f>
        <v/>
      </c>
      <c r="L17" s="20">
        <f>SUM(AB17:AE17)</f>
        <v/>
      </c>
      <c r="M17" s="21">
        <f>SUM(AF17:AI17)</f>
        <v/>
      </c>
      <c r="N17" s="22">
        <f>IF(COUNT(T17:W17)&gt;0,P17/COUNT(T17:W17),0.5)</f>
        <v/>
      </c>
      <c r="O17" s="22">
        <f>IF(COUNT(X17:AA17)&gt;0,Q17/COUNT(X17:AA17),0.5)</f>
        <v/>
      </c>
      <c r="P17" s="23">
        <f>SUM(T17:W17)</f>
        <v/>
      </c>
      <c r="Q17" s="23">
        <f>SUM(X17:AA17)</f>
        <v/>
      </c>
      <c r="R17" s="24">
        <f>IF(ISNUMBER(J17),J17,IF(ISNUMBER(K17),-K17,""))</f>
        <v/>
      </c>
      <c r="S17" s="9">
        <f>IF(ISNUMBER(K17),K17,IF(ISNUMBER(J17),-J17,""))</f>
        <v/>
      </c>
      <c r="T17" s="24">
        <f>IF(ISNUMBER(R17),IF(ISNUMBER(R13),IF(R17&gt;R13,1.0,IF(R17=R13,0.5,0.0)),""),"")</f>
        <v/>
      </c>
      <c r="U17" s="9">
        <f>IF(ISNUMBER(R17),IF(ISNUMBER(R14),IF(R17&gt;R14,1.0,IF(R17=R14,0.5,0.0)),""),"")</f>
        <v/>
      </c>
      <c r="V17" s="9">
        <f>IF(ISNUMBER(R17),IF(ISNUMBER(R15),IF(R17&gt;R15,1.0,IF(R17=R15,0.5,0.0)),""),"")</f>
        <v/>
      </c>
      <c r="W17" s="9">
        <f>IF(ISNUMBER(R17),IF(ISNUMBER(R16),IF(R17&gt;R16,1.0,IF(R17=R16,0.5,0.0)),""),"")</f>
        <v/>
      </c>
      <c r="X17" s="9">
        <f>IF(ISNUMBER(S17),IF(ISNUMBER(S13),IF(S17&gt;S13,1.0,IF(S17=S13,0.5,0.0)),""),"")</f>
        <v/>
      </c>
      <c r="Y17" s="9">
        <f>IF(ISNUMBER(S17),IF(ISNUMBER(S14),IF(S17&gt;S14,1.0,IF(S17=S14,0.5,0.0)),""),"")</f>
        <v/>
      </c>
      <c r="Z17" s="9">
        <f>IF(ISNUMBER(S17),IF(ISNUMBER(S15),IF(S17&gt;S15,1.0,IF(S17=S15,0.5,0.0)),""),"")</f>
        <v/>
      </c>
      <c r="AA17" s="9">
        <f>IF(ISNUMBER(S17),IF(ISNUMBER(S16),IF(S17&gt;S16,1.0,IF(S17=S16,0.5,0.0)),""),"")</f>
        <v/>
      </c>
      <c r="AB17" s="24">
        <f>IF(AND(ISNUMBER(R17),ISNUMBER(R13)),VLOOKUP(ABS(R17-R13),'IMP Table'!$A$2:$C$26,3)*SIGN(R17-R13),0)</f>
        <v/>
      </c>
      <c r="AC17" s="9">
        <f>IF(AND(ISNUMBER(R17),ISNUMBER(R14)),VLOOKUP(ABS(R17-R14),'IMP Table'!$A$2:$C$26,3)*SIGN(R17-R14),0)</f>
        <v/>
      </c>
      <c r="AD17" s="9">
        <f>IF(AND(ISNUMBER(R17),ISNUMBER(R15)),VLOOKUP(ABS(R17-R15),'IMP Table'!$A$2:$C$26,3)*SIGN(R17-R15),0)</f>
        <v/>
      </c>
      <c r="AE17" s="9">
        <f>IF(AND(ISNUMBER(R17),ISNUMBER(R16)),VLOOKUP(ABS(R17-R16),'IMP Table'!$A$2:$C$26,3)*SIGN(R17-R16),0)</f>
        <v/>
      </c>
      <c r="AF17" s="9">
        <f>IF(AND(ISNUMBER(S17),ISNUMBER(S13)),VLOOKUP(ABS(S17-S13),'IMP Table'!$A$2:$C$26,3)*SIGN(S17-S13),0)</f>
        <v/>
      </c>
      <c r="AG17" s="9">
        <f>IF(AND(ISNUMBER(S17),ISNUMBER(S14)),VLOOKUP(ABS(S17-S14),'IMP Table'!$A$2:$C$26,3)*SIGN(S17-S14),0)</f>
        <v/>
      </c>
      <c r="AH17" s="9">
        <f>IF(AND(ISNUMBER(S17),ISNUMBER(S15)),VLOOKUP(ABS(S17-S15),'IMP Table'!$A$2:$C$26,3)*SIGN(S17-S15),0)</f>
        <v/>
      </c>
      <c r="AI17" s="9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7">
        <f>SUM(AF18:AI18)</f>
        <v/>
      </c>
      <c r="N18" s="6">
        <f>IF(COUNT(T18:W18)&gt;0,P18/COUNT(T18:W18),0.5)</f>
        <v/>
      </c>
      <c r="O18" s="6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7">
        <f>SUM(AF19:AI19)</f>
        <v/>
      </c>
      <c r="N19" s="6">
        <f>IF(COUNT(T19:W19)&gt;0,P19/COUNT(T19:W19),0.5)</f>
        <v/>
      </c>
      <c r="O19" s="6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7">
        <f>SUM(AF20:AI20)</f>
        <v/>
      </c>
      <c r="N20" s="6">
        <f>IF(COUNT(T20:W20)&gt;0,P20/COUNT(T20:W20),0.5)</f>
        <v/>
      </c>
      <c r="O20" s="6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7">
        <f>SUM(AF21:AI21)</f>
        <v/>
      </c>
      <c r="N21" s="6">
        <f>IF(COUNT(T21:W21)&gt;0,P21/COUNT(T21:W21),0.5)</f>
        <v/>
      </c>
      <c r="O21" s="6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9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9">
        <f>IF(ISBLANK('By Round'!G69),"",'By Round'!G69)</f>
        <v/>
      </c>
      <c r="H22" s="9">
        <f>IF(ISBLANK('By Round'!H69),"",'By Round'!H69)</f>
        <v/>
      </c>
      <c r="I22" s="9">
        <f>IF(ISBLANK('By Round'!I69),"",'By Round'!I69)</f>
        <v/>
      </c>
      <c r="J22" s="9">
        <f>IF(ISBLANK('By Round'!J69),"",'By Round'!J69)</f>
        <v/>
      </c>
      <c r="K22" s="9">
        <f>IF(ISBLANK('By Round'!K69),"",'By Round'!K69)</f>
        <v/>
      </c>
      <c r="L22" s="20">
        <f>SUM(AB22:AE22)</f>
        <v/>
      </c>
      <c r="M22" s="21">
        <f>SUM(AF22:AI22)</f>
        <v/>
      </c>
      <c r="N22" s="22">
        <f>IF(COUNT(T22:W22)&gt;0,P22/COUNT(T22:W22),0.5)</f>
        <v/>
      </c>
      <c r="O22" s="22">
        <f>IF(COUNT(X22:AA22)&gt;0,Q22/COUNT(X22:AA22),0.5)</f>
        <v/>
      </c>
      <c r="P22" s="23">
        <f>SUM(T22:W22)</f>
        <v/>
      </c>
      <c r="Q22" s="23">
        <f>SUM(X22:AA22)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IF(ISNUMBER(R22),IF(ISNUMBER(R18),IF(R22&gt;R18,1.0,IF(R22=R18,0.5,0.0)),""),"")</f>
        <v/>
      </c>
      <c r="U22" s="9">
        <f>IF(ISNUMBER(R22),IF(ISNUMBER(R19),IF(R22&gt;R19,1.0,IF(R22=R19,0.5,0.0)),""),"")</f>
        <v/>
      </c>
      <c r="V22" s="9">
        <f>IF(ISNUMBER(R22),IF(ISNUMBER(R20),IF(R22&gt;R20,1.0,IF(R22=R20,0.5,0.0)),""),"")</f>
        <v/>
      </c>
      <c r="W22" s="9">
        <f>IF(ISNUMBER(R22),IF(ISNUMBER(R21),IF(R22&gt;R21,1.0,IF(R22=R21,0.5,0.0)),""),"")</f>
        <v/>
      </c>
      <c r="X22" s="9">
        <f>IF(ISNUMBER(S22),IF(ISNUMBER(S18),IF(S22&gt;S18,1.0,IF(S22=S18,0.5,0.0)),""),"")</f>
        <v/>
      </c>
      <c r="Y22" s="9">
        <f>IF(ISNUMBER(S22),IF(ISNUMBER(S19),IF(S22&gt;S19,1.0,IF(S22=S19,0.5,0.0)),""),"")</f>
        <v/>
      </c>
      <c r="Z22" s="9">
        <f>IF(ISNUMBER(S22),IF(ISNUMBER(S20),IF(S22&gt;S20,1.0,IF(S22=S20,0.5,0.0)),""),"")</f>
        <v/>
      </c>
      <c r="AA22" s="9">
        <f>IF(ISNUMBER(S22),IF(ISNUMBER(S21),IF(S22&gt;S21,1.0,IF(S22=S21,0.5,0.0)),""),"")</f>
        <v/>
      </c>
      <c r="AB22" s="24">
        <f>IF(AND(ISNUMBER(R22),ISNUMBER(R18)),VLOOKUP(ABS(R22-R18),'IMP Table'!$A$2:$C$26,3)*SIGN(R22-R18),0)</f>
        <v/>
      </c>
      <c r="AC22" s="9">
        <f>IF(AND(ISNUMBER(R22),ISNUMBER(R19)),VLOOKUP(ABS(R22-R19),'IMP Table'!$A$2:$C$26,3)*SIGN(R22-R19),0)</f>
        <v/>
      </c>
      <c r="AD22" s="9">
        <f>IF(AND(ISNUMBER(R22),ISNUMBER(R20)),VLOOKUP(ABS(R22-R20),'IMP Table'!$A$2:$C$26,3)*SIGN(R22-R20),0)</f>
        <v/>
      </c>
      <c r="AE22" s="9">
        <f>IF(AND(ISNUMBER(R22),ISNUMBER(R21)),VLOOKUP(ABS(R22-R21),'IMP Table'!$A$2:$C$26,3)*SIGN(R22-R21),0)</f>
        <v/>
      </c>
      <c r="AF22" s="9">
        <f>IF(AND(ISNUMBER(S22),ISNUMBER(S18)),VLOOKUP(ABS(S22-S18),'IMP Table'!$A$2:$C$26,3)*SIGN(S22-S18),0)</f>
        <v/>
      </c>
      <c r="AG22" s="9">
        <f>IF(AND(ISNUMBER(S22),ISNUMBER(S19)),VLOOKUP(ABS(S22-S19),'IMP Table'!$A$2:$C$26,3)*SIGN(S22-S19),0)</f>
        <v/>
      </c>
      <c r="AH22" s="9">
        <f>IF(AND(ISNUMBER(S22),ISNUMBER(S20)),VLOOKUP(ABS(S22-S20),'IMP Table'!$A$2:$C$26,3)*SIGN(S22-S20),0)</f>
        <v/>
      </c>
      <c r="AI22" s="9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7">
        <f>SUM(AF23:AI23)</f>
        <v/>
      </c>
      <c r="N23" s="6">
        <f>IF(COUNT(T23:W23)&gt;0,P23/COUNT(T23:W23),0.5)</f>
        <v/>
      </c>
      <c r="O23" s="6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7">
        <f>SUM(AF24:AI24)</f>
        <v/>
      </c>
      <c r="N24" s="6">
        <f>IF(COUNT(T24:W24)&gt;0,P24/COUNT(T24:W24),0.5)</f>
        <v/>
      </c>
      <c r="O24" s="6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7">
        <f>SUM(AF25:AI25)</f>
        <v/>
      </c>
      <c r="N25" s="6">
        <f>IF(COUNT(T25:W25)&gt;0,P25/COUNT(T25:W25),0.5)</f>
        <v/>
      </c>
      <c r="O25" s="6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7">
        <f>SUM(AF26:AI26)</f>
        <v/>
      </c>
      <c r="N26" s="6">
        <f>IF(COUNT(T26:W26)&gt;0,P26/COUNT(T26:W26),0.5)</f>
        <v/>
      </c>
      <c r="O26" s="6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9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9">
        <f>IF(ISBLANK('By Round'!G70),"",'By Round'!G70)</f>
        <v/>
      </c>
      <c r="H27" s="9">
        <f>IF(ISBLANK('By Round'!H70),"",'By Round'!H70)</f>
        <v/>
      </c>
      <c r="I27" s="9">
        <f>IF(ISBLANK('By Round'!I70),"",'By Round'!I70)</f>
        <v/>
      </c>
      <c r="J27" s="9">
        <f>IF(ISBLANK('By Round'!J70),"",'By Round'!J70)</f>
        <v/>
      </c>
      <c r="K27" s="9">
        <f>IF(ISBLANK('By Round'!K70),"",'By Round'!K70)</f>
        <v/>
      </c>
      <c r="L27" s="20">
        <f>SUM(AB27:AE27)</f>
        <v/>
      </c>
      <c r="M27" s="21">
        <f>SUM(AF27:AI27)</f>
        <v/>
      </c>
      <c r="N27" s="22">
        <f>IF(COUNT(T27:W27)&gt;0,P27/COUNT(T27:W27),0.5)</f>
        <v/>
      </c>
      <c r="O27" s="22">
        <f>IF(COUNT(X27:AA27)&gt;0,Q27/COUNT(X27:AA27),0.5)</f>
        <v/>
      </c>
      <c r="P27" s="23">
        <f>SUM(T27:W27)</f>
        <v/>
      </c>
      <c r="Q27" s="23">
        <f>SUM(X27:AA27)</f>
        <v/>
      </c>
      <c r="R27" s="24">
        <f>IF(ISNUMBER(J27),J27,IF(ISNUMBER(K27),-K27,""))</f>
        <v/>
      </c>
      <c r="S27" s="9">
        <f>IF(ISNUMBER(K27),K27,IF(ISNUMBER(J27),-J27,""))</f>
        <v/>
      </c>
      <c r="T27" s="24">
        <f>IF(ISNUMBER(R27),IF(ISNUMBER(R23),IF(R27&gt;R23,1.0,IF(R27=R23,0.5,0.0)),""),"")</f>
        <v/>
      </c>
      <c r="U27" s="9">
        <f>IF(ISNUMBER(R27),IF(ISNUMBER(R24),IF(R27&gt;R24,1.0,IF(R27=R24,0.5,0.0)),""),"")</f>
        <v/>
      </c>
      <c r="V27" s="9">
        <f>IF(ISNUMBER(R27),IF(ISNUMBER(R25),IF(R27&gt;R25,1.0,IF(R27=R25,0.5,0.0)),""),"")</f>
        <v/>
      </c>
      <c r="W27" s="9">
        <f>IF(ISNUMBER(R27),IF(ISNUMBER(R26),IF(R27&gt;R26,1.0,IF(R27=R26,0.5,0.0)),""),"")</f>
        <v/>
      </c>
      <c r="X27" s="9">
        <f>IF(ISNUMBER(S27),IF(ISNUMBER(S23),IF(S27&gt;S23,1.0,IF(S27=S23,0.5,0.0)),""),"")</f>
        <v/>
      </c>
      <c r="Y27" s="9">
        <f>IF(ISNUMBER(S27),IF(ISNUMBER(S24),IF(S27&gt;S24,1.0,IF(S27=S24,0.5,0.0)),""),"")</f>
        <v/>
      </c>
      <c r="Z27" s="9">
        <f>IF(ISNUMBER(S27),IF(ISNUMBER(S25),IF(S27&gt;S25,1.0,IF(S27=S25,0.5,0.0)),""),"")</f>
        <v/>
      </c>
      <c r="AA27" s="9">
        <f>IF(ISNUMBER(S27),IF(ISNUMBER(S26),IF(S27&gt;S26,1.0,IF(S27=S26,0.5,0.0)),""),"")</f>
        <v/>
      </c>
      <c r="AB27" s="24">
        <f>IF(AND(ISNUMBER(R27),ISNUMBER(R23)),VLOOKUP(ABS(R27-R23),'IMP Table'!$A$2:$C$26,3)*SIGN(R27-R23),0)</f>
        <v/>
      </c>
      <c r="AC27" s="9">
        <f>IF(AND(ISNUMBER(R27),ISNUMBER(R24)),VLOOKUP(ABS(R27-R24),'IMP Table'!$A$2:$C$26,3)*SIGN(R27-R24),0)</f>
        <v/>
      </c>
      <c r="AD27" s="9">
        <f>IF(AND(ISNUMBER(R27),ISNUMBER(R25)),VLOOKUP(ABS(R27-R25),'IMP Table'!$A$2:$C$26,3)*SIGN(R27-R25),0)</f>
        <v/>
      </c>
      <c r="AE27" s="9">
        <f>IF(AND(ISNUMBER(R27),ISNUMBER(R26)),VLOOKUP(ABS(R27-R26),'IMP Table'!$A$2:$C$26,3)*SIGN(R27-R26),0)</f>
        <v/>
      </c>
      <c r="AF27" s="9">
        <f>IF(AND(ISNUMBER(S27),ISNUMBER(S23)),VLOOKUP(ABS(S27-S23),'IMP Table'!$A$2:$C$26,3)*SIGN(S27-S23),0)</f>
        <v/>
      </c>
      <c r="AG27" s="9">
        <f>IF(AND(ISNUMBER(S27),ISNUMBER(S24)),VLOOKUP(ABS(S27-S24),'IMP Table'!$A$2:$C$26,3)*SIGN(S27-S24),0)</f>
        <v/>
      </c>
      <c r="AH27" s="9">
        <f>IF(AND(ISNUMBER(S27),ISNUMBER(S25)),VLOOKUP(ABS(S27-S25),'IMP Table'!$A$2:$C$26,3)*SIGN(S27-S25),0)</f>
        <v/>
      </c>
      <c r="AI27" s="9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7">
        <f>SUM(AF28:AI28)</f>
        <v/>
      </c>
      <c r="N28" s="6">
        <f>IF(COUNT(T28:W28)&gt;0,P28/COUNT(T28:W28),0.5)</f>
        <v/>
      </c>
      <c r="O28" s="6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7">
        <f>SUM(AF29:AI29)</f>
        <v/>
      </c>
      <c r="N29" s="6">
        <f>IF(COUNT(T29:W29)&gt;0,P29/COUNT(T29:W29),0.5)</f>
        <v/>
      </c>
      <c r="O29" s="6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7">
        <f>SUM(AF30:AI30)</f>
        <v/>
      </c>
      <c r="N30" s="6">
        <f>IF(COUNT(T30:W30)&gt;0,P30/COUNT(T30:W30),0.5)</f>
        <v/>
      </c>
      <c r="O30" s="6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7">
        <f>SUM(AF31:AI31)</f>
        <v/>
      </c>
      <c r="N31" s="6">
        <f>IF(COUNT(T31:W31)&gt;0,P31/COUNT(T31:W31),0.5)</f>
        <v/>
      </c>
      <c r="O31" s="6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9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9">
        <f>IF(ISBLANK('By Round'!G71),"",'By Round'!G71)</f>
        <v/>
      </c>
      <c r="H32" s="9">
        <f>IF(ISBLANK('By Round'!H71),"",'By Round'!H71)</f>
        <v/>
      </c>
      <c r="I32" s="9">
        <f>IF(ISBLANK('By Round'!I71),"",'By Round'!I71)</f>
        <v/>
      </c>
      <c r="J32" s="9">
        <f>IF(ISBLANK('By Round'!J71),"",'By Round'!J71)</f>
        <v/>
      </c>
      <c r="K32" s="9">
        <f>IF(ISBLANK('By Round'!K71),"",'By Round'!K71)</f>
        <v/>
      </c>
      <c r="L32" s="20">
        <f>SUM(AB32:AE32)</f>
        <v/>
      </c>
      <c r="M32" s="21">
        <f>SUM(AF32:AI32)</f>
        <v/>
      </c>
      <c r="N32" s="22">
        <f>IF(COUNT(T32:W32)&gt;0,P32/COUNT(T32:W32),0.5)</f>
        <v/>
      </c>
      <c r="O32" s="22">
        <f>IF(COUNT(X32:AA32)&gt;0,Q32/COUNT(X32:AA32),0.5)</f>
        <v/>
      </c>
      <c r="P32" s="23">
        <f>SUM(T32:W32)</f>
        <v/>
      </c>
      <c r="Q32" s="23">
        <f>SUM(X32:AA32)</f>
        <v/>
      </c>
      <c r="R32" s="24">
        <f>IF(ISNUMBER(J32),J32,IF(ISNUMBER(K32),-K32,""))</f>
        <v/>
      </c>
      <c r="S32" s="9">
        <f>IF(ISNUMBER(K32),K32,IF(ISNUMBER(J32),-J32,""))</f>
        <v/>
      </c>
      <c r="T32" s="24">
        <f>IF(ISNUMBER(R32),IF(ISNUMBER(R28),IF(R32&gt;R28,1.0,IF(R32=R28,0.5,0.0)),""),"")</f>
        <v/>
      </c>
      <c r="U32" s="9">
        <f>IF(ISNUMBER(R32),IF(ISNUMBER(R29),IF(R32&gt;R29,1.0,IF(R32=R29,0.5,0.0)),""),"")</f>
        <v/>
      </c>
      <c r="V32" s="9">
        <f>IF(ISNUMBER(R32),IF(ISNUMBER(R30),IF(R32&gt;R30,1.0,IF(R32=R30,0.5,0.0)),""),"")</f>
        <v/>
      </c>
      <c r="W32" s="9">
        <f>IF(ISNUMBER(R32),IF(ISNUMBER(R31),IF(R32&gt;R31,1.0,IF(R32=R31,0.5,0.0)),""),"")</f>
        <v/>
      </c>
      <c r="X32" s="9">
        <f>IF(ISNUMBER(S32),IF(ISNUMBER(S28),IF(S32&gt;S28,1.0,IF(S32=S28,0.5,0.0)),""),"")</f>
        <v/>
      </c>
      <c r="Y32" s="9">
        <f>IF(ISNUMBER(S32),IF(ISNUMBER(S29),IF(S32&gt;S29,1.0,IF(S32=S29,0.5,0.0)),""),"")</f>
        <v/>
      </c>
      <c r="Z32" s="9">
        <f>IF(ISNUMBER(S32),IF(ISNUMBER(S30),IF(S32&gt;S30,1.0,IF(S32=S30,0.5,0.0)),""),"")</f>
        <v/>
      </c>
      <c r="AA32" s="9">
        <f>IF(ISNUMBER(S32),IF(ISNUMBER(S31),IF(S32&gt;S31,1.0,IF(S32=S31,0.5,0.0)),""),"")</f>
        <v/>
      </c>
      <c r="AB32" s="24">
        <f>IF(AND(ISNUMBER(R32),ISNUMBER(R28)),VLOOKUP(ABS(R32-R28),'IMP Table'!$A$2:$C$26,3)*SIGN(R32-R28),0)</f>
        <v/>
      </c>
      <c r="AC32" s="9">
        <f>IF(AND(ISNUMBER(R32),ISNUMBER(R29)),VLOOKUP(ABS(R32-R29),'IMP Table'!$A$2:$C$26,3)*SIGN(R32-R29),0)</f>
        <v/>
      </c>
      <c r="AD32" s="9">
        <f>IF(AND(ISNUMBER(R32),ISNUMBER(R30)),VLOOKUP(ABS(R32-R30),'IMP Table'!$A$2:$C$26,3)*SIGN(R32-R30),0)</f>
        <v/>
      </c>
      <c r="AE32" s="9">
        <f>IF(AND(ISNUMBER(R32),ISNUMBER(R31)),VLOOKUP(ABS(R32-R31),'IMP Table'!$A$2:$C$26,3)*SIGN(R32-R31),0)</f>
        <v/>
      </c>
      <c r="AF32" s="9">
        <f>IF(AND(ISNUMBER(S32),ISNUMBER(S28)),VLOOKUP(ABS(S32-S28),'IMP Table'!$A$2:$C$26,3)*SIGN(S32-S28),0)</f>
        <v/>
      </c>
      <c r="AG32" s="9">
        <f>IF(AND(ISNUMBER(S32),ISNUMBER(S29)),VLOOKUP(ABS(S32-S29),'IMP Table'!$A$2:$C$26,3)*SIGN(S32-S29),0)</f>
        <v/>
      </c>
      <c r="AH32" s="9">
        <f>IF(AND(ISNUMBER(S32),ISNUMBER(S30)),VLOOKUP(ABS(S32-S30),'IMP Table'!$A$2:$C$26,3)*SIGN(S32-S30),0)</f>
        <v/>
      </c>
      <c r="AI32" s="9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7">
        <f>SUM(AF33:AI33)</f>
        <v/>
      </c>
      <c r="N33" s="6">
        <f>IF(COUNT(T33:W33)&gt;0,P33/COUNT(T33:W33),0.5)</f>
        <v/>
      </c>
      <c r="O33" s="6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7">
        <f>SUM(AF34:AI34)</f>
        <v/>
      </c>
      <c r="N34" s="6">
        <f>IF(COUNT(T34:W34)&gt;0,P34/COUNT(T34:W34),0.5)</f>
        <v/>
      </c>
      <c r="O34" s="6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7">
        <f>SUM(AF35:AI35)</f>
        <v/>
      </c>
      <c r="N35" s="6">
        <f>IF(COUNT(T35:W35)&gt;0,P35/COUNT(T35:W35),0.5)</f>
        <v/>
      </c>
      <c r="O35" s="6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7">
        <f>SUM(AF36:AI36)</f>
        <v/>
      </c>
      <c r="N36" s="6">
        <f>IF(COUNT(T36:W36)&gt;0,P36/COUNT(T36:W36),0.5)</f>
        <v/>
      </c>
      <c r="O36" s="6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9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9">
        <f>IF(ISBLANK('By Round'!G72),"",'By Round'!G72)</f>
        <v/>
      </c>
      <c r="H37" s="9">
        <f>IF(ISBLANK('By Round'!H72),"",'By Round'!H72)</f>
        <v/>
      </c>
      <c r="I37" s="9">
        <f>IF(ISBLANK('By Round'!I72),"",'By Round'!I72)</f>
        <v/>
      </c>
      <c r="J37" s="9">
        <f>IF(ISBLANK('By Round'!J72),"",'By Round'!J72)</f>
        <v/>
      </c>
      <c r="K37" s="9">
        <f>IF(ISBLANK('By Round'!K72),"",'By Round'!K72)</f>
        <v/>
      </c>
      <c r="L37" s="20">
        <f>SUM(AB37:AE37)</f>
        <v/>
      </c>
      <c r="M37" s="21">
        <f>SUM(AF37:AI37)</f>
        <v/>
      </c>
      <c r="N37" s="22">
        <f>IF(COUNT(T37:W37)&gt;0,P37/COUNT(T37:W37),0.5)</f>
        <v/>
      </c>
      <c r="O37" s="22">
        <f>IF(COUNT(X37:AA37)&gt;0,Q37/COUNT(X37:AA37),0.5)</f>
        <v/>
      </c>
      <c r="P37" s="23">
        <f>SUM(T37:W37)</f>
        <v/>
      </c>
      <c r="Q37" s="23">
        <f>SUM(X37:AA37)</f>
        <v/>
      </c>
      <c r="R37" s="24">
        <f>IF(ISNUMBER(J37),J37,IF(ISNUMBER(K37),-K37,""))</f>
        <v/>
      </c>
      <c r="S37" s="9">
        <f>IF(ISNUMBER(K37),K37,IF(ISNUMBER(J37),-J37,""))</f>
        <v/>
      </c>
      <c r="T37" s="24">
        <f>IF(ISNUMBER(R37),IF(ISNUMBER(R33),IF(R37&gt;R33,1.0,IF(R37=R33,0.5,0.0)),""),"")</f>
        <v/>
      </c>
      <c r="U37" s="9">
        <f>IF(ISNUMBER(R37),IF(ISNUMBER(R34),IF(R37&gt;R34,1.0,IF(R37=R34,0.5,0.0)),""),"")</f>
        <v/>
      </c>
      <c r="V37" s="9">
        <f>IF(ISNUMBER(R37),IF(ISNUMBER(R35),IF(R37&gt;R35,1.0,IF(R37=R35,0.5,0.0)),""),"")</f>
        <v/>
      </c>
      <c r="W37" s="9">
        <f>IF(ISNUMBER(R37),IF(ISNUMBER(R36),IF(R37&gt;R36,1.0,IF(R37=R36,0.5,0.0)),""),"")</f>
        <v/>
      </c>
      <c r="X37" s="9">
        <f>IF(ISNUMBER(S37),IF(ISNUMBER(S33),IF(S37&gt;S33,1.0,IF(S37=S33,0.5,0.0)),""),"")</f>
        <v/>
      </c>
      <c r="Y37" s="9">
        <f>IF(ISNUMBER(S37),IF(ISNUMBER(S34),IF(S37&gt;S34,1.0,IF(S37=S34,0.5,0.0)),""),"")</f>
        <v/>
      </c>
      <c r="Z37" s="9">
        <f>IF(ISNUMBER(S37),IF(ISNUMBER(S35),IF(S37&gt;S35,1.0,IF(S37=S35,0.5,0.0)),""),"")</f>
        <v/>
      </c>
      <c r="AA37" s="9">
        <f>IF(ISNUMBER(S37),IF(ISNUMBER(S36),IF(S37&gt;S36,1.0,IF(S37=S36,0.5,0.0)),""),"")</f>
        <v/>
      </c>
      <c r="AB37" s="24">
        <f>IF(AND(ISNUMBER(R37),ISNUMBER(R33)),VLOOKUP(ABS(R37-R33),'IMP Table'!$A$2:$C$26,3)*SIGN(R37-R33),0)</f>
        <v/>
      </c>
      <c r="AC37" s="9">
        <f>IF(AND(ISNUMBER(R37),ISNUMBER(R34)),VLOOKUP(ABS(R37-R34),'IMP Table'!$A$2:$C$26,3)*SIGN(R37-R34),0)</f>
        <v/>
      </c>
      <c r="AD37" s="9">
        <f>IF(AND(ISNUMBER(R37),ISNUMBER(R35)),VLOOKUP(ABS(R37-R35),'IMP Table'!$A$2:$C$26,3)*SIGN(R37-R35),0)</f>
        <v/>
      </c>
      <c r="AE37" s="9">
        <f>IF(AND(ISNUMBER(R37),ISNUMBER(R36)),VLOOKUP(ABS(R37-R36),'IMP Table'!$A$2:$C$26,3)*SIGN(R37-R36),0)</f>
        <v/>
      </c>
      <c r="AF37" s="9">
        <f>IF(AND(ISNUMBER(S37),ISNUMBER(S33)),VLOOKUP(ABS(S37-S33),'IMP Table'!$A$2:$C$26,3)*SIGN(S37-S33),0)</f>
        <v/>
      </c>
      <c r="AG37" s="9">
        <f>IF(AND(ISNUMBER(S37),ISNUMBER(S34)),VLOOKUP(ABS(S37-S34),'IMP Table'!$A$2:$C$26,3)*SIGN(S37-S34),0)</f>
        <v/>
      </c>
      <c r="AH37" s="9">
        <f>IF(AND(ISNUMBER(S37),ISNUMBER(S35)),VLOOKUP(ABS(S37-S35),'IMP Table'!$A$2:$C$26,3)*SIGN(S37-S35),0)</f>
        <v/>
      </c>
      <c r="AI37" s="9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7">
        <f>SUM(AF38:AI38)</f>
        <v/>
      </c>
      <c r="N38" s="6">
        <f>IF(COUNT(T38:W38)&gt;0,P38/COUNT(T38:W38),0.5)</f>
        <v/>
      </c>
      <c r="O38" s="6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7">
        <f>SUM(AF39:AI39)</f>
        <v/>
      </c>
      <c r="N39" s="6">
        <f>IF(COUNT(T39:W39)&gt;0,P39/COUNT(T39:W39),0.5)</f>
        <v/>
      </c>
      <c r="O39" s="6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7">
        <f>SUM(AF40:AI40)</f>
        <v/>
      </c>
      <c r="N40" s="6">
        <f>IF(COUNT(T40:W40)&gt;0,P40/COUNT(T40:W40),0.5)</f>
        <v/>
      </c>
      <c r="O40" s="6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7">
        <f>SUM(AF41:AI41)</f>
        <v/>
      </c>
      <c r="N41" s="6">
        <f>IF(COUNT(T41:W41)&gt;0,P41/COUNT(T41:W41),0.5)</f>
        <v/>
      </c>
      <c r="O41" s="6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9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9">
        <f>IF(ISBLANK('By Round'!G73),"",'By Round'!G73)</f>
        <v/>
      </c>
      <c r="H42" s="9">
        <f>IF(ISBLANK('By Round'!H73),"",'By Round'!H73)</f>
        <v/>
      </c>
      <c r="I42" s="9">
        <f>IF(ISBLANK('By Round'!I73),"",'By Round'!I73)</f>
        <v/>
      </c>
      <c r="J42" s="9">
        <f>IF(ISBLANK('By Round'!J73),"",'By Round'!J73)</f>
        <v/>
      </c>
      <c r="K42" s="9">
        <f>IF(ISBLANK('By Round'!K73),"",'By Round'!K73)</f>
        <v/>
      </c>
      <c r="L42" s="20">
        <f>SUM(AB42:AE42)</f>
        <v/>
      </c>
      <c r="M42" s="21">
        <f>SUM(AF42:AI42)</f>
        <v/>
      </c>
      <c r="N42" s="22">
        <f>IF(COUNT(T42:W42)&gt;0,P42/COUNT(T42:W42),0.5)</f>
        <v/>
      </c>
      <c r="O42" s="22">
        <f>IF(COUNT(X42:AA42)&gt;0,Q42/COUNT(X42:AA42),0.5)</f>
        <v/>
      </c>
      <c r="P42" s="23">
        <f>SUM(T42:W42)</f>
        <v/>
      </c>
      <c r="Q42" s="23">
        <f>SUM(X42:AA42)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IF(ISNUMBER(R42),IF(ISNUMBER(R38),IF(R42&gt;R38,1.0,IF(R42=R38,0.5,0.0)),""),"")</f>
        <v/>
      </c>
      <c r="U42" s="9">
        <f>IF(ISNUMBER(R42),IF(ISNUMBER(R39),IF(R42&gt;R39,1.0,IF(R42=R39,0.5,0.0)),""),"")</f>
        <v/>
      </c>
      <c r="V42" s="9">
        <f>IF(ISNUMBER(R42),IF(ISNUMBER(R40),IF(R42&gt;R40,1.0,IF(R42=R40,0.5,0.0)),""),"")</f>
        <v/>
      </c>
      <c r="W42" s="9">
        <f>IF(ISNUMBER(R42),IF(ISNUMBER(R41),IF(R42&gt;R41,1.0,IF(R42=R41,0.5,0.0)),""),"")</f>
        <v/>
      </c>
      <c r="X42" s="9">
        <f>IF(ISNUMBER(S42),IF(ISNUMBER(S38),IF(S42&gt;S38,1.0,IF(S42=S38,0.5,0.0)),""),"")</f>
        <v/>
      </c>
      <c r="Y42" s="9">
        <f>IF(ISNUMBER(S42),IF(ISNUMBER(S39),IF(S42&gt;S39,1.0,IF(S42=S39,0.5,0.0)),""),"")</f>
        <v/>
      </c>
      <c r="Z42" s="9">
        <f>IF(ISNUMBER(S42),IF(ISNUMBER(S40),IF(S42&gt;S40,1.0,IF(S42=S40,0.5,0.0)),""),"")</f>
        <v/>
      </c>
      <c r="AA42" s="9">
        <f>IF(ISNUMBER(S42),IF(ISNUMBER(S41),IF(S42&gt;S41,1.0,IF(S42=S41,0.5,0.0)),""),"")</f>
        <v/>
      </c>
      <c r="AB42" s="24">
        <f>IF(AND(ISNUMBER(R42),ISNUMBER(R38)),VLOOKUP(ABS(R42-R38),'IMP Table'!$A$2:$C$26,3)*SIGN(R42-R38),0)</f>
        <v/>
      </c>
      <c r="AC42" s="9">
        <f>IF(AND(ISNUMBER(R42),ISNUMBER(R39)),VLOOKUP(ABS(R42-R39),'IMP Table'!$A$2:$C$26,3)*SIGN(R42-R39),0)</f>
        <v/>
      </c>
      <c r="AD42" s="9">
        <f>IF(AND(ISNUMBER(R42),ISNUMBER(R40)),VLOOKUP(ABS(R42-R40),'IMP Table'!$A$2:$C$26,3)*SIGN(R42-R40),0)</f>
        <v/>
      </c>
      <c r="AE42" s="9">
        <f>IF(AND(ISNUMBER(R42),ISNUMBER(R41)),VLOOKUP(ABS(R42-R41),'IMP Table'!$A$2:$C$26,3)*SIGN(R42-R41),0)</f>
        <v/>
      </c>
      <c r="AF42" s="9">
        <f>IF(AND(ISNUMBER(S42),ISNUMBER(S38)),VLOOKUP(ABS(S42-S38),'IMP Table'!$A$2:$C$26,3)*SIGN(S42-S38),0)</f>
        <v/>
      </c>
      <c r="AG42" s="9">
        <f>IF(AND(ISNUMBER(S42),ISNUMBER(S39)),VLOOKUP(ABS(S42-S39),'IMP Table'!$A$2:$C$26,3)*SIGN(S42-S39),0)</f>
        <v/>
      </c>
      <c r="AH42" s="9">
        <f>IF(AND(ISNUMBER(S42),ISNUMBER(S40)),VLOOKUP(ABS(S42-S40),'IMP Table'!$A$2:$C$26,3)*SIGN(S42-S40),0)</f>
        <v/>
      </c>
      <c r="AI42" s="9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7">
        <f>SUM(AF43:AI43)</f>
        <v/>
      </c>
      <c r="N43" s="6">
        <f>IF(COUNT(T43:W43)&gt;0,P43/COUNT(T43:W43),0.5)</f>
        <v/>
      </c>
      <c r="O43" s="6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7">
        <f>SUM(AF44:AI44)</f>
        <v/>
      </c>
      <c r="N44" s="6">
        <f>IF(COUNT(T44:W44)&gt;0,P44/COUNT(T44:W44),0.5)</f>
        <v/>
      </c>
      <c r="O44" s="6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7">
        <f>SUM(AF45:AI45)</f>
        <v/>
      </c>
      <c r="N45" s="6">
        <f>IF(COUNT(T45:W45)&gt;0,P45/COUNT(T45:W45),0.5)</f>
        <v/>
      </c>
      <c r="O45" s="6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7">
        <f>SUM(AF46:AI46)</f>
        <v/>
      </c>
      <c r="N46" s="6">
        <f>IF(COUNT(T46:W46)&gt;0,P46/COUNT(T46:W46),0.5)</f>
        <v/>
      </c>
      <c r="O46" s="6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9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9">
        <f>IF(ISBLANK('By Round'!G74),"",'By Round'!G74)</f>
        <v/>
      </c>
      <c r="H47" s="9">
        <f>IF(ISBLANK('By Round'!H74),"",'By Round'!H74)</f>
        <v/>
      </c>
      <c r="I47" s="9">
        <f>IF(ISBLANK('By Round'!I74),"",'By Round'!I74)</f>
        <v/>
      </c>
      <c r="J47" s="9">
        <f>IF(ISBLANK('By Round'!J74),"",'By Round'!J74)</f>
        <v/>
      </c>
      <c r="K47" s="9">
        <f>IF(ISBLANK('By Round'!K74),"",'By Round'!K74)</f>
        <v/>
      </c>
      <c r="L47" s="20">
        <f>SUM(AB47:AE47)</f>
        <v/>
      </c>
      <c r="M47" s="21">
        <f>SUM(AF47:AI47)</f>
        <v/>
      </c>
      <c r="N47" s="22">
        <f>IF(COUNT(T47:W47)&gt;0,P47/COUNT(T47:W47),0.5)</f>
        <v/>
      </c>
      <c r="O47" s="22">
        <f>IF(COUNT(X47:AA47)&gt;0,Q47/COUNT(X47:AA47),0.5)</f>
        <v/>
      </c>
      <c r="P47" s="23">
        <f>SUM(T47:W47)</f>
        <v/>
      </c>
      <c r="Q47" s="23">
        <f>SUM(X47:AA47)</f>
        <v/>
      </c>
      <c r="R47" s="24">
        <f>IF(ISNUMBER(J47),J47,IF(ISNUMBER(K47),-K47,""))</f>
        <v/>
      </c>
      <c r="S47" s="9">
        <f>IF(ISNUMBER(K47),K47,IF(ISNUMBER(J47),-J47,""))</f>
        <v/>
      </c>
      <c r="T47" s="24">
        <f>IF(ISNUMBER(R47),IF(ISNUMBER(R43),IF(R47&gt;R43,1.0,IF(R47=R43,0.5,0.0)),""),"")</f>
        <v/>
      </c>
      <c r="U47" s="9">
        <f>IF(ISNUMBER(R47),IF(ISNUMBER(R44),IF(R47&gt;R44,1.0,IF(R47=R44,0.5,0.0)),""),"")</f>
        <v/>
      </c>
      <c r="V47" s="9">
        <f>IF(ISNUMBER(R47),IF(ISNUMBER(R45),IF(R47&gt;R45,1.0,IF(R47=R45,0.5,0.0)),""),"")</f>
        <v/>
      </c>
      <c r="W47" s="9">
        <f>IF(ISNUMBER(R47),IF(ISNUMBER(R46),IF(R47&gt;R46,1.0,IF(R47=R46,0.5,0.0)),""),"")</f>
        <v/>
      </c>
      <c r="X47" s="9">
        <f>IF(ISNUMBER(S47),IF(ISNUMBER(S43),IF(S47&gt;S43,1.0,IF(S47=S43,0.5,0.0)),""),"")</f>
        <v/>
      </c>
      <c r="Y47" s="9">
        <f>IF(ISNUMBER(S47),IF(ISNUMBER(S44),IF(S47&gt;S44,1.0,IF(S47=S44,0.5,0.0)),""),"")</f>
        <v/>
      </c>
      <c r="Z47" s="9">
        <f>IF(ISNUMBER(S47),IF(ISNUMBER(S45),IF(S47&gt;S45,1.0,IF(S47=S45,0.5,0.0)),""),"")</f>
        <v/>
      </c>
      <c r="AA47" s="9">
        <f>IF(ISNUMBER(S47),IF(ISNUMBER(S46),IF(S47&gt;S46,1.0,IF(S47=S46,0.5,0.0)),""),"")</f>
        <v/>
      </c>
      <c r="AB47" s="24">
        <f>IF(AND(ISNUMBER(R47),ISNUMBER(R43)),VLOOKUP(ABS(R47-R43),'IMP Table'!$A$2:$C$26,3)*SIGN(R47-R43),0)</f>
        <v/>
      </c>
      <c r="AC47" s="9">
        <f>IF(AND(ISNUMBER(R47),ISNUMBER(R44)),VLOOKUP(ABS(R47-R44),'IMP Table'!$A$2:$C$26,3)*SIGN(R47-R44),0)</f>
        <v/>
      </c>
      <c r="AD47" s="9">
        <f>IF(AND(ISNUMBER(R47),ISNUMBER(R45)),VLOOKUP(ABS(R47-R45),'IMP Table'!$A$2:$C$26,3)*SIGN(R47-R45),0)</f>
        <v/>
      </c>
      <c r="AE47" s="9">
        <f>IF(AND(ISNUMBER(R47),ISNUMBER(R46)),VLOOKUP(ABS(R47-R46),'IMP Table'!$A$2:$C$26,3)*SIGN(R47-R46),0)</f>
        <v/>
      </c>
      <c r="AF47" s="9">
        <f>IF(AND(ISNUMBER(S47),ISNUMBER(S43)),VLOOKUP(ABS(S47-S43),'IMP Table'!$A$2:$C$26,3)*SIGN(S47-S43),0)</f>
        <v/>
      </c>
      <c r="AG47" s="9">
        <f>IF(AND(ISNUMBER(S47),ISNUMBER(S44)),VLOOKUP(ABS(S47-S44),'IMP Table'!$A$2:$C$26,3)*SIGN(S47-S44),0)</f>
        <v/>
      </c>
      <c r="AH47" s="9">
        <f>IF(AND(ISNUMBER(S47),ISNUMBER(S45)),VLOOKUP(ABS(S47-S45),'IMP Table'!$A$2:$C$26,3)*SIGN(S47-S45),0)</f>
        <v/>
      </c>
      <c r="AI47" s="9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7">
        <f>SUM(AF48:AI48)</f>
        <v/>
      </c>
      <c r="N48" s="6">
        <f>IF(COUNT(T48:W48)&gt;0,P48/COUNT(T48:W48),0.5)</f>
        <v/>
      </c>
      <c r="O48" s="6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7">
        <f>SUM(AF49:AI49)</f>
        <v/>
      </c>
      <c r="N49" s="6">
        <f>IF(COUNT(T49:W49)&gt;0,P49/COUNT(T49:W49),0.5)</f>
        <v/>
      </c>
      <c r="O49" s="6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7">
        <f>SUM(AF50:AI50)</f>
        <v/>
      </c>
      <c r="N50" s="6">
        <f>IF(COUNT(T50:W50)&gt;0,P50/COUNT(T50:W50),0.5)</f>
        <v/>
      </c>
      <c r="O50" s="6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7">
        <f>SUM(AF51:AI51)</f>
        <v/>
      </c>
      <c r="N51" s="6">
        <f>IF(COUNT(T51:W51)&gt;0,P51/COUNT(T51:W51),0.5)</f>
        <v/>
      </c>
      <c r="O51" s="6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9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9">
        <f>IF(ISBLANK('By Round'!G75),"",'By Round'!G75)</f>
        <v/>
      </c>
      <c r="H52" s="9">
        <f>IF(ISBLANK('By Round'!H75),"",'By Round'!H75)</f>
        <v/>
      </c>
      <c r="I52" s="9">
        <f>IF(ISBLANK('By Round'!I75),"",'By Round'!I75)</f>
        <v/>
      </c>
      <c r="J52" s="9">
        <f>IF(ISBLANK('By Round'!J75),"",'By Round'!J75)</f>
        <v/>
      </c>
      <c r="K52" s="9">
        <f>IF(ISBLANK('By Round'!K75),"",'By Round'!K75)</f>
        <v/>
      </c>
      <c r="L52" s="20">
        <f>SUM(AB52:AE52)</f>
        <v/>
      </c>
      <c r="M52" s="21">
        <f>SUM(AF52:AI52)</f>
        <v/>
      </c>
      <c r="N52" s="22">
        <f>IF(COUNT(T52:W52)&gt;0,P52/COUNT(T52:W52),0.5)</f>
        <v/>
      </c>
      <c r="O52" s="22">
        <f>IF(COUNT(X52:AA52)&gt;0,Q52/COUNT(X52:AA52),0.5)</f>
        <v/>
      </c>
      <c r="P52" s="23">
        <f>SUM(T52:W52)</f>
        <v/>
      </c>
      <c r="Q52" s="23">
        <f>SUM(X52:AA52)</f>
        <v/>
      </c>
      <c r="R52" s="24">
        <f>IF(ISNUMBER(J52),J52,IF(ISNUMBER(K52),-K52,""))</f>
        <v/>
      </c>
      <c r="S52" s="9">
        <f>IF(ISNUMBER(K52),K52,IF(ISNUMBER(J52),-J52,""))</f>
        <v/>
      </c>
      <c r="T52" s="24">
        <f>IF(ISNUMBER(R52),IF(ISNUMBER(R48),IF(R52&gt;R48,1.0,IF(R52=R48,0.5,0.0)),""),"")</f>
        <v/>
      </c>
      <c r="U52" s="9">
        <f>IF(ISNUMBER(R52),IF(ISNUMBER(R49),IF(R52&gt;R49,1.0,IF(R52=R49,0.5,0.0)),""),"")</f>
        <v/>
      </c>
      <c r="V52" s="9">
        <f>IF(ISNUMBER(R52),IF(ISNUMBER(R50),IF(R52&gt;R50,1.0,IF(R52=R50,0.5,0.0)),""),"")</f>
        <v/>
      </c>
      <c r="W52" s="9">
        <f>IF(ISNUMBER(R52),IF(ISNUMBER(R51),IF(R52&gt;R51,1.0,IF(R52=R51,0.5,0.0)),""),"")</f>
        <v/>
      </c>
      <c r="X52" s="9">
        <f>IF(ISNUMBER(S52),IF(ISNUMBER(S48),IF(S52&gt;S48,1.0,IF(S52=S48,0.5,0.0)),""),"")</f>
        <v/>
      </c>
      <c r="Y52" s="9">
        <f>IF(ISNUMBER(S52),IF(ISNUMBER(S49),IF(S52&gt;S49,1.0,IF(S52=S49,0.5,0.0)),""),"")</f>
        <v/>
      </c>
      <c r="Z52" s="9">
        <f>IF(ISNUMBER(S52),IF(ISNUMBER(S50),IF(S52&gt;S50,1.0,IF(S52=S50,0.5,0.0)),""),"")</f>
        <v/>
      </c>
      <c r="AA52" s="9">
        <f>IF(ISNUMBER(S52),IF(ISNUMBER(S51),IF(S52&gt;S51,1.0,IF(S52=S51,0.5,0.0)),""),"")</f>
        <v/>
      </c>
      <c r="AB52" s="24">
        <f>IF(AND(ISNUMBER(R52),ISNUMBER(R48)),VLOOKUP(ABS(R52-R48),'IMP Table'!$A$2:$C$26,3)*SIGN(R52-R48),0)</f>
        <v/>
      </c>
      <c r="AC52" s="9">
        <f>IF(AND(ISNUMBER(R52),ISNUMBER(R49)),VLOOKUP(ABS(R52-R49),'IMP Table'!$A$2:$C$26,3)*SIGN(R52-R49),0)</f>
        <v/>
      </c>
      <c r="AD52" s="9">
        <f>IF(AND(ISNUMBER(R52),ISNUMBER(R50)),VLOOKUP(ABS(R52-R50),'IMP Table'!$A$2:$C$26,3)*SIGN(R52-R50),0)</f>
        <v/>
      </c>
      <c r="AE52" s="9">
        <f>IF(AND(ISNUMBER(R52),ISNUMBER(R51)),VLOOKUP(ABS(R52-R51),'IMP Table'!$A$2:$C$26,3)*SIGN(R52-R51),0)</f>
        <v/>
      </c>
      <c r="AF52" s="9">
        <f>IF(AND(ISNUMBER(S52),ISNUMBER(S48)),VLOOKUP(ABS(S52-S48),'IMP Table'!$A$2:$C$26,3)*SIGN(S52-S48),0)</f>
        <v/>
      </c>
      <c r="AG52" s="9">
        <f>IF(AND(ISNUMBER(S52),ISNUMBER(S49)),VLOOKUP(ABS(S52-S49),'IMP Table'!$A$2:$C$26,3)*SIGN(S52-S49),0)</f>
        <v/>
      </c>
      <c r="AH52" s="9">
        <f>IF(AND(ISNUMBER(S52),ISNUMBER(S50)),VLOOKUP(ABS(S52-S50),'IMP Table'!$A$2:$C$26,3)*SIGN(S52-S50),0)</f>
        <v/>
      </c>
      <c r="AI52" s="9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7">
        <f>SUM(AF53:AI53)</f>
        <v/>
      </c>
      <c r="N53" s="6">
        <f>IF(COUNT(T53:W53)&gt;0,P53/COUNT(T53:W53),0.5)</f>
        <v/>
      </c>
      <c r="O53" s="6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7">
        <f>SUM(AF54:AI54)</f>
        <v/>
      </c>
      <c r="N54" s="6">
        <f>IF(COUNT(T54:W54)&gt;0,P54/COUNT(T54:W54),0.5)</f>
        <v/>
      </c>
      <c r="O54" s="6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7">
        <f>SUM(AF55:AI55)</f>
        <v/>
      </c>
      <c r="N55" s="6">
        <f>IF(COUNT(T55:W55)&gt;0,P55/COUNT(T55:W55),0.5)</f>
        <v/>
      </c>
      <c r="O55" s="6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7">
        <f>SUM(AF56:AI56)</f>
        <v/>
      </c>
      <c r="N56" s="6">
        <f>IF(COUNT(T56:W56)&gt;0,P56/COUNT(T56:W56),0.5)</f>
        <v/>
      </c>
      <c r="O56" s="6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9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9">
        <f>IF(ISBLANK('By Round'!G76),"",'By Round'!G76)</f>
        <v/>
      </c>
      <c r="H57" s="9">
        <f>IF(ISBLANK('By Round'!H76),"",'By Round'!H76)</f>
        <v/>
      </c>
      <c r="I57" s="9">
        <f>IF(ISBLANK('By Round'!I76),"",'By Round'!I76)</f>
        <v/>
      </c>
      <c r="J57" s="9">
        <f>IF(ISBLANK('By Round'!J76),"",'By Round'!J76)</f>
        <v/>
      </c>
      <c r="K57" s="9">
        <f>IF(ISBLANK('By Round'!K76),"",'By Round'!K76)</f>
        <v/>
      </c>
      <c r="L57" s="20">
        <f>SUM(AB57:AE57)</f>
        <v/>
      </c>
      <c r="M57" s="21">
        <f>SUM(AF57:AI57)</f>
        <v/>
      </c>
      <c r="N57" s="22">
        <f>IF(COUNT(T57:W57)&gt;0,P57/COUNT(T57:W57),0.5)</f>
        <v/>
      </c>
      <c r="O57" s="22">
        <f>IF(COUNT(X57:AA57)&gt;0,Q57/COUNT(X57:AA57),0.5)</f>
        <v/>
      </c>
      <c r="P57" s="23">
        <f>SUM(T57:W57)</f>
        <v/>
      </c>
      <c r="Q57" s="23">
        <f>SUM(X57:AA57)</f>
        <v/>
      </c>
      <c r="R57" s="24">
        <f>IF(ISNUMBER(J57),J57,IF(ISNUMBER(K57),-K57,""))</f>
        <v/>
      </c>
      <c r="S57" s="9">
        <f>IF(ISNUMBER(K57),K57,IF(ISNUMBER(J57),-J57,""))</f>
        <v/>
      </c>
      <c r="T57" s="24">
        <f>IF(ISNUMBER(R57),IF(ISNUMBER(R53),IF(R57&gt;R53,1.0,IF(R57=R53,0.5,0.0)),""),"")</f>
        <v/>
      </c>
      <c r="U57" s="9">
        <f>IF(ISNUMBER(R57),IF(ISNUMBER(R54),IF(R57&gt;R54,1.0,IF(R57=R54,0.5,0.0)),""),"")</f>
        <v/>
      </c>
      <c r="V57" s="9">
        <f>IF(ISNUMBER(R57),IF(ISNUMBER(R55),IF(R57&gt;R55,1.0,IF(R57=R55,0.5,0.0)),""),"")</f>
        <v/>
      </c>
      <c r="W57" s="9">
        <f>IF(ISNUMBER(R57),IF(ISNUMBER(R56),IF(R57&gt;R56,1.0,IF(R57=R56,0.5,0.0)),""),"")</f>
        <v/>
      </c>
      <c r="X57" s="9">
        <f>IF(ISNUMBER(S57),IF(ISNUMBER(S53),IF(S57&gt;S53,1.0,IF(S57=S53,0.5,0.0)),""),"")</f>
        <v/>
      </c>
      <c r="Y57" s="9">
        <f>IF(ISNUMBER(S57),IF(ISNUMBER(S54),IF(S57&gt;S54,1.0,IF(S57=S54,0.5,0.0)),""),"")</f>
        <v/>
      </c>
      <c r="Z57" s="9">
        <f>IF(ISNUMBER(S57),IF(ISNUMBER(S55),IF(S57&gt;S55,1.0,IF(S57=S55,0.5,0.0)),""),"")</f>
        <v/>
      </c>
      <c r="AA57" s="9">
        <f>IF(ISNUMBER(S57),IF(ISNUMBER(S56),IF(S57&gt;S56,1.0,IF(S57=S56,0.5,0.0)),""),"")</f>
        <v/>
      </c>
      <c r="AB57" s="24">
        <f>IF(AND(ISNUMBER(R57),ISNUMBER(R53)),VLOOKUP(ABS(R57-R53),'IMP Table'!$A$2:$C$26,3)*SIGN(R57-R53),0)</f>
        <v/>
      </c>
      <c r="AC57" s="9">
        <f>IF(AND(ISNUMBER(R57),ISNUMBER(R54)),VLOOKUP(ABS(R57-R54),'IMP Table'!$A$2:$C$26,3)*SIGN(R57-R54),0)</f>
        <v/>
      </c>
      <c r="AD57" s="9">
        <f>IF(AND(ISNUMBER(R57),ISNUMBER(R55)),VLOOKUP(ABS(R57-R55),'IMP Table'!$A$2:$C$26,3)*SIGN(R57-R55),0)</f>
        <v/>
      </c>
      <c r="AE57" s="9">
        <f>IF(AND(ISNUMBER(R57),ISNUMBER(R56)),VLOOKUP(ABS(R57-R56),'IMP Table'!$A$2:$C$26,3)*SIGN(R57-R56),0)</f>
        <v/>
      </c>
      <c r="AF57" s="9">
        <f>IF(AND(ISNUMBER(S57),ISNUMBER(S53)),VLOOKUP(ABS(S57-S53),'IMP Table'!$A$2:$C$26,3)*SIGN(S57-S53),0)</f>
        <v/>
      </c>
      <c r="AG57" s="9">
        <f>IF(AND(ISNUMBER(S57),ISNUMBER(S54)),VLOOKUP(ABS(S57-S54),'IMP Table'!$A$2:$C$26,3)*SIGN(S57-S54),0)</f>
        <v/>
      </c>
      <c r="AH57" s="9">
        <f>IF(AND(ISNUMBER(S57),ISNUMBER(S55)),VLOOKUP(ABS(S57-S55),'IMP Table'!$A$2:$C$26,3)*SIGN(S57-S55),0)</f>
        <v/>
      </c>
      <c r="AI57" s="9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7">
        <f>SUM(AF58:AI58)</f>
        <v/>
      </c>
      <c r="N58" s="6">
        <f>IF(COUNT(T58:W58)&gt;0,P58/COUNT(T58:W58),0.5)</f>
        <v/>
      </c>
      <c r="O58" s="6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7">
        <f>SUM(AF59:AI59)</f>
        <v/>
      </c>
      <c r="N59" s="6">
        <f>IF(COUNT(T59:W59)&gt;0,P59/COUNT(T59:W59),0.5)</f>
        <v/>
      </c>
      <c r="O59" s="6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7">
        <f>SUM(AF60:AI60)</f>
        <v/>
      </c>
      <c r="N60" s="6">
        <f>IF(COUNT(T60:W60)&gt;0,P60/COUNT(T60:W60),0.5)</f>
        <v/>
      </c>
      <c r="O60" s="6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7">
        <f>SUM(AF61:AI61)</f>
        <v/>
      </c>
      <c r="N61" s="6">
        <f>IF(COUNT(T61:W61)&gt;0,P61/COUNT(T61:W61),0.5)</f>
        <v/>
      </c>
      <c r="O61" s="6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9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9">
        <f>IF(ISBLANK('By Round'!G77),"",'By Round'!G77)</f>
        <v/>
      </c>
      <c r="H62" s="9">
        <f>IF(ISBLANK('By Round'!H77),"",'By Round'!H77)</f>
        <v/>
      </c>
      <c r="I62" s="9">
        <f>IF(ISBLANK('By Round'!I77),"",'By Round'!I77)</f>
        <v/>
      </c>
      <c r="J62" s="9">
        <f>IF(ISBLANK('By Round'!J77),"",'By Round'!J77)</f>
        <v/>
      </c>
      <c r="K62" s="9">
        <f>IF(ISBLANK('By Round'!K77),"",'By Round'!K77)</f>
        <v/>
      </c>
      <c r="L62" s="20">
        <f>SUM(AB62:AE62)</f>
        <v/>
      </c>
      <c r="M62" s="21">
        <f>SUM(AF62:AI62)</f>
        <v/>
      </c>
      <c r="N62" s="22">
        <f>IF(COUNT(T62:W62)&gt;0,P62/COUNT(T62:W62),0.5)</f>
        <v/>
      </c>
      <c r="O62" s="22">
        <f>IF(COUNT(X62:AA62)&gt;0,Q62/COUNT(X62:AA62),0.5)</f>
        <v/>
      </c>
      <c r="P62" s="23">
        <f>SUM(T62:W62)</f>
        <v/>
      </c>
      <c r="Q62" s="23">
        <f>SUM(X62:AA62)</f>
        <v/>
      </c>
      <c r="R62" s="24">
        <f>IF(ISNUMBER(J62),J62,IF(ISNUMBER(K62),-K62,""))</f>
        <v/>
      </c>
      <c r="S62" s="9">
        <f>IF(ISNUMBER(K62),K62,IF(ISNUMBER(J62),-J62,""))</f>
        <v/>
      </c>
      <c r="T62" s="24">
        <f>IF(ISNUMBER(R62),IF(ISNUMBER(R58),IF(R62&gt;R58,1.0,IF(R62=R58,0.5,0.0)),""),"")</f>
        <v/>
      </c>
      <c r="U62" s="9">
        <f>IF(ISNUMBER(R62),IF(ISNUMBER(R59),IF(R62&gt;R59,1.0,IF(R62=R59,0.5,0.0)),""),"")</f>
        <v/>
      </c>
      <c r="V62" s="9">
        <f>IF(ISNUMBER(R62),IF(ISNUMBER(R60),IF(R62&gt;R60,1.0,IF(R62=R60,0.5,0.0)),""),"")</f>
        <v/>
      </c>
      <c r="W62" s="9">
        <f>IF(ISNUMBER(R62),IF(ISNUMBER(R61),IF(R62&gt;R61,1.0,IF(R62=R61,0.5,0.0)),""),"")</f>
        <v/>
      </c>
      <c r="X62" s="9">
        <f>IF(ISNUMBER(S62),IF(ISNUMBER(S58),IF(S62&gt;S58,1.0,IF(S62=S58,0.5,0.0)),""),"")</f>
        <v/>
      </c>
      <c r="Y62" s="9">
        <f>IF(ISNUMBER(S62),IF(ISNUMBER(S59),IF(S62&gt;S59,1.0,IF(S62=S59,0.5,0.0)),""),"")</f>
        <v/>
      </c>
      <c r="Z62" s="9">
        <f>IF(ISNUMBER(S62),IF(ISNUMBER(S60),IF(S62&gt;S60,1.0,IF(S62=S60,0.5,0.0)),""),"")</f>
        <v/>
      </c>
      <c r="AA62" s="9">
        <f>IF(ISNUMBER(S62),IF(ISNUMBER(S61),IF(S62&gt;S61,1.0,IF(S62=S61,0.5,0.0)),""),"")</f>
        <v/>
      </c>
      <c r="AB62" s="24">
        <f>IF(AND(ISNUMBER(R62),ISNUMBER(R58)),VLOOKUP(ABS(R62-R58),'IMP Table'!$A$2:$C$26,3)*SIGN(R62-R58),0)</f>
        <v/>
      </c>
      <c r="AC62" s="9">
        <f>IF(AND(ISNUMBER(R62),ISNUMBER(R59)),VLOOKUP(ABS(R62-R59),'IMP Table'!$A$2:$C$26,3)*SIGN(R62-R59),0)</f>
        <v/>
      </c>
      <c r="AD62" s="9">
        <f>IF(AND(ISNUMBER(R62),ISNUMBER(R60)),VLOOKUP(ABS(R62-R60),'IMP Table'!$A$2:$C$26,3)*SIGN(R62-R60),0)</f>
        <v/>
      </c>
      <c r="AE62" s="9">
        <f>IF(AND(ISNUMBER(R62),ISNUMBER(R61)),VLOOKUP(ABS(R62-R61),'IMP Table'!$A$2:$C$26,3)*SIGN(R62-R61),0)</f>
        <v/>
      </c>
      <c r="AF62" s="9">
        <f>IF(AND(ISNUMBER(S62),ISNUMBER(S58)),VLOOKUP(ABS(S62-S58),'IMP Table'!$A$2:$C$26,3)*SIGN(S62-S58),0)</f>
        <v/>
      </c>
      <c r="AG62" s="9">
        <f>IF(AND(ISNUMBER(S62),ISNUMBER(S59)),VLOOKUP(ABS(S62-S59),'IMP Table'!$A$2:$C$26,3)*SIGN(S62-S59),0)</f>
        <v/>
      </c>
      <c r="AH62" s="9">
        <f>IF(AND(ISNUMBER(S62),ISNUMBER(S60)),VLOOKUP(ABS(S62-S60),'IMP Table'!$A$2:$C$26,3)*SIGN(S62-S60),0)</f>
        <v/>
      </c>
      <c r="AI62" s="9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7">
        <f>SUM(AF63:AI63)</f>
        <v/>
      </c>
      <c r="N63" s="6">
        <f>IF(COUNT(T63:W63)&gt;0,P63/COUNT(T63:W63),0.5)</f>
        <v/>
      </c>
      <c r="O63" s="6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7">
        <f>SUM(AF64:AI64)</f>
        <v/>
      </c>
      <c r="N64" s="6">
        <f>IF(COUNT(T64:W64)&gt;0,P64/COUNT(T64:W64),0.5)</f>
        <v/>
      </c>
      <c r="O64" s="6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7">
        <f>SUM(AF65:AI65)</f>
        <v/>
      </c>
      <c r="N65" s="6">
        <f>IF(COUNT(T65:W65)&gt;0,P65/COUNT(T65:W65),0.5)</f>
        <v/>
      </c>
      <c r="O65" s="6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7">
        <f>SUM(AF66:AI66)</f>
        <v/>
      </c>
      <c r="N66" s="6">
        <f>IF(COUNT(T66:W66)&gt;0,P66/COUNT(T66:W66),0.5)</f>
        <v/>
      </c>
      <c r="O66" s="6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9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9">
        <f>IF(ISBLANK('By Round'!G63),"",'By Round'!G63)</f>
        <v/>
      </c>
      <c r="H67" s="9">
        <f>IF(ISBLANK('By Round'!H63),"",'By Round'!H63)</f>
        <v/>
      </c>
      <c r="I67" s="9">
        <f>IF(ISBLANK('By Round'!I63),"",'By Round'!I63)</f>
        <v/>
      </c>
      <c r="J67" s="9">
        <f>IF(ISBLANK('By Round'!J63),"",'By Round'!J63)</f>
        <v/>
      </c>
      <c r="K67" s="9">
        <f>IF(ISBLANK('By Round'!K63),"",'By Round'!K63)</f>
        <v/>
      </c>
      <c r="L67" s="20">
        <f>SUM(AB67:AE67)</f>
        <v/>
      </c>
      <c r="M67" s="21">
        <f>SUM(AF67:AI67)</f>
        <v/>
      </c>
      <c r="N67" s="22">
        <f>IF(COUNT(T67:W67)&gt;0,P67/COUNT(T67:W67),0.5)</f>
        <v/>
      </c>
      <c r="O67" s="22">
        <f>IF(COUNT(X67:AA67)&gt;0,Q67/COUNT(X67:AA67),0.5)</f>
        <v/>
      </c>
      <c r="P67" s="23">
        <f>SUM(T67:W67)</f>
        <v/>
      </c>
      <c r="Q67" s="23">
        <f>SUM(X67:AA67)</f>
        <v/>
      </c>
      <c r="R67" s="24">
        <f>IF(ISNUMBER(J67),J67,IF(ISNUMBER(K67),-K67,""))</f>
        <v/>
      </c>
      <c r="S67" s="9">
        <f>IF(ISNUMBER(K67),K67,IF(ISNUMBER(J67),-J67,""))</f>
        <v/>
      </c>
      <c r="T67" s="24">
        <f>IF(ISNUMBER(R67),IF(ISNUMBER(R63),IF(R67&gt;R63,1.0,IF(R67=R63,0.5,0.0)),""),"")</f>
        <v/>
      </c>
      <c r="U67" s="9">
        <f>IF(ISNUMBER(R67),IF(ISNUMBER(R64),IF(R67&gt;R64,1.0,IF(R67=R64,0.5,0.0)),""),"")</f>
        <v/>
      </c>
      <c r="V67" s="9">
        <f>IF(ISNUMBER(R67),IF(ISNUMBER(R65),IF(R67&gt;R65,1.0,IF(R67=R65,0.5,0.0)),""),"")</f>
        <v/>
      </c>
      <c r="W67" s="9">
        <f>IF(ISNUMBER(R67),IF(ISNUMBER(R66),IF(R67&gt;R66,1.0,IF(R67=R66,0.5,0.0)),""),"")</f>
        <v/>
      </c>
      <c r="X67" s="9">
        <f>IF(ISNUMBER(S67),IF(ISNUMBER(S63),IF(S67&gt;S63,1.0,IF(S67=S63,0.5,0.0)),""),"")</f>
        <v/>
      </c>
      <c r="Y67" s="9">
        <f>IF(ISNUMBER(S67),IF(ISNUMBER(S64),IF(S67&gt;S64,1.0,IF(S67=S64,0.5,0.0)),""),"")</f>
        <v/>
      </c>
      <c r="Z67" s="9">
        <f>IF(ISNUMBER(S67),IF(ISNUMBER(S65),IF(S67&gt;S65,1.0,IF(S67=S65,0.5,0.0)),""),"")</f>
        <v/>
      </c>
      <c r="AA67" s="9">
        <f>IF(ISNUMBER(S67),IF(ISNUMBER(S66),IF(S67&gt;S66,1.0,IF(S67=S66,0.5,0.0)),""),"")</f>
        <v/>
      </c>
      <c r="AB67" s="24">
        <f>IF(AND(ISNUMBER(R67),ISNUMBER(R63)),VLOOKUP(ABS(R67-R63),'IMP Table'!$A$2:$C$26,3)*SIGN(R67-R63),0)</f>
        <v/>
      </c>
      <c r="AC67" s="9">
        <f>IF(AND(ISNUMBER(R67),ISNUMBER(R64)),VLOOKUP(ABS(R67-R64),'IMP Table'!$A$2:$C$26,3)*SIGN(R67-R64),0)</f>
        <v/>
      </c>
      <c r="AD67" s="9">
        <f>IF(AND(ISNUMBER(R67),ISNUMBER(R65)),VLOOKUP(ABS(R67-R65),'IMP Table'!$A$2:$C$26,3)*SIGN(R67-R65),0)</f>
        <v/>
      </c>
      <c r="AE67" s="9">
        <f>IF(AND(ISNUMBER(R67),ISNUMBER(R66)),VLOOKUP(ABS(R67-R66),'IMP Table'!$A$2:$C$26,3)*SIGN(R67-R66),0)</f>
        <v/>
      </c>
      <c r="AF67" s="9">
        <f>IF(AND(ISNUMBER(S67),ISNUMBER(S63)),VLOOKUP(ABS(S67-S63),'IMP Table'!$A$2:$C$26,3)*SIGN(S67-S63),0)</f>
        <v/>
      </c>
      <c r="AG67" s="9">
        <f>IF(AND(ISNUMBER(S67),ISNUMBER(S64)),VLOOKUP(ABS(S67-S64),'IMP Table'!$A$2:$C$26,3)*SIGN(S67-S64),0)</f>
        <v/>
      </c>
      <c r="AH67" s="9">
        <f>IF(AND(ISNUMBER(S67),ISNUMBER(S65)),VLOOKUP(ABS(S67-S65),'IMP Table'!$A$2:$C$26,3)*SIGN(S67-S65),0)</f>
        <v/>
      </c>
      <c r="AI67" s="9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7">
        <f>SUM(AF68:AI68)</f>
        <v/>
      </c>
      <c r="N68" s="6">
        <f>IF(COUNT(T68:W68)&gt;0,P68/COUNT(T68:W68),0.5)</f>
        <v/>
      </c>
      <c r="O68" s="6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7">
        <f>SUM(AF69:AI69)</f>
        <v/>
      </c>
      <c r="N69" s="6">
        <f>IF(COUNT(T69:W69)&gt;0,P69/COUNT(T69:W69),0.5)</f>
        <v/>
      </c>
      <c r="O69" s="6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7">
        <f>SUM(AF70:AI70)</f>
        <v/>
      </c>
      <c r="N70" s="6">
        <f>IF(COUNT(T70:W70)&gt;0,P70/COUNT(T70:W70),0.5)</f>
        <v/>
      </c>
      <c r="O70" s="6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7">
        <f>SUM(AF71:AI71)</f>
        <v/>
      </c>
      <c r="N71" s="6">
        <f>IF(COUNT(T71:W71)&gt;0,P71/COUNT(T71:W71),0.5)</f>
        <v/>
      </c>
      <c r="O71" s="6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9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9">
        <f>IF(ISBLANK('By Round'!G64),"",'By Round'!G64)</f>
        <v/>
      </c>
      <c r="H72" s="9">
        <f>IF(ISBLANK('By Round'!H64),"",'By Round'!H64)</f>
        <v/>
      </c>
      <c r="I72" s="9">
        <f>IF(ISBLANK('By Round'!I64),"",'By Round'!I64)</f>
        <v/>
      </c>
      <c r="J72" s="9">
        <f>IF(ISBLANK('By Round'!J64),"",'By Round'!J64)</f>
        <v/>
      </c>
      <c r="K72" s="9">
        <f>IF(ISBLANK('By Round'!K64),"",'By Round'!K64)</f>
        <v/>
      </c>
      <c r="L72" s="20">
        <f>SUM(AB72:AE72)</f>
        <v/>
      </c>
      <c r="M72" s="21">
        <f>SUM(AF72:AI72)</f>
        <v/>
      </c>
      <c r="N72" s="22">
        <f>IF(COUNT(T72:W72)&gt;0,P72/COUNT(T72:W72),0.5)</f>
        <v/>
      </c>
      <c r="O72" s="22">
        <f>IF(COUNT(X72:AA72)&gt;0,Q72/COUNT(X72:AA72),0.5)</f>
        <v/>
      </c>
      <c r="P72" s="23">
        <f>SUM(T72:W72)</f>
        <v/>
      </c>
      <c r="Q72" s="23">
        <f>SUM(X72:AA72)</f>
        <v/>
      </c>
      <c r="R72" s="24">
        <f>IF(ISNUMBER(J72),J72,IF(ISNUMBER(K72),-K72,""))</f>
        <v/>
      </c>
      <c r="S72" s="9">
        <f>IF(ISNUMBER(K72),K72,IF(ISNUMBER(J72),-J72,""))</f>
        <v/>
      </c>
      <c r="T72" s="24">
        <f>IF(ISNUMBER(R72),IF(ISNUMBER(R68),IF(R72&gt;R68,1.0,IF(R72=R68,0.5,0.0)),""),"")</f>
        <v/>
      </c>
      <c r="U72" s="9">
        <f>IF(ISNUMBER(R72),IF(ISNUMBER(R69),IF(R72&gt;R69,1.0,IF(R72=R69,0.5,0.0)),""),"")</f>
        <v/>
      </c>
      <c r="V72" s="9">
        <f>IF(ISNUMBER(R72),IF(ISNUMBER(R70),IF(R72&gt;R70,1.0,IF(R72=R70,0.5,0.0)),""),"")</f>
        <v/>
      </c>
      <c r="W72" s="9">
        <f>IF(ISNUMBER(R72),IF(ISNUMBER(R71),IF(R72&gt;R71,1.0,IF(R72=R71,0.5,0.0)),""),"")</f>
        <v/>
      </c>
      <c r="X72" s="9">
        <f>IF(ISNUMBER(S72),IF(ISNUMBER(S68),IF(S72&gt;S68,1.0,IF(S72=S68,0.5,0.0)),""),"")</f>
        <v/>
      </c>
      <c r="Y72" s="9">
        <f>IF(ISNUMBER(S72),IF(ISNUMBER(S69),IF(S72&gt;S69,1.0,IF(S72=S69,0.5,0.0)),""),"")</f>
        <v/>
      </c>
      <c r="Z72" s="9">
        <f>IF(ISNUMBER(S72),IF(ISNUMBER(S70),IF(S72&gt;S70,1.0,IF(S72=S70,0.5,0.0)),""),"")</f>
        <v/>
      </c>
      <c r="AA72" s="9">
        <f>IF(ISNUMBER(S72),IF(ISNUMBER(S71),IF(S72&gt;S71,1.0,IF(S72=S71,0.5,0.0)),""),"")</f>
        <v/>
      </c>
      <c r="AB72" s="24">
        <f>IF(AND(ISNUMBER(R72),ISNUMBER(R68)),VLOOKUP(ABS(R72-R68),'IMP Table'!$A$2:$C$26,3)*SIGN(R72-R68),0)</f>
        <v/>
      </c>
      <c r="AC72" s="9">
        <f>IF(AND(ISNUMBER(R72),ISNUMBER(R69)),VLOOKUP(ABS(R72-R69),'IMP Table'!$A$2:$C$26,3)*SIGN(R72-R69),0)</f>
        <v/>
      </c>
      <c r="AD72" s="9">
        <f>IF(AND(ISNUMBER(R72),ISNUMBER(R70)),VLOOKUP(ABS(R72-R70),'IMP Table'!$A$2:$C$26,3)*SIGN(R72-R70),0)</f>
        <v/>
      </c>
      <c r="AE72" s="9">
        <f>IF(AND(ISNUMBER(R72),ISNUMBER(R71)),VLOOKUP(ABS(R72-R71),'IMP Table'!$A$2:$C$26,3)*SIGN(R72-R71),0)</f>
        <v/>
      </c>
      <c r="AF72" s="9">
        <f>IF(AND(ISNUMBER(S72),ISNUMBER(S68)),VLOOKUP(ABS(S72-S68),'IMP Table'!$A$2:$C$26,3)*SIGN(S72-S68),0)</f>
        <v/>
      </c>
      <c r="AG72" s="9">
        <f>IF(AND(ISNUMBER(S72),ISNUMBER(S69)),VLOOKUP(ABS(S72-S69),'IMP Table'!$A$2:$C$26,3)*SIGN(S72-S69),0)</f>
        <v/>
      </c>
      <c r="AH72" s="9">
        <f>IF(AND(ISNUMBER(S72),ISNUMBER(S70)),VLOOKUP(ABS(S72-S70),'IMP Table'!$A$2:$C$26,3)*SIGN(S72-S70),0)</f>
        <v/>
      </c>
      <c r="AI72" s="9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7">
        <f>SUM(AF73:AI73)</f>
        <v/>
      </c>
      <c r="N73" s="6">
        <f>IF(COUNT(T73:W73)&gt;0,P73/COUNT(T73:W73),0.5)</f>
        <v/>
      </c>
      <c r="O73" s="6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7">
        <f>SUM(AF74:AI74)</f>
        <v/>
      </c>
      <c r="N74" s="6">
        <f>IF(COUNT(T74:W74)&gt;0,P74/COUNT(T74:W74),0.5)</f>
        <v/>
      </c>
      <c r="O74" s="6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7">
        <f>SUM(AF75:AI75)</f>
        <v/>
      </c>
      <c r="N75" s="6">
        <f>IF(COUNT(T75:W75)&gt;0,P75/COUNT(T75:W75),0.5)</f>
        <v/>
      </c>
      <c r="O75" s="6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7">
        <f>SUM(AF76:AI76)</f>
        <v/>
      </c>
      <c r="N76" s="6">
        <f>IF(COUNT(T76:W76)&gt;0,P76/COUNT(T76:W76),0.5)</f>
        <v/>
      </c>
      <c r="O76" s="6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9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9">
        <f>IF(ISBLANK('By Round'!G65),"",'By Round'!G65)</f>
        <v/>
      </c>
      <c r="H77" s="9">
        <f>IF(ISBLANK('By Round'!H65),"",'By Round'!H65)</f>
        <v/>
      </c>
      <c r="I77" s="9">
        <f>IF(ISBLANK('By Round'!I65),"",'By Round'!I65)</f>
        <v/>
      </c>
      <c r="J77" s="9">
        <f>IF(ISBLANK('By Round'!J65),"",'By Round'!J65)</f>
        <v/>
      </c>
      <c r="K77" s="9">
        <f>IF(ISBLANK('By Round'!K65),"",'By Round'!K65)</f>
        <v/>
      </c>
      <c r="L77" s="20">
        <f>SUM(AB77:AE77)</f>
        <v/>
      </c>
      <c r="M77" s="21">
        <f>SUM(AF77:AI77)</f>
        <v/>
      </c>
      <c r="N77" s="22">
        <f>IF(COUNT(T77:W77)&gt;0,P77/COUNT(T77:W77),0.5)</f>
        <v/>
      </c>
      <c r="O77" s="22">
        <f>IF(COUNT(X77:AA77)&gt;0,Q77/COUNT(X77:AA77),0.5)</f>
        <v/>
      </c>
      <c r="P77" s="23">
        <f>SUM(T77:W77)</f>
        <v/>
      </c>
      <c r="Q77" s="23">
        <f>SUM(X77:AA77)</f>
        <v/>
      </c>
      <c r="R77" s="24">
        <f>IF(ISNUMBER(J77),J77,IF(ISNUMBER(K77),-K77,""))</f>
        <v/>
      </c>
      <c r="S77" s="9">
        <f>IF(ISNUMBER(K77),K77,IF(ISNUMBER(J77),-J77,""))</f>
        <v/>
      </c>
      <c r="T77" s="24">
        <f>IF(ISNUMBER(R77),IF(ISNUMBER(R73),IF(R77&gt;R73,1.0,IF(R77=R73,0.5,0.0)),""),"")</f>
        <v/>
      </c>
      <c r="U77" s="9">
        <f>IF(ISNUMBER(R77),IF(ISNUMBER(R74),IF(R77&gt;R74,1.0,IF(R77=R74,0.5,0.0)),""),"")</f>
        <v/>
      </c>
      <c r="V77" s="9">
        <f>IF(ISNUMBER(R77),IF(ISNUMBER(R75),IF(R77&gt;R75,1.0,IF(R77=R75,0.5,0.0)),""),"")</f>
        <v/>
      </c>
      <c r="W77" s="9">
        <f>IF(ISNUMBER(R77),IF(ISNUMBER(R76),IF(R77&gt;R76,1.0,IF(R77=R76,0.5,0.0)),""),"")</f>
        <v/>
      </c>
      <c r="X77" s="9">
        <f>IF(ISNUMBER(S77),IF(ISNUMBER(S73),IF(S77&gt;S73,1.0,IF(S77=S73,0.5,0.0)),""),"")</f>
        <v/>
      </c>
      <c r="Y77" s="9">
        <f>IF(ISNUMBER(S77),IF(ISNUMBER(S74),IF(S77&gt;S74,1.0,IF(S77=S74,0.5,0.0)),""),"")</f>
        <v/>
      </c>
      <c r="Z77" s="9">
        <f>IF(ISNUMBER(S77),IF(ISNUMBER(S75),IF(S77&gt;S75,1.0,IF(S77=S75,0.5,0.0)),""),"")</f>
        <v/>
      </c>
      <c r="AA77" s="9">
        <f>IF(ISNUMBER(S77),IF(ISNUMBER(S76),IF(S77&gt;S76,1.0,IF(S77=S76,0.5,0.0)),""),"")</f>
        <v/>
      </c>
      <c r="AB77" s="24">
        <f>IF(AND(ISNUMBER(R77),ISNUMBER(R73)),VLOOKUP(ABS(R77-R73),'IMP Table'!$A$2:$C$26,3)*SIGN(R77-R73),0)</f>
        <v/>
      </c>
      <c r="AC77" s="9">
        <f>IF(AND(ISNUMBER(R77),ISNUMBER(R74)),VLOOKUP(ABS(R77-R74),'IMP Table'!$A$2:$C$26,3)*SIGN(R77-R74),0)</f>
        <v/>
      </c>
      <c r="AD77" s="9">
        <f>IF(AND(ISNUMBER(R77),ISNUMBER(R75)),VLOOKUP(ABS(R77-R75),'IMP Table'!$A$2:$C$26,3)*SIGN(R77-R75),0)</f>
        <v/>
      </c>
      <c r="AE77" s="9">
        <f>IF(AND(ISNUMBER(R77),ISNUMBER(R76)),VLOOKUP(ABS(R77-R76),'IMP Table'!$A$2:$C$26,3)*SIGN(R77-R76),0)</f>
        <v/>
      </c>
      <c r="AF77" s="9">
        <f>IF(AND(ISNUMBER(S77),ISNUMBER(S73)),VLOOKUP(ABS(S77-S73),'IMP Table'!$A$2:$C$26,3)*SIGN(S77-S73),0)</f>
        <v/>
      </c>
      <c r="AG77" s="9">
        <f>IF(AND(ISNUMBER(S77),ISNUMBER(S74)),VLOOKUP(ABS(S77-S74),'IMP Table'!$A$2:$C$26,3)*SIGN(S77-S74),0)</f>
        <v/>
      </c>
      <c r="AH77" s="9">
        <f>IF(AND(ISNUMBER(S77),ISNUMBER(S75)),VLOOKUP(ABS(S77-S75),'IMP Table'!$A$2:$C$26,3)*SIGN(S77-S75),0)</f>
        <v/>
      </c>
      <c r="AI77" s="9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9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9" t="n"/>
      <c r="H29" s="9" t="n"/>
      <c r="I29" s="9" t="n"/>
      <c r="J29" s="9" t="n"/>
      <c r="K29" s="9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9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9" t="n"/>
      <c r="H32" s="9" t="n"/>
      <c r="I32" s="9" t="n"/>
      <c r="J32" s="9" t="n"/>
      <c r="K32" s="9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9" t="n"/>
      <c r="H41" s="9" t="n"/>
      <c r="I41" s="9" t="n"/>
      <c r="J41" s="9" t="n"/>
      <c r="K41" s="9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9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9" t="n"/>
      <c r="H47" s="9" t="n"/>
      <c r="I47" s="9" t="n"/>
      <c r="J47" s="9" t="n"/>
      <c r="K47" s="9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9" t="n"/>
      <c r="H50" s="9" t="n"/>
      <c r="I50" s="9" t="n"/>
      <c r="J50" s="9" t="n"/>
      <c r="K50" s="9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9" t="n"/>
      <c r="H53" s="9" t="n"/>
      <c r="I53" s="9" t="n"/>
      <c r="J53" s="9" t="n"/>
      <c r="K53" s="9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9" t="n"/>
      <c r="H56" s="9" t="n"/>
      <c r="I56" s="9" t="n"/>
      <c r="J56" s="9" t="n"/>
      <c r="K56" s="9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9" t="n"/>
      <c r="H59" s="9" t="n"/>
      <c r="I59" s="9" t="n"/>
      <c r="J59" s="9" t="n"/>
      <c r="K59" s="9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9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9" t="n"/>
      <c r="H62" s="9" t="n"/>
      <c r="I62" s="9" t="n"/>
      <c r="J62" s="9" t="n"/>
      <c r="K62" s="9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9" t="n"/>
      <c r="H65" s="9" t="n"/>
      <c r="I65" s="9" t="n"/>
      <c r="J65" s="9" t="n"/>
      <c r="K65" s="9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9" t="n"/>
      <c r="H68" s="9" t="n"/>
      <c r="I68" s="9" t="n"/>
      <c r="J68" s="9" t="n"/>
      <c r="K68" s="9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9" t="n"/>
      <c r="H71" s="9" t="n"/>
      <c r="I71" s="9" t="n"/>
      <c r="J71" s="9" t="n"/>
      <c r="K71" s="9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9" t="n"/>
      <c r="H74" s="9" t="n"/>
      <c r="I74" s="9" t="n"/>
      <c r="J74" s="9" t="n"/>
      <c r="K74" s="9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9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9" t="n"/>
      <c r="H77" s="9" t="n"/>
      <c r="I77" s="9" t="n"/>
      <c r="J77" s="9" t="n"/>
      <c r="K77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2026-02-08T17:33:55Z</dcterms:created>
  <dcterms:modified xsi:type="dcterms:W3CDTF">2026-02-08T17:33:55Z</dcterms:modified>
</cp:coreProperties>
</file>