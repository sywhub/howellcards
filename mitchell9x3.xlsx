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15</t>
        </is>
      </c>
      <c r="C9" t="inlineStr">
        <is>
          <t>Name 43</t>
        </is>
      </c>
      <c r="D9" s="4">
        <f>SUMIF('By Board'!D3:D62,"="&amp;A9,'By Board'!Q3:Q62)/45</f>
        <v/>
      </c>
      <c r="E9" s="5">
        <f>SUMIF('By Board'!D3:D62,"="&amp;A9,'By Board'!M3:M62)</f>
        <v/>
      </c>
    </row>
    <row r="10">
      <c r="A10" s="2" t="n">
        <v>2</v>
      </c>
      <c r="B10" t="inlineStr">
        <is>
          <t>Name 40</t>
        </is>
      </c>
      <c r="C10" t="inlineStr">
        <is>
          <t>Name 57</t>
        </is>
      </c>
      <c r="D10" s="4">
        <f>SUMIF('By Board'!D3:D62,"="&amp;A10,'By Board'!Q3:Q62)/45</f>
        <v/>
      </c>
      <c r="E10" s="5">
        <f>SUMIF('By Board'!D3:D62,"="&amp;A10,'By Board'!M3:M62)</f>
        <v/>
      </c>
    </row>
    <row r="11">
      <c r="A11" s="2" t="n">
        <v>3</v>
      </c>
      <c r="B11" t="inlineStr">
        <is>
          <t>Name 84</t>
        </is>
      </c>
      <c r="C11" t="inlineStr">
        <is>
          <t>Name 35</t>
        </is>
      </c>
      <c r="D11" s="4">
        <f>SUMIF('By Board'!D3:D62,"="&amp;A11,'By Board'!Q3:Q62)/45</f>
        <v/>
      </c>
      <c r="E11" s="5">
        <f>SUMIF('By Board'!D3:D62,"="&amp;A11,'By Board'!M3:M62)</f>
        <v/>
      </c>
    </row>
    <row r="12">
      <c r="A12" s="6" t="n">
        <v>4</v>
      </c>
      <c r="B12" s="7" t="inlineStr">
        <is>
          <t>Name 33</t>
        </is>
      </c>
      <c r="C12" s="7" t="inlineStr">
        <is>
          <t>Name 47</t>
        </is>
      </c>
      <c r="D12" s="8">
        <f>SUMIF('By Board'!D3:D62,"="&amp;A12,'By Board'!Q3:Q62)/45</f>
        <v/>
      </c>
      <c r="E12" s="9">
        <f>SUMIF('By Board'!D3:D62,"="&amp;A12,'By Board'!M3:M62)</f>
        <v/>
      </c>
      <c r="F12" s="7" t="n"/>
    </row>
    <row r="13">
      <c r="C13" s="10" t="inlineStr">
        <is>
          <t>Average</t>
        </is>
      </c>
      <c r="D13" s="11">
        <f>AVERAGE(D9:D12)</f>
        <v/>
      </c>
      <c r="E13" s="12">
        <f>SUM(F9:F12)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47</t>
        </is>
      </c>
      <c r="C16" t="inlineStr">
        <is>
          <t>Name 85</t>
        </is>
      </c>
      <c r="D16" s="4">
        <f>SUMIF('By Board'!E3:E62,"="&amp;A16,'By Board'!R3:R62)/36</f>
        <v/>
      </c>
      <c r="E16" s="5">
        <f>SUMIF('By Board'!E3:E62,"="&amp;A16,'By Board'!N3:N62)</f>
        <v/>
      </c>
    </row>
    <row r="17">
      <c r="A17" s="2" t="n">
        <v>2</v>
      </c>
      <c r="B17" t="inlineStr">
        <is>
          <t>Name 32</t>
        </is>
      </c>
      <c r="C17" t="inlineStr">
        <is>
          <t>Name 67</t>
        </is>
      </c>
      <c r="D17" s="4">
        <f>SUMIF('By Board'!E3:E62,"="&amp;A17,'By Board'!R3:R62)/36</f>
        <v/>
      </c>
      <c r="E17" s="5">
        <f>SUMIF('By Board'!E3:E62,"="&amp;A17,'By Board'!N3:N62)</f>
        <v/>
      </c>
    </row>
    <row r="18">
      <c r="A18" s="2" t="n">
        <v>3</v>
      </c>
      <c r="B18" t="inlineStr">
        <is>
          <t>Name 89</t>
        </is>
      </c>
      <c r="C18" t="inlineStr">
        <is>
          <t>Name 12</t>
        </is>
      </c>
      <c r="D18" s="4">
        <f>SUMIF('By Board'!E3:E62,"="&amp;A18,'By Board'!R3:R62)/36</f>
        <v/>
      </c>
      <c r="E18" s="5">
        <f>SUMIF('By Board'!E3:E62,"="&amp;A18,'By Board'!N3:N62)</f>
        <v/>
      </c>
    </row>
    <row r="19">
      <c r="A19" s="2" t="n">
        <v>4</v>
      </c>
      <c r="B19" t="inlineStr">
        <is>
          <t>Name 49</t>
        </is>
      </c>
      <c r="C19" t="inlineStr">
        <is>
          <t>Name 63</t>
        </is>
      </c>
      <c r="D19" s="4">
        <f>SUMIF('By Board'!E3:E62,"="&amp;A19,'By Board'!R3:R62)/36</f>
        <v/>
      </c>
      <c r="E19" s="5">
        <f>SUMIF('By Board'!E3:E62,"="&amp;A19,'By Board'!N3:N62)</f>
        <v/>
      </c>
    </row>
    <row r="20">
      <c r="A20" s="6" t="n">
        <v>5</v>
      </c>
      <c r="B20" s="7" t="inlineStr">
        <is>
          <t>Name 63</t>
        </is>
      </c>
      <c r="C20" s="7" t="inlineStr">
        <is>
          <t>Name 61</t>
        </is>
      </c>
      <c r="D20" s="8">
        <f>SUMIF('By Board'!E3:E62,"="&amp;A20,'By Board'!R3:R62)/36</f>
        <v/>
      </c>
      <c r="E20" s="9">
        <f>SUMIF('By Board'!E3:E62,"="&amp;A20,'By Board'!N3:N62)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7">
    <mergeCell ref="A4:B4"/>
    <mergeCell ref="A2:E2"/>
    <mergeCell ref="A8:C8"/>
    <mergeCell ref="A5:B5"/>
    <mergeCell ref="A15:C15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Round'!A15</f>
        <v/>
      </c>
      <c r="C4" s="15">
        <f>'By Round'!B18</f>
        <v/>
      </c>
      <c r="D4" s="15">
        <f>'By Round'!C18</f>
        <v/>
      </c>
      <c r="E4" s="15">
        <f>'By Round'!D18</f>
        <v/>
      </c>
      <c r="F4" s="15">
        <f>IF(ISBLANK('By Round'!F18),"",'By Round'!F18)</f>
        <v/>
      </c>
      <c r="G4">
        <f>IF(ISBLANK('By Round'!G18),"",'By Round'!G18)</f>
        <v/>
      </c>
      <c r="H4">
        <f>IF(ISBLANK('By Round'!H18),"",'By Round'!H18)</f>
        <v/>
      </c>
      <c r="I4">
        <f>IF(ISBLANK('By Round'!I18),"",'By Round'!I18)</f>
        <v/>
      </c>
      <c r="J4">
        <f>IF(ISBLANK('By Round'!J18),"",'By Round'!J18)</f>
        <v/>
      </c>
      <c r="K4">
        <f>IF(ISBLANK('By Round'!K18),"",'By Round'!K18)</f>
        <v/>
      </c>
      <c r="L4">
        <f>IF(ISBLANK('By Round'!L18),"",'By Round'!L18)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Round'!A39</f>
        <v/>
      </c>
      <c r="C6" s="19">
        <f>'By Round'!B48</f>
        <v/>
      </c>
      <c r="D6" s="19">
        <f>'By Round'!C48</f>
        <v/>
      </c>
      <c r="E6" s="19">
        <f>'By Round'!D48</f>
        <v/>
      </c>
      <c r="F6" s="19">
        <f>IF(ISBLANK('By Round'!F48),"",'By Round'!F48)</f>
        <v/>
      </c>
      <c r="G6" s="7">
        <f>IF(ISBLANK('By Round'!G48),"",'By Round'!G48)</f>
        <v/>
      </c>
      <c r="H6" s="7">
        <f>IF(ISBLANK('By Round'!H48),"",'By Round'!H48)</f>
        <v/>
      </c>
      <c r="I6" s="7">
        <f>IF(ISBLANK('By Round'!I48),"",'By Round'!I48)</f>
        <v/>
      </c>
      <c r="J6" s="7">
        <f>IF(ISBLANK('By Round'!J48),"",'By Round'!J48)</f>
        <v/>
      </c>
      <c r="K6" s="7">
        <f>IF(ISBLANK('By Round'!K48),"",'By Round'!K48)</f>
        <v/>
      </c>
      <c r="L6" s="7">
        <f>IF(ISBLANK('By Round'!L48),"",'By Round'!L48)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  <c r="AG6" s="7" t="n"/>
      <c r="AH6" s="7" t="n"/>
      <c r="AI6" s="7" t="n"/>
      <c r="AJ6" s="7" t="n"/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Round'!A15</f>
        <v/>
      </c>
      <c r="C8" s="15">
        <f>'By Round'!B18</f>
        <v/>
      </c>
      <c r="D8" s="15">
        <f>'By Round'!C18</f>
        <v/>
      </c>
      <c r="E8" s="15">
        <f>'By Round'!D18</f>
        <v/>
      </c>
      <c r="F8" s="15">
        <f>IF(ISBLANK('By Round'!F19),"",'By Round'!F19)</f>
        <v/>
      </c>
      <c r="G8">
        <f>IF(ISBLANK('By Round'!G19),"",'By Round'!G19)</f>
        <v/>
      </c>
      <c r="H8">
        <f>IF(ISBLANK('By Round'!H19),"",'By Round'!H19)</f>
        <v/>
      </c>
      <c r="I8">
        <f>IF(ISBLANK('By Round'!I19),"",'By Round'!I19)</f>
        <v/>
      </c>
      <c r="J8">
        <f>IF(ISBLANK('By Round'!J19),"",'By Round'!J19)</f>
        <v/>
      </c>
      <c r="K8">
        <f>IF(ISBLANK('By Round'!K19),"",'By Round'!K19)</f>
        <v/>
      </c>
      <c r="L8">
        <f>IF(ISBLANK('By Round'!L19),"",'By Round'!L19)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Round'!A39</f>
        <v/>
      </c>
      <c r="C10" s="19">
        <f>'By Round'!B48</f>
        <v/>
      </c>
      <c r="D10" s="19">
        <f>'By Round'!C48</f>
        <v/>
      </c>
      <c r="E10" s="19">
        <f>'By Round'!D48</f>
        <v/>
      </c>
      <c r="F10" s="19">
        <f>IF(ISBLANK('By Round'!F49),"",'By Round'!F49)</f>
        <v/>
      </c>
      <c r="G10" s="7">
        <f>IF(ISBLANK('By Round'!G49),"",'By Round'!G49)</f>
        <v/>
      </c>
      <c r="H10" s="7">
        <f>IF(ISBLANK('By Round'!H49),"",'By Round'!H49)</f>
        <v/>
      </c>
      <c r="I10" s="7">
        <f>IF(ISBLANK('By Round'!I49),"",'By Round'!I49)</f>
        <v/>
      </c>
      <c r="J10" s="7">
        <f>IF(ISBLANK('By Round'!J49),"",'By Round'!J49)</f>
        <v/>
      </c>
      <c r="K10" s="7">
        <f>IF(ISBLANK('By Round'!K49),"",'By Round'!K49)</f>
        <v/>
      </c>
      <c r="L10" s="7">
        <f>IF(ISBLANK('By Round'!L49),"",'By Round'!L49)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  <c r="AG10" s="7" t="n"/>
      <c r="AH10" s="7" t="n"/>
      <c r="AI10" s="7" t="n"/>
      <c r="AJ10" s="7" t="n"/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Round'!A15</f>
        <v/>
      </c>
      <c r="C12" s="15">
        <f>'By Round'!B18</f>
        <v/>
      </c>
      <c r="D12" s="15">
        <f>'By Round'!C18</f>
        <v/>
      </c>
      <c r="E12" s="15">
        <f>'By Round'!D18</f>
        <v/>
      </c>
      <c r="F12" s="15">
        <f>IF(ISBLANK('By Round'!F20),"",'By Round'!F20)</f>
        <v/>
      </c>
      <c r="G12">
        <f>IF(ISBLANK('By Round'!G20),"",'By Round'!G20)</f>
        <v/>
      </c>
      <c r="H12">
        <f>IF(ISBLANK('By Round'!H20),"",'By Round'!H20)</f>
        <v/>
      </c>
      <c r="I12">
        <f>IF(ISBLANK('By Round'!I20),"",'By Round'!I20)</f>
        <v/>
      </c>
      <c r="J12">
        <f>IF(ISBLANK('By Round'!J20),"",'By Round'!J20)</f>
        <v/>
      </c>
      <c r="K12">
        <f>IF(ISBLANK('By Round'!K20),"",'By Round'!K20)</f>
        <v/>
      </c>
      <c r="L12">
        <f>IF(ISBLANK('By Round'!L20),"",'By Round'!L20)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Round'!A39</f>
        <v/>
      </c>
      <c r="C14" s="19">
        <f>'By Round'!B48</f>
        <v/>
      </c>
      <c r="D14" s="19">
        <f>'By Round'!C48</f>
        <v/>
      </c>
      <c r="E14" s="19">
        <f>'By Round'!D48</f>
        <v/>
      </c>
      <c r="F14" s="19">
        <f>IF(ISBLANK('By Round'!F50),"",'By Round'!F50)</f>
        <v/>
      </c>
      <c r="G14" s="7">
        <f>IF(ISBLANK('By Round'!G50),"",'By Round'!G50)</f>
        <v/>
      </c>
      <c r="H14" s="7">
        <f>IF(ISBLANK('By Round'!H50),"",'By Round'!H50)</f>
        <v/>
      </c>
      <c r="I14" s="7">
        <f>IF(ISBLANK('By Round'!I50),"",'By Round'!I50)</f>
        <v/>
      </c>
      <c r="J14" s="7">
        <f>IF(ISBLANK('By Round'!J50),"",'By Round'!J50)</f>
        <v/>
      </c>
      <c r="K14" s="7">
        <f>IF(ISBLANK('By Round'!K50),"",'By Round'!K50)</f>
        <v/>
      </c>
      <c r="L14" s="7">
        <f>IF(ISBLANK('By Round'!L50),"",'By Round'!L50)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  <c r="AG14" s="7" t="n"/>
      <c r="AH14" s="7" t="n"/>
      <c r="AI14" s="7" t="n"/>
      <c r="AJ14" s="7" t="n"/>
    </row>
    <row r="15">
      <c r="A15" s="15" t="n">
        <v>4</v>
      </c>
      <c r="B15" s="15">
        <f>'By Round'!A51</f>
        <v/>
      </c>
      <c r="C15" s="15">
        <f>'By Round'!B51</f>
        <v/>
      </c>
      <c r="D15" s="15">
        <f>'By Round'!C51</f>
        <v/>
      </c>
      <c r="E15" s="15">
        <f>'By Round'!D51</f>
        <v/>
      </c>
      <c r="F15" s="15">
        <f>IF(ISBLANK('By Round'!F51),"",'By Round'!F51)</f>
        <v/>
      </c>
      <c r="G15">
        <f>IF(ISBLANK('By Round'!G51),"",'By Round'!G51)</f>
        <v/>
      </c>
      <c r="H15">
        <f>IF(ISBLANK('By Round'!H51),"",'By Round'!H51)</f>
        <v/>
      </c>
      <c r="I15">
        <f>IF(ISBLANK('By Round'!I51),"",'By Round'!I51)</f>
        <v/>
      </c>
      <c r="J15">
        <f>IF(ISBLANK('By Round'!J51),"",'By Round'!J51)</f>
        <v/>
      </c>
      <c r="K15">
        <f>IF(ISBLANK('By Round'!K51),"",'By Round'!K51)</f>
        <v/>
      </c>
      <c r="L15">
        <f>IF(ISBLANK('By Round'!L51),"",'By Round'!L51)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  <c r="AG18" s="7" t="n"/>
      <c r="AH18" s="7" t="n"/>
      <c r="AI18" s="7" t="n"/>
      <c r="AJ18" s="7" t="n"/>
    </row>
    <row r="19">
      <c r="A19" s="15" t="n">
        <v>5</v>
      </c>
      <c r="B19" s="15">
        <f>'By Round'!A51</f>
        <v/>
      </c>
      <c r="C19" s="15">
        <f>'By Round'!B51</f>
        <v/>
      </c>
      <c r="D19" s="15">
        <f>'By Round'!C51</f>
        <v/>
      </c>
      <c r="E19" s="15">
        <f>'By Round'!D51</f>
        <v/>
      </c>
      <c r="F19" s="15">
        <f>IF(ISBLANK('By Round'!F52),"",'By Round'!F52)</f>
        <v/>
      </c>
      <c r="G19">
        <f>IF(ISBLANK('By Round'!G52),"",'By Round'!G52)</f>
        <v/>
      </c>
      <c r="H19">
        <f>IF(ISBLANK('By Round'!H52),"",'By Round'!H52)</f>
        <v/>
      </c>
      <c r="I19">
        <f>IF(ISBLANK('By Round'!I52),"",'By Round'!I52)</f>
        <v/>
      </c>
      <c r="J19">
        <f>IF(ISBLANK('By Round'!J52),"",'By Round'!J52)</f>
        <v/>
      </c>
      <c r="K19">
        <f>IF(ISBLANK('By Round'!K52),"",'By Round'!K52)</f>
        <v/>
      </c>
      <c r="L19">
        <f>IF(ISBLANK('By Round'!L52),"",'By Round'!L52)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  <c r="AG22" s="7" t="n"/>
      <c r="AH22" s="7" t="n"/>
      <c r="AI22" s="7" t="n"/>
      <c r="AJ22" s="7" t="n"/>
    </row>
    <row r="23">
      <c r="A23" s="15" t="n">
        <v>6</v>
      </c>
      <c r="B23" s="15">
        <f>'By Round'!A51</f>
        <v/>
      </c>
      <c r="C23" s="15">
        <f>'By Round'!B51</f>
        <v/>
      </c>
      <c r="D23" s="15">
        <f>'By Round'!C51</f>
        <v/>
      </c>
      <c r="E23" s="15">
        <f>'By Round'!D51</f>
        <v/>
      </c>
      <c r="F23" s="15">
        <f>IF(ISBLANK('By Round'!F53),"",'By Round'!F53)</f>
        <v/>
      </c>
      <c r="G23">
        <f>IF(ISBLANK('By Round'!G53),"",'By Round'!G53)</f>
        <v/>
      </c>
      <c r="H23">
        <f>IF(ISBLANK('By Round'!H53),"",'By Round'!H53)</f>
        <v/>
      </c>
      <c r="I23">
        <f>IF(ISBLANK('By Round'!I53),"",'By Round'!I53)</f>
        <v/>
      </c>
      <c r="J23">
        <f>IF(ISBLANK('By Round'!J53),"",'By Round'!J53)</f>
        <v/>
      </c>
      <c r="K23">
        <f>IF(ISBLANK('By Round'!K53),"",'By Round'!K53)</f>
        <v/>
      </c>
      <c r="L23">
        <f>IF(ISBLANK('By Round'!L53),"",'By Round'!L53)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  <c r="AG26" s="7" t="n"/>
      <c r="AH26" s="7" t="n"/>
      <c r="AI26" s="7" t="n"/>
      <c r="AJ26" s="7" t="n"/>
    </row>
    <row r="27">
      <c r="A27" s="15" t="n">
        <v>7</v>
      </c>
      <c r="B27" s="15">
        <f>'By Round'!A39</f>
        <v/>
      </c>
      <c r="C27" s="15">
        <f>'By Round'!B39</f>
        <v/>
      </c>
      <c r="D27" s="15">
        <f>'By Round'!C39</f>
        <v/>
      </c>
      <c r="E27" s="15">
        <f>'By Round'!D39</f>
        <v/>
      </c>
      <c r="F27" s="15">
        <f>IF(ISBLANK('By Round'!F39),"",'By Round'!F39)</f>
        <v/>
      </c>
      <c r="G27">
        <f>IF(ISBLANK('By Round'!G39),"",'By Round'!G39)</f>
        <v/>
      </c>
      <c r="H27">
        <f>IF(ISBLANK('By Round'!H39),"",'By Round'!H39)</f>
        <v/>
      </c>
      <c r="I27">
        <f>IF(ISBLANK('By Round'!I39),"",'By Round'!I39)</f>
        <v/>
      </c>
      <c r="J27">
        <f>IF(ISBLANK('By Round'!J39),"",'By Round'!J39)</f>
        <v/>
      </c>
      <c r="K27">
        <f>IF(ISBLANK('By Round'!K39),"",'By Round'!K39)</f>
        <v/>
      </c>
      <c r="L27">
        <f>IF(ISBLANK('By Round'!L39),"",'By Round'!L39)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Round'!A51</f>
        <v/>
      </c>
      <c r="C28" s="15">
        <f>'By Round'!B54</f>
        <v/>
      </c>
      <c r="D28" s="15">
        <f>'By Round'!C54</f>
        <v/>
      </c>
      <c r="E28" s="15">
        <f>'By Round'!D54</f>
        <v/>
      </c>
      <c r="F28" s="15">
        <f>IF(ISBLANK('By Round'!F54),"",'By Round'!F54)</f>
        <v/>
      </c>
      <c r="G28">
        <f>IF(ISBLANK('By Round'!G54),"",'By Round'!G54)</f>
        <v/>
      </c>
      <c r="H28">
        <f>IF(ISBLANK('By Round'!H54),"",'By Round'!H54)</f>
        <v/>
      </c>
      <c r="I28">
        <f>IF(ISBLANK('By Round'!I54),"",'By Round'!I54)</f>
        <v/>
      </c>
      <c r="J28">
        <f>IF(ISBLANK('By Round'!J54),"",'By Round'!J54)</f>
        <v/>
      </c>
      <c r="K28">
        <f>IF(ISBLANK('By Round'!K54),"",'By Round'!K54)</f>
        <v/>
      </c>
      <c r="L28">
        <f>IF(ISBLANK('By Round'!L54),"",'By Round'!L54)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Round'!A15</f>
        <v/>
      </c>
      <c r="C30" s="19">
        <f>'By Round'!B24</f>
        <v/>
      </c>
      <c r="D30" s="19">
        <f>'By Round'!C24</f>
        <v/>
      </c>
      <c r="E30" s="19">
        <f>'By Round'!D24</f>
        <v/>
      </c>
      <c r="F30" s="19">
        <f>IF(ISBLANK('By Round'!F24),"",'By Round'!F24)</f>
        <v/>
      </c>
      <c r="G30" s="7">
        <f>IF(ISBLANK('By Round'!G24),"",'By Round'!G24)</f>
        <v/>
      </c>
      <c r="H30" s="7">
        <f>IF(ISBLANK('By Round'!H24),"",'By Round'!H24)</f>
        <v/>
      </c>
      <c r="I30" s="7">
        <f>IF(ISBLANK('By Round'!I24),"",'By Round'!I24)</f>
        <v/>
      </c>
      <c r="J30" s="7">
        <f>IF(ISBLANK('By Round'!J24),"",'By Round'!J24)</f>
        <v/>
      </c>
      <c r="K30" s="7">
        <f>IF(ISBLANK('By Round'!K24),"",'By Round'!K24)</f>
        <v/>
      </c>
      <c r="L30" s="7">
        <f>IF(ISBLANK('By Round'!L24),"",'By Round'!L24)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  <c r="AG30" s="7" t="n"/>
      <c r="AH30" s="7" t="n"/>
      <c r="AI30" s="7" t="n"/>
      <c r="AJ30" s="7" t="n"/>
    </row>
    <row r="31">
      <c r="A31" s="15" t="n">
        <v>8</v>
      </c>
      <c r="B31" s="15">
        <f>'By Round'!A39</f>
        <v/>
      </c>
      <c r="C31" s="15">
        <f>'By Round'!B39</f>
        <v/>
      </c>
      <c r="D31" s="15">
        <f>'By Round'!C39</f>
        <v/>
      </c>
      <c r="E31" s="15">
        <f>'By Round'!D39</f>
        <v/>
      </c>
      <c r="F31" s="15">
        <f>IF(ISBLANK('By Round'!F40),"",'By Round'!F40)</f>
        <v/>
      </c>
      <c r="G31">
        <f>IF(ISBLANK('By Round'!G40),"",'By Round'!G40)</f>
        <v/>
      </c>
      <c r="H31">
        <f>IF(ISBLANK('By Round'!H40),"",'By Round'!H40)</f>
        <v/>
      </c>
      <c r="I31">
        <f>IF(ISBLANK('By Round'!I40),"",'By Round'!I40)</f>
        <v/>
      </c>
      <c r="J31">
        <f>IF(ISBLANK('By Round'!J40),"",'By Round'!J40)</f>
        <v/>
      </c>
      <c r="K31">
        <f>IF(ISBLANK('By Round'!K40),"",'By Round'!K40)</f>
        <v/>
      </c>
      <c r="L31">
        <f>IF(ISBLANK('By Round'!L40),"",'By Round'!L40)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Round'!A51</f>
        <v/>
      </c>
      <c r="C32" s="15">
        <f>'By Round'!B54</f>
        <v/>
      </c>
      <c r="D32" s="15">
        <f>'By Round'!C54</f>
        <v/>
      </c>
      <c r="E32" s="15">
        <f>'By Round'!D54</f>
        <v/>
      </c>
      <c r="F32" s="15">
        <f>IF(ISBLANK('By Round'!F55),"",'By Round'!F55)</f>
        <v/>
      </c>
      <c r="G32">
        <f>IF(ISBLANK('By Round'!G55),"",'By Round'!G55)</f>
        <v/>
      </c>
      <c r="H32">
        <f>IF(ISBLANK('By Round'!H55),"",'By Round'!H55)</f>
        <v/>
      </c>
      <c r="I32">
        <f>IF(ISBLANK('By Round'!I55),"",'By Round'!I55)</f>
        <v/>
      </c>
      <c r="J32">
        <f>IF(ISBLANK('By Round'!J55),"",'By Round'!J55)</f>
        <v/>
      </c>
      <c r="K32">
        <f>IF(ISBLANK('By Round'!K55),"",'By Round'!K55)</f>
        <v/>
      </c>
      <c r="L32">
        <f>IF(ISBLANK('By Round'!L55),"",'By Round'!L55)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Round'!A15</f>
        <v/>
      </c>
      <c r="C34" s="19">
        <f>'By Round'!B24</f>
        <v/>
      </c>
      <c r="D34" s="19">
        <f>'By Round'!C24</f>
        <v/>
      </c>
      <c r="E34" s="19">
        <f>'By Round'!D24</f>
        <v/>
      </c>
      <c r="F34" s="19">
        <f>IF(ISBLANK('By Round'!F25),"",'By Round'!F25)</f>
        <v/>
      </c>
      <c r="G34" s="7">
        <f>IF(ISBLANK('By Round'!G25),"",'By Round'!G25)</f>
        <v/>
      </c>
      <c r="H34" s="7">
        <f>IF(ISBLANK('By Round'!H25),"",'By Round'!H25)</f>
        <v/>
      </c>
      <c r="I34" s="7">
        <f>IF(ISBLANK('By Round'!I25),"",'By Round'!I25)</f>
        <v/>
      </c>
      <c r="J34" s="7">
        <f>IF(ISBLANK('By Round'!J25),"",'By Round'!J25)</f>
        <v/>
      </c>
      <c r="K34" s="7">
        <f>IF(ISBLANK('By Round'!K25),"",'By Round'!K25)</f>
        <v/>
      </c>
      <c r="L34" s="7">
        <f>IF(ISBLANK('By Round'!L25),"",'By Round'!L25)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  <c r="AG34" s="7" t="n"/>
      <c r="AH34" s="7" t="n"/>
      <c r="AI34" s="7" t="n"/>
      <c r="AJ34" s="7" t="n"/>
    </row>
    <row r="35">
      <c r="A35" s="15" t="n">
        <v>9</v>
      </c>
      <c r="B35" s="15">
        <f>'By Round'!A39</f>
        <v/>
      </c>
      <c r="C35" s="15">
        <f>'By Round'!B39</f>
        <v/>
      </c>
      <c r="D35" s="15">
        <f>'By Round'!C39</f>
        <v/>
      </c>
      <c r="E35" s="15">
        <f>'By Round'!D39</f>
        <v/>
      </c>
      <c r="F35" s="15">
        <f>IF(ISBLANK('By Round'!F41),"",'By Round'!F41)</f>
        <v/>
      </c>
      <c r="G35">
        <f>IF(ISBLANK('By Round'!G41),"",'By Round'!G41)</f>
        <v/>
      </c>
      <c r="H35">
        <f>IF(ISBLANK('By Round'!H41),"",'By Round'!H41)</f>
        <v/>
      </c>
      <c r="I35">
        <f>IF(ISBLANK('By Round'!I41),"",'By Round'!I41)</f>
        <v/>
      </c>
      <c r="J35">
        <f>IF(ISBLANK('By Round'!J41),"",'By Round'!J41)</f>
        <v/>
      </c>
      <c r="K35">
        <f>IF(ISBLANK('By Round'!K41),"",'By Round'!K41)</f>
        <v/>
      </c>
      <c r="L35">
        <f>IF(ISBLANK('By Round'!L41),"",'By Round'!L41)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Round'!A51</f>
        <v/>
      </c>
      <c r="C36" s="15">
        <f>'By Round'!B54</f>
        <v/>
      </c>
      <c r="D36" s="15">
        <f>'By Round'!C54</f>
        <v/>
      </c>
      <c r="E36" s="15">
        <f>'By Round'!D54</f>
        <v/>
      </c>
      <c r="F36" s="15">
        <f>IF(ISBLANK('By Round'!F56),"",'By Round'!F56)</f>
        <v/>
      </c>
      <c r="G36">
        <f>IF(ISBLANK('By Round'!G56),"",'By Round'!G56)</f>
        <v/>
      </c>
      <c r="H36">
        <f>IF(ISBLANK('By Round'!H56),"",'By Round'!H56)</f>
        <v/>
      </c>
      <c r="I36">
        <f>IF(ISBLANK('By Round'!I56),"",'By Round'!I56)</f>
        <v/>
      </c>
      <c r="J36">
        <f>IF(ISBLANK('By Round'!J56),"",'By Round'!J56)</f>
        <v/>
      </c>
      <c r="K36">
        <f>IF(ISBLANK('By Round'!K56),"",'By Round'!K56)</f>
        <v/>
      </c>
      <c r="L36">
        <f>IF(ISBLANK('By Round'!L56),"",'By Round'!L56)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Round'!A15</f>
        <v/>
      </c>
      <c r="C38" s="19">
        <f>'By Round'!B24</f>
        <v/>
      </c>
      <c r="D38" s="19">
        <f>'By Round'!C24</f>
        <v/>
      </c>
      <c r="E38" s="19">
        <f>'By Round'!D24</f>
        <v/>
      </c>
      <c r="F38" s="19">
        <f>IF(ISBLANK('By Round'!F26),"",'By Round'!F26)</f>
        <v/>
      </c>
      <c r="G38" s="7">
        <f>IF(ISBLANK('By Round'!G26),"",'By Round'!G26)</f>
        <v/>
      </c>
      <c r="H38" s="7">
        <f>IF(ISBLANK('By Round'!H26),"",'By Round'!H26)</f>
        <v/>
      </c>
      <c r="I38" s="7">
        <f>IF(ISBLANK('By Round'!I26),"",'By Round'!I26)</f>
        <v/>
      </c>
      <c r="J38" s="7">
        <f>IF(ISBLANK('By Round'!J26),"",'By Round'!J26)</f>
        <v/>
      </c>
      <c r="K38" s="7">
        <f>IF(ISBLANK('By Round'!K26),"",'By Round'!K26)</f>
        <v/>
      </c>
      <c r="L38" s="7">
        <f>IF(ISBLANK('By Round'!L26),"",'By Round'!L26)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  <c r="AG38" s="7" t="n"/>
      <c r="AH38" s="7" t="n"/>
      <c r="AI38" s="7" t="n"/>
      <c r="AJ38" s="7" t="n"/>
    </row>
    <row r="39">
      <c r="A39" s="15" t="n">
        <v>10</v>
      </c>
      <c r="B39" s="15">
        <f>'By Round'!A27</f>
        <v/>
      </c>
      <c r="C39" s="15">
        <f>'By Round'!B27</f>
        <v/>
      </c>
      <c r="D39" s="15">
        <f>'By Round'!C27</f>
        <v/>
      </c>
      <c r="E39" s="15">
        <f>'By Round'!D27</f>
        <v/>
      </c>
      <c r="F39" s="15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Round'!A39</f>
        <v/>
      </c>
      <c r="C40" s="15">
        <f>'By Round'!B42</f>
        <v/>
      </c>
      <c r="D40" s="15">
        <f>'By Round'!C42</f>
        <v/>
      </c>
      <c r="E40" s="15">
        <f>'By Round'!D42</f>
        <v/>
      </c>
      <c r="F40" s="15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Round'!A51</f>
        <v/>
      </c>
      <c r="C41" s="15">
        <f>'By Round'!B57</f>
        <v/>
      </c>
      <c r="D41" s="15">
        <f>'By Round'!C57</f>
        <v/>
      </c>
      <c r="E41" s="15">
        <f>'By Round'!D57</f>
        <v/>
      </c>
      <c r="F41" s="15">
        <f>IF(ISBLANK('By Round'!F57),"",'By Round'!F57)</f>
        <v/>
      </c>
      <c r="G41">
        <f>IF(ISBLANK('By Round'!G57),"",'By Round'!G57)</f>
        <v/>
      </c>
      <c r="H41">
        <f>IF(ISBLANK('By Round'!H57),"",'By Round'!H57)</f>
        <v/>
      </c>
      <c r="I41">
        <f>IF(ISBLANK('By Round'!I57),"",'By Round'!I57)</f>
        <v/>
      </c>
      <c r="J41">
        <f>IF(ISBLANK('By Round'!J57),"",'By Round'!J57)</f>
        <v/>
      </c>
      <c r="K41">
        <f>IF(ISBLANK('By Round'!K57),"",'By Round'!K57)</f>
        <v/>
      </c>
      <c r="L41">
        <f>IF(ISBLANK('By Round'!L57),"",'By Round'!L57)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  <c r="AG42" s="7" t="n"/>
      <c r="AH42" s="7" t="n"/>
      <c r="AI42" s="7" t="n"/>
      <c r="AJ42" s="7" t="n"/>
    </row>
    <row r="43">
      <c r="A43" s="15" t="n">
        <v>11</v>
      </c>
      <c r="B43" s="15">
        <f>'By Round'!A27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Round'!A39</f>
        <v/>
      </c>
      <c r="C44" s="15">
        <f>'By Round'!B42</f>
        <v/>
      </c>
      <c r="D44" s="15">
        <f>'By Round'!C42</f>
        <v/>
      </c>
      <c r="E44" s="15">
        <f>'By Round'!D42</f>
        <v/>
      </c>
      <c r="F44" s="15">
        <f>IF(ISBLANK('By Round'!F43),"",'By Round'!F43)</f>
        <v/>
      </c>
      <c r="G44">
        <f>IF(ISBLANK('By Round'!G43),"",'By Round'!G43)</f>
        <v/>
      </c>
      <c r="H44">
        <f>IF(ISBLANK('By Round'!H43),"",'By Round'!H43)</f>
        <v/>
      </c>
      <c r="I44">
        <f>IF(ISBLANK('By Round'!I43),"",'By Round'!I43)</f>
        <v/>
      </c>
      <c r="J44">
        <f>IF(ISBLANK('By Round'!J43),"",'By Round'!J43)</f>
        <v/>
      </c>
      <c r="K44">
        <f>IF(ISBLANK('By Round'!K43),"",'By Round'!K43)</f>
        <v/>
      </c>
      <c r="L44">
        <f>IF(ISBLANK('By Round'!L43),"",'By Round'!L43)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Round'!A51</f>
        <v/>
      </c>
      <c r="C45" s="15">
        <f>'By Round'!B57</f>
        <v/>
      </c>
      <c r="D45" s="15">
        <f>'By Round'!C57</f>
        <v/>
      </c>
      <c r="E45" s="15">
        <f>'By Round'!D57</f>
        <v/>
      </c>
      <c r="F45" s="15">
        <f>IF(ISBLANK('By Round'!F58),"",'By Round'!F58)</f>
        <v/>
      </c>
      <c r="G45">
        <f>IF(ISBLANK('By Round'!G58),"",'By Round'!G58)</f>
        <v/>
      </c>
      <c r="H45">
        <f>IF(ISBLANK('By Round'!H58),"",'By Round'!H58)</f>
        <v/>
      </c>
      <c r="I45">
        <f>IF(ISBLANK('By Round'!I58),"",'By Round'!I58)</f>
        <v/>
      </c>
      <c r="J45">
        <f>IF(ISBLANK('By Round'!J58),"",'By Round'!J58)</f>
        <v/>
      </c>
      <c r="K45">
        <f>IF(ISBLANK('By Round'!K58),"",'By Round'!K58)</f>
        <v/>
      </c>
      <c r="L45">
        <f>IF(ISBLANK('By Round'!L58),"",'By Round'!L58)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  <c r="AG46" s="7" t="n"/>
      <c r="AH46" s="7" t="n"/>
      <c r="AI46" s="7" t="n"/>
      <c r="AJ46" s="7" t="n"/>
    </row>
    <row r="47">
      <c r="A47" s="15" t="n">
        <v>12</v>
      </c>
      <c r="B47" s="15">
        <f>'By Round'!A27</f>
        <v/>
      </c>
      <c r="C47" s="15">
        <f>'By Round'!B27</f>
        <v/>
      </c>
      <c r="D47" s="15">
        <f>'By Round'!C27</f>
        <v/>
      </c>
      <c r="E47" s="15">
        <f>'By Round'!D27</f>
        <v/>
      </c>
      <c r="F47" s="15">
        <f>IF(ISBLANK('By Round'!F29),"",'By Round'!F29)</f>
        <v/>
      </c>
      <c r="G47">
        <f>IF(ISBLANK('By Round'!G29),"",'By Round'!G29)</f>
        <v/>
      </c>
      <c r="H47">
        <f>IF(ISBLANK('By Round'!H29),"",'By Round'!H29)</f>
        <v/>
      </c>
      <c r="I47">
        <f>IF(ISBLANK('By Round'!I29),"",'By Round'!I29)</f>
        <v/>
      </c>
      <c r="J47">
        <f>IF(ISBLANK('By Round'!J29),"",'By Round'!J29)</f>
        <v/>
      </c>
      <c r="K47">
        <f>IF(ISBLANK('By Round'!K29),"",'By Round'!K29)</f>
        <v/>
      </c>
      <c r="L47">
        <f>IF(ISBLANK('By Round'!L29),"",'By Round'!L29)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Round'!A39</f>
        <v/>
      </c>
      <c r="C48" s="15">
        <f>'By Round'!B42</f>
        <v/>
      </c>
      <c r="D48" s="15">
        <f>'By Round'!C42</f>
        <v/>
      </c>
      <c r="E48" s="15">
        <f>'By Round'!D42</f>
        <v/>
      </c>
      <c r="F48" s="15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Round'!A51</f>
        <v/>
      </c>
      <c r="C49" s="15">
        <f>'By Round'!B57</f>
        <v/>
      </c>
      <c r="D49" s="15">
        <f>'By Round'!C57</f>
        <v/>
      </c>
      <c r="E49" s="15">
        <f>'By Round'!D57</f>
        <v/>
      </c>
      <c r="F49" s="15">
        <f>IF(ISBLANK('By Round'!F59),"",'By Round'!F59)</f>
        <v/>
      </c>
      <c r="G49">
        <f>IF(ISBLANK('By Round'!G59),"",'By Round'!G59)</f>
        <v/>
      </c>
      <c r="H49">
        <f>IF(ISBLANK('By Round'!H59),"",'By Round'!H59)</f>
        <v/>
      </c>
      <c r="I49">
        <f>IF(ISBLANK('By Round'!I59),"",'By Round'!I59)</f>
        <v/>
      </c>
      <c r="J49">
        <f>IF(ISBLANK('By Round'!J59),"",'By Round'!J59)</f>
        <v/>
      </c>
      <c r="K49">
        <f>IF(ISBLANK('By Round'!K59),"",'By Round'!K59)</f>
        <v/>
      </c>
      <c r="L49">
        <f>IF(ISBLANK('By Round'!L59),"",'By Round'!L59)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  <c r="AG50" s="7" t="n"/>
      <c r="AH50" s="7" t="n"/>
      <c r="AI50" s="7" t="n"/>
      <c r="AJ50" s="7" t="n"/>
    </row>
    <row r="51">
      <c r="A51" s="15" t="n">
        <v>13</v>
      </c>
      <c r="B51" s="15">
        <f>'By Round'!A15</f>
        <v/>
      </c>
      <c r="C51" s="15">
        <f>'By Round'!B15</f>
        <v/>
      </c>
      <c r="D51" s="15">
        <f>'By Round'!C15</f>
        <v/>
      </c>
      <c r="E51" s="15">
        <f>'By Round'!D15</f>
        <v/>
      </c>
      <c r="F51" s="15">
        <f>IF(ISBLANK('By Round'!F15),"",'By Round'!F15)</f>
        <v/>
      </c>
      <c r="G51">
        <f>IF(ISBLANK('By Round'!G15),"",'By Round'!G15)</f>
        <v/>
      </c>
      <c r="H51">
        <f>IF(ISBLANK('By Round'!H15),"",'By Round'!H15)</f>
        <v/>
      </c>
      <c r="I51">
        <f>IF(ISBLANK('By Round'!I15),"",'By Round'!I15)</f>
        <v/>
      </c>
      <c r="J51">
        <f>IF(ISBLANK('By Round'!J15),"",'By Round'!J15)</f>
        <v/>
      </c>
      <c r="K51">
        <f>IF(ISBLANK('By Round'!K15),"",'By Round'!K15)</f>
        <v/>
      </c>
      <c r="L51">
        <f>IF(ISBLANK('By Round'!L15),"",'By Round'!L15)</f>
        <v/>
      </c>
      <c r="M51" s="16">
        <f>AVERAGE(AA51:AC51)</f>
        <v/>
      </c>
      <c r="N51" s="5">
        <f>AVERAGE(AD51:AF51)</f>
        <v/>
      </c>
      <c r="O51" s="4">
        <f>IF(COUNT(U51:W51)&gt;0,Q51/COUNT(U51:W51),0.5)</f>
        <v/>
      </c>
      <c r="P51" s="4">
        <f>IF(COUNT(X51:Z51)&gt;0,R51/COUNT(X51:Z51),0.5)</f>
        <v/>
      </c>
      <c r="Q51" s="17">
        <f>SUM(U51:W51)</f>
        <v/>
      </c>
      <c r="R51" s="17">
        <f>SUM(X51:Z51)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8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5">
        <f>'By Round'!A27</f>
        <v/>
      </c>
      <c r="C52" s="15">
        <f>'By Round'!B30</f>
        <v/>
      </c>
      <c r="D52" s="15">
        <f>'By Round'!C30</f>
        <v/>
      </c>
      <c r="E52" s="15">
        <f>'By Round'!D30</f>
        <v/>
      </c>
      <c r="F52" s="15">
        <f>IF(ISBLANK('By Round'!F30),"",'By Round'!F30)</f>
        <v/>
      </c>
      <c r="G52">
        <f>IF(ISBLANK('By Round'!G30),"",'By Round'!G30)</f>
        <v/>
      </c>
      <c r="H52">
        <f>IF(ISBLANK('By Round'!H30),"",'By Round'!H30)</f>
        <v/>
      </c>
      <c r="I52">
        <f>IF(ISBLANK('By Round'!I30),"",'By Round'!I30)</f>
        <v/>
      </c>
      <c r="J52">
        <f>IF(ISBLANK('By Round'!J30),"",'By Round'!J30)</f>
        <v/>
      </c>
      <c r="K52">
        <f>IF(ISBLANK('By Round'!K30),"",'By Round'!K30)</f>
        <v/>
      </c>
      <c r="L52">
        <f>IF(ISBLANK('By Round'!L30),"",'By Round'!L30)</f>
        <v/>
      </c>
      <c r="M52" s="16">
        <f>AVERAGE(AA52:AC52)</f>
        <v/>
      </c>
      <c r="N52" s="5">
        <f>AVERAGE(AD52:AF52)</f>
        <v/>
      </c>
      <c r="O52" s="4">
        <f>IF(COUNT(U52:W52)&gt;0,Q52/COUNT(U52:W52),0.5)</f>
        <v/>
      </c>
      <c r="P52" s="4">
        <f>IF(COUNT(X52:Z52)&gt;0,R52/COUNT(X52:Z52),0.5)</f>
        <v/>
      </c>
      <c r="Q52" s="17">
        <f>SUM(U52:W52)</f>
        <v/>
      </c>
      <c r="R52" s="17">
        <f>SUM(X52:Z52)</f>
        <v/>
      </c>
      <c r="S52" s="18">
        <f>IF(ISNUMBER(K52),K52,IF(ISNUMBER(L52),-L52,""))</f>
        <v/>
      </c>
      <c r="T52">
        <f>IF(ISNUMBER(L52),L52,IF(ISNUMBER(K52),-K52,""))</f>
        <v/>
      </c>
      <c r="U52" s="18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8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5">
        <f>'By Round'!A39</f>
        <v/>
      </c>
      <c r="C53" s="15">
        <f>'By Round'!B45</f>
        <v/>
      </c>
      <c r="D53" s="15">
        <f>'By Round'!C45</f>
        <v/>
      </c>
      <c r="E53" s="15">
        <f>'By Round'!D45</f>
        <v/>
      </c>
      <c r="F53" s="15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6">
        <f>AVERAGE(AA53:AC53)</f>
        <v/>
      </c>
      <c r="N53" s="5">
        <f>AVERAGE(AD53:AF53)</f>
        <v/>
      </c>
      <c r="O53" s="4">
        <f>IF(COUNT(U53:W53)&gt;0,Q53/COUNT(U53:W53),0.5)</f>
        <v/>
      </c>
      <c r="P53" s="4">
        <f>IF(COUNT(X53:Z53)&gt;0,R53/COUNT(X53:Z53),0.5)</f>
        <v/>
      </c>
      <c r="Q53" s="17">
        <f>SUM(U53:W53)</f>
        <v/>
      </c>
      <c r="R53" s="17">
        <f>SUM(X53:Z53)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8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7" t="n"/>
      <c r="B54" s="19">
        <f>'By Round'!A51</f>
        <v/>
      </c>
      <c r="C54" s="19">
        <f>'By Round'!B60</f>
        <v/>
      </c>
      <c r="D54" s="19">
        <f>'By Round'!C60</f>
        <v/>
      </c>
      <c r="E54" s="19">
        <f>'By Round'!D60</f>
        <v/>
      </c>
      <c r="F54" s="19">
        <f>IF(ISBLANK('By Round'!F60),"",'By Round'!F60)</f>
        <v/>
      </c>
      <c r="G54" s="7">
        <f>IF(ISBLANK('By Round'!G60),"",'By Round'!G60)</f>
        <v/>
      </c>
      <c r="H54" s="7">
        <f>IF(ISBLANK('By Round'!H60),"",'By Round'!H60)</f>
        <v/>
      </c>
      <c r="I54" s="7">
        <f>IF(ISBLANK('By Round'!I60),"",'By Round'!I60)</f>
        <v/>
      </c>
      <c r="J54" s="7">
        <f>IF(ISBLANK('By Round'!J60),"",'By Round'!J60)</f>
        <v/>
      </c>
      <c r="K54" s="7">
        <f>IF(ISBLANK('By Round'!K60),"",'By Round'!K60)</f>
        <v/>
      </c>
      <c r="L54" s="7">
        <f>IF(ISBLANK('By Round'!L60),"",'By Round'!L60)</f>
        <v/>
      </c>
      <c r="M54" s="20">
        <f>AVERAGE(AA54:AC54)</f>
        <v/>
      </c>
      <c r="N54" s="9">
        <f>AVERAGE(AD54:AF54)</f>
        <v/>
      </c>
      <c r="O54" s="8">
        <f>IF(COUNT(U54:W54)&gt;0,Q54/COUNT(U54:W54),0.5)</f>
        <v/>
      </c>
      <c r="P54" s="8">
        <f>IF(COUNT(X54:Z54)&gt;0,R54/COUNT(X54:Z54),0.5)</f>
        <v/>
      </c>
      <c r="Q54" s="21">
        <f>SUM(U54:W54)</f>
        <v/>
      </c>
      <c r="R54" s="21">
        <f>SUM(X54:Z54)</f>
        <v/>
      </c>
      <c r="S54" s="22">
        <f>IF(ISNUMBER(K54),K54,IF(ISNUMBER(L54),-L54,""))</f>
        <v/>
      </c>
      <c r="T54" s="7">
        <f>IF(ISNUMBER(L54),L54,IF(ISNUMBER(K54),-K54,""))</f>
        <v/>
      </c>
      <c r="U54" s="22">
        <f>IF(ISNUMBER(S54),IF(ISNUMBER(S51),IF(S54&gt;S51,1.0,IF(S54=S51,0.5,0.0)),0.5),0.5)</f>
        <v/>
      </c>
      <c r="V54" s="7">
        <f>IF(ISNUMBER(S54),IF(ISNUMBER(S52),IF(S54&gt;S52,1.0,IF(S54=S52,0.5,0.0)),0.5),0.5)</f>
        <v/>
      </c>
      <c r="W54" s="7">
        <f>IF(ISNUMBER(S54),IF(ISNUMBER(S53),IF(S54&gt;S53,1.0,IF(S54=S53,0.5,0.0)),0.5),0.5)</f>
        <v/>
      </c>
      <c r="X54" s="7">
        <f>IF(ISNUMBER(T54),IF(ISNUMBER(T51),IF(T54&gt;T51,1.0,IF(T54=T51,0.5,0.0)),0.5),0.5)</f>
        <v/>
      </c>
      <c r="Y54" s="7">
        <f>IF(ISNUMBER(T54),IF(ISNUMBER(T52),IF(T54&gt;T52,1.0,IF(T54=T52,0.5,0.0)),0.5),0.5)</f>
        <v/>
      </c>
      <c r="Z54" s="7">
        <f>IF(ISNUMBER(T54),IF(ISNUMBER(T53),IF(T54&gt;T53,1.0,IF(T54=T53,0.5,0.0)),0.5),0.5)</f>
        <v/>
      </c>
      <c r="AA54" s="22">
        <f>IF(AND(ISNUMBER(S54),ISNUMBER(S51)),VLOOKUP(ABS(S54-S51),'IMP Table'!$A$2:$C$26,3)*SIGN(S54-S51),0)</f>
        <v/>
      </c>
      <c r="AB54" s="7">
        <f>IF(AND(ISNUMBER(S54),ISNUMBER(S52)),VLOOKUP(ABS(S54-S52),'IMP Table'!$A$2:$C$26,3)*SIGN(S54-S52),0)</f>
        <v/>
      </c>
      <c r="AC54" s="7">
        <f>IF(AND(ISNUMBER(S54),ISNUMBER(S53)),VLOOKUP(ABS(S54-S53),'IMP Table'!$A$2:$C$26,3)*SIGN(S54-S53),0)</f>
        <v/>
      </c>
      <c r="AD54" s="7">
        <f>IF(AND(ISNUMBER(T54),ISNUMBER(T51)),VLOOKUP(ABS(T54-T51),'IMP Table'!$A$2:$C$26,3)*SIGN(T54-T51),0)</f>
        <v/>
      </c>
      <c r="AE54" s="7">
        <f>IF(AND(ISNUMBER(T54),ISNUMBER(T52)),VLOOKUP(ABS(T54-T52),'IMP Table'!$A$2:$C$26,3)*SIGN(T54-T52),0)</f>
        <v/>
      </c>
      <c r="AF54" s="7">
        <f>IF(AND(ISNUMBER(T54),ISNUMBER(T53)),VLOOKUP(ABS(T54-T53),'IMP Table'!$A$2:$C$26,3)*SIGN(T54-T53),0)</f>
        <v/>
      </c>
      <c r="AG54" s="7" t="n"/>
      <c r="AH54" s="7" t="n"/>
      <c r="AI54" s="7" t="n"/>
      <c r="AJ54" s="7" t="n"/>
    </row>
    <row r="55">
      <c r="A55" s="15" t="n">
        <v>14</v>
      </c>
      <c r="B55" s="15">
        <f>'By Round'!A15</f>
        <v/>
      </c>
      <c r="C55" s="15">
        <f>'By Round'!B15</f>
        <v/>
      </c>
      <c r="D55" s="15">
        <f>'By Round'!C15</f>
        <v/>
      </c>
      <c r="E55" s="15">
        <f>'By Round'!D15</f>
        <v/>
      </c>
      <c r="F55" s="15">
        <f>IF(ISBLANK('By Round'!F16),"",'By Round'!F16)</f>
        <v/>
      </c>
      <c r="G55">
        <f>IF(ISBLANK('By Round'!G16),"",'By Round'!G16)</f>
        <v/>
      </c>
      <c r="H55">
        <f>IF(ISBLANK('By Round'!H16),"",'By Round'!H16)</f>
        <v/>
      </c>
      <c r="I55">
        <f>IF(ISBLANK('By Round'!I16),"",'By Round'!I16)</f>
        <v/>
      </c>
      <c r="J55">
        <f>IF(ISBLANK('By Round'!J16),"",'By Round'!J16)</f>
        <v/>
      </c>
      <c r="K55">
        <f>IF(ISBLANK('By Round'!K16),"",'By Round'!K16)</f>
        <v/>
      </c>
      <c r="L55">
        <f>IF(ISBLANK('By Round'!L16),"",'By Round'!L16)</f>
        <v/>
      </c>
      <c r="M55" s="16">
        <f>AVERAGE(AA55:AC55)</f>
        <v/>
      </c>
      <c r="N55" s="5">
        <f>AVERAGE(AD55:AF55)</f>
        <v/>
      </c>
      <c r="O55" s="4">
        <f>IF(COUNT(U55:W55)&gt;0,Q55/COUNT(U55:W55),0.5)</f>
        <v/>
      </c>
      <c r="P55" s="4">
        <f>IF(COUNT(X55:Z55)&gt;0,R55/COUNT(X55:Z55),0.5)</f>
        <v/>
      </c>
      <c r="Q55" s="17">
        <f>SUM(U55:W55)</f>
        <v/>
      </c>
      <c r="R55" s="17">
        <f>SUM(X55:Z55)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8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5">
        <f>'By Round'!A27</f>
        <v/>
      </c>
      <c r="C56" s="15">
        <f>'By Round'!B30</f>
        <v/>
      </c>
      <c r="D56" s="15">
        <f>'By Round'!C30</f>
        <v/>
      </c>
      <c r="E56" s="15">
        <f>'By Round'!D30</f>
        <v/>
      </c>
      <c r="F56" s="15">
        <f>IF(ISBLANK('By Round'!F31),"",'By Round'!F31)</f>
        <v/>
      </c>
      <c r="G56">
        <f>IF(ISBLANK('By Round'!G31),"",'By Round'!G31)</f>
        <v/>
      </c>
      <c r="H56">
        <f>IF(ISBLANK('By Round'!H31),"",'By Round'!H31)</f>
        <v/>
      </c>
      <c r="I56">
        <f>IF(ISBLANK('By Round'!I31),"",'By Round'!I31)</f>
        <v/>
      </c>
      <c r="J56">
        <f>IF(ISBLANK('By Round'!J31),"",'By Round'!J31)</f>
        <v/>
      </c>
      <c r="K56">
        <f>IF(ISBLANK('By Round'!K31),"",'By Round'!K31)</f>
        <v/>
      </c>
      <c r="L56">
        <f>IF(ISBLANK('By Round'!L31),"",'By Round'!L31)</f>
        <v/>
      </c>
      <c r="M56" s="16">
        <f>AVERAGE(AA56:AC56)</f>
        <v/>
      </c>
      <c r="N56" s="5">
        <f>AVERAGE(AD56:AF56)</f>
        <v/>
      </c>
      <c r="O56" s="4">
        <f>IF(COUNT(U56:W56)&gt;0,Q56/COUNT(U56:W56),0.5)</f>
        <v/>
      </c>
      <c r="P56" s="4">
        <f>IF(COUNT(X56:Z56)&gt;0,R56/COUNT(X56:Z56),0.5)</f>
        <v/>
      </c>
      <c r="Q56" s="17">
        <f>SUM(U56:W56)</f>
        <v/>
      </c>
      <c r="R56" s="17">
        <f>SUM(X56:Z56)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8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5">
        <f>'By Round'!A39</f>
        <v/>
      </c>
      <c r="C57" s="15">
        <f>'By Round'!B45</f>
        <v/>
      </c>
      <c r="D57" s="15">
        <f>'By Round'!C45</f>
        <v/>
      </c>
      <c r="E57" s="15">
        <f>'By Round'!D45</f>
        <v/>
      </c>
      <c r="F57" s="15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6">
        <f>AVERAGE(AA57:AC57)</f>
        <v/>
      </c>
      <c r="N57" s="5">
        <f>AVERAGE(AD57:AF57)</f>
        <v/>
      </c>
      <c r="O57" s="4">
        <f>IF(COUNT(U57:W57)&gt;0,Q57/COUNT(U57:W57),0.5)</f>
        <v/>
      </c>
      <c r="P57" s="4">
        <f>IF(COUNT(X57:Z57)&gt;0,R57/COUNT(X57:Z57),0.5)</f>
        <v/>
      </c>
      <c r="Q57" s="17">
        <f>SUM(U57:W57)</f>
        <v/>
      </c>
      <c r="R57" s="17">
        <f>SUM(X57:Z57)</f>
        <v/>
      </c>
      <c r="S57" s="18">
        <f>IF(ISNUMBER(K57),K57,IF(ISNUMBER(L57),-L57,""))</f>
        <v/>
      </c>
      <c r="T57">
        <f>IF(ISNUMBER(L57),L57,IF(ISNUMBER(K57),-K57,""))</f>
        <v/>
      </c>
      <c r="U57" s="18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8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7" t="n"/>
      <c r="B58" s="19">
        <f>'By Round'!A51</f>
        <v/>
      </c>
      <c r="C58" s="19">
        <f>'By Round'!B60</f>
        <v/>
      </c>
      <c r="D58" s="19">
        <f>'By Round'!C60</f>
        <v/>
      </c>
      <c r="E58" s="19">
        <f>'By Round'!D60</f>
        <v/>
      </c>
      <c r="F58" s="19">
        <f>IF(ISBLANK('By Round'!F61),"",'By Round'!F61)</f>
        <v/>
      </c>
      <c r="G58" s="7">
        <f>IF(ISBLANK('By Round'!G61),"",'By Round'!G61)</f>
        <v/>
      </c>
      <c r="H58" s="7">
        <f>IF(ISBLANK('By Round'!H61),"",'By Round'!H61)</f>
        <v/>
      </c>
      <c r="I58" s="7">
        <f>IF(ISBLANK('By Round'!I61),"",'By Round'!I61)</f>
        <v/>
      </c>
      <c r="J58" s="7">
        <f>IF(ISBLANK('By Round'!J61),"",'By Round'!J61)</f>
        <v/>
      </c>
      <c r="K58" s="7">
        <f>IF(ISBLANK('By Round'!K61),"",'By Round'!K61)</f>
        <v/>
      </c>
      <c r="L58" s="7">
        <f>IF(ISBLANK('By Round'!L61),"",'By Round'!L61)</f>
        <v/>
      </c>
      <c r="M58" s="20">
        <f>AVERAGE(AA58:AC58)</f>
        <v/>
      </c>
      <c r="N58" s="9">
        <f>AVERAGE(AD58:AF58)</f>
        <v/>
      </c>
      <c r="O58" s="8">
        <f>IF(COUNT(U58:W58)&gt;0,Q58/COUNT(U58:W58),0.5)</f>
        <v/>
      </c>
      <c r="P58" s="8">
        <f>IF(COUNT(X58:Z58)&gt;0,R58/COUNT(X58:Z58),0.5)</f>
        <v/>
      </c>
      <c r="Q58" s="21">
        <f>SUM(U58:W58)</f>
        <v/>
      </c>
      <c r="R58" s="21">
        <f>SUM(X58:Z58)</f>
        <v/>
      </c>
      <c r="S58" s="22">
        <f>IF(ISNUMBER(K58),K58,IF(ISNUMBER(L58),-L58,""))</f>
        <v/>
      </c>
      <c r="T58" s="7">
        <f>IF(ISNUMBER(L58),L58,IF(ISNUMBER(K58),-K58,""))</f>
        <v/>
      </c>
      <c r="U58" s="22">
        <f>IF(ISNUMBER(S58),IF(ISNUMBER(S55),IF(S58&gt;S55,1.0,IF(S58=S55,0.5,0.0)),0.5),0.5)</f>
        <v/>
      </c>
      <c r="V58" s="7">
        <f>IF(ISNUMBER(S58),IF(ISNUMBER(S56),IF(S58&gt;S56,1.0,IF(S58=S56,0.5,0.0)),0.5),0.5)</f>
        <v/>
      </c>
      <c r="W58" s="7">
        <f>IF(ISNUMBER(S58),IF(ISNUMBER(S57),IF(S58&gt;S57,1.0,IF(S58=S57,0.5,0.0)),0.5),0.5)</f>
        <v/>
      </c>
      <c r="X58" s="7">
        <f>IF(ISNUMBER(T58),IF(ISNUMBER(T55),IF(T58&gt;T55,1.0,IF(T58=T55,0.5,0.0)),0.5),0.5)</f>
        <v/>
      </c>
      <c r="Y58" s="7">
        <f>IF(ISNUMBER(T58),IF(ISNUMBER(T56),IF(T58&gt;T56,1.0,IF(T58=T56,0.5,0.0)),0.5),0.5)</f>
        <v/>
      </c>
      <c r="Z58" s="7">
        <f>IF(ISNUMBER(T58),IF(ISNUMBER(T57),IF(T58&gt;T57,1.0,IF(T58=T57,0.5,0.0)),0.5),0.5)</f>
        <v/>
      </c>
      <c r="AA58" s="22">
        <f>IF(AND(ISNUMBER(S58),ISNUMBER(S55)),VLOOKUP(ABS(S58-S55),'IMP Table'!$A$2:$C$26,3)*SIGN(S58-S55),0)</f>
        <v/>
      </c>
      <c r="AB58" s="7">
        <f>IF(AND(ISNUMBER(S58),ISNUMBER(S56)),VLOOKUP(ABS(S58-S56),'IMP Table'!$A$2:$C$26,3)*SIGN(S58-S56),0)</f>
        <v/>
      </c>
      <c r="AC58" s="7">
        <f>IF(AND(ISNUMBER(S58),ISNUMBER(S57)),VLOOKUP(ABS(S58-S57),'IMP Table'!$A$2:$C$26,3)*SIGN(S58-S57),0)</f>
        <v/>
      </c>
      <c r="AD58" s="7">
        <f>IF(AND(ISNUMBER(T58),ISNUMBER(T55)),VLOOKUP(ABS(T58-T55),'IMP Table'!$A$2:$C$26,3)*SIGN(T58-T55),0)</f>
        <v/>
      </c>
      <c r="AE58" s="7">
        <f>IF(AND(ISNUMBER(T58),ISNUMBER(T56)),VLOOKUP(ABS(T58-T56),'IMP Table'!$A$2:$C$26,3)*SIGN(T58-T56),0)</f>
        <v/>
      </c>
      <c r="AF58" s="7">
        <f>IF(AND(ISNUMBER(T58),ISNUMBER(T57)),VLOOKUP(ABS(T58-T57),'IMP Table'!$A$2:$C$26,3)*SIGN(T58-T57),0)</f>
        <v/>
      </c>
      <c r="AG58" s="7" t="n"/>
      <c r="AH58" s="7" t="n"/>
      <c r="AI58" s="7" t="n"/>
      <c r="AJ58" s="7" t="n"/>
    </row>
    <row r="59">
      <c r="A59" s="15" t="n">
        <v>15</v>
      </c>
      <c r="B59" s="15">
        <f>'By Round'!A15</f>
        <v/>
      </c>
      <c r="C59" s="15">
        <f>'By Round'!B15</f>
        <v/>
      </c>
      <c r="D59" s="15">
        <f>'By Round'!C15</f>
        <v/>
      </c>
      <c r="E59" s="15">
        <f>'By Round'!D15</f>
        <v/>
      </c>
      <c r="F59" s="15">
        <f>IF(ISBLANK('By Round'!F17),"",'By Round'!F17)</f>
        <v/>
      </c>
      <c r="G59">
        <f>IF(ISBLANK('By Round'!G17),"",'By Round'!G17)</f>
        <v/>
      </c>
      <c r="H59">
        <f>IF(ISBLANK('By Round'!H17),"",'By Round'!H17)</f>
        <v/>
      </c>
      <c r="I59">
        <f>IF(ISBLANK('By Round'!I17),"",'By Round'!I17)</f>
        <v/>
      </c>
      <c r="J59">
        <f>IF(ISBLANK('By Round'!J17),"",'By Round'!J17)</f>
        <v/>
      </c>
      <c r="K59">
        <f>IF(ISBLANK('By Round'!K17),"",'By Round'!K17)</f>
        <v/>
      </c>
      <c r="L59">
        <f>IF(ISBLANK('By Round'!L17),"",'By Round'!L17)</f>
        <v/>
      </c>
      <c r="M59" s="16">
        <f>AVERAGE(AA59:AC59)</f>
        <v/>
      </c>
      <c r="N59" s="5">
        <f>AVERAGE(AD59:AF59)</f>
        <v/>
      </c>
      <c r="O59" s="4">
        <f>IF(COUNT(U59:W59)&gt;0,Q59/COUNT(U59:W59),0.5)</f>
        <v/>
      </c>
      <c r="P59" s="4">
        <f>IF(COUNT(X59:Z59)&gt;0,R59/COUNT(X59:Z59),0.5)</f>
        <v/>
      </c>
      <c r="Q59" s="17">
        <f>SUM(U59:W59)</f>
        <v/>
      </c>
      <c r="R59" s="17">
        <f>SUM(X59:Z59)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8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5">
        <f>'By Round'!A27</f>
        <v/>
      </c>
      <c r="C60" s="15">
        <f>'By Round'!B30</f>
        <v/>
      </c>
      <c r="D60" s="15">
        <f>'By Round'!C30</f>
        <v/>
      </c>
      <c r="E60" s="15">
        <f>'By Round'!D30</f>
        <v/>
      </c>
      <c r="F60" s="15">
        <f>IF(ISBLANK('By Round'!F32),"",'By Round'!F32)</f>
        <v/>
      </c>
      <c r="G60">
        <f>IF(ISBLANK('By Round'!G32),"",'By Round'!G32)</f>
        <v/>
      </c>
      <c r="H60">
        <f>IF(ISBLANK('By Round'!H32),"",'By Round'!H32)</f>
        <v/>
      </c>
      <c r="I60">
        <f>IF(ISBLANK('By Round'!I32),"",'By Round'!I32)</f>
        <v/>
      </c>
      <c r="J60">
        <f>IF(ISBLANK('By Round'!J32),"",'By Round'!J32)</f>
        <v/>
      </c>
      <c r="K60">
        <f>IF(ISBLANK('By Round'!K32),"",'By Round'!K32)</f>
        <v/>
      </c>
      <c r="L60">
        <f>IF(ISBLANK('By Round'!L32),"",'By Round'!L32)</f>
        <v/>
      </c>
      <c r="M60" s="16">
        <f>AVERAGE(AA60:AC60)</f>
        <v/>
      </c>
      <c r="N60" s="5">
        <f>AVERAGE(AD60:AF60)</f>
        <v/>
      </c>
      <c r="O60" s="4">
        <f>IF(COUNT(U60:W60)&gt;0,Q60/COUNT(U60:W60),0.5)</f>
        <v/>
      </c>
      <c r="P60" s="4">
        <f>IF(COUNT(X60:Z60)&gt;0,R60/COUNT(X60:Z60),0.5)</f>
        <v/>
      </c>
      <c r="Q60" s="17">
        <f>SUM(U60:W60)</f>
        <v/>
      </c>
      <c r="R60" s="17">
        <f>SUM(X60:Z60)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8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5">
        <f>'By Round'!A39</f>
        <v/>
      </c>
      <c r="C61" s="15">
        <f>'By Round'!B45</f>
        <v/>
      </c>
      <c r="D61" s="15">
        <f>'By Round'!C45</f>
        <v/>
      </c>
      <c r="E61" s="15">
        <f>'By Round'!D45</f>
        <v/>
      </c>
      <c r="F61" s="15">
        <f>IF(ISBLANK('By Round'!F47),"",'By Round'!F47)</f>
        <v/>
      </c>
      <c r="G61">
        <f>IF(ISBLANK('By Round'!G47),"",'By Round'!G47)</f>
        <v/>
      </c>
      <c r="H61">
        <f>IF(ISBLANK('By Round'!H47),"",'By Round'!H47)</f>
        <v/>
      </c>
      <c r="I61">
        <f>IF(ISBLANK('By Round'!I47),"",'By Round'!I47)</f>
        <v/>
      </c>
      <c r="J61">
        <f>IF(ISBLANK('By Round'!J47),"",'By Round'!J47)</f>
        <v/>
      </c>
      <c r="K61">
        <f>IF(ISBLANK('By Round'!K47),"",'By Round'!K47)</f>
        <v/>
      </c>
      <c r="L61">
        <f>IF(ISBLANK('By Round'!L47),"",'By Round'!L47)</f>
        <v/>
      </c>
      <c r="M61" s="16">
        <f>AVERAGE(AA61:AC61)</f>
        <v/>
      </c>
      <c r="N61" s="5">
        <f>AVERAGE(AD61:AF61)</f>
        <v/>
      </c>
      <c r="O61" s="4">
        <f>IF(COUNT(U61:W61)&gt;0,Q61/COUNT(U61:W61),0.5)</f>
        <v/>
      </c>
      <c r="P61" s="4">
        <f>IF(COUNT(X61:Z61)&gt;0,R61/COUNT(X61:Z61),0.5)</f>
        <v/>
      </c>
      <c r="Q61" s="17">
        <f>SUM(U61:W61)</f>
        <v/>
      </c>
      <c r="R61" s="17">
        <f>SUM(X61:Z61)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8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7" t="n"/>
      <c r="B62" s="19">
        <f>'By Round'!A51</f>
        <v/>
      </c>
      <c r="C62" s="19">
        <f>'By Round'!B60</f>
        <v/>
      </c>
      <c r="D62" s="19">
        <f>'By Round'!C60</f>
        <v/>
      </c>
      <c r="E62" s="19">
        <f>'By Round'!D60</f>
        <v/>
      </c>
      <c r="F62" s="19">
        <f>IF(ISBLANK('By Round'!F62),"",'By Round'!F62)</f>
        <v/>
      </c>
      <c r="G62" s="7">
        <f>IF(ISBLANK('By Round'!G62),"",'By Round'!G62)</f>
        <v/>
      </c>
      <c r="H62" s="7">
        <f>IF(ISBLANK('By Round'!H62),"",'By Round'!H62)</f>
        <v/>
      </c>
      <c r="I62" s="7">
        <f>IF(ISBLANK('By Round'!I62),"",'By Round'!I62)</f>
        <v/>
      </c>
      <c r="J62" s="7">
        <f>IF(ISBLANK('By Round'!J62),"",'By Round'!J62)</f>
        <v/>
      </c>
      <c r="K62" s="7">
        <f>IF(ISBLANK('By Round'!K62),"",'By Round'!K62)</f>
        <v/>
      </c>
      <c r="L62" s="7">
        <f>IF(ISBLANK('By Round'!L62),"",'By Round'!L62)</f>
        <v/>
      </c>
      <c r="M62" s="20">
        <f>AVERAGE(AA62:AC62)</f>
        <v/>
      </c>
      <c r="N62" s="9">
        <f>AVERAGE(AD62:AF62)</f>
        <v/>
      </c>
      <c r="O62" s="8">
        <f>IF(COUNT(U62:W62)&gt;0,Q62/COUNT(U62:W62),0.5)</f>
        <v/>
      </c>
      <c r="P62" s="8">
        <f>IF(COUNT(X62:Z62)&gt;0,R62/COUNT(X62:Z62),0.5)</f>
        <v/>
      </c>
      <c r="Q62" s="21">
        <f>SUM(U62:W62)</f>
        <v/>
      </c>
      <c r="R62" s="21">
        <f>SUM(X62:Z62)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IF(ISNUMBER(S62),IF(ISNUMBER(S59),IF(S62&gt;S59,1.0,IF(S62=S59,0.5,0.0)),0.5),0.5)</f>
        <v/>
      </c>
      <c r="V62" s="7">
        <f>IF(ISNUMBER(S62),IF(ISNUMBER(S60),IF(S62&gt;S60,1.0,IF(S62=S60,0.5,0.0)),0.5),0.5)</f>
        <v/>
      </c>
      <c r="W62" s="7">
        <f>IF(ISNUMBER(S62),IF(ISNUMBER(S61),IF(S62&gt;S61,1.0,IF(S62=S61,0.5,0.0)),0.5),0.5)</f>
        <v/>
      </c>
      <c r="X62" s="7">
        <f>IF(ISNUMBER(T62),IF(ISNUMBER(T59),IF(T62&gt;T59,1.0,IF(T62=T59,0.5,0.0)),0.5),0.5)</f>
        <v/>
      </c>
      <c r="Y62" s="7">
        <f>IF(ISNUMBER(T62),IF(ISNUMBER(T60),IF(T62&gt;T60,1.0,IF(T62=T60,0.5,0.0)),0.5),0.5)</f>
        <v/>
      </c>
      <c r="Z62" s="7">
        <f>IF(ISNUMBER(T62),IF(ISNUMBER(T61),IF(T62&gt;T61,1.0,IF(T62=T61,0.5,0.0)),0.5),0.5)</f>
        <v/>
      </c>
      <c r="AA62" s="22">
        <f>IF(AND(ISNUMBER(S62),ISNUMBER(S59)),VLOOKUP(ABS(S62-S59),'IMP Table'!$A$2:$C$26,3)*SIGN(S62-S59),0)</f>
        <v/>
      </c>
      <c r="AB62" s="7">
        <f>IF(AND(ISNUMBER(S62),ISNUMBER(S60)),VLOOKUP(ABS(S62-S60),'IMP Table'!$A$2:$C$26,3)*SIGN(S62-S60),0)</f>
        <v/>
      </c>
      <c r="AC62" s="7">
        <f>IF(AND(ISNUMBER(S62),ISNUMBER(S61)),VLOOKUP(ABS(S62-S61),'IMP Table'!$A$2:$C$26,3)*SIGN(S62-S61),0)</f>
        <v/>
      </c>
      <c r="AD62" s="7">
        <f>IF(AND(ISNUMBER(T62),ISNUMBER(T59)),VLOOKUP(ABS(T62-T59),'IMP Table'!$A$2:$C$26,3)*SIGN(T62-T59),0)</f>
        <v/>
      </c>
      <c r="AE62" s="7">
        <f>IF(AND(ISNUMBER(T62),ISNUMBER(T60)),VLOOKUP(ABS(T62-T60),'IMP Table'!$A$2:$C$26,3)*SIGN(T62-T60),0)</f>
        <v/>
      </c>
      <c r="AF62" s="7">
        <f>IF(AND(ISNUMBER(T62),ISNUMBER(T61)),VLOOKUP(ABS(T62-T61),'IMP Table'!$A$2:$C$26,3)*SIGN(T62-T61),0)</f>
        <v/>
      </c>
      <c r="AG62" s="7" t="n"/>
      <c r="AH62" s="7" t="n"/>
      <c r="AI62" s="7" t="n"/>
      <c r="AJ62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3</v>
      </c>
      <c r="E18" s="15" t="n">
        <v>1</v>
      </c>
      <c r="F18" s="15" t="inlineStr">
        <is>
          <t>None</t>
        </is>
      </c>
    </row>
    <row r="19">
      <c r="B19" s="15" t="n"/>
      <c r="C19" s="15" t="n"/>
      <c r="D19" s="15" t="n"/>
      <c r="E19" s="15" t="n">
        <v>2</v>
      </c>
      <c r="F19" s="15" t="inlineStr">
        <is>
          <t>NS</t>
        </is>
      </c>
    </row>
    <row r="20">
      <c r="B20" s="19" t="n"/>
      <c r="C20" s="19" t="n"/>
      <c r="D20" s="19" t="n"/>
      <c r="E20" s="19" t="n">
        <v>3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5</v>
      </c>
      <c r="E24" s="15" t="n">
        <v>7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8</v>
      </c>
      <c r="F25" s="15" t="inlineStr">
        <is>
          <t>None</t>
        </is>
      </c>
    </row>
    <row r="26">
      <c r="A26" s="7" t="n"/>
      <c r="B26" s="19" t="n"/>
      <c r="C26" s="19" t="n"/>
      <c r="D26" s="19" t="n"/>
      <c r="E26" s="19" t="n">
        <v>9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3</v>
      </c>
      <c r="E27" s="15" t="n">
        <v>10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11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12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4</v>
      </c>
      <c r="E30" s="15" t="n">
        <v>13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14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15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5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4</v>
      </c>
      <c r="E39" s="15" t="n">
        <v>7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8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9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5</v>
      </c>
      <c r="E42" s="15" t="n">
        <v>10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11</v>
      </c>
      <c r="F43" s="15" t="inlineStr">
        <is>
          <t>None</t>
        </is>
      </c>
    </row>
    <row r="44">
      <c r="B44" s="19" t="n"/>
      <c r="C44" s="19" t="n"/>
      <c r="D44" s="19" t="n"/>
      <c r="E44" s="19" t="n">
        <v>12</v>
      </c>
      <c r="F44" s="19" t="inlineStr">
        <is>
          <t>NS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13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14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15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1</v>
      </c>
      <c r="F48" s="15" t="inlineStr">
        <is>
          <t>None</t>
        </is>
      </c>
    </row>
    <row r="49">
      <c r="B49" s="15" t="n"/>
      <c r="C49" s="15" t="n"/>
      <c r="D49" s="15" t="n"/>
      <c r="E49" s="15" t="n">
        <v>2</v>
      </c>
      <c r="F49" s="15" t="inlineStr">
        <is>
          <t>NS</t>
        </is>
      </c>
    </row>
    <row r="50">
      <c r="A50" s="7" t="n"/>
      <c r="B50" s="19" t="n"/>
      <c r="C50" s="19" t="n"/>
      <c r="D50" s="19" t="n"/>
      <c r="E50" s="19" t="n">
        <v>3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A51" s="15" t="n">
        <v>5</v>
      </c>
      <c r="B51" s="15" t="n">
        <v>1</v>
      </c>
      <c r="C51" s="15" t="n">
        <v>1</v>
      </c>
      <c r="D51" s="15" t="n">
        <v>5</v>
      </c>
      <c r="E51" s="15" t="n">
        <v>4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5</v>
      </c>
      <c r="F52" s="15" t="inlineStr">
        <is>
          <t>NS</t>
        </is>
      </c>
    </row>
    <row r="53">
      <c r="B53" s="19" t="n"/>
      <c r="C53" s="19" t="n"/>
      <c r="D53" s="19" t="n"/>
      <c r="E53" s="19" t="n">
        <v>6</v>
      </c>
      <c r="F53" s="19" t="inlineStr">
        <is>
          <t>EW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2</v>
      </c>
      <c r="C54" s="15" t="n">
        <v>2</v>
      </c>
      <c r="D54" s="15" t="n">
        <v>1</v>
      </c>
      <c r="E54" s="15" t="n">
        <v>7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8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9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3</v>
      </c>
      <c r="C57" s="15" t="n">
        <v>3</v>
      </c>
      <c r="D57" s="15" t="n">
        <v>2</v>
      </c>
      <c r="E57" s="15" t="n">
        <v>10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11</v>
      </c>
      <c r="F58" s="15" t="inlineStr">
        <is>
          <t>None</t>
        </is>
      </c>
    </row>
    <row r="59">
      <c r="B59" s="19" t="n"/>
      <c r="C59" s="19" t="n"/>
      <c r="D59" s="19" t="n"/>
      <c r="E59" s="19" t="n">
        <v>12</v>
      </c>
      <c r="F59" s="19" t="inlineStr">
        <is>
          <t>NS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4</v>
      </c>
      <c r="C60" s="15" t="n">
        <v>4</v>
      </c>
      <c r="D60" s="15" t="n">
        <v>3</v>
      </c>
      <c r="E60" s="15" t="n">
        <v>13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14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15</v>
      </c>
      <c r="F62" s="19" t="inlineStr">
        <is>
          <t>NS</t>
        </is>
      </c>
      <c r="G62" s="7" t="n"/>
      <c r="H62" s="7" t="n"/>
      <c r="I62" s="7" t="n"/>
      <c r="J62" s="7" t="n"/>
      <c r="K62" s="7" t="n"/>
      <c r="L62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2026-07-31T01:38:37Z</dcterms:created>
  <dcterms:modified xsi:type="dcterms:W3CDTF">2026-07-31T01:38:37Z</dcterms:modified>
</cp:coreProperties>
</file>