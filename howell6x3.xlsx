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Sep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52</t>
        </is>
      </c>
      <c r="C10" t="inlineStr">
        <is>
          <t>Name 78</t>
        </is>
      </c>
      <c r="D10" s="4">
        <f>SUMIF('By Board'!D3:D47,"="&amp;A10,'By Board'!Q3:Q47)/30+SUMIF('By Board'!E3:E47,"="&amp;A10,'By Board'!R3:R47)/30</f>
        <v/>
      </c>
      <c r="E10" s="5">
        <f>SUMIF('By Board'!D3:D47,"="&amp;A10,'By Board'!M3:M47)+SUMIF('By Board'!E3:E47,"="&amp;A10,'By Board'!N3:N47)</f>
        <v/>
      </c>
    </row>
    <row r="11">
      <c r="A11" s="2" t="n">
        <v>2</v>
      </c>
      <c r="B11" t="inlineStr">
        <is>
          <t>Name 45</t>
        </is>
      </c>
      <c r="C11" t="inlineStr">
        <is>
          <t>Name 16</t>
        </is>
      </c>
      <c r="D11" s="4">
        <f>SUMIF('By Board'!D3:D47,"="&amp;A11,'By Board'!Q3:Q47)/30+SUMIF('By Board'!E3:E47,"="&amp;A11,'By Board'!R3:R47)/30</f>
        <v/>
      </c>
      <c r="E11" s="5">
        <f>SUMIF('By Board'!D3:D47,"="&amp;A11,'By Board'!M3:M47)+SUMIF('By Board'!E3:E47,"="&amp;A11,'By Board'!N3:N47)</f>
        <v/>
      </c>
    </row>
    <row r="12">
      <c r="A12" s="2" t="n">
        <v>3</v>
      </c>
      <c r="B12" t="inlineStr">
        <is>
          <t>Name 17</t>
        </is>
      </c>
      <c r="C12" t="inlineStr">
        <is>
          <t>Name 63</t>
        </is>
      </c>
      <c r="D12" s="4">
        <f>SUMIF('By Board'!D3:D47,"="&amp;A12,'By Board'!Q3:Q47)/30+SUMIF('By Board'!E3:E47,"="&amp;A12,'By Board'!R3:R47)/30</f>
        <v/>
      </c>
      <c r="E12" s="5">
        <f>SUMIF('By Board'!D3:D47,"="&amp;A12,'By Board'!M3:M47)+SUMIF('By Board'!E3:E47,"="&amp;A12,'By Board'!N3:N47)</f>
        <v/>
      </c>
    </row>
    <row r="13">
      <c r="A13" s="2" t="n">
        <v>4</v>
      </c>
      <c r="B13" t="inlineStr">
        <is>
          <t>Name 61</t>
        </is>
      </c>
      <c r="C13" t="inlineStr">
        <is>
          <t>Name 30</t>
        </is>
      </c>
      <c r="D13" s="4">
        <f>SUMIF('By Board'!D3:D47,"="&amp;A13,'By Board'!Q3:Q47)/30+SUMIF('By Board'!E3:E47,"="&amp;A13,'By Board'!R3:R47)/30</f>
        <v/>
      </c>
      <c r="E13" s="5">
        <f>SUMIF('By Board'!D3:D47,"="&amp;A13,'By Board'!M3:M47)+SUMIF('By Board'!E3:E47,"="&amp;A13,'By Board'!N3:N47)</f>
        <v/>
      </c>
    </row>
    <row r="14">
      <c r="A14" s="2" t="n">
        <v>5</v>
      </c>
      <c r="B14" t="inlineStr">
        <is>
          <t>Name 67</t>
        </is>
      </c>
      <c r="C14" t="inlineStr">
        <is>
          <t>Name 40</t>
        </is>
      </c>
      <c r="D14" s="4">
        <f>SUMIF('By Board'!D3:D47,"="&amp;A14,'By Board'!Q3:Q47)/30+SUMIF('By Board'!E3:E47,"="&amp;A14,'By Board'!R3:R47)/30</f>
        <v/>
      </c>
      <c r="E14" s="5">
        <f>SUMIF('By Board'!D3:D47,"="&amp;A14,'By Board'!M3:M47)+SUMIF('By Board'!E3:E47,"="&amp;A14,'By Board'!N3:N47)</f>
        <v/>
      </c>
    </row>
    <row r="15">
      <c r="A15" s="2" t="n">
        <v>6</v>
      </c>
      <c r="B15" t="inlineStr">
        <is>
          <t>Name 42</t>
        </is>
      </c>
      <c r="C15" t="inlineStr">
        <is>
          <t>Name 56</t>
        </is>
      </c>
      <c r="D15" s="4">
        <f>SUMIF('By Board'!D3:D47,"="&amp;A15,'By Board'!Q3:Q47)/30+0/30</f>
        <v/>
      </c>
      <c r="E15" s="5">
        <f>SUMIF('By Board'!D3:D47,"="&amp;A15,'By Board'!M3:M47)+0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IF(ISNUMBER(S5),IF(ISNUMBER(S3),IF(S5&gt;S3,1.0,IF(S5=S3,0.5,0.0)),0.5),0.5)</f>
        <v/>
      </c>
      <c r="V5" s="15">
        <f>IF(ISNUMBER(S5),IF(ISNUMBER(S4),IF(S5&gt;S4,1.0,IF(S5=S4,0.5,0.0)),0.5),0.5)</f>
        <v/>
      </c>
      <c r="W5" s="15">
        <f>IF(ISNUMBER(T5),IF(ISNUMBER(T3),IF(T5&gt;T3,1.0,IF(T5=T3,0.5,0.0)),0.5),0.5)</f>
        <v/>
      </c>
      <c r="X5" s="15">
        <f>IF(ISNUMBER(T5),IF(ISNUMBER(T4),IF(T5&gt;T4,1.0,IF(T5=T4,0.5,0.0)),0.5),0.5)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IF(ISNUMBER(S8),IF(ISNUMBER(S6),IF(S8&gt;S6,1.0,IF(S8=S6,0.5,0.0)),0.5),0.5)</f>
        <v/>
      </c>
      <c r="V8" s="15">
        <f>IF(ISNUMBER(S8),IF(ISNUMBER(S7),IF(S8&gt;S7,1.0,IF(S8=S7,0.5,0.0)),0.5),0.5)</f>
        <v/>
      </c>
      <c r="W8" s="15">
        <f>IF(ISNUMBER(T8),IF(ISNUMBER(T6),IF(T8&gt;T6,1.0,IF(T8=T6,0.5,0.0)),0.5),0.5)</f>
        <v/>
      </c>
      <c r="X8" s="15">
        <f>IF(ISNUMBER(T8),IF(ISNUMBER(T7),IF(T8&gt;T7,1.0,IF(T8=T7,0.5,0.0)),0.5),0.5)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IF(ISNUMBER(S11),IF(ISNUMBER(S9),IF(S11&gt;S9,1.0,IF(S11=S9,0.5,0.0)),0.5),0.5)</f>
        <v/>
      </c>
      <c r="V11" s="15">
        <f>IF(ISNUMBER(S11),IF(ISNUMBER(S10),IF(S11&gt;S10,1.0,IF(S11=S10,0.5,0.0)),0.5),0.5)</f>
        <v/>
      </c>
      <c r="W11" s="15">
        <f>IF(ISNUMBER(T11),IF(ISNUMBER(T9),IF(T11&gt;T9,1.0,IF(T11=T9,0.5,0.0)),0.5),0.5)</f>
        <v/>
      </c>
      <c r="X11" s="15">
        <f>IF(ISNUMBER(T11),IF(ISNUMBER(T10),IF(T11&gt;T10,1.0,IF(T11=T10,0.5,0.0)),0.5),0.5)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IF(ISNUMBER(S14),IF(ISNUMBER(S12),IF(S14&gt;S12,1.0,IF(S14=S12,0.5,0.0)),0.5),0.5)</f>
        <v/>
      </c>
      <c r="V14" s="15">
        <f>IF(ISNUMBER(S14),IF(ISNUMBER(S13),IF(S14&gt;S13,1.0,IF(S14=S13,0.5,0.0)),0.5),0.5)</f>
        <v/>
      </c>
      <c r="W14" s="15">
        <f>IF(ISNUMBER(T14),IF(ISNUMBER(T12),IF(T14&gt;T12,1.0,IF(T14=T12,0.5,0.0)),0.5),0.5)</f>
        <v/>
      </c>
      <c r="X14" s="15">
        <f>IF(ISNUMBER(T14),IF(ISNUMBER(T13),IF(T14&gt;T13,1.0,IF(T14=T13,0.5,0.0)),0.5),0.5)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IF(ISNUMBER(S17),IF(ISNUMBER(S15),IF(S17&gt;S15,1.0,IF(S17=S15,0.5,0.0)),0.5),0.5)</f>
        <v/>
      </c>
      <c r="V17" s="15">
        <f>IF(ISNUMBER(S17),IF(ISNUMBER(S16),IF(S17&gt;S16,1.0,IF(S17=S16,0.5,0.0)),0.5),0.5)</f>
        <v/>
      </c>
      <c r="W17" s="15">
        <f>IF(ISNUMBER(T17),IF(ISNUMBER(T15),IF(T17&gt;T15,1.0,IF(T17=T15,0.5,0.0)),0.5),0.5)</f>
        <v/>
      </c>
      <c r="X17" s="15">
        <f>IF(ISNUMBER(T17),IF(ISNUMBER(T16),IF(T17&gt;T16,1.0,IF(T17=T16,0.5,0.0)),0.5),0.5)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IF(ISNUMBER(S20),IF(ISNUMBER(S18),IF(S20&gt;S18,1.0,IF(S20=S18,0.5,0.0)),0.5),0.5)</f>
        <v/>
      </c>
      <c r="V20" s="15">
        <f>IF(ISNUMBER(S20),IF(ISNUMBER(S19),IF(S20&gt;S19,1.0,IF(S20=S19,0.5,0.0)),0.5),0.5)</f>
        <v/>
      </c>
      <c r="W20" s="15">
        <f>IF(ISNUMBER(T20),IF(ISNUMBER(T18),IF(T20&gt;T18,1.0,IF(T20=T18,0.5,0.0)),0.5),0.5)</f>
        <v/>
      </c>
      <c r="X20" s="15">
        <f>IF(ISNUMBER(T20),IF(ISNUMBER(T19),IF(T20&gt;T19,1.0,IF(T20=T19,0.5,0.0)),0.5),0.5)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IF(ISNUMBER(S23),IF(ISNUMBER(S21),IF(S23&gt;S21,1.0,IF(S23=S21,0.5,0.0)),0.5),0.5)</f>
        <v/>
      </c>
      <c r="V23" s="15">
        <f>IF(ISNUMBER(S23),IF(ISNUMBER(S22),IF(S23&gt;S22,1.0,IF(S23=S22,0.5,0.0)),0.5),0.5)</f>
        <v/>
      </c>
      <c r="W23" s="15">
        <f>IF(ISNUMBER(T23),IF(ISNUMBER(T21),IF(T23&gt;T21,1.0,IF(T23=T21,0.5,0.0)),0.5),0.5)</f>
        <v/>
      </c>
      <c r="X23" s="15">
        <f>IF(ISNUMBER(T23),IF(ISNUMBER(T22),IF(T23&gt;T22,1.0,IF(T23=T22,0.5,0.0)),0.5),0.5)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IF(ISNUMBER(S26),IF(ISNUMBER(S24),IF(S26&gt;S24,1.0,IF(S26=S24,0.5,0.0)),0.5),0.5)</f>
        <v/>
      </c>
      <c r="V26" s="15">
        <f>IF(ISNUMBER(S26),IF(ISNUMBER(S25),IF(S26&gt;S25,1.0,IF(S26=S25,0.5,0.0)),0.5),0.5)</f>
        <v/>
      </c>
      <c r="W26" s="15">
        <f>IF(ISNUMBER(T26),IF(ISNUMBER(T24),IF(T26&gt;T24,1.0,IF(T26=T24,0.5,0.0)),0.5),0.5)</f>
        <v/>
      </c>
      <c r="X26" s="15">
        <f>IF(ISNUMBER(T26),IF(ISNUMBER(T25),IF(T26&gt;T25,1.0,IF(T26=T25,0.5,0.0)),0.5),0.5)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IF(ISNUMBER(S29),IF(ISNUMBER(S27),IF(S29&gt;S27,1.0,IF(S29=S27,0.5,0.0)),0.5),0.5)</f>
        <v/>
      </c>
      <c r="V29" s="15">
        <f>IF(ISNUMBER(S29),IF(ISNUMBER(S28),IF(S29&gt;S28,1.0,IF(S29=S28,0.5,0.0)),0.5),0.5)</f>
        <v/>
      </c>
      <c r="W29" s="15">
        <f>IF(ISNUMBER(T29),IF(ISNUMBER(T27),IF(T29&gt;T27,1.0,IF(T29=T27,0.5,0.0)),0.5),0.5)</f>
        <v/>
      </c>
      <c r="X29" s="15">
        <f>IF(ISNUMBER(T29),IF(ISNUMBER(T28),IF(T29&gt;T28,1.0,IF(T29=T28,0.5,0.0)),0.5),0.5)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IF(ISNUMBER(S32),IF(ISNUMBER(S30),IF(S32&gt;S30,1.0,IF(S32=S30,0.5,0.0)),0.5),0.5)</f>
        <v/>
      </c>
      <c r="V32" s="15">
        <f>IF(ISNUMBER(S32),IF(ISNUMBER(S31),IF(S32&gt;S31,1.0,IF(S32=S31,0.5,0.0)),0.5),0.5)</f>
        <v/>
      </c>
      <c r="W32" s="15">
        <f>IF(ISNUMBER(T32),IF(ISNUMBER(T30),IF(T32&gt;T30,1.0,IF(T32=T30,0.5,0.0)),0.5),0.5)</f>
        <v/>
      </c>
      <c r="X32" s="15">
        <f>IF(ISNUMBER(T32),IF(ISNUMBER(T31),IF(T32&gt;T31,1.0,IF(T32=T31,0.5,0.0)),0.5),0.5)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IF(ISNUMBER(S35),IF(ISNUMBER(S33),IF(S35&gt;S33,1.0,IF(S35=S33,0.5,0.0)),0.5),0.5)</f>
        <v/>
      </c>
      <c r="V35" s="15">
        <f>IF(ISNUMBER(S35),IF(ISNUMBER(S34),IF(S35&gt;S34,1.0,IF(S35=S34,0.5,0.0)),0.5),0.5)</f>
        <v/>
      </c>
      <c r="W35" s="15">
        <f>IF(ISNUMBER(T35),IF(ISNUMBER(T33),IF(T35&gt;T33,1.0,IF(T35=T33,0.5,0.0)),0.5),0.5)</f>
        <v/>
      </c>
      <c r="X35" s="15">
        <f>IF(ISNUMBER(T35),IF(ISNUMBER(T34),IF(T35&gt;T34,1.0,IF(T35=T34,0.5,0.0)),0.5),0.5)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IF(ISNUMBER(S38),IF(ISNUMBER(S36),IF(S38&gt;S36,1.0,IF(S38=S36,0.5,0.0)),0.5),0.5)</f>
        <v/>
      </c>
      <c r="V38" s="15">
        <f>IF(ISNUMBER(S38),IF(ISNUMBER(S37),IF(S38&gt;S37,1.0,IF(S38=S37,0.5,0.0)),0.5),0.5)</f>
        <v/>
      </c>
      <c r="W38" s="15">
        <f>IF(ISNUMBER(T38),IF(ISNUMBER(T36),IF(T38&gt;T36,1.0,IF(T38=T36,0.5,0.0)),0.5),0.5)</f>
        <v/>
      </c>
      <c r="X38" s="15">
        <f>IF(ISNUMBER(T38),IF(ISNUMBER(T37),IF(T38&gt;T37,1.0,IF(T38=T37,0.5,0.0)),0.5),0.5)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IF(ISNUMBER(S41),IF(ISNUMBER(S39),IF(S41&gt;S39,1.0,IF(S41=S39,0.5,0.0)),0.5),0.5)</f>
        <v/>
      </c>
      <c r="V41" s="15">
        <f>IF(ISNUMBER(S41),IF(ISNUMBER(S40),IF(S41&gt;S40,1.0,IF(S41=S40,0.5,0.0)),0.5),0.5)</f>
        <v/>
      </c>
      <c r="W41" s="15">
        <f>IF(ISNUMBER(T41),IF(ISNUMBER(T39),IF(T41&gt;T39,1.0,IF(T41=T39,0.5,0.0)),0.5),0.5)</f>
        <v/>
      </c>
      <c r="X41" s="15">
        <f>IF(ISNUMBER(T41),IF(ISNUMBER(T40),IF(T41&gt;T40,1.0,IF(T41=T40,0.5,0.0)),0.5),0.5)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IF(ISNUMBER(S44),IF(ISNUMBER(S42),IF(S44&gt;S42,1.0,IF(S44=S42,0.5,0.0)),0.5),0.5)</f>
        <v/>
      </c>
      <c r="V44" s="15">
        <f>IF(ISNUMBER(S44),IF(ISNUMBER(S43),IF(S44&gt;S43,1.0,IF(S44=S43,0.5,0.0)),0.5),0.5)</f>
        <v/>
      </c>
      <c r="W44" s="15">
        <f>IF(ISNUMBER(T44),IF(ISNUMBER(T42),IF(T44&gt;T42,1.0,IF(T44=T42,0.5,0.0)),0.5),0.5)</f>
        <v/>
      </c>
      <c r="X44" s="15">
        <f>IF(ISNUMBER(T44),IF(ISNUMBER(T43),IF(T44&gt;T43,1.0,IF(T44=T43,0.5,0.0)),0.5),0.5)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IF(ISNUMBER(S47),IF(ISNUMBER(S45),IF(S47&gt;S45,1.0,IF(S47=S45,0.5,0.0)),0.5),0.5)</f>
        <v/>
      </c>
      <c r="V47" s="15">
        <f>IF(ISNUMBER(S47),IF(ISNUMBER(S46),IF(S47&gt;S46,1.0,IF(S47=S46,0.5,0.0)),0.5),0.5)</f>
        <v/>
      </c>
      <c r="W47" s="15">
        <f>IF(ISNUMBER(T47),IF(ISNUMBER(T45),IF(T47&gt;T45,1.0,IF(T47=T45,0.5,0.0)),0.5),0.5)</f>
        <v/>
      </c>
      <c r="X47" s="15">
        <f>IF(ISNUMBER(T47),IF(ISNUMBER(T46),IF(T47&gt;T46,1.0,IF(T47=T46,0.5,0.0)),0.5),0.5)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N3-100</f>
        <v/>
      </c>
      <c r="O4">
        <f>O3-300</f>
        <v/>
      </c>
      <c r="P4">
        <f>O4*2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N4-100</f>
        <v/>
      </c>
      <c r="O5">
        <f>O4-300</f>
        <v/>
      </c>
      <c r="P5">
        <f>O5*2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N5-100</f>
        <v/>
      </c>
      <c r="O6">
        <f>O5-300</f>
        <v/>
      </c>
      <c r="P6">
        <f>O6*2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N6-100</f>
        <v/>
      </c>
      <c r="O7">
        <f>O6-300</f>
        <v/>
      </c>
      <c r="P7">
        <f>O7*2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N7-100</f>
        <v/>
      </c>
      <c r="O8">
        <f>O7-300</f>
        <v/>
      </c>
      <c r="P8">
        <f>O8*2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N8-100</f>
        <v/>
      </c>
      <c r="O9">
        <f>O8-300</f>
        <v/>
      </c>
      <c r="P9">
        <f>O9*2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N9-100</f>
        <v/>
      </c>
      <c r="O10">
        <f>O9-300</f>
        <v/>
      </c>
      <c r="P10">
        <f>O10*2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N10-100</f>
        <v/>
      </c>
      <c r="O11">
        <f>O10-300</f>
        <v/>
      </c>
      <c r="P11">
        <f>O11*2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N11-100</f>
        <v/>
      </c>
      <c r="O12">
        <f>O11-300</f>
        <v/>
      </c>
      <c r="P12">
        <f>O12*2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N12-100</f>
        <v/>
      </c>
      <c r="O13">
        <f>O12-300</f>
        <v/>
      </c>
      <c r="P13">
        <f>O13*2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N13-100</f>
        <v/>
      </c>
      <c r="O14">
        <f>O13-300</f>
        <v/>
      </c>
      <c r="P14">
        <f>O14*2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N14-100</f>
        <v/>
      </c>
      <c r="O15">
        <f>O14-300</f>
        <v/>
      </c>
      <c r="P15">
        <f>O15*2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2026-09-06T17:18:37Z</dcterms:created>
  <dcterms:modified xsi:type="dcterms:W3CDTF">2026-09-06T17:18:37Z</dcterms:modified>
</cp:coreProperties>
</file>