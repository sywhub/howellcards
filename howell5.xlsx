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05,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33</t>
        </is>
      </c>
      <c r="C10" t="inlineStr">
        <is>
          <t>Name 13</t>
        </is>
      </c>
      <c r="D10" s="4">
        <f>SUMIF('By Board'!$D$3:$D$38,"=1",'By Board'!$N$3:$N$38)/12+SUMIF('By Board'!$E$3:$E$38,"=1",'By Board'!$O$3:$O$38)/12</f>
        <v/>
      </c>
      <c r="E10" s="5">
        <f>SUMIF('By Board'!$D$3:$D$38,"=1",'By Board'!$L$3:$L$38)+SUMIF('By Board'!$E$3:$E$38,"=1",'By Board'!$M$3:$M$38)</f>
        <v/>
      </c>
    </row>
    <row r="11">
      <c r="A11" s="2" t="n">
        <v>2</v>
      </c>
      <c r="B11" t="inlineStr">
        <is>
          <t>Name 84</t>
        </is>
      </c>
      <c r="C11" t="inlineStr">
        <is>
          <t>Name 83</t>
        </is>
      </c>
      <c r="D11" s="4">
        <f>SUMIF('By Board'!$D$3:$D$38,"=2",'By Board'!$N$3:$N$38)/12+SUMIF('By Board'!$E$3:$E$38,"=2",'By Board'!$O$3:$O$38)/12</f>
        <v/>
      </c>
      <c r="E11" s="5">
        <f>SUMIF('By Board'!$D$3:$D$38,"=2",'By Board'!$L$3:$L$38)+SUMIF('By Board'!$E$3:$E$38,"=2",'By Board'!$M$3:$M$38)</f>
        <v/>
      </c>
    </row>
    <row r="12">
      <c r="A12" s="2" t="n">
        <v>3</v>
      </c>
      <c r="B12" t="inlineStr">
        <is>
          <t>Name 57</t>
        </is>
      </c>
      <c r="C12" t="inlineStr">
        <is>
          <t>Name 28</t>
        </is>
      </c>
      <c r="D12" s="4">
        <f>SUMIF('By Board'!$D$3:$D$38,"=3",'By Board'!$N$3:$N$38)/12+SUMIF('By Board'!$E$3:$E$38,"=3",'By Board'!$O$3:$O$38)/12</f>
        <v/>
      </c>
      <c r="E12" s="5">
        <f>SUMIF('By Board'!$D$3:$D$38,"=3",'By Board'!$L$3:$L$38)+SUMIF('By Board'!$E$3:$E$38,"=3",'By Board'!$M$3:$M$38)</f>
        <v/>
      </c>
    </row>
    <row r="13">
      <c r="A13" s="2" t="n">
        <v>4</v>
      </c>
      <c r="B13" t="inlineStr">
        <is>
          <t>Name 36</t>
        </is>
      </c>
      <c r="C13" t="inlineStr">
        <is>
          <t>Name 66</t>
        </is>
      </c>
      <c r="D13" s="4">
        <f>SUMIF('By Board'!$D$3:$D$38,"=4",'By Board'!$N$3:$N$38)/12+SUMIF('By Board'!$E$3:$E$38,"=4",'By Board'!$O$3:$O$38)/12</f>
        <v/>
      </c>
      <c r="E13" s="5">
        <f>SUMIF('By Board'!$D$3:$D$38,"=4",'By Board'!$L$3:$L$38)+SUMIF('By Board'!$E$3:$E$38,"=4",'By Board'!$M$3:$M$38)</f>
        <v/>
      </c>
    </row>
    <row r="14">
      <c r="A14" s="2" t="n">
        <v>5</v>
      </c>
      <c r="B14" t="inlineStr">
        <is>
          <t>Name 69</t>
        </is>
      </c>
      <c r="C14" t="inlineStr">
        <is>
          <t>Name 47</t>
        </is>
      </c>
      <c r="D14" s="4">
        <f>SUMIF('By Board'!$D$3:$D$38,"=5",'By Board'!$N$3:$N$38)/12+SUMIF('By Board'!$E$3:$E$38,"=5",'By Board'!$O$3:$O$38)/12</f>
        <v/>
      </c>
      <c r="E14" s="5">
        <f>SUMIF('By Board'!$D$3:$D$38,"=5",'By Board'!$L$3:$L$38)+SUMIF('By Board'!$E$3:$E$38,"=5",'By Board'!$M$3:$M$38)</f>
        <v/>
      </c>
    </row>
    <row r="15">
      <c r="D15" s="6">
        <f>AVERAGE(D10:D14)</f>
        <v/>
      </c>
      <c r="E15" s="7">
        <f>SUM(E10:E14)</f>
        <v/>
      </c>
    </row>
    <row r="17">
      <c r="A17" t="inlineStr">
        <is>
          <t>To sort, remove single quote below</t>
        </is>
      </c>
    </row>
    <row r="18">
      <c r="A18" s="2" t="inlineStr">
        <is>
          <t>IMP Ranking</t>
        </is>
      </c>
    </row>
    <row r="19">
      <c r="A19" t="inlineStr">
        <is>
          <t>'=SORT(A10:E14,4,-1)</t>
        </is>
      </c>
      <c r="D19" s="5" t="n"/>
      <c r="E19" s="8" t="n"/>
    </row>
    <row r="20">
      <c r="D20" s="5" t="n"/>
      <c r="E20" s="8" t="n"/>
    </row>
    <row r="21">
      <c r="D21" s="5" t="n"/>
      <c r="E21" s="8" t="n"/>
    </row>
    <row r="22">
      <c r="D22" s="5" t="n"/>
      <c r="E22" s="8" t="n"/>
    </row>
    <row r="23">
      <c r="D23" s="5" t="n"/>
      <c r="E23" s="8" t="n"/>
    </row>
    <row r="28">
      <c r="A28" s="2" t="inlineStr">
        <is>
          <t>MP Ranking</t>
        </is>
      </c>
    </row>
    <row r="29">
      <c r="A29" t="inlineStr">
        <is>
          <t>'=SORT(A10:E14,5,-1)</t>
        </is>
      </c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</sheetData>
  <mergeCells count="9">
    <mergeCell ref="A4:B4"/>
    <mergeCell ref="A18:E18"/>
    <mergeCell ref="A7:B7"/>
    <mergeCell ref="A2:E2"/>
    <mergeCell ref="A28:E28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V2" s="2" t="inlineStr">
        <is>
          <t>EW MP Scores</t>
        </is>
      </c>
      <c r="X2" s="10" t="inlineStr">
        <is>
          <t>NS IMP Pair-wise</t>
        </is>
      </c>
      <c r="Z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SUM(X3:Y3)</f>
        <v/>
      </c>
      <c r="M3" s="13">
        <f>SUM(Z3:AA3)</f>
        <v/>
      </c>
      <c r="N3" s="8">
        <f>IF(COUNT(T3:U3)&gt;0,P3/COUNT(T3:U3),0.5)</f>
        <v/>
      </c>
      <c r="O3" s="8">
        <f>IF(COUNT(V3:W3)&gt;0,Q3/COUNT(V3:W3),0.5)</f>
        <v/>
      </c>
      <c r="P3" s="5">
        <f>SUM(T3:U3)</f>
        <v/>
      </c>
      <c r="Q3" s="5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>
        <f>'By Round'!A21</f>
        <v/>
      </c>
      <c r="C4">
        <f>'By Round'!B27</f>
        <v/>
      </c>
      <c r="D4">
        <f>'By Round'!C27</f>
        <v/>
      </c>
      <c r="E4">
        <f>'By Round'!D27</f>
        <v/>
      </c>
      <c r="F4" s="11" t="inlineStr">
        <is>
          <t>None</t>
        </is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2">
        <f>SUM(X4:Y4)</f>
        <v/>
      </c>
      <c r="M4" s="13">
        <f>SUM(Z4:AA4)</f>
        <v/>
      </c>
      <c r="N4" s="8">
        <f>IF(COUNT(T4:U4)&gt;0,P4/COUNT(T4:U4),0.5)</f>
        <v/>
      </c>
      <c r="O4" s="8">
        <f>IF(COUNT(V4:W4)&gt;0,Q4/COUNT(V4:W4),0.5)</f>
        <v/>
      </c>
      <c r="P4" s="5">
        <f>SUM(T4:U4)</f>
        <v/>
      </c>
      <c r="Q4" s="5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5">
        <f>'By Round'!A30</f>
        <v/>
      </c>
      <c r="C5" s="15">
        <f>'By Round'!B36</f>
        <v/>
      </c>
      <c r="D5" s="15">
        <f>'By Round'!C36</f>
        <v/>
      </c>
      <c r="E5" s="15">
        <f>'By Round'!D36</f>
        <v/>
      </c>
      <c r="F5" s="16" t="inlineStr">
        <is>
          <t>None</t>
        </is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7">
        <f>SUM(X5:Y5)</f>
        <v/>
      </c>
      <c r="M5" s="18">
        <f>SUM(Z5:AA5)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t="n">
        <v>2</v>
      </c>
      <c r="B6">
        <f>'By Round'!A3</f>
        <v/>
      </c>
      <c r="C6">
        <f>'By Round'!B3</f>
        <v/>
      </c>
      <c r="D6">
        <f>'By Round'!C3</f>
        <v/>
      </c>
      <c r="E6">
        <f>'By Round'!D3</f>
        <v/>
      </c>
      <c r="F6" s="11" t="inlineStr">
        <is>
          <t>NS</t>
        </is>
      </c>
      <c r="G6">
        <f>IF(ISBLANK('By Round'!G3),"",'By Round'!G3)</f>
        <v/>
      </c>
      <c r="H6">
        <f>IF(ISBLANK('By Round'!H3),"",'By Round'!H3)</f>
        <v/>
      </c>
      <c r="I6">
        <f>IF(ISBLANK('By Round'!I3),"",'By Round'!I3)</f>
        <v/>
      </c>
      <c r="J6">
        <f>IF(ISBLANK('By Round'!J3),"",'By Round'!J3)</f>
        <v/>
      </c>
      <c r="K6">
        <f>IF(ISBLANK('By Round'!K3),"",'By Round'!K3)</f>
        <v/>
      </c>
      <c r="L6" s="12">
        <f>SUM(X6:Y6)</f>
        <v/>
      </c>
      <c r="M6" s="13">
        <f>SUM(Z6:AA6)</f>
        <v/>
      </c>
      <c r="N6" s="8">
        <f>IF(COUNT(T6:U6)&gt;0,P6/COUNT(T6:U6),0.5)</f>
        <v/>
      </c>
      <c r="O6" s="8">
        <f>IF(COUNT(V6:W6)&gt;0,Q6/COUNT(V6:W6),0.5)</f>
        <v/>
      </c>
      <c r="P6" s="5">
        <f>SUM(T6:U6)</f>
        <v/>
      </c>
      <c r="Q6" s="5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>
        <f>'By Round'!A21</f>
        <v/>
      </c>
      <c r="C7">
        <f>'By Round'!B27</f>
        <v/>
      </c>
      <c r="D7">
        <f>'By Round'!C27</f>
        <v/>
      </c>
      <c r="E7">
        <f>'By Round'!D27</f>
        <v/>
      </c>
      <c r="F7" s="11" t="inlineStr">
        <is>
          <t>NS</t>
        </is>
      </c>
      <c r="G7">
        <f>IF(ISBLANK('By Round'!G27),"",'By Round'!G27)</f>
        <v/>
      </c>
      <c r="H7">
        <f>IF(ISBLANK('By Round'!H27),"",'By Round'!H27)</f>
        <v/>
      </c>
      <c r="I7">
        <f>IF(ISBLANK('By Round'!I27),"",'By Round'!I27)</f>
        <v/>
      </c>
      <c r="J7">
        <f>IF(ISBLANK('By Round'!J27),"",'By Round'!J27)</f>
        <v/>
      </c>
      <c r="K7">
        <f>IF(ISBLANK('By Round'!K27),"",'By Round'!K27)</f>
        <v/>
      </c>
      <c r="L7" s="12">
        <f>SUM(X7:Y7)</f>
        <v/>
      </c>
      <c r="M7" s="13">
        <f>SUM(Z7:AA7)</f>
        <v/>
      </c>
      <c r="N7" s="8">
        <f>IF(COUNT(T7:U7)&gt;0,P7/COUNT(T7:U7),0.5)</f>
        <v/>
      </c>
      <c r="O7" s="8">
        <f>IF(COUNT(V7:W7)&gt;0,Q7/COUNT(V7:W7),0.5)</f>
        <v/>
      </c>
      <c r="P7" s="5">
        <f>SUM(T7:U7)</f>
        <v/>
      </c>
      <c r="Q7" s="5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5">
        <f>'By Round'!A30</f>
        <v/>
      </c>
      <c r="C8" s="15">
        <f>'By Round'!B36</f>
        <v/>
      </c>
      <c r="D8" s="15">
        <f>'By Round'!C36</f>
        <v/>
      </c>
      <c r="E8" s="15">
        <f>'By Round'!D36</f>
        <v/>
      </c>
      <c r="F8" s="16" t="inlineStr">
        <is>
          <t>NS</t>
        </is>
      </c>
      <c r="G8" s="15">
        <f>IF(ISBLANK('By Round'!G36),"",'By Round'!G36)</f>
        <v/>
      </c>
      <c r="H8" s="15">
        <f>IF(ISBLANK('By Round'!H36),"",'By Round'!H36)</f>
        <v/>
      </c>
      <c r="I8" s="15">
        <f>IF(ISBLANK('By Round'!I36),"",'By Round'!I36)</f>
        <v/>
      </c>
      <c r="J8" s="15">
        <f>IF(ISBLANK('By Round'!J36),"",'By Round'!J36)</f>
        <v/>
      </c>
      <c r="K8" s="15">
        <f>IF(ISBLANK('By Round'!K36),"",'By Round'!K36)</f>
        <v/>
      </c>
      <c r="L8" s="17">
        <f>SUM(X8:Y8)</f>
        <v/>
      </c>
      <c r="M8" s="18">
        <f>SUM(Z8:AA8)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t="n">
        <v>3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EW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SUM(X9:Y9)</f>
        <v/>
      </c>
      <c r="M9" s="13">
        <f>SUM(Z9:AA9)</f>
        <v/>
      </c>
      <c r="N9" s="8">
        <f>IF(COUNT(T9:U9)&gt;0,P9/COUNT(T9:U9),0.5)</f>
        <v/>
      </c>
      <c r="O9" s="8">
        <f>IF(COUNT(V9:W9)&gt;0,Q9/COUNT(V9:W9),0.5)</f>
        <v/>
      </c>
      <c r="P9" s="5">
        <f>SUM(T9:U9)</f>
        <v/>
      </c>
      <c r="Q9" s="5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>
        <f>'By Round'!A21</f>
        <v/>
      </c>
      <c r="C10">
        <f>'By Round'!B27</f>
        <v/>
      </c>
      <c r="D10">
        <f>'By Round'!C27</f>
        <v/>
      </c>
      <c r="E10">
        <f>'By Round'!D27</f>
        <v/>
      </c>
      <c r="F10" s="11" t="inlineStr">
        <is>
          <t>EW</t>
        </is>
      </c>
      <c r="G10">
        <f>IF(ISBLANK('By Round'!G27),"",'By Round'!G27)</f>
        <v/>
      </c>
      <c r="H10">
        <f>IF(ISBLANK('By Round'!H27),"",'By Round'!H27)</f>
        <v/>
      </c>
      <c r="I10">
        <f>IF(ISBLANK('By Round'!I27),"",'By Round'!I27)</f>
        <v/>
      </c>
      <c r="J10">
        <f>IF(ISBLANK('By Round'!J27),"",'By Round'!J27)</f>
        <v/>
      </c>
      <c r="K10">
        <f>IF(ISBLANK('By Round'!K27),"",'By Round'!K27)</f>
        <v/>
      </c>
      <c r="L10" s="12">
        <f>SUM(X10:Y10)</f>
        <v/>
      </c>
      <c r="M10" s="13">
        <f>SUM(Z10:AA10)</f>
        <v/>
      </c>
      <c r="N10" s="8">
        <f>IF(COUNT(T10:U10)&gt;0,P10/COUNT(T10:U10),0.5)</f>
        <v/>
      </c>
      <c r="O10" s="8">
        <f>IF(COUNT(V10:W10)&gt;0,Q10/COUNT(V10:W10),0.5)</f>
        <v/>
      </c>
      <c r="P10" s="5">
        <f>SUM(T10:U10)</f>
        <v/>
      </c>
      <c r="Q10" s="5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5">
        <f>'By Round'!A30</f>
        <v/>
      </c>
      <c r="C11" s="15">
        <f>'By Round'!B36</f>
        <v/>
      </c>
      <c r="D11" s="15">
        <f>'By Round'!C36</f>
        <v/>
      </c>
      <c r="E11" s="15">
        <f>'By Round'!D36</f>
        <v/>
      </c>
      <c r="F11" s="16" t="inlineStr">
        <is>
          <t>EW</t>
        </is>
      </c>
      <c r="G11" s="15">
        <f>IF(ISBLANK('By Round'!G36),"",'By Round'!G36)</f>
        <v/>
      </c>
      <c r="H11" s="15">
        <f>IF(ISBLANK('By Round'!H36),"",'By Round'!H36)</f>
        <v/>
      </c>
      <c r="I11" s="15">
        <f>IF(ISBLANK('By Round'!I36),"",'By Round'!I36)</f>
        <v/>
      </c>
      <c r="J11" s="15">
        <f>IF(ISBLANK('By Round'!J36),"",'By Round'!J36)</f>
        <v/>
      </c>
      <c r="K11" s="15">
        <f>IF(ISBLANK('By Round'!K36),"",'By Round'!K36)</f>
        <v/>
      </c>
      <c r="L11" s="17">
        <f>SUM(X11:Y11)</f>
        <v/>
      </c>
      <c r="M11" s="18">
        <f>SUM(Z11:AA11)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t="n">
        <v>4</v>
      </c>
      <c r="B12">
        <f>'By Round'!A3</f>
        <v/>
      </c>
      <c r="C12">
        <f>'By Round'!B6</f>
        <v/>
      </c>
      <c r="D12">
        <f>'By Round'!C6</f>
        <v/>
      </c>
      <c r="E12">
        <f>'By Round'!D6</f>
        <v/>
      </c>
      <c r="F12" s="11" t="inlineStr">
        <is>
          <t>Both</t>
        </is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2">
        <f>SUM(X12:Y12)</f>
        <v/>
      </c>
      <c r="M12" s="13">
        <f>SUM(Z12:AA12)</f>
        <v/>
      </c>
      <c r="N12" s="8">
        <f>IF(COUNT(T12:U12)&gt;0,P12/COUNT(T12:U12),0.5)</f>
        <v/>
      </c>
      <c r="O12" s="8">
        <f>IF(COUNT(V12:W12)&gt;0,Q12/COUNT(V12:W12),0.5)</f>
        <v/>
      </c>
      <c r="P12" s="5">
        <f>SUM(T12:U12)</f>
        <v/>
      </c>
      <c r="Q12" s="5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>
        <f>'By Round'!A12</f>
        <v/>
      </c>
      <c r="C13">
        <f>'By Round'!B12</f>
        <v/>
      </c>
      <c r="D13">
        <f>'By Round'!C12</f>
        <v/>
      </c>
      <c r="E13">
        <f>'By Round'!D12</f>
        <v/>
      </c>
      <c r="F13" s="11" t="inlineStr">
        <is>
          <t>Both</t>
        </is>
      </c>
      <c r="G13">
        <f>IF(ISBLANK('By Round'!G12),"",'By Round'!G12)</f>
        <v/>
      </c>
      <c r="H13">
        <f>IF(ISBLANK('By Round'!H12),"",'By Round'!H12)</f>
        <v/>
      </c>
      <c r="I13">
        <f>IF(ISBLANK('By Round'!I12),"",'By Round'!I12)</f>
        <v/>
      </c>
      <c r="J13">
        <f>IF(ISBLANK('By Round'!J12),"",'By Round'!J12)</f>
        <v/>
      </c>
      <c r="K13">
        <f>IF(ISBLANK('By Round'!K12),"",'By Round'!K12)</f>
        <v/>
      </c>
      <c r="L13" s="12">
        <f>SUM(X13:Y13)</f>
        <v/>
      </c>
      <c r="M13" s="13">
        <f>SUM(Z13:AA13)</f>
        <v/>
      </c>
      <c r="N13" s="8">
        <f>IF(COUNT(T13:U13)&gt;0,P13/COUNT(T13:U13),0.5)</f>
        <v/>
      </c>
      <c r="O13" s="8">
        <f>IF(COUNT(V13:W13)&gt;0,Q13/COUNT(V13:W13),0.5)</f>
        <v/>
      </c>
      <c r="P13" s="5">
        <f>SUM(T13:U13)</f>
        <v/>
      </c>
      <c r="Q13" s="5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5">
        <f>'By Round'!A21</f>
        <v/>
      </c>
      <c r="C14" s="15">
        <f>'By Round'!B24</f>
        <v/>
      </c>
      <c r="D14" s="15">
        <f>'By Round'!C24</f>
        <v/>
      </c>
      <c r="E14" s="15">
        <f>'By Round'!D24</f>
        <v/>
      </c>
      <c r="F14" s="16" t="inlineStr">
        <is>
          <t>Both</t>
        </is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7">
        <f>SUM(X14:Y14)</f>
        <v/>
      </c>
      <c r="M14" s="18">
        <f>SUM(Z14:AA14)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t="n">
        <v>5</v>
      </c>
      <c r="B15">
        <f>'By Round'!A3</f>
        <v/>
      </c>
      <c r="C15">
        <f>'By Round'!B6</f>
        <v/>
      </c>
      <c r="D15">
        <f>'By Round'!C6</f>
        <v/>
      </c>
      <c r="E15">
        <f>'By Round'!D6</f>
        <v/>
      </c>
      <c r="F15" s="11" t="inlineStr">
        <is>
          <t>NS</t>
        </is>
      </c>
      <c r="G15">
        <f>IF(ISBLANK('By Round'!G6),"",'By Round'!G6)</f>
        <v/>
      </c>
      <c r="H15">
        <f>IF(ISBLANK('By Round'!H6),"",'By Round'!H6)</f>
        <v/>
      </c>
      <c r="I15">
        <f>IF(ISBLANK('By Round'!I6),"",'By Round'!I6)</f>
        <v/>
      </c>
      <c r="J15">
        <f>IF(ISBLANK('By Round'!J6),"",'By Round'!J6)</f>
        <v/>
      </c>
      <c r="K15">
        <f>IF(ISBLANK('By Round'!K6),"",'By Round'!K6)</f>
        <v/>
      </c>
      <c r="L15" s="12">
        <f>SUM(X15:Y15)</f>
        <v/>
      </c>
      <c r="M15" s="13">
        <f>SUM(Z15:AA15)</f>
        <v/>
      </c>
      <c r="N15" s="8">
        <f>IF(COUNT(T15:U15)&gt;0,P15/COUNT(T15:U15),0.5)</f>
        <v/>
      </c>
      <c r="O15" s="8">
        <f>IF(COUNT(V15:W15)&gt;0,Q15/COUNT(V15:W15),0.5)</f>
        <v/>
      </c>
      <c r="P15" s="5">
        <f>SUM(T15:U15)</f>
        <v/>
      </c>
      <c r="Q15" s="5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>
        <f>'By Round'!A12</f>
        <v/>
      </c>
      <c r="C16">
        <f>'By Round'!B12</f>
        <v/>
      </c>
      <c r="D16">
        <f>'By Round'!C12</f>
        <v/>
      </c>
      <c r="E16">
        <f>'By Round'!D12</f>
        <v/>
      </c>
      <c r="F16" s="11" t="inlineStr">
        <is>
          <t>NS</t>
        </is>
      </c>
      <c r="G16">
        <f>IF(ISBLANK('By Round'!G12),"",'By Round'!G12)</f>
        <v/>
      </c>
      <c r="H16">
        <f>IF(ISBLANK('By Round'!H12),"",'By Round'!H12)</f>
        <v/>
      </c>
      <c r="I16">
        <f>IF(ISBLANK('By Round'!I12),"",'By Round'!I12)</f>
        <v/>
      </c>
      <c r="J16">
        <f>IF(ISBLANK('By Round'!J12),"",'By Round'!J12)</f>
        <v/>
      </c>
      <c r="K16">
        <f>IF(ISBLANK('By Round'!K12),"",'By Round'!K12)</f>
        <v/>
      </c>
      <c r="L16" s="12">
        <f>SUM(X16:Y16)</f>
        <v/>
      </c>
      <c r="M16" s="13">
        <f>SUM(Z16:AA16)</f>
        <v/>
      </c>
      <c r="N16" s="8">
        <f>IF(COUNT(T16:U16)&gt;0,P16/COUNT(T16:U16),0.5)</f>
        <v/>
      </c>
      <c r="O16" s="8">
        <f>IF(COUNT(V16:W16)&gt;0,Q16/COUNT(V16:W16),0.5)</f>
        <v/>
      </c>
      <c r="P16" s="5">
        <f>SUM(T16:U16)</f>
        <v/>
      </c>
      <c r="Q16" s="5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5">
        <f>'By Round'!A21</f>
        <v/>
      </c>
      <c r="C17" s="15">
        <f>'By Round'!B24</f>
        <v/>
      </c>
      <c r="D17" s="15">
        <f>'By Round'!C24</f>
        <v/>
      </c>
      <c r="E17" s="15">
        <f>'By Round'!D24</f>
        <v/>
      </c>
      <c r="F17" s="16" t="inlineStr">
        <is>
          <t>NS</t>
        </is>
      </c>
      <c r="G17" s="15">
        <f>IF(ISBLANK('By Round'!G24),"",'By Round'!G24)</f>
        <v/>
      </c>
      <c r="H17" s="15">
        <f>IF(ISBLANK('By Round'!H24),"",'By Round'!H24)</f>
        <v/>
      </c>
      <c r="I17" s="15">
        <f>IF(ISBLANK('By Round'!I24),"",'By Round'!I24)</f>
        <v/>
      </c>
      <c r="J17" s="15">
        <f>IF(ISBLANK('By Round'!J24),"",'By Round'!J24)</f>
        <v/>
      </c>
      <c r="K17" s="15">
        <f>IF(ISBLANK('By Round'!K24),"",'By Round'!K24)</f>
        <v/>
      </c>
      <c r="L17" s="17">
        <f>SUM(X17:Y17)</f>
        <v/>
      </c>
      <c r="M17" s="18">
        <f>SUM(Z17:AA17)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t="n">
        <v>6</v>
      </c>
      <c r="B18">
        <f>'By Round'!A3</f>
        <v/>
      </c>
      <c r="C18">
        <f>'By Round'!B6</f>
        <v/>
      </c>
      <c r="D18">
        <f>'By Round'!C6</f>
        <v/>
      </c>
      <c r="E18">
        <f>'By Round'!D6</f>
        <v/>
      </c>
      <c r="F18" s="11" t="inlineStr">
        <is>
          <t>EW</t>
        </is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2">
        <f>SUM(X18:Y18)</f>
        <v/>
      </c>
      <c r="M18" s="13">
        <f>SUM(Z18:AA18)</f>
        <v/>
      </c>
      <c r="N18" s="8">
        <f>IF(COUNT(T18:U18)&gt;0,P18/COUNT(T18:U18),0.5)</f>
        <v/>
      </c>
      <c r="O18" s="8">
        <f>IF(COUNT(V18:W18)&gt;0,Q18/COUNT(V18:W18),0.5)</f>
        <v/>
      </c>
      <c r="P18" s="5">
        <f>SUM(T18:U18)</f>
        <v/>
      </c>
      <c r="Q18" s="5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>
        <f>'By Round'!A12</f>
        <v/>
      </c>
      <c r="C19">
        <f>'By Round'!B12</f>
        <v/>
      </c>
      <c r="D19">
        <f>'By Round'!C12</f>
        <v/>
      </c>
      <c r="E19">
        <f>'By Round'!D12</f>
        <v/>
      </c>
      <c r="F19" s="11" t="inlineStr">
        <is>
          <t>EW</t>
        </is>
      </c>
      <c r="G19">
        <f>IF(ISBLANK('By Round'!G12),"",'By Round'!G12)</f>
        <v/>
      </c>
      <c r="H19">
        <f>IF(ISBLANK('By Round'!H12),"",'By Round'!H12)</f>
        <v/>
      </c>
      <c r="I19">
        <f>IF(ISBLANK('By Round'!I12),"",'By Round'!I12)</f>
        <v/>
      </c>
      <c r="J19">
        <f>IF(ISBLANK('By Round'!J12),"",'By Round'!J12)</f>
        <v/>
      </c>
      <c r="K19">
        <f>IF(ISBLANK('By Round'!K12),"",'By Round'!K12)</f>
        <v/>
      </c>
      <c r="L19" s="12">
        <f>SUM(X19:Y19)</f>
        <v/>
      </c>
      <c r="M19" s="13">
        <f>SUM(Z19:AA19)</f>
        <v/>
      </c>
      <c r="N19" s="8">
        <f>IF(COUNT(T19:U19)&gt;0,P19/COUNT(T19:U19),0.5)</f>
        <v/>
      </c>
      <c r="O19" s="8">
        <f>IF(COUNT(V19:W19)&gt;0,Q19/COUNT(V19:W19),0.5)</f>
        <v/>
      </c>
      <c r="P19" s="5">
        <f>SUM(T19:U19)</f>
        <v/>
      </c>
      <c r="Q19" s="5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5">
        <f>'By Round'!A21</f>
        <v/>
      </c>
      <c r="C20" s="15">
        <f>'By Round'!B24</f>
        <v/>
      </c>
      <c r="D20" s="15">
        <f>'By Round'!C24</f>
        <v/>
      </c>
      <c r="E20" s="15">
        <f>'By Round'!D24</f>
        <v/>
      </c>
      <c r="F20" s="16" t="inlineStr">
        <is>
          <t>EW</t>
        </is>
      </c>
      <c r="G20" s="15">
        <f>IF(ISBLANK('By Round'!G24),"",'By Round'!G24)</f>
        <v/>
      </c>
      <c r="H20" s="15">
        <f>IF(ISBLANK('By Round'!H24),"",'By Round'!H24)</f>
        <v/>
      </c>
      <c r="I20" s="15">
        <f>IF(ISBLANK('By Round'!I24),"",'By Round'!I24)</f>
        <v/>
      </c>
      <c r="J20" s="15">
        <f>IF(ISBLANK('By Round'!J24),"",'By Round'!J24)</f>
        <v/>
      </c>
      <c r="K20" s="15">
        <f>IF(ISBLANK('By Round'!K24),"",'By Round'!K24)</f>
        <v/>
      </c>
      <c r="L20" s="17">
        <f>SUM(X20:Y20)</f>
        <v/>
      </c>
      <c r="M20" s="18">
        <f>SUM(Z20:AA20)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t="n">
        <v>7</v>
      </c>
      <c r="B21">
        <f>'By Round'!A12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SUM(X21:Y21)</f>
        <v/>
      </c>
      <c r="M21" s="13">
        <f>SUM(Z21:AA21)</f>
        <v/>
      </c>
      <c r="N21" s="8">
        <f>IF(COUNT(T21:U21)&gt;0,P21/COUNT(T21:U21),0.5)</f>
        <v/>
      </c>
      <c r="O21" s="8">
        <f>IF(COUNT(V21:W21)&gt;0,Q21/COUNT(V21:W21),0.5)</f>
        <v/>
      </c>
      <c r="P21" s="5">
        <f>SUM(T21:U21)</f>
        <v/>
      </c>
      <c r="Q21" s="5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>
        <f>'By Round'!A21</f>
        <v/>
      </c>
      <c r="C22">
        <f>'By Round'!B21</f>
        <v/>
      </c>
      <c r="D22">
        <f>'By Round'!C21</f>
        <v/>
      </c>
      <c r="E22">
        <f>'By Round'!D21</f>
        <v/>
      </c>
      <c r="F22" s="11" t="inlineStr">
        <is>
          <t>Both</t>
        </is>
      </c>
      <c r="G22">
        <f>IF(ISBLANK('By Round'!G21),"",'By Round'!G21)</f>
        <v/>
      </c>
      <c r="H22">
        <f>IF(ISBLANK('By Round'!H21),"",'By Round'!H21)</f>
        <v/>
      </c>
      <c r="I22">
        <f>IF(ISBLANK('By Round'!I21),"",'By Round'!I21)</f>
        <v/>
      </c>
      <c r="J22">
        <f>IF(ISBLANK('By Round'!J21),"",'By Round'!J21)</f>
        <v/>
      </c>
      <c r="K22">
        <f>IF(ISBLANK('By Round'!K21),"",'By Round'!K21)</f>
        <v/>
      </c>
      <c r="L22" s="12">
        <f>SUM(X22:Y22)</f>
        <v/>
      </c>
      <c r="M22" s="13">
        <f>SUM(Z22:AA22)</f>
        <v/>
      </c>
      <c r="N22" s="8">
        <f>IF(COUNT(T22:U22)&gt;0,P22/COUNT(T22:U22),0.5)</f>
        <v/>
      </c>
      <c r="O22" s="8">
        <f>IF(COUNT(V22:W22)&gt;0,Q22/COUNT(V22:W22),0.5)</f>
        <v/>
      </c>
      <c r="P22" s="5">
        <f>SUM(T22:U22)</f>
        <v/>
      </c>
      <c r="Q22" s="5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5">
        <f>'By Round'!A30</f>
        <v/>
      </c>
      <c r="C23" s="15">
        <f>'By Round'!B33</f>
        <v/>
      </c>
      <c r="D23" s="15">
        <f>'By Round'!C33</f>
        <v/>
      </c>
      <c r="E23" s="15">
        <f>'By Round'!D33</f>
        <v/>
      </c>
      <c r="F23" s="16" t="inlineStr">
        <is>
          <t>Both</t>
        </is>
      </c>
      <c r="G23" s="15">
        <f>IF(ISBLANK('By Round'!G33),"",'By Round'!G33)</f>
        <v/>
      </c>
      <c r="H23" s="15">
        <f>IF(ISBLANK('By Round'!H33),"",'By Round'!H33)</f>
        <v/>
      </c>
      <c r="I23" s="15">
        <f>IF(ISBLANK('By Round'!I33),"",'By Round'!I33)</f>
        <v/>
      </c>
      <c r="J23" s="15">
        <f>IF(ISBLANK('By Round'!J33),"",'By Round'!J33)</f>
        <v/>
      </c>
      <c r="K23" s="15">
        <f>IF(ISBLANK('By Round'!K33),"",'By Round'!K33)</f>
        <v/>
      </c>
      <c r="L23" s="17">
        <f>SUM(X23:Y23)</f>
        <v/>
      </c>
      <c r="M23" s="18">
        <f>SUM(Z23:AA23)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t="n">
        <v>8</v>
      </c>
      <c r="B24">
        <f>'By Round'!A12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None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SUM(X24:Y24)</f>
        <v/>
      </c>
      <c r="M24" s="13">
        <f>SUM(Z24:AA24)</f>
        <v/>
      </c>
      <c r="N24" s="8">
        <f>IF(COUNT(T24:U24)&gt;0,P24/COUNT(T24:U24),0.5)</f>
        <v/>
      </c>
      <c r="O24" s="8">
        <f>IF(COUNT(V24:W24)&gt;0,Q24/COUNT(V24:W24),0.5)</f>
        <v/>
      </c>
      <c r="P24" s="5">
        <f>SUM(T24:U24)</f>
        <v/>
      </c>
      <c r="Q24" s="5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>
        <f>'By Round'!A21</f>
        <v/>
      </c>
      <c r="C25">
        <f>'By Round'!B21</f>
        <v/>
      </c>
      <c r="D25">
        <f>'By Round'!C21</f>
        <v/>
      </c>
      <c r="E25">
        <f>'By Round'!D21</f>
        <v/>
      </c>
      <c r="F25" s="11" t="inlineStr">
        <is>
          <t>None</t>
        </is>
      </c>
      <c r="G25">
        <f>IF(ISBLANK('By Round'!G21),"",'By Round'!G21)</f>
        <v/>
      </c>
      <c r="H25">
        <f>IF(ISBLANK('By Round'!H21),"",'By Round'!H21)</f>
        <v/>
      </c>
      <c r="I25">
        <f>IF(ISBLANK('By Round'!I21),"",'By Round'!I21)</f>
        <v/>
      </c>
      <c r="J25">
        <f>IF(ISBLANK('By Round'!J21),"",'By Round'!J21)</f>
        <v/>
      </c>
      <c r="K25">
        <f>IF(ISBLANK('By Round'!K21),"",'By Round'!K21)</f>
        <v/>
      </c>
      <c r="L25" s="12">
        <f>SUM(X25:Y25)</f>
        <v/>
      </c>
      <c r="M25" s="13">
        <f>SUM(Z25:AA25)</f>
        <v/>
      </c>
      <c r="N25" s="8">
        <f>IF(COUNT(T25:U25)&gt;0,P25/COUNT(T25:U25),0.5)</f>
        <v/>
      </c>
      <c r="O25" s="8">
        <f>IF(COUNT(V25:W25)&gt;0,Q25/COUNT(V25:W25),0.5)</f>
        <v/>
      </c>
      <c r="P25" s="5">
        <f>SUM(T25:U25)</f>
        <v/>
      </c>
      <c r="Q25" s="5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5">
        <f>'By Round'!A30</f>
        <v/>
      </c>
      <c r="C26" s="15">
        <f>'By Round'!B33</f>
        <v/>
      </c>
      <c r="D26" s="15">
        <f>'By Round'!C33</f>
        <v/>
      </c>
      <c r="E26" s="15">
        <f>'By Round'!D33</f>
        <v/>
      </c>
      <c r="F26" s="16" t="inlineStr">
        <is>
          <t>None</t>
        </is>
      </c>
      <c r="G26" s="15">
        <f>IF(ISBLANK('By Round'!G33),"",'By Round'!G33)</f>
        <v/>
      </c>
      <c r="H26" s="15">
        <f>IF(ISBLANK('By Round'!H33),"",'By Round'!H33)</f>
        <v/>
      </c>
      <c r="I26" s="15">
        <f>IF(ISBLANK('By Round'!I33),"",'By Round'!I33)</f>
        <v/>
      </c>
      <c r="J26" s="15">
        <f>IF(ISBLANK('By Round'!J33),"",'By Round'!J33)</f>
        <v/>
      </c>
      <c r="K26" s="15">
        <f>IF(ISBLANK('By Round'!K33),"",'By Round'!K33)</f>
        <v/>
      </c>
      <c r="L26" s="17">
        <f>SUM(X26:Y26)</f>
        <v/>
      </c>
      <c r="M26" s="18">
        <f>SUM(Z26:AA26)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t="n">
        <v>9</v>
      </c>
      <c r="B27">
        <f>'By Round'!A12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EW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SUM(X27:Y27)</f>
        <v/>
      </c>
      <c r="M27" s="13">
        <f>SUM(Z27:AA27)</f>
        <v/>
      </c>
      <c r="N27" s="8">
        <f>IF(COUNT(T27:U27)&gt;0,P27/COUNT(T27:U27),0.5)</f>
        <v/>
      </c>
      <c r="O27" s="8">
        <f>IF(COUNT(V27:W27)&gt;0,Q27/COUNT(V27:W27),0.5)</f>
        <v/>
      </c>
      <c r="P27" s="5">
        <f>SUM(T27:U27)</f>
        <v/>
      </c>
      <c r="Q27" s="5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>
        <f>'By Round'!A21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EW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SUM(X28:Y28)</f>
        <v/>
      </c>
      <c r="M28" s="13">
        <f>SUM(Z28:AA28)</f>
        <v/>
      </c>
      <c r="N28" s="8">
        <f>IF(COUNT(T28:U28)&gt;0,P28/COUNT(T28:U28),0.5)</f>
        <v/>
      </c>
      <c r="O28" s="8">
        <f>IF(COUNT(V28:W28)&gt;0,Q28/COUNT(V28:W28),0.5)</f>
        <v/>
      </c>
      <c r="P28" s="5">
        <f>SUM(T28:U28)</f>
        <v/>
      </c>
      <c r="Q28" s="5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5">
        <f>'By Round'!A30</f>
        <v/>
      </c>
      <c r="C29" s="15">
        <f>'By Round'!B33</f>
        <v/>
      </c>
      <c r="D29" s="15">
        <f>'By Round'!C33</f>
        <v/>
      </c>
      <c r="E29" s="15">
        <f>'By Round'!D33</f>
        <v/>
      </c>
      <c r="F29" s="16" t="inlineStr">
        <is>
          <t>EW</t>
        </is>
      </c>
      <c r="G29" s="15">
        <f>IF(ISBLANK('By Round'!G33),"",'By Round'!G33)</f>
        <v/>
      </c>
      <c r="H29" s="15">
        <f>IF(ISBLANK('By Round'!H33),"",'By Round'!H33)</f>
        <v/>
      </c>
      <c r="I29" s="15">
        <f>IF(ISBLANK('By Round'!I33),"",'By Round'!I33)</f>
        <v/>
      </c>
      <c r="J29" s="15">
        <f>IF(ISBLANK('By Round'!J33),"",'By Round'!J33)</f>
        <v/>
      </c>
      <c r="K29" s="15">
        <f>IF(ISBLANK('By Round'!K33),"",'By Round'!K33)</f>
        <v/>
      </c>
      <c r="L29" s="17">
        <f>SUM(X29:Y29)</f>
        <v/>
      </c>
      <c r="M29" s="18">
        <f>SUM(Z29:AA29)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t="n">
        <v>10</v>
      </c>
      <c r="B30">
        <f>'By Round'!A3</f>
        <v/>
      </c>
      <c r="C30">
        <f>'By Round'!B9</f>
        <v/>
      </c>
      <c r="D30">
        <f>'By Round'!C9</f>
        <v/>
      </c>
      <c r="E30">
        <f>'By Round'!D9</f>
        <v/>
      </c>
      <c r="F30" s="11" t="inlineStr">
        <is>
          <t>Both</t>
        </is>
      </c>
      <c r="G30">
        <f>IF(ISBLANK('By Round'!G9),"",'By Round'!G9)</f>
        <v/>
      </c>
      <c r="H30">
        <f>IF(ISBLANK('By Round'!H9),"",'By Round'!H9)</f>
        <v/>
      </c>
      <c r="I30">
        <f>IF(ISBLANK('By Round'!I9),"",'By Round'!I9)</f>
        <v/>
      </c>
      <c r="J30">
        <f>IF(ISBLANK('By Round'!J9),"",'By Round'!J9)</f>
        <v/>
      </c>
      <c r="K30">
        <f>IF(ISBLANK('By Round'!K9),"",'By Round'!K9)</f>
        <v/>
      </c>
      <c r="L30" s="12">
        <f>SUM(X30:Y30)</f>
        <v/>
      </c>
      <c r="M30" s="13">
        <f>SUM(Z30:AA30)</f>
        <v/>
      </c>
      <c r="N30" s="8">
        <f>IF(COUNT(T30:U30)&gt;0,P30/COUNT(T30:U30),0.5)</f>
        <v/>
      </c>
      <c r="O30" s="8">
        <f>IF(COUNT(V30:W30)&gt;0,Q30/COUNT(V30:W30),0.5)</f>
        <v/>
      </c>
      <c r="P30" s="5">
        <f>SUM(T30:U30)</f>
        <v/>
      </c>
      <c r="Q30" s="5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>
        <f>'By Round'!A12</f>
        <v/>
      </c>
      <c r="C31">
        <f>'By Round'!B18</f>
        <v/>
      </c>
      <c r="D31">
        <f>'By Round'!C18</f>
        <v/>
      </c>
      <c r="E31">
        <f>'By Round'!D18</f>
        <v/>
      </c>
      <c r="F31" s="11" t="inlineStr">
        <is>
          <t>Both</t>
        </is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2">
        <f>SUM(X31:Y31)</f>
        <v/>
      </c>
      <c r="M31" s="13">
        <f>SUM(Z31:AA31)</f>
        <v/>
      </c>
      <c r="N31" s="8">
        <f>IF(COUNT(T31:U31)&gt;0,P31/COUNT(T31:U31),0.5)</f>
        <v/>
      </c>
      <c r="O31" s="8">
        <f>IF(COUNT(V31:W31)&gt;0,Q31/COUNT(V31:W31),0.5)</f>
        <v/>
      </c>
      <c r="P31" s="5">
        <f>SUM(T31:U31)</f>
        <v/>
      </c>
      <c r="Q31" s="5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5">
        <f>'By Round'!A30</f>
        <v/>
      </c>
      <c r="C32" s="15">
        <f>'By Round'!B30</f>
        <v/>
      </c>
      <c r="D32" s="15">
        <f>'By Round'!C30</f>
        <v/>
      </c>
      <c r="E32" s="15">
        <f>'By Round'!D30</f>
        <v/>
      </c>
      <c r="F32" s="16" t="inlineStr">
        <is>
          <t>Both</t>
        </is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7">
        <f>SUM(X32:Y32)</f>
        <v/>
      </c>
      <c r="M32" s="18">
        <f>SUM(Z32:AA32)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t="n">
        <v>11</v>
      </c>
      <c r="B33">
        <f>'By Round'!A3</f>
        <v/>
      </c>
      <c r="C33">
        <f>'By Round'!B9</f>
        <v/>
      </c>
      <c r="D33">
        <f>'By Round'!C9</f>
        <v/>
      </c>
      <c r="E33">
        <f>'By Round'!D9</f>
        <v/>
      </c>
      <c r="F33" s="11" t="inlineStr">
        <is>
          <t>None</t>
        </is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2">
        <f>SUM(X33:Y33)</f>
        <v/>
      </c>
      <c r="M33" s="13">
        <f>SUM(Z33:AA33)</f>
        <v/>
      </c>
      <c r="N33" s="8">
        <f>IF(COUNT(T33:U33)&gt;0,P33/COUNT(T33:U33),0.5)</f>
        <v/>
      </c>
      <c r="O33" s="8">
        <f>IF(COUNT(V33:W33)&gt;0,Q33/COUNT(V33:W33),0.5)</f>
        <v/>
      </c>
      <c r="P33" s="5">
        <f>SUM(T33:U33)</f>
        <v/>
      </c>
      <c r="Q33" s="5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>
        <f>'By Round'!A12</f>
        <v/>
      </c>
      <c r="C34">
        <f>'By Round'!B18</f>
        <v/>
      </c>
      <c r="D34">
        <f>'By Round'!C18</f>
        <v/>
      </c>
      <c r="E34">
        <f>'By Round'!D18</f>
        <v/>
      </c>
      <c r="F34" s="11" t="inlineStr">
        <is>
          <t>None</t>
        </is>
      </c>
      <c r="G34">
        <f>IF(ISBLANK('By Round'!G18),"",'By Round'!G18)</f>
        <v/>
      </c>
      <c r="H34">
        <f>IF(ISBLANK('By Round'!H18),"",'By Round'!H18)</f>
        <v/>
      </c>
      <c r="I34">
        <f>IF(ISBLANK('By Round'!I18),"",'By Round'!I18)</f>
        <v/>
      </c>
      <c r="J34">
        <f>IF(ISBLANK('By Round'!J18),"",'By Round'!J18)</f>
        <v/>
      </c>
      <c r="K34">
        <f>IF(ISBLANK('By Round'!K18),"",'By Round'!K18)</f>
        <v/>
      </c>
      <c r="L34" s="12">
        <f>SUM(X34:Y34)</f>
        <v/>
      </c>
      <c r="M34" s="13">
        <f>SUM(Z34:AA34)</f>
        <v/>
      </c>
      <c r="N34" s="8">
        <f>IF(COUNT(T34:U34)&gt;0,P34/COUNT(T34:U34),0.5)</f>
        <v/>
      </c>
      <c r="O34" s="8">
        <f>IF(COUNT(V34:W34)&gt;0,Q34/COUNT(V34:W34),0.5)</f>
        <v/>
      </c>
      <c r="P34" s="5">
        <f>SUM(T34:U34)</f>
        <v/>
      </c>
      <c r="Q34" s="5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5">
        <f>'By Round'!A30</f>
        <v/>
      </c>
      <c r="C35" s="15">
        <f>'By Round'!B30</f>
        <v/>
      </c>
      <c r="D35" s="15">
        <f>'By Round'!C30</f>
        <v/>
      </c>
      <c r="E35" s="15">
        <f>'By Round'!D30</f>
        <v/>
      </c>
      <c r="F35" s="16" t="inlineStr">
        <is>
          <t>None</t>
        </is>
      </c>
      <c r="G35" s="15">
        <f>IF(ISBLANK('By Round'!G30),"",'By Round'!G30)</f>
        <v/>
      </c>
      <c r="H35" s="15">
        <f>IF(ISBLANK('By Round'!H30),"",'By Round'!H30)</f>
        <v/>
      </c>
      <c r="I35" s="15">
        <f>IF(ISBLANK('By Round'!I30),"",'By Round'!I30)</f>
        <v/>
      </c>
      <c r="J35" s="15">
        <f>IF(ISBLANK('By Round'!J30),"",'By Round'!J30)</f>
        <v/>
      </c>
      <c r="K35" s="15">
        <f>IF(ISBLANK('By Round'!K30),"",'By Round'!K30)</f>
        <v/>
      </c>
      <c r="L35" s="17">
        <f>SUM(X35:Y35)</f>
        <v/>
      </c>
      <c r="M35" s="18">
        <f>SUM(Z35:AA35)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t="n">
        <v>12</v>
      </c>
      <c r="B36">
        <f>'By Round'!A3</f>
        <v/>
      </c>
      <c r="C36">
        <f>'By Round'!B9</f>
        <v/>
      </c>
      <c r="D36">
        <f>'By Round'!C9</f>
        <v/>
      </c>
      <c r="E36">
        <f>'By Round'!D9</f>
        <v/>
      </c>
      <c r="F36" s="11" t="inlineStr">
        <is>
          <t>NS</t>
        </is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 s="12">
        <f>SUM(X36:Y36)</f>
        <v/>
      </c>
      <c r="M36" s="13">
        <f>SUM(Z36:AA36)</f>
        <v/>
      </c>
      <c r="N36" s="8">
        <f>IF(COUNT(T36:U36)&gt;0,P36/COUNT(T36:U36),0.5)</f>
        <v/>
      </c>
      <c r="O36" s="8">
        <f>IF(COUNT(V36:W36)&gt;0,Q36/COUNT(V36:W36),0.5)</f>
        <v/>
      </c>
      <c r="P36" s="5">
        <f>SUM(T36:U36)</f>
        <v/>
      </c>
      <c r="Q36" s="5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>
        <f>'By Round'!A12</f>
        <v/>
      </c>
      <c r="C37">
        <f>'By Round'!B18</f>
        <v/>
      </c>
      <c r="D37">
        <f>'By Round'!C18</f>
        <v/>
      </c>
      <c r="E37">
        <f>'By Round'!D18</f>
        <v/>
      </c>
      <c r="F37" s="11" t="inlineStr">
        <is>
          <t>NS</t>
        </is>
      </c>
      <c r="G37">
        <f>IF(ISBLANK('By Round'!G18),"",'By Round'!G18)</f>
        <v/>
      </c>
      <c r="H37">
        <f>IF(ISBLANK('By Round'!H18),"",'By Round'!H18)</f>
        <v/>
      </c>
      <c r="I37">
        <f>IF(ISBLANK('By Round'!I18),"",'By Round'!I18)</f>
        <v/>
      </c>
      <c r="J37">
        <f>IF(ISBLANK('By Round'!J18),"",'By Round'!J18)</f>
        <v/>
      </c>
      <c r="K37">
        <f>IF(ISBLANK('By Round'!K18),"",'By Round'!K18)</f>
        <v/>
      </c>
      <c r="L37" s="12">
        <f>SUM(X37:Y37)</f>
        <v/>
      </c>
      <c r="M37" s="13">
        <f>SUM(Z37:AA37)</f>
        <v/>
      </c>
      <c r="N37" s="8">
        <f>IF(COUNT(T37:U37)&gt;0,P37/COUNT(T37:U37),0.5)</f>
        <v/>
      </c>
      <c r="O37" s="8">
        <f>IF(COUNT(V37:W37)&gt;0,Q37/COUNT(V37:W37),0.5)</f>
        <v/>
      </c>
      <c r="P37" s="5">
        <f>SUM(T37:U37)</f>
        <v/>
      </c>
      <c r="Q37" s="5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5">
        <f>'By Round'!A30</f>
        <v/>
      </c>
      <c r="C38" s="15">
        <f>'By Round'!B30</f>
        <v/>
      </c>
      <c r="D38" s="15">
        <f>'By Round'!C30</f>
        <v/>
      </c>
      <c r="E38" s="15">
        <f>'By Round'!D30</f>
        <v/>
      </c>
      <c r="F38" s="16" t="inlineStr">
        <is>
          <t>NS</t>
        </is>
      </c>
      <c r="G38" s="15">
        <f>IF(ISBLANK('By Round'!G30),"",'By Round'!G30)</f>
        <v/>
      </c>
      <c r="H38" s="15">
        <f>IF(ISBLANK('By Round'!H30),"",'By Round'!H30)</f>
        <v/>
      </c>
      <c r="I38" s="15">
        <f>IF(ISBLANK('By Round'!I30),"",'By Round'!I30)</f>
        <v/>
      </c>
      <c r="J38" s="15">
        <f>IF(ISBLANK('By Round'!J30),"",'By Round'!J30)</f>
        <v/>
      </c>
      <c r="K38" s="15">
        <f>IF(ISBLANK('By Round'!K30),"",'By Round'!K30)</f>
        <v/>
      </c>
      <c r="L38" s="17">
        <f>SUM(X38:Y38)</f>
        <v/>
      </c>
      <c r="M38" s="18">
        <f>SUM(Z38:AA38)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t="n">
        <v>13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SUM(X39:Y39)</f>
        <v/>
      </c>
      <c r="M39" s="13">
        <f>SUM(Z39:AA39)</f>
        <v/>
      </c>
      <c r="N39" s="8">
        <f>IF(COUNT(T39:U39)&gt;0,P39/COUNT(T39:U39),0.5)</f>
        <v/>
      </c>
      <c r="O39" s="8">
        <f>IF(COUNT(V39:W39)&gt;0,Q39/COUNT(V39:W39),0.5)</f>
        <v/>
      </c>
      <c r="P39" s="5">
        <f>SUM(T39:U39)</f>
        <v/>
      </c>
      <c r="Q39" s="5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>
        <f>'By Round'!A39</f>
        <v/>
      </c>
      <c r="C40">
        <f>'By Round'!B42</f>
        <v/>
      </c>
      <c r="D40">
        <f>'By Round'!C42</f>
        <v/>
      </c>
      <c r="E40">
        <f>'By Round'!D42</f>
        <v/>
      </c>
      <c r="F40" s="11" t="inlineStr">
        <is>
          <t>Both</t>
        </is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2">
        <f>SUM(X40:Y40)</f>
        <v/>
      </c>
      <c r="M40" s="13">
        <f>SUM(Z40:AA40)</f>
        <v/>
      </c>
      <c r="N40" s="8">
        <f>IF(COUNT(T40:U40)&gt;0,P40/COUNT(T40:U40),0.5)</f>
        <v/>
      </c>
      <c r="O40" s="8">
        <f>IF(COUNT(V40:W40)&gt;0,Q40/COUNT(V40:W40),0.5)</f>
        <v/>
      </c>
      <c r="P40" s="5">
        <f>SUM(T40:U40)</f>
        <v/>
      </c>
      <c r="Q40" s="5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6" t="inlineStr">
        <is>
          <t>Both</t>
        </is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7">
        <f>SUM(X41:Y41)</f>
        <v/>
      </c>
      <c r="M41" s="18">
        <f>SUM(Z41:AA41)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t="n">
        <v>14</v>
      </c>
      <c r="B42">
        <f>'By Round'!A39</f>
        <v/>
      </c>
      <c r="C42">
        <f>'By Round'!B39</f>
        <v/>
      </c>
      <c r="D42">
        <f>'By Round'!C39</f>
        <v/>
      </c>
      <c r="E42">
        <f>'By Round'!D39</f>
        <v/>
      </c>
      <c r="F42" s="11" t="inlineStr">
        <is>
          <t>None</t>
        </is>
      </c>
      <c r="G42">
        <f>IF(ISBLANK('By Round'!G39),"",'By Round'!G39)</f>
        <v/>
      </c>
      <c r="H42">
        <f>IF(ISBLANK('By Round'!H39),"",'By Round'!H39)</f>
        <v/>
      </c>
      <c r="I42">
        <f>IF(ISBLANK('By Round'!I39),"",'By Round'!I39)</f>
        <v/>
      </c>
      <c r="J42">
        <f>IF(ISBLANK('By Round'!J39),"",'By Round'!J39)</f>
        <v/>
      </c>
      <c r="K42">
        <f>IF(ISBLANK('By Round'!K39),"",'By Round'!K39)</f>
        <v/>
      </c>
      <c r="L42" s="12">
        <f>SUM(X42:Y42)</f>
        <v/>
      </c>
      <c r="M42" s="13">
        <f>SUM(Z42:AA42)</f>
        <v/>
      </c>
      <c r="N42" s="8">
        <f>IF(COUNT(T42:U42)&gt;0,P42/COUNT(T42:U42),0.5)</f>
        <v/>
      </c>
      <c r="O42" s="8">
        <f>IF(COUNT(V42:W42)&gt;0,Q42/COUNT(V42:W42),0.5)</f>
        <v/>
      </c>
      <c r="P42" s="5">
        <f>SUM(T42:U42)</f>
        <v/>
      </c>
      <c r="Q42" s="5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>
        <f>'By Round'!A39</f>
        <v/>
      </c>
      <c r="C43">
        <f>'By Round'!B42</f>
        <v/>
      </c>
      <c r="D43">
        <f>'By Round'!C42</f>
        <v/>
      </c>
      <c r="E43">
        <f>'By Round'!D42</f>
        <v/>
      </c>
      <c r="F43" s="11" t="inlineStr">
        <is>
          <t>None</t>
        </is>
      </c>
      <c r="G43">
        <f>IF(ISBLANK('By Round'!G42),"",'By Round'!G42)</f>
        <v/>
      </c>
      <c r="H43">
        <f>IF(ISBLANK('By Round'!H42),"",'By Round'!H42)</f>
        <v/>
      </c>
      <c r="I43">
        <f>IF(ISBLANK('By Round'!I42),"",'By Round'!I42)</f>
        <v/>
      </c>
      <c r="J43">
        <f>IF(ISBLANK('By Round'!J42),"",'By Round'!J42)</f>
        <v/>
      </c>
      <c r="K43">
        <f>IF(ISBLANK('By Round'!K42),"",'By Round'!K42)</f>
        <v/>
      </c>
      <c r="L43" s="12">
        <f>SUM(X43:Y43)</f>
        <v/>
      </c>
      <c r="M43" s="13">
        <f>SUM(Z43:AA43)</f>
        <v/>
      </c>
      <c r="N43" s="8">
        <f>IF(COUNT(T43:U43)&gt;0,P43/COUNT(T43:U43),0.5)</f>
        <v/>
      </c>
      <c r="O43" s="8">
        <f>IF(COUNT(V43:W43)&gt;0,Q43/COUNT(V43:W43),0.5)</f>
        <v/>
      </c>
      <c r="P43" s="5">
        <f>SUM(T43:U43)</f>
        <v/>
      </c>
      <c r="Q43" s="5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5">
        <f>'By Round'!A39</f>
        <v/>
      </c>
      <c r="C44" s="15">
        <f>'By Round'!B45</f>
        <v/>
      </c>
      <c r="D44" s="15">
        <f>'By Round'!C45</f>
        <v/>
      </c>
      <c r="E44" s="15">
        <f>'By Round'!D45</f>
        <v/>
      </c>
      <c r="F44" s="16" t="inlineStr">
        <is>
          <t>None</t>
        </is>
      </c>
      <c r="G44" s="15">
        <f>IF(ISBLANK('By Round'!G45),"",'By Round'!G45)</f>
        <v/>
      </c>
      <c r="H44" s="15">
        <f>IF(ISBLANK('By Round'!H45),"",'By Round'!H45)</f>
        <v/>
      </c>
      <c r="I44" s="15">
        <f>IF(ISBLANK('By Round'!I45),"",'By Round'!I45)</f>
        <v/>
      </c>
      <c r="J44" s="15">
        <f>IF(ISBLANK('By Round'!J45),"",'By Round'!J45)</f>
        <v/>
      </c>
      <c r="K44" s="15">
        <f>IF(ISBLANK('By Round'!K45),"",'By Round'!K45)</f>
        <v/>
      </c>
      <c r="L44" s="17">
        <f>SUM(X44:Y44)</f>
        <v/>
      </c>
      <c r="M44" s="18">
        <f>SUM(Z44:AA44)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t="n">
        <v>15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NS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SUM(X45:Y45)</f>
        <v/>
      </c>
      <c r="M45" s="13">
        <f>SUM(Z45:AA45)</f>
        <v/>
      </c>
      <c r="N45" s="8">
        <f>IF(COUNT(T45:U45)&gt;0,P45/COUNT(T45:U45),0.5)</f>
        <v/>
      </c>
      <c r="O45" s="8">
        <f>IF(COUNT(V45:W45)&gt;0,Q45/COUNT(V45:W45),0.5)</f>
        <v/>
      </c>
      <c r="P45" s="5">
        <f>SUM(T45:U45)</f>
        <v/>
      </c>
      <c r="Q45" s="5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>
        <f>'By Round'!A39</f>
        <v/>
      </c>
      <c r="C46">
        <f>'By Round'!B42</f>
        <v/>
      </c>
      <c r="D46">
        <f>'By Round'!C42</f>
        <v/>
      </c>
      <c r="E46">
        <f>'By Round'!D42</f>
        <v/>
      </c>
      <c r="F46" s="11" t="inlineStr">
        <is>
          <t>NS</t>
        </is>
      </c>
      <c r="G46">
        <f>IF(ISBLANK('By Round'!G42),"",'By Round'!G42)</f>
        <v/>
      </c>
      <c r="H46">
        <f>IF(ISBLANK('By Round'!H42),"",'By Round'!H42)</f>
        <v/>
      </c>
      <c r="I46">
        <f>IF(ISBLANK('By Round'!I42),"",'By Round'!I42)</f>
        <v/>
      </c>
      <c r="J46">
        <f>IF(ISBLANK('By Round'!J42),"",'By Round'!J42)</f>
        <v/>
      </c>
      <c r="K46">
        <f>IF(ISBLANK('By Round'!K42),"",'By Round'!K42)</f>
        <v/>
      </c>
      <c r="L46" s="12">
        <f>SUM(X46:Y46)</f>
        <v/>
      </c>
      <c r="M46" s="13">
        <f>SUM(Z46:AA46)</f>
        <v/>
      </c>
      <c r="N46" s="8">
        <f>IF(COUNT(T46:U46)&gt;0,P46/COUNT(T46:U46),0.5)</f>
        <v/>
      </c>
      <c r="O46" s="8">
        <f>IF(COUNT(V46:W46)&gt;0,Q46/COUNT(V46:W46),0.5)</f>
        <v/>
      </c>
      <c r="P46" s="5">
        <f>SUM(T46:U46)</f>
        <v/>
      </c>
      <c r="Q46" s="5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5">
        <f>'By Round'!A39</f>
        <v/>
      </c>
      <c r="C47" s="15">
        <f>'By Round'!B45</f>
        <v/>
      </c>
      <c r="D47" s="15">
        <f>'By Round'!C45</f>
        <v/>
      </c>
      <c r="E47" s="15">
        <f>'By Round'!D45</f>
        <v/>
      </c>
      <c r="F47" s="16" t="inlineStr">
        <is>
          <t>NS</t>
        </is>
      </c>
      <c r="G47" s="15">
        <f>IF(ISBLANK('By Round'!G45),"",'By Round'!G45)</f>
        <v/>
      </c>
      <c r="H47" s="15">
        <f>IF(ISBLANK('By Round'!H45),"",'By Round'!H45)</f>
        <v/>
      </c>
      <c r="I47" s="15">
        <f>IF(ISBLANK('By Round'!I45),"",'By Round'!I45)</f>
        <v/>
      </c>
      <c r="J47" s="15">
        <f>IF(ISBLANK('By Round'!J45),"",'By Round'!J45)</f>
        <v/>
      </c>
      <c r="K47" s="15">
        <f>IF(ISBLANK('By Round'!K45),"",'By Round'!K45)</f>
        <v/>
      </c>
      <c r="L47" s="17">
        <f>SUM(X47:Y47)</f>
        <v/>
      </c>
      <c r="M47" s="18">
        <f>SUM(Z47:AA47)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1" t="n"/>
      <c r="C4" s="11" t="n"/>
      <c r="D4" s="11" t="n"/>
      <c r="E4" s="11" t="n">
        <v>2</v>
      </c>
      <c r="F4" s="11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</row>
    <row r="6">
      <c r="B6" s="11" t="n">
        <v>2</v>
      </c>
      <c r="C6" s="11" t="n">
        <v>3</v>
      </c>
      <c r="D6" s="11" t="n">
        <v>4</v>
      </c>
      <c r="E6" s="11" t="n">
        <v>4</v>
      </c>
      <c r="F6" s="11" t="inlineStr">
        <is>
          <t>Both</t>
        </is>
      </c>
    </row>
    <row r="7">
      <c r="B7" s="11" t="n"/>
      <c r="C7" s="11" t="n"/>
      <c r="D7" s="11" t="n"/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3</v>
      </c>
      <c r="C9" s="11" t="n">
        <v>5</v>
      </c>
      <c r="D9" s="11" t="n">
        <v>2</v>
      </c>
      <c r="E9" s="11" t="n">
        <v>10</v>
      </c>
      <c r="F9" s="11" t="inlineStr">
        <is>
          <t>Both</t>
        </is>
      </c>
    </row>
    <row r="10">
      <c r="B10" s="11" t="n"/>
      <c r="C10" s="11" t="n"/>
      <c r="D10" s="11" t="n"/>
      <c r="E10" s="11" t="n">
        <v>11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</row>
    <row r="12">
      <c r="A12" s="11" t="n">
        <v>2</v>
      </c>
      <c r="B12" s="11" t="n">
        <v>1</v>
      </c>
      <c r="C12" s="11" t="n">
        <v>0</v>
      </c>
      <c r="D12" s="11" t="n">
        <v>2</v>
      </c>
      <c r="E12" s="11" t="n">
        <v>4</v>
      </c>
      <c r="F12" s="11" t="inlineStr">
        <is>
          <t>Both</t>
        </is>
      </c>
    </row>
    <row r="13">
      <c r="B13" s="11" t="n"/>
      <c r="C13" s="11" t="n"/>
      <c r="D13" s="11" t="n"/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4</v>
      </c>
      <c r="D15" s="11" t="n">
        <v>5</v>
      </c>
      <c r="E15" s="11" t="n">
        <v>7</v>
      </c>
      <c r="F15" s="11" t="inlineStr">
        <is>
          <t>Both</t>
        </is>
      </c>
    </row>
    <row r="16">
      <c r="B16" s="11" t="n"/>
      <c r="C16" s="11" t="n"/>
      <c r="D16" s="11" t="n"/>
      <c r="E16" s="11" t="n">
        <v>8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</row>
    <row r="18">
      <c r="B18" s="11" t="n">
        <v>3</v>
      </c>
      <c r="C18" s="11" t="n">
        <v>1</v>
      </c>
      <c r="D18" s="11" t="n">
        <v>3</v>
      </c>
      <c r="E18" s="11" t="n">
        <v>10</v>
      </c>
      <c r="F18" s="11" t="inlineStr">
        <is>
          <t>Both</t>
        </is>
      </c>
    </row>
    <row r="19">
      <c r="B19" s="11" t="n"/>
      <c r="C19" s="11" t="n"/>
      <c r="D19" s="11" t="n"/>
      <c r="E19" s="11" t="n">
        <v>11</v>
      </c>
      <c r="F19" s="11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A21" s="11" t="n">
        <v>3</v>
      </c>
      <c r="B21" s="11" t="n">
        <v>1</v>
      </c>
      <c r="C21" s="11" t="n">
        <v>0</v>
      </c>
      <c r="D21" s="11" t="n">
        <v>3</v>
      </c>
      <c r="E21" s="11" t="n">
        <v>7</v>
      </c>
      <c r="F21" s="11" t="inlineStr">
        <is>
          <t>Both</t>
        </is>
      </c>
    </row>
    <row r="22">
      <c r="B22" s="11" t="n"/>
      <c r="C22" s="11" t="n"/>
      <c r="D22" s="11" t="n"/>
      <c r="E22" s="11" t="n">
        <v>8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</row>
    <row r="24">
      <c r="B24" s="11" t="n">
        <v>2</v>
      </c>
      <c r="C24" s="11" t="n">
        <v>5</v>
      </c>
      <c r="D24" s="11" t="n">
        <v>1</v>
      </c>
      <c r="E24" s="11" t="n">
        <v>4</v>
      </c>
      <c r="F24" s="11" t="inlineStr">
        <is>
          <t>Both</t>
        </is>
      </c>
    </row>
    <row r="25">
      <c r="B25" s="11" t="n"/>
      <c r="C25" s="11" t="n"/>
      <c r="D25" s="11" t="n"/>
      <c r="E25" s="11" t="n">
        <v>5</v>
      </c>
      <c r="F25" s="11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2</v>
      </c>
      <c r="D27" s="11" t="n">
        <v>4</v>
      </c>
      <c r="E27" s="11" t="n">
        <v>1</v>
      </c>
      <c r="F27" s="11" t="inlineStr">
        <is>
          <t>None</t>
        </is>
      </c>
    </row>
    <row r="28">
      <c r="B28" s="11" t="n"/>
      <c r="C28" s="11" t="n"/>
      <c r="D28" s="11" t="n"/>
      <c r="E28" s="11" t="n">
        <v>2</v>
      </c>
      <c r="F28" s="11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</row>
    <row r="30">
      <c r="A30" s="11" t="n">
        <v>4</v>
      </c>
      <c r="B30" s="11" t="n">
        <v>1</v>
      </c>
      <c r="C30" s="11" t="n">
        <v>0</v>
      </c>
      <c r="D30" s="11" t="n">
        <v>4</v>
      </c>
      <c r="E30" s="11" t="n">
        <v>10</v>
      </c>
      <c r="F30" s="11" t="inlineStr">
        <is>
          <t>Both</t>
        </is>
      </c>
    </row>
    <row r="31">
      <c r="B31" s="11" t="n"/>
      <c r="C31" s="11" t="n"/>
      <c r="D31" s="11" t="n"/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1</v>
      </c>
      <c r="D33" s="11" t="n">
        <v>2</v>
      </c>
      <c r="E33" s="11" t="n">
        <v>7</v>
      </c>
      <c r="F33" s="11" t="inlineStr">
        <is>
          <t>Both</t>
        </is>
      </c>
    </row>
    <row r="34">
      <c r="B34" s="11" t="n"/>
      <c r="C34" s="11" t="n"/>
      <c r="D34" s="11" t="n"/>
      <c r="E34" s="11" t="n">
        <v>8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</row>
    <row r="36">
      <c r="B36" s="11" t="n">
        <v>3</v>
      </c>
      <c r="C36" s="11" t="n">
        <v>3</v>
      </c>
      <c r="D36" s="11" t="n">
        <v>5</v>
      </c>
      <c r="E36" s="11" t="n">
        <v>1</v>
      </c>
      <c r="F36" s="11" t="inlineStr">
        <is>
          <t>None</t>
        </is>
      </c>
    </row>
    <row r="37">
      <c r="B37" s="11" t="n"/>
      <c r="C37" s="11" t="n"/>
      <c r="D37" s="11" t="n"/>
      <c r="E37" s="11" t="n">
        <v>2</v>
      </c>
      <c r="F37" s="11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</row>
    <row r="39">
      <c r="A39" s="11" t="n">
        <v>5</v>
      </c>
      <c r="B39" s="11" t="n">
        <v>1</v>
      </c>
      <c r="C39" s="11" t="n">
        <v>0</v>
      </c>
      <c r="D39" s="11" t="n">
        <v>5</v>
      </c>
      <c r="E39" s="11" t="n">
        <v>13</v>
      </c>
      <c r="F39" s="11" t="inlineStr">
        <is>
          <t>Both</t>
        </is>
      </c>
    </row>
    <row r="40">
      <c r="B40" s="11" t="n"/>
      <c r="C40" s="11" t="n"/>
      <c r="D40" s="11" t="n"/>
      <c r="E40" s="11" t="n">
        <v>14</v>
      </c>
      <c r="F40" s="11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</row>
    <row r="42">
      <c r="B42" s="11" t="n">
        <v>2</v>
      </c>
      <c r="C42" s="11" t="n">
        <v>2</v>
      </c>
      <c r="D42" s="11" t="n">
        <v>3</v>
      </c>
      <c r="E42" s="11" t="n">
        <v>13</v>
      </c>
      <c r="F42" s="11" t="inlineStr">
        <is>
          <t>Both</t>
        </is>
      </c>
    </row>
    <row r="43">
      <c r="B43" s="11" t="n"/>
      <c r="C43" s="11" t="n"/>
      <c r="D43" s="11" t="n"/>
      <c r="E43" s="11" t="n">
        <v>14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3</v>
      </c>
      <c r="C45" s="11" t="n">
        <v>4</v>
      </c>
      <c r="D45" s="11" t="n">
        <v>1</v>
      </c>
      <c r="E45" s="11" t="n">
        <v>13</v>
      </c>
      <c r="F45" s="11" t="inlineStr">
        <is>
          <t>Both</t>
        </is>
      </c>
    </row>
    <row r="46">
      <c r="B46" s="11" t="n"/>
      <c r="C46" s="11" t="n"/>
      <c r="D46" s="11" t="n"/>
      <c r="E46" s="11" t="n">
        <v>14</v>
      </c>
      <c r="F46" s="11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2026-02-05T17:28:52Z</dcterms:created>
  <dcterms:modified xsi:type="dcterms:W3CDTF">2026-02-05T17:28:52Z</dcterms:modified>
</cp:coreProperties>
</file>