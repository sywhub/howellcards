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84</t>
        </is>
      </c>
      <c r="C10" t="inlineStr">
        <is>
          <t>Name 31</t>
        </is>
      </c>
      <c r="D10" s="4">
        <f>SUMIF('By Board'!$D$3:$D$38,"=1",'By Board'!$O$3:$O$38)/12+SUMIF('By Board'!$E$3:$E$38,"=1",'By Board'!$P$3:$P$38)/12</f>
        <v/>
      </c>
      <c r="E10" s="5">
        <f>SUMIF('By Board'!$D$3:$D$38,"=1",'By Board'!$M$3:$M$38)+SUMIF('By Board'!$E$3:$E$38,"=1",'By Board'!$N$3:$N$38)</f>
        <v/>
      </c>
    </row>
    <row r="11">
      <c r="A11" s="2" t="n">
        <v>2</v>
      </c>
      <c r="B11" t="inlineStr">
        <is>
          <t>Name 15</t>
        </is>
      </c>
      <c r="C11" t="inlineStr">
        <is>
          <t>Name 58</t>
        </is>
      </c>
      <c r="D11" s="4">
        <f>SUMIF('By Board'!$D$3:$D$38,"=2",'By Board'!$O$3:$O$38)/12+SUMIF('By Board'!$E$3:$E$38,"=2",'By Board'!$P$3:$P$38)/12</f>
        <v/>
      </c>
      <c r="E11" s="5">
        <f>SUMIF('By Board'!$D$3:$D$38,"=2",'By Board'!$M$3:$M$38)+SUMIF('By Board'!$E$3:$E$38,"=2",'By Board'!$N$3:$N$38)</f>
        <v/>
      </c>
    </row>
    <row r="12">
      <c r="A12" s="2" t="n">
        <v>3</v>
      </c>
      <c r="B12" t="inlineStr">
        <is>
          <t>Name 41</t>
        </is>
      </c>
      <c r="C12" t="inlineStr">
        <is>
          <t>Name 77</t>
        </is>
      </c>
      <c r="D12" s="4">
        <f>SUMIF('By Board'!$D$3:$D$38,"=3",'By Board'!$O$3:$O$38)/12+SUMIF('By Board'!$E$3:$E$38,"=3",'By Board'!$P$3:$P$38)/12</f>
        <v/>
      </c>
      <c r="E12" s="5">
        <f>SUMIF('By Board'!$D$3:$D$38,"=3",'By Board'!$M$3:$M$38)+SUMIF('By Board'!$E$3:$E$38,"=3",'By Board'!$N$3:$N$38)</f>
        <v/>
      </c>
    </row>
    <row r="13">
      <c r="A13" s="2" t="n">
        <v>4</v>
      </c>
      <c r="B13" t="inlineStr">
        <is>
          <t>Name 65</t>
        </is>
      </c>
      <c r="C13" t="inlineStr">
        <is>
          <t>Name 18</t>
        </is>
      </c>
      <c r="D13" s="4">
        <f>SUMIF('By Board'!$D$3:$D$38,"=4",'By Board'!$O$3:$O$38)/12+SUMIF('By Board'!$E$3:$E$38,"=4",'By Board'!$P$3:$P$38)/12</f>
        <v/>
      </c>
      <c r="E13" s="5">
        <f>SUMIF('By Board'!$D$3:$D$38,"=4",'By Board'!$M$3:$M$38)+SUMIF('By Board'!$E$3:$E$38,"=4",'By Board'!$N$3:$N$38)</f>
        <v/>
      </c>
    </row>
    <row r="14">
      <c r="A14" s="2" t="n">
        <v>5</v>
      </c>
      <c r="B14" t="inlineStr">
        <is>
          <t>Name 12</t>
        </is>
      </c>
      <c r="C14" t="inlineStr">
        <is>
          <t>Name 41</t>
        </is>
      </c>
      <c r="D14" s="4">
        <f>SUMIF('By Board'!$D$3:$D$38,"=5",'By Board'!$O$3:$O$38)/12+SUMIF('By Board'!$E$3:$E$38,"=5",'By Board'!$P$3:$P$38)/12</f>
        <v/>
      </c>
      <c r="E14" s="5">
        <f>SUMIF('By Board'!$D$3:$D$38,"=5",'By Board'!$M$3:$M$38)+SUMIF('By Board'!$E$3:$E$38,"=5",'By Board'!$N$3:$N$38)</f>
        <v/>
      </c>
    </row>
    <row r="15">
      <c r="D15" s="6">
        <f>AVERAGE(D10:D14)</f>
        <v/>
      </c>
      <c r="E15" s="7">
        <f>SUM(E10:E14)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Round'!A21</f>
        <v/>
      </c>
      <c r="C4" s="10">
        <f>'By Round'!B27</f>
        <v/>
      </c>
      <c r="D4" s="10">
        <f>'By Round'!C27</f>
        <v/>
      </c>
      <c r="E4" s="10">
        <f>'By Round'!D27</f>
        <v/>
      </c>
      <c r="F4" s="10">
        <f>IF(ISBLANK('By Round'!F27),"",'By Round'!F27)</f>
        <v/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>
        <f>IF(ISBLANK('By Round'!L27),"",'By Round'!L27)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Round'!A30</f>
        <v/>
      </c>
      <c r="C5" s="16">
        <f>'By Round'!B36</f>
        <v/>
      </c>
      <c r="D5" s="16">
        <f>'By Round'!C36</f>
        <v/>
      </c>
      <c r="E5" s="16">
        <f>'By Round'!D36</f>
        <v/>
      </c>
      <c r="F5" s="16">
        <f>IF(ISBLANK('By Round'!F36),"",'By Round'!F36)</f>
        <v/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5">
        <f>IF(ISBLANK('By Round'!L36),"",'By Round'!L36)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Round'!A3</f>
        <v/>
      </c>
      <c r="C6" s="10">
        <f>'By Round'!B3</f>
        <v/>
      </c>
      <c r="D6" s="10">
        <f>'By Round'!C3</f>
        <v/>
      </c>
      <c r="E6" s="10">
        <f>'By Round'!D3</f>
        <v/>
      </c>
      <c r="F6" s="10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Round'!A21</f>
        <v/>
      </c>
      <c r="C7" s="10">
        <f>'By Round'!B27</f>
        <v/>
      </c>
      <c r="D7" s="10">
        <f>'By Round'!C27</f>
        <v/>
      </c>
      <c r="E7" s="10">
        <f>'By Round'!D27</f>
        <v/>
      </c>
      <c r="F7" s="10">
        <f>IF(ISBLANK('By Round'!F28),"",'By Round'!F28)</f>
        <v/>
      </c>
      <c r="G7">
        <f>IF(ISBLANK('By Round'!G28),"",'By Round'!G28)</f>
        <v/>
      </c>
      <c r="H7">
        <f>IF(ISBLANK('By Round'!H28),"",'By Round'!H28)</f>
        <v/>
      </c>
      <c r="I7">
        <f>IF(ISBLANK('By Round'!I28),"",'By Round'!I28)</f>
        <v/>
      </c>
      <c r="J7">
        <f>IF(ISBLANK('By Round'!J28),"",'By Round'!J28)</f>
        <v/>
      </c>
      <c r="K7">
        <f>IF(ISBLANK('By Round'!K28),"",'By Round'!K28)</f>
        <v/>
      </c>
      <c r="L7">
        <f>IF(ISBLANK('By Round'!L28),"",'By Round'!L28)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Round'!A30</f>
        <v/>
      </c>
      <c r="C8" s="16">
        <f>'By Round'!B36</f>
        <v/>
      </c>
      <c r="D8" s="16">
        <f>'By Round'!C36</f>
        <v/>
      </c>
      <c r="E8" s="16">
        <f>'By Round'!D36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Round'!A21</f>
        <v/>
      </c>
      <c r="C10" s="10">
        <f>'By Round'!B27</f>
        <v/>
      </c>
      <c r="D10" s="10">
        <f>'By Round'!C27</f>
        <v/>
      </c>
      <c r="E10" s="10">
        <f>'By Round'!D27</f>
        <v/>
      </c>
      <c r="F10" s="10">
        <f>IF(ISBLANK('By Round'!F29),"",'By Round'!F29)</f>
        <v/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>
        <f>IF(ISBLANK('By Round'!L29),"",'By Round'!L29)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Round'!A30</f>
        <v/>
      </c>
      <c r="C11" s="16">
        <f>'By Round'!B36</f>
        <v/>
      </c>
      <c r="D11" s="16">
        <f>'By Round'!C36</f>
        <v/>
      </c>
      <c r="E11" s="16">
        <f>'By Round'!D36</f>
        <v/>
      </c>
      <c r="F11" s="16">
        <f>IF(ISBLANK('By Round'!F38),"",'By Round'!F38)</f>
        <v/>
      </c>
      <c r="G11" s="15">
        <f>IF(ISBLANK('By Round'!G38),"",'By Round'!G38)</f>
        <v/>
      </c>
      <c r="H11" s="15">
        <f>IF(ISBLANK('By Round'!H38),"",'By Round'!H38)</f>
        <v/>
      </c>
      <c r="I11" s="15">
        <f>IF(ISBLANK('By Round'!I38),"",'By Round'!I38)</f>
        <v/>
      </c>
      <c r="J11" s="15">
        <f>IF(ISBLANK('By Round'!J38),"",'By Round'!J38)</f>
        <v/>
      </c>
      <c r="K11" s="15">
        <f>IF(ISBLANK('By Round'!K38),"",'By Round'!K38)</f>
        <v/>
      </c>
      <c r="L11" s="15">
        <f>IF(ISBLANK('By Round'!L38),"",'By Round'!L38)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Round'!A12</f>
        <v/>
      </c>
      <c r="C12" s="10">
        <f>'By Round'!B12</f>
        <v/>
      </c>
      <c r="D12" s="10">
        <f>'By Round'!C12</f>
        <v/>
      </c>
      <c r="E12" s="10">
        <f>'By Round'!D12</f>
        <v/>
      </c>
      <c r="F12" s="10">
        <f>IF(ISBLANK('By Round'!F12),"",'By Round'!F12)</f>
        <v/>
      </c>
      <c r="G12">
        <f>IF(ISBLANK('By Round'!G12),"",'By Round'!G12)</f>
        <v/>
      </c>
      <c r="H12">
        <f>IF(ISBLANK('By Round'!H12),"",'By Round'!H12)</f>
        <v/>
      </c>
      <c r="I12">
        <f>IF(ISBLANK('By Round'!I12),"",'By Round'!I12)</f>
        <v/>
      </c>
      <c r="J12">
        <f>IF(ISBLANK('By Round'!J12),"",'By Round'!J12)</f>
        <v/>
      </c>
      <c r="K12">
        <f>IF(ISBLANK('By Round'!K12),"",'By Round'!K12)</f>
        <v/>
      </c>
      <c r="L12">
        <f>IF(ISBLANK('By Round'!L12),"",'By Round'!L12)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Round'!B6</f>
        <v/>
      </c>
      <c r="D13" s="10">
        <f>'By Round'!C6</f>
        <v/>
      </c>
      <c r="E13" s="10">
        <f>'By Round'!D6</f>
        <v/>
      </c>
      <c r="F13" s="10">
        <f>IF(ISBLANK('By Round'!F6),"",'By Round'!F6)</f>
        <v/>
      </c>
      <c r="G13">
        <f>IF(ISBLANK('By Round'!G6),"",'By Round'!G6)</f>
        <v/>
      </c>
      <c r="H13">
        <f>IF(ISBLANK('By Round'!H6),"",'By Round'!H6)</f>
        <v/>
      </c>
      <c r="I13">
        <f>IF(ISBLANK('By Round'!I6),"",'By Round'!I6)</f>
        <v/>
      </c>
      <c r="J13">
        <f>IF(ISBLANK('By Round'!J6),"",'By Round'!J6)</f>
        <v/>
      </c>
      <c r="K13">
        <f>IF(ISBLANK('By Round'!K6),"",'By Round'!K6)</f>
        <v/>
      </c>
      <c r="L13">
        <f>IF(ISBLANK('By Round'!L6),"",'By Round'!L6)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Round'!A21</f>
        <v/>
      </c>
      <c r="C14" s="16">
        <f>'By Round'!B24</f>
        <v/>
      </c>
      <c r="D14" s="16">
        <f>'By Round'!C24</f>
        <v/>
      </c>
      <c r="E14" s="16">
        <f>'By Round'!D24</f>
        <v/>
      </c>
      <c r="F14" s="16">
        <f>IF(ISBLANK('By Round'!F24),"",'By Round'!F24)</f>
        <v/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5">
        <f>IF(ISBLANK('By Round'!L24),"",'By Round'!L24)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Round'!A12</f>
        <v/>
      </c>
      <c r="C15" s="10">
        <f>'By Round'!B12</f>
        <v/>
      </c>
      <c r="D15" s="10">
        <f>'By Round'!C12</f>
        <v/>
      </c>
      <c r="E15" s="10">
        <f>'By Round'!D12</f>
        <v/>
      </c>
      <c r="F15" s="10">
        <f>IF(ISBLANK('By Round'!F13),"",'By Round'!F13)</f>
        <v/>
      </c>
      <c r="G15">
        <f>IF(ISBLANK('By Round'!G13),"",'By Round'!G13)</f>
        <v/>
      </c>
      <c r="H15">
        <f>IF(ISBLANK('By Round'!H13),"",'By Round'!H13)</f>
        <v/>
      </c>
      <c r="I15">
        <f>IF(ISBLANK('By Round'!I13),"",'By Round'!I13)</f>
        <v/>
      </c>
      <c r="J15">
        <f>IF(ISBLANK('By Round'!J13),"",'By Round'!J13)</f>
        <v/>
      </c>
      <c r="K15">
        <f>IF(ISBLANK('By Round'!K13),"",'By Round'!K13)</f>
        <v/>
      </c>
      <c r="L15">
        <f>IF(ISBLANK('By Round'!L13),"",'By Round'!L13)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Round'!B6</f>
        <v/>
      </c>
      <c r="D16" s="10">
        <f>'By Round'!C6</f>
        <v/>
      </c>
      <c r="E16" s="10">
        <f>'By Round'!D6</f>
        <v/>
      </c>
      <c r="F16" s="10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Round'!A21</f>
        <v/>
      </c>
      <c r="C17" s="16">
        <f>'By Round'!B24</f>
        <v/>
      </c>
      <c r="D17" s="16">
        <f>'By Round'!C24</f>
        <v/>
      </c>
      <c r="E17" s="16">
        <f>'By Round'!D24</f>
        <v/>
      </c>
      <c r="F17" s="16">
        <f>IF(ISBLANK('By Round'!F25),"",'By Round'!F25)</f>
        <v/>
      </c>
      <c r="G17" s="15">
        <f>IF(ISBLANK('By Round'!G25),"",'By Round'!G25)</f>
        <v/>
      </c>
      <c r="H17" s="15">
        <f>IF(ISBLANK('By Round'!H25),"",'By Round'!H25)</f>
        <v/>
      </c>
      <c r="I17" s="15">
        <f>IF(ISBLANK('By Round'!I25),"",'By Round'!I25)</f>
        <v/>
      </c>
      <c r="J17" s="15">
        <f>IF(ISBLANK('By Round'!J25),"",'By Round'!J25)</f>
        <v/>
      </c>
      <c r="K17" s="15">
        <f>IF(ISBLANK('By Round'!K25),"",'By Round'!K25)</f>
        <v/>
      </c>
      <c r="L17" s="15">
        <f>IF(ISBLANK('By Round'!L25),"",'By Round'!L25)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Round'!A12</f>
        <v/>
      </c>
      <c r="C18" s="10">
        <f>'By Round'!B12</f>
        <v/>
      </c>
      <c r="D18" s="10">
        <f>'By Round'!C12</f>
        <v/>
      </c>
      <c r="E18" s="10">
        <f>'By Round'!D12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Round'!A3</f>
        <v/>
      </c>
      <c r="C19" s="10">
        <f>'By Round'!B6</f>
        <v/>
      </c>
      <c r="D19" s="10">
        <f>'By Round'!C6</f>
        <v/>
      </c>
      <c r="E19" s="10">
        <f>'By Round'!D6</f>
        <v/>
      </c>
      <c r="F19" s="10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Round'!A21</f>
        <v/>
      </c>
      <c r="C20" s="16">
        <f>'By Round'!B24</f>
        <v/>
      </c>
      <c r="D20" s="16">
        <f>'By Round'!C24</f>
        <v/>
      </c>
      <c r="E20" s="16">
        <f>'By Round'!D24</f>
        <v/>
      </c>
      <c r="F20" s="16">
        <f>IF(ISBLANK('By Round'!F26),"",'By Round'!F26)</f>
        <v/>
      </c>
      <c r="G20" s="15">
        <f>IF(ISBLANK('By Round'!G26),"",'By Round'!G26)</f>
        <v/>
      </c>
      <c r="H20" s="15">
        <f>IF(ISBLANK('By Round'!H26),"",'By Round'!H26)</f>
        <v/>
      </c>
      <c r="I20" s="15">
        <f>IF(ISBLANK('By Round'!I26),"",'By Round'!I26)</f>
        <v/>
      </c>
      <c r="J20" s="15">
        <f>IF(ISBLANK('By Round'!J26),"",'By Round'!J26)</f>
        <v/>
      </c>
      <c r="K20" s="15">
        <f>IF(ISBLANK('By Round'!K26),"",'By Round'!K26)</f>
        <v/>
      </c>
      <c r="L20" s="15">
        <f>IF(ISBLANK('By Round'!L26),"",'By Round'!L26)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Round'!A21</f>
        <v/>
      </c>
      <c r="C21" s="10">
        <f>'By Round'!B21</f>
        <v/>
      </c>
      <c r="D21" s="10">
        <f>'By Round'!C21</f>
        <v/>
      </c>
      <c r="E21" s="10">
        <f>'By Round'!D21</f>
        <v/>
      </c>
      <c r="F21" s="10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Round'!A30</f>
        <v/>
      </c>
      <c r="C22" s="10">
        <f>'By Round'!B33</f>
        <v/>
      </c>
      <c r="D22" s="10">
        <f>'By Round'!C33</f>
        <v/>
      </c>
      <c r="E22" s="10">
        <f>'By Round'!D33</f>
        <v/>
      </c>
      <c r="F22" s="10">
        <f>IF(ISBLANK('By Round'!F33),"",'By Round'!F33)</f>
        <v/>
      </c>
      <c r="G22">
        <f>IF(ISBLANK('By Round'!G33),"",'By Round'!G33)</f>
        <v/>
      </c>
      <c r="H22">
        <f>IF(ISBLANK('By Round'!H33),"",'By Round'!H33)</f>
        <v/>
      </c>
      <c r="I22">
        <f>IF(ISBLANK('By Round'!I33),"",'By Round'!I33)</f>
        <v/>
      </c>
      <c r="J22">
        <f>IF(ISBLANK('By Round'!J33),"",'By Round'!J33)</f>
        <v/>
      </c>
      <c r="K22">
        <f>IF(ISBLANK('By Round'!K33),"",'By Round'!K33)</f>
        <v/>
      </c>
      <c r="L22">
        <f>IF(ISBLANK('By Round'!L33),"",'By Round'!L33)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Round'!A12</f>
        <v/>
      </c>
      <c r="C23" s="16">
        <f>'By Round'!B15</f>
        <v/>
      </c>
      <c r="D23" s="16">
        <f>'By Round'!C15</f>
        <v/>
      </c>
      <c r="E23" s="16">
        <f>'By Round'!D15</f>
        <v/>
      </c>
      <c r="F23" s="16">
        <f>IF(ISBLANK('By Round'!F15),"",'By Round'!F15)</f>
        <v/>
      </c>
      <c r="G23" s="15">
        <f>IF(ISBLANK('By Round'!G15),"",'By Round'!G15)</f>
        <v/>
      </c>
      <c r="H23" s="15">
        <f>IF(ISBLANK('By Round'!H15),"",'By Round'!H15)</f>
        <v/>
      </c>
      <c r="I23" s="15">
        <f>IF(ISBLANK('By Round'!I15),"",'By Round'!I15)</f>
        <v/>
      </c>
      <c r="J23" s="15">
        <f>IF(ISBLANK('By Round'!J15),"",'By Round'!J15)</f>
        <v/>
      </c>
      <c r="K23" s="15">
        <f>IF(ISBLANK('By Round'!K15),"",'By Round'!K15)</f>
        <v/>
      </c>
      <c r="L23" s="15">
        <f>IF(ISBLANK('By Round'!L15),"",'By Round'!L15)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Round'!A21</f>
        <v/>
      </c>
      <c r="C24" s="10">
        <f>'By Round'!B21</f>
        <v/>
      </c>
      <c r="D24" s="10">
        <f>'By Round'!C21</f>
        <v/>
      </c>
      <c r="E24" s="10">
        <f>'By Round'!D21</f>
        <v/>
      </c>
      <c r="F24" s="10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Round'!A30</f>
        <v/>
      </c>
      <c r="C25" s="10">
        <f>'By Round'!B33</f>
        <v/>
      </c>
      <c r="D25" s="10">
        <f>'By Round'!C33</f>
        <v/>
      </c>
      <c r="E25" s="10">
        <f>'By Round'!D33</f>
        <v/>
      </c>
      <c r="F25" s="10">
        <f>IF(ISBLANK('By Round'!F34),"",'By Round'!F34)</f>
        <v/>
      </c>
      <c r="G25">
        <f>IF(ISBLANK('By Round'!G34),"",'By Round'!G34)</f>
        <v/>
      </c>
      <c r="H25">
        <f>IF(ISBLANK('By Round'!H34),"",'By Round'!H34)</f>
        <v/>
      </c>
      <c r="I25">
        <f>IF(ISBLANK('By Round'!I34),"",'By Round'!I34)</f>
        <v/>
      </c>
      <c r="J25">
        <f>IF(ISBLANK('By Round'!J34),"",'By Round'!J34)</f>
        <v/>
      </c>
      <c r="K25">
        <f>IF(ISBLANK('By Round'!K34),"",'By Round'!K34)</f>
        <v/>
      </c>
      <c r="L25">
        <f>IF(ISBLANK('By Round'!L34),"",'By Round'!L34)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Round'!A12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Round'!A21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Round'!F23),"",'By Round'!F23)</f>
        <v/>
      </c>
      <c r="G27">
        <f>IF(ISBLANK('By Round'!G23),"",'By Round'!G23)</f>
        <v/>
      </c>
      <c r="H27">
        <f>IF(ISBLANK('By Round'!H23),"",'By Round'!H23)</f>
        <v/>
      </c>
      <c r="I27">
        <f>IF(ISBLANK('By Round'!I23),"",'By Round'!I23)</f>
        <v/>
      </c>
      <c r="J27">
        <f>IF(ISBLANK('By Round'!J23),"",'By Round'!J23)</f>
        <v/>
      </c>
      <c r="K27">
        <f>IF(ISBLANK('By Round'!K23),"",'By Round'!K23)</f>
        <v/>
      </c>
      <c r="L27">
        <f>IF(ISBLANK('By Round'!L23),"",'By Round'!L23)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Round'!A30</f>
        <v/>
      </c>
      <c r="C28" s="10">
        <f>'By Round'!B33</f>
        <v/>
      </c>
      <c r="D28" s="10">
        <f>'By Round'!C33</f>
        <v/>
      </c>
      <c r="E28" s="10">
        <f>'By Round'!D33</f>
        <v/>
      </c>
      <c r="F28" s="10">
        <f>IF(ISBLANK('By Round'!F35),"",'By Round'!F35)</f>
        <v/>
      </c>
      <c r="G28">
        <f>IF(ISBLANK('By Round'!G35),"",'By Round'!G35)</f>
        <v/>
      </c>
      <c r="H28">
        <f>IF(ISBLANK('By Round'!H35),"",'By Round'!H35)</f>
        <v/>
      </c>
      <c r="I28">
        <f>IF(ISBLANK('By Round'!I35),"",'By Round'!I35)</f>
        <v/>
      </c>
      <c r="J28">
        <f>IF(ISBLANK('By Round'!J35),"",'By Round'!J35)</f>
        <v/>
      </c>
      <c r="K28">
        <f>IF(ISBLANK('By Round'!K35),"",'By Round'!K35)</f>
        <v/>
      </c>
      <c r="L28">
        <f>IF(ISBLANK('By Round'!L35),"",'By Round'!L35)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Round'!A12</f>
        <v/>
      </c>
      <c r="C29" s="16">
        <f>'By Round'!B15</f>
        <v/>
      </c>
      <c r="D29" s="16">
        <f>'By Round'!C15</f>
        <v/>
      </c>
      <c r="E29" s="16">
        <f>'By Round'!D15</f>
        <v/>
      </c>
      <c r="F29" s="16">
        <f>IF(ISBLANK('By Round'!F17),"",'By Round'!F17)</f>
        <v/>
      </c>
      <c r="G29" s="15">
        <f>IF(ISBLANK('By Round'!G17),"",'By Round'!G17)</f>
        <v/>
      </c>
      <c r="H29" s="15">
        <f>IF(ISBLANK('By Round'!H17),"",'By Round'!H17)</f>
        <v/>
      </c>
      <c r="I29" s="15">
        <f>IF(ISBLANK('By Round'!I17),"",'By Round'!I17)</f>
        <v/>
      </c>
      <c r="J29" s="15">
        <f>IF(ISBLANK('By Round'!J17),"",'By Round'!J17)</f>
        <v/>
      </c>
      <c r="K29" s="15">
        <f>IF(ISBLANK('By Round'!K17),"",'By Round'!K17)</f>
        <v/>
      </c>
      <c r="L29" s="15">
        <f>IF(ISBLANK('By Round'!L17),"",'By Round'!L17)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Round'!A30</f>
        <v/>
      </c>
      <c r="C30" s="10">
        <f>'By Round'!B30</f>
        <v/>
      </c>
      <c r="D30" s="10">
        <f>'By Round'!C30</f>
        <v/>
      </c>
      <c r="E30" s="10">
        <f>'By Round'!D30</f>
        <v/>
      </c>
      <c r="F30" s="10">
        <f>IF(ISBLANK('By Round'!F30),"",'By Round'!F30)</f>
        <v/>
      </c>
      <c r="G30">
        <f>IF(ISBLANK('By Round'!G30),"",'By Round'!G30)</f>
        <v/>
      </c>
      <c r="H30">
        <f>IF(ISBLANK('By Round'!H30),"",'By Round'!H30)</f>
        <v/>
      </c>
      <c r="I30">
        <f>IF(ISBLANK('By Round'!I30),"",'By Round'!I30)</f>
        <v/>
      </c>
      <c r="J30">
        <f>IF(ISBLANK('By Round'!J30),"",'By Round'!J30)</f>
        <v/>
      </c>
      <c r="K30">
        <f>IF(ISBLANK('By Round'!K30),"",'By Round'!K30)</f>
        <v/>
      </c>
      <c r="L30">
        <f>IF(ISBLANK('By Round'!L30),"",'By Round'!L30)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Round'!A12</f>
        <v/>
      </c>
      <c r="C31" s="10">
        <f>'By Round'!B18</f>
        <v/>
      </c>
      <c r="D31" s="10">
        <f>'By Round'!C18</f>
        <v/>
      </c>
      <c r="E31" s="10">
        <f>'By Round'!D18</f>
        <v/>
      </c>
      <c r="F31" s="10">
        <f>IF(ISBLANK('By Round'!F18),"",'By Round'!F18)</f>
        <v/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>
        <f>IF(ISBLANK('By Round'!L18),"",'By Round'!L18)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</f>
        <v/>
      </c>
      <c r="C32" s="16">
        <f>'By Round'!B9</f>
        <v/>
      </c>
      <c r="D32" s="16">
        <f>'By Round'!C9</f>
        <v/>
      </c>
      <c r="E32" s="16">
        <f>'By Round'!D9</f>
        <v/>
      </c>
      <c r="F32" s="16">
        <f>IF(ISBLANK('By Round'!F9),"",'By Round'!F9)</f>
        <v/>
      </c>
      <c r="G32" s="15">
        <f>IF(ISBLANK('By Round'!G9),"",'By Round'!G9)</f>
        <v/>
      </c>
      <c r="H32" s="15">
        <f>IF(ISBLANK('By Round'!H9),"",'By Round'!H9)</f>
        <v/>
      </c>
      <c r="I32" s="15">
        <f>IF(ISBLANK('By Round'!I9),"",'By Round'!I9)</f>
        <v/>
      </c>
      <c r="J32" s="15">
        <f>IF(ISBLANK('By Round'!J9),"",'By Round'!J9)</f>
        <v/>
      </c>
      <c r="K32" s="15">
        <f>IF(ISBLANK('By Round'!K9),"",'By Round'!K9)</f>
        <v/>
      </c>
      <c r="L32" s="15">
        <f>IF(ISBLANK('By Round'!L9),"",'By Round'!L9)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Round'!A30</f>
        <v/>
      </c>
      <c r="C33" s="10">
        <f>'By Round'!B30</f>
        <v/>
      </c>
      <c r="D33" s="10">
        <f>'By Round'!C30</f>
        <v/>
      </c>
      <c r="E33" s="10">
        <f>'By Round'!D30</f>
        <v/>
      </c>
      <c r="F33" s="10">
        <f>IF(ISBLANK('By Round'!F31),"",'By Round'!F31)</f>
        <v/>
      </c>
      <c r="G33">
        <f>IF(ISBLANK('By Round'!G31),"",'By Round'!G31)</f>
        <v/>
      </c>
      <c r="H33">
        <f>IF(ISBLANK('By Round'!H31),"",'By Round'!H31)</f>
        <v/>
      </c>
      <c r="I33">
        <f>IF(ISBLANK('By Round'!I31),"",'By Round'!I31)</f>
        <v/>
      </c>
      <c r="J33">
        <f>IF(ISBLANK('By Round'!J31),"",'By Round'!J31)</f>
        <v/>
      </c>
      <c r="K33">
        <f>IF(ISBLANK('By Round'!K31),"",'By Round'!K31)</f>
        <v/>
      </c>
      <c r="L33">
        <f>IF(ISBLANK('By Round'!L31),"",'By Round'!L31)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Round'!A12</f>
        <v/>
      </c>
      <c r="C34" s="10">
        <f>'By Round'!B18</f>
        <v/>
      </c>
      <c r="D34" s="10">
        <f>'By Round'!C18</f>
        <v/>
      </c>
      <c r="E34" s="10">
        <f>'By Round'!D18</f>
        <v/>
      </c>
      <c r="F34" s="10">
        <f>IF(ISBLANK('By Round'!F19),"",'By Round'!F19)</f>
        <v/>
      </c>
      <c r="G34">
        <f>IF(ISBLANK('By Round'!G19),"",'By Round'!G19)</f>
        <v/>
      </c>
      <c r="H34">
        <f>IF(ISBLANK('By Round'!H19),"",'By Round'!H19)</f>
        <v/>
      </c>
      <c r="I34">
        <f>IF(ISBLANK('By Round'!I19),"",'By Round'!I19)</f>
        <v/>
      </c>
      <c r="J34">
        <f>IF(ISBLANK('By Round'!J19),"",'By Round'!J19)</f>
        <v/>
      </c>
      <c r="K34">
        <f>IF(ISBLANK('By Round'!K19),"",'By Round'!K19)</f>
        <v/>
      </c>
      <c r="L34">
        <f>IF(ISBLANK('By Round'!L19),"",'By Round'!L19)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</f>
        <v/>
      </c>
      <c r="C35" s="16">
        <f>'By Round'!B9</f>
        <v/>
      </c>
      <c r="D35" s="16">
        <f>'By Round'!C9</f>
        <v/>
      </c>
      <c r="E35" s="16">
        <f>'By Round'!D9</f>
        <v/>
      </c>
      <c r="F35" s="16">
        <f>IF(ISBLANK('By Round'!F10),"",'By Round'!F10)</f>
        <v/>
      </c>
      <c r="G35" s="15">
        <f>IF(ISBLANK('By Round'!G10),"",'By Round'!G10)</f>
        <v/>
      </c>
      <c r="H35" s="15">
        <f>IF(ISBLANK('By Round'!H10),"",'By Round'!H10)</f>
        <v/>
      </c>
      <c r="I35" s="15">
        <f>IF(ISBLANK('By Round'!I10),"",'By Round'!I10)</f>
        <v/>
      </c>
      <c r="J35" s="15">
        <f>IF(ISBLANK('By Round'!J10),"",'By Round'!J10)</f>
        <v/>
      </c>
      <c r="K35" s="15">
        <f>IF(ISBLANK('By Round'!K10),"",'By Round'!K10)</f>
        <v/>
      </c>
      <c r="L35" s="15">
        <f>IF(ISBLANK('By Round'!L10),"",'By Round'!L10)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Round'!A30</f>
        <v/>
      </c>
      <c r="C36" s="10">
        <f>'By Round'!B30</f>
        <v/>
      </c>
      <c r="D36" s="10">
        <f>'By Round'!C30</f>
        <v/>
      </c>
      <c r="E36" s="10">
        <f>'By Round'!D30</f>
        <v/>
      </c>
      <c r="F36" s="10">
        <f>IF(ISBLANK('By Round'!F32),"",'By Round'!F32)</f>
        <v/>
      </c>
      <c r="G36">
        <f>IF(ISBLANK('By Round'!G32),"",'By Round'!G32)</f>
        <v/>
      </c>
      <c r="H36">
        <f>IF(ISBLANK('By Round'!H32),"",'By Round'!H32)</f>
        <v/>
      </c>
      <c r="I36">
        <f>IF(ISBLANK('By Round'!I32),"",'By Round'!I32)</f>
        <v/>
      </c>
      <c r="J36">
        <f>IF(ISBLANK('By Round'!J32),"",'By Round'!J32)</f>
        <v/>
      </c>
      <c r="K36">
        <f>IF(ISBLANK('By Round'!K32),"",'By Round'!K32)</f>
        <v/>
      </c>
      <c r="L36">
        <f>IF(ISBLANK('By Round'!L32),"",'By Round'!L32)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Round'!A12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Round'!F11),"",'By Round'!F11)</f>
        <v/>
      </c>
      <c r="G38" s="15">
        <f>IF(ISBLANK('By Round'!G11),"",'By Round'!G11)</f>
        <v/>
      </c>
      <c r="H38" s="15">
        <f>IF(ISBLANK('By Round'!H11),"",'By Round'!H11)</f>
        <v/>
      </c>
      <c r="I38" s="15">
        <f>IF(ISBLANK('By Round'!I11),"",'By Round'!I11)</f>
        <v/>
      </c>
      <c r="J38" s="15">
        <f>IF(ISBLANK('By Round'!J11),"",'By Round'!J11)</f>
        <v/>
      </c>
      <c r="K38" s="15">
        <f>IF(ISBLANK('By Round'!K11),"",'By Round'!K11)</f>
        <v/>
      </c>
      <c r="L38" s="15">
        <f>IF(ISBLANK('By Round'!L11),"",'By Round'!L11)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Round'!B42</f>
        <v/>
      </c>
      <c r="D40" s="10">
        <f>'By Round'!C42</f>
        <v/>
      </c>
      <c r="E40" s="10">
        <f>'By Round'!D42</f>
        <v/>
      </c>
      <c r="F40" s="10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>
        <f>IF(ISBLANK('By Round'!L42),"",'By Round'!L42)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Round'!B45</f>
        <v/>
      </c>
      <c r="D41" s="16">
        <f>'By Round'!C45</f>
        <v/>
      </c>
      <c r="E41" s="16">
        <f>'By Round'!D45</f>
        <v/>
      </c>
      <c r="F41" s="16">
        <f>IF(ISBLANK('By Round'!F45),"",'By Round'!F45)</f>
        <v/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5">
        <f>IF(ISBLANK('By Round'!L45),"",'By Round'!L45)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Round'!B39</f>
        <v/>
      </c>
      <c r="D42" s="10">
        <f>'By Round'!C39</f>
        <v/>
      </c>
      <c r="E42" s="10">
        <f>'By Round'!D39</f>
        <v/>
      </c>
      <c r="F42" s="10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Round'!B42</f>
        <v/>
      </c>
      <c r="D43" s="10">
        <f>'By Round'!C42</f>
        <v/>
      </c>
      <c r="E43" s="10">
        <f>'By Round'!D42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Round'!B45</f>
        <v/>
      </c>
      <c r="D44" s="16">
        <f>'By Round'!C45</f>
        <v/>
      </c>
      <c r="E44" s="16">
        <f>'By Round'!D45</f>
        <v/>
      </c>
      <c r="F44" s="16">
        <f>IF(ISBLANK('By Round'!F46),"",'By Round'!F46)</f>
        <v/>
      </c>
      <c r="G44" s="15">
        <f>IF(ISBLANK('By Round'!G46),"",'By Round'!G46)</f>
        <v/>
      </c>
      <c r="H44" s="15">
        <f>IF(ISBLANK('By Round'!H46),"",'By Round'!H46)</f>
        <v/>
      </c>
      <c r="I44" s="15">
        <f>IF(ISBLANK('By Round'!I46),"",'By Round'!I46)</f>
        <v/>
      </c>
      <c r="J44" s="15">
        <f>IF(ISBLANK('By Round'!J46),"",'By Round'!J46)</f>
        <v/>
      </c>
      <c r="K44" s="15">
        <f>IF(ISBLANK('By Round'!K46),"",'By Round'!K46)</f>
        <v/>
      </c>
      <c r="L44" s="15">
        <f>IF(ISBLANK('By Round'!L46),"",'By Round'!L46)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Round'!B42</f>
        <v/>
      </c>
      <c r="D46" s="10">
        <f>'By Round'!C42</f>
        <v/>
      </c>
      <c r="E46" s="10">
        <f>'By Round'!D42</f>
        <v/>
      </c>
      <c r="F46" s="10">
        <f>IF(ISBLANK('By Round'!F44),"",'By Round'!F44)</f>
        <v/>
      </c>
      <c r="G46">
        <f>IF(ISBLANK('By Round'!G44),"",'By Round'!G44)</f>
        <v/>
      </c>
      <c r="H46">
        <f>IF(ISBLANK('By Round'!H44),"",'By Round'!H44)</f>
        <v/>
      </c>
      <c r="I46">
        <f>IF(ISBLANK('By Round'!I44),"",'By Round'!I44)</f>
        <v/>
      </c>
      <c r="J46">
        <f>IF(ISBLANK('By Round'!J44),"",'By Round'!J44)</f>
        <v/>
      </c>
      <c r="K46">
        <f>IF(ISBLANK('By Round'!K44),"",'By Round'!K44)</f>
        <v/>
      </c>
      <c r="L46">
        <f>IF(ISBLANK('By Round'!L44),"",'By Round'!L44)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Round'!B45</f>
        <v/>
      </c>
      <c r="D47" s="16">
        <f>'By Round'!C45</f>
        <v/>
      </c>
      <c r="E47" s="16">
        <f>'By Round'!D45</f>
        <v/>
      </c>
      <c r="F47" s="16">
        <f>IF(ISBLANK('By Round'!F47),"",'By Round'!F47)</f>
        <v/>
      </c>
      <c r="G47" s="15">
        <f>IF(ISBLANK('By Round'!G47),"",'By Round'!G47)</f>
        <v/>
      </c>
      <c r="H47" s="15">
        <f>IF(ISBLANK('By Round'!H47),"",'By Round'!H47)</f>
        <v/>
      </c>
      <c r="I47" s="15">
        <f>IF(ISBLANK('By Round'!I47),"",'By Round'!I47)</f>
        <v/>
      </c>
      <c r="J47" s="15">
        <f>IF(ISBLANK('By Round'!J47),"",'By Round'!J47)</f>
        <v/>
      </c>
      <c r="K47" s="15">
        <f>IF(ISBLANK('By Round'!K47),"",'By Round'!K47)</f>
        <v/>
      </c>
      <c r="L47" s="15">
        <f>IF(ISBLANK('By Round'!L47),"",'By Round'!L47)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inlineStr">
        <is>
          <t>Sit-Out</t>
        </is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inlineStr">
        <is>
          <t>Sit-Out</t>
        </is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inlineStr">
        <is>
          <t>Sit-Out</t>
        </is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inlineStr">
        <is>
          <t>Sit-Out</t>
        </is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2026-03-07T21:22:29Z</dcterms:created>
  <dcterms:modified xsi:type="dcterms:W3CDTF">2026-03-07T21:22:29Z</dcterms:modified>
</cp:coreProperties>
</file>