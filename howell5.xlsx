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20,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80</t>
        </is>
      </c>
      <c r="C10" t="inlineStr">
        <is>
          <t>Name 83</t>
        </is>
      </c>
      <c r="D10" s="4">
        <f>SUMIF('By Board'!$D$3:$D$38,"=1",'By Board'!$O$3:$O$38)/12+SUMIF('By Board'!$E$3:$E$38,"=1",'By Board'!$P$3:$P$38)/12</f>
        <v/>
      </c>
      <c r="E10" s="5">
        <f>SUMIF('By Board'!$D$3:$D$38,"=1",'By Board'!$M$3:$M$38)+SUMIF('By Board'!$E$3:$E$38,"=1",'By Board'!$N$3:$N$38)</f>
        <v/>
      </c>
    </row>
    <row r="11">
      <c r="A11" s="2" t="n">
        <v>2</v>
      </c>
      <c r="B11" t="inlineStr">
        <is>
          <t>Name 46</t>
        </is>
      </c>
      <c r="C11" t="inlineStr">
        <is>
          <t>Name 54</t>
        </is>
      </c>
      <c r="D11" s="4">
        <f>SUMIF('By Board'!$D$3:$D$38,"=2",'By Board'!$O$3:$O$38)/12+SUMIF('By Board'!$E$3:$E$38,"=2",'By Board'!$P$3:$P$38)/12</f>
        <v/>
      </c>
      <c r="E11" s="5">
        <f>SUMIF('By Board'!$D$3:$D$38,"=2",'By Board'!$M$3:$M$38)+SUMIF('By Board'!$E$3:$E$38,"=2",'By Board'!$N$3:$N$38)</f>
        <v/>
      </c>
    </row>
    <row r="12">
      <c r="A12" s="2" t="n">
        <v>3</v>
      </c>
      <c r="B12" t="inlineStr">
        <is>
          <t>Name 56</t>
        </is>
      </c>
      <c r="C12" t="inlineStr">
        <is>
          <t>Name 16</t>
        </is>
      </c>
      <c r="D12" s="4">
        <f>SUMIF('By Board'!$D$3:$D$38,"=3",'By Board'!$O$3:$O$38)/12+SUMIF('By Board'!$E$3:$E$38,"=3",'By Board'!$P$3:$P$38)/12</f>
        <v/>
      </c>
      <c r="E12" s="5">
        <f>SUMIF('By Board'!$D$3:$D$38,"=3",'By Board'!$M$3:$M$38)+SUMIF('By Board'!$E$3:$E$38,"=3",'By Board'!$N$3:$N$38)</f>
        <v/>
      </c>
    </row>
    <row r="13">
      <c r="A13" s="2" t="n">
        <v>4</v>
      </c>
      <c r="B13" t="inlineStr">
        <is>
          <t>Name 39</t>
        </is>
      </c>
      <c r="C13" t="inlineStr">
        <is>
          <t>Name 44</t>
        </is>
      </c>
      <c r="D13" s="4">
        <f>SUMIF('By Board'!$D$3:$D$38,"=4",'By Board'!$O$3:$O$38)/12+SUMIF('By Board'!$E$3:$E$38,"=4",'By Board'!$P$3:$P$38)/12</f>
        <v/>
      </c>
      <c r="E13" s="5">
        <f>SUMIF('By Board'!$D$3:$D$38,"=4",'By Board'!$M$3:$M$38)+SUMIF('By Board'!$E$3:$E$38,"=4",'By Board'!$N$3:$N$38)</f>
        <v/>
      </c>
    </row>
    <row r="14">
      <c r="A14" s="2" t="n">
        <v>5</v>
      </c>
      <c r="B14" t="inlineStr">
        <is>
          <t>Name 86</t>
        </is>
      </c>
      <c r="C14" t="inlineStr">
        <is>
          <t>Name 40</t>
        </is>
      </c>
      <c r="D14" s="4">
        <f>SUMIF('By Board'!$D$3:$D$38,"=5",'By Board'!$O$3:$O$38)/12+SUMIF('By Board'!$E$3:$E$38,"=5",'By Board'!$P$3:$P$38)/12</f>
        <v/>
      </c>
      <c r="E14" s="5">
        <f>SUMIF('By Board'!$D$3:$D$38,"=5",'By Board'!$M$3:$M$38)+SUMIF('By Board'!$E$3:$E$38,"=5",'By Board'!$N$3:$N$38)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Round'!A21</f>
        <v/>
      </c>
      <c r="C4" s="10">
        <f>'By Round'!B27</f>
        <v/>
      </c>
      <c r="D4" s="10">
        <f>'By Round'!C27</f>
        <v/>
      </c>
      <c r="E4" s="10">
        <f>'By Round'!D27</f>
        <v/>
      </c>
      <c r="F4" s="10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>
        <f>IF(ISBLANK('By Round'!L27),"",'By Round'!L27)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5">
        <f>IF(ISBLANK('By Round'!L36),"",'By Round'!L36)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Round'!A21</f>
        <v/>
      </c>
      <c r="C7" s="10">
        <f>'By Round'!B27</f>
        <v/>
      </c>
      <c r="D7" s="10">
        <f>'By Round'!C27</f>
        <v/>
      </c>
      <c r="E7" s="10">
        <f>'By Round'!D27</f>
        <v/>
      </c>
      <c r="F7" s="10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>
        <f>IF(ISBLANK('By Round'!L28),"",'By Round'!L28)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5">
        <f>IF(ISBLANK('By Round'!L37),"",'By Round'!L37)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Round'!A21</f>
        <v/>
      </c>
      <c r="C10" s="10">
        <f>'By Round'!B27</f>
        <v/>
      </c>
      <c r="D10" s="10">
        <f>'By Round'!C27</f>
        <v/>
      </c>
      <c r="E10" s="10">
        <f>'By Round'!D27</f>
        <v/>
      </c>
      <c r="F10" s="10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>
        <f>IF(ISBLANK('By Round'!L29),"",'By Round'!L29)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5">
        <f>IF(ISBLANK('By Round'!L38),"",'By Round'!L38)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Round'!A12</f>
        <v/>
      </c>
      <c r="C12" s="10">
        <f>'By Round'!B12</f>
        <v/>
      </c>
      <c r="D12" s="10">
        <f>'By Round'!C12</f>
        <v/>
      </c>
      <c r="E12" s="10">
        <f>'By Round'!D12</f>
        <v/>
      </c>
      <c r="F12" s="10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>
        <f>IF(ISBLANK('By Round'!L12),"",'By Round'!L12)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5">
        <f>IF(ISBLANK('By Round'!L24),"",'By Round'!L24)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Round'!A12</f>
        <v/>
      </c>
      <c r="C15" s="10">
        <f>'By Round'!B12</f>
        <v/>
      </c>
      <c r="D15" s="10">
        <f>'By Round'!C12</f>
        <v/>
      </c>
      <c r="E15" s="10">
        <f>'By Round'!D12</f>
        <v/>
      </c>
      <c r="F15" s="10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>
        <f>IF(ISBLANK('By Round'!L13),"",'By Round'!L13)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5">
        <f>IF(ISBLANK('By Round'!L25),"",'By Round'!L25)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Round'!A12</f>
        <v/>
      </c>
      <c r="C18" s="10">
        <f>'By Round'!B12</f>
        <v/>
      </c>
      <c r="D18" s="10">
        <f>'By Round'!C12</f>
        <v/>
      </c>
      <c r="E18" s="10">
        <f>'By Round'!D12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5">
        <f>IF(ISBLANK('By Round'!L26),"",'By Round'!L26)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Round'!A21</f>
        <v/>
      </c>
      <c r="C21" s="10">
        <f>'By Round'!B21</f>
        <v/>
      </c>
      <c r="D21" s="10">
        <f>'By Round'!C21</f>
        <v/>
      </c>
      <c r="E21" s="10">
        <f>'By Round'!D21</f>
        <v/>
      </c>
      <c r="F21" s="10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Round'!A30</f>
        <v/>
      </c>
      <c r="C22" s="10">
        <f>'By Round'!B33</f>
        <v/>
      </c>
      <c r="D22" s="10">
        <f>'By Round'!C33</f>
        <v/>
      </c>
      <c r="E22" s="10">
        <f>'By Round'!D33</f>
        <v/>
      </c>
      <c r="F22" s="10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>
        <f>IF(ISBLANK('By Round'!L33),"",'By Round'!L33)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5">
        <f>IF(ISBLANK('By Round'!L15),"",'By Round'!L15)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Round'!A21</f>
        <v/>
      </c>
      <c r="C24" s="10">
        <f>'By Round'!B21</f>
        <v/>
      </c>
      <c r="D24" s="10">
        <f>'By Round'!C21</f>
        <v/>
      </c>
      <c r="E24" s="10">
        <f>'By Round'!D21</f>
        <v/>
      </c>
      <c r="F24" s="10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Round'!A30</f>
        <v/>
      </c>
      <c r="C25" s="10">
        <f>'By Round'!B33</f>
        <v/>
      </c>
      <c r="D25" s="10">
        <f>'By Round'!C33</f>
        <v/>
      </c>
      <c r="E25" s="10">
        <f>'By Round'!D33</f>
        <v/>
      </c>
      <c r="F25" s="10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>
        <f>IF(ISBLANK('By Round'!L34),"",'By Round'!L34)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Round'!A21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>
        <f>IF(ISBLANK('By Round'!L23),"",'By Round'!L23)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Round'!A30</f>
        <v/>
      </c>
      <c r="C28" s="10">
        <f>'By Round'!B33</f>
        <v/>
      </c>
      <c r="D28" s="10">
        <f>'By Round'!C33</f>
        <v/>
      </c>
      <c r="E28" s="10">
        <f>'By Round'!D33</f>
        <v/>
      </c>
      <c r="F28" s="10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>
        <f>IF(ISBLANK('By Round'!L35),"",'By Round'!L35)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5">
        <f>IF(ISBLANK('By Round'!L17),"",'By Round'!L17)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Round'!A30</f>
        <v/>
      </c>
      <c r="C30" s="10">
        <f>'By Round'!B30</f>
        <v/>
      </c>
      <c r="D30" s="10">
        <f>'By Round'!C30</f>
        <v/>
      </c>
      <c r="E30" s="10">
        <f>'By Round'!D30</f>
        <v/>
      </c>
      <c r="F30" s="10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>
        <f>IF(ISBLANK('By Round'!L30),"",'By Round'!L30)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Round'!A12</f>
        <v/>
      </c>
      <c r="C31" s="10">
        <f>'By Round'!B18</f>
        <v/>
      </c>
      <c r="D31" s="10">
        <f>'By Round'!C18</f>
        <v/>
      </c>
      <c r="E31" s="10">
        <f>'By Round'!D18</f>
        <v/>
      </c>
      <c r="F31" s="10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>
        <f>IF(ISBLANK('By Round'!L18),"",'By Round'!L18)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Round'!A30</f>
        <v/>
      </c>
      <c r="C33" s="10">
        <f>'By Round'!B30</f>
        <v/>
      </c>
      <c r="D33" s="10">
        <f>'By Round'!C30</f>
        <v/>
      </c>
      <c r="E33" s="10">
        <f>'By Round'!D30</f>
        <v/>
      </c>
      <c r="F33" s="10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>
        <f>IF(ISBLANK('By Round'!L31),"",'By Round'!L31)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Round'!A12</f>
        <v/>
      </c>
      <c r="C34" s="10">
        <f>'By Round'!B18</f>
        <v/>
      </c>
      <c r="D34" s="10">
        <f>'By Round'!C18</f>
        <v/>
      </c>
      <c r="E34" s="10">
        <f>'By Round'!D18</f>
        <v/>
      </c>
      <c r="F34" s="10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>
        <f>IF(ISBLANK('By Round'!L19),"",'By Round'!L19)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Round'!A30</f>
        <v/>
      </c>
      <c r="C36" s="10">
        <f>'By Round'!B30</f>
        <v/>
      </c>
      <c r="D36" s="10">
        <f>'By Round'!C30</f>
        <v/>
      </c>
      <c r="E36" s="10">
        <f>'By Round'!D30</f>
        <v/>
      </c>
      <c r="F36" s="10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>
        <f>IF(ISBLANK('By Round'!L32),"",'By Round'!L32)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Round'!A12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Round'!B39</f>
        <v/>
      </c>
      <c r="D39" s="10">
        <f>'By Round'!C39</f>
        <v/>
      </c>
      <c r="E39" s="10">
        <f>'By Round'!D39</f>
        <v/>
      </c>
      <c r="F39" s="10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Round'!B42</f>
        <v/>
      </c>
      <c r="D40" s="10">
        <f>'By Round'!C42</f>
        <v/>
      </c>
      <c r="E40" s="10">
        <f>'By Round'!D42</f>
        <v/>
      </c>
      <c r="F40" s="10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5">
        <f>IF(ISBLANK('By Round'!L45),"",'By Round'!L45)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Round'!B39</f>
        <v/>
      </c>
      <c r="D42" s="10">
        <f>'By Round'!C39</f>
        <v/>
      </c>
      <c r="E42" s="10">
        <f>'By Round'!D39</f>
        <v/>
      </c>
      <c r="F42" s="10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Round'!B42</f>
        <v/>
      </c>
      <c r="D43" s="10">
        <f>'By Round'!C42</f>
        <v/>
      </c>
      <c r="E43" s="10">
        <f>'By Round'!D42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5">
        <f>IF(ISBLANK('By Round'!L46),"",'By Round'!L46)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Round'!B39</f>
        <v/>
      </c>
      <c r="D45" s="10">
        <f>'By Round'!C39</f>
        <v/>
      </c>
      <c r="E45" s="10">
        <f>'By Round'!D39</f>
        <v/>
      </c>
      <c r="F45" s="10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Round'!B42</f>
        <v/>
      </c>
      <c r="D46" s="10">
        <f>'By Round'!C42</f>
        <v/>
      </c>
      <c r="E46" s="10">
        <f>'By Round'!D42</f>
        <v/>
      </c>
      <c r="F46" s="10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>
        <f>IF(ISBLANK('By Round'!L44),"",'By Round'!L44)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5">
        <f>IF(ISBLANK('By Round'!L47),"",'By Round'!L47)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2026-03-20T20:42:08Z</dcterms:created>
  <dcterms:modified xsi:type="dcterms:W3CDTF">2026-03-20T20:42:08Z</dcterms:modified>
</cp:coreProperties>
</file>