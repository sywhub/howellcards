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Apr 23,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5</v>
      </c>
    </row>
    <row r="4">
      <c r="A4" s="3" t="inlineStr">
        <is>
          <t>Tables</t>
        </is>
      </c>
      <c r="C4" s="3" t="n">
        <v>3</v>
      </c>
    </row>
    <row r="5">
      <c r="A5" s="3" t="inlineStr">
        <is>
          <t>Rounds</t>
        </is>
      </c>
      <c r="C5" s="3" t="n">
        <v>4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12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17</t>
        </is>
      </c>
      <c r="C10" t="inlineStr">
        <is>
          <t>Name 84</t>
        </is>
      </c>
      <c r="D10" s="4">
        <f>SUMIF('By Board'!D3:D47,"="&amp;A10,'By Board'!Q3:Q47)/15+SUMIF('By Board'!E3:E47,"="&amp;A10,'By Board'!R3:R47)/15</f>
        <v/>
      </c>
      <c r="E10" s="5">
        <f>SUMIF('By Board'!D3:D47,"="&amp;A10,'By Board'!M3:M47)+SUMIF('By Board'!E3:E47,"="&amp;A10,'By Board'!N3:N47)</f>
        <v/>
      </c>
    </row>
    <row r="11">
      <c r="A11" s="2" t="n">
        <v>2</v>
      </c>
      <c r="B11" t="inlineStr">
        <is>
          <t>Name 53</t>
        </is>
      </c>
      <c r="C11" t="inlineStr">
        <is>
          <t>Name 53</t>
        </is>
      </c>
      <c r="D11" s="4">
        <f>SUMIF('By Board'!D3:D47,"="&amp;A11,'By Board'!Q3:Q47)/15+SUMIF('By Board'!E3:E47,"="&amp;A11,'By Board'!R3:R47)/15</f>
        <v/>
      </c>
      <c r="E11" s="5">
        <f>SUMIF('By Board'!D3:D47,"="&amp;A11,'By Board'!M3:M47)+SUMIF('By Board'!E3:E47,"="&amp;A11,'By Board'!N3:N47)</f>
        <v/>
      </c>
    </row>
    <row r="12">
      <c r="A12" s="2" t="n">
        <v>3</v>
      </c>
      <c r="B12" t="inlineStr">
        <is>
          <t>Name 88</t>
        </is>
      </c>
      <c r="C12" t="inlineStr">
        <is>
          <t>Name 19</t>
        </is>
      </c>
      <c r="D12" s="4">
        <f>SUMIF('By Board'!D3:D47,"="&amp;A12,'By Board'!Q3:Q47)/15+SUMIF('By Board'!E3:E47,"="&amp;A12,'By Board'!R3:R47)/15</f>
        <v/>
      </c>
      <c r="E12" s="5">
        <f>SUMIF('By Board'!D3:D47,"="&amp;A12,'By Board'!M3:M47)+SUMIF('By Board'!E3:E47,"="&amp;A12,'By Board'!N3:N47)</f>
        <v/>
      </c>
    </row>
    <row r="13">
      <c r="A13" s="2" t="n">
        <v>4</v>
      </c>
      <c r="B13" t="inlineStr">
        <is>
          <t>Name 66</t>
        </is>
      </c>
      <c r="C13" t="inlineStr">
        <is>
          <t>Name 67</t>
        </is>
      </c>
      <c r="D13" s="4">
        <f>SUMIF('By Board'!D3:D47,"="&amp;A13,'By Board'!Q3:Q47)/15+SUMIF('By Board'!E3:E47,"="&amp;A13,'By Board'!R3:R47)/15</f>
        <v/>
      </c>
      <c r="E13" s="5">
        <f>SUMIF('By Board'!D3:D47,"="&amp;A13,'By Board'!M3:M47)+SUMIF('By Board'!E3:E47,"="&amp;A13,'By Board'!N3:N47)</f>
        <v/>
      </c>
    </row>
    <row r="14">
      <c r="A14" s="2" t="n">
        <v>5</v>
      </c>
      <c r="B14" t="inlineStr">
        <is>
          <t>Name 39</t>
        </is>
      </c>
      <c r="C14" t="inlineStr">
        <is>
          <t>Name 65</t>
        </is>
      </c>
      <c r="D14" s="4">
        <f>SUMIF('By Board'!D3:D47,"="&amp;A14,'By Board'!Q3:Q47)/15+SUMIF('By Board'!E3:E47,"="&amp;A14,'By Board'!R3:R47)/15</f>
        <v/>
      </c>
      <c r="E14" s="5">
        <f>SUMIF('By Board'!D3:D47,"="&amp;A14,'By Board'!M3:M47)+SUMIF('By Board'!E3:E47,"="&amp;A14,'By Board'!N3:N47)</f>
        <v/>
      </c>
    </row>
    <row r="15">
      <c r="D15" s="6">
        <f>AVERAGE(D10:D14)</f>
        <v/>
      </c>
      <c r="E15" s="7">
        <f>SUM(E10:E14)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Y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W2" s="2" t="inlineStr">
        <is>
          <t>EW MP Scores</t>
        </is>
      </c>
      <c r="Y2" s="9" t="inlineStr">
        <is>
          <t>NS IMP Pair-wise</t>
        </is>
      </c>
      <c r="AA2" s="2" t="inlineStr">
        <is>
          <t>EW IMP Pair-wise</t>
        </is>
      </c>
    </row>
    <row r="3">
      <c r="A3" s="10" t="n">
        <v>1</v>
      </c>
      <c r="B3" s="10">
        <f>'By Round'!A3</f>
        <v/>
      </c>
      <c r="C3" s="10">
        <f>'By Round'!B3</f>
        <v/>
      </c>
      <c r="D3" s="10">
        <f>'By Round'!C3</f>
        <v/>
      </c>
      <c r="E3" s="10">
        <f>'By Round'!D3</f>
        <v/>
      </c>
      <c r="F3" s="10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1">
        <f>AVERAGE(Y3:Z3)</f>
        <v/>
      </c>
      <c r="N3" s="12">
        <f>AVERAGE(AA3:AB3)</f>
        <v/>
      </c>
      <c r="O3" s="13">
        <f>IF(COUNT(U3:V3)&gt;0,Q3/COUNT(U3:V3),0.5)</f>
        <v/>
      </c>
      <c r="P3" s="13">
        <f>IF(COUNT(W3:X3)&gt;0,R3/COUNT(W3:X3),0.5)</f>
        <v/>
      </c>
      <c r="Q3" s="5">
        <f>SUM(U3:V3)</f>
        <v/>
      </c>
      <c r="R3" s="5">
        <f>SUM(W3:X3)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IF(ISNUMBER(S3),IF(ISNUMBER(S4),IF(S3&gt;S4,1.0,IF(S3=S4,0.5,0.0)),0.5),0.5)</f>
        <v/>
      </c>
      <c r="V3">
        <f>IF(ISNUMBER(S3),IF(ISNUMBER(S5),IF(S3&gt;S5,1.0,IF(S3=S5,0.5,0.0)),0.5),0.5)</f>
        <v/>
      </c>
      <c r="W3">
        <f>IF(ISNUMBER(T3),IF(ISNUMBER(T4),IF(T3&gt;T4,1.0,IF(T3=T4,0.5,0.0)),0.5),0.5)</f>
        <v/>
      </c>
      <c r="X3">
        <f>IF(ISNUMBER(T3),IF(ISNUMBER(T5),IF(T3&gt;T5,1.0,IF(T3=T5,0.5,0.0)),0.5),0.5)</f>
        <v/>
      </c>
      <c r="Y3" s="14">
        <f>IF(AND(ISNUMBER(S3),ISNUMBER(S4)),VLOOKUP(ABS(S3-S4),'IMP Table'!$A$2:$C$26,3)*SIGN(S3-S4),0)</f>
        <v/>
      </c>
      <c r="Z3">
        <f>IF(AND(ISNUMBER(S3),ISNUMBER(S5)),VLOOKUP(ABS(S3-S5),'IMP Table'!$A$2:$C$26,3)*SIGN(S3-S5),0)</f>
        <v/>
      </c>
      <c r="AA3">
        <f>IF(AND(ISNUMBER(T3),ISNUMBER(T4)),VLOOKUP(ABS(T3-T4),'IMP Table'!$A$2:$C$26,3)*SIGN(T3-T4),0)</f>
        <v/>
      </c>
      <c r="AB3">
        <f>IF(AND(ISNUMBER(T3),ISNUMBER(T5)),VLOOKUP(ABS(T3-T5),'IMP Table'!$A$2:$C$26,3)*SIGN(T3-T5),0)</f>
        <v/>
      </c>
    </row>
    <row r="4">
      <c r="B4" s="10">
        <f>'By Round'!A21</f>
        <v/>
      </c>
      <c r="C4" s="10">
        <f>'By Round'!B27</f>
        <v/>
      </c>
      <c r="D4" s="10">
        <f>'By Round'!C27</f>
        <v/>
      </c>
      <c r="E4" s="10">
        <f>'By Round'!D27</f>
        <v/>
      </c>
      <c r="F4" s="10">
        <f>IF(ISBLANK('By Round'!F27),"",'By Round'!F27)</f>
        <v/>
      </c>
      <c r="G4">
        <f>IF(ISBLANK('By Round'!G27),"",'By Round'!G27)</f>
        <v/>
      </c>
      <c r="H4">
        <f>IF(ISBLANK('By Round'!H27),"",'By Round'!H27)</f>
        <v/>
      </c>
      <c r="I4">
        <f>IF(ISBLANK('By Round'!I27),"",'By Round'!I27)</f>
        <v/>
      </c>
      <c r="J4">
        <f>IF(ISBLANK('By Round'!J27),"",'By Round'!J27)</f>
        <v/>
      </c>
      <c r="K4">
        <f>IF(ISBLANK('By Round'!K27),"",'By Round'!K27)</f>
        <v/>
      </c>
      <c r="L4">
        <f>IF(ISBLANK('By Round'!L27),"",'By Round'!L27)</f>
        <v/>
      </c>
      <c r="M4" s="11">
        <f>AVERAGE(Y4:Z4)</f>
        <v/>
      </c>
      <c r="N4" s="12">
        <f>AVERAGE(AA4:AB4)</f>
        <v/>
      </c>
      <c r="O4" s="13">
        <f>IF(COUNT(U4:V4)&gt;0,Q4/COUNT(U4:V4),0.5)</f>
        <v/>
      </c>
      <c r="P4" s="13">
        <f>IF(COUNT(W4:X4)&gt;0,R4/COUNT(W4:X4),0.5)</f>
        <v/>
      </c>
      <c r="Q4" s="5">
        <f>SUM(U4:V4)</f>
        <v/>
      </c>
      <c r="R4" s="5">
        <f>SUM(W4:X4)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IF(ISNUMBER(S4),IF(ISNUMBER(S3),IF(S4&gt;S3,1.0,IF(S4=S3,0.5,0.0)),0.5),0.5)</f>
        <v/>
      </c>
      <c r="V4">
        <f>IF(ISNUMBER(S4),IF(ISNUMBER(S5),IF(S4&gt;S5,1.0,IF(S4=S5,0.5,0.0)),0.5),0.5)</f>
        <v/>
      </c>
      <c r="W4">
        <f>IF(ISNUMBER(T4),IF(ISNUMBER(T3),IF(T4&gt;T3,1.0,IF(T4=T3,0.5,0.0)),0.5),0.5)</f>
        <v/>
      </c>
      <c r="X4">
        <f>IF(ISNUMBER(T4),IF(ISNUMBER(T5),IF(T4&gt;T5,1.0,IF(T4=T5,0.5,0.0)),0.5),0.5)</f>
        <v/>
      </c>
      <c r="Y4" s="14">
        <f>IF(AND(ISNUMBER(S4),ISNUMBER(S3)),VLOOKUP(ABS(S4-S3),'IMP Table'!$A$2:$C$26,3)*SIGN(S4-S3),0)</f>
        <v/>
      </c>
      <c r="Z4">
        <f>IF(AND(ISNUMBER(S4),ISNUMBER(S5)),VLOOKUP(ABS(S4-S5),'IMP Table'!$A$2:$C$26,3)*SIGN(S4-S5),0)</f>
        <v/>
      </c>
      <c r="AA4">
        <f>IF(AND(ISNUMBER(T4),ISNUMBER(T3)),VLOOKUP(ABS(T4-T3),'IMP Table'!$A$2:$C$26,3)*SIGN(T4-T3),0)</f>
        <v/>
      </c>
      <c r="AB4">
        <f>IF(AND(ISNUMBER(T4),ISNUMBER(T5)),VLOOKUP(ABS(T4-T5),'IMP Table'!$A$2:$C$26,3)*SIGN(T4-T5),0)</f>
        <v/>
      </c>
    </row>
    <row r="5">
      <c r="A5" s="15" t="n"/>
      <c r="B5" s="16">
        <f>'By Round'!A30</f>
        <v/>
      </c>
      <c r="C5" s="16">
        <f>'By Round'!B36</f>
        <v/>
      </c>
      <c r="D5" s="16">
        <f>'By Round'!C36</f>
        <v/>
      </c>
      <c r="E5" s="16">
        <f>'By Round'!D36</f>
        <v/>
      </c>
      <c r="F5" s="16">
        <f>IF(ISBLANK('By Round'!F36),"",'By Round'!F36)</f>
        <v/>
      </c>
      <c r="G5" s="15">
        <f>IF(ISBLANK('By Round'!G36),"",'By Round'!G36)</f>
        <v/>
      </c>
      <c r="H5" s="15">
        <f>IF(ISBLANK('By Round'!H36),"",'By Round'!H36)</f>
        <v/>
      </c>
      <c r="I5" s="15">
        <f>IF(ISBLANK('By Round'!I36),"",'By Round'!I36)</f>
        <v/>
      </c>
      <c r="J5" s="15">
        <f>IF(ISBLANK('By Round'!J36),"",'By Round'!J36)</f>
        <v/>
      </c>
      <c r="K5" s="15">
        <f>IF(ISBLANK('By Round'!K36),"",'By Round'!K36)</f>
        <v/>
      </c>
      <c r="L5" s="15">
        <f>IF(ISBLANK('By Round'!L36),"",'By Round'!L36)</f>
        <v/>
      </c>
      <c r="M5" s="17">
        <f>AVERAGE(Y5:Z5)</f>
        <v/>
      </c>
      <c r="N5" s="18">
        <f>AVERAGE(AA5:AB5)</f>
        <v/>
      </c>
      <c r="O5" s="19">
        <f>IF(COUNT(U5:V5)&gt;0,Q5/COUNT(U5:V5),0.5)</f>
        <v/>
      </c>
      <c r="P5" s="19">
        <f>IF(COUNT(W5:X5)&gt;0,R5/COUNT(W5:X5),0.5)</f>
        <v/>
      </c>
      <c r="Q5" s="20">
        <f>SUM(U5:V5)</f>
        <v/>
      </c>
      <c r="R5" s="20">
        <f>SUM(W5:X5)</f>
        <v/>
      </c>
      <c r="S5" s="21">
        <f>IF(ISNUMBER(K5),K5,IF(ISNUMBER(L5),-L5,""))</f>
        <v/>
      </c>
      <c r="T5" s="15">
        <f>IF(ISNUMBER(L5),L5,IF(ISNUMBER(K5),-K5,""))</f>
        <v/>
      </c>
      <c r="U5" s="21">
        <f>IF(ISNUMBER(S5),IF(ISNUMBER(S3),IF(S5&gt;S3,1.0,IF(S5=S3,0.5,0.0)),0.5),0.5)</f>
        <v/>
      </c>
      <c r="V5" s="15">
        <f>IF(ISNUMBER(S5),IF(ISNUMBER(S4),IF(S5&gt;S4,1.0,IF(S5=S4,0.5,0.0)),0.5),0.5)</f>
        <v/>
      </c>
      <c r="W5" s="15">
        <f>IF(ISNUMBER(T5),IF(ISNUMBER(T3),IF(T5&gt;T3,1.0,IF(T5=T3,0.5,0.0)),0.5),0.5)</f>
        <v/>
      </c>
      <c r="X5" s="15">
        <f>IF(ISNUMBER(T5),IF(ISNUMBER(T4),IF(T5&gt;T4,1.0,IF(T5=T4,0.5,0.0)),0.5),0.5)</f>
        <v/>
      </c>
      <c r="Y5" s="21">
        <f>IF(AND(ISNUMBER(S5),ISNUMBER(S3)),VLOOKUP(ABS(S5-S3),'IMP Table'!$A$2:$C$26,3)*SIGN(S5-S3),0)</f>
        <v/>
      </c>
      <c r="Z5" s="15">
        <f>IF(AND(ISNUMBER(S5),ISNUMBER(S4)),VLOOKUP(ABS(S5-S4),'IMP Table'!$A$2:$C$26,3)*SIGN(S5-S4),0)</f>
        <v/>
      </c>
      <c r="AA5" s="15">
        <f>IF(AND(ISNUMBER(T5),ISNUMBER(T3)),VLOOKUP(ABS(T5-T3),'IMP Table'!$A$2:$C$26,3)*SIGN(T5-T3),0)</f>
        <v/>
      </c>
      <c r="AB5" s="15">
        <f>IF(AND(ISNUMBER(T5),ISNUMBER(T4)),VLOOKUP(ABS(T5-T4),'IMP Table'!$A$2:$C$26,3)*SIGN(T5-T4),0)</f>
        <v/>
      </c>
    </row>
    <row r="6">
      <c r="A6" s="10" t="n">
        <v>2</v>
      </c>
      <c r="B6" s="10">
        <f>'By Round'!A3</f>
        <v/>
      </c>
      <c r="C6" s="10">
        <f>'By Round'!B3</f>
        <v/>
      </c>
      <c r="D6" s="10">
        <f>'By Round'!C3</f>
        <v/>
      </c>
      <c r="E6" s="10">
        <f>'By Round'!D3</f>
        <v/>
      </c>
      <c r="F6" s="10">
        <f>IF(ISBLANK('By Round'!F4),"",'By Round'!F4)</f>
        <v/>
      </c>
      <c r="G6">
        <f>IF(ISBLANK('By Round'!G4),"",'By Round'!G4)</f>
        <v/>
      </c>
      <c r="H6">
        <f>IF(ISBLANK('By Round'!H4),"",'By Round'!H4)</f>
        <v/>
      </c>
      <c r="I6">
        <f>IF(ISBLANK('By Round'!I4),"",'By Round'!I4)</f>
        <v/>
      </c>
      <c r="J6">
        <f>IF(ISBLANK('By Round'!J4),"",'By Round'!J4)</f>
        <v/>
      </c>
      <c r="K6">
        <f>IF(ISBLANK('By Round'!K4),"",'By Round'!K4)</f>
        <v/>
      </c>
      <c r="L6">
        <f>IF(ISBLANK('By Round'!L4),"",'By Round'!L4)</f>
        <v/>
      </c>
      <c r="M6" s="11">
        <f>AVERAGE(Y6:Z6)</f>
        <v/>
      </c>
      <c r="N6" s="12">
        <f>AVERAGE(AA6:AB6)</f>
        <v/>
      </c>
      <c r="O6" s="13">
        <f>IF(COUNT(U6:V6)&gt;0,Q6/COUNT(U6:V6),0.5)</f>
        <v/>
      </c>
      <c r="P6" s="13">
        <f>IF(COUNT(W6:X6)&gt;0,R6/COUNT(W6:X6),0.5)</f>
        <v/>
      </c>
      <c r="Q6" s="5">
        <f>SUM(U6:V6)</f>
        <v/>
      </c>
      <c r="R6" s="5">
        <f>SUM(W6:X6)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IF(ISNUMBER(S6),IF(ISNUMBER(S7),IF(S6&gt;S7,1.0,IF(S6=S7,0.5,0.0)),0.5),0.5)</f>
        <v/>
      </c>
      <c r="V6">
        <f>IF(ISNUMBER(S6),IF(ISNUMBER(S8),IF(S6&gt;S8,1.0,IF(S6=S8,0.5,0.0)),0.5),0.5)</f>
        <v/>
      </c>
      <c r="W6">
        <f>IF(ISNUMBER(T6),IF(ISNUMBER(T7),IF(T6&gt;T7,1.0,IF(T6=T7,0.5,0.0)),0.5),0.5)</f>
        <v/>
      </c>
      <c r="X6">
        <f>IF(ISNUMBER(T6),IF(ISNUMBER(T8),IF(T6&gt;T8,1.0,IF(T6=T8,0.5,0.0)),0.5),0.5)</f>
        <v/>
      </c>
      <c r="Y6" s="14">
        <f>IF(AND(ISNUMBER(S6),ISNUMBER(S7)),VLOOKUP(ABS(S6-S7),'IMP Table'!$A$2:$C$26,3)*SIGN(S6-S7),0)</f>
        <v/>
      </c>
      <c r="Z6">
        <f>IF(AND(ISNUMBER(S6),ISNUMBER(S8)),VLOOKUP(ABS(S6-S8),'IMP Table'!$A$2:$C$26,3)*SIGN(S6-S8),0)</f>
        <v/>
      </c>
      <c r="AA6">
        <f>IF(AND(ISNUMBER(T6),ISNUMBER(T7)),VLOOKUP(ABS(T6-T7),'IMP Table'!$A$2:$C$26,3)*SIGN(T6-T7),0)</f>
        <v/>
      </c>
      <c r="AB6">
        <f>IF(AND(ISNUMBER(T6),ISNUMBER(T8)),VLOOKUP(ABS(T6-T8),'IMP Table'!$A$2:$C$26,3)*SIGN(T6-T8),0)</f>
        <v/>
      </c>
    </row>
    <row r="7">
      <c r="B7" s="10">
        <f>'By Round'!A21</f>
        <v/>
      </c>
      <c r="C7" s="10">
        <f>'By Round'!B27</f>
        <v/>
      </c>
      <c r="D7" s="10">
        <f>'By Round'!C27</f>
        <v/>
      </c>
      <c r="E7" s="10">
        <f>'By Round'!D27</f>
        <v/>
      </c>
      <c r="F7" s="10">
        <f>IF(ISBLANK('By Round'!F28),"",'By Round'!F28)</f>
        <v/>
      </c>
      <c r="G7">
        <f>IF(ISBLANK('By Round'!G28),"",'By Round'!G28)</f>
        <v/>
      </c>
      <c r="H7">
        <f>IF(ISBLANK('By Round'!H28),"",'By Round'!H28)</f>
        <v/>
      </c>
      <c r="I7">
        <f>IF(ISBLANK('By Round'!I28),"",'By Round'!I28)</f>
        <v/>
      </c>
      <c r="J7">
        <f>IF(ISBLANK('By Round'!J28),"",'By Round'!J28)</f>
        <v/>
      </c>
      <c r="K7">
        <f>IF(ISBLANK('By Round'!K28),"",'By Round'!K28)</f>
        <v/>
      </c>
      <c r="L7">
        <f>IF(ISBLANK('By Round'!L28),"",'By Round'!L28)</f>
        <v/>
      </c>
      <c r="M7" s="11">
        <f>AVERAGE(Y7:Z7)</f>
        <v/>
      </c>
      <c r="N7" s="12">
        <f>AVERAGE(AA7:AB7)</f>
        <v/>
      </c>
      <c r="O7" s="13">
        <f>IF(COUNT(U7:V7)&gt;0,Q7/COUNT(U7:V7),0.5)</f>
        <v/>
      </c>
      <c r="P7" s="13">
        <f>IF(COUNT(W7:X7)&gt;0,R7/COUNT(W7:X7),0.5)</f>
        <v/>
      </c>
      <c r="Q7" s="5">
        <f>SUM(U7:V7)</f>
        <v/>
      </c>
      <c r="R7" s="5">
        <f>SUM(W7:X7)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IF(ISNUMBER(S7),IF(ISNUMBER(S6),IF(S7&gt;S6,1.0,IF(S7=S6,0.5,0.0)),0.5),0.5)</f>
        <v/>
      </c>
      <c r="V7">
        <f>IF(ISNUMBER(S7),IF(ISNUMBER(S8),IF(S7&gt;S8,1.0,IF(S7=S8,0.5,0.0)),0.5),0.5)</f>
        <v/>
      </c>
      <c r="W7">
        <f>IF(ISNUMBER(T7),IF(ISNUMBER(T6),IF(T7&gt;T6,1.0,IF(T7=T6,0.5,0.0)),0.5),0.5)</f>
        <v/>
      </c>
      <c r="X7">
        <f>IF(ISNUMBER(T7),IF(ISNUMBER(T8),IF(T7&gt;T8,1.0,IF(T7=T8,0.5,0.0)),0.5),0.5)</f>
        <v/>
      </c>
      <c r="Y7" s="14">
        <f>IF(AND(ISNUMBER(S7),ISNUMBER(S6)),VLOOKUP(ABS(S7-S6),'IMP Table'!$A$2:$C$26,3)*SIGN(S7-S6),0)</f>
        <v/>
      </c>
      <c r="Z7">
        <f>IF(AND(ISNUMBER(S7),ISNUMBER(S8)),VLOOKUP(ABS(S7-S8),'IMP Table'!$A$2:$C$26,3)*SIGN(S7-S8),0)</f>
        <v/>
      </c>
      <c r="AA7">
        <f>IF(AND(ISNUMBER(T7),ISNUMBER(T6)),VLOOKUP(ABS(T7-T6),'IMP Table'!$A$2:$C$26,3)*SIGN(T7-T6),0)</f>
        <v/>
      </c>
      <c r="AB7">
        <f>IF(AND(ISNUMBER(T7),ISNUMBER(T8)),VLOOKUP(ABS(T7-T8),'IMP Table'!$A$2:$C$26,3)*SIGN(T7-T8),0)</f>
        <v/>
      </c>
    </row>
    <row r="8">
      <c r="A8" s="15" t="n"/>
      <c r="B8" s="16">
        <f>'By Round'!A30</f>
        <v/>
      </c>
      <c r="C8" s="16">
        <f>'By Round'!B36</f>
        <v/>
      </c>
      <c r="D8" s="16">
        <f>'By Round'!C36</f>
        <v/>
      </c>
      <c r="E8" s="16">
        <f>'By Round'!D36</f>
        <v/>
      </c>
      <c r="F8" s="16">
        <f>IF(ISBLANK('By Round'!F37),"",'By Round'!F37)</f>
        <v/>
      </c>
      <c r="G8" s="15">
        <f>IF(ISBLANK('By Round'!G37),"",'By Round'!G37)</f>
        <v/>
      </c>
      <c r="H8" s="15">
        <f>IF(ISBLANK('By Round'!H37),"",'By Round'!H37)</f>
        <v/>
      </c>
      <c r="I8" s="15">
        <f>IF(ISBLANK('By Round'!I37),"",'By Round'!I37)</f>
        <v/>
      </c>
      <c r="J8" s="15">
        <f>IF(ISBLANK('By Round'!J37),"",'By Round'!J37)</f>
        <v/>
      </c>
      <c r="K8" s="15">
        <f>IF(ISBLANK('By Round'!K37),"",'By Round'!K37)</f>
        <v/>
      </c>
      <c r="L8" s="15">
        <f>IF(ISBLANK('By Round'!L37),"",'By Round'!L37)</f>
        <v/>
      </c>
      <c r="M8" s="17">
        <f>AVERAGE(Y8:Z8)</f>
        <v/>
      </c>
      <c r="N8" s="18">
        <f>AVERAGE(AA8:AB8)</f>
        <v/>
      </c>
      <c r="O8" s="19">
        <f>IF(COUNT(U8:V8)&gt;0,Q8/COUNT(U8:V8),0.5)</f>
        <v/>
      </c>
      <c r="P8" s="19">
        <f>IF(COUNT(W8:X8)&gt;0,R8/COUNT(W8:X8),0.5)</f>
        <v/>
      </c>
      <c r="Q8" s="20">
        <f>SUM(U8:V8)</f>
        <v/>
      </c>
      <c r="R8" s="20">
        <f>SUM(W8:X8)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IF(ISNUMBER(S8),IF(ISNUMBER(S6),IF(S8&gt;S6,1.0,IF(S8=S6,0.5,0.0)),0.5),0.5)</f>
        <v/>
      </c>
      <c r="V8" s="15">
        <f>IF(ISNUMBER(S8),IF(ISNUMBER(S7),IF(S8&gt;S7,1.0,IF(S8=S7,0.5,0.0)),0.5),0.5)</f>
        <v/>
      </c>
      <c r="W8" s="15">
        <f>IF(ISNUMBER(T8),IF(ISNUMBER(T6),IF(T8&gt;T6,1.0,IF(T8=T6,0.5,0.0)),0.5),0.5)</f>
        <v/>
      </c>
      <c r="X8" s="15">
        <f>IF(ISNUMBER(T8),IF(ISNUMBER(T7),IF(T8&gt;T7,1.0,IF(T8=T7,0.5,0.0)),0.5),0.5)</f>
        <v/>
      </c>
      <c r="Y8" s="21">
        <f>IF(AND(ISNUMBER(S8),ISNUMBER(S6)),VLOOKUP(ABS(S8-S6),'IMP Table'!$A$2:$C$26,3)*SIGN(S8-S6),0)</f>
        <v/>
      </c>
      <c r="Z8" s="15">
        <f>IF(AND(ISNUMBER(S8),ISNUMBER(S7)),VLOOKUP(ABS(S8-S7),'IMP Table'!$A$2:$C$26,3)*SIGN(S8-S7),0)</f>
        <v/>
      </c>
      <c r="AA8" s="15">
        <f>IF(AND(ISNUMBER(T8),ISNUMBER(T6)),VLOOKUP(ABS(T8-T6),'IMP Table'!$A$2:$C$26,3)*SIGN(T8-T6),0)</f>
        <v/>
      </c>
      <c r="AB8" s="15">
        <f>IF(AND(ISNUMBER(T8),ISNUMBER(T7)),VLOOKUP(ABS(T8-T7),'IMP Table'!$A$2:$C$26,3)*SIGN(T8-T7),0)</f>
        <v/>
      </c>
    </row>
    <row r="9">
      <c r="A9" s="10" t="n">
        <v>3</v>
      </c>
      <c r="B9" s="10">
        <f>'By Round'!A3</f>
        <v/>
      </c>
      <c r="C9" s="10">
        <f>'By Round'!B3</f>
        <v/>
      </c>
      <c r="D9" s="10">
        <f>'By Round'!C3</f>
        <v/>
      </c>
      <c r="E9" s="10">
        <f>'By Round'!D3</f>
        <v/>
      </c>
      <c r="F9" s="10">
        <f>IF(ISBLANK('By Round'!F5),"",'By Round'!F5)</f>
        <v/>
      </c>
      <c r="G9">
        <f>IF(ISBLANK('By Round'!G5),"",'By Round'!G5)</f>
        <v/>
      </c>
      <c r="H9">
        <f>IF(ISBLANK('By Round'!H5),"",'By Round'!H5)</f>
        <v/>
      </c>
      <c r="I9">
        <f>IF(ISBLANK('By Round'!I5),"",'By Round'!I5)</f>
        <v/>
      </c>
      <c r="J9">
        <f>IF(ISBLANK('By Round'!J5),"",'By Round'!J5)</f>
        <v/>
      </c>
      <c r="K9">
        <f>IF(ISBLANK('By Round'!K5),"",'By Round'!K5)</f>
        <v/>
      </c>
      <c r="L9">
        <f>IF(ISBLANK('By Round'!L5),"",'By Round'!L5)</f>
        <v/>
      </c>
      <c r="M9" s="11">
        <f>AVERAGE(Y9:Z9)</f>
        <v/>
      </c>
      <c r="N9" s="12">
        <f>AVERAGE(AA9:AB9)</f>
        <v/>
      </c>
      <c r="O9" s="13">
        <f>IF(COUNT(U9:V9)&gt;0,Q9/COUNT(U9:V9),0.5)</f>
        <v/>
      </c>
      <c r="P9" s="13">
        <f>IF(COUNT(W9:X9)&gt;0,R9/COUNT(W9:X9),0.5)</f>
        <v/>
      </c>
      <c r="Q9" s="5">
        <f>SUM(U9:V9)</f>
        <v/>
      </c>
      <c r="R9" s="5">
        <f>SUM(W9:X9)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IF(ISNUMBER(S9),IF(ISNUMBER(S10),IF(S9&gt;S10,1.0,IF(S9=S10,0.5,0.0)),0.5),0.5)</f>
        <v/>
      </c>
      <c r="V9">
        <f>IF(ISNUMBER(S9),IF(ISNUMBER(S11),IF(S9&gt;S11,1.0,IF(S9=S11,0.5,0.0)),0.5),0.5)</f>
        <v/>
      </c>
      <c r="W9">
        <f>IF(ISNUMBER(T9),IF(ISNUMBER(T10),IF(T9&gt;T10,1.0,IF(T9=T10,0.5,0.0)),0.5),0.5)</f>
        <v/>
      </c>
      <c r="X9">
        <f>IF(ISNUMBER(T9),IF(ISNUMBER(T11),IF(T9&gt;T11,1.0,IF(T9=T11,0.5,0.0)),0.5),0.5)</f>
        <v/>
      </c>
      <c r="Y9" s="14">
        <f>IF(AND(ISNUMBER(S9),ISNUMBER(S10)),VLOOKUP(ABS(S9-S10),'IMP Table'!$A$2:$C$26,3)*SIGN(S9-S10),0)</f>
        <v/>
      </c>
      <c r="Z9">
        <f>IF(AND(ISNUMBER(S9),ISNUMBER(S11)),VLOOKUP(ABS(S9-S11),'IMP Table'!$A$2:$C$26,3)*SIGN(S9-S11),0)</f>
        <v/>
      </c>
      <c r="AA9">
        <f>IF(AND(ISNUMBER(T9),ISNUMBER(T10)),VLOOKUP(ABS(T9-T10),'IMP Table'!$A$2:$C$26,3)*SIGN(T9-T10),0)</f>
        <v/>
      </c>
      <c r="AB9">
        <f>IF(AND(ISNUMBER(T9),ISNUMBER(T11)),VLOOKUP(ABS(T9-T11),'IMP Table'!$A$2:$C$26,3)*SIGN(T9-T11),0)</f>
        <v/>
      </c>
    </row>
    <row r="10">
      <c r="B10" s="10">
        <f>'By Round'!A21</f>
        <v/>
      </c>
      <c r="C10" s="10">
        <f>'By Round'!B27</f>
        <v/>
      </c>
      <c r="D10" s="10">
        <f>'By Round'!C27</f>
        <v/>
      </c>
      <c r="E10" s="10">
        <f>'By Round'!D27</f>
        <v/>
      </c>
      <c r="F10" s="10">
        <f>IF(ISBLANK('By Round'!F29),"",'By Round'!F29)</f>
        <v/>
      </c>
      <c r="G10">
        <f>IF(ISBLANK('By Round'!G29),"",'By Round'!G29)</f>
        <v/>
      </c>
      <c r="H10">
        <f>IF(ISBLANK('By Round'!H29),"",'By Round'!H29)</f>
        <v/>
      </c>
      <c r="I10">
        <f>IF(ISBLANK('By Round'!I29),"",'By Round'!I29)</f>
        <v/>
      </c>
      <c r="J10">
        <f>IF(ISBLANK('By Round'!J29),"",'By Round'!J29)</f>
        <v/>
      </c>
      <c r="K10">
        <f>IF(ISBLANK('By Round'!K29),"",'By Round'!K29)</f>
        <v/>
      </c>
      <c r="L10">
        <f>IF(ISBLANK('By Round'!L29),"",'By Round'!L29)</f>
        <v/>
      </c>
      <c r="M10" s="11">
        <f>AVERAGE(Y10:Z10)</f>
        <v/>
      </c>
      <c r="N10" s="12">
        <f>AVERAGE(AA10:AB10)</f>
        <v/>
      </c>
      <c r="O10" s="13">
        <f>IF(COUNT(U10:V10)&gt;0,Q10/COUNT(U10:V10),0.5)</f>
        <v/>
      </c>
      <c r="P10" s="13">
        <f>IF(COUNT(W10:X10)&gt;0,R10/COUNT(W10:X10),0.5)</f>
        <v/>
      </c>
      <c r="Q10" s="5">
        <f>SUM(U10:V10)</f>
        <v/>
      </c>
      <c r="R10" s="5">
        <f>SUM(W10:X10)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IF(ISNUMBER(S10),IF(ISNUMBER(S9),IF(S10&gt;S9,1.0,IF(S10=S9,0.5,0.0)),0.5),0.5)</f>
        <v/>
      </c>
      <c r="V10">
        <f>IF(ISNUMBER(S10),IF(ISNUMBER(S11),IF(S10&gt;S11,1.0,IF(S10=S11,0.5,0.0)),0.5),0.5)</f>
        <v/>
      </c>
      <c r="W10">
        <f>IF(ISNUMBER(T10),IF(ISNUMBER(T9),IF(T10&gt;T9,1.0,IF(T10=T9,0.5,0.0)),0.5),0.5)</f>
        <v/>
      </c>
      <c r="X10">
        <f>IF(ISNUMBER(T10),IF(ISNUMBER(T11),IF(T10&gt;T11,1.0,IF(T10=T11,0.5,0.0)),0.5),0.5)</f>
        <v/>
      </c>
      <c r="Y10" s="14">
        <f>IF(AND(ISNUMBER(S10),ISNUMBER(S9)),VLOOKUP(ABS(S10-S9),'IMP Table'!$A$2:$C$26,3)*SIGN(S10-S9),0)</f>
        <v/>
      </c>
      <c r="Z10">
        <f>IF(AND(ISNUMBER(S10),ISNUMBER(S11)),VLOOKUP(ABS(S10-S11),'IMP Table'!$A$2:$C$26,3)*SIGN(S10-S11),0)</f>
        <v/>
      </c>
      <c r="AA10">
        <f>IF(AND(ISNUMBER(T10),ISNUMBER(T9)),VLOOKUP(ABS(T10-T9),'IMP Table'!$A$2:$C$26,3)*SIGN(T10-T9),0)</f>
        <v/>
      </c>
      <c r="AB10">
        <f>IF(AND(ISNUMBER(T10),ISNUMBER(T11)),VLOOKUP(ABS(T10-T11),'IMP Table'!$A$2:$C$26,3)*SIGN(T10-T11),0)</f>
        <v/>
      </c>
    </row>
    <row r="11">
      <c r="A11" s="15" t="n"/>
      <c r="B11" s="16">
        <f>'By Round'!A30</f>
        <v/>
      </c>
      <c r="C11" s="16">
        <f>'By Round'!B36</f>
        <v/>
      </c>
      <c r="D11" s="16">
        <f>'By Round'!C36</f>
        <v/>
      </c>
      <c r="E11" s="16">
        <f>'By Round'!D36</f>
        <v/>
      </c>
      <c r="F11" s="16">
        <f>IF(ISBLANK('By Round'!F38),"",'By Round'!F38)</f>
        <v/>
      </c>
      <c r="G11" s="15">
        <f>IF(ISBLANK('By Round'!G38),"",'By Round'!G38)</f>
        <v/>
      </c>
      <c r="H11" s="15">
        <f>IF(ISBLANK('By Round'!H38),"",'By Round'!H38)</f>
        <v/>
      </c>
      <c r="I11" s="15">
        <f>IF(ISBLANK('By Round'!I38),"",'By Round'!I38)</f>
        <v/>
      </c>
      <c r="J11" s="15">
        <f>IF(ISBLANK('By Round'!J38),"",'By Round'!J38)</f>
        <v/>
      </c>
      <c r="K11" s="15">
        <f>IF(ISBLANK('By Round'!K38),"",'By Round'!K38)</f>
        <v/>
      </c>
      <c r="L11" s="15">
        <f>IF(ISBLANK('By Round'!L38),"",'By Round'!L38)</f>
        <v/>
      </c>
      <c r="M11" s="17">
        <f>AVERAGE(Y11:Z11)</f>
        <v/>
      </c>
      <c r="N11" s="18">
        <f>AVERAGE(AA11:AB11)</f>
        <v/>
      </c>
      <c r="O11" s="19">
        <f>IF(COUNT(U11:V11)&gt;0,Q11/COUNT(U11:V11),0.5)</f>
        <v/>
      </c>
      <c r="P11" s="19">
        <f>IF(COUNT(W11:X11)&gt;0,R11/COUNT(W11:X11),0.5)</f>
        <v/>
      </c>
      <c r="Q11" s="20">
        <f>SUM(U11:V11)</f>
        <v/>
      </c>
      <c r="R11" s="20">
        <f>SUM(W11:X11)</f>
        <v/>
      </c>
      <c r="S11" s="21">
        <f>IF(ISNUMBER(K11),K11,IF(ISNUMBER(L11),-L11,""))</f>
        <v/>
      </c>
      <c r="T11" s="15">
        <f>IF(ISNUMBER(L11),L11,IF(ISNUMBER(K11),-K11,""))</f>
        <v/>
      </c>
      <c r="U11" s="21">
        <f>IF(ISNUMBER(S11),IF(ISNUMBER(S9),IF(S11&gt;S9,1.0,IF(S11=S9,0.5,0.0)),0.5),0.5)</f>
        <v/>
      </c>
      <c r="V11" s="15">
        <f>IF(ISNUMBER(S11),IF(ISNUMBER(S10),IF(S11&gt;S10,1.0,IF(S11=S10,0.5,0.0)),0.5),0.5)</f>
        <v/>
      </c>
      <c r="W11" s="15">
        <f>IF(ISNUMBER(T11),IF(ISNUMBER(T9),IF(T11&gt;T9,1.0,IF(T11=T9,0.5,0.0)),0.5),0.5)</f>
        <v/>
      </c>
      <c r="X11" s="15">
        <f>IF(ISNUMBER(T11),IF(ISNUMBER(T10),IF(T11&gt;T10,1.0,IF(T11=T10,0.5,0.0)),0.5),0.5)</f>
        <v/>
      </c>
      <c r="Y11" s="21">
        <f>IF(AND(ISNUMBER(S11),ISNUMBER(S9)),VLOOKUP(ABS(S11-S9),'IMP Table'!$A$2:$C$26,3)*SIGN(S11-S9),0)</f>
        <v/>
      </c>
      <c r="Z11" s="15">
        <f>IF(AND(ISNUMBER(S11),ISNUMBER(S10)),VLOOKUP(ABS(S11-S10),'IMP Table'!$A$2:$C$26,3)*SIGN(S11-S10),0)</f>
        <v/>
      </c>
      <c r="AA11" s="15">
        <f>IF(AND(ISNUMBER(T11),ISNUMBER(T9)),VLOOKUP(ABS(T11-T9),'IMP Table'!$A$2:$C$26,3)*SIGN(T11-T9),0)</f>
        <v/>
      </c>
      <c r="AB11" s="15">
        <f>IF(AND(ISNUMBER(T11),ISNUMBER(T10)),VLOOKUP(ABS(T11-T10),'IMP Table'!$A$2:$C$26,3)*SIGN(T11-T10),0)</f>
        <v/>
      </c>
    </row>
    <row r="12">
      <c r="A12" s="10" t="n">
        <v>4</v>
      </c>
      <c r="B12" s="10">
        <f>'By Round'!A12</f>
        <v/>
      </c>
      <c r="C12" s="10">
        <f>'By Round'!B12</f>
        <v/>
      </c>
      <c r="D12" s="10">
        <f>'By Round'!C12</f>
        <v/>
      </c>
      <c r="E12" s="10">
        <f>'By Round'!D12</f>
        <v/>
      </c>
      <c r="F12" s="10">
        <f>IF(ISBLANK('By Round'!F12),"",'By Round'!F12)</f>
        <v/>
      </c>
      <c r="G12">
        <f>IF(ISBLANK('By Round'!G12),"",'By Round'!G12)</f>
        <v/>
      </c>
      <c r="H12">
        <f>IF(ISBLANK('By Round'!H12),"",'By Round'!H12)</f>
        <v/>
      </c>
      <c r="I12">
        <f>IF(ISBLANK('By Round'!I12),"",'By Round'!I12)</f>
        <v/>
      </c>
      <c r="J12">
        <f>IF(ISBLANK('By Round'!J12),"",'By Round'!J12)</f>
        <v/>
      </c>
      <c r="K12">
        <f>IF(ISBLANK('By Round'!K12),"",'By Round'!K12)</f>
        <v/>
      </c>
      <c r="L12">
        <f>IF(ISBLANK('By Round'!L12),"",'By Round'!L12)</f>
        <v/>
      </c>
      <c r="M12" s="11">
        <f>AVERAGE(Y12:Z12)</f>
        <v/>
      </c>
      <c r="N12" s="12">
        <f>AVERAGE(AA12:AB12)</f>
        <v/>
      </c>
      <c r="O12" s="13">
        <f>IF(COUNT(U12:V12)&gt;0,Q12/COUNT(U12:V12),0.5)</f>
        <v/>
      </c>
      <c r="P12" s="13">
        <f>IF(COUNT(W12:X12)&gt;0,R12/COUNT(W12:X12),0.5)</f>
        <v/>
      </c>
      <c r="Q12" s="5">
        <f>SUM(U12:V12)</f>
        <v/>
      </c>
      <c r="R12" s="5">
        <f>SUM(W12:X12)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IF(ISNUMBER(S12),IF(ISNUMBER(S13),IF(S12&gt;S13,1.0,IF(S12=S13,0.5,0.0)),0.5),0.5)</f>
        <v/>
      </c>
      <c r="V12">
        <f>IF(ISNUMBER(S12),IF(ISNUMBER(S14),IF(S12&gt;S14,1.0,IF(S12=S14,0.5,0.0)),0.5),0.5)</f>
        <v/>
      </c>
      <c r="W12">
        <f>IF(ISNUMBER(T12),IF(ISNUMBER(T13),IF(T12&gt;T13,1.0,IF(T12=T13,0.5,0.0)),0.5),0.5)</f>
        <v/>
      </c>
      <c r="X12">
        <f>IF(ISNUMBER(T12),IF(ISNUMBER(T14),IF(T12&gt;T14,1.0,IF(T12=T14,0.5,0.0)),0.5),0.5)</f>
        <v/>
      </c>
      <c r="Y12" s="14">
        <f>IF(AND(ISNUMBER(S12),ISNUMBER(S13)),VLOOKUP(ABS(S12-S13),'IMP Table'!$A$2:$C$26,3)*SIGN(S12-S13),0)</f>
        <v/>
      </c>
      <c r="Z12">
        <f>IF(AND(ISNUMBER(S12),ISNUMBER(S14)),VLOOKUP(ABS(S12-S14),'IMP Table'!$A$2:$C$26,3)*SIGN(S12-S14),0)</f>
        <v/>
      </c>
      <c r="AA12">
        <f>IF(AND(ISNUMBER(T12),ISNUMBER(T13)),VLOOKUP(ABS(T12-T13),'IMP Table'!$A$2:$C$26,3)*SIGN(T12-T13),0)</f>
        <v/>
      </c>
      <c r="AB12">
        <f>IF(AND(ISNUMBER(T12),ISNUMBER(T14)),VLOOKUP(ABS(T12-T14),'IMP Table'!$A$2:$C$26,3)*SIGN(T12-T14),0)</f>
        <v/>
      </c>
    </row>
    <row r="13">
      <c r="B13" s="10">
        <f>'By Round'!A3</f>
        <v/>
      </c>
      <c r="C13" s="10">
        <f>'By Round'!B6</f>
        <v/>
      </c>
      <c r="D13" s="10">
        <f>'By Round'!C6</f>
        <v/>
      </c>
      <c r="E13" s="10">
        <f>'By Round'!D6</f>
        <v/>
      </c>
      <c r="F13" s="10">
        <f>IF(ISBLANK('By Round'!F6),"",'By Round'!F6)</f>
        <v/>
      </c>
      <c r="G13">
        <f>IF(ISBLANK('By Round'!G6),"",'By Round'!G6)</f>
        <v/>
      </c>
      <c r="H13">
        <f>IF(ISBLANK('By Round'!H6),"",'By Round'!H6)</f>
        <v/>
      </c>
      <c r="I13">
        <f>IF(ISBLANK('By Round'!I6),"",'By Round'!I6)</f>
        <v/>
      </c>
      <c r="J13">
        <f>IF(ISBLANK('By Round'!J6),"",'By Round'!J6)</f>
        <v/>
      </c>
      <c r="K13">
        <f>IF(ISBLANK('By Round'!K6),"",'By Round'!K6)</f>
        <v/>
      </c>
      <c r="L13">
        <f>IF(ISBLANK('By Round'!L6),"",'By Round'!L6)</f>
        <v/>
      </c>
      <c r="M13" s="11">
        <f>AVERAGE(Y13:Z13)</f>
        <v/>
      </c>
      <c r="N13" s="12">
        <f>AVERAGE(AA13:AB13)</f>
        <v/>
      </c>
      <c r="O13" s="13">
        <f>IF(COUNT(U13:V13)&gt;0,Q13/COUNT(U13:V13),0.5)</f>
        <v/>
      </c>
      <c r="P13" s="13">
        <f>IF(COUNT(W13:X13)&gt;0,R13/COUNT(W13:X13),0.5)</f>
        <v/>
      </c>
      <c r="Q13" s="5">
        <f>SUM(U13:V13)</f>
        <v/>
      </c>
      <c r="R13" s="5">
        <f>SUM(W13:X13)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IF(ISNUMBER(S13),IF(ISNUMBER(S12),IF(S13&gt;S12,1.0,IF(S13=S12,0.5,0.0)),0.5),0.5)</f>
        <v/>
      </c>
      <c r="V13">
        <f>IF(ISNUMBER(S13),IF(ISNUMBER(S14),IF(S13&gt;S14,1.0,IF(S13=S14,0.5,0.0)),0.5),0.5)</f>
        <v/>
      </c>
      <c r="W13">
        <f>IF(ISNUMBER(T13),IF(ISNUMBER(T12),IF(T13&gt;T12,1.0,IF(T13=T12,0.5,0.0)),0.5),0.5)</f>
        <v/>
      </c>
      <c r="X13">
        <f>IF(ISNUMBER(T13),IF(ISNUMBER(T14),IF(T13&gt;T14,1.0,IF(T13=T14,0.5,0.0)),0.5),0.5)</f>
        <v/>
      </c>
      <c r="Y13" s="14">
        <f>IF(AND(ISNUMBER(S13),ISNUMBER(S12)),VLOOKUP(ABS(S13-S12),'IMP Table'!$A$2:$C$26,3)*SIGN(S13-S12),0)</f>
        <v/>
      </c>
      <c r="Z13">
        <f>IF(AND(ISNUMBER(S13),ISNUMBER(S14)),VLOOKUP(ABS(S13-S14),'IMP Table'!$A$2:$C$26,3)*SIGN(S13-S14),0)</f>
        <v/>
      </c>
      <c r="AA13">
        <f>IF(AND(ISNUMBER(T13),ISNUMBER(T12)),VLOOKUP(ABS(T13-T12),'IMP Table'!$A$2:$C$26,3)*SIGN(T13-T12),0)</f>
        <v/>
      </c>
      <c r="AB13">
        <f>IF(AND(ISNUMBER(T13),ISNUMBER(T14)),VLOOKUP(ABS(T13-T14),'IMP Table'!$A$2:$C$26,3)*SIGN(T13-T14),0)</f>
        <v/>
      </c>
    </row>
    <row r="14">
      <c r="A14" s="15" t="n"/>
      <c r="B14" s="16">
        <f>'By Round'!A21</f>
        <v/>
      </c>
      <c r="C14" s="16">
        <f>'By Round'!B24</f>
        <v/>
      </c>
      <c r="D14" s="16">
        <f>'By Round'!C24</f>
        <v/>
      </c>
      <c r="E14" s="16">
        <f>'By Round'!D24</f>
        <v/>
      </c>
      <c r="F14" s="16">
        <f>IF(ISBLANK('By Round'!F24),"",'By Round'!F24)</f>
        <v/>
      </c>
      <c r="G14" s="15">
        <f>IF(ISBLANK('By Round'!G24),"",'By Round'!G24)</f>
        <v/>
      </c>
      <c r="H14" s="15">
        <f>IF(ISBLANK('By Round'!H24),"",'By Round'!H24)</f>
        <v/>
      </c>
      <c r="I14" s="15">
        <f>IF(ISBLANK('By Round'!I24),"",'By Round'!I24)</f>
        <v/>
      </c>
      <c r="J14" s="15">
        <f>IF(ISBLANK('By Round'!J24),"",'By Round'!J24)</f>
        <v/>
      </c>
      <c r="K14" s="15">
        <f>IF(ISBLANK('By Round'!K24),"",'By Round'!K24)</f>
        <v/>
      </c>
      <c r="L14" s="15">
        <f>IF(ISBLANK('By Round'!L24),"",'By Round'!L24)</f>
        <v/>
      </c>
      <c r="M14" s="17">
        <f>AVERAGE(Y14:Z14)</f>
        <v/>
      </c>
      <c r="N14" s="18">
        <f>AVERAGE(AA14:AB14)</f>
        <v/>
      </c>
      <c r="O14" s="19">
        <f>IF(COUNT(U14:V14)&gt;0,Q14/COUNT(U14:V14),0.5)</f>
        <v/>
      </c>
      <c r="P14" s="19">
        <f>IF(COUNT(W14:X14)&gt;0,R14/COUNT(W14:X14),0.5)</f>
        <v/>
      </c>
      <c r="Q14" s="20">
        <f>SUM(U14:V14)</f>
        <v/>
      </c>
      <c r="R14" s="20">
        <f>SUM(W14:X14)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IF(ISNUMBER(S14),IF(ISNUMBER(S12),IF(S14&gt;S12,1.0,IF(S14=S12,0.5,0.0)),0.5),0.5)</f>
        <v/>
      </c>
      <c r="V14" s="15">
        <f>IF(ISNUMBER(S14),IF(ISNUMBER(S13),IF(S14&gt;S13,1.0,IF(S14=S13,0.5,0.0)),0.5),0.5)</f>
        <v/>
      </c>
      <c r="W14" s="15">
        <f>IF(ISNUMBER(T14),IF(ISNUMBER(T12),IF(T14&gt;T12,1.0,IF(T14=T12,0.5,0.0)),0.5),0.5)</f>
        <v/>
      </c>
      <c r="X14" s="15">
        <f>IF(ISNUMBER(T14),IF(ISNUMBER(T13),IF(T14&gt;T13,1.0,IF(T14=T13,0.5,0.0)),0.5),0.5)</f>
        <v/>
      </c>
      <c r="Y14" s="21">
        <f>IF(AND(ISNUMBER(S14),ISNUMBER(S12)),VLOOKUP(ABS(S14-S12),'IMP Table'!$A$2:$C$26,3)*SIGN(S14-S12),0)</f>
        <v/>
      </c>
      <c r="Z14" s="15">
        <f>IF(AND(ISNUMBER(S14),ISNUMBER(S13)),VLOOKUP(ABS(S14-S13),'IMP Table'!$A$2:$C$26,3)*SIGN(S14-S13),0)</f>
        <v/>
      </c>
      <c r="AA14" s="15">
        <f>IF(AND(ISNUMBER(T14),ISNUMBER(T12)),VLOOKUP(ABS(T14-T12),'IMP Table'!$A$2:$C$26,3)*SIGN(T14-T12),0)</f>
        <v/>
      </c>
      <c r="AB14" s="15">
        <f>IF(AND(ISNUMBER(T14),ISNUMBER(T13)),VLOOKUP(ABS(T14-T13),'IMP Table'!$A$2:$C$26,3)*SIGN(T14-T13),0)</f>
        <v/>
      </c>
    </row>
    <row r="15">
      <c r="A15" s="10" t="n">
        <v>5</v>
      </c>
      <c r="B15" s="10">
        <f>'By Round'!A12</f>
        <v/>
      </c>
      <c r="C15" s="10">
        <f>'By Round'!B12</f>
        <v/>
      </c>
      <c r="D15" s="10">
        <f>'By Round'!C12</f>
        <v/>
      </c>
      <c r="E15" s="10">
        <f>'By Round'!D12</f>
        <v/>
      </c>
      <c r="F15" s="10">
        <f>IF(ISBLANK('By Round'!F13),"",'By Round'!F13)</f>
        <v/>
      </c>
      <c r="G15">
        <f>IF(ISBLANK('By Round'!G13),"",'By Round'!G13)</f>
        <v/>
      </c>
      <c r="H15">
        <f>IF(ISBLANK('By Round'!H13),"",'By Round'!H13)</f>
        <v/>
      </c>
      <c r="I15">
        <f>IF(ISBLANK('By Round'!I13),"",'By Round'!I13)</f>
        <v/>
      </c>
      <c r="J15">
        <f>IF(ISBLANK('By Round'!J13),"",'By Round'!J13)</f>
        <v/>
      </c>
      <c r="K15">
        <f>IF(ISBLANK('By Round'!K13),"",'By Round'!K13)</f>
        <v/>
      </c>
      <c r="L15">
        <f>IF(ISBLANK('By Round'!L13),"",'By Round'!L13)</f>
        <v/>
      </c>
      <c r="M15" s="11">
        <f>AVERAGE(Y15:Z15)</f>
        <v/>
      </c>
      <c r="N15" s="12">
        <f>AVERAGE(AA15:AB15)</f>
        <v/>
      </c>
      <c r="O15" s="13">
        <f>IF(COUNT(U15:V15)&gt;0,Q15/COUNT(U15:V15),0.5)</f>
        <v/>
      </c>
      <c r="P15" s="13">
        <f>IF(COUNT(W15:X15)&gt;0,R15/COUNT(W15:X15),0.5)</f>
        <v/>
      </c>
      <c r="Q15" s="5">
        <f>SUM(U15:V15)</f>
        <v/>
      </c>
      <c r="R15" s="5">
        <f>SUM(W15:X15)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IF(ISNUMBER(S15),IF(ISNUMBER(S16),IF(S15&gt;S16,1.0,IF(S15=S16,0.5,0.0)),0.5),0.5)</f>
        <v/>
      </c>
      <c r="V15">
        <f>IF(ISNUMBER(S15),IF(ISNUMBER(S17),IF(S15&gt;S17,1.0,IF(S15=S17,0.5,0.0)),0.5),0.5)</f>
        <v/>
      </c>
      <c r="W15">
        <f>IF(ISNUMBER(T15),IF(ISNUMBER(T16),IF(T15&gt;T16,1.0,IF(T15=T16,0.5,0.0)),0.5),0.5)</f>
        <v/>
      </c>
      <c r="X15">
        <f>IF(ISNUMBER(T15),IF(ISNUMBER(T17),IF(T15&gt;T17,1.0,IF(T15=T17,0.5,0.0)),0.5),0.5)</f>
        <v/>
      </c>
      <c r="Y15" s="14">
        <f>IF(AND(ISNUMBER(S15),ISNUMBER(S16)),VLOOKUP(ABS(S15-S16),'IMP Table'!$A$2:$C$26,3)*SIGN(S15-S16),0)</f>
        <v/>
      </c>
      <c r="Z15">
        <f>IF(AND(ISNUMBER(S15),ISNUMBER(S17)),VLOOKUP(ABS(S15-S17),'IMP Table'!$A$2:$C$26,3)*SIGN(S15-S17),0)</f>
        <v/>
      </c>
      <c r="AA15">
        <f>IF(AND(ISNUMBER(T15),ISNUMBER(T16)),VLOOKUP(ABS(T15-T16),'IMP Table'!$A$2:$C$26,3)*SIGN(T15-T16),0)</f>
        <v/>
      </c>
      <c r="AB15">
        <f>IF(AND(ISNUMBER(T15),ISNUMBER(T17)),VLOOKUP(ABS(T15-T17),'IMP Table'!$A$2:$C$26,3)*SIGN(T15-T17),0)</f>
        <v/>
      </c>
    </row>
    <row r="16">
      <c r="B16" s="10">
        <f>'By Round'!A3</f>
        <v/>
      </c>
      <c r="C16" s="10">
        <f>'By Round'!B6</f>
        <v/>
      </c>
      <c r="D16" s="10">
        <f>'By Round'!C6</f>
        <v/>
      </c>
      <c r="E16" s="10">
        <f>'By Round'!D6</f>
        <v/>
      </c>
      <c r="F16" s="10">
        <f>IF(ISBLANK('By Round'!F7),"",'By Round'!F7)</f>
        <v/>
      </c>
      <c r="G16">
        <f>IF(ISBLANK('By Round'!G7),"",'By Round'!G7)</f>
        <v/>
      </c>
      <c r="H16">
        <f>IF(ISBLANK('By Round'!H7),"",'By Round'!H7)</f>
        <v/>
      </c>
      <c r="I16">
        <f>IF(ISBLANK('By Round'!I7),"",'By Round'!I7)</f>
        <v/>
      </c>
      <c r="J16">
        <f>IF(ISBLANK('By Round'!J7),"",'By Round'!J7)</f>
        <v/>
      </c>
      <c r="K16">
        <f>IF(ISBLANK('By Round'!K7),"",'By Round'!K7)</f>
        <v/>
      </c>
      <c r="L16">
        <f>IF(ISBLANK('By Round'!L7),"",'By Round'!L7)</f>
        <v/>
      </c>
      <c r="M16" s="11">
        <f>AVERAGE(Y16:Z16)</f>
        <v/>
      </c>
      <c r="N16" s="12">
        <f>AVERAGE(AA16:AB16)</f>
        <v/>
      </c>
      <c r="O16" s="13">
        <f>IF(COUNT(U16:V16)&gt;0,Q16/COUNT(U16:V16),0.5)</f>
        <v/>
      </c>
      <c r="P16" s="13">
        <f>IF(COUNT(W16:X16)&gt;0,R16/COUNT(W16:X16),0.5)</f>
        <v/>
      </c>
      <c r="Q16" s="5">
        <f>SUM(U16:V16)</f>
        <v/>
      </c>
      <c r="R16" s="5">
        <f>SUM(W16:X16)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IF(ISNUMBER(S16),IF(ISNUMBER(S15),IF(S16&gt;S15,1.0,IF(S16=S15,0.5,0.0)),0.5),0.5)</f>
        <v/>
      </c>
      <c r="V16">
        <f>IF(ISNUMBER(S16),IF(ISNUMBER(S17),IF(S16&gt;S17,1.0,IF(S16=S17,0.5,0.0)),0.5),0.5)</f>
        <v/>
      </c>
      <c r="W16">
        <f>IF(ISNUMBER(T16),IF(ISNUMBER(T15),IF(T16&gt;T15,1.0,IF(T16=T15,0.5,0.0)),0.5),0.5)</f>
        <v/>
      </c>
      <c r="X16">
        <f>IF(ISNUMBER(T16),IF(ISNUMBER(T17),IF(T16&gt;T17,1.0,IF(T16=T17,0.5,0.0)),0.5),0.5)</f>
        <v/>
      </c>
      <c r="Y16" s="14">
        <f>IF(AND(ISNUMBER(S16),ISNUMBER(S15)),VLOOKUP(ABS(S16-S15),'IMP Table'!$A$2:$C$26,3)*SIGN(S16-S15),0)</f>
        <v/>
      </c>
      <c r="Z16">
        <f>IF(AND(ISNUMBER(S16),ISNUMBER(S17)),VLOOKUP(ABS(S16-S17),'IMP Table'!$A$2:$C$26,3)*SIGN(S16-S17),0)</f>
        <v/>
      </c>
      <c r="AA16">
        <f>IF(AND(ISNUMBER(T16),ISNUMBER(T15)),VLOOKUP(ABS(T16-T15),'IMP Table'!$A$2:$C$26,3)*SIGN(T16-T15),0)</f>
        <v/>
      </c>
      <c r="AB16">
        <f>IF(AND(ISNUMBER(T16),ISNUMBER(T17)),VLOOKUP(ABS(T16-T17),'IMP Table'!$A$2:$C$26,3)*SIGN(T16-T17),0)</f>
        <v/>
      </c>
    </row>
    <row r="17">
      <c r="A17" s="15" t="n"/>
      <c r="B17" s="16">
        <f>'By Round'!A21</f>
        <v/>
      </c>
      <c r="C17" s="16">
        <f>'By Round'!B24</f>
        <v/>
      </c>
      <c r="D17" s="16">
        <f>'By Round'!C24</f>
        <v/>
      </c>
      <c r="E17" s="16">
        <f>'By Round'!D24</f>
        <v/>
      </c>
      <c r="F17" s="16">
        <f>IF(ISBLANK('By Round'!F25),"",'By Round'!F25)</f>
        <v/>
      </c>
      <c r="G17" s="15">
        <f>IF(ISBLANK('By Round'!G25),"",'By Round'!G25)</f>
        <v/>
      </c>
      <c r="H17" s="15">
        <f>IF(ISBLANK('By Round'!H25),"",'By Round'!H25)</f>
        <v/>
      </c>
      <c r="I17" s="15">
        <f>IF(ISBLANK('By Round'!I25),"",'By Round'!I25)</f>
        <v/>
      </c>
      <c r="J17" s="15">
        <f>IF(ISBLANK('By Round'!J25),"",'By Round'!J25)</f>
        <v/>
      </c>
      <c r="K17" s="15">
        <f>IF(ISBLANK('By Round'!K25),"",'By Round'!K25)</f>
        <v/>
      </c>
      <c r="L17" s="15">
        <f>IF(ISBLANK('By Round'!L25),"",'By Round'!L25)</f>
        <v/>
      </c>
      <c r="M17" s="17">
        <f>AVERAGE(Y17:Z17)</f>
        <v/>
      </c>
      <c r="N17" s="18">
        <f>AVERAGE(AA17:AB17)</f>
        <v/>
      </c>
      <c r="O17" s="19">
        <f>IF(COUNT(U17:V17)&gt;0,Q17/COUNT(U17:V17),0.5)</f>
        <v/>
      </c>
      <c r="P17" s="19">
        <f>IF(COUNT(W17:X17)&gt;0,R17/COUNT(W17:X17),0.5)</f>
        <v/>
      </c>
      <c r="Q17" s="20">
        <f>SUM(U17:V17)</f>
        <v/>
      </c>
      <c r="R17" s="20">
        <f>SUM(W17:X17)</f>
        <v/>
      </c>
      <c r="S17" s="21">
        <f>IF(ISNUMBER(K17),K17,IF(ISNUMBER(L17),-L17,""))</f>
        <v/>
      </c>
      <c r="T17" s="15">
        <f>IF(ISNUMBER(L17),L17,IF(ISNUMBER(K17),-K17,""))</f>
        <v/>
      </c>
      <c r="U17" s="21">
        <f>IF(ISNUMBER(S17),IF(ISNUMBER(S15),IF(S17&gt;S15,1.0,IF(S17=S15,0.5,0.0)),0.5),0.5)</f>
        <v/>
      </c>
      <c r="V17" s="15">
        <f>IF(ISNUMBER(S17),IF(ISNUMBER(S16),IF(S17&gt;S16,1.0,IF(S17=S16,0.5,0.0)),0.5),0.5)</f>
        <v/>
      </c>
      <c r="W17" s="15">
        <f>IF(ISNUMBER(T17),IF(ISNUMBER(T15),IF(T17&gt;T15,1.0,IF(T17=T15,0.5,0.0)),0.5),0.5)</f>
        <v/>
      </c>
      <c r="X17" s="15">
        <f>IF(ISNUMBER(T17),IF(ISNUMBER(T16),IF(T17&gt;T16,1.0,IF(T17=T16,0.5,0.0)),0.5),0.5)</f>
        <v/>
      </c>
      <c r="Y17" s="21">
        <f>IF(AND(ISNUMBER(S17),ISNUMBER(S15)),VLOOKUP(ABS(S17-S15),'IMP Table'!$A$2:$C$26,3)*SIGN(S17-S15),0)</f>
        <v/>
      </c>
      <c r="Z17" s="15">
        <f>IF(AND(ISNUMBER(S17),ISNUMBER(S16)),VLOOKUP(ABS(S17-S16),'IMP Table'!$A$2:$C$26,3)*SIGN(S17-S16),0)</f>
        <v/>
      </c>
      <c r="AA17" s="15">
        <f>IF(AND(ISNUMBER(T17),ISNUMBER(T15)),VLOOKUP(ABS(T17-T15),'IMP Table'!$A$2:$C$26,3)*SIGN(T17-T15),0)</f>
        <v/>
      </c>
      <c r="AB17" s="15">
        <f>IF(AND(ISNUMBER(T17),ISNUMBER(T16)),VLOOKUP(ABS(T17-T16),'IMP Table'!$A$2:$C$26,3)*SIGN(T17-T16),0)</f>
        <v/>
      </c>
    </row>
    <row r="18">
      <c r="A18" s="10" t="n">
        <v>6</v>
      </c>
      <c r="B18" s="10">
        <f>'By Round'!A12</f>
        <v/>
      </c>
      <c r="C18" s="10">
        <f>'By Round'!B12</f>
        <v/>
      </c>
      <c r="D18" s="10">
        <f>'By Round'!C12</f>
        <v/>
      </c>
      <c r="E18" s="10">
        <f>'By Round'!D12</f>
        <v/>
      </c>
      <c r="F18" s="10">
        <f>IF(ISBLANK('By Round'!F14),"",'By Round'!F14)</f>
        <v/>
      </c>
      <c r="G18">
        <f>IF(ISBLANK('By Round'!G14),"",'By Round'!G14)</f>
        <v/>
      </c>
      <c r="H18">
        <f>IF(ISBLANK('By Round'!H14),"",'By Round'!H14)</f>
        <v/>
      </c>
      <c r="I18">
        <f>IF(ISBLANK('By Round'!I14),"",'By Round'!I14)</f>
        <v/>
      </c>
      <c r="J18">
        <f>IF(ISBLANK('By Round'!J14),"",'By Round'!J14)</f>
        <v/>
      </c>
      <c r="K18">
        <f>IF(ISBLANK('By Round'!K14),"",'By Round'!K14)</f>
        <v/>
      </c>
      <c r="L18">
        <f>IF(ISBLANK('By Round'!L14),"",'By Round'!L14)</f>
        <v/>
      </c>
      <c r="M18" s="11">
        <f>AVERAGE(Y18:Z18)</f>
        <v/>
      </c>
      <c r="N18" s="12">
        <f>AVERAGE(AA18:AB18)</f>
        <v/>
      </c>
      <c r="O18" s="13">
        <f>IF(COUNT(U18:V18)&gt;0,Q18/COUNT(U18:V18),0.5)</f>
        <v/>
      </c>
      <c r="P18" s="13">
        <f>IF(COUNT(W18:X18)&gt;0,R18/COUNT(W18:X18),0.5)</f>
        <v/>
      </c>
      <c r="Q18" s="5">
        <f>SUM(U18:V18)</f>
        <v/>
      </c>
      <c r="R18" s="5">
        <f>SUM(W18:X18)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IF(ISNUMBER(S18),IF(ISNUMBER(S19),IF(S18&gt;S19,1.0,IF(S18=S19,0.5,0.0)),0.5),0.5)</f>
        <v/>
      </c>
      <c r="V18">
        <f>IF(ISNUMBER(S18),IF(ISNUMBER(S20),IF(S18&gt;S20,1.0,IF(S18=S20,0.5,0.0)),0.5),0.5)</f>
        <v/>
      </c>
      <c r="W18">
        <f>IF(ISNUMBER(T18),IF(ISNUMBER(T19),IF(T18&gt;T19,1.0,IF(T18=T19,0.5,0.0)),0.5),0.5)</f>
        <v/>
      </c>
      <c r="X18">
        <f>IF(ISNUMBER(T18),IF(ISNUMBER(T20),IF(T18&gt;T20,1.0,IF(T18=T20,0.5,0.0)),0.5),0.5)</f>
        <v/>
      </c>
      <c r="Y18" s="14">
        <f>IF(AND(ISNUMBER(S18),ISNUMBER(S19)),VLOOKUP(ABS(S18-S19),'IMP Table'!$A$2:$C$26,3)*SIGN(S18-S19),0)</f>
        <v/>
      </c>
      <c r="Z18">
        <f>IF(AND(ISNUMBER(S18),ISNUMBER(S20)),VLOOKUP(ABS(S18-S20),'IMP Table'!$A$2:$C$26,3)*SIGN(S18-S20),0)</f>
        <v/>
      </c>
      <c r="AA18">
        <f>IF(AND(ISNUMBER(T18),ISNUMBER(T19)),VLOOKUP(ABS(T18-T19),'IMP Table'!$A$2:$C$26,3)*SIGN(T18-T19),0)</f>
        <v/>
      </c>
      <c r="AB18">
        <f>IF(AND(ISNUMBER(T18),ISNUMBER(T20)),VLOOKUP(ABS(T18-T20),'IMP Table'!$A$2:$C$26,3)*SIGN(T18-T20),0)</f>
        <v/>
      </c>
    </row>
    <row r="19">
      <c r="B19" s="10">
        <f>'By Round'!A3</f>
        <v/>
      </c>
      <c r="C19" s="10">
        <f>'By Round'!B6</f>
        <v/>
      </c>
      <c r="D19" s="10">
        <f>'By Round'!C6</f>
        <v/>
      </c>
      <c r="E19" s="10">
        <f>'By Round'!D6</f>
        <v/>
      </c>
      <c r="F19" s="10">
        <f>IF(ISBLANK('By Round'!F8),"",'By Round'!F8)</f>
        <v/>
      </c>
      <c r="G19">
        <f>IF(ISBLANK('By Round'!G8),"",'By Round'!G8)</f>
        <v/>
      </c>
      <c r="H19">
        <f>IF(ISBLANK('By Round'!H8),"",'By Round'!H8)</f>
        <v/>
      </c>
      <c r="I19">
        <f>IF(ISBLANK('By Round'!I8),"",'By Round'!I8)</f>
        <v/>
      </c>
      <c r="J19">
        <f>IF(ISBLANK('By Round'!J8),"",'By Round'!J8)</f>
        <v/>
      </c>
      <c r="K19">
        <f>IF(ISBLANK('By Round'!K8),"",'By Round'!K8)</f>
        <v/>
      </c>
      <c r="L19">
        <f>IF(ISBLANK('By Round'!L8),"",'By Round'!L8)</f>
        <v/>
      </c>
      <c r="M19" s="11">
        <f>AVERAGE(Y19:Z19)</f>
        <v/>
      </c>
      <c r="N19" s="12">
        <f>AVERAGE(AA19:AB19)</f>
        <v/>
      </c>
      <c r="O19" s="13">
        <f>IF(COUNT(U19:V19)&gt;0,Q19/COUNT(U19:V19),0.5)</f>
        <v/>
      </c>
      <c r="P19" s="13">
        <f>IF(COUNT(W19:X19)&gt;0,R19/COUNT(W19:X19),0.5)</f>
        <v/>
      </c>
      <c r="Q19" s="5">
        <f>SUM(U19:V19)</f>
        <v/>
      </c>
      <c r="R19" s="5">
        <f>SUM(W19:X19)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IF(ISNUMBER(S19),IF(ISNUMBER(S18),IF(S19&gt;S18,1.0,IF(S19=S18,0.5,0.0)),0.5),0.5)</f>
        <v/>
      </c>
      <c r="V19">
        <f>IF(ISNUMBER(S19),IF(ISNUMBER(S20),IF(S19&gt;S20,1.0,IF(S19=S20,0.5,0.0)),0.5),0.5)</f>
        <v/>
      </c>
      <c r="W19">
        <f>IF(ISNUMBER(T19),IF(ISNUMBER(T18),IF(T19&gt;T18,1.0,IF(T19=T18,0.5,0.0)),0.5),0.5)</f>
        <v/>
      </c>
      <c r="X19">
        <f>IF(ISNUMBER(T19),IF(ISNUMBER(T20),IF(T19&gt;T20,1.0,IF(T19=T20,0.5,0.0)),0.5),0.5)</f>
        <v/>
      </c>
      <c r="Y19" s="14">
        <f>IF(AND(ISNUMBER(S19),ISNUMBER(S18)),VLOOKUP(ABS(S19-S18),'IMP Table'!$A$2:$C$26,3)*SIGN(S19-S18),0)</f>
        <v/>
      </c>
      <c r="Z19">
        <f>IF(AND(ISNUMBER(S19),ISNUMBER(S20)),VLOOKUP(ABS(S19-S20),'IMP Table'!$A$2:$C$26,3)*SIGN(S19-S20),0)</f>
        <v/>
      </c>
      <c r="AA19">
        <f>IF(AND(ISNUMBER(T19),ISNUMBER(T18)),VLOOKUP(ABS(T19-T18),'IMP Table'!$A$2:$C$26,3)*SIGN(T19-T18),0)</f>
        <v/>
      </c>
      <c r="AB19">
        <f>IF(AND(ISNUMBER(T19),ISNUMBER(T20)),VLOOKUP(ABS(T19-T20),'IMP Table'!$A$2:$C$26,3)*SIGN(T19-T20),0)</f>
        <v/>
      </c>
    </row>
    <row r="20">
      <c r="A20" s="15" t="n"/>
      <c r="B20" s="16">
        <f>'By Round'!A21</f>
        <v/>
      </c>
      <c r="C20" s="16">
        <f>'By Round'!B24</f>
        <v/>
      </c>
      <c r="D20" s="16">
        <f>'By Round'!C24</f>
        <v/>
      </c>
      <c r="E20" s="16">
        <f>'By Round'!D24</f>
        <v/>
      </c>
      <c r="F20" s="16">
        <f>IF(ISBLANK('By Round'!F26),"",'By Round'!F26)</f>
        <v/>
      </c>
      <c r="G20" s="15">
        <f>IF(ISBLANK('By Round'!G26),"",'By Round'!G26)</f>
        <v/>
      </c>
      <c r="H20" s="15">
        <f>IF(ISBLANK('By Round'!H26),"",'By Round'!H26)</f>
        <v/>
      </c>
      <c r="I20" s="15">
        <f>IF(ISBLANK('By Round'!I26),"",'By Round'!I26)</f>
        <v/>
      </c>
      <c r="J20" s="15">
        <f>IF(ISBLANK('By Round'!J26),"",'By Round'!J26)</f>
        <v/>
      </c>
      <c r="K20" s="15">
        <f>IF(ISBLANK('By Round'!K26),"",'By Round'!K26)</f>
        <v/>
      </c>
      <c r="L20" s="15">
        <f>IF(ISBLANK('By Round'!L26),"",'By Round'!L26)</f>
        <v/>
      </c>
      <c r="M20" s="17">
        <f>AVERAGE(Y20:Z20)</f>
        <v/>
      </c>
      <c r="N20" s="18">
        <f>AVERAGE(AA20:AB20)</f>
        <v/>
      </c>
      <c r="O20" s="19">
        <f>IF(COUNT(U20:V20)&gt;0,Q20/COUNT(U20:V20),0.5)</f>
        <v/>
      </c>
      <c r="P20" s="19">
        <f>IF(COUNT(W20:X20)&gt;0,R20/COUNT(W20:X20),0.5)</f>
        <v/>
      </c>
      <c r="Q20" s="20">
        <f>SUM(U20:V20)</f>
        <v/>
      </c>
      <c r="R20" s="20">
        <f>SUM(W20:X20)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IF(ISNUMBER(S20),IF(ISNUMBER(S18),IF(S20&gt;S18,1.0,IF(S20=S18,0.5,0.0)),0.5),0.5)</f>
        <v/>
      </c>
      <c r="V20" s="15">
        <f>IF(ISNUMBER(S20),IF(ISNUMBER(S19),IF(S20&gt;S19,1.0,IF(S20=S19,0.5,0.0)),0.5),0.5)</f>
        <v/>
      </c>
      <c r="W20" s="15">
        <f>IF(ISNUMBER(T20),IF(ISNUMBER(T18),IF(T20&gt;T18,1.0,IF(T20=T18,0.5,0.0)),0.5),0.5)</f>
        <v/>
      </c>
      <c r="X20" s="15">
        <f>IF(ISNUMBER(T20),IF(ISNUMBER(T19),IF(T20&gt;T19,1.0,IF(T20=T19,0.5,0.0)),0.5),0.5)</f>
        <v/>
      </c>
      <c r="Y20" s="21">
        <f>IF(AND(ISNUMBER(S20),ISNUMBER(S18)),VLOOKUP(ABS(S20-S18),'IMP Table'!$A$2:$C$26,3)*SIGN(S20-S18),0)</f>
        <v/>
      </c>
      <c r="Z20" s="15">
        <f>IF(AND(ISNUMBER(S20),ISNUMBER(S19)),VLOOKUP(ABS(S20-S19),'IMP Table'!$A$2:$C$26,3)*SIGN(S20-S19),0)</f>
        <v/>
      </c>
      <c r="AA20" s="15">
        <f>IF(AND(ISNUMBER(T20),ISNUMBER(T18)),VLOOKUP(ABS(T20-T18),'IMP Table'!$A$2:$C$26,3)*SIGN(T20-T18),0)</f>
        <v/>
      </c>
      <c r="AB20" s="15">
        <f>IF(AND(ISNUMBER(T20),ISNUMBER(T19)),VLOOKUP(ABS(T20-T19),'IMP Table'!$A$2:$C$26,3)*SIGN(T20-T19),0)</f>
        <v/>
      </c>
    </row>
    <row r="21">
      <c r="A21" s="10" t="n">
        <v>7</v>
      </c>
      <c r="B21" s="10">
        <f>'By Round'!A21</f>
        <v/>
      </c>
      <c r="C21" s="10">
        <f>'By Round'!B21</f>
        <v/>
      </c>
      <c r="D21" s="10">
        <f>'By Round'!C21</f>
        <v/>
      </c>
      <c r="E21" s="10">
        <f>'By Round'!D21</f>
        <v/>
      </c>
      <c r="F21" s="10">
        <f>IF(ISBLANK('By Round'!F21),"",'By Round'!F21)</f>
        <v/>
      </c>
      <c r="G21">
        <f>IF(ISBLANK('By Round'!G21),"",'By Round'!G21)</f>
        <v/>
      </c>
      <c r="H21">
        <f>IF(ISBLANK('By Round'!H21),"",'By Round'!H21)</f>
        <v/>
      </c>
      <c r="I21">
        <f>IF(ISBLANK('By Round'!I21),"",'By Round'!I21)</f>
        <v/>
      </c>
      <c r="J21">
        <f>IF(ISBLANK('By Round'!J21),"",'By Round'!J21)</f>
        <v/>
      </c>
      <c r="K21">
        <f>IF(ISBLANK('By Round'!K21),"",'By Round'!K21)</f>
        <v/>
      </c>
      <c r="L21">
        <f>IF(ISBLANK('By Round'!L21),"",'By Round'!L21)</f>
        <v/>
      </c>
      <c r="M21" s="11">
        <f>AVERAGE(Y21:Z21)</f>
        <v/>
      </c>
      <c r="N21" s="12">
        <f>AVERAGE(AA21:AB21)</f>
        <v/>
      </c>
      <c r="O21" s="13">
        <f>IF(COUNT(U21:V21)&gt;0,Q21/COUNT(U21:V21),0.5)</f>
        <v/>
      </c>
      <c r="P21" s="13">
        <f>IF(COUNT(W21:X21)&gt;0,R21/COUNT(W21:X21),0.5)</f>
        <v/>
      </c>
      <c r="Q21" s="5">
        <f>SUM(U21:V21)</f>
        <v/>
      </c>
      <c r="R21" s="5">
        <f>SUM(W21:X21)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IF(ISNUMBER(S21),IF(ISNUMBER(S22),IF(S21&gt;S22,1.0,IF(S21=S22,0.5,0.0)),0.5),0.5)</f>
        <v/>
      </c>
      <c r="V21">
        <f>IF(ISNUMBER(S21),IF(ISNUMBER(S23),IF(S21&gt;S23,1.0,IF(S21=S23,0.5,0.0)),0.5),0.5)</f>
        <v/>
      </c>
      <c r="W21">
        <f>IF(ISNUMBER(T21),IF(ISNUMBER(T22),IF(T21&gt;T22,1.0,IF(T21=T22,0.5,0.0)),0.5),0.5)</f>
        <v/>
      </c>
      <c r="X21">
        <f>IF(ISNUMBER(T21),IF(ISNUMBER(T23),IF(T21&gt;T23,1.0,IF(T21=T23,0.5,0.0)),0.5),0.5)</f>
        <v/>
      </c>
      <c r="Y21" s="14">
        <f>IF(AND(ISNUMBER(S21),ISNUMBER(S22)),VLOOKUP(ABS(S21-S22),'IMP Table'!$A$2:$C$26,3)*SIGN(S21-S22),0)</f>
        <v/>
      </c>
      <c r="Z21">
        <f>IF(AND(ISNUMBER(S21),ISNUMBER(S23)),VLOOKUP(ABS(S21-S23),'IMP Table'!$A$2:$C$26,3)*SIGN(S21-S23),0)</f>
        <v/>
      </c>
      <c r="AA21">
        <f>IF(AND(ISNUMBER(T21),ISNUMBER(T22)),VLOOKUP(ABS(T21-T22),'IMP Table'!$A$2:$C$26,3)*SIGN(T21-T22),0)</f>
        <v/>
      </c>
      <c r="AB21">
        <f>IF(AND(ISNUMBER(T21),ISNUMBER(T23)),VLOOKUP(ABS(T21-T23),'IMP Table'!$A$2:$C$26,3)*SIGN(T21-T23),0)</f>
        <v/>
      </c>
    </row>
    <row r="22">
      <c r="B22" s="10">
        <f>'By Round'!A30</f>
        <v/>
      </c>
      <c r="C22" s="10">
        <f>'By Round'!B33</f>
        <v/>
      </c>
      <c r="D22" s="10">
        <f>'By Round'!C33</f>
        <v/>
      </c>
      <c r="E22" s="10">
        <f>'By Round'!D33</f>
        <v/>
      </c>
      <c r="F22" s="10">
        <f>IF(ISBLANK('By Round'!F33),"",'By Round'!F33)</f>
        <v/>
      </c>
      <c r="G22">
        <f>IF(ISBLANK('By Round'!G33),"",'By Round'!G33)</f>
        <v/>
      </c>
      <c r="H22">
        <f>IF(ISBLANK('By Round'!H33),"",'By Round'!H33)</f>
        <v/>
      </c>
      <c r="I22">
        <f>IF(ISBLANK('By Round'!I33),"",'By Round'!I33)</f>
        <v/>
      </c>
      <c r="J22">
        <f>IF(ISBLANK('By Round'!J33),"",'By Round'!J33)</f>
        <v/>
      </c>
      <c r="K22">
        <f>IF(ISBLANK('By Round'!K33),"",'By Round'!K33)</f>
        <v/>
      </c>
      <c r="L22">
        <f>IF(ISBLANK('By Round'!L33),"",'By Round'!L33)</f>
        <v/>
      </c>
      <c r="M22" s="11">
        <f>AVERAGE(Y22:Z22)</f>
        <v/>
      </c>
      <c r="N22" s="12">
        <f>AVERAGE(AA22:AB22)</f>
        <v/>
      </c>
      <c r="O22" s="13">
        <f>IF(COUNT(U22:V22)&gt;0,Q22/COUNT(U22:V22),0.5)</f>
        <v/>
      </c>
      <c r="P22" s="13">
        <f>IF(COUNT(W22:X22)&gt;0,R22/COUNT(W22:X22),0.5)</f>
        <v/>
      </c>
      <c r="Q22" s="5">
        <f>SUM(U22:V22)</f>
        <v/>
      </c>
      <c r="R22" s="5">
        <f>SUM(W22:X22)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IF(ISNUMBER(S22),IF(ISNUMBER(S21),IF(S22&gt;S21,1.0,IF(S22=S21,0.5,0.0)),0.5),0.5)</f>
        <v/>
      </c>
      <c r="V22">
        <f>IF(ISNUMBER(S22),IF(ISNUMBER(S23),IF(S22&gt;S23,1.0,IF(S22=S23,0.5,0.0)),0.5),0.5)</f>
        <v/>
      </c>
      <c r="W22">
        <f>IF(ISNUMBER(T22),IF(ISNUMBER(T21),IF(T22&gt;T21,1.0,IF(T22=T21,0.5,0.0)),0.5),0.5)</f>
        <v/>
      </c>
      <c r="X22">
        <f>IF(ISNUMBER(T22),IF(ISNUMBER(T23),IF(T22&gt;T23,1.0,IF(T22=T23,0.5,0.0)),0.5),0.5)</f>
        <v/>
      </c>
      <c r="Y22" s="14">
        <f>IF(AND(ISNUMBER(S22),ISNUMBER(S21)),VLOOKUP(ABS(S22-S21),'IMP Table'!$A$2:$C$26,3)*SIGN(S22-S21),0)</f>
        <v/>
      </c>
      <c r="Z22">
        <f>IF(AND(ISNUMBER(S22),ISNUMBER(S23)),VLOOKUP(ABS(S22-S23),'IMP Table'!$A$2:$C$26,3)*SIGN(S22-S23),0)</f>
        <v/>
      </c>
      <c r="AA22">
        <f>IF(AND(ISNUMBER(T22),ISNUMBER(T21)),VLOOKUP(ABS(T22-T21),'IMP Table'!$A$2:$C$26,3)*SIGN(T22-T21),0)</f>
        <v/>
      </c>
      <c r="AB22">
        <f>IF(AND(ISNUMBER(T22),ISNUMBER(T23)),VLOOKUP(ABS(T22-T23),'IMP Table'!$A$2:$C$26,3)*SIGN(T22-T23),0)</f>
        <v/>
      </c>
    </row>
    <row r="23">
      <c r="A23" s="15" t="n"/>
      <c r="B23" s="16">
        <f>'By Round'!A12</f>
        <v/>
      </c>
      <c r="C23" s="16">
        <f>'By Round'!B15</f>
        <v/>
      </c>
      <c r="D23" s="16">
        <f>'By Round'!C15</f>
        <v/>
      </c>
      <c r="E23" s="16">
        <f>'By Round'!D15</f>
        <v/>
      </c>
      <c r="F23" s="16">
        <f>IF(ISBLANK('By Round'!F15),"",'By Round'!F15)</f>
        <v/>
      </c>
      <c r="G23" s="15">
        <f>IF(ISBLANK('By Round'!G15),"",'By Round'!G15)</f>
        <v/>
      </c>
      <c r="H23" s="15">
        <f>IF(ISBLANK('By Round'!H15),"",'By Round'!H15)</f>
        <v/>
      </c>
      <c r="I23" s="15">
        <f>IF(ISBLANK('By Round'!I15),"",'By Round'!I15)</f>
        <v/>
      </c>
      <c r="J23" s="15">
        <f>IF(ISBLANK('By Round'!J15),"",'By Round'!J15)</f>
        <v/>
      </c>
      <c r="K23" s="15">
        <f>IF(ISBLANK('By Round'!K15),"",'By Round'!K15)</f>
        <v/>
      </c>
      <c r="L23" s="15">
        <f>IF(ISBLANK('By Round'!L15),"",'By Round'!L15)</f>
        <v/>
      </c>
      <c r="M23" s="17">
        <f>AVERAGE(Y23:Z23)</f>
        <v/>
      </c>
      <c r="N23" s="18">
        <f>AVERAGE(AA23:AB23)</f>
        <v/>
      </c>
      <c r="O23" s="19">
        <f>IF(COUNT(U23:V23)&gt;0,Q23/COUNT(U23:V23),0.5)</f>
        <v/>
      </c>
      <c r="P23" s="19">
        <f>IF(COUNT(W23:X23)&gt;0,R23/COUNT(W23:X23),0.5)</f>
        <v/>
      </c>
      <c r="Q23" s="20">
        <f>SUM(U23:V23)</f>
        <v/>
      </c>
      <c r="R23" s="20">
        <f>SUM(W23:X23)</f>
        <v/>
      </c>
      <c r="S23" s="21">
        <f>IF(ISNUMBER(K23),K23,IF(ISNUMBER(L23),-L23,""))</f>
        <v/>
      </c>
      <c r="T23" s="15">
        <f>IF(ISNUMBER(L23),L23,IF(ISNUMBER(K23),-K23,""))</f>
        <v/>
      </c>
      <c r="U23" s="21">
        <f>IF(ISNUMBER(S23),IF(ISNUMBER(S21),IF(S23&gt;S21,1.0,IF(S23=S21,0.5,0.0)),0.5),0.5)</f>
        <v/>
      </c>
      <c r="V23" s="15">
        <f>IF(ISNUMBER(S23),IF(ISNUMBER(S22),IF(S23&gt;S22,1.0,IF(S23=S22,0.5,0.0)),0.5),0.5)</f>
        <v/>
      </c>
      <c r="W23" s="15">
        <f>IF(ISNUMBER(T23),IF(ISNUMBER(T21),IF(T23&gt;T21,1.0,IF(T23=T21,0.5,0.0)),0.5),0.5)</f>
        <v/>
      </c>
      <c r="X23" s="15">
        <f>IF(ISNUMBER(T23),IF(ISNUMBER(T22),IF(T23&gt;T22,1.0,IF(T23=T22,0.5,0.0)),0.5),0.5)</f>
        <v/>
      </c>
      <c r="Y23" s="21">
        <f>IF(AND(ISNUMBER(S23),ISNUMBER(S21)),VLOOKUP(ABS(S23-S21),'IMP Table'!$A$2:$C$26,3)*SIGN(S23-S21),0)</f>
        <v/>
      </c>
      <c r="Z23" s="15">
        <f>IF(AND(ISNUMBER(S23),ISNUMBER(S22)),VLOOKUP(ABS(S23-S22),'IMP Table'!$A$2:$C$26,3)*SIGN(S23-S22),0)</f>
        <v/>
      </c>
      <c r="AA23" s="15">
        <f>IF(AND(ISNUMBER(T23),ISNUMBER(T21)),VLOOKUP(ABS(T23-T21),'IMP Table'!$A$2:$C$26,3)*SIGN(T23-T21),0)</f>
        <v/>
      </c>
      <c r="AB23" s="15">
        <f>IF(AND(ISNUMBER(T23),ISNUMBER(T22)),VLOOKUP(ABS(T23-T22),'IMP Table'!$A$2:$C$26,3)*SIGN(T23-T22),0)</f>
        <v/>
      </c>
    </row>
    <row r="24">
      <c r="A24" s="10" t="n">
        <v>8</v>
      </c>
      <c r="B24" s="10">
        <f>'By Round'!A21</f>
        <v/>
      </c>
      <c r="C24" s="10">
        <f>'By Round'!B21</f>
        <v/>
      </c>
      <c r="D24" s="10">
        <f>'By Round'!C21</f>
        <v/>
      </c>
      <c r="E24" s="10">
        <f>'By Round'!D21</f>
        <v/>
      </c>
      <c r="F24" s="10">
        <f>IF(ISBLANK('By Round'!F22),"",'By Round'!F22)</f>
        <v/>
      </c>
      <c r="G24">
        <f>IF(ISBLANK('By Round'!G22),"",'By Round'!G22)</f>
        <v/>
      </c>
      <c r="H24">
        <f>IF(ISBLANK('By Round'!H22),"",'By Round'!H22)</f>
        <v/>
      </c>
      <c r="I24">
        <f>IF(ISBLANK('By Round'!I22),"",'By Round'!I22)</f>
        <v/>
      </c>
      <c r="J24">
        <f>IF(ISBLANK('By Round'!J22),"",'By Round'!J22)</f>
        <v/>
      </c>
      <c r="K24">
        <f>IF(ISBLANK('By Round'!K22),"",'By Round'!K22)</f>
        <v/>
      </c>
      <c r="L24">
        <f>IF(ISBLANK('By Round'!L22),"",'By Round'!L22)</f>
        <v/>
      </c>
      <c r="M24" s="11">
        <f>AVERAGE(Y24:Z24)</f>
        <v/>
      </c>
      <c r="N24" s="12">
        <f>AVERAGE(AA24:AB24)</f>
        <v/>
      </c>
      <c r="O24" s="13">
        <f>IF(COUNT(U24:V24)&gt;0,Q24/COUNT(U24:V24),0.5)</f>
        <v/>
      </c>
      <c r="P24" s="13">
        <f>IF(COUNT(W24:X24)&gt;0,R24/COUNT(W24:X24),0.5)</f>
        <v/>
      </c>
      <c r="Q24" s="5">
        <f>SUM(U24:V24)</f>
        <v/>
      </c>
      <c r="R24" s="5">
        <f>SUM(W24:X24)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IF(ISNUMBER(S24),IF(ISNUMBER(S25),IF(S24&gt;S25,1.0,IF(S24=S25,0.5,0.0)),0.5),0.5)</f>
        <v/>
      </c>
      <c r="V24">
        <f>IF(ISNUMBER(S24),IF(ISNUMBER(S26),IF(S24&gt;S26,1.0,IF(S24=S26,0.5,0.0)),0.5),0.5)</f>
        <v/>
      </c>
      <c r="W24">
        <f>IF(ISNUMBER(T24),IF(ISNUMBER(T25),IF(T24&gt;T25,1.0,IF(T24=T25,0.5,0.0)),0.5),0.5)</f>
        <v/>
      </c>
      <c r="X24">
        <f>IF(ISNUMBER(T24),IF(ISNUMBER(T26),IF(T24&gt;T26,1.0,IF(T24=T26,0.5,0.0)),0.5),0.5)</f>
        <v/>
      </c>
      <c r="Y24" s="14">
        <f>IF(AND(ISNUMBER(S24),ISNUMBER(S25)),VLOOKUP(ABS(S24-S25),'IMP Table'!$A$2:$C$26,3)*SIGN(S24-S25),0)</f>
        <v/>
      </c>
      <c r="Z24">
        <f>IF(AND(ISNUMBER(S24),ISNUMBER(S26)),VLOOKUP(ABS(S24-S26),'IMP Table'!$A$2:$C$26,3)*SIGN(S24-S26),0)</f>
        <v/>
      </c>
      <c r="AA24">
        <f>IF(AND(ISNUMBER(T24),ISNUMBER(T25)),VLOOKUP(ABS(T24-T25),'IMP Table'!$A$2:$C$26,3)*SIGN(T24-T25),0)</f>
        <v/>
      </c>
      <c r="AB24">
        <f>IF(AND(ISNUMBER(T24),ISNUMBER(T26)),VLOOKUP(ABS(T24-T26),'IMP Table'!$A$2:$C$26,3)*SIGN(T24-T26),0)</f>
        <v/>
      </c>
    </row>
    <row r="25">
      <c r="B25" s="10">
        <f>'By Round'!A30</f>
        <v/>
      </c>
      <c r="C25" s="10">
        <f>'By Round'!B33</f>
        <v/>
      </c>
      <c r="D25" s="10">
        <f>'By Round'!C33</f>
        <v/>
      </c>
      <c r="E25" s="10">
        <f>'By Round'!D33</f>
        <v/>
      </c>
      <c r="F25" s="10">
        <f>IF(ISBLANK('By Round'!F34),"",'By Round'!F34)</f>
        <v/>
      </c>
      <c r="G25">
        <f>IF(ISBLANK('By Round'!G34),"",'By Round'!G34)</f>
        <v/>
      </c>
      <c r="H25">
        <f>IF(ISBLANK('By Round'!H34),"",'By Round'!H34)</f>
        <v/>
      </c>
      <c r="I25">
        <f>IF(ISBLANK('By Round'!I34),"",'By Round'!I34)</f>
        <v/>
      </c>
      <c r="J25">
        <f>IF(ISBLANK('By Round'!J34),"",'By Round'!J34)</f>
        <v/>
      </c>
      <c r="K25">
        <f>IF(ISBLANK('By Round'!K34),"",'By Round'!K34)</f>
        <v/>
      </c>
      <c r="L25">
        <f>IF(ISBLANK('By Round'!L34),"",'By Round'!L34)</f>
        <v/>
      </c>
      <c r="M25" s="11">
        <f>AVERAGE(Y25:Z25)</f>
        <v/>
      </c>
      <c r="N25" s="12">
        <f>AVERAGE(AA25:AB25)</f>
        <v/>
      </c>
      <c r="O25" s="13">
        <f>IF(COUNT(U25:V25)&gt;0,Q25/COUNT(U25:V25),0.5)</f>
        <v/>
      </c>
      <c r="P25" s="13">
        <f>IF(COUNT(W25:X25)&gt;0,R25/COUNT(W25:X25),0.5)</f>
        <v/>
      </c>
      <c r="Q25" s="5">
        <f>SUM(U25:V25)</f>
        <v/>
      </c>
      <c r="R25" s="5">
        <f>SUM(W25:X25)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IF(ISNUMBER(S25),IF(ISNUMBER(S24),IF(S25&gt;S24,1.0,IF(S25=S24,0.5,0.0)),0.5),0.5)</f>
        <v/>
      </c>
      <c r="V25">
        <f>IF(ISNUMBER(S25),IF(ISNUMBER(S26),IF(S25&gt;S26,1.0,IF(S25=S26,0.5,0.0)),0.5),0.5)</f>
        <v/>
      </c>
      <c r="W25">
        <f>IF(ISNUMBER(T25),IF(ISNUMBER(T24),IF(T25&gt;T24,1.0,IF(T25=T24,0.5,0.0)),0.5),0.5)</f>
        <v/>
      </c>
      <c r="X25">
        <f>IF(ISNUMBER(T25),IF(ISNUMBER(T26),IF(T25&gt;T26,1.0,IF(T25=T26,0.5,0.0)),0.5),0.5)</f>
        <v/>
      </c>
      <c r="Y25" s="14">
        <f>IF(AND(ISNUMBER(S25),ISNUMBER(S24)),VLOOKUP(ABS(S25-S24),'IMP Table'!$A$2:$C$26,3)*SIGN(S25-S24),0)</f>
        <v/>
      </c>
      <c r="Z25">
        <f>IF(AND(ISNUMBER(S25),ISNUMBER(S26)),VLOOKUP(ABS(S25-S26),'IMP Table'!$A$2:$C$26,3)*SIGN(S25-S26),0)</f>
        <v/>
      </c>
      <c r="AA25">
        <f>IF(AND(ISNUMBER(T25),ISNUMBER(T24)),VLOOKUP(ABS(T25-T24),'IMP Table'!$A$2:$C$26,3)*SIGN(T25-T24),0)</f>
        <v/>
      </c>
      <c r="AB25">
        <f>IF(AND(ISNUMBER(T25),ISNUMBER(T26)),VLOOKUP(ABS(T25-T26),'IMP Table'!$A$2:$C$26,3)*SIGN(T25-T26),0)</f>
        <v/>
      </c>
    </row>
    <row r="26">
      <c r="A26" s="15" t="n"/>
      <c r="B26" s="16">
        <f>'By Round'!A12</f>
        <v/>
      </c>
      <c r="C26" s="16">
        <f>'By Round'!B15</f>
        <v/>
      </c>
      <c r="D26" s="16">
        <f>'By Round'!C15</f>
        <v/>
      </c>
      <c r="E26" s="16">
        <f>'By Round'!D15</f>
        <v/>
      </c>
      <c r="F26" s="16">
        <f>IF(ISBLANK('By Round'!F16),"",'By Round'!F16)</f>
        <v/>
      </c>
      <c r="G26" s="15">
        <f>IF(ISBLANK('By Round'!G16),"",'By Round'!G16)</f>
        <v/>
      </c>
      <c r="H26" s="15">
        <f>IF(ISBLANK('By Round'!H16),"",'By Round'!H16)</f>
        <v/>
      </c>
      <c r="I26" s="15">
        <f>IF(ISBLANK('By Round'!I16),"",'By Round'!I16)</f>
        <v/>
      </c>
      <c r="J26" s="15">
        <f>IF(ISBLANK('By Round'!J16),"",'By Round'!J16)</f>
        <v/>
      </c>
      <c r="K26" s="15">
        <f>IF(ISBLANK('By Round'!K16),"",'By Round'!K16)</f>
        <v/>
      </c>
      <c r="L26" s="15">
        <f>IF(ISBLANK('By Round'!L16),"",'By Round'!L16)</f>
        <v/>
      </c>
      <c r="M26" s="17">
        <f>AVERAGE(Y26:Z26)</f>
        <v/>
      </c>
      <c r="N26" s="18">
        <f>AVERAGE(AA26:AB26)</f>
        <v/>
      </c>
      <c r="O26" s="19">
        <f>IF(COUNT(U26:V26)&gt;0,Q26/COUNT(U26:V26),0.5)</f>
        <v/>
      </c>
      <c r="P26" s="19">
        <f>IF(COUNT(W26:X26)&gt;0,R26/COUNT(W26:X26),0.5)</f>
        <v/>
      </c>
      <c r="Q26" s="20">
        <f>SUM(U26:V26)</f>
        <v/>
      </c>
      <c r="R26" s="20">
        <f>SUM(W26:X26)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IF(ISNUMBER(S26),IF(ISNUMBER(S24),IF(S26&gt;S24,1.0,IF(S26=S24,0.5,0.0)),0.5),0.5)</f>
        <v/>
      </c>
      <c r="V26" s="15">
        <f>IF(ISNUMBER(S26),IF(ISNUMBER(S25),IF(S26&gt;S25,1.0,IF(S26=S25,0.5,0.0)),0.5),0.5)</f>
        <v/>
      </c>
      <c r="W26" s="15">
        <f>IF(ISNUMBER(T26),IF(ISNUMBER(T24),IF(T26&gt;T24,1.0,IF(T26=T24,0.5,0.0)),0.5),0.5)</f>
        <v/>
      </c>
      <c r="X26" s="15">
        <f>IF(ISNUMBER(T26),IF(ISNUMBER(T25),IF(T26&gt;T25,1.0,IF(T26=T25,0.5,0.0)),0.5),0.5)</f>
        <v/>
      </c>
      <c r="Y26" s="21">
        <f>IF(AND(ISNUMBER(S26),ISNUMBER(S24)),VLOOKUP(ABS(S26-S24),'IMP Table'!$A$2:$C$26,3)*SIGN(S26-S24),0)</f>
        <v/>
      </c>
      <c r="Z26" s="15">
        <f>IF(AND(ISNUMBER(S26),ISNUMBER(S25)),VLOOKUP(ABS(S26-S25),'IMP Table'!$A$2:$C$26,3)*SIGN(S26-S25),0)</f>
        <v/>
      </c>
      <c r="AA26" s="15">
        <f>IF(AND(ISNUMBER(T26),ISNUMBER(T24)),VLOOKUP(ABS(T26-T24),'IMP Table'!$A$2:$C$26,3)*SIGN(T26-T24),0)</f>
        <v/>
      </c>
      <c r="AB26" s="15">
        <f>IF(AND(ISNUMBER(T26),ISNUMBER(T25)),VLOOKUP(ABS(T26-T25),'IMP Table'!$A$2:$C$26,3)*SIGN(T26-T25),0)</f>
        <v/>
      </c>
    </row>
    <row r="27">
      <c r="A27" s="10" t="n">
        <v>9</v>
      </c>
      <c r="B27" s="10">
        <f>'By Round'!A21</f>
        <v/>
      </c>
      <c r="C27" s="10">
        <f>'By Round'!B21</f>
        <v/>
      </c>
      <c r="D27" s="10">
        <f>'By Round'!C21</f>
        <v/>
      </c>
      <c r="E27" s="10">
        <f>'By Round'!D21</f>
        <v/>
      </c>
      <c r="F27" s="10">
        <f>IF(ISBLANK('By Round'!F23),"",'By Round'!F23)</f>
        <v/>
      </c>
      <c r="G27">
        <f>IF(ISBLANK('By Round'!G23),"",'By Round'!G23)</f>
        <v/>
      </c>
      <c r="H27">
        <f>IF(ISBLANK('By Round'!H23),"",'By Round'!H23)</f>
        <v/>
      </c>
      <c r="I27">
        <f>IF(ISBLANK('By Round'!I23),"",'By Round'!I23)</f>
        <v/>
      </c>
      <c r="J27">
        <f>IF(ISBLANK('By Round'!J23),"",'By Round'!J23)</f>
        <v/>
      </c>
      <c r="K27">
        <f>IF(ISBLANK('By Round'!K23),"",'By Round'!K23)</f>
        <v/>
      </c>
      <c r="L27">
        <f>IF(ISBLANK('By Round'!L23),"",'By Round'!L23)</f>
        <v/>
      </c>
      <c r="M27" s="11">
        <f>AVERAGE(Y27:Z27)</f>
        <v/>
      </c>
      <c r="N27" s="12">
        <f>AVERAGE(AA27:AB27)</f>
        <v/>
      </c>
      <c r="O27" s="13">
        <f>IF(COUNT(U27:V27)&gt;0,Q27/COUNT(U27:V27),0.5)</f>
        <v/>
      </c>
      <c r="P27" s="13">
        <f>IF(COUNT(W27:X27)&gt;0,R27/COUNT(W27:X27),0.5)</f>
        <v/>
      </c>
      <c r="Q27" s="5">
        <f>SUM(U27:V27)</f>
        <v/>
      </c>
      <c r="R27" s="5">
        <f>SUM(W27:X27)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IF(ISNUMBER(S27),IF(ISNUMBER(S28),IF(S27&gt;S28,1.0,IF(S27=S28,0.5,0.0)),0.5),0.5)</f>
        <v/>
      </c>
      <c r="V27">
        <f>IF(ISNUMBER(S27),IF(ISNUMBER(S29),IF(S27&gt;S29,1.0,IF(S27=S29,0.5,0.0)),0.5),0.5)</f>
        <v/>
      </c>
      <c r="W27">
        <f>IF(ISNUMBER(T27),IF(ISNUMBER(T28),IF(T27&gt;T28,1.0,IF(T27=T28,0.5,0.0)),0.5),0.5)</f>
        <v/>
      </c>
      <c r="X27">
        <f>IF(ISNUMBER(T27),IF(ISNUMBER(T29),IF(T27&gt;T29,1.0,IF(T27=T29,0.5,0.0)),0.5),0.5)</f>
        <v/>
      </c>
      <c r="Y27" s="14">
        <f>IF(AND(ISNUMBER(S27),ISNUMBER(S28)),VLOOKUP(ABS(S27-S28),'IMP Table'!$A$2:$C$26,3)*SIGN(S27-S28),0)</f>
        <v/>
      </c>
      <c r="Z27">
        <f>IF(AND(ISNUMBER(S27),ISNUMBER(S29)),VLOOKUP(ABS(S27-S29),'IMP Table'!$A$2:$C$26,3)*SIGN(S27-S29),0)</f>
        <v/>
      </c>
      <c r="AA27">
        <f>IF(AND(ISNUMBER(T27),ISNUMBER(T28)),VLOOKUP(ABS(T27-T28),'IMP Table'!$A$2:$C$26,3)*SIGN(T27-T28),0)</f>
        <v/>
      </c>
      <c r="AB27">
        <f>IF(AND(ISNUMBER(T27),ISNUMBER(T29)),VLOOKUP(ABS(T27-T29),'IMP Table'!$A$2:$C$26,3)*SIGN(T27-T29),0)</f>
        <v/>
      </c>
    </row>
    <row r="28">
      <c r="B28" s="10">
        <f>'By Round'!A30</f>
        <v/>
      </c>
      <c r="C28" s="10">
        <f>'By Round'!B33</f>
        <v/>
      </c>
      <c r="D28" s="10">
        <f>'By Round'!C33</f>
        <v/>
      </c>
      <c r="E28" s="10">
        <f>'By Round'!D33</f>
        <v/>
      </c>
      <c r="F28" s="10">
        <f>IF(ISBLANK('By Round'!F35),"",'By Round'!F35)</f>
        <v/>
      </c>
      <c r="G28">
        <f>IF(ISBLANK('By Round'!G35),"",'By Round'!G35)</f>
        <v/>
      </c>
      <c r="H28">
        <f>IF(ISBLANK('By Round'!H35),"",'By Round'!H35)</f>
        <v/>
      </c>
      <c r="I28">
        <f>IF(ISBLANK('By Round'!I35),"",'By Round'!I35)</f>
        <v/>
      </c>
      <c r="J28">
        <f>IF(ISBLANK('By Round'!J35),"",'By Round'!J35)</f>
        <v/>
      </c>
      <c r="K28">
        <f>IF(ISBLANK('By Round'!K35),"",'By Round'!K35)</f>
        <v/>
      </c>
      <c r="L28">
        <f>IF(ISBLANK('By Round'!L35),"",'By Round'!L35)</f>
        <v/>
      </c>
      <c r="M28" s="11">
        <f>AVERAGE(Y28:Z28)</f>
        <v/>
      </c>
      <c r="N28" s="12">
        <f>AVERAGE(AA28:AB28)</f>
        <v/>
      </c>
      <c r="O28" s="13">
        <f>IF(COUNT(U28:V28)&gt;0,Q28/COUNT(U28:V28),0.5)</f>
        <v/>
      </c>
      <c r="P28" s="13">
        <f>IF(COUNT(W28:X28)&gt;0,R28/COUNT(W28:X28),0.5)</f>
        <v/>
      </c>
      <c r="Q28" s="5">
        <f>SUM(U28:V28)</f>
        <v/>
      </c>
      <c r="R28" s="5">
        <f>SUM(W28:X28)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IF(ISNUMBER(S28),IF(ISNUMBER(S27),IF(S28&gt;S27,1.0,IF(S28=S27,0.5,0.0)),0.5),0.5)</f>
        <v/>
      </c>
      <c r="V28">
        <f>IF(ISNUMBER(S28),IF(ISNUMBER(S29),IF(S28&gt;S29,1.0,IF(S28=S29,0.5,0.0)),0.5),0.5)</f>
        <v/>
      </c>
      <c r="W28">
        <f>IF(ISNUMBER(T28),IF(ISNUMBER(T27),IF(T28&gt;T27,1.0,IF(T28=T27,0.5,0.0)),0.5),0.5)</f>
        <v/>
      </c>
      <c r="X28">
        <f>IF(ISNUMBER(T28),IF(ISNUMBER(T29),IF(T28&gt;T29,1.0,IF(T28=T29,0.5,0.0)),0.5),0.5)</f>
        <v/>
      </c>
      <c r="Y28" s="14">
        <f>IF(AND(ISNUMBER(S28),ISNUMBER(S27)),VLOOKUP(ABS(S28-S27),'IMP Table'!$A$2:$C$26,3)*SIGN(S28-S27),0)</f>
        <v/>
      </c>
      <c r="Z28">
        <f>IF(AND(ISNUMBER(S28),ISNUMBER(S29)),VLOOKUP(ABS(S28-S29),'IMP Table'!$A$2:$C$26,3)*SIGN(S28-S29),0)</f>
        <v/>
      </c>
      <c r="AA28">
        <f>IF(AND(ISNUMBER(T28),ISNUMBER(T27)),VLOOKUP(ABS(T28-T27),'IMP Table'!$A$2:$C$26,3)*SIGN(T28-T27),0)</f>
        <v/>
      </c>
      <c r="AB28">
        <f>IF(AND(ISNUMBER(T28),ISNUMBER(T29)),VLOOKUP(ABS(T28-T29),'IMP Table'!$A$2:$C$26,3)*SIGN(T28-T29),0)</f>
        <v/>
      </c>
    </row>
    <row r="29">
      <c r="A29" s="15" t="n"/>
      <c r="B29" s="16">
        <f>'By Round'!A12</f>
        <v/>
      </c>
      <c r="C29" s="16">
        <f>'By Round'!B15</f>
        <v/>
      </c>
      <c r="D29" s="16">
        <f>'By Round'!C15</f>
        <v/>
      </c>
      <c r="E29" s="16">
        <f>'By Round'!D15</f>
        <v/>
      </c>
      <c r="F29" s="16">
        <f>IF(ISBLANK('By Round'!F17),"",'By Round'!F17)</f>
        <v/>
      </c>
      <c r="G29" s="15">
        <f>IF(ISBLANK('By Round'!G17),"",'By Round'!G17)</f>
        <v/>
      </c>
      <c r="H29" s="15">
        <f>IF(ISBLANK('By Round'!H17),"",'By Round'!H17)</f>
        <v/>
      </c>
      <c r="I29" s="15">
        <f>IF(ISBLANK('By Round'!I17),"",'By Round'!I17)</f>
        <v/>
      </c>
      <c r="J29" s="15">
        <f>IF(ISBLANK('By Round'!J17),"",'By Round'!J17)</f>
        <v/>
      </c>
      <c r="K29" s="15">
        <f>IF(ISBLANK('By Round'!K17),"",'By Round'!K17)</f>
        <v/>
      </c>
      <c r="L29" s="15">
        <f>IF(ISBLANK('By Round'!L17),"",'By Round'!L17)</f>
        <v/>
      </c>
      <c r="M29" s="17">
        <f>AVERAGE(Y29:Z29)</f>
        <v/>
      </c>
      <c r="N29" s="18">
        <f>AVERAGE(AA29:AB29)</f>
        <v/>
      </c>
      <c r="O29" s="19">
        <f>IF(COUNT(U29:V29)&gt;0,Q29/COUNT(U29:V29),0.5)</f>
        <v/>
      </c>
      <c r="P29" s="19">
        <f>IF(COUNT(W29:X29)&gt;0,R29/COUNT(W29:X29),0.5)</f>
        <v/>
      </c>
      <c r="Q29" s="20">
        <f>SUM(U29:V29)</f>
        <v/>
      </c>
      <c r="R29" s="20">
        <f>SUM(W29:X29)</f>
        <v/>
      </c>
      <c r="S29" s="21">
        <f>IF(ISNUMBER(K29),K29,IF(ISNUMBER(L29),-L29,""))</f>
        <v/>
      </c>
      <c r="T29" s="15">
        <f>IF(ISNUMBER(L29),L29,IF(ISNUMBER(K29),-K29,""))</f>
        <v/>
      </c>
      <c r="U29" s="21">
        <f>IF(ISNUMBER(S29),IF(ISNUMBER(S27),IF(S29&gt;S27,1.0,IF(S29=S27,0.5,0.0)),0.5),0.5)</f>
        <v/>
      </c>
      <c r="V29" s="15">
        <f>IF(ISNUMBER(S29),IF(ISNUMBER(S28),IF(S29&gt;S28,1.0,IF(S29=S28,0.5,0.0)),0.5),0.5)</f>
        <v/>
      </c>
      <c r="W29" s="15">
        <f>IF(ISNUMBER(T29),IF(ISNUMBER(T27),IF(T29&gt;T27,1.0,IF(T29=T27,0.5,0.0)),0.5),0.5)</f>
        <v/>
      </c>
      <c r="X29" s="15">
        <f>IF(ISNUMBER(T29),IF(ISNUMBER(T28),IF(T29&gt;T28,1.0,IF(T29=T28,0.5,0.0)),0.5),0.5)</f>
        <v/>
      </c>
      <c r="Y29" s="21">
        <f>IF(AND(ISNUMBER(S29),ISNUMBER(S27)),VLOOKUP(ABS(S29-S27),'IMP Table'!$A$2:$C$26,3)*SIGN(S29-S27),0)</f>
        <v/>
      </c>
      <c r="Z29" s="15">
        <f>IF(AND(ISNUMBER(S29),ISNUMBER(S28)),VLOOKUP(ABS(S29-S28),'IMP Table'!$A$2:$C$26,3)*SIGN(S29-S28),0)</f>
        <v/>
      </c>
      <c r="AA29" s="15">
        <f>IF(AND(ISNUMBER(T29),ISNUMBER(T27)),VLOOKUP(ABS(T29-T27),'IMP Table'!$A$2:$C$26,3)*SIGN(T29-T27),0)</f>
        <v/>
      </c>
      <c r="AB29" s="15">
        <f>IF(AND(ISNUMBER(T29),ISNUMBER(T28)),VLOOKUP(ABS(T29-T28),'IMP Table'!$A$2:$C$26,3)*SIGN(T29-T28),0)</f>
        <v/>
      </c>
    </row>
    <row r="30">
      <c r="A30" s="10" t="n">
        <v>10</v>
      </c>
      <c r="B30" s="10">
        <f>'By Round'!A30</f>
        <v/>
      </c>
      <c r="C30" s="10">
        <f>'By Round'!B30</f>
        <v/>
      </c>
      <c r="D30" s="10">
        <f>'By Round'!C30</f>
        <v/>
      </c>
      <c r="E30" s="10">
        <f>'By Round'!D30</f>
        <v/>
      </c>
      <c r="F30" s="10">
        <f>IF(ISBLANK('By Round'!F30),"",'By Round'!F30)</f>
        <v/>
      </c>
      <c r="G30">
        <f>IF(ISBLANK('By Round'!G30),"",'By Round'!G30)</f>
        <v/>
      </c>
      <c r="H30">
        <f>IF(ISBLANK('By Round'!H30),"",'By Round'!H30)</f>
        <v/>
      </c>
      <c r="I30">
        <f>IF(ISBLANK('By Round'!I30),"",'By Round'!I30)</f>
        <v/>
      </c>
      <c r="J30">
        <f>IF(ISBLANK('By Round'!J30),"",'By Round'!J30)</f>
        <v/>
      </c>
      <c r="K30">
        <f>IF(ISBLANK('By Round'!K30),"",'By Round'!K30)</f>
        <v/>
      </c>
      <c r="L30">
        <f>IF(ISBLANK('By Round'!L30),"",'By Round'!L30)</f>
        <v/>
      </c>
      <c r="M30" s="11">
        <f>AVERAGE(Y30:Z30)</f>
        <v/>
      </c>
      <c r="N30" s="12">
        <f>AVERAGE(AA30:AB30)</f>
        <v/>
      </c>
      <c r="O30" s="13">
        <f>IF(COUNT(U30:V30)&gt;0,Q30/COUNT(U30:V30),0.5)</f>
        <v/>
      </c>
      <c r="P30" s="13">
        <f>IF(COUNT(W30:X30)&gt;0,R30/COUNT(W30:X30),0.5)</f>
        <v/>
      </c>
      <c r="Q30" s="5">
        <f>SUM(U30:V30)</f>
        <v/>
      </c>
      <c r="R30" s="5">
        <f>SUM(W30:X30)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IF(ISNUMBER(S30),IF(ISNUMBER(S31),IF(S30&gt;S31,1.0,IF(S30=S31,0.5,0.0)),0.5),0.5)</f>
        <v/>
      </c>
      <c r="V30">
        <f>IF(ISNUMBER(S30),IF(ISNUMBER(S32),IF(S30&gt;S32,1.0,IF(S30=S32,0.5,0.0)),0.5),0.5)</f>
        <v/>
      </c>
      <c r="W30">
        <f>IF(ISNUMBER(T30),IF(ISNUMBER(T31),IF(T30&gt;T31,1.0,IF(T30=T31,0.5,0.0)),0.5),0.5)</f>
        <v/>
      </c>
      <c r="X30">
        <f>IF(ISNUMBER(T30),IF(ISNUMBER(T32),IF(T30&gt;T32,1.0,IF(T30=T32,0.5,0.0)),0.5),0.5)</f>
        <v/>
      </c>
      <c r="Y30" s="14">
        <f>IF(AND(ISNUMBER(S30),ISNUMBER(S31)),VLOOKUP(ABS(S30-S31),'IMP Table'!$A$2:$C$26,3)*SIGN(S30-S31),0)</f>
        <v/>
      </c>
      <c r="Z30">
        <f>IF(AND(ISNUMBER(S30),ISNUMBER(S32)),VLOOKUP(ABS(S30-S32),'IMP Table'!$A$2:$C$26,3)*SIGN(S30-S32),0)</f>
        <v/>
      </c>
      <c r="AA30">
        <f>IF(AND(ISNUMBER(T30),ISNUMBER(T31)),VLOOKUP(ABS(T30-T31),'IMP Table'!$A$2:$C$26,3)*SIGN(T30-T31),0)</f>
        <v/>
      </c>
      <c r="AB30">
        <f>IF(AND(ISNUMBER(T30),ISNUMBER(T32)),VLOOKUP(ABS(T30-T32),'IMP Table'!$A$2:$C$26,3)*SIGN(T30-T32),0)</f>
        <v/>
      </c>
    </row>
    <row r="31">
      <c r="B31" s="10">
        <f>'By Round'!A12</f>
        <v/>
      </c>
      <c r="C31" s="10">
        <f>'By Round'!B18</f>
        <v/>
      </c>
      <c r="D31" s="10">
        <f>'By Round'!C18</f>
        <v/>
      </c>
      <c r="E31" s="10">
        <f>'By Round'!D18</f>
        <v/>
      </c>
      <c r="F31" s="10">
        <f>IF(ISBLANK('By Round'!F18),"",'By Round'!F18)</f>
        <v/>
      </c>
      <c r="G31">
        <f>IF(ISBLANK('By Round'!G18),"",'By Round'!G18)</f>
        <v/>
      </c>
      <c r="H31">
        <f>IF(ISBLANK('By Round'!H18),"",'By Round'!H18)</f>
        <v/>
      </c>
      <c r="I31">
        <f>IF(ISBLANK('By Round'!I18),"",'By Round'!I18)</f>
        <v/>
      </c>
      <c r="J31">
        <f>IF(ISBLANK('By Round'!J18),"",'By Round'!J18)</f>
        <v/>
      </c>
      <c r="K31">
        <f>IF(ISBLANK('By Round'!K18),"",'By Round'!K18)</f>
        <v/>
      </c>
      <c r="L31">
        <f>IF(ISBLANK('By Round'!L18),"",'By Round'!L18)</f>
        <v/>
      </c>
      <c r="M31" s="11">
        <f>AVERAGE(Y31:Z31)</f>
        <v/>
      </c>
      <c r="N31" s="12">
        <f>AVERAGE(AA31:AB31)</f>
        <v/>
      </c>
      <c r="O31" s="13">
        <f>IF(COUNT(U31:V31)&gt;0,Q31/COUNT(U31:V31),0.5)</f>
        <v/>
      </c>
      <c r="P31" s="13">
        <f>IF(COUNT(W31:X31)&gt;0,R31/COUNT(W31:X31),0.5)</f>
        <v/>
      </c>
      <c r="Q31" s="5">
        <f>SUM(U31:V31)</f>
        <v/>
      </c>
      <c r="R31" s="5">
        <f>SUM(W31:X31)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IF(ISNUMBER(S31),IF(ISNUMBER(S30),IF(S31&gt;S30,1.0,IF(S31=S30,0.5,0.0)),0.5),0.5)</f>
        <v/>
      </c>
      <c r="V31">
        <f>IF(ISNUMBER(S31),IF(ISNUMBER(S32),IF(S31&gt;S32,1.0,IF(S31=S32,0.5,0.0)),0.5),0.5)</f>
        <v/>
      </c>
      <c r="W31">
        <f>IF(ISNUMBER(T31),IF(ISNUMBER(T30),IF(T31&gt;T30,1.0,IF(T31=T30,0.5,0.0)),0.5),0.5)</f>
        <v/>
      </c>
      <c r="X31">
        <f>IF(ISNUMBER(T31),IF(ISNUMBER(T32),IF(T31&gt;T32,1.0,IF(T31=T32,0.5,0.0)),0.5),0.5)</f>
        <v/>
      </c>
      <c r="Y31" s="14">
        <f>IF(AND(ISNUMBER(S31),ISNUMBER(S30)),VLOOKUP(ABS(S31-S30),'IMP Table'!$A$2:$C$26,3)*SIGN(S31-S30),0)</f>
        <v/>
      </c>
      <c r="Z31">
        <f>IF(AND(ISNUMBER(S31),ISNUMBER(S32)),VLOOKUP(ABS(S31-S32),'IMP Table'!$A$2:$C$26,3)*SIGN(S31-S32),0)</f>
        <v/>
      </c>
      <c r="AA31">
        <f>IF(AND(ISNUMBER(T31),ISNUMBER(T30)),VLOOKUP(ABS(T31-T30),'IMP Table'!$A$2:$C$26,3)*SIGN(T31-T30),0)</f>
        <v/>
      </c>
      <c r="AB31">
        <f>IF(AND(ISNUMBER(T31),ISNUMBER(T32)),VLOOKUP(ABS(T31-T32),'IMP Table'!$A$2:$C$26,3)*SIGN(T31-T32),0)</f>
        <v/>
      </c>
    </row>
    <row r="32">
      <c r="A32" s="15" t="n"/>
      <c r="B32" s="16">
        <f>'By Round'!A3</f>
        <v/>
      </c>
      <c r="C32" s="16">
        <f>'By Round'!B9</f>
        <v/>
      </c>
      <c r="D32" s="16">
        <f>'By Round'!C9</f>
        <v/>
      </c>
      <c r="E32" s="16">
        <f>'By Round'!D9</f>
        <v/>
      </c>
      <c r="F32" s="16">
        <f>IF(ISBLANK('By Round'!F9),"",'By Round'!F9)</f>
        <v/>
      </c>
      <c r="G32" s="15">
        <f>IF(ISBLANK('By Round'!G9),"",'By Round'!G9)</f>
        <v/>
      </c>
      <c r="H32" s="15">
        <f>IF(ISBLANK('By Round'!H9),"",'By Round'!H9)</f>
        <v/>
      </c>
      <c r="I32" s="15">
        <f>IF(ISBLANK('By Round'!I9),"",'By Round'!I9)</f>
        <v/>
      </c>
      <c r="J32" s="15">
        <f>IF(ISBLANK('By Round'!J9),"",'By Round'!J9)</f>
        <v/>
      </c>
      <c r="K32" s="15">
        <f>IF(ISBLANK('By Round'!K9),"",'By Round'!K9)</f>
        <v/>
      </c>
      <c r="L32" s="15">
        <f>IF(ISBLANK('By Round'!L9),"",'By Round'!L9)</f>
        <v/>
      </c>
      <c r="M32" s="17">
        <f>AVERAGE(Y32:Z32)</f>
        <v/>
      </c>
      <c r="N32" s="18">
        <f>AVERAGE(AA32:AB32)</f>
        <v/>
      </c>
      <c r="O32" s="19">
        <f>IF(COUNT(U32:V32)&gt;0,Q32/COUNT(U32:V32),0.5)</f>
        <v/>
      </c>
      <c r="P32" s="19">
        <f>IF(COUNT(W32:X32)&gt;0,R32/COUNT(W32:X32),0.5)</f>
        <v/>
      </c>
      <c r="Q32" s="20">
        <f>SUM(U32:V32)</f>
        <v/>
      </c>
      <c r="R32" s="20">
        <f>SUM(W32:X32)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IF(ISNUMBER(S32),IF(ISNUMBER(S30),IF(S32&gt;S30,1.0,IF(S32=S30,0.5,0.0)),0.5),0.5)</f>
        <v/>
      </c>
      <c r="V32" s="15">
        <f>IF(ISNUMBER(S32),IF(ISNUMBER(S31),IF(S32&gt;S31,1.0,IF(S32=S31,0.5,0.0)),0.5),0.5)</f>
        <v/>
      </c>
      <c r="W32" s="15">
        <f>IF(ISNUMBER(T32),IF(ISNUMBER(T30),IF(T32&gt;T30,1.0,IF(T32=T30,0.5,0.0)),0.5),0.5)</f>
        <v/>
      </c>
      <c r="X32" s="15">
        <f>IF(ISNUMBER(T32),IF(ISNUMBER(T31),IF(T32&gt;T31,1.0,IF(T32=T31,0.5,0.0)),0.5),0.5)</f>
        <v/>
      </c>
      <c r="Y32" s="21">
        <f>IF(AND(ISNUMBER(S32),ISNUMBER(S30)),VLOOKUP(ABS(S32-S30),'IMP Table'!$A$2:$C$26,3)*SIGN(S32-S30),0)</f>
        <v/>
      </c>
      <c r="Z32" s="15">
        <f>IF(AND(ISNUMBER(S32),ISNUMBER(S31)),VLOOKUP(ABS(S32-S31),'IMP Table'!$A$2:$C$26,3)*SIGN(S32-S31),0)</f>
        <v/>
      </c>
      <c r="AA32" s="15">
        <f>IF(AND(ISNUMBER(T32),ISNUMBER(T30)),VLOOKUP(ABS(T32-T30),'IMP Table'!$A$2:$C$26,3)*SIGN(T32-T30),0)</f>
        <v/>
      </c>
      <c r="AB32" s="15">
        <f>IF(AND(ISNUMBER(T32),ISNUMBER(T31)),VLOOKUP(ABS(T32-T31),'IMP Table'!$A$2:$C$26,3)*SIGN(T32-T31),0)</f>
        <v/>
      </c>
    </row>
    <row r="33">
      <c r="A33" s="10" t="n">
        <v>11</v>
      </c>
      <c r="B33" s="10">
        <f>'By Round'!A30</f>
        <v/>
      </c>
      <c r="C33" s="10">
        <f>'By Round'!B30</f>
        <v/>
      </c>
      <c r="D33" s="10">
        <f>'By Round'!C30</f>
        <v/>
      </c>
      <c r="E33" s="10">
        <f>'By Round'!D30</f>
        <v/>
      </c>
      <c r="F33" s="10">
        <f>IF(ISBLANK('By Round'!F31),"",'By Round'!F31)</f>
        <v/>
      </c>
      <c r="G33">
        <f>IF(ISBLANK('By Round'!G31),"",'By Round'!G31)</f>
        <v/>
      </c>
      <c r="H33">
        <f>IF(ISBLANK('By Round'!H31),"",'By Round'!H31)</f>
        <v/>
      </c>
      <c r="I33">
        <f>IF(ISBLANK('By Round'!I31),"",'By Round'!I31)</f>
        <v/>
      </c>
      <c r="J33">
        <f>IF(ISBLANK('By Round'!J31),"",'By Round'!J31)</f>
        <v/>
      </c>
      <c r="K33">
        <f>IF(ISBLANK('By Round'!K31),"",'By Round'!K31)</f>
        <v/>
      </c>
      <c r="L33">
        <f>IF(ISBLANK('By Round'!L31),"",'By Round'!L31)</f>
        <v/>
      </c>
      <c r="M33" s="11">
        <f>AVERAGE(Y33:Z33)</f>
        <v/>
      </c>
      <c r="N33" s="12">
        <f>AVERAGE(AA33:AB33)</f>
        <v/>
      </c>
      <c r="O33" s="13">
        <f>IF(COUNT(U33:V33)&gt;0,Q33/COUNT(U33:V33),0.5)</f>
        <v/>
      </c>
      <c r="P33" s="13">
        <f>IF(COUNT(W33:X33)&gt;0,R33/COUNT(W33:X33),0.5)</f>
        <v/>
      </c>
      <c r="Q33" s="5">
        <f>SUM(U33:V33)</f>
        <v/>
      </c>
      <c r="R33" s="5">
        <f>SUM(W33:X33)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IF(ISNUMBER(S33),IF(ISNUMBER(S34),IF(S33&gt;S34,1.0,IF(S33=S34,0.5,0.0)),0.5),0.5)</f>
        <v/>
      </c>
      <c r="V33">
        <f>IF(ISNUMBER(S33),IF(ISNUMBER(S35),IF(S33&gt;S35,1.0,IF(S33=S35,0.5,0.0)),0.5),0.5)</f>
        <v/>
      </c>
      <c r="W33">
        <f>IF(ISNUMBER(T33),IF(ISNUMBER(T34),IF(T33&gt;T34,1.0,IF(T33=T34,0.5,0.0)),0.5),0.5)</f>
        <v/>
      </c>
      <c r="X33">
        <f>IF(ISNUMBER(T33),IF(ISNUMBER(T35),IF(T33&gt;T35,1.0,IF(T33=T35,0.5,0.0)),0.5),0.5)</f>
        <v/>
      </c>
      <c r="Y33" s="14">
        <f>IF(AND(ISNUMBER(S33),ISNUMBER(S34)),VLOOKUP(ABS(S33-S34),'IMP Table'!$A$2:$C$26,3)*SIGN(S33-S34),0)</f>
        <v/>
      </c>
      <c r="Z33">
        <f>IF(AND(ISNUMBER(S33),ISNUMBER(S35)),VLOOKUP(ABS(S33-S35),'IMP Table'!$A$2:$C$26,3)*SIGN(S33-S35),0)</f>
        <v/>
      </c>
      <c r="AA33">
        <f>IF(AND(ISNUMBER(T33),ISNUMBER(T34)),VLOOKUP(ABS(T33-T34),'IMP Table'!$A$2:$C$26,3)*SIGN(T33-T34),0)</f>
        <v/>
      </c>
      <c r="AB33">
        <f>IF(AND(ISNUMBER(T33),ISNUMBER(T35)),VLOOKUP(ABS(T33-T35),'IMP Table'!$A$2:$C$26,3)*SIGN(T33-T35),0)</f>
        <v/>
      </c>
    </row>
    <row r="34">
      <c r="B34" s="10">
        <f>'By Round'!A12</f>
        <v/>
      </c>
      <c r="C34" s="10">
        <f>'By Round'!B18</f>
        <v/>
      </c>
      <c r="D34" s="10">
        <f>'By Round'!C18</f>
        <v/>
      </c>
      <c r="E34" s="10">
        <f>'By Round'!D18</f>
        <v/>
      </c>
      <c r="F34" s="10">
        <f>IF(ISBLANK('By Round'!F19),"",'By Round'!F19)</f>
        <v/>
      </c>
      <c r="G34">
        <f>IF(ISBLANK('By Round'!G19),"",'By Round'!G19)</f>
        <v/>
      </c>
      <c r="H34">
        <f>IF(ISBLANK('By Round'!H19),"",'By Round'!H19)</f>
        <v/>
      </c>
      <c r="I34">
        <f>IF(ISBLANK('By Round'!I19),"",'By Round'!I19)</f>
        <v/>
      </c>
      <c r="J34">
        <f>IF(ISBLANK('By Round'!J19),"",'By Round'!J19)</f>
        <v/>
      </c>
      <c r="K34">
        <f>IF(ISBLANK('By Round'!K19),"",'By Round'!K19)</f>
        <v/>
      </c>
      <c r="L34">
        <f>IF(ISBLANK('By Round'!L19),"",'By Round'!L19)</f>
        <v/>
      </c>
      <c r="M34" s="11">
        <f>AVERAGE(Y34:Z34)</f>
        <v/>
      </c>
      <c r="N34" s="12">
        <f>AVERAGE(AA34:AB34)</f>
        <v/>
      </c>
      <c r="O34" s="13">
        <f>IF(COUNT(U34:V34)&gt;0,Q34/COUNT(U34:V34),0.5)</f>
        <v/>
      </c>
      <c r="P34" s="13">
        <f>IF(COUNT(W34:X34)&gt;0,R34/COUNT(W34:X34),0.5)</f>
        <v/>
      </c>
      <c r="Q34" s="5">
        <f>SUM(U34:V34)</f>
        <v/>
      </c>
      <c r="R34" s="5">
        <f>SUM(W34:X34)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IF(ISNUMBER(S34),IF(ISNUMBER(S33),IF(S34&gt;S33,1.0,IF(S34=S33,0.5,0.0)),0.5),0.5)</f>
        <v/>
      </c>
      <c r="V34">
        <f>IF(ISNUMBER(S34),IF(ISNUMBER(S35),IF(S34&gt;S35,1.0,IF(S34=S35,0.5,0.0)),0.5),0.5)</f>
        <v/>
      </c>
      <c r="W34">
        <f>IF(ISNUMBER(T34),IF(ISNUMBER(T33),IF(T34&gt;T33,1.0,IF(T34=T33,0.5,0.0)),0.5),0.5)</f>
        <v/>
      </c>
      <c r="X34">
        <f>IF(ISNUMBER(T34),IF(ISNUMBER(T35),IF(T34&gt;T35,1.0,IF(T34=T35,0.5,0.0)),0.5),0.5)</f>
        <v/>
      </c>
      <c r="Y34" s="14">
        <f>IF(AND(ISNUMBER(S34),ISNUMBER(S33)),VLOOKUP(ABS(S34-S33),'IMP Table'!$A$2:$C$26,3)*SIGN(S34-S33),0)</f>
        <v/>
      </c>
      <c r="Z34">
        <f>IF(AND(ISNUMBER(S34),ISNUMBER(S35)),VLOOKUP(ABS(S34-S35),'IMP Table'!$A$2:$C$26,3)*SIGN(S34-S35),0)</f>
        <v/>
      </c>
      <c r="AA34">
        <f>IF(AND(ISNUMBER(T34),ISNUMBER(T33)),VLOOKUP(ABS(T34-T33),'IMP Table'!$A$2:$C$26,3)*SIGN(T34-T33),0)</f>
        <v/>
      </c>
      <c r="AB34">
        <f>IF(AND(ISNUMBER(T34),ISNUMBER(T35)),VLOOKUP(ABS(T34-T35),'IMP Table'!$A$2:$C$26,3)*SIGN(T34-T35),0)</f>
        <v/>
      </c>
    </row>
    <row r="35">
      <c r="A35" s="15" t="n"/>
      <c r="B35" s="16">
        <f>'By Round'!A3</f>
        <v/>
      </c>
      <c r="C35" s="16">
        <f>'By Round'!B9</f>
        <v/>
      </c>
      <c r="D35" s="16">
        <f>'By Round'!C9</f>
        <v/>
      </c>
      <c r="E35" s="16">
        <f>'By Round'!D9</f>
        <v/>
      </c>
      <c r="F35" s="16">
        <f>IF(ISBLANK('By Round'!F10),"",'By Round'!F10)</f>
        <v/>
      </c>
      <c r="G35" s="15">
        <f>IF(ISBLANK('By Round'!G10),"",'By Round'!G10)</f>
        <v/>
      </c>
      <c r="H35" s="15">
        <f>IF(ISBLANK('By Round'!H10),"",'By Round'!H10)</f>
        <v/>
      </c>
      <c r="I35" s="15">
        <f>IF(ISBLANK('By Round'!I10),"",'By Round'!I10)</f>
        <v/>
      </c>
      <c r="J35" s="15">
        <f>IF(ISBLANK('By Round'!J10),"",'By Round'!J10)</f>
        <v/>
      </c>
      <c r="K35" s="15">
        <f>IF(ISBLANK('By Round'!K10),"",'By Round'!K10)</f>
        <v/>
      </c>
      <c r="L35" s="15">
        <f>IF(ISBLANK('By Round'!L10),"",'By Round'!L10)</f>
        <v/>
      </c>
      <c r="M35" s="17">
        <f>AVERAGE(Y35:Z35)</f>
        <v/>
      </c>
      <c r="N35" s="18">
        <f>AVERAGE(AA35:AB35)</f>
        <v/>
      </c>
      <c r="O35" s="19">
        <f>IF(COUNT(U35:V35)&gt;0,Q35/COUNT(U35:V35),0.5)</f>
        <v/>
      </c>
      <c r="P35" s="19">
        <f>IF(COUNT(W35:X35)&gt;0,R35/COUNT(W35:X35),0.5)</f>
        <v/>
      </c>
      <c r="Q35" s="20">
        <f>SUM(U35:V35)</f>
        <v/>
      </c>
      <c r="R35" s="20">
        <f>SUM(W35:X35)</f>
        <v/>
      </c>
      <c r="S35" s="21">
        <f>IF(ISNUMBER(K35),K35,IF(ISNUMBER(L35),-L35,""))</f>
        <v/>
      </c>
      <c r="T35" s="15">
        <f>IF(ISNUMBER(L35),L35,IF(ISNUMBER(K35),-K35,""))</f>
        <v/>
      </c>
      <c r="U35" s="21">
        <f>IF(ISNUMBER(S35),IF(ISNUMBER(S33),IF(S35&gt;S33,1.0,IF(S35=S33,0.5,0.0)),0.5),0.5)</f>
        <v/>
      </c>
      <c r="V35" s="15">
        <f>IF(ISNUMBER(S35),IF(ISNUMBER(S34),IF(S35&gt;S34,1.0,IF(S35=S34,0.5,0.0)),0.5),0.5)</f>
        <v/>
      </c>
      <c r="W35" s="15">
        <f>IF(ISNUMBER(T35),IF(ISNUMBER(T33),IF(T35&gt;T33,1.0,IF(T35=T33,0.5,0.0)),0.5),0.5)</f>
        <v/>
      </c>
      <c r="X35" s="15">
        <f>IF(ISNUMBER(T35),IF(ISNUMBER(T34),IF(T35&gt;T34,1.0,IF(T35=T34,0.5,0.0)),0.5),0.5)</f>
        <v/>
      </c>
      <c r="Y35" s="21">
        <f>IF(AND(ISNUMBER(S35),ISNUMBER(S33)),VLOOKUP(ABS(S35-S33),'IMP Table'!$A$2:$C$26,3)*SIGN(S35-S33),0)</f>
        <v/>
      </c>
      <c r="Z35" s="15">
        <f>IF(AND(ISNUMBER(S35),ISNUMBER(S34)),VLOOKUP(ABS(S35-S34),'IMP Table'!$A$2:$C$26,3)*SIGN(S35-S34),0)</f>
        <v/>
      </c>
      <c r="AA35" s="15">
        <f>IF(AND(ISNUMBER(T35),ISNUMBER(T33)),VLOOKUP(ABS(T35-T33),'IMP Table'!$A$2:$C$26,3)*SIGN(T35-T33),0)</f>
        <v/>
      </c>
      <c r="AB35" s="15">
        <f>IF(AND(ISNUMBER(T35),ISNUMBER(T34)),VLOOKUP(ABS(T35-T34),'IMP Table'!$A$2:$C$26,3)*SIGN(T35-T34),0)</f>
        <v/>
      </c>
    </row>
    <row r="36">
      <c r="A36" s="10" t="n">
        <v>12</v>
      </c>
      <c r="B36" s="10">
        <f>'By Round'!A30</f>
        <v/>
      </c>
      <c r="C36" s="10">
        <f>'By Round'!B30</f>
        <v/>
      </c>
      <c r="D36" s="10">
        <f>'By Round'!C30</f>
        <v/>
      </c>
      <c r="E36" s="10">
        <f>'By Round'!D30</f>
        <v/>
      </c>
      <c r="F36" s="10">
        <f>IF(ISBLANK('By Round'!F32),"",'By Round'!F32)</f>
        <v/>
      </c>
      <c r="G36">
        <f>IF(ISBLANK('By Round'!G32),"",'By Round'!G32)</f>
        <v/>
      </c>
      <c r="H36">
        <f>IF(ISBLANK('By Round'!H32),"",'By Round'!H32)</f>
        <v/>
      </c>
      <c r="I36">
        <f>IF(ISBLANK('By Round'!I32),"",'By Round'!I32)</f>
        <v/>
      </c>
      <c r="J36">
        <f>IF(ISBLANK('By Round'!J32),"",'By Round'!J32)</f>
        <v/>
      </c>
      <c r="K36">
        <f>IF(ISBLANK('By Round'!K32),"",'By Round'!K32)</f>
        <v/>
      </c>
      <c r="L36">
        <f>IF(ISBLANK('By Round'!L32),"",'By Round'!L32)</f>
        <v/>
      </c>
      <c r="M36" s="11">
        <f>AVERAGE(Y36:Z36)</f>
        <v/>
      </c>
      <c r="N36" s="12">
        <f>AVERAGE(AA36:AB36)</f>
        <v/>
      </c>
      <c r="O36" s="13">
        <f>IF(COUNT(U36:V36)&gt;0,Q36/COUNT(U36:V36),0.5)</f>
        <v/>
      </c>
      <c r="P36" s="13">
        <f>IF(COUNT(W36:X36)&gt;0,R36/COUNT(W36:X36),0.5)</f>
        <v/>
      </c>
      <c r="Q36" s="5">
        <f>SUM(U36:V36)</f>
        <v/>
      </c>
      <c r="R36" s="5">
        <f>SUM(W36:X36)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IF(ISNUMBER(S36),IF(ISNUMBER(S37),IF(S36&gt;S37,1.0,IF(S36=S37,0.5,0.0)),0.5),0.5)</f>
        <v/>
      </c>
      <c r="V36">
        <f>IF(ISNUMBER(S36),IF(ISNUMBER(S38),IF(S36&gt;S38,1.0,IF(S36=S38,0.5,0.0)),0.5),0.5)</f>
        <v/>
      </c>
      <c r="W36">
        <f>IF(ISNUMBER(T36),IF(ISNUMBER(T37),IF(T36&gt;T37,1.0,IF(T36=T37,0.5,0.0)),0.5),0.5)</f>
        <v/>
      </c>
      <c r="X36">
        <f>IF(ISNUMBER(T36),IF(ISNUMBER(T38),IF(T36&gt;T38,1.0,IF(T36=T38,0.5,0.0)),0.5),0.5)</f>
        <v/>
      </c>
      <c r="Y36" s="14">
        <f>IF(AND(ISNUMBER(S36),ISNUMBER(S37)),VLOOKUP(ABS(S36-S37),'IMP Table'!$A$2:$C$26,3)*SIGN(S36-S37),0)</f>
        <v/>
      </c>
      <c r="Z36">
        <f>IF(AND(ISNUMBER(S36),ISNUMBER(S38)),VLOOKUP(ABS(S36-S38),'IMP Table'!$A$2:$C$26,3)*SIGN(S36-S38),0)</f>
        <v/>
      </c>
      <c r="AA36">
        <f>IF(AND(ISNUMBER(T36),ISNUMBER(T37)),VLOOKUP(ABS(T36-T37),'IMP Table'!$A$2:$C$26,3)*SIGN(T36-T37),0)</f>
        <v/>
      </c>
      <c r="AB36">
        <f>IF(AND(ISNUMBER(T36),ISNUMBER(T38)),VLOOKUP(ABS(T36-T38),'IMP Table'!$A$2:$C$26,3)*SIGN(T36-T38),0)</f>
        <v/>
      </c>
    </row>
    <row r="37">
      <c r="B37" s="10">
        <f>'By Round'!A12</f>
        <v/>
      </c>
      <c r="C37" s="10">
        <f>'By Round'!B18</f>
        <v/>
      </c>
      <c r="D37" s="10">
        <f>'By Round'!C18</f>
        <v/>
      </c>
      <c r="E37" s="10">
        <f>'By Round'!D18</f>
        <v/>
      </c>
      <c r="F37" s="10">
        <f>IF(ISBLANK('By Round'!F20),"",'By Round'!F20)</f>
        <v/>
      </c>
      <c r="G37">
        <f>IF(ISBLANK('By Round'!G20),"",'By Round'!G20)</f>
        <v/>
      </c>
      <c r="H37">
        <f>IF(ISBLANK('By Round'!H20),"",'By Round'!H20)</f>
        <v/>
      </c>
      <c r="I37">
        <f>IF(ISBLANK('By Round'!I20),"",'By Round'!I20)</f>
        <v/>
      </c>
      <c r="J37">
        <f>IF(ISBLANK('By Round'!J20),"",'By Round'!J20)</f>
        <v/>
      </c>
      <c r="K37">
        <f>IF(ISBLANK('By Round'!K20),"",'By Round'!K20)</f>
        <v/>
      </c>
      <c r="L37">
        <f>IF(ISBLANK('By Round'!L20),"",'By Round'!L20)</f>
        <v/>
      </c>
      <c r="M37" s="11">
        <f>AVERAGE(Y37:Z37)</f>
        <v/>
      </c>
      <c r="N37" s="12">
        <f>AVERAGE(AA37:AB37)</f>
        <v/>
      </c>
      <c r="O37" s="13">
        <f>IF(COUNT(U37:V37)&gt;0,Q37/COUNT(U37:V37),0.5)</f>
        <v/>
      </c>
      <c r="P37" s="13">
        <f>IF(COUNT(W37:X37)&gt;0,R37/COUNT(W37:X37),0.5)</f>
        <v/>
      </c>
      <c r="Q37" s="5">
        <f>SUM(U37:V37)</f>
        <v/>
      </c>
      <c r="R37" s="5">
        <f>SUM(W37:X37)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IF(ISNUMBER(S37),IF(ISNUMBER(S36),IF(S37&gt;S36,1.0,IF(S37=S36,0.5,0.0)),0.5),0.5)</f>
        <v/>
      </c>
      <c r="V37">
        <f>IF(ISNUMBER(S37),IF(ISNUMBER(S38),IF(S37&gt;S38,1.0,IF(S37=S38,0.5,0.0)),0.5),0.5)</f>
        <v/>
      </c>
      <c r="W37">
        <f>IF(ISNUMBER(T37),IF(ISNUMBER(T36),IF(T37&gt;T36,1.0,IF(T37=T36,0.5,0.0)),0.5),0.5)</f>
        <v/>
      </c>
      <c r="X37">
        <f>IF(ISNUMBER(T37),IF(ISNUMBER(T38),IF(T37&gt;T38,1.0,IF(T37=T38,0.5,0.0)),0.5),0.5)</f>
        <v/>
      </c>
      <c r="Y37" s="14">
        <f>IF(AND(ISNUMBER(S37),ISNUMBER(S36)),VLOOKUP(ABS(S37-S36),'IMP Table'!$A$2:$C$26,3)*SIGN(S37-S36),0)</f>
        <v/>
      </c>
      <c r="Z37">
        <f>IF(AND(ISNUMBER(S37),ISNUMBER(S38)),VLOOKUP(ABS(S37-S38),'IMP Table'!$A$2:$C$26,3)*SIGN(S37-S38),0)</f>
        <v/>
      </c>
      <c r="AA37">
        <f>IF(AND(ISNUMBER(T37),ISNUMBER(T36)),VLOOKUP(ABS(T37-T36),'IMP Table'!$A$2:$C$26,3)*SIGN(T37-T36),0)</f>
        <v/>
      </c>
      <c r="AB37">
        <f>IF(AND(ISNUMBER(T37),ISNUMBER(T38)),VLOOKUP(ABS(T37-T38),'IMP Table'!$A$2:$C$26,3)*SIGN(T37-T38),0)</f>
        <v/>
      </c>
    </row>
    <row r="38">
      <c r="A38" s="15" t="n"/>
      <c r="B38" s="16">
        <f>'By Round'!A3</f>
        <v/>
      </c>
      <c r="C38" s="16">
        <f>'By Round'!B9</f>
        <v/>
      </c>
      <c r="D38" s="16">
        <f>'By Round'!C9</f>
        <v/>
      </c>
      <c r="E38" s="16">
        <f>'By Round'!D9</f>
        <v/>
      </c>
      <c r="F38" s="16">
        <f>IF(ISBLANK('By Round'!F11),"",'By Round'!F11)</f>
        <v/>
      </c>
      <c r="G38" s="15">
        <f>IF(ISBLANK('By Round'!G11),"",'By Round'!G11)</f>
        <v/>
      </c>
      <c r="H38" s="15">
        <f>IF(ISBLANK('By Round'!H11),"",'By Round'!H11)</f>
        <v/>
      </c>
      <c r="I38" s="15">
        <f>IF(ISBLANK('By Round'!I11),"",'By Round'!I11)</f>
        <v/>
      </c>
      <c r="J38" s="15">
        <f>IF(ISBLANK('By Round'!J11),"",'By Round'!J11)</f>
        <v/>
      </c>
      <c r="K38" s="15">
        <f>IF(ISBLANK('By Round'!K11),"",'By Round'!K11)</f>
        <v/>
      </c>
      <c r="L38" s="15">
        <f>IF(ISBLANK('By Round'!L11),"",'By Round'!L11)</f>
        <v/>
      </c>
      <c r="M38" s="17">
        <f>AVERAGE(Y38:Z38)</f>
        <v/>
      </c>
      <c r="N38" s="18">
        <f>AVERAGE(AA38:AB38)</f>
        <v/>
      </c>
      <c r="O38" s="19">
        <f>IF(COUNT(U38:V38)&gt;0,Q38/COUNT(U38:V38),0.5)</f>
        <v/>
      </c>
      <c r="P38" s="19">
        <f>IF(COUNT(W38:X38)&gt;0,R38/COUNT(W38:X38),0.5)</f>
        <v/>
      </c>
      <c r="Q38" s="20">
        <f>SUM(U38:V38)</f>
        <v/>
      </c>
      <c r="R38" s="20">
        <f>SUM(W38:X38)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IF(ISNUMBER(S38),IF(ISNUMBER(S36),IF(S38&gt;S36,1.0,IF(S38=S36,0.5,0.0)),0.5),0.5)</f>
        <v/>
      </c>
      <c r="V38" s="15">
        <f>IF(ISNUMBER(S38),IF(ISNUMBER(S37),IF(S38&gt;S37,1.0,IF(S38=S37,0.5,0.0)),0.5),0.5)</f>
        <v/>
      </c>
      <c r="W38" s="15">
        <f>IF(ISNUMBER(T38),IF(ISNUMBER(T36),IF(T38&gt;T36,1.0,IF(T38=T36,0.5,0.0)),0.5),0.5)</f>
        <v/>
      </c>
      <c r="X38" s="15">
        <f>IF(ISNUMBER(T38),IF(ISNUMBER(T37),IF(T38&gt;T37,1.0,IF(T38=T37,0.5,0.0)),0.5),0.5)</f>
        <v/>
      </c>
      <c r="Y38" s="21">
        <f>IF(AND(ISNUMBER(S38),ISNUMBER(S36)),VLOOKUP(ABS(S38-S36),'IMP Table'!$A$2:$C$26,3)*SIGN(S38-S36),0)</f>
        <v/>
      </c>
      <c r="Z38" s="15">
        <f>IF(AND(ISNUMBER(S38),ISNUMBER(S37)),VLOOKUP(ABS(S38-S37),'IMP Table'!$A$2:$C$26,3)*SIGN(S38-S37),0)</f>
        <v/>
      </c>
      <c r="AA38" s="15">
        <f>IF(AND(ISNUMBER(T38),ISNUMBER(T36)),VLOOKUP(ABS(T38-T36),'IMP Table'!$A$2:$C$26,3)*SIGN(T38-T36),0)</f>
        <v/>
      </c>
      <c r="AB38" s="15">
        <f>IF(AND(ISNUMBER(T38),ISNUMBER(T37)),VLOOKUP(ABS(T38-T37),'IMP Table'!$A$2:$C$26,3)*SIGN(T38-T37),0)</f>
        <v/>
      </c>
    </row>
    <row r="39">
      <c r="A39" s="10" t="n">
        <v>13</v>
      </c>
      <c r="B39" s="10">
        <f>'By Round'!A39</f>
        <v/>
      </c>
      <c r="C39" s="10">
        <f>'By Round'!B39</f>
        <v/>
      </c>
      <c r="D39" s="10">
        <f>'By Round'!C39</f>
        <v/>
      </c>
      <c r="E39" s="10">
        <f>'By Round'!D39</f>
        <v/>
      </c>
      <c r="F39" s="10">
        <f>IF(ISBLANK('By Round'!F39),"",'By Round'!F39)</f>
        <v/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>
        <f>IF(ISBLANK('By Round'!L39),"",'By Round'!L39)</f>
        <v/>
      </c>
      <c r="M39" s="11">
        <f>AVERAGE(Y39:Z39)</f>
        <v/>
      </c>
      <c r="N39" s="12">
        <f>AVERAGE(AA39:AB39)</f>
        <v/>
      </c>
      <c r="O39" s="13">
        <f>IF(COUNT(U39:V39)&gt;0,Q39/COUNT(U39:V39),0.5)</f>
        <v/>
      </c>
      <c r="P39" s="13">
        <f>IF(COUNT(W39:X39)&gt;0,R39/COUNT(W39:X39),0.5)</f>
        <v/>
      </c>
      <c r="Q39" s="5">
        <f>SUM(U39:V39)</f>
        <v/>
      </c>
      <c r="R39" s="5">
        <f>SUM(W39:X39)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IF(ISNUMBER(S39),IF(ISNUMBER(S40),IF(S39&gt;S40,1.0,IF(S39=S40,0.5,0.0)),0.5),0.5)</f>
        <v/>
      </c>
      <c r="V39">
        <f>IF(ISNUMBER(S39),IF(ISNUMBER(S41),IF(S39&gt;S41,1.0,IF(S39=S41,0.5,0.0)),0.5),0.5)</f>
        <v/>
      </c>
      <c r="W39">
        <f>IF(ISNUMBER(T39),IF(ISNUMBER(T40),IF(T39&gt;T40,1.0,IF(T39=T40,0.5,0.0)),0.5),0.5)</f>
        <v/>
      </c>
      <c r="X39">
        <f>IF(ISNUMBER(T39),IF(ISNUMBER(T41),IF(T39&gt;T41,1.0,IF(T39=T41,0.5,0.0)),0.5),0.5)</f>
        <v/>
      </c>
      <c r="Y39" s="14">
        <f>IF(AND(ISNUMBER(S39),ISNUMBER(S40)),VLOOKUP(ABS(S39-S40),'IMP Table'!$A$2:$C$26,3)*SIGN(S39-S40),0)</f>
        <v/>
      </c>
      <c r="Z39">
        <f>IF(AND(ISNUMBER(S39),ISNUMBER(S41)),VLOOKUP(ABS(S39-S41),'IMP Table'!$A$2:$C$26,3)*SIGN(S39-S41),0)</f>
        <v/>
      </c>
      <c r="AA39">
        <f>IF(AND(ISNUMBER(T39),ISNUMBER(T40)),VLOOKUP(ABS(T39-T40),'IMP Table'!$A$2:$C$26,3)*SIGN(T39-T40),0)</f>
        <v/>
      </c>
      <c r="AB39">
        <f>IF(AND(ISNUMBER(T39),ISNUMBER(T41)),VLOOKUP(ABS(T39-T41),'IMP Table'!$A$2:$C$26,3)*SIGN(T39-T41),0)</f>
        <v/>
      </c>
    </row>
    <row r="40">
      <c r="B40" s="10">
        <f>'By Round'!A39</f>
        <v/>
      </c>
      <c r="C40" s="10">
        <f>'By Round'!B42</f>
        <v/>
      </c>
      <c r="D40" s="10">
        <f>'By Round'!C42</f>
        <v/>
      </c>
      <c r="E40" s="10">
        <f>'By Round'!D42</f>
        <v/>
      </c>
      <c r="F40" s="10">
        <f>IF(ISBLANK('By Round'!F42),"",'By Round'!F42)</f>
        <v/>
      </c>
      <c r="G40">
        <f>IF(ISBLANK('By Round'!G42),"",'By Round'!G42)</f>
        <v/>
      </c>
      <c r="H40">
        <f>IF(ISBLANK('By Round'!H42),"",'By Round'!H42)</f>
        <v/>
      </c>
      <c r="I40">
        <f>IF(ISBLANK('By Round'!I42),"",'By Round'!I42)</f>
        <v/>
      </c>
      <c r="J40">
        <f>IF(ISBLANK('By Round'!J42),"",'By Round'!J42)</f>
        <v/>
      </c>
      <c r="K40">
        <f>IF(ISBLANK('By Round'!K42),"",'By Round'!K42)</f>
        <v/>
      </c>
      <c r="L40">
        <f>IF(ISBLANK('By Round'!L42),"",'By Round'!L42)</f>
        <v/>
      </c>
      <c r="M40" s="11">
        <f>AVERAGE(Y40:Z40)</f>
        <v/>
      </c>
      <c r="N40" s="12">
        <f>AVERAGE(AA40:AB40)</f>
        <v/>
      </c>
      <c r="O40" s="13">
        <f>IF(COUNT(U40:V40)&gt;0,Q40/COUNT(U40:V40),0.5)</f>
        <v/>
      </c>
      <c r="P40" s="13">
        <f>IF(COUNT(W40:X40)&gt;0,R40/COUNT(W40:X40),0.5)</f>
        <v/>
      </c>
      <c r="Q40" s="5">
        <f>SUM(U40:V40)</f>
        <v/>
      </c>
      <c r="R40" s="5">
        <f>SUM(W40:X40)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IF(ISNUMBER(S40),IF(ISNUMBER(S39),IF(S40&gt;S39,1.0,IF(S40=S39,0.5,0.0)),0.5),0.5)</f>
        <v/>
      </c>
      <c r="V40">
        <f>IF(ISNUMBER(S40),IF(ISNUMBER(S41),IF(S40&gt;S41,1.0,IF(S40=S41,0.5,0.0)),0.5),0.5)</f>
        <v/>
      </c>
      <c r="W40">
        <f>IF(ISNUMBER(T40),IF(ISNUMBER(T39),IF(T40&gt;T39,1.0,IF(T40=T39,0.5,0.0)),0.5),0.5)</f>
        <v/>
      </c>
      <c r="X40">
        <f>IF(ISNUMBER(T40),IF(ISNUMBER(T41),IF(T40&gt;T41,1.0,IF(T40=T41,0.5,0.0)),0.5),0.5)</f>
        <v/>
      </c>
      <c r="Y40" s="14">
        <f>IF(AND(ISNUMBER(S40),ISNUMBER(S39)),VLOOKUP(ABS(S40-S39),'IMP Table'!$A$2:$C$26,3)*SIGN(S40-S39),0)</f>
        <v/>
      </c>
      <c r="Z40">
        <f>IF(AND(ISNUMBER(S40),ISNUMBER(S41)),VLOOKUP(ABS(S40-S41),'IMP Table'!$A$2:$C$26,3)*SIGN(S40-S41),0)</f>
        <v/>
      </c>
      <c r="AA40">
        <f>IF(AND(ISNUMBER(T40),ISNUMBER(T39)),VLOOKUP(ABS(T40-T39),'IMP Table'!$A$2:$C$26,3)*SIGN(T40-T39),0)</f>
        <v/>
      </c>
      <c r="AB40">
        <f>IF(AND(ISNUMBER(T40),ISNUMBER(T41)),VLOOKUP(ABS(T40-T41),'IMP Table'!$A$2:$C$26,3)*SIGN(T40-T41),0)</f>
        <v/>
      </c>
    </row>
    <row r="41">
      <c r="A41" s="15" t="n"/>
      <c r="B41" s="16">
        <f>'By Round'!A39</f>
        <v/>
      </c>
      <c r="C41" s="16">
        <f>'By Round'!B45</f>
        <v/>
      </c>
      <c r="D41" s="16">
        <f>'By Round'!C45</f>
        <v/>
      </c>
      <c r="E41" s="16">
        <f>'By Round'!D45</f>
        <v/>
      </c>
      <c r="F41" s="16">
        <f>IF(ISBLANK('By Round'!F45),"",'By Round'!F45)</f>
        <v/>
      </c>
      <c r="G41" s="15">
        <f>IF(ISBLANK('By Round'!G45),"",'By Round'!G45)</f>
        <v/>
      </c>
      <c r="H41" s="15">
        <f>IF(ISBLANK('By Round'!H45),"",'By Round'!H45)</f>
        <v/>
      </c>
      <c r="I41" s="15">
        <f>IF(ISBLANK('By Round'!I45),"",'By Round'!I45)</f>
        <v/>
      </c>
      <c r="J41" s="15">
        <f>IF(ISBLANK('By Round'!J45),"",'By Round'!J45)</f>
        <v/>
      </c>
      <c r="K41" s="15">
        <f>IF(ISBLANK('By Round'!K45),"",'By Round'!K45)</f>
        <v/>
      </c>
      <c r="L41" s="15">
        <f>IF(ISBLANK('By Round'!L45),"",'By Round'!L45)</f>
        <v/>
      </c>
      <c r="M41" s="17">
        <f>AVERAGE(Y41:Z41)</f>
        <v/>
      </c>
      <c r="N41" s="18">
        <f>AVERAGE(AA41:AB41)</f>
        <v/>
      </c>
      <c r="O41" s="19">
        <f>IF(COUNT(U41:V41)&gt;0,Q41/COUNT(U41:V41),0.5)</f>
        <v/>
      </c>
      <c r="P41" s="19">
        <f>IF(COUNT(W41:X41)&gt;0,R41/COUNT(W41:X41),0.5)</f>
        <v/>
      </c>
      <c r="Q41" s="20">
        <f>SUM(U41:V41)</f>
        <v/>
      </c>
      <c r="R41" s="20">
        <f>SUM(W41:X41)</f>
        <v/>
      </c>
      <c r="S41" s="21">
        <f>IF(ISNUMBER(K41),K41,IF(ISNUMBER(L41),-L41,""))</f>
        <v/>
      </c>
      <c r="T41" s="15">
        <f>IF(ISNUMBER(L41),L41,IF(ISNUMBER(K41),-K41,""))</f>
        <v/>
      </c>
      <c r="U41" s="21">
        <f>IF(ISNUMBER(S41),IF(ISNUMBER(S39),IF(S41&gt;S39,1.0,IF(S41=S39,0.5,0.0)),0.5),0.5)</f>
        <v/>
      </c>
      <c r="V41" s="15">
        <f>IF(ISNUMBER(S41),IF(ISNUMBER(S40),IF(S41&gt;S40,1.0,IF(S41=S40,0.5,0.0)),0.5),0.5)</f>
        <v/>
      </c>
      <c r="W41" s="15">
        <f>IF(ISNUMBER(T41),IF(ISNUMBER(T39),IF(T41&gt;T39,1.0,IF(T41=T39,0.5,0.0)),0.5),0.5)</f>
        <v/>
      </c>
      <c r="X41" s="15">
        <f>IF(ISNUMBER(T41),IF(ISNUMBER(T40),IF(T41&gt;T40,1.0,IF(T41=T40,0.5,0.0)),0.5),0.5)</f>
        <v/>
      </c>
      <c r="Y41" s="21">
        <f>IF(AND(ISNUMBER(S41),ISNUMBER(S39)),VLOOKUP(ABS(S41-S39),'IMP Table'!$A$2:$C$26,3)*SIGN(S41-S39),0)</f>
        <v/>
      </c>
      <c r="Z41" s="15">
        <f>IF(AND(ISNUMBER(S41),ISNUMBER(S40)),VLOOKUP(ABS(S41-S40),'IMP Table'!$A$2:$C$26,3)*SIGN(S41-S40),0)</f>
        <v/>
      </c>
      <c r="AA41" s="15">
        <f>IF(AND(ISNUMBER(T41),ISNUMBER(T39)),VLOOKUP(ABS(T41-T39),'IMP Table'!$A$2:$C$26,3)*SIGN(T41-T39),0)</f>
        <v/>
      </c>
      <c r="AB41" s="15">
        <f>IF(AND(ISNUMBER(T41),ISNUMBER(T40)),VLOOKUP(ABS(T41-T40),'IMP Table'!$A$2:$C$26,3)*SIGN(T41-T40),0)</f>
        <v/>
      </c>
    </row>
    <row r="42">
      <c r="A42" s="10" t="n">
        <v>14</v>
      </c>
      <c r="B42" s="10">
        <f>'By Round'!A39</f>
        <v/>
      </c>
      <c r="C42" s="10">
        <f>'By Round'!B39</f>
        <v/>
      </c>
      <c r="D42" s="10">
        <f>'By Round'!C39</f>
        <v/>
      </c>
      <c r="E42" s="10">
        <f>'By Round'!D39</f>
        <v/>
      </c>
      <c r="F42" s="10">
        <f>IF(ISBLANK('By Round'!F40),"",'By Round'!F40)</f>
        <v/>
      </c>
      <c r="G42">
        <f>IF(ISBLANK('By Round'!G40),"",'By Round'!G40)</f>
        <v/>
      </c>
      <c r="H42">
        <f>IF(ISBLANK('By Round'!H40),"",'By Round'!H40)</f>
        <v/>
      </c>
      <c r="I42">
        <f>IF(ISBLANK('By Round'!I40),"",'By Round'!I40)</f>
        <v/>
      </c>
      <c r="J42">
        <f>IF(ISBLANK('By Round'!J40),"",'By Round'!J40)</f>
        <v/>
      </c>
      <c r="K42">
        <f>IF(ISBLANK('By Round'!K40),"",'By Round'!K40)</f>
        <v/>
      </c>
      <c r="L42">
        <f>IF(ISBLANK('By Round'!L40),"",'By Round'!L40)</f>
        <v/>
      </c>
      <c r="M42" s="11">
        <f>AVERAGE(Y42:Z42)</f>
        <v/>
      </c>
      <c r="N42" s="12">
        <f>AVERAGE(AA42:AB42)</f>
        <v/>
      </c>
      <c r="O42" s="13">
        <f>IF(COUNT(U42:V42)&gt;0,Q42/COUNT(U42:V42),0.5)</f>
        <v/>
      </c>
      <c r="P42" s="13">
        <f>IF(COUNT(W42:X42)&gt;0,R42/COUNT(W42:X42),0.5)</f>
        <v/>
      </c>
      <c r="Q42" s="5">
        <f>SUM(U42:V42)</f>
        <v/>
      </c>
      <c r="R42" s="5">
        <f>SUM(W42:X42)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IF(ISNUMBER(S42),IF(ISNUMBER(S43),IF(S42&gt;S43,1.0,IF(S42=S43,0.5,0.0)),0.5),0.5)</f>
        <v/>
      </c>
      <c r="V42">
        <f>IF(ISNUMBER(S42),IF(ISNUMBER(S44),IF(S42&gt;S44,1.0,IF(S42=S44,0.5,0.0)),0.5),0.5)</f>
        <v/>
      </c>
      <c r="W42">
        <f>IF(ISNUMBER(T42),IF(ISNUMBER(T43),IF(T42&gt;T43,1.0,IF(T42=T43,0.5,0.0)),0.5),0.5)</f>
        <v/>
      </c>
      <c r="X42">
        <f>IF(ISNUMBER(T42),IF(ISNUMBER(T44),IF(T42&gt;T44,1.0,IF(T42=T44,0.5,0.0)),0.5),0.5)</f>
        <v/>
      </c>
      <c r="Y42" s="14">
        <f>IF(AND(ISNUMBER(S42),ISNUMBER(S43)),VLOOKUP(ABS(S42-S43),'IMP Table'!$A$2:$C$26,3)*SIGN(S42-S43),0)</f>
        <v/>
      </c>
      <c r="Z42">
        <f>IF(AND(ISNUMBER(S42),ISNUMBER(S44)),VLOOKUP(ABS(S42-S44),'IMP Table'!$A$2:$C$26,3)*SIGN(S42-S44),0)</f>
        <v/>
      </c>
      <c r="AA42">
        <f>IF(AND(ISNUMBER(T42),ISNUMBER(T43)),VLOOKUP(ABS(T42-T43),'IMP Table'!$A$2:$C$26,3)*SIGN(T42-T43),0)</f>
        <v/>
      </c>
      <c r="AB42">
        <f>IF(AND(ISNUMBER(T42),ISNUMBER(T44)),VLOOKUP(ABS(T42-T44),'IMP Table'!$A$2:$C$26,3)*SIGN(T42-T44),0)</f>
        <v/>
      </c>
    </row>
    <row r="43">
      <c r="B43" s="10">
        <f>'By Round'!A39</f>
        <v/>
      </c>
      <c r="C43" s="10">
        <f>'By Round'!B42</f>
        <v/>
      </c>
      <c r="D43" s="10">
        <f>'By Round'!C42</f>
        <v/>
      </c>
      <c r="E43" s="10">
        <f>'By Round'!D42</f>
        <v/>
      </c>
      <c r="F43" s="10">
        <f>IF(ISBLANK('By Round'!F43),"",'By Round'!F43)</f>
        <v/>
      </c>
      <c r="G43">
        <f>IF(ISBLANK('By Round'!G43),"",'By Round'!G43)</f>
        <v/>
      </c>
      <c r="H43">
        <f>IF(ISBLANK('By Round'!H43),"",'By Round'!H43)</f>
        <v/>
      </c>
      <c r="I43">
        <f>IF(ISBLANK('By Round'!I43),"",'By Round'!I43)</f>
        <v/>
      </c>
      <c r="J43">
        <f>IF(ISBLANK('By Round'!J43),"",'By Round'!J43)</f>
        <v/>
      </c>
      <c r="K43">
        <f>IF(ISBLANK('By Round'!K43),"",'By Round'!K43)</f>
        <v/>
      </c>
      <c r="L43">
        <f>IF(ISBLANK('By Round'!L43),"",'By Round'!L43)</f>
        <v/>
      </c>
      <c r="M43" s="11">
        <f>AVERAGE(Y43:Z43)</f>
        <v/>
      </c>
      <c r="N43" s="12">
        <f>AVERAGE(AA43:AB43)</f>
        <v/>
      </c>
      <c r="O43" s="13">
        <f>IF(COUNT(U43:V43)&gt;0,Q43/COUNT(U43:V43),0.5)</f>
        <v/>
      </c>
      <c r="P43" s="13">
        <f>IF(COUNT(W43:X43)&gt;0,R43/COUNT(W43:X43),0.5)</f>
        <v/>
      </c>
      <c r="Q43" s="5">
        <f>SUM(U43:V43)</f>
        <v/>
      </c>
      <c r="R43" s="5">
        <f>SUM(W43:X43)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IF(ISNUMBER(S43),IF(ISNUMBER(S42),IF(S43&gt;S42,1.0,IF(S43=S42,0.5,0.0)),0.5),0.5)</f>
        <v/>
      </c>
      <c r="V43">
        <f>IF(ISNUMBER(S43),IF(ISNUMBER(S44),IF(S43&gt;S44,1.0,IF(S43=S44,0.5,0.0)),0.5),0.5)</f>
        <v/>
      </c>
      <c r="W43">
        <f>IF(ISNUMBER(T43),IF(ISNUMBER(T42),IF(T43&gt;T42,1.0,IF(T43=T42,0.5,0.0)),0.5),0.5)</f>
        <v/>
      </c>
      <c r="X43">
        <f>IF(ISNUMBER(T43),IF(ISNUMBER(T44),IF(T43&gt;T44,1.0,IF(T43=T44,0.5,0.0)),0.5),0.5)</f>
        <v/>
      </c>
      <c r="Y43" s="14">
        <f>IF(AND(ISNUMBER(S43),ISNUMBER(S42)),VLOOKUP(ABS(S43-S42),'IMP Table'!$A$2:$C$26,3)*SIGN(S43-S42),0)</f>
        <v/>
      </c>
      <c r="Z43">
        <f>IF(AND(ISNUMBER(S43),ISNUMBER(S44)),VLOOKUP(ABS(S43-S44),'IMP Table'!$A$2:$C$26,3)*SIGN(S43-S44),0)</f>
        <v/>
      </c>
      <c r="AA43">
        <f>IF(AND(ISNUMBER(T43),ISNUMBER(T42)),VLOOKUP(ABS(T43-T42),'IMP Table'!$A$2:$C$26,3)*SIGN(T43-T42),0)</f>
        <v/>
      </c>
      <c r="AB43">
        <f>IF(AND(ISNUMBER(T43),ISNUMBER(T44)),VLOOKUP(ABS(T43-T44),'IMP Table'!$A$2:$C$26,3)*SIGN(T43-T44),0)</f>
        <v/>
      </c>
    </row>
    <row r="44">
      <c r="A44" s="15" t="n"/>
      <c r="B44" s="16">
        <f>'By Round'!A39</f>
        <v/>
      </c>
      <c r="C44" s="16">
        <f>'By Round'!B45</f>
        <v/>
      </c>
      <c r="D44" s="16">
        <f>'By Round'!C45</f>
        <v/>
      </c>
      <c r="E44" s="16">
        <f>'By Round'!D45</f>
        <v/>
      </c>
      <c r="F44" s="16">
        <f>IF(ISBLANK('By Round'!F46),"",'By Round'!F46)</f>
        <v/>
      </c>
      <c r="G44" s="15">
        <f>IF(ISBLANK('By Round'!G46),"",'By Round'!G46)</f>
        <v/>
      </c>
      <c r="H44" s="15">
        <f>IF(ISBLANK('By Round'!H46),"",'By Round'!H46)</f>
        <v/>
      </c>
      <c r="I44" s="15">
        <f>IF(ISBLANK('By Round'!I46),"",'By Round'!I46)</f>
        <v/>
      </c>
      <c r="J44" s="15">
        <f>IF(ISBLANK('By Round'!J46),"",'By Round'!J46)</f>
        <v/>
      </c>
      <c r="K44" s="15">
        <f>IF(ISBLANK('By Round'!K46),"",'By Round'!K46)</f>
        <v/>
      </c>
      <c r="L44" s="15">
        <f>IF(ISBLANK('By Round'!L46),"",'By Round'!L46)</f>
        <v/>
      </c>
      <c r="M44" s="17">
        <f>AVERAGE(Y44:Z44)</f>
        <v/>
      </c>
      <c r="N44" s="18">
        <f>AVERAGE(AA44:AB44)</f>
        <v/>
      </c>
      <c r="O44" s="19">
        <f>IF(COUNT(U44:V44)&gt;0,Q44/COUNT(U44:V44),0.5)</f>
        <v/>
      </c>
      <c r="P44" s="19">
        <f>IF(COUNT(W44:X44)&gt;0,R44/COUNT(W44:X44),0.5)</f>
        <v/>
      </c>
      <c r="Q44" s="20">
        <f>SUM(U44:V44)</f>
        <v/>
      </c>
      <c r="R44" s="20">
        <f>SUM(W44:X44)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IF(ISNUMBER(S44),IF(ISNUMBER(S42),IF(S44&gt;S42,1.0,IF(S44=S42,0.5,0.0)),0.5),0.5)</f>
        <v/>
      </c>
      <c r="V44" s="15">
        <f>IF(ISNUMBER(S44),IF(ISNUMBER(S43),IF(S44&gt;S43,1.0,IF(S44=S43,0.5,0.0)),0.5),0.5)</f>
        <v/>
      </c>
      <c r="W44" s="15">
        <f>IF(ISNUMBER(T44),IF(ISNUMBER(T42),IF(T44&gt;T42,1.0,IF(T44=T42,0.5,0.0)),0.5),0.5)</f>
        <v/>
      </c>
      <c r="X44" s="15">
        <f>IF(ISNUMBER(T44),IF(ISNUMBER(T43),IF(T44&gt;T43,1.0,IF(T44=T43,0.5,0.0)),0.5),0.5)</f>
        <v/>
      </c>
      <c r="Y44" s="21">
        <f>IF(AND(ISNUMBER(S44),ISNUMBER(S42)),VLOOKUP(ABS(S44-S42),'IMP Table'!$A$2:$C$26,3)*SIGN(S44-S42),0)</f>
        <v/>
      </c>
      <c r="Z44" s="15">
        <f>IF(AND(ISNUMBER(S44),ISNUMBER(S43)),VLOOKUP(ABS(S44-S43),'IMP Table'!$A$2:$C$26,3)*SIGN(S44-S43),0)</f>
        <v/>
      </c>
      <c r="AA44" s="15">
        <f>IF(AND(ISNUMBER(T44),ISNUMBER(T42)),VLOOKUP(ABS(T44-T42),'IMP Table'!$A$2:$C$26,3)*SIGN(T44-T42),0)</f>
        <v/>
      </c>
      <c r="AB44" s="15">
        <f>IF(AND(ISNUMBER(T44),ISNUMBER(T43)),VLOOKUP(ABS(T44-T43),'IMP Table'!$A$2:$C$26,3)*SIGN(T44-T43),0)</f>
        <v/>
      </c>
    </row>
    <row r="45">
      <c r="A45" s="10" t="n">
        <v>15</v>
      </c>
      <c r="B45" s="10">
        <f>'By Round'!A39</f>
        <v/>
      </c>
      <c r="C45" s="10">
        <f>'By Round'!B39</f>
        <v/>
      </c>
      <c r="D45" s="10">
        <f>'By Round'!C39</f>
        <v/>
      </c>
      <c r="E45" s="10">
        <f>'By Round'!D39</f>
        <v/>
      </c>
      <c r="F45" s="10">
        <f>IF(ISBLANK('By Round'!F41),"",'By Round'!F41)</f>
        <v/>
      </c>
      <c r="G45">
        <f>IF(ISBLANK('By Round'!G41),"",'By Round'!G41)</f>
        <v/>
      </c>
      <c r="H45">
        <f>IF(ISBLANK('By Round'!H41),"",'By Round'!H41)</f>
        <v/>
      </c>
      <c r="I45">
        <f>IF(ISBLANK('By Round'!I41),"",'By Round'!I41)</f>
        <v/>
      </c>
      <c r="J45">
        <f>IF(ISBLANK('By Round'!J41),"",'By Round'!J41)</f>
        <v/>
      </c>
      <c r="K45">
        <f>IF(ISBLANK('By Round'!K41),"",'By Round'!K41)</f>
        <v/>
      </c>
      <c r="L45">
        <f>IF(ISBLANK('By Round'!L41),"",'By Round'!L41)</f>
        <v/>
      </c>
      <c r="M45" s="11">
        <f>AVERAGE(Y45:Z45)</f>
        <v/>
      </c>
      <c r="N45" s="12">
        <f>AVERAGE(AA45:AB45)</f>
        <v/>
      </c>
      <c r="O45" s="13">
        <f>IF(COUNT(U45:V45)&gt;0,Q45/COUNT(U45:V45),0.5)</f>
        <v/>
      </c>
      <c r="P45" s="13">
        <f>IF(COUNT(W45:X45)&gt;0,R45/COUNT(W45:X45),0.5)</f>
        <v/>
      </c>
      <c r="Q45" s="5">
        <f>SUM(U45:V45)</f>
        <v/>
      </c>
      <c r="R45" s="5">
        <f>SUM(W45:X45)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IF(ISNUMBER(S45),IF(ISNUMBER(S46),IF(S45&gt;S46,1.0,IF(S45=S46,0.5,0.0)),0.5),0.5)</f>
        <v/>
      </c>
      <c r="V45">
        <f>IF(ISNUMBER(S45),IF(ISNUMBER(S47),IF(S45&gt;S47,1.0,IF(S45=S47,0.5,0.0)),0.5),0.5)</f>
        <v/>
      </c>
      <c r="W45">
        <f>IF(ISNUMBER(T45),IF(ISNUMBER(T46),IF(T45&gt;T46,1.0,IF(T45=T46,0.5,0.0)),0.5),0.5)</f>
        <v/>
      </c>
      <c r="X45">
        <f>IF(ISNUMBER(T45),IF(ISNUMBER(T47),IF(T45&gt;T47,1.0,IF(T45=T47,0.5,0.0)),0.5),0.5)</f>
        <v/>
      </c>
      <c r="Y45" s="14">
        <f>IF(AND(ISNUMBER(S45),ISNUMBER(S46)),VLOOKUP(ABS(S45-S46),'IMP Table'!$A$2:$C$26,3)*SIGN(S45-S46),0)</f>
        <v/>
      </c>
      <c r="Z45">
        <f>IF(AND(ISNUMBER(S45),ISNUMBER(S47)),VLOOKUP(ABS(S45-S47),'IMP Table'!$A$2:$C$26,3)*SIGN(S45-S47),0)</f>
        <v/>
      </c>
      <c r="AA45">
        <f>IF(AND(ISNUMBER(T45),ISNUMBER(T46)),VLOOKUP(ABS(T45-T46),'IMP Table'!$A$2:$C$26,3)*SIGN(T45-T46),0)</f>
        <v/>
      </c>
      <c r="AB45">
        <f>IF(AND(ISNUMBER(T45),ISNUMBER(T47)),VLOOKUP(ABS(T45-T47),'IMP Table'!$A$2:$C$26,3)*SIGN(T45-T47),0)</f>
        <v/>
      </c>
    </row>
    <row r="46">
      <c r="B46" s="10">
        <f>'By Round'!A39</f>
        <v/>
      </c>
      <c r="C46" s="10">
        <f>'By Round'!B42</f>
        <v/>
      </c>
      <c r="D46" s="10">
        <f>'By Round'!C42</f>
        <v/>
      </c>
      <c r="E46" s="10">
        <f>'By Round'!D42</f>
        <v/>
      </c>
      <c r="F46" s="10">
        <f>IF(ISBLANK('By Round'!F44),"",'By Round'!F44)</f>
        <v/>
      </c>
      <c r="G46">
        <f>IF(ISBLANK('By Round'!G44),"",'By Round'!G44)</f>
        <v/>
      </c>
      <c r="H46">
        <f>IF(ISBLANK('By Round'!H44),"",'By Round'!H44)</f>
        <v/>
      </c>
      <c r="I46">
        <f>IF(ISBLANK('By Round'!I44),"",'By Round'!I44)</f>
        <v/>
      </c>
      <c r="J46">
        <f>IF(ISBLANK('By Round'!J44),"",'By Round'!J44)</f>
        <v/>
      </c>
      <c r="K46">
        <f>IF(ISBLANK('By Round'!K44),"",'By Round'!K44)</f>
        <v/>
      </c>
      <c r="L46">
        <f>IF(ISBLANK('By Round'!L44),"",'By Round'!L44)</f>
        <v/>
      </c>
      <c r="M46" s="11">
        <f>AVERAGE(Y46:Z46)</f>
        <v/>
      </c>
      <c r="N46" s="12">
        <f>AVERAGE(AA46:AB46)</f>
        <v/>
      </c>
      <c r="O46" s="13">
        <f>IF(COUNT(U46:V46)&gt;0,Q46/COUNT(U46:V46),0.5)</f>
        <v/>
      </c>
      <c r="P46" s="13">
        <f>IF(COUNT(W46:X46)&gt;0,R46/COUNT(W46:X46),0.5)</f>
        <v/>
      </c>
      <c r="Q46" s="5">
        <f>SUM(U46:V46)</f>
        <v/>
      </c>
      <c r="R46" s="5">
        <f>SUM(W46:X46)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IF(ISNUMBER(S46),IF(ISNUMBER(S45),IF(S46&gt;S45,1.0,IF(S46=S45,0.5,0.0)),0.5),0.5)</f>
        <v/>
      </c>
      <c r="V46">
        <f>IF(ISNUMBER(S46),IF(ISNUMBER(S47),IF(S46&gt;S47,1.0,IF(S46=S47,0.5,0.0)),0.5),0.5)</f>
        <v/>
      </c>
      <c r="W46">
        <f>IF(ISNUMBER(T46),IF(ISNUMBER(T45),IF(T46&gt;T45,1.0,IF(T46=T45,0.5,0.0)),0.5),0.5)</f>
        <v/>
      </c>
      <c r="X46">
        <f>IF(ISNUMBER(T46),IF(ISNUMBER(T47),IF(T46&gt;T47,1.0,IF(T46=T47,0.5,0.0)),0.5),0.5)</f>
        <v/>
      </c>
      <c r="Y46" s="14">
        <f>IF(AND(ISNUMBER(S46),ISNUMBER(S45)),VLOOKUP(ABS(S46-S45),'IMP Table'!$A$2:$C$26,3)*SIGN(S46-S45),0)</f>
        <v/>
      </c>
      <c r="Z46">
        <f>IF(AND(ISNUMBER(S46),ISNUMBER(S47)),VLOOKUP(ABS(S46-S47),'IMP Table'!$A$2:$C$26,3)*SIGN(S46-S47),0)</f>
        <v/>
      </c>
      <c r="AA46">
        <f>IF(AND(ISNUMBER(T46),ISNUMBER(T45)),VLOOKUP(ABS(T46-T45),'IMP Table'!$A$2:$C$26,3)*SIGN(T46-T45),0)</f>
        <v/>
      </c>
      <c r="AB46">
        <f>IF(AND(ISNUMBER(T46),ISNUMBER(T47)),VLOOKUP(ABS(T46-T47),'IMP Table'!$A$2:$C$26,3)*SIGN(T46-T47),0)</f>
        <v/>
      </c>
    </row>
    <row r="47">
      <c r="A47" s="15" t="n"/>
      <c r="B47" s="16">
        <f>'By Round'!A39</f>
        <v/>
      </c>
      <c r="C47" s="16">
        <f>'By Round'!B45</f>
        <v/>
      </c>
      <c r="D47" s="16">
        <f>'By Round'!C45</f>
        <v/>
      </c>
      <c r="E47" s="16">
        <f>'By Round'!D45</f>
        <v/>
      </c>
      <c r="F47" s="16">
        <f>IF(ISBLANK('By Round'!F47),"",'By Round'!F47)</f>
        <v/>
      </c>
      <c r="G47" s="15">
        <f>IF(ISBLANK('By Round'!G47),"",'By Round'!G47)</f>
        <v/>
      </c>
      <c r="H47" s="15">
        <f>IF(ISBLANK('By Round'!H47),"",'By Round'!H47)</f>
        <v/>
      </c>
      <c r="I47" s="15">
        <f>IF(ISBLANK('By Round'!I47),"",'By Round'!I47)</f>
        <v/>
      </c>
      <c r="J47" s="15">
        <f>IF(ISBLANK('By Round'!J47),"",'By Round'!J47)</f>
        <v/>
      </c>
      <c r="K47" s="15">
        <f>IF(ISBLANK('By Round'!K47),"",'By Round'!K47)</f>
        <v/>
      </c>
      <c r="L47" s="15">
        <f>IF(ISBLANK('By Round'!L47),"",'By Round'!L47)</f>
        <v/>
      </c>
      <c r="M47" s="17">
        <f>AVERAGE(Y47:Z47)</f>
        <v/>
      </c>
      <c r="N47" s="18">
        <f>AVERAGE(AA47:AB47)</f>
        <v/>
      </c>
      <c r="O47" s="19">
        <f>IF(COUNT(U47:V47)&gt;0,Q47/COUNT(U47:V47),0.5)</f>
        <v/>
      </c>
      <c r="P47" s="19">
        <f>IF(COUNT(W47:X47)&gt;0,R47/COUNT(W47:X47),0.5)</f>
        <v/>
      </c>
      <c r="Q47" s="20">
        <f>SUM(U47:V47)</f>
        <v/>
      </c>
      <c r="R47" s="20">
        <f>SUM(W47:X47)</f>
        <v/>
      </c>
      <c r="S47" s="21">
        <f>IF(ISNUMBER(K47),K47,IF(ISNUMBER(L47),-L47,""))</f>
        <v/>
      </c>
      <c r="T47" s="15">
        <f>IF(ISNUMBER(L47),L47,IF(ISNUMBER(K47),-K47,""))</f>
        <v/>
      </c>
      <c r="U47" s="21">
        <f>IF(ISNUMBER(S47),IF(ISNUMBER(S45),IF(S47&gt;S45,1.0,IF(S47=S45,0.5,0.0)),0.5),0.5)</f>
        <v/>
      </c>
      <c r="V47" s="15">
        <f>IF(ISNUMBER(S47),IF(ISNUMBER(S46),IF(S47&gt;S46,1.0,IF(S47=S46,0.5,0.0)),0.5),0.5)</f>
        <v/>
      </c>
      <c r="W47" s="15">
        <f>IF(ISNUMBER(T47),IF(ISNUMBER(T45),IF(T47&gt;T45,1.0,IF(T47=T45,0.5,0.0)),0.5),0.5)</f>
        <v/>
      </c>
      <c r="X47" s="15">
        <f>IF(ISNUMBER(T47),IF(ISNUMBER(T46),IF(T47&gt;T46,1.0,IF(T47=T46,0.5,0.0)),0.5),0.5)</f>
        <v/>
      </c>
      <c r="Y47" s="21">
        <f>IF(AND(ISNUMBER(S47),ISNUMBER(S45)),VLOOKUP(ABS(S47-S45),'IMP Table'!$A$2:$C$26,3)*SIGN(S47-S45),0)</f>
        <v/>
      </c>
      <c r="Z47" s="15">
        <f>IF(AND(ISNUMBER(S47),ISNUMBER(S46)),VLOOKUP(ABS(S47-S46),'IMP Table'!$A$2:$C$26,3)*SIGN(S47-S46),0)</f>
        <v/>
      </c>
      <c r="AA47" s="15">
        <f>IF(AND(ISNUMBER(T47),ISNUMBER(T45)),VLOOKUP(ABS(T47-T45),'IMP Table'!$A$2:$C$26,3)*SIGN(T47-T45),0)</f>
        <v/>
      </c>
      <c r="AB47" s="15">
        <f>IF(AND(ISNUMBER(T47),ISNUMBER(T46)),VLOOKUP(ABS(T47-T46),'IMP Table'!$A$2:$C$26,3)*SIGN(T47-T46),0)</f>
        <v/>
      </c>
    </row>
  </sheetData>
  <mergeCells count="12">
    <mergeCell ref="U1:X1"/>
    <mergeCell ref="Y1:AB1"/>
    <mergeCell ref="W2:X2"/>
    <mergeCell ref="Q1:R1"/>
    <mergeCell ref="U2:V2"/>
    <mergeCell ref="AA2:AB2"/>
    <mergeCell ref="Y2:Z2"/>
    <mergeCell ref="K1:L1"/>
    <mergeCell ref="S1:T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inlineStr">
        <is>
          <t>Sit-Out</t>
        </is>
      </c>
      <c r="D3" s="10" t="n">
        <v>1</v>
      </c>
      <c r="E3" s="10" t="n">
        <v>1</v>
      </c>
      <c r="F3" s="10" t="inlineStr">
        <is>
          <t>None</t>
        </is>
      </c>
    </row>
    <row r="4">
      <c r="B4" s="10" t="n"/>
      <c r="C4" s="10" t="n"/>
      <c r="D4" s="10" t="n"/>
      <c r="E4" s="10" t="n">
        <v>2</v>
      </c>
      <c r="F4" s="10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  <c r="L5" s="15" t="n"/>
    </row>
    <row r="6">
      <c r="B6" s="10" t="n">
        <v>2</v>
      </c>
      <c r="C6" s="10" t="n">
        <v>3</v>
      </c>
      <c r="D6" s="10" t="n">
        <v>4</v>
      </c>
      <c r="E6" s="10" t="n">
        <v>4</v>
      </c>
      <c r="F6" s="10" t="inlineStr">
        <is>
          <t>Both</t>
        </is>
      </c>
    </row>
    <row r="7">
      <c r="B7" s="10" t="n"/>
      <c r="C7" s="10" t="n"/>
      <c r="D7" s="10" t="n"/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3</v>
      </c>
      <c r="C9" s="10" t="n">
        <v>5</v>
      </c>
      <c r="D9" s="10" t="n">
        <v>2</v>
      </c>
      <c r="E9" s="10" t="n">
        <v>10</v>
      </c>
      <c r="F9" s="10" t="inlineStr">
        <is>
          <t>Both</t>
        </is>
      </c>
    </row>
    <row r="10">
      <c r="B10" s="10" t="n"/>
      <c r="C10" s="10" t="n"/>
      <c r="D10" s="10" t="n"/>
      <c r="E10" s="10" t="n">
        <v>11</v>
      </c>
      <c r="F10" s="10" t="inlineStr">
        <is>
          <t>None</t>
        </is>
      </c>
    </row>
    <row r="11">
      <c r="A11" s="15" t="n"/>
      <c r="B11" s="16" t="n"/>
      <c r="C11" s="16" t="n"/>
      <c r="D11" s="16" t="n"/>
      <c r="E11" s="16" t="n">
        <v>12</v>
      </c>
      <c r="F11" s="16" t="inlineStr">
        <is>
          <t>NS</t>
        </is>
      </c>
      <c r="G11" s="15" t="n"/>
      <c r="H11" s="15" t="n"/>
      <c r="I11" s="15" t="n"/>
      <c r="J11" s="15" t="n"/>
      <c r="K11" s="15" t="n"/>
      <c r="L11" s="15" t="n"/>
    </row>
    <row r="12">
      <c r="A12" s="10" t="n">
        <v>2</v>
      </c>
      <c r="B12" s="10" t="n">
        <v>1</v>
      </c>
      <c r="C12" s="10" t="inlineStr">
        <is>
          <t>Sit-Out</t>
        </is>
      </c>
      <c r="D12" s="10" t="n">
        <v>2</v>
      </c>
      <c r="E12" s="10" t="n">
        <v>4</v>
      </c>
      <c r="F12" s="10" t="inlineStr">
        <is>
          <t>Both</t>
        </is>
      </c>
    </row>
    <row r="13">
      <c r="B13" s="10" t="n"/>
      <c r="C13" s="10" t="n"/>
      <c r="D13" s="10" t="n"/>
      <c r="E13" s="10" t="n">
        <v>5</v>
      </c>
      <c r="F13" s="10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2</v>
      </c>
      <c r="C15" s="10" t="n">
        <v>4</v>
      </c>
      <c r="D15" s="10" t="n">
        <v>5</v>
      </c>
      <c r="E15" s="10" t="n">
        <v>7</v>
      </c>
      <c r="F15" s="10" t="inlineStr">
        <is>
          <t>Both</t>
        </is>
      </c>
    </row>
    <row r="16">
      <c r="B16" s="10" t="n"/>
      <c r="C16" s="10" t="n"/>
      <c r="D16" s="10" t="n"/>
      <c r="E16" s="10" t="n">
        <v>8</v>
      </c>
      <c r="F16" s="10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  <c r="L17" s="15" t="n"/>
    </row>
    <row r="18">
      <c r="B18" s="10" t="n">
        <v>3</v>
      </c>
      <c r="C18" s="10" t="n">
        <v>1</v>
      </c>
      <c r="D18" s="10" t="n">
        <v>3</v>
      </c>
      <c r="E18" s="10" t="n">
        <v>10</v>
      </c>
      <c r="F18" s="10" t="inlineStr">
        <is>
          <t>Both</t>
        </is>
      </c>
    </row>
    <row r="19">
      <c r="B19" s="10" t="n"/>
      <c r="C19" s="10" t="n"/>
      <c r="D19" s="10" t="n"/>
      <c r="E19" s="10" t="n">
        <v>11</v>
      </c>
      <c r="F19" s="10" t="inlineStr">
        <is>
          <t>None</t>
        </is>
      </c>
    </row>
    <row r="20">
      <c r="A20" s="15" t="n"/>
      <c r="B20" s="16" t="n"/>
      <c r="C20" s="16" t="n"/>
      <c r="D20" s="16" t="n"/>
      <c r="E20" s="16" t="n">
        <v>12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A21" s="10" t="n">
        <v>3</v>
      </c>
      <c r="B21" s="10" t="n">
        <v>1</v>
      </c>
      <c r="C21" s="10" t="inlineStr">
        <is>
          <t>Sit-Out</t>
        </is>
      </c>
      <c r="D21" s="10" t="n">
        <v>3</v>
      </c>
      <c r="E21" s="10" t="n">
        <v>7</v>
      </c>
      <c r="F21" s="10" t="inlineStr">
        <is>
          <t>Both</t>
        </is>
      </c>
    </row>
    <row r="22">
      <c r="B22" s="10" t="n"/>
      <c r="C22" s="10" t="n"/>
      <c r="D22" s="10" t="n"/>
      <c r="E22" s="10" t="n">
        <v>8</v>
      </c>
      <c r="F22" s="10" t="inlineStr">
        <is>
          <t>None</t>
        </is>
      </c>
    </row>
    <row r="23">
      <c r="B23" s="16" t="n"/>
      <c r="C23" s="16" t="n"/>
      <c r="D23" s="16" t="n"/>
      <c r="E23" s="16" t="n">
        <v>9</v>
      </c>
      <c r="F23" s="16" t="inlineStr">
        <is>
          <t>EW</t>
        </is>
      </c>
      <c r="G23" s="15" t="n"/>
      <c r="H23" s="15" t="n"/>
      <c r="I23" s="15" t="n"/>
      <c r="J23" s="15" t="n"/>
      <c r="K23" s="15" t="n"/>
      <c r="L23" s="15" t="n"/>
    </row>
    <row r="24">
      <c r="B24" s="10" t="n">
        <v>2</v>
      </c>
      <c r="C24" s="10" t="n">
        <v>5</v>
      </c>
      <c r="D24" s="10" t="n">
        <v>1</v>
      </c>
      <c r="E24" s="10" t="n">
        <v>4</v>
      </c>
      <c r="F24" s="10" t="inlineStr">
        <is>
          <t>Both</t>
        </is>
      </c>
    </row>
    <row r="25">
      <c r="B25" s="10" t="n"/>
      <c r="C25" s="10" t="n"/>
      <c r="D25" s="10" t="n"/>
      <c r="E25" s="10" t="n">
        <v>5</v>
      </c>
      <c r="F25" s="10" t="inlineStr">
        <is>
          <t>NS</t>
        </is>
      </c>
    </row>
    <row r="26">
      <c r="B26" s="16" t="n"/>
      <c r="C26" s="16" t="n"/>
      <c r="D26" s="16" t="n"/>
      <c r="E26" s="16" t="n">
        <v>6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3</v>
      </c>
      <c r="C27" s="10" t="n">
        <v>2</v>
      </c>
      <c r="D27" s="10" t="n">
        <v>4</v>
      </c>
      <c r="E27" s="10" t="n">
        <v>1</v>
      </c>
      <c r="F27" s="10" t="inlineStr">
        <is>
          <t>None</t>
        </is>
      </c>
    </row>
    <row r="28">
      <c r="B28" s="10" t="n"/>
      <c r="C28" s="10" t="n"/>
      <c r="D28" s="10" t="n"/>
      <c r="E28" s="10" t="n">
        <v>2</v>
      </c>
      <c r="F28" s="10" t="inlineStr">
        <is>
          <t>NS</t>
        </is>
      </c>
    </row>
    <row r="29">
      <c r="A29" s="15" t="n"/>
      <c r="B29" s="16" t="n"/>
      <c r="C29" s="16" t="n"/>
      <c r="D29" s="16" t="n"/>
      <c r="E29" s="16" t="n">
        <v>3</v>
      </c>
      <c r="F29" s="16" t="inlineStr">
        <is>
          <t>EW</t>
        </is>
      </c>
      <c r="G29" s="15" t="n"/>
      <c r="H29" s="15" t="n"/>
      <c r="I29" s="15" t="n"/>
      <c r="J29" s="15" t="n"/>
      <c r="K29" s="15" t="n"/>
      <c r="L29" s="15" t="n"/>
    </row>
    <row r="30">
      <c r="A30" s="10" t="n">
        <v>4</v>
      </c>
      <c r="B30" s="10" t="n">
        <v>1</v>
      </c>
      <c r="C30" s="10" t="inlineStr">
        <is>
          <t>Sit-Out</t>
        </is>
      </c>
      <c r="D30" s="10" t="n">
        <v>4</v>
      </c>
      <c r="E30" s="10" t="n">
        <v>10</v>
      </c>
      <c r="F30" s="10" t="inlineStr">
        <is>
          <t>Both</t>
        </is>
      </c>
    </row>
    <row r="31">
      <c r="B31" s="10" t="n"/>
      <c r="C31" s="10" t="n"/>
      <c r="D31" s="10" t="n"/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2</v>
      </c>
      <c r="C33" s="10" t="n">
        <v>1</v>
      </c>
      <c r="D33" s="10" t="n">
        <v>2</v>
      </c>
      <c r="E33" s="10" t="n">
        <v>7</v>
      </c>
      <c r="F33" s="10" t="inlineStr">
        <is>
          <t>Both</t>
        </is>
      </c>
    </row>
    <row r="34">
      <c r="B34" s="10" t="n"/>
      <c r="C34" s="10" t="n"/>
      <c r="D34" s="10" t="n"/>
      <c r="E34" s="10" t="n">
        <v>8</v>
      </c>
      <c r="F34" s="10" t="inlineStr">
        <is>
          <t>None</t>
        </is>
      </c>
    </row>
    <row r="35">
      <c r="B35" s="16" t="n"/>
      <c r="C35" s="16" t="n"/>
      <c r="D35" s="16" t="n"/>
      <c r="E35" s="16" t="n">
        <v>9</v>
      </c>
      <c r="F35" s="16" t="inlineStr">
        <is>
          <t>EW</t>
        </is>
      </c>
      <c r="G35" s="15" t="n"/>
      <c r="H35" s="15" t="n"/>
      <c r="I35" s="15" t="n"/>
      <c r="J35" s="15" t="n"/>
      <c r="K35" s="15" t="n"/>
      <c r="L35" s="15" t="n"/>
    </row>
    <row r="36">
      <c r="B36" s="10" t="n">
        <v>3</v>
      </c>
      <c r="C36" s="10" t="n">
        <v>3</v>
      </c>
      <c r="D36" s="10" t="n">
        <v>5</v>
      </c>
      <c r="E36" s="10" t="n">
        <v>1</v>
      </c>
      <c r="F36" s="10" t="inlineStr">
        <is>
          <t>None</t>
        </is>
      </c>
    </row>
    <row r="37">
      <c r="B37" s="10" t="n"/>
      <c r="C37" s="10" t="n"/>
      <c r="D37" s="10" t="n"/>
      <c r="E37" s="10" t="n">
        <v>2</v>
      </c>
      <c r="F37" s="10" t="inlineStr">
        <is>
          <t>NS</t>
        </is>
      </c>
    </row>
    <row r="38">
      <c r="A38" s="15" t="n"/>
      <c r="B38" s="16" t="n"/>
      <c r="C38" s="16" t="n"/>
      <c r="D38" s="16" t="n"/>
      <c r="E38" s="16" t="n">
        <v>3</v>
      </c>
      <c r="F38" s="16" t="inlineStr">
        <is>
          <t>EW</t>
        </is>
      </c>
      <c r="G38" s="15" t="n"/>
      <c r="H38" s="15" t="n"/>
      <c r="I38" s="15" t="n"/>
      <c r="J38" s="15" t="n"/>
      <c r="K38" s="15" t="n"/>
      <c r="L38" s="15" t="n"/>
    </row>
    <row r="39">
      <c r="A39" s="10" t="n">
        <v>5</v>
      </c>
      <c r="B39" s="10" t="n">
        <v>1</v>
      </c>
      <c r="C39" s="10" t="inlineStr">
        <is>
          <t>Sit-Out</t>
        </is>
      </c>
      <c r="D39" s="10" t="n">
        <v>5</v>
      </c>
      <c r="E39" s="10" t="n">
        <v>13</v>
      </c>
      <c r="F39" s="10" t="inlineStr">
        <is>
          <t>Both</t>
        </is>
      </c>
    </row>
    <row r="40">
      <c r="B40" s="10" t="n"/>
      <c r="C40" s="10" t="n"/>
      <c r="D40" s="10" t="n"/>
      <c r="E40" s="10" t="n">
        <v>14</v>
      </c>
      <c r="F40" s="10" t="inlineStr">
        <is>
          <t>None</t>
        </is>
      </c>
    </row>
    <row r="41">
      <c r="B41" s="16" t="n"/>
      <c r="C41" s="16" t="n"/>
      <c r="D41" s="16" t="n"/>
      <c r="E41" s="16" t="n">
        <v>15</v>
      </c>
      <c r="F41" s="16" t="inlineStr">
        <is>
          <t>NS</t>
        </is>
      </c>
      <c r="G41" s="15" t="n"/>
      <c r="H41" s="15" t="n"/>
      <c r="I41" s="15" t="n"/>
      <c r="J41" s="15" t="n"/>
      <c r="K41" s="15" t="n"/>
      <c r="L41" s="15" t="n"/>
    </row>
    <row r="42">
      <c r="B42" s="10" t="n">
        <v>2</v>
      </c>
      <c r="C42" s="10" t="n">
        <v>2</v>
      </c>
      <c r="D42" s="10" t="n">
        <v>3</v>
      </c>
      <c r="E42" s="10" t="n">
        <v>13</v>
      </c>
      <c r="F42" s="10" t="inlineStr">
        <is>
          <t>Both</t>
        </is>
      </c>
    </row>
    <row r="43">
      <c r="B43" s="10" t="n"/>
      <c r="C43" s="10" t="n"/>
      <c r="D43" s="10" t="n"/>
      <c r="E43" s="10" t="n">
        <v>14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15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3</v>
      </c>
      <c r="C45" s="10" t="n">
        <v>4</v>
      </c>
      <c r="D45" s="10" t="n">
        <v>1</v>
      </c>
      <c r="E45" s="10" t="n">
        <v>13</v>
      </c>
      <c r="F45" s="10" t="inlineStr">
        <is>
          <t>Both</t>
        </is>
      </c>
    </row>
    <row r="46">
      <c r="B46" s="10" t="n"/>
      <c r="C46" s="10" t="n"/>
      <c r="D46" s="10" t="n"/>
      <c r="E46" s="10" t="n">
        <v>14</v>
      </c>
      <c r="F46" s="10" t="inlineStr">
        <is>
          <t>None</t>
        </is>
      </c>
    </row>
    <row r="47">
      <c r="A47" s="15" t="n"/>
      <c r="B47" s="16" t="n"/>
      <c r="C47" s="16" t="n"/>
      <c r="D47" s="16" t="n"/>
      <c r="E47" s="16" t="n">
        <v>15</v>
      </c>
      <c r="F47" s="16" t="inlineStr">
        <is>
          <t>NS</t>
        </is>
      </c>
      <c r="G47" s="15" t="n"/>
      <c r="H47" s="15" t="n"/>
      <c r="I47" s="15" t="n"/>
      <c r="J47" s="15" t="n"/>
      <c r="K47" s="15" t="n"/>
      <c r="L47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2026-04-23T18:29:37Z</dcterms:created>
  <dcterms:modified xsi:type="dcterms:W3CDTF">2026-04-23T18:29:37Z</dcterms:modified>
</cp:coreProperties>
</file>