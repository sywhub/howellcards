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04,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29</t>
        </is>
      </c>
      <c r="C10" t="inlineStr">
        <is>
          <t>Name 85</t>
        </is>
      </c>
      <c r="D10" s="4">
        <f>SUMIF('By Board'!$D$3:$D$38,"=1",'By Board'!$N$3:$N$38)/12+SUMIF('By Board'!$E$3:$E$38,"=1",'By Board'!$O$3:$O$38)/12</f>
        <v/>
      </c>
      <c r="E10" s="5">
        <f>SUMIF('By Board'!$D$3:$D$38,"=1",'By Board'!$L$3:$L$38)+SUMIF('By Board'!$E$3:$E$38,"=1",'By Board'!$M$3:$M$38)</f>
        <v/>
      </c>
    </row>
    <row r="11">
      <c r="A11" s="2" t="n">
        <v>2</v>
      </c>
      <c r="B11" t="inlineStr">
        <is>
          <t>Name 82</t>
        </is>
      </c>
      <c r="C11" t="inlineStr">
        <is>
          <t>Name 38</t>
        </is>
      </c>
      <c r="D11" s="4">
        <f>SUMIF('By Board'!$D$3:$D$38,"=2",'By Board'!$N$3:$N$38)/12+SUMIF('By Board'!$E$3:$E$38,"=2",'By Board'!$O$3:$O$38)/12</f>
        <v/>
      </c>
      <c r="E11" s="5">
        <f>SUMIF('By Board'!$D$3:$D$38,"=2",'By Board'!$L$3:$L$38)+SUMIF('By Board'!$E$3:$E$38,"=2",'By Board'!$M$3:$M$38)</f>
        <v/>
      </c>
    </row>
    <row r="12">
      <c r="A12" s="2" t="n">
        <v>3</v>
      </c>
      <c r="B12" t="inlineStr">
        <is>
          <t>Name 73</t>
        </is>
      </c>
      <c r="C12" t="inlineStr">
        <is>
          <t>Name 73</t>
        </is>
      </c>
      <c r="D12" s="4">
        <f>SUMIF('By Board'!$D$3:$D$38,"=3",'By Board'!$N$3:$N$38)/12+SUMIF('By Board'!$E$3:$E$38,"=3",'By Board'!$O$3:$O$38)/12</f>
        <v/>
      </c>
      <c r="E12" s="5">
        <f>SUMIF('By Board'!$D$3:$D$38,"=3",'By Board'!$L$3:$L$38)+SUMIF('By Board'!$E$3:$E$38,"=3",'By Board'!$M$3:$M$38)</f>
        <v/>
      </c>
    </row>
    <row r="13">
      <c r="A13" s="2" t="n">
        <v>4</v>
      </c>
      <c r="B13" t="inlineStr">
        <is>
          <t>Name 55</t>
        </is>
      </c>
      <c r="C13" t="inlineStr">
        <is>
          <t>Name 31</t>
        </is>
      </c>
      <c r="D13" s="4">
        <f>SUMIF('By Board'!$D$3:$D$38,"=4",'By Board'!$N$3:$N$38)/12+SUMIF('By Board'!$E$3:$E$38,"=4",'By Board'!$O$3:$O$38)/12</f>
        <v/>
      </c>
      <c r="E13" s="5">
        <f>SUMIF('By Board'!$D$3:$D$38,"=4",'By Board'!$L$3:$L$38)+SUMIF('By Board'!$E$3:$E$38,"=4",'By Board'!$M$3:$M$38)</f>
        <v/>
      </c>
    </row>
    <row r="14">
      <c r="A14" s="2" t="n">
        <v>5</v>
      </c>
      <c r="B14" t="inlineStr">
        <is>
          <t>Name 65</t>
        </is>
      </c>
      <c r="C14" t="inlineStr">
        <is>
          <t>Name 62</t>
        </is>
      </c>
      <c r="D14" s="4">
        <f>SUMIF('By Board'!$D$3:$D$38,"=5",'By Board'!$N$3:$N$38)/12+SUMIF('By Board'!$E$3:$E$38,"=5",'By Board'!$O$3:$O$38)/12</f>
        <v/>
      </c>
      <c r="E14" s="5">
        <f>SUMIF('By Board'!$D$3:$D$38,"=5",'By Board'!$L$3:$L$38)+SUMIF('By Board'!$E$3:$E$38,"=5",'By Board'!$M$3:$M$38)</f>
        <v/>
      </c>
    </row>
    <row r="15">
      <c r="D15" s="6">
        <f>AVERAGE(D10:D14)</f>
        <v/>
      </c>
      <c r="E15" s="7">
        <f>SUM(E10:E14)</f>
        <v/>
      </c>
    </row>
    <row r="17">
      <c r="A17" t="inlineStr">
        <is>
          <t>To sort, remove single quote below</t>
        </is>
      </c>
    </row>
    <row r="18">
      <c r="A18" s="2" t="inlineStr">
        <is>
          <t>IMP Ranking</t>
        </is>
      </c>
    </row>
    <row r="19">
      <c r="A19" t="inlineStr">
        <is>
          <t>'=SORT(A10:E14,4,-1)</t>
        </is>
      </c>
      <c r="D19" s="5" t="n"/>
      <c r="E19" s="8" t="n"/>
    </row>
    <row r="20"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8">
      <c r="A28" s="2" t="inlineStr">
        <is>
          <t>MP Ranking</t>
        </is>
      </c>
    </row>
    <row r="29">
      <c r="A29" t="inlineStr">
        <is>
          <t>'=SORT(A10:E14,5,-1)</t>
        </is>
      </c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</sheetData>
  <mergeCells count="9">
    <mergeCell ref="A4:B4"/>
    <mergeCell ref="A18:E18"/>
    <mergeCell ref="A7:B7"/>
    <mergeCell ref="A2:E2"/>
    <mergeCell ref="A28:E28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1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5">
        <f>'By Round'!A30</f>
        <v/>
      </c>
      <c r="C5" s="15">
        <f>'By Round'!B36</f>
        <v/>
      </c>
      <c r="D5" s="15">
        <f>'By Round'!C36</f>
        <v/>
      </c>
      <c r="E5" s="15">
        <f>'By Round'!D36</f>
        <v/>
      </c>
      <c r="F5" s="16" t="inlineStr">
        <is>
          <t>None</t>
        </is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1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1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5">
        <f>'By Round'!A30</f>
        <v/>
      </c>
      <c r="C8" s="15">
        <f>'By Round'!B36</f>
        <v/>
      </c>
      <c r="D8" s="15">
        <f>'By Round'!C36</f>
        <v/>
      </c>
      <c r="E8" s="15">
        <f>'By Round'!D36</f>
        <v/>
      </c>
      <c r="F8" s="16" t="inlineStr">
        <is>
          <t>NS</t>
        </is>
      </c>
      <c r="G8" s="15">
        <f>IF(ISBLANK('By Round'!G36),"",'By Round'!G36)</f>
        <v/>
      </c>
      <c r="H8" s="15">
        <f>IF(ISBLANK('By Round'!H36),"",'By Round'!H36)</f>
        <v/>
      </c>
      <c r="I8" s="15">
        <f>IF(ISBLANK('By Round'!I36),"",'By Round'!I36)</f>
        <v/>
      </c>
      <c r="J8" s="15">
        <f>IF(ISBLANK('By Round'!J36),"",'By Round'!J36)</f>
        <v/>
      </c>
      <c r="K8" s="15">
        <f>IF(ISBLANK('By Round'!K36),"",'By Round'!K36)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1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5">
        <f>'By Round'!A30</f>
        <v/>
      </c>
      <c r="C11" s="15">
        <f>'By Round'!B36</f>
        <v/>
      </c>
      <c r="D11" s="15">
        <f>'By Round'!C36</f>
        <v/>
      </c>
      <c r="E11" s="15">
        <f>'By Round'!D36</f>
        <v/>
      </c>
      <c r="F11" s="16" t="inlineStr">
        <is>
          <t>EW</t>
        </is>
      </c>
      <c r="G11" s="15">
        <f>IF(ISBLANK('By Round'!G36),"",'By Round'!G36)</f>
        <v/>
      </c>
      <c r="H11" s="15">
        <f>IF(ISBLANK('By Round'!H36),"",'By Round'!H36)</f>
        <v/>
      </c>
      <c r="I11" s="15">
        <f>IF(ISBLANK('By Round'!I36),"",'By Round'!I36)</f>
        <v/>
      </c>
      <c r="J11" s="15">
        <f>IF(ISBLANK('By Round'!J36),"",'By Round'!J36)</f>
        <v/>
      </c>
      <c r="K11" s="15">
        <f>IF(ISBLANK('By Round'!K36),"",'By Round'!K36)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1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1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5">
        <f>'By Round'!A21</f>
        <v/>
      </c>
      <c r="C14" s="15">
        <f>'By Round'!B24</f>
        <v/>
      </c>
      <c r="D14" s="15">
        <f>'By Round'!C24</f>
        <v/>
      </c>
      <c r="E14" s="15">
        <f>'By Round'!D24</f>
        <v/>
      </c>
      <c r="F14" s="16" t="inlineStr">
        <is>
          <t>Both</t>
        </is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1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1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5">
        <f>'By Round'!A21</f>
        <v/>
      </c>
      <c r="C17" s="15">
        <f>'By Round'!B24</f>
        <v/>
      </c>
      <c r="D17" s="15">
        <f>'By Round'!C24</f>
        <v/>
      </c>
      <c r="E17" s="15">
        <f>'By Round'!D24</f>
        <v/>
      </c>
      <c r="F17" s="16" t="inlineStr">
        <is>
          <t>NS</t>
        </is>
      </c>
      <c r="G17" s="15">
        <f>IF(ISBLANK('By Round'!G24),"",'By Round'!G24)</f>
        <v/>
      </c>
      <c r="H17" s="15">
        <f>IF(ISBLANK('By Round'!H24),"",'By Round'!H24)</f>
        <v/>
      </c>
      <c r="I17" s="15">
        <f>IF(ISBLANK('By Round'!I24),"",'By Round'!I24)</f>
        <v/>
      </c>
      <c r="J17" s="15">
        <f>IF(ISBLANK('By Round'!J24),"",'By Round'!J24)</f>
        <v/>
      </c>
      <c r="K17" s="15">
        <f>IF(ISBLANK('By Round'!K24),"",'By Round'!K24)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1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1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5">
        <f>'By Round'!A21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6" t="inlineStr">
        <is>
          <t>EW</t>
        </is>
      </c>
      <c r="G20" s="15">
        <f>IF(ISBLANK('By Round'!G24),"",'By Round'!G24)</f>
        <v/>
      </c>
      <c r="H20" s="15">
        <f>IF(ISBLANK('By Round'!H24),"",'By Round'!H24)</f>
        <v/>
      </c>
      <c r="I20" s="15">
        <f>IF(ISBLANK('By Round'!I24),"",'By Round'!I24)</f>
        <v/>
      </c>
      <c r="J20" s="15">
        <f>IF(ISBLANK('By Round'!J24),"",'By Round'!J24)</f>
        <v/>
      </c>
      <c r="K20" s="15">
        <f>IF(ISBLANK('By Round'!K24),"",'By Round'!K24)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1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5">
        <f>'By Round'!A30</f>
        <v/>
      </c>
      <c r="C23" s="15">
        <f>'By Round'!B33</f>
        <v/>
      </c>
      <c r="D23" s="15">
        <f>'By Round'!C33</f>
        <v/>
      </c>
      <c r="E23" s="15">
        <f>'By Round'!D33</f>
        <v/>
      </c>
      <c r="F23" s="16" t="inlineStr">
        <is>
          <t>Both</t>
        </is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1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5">
        <f>'By Round'!A30</f>
        <v/>
      </c>
      <c r="C26" s="15">
        <f>'By Round'!B33</f>
        <v/>
      </c>
      <c r="D26" s="15">
        <f>'By Round'!C33</f>
        <v/>
      </c>
      <c r="E26" s="15">
        <f>'By Round'!D33</f>
        <v/>
      </c>
      <c r="F26" s="16" t="inlineStr">
        <is>
          <t>None</t>
        </is>
      </c>
      <c r="G26" s="15">
        <f>IF(ISBLANK('By Round'!G33),"",'By Round'!G33)</f>
        <v/>
      </c>
      <c r="H26" s="15">
        <f>IF(ISBLANK('By Round'!H33),"",'By Round'!H33)</f>
        <v/>
      </c>
      <c r="I26" s="15">
        <f>IF(ISBLANK('By Round'!I33),"",'By Round'!I33)</f>
        <v/>
      </c>
      <c r="J26" s="15">
        <f>IF(ISBLANK('By Round'!J33),"",'By Round'!J33)</f>
        <v/>
      </c>
      <c r="K26" s="15">
        <f>IF(ISBLANK('By Round'!K33),"",'By Round'!K33)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5">
        <f>'By Round'!A30</f>
        <v/>
      </c>
      <c r="C29" s="15">
        <f>'By Round'!B33</f>
        <v/>
      </c>
      <c r="D29" s="15">
        <f>'By Round'!C33</f>
        <v/>
      </c>
      <c r="E29" s="15">
        <f>'By Round'!D33</f>
        <v/>
      </c>
      <c r="F29" s="16" t="inlineStr">
        <is>
          <t>EW</t>
        </is>
      </c>
      <c r="G29" s="15">
        <f>IF(ISBLANK('By Round'!G33),"",'By Round'!G33)</f>
        <v/>
      </c>
      <c r="H29" s="15">
        <f>IF(ISBLANK('By Round'!H33),"",'By Round'!H33)</f>
        <v/>
      </c>
      <c r="I29" s="15">
        <f>IF(ISBLANK('By Round'!I33),"",'By Round'!I33)</f>
        <v/>
      </c>
      <c r="J29" s="15">
        <f>IF(ISBLANK('By Round'!J33),"",'By Round'!J33)</f>
        <v/>
      </c>
      <c r="K29" s="15">
        <f>IF(ISBLANK('By Round'!K33),"",'By Round'!K33)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1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1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5">
        <f>'By Round'!A30</f>
        <v/>
      </c>
      <c r="C32" s="15">
        <f>'By Round'!B30</f>
        <v/>
      </c>
      <c r="D32" s="15">
        <f>'By Round'!C30</f>
        <v/>
      </c>
      <c r="E32" s="15">
        <f>'By Round'!D30</f>
        <v/>
      </c>
      <c r="F32" s="16" t="inlineStr">
        <is>
          <t>Both</t>
        </is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1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1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5">
        <f>'By Round'!A30</f>
        <v/>
      </c>
      <c r="C35" s="15">
        <f>'By Round'!B30</f>
        <v/>
      </c>
      <c r="D35" s="15">
        <f>'By Round'!C30</f>
        <v/>
      </c>
      <c r="E35" s="15">
        <f>'By Round'!D30</f>
        <v/>
      </c>
      <c r="F35" s="16" t="inlineStr">
        <is>
          <t>None</t>
        </is>
      </c>
      <c r="G35" s="15">
        <f>IF(ISBLANK('By Round'!G30),"",'By Round'!G30)</f>
        <v/>
      </c>
      <c r="H35" s="15">
        <f>IF(ISBLANK('By Round'!H30),"",'By Round'!H30)</f>
        <v/>
      </c>
      <c r="I35" s="15">
        <f>IF(ISBLANK('By Round'!I30),"",'By Round'!I30)</f>
        <v/>
      </c>
      <c r="J35" s="15">
        <f>IF(ISBLANK('By Round'!J30),"",'By Round'!J30)</f>
        <v/>
      </c>
      <c r="K35" s="15">
        <f>IF(ISBLANK('By Round'!K30),"",'By Round'!K30)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1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1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5">
        <f>'By Round'!A30</f>
        <v/>
      </c>
      <c r="C38" s="15">
        <f>'By Round'!B30</f>
        <v/>
      </c>
      <c r="D38" s="15">
        <f>'By Round'!C30</f>
        <v/>
      </c>
      <c r="E38" s="15">
        <f>'By Round'!D30</f>
        <v/>
      </c>
      <c r="F38" s="16" t="inlineStr">
        <is>
          <t>NS</t>
        </is>
      </c>
      <c r="G38" s="15">
        <f>IF(ISBLANK('By Round'!G30),"",'By Round'!G30)</f>
        <v/>
      </c>
      <c r="H38" s="15">
        <f>IF(ISBLANK('By Round'!H30),"",'By Round'!H30)</f>
        <v/>
      </c>
      <c r="I38" s="15">
        <f>IF(ISBLANK('By Round'!I30),"",'By Round'!I30)</f>
        <v/>
      </c>
      <c r="J38" s="15">
        <f>IF(ISBLANK('By Round'!J30),"",'By Round'!J30)</f>
        <v/>
      </c>
      <c r="K38" s="15">
        <f>IF(ISBLANK('By Round'!K30),"",'By Round'!K30)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1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6" t="inlineStr">
        <is>
          <t>Both</t>
        </is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1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1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5">
        <f>'By Round'!A39</f>
        <v/>
      </c>
      <c r="C44" s="15">
        <f>'By Round'!B45</f>
        <v/>
      </c>
      <c r="D44" s="15">
        <f>'By Round'!C45</f>
        <v/>
      </c>
      <c r="E44" s="15">
        <f>'By Round'!D45</f>
        <v/>
      </c>
      <c r="F44" s="16" t="inlineStr">
        <is>
          <t>None</t>
        </is>
      </c>
      <c r="G44" s="15">
        <f>IF(ISBLANK('By Round'!G45),"",'By Round'!G45)</f>
        <v/>
      </c>
      <c r="H44" s="15">
        <f>IF(ISBLANK('By Round'!H45),"",'By Round'!H45)</f>
        <v/>
      </c>
      <c r="I44" s="15">
        <f>IF(ISBLANK('By Round'!I45),"",'By Round'!I45)</f>
        <v/>
      </c>
      <c r="J44" s="15">
        <f>IF(ISBLANK('By Round'!J45),"",'By Round'!J45)</f>
        <v/>
      </c>
      <c r="K44" s="15">
        <f>IF(ISBLANK('By Round'!K45),"",'By Round'!K45)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1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5">
        <f>'By Round'!A39</f>
        <v/>
      </c>
      <c r="C47" s="15">
        <f>'By Round'!B45</f>
        <v/>
      </c>
      <c r="D47" s="15">
        <f>'By Round'!C45</f>
        <v/>
      </c>
      <c r="E47" s="15">
        <f>'By Round'!D45</f>
        <v/>
      </c>
      <c r="F47" s="16" t="inlineStr">
        <is>
          <t>NS</t>
        </is>
      </c>
      <c r="G47" s="15">
        <f>IF(ISBLANK('By Round'!G45),"",'By Round'!G45)</f>
        <v/>
      </c>
      <c r="H47" s="15">
        <f>IF(ISBLANK('By Round'!H45),"",'By Round'!H45)</f>
        <v/>
      </c>
      <c r="I47" s="15">
        <f>IF(ISBLANK('By Round'!I45),"",'By Round'!I45)</f>
        <v/>
      </c>
      <c r="J47" s="15">
        <f>IF(ISBLANK('By Round'!J45),"",'By Round'!J45)</f>
        <v/>
      </c>
      <c r="K47" s="15">
        <f>IF(ISBLANK('By Round'!K45),"",'By Round'!K45)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n">
        <v>0</v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n">
        <v>0</v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n">
        <v>0</v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n">
        <v>0</v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2026-02-05T03:49:24Z</dcterms:created>
  <dcterms:modified xsi:type="dcterms:W3CDTF">2026-02-05T03:49:24Z</dcterms:modified>
</cp:coreProperties>
</file>