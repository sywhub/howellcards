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50</t>
        </is>
      </c>
      <c r="C10" t="inlineStr">
        <is>
          <t>Name 86</t>
        </is>
      </c>
      <c r="D10" s="4">
        <f>SUMIF('By Board'!$D$3:$D$38,"=1",'By Board'!$N$3:$N$38)/12+SUMIF('By Board'!$E$3:$E$38,"=1",'By Board'!$O$3:$O$38)/12</f>
        <v/>
      </c>
      <c r="E10" s="5">
        <f>SUMIF('By Board'!$D$3:$D$38,"=1",'By Board'!$L$3:$L$38)+SUMIF('By Board'!$E$3:$E$38,"=1",'By Board'!$M$3:$M$38)</f>
        <v/>
      </c>
    </row>
    <row r="11">
      <c r="A11" s="2" t="n">
        <v>2</v>
      </c>
      <c r="B11" t="inlineStr">
        <is>
          <t>Name 82</t>
        </is>
      </c>
      <c r="C11" t="inlineStr">
        <is>
          <t>Name 45</t>
        </is>
      </c>
      <c r="D11" s="4">
        <f>SUMIF('By Board'!$D$3:$D$38,"=2",'By Board'!$N$3:$N$38)/12+SUMIF('By Board'!$E$3:$E$38,"=2",'By Board'!$O$3:$O$38)/12</f>
        <v/>
      </c>
      <c r="E11" s="5">
        <f>SUMIF('By Board'!$D$3:$D$38,"=2",'By Board'!$L$3:$L$38)+SUMIF('By Board'!$E$3:$E$38,"=2",'By Board'!$M$3:$M$38)</f>
        <v/>
      </c>
    </row>
    <row r="12">
      <c r="A12" s="2" t="n">
        <v>3</v>
      </c>
      <c r="B12" t="inlineStr">
        <is>
          <t>Name 79</t>
        </is>
      </c>
      <c r="C12" t="inlineStr">
        <is>
          <t>Name 56</t>
        </is>
      </c>
      <c r="D12" s="4">
        <f>SUMIF('By Board'!$D$3:$D$38,"=3",'By Board'!$N$3:$N$38)/12+SUMIF('By Board'!$E$3:$E$38,"=3",'By Board'!$O$3:$O$38)/12</f>
        <v/>
      </c>
      <c r="E12" s="5">
        <f>SUMIF('By Board'!$D$3:$D$38,"=3",'By Board'!$L$3:$L$38)+SUMIF('By Board'!$E$3:$E$38,"=3",'By Board'!$M$3:$M$38)</f>
        <v/>
      </c>
    </row>
    <row r="13">
      <c r="A13" s="2" t="n">
        <v>4</v>
      </c>
      <c r="B13" t="inlineStr">
        <is>
          <t>Name 66</t>
        </is>
      </c>
      <c r="C13" t="inlineStr">
        <is>
          <t>Name 88</t>
        </is>
      </c>
      <c r="D13" s="4">
        <f>SUMIF('By Board'!$D$3:$D$38,"=4",'By Board'!$N$3:$N$38)/12+SUMIF('By Board'!$E$3:$E$38,"=4",'By Board'!$O$3:$O$38)/12</f>
        <v/>
      </c>
      <c r="E13" s="5">
        <f>SUMIF('By Board'!$D$3:$D$38,"=4",'By Board'!$L$3:$L$38)+SUMIF('By Board'!$E$3:$E$38,"=4",'By Board'!$M$3:$M$38)</f>
        <v/>
      </c>
    </row>
    <row r="14">
      <c r="A14" s="2" t="n">
        <v>5</v>
      </c>
      <c r="B14" t="inlineStr">
        <is>
          <t>Name 25</t>
        </is>
      </c>
      <c r="C14" t="inlineStr">
        <is>
          <t>Name 86</t>
        </is>
      </c>
      <c r="D14" s="4">
        <f>SUMIF('By Board'!$D$3:$D$38,"=5",'By Board'!$N$3:$N$38)/12+SUMIF('By Board'!$E$3:$E$38,"=5",'By Board'!$O$3:$O$38)/12</f>
        <v/>
      </c>
      <c r="E14" s="5">
        <f>SUMIF('By Board'!$D$3:$D$38,"=5",'By Board'!$L$3:$L$38)+SUMIF('By Board'!$E$3:$E$38,"=5",'By Board'!$M$3:$M$38)</f>
        <v/>
      </c>
    </row>
    <row r="15">
      <c r="D15" s="6">
        <f>AVERAGE(D10:D14)</f>
        <v/>
      </c>
      <c r="E15" s="7">
        <f>SUM(E10:E14)</f>
        <v/>
      </c>
    </row>
    <row r="17">
      <c r="A17" t="inlineStr">
        <is>
          <t>To sort, remove single quote below</t>
        </is>
      </c>
    </row>
    <row r="18">
      <c r="A18" s="2" t="inlineStr">
        <is>
          <t>IMP Ranking</t>
        </is>
      </c>
    </row>
    <row r="19">
      <c r="A19" t="inlineStr">
        <is>
          <t>'=SORT(A10:E14,4,-1)</t>
        </is>
      </c>
      <c r="D19" s="5" t="n"/>
      <c r="E19" s="8" t="n"/>
    </row>
    <row r="20">
      <c r="D20" s="5" t="n"/>
      <c r="E20" s="8" t="n"/>
    </row>
    <row r="21">
      <c r="D21" s="5" t="n"/>
      <c r="E21" s="8" t="n"/>
    </row>
    <row r="22">
      <c r="D22" s="5" t="n"/>
      <c r="E22" s="8" t="n"/>
    </row>
    <row r="23">
      <c r="D23" s="5" t="n"/>
      <c r="E23" s="8" t="n"/>
    </row>
    <row r="28">
      <c r="A28" s="2" t="inlineStr">
        <is>
          <t>MP Ranking</t>
        </is>
      </c>
    </row>
    <row r="29">
      <c r="A29" t="inlineStr">
        <is>
          <t>'=SORT(A10:E14,5,-1)</t>
        </is>
      </c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</sheetData>
  <mergeCells count="9">
    <mergeCell ref="A4:B4"/>
    <mergeCell ref="A18:E18"/>
    <mergeCell ref="A7:B7"/>
    <mergeCell ref="A2:E2"/>
    <mergeCell ref="A28:E28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X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V2" s="2" t="inlineStr">
        <is>
          <t>EW MP Scores</t>
        </is>
      </c>
      <c r="X2" s="10" t="inlineStr">
        <is>
          <t>NS IMP Pair-wise</t>
        </is>
      </c>
      <c r="Z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SUM(X3:Y3)</f>
        <v/>
      </c>
      <c r="M3" s="13">
        <f>SUM(Z3:AA3)</f>
        <v/>
      </c>
      <c r="N3" s="8">
        <f>IF(COUNT(T3:U3)&gt;0,P3/COUNT(T3:U3),0.5)</f>
        <v/>
      </c>
      <c r="O3" s="8">
        <f>IF(COUNT(V3:W3)&gt;0,Q3/COUNT(V3:W3),0.5)</f>
        <v/>
      </c>
      <c r="P3" s="5">
        <f>SUM(T3:U3)</f>
        <v/>
      </c>
      <c r="Q3" s="5">
        <f>SUM(V3:W3)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IF(ISNUMBER(S3),IF(ISNUMBER(S4),IF(S3&gt;S4,1.0,IF(S3=S4,0.5,0.0)),""),"")</f>
        <v/>
      </c>
      <c r="W3">
        <f>IF(ISNUMBER(S3),IF(ISNUMBER(S5),IF(S3&gt;S5,1.0,IF(S3=S5,0.5,0.0)),""),"")</f>
        <v/>
      </c>
      <c r="X3" s="14">
        <f>IF(AND(ISNUMBER(R3),ISNUMBER(R4)),VLOOKUP(ABS(R3-R4),'IMP Table'!$A$2:$C$26,3)*SIGN(R3-R4),0)</f>
        <v/>
      </c>
      <c r="Y3">
        <f>IF(AND(ISNUMBER(R3),ISNUMBER(R5)),VLOOKUP(ABS(R3-R5),'IMP Table'!$A$2:$C$26,3)*SIGN(R3-R5),0)</f>
        <v/>
      </c>
      <c r="Z3">
        <f>IF(AND(ISNUMBER(S3),ISNUMBER(S4)),VLOOKUP(ABS(S3-S4),'IMP Table'!$A$2:$C$26,3)*SIGN(S3-S4),0)</f>
        <v/>
      </c>
      <c r="AA3">
        <f>IF(AND(ISNUMBER(S3),ISNUMBER(S5)),VLOOKUP(ABS(S3-S5),'IMP Table'!$A$2:$C$26,3)*SIGN(S3-S5),0)</f>
        <v/>
      </c>
    </row>
    <row r="4">
      <c r="B4">
        <f>'By Round'!A21</f>
        <v/>
      </c>
      <c r="C4">
        <f>'By Round'!B27</f>
        <v/>
      </c>
      <c r="D4">
        <f>'By Round'!C27</f>
        <v/>
      </c>
      <c r="E4">
        <f>'By Round'!D27</f>
        <v/>
      </c>
      <c r="F4" s="11" t="inlineStr">
        <is>
          <t>None</t>
        </is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 s="12">
        <f>SUM(X4:Y4)</f>
        <v/>
      </c>
      <c r="M4" s="13">
        <f>SUM(Z4:AA4)</f>
        <v/>
      </c>
      <c r="N4" s="8">
        <f>IF(COUNT(T4:U4)&gt;0,P4/COUNT(T4:U4),0.5)</f>
        <v/>
      </c>
      <c r="O4" s="8">
        <f>IF(COUNT(V4:W4)&gt;0,Q4/COUNT(V4:W4),0.5)</f>
        <v/>
      </c>
      <c r="P4" s="5">
        <f>SUM(T4:U4)</f>
        <v/>
      </c>
      <c r="Q4" s="5">
        <f>SUM(V4:W4)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IF(ISNUMBER(S4),IF(ISNUMBER(S3),IF(S4&gt;S3,1.0,IF(S4=S3,0.5,0.0)),""),"")</f>
        <v/>
      </c>
      <c r="W4">
        <f>IF(ISNUMBER(S4),IF(ISNUMBER(S5),IF(S4&gt;S5,1.0,IF(S4=S5,0.5,0.0)),""),"")</f>
        <v/>
      </c>
      <c r="X4" s="14">
        <f>IF(AND(ISNUMBER(R4),ISNUMBER(R3)),VLOOKUP(ABS(R4-R3),'IMP Table'!$A$2:$C$26,3)*SIGN(R4-R3),0)</f>
        <v/>
      </c>
      <c r="Y4">
        <f>IF(AND(ISNUMBER(R4),ISNUMBER(R5)),VLOOKUP(ABS(R4-R5),'IMP Table'!$A$2:$C$26,3)*SIGN(R4-R5),0)</f>
        <v/>
      </c>
      <c r="Z4">
        <f>IF(AND(ISNUMBER(S4),ISNUMBER(S3)),VLOOKUP(ABS(S4-S3),'IMP Table'!$A$2:$C$26,3)*SIGN(S4-S3),0)</f>
        <v/>
      </c>
      <c r="AA4">
        <f>IF(AND(ISNUMBER(S4),ISNUMBER(S5)),VLOOKUP(ABS(S4-S5),'IMP Table'!$A$2:$C$26,3)*SIGN(S4-S5),0)</f>
        <v/>
      </c>
    </row>
    <row r="5">
      <c r="A5" s="15" t="n"/>
      <c r="B5" s="15">
        <f>'By Round'!A30</f>
        <v/>
      </c>
      <c r="C5" s="15">
        <f>'By Round'!B36</f>
        <v/>
      </c>
      <c r="D5" s="15">
        <f>'By Round'!C36</f>
        <v/>
      </c>
      <c r="E5" s="15">
        <f>'By Round'!D36</f>
        <v/>
      </c>
      <c r="F5" s="16" t="inlineStr">
        <is>
          <t>None</t>
        </is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7">
        <f>SUM(X5:Y5)</f>
        <v/>
      </c>
      <c r="M5" s="18">
        <f>SUM(Z5:AA5)</f>
        <v/>
      </c>
      <c r="N5" s="19">
        <f>IF(COUNT(T5:U5)&gt;0,P5/COUNT(T5:U5),0.5)</f>
        <v/>
      </c>
      <c r="O5" s="19">
        <f>IF(COUNT(V5:W5)&gt;0,Q5/COUNT(V5:W5),0.5)</f>
        <v/>
      </c>
      <c r="P5" s="20">
        <f>SUM(T5:U5)</f>
        <v/>
      </c>
      <c r="Q5" s="20">
        <f>SUM(V5:W5)</f>
        <v/>
      </c>
      <c r="R5" s="21">
        <f>IF(ISNUMBER(J5),J5,IF(ISNUMBER(K5),-K5,""))</f>
        <v/>
      </c>
      <c r="S5" s="15">
        <f>IF(ISNUMBER(K5),K5,IF(ISNUMBER(J5),-J5,""))</f>
        <v/>
      </c>
      <c r="T5" s="21">
        <f>IF(ISNUMBER(R5),IF(ISNUMBER(R3),IF(R5&gt;R3,1.0,IF(R5=R3,0.5,0.0)),""),"")</f>
        <v/>
      </c>
      <c r="U5" s="15">
        <f>IF(ISNUMBER(R5),IF(ISNUMBER(R4),IF(R5&gt;R4,1.0,IF(R5=R4,0.5,0.0)),""),"")</f>
        <v/>
      </c>
      <c r="V5" s="15">
        <f>IF(ISNUMBER(S5),IF(ISNUMBER(S3),IF(S5&gt;S3,1.0,IF(S5=S3,0.5,0.0)),""),"")</f>
        <v/>
      </c>
      <c r="W5" s="15">
        <f>IF(ISNUMBER(S5),IF(ISNUMBER(S4),IF(S5&gt;S4,1.0,IF(S5=S4,0.5,0.0)),""),"")</f>
        <v/>
      </c>
      <c r="X5" s="21">
        <f>IF(AND(ISNUMBER(R5),ISNUMBER(R3)),VLOOKUP(ABS(R5-R3),'IMP Table'!$A$2:$C$26,3)*SIGN(R5-R3),0)</f>
        <v/>
      </c>
      <c r="Y5" s="15">
        <f>IF(AND(ISNUMBER(R5),ISNUMBER(R4)),VLOOKUP(ABS(R5-R4),'IMP Table'!$A$2:$C$26,3)*SIGN(R5-R4),0)</f>
        <v/>
      </c>
      <c r="Z5" s="15">
        <f>IF(AND(ISNUMBER(S5),ISNUMBER(S3)),VLOOKUP(ABS(S5-S3),'IMP Table'!$A$2:$C$26,3)*SIGN(S5-S3),0)</f>
        <v/>
      </c>
      <c r="AA5" s="15">
        <f>IF(AND(ISNUMBER(S5),ISNUMBER(S4)),VLOOKUP(ABS(S5-S4),'IMP Table'!$A$2:$C$26,3)*SIGN(S5-S4),0)</f>
        <v/>
      </c>
    </row>
    <row r="6">
      <c r="A6" t="n">
        <v>2</v>
      </c>
      <c r="B6">
        <f>'By Round'!A3</f>
        <v/>
      </c>
      <c r="C6">
        <f>'By Round'!B3</f>
        <v/>
      </c>
      <c r="D6">
        <f>'By Round'!C3</f>
        <v/>
      </c>
      <c r="E6">
        <f>'By Round'!D3</f>
        <v/>
      </c>
      <c r="F6" s="11" t="inlineStr">
        <is>
          <t>NS</t>
        </is>
      </c>
      <c r="G6">
        <f>IF(ISBLANK('By Round'!G3),"",'By Round'!G3)</f>
        <v/>
      </c>
      <c r="H6">
        <f>IF(ISBLANK('By Round'!H3),"",'By Round'!H3)</f>
        <v/>
      </c>
      <c r="I6">
        <f>IF(ISBLANK('By Round'!I3),"",'By Round'!I3)</f>
        <v/>
      </c>
      <c r="J6">
        <f>IF(ISBLANK('By Round'!J3),"",'By Round'!J3)</f>
        <v/>
      </c>
      <c r="K6">
        <f>IF(ISBLANK('By Round'!K3),"",'By Round'!K3)</f>
        <v/>
      </c>
      <c r="L6" s="12">
        <f>SUM(X6:Y6)</f>
        <v/>
      </c>
      <c r="M6" s="13">
        <f>SUM(Z6:AA6)</f>
        <v/>
      </c>
      <c r="N6" s="8">
        <f>IF(COUNT(T6:U6)&gt;0,P6/COUNT(T6:U6),0.5)</f>
        <v/>
      </c>
      <c r="O6" s="8">
        <f>IF(COUNT(V6:W6)&gt;0,Q6/COUNT(V6:W6),0.5)</f>
        <v/>
      </c>
      <c r="P6" s="5">
        <f>SUM(T6:U6)</f>
        <v/>
      </c>
      <c r="Q6" s="5">
        <f>SUM(V6:W6)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IF(ISNUMBER(R6),IF(ISNUMBER(R7),IF(R6&gt;R7,1.0,IF(R6=R7,0.5,0.0)),""),"")</f>
        <v/>
      </c>
      <c r="U6">
        <f>IF(ISNUMBER(R6),IF(ISNUMBER(R8),IF(R6&gt;R8,1.0,IF(R6=R8,0.5,0.0)),""),"")</f>
        <v/>
      </c>
      <c r="V6">
        <f>IF(ISNUMBER(S6),IF(ISNUMBER(S7),IF(S6&gt;S7,1.0,IF(S6=S7,0.5,0.0)),""),"")</f>
        <v/>
      </c>
      <c r="W6">
        <f>IF(ISNUMBER(S6),IF(ISNUMBER(S8),IF(S6&gt;S8,1.0,IF(S6=S8,0.5,0.0)),""),"")</f>
        <v/>
      </c>
      <c r="X6" s="14">
        <f>IF(AND(ISNUMBER(R6),ISNUMBER(R7)),VLOOKUP(ABS(R6-R7),'IMP Table'!$A$2:$C$26,3)*SIGN(R6-R7),0)</f>
        <v/>
      </c>
      <c r="Y6">
        <f>IF(AND(ISNUMBER(R6),ISNUMBER(R8)),VLOOKUP(ABS(R6-R8),'IMP Table'!$A$2:$C$26,3)*SIGN(R6-R8),0)</f>
        <v/>
      </c>
      <c r="Z6">
        <f>IF(AND(ISNUMBER(S6),ISNUMBER(S7)),VLOOKUP(ABS(S6-S7),'IMP Table'!$A$2:$C$26,3)*SIGN(S6-S7),0)</f>
        <v/>
      </c>
      <c r="AA6">
        <f>IF(AND(ISNUMBER(S6),ISNUMBER(S8)),VLOOKUP(ABS(S6-S8),'IMP Table'!$A$2:$C$26,3)*SIGN(S6-S8),0)</f>
        <v/>
      </c>
    </row>
    <row r="7">
      <c r="B7">
        <f>'By Round'!A21</f>
        <v/>
      </c>
      <c r="C7">
        <f>'By Round'!B27</f>
        <v/>
      </c>
      <c r="D7">
        <f>'By Round'!C27</f>
        <v/>
      </c>
      <c r="E7">
        <f>'By Round'!D27</f>
        <v/>
      </c>
      <c r="F7" s="11" t="inlineStr">
        <is>
          <t>NS</t>
        </is>
      </c>
      <c r="G7">
        <f>IF(ISBLANK('By Round'!G27),"",'By Round'!G27)</f>
        <v/>
      </c>
      <c r="H7">
        <f>IF(ISBLANK('By Round'!H27),"",'By Round'!H27)</f>
        <v/>
      </c>
      <c r="I7">
        <f>IF(ISBLANK('By Round'!I27),"",'By Round'!I27)</f>
        <v/>
      </c>
      <c r="J7">
        <f>IF(ISBLANK('By Round'!J27),"",'By Round'!J27)</f>
        <v/>
      </c>
      <c r="K7">
        <f>IF(ISBLANK('By Round'!K27),"",'By Round'!K27)</f>
        <v/>
      </c>
      <c r="L7" s="12">
        <f>SUM(X7:Y7)</f>
        <v/>
      </c>
      <c r="M7" s="13">
        <f>SUM(Z7:AA7)</f>
        <v/>
      </c>
      <c r="N7" s="8">
        <f>IF(COUNT(T7:U7)&gt;0,P7/COUNT(T7:U7),0.5)</f>
        <v/>
      </c>
      <c r="O7" s="8">
        <f>IF(COUNT(V7:W7)&gt;0,Q7/COUNT(V7:W7),0.5)</f>
        <v/>
      </c>
      <c r="P7" s="5">
        <f>SUM(T7:U7)</f>
        <v/>
      </c>
      <c r="Q7" s="5">
        <f>SUM(V7:W7)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IF(ISNUMBER(R7),IF(ISNUMBER(R6),IF(R7&gt;R6,1.0,IF(R7=R6,0.5,0.0)),""),"")</f>
        <v/>
      </c>
      <c r="U7">
        <f>IF(ISNUMBER(R7),IF(ISNUMBER(R8),IF(R7&gt;R8,1.0,IF(R7=R8,0.5,0.0)),""),"")</f>
        <v/>
      </c>
      <c r="V7">
        <f>IF(ISNUMBER(S7),IF(ISNUMBER(S6),IF(S7&gt;S6,1.0,IF(S7=S6,0.5,0.0)),""),"")</f>
        <v/>
      </c>
      <c r="W7">
        <f>IF(ISNUMBER(S7),IF(ISNUMBER(S8),IF(S7&gt;S8,1.0,IF(S7=S8,0.5,0.0)),""),"")</f>
        <v/>
      </c>
      <c r="X7" s="14">
        <f>IF(AND(ISNUMBER(R7),ISNUMBER(R6)),VLOOKUP(ABS(R7-R6),'IMP Table'!$A$2:$C$26,3)*SIGN(R7-R6),0)</f>
        <v/>
      </c>
      <c r="Y7">
        <f>IF(AND(ISNUMBER(R7),ISNUMBER(R8)),VLOOKUP(ABS(R7-R8),'IMP Table'!$A$2:$C$26,3)*SIGN(R7-R8),0)</f>
        <v/>
      </c>
      <c r="Z7">
        <f>IF(AND(ISNUMBER(S7),ISNUMBER(S6)),VLOOKUP(ABS(S7-S6),'IMP Table'!$A$2:$C$26,3)*SIGN(S7-S6),0)</f>
        <v/>
      </c>
      <c r="AA7">
        <f>IF(AND(ISNUMBER(S7),ISNUMBER(S8)),VLOOKUP(ABS(S7-S8),'IMP Table'!$A$2:$C$26,3)*SIGN(S7-S8),0)</f>
        <v/>
      </c>
    </row>
    <row r="8">
      <c r="A8" s="15" t="n"/>
      <c r="B8" s="15">
        <f>'By Round'!A30</f>
        <v/>
      </c>
      <c r="C8" s="15">
        <f>'By Round'!B36</f>
        <v/>
      </c>
      <c r="D8" s="15">
        <f>'By Round'!C36</f>
        <v/>
      </c>
      <c r="E8" s="15">
        <f>'By Round'!D36</f>
        <v/>
      </c>
      <c r="F8" s="16" t="inlineStr">
        <is>
          <t>NS</t>
        </is>
      </c>
      <c r="G8" s="15">
        <f>IF(ISBLANK('By Round'!G36),"",'By Round'!G36)</f>
        <v/>
      </c>
      <c r="H8" s="15">
        <f>IF(ISBLANK('By Round'!H36),"",'By Round'!H36)</f>
        <v/>
      </c>
      <c r="I8" s="15">
        <f>IF(ISBLANK('By Round'!I36),"",'By Round'!I36)</f>
        <v/>
      </c>
      <c r="J8" s="15">
        <f>IF(ISBLANK('By Round'!J36),"",'By Round'!J36)</f>
        <v/>
      </c>
      <c r="K8" s="15">
        <f>IF(ISBLANK('By Round'!K36),"",'By Round'!K36)</f>
        <v/>
      </c>
      <c r="L8" s="17">
        <f>SUM(X8:Y8)</f>
        <v/>
      </c>
      <c r="M8" s="18">
        <f>SUM(Z8:AA8)</f>
        <v/>
      </c>
      <c r="N8" s="19">
        <f>IF(COUNT(T8:U8)&gt;0,P8/COUNT(T8:U8),0.5)</f>
        <v/>
      </c>
      <c r="O8" s="19">
        <f>IF(COUNT(V8:W8)&gt;0,Q8/COUNT(V8:W8),0.5)</f>
        <v/>
      </c>
      <c r="P8" s="20">
        <f>SUM(T8:U8)</f>
        <v/>
      </c>
      <c r="Q8" s="20">
        <f>SUM(V8:W8)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IF(ISNUMBER(R8),IF(ISNUMBER(R6),IF(R8&gt;R6,1.0,IF(R8=R6,0.5,0.0)),""),"")</f>
        <v/>
      </c>
      <c r="U8" s="15">
        <f>IF(ISNUMBER(R8),IF(ISNUMBER(R7),IF(R8&gt;R7,1.0,IF(R8=R7,0.5,0.0)),""),"")</f>
        <v/>
      </c>
      <c r="V8" s="15">
        <f>IF(ISNUMBER(S8),IF(ISNUMBER(S6),IF(S8&gt;S6,1.0,IF(S8=S6,0.5,0.0)),""),"")</f>
        <v/>
      </c>
      <c r="W8" s="15">
        <f>IF(ISNUMBER(S8),IF(ISNUMBER(S7),IF(S8&gt;S7,1.0,IF(S8=S7,0.5,0.0)),""),"")</f>
        <v/>
      </c>
      <c r="X8" s="21">
        <f>IF(AND(ISNUMBER(R8),ISNUMBER(R6)),VLOOKUP(ABS(R8-R6),'IMP Table'!$A$2:$C$26,3)*SIGN(R8-R6),0)</f>
        <v/>
      </c>
      <c r="Y8" s="15">
        <f>IF(AND(ISNUMBER(R8),ISNUMBER(R7)),VLOOKUP(ABS(R8-R7),'IMP Table'!$A$2:$C$26,3)*SIGN(R8-R7),0)</f>
        <v/>
      </c>
      <c r="Z8" s="15">
        <f>IF(AND(ISNUMBER(S8),ISNUMBER(S6)),VLOOKUP(ABS(S8-S6),'IMP Table'!$A$2:$C$26,3)*SIGN(S8-S6),0)</f>
        <v/>
      </c>
      <c r="AA8" s="15">
        <f>IF(AND(ISNUMBER(S8),ISNUMBER(S7)),VLOOKUP(ABS(S8-S7),'IMP Table'!$A$2:$C$26,3)*SIGN(S8-S7),0)</f>
        <v/>
      </c>
    </row>
    <row r="9">
      <c r="A9" t="n">
        <v>3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EW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SUM(X9:Y9)</f>
        <v/>
      </c>
      <c r="M9" s="13">
        <f>SUM(Z9:AA9)</f>
        <v/>
      </c>
      <c r="N9" s="8">
        <f>IF(COUNT(T9:U9)&gt;0,P9/COUNT(T9:U9),0.5)</f>
        <v/>
      </c>
      <c r="O9" s="8">
        <f>IF(COUNT(V9:W9)&gt;0,Q9/COUNT(V9:W9),0.5)</f>
        <v/>
      </c>
      <c r="P9" s="5">
        <f>SUM(T9:U9)</f>
        <v/>
      </c>
      <c r="Q9" s="5">
        <f>SUM(V9:W9)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 s="14">
        <f>IF(AND(ISNUMBER(R9),ISNUMBER(R10)),VLOOKUP(ABS(R9-R10),'IMP Table'!$A$2:$C$26,3)*SIGN(R9-R10),0)</f>
        <v/>
      </c>
      <c r="Y9">
        <f>IF(AND(ISNUMBER(R9),ISNUMBER(R11)),VLOOKUP(ABS(R9-R11),'IMP Table'!$A$2:$C$26,3)*SIGN(R9-R11),0)</f>
        <v/>
      </c>
      <c r="Z9">
        <f>IF(AND(ISNUMBER(S9),ISNUMBER(S10)),VLOOKUP(ABS(S9-S10),'IMP Table'!$A$2:$C$26,3)*SIGN(S9-S10),0)</f>
        <v/>
      </c>
      <c r="AA9">
        <f>IF(AND(ISNUMBER(S9),ISNUMBER(S11)),VLOOKUP(ABS(S9-S11),'IMP Table'!$A$2:$C$26,3)*SIGN(S9-S11),0)</f>
        <v/>
      </c>
    </row>
    <row r="10">
      <c r="B10">
        <f>'By Round'!A21</f>
        <v/>
      </c>
      <c r="C10">
        <f>'By Round'!B27</f>
        <v/>
      </c>
      <c r="D10">
        <f>'By Round'!C27</f>
        <v/>
      </c>
      <c r="E10">
        <f>'By Round'!D27</f>
        <v/>
      </c>
      <c r="F10" s="11" t="inlineStr">
        <is>
          <t>EW</t>
        </is>
      </c>
      <c r="G10">
        <f>IF(ISBLANK('By Round'!G27),"",'By Round'!G27)</f>
        <v/>
      </c>
      <c r="H10">
        <f>IF(ISBLANK('By Round'!H27),"",'By Round'!H27)</f>
        <v/>
      </c>
      <c r="I10">
        <f>IF(ISBLANK('By Round'!I27),"",'By Round'!I27)</f>
        <v/>
      </c>
      <c r="J10">
        <f>IF(ISBLANK('By Round'!J27),"",'By Round'!J27)</f>
        <v/>
      </c>
      <c r="K10">
        <f>IF(ISBLANK('By Round'!K27),"",'By Round'!K27)</f>
        <v/>
      </c>
      <c r="L10" s="12">
        <f>SUM(X10:Y10)</f>
        <v/>
      </c>
      <c r="M10" s="13">
        <f>SUM(Z10:AA10)</f>
        <v/>
      </c>
      <c r="N10" s="8">
        <f>IF(COUNT(T10:U10)&gt;0,P10/COUNT(T10:U10),0.5)</f>
        <v/>
      </c>
      <c r="O10" s="8">
        <f>IF(COUNT(V10:W10)&gt;0,Q10/COUNT(V10:W10),0.5)</f>
        <v/>
      </c>
      <c r="P10" s="5">
        <f>SUM(T10:U10)</f>
        <v/>
      </c>
      <c r="Q10" s="5">
        <f>SUM(V10:W10)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 s="14">
        <f>IF(AND(ISNUMBER(R10),ISNUMBER(R9)),VLOOKUP(ABS(R10-R9),'IMP Table'!$A$2:$C$26,3)*SIGN(R10-R9),0)</f>
        <v/>
      </c>
      <c r="Y10">
        <f>IF(AND(ISNUMBER(R10),ISNUMBER(R11)),VLOOKUP(ABS(R10-R11),'IMP Table'!$A$2:$C$26,3)*SIGN(R10-R11),0)</f>
        <v/>
      </c>
      <c r="Z10">
        <f>IF(AND(ISNUMBER(S10),ISNUMBER(S9)),VLOOKUP(ABS(S10-S9),'IMP Table'!$A$2:$C$26,3)*SIGN(S10-S9),0)</f>
        <v/>
      </c>
      <c r="AA10">
        <f>IF(AND(ISNUMBER(S10),ISNUMBER(S11)),VLOOKUP(ABS(S10-S11),'IMP Table'!$A$2:$C$26,3)*SIGN(S10-S11),0)</f>
        <v/>
      </c>
    </row>
    <row r="11">
      <c r="A11" s="15" t="n"/>
      <c r="B11" s="15">
        <f>'By Round'!A30</f>
        <v/>
      </c>
      <c r="C11" s="15">
        <f>'By Round'!B36</f>
        <v/>
      </c>
      <c r="D11" s="15">
        <f>'By Round'!C36</f>
        <v/>
      </c>
      <c r="E11" s="15">
        <f>'By Round'!D36</f>
        <v/>
      </c>
      <c r="F11" s="16" t="inlineStr">
        <is>
          <t>EW</t>
        </is>
      </c>
      <c r="G11" s="15">
        <f>IF(ISBLANK('By Round'!G36),"",'By Round'!G36)</f>
        <v/>
      </c>
      <c r="H11" s="15">
        <f>IF(ISBLANK('By Round'!H36),"",'By Round'!H36)</f>
        <v/>
      </c>
      <c r="I11" s="15">
        <f>IF(ISBLANK('By Round'!I36),"",'By Round'!I36)</f>
        <v/>
      </c>
      <c r="J11" s="15">
        <f>IF(ISBLANK('By Round'!J36),"",'By Round'!J36)</f>
        <v/>
      </c>
      <c r="K11" s="15">
        <f>IF(ISBLANK('By Round'!K36),"",'By Round'!K36)</f>
        <v/>
      </c>
      <c r="L11" s="17">
        <f>SUM(X11:Y11)</f>
        <v/>
      </c>
      <c r="M11" s="18">
        <f>SUM(Z11:AA11)</f>
        <v/>
      </c>
      <c r="N11" s="19">
        <f>IF(COUNT(T11:U11)&gt;0,P11/COUNT(T11:U11),0.5)</f>
        <v/>
      </c>
      <c r="O11" s="19">
        <f>IF(COUNT(V11:W11)&gt;0,Q11/COUNT(V11:W11),0.5)</f>
        <v/>
      </c>
      <c r="P11" s="20">
        <f>SUM(T11:U11)</f>
        <v/>
      </c>
      <c r="Q11" s="20">
        <f>SUM(V11:W11)</f>
        <v/>
      </c>
      <c r="R11" s="21">
        <f>IF(ISNUMBER(J11),J11,IF(ISNUMBER(K11),-K11,""))</f>
        <v/>
      </c>
      <c r="S11" s="15">
        <f>IF(ISNUMBER(K11),K11,IF(ISNUMBER(J11),-J11,""))</f>
        <v/>
      </c>
      <c r="T11" s="21">
        <f>IF(ISNUMBER(R11),IF(ISNUMBER(R9),IF(R11&gt;R9,1.0,IF(R11=R9,0.5,0.0)),""),"")</f>
        <v/>
      </c>
      <c r="U11" s="15">
        <f>IF(ISNUMBER(R11),IF(ISNUMBER(R10),IF(R11&gt;R10,1.0,IF(R11=R10,0.5,0.0)),""),"")</f>
        <v/>
      </c>
      <c r="V11" s="15">
        <f>IF(ISNUMBER(S11),IF(ISNUMBER(S9),IF(S11&gt;S9,1.0,IF(S11=S9,0.5,0.0)),""),"")</f>
        <v/>
      </c>
      <c r="W11" s="15">
        <f>IF(ISNUMBER(S11),IF(ISNUMBER(S10),IF(S11&gt;S10,1.0,IF(S11=S10,0.5,0.0)),""),"")</f>
        <v/>
      </c>
      <c r="X11" s="21">
        <f>IF(AND(ISNUMBER(R11),ISNUMBER(R9)),VLOOKUP(ABS(R11-R9),'IMP Table'!$A$2:$C$26,3)*SIGN(R11-R9),0)</f>
        <v/>
      </c>
      <c r="Y11" s="15">
        <f>IF(AND(ISNUMBER(R11),ISNUMBER(R10)),VLOOKUP(ABS(R11-R10),'IMP Table'!$A$2:$C$26,3)*SIGN(R11-R10),0)</f>
        <v/>
      </c>
      <c r="Z11" s="15">
        <f>IF(AND(ISNUMBER(S11),ISNUMBER(S9)),VLOOKUP(ABS(S11-S9),'IMP Table'!$A$2:$C$26,3)*SIGN(S11-S9),0)</f>
        <v/>
      </c>
      <c r="AA11" s="15">
        <f>IF(AND(ISNUMBER(S11),ISNUMBER(S10)),VLOOKUP(ABS(S11-S10),'IMP Table'!$A$2:$C$26,3)*SIGN(S11-S10),0)</f>
        <v/>
      </c>
    </row>
    <row r="12">
      <c r="A12" t="n">
        <v>4</v>
      </c>
      <c r="B12">
        <f>'By Round'!A3</f>
        <v/>
      </c>
      <c r="C12">
        <f>'By Round'!B6</f>
        <v/>
      </c>
      <c r="D12">
        <f>'By Round'!C6</f>
        <v/>
      </c>
      <c r="E12">
        <f>'By Round'!D6</f>
        <v/>
      </c>
      <c r="F12" s="11" t="inlineStr">
        <is>
          <t>Both</t>
        </is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 s="12">
        <f>SUM(X12:Y12)</f>
        <v/>
      </c>
      <c r="M12" s="13">
        <f>SUM(Z12:AA12)</f>
        <v/>
      </c>
      <c r="N12" s="8">
        <f>IF(COUNT(T12:U12)&gt;0,P12/COUNT(T12:U12),0.5)</f>
        <v/>
      </c>
      <c r="O12" s="8">
        <f>IF(COUNT(V12:W12)&gt;0,Q12/COUNT(V12:W12),0.5)</f>
        <v/>
      </c>
      <c r="P12" s="5">
        <f>SUM(T12:U12)</f>
        <v/>
      </c>
      <c r="Q12" s="5">
        <f>SUM(V12:W12)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IF(ISNUMBER(R12),IF(ISNUMBER(R13),IF(R12&gt;R13,1.0,IF(R12=R13,0.5,0.0)),""),"")</f>
        <v/>
      </c>
      <c r="U12">
        <f>IF(ISNUMBER(R12),IF(ISNUMBER(R14),IF(R12&gt;R14,1.0,IF(R12=R14,0.5,0.0)),""),"")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 s="14">
        <f>IF(AND(ISNUMBER(R12),ISNUMBER(R13)),VLOOKUP(ABS(R12-R13),'IMP Table'!$A$2:$C$26,3)*SIGN(R12-R13),0)</f>
        <v/>
      </c>
      <c r="Y12">
        <f>IF(AND(ISNUMBER(R12),ISNUMBER(R14)),VLOOKUP(ABS(R12-R14),'IMP Table'!$A$2:$C$26,3)*SIGN(R12-R14),0)</f>
        <v/>
      </c>
      <c r="Z12">
        <f>IF(AND(ISNUMBER(S12),ISNUMBER(S13)),VLOOKUP(ABS(S12-S13),'IMP Table'!$A$2:$C$26,3)*SIGN(S12-S13),0)</f>
        <v/>
      </c>
      <c r="AA12">
        <f>IF(AND(ISNUMBER(S12),ISNUMBER(S14)),VLOOKUP(ABS(S12-S14),'IMP Table'!$A$2:$C$26,3)*SIGN(S12-S14),0)</f>
        <v/>
      </c>
    </row>
    <row r="13">
      <c r="B13">
        <f>'By Round'!A12</f>
        <v/>
      </c>
      <c r="C13">
        <f>'By Round'!B12</f>
        <v/>
      </c>
      <c r="D13">
        <f>'By Round'!C12</f>
        <v/>
      </c>
      <c r="E13">
        <f>'By Round'!D12</f>
        <v/>
      </c>
      <c r="F13" s="11" t="inlineStr">
        <is>
          <t>Both</t>
        </is>
      </c>
      <c r="G13">
        <f>IF(ISBLANK('By Round'!G12),"",'By Round'!G12)</f>
        <v/>
      </c>
      <c r="H13">
        <f>IF(ISBLANK('By Round'!H12),"",'By Round'!H12)</f>
        <v/>
      </c>
      <c r="I13">
        <f>IF(ISBLANK('By Round'!I12),"",'By Round'!I12)</f>
        <v/>
      </c>
      <c r="J13">
        <f>IF(ISBLANK('By Round'!J12),"",'By Round'!J12)</f>
        <v/>
      </c>
      <c r="K13">
        <f>IF(ISBLANK('By Round'!K12),"",'By Round'!K12)</f>
        <v/>
      </c>
      <c r="L13" s="12">
        <f>SUM(X13:Y13)</f>
        <v/>
      </c>
      <c r="M13" s="13">
        <f>SUM(Z13:AA13)</f>
        <v/>
      </c>
      <c r="N13" s="8">
        <f>IF(COUNT(T13:U13)&gt;0,P13/COUNT(T13:U13),0.5)</f>
        <v/>
      </c>
      <c r="O13" s="8">
        <f>IF(COUNT(V13:W13)&gt;0,Q13/COUNT(V13:W13),0.5)</f>
        <v/>
      </c>
      <c r="P13" s="5">
        <f>SUM(T13:U13)</f>
        <v/>
      </c>
      <c r="Q13" s="5">
        <f>SUM(V13:W13)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IF(ISNUMBER(R13),IF(ISNUMBER(R12),IF(R13&gt;R12,1.0,IF(R13=R12,0.5,0.0)),""),"")</f>
        <v/>
      </c>
      <c r="U13">
        <f>IF(ISNUMBER(R13),IF(ISNUMBER(R14),IF(R13&gt;R14,1.0,IF(R13=R14,0.5,0.0)),""),"")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 s="14">
        <f>IF(AND(ISNUMBER(R13),ISNUMBER(R12)),VLOOKUP(ABS(R13-R12),'IMP Table'!$A$2:$C$26,3)*SIGN(R13-R12),0)</f>
        <v/>
      </c>
      <c r="Y13">
        <f>IF(AND(ISNUMBER(R13),ISNUMBER(R14)),VLOOKUP(ABS(R13-R14),'IMP Table'!$A$2:$C$26,3)*SIGN(R13-R14),0)</f>
        <v/>
      </c>
      <c r="Z13">
        <f>IF(AND(ISNUMBER(S13),ISNUMBER(S12)),VLOOKUP(ABS(S13-S12),'IMP Table'!$A$2:$C$26,3)*SIGN(S13-S12),0)</f>
        <v/>
      </c>
      <c r="AA13">
        <f>IF(AND(ISNUMBER(S13),ISNUMBER(S14)),VLOOKUP(ABS(S13-S14),'IMP Table'!$A$2:$C$26,3)*SIGN(S13-S14),0)</f>
        <v/>
      </c>
    </row>
    <row r="14">
      <c r="A14" s="15" t="n"/>
      <c r="B14" s="15">
        <f>'By Round'!A21</f>
        <v/>
      </c>
      <c r="C14" s="15">
        <f>'By Round'!B24</f>
        <v/>
      </c>
      <c r="D14" s="15">
        <f>'By Round'!C24</f>
        <v/>
      </c>
      <c r="E14" s="15">
        <f>'By Round'!D24</f>
        <v/>
      </c>
      <c r="F14" s="16" t="inlineStr">
        <is>
          <t>Both</t>
        </is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7">
        <f>SUM(X14:Y14)</f>
        <v/>
      </c>
      <c r="M14" s="18">
        <f>SUM(Z14:AA14)</f>
        <v/>
      </c>
      <c r="N14" s="19">
        <f>IF(COUNT(T14:U14)&gt;0,P14/COUNT(T14:U14),0.5)</f>
        <v/>
      </c>
      <c r="O14" s="19">
        <f>IF(COUNT(V14:W14)&gt;0,Q14/COUNT(V14:W14),0.5)</f>
        <v/>
      </c>
      <c r="P14" s="20">
        <f>SUM(T14:U14)</f>
        <v/>
      </c>
      <c r="Q14" s="20">
        <f>SUM(V14:W14)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IF(ISNUMBER(R14),IF(ISNUMBER(R12),IF(R14&gt;R12,1.0,IF(R14=R12,0.5,0.0)),""),"")</f>
        <v/>
      </c>
      <c r="U14" s="15">
        <f>IF(ISNUMBER(R14),IF(ISNUMBER(R13),IF(R14&gt;R13,1.0,IF(R14=R13,0.5,0.0)),""),"")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21">
        <f>IF(AND(ISNUMBER(R14),ISNUMBER(R12)),VLOOKUP(ABS(R14-R12),'IMP Table'!$A$2:$C$26,3)*SIGN(R14-R12),0)</f>
        <v/>
      </c>
      <c r="Y14" s="15">
        <f>IF(AND(ISNUMBER(R14),ISNUMBER(R13)),VLOOKUP(ABS(R14-R13),'IMP Table'!$A$2:$C$26,3)*SIGN(R14-R13),0)</f>
        <v/>
      </c>
      <c r="Z14" s="15">
        <f>IF(AND(ISNUMBER(S14),ISNUMBER(S12)),VLOOKUP(ABS(S14-S12),'IMP Table'!$A$2:$C$26,3)*SIGN(S14-S12),0)</f>
        <v/>
      </c>
      <c r="AA14" s="15">
        <f>IF(AND(ISNUMBER(S14),ISNUMBER(S13)),VLOOKUP(ABS(S14-S13),'IMP Table'!$A$2:$C$26,3)*SIGN(S14-S13),0)</f>
        <v/>
      </c>
    </row>
    <row r="15">
      <c r="A15" t="n">
        <v>5</v>
      </c>
      <c r="B15">
        <f>'By Round'!A3</f>
        <v/>
      </c>
      <c r="C15">
        <f>'By Round'!B6</f>
        <v/>
      </c>
      <c r="D15">
        <f>'By Round'!C6</f>
        <v/>
      </c>
      <c r="E15">
        <f>'By Round'!D6</f>
        <v/>
      </c>
      <c r="F15" s="11" t="inlineStr">
        <is>
          <t>NS</t>
        </is>
      </c>
      <c r="G15">
        <f>IF(ISBLANK('By Round'!G6),"",'By Round'!G6)</f>
        <v/>
      </c>
      <c r="H15">
        <f>IF(ISBLANK('By Round'!H6),"",'By Round'!H6)</f>
        <v/>
      </c>
      <c r="I15">
        <f>IF(ISBLANK('By Round'!I6),"",'By Round'!I6)</f>
        <v/>
      </c>
      <c r="J15">
        <f>IF(ISBLANK('By Round'!J6),"",'By Round'!J6)</f>
        <v/>
      </c>
      <c r="K15">
        <f>IF(ISBLANK('By Round'!K6),"",'By Round'!K6)</f>
        <v/>
      </c>
      <c r="L15" s="12">
        <f>SUM(X15:Y15)</f>
        <v/>
      </c>
      <c r="M15" s="13">
        <f>SUM(Z15:AA15)</f>
        <v/>
      </c>
      <c r="N15" s="8">
        <f>IF(COUNT(T15:U15)&gt;0,P15/COUNT(T15:U15),0.5)</f>
        <v/>
      </c>
      <c r="O15" s="8">
        <f>IF(COUNT(V15:W15)&gt;0,Q15/COUNT(V15:W15),0.5)</f>
        <v/>
      </c>
      <c r="P15" s="5">
        <f>SUM(T15:U15)</f>
        <v/>
      </c>
      <c r="Q15" s="5">
        <f>SUM(V15:W15)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IF(ISNUMBER(S15),IF(ISNUMBER(S16),IF(S15&gt;S16,1.0,IF(S15=S16,0.5,0.0)),""),"")</f>
        <v/>
      </c>
      <c r="W15">
        <f>IF(ISNUMBER(S15),IF(ISNUMBER(S17),IF(S15&gt;S17,1.0,IF(S15=S17,0.5,0.0)),""),"")</f>
        <v/>
      </c>
      <c r="X15" s="14">
        <f>IF(AND(ISNUMBER(R15),ISNUMBER(R16)),VLOOKUP(ABS(R15-R16),'IMP Table'!$A$2:$C$26,3)*SIGN(R15-R16),0)</f>
        <v/>
      </c>
      <c r="Y15">
        <f>IF(AND(ISNUMBER(R15),ISNUMBER(R17)),VLOOKUP(ABS(R15-R17),'IMP Table'!$A$2:$C$26,3)*SIGN(R15-R17),0)</f>
        <v/>
      </c>
      <c r="Z15">
        <f>IF(AND(ISNUMBER(S15),ISNUMBER(S16)),VLOOKUP(ABS(S15-S16),'IMP Table'!$A$2:$C$26,3)*SIGN(S15-S16),0)</f>
        <v/>
      </c>
      <c r="AA15">
        <f>IF(AND(ISNUMBER(S15),ISNUMBER(S17)),VLOOKUP(ABS(S15-S17),'IMP Table'!$A$2:$C$26,3)*SIGN(S15-S17),0)</f>
        <v/>
      </c>
    </row>
    <row r="16">
      <c r="B16">
        <f>'By Round'!A12</f>
        <v/>
      </c>
      <c r="C16">
        <f>'By Round'!B12</f>
        <v/>
      </c>
      <c r="D16">
        <f>'By Round'!C12</f>
        <v/>
      </c>
      <c r="E16">
        <f>'By Round'!D12</f>
        <v/>
      </c>
      <c r="F16" s="11" t="inlineStr">
        <is>
          <t>NS</t>
        </is>
      </c>
      <c r="G16">
        <f>IF(ISBLANK('By Round'!G12),"",'By Round'!G12)</f>
        <v/>
      </c>
      <c r="H16">
        <f>IF(ISBLANK('By Round'!H12),"",'By Round'!H12)</f>
        <v/>
      </c>
      <c r="I16">
        <f>IF(ISBLANK('By Round'!I12),"",'By Round'!I12)</f>
        <v/>
      </c>
      <c r="J16">
        <f>IF(ISBLANK('By Round'!J12),"",'By Round'!J12)</f>
        <v/>
      </c>
      <c r="K16">
        <f>IF(ISBLANK('By Round'!K12),"",'By Round'!K12)</f>
        <v/>
      </c>
      <c r="L16" s="12">
        <f>SUM(X16:Y16)</f>
        <v/>
      </c>
      <c r="M16" s="13">
        <f>SUM(Z16:AA16)</f>
        <v/>
      </c>
      <c r="N16" s="8">
        <f>IF(COUNT(T16:U16)&gt;0,P16/COUNT(T16:U16),0.5)</f>
        <v/>
      </c>
      <c r="O16" s="8">
        <f>IF(COUNT(V16:W16)&gt;0,Q16/COUNT(V16:W16),0.5)</f>
        <v/>
      </c>
      <c r="P16" s="5">
        <f>SUM(T16:U16)</f>
        <v/>
      </c>
      <c r="Q16" s="5">
        <f>SUM(V16:W16)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IF(ISNUMBER(S16),IF(ISNUMBER(S15),IF(S16&gt;S15,1.0,IF(S16=S15,0.5,0.0)),""),"")</f>
        <v/>
      </c>
      <c r="W16">
        <f>IF(ISNUMBER(S16),IF(ISNUMBER(S17),IF(S16&gt;S17,1.0,IF(S16=S17,0.5,0.0)),""),"")</f>
        <v/>
      </c>
      <c r="X16" s="14">
        <f>IF(AND(ISNUMBER(R16),ISNUMBER(R15)),VLOOKUP(ABS(R16-R15),'IMP Table'!$A$2:$C$26,3)*SIGN(R16-R15),0)</f>
        <v/>
      </c>
      <c r="Y16">
        <f>IF(AND(ISNUMBER(R16),ISNUMBER(R17)),VLOOKUP(ABS(R16-R17),'IMP Table'!$A$2:$C$26,3)*SIGN(R16-R17),0)</f>
        <v/>
      </c>
      <c r="Z16">
        <f>IF(AND(ISNUMBER(S16),ISNUMBER(S15)),VLOOKUP(ABS(S16-S15),'IMP Table'!$A$2:$C$26,3)*SIGN(S16-S15),0)</f>
        <v/>
      </c>
      <c r="AA16">
        <f>IF(AND(ISNUMBER(S16),ISNUMBER(S17)),VLOOKUP(ABS(S16-S17),'IMP Table'!$A$2:$C$26,3)*SIGN(S16-S17),0)</f>
        <v/>
      </c>
    </row>
    <row r="17">
      <c r="A17" s="15" t="n"/>
      <c r="B17" s="15">
        <f>'By Round'!A21</f>
        <v/>
      </c>
      <c r="C17" s="15">
        <f>'By Round'!B24</f>
        <v/>
      </c>
      <c r="D17" s="15">
        <f>'By Round'!C24</f>
        <v/>
      </c>
      <c r="E17" s="15">
        <f>'By Round'!D24</f>
        <v/>
      </c>
      <c r="F17" s="16" t="inlineStr">
        <is>
          <t>NS</t>
        </is>
      </c>
      <c r="G17" s="15">
        <f>IF(ISBLANK('By Round'!G24),"",'By Round'!G24)</f>
        <v/>
      </c>
      <c r="H17" s="15">
        <f>IF(ISBLANK('By Round'!H24),"",'By Round'!H24)</f>
        <v/>
      </c>
      <c r="I17" s="15">
        <f>IF(ISBLANK('By Round'!I24),"",'By Round'!I24)</f>
        <v/>
      </c>
      <c r="J17" s="15">
        <f>IF(ISBLANK('By Round'!J24),"",'By Round'!J24)</f>
        <v/>
      </c>
      <c r="K17" s="15">
        <f>IF(ISBLANK('By Round'!K24),"",'By Round'!K24)</f>
        <v/>
      </c>
      <c r="L17" s="17">
        <f>SUM(X17:Y17)</f>
        <v/>
      </c>
      <c r="M17" s="18">
        <f>SUM(Z17:AA17)</f>
        <v/>
      </c>
      <c r="N17" s="19">
        <f>IF(COUNT(T17:U17)&gt;0,P17/COUNT(T17:U17),0.5)</f>
        <v/>
      </c>
      <c r="O17" s="19">
        <f>IF(COUNT(V17:W17)&gt;0,Q17/COUNT(V17:W17),0.5)</f>
        <v/>
      </c>
      <c r="P17" s="20">
        <f>SUM(T17:U17)</f>
        <v/>
      </c>
      <c r="Q17" s="20">
        <f>SUM(V17:W17)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IF(ISNUMBER(R17),IF(ISNUMBER(R15),IF(R17&gt;R15,1.0,IF(R17=R15,0.5,0.0)),""),"")</f>
        <v/>
      </c>
      <c r="U17" s="15">
        <f>IF(ISNUMBER(R17),IF(ISNUMBER(R16),IF(R17&gt;R16,1.0,IF(R17=R16,0.5,0.0)),""),"")</f>
        <v/>
      </c>
      <c r="V17" s="15">
        <f>IF(ISNUMBER(S17),IF(ISNUMBER(S15),IF(S17&gt;S15,1.0,IF(S17=S15,0.5,0.0)),""),"")</f>
        <v/>
      </c>
      <c r="W17" s="15">
        <f>IF(ISNUMBER(S17),IF(ISNUMBER(S16),IF(S17&gt;S16,1.0,IF(S17=S16,0.5,0.0)),""),"")</f>
        <v/>
      </c>
      <c r="X17" s="21">
        <f>IF(AND(ISNUMBER(R17),ISNUMBER(R15)),VLOOKUP(ABS(R17-R15),'IMP Table'!$A$2:$C$26,3)*SIGN(R17-R15),0)</f>
        <v/>
      </c>
      <c r="Y17" s="15">
        <f>IF(AND(ISNUMBER(R17),ISNUMBER(R16)),VLOOKUP(ABS(R17-R16),'IMP Table'!$A$2:$C$26,3)*SIGN(R17-R16),0)</f>
        <v/>
      </c>
      <c r="Z17" s="15">
        <f>IF(AND(ISNUMBER(S17),ISNUMBER(S15)),VLOOKUP(ABS(S17-S15),'IMP Table'!$A$2:$C$26,3)*SIGN(S17-S15),0)</f>
        <v/>
      </c>
      <c r="AA17" s="15">
        <f>IF(AND(ISNUMBER(S17),ISNUMBER(S16)),VLOOKUP(ABS(S17-S16),'IMP Table'!$A$2:$C$26,3)*SIGN(S17-S16),0)</f>
        <v/>
      </c>
    </row>
    <row r="18">
      <c r="A18" t="n">
        <v>6</v>
      </c>
      <c r="B18">
        <f>'By Round'!A3</f>
        <v/>
      </c>
      <c r="C18">
        <f>'By Round'!B6</f>
        <v/>
      </c>
      <c r="D18">
        <f>'By Round'!C6</f>
        <v/>
      </c>
      <c r="E18">
        <f>'By Round'!D6</f>
        <v/>
      </c>
      <c r="F18" s="11" t="inlineStr">
        <is>
          <t>EW</t>
        </is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2">
        <f>SUM(X18:Y18)</f>
        <v/>
      </c>
      <c r="M18" s="13">
        <f>SUM(Z18:AA18)</f>
        <v/>
      </c>
      <c r="N18" s="8">
        <f>IF(COUNT(T18:U18)&gt;0,P18/COUNT(T18:U18),0.5)</f>
        <v/>
      </c>
      <c r="O18" s="8">
        <f>IF(COUNT(V18:W18)&gt;0,Q18/COUNT(V18:W18),0.5)</f>
        <v/>
      </c>
      <c r="P18" s="5">
        <f>SUM(T18:U18)</f>
        <v/>
      </c>
      <c r="Q18" s="5">
        <f>SUM(V18:W18)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 s="14">
        <f>IF(AND(ISNUMBER(R18),ISNUMBER(R19)),VLOOKUP(ABS(R18-R19),'IMP Table'!$A$2:$C$26,3)*SIGN(R18-R19),0)</f>
        <v/>
      </c>
      <c r="Y18">
        <f>IF(AND(ISNUMBER(R18),ISNUMBER(R20)),VLOOKUP(ABS(R18-R20),'IMP Table'!$A$2:$C$26,3)*SIGN(R18-R20),0)</f>
        <v/>
      </c>
      <c r="Z18">
        <f>IF(AND(ISNUMBER(S18),ISNUMBER(S19)),VLOOKUP(ABS(S18-S19),'IMP Table'!$A$2:$C$26,3)*SIGN(S18-S19),0)</f>
        <v/>
      </c>
      <c r="AA18">
        <f>IF(AND(ISNUMBER(S18),ISNUMBER(S20)),VLOOKUP(ABS(S18-S20),'IMP Table'!$A$2:$C$26,3)*SIGN(S18-S20),0)</f>
        <v/>
      </c>
    </row>
    <row r="19">
      <c r="B19">
        <f>'By Round'!A12</f>
        <v/>
      </c>
      <c r="C19">
        <f>'By Round'!B12</f>
        <v/>
      </c>
      <c r="D19">
        <f>'By Round'!C12</f>
        <v/>
      </c>
      <c r="E19">
        <f>'By Round'!D12</f>
        <v/>
      </c>
      <c r="F19" s="11" t="inlineStr">
        <is>
          <t>EW</t>
        </is>
      </c>
      <c r="G19">
        <f>IF(ISBLANK('By Round'!G12),"",'By Round'!G12)</f>
        <v/>
      </c>
      <c r="H19">
        <f>IF(ISBLANK('By Round'!H12),"",'By Round'!H12)</f>
        <v/>
      </c>
      <c r="I19">
        <f>IF(ISBLANK('By Round'!I12),"",'By Round'!I12)</f>
        <v/>
      </c>
      <c r="J19">
        <f>IF(ISBLANK('By Round'!J12),"",'By Round'!J12)</f>
        <v/>
      </c>
      <c r="K19">
        <f>IF(ISBLANK('By Round'!K12),"",'By Round'!K12)</f>
        <v/>
      </c>
      <c r="L19" s="12">
        <f>SUM(X19:Y19)</f>
        <v/>
      </c>
      <c r="M19" s="13">
        <f>SUM(Z19:AA19)</f>
        <v/>
      </c>
      <c r="N19" s="8">
        <f>IF(COUNT(T19:U19)&gt;0,P19/COUNT(T19:U19),0.5)</f>
        <v/>
      </c>
      <c r="O19" s="8">
        <f>IF(COUNT(V19:W19)&gt;0,Q19/COUNT(V19:W19),0.5)</f>
        <v/>
      </c>
      <c r="P19" s="5">
        <f>SUM(T19:U19)</f>
        <v/>
      </c>
      <c r="Q19" s="5">
        <f>SUM(V19:W19)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 s="14">
        <f>IF(AND(ISNUMBER(R19),ISNUMBER(R18)),VLOOKUP(ABS(R19-R18),'IMP Table'!$A$2:$C$26,3)*SIGN(R19-R18),0)</f>
        <v/>
      </c>
      <c r="Y19">
        <f>IF(AND(ISNUMBER(R19),ISNUMBER(R20)),VLOOKUP(ABS(R19-R20),'IMP Table'!$A$2:$C$26,3)*SIGN(R19-R20),0)</f>
        <v/>
      </c>
      <c r="Z19">
        <f>IF(AND(ISNUMBER(S19),ISNUMBER(S18)),VLOOKUP(ABS(S19-S18),'IMP Table'!$A$2:$C$26,3)*SIGN(S19-S18),0)</f>
        <v/>
      </c>
      <c r="AA19">
        <f>IF(AND(ISNUMBER(S19),ISNUMBER(S20)),VLOOKUP(ABS(S19-S20),'IMP Table'!$A$2:$C$26,3)*SIGN(S19-S20),0)</f>
        <v/>
      </c>
    </row>
    <row r="20">
      <c r="A20" s="15" t="n"/>
      <c r="B20" s="15">
        <f>'By Round'!A21</f>
        <v/>
      </c>
      <c r="C20" s="15">
        <f>'By Round'!B24</f>
        <v/>
      </c>
      <c r="D20" s="15">
        <f>'By Round'!C24</f>
        <v/>
      </c>
      <c r="E20" s="15">
        <f>'By Round'!D24</f>
        <v/>
      </c>
      <c r="F20" s="16" t="inlineStr">
        <is>
          <t>EW</t>
        </is>
      </c>
      <c r="G20" s="15">
        <f>IF(ISBLANK('By Round'!G24),"",'By Round'!G24)</f>
        <v/>
      </c>
      <c r="H20" s="15">
        <f>IF(ISBLANK('By Round'!H24),"",'By Round'!H24)</f>
        <v/>
      </c>
      <c r="I20" s="15">
        <f>IF(ISBLANK('By Round'!I24),"",'By Round'!I24)</f>
        <v/>
      </c>
      <c r="J20" s="15">
        <f>IF(ISBLANK('By Round'!J24),"",'By Round'!J24)</f>
        <v/>
      </c>
      <c r="K20" s="15">
        <f>IF(ISBLANK('By Round'!K24),"",'By Round'!K24)</f>
        <v/>
      </c>
      <c r="L20" s="17">
        <f>SUM(X20:Y20)</f>
        <v/>
      </c>
      <c r="M20" s="18">
        <f>SUM(Z20:AA20)</f>
        <v/>
      </c>
      <c r="N20" s="19">
        <f>IF(COUNT(T20:U20)&gt;0,P20/COUNT(T20:U20),0.5)</f>
        <v/>
      </c>
      <c r="O20" s="19">
        <f>IF(COUNT(V20:W20)&gt;0,Q20/COUNT(V20:W20),0.5)</f>
        <v/>
      </c>
      <c r="P20" s="20">
        <f>SUM(T20:U20)</f>
        <v/>
      </c>
      <c r="Q20" s="20">
        <f>SUM(V20:W20)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IF(ISNUMBER(R20),IF(ISNUMBER(R18),IF(R20&gt;R18,1.0,IF(R20=R18,0.5,0.0)),""),"")</f>
        <v/>
      </c>
      <c r="U20" s="15">
        <f>IF(ISNUMBER(R20),IF(ISNUMBER(R19),IF(R20&gt;R19,1.0,IF(R20=R19,0.5,0.0)),""),"")</f>
        <v/>
      </c>
      <c r="V20" s="15">
        <f>IF(ISNUMBER(S20),IF(ISNUMBER(S18),IF(S20&gt;S18,1.0,IF(S20=S18,0.5,0.0)),""),"")</f>
        <v/>
      </c>
      <c r="W20" s="15">
        <f>IF(ISNUMBER(S20),IF(ISNUMBER(S19),IF(S20&gt;S19,1.0,IF(S20=S19,0.5,0.0)),""),"")</f>
        <v/>
      </c>
      <c r="X20" s="21">
        <f>IF(AND(ISNUMBER(R20),ISNUMBER(R18)),VLOOKUP(ABS(R20-R18),'IMP Table'!$A$2:$C$26,3)*SIGN(R20-R18),0)</f>
        <v/>
      </c>
      <c r="Y20" s="15">
        <f>IF(AND(ISNUMBER(R20),ISNUMBER(R19)),VLOOKUP(ABS(R20-R19),'IMP Table'!$A$2:$C$26,3)*SIGN(R20-R19),0)</f>
        <v/>
      </c>
      <c r="Z20" s="15">
        <f>IF(AND(ISNUMBER(S20),ISNUMBER(S18)),VLOOKUP(ABS(S20-S18),'IMP Table'!$A$2:$C$26,3)*SIGN(S20-S18),0)</f>
        <v/>
      </c>
      <c r="AA20" s="15">
        <f>IF(AND(ISNUMBER(S20),ISNUMBER(S19)),VLOOKUP(ABS(S20-S19),'IMP Table'!$A$2:$C$26,3)*SIGN(S20-S19),0)</f>
        <v/>
      </c>
    </row>
    <row r="21">
      <c r="A21" t="n">
        <v>7</v>
      </c>
      <c r="B21">
        <f>'By Round'!A12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SUM(X21:Y21)</f>
        <v/>
      </c>
      <c r="M21" s="13">
        <f>SUM(Z21:AA21)</f>
        <v/>
      </c>
      <c r="N21" s="8">
        <f>IF(COUNT(T21:U21)&gt;0,P21/COUNT(T21:U21),0.5)</f>
        <v/>
      </c>
      <c r="O21" s="8">
        <f>IF(COUNT(V21:W21)&gt;0,Q21/COUNT(V21:W21),0.5)</f>
        <v/>
      </c>
      <c r="P21" s="5">
        <f>SUM(T21:U21)</f>
        <v/>
      </c>
      <c r="Q21" s="5">
        <f>SUM(V21:W21)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IF(ISNUMBER(S21),IF(ISNUMBER(S22),IF(S21&gt;S22,1.0,IF(S21=S22,0.5,0.0)),""),"")</f>
        <v/>
      </c>
      <c r="W21">
        <f>IF(ISNUMBER(S21),IF(ISNUMBER(S23),IF(S21&gt;S23,1.0,IF(S21=S23,0.5,0.0)),""),"")</f>
        <v/>
      </c>
      <c r="X21" s="14">
        <f>IF(AND(ISNUMBER(R21),ISNUMBER(R22)),VLOOKUP(ABS(R21-R22),'IMP Table'!$A$2:$C$26,3)*SIGN(R21-R22),0)</f>
        <v/>
      </c>
      <c r="Y21">
        <f>IF(AND(ISNUMBER(R21),ISNUMBER(R23)),VLOOKUP(ABS(R21-R23),'IMP Table'!$A$2:$C$26,3)*SIGN(R21-R23),0)</f>
        <v/>
      </c>
      <c r="Z21">
        <f>IF(AND(ISNUMBER(S21),ISNUMBER(S22)),VLOOKUP(ABS(S21-S22),'IMP Table'!$A$2:$C$26,3)*SIGN(S21-S22),0)</f>
        <v/>
      </c>
      <c r="AA21">
        <f>IF(AND(ISNUMBER(S21),ISNUMBER(S23)),VLOOKUP(ABS(S21-S23),'IMP Table'!$A$2:$C$26,3)*SIGN(S21-S23),0)</f>
        <v/>
      </c>
    </row>
    <row r="22">
      <c r="B22">
        <f>'By Round'!A21</f>
        <v/>
      </c>
      <c r="C22">
        <f>'By Round'!B21</f>
        <v/>
      </c>
      <c r="D22">
        <f>'By Round'!C21</f>
        <v/>
      </c>
      <c r="E22">
        <f>'By Round'!D21</f>
        <v/>
      </c>
      <c r="F22" s="11" t="inlineStr">
        <is>
          <t>Both</t>
        </is>
      </c>
      <c r="G22">
        <f>IF(ISBLANK('By Round'!G21),"",'By Round'!G21)</f>
        <v/>
      </c>
      <c r="H22">
        <f>IF(ISBLANK('By Round'!H21),"",'By Round'!H21)</f>
        <v/>
      </c>
      <c r="I22">
        <f>IF(ISBLANK('By Round'!I21),"",'By Round'!I21)</f>
        <v/>
      </c>
      <c r="J22">
        <f>IF(ISBLANK('By Round'!J21),"",'By Round'!J21)</f>
        <v/>
      </c>
      <c r="K22">
        <f>IF(ISBLANK('By Round'!K21),"",'By Round'!K21)</f>
        <v/>
      </c>
      <c r="L22" s="12">
        <f>SUM(X22:Y22)</f>
        <v/>
      </c>
      <c r="M22" s="13">
        <f>SUM(Z22:AA22)</f>
        <v/>
      </c>
      <c r="N22" s="8">
        <f>IF(COUNT(T22:U22)&gt;0,P22/COUNT(T22:U22),0.5)</f>
        <v/>
      </c>
      <c r="O22" s="8">
        <f>IF(COUNT(V22:W22)&gt;0,Q22/COUNT(V22:W22),0.5)</f>
        <v/>
      </c>
      <c r="P22" s="5">
        <f>SUM(T22:U22)</f>
        <v/>
      </c>
      <c r="Q22" s="5">
        <f>SUM(V22:W22)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IF(ISNUMBER(S22),IF(ISNUMBER(S21),IF(S22&gt;S21,1.0,IF(S22=S21,0.5,0.0)),""),"")</f>
        <v/>
      </c>
      <c r="W22">
        <f>IF(ISNUMBER(S22),IF(ISNUMBER(S23),IF(S22&gt;S23,1.0,IF(S22=S23,0.5,0.0)),""),"")</f>
        <v/>
      </c>
      <c r="X22" s="14">
        <f>IF(AND(ISNUMBER(R22),ISNUMBER(R21)),VLOOKUP(ABS(R22-R21),'IMP Table'!$A$2:$C$26,3)*SIGN(R22-R21),0)</f>
        <v/>
      </c>
      <c r="Y22">
        <f>IF(AND(ISNUMBER(R22),ISNUMBER(R23)),VLOOKUP(ABS(R22-R23),'IMP Table'!$A$2:$C$26,3)*SIGN(R22-R23),0)</f>
        <v/>
      </c>
      <c r="Z22">
        <f>IF(AND(ISNUMBER(S22),ISNUMBER(S21)),VLOOKUP(ABS(S22-S21),'IMP Table'!$A$2:$C$26,3)*SIGN(S22-S21),0)</f>
        <v/>
      </c>
      <c r="AA22">
        <f>IF(AND(ISNUMBER(S22),ISNUMBER(S23)),VLOOKUP(ABS(S22-S23),'IMP Table'!$A$2:$C$26,3)*SIGN(S22-S23),0)</f>
        <v/>
      </c>
    </row>
    <row r="23">
      <c r="A23" s="15" t="n"/>
      <c r="B23" s="15">
        <f>'By Round'!A30</f>
        <v/>
      </c>
      <c r="C23" s="15">
        <f>'By Round'!B33</f>
        <v/>
      </c>
      <c r="D23" s="15">
        <f>'By Round'!C33</f>
        <v/>
      </c>
      <c r="E23" s="15">
        <f>'By Round'!D33</f>
        <v/>
      </c>
      <c r="F23" s="16" t="inlineStr">
        <is>
          <t>Both</t>
        </is>
      </c>
      <c r="G23" s="15">
        <f>IF(ISBLANK('By Round'!G33),"",'By Round'!G33)</f>
        <v/>
      </c>
      <c r="H23" s="15">
        <f>IF(ISBLANK('By Round'!H33),"",'By Round'!H33)</f>
        <v/>
      </c>
      <c r="I23" s="15">
        <f>IF(ISBLANK('By Round'!I33),"",'By Round'!I33)</f>
        <v/>
      </c>
      <c r="J23" s="15">
        <f>IF(ISBLANK('By Round'!J33),"",'By Round'!J33)</f>
        <v/>
      </c>
      <c r="K23" s="15">
        <f>IF(ISBLANK('By Round'!K33),"",'By Round'!K33)</f>
        <v/>
      </c>
      <c r="L23" s="17">
        <f>SUM(X23:Y23)</f>
        <v/>
      </c>
      <c r="M23" s="18">
        <f>SUM(Z23:AA23)</f>
        <v/>
      </c>
      <c r="N23" s="19">
        <f>IF(COUNT(T23:U23)&gt;0,P23/COUNT(T23:U23),0.5)</f>
        <v/>
      </c>
      <c r="O23" s="19">
        <f>IF(COUNT(V23:W23)&gt;0,Q23/COUNT(V23:W23),0.5)</f>
        <v/>
      </c>
      <c r="P23" s="20">
        <f>SUM(T23:U23)</f>
        <v/>
      </c>
      <c r="Q23" s="20">
        <f>SUM(V23:W23)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IF(ISNUMBER(R23),IF(ISNUMBER(R21),IF(R23&gt;R21,1.0,IF(R23=R21,0.5,0.0)),""),"")</f>
        <v/>
      </c>
      <c r="U23" s="15">
        <f>IF(ISNUMBER(R23),IF(ISNUMBER(R22),IF(R23&gt;R22,1.0,IF(R23=R22,0.5,0.0)),""),"")</f>
        <v/>
      </c>
      <c r="V23" s="15">
        <f>IF(ISNUMBER(S23),IF(ISNUMBER(S21),IF(S23&gt;S21,1.0,IF(S23=S21,0.5,0.0)),""),"")</f>
        <v/>
      </c>
      <c r="W23" s="15">
        <f>IF(ISNUMBER(S23),IF(ISNUMBER(S22),IF(S23&gt;S22,1.0,IF(S23=S22,0.5,0.0)),""),"")</f>
        <v/>
      </c>
      <c r="X23" s="21">
        <f>IF(AND(ISNUMBER(R23),ISNUMBER(R21)),VLOOKUP(ABS(R23-R21),'IMP Table'!$A$2:$C$26,3)*SIGN(R23-R21),0)</f>
        <v/>
      </c>
      <c r="Y23" s="15">
        <f>IF(AND(ISNUMBER(R23),ISNUMBER(R22)),VLOOKUP(ABS(R23-R22),'IMP Table'!$A$2:$C$26,3)*SIGN(R23-R22),0)</f>
        <v/>
      </c>
      <c r="Z23" s="15">
        <f>IF(AND(ISNUMBER(S23),ISNUMBER(S21)),VLOOKUP(ABS(S23-S21),'IMP Table'!$A$2:$C$26,3)*SIGN(S23-S21),0)</f>
        <v/>
      </c>
      <c r="AA23" s="15">
        <f>IF(AND(ISNUMBER(S23),ISNUMBER(S22)),VLOOKUP(ABS(S23-S22),'IMP Table'!$A$2:$C$26,3)*SIGN(S23-S22),0)</f>
        <v/>
      </c>
    </row>
    <row r="24">
      <c r="A24" t="n">
        <v>8</v>
      </c>
      <c r="B24">
        <f>'By Round'!A12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None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SUM(X24:Y24)</f>
        <v/>
      </c>
      <c r="M24" s="13">
        <f>SUM(Z24:AA24)</f>
        <v/>
      </c>
      <c r="N24" s="8">
        <f>IF(COUNT(T24:U24)&gt;0,P24/COUNT(T24:U24),0.5)</f>
        <v/>
      </c>
      <c r="O24" s="8">
        <f>IF(COUNT(V24:W24)&gt;0,Q24/COUNT(V24:W24),0.5)</f>
        <v/>
      </c>
      <c r="P24" s="5">
        <f>SUM(T24:U24)</f>
        <v/>
      </c>
      <c r="Q24" s="5">
        <f>SUM(V24:W24)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 s="14">
        <f>IF(AND(ISNUMBER(R24),ISNUMBER(R25)),VLOOKUP(ABS(R24-R25),'IMP Table'!$A$2:$C$26,3)*SIGN(R24-R25),0)</f>
        <v/>
      </c>
      <c r="Y24">
        <f>IF(AND(ISNUMBER(R24),ISNUMBER(R26)),VLOOKUP(ABS(R24-R26),'IMP Table'!$A$2:$C$26,3)*SIGN(R24-R26),0)</f>
        <v/>
      </c>
      <c r="Z24">
        <f>IF(AND(ISNUMBER(S24),ISNUMBER(S25)),VLOOKUP(ABS(S24-S25),'IMP Table'!$A$2:$C$26,3)*SIGN(S24-S25),0)</f>
        <v/>
      </c>
      <c r="AA24">
        <f>IF(AND(ISNUMBER(S24),ISNUMBER(S26)),VLOOKUP(ABS(S24-S26),'IMP Table'!$A$2:$C$26,3)*SIGN(S24-S26),0)</f>
        <v/>
      </c>
    </row>
    <row r="25">
      <c r="B25">
        <f>'By Round'!A21</f>
        <v/>
      </c>
      <c r="C25">
        <f>'By Round'!B21</f>
        <v/>
      </c>
      <c r="D25">
        <f>'By Round'!C21</f>
        <v/>
      </c>
      <c r="E25">
        <f>'By Round'!D21</f>
        <v/>
      </c>
      <c r="F25" s="11" t="inlineStr">
        <is>
          <t>None</t>
        </is>
      </c>
      <c r="G25">
        <f>IF(ISBLANK('By Round'!G21),"",'By Round'!G21)</f>
        <v/>
      </c>
      <c r="H25">
        <f>IF(ISBLANK('By Round'!H21),"",'By Round'!H21)</f>
        <v/>
      </c>
      <c r="I25">
        <f>IF(ISBLANK('By Round'!I21),"",'By Round'!I21)</f>
        <v/>
      </c>
      <c r="J25">
        <f>IF(ISBLANK('By Round'!J21),"",'By Round'!J21)</f>
        <v/>
      </c>
      <c r="K25">
        <f>IF(ISBLANK('By Round'!K21),"",'By Round'!K21)</f>
        <v/>
      </c>
      <c r="L25" s="12">
        <f>SUM(X25:Y25)</f>
        <v/>
      </c>
      <c r="M25" s="13">
        <f>SUM(Z25:AA25)</f>
        <v/>
      </c>
      <c r="N25" s="8">
        <f>IF(COUNT(T25:U25)&gt;0,P25/COUNT(T25:U25),0.5)</f>
        <v/>
      </c>
      <c r="O25" s="8">
        <f>IF(COUNT(V25:W25)&gt;0,Q25/COUNT(V25:W25),0.5)</f>
        <v/>
      </c>
      <c r="P25" s="5">
        <f>SUM(T25:U25)</f>
        <v/>
      </c>
      <c r="Q25" s="5">
        <f>SUM(V25:W25)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 s="14">
        <f>IF(AND(ISNUMBER(R25),ISNUMBER(R24)),VLOOKUP(ABS(R25-R24),'IMP Table'!$A$2:$C$26,3)*SIGN(R25-R24),0)</f>
        <v/>
      </c>
      <c r="Y25">
        <f>IF(AND(ISNUMBER(R25),ISNUMBER(R26)),VLOOKUP(ABS(R25-R26),'IMP Table'!$A$2:$C$26,3)*SIGN(R25-R26),0)</f>
        <v/>
      </c>
      <c r="Z25">
        <f>IF(AND(ISNUMBER(S25),ISNUMBER(S24)),VLOOKUP(ABS(S25-S24),'IMP Table'!$A$2:$C$26,3)*SIGN(S25-S24),0)</f>
        <v/>
      </c>
      <c r="AA25">
        <f>IF(AND(ISNUMBER(S25),ISNUMBER(S26)),VLOOKUP(ABS(S25-S26),'IMP Table'!$A$2:$C$26,3)*SIGN(S25-S26),0)</f>
        <v/>
      </c>
    </row>
    <row r="26">
      <c r="A26" s="15" t="n"/>
      <c r="B26" s="15">
        <f>'By Round'!A30</f>
        <v/>
      </c>
      <c r="C26" s="15">
        <f>'By Round'!B33</f>
        <v/>
      </c>
      <c r="D26" s="15">
        <f>'By Round'!C33</f>
        <v/>
      </c>
      <c r="E26" s="15">
        <f>'By Round'!D33</f>
        <v/>
      </c>
      <c r="F26" s="16" t="inlineStr">
        <is>
          <t>None</t>
        </is>
      </c>
      <c r="G26" s="15">
        <f>IF(ISBLANK('By Round'!G33),"",'By Round'!G33)</f>
        <v/>
      </c>
      <c r="H26" s="15">
        <f>IF(ISBLANK('By Round'!H33),"",'By Round'!H33)</f>
        <v/>
      </c>
      <c r="I26" s="15">
        <f>IF(ISBLANK('By Round'!I33),"",'By Round'!I33)</f>
        <v/>
      </c>
      <c r="J26" s="15">
        <f>IF(ISBLANK('By Round'!J33),"",'By Round'!J33)</f>
        <v/>
      </c>
      <c r="K26" s="15">
        <f>IF(ISBLANK('By Round'!K33),"",'By Round'!K33)</f>
        <v/>
      </c>
      <c r="L26" s="17">
        <f>SUM(X26:Y26)</f>
        <v/>
      </c>
      <c r="M26" s="18">
        <f>SUM(Z26:AA26)</f>
        <v/>
      </c>
      <c r="N26" s="19">
        <f>IF(COUNT(T26:U26)&gt;0,P26/COUNT(T26:U26),0.5)</f>
        <v/>
      </c>
      <c r="O26" s="19">
        <f>IF(COUNT(V26:W26)&gt;0,Q26/COUNT(V26:W26),0.5)</f>
        <v/>
      </c>
      <c r="P26" s="20">
        <f>SUM(T26:U26)</f>
        <v/>
      </c>
      <c r="Q26" s="20">
        <f>SUM(V26:W26)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IF(ISNUMBER(R26),IF(ISNUMBER(R24),IF(R26&gt;R24,1.0,IF(R26=R24,0.5,0.0)),""),"")</f>
        <v/>
      </c>
      <c r="U26" s="15">
        <f>IF(ISNUMBER(R26),IF(ISNUMBER(R25),IF(R26&gt;R25,1.0,IF(R26=R25,0.5,0.0)),""),"")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21">
        <f>IF(AND(ISNUMBER(R26),ISNUMBER(R24)),VLOOKUP(ABS(R26-R24),'IMP Table'!$A$2:$C$26,3)*SIGN(R26-R24),0)</f>
        <v/>
      </c>
      <c r="Y26" s="15">
        <f>IF(AND(ISNUMBER(R26),ISNUMBER(R25)),VLOOKUP(ABS(R26-R25),'IMP Table'!$A$2:$C$26,3)*SIGN(R26-R25),0)</f>
        <v/>
      </c>
      <c r="Z26" s="15">
        <f>IF(AND(ISNUMBER(S26),ISNUMBER(S24)),VLOOKUP(ABS(S26-S24),'IMP Table'!$A$2:$C$26,3)*SIGN(S26-S24),0)</f>
        <v/>
      </c>
      <c r="AA26" s="15">
        <f>IF(AND(ISNUMBER(S26),ISNUMBER(S25)),VLOOKUP(ABS(S26-S25),'IMP Table'!$A$2:$C$26,3)*SIGN(S26-S25),0)</f>
        <v/>
      </c>
    </row>
    <row r="27">
      <c r="A27" t="n">
        <v>9</v>
      </c>
      <c r="B27">
        <f>'By Round'!A12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EW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SUM(X27:Y27)</f>
        <v/>
      </c>
      <c r="M27" s="13">
        <f>SUM(Z27:AA27)</f>
        <v/>
      </c>
      <c r="N27" s="8">
        <f>IF(COUNT(T27:U27)&gt;0,P27/COUNT(T27:U27),0.5)</f>
        <v/>
      </c>
      <c r="O27" s="8">
        <f>IF(COUNT(V27:W27)&gt;0,Q27/COUNT(V27:W27),0.5)</f>
        <v/>
      </c>
      <c r="P27" s="5">
        <f>SUM(T27:U27)</f>
        <v/>
      </c>
      <c r="Q27" s="5">
        <f>SUM(V27:W27)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IF(ISNUMBER(S27),IF(ISNUMBER(S28),IF(S27&gt;S28,1.0,IF(S27=S28,0.5,0.0)),""),"")</f>
        <v/>
      </c>
      <c r="W27">
        <f>IF(ISNUMBER(S27),IF(ISNUMBER(S29),IF(S27&gt;S29,1.0,IF(S27=S29,0.5,0.0)),""),"")</f>
        <v/>
      </c>
      <c r="X27" s="14">
        <f>IF(AND(ISNUMBER(R27),ISNUMBER(R28)),VLOOKUP(ABS(R27-R28),'IMP Table'!$A$2:$C$26,3)*SIGN(R27-R28),0)</f>
        <v/>
      </c>
      <c r="Y27">
        <f>IF(AND(ISNUMBER(R27),ISNUMBER(R29)),VLOOKUP(ABS(R27-R29),'IMP Table'!$A$2:$C$26,3)*SIGN(R27-R29),0)</f>
        <v/>
      </c>
      <c r="Z27">
        <f>IF(AND(ISNUMBER(S27),ISNUMBER(S28)),VLOOKUP(ABS(S27-S28),'IMP Table'!$A$2:$C$26,3)*SIGN(S27-S28),0)</f>
        <v/>
      </c>
      <c r="AA27">
        <f>IF(AND(ISNUMBER(S27),ISNUMBER(S29)),VLOOKUP(ABS(S27-S29),'IMP Table'!$A$2:$C$26,3)*SIGN(S27-S29),0)</f>
        <v/>
      </c>
    </row>
    <row r="28">
      <c r="B28">
        <f>'By Round'!A21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EW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SUM(X28:Y28)</f>
        <v/>
      </c>
      <c r="M28" s="13">
        <f>SUM(Z28:AA28)</f>
        <v/>
      </c>
      <c r="N28" s="8">
        <f>IF(COUNT(T28:U28)&gt;0,P28/COUNT(T28:U28),0.5)</f>
        <v/>
      </c>
      <c r="O28" s="8">
        <f>IF(COUNT(V28:W28)&gt;0,Q28/COUNT(V28:W28),0.5)</f>
        <v/>
      </c>
      <c r="P28" s="5">
        <f>SUM(T28:U28)</f>
        <v/>
      </c>
      <c r="Q28" s="5">
        <f>SUM(V28:W28)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IF(ISNUMBER(S28),IF(ISNUMBER(S27),IF(S28&gt;S27,1.0,IF(S28=S27,0.5,0.0)),""),"")</f>
        <v/>
      </c>
      <c r="W28">
        <f>IF(ISNUMBER(S28),IF(ISNUMBER(S29),IF(S28&gt;S29,1.0,IF(S28=S29,0.5,0.0)),""),"")</f>
        <v/>
      </c>
      <c r="X28" s="14">
        <f>IF(AND(ISNUMBER(R28),ISNUMBER(R27)),VLOOKUP(ABS(R28-R27),'IMP Table'!$A$2:$C$26,3)*SIGN(R28-R27),0)</f>
        <v/>
      </c>
      <c r="Y28">
        <f>IF(AND(ISNUMBER(R28),ISNUMBER(R29)),VLOOKUP(ABS(R28-R29),'IMP Table'!$A$2:$C$26,3)*SIGN(R28-R29),0)</f>
        <v/>
      </c>
      <c r="Z28">
        <f>IF(AND(ISNUMBER(S28),ISNUMBER(S27)),VLOOKUP(ABS(S28-S27),'IMP Table'!$A$2:$C$26,3)*SIGN(S28-S27),0)</f>
        <v/>
      </c>
      <c r="AA28">
        <f>IF(AND(ISNUMBER(S28),ISNUMBER(S29)),VLOOKUP(ABS(S28-S29),'IMP Table'!$A$2:$C$26,3)*SIGN(S28-S29),0)</f>
        <v/>
      </c>
    </row>
    <row r="29">
      <c r="A29" s="15" t="n"/>
      <c r="B29" s="15">
        <f>'By Round'!A30</f>
        <v/>
      </c>
      <c r="C29" s="15">
        <f>'By Round'!B33</f>
        <v/>
      </c>
      <c r="D29" s="15">
        <f>'By Round'!C33</f>
        <v/>
      </c>
      <c r="E29" s="15">
        <f>'By Round'!D33</f>
        <v/>
      </c>
      <c r="F29" s="16" t="inlineStr">
        <is>
          <t>EW</t>
        </is>
      </c>
      <c r="G29" s="15">
        <f>IF(ISBLANK('By Round'!G33),"",'By Round'!G33)</f>
        <v/>
      </c>
      <c r="H29" s="15">
        <f>IF(ISBLANK('By Round'!H33),"",'By Round'!H33)</f>
        <v/>
      </c>
      <c r="I29" s="15">
        <f>IF(ISBLANK('By Round'!I33),"",'By Round'!I33)</f>
        <v/>
      </c>
      <c r="J29" s="15">
        <f>IF(ISBLANK('By Round'!J33),"",'By Round'!J33)</f>
        <v/>
      </c>
      <c r="K29" s="15">
        <f>IF(ISBLANK('By Round'!K33),"",'By Round'!K33)</f>
        <v/>
      </c>
      <c r="L29" s="17">
        <f>SUM(X29:Y29)</f>
        <v/>
      </c>
      <c r="M29" s="18">
        <f>SUM(Z29:AA29)</f>
        <v/>
      </c>
      <c r="N29" s="19">
        <f>IF(COUNT(T29:U29)&gt;0,P29/COUNT(T29:U29),0.5)</f>
        <v/>
      </c>
      <c r="O29" s="19">
        <f>IF(COUNT(V29:W29)&gt;0,Q29/COUNT(V29:W29),0.5)</f>
        <v/>
      </c>
      <c r="P29" s="20">
        <f>SUM(T29:U29)</f>
        <v/>
      </c>
      <c r="Q29" s="20">
        <f>SUM(V29:W29)</f>
        <v/>
      </c>
      <c r="R29" s="21">
        <f>IF(ISNUMBER(J29),J29,IF(ISNUMBER(K29),-K29,""))</f>
        <v/>
      </c>
      <c r="S29" s="15">
        <f>IF(ISNUMBER(K29),K29,IF(ISNUMBER(J29),-J29,""))</f>
        <v/>
      </c>
      <c r="T29" s="21">
        <f>IF(ISNUMBER(R29),IF(ISNUMBER(R27),IF(R29&gt;R27,1.0,IF(R29=R27,0.5,0.0)),""),"")</f>
        <v/>
      </c>
      <c r="U29" s="15">
        <f>IF(ISNUMBER(R29),IF(ISNUMBER(R28),IF(R29&gt;R28,1.0,IF(R29=R28,0.5,0.0)),""),"")</f>
        <v/>
      </c>
      <c r="V29" s="15">
        <f>IF(ISNUMBER(S29),IF(ISNUMBER(S27),IF(S29&gt;S27,1.0,IF(S29=S27,0.5,0.0)),""),"")</f>
        <v/>
      </c>
      <c r="W29" s="15">
        <f>IF(ISNUMBER(S29),IF(ISNUMBER(S28),IF(S29&gt;S28,1.0,IF(S29=S28,0.5,0.0)),""),"")</f>
        <v/>
      </c>
      <c r="X29" s="21">
        <f>IF(AND(ISNUMBER(R29),ISNUMBER(R27)),VLOOKUP(ABS(R29-R27),'IMP Table'!$A$2:$C$26,3)*SIGN(R29-R27),0)</f>
        <v/>
      </c>
      <c r="Y29" s="15">
        <f>IF(AND(ISNUMBER(R29),ISNUMBER(R28)),VLOOKUP(ABS(R29-R28),'IMP Table'!$A$2:$C$26,3)*SIGN(R29-R28),0)</f>
        <v/>
      </c>
      <c r="Z29" s="15">
        <f>IF(AND(ISNUMBER(S29),ISNUMBER(S27)),VLOOKUP(ABS(S29-S27),'IMP Table'!$A$2:$C$26,3)*SIGN(S29-S27),0)</f>
        <v/>
      </c>
      <c r="AA29" s="15">
        <f>IF(AND(ISNUMBER(S29),ISNUMBER(S28)),VLOOKUP(ABS(S29-S28),'IMP Table'!$A$2:$C$26,3)*SIGN(S29-S28),0)</f>
        <v/>
      </c>
    </row>
    <row r="30">
      <c r="A30" t="n">
        <v>10</v>
      </c>
      <c r="B30">
        <f>'By Round'!A3</f>
        <v/>
      </c>
      <c r="C30">
        <f>'By Round'!B9</f>
        <v/>
      </c>
      <c r="D30">
        <f>'By Round'!C9</f>
        <v/>
      </c>
      <c r="E30">
        <f>'By Round'!D9</f>
        <v/>
      </c>
      <c r="F30" s="11" t="inlineStr">
        <is>
          <t>Both</t>
        </is>
      </c>
      <c r="G30">
        <f>IF(ISBLANK('By Round'!G9),"",'By Round'!G9)</f>
        <v/>
      </c>
      <c r="H30">
        <f>IF(ISBLANK('By Round'!H9),"",'By Round'!H9)</f>
        <v/>
      </c>
      <c r="I30">
        <f>IF(ISBLANK('By Round'!I9),"",'By Round'!I9)</f>
        <v/>
      </c>
      <c r="J30">
        <f>IF(ISBLANK('By Round'!J9),"",'By Round'!J9)</f>
        <v/>
      </c>
      <c r="K30">
        <f>IF(ISBLANK('By Round'!K9),"",'By Round'!K9)</f>
        <v/>
      </c>
      <c r="L30" s="12">
        <f>SUM(X30:Y30)</f>
        <v/>
      </c>
      <c r="M30" s="13">
        <f>SUM(Z30:AA30)</f>
        <v/>
      </c>
      <c r="N30" s="8">
        <f>IF(COUNT(T30:U30)&gt;0,P30/COUNT(T30:U30),0.5)</f>
        <v/>
      </c>
      <c r="O30" s="8">
        <f>IF(COUNT(V30:W30)&gt;0,Q30/COUNT(V30:W30),0.5)</f>
        <v/>
      </c>
      <c r="P30" s="5">
        <f>SUM(T30:U30)</f>
        <v/>
      </c>
      <c r="Q30" s="5">
        <f>SUM(V30:W30)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IF(ISNUMBER(R30),IF(ISNUMBER(R31),IF(R30&gt;R31,1.0,IF(R30=R31,0.5,0.0)),""),"")</f>
        <v/>
      </c>
      <c r="U30">
        <f>IF(ISNUMBER(R30),IF(ISNUMBER(R32),IF(R30&gt;R32,1.0,IF(R30=R32,0.5,0.0)),""),"")</f>
        <v/>
      </c>
      <c r="V30">
        <f>IF(ISNUMBER(S30),IF(ISNUMBER(S31),IF(S30&gt;S31,1.0,IF(S30=S31,0.5,0.0)),""),"")</f>
        <v/>
      </c>
      <c r="W30">
        <f>IF(ISNUMBER(S30),IF(ISNUMBER(S32),IF(S30&gt;S32,1.0,IF(S30=S32,0.5,0.0)),""),"")</f>
        <v/>
      </c>
      <c r="X30" s="14">
        <f>IF(AND(ISNUMBER(R30),ISNUMBER(R31)),VLOOKUP(ABS(R30-R31),'IMP Table'!$A$2:$C$26,3)*SIGN(R30-R31),0)</f>
        <v/>
      </c>
      <c r="Y30">
        <f>IF(AND(ISNUMBER(R30),ISNUMBER(R32)),VLOOKUP(ABS(R30-R32),'IMP Table'!$A$2:$C$26,3)*SIGN(R30-R32),0)</f>
        <v/>
      </c>
      <c r="Z30">
        <f>IF(AND(ISNUMBER(S30),ISNUMBER(S31)),VLOOKUP(ABS(S30-S31),'IMP Table'!$A$2:$C$26,3)*SIGN(S30-S31),0)</f>
        <v/>
      </c>
      <c r="AA30">
        <f>IF(AND(ISNUMBER(S30),ISNUMBER(S32)),VLOOKUP(ABS(S30-S32),'IMP Table'!$A$2:$C$26,3)*SIGN(S30-S32),0)</f>
        <v/>
      </c>
    </row>
    <row r="31">
      <c r="B31">
        <f>'By Round'!A12</f>
        <v/>
      </c>
      <c r="C31">
        <f>'By Round'!B18</f>
        <v/>
      </c>
      <c r="D31">
        <f>'By Round'!C18</f>
        <v/>
      </c>
      <c r="E31">
        <f>'By Round'!D18</f>
        <v/>
      </c>
      <c r="F31" s="11" t="inlineStr">
        <is>
          <t>Both</t>
        </is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 s="12">
        <f>SUM(X31:Y31)</f>
        <v/>
      </c>
      <c r="M31" s="13">
        <f>SUM(Z31:AA31)</f>
        <v/>
      </c>
      <c r="N31" s="8">
        <f>IF(COUNT(T31:U31)&gt;0,P31/COUNT(T31:U31),0.5)</f>
        <v/>
      </c>
      <c r="O31" s="8">
        <f>IF(COUNT(V31:W31)&gt;0,Q31/COUNT(V31:W31),0.5)</f>
        <v/>
      </c>
      <c r="P31" s="5">
        <f>SUM(T31:U31)</f>
        <v/>
      </c>
      <c r="Q31" s="5">
        <f>SUM(V31:W31)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IF(ISNUMBER(R31),IF(ISNUMBER(R30),IF(R31&gt;R30,1.0,IF(R31=R30,0.5,0.0)),""),"")</f>
        <v/>
      </c>
      <c r="U31">
        <f>IF(ISNUMBER(R31),IF(ISNUMBER(R32),IF(R31&gt;R32,1.0,IF(R31=R32,0.5,0.0)),""),"")</f>
        <v/>
      </c>
      <c r="V31">
        <f>IF(ISNUMBER(S31),IF(ISNUMBER(S30),IF(S31&gt;S30,1.0,IF(S31=S30,0.5,0.0)),""),"")</f>
        <v/>
      </c>
      <c r="W31">
        <f>IF(ISNUMBER(S31),IF(ISNUMBER(S32),IF(S31&gt;S32,1.0,IF(S31=S32,0.5,0.0)),""),"")</f>
        <v/>
      </c>
      <c r="X31" s="14">
        <f>IF(AND(ISNUMBER(R31),ISNUMBER(R30)),VLOOKUP(ABS(R31-R30),'IMP Table'!$A$2:$C$26,3)*SIGN(R31-R30),0)</f>
        <v/>
      </c>
      <c r="Y31">
        <f>IF(AND(ISNUMBER(R31),ISNUMBER(R32)),VLOOKUP(ABS(R31-R32),'IMP Table'!$A$2:$C$26,3)*SIGN(R31-R32),0)</f>
        <v/>
      </c>
      <c r="Z31">
        <f>IF(AND(ISNUMBER(S31),ISNUMBER(S30)),VLOOKUP(ABS(S31-S30),'IMP Table'!$A$2:$C$26,3)*SIGN(S31-S30),0)</f>
        <v/>
      </c>
      <c r="AA31">
        <f>IF(AND(ISNUMBER(S31),ISNUMBER(S32)),VLOOKUP(ABS(S31-S32),'IMP Table'!$A$2:$C$26,3)*SIGN(S31-S32),0)</f>
        <v/>
      </c>
    </row>
    <row r="32">
      <c r="A32" s="15" t="n"/>
      <c r="B32" s="15">
        <f>'By Round'!A30</f>
        <v/>
      </c>
      <c r="C32" s="15">
        <f>'By Round'!B30</f>
        <v/>
      </c>
      <c r="D32" s="15">
        <f>'By Round'!C30</f>
        <v/>
      </c>
      <c r="E32" s="15">
        <f>'By Round'!D30</f>
        <v/>
      </c>
      <c r="F32" s="16" t="inlineStr">
        <is>
          <t>Both</t>
        </is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7">
        <f>SUM(X32:Y32)</f>
        <v/>
      </c>
      <c r="M32" s="18">
        <f>SUM(Z32:AA32)</f>
        <v/>
      </c>
      <c r="N32" s="19">
        <f>IF(COUNT(T32:U32)&gt;0,P32/COUNT(T32:U32),0.5)</f>
        <v/>
      </c>
      <c r="O32" s="19">
        <f>IF(COUNT(V32:W32)&gt;0,Q32/COUNT(V32:W32),0.5)</f>
        <v/>
      </c>
      <c r="P32" s="20">
        <f>SUM(T32:U32)</f>
        <v/>
      </c>
      <c r="Q32" s="20">
        <f>SUM(V32:W32)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IF(ISNUMBER(R32),IF(ISNUMBER(R30),IF(R32&gt;R30,1.0,IF(R32=R30,0.5,0.0)),""),"")</f>
        <v/>
      </c>
      <c r="U32" s="15">
        <f>IF(ISNUMBER(R32),IF(ISNUMBER(R31),IF(R32&gt;R31,1.0,IF(R32=R31,0.5,0.0)),""),"")</f>
        <v/>
      </c>
      <c r="V32" s="15">
        <f>IF(ISNUMBER(S32),IF(ISNUMBER(S30),IF(S32&gt;S30,1.0,IF(S32=S30,0.5,0.0)),""),"")</f>
        <v/>
      </c>
      <c r="W32" s="15">
        <f>IF(ISNUMBER(S32),IF(ISNUMBER(S31),IF(S32&gt;S31,1.0,IF(S32=S31,0.5,0.0)),""),"")</f>
        <v/>
      </c>
      <c r="X32" s="21">
        <f>IF(AND(ISNUMBER(R32),ISNUMBER(R30)),VLOOKUP(ABS(R32-R30),'IMP Table'!$A$2:$C$26,3)*SIGN(R32-R30),0)</f>
        <v/>
      </c>
      <c r="Y32" s="15">
        <f>IF(AND(ISNUMBER(R32),ISNUMBER(R31)),VLOOKUP(ABS(R32-R31),'IMP Table'!$A$2:$C$26,3)*SIGN(R32-R31),0)</f>
        <v/>
      </c>
      <c r="Z32" s="15">
        <f>IF(AND(ISNUMBER(S32),ISNUMBER(S30)),VLOOKUP(ABS(S32-S30),'IMP Table'!$A$2:$C$26,3)*SIGN(S32-S30),0)</f>
        <v/>
      </c>
      <c r="AA32" s="15">
        <f>IF(AND(ISNUMBER(S32),ISNUMBER(S31)),VLOOKUP(ABS(S32-S31),'IMP Table'!$A$2:$C$26,3)*SIGN(S32-S31),0)</f>
        <v/>
      </c>
    </row>
    <row r="33">
      <c r="A33" t="n">
        <v>11</v>
      </c>
      <c r="B33">
        <f>'By Round'!A3</f>
        <v/>
      </c>
      <c r="C33">
        <f>'By Round'!B9</f>
        <v/>
      </c>
      <c r="D33">
        <f>'By Round'!C9</f>
        <v/>
      </c>
      <c r="E33">
        <f>'By Round'!D9</f>
        <v/>
      </c>
      <c r="F33" s="11" t="inlineStr">
        <is>
          <t>None</t>
        </is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2">
        <f>SUM(X33:Y33)</f>
        <v/>
      </c>
      <c r="M33" s="13">
        <f>SUM(Z33:AA33)</f>
        <v/>
      </c>
      <c r="N33" s="8">
        <f>IF(COUNT(T33:U33)&gt;0,P33/COUNT(T33:U33),0.5)</f>
        <v/>
      </c>
      <c r="O33" s="8">
        <f>IF(COUNT(V33:W33)&gt;0,Q33/COUNT(V33:W33),0.5)</f>
        <v/>
      </c>
      <c r="P33" s="5">
        <f>SUM(T33:U33)</f>
        <v/>
      </c>
      <c r="Q33" s="5">
        <f>SUM(V33:W33)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IF(ISNUMBER(S33),IF(ISNUMBER(S34),IF(S33&gt;S34,1.0,IF(S33=S34,0.5,0.0)),""),"")</f>
        <v/>
      </c>
      <c r="W33">
        <f>IF(ISNUMBER(S33),IF(ISNUMBER(S35),IF(S33&gt;S35,1.0,IF(S33=S35,0.5,0.0)),""),"")</f>
        <v/>
      </c>
      <c r="X33" s="14">
        <f>IF(AND(ISNUMBER(R33),ISNUMBER(R34)),VLOOKUP(ABS(R33-R34),'IMP Table'!$A$2:$C$26,3)*SIGN(R33-R34),0)</f>
        <v/>
      </c>
      <c r="Y33">
        <f>IF(AND(ISNUMBER(R33),ISNUMBER(R35)),VLOOKUP(ABS(R33-R35),'IMP Table'!$A$2:$C$26,3)*SIGN(R33-R35),0)</f>
        <v/>
      </c>
      <c r="Z33">
        <f>IF(AND(ISNUMBER(S33),ISNUMBER(S34)),VLOOKUP(ABS(S33-S34),'IMP Table'!$A$2:$C$26,3)*SIGN(S33-S34),0)</f>
        <v/>
      </c>
      <c r="AA33">
        <f>IF(AND(ISNUMBER(S33),ISNUMBER(S35)),VLOOKUP(ABS(S33-S35),'IMP Table'!$A$2:$C$26,3)*SIGN(S33-S35),0)</f>
        <v/>
      </c>
    </row>
    <row r="34">
      <c r="B34">
        <f>'By Round'!A12</f>
        <v/>
      </c>
      <c r="C34">
        <f>'By Round'!B18</f>
        <v/>
      </c>
      <c r="D34">
        <f>'By Round'!C18</f>
        <v/>
      </c>
      <c r="E34">
        <f>'By Round'!D18</f>
        <v/>
      </c>
      <c r="F34" s="11" t="inlineStr">
        <is>
          <t>None</t>
        </is>
      </c>
      <c r="G34">
        <f>IF(ISBLANK('By Round'!G18),"",'By Round'!G18)</f>
        <v/>
      </c>
      <c r="H34">
        <f>IF(ISBLANK('By Round'!H18),"",'By Round'!H18)</f>
        <v/>
      </c>
      <c r="I34">
        <f>IF(ISBLANK('By Round'!I18),"",'By Round'!I18)</f>
        <v/>
      </c>
      <c r="J34">
        <f>IF(ISBLANK('By Round'!J18),"",'By Round'!J18)</f>
        <v/>
      </c>
      <c r="K34">
        <f>IF(ISBLANK('By Round'!K18),"",'By Round'!K18)</f>
        <v/>
      </c>
      <c r="L34" s="12">
        <f>SUM(X34:Y34)</f>
        <v/>
      </c>
      <c r="M34" s="13">
        <f>SUM(Z34:AA34)</f>
        <v/>
      </c>
      <c r="N34" s="8">
        <f>IF(COUNT(T34:U34)&gt;0,P34/COUNT(T34:U34),0.5)</f>
        <v/>
      </c>
      <c r="O34" s="8">
        <f>IF(COUNT(V34:W34)&gt;0,Q34/COUNT(V34:W34),0.5)</f>
        <v/>
      </c>
      <c r="P34" s="5">
        <f>SUM(T34:U34)</f>
        <v/>
      </c>
      <c r="Q34" s="5">
        <f>SUM(V34:W34)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IF(ISNUMBER(S34),IF(ISNUMBER(S33),IF(S34&gt;S33,1.0,IF(S34=S33,0.5,0.0)),""),"")</f>
        <v/>
      </c>
      <c r="W34">
        <f>IF(ISNUMBER(S34),IF(ISNUMBER(S35),IF(S34&gt;S35,1.0,IF(S34=S35,0.5,0.0)),""),"")</f>
        <v/>
      </c>
      <c r="X34" s="14">
        <f>IF(AND(ISNUMBER(R34),ISNUMBER(R33)),VLOOKUP(ABS(R34-R33),'IMP Table'!$A$2:$C$26,3)*SIGN(R34-R33),0)</f>
        <v/>
      </c>
      <c r="Y34">
        <f>IF(AND(ISNUMBER(R34),ISNUMBER(R35)),VLOOKUP(ABS(R34-R35),'IMP Table'!$A$2:$C$26,3)*SIGN(R34-R35),0)</f>
        <v/>
      </c>
      <c r="Z34">
        <f>IF(AND(ISNUMBER(S34),ISNUMBER(S33)),VLOOKUP(ABS(S34-S33),'IMP Table'!$A$2:$C$26,3)*SIGN(S34-S33),0)</f>
        <v/>
      </c>
      <c r="AA34">
        <f>IF(AND(ISNUMBER(S34),ISNUMBER(S35)),VLOOKUP(ABS(S34-S35),'IMP Table'!$A$2:$C$26,3)*SIGN(S34-S35),0)</f>
        <v/>
      </c>
    </row>
    <row r="35">
      <c r="A35" s="15" t="n"/>
      <c r="B35" s="15">
        <f>'By Round'!A30</f>
        <v/>
      </c>
      <c r="C35" s="15">
        <f>'By Round'!B30</f>
        <v/>
      </c>
      <c r="D35" s="15">
        <f>'By Round'!C30</f>
        <v/>
      </c>
      <c r="E35" s="15">
        <f>'By Round'!D30</f>
        <v/>
      </c>
      <c r="F35" s="16" t="inlineStr">
        <is>
          <t>None</t>
        </is>
      </c>
      <c r="G35" s="15">
        <f>IF(ISBLANK('By Round'!G30),"",'By Round'!G30)</f>
        <v/>
      </c>
      <c r="H35" s="15">
        <f>IF(ISBLANK('By Round'!H30),"",'By Round'!H30)</f>
        <v/>
      </c>
      <c r="I35" s="15">
        <f>IF(ISBLANK('By Round'!I30),"",'By Round'!I30)</f>
        <v/>
      </c>
      <c r="J35" s="15">
        <f>IF(ISBLANK('By Round'!J30),"",'By Round'!J30)</f>
        <v/>
      </c>
      <c r="K35" s="15">
        <f>IF(ISBLANK('By Round'!K30),"",'By Round'!K30)</f>
        <v/>
      </c>
      <c r="L35" s="17">
        <f>SUM(X35:Y35)</f>
        <v/>
      </c>
      <c r="M35" s="18">
        <f>SUM(Z35:AA35)</f>
        <v/>
      </c>
      <c r="N35" s="19">
        <f>IF(COUNT(T35:U35)&gt;0,P35/COUNT(T35:U35),0.5)</f>
        <v/>
      </c>
      <c r="O35" s="19">
        <f>IF(COUNT(V35:W35)&gt;0,Q35/COUNT(V35:W35),0.5)</f>
        <v/>
      </c>
      <c r="P35" s="20">
        <f>SUM(T35:U35)</f>
        <v/>
      </c>
      <c r="Q35" s="20">
        <f>SUM(V35:W35)</f>
        <v/>
      </c>
      <c r="R35" s="21">
        <f>IF(ISNUMBER(J35),J35,IF(ISNUMBER(K35),-K35,""))</f>
        <v/>
      </c>
      <c r="S35" s="15">
        <f>IF(ISNUMBER(K35),K35,IF(ISNUMBER(J35),-J35,""))</f>
        <v/>
      </c>
      <c r="T35" s="21">
        <f>IF(ISNUMBER(R35),IF(ISNUMBER(R33),IF(R35&gt;R33,1.0,IF(R35=R33,0.5,0.0)),""),"")</f>
        <v/>
      </c>
      <c r="U35" s="15">
        <f>IF(ISNUMBER(R35),IF(ISNUMBER(R34),IF(R35&gt;R34,1.0,IF(R35=R34,0.5,0.0)),""),"")</f>
        <v/>
      </c>
      <c r="V35" s="15">
        <f>IF(ISNUMBER(S35),IF(ISNUMBER(S33),IF(S35&gt;S33,1.0,IF(S35=S33,0.5,0.0)),""),"")</f>
        <v/>
      </c>
      <c r="W35" s="15">
        <f>IF(ISNUMBER(S35),IF(ISNUMBER(S34),IF(S35&gt;S34,1.0,IF(S35=S34,0.5,0.0)),""),"")</f>
        <v/>
      </c>
      <c r="X35" s="21">
        <f>IF(AND(ISNUMBER(R35),ISNUMBER(R33)),VLOOKUP(ABS(R35-R33),'IMP Table'!$A$2:$C$26,3)*SIGN(R35-R33),0)</f>
        <v/>
      </c>
      <c r="Y35" s="15">
        <f>IF(AND(ISNUMBER(R35),ISNUMBER(R34)),VLOOKUP(ABS(R35-R34),'IMP Table'!$A$2:$C$26,3)*SIGN(R35-R34),0)</f>
        <v/>
      </c>
      <c r="Z35" s="15">
        <f>IF(AND(ISNUMBER(S35),ISNUMBER(S33)),VLOOKUP(ABS(S35-S33),'IMP Table'!$A$2:$C$26,3)*SIGN(S35-S33),0)</f>
        <v/>
      </c>
      <c r="AA35" s="15">
        <f>IF(AND(ISNUMBER(S35),ISNUMBER(S34)),VLOOKUP(ABS(S35-S34),'IMP Table'!$A$2:$C$26,3)*SIGN(S35-S34),0)</f>
        <v/>
      </c>
    </row>
    <row r="36">
      <c r="A36" t="n">
        <v>12</v>
      </c>
      <c r="B36">
        <f>'By Round'!A3</f>
        <v/>
      </c>
      <c r="C36">
        <f>'By Round'!B9</f>
        <v/>
      </c>
      <c r="D36">
        <f>'By Round'!C9</f>
        <v/>
      </c>
      <c r="E36">
        <f>'By Round'!D9</f>
        <v/>
      </c>
      <c r="F36" s="11" t="inlineStr">
        <is>
          <t>NS</t>
        </is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 s="12">
        <f>SUM(X36:Y36)</f>
        <v/>
      </c>
      <c r="M36" s="13">
        <f>SUM(Z36:AA36)</f>
        <v/>
      </c>
      <c r="N36" s="8">
        <f>IF(COUNT(T36:U36)&gt;0,P36/COUNT(T36:U36),0.5)</f>
        <v/>
      </c>
      <c r="O36" s="8">
        <f>IF(COUNT(V36:W36)&gt;0,Q36/COUNT(V36:W36),0.5)</f>
        <v/>
      </c>
      <c r="P36" s="5">
        <f>SUM(T36:U36)</f>
        <v/>
      </c>
      <c r="Q36" s="5">
        <f>SUM(V36:W36)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IF(ISNUMBER(R36),IF(ISNUMBER(R37),IF(R36&gt;R37,1.0,IF(R36=R37,0.5,0.0)),""),"")</f>
        <v/>
      </c>
      <c r="U36">
        <f>IF(ISNUMBER(R36),IF(ISNUMBER(R38),IF(R36&gt;R38,1.0,IF(R36=R38,0.5,0.0)),""),"")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 s="14">
        <f>IF(AND(ISNUMBER(R36),ISNUMBER(R37)),VLOOKUP(ABS(R36-R37),'IMP Table'!$A$2:$C$26,3)*SIGN(R36-R37),0)</f>
        <v/>
      </c>
      <c r="Y36">
        <f>IF(AND(ISNUMBER(R36),ISNUMBER(R38)),VLOOKUP(ABS(R36-R38),'IMP Table'!$A$2:$C$26,3)*SIGN(R36-R38),0)</f>
        <v/>
      </c>
      <c r="Z36">
        <f>IF(AND(ISNUMBER(S36),ISNUMBER(S37)),VLOOKUP(ABS(S36-S37),'IMP Table'!$A$2:$C$26,3)*SIGN(S36-S37),0)</f>
        <v/>
      </c>
      <c r="AA36">
        <f>IF(AND(ISNUMBER(S36),ISNUMBER(S38)),VLOOKUP(ABS(S36-S38),'IMP Table'!$A$2:$C$26,3)*SIGN(S36-S38),0)</f>
        <v/>
      </c>
    </row>
    <row r="37">
      <c r="B37">
        <f>'By Round'!A12</f>
        <v/>
      </c>
      <c r="C37">
        <f>'By Round'!B18</f>
        <v/>
      </c>
      <c r="D37">
        <f>'By Round'!C18</f>
        <v/>
      </c>
      <c r="E37">
        <f>'By Round'!D18</f>
        <v/>
      </c>
      <c r="F37" s="11" t="inlineStr">
        <is>
          <t>NS</t>
        </is>
      </c>
      <c r="G37">
        <f>IF(ISBLANK('By Round'!G18),"",'By Round'!G18)</f>
        <v/>
      </c>
      <c r="H37">
        <f>IF(ISBLANK('By Round'!H18),"",'By Round'!H18)</f>
        <v/>
      </c>
      <c r="I37">
        <f>IF(ISBLANK('By Round'!I18),"",'By Round'!I18)</f>
        <v/>
      </c>
      <c r="J37">
        <f>IF(ISBLANK('By Round'!J18),"",'By Round'!J18)</f>
        <v/>
      </c>
      <c r="K37">
        <f>IF(ISBLANK('By Round'!K18),"",'By Round'!K18)</f>
        <v/>
      </c>
      <c r="L37" s="12">
        <f>SUM(X37:Y37)</f>
        <v/>
      </c>
      <c r="M37" s="13">
        <f>SUM(Z37:AA37)</f>
        <v/>
      </c>
      <c r="N37" s="8">
        <f>IF(COUNT(T37:U37)&gt;0,P37/COUNT(T37:U37),0.5)</f>
        <v/>
      </c>
      <c r="O37" s="8">
        <f>IF(COUNT(V37:W37)&gt;0,Q37/COUNT(V37:W37),0.5)</f>
        <v/>
      </c>
      <c r="P37" s="5">
        <f>SUM(T37:U37)</f>
        <v/>
      </c>
      <c r="Q37" s="5">
        <f>SUM(V37:W37)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IF(ISNUMBER(R37),IF(ISNUMBER(R36),IF(R37&gt;R36,1.0,IF(R37=R36,0.5,0.0)),""),"")</f>
        <v/>
      </c>
      <c r="U37">
        <f>IF(ISNUMBER(R37),IF(ISNUMBER(R38),IF(R37&gt;R38,1.0,IF(R37=R38,0.5,0.0)),""),"")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 s="14">
        <f>IF(AND(ISNUMBER(R37),ISNUMBER(R36)),VLOOKUP(ABS(R37-R36),'IMP Table'!$A$2:$C$26,3)*SIGN(R37-R36),0)</f>
        <v/>
      </c>
      <c r="Y37">
        <f>IF(AND(ISNUMBER(R37),ISNUMBER(R38)),VLOOKUP(ABS(R37-R38),'IMP Table'!$A$2:$C$26,3)*SIGN(R37-R38),0)</f>
        <v/>
      </c>
      <c r="Z37">
        <f>IF(AND(ISNUMBER(S37),ISNUMBER(S36)),VLOOKUP(ABS(S37-S36),'IMP Table'!$A$2:$C$26,3)*SIGN(S37-S36),0)</f>
        <v/>
      </c>
      <c r="AA37">
        <f>IF(AND(ISNUMBER(S37),ISNUMBER(S38)),VLOOKUP(ABS(S37-S38),'IMP Table'!$A$2:$C$26,3)*SIGN(S37-S38),0)</f>
        <v/>
      </c>
    </row>
    <row r="38">
      <c r="A38" s="15" t="n"/>
      <c r="B38" s="15">
        <f>'By Round'!A30</f>
        <v/>
      </c>
      <c r="C38" s="15">
        <f>'By Round'!B30</f>
        <v/>
      </c>
      <c r="D38" s="15">
        <f>'By Round'!C30</f>
        <v/>
      </c>
      <c r="E38" s="15">
        <f>'By Round'!D30</f>
        <v/>
      </c>
      <c r="F38" s="16" t="inlineStr">
        <is>
          <t>NS</t>
        </is>
      </c>
      <c r="G38" s="15">
        <f>IF(ISBLANK('By Round'!G30),"",'By Round'!G30)</f>
        <v/>
      </c>
      <c r="H38" s="15">
        <f>IF(ISBLANK('By Round'!H30),"",'By Round'!H30)</f>
        <v/>
      </c>
      <c r="I38" s="15">
        <f>IF(ISBLANK('By Round'!I30),"",'By Round'!I30)</f>
        <v/>
      </c>
      <c r="J38" s="15">
        <f>IF(ISBLANK('By Round'!J30),"",'By Round'!J30)</f>
        <v/>
      </c>
      <c r="K38" s="15">
        <f>IF(ISBLANK('By Round'!K30),"",'By Round'!K30)</f>
        <v/>
      </c>
      <c r="L38" s="17">
        <f>SUM(X38:Y38)</f>
        <v/>
      </c>
      <c r="M38" s="18">
        <f>SUM(Z38:AA38)</f>
        <v/>
      </c>
      <c r="N38" s="19">
        <f>IF(COUNT(T38:U38)&gt;0,P38/COUNT(T38:U38),0.5)</f>
        <v/>
      </c>
      <c r="O38" s="19">
        <f>IF(COUNT(V38:W38)&gt;0,Q38/COUNT(V38:W38),0.5)</f>
        <v/>
      </c>
      <c r="P38" s="20">
        <f>SUM(T38:U38)</f>
        <v/>
      </c>
      <c r="Q38" s="20">
        <f>SUM(V38:W38)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IF(ISNUMBER(R38),IF(ISNUMBER(R36),IF(R38&gt;R36,1.0,IF(R38=R36,0.5,0.0)),""),"")</f>
        <v/>
      </c>
      <c r="U38" s="15">
        <f>IF(ISNUMBER(R38),IF(ISNUMBER(R37),IF(R38&gt;R37,1.0,IF(R38=R37,0.5,0.0)),""),"")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21">
        <f>IF(AND(ISNUMBER(R38),ISNUMBER(R36)),VLOOKUP(ABS(R38-R36),'IMP Table'!$A$2:$C$26,3)*SIGN(R38-R36),0)</f>
        <v/>
      </c>
      <c r="Y38" s="15">
        <f>IF(AND(ISNUMBER(R38),ISNUMBER(R37)),VLOOKUP(ABS(R38-R37),'IMP Table'!$A$2:$C$26,3)*SIGN(R38-R37),0)</f>
        <v/>
      </c>
      <c r="Z38" s="15">
        <f>IF(AND(ISNUMBER(S38),ISNUMBER(S36)),VLOOKUP(ABS(S38-S36),'IMP Table'!$A$2:$C$26,3)*SIGN(S38-S36),0)</f>
        <v/>
      </c>
      <c r="AA38" s="15">
        <f>IF(AND(ISNUMBER(S38),ISNUMBER(S37)),VLOOKUP(ABS(S38-S37),'IMP Table'!$A$2:$C$26,3)*SIGN(S38-S37),0)</f>
        <v/>
      </c>
    </row>
    <row r="39">
      <c r="A39" t="n">
        <v>13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SUM(X39:Y39)</f>
        <v/>
      </c>
      <c r="M39" s="13">
        <f>SUM(Z39:AA39)</f>
        <v/>
      </c>
      <c r="N39" s="8">
        <f>IF(COUNT(T39:U39)&gt;0,P39/COUNT(T39:U39),0.5)</f>
        <v/>
      </c>
      <c r="O39" s="8">
        <f>IF(COUNT(V39:W39)&gt;0,Q39/COUNT(V39:W39),0.5)</f>
        <v/>
      </c>
      <c r="P39" s="5">
        <f>SUM(T39:U39)</f>
        <v/>
      </c>
      <c r="Q39" s="5">
        <f>SUM(V39:W39)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 s="14">
        <f>IF(AND(ISNUMBER(R39),ISNUMBER(R40)),VLOOKUP(ABS(R39-R40),'IMP Table'!$A$2:$C$26,3)*SIGN(R39-R40),0)</f>
        <v/>
      </c>
      <c r="Y39">
        <f>IF(AND(ISNUMBER(R39),ISNUMBER(R41)),VLOOKUP(ABS(R39-R41),'IMP Table'!$A$2:$C$26,3)*SIGN(R39-R41),0)</f>
        <v/>
      </c>
      <c r="Z39">
        <f>IF(AND(ISNUMBER(S39),ISNUMBER(S40)),VLOOKUP(ABS(S39-S40),'IMP Table'!$A$2:$C$26,3)*SIGN(S39-S40),0)</f>
        <v/>
      </c>
      <c r="AA39">
        <f>IF(AND(ISNUMBER(S39),ISNUMBER(S41)),VLOOKUP(ABS(S39-S41),'IMP Table'!$A$2:$C$26,3)*SIGN(S39-S41),0)</f>
        <v/>
      </c>
    </row>
    <row r="40">
      <c r="B40">
        <f>'By Round'!A39</f>
        <v/>
      </c>
      <c r="C40">
        <f>'By Round'!B42</f>
        <v/>
      </c>
      <c r="D40">
        <f>'By Round'!C42</f>
        <v/>
      </c>
      <c r="E40">
        <f>'By Round'!D42</f>
        <v/>
      </c>
      <c r="F40" s="11" t="inlineStr">
        <is>
          <t>Both</t>
        </is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 s="12">
        <f>SUM(X40:Y40)</f>
        <v/>
      </c>
      <c r="M40" s="13">
        <f>SUM(Z40:AA40)</f>
        <v/>
      </c>
      <c r="N40" s="8">
        <f>IF(COUNT(T40:U40)&gt;0,P40/COUNT(T40:U40),0.5)</f>
        <v/>
      </c>
      <c r="O40" s="8">
        <f>IF(COUNT(V40:W40)&gt;0,Q40/COUNT(V40:W40),0.5)</f>
        <v/>
      </c>
      <c r="P40" s="5">
        <f>SUM(T40:U40)</f>
        <v/>
      </c>
      <c r="Q40" s="5">
        <f>SUM(V40:W40)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 s="14">
        <f>IF(AND(ISNUMBER(R40),ISNUMBER(R39)),VLOOKUP(ABS(R40-R39),'IMP Table'!$A$2:$C$26,3)*SIGN(R40-R39),0)</f>
        <v/>
      </c>
      <c r="Y40">
        <f>IF(AND(ISNUMBER(R40),ISNUMBER(R41)),VLOOKUP(ABS(R40-R41),'IMP Table'!$A$2:$C$26,3)*SIGN(R40-R41),0)</f>
        <v/>
      </c>
      <c r="Z40">
        <f>IF(AND(ISNUMBER(S40),ISNUMBER(S39)),VLOOKUP(ABS(S40-S39),'IMP Table'!$A$2:$C$26,3)*SIGN(S40-S39),0)</f>
        <v/>
      </c>
      <c r="AA40">
        <f>IF(AND(ISNUMBER(S40),ISNUMBER(S41)),VLOOKUP(ABS(S40-S41),'IMP Table'!$A$2:$C$26,3)*SIGN(S40-S41),0)</f>
        <v/>
      </c>
    </row>
    <row r="41">
      <c r="A41" s="15" t="n"/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6" t="inlineStr">
        <is>
          <t>Both</t>
        </is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7">
        <f>SUM(X41:Y41)</f>
        <v/>
      </c>
      <c r="M41" s="18">
        <f>SUM(Z41:AA41)</f>
        <v/>
      </c>
      <c r="N41" s="19">
        <f>IF(COUNT(T41:U41)&gt;0,P41/COUNT(T41:U41),0.5)</f>
        <v/>
      </c>
      <c r="O41" s="19">
        <f>IF(COUNT(V41:W41)&gt;0,Q41/COUNT(V41:W41),0.5)</f>
        <v/>
      </c>
      <c r="P41" s="20">
        <f>SUM(T41:U41)</f>
        <v/>
      </c>
      <c r="Q41" s="20">
        <f>SUM(V41:W41)</f>
        <v/>
      </c>
      <c r="R41" s="21">
        <f>IF(ISNUMBER(J41),J41,IF(ISNUMBER(K41),-K41,""))</f>
        <v/>
      </c>
      <c r="S41" s="15">
        <f>IF(ISNUMBER(K41),K41,IF(ISNUMBER(J41),-J41,""))</f>
        <v/>
      </c>
      <c r="T41" s="21">
        <f>IF(ISNUMBER(R41),IF(ISNUMBER(R39),IF(R41&gt;R39,1.0,IF(R41=R39,0.5,0.0)),""),"")</f>
        <v/>
      </c>
      <c r="U41" s="15">
        <f>IF(ISNUMBER(R41),IF(ISNUMBER(R40),IF(R41&gt;R40,1.0,IF(R41=R40,0.5,0.0)),""),"")</f>
        <v/>
      </c>
      <c r="V41" s="15">
        <f>IF(ISNUMBER(S41),IF(ISNUMBER(S39),IF(S41&gt;S39,1.0,IF(S41=S39,0.5,0.0)),""),"")</f>
        <v/>
      </c>
      <c r="W41" s="15">
        <f>IF(ISNUMBER(S41),IF(ISNUMBER(S40),IF(S41&gt;S40,1.0,IF(S41=S40,0.5,0.0)),""),"")</f>
        <v/>
      </c>
      <c r="X41" s="21">
        <f>IF(AND(ISNUMBER(R41),ISNUMBER(R39)),VLOOKUP(ABS(R41-R39),'IMP Table'!$A$2:$C$26,3)*SIGN(R41-R39),0)</f>
        <v/>
      </c>
      <c r="Y41" s="15">
        <f>IF(AND(ISNUMBER(R41),ISNUMBER(R40)),VLOOKUP(ABS(R41-R40),'IMP Table'!$A$2:$C$26,3)*SIGN(R41-R40),0)</f>
        <v/>
      </c>
      <c r="Z41" s="15">
        <f>IF(AND(ISNUMBER(S41),ISNUMBER(S39)),VLOOKUP(ABS(S41-S39),'IMP Table'!$A$2:$C$26,3)*SIGN(S41-S39),0)</f>
        <v/>
      </c>
      <c r="AA41" s="15">
        <f>IF(AND(ISNUMBER(S41),ISNUMBER(S40)),VLOOKUP(ABS(S41-S40),'IMP Table'!$A$2:$C$26,3)*SIGN(S41-S40),0)</f>
        <v/>
      </c>
    </row>
    <row r="42">
      <c r="A42" t="n">
        <v>14</v>
      </c>
      <c r="B42">
        <f>'By Round'!A39</f>
        <v/>
      </c>
      <c r="C42">
        <f>'By Round'!B39</f>
        <v/>
      </c>
      <c r="D42">
        <f>'By Round'!C39</f>
        <v/>
      </c>
      <c r="E42">
        <f>'By Round'!D39</f>
        <v/>
      </c>
      <c r="F42" s="11" t="inlineStr">
        <is>
          <t>None</t>
        </is>
      </c>
      <c r="G42">
        <f>IF(ISBLANK('By Round'!G39),"",'By Round'!G39)</f>
        <v/>
      </c>
      <c r="H42">
        <f>IF(ISBLANK('By Round'!H39),"",'By Round'!H39)</f>
        <v/>
      </c>
      <c r="I42">
        <f>IF(ISBLANK('By Round'!I39),"",'By Round'!I39)</f>
        <v/>
      </c>
      <c r="J42">
        <f>IF(ISBLANK('By Round'!J39),"",'By Round'!J39)</f>
        <v/>
      </c>
      <c r="K42">
        <f>IF(ISBLANK('By Round'!K39),"",'By Round'!K39)</f>
        <v/>
      </c>
      <c r="L42" s="12">
        <f>SUM(X42:Y42)</f>
        <v/>
      </c>
      <c r="M42" s="13">
        <f>SUM(Z42:AA42)</f>
        <v/>
      </c>
      <c r="N42" s="8">
        <f>IF(COUNT(T42:U42)&gt;0,P42/COUNT(T42:U42),0.5)</f>
        <v/>
      </c>
      <c r="O42" s="8">
        <f>IF(COUNT(V42:W42)&gt;0,Q42/COUNT(V42:W42),0.5)</f>
        <v/>
      </c>
      <c r="P42" s="5">
        <f>SUM(T42:U42)</f>
        <v/>
      </c>
      <c r="Q42" s="5">
        <f>SUM(V42:W42)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IF(ISNUMBER(R42),IF(ISNUMBER(R43),IF(R42&gt;R43,1.0,IF(R42=R43,0.5,0.0)),""),"")</f>
        <v/>
      </c>
      <c r="U42">
        <f>IF(ISNUMBER(R42),IF(ISNUMBER(R44),IF(R42&gt;R44,1.0,IF(R42=R44,0.5,0.0)),""),"")</f>
        <v/>
      </c>
      <c r="V42">
        <f>IF(ISNUMBER(S42),IF(ISNUMBER(S43),IF(S42&gt;S43,1.0,IF(S42=S43,0.5,0.0)),""),"")</f>
        <v/>
      </c>
      <c r="W42">
        <f>IF(ISNUMBER(S42),IF(ISNUMBER(S44),IF(S42&gt;S44,1.0,IF(S42=S44,0.5,0.0)),""),"")</f>
        <v/>
      </c>
      <c r="X42" s="14">
        <f>IF(AND(ISNUMBER(R42),ISNUMBER(R43)),VLOOKUP(ABS(R42-R43),'IMP Table'!$A$2:$C$26,3)*SIGN(R42-R43),0)</f>
        <v/>
      </c>
      <c r="Y42">
        <f>IF(AND(ISNUMBER(R42),ISNUMBER(R44)),VLOOKUP(ABS(R42-R44),'IMP Table'!$A$2:$C$26,3)*SIGN(R42-R44),0)</f>
        <v/>
      </c>
      <c r="Z42">
        <f>IF(AND(ISNUMBER(S42),ISNUMBER(S43)),VLOOKUP(ABS(S42-S43),'IMP Table'!$A$2:$C$26,3)*SIGN(S42-S43),0)</f>
        <v/>
      </c>
      <c r="AA42">
        <f>IF(AND(ISNUMBER(S42),ISNUMBER(S44)),VLOOKUP(ABS(S42-S44),'IMP Table'!$A$2:$C$26,3)*SIGN(S42-S44),0)</f>
        <v/>
      </c>
    </row>
    <row r="43">
      <c r="B43">
        <f>'By Round'!A39</f>
        <v/>
      </c>
      <c r="C43">
        <f>'By Round'!B42</f>
        <v/>
      </c>
      <c r="D43">
        <f>'By Round'!C42</f>
        <v/>
      </c>
      <c r="E43">
        <f>'By Round'!D42</f>
        <v/>
      </c>
      <c r="F43" s="11" t="inlineStr">
        <is>
          <t>None</t>
        </is>
      </c>
      <c r="G43">
        <f>IF(ISBLANK('By Round'!G42),"",'By Round'!G42)</f>
        <v/>
      </c>
      <c r="H43">
        <f>IF(ISBLANK('By Round'!H42),"",'By Round'!H42)</f>
        <v/>
      </c>
      <c r="I43">
        <f>IF(ISBLANK('By Round'!I42),"",'By Round'!I42)</f>
        <v/>
      </c>
      <c r="J43">
        <f>IF(ISBLANK('By Round'!J42),"",'By Round'!J42)</f>
        <v/>
      </c>
      <c r="K43">
        <f>IF(ISBLANK('By Round'!K42),"",'By Round'!K42)</f>
        <v/>
      </c>
      <c r="L43" s="12">
        <f>SUM(X43:Y43)</f>
        <v/>
      </c>
      <c r="M43" s="13">
        <f>SUM(Z43:AA43)</f>
        <v/>
      </c>
      <c r="N43" s="8">
        <f>IF(COUNT(T43:U43)&gt;0,P43/COUNT(T43:U43),0.5)</f>
        <v/>
      </c>
      <c r="O43" s="8">
        <f>IF(COUNT(V43:W43)&gt;0,Q43/COUNT(V43:W43),0.5)</f>
        <v/>
      </c>
      <c r="P43" s="5">
        <f>SUM(T43:U43)</f>
        <v/>
      </c>
      <c r="Q43" s="5">
        <f>SUM(V43:W43)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IF(ISNUMBER(R43),IF(ISNUMBER(R42),IF(R43&gt;R42,1.0,IF(R43=R42,0.5,0.0)),""),"")</f>
        <v/>
      </c>
      <c r="U43">
        <f>IF(ISNUMBER(R43),IF(ISNUMBER(R44),IF(R43&gt;R44,1.0,IF(R43=R44,0.5,0.0)),""),"")</f>
        <v/>
      </c>
      <c r="V43">
        <f>IF(ISNUMBER(S43),IF(ISNUMBER(S42),IF(S43&gt;S42,1.0,IF(S43=S42,0.5,0.0)),""),"")</f>
        <v/>
      </c>
      <c r="W43">
        <f>IF(ISNUMBER(S43),IF(ISNUMBER(S44),IF(S43&gt;S44,1.0,IF(S43=S44,0.5,0.0)),""),"")</f>
        <v/>
      </c>
      <c r="X43" s="14">
        <f>IF(AND(ISNUMBER(R43),ISNUMBER(R42)),VLOOKUP(ABS(R43-R42),'IMP Table'!$A$2:$C$26,3)*SIGN(R43-R42),0)</f>
        <v/>
      </c>
      <c r="Y43">
        <f>IF(AND(ISNUMBER(R43),ISNUMBER(R44)),VLOOKUP(ABS(R43-R44),'IMP Table'!$A$2:$C$26,3)*SIGN(R43-R44),0)</f>
        <v/>
      </c>
      <c r="Z43">
        <f>IF(AND(ISNUMBER(S43),ISNUMBER(S42)),VLOOKUP(ABS(S43-S42),'IMP Table'!$A$2:$C$26,3)*SIGN(S43-S42),0)</f>
        <v/>
      </c>
      <c r="AA43">
        <f>IF(AND(ISNUMBER(S43),ISNUMBER(S44)),VLOOKUP(ABS(S43-S44),'IMP Table'!$A$2:$C$26,3)*SIGN(S43-S44),0)</f>
        <v/>
      </c>
    </row>
    <row r="44">
      <c r="A44" s="15" t="n"/>
      <c r="B44" s="15">
        <f>'By Round'!A39</f>
        <v/>
      </c>
      <c r="C44" s="15">
        <f>'By Round'!B45</f>
        <v/>
      </c>
      <c r="D44" s="15">
        <f>'By Round'!C45</f>
        <v/>
      </c>
      <c r="E44" s="15">
        <f>'By Round'!D45</f>
        <v/>
      </c>
      <c r="F44" s="16" t="inlineStr">
        <is>
          <t>None</t>
        </is>
      </c>
      <c r="G44" s="15">
        <f>IF(ISBLANK('By Round'!G45),"",'By Round'!G45)</f>
        <v/>
      </c>
      <c r="H44" s="15">
        <f>IF(ISBLANK('By Round'!H45),"",'By Round'!H45)</f>
        <v/>
      </c>
      <c r="I44" s="15">
        <f>IF(ISBLANK('By Round'!I45),"",'By Round'!I45)</f>
        <v/>
      </c>
      <c r="J44" s="15">
        <f>IF(ISBLANK('By Round'!J45),"",'By Round'!J45)</f>
        <v/>
      </c>
      <c r="K44" s="15">
        <f>IF(ISBLANK('By Round'!K45),"",'By Round'!K45)</f>
        <v/>
      </c>
      <c r="L44" s="17">
        <f>SUM(X44:Y44)</f>
        <v/>
      </c>
      <c r="M44" s="18">
        <f>SUM(Z44:AA44)</f>
        <v/>
      </c>
      <c r="N44" s="19">
        <f>IF(COUNT(T44:U44)&gt;0,P44/COUNT(T44:U44),0.5)</f>
        <v/>
      </c>
      <c r="O44" s="19">
        <f>IF(COUNT(V44:W44)&gt;0,Q44/COUNT(V44:W44),0.5)</f>
        <v/>
      </c>
      <c r="P44" s="20">
        <f>SUM(T44:U44)</f>
        <v/>
      </c>
      <c r="Q44" s="20">
        <f>SUM(V44:W44)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IF(ISNUMBER(R44),IF(ISNUMBER(R42),IF(R44&gt;R42,1.0,IF(R44=R42,0.5,0.0)),""),"")</f>
        <v/>
      </c>
      <c r="U44" s="15">
        <f>IF(ISNUMBER(R44),IF(ISNUMBER(R43),IF(R44&gt;R43,1.0,IF(R44=R43,0.5,0.0)),""),"")</f>
        <v/>
      </c>
      <c r="V44" s="15">
        <f>IF(ISNUMBER(S44),IF(ISNUMBER(S42),IF(S44&gt;S42,1.0,IF(S44=S42,0.5,0.0)),""),"")</f>
        <v/>
      </c>
      <c r="W44" s="15">
        <f>IF(ISNUMBER(S44),IF(ISNUMBER(S43),IF(S44&gt;S43,1.0,IF(S44=S43,0.5,0.0)),""),"")</f>
        <v/>
      </c>
      <c r="X44" s="21">
        <f>IF(AND(ISNUMBER(R44),ISNUMBER(R42)),VLOOKUP(ABS(R44-R42),'IMP Table'!$A$2:$C$26,3)*SIGN(R44-R42),0)</f>
        <v/>
      </c>
      <c r="Y44" s="15">
        <f>IF(AND(ISNUMBER(R44),ISNUMBER(R43)),VLOOKUP(ABS(R44-R43),'IMP Table'!$A$2:$C$26,3)*SIGN(R44-R43),0)</f>
        <v/>
      </c>
      <c r="Z44" s="15">
        <f>IF(AND(ISNUMBER(S44),ISNUMBER(S42)),VLOOKUP(ABS(S44-S42),'IMP Table'!$A$2:$C$26,3)*SIGN(S44-S42),0)</f>
        <v/>
      </c>
      <c r="AA44" s="15">
        <f>IF(AND(ISNUMBER(S44),ISNUMBER(S43)),VLOOKUP(ABS(S44-S43),'IMP Table'!$A$2:$C$26,3)*SIGN(S44-S43),0)</f>
        <v/>
      </c>
    </row>
    <row r="45">
      <c r="A45" t="n">
        <v>15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NS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SUM(X45:Y45)</f>
        <v/>
      </c>
      <c r="M45" s="13">
        <f>SUM(Z45:AA45)</f>
        <v/>
      </c>
      <c r="N45" s="8">
        <f>IF(COUNT(T45:U45)&gt;0,P45/COUNT(T45:U45),0.5)</f>
        <v/>
      </c>
      <c r="O45" s="8">
        <f>IF(COUNT(V45:W45)&gt;0,Q45/COUNT(V45:W45),0.5)</f>
        <v/>
      </c>
      <c r="P45" s="5">
        <f>SUM(T45:U45)</f>
        <v/>
      </c>
      <c r="Q45" s="5">
        <f>SUM(V45:W45)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IF(ISNUMBER(S45),IF(ISNUMBER(S46),IF(S45&gt;S46,1.0,IF(S45=S46,0.5,0.0)),""),"")</f>
        <v/>
      </c>
      <c r="W45">
        <f>IF(ISNUMBER(S45),IF(ISNUMBER(S47),IF(S45&gt;S47,1.0,IF(S45=S47,0.5,0.0)),""),"")</f>
        <v/>
      </c>
      <c r="X45" s="14">
        <f>IF(AND(ISNUMBER(R45),ISNUMBER(R46)),VLOOKUP(ABS(R45-R46),'IMP Table'!$A$2:$C$26,3)*SIGN(R45-R46),0)</f>
        <v/>
      </c>
      <c r="Y45">
        <f>IF(AND(ISNUMBER(R45),ISNUMBER(R47)),VLOOKUP(ABS(R45-R47),'IMP Table'!$A$2:$C$26,3)*SIGN(R45-R47),0)</f>
        <v/>
      </c>
      <c r="Z45">
        <f>IF(AND(ISNUMBER(S45),ISNUMBER(S46)),VLOOKUP(ABS(S45-S46),'IMP Table'!$A$2:$C$26,3)*SIGN(S45-S46),0)</f>
        <v/>
      </c>
      <c r="AA45">
        <f>IF(AND(ISNUMBER(S45),ISNUMBER(S47)),VLOOKUP(ABS(S45-S47),'IMP Table'!$A$2:$C$26,3)*SIGN(S45-S47),0)</f>
        <v/>
      </c>
    </row>
    <row r="46">
      <c r="B46">
        <f>'By Round'!A39</f>
        <v/>
      </c>
      <c r="C46">
        <f>'By Round'!B42</f>
        <v/>
      </c>
      <c r="D46">
        <f>'By Round'!C42</f>
        <v/>
      </c>
      <c r="E46">
        <f>'By Round'!D42</f>
        <v/>
      </c>
      <c r="F46" s="11" t="inlineStr">
        <is>
          <t>NS</t>
        </is>
      </c>
      <c r="G46">
        <f>IF(ISBLANK('By Round'!G42),"",'By Round'!G42)</f>
        <v/>
      </c>
      <c r="H46">
        <f>IF(ISBLANK('By Round'!H42),"",'By Round'!H42)</f>
        <v/>
      </c>
      <c r="I46">
        <f>IF(ISBLANK('By Round'!I42),"",'By Round'!I42)</f>
        <v/>
      </c>
      <c r="J46">
        <f>IF(ISBLANK('By Round'!J42),"",'By Round'!J42)</f>
        <v/>
      </c>
      <c r="K46">
        <f>IF(ISBLANK('By Round'!K42),"",'By Round'!K42)</f>
        <v/>
      </c>
      <c r="L46" s="12">
        <f>SUM(X46:Y46)</f>
        <v/>
      </c>
      <c r="M46" s="13">
        <f>SUM(Z46:AA46)</f>
        <v/>
      </c>
      <c r="N46" s="8">
        <f>IF(COUNT(T46:U46)&gt;0,P46/COUNT(T46:U46),0.5)</f>
        <v/>
      </c>
      <c r="O46" s="8">
        <f>IF(COUNT(V46:W46)&gt;0,Q46/COUNT(V46:W46),0.5)</f>
        <v/>
      </c>
      <c r="P46" s="5">
        <f>SUM(T46:U46)</f>
        <v/>
      </c>
      <c r="Q46" s="5">
        <f>SUM(V46:W46)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IF(ISNUMBER(S46),IF(ISNUMBER(S45),IF(S46&gt;S45,1.0,IF(S46=S45,0.5,0.0)),""),"")</f>
        <v/>
      </c>
      <c r="W46">
        <f>IF(ISNUMBER(S46),IF(ISNUMBER(S47),IF(S46&gt;S47,1.0,IF(S46=S47,0.5,0.0)),""),"")</f>
        <v/>
      </c>
      <c r="X46" s="14">
        <f>IF(AND(ISNUMBER(R46),ISNUMBER(R45)),VLOOKUP(ABS(R46-R45),'IMP Table'!$A$2:$C$26,3)*SIGN(R46-R45),0)</f>
        <v/>
      </c>
      <c r="Y46">
        <f>IF(AND(ISNUMBER(R46),ISNUMBER(R47)),VLOOKUP(ABS(R46-R47),'IMP Table'!$A$2:$C$26,3)*SIGN(R46-R47),0)</f>
        <v/>
      </c>
      <c r="Z46">
        <f>IF(AND(ISNUMBER(S46),ISNUMBER(S45)),VLOOKUP(ABS(S46-S45),'IMP Table'!$A$2:$C$26,3)*SIGN(S46-S45),0)</f>
        <v/>
      </c>
      <c r="AA46">
        <f>IF(AND(ISNUMBER(S46),ISNUMBER(S47)),VLOOKUP(ABS(S46-S47),'IMP Table'!$A$2:$C$26,3)*SIGN(S46-S47),0)</f>
        <v/>
      </c>
    </row>
    <row r="47">
      <c r="A47" s="15" t="n"/>
      <c r="B47" s="15">
        <f>'By Round'!A39</f>
        <v/>
      </c>
      <c r="C47" s="15">
        <f>'By Round'!B45</f>
        <v/>
      </c>
      <c r="D47" s="15">
        <f>'By Round'!C45</f>
        <v/>
      </c>
      <c r="E47" s="15">
        <f>'By Round'!D45</f>
        <v/>
      </c>
      <c r="F47" s="16" t="inlineStr">
        <is>
          <t>NS</t>
        </is>
      </c>
      <c r="G47" s="15">
        <f>IF(ISBLANK('By Round'!G45),"",'By Round'!G45)</f>
        <v/>
      </c>
      <c r="H47" s="15">
        <f>IF(ISBLANK('By Round'!H45),"",'By Round'!H45)</f>
        <v/>
      </c>
      <c r="I47" s="15">
        <f>IF(ISBLANK('By Round'!I45),"",'By Round'!I45)</f>
        <v/>
      </c>
      <c r="J47" s="15">
        <f>IF(ISBLANK('By Round'!J45),"",'By Round'!J45)</f>
        <v/>
      </c>
      <c r="K47" s="15">
        <f>IF(ISBLANK('By Round'!K45),"",'By Round'!K45)</f>
        <v/>
      </c>
      <c r="L47" s="17">
        <f>SUM(X47:Y47)</f>
        <v/>
      </c>
      <c r="M47" s="18">
        <f>SUM(Z47:AA47)</f>
        <v/>
      </c>
      <c r="N47" s="19">
        <f>IF(COUNT(T47:U47)&gt;0,P47/COUNT(T47:U47),0.5)</f>
        <v/>
      </c>
      <c r="O47" s="19">
        <f>IF(COUNT(V47:W47)&gt;0,Q47/COUNT(V47:W47),0.5)</f>
        <v/>
      </c>
      <c r="P47" s="20">
        <f>SUM(T47:U47)</f>
        <v/>
      </c>
      <c r="Q47" s="20">
        <f>SUM(V47:W47)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IF(ISNUMBER(R47),IF(ISNUMBER(R45),IF(R47&gt;R45,1.0,IF(R47=R45,0.5,0.0)),""),"")</f>
        <v/>
      </c>
      <c r="U47" s="15">
        <f>IF(ISNUMBER(R47),IF(ISNUMBER(R46),IF(R47&gt;R46,1.0,IF(R47=R46,0.5,0.0)),""),"")</f>
        <v/>
      </c>
      <c r="V47" s="15">
        <f>IF(ISNUMBER(S47),IF(ISNUMBER(S45),IF(S47&gt;S45,1.0,IF(S47=S45,0.5,0.0)),""),"")</f>
        <v/>
      </c>
      <c r="W47" s="15">
        <f>IF(ISNUMBER(S47),IF(ISNUMBER(S46),IF(S47&gt;S46,1.0,IF(S47=S46,0.5,0.0)),""),"")</f>
        <v/>
      </c>
      <c r="X47" s="21">
        <f>IF(AND(ISNUMBER(R47),ISNUMBER(R45)),VLOOKUP(ABS(R47-R45),'IMP Table'!$A$2:$C$26,3)*SIGN(R47-R45),0)</f>
        <v/>
      </c>
      <c r="Y47" s="15">
        <f>IF(AND(ISNUMBER(R47),ISNUMBER(R46)),VLOOKUP(ABS(R47-R46),'IMP Table'!$A$2:$C$26,3)*SIGN(R47-R46),0)</f>
        <v/>
      </c>
      <c r="Z47" s="15">
        <f>IF(AND(ISNUMBER(S47),ISNUMBER(S45)),VLOOKUP(ABS(S47-S45),'IMP Table'!$A$2:$C$26,3)*SIGN(S47-S45),0)</f>
        <v/>
      </c>
      <c r="AA47" s="15">
        <f>IF(AND(ISNUMBER(S47),ISNUMBER(S46)),VLOOKUP(ABS(S47-S46),'IMP Table'!$A$2:$C$26,3)*SIGN(S47-S46),0)</f>
        <v/>
      </c>
    </row>
  </sheetData>
  <mergeCells count="11">
    <mergeCell ref="V2:W2"/>
    <mergeCell ref="T2:U2"/>
    <mergeCell ref="Z2:AA2"/>
    <mergeCell ref="X2:Y2"/>
    <mergeCell ref="L1:M1"/>
    <mergeCell ref="J1:K1"/>
    <mergeCell ref="P1:Q1"/>
    <mergeCell ref="X1:AA1"/>
    <mergeCell ref="N1:O1"/>
    <mergeCell ref="R1:S1"/>
    <mergeCell ref="T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A1" s="2" t="inlineStr">
        <is>
          <t>Round</t>
        </is>
      </c>
      <c r="B1" s="2" t="inlineStr">
        <is>
          <t>Table</t>
        </is>
      </c>
      <c r="C1" s="2" t="inlineStr">
        <is>
          <t>NS</t>
        </is>
      </c>
      <c r="D1" s="2" t="inlineStr">
        <is>
          <t>EW</t>
        </is>
      </c>
      <c r="E1" s="2" t="inlineStr">
        <is>
          <t>Board</t>
        </is>
      </c>
      <c r="F1" s="2" t="inlineStr">
        <is>
          <t>Vul</t>
        </is>
      </c>
      <c r="G1" s="2" t="inlineStr">
        <is>
          <t>Contract</t>
        </is>
      </c>
      <c r="H1" s="2" t="inlineStr">
        <is>
          <t>By</t>
        </is>
      </c>
      <c r="I1" s="2" t="inlineStr">
        <is>
          <t>Result</t>
        </is>
      </c>
      <c r="J1" s="2" t="inlineStr">
        <is>
          <t>NS</t>
        </is>
      </c>
      <c r="K1" s="2" t="inlineStr">
        <is>
          <t>EW</t>
        </is>
      </c>
      <c r="L1" s="2" t="inlineStr">
        <is>
          <t>Scores</t>
        </is>
      </c>
    </row>
    <row r="2">
      <c r="A2" s="11" t="n">
        <v>1</v>
      </c>
      <c r="B2" s="11" t="n">
        <v>1</v>
      </c>
      <c r="C2" s="11" t="inlineStr">
        <is>
          <t>Sit-Out</t>
        </is>
      </c>
      <c r="D2" s="11" t="n">
        <v>1</v>
      </c>
      <c r="E2" s="11" t="n">
        <v>1</v>
      </c>
      <c r="F2" s="11" t="inlineStr">
        <is>
          <t>None</t>
        </is>
      </c>
    </row>
    <row r="3">
      <c r="B3" s="11" t="n"/>
      <c r="C3" s="11" t="n"/>
      <c r="D3" s="11" t="n"/>
      <c r="E3" s="11" t="n">
        <v>2</v>
      </c>
      <c r="F3" s="11" t="inlineStr">
        <is>
          <t>NS</t>
        </is>
      </c>
    </row>
    <row r="4">
      <c r="B4" s="16" t="n"/>
      <c r="C4" s="16" t="n"/>
      <c r="D4" s="16" t="n"/>
      <c r="E4" s="16" t="n">
        <v>3</v>
      </c>
      <c r="F4" s="16" t="inlineStr">
        <is>
          <t>EW</t>
        </is>
      </c>
      <c r="G4" s="15" t="n"/>
      <c r="H4" s="15" t="n"/>
      <c r="I4" s="15" t="n"/>
      <c r="J4" s="15" t="n"/>
      <c r="K4" s="15" t="n"/>
      <c r="L4" s="15" t="n"/>
    </row>
    <row r="5">
      <c r="B5" s="11" t="n">
        <v>2</v>
      </c>
      <c r="C5" s="11" t="n">
        <v>3</v>
      </c>
      <c r="D5" s="11" t="n">
        <v>4</v>
      </c>
      <c r="E5" s="11" t="n">
        <v>4</v>
      </c>
      <c r="F5" s="11" t="inlineStr">
        <is>
          <t>Both</t>
        </is>
      </c>
    </row>
    <row r="6">
      <c r="B6" s="11" t="n"/>
      <c r="C6" s="11" t="n"/>
      <c r="D6" s="11" t="n"/>
      <c r="E6" s="11" t="n">
        <v>5</v>
      </c>
      <c r="F6" s="11" t="inlineStr">
        <is>
          <t>NS</t>
        </is>
      </c>
    </row>
    <row r="7">
      <c r="B7" s="16" t="n"/>
      <c r="C7" s="16" t="n"/>
      <c r="D7" s="16" t="n"/>
      <c r="E7" s="16" t="n">
        <v>6</v>
      </c>
      <c r="F7" s="16" t="inlineStr">
        <is>
          <t>EW</t>
        </is>
      </c>
      <c r="G7" s="15" t="n"/>
      <c r="H7" s="15" t="n"/>
      <c r="I7" s="15" t="n"/>
      <c r="J7" s="15" t="n"/>
      <c r="K7" s="15" t="n"/>
      <c r="L7" s="15" t="n"/>
    </row>
    <row r="8">
      <c r="B8" s="11" t="n">
        <v>3</v>
      </c>
      <c r="C8" s="11" t="n">
        <v>5</v>
      </c>
      <c r="D8" s="11" t="n">
        <v>2</v>
      </c>
      <c r="E8" s="11" t="n">
        <v>10</v>
      </c>
      <c r="F8" s="11" t="inlineStr">
        <is>
          <t>Both</t>
        </is>
      </c>
    </row>
    <row r="9">
      <c r="B9" s="11" t="n"/>
      <c r="C9" s="11" t="n"/>
      <c r="D9" s="11" t="n"/>
      <c r="E9" s="11" t="n">
        <v>11</v>
      </c>
      <c r="F9" s="11" t="inlineStr">
        <is>
          <t>None</t>
        </is>
      </c>
    </row>
    <row r="10">
      <c r="A10" s="15" t="n"/>
      <c r="B10" s="16" t="n"/>
      <c r="C10" s="16" t="n"/>
      <c r="D10" s="16" t="n"/>
      <c r="E10" s="16" t="n">
        <v>12</v>
      </c>
      <c r="F10" s="16" t="inlineStr">
        <is>
          <t>NS</t>
        </is>
      </c>
      <c r="G10" s="15" t="n"/>
      <c r="H10" s="15" t="n"/>
      <c r="I10" s="15" t="n"/>
      <c r="J10" s="15" t="n"/>
      <c r="K10" s="15" t="n"/>
      <c r="L10" s="15" t="n"/>
    </row>
    <row r="11">
      <c r="A11" s="11" t="n">
        <v>2</v>
      </c>
      <c r="B11" s="11" t="n">
        <v>1</v>
      </c>
      <c r="C11" s="11" t="inlineStr">
        <is>
          <t>Sit-Out</t>
        </is>
      </c>
      <c r="D11" s="11" t="n">
        <v>2</v>
      </c>
      <c r="E11" s="11" t="n">
        <v>4</v>
      </c>
      <c r="F11" s="11" t="inlineStr">
        <is>
          <t>Both</t>
        </is>
      </c>
    </row>
    <row r="12">
      <c r="B12" s="11" t="n"/>
      <c r="C12" s="11" t="n"/>
      <c r="D12" s="11" t="n"/>
      <c r="E12" s="11" t="n">
        <v>5</v>
      </c>
      <c r="F12" s="11" t="inlineStr">
        <is>
          <t>NS</t>
        </is>
      </c>
    </row>
    <row r="13">
      <c r="B13" s="16" t="n"/>
      <c r="C13" s="16" t="n"/>
      <c r="D13" s="16" t="n"/>
      <c r="E13" s="16" t="n">
        <v>6</v>
      </c>
      <c r="F13" s="16" t="inlineStr">
        <is>
          <t>EW</t>
        </is>
      </c>
      <c r="G13" s="15" t="n"/>
      <c r="H13" s="15" t="n"/>
      <c r="I13" s="15" t="n"/>
      <c r="J13" s="15" t="n"/>
      <c r="K13" s="15" t="n"/>
      <c r="L13" s="15" t="n"/>
    </row>
    <row r="14">
      <c r="B14" s="11" t="n">
        <v>2</v>
      </c>
      <c r="C14" s="11" t="n">
        <v>4</v>
      </c>
      <c r="D14" s="11" t="n">
        <v>5</v>
      </c>
      <c r="E14" s="11" t="n">
        <v>7</v>
      </c>
      <c r="F14" s="11" t="inlineStr">
        <is>
          <t>Both</t>
        </is>
      </c>
    </row>
    <row r="15">
      <c r="B15" s="11" t="n"/>
      <c r="C15" s="11" t="n"/>
      <c r="D15" s="11" t="n"/>
      <c r="E15" s="11" t="n">
        <v>8</v>
      </c>
      <c r="F15" s="11" t="inlineStr">
        <is>
          <t>None</t>
        </is>
      </c>
    </row>
    <row r="16">
      <c r="B16" s="16" t="n"/>
      <c r="C16" s="16" t="n"/>
      <c r="D16" s="16" t="n"/>
      <c r="E16" s="16" t="n">
        <v>9</v>
      </c>
      <c r="F16" s="16" t="inlineStr">
        <is>
          <t>EW</t>
        </is>
      </c>
      <c r="G16" s="15" t="n"/>
      <c r="H16" s="15" t="n"/>
      <c r="I16" s="15" t="n"/>
      <c r="J16" s="15" t="n"/>
      <c r="K16" s="15" t="n"/>
      <c r="L16" s="15" t="n"/>
    </row>
    <row r="17">
      <c r="B17" s="11" t="n">
        <v>3</v>
      </c>
      <c r="C17" s="11" t="n">
        <v>1</v>
      </c>
      <c r="D17" s="11" t="n">
        <v>3</v>
      </c>
      <c r="E17" s="11" t="n">
        <v>10</v>
      </c>
      <c r="F17" s="11" t="inlineStr">
        <is>
          <t>Both</t>
        </is>
      </c>
    </row>
    <row r="18">
      <c r="B18" s="11" t="n"/>
      <c r="C18" s="11" t="n"/>
      <c r="D18" s="11" t="n"/>
      <c r="E18" s="11" t="n">
        <v>11</v>
      </c>
      <c r="F18" s="11" t="inlineStr">
        <is>
          <t>None</t>
        </is>
      </c>
    </row>
    <row r="19">
      <c r="A19" s="15" t="n"/>
      <c r="B19" s="16" t="n"/>
      <c r="C19" s="16" t="n"/>
      <c r="D19" s="16" t="n"/>
      <c r="E19" s="16" t="n">
        <v>12</v>
      </c>
      <c r="F19" s="16" t="inlineStr">
        <is>
          <t>NS</t>
        </is>
      </c>
      <c r="G19" s="15" t="n"/>
      <c r="H19" s="15" t="n"/>
      <c r="I19" s="15" t="n"/>
      <c r="J19" s="15" t="n"/>
      <c r="K19" s="15" t="n"/>
      <c r="L19" s="15" t="n"/>
    </row>
    <row r="20">
      <c r="A20" s="11" t="n">
        <v>3</v>
      </c>
      <c r="B20" s="11" t="n">
        <v>1</v>
      </c>
      <c r="C20" s="11" t="inlineStr">
        <is>
          <t>Sit-Out</t>
        </is>
      </c>
      <c r="D20" s="11" t="n">
        <v>3</v>
      </c>
      <c r="E20" s="11" t="n">
        <v>7</v>
      </c>
      <c r="F20" s="11" t="inlineStr">
        <is>
          <t>Both</t>
        </is>
      </c>
    </row>
    <row r="21">
      <c r="B21" s="11" t="n"/>
      <c r="C21" s="11" t="n"/>
      <c r="D21" s="11" t="n"/>
      <c r="E21" s="11" t="n">
        <v>8</v>
      </c>
      <c r="F21" s="11" t="inlineStr">
        <is>
          <t>None</t>
        </is>
      </c>
    </row>
    <row r="22">
      <c r="B22" s="16" t="n"/>
      <c r="C22" s="16" t="n"/>
      <c r="D22" s="16" t="n"/>
      <c r="E22" s="16" t="n">
        <v>9</v>
      </c>
      <c r="F22" s="16" t="inlineStr">
        <is>
          <t>EW</t>
        </is>
      </c>
      <c r="G22" s="15" t="n"/>
      <c r="H22" s="15" t="n"/>
      <c r="I22" s="15" t="n"/>
      <c r="J22" s="15" t="n"/>
      <c r="K22" s="15" t="n"/>
      <c r="L22" s="15" t="n"/>
    </row>
    <row r="23">
      <c r="B23" s="11" t="n">
        <v>2</v>
      </c>
      <c r="C23" s="11" t="n">
        <v>5</v>
      </c>
      <c r="D23" s="11" t="n">
        <v>1</v>
      </c>
      <c r="E23" s="11" t="n">
        <v>4</v>
      </c>
      <c r="F23" s="11" t="inlineStr">
        <is>
          <t>Both</t>
        </is>
      </c>
    </row>
    <row r="24">
      <c r="B24" s="11" t="n"/>
      <c r="C24" s="11" t="n"/>
      <c r="D24" s="11" t="n"/>
      <c r="E24" s="11" t="n">
        <v>5</v>
      </c>
      <c r="F24" s="11" t="inlineStr">
        <is>
          <t>NS</t>
        </is>
      </c>
    </row>
    <row r="25">
      <c r="B25" s="16" t="n"/>
      <c r="C25" s="16" t="n"/>
      <c r="D25" s="16" t="n"/>
      <c r="E25" s="16" t="n">
        <v>6</v>
      </c>
      <c r="F25" s="16" t="inlineStr">
        <is>
          <t>EW</t>
        </is>
      </c>
      <c r="G25" s="15" t="n"/>
      <c r="H25" s="15" t="n"/>
      <c r="I25" s="15" t="n"/>
      <c r="J25" s="15" t="n"/>
      <c r="K25" s="15" t="n"/>
      <c r="L25" s="15" t="n"/>
    </row>
    <row r="26">
      <c r="B26" s="11" t="n">
        <v>3</v>
      </c>
      <c r="C26" s="11" t="n">
        <v>2</v>
      </c>
      <c r="D26" s="11" t="n">
        <v>4</v>
      </c>
      <c r="E26" s="11" t="n">
        <v>1</v>
      </c>
      <c r="F26" s="11" t="inlineStr">
        <is>
          <t>None</t>
        </is>
      </c>
    </row>
    <row r="27">
      <c r="B27" s="11" t="n"/>
      <c r="C27" s="11" t="n"/>
      <c r="D27" s="11" t="n"/>
      <c r="E27" s="11" t="n">
        <v>2</v>
      </c>
      <c r="F27" s="11" t="inlineStr">
        <is>
          <t>NS</t>
        </is>
      </c>
    </row>
    <row r="28">
      <c r="A28" s="15" t="n"/>
      <c r="B28" s="16" t="n"/>
      <c r="C28" s="16" t="n"/>
      <c r="D28" s="16" t="n"/>
      <c r="E28" s="16" t="n">
        <v>3</v>
      </c>
      <c r="F28" s="16" t="inlineStr">
        <is>
          <t>EW</t>
        </is>
      </c>
      <c r="G28" s="15" t="n"/>
      <c r="H28" s="15" t="n"/>
      <c r="I28" s="15" t="n"/>
      <c r="J28" s="15" t="n"/>
      <c r="K28" s="15" t="n"/>
      <c r="L28" s="15" t="n"/>
    </row>
    <row r="29">
      <c r="A29" s="11" t="n">
        <v>4</v>
      </c>
      <c r="B29" s="11" t="n">
        <v>1</v>
      </c>
      <c r="C29" s="11" t="inlineStr">
        <is>
          <t>Sit-Out</t>
        </is>
      </c>
      <c r="D29" s="11" t="n">
        <v>4</v>
      </c>
      <c r="E29" s="11" t="n">
        <v>10</v>
      </c>
      <c r="F29" s="11" t="inlineStr">
        <is>
          <t>Both</t>
        </is>
      </c>
    </row>
    <row r="30">
      <c r="B30" s="11" t="n"/>
      <c r="C30" s="11" t="n"/>
      <c r="D30" s="11" t="n"/>
      <c r="E30" s="11" t="n">
        <v>11</v>
      </c>
      <c r="F30" s="11" t="inlineStr">
        <is>
          <t>None</t>
        </is>
      </c>
    </row>
    <row r="31">
      <c r="B31" s="16" t="n"/>
      <c r="C31" s="16" t="n"/>
      <c r="D31" s="16" t="n"/>
      <c r="E31" s="16" t="n">
        <v>12</v>
      </c>
      <c r="F31" s="16" t="inlineStr">
        <is>
          <t>NS</t>
        </is>
      </c>
      <c r="G31" s="15" t="n"/>
      <c r="H31" s="15" t="n"/>
      <c r="I31" s="15" t="n"/>
      <c r="J31" s="15" t="n"/>
      <c r="K31" s="15" t="n"/>
      <c r="L31" s="15" t="n"/>
    </row>
    <row r="32">
      <c r="B32" s="11" t="n">
        <v>2</v>
      </c>
      <c r="C32" s="11" t="n">
        <v>1</v>
      </c>
      <c r="D32" s="11" t="n">
        <v>2</v>
      </c>
      <c r="E32" s="11" t="n">
        <v>7</v>
      </c>
      <c r="F32" s="11" t="inlineStr">
        <is>
          <t>Both</t>
        </is>
      </c>
    </row>
    <row r="33">
      <c r="B33" s="11" t="n"/>
      <c r="C33" s="11" t="n"/>
      <c r="D33" s="11" t="n"/>
      <c r="E33" s="11" t="n">
        <v>8</v>
      </c>
      <c r="F33" s="11" t="inlineStr">
        <is>
          <t>None</t>
        </is>
      </c>
    </row>
    <row r="34">
      <c r="B34" s="16" t="n"/>
      <c r="C34" s="16" t="n"/>
      <c r="D34" s="16" t="n"/>
      <c r="E34" s="16" t="n">
        <v>9</v>
      </c>
      <c r="F34" s="16" t="inlineStr">
        <is>
          <t>EW</t>
        </is>
      </c>
      <c r="G34" s="15" t="n"/>
      <c r="H34" s="15" t="n"/>
      <c r="I34" s="15" t="n"/>
      <c r="J34" s="15" t="n"/>
      <c r="K34" s="15" t="n"/>
      <c r="L34" s="15" t="n"/>
    </row>
    <row r="35">
      <c r="B35" s="11" t="n">
        <v>3</v>
      </c>
      <c r="C35" s="11" t="n">
        <v>3</v>
      </c>
      <c r="D35" s="11" t="n">
        <v>5</v>
      </c>
      <c r="E35" s="11" t="n">
        <v>1</v>
      </c>
      <c r="F35" s="11" t="inlineStr">
        <is>
          <t>None</t>
        </is>
      </c>
    </row>
    <row r="36">
      <c r="B36" s="11" t="n"/>
      <c r="C36" s="11" t="n"/>
      <c r="D36" s="11" t="n"/>
      <c r="E36" s="11" t="n">
        <v>2</v>
      </c>
      <c r="F36" s="11" t="inlineStr">
        <is>
          <t>NS</t>
        </is>
      </c>
    </row>
    <row r="37">
      <c r="A37" s="15" t="n"/>
      <c r="B37" s="16" t="n"/>
      <c r="C37" s="16" t="n"/>
      <c r="D37" s="16" t="n"/>
      <c r="E37" s="16" t="n">
        <v>3</v>
      </c>
      <c r="F37" s="16" t="inlineStr">
        <is>
          <t>EW</t>
        </is>
      </c>
      <c r="G37" s="15" t="n"/>
      <c r="H37" s="15" t="n"/>
      <c r="I37" s="15" t="n"/>
      <c r="J37" s="15" t="n"/>
      <c r="K37" s="15" t="n"/>
      <c r="L37" s="15" t="n"/>
    </row>
    <row r="38">
      <c r="A38" s="11" t="n">
        <v>5</v>
      </c>
      <c r="B38" s="11" t="n">
        <v>1</v>
      </c>
      <c r="C38" s="11" t="inlineStr">
        <is>
          <t>Sit-Out</t>
        </is>
      </c>
      <c r="D38" s="11" t="n">
        <v>5</v>
      </c>
      <c r="E38" s="11" t="n">
        <v>13</v>
      </c>
      <c r="F38" s="11" t="inlineStr">
        <is>
          <t>Both</t>
        </is>
      </c>
    </row>
    <row r="39">
      <c r="B39" s="11" t="n"/>
      <c r="C39" s="11" t="n"/>
      <c r="D39" s="11" t="n"/>
      <c r="E39" s="11" t="n">
        <v>14</v>
      </c>
      <c r="F39" s="11" t="inlineStr">
        <is>
          <t>None</t>
        </is>
      </c>
    </row>
    <row r="40">
      <c r="B40" s="16" t="n"/>
      <c r="C40" s="16" t="n"/>
      <c r="D40" s="16" t="n"/>
      <c r="E40" s="16" t="n">
        <v>15</v>
      </c>
      <c r="F40" s="16" t="inlineStr">
        <is>
          <t>NS</t>
        </is>
      </c>
      <c r="G40" s="15" t="n"/>
      <c r="H40" s="15" t="n"/>
      <c r="I40" s="15" t="n"/>
      <c r="J40" s="15" t="n"/>
      <c r="K40" s="15" t="n"/>
      <c r="L40" s="15" t="n"/>
    </row>
    <row r="41">
      <c r="B41" s="11" t="n">
        <v>2</v>
      </c>
      <c r="C41" s="11" t="n">
        <v>2</v>
      </c>
      <c r="D41" s="11" t="n">
        <v>3</v>
      </c>
      <c r="E41" s="11" t="n">
        <v>13</v>
      </c>
      <c r="F41" s="11" t="inlineStr">
        <is>
          <t>Both</t>
        </is>
      </c>
    </row>
    <row r="42">
      <c r="B42" s="11" t="n"/>
      <c r="C42" s="11" t="n"/>
      <c r="D42" s="11" t="n"/>
      <c r="E42" s="11" t="n">
        <v>14</v>
      </c>
      <c r="F42" s="11" t="inlineStr">
        <is>
          <t>None</t>
        </is>
      </c>
    </row>
    <row r="43">
      <c r="B43" s="16" t="n"/>
      <c r="C43" s="16" t="n"/>
      <c r="D43" s="16" t="n"/>
      <c r="E43" s="16" t="n">
        <v>15</v>
      </c>
      <c r="F43" s="16" t="inlineStr">
        <is>
          <t>NS</t>
        </is>
      </c>
      <c r="G43" s="15" t="n"/>
      <c r="H43" s="15" t="n"/>
      <c r="I43" s="15" t="n"/>
      <c r="J43" s="15" t="n"/>
      <c r="K43" s="15" t="n"/>
      <c r="L43" s="15" t="n"/>
    </row>
    <row r="44">
      <c r="B44" s="11" t="n">
        <v>3</v>
      </c>
      <c r="C44" s="11" t="n">
        <v>4</v>
      </c>
      <c r="D44" s="11" t="n">
        <v>1</v>
      </c>
      <c r="E44" s="11" t="n">
        <v>13</v>
      </c>
      <c r="F44" s="11" t="inlineStr">
        <is>
          <t>Both</t>
        </is>
      </c>
    </row>
    <row r="45">
      <c r="B45" s="11" t="n"/>
      <c r="C45" s="11" t="n"/>
      <c r="D45" s="11" t="n"/>
      <c r="E45" s="11" t="n">
        <v>14</v>
      </c>
      <c r="F45" s="11" t="inlineStr">
        <is>
          <t>None</t>
        </is>
      </c>
    </row>
    <row r="46">
      <c r="A46" s="15" t="n"/>
      <c r="B46" s="16" t="n"/>
      <c r="C46" s="16" t="n"/>
      <c r="D46" s="16" t="n"/>
      <c r="E46" s="16" t="n">
        <v>15</v>
      </c>
      <c r="F46" s="16" t="inlineStr">
        <is>
          <t>NS</t>
        </is>
      </c>
      <c r="G46" s="15" t="n"/>
      <c r="H46" s="15" t="n"/>
      <c r="I46" s="15" t="n"/>
      <c r="J46" s="15" t="n"/>
      <c r="K46" s="15" t="n"/>
      <c r="L46" s="15" t="n"/>
    </row>
  </sheetData>
  <mergeCells count="1">
    <mergeCell ref="L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2026-02-06T18:15:11Z</dcterms:created>
  <dcterms:modified xsi:type="dcterms:W3CDTF">2026-02-06T18:15:11Z</dcterms:modified>
</cp:coreProperties>
</file>