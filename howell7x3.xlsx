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21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64</t>
        </is>
      </c>
      <c r="C10" t="inlineStr">
        <is>
          <t>Name 47</t>
        </is>
      </c>
      <c r="D10" s="4">
        <f>SUMIF('By Board'!D3:D86,"="&amp;A10,'By Board'!Q3:Q86)/42+SUMIF('By Board'!E3:E86,"="&amp;A10,'By Board'!R3:R86)/42</f>
        <v/>
      </c>
      <c r="E10" s="5">
        <f>SUMIF('By Board'!D3:D86,"="&amp;A10,'By Board'!M3:M86)+SUMIF('By Board'!E3:E86,"="&amp;A10,'By Board'!N3:N86)</f>
        <v/>
      </c>
    </row>
    <row r="11">
      <c r="A11" s="2" t="n">
        <v>2</v>
      </c>
      <c r="B11" t="inlineStr">
        <is>
          <t>Name 83</t>
        </is>
      </c>
      <c r="C11" t="inlineStr">
        <is>
          <t>Name 68</t>
        </is>
      </c>
      <c r="D11" s="4">
        <f>SUMIF('By Board'!D3:D86,"="&amp;A11,'By Board'!Q3:Q86)/42+SUMIF('By Board'!E3:E86,"="&amp;A11,'By Board'!R3:R86)/42</f>
        <v/>
      </c>
      <c r="E11" s="5">
        <f>SUMIF('By Board'!D3:D86,"="&amp;A11,'By Board'!M3:M86)+SUMIF('By Board'!E3:E86,"="&amp;A11,'By Board'!N3:N86)</f>
        <v/>
      </c>
    </row>
    <row r="12">
      <c r="A12" s="2" t="n">
        <v>3</v>
      </c>
      <c r="B12" t="inlineStr">
        <is>
          <t>Name 54</t>
        </is>
      </c>
      <c r="C12" t="inlineStr">
        <is>
          <t>Name 89</t>
        </is>
      </c>
      <c r="D12" s="4">
        <f>SUMIF('By Board'!D3:D86,"="&amp;A12,'By Board'!Q3:Q86)/42+SUMIF('By Board'!E3:E86,"="&amp;A12,'By Board'!R3:R86)/42</f>
        <v/>
      </c>
      <c r="E12" s="5">
        <f>SUMIF('By Board'!D3:D86,"="&amp;A12,'By Board'!M3:M86)+SUMIF('By Board'!E3:E86,"="&amp;A12,'By Board'!N3:N86)</f>
        <v/>
      </c>
    </row>
    <row r="13">
      <c r="A13" s="2" t="n">
        <v>4</v>
      </c>
      <c r="B13" t="inlineStr">
        <is>
          <t>Name 88</t>
        </is>
      </c>
      <c r="C13" t="inlineStr">
        <is>
          <t>Name 13</t>
        </is>
      </c>
      <c r="D13" s="4">
        <f>SUMIF('By Board'!D3:D86,"="&amp;A13,'By Board'!Q3:Q86)/42+SUMIF('By Board'!E3:E86,"="&amp;A13,'By Board'!R3:R86)/42</f>
        <v/>
      </c>
      <c r="E13" s="5">
        <f>SUMIF('By Board'!D3:D86,"="&amp;A13,'By Board'!M3:M86)+SUMIF('By Board'!E3:E86,"="&amp;A13,'By Board'!N3:N86)</f>
        <v/>
      </c>
    </row>
    <row r="14">
      <c r="A14" s="2" t="n">
        <v>5</v>
      </c>
      <c r="B14" t="inlineStr">
        <is>
          <t>Name 51</t>
        </is>
      </c>
      <c r="C14" t="inlineStr">
        <is>
          <t>Name 71</t>
        </is>
      </c>
      <c r="D14" s="4">
        <f>SUMIF('By Board'!D3:D86,"="&amp;A14,'By Board'!Q3:Q86)/42+SUMIF('By Board'!E3:E86,"="&amp;A14,'By Board'!R3:R86)/42</f>
        <v/>
      </c>
      <c r="E14" s="5">
        <f>SUMIF('By Board'!D3:D86,"="&amp;A14,'By Board'!M3:M86)+SUMIF('By Board'!E3:E86,"="&amp;A14,'By Board'!N3:N86)</f>
        <v/>
      </c>
    </row>
    <row r="15">
      <c r="A15" s="2" t="n">
        <v>6</v>
      </c>
      <c r="B15" t="inlineStr">
        <is>
          <t>Name 52</t>
        </is>
      </c>
      <c r="C15" t="inlineStr">
        <is>
          <t>Name 39</t>
        </is>
      </c>
      <c r="D15" s="4">
        <f>SUMIF('By Board'!D3:D86,"="&amp;A15,'By Board'!Q3:Q86)/42+SUMIF('By Board'!E3:E86,"="&amp;A15,'By Board'!R3:R86)/42</f>
        <v/>
      </c>
      <c r="E15" s="5">
        <f>SUMIF('By Board'!D3:D86,"="&amp;A15,'By Board'!M3:M86)+SUMIF('By Board'!E3:E86,"="&amp;A15,'By Board'!N3:N86)</f>
        <v/>
      </c>
    </row>
    <row r="16">
      <c r="A16" s="2" t="n">
        <v>7</v>
      </c>
      <c r="B16" t="inlineStr">
        <is>
          <t>Name 21</t>
        </is>
      </c>
      <c r="C16" t="inlineStr">
        <is>
          <t>Name 78</t>
        </is>
      </c>
      <c r="D16" s="4">
        <f>SUMIF('By Board'!D3:D86,"="&amp;A16,'By Board'!Q3:Q86)/42+SUMIF('By Board'!E3:E86,"="&amp;A16,'By Board'!R3:R86)/42</f>
        <v/>
      </c>
      <c r="E16" s="5">
        <f>SUMIF('By Board'!D3:D86,"="&amp;A16,'By Board'!M3:M86)+SUMIF('By Board'!E3:E86,"="&amp;A16,'By Board'!N3:N86)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Round'!A48</f>
        <v/>
      </c>
      <c r="C4" s="10">
        <f>'By Round'!B54</f>
        <v/>
      </c>
      <c r="D4" s="10">
        <f>'By Round'!C54</f>
        <v/>
      </c>
      <c r="E4" s="10">
        <f>'By Round'!D54</f>
        <v/>
      </c>
      <c r="F4" s="10">
        <f>IF(ISBLANK('By Round'!F54),"",'By Round'!F54)</f>
        <v/>
      </c>
      <c r="G4">
        <f>IF(ISBLANK('By Round'!G54),"",'By Round'!G54)</f>
        <v/>
      </c>
      <c r="H4">
        <f>IF(ISBLANK('By Round'!H54),"",'By Round'!H54)</f>
        <v/>
      </c>
      <c r="I4">
        <f>IF(ISBLANK('By Round'!I54),"",'By Round'!I54)</f>
        <v/>
      </c>
      <c r="J4">
        <f>IF(ISBLANK('By Round'!J54),"",'By Round'!J54)</f>
        <v/>
      </c>
      <c r="K4">
        <f>IF(ISBLANK('By Round'!K54),"",'By Round'!K54)</f>
        <v/>
      </c>
      <c r="L4">
        <f>IF(ISBLANK('By Round'!L54),"",'By Round'!L54)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Round'!A30</f>
        <v/>
      </c>
      <c r="C5" s="10">
        <f>'By Round'!B39</f>
        <v/>
      </c>
      <c r="D5" s="10">
        <f>'By Round'!C39</f>
        <v/>
      </c>
      <c r="E5" s="10">
        <f>'By Round'!D39</f>
        <v/>
      </c>
      <c r="F5" s="10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Round'!A57</f>
        <v/>
      </c>
      <c r="C6" s="16">
        <f>'By Round'!B60</f>
        <v/>
      </c>
      <c r="D6" s="16">
        <f>'By Round'!C60</f>
        <v/>
      </c>
      <c r="E6" s="16">
        <f>'By Round'!D60</f>
        <v/>
      </c>
      <c r="F6" s="16">
        <f>IF(ISBLANK('By Round'!F60),"",'By Round'!F60)</f>
        <v/>
      </c>
      <c r="G6" s="15">
        <f>IF(ISBLANK('By Round'!G60),"",'By Round'!G60)</f>
        <v/>
      </c>
      <c r="H6" s="15">
        <f>IF(ISBLANK('By Round'!H60),"",'By Round'!H60)</f>
        <v/>
      </c>
      <c r="I6" s="15">
        <f>IF(ISBLANK('By Round'!I60),"",'By Round'!I60)</f>
        <v/>
      </c>
      <c r="J6" s="15">
        <f>IF(ISBLANK('By Round'!J60),"",'By Round'!J60)</f>
        <v/>
      </c>
      <c r="K6" s="15">
        <f>IF(ISBLANK('By Round'!K60),"",'By Round'!K60)</f>
        <v/>
      </c>
      <c r="L6" s="15">
        <f>IF(ISBLANK('By Round'!L60),"",'By Round'!L60)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Round'!A48</f>
        <v/>
      </c>
      <c r="C8" s="10">
        <f>'By Round'!B54</f>
        <v/>
      </c>
      <c r="D8" s="10">
        <f>'By Round'!C54</f>
        <v/>
      </c>
      <c r="E8" s="10">
        <f>'By Round'!D54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Round'!A30</f>
        <v/>
      </c>
      <c r="C9" s="10">
        <f>'By Round'!B39</f>
        <v/>
      </c>
      <c r="D9" s="10">
        <f>'By Round'!C39</f>
        <v/>
      </c>
      <c r="E9" s="10">
        <f>'By Round'!D39</f>
        <v/>
      </c>
      <c r="F9" s="10">
        <f>IF(ISBLANK('By Round'!F40),"",'By Round'!F40)</f>
        <v/>
      </c>
      <c r="G9">
        <f>IF(ISBLANK('By Round'!G40),"",'By Round'!G40)</f>
        <v/>
      </c>
      <c r="H9">
        <f>IF(ISBLANK('By Round'!H40),"",'By Round'!H40)</f>
        <v/>
      </c>
      <c r="I9">
        <f>IF(ISBLANK('By Round'!I40),"",'By Round'!I40)</f>
        <v/>
      </c>
      <c r="J9">
        <f>IF(ISBLANK('By Round'!J40),"",'By Round'!J40)</f>
        <v/>
      </c>
      <c r="K9">
        <f>IF(ISBLANK('By Round'!K40),"",'By Round'!K40)</f>
        <v/>
      </c>
      <c r="L9">
        <f>IF(ISBLANK('By Round'!L40),"",'By Round'!L40)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Round'!A57</f>
        <v/>
      </c>
      <c r="C10" s="16">
        <f>'By Round'!B60</f>
        <v/>
      </c>
      <c r="D10" s="16">
        <f>'By Round'!C60</f>
        <v/>
      </c>
      <c r="E10" s="16">
        <f>'By Round'!D60</f>
        <v/>
      </c>
      <c r="F10" s="16">
        <f>IF(ISBLANK('By Round'!F61),"",'By Round'!F61)</f>
        <v/>
      </c>
      <c r="G10" s="15">
        <f>IF(ISBLANK('By Round'!G61),"",'By Round'!G61)</f>
        <v/>
      </c>
      <c r="H10" s="15">
        <f>IF(ISBLANK('By Round'!H61),"",'By Round'!H61)</f>
        <v/>
      </c>
      <c r="I10" s="15">
        <f>IF(ISBLANK('By Round'!I61),"",'By Round'!I61)</f>
        <v/>
      </c>
      <c r="J10" s="15">
        <f>IF(ISBLANK('By Round'!J61),"",'By Round'!J61)</f>
        <v/>
      </c>
      <c r="K10" s="15">
        <f>IF(ISBLANK('By Round'!K61),"",'By Round'!K61)</f>
        <v/>
      </c>
      <c r="L10" s="15">
        <f>IF(ISBLANK('By Round'!L61),"",'By Round'!L61)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Round'!A3</f>
        <v/>
      </c>
      <c r="C11" s="10">
        <f>'By Round'!B3</f>
        <v/>
      </c>
      <c r="D11" s="10">
        <f>'By Round'!C3</f>
        <v/>
      </c>
      <c r="E11" s="10">
        <f>'By Round'!D3</f>
        <v/>
      </c>
      <c r="F11" s="10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Round'!A48</f>
        <v/>
      </c>
      <c r="C12" s="10">
        <f>'By Round'!B54</f>
        <v/>
      </c>
      <c r="D12" s="10">
        <f>'By Round'!C54</f>
        <v/>
      </c>
      <c r="E12" s="10">
        <f>'By Round'!D54</f>
        <v/>
      </c>
      <c r="F12" s="10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>
        <f>IF(ISBLANK('By Round'!L56),"",'By Round'!L56)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Round'!A30</f>
        <v/>
      </c>
      <c r="C13" s="10">
        <f>'By Round'!B39</f>
        <v/>
      </c>
      <c r="D13" s="10">
        <f>'By Round'!C39</f>
        <v/>
      </c>
      <c r="E13" s="10">
        <f>'By Round'!D39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Round'!A57</f>
        <v/>
      </c>
      <c r="C14" s="16">
        <f>'By Round'!B60</f>
        <v/>
      </c>
      <c r="D14" s="16">
        <f>'By Round'!C60</f>
        <v/>
      </c>
      <c r="E14" s="16">
        <f>'By Round'!D60</f>
        <v/>
      </c>
      <c r="F14" s="16">
        <f>IF(ISBLANK('By Round'!F62),"",'By Round'!F62)</f>
        <v/>
      </c>
      <c r="G14" s="15">
        <f>IF(ISBLANK('By Round'!G62),"",'By Round'!G62)</f>
        <v/>
      </c>
      <c r="H14" s="15">
        <f>IF(ISBLANK('By Round'!H62),"",'By Round'!H62)</f>
        <v/>
      </c>
      <c r="I14" s="15">
        <f>IF(ISBLANK('By Round'!I62),"",'By Round'!I62)</f>
        <v/>
      </c>
      <c r="J14" s="15">
        <f>IF(ISBLANK('By Round'!J62),"",'By Round'!J62)</f>
        <v/>
      </c>
      <c r="K14" s="15">
        <f>IF(ISBLANK('By Round'!K62),"",'By Round'!K62)</f>
        <v/>
      </c>
      <c r="L14" s="15">
        <f>IF(ISBLANK('By Round'!L62),"",'By Round'!L62)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Round'!A57</f>
        <v/>
      </c>
      <c r="C16" s="10">
        <f>'By Round'!B63</f>
        <v/>
      </c>
      <c r="D16" s="10">
        <f>'By Round'!C63</f>
        <v/>
      </c>
      <c r="E16" s="10">
        <f>'By Round'!D63</f>
        <v/>
      </c>
      <c r="F16" s="10">
        <f>IF(ISBLANK('By Round'!F63),"",'By Round'!F63)</f>
        <v/>
      </c>
      <c r="G16">
        <f>IF(ISBLANK('By Round'!G63),"",'By Round'!G63)</f>
        <v/>
      </c>
      <c r="H16">
        <f>IF(ISBLANK('By Round'!H63),"",'By Round'!H63)</f>
        <v/>
      </c>
      <c r="I16">
        <f>IF(ISBLANK('By Round'!I63),"",'By Round'!I63)</f>
        <v/>
      </c>
      <c r="J16">
        <f>IF(ISBLANK('By Round'!J63),"",'By Round'!J63)</f>
        <v/>
      </c>
      <c r="K16">
        <f>IF(ISBLANK('By Round'!K63),"",'By Round'!K63)</f>
        <v/>
      </c>
      <c r="L16">
        <f>IF(ISBLANK('By Round'!L63),"",'By Round'!L63)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Round'!A39</f>
        <v/>
      </c>
      <c r="C17" s="10">
        <f>'By Round'!B48</f>
        <v/>
      </c>
      <c r="D17" s="10">
        <f>'By Round'!C48</f>
        <v/>
      </c>
      <c r="E17" s="10">
        <f>'By Round'!D48</f>
        <v/>
      </c>
      <c r="F17" s="10">
        <f>IF(ISBLANK('By Round'!F48),"",'By Round'!F48)</f>
        <v/>
      </c>
      <c r="G17">
        <f>IF(ISBLANK('By Round'!G48),"",'By Round'!G48)</f>
        <v/>
      </c>
      <c r="H17">
        <f>IF(ISBLANK('By Round'!H48),"",'By Round'!H48)</f>
        <v/>
      </c>
      <c r="I17">
        <f>IF(ISBLANK('By Round'!I48),"",'By Round'!I48)</f>
        <v/>
      </c>
      <c r="J17">
        <f>IF(ISBLANK('By Round'!J48),"",'By Round'!J48)</f>
        <v/>
      </c>
      <c r="K17">
        <f>IF(ISBLANK('By Round'!K48),"",'By Round'!K48)</f>
        <v/>
      </c>
      <c r="L17">
        <f>IF(ISBLANK('By Round'!L48),"",'By Round'!L48)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Round'!B6</f>
        <v/>
      </c>
      <c r="D18" s="16">
        <f>'By Round'!C6</f>
        <v/>
      </c>
      <c r="E18" s="16">
        <f>'By Round'!D6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Round'!A12</f>
        <v/>
      </c>
      <c r="C19" s="10">
        <f>'By Round'!B12</f>
        <v/>
      </c>
      <c r="D19" s="10">
        <f>'By Round'!C12</f>
        <v/>
      </c>
      <c r="E19" s="10">
        <f>'By Round'!D12</f>
        <v/>
      </c>
      <c r="F19" s="10">
        <f>IF(ISBLANK('By Round'!F13),"",'By Round'!F13)</f>
        <v/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>
        <f>IF(ISBLANK('By Round'!L13),"",'By Round'!L13)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Round'!A57</f>
        <v/>
      </c>
      <c r="C20" s="10">
        <f>'By Round'!B63</f>
        <v/>
      </c>
      <c r="D20" s="10">
        <f>'By Round'!C63</f>
        <v/>
      </c>
      <c r="E20" s="10">
        <f>'By Round'!D63</f>
        <v/>
      </c>
      <c r="F20" s="10">
        <f>IF(ISBLANK('By Round'!F64),"",'By Round'!F64)</f>
        <v/>
      </c>
      <c r="G20">
        <f>IF(ISBLANK('By Round'!G64),"",'By Round'!G64)</f>
        <v/>
      </c>
      <c r="H20">
        <f>IF(ISBLANK('By Round'!H64),"",'By Round'!H64)</f>
        <v/>
      </c>
      <c r="I20">
        <f>IF(ISBLANK('By Round'!I64),"",'By Round'!I64)</f>
        <v/>
      </c>
      <c r="J20">
        <f>IF(ISBLANK('By Round'!J64),"",'By Round'!J64)</f>
        <v/>
      </c>
      <c r="K20">
        <f>IF(ISBLANK('By Round'!K64),"",'By Round'!K64)</f>
        <v/>
      </c>
      <c r="L20">
        <f>IF(ISBLANK('By Round'!L64),"",'By Round'!L64)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Round'!A39</f>
        <v/>
      </c>
      <c r="C21" s="10">
        <f>'By Round'!B48</f>
        <v/>
      </c>
      <c r="D21" s="10">
        <f>'By Round'!C48</f>
        <v/>
      </c>
      <c r="E21" s="10">
        <f>'By Round'!D48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Round'!B6</f>
        <v/>
      </c>
      <c r="D22" s="16">
        <f>'By Round'!C6</f>
        <v/>
      </c>
      <c r="E22" s="16">
        <f>'By Round'!D6</f>
        <v/>
      </c>
      <c r="F22" s="16">
        <f>IF(ISBLANK('By Round'!F7),"",'By Round'!F7)</f>
        <v/>
      </c>
      <c r="G22" s="15">
        <f>IF(ISBLANK('By Round'!G7),"",'By Round'!G7)</f>
        <v/>
      </c>
      <c r="H22" s="15">
        <f>IF(ISBLANK('By Round'!H7),"",'By Round'!H7)</f>
        <v/>
      </c>
      <c r="I22" s="15">
        <f>IF(ISBLANK('By Round'!I7),"",'By Round'!I7)</f>
        <v/>
      </c>
      <c r="J22" s="15">
        <f>IF(ISBLANK('By Round'!J7),"",'By Round'!J7)</f>
        <v/>
      </c>
      <c r="K22" s="15">
        <f>IF(ISBLANK('By Round'!K7),"",'By Round'!K7)</f>
        <v/>
      </c>
      <c r="L22" s="15">
        <f>IF(ISBLANK('By Round'!L7),"",'By Round'!L7)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Round'!A12</f>
        <v/>
      </c>
      <c r="C23" s="10">
        <f>'By Round'!B12</f>
        <v/>
      </c>
      <c r="D23" s="10">
        <f>'By Round'!C12</f>
        <v/>
      </c>
      <c r="E23" s="10">
        <f>'By Round'!D12</f>
        <v/>
      </c>
      <c r="F23" s="10">
        <f>IF(ISBLANK('By Round'!F14),"",'By Round'!F14)</f>
        <v/>
      </c>
      <c r="G23">
        <f>IF(ISBLANK('By Round'!G14),"",'By Round'!G14)</f>
        <v/>
      </c>
      <c r="H23">
        <f>IF(ISBLANK('By Round'!H14),"",'By Round'!H14)</f>
        <v/>
      </c>
      <c r="I23">
        <f>IF(ISBLANK('By Round'!I14),"",'By Round'!I14)</f>
        <v/>
      </c>
      <c r="J23">
        <f>IF(ISBLANK('By Round'!J14),"",'By Round'!J14)</f>
        <v/>
      </c>
      <c r="K23">
        <f>IF(ISBLANK('By Round'!K14),"",'By Round'!K14)</f>
        <v/>
      </c>
      <c r="L23">
        <f>IF(ISBLANK('By Round'!L14),"",'By Round'!L14)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Round'!A57</f>
        <v/>
      </c>
      <c r="C24" s="10">
        <f>'By Round'!B63</f>
        <v/>
      </c>
      <c r="D24" s="10">
        <f>'By Round'!C63</f>
        <v/>
      </c>
      <c r="E24" s="10">
        <f>'By Round'!D63</f>
        <v/>
      </c>
      <c r="F24" s="10">
        <f>IF(ISBLANK('By Round'!F65),"",'By Round'!F65)</f>
        <v/>
      </c>
      <c r="G24">
        <f>IF(ISBLANK('By Round'!G65),"",'By Round'!G65)</f>
        <v/>
      </c>
      <c r="H24">
        <f>IF(ISBLANK('By Round'!H65),"",'By Round'!H65)</f>
        <v/>
      </c>
      <c r="I24">
        <f>IF(ISBLANK('By Round'!I65),"",'By Round'!I65)</f>
        <v/>
      </c>
      <c r="J24">
        <f>IF(ISBLANK('By Round'!J65),"",'By Round'!J65)</f>
        <v/>
      </c>
      <c r="K24">
        <f>IF(ISBLANK('By Round'!K65),"",'By Round'!K65)</f>
        <v/>
      </c>
      <c r="L24">
        <f>IF(ISBLANK('By Round'!L65),"",'By Round'!L65)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Round'!A39</f>
        <v/>
      </c>
      <c r="C25" s="10">
        <f>'By Round'!B48</f>
        <v/>
      </c>
      <c r="D25" s="10">
        <f>'By Round'!C48</f>
        <v/>
      </c>
      <c r="E25" s="10">
        <f>'By Round'!D48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Round'!A3</f>
        <v/>
      </c>
      <c r="C26" s="16">
        <f>'By Round'!B6</f>
        <v/>
      </c>
      <c r="D26" s="16">
        <f>'By Round'!C6</f>
        <v/>
      </c>
      <c r="E26" s="16">
        <f>'By Round'!D6</f>
        <v/>
      </c>
      <c r="F26" s="16">
        <f>IF(ISBLANK('By Round'!F8),"",'By Round'!F8)</f>
        <v/>
      </c>
      <c r="G26" s="15">
        <f>IF(ISBLANK('By Round'!G8),"",'By Round'!G8)</f>
        <v/>
      </c>
      <c r="H26" s="15">
        <f>IF(ISBLANK('By Round'!H8),"",'By Round'!H8)</f>
        <v/>
      </c>
      <c r="I26" s="15">
        <f>IF(ISBLANK('By Round'!I8),"",'By Round'!I8)</f>
        <v/>
      </c>
      <c r="J26" s="15">
        <f>IF(ISBLANK('By Round'!J8),"",'By Round'!J8)</f>
        <v/>
      </c>
      <c r="K26" s="15">
        <f>IF(ISBLANK('By Round'!K8),"",'By Round'!K8)</f>
        <v/>
      </c>
      <c r="L26" s="15">
        <f>IF(ISBLANK('By Round'!L8),"",'By Round'!L8)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Round'!A3</f>
        <v/>
      </c>
      <c r="C28" s="10">
        <f>'By Round'!B9</f>
        <v/>
      </c>
      <c r="D28" s="10">
        <f>'By Round'!C9</f>
        <v/>
      </c>
      <c r="E28" s="10">
        <f>'By Round'!D9</f>
        <v/>
      </c>
      <c r="F28" s="10">
        <f>IF(ISBLANK('By Round'!F9),"",'By Round'!F9)</f>
        <v/>
      </c>
      <c r="G28">
        <f>IF(ISBLANK('By Round'!G9),"",'By Round'!G9)</f>
        <v/>
      </c>
      <c r="H28">
        <f>IF(ISBLANK('By Round'!H9),"",'By Round'!H9)</f>
        <v/>
      </c>
      <c r="I28">
        <f>IF(ISBLANK('By Round'!I9),"",'By Round'!I9)</f>
        <v/>
      </c>
      <c r="J28">
        <f>IF(ISBLANK('By Round'!J9),"",'By Round'!J9)</f>
        <v/>
      </c>
      <c r="K28">
        <f>IF(ISBLANK('By Round'!K9),"",'By Round'!K9)</f>
        <v/>
      </c>
      <c r="L28">
        <f>IF(ISBLANK('By Round'!L9),"",'By Round'!L9)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Round'!A48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Round'!A12</f>
        <v/>
      </c>
      <c r="C30" s="16">
        <f>'By Round'!B15</f>
        <v/>
      </c>
      <c r="D30" s="16">
        <f>'By Round'!C15</f>
        <v/>
      </c>
      <c r="E30" s="16">
        <f>'By Round'!D15</f>
        <v/>
      </c>
      <c r="F30" s="16">
        <f>IF(ISBLANK('By Round'!F15),"",'By Round'!F15)</f>
        <v/>
      </c>
      <c r="G30" s="15">
        <f>IF(ISBLANK('By Round'!G15),"",'By Round'!G15)</f>
        <v/>
      </c>
      <c r="H30" s="15">
        <f>IF(ISBLANK('By Round'!H15),"",'By Round'!H15)</f>
        <v/>
      </c>
      <c r="I30" s="15">
        <f>IF(ISBLANK('By Round'!I15),"",'By Round'!I15)</f>
        <v/>
      </c>
      <c r="J30" s="15">
        <f>IF(ISBLANK('By Round'!J15),"",'By Round'!J15)</f>
        <v/>
      </c>
      <c r="K30" s="15">
        <f>IF(ISBLANK('By Round'!K15),"",'By Round'!K15)</f>
        <v/>
      </c>
      <c r="L30" s="15">
        <f>IF(ISBLANK('By Round'!L15),"",'By Round'!L15)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Round'!A21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Round'!A3</f>
        <v/>
      </c>
      <c r="C32" s="10">
        <f>'By Round'!B9</f>
        <v/>
      </c>
      <c r="D32" s="10">
        <f>'By Round'!C9</f>
        <v/>
      </c>
      <c r="E32" s="10">
        <f>'By Round'!D9</f>
        <v/>
      </c>
      <c r="F32" s="10">
        <f>IF(ISBLANK('By Round'!F10),"",'By Round'!F10)</f>
        <v/>
      </c>
      <c r="G32">
        <f>IF(ISBLANK('By Round'!G10),"",'By Round'!G10)</f>
        <v/>
      </c>
      <c r="H32">
        <f>IF(ISBLANK('By Round'!H10),"",'By Round'!H10)</f>
        <v/>
      </c>
      <c r="I32">
        <f>IF(ISBLANK('By Round'!I10),"",'By Round'!I10)</f>
        <v/>
      </c>
      <c r="J32">
        <f>IF(ISBLANK('By Round'!J10),"",'By Round'!J10)</f>
        <v/>
      </c>
      <c r="K32">
        <f>IF(ISBLANK('By Round'!K10),"",'By Round'!K10)</f>
        <v/>
      </c>
      <c r="L32">
        <f>IF(ISBLANK('By Round'!L10),"",'By Round'!L10)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Round'!A48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Round'!A12</f>
        <v/>
      </c>
      <c r="C34" s="16">
        <f>'By Round'!B15</f>
        <v/>
      </c>
      <c r="D34" s="16">
        <f>'By Round'!C15</f>
        <v/>
      </c>
      <c r="E34" s="16">
        <f>'By Round'!D15</f>
        <v/>
      </c>
      <c r="F34" s="16">
        <f>IF(ISBLANK('By Round'!F16),"",'By Round'!F16)</f>
        <v/>
      </c>
      <c r="G34" s="15">
        <f>IF(ISBLANK('By Round'!G16),"",'By Round'!G16)</f>
        <v/>
      </c>
      <c r="H34" s="15">
        <f>IF(ISBLANK('By Round'!H16),"",'By Round'!H16)</f>
        <v/>
      </c>
      <c r="I34" s="15">
        <f>IF(ISBLANK('By Round'!I16),"",'By Round'!I16)</f>
        <v/>
      </c>
      <c r="J34" s="15">
        <f>IF(ISBLANK('By Round'!J16),"",'By Round'!J16)</f>
        <v/>
      </c>
      <c r="K34" s="15">
        <f>IF(ISBLANK('By Round'!K16),"",'By Round'!K16)</f>
        <v/>
      </c>
      <c r="L34" s="15">
        <f>IF(ISBLANK('By Round'!L16),"",'By Round'!L16)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Round'!A21</f>
        <v/>
      </c>
      <c r="C35" s="10">
        <f>'By Round'!B21</f>
        <v/>
      </c>
      <c r="D35" s="10">
        <f>'By Round'!C21</f>
        <v/>
      </c>
      <c r="E35" s="10">
        <f>'By Round'!D21</f>
        <v/>
      </c>
      <c r="F35" s="10">
        <f>IF(ISBLANK('By Round'!F23),"",'By Round'!F23)</f>
        <v/>
      </c>
      <c r="G35">
        <f>IF(ISBLANK('By Round'!G23),"",'By Round'!G23)</f>
        <v/>
      </c>
      <c r="H35">
        <f>IF(ISBLANK('By Round'!H23),"",'By Round'!H23)</f>
        <v/>
      </c>
      <c r="I35">
        <f>IF(ISBLANK('By Round'!I23),"",'By Round'!I23)</f>
        <v/>
      </c>
      <c r="J35">
        <f>IF(ISBLANK('By Round'!J23),"",'By Round'!J23)</f>
        <v/>
      </c>
      <c r="K35">
        <f>IF(ISBLANK('By Round'!K23),"",'By Round'!K23)</f>
        <v/>
      </c>
      <c r="L35">
        <f>IF(ISBLANK('By Round'!L23),"",'By Round'!L23)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Round'!A3</f>
        <v/>
      </c>
      <c r="C36" s="10">
        <f>'By Round'!B9</f>
        <v/>
      </c>
      <c r="D36" s="10">
        <f>'By Round'!C9</f>
        <v/>
      </c>
      <c r="E36" s="10">
        <f>'By Round'!D9</f>
        <v/>
      </c>
      <c r="F36" s="10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>
        <f>IF(ISBLANK('By Round'!L11),"",'By Round'!L11)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Round'!A48</f>
        <v/>
      </c>
      <c r="C37" s="10">
        <f>'By Round'!B57</f>
        <v/>
      </c>
      <c r="D37" s="10">
        <f>'By Round'!C57</f>
        <v/>
      </c>
      <c r="E37" s="10">
        <f>'By Round'!D57</f>
        <v/>
      </c>
      <c r="F37" s="10">
        <f>IF(ISBLANK('By Round'!F59),"",'By Round'!F59)</f>
        <v/>
      </c>
      <c r="G37">
        <f>IF(ISBLANK('By Round'!G59),"",'By Round'!G59)</f>
        <v/>
      </c>
      <c r="H37">
        <f>IF(ISBLANK('By Round'!H59),"",'By Round'!H59)</f>
        <v/>
      </c>
      <c r="I37">
        <f>IF(ISBLANK('By Round'!I59),"",'By Round'!I59)</f>
        <v/>
      </c>
      <c r="J37">
        <f>IF(ISBLANK('By Round'!J59),"",'By Round'!J59)</f>
        <v/>
      </c>
      <c r="K37">
        <f>IF(ISBLANK('By Round'!K59),"",'By Round'!K59)</f>
        <v/>
      </c>
      <c r="L37">
        <f>IF(ISBLANK('By Round'!L59),"",'By Round'!L59)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Round'!A12</f>
        <v/>
      </c>
      <c r="C38" s="16">
        <f>'By Round'!B15</f>
        <v/>
      </c>
      <c r="D38" s="16">
        <f>'By Round'!C15</f>
        <v/>
      </c>
      <c r="E38" s="16">
        <f>'By Round'!D15</f>
        <v/>
      </c>
      <c r="F38" s="16">
        <f>IF(ISBLANK('By Round'!F17),"",'By Round'!F17)</f>
        <v/>
      </c>
      <c r="G38" s="15">
        <f>IF(ISBLANK('By Round'!G17),"",'By Round'!G17)</f>
        <v/>
      </c>
      <c r="H38" s="15">
        <f>IF(ISBLANK('By Round'!H17),"",'By Round'!H17)</f>
        <v/>
      </c>
      <c r="I38" s="15">
        <f>IF(ISBLANK('By Round'!I17),"",'By Round'!I17)</f>
        <v/>
      </c>
      <c r="J38" s="15">
        <f>IF(ISBLANK('By Round'!J17),"",'By Round'!J17)</f>
        <v/>
      </c>
      <c r="K38" s="15">
        <f>IF(ISBLANK('By Round'!K17),"",'By Round'!K17)</f>
        <v/>
      </c>
      <c r="L38" s="15">
        <f>IF(ISBLANK('By Round'!L17),"",'By Round'!L17)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Round'!A30</f>
        <v/>
      </c>
      <c r="C39" s="10">
        <f>'By Round'!B30</f>
        <v/>
      </c>
      <c r="D39" s="10">
        <f>'By Round'!C30</f>
        <v/>
      </c>
      <c r="E39" s="10">
        <f>'By Round'!D30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Round'!A21</f>
        <v/>
      </c>
      <c r="C40" s="10">
        <f>'By Round'!B24</f>
        <v/>
      </c>
      <c r="D40" s="10">
        <f>'By Round'!C24</f>
        <v/>
      </c>
      <c r="E40" s="10">
        <f>'By Round'!D24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Round'!A12</f>
        <v/>
      </c>
      <c r="C41" s="10">
        <f>'By Round'!B18</f>
        <v/>
      </c>
      <c r="D41" s="10">
        <f>'By Round'!C18</f>
        <v/>
      </c>
      <c r="E41" s="10">
        <f>'By Round'!D18</f>
        <v/>
      </c>
      <c r="F41" s="10">
        <f>IF(ISBLANK('By Round'!F18),"",'By Round'!F18)</f>
        <v/>
      </c>
      <c r="G41">
        <f>IF(ISBLANK('By Round'!G18),"",'By Round'!G18)</f>
        <v/>
      </c>
      <c r="H41">
        <f>IF(ISBLANK('By Round'!H18),"",'By Round'!H18)</f>
        <v/>
      </c>
      <c r="I41">
        <f>IF(ISBLANK('By Round'!I18),"",'By Round'!I18)</f>
        <v/>
      </c>
      <c r="J41">
        <f>IF(ISBLANK('By Round'!J18),"",'By Round'!J18)</f>
        <v/>
      </c>
      <c r="K41">
        <f>IF(ISBLANK('By Round'!K18),"",'By Round'!K18)</f>
        <v/>
      </c>
      <c r="L41">
        <f>IF(ISBLANK('By Round'!L18),"",'By Round'!L18)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Round'!A57</f>
        <v/>
      </c>
      <c r="C42" s="16">
        <f>'By Round'!B66</f>
        <v/>
      </c>
      <c r="D42" s="16">
        <f>'By Round'!C66</f>
        <v/>
      </c>
      <c r="E42" s="16">
        <f>'By Round'!D66</f>
        <v/>
      </c>
      <c r="F42" s="16">
        <f>IF(ISBLANK('By Round'!F66),"",'By Round'!F66)</f>
        <v/>
      </c>
      <c r="G42" s="15">
        <f>IF(ISBLANK('By Round'!G66),"",'By Round'!G66)</f>
        <v/>
      </c>
      <c r="H42" s="15">
        <f>IF(ISBLANK('By Round'!H66),"",'By Round'!H66)</f>
        <v/>
      </c>
      <c r="I42" s="15">
        <f>IF(ISBLANK('By Round'!I66),"",'By Round'!I66)</f>
        <v/>
      </c>
      <c r="J42" s="15">
        <f>IF(ISBLANK('By Round'!J66),"",'By Round'!J66)</f>
        <v/>
      </c>
      <c r="K42" s="15">
        <f>IF(ISBLANK('By Round'!K66),"",'By Round'!K66)</f>
        <v/>
      </c>
      <c r="L42" s="15">
        <f>IF(ISBLANK('By Round'!L66),"",'By Round'!L66)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Round'!A30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Round'!A21</f>
        <v/>
      </c>
      <c r="C44" s="10">
        <f>'By Round'!B24</f>
        <v/>
      </c>
      <c r="D44" s="10">
        <f>'By Round'!C24</f>
        <v/>
      </c>
      <c r="E44" s="10">
        <f>'By Round'!D24</f>
        <v/>
      </c>
      <c r="F44" s="10">
        <f>IF(ISBLANK('By Round'!F25),"",'By Round'!F25)</f>
        <v/>
      </c>
      <c r="G44">
        <f>IF(ISBLANK('By Round'!G25),"",'By Round'!G25)</f>
        <v/>
      </c>
      <c r="H44">
        <f>IF(ISBLANK('By Round'!H25),"",'By Round'!H25)</f>
        <v/>
      </c>
      <c r="I44">
        <f>IF(ISBLANK('By Round'!I25),"",'By Round'!I25)</f>
        <v/>
      </c>
      <c r="J44">
        <f>IF(ISBLANK('By Round'!J25),"",'By Round'!J25)</f>
        <v/>
      </c>
      <c r="K44">
        <f>IF(ISBLANK('By Round'!K25),"",'By Round'!K25)</f>
        <v/>
      </c>
      <c r="L44">
        <f>IF(ISBLANK('By Round'!L25),"",'By Round'!L25)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Round'!A12</f>
        <v/>
      </c>
      <c r="C45" s="10">
        <f>'By Round'!B18</f>
        <v/>
      </c>
      <c r="D45" s="10">
        <f>'By Round'!C18</f>
        <v/>
      </c>
      <c r="E45" s="10">
        <f>'By Round'!D18</f>
        <v/>
      </c>
      <c r="F45" s="10">
        <f>IF(ISBLANK('By Round'!F19),"",'By Round'!F19)</f>
        <v/>
      </c>
      <c r="G45">
        <f>IF(ISBLANK('By Round'!G19),"",'By Round'!G19)</f>
        <v/>
      </c>
      <c r="H45">
        <f>IF(ISBLANK('By Round'!H19),"",'By Round'!H19)</f>
        <v/>
      </c>
      <c r="I45">
        <f>IF(ISBLANK('By Round'!I19),"",'By Round'!I19)</f>
        <v/>
      </c>
      <c r="J45">
        <f>IF(ISBLANK('By Round'!J19),"",'By Round'!J19)</f>
        <v/>
      </c>
      <c r="K45">
        <f>IF(ISBLANK('By Round'!K19),"",'By Round'!K19)</f>
        <v/>
      </c>
      <c r="L45">
        <f>IF(ISBLANK('By Round'!L19),"",'By Round'!L19)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Round'!A57</f>
        <v/>
      </c>
      <c r="C46" s="16">
        <f>'By Round'!B66</f>
        <v/>
      </c>
      <c r="D46" s="16">
        <f>'By Round'!C66</f>
        <v/>
      </c>
      <c r="E46" s="16">
        <f>'By Round'!D66</f>
        <v/>
      </c>
      <c r="F46" s="16">
        <f>IF(ISBLANK('By Round'!F67),"",'By Round'!F67)</f>
        <v/>
      </c>
      <c r="G46" s="15">
        <f>IF(ISBLANK('By Round'!G67),"",'By Round'!G67)</f>
        <v/>
      </c>
      <c r="H46" s="15">
        <f>IF(ISBLANK('By Round'!H67),"",'By Round'!H67)</f>
        <v/>
      </c>
      <c r="I46" s="15">
        <f>IF(ISBLANK('By Round'!I67),"",'By Round'!I67)</f>
        <v/>
      </c>
      <c r="J46" s="15">
        <f>IF(ISBLANK('By Round'!J67),"",'By Round'!J67)</f>
        <v/>
      </c>
      <c r="K46" s="15">
        <f>IF(ISBLANK('By Round'!K67),"",'By Round'!K67)</f>
        <v/>
      </c>
      <c r="L46" s="15">
        <f>IF(ISBLANK('By Round'!L67),"",'By Round'!L67)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Round'!A30</f>
        <v/>
      </c>
      <c r="C47" s="10">
        <f>'By Round'!B30</f>
        <v/>
      </c>
      <c r="D47" s="10">
        <f>'By Round'!C30</f>
        <v/>
      </c>
      <c r="E47" s="10">
        <f>'By Round'!D30</f>
        <v/>
      </c>
      <c r="F47" s="10">
        <f>IF(ISBLANK('By Round'!F32),"",'By Round'!F32)</f>
        <v/>
      </c>
      <c r="G47">
        <f>IF(ISBLANK('By Round'!G32),"",'By Round'!G32)</f>
        <v/>
      </c>
      <c r="H47">
        <f>IF(ISBLANK('By Round'!H32),"",'By Round'!H32)</f>
        <v/>
      </c>
      <c r="I47">
        <f>IF(ISBLANK('By Round'!I32),"",'By Round'!I32)</f>
        <v/>
      </c>
      <c r="J47">
        <f>IF(ISBLANK('By Round'!J32),"",'By Round'!J32)</f>
        <v/>
      </c>
      <c r="K47">
        <f>IF(ISBLANK('By Round'!K32),"",'By Round'!K32)</f>
        <v/>
      </c>
      <c r="L47">
        <f>IF(ISBLANK('By Round'!L32),"",'By Round'!L32)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Round'!A21</f>
        <v/>
      </c>
      <c r="C48" s="10">
        <f>'By Round'!B24</f>
        <v/>
      </c>
      <c r="D48" s="10">
        <f>'By Round'!C24</f>
        <v/>
      </c>
      <c r="E48" s="10">
        <f>'By Round'!D24</f>
        <v/>
      </c>
      <c r="F48" s="10">
        <f>IF(ISBLANK('By Round'!F26),"",'By Round'!F26)</f>
        <v/>
      </c>
      <c r="G48">
        <f>IF(ISBLANK('By Round'!G26),"",'By Round'!G26)</f>
        <v/>
      </c>
      <c r="H48">
        <f>IF(ISBLANK('By Round'!H26),"",'By Round'!H26)</f>
        <v/>
      </c>
      <c r="I48">
        <f>IF(ISBLANK('By Round'!I26),"",'By Round'!I26)</f>
        <v/>
      </c>
      <c r="J48">
        <f>IF(ISBLANK('By Round'!J26),"",'By Round'!J26)</f>
        <v/>
      </c>
      <c r="K48">
        <f>IF(ISBLANK('By Round'!K26),"",'By Round'!K26)</f>
        <v/>
      </c>
      <c r="L48">
        <f>IF(ISBLANK('By Round'!L26),"",'By Round'!L26)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Round'!A12</f>
        <v/>
      </c>
      <c r="C49" s="10">
        <f>'By Round'!B18</f>
        <v/>
      </c>
      <c r="D49" s="10">
        <f>'By Round'!C18</f>
        <v/>
      </c>
      <c r="E49" s="10">
        <f>'By Round'!D18</f>
        <v/>
      </c>
      <c r="F49" s="10">
        <f>IF(ISBLANK('By Round'!F20),"",'By Round'!F20)</f>
        <v/>
      </c>
      <c r="G49">
        <f>IF(ISBLANK('By Round'!G20),"",'By Round'!G20)</f>
        <v/>
      </c>
      <c r="H49">
        <f>IF(ISBLANK('By Round'!H20),"",'By Round'!H20)</f>
        <v/>
      </c>
      <c r="I49">
        <f>IF(ISBLANK('By Round'!I20),"",'By Round'!I20)</f>
        <v/>
      </c>
      <c r="J49">
        <f>IF(ISBLANK('By Round'!J20),"",'By Round'!J20)</f>
        <v/>
      </c>
      <c r="K49">
        <f>IF(ISBLANK('By Round'!K20),"",'By Round'!K20)</f>
        <v/>
      </c>
      <c r="L49">
        <f>IF(ISBLANK('By Round'!L20),"",'By Round'!L20)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Round'!A57</f>
        <v/>
      </c>
      <c r="C50" s="16">
        <f>'By Round'!B66</f>
        <v/>
      </c>
      <c r="D50" s="16">
        <f>'By Round'!C66</f>
        <v/>
      </c>
      <c r="E50" s="16">
        <f>'By Round'!D66</f>
        <v/>
      </c>
      <c r="F50" s="16">
        <f>IF(ISBLANK('By Round'!F68),"",'By Round'!F68)</f>
        <v/>
      </c>
      <c r="G50" s="15">
        <f>IF(ISBLANK('By Round'!G68),"",'By Round'!G68)</f>
        <v/>
      </c>
      <c r="H50" s="15">
        <f>IF(ISBLANK('By Round'!H68),"",'By Round'!H68)</f>
        <v/>
      </c>
      <c r="I50" s="15">
        <f>IF(ISBLANK('By Round'!I68),"",'By Round'!I68)</f>
        <v/>
      </c>
      <c r="J50" s="15">
        <f>IF(ISBLANK('By Round'!J68),"",'By Round'!J68)</f>
        <v/>
      </c>
      <c r="K50" s="15">
        <f>IF(ISBLANK('By Round'!K68),"",'By Round'!K68)</f>
        <v/>
      </c>
      <c r="L50" s="15">
        <f>IF(ISBLANK('By Round'!L68),"",'By Round'!L68)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Round'!A39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Round'!A30</f>
        <v/>
      </c>
      <c r="C52" s="10">
        <f>'By Round'!B33</f>
        <v/>
      </c>
      <c r="D52" s="10">
        <f>'By Round'!C33</f>
        <v/>
      </c>
      <c r="E52" s="10">
        <f>'By Round'!D33</f>
        <v/>
      </c>
      <c r="F52" s="10">
        <f>IF(ISBLANK('By Round'!F33),"",'By Round'!F33)</f>
        <v/>
      </c>
      <c r="G52">
        <f>IF(ISBLANK('By Round'!G33),"",'By Round'!G33)</f>
        <v/>
      </c>
      <c r="H52">
        <f>IF(ISBLANK('By Round'!H33),"",'By Round'!H33)</f>
        <v/>
      </c>
      <c r="I52">
        <f>IF(ISBLANK('By Round'!I33),"",'By Round'!I33)</f>
        <v/>
      </c>
      <c r="J52">
        <f>IF(ISBLANK('By Round'!J33),"",'By Round'!J33)</f>
        <v/>
      </c>
      <c r="K52">
        <f>IF(ISBLANK('By Round'!K33),"",'By Round'!K33)</f>
        <v/>
      </c>
      <c r="L52">
        <f>IF(ISBLANK('By Round'!L33),"",'By Round'!L33)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Round'!A21</f>
        <v/>
      </c>
      <c r="C53" s="10">
        <f>'By Round'!B27</f>
        <v/>
      </c>
      <c r="D53" s="10">
        <f>'By Round'!C27</f>
        <v/>
      </c>
      <c r="E53" s="10">
        <f>'By Round'!D27</f>
        <v/>
      </c>
      <c r="F53" s="10">
        <f>IF(ISBLANK('By Round'!F27),"",'By Round'!F27)</f>
        <v/>
      </c>
      <c r="G53">
        <f>IF(ISBLANK('By Round'!G27),"",'By Round'!G27)</f>
        <v/>
      </c>
      <c r="H53">
        <f>IF(ISBLANK('By Round'!H27),"",'By Round'!H27)</f>
        <v/>
      </c>
      <c r="I53">
        <f>IF(ISBLANK('By Round'!I27),"",'By Round'!I27)</f>
        <v/>
      </c>
      <c r="J53">
        <f>IF(ISBLANK('By Round'!J27),"",'By Round'!J27)</f>
        <v/>
      </c>
      <c r="K53">
        <f>IF(ISBLANK('By Round'!K27),"",'By Round'!K27)</f>
        <v/>
      </c>
      <c r="L53">
        <f>IF(ISBLANK('By Round'!L27),"",'By Round'!L27)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Round'!A3</f>
        <v/>
      </c>
      <c r="C54" s="16">
        <f>'By Round'!B12</f>
        <v/>
      </c>
      <c r="D54" s="16">
        <f>'By Round'!C12</f>
        <v/>
      </c>
      <c r="E54" s="16">
        <f>'By Round'!D12</f>
        <v/>
      </c>
      <c r="F54" s="16">
        <f>IF(ISBLANK('By Round'!F12),"",'By Round'!F12)</f>
        <v/>
      </c>
      <c r="G54" s="15">
        <f>IF(ISBLANK('By Round'!G12),"",'By Round'!G12)</f>
        <v/>
      </c>
      <c r="H54" s="15">
        <f>IF(ISBLANK('By Round'!H12),"",'By Round'!H12)</f>
        <v/>
      </c>
      <c r="I54" s="15">
        <f>IF(ISBLANK('By Round'!I12),"",'By Round'!I12)</f>
        <v/>
      </c>
      <c r="J54" s="15">
        <f>IF(ISBLANK('By Round'!J12),"",'By Round'!J12)</f>
        <v/>
      </c>
      <c r="K54" s="15">
        <f>IF(ISBLANK('By Round'!K12),"",'By Round'!K12)</f>
        <v/>
      </c>
      <c r="L54" s="15">
        <f>IF(ISBLANK('By Round'!L12),"",'By Round'!L12)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Round'!A39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Round'!A30</f>
        <v/>
      </c>
      <c r="C56" s="10">
        <f>'By Round'!B33</f>
        <v/>
      </c>
      <c r="D56" s="10">
        <f>'By Round'!C33</f>
        <v/>
      </c>
      <c r="E56" s="10">
        <f>'By Round'!D33</f>
        <v/>
      </c>
      <c r="F56" s="10">
        <f>IF(ISBLANK('By Round'!F34),"",'By Round'!F34)</f>
        <v/>
      </c>
      <c r="G56">
        <f>IF(ISBLANK('By Round'!G34),"",'By Round'!G34)</f>
        <v/>
      </c>
      <c r="H56">
        <f>IF(ISBLANK('By Round'!H34),"",'By Round'!H34)</f>
        <v/>
      </c>
      <c r="I56">
        <f>IF(ISBLANK('By Round'!I34),"",'By Round'!I34)</f>
        <v/>
      </c>
      <c r="J56">
        <f>IF(ISBLANK('By Round'!J34),"",'By Round'!J34)</f>
        <v/>
      </c>
      <c r="K56">
        <f>IF(ISBLANK('By Round'!K34),"",'By Round'!K34)</f>
        <v/>
      </c>
      <c r="L56">
        <f>IF(ISBLANK('By Round'!L34),"",'By Round'!L34)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Round'!A21</f>
        <v/>
      </c>
      <c r="C57" s="10">
        <f>'By Round'!B27</f>
        <v/>
      </c>
      <c r="D57" s="10">
        <f>'By Round'!C27</f>
        <v/>
      </c>
      <c r="E57" s="10">
        <f>'By Round'!D27</f>
        <v/>
      </c>
      <c r="F57" s="10">
        <f>IF(ISBLANK('By Round'!F28),"",'By Round'!F28)</f>
        <v/>
      </c>
      <c r="G57">
        <f>IF(ISBLANK('By Round'!G28),"",'By Round'!G28)</f>
        <v/>
      </c>
      <c r="H57">
        <f>IF(ISBLANK('By Round'!H28),"",'By Round'!H28)</f>
        <v/>
      </c>
      <c r="I57">
        <f>IF(ISBLANK('By Round'!I28),"",'By Round'!I28)</f>
        <v/>
      </c>
      <c r="J57">
        <f>IF(ISBLANK('By Round'!J28),"",'By Round'!J28)</f>
        <v/>
      </c>
      <c r="K57">
        <f>IF(ISBLANK('By Round'!K28),"",'By Round'!K28)</f>
        <v/>
      </c>
      <c r="L57">
        <f>IF(ISBLANK('By Round'!L28),"",'By Round'!L28)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Round'!A3</f>
        <v/>
      </c>
      <c r="C58" s="16">
        <f>'By Round'!B12</f>
        <v/>
      </c>
      <c r="D58" s="16">
        <f>'By Round'!C12</f>
        <v/>
      </c>
      <c r="E58" s="16">
        <f>'By Round'!D12</f>
        <v/>
      </c>
      <c r="F58" s="16">
        <f>IF(ISBLANK('By Round'!F13),"",'By Round'!F13)</f>
        <v/>
      </c>
      <c r="G58" s="15">
        <f>IF(ISBLANK('By Round'!G13),"",'By Round'!G13)</f>
        <v/>
      </c>
      <c r="H58" s="15">
        <f>IF(ISBLANK('By Round'!H13),"",'By Round'!H13)</f>
        <v/>
      </c>
      <c r="I58" s="15">
        <f>IF(ISBLANK('By Round'!I13),"",'By Round'!I13)</f>
        <v/>
      </c>
      <c r="J58" s="15">
        <f>IF(ISBLANK('By Round'!J13),"",'By Round'!J13)</f>
        <v/>
      </c>
      <c r="K58" s="15">
        <f>IF(ISBLANK('By Round'!K13),"",'By Round'!K13)</f>
        <v/>
      </c>
      <c r="L58" s="15">
        <f>IF(ISBLANK('By Round'!L13),"",'By Round'!L13)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  <row r="59">
      <c r="A59" s="10" t="n">
        <v>15</v>
      </c>
      <c r="B59" s="10">
        <f>'By Round'!A39</f>
        <v/>
      </c>
      <c r="C59" s="10">
        <f>'By Round'!B39</f>
        <v/>
      </c>
      <c r="D59" s="10">
        <f>'By Round'!C39</f>
        <v/>
      </c>
      <c r="E59" s="10">
        <f>'By Round'!D39</f>
        <v/>
      </c>
      <c r="F59" s="10">
        <f>IF(ISBLANK('By Round'!F41),"",'By Round'!F41)</f>
        <v/>
      </c>
      <c r="G59">
        <f>IF(ISBLANK('By Round'!G41),"",'By Round'!G41)</f>
        <v/>
      </c>
      <c r="H59">
        <f>IF(ISBLANK('By Round'!H41),"",'By Round'!H41)</f>
        <v/>
      </c>
      <c r="I59">
        <f>IF(ISBLANK('By Round'!I41),"",'By Round'!I41)</f>
        <v/>
      </c>
      <c r="J59">
        <f>IF(ISBLANK('By Round'!J41),"",'By Round'!J41)</f>
        <v/>
      </c>
      <c r="K59">
        <f>IF(ISBLANK('By Round'!K41),"",'By Round'!K41)</f>
        <v/>
      </c>
      <c r="L59">
        <f>IF(ISBLANK('By Round'!L41),"",'By Round'!L41)</f>
        <v/>
      </c>
      <c r="M59" s="11">
        <f>AVERAGE(AA59:AC59)</f>
        <v/>
      </c>
      <c r="N59" s="12">
        <f>AVERAGE(AD59:AF59)</f>
        <v/>
      </c>
      <c r="O59" s="13">
        <f>IF(COUNT(U59:W59)&gt;0,Q59/COUNT(U59:W59),0.5)</f>
        <v/>
      </c>
      <c r="P59" s="13">
        <f>IF(COUNT(X59:Z59)&gt;0,R59/COUNT(X59:Z59),0.5)</f>
        <v/>
      </c>
      <c r="Q59" s="5">
        <f>SUM(U59:W59)</f>
        <v/>
      </c>
      <c r="R59" s="5">
        <f>SUM(X59:Z59)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4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0">
        <f>'By Round'!A30</f>
        <v/>
      </c>
      <c r="C60" s="10">
        <f>'By Round'!B33</f>
        <v/>
      </c>
      <c r="D60" s="10">
        <f>'By Round'!C33</f>
        <v/>
      </c>
      <c r="E60" s="10">
        <f>'By Round'!D33</f>
        <v/>
      </c>
      <c r="F60" s="10">
        <f>IF(ISBLANK('By Round'!F35),"",'By Round'!F35)</f>
        <v/>
      </c>
      <c r="G60">
        <f>IF(ISBLANK('By Round'!G35),"",'By Round'!G35)</f>
        <v/>
      </c>
      <c r="H60">
        <f>IF(ISBLANK('By Round'!H35),"",'By Round'!H35)</f>
        <v/>
      </c>
      <c r="I60">
        <f>IF(ISBLANK('By Round'!I35),"",'By Round'!I35)</f>
        <v/>
      </c>
      <c r="J60">
        <f>IF(ISBLANK('By Round'!J35),"",'By Round'!J35)</f>
        <v/>
      </c>
      <c r="K60">
        <f>IF(ISBLANK('By Round'!K35),"",'By Round'!K35)</f>
        <v/>
      </c>
      <c r="L60">
        <f>IF(ISBLANK('By Round'!L35),"",'By Round'!L35)</f>
        <v/>
      </c>
      <c r="M60" s="11">
        <f>AVERAGE(AA60:AC60)</f>
        <v/>
      </c>
      <c r="N60" s="12">
        <f>AVERAGE(AD60:AF60)</f>
        <v/>
      </c>
      <c r="O60" s="13">
        <f>IF(COUNT(U60:W60)&gt;0,Q60/COUNT(U60:W60),0.5)</f>
        <v/>
      </c>
      <c r="P60" s="13">
        <f>IF(COUNT(X60:Z60)&gt;0,R60/COUNT(X60:Z60),0.5)</f>
        <v/>
      </c>
      <c r="Q60" s="5">
        <f>SUM(U60:W60)</f>
        <v/>
      </c>
      <c r="R60" s="5">
        <f>SUM(X60:Z60)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4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0">
        <f>'By Round'!A21</f>
        <v/>
      </c>
      <c r="C61" s="10">
        <f>'By Round'!B27</f>
        <v/>
      </c>
      <c r="D61" s="10">
        <f>'By Round'!C27</f>
        <v/>
      </c>
      <c r="E61" s="10">
        <f>'By Round'!D27</f>
        <v/>
      </c>
      <c r="F61" s="10">
        <f>IF(ISBLANK('By Round'!F29),"",'By Round'!F29)</f>
        <v/>
      </c>
      <c r="G61">
        <f>IF(ISBLANK('By Round'!G29),"",'By Round'!G29)</f>
        <v/>
      </c>
      <c r="H61">
        <f>IF(ISBLANK('By Round'!H29),"",'By Round'!H29)</f>
        <v/>
      </c>
      <c r="I61">
        <f>IF(ISBLANK('By Round'!I29),"",'By Round'!I29)</f>
        <v/>
      </c>
      <c r="J61">
        <f>IF(ISBLANK('By Round'!J29),"",'By Round'!J29)</f>
        <v/>
      </c>
      <c r="K61">
        <f>IF(ISBLANK('By Round'!K29),"",'By Round'!K29)</f>
        <v/>
      </c>
      <c r="L61">
        <f>IF(ISBLANK('By Round'!L29),"",'By Round'!L29)</f>
        <v/>
      </c>
      <c r="M61" s="11">
        <f>AVERAGE(AA61:AC61)</f>
        <v/>
      </c>
      <c r="N61" s="12">
        <f>AVERAGE(AD61:AF61)</f>
        <v/>
      </c>
      <c r="O61" s="13">
        <f>IF(COUNT(U61:W61)&gt;0,Q61/COUNT(U61:W61),0.5)</f>
        <v/>
      </c>
      <c r="P61" s="13">
        <f>IF(COUNT(X61:Z61)&gt;0,R61/COUNT(X61:Z61),0.5)</f>
        <v/>
      </c>
      <c r="Q61" s="5">
        <f>SUM(U61:W61)</f>
        <v/>
      </c>
      <c r="R61" s="5">
        <f>SUM(X61:Z61)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4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15" t="n"/>
      <c r="B62" s="16">
        <f>'By Round'!A3</f>
        <v/>
      </c>
      <c r="C62" s="16">
        <f>'By Round'!B12</f>
        <v/>
      </c>
      <c r="D62" s="16">
        <f>'By Round'!C12</f>
        <v/>
      </c>
      <c r="E62" s="16">
        <f>'By Round'!D12</f>
        <v/>
      </c>
      <c r="F62" s="16">
        <f>IF(ISBLANK('By Round'!F14),"",'By Round'!F14)</f>
        <v/>
      </c>
      <c r="G62" s="15">
        <f>IF(ISBLANK('By Round'!G14),"",'By Round'!G14)</f>
        <v/>
      </c>
      <c r="H62" s="15">
        <f>IF(ISBLANK('By Round'!H14),"",'By Round'!H14)</f>
        <v/>
      </c>
      <c r="I62" s="15">
        <f>IF(ISBLANK('By Round'!I14),"",'By Round'!I14)</f>
        <v/>
      </c>
      <c r="J62" s="15">
        <f>IF(ISBLANK('By Round'!J14),"",'By Round'!J14)</f>
        <v/>
      </c>
      <c r="K62" s="15">
        <f>IF(ISBLANK('By Round'!K14),"",'By Round'!K14)</f>
        <v/>
      </c>
      <c r="L62" s="15">
        <f>IF(ISBLANK('By Round'!L14),"",'By Round'!L14)</f>
        <v/>
      </c>
      <c r="M62" s="17">
        <f>AVERAGE(AA62:AC62)</f>
        <v/>
      </c>
      <c r="N62" s="18">
        <f>AVERAGE(AD62:AF62)</f>
        <v/>
      </c>
      <c r="O62" s="19">
        <f>IF(COUNT(U62:W62)&gt;0,Q62/COUNT(U62:W62),0.5)</f>
        <v/>
      </c>
      <c r="P62" s="19">
        <f>IF(COUNT(X62:Z62)&gt;0,R62/COUNT(X62:Z62),0.5)</f>
        <v/>
      </c>
      <c r="Q62" s="20">
        <f>SUM(U62:W62)</f>
        <v/>
      </c>
      <c r="R62" s="20">
        <f>SUM(X62:Z62)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IF(ISNUMBER(S62),IF(ISNUMBER(S59),IF(S62&gt;S59,1.0,IF(S62=S59,0.5,0.0)),0.5),0.5)</f>
        <v/>
      </c>
      <c r="V62" s="15">
        <f>IF(ISNUMBER(S62),IF(ISNUMBER(S60),IF(S62&gt;S60,1.0,IF(S62=S60,0.5,0.0)),0.5),0.5)</f>
        <v/>
      </c>
      <c r="W62" s="15">
        <f>IF(ISNUMBER(S62),IF(ISNUMBER(S61),IF(S62&gt;S61,1.0,IF(S62=S61,0.5,0.0)),0.5),0.5)</f>
        <v/>
      </c>
      <c r="X62" s="15">
        <f>IF(ISNUMBER(T62),IF(ISNUMBER(T59),IF(T62&gt;T59,1.0,IF(T62=T59,0.5,0.0)),0.5),0.5)</f>
        <v/>
      </c>
      <c r="Y62" s="15">
        <f>IF(ISNUMBER(T62),IF(ISNUMBER(T60),IF(T62&gt;T60,1.0,IF(T62=T60,0.5,0.0)),0.5),0.5)</f>
        <v/>
      </c>
      <c r="Z62" s="15">
        <f>IF(ISNUMBER(T62),IF(ISNUMBER(T61),IF(T62&gt;T61,1.0,IF(T62=T61,0.5,0.0)),0.5),0.5)</f>
        <v/>
      </c>
      <c r="AA62" s="21">
        <f>IF(AND(ISNUMBER(S62),ISNUMBER(S59)),VLOOKUP(ABS(S62-S59),'IMP Table'!$A$2:$C$26,3)*SIGN(S62-S59),0)</f>
        <v/>
      </c>
      <c r="AB62" s="15">
        <f>IF(AND(ISNUMBER(S62),ISNUMBER(S60)),VLOOKUP(ABS(S62-S60),'IMP Table'!$A$2:$C$26,3)*SIGN(S62-S60),0)</f>
        <v/>
      </c>
      <c r="AC62" s="15">
        <f>IF(AND(ISNUMBER(S62),ISNUMBER(S61)),VLOOKUP(ABS(S62-S61),'IMP Table'!$A$2:$C$26,3)*SIGN(S62-S61),0)</f>
        <v/>
      </c>
      <c r="AD62" s="15">
        <f>IF(AND(ISNUMBER(T62),ISNUMBER(T59)),VLOOKUP(ABS(T62-T59),'IMP Table'!$A$2:$C$26,3)*SIGN(T62-T59),0)</f>
        <v/>
      </c>
      <c r="AE62" s="15">
        <f>IF(AND(ISNUMBER(T62),ISNUMBER(T60)),VLOOKUP(ABS(T62-T60),'IMP Table'!$A$2:$C$26,3)*SIGN(T62-T60),0)</f>
        <v/>
      </c>
      <c r="AF62" s="15">
        <f>IF(AND(ISNUMBER(T62),ISNUMBER(T61)),VLOOKUP(ABS(T62-T61),'IMP Table'!$A$2:$C$26,3)*SIGN(T62-T61),0)</f>
        <v/>
      </c>
    </row>
    <row r="63">
      <c r="A63" s="10" t="n">
        <v>16</v>
      </c>
      <c r="B63" s="10">
        <f>'By Round'!A48</f>
        <v/>
      </c>
      <c r="C63" s="10">
        <f>'By Round'!B48</f>
        <v/>
      </c>
      <c r="D63" s="10">
        <f>'By Round'!C48</f>
        <v/>
      </c>
      <c r="E63" s="10">
        <f>'By Round'!D48</f>
        <v/>
      </c>
      <c r="F63" s="10">
        <f>IF(ISBLANK('By Round'!F48),"",'By Round'!F48)</f>
        <v/>
      </c>
      <c r="G63">
        <f>IF(ISBLANK('By Round'!G48),"",'By Round'!G48)</f>
        <v/>
      </c>
      <c r="H63">
        <f>IF(ISBLANK('By Round'!H48),"",'By Round'!H48)</f>
        <v/>
      </c>
      <c r="I63">
        <f>IF(ISBLANK('By Round'!I48),"",'By Round'!I48)</f>
        <v/>
      </c>
      <c r="J63">
        <f>IF(ISBLANK('By Round'!J48),"",'By Round'!J48)</f>
        <v/>
      </c>
      <c r="K63">
        <f>IF(ISBLANK('By Round'!K48),"",'By Round'!K48)</f>
        <v/>
      </c>
      <c r="L63">
        <f>IF(ISBLANK('By Round'!L48),"",'By Round'!L48)</f>
        <v/>
      </c>
      <c r="M63" s="11">
        <f>AVERAGE(AA63:AC63)</f>
        <v/>
      </c>
      <c r="N63" s="12">
        <f>AVERAGE(AD63:AF63)</f>
        <v/>
      </c>
      <c r="O63" s="13">
        <f>IF(COUNT(U63:W63)&gt;0,Q63/COUNT(U63:W63),0.5)</f>
        <v/>
      </c>
      <c r="P63" s="13">
        <f>IF(COUNT(X63:Z63)&gt;0,R63/COUNT(X63:Z63),0.5)</f>
        <v/>
      </c>
      <c r="Q63" s="5">
        <f>SUM(U63:W63)</f>
        <v/>
      </c>
      <c r="R63" s="5">
        <f>SUM(X63:Z63)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IF(ISNUMBER(T63),IF(ISNUMBER(T64),IF(T63&gt;T64,1.0,IF(T63=T64,0.5,0.0)),0.5),0.5)</f>
        <v/>
      </c>
      <c r="Y63">
        <f>IF(ISNUMBER(T63),IF(ISNUMBER(T65),IF(T63&gt;T65,1.0,IF(T63=T65,0.5,0.0)),0.5),0.5)</f>
        <v/>
      </c>
      <c r="Z63">
        <f>IF(ISNUMBER(T63),IF(ISNUMBER(T66),IF(T63&gt;T66,1.0,IF(T63=T66,0.5,0.0)),0.5),0.5)</f>
        <v/>
      </c>
      <c r="AA63" s="14">
        <f>IF(AND(ISNUMBER(S63),ISNUMBER(S64)),VLOOKUP(ABS(S63-S64),'IMP Table'!$A$2:$C$26,3)*SIGN(S63-S64),0)</f>
        <v/>
      </c>
      <c r="AB63">
        <f>IF(AND(ISNUMBER(S63),ISNUMBER(S65)),VLOOKUP(ABS(S63-S65),'IMP Table'!$A$2:$C$26,3)*SIGN(S63-S65),0)</f>
        <v/>
      </c>
      <c r="AC63">
        <f>IF(AND(ISNUMBER(S63),ISNUMBER(S66)),VLOOKUP(ABS(S63-S66),'IMP Table'!$A$2:$C$26,3)*SIGN(S63-S66),0)</f>
        <v/>
      </c>
      <c r="AD63">
        <f>IF(AND(ISNUMBER(T63),ISNUMBER(T64)),VLOOKUP(ABS(T63-T64),'IMP Table'!$A$2:$C$26,3)*SIGN(T63-T64),0)</f>
        <v/>
      </c>
      <c r="AE63">
        <f>IF(AND(ISNUMBER(T63),ISNUMBER(T65)),VLOOKUP(ABS(T63-T65),'IMP Table'!$A$2:$C$26,3)*SIGN(T63-T65),0)</f>
        <v/>
      </c>
      <c r="AF63">
        <f>IF(AND(ISNUMBER(T63),ISNUMBER(T66)),VLOOKUP(ABS(T63-T66),'IMP Table'!$A$2:$C$26,3)*SIGN(T63-T66),0)</f>
        <v/>
      </c>
    </row>
    <row r="64">
      <c r="B64" s="10">
        <f>'By Round'!A12</f>
        <v/>
      </c>
      <c r="C64" s="10">
        <f>'By Round'!B21</f>
        <v/>
      </c>
      <c r="D64" s="10">
        <f>'By Round'!C21</f>
        <v/>
      </c>
      <c r="E64" s="10">
        <f>'By Round'!D21</f>
        <v/>
      </c>
      <c r="F64" s="10">
        <f>IF(ISBLANK('By Round'!F21),"",'By Round'!F21)</f>
        <v/>
      </c>
      <c r="G64">
        <f>IF(ISBLANK('By Round'!G21),"",'By Round'!G21)</f>
        <v/>
      </c>
      <c r="H64">
        <f>IF(ISBLANK('By Round'!H21),"",'By Round'!H21)</f>
        <v/>
      </c>
      <c r="I64">
        <f>IF(ISBLANK('By Round'!I21),"",'By Round'!I21)</f>
        <v/>
      </c>
      <c r="J64">
        <f>IF(ISBLANK('By Round'!J21),"",'By Round'!J21)</f>
        <v/>
      </c>
      <c r="K64">
        <f>IF(ISBLANK('By Round'!K21),"",'By Round'!K21)</f>
        <v/>
      </c>
      <c r="L64">
        <f>IF(ISBLANK('By Round'!L21),"",'By Round'!L21)</f>
        <v/>
      </c>
      <c r="M64" s="11">
        <f>AVERAGE(AA64:AC64)</f>
        <v/>
      </c>
      <c r="N64" s="12">
        <f>AVERAGE(AD64:AF64)</f>
        <v/>
      </c>
      <c r="O64" s="13">
        <f>IF(COUNT(U64:W64)&gt;0,Q64/COUNT(U64:W64),0.5)</f>
        <v/>
      </c>
      <c r="P64" s="13">
        <f>IF(COUNT(X64:Z64)&gt;0,R64/COUNT(X64:Z64),0.5)</f>
        <v/>
      </c>
      <c r="Q64" s="5">
        <f>SUM(U64:W64)</f>
        <v/>
      </c>
      <c r="R64" s="5">
        <f>SUM(X64:Z64)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IF(ISNUMBER(T64),IF(ISNUMBER(T63),IF(T64&gt;T63,1.0,IF(T64=T63,0.5,0.0)),0.5),0.5)</f>
        <v/>
      </c>
      <c r="Y64">
        <f>IF(ISNUMBER(T64),IF(ISNUMBER(T65),IF(T64&gt;T65,1.0,IF(T64=T65,0.5,0.0)),0.5),0.5)</f>
        <v/>
      </c>
      <c r="Z64">
        <f>IF(ISNUMBER(T64),IF(ISNUMBER(T66),IF(T64&gt;T66,1.0,IF(T64=T66,0.5,0.0)),0.5),0.5)</f>
        <v/>
      </c>
      <c r="AA64" s="14">
        <f>IF(AND(ISNUMBER(S64),ISNUMBER(S63)),VLOOKUP(ABS(S64-S63),'IMP Table'!$A$2:$C$26,3)*SIGN(S64-S63),0)</f>
        <v/>
      </c>
      <c r="AB64">
        <f>IF(AND(ISNUMBER(S64),ISNUMBER(S65)),VLOOKUP(ABS(S64-S65),'IMP Table'!$A$2:$C$26,3)*SIGN(S64-S65),0)</f>
        <v/>
      </c>
      <c r="AC64">
        <f>IF(AND(ISNUMBER(S64),ISNUMBER(S66)),VLOOKUP(ABS(S64-S66),'IMP Table'!$A$2:$C$26,3)*SIGN(S64-S66),0)</f>
        <v/>
      </c>
      <c r="AD64">
        <f>IF(AND(ISNUMBER(T64),ISNUMBER(T63)),VLOOKUP(ABS(T64-T63),'IMP Table'!$A$2:$C$26,3)*SIGN(T64-T63),0)</f>
        <v/>
      </c>
      <c r="AE64">
        <f>IF(AND(ISNUMBER(T64),ISNUMBER(T65)),VLOOKUP(ABS(T64-T65),'IMP Table'!$A$2:$C$26,3)*SIGN(T64-T65),0)</f>
        <v/>
      </c>
      <c r="AF64">
        <f>IF(AND(ISNUMBER(T64),ISNUMBER(T66)),VLOOKUP(ABS(T64-T66),'IMP Table'!$A$2:$C$26,3)*SIGN(T64-T66),0)</f>
        <v/>
      </c>
    </row>
    <row r="65">
      <c r="B65" s="10">
        <f>'By Round'!A39</f>
        <v/>
      </c>
      <c r="C65" s="10">
        <f>'By Round'!B42</f>
        <v/>
      </c>
      <c r="D65" s="10">
        <f>'By Round'!C42</f>
        <v/>
      </c>
      <c r="E65" s="10">
        <f>'By Round'!D42</f>
        <v/>
      </c>
      <c r="F65" s="10">
        <f>IF(ISBLANK('By Round'!F42),"",'By Round'!F42)</f>
        <v/>
      </c>
      <c r="G65">
        <f>IF(ISBLANK('By Round'!G42),"",'By Round'!G42)</f>
        <v/>
      </c>
      <c r="H65">
        <f>IF(ISBLANK('By Round'!H42),"",'By Round'!H42)</f>
        <v/>
      </c>
      <c r="I65">
        <f>IF(ISBLANK('By Round'!I42),"",'By Round'!I42)</f>
        <v/>
      </c>
      <c r="J65">
        <f>IF(ISBLANK('By Round'!J42),"",'By Round'!J42)</f>
        <v/>
      </c>
      <c r="K65">
        <f>IF(ISBLANK('By Round'!K42),"",'By Round'!K42)</f>
        <v/>
      </c>
      <c r="L65">
        <f>IF(ISBLANK('By Round'!L42),"",'By Round'!L42)</f>
        <v/>
      </c>
      <c r="M65" s="11">
        <f>AVERAGE(AA65:AC65)</f>
        <v/>
      </c>
      <c r="N65" s="12">
        <f>AVERAGE(AD65:AF65)</f>
        <v/>
      </c>
      <c r="O65" s="13">
        <f>IF(COUNT(U65:W65)&gt;0,Q65/COUNT(U65:W65),0.5)</f>
        <v/>
      </c>
      <c r="P65" s="13">
        <f>IF(COUNT(X65:Z65)&gt;0,R65/COUNT(X65:Z65),0.5)</f>
        <v/>
      </c>
      <c r="Q65" s="5">
        <f>SUM(U65:W65)</f>
        <v/>
      </c>
      <c r="R65" s="5">
        <f>SUM(X65:Z65)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IF(ISNUMBER(T65),IF(ISNUMBER(T63),IF(T65&gt;T63,1.0,IF(T65=T63,0.5,0.0)),0.5),0.5)</f>
        <v/>
      </c>
      <c r="Y65">
        <f>IF(ISNUMBER(T65),IF(ISNUMBER(T64),IF(T65&gt;T64,1.0,IF(T65=T64,0.5,0.0)),0.5),0.5)</f>
        <v/>
      </c>
      <c r="Z65">
        <f>IF(ISNUMBER(T65),IF(ISNUMBER(T66),IF(T65&gt;T66,1.0,IF(T65=T66,0.5,0.0)),0.5),0.5)</f>
        <v/>
      </c>
      <c r="AA65" s="14">
        <f>IF(AND(ISNUMBER(S65),ISNUMBER(S63)),VLOOKUP(ABS(S65-S63),'IMP Table'!$A$2:$C$26,3)*SIGN(S65-S63),0)</f>
        <v/>
      </c>
      <c r="AB65">
        <f>IF(AND(ISNUMBER(S65),ISNUMBER(S64)),VLOOKUP(ABS(S65-S64),'IMP Table'!$A$2:$C$26,3)*SIGN(S65-S64),0)</f>
        <v/>
      </c>
      <c r="AC65">
        <f>IF(AND(ISNUMBER(S65),ISNUMBER(S66)),VLOOKUP(ABS(S65-S66),'IMP Table'!$A$2:$C$26,3)*SIGN(S65-S66),0)</f>
        <v/>
      </c>
      <c r="AD65">
        <f>IF(AND(ISNUMBER(T65),ISNUMBER(T63)),VLOOKUP(ABS(T65-T63),'IMP Table'!$A$2:$C$26,3)*SIGN(T65-T63),0)</f>
        <v/>
      </c>
      <c r="AE65">
        <f>IF(AND(ISNUMBER(T65),ISNUMBER(T64)),VLOOKUP(ABS(T65-T64),'IMP Table'!$A$2:$C$26,3)*SIGN(T65-T64),0)</f>
        <v/>
      </c>
      <c r="AF65">
        <f>IF(AND(ISNUMBER(T65),ISNUMBER(T66)),VLOOKUP(ABS(T65-T66),'IMP Table'!$A$2:$C$26,3)*SIGN(T65-T66),0)</f>
        <v/>
      </c>
    </row>
    <row r="66">
      <c r="A66" s="15" t="n"/>
      <c r="B66" s="16">
        <f>'By Round'!A30</f>
        <v/>
      </c>
      <c r="C66" s="16">
        <f>'By Round'!B36</f>
        <v/>
      </c>
      <c r="D66" s="16">
        <f>'By Round'!C36</f>
        <v/>
      </c>
      <c r="E66" s="16">
        <f>'By Round'!D36</f>
        <v/>
      </c>
      <c r="F66" s="16">
        <f>IF(ISBLANK('By Round'!F36),"",'By Round'!F36)</f>
        <v/>
      </c>
      <c r="G66" s="15">
        <f>IF(ISBLANK('By Round'!G36),"",'By Round'!G36)</f>
        <v/>
      </c>
      <c r="H66" s="15">
        <f>IF(ISBLANK('By Round'!H36),"",'By Round'!H36)</f>
        <v/>
      </c>
      <c r="I66" s="15">
        <f>IF(ISBLANK('By Round'!I36),"",'By Round'!I36)</f>
        <v/>
      </c>
      <c r="J66" s="15">
        <f>IF(ISBLANK('By Round'!J36),"",'By Round'!J36)</f>
        <v/>
      </c>
      <c r="K66" s="15">
        <f>IF(ISBLANK('By Round'!K36),"",'By Round'!K36)</f>
        <v/>
      </c>
      <c r="L66" s="15">
        <f>IF(ISBLANK('By Round'!L36),"",'By Round'!L36)</f>
        <v/>
      </c>
      <c r="M66" s="17">
        <f>AVERAGE(AA66:AC66)</f>
        <v/>
      </c>
      <c r="N66" s="18">
        <f>AVERAGE(AD66:AF66)</f>
        <v/>
      </c>
      <c r="O66" s="19">
        <f>IF(COUNT(U66:W66)&gt;0,Q66/COUNT(U66:W66),0.5)</f>
        <v/>
      </c>
      <c r="P66" s="19">
        <f>IF(COUNT(X66:Z66)&gt;0,R66/COUNT(X66:Z66),0.5)</f>
        <v/>
      </c>
      <c r="Q66" s="20">
        <f>SUM(U66:W66)</f>
        <v/>
      </c>
      <c r="R66" s="20">
        <f>SUM(X66:Z66)</f>
        <v/>
      </c>
      <c r="S66" s="21">
        <f>IF(ISNUMBER(K66),K66,IF(ISNUMBER(L66),-L66,""))</f>
        <v/>
      </c>
      <c r="T66" s="15">
        <f>IF(ISNUMBER(L66),L66,IF(ISNUMBER(K66),-K66,""))</f>
        <v/>
      </c>
      <c r="U66" s="21">
        <f>IF(ISNUMBER(S66),IF(ISNUMBER(S63),IF(S66&gt;S63,1.0,IF(S66=S63,0.5,0.0)),0.5),0.5)</f>
        <v/>
      </c>
      <c r="V66" s="15">
        <f>IF(ISNUMBER(S66),IF(ISNUMBER(S64),IF(S66&gt;S64,1.0,IF(S66=S64,0.5,0.0)),0.5),0.5)</f>
        <v/>
      </c>
      <c r="W66" s="15">
        <f>IF(ISNUMBER(S66),IF(ISNUMBER(S65),IF(S66&gt;S65,1.0,IF(S66=S65,0.5,0.0)),0.5),0.5)</f>
        <v/>
      </c>
      <c r="X66" s="15">
        <f>IF(ISNUMBER(T66),IF(ISNUMBER(T63),IF(T66&gt;T63,1.0,IF(T66=T63,0.5,0.0)),0.5),0.5)</f>
        <v/>
      </c>
      <c r="Y66" s="15">
        <f>IF(ISNUMBER(T66),IF(ISNUMBER(T64),IF(T66&gt;T64,1.0,IF(T66=T64,0.5,0.0)),0.5),0.5)</f>
        <v/>
      </c>
      <c r="Z66" s="15">
        <f>IF(ISNUMBER(T66),IF(ISNUMBER(T65),IF(T66&gt;T65,1.0,IF(T66=T65,0.5,0.0)),0.5),0.5)</f>
        <v/>
      </c>
      <c r="AA66" s="21">
        <f>IF(AND(ISNUMBER(S66),ISNUMBER(S63)),VLOOKUP(ABS(S66-S63),'IMP Table'!$A$2:$C$26,3)*SIGN(S66-S63),0)</f>
        <v/>
      </c>
      <c r="AB66" s="15">
        <f>IF(AND(ISNUMBER(S66),ISNUMBER(S64)),VLOOKUP(ABS(S66-S64),'IMP Table'!$A$2:$C$26,3)*SIGN(S66-S64),0)</f>
        <v/>
      </c>
      <c r="AC66" s="15">
        <f>IF(AND(ISNUMBER(S66),ISNUMBER(S65)),VLOOKUP(ABS(S66-S65),'IMP Table'!$A$2:$C$26,3)*SIGN(S66-S65),0)</f>
        <v/>
      </c>
      <c r="AD66" s="15">
        <f>IF(AND(ISNUMBER(T66),ISNUMBER(T63)),VLOOKUP(ABS(T66-T63),'IMP Table'!$A$2:$C$26,3)*SIGN(T66-T63),0)</f>
        <v/>
      </c>
      <c r="AE66" s="15">
        <f>IF(AND(ISNUMBER(T66),ISNUMBER(T64)),VLOOKUP(ABS(T66-T64),'IMP Table'!$A$2:$C$26,3)*SIGN(T66-T64),0)</f>
        <v/>
      </c>
      <c r="AF66" s="15">
        <f>IF(AND(ISNUMBER(T66),ISNUMBER(T65)),VLOOKUP(ABS(T66-T65),'IMP Table'!$A$2:$C$26,3)*SIGN(T66-T65),0)</f>
        <v/>
      </c>
    </row>
    <row r="67">
      <c r="A67" s="10" t="n">
        <v>17</v>
      </c>
      <c r="B67" s="10">
        <f>'By Round'!A48</f>
        <v/>
      </c>
      <c r="C67" s="10">
        <f>'By Round'!B48</f>
        <v/>
      </c>
      <c r="D67" s="10">
        <f>'By Round'!C48</f>
        <v/>
      </c>
      <c r="E67" s="10">
        <f>'By Round'!D48</f>
        <v/>
      </c>
      <c r="F67" s="10">
        <f>IF(ISBLANK('By Round'!F49),"",'By Round'!F49)</f>
        <v/>
      </c>
      <c r="G67">
        <f>IF(ISBLANK('By Round'!G49),"",'By Round'!G49)</f>
        <v/>
      </c>
      <c r="H67">
        <f>IF(ISBLANK('By Round'!H49),"",'By Round'!H49)</f>
        <v/>
      </c>
      <c r="I67">
        <f>IF(ISBLANK('By Round'!I49),"",'By Round'!I49)</f>
        <v/>
      </c>
      <c r="J67">
        <f>IF(ISBLANK('By Round'!J49),"",'By Round'!J49)</f>
        <v/>
      </c>
      <c r="K67">
        <f>IF(ISBLANK('By Round'!K49),"",'By Round'!K49)</f>
        <v/>
      </c>
      <c r="L67">
        <f>IF(ISBLANK('By Round'!L49),"",'By Round'!L49)</f>
        <v/>
      </c>
      <c r="M67" s="11">
        <f>AVERAGE(AA67:AC67)</f>
        <v/>
      </c>
      <c r="N67" s="12">
        <f>AVERAGE(AD67:AF67)</f>
        <v/>
      </c>
      <c r="O67" s="13">
        <f>IF(COUNT(U67:W67)&gt;0,Q67/COUNT(U67:W67),0.5)</f>
        <v/>
      </c>
      <c r="P67" s="13">
        <f>IF(COUNT(X67:Z67)&gt;0,R67/COUNT(X67:Z67),0.5)</f>
        <v/>
      </c>
      <c r="Q67" s="5">
        <f>SUM(U67:W67)</f>
        <v/>
      </c>
      <c r="R67" s="5">
        <f>SUM(X67:Z67)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IF(ISNUMBER(S67),IF(ISNUMBER(S68),IF(S67&gt;S68,1.0,IF(S67=S68,0.5,0.0)),0.5),0.5)</f>
        <v/>
      </c>
      <c r="V67">
        <f>IF(ISNUMBER(S67),IF(ISNUMBER(S69),IF(S67&gt;S69,1.0,IF(S67=S69,0.5,0.0)),0.5),0.5)</f>
        <v/>
      </c>
      <c r="W67">
        <f>IF(ISNUMBER(S67),IF(ISNUMBER(S70),IF(S67&gt;S70,1.0,IF(S67=S70,0.5,0.0)),0.5),0.5)</f>
        <v/>
      </c>
      <c r="X67">
        <f>IF(ISNUMBER(T67),IF(ISNUMBER(T68),IF(T67&gt;T68,1.0,IF(T67=T68,0.5,0.0)),0.5),0.5)</f>
        <v/>
      </c>
      <c r="Y67">
        <f>IF(ISNUMBER(T67),IF(ISNUMBER(T69),IF(T67&gt;T69,1.0,IF(T67=T69,0.5,0.0)),0.5),0.5)</f>
        <v/>
      </c>
      <c r="Z67">
        <f>IF(ISNUMBER(T67),IF(ISNUMBER(T70),IF(T67&gt;T70,1.0,IF(T67=T70,0.5,0.0)),0.5),0.5)</f>
        <v/>
      </c>
      <c r="AA67" s="14">
        <f>IF(AND(ISNUMBER(S67),ISNUMBER(S68)),VLOOKUP(ABS(S67-S68),'IMP Table'!$A$2:$C$26,3)*SIGN(S67-S68),0)</f>
        <v/>
      </c>
      <c r="AB67">
        <f>IF(AND(ISNUMBER(S67),ISNUMBER(S69)),VLOOKUP(ABS(S67-S69),'IMP Table'!$A$2:$C$26,3)*SIGN(S67-S69),0)</f>
        <v/>
      </c>
      <c r="AC67">
        <f>IF(AND(ISNUMBER(S67),ISNUMBER(S70)),VLOOKUP(ABS(S67-S70),'IMP Table'!$A$2:$C$26,3)*SIGN(S67-S70),0)</f>
        <v/>
      </c>
      <c r="AD67">
        <f>IF(AND(ISNUMBER(T67),ISNUMBER(T68)),VLOOKUP(ABS(T67-T68),'IMP Table'!$A$2:$C$26,3)*SIGN(T67-T68),0)</f>
        <v/>
      </c>
      <c r="AE67">
        <f>IF(AND(ISNUMBER(T67),ISNUMBER(T69)),VLOOKUP(ABS(T67-T69),'IMP Table'!$A$2:$C$26,3)*SIGN(T67-T69),0)</f>
        <v/>
      </c>
      <c r="AF67">
        <f>IF(AND(ISNUMBER(T67),ISNUMBER(T70)),VLOOKUP(ABS(T67-T70),'IMP Table'!$A$2:$C$26,3)*SIGN(T67-T70),0)</f>
        <v/>
      </c>
    </row>
    <row r="68">
      <c r="B68" s="10">
        <f>'By Round'!A12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AVERAGE(AA68:AC68)</f>
        <v/>
      </c>
      <c r="N68" s="12">
        <f>AVERAGE(AD68:AF68)</f>
        <v/>
      </c>
      <c r="O68" s="13">
        <f>IF(COUNT(U68:W68)&gt;0,Q68/COUNT(U68:W68),0.5)</f>
        <v/>
      </c>
      <c r="P68" s="13">
        <f>IF(COUNT(X68:Z68)&gt;0,R68/COUNT(X68:Z68),0.5)</f>
        <v/>
      </c>
      <c r="Q68" s="5">
        <f>SUM(U68:W68)</f>
        <v/>
      </c>
      <c r="R68" s="5">
        <f>SUM(X68:Z68)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IF(ISNUMBER(S68),IF(ISNUMBER(S67),IF(S68&gt;S67,1.0,IF(S68=S67,0.5,0.0)),0.5),0.5)</f>
        <v/>
      </c>
      <c r="V68">
        <f>IF(ISNUMBER(S68),IF(ISNUMBER(S69),IF(S68&gt;S69,1.0,IF(S68=S69,0.5,0.0)),0.5),0.5)</f>
        <v/>
      </c>
      <c r="W68">
        <f>IF(ISNUMBER(S68),IF(ISNUMBER(S70),IF(S68&gt;S70,1.0,IF(S68=S70,0.5,0.0)),0.5),0.5)</f>
        <v/>
      </c>
      <c r="X68">
        <f>IF(ISNUMBER(T68),IF(ISNUMBER(T67),IF(T68&gt;T67,1.0,IF(T68=T67,0.5,0.0)),0.5),0.5)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 s="14">
        <f>IF(AND(ISNUMBER(S68),ISNUMBER(S67)),VLOOKUP(ABS(S68-S67),'IMP Table'!$A$2:$C$26,3)*SIGN(S68-S67),0)</f>
        <v/>
      </c>
      <c r="AB68">
        <f>IF(AND(ISNUMBER(S68),ISNUMBER(S69)),VLOOKUP(ABS(S68-S69),'IMP Table'!$A$2:$C$26,3)*SIGN(S68-S69),0)</f>
        <v/>
      </c>
      <c r="AC68">
        <f>IF(AND(ISNUMBER(S68),ISNUMBER(S70)),VLOOKUP(ABS(S68-S70),'IMP Table'!$A$2:$C$26,3)*SIGN(S68-S70),0)</f>
        <v/>
      </c>
      <c r="AD68">
        <f>IF(AND(ISNUMBER(T68),ISNUMBER(T67)),VLOOKUP(ABS(T68-T67),'IMP Table'!$A$2:$C$26,3)*SIGN(T68-T67),0)</f>
        <v/>
      </c>
      <c r="AE68">
        <f>IF(AND(ISNUMBER(T68),ISNUMBER(T69)),VLOOKUP(ABS(T68-T69),'IMP Table'!$A$2:$C$26,3)*SIGN(T68-T69),0)</f>
        <v/>
      </c>
      <c r="AF68">
        <f>IF(AND(ISNUMBER(T68),ISNUMBER(T70)),VLOOKUP(ABS(T68-T70),'IMP Table'!$A$2:$C$26,3)*SIGN(T68-T70),0)</f>
        <v/>
      </c>
    </row>
    <row r="69">
      <c r="B69" s="10">
        <f>'By Round'!A39</f>
        <v/>
      </c>
      <c r="C69" s="10">
        <f>'By Round'!B42</f>
        <v/>
      </c>
      <c r="D69" s="10">
        <f>'By Round'!C42</f>
        <v/>
      </c>
      <c r="E69" s="10">
        <f>'By Round'!D42</f>
        <v/>
      </c>
      <c r="F69" s="10">
        <f>IF(ISBLANK('By Round'!F43),"",'By Round'!F43)</f>
        <v/>
      </c>
      <c r="G69">
        <f>IF(ISBLANK('By Round'!G43),"",'By Round'!G43)</f>
        <v/>
      </c>
      <c r="H69">
        <f>IF(ISBLANK('By Round'!H43),"",'By Round'!H43)</f>
        <v/>
      </c>
      <c r="I69">
        <f>IF(ISBLANK('By Round'!I43),"",'By Round'!I43)</f>
        <v/>
      </c>
      <c r="J69">
        <f>IF(ISBLANK('By Round'!J43),"",'By Round'!J43)</f>
        <v/>
      </c>
      <c r="K69">
        <f>IF(ISBLANK('By Round'!K43),"",'By Round'!K43)</f>
        <v/>
      </c>
      <c r="L69">
        <f>IF(ISBLANK('By Round'!L43),"",'By Round'!L43)</f>
        <v/>
      </c>
      <c r="M69" s="11">
        <f>AVERAGE(AA69:AC69)</f>
        <v/>
      </c>
      <c r="N69" s="12">
        <f>AVERAGE(AD69:AF69)</f>
        <v/>
      </c>
      <c r="O69" s="13">
        <f>IF(COUNT(U69:W69)&gt;0,Q69/COUNT(U69:W69),0.5)</f>
        <v/>
      </c>
      <c r="P69" s="13">
        <f>IF(COUNT(X69:Z69)&gt;0,R69/COUNT(X69:Z69),0.5)</f>
        <v/>
      </c>
      <c r="Q69" s="5">
        <f>SUM(U69:W69)</f>
        <v/>
      </c>
      <c r="R69" s="5">
        <f>SUM(X69:Z69)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IF(ISNUMBER(S69),IF(ISNUMBER(S67),IF(S69&gt;S67,1.0,IF(S69=S67,0.5,0.0)),0.5),0.5)</f>
        <v/>
      </c>
      <c r="V69">
        <f>IF(ISNUMBER(S69),IF(ISNUMBER(S68),IF(S69&gt;S68,1.0,IF(S69=S68,0.5,0.0)),0.5),0.5)</f>
        <v/>
      </c>
      <c r="W69">
        <f>IF(ISNUMBER(S69),IF(ISNUMBER(S70),IF(S69&gt;S70,1.0,IF(S69=S70,0.5,0.0)),0.5),0.5)</f>
        <v/>
      </c>
      <c r="X69">
        <f>IF(ISNUMBER(T69),IF(ISNUMBER(T67),IF(T69&gt;T67,1.0,IF(T69=T67,0.5,0.0)),0.5),0.5)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 s="14">
        <f>IF(AND(ISNUMBER(S69),ISNUMBER(S67)),VLOOKUP(ABS(S69-S67),'IMP Table'!$A$2:$C$26,3)*SIGN(S69-S67),0)</f>
        <v/>
      </c>
      <c r="AB69">
        <f>IF(AND(ISNUMBER(S69),ISNUMBER(S68)),VLOOKUP(ABS(S69-S68),'IMP Table'!$A$2:$C$26,3)*SIGN(S69-S68),0)</f>
        <v/>
      </c>
      <c r="AC69">
        <f>IF(AND(ISNUMBER(S69),ISNUMBER(S70)),VLOOKUP(ABS(S69-S70),'IMP Table'!$A$2:$C$26,3)*SIGN(S69-S70),0)</f>
        <v/>
      </c>
      <c r="AD69">
        <f>IF(AND(ISNUMBER(T69),ISNUMBER(T67)),VLOOKUP(ABS(T69-T67),'IMP Table'!$A$2:$C$26,3)*SIGN(T69-T67),0)</f>
        <v/>
      </c>
      <c r="AE69">
        <f>IF(AND(ISNUMBER(T69),ISNUMBER(T68)),VLOOKUP(ABS(T69-T68),'IMP Table'!$A$2:$C$26,3)*SIGN(T69-T68),0)</f>
        <v/>
      </c>
      <c r="AF69">
        <f>IF(AND(ISNUMBER(T69),ISNUMBER(T70)),VLOOKUP(ABS(T69-T70),'IMP Table'!$A$2:$C$26,3)*SIGN(T69-T70),0)</f>
        <v/>
      </c>
    </row>
    <row r="70">
      <c r="A70" s="15" t="n"/>
      <c r="B70" s="16">
        <f>'By Round'!A30</f>
        <v/>
      </c>
      <c r="C70" s="16">
        <f>'By Round'!B36</f>
        <v/>
      </c>
      <c r="D70" s="16">
        <f>'By Round'!C36</f>
        <v/>
      </c>
      <c r="E70" s="16">
        <f>'By Round'!D36</f>
        <v/>
      </c>
      <c r="F70" s="16">
        <f>IF(ISBLANK('By Round'!F37),"",'By Round'!F37)</f>
        <v/>
      </c>
      <c r="G70" s="15">
        <f>IF(ISBLANK('By Round'!G37),"",'By Round'!G37)</f>
        <v/>
      </c>
      <c r="H70" s="15">
        <f>IF(ISBLANK('By Round'!H37),"",'By Round'!H37)</f>
        <v/>
      </c>
      <c r="I70" s="15">
        <f>IF(ISBLANK('By Round'!I37),"",'By Round'!I37)</f>
        <v/>
      </c>
      <c r="J70" s="15">
        <f>IF(ISBLANK('By Round'!J37),"",'By Round'!J37)</f>
        <v/>
      </c>
      <c r="K70" s="15">
        <f>IF(ISBLANK('By Round'!K37),"",'By Round'!K37)</f>
        <v/>
      </c>
      <c r="L70" s="15">
        <f>IF(ISBLANK('By Round'!L37),"",'By Round'!L37)</f>
        <v/>
      </c>
      <c r="M70" s="17">
        <f>AVERAGE(AA70:AC70)</f>
        <v/>
      </c>
      <c r="N70" s="18">
        <f>AVERAGE(AD70:AF70)</f>
        <v/>
      </c>
      <c r="O70" s="19">
        <f>IF(COUNT(U70:W70)&gt;0,Q70/COUNT(U70:W70),0.5)</f>
        <v/>
      </c>
      <c r="P70" s="19">
        <f>IF(COUNT(X70:Z70)&gt;0,R70/COUNT(X70:Z70),0.5)</f>
        <v/>
      </c>
      <c r="Q70" s="20">
        <f>SUM(U70:W70)</f>
        <v/>
      </c>
      <c r="R70" s="20">
        <f>SUM(X70:Z70)</f>
        <v/>
      </c>
      <c r="S70" s="21">
        <f>IF(ISNUMBER(K70),K70,IF(ISNUMBER(L70),-L70,""))</f>
        <v/>
      </c>
      <c r="T70" s="15">
        <f>IF(ISNUMBER(L70),L70,IF(ISNUMBER(K70),-K70,""))</f>
        <v/>
      </c>
      <c r="U70" s="21">
        <f>IF(ISNUMBER(S70),IF(ISNUMBER(S67),IF(S70&gt;S67,1.0,IF(S70=S67,0.5,0.0)),0.5),0.5)</f>
        <v/>
      </c>
      <c r="V70" s="15">
        <f>IF(ISNUMBER(S70),IF(ISNUMBER(S68),IF(S70&gt;S68,1.0,IF(S70=S68,0.5,0.0)),0.5),0.5)</f>
        <v/>
      </c>
      <c r="W70" s="15">
        <f>IF(ISNUMBER(S70),IF(ISNUMBER(S69),IF(S70&gt;S69,1.0,IF(S70=S69,0.5,0.0)),0.5),0.5)</f>
        <v/>
      </c>
      <c r="X70" s="15">
        <f>IF(ISNUMBER(T70),IF(ISNUMBER(T67),IF(T70&gt;T67,1.0,IF(T70=T67,0.5,0.0)),0.5),0.5)</f>
        <v/>
      </c>
      <c r="Y70" s="15">
        <f>IF(ISNUMBER(T70),IF(ISNUMBER(T68),IF(T70&gt;T68,1.0,IF(T70=T68,0.5,0.0)),0.5),0.5)</f>
        <v/>
      </c>
      <c r="Z70" s="15">
        <f>IF(ISNUMBER(T70),IF(ISNUMBER(T69),IF(T70&gt;T69,1.0,IF(T70=T69,0.5,0.0)),0.5),0.5)</f>
        <v/>
      </c>
      <c r="AA70" s="21">
        <f>IF(AND(ISNUMBER(S70),ISNUMBER(S67)),VLOOKUP(ABS(S70-S67),'IMP Table'!$A$2:$C$26,3)*SIGN(S70-S67),0)</f>
        <v/>
      </c>
      <c r="AB70" s="15">
        <f>IF(AND(ISNUMBER(S70),ISNUMBER(S68)),VLOOKUP(ABS(S70-S68),'IMP Table'!$A$2:$C$26,3)*SIGN(S70-S68),0)</f>
        <v/>
      </c>
      <c r="AC70" s="15">
        <f>IF(AND(ISNUMBER(S70),ISNUMBER(S69)),VLOOKUP(ABS(S70-S69),'IMP Table'!$A$2:$C$26,3)*SIGN(S70-S69),0)</f>
        <v/>
      </c>
      <c r="AD70" s="15">
        <f>IF(AND(ISNUMBER(T70),ISNUMBER(T67)),VLOOKUP(ABS(T70-T67),'IMP Table'!$A$2:$C$26,3)*SIGN(T70-T67),0)</f>
        <v/>
      </c>
      <c r="AE70" s="15">
        <f>IF(AND(ISNUMBER(T70),ISNUMBER(T68)),VLOOKUP(ABS(T70-T68),'IMP Table'!$A$2:$C$26,3)*SIGN(T70-T68),0)</f>
        <v/>
      </c>
      <c r="AF70" s="15">
        <f>IF(AND(ISNUMBER(T70),ISNUMBER(T69)),VLOOKUP(ABS(T70-T69),'IMP Table'!$A$2:$C$26,3)*SIGN(T70-T69),0)</f>
        <v/>
      </c>
    </row>
    <row r="71">
      <c r="A71" s="10" t="n">
        <v>18</v>
      </c>
      <c r="B71" s="10">
        <f>'By Round'!A48</f>
        <v/>
      </c>
      <c r="C71" s="10">
        <f>'By Round'!B48</f>
        <v/>
      </c>
      <c r="D71" s="10">
        <f>'By Round'!C48</f>
        <v/>
      </c>
      <c r="E71" s="10">
        <f>'By Round'!D48</f>
        <v/>
      </c>
      <c r="F71" s="10">
        <f>IF(ISBLANK('By Round'!F50),"",'By Round'!F50)</f>
        <v/>
      </c>
      <c r="G71">
        <f>IF(ISBLANK('By Round'!G50),"",'By Round'!G50)</f>
        <v/>
      </c>
      <c r="H71">
        <f>IF(ISBLANK('By Round'!H50),"",'By Round'!H50)</f>
        <v/>
      </c>
      <c r="I71">
        <f>IF(ISBLANK('By Round'!I50),"",'By Round'!I50)</f>
        <v/>
      </c>
      <c r="J71">
        <f>IF(ISBLANK('By Round'!J50),"",'By Round'!J50)</f>
        <v/>
      </c>
      <c r="K71">
        <f>IF(ISBLANK('By Round'!K50),"",'By Round'!K50)</f>
        <v/>
      </c>
      <c r="L71">
        <f>IF(ISBLANK('By Round'!L50),"",'By Round'!L50)</f>
        <v/>
      </c>
      <c r="M71" s="11">
        <f>AVERAGE(AA71:AC71)</f>
        <v/>
      </c>
      <c r="N71" s="12">
        <f>AVERAGE(AD71:AF71)</f>
        <v/>
      </c>
      <c r="O71" s="13">
        <f>IF(COUNT(U71:W71)&gt;0,Q71/COUNT(U71:W71),0.5)</f>
        <v/>
      </c>
      <c r="P71" s="13">
        <f>IF(COUNT(X71:Z71)&gt;0,R71/COUNT(X71:Z71),0.5)</f>
        <v/>
      </c>
      <c r="Q71" s="5">
        <f>SUM(U71:W71)</f>
        <v/>
      </c>
      <c r="R71" s="5">
        <f>SUM(X71:Z71)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IF(ISNUMBER(S71),IF(ISNUMBER(S72),IF(S71&gt;S72,1.0,IF(S71=S72,0.5,0.0)),0.5),0.5)</f>
        <v/>
      </c>
      <c r="V71">
        <f>IF(ISNUMBER(S71),IF(ISNUMBER(S73),IF(S71&gt;S73,1.0,IF(S71=S73,0.5,0.0)),0.5),0.5)</f>
        <v/>
      </c>
      <c r="W71">
        <f>IF(ISNUMBER(S71),IF(ISNUMBER(S74),IF(S71&gt;S74,1.0,IF(S71=S74,0.5,0.0)),0.5),0.5)</f>
        <v/>
      </c>
      <c r="X71">
        <f>IF(ISNUMBER(T71),IF(ISNUMBER(T72),IF(T71&gt;T72,1.0,IF(T71=T72,0.5,0.0)),0.5),0.5)</f>
        <v/>
      </c>
      <c r="Y71">
        <f>IF(ISNUMBER(T71),IF(ISNUMBER(T73),IF(T71&gt;T73,1.0,IF(T71=T73,0.5,0.0)),0.5),0.5)</f>
        <v/>
      </c>
      <c r="Z71">
        <f>IF(ISNUMBER(T71),IF(ISNUMBER(T74),IF(T71&gt;T74,1.0,IF(T71=T74,0.5,0.0)),0.5),0.5)</f>
        <v/>
      </c>
      <c r="AA71" s="14">
        <f>IF(AND(ISNUMBER(S71),ISNUMBER(S72)),VLOOKUP(ABS(S71-S72),'IMP Table'!$A$2:$C$26,3)*SIGN(S71-S72),0)</f>
        <v/>
      </c>
      <c r="AB71">
        <f>IF(AND(ISNUMBER(S71),ISNUMBER(S73)),VLOOKUP(ABS(S71-S73),'IMP Table'!$A$2:$C$26,3)*SIGN(S71-S73),0)</f>
        <v/>
      </c>
      <c r="AC71">
        <f>IF(AND(ISNUMBER(S71),ISNUMBER(S74)),VLOOKUP(ABS(S71-S74),'IMP Table'!$A$2:$C$26,3)*SIGN(S71-S74),0)</f>
        <v/>
      </c>
      <c r="AD71">
        <f>IF(AND(ISNUMBER(T71),ISNUMBER(T72)),VLOOKUP(ABS(T71-T72),'IMP Table'!$A$2:$C$26,3)*SIGN(T71-T72),0)</f>
        <v/>
      </c>
      <c r="AE71">
        <f>IF(AND(ISNUMBER(T71),ISNUMBER(T73)),VLOOKUP(ABS(T71-T73),'IMP Table'!$A$2:$C$26,3)*SIGN(T71-T73),0)</f>
        <v/>
      </c>
      <c r="AF71">
        <f>IF(AND(ISNUMBER(T71),ISNUMBER(T74)),VLOOKUP(ABS(T71-T74),'IMP Table'!$A$2:$C$26,3)*SIGN(T71-T74),0)</f>
        <v/>
      </c>
    </row>
    <row r="72">
      <c r="B72" s="10">
        <f>'By Round'!A12</f>
        <v/>
      </c>
      <c r="C72" s="10">
        <f>'By Round'!B21</f>
        <v/>
      </c>
      <c r="D72" s="10">
        <f>'By Round'!C21</f>
        <v/>
      </c>
      <c r="E72" s="10">
        <f>'By Round'!D21</f>
        <v/>
      </c>
      <c r="F72" s="10">
        <f>IF(ISBLANK('By Round'!F23),"",'By Round'!F23)</f>
        <v/>
      </c>
      <c r="G72">
        <f>IF(ISBLANK('By Round'!G23),"",'By Round'!G23)</f>
        <v/>
      </c>
      <c r="H72">
        <f>IF(ISBLANK('By Round'!H23),"",'By Round'!H23)</f>
        <v/>
      </c>
      <c r="I72">
        <f>IF(ISBLANK('By Round'!I23),"",'By Round'!I23)</f>
        <v/>
      </c>
      <c r="J72">
        <f>IF(ISBLANK('By Round'!J23),"",'By Round'!J23)</f>
        <v/>
      </c>
      <c r="K72">
        <f>IF(ISBLANK('By Round'!K23),"",'By Round'!K23)</f>
        <v/>
      </c>
      <c r="L72">
        <f>IF(ISBLANK('By Round'!L23),"",'By Round'!L23)</f>
        <v/>
      </c>
      <c r="M72" s="11">
        <f>AVERAGE(AA72:AC72)</f>
        <v/>
      </c>
      <c r="N72" s="12">
        <f>AVERAGE(AD72:AF72)</f>
        <v/>
      </c>
      <c r="O72" s="13">
        <f>IF(COUNT(U72:W72)&gt;0,Q72/COUNT(U72:W72),0.5)</f>
        <v/>
      </c>
      <c r="P72" s="13">
        <f>IF(COUNT(X72:Z72)&gt;0,R72/COUNT(X72:Z72),0.5)</f>
        <v/>
      </c>
      <c r="Q72" s="5">
        <f>SUM(U72:W72)</f>
        <v/>
      </c>
      <c r="R72" s="5">
        <f>SUM(X72:Z72)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IF(ISNUMBER(S72),IF(ISNUMBER(S71),IF(S72&gt;S71,1.0,IF(S72=S71,0.5,0.0)),0.5),0.5)</f>
        <v/>
      </c>
      <c r="V72">
        <f>IF(ISNUMBER(S72),IF(ISNUMBER(S73),IF(S72&gt;S73,1.0,IF(S72=S73,0.5,0.0)),0.5),0.5)</f>
        <v/>
      </c>
      <c r="W72">
        <f>IF(ISNUMBER(S72),IF(ISNUMBER(S74),IF(S72&gt;S74,1.0,IF(S72=S74,0.5,0.0)),0.5),0.5)</f>
        <v/>
      </c>
      <c r="X72">
        <f>IF(ISNUMBER(T72),IF(ISNUMBER(T71),IF(T72&gt;T71,1.0,IF(T72=T71,0.5,0.0)),0.5),0.5)</f>
        <v/>
      </c>
      <c r="Y72">
        <f>IF(ISNUMBER(T72),IF(ISNUMBER(T73),IF(T72&gt;T73,1.0,IF(T72=T73,0.5,0.0)),0.5),0.5)</f>
        <v/>
      </c>
      <c r="Z72">
        <f>IF(ISNUMBER(T72),IF(ISNUMBER(T74),IF(T72&gt;T74,1.0,IF(T72=T74,0.5,0.0)),0.5),0.5)</f>
        <v/>
      </c>
      <c r="AA72" s="14">
        <f>IF(AND(ISNUMBER(S72),ISNUMBER(S71)),VLOOKUP(ABS(S72-S71),'IMP Table'!$A$2:$C$26,3)*SIGN(S72-S71),0)</f>
        <v/>
      </c>
      <c r="AB72">
        <f>IF(AND(ISNUMBER(S72),ISNUMBER(S73)),VLOOKUP(ABS(S72-S73),'IMP Table'!$A$2:$C$26,3)*SIGN(S72-S73),0)</f>
        <v/>
      </c>
      <c r="AC72">
        <f>IF(AND(ISNUMBER(S72),ISNUMBER(S74)),VLOOKUP(ABS(S72-S74),'IMP Table'!$A$2:$C$26,3)*SIGN(S72-S74),0)</f>
        <v/>
      </c>
      <c r="AD72">
        <f>IF(AND(ISNUMBER(T72),ISNUMBER(T71)),VLOOKUP(ABS(T72-T71),'IMP Table'!$A$2:$C$26,3)*SIGN(T72-T71),0)</f>
        <v/>
      </c>
      <c r="AE72">
        <f>IF(AND(ISNUMBER(T72),ISNUMBER(T73)),VLOOKUP(ABS(T72-T73),'IMP Table'!$A$2:$C$26,3)*SIGN(T72-T73),0)</f>
        <v/>
      </c>
      <c r="AF72">
        <f>IF(AND(ISNUMBER(T72),ISNUMBER(T74)),VLOOKUP(ABS(T72-T74),'IMP Table'!$A$2:$C$26,3)*SIGN(T72-T74),0)</f>
        <v/>
      </c>
    </row>
    <row r="73">
      <c r="B73" s="10">
        <f>'By Round'!A39</f>
        <v/>
      </c>
      <c r="C73" s="10">
        <f>'By Round'!B42</f>
        <v/>
      </c>
      <c r="D73" s="10">
        <f>'By Round'!C42</f>
        <v/>
      </c>
      <c r="E73" s="10">
        <f>'By Round'!D42</f>
        <v/>
      </c>
      <c r="F73" s="10">
        <f>IF(ISBLANK('By Round'!F44),"",'By Round'!F44)</f>
        <v/>
      </c>
      <c r="G73">
        <f>IF(ISBLANK('By Round'!G44),"",'By Round'!G44)</f>
        <v/>
      </c>
      <c r="H73">
        <f>IF(ISBLANK('By Round'!H44),"",'By Round'!H44)</f>
        <v/>
      </c>
      <c r="I73">
        <f>IF(ISBLANK('By Round'!I44),"",'By Round'!I44)</f>
        <v/>
      </c>
      <c r="J73">
        <f>IF(ISBLANK('By Round'!J44),"",'By Round'!J44)</f>
        <v/>
      </c>
      <c r="K73">
        <f>IF(ISBLANK('By Round'!K44),"",'By Round'!K44)</f>
        <v/>
      </c>
      <c r="L73">
        <f>IF(ISBLANK('By Round'!L44),"",'By Round'!L44)</f>
        <v/>
      </c>
      <c r="M73" s="11">
        <f>AVERAGE(AA73:AC73)</f>
        <v/>
      </c>
      <c r="N73" s="12">
        <f>AVERAGE(AD73:AF73)</f>
        <v/>
      </c>
      <c r="O73" s="13">
        <f>IF(COUNT(U73:W73)&gt;0,Q73/COUNT(U73:W73),0.5)</f>
        <v/>
      </c>
      <c r="P73" s="13">
        <f>IF(COUNT(X73:Z73)&gt;0,R73/COUNT(X73:Z73),0.5)</f>
        <v/>
      </c>
      <c r="Q73" s="5">
        <f>SUM(U73:W73)</f>
        <v/>
      </c>
      <c r="R73" s="5">
        <f>SUM(X73:Z73)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IF(ISNUMBER(S73),IF(ISNUMBER(S71),IF(S73&gt;S71,1.0,IF(S73=S71,0.5,0.0)),0.5),0.5)</f>
        <v/>
      </c>
      <c r="V73">
        <f>IF(ISNUMBER(S73),IF(ISNUMBER(S72),IF(S73&gt;S72,1.0,IF(S73=S72,0.5,0.0)),0.5),0.5)</f>
        <v/>
      </c>
      <c r="W73">
        <f>IF(ISNUMBER(S73),IF(ISNUMBER(S74),IF(S73&gt;S74,1.0,IF(S73=S74,0.5,0.0)),0.5),0.5)</f>
        <v/>
      </c>
      <c r="X73">
        <f>IF(ISNUMBER(T73),IF(ISNUMBER(T71),IF(T73&gt;T71,1.0,IF(T73=T71,0.5,0.0)),0.5),0.5)</f>
        <v/>
      </c>
      <c r="Y73">
        <f>IF(ISNUMBER(T73),IF(ISNUMBER(T72),IF(T73&gt;T72,1.0,IF(T73=T72,0.5,0.0)),0.5),0.5)</f>
        <v/>
      </c>
      <c r="Z73">
        <f>IF(ISNUMBER(T73),IF(ISNUMBER(T74),IF(T73&gt;T74,1.0,IF(T73=T74,0.5,0.0)),0.5),0.5)</f>
        <v/>
      </c>
      <c r="AA73" s="14">
        <f>IF(AND(ISNUMBER(S73),ISNUMBER(S71)),VLOOKUP(ABS(S73-S71),'IMP Table'!$A$2:$C$26,3)*SIGN(S73-S71),0)</f>
        <v/>
      </c>
      <c r="AB73">
        <f>IF(AND(ISNUMBER(S73),ISNUMBER(S72)),VLOOKUP(ABS(S73-S72),'IMP Table'!$A$2:$C$26,3)*SIGN(S73-S72),0)</f>
        <v/>
      </c>
      <c r="AC73">
        <f>IF(AND(ISNUMBER(S73),ISNUMBER(S74)),VLOOKUP(ABS(S73-S74),'IMP Table'!$A$2:$C$26,3)*SIGN(S73-S74),0)</f>
        <v/>
      </c>
      <c r="AD73">
        <f>IF(AND(ISNUMBER(T73),ISNUMBER(T71)),VLOOKUP(ABS(T73-T71),'IMP Table'!$A$2:$C$26,3)*SIGN(T73-T71),0)</f>
        <v/>
      </c>
      <c r="AE73">
        <f>IF(AND(ISNUMBER(T73),ISNUMBER(T72)),VLOOKUP(ABS(T73-T72),'IMP Table'!$A$2:$C$26,3)*SIGN(T73-T72),0)</f>
        <v/>
      </c>
      <c r="AF73">
        <f>IF(AND(ISNUMBER(T73),ISNUMBER(T74)),VLOOKUP(ABS(T73-T74),'IMP Table'!$A$2:$C$26,3)*SIGN(T73-T74),0)</f>
        <v/>
      </c>
    </row>
    <row r="74">
      <c r="A74" s="15" t="n"/>
      <c r="B74" s="16">
        <f>'By Round'!A30</f>
        <v/>
      </c>
      <c r="C74" s="16">
        <f>'By Round'!B36</f>
        <v/>
      </c>
      <c r="D74" s="16">
        <f>'By Round'!C36</f>
        <v/>
      </c>
      <c r="E74" s="16">
        <f>'By Round'!D36</f>
        <v/>
      </c>
      <c r="F74" s="16">
        <f>IF(ISBLANK('By Round'!F38),"",'By Round'!F38)</f>
        <v/>
      </c>
      <c r="G74" s="15">
        <f>IF(ISBLANK('By Round'!G38),"",'By Round'!G38)</f>
        <v/>
      </c>
      <c r="H74" s="15">
        <f>IF(ISBLANK('By Round'!H38),"",'By Round'!H38)</f>
        <v/>
      </c>
      <c r="I74" s="15">
        <f>IF(ISBLANK('By Round'!I38),"",'By Round'!I38)</f>
        <v/>
      </c>
      <c r="J74" s="15">
        <f>IF(ISBLANK('By Round'!J38),"",'By Round'!J38)</f>
        <v/>
      </c>
      <c r="K74" s="15">
        <f>IF(ISBLANK('By Round'!K38),"",'By Round'!K38)</f>
        <v/>
      </c>
      <c r="L74" s="15">
        <f>IF(ISBLANK('By Round'!L38),"",'By Round'!L38)</f>
        <v/>
      </c>
      <c r="M74" s="17">
        <f>AVERAGE(AA74:AC74)</f>
        <v/>
      </c>
      <c r="N74" s="18">
        <f>AVERAGE(AD74:AF74)</f>
        <v/>
      </c>
      <c r="O74" s="19">
        <f>IF(COUNT(U74:W74)&gt;0,Q74/COUNT(U74:W74),0.5)</f>
        <v/>
      </c>
      <c r="P74" s="19">
        <f>IF(COUNT(X74:Z74)&gt;0,R74/COUNT(X74:Z74),0.5)</f>
        <v/>
      </c>
      <c r="Q74" s="20">
        <f>SUM(U74:W74)</f>
        <v/>
      </c>
      <c r="R74" s="20">
        <f>SUM(X74:Z74)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IF(ISNUMBER(S74),IF(ISNUMBER(S71),IF(S74&gt;S71,1.0,IF(S74=S71,0.5,0.0)),0.5),0.5)</f>
        <v/>
      </c>
      <c r="V74" s="15">
        <f>IF(ISNUMBER(S74),IF(ISNUMBER(S72),IF(S74&gt;S72,1.0,IF(S74=S72,0.5,0.0)),0.5),0.5)</f>
        <v/>
      </c>
      <c r="W74" s="15">
        <f>IF(ISNUMBER(S74),IF(ISNUMBER(S73),IF(S74&gt;S73,1.0,IF(S74=S73,0.5,0.0)),0.5),0.5)</f>
        <v/>
      </c>
      <c r="X74" s="15">
        <f>IF(ISNUMBER(T74),IF(ISNUMBER(T71),IF(T74&gt;T71,1.0,IF(T74=T71,0.5,0.0)),0.5),0.5)</f>
        <v/>
      </c>
      <c r="Y74" s="15">
        <f>IF(ISNUMBER(T74),IF(ISNUMBER(T72),IF(T74&gt;T72,1.0,IF(T74=T72,0.5,0.0)),0.5),0.5)</f>
        <v/>
      </c>
      <c r="Z74" s="15">
        <f>IF(ISNUMBER(T74),IF(ISNUMBER(T73),IF(T74&gt;T73,1.0,IF(T74=T73,0.5,0.0)),0.5),0.5)</f>
        <v/>
      </c>
      <c r="AA74" s="21">
        <f>IF(AND(ISNUMBER(S74),ISNUMBER(S71)),VLOOKUP(ABS(S74-S71),'IMP Table'!$A$2:$C$26,3)*SIGN(S74-S71),0)</f>
        <v/>
      </c>
      <c r="AB74" s="15">
        <f>IF(AND(ISNUMBER(S74),ISNUMBER(S72)),VLOOKUP(ABS(S74-S72),'IMP Table'!$A$2:$C$26,3)*SIGN(S74-S72),0)</f>
        <v/>
      </c>
      <c r="AC74" s="15">
        <f>IF(AND(ISNUMBER(S74),ISNUMBER(S73)),VLOOKUP(ABS(S74-S73),'IMP Table'!$A$2:$C$26,3)*SIGN(S74-S73),0)</f>
        <v/>
      </c>
      <c r="AD74" s="15">
        <f>IF(AND(ISNUMBER(T74),ISNUMBER(T71)),VLOOKUP(ABS(T74-T71),'IMP Table'!$A$2:$C$26,3)*SIGN(T74-T71),0)</f>
        <v/>
      </c>
      <c r="AE74" s="15">
        <f>IF(AND(ISNUMBER(T74),ISNUMBER(T72)),VLOOKUP(ABS(T74-T72),'IMP Table'!$A$2:$C$26,3)*SIGN(T74-T72),0)</f>
        <v/>
      </c>
      <c r="AF74" s="15">
        <f>IF(AND(ISNUMBER(T74),ISNUMBER(T73)),VLOOKUP(ABS(T74-T73),'IMP Table'!$A$2:$C$26,3)*SIGN(T74-T73),0)</f>
        <v/>
      </c>
    </row>
    <row r="75">
      <c r="A75" s="10" t="n">
        <v>19</v>
      </c>
      <c r="B75" s="10">
        <f>'By Round'!A57</f>
        <v/>
      </c>
      <c r="C75" s="10">
        <f>'By Round'!B57</f>
        <v/>
      </c>
      <c r="D75" s="10">
        <f>'By Round'!C57</f>
        <v/>
      </c>
      <c r="E75" s="10">
        <f>'By Round'!D57</f>
        <v/>
      </c>
      <c r="F75" s="10">
        <f>IF(ISBLANK('By Round'!F57),"",'By Round'!F57)</f>
        <v/>
      </c>
      <c r="G75">
        <f>IF(ISBLANK('By Round'!G57),"",'By Round'!G57)</f>
        <v/>
      </c>
      <c r="H75">
        <f>IF(ISBLANK('By Round'!H57),"",'By Round'!H57)</f>
        <v/>
      </c>
      <c r="I75">
        <f>IF(ISBLANK('By Round'!I57),"",'By Round'!I57)</f>
        <v/>
      </c>
      <c r="J75">
        <f>IF(ISBLANK('By Round'!J57),"",'By Round'!J57)</f>
        <v/>
      </c>
      <c r="K75">
        <f>IF(ISBLANK('By Round'!K57),"",'By Round'!K57)</f>
        <v/>
      </c>
      <c r="L75">
        <f>IF(ISBLANK('By Round'!L57),"",'By Round'!L57)</f>
        <v/>
      </c>
      <c r="M75" s="11">
        <f>AVERAGE(AA75:AC75)</f>
        <v/>
      </c>
      <c r="N75" s="12">
        <f>AVERAGE(AD75:AF75)</f>
        <v/>
      </c>
      <c r="O75" s="13">
        <f>IF(COUNT(U75:W75)&gt;0,Q75/COUNT(U75:W75),0.5)</f>
        <v/>
      </c>
      <c r="P75" s="13">
        <f>IF(COUNT(X75:Z75)&gt;0,R75/COUNT(X75:Z75),0.5)</f>
        <v/>
      </c>
      <c r="Q75" s="5">
        <f>SUM(U75:W75)</f>
        <v/>
      </c>
      <c r="R75" s="5">
        <f>SUM(X75:Z75)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IF(ISNUMBER(S75),IF(ISNUMBER(S76),IF(S75&gt;S76,1.0,IF(S75=S76,0.5,0.0)),0.5),0.5)</f>
        <v/>
      </c>
      <c r="V75">
        <f>IF(ISNUMBER(S75),IF(ISNUMBER(S77),IF(S75&gt;S77,1.0,IF(S75=S77,0.5,0.0)),0.5),0.5)</f>
        <v/>
      </c>
      <c r="W75">
        <f>IF(ISNUMBER(S75),IF(ISNUMBER(S78),IF(S75&gt;S78,1.0,IF(S75=S78,0.5,0.0)),0.5),0.5)</f>
        <v/>
      </c>
      <c r="X75">
        <f>IF(ISNUMBER(T75),IF(ISNUMBER(T76),IF(T75&gt;T76,1.0,IF(T75=T76,0.5,0.0)),0.5),0.5)</f>
        <v/>
      </c>
      <c r="Y75">
        <f>IF(ISNUMBER(T75),IF(ISNUMBER(T77),IF(T75&gt;T77,1.0,IF(T75=T77,0.5,0.0)),0.5),0.5)</f>
        <v/>
      </c>
      <c r="Z75">
        <f>IF(ISNUMBER(T75),IF(ISNUMBER(T78),IF(T75&gt;T78,1.0,IF(T75=T78,0.5,0.0)),0.5),0.5)</f>
        <v/>
      </c>
      <c r="AA75" s="14">
        <f>IF(AND(ISNUMBER(S75),ISNUMBER(S76)),VLOOKUP(ABS(S75-S76),'IMP Table'!$A$2:$C$26,3)*SIGN(S75-S76),0)</f>
        <v/>
      </c>
      <c r="AB75">
        <f>IF(AND(ISNUMBER(S75),ISNUMBER(S77)),VLOOKUP(ABS(S75-S77),'IMP Table'!$A$2:$C$26,3)*SIGN(S75-S77),0)</f>
        <v/>
      </c>
      <c r="AC75">
        <f>IF(AND(ISNUMBER(S75),ISNUMBER(S78)),VLOOKUP(ABS(S75-S78),'IMP Table'!$A$2:$C$26,3)*SIGN(S75-S78),0)</f>
        <v/>
      </c>
      <c r="AD75">
        <f>IF(AND(ISNUMBER(T75),ISNUMBER(T76)),VLOOKUP(ABS(T75-T76),'IMP Table'!$A$2:$C$26,3)*SIGN(T75-T76),0)</f>
        <v/>
      </c>
      <c r="AE75">
        <f>IF(AND(ISNUMBER(T75),ISNUMBER(T77)),VLOOKUP(ABS(T75-T77),'IMP Table'!$A$2:$C$26,3)*SIGN(T75-T77),0)</f>
        <v/>
      </c>
      <c r="AF75">
        <f>IF(AND(ISNUMBER(T75),ISNUMBER(T78)),VLOOKUP(ABS(T75-T78),'IMP Table'!$A$2:$C$26,3)*SIGN(T75-T78),0)</f>
        <v/>
      </c>
    </row>
    <row r="76">
      <c r="B76" s="10">
        <f>'By Round'!A39</f>
        <v/>
      </c>
      <c r="C76" s="10">
        <f>'By Round'!B45</f>
        <v/>
      </c>
      <c r="D76" s="10">
        <f>'By Round'!C45</f>
        <v/>
      </c>
      <c r="E76" s="10">
        <f>'By Round'!D45</f>
        <v/>
      </c>
      <c r="F76" s="10">
        <f>IF(ISBLANK('By Round'!F45),"",'By Round'!F45)</f>
        <v/>
      </c>
      <c r="G76">
        <f>IF(ISBLANK('By Round'!G45),"",'By Round'!G45)</f>
        <v/>
      </c>
      <c r="H76">
        <f>IF(ISBLANK('By Round'!H45),"",'By Round'!H45)</f>
        <v/>
      </c>
      <c r="I76">
        <f>IF(ISBLANK('By Round'!I45),"",'By Round'!I45)</f>
        <v/>
      </c>
      <c r="J76">
        <f>IF(ISBLANK('By Round'!J45),"",'By Round'!J45)</f>
        <v/>
      </c>
      <c r="K76">
        <f>IF(ISBLANK('By Round'!K45),"",'By Round'!K45)</f>
        <v/>
      </c>
      <c r="L76">
        <f>IF(ISBLANK('By Round'!L45),"",'By Round'!L45)</f>
        <v/>
      </c>
      <c r="M76" s="11">
        <f>AVERAGE(AA76:AC76)</f>
        <v/>
      </c>
      <c r="N76" s="12">
        <f>AVERAGE(AD76:AF76)</f>
        <v/>
      </c>
      <c r="O76" s="13">
        <f>IF(COUNT(U76:W76)&gt;0,Q76/COUNT(U76:W76),0.5)</f>
        <v/>
      </c>
      <c r="P76" s="13">
        <f>IF(COUNT(X76:Z76)&gt;0,R76/COUNT(X76:Z76),0.5)</f>
        <v/>
      </c>
      <c r="Q76" s="5">
        <f>SUM(U76:W76)</f>
        <v/>
      </c>
      <c r="R76" s="5">
        <f>SUM(X76:Z76)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IF(ISNUMBER(S76),IF(ISNUMBER(S75),IF(S76&gt;S75,1.0,IF(S76=S75,0.5,0.0)),0.5),0.5)</f>
        <v/>
      </c>
      <c r="V76">
        <f>IF(ISNUMBER(S76),IF(ISNUMBER(S77),IF(S76&gt;S77,1.0,IF(S76=S77,0.5,0.0)),0.5),0.5)</f>
        <v/>
      </c>
      <c r="W76">
        <f>IF(ISNUMBER(S76),IF(ISNUMBER(S78),IF(S76&gt;S78,1.0,IF(S76=S78,0.5,0.0)),0.5),0.5)</f>
        <v/>
      </c>
      <c r="X76">
        <f>IF(ISNUMBER(T76),IF(ISNUMBER(T75),IF(T76&gt;T75,1.0,IF(T76=T75,0.5,0.0)),0.5),0.5)</f>
        <v/>
      </c>
      <c r="Y76">
        <f>IF(ISNUMBER(T76),IF(ISNUMBER(T77),IF(T76&gt;T77,1.0,IF(T76=T77,0.5,0.0)),0.5),0.5)</f>
        <v/>
      </c>
      <c r="Z76">
        <f>IF(ISNUMBER(T76),IF(ISNUMBER(T78),IF(T76&gt;T78,1.0,IF(T76=T78,0.5,0.0)),0.5),0.5)</f>
        <v/>
      </c>
      <c r="AA76" s="14">
        <f>IF(AND(ISNUMBER(S76),ISNUMBER(S75)),VLOOKUP(ABS(S76-S75),'IMP Table'!$A$2:$C$26,3)*SIGN(S76-S75),0)</f>
        <v/>
      </c>
      <c r="AB76">
        <f>IF(AND(ISNUMBER(S76),ISNUMBER(S77)),VLOOKUP(ABS(S76-S77),'IMP Table'!$A$2:$C$26,3)*SIGN(S76-S77),0)</f>
        <v/>
      </c>
      <c r="AC76">
        <f>IF(AND(ISNUMBER(S76),ISNUMBER(S78)),VLOOKUP(ABS(S76-S78),'IMP Table'!$A$2:$C$26,3)*SIGN(S76-S78),0)</f>
        <v/>
      </c>
      <c r="AD76">
        <f>IF(AND(ISNUMBER(T76),ISNUMBER(T75)),VLOOKUP(ABS(T76-T75),'IMP Table'!$A$2:$C$26,3)*SIGN(T76-T75),0)</f>
        <v/>
      </c>
      <c r="AE76">
        <f>IF(AND(ISNUMBER(T76),ISNUMBER(T77)),VLOOKUP(ABS(T76-T77),'IMP Table'!$A$2:$C$26,3)*SIGN(T76-T77),0)</f>
        <v/>
      </c>
      <c r="AF76">
        <f>IF(AND(ISNUMBER(T76),ISNUMBER(T78)),VLOOKUP(ABS(T76-T78),'IMP Table'!$A$2:$C$26,3)*SIGN(T76-T78),0)</f>
        <v/>
      </c>
    </row>
    <row r="77">
      <c r="B77" s="10">
        <f>'By Round'!A21</f>
        <v/>
      </c>
      <c r="C77" s="10">
        <f>'By Round'!B30</f>
        <v/>
      </c>
      <c r="D77" s="10">
        <f>'By Round'!C30</f>
        <v/>
      </c>
      <c r="E77" s="10">
        <f>'By Round'!D30</f>
        <v/>
      </c>
      <c r="F77" s="10">
        <f>IF(ISBLANK('By Round'!F30),"",'By Round'!F30)</f>
        <v/>
      </c>
      <c r="G77">
        <f>IF(ISBLANK('By Round'!G30),"",'By Round'!G30)</f>
        <v/>
      </c>
      <c r="H77">
        <f>IF(ISBLANK('By Round'!H30),"",'By Round'!H30)</f>
        <v/>
      </c>
      <c r="I77">
        <f>IF(ISBLANK('By Round'!I30),"",'By Round'!I30)</f>
        <v/>
      </c>
      <c r="J77">
        <f>IF(ISBLANK('By Round'!J30),"",'By Round'!J30)</f>
        <v/>
      </c>
      <c r="K77">
        <f>IF(ISBLANK('By Round'!K30),"",'By Round'!K30)</f>
        <v/>
      </c>
      <c r="L77">
        <f>IF(ISBLANK('By Round'!L30),"",'By Round'!L30)</f>
        <v/>
      </c>
      <c r="M77" s="11">
        <f>AVERAGE(AA77:AC77)</f>
        <v/>
      </c>
      <c r="N77" s="12">
        <f>AVERAGE(AD77:AF77)</f>
        <v/>
      </c>
      <c r="O77" s="13">
        <f>IF(COUNT(U77:W77)&gt;0,Q77/COUNT(U77:W77),0.5)</f>
        <v/>
      </c>
      <c r="P77" s="13">
        <f>IF(COUNT(X77:Z77)&gt;0,R77/COUNT(X77:Z77),0.5)</f>
        <v/>
      </c>
      <c r="Q77" s="5">
        <f>SUM(U77:W77)</f>
        <v/>
      </c>
      <c r="R77" s="5">
        <f>SUM(X77:Z77)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IF(ISNUMBER(S77),IF(ISNUMBER(S75),IF(S77&gt;S75,1.0,IF(S77=S75,0.5,0.0)),0.5),0.5)</f>
        <v/>
      </c>
      <c r="V77">
        <f>IF(ISNUMBER(S77),IF(ISNUMBER(S76),IF(S77&gt;S76,1.0,IF(S77=S76,0.5,0.0)),0.5),0.5)</f>
        <v/>
      </c>
      <c r="W77">
        <f>IF(ISNUMBER(S77),IF(ISNUMBER(S78),IF(S77&gt;S78,1.0,IF(S77=S78,0.5,0.0)),0.5),0.5)</f>
        <v/>
      </c>
      <c r="X77">
        <f>IF(ISNUMBER(T77),IF(ISNUMBER(T75),IF(T77&gt;T75,1.0,IF(T77=T75,0.5,0.0)),0.5),0.5)</f>
        <v/>
      </c>
      <c r="Y77">
        <f>IF(ISNUMBER(T77),IF(ISNUMBER(T76),IF(T77&gt;T76,1.0,IF(T77=T76,0.5,0.0)),0.5),0.5)</f>
        <v/>
      </c>
      <c r="Z77">
        <f>IF(ISNUMBER(T77),IF(ISNUMBER(T78),IF(T77&gt;T78,1.0,IF(T77=T78,0.5,0.0)),0.5),0.5)</f>
        <v/>
      </c>
      <c r="AA77" s="14">
        <f>IF(AND(ISNUMBER(S77),ISNUMBER(S75)),VLOOKUP(ABS(S77-S75),'IMP Table'!$A$2:$C$26,3)*SIGN(S77-S75),0)</f>
        <v/>
      </c>
      <c r="AB77">
        <f>IF(AND(ISNUMBER(S77),ISNUMBER(S76)),VLOOKUP(ABS(S77-S76),'IMP Table'!$A$2:$C$26,3)*SIGN(S77-S76),0)</f>
        <v/>
      </c>
      <c r="AC77">
        <f>IF(AND(ISNUMBER(S77),ISNUMBER(S78)),VLOOKUP(ABS(S77-S78),'IMP Table'!$A$2:$C$26,3)*SIGN(S77-S78),0)</f>
        <v/>
      </c>
      <c r="AD77">
        <f>IF(AND(ISNUMBER(T77),ISNUMBER(T75)),VLOOKUP(ABS(T77-T75),'IMP Table'!$A$2:$C$26,3)*SIGN(T77-T75),0)</f>
        <v/>
      </c>
      <c r="AE77">
        <f>IF(AND(ISNUMBER(T77),ISNUMBER(T76)),VLOOKUP(ABS(T77-T76),'IMP Table'!$A$2:$C$26,3)*SIGN(T77-T76),0)</f>
        <v/>
      </c>
      <c r="AF77">
        <f>IF(AND(ISNUMBER(T77),ISNUMBER(T78)),VLOOKUP(ABS(T77-T78),'IMP Table'!$A$2:$C$26,3)*SIGN(T77-T78),0)</f>
        <v/>
      </c>
    </row>
    <row r="78">
      <c r="A78" s="15" t="n"/>
      <c r="B78" s="16">
        <f>'By Round'!A48</f>
        <v/>
      </c>
      <c r="C78" s="16">
        <f>'By Round'!B51</f>
        <v/>
      </c>
      <c r="D78" s="16">
        <f>'By Round'!C51</f>
        <v/>
      </c>
      <c r="E78" s="16">
        <f>'By Round'!D51</f>
        <v/>
      </c>
      <c r="F78" s="16">
        <f>IF(ISBLANK('By Round'!F51),"",'By Round'!F51)</f>
        <v/>
      </c>
      <c r="G78" s="15">
        <f>IF(ISBLANK('By Round'!G51),"",'By Round'!G51)</f>
        <v/>
      </c>
      <c r="H78" s="15">
        <f>IF(ISBLANK('By Round'!H51),"",'By Round'!H51)</f>
        <v/>
      </c>
      <c r="I78" s="15">
        <f>IF(ISBLANK('By Round'!I51),"",'By Round'!I51)</f>
        <v/>
      </c>
      <c r="J78" s="15">
        <f>IF(ISBLANK('By Round'!J51),"",'By Round'!J51)</f>
        <v/>
      </c>
      <c r="K78" s="15">
        <f>IF(ISBLANK('By Round'!K51),"",'By Round'!K51)</f>
        <v/>
      </c>
      <c r="L78" s="15">
        <f>IF(ISBLANK('By Round'!L51),"",'By Round'!L51)</f>
        <v/>
      </c>
      <c r="M78" s="17">
        <f>AVERAGE(AA78:AC78)</f>
        <v/>
      </c>
      <c r="N78" s="18">
        <f>AVERAGE(AD78:AF78)</f>
        <v/>
      </c>
      <c r="O78" s="19">
        <f>IF(COUNT(U78:W78)&gt;0,Q78/COUNT(U78:W78),0.5)</f>
        <v/>
      </c>
      <c r="P78" s="19">
        <f>IF(COUNT(X78:Z78)&gt;0,R78/COUNT(X78:Z78),0.5)</f>
        <v/>
      </c>
      <c r="Q78" s="20">
        <f>SUM(U78:W78)</f>
        <v/>
      </c>
      <c r="R78" s="20">
        <f>SUM(X78:Z78)</f>
        <v/>
      </c>
      <c r="S78" s="21">
        <f>IF(ISNUMBER(K78),K78,IF(ISNUMBER(L78),-L78,""))</f>
        <v/>
      </c>
      <c r="T78" s="15">
        <f>IF(ISNUMBER(L78),L78,IF(ISNUMBER(K78),-K78,""))</f>
        <v/>
      </c>
      <c r="U78" s="21">
        <f>IF(ISNUMBER(S78),IF(ISNUMBER(S75),IF(S78&gt;S75,1.0,IF(S78=S75,0.5,0.0)),0.5),0.5)</f>
        <v/>
      </c>
      <c r="V78" s="15">
        <f>IF(ISNUMBER(S78),IF(ISNUMBER(S76),IF(S78&gt;S76,1.0,IF(S78=S76,0.5,0.0)),0.5),0.5)</f>
        <v/>
      </c>
      <c r="W78" s="15">
        <f>IF(ISNUMBER(S78),IF(ISNUMBER(S77),IF(S78&gt;S77,1.0,IF(S78=S77,0.5,0.0)),0.5),0.5)</f>
        <v/>
      </c>
      <c r="X78" s="15">
        <f>IF(ISNUMBER(T78),IF(ISNUMBER(T75),IF(T78&gt;T75,1.0,IF(T78=T75,0.5,0.0)),0.5),0.5)</f>
        <v/>
      </c>
      <c r="Y78" s="15">
        <f>IF(ISNUMBER(T78),IF(ISNUMBER(T76),IF(T78&gt;T76,1.0,IF(T78=T76,0.5,0.0)),0.5),0.5)</f>
        <v/>
      </c>
      <c r="Z78" s="15">
        <f>IF(ISNUMBER(T78),IF(ISNUMBER(T77),IF(T78&gt;T77,1.0,IF(T78=T77,0.5,0.0)),0.5),0.5)</f>
        <v/>
      </c>
      <c r="AA78" s="21">
        <f>IF(AND(ISNUMBER(S78),ISNUMBER(S75)),VLOOKUP(ABS(S78-S75),'IMP Table'!$A$2:$C$26,3)*SIGN(S78-S75),0)</f>
        <v/>
      </c>
      <c r="AB78" s="15">
        <f>IF(AND(ISNUMBER(S78),ISNUMBER(S76)),VLOOKUP(ABS(S78-S76),'IMP Table'!$A$2:$C$26,3)*SIGN(S78-S76),0)</f>
        <v/>
      </c>
      <c r="AC78" s="15">
        <f>IF(AND(ISNUMBER(S78),ISNUMBER(S77)),VLOOKUP(ABS(S78-S77),'IMP Table'!$A$2:$C$26,3)*SIGN(S78-S77),0)</f>
        <v/>
      </c>
      <c r="AD78" s="15">
        <f>IF(AND(ISNUMBER(T78),ISNUMBER(T75)),VLOOKUP(ABS(T78-T75),'IMP Table'!$A$2:$C$26,3)*SIGN(T78-T75),0)</f>
        <v/>
      </c>
      <c r="AE78" s="15">
        <f>IF(AND(ISNUMBER(T78),ISNUMBER(T76)),VLOOKUP(ABS(T78-T76),'IMP Table'!$A$2:$C$26,3)*SIGN(T78-T76),0)</f>
        <v/>
      </c>
      <c r="AF78" s="15">
        <f>IF(AND(ISNUMBER(T78),ISNUMBER(T77)),VLOOKUP(ABS(T78-T77),'IMP Table'!$A$2:$C$26,3)*SIGN(T78-T77),0)</f>
        <v/>
      </c>
    </row>
    <row r="79">
      <c r="A79" s="10" t="n">
        <v>20</v>
      </c>
      <c r="B79" s="10">
        <f>'By Round'!A57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AVERAGE(AA79:AC79)</f>
        <v/>
      </c>
      <c r="N79" s="12">
        <f>AVERAGE(AD79:AF79)</f>
        <v/>
      </c>
      <c r="O79" s="13">
        <f>IF(COUNT(U79:W79)&gt;0,Q79/COUNT(U79:W79),0.5)</f>
        <v/>
      </c>
      <c r="P79" s="13">
        <f>IF(COUNT(X79:Z79)&gt;0,R79/COUNT(X79:Z79),0.5)</f>
        <v/>
      </c>
      <c r="Q79" s="5">
        <f>SUM(U79:W79)</f>
        <v/>
      </c>
      <c r="R79" s="5">
        <f>SUM(X79:Z79)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IF(ISNUMBER(S79),IF(ISNUMBER(S80),IF(S79&gt;S80,1.0,IF(S79=S80,0.5,0.0)),0.5),0.5)</f>
        <v/>
      </c>
      <c r="V79">
        <f>IF(ISNUMBER(S79),IF(ISNUMBER(S81),IF(S79&gt;S81,1.0,IF(S79=S81,0.5,0.0)),0.5),0.5)</f>
        <v/>
      </c>
      <c r="W79">
        <f>IF(ISNUMBER(S79),IF(ISNUMBER(S82),IF(S79&gt;S82,1.0,IF(S79=S82,0.5,0.0)),0.5),0.5)</f>
        <v/>
      </c>
      <c r="X79">
        <f>IF(ISNUMBER(T79),IF(ISNUMBER(T80),IF(T79&gt;T80,1.0,IF(T79=T80,0.5,0.0)),0.5),0.5)</f>
        <v/>
      </c>
      <c r="Y79">
        <f>IF(ISNUMBER(T79),IF(ISNUMBER(T81),IF(T79&gt;T81,1.0,IF(T79=T81,0.5,0.0)),0.5),0.5)</f>
        <v/>
      </c>
      <c r="Z79">
        <f>IF(ISNUMBER(T79),IF(ISNUMBER(T82),IF(T79&gt;T82,1.0,IF(T79=T82,0.5,0.0)),0.5),0.5)</f>
        <v/>
      </c>
      <c r="AA79" s="14">
        <f>IF(AND(ISNUMBER(S79),ISNUMBER(S80)),VLOOKUP(ABS(S79-S80),'IMP Table'!$A$2:$C$26,3)*SIGN(S79-S80),0)</f>
        <v/>
      </c>
      <c r="AB79">
        <f>IF(AND(ISNUMBER(S79),ISNUMBER(S81)),VLOOKUP(ABS(S79-S81),'IMP Table'!$A$2:$C$26,3)*SIGN(S79-S81),0)</f>
        <v/>
      </c>
      <c r="AC79">
        <f>IF(AND(ISNUMBER(S79),ISNUMBER(S82)),VLOOKUP(ABS(S79-S82),'IMP Table'!$A$2:$C$26,3)*SIGN(S79-S82),0)</f>
        <v/>
      </c>
      <c r="AD79">
        <f>IF(AND(ISNUMBER(T79),ISNUMBER(T80)),VLOOKUP(ABS(T79-T80),'IMP Table'!$A$2:$C$26,3)*SIGN(T79-T80),0)</f>
        <v/>
      </c>
      <c r="AE79">
        <f>IF(AND(ISNUMBER(T79),ISNUMBER(T81)),VLOOKUP(ABS(T79-T81),'IMP Table'!$A$2:$C$26,3)*SIGN(T79-T81),0)</f>
        <v/>
      </c>
      <c r="AF79">
        <f>IF(AND(ISNUMBER(T79),ISNUMBER(T82)),VLOOKUP(ABS(T79-T82),'IMP Table'!$A$2:$C$26,3)*SIGN(T79-T82),0)</f>
        <v/>
      </c>
    </row>
    <row r="80">
      <c r="B80" s="10">
        <f>'By Round'!A39</f>
        <v/>
      </c>
      <c r="C80" s="10">
        <f>'By Round'!B45</f>
        <v/>
      </c>
      <c r="D80" s="10">
        <f>'By Round'!C45</f>
        <v/>
      </c>
      <c r="E80" s="10">
        <f>'By Round'!D45</f>
        <v/>
      </c>
      <c r="F80" s="10">
        <f>IF(ISBLANK('By Round'!F46),"",'By Round'!F46)</f>
        <v/>
      </c>
      <c r="G80">
        <f>IF(ISBLANK('By Round'!G46),"",'By Round'!G46)</f>
        <v/>
      </c>
      <c r="H80">
        <f>IF(ISBLANK('By Round'!H46),"",'By Round'!H46)</f>
        <v/>
      </c>
      <c r="I80">
        <f>IF(ISBLANK('By Round'!I46),"",'By Round'!I46)</f>
        <v/>
      </c>
      <c r="J80">
        <f>IF(ISBLANK('By Round'!J46),"",'By Round'!J46)</f>
        <v/>
      </c>
      <c r="K80">
        <f>IF(ISBLANK('By Round'!K46),"",'By Round'!K46)</f>
        <v/>
      </c>
      <c r="L80">
        <f>IF(ISBLANK('By Round'!L46),"",'By Round'!L46)</f>
        <v/>
      </c>
      <c r="M80" s="11">
        <f>AVERAGE(AA80:AC80)</f>
        <v/>
      </c>
      <c r="N80" s="12">
        <f>AVERAGE(AD80:AF80)</f>
        <v/>
      </c>
      <c r="O80" s="13">
        <f>IF(COUNT(U80:W80)&gt;0,Q80/COUNT(U80:W80),0.5)</f>
        <v/>
      </c>
      <c r="P80" s="13">
        <f>IF(COUNT(X80:Z80)&gt;0,R80/COUNT(X80:Z80),0.5)</f>
        <v/>
      </c>
      <c r="Q80" s="5">
        <f>SUM(U80:W80)</f>
        <v/>
      </c>
      <c r="R80" s="5">
        <f>SUM(X80:Z80)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IF(ISNUMBER(S80),IF(ISNUMBER(S79),IF(S80&gt;S79,1.0,IF(S80=S79,0.5,0.0)),0.5),0.5)</f>
        <v/>
      </c>
      <c r="V80">
        <f>IF(ISNUMBER(S80),IF(ISNUMBER(S81),IF(S80&gt;S81,1.0,IF(S80=S81,0.5,0.0)),0.5),0.5)</f>
        <v/>
      </c>
      <c r="W80">
        <f>IF(ISNUMBER(S80),IF(ISNUMBER(S82),IF(S80&gt;S82,1.0,IF(S80=S82,0.5,0.0)),0.5),0.5)</f>
        <v/>
      </c>
      <c r="X80">
        <f>IF(ISNUMBER(T80),IF(ISNUMBER(T79),IF(T80&gt;T79,1.0,IF(T80=T79,0.5,0.0)),0.5),0.5)</f>
        <v/>
      </c>
      <c r="Y80">
        <f>IF(ISNUMBER(T80),IF(ISNUMBER(T81),IF(T80&gt;T81,1.0,IF(T80=T81,0.5,0.0)),0.5),0.5)</f>
        <v/>
      </c>
      <c r="Z80">
        <f>IF(ISNUMBER(T80),IF(ISNUMBER(T82),IF(T80&gt;T82,1.0,IF(T80=T82,0.5,0.0)),0.5),0.5)</f>
        <v/>
      </c>
      <c r="AA80" s="14">
        <f>IF(AND(ISNUMBER(S80),ISNUMBER(S79)),VLOOKUP(ABS(S80-S79),'IMP Table'!$A$2:$C$26,3)*SIGN(S80-S79),0)</f>
        <v/>
      </c>
      <c r="AB80">
        <f>IF(AND(ISNUMBER(S80),ISNUMBER(S81)),VLOOKUP(ABS(S80-S81),'IMP Table'!$A$2:$C$26,3)*SIGN(S80-S81),0)</f>
        <v/>
      </c>
      <c r="AC80">
        <f>IF(AND(ISNUMBER(S80),ISNUMBER(S82)),VLOOKUP(ABS(S80-S82),'IMP Table'!$A$2:$C$26,3)*SIGN(S80-S82),0)</f>
        <v/>
      </c>
      <c r="AD80">
        <f>IF(AND(ISNUMBER(T80),ISNUMBER(T79)),VLOOKUP(ABS(T80-T79),'IMP Table'!$A$2:$C$26,3)*SIGN(T80-T79),0)</f>
        <v/>
      </c>
      <c r="AE80">
        <f>IF(AND(ISNUMBER(T80),ISNUMBER(T81)),VLOOKUP(ABS(T80-T81),'IMP Table'!$A$2:$C$26,3)*SIGN(T80-T81),0)</f>
        <v/>
      </c>
      <c r="AF80">
        <f>IF(AND(ISNUMBER(T80),ISNUMBER(T82)),VLOOKUP(ABS(T80-T82),'IMP Table'!$A$2:$C$26,3)*SIGN(T80-T82),0)</f>
        <v/>
      </c>
    </row>
    <row r="81">
      <c r="B81" s="10">
        <f>'By Round'!A21</f>
        <v/>
      </c>
      <c r="C81" s="10">
        <f>'By Round'!B30</f>
        <v/>
      </c>
      <c r="D81" s="10">
        <f>'By Round'!C30</f>
        <v/>
      </c>
      <c r="E81" s="10">
        <f>'By Round'!D30</f>
        <v/>
      </c>
      <c r="F81" s="10">
        <f>IF(ISBLANK('By Round'!F31),"",'By Round'!F31)</f>
        <v/>
      </c>
      <c r="G81">
        <f>IF(ISBLANK('By Round'!G31),"",'By Round'!G31)</f>
        <v/>
      </c>
      <c r="H81">
        <f>IF(ISBLANK('By Round'!H31),"",'By Round'!H31)</f>
        <v/>
      </c>
      <c r="I81">
        <f>IF(ISBLANK('By Round'!I31),"",'By Round'!I31)</f>
        <v/>
      </c>
      <c r="J81">
        <f>IF(ISBLANK('By Round'!J31),"",'By Round'!J31)</f>
        <v/>
      </c>
      <c r="K81">
        <f>IF(ISBLANK('By Round'!K31),"",'By Round'!K31)</f>
        <v/>
      </c>
      <c r="L81">
        <f>IF(ISBLANK('By Round'!L31),"",'By Round'!L31)</f>
        <v/>
      </c>
      <c r="M81" s="11">
        <f>AVERAGE(AA81:AC81)</f>
        <v/>
      </c>
      <c r="N81" s="12">
        <f>AVERAGE(AD81:AF81)</f>
        <v/>
      </c>
      <c r="O81" s="13">
        <f>IF(COUNT(U81:W81)&gt;0,Q81/COUNT(U81:W81),0.5)</f>
        <v/>
      </c>
      <c r="P81" s="13">
        <f>IF(COUNT(X81:Z81)&gt;0,R81/COUNT(X81:Z81),0.5)</f>
        <v/>
      </c>
      <c r="Q81" s="5">
        <f>SUM(U81:W81)</f>
        <v/>
      </c>
      <c r="R81" s="5">
        <f>SUM(X81:Z81)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IF(ISNUMBER(S81),IF(ISNUMBER(S79),IF(S81&gt;S79,1.0,IF(S81=S79,0.5,0.0)),0.5),0.5)</f>
        <v/>
      </c>
      <c r="V81">
        <f>IF(ISNUMBER(S81),IF(ISNUMBER(S80),IF(S81&gt;S80,1.0,IF(S81=S80,0.5,0.0)),0.5),0.5)</f>
        <v/>
      </c>
      <c r="W81">
        <f>IF(ISNUMBER(S81),IF(ISNUMBER(S82),IF(S81&gt;S82,1.0,IF(S81=S82,0.5,0.0)),0.5),0.5)</f>
        <v/>
      </c>
      <c r="X81">
        <f>IF(ISNUMBER(T81),IF(ISNUMBER(T79),IF(T81&gt;T79,1.0,IF(T81=T79,0.5,0.0)),0.5),0.5)</f>
        <v/>
      </c>
      <c r="Y81">
        <f>IF(ISNUMBER(T81),IF(ISNUMBER(T80),IF(T81&gt;T80,1.0,IF(T81=T80,0.5,0.0)),0.5),0.5)</f>
        <v/>
      </c>
      <c r="Z81">
        <f>IF(ISNUMBER(T81),IF(ISNUMBER(T82),IF(T81&gt;T82,1.0,IF(T81=T82,0.5,0.0)),0.5),0.5)</f>
        <v/>
      </c>
      <c r="AA81" s="14">
        <f>IF(AND(ISNUMBER(S81),ISNUMBER(S79)),VLOOKUP(ABS(S81-S79),'IMP Table'!$A$2:$C$26,3)*SIGN(S81-S79),0)</f>
        <v/>
      </c>
      <c r="AB81">
        <f>IF(AND(ISNUMBER(S81),ISNUMBER(S80)),VLOOKUP(ABS(S81-S80),'IMP Table'!$A$2:$C$26,3)*SIGN(S81-S80),0)</f>
        <v/>
      </c>
      <c r="AC81">
        <f>IF(AND(ISNUMBER(S81),ISNUMBER(S82)),VLOOKUP(ABS(S81-S82),'IMP Table'!$A$2:$C$26,3)*SIGN(S81-S82),0)</f>
        <v/>
      </c>
      <c r="AD81">
        <f>IF(AND(ISNUMBER(T81),ISNUMBER(T79)),VLOOKUP(ABS(T81-T79),'IMP Table'!$A$2:$C$26,3)*SIGN(T81-T79),0)</f>
        <v/>
      </c>
      <c r="AE81">
        <f>IF(AND(ISNUMBER(T81),ISNUMBER(T80)),VLOOKUP(ABS(T81-T80),'IMP Table'!$A$2:$C$26,3)*SIGN(T81-T80),0)</f>
        <v/>
      </c>
      <c r="AF81">
        <f>IF(AND(ISNUMBER(T81),ISNUMBER(T82)),VLOOKUP(ABS(T81-T82),'IMP Table'!$A$2:$C$26,3)*SIGN(T81-T82),0)</f>
        <v/>
      </c>
    </row>
    <row r="82">
      <c r="A82" s="15" t="n"/>
      <c r="B82" s="16">
        <f>'By Round'!A48</f>
        <v/>
      </c>
      <c r="C82" s="16">
        <f>'By Round'!B51</f>
        <v/>
      </c>
      <c r="D82" s="16">
        <f>'By Round'!C51</f>
        <v/>
      </c>
      <c r="E82" s="16">
        <f>'By Round'!D51</f>
        <v/>
      </c>
      <c r="F82" s="16">
        <f>IF(ISBLANK('By Round'!F52),"",'By Round'!F52)</f>
        <v/>
      </c>
      <c r="G82" s="15">
        <f>IF(ISBLANK('By Round'!G52),"",'By Round'!G52)</f>
        <v/>
      </c>
      <c r="H82" s="15">
        <f>IF(ISBLANK('By Round'!H52),"",'By Round'!H52)</f>
        <v/>
      </c>
      <c r="I82" s="15">
        <f>IF(ISBLANK('By Round'!I52),"",'By Round'!I52)</f>
        <v/>
      </c>
      <c r="J82" s="15">
        <f>IF(ISBLANK('By Round'!J52),"",'By Round'!J52)</f>
        <v/>
      </c>
      <c r="K82" s="15">
        <f>IF(ISBLANK('By Round'!K52),"",'By Round'!K52)</f>
        <v/>
      </c>
      <c r="L82" s="15">
        <f>IF(ISBLANK('By Round'!L52),"",'By Round'!L52)</f>
        <v/>
      </c>
      <c r="M82" s="17">
        <f>AVERAGE(AA82:AC82)</f>
        <v/>
      </c>
      <c r="N82" s="18">
        <f>AVERAGE(AD82:AF82)</f>
        <v/>
      </c>
      <c r="O82" s="19">
        <f>IF(COUNT(U82:W82)&gt;0,Q82/COUNT(U82:W82),0.5)</f>
        <v/>
      </c>
      <c r="P82" s="19">
        <f>IF(COUNT(X82:Z82)&gt;0,R82/COUNT(X82:Z82),0.5)</f>
        <v/>
      </c>
      <c r="Q82" s="20">
        <f>SUM(U82:W82)</f>
        <v/>
      </c>
      <c r="R82" s="20">
        <f>SUM(X82:Z82)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IF(ISNUMBER(S82),IF(ISNUMBER(S79),IF(S82&gt;S79,1.0,IF(S82=S79,0.5,0.0)),0.5),0.5)</f>
        <v/>
      </c>
      <c r="V82" s="15">
        <f>IF(ISNUMBER(S82),IF(ISNUMBER(S80),IF(S82&gt;S80,1.0,IF(S82=S80,0.5,0.0)),0.5),0.5)</f>
        <v/>
      </c>
      <c r="W82" s="15">
        <f>IF(ISNUMBER(S82),IF(ISNUMBER(S81),IF(S82&gt;S81,1.0,IF(S82=S81,0.5,0.0)),0.5),0.5)</f>
        <v/>
      </c>
      <c r="X82" s="15">
        <f>IF(ISNUMBER(T82),IF(ISNUMBER(T79),IF(T82&gt;T79,1.0,IF(T82=T79,0.5,0.0)),0.5),0.5)</f>
        <v/>
      </c>
      <c r="Y82" s="15">
        <f>IF(ISNUMBER(T82),IF(ISNUMBER(T80),IF(T82&gt;T80,1.0,IF(T82=T80,0.5,0.0)),0.5),0.5)</f>
        <v/>
      </c>
      <c r="Z82" s="15">
        <f>IF(ISNUMBER(T82),IF(ISNUMBER(T81),IF(T82&gt;T81,1.0,IF(T82=T81,0.5,0.0)),0.5),0.5)</f>
        <v/>
      </c>
      <c r="AA82" s="21">
        <f>IF(AND(ISNUMBER(S82),ISNUMBER(S79)),VLOOKUP(ABS(S82-S79),'IMP Table'!$A$2:$C$26,3)*SIGN(S82-S79),0)</f>
        <v/>
      </c>
      <c r="AB82" s="15">
        <f>IF(AND(ISNUMBER(S82),ISNUMBER(S80)),VLOOKUP(ABS(S82-S80),'IMP Table'!$A$2:$C$26,3)*SIGN(S82-S80),0)</f>
        <v/>
      </c>
      <c r="AC82" s="15">
        <f>IF(AND(ISNUMBER(S82),ISNUMBER(S81)),VLOOKUP(ABS(S82-S81),'IMP Table'!$A$2:$C$26,3)*SIGN(S82-S81),0)</f>
        <v/>
      </c>
      <c r="AD82" s="15">
        <f>IF(AND(ISNUMBER(T82),ISNUMBER(T79)),VLOOKUP(ABS(T82-T79),'IMP Table'!$A$2:$C$26,3)*SIGN(T82-T79),0)</f>
        <v/>
      </c>
      <c r="AE82" s="15">
        <f>IF(AND(ISNUMBER(T82),ISNUMBER(T80)),VLOOKUP(ABS(T82-T80),'IMP Table'!$A$2:$C$26,3)*SIGN(T82-T80),0)</f>
        <v/>
      </c>
      <c r="AF82" s="15">
        <f>IF(AND(ISNUMBER(T82),ISNUMBER(T81)),VLOOKUP(ABS(T82-T81),'IMP Table'!$A$2:$C$26,3)*SIGN(T82-T81),0)</f>
        <v/>
      </c>
    </row>
    <row r="83">
      <c r="A83" s="10" t="n">
        <v>21</v>
      </c>
      <c r="B83" s="10">
        <f>'By Round'!A57</f>
        <v/>
      </c>
      <c r="C83" s="10">
        <f>'By Round'!B57</f>
        <v/>
      </c>
      <c r="D83" s="10">
        <f>'By Round'!C57</f>
        <v/>
      </c>
      <c r="E83" s="10">
        <f>'By Round'!D57</f>
        <v/>
      </c>
      <c r="F83" s="10">
        <f>IF(ISBLANK('By Round'!F59),"",'By Round'!F59)</f>
        <v/>
      </c>
      <c r="G83">
        <f>IF(ISBLANK('By Round'!G59),"",'By Round'!G59)</f>
        <v/>
      </c>
      <c r="H83">
        <f>IF(ISBLANK('By Round'!H59),"",'By Round'!H59)</f>
        <v/>
      </c>
      <c r="I83">
        <f>IF(ISBLANK('By Round'!I59),"",'By Round'!I59)</f>
        <v/>
      </c>
      <c r="J83">
        <f>IF(ISBLANK('By Round'!J59),"",'By Round'!J59)</f>
        <v/>
      </c>
      <c r="K83">
        <f>IF(ISBLANK('By Round'!K59),"",'By Round'!K59)</f>
        <v/>
      </c>
      <c r="L83">
        <f>IF(ISBLANK('By Round'!L59),"",'By Round'!L59)</f>
        <v/>
      </c>
      <c r="M83" s="11">
        <f>AVERAGE(AA83:AC83)</f>
        <v/>
      </c>
      <c r="N83" s="12">
        <f>AVERAGE(AD83:AF83)</f>
        <v/>
      </c>
      <c r="O83" s="13">
        <f>IF(COUNT(U83:W83)&gt;0,Q83/COUNT(U83:W83),0.5)</f>
        <v/>
      </c>
      <c r="P83" s="13">
        <f>IF(COUNT(X83:Z83)&gt;0,R83/COUNT(X83:Z83),0.5)</f>
        <v/>
      </c>
      <c r="Q83" s="5">
        <f>SUM(U83:W83)</f>
        <v/>
      </c>
      <c r="R83" s="5">
        <f>SUM(X83:Z83)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IF(ISNUMBER(S83),IF(ISNUMBER(S84),IF(S83&gt;S84,1.0,IF(S83=S84,0.5,0.0)),0.5),0.5)</f>
        <v/>
      </c>
      <c r="V83">
        <f>IF(ISNUMBER(S83),IF(ISNUMBER(S85),IF(S83&gt;S85,1.0,IF(S83=S85,0.5,0.0)),0.5),0.5)</f>
        <v/>
      </c>
      <c r="W83">
        <f>IF(ISNUMBER(S83),IF(ISNUMBER(S86),IF(S83&gt;S86,1.0,IF(S83=S86,0.5,0.0)),0.5),0.5)</f>
        <v/>
      </c>
      <c r="X83">
        <f>IF(ISNUMBER(T83),IF(ISNUMBER(T84),IF(T83&gt;T84,1.0,IF(T83=T84,0.5,0.0)),0.5),0.5)</f>
        <v/>
      </c>
      <c r="Y83">
        <f>IF(ISNUMBER(T83),IF(ISNUMBER(T85),IF(T83&gt;T85,1.0,IF(T83=T85,0.5,0.0)),0.5),0.5)</f>
        <v/>
      </c>
      <c r="Z83">
        <f>IF(ISNUMBER(T83),IF(ISNUMBER(T86),IF(T83&gt;T86,1.0,IF(T83=T86,0.5,0.0)),0.5),0.5)</f>
        <v/>
      </c>
      <c r="AA83" s="14">
        <f>IF(AND(ISNUMBER(S83),ISNUMBER(S84)),VLOOKUP(ABS(S83-S84),'IMP Table'!$A$2:$C$26,3)*SIGN(S83-S84),0)</f>
        <v/>
      </c>
      <c r="AB83">
        <f>IF(AND(ISNUMBER(S83),ISNUMBER(S85)),VLOOKUP(ABS(S83-S85),'IMP Table'!$A$2:$C$26,3)*SIGN(S83-S85),0)</f>
        <v/>
      </c>
      <c r="AC83">
        <f>IF(AND(ISNUMBER(S83),ISNUMBER(S86)),VLOOKUP(ABS(S83-S86),'IMP Table'!$A$2:$C$26,3)*SIGN(S83-S86),0)</f>
        <v/>
      </c>
      <c r="AD83">
        <f>IF(AND(ISNUMBER(T83),ISNUMBER(T84)),VLOOKUP(ABS(T83-T84),'IMP Table'!$A$2:$C$26,3)*SIGN(T83-T84),0)</f>
        <v/>
      </c>
      <c r="AE83">
        <f>IF(AND(ISNUMBER(T83),ISNUMBER(T85)),VLOOKUP(ABS(T83-T85),'IMP Table'!$A$2:$C$26,3)*SIGN(T83-T85),0)</f>
        <v/>
      </c>
      <c r="AF83">
        <f>IF(AND(ISNUMBER(T83),ISNUMBER(T86)),VLOOKUP(ABS(T83-T86),'IMP Table'!$A$2:$C$26,3)*SIGN(T83-T86),0)</f>
        <v/>
      </c>
    </row>
    <row r="84">
      <c r="B84" s="10">
        <f>'By Round'!A39</f>
        <v/>
      </c>
      <c r="C84" s="10">
        <f>'By Round'!B45</f>
        <v/>
      </c>
      <c r="D84" s="10">
        <f>'By Round'!C45</f>
        <v/>
      </c>
      <c r="E84" s="10">
        <f>'By Round'!D45</f>
        <v/>
      </c>
      <c r="F84" s="10">
        <f>IF(ISBLANK('By Round'!F47),"",'By Round'!F47)</f>
        <v/>
      </c>
      <c r="G84">
        <f>IF(ISBLANK('By Round'!G47),"",'By Round'!G47)</f>
        <v/>
      </c>
      <c r="H84">
        <f>IF(ISBLANK('By Round'!H47),"",'By Round'!H47)</f>
        <v/>
      </c>
      <c r="I84">
        <f>IF(ISBLANK('By Round'!I47),"",'By Round'!I47)</f>
        <v/>
      </c>
      <c r="J84">
        <f>IF(ISBLANK('By Round'!J47),"",'By Round'!J47)</f>
        <v/>
      </c>
      <c r="K84">
        <f>IF(ISBLANK('By Round'!K47),"",'By Round'!K47)</f>
        <v/>
      </c>
      <c r="L84">
        <f>IF(ISBLANK('By Round'!L47),"",'By Round'!L47)</f>
        <v/>
      </c>
      <c r="M84" s="11">
        <f>AVERAGE(AA84:AC84)</f>
        <v/>
      </c>
      <c r="N84" s="12">
        <f>AVERAGE(AD84:AF84)</f>
        <v/>
      </c>
      <c r="O84" s="13">
        <f>IF(COUNT(U84:W84)&gt;0,Q84/COUNT(U84:W84),0.5)</f>
        <v/>
      </c>
      <c r="P84" s="13">
        <f>IF(COUNT(X84:Z84)&gt;0,R84/COUNT(X84:Z84),0.5)</f>
        <v/>
      </c>
      <c r="Q84" s="5">
        <f>SUM(U84:W84)</f>
        <v/>
      </c>
      <c r="R84" s="5">
        <f>SUM(X84:Z84)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IF(ISNUMBER(S84),IF(ISNUMBER(S83),IF(S84&gt;S83,1.0,IF(S84=S83,0.5,0.0)),0.5),0.5)</f>
        <v/>
      </c>
      <c r="V84">
        <f>IF(ISNUMBER(S84),IF(ISNUMBER(S85),IF(S84&gt;S85,1.0,IF(S84=S85,0.5,0.0)),0.5),0.5)</f>
        <v/>
      </c>
      <c r="W84">
        <f>IF(ISNUMBER(S84),IF(ISNUMBER(S86),IF(S84&gt;S86,1.0,IF(S84=S86,0.5,0.0)),0.5),0.5)</f>
        <v/>
      </c>
      <c r="X84">
        <f>IF(ISNUMBER(T84),IF(ISNUMBER(T83),IF(T84&gt;T83,1.0,IF(T84=T83,0.5,0.0)),0.5),0.5)</f>
        <v/>
      </c>
      <c r="Y84">
        <f>IF(ISNUMBER(T84),IF(ISNUMBER(T85),IF(T84&gt;T85,1.0,IF(T84=T85,0.5,0.0)),0.5),0.5)</f>
        <v/>
      </c>
      <c r="Z84">
        <f>IF(ISNUMBER(T84),IF(ISNUMBER(T86),IF(T84&gt;T86,1.0,IF(T84=T86,0.5,0.0)),0.5),0.5)</f>
        <v/>
      </c>
      <c r="AA84" s="14">
        <f>IF(AND(ISNUMBER(S84),ISNUMBER(S83)),VLOOKUP(ABS(S84-S83),'IMP Table'!$A$2:$C$26,3)*SIGN(S84-S83),0)</f>
        <v/>
      </c>
      <c r="AB84">
        <f>IF(AND(ISNUMBER(S84),ISNUMBER(S85)),VLOOKUP(ABS(S84-S85),'IMP Table'!$A$2:$C$26,3)*SIGN(S84-S85),0)</f>
        <v/>
      </c>
      <c r="AC84">
        <f>IF(AND(ISNUMBER(S84),ISNUMBER(S86)),VLOOKUP(ABS(S84-S86),'IMP Table'!$A$2:$C$26,3)*SIGN(S84-S86),0)</f>
        <v/>
      </c>
      <c r="AD84">
        <f>IF(AND(ISNUMBER(T84),ISNUMBER(T83)),VLOOKUP(ABS(T84-T83),'IMP Table'!$A$2:$C$26,3)*SIGN(T84-T83),0)</f>
        <v/>
      </c>
      <c r="AE84">
        <f>IF(AND(ISNUMBER(T84),ISNUMBER(T85)),VLOOKUP(ABS(T84-T85),'IMP Table'!$A$2:$C$26,3)*SIGN(T84-T85),0)</f>
        <v/>
      </c>
      <c r="AF84">
        <f>IF(AND(ISNUMBER(T84),ISNUMBER(T86)),VLOOKUP(ABS(T84-T86),'IMP Table'!$A$2:$C$26,3)*SIGN(T84-T86),0)</f>
        <v/>
      </c>
    </row>
    <row r="85">
      <c r="B85" s="10">
        <f>'By Round'!A21</f>
        <v/>
      </c>
      <c r="C85" s="10">
        <f>'By Round'!B30</f>
        <v/>
      </c>
      <c r="D85" s="10">
        <f>'By Round'!C30</f>
        <v/>
      </c>
      <c r="E85" s="10">
        <f>'By Round'!D30</f>
        <v/>
      </c>
      <c r="F85" s="10">
        <f>IF(ISBLANK('By Round'!F32),"",'By Round'!F32)</f>
        <v/>
      </c>
      <c r="G85">
        <f>IF(ISBLANK('By Round'!G32),"",'By Round'!G32)</f>
        <v/>
      </c>
      <c r="H85">
        <f>IF(ISBLANK('By Round'!H32),"",'By Round'!H32)</f>
        <v/>
      </c>
      <c r="I85">
        <f>IF(ISBLANK('By Round'!I32),"",'By Round'!I32)</f>
        <v/>
      </c>
      <c r="J85">
        <f>IF(ISBLANK('By Round'!J32),"",'By Round'!J32)</f>
        <v/>
      </c>
      <c r="K85">
        <f>IF(ISBLANK('By Round'!K32),"",'By Round'!K32)</f>
        <v/>
      </c>
      <c r="L85">
        <f>IF(ISBLANK('By Round'!L32),"",'By Round'!L32)</f>
        <v/>
      </c>
      <c r="M85" s="11">
        <f>AVERAGE(AA85:AC85)</f>
        <v/>
      </c>
      <c r="N85" s="12">
        <f>AVERAGE(AD85:AF85)</f>
        <v/>
      </c>
      <c r="O85" s="13">
        <f>IF(COUNT(U85:W85)&gt;0,Q85/COUNT(U85:W85),0.5)</f>
        <v/>
      </c>
      <c r="P85" s="13">
        <f>IF(COUNT(X85:Z85)&gt;0,R85/COUNT(X85:Z85),0.5)</f>
        <v/>
      </c>
      <c r="Q85" s="5">
        <f>SUM(U85:W85)</f>
        <v/>
      </c>
      <c r="R85" s="5">
        <f>SUM(X85:Z85)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IF(ISNUMBER(S85),IF(ISNUMBER(S83),IF(S85&gt;S83,1.0,IF(S85=S83,0.5,0.0)),0.5),0.5)</f>
        <v/>
      </c>
      <c r="V85">
        <f>IF(ISNUMBER(S85),IF(ISNUMBER(S84),IF(S85&gt;S84,1.0,IF(S85=S84,0.5,0.0)),0.5),0.5)</f>
        <v/>
      </c>
      <c r="W85">
        <f>IF(ISNUMBER(S85),IF(ISNUMBER(S86),IF(S85&gt;S86,1.0,IF(S85=S86,0.5,0.0)),0.5),0.5)</f>
        <v/>
      </c>
      <c r="X85">
        <f>IF(ISNUMBER(T85),IF(ISNUMBER(T83),IF(T85&gt;T83,1.0,IF(T85=T83,0.5,0.0)),0.5),0.5)</f>
        <v/>
      </c>
      <c r="Y85">
        <f>IF(ISNUMBER(T85),IF(ISNUMBER(T84),IF(T85&gt;T84,1.0,IF(T85=T84,0.5,0.0)),0.5),0.5)</f>
        <v/>
      </c>
      <c r="Z85">
        <f>IF(ISNUMBER(T85),IF(ISNUMBER(T86),IF(T85&gt;T86,1.0,IF(T85=T86,0.5,0.0)),0.5),0.5)</f>
        <v/>
      </c>
      <c r="AA85" s="14">
        <f>IF(AND(ISNUMBER(S85),ISNUMBER(S83)),VLOOKUP(ABS(S85-S83),'IMP Table'!$A$2:$C$26,3)*SIGN(S85-S83),0)</f>
        <v/>
      </c>
      <c r="AB85">
        <f>IF(AND(ISNUMBER(S85),ISNUMBER(S84)),VLOOKUP(ABS(S85-S84),'IMP Table'!$A$2:$C$26,3)*SIGN(S85-S84),0)</f>
        <v/>
      </c>
      <c r="AC85">
        <f>IF(AND(ISNUMBER(S85),ISNUMBER(S86)),VLOOKUP(ABS(S85-S86),'IMP Table'!$A$2:$C$26,3)*SIGN(S85-S86),0)</f>
        <v/>
      </c>
      <c r="AD85">
        <f>IF(AND(ISNUMBER(T85),ISNUMBER(T83)),VLOOKUP(ABS(T85-T83),'IMP Table'!$A$2:$C$26,3)*SIGN(T85-T83),0)</f>
        <v/>
      </c>
      <c r="AE85">
        <f>IF(AND(ISNUMBER(T85),ISNUMBER(T84)),VLOOKUP(ABS(T85-T84),'IMP Table'!$A$2:$C$26,3)*SIGN(T85-T84),0)</f>
        <v/>
      </c>
      <c r="AF85">
        <f>IF(AND(ISNUMBER(T85),ISNUMBER(T86)),VLOOKUP(ABS(T85-T86),'IMP Table'!$A$2:$C$26,3)*SIGN(T85-T86),0)</f>
        <v/>
      </c>
    </row>
    <row r="86">
      <c r="A86" s="15" t="n"/>
      <c r="B86" s="16">
        <f>'By Round'!A48</f>
        <v/>
      </c>
      <c r="C86" s="16">
        <f>'By Round'!B51</f>
        <v/>
      </c>
      <c r="D86" s="16">
        <f>'By Round'!C51</f>
        <v/>
      </c>
      <c r="E86" s="16">
        <f>'By Round'!D51</f>
        <v/>
      </c>
      <c r="F86" s="16">
        <f>IF(ISBLANK('By Round'!F53),"",'By Round'!F53)</f>
        <v/>
      </c>
      <c r="G86" s="15">
        <f>IF(ISBLANK('By Round'!G53),"",'By Round'!G53)</f>
        <v/>
      </c>
      <c r="H86" s="15">
        <f>IF(ISBLANK('By Round'!H53),"",'By Round'!H53)</f>
        <v/>
      </c>
      <c r="I86" s="15">
        <f>IF(ISBLANK('By Round'!I53),"",'By Round'!I53)</f>
        <v/>
      </c>
      <c r="J86" s="15">
        <f>IF(ISBLANK('By Round'!J53),"",'By Round'!J53)</f>
        <v/>
      </c>
      <c r="K86" s="15">
        <f>IF(ISBLANK('By Round'!K53),"",'By Round'!K53)</f>
        <v/>
      </c>
      <c r="L86" s="15">
        <f>IF(ISBLANK('By Round'!L53),"",'By Round'!L53)</f>
        <v/>
      </c>
      <c r="M86" s="17">
        <f>AVERAGE(AA86:AC86)</f>
        <v/>
      </c>
      <c r="N86" s="18">
        <f>AVERAGE(AD86:AF86)</f>
        <v/>
      </c>
      <c r="O86" s="19">
        <f>IF(COUNT(U86:W86)&gt;0,Q86/COUNT(U86:W86),0.5)</f>
        <v/>
      </c>
      <c r="P86" s="19">
        <f>IF(COUNT(X86:Z86)&gt;0,R86/COUNT(X86:Z86),0.5)</f>
        <v/>
      </c>
      <c r="Q86" s="20">
        <f>SUM(U86:W86)</f>
        <v/>
      </c>
      <c r="R86" s="20">
        <f>SUM(X86:Z86)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IF(ISNUMBER(S86),IF(ISNUMBER(S83),IF(S86&gt;S83,1.0,IF(S86=S83,0.5,0.0)),0.5),0.5)</f>
        <v/>
      </c>
      <c r="V86" s="15">
        <f>IF(ISNUMBER(S86),IF(ISNUMBER(S84),IF(S86&gt;S84,1.0,IF(S86=S84,0.5,0.0)),0.5),0.5)</f>
        <v/>
      </c>
      <c r="W86" s="15">
        <f>IF(ISNUMBER(S86),IF(ISNUMBER(S85),IF(S86&gt;S85,1.0,IF(S86=S85,0.5,0.0)),0.5),0.5)</f>
        <v/>
      </c>
      <c r="X86" s="15">
        <f>IF(ISNUMBER(T86),IF(ISNUMBER(T83),IF(T86&gt;T83,1.0,IF(T86=T83,0.5,0.0)),0.5),0.5)</f>
        <v/>
      </c>
      <c r="Y86" s="15">
        <f>IF(ISNUMBER(T86),IF(ISNUMBER(T84),IF(T86&gt;T84,1.0,IF(T86=T84,0.5,0.0)),0.5),0.5)</f>
        <v/>
      </c>
      <c r="Z86" s="15">
        <f>IF(ISNUMBER(T86),IF(ISNUMBER(T85),IF(T86&gt;T85,1.0,IF(T86=T85,0.5,0.0)),0.5),0.5)</f>
        <v/>
      </c>
      <c r="AA86" s="21">
        <f>IF(AND(ISNUMBER(S86),ISNUMBER(S83)),VLOOKUP(ABS(S86-S83),'IMP Table'!$A$2:$C$26,3)*SIGN(S86-S83),0)</f>
        <v/>
      </c>
      <c r="AB86" s="15">
        <f>IF(AND(ISNUMBER(S86),ISNUMBER(S84)),VLOOKUP(ABS(S86-S84),'IMP Table'!$A$2:$C$26,3)*SIGN(S86-S84),0)</f>
        <v/>
      </c>
      <c r="AC86" s="15">
        <f>IF(AND(ISNUMBER(S86),ISNUMBER(S85)),VLOOKUP(ABS(S86-S85),'IMP Table'!$A$2:$C$26,3)*SIGN(S86-S85),0)</f>
        <v/>
      </c>
      <c r="AD86" s="15">
        <f>IF(AND(ISNUMBER(T86),ISNUMBER(T83)),VLOOKUP(ABS(T86-T83),'IMP Table'!$A$2:$C$26,3)*SIGN(T86-T83),0)</f>
        <v/>
      </c>
      <c r="AE86" s="15">
        <f>IF(AND(ISNUMBER(T86),ISNUMBER(T84)),VLOOKUP(ABS(T86-T84),'IMP Table'!$A$2:$C$26,3)*SIGN(T86-T84),0)</f>
        <v/>
      </c>
      <c r="AF86" s="15">
        <f>IF(AND(ISNUMBER(T86),ISNUMBER(T85)),VLOOKUP(ABS(T86-T85),'IMP Table'!$A$2:$C$26,3)*SIGN(T86-T85),0)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6</v>
      </c>
      <c r="D6" s="10" t="n">
        <v>5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4</v>
      </c>
      <c r="D9" s="10" t="n">
        <v>2</v>
      </c>
      <c r="E9" s="10" t="n">
        <v>7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8</v>
      </c>
      <c r="F10" s="10" t="inlineStr">
        <is>
          <t>None</t>
        </is>
      </c>
    </row>
    <row r="11">
      <c r="B11" s="16" t="n"/>
      <c r="C11" s="16" t="n"/>
      <c r="D11" s="16" t="n"/>
      <c r="E11" s="16" t="n">
        <v>9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4</v>
      </c>
      <c r="C12" s="10" t="n">
        <v>7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4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5</v>
      </c>
      <c r="F16" s="10" t="inlineStr">
        <is>
          <t>NS</t>
        </is>
      </c>
    </row>
    <row r="17">
      <c r="B17" s="16" t="n"/>
      <c r="C17" s="16" t="n"/>
      <c r="D17" s="16" t="n"/>
      <c r="E17" s="16" t="n">
        <v>6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7</v>
      </c>
      <c r="D18" s="10" t="n">
        <v>6</v>
      </c>
      <c r="E18" s="10" t="n">
        <v>7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8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9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5</v>
      </c>
      <c r="D21" s="10" t="n">
        <v>3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4</v>
      </c>
      <c r="C24" s="10" t="n">
        <v>1</v>
      </c>
      <c r="D24" s="10" t="n">
        <v>4</v>
      </c>
      <c r="E24" s="10" t="n">
        <v>16</v>
      </c>
      <c r="F24" s="10" t="inlineStr">
        <is>
          <t>EW</t>
        </is>
      </c>
    </row>
    <row r="25">
      <c r="B25" s="10" t="n"/>
      <c r="C25" s="10" t="n"/>
      <c r="D25" s="10" t="n"/>
      <c r="E25" s="10" t="n">
        <v>17</v>
      </c>
      <c r="F25" s="10" t="inlineStr">
        <is>
          <t>None</t>
        </is>
      </c>
    </row>
    <row r="26">
      <c r="A26" s="15" t="n"/>
      <c r="B26" s="16" t="n"/>
      <c r="C26" s="16" t="n"/>
      <c r="D26" s="16" t="n"/>
      <c r="E26" s="16" t="n">
        <v>18</v>
      </c>
      <c r="F26" s="16" t="inlineStr">
        <is>
          <t>NS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7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8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9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7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3</v>
      </c>
      <c r="C33" s="10" t="n">
        <v>6</v>
      </c>
      <c r="D33" s="10" t="n">
        <v>4</v>
      </c>
      <c r="E33" s="10" t="n">
        <v>13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14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15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4</v>
      </c>
      <c r="C36" s="10" t="n">
        <v>2</v>
      </c>
      <c r="D36" s="10" t="n">
        <v>5</v>
      </c>
      <c r="E36" s="10" t="n">
        <v>19</v>
      </c>
      <c r="F36" s="10" t="inlineStr">
        <is>
          <t>EW</t>
        </is>
      </c>
    </row>
    <row r="37">
      <c r="B37" s="10" t="n"/>
      <c r="C37" s="10" t="n"/>
      <c r="D37" s="10" t="n"/>
      <c r="E37" s="10" t="n">
        <v>20</v>
      </c>
      <c r="F37" s="10" t="inlineStr">
        <is>
          <t>Both</t>
        </is>
      </c>
    </row>
    <row r="38">
      <c r="A38" s="15" t="n"/>
      <c r="B38" s="16" t="n"/>
      <c r="C38" s="16" t="n"/>
      <c r="D38" s="16" t="n"/>
      <c r="E38" s="16" t="n">
        <v>21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10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11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12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1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7</v>
      </c>
      <c r="D45" s="10" t="n">
        <v>5</v>
      </c>
      <c r="E45" s="10" t="n">
        <v>16</v>
      </c>
      <c r="F45" s="10" t="inlineStr">
        <is>
          <t>EW</t>
        </is>
      </c>
    </row>
    <row r="46">
      <c r="B46" s="10" t="n"/>
      <c r="C46" s="10" t="n"/>
      <c r="D46" s="10" t="n"/>
      <c r="E46" s="10" t="n">
        <v>17</v>
      </c>
      <c r="F46" s="10" t="inlineStr">
        <is>
          <t>None</t>
        </is>
      </c>
    </row>
    <row r="47">
      <c r="B47" s="16" t="n"/>
      <c r="C47" s="16" t="n"/>
      <c r="D47" s="16" t="n"/>
      <c r="E47" s="16" t="n">
        <v>18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0" t="n">
        <v>4</v>
      </c>
      <c r="C48" s="10" t="n">
        <v>3</v>
      </c>
      <c r="D48" s="10" t="n">
        <v>6</v>
      </c>
      <c r="E48" s="10" t="n">
        <v>1</v>
      </c>
      <c r="F48" s="10" t="inlineStr">
        <is>
          <t>None</t>
        </is>
      </c>
    </row>
    <row r="49">
      <c r="B49" s="10" t="n"/>
      <c r="C49" s="10" t="n"/>
      <c r="D49" s="10" t="n"/>
      <c r="E49" s="10" t="n">
        <v>2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3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13</v>
      </c>
      <c r="F51" s="10" t="inlineStr">
        <is>
          <t>Both</t>
        </is>
      </c>
    </row>
    <row r="52">
      <c r="B52" s="10" t="n"/>
      <c r="C52" s="10" t="n"/>
      <c r="D52" s="10" t="n"/>
      <c r="E52" s="10" t="n">
        <v>14</v>
      </c>
      <c r="F52" s="10" t="inlineStr">
        <is>
          <t>None</t>
        </is>
      </c>
    </row>
    <row r="53">
      <c r="B53" s="16" t="n"/>
      <c r="C53" s="16" t="n"/>
      <c r="D53" s="16" t="n"/>
      <c r="E53" s="16" t="n">
        <v>15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0" t="n">
        <v>2</v>
      </c>
      <c r="C54" s="10" t="n">
        <v>3</v>
      </c>
      <c r="D54" s="10" t="n">
        <v>2</v>
      </c>
      <c r="E54" s="10" t="n">
        <v>16</v>
      </c>
      <c r="F54" s="10" t="inlineStr">
        <is>
          <t>EW</t>
        </is>
      </c>
    </row>
    <row r="55">
      <c r="B55" s="10" t="n"/>
      <c r="C55" s="10" t="n"/>
      <c r="D55" s="10" t="n"/>
      <c r="E55" s="10" t="n">
        <v>17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18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1</v>
      </c>
      <c r="D57" s="10" t="n">
        <v>6</v>
      </c>
      <c r="E57" s="10" t="n">
        <v>19</v>
      </c>
      <c r="F57" s="10" t="inlineStr">
        <is>
          <t>EW</t>
        </is>
      </c>
    </row>
    <row r="58">
      <c r="B58" s="10" t="n"/>
      <c r="C58" s="10" t="n"/>
      <c r="D58" s="10" t="n"/>
      <c r="E58" s="10" t="n">
        <v>20</v>
      </c>
      <c r="F58" s="10" t="inlineStr">
        <is>
          <t>Both</t>
        </is>
      </c>
    </row>
    <row r="59">
      <c r="B59" s="16" t="n"/>
      <c r="C59" s="16" t="n"/>
      <c r="D59" s="16" t="n"/>
      <c r="E59" s="16" t="n">
        <v>21</v>
      </c>
      <c r="F59" s="16" t="inlineStr">
        <is>
          <t>NS</t>
        </is>
      </c>
      <c r="G59" s="15" t="n"/>
      <c r="H59" s="15" t="n"/>
      <c r="I59" s="15" t="n"/>
      <c r="J59" s="15" t="n"/>
      <c r="K59" s="15" t="n"/>
      <c r="L59" s="15" t="n"/>
    </row>
    <row r="60">
      <c r="B60" s="10" t="n">
        <v>4</v>
      </c>
      <c r="C60" s="10" t="n">
        <v>4</v>
      </c>
      <c r="D60" s="10" t="n">
        <v>7</v>
      </c>
      <c r="E60" s="10" t="n">
        <v>4</v>
      </c>
      <c r="F60" s="10" t="inlineStr">
        <is>
          <t>Both</t>
        </is>
      </c>
    </row>
    <row r="61">
      <c r="B61" s="10" t="n"/>
      <c r="C61" s="10" t="n"/>
      <c r="D61" s="10" t="n"/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16</v>
      </c>
      <c r="F63" s="10" t="inlineStr">
        <is>
          <t>EW</t>
        </is>
      </c>
    </row>
    <row r="64">
      <c r="B64" s="10" t="n"/>
      <c r="C64" s="10" t="n"/>
      <c r="D64" s="10" t="n"/>
      <c r="E64" s="10" t="n">
        <v>17</v>
      </c>
      <c r="F64" s="10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0" t="n">
        <v>2</v>
      </c>
      <c r="C66" s="10" t="n">
        <v>4</v>
      </c>
      <c r="D66" s="10" t="n">
        <v>3</v>
      </c>
      <c r="E66" s="10" t="n">
        <v>19</v>
      </c>
      <c r="F66" s="10" t="inlineStr">
        <is>
          <t>EW</t>
        </is>
      </c>
    </row>
    <row r="67">
      <c r="B67" s="10" t="n"/>
      <c r="C67" s="10" t="n"/>
      <c r="D67" s="10" t="n"/>
      <c r="E67" s="10" t="n">
        <v>20</v>
      </c>
      <c r="F67" s="10" t="inlineStr">
        <is>
          <t>Both</t>
        </is>
      </c>
    </row>
    <row r="68">
      <c r="B68" s="16" t="n"/>
      <c r="C68" s="16" t="n"/>
      <c r="D68" s="16" t="n"/>
      <c r="E68" s="16" t="n">
        <v>21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3</v>
      </c>
      <c r="C69" s="10" t="n">
        <v>2</v>
      </c>
      <c r="D69" s="10" t="n">
        <v>7</v>
      </c>
      <c r="E69" s="10" t="n">
        <v>1</v>
      </c>
      <c r="F69" s="10" t="inlineStr">
        <is>
          <t>None</t>
        </is>
      </c>
    </row>
    <row r="70">
      <c r="B70" s="10" t="n"/>
      <c r="C70" s="10" t="n"/>
      <c r="D70" s="10" t="n"/>
      <c r="E70" s="10" t="n">
        <v>2</v>
      </c>
      <c r="F70" s="10" t="inlineStr">
        <is>
          <t>NS</t>
        </is>
      </c>
    </row>
    <row r="71">
      <c r="B71" s="16" t="n"/>
      <c r="C71" s="16" t="n"/>
      <c r="D71" s="16" t="n"/>
      <c r="E71" s="16" t="n">
        <v>3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0" t="n">
        <v>4</v>
      </c>
      <c r="C72" s="10" t="n">
        <v>5</v>
      </c>
      <c r="D72" s="10" t="n">
        <v>1</v>
      </c>
      <c r="E72" s="10" t="n">
        <v>7</v>
      </c>
      <c r="F72" s="10" t="inlineStr">
        <is>
          <t>Both</t>
        </is>
      </c>
    </row>
    <row r="73">
      <c r="B73" s="10" t="n"/>
      <c r="C73" s="10" t="n"/>
      <c r="D73" s="10" t="n"/>
      <c r="E73" s="10" t="n">
        <v>8</v>
      </c>
      <c r="F73" s="10" t="inlineStr">
        <is>
          <t>None</t>
        </is>
      </c>
    </row>
    <row r="74">
      <c r="A74" s="15" t="n"/>
      <c r="B74" s="16" t="n"/>
      <c r="C74" s="16" t="n"/>
      <c r="D74" s="16" t="n"/>
      <c r="E74" s="16" t="n">
        <v>9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19</v>
      </c>
      <c r="F75" s="10" t="inlineStr">
        <is>
          <t>EW</t>
        </is>
      </c>
    </row>
    <row r="76">
      <c r="B76" s="10" t="n"/>
      <c r="C76" s="10" t="n"/>
      <c r="D76" s="10" t="n"/>
      <c r="E76" s="10" t="n">
        <v>20</v>
      </c>
      <c r="F76" s="10" t="inlineStr">
        <is>
          <t>Both</t>
        </is>
      </c>
    </row>
    <row r="77">
      <c r="B77" s="16" t="n"/>
      <c r="C77" s="16" t="n"/>
      <c r="D77" s="16" t="n"/>
      <c r="E77" s="16" t="n">
        <v>21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0" t="n">
        <v>2</v>
      </c>
      <c r="C78" s="10" t="n">
        <v>5</v>
      </c>
      <c r="D78" s="10" t="n">
        <v>4</v>
      </c>
      <c r="E78" s="10" t="n">
        <v>1</v>
      </c>
      <c r="F78" s="10" t="inlineStr">
        <is>
          <t>None</t>
        </is>
      </c>
    </row>
    <row r="79">
      <c r="B79" s="10" t="n"/>
      <c r="C79" s="10" t="n"/>
      <c r="D79" s="10" t="n"/>
      <c r="E79" s="10" t="n">
        <v>2</v>
      </c>
      <c r="F79" s="10" t="inlineStr">
        <is>
          <t>NS</t>
        </is>
      </c>
    </row>
    <row r="80">
      <c r="B80" s="16" t="n"/>
      <c r="C80" s="16" t="n"/>
      <c r="D80" s="16" t="n"/>
      <c r="E80" s="16" t="n">
        <v>3</v>
      </c>
      <c r="F80" s="16" t="inlineStr">
        <is>
          <t>EW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3</v>
      </c>
      <c r="C81" s="10" t="n">
        <v>3</v>
      </c>
      <c r="D81" s="10" t="n">
        <v>1</v>
      </c>
      <c r="E81" s="10" t="n">
        <v>4</v>
      </c>
      <c r="F81" s="10" t="inlineStr">
        <is>
          <t>Both</t>
        </is>
      </c>
    </row>
    <row r="82">
      <c r="B82" s="10" t="n"/>
      <c r="C82" s="10" t="n"/>
      <c r="D82" s="10" t="n"/>
      <c r="E82" s="10" t="n">
        <v>5</v>
      </c>
      <c r="F82" s="10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0" t="n">
        <v>4</v>
      </c>
      <c r="C84" s="10" t="n">
        <v>6</v>
      </c>
      <c r="D84" s="10" t="n">
        <v>2</v>
      </c>
      <c r="E84" s="10" t="n">
        <v>10</v>
      </c>
      <c r="F84" s="10" t="inlineStr">
        <is>
          <t>Both</t>
        </is>
      </c>
    </row>
    <row r="85">
      <c r="B85" s="10" t="n"/>
      <c r="C85" s="10" t="n"/>
      <c r="D85" s="10" t="n"/>
      <c r="E85" s="10" t="n">
        <v>11</v>
      </c>
      <c r="F85" s="10" t="inlineStr">
        <is>
          <t>None</t>
        </is>
      </c>
    </row>
    <row r="86">
      <c r="A86" s="15" t="n"/>
      <c r="B86" s="16" t="n"/>
      <c r="C86" s="16" t="n"/>
      <c r="D86" s="16" t="n"/>
      <c r="E86" s="16" t="n">
        <v>12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2026-07-29T11:07:00Z</dcterms:created>
  <dcterms:modified xsi:type="dcterms:W3CDTF">2026-07-29T11:07:00Z</dcterms:modified>
</cp:coreProperties>
</file>