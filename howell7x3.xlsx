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By Board" sheetId="2" state="visible" r:id="rId2"/>
    <sheet name="By Round" sheetId="3" state="visible" r:id="rId3"/>
    <sheet name="IMP Table" sheetId="4" state="visible" r:id="rId4"/>
    <sheet name="Scoring Tab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#0.00"/>
    <numFmt numFmtId="166" formatCode="#0.0"/>
    <numFmt numFmtId="167" formatCode="#0"/>
  </numFmts>
  <fonts count="5">
    <font>
      <name val="Calibri"/>
      <family val="2"/>
      <color theme="1"/>
      <sz val="11"/>
      <scheme val="minor"/>
    </font>
    <font>
      <i val="1"/>
      <color rgb="005DADE2"/>
      <sz val="10"/>
    </font>
    <font>
      <b val="1"/>
      <sz val="14"/>
    </font>
    <font>
      <b val="1"/>
      <color rgb="00FF0000"/>
    </font>
    <font>
      <b val="1"/>
      <i val="1"/>
      <color rgb="00FF0000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top style="thin">
        <color rgb="00FF0000"/>
      </top>
    </border>
    <border>
      <bottom style="thin">
        <color rgb="00000000"/>
      </bottom>
    </border>
    <border>
      <left style="thin">
        <color rgb="00000000"/>
      </left>
      <bottom/>
    </border>
    <border>
      <left style="thin">
        <color rgb="00000000"/>
      </left>
      <bottom style="thin">
        <color rgb="0000000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0" fontId="3" fillId="0" borderId="1" pivotButton="0" quotePrefix="0" xfId="0"/>
    <xf numFmtId="165" fontId="3" fillId="0" borderId="1" pivotButton="0" quotePrefix="0" xfId="0"/>
    <xf numFmtId="0" fontId="4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3" pivotButton="0" quotePrefix="0" xfId="0"/>
    <xf numFmtId="166" fontId="0" fillId="0" borderId="3" pivotButton="0" quotePrefix="0" xfId="0"/>
    <xf numFmtId="166" fontId="0" fillId="0" borderId="0" pivotButton="0" quotePrefix="0" xfId="0"/>
    <xf numFmtId="10" fontId="0" fillId="0" borderId="0" pivotButton="0" quotePrefix="0" xfId="0"/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166" fontId="0" fillId="0" borderId="4" pivotButton="0" quotePrefix="0" xfId="0"/>
    <xf numFmtId="166" fontId="0" fillId="0" borderId="2" pivotButton="0" quotePrefix="0" xfId="0"/>
    <xf numFmtId="10" fontId="0" fillId="0" borderId="2" pivotButton="0" quotePrefix="0" xfId="0"/>
    <xf numFmtId="165" fontId="0" fillId="0" borderId="2" pivotButton="0" quotePrefix="0" xfId="0"/>
    <xf numFmtId="0" fontId="0" fillId="0" borderId="4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5" customWidth="1" min="2" max="2"/>
    <col width="25" customWidth="1" min="3" max="3"/>
  </cols>
  <sheetData>
    <row r="1">
      <c r="A1" s="1" t="inlineStr">
        <is>
          <t>For public domain. No rights reserved. Generated on Sep 06, 2026.</t>
        </is>
      </c>
    </row>
    <row r="2">
      <c r="A2" s="2" t="inlineStr">
        <is>
          <t>Howell Tournament</t>
        </is>
      </c>
    </row>
    <row r="3">
      <c r="A3" s="3" t="inlineStr">
        <is>
          <t>Pairs</t>
        </is>
      </c>
      <c r="C3" s="3" t="n">
        <v>7</v>
      </c>
    </row>
    <row r="4">
      <c r="A4" s="3" t="inlineStr">
        <is>
          <t>Tables</t>
        </is>
      </c>
      <c r="C4" s="3" t="n">
        <v>4</v>
      </c>
    </row>
    <row r="5">
      <c r="A5" s="3" t="inlineStr">
        <is>
          <t>Rounds</t>
        </is>
      </c>
      <c r="C5" s="3" t="n">
        <v>7</v>
      </c>
    </row>
    <row r="6">
      <c r="A6" s="3" t="inlineStr">
        <is>
          <t>Boards per round</t>
        </is>
      </c>
      <c r="C6" s="3" t="n">
        <v>3</v>
      </c>
    </row>
    <row r="7">
      <c r="A7" s="3" t="inlineStr">
        <is>
          <t>Total Boards to play</t>
        </is>
      </c>
      <c r="C7" s="3" t="n">
        <v>21</v>
      </c>
    </row>
    <row r="9">
      <c r="A9" s="2" t="inlineStr">
        <is>
          <t>Pairs</t>
        </is>
      </c>
      <c r="D9" s="2" t="inlineStr">
        <is>
          <t>MP</t>
        </is>
      </c>
      <c r="E9" s="2" t="inlineStr">
        <is>
          <t>IMP</t>
        </is>
      </c>
    </row>
    <row r="10">
      <c r="A10" s="2" t="n">
        <v>1</v>
      </c>
      <c r="B10" t="inlineStr">
        <is>
          <t>Name 30</t>
        </is>
      </c>
      <c r="C10" t="inlineStr">
        <is>
          <t>Name 79</t>
        </is>
      </c>
      <c r="D10" s="4">
        <f>SUMIF('By Board'!D3:D86,"="&amp;A10,'By Board'!Q3:Q86)/36+SUMIF('By Board'!E3:E86,"="&amp;A10,'By Board'!R3:R86)/36</f>
        <v/>
      </c>
      <c r="E10" s="5">
        <f>SUMIF('By Board'!D3:D86,"="&amp;A10,'By Board'!M3:M86)+SUMIF('By Board'!E3:E86,"="&amp;A10,'By Board'!N3:N86)</f>
        <v/>
      </c>
    </row>
    <row r="11">
      <c r="A11" s="2" t="n">
        <v>2</v>
      </c>
      <c r="B11" t="inlineStr">
        <is>
          <t>Name 63</t>
        </is>
      </c>
      <c r="C11" t="inlineStr">
        <is>
          <t>Name 33</t>
        </is>
      </c>
      <c r="D11" s="4">
        <f>SUMIF('By Board'!D3:D86,"="&amp;A11,'By Board'!Q3:Q86)/36+SUMIF('By Board'!E3:E86,"="&amp;A11,'By Board'!R3:R86)/36</f>
        <v/>
      </c>
      <c r="E11" s="5">
        <f>SUMIF('By Board'!D3:D86,"="&amp;A11,'By Board'!M3:M86)+SUMIF('By Board'!E3:E86,"="&amp;A11,'By Board'!N3:N86)</f>
        <v/>
      </c>
    </row>
    <row r="12">
      <c r="A12" s="2" t="n">
        <v>3</v>
      </c>
      <c r="B12" t="inlineStr">
        <is>
          <t>Name 25</t>
        </is>
      </c>
      <c r="C12" t="inlineStr">
        <is>
          <t>Name 26</t>
        </is>
      </c>
      <c r="D12" s="4">
        <f>SUMIF('By Board'!D3:D86,"="&amp;A12,'By Board'!Q3:Q86)/36+SUMIF('By Board'!E3:E86,"="&amp;A12,'By Board'!R3:R86)/36</f>
        <v/>
      </c>
      <c r="E12" s="5">
        <f>SUMIF('By Board'!D3:D86,"="&amp;A12,'By Board'!M3:M86)+SUMIF('By Board'!E3:E86,"="&amp;A12,'By Board'!N3:N86)</f>
        <v/>
      </c>
    </row>
    <row r="13">
      <c r="A13" s="2" t="n">
        <v>4</v>
      </c>
      <c r="B13" t="inlineStr">
        <is>
          <t>Name 17</t>
        </is>
      </c>
      <c r="C13" t="inlineStr">
        <is>
          <t>Name 60</t>
        </is>
      </c>
      <c r="D13" s="4">
        <f>SUMIF('By Board'!D3:D86,"="&amp;A13,'By Board'!Q3:Q86)/36+SUMIF('By Board'!E3:E86,"="&amp;A13,'By Board'!R3:R86)/36</f>
        <v/>
      </c>
      <c r="E13" s="5">
        <f>SUMIF('By Board'!D3:D86,"="&amp;A13,'By Board'!M3:M86)+SUMIF('By Board'!E3:E86,"="&amp;A13,'By Board'!N3:N86)</f>
        <v/>
      </c>
    </row>
    <row r="14">
      <c r="A14" s="2" t="n">
        <v>5</v>
      </c>
      <c r="B14" t="inlineStr">
        <is>
          <t>Name 77</t>
        </is>
      </c>
      <c r="C14" t="inlineStr">
        <is>
          <t>Name 15</t>
        </is>
      </c>
      <c r="D14" s="4">
        <f>SUMIF('By Board'!D3:D86,"="&amp;A14,'By Board'!Q3:Q86)/36+SUMIF('By Board'!E3:E86,"="&amp;A14,'By Board'!R3:R86)/36</f>
        <v/>
      </c>
      <c r="E14" s="5">
        <f>SUMIF('By Board'!D3:D86,"="&amp;A14,'By Board'!M3:M86)+SUMIF('By Board'!E3:E86,"="&amp;A14,'By Board'!N3:N86)</f>
        <v/>
      </c>
    </row>
    <row r="15">
      <c r="A15" s="2" t="n">
        <v>6</v>
      </c>
      <c r="B15" t="inlineStr">
        <is>
          <t>Name 64</t>
        </is>
      </c>
      <c r="C15" t="inlineStr">
        <is>
          <t>Name 80</t>
        </is>
      </c>
      <c r="D15" s="4">
        <f>SUMIF('By Board'!D3:D86,"="&amp;A15,'By Board'!Q3:Q86)/36+SUMIF('By Board'!E3:E86,"="&amp;A15,'By Board'!R3:R86)/36</f>
        <v/>
      </c>
      <c r="E15" s="5">
        <f>SUMIF('By Board'!D3:D86,"="&amp;A15,'By Board'!M3:M86)+SUMIF('By Board'!E3:E86,"="&amp;A15,'By Board'!N3:N86)</f>
        <v/>
      </c>
    </row>
    <row r="16">
      <c r="A16" s="2" t="n">
        <v>7</v>
      </c>
      <c r="B16" t="inlineStr">
        <is>
          <t>Name 77</t>
        </is>
      </c>
      <c r="C16" t="inlineStr">
        <is>
          <t>Name 14</t>
        </is>
      </c>
      <c r="D16" s="4">
        <f>SUMIF('By Board'!D3:D86,"="&amp;A16,'By Board'!Q3:Q86)/36+SUMIF('By Board'!E3:E86,"="&amp;A16,'By Board'!R3:R86)/36</f>
        <v/>
      </c>
      <c r="E16" s="5">
        <f>SUMIF('By Board'!D3:D86,"="&amp;A16,'By Board'!M3:M86)+SUMIF('By Board'!E3:E86,"="&amp;A16,'By Board'!N3:N86)</f>
        <v/>
      </c>
    </row>
    <row r="17">
      <c r="D17" s="6">
        <f>AVERAGE(D10:D16)</f>
        <v/>
      </c>
      <c r="E17" s="7">
        <f>SUM(E10:E16)</f>
        <v/>
      </c>
    </row>
  </sheetData>
  <mergeCells count="7">
    <mergeCell ref="A4:B4"/>
    <mergeCell ref="A7:B7"/>
    <mergeCell ref="A2:E2"/>
    <mergeCell ref="A5:B5"/>
    <mergeCell ref="A9:C9"/>
    <mergeCell ref="A3:B3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86"/>
  <sheetViews>
    <sheetView workbookViewId="0">
      <selection activeCell="A1" sqref="A1"/>
    </sheetView>
  </sheetViews>
  <sheetFormatPr baseColWidth="8" defaultRowHeight="15"/>
  <cols>
    <col width="30" customWidth="1" min="7" max="7"/>
  </cols>
  <sheetData>
    <row r="1">
      <c r="I1" s="8" t="inlineStr">
        <is>
          <t>Result</t>
        </is>
      </c>
      <c r="K1" s="8" t="inlineStr">
        <is>
          <t>Score</t>
        </is>
      </c>
      <c r="M1" s="8" t="inlineStr">
        <is>
          <t>IMP</t>
        </is>
      </c>
      <c r="O1" s="8" t="inlineStr">
        <is>
          <t>MP %</t>
        </is>
      </c>
      <c r="Q1" s="8" t="inlineStr">
        <is>
          <t>MP Pts</t>
        </is>
      </c>
      <c r="S1" s="8" t="inlineStr">
        <is>
          <t>Net</t>
        </is>
      </c>
      <c r="U1" s="8" t="inlineStr">
        <is>
          <t>MP Calculation</t>
        </is>
      </c>
      <c r="Y1" s="8" t="inlineStr">
        <is>
          <t>IMP Calculation</t>
        </is>
      </c>
    </row>
    <row r="2">
      <c r="A2" s="2" t="inlineStr">
        <is>
          <t>Board</t>
        </is>
      </c>
      <c r="B2" s="2" t="inlineStr">
        <is>
          <t>Round</t>
        </is>
      </c>
      <c r="C2" s="2" t="inlineStr">
        <is>
          <t>Table</t>
        </is>
      </c>
      <c r="D2" s="2" t="inlineStr">
        <is>
          <t>NS</t>
        </is>
      </c>
      <c r="E2" s="2" t="inlineStr">
        <is>
          <t>EW</t>
        </is>
      </c>
      <c r="F2" s="2" t="inlineStr">
        <is>
          <t>Vul</t>
        </is>
      </c>
      <c r="G2" s="2" t="inlineStr">
        <is>
          <t>Contract</t>
        </is>
      </c>
      <c r="H2" s="2" t="inlineStr">
        <is>
          <t>By</t>
        </is>
      </c>
      <c r="I2" s="2" t="inlineStr">
        <is>
          <t>Made</t>
        </is>
      </c>
      <c r="J2" s="2" t="inlineStr">
        <is>
          <t>Down</t>
        </is>
      </c>
      <c r="K2" s="2" t="inlineStr">
        <is>
          <t>NS</t>
        </is>
      </c>
      <c r="L2" s="2" t="inlineStr">
        <is>
          <t>EW</t>
        </is>
      </c>
      <c r="M2" s="9" t="inlineStr">
        <is>
          <t>NS</t>
        </is>
      </c>
      <c r="N2" s="2" t="inlineStr">
        <is>
          <t>EW</t>
        </is>
      </c>
      <c r="O2" s="2" t="inlineStr">
        <is>
          <t>NS</t>
        </is>
      </c>
      <c r="P2" s="2" t="inlineStr">
        <is>
          <t>EW</t>
        </is>
      </c>
      <c r="Q2" s="2" t="inlineStr">
        <is>
          <t>NS</t>
        </is>
      </c>
      <c r="R2" s="2" t="inlineStr">
        <is>
          <t>EW</t>
        </is>
      </c>
      <c r="S2" s="9" t="inlineStr">
        <is>
          <t>NS</t>
        </is>
      </c>
      <c r="T2" s="2" t="inlineStr">
        <is>
          <t>EW</t>
        </is>
      </c>
      <c r="U2" s="9" t="inlineStr">
        <is>
          <t>NS MP Scores</t>
        </is>
      </c>
      <c r="W2" s="2" t="inlineStr">
        <is>
          <t>EW MP Scores</t>
        </is>
      </c>
      <c r="Y2" s="9" t="inlineStr">
        <is>
          <t>NS IMP Pair-wise</t>
        </is>
      </c>
      <c r="AA2" s="2" t="inlineStr">
        <is>
          <t>EW IMP Pair-wise</t>
        </is>
      </c>
    </row>
    <row r="3">
      <c r="A3" s="10" t="n">
        <v>1</v>
      </c>
      <c r="B3" s="10">
        <f>'By Round'!A3</f>
        <v/>
      </c>
      <c r="C3" s="10">
        <f>'By Round'!B3</f>
        <v/>
      </c>
      <c r="D3" s="10">
        <f>'By Round'!C3</f>
        <v/>
      </c>
      <c r="E3" s="10">
        <f>'By Round'!D3</f>
        <v/>
      </c>
      <c r="F3" s="10">
        <f>IF(ISBLANK('By Round'!F3),"",'By Round'!F3)</f>
        <v/>
      </c>
      <c r="G3">
        <f>IF(ISBLANK('By Round'!G3),"",'By Round'!G3)</f>
        <v/>
      </c>
      <c r="H3">
        <f>IF(ISBLANK('By Round'!H3),"",'By Round'!H3)</f>
        <v/>
      </c>
      <c r="I3">
        <f>IF(ISBLANK('By Round'!I3),"",'By Round'!I3)</f>
        <v/>
      </c>
      <c r="J3">
        <f>IF(ISBLANK('By Round'!J3),"",'By Round'!J3)</f>
        <v/>
      </c>
      <c r="K3">
        <f>IF(ISBLANK('By Round'!K3),"",'By Round'!K3)</f>
        <v/>
      </c>
      <c r="L3">
        <f>IF(ISBLANK('By Round'!L3),"",'By Round'!L3)</f>
        <v/>
      </c>
      <c r="M3" s="11">
        <f>IF(ISBLANK('By Round'!M3),"",'By Round'!M3)</f>
        <v/>
      </c>
      <c r="N3">
        <f>IF(ISBLANK('By Round'!N3),"",'By Round'!N3)</f>
        <v/>
      </c>
      <c r="O3">
        <f>IF(ISBLANK('By Round'!O3),"",'By Round'!O3)</f>
        <v/>
      </c>
      <c r="P3">
        <f>IF(ISBLANK('By Round'!P3),"",'By Round'!P3)</f>
        <v/>
      </c>
      <c r="Q3">
        <f>IF(ISBLANK('By Round'!Q3),"",'By Round'!Q3)</f>
        <v/>
      </c>
      <c r="R3">
        <f>IF(ISBLANK('By Round'!R3),"",'By Round'!R3)</f>
        <v/>
      </c>
      <c r="S3" s="11">
        <f>IF(ISBLANK('By Round'!S3),"",'By Round'!S3)</f>
        <v/>
      </c>
      <c r="T3">
        <f>IF(ISBLANK('By Round'!T3),"",'By Round'!T3)</f>
        <v/>
      </c>
      <c r="U3" s="11">
        <f>IF(ISBLANK('By Round'!U3),"",'By Round'!U3)</f>
        <v/>
      </c>
      <c r="V3">
        <f>IF(ISBLANK('By Round'!V3),"",'By Round'!V3)</f>
        <v/>
      </c>
      <c r="W3">
        <f>IF(ISBLANK('By Round'!W3),"",'By Round'!W3)</f>
        <v/>
      </c>
      <c r="X3">
        <f>IF(ISBLANK('By Round'!X3),"",'By Round'!X3)</f>
        <v/>
      </c>
      <c r="Y3" s="11" t="n"/>
    </row>
    <row r="4">
      <c r="B4" s="10">
        <f>'By Round'!A63</f>
        <v/>
      </c>
      <c r="C4" s="10">
        <f>'By Round'!B69</f>
        <v/>
      </c>
      <c r="D4" s="10">
        <f>'By Round'!C69</f>
        <v/>
      </c>
      <c r="E4" s="10">
        <f>'By Round'!D69</f>
        <v/>
      </c>
      <c r="F4" s="10">
        <f>IF(ISBLANK('By Round'!F69),"",'By Round'!F69)</f>
        <v/>
      </c>
      <c r="G4">
        <f>IF(ISBLANK('By Round'!G69),"",'By Round'!G69)</f>
        <v/>
      </c>
      <c r="H4">
        <f>IF(ISBLANK('By Round'!H69),"",'By Round'!H69)</f>
        <v/>
      </c>
      <c r="I4">
        <f>IF(ISBLANK('By Round'!I69),"",'By Round'!I69)</f>
        <v/>
      </c>
      <c r="J4">
        <f>IF(ISBLANK('By Round'!J69),"",'By Round'!J69)</f>
        <v/>
      </c>
      <c r="K4">
        <f>IF(ISBLANK('By Round'!K69),"",'By Round'!K69)</f>
        <v/>
      </c>
      <c r="L4">
        <f>IF(ISBLANK('By Round'!L69),"",'By Round'!L69)</f>
        <v/>
      </c>
      <c r="M4" s="12">
        <f>AVERAGE(Y4:Z4)</f>
        <v/>
      </c>
      <c r="N4" s="13">
        <f>AVERAGE(AA4:AB4)</f>
        <v/>
      </c>
      <c r="O4" s="14">
        <f>IF(COUNT(U4:V4)&gt;0,Q4/COUNT(U4:V4),0.5)</f>
        <v/>
      </c>
      <c r="P4" s="14">
        <f>IF(COUNT(W4:X4)&gt;0,R4/COUNT(W4:X4),0.5)</f>
        <v/>
      </c>
      <c r="Q4" s="5">
        <f>SUM(U4:V4)</f>
        <v/>
      </c>
      <c r="R4" s="5">
        <f>SUM(W4:X4)</f>
        <v/>
      </c>
      <c r="S4" s="11">
        <f>IF(ISNUMBER(K4),K4,IF(ISNUMBER(L4),-L4,""))</f>
        <v/>
      </c>
      <c r="T4">
        <f>IF(ISNUMBER(L4),L4,IF(ISNUMBER(K4),-K4,""))</f>
        <v/>
      </c>
      <c r="U4" s="11">
        <f>IF(ISNUMBER(S4),IF(ISNUMBER(S5),IF(S4&gt;S5,1.0,IF(S4=S5,0.5,0.0)),0.5),0.5)</f>
        <v/>
      </c>
      <c r="V4">
        <f>IF(ISNUMBER(S4),IF(ISNUMBER(S6),IF(S4&gt;S6,1.0,IF(S4=S6,0.5,0.0)),0.5),0.5)</f>
        <v/>
      </c>
      <c r="W4">
        <f>IF(ISNUMBER(T4),IF(ISNUMBER(T5),IF(T4&gt;T5,1.0,IF(T4=T5,0.5,0.0)),0.5),0.5)</f>
        <v/>
      </c>
      <c r="X4">
        <f>IF(ISNUMBER(T4),IF(ISNUMBER(T6),IF(T4&gt;T6,1.0,IF(T4=T6,0.5,0.0)),0.5),0.5)</f>
        <v/>
      </c>
      <c r="Y4" s="11">
        <f>IF(AND(ISNUMBER(S4),ISNUMBER(S5)),VLOOKUP(ABS(S4-S5),'IMP Table'!$A$2:$C$26,3)*SIGN(S4-S5),0)</f>
        <v/>
      </c>
      <c r="Z4">
        <f>IF(AND(ISNUMBER(S4),ISNUMBER(S6)),VLOOKUP(ABS(S4-S6),'IMP Table'!$A$2:$C$26,3)*SIGN(S4-S6),0)</f>
        <v/>
      </c>
      <c r="AA4">
        <f>IF(AND(ISNUMBER(T4),ISNUMBER(T5)),VLOOKUP(ABS(T4-T5),'IMP Table'!$A$2:$C$26,3)*SIGN(T4-T5),0)</f>
        <v/>
      </c>
      <c r="AB4">
        <f>IF(AND(ISNUMBER(T4),ISNUMBER(T6)),VLOOKUP(ABS(T4-T6),'IMP Table'!$A$2:$C$26,3)*SIGN(T4-T6),0)</f>
        <v/>
      </c>
    </row>
    <row r="5">
      <c r="B5" s="10">
        <f>'By Round'!A39</f>
        <v/>
      </c>
      <c r="C5" s="10">
        <f>'By Round'!B48</f>
        <v/>
      </c>
      <c r="D5" s="10">
        <f>'By Round'!C48</f>
        <v/>
      </c>
      <c r="E5" s="10">
        <f>'By Round'!D48</f>
        <v/>
      </c>
      <c r="F5" s="10">
        <f>IF(ISBLANK('By Round'!F48),"",'By Round'!F48)</f>
        <v/>
      </c>
      <c r="G5">
        <f>IF(ISBLANK('By Round'!G48),"",'By Round'!G48)</f>
        <v/>
      </c>
      <c r="H5">
        <f>IF(ISBLANK('By Round'!H48),"",'By Round'!H48)</f>
        <v/>
      </c>
      <c r="I5">
        <f>IF(ISBLANK('By Round'!I48),"",'By Round'!I48)</f>
        <v/>
      </c>
      <c r="J5">
        <f>IF(ISBLANK('By Round'!J48),"",'By Round'!J48)</f>
        <v/>
      </c>
      <c r="K5">
        <f>IF(ISBLANK('By Round'!K48),"",'By Round'!K48)</f>
        <v/>
      </c>
      <c r="L5">
        <f>IF(ISBLANK('By Round'!L48),"",'By Round'!L48)</f>
        <v/>
      </c>
      <c r="M5" s="12">
        <f>AVERAGE(Y5:Z5)</f>
        <v/>
      </c>
      <c r="N5" s="13">
        <f>AVERAGE(AA5:AB5)</f>
        <v/>
      </c>
      <c r="O5" s="14">
        <f>IF(COUNT(U5:V5)&gt;0,Q5/COUNT(U5:V5),0.5)</f>
        <v/>
      </c>
      <c r="P5" s="14">
        <f>IF(COUNT(W5:X5)&gt;0,R5/COUNT(W5:X5),0.5)</f>
        <v/>
      </c>
      <c r="Q5" s="5">
        <f>SUM(U5:V5)</f>
        <v/>
      </c>
      <c r="R5" s="5">
        <f>SUM(W5:X5)</f>
        <v/>
      </c>
      <c r="S5" s="11">
        <f>IF(ISNUMBER(K5),K5,IF(ISNUMBER(L5),-L5,""))</f>
        <v/>
      </c>
      <c r="T5">
        <f>IF(ISNUMBER(L5),L5,IF(ISNUMBER(K5),-K5,""))</f>
        <v/>
      </c>
      <c r="U5" s="11">
        <f>IF(ISNUMBER(S5),IF(ISNUMBER(S4),IF(S5&gt;S4,1.0,IF(S5=S4,0.5,0.0)),0.5),0.5)</f>
        <v/>
      </c>
      <c r="V5">
        <f>IF(ISNUMBER(S5),IF(ISNUMBER(S6),IF(S5&gt;S6,1.0,IF(S5=S6,0.5,0.0)),0.5),0.5)</f>
        <v/>
      </c>
      <c r="W5">
        <f>IF(ISNUMBER(T5),IF(ISNUMBER(T4),IF(T5&gt;T4,1.0,IF(T5=T4,0.5,0.0)),0.5),0.5)</f>
        <v/>
      </c>
      <c r="X5">
        <f>IF(ISNUMBER(T5),IF(ISNUMBER(T6),IF(T5&gt;T6,1.0,IF(T5=T6,0.5,0.0)),0.5),0.5)</f>
        <v/>
      </c>
      <c r="Y5" s="11">
        <f>IF(AND(ISNUMBER(S5),ISNUMBER(S4)),VLOOKUP(ABS(S5-S4),'IMP Table'!$A$2:$C$26,3)*SIGN(S5-S4),0)</f>
        <v/>
      </c>
      <c r="Z5">
        <f>IF(AND(ISNUMBER(S5),ISNUMBER(S6)),VLOOKUP(ABS(S5-S6),'IMP Table'!$A$2:$C$26,3)*SIGN(S5-S6),0)</f>
        <v/>
      </c>
      <c r="AA5">
        <f>IF(AND(ISNUMBER(T5),ISNUMBER(T4)),VLOOKUP(ABS(T5-T4),'IMP Table'!$A$2:$C$26,3)*SIGN(T5-T4),0)</f>
        <v/>
      </c>
      <c r="AB5">
        <f>IF(AND(ISNUMBER(T5),ISNUMBER(T6)),VLOOKUP(ABS(T5-T6),'IMP Table'!$A$2:$C$26,3)*SIGN(T5-T6),0)</f>
        <v/>
      </c>
    </row>
    <row r="6">
      <c r="A6" s="15" t="n"/>
      <c r="B6" s="16">
        <f>'By Round'!A75</f>
        <v/>
      </c>
      <c r="C6" s="16">
        <f>'By Round'!B78</f>
        <v/>
      </c>
      <c r="D6" s="16">
        <f>'By Round'!C78</f>
        <v/>
      </c>
      <c r="E6" s="16">
        <f>'By Round'!D78</f>
        <v/>
      </c>
      <c r="F6" s="16">
        <f>IF(ISBLANK('By Round'!F78),"",'By Round'!F78)</f>
        <v/>
      </c>
      <c r="G6" s="15">
        <f>IF(ISBLANK('By Round'!G78),"",'By Round'!G78)</f>
        <v/>
      </c>
      <c r="H6" s="15">
        <f>IF(ISBLANK('By Round'!H78),"",'By Round'!H78)</f>
        <v/>
      </c>
      <c r="I6" s="15">
        <f>IF(ISBLANK('By Round'!I78),"",'By Round'!I78)</f>
        <v/>
      </c>
      <c r="J6" s="15">
        <f>IF(ISBLANK('By Round'!J78),"",'By Round'!J78)</f>
        <v/>
      </c>
      <c r="K6" s="15">
        <f>IF(ISBLANK('By Round'!K78),"",'By Round'!K78)</f>
        <v/>
      </c>
      <c r="L6" s="15">
        <f>IF(ISBLANK('By Round'!L78),"",'By Round'!L78)</f>
        <v/>
      </c>
      <c r="M6" s="17">
        <f>AVERAGE(Y6:Z6)</f>
        <v/>
      </c>
      <c r="N6" s="18">
        <f>AVERAGE(AA6:AB6)</f>
        <v/>
      </c>
      <c r="O6" s="19">
        <f>IF(COUNT(U6:V6)&gt;0,Q6/COUNT(U6:V6),0.5)</f>
        <v/>
      </c>
      <c r="P6" s="19">
        <f>IF(COUNT(W6:X6)&gt;0,R6/COUNT(W6:X6),0.5)</f>
        <v/>
      </c>
      <c r="Q6" s="20">
        <f>SUM(U6:V6)</f>
        <v/>
      </c>
      <c r="R6" s="20">
        <f>SUM(W6:X6)</f>
        <v/>
      </c>
      <c r="S6" s="21">
        <f>IF(ISNUMBER(K6),K6,IF(ISNUMBER(L6),-L6,""))</f>
        <v/>
      </c>
      <c r="T6" s="15">
        <f>IF(ISNUMBER(L6),L6,IF(ISNUMBER(K6),-K6,""))</f>
        <v/>
      </c>
      <c r="U6" s="21">
        <f>IF(ISNUMBER(S6),IF(ISNUMBER(S4),IF(S6&gt;S4,1.0,IF(S6=S4,0.5,0.0)),0.5),0.5)</f>
        <v/>
      </c>
      <c r="V6" s="15">
        <f>IF(ISNUMBER(S6),IF(ISNUMBER(S5),IF(S6&gt;S5,1.0,IF(S6=S5,0.5,0.0)),0.5),0.5)</f>
        <v/>
      </c>
      <c r="W6" s="15">
        <f>IF(ISNUMBER(T6),IF(ISNUMBER(T4),IF(T6&gt;T4,1.0,IF(T6=T4,0.5,0.0)),0.5),0.5)</f>
        <v/>
      </c>
      <c r="X6" s="15">
        <f>IF(ISNUMBER(T6),IF(ISNUMBER(T5),IF(T6&gt;T5,1.0,IF(T6=T5,0.5,0.0)),0.5),0.5)</f>
        <v/>
      </c>
      <c r="Y6" s="21">
        <f>IF(AND(ISNUMBER(S6),ISNUMBER(S4)),VLOOKUP(ABS(S6-S4),'IMP Table'!$A$2:$C$26,3)*SIGN(S6-S4),0)</f>
        <v/>
      </c>
      <c r="Z6" s="15">
        <f>IF(AND(ISNUMBER(S6),ISNUMBER(S5)),VLOOKUP(ABS(S6-S5),'IMP Table'!$A$2:$C$26,3)*SIGN(S6-S5),0)</f>
        <v/>
      </c>
      <c r="AA6" s="15">
        <f>IF(AND(ISNUMBER(T6),ISNUMBER(T4)),VLOOKUP(ABS(T6-T4),'IMP Table'!$A$2:$C$26,3)*SIGN(T6-T4),0)</f>
        <v/>
      </c>
      <c r="AB6" s="15">
        <f>IF(AND(ISNUMBER(T6),ISNUMBER(T5)),VLOOKUP(ABS(T6-T5),'IMP Table'!$A$2:$C$26,3)*SIGN(T6-T5),0)</f>
        <v/>
      </c>
      <c r="AC6" s="15" t="n"/>
      <c r="AD6" s="15" t="n"/>
      <c r="AE6" s="15" t="n"/>
      <c r="AF6" s="15" t="n"/>
    </row>
    <row r="7">
      <c r="A7" s="10" t="n">
        <v>2</v>
      </c>
      <c r="B7" s="10">
        <f>'By Round'!A3</f>
        <v/>
      </c>
      <c r="C7" s="10">
        <f>'By Round'!B3</f>
        <v/>
      </c>
      <c r="D7" s="10">
        <f>'By Round'!C3</f>
        <v/>
      </c>
      <c r="E7" s="10">
        <f>'By Round'!D3</f>
        <v/>
      </c>
      <c r="F7" s="10">
        <f>IF(ISBLANK('By Round'!F4),"",'By Round'!F4)</f>
        <v/>
      </c>
      <c r="G7">
        <f>IF(ISBLANK('By Round'!G4),"",'By Round'!G4)</f>
        <v/>
      </c>
      <c r="H7">
        <f>IF(ISBLANK('By Round'!H4),"",'By Round'!H4)</f>
        <v/>
      </c>
      <c r="I7">
        <f>IF(ISBLANK('By Round'!I4),"",'By Round'!I4)</f>
        <v/>
      </c>
      <c r="J7">
        <f>IF(ISBLANK('By Round'!J4),"",'By Round'!J4)</f>
        <v/>
      </c>
      <c r="K7">
        <f>IF(ISBLANK('By Round'!K4),"",'By Round'!K4)</f>
        <v/>
      </c>
      <c r="L7">
        <f>IF(ISBLANK('By Round'!L4),"",'By Round'!L4)</f>
        <v/>
      </c>
      <c r="M7" s="11">
        <f>IF(ISBLANK('By Round'!M4),"",'By Round'!M4)</f>
        <v/>
      </c>
      <c r="N7">
        <f>IF(ISBLANK('By Round'!N4),"",'By Round'!N4)</f>
        <v/>
      </c>
      <c r="O7">
        <f>IF(ISBLANK('By Round'!O4),"",'By Round'!O4)</f>
        <v/>
      </c>
      <c r="P7">
        <f>IF(ISBLANK('By Round'!P4),"",'By Round'!P4)</f>
        <v/>
      </c>
      <c r="Q7">
        <f>IF(ISBLANK('By Round'!Q4),"",'By Round'!Q4)</f>
        <v/>
      </c>
      <c r="R7">
        <f>IF(ISBLANK('By Round'!R4),"",'By Round'!R4)</f>
        <v/>
      </c>
      <c r="S7" s="11">
        <f>IF(ISBLANK('By Round'!S4),"",'By Round'!S4)</f>
        <v/>
      </c>
      <c r="T7">
        <f>IF(ISBLANK('By Round'!T4),"",'By Round'!T4)</f>
        <v/>
      </c>
      <c r="U7" s="11">
        <f>IF(ISBLANK('By Round'!U4),"",'By Round'!U4)</f>
        <v/>
      </c>
      <c r="V7">
        <f>IF(ISBLANK('By Round'!V4),"",'By Round'!V4)</f>
        <v/>
      </c>
      <c r="W7">
        <f>IF(ISBLANK('By Round'!W4),"",'By Round'!W4)</f>
        <v/>
      </c>
      <c r="X7">
        <f>IF(ISBLANK('By Round'!X4),"",'By Round'!X4)</f>
        <v/>
      </c>
      <c r="Y7" s="11" t="n"/>
    </row>
    <row r="8">
      <c r="B8" s="10">
        <f>'By Round'!A63</f>
        <v/>
      </c>
      <c r="C8" s="10">
        <f>'By Round'!B69</f>
        <v/>
      </c>
      <c r="D8" s="10">
        <f>'By Round'!C69</f>
        <v/>
      </c>
      <c r="E8" s="10">
        <f>'By Round'!D69</f>
        <v/>
      </c>
      <c r="F8" s="10">
        <f>IF(ISBLANK('By Round'!F70),"",'By Round'!F70)</f>
        <v/>
      </c>
      <c r="G8">
        <f>IF(ISBLANK('By Round'!G70),"",'By Round'!G70)</f>
        <v/>
      </c>
      <c r="H8">
        <f>IF(ISBLANK('By Round'!H70),"",'By Round'!H70)</f>
        <v/>
      </c>
      <c r="I8">
        <f>IF(ISBLANK('By Round'!I70),"",'By Round'!I70)</f>
        <v/>
      </c>
      <c r="J8">
        <f>IF(ISBLANK('By Round'!J70),"",'By Round'!J70)</f>
        <v/>
      </c>
      <c r="K8">
        <f>IF(ISBLANK('By Round'!K70),"",'By Round'!K70)</f>
        <v/>
      </c>
      <c r="L8">
        <f>IF(ISBLANK('By Round'!L70),"",'By Round'!L70)</f>
        <v/>
      </c>
      <c r="M8" s="12">
        <f>AVERAGE(Y8:Z8)</f>
        <v/>
      </c>
      <c r="N8" s="13">
        <f>AVERAGE(AA8:AB8)</f>
        <v/>
      </c>
      <c r="O8" s="14">
        <f>IF(COUNT(U8:V8)&gt;0,Q8/COUNT(U8:V8),0.5)</f>
        <v/>
      </c>
      <c r="P8" s="14">
        <f>IF(COUNT(W8:X8)&gt;0,R8/COUNT(W8:X8),0.5)</f>
        <v/>
      </c>
      <c r="Q8" s="5">
        <f>SUM(U8:V8)</f>
        <v/>
      </c>
      <c r="R8" s="5">
        <f>SUM(W8:X8)</f>
        <v/>
      </c>
      <c r="S8" s="11">
        <f>IF(ISNUMBER(K8),K8,IF(ISNUMBER(L8),-L8,""))</f>
        <v/>
      </c>
      <c r="T8">
        <f>IF(ISNUMBER(L8),L8,IF(ISNUMBER(K8),-K8,""))</f>
        <v/>
      </c>
      <c r="U8" s="11">
        <f>IF(ISNUMBER(S8),IF(ISNUMBER(S9),IF(S8&gt;S9,1.0,IF(S8=S9,0.5,0.0)),0.5),0.5)</f>
        <v/>
      </c>
      <c r="V8">
        <f>IF(ISNUMBER(S8),IF(ISNUMBER(S10),IF(S8&gt;S10,1.0,IF(S8=S10,0.5,0.0)),0.5),0.5)</f>
        <v/>
      </c>
      <c r="W8">
        <f>IF(ISNUMBER(T8),IF(ISNUMBER(T9),IF(T8&gt;T9,1.0,IF(T8=T9,0.5,0.0)),0.5),0.5)</f>
        <v/>
      </c>
      <c r="X8">
        <f>IF(ISNUMBER(T8),IF(ISNUMBER(T10),IF(T8&gt;T10,1.0,IF(T8=T10,0.5,0.0)),0.5),0.5)</f>
        <v/>
      </c>
      <c r="Y8" s="11">
        <f>IF(AND(ISNUMBER(S8),ISNUMBER(S9)),VLOOKUP(ABS(S8-S9),'IMP Table'!$A$2:$C$26,3)*SIGN(S8-S9),0)</f>
        <v/>
      </c>
      <c r="Z8">
        <f>IF(AND(ISNUMBER(S8),ISNUMBER(S10)),VLOOKUP(ABS(S8-S10),'IMP Table'!$A$2:$C$26,3)*SIGN(S8-S10),0)</f>
        <v/>
      </c>
      <c r="AA8">
        <f>IF(AND(ISNUMBER(T8),ISNUMBER(T9)),VLOOKUP(ABS(T8-T9),'IMP Table'!$A$2:$C$26,3)*SIGN(T8-T9),0)</f>
        <v/>
      </c>
      <c r="AB8">
        <f>IF(AND(ISNUMBER(T8),ISNUMBER(T10)),VLOOKUP(ABS(T8-T10),'IMP Table'!$A$2:$C$26,3)*SIGN(T8-T10),0)</f>
        <v/>
      </c>
    </row>
    <row r="9">
      <c r="B9" s="10">
        <f>'By Round'!A39</f>
        <v/>
      </c>
      <c r="C9" s="10">
        <f>'By Round'!B48</f>
        <v/>
      </c>
      <c r="D9" s="10">
        <f>'By Round'!C48</f>
        <v/>
      </c>
      <c r="E9" s="10">
        <f>'By Round'!D48</f>
        <v/>
      </c>
      <c r="F9" s="10">
        <f>IF(ISBLANK('By Round'!F49),"",'By Round'!F49)</f>
        <v/>
      </c>
      <c r="G9">
        <f>IF(ISBLANK('By Round'!G49),"",'By Round'!G49)</f>
        <v/>
      </c>
      <c r="H9">
        <f>IF(ISBLANK('By Round'!H49),"",'By Round'!H49)</f>
        <v/>
      </c>
      <c r="I9">
        <f>IF(ISBLANK('By Round'!I49),"",'By Round'!I49)</f>
        <v/>
      </c>
      <c r="J9">
        <f>IF(ISBLANK('By Round'!J49),"",'By Round'!J49)</f>
        <v/>
      </c>
      <c r="K9">
        <f>IF(ISBLANK('By Round'!K49),"",'By Round'!K49)</f>
        <v/>
      </c>
      <c r="L9">
        <f>IF(ISBLANK('By Round'!L49),"",'By Round'!L49)</f>
        <v/>
      </c>
      <c r="M9" s="12">
        <f>AVERAGE(Y9:Z9)</f>
        <v/>
      </c>
      <c r="N9" s="13">
        <f>AVERAGE(AA9:AB9)</f>
        <v/>
      </c>
      <c r="O9" s="14">
        <f>IF(COUNT(U9:V9)&gt;0,Q9/COUNT(U9:V9),0.5)</f>
        <v/>
      </c>
      <c r="P9" s="14">
        <f>IF(COUNT(W9:X9)&gt;0,R9/COUNT(W9:X9),0.5)</f>
        <v/>
      </c>
      <c r="Q9" s="5">
        <f>SUM(U9:V9)</f>
        <v/>
      </c>
      <c r="R9" s="5">
        <f>SUM(W9:X9)</f>
        <v/>
      </c>
      <c r="S9" s="11">
        <f>IF(ISNUMBER(K9),K9,IF(ISNUMBER(L9),-L9,""))</f>
        <v/>
      </c>
      <c r="T9">
        <f>IF(ISNUMBER(L9),L9,IF(ISNUMBER(K9),-K9,""))</f>
        <v/>
      </c>
      <c r="U9" s="11">
        <f>IF(ISNUMBER(S9),IF(ISNUMBER(S8),IF(S9&gt;S8,1.0,IF(S9=S8,0.5,0.0)),0.5),0.5)</f>
        <v/>
      </c>
      <c r="V9">
        <f>IF(ISNUMBER(S9),IF(ISNUMBER(S10),IF(S9&gt;S10,1.0,IF(S9=S10,0.5,0.0)),0.5),0.5)</f>
        <v/>
      </c>
      <c r="W9">
        <f>IF(ISNUMBER(T9),IF(ISNUMBER(T8),IF(T9&gt;T8,1.0,IF(T9=T8,0.5,0.0)),0.5),0.5)</f>
        <v/>
      </c>
      <c r="X9">
        <f>IF(ISNUMBER(T9),IF(ISNUMBER(T10),IF(T9&gt;T10,1.0,IF(T9=T10,0.5,0.0)),0.5),0.5)</f>
        <v/>
      </c>
      <c r="Y9" s="11">
        <f>IF(AND(ISNUMBER(S9),ISNUMBER(S8)),VLOOKUP(ABS(S9-S8),'IMP Table'!$A$2:$C$26,3)*SIGN(S9-S8),0)</f>
        <v/>
      </c>
      <c r="Z9">
        <f>IF(AND(ISNUMBER(S9),ISNUMBER(S10)),VLOOKUP(ABS(S9-S10),'IMP Table'!$A$2:$C$26,3)*SIGN(S9-S10),0)</f>
        <v/>
      </c>
      <c r="AA9">
        <f>IF(AND(ISNUMBER(T9),ISNUMBER(T8)),VLOOKUP(ABS(T9-T8),'IMP Table'!$A$2:$C$26,3)*SIGN(T9-T8),0)</f>
        <v/>
      </c>
      <c r="AB9">
        <f>IF(AND(ISNUMBER(T9),ISNUMBER(T10)),VLOOKUP(ABS(T9-T10),'IMP Table'!$A$2:$C$26,3)*SIGN(T9-T10),0)</f>
        <v/>
      </c>
    </row>
    <row r="10">
      <c r="A10" s="15" t="n"/>
      <c r="B10" s="16">
        <f>'By Round'!A75</f>
        <v/>
      </c>
      <c r="C10" s="16">
        <f>'By Round'!B78</f>
        <v/>
      </c>
      <c r="D10" s="16">
        <f>'By Round'!C78</f>
        <v/>
      </c>
      <c r="E10" s="16">
        <f>'By Round'!D78</f>
        <v/>
      </c>
      <c r="F10" s="16">
        <f>IF(ISBLANK('By Round'!F79),"",'By Round'!F79)</f>
        <v/>
      </c>
      <c r="G10" s="15">
        <f>IF(ISBLANK('By Round'!G79),"",'By Round'!G79)</f>
        <v/>
      </c>
      <c r="H10" s="15">
        <f>IF(ISBLANK('By Round'!H79),"",'By Round'!H79)</f>
        <v/>
      </c>
      <c r="I10" s="15">
        <f>IF(ISBLANK('By Round'!I79),"",'By Round'!I79)</f>
        <v/>
      </c>
      <c r="J10" s="15">
        <f>IF(ISBLANK('By Round'!J79),"",'By Round'!J79)</f>
        <v/>
      </c>
      <c r="K10" s="15">
        <f>IF(ISBLANK('By Round'!K79),"",'By Round'!K79)</f>
        <v/>
      </c>
      <c r="L10" s="15">
        <f>IF(ISBLANK('By Round'!L79),"",'By Round'!L79)</f>
        <v/>
      </c>
      <c r="M10" s="17">
        <f>AVERAGE(Y10:Z10)</f>
        <v/>
      </c>
      <c r="N10" s="18">
        <f>AVERAGE(AA10:AB10)</f>
        <v/>
      </c>
      <c r="O10" s="19">
        <f>IF(COUNT(U10:V10)&gt;0,Q10/COUNT(U10:V10),0.5)</f>
        <v/>
      </c>
      <c r="P10" s="19">
        <f>IF(COUNT(W10:X10)&gt;0,R10/COUNT(W10:X10),0.5)</f>
        <v/>
      </c>
      <c r="Q10" s="20">
        <f>SUM(U10:V10)</f>
        <v/>
      </c>
      <c r="R10" s="20">
        <f>SUM(W10:X10)</f>
        <v/>
      </c>
      <c r="S10" s="21">
        <f>IF(ISNUMBER(K10),K10,IF(ISNUMBER(L10),-L10,""))</f>
        <v/>
      </c>
      <c r="T10" s="15">
        <f>IF(ISNUMBER(L10),L10,IF(ISNUMBER(K10),-K10,""))</f>
        <v/>
      </c>
      <c r="U10" s="21">
        <f>IF(ISNUMBER(S10),IF(ISNUMBER(S8),IF(S10&gt;S8,1.0,IF(S10=S8,0.5,0.0)),0.5),0.5)</f>
        <v/>
      </c>
      <c r="V10" s="15">
        <f>IF(ISNUMBER(S10),IF(ISNUMBER(S9),IF(S10&gt;S9,1.0,IF(S10=S9,0.5,0.0)),0.5),0.5)</f>
        <v/>
      </c>
      <c r="W10" s="15">
        <f>IF(ISNUMBER(T10),IF(ISNUMBER(T8),IF(T10&gt;T8,1.0,IF(T10=T8,0.5,0.0)),0.5),0.5)</f>
        <v/>
      </c>
      <c r="X10" s="15">
        <f>IF(ISNUMBER(T10),IF(ISNUMBER(T9),IF(T10&gt;T9,1.0,IF(T10=T9,0.5,0.0)),0.5),0.5)</f>
        <v/>
      </c>
      <c r="Y10" s="21">
        <f>IF(AND(ISNUMBER(S10),ISNUMBER(S8)),VLOOKUP(ABS(S10-S8),'IMP Table'!$A$2:$C$26,3)*SIGN(S10-S8),0)</f>
        <v/>
      </c>
      <c r="Z10" s="15">
        <f>IF(AND(ISNUMBER(S10),ISNUMBER(S9)),VLOOKUP(ABS(S10-S9),'IMP Table'!$A$2:$C$26,3)*SIGN(S10-S9),0)</f>
        <v/>
      </c>
      <c r="AA10" s="15">
        <f>IF(AND(ISNUMBER(T10),ISNUMBER(T8)),VLOOKUP(ABS(T10-T8),'IMP Table'!$A$2:$C$26,3)*SIGN(T10-T8),0)</f>
        <v/>
      </c>
      <c r="AB10" s="15">
        <f>IF(AND(ISNUMBER(T10),ISNUMBER(T9)),VLOOKUP(ABS(T10-T9),'IMP Table'!$A$2:$C$26,3)*SIGN(T10-T9),0)</f>
        <v/>
      </c>
      <c r="AC10" s="15" t="n"/>
      <c r="AD10" s="15" t="n"/>
      <c r="AE10" s="15" t="n"/>
      <c r="AF10" s="15" t="n"/>
    </row>
    <row r="11">
      <c r="A11" s="10" t="n">
        <v>3</v>
      </c>
      <c r="B11" s="10">
        <f>'By Round'!A3</f>
        <v/>
      </c>
      <c r="C11" s="10">
        <f>'By Round'!B3</f>
        <v/>
      </c>
      <c r="D11" s="10">
        <f>'By Round'!C3</f>
        <v/>
      </c>
      <c r="E11" s="10">
        <f>'By Round'!D3</f>
        <v/>
      </c>
      <c r="F11" s="10">
        <f>IF(ISBLANK('By Round'!F5),"",'By Round'!F5)</f>
        <v/>
      </c>
      <c r="G11">
        <f>IF(ISBLANK('By Round'!G5),"",'By Round'!G5)</f>
        <v/>
      </c>
      <c r="H11">
        <f>IF(ISBLANK('By Round'!H5),"",'By Round'!H5)</f>
        <v/>
      </c>
      <c r="I11">
        <f>IF(ISBLANK('By Round'!I5),"",'By Round'!I5)</f>
        <v/>
      </c>
      <c r="J11">
        <f>IF(ISBLANK('By Round'!J5),"",'By Round'!J5)</f>
        <v/>
      </c>
      <c r="K11">
        <f>IF(ISBLANK('By Round'!K5),"",'By Round'!K5)</f>
        <v/>
      </c>
      <c r="L11">
        <f>IF(ISBLANK('By Round'!L5),"",'By Round'!L5)</f>
        <v/>
      </c>
      <c r="M11" s="11">
        <f>IF(ISBLANK('By Round'!M5),"",'By Round'!M5)</f>
        <v/>
      </c>
      <c r="N11">
        <f>IF(ISBLANK('By Round'!N5),"",'By Round'!N5)</f>
        <v/>
      </c>
      <c r="O11">
        <f>IF(ISBLANK('By Round'!O5),"",'By Round'!O5)</f>
        <v/>
      </c>
      <c r="P11">
        <f>IF(ISBLANK('By Round'!P5),"",'By Round'!P5)</f>
        <v/>
      </c>
      <c r="Q11">
        <f>IF(ISBLANK('By Round'!Q5),"",'By Round'!Q5)</f>
        <v/>
      </c>
      <c r="R11">
        <f>IF(ISBLANK('By Round'!R5),"",'By Round'!R5)</f>
        <v/>
      </c>
      <c r="S11" s="11">
        <f>IF(ISBLANK('By Round'!S5),"",'By Round'!S5)</f>
        <v/>
      </c>
      <c r="T11">
        <f>IF(ISBLANK('By Round'!T5),"",'By Round'!T5)</f>
        <v/>
      </c>
      <c r="U11" s="11">
        <f>IF(ISBLANK('By Round'!U5),"",'By Round'!U5)</f>
        <v/>
      </c>
      <c r="V11">
        <f>IF(ISBLANK('By Round'!V5),"",'By Round'!V5)</f>
        <v/>
      </c>
      <c r="W11">
        <f>IF(ISBLANK('By Round'!W5),"",'By Round'!W5)</f>
        <v/>
      </c>
      <c r="X11">
        <f>IF(ISBLANK('By Round'!X5),"",'By Round'!X5)</f>
        <v/>
      </c>
      <c r="Y11" s="11" t="n"/>
    </row>
    <row r="12">
      <c r="B12" s="10">
        <f>'By Round'!A63</f>
        <v/>
      </c>
      <c r="C12" s="10">
        <f>'By Round'!B69</f>
        <v/>
      </c>
      <c r="D12" s="10">
        <f>'By Round'!C69</f>
        <v/>
      </c>
      <c r="E12" s="10">
        <f>'By Round'!D69</f>
        <v/>
      </c>
      <c r="F12" s="10">
        <f>IF(ISBLANK('By Round'!F71),"",'By Round'!F71)</f>
        <v/>
      </c>
      <c r="G12">
        <f>IF(ISBLANK('By Round'!G71),"",'By Round'!G71)</f>
        <v/>
      </c>
      <c r="H12">
        <f>IF(ISBLANK('By Round'!H71),"",'By Round'!H71)</f>
        <v/>
      </c>
      <c r="I12">
        <f>IF(ISBLANK('By Round'!I71),"",'By Round'!I71)</f>
        <v/>
      </c>
      <c r="J12">
        <f>IF(ISBLANK('By Round'!J71),"",'By Round'!J71)</f>
        <v/>
      </c>
      <c r="K12">
        <f>IF(ISBLANK('By Round'!K71),"",'By Round'!K71)</f>
        <v/>
      </c>
      <c r="L12">
        <f>IF(ISBLANK('By Round'!L71),"",'By Round'!L71)</f>
        <v/>
      </c>
      <c r="M12" s="12">
        <f>AVERAGE(Y12:Z12)</f>
        <v/>
      </c>
      <c r="N12" s="13">
        <f>AVERAGE(AA12:AB12)</f>
        <v/>
      </c>
      <c r="O12" s="14">
        <f>IF(COUNT(U12:V12)&gt;0,Q12/COUNT(U12:V12),0.5)</f>
        <v/>
      </c>
      <c r="P12" s="14">
        <f>IF(COUNT(W12:X12)&gt;0,R12/COUNT(W12:X12),0.5)</f>
        <v/>
      </c>
      <c r="Q12" s="5">
        <f>SUM(U12:V12)</f>
        <v/>
      </c>
      <c r="R12" s="5">
        <f>SUM(W12:X12)</f>
        <v/>
      </c>
      <c r="S12" s="11">
        <f>IF(ISNUMBER(K12),K12,IF(ISNUMBER(L12),-L12,""))</f>
        <v/>
      </c>
      <c r="T12">
        <f>IF(ISNUMBER(L12),L12,IF(ISNUMBER(K12),-K12,""))</f>
        <v/>
      </c>
      <c r="U12" s="11">
        <f>IF(ISNUMBER(S12),IF(ISNUMBER(S13),IF(S12&gt;S13,1.0,IF(S12=S13,0.5,0.0)),0.5),0.5)</f>
        <v/>
      </c>
      <c r="V12">
        <f>IF(ISNUMBER(S12),IF(ISNUMBER(S14),IF(S12&gt;S14,1.0,IF(S12=S14,0.5,0.0)),0.5),0.5)</f>
        <v/>
      </c>
      <c r="W12">
        <f>IF(ISNUMBER(T12),IF(ISNUMBER(T13),IF(T12&gt;T13,1.0,IF(T12=T13,0.5,0.0)),0.5),0.5)</f>
        <v/>
      </c>
      <c r="X12">
        <f>IF(ISNUMBER(T12),IF(ISNUMBER(T14),IF(T12&gt;T14,1.0,IF(T12=T14,0.5,0.0)),0.5),0.5)</f>
        <v/>
      </c>
      <c r="Y12" s="11">
        <f>IF(AND(ISNUMBER(S12),ISNUMBER(S13)),VLOOKUP(ABS(S12-S13),'IMP Table'!$A$2:$C$26,3)*SIGN(S12-S13),0)</f>
        <v/>
      </c>
      <c r="Z12">
        <f>IF(AND(ISNUMBER(S12),ISNUMBER(S14)),VLOOKUP(ABS(S12-S14),'IMP Table'!$A$2:$C$26,3)*SIGN(S12-S14),0)</f>
        <v/>
      </c>
      <c r="AA12">
        <f>IF(AND(ISNUMBER(T12),ISNUMBER(T13)),VLOOKUP(ABS(T12-T13),'IMP Table'!$A$2:$C$26,3)*SIGN(T12-T13),0)</f>
        <v/>
      </c>
      <c r="AB12">
        <f>IF(AND(ISNUMBER(T12),ISNUMBER(T14)),VLOOKUP(ABS(T12-T14),'IMP Table'!$A$2:$C$26,3)*SIGN(T12-T14),0)</f>
        <v/>
      </c>
    </row>
    <row r="13">
      <c r="B13" s="10">
        <f>'By Round'!A39</f>
        <v/>
      </c>
      <c r="C13" s="10">
        <f>'By Round'!B48</f>
        <v/>
      </c>
      <c r="D13" s="10">
        <f>'By Round'!C48</f>
        <v/>
      </c>
      <c r="E13" s="10">
        <f>'By Round'!D48</f>
        <v/>
      </c>
      <c r="F13" s="10">
        <f>IF(ISBLANK('By Round'!F50),"",'By Round'!F50)</f>
        <v/>
      </c>
      <c r="G13">
        <f>IF(ISBLANK('By Round'!G50),"",'By Round'!G50)</f>
        <v/>
      </c>
      <c r="H13">
        <f>IF(ISBLANK('By Round'!H50),"",'By Round'!H50)</f>
        <v/>
      </c>
      <c r="I13">
        <f>IF(ISBLANK('By Round'!I50),"",'By Round'!I50)</f>
        <v/>
      </c>
      <c r="J13">
        <f>IF(ISBLANK('By Round'!J50),"",'By Round'!J50)</f>
        <v/>
      </c>
      <c r="K13">
        <f>IF(ISBLANK('By Round'!K50),"",'By Round'!K50)</f>
        <v/>
      </c>
      <c r="L13">
        <f>IF(ISBLANK('By Round'!L50),"",'By Round'!L50)</f>
        <v/>
      </c>
      <c r="M13" s="12">
        <f>AVERAGE(Y13:Z13)</f>
        <v/>
      </c>
      <c r="N13" s="13">
        <f>AVERAGE(AA13:AB13)</f>
        <v/>
      </c>
      <c r="O13" s="14">
        <f>IF(COUNT(U13:V13)&gt;0,Q13/COUNT(U13:V13),0.5)</f>
        <v/>
      </c>
      <c r="P13" s="14">
        <f>IF(COUNT(W13:X13)&gt;0,R13/COUNT(W13:X13),0.5)</f>
        <v/>
      </c>
      <c r="Q13" s="5">
        <f>SUM(U13:V13)</f>
        <v/>
      </c>
      <c r="R13" s="5">
        <f>SUM(W13:X13)</f>
        <v/>
      </c>
      <c r="S13" s="11">
        <f>IF(ISNUMBER(K13),K13,IF(ISNUMBER(L13),-L13,""))</f>
        <v/>
      </c>
      <c r="T13">
        <f>IF(ISNUMBER(L13),L13,IF(ISNUMBER(K13),-K13,""))</f>
        <v/>
      </c>
      <c r="U13" s="11">
        <f>IF(ISNUMBER(S13),IF(ISNUMBER(S12),IF(S13&gt;S12,1.0,IF(S13=S12,0.5,0.0)),0.5),0.5)</f>
        <v/>
      </c>
      <c r="V13">
        <f>IF(ISNUMBER(S13),IF(ISNUMBER(S14),IF(S13&gt;S14,1.0,IF(S13=S14,0.5,0.0)),0.5),0.5)</f>
        <v/>
      </c>
      <c r="W13">
        <f>IF(ISNUMBER(T13),IF(ISNUMBER(T12),IF(T13&gt;T12,1.0,IF(T13=T12,0.5,0.0)),0.5),0.5)</f>
        <v/>
      </c>
      <c r="X13">
        <f>IF(ISNUMBER(T13),IF(ISNUMBER(T14),IF(T13&gt;T14,1.0,IF(T13=T14,0.5,0.0)),0.5),0.5)</f>
        <v/>
      </c>
      <c r="Y13" s="11">
        <f>IF(AND(ISNUMBER(S13),ISNUMBER(S12)),VLOOKUP(ABS(S13-S12),'IMP Table'!$A$2:$C$26,3)*SIGN(S13-S12),0)</f>
        <v/>
      </c>
      <c r="Z13">
        <f>IF(AND(ISNUMBER(S13),ISNUMBER(S14)),VLOOKUP(ABS(S13-S14),'IMP Table'!$A$2:$C$26,3)*SIGN(S13-S14),0)</f>
        <v/>
      </c>
      <c r="AA13">
        <f>IF(AND(ISNUMBER(T13),ISNUMBER(T12)),VLOOKUP(ABS(T13-T12),'IMP Table'!$A$2:$C$26,3)*SIGN(T13-T12),0)</f>
        <v/>
      </c>
      <c r="AB13">
        <f>IF(AND(ISNUMBER(T13),ISNUMBER(T14)),VLOOKUP(ABS(T13-T14),'IMP Table'!$A$2:$C$26,3)*SIGN(T13-T14),0)</f>
        <v/>
      </c>
    </row>
    <row r="14">
      <c r="A14" s="15" t="n"/>
      <c r="B14" s="16">
        <f>'By Round'!A75</f>
        <v/>
      </c>
      <c r="C14" s="16">
        <f>'By Round'!B78</f>
        <v/>
      </c>
      <c r="D14" s="16">
        <f>'By Round'!C78</f>
        <v/>
      </c>
      <c r="E14" s="16">
        <f>'By Round'!D78</f>
        <v/>
      </c>
      <c r="F14" s="16">
        <f>IF(ISBLANK('By Round'!F80),"",'By Round'!F80)</f>
        <v/>
      </c>
      <c r="G14" s="15">
        <f>IF(ISBLANK('By Round'!G80),"",'By Round'!G80)</f>
        <v/>
      </c>
      <c r="H14" s="15">
        <f>IF(ISBLANK('By Round'!H80),"",'By Round'!H80)</f>
        <v/>
      </c>
      <c r="I14" s="15">
        <f>IF(ISBLANK('By Round'!I80),"",'By Round'!I80)</f>
        <v/>
      </c>
      <c r="J14" s="15">
        <f>IF(ISBLANK('By Round'!J80),"",'By Round'!J80)</f>
        <v/>
      </c>
      <c r="K14" s="15">
        <f>IF(ISBLANK('By Round'!K80),"",'By Round'!K80)</f>
        <v/>
      </c>
      <c r="L14" s="15">
        <f>IF(ISBLANK('By Round'!L80),"",'By Round'!L80)</f>
        <v/>
      </c>
      <c r="M14" s="17">
        <f>AVERAGE(Y14:Z14)</f>
        <v/>
      </c>
      <c r="N14" s="18">
        <f>AVERAGE(AA14:AB14)</f>
        <v/>
      </c>
      <c r="O14" s="19">
        <f>IF(COUNT(U14:V14)&gt;0,Q14/COUNT(U14:V14),0.5)</f>
        <v/>
      </c>
      <c r="P14" s="19">
        <f>IF(COUNT(W14:X14)&gt;0,R14/COUNT(W14:X14),0.5)</f>
        <v/>
      </c>
      <c r="Q14" s="20">
        <f>SUM(U14:V14)</f>
        <v/>
      </c>
      <c r="R14" s="20">
        <f>SUM(W14:X14)</f>
        <v/>
      </c>
      <c r="S14" s="21">
        <f>IF(ISNUMBER(K14),K14,IF(ISNUMBER(L14),-L14,""))</f>
        <v/>
      </c>
      <c r="T14" s="15">
        <f>IF(ISNUMBER(L14),L14,IF(ISNUMBER(K14),-K14,""))</f>
        <v/>
      </c>
      <c r="U14" s="21">
        <f>IF(ISNUMBER(S14),IF(ISNUMBER(S12),IF(S14&gt;S12,1.0,IF(S14=S12,0.5,0.0)),0.5),0.5)</f>
        <v/>
      </c>
      <c r="V14" s="15">
        <f>IF(ISNUMBER(S14),IF(ISNUMBER(S13),IF(S14&gt;S13,1.0,IF(S14=S13,0.5,0.0)),0.5),0.5)</f>
        <v/>
      </c>
      <c r="W14" s="15">
        <f>IF(ISNUMBER(T14),IF(ISNUMBER(T12),IF(T14&gt;T12,1.0,IF(T14=T12,0.5,0.0)),0.5),0.5)</f>
        <v/>
      </c>
      <c r="X14" s="15">
        <f>IF(ISNUMBER(T14),IF(ISNUMBER(T13),IF(T14&gt;T13,1.0,IF(T14=T13,0.5,0.0)),0.5),0.5)</f>
        <v/>
      </c>
      <c r="Y14" s="21">
        <f>IF(AND(ISNUMBER(S14),ISNUMBER(S12)),VLOOKUP(ABS(S14-S12),'IMP Table'!$A$2:$C$26,3)*SIGN(S14-S12),0)</f>
        <v/>
      </c>
      <c r="Z14" s="15">
        <f>IF(AND(ISNUMBER(S14),ISNUMBER(S13)),VLOOKUP(ABS(S14-S13),'IMP Table'!$A$2:$C$26,3)*SIGN(S14-S13),0)</f>
        <v/>
      </c>
      <c r="AA14" s="15">
        <f>IF(AND(ISNUMBER(T14),ISNUMBER(T12)),VLOOKUP(ABS(T14-T12),'IMP Table'!$A$2:$C$26,3)*SIGN(T14-T12),0)</f>
        <v/>
      </c>
      <c r="AB14" s="15">
        <f>IF(AND(ISNUMBER(T14),ISNUMBER(T13)),VLOOKUP(ABS(T14-T13),'IMP Table'!$A$2:$C$26,3)*SIGN(T14-T13),0)</f>
        <v/>
      </c>
      <c r="AC14" s="15" t="n"/>
      <c r="AD14" s="15" t="n"/>
      <c r="AE14" s="15" t="n"/>
      <c r="AF14" s="15" t="n"/>
    </row>
    <row r="15">
      <c r="A15" s="10" t="n">
        <v>4</v>
      </c>
      <c r="B15" s="10">
        <f>'By Round'!A15</f>
        <v/>
      </c>
      <c r="C15" s="10">
        <f>'By Round'!B15</f>
        <v/>
      </c>
      <c r="D15" s="10">
        <f>'By Round'!C15</f>
        <v/>
      </c>
      <c r="E15" s="10">
        <f>'By Round'!D15</f>
        <v/>
      </c>
      <c r="F15" s="10">
        <f>IF(ISBLANK('By Round'!F15),"",'By Round'!F15)</f>
        <v/>
      </c>
      <c r="G15">
        <f>IF(ISBLANK('By Round'!G15),"",'By Round'!G15)</f>
        <v/>
      </c>
      <c r="H15">
        <f>IF(ISBLANK('By Round'!H15),"",'By Round'!H15)</f>
        <v/>
      </c>
      <c r="I15">
        <f>IF(ISBLANK('By Round'!I15),"",'By Round'!I15)</f>
        <v/>
      </c>
      <c r="J15">
        <f>IF(ISBLANK('By Round'!J15),"",'By Round'!J15)</f>
        <v/>
      </c>
      <c r="K15">
        <f>IF(ISBLANK('By Round'!K15),"",'By Round'!K15)</f>
        <v/>
      </c>
      <c r="L15">
        <f>IF(ISBLANK('By Round'!L15),"",'By Round'!L15)</f>
        <v/>
      </c>
      <c r="M15" s="11">
        <f>IF(ISBLANK('By Round'!M15),"",'By Round'!M15)</f>
        <v/>
      </c>
      <c r="N15">
        <f>IF(ISBLANK('By Round'!N15),"",'By Round'!N15)</f>
        <v/>
      </c>
      <c r="O15">
        <f>IF(ISBLANK('By Round'!O15),"",'By Round'!O15)</f>
        <v/>
      </c>
      <c r="P15">
        <f>IF(ISBLANK('By Round'!P15),"",'By Round'!P15)</f>
        <v/>
      </c>
      <c r="Q15">
        <f>IF(ISBLANK('By Round'!Q15),"",'By Round'!Q15)</f>
        <v/>
      </c>
      <c r="R15">
        <f>IF(ISBLANK('By Round'!R15),"",'By Round'!R15)</f>
        <v/>
      </c>
      <c r="S15" s="11">
        <f>IF(ISBLANK('By Round'!S15),"",'By Round'!S15)</f>
        <v/>
      </c>
      <c r="T15">
        <f>IF(ISBLANK('By Round'!T15),"",'By Round'!T15)</f>
        <v/>
      </c>
      <c r="U15" s="11">
        <f>IF(ISBLANK('By Round'!U15),"",'By Round'!U15)</f>
        <v/>
      </c>
      <c r="V15">
        <f>IF(ISBLANK('By Round'!V15),"",'By Round'!V15)</f>
        <v/>
      </c>
      <c r="W15">
        <f>IF(ISBLANK('By Round'!W15),"",'By Round'!W15)</f>
        <v/>
      </c>
      <c r="X15">
        <f>IF(ISBLANK('By Round'!X15),"",'By Round'!X15)</f>
        <v/>
      </c>
      <c r="Y15" s="11" t="n"/>
    </row>
    <row r="16">
      <c r="B16" s="10">
        <f>'By Round'!A75</f>
        <v/>
      </c>
      <c r="C16" s="10">
        <f>'By Round'!B81</f>
        <v/>
      </c>
      <c r="D16" s="10">
        <f>'By Round'!C81</f>
        <v/>
      </c>
      <c r="E16" s="10">
        <f>'By Round'!D81</f>
        <v/>
      </c>
      <c r="F16" s="10">
        <f>IF(ISBLANK('By Round'!F81),"",'By Round'!F81)</f>
        <v/>
      </c>
      <c r="G16">
        <f>IF(ISBLANK('By Round'!G81),"",'By Round'!G81)</f>
        <v/>
      </c>
      <c r="H16">
        <f>IF(ISBLANK('By Round'!H81),"",'By Round'!H81)</f>
        <v/>
      </c>
      <c r="I16">
        <f>IF(ISBLANK('By Round'!I81),"",'By Round'!I81)</f>
        <v/>
      </c>
      <c r="J16">
        <f>IF(ISBLANK('By Round'!J81),"",'By Round'!J81)</f>
        <v/>
      </c>
      <c r="K16">
        <f>IF(ISBLANK('By Round'!K81),"",'By Round'!K81)</f>
        <v/>
      </c>
      <c r="L16">
        <f>IF(ISBLANK('By Round'!L81),"",'By Round'!L81)</f>
        <v/>
      </c>
      <c r="M16" s="12">
        <f>AVERAGE(Y16:Z16)</f>
        <v/>
      </c>
      <c r="N16" s="13">
        <f>AVERAGE(AA16:AB16)</f>
        <v/>
      </c>
      <c r="O16" s="14">
        <f>IF(COUNT(U16:V16)&gt;0,Q16/COUNT(U16:V16),0.5)</f>
        <v/>
      </c>
      <c r="P16" s="14">
        <f>IF(COUNT(W16:X16)&gt;0,R16/COUNT(W16:X16),0.5)</f>
        <v/>
      </c>
      <c r="Q16" s="5">
        <f>SUM(U16:V16)</f>
        <v/>
      </c>
      <c r="R16" s="5">
        <f>SUM(W16:X16)</f>
        <v/>
      </c>
      <c r="S16" s="11">
        <f>IF(ISNUMBER(K16),K16,IF(ISNUMBER(L16),-L16,""))</f>
        <v/>
      </c>
      <c r="T16">
        <f>IF(ISNUMBER(L16),L16,IF(ISNUMBER(K16),-K16,""))</f>
        <v/>
      </c>
      <c r="U16" s="11">
        <f>IF(ISNUMBER(S16),IF(ISNUMBER(S17),IF(S16&gt;S17,1.0,IF(S16=S17,0.5,0.0)),0.5),0.5)</f>
        <v/>
      </c>
      <c r="V16">
        <f>IF(ISNUMBER(S16),IF(ISNUMBER(S18),IF(S16&gt;S18,1.0,IF(S16=S18,0.5,0.0)),0.5),0.5)</f>
        <v/>
      </c>
      <c r="W16">
        <f>IF(ISNUMBER(T16),IF(ISNUMBER(T17),IF(T16&gt;T17,1.0,IF(T16=T17,0.5,0.0)),0.5),0.5)</f>
        <v/>
      </c>
      <c r="X16">
        <f>IF(ISNUMBER(T16),IF(ISNUMBER(T18),IF(T16&gt;T18,1.0,IF(T16=T18,0.5,0.0)),0.5),0.5)</f>
        <v/>
      </c>
      <c r="Y16" s="11">
        <f>IF(AND(ISNUMBER(S16),ISNUMBER(S17)),VLOOKUP(ABS(S16-S17),'IMP Table'!$A$2:$C$26,3)*SIGN(S16-S17),0)</f>
        <v/>
      </c>
      <c r="Z16">
        <f>IF(AND(ISNUMBER(S16),ISNUMBER(S18)),VLOOKUP(ABS(S16-S18),'IMP Table'!$A$2:$C$26,3)*SIGN(S16-S18),0)</f>
        <v/>
      </c>
      <c r="AA16">
        <f>IF(AND(ISNUMBER(T16),ISNUMBER(T17)),VLOOKUP(ABS(T16-T17),'IMP Table'!$A$2:$C$26,3)*SIGN(T16-T17),0)</f>
        <v/>
      </c>
      <c r="AB16">
        <f>IF(AND(ISNUMBER(T16),ISNUMBER(T18)),VLOOKUP(ABS(T16-T18),'IMP Table'!$A$2:$C$26,3)*SIGN(T16-T18),0)</f>
        <v/>
      </c>
    </row>
    <row r="17">
      <c r="B17" s="10">
        <f>'By Round'!A51</f>
        <v/>
      </c>
      <c r="C17" s="10">
        <f>'By Round'!B60</f>
        <v/>
      </c>
      <c r="D17" s="10">
        <f>'By Round'!C60</f>
        <v/>
      </c>
      <c r="E17" s="10">
        <f>'By Round'!D60</f>
        <v/>
      </c>
      <c r="F17" s="10">
        <f>IF(ISBLANK('By Round'!F60),"",'By Round'!F60)</f>
        <v/>
      </c>
      <c r="G17">
        <f>IF(ISBLANK('By Round'!G60),"",'By Round'!G60)</f>
        <v/>
      </c>
      <c r="H17">
        <f>IF(ISBLANK('By Round'!H60),"",'By Round'!H60)</f>
        <v/>
      </c>
      <c r="I17">
        <f>IF(ISBLANK('By Round'!I60),"",'By Round'!I60)</f>
        <v/>
      </c>
      <c r="J17">
        <f>IF(ISBLANK('By Round'!J60),"",'By Round'!J60)</f>
        <v/>
      </c>
      <c r="K17">
        <f>IF(ISBLANK('By Round'!K60),"",'By Round'!K60)</f>
        <v/>
      </c>
      <c r="L17">
        <f>IF(ISBLANK('By Round'!L60),"",'By Round'!L60)</f>
        <v/>
      </c>
      <c r="M17" s="12">
        <f>AVERAGE(Y17:Z17)</f>
        <v/>
      </c>
      <c r="N17" s="13">
        <f>AVERAGE(AA17:AB17)</f>
        <v/>
      </c>
      <c r="O17" s="14">
        <f>IF(COUNT(U17:V17)&gt;0,Q17/COUNT(U17:V17),0.5)</f>
        <v/>
      </c>
      <c r="P17" s="14">
        <f>IF(COUNT(W17:X17)&gt;0,R17/COUNT(W17:X17),0.5)</f>
        <v/>
      </c>
      <c r="Q17" s="5">
        <f>SUM(U17:V17)</f>
        <v/>
      </c>
      <c r="R17" s="5">
        <f>SUM(W17:X17)</f>
        <v/>
      </c>
      <c r="S17" s="11">
        <f>IF(ISNUMBER(K17),K17,IF(ISNUMBER(L17),-L17,""))</f>
        <v/>
      </c>
      <c r="T17">
        <f>IF(ISNUMBER(L17),L17,IF(ISNUMBER(K17),-K17,""))</f>
        <v/>
      </c>
      <c r="U17" s="11">
        <f>IF(ISNUMBER(S17),IF(ISNUMBER(S16),IF(S17&gt;S16,1.0,IF(S17=S16,0.5,0.0)),0.5),0.5)</f>
        <v/>
      </c>
      <c r="V17">
        <f>IF(ISNUMBER(S17),IF(ISNUMBER(S18),IF(S17&gt;S18,1.0,IF(S17=S18,0.5,0.0)),0.5),0.5)</f>
        <v/>
      </c>
      <c r="W17">
        <f>IF(ISNUMBER(T17),IF(ISNUMBER(T16),IF(T17&gt;T16,1.0,IF(T17=T16,0.5,0.0)),0.5),0.5)</f>
        <v/>
      </c>
      <c r="X17">
        <f>IF(ISNUMBER(T17),IF(ISNUMBER(T18),IF(T17&gt;T18,1.0,IF(T17=T18,0.5,0.0)),0.5),0.5)</f>
        <v/>
      </c>
      <c r="Y17" s="11">
        <f>IF(AND(ISNUMBER(S17),ISNUMBER(S16)),VLOOKUP(ABS(S17-S16),'IMP Table'!$A$2:$C$26,3)*SIGN(S17-S16),0)</f>
        <v/>
      </c>
      <c r="Z17">
        <f>IF(AND(ISNUMBER(S17),ISNUMBER(S18)),VLOOKUP(ABS(S17-S18),'IMP Table'!$A$2:$C$26,3)*SIGN(S17-S18),0)</f>
        <v/>
      </c>
      <c r="AA17">
        <f>IF(AND(ISNUMBER(T17),ISNUMBER(T16)),VLOOKUP(ABS(T17-T16),'IMP Table'!$A$2:$C$26,3)*SIGN(T17-T16),0)</f>
        <v/>
      </c>
      <c r="AB17">
        <f>IF(AND(ISNUMBER(T17),ISNUMBER(T18)),VLOOKUP(ABS(T17-T18),'IMP Table'!$A$2:$C$26,3)*SIGN(T17-T18),0)</f>
        <v/>
      </c>
    </row>
    <row r="18">
      <c r="A18" s="15" t="n"/>
      <c r="B18" s="16">
        <f>'By Round'!A3</f>
        <v/>
      </c>
      <c r="C18" s="16">
        <f>'By Round'!B6</f>
        <v/>
      </c>
      <c r="D18" s="16">
        <f>'By Round'!C6</f>
        <v/>
      </c>
      <c r="E18" s="16">
        <f>'By Round'!D6</f>
        <v/>
      </c>
      <c r="F18" s="16">
        <f>IF(ISBLANK('By Round'!F6),"",'By Round'!F6)</f>
        <v/>
      </c>
      <c r="G18" s="15">
        <f>IF(ISBLANK('By Round'!G6),"",'By Round'!G6)</f>
        <v/>
      </c>
      <c r="H18" s="15">
        <f>IF(ISBLANK('By Round'!H6),"",'By Round'!H6)</f>
        <v/>
      </c>
      <c r="I18" s="15">
        <f>IF(ISBLANK('By Round'!I6),"",'By Round'!I6)</f>
        <v/>
      </c>
      <c r="J18" s="15">
        <f>IF(ISBLANK('By Round'!J6),"",'By Round'!J6)</f>
        <v/>
      </c>
      <c r="K18" s="15">
        <f>IF(ISBLANK('By Round'!K6),"",'By Round'!K6)</f>
        <v/>
      </c>
      <c r="L18" s="15">
        <f>IF(ISBLANK('By Round'!L6),"",'By Round'!L6)</f>
        <v/>
      </c>
      <c r="M18" s="17">
        <f>AVERAGE(Y18:Z18)</f>
        <v/>
      </c>
      <c r="N18" s="18">
        <f>AVERAGE(AA18:AB18)</f>
        <v/>
      </c>
      <c r="O18" s="19">
        <f>IF(COUNT(U18:V18)&gt;0,Q18/COUNT(U18:V18),0.5)</f>
        <v/>
      </c>
      <c r="P18" s="19">
        <f>IF(COUNT(W18:X18)&gt;0,R18/COUNT(W18:X18),0.5)</f>
        <v/>
      </c>
      <c r="Q18" s="20">
        <f>SUM(U18:V18)</f>
        <v/>
      </c>
      <c r="R18" s="20">
        <f>SUM(W18:X18)</f>
        <v/>
      </c>
      <c r="S18" s="21">
        <f>IF(ISNUMBER(K18),K18,IF(ISNUMBER(L18),-L18,""))</f>
        <v/>
      </c>
      <c r="T18" s="15">
        <f>IF(ISNUMBER(L18),L18,IF(ISNUMBER(K18),-K18,""))</f>
        <v/>
      </c>
      <c r="U18" s="21">
        <f>IF(ISNUMBER(S18),IF(ISNUMBER(S16),IF(S18&gt;S16,1.0,IF(S18=S16,0.5,0.0)),0.5),0.5)</f>
        <v/>
      </c>
      <c r="V18" s="15">
        <f>IF(ISNUMBER(S18),IF(ISNUMBER(S17),IF(S18&gt;S17,1.0,IF(S18=S17,0.5,0.0)),0.5),0.5)</f>
        <v/>
      </c>
      <c r="W18" s="15">
        <f>IF(ISNUMBER(T18),IF(ISNUMBER(T16),IF(T18&gt;T16,1.0,IF(T18=T16,0.5,0.0)),0.5),0.5)</f>
        <v/>
      </c>
      <c r="X18" s="15">
        <f>IF(ISNUMBER(T18),IF(ISNUMBER(T17),IF(T18&gt;T17,1.0,IF(T18=T17,0.5,0.0)),0.5),0.5)</f>
        <v/>
      </c>
      <c r="Y18" s="21">
        <f>IF(AND(ISNUMBER(S18),ISNUMBER(S16)),VLOOKUP(ABS(S18-S16),'IMP Table'!$A$2:$C$26,3)*SIGN(S18-S16),0)</f>
        <v/>
      </c>
      <c r="Z18" s="15">
        <f>IF(AND(ISNUMBER(S18),ISNUMBER(S17)),VLOOKUP(ABS(S18-S17),'IMP Table'!$A$2:$C$26,3)*SIGN(S18-S17),0)</f>
        <v/>
      </c>
      <c r="AA18" s="15">
        <f>IF(AND(ISNUMBER(T18),ISNUMBER(T16)),VLOOKUP(ABS(T18-T16),'IMP Table'!$A$2:$C$26,3)*SIGN(T18-T16),0)</f>
        <v/>
      </c>
      <c r="AB18" s="15">
        <f>IF(AND(ISNUMBER(T18),ISNUMBER(T17)),VLOOKUP(ABS(T18-T17),'IMP Table'!$A$2:$C$26,3)*SIGN(T18-T17),0)</f>
        <v/>
      </c>
      <c r="AC18" s="15" t="n"/>
      <c r="AD18" s="15" t="n"/>
      <c r="AE18" s="15" t="n"/>
      <c r="AF18" s="15" t="n"/>
    </row>
    <row r="19">
      <c r="A19" s="10" t="n">
        <v>5</v>
      </c>
      <c r="B19" s="10">
        <f>'By Round'!A15</f>
        <v/>
      </c>
      <c r="C19" s="10">
        <f>'By Round'!B15</f>
        <v/>
      </c>
      <c r="D19" s="10">
        <f>'By Round'!C15</f>
        <v/>
      </c>
      <c r="E19" s="10">
        <f>'By Round'!D15</f>
        <v/>
      </c>
      <c r="F19" s="10">
        <f>IF(ISBLANK('By Round'!F16),"",'By Round'!F16)</f>
        <v/>
      </c>
      <c r="G19">
        <f>IF(ISBLANK('By Round'!G16),"",'By Round'!G16)</f>
        <v/>
      </c>
      <c r="H19">
        <f>IF(ISBLANK('By Round'!H16),"",'By Round'!H16)</f>
        <v/>
      </c>
      <c r="I19">
        <f>IF(ISBLANK('By Round'!I16),"",'By Round'!I16)</f>
        <v/>
      </c>
      <c r="J19">
        <f>IF(ISBLANK('By Round'!J16),"",'By Round'!J16)</f>
        <v/>
      </c>
      <c r="K19">
        <f>IF(ISBLANK('By Round'!K16),"",'By Round'!K16)</f>
        <v/>
      </c>
      <c r="L19">
        <f>IF(ISBLANK('By Round'!L16),"",'By Round'!L16)</f>
        <v/>
      </c>
      <c r="M19" s="11">
        <f>IF(ISBLANK('By Round'!M16),"",'By Round'!M16)</f>
        <v/>
      </c>
      <c r="N19">
        <f>IF(ISBLANK('By Round'!N16),"",'By Round'!N16)</f>
        <v/>
      </c>
      <c r="O19">
        <f>IF(ISBLANK('By Round'!O16),"",'By Round'!O16)</f>
        <v/>
      </c>
      <c r="P19">
        <f>IF(ISBLANK('By Round'!P16),"",'By Round'!P16)</f>
        <v/>
      </c>
      <c r="Q19">
        <f>IF(ISBLANK('By Round'!Q16),"",'By Round'!Q16)</f>
        <v/>
      </c>
      <c r="R19">
        <f>IF(ISBLANK('By Round'!R16),"",'By Round'!R16)</f>
        <v/>
      </c>
      <c r="S19" s="11">
        <f>IF(ISBLANK('By Round'!S16),"",'By Round'!S16)</f>
        <v/>
      </c>
      <c r="T19">
        <f>IF(ISBLANK('By Round'!T16),"",'By Round'!T16)</f>
        <v/>
      </c>
      <c r="U19" s="11">
        <f>IF(ISBLANK('By Round'!U16),"",'By Round'!U16)</f>
        <v/>
      </c>
      <c r="V19">
        <f>IF(ISBLANK('By Round'!V16),"",'By Round'!V16)</f>
        <v/>
      </c>
      <c r="W19">
        <f>IF(ISBLANK('By Round'!W16),"",'By Round'!W16)</f>
        <v/>
      </c>
      <c r="X19">
        <f>IF(ISBLANK('By Round'!X16),"",'By Round'!X16)</f>
        <v/>
      </c>
      <c r="Y19" s="11" t="n"/>
    </row>
    <row r="20">
      <c r="B20" s="10">
        <f>'By Round'!A75</f>
        <v/>
      </c>
      <c r="C20" s="10">
        <f>'By Round'!B81</f>
        <v/>
      </c>
      <c r="D20" s="10">
        <f>'By Round'!C81</f>
        <v/>
      </c>
      <c r="E20" s="10">
        <f>'By Round'!D81</f>
        <v/>
      </c>
      <c r="F20" s="10">
        <f>IF(ISBLANK('By Round'!F82),"",'By Round'!F82)</f>
        <v/>
      </c>
      <c r="G20">
        <f>IF(ISBLANK('By Round'!G82),"",'By Round'!G82)</f>
        <v/>
      </c>
      <c r="H20">
        <f>IF(ISBLANK('By Round'!H82),"",'By Round'!H82)</f>
        <v/>
      </c>
      <c r="I20">
        <f>IF(ISBLANK('By Round'!I82),"",'By Round'!I82)</f>
        <v/>
      </c>
      <c r="J20">
        <f>IF(ISBLANK('By Round'!J82),"",'By Round'!J82)</f>
        <v/>
      </c>
      <c r="K20">
        <f>IF(ISBLANK('By Round'!K82),"",'By Round'!K82)</f>
        <v/>
      </c>
      <c r="L20">
        <f>IF(ISBLANK('By Round'!L82),"",'By Round'!L82)</f>
        <v/>
      </c>
      <c r="M20" s="12">
        <f>AVERAGE(Y20:Z20)</f>
        <v/>
      </c>
      <c r="N20" s="13">
        <f>AVERAGE(AA20:AB20)</f>
        <v/>
      </c>
      <c r="O20" s="14">
        <f>IF(COUNT(U20:V20)&gt;0,Q20/COUNT(U20:V20),0.5)</f>
        <v/>
      </c>
      <c r="P20" s="14">
        <f>IF(COUNT(W20:X20)&gt;0,R20/COUNT(W20:X20),0.5)</f>
        <v/>
      </c>
      <c r="Q20" s="5">
        <f>SUM(U20:V20)</f>
        <v/>
      </c>
      <c r="R20" s="5">
        <f>SUM(W20:X20)</f>
        <v/>
      </c>
      <c r="S20" s="11">
        <f>IF(ISNUMBER(K20),K20,IF(ISNUMBER(L20),-L20,""))</f>
        <v/>
      </c>
      <c r="T20">
        <f>IF(ISNUMBER(L20),L20,IF(ISNUMBER(K20),-K20,""))</f>
        <v/>
      </c>
      <c r="U20" s="11">
        <f>IF(ISNUMBER(S20),IF(ISNUMBER(S21),IF(S20&gt;S21,1.0,IF(S20=S21,0.5,0.0)),0.5),0.5)</f>
        <v/>
      </c>
      <c r="V20">
        <f>IF(ISNUMBER(S20),IF(ISNUMBER(S22),IF(S20&gt;S22,1.0,IF(S20=S22,0.5,0.0)),0.5),0.5)</f>
        <v/>
      </c>
      <c r="W20">
        <f>IF(ISNUMBER(T20),IF(ISNUMBER(T21),IF(T20&gt;T21,1.0,IF(T20=T21,0.5,0.0)),0.5),0.5)</f>
        <v/>
      </c>
      <c r="X20">
        <f>IF(ISNUMBER(T20),IF(ISNUMBER(T22),IF(T20&gt;T22,1.0,IF(T20=T22,0.5,0.0)),0.5),0.5)</f>
        <v/>
      </c>
      <c r="Y20" s="11">
        <f>IF(AND(ISNUMBER(S20),ISNUMBER(S21)),VLOOKUP(ABS(S20-S21),'IMP Table'!$A$2:$C$26,3)*SIGN(S20-S21),0)</f>
        <v/>
      </c>
      <c r="Z20">
        <f>IF(AND(ISNUMBER(S20),ISNUMBER(S22)),VLOOKUP(ABS(S20-S22),'IMP Table'!$A$2:$C$26,3)*SIGN(S20-S22),0)</f>
        <v/>
      </c>
      <c r="AA20">
        <f>IF(AND(ISNUMBER(T20),ISNUMBER(T21)),VLOOKUP(ABS(T20-T21),'IMP Table'!$A$2:$C$26,3)*SIGN(T20-T21),0)</f>
        <v/>
      </c>
      <c r="AB20">
        <f>IF(AND(ISNUMBER(T20),ISNUMBER(T22)),VLOOKUP(ABS(T20-T22),'IMP Table'!$A$2:$C$26,3)*SIGN(T20-T22),0)</f>
        <v/>
      </c>
    </row>
    <row r="21">
      <c r="B21" s="10">
        <f>'By Round'!A51</f>
        <v/>
      </c>
      <c r="C21" s="10">
        <f>'By Round'!B60</f>
        <v/>
      </c>
      <c r="D21" s="10">
        <f>'By Round'!C60</f>
        <v/>
      </c>
      <c r="E21" s="10">
        <f>'By Round'!D60</f>
        <v/>
      </c>
      <c r="F21" s="10">
        <f>IF(ISBLANK('By Round'!F61),"",'By Round'!F61)</f>
        <v/>
      </c>
      <c r="G21">
        <f>IF(ISBLANK('By Round'!G61),"",'By Round'!G61)</f>
        <v/>
      </c>
      <c r="H21">
        <f>IF(ISBLANK('By Round'!H61),"",'By Round'!H61)</f>
        <v/>
      </c>
      <c r="I21">
        <f>IF(ISBLANK('By Round'!I61),"",'By Round'!I61)</f>
        <v/>
      </c>
      <c r="J21">
        <f>IF(ISBLANK('By Round'!J61),"",'By Round'!J61)</f>
        <v/>
      </c>
      <c r="K21">
        <f>IF(ISBLANK('By Round'!K61),"",'By Round'!K61)</f>
        <v/>
      </c>
      <c r="L21">
        <f>IF(ISBLANK('By Round'!L61),"",'By Round'!L61)</f>
        <v/>
      </c>
      <c r="M21" s="12">
        <f>AVERAGE(Y21:Z21)</f>
        <v/>
      </c>
      <c r="N21" s="13">
        <f>AVERAGE(AA21:AB21)</f>
        <v/>
      </c>
      <c r="O21" s="14">
        <f>IF(COUNT(U21:V21)&gt;0,Q21/COUNT(U21:V21),0.5)</f>
        <v/>
      </c>
      <c r="P21" s="14">
        <f>IF(COUNT(W21:X21)&gt;0,R21/COUNT(W21:X21),0.5)</f>
        <v/>
      </c>
      <c r="Q21" s="5">
        <f>SUM(U21:V21)</f>
        <v/>
      </c>
      <c r="R21" s="5">
        <f>SUM(W21:X21)</f>
        <v/>
      </c>
      <c r="S21" s="11">
        <f>IF(ISNUMBER(K21),K21,IF(ISNUMBER(L21),-L21,""))</f>
        <v/>
      </c>
      <c r="T21">
        <f>IF(ISNUMBER(L21),L21,IF(ISNUMBER(K21),-K21,""))</f>
        <v/>
      </c>
      <c r="U21" s="11">
        <f>IF(ISNUMBER(S21),IF(ISNUMBER(S20),IF(S21&gt;S20,1.0,IF(S21=S20,0.5,0.0)),0.5),0.5)</f>
        <v/>
      </c>
      <c r="V21">
        <f>IF(ISNUMBER(S21),IF(ISNUMBER(S22),IF(S21&gt;S22,1.0,IF(S21=S22,0.5,0.0)),0.5),0.5)</f>
        <v/>
      </c>
      <c r="W21">
        <f>IF(ISNUMBER(T21),IF(ISNUMBER(T20),IF(T21&gt;T20,1.0,IF(T21=T20,0.5,0.0)),0.5),0.5)</f>
        <v/>
      </c>
      <c r="X21">
        <f>IF(ISNUMBER(T21),IF(ISNUMBER(T22),IF(T21&gt;T22,1.0,IF(T21=T22,0.5,0.0)),0.5),0.5)</f>
        <v/>
      </c>
      <c r="Y21" s="11">
        <f>IF(AND(ISNUMBER(S21),ISNUMBER(S20)),VLOOKUP(ABS(S21-S20),'IMP Table'!$A$2:$C$26,3)*SIGN(S21-S20),0)</f>
        <v/>
      </c>
      <c r="Z21">
        <f>IF(AND(ISNUMBER(S21),ISNUMBER(S22)),VLOOKUP(ABS(S21-S22),'IMP Table'!$A$2:$C$26,3)*SIGN(S21-S22),0)</f>
        <v/>
      </c>
      <c r="AA21">
        <f>IF(AND(ISNUMBER(T21),ISNUMBER(T20)),VLOOKUP(ABS(T21-T20),'IMP Table'!$A$2:$C$26,3)*SIGN(T21-T20),0)</f>
        <v/>
      </c>
      <c r="AB21">
        <f>IF(AND(ISNUMBER(T21),ISNUMBER(T22)),VLOOKUP(ABS(T21-T22),'IMP Table'!$A$2:$C$26,3)*SIGN(T21-T22),0)</f>
        <v/>
      </c>
    </row>
    <row r="22">
      <c r="A22" s="15" t="n"/>
      <c r="B22" s="16">
        <f>'By Round'!A3</f>
        <v/>
      </c>
      <c r="C22" s="16">
        <f>'By Round'!B6</f>
        <v/>
      </c>
      <c r="D22" s="16">
        <f>'By Round'!C6</f>
        <v/>
      </c>
      <c r="E22" s="16">
        <f>'By Round'!D6</f>
        <v/>
      </c>
      <c r="F22" s="16">
        <f>IF(ISBLANK('By Round'!F7),"",'By Round'!F7)</f>
        <v/>
      </c>
      <c r="G22" s="15">
        <f>IF(ISBLANK('By Round'!G7),"",'By Round'!G7)</f>
        <v/>
      </c>
      <c r="H22" s="15">
        <f>IF(ISBLANK('By Round'!H7),"",'By Round'!H7)</f>
        <v/>
      </c>
      <c r="I22" s="15">
        <f>IF(ISBLANK('By Round'!I7),"",'By Round'!I7)</f>
        <v/>
      </c>
      <c r="J22" s="15">
        <f>IF(ISBLANK('By Round'!J7),"",'By Round'!J7)</f>
        <v/>
      </c>
      <c r="K22" s="15">
        <f>IF(ISBLANK('By Round'!K7),"",'By Round'!K7)</f>
        <v/>
      </c>
      <c r="L22" s="15">
        <f>IF(ISBLANK('By Round'!L7),"",'By Round'!L7)</f>
        <v/>
      </c>
      <c r="M22" s="17">
        <f>AVERAGE(Y22:Z22)</f>
        <v/>
      </c>
      <c r="N22" s="18">
        <f>AVERAGE(AA22:AB22)</f>
        <v/>
      </c>
      <c r="O22" s="19">
        <f>IF(COUNT(U22:V22)&gt;0,Q22/COUNT(U22:V22),0.5)</f>
        <v/>
      </c>
      <c r="P22" s="19">
        <f>IF(COUNT(W22:X22)&gt;0,R22/COUNT(W22:X22),0.5)</f>
        <v/>
      </c>
      <c r="Q22" s="20">
        <f>SUM(U22:V22)</f>
        <v/>
      </c>
      <c r="R22" s="20">
        <f>SUM(W22:X22)</f>
        <v/>
      </c>
      <c r="S22" s="21">
        <f>IF(ISNUMBER(K22),K22,IF(ISNUMBER(L22),-L22,""))</f>
        <v/>
      </c>
      <c r="T22" s="15">
        <f>IF(ISNUMBER(L22),L22,IF(ISNUMBER(K22),-K22,""))</f>
        <v/>
      </c>
      <c r="U22" s="21">
        <f>IF(ISNUMBER(S22),IF(ISNUMBER(S20),IF(S22&gt;S20,1.0,IF(S22=S20,0.5,0.0)),0.5),0.5)</f>
        <v/>
      </c>
      <c r="V22" s="15">
        <f>IF(ISNUMBER(S22),IF(ISNUMBER(S21),IF(S22&gt;S21,1.0,IF(S22=S21,0.5,0.0)),0.5),0.5)</f>
        <v/>
      </c>
      <c r="W22" s="15">
        <f>IF(ISNUMBER(T22),IF(ISNUMBER(T20),IF(T22&gt;T20,1.0,IF(T22=T20,0.5,0.0)),0.5),0.5)</f>
        <v/>
      </c>
      <c r="X22" s="15">
        <f>IF(ISNUMBER(T22),IF(ISNUMBER(T21),IF(T22&gt;T21,1.0,IF(T22=T21,0.5,0.0)),0.5),0.5)</f>
        <v/>
      </c>
      <c r="Y22" s="21">
        <f>IF(AND(ISNUMBER(S22),ISNUMBER(S20)),VLOOKUP(ABS(S22-S20),'IMP Table'!$A$2:$C$26,3)*SIGN(S22-S20),0)</f>
        <v/>
      </c>
      <c r="Z22" s="15">
        <f>IF(AND(ISNUMBER(S22),ISNUMBER(S21)),VLOOKUP(ABS(S22-S21),'IMP Table'!$A$2:$C$26,3)*SIGN(S22-S21),0)</f>
        <v/>
      </c>
      <c r="AA22" s="15">
        <f>IF(AND(ISNUMBER(T22),ISNUMBER(T20)),VLOOKUP(ABS(T22-T20),'IMP Table'!$A$2:$C$26,3)*SIGN(T22-T20),0)</f>
        <v/>
      </c>
      <c r="AB22" s="15">
        <f>IF(AND(ISNUMBER(T22),ISNUMBER(T21)),VLOOKUP(ABS(T22-T21),'IMP Table'!$A$2:$C$26,3)*SIGN(T22-T21),0)</f>
        <v/>
      </c>
      <c r="AC22" s="15" t="n"/>
      <c r="AD22" s="15" t="n"/>
      <c r="AE22" s="15" t="n"/>
      <c r="AF22" s="15" t="n"/>
    </row>
    <row r="23">
      <c r="A23" s="10" t="n">
        <v>6</v>
      </c>
      <c r="B23" s="10">
        <f>'By Round'!A15</f>
        <v/>
      </c>
      <c r="C23" s="10">
        <f>'By Round'!B15</f>
        <v/>
      </c>
      <c r="D23" s="10">
        <f>'By Round'!C15</f>
        <v/>
      </c>
      <c r="E23" s="10">
        <f>'By Round'!D15</f>
        <v/>
      </c>
      <c r="F23" s="10">
        <f>IF(ISBLANK('By Round'!F17),"",'By Round'!F17)</f>
        <v/>
      </c>
      <c r="G23">
        <f>IF(ISBLANK('By Round'!G17),"",'By Round'!G17)</f>
        <v/>
      </c>
      <c r="H23">
        <f>IF(ISBLANK('By Round'!H17),"",'By Round'!H17)</f>
        <v/>
      </c>
      <c r="I23">
        <f>IF(ISBLANK('By Round'!I17),"",'By Round'!I17)</f>
        <v/>
      </c>
      <c r="J23">
        <f>IF(ISBLANK('By Round'!J17),"",'By Round'!J17)</f>
        <v/>
      </c>
      <c r="K23">
        <f>IF(ISBLANK('By Round'!K17),"",'By Round'!K17)</f>
        <v/>
      </c>
      <c r="L23">
        <f>IF(ISBLANK('By Round'!L17),"",'By Round'!L17)</f>
        <v/>
      </c>
      <c r="M23" s="11">
        <f>IF(ISBLANK('By Round'!M17),"",'By Round'!M17)</f>
        <v/>
      </c>
      <c r="N23">
        <f>IF(ISBLANK('By Round'!N17),"",'By Round'!N17)</f>
        <v/>
      </c>
      <c r="O23">
        <f>IF(ISBLANK('By Round'!O17),"",'By Round'!O17)</f>
        <v/>
      </c>
      <c r="P23">
        <f>IF(ISBLANK('By Round'!P17),"",'By Round'!P17)</f>
        <v/>
      </c>
      <c r="Q23">
        <f>IF(ISBLANK('By Round'!Q17),"",'By Round'!Q17)</f>
        <v/>
      </c>
      <c r="R23">
        <f>IF(ISBLANK('By Round'!R17),"",'By Round'!R17)</f>
        <v/>
      </c>
      <c r="S23" s="11">
        <f>IF(ISBLANK('By Round'!S17),"",'By Round'!S17)</f>
        <v/>
      </c>
      <c r="T23">
        <f>IF(ISBLANK('By Round'!T17),"",'By Round'!T17)</f>
        <v/>
      </c>
      <c r="U23" s="11">
        <f>IF(ISBLANK('By Round'!U17),"",'By Round'!U17)</f>
        <v/>
      </c>
      <c r="V23">
        <f>IF(ISBLANK('By Round'!V17),"",'By Round'!V17)</f>
        <v/>
      </c>
      <c r="W23">
        <f>IF(ISBLANK('By Round'!W17),"",'By Round'!W17)</f>
        <v/>
      </c>
      <c r="X23">
        <f>IF(ISBLANK('By Round'!X17),"",'By Round'!X17)</f>
        <v/>
      </c>
      <c r="Y23" s="11" t="n"/>
    </row>
    <row r="24">
      <c r="B24" s="10">
        <f>'By Round'!A75</f>
        <v/>
      </c>
      <c r="C24" s="10">
        <f>'By Round'!B81</f>
        <v/>
      </c>
      <c r="D24" s="10">
        <f>'By Round'!C81</f>
        <v/>
      </c>
      <c r="E24" s="10">
        <f>'By Round'!D81</f>
        <v/>
      </c>
      <c r="F24" s="10">
        <f>IF(ISBLANK('By Round'!F83),"",'By Round'!F83)</f>
        <v/>
      </c>
      <c r="G24">
        <f>IF(ISBLANK('By Round'!G83),"",'By Round'!G83)</f>
        <v/>
      </c>
      <c r="H24">
        <f>IF(ISBLANK('By Round'!H83),"",'By Round'!H83)</f>
        <v/>
      </c>
      <c r="I24">
        <f>IF(ISBLANK('By Round'!I83),"",'By Round'!I83)</f>
        <v/>
      </c>
      <c r="J24">
        <f>IF(ISBLANK('By Round'!J83),"",'By Round'!J83)</f>
        <v/>
      </c>
      <c r="K24">
        <f>IF(ISBLANK('By Round'!K83),"",'By Round'!K83)</f>
        <v/>
      </c>
      <c r="L24">
        <f>IF(ISBLANK('By Round'!L83),"",'By Round'!L83)</f>
        <v/>
      </c>
      <c r="M24" s="12">
        <f>AVERAGE(Y24:Z24)</f>
        <v/>
      </c>
      <c r="N24" s="13">
        <f>AVERAGE(AA24:AB24)</f>
        <v/>
      </c>
      <c r="O24" s="14">
        <f>IF(COUNT(U24:V24)&gt;0,Q24/COUNT(U24:V24),0.5)</f>
        <v/>
      </c>
      <c r="P24" s="14">
        <f>IF(COUNT(W24:X24)&gt;0,R24/COUNT(W24:X24),0.5)</f>
        <v/>
      </c>
      <c r="Q24" s="5">
        <f>SUM(U24:V24)</f>
        <v/>
      </c>
      <c r="R24" s="5">
        <f>SUM(W24:X24)</f>
        <v/>
      </c>
      <c r="S24" s="11">
        <f>IF(ISNUMBER(K24),K24,IF(ISNUMBER(L24),-L24,""))</f>
        <v/>
      </c>
      <c r="T24">
        <f>IF(ISNUMBER(L24),L24,IF(ISNUMBER(K24),-K24,""))</f>
        <v/>
      </c>
      <c r="U24" s="11">
        <f>IF(ISNUMBER(S24),IF(ISNUMBER(S25),IF(S24&gt;S25,1.0,IF(S24=S25,0.5,0.0)),0.5),0.5)</f>
        <v/>
      </c>
      <c r="V24">
        <f>IF(ISNUMBER(S24),IF(ISNUMBER(S26),IF(S24&gt;S26,1.0,IF(S24=S26,0.5,0.0)),0.5),0.5)</f>
        <v/>
      </c>
      <c r="W24">
        <f>IF(ISNUMBER(T24),IF(ISNUMBER(T25),IF(T24&gt;T25,1.0,IF(T24=T25,0.5,0.0)),0.5),0.5)</f>
        <v/>
      </c>
      <c r="X24">
        <f>IF(ISNUMBER(T24),IF(ISNUMBER(T26),IF(T24&gt;T26,1.0,IF(T24=T26,0.5,0.0)),0.5),0.5)</f>
        <v/>
      </c>
      <c r="Y24" s="11">
        <f>IF(AND(ISNUMBER(S24),ISNUMBER(S25)),VLOOKUP(ABS(S24-S25),'IMP Table'!$A$2:$C$26,3)*SIGN(S24-S25),0)</f>
        <v/>
      </c>
      <c r="Z24">
        <f>IF(AND(ISNUMBER(S24),ISNUMBER(S26)),VLOOKUP(ABS(S24-S26),'IMP Table'!$A$2:$C$26,3)*SIGN(S24-S26),0)</f>
        <v/>
      </c>
      <c r="AA24">
        <f>IF(AND(ISNUMBER(T24),ISNUMBER(T25)),VLOOKUP(ABS(T24-T25),'IMP Table'!$A$2:$C$26,3)*SIGN(T24-T25),0)</f>
        <v/>
      </c>
      <c r="AB24">
        <f>IF(AND(ISNUMBER(T24),ISNUMBER(T26)),VLOOKUP(ABS(T24-T26),'IMP Table'!$A$2:$C$26,3)*SIGN(T24-T26),0)</f>
        <v/>
      </c>
    </row>
    <row r="25">
      <c r="B25" s="10">
        <f>'By Round'!A51</f>
        <v/>
      </c>
      <c r="C25" s="10">
        <f>'By Round'!B60</f>
        <v/>
      </c>
      <c r="D25" s="10">
        <f>'By Round'!C60</f>
        <v/>
      </c>
      <c r="E25" s="10">
        <f>'By Round'!D60</f>
        <v/>
      </c>
      <c r="F25" s="10">
        <f>IF(ISBLANK('By Round'!F62),"",'By Round'!F62)</f>
        <v/>
      </c>
      <c r="G25">
        <f>IF(ISBLANK('By Round'!G62),"",'By Round'!G62)</f>
        <v/>
      </c>
      <c r="H25">
        <f>IF(ISBLANK('By Round'!H62),"",'By Round'!H62)</f>
        <v/>
      </c>
      <c r="I25">
        <f>IF(ISBLANK('By Round'!I62),"",'By Round'!I62)</f>
        <v/>
      </c>
      <c r="J25">
        <f>IF(ISBLANK('By Round'!J62),"",'By Round'!J62)</f>
        <v/>
      </c>
      <c r="K25">
        <f>IF(ISBLANK('By Round'!K62),"",'By Round'!K62)</f>
        <v/>
      </c>
      <c r="L25">
        <f>IF(ISBLANK('By Round'!L62),"",'By Round'!L62)</f>
        <v/>
      </c>
      <c r="M25" s="12">
        <f>AVERAGE(Y25:Z25)</f>
        <v/>
      </c>
      <c r="N25" s="13">
        <f>AVERAGE(AA25:AB25)</f>
        <v/>
      </c>
      <c r="O25" s="14">
        <f>IF(COUNT(U25:V25)&gt;0,Q25/COUNT(U25:V25),0.5)</f>
        <v/>
      </c>
      <c r="P25" s="14">
        <f>IF(COUNT(W25:X25)&gt;0,R25/COUNT(W25:X25),0.5)</f>
        <v/>
      </c>
      <c r="Q25" s="5">
        <f>SUM(U25:V25)</f>
        <v/>
      </c>
      <c r="R25" s="5">
        <f>SUM(W25:X25)</f>
        <v/>
      </c>
      <c r="S25" s="11">
        <f>IF(ISNUMBER(K25),K25,IF(ISNUMBER(L25),-L25,""))</f>
        <v/>
      </c>
      <c r="T25">
        <f>IF(ISNUMBER(L25),L25,IF(ISNUMBER(K25),-K25,""))</f>
        <v/>
      </c>
      <c r="U25" s="11">
        <f>IF(ISNUMBER(S25),IF(ISNUMBER(S24),IF(S25&gt;S24,1.0,IF(S25=S24,0.5,0.0)),0.5),0.5)</f>
        <v/>
      </c>
      <c r="V25">
        <f>IF(ISNUMBER(S25),IF(ISNUMBER(S26),IF(S25&gt;S26,1.0,IF(S25=S26,0.5,0.0)),0.5),0.5)</f>
        <v/>
      </c>
      <c r="W25">
        <f>IF(ISNUMBER(T25),IF(ISNUMBER(T24),IF(T25&gt;T24,1.0,IF(T25=T24,0.5,0.0)),0.5),0.5)</f>
        <v/>
      </c>
      <c r="X25">
        <f>IF(ISNUMBER(T25),IF(ISNUMBER(T26),IF(T25&gt;T26,1.0,IF(T25=T26,0.5,0.0)),0.5),0.5)</f>
        <v/>
      </c>
      <c r="Y25" s="11">
        <f>IF(AND(ISNUMBER(S25),ISNUMBER(S24)),VLOOKUP(ABS(S25-S24),'IMP Table'!$A$2:$C$26,3)*SIGN(S25-S24),0)</f>
        <v/>
      </c>
      <c r="Z25">
        <f>IF(AND(ISNUMBER(S25),ISNUMBER(S26)),VLOOKUP(ABS(S25-S26),'IMP Table'!$A$2:$C$26,3)*SIGN(S25-S26),0)</f>
        <v/>
      </c>
      <c r="AA25">
        <f>IF(AND(ISNUMBER(T25),ISNUMBER(T24)),VLOOKUP(ABS(T25-T24),'IMP Table'!$A$2:$C$26,3)*SIGN(T25-T24),0)</f>
        <v/>
      </c>
      <c r="AB25">
        <f>IF(AND(ISNUMBER(T25),ISNUMBER(T26)),VLOOKUP(ABS(T25-T26),'IMP Table'!$A$2:$C$26,3)*SIGN(T25-T26),0)</f>
        <v/>
      </c>
    </row>
    <row r="26">
      <c r="A26" s="15" t="n"/>
      <c r="B26" s="16">
        <f>'By Round'!A3</f>
        <v/>
      </c>
      <c r="C26" s="16">
        <f>'By Round'!B6</f>
        <v/>
      </c>
      <c r="D26" s="16">
        <f>'By Round'!C6</f>
        <v/>
      </c>
      <c r="E26" s="16">
        <f>'By Round'!D6</f>
        <v/>
      </c>
      <c r="F26" s="16">
        <f>IF(ISBLANK('By Round'!F8),"",'By Round'!F8)</f>
        <v/>
      </c>
      <c r="G26" s="15">
        <f>IF(ISBLANK('By Round'!G8),"",'By Round'!G8)</f>
        <v/>
      </c>
      <c r="H26" s="15">
        <f>IF(ISBLANK('By Round'!H8),"",'By Round'!H8)</f>
        <v/>
      </c>
      <c r="I26" s="15">
        <f>IF(ISBLANK('By Round'!I8),"",'By Round'!I8)</f>
        <v/>
      </c>
      <c r="J26" s="15">
        <f>IF(ISBLANK('By Round'!J8),"",'By Round'!J8)</f>
        <v/>
      </c>
      <c r="K26" s="15">
        <f>IF(ISBLANK('By Round'!K8),"",'By Round'!K8)</f>
        <v/>
      </c>
      <c r="L26" s="15">
        <f>IF(ISBLANK('By Round'!L8),"",'By Round'!L8)</f>
        <v/>
      </c>
      <c r="M26" s="17">
        <f>AVERAGE(Y26:Z26)</f>
        <v/>
      </c>
      <c r="N26" s="18">
        <f>AVERAGE(AA26:AB26)</f>
        <v/>
      </c>
      <c r="O26" s="19">
        <f>IF(COUNT(U26:V26)&gt;0,Q26/COUNT(U26:V26),0.5)</f>
        <v/>
      </c>
      <c r="P26" s="19">
        <f>IF(COUNT(W26:X26)&gt;0,R26/COUNT(W26:X26),0.5)</f>
        <v/>
      </c>
      <c r="Q26" s="20">
        <f>SUM(U26:V26)</f>
        <v/>
      </c>
      <c r="R26" s="20">
        <f>SUM(W26:X26)</f>
        <v/>
      </c>
      <c r="S26" s="21">
        <f>IF(ISNUMBER(K26),K26,IF(ISNUMBER(L26),-L26,""))</f>
        <v/>
      </c>
      <c r="T26" s="15">
        <f>IF(ISNUMBER(L26),L26,IF(ISNUMBER(K26),-K26,""))</f>
        <v/>
      </c>
      <c r="U26" s="21">
        <f>IF(ISNUMBER(S26),IF(ISNUMBER(S24),IF(S26&gt;S24,1.0,IF(S26=S24,0.5,0.0)),0.5),0.5)</f>
        <v/>
      </c>
      <c r="V26" s="15">
        <f>IF(ISNUMBER(S26),IF(ISNUMBER(S25),IF(S26&gt;S25,1.0,IF(S26=S25,0.5,0.0)),0.5),0.5)</f>
        <v/>
      </c>
      <c r="W26" s="15">
        <f>IF(ISNUMBER(T26),IF(ISNUMBER(T24),IF(T26&gt;T24,1.0,IF(T26=T24,0.5,0.0)),0.5),0.5)</f>
        <v/>
      </c>
      <c r="X26" s="15">
        <f>IF(ISNUMBER(T26),IF(ISNUMBER(T25),IF(T26&gt;T25,1.0,IF(T26=T25,0.5,0.0)),0.5),0.5)</f>
        <v/>
      </c>
      <c r="Y26" s="21">
        <f>IF(AND(ISNUMBER(S26),ISNUMBER(S24)),VLOOKUP(ABS(S26-S24),'IMP Table'!$A$2:$C$26,3)*SIGN(S26-S24),0)</f>
        <v/>
      </c>
      <c r="Z26" s="15">
        <f>IF(AND(ISNUMBER(S26),ISNUMBER(S25)),VLOOKUP(ABS(S26-S25),'IMP Table'!$A$2:$C$26,3)*SIGN(S26-S25),0)</f>
        <v/>
      </c>
      <c r="AA26" s="15">
        <f>IF(AND(ISNUMBER(T26),ISNUMBER(T24)),VLOOKUP(ABS(T26-T24),'IMP Table'!$A$2:$C$26,3)*SIGN(T26-T24),0)</f>
        <v/>
      </c>
      <c r="AB26" s="15">
        <f>IF(AND(ISNUMBER(T26),ISNUMBER(T25)),VLOOKUP(ABS(T26-T25),'IMP Table'!$A$2:$C$26,3)*SIGN(T26-T25),0)</f>
        <v/>
      </c>
      <c r="AC26" s="15" t="n"/>
      <c r="AD26" s="15" t="n"/>
      <c r="AE26" s="15" t="n"/>
      <c r="AF26" s="15" t="n"/>
    </row>
    <row r="27">
      <c r="A27" s="10" t="n">
        <v>7</v>
      </c>
      <c r="B27" s="10">
        <f>'By Round'!A27</f>
        <v/>
      </c>
      <c r="C27" s="10">
        <f>'By Round'!B27</f>
        <v/>
      </c>
      <c r="D27" s="10">
        <f>'By Round'!C27</f>
        <v/>
      </c>
      <c r="E27" s="10">
        <f>'By Round'!D27</f>
        <v/>
      </c>
      <c r="F27" s="10">
        <f>IF(ISBLANK('By Round'!F27),"",'By Round'!F27)</f>
        <v/>
      </c>
      <c r="G27">
        <f>IF(ISBLANK('By Round'!G27),"",'By Round'!G27)</f>
        <v/>
      </c>
      <c r="H27">
        <f>IF(ISBLANK('By Round'!H27),"",'By Round'!H27)</f>
        <v/>
      </c>
      <c r="I27">
        <f>IF(ISBLANK('By Round'!I27),"",'By Round'!I27)</f>
        <v/>
      </c>
      <c r="J27">
        <f>IF(ISBLANK('By Round'!J27),"",'By Round'!J27)</f>
        <v/>
      </c>
      <c r="K27">
        <f>IF(ISBLANK('By Round'!K27),"",'By Round'!K27)</f>
        <v/>
      </c>
      <c r="L27">
        <f>IF(ISBLANK('By Round'!L27),"",'By Round'!L27)</f>
        <v/>
      </c>
      <c r="M27" s="11">
        <f>IF(ISBLANK('By Round'!M27),"",'By Round'!M27)</f>
        <v/>
      </c>
      <c r="N27">
        <f>IF(ISBLANK('By Round'!N27),"",'By Round'!N27)</f>
        <v/>
      </c>
      <c r="O27">
        <f>IF(ISBLANK('By Round'!O27),"",'By Round'!O27)</f>
        <v/>
      </c>
      <c r="P27">
        <f>IF(ISBLANK('By Round'!P27),"",'By Round'!P27)</f>
        <v/>
      </c>
      <c r="Q27">
        <f>IF(ISBLANK('By Round'!Q27),"",'By Round'!Q27)</f>
        <v/>
      </c>
      <c r="R27">
        <f>IF(ISBLANK('By Round'!R27),"",'By Round'!R27)</f>
        <v/>
      </c>
      <c r="S27" s="11">
        <f>IF(ISBLANK('By Round'!S27),"",'By Round'!S27)</f>
        <v/>
      </c>
      <c r="T27">
        <f>IF(ISBLANK('By Round'!T27),"",'By Round'!T27)</f>
        <v/>
      </c>
      <c r="U27" s="11">
        <f>IF(ISBLANK('By Round'!U27),"",'By Round'!U27)</f>
        <v/>
      </c>
      <c r="V27">
        <f>IF(ISBLANK('By Round'!V27),"",'By Round'!V27)</f>
        <v/>
      </c>
      <c r="W27">
        <f>IF(ISBLANK('By Round'!W27),"",'By Round'!W27)</f>
        <v/>
      </c>
      <c r="X27">
        <f>IF(ISBLANK('By Round'!X27),"",'By Round'!X27)</f>
        <v/>
      </c>
      <c r="Y27" s="11" t="n"/>
    </row>
    <row r="28">
      <c r="B28" s="10">
        <f>'By Round'!A3</f>
        <v/>
      </c>
      <c r="C28" s="10">
        <f>'By Round'!B9</f>
        <v/>
      </c>
      <c r="D28" s="10">
        <f>'By Round'!C9</f>
        <v/>
      </c>
      <c r="E28" s="10">
        <f>'By Round'!D9</f>
        <v/>
      </c>
      <c r="F28" s="10">
        <f>IF(ISBLANK('By Round'!F9),"",'By Round'!F9)</f>
        <v/>
      </c>
      <c r="G28">
        <f>IF(ISBLANK('By Round'!G9),"",'By Round'!G9)</f>
        <v/>
      </c>
      <c r="H28">
        <f>IF(ISBLANK('By Round'!H9),"",'By Round'!H9)</f>
        <v/>
      </c>
      <c r="I28">
        <f>IF(ISBLANK('By Round'!I9),"",'By Round'!I9)</f>
        <v/>
      </c>
      <c r="J28">
        <f>IF(ISBLANK('By Round'!J9),"",'By Round'!J9)</f>
        <v/>
      </c>
      <c r="K28">
        <f>IF(ISBLANK('By Round'!K9),"",'By Round'!K9)</f>
        <v/>
      </c>
      <c r="L28">
        <f>IF(ISBLANK('By Round'!L9),"",'By Round'!L9)</f>
        <v/>
      </c>
      <c r="M28" s="12">
        <f>AVERAGE(Y28:Z28)</f>
        <v/>
      </c>
      <c r="N28" s="13">
        <f>AVERAGE(AA28:AB28)</f>
        <v/>
      </c>
      <c r="O28" s="14">
        <f>IF(COUNT(U28:V28)&gt;0,Q28/COUNT(U28:V28),0.5)</f>
        <v/>
      </c>
      <c r="P28" s="14">
        <f>IF(COUNT(W28:X28)&gt;0,R28/COUNT(W28:X28),0.5)</f>
        <v/>
      </c>
      <c r="Q28" s="5">
        <f>SUM(U28:V28)</f>
        <v/>
      </c>
      <c r="R28" s="5">
        <f>SUM(W28:X28)</f>
        <v/>
      </c>
      <c r="S28" s="11">
        <f>IF(ISNUMBER(K28),K28,IF(ISNUMBER(L28),-L28,""))</f>
        <v/>
      </c>
      <c r="T28">
        <f>IF(ISNUMBER(L28),L28,IF(ISNUMBER(K28),-K28,""))</f>
        <v/>
      </c>
      <c r="U28" s="11">
        <f>IF(ISNUMBER(S28),IF(ISNUMBER(S29),IF(S28&gt;S29,1.0,IF(S28=S29,0.5,0.0)),0.5),0.5)</f>
        <v/>
      </c>
      <c r="V28">
        <f>IF(ISNUMBER(S28),IF(ISNUMBER(S30),IF(S28&gt;S30,1.0,IF(S28=S30,0.5,0.0)),0.5),0.5)</f>
        <v/>
      </c>
      <c r="W28">
        <f>IF(ISNUMBER(T28),IF(ISNUMBER(T29),IF(T28&gt;T29,1.0,IF(T28=T29,0.5,0.0)),0.5),0.5)</f>
        <v/>
      </c>
      <c r="X28">
        <f>IF(ISNUMBER(T28),IF(ISNUMBER(T30),IF(T28&gt;T30,1.0,IF(T28=T30,0.5,0.0)),0.5),0.5)</f>
        <v/>
      </c>
      <c r="Y28" s="11">
        <f>IF(AND(ISNUMBER(S28),ISNUMBER(S29)),VLOOKUP(ABS(S28-S29),'IMP Table'!$A$2:$C$26,3)*SIGN(S28-S29),0)</f>
        <v/>
      </c>
      <c r="Z28">
        <f>IF(AND(ISNUMBER(S28),ISNUMBER(S30)),VLOOKUP(ABS(S28-S30),'IMP Table'!$A$2:$C$26,3)*SIGN(S28-S30),0)</f>
        <v/>
      </c>
      <c r="AA28">
        <f>IF(AND(ISNUMBER(T28),ISNUMBER(T29)),VLOOKUP(ABS(T28-T29),'IMP Table'!$A$2:$C$26,3)*SIGN(T28-T29),0)</f>
        <v/>
      </c>
      <c r="AB28">
        <f>IF(AND(ISNUMBER(T28),ISNUMBER(T30)),VLOOKUP(ABS(T28-T30),'IMP Table'!$A$2:$C$26,3)*SIGN(T28-T30),0)</f>
        <v/>
      </c>
    </row>
    <row r="29">
      <c r="B29" s="10">
        <f>'By Round'!A63</f>
        <v/>
      </c>
      <c r="C29" s="10">
        <f>'By Round'!B72</f>
        <v/>
      </c>
      <c r="D29" s="10">
        <f>'By Round'!C72</f>
        <v/>
      </c>
      <c r="E29" s="10">
        <f>'By Round'!D72</f>
        <v/>
      </c>
      <c r="F29" s="10">
        <f>IF(ISBLANK('By Round'!F72),"",'By Round'!F72)</f>
        <v/>
      </c>
      <c r="G29">
        <f>IF(ISBLANK('By Round'!G72),"",'By Round'!G72)</f>
        <v/>
      </c>
      <c r="H29">
        <f>IF(ISBLANK('By Round'!H72),"",'By Round'!H72)</f>
        <v/>
      </c>
      <c r="I29">
        <f>IF(ISBLANK('By Round'!I72),"",'By Round'!I72)</f>
        <v/>
      </c>
      <c r="J29">
        <f>IF(ISBLANK('By Round'!J72),"",'By Round'!J72)</f>
        <v/>
      </c>
      <c r="K29">
        <f>IF(ISBLANK('By Round'!K72),"",'By Round'!K72)</f>
        <v/>
      </c>
      <c r="L29">
        <f>IF(ISBLANK('By Round'!L72),"",'By Round'!L72)</f>
        <v/>
      </c>
      <c r="M29" s="12">
        <f>AVERAGE(Y29:Z29)</f>
        <v/>
      </c>
      <c r="N29" s="13">
        <f>AVERAGE(AA29:AB29)</f>
        <v/>
      </c>
      <c r="O29" s="14">
        <f>IF(COUNT(U29:V29)&gt;0,Q29/COUNT(U29:V29),0.5)</f>
        <v/>
      </c>
      <c r="P29" s="14">
        <f>IF(COUNT(W29:X29)&gt;0,R29/COUNT(W29:X29),0.5)</f>
        <v/>
      </c>
      <c r="Q29" s="5">
        <f>SUM(U29:V29)</f>
        <v/>
      </c>
      <c r="R29" s="5">
        <f>SUM(W29:X29)</f>
        <v/>
      </c>
      <c r="S29" s="11">
        <f>IF(ISNUMBER(K29),K29,IF(ISNUMBER(L29),-L29,""))</f>
        <v/>
      </c>
      <c r="T29">
        <f>IF(ISNUMBER(L29),L29,IF(ISNUMBER(K29),-K29,""))</f>
        <v/>
      </c>
      <c r="U29" s="11">
        <f>IF(ISNUMBER(S29),IF(ISNUMBER(S28),IF(S29&gt;S28,1.0,IF(S29=S28,0.5,0.0)),0.5),0.5)</f>
        <v/>
      </c>
      <c r="V29">
        <f>IF(ISNUMBER(S29),IF(ISNUMBER(S30),IF(S29&gt;S30,1.0,IF(S29=S30,0.5,0.0)),0.5),0.5)</f>
        <v/>
      </c>
      <c r="W29">
        <f>IF(ISNUMBER(T29),IF(ISNUMBER(T28),IF(T29&gt;T28,1.0,IF(T29=T28,0.5,0.0)),0.5),0.5)</f>
        <v/>
      </c>
      <c r="X29">
        <f>IF(ISNUMBER(T29),IF(ISNUMBER(T30),IF(T29&gt;T30,1.0,IF(T29=T30,0.5,0.0)),0.5),0.5)</f>
        <v/>
      </c>
      <c r="Y29" s="11">
        <f>IF(AND(ISNUMBER(S29),ISNUMBER(S28)),VLOOKUP(ABS(S29-S28),'IMP Table'!$A$2:$C$26,3)*SIGN(S29-S28),0)</f>
        <v/>
      </c>
      <c r="Z29">
        <f>IF(AND(ISNUMBER(S29),ISNUMBER(S30)),VLOOKUP(ABS(S29-S30),'IMP Table'!$A$2:$C$26,3)*SIGN(S29-S30),0)</f>
        <v/>
      </c>
      <c r="AA29">
        <f>IF(AND(ISNUMBER(T29),ISNUMBER(T28)),VLOOKUP(ABS(T29-T28),'IMP Table'!$A$2:$C$26,3)*SIGN(T29-T28),0)</f>
        <v/>
      </c>
      <c r="AB29">
        <f>IF(AND(ISNUMBER(T29),ISNUMBER(T30)),VLOOKUP(ABS(T29-T30),'IMP Table'!$A$2:$C$26,3)*SIGN(T29-T30),0)</f>
        <v/>
      </c>
    </row>
    <row r="30">
      <c r="A30" s="15" t="n"/>
      <c r="B30" s="16">
        <f>'By Round'!A15</f>
        <v/>
      </c>
      <c r="C30" s="16">
        <f>'By Round'!B18</f>
        <v/>
      </c>
      <c r="D30" s="16">
        <f>'By Round'!C18</f>
        <v/>
      </c>
      <c r="E30" s="16">
        <f>'By Round'!D18</f>
        <v/>
      </c>
      <c r="F30" s="16">
        <f>IF(ISBLANK('By Round'!F18),"",'By Round'!F18)</f>
        <v/>
      </c>
      <c r="G30" s="15">
        <f>IF(ISBLANK('By Round'!G18),"",'By Round'!G18)</f>
        <v/>
      </c>
      <c r="H30" s="15">
        <f>IF(ISBLANK('By Round'!H18),"",'By Round'!H18)</f>
        <v/>
      </c>
      <c r="I30" s="15">
        <f>IF(ISBLANK('By Round'!I18),"",'By Round'!I18)</f>
        <v/>
      </c>
      <c r="J30" s="15">
        <f>IF(ISBLANK('By Round'!J18),"",'By Round'!J18)</f>
        <v/>
      </c>
      <c r="K30" s="15">
        <f>IF(ISBLANK('By Round'!K18),"",'By Round'!K18)</f>
        <v/>
      </c>
      <c r="L30" s="15">
        <f>IF(ISBLANK('By Round'!L18),"",'By Round'!L18)</f>
        <v/>
      </c>
      <c r="M30" s="17">
        <f>AVERAGE(Y30:Z30)</f>
        <v/>
      </c>
      <c r="N30" s="18">
        <f>AVERAGE(AA30:AB30)</f>
        <v/>
      </c>
      <c r="O30" s="19">
        <f>IF(COUNT(U30:V30)&gt;0,Q30/COUNT(U30:V30),0.5)</f>
        <v/>
      </c>
      <c r="P30" s="19">
        <f>IF(COUNT(W30:X30)&gt;0,R30/COUNT(W30:X30),0.5)</f>
        <v/>
      </c>
      <c r="Q30" s="20">
        <f>SUM(U30:V30)</f>
        <v/>
      </c>
      <c r="R30" s="20">
        <f>SUM(W30:X30)</f>
        <v/>
      </c>
      <c r="S30" s="21">
        <f>IF(ISNUMBER(K30),K30,IF(ISNUMBER(L30),-L30,""))</f>
        <v/>
      </c>
      <c r="T30" s="15">
        <f>IF(ISNUMBER(L30),L30,IF(ISNUMBER(K30),-K30,""))</f>
        <v/>
      </c>
      <c r="U30" s="21">
        <f>IF(ISNUMBER(S30),IF(ISNUMBER(S28),IF(S30&gt;S28,1.0,IF(S30=S28,0.5,0.0)),0.5),0.5)</f>
        <v/>
      </c>
      <c r="V30" s="15">
        <f>IF(ISNUMBER(S30),IF(ISNUMBER(S29),IF(S30&gt;S29,1.0,IF(S30=S29,0.5,0.0)),0.5),0.5)</f>
        <v/>
      </c>
      <c r="W30" s="15">
        <f>IF(ISNUMBER(T30),IF(ISNUMBER(T28),IF(T30&gt;T28,1.0,IF(T30=T28,0.5,0.0)),0.5),0.5)</f>
        <v/>
      </c>
      <c r="X30" s="15">
        <f>IF(ISNUMBER(T30),IF(ISNUMBER(T29),IF(T30&gt;T29,1.0,IF(T30=T29,0.5,0.0)),0.5),0.5)</f>
        <v/>
      </c>
      <c r="Y30" s="21">
        <f>IF(AND(ISNUMBER(S30),ISNUMBER(S28)),VLOOKUP(ABS(S30-S28),'IMP Table'!$A$2:$C$26,3)*SIGN(S30-S28),0)</f>
        <v/>
      </c>
      <c r="Z30" s="15">
        <f>IF(AND(ISNUMBER(S30),ISNUMBER(S29)),VLOOKUP(ABS(S30-S29),'IMP Table'!$A$2:$C$26,3)*SIGN(S30-S29),0)</f>
        <v/>
      </c>
      <c r="AA30" s="15">
        <f>IF(AND(ISNUMBER(T30),ISNUMBER(T28)),VLOOKUP(ABS(T30-T28),'IMP Table'!$A$2:$C$26,3)*SIGN(T30-T28),0)</f>
        <v/>
      </c>
      <c r="AB30" s="15">
        <f>IF(AND(ISNUMBER(T30),ISNUMBER(T29)),VLOOKUP(ABS(T30-T29),'IMP Table'!$A$2:$C$26,3)*SIGN(T30-T29),0)</f>
        <v/>
      </c>
      <c r="AC30" s="15" t="n"/>
      <c r="AD30" s="15" t="n"/>
      <c r="AE30" s="15" t="n"/>
      <c r="AF30" s="15" t="n"/>
    </row>
    <row r="31">
      <c r="A31" s="10" t="n">
        <v>8</v>
      </c>
      <c r="B31" s="10">
        <f>'By Round'!A27</f>
        <v/>
      </c>
      <c r="C31" s="10">
        <f>'By Round'!B27</f>
        <v/>
      </c>
      <c r="D31" s="10">
        <f>'By Round'!C27</f>
        <v/>
      </c>
      <c r="E31" s="10">
        <f>'By Round'!D27</f>
        <v/>
      </c>
      <c r="F31" s="10">
        <f>IF(ISBLANK('By Round'!F28),"",'By Round'!F28)</f>
        <v/>
      </c>
      <c r="G31">
        <f>IF(ISBLANK('By Round'!G28),"",'By Round'!G28)</f>
        <v/>
      </c>
      <c r="H31">
        <f>IF(ISBLANK('By Round'!H28),"",'By Round'!H28)</f>
        <v/>
      </c>
      <c r="I31">
        <f>IF(ISBLANK('By Round'!I28),"",'By Round'!I28)</f>
        <v/>
      </c>
      <c r="J31">
        <f>IF(ISBLANK('By Round'!J28),"",'By Round'!J28)</f>
        <v/>
      </c>
      <c r="K31">
        <f>IF(ISBLANK('By Round'!K28),"",'By Round'!K28)</f>
        <v/>
      </c>
      <c r="L31">
        <f>IF(ISBLANK('By Round'!L28),"",'By Round'!L28)</f>
        <v/>
      </c>
      <c r="M31" s="11">
        <f>IF(ISBLANK('By Round'!M28),"",'By Round'!M28)</f>
        <v/>
      </c>
      <c r="N31">
        <f>IF(ISBLANK('By Round'!N28),"",'By Round'!N28)</f>
        <v/>
      </c>
      <c r="O31">
        <f>IF(ISBLANK('By Round'!O28),"",'By Round'!O28)</f>
        <v/>
      </c>
      <c r="P31">
        <f>IF(ISBLANK('By Round'!P28),"",'By Round'!P28)</f>
        <v/>
      </c>
      <c r="Q31">
        <f>IF(ISBLANK('By Round'!Q28),"",'By Round'!Q28)</f>
        <v/>
      </c>
      <c r="R31">
        <f>IF(ISBLANK('By Round'!R28),"",'By Round'!R28)</f>
        <v/>
      </c>
      <c r="S31" s="11">
        <f>IF(ISBLANK('By Round'!S28),"",'By Round'!S28)</f>
        <v/>
      </c>
      <c r="T31">
        <f>IF(ISBLANK('By Round'!T28),"",'By Round'!T28)</f>
        <v/>
      </c>
      <c r="U31" s="11">
        <f>IF(ISBLANK('By Round'!U28),"",'By Round'!U28)</f>
        <v/>
      </c>
      <c r="V31">
        <f>IF(ISBLANK('By Round'!V28),"",'By Round'!V28)</f>
        <v/>
      </c>
      <c r="W31">
        <f>IF(ISBLANK('By Round'!W28),"",'By Round'!W28)</f>
        <v/>
      </c>
      <c r="X31">
        <f>IF(ISBLANK('By Round'!X28),"",'By Round'!X28)</f>
        <v/>
      </c>
      <c r="Y31" s="11" t="n"/>
    </row>
    <row r="32">
      <c r="B32" s="10">
        <f>'By Round'!A3</f>
        <v/>
      </c>
      <c r="C32" s="10">
        <f>'By Round'!B9</f>
        <v/>
      </c>
      <c r="D32" s="10">
        <f>'By Round'!C9</f>
        <v/>
      </c>
      <c r="E32" s="10">
        <f>'By Round'!D9</f>
        <v/>
      </c>
      <c r="F32" s="10">
        <f>IF(ISBLANK('By Round'!F10),"",'By Round'!F10)</f>
        <v/>
      </c>
      <c r="G32">
        <f>IF(ISBLANK('By Round'!G10),"",'By Round'!G10)</f>
        <v/>
      </c>
      <c r="H32">
        <f>IF(ISBLANK('By Round'!H10),"",'By Round'!H10)</f>
        <v/>
      </c>
      <c r="I32">
        <f>IF(ISBLANK('By Round'!I10),"",'By Round'!I10)</f>
        <v/>
      </c>
      <c r="J32">
        <f>IF(ISBLANK('By Round'!J10),"",'By Round'!J10)</f>
        <v/>
      </c>
      <c r="K32">
        <f>IF(ISBLANK('By Round'!K10),"",'By Round'!K10)</f>
        <v/>
      </c>
      <c r="L32">
        <f>IF(ISBLANK('By Round'!L10),"",'By Round'!L10)</f>
        <v/>
      </c>
      <c r="M32" s="12">
        <f>AVERAGE(Y32:Z32)</f>
        <v/>
      </c>
      <c r="N32" s="13">
        <f>AVERAGE(AA32:AB32)</f>
        <v/>
      </c>
      <c r="O32" s="14">
        <f>IF(COUNT(U32:V32)&gt;0,Q32/COUNT(U32:V32),0.5)</f>
        <v/>
      </c>
      <c r="P32" s="14">
        <f>IF(COUNT(W32:X32)&gt;0,R32/COUNT(W32:X32),0.5)</f>
        <v/>
      </c>
      <c r="Q32" s="5">
        <f>SUM(U32:V32)</f>
        <v/>
      </c>
      <c r="R32" s="5">
        <f>SUM(W32:X32)</f>
        <v/>
      </c>
      <c r="S32" s="11">
        <f>IF(ISNUMBER(K32),K32,IF(ISNUMBER(L32),-L32,""))</f>
        <v/>
      </c>
      <c r="T32">
        <f>IF(ISNUMBER(L32),L32,IF(ISNUMBER(K32),-K32,""))</f>
        <v/>
      </c>
      <c r="U32" s="11">
        <f>IF(ISNUMBER(S32),IF(ISNUMBER(S33),IF(S32&gt;S33,1.0,IF(S32=S33,0.5,0.0)),0.5),0.5)</f>
        <v/>
      </c>
      <c r="V32">
        <f>IF(ISNUMBER(S32),IF(ISNUMBER(S34),IF(S32&gt;S34,1.0,IF(S32=S34,0.5,0.0)),0.5),0.5)</f>
        <v/>
      </c>
      <c r="W32">
        <f>IF(ISNUMBER(T32),IF(ISNUMBER(T33),IF(T32&gt;T33,1.0,IF(T32=T33,0.5,0.0)),0.5),0.5)</f>
        <v/>
      </c>
      <c r="X32">
        <f>IF(ISNUMBER(T32),IF(ISNUMBER(T34),IF(T32&gt;T34,1.0,IF(T32=T34,0.5,0.0)),0.5),0.5)</f>
        <v/>
      </c>
      <c r="Y32" s="11">
        <f>IF(AND(ISNUMBER(S32),ISNUMBER(S33)),VLOOKUP(ABS(S32-S33),'IMP Table'!$A$2:$C$26,3)*SIGN(S32-S33),0)</f>
        <v/>
      </c>
      <c r="Z32">
        <f>IF(AND(ISNUMBER(S32),ISNUMBER(S34)),VLOOKUP(ABS(S32-S34),'IMP Table'!$A$2:$C$26,3)*SIGN(S32-S34),0)</f>
        <v/>
      </c>
      <c r="AA32">
        <f>IF(AND(ISNUMBER(T32),ISNUMBER(T33)),VLOOKUP(ABS(T32-T33),'IMP Table'!$A$2:$C$26,3)*SIGN(T32-T33),0)</f>
        <v/>
      </c>
      <c r="AB32">
        <f>IF(AND(ISNUMBER(T32),ISNUMBER(T34)),VLOOKUP(ABS(T32-T34),'IMP Table'!$A$2:$C$26,3)*SIGN(T32-T34),0)</f>
        <v/>
      </c>
    </row>
    <row r="33">
      <c r="B33" s="10">
        <f>'By Round'!A63</f>
        <v/>
      </c>
      <c r="C33" s="10">
        <f>'By Round'!B72</f>
        <v/>
      </c>
      <c r="D33" s="10">
        <f>'By Round'!C72</f>
        <v/>
      </c>
      <c r="E33" s="10">
        <f>'By Round'!D72</f>
        <v/>
      </c>
      <c r="F33" s="10">
        <f>IF(ISBLANK('By Round'!F73),"",'By Round'!F73)</f>
        <v/>
      </c>
      <c r="G33">
        <f>IF(ISBLANK('By Round'!G73),"",'By Round'!G73)</f>
        <v/>
      </c>
      <c r="H33">
        <f>IF(ISBLANK('By Round'!H73),"",'By Round'!H73)</f>
        <v/>
      </c>
      <c r="I33">
        <f>IF(ISBLANK('By Round'!I73),"",'By Round'!I73)</f>
        <v/>
      </c>
      <c r="J33">
        <f>IF(ISBLANK('By Round'!J73),"",'By Round'!J73)</f>
        <v/>
      </c>
      <c r="K33">
        <f>IF(ISBLANK('By Round'!K73),"",'By Round'!K73)</f>
        <v/>
      </c>
      <c r="L33">
        <f>IF(ISBLANK('By Round'!L73),"",'By Round'!L73)</f>
        <v/>
      </c>
      <c r="M33" s="12">
        <f>AVERAGE(Y33:Z33)</f>
        <v/>
      </c>
      <c r="N33" s="13">
        <f>AVERAGE(AA33:AB33)</f>
        <v/>
      </c>
      <c r="O33" s="14">
        <f>IF(COUNT(U33:V33)&gt;0,Q33/COUNT(U33:V33),0.5)</f>
        <v/>
      </c>
      <c r="P33" s="14">
        <f>IF(COUNT(W33:X33)&gt;0,R33/COUNT(W33:X33),0.5)</f>
        <v/>
      </c>
      <c r="Q33" s="5">
        <f>SUM(U33:V33)</f>
        <v/>
      </c>
      <c r="R33" s="5">
        <f>SUM(W33:X33)</f>
        <v/>
      </c>
      <c r="S33" s="11">
        <f>IF(ISNUMBER(K33),K33,IF(ISNUMBER(L33),-L33,""))</f>
        <v/>
      </c>
      <c r="T33">
        <f>IF(ISNUMBER(L33),L33,IF(ISNUMBER(K33),-K33,""))</f>
        <v/>
      </c>
      <c r="U33" s="11">
        <f>IF(ISNUMBER(S33),IF(ISNUMBER(S32),IF(S33&gt;S32,1.0,IF(S33=S32,0.5,0.0)),0.5),0.5)</f>
        <v/>
      </c>
      <c r="V33">
        <f>IF(ISNUMBER(S33),IF(ISNUMBER(S34),IF(S33&gt;S34,1.0,IF(S33=S34,0.5,0.0)),0.5),0.5)</f>
        <v/>
      </c>
      <c r="W33">
        <f>IF(ISNUMBER(T33),IF(ISNUMBER(T32),IF(T33&gt;T32,1.0,IF(T33=T32,0.5,0.0)),0.5),0.5)</f>
        <v/>
      </c>
      <c r="X33">
        <f>IF(ISNUMBER(T33),IF(ISNUMBER(T34),IF(T33&gt;T34,1.0,IF(T33=T34,0.5,0.0)),0.5),0.5)</f>
        <v/>
      </c>
      <c r="Y33" s="11">
        <f>IF(AND(ISNUMBER(S33),ISNUMBER(S32)),VLOOKUP(ABS(S33-S32),'IMP Table'!$A$2:$C$26,3)*SIGN(S33-S32),0)</f>
        <v/>
      </c>
      <c r="Z33">
        <f>IF(AND(ISNUMBER(S33),ISNUMBER(S34)),VLOOKUP(ABS(S33-S34),'IMP Table'!$A$2:$C$26,3)*SIGN(S33-S34),0)</f>
        <v/>
      </c>
      <c r="AA33">
        <f>IF(AND(ISNUMBER(T33),ISNUMBER(T32)),VLOOKUP(ABS(T33-T32),'IMP Table'!$A$2:$C$26,3)*SIGN(T33-T32),0)</f>
        <v/>
      </c>
      <c r="AB33">
        <f>IF(AND(ISNUMBER(T33),ISNUMBER(T34)),VLOOKUP(ABS(T33-T34),'IMP Table'!$A$2:$C$26,3)*SIGN(T33-T34),0)</f>
        <v/>
      </c>
    </row>
    <row r="34">
      <c r="A34" s="15" t="n"/>
      <c r="B34" s="16">
        <f>'By Round'!A15</f>
        <v/>
      </c>
      <c r="C34" s="16">
        <f>'By Round'!B18</f>
        <v/>
      </c>
      <c r="D34" s="16">
        <f>'By Round'!C18</f>
        <v/>
      </c>
      <c r="E34" s="16">
        <f>'By Round'!D18</f>
        <v/>
      </c>
      <c r="F34" s="16">
        <f>IF(ISBLANK('By Round'!F19),"",'By Round'!F19)</f>
        <v/>
      </c>
      <c r="G34" s="15">
        <f>IF(ISBLANK('By Round'!G19),"",'By Round'!G19)</f>
        <v/>
      </c>
      <c r="H34" s="15">
        <f>IF(ISBLANK('By Round'!H19),"",'By Round'!H19)</f>
        <v/>
      </c>
      <c r="I34" s="15">
        <f>IF(ISBLANK('By Round'!I19),"",'By Round'!I19)</f>
        <v/>
      </c>
      <c r="J34" s="15">
        <f>IF(ISBLANK('By Round'!J19),"",'By Round'!J19)</f>
        <v/>
      </c>
      <c r="K34" s="15">
        <f>IF(ISBLANK('By Round'!K19),"",'By Round'!K19)</f>
        <v/>
      </c>
      <c r="L34" s="15">
        <f>IF(ISBLANK('By Round'!L19),"",'By Round'!L19)</f>
        <v/>
      </c>
      <c r="M34" s="17">
        <f>AVERAGE(Y34:Z34)</f>
        <v/>
      </c>
      <c r="N34" s="18">
        <f>AVERAGE(AA34:AB34)</f>
        <v/>
      </c>
      <c r="O34" s="19">
        <f>IF(COUNT(U34:V34)&gt;0,Q34/COUNT(U34:V34),0.5)</f>
        <v/>
      </c>
      <c r="P34" s="19">
        <f>IF(COUNT(W34:X34)&gt;0,R34/COUNT(W34:X34),0.5)</f>
        <v/>
      </c>
      <c r="Q34" s="20">
        <f>SUM(U34:V34)</f>
        <v/>
      </c>
      <c r="R34" s="20">
        <f>SUM(W34:X34)</f>
        <v/>
      </c>
      <c r="S34" s="21">
        <f>IF(ISNUMBER(K34),K34,IF(ISNUMBER(L34),-L34,""))</f>
        <v/>
      </c>
      <c r="T34" s="15">
        <f>IF(ISNUMBER(L34),L34,IF(ISNUMBER(K34),-K34,""))</f>
        <v/>
      </c>
      <c r="U34" s="21">
        <f>IF(ISNUMBER(S34),IF(ISNUMBER(S32),IF(S34&gt;S32,1.0,IF(S34=S32,0.5,0.0)),0.5),0.5)</f>
        <v/>
      </c>
      <c r="V34" s="15">
        <f>IF(ISNUMBER(S34),IF(ISNUMBER(S33),IF(S34&gt;S33,1.0,IF(S34=S33,0.5,0.0)),0.5),0.5)</f>
        <v/>
      </c>
      <c r="W34" s="15">
        <f>IF(ISNUMBER(T34),IF(ISNUMBER(T32),IF(T34&gt;T32,1.0,IF(T34=T32,0.5,0.0)),0.5),0.5)</f>
        <v/>
      </c>
      <c r="X34" s="15">
        <f>IF(ISNUMBER(T34),IF(ISNUMBER(T33),IF(T34&gt;T33,1.0,IF(T34=T33,0.5,0.0)),0.5),0.5)</f>
        <v/>
      </c>
      <c r="Y34" s="21">
        <f>IF(AND(ISNUMBER(S34),ISNUMBER(S32)),VLOOKUP(ABS(S34-S32),'IMP Table'!$A$2:$C$26,3)*SIGN(S34-S32),0)</f>
        <v/>
      </c>
      <c r="Z34" s="15">
        <f>IF(AND(ISNUMBER(S34),ISNUMBER(S33)),VLOOKUP(ABS(S34-S33),'IMP Table'!$A$2:$C$26,3)*SIGN(S34-S33),0)</f>
        <v/>
      </c>
      <c r="AA34" s="15">
        <f>IF(AND(ISNUMBER(T34),ISNUMBER(T32)),VLOOKUP(ABS(T34-T32),'IMP Table'!$A$2:$C$26,3)*SIGN(T34-T32),0)</f>
        <v/>
      </c>
      <c r="AB34" s="15">
        <f>IF(AND(ISNUMBER(T34),ISNUMBER(T33)),VLOOKUP(ABS(T34-T33),'IMP Table'!$A$2:$C$26,3)*SIGN(T34-T33),0)</f>
        <v/>
      </c>
      <c r="AC34" s="15" t="n"/>
      <c r="AD34" s="15" t="n"/>
      <c r="AE34" s="15" t="n"/>
      <c r="AF34" s="15" t="n"/>
    </row>
    <row r="35">
      <c r="A35" s="10" t="n">
        <v>9</v>
      </c>
      <c r="B35" s="10">
        <f>'By Round'!A27</f>
        <v/>
      </c>
      <c r="C35" s="10">
        <f>'By Round'!B27</f>
        <v/>
      </c>
      <c r="D35" s="10">
        <f>'By Round'!C27</f>
        <v/>
      </c>
      <c r="E35" s="10">
        <f>'By Round'!D27</f>
        <v/>
      </c>
      <c r="F35" s="10">
        <f>IF(ISBLANK('By Round'!F29),"",'By Round'!F29)</f>
        <v/>
      </c>
      <c r="G35">
        <f>IF(ISBLANK('By Round'!G29),"",'By Round'!G29)</f>
        <v/>
      </c>
      <c r="H35">
        <f>IF(ISBLANK('By Round'!H29),"",'By Round'!H29)</f>
        <v/>
      </c>
      <c r="I35">
        <f>IF(ISBLANK('By Round'!I29),"",'By Round'!I29)</f>
        <v/>
      </c>
      <c r="J35">
        <f>IF(ISBLANK('By Round'!J29),"",'By Round'!J29)</f>
        <v/>
      </c>
      <c r="K35">
        <f>IF(ISBLANK('By Round'!K29),"",'By Round'!K29)</f>
        <v/>
      </c>
      <c r="L35">
        <f>IF(ISBLANK('By Round'!L29),"",'By Round'!L29)</f>
        <v/>
      </c>
      <c r="M35" s="11">
        <f>IF(ISBLANK('By Round'!M29),"",'By Round'!M29)</f>
        <v/>
      </c>
      <c r="N35">
        <f>IF(ISBLANK('By Round'!N29),"",'By Round'!N29)</f>
        <v/>
      </c>
      <c r="O35">
        <f>IF(ISBLANK('By Round'!O29),"",'By Round'!O29)</f>
        <v/>
      </c>
      <c r="P35">
        <f>IF(ISBLANK('By Round'!P29),"",'By Round'!P29)</f>
        <v/>
      </c>
      <c r="Q35">
        <f>IF(ISBLANK('By Round'!Q29),"",'By Round'!Q29)</f>
        <v/>
      </c>
      <c r="R35">
        <f>IF(ISBLANK('By Round'!R29),"",'By Round'!R29)</f>
        <v/>
      </c>
      <c r="S35" s="11">
        <f>IF(ISBLANK('By Round'!S29),"",'By Round'!S29)</f>
        <v/>
      </c>
      <c r="T35">
        <f>IF(ISBLANK('By Round'!T29),"",'By Round'!T29)</f>
        <v/>
      </c>
      <c r="U35" s="11">
        <f>IF(ISBLANK('By Round'!U29),"",'By Round'!U29)</f>
        <v/>
      </c>
      <c r="V35">
        <f>IF(ISBLANK('By Round'!V29),"",'By Round'!V29)</f>
        <v/>
      </c>
      <c r="W35">
        <f>IF(ISBLANK('By Round'!W29),"",'By Round'!W29)</f>
        <v/>
      </c>
      <c r="X35">
        <f>IF(ISBLANK('By Round'!X29),"",'By Round'!X29)</f>
        <v/>
      </c>
      <c r="Y35" s="11" t="n"/>
    </row>
    <row r="36">
      <c r="B36" s="10">
        <f>'By Round'!A3</f>
        <v/>
      </c>
      <c r="C36" s="10">
        <f>'By Round'!B9</f>
        <v/>
      </c>
      <c r="D36" s="10">
        <f>'By Round'!C9</f>
        <v/>
      </c>
      <c r="E36" s="10">
        <f>'By Round'!D9</f>
        <v/>
      </c>
      <c r="F36" s="10">
        <f>IF(ISBLANK('By Round'!F11),"",'By Round'!F11)</f>
        <v/>
      </c>
      <c r="G36">
        <f>IF(ISBLANK('By Round'!G11),"",'By Round'!G11)</f>
        <v/>
      </c>
      <c r="H36">
        <f>IF(ISBLANK('By Round'!H11),"",'By Round'!H11)</f>
        <v/>
      </c>
      <c r="I36">
        <f>IF(ISBLANK('By Round'!I11),"",'By Round'!I11)</f>
        <v/>
      </c>
      <c r="J36">
        <f>IF(ISBLANK('By Round'!J11),"",'By Round'!J11)</f>
        <v/>
      </c>
      <c r="K36">
        <f>IF(ISBLANK('By Round'!K11),"",'By Round'!K11)</f>
        <v/>
      </c>
      <c r="L36">
        <f>IF(ISBLANK('By Round'!L11),"",'By Round'!L11)</f>
        <v/>
      </c>
      <c r="M36" s="12">
        <f>AVERAGE(Y36:Z36)</f>
        <v/>
      </c>
      <c r="N36" s="13">
        <f>AVERAGE(AA36:AB36)</f>
        <v/>
      </c>
      <c r="O36" s="14">
        <f>IF(COUNT(U36:V36)&gt;0,Q36/COUNT(U36:V36),0.5)</f>
        <v/>
      </c>
      <c r="P36" s="14">
        <f>IF(COUNT(W36:X36)&gt;0,R36/COUNT(W36:X36),0.5)</f>
        <v/>
      </c>
      <c r="Q36" s="5">
        <f>SUM(U36:V36)</f>
        <v/>
      </c>
      <c r="R36" s="5">
        <f>SUM(W36:X36)</f>
        <v/>
      </c>
      <c r="S36" s="11">
        <f>IF(ISNUMBER(K36),K36,IF(ISNUMBER(L36),-L36,""))</f>
        <v/>
      </c>
      <c r="T36">
        <f>IF(ISNUMBER(L36),L36,IF(ISNUMBER(K36),-K36,""))</f>
        <v/>
      </c>
      <c r="U36" s="11">
        <f>IF(ISNUMBER(S36),IF(ISNUMBER(S37),IF(S36&gt;S37,1.0,IF(S36=S37,0.5,0.0)),0.5),0.5)</f>
        <v/>
      </c>
      <c r="V36">
        <f>IF(ISNUMBER(S36),IF(ISNUMBER(S38),IF(S36&gt;S38,1.0,IF(S36=S38,0.5,0.0)),0.5),0.5)</f>
        <v/>
      </c>
      <c r="W36">
        <f>IF(ISNUMBER(T36),IF(ISNUMBER(T37),IF(T36&gt;T37,1.0,IF(T36=T37,0.5,0.0)),0.5),0.5)</f>
        <v/>
      </c>
      <c r="X36">
        <f>IF(ISNUMBER(T36),IF(ISNUMBER(T38),IF(T36&gt;T38,1.0,IF(T36=T38,0.5,0.0)),0.5),0.5)</f>
        <v/>
      </c>
      <c r="Y36" s="11">
        <f>IF(AND(ISNUMBER(S36),ISNUMBER(S37)),VLOOKUP(ABS(S36-S37),'IMP Table'!$A$2:$C$26,3)*SIGN(S36-S37),0)</f>
        <v/>
      </c>
      <c r="Z36">
        <f>IF(AND(ISNUMBER(S36),ISNUMBER(S38)),VLOOKUP(ABS(S36-S38),'IMP Table'!$A$2:$C$26,3)*SIGN(S36-S38),0)</f>
        <v/>
      </c>
      <c r="AA36">
        <f>IF(AND(ISNUMBER(T36),ISNUMBER(T37)),VLOOKUP(ABS(T36-T37),'IMP Table'!$A$2:$C$26,3)*SIGN(T36-T37),0)</f>
        <v/>
      </c>
      <c r="AB36">
        <f>IF(AND(ISNUMBER(T36),ISNUMBER(T38)),VLOOKUP(ABS(T36-T38),'IMP Table'!$A$2:$C$26,3)*SIGN(T36-T38),0)</f>
        <v/>
      </c>
    </row>
    <row r="37">
      <c r="B37" s="10">
        <f>'By Round'!A63</f>
        <v/>
      </c>
      <c r="C37" s="10">
        <f>'By Round'!B72</f>
        <v/>
      </c>
      <c r="D37" s="10">
        <f>'By Round'!C72</f>
        <v/>
      </c>
      <c r="E37" s="10">
        <f>'By Round'!D72</f>
        <v/>
      </c>
      <c r="F37" s="10">
        <f>IF(ISBLANK('By Round'!F74),"",'By Round'!F74)</f>
        <v/>
      </c>
      <c r="G37">
        <f>IF(ISBLANK('By Round'!G74),"",'By Round'!G74)</f>
        <v/>
      </c>
      <c r="H37">
        <f>IF(ISBLANK('By Round'!H74),"",'By Round'!H74)</f>
        <v/>
      </c>
      <c r="I37">
        <f>IF(ISBLANK('By Round'!I74),"",'By Round'!I74)</f>
        <v/>
      </c>
      <c r="J37">
        <f>IF(ISBLANK('By Round'!J74),"",'By Round'!J74)</f>
        <v/>
      </c>
      <c r="K37">
        <f>IF(ISBLANK('By Round'!K74),"",'By Round'!K74)</f>
        <v/>
      </c>
      <c r="L37">
        <f>IF(ISBLANK('By Round'!L74),"",'By Round'!L74)</f>
        <v/>
      </c>
      <c r="M37" s="12">
        <f>AVERAGE(Y37:Z37)</f>
        <v/>
      </c>
      <c r="N37" s="13">
        <f>AVERAGE(AA37:AB37)</f>
        <v/>
      </c>
      <c r="O37" s="14">
        <f>IF(COUNT(U37:V37)&gt;0,Q37/COUNT(U37:V37),0.5)</f>
        <v/>
      </c>
      <c r="P37" s="14">
        <f>IF(COUNT(W37:X37)&gt;0,R37/COUNT(W37:X37),0.5)</f>
        <v/>
      </c>
      <c r="Q37" s="5">
        <f>SUM(U37:V37)</f>
        <v/>
      </c>
      <c r="R37" s="5">
        <f>SUM(W37:X37)</f>
        <v/>
      </c>
      <c r="S37" s="11">
        <f>IF(ISNUMBER(K37),K37,IF(ISNUMBER(L37),-L37,""))</f>
        <v/>
      </c>
      <c r="T37">
        <f>IF(ISNUMBER(L37),L37,IF(ISNUMBER(K37),-K37,""))</f>
        <v/>
      </c>
      <c r="U37" s="11">
        <f>IF(ISNUMBER(S37),IF(ISNUMBER(S36),IF(S37&gt;S36,1.0,IF(S37=S36,0.5,0.0)),0.5),0.5)</f>
        <v/>
      </c>
      <c r="V37">
        <f>IF(ISNUMBER(S37),IF(ISNUMBER(S38),IF(S37&gt;S38,1.0,IF(S37=S38,0.5,0.0)),0.5),0.5)</f>
        <v/>
      </c>
      <c r="W37">
        <f>IF(ISNUMBER(T37),IF(ISNUMBER(T36),IF(T37&gt;T36,1.0,IF(T37=T36,0.5,0.0)),0.5),0.5)</f>
        <v/>
      </c>
      <c r="X37">
        <f>IF(ISNUMBER(T37),IF(ISNUMBER(T38),IF(T37&gt;T38,1.0,IF(T37=T38,0.5,0.0)),0.5),0.5)</f>
        <v/>
      </c>
      <c r="Y37" s="11">
        <f>IF(AND(ISNUMBER(S37),ISNUMBER(S36)),VLOOKUP(ABS(S37-S36),'IMP Table'!$A$2:$C$26,3)*SIGN(S37-S36),0)</f>
        <v/>
      </c>
      <c r="Z37">
        <f>IF(AND(ISNUMBER(S37),ISNUMBER(S38)),VLOOKUP(ABS(S37-S38),'IMP Table'!$A$2:$C$26,3)*SIGN(S37-S38),0)</f>
        <v/>
      </c>
      <c r="AA37">
        <f>IF(AND(ISNUMBER(T37),ISNUMBER(T36)),VLOOKUP(ABS(T37-T36),'IMP Table'!$A$2:$C$26,3)*SIGN(T37-T36),0)</f>
        <v/>
      </c>
      <c r="AB37">
        <f>IF(AND(ISNUMBER(T37),ISNUMBER(T38)),VLOOKUP(ABS(T37-T38),'IMP Table'!$A$2:$C$26,3)*SIGN(T37-T38),0)</f>
        <v/>
      </c>
    </row>
    <row r="38">
      <c r="A38" s="15" t="n"/>
      <c r="B38" s="16">
        <f>'By Round'!A15</f>
        <v/>
      </c>
      <c r="C38" s="16">
        <f>'By Round'!B18</f>
        <v/>
      </c>
      <c r="D38" s="16">
        <f>'By Round'!C18</f>
        <v/>
      </c>
      <c r="E38" s="16">
        <f>'By Round'!D18</f>
        <v/>
      </c>
      <c r="F38" s="16">
        <f>IF(ISBLANK('By Round'!F20),"",'By Round'!F20)</f>
        <v/>
      </c>
      <c r="G38" s="15">
        <f>IF(ISBLANK('By Round'!G20),"",'By Round'!G20)</f>
        <v/>
      </c>
      <c r="H38" s="15">
        <f>IF(ISBLANK('By Round'!H20),"",'By Round'!H20)</f>
        <v/>
      </c>
      <c r="I38" s="15">
        <f>IF(ISBLANK('By Round'!I20),"",'By Round'!I20)</f>
        <v/>
      </c>
      <c r="J38" s="15">
        <f>IF(ISBLANK('By Round'!J20),"",'By Round'!J20)</f>
        <v/>
      </c>
      <c r="K38" s="15">
        <f>IF(ISBLANK('By Round'!K20),"",'By Round'!K20)</f>
        <v/>
      </c>
      <c r="L38" s="15">
        <f>IF(ISBLANK('By Round'!L20),"",'By Round'!L20)</f>
        <v/>
      </c>
      <c r="M38" s="17">
        <f>AVERAGE(Y38:Z38)</f>
        <v/>
      </c>
      <c r="N38" s="18">
        <f>AVERAGE(AA38:AB38)</f>
        <v/>
      </c>
      <c r="O38" s="19">
        <f>IF(COUNT(U38:V38)&gt;0,Q38/COUNT(U38:V38),0.5)</f>
        <v/>
      </c>
      <c r="P38" s="19">
        <f>IF(COUNT(W38:X38)&gt;0,R38/COUNT(W38:X38),0.5)</f>
        <v/>
      </c>
      <c r="Q38" s="20">
        <f>SUM(U38:V38)</f>
        <v/>
      </c>
      <c r="R38" s="20">
        <f>SUM(W38:X38)</f>
        <v/>
      </c>
      <c r="S38" s="21">
        <f>IF(ISNUMBER(K38),K38,IF(ISNUMBER(L38),-L38,""))</f>
        <v/>
      </c>
      <c r="T38" s="15">
        <f>IF(ISNUMBER(L38),L38,IF(ISNUMBER(K38),-K38,""))</f>
        <v/>
      </c>
      <c r="U38" s="21">
        <f>IF(ISNUMBER(S38),IF(ISNUMBER(S36),IF(S38&gt;S36,1.0,IF(S38=S36,0.5,0.0)),0.5),0.5)</f>
        <v/>
      </c>
      <c r="V38" s="15">
        <f>IF(ISNUMBER(S38),IF(ISNUMBER(S37),IF(S38&gt;S37,1.0,IF(S38=S37,0.5,0.0)),0.5),0.5)</f>
        <v/>
      </c>
      <c r="W38" s="15">
        <f>IF(ISNUMBER(T38),IF(ISNUMBER(T36),IF(T38&gt;T36,1.0,IF(T38=T36,0.5,0.0)),0.5),0.5)</f>
        <v/>
      </c>
      <c r="X38" s="15">
        <f>IF(ISNUMBER(T38),IF(ISNUMBER(T37),IF(T38&gt;T37,1.0,IF(T38=T37,0.5,0.0)),0.5),0.5)</f>
        <v/>
      </c>
      <c r="Y38" s="21">
        <f>IF(AND(ISNUMBER(S38),ISNUMBER(S36)),VLOOKUP(ABS(S38-S36),'IMP Table'!$A$2:$C$26,3)*SIGN(S38-S36),0)</f>
        <v/>
      </c>
      <c r="Z38" s="15">
        <f>IF(AND(ISNUMBER(S38),ISNUMBER(S37)),VLOOKUP(ABS(S38-S37),'IMP Table'!$A$2:$C$26,3)*SIGN(S38-S37),0)</f>
        <v/>
      </c>
      <c r="AA38" s="15">
        <f>IF(AND(ISNUMBER(T38),ISNUMBER(T36)),VLOOKUP(ABS(T38-T36),'IMP Table'!$A$2:$C$26,3)*SIGN(T38-T36),0)</f>
        <v/>
      </c>
      <c r="AB38" s="15">
        <f>IF(AND(ISNUMBER(T38),ISNUMBER(T37)),VLOOKUP(ABS(T38-T37),'IMP Table'!$A$2:$C$26,3)*SIGN(T38-T37),0)</f>
        <v/>
      </c>
      <c r="AC38" s="15" t="n"/>
      <c r="AD38" s="15" t="n"/>
      <c r="AE38" s="15" t="n"/>
      <c r="AF38" s="15" t="n"/>
    </row>
    <row r="39">
      <c r="A39" s="10" t="n">
        <v>10</v>
      </c>
      <c r="B39" s="10">
        <f>'By Round'!A39</f>
        <v/>
      </c>
      <c r="C39" s="10">
        <f>'By Round'!B39</f>
        <v/>
      </c>
      <c r="D39" s="10">
        <f>'By Round'!C39</f>
        <v/>
      </c>
      <c r="E39" s="10">
        <f>'By Round'!D39</f>
        <v/>
      </c>
      <c r="F39" s="10">
        <f>IF(ISBLANK('By Round'!F39),"",'By Round'!F39)</f>
        <v/>
      </c>
      <c r="G39">
        <f>IF(ISBLANK('By Round'!G39),"",'By Round'!G39)</f>
        <v/>
      </c>
      <c r="H39">
        <f>IF(ISBLANK('By Round'!H39),"",'By Round'!H39)</f>
        <v/>
      </c>
      <c r="I39">
        <f>IF(ISBLANK('By Round'!I39),"",'By Round'!I39)</f>
        <v/>
      </c>
      <c r="J39">
        <f>IF(ISBLANK('By Round'!J39),"",'By Round'!J39)</f>
        <v/>
      </c>
      <c r="K39">
        <f>IF(ISBLANK('By Round'!K39),"",'By Round'!K39)</f>
        <v/>
      </c>
      <c r="L39">
        <f>IF(ISBLANK('By Round'!L39),"",'By Round'!L39)</f>
        <v/>
      </c>
      <c r="M39" s="11">
        <f>IF(ISBLANK('By Round'!M39),"",'By Round'!M39)</f>
        <v/>
      </c>
      <c r="N39">
        <f>IF(ISBLANK('By Round'!N39),"",'By Round'!N39)</f>
        <v/>
      </c>
      <c r="O39">
        <f>IF(ISBLANK('By Round'!O39),"",'By Round'!O39)</f>
        <v/>
      </c>
      <c r="P39">
        <f>IF(ISBLANK('By Round'!P39),"",'By Round'!P39)</f>
        <v/>
      </c>
      <c r="Q39">
        <f>IF(ISBLANK('By Round'!Q39),"",'By Round'!Q39)</f>
        <v/>
      </c>
      <c r="R39">
        <f>IF(ISBLANK('By Round'!R39),"",'By Round'!R39)</f>
        <v/>
      </c>
      <c r="S39" s="11">
        <f>IF(ISBLANK('By Round'!S39),"",'By Round'!S39)</f>
        <v/>
      </c>
      <c r="T39">
        <f>IF(ISBLANK('By Round'!T39),"",'By Round'!T39)</f>
        <v/>
      </c>
      <c r="U39" s="11">
        <f>IF(ISBLANK('By Round'!U39),"",'By Round'!U39)</f>
        <v/>
      </c>
      <c r="V39">
        <f>IF(ISBLANK('By Round'!V39),"",'By Round'!V39)</f>
        <v/>
      </c>
      <c r="W39">
        <f>IF(ISBLANK('By Round'!W39),"",'By Round'!W39)</f>
        <v/>
      </c>
      <c r="X39">
        <f>IF(ISBLANK('By Round'!X39),"",'By Round'!X39)</f>
        <v/>
      </c>
      <c r="Y39" s="11" t="n"/>
    </row>
    <row r="40">
      <c r="B40" s="10">
        <f>'By Round'!A27</f>
        <v/>
      </c>
      <c r="C40" s="10">
        <f>'By Round'!B30</f>
        <v/>
      </c>
      <c r="D40" s="10">
        <f>'By Round'!C30</f>
        <v/>
      </c>
      <c r="E40" s="10">
        <f>'By Round'!D30</f>
        <v/>
      </c>
      <c r="F40" s="10">
        <f>IF(ISBLANK('By Round'!F30),"",'By Round'!F30)</f>
        <v/>
      </c>
      <c r="G40">
        <f>IF(ISBLANK('By Round'!G30),"",'By Round'!G30)</f>
        <v/>
      </c>
      <c r="H40">
        <f>IF(ISBLANK('By Round'!H30),"",'By Round'!H30)</f>
        <v/>
      </c>
      <c r="I40">
        <f>IF(ISBLANK('By Round'!I30),"",'By Round'!I30)</f>
        <v/>
      </c>
      <c r="J40">
        <f>IF(ISBLANK('By Round'!J30),"",'By Round'!J30)</f>
        <v/>
      </c>
      <c r="K40">
        <f>IF(ISBLANK('By Round'!K30),"",'By Round'!K30)</f>
        <v/>
      </c>
      <c r="L40">
        <f>IF(ISBLANK('By Round'!L30),"",'By Round'!L30)</f>
        <v/>
      </c>
      <c r="M40" s="12">
        <f>AVERAGE(Y40:Z40)</f>
        <v/>
      </c>
      <c r="N40" s="13">
        <f>AVERAGE(AA40:AB40)</f>
        <v/>
      </c>
      <c r="O40" s="14">
        <f>IF(COUNT(U40:V40)&gt;0,Q40/COUNT(U40:V40),0.5)</f>
        <v/>
      </c>
      <c r="P40" s="14">
        <f>IF(COUNT(W40:X40)&gt;0,R40/COUNT(W40:X40),0.5)</f>
        <v/>
      </c>
      <c r="Q40" s="5">
        <f>SUM(U40:V40)</f>
        <v/>
      </c>
      <c r="R40" s="5">
        <f>SUM(W40:X40)</f>
        <v/>
      </c>
      <c r="S40" s="11">
        <f>IF(ISNUMBER(K40),K40,IF(ISNUMBER(L40),-L40,""))</f>
        <v/>
      </c>
      <c r="T40">
        <f>IF(ISNUMBER(L40),L40,IF(ISNUMBER(K40),-K40,""))</f>
        <v/>
      </c>
      <c r="U40" s="11">
        <f>IF(ISNUMBER(S40),IF(ISNUMBER(S41),IF(S40&gt;S41,1.0,IF(S40=S41,0.5,0.0)),0.5),0.5)</f>
        <v/>
      </c>
      <c r="V40">
        <f>IF(ISNUMBER(S40),IF(ISNUMBER(S42),IF(S40&gt;S42,1.0,IF(S40=S42,0.5,0.0)),0.5),0.5)</f>
        <v/>
      </c>
      <c r="W40">
        <f>IF(ISNUMBER(T40),IF(ISNUMBER(T41),IF(T40&gt;T41,1.0,IF(T40=T41,0.5,0.0)),0.5),0.5)</f>
        <v/>
      </c>
      <c r="X40">
        <f>IF(ISNUMBER(T40),IF(ISNUMBER(T42),IF(T40&gt;T42,1.0,IF(T40=T42,0.5,0.0)),0.5),0.5)</f>
        <v/>
      </c>
      <c r="Y40" s="11">
        <f>IF(AND(ISNUMBER(S40),ISNUMBER(S41)),VLOOKUP(ABS(S40-S41),'IMP Table'!$A$2:$C$26,3)*SIGN(S40-S41),0)</f>
        <v/>
      </c>
      <c r="Z40">
        <f>IF(AND(ISNUMBER(S40),ISNUMBER(S42)),VLOOKUP(ABS(S40-S42),'IMP Table'!$A$2:$C$26,3)*SIGN(S40-S42),0)</f>
        <v/>
      </c>
      <c r="AA40">
        <f>IF(AND(ISNUMBER(T40),ISNUMBER(T41)),VLOOKUP(ABS(T40-T41),'IMP Table'!$A$2:$C$26,3)*SIGN(T40-T41),0)</f>
        <v/>
      </c>
      <c r="AB40">
        <f>IF(AND(ISNUMBER(T40),ISNUMBER(T42)),VLOOKUP(ABS(T40-T42),'IMP Table'!$A$2:$C$26,3)*SIGN(T40-T42),0)</f>
        <v/>
      </c>
    </row>
    <row r="41">
      <c r="B41" s="10">
        <f>'By Round'!A15</f>
        <v/>
      </c>
      <c r="C41" s="10">
        <f>'By Round'!B21</f>
        <v/>
      </c>
      <c r="D41" s="10">
        <f>'By Round'!C21</f>
        <v/>
      </c>
      <c r="E41" s="10">
        <f>'By Round'!D21</f>
        <v/>
      </c>
      <c r="F41" s="10">
        <f>IF(ISBLANK('By Round'!F21),"",'By Round'!F21)</f>
        <v/>
      </c>
      <c r="G41">
        <f>IF(ISBLANK('By Round'!G21),"",'By Round'!G21)</f>
        <v/>
      </c>
      <c r="H41">
        <f>IF(ISBLANK('By Round'!H21),"",'By Round'!H21)</f>
        <v/>
      </c>
      <c r="I41">
        <f>IF(ISBLANK('By Round'!I21),"",'By Round'!I21)</f>
        <v/>
      </c>
      <c r="J41">
        <f>IF(ISBLANK('By Round'!J21),"",'By Round'!J21)</f>
        <v/>
      </c>
      <c r="K41">
        <f>IF(ISBLANK('By Round'!K21),"",'By Round'!K21)</f>
        <v/>
      </c>
      <c r="L41">
        <f>IF(ISBLANK('By Round'!L21),"",'By Round'!L21)</f>
        <v/>
      </c>
      <c r="M41" s="12">
        <f>AVERAGE(Y41:Z41)</f>
        <v/>
      </c>
      <c r="N41" s="13">
        <f>AVERAGE(AA41:AB41)</f>
        <v/>
      </c>
      <c r="O41" s="14">
        <f>IF(COUNT(U41:V41)&gt;0,Q41/COUNT(U41:V41),0.5)</f>
        <v/>
      </c>
      <c r="P41" s="14">
        <f>IF(COUNT(W41:X41)&gt;0,R41/COUNT(W41:X41),0.5)</f>
        <v/>
      </c>
      <c r="Q41" s="5">
        <f>SUM(U41:V41)</f>
        <v/>
      </c>
      <c r="R41" s="5">
        <f>SUM(W41:X41)</f>
        <v/>
      </c>
      <c r="S41" s="11">
        <f>IF(ISNUMBER(K41),K41,IF(ISNUMBER(L41),-L41,""))</f>
        <v/>
      </c>
      <c r="T41">
        <f>IF(ISNUMBER(L41),L41,IF(ISNUMBER(K41),-K41,""))</f>
        <v/>
      </c>
      <c r="U41" s="11">
        <f>IF(ISNUMBER(S41),IF(ISNUMBER(S40),IF(S41&gt;S40,1.0,IF(S41=S40,0.5,0.0)),0.5),0.5)</f>
        <v/>
      </c>
      <c r="V41">
        <f>IF(ISNUMBER(S41),IF(ISNUMBER(S42),IF(S41&gt;S42,1.0,IF(S41=S42,0.5,0.0)),0.5),0.5)</f>
        <v/>
      </c>
      <c r="W41">
        <f>IF(ISNUMBER(T41),IF(ISNUMBER(T40),IF(T41&gt;T40,1.0,IF(T41=T40,0.5,0.0)),0.5),0.5)</f>
        <v/>
      </c>
      <c r="X41">
        <f>IF(ISNUMBER(T41),IF(ISNUMBER(T42),IF(T41&gt;T42,1.0,IF(T41=T42,0.5,0.0)),0.5),0.5)</f>
        <v/>
      </c>
      <c r="Y41" s="11">
        <f>IF(AND(ISNUMBER(S41),ISNUMBER(S40)),VLOOKUP(ABS(S41-S40),'IMP Table'!$A$2:$C$26,3)*SIGN(S41-S40),0)</f>
        <v/>
      </c>
      <c r="Z41">
        <f>IF(AND(ISNUMBER(S41),ISNUMBER(S42)),VLOOKUP(ABS(S41-S42),'IMP Table'!$A$2:$C$26,3)*SIGN(S41-S42),0)</f>
        <v/>
      </c>
      <c r="AA41">
        <f>IF(AND(ISNUMBER(T41),ISNUMBER(T40)),VLOOKUP(ABS(T41-T40),'IMP Table'!$A$2:$C$26,3)*SIGN(T41-T40),0)</f>
        <v/>
      </c>
      <c r="AB41">
        <f>IF(AND(ISNUMBER(T41),ISNUMBER(T42)),VLOOKUP(ABS(T41-T42),'IMP Table'!$A$2:$C$26,3)*SIGN(T41-T42),0)</f>
        <v/>
      </c>
    </row>
    <row r="42">
      <c r="A42" s="15" t="n"/>
      <c r="B42" s="16">
        <f>'By Round'!A75</f>
        <v/>
      </c>
      <c r="C42" s="16">
        <f>'By Round'!B84</f>
        <v/>
      </c>
      <c r="D42" s="16">
        <f>'By Round'!C84</f>
        <v/>
      </c>
      <c r="E42" s="16">
        <f>'By Round'!D84</f>
        <v/>
      </c>
      <c r="F42" s="16">
        <f>IF(ISBLANK('By Round'!F84),"",'By Round'!F84)</f>
        <v/>
      </c>
      <c r="G42" s="15">
        <f>IF(ISBLANK('By Round'!G84),"",'By Round'!G84)</f>
        <v/>
      </c>
      <c r="H42" s="15">
        <f>IF(ISBLANK('By Round'!H84),"",'By Round'!H84)</f>
        <v/>
      </c>
      <c r="I42" s="15">
        <f>IF(ISBLANK('By Round'!I84),"",'By Round'!I84)</f>
        <v/>
      </c>
      <c r="J42" s="15">
        <f>IF(ISBLANK('By Round'!J84),"",'By Round'!J84)</f>
        <v/>
      </c>
      <c r="K42" s="15">
        <f>IF(ISBLANK('By Round'!K84),"",'By Round'!K84)</f>
        <v/>
      </c>
      <c r="L42" s="15">
        <f>IF(ISBLANK('By Round'!L84),"",'By Round'!L84)</f>
        <v/>
      </c>
      <c r="M42" s="17">
        <f>AVERAGE(Y42:Z42)</f>
        <v/>
      </c>
      <c r="N42" s="18">
        <f>AVERAGE(AA42:AB42)</f>
        <v/>
      </c>
      <c r="O42" s="19">
        <f>IF(COUNT(U42:V42)&gt;0,Q42/COUNT(U42:V42),0.5)</f>
        <v/>
      </c>
      <c r="P42" s="19">
        <f>IF(COUNT(W42:X42)&gt;0,R42/COUNT(W42:X42),0.5)</f>
        <v/>
      </c>
      <c r="Q42" s="20">
        <f>SUM(U42:V42)</f>
        <v/>
      </c>
      <c r="R42" s="20">
        <f>SUM(W42:X42)</f>
        <v/>
      </c>
      <c r="S42" s="21">
        <f>IF(ISNUMBER(K42),K42,IF(ISNUMBER(L42),-L42,""))</f>
        <v/>
      </c>
      <c r="T42" s="15">
        <f>IF(ISNUMBER(L42),L42,IF(ISNUMBER(K42),-K42,""))</f>
        <v/>
      </c>
      <c r="U42" s="21">
        <f>IF(ISNUMBER(S42),IF(ISNUMBER(S40),IF(S42&gt;S40,1.0,IF(S42=S40,0.5,0.0)),0.5),0.5)</f>
        <v/>
      </c>
      <c r="V42" s="15">
        <f>IF(ISNUMBER(S42),IF(ISNUMBER(S41),IF(S42&gt;S41,1.0,IF(S42=S41,0.5,0.0)),0.5),0.5)</f>
        <v/>
      </c>
      <c r="W42" s="15">
        <f>IF(ISNUMBER(T42),IF(ISNUMBER(T40),IF(T42&gt;T40,1.0,IF(T42=T40,0.5,0.0)),0.5),0.5)</f>
        <v/>
      </c>
      <c r="X42" s="15">
        <f>IF(ISNUMBER(T42),IF(ISNUMBER(T41),IF(T42&gt;T41,1.0,IF(T42=T41,0.5,0.0)),0.5),0.5)</f>
        <v/>
      </c>
      <c r="Y42" s="21">
        <f>IF(AND(ISNUMBER(S42),ISNUMBER(S40)),VLOOKUP(ABS(S42-S40),'IMP Table'!$A$2:$C$26,3)*SIGN(S42-S40),0)</f>
        <v/>
      </c>
      <c r="Z42" s="15">
        <f>IF(AND(ISNUMBER(S42),ISNUMBER(S41)),VLOOKUP(ABS(S42-S41),'IMP Table'!$A$2:$C$26,3)*SIGN(S42-S41),0)</f>
        <v/>
      </c>
      <c r="AA42" s="15">
        <f>IF(AND(ISNUMBER(T42),ISNUMBER(T40)),VLOOKUP(ABS(T42-T40),'IMP Table'!$A$2:$C$26,3)*SIGN(T42-T40),0)</f>
        <v/>
      </c>
      <c r="AB42" s="15">
        <f>IF(AND(ISNUMBER(T42),ISNUMBER(T41)),VLOOKUP(ABS(T42-T41),'IMP Table'!$A$2:$C$26,3)*SIGN(T42-T41),0)</f>
        <v/>
      </c>
      <c r="AC42" s="15" t="n"/>
      <c r="AD42" s="15" t="n"/>
      <c r="AE42" s="15" t="n"/>
      <c r="AF42" s="15" t="n"/>
    </row>
    <row r="43">
      <c r="A43" s="10" t="n">
        <v>11</v>
      </c>
      <c r="B43" s="10">
        <f>'By Round'!A39</f>
        <v/>
      </c>
      <c r="C43" s="10">
        <f>'By Round'!B39</f>
        <v/>
      </c>
      <c r="D43" s="10">
        <f>'By Round'!C39</f>
        <v/>
      </c>
      <c r="E43" s="10">
        <f>'By Round'!D39</f>
        <v/>
      </c>
      <c r="F43" s="10">
        <f>IF(ISBLANK('By Round'!F40),"",'By Round'!F40)</f>
        <v/>
      </c>
      <c r="G43">
        <f>IF(ISBLANK('By Round'!G40),"",'By Round'!G40)</f>
        <v/>
      </c>
      <c r="H43">
        <f>IF(ISBLANK('By Round'!H40),"",'By Round'!H40)</f>
        <v/>
      </c>
      <c r="I43">
        <f>IF(ISBLANK('By Round'!I40),"",'By Round'!I40)</f>
        <v/>
      </c>
      <c r="J43">
        <f>IF(ISBLANK('By Round'!J40),"",'By Round'!J40)</f>
        <v/>
      </c>
      <c r="K43">
        <f>IF(ISBLANK('By Round'!K40),"",'By Round'!K40)</f>
        <v/>
      </c>
      <c r="L43">
        <f>IF(ISBLANK('By Round'!L40),"",'By Round'!L40)</f>
        <v/>
      </c>
      <c r="M43" s="11">
        <f>IF(ISBLANK('By Round'!M40),"",'By Round'!M40)</f>
        <v/>
      </c>
      <c r="N43">
        <f>IF(ISBLANK('By Round'!N40),"",'By Round'!N40)</f>
        <v/>
      </c>
      <c r="O43">
        <f>IF(ISBLANK('By Round'!O40),"",'By Round'!O40)</f>
        <v/>
      </c>
      <c r="P43">
        <f>IF(ISBLANK('By Round'!P40),"",'By Round'!P40)</f>
        <v/>
      </c>
      <c r="Q43">
        <f>IF(ISBLANK('By Round'!Q40),"",'By Round'!Q40)</f>
        <v/>
      </c>
      <c r="R43">
        <f>IF(ISBLANK('By Round'!R40),"",'By Round'!R40)</f>
        <v/>
      </c>
      <c r="S43" s="11">
        <f>IF(ISBLANK('By Round'!S40),"",'By Round'!S40)</f>
        <v/>
      </c>
      <c r="T43">
        <f>IF(ISBLANK('By Round'!T40),"",'By Round'!T40)</f>
        <v/>
      </c>
      <c r="U43" s="11">
        <f>IF(ISBLANK('By Round'!U40),"",'By Round'!U40)</f>
        <v/>
      </c>
      <c r="V43">
        <f>IF(ISBLANK('By Round'!V40),"",'By Round'!V40)</f>
        <v/>
      </c>
      <c r="W43">
        <f>IF(ISBLANK('By Round'!W40),"",'By Round'!W40)</f>
        <v/>
      </c>
      <c r="X43">
        <f>IF(ISBLANK('By Round'!X40),"",'By Round'!X40)</f>
        <v/>
      </c>
      <c r="Y43" s="11" t="n"/>
    </row>
    <row r="44">
      <c r="B44" s="10">
        <f>'By Round'!A27</f>
        <v/>
      </c>
      <c r="C44" s="10">
        <f>'By Round'!B30</f>
        <v/>
      </c>
      <c r="D44" s="10">
        <f>'By Round'!C30</f>
        <v/>
      </c>
      <c r="E44" s="10">
        <f>'By Round'!D30</f>
        <v/>
      </c>
      <c r="F44" s="10">
        <f>IF(ISBLANK('By Round'!F31),"",'By Round'!F31)</f>
        <v/>
      </c>
      <c r="G44">
        <f>IF(ISBLANK('By Round'!G31),"",'By Round'!G31)</f>
        <v/>
      </c>
      <c r="H44">
        <f>IF(ISBLANK('By Round'!H31),"",'By Round'!H31)</f>
        <v/>
      </c>
      <c r="I44">
        <f>IF(ISBLANK('By Round'!I31),"",'By Round'!I31)</f>
        <v/>
      </c>
      <c r="J44">
        <f>IF(ISBLANK('By Round'!J31),"",'By Round'!J31)</f>
        <v/>
      </c>
      <c r="K44">
        <f>IF(ISBLANK('By Round'!K31),"",'By Round'!K31)</f>
        <v/>
      </c>
      <c r="L44">
        <f>IF(ISBLANK('By Round'!L31),"",'By Round'!L31)</f>
        <v/>
      </c>
      <c r="M44" s="12">
        <f>AVERAGE(Y44:Z44)</f>
        <v/>
      </c>
      <c r="N44" s="13">
        <f>AVERAGE(AA44:AB44)</f>
        <v/>
      </c>
      <c r="O44" s="14">
        <f>IF(COUNT(U44:V44)&gt;0,Q44/COUNT(U44:V44),0.5)</f>
        <v/>
      </c>
      <c r="P44" s="14">
        <f>IF(COUNT(W44:X44)&gt;0,R44/COUNT(W44:X44),0.5)</f>
        <v/>
      </c>
      <c r="Q44" s="5">
        <f>SUM(U44:V44)</f>
        <v/>
      </c>
      <c r="R44" s="5">
        <f>SUM(W44:X44)</f>
        <v/>
      </c>
      <c r="S44" s="11">
        <f>IF(ISNUMBER(K44),K44,IF(ISNUMBER(L44),-L44,""))</f>
        <v/>
      </c>
      <c r="T44">
        <f>IF(ISNUMBER(L44),L44,IF(ISNUMBER(K44),-K44,""))</f>
        <v/>
      </c>
      <c r="U44" s="11">
        <f>IF(ISNUMBER(S44),IF(ISNUMBER(S45),IF(S44&gt;S45,1.0,IF(S44=S45,0.5,0.0)),0.5),0.5)</f>
        <v/>
      </c>
      <c r="V44">
        <f>IF(ISNUMBER(S44),IF(ISNUMBER(S46),IF(S44&gt;S46,1.0,IF(S44=S46,0.5,0.0)),0.5),0.5)</f>
        <v/>
      </c>
      <c r="W44">
        <f>IF(ISNUMBER(T44),IF(ISNUMBER(T45),IF(T44&gt;T45,1.0,IF(T44=T45,0.5,0.0)),0.5),0.5)</f>
        <v/>
      </c>
      <c r="X44">
        <f>IF(ISNUMBER(T44),IF(ISNUMBER(T46),IF(T44&gt;T46,1.0,IF(T44=T46,0.5,0.0)),0.5),0.5)</f>
        <v/>
      </c>
      <c r="Y44" s="11">
        <f>IF(AND(ISNUMBER(S44),ISNUMBER(S45)),VLOOKUP(ABS(S44-S45),'IMP Table'!$A$2:$C$26,3)*SIGN(S44-S45),0)</f>
        <v/>
      </c>
      <c r="Z44">
        <f>IF(AND(ISNUMBER(S44),ISNUMBER(S46)),VLOOKUP(ABS(S44-S46),'IMP Table'!$A$2:$C$26,3)*SIGN(S44-S46),0)</f>
        <v/>
      </c>
      <c r="AA44">
        <f>IF(AND(ISNUMBER(T44),ISNUMBER(T45)),VLOOKUP(ABS(T44-T45),'IMP Table'!$A$2:$C$26,3)*SIGN(T44-T45),0)</f>
        <v/>
      </c>
      <c r="AB44">
        <f>IF(AND(ISNUMBER(T44),ISNUMBER(T46)),VLOOKUP(ABS(T44-T46),'IMP Table'!$A$2:$C$26,3)*SIGN(T44-T46),0)</f>
        <v/>
      </c>
    </row>
    <row r="45">
      <c r="B45" s="10">
        <f>'By Round'!A15</f>
        <v/>
      </c>
      <c r="C45" s="10">
        <f>'By Round'!B21</f>
        <v/>
      </c>
      <c r="D45" s="10">
        <f>'By Round'!C21</f>
        <v/>
      </c>
      <c r="E45" s="10">
        <f>'By Round'!D21</f>
        <v/>
      </c>
      <c r="F45" s="10">
        <f>IF(ISBLANK('By Round'!F22),"",'By Round'!F22)</f>
        <v/>
      </c>
      <c r="G45">
        <f>IF(ISBLANK('By Round'!G22),"",'By Round'!G22)</f>
        <v/>
      </c>
      <c r="H45">
        <f>IF(ISBLANK('By Round'!H22),"",'By Round'!H22)</f>
        <v/>
      </c>
      <c r="I45">
        <f>IF(ISBLANK('By Round'!I22),"",'By Round'!I22)</f>
        <v/>
      </c>
      <c r="J45">
        <f>IF(ISBLANK('By Round'!J22),"",'By Round'!J22)</f>
        <v/>
      </c>
      <c r="K45">
        <f>IF(ISBLANK('By Round'!K22),"",'By Round'!K22)</f>
        <v/>
      </c>
      <c r="L45">
        <f>IF(ISBLANK('By Round'!L22),"",'By Round'!L22)</f>
        <v/>
      </c>
      <c r="M45" s="12">
        <f>AVERAGE(Y45:Z45)</f>
        <v/>
      </c>
      <c r="N45" s="13">
        <f>AVERAGE(AA45:AB45)</f>
        <v/>
      </c>
      <c r="O45" s="14">
        <f>IF(COUNT(U45:V45)&gt;0,Q45/COUNT(U45:V45),0.5)</f>
        <v/>
      </c>
      <c r="P45" s="14">
        <f>IF(COUNT(W45:X45)&gt;0,R45/COUNT(W45:X45),0.5)</f>
        <v/>
      </c>
      <c r="Q45" s="5">
        <f>SUM(U45:V45)</f>
        <v/>
      </c>
      <c r="R45" s="5">
        <f>SUM(W45:X45)</f>
        <v/>
      </c>
      <c r="S45" s="11">
        <f>IF(ISNUMBER(K45),K45,IF(ISNUMBER(L45),-L45,""))</f>
        <v/>
      </c>
      <c r="T45">
        <f>IF(ISNUMBER(L45),L45,IF(ISNUMBER(K45),-K45,""))</f>
        <v/>
      </c>
      <c r="U45" s="11">
        <f>IF(ISNUMBER(S45),IF(ISNUMBER(S44),IF(S45&gt;S44,1.0,IF(S45=S44,0.5,0.0)),0.5),0.5)</f>
        <v/>
      </c>
      <c r="V45">
        <f>IF(ISNUMBER(S45),IF(ISNUMBER(S46),IF(S45&gt;S46,1.0,IF(S45=S46,0.5,0.0)),0.5),0.5)</f>
        <v/>
      </c>
      <c r="W45">
        <f>IF(ISNUMBER(T45),IF(ISNUMBER(T44),IF(T45&gt;T44,1.0,IF(T45=T44,0.5,0.0)),0.5),0.5)</f>
        <v/>
      </c>
      <c r="X45">
        <f>IF(ISNUMBER(T45),IF(ISNUMBER(T46),IF(T45&gt;T46,1.0,IF(T45=T46,0.5,0.0)),0.5),0.5)</f>
        <v/>
      </c>
      <c r="Y45" s="11">
        <f>IF(AND(ISNUMBER(S45),ISNUMBER(S44)),VLOOKUP(ABS(S45-S44),'IMP Table'!$A$2:$C$26,3)*SIGN(S45-S44),0)</f>
        <v/>
      </c>
      <c r="Z45">
        <f>IF(AND(ISNUMBER(S45),ISNUMBER(S46)),VLOOKUP(ABS(S45-S46),'IMP Table'!$A$2:$C$26,3)*SIGN(S45-S46),0)</f>
        <v/>
      </c>
      <c r="AA45">
        <f>IF(AND(ISNUMBER(T45),ISNUMBER(T44)),VLOOKUP(ABS(T45-T44),'IMP Table'!$A$2:$C$26,3)*SIGN(T45-T44),0)</f>
        <v/>
      </c>
      <c r="AB45">
        <f>IF(AND(ISNUMBER(T45),ISNUMBER(T46)),VLOOKUP(ABS(T45-T46),'IMP Table'!$A$2:$C$26,3)*SIGN(T45-T46),0)</f>
        <v/>
      </c>
    </row>
    <row r="46">
      <c r="A46" s="15" t="n"/>
      <c r="B46" s="16">
        <f>'By Round'!A75</f>
        <v/>
      </c>
      <c r="C46" s="16">
        <f>'By Round'!B84</f>
        <v/>
      </c>
      <c r="D46" s="16">
        <f>'By Round'!C84</f>
        <v/>
      </c>
      <c r="E46" s="16">
        <f>'By Round'!D84</f>
        <v/>
      </c>
      <c r="F46" s="16">
        <f>IF(ISBLANK('By Round'!F85),"",'By Round'!F85)</f>
        <v/>
      </c>
      <c r="G46" s="15">
        <f>IF(ISBLANK('By Round'!G85),"",'By Round'!G85)</f>
        <v/>
      </c>
      <c r="H46" s="15">
        <f>IF(ISBLANK('By Round'!H85),"",'By Round'!H85)</f>
        <v/>
      </c>
      <c r="I46" s="15">
        <f>IF(ISBLANK('By Round'!I85),"",'By Round'!I85)</f>
        <v/>
      </c>
      <c r="J46" s="15">
        <f>IF(ISBLANK('By Round'!J85),"",'By Round'!J85)</f>
        <v/>
      </c>
      <c r="K46" s="15">
        <f>IF(ISBLANK('By Round'!K85),"",'By Round'!K85)</f>
        <v/>
      </c>
      <c r="L46" s="15">
        <f>IF(ISBLANK('By Round'!L85),"",'By Round'!L85)</f>
        <v/>
      </c>
      <c r="M46" s="17">
        <f>AVERAGE(Y46:Z46)</f>
        <v/>
      </c>
      <c r="N46" s="18">
        <f>AVERAGE(AA46:AB46)</f>
        <v/>
      </c>
      <c r="O46" s="19">
        <f>IF(COUNT(U46:V46)&gt;0,Q46/COUNT(U46:V46),0.5)</f>
        <v/>
      </c>
      <c r="P46" s="19">
        <f>IF(COUNT(W46:X46)&gt;0,R46/COUNT(W46:X46),0.5)</f>
        <v/>
      </c>
      <c r="Q46" s="20">
        <f>SUM(U46:V46)</f>
        <v/>
      </c>
      <c r="R46" s="20">
        <f>SUM(W46:X46)</f>
        <v/>
      </c>
      <c r="S46" s="21">
        <f>IF(ISNUMBER(K46),K46,IF(ISNUMBER(L46),-L46,""))</f>
        <v/>
      </c>
      <c r="T46" s="15">
        <f>IF(ISNUMBER(L46),L46,IF(ISNUMBER(K46),-K46,""))</f>
        <v/>
      </c>
      <c r="U46" s="21">
        <f>IF(ISNUMBER(S46),IF(ISNUMBER(S44),IF(S46&gt;S44,1.0,IF(S46=S44,0.5,0.0)),0.5),0.5)</f>
        <v/>
      </c>
      <c r="V46" s="15">
        <f>IF(ISNUMBER(S46),IF(ISNUMBER(S45),IF(S46&gt;S45,1.0,IF(S46=S45,0.5,0.0)),0.5),0.5)</f>
        <v/>
      </c>
      <c r="W46" s="15">
        <f>IF(ISNUMBER(T46),IF(ISNUMBER(T44),IF(T46&gt;T44,1.0,IF(T46=T44,0.5,0.0)),0.5),0.5)</f>
        <v/>
      </c>
      <c r="X46" s="15">
        <f>IF(ISNUMBER(T46),IF(ISNUMBER(T45),IF(T46&gt;T45,1.0,IF(T46=T45,0.5,0.0)),0.5),0.5)</f>
        <v/>
      </c>
      <c r="Y46" s="21">
        <f>IF(AND(ISNUMBER(S46),ISNUMBER(S44)),VLOOKUP(ABS(S46-S44),'IMP Table'!$A$2:$C$26,3)*SIGN(S46-S44),0)</f>
        <v/>
      </c>
      <c r="Z46" s="15">
        <f>IF(AND(ISNUMBER(S46),ISNUMBER(S45)),VLOOKUP(ABS(S46-S45),'IMP Table'!$A$2:$C$26,3)*SIGN(S46-S45),0)</f>
        <v/>
      </c>
      <c r="AA46" s="15">
        <f>IF(AND(ISNUMBER(T46),ISNUMBER(T44)),VLOOKUP(ABS(T46-T44),'IMP Table'!$A$2:$C$26,3)*SIGN(T46-T44),0)</f>
        <v/>
      </c>
      <c r="AB46" s="15">
        <f>IF(AND(ISNUMBER(T46),ISNUMBER(T45)),VLOOKUP(ABS(T46-T45),'IMP Table'!$A$2:$C$26,3)*SIGN(T46-T45),0)</f>
        <v/>
      </c>
      <c r="AC46" s="15" t="n"/>
      <c r="AD46" s="15" t="n"/>
      <c r="AE46" s="15" t="n"/>
      <c r="AF46" s="15" t="n"/>
    </row>
    <row r="47">
      <c r="A47" s="10" t="n">
        <v>12</v>
      </c>
      <c r="B47" s="10">
        <f>'By Round'!A39</f>
        <v/>
      </c>
      <c r="C47" s="10">
        <f>'By Round'!B39</f>
        <v/>
      </c>
      <c r="D47" s="10">
        <f>'By Round'!C39</f>
        <v/>
      </c>
      <c r="E47" s="10">
        <f>'By Round'!D39</f>
        <v/>
      </c>
      <c r="F47" s="10">
        <f>IF(ISBLANK('By Round'!F41),"",'By Round'!F41)</f>
        <v/>
      </c>
      <c r="G47">
        <f>IF(ISBLANK('By Round'!G41),"",'By Round'!G41)</f>
        <v/>
      </c>
      <c r="H47">
        <f>IF(ISBLANK('By Round'!H41),"",'By Round'!H41)</f>
        <v/>
      </c>
      <c r="I47">
        <f>IF(ISBLANK('By Round'!I41),"",'By Round'!I41)</f>
        <v/>
      </c>
      <c r="J47">
        <f>IF(ISBLANK('By Round'!J41),"",'By Round'!J41)</f>
        <v/>
      </c>
      <c r="K47">
        <f>IF(ISBLANK('By Round'!K41),"",'By Round'!K41)</f>
        <v/>
      </c>
      <c r="L47">
        <f>IF(ISBLANK('By Round'!L41),"",'By Round'!L41)</f>
        <v/>
      </c>
      <c r="M47" s="11">
        <f>IF(ISBLANK('By Round'!M41),"",'By Round'!M41)</f>
        <v/>
      </c>
      <c r="N47">
        <f>IF(ISBLANK('By Round'!N41),"",'By Round'!N41)</f>
        <v/>
      </c>
      <c r="O47">
        <f>IF(ISBLANK('By Round'!O41),"",'By Round'!O41)</f>
        <v/>
      </c>
      <c r="P47">
        <f>IF(ISBLANK('By Round'!P41),"",'By Round'!P41)</f>
        <v/>
      </c>
      <c r="Q47">
        <f>IF(ISBLANK('By Round'!Q41),"",'By Round'!Q41)</f>
        <v/>
      </c>
      <c r="R47">
        <f>IF(ISBLANK('By Round'!R41),"",'By Round'!R41)</f>
        <v/>
      </c>
      <c r="S47" s="11">
        <f>IF(ISBLANK('By Round'!S41),"",'By Round'!S41)</f>
        <v/>
      </c>
      <c r="T47">
        <f>IF(ISBLANK('By Round'!T41),"",'By Round'!T41)</f>
        <v/>
      </c>
      <c r="U47" s="11">
        <f>IF(ISBLANK('By Round'!U41),"",'By Round'!U41)</f>
        <v/>
      </c>
      <c r="V47">
        <f>IF(ISBLANK('By Round'!V41),"",'By Round'!V41)</f>
        <v/>
      </c>
      <c r="W47">
        <f>IF(ISBLANK('By Round'!W41),"",'By Round'!W41)</f>
        <v/>
      </c>
      <c r="X47">
        <f>IF(ISBLANK('By Round'!X41),"",'By Round'!X41)</f>
        <v/>
      </c>
      <c r="Y47" s="11" t="n"/>
    </row>
    <row r="48">
      <c r="B48" s="10">
        <f>'By Round'!A27</f>
        <v/>
      </c>
      <c r="C48" s="10">
        <f>'By Round'!B30</f>
        <v/>
      </c>
      <c r="D48" s="10">
        <f>'By Round'!C30</f>
        <v/>
      </c>
      <c r="E48" s="10">
        <f>'By Round'!D30</f>
        <v/>
      </c>
      <c r="F48" s="10">
        <f>IF(ISBLANK('By Round'!F32),"",'By Round'!F32)</f>
        <v/>
      </c>
      <c r="G48">
        <f>IF(ISBLANK('By Round'!G32),"",'By Round'!G32)</f>
        <v/>
      </c>
      <c r="H48">
        <f>IF(ISBLANK('By Round'!H32),"",'By Round'!H32)</f>
        <v/>
      </c>
      <c r="I48">
        <f>IF(ISBLANK('By Round'!I32),"",'By Round'!I32)</f>
        <v/>
      </c>
      <c r="J48">
        <f>IF(ISBLANK('By Round'!J32),"",'By Round'!J32)</f>
        <v/>
      </c>
      <c r="K48">
        <f>IF(ISBLANK('By Round'!K32),"",'By Round'!K32)</f>
        <v/>
      </c>
      <c r="L48">
        <f>IF(ISBLANK('By Round'!L32),"",'By Round'!L32)</f>
        <v/>
      </c>
      <c r="M48" s="12">
        <f>AVERAGE(Y48:Z48)</f>
        <v/>
      </c>
      <c r="N48" s="13">
        <f>AVERAGE(AA48:AB48)</f>
        <v/>
      </c>
      <c r="O48" s="14">
        <f>IF(COUNT(U48:V48)&gt;0,Q48/COUNT(U48:V48),0.5)</f>
        <v/>
      </c>
      <c r="P48" s="14">
        <f>IF(COUNT(W48:X48)&gt;0,R48/COUNT(W48:X48),0.5)</f>
        <v/>
      </c>
      <c r="Q48" s="5">
        <f>SUM(U48:V48)</f>
        <v/>
      </c>
      <c r="R48" s="5">
        <f>SUM(W48:X48)</f>
        <v/>
      </c>
      <c r="S48" s="11">
        <f>IF(ISNUMBER(K48),K48,IF(ISNUMBER(L48),-L48,""))</f>
        <v/>
      </c>
      <c r="T48">
        <f>IF(ISNUMBER(L48),L48,IF(ISNUMBER(K48),-K48,""))</f>
        <v/>
      </c>
      <c r="U48" s="11">
        <f>IF(ISNUMBER(S48),IF(ISNUMBER(S49),IF(S48&gt;S49,1.0,IF(S48=S49,0.5,0.0)),0.5),0.5)</f>
        <v/>
      </c>
      <c r="V48">
        <f>IF(ISNUMBER(S48),IF(ISNUMBER(S50),IF(S48&gt;S50,1.0,IF(S48=S50,0.5,0.0)),0.5),0.5)</f>
        <v/>
      </c>
      <c r="W48">
        <f>IF(ISNUMBER(T48),IF(ISNUMBER(T49),IF(T48&gt;T49,1.0,IF(T48=T49,0.5,0.0)),0.5),0.5)</f>
        <v/>
      </c>
      <c r="X48">
        <f>IF(ISNUMBER(T48),IF(ISNUMBER(T50),IF(T48&gt;T50,1.0,IF(T48=T50,0.5,0.0)),0.5),0.5)</f>
        <v/>
      </c>
      <c r="Y48" s="11">
        <f>IF(AND(ISNUMBER(S48),ISNUMBER(S49)),VLOOKUP(ABS(S48-S49),'IMP Table'!$A$2:$C$26,3)*SIGN(S48-S49),0)</f>
        <v/>
      </c>
      <c r="Z48">
        <f>IF(AND(ISNUMBER(S48),ISNUMBER(S50)),VLOOKUP(ABS(S48-S50),'IMP Table'!$A$2:$C$26,3)*SIGN(S48-S50),0)</f>
        <v/>
      </c>
      <c r="AA48">
        <f>IF(AND(ISNUMBER(T48),ISNUMBER(T49)),VLOOKUP(ABS(T48-T49),'IMP Table'!$A$2:$C$26,3)*SIGN(T48-T49),0)</f>
        <v/>
      </c>
      <c r="AB48">
        <f>IF(AND(ISNUMBER(T48),ISNUMBER(T50)),VLOOKUP(ABS(T48-T50),'IMP Table'!$A$2:$C$26,3)*SIGN(T48-T50),0)</f>
        <v/>
      </c>
    </row>
    <row r="49">
      <c r="B49" s="10">
        <f>'By Round'!A15</f>
        <v/>
      </c>
      <c r="C49" s="10">
        <f>'By Round'!B21</f>
        <v/>
      </c>
      <c r="D49" s="10">
        <f>'By Round'!C21</f>
        <v/>
      </c>
      <c r="E49" s="10">
        <f>'By Round'!D21</f>
        <v/>
      </c>
      <c r="F49" s="10">
        <f>IF(ISBLANK('By Round'!F23),"",'By Round'!F23)</f>
        <v/>
      </c>
      <c r="G49">
        <f>IF(ISBLANK('By Round'!G23),"",'By Round'!G23)</f>
        <v/>
      </c>
      <c r="H49">
        <f>IF(ISBLANK('By Round'!H23),"",'By Round'!H23)</f>
        <v/>
      </c>
      <c r="I49">
        <f>IF(ISBLANK('By Round'!I23),"",'By Round'!I23)</f>
        <v/>
      </c>
      <c r="J49">
        <f>IF(ISBLANK('By Round'!J23),"",'By Round'!J23)</f>
        <v/>
      </c>
      <c r="K49">
        <f>IF(ISBLANK('By Round'!K23),"",'By Round'!K23)</f>
        <v/>
      </c>
      <c r="L49">
        <f>IF(ISBLANK('By Round'!L23),"",'By Round'!L23)</f>
        <v/>
      </c>
      <c r="M49" s="12">
        <f>AVERAGE(Y49:Z49)</f>
        <v/>
      </c>
      <c r="N49" s="13">
        <f>AVERAGE(AA49:AB49)</f>
        <v/>
      </c>
      <c r="O49" s="14">
        <f>IF(COUNT(U49:V49)&gt;0,Q49/COUNT(U49:V49),0.5)</f>
        <v/>
      </c>
      <c r="P49" s="14">
        <f>IF(COUNT(W49:X49)&gt;0,R49/COUNT(W49:X49),0.5)</f>
        <v/>
      </c>
      <c r="Q49" s="5">
        <f>SUM(U49:V49)</f>
        <v/>
      </c>
      <c r="R49" s="5">
        <f>SUM(W49:X49)</f>
        <v/>
      </c>
      <c r="S49" s="11">
        <f>IF(ISNUMBER(K49),K49,IF(ISNUMBER(L49),-L49,""))</f>
        <v/>
      </c>
      <c r="T49">
        <f>IF(ISNUMBER(L49),L49,IF(ISNUMBER(K49),-K49,""))</f>
        <v/>
      </c>
      <c r="U49" s="11">
        <f>IF(ISNUMBER(S49),IF(ISNUMBER(S48),IF(S49&gt;S48,1.0,IF(S49=S48,0.5,0.0)),0.5),0.5)</f>
        <v/>
      </c>
      <c r="V49">
        <f>IF(ISNUMBER(S49),IF(ISNUMBER(S50),IF(S49&gt;S50,1.0,IF(S49=S50,0.5,0.0)),0.5),0.5)</f>
        <v/>
      </c>
      <c r="W49">
        <f>IF(ISNUMBER(T49),IF(ISNUMBER(T48),IF(T49&gt;T48,1.0,IF(T49=T48,0.5,0.0)),0.5),0.5)</f>
        <v/>
      </c>
      <c r="X49">
        <f>IF(ISNUMBER(T49),IF(ISNUMBER(T50),IF(T49&gt;T50,1.0,IF(T49=T50,0.5,0.0)),0.5),0.5)</f>
        <v/>
      </c>
      <c r="Y49" s="11">
        <f>IF(AND(ISNUMBER(S49),ISNUMBER(S48)),VLOOKUP(ABS(S49-S48),'IMP Table'!$A$2:$C$26,3)*SIGN(S49-S48),0)</f>
        <v/>
      </c>
      <c r="Z49">
        <f>IF(AND(ISNUMBER(S49),ISNUMBER(S50)),VLOOKUP(ABS(S49-S50),'IMP Table'!$A$2:$C$26,3)*SIGN(S49-S50),0)</f>
        <v/>
      </c>
      <c r="AA49">
        <f>IF(AND(ISNUMBER(T49),ISNUMBER(T48)),VLOOKUP(ABS(T49-T48),'IMP Table'!$A$2:$C$26,3)*SIGN(T49-T48),0)</f>
        <v/>
      </c>
      <c r="AB49">
        <f>IF(AND(ISNUMBER(T49),ISNUMBER(T50)),VLOOKUP(ABS(T49-T50),'IMP Table'!$A$2:$C$26,3)*SIGN(T49-T50),0)</f>
        <v/>
      </c>
    </row>
    <row r="50">
      <c r="A50" s="15" t="n"/>
      <c r="B50" s="16">
        <f>'By Round'!A75</f>
        <v/>
      </c>
      <c r="C50" s="16">
        <f>'By Round'!B84</f>
        <v/>
      </c>
      <c r="D50" s="16">
        <f>'By Round'!C84</f>
        <v/>
      </c>
      <c r="E50" s="16">
        <f>'By Round'!D84</f>
        <v/>
      </c>
      <c r="F50" s="16">
        <f>IF(ISBLANK('By Round'!F86),"",'By Round'!F86)</f>
        <v/>
      </c>
      <c r="G50" s="15">
        <f>IF(ISBLANK('By Round'!G86),"",'By Round'!G86)</f>
        <v/>
      </c>
      <c r="H50" s="15">
        <f>IF(ISBLANK('By Round'!H86),"",'By Round'!H86)</f>
        <v/>
      </c>
      <c r="I50" s="15">
        <f>IF(ISBLANK('By Round'!I86),"",'By Round'!I86)</f>
        <v/>
      </c>
      <c r="J50" s="15">
        <f>IF(ISBLANK('By Round'!J86),"",'By Round'!J86)</f>
        <v/>
      </c>
      <c r="K50" s="15">
        <f>IF(ISBLANK('By Round'!K86),"",'By Round'!K86)</f>
        <v/>
      </c>
      <c r="L50" s="15">
        <f>IF(ISBLANK('By Round'!L86),"",'By Round'!L86)</f>
        <v/>
      </c>
      <c r="M50" s="17">
        <f>AVERAGE(Y50:Z50)</f>
        <v/>
      </c>
      <c r="N50" s="18">
        <f>AVERAGE(AA50:AB50)</f>
        <v/>
      </c>
      <c r="O50" s="19">
        <f>IF(COUNT(U50:V50)&gt;0,Q50/COUNT(U50:V50),0.5)</f>
        <v/>
      </c>
      <c r="P50" s="19">
        <f>IF(COUNT(W50:X50)&gt;0,R50/COUNT(W50:X50),0.5)</f>
        <v/>
      </c>
      <c r="Q50" s="20">
        <f>SUM(U50:V50)</f>
        <v/>
      </c>
      <c r="R50" s="20">
        <f>SUM(W50:X50)</f>
        <v/>
      </c>
      <c r="S50" s="21">
        <f>IF(ISNUMBER(K50),K50,IF(ISNUMBER(L50),-L50,""))</f>
        <v/>
      </c>
      <c r="T50" s="15">
        <f>IF(ISNUMBER(L50),L50,IF(ISNUMBER(K50),-K50,""))</f>
        <v/>
      </c>
      <c r="U50" s="21">
        <f>IF(ISNUMBER(S50),IF(ISNUMBER(S48),IF(S50&gt;S48,1.0,IF(S50=S48,0.5,0.0)),0.5),0.5)</f>
        <v/>
      </c>
      <c r="V50" s="15">
        <f>IF(ISNUMBER(S50),IF(ISNUMBER(S49),IF(S50&gt;S49,1.0,IF(S50=S49,0.5,0.0)),0.5),0.5)</f>
        <v/>
      </c>
      <c r="W50" s="15">
        <f>IF(ISNUMBER(T50),IF(ISNUMBER(T48),IF(T50&gt;T48,1.0,IF(T50=T48,0.5,0.0)),0.5),0.5)</f>
        <v/>
      </c>
      <c r="X50" s="15">
        <f>IF(ISNUMBER(T50),IF(ISNUMBER(T49),IF(T50&gt;T49,1.0,IF(T50=T49,0.5,0.0)),0.5),0.5)</f>
        <v/>
      </c>
      <c r="Y50" s="21">
        <f>IF(AND(ISNUMBER(S50),ISNUMBER(S48)),VLOOKUP(ABS(S50-S48),'IMP Table'!$A$2:$C$26,3)*SIGN(S50-S48),0)</f>
        <v/>
      </c>
      <c r="Z50" s="15">
        <f>IF(AND(ISNUMBER(S50),ISNUMBER(S49)),VLOOKUP(ABS(S50-S49),'IMP Table'!$A$2:$C$26,3)*SIGN(S50-S49),0)</f>
        <v/>
      </c>
      <c r="AA50" s="15">
        <f>IF(AND(ISNUMBER(T50),ISNUMBER(T48)),VLOOKUP(ABS(T50-T48),'IMP Table'!$A$2:$C$26,3)*SIGN(T50-T48),0)</f>
        <v/>
      </c>
      <c r="AB50" s="15">
        <f>IF(AND(ISNUMBER(T50),ISNUMBER(T49)),VLOOKUP(ABS(T50-T49),'IMP Table'!$A$2:$C$26,3)*SIGN(T50-T49),0)</f>
        <v/>
      </c>
      <c r="AC50" s="15" t="n"/>
      <c r="AD50" s="15" t="n"/>
      <c r="AE50" s="15" t="n"/>
      <c r="AF50" s="15" t="n"/>
    </row>
    <row r="51">
      <c r="A51" s="10" t="n">
        <v>13</v>
      </c>
      <c r="B51" s="10">
        <f>'By Round'!A51</f>
        <v/>
      </c>
      <c r="C51" s="10">
        <f>'By Round'!B51</f>
        <v/>
      </c>
      <c r="D51" s="10">
        <f>'By Round'!C51</f>
        <v/>
      </c>
      <c r="E51" s="10">
        <f>'By Round'!D51</f>
        <v/>
      </c>
      <c r="F51" s="10">
        <f>IF(ISBLANK('By Round'!F51),"",'By Round'!F51)</f>
        <v/>
      </c>
      <c r="G51">
        <f>IF(ISBLANK('By Round'!G51),"",'By Round'!G51)</f>
        <v/>
      </c>
      <c r="H51">
        <f>IF(ISBLANK('By Round'!H51),"",'By Round'!H51)</f>
        <v/>
      </c>
      <c r="I51">
        <f>IF(ISBLANK('By Round'!I51),"",'By Round'!I51)</f>
        <v/>
      </c>
      <c r="J51">
        <f>IF(ISBLANK('By Round'!J51),"",'By Round'!J51)</f>
        <v/>
      </c>
      <c r="K51">
        <f>IF(ISBLANK('By Round'!K51),"",'By Round'!K51)</f>
        <v/>
      </c>
      <c r="L51">
        <f>IF(ISBLANK('By Round'!L51),"",'By Round'!L51)</f>
        <v/>
      </c>
      <c r="M51" s="11">
        <f>IF(ISBLANK('By Round'!M51),"",'By Round'!M51)</f>
        <v/>
      </c>
      <c r="N51">
        <f>IF(ISBLANK('By Round'!N51),"",'By Round'!N51)</f>
        <v/>
      </c>
      <c r="O51">
        <f>IF(ISBLANK('By Round'!O51),"",'By Round'!O51)</f>
        <v/>
      </c>
      <c r="P51">
        <f>IF(ISBLANK('By Round'!P51),"",'By Round'!P51)</f>
        <v/>
      </c>
      <c r="Q51">
        <f>IF(ISBLANK('By Round'!Q51),"",'By Round'!Q51)</f>
        <v/>
      </c>
      <c r="R51">
        <f>IF(ISBLANK('By Round'!R51),"",'By Round'!R51)</f>
        <v/>
      </c>
      <c r="S51" s="11">
        <f>IF(ISBLANK('By Round'!S51),"",'By Round'!S51)</f>
        <v/>
      </c>
      <c r="T51">
        <f>IF(ISBLANK('By Round'!T51),"",'By Round'!T51)</f>
        <v/>
      </c>
      <c r="U51" s="11">
        <f>IF(ISBLANK('By Round'!U51),"",'By Round'!U51)</f>
        <v/>
      </c>
      <c r="V51">
        <f>IF(ISBLANK('By Round'!V51),"",'By Round'!V51)</f>
        <v/>
      </c>
      <c r="W51">
        <f>IF(ISBLANK('By Round'!W51),"",'By Round'!W51)</f>
        <v/>
      </c>
      <c r="X51">
        <f>IF(ISBLANK('By Round'!X51),"",'By Round'!X51)</f>
        <v/>
      </c>
      <c r="Y51" s="11" t="n"/>
    </row>
    <row r="52">
      <c r="B52" s="10">
        <f>'By Round'!A39</f>
        <v/>
      </c>
      <c r="C52" s="10">
        <f>'By Round'!B42</f>
        <v/>
      </c>
      <c r="D52" s="10">
        <f>'By Round'!C42</f>
        <v/>
      </c>
      <c r="E52" s="10">
        <f>'By Round'!D42</f>
        <v/>
      </c>
      <c r="F52" s="10">
        <f>IF(ISBLANK('By Round'!F42),"",'By Round'!F42)</f>
        <v/>
      </c>
      <c r="G52">
        <f>IF(ISBLANK('By Round'!G42),"",'By Round'!G42)</f>
        <v/>
      </c>
      <c r="H52">
        <f>IF(ISBLANK('By Round'!H42),"",'By Round'!H42)</f>
        <v/>
      </c>
      <c r="I52">
        <f>IF(ISBLANK('By Round'!I42),"",'By Round'!I42)</f>
        <v/>
      </c>
      <c r="J52">
        <f>IF(ISBLANK('By Round'!J42),"",'By Round'!J42)</f>
        <v/>
      </c>
      <c r="K52">
        <f>IF(ISBLANK('By Round'!K42),"",'By Round'!K42)</f>
        <v/>
      </c>
      <c r="L52">
        <f>IF(ISBLANK('By Round'!L42),"",'By Round'!L42)</f>
        <v/>
      </c>
      <c r="M52" s="12">
        <f>AVERAGE(Y52:Z52)</f>
        <v/>
      </c>
      <c r="N52" s="13">
        <f>AVERAGE(AA52:AB52)</f>
        <v/>
      </c>
      <c r="O52" s="14">
        <f>IF(COUNT(U52:V52)&gt;0,Q52/COUNT(U52:V52),0.5)</f>
        <v/>
      </c>
      <c r="P52" s="14">
        <f>IF(COUNT(W52:X52)&gt;0,R52/COUNT(W52:X52),0.5)</f>
        <v/>
      </c>
      <c r="Q52" s="5">
        <f>SUM(U52:V52)</f>
        <v/>
      </c>
      <c r="R52" s="5">
        <f>SUM(W52:X52)</f>
        <v/>
      </c>
      <c r="S52" s="11">
        <f>IF(ISNUMBER(K52),K52,IF(ISNUMBER(L52),-L52,""))</f>
        <v/>
      </c>
      <c r="T52">
        <f>IF(ISNUMBER(L52),L52,IF(ISNUMBER(K52),-K52,""))</f>
        <v/>
      </c>
      <c r="U52" s="11">
        <f>IF(ISNUMBER(S52),IF(ISNUMBER(S53),IF(S52&gt;S53,1.0,IF(S52=S53,0.5,0.0)),0.5),0.5)</f>
        <v/>
      </c>
      <c r="V52">
        <f>IF(ISNUMBER(S52),IF(ISNUMBER(S54),IF(S52&gt;S54,1.0,IF(S52=S54,0.5,0.0)),0.5),0.5)</f>
        <v/>
      </c>
      <c r="W52">
        <f>IF(ISNUMBER(T52),IF(ISNUMBER(T53),IF(T52&gt;T53,1.0,IF(T52=T53,0.5,0.0)),0.5),0.5)</f>
        <v/>
      </c>
      <c r="X52">
        <f>IF(ISNUMBER(T52),IF(ISNUMBER(T54),IF(T52&gt;T54,1.0,IF(T52=T54,0.5,0.0)),0.5),0.5)</f>
        <v/>
      </c>
      <c r="Y52" s="11">
        <f>IF(AND(ISNUMBER(S52),ISNUMBER(S53)),VLOOKUP(ABS(S52-S53),'IMP Table'!$A$2:$C$26,3)*SIGN(S52-S53),0)</f>
        <v/>
      </c>
      <c r="Z52">
        <f>IF(AND(ISNUMBER(S52),ISNUMBER(S54)),VLOOKUP(ABS(S52-S54),'IMP Table'!$A$2:$C$26,3)*SIGN(S52-S54),0)</f>
        <v/>
      </c>
      <c r="AA52">
        <f>IF(AND(ISNUMBER(T52),ISNUMBER(T53)),VLOOKUP(ABS(T52-T53),'IMP Table'!$A$2:$C$26,3)*SIGN(T52-T53),0)</f>
        <v/>
      </c>
      <c r="AB52">
        <f>IF(AND(ISNUMBER(T52),ISNUMBER(T54)),VLOOKUP(ABS(T52-T54),'IMP Table'!$A$2:$C$26,3)*SIGN(T52-T54),0)</f>
        <v/>
      </c>
    </row>
    <row r="53">
      <c r="B53" s="10">
        <f>'By Round'!A27</f>
        <v/>
      </c>
      <c r="C53" s="10">
        <f>'By Round'!B33</f>
        <v/>
      </c>
      <c r="D53" s="10">
        <f>'By Round'!C33</f>
        <v/>
      </c>
      <c r="E53" s="10">
        <f>'By Round'!D33</f>
        <v/>
      </c>
      <c r="F53" s="10">
        <f>IF(ISBLANK('By Round'!F33),"",'By Round'!F33)</f>
        <v/>
      </c>
      <c r="G53">
        <f>IF(ISBLANK('By Round'!G33),"",'By Round'!G33)</f>
        <v/>
      </c>
      <c r="H53">
        <f>IF(ISBLANK('By Round'!H33),"",'By Round'!H33)</f>
        <v/>
      </c>
      <c r="I53">
        <f>IF(ISBLANK('By Round'!I33),"",'By Round'!I33)</f>
        <v/>
      </c>
      <c r="J53">
        <f>IF(ISBLANK('By Round'!J33),"",'By Round'!J33)</f>
        <v/>
      </c>
      <c r="K53">
        <f>IF(ISBLANK('By Round'!K33),"",'By Round'!K33)</f>
        <v/>
      </c>
      <c r="L53">
        <f>IF(ISBLANK('By Round'!L33),"",'By Round'!L33)</f>
        <v/>
      </c>
      <c r="M53" s="12">
        <f>AVERAGE(Y53:Z53)</f>
        <v/>
      </c>
      <c r="N53" s="13">
        <f>AVERAGE(AA53:AB53)</f>
        <v/>
      </c>
      <c r="O53" s="14">
        <f>IF(COUNT(U53:V53)&gt;0,Q53/COUNT(U53:V53),0.5)</f>
        <v/>
      </c>
      <c r="P53" s="14">
        <f>IF(COUNT(W53:X53)&gt;0,R53/COUNT(W53:X53),0.5)</f>
        <v/>
      </c>
      <c r="Q53" s="5">
        <f>SUM(U53:V53)</f>
        <v/>
      </c>
      <c r="R53" s="5">
        <f>SUM(W53:X53)</f>
        <v/>
      </c>
      <c r="S53" s="11">
        <f>IF(ISNUMBER(K53),K53,IF(ISNUMBER(L53),-L53,""))</f>
        <v/>
      </c>
      <c r="T53">
        <f>IF(ISNUMBER(L53),L53,IF(ISNUMBER(K53),-K53,""))</f>
        <v/>
      </c>
      <c r="U53" s="11">
        <f>IF(ISNUMBER(S53),IF(ISNUMBER(S52),IF(S53&gt;S52,1.0,IF(S53=S52,0.5,0.0)),0.5),0.5)</f>
        <v/>
      </c>
      <c r="V53">
        <f>IF(ISNUMBER(S53),IF(ISNUMBER(S54),IF(S53&gt;S54,1.0,IF(S53=S54,0.5,0.0)),0.5),0.5)</f>
        <v/>
      </c>
      <c r="W53">
        <f>IF(ISNUMBER(T53),IF(ISNUMBER(T52),IF(T53&gt;T52,1.0,IF(T53=T52,0.5,0.0)),0.5),0.5)</f>
        <v/>
      </c>
      <c r="X53">
        <f>IF(ISNUMBER(T53),IF(ISNUMBER(T54),IF(T53&gt;T54,1.0,IF(T53=T54,0.5,0.0)),0.5),0.5)</f>
        <v/>
      </c>
      <c r="Y53" s="11">
        <f>IF(AND(ISNUMBER(S53),ISNUMBER(S52)),VLOOKUP(ABS(S53-S52),'IMP Table'!$A$2:$C$26,3)*SIGN(S53-S52),0)</f>
        <v/>
      </c>
      <c r="Z53">
        <f>IF(AND(ISNUMBER(S53),ISNUMBER(S54)),VLOOKUP(ABS(S53-S54),'IMP Table'!$A$2:$C$26,3)*SIGN(S53-S54),0)</f>
        <v/>
      </c>
      <c r="AA53">
        <f>IF(AND(ISNUMBER(T53),ISNUMBER(T52)),VLOOKUP(ABS(T53-T52),'IMP Table'!$A$2:$C$26,3)*SIGN(T53-T52),0)</f>
        <v/>
      </c>
      <c r="AB53">
        <f>IF(AND(ISNUMBER(T53),ISNUMBER(T54)),VLOOKUP(ABS(T53-T54),'IMP Table'!$A$2:$C$26,3)*SIGN(T53-T54),0)</f>
        <v/>
      </c>
    </row>
    <row r="54">
      <c r="A54" s="15" t="n"/>
      <c r="B54" s="16">
        <f>'By Round'!A3</f>
        <v/>
      </c>
      <c r="C54" s="16">
        <f>'By Round'!B12</f>
        <v/>
      </c>
      <c r="D54" s="16">
        <f>'By Round'!C12</f>
        <v/>
      </c>
      <c r="E54" s="16">
        <f>'By Round'!D12</f>
        <v/>
      </c>
      <c r="F54" s="16">
        <f>IF(ISBLANK('By Round'!F12),"",'By Round'!F12)</f>
        <v/>
      </c>
      <c r="G54" s="15">
        <f>IF(ISBLANK('By Round'!G12),"",'By Round'!G12)</f>
        <v/>
      </c>
      <c r="H54" s="15">
        <f>IF(ISBLANK('By Round'!H12),"",'By Round'!H12)</f>
        <v/>
      </c>
      <c r="I54" s="15">
        <f>IF(ISBLANK('By Round'!I12),"",'By Round'!I12)</f>
        <v/>
      </c>
      <c r="J54" s="15">
        <f>IF(ISBLANK('By Round'!J12),"",'By Round'!J12)</f>
        <v/>
      </c>
      <c r="K54" s="15">
        <f>IF(ISBLANK('By Round'!K12),"",'By Round'!K12)</f>
        <v/>
      </c>
      <c r="L54" s="15">
        <f>IF(ISBLANK('By Round'!L12),"",'By Round'!L12)</f>
        <v/>
      </c>
      <c r="M54" s="17">
        <f>AVERAGE(Y54:Z54)</f>
        <v/>
      </c>
      <c r="N54" s="18">
        <f>AVERAGE(AA54:AB54)</f>
        <v/>
      </c>
      <c r="O54" s="19">
        <f>IF(COUNT(U54:V54)&gt;0,Q54/COUNT(U54:V54),0.5)</f>
        <v/>
      </c>
      <c r="P54" s="19">
        <f>IF(COUNT(W54:X54)&gt;0,R54/COUNT(W54:X54),0.5)</f>
        <v/>
      </c>
      <c r="Q54" s="20">
        <f>SUM(U54:V54)</f>
        <v/>
      </c>
      <c r="R54" s="20">
        <f>SUM(W54:X54)</f>
        <v/>
      </c>
      <c r="S54" s="21">
        <f>IF(ISNUMBER(K54),K54,IF(ISNUMBER(L54),-L54,""))</f>
        <v/>
      </c>
      <c r="T54" s="15">
        <f>IF(ISNUMBER(L54),L54,IF(ISNUMBER(K54),-K54,""))</f>
        <v/>
      </c>
      <c r="U54" s="21">
        <f>IF(ISNUMBER(S54),IF(ISNUMBER(S52),IF(S54&gt;S52,1.0,IF(S54=S52,0.5,0.0)),0.5),0.5)</f>
        <v/>
      </c>
      <c r="V54" s="15">
        <f>IF(ISNUMBER(S54),IF(ISNUMBER(S53),IF(S54&gt;S53,1.0,IF(S54=S53,0.5,0.0)),0.5),0.5)</f>
        <v/>
      </c>
      <c r="W54" s="15">
        <f>IF(ISNUMBER(T54),IF(ISNUMBER(T52),IF(T54&gt;T52,1.0,IF(T54=T52,0.5,0.0)),0.5),0.5)</f>
        <v/>
      </c>
      <c r="X54" s="15">
        <f>IF(ISNUMBER(T54),IF(ISNUMBER(T53),IF(T54&gt;T53,1.0,IF(T54=T53,0.5,0.0)),0.5),0.5)</f>
        <v/>
      </c>
      <c r="Y54" s="21">
        <f>IF(AND(ISNUMBER(S54),ISNUMBER(S52)),VLOOKUP(ABS(S54-S52),'IMP Table'!$A$2:$C$26,3)*SIGN(S54-S52),0)</f>
        <v/>
      </c>
      <c r="Z54" s="15">
        <f>IF(AND(ISNUMBER(S54),ISNUMBER(S53)),VLOOKUP(ABS(S54-S53),'IMP Table'!$A$2:$C$26,3)*SIGN(S54-S53),0)</f>
        <v/>
      </c>
      <c r="AA54" s="15">
        <f>IF(AND(ISNUMBER(T54),ISNUMBER(T52)),VLOOKUP(ABS(T54-T52),'IMP Table'!$A$2:$C$26,3)*SIGN(T54-T52),0)</f>
        <v/>
      </c>
      <c r="AB54" s="15">
        <f>IF(AND(ISNUMBER(T54),ISNUMBER(T53)),VLOOKUP(ABS(T54-T53),'IMP Table'!$A$2:$C$26,3)*SIGN(T54-T53),0)</f>
        <v/>
      </c>
      <c r="AC54" s="15" t="n"/>
      <c r="AD54" s="15" t="n"/>
      <c r="AE54" s="15" t="n"/>
      <c r="AF54" s="15" t="n"/>
    </row>
    <row r="55">
      <c r="A55" s="10" t="n">
        <v>14</v>
      </c>
      <c r="B55" s="10">
        <f>'By Round'!A51</f>
        <v/>
      </c>
      <c r="C55" s="10">
        <f>'By Round'!B51</f>
        <v/>
      </c>
      <c r="D55" s="10">
        <f>'By Round'!C51</f>
        <v/>
      </c>
      <c r="E55" s="10">
        <f>'By Round'!D51</f>
        <v/>
      </c>
      <c r="F55" s="10">
        <f>IF(ISBLANK('By Round'!F52),"",'By Round'!F52)</f>
        <v/>
      </c>
      <c r="G55">
        <f>IF(ISBLANK('By Round'!G52),"",'By Round'!G52)</f>
        <v/>
      </c>
      <c r="H55">
        <f>IF(ISBLANK('By Round'!H52),"",'By Round'!H52)</f>
        <v/>
      </c>
      <c r="I55">
        <f>IF(ISBLANK('By Round'!I52),"",'By Round'!I52)</f>
        <v/>
      </c>
      <c r="J55">
        <f>IF(ISBLANK('By Round'!J52),"",'By Round'!J52)</f>
        <v/>
      </c>
      <c r="K55">
        <f>IF(ISBLANK('By Round'!K52),"",'By Round'!K52)</f>
        <v/>
      </c>
      <c r="L55">
        <f>IF(ISBLANK('By Round'!L52),"",'By Round'!L52)</f>
        <v/>
      </c>
      <c r="M55" s="11">
        <f>IF(ISBLANK('By Round'!M52),"",'By Round'!M52)</f>
        <v/>
      </c>
      <c r="N55">
        <f>IF(ISBLANK('By Round'!N52),"",'By Round'!N52)</f>
        <v/>
      </c>
      <c r="O55">
        <f>IF(ISBLANK('By Round'!O52),"",'By Round'!O52)</f>
        <v/>
      </c>
      <c r="P55">
        <f>IF(ISBLANK('By Round'!P52),"",'By Round'!P52)</f>
        <v/>
      </c>
      <c r="Q55">
        <f>IF(ISBLANK('By Round'!Q52),"",'By Round'!Q52)</f>
        <v/>
      </c>
      <c r="R55">
        <f>IF(ISBLANK('By Round'!R52),"",'By Round'!R52)</f>
        <v/>
      </c>
      <c r="S55" s="11">
        <f>IF(ISBLANK('By Round'!S52),"",'By Round'!S52)</f>
        <v/>
      </c>
      <c r="T55">
        <f>IF(ISBLANK('By Round'!T52),"",'By Round'!T52)</f>
        <v/>
      </c>
      <c r="U55" s="11">
        <f>IF(ISBLANK('By Round'!U52),"",'By Round'!U52)</f>
        <v/>
      </c>
      <c r="V55">
        <f>IF(ISBLANK('By Round'!V52),"",'By Round'!V52)</f>
        <v/>
      </c>
      <c r="W55">
        <f>IF(ISBLANK('By Round'!W52),"",'By Round'!W52)</f>
        <v/>
      </c>
      <c r="X55">
        <f>IF(ISBLANK('By Round'!X52),"",'By Round'!X52)</f>
        <v/>
      </c>
      <c r="Y55" s="11" t="n"/>
    </row>
    <row r="56">
      <c r="B56" s="10">
        <f>'By Round'!A39</f>
        <v/>
      </c>
      <c r="C56" s="10">
        <f>'By Round'!B42</f>
        <v/>
      </c>
      <c r="D56" s="10">
        <f>'By Round'!C42</f>
        <v/>
      </c>
      <c r="E56" s="10">
        <f>'By Round'!D42</f>
        <v/>
      </c>
      <c r="F56" s="10">
        <f>IF(ISBLANK('By Round'!F43),"",'By Round'!F43)</f>
        <v/>
      </c>
      <c r="G56">
        <f>IF(ISBLANK('By Round'!G43),"",'By Round'!G43)</f>
        <v/>
      </c>
      <c r="H56">
        <f>IF(ISBLANK('By Round'!H43),"",'By Round'!H43)</f>
        <v/>
      </c>
      <c r="I56">
        <f>IF(ISBLANK('By Round'!I43),"",'By Round'!I43)</f>
        <v/>
      </c>
      <c r="J56">
        <f>IF(ISBLANK('By Round'!J43),"",'By Round'!J43)</f>
        <v/>
      </c>
      <c r="K56">
        <f>IF(ISBLANK('By Round'!K43),"",'By Round'!K43)</f>
        <v/>
      </c>
      <c r="L56">
        <f>IF(ISBLANK('By Round'!L43),"",'By Round'!L43)</f>
        <v/>
      </c>
      <c r="M56" s="12">
        <f>AVERAGE(Y56:Z56)</f>
        <v/>
      </c>
      <c r="N56" s="13">
        <f>AVERAGE(AA56:AB56)</f>
        <v/>
      </c>
      <c r="O56" s="14">
        <f>IF(COUNT(U56:V56)&gt;0,Q56/COUNT(U56:V56),0.5)</f>
        <v/>
      </c>
      <c r="P56" s="14">
        <f>IF(COUNT(W56:X56)&gt;0,R56/COUNT(W56:X56),0.5)</f>
        <v/>
      </c>
      <c r="Q56" s="5">
        <f>SUM(U56:V56)</f>
        <v/>
      </c>
      <c r="R56" s="5">
        <f>SUM(W56:X56)</f>
        <v/>
      </c>
      <c r="S56" s="11">
        <f>IF(ISNUMBER(K56),K56,IF(ISNUMBER(L56),-L56,""))</f>
        <v/>
      </c>
      <c r="T56">
        <f>IF(ISNUMBER(L56),L56,IF(ISNUMBER(K56),-K56,""))</f>
        <v/>
      </c>
      <c r="U56" s="11">
        <f>IF(ISNUMBER(S56),IF(ISNUMBER(S57),IF(S56&gt;S57,1.0,IF(S56=S57,0.5,0.0)),0.5),0.5)</f>
        <v/>
      </c>
      <c r="V56">
        <f>IF(ISNUMBER(S56),IF(ISNUMBER(S58),IF(S56&gt;S58,1.0,IF(S56=S58,0.5,0.0)),0.5),0.5)</f>
        <v/>
      </c>
      <c r="W56">
        <f>IF(ISNUMBER(T56),IF(ISNUMBER(T57),IF(T56&gt;T57,1.0,IF(T56=T57,0.5,0.0)),0.5),0.5)</f>
        <v/>
      </c>
      <c r="X56">
        <f>IF(ISNUMBER(T56),IF(ISNUMBER(T58),IF(T56&gt;T58,1.0,IF(T56=T58,0.5,0.0)),0.5),0.5)</f>
        <v/>
      </c>
      <c r="Y56" s="11">
        <f>IF(AND(ISNUMBER(S56),ISNUMBER(S57)),VLOOKUP(ABS(S56-S57),'IMP Table'!$A$2:$C$26,3)*SIGN(S56-S57),0)</f>
        <v/>
      </c>
      <c r="Z56">
        <f>IF(AND(ISNUMBER(S56),ISNUMBER(S58)),VLOOKUP(ABS(S56-S58),'IMP Table'!$A$2:$C$26,3)*SIGN(S56-S58),0)</f>
        <v/>
      </c>
      <c r="AA56">
        <f>IF(AND(ISNUMBER(T56),ISNUMBER(T57)),VLOOKUP(ABS(T56-T57),'IMP Table'!$A$2:$C$26,3)*SIGN(T56-T57),0)</f>
        <v/>
      </c>
      <c r="AB56">
        <f>IF(AND(ISNUMBER(T56),ISNUMBER(T58)),VLOOKUP(ABS(T56-T58),'IMP Table'!$A$2:$C$26,3)*SIGN(T56-T58),0)</f>
        <v/>
      </c>
    </row>
    <row r="57">
      <c r="B57" s="10">
        <f>'By Round'!A27</f>
        <v/>
      </c>
      <c r="C57" s="10">
        <f>'By Round'!B33</f>
        <v/>
      </c>
      <c r="D57" s="10">
        <f>'By Round'!C33</f>
        <v/>
      </c>
      <c r="E57" s="10">
        <f>'By Round'!D33</f>
        <v/>
      </c>
      <c r="F57" s="10">
        <f>IF(ISBLANK('By Round'!F34),"",'By Round'!F34)</f>
        <v/>
      </c>
      <c r="G57">
        <f>IF(ISBLANK('By Round'!G34),"",'By Round'!G34)</f>
        <v/>
      </c>
      <c r="H57">
        <f>IF(ISBLANK('By Round'!H34),"",'By Round'!H34)</f>
        <v/>
      </c>
      <c r="I57">
        <f>IF(ISBLANK('By Round'!I34),"",'By Round'!I34)</f>
        <v/>
      </c>
      <c r="J57">
        <f>IF(ISBLANK('By Round'!J34),"",'By Round'!J34)</f>
        <v/>
      </c>
      <c r="K57">
        <f>IF(ISBLANK('By Round'!K34),"",'By Round'!K34)</f>
        <v/>
      </c>
      <c r="L57">
        <f>IF(ISBLANK('By Round'!L34),"",'By Round'!L34)</f>
        <v/>
      </c>
      <c r="M57" s="12">
        <f>AVERAGE(Y57:Z57)</f>
        <v/>
      </c>
      <c r="N57" s="13">
        <f>AVERAGE(AA57:AB57)</f>
        <v/>
      </c>
      <c r="O57" s="14">
        <f>IF(COUNT(U57:V57)&gt;0,Q57/COUNT(U57:V57),0.5)</f>
        <v/>
      </c>
      <c r="P57" s="14">
        <f>IF(COUNT(W57:X57)&gt;0,R57/COUNT(W57:X57),0.5)</f>
        <v/>
      </c>
      <c r="Q57" s="5">
        <f>SUM(U57:V57)</f>
        <v/>
      </c>
      <c r="R57" s="5">
        <f>SUM(W57:X57)</f>
        <v/>
      </c>
      <c r="S57" s="11">
        <f>IF(ISNUMBER(K57),K57,IF(ISNUMBER(L57),-L57,""))</f>
        <v/>
      </c>
      <c r="T57">
        <f>IF(ISNUMBER(L57),L57,IF(ISNUMBER(K57),-K57,""))</f>
        <v/>
      </c>
      <c r="U57" s="11">
        <f>IF(ISNUMBER(S57),IF(ISNUMBER(S56),IF(S57&gt;S56,1.0,IF(S57=S56,0.5,0.0)),0.5),0.5)</f>
        <v/>
      </c>
      <c r="V57">
        <f>IF(ISNUMBER(S57),IF(ISNUMBER(S58),IF(S57&gt;S58,1.0,IF(S57=S58,0.5,0.0)),0.5),0.5)</f>
        <v/>
      </c>
      <c r="W57">
        <f>IF(ISNUMBER(T57),IF(ISNUMBER(T56),IF(T57&gt;T56,1.0,IF(T57=T56,0.5,0.0)),0.5),0.5)</f>
        <v/>
      </c>
      <c r="X57">
        <f>IF(ISNUMBER(T57),IF(ISNUMBER(T58),IF(T57&gt;T58,1.0,IF(T57=T58,0.5,0.0)),0.5),0.5)</f>
        <v/>
      </c>
      <c r="Y57" s="11">
        <f>IF(AND(ISNUMBER(S57),ISNUMBER(S56)),VLOOKUP(ABS(S57-S56),'IMP Table'!$A$2:$C$26,3)*SIGN(S57-S56),0)</f>
        <v/>
      </c>
      <c r="Z57">
        <f>IF(AND(ISNUMBER(S57),ISNUMBER(S58)),VLOOKUP(ABS(S57-S58),'IMP Table'!$A$2:$C$26,3)*SIGN(S57-S58),0)</f>
        <v/>
      </c>
      <c r="AA57">
        <f>IF(AND(ISNUMBER(T57),ISNUMBER(T56)),VLOOKUP(ABS(T57-T56),'IMP Table'!$A$2:$C$26,3)*SIGN(T57-T56),0)</f>
        <v/>
      </c>
      <c r="AB57">
        <f>IF(AND(ISNUMBER(T57),ISNUMBER(T58)),VLOOKUP(ABS(T57-T58),'IMP Table'!$A$2:$C$26,3)*SIGN(T57-T58),0)</f>
        <v/>
      </c>
    </row>
    <row r="58">
      <c r="A58" s="15" t="n"/>
      <c r="B58" s="16">
        <f>'By Round'!A3</f>
        <v/>
      </c>
      <c r="C58" s="16">
        <f>'By Round'!B12</f>
        <v/>
      </c>
      <c r="D58" s="16">
        <f>'By Round'!C12</f>
        <v/>
      </c>
      <c r="E58" s="16">
        <f>'By Round'!D12</f>
        <v/>
      </c>
      <c r="F58" s="16">
        <f>IF(ISBLANK('By Round'!F13),"",'By Round'!F13)</f>
        <v/>
      </c>
      <c r="G58" s="15">
        <f>IF(ISBLANK('By Round'!G13),"",'By Round'!G13)</f>
        <v/>
      </c>
      <c r="H58" s="15">
        <f>IF(ISBLANK('By Round'!H13),"",'By Round'!H13)</f>
        <v/>
      </c>
      <c r="I58" s="15">
        <f>IF(ISBLANK('By Round'!I13),"",'By Round'!I13)</f>
        <v/>
      </c>
      <c r="J58" s="15">
        <f>IF(ISBLANK('By Round'!J13),"",'By Round'!J13)</f>
        <v/>
      </c>
      <c r="K58" s="15">
        <f>IF(ISBLANK('By Round'!K13),"",'By Round'!K13)</f>
        <v/>
      </c>
      <c r="L58" s="15">
        <f>IF(ISBLANK('By Round'!L13),"",'By Round'!L13)</f>
        <v/>
      </c>
      <c r="M58" s="17">
        <f>AVERAGE(Y58:Z58)</f>
        <v/>
      </c>
      <c r="N58" s="18">
        <f>AVERAGE(AA58:AB58)</f>
        <v/>
      </c>
      <c r="O58" s="19">
        <f>IF(COUNT(U58:V58)&gt;0,Q58/COUNT(U58:V58),0.5)</f>
        <v/>
      </c>
      <c r="P58" s="19">
        <f>IF(COUNT(W58:X58)&gt;0,R58/COUNT(W58:X58),0.5)</f>
        <v/>
      </c>
      <c r="Q58" s="20">
        <f>SUM(U58:V58)</f>
        <v/>
      </c>
      <c r="R58" s="20">
        <f>SUM(W58:X58)</f>
        <v/>
      </c>
      <c r="S58" s="21">
        <f>IF(ISNUMBER(K58),K58,IF(ISNUMBER(L58),-L58,""))</f>
        <v/>
      </c>
      <c r="T58" s="15">
        <f>IF(ISNUMBER(L58),L58,IF(ISNUMBER(K58),-K58,""))</f>
        <v/>
      </c>
      <c r="U58" s="21">
        <f>IF(ISNUMBER(S58),IF(ISNUMBER(S56),IF(S58&gt;S56,1.0,IF(S58=S56,0.5,0.0)),0.5),0.5)</f>
        <v/>
      </c>
      <c r="V58" s="15">
        <f>IF(ISNUMBER(S58),IF(ISNUMBER(S57),IF(S58&gt;S57,1.0,IF(S58=S57,0.5,0.0)),0.5),0.5)</f>
        <v/>
      </c>
      <c r="W58" s="15">
        <f>IF(ISNUMBER(T58),IF(ISNUMBER(T56),IF(T58&gt;T56,1.0,IF(T58=T56,0.5,0.0)),0.5),0.5)</f>
        <v/>
      </c>
      <c r="X58" s="15">
        <f>IF(ISNUMBER(T58),IF(ISNUMBER(T57),IF(T58&gt;T57,1.0,IF(T58=T57,0.5,0.0)),0.5),0.5)</f>
        <v/>
      </c>
      <c r="Y58" s="21">
        <f>IF(AND(ISNUMBER(S58),ISNUMBER(S56)),VLOOKUP(ABS(S58-S56),'IMP Table'!$A$2:$C$26,3)*SIGN(S58-S56),0)</f>
        <v/>
      </c>
      <c r="Z58" s="15">
        <f>IF(AND(ISNUMBER(S58),ISNUMBER(S57)),VLOOKUP(ABS(S58-S57),'IMP Table'!$A$2:$C$26,3)*SIGN(S58-S57),0)</f>
        <v/>
      </c>
      <c r="AA58" s="15">
        <f>IF(AND(ISNUMBER(T58),ISNUMBER(T56)),VLOOKUP(ABS(T58-T56),'IMP Table'!$A$2:$C$26,3)*SIGN(T58-T56),0)</f>
        <v/>
      </c>
      <c r="AB58" s="15">
        <f>IF(AND(ISNUMBER(T58),ISNUMBER(T57)),VLOOKUP(ABS(T58-T57),'IMP Table'!$A$2:$C$26,3)*SIGN(T58-T57),0)</f>
        <v/>
      </c>
      <c r="AC58" s="15" t="n"/>
      <c r="AD58" s="15" t="n"/>
      <c r="AE58" s="15" t="n"/>
      <c r="AF58" s="15" t="n"/>
    </row>
    <row r="59">
      <c r="A59" s="10" t="n">
        <v>15</v>
      </c>
      <c r="B59" s="10">
        <f>'By Round'!A51</f>
        <v/>
      </c>
      <c r="C59" s="10">
        <f>'By Round'!B51</f>
        <v/>
      </c>
      <c r="D59" s="10">
        <f>'By Round'!C51</f>
        <v/>
      </c>
      <c r="E59" s="10">
        <f>'By Round'!D51</f>
        <v/>
      </c>
      <c r="F59" s="10">
        <f>IF(ISBLANK('By Round'!F53),"",'By Round'!F53)</f>
        <v/>
      </c>
      <c r="G59">
        <f>IF(ISBLANK('By Round'!G53),"",'By Round'!G53)</f>
        <v/>
      </c>
      <c r="H59">
        <f>IF(ISBLANK('By Round'!H53),"",'By Round'!H53)</f>
        <v/>
      </c>
      <c r="I59">
        <f>IF(ISBLANK('By Round'!I53),"",'By Round'!I53)</f>
        <v/>
      </c>
      <c r="J59">
        <f>IF(ISBLANK('By Round'!J53),"",'By Round'!J53)</f>
        <v/>
      </c>
      <c r="K59">
        <f>IF(ISBLANK('By Round'!K53),"",'By Round'!K53)</f>
        <v/>
      </c>
      <c r="L59">
        <f>IF(ISBLANK('By Round'!L53),"",'By Round'!L53)</f>
        <v/>
      </c>
      <c r="M59" s="11">
        <f>IF(ISBLANK('By Round'!M53),"",'By Round'!M53)</f>
        <v/>
      </c>
      <c r="N59">
        <f>IF(ISBLANK('By Round'!N53),"",'By Round'!N53)</f>
        <v/>
      </c>
      <c r="O59">
        <f>IF(ISBLANK('By Round'!O53),"",'By Round'!O53)</f>
        <v/>
      </c>
      <c r="P59">
        <f>IF(ISBLANK('By Round'!P53),"",'By Round'!P53)</f>
        <v/>
      </c>
      <c r="Q59">
        <f>IF(ISBLANK('By Round'!Q53),"",'By Round'!Q53)</f>
        <v/>
      </c>
      <c r="R59">
        <f>IF(ISBLANK('By Round'!R53),"",'By Round'!R53)</f>
        <v/>
      </c>
      <c r="S59" s="11">
        <f>IF(ISBLANK('By Round'!S53),"",'By Round'!S53)</f>
        <v/>
      </c>
      <c r="T59">
        <f>IF(ISBLANK('By Round'!T53),"",'By Round'!T53)</f>
        <v/>
      </c>
      <c r="U59" s="11">
        <f>IF(ISBLANK('By Round'!U53),"",'By Round'!U53)</f>
        <v/>
      </c>
      <c r="V59">
        <f>IF(ISBLANK('By Round'!V53),"",'By Round'!V53)</f>
        <v/>
      </c>
      <c r="W59">
        <f>IF(ISBLANK('By Round'!W53),"",'By Round'!W53)</f>
        <v/>
      </c>
      <c r="X59">
        <f>IF(ISBLANK('By Round'!X53),"",'By Round'!X53)</f>
        <v/>
      </c>
      <c r="Y59" s="11" t="n"/>
    </row>
    <row r="60">
      <c r="B60" s="10">
        <f>'By Round'!A39</f>
        <v/>
      </c>
      <c r="C60" s="10">
        <f>'By Round'!B42</f>
        <v/>
      </c>
      <c r="D60" s="10">
        <f>'By Round'!C42</f>
        <v/>
      </c>
      <c r="E60" s="10">
        <f>'By Round'!D42</f>
        <v/>
      </c>
      <c r="F60" s="10">
        <f>IF(ISBLANK('By Round'!F44),"",'By Round'!F44)</f>
        <v/>
      </c>
      <c r="G60">
        <f>IF(ISBLANK('By Round'!G44),"",'By Round'!G44)</f>
        <v/>
      </c>
      <c r="H60">
        <f>IF(ISBLANK('By Round'!H44),"",'By Round'!H44)</f>
        <v/>
      </c>
      <c r="I60">
        <f>IF(ISBLANK('By Round'!I44),"",'By Round'!I44)</f>
        <v/>
      </c>
      <c r="J60">
        <f>IF(ISBLANK('By Round'!J44),"",'By Round'!J44)</f>
        <v/>
      </c>
      <c r="K60">
        <f>IF(ISBLANK('By Round'!K44),"",'By Round'!K44)</f>
        <v/>
      </c>
      <c r="L60">
        <f>IF(ISBLANK('By Round'!L44),"",'By Round'!L44)</f>
        <v/>
      </c>
      <c r="M60" s="12">
        <f>AVERAGE(Y60:Z60)</f>
        <v/>
      </c>
      <c r="N60" s="13">
        <f>AVERAGE(AA60:AB60)</f>
        <v/>
      </c>
      <c r="O60" s="14">
        <f>IF(COUNT(U60:V60)&gt;0,Q60/COUNT(U60:V60),0.5)</f>
        <v/>
      </c>
      <c r="P60" s="14">
        <f>IF(COUNT(W60:X60)&gt;0,R60/COUNT(W60:X60),0.5)</f>
        <v/>
      </c>
      <c r="Q60" s="5">
        <f>SUM(U60:V60)</f>
        <v/>
      </c>
      <c r="R60" s="5">
        <f>SUM(W60:X60)</f>
        <v/>
      </c>
      <c r="S60" s="11">
        <f>IF(ISNUMBER(K60),K60,IF(ISNUMBER(L60),-L60,""))</f>
        <v/>
      </c>
      <c r="T60">
        <f>IF(ISNUMBER(L60),L60,IF(ISNUMBER(K60),-K60,""))</f>
        <v/>
      </c>
      <c r="U60" s="11">
        <f>IF(ISNUMBER(S60),IF(ISNUMBER(S61),IF(S60&gt;S61,1.0,IF(S60=S61,0.5,0.0)),0.5),0.5)</f>
        <v/>
      </c>
      <c r="V60">
        <f>IF(ISNUMBER(S60),IF(ISNUMBER(S62),IF(S60&gt;S62,1.0,IF(S60=S62,0.5,0.0)),0.5),0.5)</f>
        <v/>
      </c>
      <c r="W60">
        <f>IF(ISNUMBER(T60),IF(ISNUMBER(T61),IF(T60&gt;T61,1.0,IF(T60=T61,0.5,0.0)),0.5),0.5)</f>
        <v/>
      </c>
      <c r="X60">
        <f>IF(ISNUMBER(T60),IF(ISNUMBER(T62),IF(T60&gt;T62,1.0,IF(T60=T62,0.5,0.0)),0.5),0.5)</f>
        <v/>
      </c>
      <c r="Y60" s="11">
        <f>IF(AND(ISNUMBER(S60),ISNUMBER(S61)),VLOOKUP(ABS(S60-S61),'IMP Table'!$A$2:$C$26,3)*SIGN(S60-S61),0)</f>
        <v/>
      </c>
      <c r="Z60">
        <f>IF(AND(ISNUMBER(S60),ISNUMBER(S62)),VLOOKUP(ABS(S60-S62),'IMP Table'!$A$2:$C$26,3)*SIGN(S60-S62),0)</f>
        <v/>
      </c>
      <c r="AA60">
        <f>IF(AND(ISNUMBER(T60),ISNUMBER(T61)),VLOOKUP(ABS(T60-T61),'IMP Table'!$A$2:$C$26,3)*SIGN(T60-T61),0)</f>
        <v/>
      </c>
      <c r="AB60">
        <f>IF(AND(ISNUMBER(T60),ISNUMBER(T62)),VLOOKUP(ABS(T60-T62),'IMP Table'!$A$2:$C$26,3)*SIGN(T60-T62),0)</f>
        <v/>
      </c>
    </row>
    <row r="61">
      <c r="B61" s="10">
        <f>'By Round'!A27</f>
        <v/>
      </c>
      <c r="C61" s="10">
        <f>'By Round'!B33</f>
        <v/>
      </c>
      <c r="D61" s="10">
        <f>'By Round'!C33</f>
        <v/>
      </c>
      <c r="E61" s="10">
        <f>'By Round'!D33</f>
        <v/>
      </c>
      <c r="F61" s="10">
        <f>IF(ISBLANK('By Round'!F35),"",'By Round'!F35)</f>
        <v/>
      </c>
      <c r="G61">
        <f>IF(ISBLANK('By Round'!G35),"",'By Round'!G35)</f>
        <v/>
      </c>
      <c r="H61">
        <f>IF(ISBLANK('By Round'!H35),"",'By Round'!H35)</f>
        <v/>
      </c>
      <c r="I61">
        <f>IF(ISBLANK('By Round'!I35),"",'By Round'!I35)</f>
        <v/>
      </c>
      <c r="J61">
        <f>IF(ISBLANK('By Round'!J35),"",'By Round'!J35)</f>
        <v/>
      </c>
      <c r="K61">
        <f>IF(ISBLANK('By Round'!K35),"",'By Round'!K35)</f>
        <v/>
      </c>
      <c r="L61">
        <f>IF(ISBLANK('By Round'!L35),"",'By Round'!L35)</f>
        <v/>
      </c>
      <c r="M61" s="12">
        <f>AVERAGE(Y61:Z61)</f>
        <v/>
      </c>
      <c r="N61" s="13">
        <f>AVERAGE(AA61:AB61)</f>
        <v/>
      </c>
      <c r="O61" s="14">
        <f>IF(COUNT(U61:V61)&gt;0,Q61/COUNT(U61:V61),0.5)</f>
        <v/>
      </c>
      <c r="P61" s="14">
        <f>IF(COUNT(W61:X61)&gt;0,R61/COUNT(W61:X61),0.5)</f>
        <v/>
      </c>
      <c r="Q61" s="5">
        <f>SUM(U61:V61)</f>
        <v/>
      </c>
      <c r="R61" s="5">
        <f>SUM(W61:X61)</f>
        <v/>
      </c>
      <c r="S61" s="11">
        <f>IF(ISNUMBER(K61),K61,IF(ISNUMBER(L61),-L61,""))</f>
        <v/>
      </c>
      <c r="T61">
        <f>IF(ISNUMBER(L61),L61,IF(ISNUMBER(K61),-K61,""))</f>
        <v/>
      </c>
      <c r="U61" s="11">
        <f>IF(ISNUMBER(S61),IF(ISNUMBER(S60),IF(S61&gt;S60,1.0,IF(S61=S60,0.5,0.0)),0.5),0.5)</f>
        <v/>
      </c>
      <c r="V61">
        <f>IF(ISNUMBER(S61),IF(ISNUMBER(S62),IF(S61&gt;S62,1.0,IF(S61=S62,0.5,0.0)),0.5),0.5)</f>
        <v/>
      </c>
      <c r="W61">
        <f>IF(ISNUMBER(T61),IF(ISNUMBER(T60),IF(T61&gt;T60,1.0,IF(T61=T60,0.5,0.0)),0.5),0.5)</f>
        <v/>
      </c>
      <c r="X61">
        <f>IF(ISNUMBER(T61),IF(ISNUMBER(T62),IF(T61&gt;T62,1.0,IF(T61=T62,0.5,0.0)),0.5),0.5)</f>
        <v/>
      </c>
      <c r="Y61" s="11">
        <f>IF(AND(ISNUMBER(S61),ISNUMBER(S60)),VLOOKUP(ABS(S61-S60),'IMP Table'!$A$2:$C$26,3)*SIGN(S61-S60),0)</f>
        <v/>
      </c>
      <c r="Z61">
        <f>IF(AND(ISNUMBER(S61),ISNUMBER(S62)),VLOOKUP(ABS(S61-S62),'IMP Table'!$A$2:$C$26,3)*SIGN(S61-S62),0)</f>
        <v/>
      </c>
      <c r="AA61">
        <f>IF(AND(ISNUMBER(T61),ISNUMBER(T60)),VLOOKUP(ABS(T61-T60),'IMP Table'!$A$2:$C$26,3)*SIGN(T61-T60),0)</f>
        <v/>
      </c>
      <c r="AB61">
        <f>IF(AND(ISNUMBER(T61),ISNUMBER(T62)),VLOOKUP(ABS(T61-T62),'IMP Table'!$A$2:$C$26,3)*SIGN(T61-T62),0)</f>
        <v/>
      </c>
    </row>
    <row r="62">
      <c r="A62" s="15" t="n"/>
      <c r="B62" s="16">
        <f>'By Round'!A3</f>
        <v/>
      </c>
      <c r="C62" s="16">
        <f>'By Round'!B12</f>
        <v/>
      </c>
      <c r="D62" s="16">
        <f>'By Round'!C12</f>
        <v/>
      </c>
      <c r="E62" s="16">
        <f>'By Round'!D12</f>
        <v/>
      </c>
      <c r="F62" s="16">
        <f>IF(ISBLANK('By Round'!F14),"",'By Round'!F14)</f>
        <v/>
      </c>
      <c r="G62" s="15">
        <f>IF(ISBLANK('By Round'!G14),"",'By Round'!G14)</f>
        <v/>
      </c>
      <c r="H62" s="15">
        <f>IF(ISBLANK('By Round'!H14),"",'By Round'!H14)</f>
        <v/>
      </c>
      <c r="I62" s="15">
        <f>IF(ISBLANK('By Round'!I14),"",'By Round'!I14)</f>
        <v/>
      </c>
      <c r="J62" s="15">
        <f>IF(ISBLANK('By Round'!J14),"",'By Round'!J14)</f>
        <v/>
      </c>
      <c r="K62" s="15">
        <f>IF(ISBLANK('By Round'!K14),"",'By Round'!K14)</f>
        <v/>
      </c>
      <c r="L62" s="15">
        <f>IF(ISBLANK('By Round'!L14),"",'By Round'!L14)</f>
        <v/>
      </c>
      <c r="M62" s="17">
        <f>AVERAGE(Y62:Z62)</f>
        <v/>
      </c>
      <c r="N62" s="18">
        <f>AVERAGE(AA62:AB62)</f>
        <v/>
      </c>
      <c r="O62" s="19">
        <f>IF(COUNT(U62:V62)&gt;0,Q62/COUNT(U62:V62),0.5)</f>
        <v/>
      </c>
      <c r="P62" s="19">
        <f>IF(COUNT(W62:X62)&gt;0,R62/COUNT(W62:X62),0.5)</f>
        <v/>
      </c>
      <c r="Q62" s="20">
        <f>SUM(U62:V62)</f>
        <v/>
      </c>
      <c r="R62" s="20">
        <f>SUM(W62:X62)</f>
        <v/>
      </c>
      <c r="S62" s="21">
        <f>IF(ISNUMBER(K62),K62,IF(ISNUMBER(L62),-L62,""))</f>
        <v/>
      </c>
      <c r="T62" s="15">
        <f>IF(ISNUMBER(L62),L62,IF(ISNUMBER(K62),-K62,""))</f>
        <v/>
      </c>
      <c r="U62" s="21">
        <f>IF(ISNUMBER(S62),IF(ISNUMBER(S60),IF(S62&gt;S60,1.0,IF(S62=S60,0.5,0.0)),0.5),0.5)</f>
        <v/>
      </c>
      <c r="V62" s="15">
        <f>IF(ISNUMBER(S62),IF(ISNUMBER(S61),IF(S62&gt;S61,1.0,IF(S62=S61,0.5,0.0)),0.5),0.5)</f>
        <v/>
      </c>
      <c r="W62" s="15">
        <f>IF(ISNUMBER(T62),IF(ISNUMBER(T60),IF(T62&gt;T60,1.0,IF(T62=T60,0.5,0.0)),0.5),0.5)</f>
        <v/>
      </c>
      <c r="X62" s="15">
        <f>IF(ISNUMBER(T62),IF(ISNUMBER(T61),IF(T62&gt;T61,1.0,IF(T62=T61,0.5,0.0)),0.5),0.5)</f>
        <v/>
      </c>
      <c r="Y62" s="21">
        <f>IF(AND(ISNUMBER(S62),ISNUMBER(S60)),VLOOKUP(ABS(S62-S60),'IMP Table'!$A$2:$C$26,3)*SIGN(S62-S60),0)</f>
        <v/>
      </c>
      <c r="Z62" s="15">
        <f>IF(AND(ISNUMBER(S62),ISNUMBER(S61)),VLOOKUP(ABS(S62-S61),'IMP Table'!$A$2:$C$26,3)*SIGN(S62-S61),0)</f>
        <v/>
      </c>
      <c r="AA62" s="15">
        <f>IF(AND(ISNUMBER(T62),ISNUMBER(T60)),VLOOKUP(ABS(T62-T60),'IMP Table'!$A$2:$C$26,3)*SIGN(T62-T60),0)</f>
        <v/>
      </c>
      <c r="AB62" s="15">
        <f>IF(AND(ISNUMBER(T62),ISNUMBER(T61)),VLOOKUP(ABS(T62-T61),'IMP Table'!$A$2:$C$26,3)*SIGN(T62-T61),0)</f>
        <v/>
      </c>
      <c r="AC62" s="15" t="n"/>
      <c r="AD62" s="15" t="n"/>
      <c r="AE62" s="15" t="n"/>
      <c r="AF62" s="15" t="n"/>
    </row>
    <row r="63">
      <c r="A63" s="10" t="n">
        <v>16</v>
      </c>
      <c r="B63" s="10">
        <f>'By Round'!A63</f>
        <v/>
      </c>
      <c r="C63" s="10">
        <f>'By Round'!B63</f>
        <v/>
      </c>
      <c r="D63" s="10">
        <f>'By Round'!C63</f>
        <v/>
      </c>
      <c r="E63" s="10">
        <f>'By Round'!D63</f>
        <v/>
      </c>
      <c r="F63" s="10">
        <f>IF(ISBLANK('By Round'!F63),"",'By Round'!F63)</f>
        <v/>
      </c>
      <c r="G63">
        <f>IF(ISBLANK('By Round'!G63),"",'By Round'!G63)</f>
        <v/>
      </c>
      <c r="H63">
        <f>IF(ISBLANK('By Round'!H63),"",'By Round'!H63)</f>
        <v/>
      </c>
      <c r="I63">
        <f>IF(ISBLANK('By Round'!I63),"",'By Round'!I63)</f>
        <v/>
      </c>
      <c r="J63">
        <f>IF(ISBLANK('By Round'!J63),"",'By Round'!J63)</f>
        <v/>
      </c>
      <c r="K63">
        <f>IF(ISBLANK('By Round'!K63),"",'By Round'!K63)</f>
        <v/>
      </c>
      <c r="L63">
        <f>IF(ISBLANK('By Round'!L63),"",'By Round'!L63)</f>
        <v/>
      </c>
      <c r="M63" s="11">
        <f>IF(ISBLANK('By Round'!M63),"",'By Round'!M63)</f>
        <v/>
      </c>
      <c r="N63">
        <f>IF(ISBLANK('By Round'!N63),"",'By Round'!N63)</f>
        <v/>
      </c>
      <c r="O63">
        <f>IF(ISBLANK('By Round'!O63),"",'By Round'!O63)</f>
        <v/>
      </c>
      <c r="P63">
        <f>IF(ISBLANK('By Round'!P63),"",'By Round'!P63)</f>
        <v/>
      </c>
      <c r="Q63">
        <f>IF(ISBLANK('By Round'!Q63),"",'By Round'!Q63)</f>
        <v/>
      </c>
      <c r="R63">
        <f>IF(ISBLANK('By Round'!R63),"",'By Round'!R63)</f>
        <v/>
      </c>
      <c r="S63" s="11">
        <f>IF(ISBLANK('By Round'!S63),"",'By Round'!S63)</f>
        <v/>
      </c>
      <c r="T63">
        <f>IF(ISBLANK('By Round'!T63),"",'By Round'!T63)</f>
        <v/>
      </c>
      <c r="U63" s="11">
        <f>IF(ISBLANK('By Round'!U63),"",'By Round'!U63)</f>
        <v/>
      </c>
      <c r="V63">
        <f>IF(ISBLANK('By Round'!V63),"",'By Round'!V63)</f>
        <v/>
      </c>
      <c r="W63">
        <f>IF(ISBLANK('By Round'!W63),"",'By Round'!W63)</f>
        <v/>
      </c>
      <c r="X63">
        <f>IF(ISBLANK('By Round'!X63),"",'By Round'!X63)</f>
        <v/>
      </c>
      <c r="Y63" s="11" t="n"/>
    </row>
    <row r="64">
      <c r="B64" s="10">
        <f>'By Round'!A15</f>
        <v/>
      </c>
      <c r="C64" s="10">
        <f>'By Round'!B24</f>
        <v/>
      </c>
      <c r="D64" s="10">
        <f>'By Round'!C24</f>
        <v/>
      </c>
      <c r="E64" s="10">
        <f>'By Round'!D24</f>
        <v/>
      </c>
      <c r="F64" s="10">
        <f>IF(ISBLANK('By Round'!F24),"",'By Round'!F24)</f>
        <v/>
      </c>
      <c r="G64">
        <f>IF(ISBLANK('By Round'!G24),"",'By Round'!G24)</f>
        <v/>
      </c>
      <c r="H64">
        <f>IF(ISBLANK('By Round'!H24),"",'By Round'!H24)</f>
        <v/>
      </c>
      <c r="I64">
        <f>IF(ISBLANK('By Round'!I24),"",'By Round'!I24)</f>
        <v/>
      </c>
      <c r="J64">
        <f>IF(ISBLANK('By Round'!J24),"",'By Round'!J24)</f>
        <v/>
      </c>
      <c r="K64">
        <f>IF(ISBLANK('By Round'!K24),"",'By Round'!K24)</f>
        <v/>
      </c>
      <c r="L64">
        <f>IF(ISBLANK('By Round'!L24),"",'By Round'!L24)</f>
        <v/>
      </c>
      <c r="M64" s="12">
        <f>AVERAGE(Y64:Z64)</f>
        <v/>
      </c>
      <c r="N64" s="13">
        <f>AVERAGE(AA64:AB64)</f>
        <v/>
      </c>
      <c r="O64" s="14">
        <f>IF(COUNT(U64:V64)&gt;0,Q64/COUNT(U64:V64),0.5)</f>
        <v/>
      </c>
      <c r="P64" s="14">
        <f>IF(COUNT(W64:X64)&gt;0,R64/COUNT(W64:X64),0.5)</f>
        <v/>
      </c>
      <c r="Q64" s="5">
        <f>SUM(U64:V64)</f>
        <v/>
      </c>
      <c r="R64" s="5">
        <f>SUM(W64:X64)</f>
        <v/>
      </c>
      <c r="S64" s="11">
        <f>IF(ISNUMBER(K64),K64,IF(ISNUMBER(L64),-L64,""))</f>
        <v/>
      </c>
      <c r="T64">
        <f>IF(ISNUMBER(L64),L64,IF(ISNUMBER(K64),-K64,""))</f>
        <v/>
      </c>
      <c r="U64" s="11">
        <f>IF(ISNUMBER(S64),IF(ISNUMBER(S65),IF(S64&gt;S65,1.0,IF(S64=S65,0.5,0.0)),0.5),0.5)</f>
        <v/>
      </c>
      <c r="V64">
        <f>IF(ISNUMBER(S64),IF(ISNUMBER(S66),IF(S64&gt;S66,1.0,IF(S64=S66,0.5,0.0)),0.5),0.5)</f>
        <v/>
      </c>
      <c r="W64">
        <f>IF(ISNUMBER(T64),IF(ISNUMBER(T65),IF(T64&gt;T65,1.0,IF(T64=T65,0.5,0.0)),0.5),0.5)</f>
        <v/>
      </c>
      <c r="X64">
        <f>IF(ISNUMBER(T64),IF(ISNUMBER(T66),IF(T64&gt;T66,1.0,IF(T64=T66,0.5,0.0)),0.5),0.5)</f>
        <v/>
      </c>
      <c r="Y64" s="11">
        <f>IF(AND(ISNUMBER(S64),ISNUMBER(S65)),VLOOKUP(ABS(S64-S65),'IMP Table'!$A$2:$C$26,3)*SIGN(S64-S65),0)</f>
        <v/>
      </c>
      <c r="Z64">
        <f>IF(AND(ISNUMBER(S64),ISNUMBER(S66)),VLOOKUP(ABS(S64-S66),'IMP Table'!$A$2:$C$26,3)*SIGN(S64-S66),0)</f>
        <v/>
      </c>
      <c r="AA64">
        <f>IF(AND(ISNUMBER(T64),ISNUMBER(T65)),VLOOKUP(ABS(T64-T65),'IMP Table'!$A$2:$C$26,3)*SIGN(T64-T65),0)</f>
        <v/>
      </c>
      <c r="AB64">
        <f>IF(AND(ISNUMBER(T64),ISNUMBER(T66)),VLOOKUP(ABS(T64-T66),'IMP Table'!$A$2:$C$26,3)*SIGN(T64-T66),0)</f>
        <v/>
      </c>
    </row>
    <row r="65">
      <c r="B65" s="10">
        <f>'By Round'!A51</f>
        <v/>
      </c>
      <c r="C65" s="10">
        <f>'By Round'!B54</f>
        <v/>
      </c>
      <c r="D65" s="10">
        <f>'By Round'!C54</f>
        <v/>
      </c>
      <c r="E65" s="10">
        <f>'By Round'!D54</f>
        <v/>
      </c>
      <c r="F65" s="10">
        <f>IF(ISBLANK('By Round'!F54),"",'By Round'!F54)</f>
        <v/>
      </c>
      <c r="G65">
        <f>IF(ISBLANK('By Round'!G54),"",'By Round'!G54)</f>
        <v/>
      </c>
      <c r="H65">
        <f>IF(ISBLANK('By Round'!H54),"",'By Round'!H54)</f>
        <v/>
      </c>
      <c r="I65">
        <f>IF(ISBLANK('By Round'!I54),"",'By Round'!I54)</f>
        <v/>
      </c>
      <c r="J65">
        <f>IF(ISBLANK('By Round'!J54),"",'By Round'!J54)</f>
        <v/>
      </c>
      <c r="K65">
        <f>IF(ISBLANK('By Round'!K54),"",'By Round'!K54)</f>
        <v/>
      </c>
      <c r="L65">
        <f>IF(ISBLANK('By Round'!L54),"",'By Round'!L54)</f>
        <v/>
      </c>
      <c r="M65" s="12">
        <f>AVERAGE(Y65:Z65)</f>
        <v/>
      </c>
      <c r="N65" s="13">
        <f>AVERAGE(AA65:AB65)</f>
        <v/>
      </c>
      <c r="O65" s="14">
        <f>IF(COUNT(U65:V65)&gt;0,Q65/COUNT(U65:V65),0.5)</f>
        <v/>
      </c>
      <c r="P65" s="14">
        <f>IF(COUNT(W65:X65)&gt;0,R65/COUNT(W65:X65),0.5)</f>
        <v/>
      </c>
      <c r="Q65" s="5">
        <f>SUM(U65:V65)</f>
        <v/>
      </c>
      <c r="R65" s="5">
        <f>SUM(W65:X65)</f>
        <v/>
      </c>
      <c r="S65" s="11">
        <f>IF(ISNUMBER(K65),K65,IF(ISNUMBER(L65),-L65,""))</f>
        <v/>
      </c>
      <c r="T65">
        <f>IF(ISNUMBER(L65),L65,IF(ISNUMBER(K65),-K65,""))</f>
        <v/>
      </c>
      <c r="U65" s="11">
        <f>IF(ISNUMBER(S65),IF(ISNUMBER(S64),IF(S65&gt;S64,1.0,IF(S65=S64,0.5,0.0)),0.5),0.5)</f>
        <v/>
      </c>
      <c r="V65">
        <f>IF(ISNUMBER(S65),IF(ISNUMBER(S66),IF(S65&gt;S66,1.0,IF(S65=S66,0.5,0.0)),0.5),0.5)</f>
        <v/>
      </c>
      <c r="W65">
        <f>IF(ISNUMBER(T65),IF(ISNUMBER(T64),IF(T65&gt;T64,1.0,IF(T65=T64,0.5,0.0)),0.5),0.5)</f>
        <v/>
      </c>
      <c r="X65">
        <f>IF(ISNUMBER(T65),IF(ISNUMBER(T66),IF(T65&gt;T66,1.0,IF(T65=T66,0.5,0.0)),0.5),0.5)</f>
        <v/>
      </c>
      <c r="Y65" s="11">
        <f>IF(AND(ISNUMBER(S65),ISNUMBER(S64)),VLOOKUP(ABS(S65-S64),'IMP Table'!$A$2:$C$26,3)*SIGN(S65-S64),0)</f>
        <v/>
      </c>
      <c r="Z65">
        <f>IF(AND(ISNUMBER(S65),ISNUMBER(S66)),VLOOKUP(ABS(S65-S66),'IMP Table'!$A$2:$C$26,3)*SIGN(S65-S66),0)</f>
        <v/>
      </c>
      <c r="AA65">
        <f>IF(AND(ISNUMBER(T65),ISNUMBER(T64)),VLOOKUP(ABS(T65-T64),'IMP Table'!$A$2:$C$26,3)*SIGN(T65-T64),0)</f>
        <v/>
      </c>
      <c r="AB65">
        <f>IF(AND(ISNUMBER(T65),ISNUMBER(T66)),VLOOKUP(ABS(T65-T66),'IMP Table'!$A$2:$C$26,3)*SIGN(T65-T66),0)</f>
        <v/>
      </c>
    </row>
    <row r="66">
      <c r="A66" s="15" t="n"/>
      <c r="B66" s="16">
        <f>'By Round'!A39</f>
        <v/>
      </c>
      <c r="C66" s="16">
        <f>'By Round'!B45</f>
        <v/>
      </c>
      <c r="D66" s="16">
        <f>'By Round'!C45</f>
        <v/>
      </c>
      <c r="E66" s="16">
        <f>'By Round'!D45</f>
        <v/>
      </c>
      <c r="F66" s="16">
        <f>IF(ISBLANK('By Round'!F45),"",'By Round'!F45)</f>
        <v/>
      </c>
      <c r="G66" s="15">
        <f>IF(ISBLANK('By Round'!G45),"",'By Round'!G45)</f>
        <v/>
      </c>
      <c r="H66" s="15">
        <f>IF(ISBLANK('By Round'!H45),"",'By Round'!H45)</f>
        <v/>
      </c>
      <c r="I66" s="15">
        <f>IF(ISBLANK('By Round'!I45),"",'By Round'!I45)</f>
        <v/>
      </c>
      <c r="J66" s="15">
        <f>IF(ISBLANK('By Round'!J45),"",'By Round'!J45)</f>
        <v/>
      </c>
      <c r="K66" s="15">
        <f>IF(ISBLANK('By Round'!K45),"",'By Round'!K45)</f>
        <v/>
      </c>
      <c r="L66" s="15">
        <f>IF(ISBLANK('By Round'!L45),"",'By Round'!L45)</f>
        <v/>
      </c>
      <c r="M66" s="17">
        <f>AVERAGE(Y66:Z66)</f>
        <v/>
      </c>
      <c r="N66" s="18">
        <f>AVERAGE(AA66:AB66)</f>
        <v/>
      </c>
      <c r="O66" s="19">
        <f>IF(COUNT(U66:V66)&gt;0,Q66/COUNT(U66:V66),0.5)</f>
        <v/>
      </c>
      <c r="P66" s="19">
        <f>IF(COUNT(W66:X66)&gt;0,R66/COUNT(W66:X66),0.5)</f>
        <v/>
      </c>
      <c r="Q66" s="20">
        <f>SUM(U66:V66)</f>
        <v/>
      </c>
      <c r="R66" s="20">
        <f>SUM(W66:X66)</f>
        <v/>
      </c>
      <c r="S66" s="21">
        <f>IF(ISNUMBER(K66),K66,IF(ISNUMBER(L66),-L66,""))</f>
        <v/>
      </c>
      <c r="T66" s="15">
        <f>IF(ISNUMBER(L66),L66,IF(ISNUMBER(K66),-K66,""))</f>
        <v/>
      </c>
      <c r="U66" s="21">
        <f>IF(ISNUMBER(S66),IF(ISNUMBER(S64),IF(S66&gt;S64,1.0,IF(S66=S64,0.5,0.0)),0.5),0.5)</f>
        <v/>
      </c>
      <c r="V66" s="15">
        <f>IF(ISNUMBER(S66),IF(ISNUMBER(S65),IF(S66&gt;S65,1.0,IF(S66=S65,0.5,0.0)),0.5),0.5)</f>
        <v/>
      </c>
      <c r="W66" s="15">
        <f>IF(ISNUMBER(T66),IF(ISNUMBER(T64),IF(T66&gt;T64,1.0,IF(T66=T64,0.5,0.0)),0.5),0.5)</f>
        <v/>
      </c>
      <c r="X66" s="15">
        <f>IF(ISNUMBER(T66),IF(ISNUMBER(T65),IF(T66&gt;T65,1.0,IF(T66=T65,0.5,0.0)),0.5),0.5)</f>
        <v/>
      </c>
      <c r="Y66" s="21">
        <f>IF(AND(ISNUMBER(S66),ISNUMBER(S64)),VLOOKUP(ABS(S66-S64),'IMP Table'!$A$2:$C$26,3)*SIGN(S66-S64),0)</f>
        <v/>
      </c>
      <c r="Z66" s="15">
        <f>IF(AND(ISNUMBER(S66),ISNUMBER(S65)),VLOOKUP(ABS(S66-S65),'IMP Table'!$A$2:$C$26,3)*SIGN(S66-S65),0)</f>
        <v/>
      </c>
      <c r="AA66" s="15">
        <f>IF(AND(ISNUMBER(T66),ISNUMBER(T64)),VLOOKUP(ABS(T66-T64),'IMP Table'!$A$2:$C$26,3)*SIGN(T66-T64),0)</f>
        <v/>
      </c>
      <c r="AB66" s="15">
        <f>IF(AND(ISNUMBER(T66),ISNUMBER(T65)),VLOOKUP(ABS(T66-T65),'IMP Table'!$A$2:$C$26,3)*SIGN(T66-T65),0)</f>
        <v/>
      </c>
      <c r="AC66" s="15" t="n"/>
      <c r="AD66" s="15" t="n"/>
      <c r="AE66" s="15" t="n"/>
      <c r="AF66" s="15" t="n"/>
    </row>
    <row r="67">
      <c r="A67" s="10" t="n">
        <v>17</v>
      </c>
      <c r="B67" s="10">
        <f>'By Round'!A63</f>
        <v/>
      </c>
      <c r="C67" s="10">
        <f>'By Round'!B63</f>
        <v/>
      </c>
      <c r="D67" s="10">
        <f>'By Round'!C63</f>
        <v/>
      </c>
      <c r="E67" s="10">
        <f>'By Round'!D63</f>
        <v/>
      </c>
      <c r="F67" s="10">
        <f>IF(ISBLANK('By Round'!F64),"",'By Round'!F64)</f>
        <v/>
      </c>
      <c r="G67">
        <f>IF(ISBLANK('By Round'!G64),"",'By Round'!G64)</f>
        <v/>
      </c>
      <c r="H67">
        <f>IF(ISBLANK('By Round'!H64),"",'By Round'!H64)</f>
        <v/>
      </c>
      <c r="I67">
        <f>IF(ISBLANK('By Round'!I64),"",'By Round'!I64)</f>
        <v/>
      </c>
      <c r="J67">
        <f>IF(ISBLANK('By Round'!J64),"",'By Round'!J64)</f>
        <v/>
      </c>
      <c r="K67">
        <f>IF(ISBLANK('By Round'!K64),"",'By Round'!K64)</f>
        <v/>
      </c>
      <c r="L67">
        <f>IF(ISBLANK('By Round'!L64),"",'By Round'!L64)</f>
        <v/>
      </c>
      <c r="M67" s="11">
        <f>IF(ISBLANK('By Round'!M64),"",'By Round'!M64)</f>
        <v/>
      </c>
      <c r="N67">
        <f>IF(ISBLANK('By Round'!N64),"",'By Round'!N64)</f>
        <v/>
      </c>
      <c r="O67">
        <f>IF(ISBLANK('By Round'!O64),"",'By Round'!O64)</f>
        <v/>
      </c>
      <c r="P67">
        <f>IF(ISBLANK('By Round'!P64),"",'By Round'!P64)</f>
        <v/>
      </c>
      <c r="Q67">
        <f>IF(ISBLANK('By Round'!Q64),"",'By Round'!Q64)</f>
        <v/>
      </c>
      <c r="R67">
        <f>IF(ISBLANK('By Round'!R64),"",'By Round'!R64)</f>
        <v/>
      </c>
      <c r="S67" s="11">
        <f>IF(ISBLANK('By Round'!S64),"",'By Round'!S64)</f>
        <v/>
      </c>
      <c r="T67">
        <f>IF(ISBLANK('By Round'!T64),"",'By Round'!T64)</f>
        <v/>
      </c>
      <c r="U67" s="11">
        <f>IF(ISBLANK('By Round'!U64),"",'By Round'!U64)</f>
        <v/>
      </c>
      <c r="V67">
        <f>IF(ISBLANK('By Round'!V64),"",'By Round'!V64)</f>
        <v/>
      </c>
      <c r="W67">
        <f>IF(ISBLANK('By Round'!W64),"",'By Round'!W64)</f>
        <v/>
      </c>
      <c r="X67">
        <f>IF(ISBLANK('By Round'!X64),"",'By Round'!X64)</f>
        <v/>
      </c>
      <c r="Y67" s="11" t="n"/>
    </row>
    <row r="68">
      <c r="B68" s="10">
        <f>'By Round'!A15</f>
        <v/>
      </c>
      <c r="C68" s="10">
        <f>'By Round'!B24</f>
        <v/>
      </c>
      <c r="D68" s="10">
        <f>'By Round'!C24</f>
        <v/>
      </c>
      <c r="E68" s="10">
        <f>'By Round'!D24</f>
        <v/>
      </c>
      <c r="F68" s="10">
        <f>IF(ISBLANK('By Round'!F25),"",'By Round'!F25)</f>
        <v/>
      </c>
      <c r="G68">
        <f>IF(ISBLANK('By Round'!G25),"",'By Round'!G25)</f>
        <v/>
      </c>
      <c r="H68">
        <f>IF(ISBLANK('By Round'!H25),"",'By Round'!H25)</f>
        <v/>
      </c>
      <c r="I68">
        <f>IF(ISBLANK('By Round'!I25),"",'By Round'!I25)</f>
        <v/>
      </c>
      <c r="J68">
        <f>IF(ISBLANK('By Round'!J25),"",'By Round'!J25)</f>
        <v/>
      </c>
      <c r="K68">
        <f>IF(ISBLANK('By Round'!K25),"",'By Round'!K25)</f>
        <v/>
      </c>
      <c r="L68">
        <f>IF(ISBLANK('By Round'!L25),"",'By Round'!L25)</f>
        <v/>
      </c>
      <c r="M68" s="12">
        <f>AVERAGE(Y68:Z68)</f>
        <v/>
      </c>
      <c r="N68" s="13">
        <f>AVERAGE(AA68:AB68)</f>
        <v/>
      </c>
      <c r="O68" s="14">
        <f>IF(COUNT(U68:V68)&gt;0,Q68/COUNT(U68:V68),0.5)</f>
        <v/>
      </c>
      <c r="P68" s="14">
        <f>IF(COUNT(W68:X68)&gt;0,R68/COUNT(W68:X68),0.5)</f>
        <v/>
      </c>
      <c r="Q68" s="5">
        <f>SUM(U68:V68)</f>
        <v/>
      </c>
      <c r="R68" s="5">
        <f>SUM(W68:X68)</f>
        <v/>
      </c>
      <c r="S68" s="11">
        <f>IF(ISNUMBER(K68),K68,IF(ISNUMBER(L68),-L68,""))</f>
        <v/>
      </c>
      <c r="T68">
        <f>IF(ISNUMBER(L68),L68,IF(ISNUMBER(K68),-K68,""))</f>
        <v/>
      </c>
      <c r="U68" s="11">
        <f>IF(ISNUMBER(S68),IF(ISNUMBER(S69),IF(S68&gt;S69,1.0,IF(S68=S69,0.5,0.0)),0.5),0.5)</f>
        <v/>
      </c>
      <c r="V68">
        <f>IF(ISNUMBER(S68),IF(ISNUMBER(S70),IF(S68&gt;S70,1.0,IF(S68=S70,0.5,0.0)),0.5),0.5)</f>
        <v/>
      </c>
      <c r="W68">
        <f>IF(ISNUMBER(T68),IF(ISNUMBER(T69),IF(T68&gt;T69,1.0,IF(T68=T69,0.5,0.0)),0.5),0.5)</f>
        <v/>
      </c>
      <c r="X68">
        <f>IF(ISNUMBER(T68),IF(ISNUMBER(T70),IF(T68&gt;T70,1.0,IF(T68=T70,0.5,0.0)),0.5),0.5)</f>
        <v/>
      </c>
      <c r="Y68" s="11">
        <f>IF(AND(ISNUMBER(S68),ISNUMBER(S69)),VLOOKUP(ABS(S68-S69),'IMP Table'!$A$2:$C$26,3)*SIGN(S68-S69),0)</f>
        <v/>
      </c>
      <c r="Z68">
        <f>IF(AND(ISNUMBER(S68),ISNUMBER(S70)),VLOOKUP(ABS(S68-S70),'IMP Table'!$A$2:$C$26,3)*SIGN(S68-S70),0)</f>
        <v/>
      </c>
      <c r="AA68">
        <f>IF(AND(ISNUMBER(T68),ISNUMBER(T69)),VLOOKUP(ABS(T68-T69),'IMP Table'!$A$2:$C$26,3)*SIGN(T68-T69),0)</f>
        <v/>
      </c>
      <c r="AB68">
        <f>IF(AND(ISNUMBER(T68),ISNUMBER(T70)),VLOOKUP(ABS(T68-T70),'IMP Table'!$A$2:$C$26,3)*SIGN(T68-T70),0)</f>
        <v/>
      </c>
    </row>
    <row r="69">
      <c r="B69" s="10">
        <f>'By Round'!A51</f>
        <v/>
      </c>
      <c r="C69" s="10">
        <f>'By Round'!B54</f>
        <v/>
      </c>
      <c r="D69" s="10">
        <f>'By Round'!C54</f>
        <v/>
      </c>
      <c r="E69" s="10">
        <f>'By Round'!D54</f>
        <v/>
      </c>
      <c r="F69" s="10">
        <f>IF(ISBLANK('By Round'!F55),"",'By Round'!F55)</f>
        <v/>
      </c>
      <c r="G69">
        <f>IF(ISBLANK('By Round'!G55),"",'By Round'!G55)</f>
        <v/>
      </c>
      <c r="H69">
        <f>IF(ISBLANK('By Round'!H55),"",'By Round'!H55)</f>
        <v/>
      </c>
      <c r="I69">
        <f>IF(ISBLANK('By Round'!I55),"",'By Round'!I55)</f>
        <v/>
      </c>
      <c r="J69">
        <f>IF(ISBLANK('By Round'!J55),"",'By Round'!J55)</f>
        <v/>
      </c>
      <c r="K69">
        <f>IF(ISBLANK('By Round'!K55),"",'By Round'!K55)</f>
        <v/>
      </c>
      <c r="L69">
        <f>IF(ISBLANK('By Round'!L55),"",'By Round'!L55)</f>
        <v/>
      </c>
      <c r="M69" s="12">
        <f>AVERAGE(Y69:Z69)</f>
        <v/>
      </c>
      <c r="N69" s="13">
        <f>AVERAGE(AA69:AB69)</f>
        <v/>
      </c>
      <c r="O69" s="14">
        <f>IF(COUNT(U69:V69)&gt;0,Q69/COUNT(U69:V69),0.5)</f>
        <v/>
      </c>
      <c r="P69" s="14">
        <f>IF(COUNT(W69:X69)&gt;0,R69/COUNT(W69:X69),0.5)</f>
        <v/>
      </c>
      <c r="Q69" s="5">
        <f>SUM(U69:V69)</f>
        <v/>
      </c>
      <c r="R69" s="5">
        <f>SUM(W69:X69)</f>
        <v/>
      </c>
      <c r="S69" s="11">
        <f>IF(ISNUMBER(K69),K69,IF(ISNUMBER(L69),-L69,""))</f>
        <v/>
      </c>
      <c r="T69">
        <f>IF(ISNUMBER(L69),L69,IF(ISNUMBER(K69),-K69,""))</f>
        <v/>
      </c>
      <c r="U69" s="11">
        <f>IF(ISNUMBER(S69),IF(ISNUMBER(S68),IF(S69&gt;S68,1.0,IF(S69=S68,0.5,0.0)),0.5),0.5)</f>
        <v/>
      </c>
      <c r="V69">
        <f>IF(ISNUMBER(S69),IF(ISNUMBER(S70),IF(S69&gt;S70,1.0,IF(S69=S70,0.5,0.0)),0.5),0.5)</f>
        <v/>
      </c>
      <c r="W69">
        <f>IF(ISNUMBER(T69),IF(ISNUMBER(T68),IF(T69&gt;T68,1.0,IF(T69=T68,0.5,0.0)),0.5),0.5)</f>
        <v/>
      </c>
      <c r="X69">
        <f>IF(ISNUMBER(T69),IF(ISNUMBER(T70),IF(T69&gt;T70,1.0,IF(T69=T70,0.5,0.0)),0.5),0.5)</f>
        <v/>
      </c>
      <c r="Y69" s="11">
        <f>IF(AND(ISNUMBER(S69),ISNUMBER(S68)),VLOOKUP(ABS(S69-S68),'IMP Table'!$A$2:$C$26,3)*SIGN(S69-S68),0)</f>
        <v/>
      </c>
      <c r="Z69">
        <f>IF(AND(ISNUMBER(S69),ISNUMBER(S70)),VLOOKUP(ABS(S69-S70),'IMP Table'!$A$2:$C$26,3)*SIGN(S69-S70),0)</f>
        <v/>
      </c>
      <c r="AA69">
        <f>IF(AND(ISNUMBER(T69),ISNUMBER(T68)),VLOOKUP(ABS(T69-T68),'IMP Table'!$A$2:$C$26,3)*SIGN(T69-T68),0)</f>
        <v/>
      </c>
      <c r="AB69">
        <f>IF(AND(ISNUMBER(T69),ISNUMBER(T70)),VLOOKUP(ABS(T69-T70),'IMP Table'!$A$2:$C$26,3)*SIGN(T69-T70),0)</f>
        <v/>
      </c>
    </row>
    <row r="70">
      <c r="A70" s="15" t="n"/>
      <c r="B70" s="16">
        <f>'By Round'!A39</f>
        <v/>
      </c>
      <c r="C70" s="16">
        <f>'By Round'!B45</f>
        <v/>
      </c>
      <c r="D70" s="16">
        <f>'By Round'!C45</f>
        <v/>
      </c>
      <c r="E70" s="16">
        <f>'By Round'!D45</f>
        <v/>
      </c>
      <c r="F70" s="16">
        <f>IF(ISBLANK('By Round'!F46),"",'By Round'!F46)</f>
        <v/>
      </c>
      <c r="G70" s="15">
        <f>IF(ISBLANK('By Round'!G46),"",'By Round'!G46)</f>
        <v/>
      </c>
      <c r="H70" s="15">
        <f>IF(ISBLANK('By Round'!H46),"",'By Round'!H46)</f>
        <v/>
      </c>
      <c r="I70" s="15">
        <f>IF(ISBLANK('By Round'!I46),"",'By Round'!I46)</f>
        <v/>
      </c>
      <c r="J70" s="15">
        <f>IF(ISBLANK('By Round'!J46),"",'By Round'!J46)</f>
        <v/>
      </c>
      <c r="K70" s="15">
        <f>IF(ISBLANK('By Round'!K46),"",'By Round'!K46)</f>
        <v/>
      </c>
      <c r="L70" s="15">
        <f>IF(ISBLANK('By Round'!L46),"",'By Round'!L46)</f>
        <v/>
      </c>
      <c r="M70" s="17">
        <f>AVERAGE(Y70:Z70)</f>
        <v/>
      </c>
      <c r="N70" s="18">
        <f>AVERAGE(AA70:AB70)</f>
        <v/>
      </c>
      <c r="O70" s="19">
        <f>IF(COUNT(U70:V70)&gt;0,Q70/COUNT(U70:V70),0.5)</f>
        <v/>
      </c>
      <c r="P70" s="19">
        <f>IF(COUNT(W70:X70)&gt;0,R70/COUNT(W70:X70),0.5)</f>
        <v/>
      </c>
      <c r="Q70" s="20">
        <f>SUM(U70:V70)</f>
        <v/>
      </c>
      <c r="R70" s="20">
        <f>SUM(W70:X70)</f>
        <v/>
      </c>
      <c r="S70" s="21">
        <f>IF(ISNUMBER(K70),K70,IF(ISNUMBER(L70),-L70,""))</f>
        <v/>
      </c>
      <c r="T70" s="15">
        <f>IF(ISNUMBER(L70),L70,IF(ISNUMBER(K70),-K70,""))</f>
        <v/>
      </c>
      <c r="U70" s="21">
        <f>IF(ISNUMBER(S70),IF(ISNUMBER(S68),IF(S70&gt;S68,1.0,IF(S70=S68,0.5,0.0)),0.5),0.5)</f>
        <v/>
      </c>
      <c r="V70" s="15">
        <f>IF(ISNUMBER(S70),IF(ISNUMBER(S69),IF(S70&gt;S69,1.0,IF(S70=S69,0.5,0.0)),0.5),0.5)</f>
        <v/>
      </c>
      <c r="W70" s="15">
        <f>IF(ISNUMBER(T70),IF(ISNUMBER(T68),IF(T70&gt;T68,1.0,IF(T70=T68,0.5,0.0)),0.5),0.5)</f>
        <v/>
      </c>
      <c r="X70" s="15">
        <f>IF(ISNUMBER(T70),IF(ISNUMBER(T69),IF(T70&gt;T69,1.0,IF(T70=T69,0.5,0.0)),0.5),0.5)</f>
        <v/>
      </c>
      <c r="Y70" s="21">
        <f>IF(AND(ISNUMBER(S70),ISNUMBER(S68)),VLOOKUP(ABS(S70-S68),'IMP Table'!$A$2:$C$26,3)*SIGN(S70-S68),0)</f>
        <v/>
      </c>
      <c r="Z70" s="15">
        <f>IF(AND(ISNUMBER(S70),ISNUMBER(S69)),VLOOKUP(ABS(S70-S69),'IMP Table'!$A$2:$C$26,3)*SIGN(S70-S69),0)</f>
        <v/>
      </c>
      <c r="AA70" s="15">
        <f>IF(AND(ISNUMBER(T70),ISNUMBER(T68)),VLOOKUP(ABS(T70-T68),'IMP Table'!$A$2:$C$26,3)*SIGN(T70-T68),0)</f>
        <v/>
      </c>
      <c r="AB70" s="15">
        <f>IF(AND(ISNUMBER(T70),ISNUMBER(T69)),VLOOKUP(ABS(T70-T69),'IMP Table'!$A$2:$C$26,3)*SIGN(T70-T69),0)</f>
        <v/>
      </c>
      <c r="AC70" s="15" t="n"/>
      <c r="AD70" s="15" t="n"/>
      <c r="AE70" s="15" t="n"/>
      <c r="AF70" s="15" t="n"/>
    </row>
    <row r="71">
      <c r="A71" s="10" t="n">
        <v>18</v>
      </c>
      <c r="B71" s="10">
        <f>'By Round'!A63</f>
        <v/>
      </c>
      <c r="C71" s="10">
        <f>'By Round'!B63</f>
        <v/>
      </c>
      <c r="D71" s="10">
        <f>'By Round'!C63</f>
        <v/>
      </c>
      <c r="E71" s="10">
        <f>'By Round'!D63</f>
        <v/>
      </c>
      <c r="F71" s="10">
        <f>IF(ISBLANK('By Round'!F65),"",'By Round'!F65)</f>
        <v/>
      </c>
      <c r="G71">
        <f>IF(ISBLANK('By Round'!G65),"",'By Round'!G65)</f>
        <v/>
      </c>
      <c r="H71">
        <f>IF(ISBLANK('By Round'!H65),"",'By Round'!H65)</f>
        <v/>
      </c>
      <c r="I71">
        <f>IF(ISBLANK('By Round'!I65),"",'By Round'!I65)</f>
        <v/>
      </c>
      <c r="J71">
        <f>IF(ISBLANK('By Round'!J65),"",'By Round'!J65)</f>
        <v/>
      </c>
      <c r="K71">
        <f>IF(ISBLANK('By Round'!K65),"",'By Round'!K65)</f>
        <v/>
      </c>
      <c r="L71">
        <f>IF(ISBLANK('By Round'!L65),"",'By Round'!L65)</f>
        <v/>
      </c>
      <c r="M71" s="11">
        <f>IF(ISBLANK('By Round'!M65),"",'By Round'!M65)</f>
        <v/>
      </c>
      <c r="N71">
        <f>IF(ISBLANK('By Round'!N65),"",'By Round'!N65)</f>
        <v/>
      </c>
      <c r="O71">
        <f>IF(ISBLANK('By Round'!O65),"",'By Round'!O65)</f>
        <v/>
      </c>
      <c r="P71">
        <f>IF(ISBLANK('By Round'!P65),"",'By Round'!P65)</f>
        <v/>
      </c>
      <c r="Q71">
        <f>IF(ISBLANK('By Round'!Q65),"",'By Round'!Q65)</f>
        <v/>
      </c>
      <c r="R71">
        <f>IF(ISBLANK('By Round'!R65),"",'By Round'!R65)</f>
        <v/>
      </c>
      <c r="S71" s="11">
        <f>IF(ISBLANK('By Round'!S65),"",'By Round'!S65)</f>
        <v/>
      </c>
      <c r="T71">
        <f>IF(ISBLANK('By Round'!T65),"",'By Round'!T65)</f>
        <v/>
      </c>
      <c r="U71" s="11">
        <f>IF(ISBLANK('By Round'!U65),"",'By Round'!U65)</f>
        <v/>
      </c>
      <c r="V71">
        <f>IF(ISBLANK('By Round'!V65),"",'By Round'!V65)</f>
        <v/>
      </c>
      <c r="W71">
        <f>IF(ISBLANK('By Round'!W65),"",'By Round'!W65)</f>
        <v/>
      </c>
      <c r="X71">
        <f>IF(ISBLANK('By Round'!X65),"",'By Round'!X65)</f>
        <v/>
      </c>
      <c r="Y71" s="11" t="n"/>
    </row>
    <row r="72">
      <c r="B72" s="10">
        <f>'By Round'!A15</f>
        <v/>
      </c>
      <c r="C72" s="10">
        <f>'By Round'!B24</f>
        <v/>
      </c>
      <c r="D72" s="10">
        <f>'By Round'!C24</f>
        <v/>
      </c>
      <c r="E72" s="10">
        <f>'By Round'!D24</f>
        <v/>
      </c>
      <c r="F72" s="10">
        <f>IF(ISBLANK('By Round'!F26),"",'By Round'!F26)</f>
        <v/>
      </c>
      <c r="G72">
        <f>IF(ISBLANK('By Round'!G26),"",'By Round'!G26)</f>
        <v/>
      </c>
      <c r="H72">
        <f>IF(ISBLANK('By Round'!H26),"",'By Round'!H26)</f>
        <v/>
      </c>
      <c r="I72">
        <f>IF(ISBLANK('By Round'!I26),"",'By Round'!I26)</f>
        <v/>
      </c>
      <c r="J72">
        <f>IF(ISBLANK('By Round'!J26),"",'By Round'!J26)</f>
        <v/>
      </c>
      <c r="K72">
        <f>IF(ISBLANK('By Round'!K26),"",'By Round'!K26)</f>
        <v/>
      </c>
      <c r="L72">
        <f>IF(ISBLANK('By Round'!L26),"",'By Round'!L26)</f>
        <v/>
      </c>
      <c r="M72" s="12">
        <f>AVERAGE(Y72:Z72)</f>
        <v/>
      </c>
      <c r="N72" s="13">
        <f>AVERAGE(AA72:AB72)</f>
        <v/>
      </c>
      <c r="O72" s="14">
        <f>IF(COUNT(U72:V72)&gt;0,Q72/COUNT(U72:V72),0.5)</f>
        <v/>
      </c>
      <c r="P72" s="14">
        <f>IF(COUNT(W72:X72)&gt;0,R72/COUNT(W72:X72),0.5)</f>
        <v/>
      </c>
      <c r="Q72" s="5">
        <f>SUM(U72:V72)</f>
        <v/>
      </c>
      <c r="R72" s="5">
        <f>SUM(W72:X72)</f>
        <v/>
      </c>
      <c r="S72" s="11">
        <f>IF(ISNUMBER(K72),K72,IF(ISNUMBER(L72),-L72,""))</f>
        <v/>
      </c>
      <c r="T72">
        <f>IF(ISNUMBER(L72),L72,IF(ISNUMBER(K72),-K72,""))</f>
        <v/>
      </c>
      <c r="U72" s="11">
        <f>IF(ISNUMBER(S72),IF(ISNUMBER(S73),IF(S72&gt;S73,1.0,IF(S72=S73,0.5,0.0)),0.5),0.5)</f>
        <v/>
      </c>
      <c r="V72">
        <f>IF(ISNUMBER(S72),IF(ISNUMBER(S74),IF(S72&gt;S74,1.0,IF(S72=S74,0.5,0.0)),0.5),0.5)</f>
        <v/>
      </c>
      <c r="W72">
        <f>IF(ISNUMBER(T72),IF(ISNUMBER(T73),IF(T72&gt;T73,1.0,IF(T72=T73,0.5,0.0)),0.5),0.5)</f>
        <v/>
      </c>
      <c r="X72">
        <f>IF(ISNUMBER(T72),IF(ISNUMBER(T74),IF(T72&gt;T74,1.0,IF(T72=T74,0.5,0.0)),0.5),0.5)</f>
        <v/>
      </c>
      <c r="Y72" s="11">
        <f>IF(AND(ISNUMBER(S72),ISNUMBER(S73)),VLOOKUP(ABS(S72-S73),'IMP Table'!$A$2:$C$26,3)*SIGN(S72-S73),0)</f>
        <v/>
      </c>
      <c r="Z72">
        <f>IF(AND(ISNUMBER(S72),ISNUMBER(S74)),VLOOKUP(ABS(S72-S74),'IMP Table'!$A$2:$C$26,3)*SIGN(S72-S74),0)</f>
        <v/>
      </c>
      <c r="AA72">
        <f>IF(AND(ISNUMBER(T72),ISNUMBER(T73)),VLOOKUP(ABS(T72-T73),'IMP Table'!$A$2:$C$26,3)*SIGN(T72-T73),0)</f>
        <v/>
      </c>
      <c r="AB72">
        <f>IF(AND(ISNUMBER(T72),ISNUMBER(T74)),VLOOKUP(ABS(T72-T74),'IMP Table'!$A$2:$C$26,3)*SIGN(T72-T74),0)</f>
        <v/>
      </c>
    </row>
    <row r="73">
      <c r="B73" s="10">
        <f>'By Round'!A51</f>
        <v/>
      </c>
      <c r="C73" s="10">
        <f>'By Round'!B54</f>
        <v/>
      </c>
      <c r="D73" s="10">
        <f>'By Round'!C54</f>
        <v/>
      </c>
      <c r="E73" s="10">
        <f>'By Round'!D54</f>
        <v/>
      </c>
      <c r="F73" s="10">
        <f>IF(ISBLANK('By Round'!F56),"",'By Round'!F56)</f>
        <v/>
      </c>
      <c r="G73">
        <f>IF(ISBLANK('By Round'!G56),"",'By Round'!G56)</f>
        <v/>
      </c>
      <c r="H73">
        <f>IF(ISBLANK('By Round'!H56),"",'By Round'!H56)</f>
        <v/>
      </c>
      <c r="I73">
        <f>IF(ISBLANK('By Round'!I56),"",'By Round'!I56)</f>
        <v/>
      </c>
      <c r="J73">
        <f>IF(ISBLANK('By Round'!J56),"",'By Round'!J56)</f>
        <v/>
      </c>
      <c r="K73">
        <f>IF(ISBLANK('By Round'!K56),"",'By Round'!K56)</f>
        <v/>
      </c>
      <c r="L73">
        <f>IF(ISBLANK('By Round'!L56),"",'By Round'!L56)</f>
        <v/>
      </c>
      <c r="M73" s="12">
        <f>AVERAGE(Y73:Z73)</f>
        <v/>
      </c>
      <c r="N73" s="13">
        <f>AVERAGE(AA73:AB73)</f>
        <v/>
      </c>
      <c r="O73" s="14">
        <f>IF(COUNT(U73:V73)&gt;0,Q73/COUNT(U73:V73),0.5)</f>
        <v/>
      </c>
      <c r="P73" s="14">
        <f>IF(COUNT(W73:X73)&gt;0,R73/COUNT(W73:X73),0.5)</f>
        <v/>
      </c>
      <c r="Q73" s="5">
        <f>SUM(U73:V73)</f>
        <v/>
      </c>
      <c r="R73" s="5">
        <f>SUM(W73:X73)</f>
        <v/>
      </c>
      <c r="S73" s="11">
        <f>IF(ISNUMBER(K73),K73,IF(ISNUMBER(L73),-L73,""))</f>
        <v/>
      </c>
      <c r="T73">
        <f>IF(ISNUMBER(L73),L73,IF(ISNUMBER(K73),-K73,""))</f>
        <v/>
      </c>
      <c r="U73" s="11">
        <f>IF(ISNUMBER(S73),IF(ISNUMBER(S72),IF(S73&gt;S72,1.0,IF(S73=S72,0.5,0.0)),0.5),0.5)</f>
        <v/>
      </c>
      <c r="V73">
        <f>IF(ISNUMBER(S73),IF(ISNUMBER(S74),IF(S73&gt;S74,1.0,IF(S73=S74,0.5,0.0)),0.5),0.5)</f>
        <v/>
      </c>
      <c r="W73">
        <f>IF(ISNUMBER(T73),IF(ISNUMBER(T72),IF(T73&gt;T72,1.0,IF(T73=T72,0.5,0.0)),0.5),0.5)</f>
        <v/>
      </c>
      <c r="X73">
        <f>IF(ISNUMBER(T73),IF(ISNUMBER(T74),IF(T73&gt;T74,1.0,IF(T73=T74,0.5,0.0)),0.5),0.5)</f>
        <v/>
      </c>
      <c r="Y73" s="11">
        <f>IF(AND(ISNUMBER(S73),ISNUMBER(S72)),VLOOKUP(ABS(S73-S72),'IMP Table'!$A$2:$C$26,3)*SIGN(S73-S72),0)</f>
        <v/>
      </c>
      <c r="Z73">
        <f>IF(AND(ISNUMBER(S73),ISNUMBER(S74)),VLOOKUP(ABS(S73-S74),'IMP Table'!$A$2:$C$26,3)*SIGN(S73-S74),0)</f>
        <v/>
      </c>
      <c r="AA73">
        <f>IF(AND(ISNUMBER(T73),ISNUMBER(T72)),VLOOKUP(ABS(T73-T72),'IMP Table'!$A$2:$C$26,3)*SIGN(T73-T72),0)</f>
        <v/>
      </c>
      <c r="AB73">
        <f>IF(AND(ISNUMBER(T73),ISNUMBER(T74)),VLOOKUP(ABS(T73-T74),'IMP Table'!$A$2:$C$26,3)*SIGN(T73-T74),0)</f>
        <v/>
      </c>
    </row>
    <row r="74">
      <c r="A74" s="15" t="n"/>
      <c r="B74" s="16">
        <f>'By Round'!A39</f>
        <v/>
      </c>
      <c r="C74" s="16">
        <f>'By Round'!B45</f>
        <v/>
      </c>
      <c r="D74" s="16">
        <f>'By Round'!C45</f>
        <v/>
      </c>
      <c r="E74" s="16">
        <f>'By Round'!D45</f>
        <v/>
      </c>
      <c r="F74" s="16">
        <f>IF(ISBLANK('By Round'!F47),"",'By Round'!F47)</f>
        <v/>
      </c>
      <c r="G74" s="15">
        <f>IF(ISBLANK('By Round'!G47),"",'By Round'!G47)</f>
        <v/>
      </c>
      <c r="H74" s="15">
        <f>IF(ISBLANK('By Round'!H47),"",'By Round'!H47)</f>
        <v/>
      </c>
      <c r="I74" s="15">
        <f>IF(ISBLANK('By Round'!I47),"",'By Round'!I47)</f>
        <v/>
      </c>
      <c r="J74" s="15">
        <f>IF(ISBLANK('By Round'!J47),"",'By Round'!J47)</f>
        <v/>
      </c>
      <c r="K74" s="15">
        <f>IF(ISBLANK('By Round'!K47),"",'By Round'!K47)</f>
        <v/>
      </c>
      <c r="L74" s="15">
        <f>IF(ISBLANK('By Round'!L47),"",'By Round'!L47)</f>
        <v/>
      </c>
      <c r="M74" s="17">
        <f>AVERAGE(Y74:Z74)</f>
        <v/>
      </c>
      <c r="N74" s="18">
        <f>AVERAGE(AA74:AB74)</f>
        <v/>
      </c>
      <c r="O74" s="19">
        <f>IF(COUNT(U74:V74)&gt;0,Q74/COUNT(U74:V74),0.5)</f>
        <v/>
      </c>
      <c r="P74" s="19">
        <f>IF(COUNT(W74:X74)&gt;0,R74/COUNT(W74:X74),0.5)</f>
        <v/>
      </c>
      <c r="Q74" s="20">
        <f>SUM(U74:V74)</f>
        <v/>
      </c>
      <c r="R74" s="20">
        <f>SUM(W74:X74)</f>
        <v/>
      </c>
      <c r="S74" s="21">
        <f>IF(ISNUMBER(K74),K74,IF(ISNUMBER(L74),-L74,""))</f>
        <v/>
      </c>
      <c r="T74" s="15">
        <f>IF(ISNUMBER(L74),L74,IF(ISNUMBER(K74),-K74,""))</f>
        <v/>
      </c>
      <c r="U74" s="21">
        <f>IF(ISNUMBER(S74),IF(ISNUMBER(S72),IF(S74&gt;S72,1.0,IF(S74=S72,0.5,0.0)),0.5),0.5)</f>
        <v/>
      </c>
      <c r="V74" s="15">
        <f>IF(ISNUMBER(S74),IF(ISNUMBER(S73),IF(S74&gt;S73,1.0,IF(S74=S73,0.5,0.0)),0.5),0.5)</f>
        <v/>
      </c>
      <c r="W74" s="15">
        <f>IF(ISNUMBER(T74),IF(ISNUMBER(T72),IF(T74&gt;T72,1.0,IF(T74=T72,0.5,0.0)),0.5),0.5)</f>
        <v/>
      </c>
      <c r="X74" s="15">
        <f>IF(ISNUMBER(T74),IF(ISNUMBER(T73),IF(T74&gt;T73,1.0,IF(T74=T73,0.5,0.0)),0.5),0.5)</f>
        <v/>
      </c>
      <c r="Y74" s="21">
        <f>IF(AND(ISNUMBER(S74),ISNUMBER(S72)),VLOOKUP(ABS(S74-S72),'IMP Table'!$A$2:$C$26,3)*SIGN(S74-S72),0)</f>
        <v/>
      </c>
      <c r="Z74" s="15">
        <f>IF(AND(ISNUMBER(S74),ISNUMBER(S73)),VLOOKUP(ABS(S74-S73),'IMP Table'!$A$2:$C$26,3)*SIGN(S74-S73),0)</f>
        <v/>
      </c>
      <c r="AA74" s="15">
        <f>IF(AND(ISNUMBER(T74),ISNUMBER(T72)),VLOOKUP(ABS(T74-T72),'IMP Table'!$A$2:$C$26,3)*SIGN(T74-T72),0)</f>
        <v/>
      </c>
      <c r="AB74" s="15">
        <f>IF(AND(ISNUMBER(T74),ISNUMBER(T73)),VLOOKUP(ABS(T74-T73),'IMP Table'!$A$2:$C$26,3)*SIGN(T74-T73),0)</f>
        <v/>
      </c>
      <c r="AC74" s="15" t="n"/>
      <c r="AD74" s="15" t="n"/>
      <c r="AE74" s="15" t="n"/>
      <c r="AF74" s="15" t="n"/>
    </row>
    <row r="75">
      <c r="A75" s="10" t="n">
        <v>19</v>
      </c>
      <c r="B75" s="10">
        <f>'By Round'!A75</f>
        <v/>
      </c>
      <c r="C75" s="10">
        <f>'By Round'!B75</f>
        <v/>
      </c>
      <c r="D75" s="10">
        <f>'By Round'!C75</f>
        <v/>
      </c>
      <c r="E75" s="10">
        <f>'By Round'!D75</f>
        <v/>
      </c>
      <c r="F75" s="10">
        <f>IF(ISBLANK('By Round'!F75),"",'By Round'!F75)</f>
        <v/>
      </c>
      <c r="G75">
        <f>IF(ISBLANK('By Round'!G75),"",'By Round'!G75)</f>
        <v/>
      </c>
      <c r="H75">
        <f>IF(ISBLANK('By Round'!H75),"",'By Round'!H75)</f>
        <v/>
      </c>
      <c r="I75">
        <f>IF(ISBLANK('By Round'!I75),"",'By Round'!I75)</f>
        <v/>
      </c>
      <c r="J75">
        <f>IF(ISBLANK('By Round'!J75),"",'By Round'!J75)</f>
        <v/>
      </c>
      <c r="K75">
        <f>IF(ISBLANK('By Round'!K75),"",'By Round'!K75)</f>
        <v/>
      </c>
      <c r="L75">
        <f>IF(ISBLANK('By Round'!L75),"",'By Round'!L75)</f>
        <v/>
      </c>
      <c r="M75" s="11">
        <f>IF(ISBLANK('By Round'!M75),"",'By Round'!M75)</f>
        <v/>
      </c>
      <c r="N75">
        <f>IF(ISBLANK('By Round'!N75),"",'By Round'!N75)</f>
        <v/>
      </c>
      <c r="O75">
        <f>IF(ISBLANK('By Round'!O75),"",'By Round'!O75)</f>
        <v/>
      </c>
      <c r="P75">
        <f>IF(ISBLANK('By Round'!P75),"",'By Round'!P75)</f>
        <v/>
      </c>
      <c r="Q75">
        <f>IF(ISBLANK('By Round'!Q75),"",'By Round'!Q75)</f>
        <v/>
      </c>
      <c r="R75">
        <f>IF(ISBLANK('By Round'!R75),"",'By Round'!R75)</f>
        <v/>
      </c>
      <c r="S75" s="11">
        <f>IF(ISBLANK('By Round'!S75),"",'By Round'!S75)</f>
        <v/>
      </c>
      <c r="T75">
        <f>IF(ISBLANK('By Round'!T75),"",'By Round'!T75)</f>
        <v/>
      </c>
      <c r="U75" s="11">
        <f>IF(ISBLANK('By Round'!U75),"",'By Round'!U75)</f>
        <v/>
      </c>
      <c r="V75">
        <f>IF(ISBLANK('By Round'!V75),"",'By Round'!V75)</f>
        <v/>
      </c>
      <c r="W75">
        <f>IF(ISBLANK('By Round'!W75),"",'By Round'!W75)</f>
        <v/>
      </c>
      <c r="X75">
        <f>IF(ISBLANK('By Round'!X75),"",'By Round'!X75)</f>
        <v/>
      </c>
      <c r="Y75" s="11" t="n"/>
    </row>
    <row r="76">
      <c r="B76" s="10">
        <f>'By Round'!A51</f>
        <v/>
      </c>
      <c r="C76" s="10">
        <f>'By Round'!B57</f>
        <v/>
      </c>
      <c r="D76" s="10">
        <f>'By Round'!C57</f>
        <v/>
      </c>
      <c r="E76" s="10">
        <f>'By Round'!D57</f>
        <v/>
      </c>
      <c r="F76" s="10">
        <f>IF(ISBLANK('By Round'!F57),"",'By Round'!F57)</f>
        <v/>
      </c>
      <c r="G76">
        <f>IF(ISBLANK('By Round'!G57),"",'By Round'!G57)</f>
        <v/>
      </c>
      <c r="H76">
        <f>IF(ISBLANK('By Round'!H57),"",'By Round'!H57)</f>
        <v/>
      </c>
      <c r="I76">
        <f>IF(ISBLANK('By Round'!I57),"",'By Round'!I57)</f>
        <v/>
      </c>
      <c r="J76">
        <f>IF(ISBLANK('By Round'!J57),"",'By Round'!J57)</f>
        <v/>
      </c>
      <c r="K76">
        <f>IF(ISBLANK('By Round'!K57),"",'By Round'!K57)</f>
        <v/>
      </c>
      <c r="L76">
        <f>IF(ISBLANK('By Round'!L57),"",'By Round'!L57)</f>
        <v/>
      </c>
      <c r="M76" s="12">
        <f>AVERAGE(Y76:Z76)</f>
        <v/>
      </c>
      <c r="N76" s="13">
        <f>AVERAGE(AA76:AB76)</f>
        <v/>
      </c>
      <c r="O76" s="14">
        <f>IF(COUNT(U76:V76)&gt;0,Q76/COUNT(U76:V76),0.5)</f>
        <v/>
      </c>
      <c r="P76" s="14">
        <f>IF(COUNT(W76:X76)&gt;0,R76/COUNT(W76:X76),0.5)</f>
        <v/>
      </c>
      <c r="Q76" s="5">
        <f>SUM(U76:V76)</f>
        <v/>
      </c>
      <c r="R76" s="5">
        <f>SUM(W76:X76)</f>
        <v/>
      </c>
      <c r="S76" s="11">
        <f>IF(ISNUMBER(K76),K76,IF(ISNUMBER(L76),-L76,""))</f>
        <v/>
      </c>
      <c r="T76">
        <f>IF(ISNUMBER(L76),L76,IF(ISNUMBER(K76),-K76,""))</f>
        <v/>
      </c>
      <c r="U76" s="11">
        <f>IF(ISNUMBER(S76),IF(ISNUMBER(S77),IF(S76&gt;S77,1.0,IF(S76=S77,0.5,0.0)),0.5),0.5)</f>
        <v/>
      </c>
      <c r="V76">
        <f>IF(ISNUMBER(S76),IF(ISNUMBER(S78),IF(S76&gt;S78,1.0,IF(S76=S78,0.5,0.0)),0.5),0.5)</f>
        <v/>
      </c>
      <c r="W76">
        <f>IF(ISNUMBER(T76),IF(ISNUMBER(T77),IF(T76&gt;T77,1.0,IF(T76=T77,0.5,0.0)),0.5),0.5)</f>
        <v/>
      </c>
      <c r="X76">
        <f>IF(ISNUMBER(T76),IF(ISNUMBER(T78),IF(T76&gt;T78,1.0,IF(T76=T78,0.5,0.0)),0.5),0.5)</f>
        <v/>
      </c>
      <c r="Y76" s="11">
        <f>IF(AND(ISNUMBER(S76),ISNUMBER(S77)),VLOOKUP(ABS(S76-S77),'IMP Table'!$A$2:$C$26,3)*SIGN(S76-S77),0)</f>
        <v/>
      </c>
      <c r="Z76">
        <f>IF(AND(ISNUMBER(S76),ISNUMBER(S78)),VLOOKUP(ABS(S76-S78),'IMP Table'!$A$2:$C$26,3)*SIGN(S76-S78),0)</f>
        <v/>
      </c>
      <c r="AA76">
        <f>IF(AND(ISNUMBER(T76),ISNUMBER(T77)),VLOOKUP(ABS(T76-T77),'IMP Table'!$A$2:$C$26,3)*SIGN(T76-T77),0)</f>
        <v/>
      </c>
      <c r="AB76">
        <f>IF(AND(ISNUMBER(T76),ISNUMBER(T78)),VLOOKUP(ABS(T76-T78),'IMP Table'!$A$2:$C$26,3)*SIGN(T76-T78),0)</f>
        <v/>
      </c>
    </row>
    <row r="77">
      <c r="B77" s="10">
        <f>'By Round'!A27</f>
        <v/>
      </c>
      <c r="C77" s="10">
        <f>'By Round'!B36</f>
        <v/>
      </c>
      <c r="D77" s="10">
        <f>'By Round'!C36</f>
        <v/>
      </c>
      <c r="E77" s="10">
        <f>'By Round'!D36</f>
        <v/>
      </c>
      <c r="F77" s="10">
        <f>IF(ISBLANK('By Round'!F36),"",'By Round'!F36)</f>
        <v/>
      </c>
      <c r="G77">
        <f>IF(ISBLANK('By Round'!G36),"",'By Round'!G36)</f>
        <v/>
      </c>
      <c r="H77">
        <f>IF(ISBLANK('By Round'!H36),"",'By Round'!H36)</f>
        <v/>
      </c>
      <c r="I77">
        <f>IF(ISBLANK('By Round'!I36),"",'By Round'!I36)</f>
        <v/>
      </c>
      <c r="J77">
        <f>IF(ISBLANK('By Round'!J36),"",'By Round'!J36)</f>
        <v/>
      </c>
      <c r="K77">
        <f>IF(ISBLANK('By Round'!K36),"",'By Round'!K36)</f>
        <v/>
      </c>
      <c r="L77">
        <f>IF(ISBLANK('By Round'!L36),"",'By Round'!L36)</f>
        <v/>
      </c>
      <c r="M77" s="12">
        <f>AVERAGE(Y77:Z77)</f>
        <v/>
      </c>
      <c r="N77" s="13">
        <f>AVERAGE(AA77:AB77)</f>
        <v/>
      </c>
      <c r="O77" s="14">
        <f>IF(COUNT(U77:V77)&gt;0,Q77/COUNT(U77:V77),0.5)</f>
        <v/>
      </c>
      <c r="P77" s="14">
        <f>IF(COUNT(W77:X77)&gt;0,R77/COUNT(W77:X77),0.5)</f>
        <v/>
      </c>
      <c r="Q77" s="5">
        <f>SUM(U77:V77)</f>
        <v/>
      </c>
      <c r="R77" s="5">
        <f>SUM(W77:X77)</f>
        <v/>
      </c>
      <c r="S77" s="11">
        <f>IF(ISNUMBER(K77),K77,IF(ISNUMBER(L77),-L77,""))</f>
        <v/>
      </c>
      <c r="T77">
        <f>IF(ISNUMBER(L77),L77,IF(ISNUMBER(K77),-K77,""))</f>
        <v/>
      </c>
      <c r="U77" s="11">
        <f>IF(ISNUMBER(S77),IF(ISNUMBER(S76),IF(S77&gt;S76,1.0,IF(S77=S76,0.5,0.0)),0.5),0.5)</f>
        <v/>
      </c>
      <c r="V77">
        <f>IF(ISNUMBER(S77),IF(ISNUMBER(S78),IF(S77&gt;S78,1.0,IF(S77=S78,0.5,0.0)),0.5),0.5)</f>
        <v/>
      </c>
      <c r="W77">
        <f>IF(ISNUMBER(T77),IF(ISNUMBER(T76),IF(T77&gt;T76,1.0,IF(T77=T76,0.5,0.0)),0.5),0.5)</f>
        <v/>
      </c>
      <c r="X77">
        <f>IF(ISNUMBER(T77),IF(ISNUMBER(T78),IF(T77&gt;T78,1.0,IF(T77=T78,0.5,0.0)),0.5),0.5)</f>
        <v/>
      </c>
      <c r="Y77" s="11">
        <f>IF(AND(ISNUMBER(S77),ISNUMBER(S76)),VLOOKUP(ABS(S77-S76),'IMP Table'!$A$2:$C$26,3)*SIGN(S77-S76),0)</f>
        <v/>
      </c>
      <c r="Z77">
        <f>IF(AND(ISNUMBER(S77),ISNUMBER(S78)),VLOOKUP(ABS(S77-S78),'IMP Table'!$A$2:$C$26,3)*SIGN(S77-S78),0)</f>
        <v/>
      </c>
      <c r="AA77">
        <f>IF(AND(ISNUMBER(T77),ISNUMBER(T76)),VLOOKUP(ABS(T77-T76),'IMP Table'!$A$2:$C$26,3)*SIGN(T77-T76),0)</f>
        <v/>
      </c>
      <c r="AB77">
        <f>IF(AND(ISNUMBER(T77),ISNUMBER(T78)),VLOOKUP(ABS(T77-T78),'IMP Table'!$A$2:$C$26,3)*SIGN(T77-T78),0)</f>
        <v/>
      </c>
    </row>
    <row r="78">
      <c r="A78" s="15" t="n"/>
      <c r="B78" s="16">
        <f>'By Round'!A63</f>
        <v/>
      </c>
      <c r="C78" s="16">
        <f>'By Round'!B66</f>
        <v/>
      </c>
      <c r="D78" s="16">
        <f>'By Round'!C66</f>
        <v/>
      </c>
      <c r="E78" s="16">
        <f>'By Round'!D66</f>
        <v/>
      </c>
      <c r="F78" s="16">
        <f>IF(ISBLANK('By Round'!F66),"",'By Round'!F66)</f>
        <v/>
      </c>
      <c r="G78" s="15">
        <f>IF(ISBLANK('By Round'!G66),"",'By Round'!G66)</f>
        <v/>
      </c>
      <c r="H78" s="15">
        <f>IF(ISBLANK('By Round'!H66),"",'By Round'!H66)</f>
        <v/>
      </c>
      <c r="I78" s="15">
        <f>IF(ISBLANK('By Round'!I66),"",'By Round'!I66)</f>
        <v/>
      </c>
      <c r="J78" s="15">
        <f>IF(ISBLANK('By Round'!J66),"",'By Round'!J66)</f>
        <v/>
      </c>
      <c r="K78" s="15">
        <f>IF(ISBLANK('By Round'!K66),"",'By Round'!K66)</f>
        <v/>
      </c>
      <c r="L78" s="15">
        <f>IF(ISBLANK('By Round'!L66),"",'By Round'!L66)</f>
        <v/>
      </c>
      <c r="M78" s="17">
        <f>AVERAGE(Y78:Z78)</f>
        <v/>
      </c>
      <c r="N78" s="18">
        <f>AVERAGE(AA78:AB78)</f>
        <v/>
      </c>
      <c r="O78" s="19">
        <f>IF(COUNT(U78:V78)&gt;0,Q78/COUNT(U78:V78),0.5)</f>
        <v/>
      </c>
      <c r="P78" s="19">
        <f>IF(COUNT(W78:X78)&gt;0,R78/COUNT(W78:X78),0.5)</f>
        <v/>
      </c>
      <c r="Q78" s="20">
        <f>SUM(U78:V78)</f>
        <v/>
      </c>
      <c r="R78" s="20">
        <f>SUM(W78:X78)</f>
        <v/>
      </c>
      <c r="S78" s="21">
        <f>IF(ISNUMBER(K78),K78,IF(ISNUMBER(L78),-L78,""))</f>
        <v/>
      </c>
      <c r="T78" s="15">
        <f>IF(ISNUMBER(L78),L78,IF(ISNUMBER(K78),-K78,""))</f>
        <v/>
      </c>
      <c r="U78" s="21">
        <f>IF(ISNUMBER(S78),IF(ISNUMBER(S76),IF(S78&gt;S76,1.0,IF(S78=S76,0.5,0.0)),0.5),0.5)</f>
        <v/>
      </c>
      <c r="V78" s="15">
        <f>IF(ISNUMBER(S78),IF(ISNUMBER(S77),IF(S78&gt;S77,1.0,IF(S78=S77,0.5,0.0)),0.5),0.5)</f>
        <v/>
      </c>
      <c r="W78" s="15">
        <f>IF(ISNUMBER(T78),IF(ISNUMBER(T76),IF(T78&gt;T76,1.0,IF(T78=T76,0.5,0.0)),0.5),0.5)</f>
        <v/>
      </c>
      <c r="X78" s="15">
        <f>IF(ISNUMBER(T78),IF(ISNUMBER(T77),IF(T78&gt;T77,1.0,IF(T78=T77,0.5,0.0)),0.5),0.5)</f>
        <v/>
      </c>
      <c r="Y78" s="21">
        <f>IF(AND(ISNUMBER(S78),ISNUMBER(S76)),VLOOKUP(ABS(S78-S76),'IMP Table'!$A$2:$C$26,3)*SIGN(S78-S76),0)</f>
        <v/>
      </c>
      <c r="Z78" s="15">
        <f>IF(AND(ISNUMBER(S78),ISNUMBER(S77)),VLOOKUP(ABS(S78-S77),'IMP Table'!$A$2:$C$26,3)*SIGN(S78-S77),0)</f>
        <v/>
      </c>
      <c r="AA78" s="15">
        <f>IF(AND(ISNUMBER(T78),ISNUMBER(T76)),VLOOKUP(ABS(T78-T76),'IMP Table'!$A$2:$C$26,3)*SIGN(T78-T76),0)</f>
        <v/>
      </c>
      <c r="AB78" s="15">
        <f>IF(AND(ISNUMBER(T78),ISNUMBER(T77)),VLOOKUP(ABS(T78-T77),'IMP Table'!$A$2:$C$26,3)*SIGN(T78-T77),0)</f>
        <v/>
      </c>
      <c r="AC78" s="15" t="n"/>
      <c r="AD78" s="15" t="n"/>
      <c r="AE78" s="15" t="n"/>
      <c r="AF78" s="15" t="n"/>
    </row>
    <row r="79">
      <c r="A79" s="10" t="n">
        <v>20</v>
      </c>
      <c r="B79" s="10">
        <f>'By Round'!A75</f>
        <v/>
      </c>
      <c r="C79" s="10">
        <f>'By Round'!B75</f>
        <v/>
      </c>
      <c r="D79" s="10">
        <f>'By Round'!C75</f>
        <v/>
      </c>
      <c r="E79" s="10">
        <f>'By Round'!D75</f>
        <v/>
      </c>
      <c r="F79" s="10">
        <f>IF(ISBLANK('By Round'!F76),"",'By Round'!F76)</f>
        <v/>
      </c>
      <c r="G79">
        <f>IF(ISBLANK('By Round'!G76),"",'By Round'!G76)</f>
        <v/>
      </c>
      <c r="H79">
        <f>IF(ISBLANK('By Round'!H76),"",'By Round'!H76)</f>
        <v/>
      </c>
      <c r="I79">
        <f>IF(ISBLANK('By Round'!I76),"",'By Round'!I76)</f>
        <v/>
      </c>
      <c r="J79">
        <f>IF(ISBLANK('By Round'!J76),"",'By Round'!J76)</f>
        <v/>
      </c>
      <c r="K79">
        <f>IF(ISBLANK('By Round'!K76),"",'By Round'!K76)</f>
        <v/>
      </c>
      <c r="L79">
        <f>IF(ISBLANK('By Round'!L76),"",'By Round'!L76)</f>
        <v/>
      </c>
      <c r="M79" s="11">
        <f>IF(ISBLANK('By Round'!M76),"",'By Round'!M76)</f>
        <v/>
      </c>
      <c r="N79">
        <f>IF(ISBLANK('By Round'!N76),"",'By Round'!N76)</f>
        <v/>
      </c>
      <c r="O79">
        <f>IF(ISBLANK('By Round'!O76),"",'By Round'!O76)</f>
        <v/>
      </c>
      <c r="P79">
        <f>IF(ISBLANK('By Round'!P76),"",'By Round'!P76)</f>
        <v/>
      </c>
      <c r="Q79">
        <f>IF(ISBLANK('By Round'!Q76),"",'By Round'!Q76)</f>
        <v/>
      </c>
      <c r="R79">
        <f>IF(ISBLANK('By Round'!R76),"",'By Round'!R76)</f>
        <v/>
      </c>
      <c r="S79" s="11">
        <f>IF(ISBLANK('By Round'!S76),"",'By Round'!S76)</f>
        <v/>
      </c>
      <c r="T79">
        <f>IF(ISBLANK('By Round'!T76),"",'By Round'!T76)</f>
        <v/>
      </c>
      <c r="U79" s="11">
        <f>IF(ISBLANK('By Round'!U76),"",'By Round'!U76)</f>
        <v/>
      </c>
      <c r="V79">
        <f>IF(ISBLANK('By Round'!V76),"",'By Round'!V76)</f>
        <v/>
      </c>
      <c r="W79">
        <f>IF(ISBLANK('By Round'!W76),"",'By Round'!W76)</f>
        <v/>
      </c>
      <c r="X79">
        <f>IF(ISBLANK('By Round'!X76),"",'By Round'!X76)</f>
        <v/>
      </c>
      <c r="Y79" s="11" t="n"/>
    </row>
    <row r="80">
      <c r="B80" s="10">
        <f>'By Round'!A51</f>
        <v/>
      </c>
      <c r="C80" s="10">
        <f>'By Round'!B57</f>
        <v/>
      </c>
      <c r="D80" s="10">
        <f>'By Round'!C57</f>
        <v/>
      </c>
      <c r="E80" s="10">
        <f>'By Round'!D57</f>
        <v/>
      </c>
      <c r="F80" s="10">
        <f>IF(ISBLANK('By Round'!F58),"",'By Round'!F58)</f>
        <v/>
      </c>
      <c r="G80">
        <f>IF(ISBLANK('By Round'!G58),"",'By Round'!G58)</f>
        <v/>
      </c>
      <c r="H80">
        <f>IF(ISBLANK('By Round'!H58),"",'By Round'!H58)</f>
        <v/>
      </c>
      <c r="I80">
        <f>IF(ISBLANK('By Round'!I58),"",'By Round'!I58)</f>
        <v/>
      </c>
      <c r="J80">
        <f>IF(ISBLANK('By Round'!J58),"",'By Round'!J58)</f>
        <v/>
      </c>
      <c r="K80">
        <f>IF(ISBLANK('By Round'!K58),"",'By Round'!K58)</f>
        <v/>
      </c>
      <c r="L80">
        <f>IF(ISBLANK('By Round'!L58),"",'By Round'!L58)</f>
        <v/>
      </c>
      <c r="M80" s="12">
        <f>AVERAGE(Y80:Z80)</f>
        <v/>
      </c>
      <c r="N80" s="13">
        <f>AVERAGE(AA80:AB80)</f>
        <v/>
      </c>
      <c r="O80" s="14">
        <f>IF(COUNT(U80:V80)&gt;0,Q80/COUNT(U80:V80),0.5)</f>
        <v/>
      </c>
      <c r="P80" s="14">
        <f>IF(COUNT(W80:X80)&gt;0,R80/COUNT(W80:X80),0.5)</f>
        <v/>
      </c>
      <c r="Q80" s="5">
        <f>SUM(U80:V80)</f>
        <v/>
      </c>
      <c r="R80" s="5">
        <f>SUM(W80:X80)</f>
        <v/>
      </c>
      <c r="S80" s="11">
        <f>IF(ISNUMBER(K80),K80,IF(ISNUMBER(L80),-L80,""))</f>
        <v/>
      </c>
      <c r="T80">
        <f>IF(ISNUMBER(L80),L80,IF(ISNUMBER(K80),-K80,""))</f>
        <v/>
      </c>
      <c r="U80" s="11">
        <f>IF(ISNUMBER(S80),IF(ISNUMBER(S81),IF(S80&gt;S81,1.0,IF(S80=S81,0.5,0.0)),0.5),0.5)</f>
        <v/>
      </c>
      <c r="V80">
        <f>IF(ISNUMBER(S80),IF(ISNUMBER(S82),IF(S80&gt;S82,1.0,IF(S80=S82,0.5,0.0)),0.5),0.5)</f>
        <v/>
      </c>
      <c r="W80">
        <f>IF(ISNUMBER(T80),IF(ISNUMBER(T81),IF(T80&gt;T81,1.0,IF(T80=T81,0.5,0.0)),0.5),0.5)</f>
        <v/>
      </c>
      <c r="X80">
        <f>IF(ISNUMBER(T80),IF(ISNUMBER(T82),IF(T80&gt;T82,1.0,IF(T80=T82,0.5,0.0)),0.5),0.5)</f>
        <v/>
      </c>
      <c r="Y80" s="11">
        <f>IF(AND(ISNUMBER(S80),ISNUMBER(S81)),VLOOKUP(ABS(S80-S81),'IMP Table'!$A$2:$C$26,3)*SIGN(S80-S81),0)</f>
        <v/>
      </c>
      <c r="Z80">
        <f>IF(AND(ISNUMBER(S80),ISNUMBER(S82)),VLOOKUP(ABS(S80-S82),'IMP Table'!$A$2:$C$26,3)*SIGN(S80-S82),0)</f>
        <v/>
      </c>
      <c r="AA80">
        <f>IF(AND(ISNUMBER(T80),ISNUMBER(T81)),VLOOKUP(ABS(T80-T81),'IMP Table'!$A$2:$C$26,3)*SIGN(T80-T81),0)</f>
        <v/>
      </c>
      <c r="AB80">
        <f>IF(AND(ISNUMBER(T80),ISNUMBER(T82)),VLOOKUP(ABS(T80-T82),'IMP Table'!$A$2:$C$26,3)*SIGN(T80-T82),0)</f>
        <v/>
      </c>
    </row>
    <row r="81">
      <c r="B81" s="10">
        <f>'By Round'!A27</f>
        <v/>
      </c>
      <c r="C81" s="10">
        <f>'By Round'!B36</f>
        <v/>
      </c>
      <c r="D81" s="10">
        <f>'By Round'!C36</f>
        <v/>
      </c>
      <c r="E81" s="10">
        <f>'By Round'!D36</f>
        <v/>
      </c>
      <c r="F81" s="10">
        <f>IF(ISBLANK('By Round'!F37),"",'By Round'!F37)</f>
        <v/>
      </c>
      <c r="G81">
        <f>IF(ISBLANK('By Round'!G37),"",'By Round'!G37)</f>
        <v/>
      </c>
      <c r="H81">
        <f>IF(ISBLANK('By Round'!H37),"",'By Round'!H37)</f>
        <v/>
      </c>
      <c r="I81">
        <f>IF(ISBLANK('By Round'!I37),"",'By Round'!I37)</f>
        <v/>
      </c>
      <c r="J81">
        <f>IF(ISBLANK('By Round'!J37),"",'By Round'!J37)</f>
        <v/>
      </c>
      <c r="K81">
        <f>IF(ISBLANK('By Round'!K37),"",'By Round'!K37)</f>
        <v/>
      </c>
      <c r="L81">
        <f>IF(ISBLANK('By Round'!L37),"",'By Round'!L37)</f>
        <v/>
      </c>
      <c r="M81" s="12">
        <f>AVERAGE(Y81:Z81)</f>
        <v/>
      </c>
      <c r="N81" s="13">
        <f>AVERAGE(AA81:AB81)</f>
        <v/>
      </c>
      <c r="O81" s="14">
        <f>IF(COUNT(U81:V81)&gt;0,Q81/COUNT(U81:V81),0.5)</f>
        <v/>
      </c>
      <c r="P81" s="14">
        <f>IF(COUNT(W81:X81)&gt;0,R81/COUNT(W81:X81),0.5)</f>
        <v/>
      </c>
      <c r="Q81" s="5">
        <f>SUM(U81:V81)</f>
        <v/>
      </c>
      <c r="R81" s="5">
        <f>SUM(W81:X81)</f>
        <v/>
      </c>
      <c r="S81" s="11">
        <f>IF(ISNUMBER(K81),K81,IF(ISNUMBER(L81),-L81,""))</f>
        <v/>
      </c>
      <c r="T81">
        <f>IF(ISNUMBER(L81),L81,IF(ISNUMBER(K81),-K81,""))</f>
        <v/>
      </c>
      <c r="U81" s="11">
        <f>IF(ISNUMBER(S81),IF(ISNUMBER(S80),IF(S81&gt;S80,1.0,IF(S81=S80,0.5,0.0)),0.5),0.5)</f>
        <v/>
      </c>
      <c r="V81">
        <f>IF(ISNUMBER(S81),IF(ISNUMBER(S82),IF(S81&gt;S82,1.0,IF(S81=S82,0.5,0.0)),0.5),0.5)</f>
        <v/>
      </c>
      <c r="W81">
        <f>IF(ISNUMBER(T81),IF(ISNUMBER(T80),IF(T81&gt;T80,1.0,IF(T81=T80,0.5,0.0)),0.5),0.5)</f>
        <v/>
      </c>
      <c r="X81">
        <f>IF(ISNUMBER(T81),IF(ISNUMBER(T82),IF(T81&gt;T82,1.0,IF(T81=T82,0.5,0.0)),0.5),0.5)</f>
        <v/>
      </c>
      <c r="Y81" s="11">
        <f>IF(AND(ISNUMBER(S81),ISNUMBER(S80)),VLOOKUP(ABS(S81-S80),'IMP Table'!$A$2:$C$26,3)*SIGN(S81-S80),0)</f>
        <v/>
      </c>
      <c r="Z81">
        <f>IF(AND(ISNUMBER(S81),ISNUMBER(S82)),VLOOKUP(ABS(S81-S82),'IMP Table'!$A$2:$C$26,3)*SIGN(S81-S82),0)</f>
        <v/>
      </c>
      <c r="AA81">
        <f>IF(AND(ISNUMBER(T81),ISNUMBER(T80)),VLOOKUP(ABS(T81-T80),'IMP Table'!$A$2:$C$26,3)*SIGN(T81-T80),0)</f>
        <v/>
      </c>
      <c r="AB81">
        <f>IF(AND(ISNUMBER(T81),ISNUMBER(T82)),VLOOKUP(ABS(T81-T82),'IMP Table'!$A$2:$C$26,3)*SIGN(T81-T82),0)</f>
        <v/>
      </c>
    </row>
    <row r="82">
      <c r="A82" s="15" t="n"/>
      <c r="B82" s="16">
        <f>'By Round'!A63</f>
        <v/>
      </c>
      <c r="C82" s="16">
        <f>'By Round'!B66</f>
        <v/>
      </c>
      <c r="D82" s="16">
        <f>'By Round'!C66</f>
        <v/>
      </c>
      <c r="E82" s="16">
        <f>'By Round'!D66</f>
        <v/>
      </c>
      <c r="F82" s="16">
        <f>IF(ISBLANK('By Round'!F67),"",'By Round'!F67)</f>
        <v/>
      </c>
      <c r="G82" s="15">
        <f>IF(ISBLANK('By Round'!G67),"",'By Round'!G67)</f>
        <v/>
      </c>
      <c r="H82" s="15">
        <f>IF(ISBLANK('By Round'!H67),"",'By Round'!H67)</f>
        <v/>
      </c>
      <c r="I82" s="15">
        <f>IF(ISBLANK('By Round'!I67),"",'By Round'!I67)</f>
        <v/>
      </c>
      <c r="J82" s="15">
        <f>IF(ISBLANK('By Round'!J67),"",'By Round'!J67)</f>
        <v/>
      </c>
      <c r="K82" s="15">
        <f>IF(ISBLANK('By Round'!K67),"",'By Round'!K67)</f>
        <v/>
      </c>
      <c r="L82" s="15">
        <f>IF(ISBLANK('By Round'!L67),"",'By Round'!L67)</f>
        <v/>
      </c>
      <c r="M82" s="17">
        <f>AVERAGE(Y82:Z82)</f>
        <v/>
      </c>
      <c r="N82" s="18">
        <f>AVERAGE(AA82:AB82)</f>
        <v/>
      </c>
      <c r="O82" s="19">
        <f>IF(COUNT(U82:V82)&gt;0,Q82/COUNT(U82:V82),0.5)</f>
        <v/>
      </c>
      <c r="P82" s="19">
        <f>IF(COUNT(W82:X82)&gt;0,R82/COUNT(W82:X82),0.5)</f>
        <v/>
      </c>
      <c r="Q82" s="20">
        <f>SUM(U82:V82)</f>
        <v/>
      </c>
      <c r="R82" s="20">
        <f>SUM(W82:X82)</f>
        <v/>
      </c>
      <c r="S82" s="21">
        <f>IF(ISNUMBER(K82),K82,IF(ISNUMBER(L82),-L82,""))</f>
        <v/>
      </c>
      <c r="T82" s="15">
        <f>IF(ISNUMBER(L82),L82,IF(ISNUMBER(K82),-K82,""))</f>
        <v/>
      </c>
      <c r="U82" s="21">
        <f>IF(ISNUMBER(S82),IF(ISNUMBER(S80),IF(S82&gt;S80,1.0,IF(S82=S80,0.5,0.0)),0.5),0.5)</f>
        <v/>
      </c>
      <c r="V82" s="15">
        <f>IF(ISNUMBER(S82),IF(ISNUMBER(S81),IF(S82&gt;S81,1.0,IF(S82=S81,0.5,0.0)),0.5),0.5)</f>
        <v/>
      </c>
      <c r="W82" s="15">
        <f>IF(ISNUMBER(T82),IF(ISNUMBER(T80),IF(T82&gt;T80,1.0,IF(T82=T80,0.5,0.0)),0.5),0.5)</f>
        <v/>
      </c>
      <c r="X82" s="15">
        <f>IF(ISNUMBER(T82),IF(ISNUMBER(T81),IF(T82&gt;T81,1.0,IF(T82=T81,0.5,0.0)),0.5),0.5)</f>
        <v/>
      </c>
      <c r="Y82" s="21">
        <f>IF(AND(ISNUMBER(S82),ISNUMBER(S80)),VLOOKUP(ABS(S82-S80),'IMP Table'!$A$2:$C$26,3)*SIGN(S82-S80),0)</f>
        <v/>
      </c>
      <c r="Z82" s="15">
        <f>IF(AND(ISNUMBER(S82),ISNUMBER(S81)),VLOOKUP(ABS(S82-S81),'IMP Table'!$A$2:$C$26,3)*SIGN(S82-S81),0)</f>
        <v/>
      </c>
      <c r="AA82" s="15">
        <f>IF(AND(ISNUMBER(T82),ISNUMBER(T80)),VLOOKUP(ABS(T82-T80),'IMP Table'!$A$2:$C$26,3)*SIGN(T82-T80),0)</f>
        <v/>
      </c>
      <c r="AB82" s="15">
        <f>IF(AND(ISNUMBER(T82),ISNUMBER(T81)),VLOOKUP(ABS(T82-T81),'IMP Table'!$A$2:$C$26,3)*SIGN(T82-T81),0)</f>
        <v/>
      </c>
      <c r="AC82" s="15" t="n"/>
      <c r="AD82" s="15" t="n"/>
      <c r="AE82" s="15" t="n"/>
      <c r="AF82" s="15" t="n"/>
    </row>
    <row r="83">
      <c r="A83" s="10" t="n">
        <v>21</v>
      </c>
      <c r="B83" s="10">
        <f>'By Round'!A75</f>
        <v/>
      </c>
      <c r="C83" s="10">
        <f>'By Round'!B75</f>
        <v/>
      </c>
      <c r="D83" s="10">
        <f>'By Round'!C75</f>
        <v/>
      </c>
      <c r="E83" s="10">
        <f>'By Round'!D75</f>
        <v/>
      </c>
      <c r="F83" s="10">
        <f>IF(ISBLANK('By Round'!F77),"",'By Round'!F77)</f>
        <v/>
      </c>
      <c r="G83">
        <f>IF(ISBLANK('By Round'!G77),"",'By Round'!G77)</f>
        <v/>
      </c>
      <c r="H83">
        <f>IF(ISBLANK('By Round'!H77),"",'By Round'!H77)</f>
        <v/>
      </c>
      <c r="I83">
        <f>IF(ISBLANK('By Round'!I77),"",'By Round'!I77)</f>
        <v/>
      </c>
      <c r="J83">
        <f>IF(ISBLANK('By Round'!J77),"",'By Round'!J77)</f>
        <v/>
      </c>
      <c r="K83">
        <f>IF(ISBLANK('By Round'!K77),"",'By Round'!K77)</f>
        <v/>
      </c>
      <c r="L83">
        <f>IF(ISBLANK('By Round'!L77),"",'By Round'!L77)</f>
        <v/>
      </c>
      <c r="M83" s="11">
        <f>IF(ISBLANK('By Round'!M77),"",'By Round'!M77)</f>
        <v/>
      </c>
      <c r="N83">
        <f>IF(ISBLANK('By Round'!N77),"",'By Round'!N77)</f>
        <v/>
      </c>
      <c r="O83">
        <f>IF(ISBLANK('By Round'!O77),"",'By Round'!O77)</f>
        <v/>
      </c>
      <c r="P83">
        <f>IF(ISBLANK('By Round'!P77),"",'By Round'!P77)</f>
        <v/>
      </c>
      <c r="Q83">
        <f>IF(ISBLANK('By Round'!Q77),"",'By Round'!Q77)</f>
        <v/>
      </c>
      <c r="R83">
        <f>IF(ISBLANK('By Round'!R77),"",'By Round'!R77)</f>
        <v/>
      </c>
      <c r="S83" s="11">
        <f>IF(ISBLANK('By Round'!S77),"",'By Round'!S77)</f>
        <v/>
      </c>
      <c r="T83">
        <f>IF(ISBLANK('By Round'!T77),"",'By Round'!T77)</f>
        <v/>
      </c>
      <c r="U83" s="11">
        <f>IF(ISBLANK('By Round'!U77),"",'By Round'!U77)</f>
        <v/>
      </c>
      <c r="V83">
        <f>IF(ISBLANK('By Round'!V77),"",'By Round'!V77)</f>
        <v/>
      </c>
      <c r="W83">
        <f>IF(ISBLANK('By Round'!W77),"",'By Round'!W77)</f>
        <v/>
      </c>
      <c r="X83">
        <f>IF(ISBLANK('By Round'!X77),"",'By Round'!X77)</f>
        <v/>
      </c>
      <c r="Y83" s="11" t="n"/>
    </row>
    <row r="84">
      <c r="B84" s="10">
        <f>'By Round'!A51</f>
        <v/>
      </c>
      <c r="C84" s="10">
        <f>'By Round'!B57</f>
        <v/>
      </c>
      <c r="D84" s="10">
        <f>'By Round'!C57</f>
        <v/>
      </c>
      <c r="E84" s="10">
        <f>'By Round'!D57</f>
        <v/>
      </c>
      <c r="F84" s="10">
        <f>IF(ISBLANK('By Round'!F59),"",'By Round'!F59)</f>
        <v/>
      </c>
      <c r="G84">
        <f>IF(ISBLANK('By Round'!G59),"",'By Round'!G59)</f>
        <v/>
      </c>
      <c r="H84">
        <f>IF(ISBLANK('By Round'!H59),"",'By Round'!H59)</f>
        <v/>
      </c>
      <c r="I84">
        <f>IF(ISBLANK('By Round'!I59),"",'By Round'!I59)</f>
        <v/>
      </c>
      <c r="J84">
        <f>IF(ISBLANK('By Round'!J59),"",'By Round'!J59)</f>
        <v/>
      </c>
      <c r="K84">
        <f>IF(ISBLANK('By Round'!K59),"",'By Round'!K59)</f>
        <v/>
      </c>
      <c r="L84">
        <f>IF(ISBLANK('By Round'!L59),"",'By Round'!L59)</f>
        <v/>
      </c>
      <c r="M84" s="12">
        <f>AVERAGE(Y84:Z84)</f>
        <v/>
      </c>
      <c r="N84" s="13">
        <f>AVERAGE(AA84:AB84)</f>
        <v/>
      </c>
      <c r="O84" s="14">
        <f>IF(COUNT(U84:V84)&gt;0,Q84/COUNT(U84:V84),0.5)</f>
        <v/>
      </c>
      <c r="P84" s="14">
        <f>IF(COUNT(W84:X84)&gt;0,R84/COUNT(W84:X84),0.5)</f>
        <v/>
      </c>
      <c r="Q84" s="5">
        <f>SUM(U84:V84)</f>
        <v/>
      </c>
      <c r="R84" s="5">
        <f>SUM(W84:X84)</f>
        <v/>
      </c>
      <c r="S84" s="11">
        <f>IF(ISNUMBER(K84),K84,IF(ISNUMBER(L84),-L84,""))</f>
        <v/>
      </c>
      <c r="T84">
        <f>IF(ISNUMBER(L84),L84,IF(ISNUMBER(K84),-K84,""))</f>
        <v/>
      </c>
      <c r="U84" s="11">
        <f>IF(ISNUMBER(S84),IF(ISNUMBER(S85),IF(S84&gt;S85,1.0,IF(S84=S85,0.5,0.0)),0.5),0.5)</f>
        <v/>
      </c>
      <c r="V84">
        <f>IF(ISNUMBER(S84),IF(ISNUMBER(S86),IF(S84&gt;S86,1.0,IF(S84=S86,0.5,0.0)),0.5),0.5)</f>
        <v/>
      </c>
      <c r="W84">
        <f>IF(ISNUMBER(T84),IF(ISNUMBER(T85),IF(T84&gt;T85,1.0,IF(T84=T85,0.5,0.0)),0.5),0.5)</f>
        <v/>
      </c>
      <c r="X84">
        <f>IF(ISNUMBER(T84),IF(ISNUMBER(T86),IF(T84&gt;T86,1.0,IF(T84=T86,0.5,0.0)),0.5),0.5)</f>
        <v/>
      </c>
      <c r="Y84" s="11">
        <f>IF(AND(ISNUMBER(S84),ISNUMBER(S85)),VLOOKUP(ABS(S84-S85),'IMP Table'!$A$2:$C$26,3)*SIGN(S84-S85),0)</f>
        <v/>
      </c>
      <c r="Z84">
        <f>IF(AND(ISNUMBER(S84),ISNUMBER(S86)),VLOOKUP(ABS(S84-S86),'IMP Table'!$A$2:$C$26,3)*SIGN(S84-S86),0)</f>
        <v/>
      </c>
      <c r="AA84">
        <f>IF(AND(ISNUMBER(T84),ISNUMBER(T85)),VLOOKUP(ABS(T84-T85),'IMP Table'!$A$2:$C$26,3)*SIGN(T84-T85),0)</f>
        <v/>
      </c>
      <c r="AB84">
        <f>IF(AND(ISNUMBER(T84),ISNUMBER(T86)),VLOOKUP(ABS(T84-T86),'IMP Table'!$A$2:$C$26,3)*SIGN(T84-T86),0)</f>
        <v/>
      </c>
    </row>
    <row r="85">
      <c r="B85" s="10">
        <f>'By Round'!A27</f>
        <v/>
      </c>
      <c r="C85" s="10">
        <f>'By Round'!B36</f>
        <v/>
      </c>
      <c r="D85" s="10">
        <f>'By Round'!C36</f>
        <v/>
      </c>
      <c r="E85" s="10">
        <f>'By Round'!D36</f>
        <v/>
      </c>
      <c r="F85" s="10">
        <f>IF(ISBLANK('By Round'!F38),"",'By Round'!F38)</f>
        <v/>
      </c>
      <c r="G85">
        <f>IF(ISBLANK('By Round'!G38),"",'By Round'!G38)</f>
        <v/>
      </c>
      <c r="H85">
        <f>IF(ISBLANK('By Round'!H38),"",'By Round'!H38)</f>
        <v/>
      </c>
      <c r="I85">
        <f>IF(ISBLANK('By Round'!I38),"",'By Round'!I38)</f>
        <v/>
      </c>
      <c r="J85">
        <f>IF(ISBLANK('By Round'!J38),"",'By Round'!J38)</f>
        <v/>
      </c>
      <c r="K85">
        <f>IF(ISBLANK('By Round'!K38),"",'By Round'!K38)</f>
        <v/>
      </c>
      <c r="L85">
        <f>IF(ISBLANK('By Round'!L38),"",'By Round'!L38)</f>
        <v/>
      </c>
      <c r="M85" s="12">
        <f>AVERAGE(Y85:Z85)</f>
        <v/>
      </c>
      <c r="N85" s="13">
        <f>AVERAGE(AA85:AB85)</f>
        <v/>
      </c>
      <c r="O85" s="14">
        <f>IF(COUNT(U85:V85)&gt;0,Q85/COUNT(U85:V85),0.5)</f>
        <v/>
      </c>
      <c r="P85" s="14">
        <f>IF(COUNT(W85:X85)&gt;0,R85/COUNT(W85:X85),0.5)</f>
        <v/>
      </c>
      <c r="Q85" s="5">
        <f>SUM(U85:V85)</f>
        <v/>
      </c>
      <c r="R85" s="5">
        <f>SUM(W85:X85)</f>
        <v/>
      </c>
      <c r="S85" s="11">
        <f>IF(ISNUMBER(K85),K85,IF(ISNUMBER(L85),-L85,""))</f>
        <v/>
      </c>
      <c r="T85">
        <f>IF(ISNUMBER(L85),L85,IF(ISNUMBER(K85),-K85,""))</f>
        <v/>
      </c>
      <c r="U85" s="11">
        <f>IF(ISNUMBER(S85),IF(ISNUMBER(S84),IF(S85&gt;S84,1.0,IF(S85=S84,0.5,0.0)),0.5),0.5)</f>
        <v/>
      </c>
      <c r="V85">
        <f>IF(ISNUMBER(S85),IF(ISNUMBER(S86),IF(S85&gt;S86,1.0,IF(S85=S86,0.5,0.0)),0.5),0.5)</f>
        <v/>
      </c>
      <c r="W85">
        <f>IF(ISNUMBER(T85),IF(ISNUMBER(T84),IF(T85&gt;T84,1.0,IF(T85=T84,0.5,0.0)),0.5),0.5)</f>
        <v/>
      </c>
      <c r="X85">
        <f>IF(ISNUMBER(T85),IF(ISNUMBER(T86),IF(T85&gt;T86,1.0,IF(T85=T86,0.5,0.0)),0.5),0.5)</f>
        <v/>
      </c>
      <c r="Y85" s="11">
        <f>IF(AND(ISNUMBER(S85),ISNUMBER(S84)),VLOOKUP(ABS(S85-S84),'IMP Table'!$A$2:$C$26,3)*SIGN(S85-S84),0)</f>
        <v/>
      </c>
      <c r="Z85">
        <f>IF(AND(ISNUMBER(S85),ISNUMBER(S86)),VLOOKUP(ABS(S85-S86),'IMP Table'!$A$2:$C$26,3)*SIGN(S85-S86),0)</f>
        <v/>
      </c>
      <c r="AA85">
        <f>IF(AND(ISNUMBER(T85),ISNUMBER(T84)),VLOOKUP(ABS(T85-T84),'IMP Table'!$A$2:$C$26,3)*SIGN(T85-T84),0)</f>
        <v/>
      </c>
      <c r="AB85">
        <f>IF(AND(ISNUMBER(T85),ISNUMBER(T86)),VLOOKUP(ABS(T85-T86),'IMP Table'!$A$2:$C$26,3)*SIGN(T85-T86),0)</f>
        <v/>
      </c>
    </row>
    <row r="86">
      <c r="A86" s="15" t="n"/>
      <c r="B86" s="16">
        <f>'By Round'!A63</f>
        <v/>
      </c>
      <c r="C86" s="16">
        <f>'By Round'!B66</f>
        <v/>
      </c>
      <c r="D86" s="16">
        <f>'By Round'!C66</f>
        <v/>
      </c>
      <c r="E86" s="16">
        <f>'By Round'!D66</f>
        <v/>
      </c>
      <c r="F86" s="16">
        <f>IF(ISBLANK('By Round'!F68),"",'By Round'!F68)</f>
        <v/>
      </c>
      <c r="G86" s="15">
        <f>IF(ISBLANK('By Round'!G68),"",'By Round'!G68)</f>
        <v/>
      </c>
      <c r="H86" s="15">
        <f>IF(ISBLANK('By Round'!H68),"",'By Round'!H68)</f>
        <v/>
      </c>
      <c r="I86" s="15">
        <f>IF(ISBLANK('By Round'!I68),"",'By Round'!I68)</f>
        <v/>
      </c>
      <c r="J86" s="15">
        <f>IF(ISBLANK('By Round'!J68),"",'By Round'!J68)</f>
        <v/>
      </c>
      <c r="K86" s="15">
        <f>IF(ISBLANK('By Round'!K68),"",'By Round'!K68)</f>
        <v/>
      </c>
      <c r="L86" s="15">
        <f>IF(ISBLANK('By Round'!L68),"",'By Round'!L68)</f>
        <v/>
      </c>
      <c r="M86" s="17">
        <f>AVERAGE(Y86:Z86)</f>
        <v/>
      </c>
      <c r="N86" s="18">
        <f>AVERAGE(AA86:AB86)</f>
        <v/>
      </c>
      <c r="O86" s="19">
        <f>IF(COUNT(U86:V86)&gt;0,Q86/COUNT(U86:V86),0.5)</f>
        <v/>
      </c>
      <c r="P86" s="19">
        <f>IF(COUNT(W86:X86)&gt;0,R86/COUNT(W86:X86),0.5)</f>
        <v/>
      </c>
      <c r="Q86" s="20">
        <f>SUM(U86:V86)</f>
        <v/>
      </c>
      <c r="R86" s="20">
        <f>SUM(W86:X86)</f>
        <v/>
      </c>
      <c r="S86" s="21">
        <f>IF(ISNUMBER(K86),K86,IF(ISNUMBER(L86),-L86,""))</f>
        <v/>
      </c>
      <c r="T86" s="15">
        <f>IF(ISNUMBER(L86),L86,IF(ISNUMBER(K86),-K86,""))</f>
        <v/>
      </c>
      <c r="U86" s="21">
        <f>IF(ISNUMBER(S86),IF(ISNUMBER(S84),IF(S86&gt;S84,1.0,IF(S86=S84,0.5,0.0)),0.5),0.5)</f>
        <v/>
      </c>
      <c r="V86" s="15">
        <f>IF(ISNUMBER(S86),IF(ISNUMBER(S85),IF(S86&gt;S85,1.0,IF(S86=S85,0.5,0.0)),0.5),0.5)</f>
        <v/>
      </c>
      <c r="W86" s="15">
        <f>IF(ISNUMBER(T86),IF(ISNUMBER(T84),IF(T86&gt;T84,1.0,IF(T86=T84,0.5,0.0)),0.5),0.5)</f>
        <v/>
      </c>
      <c r="X86" s="15">
        <f>IF(ISNUMBER(T86),IF(ISNUMBER(T85),IF(T86&gt;T85,1.0,IF(T86=T85,0.5,0.0)),0.5),0.5)</f>
        <v/>
      </c>
      <c r="Y86" s="21">
        <f>IF(AND(ISNUMBER(S86),ISNUMBER(S84)),VLOOKUP(ABS(S86-S84),'IMP Table'!$A$2:$C$26,3)*SIGN(S86-S84),0)</f>
        <v/>
      </c>
      <c r="Z86" s="15">
        <f>IF(AND(ISNUMBER(S86),ISNUMBER(S85)),VLOOKUP(ABS(S86-S85),'IMP Table'!$A$2:$C$26,3)*SIGN(S86-S85),0)</f>
        <v/>
      </c>
      <c r="AA86" s="15">
        <f>IF(AND(ISNUMBER(T86),ISNUMBER(T84)),VLOOKUP(ABS(T86-T84),'IMP Table'!$A$2:$C$26,3)*SIGN(T86-T84),0)</f>
        <v/>
      </c>
      <c r="AB86" s="15">
        <f>IF(AND(ISNUMBER(T86),ISNUMBER(T85)),VLOOKUP(ABS(T86-T85),'IMP Table'!$A$2:$C$26,3)*SIGN(T86-T85),0)</f>
        <v/>
      </c>
      <c r="AC86" s="15" t="n"/>
      <c r="AD86" s="15" t="n"/>
      <c r="AE86" s="15" t="n"/>
      <c r="AF86" s="15" t="n"/>
    </row>
  </sheetData>
  <mergeCells count="12">
    <mergeCell ref="U1:X1"/>
    <mergeCell ref="Y1:AB1"/>
    <mergeCell ref="W2:X2"/>
    <mergeCell ref="Q1:R1"/>
    <mergeCell ref="U2:V2"/>
    <mergeCell ref="AA2:AB2"/>
    <mergeCell ref="Y2:Z2"/>
    <mergeCell ref="K1:L1"/>
    <mergeCell ref="S1:T1"/>
    <mergeCell ref="O1:P1"/>
    <mergeCell ref="M1:N1"/>
    <mergeCell ref="I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6"/>
  <sheetViews>
    <sheetView workbookViewId="0">
      <selection activeCell="A1" sqref="A1"/>
    </sheetView>
  </sheetViews>
  <sheetFormatPr baseColWidth="8" defaultRowHeight="15"/>
  <cols>
    <col width="30" customWidth="1" min="7" max="7"/>
  </cols>
  <sheetData>
    <row r="1">
      <c r="I1" s="8" t="inlineStr">
        <is>
          <t>Result</t>
        </is>
      </c>
      <c r="K1" s="8" t="inlineStr">
        <is>
          <t>Score</t>
        </is>
      </c>
    </row>
    <row r="2">
      <c r="A2" s="2" t="inlineStr">
        <is>
          <t>Round</t>
        </is>
      </c>
      <c r="B2" s="2" t="inlineStr">
        <is>
          <t>Table</t>
        </is>
      </c>
      <c r="C2" s="2" t="inlineStr">
        <is>
          <t>NS</t>
        </is>
      </c>
      <c r="D2" s="2" t="inlineStr">
        <is>
          <t>EW</t>
        </is>
      </c>
      <c r="E2" s="2" t="inlineStr">
        <is>
          <t>Board</t>
        </is>
      </c>
      <c r="F2" s="2" t="inlineStr">
        <is>
          <t>Vul</t>
        </is>
      </c>
      <c r="G2" s="2" t="inlineStr">
        <is>
          <t>Contract</t>
        </is>
      </c>
      <c r="H2" s="2" t="inlineStr">
        <is>
          <t>By</t>
        </is>
      </c>
      <c r="I2" s="2" t="inlineStr">
        <is>
          <t>Made</t>
        </is>
      </c>
      <c r="J2" s="2" t="inlineStr">
        <is>
          <t>Down</t>
        </is>
      </c>
      <c r="K2" s="2" t="inlineStr">
        <is>
          <t>NS</t>
        </is>
      </c>
      <c r="L2" s="2" t="inlineStr">
        <is>
          <t>EW</t>
        </is>
      </c>
    </row>
    <row r="3">
      <c r="A3" s="10" t="n">
        <v>1</v>
      </c>
      <c r="B3" s="10" t="n">
        <v>1</v>
      </c>
      <c r="C3" s="10" t="inlineStr">
        <is>
          <t>Sit-Out</t>
        </is>
      </c>
      <c r="D3" s="10" t="n">
        <v>1</v>
      </c>
      <c r="E3" s="10" t="n">
        <v>1</v>
      </c>
      <c r="F3" s="10" t="inlineStr">
        <is>
          <t>None</t>
        </is>
      </c>
    </row>
    <row r="4">
      <c r="B4" s="10" t="n"/>
      <c r="C4" s="10" t="n"/>
      <c r="D4" s="10" t="n"/>
      <c r="E4" s="10" t="n">
        <v>2</v>
      </c>
      <c r="F4" s="10" t="inlineStr">
        <is>
          <t>NS</t>
        </is>
      </c>
    </row>
    <row r="5">
      <c r="B5" s="16" t="n"/>
      <c r="C5" s="16" t="n"/>
      <c r="D5" s="16" t="n"/>
      <c r="E5" s="16" t="n">
        <v>3</v>
      </c>
      <c r="F5" s="16" t="inlineStr">
        <is>
          <t>EW</t>
        </is>
      </c>
      <c r="G5" s="15" t="n"/>
      <c r="H5" s="15" t="n"/>
      <c r="I5" s="15" t="n"/>
      <c r="J5" s="15" t="n"/>
      <c r="K5" s="15" t="n"/>
      <c r="L5" s="15" t="n"/>
    </row>
    <row r="6">
      <c r="B6" s="10" t="n">
        <v>2</v>
      </c>
      <c r="C6" s="10" t="n">
        <v>6</v>
      </c>
      <c r="D6" s="10" t="n">
        <v>5</v>
      </c>
      <c r="E6" s="10" t="n">
        <v>4</v>
      </c>
      <c r="F6" s="10" t="inlineStr">
        <is>
          <t>Both</t>
        </is>
      </c>
    </row>
    <row r="7">
      <c r="B7" s="10" t="n"/>
      <c r="C7" s="10" t="n"/>
      <c r="D7" s="10" t="n"/>
      <c r="E7" s="10" t="n">
        <v>5</v>
      </c>
      <c r="F7" s="10" t="inlineStr">
        <is>
          <t>NS</t>
        </is>
      </c>
    </row>
    <row r="8">
      <c r="B8" s="16" t="n"/>
      <c r="C8" s="16" t="n"/>
      <c r="D8" s="16" t="n"/>
      <c r="E8" s="16" t="n">
        <v>6</v>
      </c>
      <c r="F8" s="16" t="inlineStr">
        <is>
          <t>EW</t>
        </is>
      </c>
      <c r="G8" s="15" t="n"/>
      <c r="H8" s="15" t="n"/>
      <c r="I8" s="15" t="n"/>
      <c r="J8" s="15" t="n"/>
      <c r="K8" s="15" t="n"/>
      <c r="L8" s="15" t="n"/>
    </row>
    <row r="9">
      <c r="B9" s="10" t="n">
        <v>3</v>
      </c>
      <c r="C9" s="10" t="n">
        <v>4</v>
      </c>
      <c r="D9" s="10" t="n">
        <v>2</v>
      </c>
      <c r="E9" s="10" t="n">
        <v>7</v>
      </c>
      <c r="F9" s="10" t="inlineStr">
        <is>
          <t>Both</t>
        </is>
      </c>
    </row>
    <row r="10">
      <c r="B10" s="10" t="n"/>
      <c r="C10" s="10" t="n"/>
      <c r="D10" s="10" t="n"/>
      <c r="E10" s="10" t="n">
        <v>8</v>
      </c>
      <c r="F10" s="10" t="inlineStr">
        <is>
          <t>None</t>
        </is>
      </c>
    </row>
    <row r="11">
      <c r="B11" s="16" t="n"/>
      <c r="C11" s="16" t="n"/>
      <c r="D11" s="16" t="n"/>
      <c r="E11" s="16" t="n">
        <v>9</v>
      </c>
      <c r="F11" s="16" t="inlineStr">
        <is>
          <t>EW</t>
        </is>
      </c>
      <c r="G11" s="15" t="n"/>
      <c r="H11" s="15" t="n"/>
      <c r="I11" s="15" t="n"/>
      <c r="J11" s="15" t="n"/>
      <c r="K11" s="15" t="n"/>
      <c r="L11" s="15" t="n"/>
    </row>
    <row r="12">
      <c r="B12" s="10" t="n">
        <v>4</v>
      </c>
      <c r="C12" s="10" t="n">
        <v>7</v>
      </c>
      <c r="D12" s="10" t="n">
        <v>3</v>
      </c>
      <c r="E12" s="10" t="n">
        <v>13</v>
      </c>
      <c r="F12" s="10" t="inlineStr">
        <is>
          <t>Both</t>
        </is>
      </c>
    </row>
    <row r="13">
      <c r="B13" s="10" t="n"/>
      <c r="C13" s="10" t="n"/>
      <c r="D13" s="10" t="n"/>
      <c r="E13" s="10" t="n">
        <v>14</v>
      </c>
      <c r="F13" s="10" t="inlineStr">
        <is>
          <t>None</t>
        </is>
      </c>
    </row>
    <row r="14">
      <c r="A14" s="15" t="n"/>
      <c r="B14" s="16" t="n"/>
      <c r="C14" s="16" t="n"/>
      <c r="D14" s="16" t="n"/>
      <c r="E14" s="16" t="n">
        <v>15</v>
      </c>
      <c r="F14" s="16" t="inlineStr">
        <is>
          <t>NS</t>
        </is>
      </c>
      <c r="G14" s="15" t="n"/>
      <c r="H14" s="15" t="n"/>
      <c r="I14" s="15" t="n"/>
      <c r="J14" s="15" t="n"/>
      <c r="K14" s="15" t="n"/>
      <c r="L14" s="15" t="n"/>
    </row>
    <row r="15">
      <c r="A15" s="10" t="n">
        <v>2</v>
      </c>
      <c r="B15" s="10" t="n">
        <v>1</v>
      </c>
      <c r="C15" s="10" t="inlineStr">
        <is>
          <t>Sit-Out</t>
        </is>
      </c>
      <c r="D15" s="10" t="n">
        <v>2</v>
      </c>
      <c r="E15" s="10" t="n">
        <v>4</v>
      </c>
      <c r="F15" s="10" t="inlineStr">
        <is>
          <t>Both</t>
        </is>
      </c>
    </row>
    <row r="16">
      <c r="B16" s="10" t="n"/>
      <c r="C16" s="10" t="n"/>
      <c r="D16" s="10" t="n"/>
      <c r="E16" s="10" t="n">
        <v>5</v>
      </c>
      <c r="F16" s="10" t="inlineStr">
        <is>
          <t>NS</t>
        </is>
      </c>
    </row>
    <row r="17">
      <c r="B17" s="16" t="n"/>
      <c r="C17" s="16" t="n"/>
      <c r="D17" s="16" t="n"/>
      <c r="E17" s="16" t="n">
        <v>6</v>
      </c>
      <c r="F17" s="16" t="inlineStr">
        <is>
          <t>EW</t>
        </is>
      </c>
      <c r="G17" s="15" t="n"/>
      <c r="H17" s="15" t="n"/>
      <c r="I17" s="15" t="n"/>
      <c r="J17" s="15" t="n"/>
      <c r="K17" s="15" t="n"/>
      <c r="L17" s="15" t="n"/>
    </row>
    <row r="18">
      <c r="B18" s="10" t="n">
        <v>2</v>
      </c>
      <c r="C18" s="10" t="n">
        <v>7</v>
      </c>
      <c r="D18" s="10" t="n">
        <v>6</v>
      </c>
      <c r="E18" s="10" t="n">
        <v>7</v>
      </c>
      <c r="F18" s="10" t="inlineStr">
        <is>
          <t>Both</t>
        </is>
      </c>
    </row>
    <row r="19">
      <c r="B19" s="10" t="n"/>
      <c r="C19" s="10" t="n"/>
      <c r="D19" s="10" t="n"/>
      <c r="E19" s="10" t="n">
        <v>8</v>
      </c>
      <c r="F19" s="10" t="inlineStr">
        <is>
          <t>None</t>
        </is>
      </c>
    </row>
    <row r="20">
      <c r="B20" s="16" t="n"/>
      <c r="C20" s="16" t="n"/>
      <c r="D20" s="16" t="n"/>
      <c r="E20" s="16" t="n">
        <v>9</v>
      </c>
      <c r="F20" s="16" t="inlineStr">
        <is>
          <t>EW</t>
        </is>
      </c>
      <c r="G20" s="15" t="n"/>
      <c r="H20" s="15" t="n"/>
      <c r="I20" s="15" t="n"/>
      <c r="J20" s="15" t="n"/>
      <c r="K20" s="15" t="n"/>
      <c r="L20" s="15" t="n"/>
    </row>
    <row r="21">
      <c r="B21" s="10" t="n">
        <v>3</v>
      </c>
      <c r="C21" s="10" t="n">
        <v>5</v>
      </c>
      <c r="D21" s="10" t="n">
        <v>3</v>
      </c>
      <c r="E21" s="10" t="n">
        <v>10</v>
      </c>
      <c r="F21" s="10" t="inlineStr">
        <is>
          <t>Both</t>
        </is>
      </c>
    </row>
    <row r="22">
      <c r="B22" s="10" t="n"/>
      <c r="C22" s="10" t="n"/>
      <c r="D22" s="10" t="n"/>
      <c r="E22" s="10" t="n">
        <v>11</v>
      </c>
      <c r="F22" s="10" t="inlineStr">
        <is>
          <t>None</t>
        </is>
      </c>
    </row>
    <row r="23">
      <c r="B23" s="16" t="n"/>
      <c r="C23" s="16" t="n"/>
      <c r="D23" s="16" t="n"/>
      <c r="E23" s="16" t="n">
        <v>12</v>
      </c>
      <c r="F23" s="16" t="inlineStr">
        <is>
          <t>NS</t>
        </is>
      </c>
      <c r="G23" s="15" t="n"/>
      <c r="H23" s="15" t="n"/>
      <c r="I23" s="15" t="n"/>
      <c r="J23" s="15" t="n"/>
      <c r="K23" s="15" t="n"/>
      <c r="L23" s="15" t="n"/>
    </row>
    <row r="24">
      <c r="B24" s="10" t="n">
        <v>4</v>
      </c>
      <c r="C24" s="10" t="n">
        <v>1</v>
      </c>
      <c r="D24" s="10" t="n">
        <v>4</v>
      </c>
      <c r="E24" s="10" t="n">
        <v>16</v>
      </c>
      <c r="F24" s="10" t="inlineStr">
        <is>
          <t>EW</t>
        </is>
      </c>
    </row>
    <row r="25">
      <c r="B25" s="10" t="n"/>
      <c r="C25" s="10" t="n"/>
      <c r="D25" s="10" t="n"/>
      <c r="E25" s="10" t="n">
        <v>17</v>
      </c>
      <c r="F25" s="10" t="inlineStr">
        <is>
          <t>None</t>
        </is>
      </c>
    </row>
    <row r="26">
      <c r="A26" s="15" t="n"/>
      <c r="B26" s="16" t="n"/>
      <c r="C26" s="16" t="n"/>
      <c r="D26" s="16" t="n"/>
      <c r="E26" s="16" t="n">
        <v>18</v>
      </c>
      <c r="F26" s="16" t="inlineStr">
        <is>
          <t>NS</t>
        </is>
      </c>
      <c r="G26" s="15" t="n"/>
      <c r="H26" s="15" t="n"/>
      <c r="I26" s="15" t="n"/>
      <c r="J26" s="15" t="n"/>
      <c r="K26" s="15" t="n"/>
      <c r="L26" s="15" t="n"/>
    </row>
    <row r="27">
      <c r="A27" s="10" t="n">
        <v>3</v>
      </c>
      <c r="B27" s="10" t="n">
        <v>1</v>
      </c>
      <c r="C27" s="10" t="inlineStr">
        <is>
          <t>Sit-Out</t>
        </is>
      </c>
      <c r="D27" s="10" t="n">
        <v>3</v>
      </c>
      <c r="E27" s="10" t="n">
        <v>7</v>
      </c>
      <c r="F27" s="10" t="inlineStr">
        <is>
          <t>Both</t>
        </is>
      </c>
    </row>
    <row r="28">
      <c r="B28" s="10" t="n"/>
      <c r="C28" s="10" t="n"/>
      <c r="D28" s="10" t="n"/>
      <c r="E28" s="10" t="n">
        <v>8</v>
      </c>
      <c r="F28" s="10" t="inlineStr">
        <is>
          <t>None</t>
        </is>
      </c>
    </row>
    <row r="29">
      <c r="B29" s="16" t="n"/>
      <c r="C29" s="16" t="n"/>
      <c r="D29" s="16" t="n"/>
      <c r="E29" s="16" t="n">
        <v>9</v>
      </c>
      <c r="F29" s="16" t="inlineStr">
        <is>
          <t>EW</t>
        </is>
      </c>
      <c r="G29" s="15" t="n"/>
      <c r="H29" s="15" t="n"/>
      <c r="I29" s="15" t="n"/>
      <c r="J29" s="15" t="n"/>
      <c r="K29" s="15" t="n"/>
      <c r="L29" s="15" t="n"/>
    </row>
    <row r="30">
      <c r="B30" s="10" t="n">
        <v>2</v>
      </c>
      <c r="C30" s="10" t="n">
        <v>1</v>
      </c>
      <c r="D30" s="10" t="n">
        <v>7</v>
      </c>
      <c r="E30" s="10" t="n">
        <v>10</v>
      </c>
      <c r="F30" s="10" t="inlineStr">
        <is>
          <t>Both</t>
        </is>
      </c>
    </row>
    <row r="31">
      <c r="B31" s="10" t="n"/>
      <c r="C31" s="10" t="n"/>
      <c r="D31" s="10" t="n"/>
      <c r="E31" s="10" t="n">
        <v>11</v>
      </c>
      <c r="F31" s="10" t="inlineStr">
        <is>
          <t>None</t>
        </is>
      </c>
    </row>
    <row r="32">
      <c r="B32" s="16" t="n"/>
      <c r="C32" s="16" t="n"/>
      <c r="D32" s="16" t="n"/>
      <c r="E32" s="16" t="n">
        <v>12</v>
      </c>
      <c r="F32" s="16" t="inlineStr">
        <is>
          <t>NS</t>
        </is>
      </c>
      <c r="G32" s="15" t="n"/>
      <c r="H32" s="15" t="n"/>
      <c r="I32" s="15" t="n"/>
      <c r="J32" s="15" t="n"/>
      <c r="K32" s="15" t="n"/>
      <c r="L32" s="15" t="n"/>
    </row>
    <row r="33">
      <c r="B33" s="10" t="n">
        <v>3</v>
      </c>
      <c r="C33" s="10" t="n">
        <v>6</v>
      </c>
      <c r="D33" s="10" t="n">
        <v>4</v>
      </c>
      <c r="E33" s="10" t="n">
        <v>13</v>
      </c>
      <c r="F33" s="10" t="inlineStr">
        <is>
          <t>Both</t>
        </is>
      </c>
    </row>
    <row r="34">
      <c r="B34" s="10" t="n"/>
      <c r="C34" s="10" t="n"/>
      <c r="D34" s="10" t="n"/>
      <c r="E34" s="10" t="n">
        <v>14</v>
      </c>
      <c r="F34" s="10" t="inlineStr">
        <is>
          <t>None</t>
        </is>
      </c>
    </row>
    <row r="35">
      <c r="B35" s="16" t="n"/>
      <c r="C35" s="16" t="n"/>
      <c r="D35" s="16" t="n"/>
      <c r="E35" s="16" t="n">
        <v>15</v>
      </c>
      <c r="F35" s="16" t="inlineStr">
        <is>
          <t>NS</t>
        </is>
      </c>
      <c r="G35" s="15" t="n"/>
      <c r="H35" s="15" t="n"/>
      <c r="I35" s="15" t="n"/>
      <c r="J35" s="15" t="n"/>
      <c r="K35" s="15" t="n"/>
      <c r="L35" s="15" t="n"/>
    </row>
    <row r="36">
      <c r="B36" s="10" t="n">
        <v>4</v>
      </c>
      <c r="C36" s="10" t="n">
        <v>2</v>
      </c>
      <c r="D36" s="10" t="n">
        <v>5</v>
      </c>
      <c r="E36" s="10" t="n">
        <v>19</v>
      </c>
      <c r="F36" s="10" t="inlineStr">
        <is>
          <t>EW</t>
        </is>
      </c>
    </row>
    <row r="37">
      <c r="B37" s="10" t="n"/>
      <c r="C37" s="10" t="n"/>
      <c r="D37" s="10" t="n"/>
      <c r="E37" s="10" t="n">
        <v>20</v>
      </c>
      <c r="F37" s="10" t="inlineStr">
        <is>
          <t>Both</t>
        </is>
      </c>
    </row>
    <row r="38">
      <c r="A38" s="15" t="n"/>
      <c r="B38" s="16" t="n"/>
      <c r="C38" s="16" t="n"/>
      <c r="D38" s="16" t="n"/>
      <c r="E38" s="16" t="n">
        <v>21</v>
      </c>
      <c r="F38" s="16" t="inlineStr">
        <is>
          <t>NS</t>
        </is>
      </c>
      <c r="G38" s="15" t="n"/>
      <c r="H38" s="15" t="n"/>
      <c r="I38" s="15" t="n"/>
      <c r="J38" s="15" t="n"/>
      <c r="K38" s="15" t="n"/>
      <c r="L38" s="15" t="n"/>
    </row>
    <row r="39">
      <c r="A39" s="10" t="n">
        <v>4</v>
      </c>
      <c r="B39" s="10" t="n">
        <v>1</v>
      </c>
      <c r="C39" s="10" t="inlineStr">
        <is>
          <t>Sit-Out</t>
        </is>
      </c>
      <c r="D39" s="10" t="n">
        <v>4</v>
      </c>
      <c r="E39" s="10" t="n">
        <v>10</v>
      </c>
      <c r="F39" s="10" t="inlineStr">
        <is>
          <t>Both</t>
        </is>
      </c>
    </row>
    <row r="40">
      <c r="B40" s="10" t="n"/>
      <c r="C40" s="10" t="n"/>
      <c r="D40" s="10" t="n"/>
      <c r="E40" s="10" t="n">
        <v>11</v>
      </c>
      <c r="F40" s="10" t="inlineStr">
        <is>
          <t>None</t>
        </is>
      </c>
    </row>
    <row r="41">
      <c r="B41" s="16" t="n"/>
      <c r="C41" s="16" t="n"/>
      <c r="D41" s="16" t="n"/>
      <c r="E41" s="16" t="n">
        <v>12</v>
      </c>
      <c r="F41" s="16" t="inlineStr">
        <is>
          <t>NS</t>
        </is>
      </c>
      <c r="G41" s="15" t="n"/>
      <c r="H41" s="15" t="n"/>
      <c r="I41" s="15" t="n"/>
      <c r="J41" s="15" t="n"/>
      <c r="K41" s="15" t="n"/>
      <c r="L41" s="15" t="n"/>
    </row>
    <row r="42">
      <c r="B42" s="10" t="n">
        <v>2</v>
      </c>
      <c r="C42" s="10" t="n">
        <v>2</v>
      </c>
      <c r="D42" s="10" t="n">
        <v>1</v>
      </c>
      <c r="E42" s="10" t="n">
        <v>13</v>
      </c>
      <c r="F42" s="10" t="inlineStr">
        <is>
          <t>Both</t>
        </is>
      </c>
    </row>
    <row r="43">
      <c r="B43" s="10" t="n"/>
      <c r="C43" s="10" t="n"/>
      <c r="D43" s="10" t="n"/>
      <c r="E43" s="10" t="n">
        <v>14</v>
      </c>
      <c r="F43" s="10" t="inlineStr">
        <is>
          <t>None</t>
        </is>
      </c>
    </row>
    <row r="44">
      <c r="B44" s="16" t="n"/>
      <c r="C44" s="16" t="n"/>
      <c r="D44" s="16" t="n"/>
      <c r="E44" s="16" t="n">
        <v>15</v>
      </c>
      <c r="F44" s="16" t="inlineStr">
        <is>
          <t>NS</t>
        </is>
      </c>
      <c r="G44" s="15" t="n"/>
      <c r="H44" s="15" t="n"/>
      <c r="I44" s="15" t="n"/>
      <c r="J44" s="15" t="n"/>
      <c r="K44" s="15" t="n"/>
      <c r="L44" s="15" t="n"/>
    </row>
    <row r="45">
      <c r="B45" s="10" t="n">
        <v>3</v>
      </c>
      <c r="C45" s="10" t="n">
        <v>7</v>
      </c>
      <c r="D45" s="10" t="n">
        <v>5</v>
      </c>
      <c r="E45" s="10" t="n">
        <v>16</v>
      </c>
      <c r="F45" s="10" t="inlineStr">
        <is>
          <t>EW</t>
        </is>
      </c>
    </row>
    <row r="46">
      <c r="B46" s="10" t="n"/>
      <c r="C46" s="10" t="n"/>
      <c r="D46" s="10" t="n"/>
      <c r="E46" s="10" t="n">
        <v>17</v>
      </c>
      <c r="F46" s="10" t="inlineStr">
        <is>
          <t>None</t>
        </is>
      </c>
    </row>
    <row r="47">
      <c r="B47" s="16" t="n"/>
      <c r="C47" s="16" t="n"/>
      <c r="D47" s="16" t="n"/>
      <c r="E47" s="16" t="n">
        <v>18</v>
      </c>
      <c r="F47" s="16" t="inlineStr">
        <is>
          <t>NS</t>
        </is>
      </c>
      <c r="G47" s="15" t="n"/>
      <c r="H47" s="15" t="n"/>
      <c r="I47" s="15" t="n"/>
      <c r="J47" s="15" t="n"/>
      <c r="K47" s="15" t="n"/>
      <c r="L47" s="15" t="n"/>
    </row>
    <row r="48">
      <c r="B48" s="10" t="n">
        <v>4</v>
      </c>
      <c r="C48" s="10" t="n">
        <v>3</v>
      </c>
      <c r="D48" s="10" t="n">
        <v>6</v>
      </c>
      <c r="E48" s="10" t="n">
        <v>1</v>
      </c>
      <c r="F48" s="10" t="inlineStr">
        <is>
          <t>None</t>
        </is>
      </c>
    </row>
    <row r="49">
      <c r="B49" s="10" t="n"/>
      <c r="C49" s="10" t="n"/>
      <c r="D49" s="10" t="n"/>
      <c r="E49" s="10" t="n">
        <v>2</v>
      </c>
      <c r="F49" s="10" t="inlineStr">
        <is>
          <t>NS</t>
        </is>
      </c>
    </row>
    <row r="50">
      <c r="A50" s="15" t="n"/>
      <c r="B50" s="16" t="n"/>
      <c r="C50" s="16" t="n"/>
      <c r="D50" s="16" t="n"/>
      <c r="E50" s="16" t="n">
        <v>3</v>
      </c>
      <c r="F50" s="16" t="inlineStr">
        <is>
          <t>EW</t>
        </is>
      </c>
      <c r="G50" s="15" t="n"/>
      <c r="H50" s="15" t="n"/>
      <c r="I50" s="15" t="n"/>
      <c r="J50" s="15" t="n"/>
      <c r="K50" s="15" t="n"/>
      <c r="L50" s="15" t="n"/>
    </row>
    <row r="51">
      <c r="A51" s="10" t="n">
        <v>5</v>
      </c>
      <c r="B51" s="10" t="n">
        <v>1</v>
      </c>
      <c r="C51" s="10" t="inlineStr">
        <is>
          <t>Sit-Out</t>
        </is>
      </c>
      <c r="D51" s="10" t="n">
        <v>5</v>
      </c>
      <c r="E51" s="10" t="n">
        <v>13</v>
      </c>
      <c r="F51" s="10" t="inlineStr">
        <is>
          <t>Both</t>
        </is>
      </c>
    </row>
    <row r="52">
      <c r="B52" s="10" t="n"/>
      <c r="C52" s="10" t="n"/>
      <c r="D52" s="10" t="n"/>
      <c r="E52" s="10" t="n">
        <v>14</v>
      </c>
      <c r="F52" s="10" t="inlineStr">
        <is>
          <t>None</t>
        </is>
      </c>
    </row>
    <row r="53">
      <c r="B53" s="16" t="n"/>
      <c r="C53" s="16" t="n"/>
      <c r="D53" s="16" t="n"/>
      <c r="E53" s="16" t="n">
        <v>15</v>
      </c>
      <c r="F53" s="16" t="inlineStr">
        <is>
          <t>NS</t>
        </is>
      </c>
      <c r="G53" s="15" t="n"/>
      <c r="H53" s="15" t="n"/>
      <c r="I53" s="15" t="n"/>
      <c r="J53" s="15" t="n"/>
      <c r="K53" s="15" t="n"/>
      <c r="L53" s="15" t="n"/>
    </row>
    <row r="54">
      <c r="B54" s="10" t="n">
        <v>2</v>
      </c>
      <c r="C54" s="10" t="n">
        <v>3</v>
      </c>
      <c r="D54" s="10" t="n">
        <v>2</v>
      </c>
      <c r="E54" s="10" t="n">
        <v>16</v>
      </c>
      <c r="F54" s="10" t="inlineStr">
        <is>
          <t>EW</t>
        </is>
      </c>
    </row>
    <row r="55">
      <c r="B55" s="10" t="n"/>
      <c r="C55" s="10" t="n"/>
      <c r="D55" s="10" t="n"/>
      <c r="E55" s="10" t="n">
        <v>17</v>
      </c>
      <c r="F55" s="10" t="inlineStr">
        <is>
          <t>None</t>
        </is>
      </c>
    </row>
    <row r="56">
      <c r="B56" s="16" t="n"/>
      <c r="C56" s="16" t="n"/>
      <c r="D56" s="16" t="n"/>
      <c r="E56" s="16" t="n">
        <v>18</v>
      </c>
      <c r="F56" s="16" t="inlineStr">
        <is>
          <t>NS</t>
        </is>
      </c>
      <c r="G56" s="15" t="n"/>
      <c r="H56" s="15" t="n"/>
      <c r="I56" s="15" t="n"/>
      <c r="J56" s="15" t="n"/>
      <c r="K56" s="15" t="n"/>
      <c r="L56" s="15" t="n"/>
    </row>
    <row r="57">
      <c r="B57" s="10" t="n">
        <v>3</v>
      </c>
      <c r="C57" s="10" t="n">
        <v>1</v>
      </c>
      <c r="D57" s="10" t="n">
        <v>6</v>
      </c>
      <c r="E57" s="10" t="n">
        <v>19</v>
      </c>
      <c r="F57" s="10" t="inlineStr">
        <is>
          <t>EW</t>
        </is>
      </c>
    </row>
    <row r="58">
      <c r="B58" s="10" t="n"/>
      <c r="C58" s="10" t="n"/>
      <c r="D58" s="10" t="n"/>
      <c r="E58" s="10" t="n">
        <v>20</v>
      </c>
      <c r="F58" s="10" t="inlineStr">
        <is>
          <t>Both</t>
        </is>
      </c>
    </row>
    <row r="59">
      <c r="B59" s="16" t="n"/>
      <c r="C59" s="16" t="n"/>
      <c r="D59" s="16" t="n"/>
      <c r="E59" s="16" t="n">
        <v>21</v>
      </c>
      <c r="F59" s="16" t="inlineStr">
        <is>
          <t>NS</t>
        </is>
      </c>
      <c r="G59" s="15" t="n"/>
      <c r="H59" s="15" t="n"/>
      <c r="I59" s="15" t="n"/>
      <c r="J59" s="15" t="n"/>
      <c r="K59" s="15" t="n"/>
      <c r="L59" s="15" t="n"/>
    </row>
    <row r="60">
      <c r="B60" s="10" t="n">
        <v>4</v>
      </c>
      <c r="C60" s="10" t="n">
        <v>4</v>
      </c>
      <c r="D60" s="10" t="n">
        <v>7</v>
      </c>
      <c r="E60" s="10" t="n">
        <v>4</v>
      </c>
      <c r="F60" s="10" t="inlineStr">
        <is>
          <t>Both</t>
        </is>
      </c>
    </row>
    <row r="61">
      <c r="B61" s="10" t="n"/>
      <c r="C61" s="10" t="n"/>
      <c r="D61" s="10" t="n"/>
      <c r="E61" s="10" t="n">
        <v>5</v>
      </c>
      <c r="F61" s="10" t="inlineStr">
        <is>
          <t>NS</t>
        </is>
      </c>
    </row>
    <row r="62">
      <c r="A62" s="15" t="n"/>
      <c r="B62" s="16" t="n"/>
      <c r="C62" s="16" t="n"/>
      <c r="D62" s="16" t="n"/>
      <c r="E62" s="16" t="n">
        <v>6</v>
      </c>
      <c r="F62" s="16" t="inlineStr">
        <is>
          <t>EW</t>
        </is>
      </c>
      <c r="G62" s="15" t="n"/>
      <c r="H62" s="15" t="n"/>
      <c r="I62" s="15" t="n"/>
      <c r="J62" s="15" t="n"/>
      <c r="K62" s="15" t="n"/>
      <c r="L62" s="15" t="n"/>
    </row>
    <row r="63">
      <c r="A63" s="10" t="n">
        <v>6</v>
      </c>
      <c r="B63" s="10" t="n">
        <v>1</v>
      </c>
      <c r="C63" s="10" t="inlineStr">
        <is>
          <t>Sit-Out</t>
        </is>
      </c>
      <c r="D63" s="10" t="n">
        <v>6</v>
      </c>
      <c r="E63" s="10" t="n">
        <v>16</v>
      </c>
      <c r="F63" s="10" t="inlineStr">
        <is>
          <t>EW</t>
        </is>
      </c>
    </row>
    <row r="64">
      <c r="B64" s="10" t="n"/>
      <c r="C64" s="10" t="n"/>
      <c r="D64" s="10" t="n"/>
      <c r="E64" s="10" t="n">
        <v>17</v>
      </c>
      <c r="F64" s="10" t="inlineStr">
        <is>
          <t>None</t>
        </is>
      </c>
    </row>
    <row r="65">
      <c r="B65" s="16" t="n"/>
      <c r="C65" s="16" t="n"/>
      <c r="D65" s="16" t="n"/>
      <c r="E65" s="16" t="n">
        <v>18</v>
      </c>
      <c r="F65" s="16" t="inlineStr">
        <is>
          <t>NS</t>
        </is>
      </c>
      <c r="G65" s="15" t="n"/>
      <c r="H65" s="15" t="n"/>
      <c r="I65" s="15" t="n"/>
      <c r="J65" s="15" t="n"/>
      <c r="K65" s="15" t="n"/>
      <c r="L65" s="15" t="n"/>
    </row>
    <row r="66">
      <c r="B66" s="10" t="n">
        <v>2</v>
      </c>
      <c r="C66" s="10" t="n">
        <v>4</v>
      </c>
      <c r="D66" s="10" t="n">
        <v>3</v>
      </c>
      <c r="E66" s="10" t="n">
        <v>19</v>
      </c>
      <c r="F66" s="10" t="inlineStr">
        <is>
          <t>EW</t>
        </is>
      </c>
    </row>
    <row r="67">
      <c r="B67" s="10" t="n"/>
      <c r="C67" s="10" t="n"/>
      <c r="D67" s="10" t="n"/>
      <c r="E67" s="10" t="n">
        <v>20</v>
      </c>
      <c r="F67" s="10" t="inlineStr">
        <is>
          <t>Both</t>
        </is>
      </c>
    </row>
    <row r="68">
      <c r="B68" s="16" t="n"/>
      <c r="C68" s="16" t="n"/>
      <c r="D68" s="16" t="n"/>
      <c r="E68" s="16" t="n">
        <v>21</v>
      </c>
      <c r="F68" s="16" t="inlineStr">
        <is>
          <t>NS</t>
        </is>
      </c>
      <c r="G68" s="15" t="n"/>
      <c r="H68" s="15" t="n"/>
      <c r="I68" s="15" t="n"/>
      <c r="J68" s="15" t="n"/>
      <c r="K68" s="15" t="n"/>
      <c r="L68" s="15" t="n"/>
    </row>
    <row r="69">
      <c r="B69" s="10" t="n">
        <v>3</v>
      </c>
      <c r="C69" s="10" t="n">
        <v>2</v>
      </c>
      <c r="D69" s="10" t="n">
        <v>7</v>
      </c>
      <c r="E69" s="10" t="n">
        <v>1</v>
      </c>
      <c r="F69" s="10" t="inlineStr">
        <is>
          <t>None</t>
        </is>
      </c>
    </row>
    <row r="70">
      <c r="B70" s="10" t="n"/>
      <c r="C70" s="10" t="n"/>
      <c r="D70" s="10" t="n"/>
      <c r="E70" s="10" t="n">
        <v>2</v>
      </c>
      <c r="F70" s="10" t="inlineStr">
        <is>
          <t>NS</t>
        </is>
      </c>
    </row>
    <row r="71">
      <c r="B71" s="16" t="n"/>
      <c r="C71" s="16" t="n"/>
      <c r="D71" s="16" t="n"/>
      <c r="E71" s="16" t="n">
        <v>3</v>
      </c>
      <c r="F71" s="16" t="inlineStr">
        <is>
          <t>EW</t>
        </is>
      </c>
      <c r="G71" s="15" t="n"/>
      <c r="H71" s="15" t="n"/>
      <c r="I71" s="15" t="n"/>
      <c r="J71" s="15" t="n"/>
      <c r="K71" s="15" t="n"/>
      <c r="L71" s="15" t="n"/>
    </row>
    <row r="72">
      <c r="B72" s="10" t="n">
        <v>4</v>
      </c>
      <c r="C72" s="10" t="n">
        <v>5</v>
      </c>
      <c r="D72" s="10" t="n">
        <v>1</v>
      </c>
      <c r="E72" s="10" t="n">
        <v>7</v>
      </c>
      <c r="F72" s="10" t="inlineStr">
        <is>
          <t>Both</t>
        </is>
      </c>
    </row>
    <row r="73">
      <c r="B73" s="10" t="n"/>
      <c r="C73" s="10" t="n"/>
      <c r="D73" s="10" t="n"/>
      <c r="E73" s="10" t="n">
        <v>8</v>
      </c>
      <c r="F73" s="10" t="inlineStr">
        <is>
          <t>None</t>
        </is>
      </c>
    </row>
    <row r="74">
      <c r="A74" s="15" t="n"/>
      <c r="B74" s="16" t="n"/>
      <c r="C74" s="16" t="n"/>
      <c r="D74" s="16" t="n"/>
      <c r="E74" s="16" t="n">
        <v>9</v>
      </c>
      <c r="F74" s="16" t="inlineStr">
        <is>
          <t>EW</t>
        </is>
      </c>
      <c r="G74" s="15" t="n"/>
      <c r="H74" s="15" t="n"/>
      <c r="I74" s="15" t="n"/>
      <c r="J74" s="15" t="n"/>
      <c r="K74" s="15" t="n"/>
      <c r="L74" s="15" t="n"/>
    </row>
    <row r="75">
      <c r="A75" s="10" t="n">
        <v>7</v>
      </c>
      <c r="B75" s="10" t="n">
        <v>1</v>
      </c>
      <c r="C75" s="10" t="inlineStr">
        <is>
          <t>Sit-Out</t>
        </is>
      </c>
      <c r="D75" s="10" t="n">
        <v>7</v>
      </c>
      <c r="E75" s="10" t="n">
        <v>19</v>
      </c>
      <c r="F75" s="10" t="inlineStr">
        <is>
          <t>EW</t>
        </is>
      </c>
    </row>
    <row r="76">
      <c r="B76" s="10" t="n"/>
      <c r="C76" s="10" t="n"/>
      <c r="D76" s="10" t="n"/>
      <c r="E76" s="10" t="n">
        <v>20</v>
      </c>
      <c r="F76" s="10" t="inlineStr">
        <is>
          <t>Both</t>
        </is>
      </c>
    </row>
    <row r="77">
      <c r="B77" s="16" t="n"/>
      <c r="C77" s="16" t="n"/>
      <c r="D77" s="16" t="n"/>
      <c r="E77" s="16" t="n">
        <v>21</v>
      </c>
      <c r="F77" s="16" t="inlineStr">
        <is>
          <t>NS</t>
        </is>
      </c>
      <c r="G77" s="15" t="n"/>
      <c r="H77" s="15" t="n"/>
      <c r="I77" s="15" t="n"/>
      <c r="J77" s="15" t="n"/>
      <c r="K77" s="15" t="n"/>
      <c r="L77" s="15" t="n"/>
    </row>
    <row r="78">
      <c r="B78" s="10" t="n">
        <v>2</v>
      </c>
      <c r="C78" s="10" t="n">
        <v>5</v>
      </c>
      <c r="D78" s="10" t="n">
        <v>4</v>
      </c>
      <c r="E78" s="10" t="n">
        <v>1</v>
      </c>
      <c r="F78" s="10" t="inlineStr">
        <is>
          <t>None</t>
        </is>
      </c>
    </row>
    <row r="79">
      <c r="B79" s="10" t="n"/>
      <c r="C79" s="10" t="n"/>
      <c r="D79" s="10" t="n"/>
      <c r="E79" s="10" t="n">
        <v>2</v>
      </c>
      <c r="F79" s="10" t="inlineStr">
        <is>
          <t>NS</t>
        </is>
      </c>
    </row>
    <row r="80">
      <c r="B80" s="16" t="n"/>
      <c r="C80" s="16" t="n"/>
      <c r="D80" s="16" t="n"/>
      <c r="E80" s="16" t="n">
        <v>3</v>
      </c>
      <c r="F80" s="16" t="inlineStr">
        <is>
          <t>EW</t>
        </is>
      </c>
      <c r="G80" s="15" t="n"/>
      <c r="H80" s="15" t="n"/>
      <c r="I80" s="15" t="n"/>
      <c r="J80" s="15" t="n"/>
      <c r="K80" s="15" t="n"/>
      <c r="L80" s="15" t="n"/>
    </row>
    <row r="81">
      <c r="B81" s="10" t="n">
        <v>3</v>
      </c>
      <c r="C81" s="10" t="n">
        <v>3</v>
      </c>
      <c r="D81" s="10" t="n">
        <v>1</v>
      </c>
      <c r="E81" s="10" t="n">
        <v>4</v>
      </c>
      <c r="F81" s="10" t="inlineStr">
        <is>
          <t>Both</t>
        </is>
      </c>
    </row>
    <row r="82">
      <c r="B82" s="10" t="n"/>
      <c r="C82" s="10" t="n"/>
      <c r="D82" s="10" t="n"/>
      <c r="E82" s="10" t="n">
        <v>5</v>
      </c>
      <c r="F82" s="10" t="inlineStr">
        <is>
          <t>NS</t>
        </is>
      </c>
    </row>
    <row r="83">
      <c r="B83" s="16" t="n"/>
      <c r="C83" s="16" t="n"/>
      <c r="D83" s="16" t="n"/>
      <c r="E83" s="16" t="n">
        <v>6</v>
      </c>
      <c r="F83" s="16" t="inlineStr">
        <is>
          <t>EW</t>
        </is>
      </c>
      <c r="G83" s="15" t="n"/>
      <c r="H83" s="15" t="n"/>
      <c r="I83" s="15" t="n"/>
      <c r="J83" s="15" t="n"/>
      <c r="K83" s="15" t="n"/>
      <c r="L83" s="15" t="n"/>
    </row>
    <row r="84">
      <c r="B84" s="10" t="n">
        <v>4</v>
      </c>
      <c r="C84" s="10" t="n">
        <v>6</v>
      </c>
      <c r="D84" s="10" t="n">
        <v>2</v>
      </c>
      <c r="E84" s="10" t="n">
        <v>10</v>
      </c>
      <c r="F84" s="10" t="inlineStr">
        <is>
          <t>Both</t>
        </is>
      </c>
    </row>
    <row r="85">
      <c r="B85" s="10" t="n"/>
      <c r="C85" s="10" t="n"/>
      <c r="D85" s="10" t="n"/>
      <c r="E85" s="10" t="n">
        <v>11</v>
      </c>
      <c r="F85" s="10" t="inlineStr">
        <is>
          <t>None</t>
        </is>
      </c>
    </row>
    <row r="86">
      <c r="A86" s="15" t="n"/>
      <c r="B86" s="16" t="n"/>
      <c r="C86" s="16" t="n"/>
      <c r="D86" s="16" t="n"/>
      <c r="E86" s="16" t="n">
        <v>12</v>
      </c>
      <c r="F86" s="16" t="inlineStr">
        <is>
          <t>NS</t>
        </is>
      </c>
      <c r="G86" s="15" t="n"/>
      <c r="H86" s="15" t="n"/>
      <c r="I86" s="15" t="n"/>
      <c r="J86" s="15" t="n"/>
      <c r="K86" s="15" t="n"/>
      <c r="L86" s="15" t="n"/>
    </row>
  </sheetData>
  <mergeCells count="2">
    <mergeCell ref="I1:J1"/>
    <mergeCell ref="K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From</t>
        </is>
      </c>
      <c r="B1" s="2" t="inlineStr">
        <is>
          <t>To</t>
        </is>
      </c>
      <c r="C1" s="2" t="inlineStr">
        <is>
          <t>IMP</t>
        </is>
      </c>
    </row>
    <row r="2">
      <c r="A2" t="n">
        <v>0</v>
      </c>
      <c r="B2" t="n">
        <v>10</v>
      </c>
      <c r="C2" t="n">
        <v>0</v>
      </c>
    </row>
    <row r="3">
      <c r="A3" t="n">
        <v>20</v>
      </c>
      <c r="B3" t="n">
        <v>40</v>
      </c>
      <c r="C3" t="n">
        <v>1</v>
      </c>
    </row>
    <row r="4">
      <c r="A4" t="n">
        <v>50</v>
      </c>
      <c r="B4" t="n">
        <v>80</v>
      </c>
      <c r="C4" t="n">
        <v>2</v>
      </c>
    </row>
    <row r="5">
      <c r="A5" t="n">
        <v>90</v>
      </c>
      <c r="B5" t="n">
        <v>120</v>
      </c>
      <c r="C5" t="n">
        <v>3</v>
      </c>
    </row>
    <row r="6">
      <c r="A6" t="n">
        <v>130</v>
      </c>
      <c r="B6" t="n">
        <v>160</v>
      </c>
      <c r="C6" t="n">
        <v>4</v>
      </c>
    </row>
    <row r="7">
      <c r="A7" t="n">
        <v>170</v>
      </c>
      <c r="B7" t="n">
        <v>210</v>
      </c>
      <c r="C7" t="n">
        <v>5</v>
      </c>
    </row>
    <row r="8">
      <c r="A8" t="n">
        <v>220</v>
      </c>
      <c r="B8" t="n">
        <v>260</v>
      </c>
      <c r="C8" t="n">
        <v>6</v>
      </c>
    </row>
    <row r="9">
      <c r="A9" t="n">
        <v>270</v>
      </c>
      <c r="B9" t="n">
        <v>310</v>
      </c>
      <c r="C9" t="n">
        <v>7</v>
      </c>
    </row>
    <row r="10">
      <c r="A10" t="n">
        <v>320</v>
      </c>
      <c r="B10" t="n">
        <v>360</v>
      </c>
      <c r="C10" t="n">
        <v>8</v>
      </c>
    </row>
    <row r="11">
      <c r="A11" t="n">
        <v>370</v>
      </c>
      <c r="B11" t="n">
        <v>420</v>
      </c>
      <c r="C11" t="n">
        <v>9</v>
      </c>
    </row>
    <row r="12">
      <c r="A12" t="n">
        <v>430</v>
      </c>
      <c r="B12" t="n">
        <v>490</v>
      </c>
      <c r="C12" t="n">
        <v>10</v>
      </c>
    </row>
    <row r="13">
      <c r="A13" t="n">
        <v>500</v>
      </c>
      <c r="B13" t="n">
        <v>590</v>
      </c>
      <c r="C13" t="n">
        <v>11</v>
      </c>
    </row>
    <row r="14">
      <c r="A14" t="n">
        <v>600</v>
      </c>
      <c r="B14" t="n">
        <v>740</v>
      </c>
      <c r="C14" t="n">
        <v>12</v>
      </c>
    </row>
    <row r="15">
      <c r="A15" t="n">
        <v>750</v>
      </c>
      <c r="B15" t="n">
        <v>890</v>
      </c>
      <c r="C15" t="n">
        <v>13</v>
      </c>
    </row>
    <row r="16">
      <c r="A16" t="n">
        <v>900</v>
      </c>
      <c r="B16" t="n">
        <v>1090</v>
      </c>
      <c r="C16" t="n">
        <v>14</v>
      </c>
    </row>
    <row r="17">
      <c r="A17" t="n">
        <v>1100</v>
      </c>
      <c r="B17" t="n">
        <v>1290</v>
      </c>
      <c r="C17" t="n">
        <v>15</v>
      </c>
    </row>
    <row r="18">
      <c r="A18" t="n">
        <v>1300</v>
      </c>
      <c r="B18" t="n">
        <v>1490</v>
      </c>
      <c r="C18" t="n">
        <v>16</v>
      </c>
    </row>
    <row r="19">
      <c r="A19" t="n">
        <v>1500</v>
      </c>
      <c r="B19" t="n">
        <v>1740</v>
      </c>
      <c r="C19" t="n">
        <v>17</v>
      </c>
    </row>
    <row r="20">
      <c r="A20" t="n">
        <v>1750</v>
      </c>
      <c r="B20" t="n">
        <v>1990</v>
      </c>
      <c r="C20" t="n">
        <v>18</v>
      </c>
    </row>
    <row r="21">
      <c r="A21" t="n">
        <v>2000</v>
      </c>
      <c r="B21" t="n">
        <v>2240</v>
      </c>
      <c r="C21" t="n">
        <v>19</v>
      </c>
    </row>
    <row r="22">
      <c r="A22" t="n">
        <v>2250</v>
      </c>
      <c r="B22" t="n">
        <v>2490</v>
      </c>
      <c r="C22" t="n">
        <v>20</v>
      </c>
    </row>
    <row r="23">
      <c r="A23" t="n">
        <v>2500</v>
      </c>
      <c r="B23" t="n">
        <v>2990</v>
      </c>
      <c r="C23" t="n">
        <v>21</v>
      </c>
    </row>
    <row r="24">
      <c r="A24" t="n">
        <v>3000</v>
      </c>
      <c r="B24" t="n">
        <v>3490</v>
      </c>
      <c r="C24" t="n">
        <v>22</v>
      </c>
    </row>
    <row r="25">
      <c r="A25" t="n">
        <v>3500</v>
      </c>
      <c r="B25" t="n">
        <v>3990</v>
      </c>
      <c r="C25" t="n">
        <v>23</v>
      </c>
    </row>
    <row r="26">
      <c r="A26" t="n">
        <v>4000</v>
      </c>
      <c r="B26" t="n">
        <v>10000</v>
      </c>
      <c r="C26" t="n">
        <v>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C1" s="2" t="inlineStr">
        <is>
          <t>Not Vulnerable</t>
        </is>
      </c>
      <c r="F1" s="2" t="inlineStr">
        <is>
          <t>Vulnerable</t>
        </is>
      </c>
      <c r="K1" s="2" t="inlineStr">
        <is>
          <t>Not Vulnerable</t>
        </is>
      </c>
      <c r="N1" s="2" t="inlineStr">
        <is>
          <t>Vulnerable</t>
        </is>
      </c>
    </row>
    <row r="2">
      <c r="A2" s="2" t="inlineStr">
        <is>
          <t>Contract</t>
        </is>
      </c>
      <c r="B2" s="2" t="inlineStr">
        <is>
          <t>Made</t>
        </is>
      </c>
      <c r="C2" s="2" t="inlineStr"/>
      <c r="D2" s="2" t="inlineStr">
        <is>
          <t>X</t>
        </is>
      </c>
      <c r="E2" s="2" t="inlineStr">
        <is>
          <t>XX</t>
        </is>
      </c>
      <c r="F2" s="2" t="inlineStr"/>
      <c r="G2" s="2" t="inlineStr">
        <is>
          <t>X</t>
        </is>
      </c>
      <c r="H2" s="2" t="inlineStr">
        <is>
          <t>XX</t>
        </is>
      </c>
      <c r="J2" s="2" t="inlineStr">
        <is>
          <t>Down by</t>
        </is>
      </c>
      <c r="K2" s="2" t="inlineStr"/>
      <c r="L2" s="2" t="inlineStr">
        <is>
          <t>X</t>
        </is>
      </c>
      <c r="M2" s="2" t="inlineStr">
        <is>
          <t>XX</t>
        </is>
      </c>
      <c r="N2" s="2" t="inlineStr"/>
      <c r="O2" s="2" t="inlineStr">
        <is>
          <t>X</t>
        </is>
      </c>
      <c r="P2" s="2" t="inlineStr">
        <is>
          <t>XX</t>
        </is>
      </c>
    </row>
    <row r="3">
      <c r="A3" s="2" t="inlineStr">
        <is>
          <t>1 D/C</t>
        </is>
      </c>
      <c r="B3" t="n">
        <v>1</v>
      </c>
      <c r="C3" s="22" t="n">
        <v>70</v>
      </c>
      <c r="D3" s="22" t="n">
        <v>140</v>
      </c>
      <c r="E3" s="22" t="n">
        <v>230</v>
      </c>
      <c r="F3" s="22" t="n">
        <v>70</v>
      </c>
      <c r="G3" s="22" t="n">
        <v>140</v>
      </c>
      <c r="H3" s="22" t="n">
        <v>230</v>
      </c>
      <c r="J3" t="n">
        <v>-1</v>
      </c>
      <c r="K3" t="n">
        <v>-50</v>
      </c>
      <c r="L3" t="n">
        <v>-100</v>
      </c>
      <c r="M3">
        <f>L3*2</f>
        <v/>
      </c>
      <c r="N3" t="n">
        <v>-100</v>
      </c>
      <c r="O3" t="n">
        <v>-200</v>
      </c>
      <c r="P3">
        <f>O3*2</f>
        <v/>
      </c>
    </row>
    <row r="4">
      <c r="B4" t="n">
        <v>2</v>
      </c>
      <c r="C4" s="22" t="n">
        <v>90</v>
      </c>
      <c r="D4" s="22" t="n">
        <v>240</v>
      </c>
      <c r="E4" s="22" t="n">
        <v>430</v>
      </c>
      <c r="F4" s="22" t="n">
        <v>90</v>
      </c>
      <c r="G4" s="22" t="n">
        <v>340</v>
      </c>
      <c r="H4" s="22" t="n">
        <v>630</v>
      </c>
      <c r="J4" t="n">
        <v>-2</v>
      </c>
      <c r="K4">
        <f>K3-50</f>
        <v/>
      </c>
      <c r="L4">
        <f>L3-200</f>
        <v/>
      </c>
      <c r="M4">
        <f>L4*2</f>
        <v/>
      </c>
      <c r="N4">
        <f>N3-100</f>
        <v/>
      </c>
      <c r="O4">
        <f>O3-300</f>
        <v/>
      </c>
      <c r="P4">
        <f>O4*2</f>
        <v/>
      </c>
    </row>
    <row r="5">
      <c r="B5" t="n">
        <v>3</v>
      </c>
      <c r="C5" s="22" t="n">
        <v>110</v>
      </c>
      <c r="D5" s="22" t="n">
        <v>340</v>
      </c>
      <c r="E5" s="22" t="n">
        <v>630</v>
      </c>
      <c r="F5" s="22" t="n">
        <v>110</v>
      </c>
      <c r="G5" s="22" t="n">
        <v>540</v>
      </c>
      <c r="H5" s="22" t="n">
        <v>1030</v>
      </c>
      <c r="J5" t="n">
        <v>-3</v>
      </c>
      <c r="K5">
        <f>K4-50</f>
        <v/>
      </c>
      <c r="L5">
        <f>L4-200</f>
        <v/>
      </c>
      <c r="M5">
        <f>L5*2</f>
        <v/>
      </c>
      <c r="N5">
        <f>N4-100</f>
        <v/>
      </c>
      <c r="O5">
        <f>O4-300</f>
        <v/>
      </c>
      <c r="P5">
        <f>O5*2</f>
        <v/>
      </c>
    </row>
    <row r="6">
      <c r="B6" t="n">
        <v>4</v>
      </c>
      <c r="C6" s="22" t="n">
        <v>130</v>
      </c>
      <c r="D6" s="22" t="n">
        <v>440</v>
      </c>
      <c r="E6" s="22" t="n">
        <v>830</v>
      </c>
      <c r="F6" s="22" t="n">
        <v>130</v>
      </c>
      <c r="G6" s="22" t="n">
        <v>740</v>
      </c>
      <c r="H6" s="22" t="n">
        <v>1430</v>
      </c>
      <c r="J6" t="n">
        <v>-4</v>
      </c>
      <c r="K6">
        <f>K5-50</f>
        <v/>
      </c>
      <c r="L6">
        <f>L5-300</f>
        <v/>
      </c>
      <c r="M6">
        <f>L6*2</f>
        <v/>
      </c>
      <c r="N6">
        <f>N5-100</f>
        <v/>
      </c>
      <c r="O6">
        <f>O5-300</f>
        <v/>
      </c>
      <c r="P6">
        <f>O6*2</f>
        <v/>
      </c>
    </row>
    <row r="7">
      <c r="B7" t="n">
        <v>5</v>
      </c>
      <c r="C7" s="22" t="n">
        <v>150</v>
      </c>
      <c r="D7" s="22" t="n">
        <v>540</v>
      </c>
      <c r="E7" s="22" t="n">
        <v>1030</v>
      </c>
      <c r="F7" s="22" t="n">
        <v>150</v>
      </c>
      <c r="G7" s="22" t="n">
        <v>940</v>
      </c>
      <c r="H7" s="22" t="n">
        <v>1830</v>
      </c>
      <c r="J7" t="n">
        <v>-5</v>
      </c>
      <c r="K7">
        <f>K6-50</f>
        <v/>
      </c>
      <c r="L7">
        <f>L6-300</f>
        <v/>
      </c>
      <c r="M7">
        <f>L7*2</f>
        <v/>
      </c>
      <c r="N7">
        <f>N6-100</f>
        <v/>
      </c>
      <c r="O7">
        <f>O6-300</f>
        <v/>
      </c>
      <c r="P7">
        <f>O7*2</f>
        <v/>
      </c>
    </row>
    <row r="8">
      <c r="B8" t="n">
        <v>6</v>
      </c>
      <c r="C8" s="22" t="n">
        <v>170</v>
      </c>
      <c r="D8" s="22" t="n">
        <v>640</v>
      </c>
      <c r="E8" s="22" t="n">
        <v>1230</v>
      </c>
      <c r="F8" s="22" t="n">
        <v>170</v>
      </c>
      <c r="G8" s="22" t="n">
        <v>1140</v>
      </c>
      <c r="H8" s="22" t="n">
        <v>2230</v>
      </c>
      <c r="J8" t="n">
        <v>-6</v>
      </c>
      <c r="K8">
        <f>K7-50</f>
        <v/>
      </c>
      <c r="L8">
        <f>L7-300</f>
        <v/>
      </c>
      <c r="M8">
        <f>L8*2</f>
        <v/>
      </c>
      <c r="N8">
        <f>N7-100</f>
        <v/>
      </c>
      <c r="O8">
        <f>O7-300</f>
        <v/>
      </c>
      <c r="P8">
        <f>O8*2</f>
        <v/>
      </c>
    </row>
    <row r="9">
      <c r="B9" t="n">
        <v>7</v>
      </c>
      <c r="C9" s="22" t="n">
        <v>190</v>
      </c>
      <c r="D9" s="22" t="n">
        <v>740</v>
      </c>
      <c r="E9" s="22" t="n">
        <v>1430</v>
      </c>
      <c r="F9" s="22" t="n">
        <v>190</v>
      </c>
      <c r="G9" s="22" t="n">
        <v>1340</v>
      </c>
      <c r="H9" s="22" t="n">
        <v>2630</v>
      </c>
      <c r="J9" t="n">
        <v>-7</v>
      </c>
      <c r="K9">
        <f>K8-50</f>
        <v/>
      </c>
      <c r="L9">
        <f>L8-300</f>
        <v/>
      </c>
      <c r="M9">
        <f>L9*2</f>
        <v/>
      </c>
      <c r="N9">
        <f>N8-100</f>
        <v/>
      </c>
      <c r="O9">
        <f>O8-300</f>
        <v/>
      </c>
      <c r="P9">
        <f>O9*2</f>
        <v/>
      </c>
    </row>
    <row r="10">
      <c r="A10" s="2" t="inlineStr">
        <is>
          <t>1 H/S</t>
        </is>
      </c>
      <c r="B10" t="n">
        <v>1</v>
      </c>
      <c r="C10" s="22" t="n">
        <v>80</v>
      </c>
      <c r="D10" s="22" t="n">
        <v>160</v>
      </c>
      <c r="E10" s="22" t="n">
        <v>520</v>
      </c>
      <c r="F10" s="22" t="n">
        <v>80</v>
      </c>
      <c r="G10" s="22" t="n">
        <v>160</v>
      </c>
      <c r="H10" s="22" t="n">
        <v>720</v>
      </c>
      <c r="J10" t="n">
        <v>-8</v>
      </c>
      <c r="K10">
        <f>K9-50</f>
        <v/>
      </c>
      <c r="L10">
        <f>L9-300</f>
        <v/>
      </c>
      <c r="M10">
        <f>L10*2</f>
        <v/>
      </c>
      <c r="N10">
        <f>N9-100</f>
        <v/>
      </c>
      <c r="O10">
        <f>O9-300</f>
        <v/>
      </c>
      <c r="P10">
        <f>O10*2</f>
        <v/>
      </c>
    </row>
    <row r="11">
      <c r="B11" t="n">
        <v>2</v>
      </c>
      <c r="C11" s="22" t="n">
        <v>110</v>
      </c>
      <c r="D11" s="22" t="n">
        <v>260</v>
      </c>
      <c r="E11" s="22" t="n">
        <v>720</v>
      </c>
      <c r="F11" s="22" t="n">
        <v>110</v>
      </c>
      <c r="G11" s="22" t="n">
        <v>360</v>
      </c>
      <c r="H11" s="22" t="n">
        <v>1120</v>
      </c>
      <c r="J11" t="n">
        <v>-9</v>
      </c>
      <c r="K11">
        <f>K10-50</f>
        <v/>
      </c>
      <c r="L11">
        <f>L10-300</f>
        <v/>
      </c>
      <c r="M11">
        <f>L11*2</f>
        <v/>
      </c>
      <c r="N11">
        <f>N10-100</f>
        <v/>
      </c>
      <c r="O11">
        <f>O10-300</f>
        <v/>
      </c>
      <c r="P11">
        <f>O11*2</f>
        <v/>
      </c>
    </row>
    <row r="12">
      <c r="B12" t="n">
        <v>3</v>
      </c>
      <c r="C12" s="22" t="n">
        <v>140</v>
      </c>
      <c r="D12" s="22" t="n">
        <v>360</v>
      </c>
      <c r="E12" s="22" t="n">
        <v>920</v>
      </c>
      <c r="F12" s="22" t="n">
        <v>140</v>
      </c>
      <c r="G12" s="22" t="n">
        <v>560</v>
      </c>
      <c r="H12" s="22" t="n">
        <v>1520</v>
      </c>
      <c r="J12" t="n">
        <v>-10</v>
      </c>
      <c r="K12">
        <f>K11-50</f>
        <v/>
      </c>
      <c r="L12">
        <f>L11-300</f>
        <v/>
      </c>
      <c r="M12">
        <f>L12*2</f>
        <v/>
      </c>
      <c r="N12">
        <f>N11-100</f>
        <v/>
      </c>
      <c r="O12">
        <f>O11-300</f>
        <v/>
      </c>
      <c r="P12">
        <f>O12*2</f>
        <v/>
      </c>
    </row>
    <row r="13">
      <c r="B13" t="n">
        <v>4</v>
      </c>
      <c r="C13" s="22" t="n">
        <v>170</v>
      </c>
      <c r="D13" s="22" t="n">
        <v>460</v>
      </c>
      <c r="E13" s="22" t="n">
        <v>1120</v>
      </c>
      <c r="F13" s="22" t="n">
        <v>170</v>
      </c>
      <c r="G13" s="22" t="n">
        <v>760</v>
      </c>
      <c r="H13" s="22" t="n">
        <v>1920</v>
      </c>
      <c r="J13" t="n">
        <v>-11</v>
      </c>
      <c r="K13">
        <f>K12-50</f>
        <v/>
      </c>
      <c r="L13">
        <f>L12-300</f>
        <v/>
      </c>
      <c r="M13">
        <f>L13*2</f>
        <v/>
      </c>
      <c r="N13">
        <f>N12-100</f>
        <v/>
      </c>
      <c r="O13">
        <f>O12-300</f>
        <v/>
      </c>
      <c r="P13">
        <f>O13*2</f>
        <v/>
      </c>
    </row>
    <row r="14">
      <c r="B14" t="n">
        <v>5</v>
      </c>
      <c r="C14" s="22" t="n">
        <v>200</v>
      </c>
      <c r="D14" s="22" t="n">
        <v>560</v>
      </c>
      <c r="E14" s="22" t="n">
        <v>1320</v>
      </c>
      <c r="F14" s="22" t="n">
        <v>200</v>
      </c>
      <c r="G14" s="22" t="n">
        <v>960</v>
      </c>
      <c r="H14" s="22" t="n">
        <v>2320</v>
      </c>
      <c r="J14" t="n">
        <v>-12</v>
      </c>
      <c r="K14">
        <f>K13-50</f>
        <v/>
      </c>
      <c r="L14">
        <f>L13-300</f>
        <v/>
      </c>
      <c r="M14">
        <f>L14*2</f>
        <v/>
      </c>
      <c r="N14">
        <f>N13-100</f>
        <v/>
      </c>
      <c r="O14">
        <f>O13-300</f>
        <v/>
      </c>
      <c r="P14">
        <f>O14*2</f>
        <v/>
      </c>
    </row>
    <row r="15">
      <c r="B15" t="n">
        <v>6</v>
      </c>
      <c r="C15" s="22" t="n">
        <v>230</v>
      </c>
      <c r="D15" s="22" t="n">
        <v>660</v>
      </c>
      <c r="E15" s="22" t="n">
        <v>1520</v>
      </c>
      <c r="F15" s="22" t="n">
        <v>230</v>
      </c>
      <c r="G15" s="22" t="n">
        <v>1160</v>
      </c>
      <c r="H15" s="22" t="n">
        <v>2720</v>
      </c>
      <c r="J15" t="n">
        <v>-13</v>
      </c>
      <c r="K15">
        <f>K14-50</f>
        <v/>
      </c>
      <c r="L15">
        <f>L14-300</f>
        <v/>
      </c>
      <c r="M15">
        <f>L15*2</f>
        <v/>
      </c>
      <c r="N15">
        <f>N14-100</f>
        <v/>
      </c>
      <c r="O15">
        <f>O14-300</f>
        <v/>
      </c>
      <c r="P15">
        <f>O15*2</f>
        <v/>
      </c>
    </row>
    <row r="16">
      <c r="B16" t="n">
        <v>7</v>
      </c>
      <c r="C16" s="22" t="n">
        <v>260</v>
      </c>
      <c r="D16" s="22" t="n">
        <v>760</v>
      </c>
      <c r="E16" s="22" t="n">
        <v>1720</v>
      </c>
      <c r="F16" s="22" t="n">
        <v>260</v>
      </c>
      <c r="G16" s="22" t="n">
        <v>1360</v>
      </c>
      <c r="H16" s="22" t="n">
        <v>3120</v>
      </c>
    </row>
    <row r="17">
      <c r="A17" s="2" t="inlineStr">
        <is>
          <t>1 NT</t>
        </is>
      </c>
      <c r="B17" t="n">
        <v>1</v>
      </c>
      <c r="C17" s="22" t="n">
        <v>90</v>
      </c>
      <c r="D17" s="22" t="n">
        <v>180</v>
      </c>
      <c r="E17" s="22" t="n">
        <v>560</v>
      </c>
      <c r="F17" s="22" t="n">
        <v>90</v>
      </c>
      <c r="G17" s="22" t="n">
        <v>180</v>
      </c>
      <c r="H17" s="22" t="n">
        <v>760</v>
      </c>
    </row>
    <row r="18">
      <c r="B18" t="n">
        <v>2</v>
      </c>
      <c r="C18" s="22" t="n">
        <v>120</v>
      </c>
      <c r="D18" s="22" t="n">
        <v>280</v>
      </c>
      <c r="E18" s="22" t="n">
        <v>760</v>
      </c>
      <c r="F18" s="22" t="n">
        <v>120</v>
      </c>
      <c r="G18" s="22" t="n">
        <v>380</v>
      </c>
      <c r="H18" s="22" t="n">
        <v>1160</v>
      </c>
    </row>
    <row r="19">
      <c r="B19" t="n">
        <v>3</v>
      </c>
      <c r="C19" s="22" t="n">
        <v>150</v>
      </c>
      <c r="D19" s="22" t="n">
        <v>380</v>
      </c>
      <c r="E19" s="22" t="n">
        <v>960</v>
      </c>
      <c r="F19" s="22" t="n">
        <v>150</v>
      </c>
      <c r="G19" s="22" t="n">
        <v>580</v>
      </c>
      <c r="H19" s="22" t="n">
        <v>1560</v>
      </c>
    </row>
    <row r="20">
      <c r="B20" t="n">
        <v>4</v>
      </c>
      <c r="C20" s="22" t="n">
        <v>180</v>
      </c>
      <c r="D20" s="22" t="n">
        <v>480</v>
      </c>
      <c r="E20" s="22" t="n">
        <v>1160</v>
      </c>
      <c r="F20" s="22" t="n">
        <v>180</v>
      </c>
      <c r="G20" s="22" t="n">
        <v>780</v>
      </c>
      <c r="H20" s="22" t="n">
        <v>1960</v>
      </c>
    </row>
    <row r="21">
      <c r="B21" t="n">
        <v>5</v>
      </c>
      <c r="C21" s="22" t="n">
        <v>210</v>
      </c>
      <c r="D21" s="22" t="n">
        <v>580</v>
      </c>
      <c r="E21" s="22" t="n">
        <v>1360</v>
      </c>
      <c r="F21" s="22" t="n">
        <v>210</v>
      </c>
      <c r="G21" s="22" t="n">
        <v>980</v>
      </c>
      <c r="H21" s="22" t="n">
        <v>2360</v>
      </c>
    </row>
    <row r="22">
      <c r="B22" t="n">
        <v>6</v>
      </c>
      <c r="C22" s="22" t="n">
        <v>240</v>
      </c>
      <c r="D22" s="22" t="n">
        <v>680</v>
      </c>
      <c r="E22" s="22" t="n">
        <v>1560</v>
      </c>
      <c r="F22" s="22" t="n">
        <v>240</v>
      </c>
      <c r="G22" s="22" t="n">
        <v>1180</v>
      </c>
      <c r="H22" s="22" t="n">
        <v>2760</v>
      </c>
    </row>
    <row r="23">
      <c r="B23" t="n">
        <v>7</v>
      </c>
      <c r="C23" s="22" t="n">
        <v>270</v>
      </c>
      <c r="D23" s="22" t="n">
        <v>780</v>
      </c>
      <c r="E23" s="22" t="n">
        <v>1760</v>
      </c>
      <c r="F23" s="22" t="n">
        <v>270</v>
      </c>
      <c r="G23" s="22" t="n">
        <v>1380</v>
      </c>
      <c r="H23" s="22" t="n">
        <v>3160</v>
      </c>
    </row>
    <row r="24">
      <c r="A24" s="2" t="inlineStr">
        <is>
          <t>2 D/C</t>
        </is>
      </c>
      <c r="B24" t="n">
        <v>2</v>
      </c>
      <c r="C24" s="22" t="n">
        <v>90</v>
      </c>
      <c r="D24" s="22" t="n">
        <v>180</v>
      </c>
      <c r="E24" s="22" t="n">
        <v>560</v>
      </c>
      <c r="F24" s="22" t="n">
        <v>90</v>
      </c>
      <c r="G24" s="22" t="n">
        <v>180</v>
      </c>
      <c r="H24" s="22" t="n">
        <v>760</v>
      </c>
    </row>
    <row r="25">
      <c r="B25" t="n">
        <v>3</v>
      </c>
      <c r="C25" s="22" t="n">
        <v>110</v>
      </c>
      <c r="D25" s="22" t="n">
        <v>280</v>
      </c>
      <c r="E25" s="22" t="n">
        <v>760</v>
      </c>
      <c r="F25" s="22" t="n">
        <v>110</v>
      </c>
      <c r="G25" s="22" t="n">
        <v>380</v>
      </c>
      <c r="H25" s="22" t="n">
        <v>1160</v>
      </c>
    </row>
    <row r="26">
      <c r="B26" t="n">
        <v>4</v>
      </c>
      <c r="C26" s="22" t="n">
        <v>130</v>
      </c>
      <c r="D26" s="22" t="n">
        <v>380</v>
      </c>
      <c r="E26" s="22" t="n">
        <v>960</v>
      </c>
      <c r="F26" s="22" t="n">
        <v>130</v>
      </c>
      <c r="G26" s="22" t="n">
        <v>580</v>
      </c>
      <c r="H26" s="22" t="n">
        <v>1560</v>
      </c>
    </row>
    <row r="27">
      <c r="B27" t="n">
        <v>5</v>
      </c>
      <c r="C27" s="22" t="n">
        <v>150</v>
      </c>
      <c r="D27" s="22" t="n">
        <v>480</v>
      </c>
      <c r="E27" s="22" t="n">
        <v>1160</v>
      </c>
      <c r="F27" s="22" t="n">
        <v>150</v>
      </c>
      <c r="G27" s="22" t="n">
        <v>780</v>
      </c>
      <c r="H27" s="22" t="n">
        <v>1960</v>
      </c>
    </row>
    <row r="28">
      <c r="B28" t="n">
        <v>6</v>
      </c>
      <c r="C28" s="22" t="n">
        <v>170</v>
      </c>
      <c r="D28" s="22" t="n">
        <v>580</v>
      </c>
      <c r="E28" s="22" t="n">
        <v>1360</v>
      </c>
      <c r="F28" s="22" t="n">
        <v>170</v>
      </c>
      <c r="G28" s="22" t="n">
        <v>980</v>
      </c>
      <c r="H28" s="22" t="n">
        <v>2360</v>
      </c>
    </row>
    <row r="29">
      <c r="B29" t="n">
        <v>7</v>
      </c>
      <c r="C29" s="22" t="n">
        <v>190</v>
      </c>
      <c r="D29" s="22" t="n">
        <v>680</v>
      </c>
      <c r="E29" s="22" t="n">
        <v>1560</v>
      </c>
      <c r="F29" s="22" t="n">
        <v>190</v>
      </c>
      <c r="G29" s="22" t="n">
        <v>1180</v>
      </c>
      <c r="H29" s="22" t="n">
        <v>2760</v>
      </c>
    </row>
    <row r="30">
      <c r="A30" s="2" t="inlineStr">
        <is>
          <t>2 H/S</t>
        </is>
      </c>
      <c r="B30" t="n">
        <v>2</v>
      </c>
      <c r="C30" s="22" t="n">
        <v>110</v>
      </c>
      <c r="D30" s="22" t="n">
        <v>470</v>
      </c>
      <c r="E30" s="22" t="n">
        <v>640</v>
      </c>
      <c r="F30" s="22" t="n">
        <v>110</v>
      </c>
      <c r="G30" s="22" t="n">
        <v>670</v>
      </c>
      <c r="H30" s="22" t="n">
        <v>840</v>
      </c>
    </row>
    <row r="31">
      <c r="B31" t="n">
        <v>3</v>
      </c>
      <c r="C31" s="22" t="n">
        <v>140</v>
      </c>
      <c r="D31" s="22" t="n">
        <v>570</v>
      </c>
      <c r="E31" s="22" t="n">
        <v>840</v>
      </c>
      <c r="F31" s="22" t="n">
        <v>140</v>
      </c>
      <c r="G31" s="22" t="n">
        <v>870</v>
      </c>
      <c r="H31" s="22" t="n">
        <v>1240</v>
      </c>
    </row>
    <row r="32">
      <c r="B32" t="n">
        <v>4</v>
      </c>
      <c r="C32" s="22" t="n">
        <v>170</v>
      </c>
      <c r="D32" s="22" t="n">
        <v>670</v>
      </c>
      <c r="E32" s="22" t="n">
        <v>1040</v>
      </c>
      <c r="F32" s="22" t="n">
        <v>170</v>
      </c>
      <c r="G32" s="22" t="n">
        <v>1070</v>
      </c>
      <c r="H32" s="22" t="n">
        <v>1640</v>
      </c>
    </row>
    <row r="33">
      <c r="B33" t="n">
        <v>5</v>
      </c>
      <c r="C33" s="22" t="n">
        <v>200</v>
      </c>
      <c r="D33" s="22" t="n">
        <v>770</v>
      </c>
      <c r="E33" s="22" t="n">
        <v>1240</v>
      </c>
      <c r="F33" s="22" t="n">
        <v>200</v>
      </c>
      <c r="G33" s="22" t="n">
        <v>1270</v>
      </c>
      <c r="H33" s="22" t="n">
        <v>2040</v>
      </c>
    </row>
    <row r="34">
      <c r="B34" t="n">
        <v>6</v>
      </c>
      <c r="C34" s="22" t="n">
        <v>230</v>
      </c>
      <c r="D34" s="22" t="n">
        <v>870</v>
      </c>
      <c r="E34" s="22" t="n">
        <v>1440</v>
      </c>
      <c r="F34" s="22" t="n">
        <v>230</v>
      </c>
      <c r="G34" s="22" t="n">
        <v>1470</v>
      </c>
      <c r="H34" s="22" t="n">
        <v>2440</v>
      </c>
    </row>
    <row r="35">
      <c r="B35" t="n">
        <v>7</v>
      </c>
      <c r="C35" s="22" t="n">
        <v>260</v>
      </c>
      <c r="D35" s="22" t="n">
        <v>970</v>
      </c>
      <c r="E35" s="22" t="n">
        <v>1640</v>
      </c>
      <c r="F35" s="22" t="n">
        <v>260</v>
      </c>
      <c r="G35" s="22" t="n">
        <v>1670</v>
      </c>
      <c r="H35" s="22" t="n">
        <v>2840</v>
      </c>
    </row>
    <row r="36">
      <c r="A36" s="2" t="inlineStr">
        <is>
          <t>2 NT</t>
        </is>
      </c>
      <c r="B36" t="n">
        <v>2</v>
      </c>
      <c r="C36" s="22" t="n">
        <v>120</v>
      </c>
      <c r="D36" s="22" t="n">
        <v>490</v>
      </c>
      <c r="E36" s="22" t="n">
        <v>680</v>
      </c>
      <c r="F36" s="22" t="n">
        <v>120</v>
      </c>
      <c r="G36" s="22" t="n">
        <v>690</v>
      </c>
      <c r="H36" s="22" t="n">
        <v>880</v>
      </c>
    </row>
    <row r="37">
      <c r="B37" t="n">
        <v>3</v>
      </c>
      <c r="C37" s="22" t="n">
        <v>150</v>
      </c>
      <c r="D37" s="22" t="n">
        <v>590</v>
      </c>
      <c r="E37" s="22" t="n">
        <v>880</v>
      </c>
      <c r="F37" s="22" t="n">
        <v>150</v>
      </c>
      <c r="G37" s="22" t="n">
        <v>890</v>
      </c>
      <c r="H37" s="22" t="n">
        <v>1280</v>
      </c>
    </row>
    <row r="38">
      <c r="B38" t="n">
        <v>4</v>
      </c>
      <c r="C38" s="22" t="n">
        <v>180</v>
      </c>
      <c r="D38" s="22" t="n">
        <v>690</v>
      </c>
      <c r="E38" s="22" t="n">
        <v>1080</v>
      </c>
      <c r="F38" s="22" t="n">
        <v>180</v>
      </c>
      <c r="G38" s="22" t="n">
        <v>1090</v>
      </c>
      <c r="H38" s="22" t="n">
        <v>1680</v>
      </c>
    </row>
    <row r="39">
      <c r="B39" t="n">
        <v>5</v>
      </c>
      <c r="C39" s="22" t="n">
        <v>210</v>
      </c>
      <c r="D39" s="22" t="n">
        <v>790</v>
      </c>
      <c r="E39" s="22" t="n">
        <v>1280</v>
      </c>
      <c r="F39" s="22" t="n">
        <v>210</v>
      </c>
      <c r="G39" s="22" t="n">
        <v>1290</v>
      </c>
      <c r="H39" s="22" t="n">
        <v>2080</v>
      </c>
    </row>
    <row r="40">
      <c r="B40" t="n">
        <v>6</v>
      </c>
      <c r="C40" s="22" t="n">
        <v>240</v>
      </c>
      <c r="D40" s="22" t="n">
        <v>890</v>
      </c>
      <c r="E40" s="22" t="n">
        <v>1480</v>
      </c>
      <c r="F40" s="22" t="n">
        <v>240</v>
      </c>
      <c r="G40" s="22" t="n">
        <v>1490</v>
      </c>
      <c r="H40" s="22" t="n">
        <v>2480</v>
      </c>
    </row>
    <row r="41">
      <c r="B41" t="n">
        <v>7</v>
      </c>
      <c r="C41" s="22" t="n">
        <v>270</v>
      </c>
      <c r="D41" s="22" t="n">
        <v>990</v>
      </c>
      <c r="E41" s="22" t="n">
        <v>1680</v>
      </c>
      <c r="F41" s="22" t="n">
        <v>270</v>
      </c>
      <c r="G41" s="22" t="n">
        <v>1690</v>
      </c>
      <c r="H41" s="22" t="n">
        <v>2880</v>
      </c>
    </row>
    <row r="42">
      <c r="A42" s="2" t="inlineStr">
        <is>
          <t>3 D/C</t>
        </is>
      </c>
      <c r="B42" t="n">
        <v>3</v>
      </c>
      <c r="C42" s="22" t="n">
        <v>110</v>
      </c>
      <c r="D42" s="22" t="n">
        <v>470</v>
      </c>
      <c r="E42" s="22" t="n">
        <v>640</v>
      </c>
      <c r="F42" s="22" t="n">
        <v>110</v>
      </c>
      <c r="G42" s="22" t="n">
        <v>670</v>
      </c>
      <c r="H42" s="22" t="n">
        <v>840</v>
      </c>
    </row>
    <row r="43">
      <c r="B43" t="n">
        <v>4</v>
      </c>
      <c r="C43" s="22" t="n">
        <v>130</v>
      </c>
      <c r="D43" s="22" t="n">
        <v>570</v>
      </c>
      <c r="E43" s="22" t="n">
        <v>840</v>
      </c>
      <c r="F43" s="22" t="n">
        <v>130</v>
      </c>
      <c r="G43" s="22" t="n">
        <v>870</v>
      </c>
      <c r="H43" s="22" t="n">
        <v>1240</v>
      </c>
    </row>
    <row r="44">
      <c r="B44" t="n">
        <v>5</v>
      </c>
      <c r="C44" s="22" t="n">
        <v>150</v>
      </c>
      <c r="D44" s="22" t="n">
        <v>670</v>
      </c>
      <c r="E44" s="22" t="n">
        <v>1040</v>
      </c>
      <c r="F44" s="22" t="n">
        <v>150</v>
      </c>
      <c r="G44" s="22" t="n">
        <v>1070</v>
      </c>
      <c r="H44" s="22" t="n">
        <v>1640</v>
      </c>
    </row>
    <row r="45">
      <c r="B45" t="n">
        <v>6</v>
      </c>
      <c r="C45" s="22" t="n">
        <v>170</v>
      </c>
      <c r="D45" s="22" t="n">
        <v>770</v>
      </c>
      <c r="E45" s="22" t="n">
        <v>1240</v>
      </c>
      <c r="F45" s="22" t="n">
        <v>170</v>
      </c>
      <c r="G45" s="22" t="n">
        <v>1270</v>
      </c>
      <c r="H45" s="22" t="n">
        <v>2040</v>
      </c>
    </row>
    <row r="46">
      <c r="B46" t="n">
        <v>7</v>
      </c>
      <c r="C46" s="22" t="n">
        <v>190</v>
      </c>
      <c r="D46" s="22" t="n">
        <v>870</v>
      </c>
      <c r="E46" s="22" t="n">
        <v>1440</v>
      </c>
      <c r="F46" s="22" t="n">
        <v>190</v>
      </c>
      <c r="G46" s="22" t="n">
        <v>1470</v>
      </c>
      <c r="H46" s="22" t="n">
        <v>2440</v>
      </c>
    </row>
    <row r="47">
      <c r="A47" s="2" t="inlineStr">
        <is>
          <t>3 H/S</t>
        </is>
      </c>
      <c r="B47" t="n">
        <v>3</v>
      </c>
      <c r="C47" s="22" t="n">
        <v>140</v>
      </c>
      <c r="D47" s="22" t="n">
        <v>530</v>
      </c>
      <c r="E47" s="22" t="n">
        <v>760</v>
      </c>
      <c r="F47" s="22" t="n">
        <v>140</v>
      </c>
      <c r="G47" s="22" t="n">
        <v>730</v>
      </c>
      <c r="H47" s="22" t="n">
        <v>960</v>
      </c>
    </row>
    <row r="48">
      <c r="B48" t="n">
        <v>4</v>
      </c>
      <c r="C48" s="22" t="n">
        <v>170</v>
      </c>
      <c r="D48" s="22" t="n">
        <v>630</v>
      </c>
      <c r="E48" s="22" t="n">
        <v>960</v>
      </c>
      <c r="F48" s="22" t="n">
        <v>170</v>
      </c>
      <c r="G48" s="22" t="n">
        <v>930</v>
      </c>
      <c r="H48" s="22" t="n">
        <v>1360</v>
      </c>
    </row>
    <row r="49">
      <c r="B49" t="n">
        <v>5</v>
      </c>
      <c r="C49" s="22" t="n">
        <v>200</v>
      </c>
      <c r="D49" s="22" t="n">
        <v>730</v>
      </c>
      <c r="E49" s="22" t="n">
        <v>1160</v>
      </c>
      <c r="F49" s="22" t="n">
        <v>200</v>
      </c>
      <c r="G49" s="22" t="n">
        <v>1130</v>
      </c>
      <c r="H49" s="22" t="n">
        <v>1760</v>
      </c>
    </row>
    <row r="50">
      <c r="B50" t="n">
        <v>6</v>
      </c>
      <c r="C50" s="22" t="n">
        <v>230</v>
      </c>
      <c r="D50" s="22" t="n">
        <v>830</v>
      </c>
      <c r="E50" s="22" t="n">
        <v>1360</v>
      </c>
      <c r="F50" s="22" t="n">
        <v>230</v>
      </c>
      <c r="G50" s="22" t="n">
        <v>1330</v>
      </c>
      <c r="H50" s="22" t="n">
        <v>2160</v>
      </c>
    </row>
    <row r="51">
      <c r="B51" t="n">
        <v>7</v>
      </c>
      <c r="C51" s="22" t="n">
        <v>260</v>
      </c>
      <c r="D51" s="22" t="n">
        <v>930</v>
      </c>
      <c r="E51" s="22" t="n">
        <v>1560</v>
      </c>
      <c r="F51" s="22" t="n">
        <v>260</v>
      </c>
      <c r="G51" s="22" t="n">
        <v>1530</v>
      </c>
      <c r="H51" s="22" t="n">
        <v>2560</v>
      </c>
    </row>
    <row r="52">
      <c r="A52" s="2" t="inlineStr">
        <is>
          <t>3 NT</t>
        </is>
      </c>
      <c r="B52" t="n">
        <v>3</v>
      </c>
      <c r="C52" s="22" t="n">
        <v>400</v>
      </c>
      <c r="D52" s="22" t="n">
        <v>550</v>
      </c>
      <c r="E52" s="22" t="n">
        <v>800</v>
      </c>
      <c r="F52" s="22" t="n">
        <v>600</v>
      </c>
      <c r="G52" s="22" t="n">
        <v>750</v>
      </c>
      <c r="H52" s="22" t="n">
        <v>1000</v>
      </c>
    </row>
    <row r="53">
      <c r="B53" t="n">
        <v>4</v>
      </c>
      <c r="C53" s="22" t="n">
        <v>430</v>
      </c>
      <c r="D53" s="22" t="n">
        <v>650</v>
      </c>
      <c r="E53" s="22" t="n">
        <v>1000</v>
      </c>
      <c r="F53" s="22" t="n">
        <v>630</v>
      </c>
      <c r="G53" s="22" t="n">
        <v>950</v>
      </c>
      <c r="H53" s="22" t="n">
        <v>1400</v>
      </c>
    </row>
    <row r="54">
      <c r="B54" t="n">
        <v>5</v>
      </c>
      <c r="C54" s="22" t="n">
        <v>460</v>
      </c>
      <c r="D54" s="22" t="n">
        <v>750</v>
      </c>
      <c r="E54" s="22" t="n">
        <v>1200</v>
      </c>
      <c r="F54" s="22" t="n">
        <v>660</v>
      </c>
      <c r="G54" s="22" t="n">
        <v>1150</v>
      </c>
      <c r="H54" s="22" t="n">
        <v>1800</v>
      </c>
    </row>
    <row r="55">
      <c r="B55" t="n">
        <v>6</v>
      </c>
      <c r="C55" s="22" t="n">
        <v>490</v>
      </c>
      <c r="D55" s="22" t="n">
        <v>850</v>
      </c>
      <c r="E55" s="22" t="n">
        <v>1400</v>
      </c>
      <c r="F55" s="22" t="n">
        <v>690</v>
      </c>
      <c r="G55" s="22" t="n">
        <v>1350</v>
      </c>
      <c r="H55" s="22" t="n">
        <v>2200</v>
      </c>
    </row>
    <row r="56">
      <c r="B56" t="n">
        <v>7</v>
      </c>
      <c r="C56" s="22" t="n">
        <v>520</v>
      </c>
      <c r="D56" s="22" t="n">
        <v>950</v>
      </c>
      <c r="E56" s="22" t="n">
        <v>1600</v>
      </c>
      <c r="F56" s="22" t="n">
        <v>720</v>
      </c>
      <c r="G56" s="22" t="n">
        <v>1550</v>
      </c>
      <c r="H56" s="22" t="n">
        <v>2600</v>
      </c>
    </row>
    <row r="57">
      <c r="A57" s="2" t="inlineStr">
        <is>
          <t>4 D/C</t>
        </is>
      </c>
      <c r="B57" t="n">
        <v>4</v>
      </c>
      <c r="C57" s="22" t="n">
        <v>130</v>
      </c>
      <c r="D57" s="22" t="n">
        <v>510</v>
      </c>
      <c r="E57" s="22" t="n">
        <v>720</v>
      </c>
      <c r="F57" s="22" t="n">
        <v>130</v>
      </c>
      <c r="G57" s="22" t="n">
        <v>710</v>
      </c>
      <c r="H57" s="22" t="n">
        <v>920</v>
      </c>
    </row>
    <row r="58">
      <c r="B58" t="n">
        <v>5</v>
      </c>
      <c r="C58" s="22" t="n">
        <v>150</v>
      </c>
      <c r="D58" s="22" t="n">
        <v>610</v>
      </c>
      <c r="E58" s="22" t="n">
        <v>920</v>
      </c>
      <c r="F58" s="22" t="n">
        <v>150</v>
      </c>
      <c r="G58" s="22" t="n">
        <v>910</v>
      </c>
      <c r="H58" s="22" t="n">
        <v>1320</v>
      </c>
    </row>
    <row r="59">
      <c r="B59" t="n">
        <v>6</v>
      </c>
      <c r="C59" s="22" t="n">
        <v>170</v>
      </c>
      <c r="D59" s="22" t="n">
        <v>710</v>
      </c>
      <c r="E59" s="22" t="n">
        <v>1120</v>
      </c>
      <c r="F59" s="22" t="n">
        <v>170</v>
      </c>
      <c r="G59" s="22" t="n">
        <v>1110</v>
      </c>
      <c r="H59" s="22" t="n">
        <v>1720</v>
      </c>
    </row>
    <row r="60">
      <c r="B60" t="n">
        <v>7</v>
      </c>
      <c r="C60" s="22" t="n">
        <v>190</v>
      </c>
      <c r="D60" s="22" t="n">
        <v>810</v>
      </c>
      <c r="E60" s="22" t="n">
        <v>1320</v>
      </c>
      <c r="F60" s="22" t="n">
        <v>190</v>
      </c>
      <c r="G60" s="22" t="n">
        <v>1310</v>
      </c>
      <c r="H60" s="22" t="n">
        <v>2120</v>
      </c>
    </row>
    <row r="61">
      <c r="A61" s="2" t="inlineStr">
        <is>
          <t>4 H/S</t>
        </is>
      </c>
      <c r="B61" t="n">
        <v>4</v>
      </c>
      <c r="C61" s="22" t="n">
        <v>420</v>
      </c>
      <c r="D61" s="22" t="n">
        <v>590</v>
      </c>
      <c r="E61" s="22" t="n">
        <v>880</v>
      </c>
      <c r="F61" s="22" t="n">
        <v>620</v>
      </c>
      <c r="G61" s="22" t="n">
        <v>790</v>
      </c>
      <c r="H61" s="22" t="n">
        <v>1080</v>
      </c>
    </row>
    <row r="62">
      <c r="B62" t="n">
        <v>5</v>
      </c>
      <c r="C62" s="22" t="n">
        <v>450</v>
      </c>
      <c r="D62" s="22" t="n">
        <v>690</v>
      </c>
      <c r="E62" s="22" t="n">
        <v>1080</v>
      </c>
      <c r="F62" s="22" t="n">
        <v>650</v>
      </c>
      <c r="G62" s="22" t="n">
        <v>990</v>
      </c>
      <c r="H62" s="22" t="n">
        <v>1480</v>
      </c>
    </row>
    <row r="63">
      <c r="B63" t="n">
        <v>6</v>
      </c>
      <c r="C63" s="22" t="n">
        <v>480</v>
      </c>
      <c r="D63" s="22" t="n">
        <v>790</v>
      </c>
      <c r="E63" s="22" t="n">
        <v>1280</v>
      </c>
      <c r="F63" s="22" t="n">
        <v>680</v>
      </c>
      <c r="G63" s="22" t="n">
        <v>1190</v>
      </c>
      <c r="H63" s="22" t="n">
        <v>1880</v>
      </c>
    </row>
    <row r="64">
      <c r="B64" t="n">
        <v>7</v>
      </c>
      <c r="C64" s="22" t="n">
        <v>510</v>
      </c>
      <c r="D64" s="22" t="n">
        <v>890</v>
      </c>
      <c r="E64" s="22" t="n">
        <v>1480</v>
      </c>
      <c r="F64" s="22" t="n">
        <v>710</v>
      </c>
      <c r="G64" s="22" t="n">
        <v>1390</v>
      </c>
      <c r="H64" s="22" t="n">
        <v>2280</v>
      </c>
    </row>
    <row r="65">
      <c r="A65" s="2" t="inlineStr">
        <is>
          <t>4 NT</t>
        </is>
      </c>
      <c r="B65" t="n">
        <v>4</v>
      </c>
      <c r="C65" s="22" t="n">
        <v>430</v>
      </c>
      <c r="D65" s="22" t="n">
        <v>610</v>
      </c>
      <c r="E65" s="22" t="n">
        <v>920</v>
      </c>
      <c r="F65" s="22" t="n">
        <v>630</v>
      </c>
      <c r="G65" s="22" t="n">
        <v>810</v>
      </c>
      <c r="H65" s="22" t="n">
        <v>1120</v>
      </c>
    </row>
    <row r="66">
      <c r="B66" t="n">
        <v>5</v>
      </c>
      <c r="C66" s="22" t="n">
        <v>460</v>
      </c>
      <c r="D66" s="22" t="n">
        <v>710</v>
      </c>
      <c r="E66" s="22" t="n">
        <v>1120</v>
      </c>
      <c r="F66" s="22" t="n">
        <v>660</v>
      </c>
      <c r="G66" s="22" t="n">
        <v>1010</v>
      </c>
      <c r="H66" s="22" t="n">
        <v>1520</v>
      </c>
    </row>
    <row r="67">
      <c r="B67" t="n">
        <v>6</v>
      </c>
      <c r="C67" s="22" t="n">
        <v>490</v>
      </c>
      <c r="D67" s="22" t="n">
        <v>810</v>
      </c>
      <c r="E67" s="22" t="n">
        <v>1320</v>
      </c>
      <c r="F67" s="22" t="n">
        <v>690</v>
      </c>
      <c r="G67" s="22" t="n">
        <v>1210</v>
      </c>
      <c r="H67" s="22" t="n">
        <v>1920</v>
      </c>
    </row>
    <row r="68">
      <c r="B68" t="n">
        <v>7</v>
      </c>
      <c r="C68" s="22" t="n">
        <v>520</v>
      </c>
      <c r="D68" s="22" t="n">
        <v>910</v>
      </c>
      <c r="E68" s="22" t="n">
        <v>1520</v>
      </c>
      <c r="F68" s="22" t="n">
        <v>720</v>
      </c>
      <c r="G68" s="22" t="n">
        <v>1410</v>
      </c>
      <c r="H68" s="22" t="n">
        <v>2320</v>
      </c>
    </row>
    <row r="69">
      <c r="A69" s="2" t="inlineStr">
        <is>
          <t>5 D/C</t>
        </is>
      </c>
      <c r="B69" t="n">
        <v>5</v>
      </c>
      <c r="C69" s="22" t="n">
        <v>400</v>
      </c>
      <c r="D69" s="22" t="n">
        <v>550</v>
      </c>
      <c r="E69" s="22" t="n">
        <v>800</v>
      </c>
      <c r="F69" s="22" t="n">
        <v>600</v>
      </c>
      <c r="G69" s="22" t="n">
        <v>750</v>
      </c>
      <c r="H69" s="22" t="n">
        <v>1000</v>
      </c>
    </row>
    <row r="70">
      <c r="B70" t="n">
        <v>6</v>
      </c>
      <c r="C70" s="22" t="n">
        <v>420</v>
      </c>
      <c r="D70" s="22" t="n">
        <v>650</v>
      </c>
      <c r="E70" s="22" t="n">
        <v>1000</v>
      </c>
      <c r="F70" s="22" t="n">
        <v>620</v>
      </c>
      <c r="G70" s="22" t="n">
        <v>950</v>
      </c>
      <c r="H70" s="22" t="n">
        <v>1400</v>
      </c>
    </row>
    <row r="71">
      <c r="B71" t="n">
        <v>7</v>
      </c>
      <c r="C71" s="22" t="n">
        <v>440</v>
      </c>
      <c r="D71" s="22" t="n">
        <v>750</v>
      </c>
      <c r="E71" s="22" t="n">
        <v>1200</v>
      </c>
      <c r="F71" s="22" t="n">
        <v>640</v>
      </c>
      <c r="G71" s="22" t="n">
        <v>1150</v>
      </c>
      <c r="H71" s="22" t="n">
        <v>1800</v>
      </c>
    </row>
    <row r="72">
      <c r="A72" s="2" t="inlineStr">
        <is>
          <t>5 H/S</t>
        </is>
      </c>
      <c r="B72" t="n">
        <v>5</v>
      </c>
      <c r="C72" s="22" t="n">
        <v>450</v>
      </c>
      <c r="D72" s="22" t="n">
        <v>650</v>
      </c>
      <c r="E72" s="22" t="n">
        <v>1000</v>
      </c>
      <c r="F72" s="22" t="n">
        <v>650</v>
      </c>
      <c r="G72" s="22" t="n">
        <v>850</v>
      </c>
      <c r="H72" s="22" t="n">
        <v>1200</v>
      </c>
    </row>
    <row r="73">
      <c r="B73" t="n">
        <v>6</v>
      </c>
      <c r="C73" s="22" t="n">
        <v>480</v>
      </c>
      <c r="D73" s="22" t="n">
        <v>750</v>
      </c>
      <c r="E73" s="22" t="n">
        <v>1200</v>
      </c>
      <c r="F73" s="22" t="n">
        <v>680</v>
      </c>
      <c r="G73" s="22" t="n">
        <v>1050</v>
      </c>
      <c r="H73" s="22" t="n">
        <v>1600</v>
      </c>
    </row>
    <row r="74">
      <c r="B74" t="n">
        <v>7</v>
      </c>
      <c r="C74" s="22" t="n">
        <v>510</v>
      </c>
      <c r="D74" s="22" t="n">
        <v>850</v>
      </c>
      <c r="E74" s="22" t="n">
        <v>1400</v>
      </c>
      <c r="F74" s="22" t="n">
        <v>710</v>
      </c>
      <c r="G74" s="22" t="n">
        <v>1250</v>
      </c>
      <c r="H74" s="22" t="n">
        <v>2000</v>
      </c>
    </row>
    <row r="75">
      <c r="A75" s="2" t="inlineStr">
        <is>
          <t>5 NT</t>
        </is>
      </c>
      <c r="B75" t="n">
        <v>5</v>
      </c>
      <c r="C75" s="22" t="n">
        <v>460</v>
      </c>
      <c r="D75" s="22" t="n">
        <v>670</v>
      </c>
      <c r="E75" s="22" t="n">
        <v>1040</v>
      </c>
      <c r="F75" s="22" t="n">
        <v>660</v>
      </c>
      <c r="G75" s="22" t="n">
        <v>870</v>
      </c>
      <c r="H75" s="22" t="n">
        <v>1240</v>
      </c>
    </row>
    <row r="76">
      <c r="B76" t="n">
        <v>6</v>
      </c>
      <c r="C76" s="22" t="n">
        <v>490</v>
      </c>
      <c r="D76" s="22" t="n">
        <v>770</v>
      </c>
      <c r="E76" s="22" t="n">
        <v>1240</v>
      </c>
      <c r="F76" s="22" t="n">
        <v>690</v>
      </c>
      <c r="G76" s="22" t="n">
        <v>1070</v>
      </c>
      <c r="H76" s="22" t="n">
        <v>1640</v>
      </c>
    </row>
    <row r="77">
      <c r="B77" t="n">
        <v>7</v>
      </c>
      <c r="C77" s="22" t="n">
        <v>520</v>
      </c>
      <c r="D77" s="22" t="n">
        <v>870</v>
      </c>
      <c r="E77" s="22" t="n">
        <v>1440</v>
      </c>
      <c r="F77" s="22" t="n">
        <v>720</v>
      </c>
      <c r="G77" s="22" t="n">
        <v>1270</v>
      </c>
      <c r="H77" s="22" t="n">
        <v>2040</v>
      </c>
    </row>
    <row r="78">
      <c r="A78" s="2" t="inlineStr">
        <is>
          <t>6 D/C</t>
        </is>
      </c>
      <c r="B78" t="n">
        <v>6</v>
      </c>
      <c r="C78" s="22" t="n">
        <v>920</v>
      </c>
      <c r="D78" s="22" t="n">
        <v>1090</v>
      </c>
      <c r="E78" s="22" t="n">
        <v>1380</v>
      </c>
      <c r="F78" s="22" t="n">
        <v>1370</v>
      </c>
      <c r="G78" s="22" t="n">
        <v>1540</v>
      </c>
      <c r="H78" s="22" t="n">
        <v>1830</v>
      </c>
    </row>
    <row r="79">
      <c r="B79" t="n">
        <v>7</v>
      </c>
      <c r="C79" s="22" t="n">
        <v>940</v>
      </c>
      <c r="D79" s="22" t="n">
        <v>1190</v>
      </c>
      <c r="E79" s="22" t="n">
        <v>1580</v>
      </c>
      <c r="F79" s="22" t="n">
        <v>1390</v>
      </c>
      <c r="G79" s="22" t="n">
        <v>1740</v>
      </c>
      <c r="H79" s="22" t="n">
        <v>2230</v>
      </c>
    </row>
    <row r="80">
      <c r="A80" s="2" t="inlineStr">
        <is>
          <t>6 H/S</t>
        </is>
      </c>
      <c r="B80" t="n">
        <v>6</v>
      </c>
      <c r="C80" s="22" t="n">
        <v>980</v>
      </c>
      <c r="D80" s="22" t="n">
        <v>1210</v>
      </c>
      <c r="E80" s="22" t="n">
        <v>1620</v>
      </c>
      <c r="F80" s="22" t="n">
        <v>1430</v>
      </c>
      <c r="G80" s="22" t="n">
        <v>1660</v>
      </c>
      <c r="H80" s="22" t="n">
        <v>2070</v>
      </c>
    </row>
    <row r="81">
      <c r="B81" t="n">
        <v>7</v>
      </c>
      <c r="C81" s="22" t="n">
        <v>1010</v>
      </c>
      <c r="D81" s="22" t="n">
        <v>1310</v>
      </c>
      <c r="E81" s="22" t="n">
        <v>1820</v>
      </c>
      <c r="F81" s="22" t="n">
        <v>1460</v>
      </c>
      <c r="G81" s="22" t="n">
        <v>1860</v>
      </c>
      <c r="H81" s="22" t="n">
        <v>2470</v>
      </c>
    </row>
    <row r="82">
      <c r="A82" s="2" t="inlineStr">
        <is>
          <t>6 NT</t>
        </is>
      </c>
      <c r="B82" t="n">
        <v>6</v>
      </c>
      <c r="C82" s="22" t="n">
        <v>990</v>
      </c>
      <c r="D82" s="22" t="n">
        <v>1230</v>
      </c>
      <c r="E82" s="22" t="n">
        <v>1660</v>
      </c>
      <c r="F82" s="22" t="n">
        <v>1440</v>
      </c>
      <c r="G82" s="22" t="n">
        <v>1680</v>
      </c>
      <c r="H82" s="22" t="n">
        <v>2110</v>
      </c>
    </row>
    <row r="83">
      <c r="B83" t="n">
        <v>7</v>
      </c>
      <c r="C83" s="22" t="n">
        <v>1020</v>
      </c>
      <c r="D83" s="22" t="n">
        <v>1330</v>
      </c>
      <c r="E83" s="22" t="n">
        <v>1860</v>
      </c>
      <c r="F83" s="22" t="n">
        <v>1470</v>
      </c>
      <c r="G83" s="22" t="n">
        <v>1880</v>
      </c>
      <c r="H83" s="22" t="n">
        <v>2510</v>
      </c>
    </row>
    <row r="84">
      <c r="A84" s="2" t="inlineStr">
        <is>
          <t>7 D/C</t>
        </is>
      </c>
      <c r="B84" t="n">
        <v>7</v>
      </c>
      <c r="C84" s="22" t="n">
        <v>1440</v>
      </c>
      <c r="D84" s="22" t="n">
        <v>1630</v>
      </c>
      <c r="E84" s="22" t="n">
        <v>1960</v>
      </c>
      <c r="F84" s="22" t="n">
        <v>2140</v>
      </c>
      <c r="G84" s="22" t="n">
        <v>2330</v>
      </c>
      <c r="H84" s="22" t="n">
        <v>2660</v>
      </c>
    </row>
    <row r="85">
      <c r="A85" s="2" t="inlineStr">
        <is>
          <t>7 H/S</t>
        </is>
      </c>
      <c r="B85" t="n">
        <v>7</v>
      </c>
      <c r="C85" s="22" t="n">
        <v>1510</v>
      </c>
      <c r="D85" s="22" t="n">
        <v>1770</v>
      </c>
      <c r="E85" s="22" t="n">
        <v>2240</v>
      </c>
      <c r="F85" s="22" t="n">
        <v>2210</v>
      </c>
      <c r="G85" s="22" t="n">
        <v>2470</v>
      </c>
      <c r="H85" s="22" t="n">
        <v>2940</v>
      </c>
    </row>
    <row r="86">
      <c r="A86" s="2" t="inlineStr">
        <is>
          <t>7 NT</t>
        </is>
      </c>
      <c r="B86" t="n">
        <v>7</v>
      </c>
      <c r="C86" s="22" t="n">
        <v>1520</v>
      </c>
      <c r="D86" s="22" t="n">
        <v>1790</v>
      </c>
      <c r="E86" s="22" t="n">
        <v>2280</v>
      </c>
      <c r="F86" s="22" t="n">
        <v>2220</v>
      </c>
      <c r="G86" s="22" t="n">
        <v>2490</v>
      </c>
      <c r="H86" s="22" t="n">
        <v>2980</v>
      </c>
    </row>
  </sheetData>
  <mergeCells count="4">
    <mergeCell ref="C1:E1"/>
    <mergeCell ref="N1:P1"/>
    <mergeCell ref="F1:H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2026-09-06T17:18:37Z</dcterms:created>
  <dcterms:modified xsi:type="dcterms:W3CDTF">2026-09-06T17:18:37Z</dcterms:modified>
</cp:coreProperties>
</file>