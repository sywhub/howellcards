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Apr 23,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4</v>
      </c>
    </row>
    <row r="4">
      <c r="A4" s="3" t="inlineStr">
        <is>
          <t>Tables</t>
        </is>
      </c>
      <c r="C4" s="3" t="n">
        <v>2</v>
      </c>
    </row>
    <row r="5">
      <c r="A5" s="3" t="inlineStr">
        <is>
          <t>Rounds</t>
        </is>
      </c>
      <c r="C5" s="3" t="n">
        <v>6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18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87</t>
        </is>
      </c>
      <c r="C10" t="inlineStr">
        <is>
          <t>Name 81</t>
        </is>
      </c>
      <c r="D10" s="4">
        <f>SUMIF('By Board'!D3:D38,"="&amp;A10,'By Board'!Q3:Q38)/18+SUMIF('By Board'!E3:E38,"="&amp;A10,'By Board'!R3:R38)/18</f>
        <v/>
      </c>
      <c r="E10" s="5">
        <f>SUMIF('By Board'!D3:D38,"="&amp;A10,'By Board'!M3:M38)+SUMIF('By Board'!E3:E38,"="&amp;A10,'By Board'!N3:N38)</f>
        <v/>
      </c>
    </row>
    <row r="11">
      <c r="A11" s="2" t="n">
        <v>2</v>
      </c>
      <c r="B11" t="inlineStr">
        <is>
          <t>Name 74</t>
        </is>
      </c>
      <c r="C11" t="inlineStr">
        <is>
          <t>Name 65</t>
        </is>
      </c>
      <c r="D11" s="4">
        <f>SUMIF('By Board'!D3:D38,"="&amp;A11,'By Board'!Q3:Q38)/18+SUMIF('By Board'!E3:E38,"="&amp;A11,'By Board'!R3:R38)/18</f>
        <v/>
      </c>
      <c r="E11" s="5">
        <f>SUMIF('By Board'!D3:D38,"="&amp;A11,'By Board'!M3:M38)+SUMIF('By Board'!E3:E38,"="&amp;A11,'By Board'!N3:N38)</f>
        <v/>
      </c>
    </row>
    <row r="12">
      <c r="A12" s="2" t="n">
        <v>3</v>
      </c>
      <c r="B12" t="inlineStr">
        <is>
          <t>Name 26</t>
        </is>
      </c>
      <c r="C12" t="inlineStr">
        <is>
          <t>Name 49</t>
        </is>
      </c>
      <c r="D12" s="4">
        <f>SUMIF('By Board'!D3:D38,"="&amp;A12,'By Board'!Q3:Q38)/18+SUMIF('By Board'!E3:E38,"="&amp;A12,'By Board'!R3:R38)/18</f>
        <v/>
      </c>
      <c r="E12" s="5">
        <f>SUMIF('By Board'!D3:D38,"="&amp;A12,'By Board'!M3:M38)+SUMIF('By Board'!E3:E38,"="&amp;A12,'By Board'!N3:N38)</f>
        <v/>
      </c>
    </row>
    <row r="13">
      <c r="A13" s="2" t="n">
        <v>4</v>
      </c>
      <c r="B13" t="inlineStr">
        <is>
          <t>Name 49</t>
        </is>
      </c>
      <c r="C13" t="inlineStr">
        <is>
          <t>Name 38</t>
        </is>
      </c>
      <c r="D13" s="4">
        <f>SUMIF('By Board'!D3:D38,"="&amp;A13,'By Board'!Q3:Q38)/18+0/18</f>
        <v/>
      </c>
      <c r="E13" s="5">
        <f>SUMIF('By Board'!D3:D38,"="&amp;A13,'By Board'!M3:M38)+0</f>
        <v/>
      </c>
    </row>
    <row r="14">
      <c r="D14" s="6">
        <f>AVERAGE(D10:D13)</f>
        <v/>
      </c>
      <c r="E14" s="7">
        <f>SUM(E10:E13)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W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V2" s="2" t="inlineStr">
        <is>
          <t>EW MP Scores</t>
        </is>
      </c>
      <c r="W2" s="9" t="inlineStr">
        <is>
          <t>NS IMP Pair-wise</t>
        </is>
      </c>
      <c r="X2" s="2" t="inlineStr">
        <is>
          <t>EW IMP Pair-wise</t>
        </is>
      </c>
    </row>
    <row r="3">
      <c r="A3" s="10" t="n">
        <v>1</v>
      </c>
      <c r="B3" s="10">
        <f>'By Round'!A21</f>
        <v/>
      </c>
      <c r="C3" s="10">
        <f>'By Round'!B24</f>
        <v/>
      </c>
      <c r="D3" s="10">
        <f>'By Round'!C24</f>
        <v/>
      </c>
      <c r="E3" s="10">
        <f>'By Round'!D24</f>
        <v/>
      </c>
      <c r="F3" s="10">
        <f>IF(ISBLANK('By Round'!F24),"",'By Round'!F24)</f>
        <v/>
      </c>
      <c r="G3">
        <f>IF(ISBLANK('By Round'!G24),"",'By Round'!G24)</f>
        <v/>
      </c>
      <c r="H3">
        <f>IF(ISBLANK('By Round'!H24),"",'By Round'!H24)</f>
        <v/>
      </c>
      <c r="I3">
        <f>IF(ISBLANK('By Round'!I24),"",'By Round'!I24)</f>
        <v/>
      </c>
      <c r="J3">
        <f>IF(ISBLANK('By Round'!J24),"",'By Round'!J24)</f>
        <v/>
      </c>
      <c r="K3">
        <f>IF(ISBLANK('By Round'!K24),"",'By Round'!K24)</f>
        <v/>
      </c>
      <c r="L3">
        <f>IF(ISBLANK('By Round'!L24),"",'By Round'!L24)</f>
        <v/>
      </c>
      <c r="M3" s="11">
        <f>AVERAGE(W3:W3)</f>
        <v/>
      </c>
      <c r="N3" s="12">
        <f>AVERAGE(X3:X3)</f>
        <v/>
      </c>
      <c r="O3" s="13">
        <f>IF(COUNT(U3:U3)&gt;0,Q3/COUNT(U3:U3),0.5)</f>
        <v/>
      </c>
      <c r="P3" s="13">
        <f>IF(COUNT(V3:V3)&gt;0,R3/COUNT(V3:V3),0.5)</f>
        <v/>
      </c>
      <c r="Q3" s="5">
        <f>SUM(U3:U3)</f>
        <v/>
      </c>
      <c r="R3" s="5">
        <f>SUM(V3:V3)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IF(ISNUMBER(T3),IF(ISNUMBER(T4),IF(T3&gt;T4,1.0,IF(T3=T4,0.5,0.0)),0.5),0.5)</f>
        <v/>
      </c>
      <c r="W3" s="14">
        <f>IF(AND(ISNUMBER(S3),ISNUMBER(S4)),VLOOKUP(ABS(S3-S4),'IMP Table'!$A$2:$C$26,3)*SIGN(S3-S4),0)</f>
        <v/>
      </c>
      <c r="X3">
        <f>IF(AND(ISNUMBER(T3),ISNUMBER(T4)),VLOOKUP(ABS(T3-T4),'IMP Table'!$A$2:$C$26,3)*SIGN(T3-T4),0)</f>
        <v/>
      </c>
    </row>
    <row r="4">
      <c r="A4" s="15" t="n"/>
      <c r="B4" s="16">
        <f>'By Round'!A3</f>
        <v/>
      </c>
      <c r="C4" s="16">
        <f>'By Round'!B3</f>
        <v/>
      </c>
      <c r="D4" s="16">
        <f>'By Round'!C3</f>
        <v/>
      </c>
      <c r="E4" s="16">
        <f>'By Round'!D3</f>
        <v/>
      </c>
      <c r="F4" s="16">
        <f>IF(ISBLANK('By Round'!F3),"",'By Round'!F3)</f>
        <v/>
      </c>
      <c r="G4" s="15">
        <f>IF(ISBLANK('By Round'!G3),"",'By Round'!G3)</f>
        <v/>
      </c>
      <c r="H4" s="15">
        <f>IF(ISBLANK('By Round'!H3),"",'By Round'!H3)</f>
        <v/>
      </c>
      <c r="I4" s="15">
        <f>IF(ISBLANK('By Round'!I3),"",'By Round'!I3)</f>
        <v/>
      </c>
      <c r="J4" s="15">
        <f>IF(ISBLANK('By Round'!J3),"",'By Round'!J3)</f>
        <v/>
      </c>
      <c r="K4" s="15">
        <f>IF(ISBLANK('By Round'!K3),"",'By Round'!K3)</f>
        <v/>
      </c>
      <c r="L4" s="15">
        <f>IF(ISBLANK('By Round'!L3),"",'By Round'!L3)</f>
        <v/>
      </c>
      <c r="M4" s="17">
        <f>AVERAGE(W4:W4)</f>
        <v/>
      </c>
      <c r="N4" s="18">
        <f>AVERAGE(X4:X4)</f>
        <v/>
      </c>
      <c r="O4" s="19">
        <f>IF(COUNT(U4:U4)&gt;0,Q4/COUNT(U4:U4),0.5)</f>
        <v/>
      </c>
      <c r="P4" s="19">
        <f>IF(COUNT(V4:V4)&gt;0,R4/COUNT(V4:V4),0.5)</f>
        <v/>
      </c>
      <c r="Q4" s="20">
        <f>SUM(U4:U4)</f>
        <v/>
      </c>
      <c r="R4" s="20">
        <f>SUM(V4:V4)</f>
        <v/>
      </c>
      <c r="S4" s="21">
        <f>IF(ISNUMBER(K4),K4,IF(ISNUMBER(L4),-L4,""))</f>
        <v/>
      </c>
      <c r="T4" s="15">
        <f>IF(ISNUMBER(L4),L4,IF(ISNUMBER(K4),-K4,""))</f>
        <v/>
      </c>
      <c r="U4" s="21">
        <f>IF(ISNUMBER(S4),IF(ISNUMBER(S3),IF(S4&gt;S3,1.0,IF(S4=S3,0.5,0.0)),0.5),0.5)</f>
        <v/>
      </c>
      <c r="V4" s="15">
        <f>IF(ISNUMBER(T4),IF(ISNUMBER(T3),IF(T4&gt;T3,1.0,IF(T4=T3,0.5,0.0)),0.5),0.5)</f>
        <v/>
      </c>
      <c r="W4" s="21">
        <f>IF(AND(ISNUMBER(S4),ISNUMBER(S3)),VLOOKUP(ABS(S4-S3),'IMP Table'!$A$2:$C$26,3)*SIGN(S4-S3),0)</f>
        <v/>
      </c>
      <c r="X4" s="15">
        <f>IF(AND(ISNUMBER(T4),ISNUMBER(T3)),VLOOKUP(ABS(T4-T3),'IMP Table'!$A$2:$C$26,3)*SIGN(T4-T3),0)</f>
        <v/>
      </c>
    </row>
    <row r="5">
      <c r="A5" s="10" t="n">
        <v>2</v>
      </c>
      <c r="B5" s="10">
        <f>'By Round'!A21</f>
        <v/>
      </c>
      <c r="C5" s="10">
        <f>'By Round'!B24</f>
        <v/>
      </c>
      <c r="D5" s="10">
        <f>'By Round'!C24</f>
        <v/>
      </c>
      <c r="E5" s="10">
        <f>'By Round'!D24</f>
        <v/>
      </c>
      <c r="F5" s="10">
        <f>IF(ISBLANK('By Round'!F25),"",'By Round'!F25)</f>
        <v/>
      </c>
      <c r="G5">
        <f>IF(ISBLANK('By Round'!G25),"",'By Round'!G25)</f>
        <v/>
      </c>
      <c r="H5">
        <f>IF(ISBLANK('By Round'!H25),"",'By Round'!H25)</f>
        <v/>
      </c>
      <c r="I5">
        <f>IF(ISBLANK('By Round'!I25),"",'By Round'!I25)</f>
        <v/>
      </c>
      <c r="J5">
        <f>IF(ISBLANK('By Round'!J25),"",'By Round'!J25)</f>
        <v/>
      </c>
      <c r="K5">
        <f>IF(ISBLANK('By Round'!K25),"",'By Round'!K25)</f>
        <v/>
      </c>
      <c r="L5">
        <f>IF(ISBLANK('By Round'!L25),"",'By Round'!L25)</f>
        <v/>
      </c>
      <c r="M5" s="11">
        <f>AVERAGE(W5:W5)</f>
        <v/>
      </c>
      <c r="N5" s="12">
        <f>AVERAGE(X5:X5)</f>
        <v/>
      </c>
      <c r="O5" s="13">
        <f>IF(COUNT(U5:U5)&gt;0,Q5/COUNT(U5:U5),0.5)</f>
        <v/>
      </c>
      <c r="P5" s="13">
        <f>IF(COUNT(V5:V5)&gt;0,R5/COUNT(V5:V5),0.5)</f>
        <v/>
      </c>
      <c r="Q5" s="5">
        <f>SUM(U5:U5)</f>
        <v/>
      </c>
      <c r="R5" s="5">
        <f>SUM(V5:V5)</f>
        <v/>
      </c>
      <c r="S5" s="14">
        <f>IF(ISNUMBER(K5),K5,IF(ISNUMBER(L5),-L5,""))</f>
        <v/>
      </c>
      <c r="T5">
        <f>IF(ISNUMBER(L5),L5,IF(ISNUMBER(K5),-K5,""))</f>
        <v/>
      </c>
      <c r="U5" s="14">
        <f>IF(ISNUMBER(S5),IF(ISNUMBER(S6),IF(S5&gt;S6,1.0,IF(S5=S6,0.5,0.0)),0.5),0.5)</f>
        <v/>
      </c>
      <c r="V5">
        <f>IF(ISNUMBER(T5),IF(ISNUMBER(T6),IF(T5&gt;T6,1.0,IF(T5=T6,0.5,0.0)),0.5),0.5)</f>
        <v/>
      </c>
      <c r="W5" s="14">
        <f>IF(AND(ISNUMBER(S5),ISNUMBER(S6)),VLOOKUP(ABS(S5-S6),'IMP Table'!$A$2:$C$26,3)*SIGN(S5-S6),0)</f>
        <v/>
      </c>
      <c r="X5">
        <f>IF(AND(ISNUMBER(T5),ISNUMBER(T6)),VLOOKUP(ABS(T5-T6),'IMP Table'!$A$2:$C$26,3)*SIGN(T5-T6),0)</f>
        <v/>
      </c>
    </row>
    <row r="6">
      <c r="A6" s="15" t="n"/>
      <c r="B6" s="16">
        <f>'By Round'!A3</f>
        <v/>
      </c>
      <c r="C6" s="16">
        <f>'By Round'!B3</f>
        <v/>
      </c>
      <c r="D6" s="16">
        <f>'By Round'!C3</f>
        <v/>
      </c>
      <c r="E6" s="16">
        <f>'By Round'!D3</f>
        <v/>
      </c>
      <c r="F6" s="16">
        <f>IF(ISBLANK('By Round'!F4),"",'By Round'!F4)</f>
        <v/>
      </c>
      <c r="G6" s="15">
        <f>IF(ISBLANK('By Round'!G4),"",'By Round'!G4)</f>
        <v/>
      </c>
      <c r="H6" s="15">
        <f>IF(ISBLANK('By Round'!H4),"",'By Round'!H4)</f>
        <v/>
      </c>
      <c r="I6" s="15">
        <f>IF(ISBLANK('By Round'!I4),"",'By Round'!I4)</f>
        <v/>
      </c>
      <c r="J6" s="15">
        <f>IF(ISBLANK('By Round'!J4),"",'By Round'!J4)</f>
        <v/>
      </c>
      <c r="K6" s="15">
        <f>IF(ISBLANK('By Round'!K4),"",'By Round'!K4)</f>
        <v/>
      </c>
      <c r="L6" s="15">
        <f>IF(ISBLANK('By Round'!L4),"",'By Round'!L4)</f>
        <v/>
      </c>
      <c r="M6" s="17">
        <f>AVERAGE(W6:W6)</f>
        <v/>
      </c>
      <c r="N6" s="18">
        <f>AVERAGE(X6:X6)</f>
        <v/>
      </c>
      <c r="O6" s="19">
        <f>IF(COUNT(U6:U6)&gt;0,Q6/COUNT(U6:U6),0.5)</f>
        <v/>
      </c>
      <c r="P6" s="19">
        <f>IF(COUNT(V6:V6)&gt;0,R6/COUNT(V6:V6),0.5)</f>
        <v/>
      </c>
      <c r="Q6" s="20">
        <f>SUM(U6:U6)</f>
        <v/>
      </c>
      <c r="R6" s="20">
        <f>SUM(V6:V6)</f>
        <v/>
      </c>
      <c r="S6" s="21">
        <f>IF(ISNUMBER(K6),K6,IF(ISNUMBER(L6),-L6,""))</f>
        <v/>
      </c>
      <c r="T6" s="15">
        <f>IF(ISNUMBER(L6),L6,IF(ISNUMBER(K6),-K6,""))</f>
        <v/>
      </c>
      <c r="U6" s="21">
        <f>IF(ISNUMBER(S6),IF(ISNUMBER(S5),IF(S6&gt;S5,1.0,IF(S6=S5,0.5,0.0)),0.5),0.5)</f>
        <v/>
      </c>
      <c r="V6" s="15">
        <f>IF(ISNUMBER(T6),IF(ISNUMBER(T5),IF(T6&gt;T5,1.0,IF(T6=T5,0.5,0.0)),0.5),0.5)</f>
        <v/>
      </c>
      <c r="W6" s="21">
        <f>IF(AND(ISNUMBER(S6),ISNUMBER(S5)),VLOOKUP(ABS(S6-S5),'IMP Table'!$A$2:$C$26,3)*SIGN(S6-S5),0)</f>
        <v/>
      </c>
      <c r="X6" s="15">
        <f>IF(AND(ISNUMBER(T6),ISNUMBER(T5)),VLOOKUP(ABS(T6-T5),'IMP Table'!$A$2:$C$26,3)*SIGN(T6-T5),0)</f>
        <v/>
      </c>
    </row>
    <row r="7">
      <c r="A7" s="10" t="n">
        <v>3</v>
      </c>
      <c r="B7" s="10">
        <f>'By Round'!A21</f>
        <v/>
      </c>
      <c r="C7" s="10">
        <f>'By Round'!B24</f>
        <v/>
      </c>
      <c r="D7" s="10">
        <f>'By Round'!C24</f>
        <v/>
      </c>
      <c r="E7" s="10">
        <f>'By Round'!D24</f>
        <v/>
      </c>
      <c r="F7" s="10">
        <f>IF(ISBLANK('By Round'!F26),"",'By Round'!F26)</f>
        <v/>
      </c>
      <c r="G7">
        <f>IF(ISBLANK('By Round'!G26),"",'By Round'!G26)</f>
        <v/>
      </c>
      <c r="H7">
        <f>IF(ISBLANK('By Round'!H26),"",'By Round'!H26)</f>
        <v/>
      </c>
      <c r="I7">
        <f>IF(ISBLANK('By Round'!I26),"",'By Round'!I26)</f>
        <v/>
      </c>
      <c r="J7">
        <f>IF(ISBLANK('By Round'!J26),"",'By Round'!J26)</f>
        <v/>
      </c>
      <c r="K7">
        <f>IF(ISBLANK('By Round'!K26),"",'By Round'!K26)</f>
        <v/>
      </c>
      <c r="L7">
        <f>IF(ISBLANK('By Round'!L26),"",'By Round'!L26)</f>
        <v/>
      </c>
      <c r="M7" s="11">
        <f>AVERAGE(W7:W7)</f>
        <v/>
      </c>
      <c r="N7" s="12">
        <f>AVERAGE(X7:X7)</f>
        <v/>
      </c>
      <c r="O7" s="13">
        <f>IF(COUNT(U7:U7)&gt;0,Q7/COUNT(U7:U7),0.5)</f>
        <v/>
      </c>
      <c r="P7" s="13">
        <f>IF(COUNT(V7:V7)&gt;0,R7/COUNT(V7:V7),0.5)</f>
        <v/>
      </c>
      <c r="Q7" s="5">
        <f>SUM(U7:U7)</f>
        <v/>
      </c>
      <c r="R7" s="5">
        <f>SUM(V7:V7)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IF(ISNUMBER(S7),IF(ISNUMBER(S8),IF(S7&gt;S8,1.0,IF(S7=S8,0.5,0.0)),0.5),0.5)</f>
        <v/>
      </c>
      <c r="V7">
        <f>IF(ISNUMBER(T7),IF(ISNUMBER(T8),IF(T7&gt;T8,1.0,IF(T7=T8,0.5,0.0)),0.5),0.5)</f>
        <v/>
      </c>
      <c r="W7" s="14">
        <f>IF(AND(ISNUMBER(S7),ISNUMBER(S8)),VLOOKUP(ABS(S7-S8),'IMP Table'!$A$2:$C$26,3)*SIGN(S7-S8),0)</f>
        <v/>
      </c>
      <c r="X7">
        <f>IF(AND(ISNUMBER(T7),ISNUMBER(T8)),VLOOKUP(ABS(T7-T8),'IMP Table'!$A$2:$C$26,3)*SIGN(T7-T8),0)</f>
        <v/>
      </c>
    </row>
    <row r="8">
      <c r="A8" s="15" t="n"/>
      <c r="B8" s="16">
        <f>'By Round'!A3</f>
        <v/>
      </c>
      <c r="C8" s="16">
        <f>'By Round'!B3</f>
        <v/>
      </c>
      <c r="D8" s="16">
        <f>'By Round'!C3</f>
        <v/>
      </c>
      <c r="E8" s="16">
        <f>'By Round'!D3</f>
        <v/>
      </c>
      <c r="F8" s="16">
        <f>IF(ISBLANK('By Round'!F5),"",'By Round'!F5)</f>
        <v/>
      </c>
      <c r="G8" s="15">
        <f>IF(ISBLANK('By Round'!G5),"",'By Round'!G5)</f>
        <v/>
      </c>
      <c r="H8" s="15">
        <f>IF(ISBLANK('By Round'!H5),"",'By Round'!H5)</f>
        <v/>
      </c>
      <c r="I8" s="15">
        <f>IF(ISBLANK('By Round'!I5),"",'By Round'!I5)</f>
        <v/>
      </c>
      <c r="J8" s="15">
        <f>IF(ISBLANK('By Round'!J5),"",'By Round'!J5)</f>
        <v/>
      </c>
      <c r="K8" s="15">
        <f>IF(ISBLANK('By Round'!K5),"",'By Round'!K5)</f>
        <v/>
      </c>
      <c r="L8" s="15">
        <f>IF(ISBLANK('By Round'!L5),"",'By Round'!L5)</f>
        <v/>
      </c>
      <c r="M8" s="17">
        <f>AVERAGE(W8:W8)</f>
        <v/>
      </c>
      <c r="N8" s="18">
        <f>AVERAGE(X8:X8)</f>
        <v/>
      </c>
      <c r="O8" s="19">
        <f>IF(COUNT(U8:U8)&gt;0,Q8/COUNT(U8:U8),0.5)</f>
        <v/>
      </c>
      <c r="P8" s="19">
        <f>IF(COUNT(V8:V8)&gt;0,R8/COUNT(V8:V8),0.5)</f>
        <v/>
      </c>
      <c r="Q8" s="20">
        <f>SUM(U8:U8)</f>
        <v/>
      </c>
      <c r="R8" s="20">
        <f>SUM(V8:V8)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IF(ISNUMBER(S8),IF(ISNUMBER(S7),IF(S8&gt;S7,1.0,IF(S8=S7,0.5,0.0)),0.5),0.5)</f>
        <v/>
      </c>
      <c r="V8" s="15">
        <f>IF(ISNUMBER(T8),IF(ISNUMBER(T7),IF(T8&gt;T7,1.0,IF(T8=T7,0.5,0.0)),0.5),0.5)</f>
        <v/>
      </c>
      <c r="W8" s="21">
        <f>IF(AND(ISNUMBER(S8),ISNUMBER(S7)),VLOOKUP(ABS(S8-S7),'IMP Table'!$A$2:$C$26,3)*SIGN(S8-S7),0)</f>
        <v/>
      </c>
      <c r="X8" s="15">
        <f>IF(AND(ISNUMBER(T8),ISNUMBER(T7)),VLOOKUP(ABS(T8-T7),'IMP Table'!$A$2:$C$26,3)*SIGN(T8-T7),0)</f>
        <v/>
      </c>
    </row>
    <row r="9">
      <c r="A9" s="10" t="n">
        <v>4</v>
      </c>
      <c r="B9" s="10">
        <f>'By Round'!A27</f>
        <v/>
      </c>
      <c r="C9" s="10">
        <f>'By Round'!B30</f>
        <v/>
      </c>
      <c r="D9" s="10">
        <f>'By Round'!C30</f>
        <v/>
      </c>
      <c r="E9" s="10">
        <f>'By Round'!D30</f>
        <v/>
      </c>
      <c r="F9" s="10">
        <f>IF(ISBLANK('By Round'!F30),"",'By Round'!F30)</f>
        <v/>
      </c>
      <c r="G9">
        <f>IF(ISBLANK('By Round'!G30),"",'By Round'!G30)</f>
        <v/>
      </c>
      <c r="H9">
        <f>IF(ISBLANK('By Round'!H30),"",'By Round'!H30)</f>
        <v/>
      </c>
      <c r="I9">
        <f>IF(ISBLANK('By Round'!I30),"",'By Round'!I30)</f>
        <v/>
      </c>
      <c r="J9">
        <f>IF(ISBLANK('By Round'!J30),"",'By Round'!J30)</f>
        <v/>
      </c>
      <c r="K9">
        <f>IF(ISBLANK('By Round'!K30),"",'By Round'!K30)</f>
        <v/>
      </c>
      <c r="L9">
        <f>IF(ISBLANK('By Round'!L30),"",'By Round'!L30)</f>
        <v/>
      </c>
      <c r="M9" s="11">
        <f>AVERAGE(W9:W9)</f>
        <v/>
      </c>
      <c r="N9" s="12">
        <f>AVERAGE(X9:X9)</f>
        <v/>
      </c>
      <c r="O9" s="13">
        <f>IF(COUNT(U9:U9)&gt;0,Q9/COUNT(U9:U9),0.5)</f>
        <v/>
      </c>
      <c r="P9" s="13">
        <f>IF(COUNT(V9:V9)&gt;0,R9/COUNT(V9:V9),0.5)</f>
        <v/>
      </c>
      <c r="Q9" s="5">
        <f>SUM(U9:U9)</f>
        <v/>
      </c>
      <c r="R9" s="5">
        <f>SUM(V9:V9)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IF(ISNUMBER(T9),IF(ISNUMBER(T10),IF(T9&gt;T10,1.0,IF(T9=T10,0.5,0.0)),0.5),0.5)</f>
        <v/>
      </c>
      <c r="W9" s="14">
        <f>IF(AND(ISNUMBER(S9),ISNUMBER(S10)),VLOOKUP(ABS(S9-S10),'IMP Table'!$A$2:$C$26,3)*SIGN(S9-S10),0)</f>
        <v/>
      </c>
      <c r="X9">
        <f>IF(AND(ISNUMBER(T9),ISNUMBER(T10)),VLOOKUP(ABS(T9-T10),'IMP Table'!$A$2:$C$26,3)*SIGN(T9-T10),0)</f>
        <v/>
      </c>
    </row>
    <row r="10">
      <c r="A10" s="15" t="n"/>
      <c r="B10" s="16">
        <f>'By Round'!A9</f>
        <v/>
      </c>
      <c r="C10" s="16">
        <f>'By Round'!B9</f>
        <v/>
      </c>
      <c r="D10" s="16">
        <f>'By Round'!C9</f>
        <v/>
      </c>
      <c r="E10" s="16">
        <f>'By Round'!D9</f>
        <v/>
      </c>
      <c r="F10" s="16">
        <f>IF(ISBLANK('By Round'!F9),"",'By Round'!F9)</f>
        <v/>
      </c>
      <c r="G10" s="15">
        <f>IF(ISBLANK('By Round'!G9),"",'By Round'!G9)</f>
        <v/>
      </c>
      <c r="H10" s="15">
        <f>IF(ISBLANK('By Round'!H9),"",'By Round'!H9)</f>
        <v/>
      </c>
      <c r="I10" s="15">
        <f>IF(ISBLANK('By Round'!I9),"",'By Round'!I9)</f>
        <v/>
      </c>
      <c r="J10" s="15">
        <f>IF(ISBLANK('By Round'!J9),"",'By Round'!J9)</f>
        <v/>
      </c>
      <c r="K10" s="15">
        <f>IF(ISBLANK('By Round'!K9),"",'By Round'!K9)</f>
        <v/>
      </c>
      <c r="L10" s="15">
        <f>IF(ISBLANK('By Round'!L9),"",'By Round'!L9)</f>
        <v/>
      </c>
      <c r="M10" s="17">
        <f>AVERAGE(W10:W10)</f>
        <v/>
      </c>
      <c r="N10" s="18">
        <f>AVERAGE(X10:X10)</f>
        <v/>
      </c>
      <c r="O10" s="19">
        <f>IF(COUNT(U10:U10)&gt;0,Q10/COUNT(U10:U10),0.5)</f>
        <v/>
      </c>
      <c r="P10" s="19">
        <f>IF(COUNT(V10:V10)&gt;0,R10/COUNT(V10:V10),0.5)</f>
        <v/>
      </c>
      <c r="Q10" s="20">
        <f>SUM(U10:U10)</f>
        <v/>
      </c>
      <c r="R10" s="20">
        <f>SUM(V10:V10)</f>
        <v/>
      </c>
      <c r="S10" s="21">
        <f>IF(ISNUMBER(K10),K10,IF(ISNUMBER(L10),-L10,""))</f>
        <v/>
      </c>
      <c r="T10" s="15">
        <f>IF(ISNUMBER(L10),L10,IF(ISNUMBER(K10),-K10,""))</f>
        <v/>
      </c>
      <c r="U10" s="21">
        <f>IF(ISNUMBER(S10),IF(ISNUMBER(S9),IF(S10&gt;S9,1.0,IF(S10=S9,0.5,0.0)),0.5),0.5)</f>
        <v/>
      </c>
      <c r="V10" s="15">
        <f>IF(ISNUMBER(T10),IF(ISNUMBER(T9),IF(T10&gt;T9,1.0,IF(T10=T9,0.5,0.0)),0.5),0.5)</f>
        <v/>
      </c>
      <c r="W10" s="21">
        <f>IF(AND(ISNUMBER(S10),ISNUMBER(S9)),VLOOKUP(ABS(S10-S9),'IMP Table'!$A$2:$C$26,3)*SIGN(S10-S9),0)</f>
        <v/>
      </c>
      <c r="X10" s="15">
        <f>IF(AND(ISNUMBER(T10),ISNUMBER(T9)),VLOOKUP(ABS(T10-T9),'IMP Table'!$A$2:$C$26,3)*SIGN(T10-T9),0)</f>
        <v/>
      </c>
    </row>
    <row r="11">
      <c r="A11" s="10" t="n">
        <v>5</v>
      </c>
      <c r="B11" s="10">
        <f>'By Round'!A27</f>
        <v/>
      </c>
      <c r="C11" s="10">
        <f>'By Round'!B30</f>
        <v/>
      </c>
      <c r="D11" s="10">
        <f>'By Round'!C30</f>
        <v/>
      </c>
      <c r="E11" s="10">
        <f>'By Round'!D30</f>
        <v/>
      </c>
      <c r="F11" s="10">
        <f>IF(ISBLANK('By Round'!F31),"",'By Round'!F31)</f>
        <v/>
      </c>
      <c r="G11">
        <f>IF(ISBLANK('By Round'!G31),"",'By Round'!G31)</f>
        <v/>
      </c>
      <c r="H11">
        <f>IF(ISBLANK('By Round'!H31),"",'By Round'!H31)</f>
        <v/>
      </c>
      <c r="I11">
        <f>IF(ISBLANK('By Round'!I31),"",'By Round'!I31)</f>
        <v/>
      </c>
      <c r="J11">
        <f>IF(ISBLANK('By Round'!J31),"",'By Round'!J31)</f>
        <v/>
      </c>
      <c r="K11">
        <f>IF(ISBLANK('By Round'!K31),"",'By Round'!K31)</f>
        <v/>
      </c>
      <c r="L11">
        <f>IF(ISBLANK('By Round'!L31),"",'By Round'!L31)</f>
        <v/>
      </c>
      <c r="M11" s="11">
        <f>AVERAGE(W11:W11)</f>
        <v/>
      </c>
      <c r="N11" s="12">
        <f>AVERAGE(X11:X11)</f>
        <v/>
      </c>
      <c r="O11" s="13">
        <f>IF(COUNT(U11:U11)&gt;0,Q11/COUNT(U11:U11),0.5)</f>
        <v/>
      </c>
      <c r="P11" s="13">
        <f>IF(COUNT(V11:V11)&gt;0,R11/COUNT(V11:V11),0.5)</f>
        <v/>
      </c>
      <c r="Q11" s="5">
        <f>SUM(U11:U11)</f>
        <v/>
      </c>
      <c r="R11" s="5">
        <f>SUM(V11:V11)</f>
        <v/>
      </c>
      <c r="S11" s="14">
        <f>IF(ISNUMBER(K11),K11,IF(ISNUMBER(L11),-L11,""))</f>
        <v/>
      </c>
      <c r="T11">
        <f>IF(ISNUMBER(L11),L11,IF(ISNUMBER(K11),-K11,""))</f>
        <v/>
      </c>
      <c r="U11" s="14">
        <f>IF(ISNUMBER(S11),IF(ISNUMBER(S12),IF(S11&gt;S12,1.0,IF(S11=S12,0.5,0.0)),0.5),0.5)</f>
        <v/>
      </c>
      <c r="V11">
        <f>IF(ISNUMBER(T11),IF(ISNUMBER(T12),IF(T11&gt;T12,1.0,IF(T11=T12,0.5,0.0)),0.5),0.5)</f>
        <v/>
      </c>
      <c r="W11" s="14">
        <f>IF(AND(ISNUMBER(S11),ISNUMBER(S12)),VLOOKUP(ABS(S11-S12),'IMP Table'!$A$2:$C$26,3)*SIGN(S11-S12),0)</f>
        <v/>
      </c>
      <c r="X11">
        <f>IF(AND(ISNUMBER(T11),ISNUMBER(T12)),VLOOKUP(ABS(T11-T12),'IMP Table'!$A$2:$C$26,3)*SIGN(T11-T12),0)</f>
        <v/>
      </c>
    </row>
    <row r="12">
      <c r="A12" s="15" t="n"/>
      <c r="B12" s="16">
        <f>'By Round'!A9</f>
        <v/>
      </c>
      <c r="C12" s="16">
        <f>'By Round'!B9</f>
        <v/>
      </c>
      <c r="D12" s="16">
        <f>'By Round'!C9</f>
        <v/>
      </c>
      <c r="E12" s="16">
        <f>'By Round'!D9</f>
        <v/>
      </c>
      <c r="F12" s="16">
        <f>IF(ISBLANK('By Round'!F10),"",'By Round'!F10)</f>
        <v/>
      </c>
      <c r="G12" s="15">
        <f>IF(ISBLANK('By Round'!G10),"",'By Round'!G10)</f>
        <v/>
      </c>
      <c r="H12" s="15">
        <f>IF(ISBLANK('By Round'!H10),"",'By Round'!H10)</f>
        <v/>
      </c>
      <c r="I12" s="15">
        <f>IF(ISBLANK('By Round'!I10),"",'By Round'!I10)</f>
        <v/>
      </c>
      <c r="J12" s="15">
        <f>IF(ISBLANK('By Round'!J10),"",'By Round'!J10)</f>
        <v/>
      </c>
      <c r="K12" s="15">
        <f>IF(ISBLANK('By Round'!K10),"",'By Round'!K10)</f>
        <v/>
      </c>
      <c r="L12" s="15">
        <f>IF(ISBLANK('By Round'!L10),"",'By Round'!L10)</f>
        <v/>
      </c>
      <c r="M12" s="17">
        <f>AVERAGE(W12:W12)</f>
        <v/>
      </c>
      <c r="N12" s="18">
        <f>AVERAGE(X12:X12)</f>
        <v/>
      </c>
      <c r="O12" s="19">
        <f>IF(COUNT(U12:U12)&gt;0,Q12/COUNT(U12:U12),0.5)</f>
        <v/>
      </c>
      <c r="P12" s="19">
        <f>IF(COUNT(V12:V12)&gt;0,R12/COUNT(V12:V12),0.5)</f>
        <v/>
      </c>
      <c r="Q12" s="20">
        <f>SUM(U12:U12)</f>
        <v/>
      </c>
      <c r="R12" s="20">
        <f>SUM(V12:V12)</f>
        <v/>
      </c>
      <c r="S12" s="21">
        <f>IF(ISNUMBER(K12),K12,IF(ISNUMBER(L12),-L12,""))</f>
        <v/>
      </c>
      <c r="T12" s="15">
        <f>IF(ISNUMBER(L12),L12,IF(ISNUMBER(K12),-K12,""))</f>
        <v/>
      </c>
      <c r="U12" s="21">
        <f>IF(ISNUMBER(S12),IF(ISNUMBER(S11),IF(S12&gt;S11,1.0,IF(S12=S11,0.5,0.0)),0.5),0.5)</f>
        <v/>
      </c>
      <c r="V12" s="15">
        <f>IF(ISNUMBER(T12),IF(ISNUMBER(T11),IF(T12&gt;T11,1.0,IF(T12=T11,0.5,0.0)),0.5),0.5)</f>
        <v/>
      </c>
      <c r="W12" s="21">
        <f>IF(AND(ISNUMBER(S12),ISNUMBER(S11)),VLOOKUP(ABS(S12-S11),'IMP Table'!$A$2:$C$26,3)*SIGN(S12-S11),0)</f>
        <v/>
      </c>
      <c r="X12" s="15">
        <f>IF(AND(ISNUMBER(T12),ISNUMBER(T11)),VLOOKUP(ABS(T12-T11),'IMP Table'!$A$2:$C$26,3)*SIGN(T12-T11),0)</f>
        <v/>
      </c>
    </row>
    <row r="13">
      <c r="A13" s="10" t="n">
        <v>6</v>
      </c>
      <c r="B13" s="10">
        <f>'By Round'!A27</f>
        <v/>
      </c>
      <c r="C13" s="10">
        <f>'By Round'!B30</f>
        <v/>
      </c>
      <c r="D13" s="10">
        <f>'By Round'!C30</f>
        <v/>
      </c>
      <c r="E13" s="10">
        <f>'By Round'!D30</f>
        <v/>
      </c>
      <c r="F13" s="10">
        <f>IF(ISBLANK('By Round'!F32),"",'By Round'!F32)</f>
        <v/>
      </c>
      <c r="G13">
        <f>IF(ISBLANK('By Round'!G32),"",'By Round'!G32)</f>
        <v/>
      </c>
      <c r="H13">
        <f>IF(ISBLANK('By Round'!H32),"",'By Round'!H32)</f>
        <v/>
      </c>
      <c r="I13">
        <f>IF(ISBLANK('By Round'!I32),"",'By Round'!I32)</f>
        <v/>
      </c>
      <c r="J13">
        <f>IF(ISBLANK('By Round'!J32),"",'By Round'!J32)</f>
        <v/>
      </c>
      <c r="K13">
        <f>IF(ISBLANK('By Round'!K32),"",'By Round'!K32)</f>
        <v/>
      </c>
      <c r="L13">
        <f>IF(ISBLANK('By Round'!L32),"",'By Round'!L32)</f>
        <v/>
      </c>
      <c r="M13" s="11">
        <f>AVERAGE(W13:W13)</f>
        <v/>
      </c>
      <c r="N13" s="12">
        <f>AVERAGE(X13:X13)</f>
        <v/>
      </c>
      <c r="O13" s="13">
        <f>IF(COUNT(U13:U13)&gt;0,Q13/COUNT(U13:U13),0.5)</f>
        <v/>
      </c>
      <c r="P13" s="13">
        <f>IF(COUNT(V13:V13)&gt;0,R13/COUNT(V13:V13),0.5)</f>
        <v/>
      </c>
      <c r="Q13" s="5">
        <f>SUM(U13:U13)</f>
        <v/>
      </c>
      <c r="R13" s="5">
        <f>SUM(V13:V13)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IF(ISNUMBER(S13),IF(ISNUMBER(S14),IF(S13&gt;S14,1.0,IF(S13=S14,0.5,0.0)),0.5),0.5)</f>
        <v/>
      </c>
      <c r="V13">
        <f>IF(ISNUMBER(T13),IF(ISNUMBER(T14),IF(T13&gt;T14,1.0,IF(T13=T14,0.5,0.0)),0.5),0.5)</f>
        <v/>
      </c>
      <c r="W13" s="14">
        <f>IF(AND(ISNUMBER(S13),ISNUMBER(S14)),VLOOKUP(ABS(S13-S14),'IMP Table'!$A$2:$C$26,3)*SIGN(S13-S14),0)</f>
        <v/>
      </c>
      <c r="X13">
        <f>IF(AND(ISNUMBER(T13),ISNUMBER(T14)),VLOOKUP(ABS(T13-T14),'IMP Table'!$A$2:$C$26,3)*SIGN(T13-T14),0)</f>
        <v/>
      </c>
    </row>
    <row r="14">
      <c r="A14" s="15" t="n"/>
      <c r="B14" s="16">
        <f>'By Round'!A9</f>
        <v/>
      </c>
      <c r="C14" s="16">
        <f>'By Round'!B9</f>
        <v/>
      </c>
      <c r="D14" s="16">
        <f>'By Round'!C9</f>
        <v/>
      </c>
      <c r="E14" s="16">
        <f>'By Round'!D9</f>
        <v/>
      </c>
      <c r="F14" s="16">
        <f>IF(ISBLANK('By Round'!F11),"",'By Round'!F11)</f>
        <v/>
      </c>
      <c r="G14" s="15">
        <f>IF(ISBLANK('By Round'!G11),"",'By Round'!G11)</f>
        <v/>
      </c>
      <c r="H14" s="15">
        <f>IF(ISBLANK('By Round'!H11),"",'By Round'!H11)</f>
        <v/>
      </c>
      <c r="I14" s="15">
        <f>IF(ISBLANK('By Round'!I11),"",'By Round'!I11)</f>
        <v/>
      </c>
      <c r="J14" s="15">
        <f>IF(ISBLANK('By Round'!J11),"",'By Round'!J11)</f>
        <v/>
      </c>
      <c r="K14" s="15">
        <f>IF(ISBLANK('By Round'!K11),"",'By Round'!K11)</f>
        <v/>
      </c>
      <c r="L14" s="15">
        <f>IF(ISBLANK('By Round'!L11),"",'By Round'!L11)</f>
        <v/>
      </c>
      <c r="M14" s="17">
        <f>AVERAGE(W14:W14)</f>
        <v/>
      </c>
      <c r="N14" s="18">
        <f>AVERAGE(X14:X14)</f>
        <v/>
      </c>
      <c r="O14" s="19">
        <f>IF(COUNT(U14:U14)&gt;0,Q14/COUNT(U14:U14),0.5)</f>
        <v/>
      </c>
      <c r="P14" s="19">
        <f>IF(COUNT(V14:V14)&gt;0,R14/COUNT(V14:V14),0.5)</f>
        <v/>
      </c>
      <c r="Q14" s="20">
        <f>SUM(U14:U14)</f>
        <v/>
      </c>
      <c r="R14" s="20">
        <f>SUM(V14:V14)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IF(ISNUMBER(S14),IF(ISNUMBER(S13),IF(S14&gt;S13,1.0,IF(S14=S13,0.5,0.0)),0.5),0.5)</f>
        <v/>
      </c>
      <c r="V14" s="15">
        <f>IF(ISNUMBER(T14),IF(ISNUMBER(T13),IF(T14&gt;T13,1.0,IF(T14=T13,0.5,0.0)),0.5),0.5)</f>
        <v/>
      </c>
      <c r="W14" s="21">
        <f>IF(AND(ISNUMBER(S14),ISNUMBER(S13)),VLOOKUP(ABS(S14-S13),'IMP Table'!$A$2:$C$26,3)*SIGN(S14-S13),0)</f>
        <v/>
      </c>
      <c r="X14" s="15">
        <f>IF(AND(ISNUMBER(T14),ISNUMBER(T13)),VLOOKUP(ABS(T14-T13),'IMP Table'!$A$2:$C$26,3)*SIGN(T14-T13),0)</f>
        <v/>
      </c>
    </row>
    <row r="15">
      <c r="A15" s="10" t="n">
        <v>7</v>
      </c>
      <c r="B15" s="10">
        <f>'By Round'!A33</f>
        <v/>
      </c>
      <c r="C15" s="10">
        <f>'By Round'!B36</f>
        <v/>
      </c>
      <c r="D15" s="10">
        <f>'By Round'!C36</f>
        <v/>
      </c>
      <c r="E15" s="10">
        <f>'By Round'!D36</f>
        <v/>
      </c>
      <c r="F15" s="10">
        <f>IF(ISBLANK('By Round'!F36),"",'By Round'!F36)</f>
        <v/>
      </c>
      <c r="G15">
        <f>IF(ISBLANK('By Round'!G36),"",'By Round'!G36)</f>
        <v/>
      </c>
      <c r="H15">
        <f>IF(ISBLANK('By Round'!H36),"",'By Round'!H36)</f>
        <v/>
      </c>
      <c r="I15">
        <f>IF(ISBLANK('By Round'!I36),"",'By Round'!I36)</f>
        <v/>
      </c>
      <c r="J15">
        <f>IF(ISBLANK('By Round'!J36),"",'By Round'!J36)</f>
        <v/>
      </c>
      <c r="K15">
        <f>IF(ISBLANK('By Round'!K36),"",'By Round'!K36)</f>
        <v/>
      </c>
      <c r="L15">
        <f>IF(ISBLANK('By Round'!L36),"",'By Round'!L36)</f>
        <v/>
      </c>
      <c r="M15" s="11">
        <f>AVERAGE(W15:W15)</f>
        <v/>
      </c>
      <c r="N15" s="12">
        <f>AVERAGE(X15:X15)</f>
        <v/>
      </c>
      <c r="O15" s="13">
        <f>IF(COUNT(U15:U15)&gt;0,Q15/COUNT(U15:U15),0.5)</f>
        <v/>
      </c>
      <c r="P15" s="13">
        <f>IF(COUNT(V15:V15)&gt;0,R15/COUNT(V15:V15),0.5)</f>
        <v/>
      </c>
      <c r="Q15" s="5">
        <f>SUM(U15:U15)</f>
        <v/>
      </c>
      <c r="R15" s="5">
        <f>SUM(V15:V15)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IF(ISNUMBER(T15),IF(ISNUMBER(T16),IF(T15&gt;T16,1.0,IF(T15=T16,0.5,0.0)),0.5),0.5)</f>
        <v/>
      </c>
      <c r="W15" s="14">
        <f>IF(AND(ISNUMBER(S15),ISNUMBER(S16)),VLOOKUP(ABS(S15-S16),'IMP Table'!$A$2:$C$26,3)*SIGN(S15-S16),0)</f>
        <v/>
      </c>
      <c r="X15">
        <f>IF(AND(ISNUMBER(T15),ISNUMBER(T16)),VLOOKUP(ABS(T15-T16),'IMP Table'!$A$2:$C$26,3)*SIGN(T15-T16),0)</f>
        <v/>
      </c>
    </row>
    <row r="16">
      <c r="A16" s="15" t="n"/>
      <c r="B16" s="16">
        <f>'By Round'!A15</f>
        <v/>
      </c>
      <c r="C16" s="16">
        <f>'By Round'!B15</f>
        <v/>
      </c>
      <c r="D16" s="16">
        <f>'By Round'!C15</f>
        <v/>
      </c>
      <c r="E16" s="16">
        <f>'By Round'!D15</f>
        <v/>
      </c>
      <c r="F16" s="16">
        <f>IF(ISBLANK('By Round'!F15),"",'By Round'!F15)</f>
        <v/>
      </c>
      <c r="G16" s="15">
        <f>IF(ISBLANK('By Round'!G15),"",'By Round'!G15)</f>
        <v/>
      </c>
      <c r="H16" s="15">
        <f>IF(ISBLANK('By Round'!H15),"",'By Round'!H15)</f>
        <v/>
      </c>
      <c r="I16" s="15">
        <f>IF(ISBLANK('By Round'!I15),"",'By Round'!I15)</f>
        <v/>
      </c>
      <c r="J16" s="15">
        <f>IF(ISBLANK('By Round'!J15),"",'By Round'!J15)</f>
        <v/>
      </c>
      <c r="K16" s="15">
        <f>IF(ISBLANK('By Round'!K15),"",'By Round'!K15)</f>
        <v/>
      </c>
      <c r="L16" s="15">
        <f>IF(ISBLANK('By Round'!L15),"",'By Round'!L15)</f>
        <v/>
      </c>
      <c r="M16" s="17">
        <f>AVERAGE(W16:W16)</f>
        <v/>
      </c>
      <c r="N16" s="18">
        <f>AVERAGE(X16:X16)</f>
        <v/>
      </c>
      <c r="O16" s="19">
        <f>IF(COUNT(U16:U16)&gt;0,Q16/COUNT(U16:U16),0.5)</f>
        <v/>
      </c>
      <c r="P16" s="19">
        <f>IF(COUNT(V16:V16)&gt;0,R16/COUNT(V16:V16),0.5)</f>
        <v/>
      </c>
      <c r="Q16" s="20">
        <f>SUM(U16:U16)</f>
        <v/>
      </c>
      <c r="R16" s="20">
        <f>SUM(V16:V16)</f>
        <v/>
      </c>
      <c r="S16" s="21">
        <f>IF(ISNUMBER(K16),K16,IF(ISNUMBER(L16),-L16,""))</f>
        <v/>
      </c>
      <c r="T16" s="15">
        <f>IF(ISNUMBER(L16),L16,IF(ISNUMBER(K16),-K16,""))</f>
        <v/>
      </c>
      <c r="U16" s="21">
        <f>IF(ISNUMBER(S16),IF(ISNUMBER(S15),IF(S16&gt;S15,1.0,IF(S16=S15,0.5,0.0)),0.5),0.5)</f>
        <v/>
      </c>
      <c r="V16" s="15">
        <f>IF(ISNUMBER(T16),IF(ISNUMBER(T15),IF(T16&gt;T15,1.0,IF(T16=T15,0.5,0.0)),0.5),0.5)</f>
        <v/>
      </c>
      <c r="W16" s="21">
        <f>IF(AND(ISNUMBER(S16),ISNUMBER(S15)),VLOOKUP(ABS(S16-S15),'IMP Table'!$A$2:$C$26,3)*SIGN(S16-S15),0)</f>
        <v/>
      </c>
      <c r="X16" s="15">
        <f>IF(AND(ISNUMBER(T16),ISNUMBER(T15)),VLOOKUP(ABS(T16-T15),'IMP Table'!$A$2:$C$26,3)*SIGN(T16-T15),0)</f>
        <v/>
      </c>
    </row>
    <row r="17">
      <c r="A17" s="10" t="n">
        <v>8</v>
      </c>
      <c r="B17" s="10">
        <f>'By Round'!A33</f>
        <v/>
      </c>
      <c r="C17" s="10">
        <f>'By Round'!B36</f>
        <v/>
      </c>
      <c r="D17" s="10">
        <f>'By Round'!C36</f>
        <v/>
      </c>
      <c r="E17" s="10">
        <f>'By Round'!D36</f>
        <v/>
      </c>
      <c r="F17" s="10">
        <f>IF(ISBLANK('By Round'!F37),"",'By Round'!F37)</f>
        <v/>
      </c>
      <c r="G17">
        <f>IF(ISBLANK('By Round'!G37),"",'By Round'!G37)</f>
        <v/>
      </c>
      <c r="H17">
        <f>IF(ISBLANK('By Round'!H37),"",'By Round'!H37)</f>
        <v/>
      </c>
      <c r="I17">
        <f>IF(ISBLANK('By Round'!I37),"",'By Round'!I37)</f>
        <v/>
      </c>
      <c r="J17">
        <f>IF(ISBLANK('By Round'!J37),"",'By Round'!J37)</f>
        <v/>
      </c>
      <c r="K17">
        <f>IF(ISBLANK('By Round'!K37),"",'By Round'!K37)</f>
        <v/>
      </c>
      <c r="L17">
        <f>IF(ISBLANK('By Round'!L37),"",'By Round'!L37)</f>
        <v/>
      </c>
      <c r="M17" s="11">
        <f>AVERAGE(W17:W17)</f>
        <v/>
      </c>
      <c r="N17" s="12">
        <f>AVERAGE(X17:X17)</f>
        <v/>
      </c>
      <c r="O17" s="13">
        <f>IF(COUNT(U17:U17)&gt;0,Q17/COUNT(U17:U17),0.5)</f>
        <v/>
      </c>
      <c r="P17" s="13">
        <f>IF(COUNT(V17:V17)&gt;0,R17/COUNT(V17:V17),0.5)</f>
        <v/>
      </c>
      <c r="Q17" s="5">
        <f>SUM(U17:U17)</f>
        <v/>
      </c>
      <c r="R17" s="5">
        <f>SUM(V17:V17)</f>
        <v/>
      </c>
      <c r="S17" s="14">
        <f>IF(ISNUMBER(K17),K17,IF(ISNUMBER(L17),-L17,""))</f>
        <v/>
      </c>
      <c r="T17">
        <f>IF(ISNUMBER(L17),L17,IF(ISNUMBER(K17),-K17,""))</f>
        <v/>
      </c>
      <c r="U17" s="14">
        <f>IF(ISNUMBER(S17),IF(ISNUMBER(S18),IF(S17&gt;S18,1.0,IF(S17=S18,0.5,0.0)),0.5),0.5)</f>
        <v/>
      </c>
      <c r="V17">
        <f>IF(ISNUMBER(T17),IF(ISNUMBER(T18),IF(T17&gt;T18,1.0,IF(T17=T18,0.5,0.0)),0.5),0.5)</f>
        <v/>
      </c>
      <c r="W17" s="14">
        <f>IF(AND(ISNUMBER(S17),ISNUMBER(S18)),VLOOKUP(ABS(S17-S18),'IMP Table'!$A$2:$C$26,3)*SIGN(S17-S18),0)</f>
        <v/>
      </c>
      <c r="X17">
        <f>IF(AND(ISNUMBER(T17),ISNUMBER(T18)),VLOOKUP(ABS(T17-T18),'IMP Table'!$A$2:$C$26,3)*SIGN(T17-T18),0)</f>
        <v/>
      </c>
    </row>
    <row r="18">
      <c r="A18" s="15" t="n"/>
      <c r="B18" s="16">
        <f>'By Round'!A15</f>
        <v/>
      </c>
      <c r="C18" s="16">
        <f>'By Round'!B15</f>
        <v/>
      </c>
      <c r="D18" s="16">
        <f>'By Round'!C15</f>
        <v/>
      </c>
      <c r="E18" s="16">
        <f>'By Round'!D15</f>
        <v/>
      </c>
      <c r="F18" s="16">
        <f>IF(ISBLANK('By Round'!F16),"",'By Round'!F16)</f>
        <v/>
      </c>
      <c r="G18" s="15">
        <f>IF(ISBLANK('By Round'!G16),"",'By Round'!G16)</f>
        <v/>
      </c>
      <c r="H18" s="15">
        <f>IF(ISBLANK('By Round'!H16),"",'By Round'!H16)</f>
        <v/>
      </c>
      <c r="I18" s="15">
        <f>IF(ISBLANK('By Round'!I16),"",'By Round'!I16)</f>
        <v/>
      </c>
      <c r="J18" s="15">
        <f>IF(ISBLANK('By Round'!J16),"",'By Round'!J16)</f>
        <v/>
      </c>
      <c r="K18" s="15">
        <f>IF(ISBLANK('By Round'!K16),"",'By Round'!K16)</f>
        <v/>
      </c>
      <c r="L18" s="15">
        <f>IF(ISBLANK('By Round'!L16),"",'By Round'!L16)</f>
        <v/>
      </c>
      <c r="M18" s="17">
        <f>AVERAGE(W18:W18)</f>
        <v/>
      </c>
      <c r="N18" s="18">
        <f>AVERAGE(X18:X18)</f>
        <v/>
      </c>
      <c r="O18" s="19">
        <f>IF(COUNT(U18:U18)&gt;0,Q18/COUNT(U18:U18),0.5)</f>
        <v/>
      </c>
      <c r="P18" s="19">
        <f>IF(COUNT(V18:V18)&gt;0,R18/COUNT(V18:V18),0.5)</f>
        <v/>
      </c>
      <c r="Q18" s="20">
        <f>SUM(U18:U18)</f>
        <v/>
      </c>
      <c r="R18" s="20">
        <f>SUM(V18:V18)</f>
        <v/>
      </c>
      <c r="S18" s="21">
        <f>IF(ISNUMBER(K18),K18,IF(ISNUMBER(L18),-L18,""))</f>
        <v/>
      </c>
      <c r="T18" s="15">
        <f>IF(ISNUMBER(L18),L18,IF(ISNUMBER(K18),-K18,""))</f>
        <v/>
      </c>
      <c r="U18" s="21">
        <f>IF(ISNUMBER(S18),IF(ISNUMBER(S17),IF(S18&gt;S17,1.0,IF(S18=S17,0.5,0.0)),0.5),0.5)</f>
        <v/>
      </c>
      <c r="V18" s="15">
        <f>IF(ISNUMBER(T18),IF(ISNUMBER(T17),IF(T18&gt;T17,1.0,IF(T18=T17,0.5,0.0)),0.5),0.5)</f>
        <v/>
      </c>
      <c r="W18" s="21">
        <f>IF(AND(ISNUMBER(S18),ISNUMBER(S17)),VLOOKUP(ABS(S18-S17),'IMP Table'!$A$2:$C$26,3)*SIGN(S18-S17),0)</f>
        <v/>
      </c>
      <c r="X18" s="15">
        <f>IF(AND(ISNUMBER(T18),ISNUMBER(T17)),VLOOKUP(ABS(T18-T17),'IMP Table'!$A$2:$C$26,3)*SIGN(T18-T17),0)</f>
        <v/>
      </c>
    </row>
    <row r="19">
      <c r="A19" s="10" t="n">
        <v>9</v>
      </c>
      <c r="B19" s="10">
        <f>'By Round'!A33</f>
        <v/>
      </c>
      <c r="C19" s="10">
        <f>'By Round'!B36</f>
        <v/>
      </c>
      <c r="D19" s="10">
        <f>'By Round'!C36</f>
        <v/>
      </c>
      <c r="E19" s="10">
        <f>'By Round'!D36</f>
        <v/>
      </c>
      <c r="F19" s="10">
        <f>IF(ISBLANK('By Round'!F38),"",'By Round'!F38)</f>
        <v/>
      </c>
      <c r="G19">
        <f>IF(ISBLANK('By Round'!G38),"",'By Round'!G38)</f>
        <v/>
      </c>
      <c r="H19">
        <f>IF(ISBLANK('By Round'!H38),"",'By Round'!H38)</f>
        <v/>
      </c>
      <c r="I19">
        <f>IF(ISBLANK('By Round'!I38),"",'By Round'!I38)</f>
        <v/>
      </c>
      <c r="J19">
        <f>IF(ISBLANK('By Round'!J38),"",'By Round'!J38)</f>
        <v/>
      </c>
      <c r="K19">
        <f>IF(ISBLANK('By Round'!K38),"",'By Round'!K38)</f>
        <v/>
      </c>
      <c r="L19">
        <f>IF(ISBLANK('By Round'!L38),"",'By Round'!L38)</f>
        <v/>
      </c>
      <c r="M19" s="11">
        <f>AVERAGE(W19:W19)</f>
        <v/>
      </c>
      <c r="N19" s="12">
        <f>AVERAGE(X19:X19)</f>
        <v/>
      </c>
      <c r="O19" s="13">
        <f>IF(COUNT(U19:U19)&gt;0,Q19/COUNT(U19:U19),0.5)</f>
        <v/>
      </c>
      <c r="P19" s="13">
        <f>IF(COUNT(V19:V19)&gt;0,R19/COUNT(V19:V19),0.5)</f>
        <v/>
      </c>
      <c r="Q19" s="5">
        <f>SUM(U19:U19)</f>
        <v/>
      </c>
      <c r="R19" s="5">
        <f>SUM(V19:V19)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IF(ISNUMBER(S19),IF(ISNUMBER(S20),IF(S19&gt;S20,1.0,IF(S19=S20,0.5,0.0)),0.5),0.5)</f>
        <v/>
      </c>
      <c r="V19">
        <f>IF(ISNUMBER(T19),IF(ISNUMBER(T20),IF(T19&gt;T20,1.0,IF(T19=T20,0.5,0.0)),0.5),0.5)</f>
        <v/>
      </c>
      <c r="W19" s="14">
        <f>IF(AND(ISNUMBER(S19),ISNUMBER(S20)),VLOOKUP(ABS(S19-S20),'IMP Table'!$A$2:$C$26,3)*SIGN(S19-S20),0)</f>
        <v/>
      </c>
      <c r="X19">
        <f>IF(AND(ISNUMBER(T19),ISNUMBER(T20)),VLOOKUP(ABS(T19-T20),'IMP Table'!$A$2:$C$26,3)*SIGN(T19-T20),0)</f>
        <v/>
      </c>
    </row>
    <row r="20">
      <c r="A20" s="15" t="n"/>
      <c r="B20" s="16">
        <f>'By Round'!A15</f>
        <v/>
      </c>
      <c r="C20" s="16">
        <f>'By Round'!B15</f>
        <v/>
      </c>
      <c r="D20" s="16">
        <f>'By Round'!C15</f>
        <v/>
      </c>
      <c r="E20" s="16">
        <f>'By Round'!D15</f>
        <v/>
      </c>
      <c r="F20" s="16">
        <f>IF(ISBLANK('By Round'!F17),"",'By Round'!F17)</f>
        <v/>
      </c>
      <c r="G20" s="15">
        <f>IF(ISBLANK('By Round'!G17),"",'By Round'!G17)</f>
        <v/>
      </c>
      <c r="H20" s="15">
        <f>IF(ISBLANK('By Round'!H17),"",'By Round'!H17)</f>
        <v/>
      </c>
      <c r="I20" s="15">
        <f>IF(ISBLANK('By Round'!I17),"",'By Round'!I17)</f>
        <v/>
      </c>
      <c r="J20" s="15">
        <f>IF(ISBLANK('By Round'!J17),"",'By Round'!J17)</f>
        <v/>
      </c>
      <c r="K20" s="15">
        <f>IF(ISBLANK('By Round'!K17),"",'By Round'!K17)</f>
        <v/>
      </c>
      <c r="L20" s="15">
        <f>IF(ISBLANK('By Round'!L17),"",'By Round'!L17)</f>
        <v/>
      </c>
      <c r="M20" s="17">
        <f>AVERAGE(W20:W20)</f>
        <v/>
      </c>
      <c r="N20" s="18">
        <f>AVERAGE(X20:X20)</f>
        <v/>
      </c>
      <c r="O20" s="19">
        <f>IF(COUNT(U20:U20)&gt;0,Q20/COUNT(U20:U20),0.5)</f>
        <v/>
      </c>
      <c r="P20" s="19">
        <f>IF(COUNT(V20:V20)&gt;0,R20/COUNT(V20:V20),0.5)</f>
        <v/>
      </c>
      <c r="Q20" s="20">
        <f>SUM(U20:U20)</f>
        <v/>
      </c>
      <c r="R20" s="20">
        <f>SUM(V20:V20)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IF(ISNUMBER(S20),IF(ISNUMBER(S19),IF(S20&gt;S19,1.0,IF(S20=S19,0.5,0.0)),0.5),0.5)</f>
        <v/>
      </c>
      <c r="V20" s="15">
        <f>IF(ISNUMBER(T20),IF(ISNUMBER(T19),IF(T20&gt;T19,1.0,IF(T20=T19,0.5,0.0)),0.5),0.5)</f>
        <v/>
      </c>
      <c r="W20" s="21">
        <f>IF(AND(ISNUMBER(S20),ISNUMBER(S19)),VLOOKUP(ABS(S20-S19),'IMP Table'!$A$2:$C$26,3)*SIGN(S20-S19),0)</f>
        <v/>
      </c>
      <c r="X20" s="15">
        <f>IF(AND(ISNUMBER(T20),ISNUMBER(T19)),VLOOKUP(ABS(T20-T19),'IMP Table'!$A$2:$C$26,3)*SIGN(T20-T19),0)</f>
        <v/>
      </c>
    </row>
    <row r="21">
      <c r="A21" s="10" t="n">
        <v>10</v>
      </c>
      <c r="B21" s="10">
        <f>'By Round'!A3</f>
        <v/>
      </c>
      <c r="C21" s="10">
        <f>'By Round'!B6</f>
        <v/>
      </c>
      <c r="D21" s="10">
        <f>'By Round'!C6</f>
        <v/>
      </c>
      <c r="E21" s="10">
        <f>'By Round'!D6</f>
        <v/>
      </c>
      <c r="F21" s="10">
        <f>IF(ISBLANK('By Round'!F6),"",'By Round'!F6)</f>
        <v/>
      </c>
      <c r="G21">
        <f>IF(ISBLANK('By Round'!G6),"",'By Round'!G6)</f>
        <v/>
      </c>
      <c r="H21">
        <f>IF(ISBLANK('By Round'!H6),"",'By Round'!H6)</f>
        <v/>
      </c>
      <c r="I21">
        <f>IF(ISBLANK('By Round'!I6),"",'By Round'!I6)</f>
        <v/>
      </c>
      <c r="J21">
        <f>IF(ISBLANK('By Round'!J6),"",'By Round'!J6)</f>
        <v/>
      </c>
      <c r="K21">
        <f>IF(ISBLANK('By Round'!K6),"",'By Round'!K6)</f>
        <v/>
      </c>
      <c r="L21">
        <f>IF(ISBLANK('By Round'!L6),"",'By Round'!L6)</f>
        <v/>
      </c>
      <c r="M21" s="11">
        <f>AVERAGE(W21:W21)</f>
        <v/>
      </c>
      <c r="N21" s="12">
        <f>AVERAGE(X21:X21)</f>
        <v/>
      </c>
      <c r="O21" s="13">
        <f>IF(COUNT(U21:U21)&gt;0,Q21/COUNT(U21:U21),0.5)</f>
        <v/>
      </c>
      <c r="P21" s="13">
        <f>IF(COUNT(V21:V21)&gt;0,R21/COUNT(V21:V21),0.5)</f>
        <v/>
      </c>
      <c r="Q21" s="5">
        <f>SUM(U21:U21)</f>
        <v/>
      </c>
      <c r="R21" s="5">
        <f>SUM(V21:V21)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IF(ISNUMBER(T21),IF(ISNUMBER(T22),IF(T21&gt;T22,1.0,IF(T21=T22,0.5,0.0)),0.5),0.5)</f>
        <v/>
      </c>
      <c r="W21" s="14">
        <f>IF(AND(ISNUMBER(S21),ISNUMBER(S22)),VLOOKUP(ABS(S21-S22),'IMP Table'!$A$2:$C$26,3)*SIGN(S21-S22),0)</f>
        <v/>
      </c>
      <c r="X21">
        <f>IF(AND(ISNUMBER(T21),ISNUMBER(T22)),VLOOKUP(ABS(T21-T22),'IMP Table'!$A$2:$C$26,3)*SIGN(T21-T22),0)</f>
        <v/>
      </c>
    </row>
    <row r="22">
      <c r="A22" s="15" t="n"/>
      <c r="B22" s="16">
        <f>'By Round'!A21</f>
        <v/>
      </c>
      <c r="C22" s="16">
        <f>'By Round'!B21</f>
        <v/>
      </c>
      <c r="D22" s="16">
        <f>'By Round'!C21</f>
        <v/>
      </c>
      <c r="E22" s="16">
        <f>'By Round'!D21</f>
        <v/>
      </c>
      <c r="F22" s="16">
        <f>IF(ISBLANK('By Round'!F21),"",'By Round'!F21)</f>
        <v/>
      </c>
      <c r="G22" s="15">
        <f>IF(ISBLANK('By Round'!G21),"",'By Round'!G21)</f>
        <v/>
      </c>
      <c r="H22" s="15">
        <f>IF(ISBLANK('By Round'!H21),"",'By Round'!H21)</f>
        <v/>
      </c>
      <c r="I22" s="15">
        <f>IF(ISBLANK('By Round'!I21),"",'By Round'!I21)</f>
        <v/>
      </c>
      <c r="J22" s="15">
        <f>IF(ISBLANK('By Round'!J21),"",'By Round'!J21)</f>
        <v/>
      </c>
      <c r="K22" s="15">
        <f>IF(ISBLANK('By Round'!K21),"",'By Round'!K21)</f>
        <v/>
      </c>
      <c r="L22" s="15">
        <f>IF(ISBLANK('By Round'!L21),"",'By Round'!L21)</f>
        <v/>
      </c>
      <c r="M22" s="17">
        <f>AVERAGE(W22:W22)</f>
        <v/>
      </c>
      <c r="N22" s="18">
        <f>AVERAGE(X22:X22)</f>
        <v/>
      </c>
      <c r="O22" s="19">
        <f>IF(COUNT(U22:U22)&gt;0,Q22/COUNT(U22:U22),0.5)</f>
        <v/>
      </c>
      <c r="P22" s="19">
        <f>IF(COUNT(V22:V22)&gt;0,R22/COUNT(V22:V22),0.5)</f>
        <v/>
      </c>
      <c r="Q22" s="20">
        <f>SUM(U22:U22)</f>
        <v/>
      </c>
      <c r="R22" s="20">
        <f>SUM(V22:V22)</f>
        <v/>
      </c>
      <c r="S22" s="21">
        <f>IF(ISNUMBER(K22),K22,IF(ISNUMBER(L22),-L22,""))</f>
        <v/>
      </c>
      <c r="T22" s="15">
        <f>IF(ISNUMBER(L22),L22,IF(ISNUMBER(K22),-K22,""))</f>
        <v/>
      </c>
      <c r="U22" s="21">
        <f>IF(ISNUMBER(S22),IF(ISNUMBER(S21),IF(S22&gt;S21,1.0,IF(S22=S21,0.5,0.0)),0.5),0.5)</f>
        <v/>
      </c>
      <c r="V22" s="15">
        <f>IF(ISNUMBER(T22),IF(ISNUMBER(T21),IF(T22&gt;T21,1.0,IF(T22=T21,0.5,0.0)),0.5),0.5)</f>
        <v/>
      </c>
      <c r="W22" s="21">
        <f>IF(AND(ISNUMBER(S22),ISNUMBER(S21)),VLOOKUP(ABS(S22-S21),'IMP Table'!$A$2:$C$26,3)*SIGN(S22-S21),0)</f>
        <v/>
      </c>
      <c r="X22" s="15">
        <f>IF(AND(ISNUMBER(T22),ISNUMBER(T21)),VLOOKUP(ABS(T22-T21),'IMP Table'!$A$2:$C$26,3)*SIGN(T22-T21),0)</f>
        <v/>
      </c>
    </row>
    <row r="23">
      <c r="A23" s="10" t="n">
        <v>11</v>
      </c>
      <c r="B23" s="10">
        <f>'By Round'!A3</f>
        <v/>
      </c>
      <c r="C23" s="10">
        <f>'By Round'!B6</f>
        <v/>
      </c>
      <c r="D23" s="10">
        <f>'By Round'!C6</f>
        <v/>
      </c>
      <c r="E23" s="10">
        <f>'By Round'!D6</f>
        <v/>
      </c>
      <c r="F23" s="10">
        <f>IF(ISBLANK('By Round'!F7),"",'By Round'!F7)</f>
        <v/>
      </c>
      <c r="G23">
        <f>IF(ISBLANK('By Round'!G7),"",'By Round'!G7)</f>
        <v/>
      </c>
      <c r="H23">
        <f>IF(ISBLANK('By Round'!H7),"",'By Round'!H7)</f>
        <v/>
      </c>
      <c r="I23">
        <f>IF(ISBLANK('By Round'!I7),"",'By Round'!I7)</f>
        <v/>
      </c>
      <c r="J23">
        <f>IF(ISBLANK('By Round'!J7),"",'By Round'!J7)</f>
        <v/>
      </c>
      <c r="K23">
        <f>IF(ISBLANK('By Round'!K7),"",'By Round'!K7)</f>
        <v/>
      </c>
      <c r="L23">
        <f>IF(ISBLANK('By Round'!L7),"",'By Round'!L7)</f>
        <v/>
      </c>
      <c r="M23" s="11">
        <f>AVERAGE(W23:W23)</f>
        <v/>
      </c>
      <c r="N23" s="12">
        <f>AVERAGE(X23:X23)</f>
        <v/>
      </c>
      <c r="O23" s="13">
        <f>IF(COUNT(U23:U23)&gt;0,Q23/COUNT(U23:U23),0.5)</f>
        <v/>
      </c>
      <c r="P23" s="13">
        <f>IF(COUNT(V23:V23)&gt;0,R23/COUNT(V23:V23),0.5)</f>
        <v/>
      </c>
      <c r="Q23" s="5">
        <f>SUM(U23:U23)</f>
        <v/>
      </c>
      <c r="R23" s="5">
        <f>SUM(V23:V23)</f>
        <v/>
      </c>
      <c r="S23" s="14">
        <f>IF(ISNUMBER(K23),K23,IF(ISNUMBER(L23),-L23,""))</f>
        <v/>
      </c>
      <c r="T23">
        <f>IF(ISNUMBER(L23),L23,IF(ISNUMBER(K23),-K23,""))</f>
        <v/>
      </c>
      <c r="U23" s="14">
        <f>IF(ISNUMBER(S23),IF(ISNUMBER(S24),IF(S23&gt;S24,1.0,IF(S23=S24,0.5,0.0)),0.5),0.5)</f>
        <v/>
      </c>
      <c r="V23">
        <f>IF(ISNUMBER(T23),IF(ISNUMBER(T24),IF(T23&gt;T24,1.0,IF(T23=T24,0.5,0.0)),0.5),0.5)</f>
        <v/>
      </c>
      <c r="W23" s="14">
        <f>IF(AND(ISNUMBER(S23),ISNUMBER(S24)),VLOOKUP(ABS(S23-S24),'IMP Table'!$A$2:$C$26,3)*SIGN(S23-S24),0)</f>
        <v/>
      </c>
      <c r="X23">
        <f>IF(AND(ISNUMBER(T23),ISNUMBER(T24)),VLOOKUP(ABS(T23-T24),'IMP Table'!$A$2:$C$26,3)*SIGN(T23-T24),0)</f>
        <v/>
      </c>
    </row>
    <row r="24">
      <c r="A24" s="15" t="n"/>
      <c r="B24" s="16">
        <f>'By Round'!A21</f>
        <v/>
      </c>
      <c r="C24" s="16">
        <f>'By Round'!B21</f>
        <v/>
      </c>
      <c r="D24" s="16">
        <f>'By Round'!C21</f>
        <v/>
      </c>
      <c r="E24" s="16">
        <f>'By Round'!D21</f>
        <v/>
      </c>
      <c r="F24" s="16">
        <f>IF(ISBLANK('By Round'!F22),"",'By Round'!F22)</f>
        <v/>
      </c>
      <c r="G24" s="15">
        <f>IF(ISBLANK('By Round'!G22),"",'By Round'!G22)</f>
        <v/>
      </c>
      <c r="H24" s="15">
        <f>IF(ISBLANK('By Round'!H22),"",'By Round'!H22)</f>
        <v/>
      </c>
      <c r="I24" s="15">
        <f>IF(ISBLANK('By Round'!I22),"",'By Round'!I22)</f>
        <v/>
      </c>
      <c r="J24" s="15">
        <f>IF(ISBLANK('By Round'!J22),"",'By Round'!J22)</f>
        <v/>
      </c>
      <c r="K24" s="15">
        <f>IF(ISBLANK('By Round'!K22),"",'By Round'!K22)</f>
        <v/>
      </c>
      <c r="L24" s="15">
        <f>IF(ISBLANK('By Round'!L22),"",'By Round'!L22)</f>
        <v/>
      </c>
      <c r="M24" s="17">
        <f>AVERAGE(W24:W24)</f>
        <v/>
      </c>
      <c r="N24" s="18">
        <f>AVERAGE(X24:X24)</f>
        <v/>
      </c>
      <c r="O24" s="19">
        <f>IF(COUNT(U24:U24)&gt;0,Q24/COUNT(U24:U24),0.5)</f>
        <v/>
      </c>
      <c r="P24" s="19">
        <f>IF(COUNT(V24:V24)&gt;0,R24/COUNT(V24:V24),0.5)</f>
        <v/>
      </c>
      <c r="Q24" s="20">
        <f>SUM(U24:U24)</f>
        <v/>
      </c>
      <c r="R24" s="20">
        <f>SUM(V24:V24)</f>
        <v/>
      </c>
      <c r="S24" s="21">
        <f>IF(ISNUMBER(K24),K24,IF(ISNUMBER(L24),-L24,""))</f>
        <v/>
      </c>
      <c r="T24" s="15">
        <f>IF(ISNUMBER(L24),L24,IF(ISNUMBER(K24),-K24,""))</f>
        <v/>
      </c>
      <c r="U24" s="21">
        <f>IF(ISNUMBER(S24),IF(ISNUMBER(S23),IF(S24&gt;S23,1.0,IF(S24=S23,0.5,0.0)),0.5),0.5)</f>
        <v/>
      </c>
      <c r="V24" s="15">
        <f>IF(ISNUMBER(T24),IF(ISNUMBER(T23),IF(T24&gt;T23,1.0,IF(T24=T23,0.5,0.0)),0.5),0.5)</f>
        <v/>
      </c>
      <c r="W24" s="21">
        <f>IF(AND(ISNUMBER(S24),ISNUMBER(S23)),VLOOKUP(ABS(S24-S23),'IMP Table'!$A$2:$C$26,3)*SIGN(S24-S23),0)</f>
        <v/>
      </c>
      <c r="X24" s="15">
        <f>IF(AND(ISNUMBER(T24),ISNUMBER(T23)),VLOOKUP(ABS(T24-T23),'IMP Table'!$A$2:$C$26,3)*SIGN(T24-T23),0)</f>
        <v/>
      </c>
    </row>
    <row r="25">
      <c r="A25" s="10" t="n">
        <v>12</v>
      </c>
      <c r="B25" s="10">
        <f>'By Round'!A3</f>
        <v/>
      </c>
      <c r="C25" s="10">
        <f>'By Round'!B6</f>
        <v/>
      </c>
      <c r="D25" s="10">
        <f>'By Round'!C6</f>
        <v/>
      </c>
      <c r="E25" s="10">
        <f>'By Round'!D6</f>
        <v/>
      </c>
      <c r="F25" s="10">
        <f>IF(ISBLANK('By Round'!F8),"",'By Round'!F8)</f>
        <v/>
      </c>
      <c r="G25">
        <f>IF(ISBLANK('By Round'!G8),"",'By Round'!G8)</f>
        <v/>
      </c>
      <c r="H25">
        <f>IF(ISBLANK('By Round'!H8),"",'By Round'!H8)</f>
        <v/>
      </c>
      <c r="I25">
        <f>IF(ISBLANK('By Round'!I8),"",'By Round'!I8)</f>
        <v/>
      </c>
      <c r="J25">
        <f>IF(ISBLANK('By Round'!J8),"",'By Round'!J8)</f>
        <v/>
      </c>
      <c r="K25">
        <f>IF(ISBLANK('By Round'!K8),"",'By Round'!K8)</f>
        <v/>
      </c>
      <c r="L25">
        <f>IF(ISBLANK('By Round'!L8),"",'By Round'!L8)</f>
        <v/>
      </c>
      <c r="M25" s="11">
        <f>AVERAGE(W25:W25)</f>
        <v/>
      </c>
      <c r="N25" s="12">
        <f>AVERAGE(X25:X25)</f>
        <v/>
      </c>
      <c r="O25" s="13">
        <f>IF(COUNT(U25:U25)&gt;0,Q25/COUNT(U25:U25),0.5)</f>
        <v/>
      </c>
      <c r="P25" s="13">
        <f>IF(COUNT(V25:V25)&gt;0,R25/COUNT(V25:V25),0.5)</f>
        <v/>
      </c>
      <c r="Q25" s="5">
        <f>SUM(U25:U25)</f>
        <v/>
      </c>
      <c r="R25" s="5">
        <f>SUM(V25:V25)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IF(ISNUMBER(S25),IF(ISNUMBER(S26),IF(S25&gt;S26,1.0,IF(S25=S26,0.5,0.0)),0.5),0.5)</f>
        <v/>
      </c>
      <c r="V25">
        <f>IF(ISNUMBER(T25),IF(ISNUMBER(T26),IF(T25&gt;T26,1.0,IF(T25=T26,0.5,0.0)),0.5),0.5)</f>
        <v/>
      </c>
      <c r="W25" s="14">
        <f>IF(AND(ISNUMBER(S25),ISNUMBER(S26)),VLOOKUP(ABS(S25-S26),'IMP Table'!$A$2:$C$26,3)*SIGN(S25-S26),0)</f>
        <v/>
      </c>
      <c r="X25">
        <f>IF(AND(ISNUMBER(T25),ISNUMBER(T26)),VLOOKUP(ABS(T25-T26),'IMP Table'!$A$2:$C$26,3)*SIGN(T25-T26),0)</f>
        <v/>
      </c>
    </row>
    <row r="26">
      <c r="A26" s="15" t="n"/>
      <c r="B26" s="16">
        <f>'By Round'!A21</f>
        <v/>
      </c>
      <c r="C26" s="16">
        <f>'By Round'!B21</f>
        <v/>
      </c>
      <c r="D26" s="16">
        <f>'By Round'!C21</f>
        <v/>
      </c>
      <c r="E26" s="16">
        <f>'By Round'!D21</f>
        <v/>
      </c>
      <c r="F26" s="16">
        <f>IF(ISBLANK('By Round'!F23),"",'By Round'!F23)</f>
        <v/>
      </c>
      <c r="G26" s="15">
        <f>IF(ISBLANK('By Round'!G23),"",'By Round'!G23)</f>
        <v/>
      </c>
      <c r="H26" s="15">
        <f>IF(ISBLANK('By Round'!H23),"",'By Round'!H23)</f>
        <v/>
      </c>
      <c r="I26" s="15">
        <f>IF(ISBLANK('By Round'!I23),"",'By Round'!I23)</f>
        <v/>
      </c>
      <c r="J26" s="15">
        <f>IF(ISBLANK('By Round'!J23),"",'By Round'!J23)</f>
        <v/>
      </c>
      <c r="K26" s="15">
        <f>IF(ISBLANK('By Round'!K23),"",'By Round'!K23)</f>
        <v/>
      </c>
      <c r="L26" s="15">
        <f>IF(ISBLANK('By Round'!L23),"",'By Round'!L23)</f>
        <v/>
      </c>
      <c r="M26" s="17">
        <f>AVERAGE(W26:W26)</f>
        <v/>
      </c>
      <c r="N26" s="18">
        <f>AVERAGE(X26:X26)</f>
        <v/>
      </c>
      <c r="O26" s="19">
        <f>IF(COUNT(U26:U26)&gt;0,Q26/COUNT(U26:U26),0.5)</f>
        <v/>
      </c>
      <c r="P26" s="19">
        <f>IF(COUNT(V26:V26)&gt;0,R26/COUNT(V26:V26),0.5)</f>
        <v/>
      </c>
      <c r="Q26" s="20">
        <f>SUM(U26:U26)</f>
        <v/>
      </c>
      <c r="R26" s="20">
        <f>SUM(V26:V26)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IF(ISNUMBER(S26),IF(ISNUMBER(S25),IF(S26&gt;S25,1.0,IF(S26=S25,0.5,0.0)),0.5),0.5)</f>
        <v/>
      </c>
      <c r="V26" s="15">
        <f>IF(ISNUMBER(T26),IF(ISNUMBER(T25),IF(T26&gt;T25,1.0,IF(T26=T25,0.5,0.0)),0.5),0.5)</f>
        <v/>
      </c>
      <c r="W26" s="21">
        <f>IF(AND(ISNUMBER(S26),ISNUMBER(S25)),VLOOKUP(ABS(S26-S25),'IMP Table'!$A$2:$C$26,3)*SIGN(S26-S25),0)</f>
        <v/>
      </c>
      <c r="X26" s="15">
        <f>IF(AND(ISNUMBER(T26),ISNUMBER(T25)),VLOOKUP(ABS(T26-T25),'IMP Table'!$A$2:$C$26,3)*SIGN(T26-T25),0)</f>
        <v/>
      </c>
    </row>
    <row r="27">
      <c r="A27" s="10" t="n">
        <v>13</v>
      </c>
      <c r="B27" s="10">
        <f>'By Round'!A9</f>
        <v/>
      </c>
      <c r="C27" s="10">
        <f>'By Round'!B12</f>
        <v/>
      </c>
      <c r="D27" s="10">
        <f>'By Round'!C12</f>
        <v/>
      </c>
      <c r="E27" s="10">
        <f>'By Round'!D12</f>
        <v/>
      </c>
      <c r="F27" s="10">
        <f>IF(ISBLANK('By Round'!F12),"",'By Round'!F12)</f>
        <v/>
      </c>
      <c r="G27">
        <f>IF(ISBLANK('By Round'!G12),"",'By Round'!G12)</f>
        <v/>
      </c>
      <c r="H27">
        <f>IF(ISBLANK('By Round'!H12),"",'By Round'!H12)</f>
        <v/>
      </c>
      <c r="I27">
        <f>IF(ISBLANK('By Round'!I12),"",'By Round'!I12)</f>
        <v/>
      </c>
      <c r="J27">
        <f>IF(ISBLANK('By Round'!J12),"",'By Round'!J12)</f>
        <v/>
      </c>
      <c r="K27">
        <f>IF(ISBLANK('By Round'!K12),"",'By Round'!K12)</f>
        <v/>
      </c>
      <c r="L27">
        <f>IF(ISBLANK('By Round'!L12),"",'By Round'!L12)</f>
        <v/>
      </c>
      <c r="M27" s="11">
        <f>AVERAGE(W27:W27)</f>
        <v/>
      </c>
      <c r="N27" s="12">
        <f>AVERAGE(X27:X27)</f>
        <v/>
      </c>
      <c r="O27" s="13">
        <f>IF(COUNT(U27:U27)&gt;0,Q27/COUNT(U27:U27),0.5)</f>
        <v/>
      </c>
      <c r="P27" s="13">
        <f>IF(COUNT(V27:V27)&gt;0,R27/COUNT(V27:V27),0.5)</f>
        <v/>
      </c>
      <c r="Q27" s="5">
        <f>SUM(U27:U27)</f>
        <v/>
      </c>
      <c r="R27" s="5">
        <f>SUM(V27:V27)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IF(ISNUMBER(T27),IF(ISNUMBER(T28),IF(T27&gt;T28,1.0,IF(T27=T28,0.5,0.0)),0.5),0.5)</f>
        <v/>
      </c>
      <c r="W27" s="14">
        <f>IF(AND(ISNUMBER(S27),ISNUMBER(S28)),VLOOKUP(ABS(S27-S28),'IMP Table'!$A$2:$C$26,3)*SIGN(S27-S28),0)</f>
        <v/>
      </c>
      <c r="X27">
        <f>IF(AND(ISNUMBER(T27),ISNUMBER(T28)),VLOOKUP(ABS(T27-T28),'IMP Table'!$A$2:$C$26,3)*SIGN(T27-T28),0)</f>
        <v/>
      </c>
    </row>
    <row r="28">
      <c r="A28" s="15" t="n"/>
      <c r="B28" s="16">
        <f>'By Round'!A27</f>
        <v/>
      </c>
      <c r="C28" s="16">
        <f>'By Round'!B27</f>
        <v/>
      </c>
      <c r="D28" s="16">
        <f>'By Round'!C27</f>
        <v/>
      </c>
      <c r="E28" s="16">
        <f>'By Round'!D27</f>
        <v/>
      </c>
      <c r="F28" s="16">
        <f>IF(ISBLANK('By Round'!F27),"",'By Round'!F27)</f>
        <v/>
      </c>
      <c r="G28" s="15">
        <f>IF(ISBLANK('By Round'!G27),"",'By Round'!G27)</f>
        <v/>
      </c>
      <c r="H28" s="15">
        <f>IF(ISBLANK('By Round'!H27),"",'By Round'!H27)</f>
        <v/>
      </c>
      <c r="I28" s="15">
        <f>IF(ISBLANK('By Round'!I27),"",'By Round'!I27)</f>
        <v/>
      </c>
      <c r="J28" s="15">
        <f>IF(ISBLANK('By Round'!J27),"",'By Round'!J27)</f>
        <v/>
      </c>
      <c r="K28" s="15">
        <f>IF(ISBLANK('By Round'!K27),"",'By Round'!K27)</f>
        <v/>
      </c>
      <c r="L28" s="15">
        <f>IF(ISBLANK('By Round'!L27),"",'By Round'!L27)</f>
        <v/>
      </c>
      <c r="M28" s="17">
        <f>AVERAGE(W28:W28)</f>
        <v/>
      </c>
      <c r="N28" s="18">
        <f>AVERAGE(X28:X28)</f>
        <v/>
      </c>
      <c r="O28" s="19">
        <f>IF(COUNT(U28:U28)&gt;0,Q28/COUNT(U28:U28),0.5)</f>
        <v/>
      </c>
      <c r="P28" s="19">
        <f>IF(COUNT(V28:V28)&gt;0,R28/COUNT(V28:V28),0.5)</f>
        <v/>
      </c>
      <c r="Q28" s="20">
        <f>SUM(U28:U28)</f>
        <v/>
      </c>
      <c r="R28" s="20">
        <f>SUM(V28:V28)</f>
        <v/>
      </c>
      <c r="S28" s="21">
        <f>IF(ISNUMBER(K28),K28,IF(ISNUMBER(L28),-L28,""))</f>
        <v/>
      </c>
      <c r="T28" s="15">
        <f>IF(ISNUMBER(L28),L28,IF(ISNUMBER(K28),-K28,""))</f>
        <v/>
      </c>
      <c r="U28" s="21">
        <f>IF(ISNUMBER(S28),IF(ISNUMBER(S27),IF(S28&gt;S27,1.0,IF(S28=S27,0.5,0.0)),0.5),0.5)</f>
        <v/>
      </c>
      <c r="V28" s="15">
        <f>IF(ISNUMBER(T28),IF(ISNUMBER(T27),IF(T28&gt;T27,1.0,IF(T28=T27,0.5,0.0)),0.5),0.5)</f>
        <v/>
      </c>
      <c r="W28" s="21">
        <f>IF(AND(ISNUMBER(S28),ISNUMBER(S27)),VLOOKUP(ABS(S28-S27),'IMP Table'!$A$2:$C$26,3)*SIGN(S28-S27),0)</f>
        <v/>
      </c>
      <c r="X28" s="15">
        <f>IF(AND(ISNUMBER(T28),ISNUMBER(T27)),VLOOKUP(ABS(T28-T27),'IMP Table'!$A$2:$C$26,3)*SIGN(T28-T27),0)</f>
        <v/>
      </c>
    </row>
    <row r="29">
      <c r="A29" s="10" t="n">
        <v>14</v>
      </c>
      <c r="B29" s="10">
        <f>'By Round'!A9</f>
        <v/>
      </c>
      <c r="C29" s="10">
        <f>'By Round'!B12</f>
        <v/>
      </c>
      <c r="D29" s="10">
        <f>'By Round'!C12</f>
        <v/>
      </c>
      <c r="E29" s="10">
        <f>'By Round'!D12</f>
        <v/>
      </c>
      <c r="F29" s="10">
        <f>IF(ISBLANK('By Round'!F13),"",'By Round'!F13)</f>
        <v/>
      </c>
      <c r="G29">
        <f>IF(ISBLANK('By Round'!G13),"",'By Round'!G13)</f>
        <v/>
      </c>
      <c r="H29">
        <f>IF(ISBLANK('By Round'!H13),"",'By Round'!H13)</f>
        <v/>
      </c>
      <c r="I29">
        <f>IF(ISBLANK('By Round'!I13),"",'By Round'!I13)</f>
        <v/>
      </c>
      <c r="J29">
        <f>IF(ISBLANK('By Round'!J13),"",'By Round'!J13)</f>
        <v/>
      </c>
      <c r="K29">
        <f>IF(ISBLANK('By Round'!K13),"",'By Round'!K13)</f>
        <v/>
      </c>
      <c r="L29">
        <f>IF(ISBLANK('By Round'!L13),"",'By Round'!L13)</f>
        <v/>
      </c>
      <c r="M29" s="11">
        <f>AVERAGE(W29:W29)</f>
        <v/>
      </c>
      <c r="N29" s="12">
        <f>AVERAGE(X29:X29)</f>
        <v/>
      </c>
      <c r="O29" s="13">
        <f>IF(COUNT(U29:U29)&gt;0,Q29/COUNT(U29:U29),0.5)</f>
        <v/>
      </c>
      <c r="P29" s="13">
        <f>IF(COUNT(V29:V29)&gt;0,R29/COUNT(V29:V29),0.5)</f>
        <v/>
      </c>
      <c r="Q29" s="5">
        <f>SUM(U29:U29)</f>
        <v/>
      </c>
      <c r="R29" s="5">
        <f>SUM(V29:V29)</f>
        <v/>
      </c>
      <c r="S29" s="14">
        <f>IF(ISNUMBER(K29),K29,IF(ISNUMBER(L29),-L29,""))</f>
        <v/>
      </c>
      <c r="T29">
        <f>IF(ISNUMBER(L29),L29,IF(ISNUMBER(K29),-K29,""))</f>
        <v/>
      </c>
      <c r="U29" s="14">
        <f>IF(ISNUMBER(S29),IF(ISNUMBER(S30),IF(S29&gt;S30,1.0,IF(S29=S30,0.5,0.0)),0.5),0.5)</f>
        <v/>
      </c>
      <c r="V29">
        <f>IF(ISNUMBER(T29),IF(ISNUMBER(T30),IF(T29&gt;T30,1.0,IF(T29=T30,0.5,0.0)),0.5),0.5)</f>
        <v/>
      </c>
      <c r="W29" s="14">
        <f>IF(AND(ISNUMBER(S29),ISNUMBER(S30)),VLOOKUP(ABS(S29-S30),'IMP Table'!$A$2:$C$26,3)*SIGN(S29-S30),0)</f>
        <v/>
      </c>
      <c r="X29">
        <f>IF(AND(ISNUMBER(T29),ISNUMBER(T30)),VLOOKUP(ABS(T29-T30),'IMP Table'!$A$2:$C$26,3)*SIGN(T29-T30),0)</f>
        <v/>
      </c>
    </row>
    <row r="30">
      <c r="A30" s="15" t="n"/>
      <c r="B30" s="16">
        <f>'By Round'!A27</f>
        <v/>
      </c>
      <c r="C30" s="16">
        <f>'By Round'!B27</f>
        <v/>
      </c>
      <c r="D30" s="16">
        <f>'By Round'!C27</f>
        <v/>
      </c>
      <c r="E30" s="16">
        <f>'By Round'!D27</f>
        <v/>
      </c>
      <c r="F30" s="16">
        <f>IF(ISBLANK('By Round'!F28),"",'By Round'!F28)</f>
        <v/>
      </c>
      <c r="G30" s="15">
        <f>IF(ISBLANK('By Round'!G28),"",'By Round'!G28)</f>
        <v/>
      </c>
      <c r="H30" s="15">
        <f>IF(ISBLANK('By Round'!H28),"",'By Round'!H28)</f>
        <v/>
      </c>
      <c r="I30" s="15">
        <f>IF(ISBLANK('By Round'!I28),"",'By Round'!I28)</f>
        <v/>
      </c>
      <c r="J30" s="15">
        <f>IF(ISBLANK('By Round'!J28),"",'By Round'!J28)</f>
        <v/>
      </c>
      <c r="K30" s="15">
        <f>IF(ISBLANK('By Round'!K28),"",'By Round'!K28)</f>
        <v/>
      </c>
      <c r="L30" s="15">
        <f>IF(ISBLANK('By Round'!L28),"",'By Round'!L28)</f>
        <v/>
      </c>
      <c r="M30" s="17">
        <f>AVERAGE(W30:W30)</f>
        <v/>
      </c>
      <c r="N30" s="18">
        <f>AVERAGE(X30:X30)</f>
        <v/>
      </c>
      <c r="O30" s="19">
        <f>IF(COUNT(U30:U30)&gt;0,Q30/COUNT(U30:U30),0.5)</f>
        <v/>
      </c>
      <c r="P30" s="19">
        <f>IF(COUNT(V30:V30)&gt;0,R30/COUNT(V30:V30),0.5)</f>
        <v/>
      </c>
      <c r="Q30" s="20">
        <f>SUM(U30:U30)</f>
        <v/>
      </c>
      <c r="R30" s="20">
        <f>SUM(V30:V30)</f>
        <v/>
      </c>
      <c r="S30" s="21">
        <f>IF(ISNUMBER(K30),K30,IF(ISNUMBER(L30),-L30,""))</f>
        <v/>
      </c>
      <c r="T30" s="15">
        <f>IF(ISNUMBER(L30),L30,IF(ISNUMBER(K30),-K30,""))</f>
        <v/>
      </c>
      <c r="U30" s="21">
        <f>IF(ISNUMBER(S30),IF(ISNUMBER(S29),IF(S30&gt;S29,1.0,IF(S30=S29,0.5,0.0)),0.5),0.5)</f>
        <v/>
      </c>
      <c r="V30" s="15">
        <f>IF(ISNUMBER(T30),IF(ISNUMBER(T29),IF(T30&gt;T29,1.0,IF(T30=T29,0.5,0.0)),0.5),0.5)</f>
        <v/>
      </c>
      <c r="W30" s="21">
        <f>IF(AND(ISNUMBER(S30),ISNUMBER(S29)),VLOOKUP(ABS(S30-S29),'IMP Table'!$A$2:$C$26,3)*SIGN(S30-S29),0)</f>
        <v/>
      </c>
      <c r="X30" s="15">
        <f>IF(AND(ISNUMBER(T30),ISNUMBER(T29)),VLOOKUP(ABS(T30-T29),'IMP Table'!$A$2:$C$26,3)*SIGN(T30-T29),0)</f>
        <v/>
      </c>
    </row>
    <row r="31">
      <c r="A31" s="10" t="n">
        <v>15</v>
      </c>
      <c r="B31" s="10">
        <f>'By Round'!A9</f>
        <v/>
      </c>
      <c r="C31" s="10">
        <f>'By Round'!B12</f>
        <v/>
      </c>
      <c r="D31" s="10">
        <f>'By Round'!C12</f>
        <v/>
      </c>
      <c r="E31" s="10">
        <f>'By Round'!D12</f>
        <v/>
      </c>
      <c r="F31" s="10">
        <f>IF(ISBLANK('By Round'!F14),"",'By Round'!F14)</f>
        <v/>
      </c>
      <c r="G31">
        <f>IF(ISBLANK('By Round'!G14),"",'By Round'!G14)</f>
        <v/>
      </c>
      <c r="H31">
        <f>IF(ISBLANK('By Round'!H14),"",'By Round'!H14)</f>
        <v/>
      </c>
      <c r="I31">
        <f>IF(ISBLANK('By Round'!I14),"",'By Round'!I14)</f>
        <v/>
      </c>
      <c r="J31">
        <f>IF(ISBLANK('By Round'!J14),"",'By Round'!J14)</f>
        <v/>
      </c>
      <c r="K31">
        <f>IF(ISBLANK('By Round'!K14),"",'By Round'!K14)</f>
        <v/>
      </c>
      <c r="L31">
        <f>IF(ISBLANK('By Round'!L14),"",'By Round'!L14)</f>
        <v/>
      </c>
      <c r="M31" s="11">
        <f>AVERAGE(W31:W31)</f>
        <v/>
      </c>
      <c r="N31" s="12">
        <f>AVERAGE(X31:X31)</f>
        <v/>
      </c>
      <c r="O31" s="13">
        <f>IF(COUNT(U31:U31)&gt;0,Q31/COUNT(U31:U31),0.5)</f>
        <v/>
      </c>
      <c r="P31" s="13">
        <f>IF(COUNT(V31:V31)&gt;0,R31/COUNT(V31:V31),0.5)</f>
        <v/>
      </c>
      <c r="Q31" s="5">
        <f>SUM(U31:U31)</f>
        <v/>
      </c>
      <c r="R31" s="5">
        <f>SUM(V31:V31)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IF(ISNUMBER(S31),IF(ISNUMBER(S32),IF(S31&gt;S32,1.0,IF(S31=S32,0.5,0.0)),0.5),0.5)</f>
        <v/>
      </c>
      <c r="V31">
        <f>IF(ISNUMBER(T31),IF(ISNUMBER(T32),IF(T31&gt;T32,1.0,IF(T31=T32,0.5,0.0)),0.5),0.5)</f>
        <v/>
      </c>
      <c r="W31" s="14">
        <f>IF(AND(ISNUMBER(S31),ISNUMBER(S32)),VLOOKUP(ABS(S31-S32),'IMP Table'!$A$2:$C$26,3)*SIGN(S31-S32),0)</f>
        <v/>
      </c>
      <c r="X31">
        <f>IF(AND(ISNUMBER(T31),ISNUMBER(T32)),VLOOKUP(ABS(T31-T32),'IMP Table'!$A$2:$C$26,3)*SIGN(T31-T32),0)</f>
        <v/>
      </c>
    </row>
    <row r="32">
      <c r="A32" s="15" t="n"/>
      <c r="B32" s="16">
        <f>'By Round'!A27</f>
        <v/>
      </c>
      <c r="C32" s="16">
        <f>'By Round'!B27</f>
        <v/>
      </c>
      <c r="D32" s="16">
        <f>'By Round'!C27</f>
        <v/>
      </c>
      <c r="E32" s="16">
        <f>'By Round'!D27</f>
        <v/>
      </c>
      <c r="F32" s="16">
        <f>IF(ISBLANK('By Round'!F29),"",'By Round'!F29)</f>
        <v/>
      </c>
      <c r="G32" s="15">
        <f>IF(ISBLANK('By Round'!G29),"",'By Round'!G29)</f>
        <v/>
      </c>
      <c r="H32" s="15">
        <f>IF(ISBLANK('By Round'!H29),"",'By Round'!H29)</f>
        <v/>
      </c>
      <c r="I32" s="15">
        <f>IF(ISBLANK('By Round'!I29),"",'By Round'!I29)</f>
        <v/>
      </c>
      <c r="J32" s="15">
        <f>IF(ISBLANK('By Round'!J29),"",'By Round'!J29)</f>
        <v/>
      </c>
      <c r="K32" s="15">
        <f>IF(ISBLANK('By Round'!K29),"",'By Round'!K29)</f>
        <v/>
      </c>
      <c r="L32" s="15">
        <f>IF(ISBLANK('By Round'!L29),"",'By Round'!L29)</f>
        <v/>
      </c>
      <c r="M32" s="17">
        <f>AVERAGE(W32:W32)</f>
        <v/>
      </c>
      <c r="N32" s="18">
        <f>AVERAGE(X32:X32)</f>
        <v/>
      </c>
      <c r="O32" s="19">
        <f>IF(COUNT(U32:U32)&gt;0,Q32/COUNT(U32:U32),0.5)</f>
        <v/>
      </c>
      <c r="P32" s="19">
        <f>IF(COUNT(V32:V32)&gt;0,R32/COUNT(V32:V32),0.5)</f>
        <v/>
      </c>
      <c r="Q32" s="20">
        <f>SUM(U32:U32)</f>
        <v/>
      </c>
      <c r="R32" s="20">
        <f>SUM(V32:V32)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IF(ISNUMBER(S32),IF(ISNUMBER(S31),IF(S32&gt;S31,1.0,IF(S32=S31,0.5,0.0)),0.5),0.5)</f>
        <v/>
      </c>
      <c r="V32" s="15">
        <f>IF(ISNUMBER(T32),IF(ISNUMBER(T31),IF(T32&gt;T31,1.0,IF(T32=T31,0.5,0.0)),0.5),0.5)</f>
        <v/>
      </c>
      <c r="W32" s="21">
        <f>IF(AND(ISNUMBER(S32),ISNUMBER(S31)),VLOOKUP(ABS(S32-S31),'IMP Table'!$A$2:$C$26,3)*SIGN(S32-S31),0)</f>
        <v/>
      </c>
      <c r="X32" s="15">
        <f>IF(AND(ISNUMBER(T32),ISNUMBER(T31)),VLOOKUP(ABS(T32-T31),'IMP Table'!$A$2:$C$26,3)*SIGN(T32-T31),0)</f>
        <v/>
      </c>
    </row>
    <row r="33">
      <c r="A33" s="10" t="n">
        <v>16</v>
      </c>
      <c r="B33" s="10">
        <f>'By Round'!A15</f>
        <v/>
      </c>
      <c r="C33" s="10">
        <f>'By Round'!B18</f>
        <v/>
      </c>
      <c r="D33" s="10">
        <f>'By Round'!C18</f>
        <v/>
      </c>
      <c r="E33" s="10">
        <f>'By Round'!D18</f>
        <v/>
      </c>
      <c r="F33" s="10">
        <f>IF(ISBLANK('By Round'!F18),"",'By Round'!F18)</f>
        <v/>
      </c>
      <c r="G33">
        <f>IF(ISBLANK('By Round'!G18),"",'By Round'!G18)</f>
        <v/>
      </c>
      <c r="H33">
        <f>IF(ISBLANK('By Round'!H18),"",'By Round'!H18)</f>
        <v/>
      </c>
      <c r="I33">
        <f>IF(ISBLANK('By Round'!I18),"",'By Round'!I18)</f>
        <v/>
      </c>
      <c r="J33">
        <f>IF(ISBLANK('By Round'!J18),"",'By Round'!J18)</f>
        <v/>
      </c>
      <c r="K33">
        <f>IF(ISBLANK('By Round'!K18),"",'By Round'!K18)</f>
        <v/>
      </c>
      <c r="L33">
        <f>IF(ISBLANK('By Round'!L18),"",'By Round'!L18)</f>
        <v/>
      </c>
      <c r="M33" s="11">
        <f>AVERAGE(W33:W33)</f>
        <v/>
      </c>
      <c r="N33" s="12">
        <f>AVERAGE(X33:X33)</f>
        <v/>
      </c>
      <c r="O33" s="13">
        <f>IF(COUNT(U33:U33)&gt;0,Q33/COUNT(U33:U33),0.5)</f>
        <v/>
      </c>
      <c r="P33" s="13">
        <f>IF(COUNT(V33:V33)&gt;0,R33/COUNT(V33:V33),0.5)</f>
        <v/>
      </c>
      <c r="Q33" s="5">
        <f>SUM(U33:U33)</f>
        <v/>
      </c>
      <c r="R33" s="5">
        <f>SUM(V33:V33)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IF(ISNUMBER(T33),IF(ISNUMBER(T34),IF(T33&gt;T34,1.0,IF(T33=T34,0.5,0.0)),0.5),0.5)</f>
        <v/>
      </c>
      <c r="W33" s="14">
        <f>IF(AND(ISNUMBER(S33),ISNUMBER(S34)),VLOOKUP(ABS(S33-S34),'IMP Table'!$A$2:$C$26,3)*SIGN(S33-S34),0)</f>
        <v/>
      </c>
      <c r="X33">
        <f>IF(AND(ISNUMBER(T33),ISNUMBER(T34)),VLOOKUP(ABS(T33-T34),'IMP Table'!$A$2:$C$26,3)*SIGN(T33-T34),0)</f>
        <v/>
      </c>
    </row>
    <row r="34">
      <c r="A34" s="15" t="n"/>
      <c r="B34" s="16">
        <f>'By Round'!A33</f>
        <v/>
      </c>
      <c r="C34" s="16">
        <f>'By Round'!B33</f>
        <v/>
      </c>
      <c r="D34" s="16">
        <f>'By Round'!C33</f>
        <v/>
      </c>
      <c r="E34" s="16">
        <f>'By Round'!D33</f>
        <v/>
      </c>
      <c r="F34" s="16">
        <f>IF(ISBLANK('By Round'!F33),"",'By Round'!F33)</f>
        <v/>
      </c>
      <c r="G34" s="15">
        <f>IF(ISBLANK('By Round'!G33),"",'By Round'!G33)</f>
        <v/>
      </c>
      <c r="H34" s="15">
        <f>IF(ISBLANK('By Round'!H33),"",'By Round'!H33)</f>
        <v/>
      </c>
      <c r="I34" s="15">
        <f>IF(ISBLANK('By Round'!I33),"",'By Round'!I33)</f>
        <v/>
      </c>
      <c r="J34" s="15">
        <f>IF(ISBLANK('By Round'!J33),"",'By Round'!J33)</f>
        <v/>
      </c>
      <c r="K34" s="15">
        <f>IF(ISBLANK('By Round'!K33),"",'By Round'!K33)</f>
        <v/>
      </c>
      <c r="L34" s="15">
        <f>IF(ISBLANK('By Round'!L33),"",'By Round'!L33)</f>
        <v/>
      </c>
      <c r="M34" s="17">
        <f>AVERAGE(W34:W34)</f>
        <v/>
      </c>
      <c r="N34" s="18">
        <f>AVERAGE(X34:X34)</f>
        <v/>
      </c>
      <c r="O34" s="19">
        <f>IF(COUNT(U34:U34)&gt;0,Q34/COUNT(U34:U34),0.5)</f>
        <v/>
      </c>
      <c r="P34" s="19">
        <f>IF(COUNT(V34:V34)&gt;0,R34/COUNT(V34:V34),0.5)</f>
        <v/>
      </c>
      <c r="Q34" s="20">
        <f>SUM(U34:U34)</f>
        <v/>
      </c>
      <c r="R34" s="20">
        <f>SUM(V34:V34)</f>
        <v/>
      </c>
      <c r="S34" s="21">
        <f>IF(ISNUMBER(K34),K34,IF(ISNUMBER(L34),-L34,""))</f>
        <v/>
      </c>
      <c r="T34" s="15">
        <f>IF(ISNUMBER(L34),L34,IF(ISNUMBER(K34),-K34,""))</f>
        <v/>
      </c>
      <c r="U34" s="21">
        <f>IF(ISNUMBER(S34),IF(ISNUMBER(S33),IF(S34&gt;S33,1.0,IF(S34=S33,0.5,0.0)),0.5),0.5)</f>
        <v/>
      </c>
      <c r="V34" s="15">
        <f>IF(ISNUMBER(T34),IF(ISNUMBER(T33),IF(T34&gt;T33,1.0,IF(T34=T33,0.5,0.0)),0.5),0.5)</f>
        <v/>
      </c>
      <c r="W34" s="21">
        <f>IF(AND(ISNUMBER(S34),ISNUMBER(S33)),VLOOKUP(ABS(S34-S33),'IMP Table'!$A$2:$C$26,3)*SIGN(S34-S33),0)</f>
        <v/>
      </c>
      <c r="X34" s="15">
        <f>IF(AND(ISNUMBER(T34),ISNUMBER(T33)),VLOOKUP(ABS(T34-T33),'IMP Table'!$A$2:$C$26,3)*SIGN(T34-T33),0)</f>
        <v/>
      </c>
    </row>
    <row r="35">
      <c r="A35" s="10" t="n">
        <v>17</v>
      </c>
      <c r="B35" s="10">
        <f>'By Round'!A15</f>
        <v/>
      </c>
      <c r="C35" s="10">
        <f>'By Round'!B18</f>
        <v/>
      </c>
      <c r="D35" s="10">
        <f>'By Round'!C18</f>
        <v/>
      </c>
      <c r="E35" s="10">
        <f>'By Round'!D18</f>
        <v/>
      </c>
      <c r="F35" s="10">
        <f>IF(ISBLANK('By Round'!F19),"",'By Round'!F19)</f>
        <v/>
      </c>
      <c r="G35">
        <f>IF(ISBLANK('By Round'!G19),"",'By Round'!G19)</f>
        <v/>
      </c>
      <c r="H35">
        <f>IF(ISBLANK('By Round'!H19),"",'By Round'!H19)</f>
        <v/>
      </c>
      <c r="I35">
        <f>IF(ISBLANK('By Round'!I19),"",'By Round'!I19)</f>
        <v/>
      </c>
      <c r="J35">
        <f>IF(ISBLANK('By Round'!J19),"",'By Round'!J19)</f>
        <v/>
      </c>
      <c r="K35">
        <f>IF(ISBLANK('By Round'!K19),"",'By Round'!K19)</f>
        <v/>
      </c>
      <c r="L35">
        <f>IF(ISBLANK('By Round'!L19),"",'By Round'!L19)</f>
        <v/>
      </c>
      <c r="M35" s="11">
        <f>AVERAGE(W35:W35)</f>
        <v/>
      </c>
      <c r="N35" s="12">
        <f>AVERAGE(X35:X35)</f>
        <v/>
      </c>
      <c r="O35" s="13">
        <f>IF(COUNT(U35:U35)&gt;0,Q35/COUNT(U35:U35),0.5)</f>
        <v/>
      </c>
      <c r="P35" s="13">
        <f>IF(COUNT(V35:V35)&gt;0,R35/COUNT(V35:V35),0.5)</f>
        <v/>
      </c>
      <c r="Q35" s="5">
        <f>SUM(U35:U35)</f>
        <v/>
      </c>
      <c r="R35" s="5">
        <f>SUM(V35:V35)</f>
        <v/>
      </c>
      <c r="S35" s="14">
        <f>IF(ISNUMBER(K35),K35,IF(ISNUMBER(L35),-L35,""))</f>
        <v/>
      </c>
      <c r="T35">
        <f>IF(ISNUMBER(L35),L35,IF(ISNUMBER(K35),-K35,""))</f>
        <v/>
      </c>
      <c r="U35" s="14">
        <f>IF(ISNUMBER(S35),IF(ISNUMBER(S36),IF(S35&gt;S36,1.0,IF(S35=S36,0.5,0.0)),0.5),0.5)</f>
        <v/>
      </c>
      <c r="V35">
        <f>IF(ISNUMBER(T35),IF(ISNUMBER(T36),IF(T35&gt;T36,1.0,IF(T35=T36,0.5,0.0)),0.5),0.5)</f>
        <v/>
      </c>
      <c r="W35" s="14">
        <f>IF(AND(ISNUMBER(S35),ISNUMBER(S36)),VLOOKUP(ABS(S35-S36),'IMP Table'!$A$2:$C$26,3)*SIGN(S35-S36),0)</f>
        <v/>
      </c>
      <c r="X35">
        <f>IF(AND(ISNUMBER(T35),ISNUMBER(T36)),VLOOKUP(ABS(T35-T36),'IMP Table'!$A$2:$C$26,3)*SIGN(T35-T36),0)</f>
        <v/>
      </c>
    </row>
    <row r="36">
      <c r="A36" s="15" t="n"/>
      <c r="B36" s="16">
        <f>'By Round'!A33</f>
        <v/>
      </c>
      <c r="C36" s="16">
        <f>'By Round'!B33</f>
        <v/>
      </c>
      <c r="D36" s="16">
        <f>'By Round'!C33</f>
        <v/>
      </c>
      <c r="E36" s="16">
        <f>'By Round'!D33</f>
        <v/>
      </c>
      <c r="F36" s="16">
        <f>IF(ISBLANK('By Round'!F34),"",'By Round'!F34)</f>
        <v/>
      </c>
      <c r="G36" s="15">
        <f>IF(ISBLANK('By Round'!G34),"",'By Round'!G34)</f>
        <v/>
      </c>
      <c r="H36" s="15">
        <f>IF(ISBLANK('By Round'!H34),"",'By Round'!H34)</f>
        <v/>
      </c>
      <c r="I36" s="15">
        <f>IF(ISBLANK('By Round'!I34),"",'By Round'!I34)</f>
        <v/>
      </c>
      <c r="J36" s="15">
        <f>IF(ISBLANK('By Round'!J34),"",'By Round'!J34)</f>
        <v/>
      </c>
      <c r="K36" s="15">
        <f>IF(ISBLANK('By Round'!K34),"",'By Round'!K34)</f>
        <v/>
      </c>
      <c r="L36" s="15">
        <f>IF(ISBLANK('By Round'!L34),"",'By Round'!L34)</f>
        <v/>
      </c>
      <c r="M36" s="17">
        <f>AVERAGE(W36:W36)</f>
        <v/>
      </c>
      <c r="N36" s="18">
        <f>AVERAGE(X36:X36)</f>
        <v/>
      </c>
      <c r="O36" s="19">
        <f>IF(COUNT(U36:U36)&gt;0,Q36/COUNT(U36:U36),0.5)</f>
        <v/>
      </c>
      <c r="P36" s="19">
        <f>IF(COUNT(V36:V36)&gt;0,R36/COUNT(V36:V36),0.5)</f>
        <v/>
      </c>
      <c r="Q36" s="20">
        <f>SUM(U36:U36)</f>
        <v/>
      </c>
      <c r="R36" s="20">
        <f>SUM(V36:V36)</f>
        <v/>
      </c>
      <c r="S36" s="21">
        <f>IF(ISNUMBER(K36),K36,IF(ISNUMBER(L36),-L36,""))</f>
        <v/>
      </c>
      <c r="T36" s="15">
        <f>IF(ISNUMBER(L36),L36,IF(ISNUMBER(K36),-K36,""))</f>
        <v/>
      </c>
      <c r="U36" s="21">
        <f>IF(ISNUMBER(S36),IF(ISNUMBER(S35),IF(S36&gt;S35,1.0,IF(S36=S35,0.5,0.0)),0.5),0.5)</f>
        <v/>
      </c>
      <c r="V36" s="15">
        <f>IF(ISNUMBER(T36),IF(ISNUMBER(T35),IF(T36&gt;T35,1.0,IF(T36=T35,0.5,0.0)),0.5),0.5)</f>
        <v/>
      </c>
      <c r="W36" s="21">
        <f>IF(AND(ISNUMBER(S36),ISNUMBER(S35)),VLOOKUP(ABS(S36-S35),'IMP Table'!$A$2:$C$26,3)*SIGN(S36-S35),0)</f>
        <v/>
      </c>
      <c r="X36" s="15">
        <f>IF(AND(ISNUMBER(T36),ISNUMBER(T35)),VLOOKUP(ABS(T36-T35),'IMP Table'!$A$2:$C$26,3)*SIGN(T36-T35),0)</f>
        <v/>
      </c>
    </row>
    <row r="37">
      <c r="A37" s="10" t="n">
        <v>18</v>
      </c>
      <c r="B37" s="10">
        <f>'By Round'!A15</f>
        <v/>
      </c>
      <c r="C37" s="10">
        <f>'By Round'!B18</f>
        <v/>
      </c>
      <c r="D37" s="10">
        <f>'By Round'!C18</f>
        <v/>
      </c>
      <c r="E37" s="10">
        <f>'By Round'!D18</f>
        <v/>
      </c>
      <c r="F37" s="10">
        <f>IF(ISBLANK('By Round'!F20),"",'By Round'!F20)</f>
        <v/>
      </c>
      <c r="G37">
        <f>IF(ISBLANK('By Round'!G20),"",'By Round'!G20)</f>
        <v/>
      </c>
      <c r="H37">
        <f>IF(ISBLANK('By Round'!H20),"",'By Round'!H20)</f>
        <v/>
      </c>
      <c r="I37">
        <f>IF(ISBLANK('By Round'!I20),"",'By Round'!I20)</f>
        <v/>
      </c>
      <c r="J37">
        <f>IF(ISBLANK('By Round'!J20),"",'By Round'!J20)</f>
        <v/>
      </c>
      <c r="K37">
        <f>IF(ISBLANK('By Round'!K20),"",'By Round'!K20)</f>
        <v/>
      </c>
      <c r="L37">
        <f>IF(ISBLANK('By Round'!L20),"",'By Round'!L20)</f>
        <v/>
      </c>
      <c r="M37" s="11">
        <f>AVERAGE(W37:W37)</f>
        <v/>
      </c>
      <c r="N37" s="12">
        <f>AVERAGE(X37:X37)</f>
        <v/>
      </c>
      <c r="O37" s="13">
        <f>IF(COUNT(U37:U37)&gt;0,Q37/COUNT(U37:U37),0.5)</f>
        <v/>
      </c>
      <c r="P37" s="13">
        <f>IF(COUNT(V37:V37)&gt;0,R37/COUNT(V37:V37),0.5)</f>
        <v/>
      </c>
      <c r="Q37" s="5">
        <f>SUM(U37:U37)</f>
        <v/>
      </c>
      <c r="R37" s="5">
        <f>SUM(V37:V37)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IF(ISNUMBER(S37),IF(ISNUMBER(S38),IF(S37&gt;S38,1.0,IF(S37=S38,0.5,0.0)),0.5),0.5)</f>
        <v/>
      </c>
      <c r="V37">
        <f>IF(ISNUMBER(T37),IF(ISNUMBER(T38),IF(T37&gt;T38,1.0,IF(T37=T38,0.5,0.0)),0.5),0.5)</f>
        <v/>
      </c>
      <c r="W37" s="14">
        <f>IF(AND(ISNUMBER(S37),ISNUMBER(S38)),VLOOKUP(ABS(S37-S38),'IMP Table'!$A$2:$C$26,3)*SIGN(S37-S38),0)</f>
        <v/>
      </c>
      <c r="X37">
        <f>IF(AND(ISNUMBER(T37),ISNUMBER(T38)),VLOOKUP(ABS(T37-T38),'IMP Table'!$A$2:$C$26,3)*SIGN(T37-T38),0)</f>
        <v/>
      </c>
    </row>
    <row r="38">
      <c r="A38" s="15" t="n"/>
      <c r="B38" s="16">
        <f>'By Round'!A33</f>
        <v/>
      </c>
      <c r="C38" s="16">
        <f>'By Round'!B33</f>
        <v/>
      </c>
      <c r="D38" s="16">
        <f>'By Round'!C33</f>
        <v/>
      </c>
      <c r="E38" s="16">
        <f>'By Round'!D33</f>
        <v/>
      </c>
      <c r="F38" s="16">
        <f>IF(ISBLANK('By Round'!F35),"",'By Round'!F35)</f>
        <v/>
      </c>
      <c r="G38" s="15">
        <f>IF(ISBLANK('By Round'!G35),"",'By Round'!G35)</f>
        <v/>
      </c>
      <c r="H38" s="15">
        <f>IF(ISBLANK('By Round'!H35),"",'By Round'!H35)</f>
        <v/>
      </c>
      <c r="I38" s="15">
        <f>IF(ISBLANK('By Round'!I35),"",'By Round'!I35)</f>
        <v/>
      </c>
      <c r="J38" s="15">
        <f>IF(ISBLANK('By Round'!J35),"",'By Round'!J35)</f>
        <v/>
      </c>
      <c r="K38" s="15">
        <f>IF(ISBLANK('By Round'!K35),"",'By Round'!K35)</f>
        <v/>
      </c>
      <c r="L38" s="15">
        <f>IF(ISBLANK('By Round'!L35),"",'By Round'!L35)</f>
        <v/>
      </c>
      <c r="M38" s="17">
        <f>AVERAGE(W38:W38)</f>
        <v/>
      </c>
      <c r="N38" s="18">
        <f>AVERAGE(X38:X38)</f>
        <v/>
      </c>
      <c r="O38" s="19">
        <f>IF(COUNT(U38:U38)&gt;0,Q38/COUNT(U38:U38),0.5)</f>
        <v/>
      </c>
      <c r="P38" s="19">
        <f>IF(COUNT(V38:V38)&gt;0,R38/COUNT(V38:V38),0.5)</f>
        <v/>
      </c>
      <c r="Q38" s="20">
        <f>SUM(U38:U38)</f>
        <v/>
      </c>
      <c r="R38" s="20">
        <f>SUM(V38:V38)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IF(ISNUMBER(S38),IF(ISNUMBER(S37),IF(S38&gt;S37,1.0,IF(S38=S37,0.5,0.0)),0.5),0.5)</f>
        <v/>
      </c>
      <c r="V38" s="15">
        <f>IF(ISNUMBER(T38),IF(ISNUMBER(T37),IF(T38&gt;T37,1.0,IF(T38=T37,0.5,0.0)),0.5),0.5)</f>
        <v/>
      </c>
      <c r="W38" s="21">
        <f>IF(AND(ISNUMBER(S38),ISNUMBER(S37)),VLOOKUP(ABS(S38-S37),'IMP Table'!$A$2:$C$26,3)*SIGN(S38-S37),0)</f>
        <v/>
      </c>
      <c r="X38" s="15">
        <f>IF(AND(ISNUMBER(T38),ISNUMBER(T37)),VLOOKUP(ABS(T38-T37),'IMP Table'!$A$2:$C$26,3)*SIGN(T38-T37),0)</f>
        <v/>
      </c>
    </row>
  </sheetData>
  <mergeCells count="12">
    <mergeCell ref="Q1:R1"/>
    <mergeCell ref="K1:L1"/>
    <mergeCell ref="S1:T1"/>
    <mergeCell ref="W1:X1"/>
    <mergeCell ref="U1:V1"/>
    <mergeCell ref="O1:P1"/>
    <mergeCell ref="V2"/>
    <mergeCell ref="U2"/>
    <mergeCell ref="W2"/>
    <mergeCell ref="X2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4</v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2</v>
      </c>
      <c r="E6" s="10" t="n">
        <v>10</v>
      </c>
      <c r="F6" s="10" t="inlineStr">
        <is>
          <t>Both</t>
        </is>
      </c>
    </row>
    <row r="7">
      <c r="B7" s="10" t="n"/>
      <c r="C7" s="10" t="n"/>
      <c r="D7" s="10" t="n"/>
      <c r="E7" s="10" t="n">
        <v>11</v>
      </c>
      <c r="F7" s="10" t="inlineStr">
        <is>
          <t>None</t>
        </is>
      </c>
    </row>
    <row r="8">
      <c r="A8" s="15" t="n"/>
      <c r="B8" s="16" t="n"/>
      <c r="C8" s="16" t="n"/>
      <c r="D8" s="16" t="n"/>
      <c r="E8" s="16" t="n">
        <v>12</v>
      </c>
      <c r="F8" s="16" t="inlineStr">
        <is>
          <t>NS</t>
        </is>
      </c>
      <c r="G8" s="15" t="n"/>
      <c r="H8" s="15" t="n"/>
      <c r="I8" s="15" t="n"/>
      <c r="J8" s="15" t="n"/>
      <c r="K8" s="15" t="n"/>
      <c r="L8" s="15" t="n"/>
    </row>
    <row r="9">
      <c r="A9" s="10" t="n">
        <v>2</v>
      </c>
      <c r="B9" s="10" t="n">
        <v>1</v>
      </c>
      <c r="C9" s="10" t="n">
        <v>4</v>
      </c>
      <c r="D9" s="10" t="n">
        <v>2</v>
      </c>
      <c r="E9" s="10" t="n">
        <v>4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5</v>
      </c>
      <c r="F10" s="10" t="inlineStr">
        <is>
          <t>NS</t>
        </is>
      </c>
    </row>
    <row r="11">
      <c r="B11" s="16" t="n"/>
      <c r="C11" s="16" t="n"/>
      <c r="D11" s="16" t="n"/>
      <c r="E11" s="16" t="n">
        <v>6</v>
      </c>
      <c r="F11" s="16" t="inlineStr">
        <is>
          <t>EW</t>
        </is>
      </c>
      <c r="G11" s="15" t="n"/>
      <c r="H11" s="15" t="n"/>
      <c r="I11" s="15" t="n"/>
      <c r="J11" s="15" t="n"/>
      <c r="K11" s="15" t="n"/>
      <c r="L11" s="15" t="n"/>
    </row>
    <row r="12">
      <c r="B12" s="10" t="n">
        <v>2</v>
      </c>
      <c r="C12" s="10" t="n">
        <v>1</v>
      </c>
      <c r="D12" s="10" t="n">
        <v>3</v>
      </c>
      <c r="E12" s="10" t="n">
        <v>13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14</v>
      </c>
      <c r="F13" s="10" t="inlineStr">
        <is>
          <t>None</t>
        </is>
      </c>
    </row>
    <row r="14">
      <c r="A14" s="15" t="n"/>
      <c r="B14" s="16" t="n"/>
      <c r="C14" s="16" t="n"/>
      <c r="D14" s="16" t="n"/>
      <c r="E14" s="16" t="n">
        <v>15</v>
      </c>
      <c r="F14" s="16" t="inlineStr">
        <is>
          <t>NS</t>
        </is>
      </c>
      <c r="G14" s="15" t="n"/>
      <c r="H14" s="15" t="n"/>
      <c r="I14" s="15" t="n"/>
      <c r="J14" s="15" t="n"/>
      <c r="K14" s="15" t="n"/>
      <c r="L14" s="15" t="n"/>
    </row>
    <row r="15">
      <c r="A15" s="10" t="n">
        <v>3</v>
      </c>
      <c r="B15" s="10" t="n">
        <v>1</v>
      </c>
      <c r="C15" s="10" t="n">
        <v>4</v>
      </c>
      <c r="D15" s="10" t="n">
        <v>3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2</v>
      </c>
      <c r="C18" s="10" t="n">
        <v>2</v>
      </c>
      <c r="D18" s="10" t="n">
        <v>1</v>
      </c>
      <c r="E18" s="10" t="n">
        <v>16</v>
      </c>
      <c r="F18" s="10" t="inlineStr">
        <is>
          <t>EW</t>
        </is>
      </c>
    </row>
    <row r="19">
      <c r="B19" s="10" t="n"/>
      <c r="C19" s="10" t="n"/>
      <c r="D19" s="10" t="n"/>
      <c r="E19" s="10" t="n">
        <v>17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18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4</v>
      </c>
      <c r="B21" s="10" t="n">
        <v>1</v>
      </c>
      <c r="C21" s="10" t="n">
        <v>4</v>
      </c>
      <c r="D21" s="10" t="n">
        <v>1</v>
      </c>
      <c r="E21" s="10" t="n">
        <v>10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11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12</v>
      </c>
      <c r="F23" s="16" t="inlineStr">
        <is>
          <t>NS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3</v>
      </c>
      <c r="D24" s="10" t="n">
        <v>2</v>
      </c>
      <c r="E24" s="10" t="n">
        <v>1</v>
      </c>
      <c r="F24" s="10" t="inlineStr">
        <is>
          <t>None</t>
        </is>
      </c>
    </row>
    <row r="25">
      <c r="B25" s="10" t="n"/>
      <c r="C25" s="10" t="n"/>
      <c r="D25" s="10" t="n"/>
      <c r="E25" s="10" t="n">
        <v>2</v>
      </c>
      <c r="F25" s="10" t="inlineStr">
        <is>
          <t>NS</t>
        </is>
      </c>
    </row>
    <row r="26">
      <c r="A26" s="15" t="n"/>
      <c r="B26" s="16" t="n"/>
      <c r="C26" s="16" t="n"/>
      <c r="D26" s="16" t="n"/>
      <c r="E26" s="16" t="n">
        <v>3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A27" s="10" t="n">
        <v>5</v>
      </c>
      <c r="B27" s="10" t="n">
        <v>1</v>
      </c>
      <c r="C27" s="10" t="n">
        <v>4</v>
      </c>
      <c r="D27" s="10" t="n">
        <v>2</v>
      </c>
      <c r="E27" s="10" t="n">
        <v>13</v>
      </c>
      <c r="F27" s="10" t="inlineStr">
        <is>
          <t>Both</t>
        </is>
      </c>
    </row>
    <row r="28">
      <c r="B28" s="10" t="n"/>
      <c r="C28" s="10" t="n"/>
      <c r="D28" s="10" t="n"/>
      <c r="E28" s="10" t="n">
        <v>14</v>
      </c>
      <c r="F28" s="10" t="inlineStr">
        <is>
          <t>None</t>
        </is>
      </c>
    </row>
    <row r="29">
      <c r="B29" s="16" t="n"/>
      <c r="C29" s="16" t="n"/>
      <c r="D29" s="16" t="n"/>
      <c r="E29" s="16" t="n">
        <v>15</v>
      </c>
      <c r="F29" s="16" t="inlineStr">
        <is>
          <t>NS</t>
        </is>
      </c>
      <c r="G29" s="15" t="n"/>
      <c r="H29" s="15" t="n"/>
      <c r="I29" s="15" t="n"/>
      <c r="J29" s="15" t="n"/>
      <c r="K29" s="15" t="n"/>
      <c r="L29" s="15" t="n"/>
    </row>
    <row r="30">
      <c r="B30" s="10" t="n">
        <v>2</v>
      </c>
      <c r="C30" s="10" t="n">
        <v>1</v>
      </c>
      <c r="D30" s="10" t="n">
        <v>3</v>
      </c>
      <c r="E30" s="10" t="n">
        <v>4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5</v>
      </c>
      <c r="F31" s="10" t="inlineStr">
        <is>
          <t>NS</t>
        </is>
      </c>
    </row>
    <row r="32">
      <c r="A32" s="15" t="n"/>
      <c r="B32" s="16" t="n"/>
      <c r="C32" s="16" t="n"/>
      <c r="D32" s="16" t="n"/>
      <c r="E32" s="16" t="n">
        <v>6</v>
      </c>
      <c r="F32" s="16" t="inlineStr">
        <is>
          <t>EW</t>
        </is>
      </c>
      <c r="G32" s="15" t="n"/>
      <c r="H32" s="15" t="n"/>
      <c r="I32" s="15" t="n"/>
      <c r="J32" s="15" t="n"/>
      <c r="K32" s="15" t="n"/>
      <c r="L32" s="15" t="n"/>
    </row>
    <row r="33">
      <c r="A33" s="10" t="n">
        <v>6</v>
      </c>
      <c r="B33" s="10" t="n">
        <v>1</v>
      </c>
      <c r="C33" s="10" t="n">
        <v>4</v>
      </c>
      <c r="D33" s="10" t="n">
        <v>3</v>
      </c>
      <c r="E33" s="10" t="n">
        <v>16</v>
      </c>
      <c r="F33" s="10" t="inlineStr">
        <is>
          <t>EW</t>
        </is>
      </c>
    </row>
    <row r="34">
      <c r="B34" s="10" t="n"/>
      <c r="C34" s="10" t="n"/>
      <c r="D34" s="10" t="n"/>
      <c r="E34" s="10" t="n">
        <v>17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18</v>
      </c>
      <c r="F35" s="16" t="inlineStr">
        <is>
          <t>NS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2</v>
      </c>
      <c r="C36" s="10" t="n">
        <v>2</v>
      </c>
      <c r="D36" s="10" t="n">
        <v>1</v>
      </c>
      <c r="E36" s="10" t="n">
        <v>7</v>
      </c>
      <c r="F36" s="10" t="inlineStr">
        <is>
          <t>Both</t>
        </is>
      </c>
    </row>
    <row r="37">
      <c r="B37" s="10" t="n"/>
      <c r="C37" s="10" t="n"/>
      <c r="D37" s="10" t="n"/>
      <c r="E37" s="10" t="n">
        <v>8</v>
      </c>
      <c r="F37" s="10" t="inlineStr">
        <is>
          <t>None</t>
        </is>
      </c>
    </row>
    <row r="38">
      <c r="A38" s="15" t="n"/>
      <c r="B38" s="16" t="n"/>
      <c r="C38" s="16" t="n"/>
      <c r="D38" s="16" t="n"/>
      <c r="E38" s="16" t="n">
        <v>9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2026-04-23T20:42:16Z</dcterms:created>
  <dcterms:modified xsi:type="dcterms:W3CDTF">2026-04-23T20:42:16Z</dcterms:modified>
</cp:coreProperties>
</file>