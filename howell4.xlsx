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53</t>
        </is>
      </c>
      <c r="C10" t="inlineStr">
        <is>
          <t>Name 61</t>
        </is>
      </c>
      <c r="D10" s="4">
        <f>SUMIF('By Board'!$D$3:$D$20,"=1",'By Board'!$O$3:$O$20)/9+SUMIF('By Board'!$E$3:$E$20,"=1",'By Board'!$P$3:$P$20)/9</f>
        <v/>
      </c>
      <c r="E10" s="5">
        <f>SUMIF('By Board'!$D$3:$D$20,"=1",'By Board'!$M$3:$M$20)+SUMIF('By Board'!$E$3:$E$20,"=1",'By Board'!$N$3:$N$20)</f>
        <v/>
      </c>
    </row>
    <row r="11">
      <c r="A11" s="2" t="n">
        <v>2</v>
      </c>
      <c r="B11" t="inlineStr">
        <is>
          <t>Name 79</t>
        </is>
      </c>
      <c r="C11" t="inlineStr">
        <is>
          <t>Name 89</t>
        </is>
      </c>
      <c r="D11" s="4">
        <f>SUMIF('By Board'!$D$3:$D$20,"=2",'By Board'!$O$3:$O$20)/9+SUMIF('By Board'!$E$3:$E$20,"=2",'By Board'!$P$3:$P$20)/9</f>
        <v/>
      </c>
      <c r="E11" s="5">
        <f>SUMIF('By Board'!$D$3:$D$20,"=2",'By Board'!$M$3:$M$20)+SUMIF('By Board'!$E$3:$E$20,"=2",'By Board'!$N$3:$N$20)</f>
        <v/>
      </c>
    </row>
    <row r="12">
      <c r="A12" s="2" t="n">
        <v>3</v>
      </c>
      <c r="B12" t="inlineStr">
        <is>
          <t>Name 49</t>
        </is>
      </c>
      <c r="C12" t="inlineStr">
        <is>
          <t>Name 59</t>
        </is>
      </c>
      <c r="D12" s="4">
        <f>SUMIF('By Board'!$D$3:$D$20,"=3",'By Board'!$O$3:$O$20)/9+SUMIF('By Board'!$E$3:$E$20,"=3",'By Board'!$P$3:$P$20)/9</f>
        <v/>
      </c>
      <c r="E12" s="5">
        <f>SUMIF('By Board'!$D$3:$D$20,"=3",'By Board'!$M$3:$M$20)+SUMIF('By Board'!$E$3:$E$20,"=3",'By Board'!$N$3:$N$20)</f>
        <v/>
      </c>
    </row>
    <row r="13">
      <c r="A13" s="2" t="n">
        <v>4</v>
      </c>
      <c r="B13" t="inlineStr">
        <is>
          <t>Name 42</t>
        </is>
      </c>
      <c r="C13" t="inlineStr">
        <is>
          <t>Name 74</t>
        </is>
      </c>
      <c r="D13" s="4">
        <f>SUMIF('By Board'!$D$3:$D$20,"=4",'By Board'!$O$3:$O$20)/9+0/9</f>
        <v/>
      </c>
      <c r="E13" s="5">
        <f>SUMIF('By Board'!$D$3:$D$20,"=4",'By Board'!$M$3:$M$20)+0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IF(ISNUMBER(T3),IF(ISNUMBER(T4),IF(T3&gt;T4,1.0,IF(T3=T4,0.5,0.0)),""),"")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IF(ISNUMBER(S4),IF(ISNUMBER(S3),IF(S4&gt;S3,1.0,IF(S4=S3,0.5,0.0)),""),"")</f>
        <v/>
      </c>
      <c r="V4" s="15">
        <f>IF(ISNUMBER(T4),IF(ISNUMBER(T3),IF(T4&gt;T3,1.0,IF(T4=T3,0.5,0.0)),""),"")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IF(ISNUMBER(S5),IF(ISNUMBER(S6),IF(S5&gt;S6,1.0,IF(S5=S6,0.5,0.0)),""),"")</f>
        <v/>
      </c>
      <c r="V5">
        <f>IF(ISNUMBER(T5),IF(ISNUMBER(T6),IF(T5&gt;T6,1.0,IF(T5=T6,0.5,0.0)),""),"")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IF(ISNUMBER(S6),IF(ISNUMBER(S5),IF(S6&gt;S5,1.0,IF(S6=S5,0.5,0.0)),""),"")</f>
        <v/>
      </c>
      <c r="V6" s="15">
        <f>IF(ISNUMBER(T6),IF(ISNUMBER(T5),IF(T6&gt;T5,1.0,IF(T6=T5,0.5,0.0)),""),"")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IF(ISNUMBER(T7),IF(ISNUMBER(T8),IF(T7&gt;T8,1.0,IF(T7=T8,0.5,0.0)),""),"")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IF(ISNUMBER(S8),IF(ISNUMBER(S7),IF(S8&gt;S7,1.0,IF(S8=S7,0.5,0.0)),""),"")</f>
        <v/>
      </c>
      <c r="V8" s="15">
        <f>IF(ISNUMBER(T8),IF(ISNUMBER(T7),IF(T8&gt;T7,1.0,IF(T8=T7,0.5,0.0)),""),"")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IF(ISNUMBER(T9),IF(ISNUMBER(T10),IF(T9&gt;T10,1.0,IF(T9=T10,0.5,0.0)),""),"")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IF(ISNUMBER(S10),IF(ISNUMBER(S9),IF(S10&gt;S9,1.0,IF(S10=S9,0.5,0.0)),""),"")</f>
        <v/>
      </c>
      <c r="V10" s="15">
        <f>IF(ISNUMBER(T10),IF(ISNUMBER(T9),IF(T10&gt;T9,1.0,IF(T10=T9,0.5,0.0)),""),"")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IF(ISNUMBER(T11),IF(ISNUMBER(T12),IF(T11&gt;T12,1.0,IF(T11=T12,0.5,0.0)),""),"")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IF(ISNUMBER(S12),IF(ISNUMBER(S11),IF(S12&gt;S11,1.0,IF(S12=S11,0.5,0.0)),""),"")</f>
        <v/>
      </c>
      <c r="V12" s="15">
        <f>IF(ISNUMBER(T12),IF(ISNUMBER(T11),IF(T12&gt;T11,1.0,IF(T12=T11,0.5,0.0)),""),"")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IF(ISNUMBER(T13),IF(ISNUMBER(T14),IF(T13&gt;T14,1.0,IF(T13=T14,0.5,0.0)),""),"")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IF(ISNUMBER(S14),IF(ISNUMBER(S13),IF(S14&gt;S13,1.0,IF(S14=S13,0.5,0.0)),""),"")</f>
        <v/>
      </c>
      <c r="V14" s="15">
        <f>IF(ISNUMBER(T14),IF(ISNUMBER(T13),IF(T14&gt;T13,1.0,IF(T14=T13,0.5,0.0)),""),"")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IF(ISNUMBER(T15),IF(ISNUMBER(T16),IF(T15&gt;T16,1.0,IF(T15=T16,0.5,0.0)),""),"")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IF(ISNUMBER(S16),IF(ISNUMBER(S15),IF(S16&gt;S15,1.0,IF(S16=S15,0.5,0.0)),""),"")</f>
        <v/>
      </c>
      <c r="V16" s="15">
        <f>IF(ISNUMBER(T16),IF(ISNUMBER(T15),IF(T16&gt;T15,1.0,IF(T16=T15,0.5,0.0)),""),"")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IF(ISNUMBER(T17),IF(ISNUMBER(T18),IF(T17&gt;T18,1.0,IF(T17=T18,0.5,0.0)),""),"")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IF(ISNUMBER(S18),IF(ISNUMBER(S17),IF(S18&gt;S17,1.0,IF(S18=S17,0.5,0.0)),""),"")</f>
        <v/>
      </c>
      <c r="V18" s="15">
        <f>IF(ISNUMBER(T18),IF(ISNUMBER(T17),IF(T18&gt;T17,1.0,IF(T18=T17,0.5,0.0)),""),"")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IF(ISNUMBER(T19),IF(ISNUMBER(T20),IF(T19&gt;T20,1.0,IF(T19=T20,0.5,0.0)),""),"")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IF(ISNUMBER(S20),IF(ISNUMBER(S19),IF(S20&gt;S19,1.0,IF(S20=S19,0.5,0.0)),""),"")</f>
        <v/>
      </c>
      <c r="V20" s="15">
        <f>IF(ISNUMBER(T20),IF(ISNUMBER(T19),IF(T20&gt;T19,1.0,IF(T20=T19,0.5,0.0)),""),"")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IF(ISNUMBER(T21),IF(ISNUMBER(T22),IF(T21&gt;T22,1.0,IF(T21=T22,0.5,0.0)),""),"")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IF(ISNUMBER(S22),IF(ISNUMBER(S21),IF(S22&gt;S21,1.0,IF(S22=S21,0.5,0.0)),""),"")</f>
        <v/>
      </c>
      <c r="V22" s="15">
        <f>IF(ISNUMBER(T22),IF(ISNUMBER(T21),IF(T22&gt;T21,1.0,IF(T22=T21,0.5,0.0)),""),"")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IF(ISNUMBER(T23),IF(ISNUMBER(T24),IF(T23&gt;T24,1.0,IF(T23=T24,0.5,0.0)),""),"")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IF(ISNUMBER(S24),IF(ISNUMBER(S23),IF(S24&gt;S23,1.0,IF(S24=S23,0.5,0.0)),""),"")</f>
        <v/>
      </c>
      <c r="V24" s="15">
        <f>IF(ISNUMBER(T24),IF(ISNUMBER(T23),IF(T24&gt;T23,1.0,IF(T24=T23,0.5,0.0)),""),"")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IF(ISNUMBER(S25),IF(ISNUMBER(S26),IF(S25&gt;S26,1.0,IF(S25=S26,0.5,0.0)),""),"")</f>
        <v/>
      </c>
      <c r="V25">
        <f>IF(ISNUMBER(T25),IF(ISNUMBER(T26),IF(T25&gt;T26,1.0,IF(T25=T26,0.5,0.0)),""),"")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IF(ISNUMBER(S26),IF(ISNUMBER(S25),IF(S26&gt;S25,1.0,IF(S26=S25,0.5,0.0)),""),"")</f>
        <v/>
      </c>
      <c r="V26" s="15">
        <f>IF(ISNUMBER(T26),IF(ISNUMBER(T25),IF(T26&gt;T25,1.0,IF(T26=T25,0.5,0.0)),""),"")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IF(ISNUMBER(T27),IF(ISNUMBER(T28),IF(T27&gt;T28,1.0,IF(T27=T28,0.5,0.0)),""),"")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IF(ISNUMBER(S28),IF(ISNUMBER(S27),IF(S28&gt;S27,1.0,IF(S28=S27,0.5,0.0)),""),"")</f>
        <v/>
      </c>
      <c r="V28" s="15">
        <f>IF(ISNUMBER(T28),IF(ISNUMBER(T27),IF(T28&gt;T27,1.0,IF(T28=T27,0.5,0.0)),""),"")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IF(ISNUMBER(S29),IF(ISNUMBER(S30),IF(S29&gt;S30,1.0,IF(S29=S30,0.5,0.0)),""),"")</f>
        <v/>
      </c>
      <c r="V29">
        <f>IF(ISNUMBER(T29),IF(ISNUMBER(T30),IF(T29&gt;T30,1.0,IF(T29=T30,0.5,0.0)),""),"")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IF(ISNUMBER(S30),IF(ISNUMBER(S29),IF(S30&gt;S29,1.0,IF(S30=S29,0.5,0.0)),""),"")</f>
        <v/>
      </c>
      <c r="V30" s="15">
        <f>IF(ISNUMBER(T30),IF(ISNUMBER(T29),IF(T30&gt;T29,1.0,IF(T30=T29,0.5,0.0)),""),"")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IF(ISNUMBER(T31),IF(ISNUMBER(T32),IF(T31&gt;T32,1.0,IF(T31=T32,0.5,0.0)),""),"")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IF(ISNUMBER(S32),IF(ISNUMBER(S31),IF(S32&gt;S31,1.0,IF(S32=S31,0.5,0.0)),""),"")</f>
        <v/>
      </c>
      <c r="V32" s="15">
        <f>IF(ISNUMBER(T32),IF(ISNUMBER(T31),IF(T32&gt;T31,1.0,IF(T32=T31,0.5,0.0)),""),"")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IF(ISNUMBER(T33),IF(ISNUMBER(T34),IF(T33&gt;T34,1.0,IF(T33=T34,0.5,0.0)),""),"")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IF(ISNUMBER(S34),IF(ISNUMBER(S33),IF(S34&gt;S33,1.0,IF(S34=S33,0.5,0.0)),""),"")</f>
        <v/>
      </c>
      <c r="V34" s="15">
        <f>IF(ISNUMBER(T34),IF(ISNUMBER(T33),IF(T34&gt;T33,1.0,IF(T34=T33,0.5,0.0)),""),"")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IF(ISNUMBER(T35),IF(ISNUMBER(T36),IF(T35&gt;T36,1.0,IF(T35=T36,0.5,0.0)),""),"")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IF(ISNUMBER(S36),IF(ISNUMBER(S35),IF(S36&gt;S35,1.0,IF(S36=S35,0.5,0.0)),""),"")</f>
        <v/>
      </c>
      <c r="V36" s="15">
        <f>IF(ISNUMBER(T36),IF(ISNUMBER(T35),IF(T36&gt;T35,1.0,IF(T36=T35,0.5,0.0)),""),"")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IF(ISNUMBER(S37),IF(ISNUMBER(S38),IF(S37&gt;S38,1.0,IF(S37=S38,0.5,0.0)),""),"")</f>
        <v/>
      </c>
      <c r="V37">
        <f>IF(ISNUMBER(T37),IF(ISNUMBER(T38),IF(T37&gt;T38,1.0,IF(T37=T38,0.5,0.0)),""),"")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IF(ISNUMBER(S38),IF(ISNUMBER(S37),IF(S38&gt;S37,1.0,IF(S38=S37,0.5,0.0)),""),"")</f>
        <v/>
      </c>
      <c r="V38" s="15">
        <f>IF(ISNUMBER(T38),IF(ISNUMBER(T37),IF(T38&gt;T37,1.0,IF(T38=T37,0.5,0.0)),""),"")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2026-04-09T04:39:57Z</dcterms:created>
  <dcterms:modified xsi:type="dcterms:W3CDTF">2026-04-09T04:39:58Z</dcterms:modified>
</cp:coreProperties>
</file>