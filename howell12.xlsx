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04,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50</t>
        </is>
      </c>
      <c r="C10" t="inlineStr">
        <is>
          <t>Name 74</t>
        </is>
      </c>
      <c r="D10" s="4">
        <f>SUMIF('By Board'!$D$3:$D$134,"=1",'By Board'!$N$3:$N$134)/22+SUMIF('By Board'!$E$3:$E$134,"=1",'By Board'!$O$3:$O$134)/22</f>
        <v/>
      </c>
      <c r="E10" s="5">
        <f>SUMIF('By Board'!$D$3:$D$134,"=1",'By Board'!$L$3:$L$134)+SUMIF('By Board'!$E$3:$E$134,"=1",'By Board'!$M$3:$M$134)</f>
        <v/>
      </c>
    </row>
    <row r="11">
      <c r="A11" s="2" t="n">
        <v>2</v>
      </c>
      <c r="B11" t="inlineStr">
        <is>
          <t>Name 66</t>
        </is>
      </c>
      <c r="C11" t="inlineStr">
        <is>
          <t>Name 58</t>
        </is>
      </c>
      <c r="D11" s="4">
        <f>SUMIF('By Board'!$D$3:$D$134,"=2",'By Board'!$N$3:$N$134)/22+SUMIF('By Board'!$E$3:$E$134,"=2",'By Board'!$O$3:$O$134)/22</f>
        <v/>
      </c>
      <c r="E11" s="5">
        <f>SUMIF('By Board'!$D$3:$D$134,"=2",'By Board'!$L$3:$L$134)+SUMIF('By Board'!$E$3:$E$134,"=2",'By Board'!$M$3:$M$134)</f>
        <v/>
      </c>
    </row>
    <row r="12">
      <c r="A12" s="2" t="n">
        <v>3</v>
      </c>
      <c r="B12" t="inlineStr">
        <is>
          <t>Name 71</t>
        </is>
      </c>
      <c r="C12" t="inlineStr">
        <is>
          <t>Name 11</t>
        </is>
      </c>
      <c r="D12" s="4">
        <f>SUMIF('By Board'!$D$3:$D$134,"=3",'By Board'!$N$3:$N$134)/22+SUMIF('By Board'!$E$3:$E$134,"=3",'By Board'!$O$3:$O$134)/22</f>
        <v/>
      </c>
      <c r="E12" s="5">
        <f>SUMIF('By Board'!$D$3:$D$134,"=3",'By Board'!$L$3:$L$134)+SUMIF('By Board'!$E$3:$E$134,"=3",'By Board'!$M$3:$M$134)</f>
        <v/>
      </c>
    </row>
    <row r="13">
      <c r="A13" s="2" t="n">
        <v>4</v>
      </c>
      <c r="B13" t="inlineStr">
        <is>
          <t>Name 61</t>
        </is>
      </c>
      <c r="C13" t="inlineStr">
        <is>
          <t>Name 51</t>
        </is>
      </c>
      <c r="D13" s="4">
        <f>SUMIF('By Board'!$D$3:$D$134,"=4",'By Board'!$N$3:$N$134)/22+SUMIF('By Board'!$E$3:$E$134,"=4",'By Board'!$O$3:$O$134)/22</f>
        <v/>
      </c>
      <c r="E13" s="5">
        <f>SUMIF('By Board'!$D$3:$D$134,"=4",'By Board'!$L$3:$L$134)+SUMIF('By Board'!$E$3:$E$134,"=4",'By Board'!$M$3:$M$134)</f>
        <v/>
      </c>
    </row>
    <row r="14">
      <c r="A14" s="2" t="n">
        <v>5</v>
      </c>
      <c r="B14" t="inlineStr">
        <is>
          <t>Name 40</t>
        </is>
      </c>
      <c r="C14" t="inlineStr">
        <is>
          <t>Name 42</t>
        </is>
      </c>
      <c r="D14" s="4">
        <f>SUMIF('By Board'!$D$3:$D$134,"=5",'By Board'!$N$3:$N$134)/22+SUMIF('By Board'!$E$3:$E$134,"=5",'By Board'!$O$3:$O$134)/22</f>
        <v/>
      </c>
      <c r="E14" s="5">
        <f>SUMIF('By Board'!$D$3:$D$134,"=5",'By Board'!$L$3:$L$134)+SUMIF('By Board'!$E$3:$E$134,"=5",'By Board'!$M$3:$M$134)</f>
        <v/>
      </c>
    </row>
    <row r="15">
      <c r="A15" s="2" t="n">
        <v>6</v>
      </c>
      <c r="B15" t="inlineStr">
        <is>
          <t>Name 26</t>
        </is>
      </c>
      <c r="C15" t="inlineStr">
        <is>
          <t>Name 45</t>
        </is>
      </c>
      <c r="D15" s="4">
        <f>SUMIF('By Board'!$D$3:$D$134,"=6",'By Board'!$N$3:$N$134)/22+SUMIF('By Board'!$E$3:$E$134,"=6",'By Board'!$O$3:$O$134)/22</f>
        <v/>
      </c>
      <c r="E15" s="5">
        <f>SUMIF('By Board'!$D$3:$D$134,"=6",'By Board'!$L$3:$L$134)+SUMIF('By Board'!$E$3:$E$134,"=6",'By Board'!$M$3:$M$134)</f>
        <v/>
      </c>
    </row>
    <row r="16">
      <c r="A16" s="2" t="n">
        <v>7</v>
      </c>
      <c r="B16" t="inlineStr">
        <is>
          <t>Name 32</t>
        </is>
      </c>
      <c r="C16" t="inlineStr">
        <is>
          <t>Name 78</t>
        </is>
      </c>
      <c r="D16" s="4">
        <f>SUMIF('By Board'!$D$3:$D$134,"=7",'By Board'!$N$3:$N$134)/22+SUMIF('By Board'!$E$3:$E$134,"=7",'By Board'!$O$3:$O$134)/22</f>
        <v/>
      </c>
      <c r="E16" s="5">
        <f>SUMIF('By Board'!$D$3:$D$134,"=7",'By Board'!$L$3:$L$134)+SUMIF('By Board'!$E$3:$E$134,"=7",'By Board'!$M$3:$M$134)</f>
        <v/>
      </c>
    </row>
    <row r="17">
      <c r="A17" s="2" t="n">
        <v>8</v>
      </c>
      <c r="B17" t="inlineStr">
        <is>
          <t>Name 11</t>
        </is>
      </c>
      <c r="C17" t="inlineStr">
        <is>
          <t>Name 87</t>
        </is>
      </c>
      <c r="D17" s="4">
        <f>SUMIF('By Board'!$D$3:$D$134,"=8",'By Board'!$N$3:$N$134)/22+SUMIF('By Board'!$E$3:$E$134,"=8",'By Board'!$O$3:$O$134)/22</f>
        <v/>
      </c>
      <c r="E17" s="5">
        <f>SUMIF('By Board'!$D$3:$D$134,"=8",'By Board'!$L$3:$L$134)+SUMIF('By Board'!$E$3:$E$134,"=8",'By Board'!$M$3:$M$134)</f>
        <v/>
      </c>
    </row>
    <row r="18">
      <c r="A18" s="2" t="n">
        <v>9</v>
      </c>
      <c r="B18" t="inlineStr">
        <is>
          <t>Name 11</t>
        </is>
      </c>
      <c r="C18" t="inlineStr">
        <is>
          <t>Name 56</t>
        </is>
      </c>
      <c r="D18" s="4">
        <f>SUMIF('By Board'!$D$3:$D$134,"=9",'By Board'!$N$3:$N$134)/22+SUMIF('By Board'!$E$3:$E$134,"=9",'By Board'!$O$3:$O$134)/22</f>
        <v/>
      </c>
      <c r="E18" s="5">
        <f>SUMIF('By Board'!$D$3:$D$134,"=9",'By Board'!$L$3:$L$134)+SUMIF('By Board'!$E$3:$E$134,"=9",'By Board'!$M$3:$M$134)</f>
        <v/>
      </c>
    </row>
    <row r="19">
      <c r="A19" s="2" t="n">
        <v>10</v>
      </c>
      <c r="B19" t="inlineStr">
        <is>
          <t>Name 35</t>
        </is>
      </c>
      <c r="C19" t="inlineStr">
        <is>
          <t>Name 11</t>
        </is>
      </c>
      <c r="D19" s="4">
        <f>SUMIF('By Board'!$D$3:$D$134,"=10",'By Board'!$N$3:$N$134)/22+SUMIF('By Board'!$E$3:$E$134,"=10",'By Board'!$O$3:$O$134)/22</f>
        <v/>
      </c>
      <c r="E19" s="5">
        <f>SUMIF('By Board'!$D$3:$D$134,"=10",'By Board'!$L$3:$L$134)+SUMIF('By Board'!$E$3:$E$134,"=10",'By Board'!$M$3:$M$134)</f>
        <v/>
      </c>
    </row>
    <row r="20">
      <c r="A20" s="2" t="n">
        <v>11</v>
      </c>
      <c r="B20" t="inlineStr">
        <is>
          <t>Name 47</t>
        </is>
      </c>
      <c r="C20" t="inlineStr">
        <is>
          <t>Name 76</t>
        </is>
      </c>
      <c r="D20" s="4">
        <f>SUMIF('By Board'!$D$3:$D$134,"=11",'By Board'!$N$3:$N$134)/22+SUMIF('By Board'!$E$3:$E$134,"=11",'By Board'!$O$3:$O$134)/22</f>
        <v/>
      </c>
      <c r="E20" s="5">
        <f>SUMIF('By Board'!$D$3:$D$134,"=11",'By Board'!$L$3:$L$134)+SUMIF('By Board'!$E$3:$E$134,"=11",'By Board'!$M$3:$M$134)</f>
        <v/>
      </c>
    </row>
    <row r="21">
      <c r="A21" s="2" t="n">
        <v>12</v>
      </c>
      <c r="B21" t="inlineStr">
        <is>
          <t>Name 83</t>
        </is>
      </c>
      <c r="C21" t="inlineStr">
        <is>
          <t>Name 89</t>
        </is>
      </c>
      <c r="D21" s="4">
        <f>SUMIF('By Board'!$D$3:$D$134,"=12",'By Board'!$N$3:$N$134)/22+0/22</f>
        <v/>
      </c>
      <c r="E21" s="5">
        <f>SUMIF('By Board'!$D$3:$D$134,"=12",'By Board'!$L$3:$L$134)+0</f>
        <v/>
      </c>
    </row>
    <row r="22">
      <c r="D22" s="6">
        <f>AVERAGE(D10:D21)</f>
        <v/>
      </c>
      <c r="E22" s="7">
        <f>SUM(E10:E21)</f>
        <v/>
      </c>
    </row>
    <row r="24">
      <c r="A24" t="inlineStr">
        <is>
          <t>To sort, remove single quote below</t>
        </is>
      </c>
    </row>
    <row r="25">
      <c r="A25" s="2" t="inlineStr">
        <is>
          <t>IMP Ranking</t>
        </is>
      </c>
    </row>
    <row r="26">
      <c r="A26" t="inlineStr">
        <is>
          <t>'=SORT(A10:E21,4,-1)</t>
        </is>
      </c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  <row r="37">
      <c r="D37" s="5" t="n"/>
      <c r="E37" s="8" t="n"/>
    </row>
    <row r="42">
      <c r="A42" s="2" t="inlineStr">
        <is>
          <t>MP Ranking</t>
        </is>
      </c>
    </row>
    <row r="43">
      <c r="A43" t="inlineStr">
        <is>
          <t>'=SORT(A10:E21,5,-1)</t>
        </is>
      </c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  <row r="49">
      <c r="D49" s="5" t="n"/>
      <c r="E49" s="8" t="n"/>
    </row>
    <row r="50">
      <c r="D50" s="5" t="n"/>
      <c r="E50" s="8" t="n"/>
    </row>
    <row r="51">
      <c r="D51" s="5" t="n"/>
      <c r="E51" s="8" t="n"/>
    </row>
    <row r="52">
      <c r="D52" s="5" t="n"/>
      <c r="E52" s="8" t="n"/>
    </row>
    <row r="53">
      <c r="D53" s="5" t="n"/>
      <c r="E53" s="8" t="n"/>
    </row>
    <row r="54">
      <c r="D54" s="5" t="n"/>
      <c r="E54" s="8" t="n"/>
    </row>
  </sheetData>
  <mergeCells count="9">
    <mergeCell ref="A4:B4"/>
    <mergeCell ref="A7:B7"/>
    <mergeCell ref="A2:E2"/>
    <mergeCell ref="A25:E25"/>
    <mergeCell ref="A42:E4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Y2" s="2" t="inlineStr">
        <is>
          <t>EW MP Scores</t>
        </is>
      </c>
      <c r="AD2" s="10" t="inlineStr">
        <is>
          <t>NS IMP Pair-wise</t>
        </is>
      </c>
      <c r="AI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5">
        <f>SUM(T3:X3)</f>
        <v/>
      </c>
      <c r="Q3" s="5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1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5">
        <f>SUM(T4:X4)</f>
        <v/>
      </c>
      <c r="Q4" s="5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5">
        <f>SUM(T5:X5)</f>
        <v/>
      </c>
      <c r="Q5" s="5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1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5">
        <f>SUM(T6:X6)</f>
        <v/>
      </c>
      <c r="Q6" s="5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1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5">
        <f>SUM(T7:X7)</f>
        <v/>
      </c>
      <c r="Q7" s="5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5">
        <f>'By Round'!A87</f>
        <v/>
      </c>
      <c r="C8" s="15">
        <f>'By Round'!B89</f>
        <v/>
      </c>
      <c r="D8" s="15">
        <f>'By Round'!C89</f>
        <v/>
      </c>
      <c r="E8" s="15">
        <f>'By Round'!D89</f>
        <v/>
      </c>
      <c r="F8" s="16" t="inlineStr">
        <is>
          <t>None</t>
        </is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5">
        <f>SUM(T9:X9)</f>
        <v/>
      </c>
      <c r="Q9" s="5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1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5">
        <f>SUM(T10:X10)</f>
        <v/>
      </c>
      <c r="Q10" s="5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1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5">
        <f>SUM(T11:X11)</f>
        <v/>
      </c>
      <c r="Q11" s="5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1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5">
        <f>SUM(T12:X12)</f>
        <v/>
      </c>
      <c r="Q12" s="5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1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5">
        <f>SUM(T13:X13)</f>
        <v/>
      </c>
      <c r="Q13" s="5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5">
        <f>'By Round'!A87</f>
        <v/>
      </c>
      <c r="C14" s="15">
        <f>'By Round'!B89</f>
        <v/>
      </c>
      <c r="D14" s="15">
        <f>'By Round'!C89</f>
        <v/>
      </c>
      <c r="E14" s="15">
        <f>'By Round'!D89</f>
        <v/>
      </c>
      <c r="F14" s="16" t="inlineStr">
        <is>
          <t>NS</t>
        </is>
      </c>
      <c r="G14" s="15">
        <f>IF(ISBLANK('By Round'!G89),"",'By Round'!G89)</f>
        <v/>
      </c>
      <c r="H14" s="15">
        <f>IF(ISBLANK('By Round'!H89),"",'By Round'!H89)</f>
        <v/>
      </c>
      <c r="I14" s="15">
        <f>IF(ISBLANK('By Round'!I89),"",'By Round'!I89)</f>
        <v/>
      </c>
      <c r="J14" s="15">
        <f>IF(ISBLANK('By Round'!J89),"",'By Round'!J89)</f>
        <v/>
      </c>
      <c r="K14" s="15">
        <f>IF(ISBLANK('By Round'!K89),"",'By Round'!K89)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1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5">
        <f>SUM(T15:X15)</f>
        <v/>
      </c>
      <c r="Q15" s="5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1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5">
        <f>SUM(T16:X16)</f>
        <v/>
      </c>
      <c r="Q16" s="5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1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5">
        <f>SUM(T17:X17)</f>
        <v/>
      </c>
      <c r="Q17" s="5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1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5">
        <f>SUM(T18:X18)</f>
        <v/>
      </c>
      <c r="Q18" s="5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1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5">
        <f>SUM(T19:X19)</f>
        <v/>
      </c>
      <c r="Q19" s="5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5">
        <f>'By Round'!A99</f>
        <v/>
      </c>
      <c r="C20" s="15">
        <f>'By Round'!B101</f>
        <v/>
      </c>
      <c r="D20" s="15">
        <f>'By Round'!C101</f>
        <v/>
      </c>
      <c r="E20" s="15">
        <f>'By Round'!D101</f>
        <v/>
      </c>
      <c r="F20" s="16" t="inlineStr">
        <is>
          <t>EW</t>
        </is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5">
        <f>SUM(T21:X21)</f>
        <v/>
      </c>
      <c r="Q21" s="5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1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5">
        <f>SUM(T22:X22)</f>
        <v/>
      </c>
      <c r="Q22" s="5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1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5">
        <f>SUM(T23:X23)</f>
        <v/>
      </c>
      <c r="Q23" s="5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1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5">
        <f>SUM(T24:X24)</f>
        <v/>
      </c>
      <c r="Q24" s="5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1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5">
        <f>SUM(T25:X25)</f>
        <v/>
      </c>
      <c r="Q25" s="5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5">
        <f>'By Round'!A99</f>
        <v/>
      </c>
      <c r="C26" s="15">
        <f>'By Round'!B101</f>
        <v/>
      </c>
      <c r="D26" s="15">
        <f>'By Round'!C101</f>
        <v/>
      </c>
      <c r="E26" s="15">
        <f>'By Round'!D101</f>
        <v/>
      </c>
      <c r="F26" s="16" t="inlineStr">
        <is>
          <t>Both</t>
        </is>
      </c>
      <c r="G26" s="15">
        <f>IF(ISBLANK('By Round'!G101),"",'By Round'!G101)</f>
        <v/>
      </c>
      <c r="H26" s="15">
        <f>IF(ISBLANK('By Round'!H101),"",'By Round'!H101)</f>
        <v/>
      </c>
      <c r="I26" s="15">
        <f>IF(ISBLANK('By Round'!I101),"",'By Round'!I101)</f>
        <v/>
      </c>
      <c r="J26" s="15">
        <f>IF(ISBLANK('By Round'!J101),"",'By Round'!J101)</f>
        <v/>
      </c>
      <c r="K26" s="15">
        <f>IF(ISBLANK('By Round'!K101),"",'By Round'!K101)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1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5">
        <f>SUM(T27:X27)</f>
        <v/>
      </c>
      <c r="Q27" s="5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1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5">
        <f>SUM(T28:X28)</f>
        <v/>
      </c>
      <c r="Q28" s="5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1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5">
        <f>SUM(T29:X29)</f>
        <v/>
      </c>
      <c r="Q29" s="5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1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5">
        <f>SUM(T30:X30)</f>
        <v/>
      </c>
      <c r="Q30" s="5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1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5">
        <f>SUM(T31:X31)</f>
        <v/>
      </c>
      <c r="Q31" s="5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5">
        <f>'By Round'!A111</f>
        <v/>
      </c>
      <c r="C32" s="15">
        <f>'By Round'!B113</f>
        <v/>
      </c>
      <c r="D32" s="15">
        <f>'By Round'!C113</f>
        <v/>
      </c>
      <c r="E32" s="15">
        <f>'By Round'!D113</f>
        <v/>
      </c>
      <c r="F32" s="16" t="inlineStr">
        <is>
          <t>NS</t>
        </is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5">
        <f>SUM(T33:X33)</f>
        <v/>
      </c>
      <c r="Q33" s="5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1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5">
        <f>SUM(T34:X34)</f>
        <v/>
      </c>
      <c r="Q34" s="5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1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5">
        <f>SUM(T35:X35)</f>
        <v/>
      </c>
      <c r="Q35" s="5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1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5">
        <f>SUM(T36:X36)</f>
        <v/>
      </c>
      <c r="Q36" s="5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1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5">
        <f>SUM(T37:X37)</f>
        <v/>
      </c>
      <c r="Q37" s="5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5">
        <f>'By Round'!A111</f>
        <v/>
      </c>
      <c r="C38" s="15">
        <f>'By Round'!B113</f>
        <v/>
      </c>
      <c r="D38" s="15">
        <f>'By Round'!C113</f>
        <v/>
      </c>
      <c r="E38" s="15">
        <f>'By Round'!D113</f>
        <v/>
      </c>
      <c r="F38" s="16" t="inlineStr">
        <is>
          <t>EW</t>
        </is>
      </c>
      <c r="G38" s="15">
        <f>IF(ISBLANK('By Round'!G113),"",'By Round'!G113)</f>
        <v/>
      </c>
      <c r="H38" s="15">
        <f>IF(ISBLANK('By Round'!H113),"",'By Round'!H113)</f>
        <v/>
      </c>
      <c r="I38" s="15">
        <f>IF(ISBLANK('By Round'!I113),"",'By Round'!I113)</f>
        <v/>
      </c>
      <c r="J38" s="15">
        <f>IF(ISBLANK('By Round'!J113),"",'By Round'!J113)</f>
        <v/>
      </c>
      <c r="K38" s="15">
        <f>IF(ISBLANK('By Round'!K113),"",'By Round'!K113)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5">
        <f>SUM(T39:X39)</f>
        <v/>
      </c>
      <c r="Q39" s="5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1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5">
        <f>SUM(T40:X40)</f>
        <v/>
      </c>
      <c r="Q40" s="5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5">
        <f>SUM(T41:X41)</f>
        <v/>
      </c>
      <c r="Q41" s="5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1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5">
        <f>SUM(T42:X42)</f>
        <v/>
      </c>
      <c r="Q42" s="5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1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5">
        <f>SUM(T43:X43)</f>
        <v/>
      </c>
      <c r="Q43" s="5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5">
        <f>'By Round'!A123</f>
        <v/>
      </c>
      <c r="C44" s="15">
        <f>'By Round'!B125</f>
        <v/>
      </c>
      <c r="D44" s="15">
        <f>'By Round'!C125</f>
        <v/>
      </c>
      <c r="E44" s="15">
        <f>'By Round'!D125</f>
        <v/>
      </c>
      <c r="F44" s="16" t="inlineStr">
        <is>
          <t>Both</t>
        </is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5">
        <f>SUM(T45:X45)</f>
        <v/>
      </c>
      <c r="Q45" s="5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1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5">
        <f>SUM(T46:X46)</f>
        <v/>
      </c>
      <c r="Q46" s="5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1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5">
        <f>SUM(T47:X47)</f>
        <v/>
      </c>
      <c r="Q47" s="5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1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5">
        <f>SUM(T48:X48)</f>
        <v/>
      </c>
      <c r="Q48" s="5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1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5">
        <f>SUM(T49:X49)</f>
        <v/>
      </c>
      <c r="Q49" s="5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5">
        <f>'By Round'!A123</f>
        <v/>
      </c>
      <c r="C50" s="15">
        <f>'By Round'!B125</f>
        <v/>
      </c>
      <c r="D50" s="15">
        <f>'By Round'!C125</f>
        <v/>
      </c>
      <c r="E50" s="15">
        <f>'By Round'!D125</f>
        <v/>
      </c>
      <c r="F50" s="16" t="inlineStr">
        <is>
          <t>None</t>
        </is>
      </c>
      <c r="G50" s="15">
        <f>IF(ISBLANK('By Round'!G125),"",'By Round'!G125)</f>
        <v/>
      </c>
      <c r="H50" s="15">
        <f>IF(ISBLANK('By Round'!H125),"",'By Round'!H125)</f>
        <v/>
      </c>
      <c r="I50" s="15">
        <f>IF(ISBLANK('By Round'!I125),"",'By Round'!I125)</f>
        <v/>
      </c>
      <c r="J50" s="15">
        <f>IF(ISBLANK('By Round'!J125),"",'By Round'!J125)</f>
        <v/>
      </c>
      <c r="K50" s="15">
        <f>IF(ISBLANK('By Round'!K125),"",'By Round'!K125)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1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5">
        <f>SUM(T51:X51)</f>
        <v/>
      </c>
      <c r="Q51" s="5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1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5">
        <f>SUM(T52:X52)</f>
        <v/>
      </c>
      <c r="Q52" s="5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1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5">
        <f>SUM(T53:X53)</f>
        <v/>
      </c>
      <c r="Q53" s="5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1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5">
        <f>SUM(T54:X54)</f>
        <v/>
      </c>
      <c r="Q54" s="5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1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5">
        <f>SUM(T55:X55)</f>
        <v/>
      </c>
      <c r="Q55" s="5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5">
        <f>'By Round'!A123</f>
        <v/>
      </c>
      <c r="C56" s="15">
        <f>'By Round'!B127</f>
        <v/>
      </c>
      <c r="D56" s="15">
        <f>'By Round'!C127</f>
        <v/>
      </c>
      <c r="E56" s="15">
        <f>'By Round'!D127</f>
        <v/>
      </c>
      <c r="F56" s="16" t="inlineStr">
        <is>
          <t>EW</t>
        </is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1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5">
        <f>SUM(T57:X57)</f>
        <v/>
      </c>
      <c r="Q57" s="5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1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5">
        <f>SUM(T58:X58)</f>
        <v/>
      </c>
      <c r="Q58" s="5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1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5">
        <f>SUM(T59:X59)</f>
        <v/>
      </c>
      <c r="Q59" s="5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1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5">
        <f>SUM(T60:X60)</f>
        <v/>
      </c>
      <c r="Q60" s="5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1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5">
        <f>SUM(T61:X61)</f>
        <v/>
      </c>
      <c r="Q61" s="5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5">
        <f>'By Round'!A123</f>
        <v/>
      </c>
      <c r="C62" s="15">
        <f>'By Round'!B127</f>
        <v/>
      </c>
      <c r="D62" s="15">
        <f>'By Round'!C127</f>
        <v/>
      </c>
      <c r="E62" s="15">
        <f>'By Round'!D127</f>
        <v/>
      </c>
      <c r="F62" s="16" t="inlineStr">
        <is>
          <t>Both</t>
        </is>
      </c>
      <c r="G62" s="15">
        <f>IF(ISBLANK('By Round'!G127),"",'By Round'!G127)</f>
        <v/>
      </c>
      <c r="H62" s="15">
        <f>IF(ISBLANK('By Round'!H127),"",'By Round'!H127)</f>
        <v/>
      </c>
      <c r="I62" s="15">
        <f>IF(ISBLANK('By Round'!I127),"",'By Round'!I127)</f>
        <v/>
      </c>
      <c r="J62" s="15">
        <f>IF(ISBLANK('By Round'!J127),"",'By Round'!J127)</f>
        <v/>
      </c>
      <c r="K62" s="15">
        <f>IF(ISBLANK('By Round'!K127),"",'By Round'!K127)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1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5">
        <f>SUM(T63:X63)</f>
        <v/>
      </c>
      <c r="Q63" s="5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1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5">
        <f>SUM(T64:X64)</f>
        <v/>
      </c>
      <c r="Q64" s="5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5">
        <f>SUM(T65:X65)</f>
        <v/>
      </c>
      <c r="Q65" s="5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1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5">
        <f>SUM(T66:X66)</f>
        <v/>
      </c>
      <c r="Q66" s="5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1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5">
        <f>SUM(T67:X67)</f>
        <v/>
      </c>
      <c r="Q67" s="5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5">
        <f>'By Round'!A111</f>
        <v/>
      </c>
      <c r="C68" s="15">
        <f>'By Round'!B117</f>
        <v/>
      </c>
      <c r="D68" s="15">
        <f>'By Round'!C117</f>
        <v/>
      </c>
      <c r="E68" s="15">
        <f>'By Round'!D117</f>
        <v/>
      </c>
      <c r="F68" s="16" t="inlineStr">
        <is>
          <t>None</t>
        </is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1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5">
        <f>SUM(T69:X69)</f>
        <v/>
      </c>
      <c r="Q69" s="5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1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5">
        <f>SUM(T70:X70)</f>
        <v/>
      </c>
      <c r="Q70" s="5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1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5">
        <f>SUM(T71:X71)</f>
        <v/>
      </c>
      <c r="Q71" s="5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1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5">
        <f>SUM(T72:X72)</f>
        <v/>
      </c>
      <c r="Q72" s="5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1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5">
        <f>SUM(T73:X73)</f>
        <v/>
      </c>
      <c r="Q73" s="5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5">
        <f>'By Round'!A111</f>
        <v/>
      </c>
      <c r="C74" s="15">
        <f>'By Round'!B117</f>
        <v/>
      </c>
      <c r="D74" s="15">
        <f>'By Round'!C117</f>
        <v/>
      </c>
      <c r="E74" s="15">
        <f>'By Round'!D117</f>
        <v/>
      </c>
      <c r="F74" s="16" t="inlineStr">
        <is>
          <t>NS</t>
        </is>
      </c>
      <c r="G74" s="15">
        <f>IF(ISBLANK('By Round'!G117),"",'By Round'!G117)</f>
        <v/>
      </c>
      <c r="H74" s="15">
        <f>IF(ISBLANK('By Round'!H117),"",'By Round'!H117)</f>
        <v/>
      </c>
      <c r="I74" s="15">
        <f>IF(ISBLANK('By Round'!I117),"",'By Round'!I117)</f>
        <v/>
      </c>
      <c r="J74" s="15">
        <f>IF(ISBLANK('By Round'!J117),"",'By Round'!J117)</f>
        <v/>
      </c>
      <c r="K74" s="15">
        <f>IF(ISBLANK('By Round'!K117),"",'By Round'!K117)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1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5">
        <f>SUM(T75:X75)</f>
        <v/>
      </c>
      <c r="Q75" s="5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1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5">
        <f>SUM(T76:X76)</f>
        <v/>
      </c>
      <c r="Q76" s="5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1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5">
        <f>SUM(T77:X77)</f>
        <v/>
      </c>
      <c r="Q77" s="5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1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5">
        <f>SUM(T78:X78)</f>
        <v/>
      </c>
      <c r="Q78" s="5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1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5">
        <f>SUM(T79:X79)</f>
        <v/>
      </c>
      <c r="Q79" s="5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5">
        <f>'By Round'!A123</f>
        <v/>
      </c>
      <c r="C80" s="15">
        <f>'By Round'!B129</f>
        <v/>
      </c>
      <c r="D80" s="15">
        <f>'By Round'!C129</f>
        <v/>
      </c>
      <c r="E80" s="15">
        <f>'By Round'!D129</f>
        <v/>
      </c>
      <c r="F80" s="16" t="inlineStr">
        <is>
          <t>Both</t>
        </is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1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5">
        <f>SUM(T81:X81)</f>
        <v/>
      </c>
      <c r="Q81" s="5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1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5">
        <f>SUM(T82:X82)</f>
        <v/>
      </c>
      <c r="Q82" s="5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1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5">
        <f>SUM(T83:X83)</f>
        <v/>
      </c>
      <c r="Q83" s="5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1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5">
        <f>SUM(T84:X84)</f>
        <v/>
      </c>
      <c r="Q84" s="5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1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5">
        <f>SUM(T85:X85)</f>
        <v/>
      </c>
      <c r="Q85" s="5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5">
        <f>'By Round'!A123</f>
        <v/>
      </c>
      <c r="C86" s="15">
        <f>'By Round'!B129</f>
        <v/>
      </c>
      <c r="D86" s="15">
        <f>'By Round'!C129</f>
        <v/>
      </c>
      <c r="E86" s="15">
        <f>'By Round'!D129</f>
        <v/>
      </c>
      <c r="F86" s="16" t="inlineStr">
        <is>
          <t>None</t>
        </is>
      </c>
      <c r="G86" s="15">
        <f>IF(ISBLANK('By Round'!G129),"",'By Round'!G129)</f>
        <v/>
      </c>
      <c r="H86" s="15">
        <f>IF(ISBLANK('By Round'!H129),"",'By Round'!H129)</f>
        <v/>
      </c>
      <c r="I86" s="15">
        <f>IF(ISBLANK('By Round'!I129),"",'By Round'!I129)</f>
        <v/>
      </c>
      <c r="J86" s="15">
        <f>IF(ISBLANK('By Round'!J129),"",'By Round'!J129)</f>
        <v/>
      </c>
      <c r="K86" s="15">
        <f>IF(ISBLANK('By Round'!K129),"",'By Round'!K129)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1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5">
        <f>SUM(T87:X87)</f>
        <v/>
      </c>
      <c r="Q87" s="5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1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5">
        <f>SUM(T88:X88)</f>
        <v/>
      </c>
      <c r="Q88" s="5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1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5">
        <f>SUM(T89:X89)</f>
        <v/>
      </c>
      <c r="Q89" s="5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5">
        <f>SUM(T90:X90)</f>
        <v/>
      </c>
      <c r="Q90" s="5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1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5">
        <f>SUM(T91:X91)</f>
        <v/>
      </c>
      <c r="Q91" s="5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5">
        <f>'By Round'!A123</f>
        <v/>
      </c>
      <c r="C92" s="15">
        <f>'By Round'!B131</f>
        <v/>
      </c>
      <c r="D92" s="15">
        <f>'By Round'!C131</f>
        <v/>
      </c>
      <c r="E92" s="15">
        <f>'By Round'!D131</f>
        <v/>
      </c>
      <c r="F92" s="16" t="inlineStr">
        <is>
          <t>NS</t>
        </is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1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5">
        <f>SUM(T93:X93)</f>
        <v/>
      </c>
      <c r="Q93" s="5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1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5">
        <f>SUM(T94:X94)</f>
        <v/>
      </c>
      <c r="Q94" s="5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1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5">
        <f>SUM(T95:X95)</f>
        <v/>
      </c>
      <c r="Q95" s="5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1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5">
        <f>SUM(T96:X96)</f>
        <v/>
      </c>
      <c r="Q96" s="5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1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5">
        <f>SUM(T97:X97)</f>
        <v/>
      </c>
      <c r="Q97" s="5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5">
        <f>'By Round'!A123</f>
        <v/>
      </c>
      <c r="C98" s="15">
        <f>'By Round'!B131</f>
        <v/>
      </c>
      <c r="D98" s="15">
        <f>'By Round'!C131</f>
        <v/>
      </c>
      <c r="E98" s="15">
        <f>'By Round'!D131</f>
        <v/>
      </c>
      <c r="F98" s="16" t="inlineStr">
        <is>
          <t>EW</t>
        </is>
      </c>
      <c r="G98" s="15">
        <f>IF(ISBLANK('By Round'!G131),"",'By Round'!G131)</f>
        <v/>
      </c>
      <c r="H98" s="15">
        <f>IF(ISBLANK('By Round'!H131),"",'By Round'!H131)</f>
        <v/>
      </c>
      <c r="I98" s="15">
        <f>IF(ISBLANK('By Round'!I131),"",'By Round'!I131)</f>
        <v/>
      </c>
      <c r="J98" s="15">
        <f>IF(ISBLANK('By Round'!J131),"",'By Round'!J131)</f>
        <v/>
      </c>
      <c r="K98" s="15">
        <f>IF(ISBLANK('By Round'!K131),"",'By Round'!K131)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1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5">
        <f>SUM(T99:X99)</f>
        <v/>
      </c>
      <c r="Q99" s="5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1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5">
        <f>SUM(T100:X100)</f>
        <v/>
      </c>
      <c r="Q100" s="5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1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5">
        <f>SUM(T101:X101)</f>
        <v/>
      </c>
      <c r="Q101" s="5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1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5">
        <f>SUM(T102:X102)</f>
        <v/>
      </c>
      <c r="Q102" s="5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1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5">
        <f>SUM(T103:X103)</f>
        <v/>
      </c>
      <c r="Q103" s="5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5">
        <f>'By Round'!A123</f>
        <v/>
      </c>
      <c r="C104" s="15">
        <f>'By Round'!B133</f>
        <v/>
      </c>
      <c r="D104" s="15">
        <f>'By Round'!C133</f>
        <v/>
      </c>
      <c r="E104" s="15">
        <f>'By Round'!D133</f>
        <v/>
      </c>
      <c r="F104" s="16" t="inlineStr">
        <is>
          <t>None</t>
        </is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1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5">
        <f>SUM(T105:X105)</f>
        <v/>
      </c>
      <c r="Q105" s="5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1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5">
        <f>SUM(T106:X106)</f>
        <v/>
      </c>
      <c r="Q106" s="5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1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5">
        <f>SUM(T107:X107)</f>
        <v/>
      </c>
      <c r="Q107" s="5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1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5">
        <f>SUM(T108:X108)</f>
        <v/>
      </c>
      <c r="Q108" s="5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1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5">
        <f>SUM(T109:X109)</f>
        <v/>
      </c>
      <c r="Q109" s="5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5">
        <f>'By Round'!A123</f>
        <v/>
      </c>
      <c r="C110" s="15">
        <f>'By Round'!B133</f>
        <v/>
      </c>
      <c r="D110" s="15">
        <f>'By Round'!C133</f>
        <v/>
      </c>
      <c r="E110" s="15">
        <f>'By Round'!D133</f>
        <v/>
      </c>
      <c r="F110" s="16" t="inlineStr">
        <is>
          <t>NS</t>
        </is>
      </c>
      <c r="G110" s="15">
        <f>IF(ISBLANK('By Round'!G133),"",'By Round'!G133)</f>
        <v/>
      </c>
      <c r="H110" s="15">
        <f>IF(ISBLANK('By Round'!H133),"",'By Round'!H133)</f>
        <v/>
      </c>
      <c r="I110" s="15">
        <f>IF(ISBLANK('By Round'!I133),"",'By Round'!I133)</f>
        <v/>
      </c>
      <c r="J110" s="15">
        <f>IF(ISBLANK('By Round'!J133),"",'By Round'!J133)</f>
        <v/>
      </c>
      <c r="K110" s="15">
        <f>IF(ISBLANK('By Round'!K133),"",'By Round'!K133)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1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5">
        <f>SUM(T111:X111)</f>
        <v/>
      </c>
      <c r="Q111" s="5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1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5">
        <f>SUM(T112:X112)</f>
        <v/>
      </c>
      <c r="Q112" s="5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1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5">
        <f>SUM(T113:X113)</f>
        <v/>
      </c>
      <c r="Q113" s="5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1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5">
        <f>SUM(T114:X114)</f>
        <v/>
      </c>
      <c r="Q114" s="5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5">
        <f>SUM(T115:X115)</f>
        <v/>
      </c>
      <c r="Q115" s="5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5">
        <f>'By Round'!A111</f>
        <v/>
      </c>
      <c r="C116" s="15">
        <f>'By Round'!B111</f>
        <v/>
      </c>
      <c r="D116" s="15">
        <f>'By Round'!C111</f>
        <v/>
      </c>
      <c r="E116" s="15">
        <f>'By Round'!D111</f>
        <v/>
      </c>
      <c r="F116" s="16" t="inlineStr">
        <is>
          <t>EW</t>
        </is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1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5">
        <f>SUM(T117:X117)</f>
        <v/>
      </c>
      <c r="Q117" s="5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1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5">
        <f>SUM(T118:X118)</f>
        <v/>
      </c>
      <c r="Q118" s="5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1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5">
        <f>SUM(T119:X119)</f>
        <v/>
      </c>
      <c r="Q119" s="5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1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5">
        <f>SUM(T120:X120)</f>
        <v/>
      </c>
      <c r="Q120" s="5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1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5">
        <f>SUM(T121:X121)</f>
        <v/>
      </c>
      <c r="Q121" s="5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5">
        <f>'By Round'!A111</f>
        <v/>
      </c>
      <c r="C122" s="15">
        <f>'By Round'!B111</f>
        <v/>
      </c>
      <c r="D122" s="15">
        <f>'By Round'!C111</f>
        <v/>
      </c>
      <c r="E122" s="15">
        <f>'By Round'!D111</f>
        <v/>
      </c>
      <c r="F122" s="16" t="inlineStr">
        <is>
          <t>Both</t>
        </is>
      </c>
      <c r="G122" s="15">
        <f>IF(ISBLANK('By Round'!G111),"",'By Round'!G111)</f>
        <v/>
      </c>
      <c r="H122" s="15">
        <f>IF(ISBLANK('By Round'!H111),"",'By Round'!H111)</f>
        <v/>
      </c>
      <c r="I122" s="15">
        <f>IF(ISBLANK('By Round'!I111),"",'By Round'!I111)</f>
        <v/>
      </c>
      <c r="J122" s="15">
        <f>IF(ISBLANK('By Round'!J111),"",'By Round'!J111)</f>
        <v/>
      </c>
      <c r="K122" s="15">
        <f>IF(ISBLANK('By Round'!K111),"",'By Round'!K111)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1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5">
        <f>SUM(T123:X123)</f>
        <v/>
      </c>
      <c r="Q123" s="5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1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5">
        <f>SUM(T124:X124)</f>
        <v/>
      </c>
      <c r="Q124" s="5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1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5">
        <f>SUM(T125:X125)</f>
        <v/>
      </c>
      <c r="Q125" s="5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1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5">
        <f>SUM(T126:X126)</f>
        <v/>
      </c>
      <c r="Q126" s="5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1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5">
        <f>SUM(T127:X127)</f>
        <v/>
      </c>
      <c r="Q127" s="5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5">
        <f>'By Round'!A123</f>
        <v/>
      </c>
      <c r="C128" s="15">
        <f>'By Round'!B123</f>
        <v/>
      </c>
      <c r="D128" s="15">
        <f>'By Round'!C123</f>
        <v/>
      </c>
      <c r="E128" s="15">
        <f>'By Round'!D123</f>
        <v/>
      </c>
      <c r="F128" s="16" t="inlineStr">
        <is>
          <t>NS</t>
        </is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1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5">
        <f>SUM(T129:X129)</f>
        <v/>
      </c>
      <c r="Q129" s="5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1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5">
        <f>SUM(T130:X130)</f>
        <v/>
      </c>
      <c r="Q130" s="5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1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5">
        <f>SUM(T131:X131)</f>
        <v/>
      </c>
      <c r="Q131" s="5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1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5">
        <f>SUM(T132:X132)</f>
        <v/>
      </c>
      <c r="Q132" s="5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1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5">
        <f>SUM(T133:X133)</f>
        <v/>
      </c>
      <c r="Q133" s="5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5">
        <f>'By Round'!A123</f>
        <v/>
      </c>
      <c r="C134" s="15">
        <f>'By Round'!B123</f>
        <v/>
      </c>
      <c r="D134" s="15">
        <f>'By Round'!C123</f>
        <v/>
      </c>
      <c r="E134" s="15">
        <f>'By Round'!D123</f>
        <v/>
      </c>
      <c r="F134" s="16" t="inlineStr">
        <is>
          <t>EW</t>
        </is>
      </c>
      <c r="G134" s="15">
        <f>IF(ISBLANK('By Round'!G123),"",'By Round'!G123)</f>
        <v/>
      </c>
      <c r="H134" s="15">
        <f>IF(ISBLANK('By Round'!H123),"",'By Round'!H123)</f>
        <v/>
      </c>
      <c r="I134" s="15">
        <f>IF(ISBLANK('By Round'!I123),"",'By Round'!I123)</f>
        <v/>
      </c>
      <c r="J134" s="15">
        <f>IF(ISBLANK('By Round'!J123),"",'By Round'!J123)</f>
        <v/>
      </c>
      <c r="K134" s="15">
        <f>IF(ISBLANK('By Round'!K123),"",'By Round'!K123)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12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12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12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12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12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12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12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12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12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12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12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2026-02-05T03:49:28Z</dcterms:created>
  <dcterms:modified xsi:type="dcterms:W3CDTF">2026-02-05T03:49:28Z</dcterms:modified>
</cp:coreProperties>
</file>