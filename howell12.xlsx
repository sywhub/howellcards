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48</t>
        </is>
      </c>
      <c r="C10" t="inlineStr">
        <is>
          <t>Name 21</t>
        </is>
      </c>
      <c r="D10" s="4">
        <f>SUMIF('By Board'!$D$3:$D$134,"=1",'By Board'!$N$3:$N$134)/22+SUMIF('By Board'!$E$3:$E$134,"=1",'By Board'!$O$3:$O$134)/22</f>
        <v/>
      </c>
      <c r="E10" s="5">
        <f>SUMIF('By Board'!$D$3:$D$134,"=1",'By Board'!$L$3:$L$134)+SUMIF('By Board'!$E$3:$E$134,"=1",'By Board'!$M$3:$M$134)</f>
        <v/>
      </c>
    </row>
    <row r="11">
      <c r="A11" s="2" t="n">
        <v>2</v>
      </c>
      <c r="B11" t="inlineStr">
        <is>
          <t>Name 85</t>
        </is>
      </c>
      <c r="C11" t="inlineStr">
        <is>
          <t>Name 41</t>
        </is>
      </c>
      <c r="D11" s="4">
        <f>SUMIF('By Board'!$D$3:$D$134,"=2",'By Board'!$N$3:$N$134)/22+SUMIF('By Board'!$E$3:$E$134,"=2",'By Board'!$O$3:$O$134)/22</f>
        <v/>
      </c>
      <c r="E11" s="5">
        <f>SUMIF('By Board'!$D$3:$D$134,"=2",'By Board'!$L$3:$L$134)+SUMIF('By Board'!$E$3:$E$134,"=2",'By Board'!$M$3:$M$134)</f>
        <v/>
      </c>
    </row>
    <row r="12">
      <c r="A12" s="2" t="n">
        <v>3</v>
      </c>
      <c r="B12" t="inlineStr">
        <is>
          <t>Name 36</t>
        </is>
      </c>
      <c r="C12" t="inlineStr">
        <is>
          <t>Name 81</t>
        </is>
      </c>
      <c r="D12" s="4">
        <f>SUMIF('By Board'!$D$3:$D$134,"=3",'By Board'!$N$3:$N$134)/22+SUMIF('By Board'!$E$3:$E$134,"=3",'By Board'!$O$3:$O$134)/22</f>
        <v/>
      </c>
      <c r="E12" s="5">
        <f>SUMIF('By Board'!$D$3:$D$134,"=3",'By Board'!$L$3:$L$134)+SUMIF('By Board'!$E$3:$E$134,"=3",'By Board'!$M$3:$M$134)</f>
        <v/>
      </c>
    </row>
    <row r="13">
      <c r="A13" s="2" t="n">
        <v>4</v>
      </c>
      <c r="B13" t="inlineStr">
        <is>
          <t>Name 17</t>
        </is>
      </c>
      <c r="C13" t="inlineStr">
        <is>
          <t>Name 58</t>
        </is>
      </c>
      <c r="D13" s="4">
        <f>SUMIF('By Board'!$D$3:$D$134,"=4",'By Board'!$N$3:$N$134)/22+SUMIF('By Board'!$E$3:$E$134,"=4",'By Board'!$O$3:$O$134)/22</f>
        <v/>
      </c>
      <c r="E13" s="5">
        <f>SUMIF('By Board'!$D$3:$D$134,"=4",'By Board'!$L$3:$L$134)+SUMIF('By Board'!$E$3:$E$134,"=4",'By Board'!$M$3:$M$134)</f>
        <v/>
      </c>
    </row>
    <row r="14">
      <c r="A14" s="2" t="n">
        <v>5</v>
      </c>
      <c r="B14" t="inlineStr">
        <is>
          <t>Name 37</t>
        </is>
      </c>
      <c r="C14" t="inlineStr">
        <is>
          <t>Name 45</t>
        </is>
      </c>
      <c r="D14" s="4">
        <f>SUMIF('By Board'!$D$3:$D$134,"=5",'By Board'!$N$3:$N$134)/22+SUMIF('By Board'!$E$3:$E$134,"=5",'By Board'!$O$3:$O$134)/22</f>
        <v/>
      </c>
      <c r="E14" s="5">
        <f>SUMIF('By Board'!$D$3:$D$134,"=5",'By Board'!$L$3:$L$134)+SUMIF('By Board'!$E$3:$E$134,"=5",'By Board'!$M$3:$M$134)</f>
        <v/>
      </c>
    </row>
    <row r="15">
      <c r="A15" s="2" t="n">
        <v>6</v>
      </c>
      <c r="B15" t="inlineStr">
        <is>
          <t>Name 70</t>
        </is>
      </c>
      <c r="C15" t="inlineStr">
        <is>
          <t>Name 87</t>
        </is>
      </c>
      <c r="D15" s="4">
        <f>SUMIF('By Board'!$D$3:$D$134,"=6",'By Board'!$N$3:$N$134)/22+SUMIF('By Board'!$E$3:$E$134,"=6",'By Board'!$O$3:$O$134)/22</f>
        <v/>
      </c>
      <c r="E15" s="5">
        <f>SUMIF('By Board'!$D$3:$D$134,"=6",'By Board'!$L$3:$L$134)+SUMIF('By Board'!$E$3:$E$134,"=6",'By Board'!$M$3:$M$134)</f>
        <v/>
      </c>
    </row>
    <row r="16">
      <c r="A16" s="2" t="n">
        <v>7</v>
      </c>
      <c r="B16" t="inlineStr">
        <is>
          <t>Name 30</t>
        </is>
      </c>
      <c r="C16" t="inlineStr">
        <is>
          <t>Name 52</t>
        </is>
      </c>
      <c r="D16" s="4">
        <f>SUMIF('By Board'!$D$3:$D$134,"=7",'By Board'!$N$3:$N$134)/22+SUMIF('By Board'!$E$3:$E$134,"=7",'By Board'!$O$3:$O$134)/22</f>
        <v/>
      </c>
      <c r="E16" s="5">
        <f>SUMIF('By Board'!$D$3:$D$134,"=7",'By Board'!$L$3:$L$134)+SUMIF('By Board'!$E$3:$E$134,"=7",'By Board'!$M$3:$M$134)</f>
        <v/>
      </c>
    </row>
    <row r="17">
      <c r="A17" s="2" t="n">
        <v>8</v>
      </c>
      <c r="B17" t="inlineStr">
        <is>
          <t>Name 68</t>
        </is>
      </c>
      <c r="C17" t="inlineStr">
        <is>
          <t>Name 27</t>
        </is>
      </c>
      <c r="D17" s="4">
        <f>SUMIF('By Board'!$D$3:$D$134,"=8",'By Board'!$N$3:$N$134)/22+SUMIF('By Board'!$E$3:$E$134,"=8",'By Board'!$O$3:$O$134)/22</f>
        <v/>
      </c>
      <c r="E17" s="5">
        <f>SUMIF('By Board'!$D$3:$D$134,"=8",'By Board'!$L$3:$L$134)+SUMIF('By Board'!$E$3:$E$134,"=8",'By Board'!$M$3:$M$134)</f>
        <v/>
      </c>
    </row>
    <row r="18">
      <c r="A18" s="2" t="n">
        <v>9</v>
      </c>
      <c r="B18" t="inlineStr">
        <is>
          <t>Name 54</t>
        </is>
      </c>
      <c r="C18" t="inlineStr">
        <is>
          <t>Name 68</t>
        </is>
      </c>
      <c r="D18" s="4">
        <f>SUMIF('By Board'!$D$3:$D$134,"=9",'By Board'!$N$3:$N$134)/22+SUMIF('By Board'!$E$3:$E$134,"=9",'By Board'!$O$3:$O$134)/22</f>
        <v/>
      </c>
      <c r="E18" s="5">
        <f>SUMIF('By Board'!$D$3:$D$134,"=9",'By Board'!$L$3:$L$134)+SUMIF('By Board'!$E$3:$E$134,"=9",'By Board'!$M$3:$M$134)</f>
        <v/>
      </c>
    </row>
    <row r="19">
      <c r="A19" s="2" t="n">
        <v>10</v>
      </c>
      <c r="B19" t="inlineStr">
        <is>
          <t>Name 74</t>
        </is>
      </c>
      <c r="C19" t="inlineStr">
        <is>
          <t>Name 52</t>
        </is>
      </c>
      <c r="D19" s="4">
        <f>SUMIF('By Board'!$D$3:$D$134,"=10",'By Board'!$N$3:$N$134)/22+SUMIF('By Board'!$E$3:$E$134,"=10",'By Board'!$O$3:$O$134)/22</f>
        <v/>
      </c>
      <c r="E19" s="5">
        <f>SUMIF('By Board'!$D$3:$D$134,"=10",'By Board'!$L$3:$L$134)+SUMIF('By Board'!$E$3:$E$134,"=10",'By Board'!$M$3:$M$134)</f>
        <v/>
      </c>
    </row>
    <row r="20">
      <c r="A20" s="2" t="n">
        <v>11</v>
      </c>
      <c r="B20" t="inlineStr">
        <is>
          <t>Name 81</t>
        </is>
      </c>
      <c r="C20" t="inlineStr">
        <is>
          <t>Name 41</t>
        </is>
      </c>
      <c r="D20" s="4">
        <f>SUMIF('By Board'!$D$3:$D$134,"=11",'By Board'!$N$3:$N$134)/22+SUMIF('By Board'!$E$3:$E$134,"=11",'By Board'!$O$3:$O$134)/22</f>
        <v/>
      </c>
      <c r="E20" s="5">
        <f>SUMIF('By Board'!$D$3:$D$134,"=11",'By Board'!$L$3:$L$134)+SUMIF('By Board'!$E$3:$E$134,"=11",'By Board'!$M$3:$M$134)</f>
        <v/>
      </c>
    </row>
    <row r="21">
      <c r="A21" s="2" t="n">
        <v>12</v>
      </c>
      <c r="B21" t="inlineStr">
        <is>
          <t>Name 35</t>
        </is>
      </c>
      <c r="C21" t="inlineStr">
        <is>
          <t>Name 31</t>
        </is>
      </c>
      <c r="D21" s="4">
        <f>SUMIF('By Board'!$D$3:$D$134,"=12",'By Board'!$N$3:$N$134)/22+0/22</f>
        <v/>
      </c>
      <c r="E21" s="5">
        <f>SUMIF('By Board'!$D$3:$D$134,"=12",'By Board'!$L$3:$L$134)+0</f>
        <v/>
      </c>
    </row>
    <row r="22">
      <c r="D22" s="6">
        <f>AVERAGE(D10:D21)</f>
        <v/>
      </c>
      <c r="E22" s="7">
        <f>SUM(E10:E21)</f>
        <v/>
      </c>
    </row>
    <row r="24">
      <c r="A24" t="inlineStr">
        <is>
          <t>To sort, remove single quote below</t>
        </is>
      </c>
    </row>
    <row r="25">
      <c r="A25" s="2" t="inlineStr">
        <is>
          <t>IMP Ranking</t>
        </is>
      </c>
    </row>
    <row r="26">
      <c r="A26" t="inlineStr">
        <is>
          <t>'=SORT(A10:E21,4,-1)</t>
        </is>
      </c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42">
      <c r="A42" s="2" t="inlineStr">
        <is>
          <t>MP Ranking</t>
        </is>
      </c>
    </row>
    <row r="43">
      <c r="A43" t="inlineStr">
        <is>
          <t>'=SORT(A10:E21,5,-1)</t>
        </is>
      </c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</sheetData>
  <mergeCells count="9">
    <mergeCell ref="A4:B4"/>
    <mergeCell ref="A7:B7"/>
    <mergeCell ref="A2:E2"/>
    <mergeCell ref="A25:E25"/>
    <mergeCell ref="A42:E4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1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1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1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5">
        <f>'By Round'!A87</f>
        <v/>
      </c>
      <c r="C8" s="15">
        <f>'By Round'!B89</f>
        <v/>
      </c>
      <c r="D8" s="15">
        <f>'By Round'!C89</f>
        <v/>
      </c>
      <c r="E8" s="15">
        <f>'By Round'!D89</f>
        <v/>
      </c>
      <c r="F8" s="16" t="inlineStr">
        <is>
          <t>None</t>
        </is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1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1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1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1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5">
        <f>'By Round'!A87</f>
        <v/>
      </c>
      <c r="C14" s="15">
        <f>'By Round'!B89</f>
        <v/>
      </c>
      <c r="D14" s="15">
        <f>'By Round'!C89</f>
        <v/>
      </c>
      <c r="E14" s="15">
        <f>'By Round'!D89</f>
        <v/>
      </c>
      <c r="F14" s="16" t="inlineStr">
        <is>
          <t>NS</t>
        </is>
      </c>
      <c r="G14" s="15">
        <f>IF(ISBLANK('By Round'!G89),"",'By Round'!G89)</f>
        <v/>
      </c>
      <c r="H14" s="15">
        <f>IF(ISBLANK('By Round'!H89),"",'By Round'!H89)</f>
        <v/>
      </c>
      <c r="I14" s="15">
        <f>IF(ISBLANK('By Round'!I89),"",'By Round'!I89)</f>
        <v/>
      </c>
      <c r="J14" s="15">
        <f>IF(ISBLANK('By Round'!J89),"",'By Round'!J89)</f>
        <v/>
      </c>
      <c r="K14" s="15">
        <f>IF(ISBLANK('By Round'!K89),"",'By Round'!K89)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1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1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1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1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1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5">
        <f>'By Round'!A99</f>
        <v/>
      </c>
      <c r="C20" s="15">
        <f>'By Round'!B101</f>
        <v/>
      </c>
      <c r="D20" s="15">
        <f>'By Round'!C101</f>
        <v/>
      </c>
      <c r="E20" s="15">
        <f>'By Round'!D101</f>
        <v/>
      </c>
      <c r="F20" s="16" t="inlineStr">
        <is>
          <t>EW</t>
        </is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1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1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1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1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5">
        <f>'By Round'!A99</f>
        <v/>
      </c>
      <c r="C26" s="15">
        <f>'By Round'!B101</f>
        <v/>
      </c>
      <c r="D26" s="15">
        <f>'By Round'!C101</f>
        <v/>
      </c>
      <c r="E26" s="15">
        <f>'By Round'!D101</f>
        <v/>
      </c>
      <c r="F26" s="16" t="inlineStr">
        <is>
          <t>Both</t>
        </is>
      </c>
      <c r="G26" s="15">
        <f>IF(ISBLANK('By Round'!G101),"",'By Round'!G101)</f>
        <v/>
      </c>
      <c r="H26" s="15">
        <f>IF(ISBLANK('By Round'!H101),"",'By Round'!H101)</f>
        <v/>
      </c>
      <c r="I26" s="15">
        <f>IF(ISBLANK('By Round'!I101),"",'By Round'!I101)</f>
        <v/>
      </c>
      <c r="J26" s="15">
        <f>IF(ISBLANK('By Round'!J101),"",'By Round'!J101)</f>
        <v/>
      </c>
      <c r="K26" s="15">
        <f>IF(ISBLANK('By Round'!K101),"",'By Round'!K101)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1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1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1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1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1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5">
        <f>'By Round'!A111</f>
        <v/>
      </c>
      <c r="C32" s="15">
        <f>'By Round'!B113</f>
        <v/>
      </c>
      <c r="D32" s="15">
        <f>'By Round'!C113</f>
        <v/>
      </c>
      <c r="E32" s="15">
        <f>'By Round'!D113</f>
        <v/>
      </c>
      <c r="F32" s="16" t="inlineStr">
        <is>
          <t>NS</t>
        </is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1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1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1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1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5">
        <f>'By Round'!A111</f>
        <v/>
      </c>
      <c r="C38" s="15">
        <f>'By Round'!B113</f>
        <v/>
      </c>
      <c r="D38" s="15">
        <f>'By Round'!C113</f>
        <v/>
      </c>
      <c r="E38" s="15">
        <f>'By Round'!D113</f>
        <v/>
      </c>
      <c r="F38" s="16" t="inlineStr">
        <is>
          <t>EW</t>
        </is>
      </c>
      <c r="G38" s="15">
        <f>IF(ISBLANK('By Round'!G113),"",'By Round'!G113)</f>
        <v/>
      </c>
      <c r="H38" s="15">
        <f>IF(ISBLANK('By Round'!H113),"",'By Round'!H113)</f>
        <v/>
      </c>
      <c r="I38" s="15">
        <f>IF(ISBLANK('By Round'!I113),"",'By Round'!I113)</f>
        <v/>
      </c>
      <c r="J38" s="15">
        <f>IF(ISBLANK('By Round'!J113),"",'By Round'!J113)</f>
        <v/>
      </c>
      <c r="K38" s="15">
        <f>IF(ISBLANK('By Round'!K113),"",'By Round'!K113)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1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1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1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5">
        <f>'By Round'!A123</f>
        <v/>
      </c>
      <c r="C44" s="15">
        <f>'By Round'!B125</f>
        <v/>
      </c>
      <c r="D44" s="15">
        <f>'By Round'!C125</f>
        <v/>
      </c>
      <c r="E44" s="15">
        <f>'By Round'!D125</f>
        <v/>
      </c>
      <c r="F44" s="16" t="inlineStr">
        <is>
          <t>Both</t>
        </is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1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1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1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1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5">
        <f>'By Round'!A123</f>
        <v/>
      </c>
      <c r="C50" s="15">
        <f>'By Round'!B125</f>
        <v/>
      </c>
      <c r="D50" s="15">
        <f>'By Round'!C125</f>
        <v/>
      </c>
      <c r="E50" s="15">
        <f>'By Round'!D125</f>
        <v/>
      </c>
      <c r="F50" s="16" t="inlineStr">
        <is>
          <t>None</t>
        </is>
      </c>
      <c r="G50" s="15">
        <f>IF(ISBLANK('By Round'!G125),"",'By Round'!G125)</f>
        <v/>
      </c>
      <c r="H50" s="15">
        <f>IF(ISBLANK('By Round'!H125),"",'By Round'!H125)</f>
        <v/>
      </c>
      <c r="I50" s="15">
        <f>IF(ISBLANK('By Round'!I125),"",'By Round'!I125)</f>
        <v/>
      </c>
      <c r="J50" s="15">
        <f>IF(ISBLANK('By Round'!J125),"",'By Round'!J125)</f>
        <v/>
      </c>
      <c r="K50" s="15">
        <f>IF(ISBLANK('By Round'!K125),"",'By Round'!K125)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1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1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1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1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1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5">
        <f>'By Round'!A123</f>
        <v/>
      </c>
      <c r="C56" s="15">
        <f>'By Round'!B127</f>
        <v/>
      </c>
      <c r="D56" s="15">
        <f>'By Round'!C127</f>
        <v/>
      </c>
      <c r="E56" s="15">
        <f>'By Round'!D127</f>
        <v/>
      </c>
      <c r="F56" s="16" t="inlineStr">
        <is>
          <t>EW</t>
        </is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1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1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1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1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1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5">
        <f>'By Round'!A123</f>
        <v/>
      </c>
      <c r="C62" s="15">
        <f>'By Round'!B127</f>
        <v/>
      </c>
      <c r="D62" s="15">
        <f>'By Round'!C127</f>
        <v/>
      </c>
      <c r="E62" s="15">
        <f>'By Round'!D127</f>
        <v/>
      </c>
      <c r="F62" s="16" t="inlineStr">
        <is>
          <t>Both</t>
        </is>
      </c>
      <c r="G62" s="15">
        <f>IF(ISBLANK('By Round'!G127),"",'By Round'!G127)</f>
        <v/>
      </c>
      <c r="H62" s="15">
        <f>IF(ISBLANK('By Round'!H127),"",'By Round'!H127)</f>
        <v/>
      </c>
      <c r="I62" s="15">
        <f>IF(ISBLANK('By Round'!I127),"",'By Round'!I127)</f>
        <v/>
      </c>
      <c r="J62" s="15">
        <f>IF(ISBLANK('By Round'!J127),"",'By Round'!J127)</f>
        <v/>
      </c>
      <c r="K62" s="15">
        <f>IF(ISBLANK('By Round'!K127),"",'By Round'!K127)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1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1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1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1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5">
        <f>'By Round'!A111</f>
        <v/>
      </c>
      <c r="C68" s="15">
        <f>'By Round'!B117</f>
        <v/>
      </c>
      <c r="D68" s="15">
        <f>'By Round'!C117</f>
        <v/>
      </c>
      <c r="E68" s="15">
        <f>'By Round'!D117</f>
        <v/>
      </c>
      <c r="F68" s="16" t="inlineStr">
        <is>
          <t>None</t>
        </is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1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1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1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1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1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5">
        <f>'By Round'!A111</f>
        <v/>
      </c>
      <c r="C74" s="15">
        <f>'By Round'!B117</f>
        <v/>
      </c>
      <c r="D74" s="15">
        <f>'By Round'!C117</f>
        <v/>
      </c>
      <c r="E74" s="15">
        <f>'By Round'!D117</f>
        <v/>
      </c>
      <c r="F74" s="16" t="inlineStr">
        <is>
          <t>NS</t>
        </is>
      </c>
      <c r="G74" s="15">
        <f>IF(ISBLANK('By Round'!G117),"",'By Round'!G117)</f>
        <v/>
      </c>
      <c r="H74" s="15">
        <f>IF(ISBLANK('By Round'!H117),"",'By Round'!H117)</f>
        <v/>
      </c>
      <c r="I74" s="15">
        <f>IF(ISBLANK('By Round'!I117),"",'By Round'!I117)</f>
        <v/>
      </c>
      <c r="J74" s="15">
        <f>IF(ISBLANK('By Round'!J117),"",'By Round'!J117)</f>
        <v/>
      </c>
      <c r="K74" s="15">
        <f>IF(ISBLANK('By Round'!K117),"",'By Round'!K117)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1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1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1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1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1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5">
        <f>'By Round'!A123</f>
        <v/>
      </c>
      <c r="C80" s="15">
        <f>'By Round'!B129</f>
        <v/>
      </c>
      <c r="D80" s="15">
        <f>'By Round'!C129</f>
        <v/>
      </c>
      <c r="E80" s="15">
        <f>'By Round'!D129</f>
        <v/>
      </c>
      <c r="F80" s="16" t="inlineStr">
        <is>
          <t>Both</t>
        </is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1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1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1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1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1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5">
        <f>'By Round'!A123</f>
        <v/>
      </c>
      <c r="C86" s="15">
        <f>'By Round'!B129</f>
        <v/>
      </c>
      <c r="D86" s="15">
        <f>'By Round'!C129</f>
        <v/>
      </c>
      <c r="E86" s="15">
        <f>'By Round'!D129</f>
        <v/>
      </c>
      <c r="F86" s="16" t="inlineStr">
        <is>
          <t>None</t>
        </is>
      </c>
      <c r="G86" s="15">
        <f>IF(ISBLANK('By Round'!G129),"",'By Round'!G129)</f>
        <v/>
      </c>
      <c r="H86" s="15">
        <f>IF(ISBLANK('By Round'!H129),"",'By Round'!H129)</f>
        <v/>
      </c>
      <c r="I86" s="15">
        <f>IF(ISBLANK('By Round'!I129),"",'By Round'!I129)</f>
        <v/>
      </c>
      <c r="J86" s="15">
        <f>IF(ISBLANK('By Round'!J129),"",'By Round'!J129)</f>
        <v/>
      </c>
      <c r="K86" s="15">
        <f>IF(ISBLANK('By Round'!K129),"",'By Round'!K129)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1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1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1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1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5">
        <f>'By Round'!A123</f>
        <v/>
      </c>
      <c r="C92" s="15">
        <f>'By Round'!B131</f>
        <v/>
      </c>
      <c r="D92" s="15">
        <f>'By Round'!C131</f>
        <v/>
      </c>
      <c r="E92" s="15">
        <f>'By Round'!D131</f>
        <v/>
      </c>
      <c r="F92" s="16" t="inlineStr">
        <is>
          <t>NS</t>
        </is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1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1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1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1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1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5">
        <f>'By Round'!A123</f>
        <v/>
      </c>
      <c r="C98" s="15">
        <f>'By Round'!B131</f>
        <v/>
      </c>
      <c r="D98" s="15">
        <f>'By Round'!C131</f>
        <v/>
      </c>
      <c r="E98" s="15">
        <f>'By Round'!D131</f>
        <v/>
      </c>
      <c r="F98" s="16" t="inlineStr">
        <is>
          <t>EW</t>
        </is>
      </c>
      <c r="G98" s="15">
        <f>IF(ISBLANK('By Round'!G131),"",'By Round'!G131)</f>
        <v/>
      </c>
      <c r="H98" s="15">
        <f>IF(ISBLANK('By Round'!H131),"",'By Round'!H131)</f>
        <v/>
      </c>
      <c r="I98" s="15">
        <f>IF(ISBLANK('By Round'!I131),"",'By Round'!I131)</f>
        <v/>
      </c>
      <c r="J98" s="15">
        <f>IF(ISBLANK('By Round'!J131),"",'By Round'!J131)</f>
        <v/>
      </c>
      <c r="K98" s="15">
        <f>IF(ISBLANK('By Round'!K131),"",'By Round'!K131)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1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1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1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1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1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5">
        <f>'By Round'!A123</f>
        <v/>
      </c>
      <c r="C104" s="15">
        <f>'By Round'!B133</f>
        <v/>
      </c>
      <c r="D104" s="15">
        <f>'By Round'!C133</f>
        <v/>
      </c>
      <c r="E104" s="15">
        <f>'By Round'!D133</f>
        <v/>
      </c>
      <c r="F104" s="16" t="inlineStr">
        <is>
          <t>None</t>
        </is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1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1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1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1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1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5">
        <f>'By Round'!A123</f>
        <v/>
      </c>
      <c r="C110" s="15">
        <f>'By Round'!B133</f>
        <v/>
      </c>
      <c r="D110" s="15">
        <f>'By Round'!C133</f>
        <v/>
      </c>
      <c r="E110" s="15">
        <f>'By Round'!D133</f>
        <v/>
      </c>
      <c r="F110" s="16" t="inlineStr">
        <is>
          <t>NS</t>
        </is>
      </c>
      <c r="G110" s="15">
        <f>IF(ISBLANK('By Round'!G133),"",'By Round'!G133)</f>
        <v/>
      </c>
      <c r="H110" s="15">
        <f>IF(ISBLANK('By Round'!H133),"",'By Round'!H133)</f>
        <v/>
      </c>
      <c r="I110" s="15">
        <f>IF(ISBLANK('By Round'!I133),"",'By Round'!I133)</f>
        <v/>
      </c>
      <c r="J110" s="15">
        <f>IF(ISBLANK('By Round'!J133),"",'By Round'!J133)</f>
        <v/>
      </c>
      <c r="K110" s="15">
        <f>IF(ISBLANK('By Round'!K133),"",'By Round'!K133)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1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1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1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1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5">
        <f>'By Round'!A111</f>
        <v/>
      </c>
      <c r="C116" s="15">
        <f>'By Round'!B111</f>
        <v/>
      </c>
      <c r="D116" s="15">
        <f>'By Round'!C111</f>
        <v/>
      </c>
      <c r="E116" s="15">
        <f>'By Round'!D111</f>
        <v/>
      </c>
      <c r="F116" s="16" t="inlineStr">
        <is>
          <t>EW</t>
        </is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1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1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1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1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1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5">
        <f>'By Round'!A111</f>
        <v/>
      </c>
      <c r="C122" s="15">
        <f>'By Round'!B111</f>
        <v/>
      </c>
      <c r="D122" s="15">
        <f>'By Round'!C111</f>
        <v/>
      </c>
      <c r="E122" s="15">
        <f>'By Round'!D111</f>
        <v/>
      </c>
      <c r="F122" s="16" t="inlineStr">
        <is>
          <t>Both</t>
        </is>
      </c>
      <c r="G122" s="15">
        <f>IF(ISBLANK('By Round'!G111),"",'By Round'!G111)</f>
        <v/>
      </c>
      <c r="H122" s="15">
        <f>IF(ISBLANK('By Round'!H111),"",'By Round'!H111)</f>
        <v/>
      </c>
      <c r="I122" s="15">
        <f>IF(ISBLANK('By Round'!I111),"",'By Round'!I111)</f>
        <v/>
      </c>
      <c r="J122" s="15">
        <f>IF(ISBLANK('By Round'!J111),"",'By Round'!J111)</f>
        <v/>
      </c>
      <c r="K122" s="15">
        <f>IF(ISBLANK('By Round'!K111),"",'By Round'!K111)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1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1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1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1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1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5">
        <f>'By Round'!A123</f>
        <v/>
      </c>
      <c r="C128" s="15">
        <f>'By Round'!B123</f>
        <v/>
      </c>
      <c r="D128" s="15">
        <f>'By Round'!C123</f>
        <v/>
      </c>
      <c r="E128" s="15">
        <f>'By Round'!D123</f>
        <v/>
      </c>
      <c r="F128" s="16" t="inlineStr">
        <is>
          <t>NS</t>
        </is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1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1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1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1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1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5">
        <f>'By Round'!A123</f>
        <v/>
      </c>
      <c r="C134" s="15">
        <f>'By Round'!B123</f>
        <v/>
      </c>
      <c r="D134" s="15">
        <f>'By Round'!C123</f>
        <v/>
      </c>
      <c r="E134" s="15">
        <f>'By Round'!D123</f>
        <v/>
      </c>
      <c r="F134" s="16" t="inlineStr">
        <is>
          <t>EW</t>
        </is>
      </c>
      <c r="G134" s="15">
        <f>IF(ISBLANK('By Round'!G123),"",'By Round'!G123)</f>
        <v/>
      </c>
      <c r="H134" s="15">
        <f>IF(ISBLANK('By Round'!H123),"",'By Round'!H123)</f>
        <v/>
      </c>
      <c r="I134" s="15">
        <f>IF(ISBLANK('By Round'!I123),"",'By Round'!I123)</f>
        <v/>
      </c>
      <c r="J134" s="15">
        <f>IF(ISBLANK('By Round'!J123),"",'By Round'!J123)</f>
        <v/>
      </c>
      <c r="K134" s="15">
        <f>IF(ISBLANK('By Round'!K123),"",'By Round'!K123)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3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A1" s="2" t="inlineStr">
        <is>
          <t>Round</t>
        </is>
      </c>
      <c r="B1" s="2" t="inlineStr">
        <is>
          <t>Table</t>
        </is>
      </c>
      <c r="C1" s="2" t="inlineStr">
        <is>
          <t>NS</t>
        </is>
      </c>
      <c r="D1" s="2" t="inlineStr">
        <is>
          <t>EW</t>
        </is>
      </c>
      <c r="E1" s="2" t="inlineStr">
        <is>
          <t>Board</t>
        </is>
      </c>
      <c r="F1" s="2" t="inlineStr">
        <is>
          <t>Vul</t>
        </is>
      </c>
      <c r="G1" s="2" t="inlineStr">
        <is>
          <t>Contract</t>
        </is>
      </c>
      <c r="H1" s="2" t="inlineStr">
        <is>
          <t>By</t>
        </is>
      </c>
      <c r="I1" s="2" t="inlineStr">
        <is>
          <t>Result</t>
        </is>
      </c>
      <c r="J1" s="2" t="inlineStr">
        <is>
          <t>NS</t>
        </is>
      </c>
      <c r="K1" s="2" t="inlineStr">
        <is>
          <t>EW</t>
        </is>
      </c>
      <c r="L1" s="2" t="inlineStr">
        <is>
          <t>Scores</t>
        </is>
      </c>
    </row>
    <row r="2">
      <c r="A2" s="11" t="n">
        <v>1</v>
      </c>
      <c r="B2" s="11" t="n">
        <v>1</v>
      </c>
      <c r="C2" s="11" t="n">
        <v>12</v>
      </c>
      <c r="D2" s="11" t="n">
        <v>1</v>
      </c>
      <c r="E2" s="11" t="n">
        <v>1</v>
      </c>
      <c r="F2" s="11" t="inlineStr">
        <is>
          <t>None</t>
        </is>
      </c>
    </row>
    <row r="3">
      <c r="B3" s="16" t="n"/>
      <c r="C3" s="16" t="n"/>
      <c r="D3" s="16" t="n"/>
      <c r="E3" s="16" t="n">
        <v>2</v>
      </c>
      <c r="F3" s="16" t="inlineStr">
        <is>
          <t>NS</t>
        </is>
      </c>
      <c r="G3" s="15" t="n"/>
      <c r="H3" s="15" t="n"/>
      <c r="I3" s="15" t="n"/>
      <c r="J3" s="15" t="n"/>
      <c r="K3" s="15" t="n"/>
      <c r="L3" s="15" t="n"/>
    </row>
    <row r="4">
      <c r="B4" s="11" t="n">
        <v>2</v>
      </c>
      <c r="C4" s="11" t="n">
        <v>3</v>
      </c>
      <c r="D4" s="11" t="n">
        <v>10</v>
      </c>
      <c r="E4" s="11" t="n">
        <v>9</v>
      </c>
      <c r="F4" s="11" t="inlineStr">
        <is>
          <t>EW</t>
        </is>
      </c>
    </row>
    <row r="5">
      <c r="B5" s="16" t="n"/>
      <c r="C5" s="16" t="n"/>
      <c r="D5" s="16" t="n"/>
      <c r="E5" s="16" t="n">
        <v>10</v>
      </c>
      <c r="F5" s="16" t="inlineStr">
        <is>
          <t>Both</t>
        </is>
      </c>
      <c r="G5" s="15" t="n"/>
      <c r="H5" s="15" t="n"/>
      <c r="I5" s="15" t="n"/>
      <c r="J5" s="15" t="n"/>
      <c r="K5" s="15" t="n"/>
      <c r="L5" s="15" t="n"/>
    </row>
    <row r="6">
      <c r="B6" s="11" t="n">
        <v>3</v>
      </c>
      <c r="C6" s="11" t="n">
        <v>8</v>
      </c>
      <c r="D6" s="11" t="n">
        <v>7</v>
      </c>
      <c r="E6" s="11" t="n">
        <v>11</v>
      </c>
      <c r="F6" s="11" t="inlineStr">
        <is>
          <t>None</t>
        </is>
      </c>
    </row>
    <row r="7">
      <c r="B7" s="16" t="n"/>
      <c r="C7" s="16" t="n"/>
      <c r="D7" s="16" t="n"/>
      <c r="E7" s="16" t="n">
        <v>12</v>
      </c>
      <c r="F7" s="16" t="inlineStr">
        <is>
          <t>NS</t>
        </is>
      </c>
      <c r="G7" s="15" t="n"/>
      <c r="H7" s="15" t="n"/>
      <c r="I7" s="15" t="n"/>
      <c r="J7" s="15" t="n"/>
      <c r="K7" s="15" t="n"/>
      <c r="L7" s="15" t="n"/>
    </row>
    <row r="8">
      <c r="B8" s="11" t="n">
        <v>4</v>
      </c>
      <c r="C8" s="11" t="n">
        <v>5</v>
      </c>
      <c r="D8" s="11" t="n">
        <v>11</v>
      </c>
      <c r="E8" s="11" t="n">
        <v>15</v>
      </c>
      <c r="F8" s="11" t="inlineStr">
        <is>
          <t>NS</t>
        </is>
      </c>
    </row>
    <row r="9">
      <c r="B9" s="16" t="n"/>
      <c r="C9" s="16" t="n"/>
      <c r="D9" s="16" t="n"/>
      <c r="E9" s="16" t="n">
        <v>16</v>
      </c>
      <c r="F9" s="16" t="inlineStr">
        <is>
          <t>EW</t>
        </is>
      </c>
      <c r="G9" s="15" t="n"/>
      <c r="H9" s="15" t="n"/>
      <c r="I9" s="15" t="n"/>
      <c r="J9" s="15" t="n"/>
      <c r="K9" s="15" t="n"/>
      <c r="L9" s="15" t="n"/>
    </row>
    <row r="10">
      <c r="B10" s="11" t="n">
        <v>5</v>
      </c>
      <c r="C10" s="11" t="n">
        <v>4</v>
      </c>
      <c r="D10" s="11" t="n">
        <v>2</v>
      </c>
      <c r="E10" s="11" t="n">
        <v>17</v>
      </c>
      <c r="F10" s="11" t="inlineStr">
        <is>
          <t>None</t>
        </is>
      </c>
    </row>
    <row r="11">
      <c r="B11" s="16" t="n"/>
      <c r="C11" s="16" t="n"/>
      <c r="D11" s="16" t="n"/>
      <c r="E11" s="16" t="n">
        <v>18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B12" s="11" t="n">
        <v>6</v>
      </c>
      <c r="C12" s="11" t="n">
        <v>9</v>
      </c>
      <c r="D12" s="11" t="n">
        <v>6</v>
      </c>
      <c r="E12" s="11" t="n">
        <v>19</v>
      </c>
      <c r="F12" s="11" t="inlineStr">
        <is>
          <t>EW</t>
        </is>
      </c>
    </row>
    <row r="13">
      <c r="A13" s="15" t="n"/>
      <c r="B13" s="16" t="n"/>
      <c r="C13" s="16" t="n"/>
      <c r="D13" s="16" t="n"/>
      <c r="E13" s="16" t="n">
        <v>20</v>
      </c>
      <c r="F13" s="16" t="inlineStr">
        <is>
          <t>Both</t>
        </is>
      </c>
      <c r="G13" s="15" t="n"/>
      <c r="H13" s="15" t="n"/>
      <c r="I13" s="15" t="n"/>
      <c r="J13" s="15" t="n"/>
      <c r="K13" s="15" t="n"/>
      <c r="L13" s="15" t="n"/>
    </row>
    <row r="14">
      <c r="A14" s="11" t="n">
        <v>2</v>
      </c>
      <c r="B14" s="11" t="n">
        <v>1</v>
      </c>
      <c r="C14" s="11" t="n">
        <v>12</v>
      </c>
      <c r="D14" s="11" t="n">
        <v>2</v>
      </c>
      <c r="E14" s="11" t="n">
        <v>3</v>
      </c>
      <c r="F14" s="11" t="inlineStr">
        <is>
          <t>EW</t>
        </is>
      </c>
    </row>
    <row r="15">
      <c r="B15" s="16" t="n"/>
      <c r="C15" s="16" t="n"/>
      <c r="D15" s="16" t="n"/>
      <c r="E15" s="16" t="n">
        <v>4</v>
      </c>
      <c r="F15" s="16" t="inlineStr">
        <is>
          <t>Both</t>
        </is>
      </c>
      <c r="G15" s="15" t="n"/>
      <c r="H15" s="15" t="n"/>
      <c r="I15" s="15" t="n"/>
      <c r="J15" s="15" t="n"/>
      <c r="K15" s="15" t="n"/>
      <c r="L15" s="15" t="n"/>
    </row>
    <row r="16">
      <c r="B16" s="11" t="n">
        <v>2</v>
      </c>
      <c r="C16" s="11" t="n">
        <v>4</v>
      </c>
      <c r="D16" s="11" t="n">
        <v>11</v>
      </c>
      <c r="E16" s="11" t="n">
        <v>11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12</v>
      </c>
      <c r="F17" s="16" t="inlineStr">
        <is>
          <t>NS</t>
        </is>
      </c>
      <c r="G17" s="15" t="n"/>
      <c r="H17" s="15" t="n"/>
      <c r="I17" s="15" t="n"/>
      <c r="J17" s="15" t="n"/>
      <c r="K17" s="15" t="n"/>
      <c r="L17" s="15" t="n"/>
    </row>
    <row r="18">
      <c r="B18" s="11" t="n">
        <v>3</v>
      </c>
      <c r="C18" s="11" t="n">
        <v>9</v>
      </c>
      <c r="D18" s="11" t="n">
        <v>8</v>
      </c>
      <c r="E18" s="11" t="n">
        <v>13</v>
      </c>
      <c r="F18" s="11" t="inlineStr">
        <is>
          <t>Both</t>
        </is>
      </c>
    </row>
    <row r="19">
      <c r="B19" s="16" t="n"/>
      <c r="C19" s="16" t="n"/>
      <c r="D19" s="16" t="n"/>
      <c r="E19" s="16" t="n">
        <v>14</v>
      </c>
      <c r="F19" s="16" t="inlineStr">
        <is>
          <t>None</t>
        </is>
      </c>
      <c r="G19" s="15" t="n"/>
      <c r="H19" s="15" t="n"/>
      <c r="I19" s="15" t="n"/>
      <c r="J19" s="15" t="n"/>
      <c r="K19" s="15" t="n"/>
      <c r="L19" s="15" t="n"/>
    </row>
    <row r="20">
      <c r="B20" s="11" t="n">
        <v>4</v>
      </c>
      <c r="C20" s="11" t="n">
        <v>6</v>
      </c>
      <c r="D20" s="11" t="n">
        <v>1</v>
      </c>
      <c r="E20" s="11" t="n">
        <v>17</v>
      </c>
      <c r="F20" s="11" t="inlineStr">
        <is>
          <t>None</t>
        </is>
      </c>
    </row>
    <row r="21">
      <c r="B21" s="16" t="n"/>
      <c r="C21" s="16" t="n"/>
      <c r="D21" s="16" t="n"/>
      <c r="E21" s="16" t="n">
        <v>18</v>
      </c>
      <c r="F21" s="16" t="inlineStr">
        <is>
          <t>NS</t>
        </is>
      </c>
      <c r="G21" s="15" t="n"/>
      <c r="H21" s="15" t="n"/>
      <c r="I21" s="15" t="n"/>
      <c r="J21" s="15" t="n"/>
      <c r="K21" s="15" t="n"/>
      <c r="L21" s="15" t="n"/>
    </row>
    <row r="22">
      <c r="B22" s="11" t="n">
        <v>5</v>
      </c>
      <c r="C22" s="11" t="n">
        <v>5</v>
      </c>
      <c r="D22" s="11" t="n">
        <v>3</v>
      </c>
      <c r="E22" s="11" t="n">
        <v>19</v>
      </c>
      <c r="F22" s="11" t="inlineStr">
        <is>
          <t>EW</t>
        </is>
      </c>
    </row>
    <row r="23">
      <c r="B23" s="16" t="n"/>
      <c r="C23" s="16" t="n"/>
      <c r="D23" s="16" t="n"/>
      <c r="E23" s="16" t="n">
        <v>20</v>
      </c>
      <c r="F23" s="16" t="inlineStr">
        <is>
          <t>Both</t>
        </is>
      </c>
      <c r="G23" s="15" t="n"/>
      <c r="H23" s="15" t="n"/>
      <c r="I23" s="15" t="n"/>
      <c r="J23" s="15" t="n"/>
      <c r="K23" s="15" t="n"/>
      <c r="L23" s="15" t="n"/>
    </row>
    <row r="24">
      <c r="B24" s="11" t="n">
        <v>6</v>
      </c>
      <c r="C24" s="11" t="n">
        <v>10</v>
      </c>
      <c r="D24" s="11" t="n">
        <v>7</v>
      </c>
      <c r="E24" s="11" t="n">
        <v>21</v>
      </c>
      <c r="F24" s="11" t="inlineStr">
        <is>
          <t>NS</t>
        </is>
      </c>
    </row>
    <row r="25">
      <c r="A25" s="15" t="n"/>
      <c r="B25" s="16" t="n"/>
      <c r="C25" s="16" t="n"/>
      <c r="D25" s="16" t="n"/>
      <c r="E25" s="16" t="n">
        <v>22</v>
      </c>
      <c r="F25" s="16" t="inlineStr">
        <is>
          <t>EW</t>
        </is>
      </c>
      <c r="G25" s="15" t="n"/>
      <c r="H25" s="15" t="n"/>
      <c r="I25" s="15" t="n"/>
      <c r="J25" s="15" t="n"/>
      <c r="K25" s="15" t="n"/>
      <c r="L25" s="15" t="n"/>
    </row>
    <row r="26">
      <c r="A26" s="11" t="n">
        <v>3</v>
      </c>
      <c r="B26" s="11" t="n">
        <v>1</v>
      </c>
      <c r="C26" s="11" t="n">
        <v>12</v>
      </c>
      <c r="D26" s="11" t="n">
        <v>3</v>
      </c>
      <c r="E26" s="11" t="n">
        <v>5</v>
      </c>
      <c r="F26" s="11" t="inlineStr">
        <is>
          <t>NS</t>
        </is>
      </c>
    </row>
    <row r="27">
      <c r="B27" s="16" t="n"/>
      <c r="C27" s="16" t="n"/>
      <c r="D27" s="16" t="n"/>
      <c r="E27" s="16" t="n">
        <v>6</v>
      </c>
      <c r="F27" s="16" t="inlineStr">
        <is>
          <t>EW</t>
        </is>
      </c>
      <c r="G27" s="15" t="n"/>
      <c r="H27" s="15" t="n"/>
      <c r="I27" s="15" t="n"/>
      <c r="J27" s="15" t="n"/>
      <c r="K27" s="15" t="n"/>
      <c r="L27" s="15" t="n"/>
    </row>
    <row r="28">
      <c r="B28" s="11" t="n">
        <v>2</v>
      </c>
      <c r="C28" s="11" t="n">
        <v>5</v>
      </c>
      <c r="D28" s="11" t="n">
        <v>1</v>
      </c>
      <c r="E28" s="11" t="n">
        <v>13</v>
      </c>
      <c r="F28" s="11" t="inlineStr">
        <is>
          <t>Both</t>
        </is>
      </c>
    </row>
    <row r="29">
      <c r="B29" s="16" t="n"/>
      <c r="C29" s="16" t="n"/>
      <c r="D29" s="16" t="n"/>
      <c r="E29" s="16" t="n">
        <v>14</v>
      </c>
      <c r="F29" s="16" t="inlineStr">
        <is>
          <t>None</t>
        </is>
      </c>
      <c r="G29" s="15" t="n"/>
      <c r="H29" s="15" t="n"/>
      <c r="I29" s="15" t="n"/>
      <c r="J29" s="15" t="n"/>
      <c r="K29" s="15" t="n"/>
      <c r="L29" s="15" t="n"/>
    </row>
    <row r="30">
      <c r="B30" s="11" t="n">
        <v>3</v>
      </c>
      <c r="C30" s="11" t="n">
        <v>10</v>
      </c>
      <c r="D30" s="11" t="n">
        <v>9</v>
      </c>
      <c r="E30" s="11" t="n">
        <v>15</v>
      </c>
      <c r="F30" s="11" t="inlineStr">
        <is>
          <t>NS</t>
        </is>
      </c>
    </row>
    <row r="31">
      <c r="B31" s="16" t="n"/>
      <c r="C31" s="16" t="n"/>
      <c r="D31" s="16" t="n"/>
      <c r="E31" s="16" t="n">
        <v>16</v>
      </c>
      <c r="F31" s="16" t="inlineStr">
        <is>
          <t>EW</t>
        </is>
      </c>
      <c r="G31" s="15" t="n"/>
      <c r="H31" s="15" t="n"/>
      <c r="I31" s="15" t="n"/>
      <c r="J31" s="15" t="n"/>
      <c r="K31" s="15" t="n"/>
      <c r="L31" s="15" t="n"/>
    </row>
    <row r="32">
      <c r="B32" s="11" t="n">
        <v>4</v>
      </c>
      <c r="C32" s="11" t="n">
        <v>7</v>
      </c>
      <c r="D32" s="11" t="n">
        <v>2</v>
      </c>
      <c r="E32" s="11" t="n">
        <v>19</v>
      </c>
      <c r="F32" s="11" t="inlineStr">
        <is>
          <t>EW</t>
        </is>
      </c>
    </row>
    <row r="33">
      <c r="B33" s="16" t="n"/>
      <c r="C33" s="16" t="n"/>
      <c r="D33" s="16" t="n"/>
      <c r="E33" s="16" t="n">
        <v>20</v>
      </c>
      <c r="F33" s="16" t="inlineStr">
        <is>
          <t>Both</t>
        </is>
      </c>
      <c r="G33" s="15" t="n"/>
      <c r="H33" s="15" t="n"/>
      <c r="I33" s="15" t="n"/>
      <c r="J33" s="15" t="n"/>
      <c r="K33" s="15" t="n"/>
      <c r="L33" s="15" t="n"/>
    </row>
    <row r="34">
      <c r="B34" s="11" t="n">
        <v>5</v>
      </c>
      <c r="C34" s="11" t="n">
        <v>6</v>
      </c>
      <c r="D34" s="11" t="n">
        <v>4</v>
      </c>
      <c r="E34" s="11" t="n">
        <v>21</v>
      </c>
      <c r="F34" s="11" t="inlineStr">
        <is>
          <t>NS</t>
        </is>
      </c>
    </row>
    <row r="35">
      <c r="B35" s="16" t="n"/>
      <c r="C35" s="16" t="n"/>
      <c r="D35" s="16" t="n"/>
      <c r="E35" s="16" t="n">
        <v>22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1" t="n">
        <v>6</v>
      </c>
      <c r="C36" s="11" t="n">
        <v>11</v>
      </c>
      <c r="D36" s="11" t="n">
        <v>8</v>
      </c>
      <c r="E36" s="11" t="n">
        <v>1</v>
      </c>
      <c r="F36" s="11" t="inlineStr">
        <is>
          <t>None</t>
        </is>
      </c>
    </row>
    <row r="37">
      <c r="A37" s="15" t="n"/>
      <c r="B37" s="16" t="n"/>
      <c r="C37" s="16" t="n"/>
      <c r="D37" s="16" t="n"/>
      <c r="E37" s="16" t="n">
        <v>2</v>
      </c>
      <c r="F37" s="16" t="inlineStr">
        <is>
          <t>NS</t>
        </is>
      </c>
      <c r="G37" s="15" t="n"/>
      <c r="H37" s="15" t="n"/>
      <c r="I37" s="15" t="n"/>
      <c r="J37" s="15" t="n"/>
      <c r="K37" s="15" t="n"/>
      <c r="L37" s="15" t="n"/>
    </row>
    <row r="38">
      <c r="A38" s="11" t="n">
        <v>4</v>
      </c>
      <c r="B38" s="11" t="n">
        <v>1</v>
      </c>
      <c r="C38" s="11" t="n">
        <v>12</v>
      </c>
      <c r="D38" s="11" t="n">
        <v>4</v>
      </c>
      <c r="E38" s="11" t="n">
        <v>7</v>
      </c>
      <c r="F38" s="11" t="inlineStr">
        <is>
          <t>Both</t>
        </is>
      </c>
    </row>
    <row r="39">
      <c r="B39" s="16" t="n"/>
      <c r="C39" s="16" t="n"/>
      <c r="D39" s="16" t="n"/>
      <c r="E39" s="16" t="n">
        <v>8</v>
      </c>
      <c r="F39" s="16" t="inlineStr">
        <is>
          <t>None</t>
        </is>
      </c>
      <c r="G39" s="15" t="n"/>
      <c r="H39" s="15" t="n"/>
      <c r="I39" s="15" t="n"/>
      <c r="J39" s="15" t="n"/>
      <c r="K39" s="15" t="n"/>
      <c r="L39" s="15" t="n"/>
    </row>
    <row r="40">
      <c r="B40" s="11" t="n">
        <v>2</v>
      </c>
      <c r="C40" s="11" t="n">
        <v>6</v>
      </c>
      <c r="D40" s="11" t="n">
        <v>2</v>
      </c>
      <c r="E40" s="11" t="n">
        <v>15</v>
      </c>
      <c r="F40" s="11" t="inlineStr">
        <is>
          <t>NS</t>
        </is>
      </c>
    </row>
    <row r="41">
      <c r="B41" s="16" t="n"/>
      <c r="C41" s="16" t="n"/>
      <c r="D41" s="16" t="n"/>
      <c r="E41" s="16" t="n">
        <v>16</v>
      </c>
      <c r="F41" s="16" t="inlineStr">
        <is>
          <t>EW</t>
        </is>
      </c>
      <c r="G41" s="15" t="n"/>
      <c r="H41" s="15" t="n"/>
      <c r="I41" s="15" t="n"/>
      <c r="J41" s="15" t="n"/>
      <c r="K41" s="15" t="n"/>
      <c r="L41" s="15" t="n"/>
    </row>
    <row r="42">
      <c r="B42" s="11" t="n">
        <v>3</v>
      </c>
      <c r="C42" s="11" t="n">
        <v>11</v>
      </c>
      <c r="D42" s="11" t="n">
        <v>10</v>
      </c>
      <c r="E42" s="11" t="n">
        <v>17</v>
      </c>
      <c r="F42" s="11" t="inlineStr">
        <is>
          <t>None</t>
        </is>
      </c>
    </row>
    <row r="43">
      <c r="B43" s="16" t="n"/>
      <c r="C43" s="16" t="n"/>
      <c r="D43" s="16" t="n"/>
      <c r="E43" s="16" t="n">
        <v>18</v>
      </c>
      <c r="F43" s="16" t="inlineStr">
        <is>
          <t>NS</t>
        </is>
      </c>
      <c r="G43" s="15" t="n"/>
      <c r="H43" s="15" t="n"/>
      <c r="I43" s="15" t="n"/>
      <c r="J43" s="15" t="n"/>
      <c r="K43" s="15" t="n"/>
      <c r="L43" s="15" t="n"/>
    </row>
    <row r="44">
      <c r="B44" s="11" t="n">
        <v>4</v>
      </c>
      <c r="C44" s="11" t="n">
        <v>8</v>
      </c>
      <c r="D44" s="11" t="n">
        <v>3</v>
      </c>
      <c r="E44" s="11" t="n">
        <v>21</v>
      </c>
      <c r="F44" s="11" t="inlineStr">
        <is>
          <t>NS</t>
        </is>
      </c>
    </row>
    <row r="45">
      <c r="B45" s="16" t="n"/>
      <c r="C45" s="16" t="n"/>
      <c r="D45" s="16" t="n"/>
      <c r="E45" s="16" t="n">
        <v>22</v>
      </c>
      <c r="F45" s="16" t="inlineStr">
        <is>
          <t>EW</t>
        </is>
      </c>
      <c r="G45" s="15" t="n"/>
      <c r="H45" s="15" t="n"/>
      <c r="I45" s="15" t="n"/>
      <c r="J45" s="15" t="n"/>
      <c r="K45" s="15" t="n"/>
      <c r="L45" s="15" t="n"/>
    </row>
    <row r="46">
      <c r="B46" s="11" t="n">
        <v>5</v>
      </c>
      <c r="C46" s="11" t="n">
        <v>7</v>
      </c>
      <c r="D46" s="11" t="n">
        <v>5</v>
      </c>
      <c r="E46" s="11" t="n">
        <v>1</v>
      </c>
      <c r="F46" s="11" t="inlineStr">
        <is>
          <t>None</t>
        </is>
      </c>
    </row>
    <row r="47">
      <c r="B47" s="16" t="n"/>
      <c r="C47" s="16" t="n"/>
      <c r="D47" s="16" t="n"/>
      <c r="E47" s="16" t="n">
        <v>2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  <row r="48">
      <c r="B48" s="11" t="n">
        <v>6</v>
      </c>
      <c r="C48" s="11" t="n">
        <v>1</v>
      </c>
      <c r="D48" s="11" t="n">
        <v>9</v>
      </c>
      <c r="E48" s="11" t="n">
        <v>3</v>
      </c>
      <c r="F48" s="11" t="inlineStr">
        <is>
          <t>EW</t>
        </is>
      </c>
    </row>
    <row r="49">
      <c r="A49" s="15" t="n"/>
      <c r="B49" s="16" t="n"/>
      <c r="C49" s="16" t="n"/>
      <c r="D49" s="16" t="n"/>
      <c r="E49" s="16" t="n">
        <v>4</v>
      </c>
      <c r="F49" s="16" t="inlineStr">
        <is>
          <t>Both</t>
        </is>
      </c>
      <c r="G49" s="15" t="n"/>
      <c r="H49" s="15" t="n"/>
      <c r="I49" s="15" t="n"/>
      <c r="J49" s="15" t="n"/>
      <c r="K49" s="15" t="n"/>
      <c r="L49" s="15" t="n"/>
    </row>
    <row r="50">
      <c r="A50" s="11" t="n">
        <v>5</v>
      </c>
      <c r="B50" s="11" t="n">
        <v>1</v>
      </c>
      <c r="C50" s="11" t="n">
        <v>12</v>
      </c>
      <c r="D50" s="11" t="n">
        <v>5</v>
      </c>
      <c r="E50" s="11" t="n">
        <v>9</v>
      </c>
      <c r="F50" s="11" t="inlineStr">
        <is>
          <t>EW</t>
        </is>
      </c>
    </row>
    <row r="51">
      <c r="B51" s="16" t="n"/>
      <c r="C51" s="16" t="n"/>
      <c r="D51" s="16" t="n"/>
      <c r="E51" s="16" t="n">
        <v>10</v>
      </c>
      <c r="F51" s="16" t="inlineStr">
        <is>
          <t>Both</t>
        </is>
      </c>
      <c r="G51" s="15" t="n"/>
      <c r="H51" s="15" t="n"/>
      <c r="I51" s="15" t="n"/>
      <c r="J51" s="15" t="n"/>
      <c r="K51" s="15" t="n"/>
      <c r="L51" s="15" t="n"/>
    </row>
    <row r="52">
      <c r="B52" s="11" t="n">
        <v>2</v>
      </c>
      <c r="C52" s="11" t="n">
        <v>7</v>
      </c>
      <c r="D52" s="11" t="n">
        <v>3</v>
      </c>
      <c r="E52" s="11" t="n">
        <v>17</v>
      </c>
      <c r="F52" s="11" t="inlineStr">
        <is>
          <t>None</t>
        </is>
      </c>
    </row>
    <row r="53">
      <c r="B53" s="16" t="n"/>
      <c r="C53" s="16" t="n"/>
      <c r="D53" s="16" t="n"/>
      <c r="E53" s="16" t="n">
        <v>18</v>
      </c>
      <c r="F53" s="16" t="inlineStr">
        <is>
          <t>NS</t>
        </is>
      </c>
      <c r="G53" s="15" t="n"/>
      <c r="H53" s="15" t="n"/>
      <c r="I53" s="15" t="n"/>
      <c r="J53" s="15" t="n"/>
      <c r="K53" s="15" t="n"/>
      <c r="L53" s="15" t="n"/>
    </row>
    <row r="54">
      <c r="B54" s="11" t="n">
        <v>3</v>
      </c>
      <c r="C54" s="11" t="n">
        <v>1</v>
      </c>
      <c r="D54" s="11" t="n">
        <v>11</v>
      </c>
      <c r="E54" s="11" t="n">
        <v>19</v>
      </c>
      <c r="F54" s="11" t="inlineStr">
        <is>
          <t>EW</t>
        </is>
      </c>
    </row>
    <row r="55">
      <c r="B55" s="16" t="n"/>
      <c r="C55" s="16" t="n"/>
      <c r="D55" s="16" t="n"/>
      <c r="E55" s="16" t="n">
        <v>20</v>
      </c>
      <c r="F55" s="16" t="inlineStr">
        <is>
          <t>Both</t>
        </is>
      </c>
      <c r="G55" s="15" t="n"/>
      <c r="H55" s="15" t="n"/>
      <c r="I55" s="15" t="n"/>
      <c r="J55" s="15" t="n"/>
      <c r="K55" s="15" t="n"/>
      <c r="L55" s="15" t="n"/>
    </row>
    <row r="56">
      <c r="B56" s="11" t="n">
        <v>4</v>
      </c>
      <c r="C56" s="11" t="n">
        <v>9</v>
      </c>
      <c r="D56" s="11" t="n">
        <v>4</v>
      </c>
      <c r="E56" s="11" t="n">
        <v>1</v>
      </c>
      <c r="F56" s="11" t="inlineStr">
        <is>
          <t>None</t>
        </is>
      </c>
    </row>
    <row r="57">
      <c r="B57" s="16" t="n"/>
      <c r="C57" s="16" t="n"/>
      <c r="D57" s="16" t="n"/>
      <c r="E57" s="16" t="n">
        <v>2</v>
      </c>
      <c r="F57" s="16" t="inlineStr">
        <is>
          <t>NS</t>
        </is>
      </c>
      <c r="G57" s="15" t="n"/>
      <c r="H57" s="15" t="n"/>
      <c r="I57" s="15" t="n"/>
      <c r="J57" s="15" t="n"/>
      <c r="K57" s="15" t="n"/>
      <c r="L57" s="15" t="n"/>
    </row>
    <row r="58">
      <c r="B58" s="11" t="n">
        <v>5</v>
      </c>
      <c r="C58" s="11" t="n">
        <v>8</v>
      </c>
      <c r="D58" s="11" t="n">
        <v>6</v>
      </c>
      <c r="E58" s="11" t="n">
        <v>3</v>
      </c>
      <c r="F58" s="11" t="inlineStr">
        <is>
          <t>EW</t>
        </is>
      </c>
    </row>
    <row r="59">
      <c r="B59" s="16" t="n"/>
      <c r="C59" s="16" t="n"/>
      <c r="D59" s="16" t="n"/>
      <c r="E59" s="16" t="n">
        <v>4</v>
      </c>
      <c r="F59" s="16" t="inlineStr">
        <is>
          <t>Both</t>
        </is>
      </c>
      <c r="G59" s="15" t="n"/>
      <c r="H59" s="15" t="n"/>
      <c r="I59" s="15" t="n"/>
      <c r="J59" s="15" t="n"/>
      <c r="K59" s="15" t="n"/>
      <c r="L59" s="15" t="n"/>
    </row>
    <row r="60">
      <c r="B60" s="11" t="n">
        <v>6</v>
      </c>
      <c r="C60" s="11" t="n">
        <v>2</v>
      </c>
      <c r="D60" s="11" t="n">
        <v>10</v>
      </c>
      <c r="E60" s="11" t="n">
        <v>5</v>
      </c>
      <c r="F60" s="11" t="inlineStr">
        <is>
          <t>NS</t>
        </is>
      </c>
    </row>
    <row r="61">
      <c r="A61" s="15" t="n"/>
      <c r="B61" s="16" t="n"/>
      <c r="C61" s="16" t="n"/>
      <c r="D61" s="16" t="n"/>
      <c r="E61" s="16" t="n">
        <v>6</v>
      </c>
      <c r="F61" s="16" t="inlineStr">
        <is>
          <t>EW</t>
        </is>
      </c>
      <c r="G61" s="15" t="n"/>
      <c r="H61" s="15" t="n"/>
      <c r="I61" s="15" t="n"/>
      <c r="J61" s="15" t="n"/>
      <c r="K61" s="15" t="n"/>
      <c r="L61" s="15" t="n"/>
    </row>
    <row r="62">
      <c r="A62" s="11" t="n">
        <v>6</v>
      </c>
      <c r="B62" s="11" t="n">
        <v>1</v>
      </c>
      <c r="C62" s="11" t="n">
        <v>12</v>
      </c>
      <c r="D62" s="11" t="n">
        <v>6</v>
      </c>
      <c r="E62" s="11" t="n">
        <v>11</v>
      </c>
      <c r="F62" s="11" t="inlineStr">
        <is>
          <t>None</t>
        </is>
      </c>
    </row>
    <row r="63">
      <c r="B63" s="16" t="n"/>
      <c r="C63" s="16" t="n"/>
      <c r="D63" s="16" t="n"/>
      <c r="E63" s="16" t="n">
        <v>12</v>
      </c>
      <c r="F63" s="16" t="inlineStr">
        <is>
          <t>NS</t>
        </is>
      </c>
      <c r="G63" s="15" t="n"/>
      <c r="H63" s="15" t="n"/>
      <c r="I63" s="15" t="n"/>
      <c r="J63" s="15" t="n"/>
      <c r="K63" s="15" t="n"/>
      <c r="L63" s="15" t="n"/>
    </row>
    <row r="64">
      <c r="B64" s="11" t="n">
        <v>2</v>
      </c>
      <c r="C64" s="11" t="n">
        <v>8</v>
      </c>
      <c r="D64" s="11" t="n">
        <v>4</v>
      </c>
      <c r="E64" s="11" t="n">
        <v>19</v>
      </c>
      <c r="F64" s="11" t="inlineStr">
        <is>
          <t>EW</t>
        </is>
      </c>
    </row>
    <row r="65">
      <c r="B65" s="16" t="n"/>
      <c r="C65" s="16" t="n"/>
      <c r="D65" s="16" t="n"/>
      <c r="E65" s="16" t="n">
        <v>20</v>
      </c>
      <c r="F65" s="16" t="inlineStr">
        <is>
          <t>Both</t>
        </is>
      </c>
      <c r="G65" s="15" t="n"/>
      <c r="H65" s="15" t="n"/>
      <c r="I65" s="15" t="n"/>
      <c r="J65" s="15" t="n"/>
      <c r="K65" s="15" t="n"/>
      <c r="L65" s="15" t="n"/>
    </row>
    <row r="66">
      <c r="B66" s="11" t="n">
        <v>3</v>
      </c>
      <c r="C66" s="11" t="n">
        <v>2</v>
      </c>
      <c r="D66" s="11" t="n">
        <v>1</v>
      </c>
      <c r="E66" s="11" t="n">
        <v>21</v>
      </c>
      <c r="F66" s="11" t="inlineStr">
        <is>
          <t>NS</t>
        </is>
      </c>
    </row>
    <row r="67">
      <c r="B67" s="16" t="n"/>
      <c r="C67" s="16" t="n"/>
      <c r="D67" s="16" t="n"/>
      <c r="E67" s="16" t="n">
        <v>22</v>
      </c>
      <c r="F67" s="16" t="inlineStr">
        <is>
          <t>EW</t>
        </is>
      </c>
      <c r="G67" s="15" t="n"/>
      <c r="H67" s="15" t="n"/>
      <c r="I67" s="15" t="n"/>
      <c r="J67" s="15" t="n"/>
      <c r="K67" s="15" t="n"/>
      <c r="L67" s="15" t="n"/>
    </row>
    <row r="68">
      <c r="B68" s="11" t="n">
        <v>4</v>
      </c>
      <c r="C68" s="11" t="n">
        <v>10</v>
      </c>
      <c r="D68" s="11" t="n">
        <v>5</v>
      </c>
      <c r="E68" s="11" t="n">
        <v>3</v>
      </c>
      <c r="F68" s="11" t="inlineStr">
        <is>
          <t>EW</t>
        </is>
      </c>
    </row>
    <row r="69">
      <c r="B69" s="16" t="n"/>
      <c r="C69" s="16" t="n"/>
      <c r="D69" s="16" t="n"/>
      <c r="E69" s="16" t="n">
        <v>4</v>
      </c>
      <c r="F69" s="16" t="inlineStr">
        <is>
          <t>Both</t>
        </is>
      </c>
      <c r="G69" s="15" t="n"/>
      <c r="H69" s="15" t="n"/>
      <c r="I69" s="15" t="n"/>
      <c r="J69" s="15" t="n"/>
      <c r="K69" s="15" t="n"/>
      <c r="L69" s="15" t="n"/>
    </row>
    <row r="70">
      <c r="B70" s="11" t="n">
        <v>5</v>
      </c>
      <c r="C70" s="11" t="n">
        <v>9</v>
      </c>
      <c r="D70" s="11" t="n">
        <v>7</v>
      </c>
      <c r="E70" s="11" t="n">
        <v>5</v>
      </c>
      <c r="F70" s="11" t="inlineStr">
        <is>
          <t>NS</t>
        </is>
      </c>
    </row>
    <row r="71">
      <c r="B71" s="16" t="n"/>
      <c r="C71" s="16" t="n"/>
      <c r="D71" s="16" t="n"/>
      <c r="E71" s="16" t="n">
        <v>6</v>
      </c>
      <c r="F71" s="16" t="inlineStr">
        <is>
          <t>EW</t>
        </is>
      </c>
      <c r="G71" s="15" t="n"/>
      <c r="H71" s="15" t="n"/>
      <c r="I71" s="15" t="n"/>
      <c r="J71" s="15" t="n"/>
      <c r="K71" s="15" t="n"/>
      <c r="L71" s="15" t="n"/>
    </row>
    <row r="72">
      <c r="B72" s="11" t="n">
        <v>6</v>
      </c>
      <c r="C72" s="11" t="n">
        <v>3</v>
      </c>
      <c r="D72" s="11" t="n">
        <v>11</v>
      </c>
      <c r="E72" s="11" t="n">
        <v>7</v>
      </c>
      <c r="F72" s="11" t="inlineStr">
        <is>
          <t>Both</t>
        </is>
      </c>
    </row>
    <row r="73">
      <c r="A73" s="15" t="n"/>
      <c r="B73" s="16" t="n"/>
      <c r="C73" s="16" t="n"/>
      <c r="D73" s="16" t="n"/>
      <c r="E73" s="16" t="n">
        <v>8</v>
      </c>
      <c r="F73" s="16" t="inlineStr">
        <is>
          <t>None</t>
        </is>
      </c>
      <c r="G73" s="15" t="n"/>
      <c r="H73" s="15" t="n"/>
      <c r="I73" s="15" t="n"/>
      <c r="J73" s="15" t="n"/>
      <c r="K73" s="15" t="n"/>
      <c r="L73" s="15" t="n"/>
    </row>
    <row r="74">
      <c r="A74" s="11" t="n">
        <v>7</v>
      </c>
      <c r="B74" s="11" t="n">
        <v>1</v>
      </c>
      <c r="C74" s="11" t="n">
        <v>12</v>
      </c>
      <c r="D74" s="11" t="n">
        <v>7</v>
      </c>
      <c r="E74" s="11" t="n">
        <v>13</v>
      </c>
      <c r="F74" s="11" t="inlineStr">
        <is>
          <t>Both</t>
        </is>
      </c>
    </row>
    <row r="75">
      <c r="B75" s="16" t="n"/>
      <c r="C75" s="16" t="n"/>
      <c r="D75" s="16" t="n"/>
      <c r="E75" s="16" t="n">
        <v>14</v>
      </c>
      <c r="F75" s="16" t="inlineStr">
        <is>
          <t>None</t>
        </is>
      </c>
      <c r="G75" s="15" t="n"/>
      <c r="H75" s="15" t="n"/>
      <c r="I75" s="15" t="n"/>
      <c r="J75" s="15" t="n"/>
      <c r="K75" s="15" t="n"/>
      <c r="L75" s="15" t="n"/>
    </row>
    <row r="76">
      <c r="B76" s="11" t="n">
        <v>2</v>
      </c>
      <c r="C76" s="11" t="n">
        <v>9</v>
      </c>
      <c r="D76" s="11" t="n">
        <v>5</v>
      </c>
      <c r="E76" s="11" t="n">
        <v>21</v>
      </c>
      <c r="F76" s="11" t="inlineStr">
        <is>
          <t>NS</t>
        </is>
      </c>
    </row>
    <row r="77">
      <c r="B77" s="16" t="n"/>
      <c r="C77" s="16" t="n"/>
      <c r="D77" s="16" t="n"/>
      <c r="E77" s="16" t="n">
        <v>22</v>
      </c>
      <c r="F77" s="16" t="inlineStr">
        <is>
          <t>EW</t>
        </is>
      </c>
      <c r="G77" s="15" t="n"/>
      <c r="H77" s="15" t="n"/>
      <c r="I77" s="15" t="n"/>
      <c r="J77" s="15" t="n"/>
      <c r="K77" s="15" t="n"/>
      <c r="L77" s="15" t="n"/>
    </row>
    <row r="78">
      <c r="B78" s="11" t="n">
        <v>3</v>
      </c>
      <c r="C78" s="11" t="n">
        <v>3</v>
      </c>
      <c r="D78" s="11" t="n">
        <v>2</v>
      </c>
      <c r="E78" s="11" t="n">
        <v>1</v>
      </c>
      <c r="F78" s="11" t="inlineStr">
        <is>
          <t>None</t>
        </is>
      </c>
    </row>
    <row r="79">
      <c r="B79" s="16" t="n"/>
      <c r="C79" s="16" t="n"/>
      <c r="D79" s="16" t="n"/>
      <c r="E79" s="16" t="n">
        <v>2</v>
      </c>
      <c r="F79" s="16" t="inlineStr">
        <is>
          <t>NS</t>
        </is>
      </c>
      <c r="G79" s="15" t="n"/>
      <c r="H79" s="15" t="n"/>
      <c r="I79" s="15" t="n"/>
      <c r="J79" s="15" t="n"/>
      <c r="K79" s="15" t="n"/>
      <c r="L79" s="15" t="n"/>
    </row>
    <row r="80">
      <c r="B80" s="11" t="n">
        <v>4</v>
      </c>
      <c r="C80" s="11" t="n">
        <v>11</v>
      </c>
      <c r="D80" s="11" t="n">
        <v>6</v>
      </c>
      <c r="E80" s="11" t="n">
        <v>5</v>
      </c>
      <c r="F80" s="11" t="inlineStr">
        <is>
          <t>NS</t>
        </is>
      </c>
    </row>
    <row r="81">
      <c r="B81" s="16" t="n"/>
      <c r="C81" s="16" t="n"/>
      <c r="D81" s="16" t="n"/>
      <c r="E81" s="16" t="n">
        <v>6</v>
      </c>
      <c r="F81" s="16" t="inlineStr">
        <is>
          <t>EW</t>
        </is>
      </c>
      <c r="G81" s="15" t="n"/>
      <c r="H81" s="15" t="n"/>
      <c r="I81" s="15" t="n"/>
      <c r="J81" s="15" t="n"/>
      <c r="K81" s="15" t="n"/>
      <c r="L81" s="15" t="n"/>
    </row>
    <row r="82">
      <c r="B82" s="11" t="n">
        <v>5</v>
      </c>
      <c r="C82" s="11" t="n">
        <v>10</v>
      </c>
      <c r="D82" s="11" t="n">
        <v>8</v>
      </c>
      <c r="E82" s="11" t="n">
        <v>7</v>
      </c>
      <c r="F82" s="11" t="inlineStr">
        <is>
          <t>Both</t>
        </is>
      </c>
    </row>
    <row r="83">
      <c r="B83" s="16" t="n"/>
      <c r="C83" s="16" t="n"/>
      <c r="D83" s="16" t="n"/>
      <c r="E83" s="16" t="n">
        <v>8</v>
      </c>
      <c r="F83" s="16" t="inlineStr">
        <is>
          <t>None</t>
        </is>
      </c>
      <c r="G83" s="15" t="n"/>
      <c r="H83" s="15" t="n"/>
      <c r="I83" s="15" t="n"/>
      <c r="J83" s="15" t="n"/>
      <c r="K83" s="15" t="n"/>
      <c r="L83" s="15" t="n"/>
    </row>
    <row r="84">
      <c r="B84" s="11" t="n">
        <v>6</v>
      </c>
      <c r="C84" s="11" t="n">
        <v>4</v>
      </c>
      <c r="D84" s="11" t="n">
        <v>1</v>
      </c>
      <c r="E84" s="11" t="n">
        <v>9</v>
      </c>
      <c r="F84" s="11" t="inlineStr">
        <is>
          <t>EW</t>
        </is>
      </c>
    </row>
    <row r="85">
      <c r="A85" s="15" t="n"/>
      <c r="B85" s="16" t="n"/>
      <c r="C85" s="16" t="n"/>
      <c r="D85" s="16" t="n"/>
      <c r="E85" s="16" t="n">
        <v>10</v>
      </c>
      <c r="F85" s="16" t="inlineStr">
        <is>
          <t>Both</t>
        </is>
      </c>
      <c r="G85" s="15" t="n"/>
      <c r="H85" s="15" t="n"/>
      <c r="I85" s="15" t="n"/>
      <c r="J85" s="15" t="n"/>
      <c r="K85" s="15" t="n"/>
      <c r="L85" s="15" t="n"/>
    </row>
    <row r="86">
      <c r="A86" s="11" t="n">
        <v>8</v>
      </c>
      <c r="B86" s="11" t="n">
        <v>1</v>
      </c>
      <c r="C86" s="11" t="n">
        <v>12</v>
      </c>
      <c r="D86" s="11" t="n">
        <v>8</v>
      </c>
      <c r="E86" s="11" t="n">
        <v>15</v>
      </c>
      <c r="F86" s="11" t="inlineStr">
        <is>
          <t>NS</t>
        </is>
      </c>
    </row>
    <row r="87">
      <c r="B87" s="16" t="n"/>
      <c r="C87" s="16" t="n"/>
      <c r="D87" s="16" t="n"/>
      <c r="E87" s="16" t="n">
        <v>16</v>
      </c>
      <c r="F87" s="16" t="inlineStr">
        <is>
          <t>EW</t>
        </is>
      </c>
      <c r="G87" s="15" t="n"/>
      <c r="H87" s="15" t="n"/>
      <c r="I87" s="15" t="n"/>
      <c r="J87" s="15" t="n"/>
      <c r="K87" s="15" t="n"/>
      <c r="L87" s="15" t="n"/>
    </row>
    <row r="88">
      <c r="B88" s="11" t="n">
        <v>2</v>
      </c>
      <c r="C88" s="11" t="n">
        <v>10</v>
      </c>
      <c r="D88" s="11" t="n">
        <v>6</v>
      </c>
      <c r="E88" s="11" t="n">
        <v>1</v>
      </c>
      <c r="F88" s="11" t="inlineStr">
        <is>
          <t>None</t>
        </is>
      </c>
    </row>
    <row r="89">
      <c r="B89" s="16" t="n"/>
      <c r="C89" s="16" t="n"/>
      <c r="D89" s="16" t="n"/>
      <c r="E89" s="16" t="n">
        <v>2</v>
      </c>
      <c r="F89" s="16" t="inlineStr">
        <is>
          <t>NS</t>
        </is>
      </c>
      <c r="G89" s="15" t="n"/>
      <c r="H89" s="15" t="n"/>
      <c r="I89" s="15" t="n"/>
      <c r="J89" s="15" t="n"/>
      <c r="K89" s="15" t="n"/>
      <c r="L89" s="15" t="n"/>
    </row>
    <row r="90">
      <c r="B90" s="11" t="n">
        <v>3</v>
      </c>
      <c r="C90" s="11" t="n">
        <v>4</v>
      </c>
      <c r="D90" s="11" t="n">
        <v>3</v>
      </c>
      <c r="E90" s="11" t="n">
        <v>3</v>
      </c>
      <c r="F90" s="11" t="inlineStr">
        <is>
          <t>EW</t>
        </is>
      </c>
    </row>
    <row r="91">
      <c r="B91" s="16" t="n"/>
      <c r="C91" s="16" t="n"/>
      <c r="D91" s="16" t="n"/>
      <c r="E91" s="16" t="n">
        <v>4</v>
      </c>
      <c r="F91" s="16" t="inlineStr">
        <is>
          <t>Both</t>
        </is>
      </c>
      <c r="G91" s="15" t="n"/>
      <c r="H91" s="15" t="n"/>
      <c r="I91" s="15" t="n"/>
      <c r="J91" s="15" t="n"/>
      <c r="K91" s="15" t="n"/>
      <c r="L91" s="15" t="n"/>
    </row>
    <row r="92">
      <c r="B92" s="11" t="n">
        <v>4</v>
      </c>
      <c r="C92" s="11" t="n">
        <v>1</v>
      </c>
      <c r="D92" s="11" t="n">
        <v>7</v>
      </c>
      <c r="E92" s="11" t="n">
        <v>7</v>
      </c>
      <c r="F92" s="11" t="inlineStr">
        <is>
          <t>Both</t>
        </is>
      </c>
    </row>
    <row r="93">
      <c r="B93" s="16" t="n"/>
      <c r="C93" s="16" t="n"/>
      <c r="D93" s="16" t="n"/>
      <c r="E93" s="16" t="n">
        <v>8</v>
      </c>
      <c r="F93" s="16" t="inlineStr">
        <is>
          <t>None</t>
        </is>
      </c>
      <c r="G93" s="15" t="n"/>
      <c r="H93" s="15" t="n"/>
      <c r="I93" s="15" t="n"/>
      <c r="J93" s="15" t="n"/>
      <c r="K93" s="15" t="n"/>
      <c r="L93" s="15" t="n"/>
    </row>
    <row r="94">
      <c r="B94" s="11" t="n">
        <v>5</v>
      </c>
      <c r="C94" s="11" t="n">
        <v>11</v>
      </c>
      <c r="D94" s="11" t="n">
        <v>9</v>
      </c>
      <c r="E94" s="11" t="n">
        <v>9</v>
      </c>
      <c r="F94" s="11" t="inlineStr">
        <is>
          <t>EW</t>
        </is>
      </c>
    </row>
    <row r="95">
      <c r="B95" s="16" t="n"/>
      <c r="C95" s="16" t="n"/>
      <c r="D95" s="16" t="n"/>
      <c r="E95" s="16" t="n">
        <v>10</v>
      </c>
      <c r="F95" s="16" t="inlineStr">
        <is>
          <t>Both</t>
        </is>
      </c>
      <c r="G95" s="15" t="n"/>
      <c r="H95" s="15" t="n"/>
      <c r="I95" s="15" t="n"/>
      <c r="J95" s="15" t="n"/>
      <c r="K95" s="15" t="n"/>
      <c r="L95" s="15" t="n"/>
    </row>
    <row r="96">
      <c r="B96" s="11" t="n">
        <v>6</v>
      </c>
      <c r="C96" s="11" t="n">
        <v>5</v>
      </c>
      <c r="D96" s="11" t="n">
        <v>2</v>
      </c>
      <c r="E96" s="11" t="n">
        <v>11</v>
      </c>
      <c r="F96" s="11" t="inlineStr">
        <is>
          <t>None</t>
        </is>
      </c>
    </row>
    <row r="97">
      <c r="A97" s="15" t="n"/>
      <c r="B97" s="16" t="n"/>
      <c r="C97" s="16" t="n"/>
      <c r="D97" s="16" t="n"/>
      <c r="E97" s="16" t="n">
        <v>12</v>
      </c>
      <c r="F97" s="16" t="inlineStr">
        <is>
          <t>NS</t>
        </is>
      </c>
      <c r="G97" s="15" t="n"/>
      <c r="H97" s="15" t="n"/>
      <c r="I97" s="15" t="n"/>
      <c r="J97" s="15" t="n"/>
      <c r="K97" s="15" t="n"/>
      <c r="L97" s="15" t="n"/>
    </row>
    <row r="98">
      <c r="A98" s="11" t="n">
        <v>9</v>
      </c>
      <c r="B98" s="11" t="n">
        <v>1</v>
      </c>
      <c r="C98" s="11" t="n">
        <v>12</v>
      </c>
      <c r="D98" s="11" t="n">
        <v>9</v>
      </c>
      <c r="E98" s="11" t="n">
        <v>17</v>
      </c>
      <c r="F98" s="11" t="inlineStr">
        <is>
          <t>None</t>
        </is>
      </c>
    </row>
    <row r="99">
      <c r="B99" s="16" t="n"/>
      <c r="C99" s="16" t="n"/>
      <c r="D99" s="16" t="n"/>
      <c r="E99" s="16" t="n">
        <v>18</v>
      </c>
      <c r="F99" s="16" t="inlineStr">
        <is>
          <t>NS</t>
        </is>
      </c>
      <c r="G99" s="15" t="n"/>
      <c r="H99" s="15" t="n"/>
      <c r="I99" s="15" t="n"/>
      <c r="J99" s="15" t="n"/>
      <c r="K99" s="15" t="n"/>
      <c r="L99" s="15" t="n"/>
    </row>
    <row r="100">
      <c r="B100" s="11" t="n">
        <v>2</v>
      </c>
      <c r="C100" s="11" t="n">
        <v>11</v>
      </c>
      <c r="D100" s="11" t="n">
        <v>7</v>
      </c>
      <c r="E100" s="11" t="n">
        <v>3</v>
      </c>
      <c r="F100" s="11" t="inlineStr">
        <is>
          <t>EW</t>
        </is>
      </c>
    </row>
    <row r="101">
      <c r="B101" s="16" t="n"/>
      <c r="C101" s="16" t="n"/>
      <c r="D101" s="16" t="n"/>
      <c r="E101" s="16" t="n">
        <v>4</v>
      </c>
      <c r="F101" s="16" t="inlineStr">
        <is>
          <t>Both</t>
        </is>
      </c>
      <c r="G101" s="15" t="n"/>
      <c r="H101" s="15" t="n"/>
      <c r="I101" s="15" t="n"/>
      <c r="J101" s="15" t="n"/>
      <c r="K101" s="15" t="n"/>
      <c r="L101" s="15" t="n"/>
    </row>
    <row r="102">
      <c r="B102" s="11" t="n">
        <v>3</v>
      </c>
      <c r="C102" s="11" t="n">
        <v>5</v>
      </c>
      <c r="D102" s="11" t="n">
        <v>4</v>
      </c>
      <c r="E102" s="11" t="n">
        <v>5</v>
      </c>
      <c r="F102" s="11" t="inlineStr">
        <is>
          <t>NS</t>
        </is>
      </c>
    </row>
    <row r="103">
      <c r="B103" s="16" t="n"/>
      <c r="C103" s="16" t="n"/>
      <c r="D103" s="16" t="n"/>
      <c r="E103" s="16" t="n">
        <v>6</v>
      </c>
      <c r="F103" s="16" t="inlineStr">
        <is>
          <t>EW</t>
        </is>
      </c>
      <c r="G103" s="15" t="n"/>
      <c r="H103" s="15" t="n"/>
      <c r="I103" s="15" t="n"/>
      <c r="J103" s="15" t="n"/>
      <c r="K103" s="15" t="n"/>
      <c r="L103" s="15" t="n"/>
    </row>
    <row r="104">
      <c r="B104" s="11" t="n">
        <v>4</v>
      </c>
      <c r="C104" s="11" t="n">
        <v>2</v>
      </c>
      <c r="D104" s="11" t="n">
        <v>8</v>
      </c>
      <c r="E104" s="11" t="n">
        <v>9</v>
      </c>
      <c r="F104" s="11" t="inlineStr">
        <is>
          <t>EW</t>
        </is>
      </c>
    </row>
    <row r="105">
      <c r="B105" s="16" t="n"/>
      <c r="C105" s="16" t="n"/>
      <c r="D105" s="16" t="n"/>
      <c r="E105" s="16" t="n">
        <v>10</v>
      </c>
      <c r="F105" s="16" t="inlineStr">
        <is>
          <t>Both</t>
        </is>
      </c>
      <c r="G105" s="15" t="n"/>
      <c r="H105" s="15" t="n"/>
      <c r="I105" s="15" t="n"/>
      <c r="J105" s="15" t="n"/>
      <c r="K105" s="15" t="n"/>
      <c r="L105" s="15" t="n"/>
    </row>
    <row r="106">
      <c r="B106" s="11" t="n">
        <v>5</v>
      </c>
      <c r="C106" s="11" t="n">
        <v>1</v>
      </c>
      <c r="D106" s="11" t="n">
        <v>10</v>
      </c>
      <c r="E106" s="11" t="n">
        <v>11</v>
      </c>
      <c r="F106" s="11" t="inlineStr">
        <is>
          <t>None</t>
        </is>
      </c>
    </row>
    <row r="107">
      <c r="B107" s="16" t="n"/>
      <c r="C107" s="16" t="n"/>
      <c r="D107" s="16" t="n"/>
      <c r="E107" s="16" t="n">
        <v>12</v>
      </c>
      <c r="F107" s="16" t="inlineStr">
        <is>
          <t>NS</t>
        </is>
      </c>
      <c r="G107" s="15" t="n"/>
      <c r="H107" s="15" t="n"/>
      <c r="I107" s="15" t="n"/>
      <c r="J107" s="15" t="n"/>
      <c r="K107" s="15" t="n"/>
      <c r="L107" s="15" t="n"/>
    </row>
    <row r="108">
      <c r="B108" s="11" t="n">
        <v>6</v>
      </c>
      <c r="C108" s="11" t="n">
        <v>6</v>
      </c>
      <c r="D108" s="11" t="n">
        <v>3</v>
      </c>
      <c r="E108" s="11" t="n">
        <v>13</v>
      </c>
      <c r="F108" s="11" t="inlineStr">
        <is>
          <t>Both</t>
        </is>
      </c>
    </row>
    <row r="109">
      <c r="A109" s="15" t="n"/>
      <c r="B109" s="16" t="n"/>
      <c r="C109" s="16" t="n"/>
      <c r="D109" s="16" t="n"/>
      <c r="E109" s="16" t="n">
        <v>14</v>
      </c>
      <c r="F109" s="16" t="inlineStr">
        <is>
          <t>None</t>
        </is>
      </c>
      <c r="G109" s="15" t="n"/>
      <c r="H109" s="15" t="n"/>
      <c r="I109" s="15" t="n"/>
      <c r="J109" s="15" t="n"/>
      <c r="K109" s="15" t="n"/>
      <c r="L109" s="15" t="n"/>
    </row>
    <row r="110">
      <c r="A110" s="11" t="n">
        <v>10</v>
      </c>
      <c r="B110" s="11" t="n">
        <v>1</v>
      </c>
      <c r="C110" s="11" t="n">
        <v>12</v>
      </c>
      <c r="D110" s="11" t="n">
        <v>10</v>
      </c>
      <c r="E110" s="11" t="n">
        <v>19</v>
      </c>
      <c r="F110" s="11" t="inlineStr">
        <is>
          <t>EW</t>
        </is>
      </c>
    </row>
    <row r="111">
      <c r="B111" s="16" t="n"/>
      <c r="C111" s="16" t="n"/>
      <c r="D111" s="16" t="n"/>
      <c r="E111" s="16" t="n">
        <v>20</v>
      </c>
      <c r="F111" s="16" t="inlineStr">
        <is>
          <t>Both</t>
        </is>
      </c>
      <c r="G111" s="15" t="n"/>
      <c r="H111" s="15" t="n"/>
      <c r="I111" s="15" t="n"/>
      <c r="J111" s="15" t="n"/>
      <c r="K111" s="15" t="n"/>
      <c r="L111" s="15" t="n"/>
    </row>
    <row r="112">
      <c r="B112" s="11" t="n">
        <v>2</v>
      </c>
      <c r="C112" s="11" t="n">
        <v>1</v>
      </c>
      <c r="D112" s="11" t="n">
        <v>8</v>
      </c>
      <c r="E112" s="11" t="n">
        <v>5</v>
      </c>
      <c r="F112" s="11" t="inlineStr">
        <is>
          <t>NS</t>
        </is>
      </c>
    </row>
    <row r="113">
      <c r="B113" s="16" t="n"/>
      <c r="C113" s="16" t="n"/>
      <c r="D113" s="16" t="n"/>
      <c r="E113" s="16" t="n">
        <v>6</v>
      </c>
      <c r="F113" s="16" t="inlineStr">
        <is>
          <t>EW</t>
        </is>
      </c>
      <c r="G113" s="15" t="n"/>
      <c r="H113" s="15" t="n"/>
      <c r="I113" s="15" t="n"/>
      <c r="J113" s="15" t="n"/>
      <c r="K113" s="15" t="n"/>
      <c r="L113" s="15" t="n"/>
    </row>
    <row r="114">
      <c r="B114" s="11" t="n">
        <v>3</v>
      </c>
      <c r="C114" s="11" t="n">
        <v>6</v>
      </c>
      <c r="D114" s="11" t="n">
        <v>5</v>
      </c>
      <c r="E114" s="11" t="n">
        <v>7</v>
      </c>
      <c r="F114" s="11" t="inlineStr">
        <is>
          <t>Both</t>
        </is>
      </c>
    </row>
    <row r="115">
      <c r="B115" s="16" t="n"/>
      <c r="C115" s="16" t="n"/>
      <c r="D115" s="16" t="n"/>
      <c r="E115" s="16" t="n">
        <v>8</v>
      </c>
      <c r="F115" s="16" t="inlineStr">
        <is>
          <t>None</t>
        </is>
      </c>
      <c r="G115" s="15" t="n"/>
      <c r="H115" s="15" t="n"/>
      <c r="I115" s="15" t="n"/>
      <c r="J115" s="15" t="n"/>
      <c r="K115" s="15" t="n"/>
      <c r="L115" s="15" t="n"/>
    </row>
    <row r="116">
      <c r="B116" s="11" t="n">
        <v>4</v>
      </c>
      <c r="C116" s="11" t="n">
        <v>3</v>
      </c>
      <c r="D116" s="11" t="n">
        <v>9</v>
      </c>
      <c r="E116" s="11" t="n">
        <v>11</v>
      </c>
      <c r="F116" s="11" t="inlineStr">
        <is>
          <t>None</t>
        </is>
      </c>
    </row>
    <row r="117">
      <c r="B117" s="16" t="n"/>
      <c r="C117" s="16" t="n"/>
      <c r="D117" s="16" t="n"/>
      <c r="E117" s="16" t="n">
        <v>12</v>
      </c>
      <c r="F117" s="16" t="inlineStr">
        <is>
          <t>NS</t>
        </is>
      </c>
      <c r="G117" s="15" t="n"/>
      <c r="H117" s="15" t="n"/>
      <c r="I117" s="15" t="n"/>
      <c r="J117" s="15" t="n"/>
      <c r="K117" s="15" t="n"/>
      <c r="L117" s="15" t="n"/>
    </row>
    <row r="118">
      <c r="B118" s="11" t="n">
        <v>5</v>
      </c>
      <c r="C118" s="11" t="n">
        <v>2</v>
      </c>
      <c r="D118" s="11" t="n">
        <v>11</v>
      </c>
      <c r="E118" s="11" t="n">
        <v>13</v>
      </c>
      <c r="F118" s="11" t="inlineStr">
        <is>
          <t>Both</t>
        </is>
      </c>
    </row>
    <row r="119">
      <c r="B119" s="16" t="n"/>
      <c r="C119" s="16" t="n"/>
      <c r="D119" s="16" t="n"/>
      <c r="E119" s="16" t="n">
        <v>14</v>
      </c>
      <c r="F119" s="16" t="inlineStr">
        <is>
          <t>None</t>
        </is>
      </c>
      <c r="G119" s="15" t="n"/>
      <c r="H119" s="15" t="n"/>
      <c r="I119" s="15" t="n"/>
      <c r="J119" s="15" t="n"/>
      <c r="K119" s="15" t="n"/>
      <c r="L119" s="15" t="n"/>
    </row>
    <row r="120">
      <c r="B120" s="11" t="n">
        <v>6</v>
      </c>
      <c r="C120" s="11" t="n">
        <v>7</v>
      </c>
      <c r="D120" s="11" t="n">
        <v>4</v>
      </c>
      <c r="E120" s="11" t="n">
        <v>15</v>
      </c>
      <c r="F120" s="11" t="inlineStr">
        <is>
          <t>NS</t>
        </is>
      </c>
    </row>
    <row r="121">
      <c r="A121" s="15" t="n"/>
      <c r="B121" s="16" t="n"/>
      <c r="C121" s="16" t="n"/>
      <c r="D121" s="16" t="n"/>
      <c r="E121" s="16" t="n">
        <v>16</v>
      </c>
      <c r="F121" s="16" t="inlineStr">
        <is>
          <t>EW</t>
        </is>
      </c>
      <c r="G121" s="15" t="n"/>
      <c r="H121" s="15" t="n"/>
      <c r="I121" s="15" t="n"/>
      <c r="J121" s="15" t="n"/>
      <c r="K121" s="15" t="n"/>
      <c r="L121" s="15" t="n"/>
    </row>
    <row r="122">
      <c r="A122" s="11" t="n">
        <v>11</v>
      </c>
      <c r="B122" s="11" t="n">
        <v>1</v>
      </c>
      <c r="C122" s="11" t="n">
        <v>12</v>
      </c>
      <c r="D122" s="11" t="n">
        <v>11</v>
      </c>
      <c r="E122" s="11" t="n">
        <v>21</v>
      </c>
      <c r="F122" s="11" t="inlineStr">
        <is>
          <t>NS</t>
        </is>
      </c>
    </row>
    <row r="123">
      <c r="B123" s="16" t="n"/>
      <c r="C123" s="16" t="n"/>
      <c r="D123" s="16" t="n"/>
      <c r="E123" s="16" t="n">
        <v>22</v>
      </c>
      <c r="F123" s="16" t="inlineStr">
        <is>
          <t>EW</t>
        </is>
      </c>
      <c r="G123" s="15" t="n"/>
      <c r="H123" s="15" t="n"/>
      <c r="I123" s="15" t="n"/>
      <c r="J123" s="15" t="n"/>
      <c r="K123" s="15" t="n"/>
      <c r="L123" s="15" t="n"/>
    </row>
    <row r="124">
      <c r="B124" s="11" t="n">
        <v>2</v>
      </c>
      <c r="C124" s="11" t="n">
        <v>2</v>
      </c>
      <c r="D124" s="11" t="n">
        <v>9</v>
      </c>
      <c r="E124" s="11" t="n">
        <v>7</v>
      </c>
      <c r="F124" s="11" t="inlineStr">
        <is>
          <t>Both</t>
        </is>
      </c>
    </row>
    <row r="125">
      <c r="B125" s="16" t="n"/>
      <c r="C125" s="16" t="n"/>
      <c r="D125" s="16" t="n"/>
      <c r="E125" s="16" t="n">
        <v>8</v>
      </c>
      <c r="F125" s="16" t="inlineStr">
        <is>
          <t>None</t>
        </is>
      </c>
      <c r="G125" s="15" t="n"/>
      <c r="H125" s="15" t="n"/>
      <c r="I125" s="15" t="n"/>
      <c r="J125" s="15" t="n"/>
      <c r="K125" s="15" t="n"/>
      <c r="L125" s="15" t="n"/>
    </row>
    <row r="126">
      <c r="B126" s="11" t="n">
        <v>3</v>
      </c>
      <c r="C126" s="11" t="n">
        <v>7</v>
      </c>
      <c r="D126" s="11" t="n">
        <v>6</v>
      </c>
      <c r="E126" s="11" t="n">
        <v>9</v>
      </c>
      <c r="F126" s="11" t="inlineStr">
        <is>
          <t>EW</t>
        </is>
      </c>
    </row>
    <row r="127">
      <c r="B127" s="16" t="n"/>
      <c r="C127" s="16" t="n"/>
      <c r="D127" s="16" t="n"/>
      <c r="E127" s="16" t="n">
        <v>10</v>
      </c>
      <c r="F127" s="16" t="inlineStr">
        <is>
          <t>Both</t>
        </is>
      </c>
      <c r="G127" s="15" t="n"/>
      <c r="H127" s="15" t="n"/>
      <c r="I127" s="15" t="n"/>
      <c r="J127" s="15" t="n"/>
      <c r="K127" s="15" t="n"/>
      <c r="L127" s="15" t="n"/>
    </row>
    <row r="128">
      <c r="B128" s="11" t="n">
        <v>4</v>
      </c>
      <c r="C128" s="11" t="n">
        <v>4</v>
      </c>
      <c r="D128" s="11" t="n">
        <v>10</v>
      </c>
      <c r="E128" s="11" t="n">
        <v>13</v>
      </c>
      <c r="F128" s="11" t="inlineStr">
        <is>
          <t>Both</t>
        </is>
      </c>
    </row>
    <row r="129">
      <c r="B129" s="16" t="n"/>
      <c r="C129" s="16" t="n"/>
      <c r="D129" s="16" t="n"/>
      <c r="E129" s="16" t="n">
        <v>14</v>
      </c>
      <c r="F129" s="16" t="inlineStr">
        <is>
          <t>None</t>
        </is>
      </c>
      <c r="G129" s="15" t="n"/>
      <c r="H129" s="15" t="n"/>
      <c r="I129" s="15" t="n"/>
      <c r="J129" s="15" t="n"/>
      <c r="K129" s="15" t="n"/>
      <c r="L129" s="15" t="n"/>
    </row>
    <row r="130">
      <c r="B130" s="11" t="n">
        <v>5</v>
      </c>
      <c r="C130" s="11" t="n">
        <v>3</v>
      </c>
      <c r="D130" s="11" t="n">
        <v>1</v>
      </c>
      <c r="E130" s="11" t="n">
        <v>15</v>
      </c>
      <c r="F130" s="11" t="inlineStr">
        <is>
          <t>NS</t>
        </is>
      </c>
    </row>
    <row r="131">
      <c r="B131" s="16" t="n"/>
      <c r="C131" s="16" t="n"/>
      <c r="D131" s="16" t="n"/>
      <c r="E131" s="16" t="n">
        <v>16</v>
      </c>
      <c r="F131" s="16" t="inlineStr">
        <is>
          <t>EW</t>
        </is>
      </c>
      <c r="G131" s="15" t="n"/>
      <c r="H131" s="15" t="n"/>
      <c r="I131" s="15" t="n"/>
      <c r="J131" s="15" t="n"/>
      <c r="K131" s="15" t="n"/>
      <c r="L131" s="15" t="n"/>
    </row>
    <row r="132">
      <c r="B132" s="11" t="n">
        <v>6</v>
      </c>
      <c r="C132" s="11" t="n">
        <v>8</v>
      </c>
      <c r="D132" s="11" t="n">
        <v>5</v>
      </c>
      <c r="E132" s="11" t="n">
        <v>17</v>
      </c>
      <c r="F132" s="11" t="inlineStr">
        <is>
          <t>None</t>
        </is>
      </c>
    </row>
    <row r="133">
      <c r="A133" s="15" t="n"/>
      <c r="B133" s="16" t="n"/>
      <c r="C133" s="16" t="n"/>
      <c r="D133" s="16" t="n"/>
      <c r="E133" s="16" t="n">
        <v>18</v>
      </c>
      <c r="F133" s="16" t="inlineStr">
        <is>
          <t>NS</t>
        </is>
      </c>
      <c r="G133" s="15" t="n"/>
      <c r="H133" s="15" t="n"/>
      <c r="I133" s="15" t="n"/>
      <c r="J133" s="15" t="n"/>
      <c r="K133" s="15" t="n"/>
      <c r="L133" s="15" t="n"/>
    </row>
  </sheetData>
  <mergeCells count="1">
    <mergeCell ref="L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2026-02-06T18:15:15Z</dcterms:created>
  <dcterms:modified xsi:type="dcterms:W3CDTF">2026-02-06T18:15:15Z</dcterms:modified>
</cp:coreProperties>
</file>