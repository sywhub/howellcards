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05,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50</t>
        </is>
      </c>
      <c r="C10" t="inlineStr">
        <is>
          <t>Name 43</t>
        </is>
      </c>
      <c r="D10" s="4">
        <f>SUMIF('By Board'!$D$3:$D$134,"=1",'By Board'!$N$3:$N$134)/22+SUMIF('By Board'!$E$3:$E$134,"=1",'By Board'!$O$3:$O$134)/22</f>
        <v/>
      </c>
      <c r="E10" s="5">
        <f>SUMIF('By Board'!$D$3:$D$134,"=1",'By Board'!$L$3:$L$134)+SUMIF('By Board'!$E$3:$E$134,"=1",'By Board'!$M$3:$M$134)</f>
        <v/>
      </c>
    </row>
    <row r="11">
      <c r="A11" s="2" t="n">
        <v>2</v>
      </c>
      <c r="B11" t="inlineStr">
        <is>
          <t>Name 67</t>
        </is>
      </c>
      <c r="C11" t="inlineStr">
        <is>
          <t>Name 12</t>
        </is>
      </c>
      <c r="D11" s="4">
        <f>SUMIF('By Board'!$D$3:$D$134,"=2",'By Board'!$N$3:$N$134)/22+SUMIF('By Board'!$E$3:$E$134,"=2",'By Board'!$O$3:$O$134)/22</f>
        <v/>
      </c>
      <c r="E11" s="5">
        <f>SUMIF('By Board'!$D$3:$D$134,"=2",'By Board'!$L$3:$L$134)+SUMIF('By Board'!$E$3:$E$134,"=2",'By Board'!$M$3:$M$134)</f>
        <v/>
      </c>
    </row>
    <row r="12">
      <c r="A12" s="2" t="n">
        <v>3</v>
      </c>
      <c r="B12" t="inlineStr">
        <is>
          <t>Name 90</t>
        </is>
      </c>
      <c r="C12" t="inlineStr">
        <is>
          <t>Name 22</t>
        </is>
      </c>
      <c r="D12" s="4">
        <f>SUMIF('By Board'!$D$3:$D$134,"=3",'By Board'!$N$3:$N$134)/22+SUMIF('By Board'!$E$3:$E$134,"=3",'By Board'!$O$3:$O$134)/22</f>
        <v/>
      </c>
      <c r="E12" s="5">
        <f>SUMIF('By Board'!$D$3:$D$134,"=3",'By Board'!$L$3:$L$134)+SUMIF('By Board'!$E$3:$E$134,"=3",'By Board'!$M$3:$M$134)</f>
        <v/>
      </c>
    </row>
    <row r="13">
      <c r="A13" s="2" t="n">
        <v>4</v>
      </c>
      <c r="B13" t="inlineStr">
        <is>
          <t>Name 61</t>
        </is>
      </c>
      <c r="C13" t="inlineStr">
        <is>
          <t>Name 80</t>
        </is>
      </c>
      <c r="D13" s="4">
        <f>SUMIF('By Board'!$D$3:$D$134,"=4",'By Board'!$N$3:$N$134)/22+SUMIF('By Board'!$E$3:$E$134,"=4",'By Board'!$O$3:$O$134)/22</f>
        <v/>
      </c>
      <c r="E13" s="5">
        <f>SUMIF('By Board'!$D$3:$D$134,"=4",'By Board'!$L$3:$L$134)+SUMIF('By Board'!$E$3:$E$134,"=4",'By Board'!$M$3:$M$134)</f>
        <v/>
      </c>
    </row>
    <row r="14">
      <c r="A14" s="2" t="n">
        <v>5</v>
      </c>
      <c r="B14" t="inlineStr">
        <is>
          <t>Name 43</t>
        </is>
      </c>
      <c r="C14" t="inlineStr">
        <is>
          <t>Name 57</t>
        </is>
      </c>
      <c r="D14" s="4">
        <f>SUMIF('By Board'!$D$3:$D$134,"=5",'By Board'!$N$3:$N$134)/22+SUMIF('By Board'!$E$3:$E$134,"=5",'By Board'!$O$3:$O$134)/22</f>
        <v/>
      </c>
      <c r="E14" s="5">
        <f>SUMIF('By Board'!$D$3:$D$134,"=5",'By Board'!$L$3:$L$134)+SUMIF('By Board'!$E$3:$E$134,"=5",'By Board'!$M$3:$M$134)</f>
        <v/>
      </c>
    </row>
    <row r="15">
      <c r="A15" s="2" t="n">
        <v>6</v>
      </c>
      <c r="B15" t="inlineStr">
        <is>
          <t>Name 38</t>
        </is>
      </c>
      <c r="C15" t="inlineStr">
        <is>
          <t>Name 72</t>
        </is>
      </c>
      <c r="D15" s="4">
        <f>SUMIF('By Board'!$D$3:$D$134,"=6",'By Board'!$N$3:$N$134)/22+SUMIF('By Board'!$E$3:$E$134,"=6",'By Board'!$O$3:$O$134)/22</f>
        <v/>
      </c>
      <c r="E15" s="5">
        <f>SUMIF('By Board'!$D$3:$D$134,"=6",'By Board'!$L$3:$L$134)+SUMIF('By Board'!$E$3:$E$134,"=6",'By Board'!$M$3:$M$134)</f>
        <v/>
      </c>
    </row>
    <row r="16">
      <c r="A16" s="2" t="n">
        <v>7</v>
      </c>
      <c r="B16" t="inlineStr">
        <is>
          <t>Name 51</t>
        </is>
      </c>
      <c r="C16" t="inlineStr">
        <is>
          <t>Name 56</t>
        </is>
      </c>
      <c r="D16" s="4">
        <f>SUMIF('By Board'!$D$3:$D$134,"=7",'By Board'!$N$3:$N$134)/22+SUMIF('By Board'!$E$3:$E$134,"=7",'By Board'!$O$3:$O$134)/22</f>
        <v/>
      </c>
      <c r="E16" s="5">
        <f>SUMIF('By Board'!$D$3:$D$134,"=7",'By Board'!$L$3:$L$134)+SUMIF('By Board'!$E$3:$E$134,"=7",'By Board'!$M$3:$M$134)</f>
        <v/>
      </c>
    </row>
    <row r="17">
      <c r="A17" s="2" t="n">
        <v>8</v>
      </c>
      <c r="B17" t="inlineStr">
        <is>
          <t>Name 14</t>
        </is>
      </c>
      <c r="C17" t="inlineStr">
        <is>
          <t>Name 19</t>
        </is>
      </c>
      <c r="D17" s="4">
        <f>SUMIF('By Board'!$D$3:$D$134,"=8",'By Board'!$N$3:$N$134)/22+SUMIF('By Board'!$E$3:$E$134,"=8",'By Board'!$O$3:$O$134)/22</f>
        <v/>
      </c>
      <c r="E17" s="5">
        <f>SUMIF('By Board'!$D$3:$D$134,"=8",'By Board'!$L$3:$L$134)+SUMIF('By Board'!$E$3:$E$134,"=8",'By Board'!$M$3:$M$134)</f>
        <v/>
      </c>
    </row>
    <row r="18">
      <c r="A18" s="2" t="n">
        <v>9</v>
      </c>
      <c r="B18" t="inlineStr">
        <is>
          <t>Name 88</t>
        </is>
      </c>
      <c r="C18" t="inlineStr">
        <is>
          <t>Name 50</t>
        </is>
      </c>
      <c r="D18" s="4">
        <f>SUMIF('By Board'!$D$3:$D$134,"=9",'By Board'!$N$3:$N$134)/22+SUMIF('By Board'!$E$3:$E$134,"=9",'By Board'!$O$3:$O$134)/22</f>
        <v/>
      </c>
      <c r="E18" s="5">
        <f>SUMIF('By Board'!$D$3:$D$134,"=9",'By Board'!$L$3:$L$134)+SUMIF('By Board'!$E$3:$E$134,"=9",'By Board'!$M$3:$M$134)</f>
        <v/>
      </c>
    </row>
    <row r="19">
      <c r="A19" s="2" t="n">
        <v>10</v>
      </c>
      <c r="B19" t="inlineStr">
        <is>
          <t>Name 31</t>
        </is>
      </c>
      <c r="C19" t="inlineStr">
        <is>
          <t>Name 35</t>
        </is>
      </c>
      <c r="D19" s="4">
        <f>SUMIF('By Board'!$D$3:$D$134,"=10",'By Board'!$N$3:$N$134)/22+SUMIF('By Board'!$E$3:$E$134,"=10",'By Board'!$O$3:$O$134)/22</f>
        <v/>
      </c>
      <c r="E19" s="5">
        <f>SUMIF('By Board'!$D$3:$D$134,"=10",'By Board'!$L$3:$L$134)+SUMIF('By Board'!$E$3:$E$134,"=10",'By Board'!$M$3:$M$134)</f>
        <v/>
      </c>
    </row>
    <row r="20">
      <c r="A20" s="2" t="n">
        <v>11</v>
      </c>
      <c r="B20" t="inlineStr">
        <is>
          <t>Name 90</t>
        </is>
      </c>
      <c r="C20" t="inlineStr">
        <is>
          <t>Name 42</t>
        </is>
      </c>
      <c r="D20" s="4">
        <f>SUMIF('By Board'!$D$3:$D$134,"=11",'By Board'!$N$3:$N$134)/22+SUMIF('By Board'!$E$3:$E$134,"=11",'By Board'!$O$3:$O$134)/22</f>
        <v/>
      </c>
      <c r="E20" s="5">
        <f>SUMIF('By Board'!$D$3:$D$134,"=11",'By Board'!$L$3:$L$134)+SUMIF('By Board'!$E$3:$E$134,"=11",'By Board'!$M$3:$M$134)</f>
        <v/>
      </c>
    </row>
    <row r="21">
      <c r="A21" s="2" t="n">
        <v>12</v>
      </c>
      <c r="B21" t="inlineStr">
        <is>
          <t>Name 66</t>
        </is>
      </c>
      <c r="C21" t="inlineStr">
        <is>
          <t>Name 21</t>
        </is>
      </c>
      <c r="D21" s="4">
        <f>SUMIF('By Board'!$D$3:$D$134,"=12",'By Board'!$N$3:$N$134)/22+0/22</f>
        <v/>
      </c>
      <c r="E21" s="5">
        <f>SUMIF('By Board'!$D$3:$D$134,"=12",'By Board'!$L$3:$L$134)+0</f>
        <v/>
      </c>
    </row>
    <row r="22">
      <c r="D22" s="6">
        <f>AVERAGE(D10:D21)</f>
        <v/>
      </c>
      <c r="E22" s="7">
        <f>SUM(E10:E21)</f>
        <v/>
      </c>
    </row>
    <row r="24">
      <c r="A24" t="inlineStr">
        <is>
          <t>To sort, remove single quote below</t>
        </is>
      </c>
    </row>
    <row r="25">
      <c r="A25" s="2" t="inlineStr">
        <is>
          <t>IMP Ranking</t>
        </is>
      </c>
    </row>
    <row r="26">
      <c r="A26" t="inlineStr">
        <is>
          <t>'=SORT(A10:E21,4,-1)</t>
        </is>
      </c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42">
      <c r="A42" s="2" t="inlineStr">
        <is>
          <t>MP Ranking</t>
        </is>
      </c>
    </row>
    <row r="43">
      <c r="A43" t="inlineStr">
        <is>
          <t>'=SORT(A10:E21,5,-1)</t>
        </is>
      </c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</sheetData>
  <mergeCells count="9">
    <mergeCell ref="A4:B4"/>
    <mergeCell ref="A7:B7"/>
    <mergeCell ref="A2:E2"/>
    <mergeCell ref="A25:E25"/>
    <mergeCell ref="A42:E4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>
        <f>'By Round'!A27</f>
        <v/>
      </c>
      <c r="C4">
        <f>'By Round'!B37</f>
        <v/>
      </c>
      <c r="D4">
        <f>'By Round'!C37</f>
        <v/>
      </c>
      <c r="E4">
        <f>'By Round'!D37</f>
        <v/>
      </c>
      <c r="F4" s="11" t="inlineStr">
        <is>
          <t>None</t>
        </is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>
        <f>'By Round'!A39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>
        <f>'By Round'!A51</f>
        <v/>
      </c>
      <c r="C6">
        <f>'By Round'!B57</f>
        <v/>
      </c>
      <c r="D6">
        <f>'By Round'!C57</f>
        <v/>
      </c>
      <c r="E6">
        <f>'By Round'!D57</f>
        <v/>
      </c>
      <c r="F6" s="11" t="inlineStr">
        <is>
          <t>None</t>
        </is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>
        <f>'By Round'!A75</f>
        <v/>
      </c>
      <c r="C7">
        <f>'By Round'!B79</f>
        <v/>
      </c>
      <c r="D7">
        <f>'By Round'!C79</f>
        <v/>
      </c>
      <c r="E7">
        <f>'By Round'!D79</f>
        <v/>
      </c>
      <c r="F7" s="11" t="inlineStr">
        <is>
          <t>None</t>
        </is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5">
        <f>'By Round'!A87</f>
        <v/>
      </c>
      <c r="C8" s="15">
        <f>'By Round'!B89</f>
        <v/>
      </c>
      <c r="D8" s="15">
        <f>'By Round'!C89</f>
        <v/>
      </c>
      <c r="E8" s="15">
        <f>'By Round'!D89</f>
        <v/>
      </c>
      <c r="F8" s="16" t="inlineStr">
        <is>
          <t>None</t>
        </is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t="n">
        <v>2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NS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>
        <f>'By Round'!A27</f>
        <v/>
      </c>
      <c r="C10">
        <f>'By Round'!B37</f>
        <v/>
      </c>
      <c r="D10">
        <f>'By Round'!C37</f>
        <v/>
      </c>
      <c r="E10">
        <f>'By Round'!D37</f>
        <v/>
      </c>
      <c r="F10" s="11" t="inlineStr">
        <is>
          <t>NS</t>
        </is>
      </c>
      <c r="G10">
        <f>IF(ISBLANK('By Round'!G37),"",'By Round'!G37)</f>
        <v/>
      </c>
      <c r="H10">
        <f>IF(ISBLANK('By Round'!H37),"",'By Round'!H37)</f>
        <v/>
      </c>
      <c r="I10">
        <f>IF(ISBLANK('By Round'!I37),"",'By Round'!I37)</f>
        <v/>
      </c>
      <c r="J10">
        <f>IF(ISBLANK('By Round'!J37),"",'By Round'!J37)</f>
        <v/>
      </c>
      <c r="K10">
        <f>IF(ISBLANK('By Round'!K37),"",'By Round'!K37)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>
        <f>'By Round'!A39</f>
        <v/>
      </c>
      <c r="C11">
        <f>'By Round'!B47</f>
        <v/>
      </c>
      <c r="D11">
        <f>'By Round'!C47</f>
        <v/>
      </c>
      <c r="E11">
        <f>'By Round'!D47</f>
        <v/>
      </c>
      <c r="F11" s="11" t="inlineStr">
        <is>
          <t>NS</t>
        </is>
      </c>
      <c r="G11">
        <f>IF(ISBLANK('By Round'!G47),"",'By Round'!G47)</f>
        <v/>
      </c>
      <c r="H11">
        <f>IF(ISBLANK('By Round'!H47),"",'By Round'!H47)</f>
        <v/>
      </c>
      <c r="I11">
        <f>IF(ISBLANK('By Round'!I47),"",'By Round'!I47)</f>
        <v/>
      </c>
      <c r="J11">
        <f>IF(ISBLANK('By Round'!J47),"",'By Round'!J47)</f>
        <v/>
      </c>
      <c r="K11">
        <f>IF(ISBLANK('By Round'!K47),"",'By Round'!K47)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>
        <f>'By Round'!A51</f>
        <v/>
      </c>
      <c r="C12">
        <f>'By Round'!B57</f>
        <v/>
      </c>
      <c r="D12">
        <f>'By Round'!C57</f>
        <v/>
      </c>
      <c r="E12">
        <f>'By Round'!D57</f>
        <v/>
      </c>
      <c r="F12" s="11" t="inlineStr">
        <is>
          <t>NS</t>
        </is>
      </c>
      <c r="G12">
        <f>IF(ISBLANK('By Round'!G57),"",'By Round'!G57)</f>
        <v/>
      </c>
      <c r="H12">
        <f>IF(ISBLANK('By Round'!H57),"",'By Round'!H57)</f>
        <v/>
      </c>
      <c r="I12">
        <f>IF(ISBLANK('By Round'!I57),"",'By Round'!I57)</f>
        <v/>
      </c>
      <c r="J12">
        <f>IF(ISBLANK('By Round'!J57),"",'By Round'!J57)</f>
        <v/>
      </c>
      <c r="K12">
        <f>IF(ISBLANK('By Round'!K57),"",'By Round'!K57)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>
        <f>'By Round'!A75</f>
        <v/>
      </c>
      <c r="C13">
        <f>'By Round'!B79</f>
        <v/>
      </c>
      <c r="D13">
        <f>'By Round'!C79</f>
        <v/>
      </c>
      <c r="E13">
        <f>'By Round'!D79</f>
        <v/>
      </c>
      <c r="F13" s="11" t="inlineStr">
        <is>
          <t>NS</t>
        </is>
      </c>
      <c r="G13">
        <f>IF(ISBLANK('By Round'!G79),"",'By Round'!G79)</f>
        <v/>
      </c>
      <c r="H13">
        <f>IF(ISBLANK('By Round'!H79),"",'By Round'!H79)</f>
        <v/>
      </c>
      <c r="I13">
        <f>IF(ISBLANK('By Round'!I79),"",'By Round'!I79)</f>
        <v/>
      </c>
      <c r="J13">
        <f>IF(ISBLANK('By Round'!J79),"",'By Round'!J79)</f>
        <v/>
      </c>
      <c r="K13">
        <f>IF(ISBLANK('By Round'!K79),"",'By Round'!K79)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5">
        <f>'By Round'!A87</f>
        <v/>
      </c>
      <c r="C14" s="15">
        <f>'By Round'!B89</f>
        <v/>
      </c>
      <c r="D14" s="15">
        <f>'By Round'!C89</f>
        <v/>
      </c>
      <c r="E14" s="15">
        <f>'By Round'!D89</f>
        <v/>
      </c>
      <c r="F14" s="16" t="inlineStr">
        <is>
          <t>NS</t>
        </is>
      </c>
      <c r="G14" s="15">
        <f>IF(ISBLANK('By Round'!G89),"",'By Round'!G89)</f>
        <v/>
      </c>
      <c r="H14" s="15">
        <f>IF(ISBLANK('By Round'!H89),"",'By Round'!H89)</f>
        <v/>
      </c>
      <c r="I14" s="15">
        <f>IF(ISBLANK('By Round'!I89),"",'By Round'!I89)</f>
        <v/>
      </c>
      <c r="J14" s="15">
        <f>IF(ISBLANK('By Round'!J89),"",'By Round'!J89)</f>
        <v/>
      </c>
      <c r="K14" s="15">
        <f>IF(ISBLANK('By Round'!K89),"",'By Round'!K89)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t="n">
        <v>3</v>
      </c>
      <c r="B15">
        <f>'By Round'!A15</f>
        <v/>
      </c>
      <c r="C15">
        <f>'By Round'!B15</f>
        <v/>
      </c>
      <c r="D15">
        <f>'By Round'!C15</f>
        <v/>
      </c>
      <c r="E15">
        <f>'By Round'!D15</f>
        <v/>
      </c>
      <c r="F15" s="11" t="inlineStr">
        <is>
          <t>EW</t>
        </is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>
        <f>'By Round'!A39</f>
        <v/>
      </c>
      <c r="C16">
        <f>'By Round'!B49</f>
        <v/>
      </c>
      <c r="D16">
        <f>'By Round'!C49</f>
        <v/>
      </c>
      <c r="E16">
        <f>'By Round'!D49</f>
        <v/>
      </c>
      <c r="F16" s="11" t="inlineStr">
        <is>
          <t>EW</t>
        </is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>
        <f>'By Round'!A51</f>
        <v/>
      </c>
      <c r="C17">
        <f>'By Round'!B59</f>
        <v/>
      </c>
      <c r="D17">
        <f>'By Round'!C59</f>
        <v/>
      </c>
      <c r="E17">
        <f>'By Round'!D59</f>
        <v/>
      </c>
      <c r="F17" s="11" t="inlineStr">
        <is>
          <t>EW</t>
        </is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>
        <f>'By Round'!A63</f>
        <v/>
      </c>
      <c r="C18">
        <f>'By Round'!B69</f>
        <v/>
      </c>
      <c r="D18">
        <f>'By Round'!C69</f>
        <v/>
      </c>
      <c r="E18">
        <f>'By Round'!D69</f>
        <v/>
      </c>
      <c r="F18" s="11" t="inlineStr">
        <is>
          <t>EW</t>
        </is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>
        <f>'By Round'!A87</f>
        <v/>
      </c>
      <c r="C19">
        <f>'By Round'!B91</f>
        <v/>
      </c>
      <c r="D19">
        <f>'By Round'!C91</f>
        <v/>
      </c>
      <c r="E19">
        <f>'By Round'!D91</f>
        <v/>
      </c>
      <c r="F19" s="11" t="inlineStr">
        <is>
          <t>EW</t>
        </is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5">
        <f>'By Round'!A99</f>
        <v/>
      </c>
      <c r="C20" s="15">
        <f>'By Round'!B101</f>
        <v/>
      </c>
      <c r="D20" s="15">
        <f>'By Round'!C101</f>
        <v/>
      </c>
      <c r="E20" s="15">
        <f>'By Round'!D101</f>
        <v/>
      </c>
      <c r="F20" s="16" t="inlineStr">
        <is>
          <t>EW</t>
        </is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t="n">
        <v>4</v>
      </c>
      <c r="B21">
        <f>'By Round'!A15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>
        <f>'By Round'!A39</f>
        <v/>
      </c>
      <c r="C22">
        <f>'By Round'!B49</f>
        <v/>
      </c>
      <c r="D22">
        <f>'By Round'!C49</f>
        <v/>
      </c>
      <c r="E22">
        <f>'By Round'!D49</f>
        <v/>
      </c>
      <c r="F22" s="11" t="inlineStr">
        <is>
          <t>Both</t>
        </is>
      </c>
      <c r="G22">
        <f>IF(ISBLANK('By Round'!G49),"",'By Round'!G49)</f>
        <v/>
      </c>
      <c r="H22">
        <f>IF(ISBLANK('By Round'!H49),"",'By Round'!H49)</f>
        <v/>
      </c>
      <c r="I22">
        <f>IF(ISBLANK('By Round'!I49),"",'By Round'!I49)</f>
        <v/>
      </c>
      <c r="J22">
        <f>IF(ISBLANK('By Round'!J49),"",'By Round'!J49)</f>
        <v/>
      </c>
      <c r="K22">
        <f>IF(ISBLANK('By Round'!K49),"",'By Round'!K49)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>
        <f>'By Round'!A51</f>
        <v/>
      </c>
      <c r="C23">
        <f>'By Round'!B59</f>
        <v/>
      </c>
      <c r="D23">
        <f>'By Round'!C59</f>
        <v/>
      </c>
      <c r="E23">
        <f>'By Round'!D59</f>
        <v/>
      </c>
      <c r="F23" s="11" t="inlineStr">
        <is>
          <t>Both</t>
        </is>
      </c>
      <c r="G23">
        <f>IF(ISBLANK('By Round'!G59),"",'By Round'!G59)</f>
        <v/>
      </c>
      <c r="H23">
        <f>IF(ISBLANK('By Round'!H59),"",'By Round'!H59)</f>
        <v/>
      </c>
      <c r="I23">
        <f>IF(ISBLANK('By Round'!I59),"",'By Round'!I59)</f>
        <v/>
      </c>
      <c r="J23">
        <f>IF(ISBLANK('By Round'!J59),"",'By Round'!J59)</f>
        <v/>
      </c>
      <c r="K23">
        <f>IF(ISBLANK('By Round'!K59),"",'By Round'!K59)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>
        <f>'By Round'!A63</f>
        <v/>
      </c>
      <c r="C24">
        <f>'By Round'!B69</f>
        <v/>
      </c>
      <c r="D24">
        <f>'By Round'!C69</f>
        <v/>
      </c>
      <c r="E24">
        <f>'By Round'!D69</f>
        <v/>
      </c>
      <c r="F24" s="11" t="inlineStr">
        <is>
          <t>Both</t>
        </is>
      </c>
      <c r="G24">
        <f>IF(ISBLANK('By Round'!G69),"",'By Round'!G69)</f>
        <v/>
      </c>
      <c r="H24">
        <f>IF(ISBLANK('By Round'!H69),"",'By Round'!H69)</f>
        <v/>
      </c>
      <c r="I24">
        <f>IF(ISBLANK('By Round'!I69),"",'By Round'!I69)</f>
        <v/>
      </c>
      <c r="J24">
        <f>IF(ISBLANK('By Round'!J69),"",'By Round'!J69)</f>
        <v/>
      </c>
      <c r="K24">
        <f>IF(ISBLANK('By Round'!K69),"",'By Round'!K69)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>
        <f>'By Round'!A87</f>
        <v/>
      </c>
      <c r="C25">
        <f>'By Round'!B91</f>
        <v/>
      </c>
      <c r="D25">
        <f>'By Round'!C91</f>
        <v/>
      </c>
      <c r="E25">
        <f>'By Round'!D91</f>
        <v/>
      </c>
      <c r="F25" s="11" t="inlineStr">
        <is>
          <t>Both</t>
        </is>
      </c>
      <c r="G25">
        <f>IF(ISBLANK('By Round'!G91),"",'By Round'!G91)</f>
        <v/>
      </c>
      <c r="H25">
        <f>IF(ISBLANK('By Round'!H91),"",'By Round'!H91)</f>
        <v/>
      </c>
      <c r="I25">
        <f>IF(ISBLANK('By Round'!I91),"",'By Round'!I91)</f>
        <v/>
      </c>
      <c r="J25">
        <f>IF(ISBLANK('By Round'!J91),"",'By Round'!J91)</f>
        <v/>
      </c>
      <c r="K25">
        <f>IF(ISBLANK('By Round'!K91),"",'By Round'!K91)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5">
        <f>'By Round'!A99</f>
        <v/>
      </c>
      <c r="C26" s="15">
        <f>'By Round'!B101</f>
        <v/>
      </c>
      <c r="D26" s="15">
        <f>'By Round'!C101</f>
        <v/>
      </c>
      <c r="E26" s="15">
        <f>'By Round'!D101</f>
        <v/>
      </c>
      <c r="F26" s="16" t="inlineStr">
        <is>
          <t>Both</t>
        </is>
      </c>
      <c r="G26" s="15">
        <f>IF(ISBLANK('By Round'!G101),"",'By Round'!G101)</f>
        <v/>
      </c>
      <c r="H26" s="15">
        <f>IF(ISBLANK('By Round'!H101),"",'By Round'!H101)</f>
        <v/>
      </c>
      <c r="I26" s="15">
        <f>IF(ISBLANK('By Round'!I101),"",'By Round'!I101)</f>
        <v/>
      </c>
      <c r="J26" s="15">
        <f>IF(ISBLANK('By Round'!J101),"",'By Round'!J101)</f>
        <v/>
      </c>
      <c r="K26" s="15">
        <f>IF(ISBLANK('By Round'!K101),"",'By Round'!K101)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t="n">
        <v>5</v>
      </c>
      <c r="B27">
        <f>'By Round'!A27</f>
        <v/>
      </c>
      <c r="C27">
        <f>'By Round'!B27</f>
        <v/>
      </c>
      <c r="D27">
        <f>'By Round'!C27</f>
        <v/>
      </c>
      <c r="E27">
        <f>'By Round'!D27</f>
        <v/>
      </c>
      <c r="F27" s="11" t="inlineStr">
        <is>
          <t>NS</t>
        </is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>
        <f>'By Round'!A51</f>
        <v/>
      </c>
      <c r="C28">
        <f>'By Round'!B61</f>
        <v/>
      </c>
      <c r="D28">
        <f>'By Round'!C61</f>
        <v/>
      </c>
      <c r="E28">
        <f>'By Round'!D61</f>
        <v/>
      </c>
      <c r="F28" s="11" t="inlineStr">
        <is>
          <t>NS</t>
        </is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>
        <f>'By Round'!A63</f>
        <v/>
      </c>
      <c r="C29">
        <f>'By Round'!B71</f>
        <v/>
      </c>
      <c r="D29">
        <f>'By Round'!C71</f>
        <v/>
      </c>
      <c r="E29">
        <f>'By Round'!D71</f>
        <v/>
      </c>
      <c r="F29" s="11" t="inlineStr">
        <is>
          <t>NS</t>
        </is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>
        <f>'By Round'!A75</f>
        <v/>
      </c>
      <c r="C30">
        <f>'By Round'!B81</f>
        <v/>
      </c>
      <c r="D30">
        <f>'By Round'!C81</f>
        <v/>
      </c>
      <c r="E30">
        <f>'By Round'!D81</f>
        <v/>
      </c>
      <c r="F30" s="11" t="inlineStr">
        <is>
          <t>NS</t>
        </is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>
        <f>'By Round'!A99</f>
        <v/>
      </c>
      <c r="C31">
        <f>'By Round'!B103</f>
        <v/>
      </c>
      <c r="D31">
        <f>'By Round'!C103</f>
        <v/>
      </c>
      <c r="E31">
        <f>'By Round'!D103</f>
        <v/>
      </c>
      <c r="F31" s="11" t="inlineStr">
        <is>
          <t>NS</t>
        </is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5">
        <f>'By Round'!A111</f>
        <v/>
      </c>
      <c r="C32" s="15">
        <f>'By Round'!B113</f>
        <v/>
      </c>
      <c r="D32" s="15">
        <f>'By Round'!C113</f>
        <v/>
      </c>
      <c r="E32" s="15">
        <f>'By Round'!D113</f>
        <v/>
      </c>
      <c r="F32" s="16" t="inlineStr">
        <is>
          <t>NS</t>
        </is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t="n">
        <v>6</v>
      </c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EW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>
        <f>'By Round'!A51</f>
        <v/>
      </c>
      <c r="C34">
        <f>'By Round'!B61</f>
        <v/>
      </c>
      <c r="D34">
        <f>'By Round'!C61</f>
        <v/>
      </c>
      <c r="E34">
        <f>'By Round'!D61</f>
        <v/>
      </c>
      <c r="F34" s="11" t="inlineStr">
        <is>
          <t>EW</t>
        </is>
      </c>
      <c r="G34">
        <f>IF(ISBLANK('By Round'!G61),"",'By Round'!G61)</f>
        <v/>
      </c>
      <c r="H34">
        <f>IF(ISBLANK('By Round'!H61),"",'By Round'!H61)</f>
        <v/>
      </c>
      <c r="I34">
        <f>IF(ISBLANK('By Round'!I61),"",'By Round'!I61)</f>
        <v/>
      </c>
      <c r="J34">
        <f>IF(ISBLANK('By Round'!J61),"",'By Round'!J61)</f>
        <v/>
      </c>
      <c r="K34">
        <f>IF(ISBLANK('By Round'!K61),"",'By Round'!K61)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>
        <f>'By Round'!A63</f>
        <v/>
      </c>
      <c r="C35">
        <f>'By Round'!B71</f>
        <v/>
      </c>
      <c r="D35">
        <f>'By Round'!C71</f>
        <v/>
      </c>
      <c r="E35">
        <f>'By Round'!D71</f>
        <v/>
      </c>
      <c r="F35" s="11" t="inlineStr">
        <is>
          <t>EW</t>
        </is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>
        <f>'By Round'!A75</f>
        <v/>
      </c>
      <c r="C36">
        <f>'By Round'!B81</f>
        <v/>
      </c>
      <c r="D36">
        <f>'By Round'!C81</f>
        <v/>
      </c>
      <c r="E36">
        <f>'By Round'!D81</f>
        <v/>
      </c>
      <c r="F36" s="11" t="inlineStr">
        <is>
          <t>EW</t>
        </is>
      </c>
      <c r="G36">
        <f>IF(ISBLANK('By Round'!G81),"",'By Round'!G81)</f>
        <v/>
      </c>
      <c r="H36">
        <f>IF(ISBLANK('By Round'!H81),"",'By Round'!H81)</f>
        <v/>
      </c>
      <c r="I36">
        <f>IF(ISBLANK('By Round'!I81),"",'By Round'!I81)</f>
        <v/>
      </c>
      <c r="J36">
        <f>IF(ISBLANK('By Round'!J81),"",'By Round'!J81)</f>
        <v/>
      </c>
      <c r="K36">
        <f>IF(ISBLANK('By Round'!K81),"",'By Round'!K81)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>
        <f>'By Round'!A99</f>
        <v/>
      </c>
      <c r="C37">
        <f>'By Round'!B103</f>
        <v/>
      </c>
      <c r="D37">
        <f>'By Round'!C103</f>
        <v/>
      </c>
      <c r="E37">
        <f>'By Round'!D103</f>
        <v/>
      </c>
      <c r="F37" s="11" t="inlineStr">
        <is>
          <t>EW</t>
        </is>
      </c>
      <c r="G37">
        <f>IF(ISBLANK('By Round'!G103),"",'By Round'!G103)</f>
        <v/>
      </c>
      <c r="H37">
        <f>IF(ISBLANK('By Round'!H103),"",'By Round'!H103)</f>
        <v/>
      </c>
      <c r="I37">
        <f>IF(ISBLANK('By Round'!I103),"",'By Round'!I103)</f>
        <v/>
      </c>
      <c r="J37">
        <f>IF(ISBLANK('By Round'!J103),"",'By Round'!J103)</f>
        <v/>
      </c>
      <c r="K37">
        <f>IF(ISBLANK('By Round'!K103),"",'By Round'!K103)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5">
        <f>'By Round'!A111</f>
        <v/>
      </c>
      <c r="C38" s="15">
        <f>'By Round'!B113</f>
        <v/>
      </c>
      <c r="D38" s="15">
        <f>'By Round'!C113</f>
        <v/>
      </c>
      <c r="E38" s="15">
        <f>'By Round'!D113</f>
        <v/>
      </c>
      <c r="F38" s="16" t="inlineStr">
        <is>
          <t>EW</t>
        </is>
      </c>
      <c r="G38" s="15">
        <f>IF(ISBLANK('By Round'!G113),"",'By Round'!G113)</f>
        <v/>
      </c>
      <c r="H38" s="15">
        <f>IF(ISBLANK('By Round'!H113),"",'By Round'!H113)</f>
        <v/>
      </c>
      <c r="I38" s="15">
        <f>IF(ISBLANK('By Round'!I113),"",'By Round'!I113)</f>
        <v/>
      </c>
      <c r="J38" s="15">
        <f>IF(ISBLANK('By Round'!J113),"",'By Round'!J113)</f>
        <v/>
      </c>
      <c r="K38" s="15">
        <f>IF(ISBLANK('By Round'!K113),"",'By Round'!K113)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t="n">
        <v>7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>
        <f>'By Round'!A63</f>
        <v/>
      </c>
      <c r="C40">
        <f>'By Round'!B73</f>
        <v/>
      </c>
      <c r="D40">
        <f>'By Round'!C73</f>
        <v/>
      </c>
      <c r="E40">
        <f>'By Round'!D73</f>
        <v/>
      </c>
      <c r="F40" s="11" t="inlineStr">
        <is>
          <t>Both</t>
        </is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>
        <f>'By Round'!A75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Both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Round'!B93</f>
        <v/>
      </c>
      <c r="D42">
        <f>'By Round'!C93</f>
        <v/>
      </c>
      <c r="E42">
        <f>'By Round'!D93</f>
        <v/>
      </c>
      <c r="F42" s="11" t="inlineStr">
        <is>
          <t>Both</t>
        </is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>
        <f>'By Round'!A111</f>
        <v/>
      </c>
      <c r="C43">
        <f>'By Round'!B115</f>
        <v/>
      </c>
      <c r="D43">
        <f>'By Round'!C115</f>
        <v/>
      </c>
      <c r="E43">
        <f>'By Round'!D115</f>
        <v/>
      </c>
      <c r="F43" s="11" t="inlineStr">
        <is>
          <t>Both</t>
        </is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5">
        <f>'By Round'!A123</f>
        <v/>
      </c>
      <c r="C44" s="15">
        <f>'By Round'!B125</f>
        <v/>
      </c>
      <c r="D44" s="15">
        <f>'By Round'!C125</f>
        <v/>
      </c>
      <c r="E44" s="15">
        <f>'By Round'!D125</f>
        <v/>
      </c>
      <c r="F44" s="16" t="inlineStr">
        <is>
          <t>Both</t>
        </is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t="n">
        <v>8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None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>
        <f>'By Round'!A63</f>
        <v/>
      </c>
      <c r="C46">
        <f>'By Round'!B73</f>
        <v/>
      </c>
      <c r="D46">
        <f>'By Round'!C73</f>
        <v/>
      </c>
      <c r="E46">
        <f>'By Round'!D73</f>
        <v/>
      </c>
      <c r="F46" s="11" t="inlineStr">
        <is>
          <t>None</t>
        </is>
      </c>
      <c r="G46">
        <f>IF(ISBLANK('By Round'!G73),"",'By Round'!G73)</f>
        <v/>
      </c>
      <c r="H46">
        <f>IF(ISBLANK('By Round'!H73),"",'By Round'!H73)</f>
        <v/>
      </c>
      <c r="I46">
        <f>IF(ISBLANK('By Round'!I73),"",'By Round'!I73)</f>
        <v/>
      </c>
      <c r="J46">
        <f>IF(ISBLANK('By Round'!J73),"",'By Round'!J73)</f>
        <v/>
      </c>
      <c r="K46">
        <f>IF(ISBLANK('By Round'!K73),"",'By Round'!K73)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>
        <f>'By Round'!A75</f>
        <v/>
      </c>
      <c r="C47">
        <f>'By Round'!B83</f>
        <v/>
      </c>
      <c r="D47">
        <f>'By Round'!C83</f>
        <v/>
      </c>
      <c r="E47">
        <f>'By Round'!D83</f>
        <v/>
      </c>
      <c r="F47" s="11" t="inlineStr">
        <is>
          <t>None</t>
        </is>
      </c>
      <c r="G47">
        <f>IF(ISBLANK('By Round'!G83),"",'By Round'!G83)</f>
        <v/>
      </c>
      <c r="H47">
        <f>IF(ISBLANK('By Round'!H83),"",'By Round'!H83)</f>
        <v/>
      </c>
      <c r="I47">
        <f>IF(ISBLANK('By Round'!I83),"",'By Round'!I83)</f>
        <v/>
      </c>
      <c r="J47">
        <f>IF(ISBLANK('By Round'!J83),"",'By Round'!J83)</f>
        <v/>
      </c>
      <c r="K47">
        <f>IF(ISBLANK('By Round'!K83),"",'By Round'!K83)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>
        <f>'By Round'!A87</f>
        <v/>
      </c>
      <c r="C48">
        <f>'By Round'!B93</f>
        <v/>
      </c>
      <c r="D48">
        <f>'By Round'!C93</f>
        <v/>
      </c>
      <c r="E48">
        <f>'By Round'!D93</f>
        <v/>
      </c>
      <c r="F48" s="11" t="inlineStr">
        <is>
          <t>None</t>
        </is>
      </c>
      <c r="G48">
        <f>IF(ISBLANK('By Round'!G93),"",'By Round'!G93)</f>
        <v/>
      </c>
      <c r="H48">
        <f>IF(ISBLANK('By Round'!H93),"",'By Round'!H93)</f>
        <v/>
      </c>
      <c r="I48">
        <f>IF(ISBLANK('By Round'!I93),"",'By Round'!I93)</f>
        <v/>
      </c>
      <c r="J48">
        <f>IF(ISBLANK('By Round'!J93),"",'By Round'!J93)</f>
        <v/>
      </c>
      <c r="K48">
        <f>IF(ISBLANK('By Round'!K93),"",'By Round'!K93)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>
        <f>'By Round'!A111</f>
        <v/>
      </c>
      <c r="C49">
        <f>'By Round'!B115</f>
        <v/>
      </c>
      <c r="D49">
        <f>'By Round'!C115</f>
        <v/>
      </c>
      <c r="E49">
        <f>'By Round'!D115</f>
        <v/>
      </c>
      <c r="F49" s="11" t="inlineStr">
        <is>
          <t>None</t>
        </is>
      </c>
      <c r="G49">
        <f>IF(ISBLANK('By Round'!G115),"",'By Round'!G115)</f>
        <v/>
      </c>
      <c r="H49">
        <f>IF(ISBLANK('By Round'!H115),"",'By Round'!H115)</f>
        <v/>
      </c>
      <c r="I49">
        <f>IF(ISBLANK('By Round'!I115),"",'By Round'!I115)</f>
        <v/>
      </c>
      <c r="J49">
        <f>IF(ISBLANK('By Round'!J115),"",'By Round'!J115)</f>
        <v/>
      </c>
      <c r="K49">
        <f>IF(ISBLANK('By Round'!K115),"",'By Round'!K115)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5">
        <f>'By Round'!A123</f>
        <v/>
      </c>
      <c r="C50" s="15">
        <f>'By Round'!B125</f>
        <v/>
      </c>
      <c r="D50" s="15">
        <f>'By Round'!C125</f>
        <v/>
      </c>
      <c r="E50" s="15">
        <f>'By Round'!D125</f>
        <v/>
      </c>
      <c r="F50" s="16" t="inlineStr">
        <is>
          <t>None</t>
        </is>
      </c>
      <c r="G50" s="15">
        <f>IF(ISBLANK('By Round'!G125),"",'By Round'!G125)</f>
        <v/>
      </c>
      <c r="H50" s="15">
        <f>IF(ISBLANK('By Round'!H125),"",'By Round'!H125)</f>
        <v/>
      </c>
      <c r="I50" s="15">
        <f>IF(ISBLANK('By Round'!I125),"",'By Round'!I125)</f>
        <v/>
      </c>
      <c r="J50" s="15">
        <f>IF(ISBLANK('By Round'!J125),"",'By Round'!J125)</f>
        <v/>
      </c>
      <c r="K50" s="15">
        <f>IF(ISBLANK('By Round'!K125),"",'By Round'!K125)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t="n">
        <v>9</v>
      </c>
      <c r="B51">
        <f>'By Round'!A3</f>
        <v/>
      </c>
      <c r="C51">
        <f>'By Round'!B5</f>
        <v/>
      </c>
      <c r="D51">
        <f>'By Round'!C5</f>
        <v/>
      </c>
      <c r="E51">
        <f>'By Round'!D5</f>
        <v/>
      </c>
      <c r="F51" s="11" t="inlineStr">
        <is>
          <t>EW</t>
        </is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>
        <f>'By Round'!A51</f>
        <v/>
      </c>
      <c r="C52">
        <f>'By Round'!B51</f>
        <v/>
      </c>
      <c r="D52">
        <f>'By Round'!C51</f>
        <v/>
      </c>
      <c r="E52">
        <f>'By Round'!D51</f>
        <v/>
      </c>
      <c r="F52" s="11" t="inlineStr">
        <is>
          <t>EW</t>
        </is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>
        <f>'By Round'!A75</f>
        <v/>
      </c>
      <c r="C53">
        <f>'By Round'!B85</f>
        <v/>
      </c>
      <c r="D53">
        <f>'By Round'!C85</f>
        <v/>
      </c>
      <c r="E53">
        <f>'By Round'!D85</f>
        <v/>
      </c>
      <c r="F53" s="11" t="inlineStr">
        <is>
          <t>EW</t>
        </is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>
        <f>'By Round'!A87</f>
        <v/>
      </c>
      <c r="C54">
        <f>'By Round'!B95</f>
        <v/>
      </c>
      <c r="D54">
        <f>'By Round'!C95</f>
        <v/>
      </c>
      <c r="E54">
        <f>'By Round'!D95</f>
        <v/>
      </c>
      <c r="F54" s="11" t="inlineStr">
        <is>
          <t>EW</t>
        </is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>
        <f>'By Round'!A99</f>
        <v/>
      </c>
      <c r="C55">
        <f>'By Round'!B105</f>
        <v/>
      </c>
      <c r="D55">
        <f>'By Round'!C105</f>
        <v/>
      </c>
      <c r="E55">
        <f>'By Round'!D105</f>
        <v/>
      </c>
      <c r="F55" s="11" t="inlineStr">
        <is>
          <t>EW</t>
        </is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5">
        <f>'By Round'!A123</f>
        <v/>
      </c>
      <c r="C56" s="15">
        <f>'By Round'!B127</f>
        <v/>
      </c>
      <c r="D56" s="15">
        <f>'By Round'!C127</f>
        <v/>
      </c>
      <c r="E56" s="15">
        <f>'By Round'!D127</f>
        <v/>
      </c>
      <c r="F56" s="16" t="inlineStr">
        <is>
          <t>EW</t>
        </is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t="n">
        <v>10</v>
      </c>
      <c r="B57">
        <f>'By Round'!A3</f>
        <v/>
      </c>
      <c r="C57">
        <f>'By Round'!B5</f>
        <v/>
      </c>
      <c r="D57">
        <f>'By Round'!C5</f>
        <v/>
      </c>
      <c r="E57">
        <f>'By Round'!D5</f>
        <v/>
      </c>
      <c r="F57" s="11" t="inlineStr">
        <is>
          <t>Both</t>
        </is>
      </c>
      <c r="G57">
        <f>IF(ISBLANK('By Round'!G5),"",'By Round'!G5)</f>
        <v/>
      </c>
      <c r="H57">
        <f>IF(ISBLANK('By Round'!H5),"",'By Round'!H5)</f>
        <v/>
      </c>
      <c r="I57">
        <f>IF(ISBLANK('By Round'!I5),"",'By Round'!I5)</f>
        <v/>
      </c>
      <c r="J57">
        <f>IF(ISBLANK('By Round'!J5),"",'By Round'!J5)</f>
        <v/>
      </c>
      <c r="K57">
        <f>IF(ISBLANK('By Round'!K5),"",'By Round'!K5)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1" t="inlineStr">
        <is>
          <t>Both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>
        <f>'By Round'!A75</f>
        <v/>
      </c>
      <c r="C59">
        <f>'By Round'!B85</f>
        <v/>
      </c>
      <c r="D59">
        <f>'By Round'!C85</f>
        <v/>
      </c>
      <c r="E59">
        <f>'By Round'!D85</f>
        <v/>
      </c>
      <c r="F59" s="11" t="inlineStr">
        <is>
          <t>Both</t>
        </is>
      </c>
      <c r="G59">
        <f>IF(ISBLANK('By Round'!G85),"",'By Round'!G85)</f>
        <v/>
      </c>
      <c r="H59">
        <f>IF(ISBLANK('By Round'!H85),"",'By Round'!H85)</f>
        <v/>
      </c>
      <c r="I59">
        <f>IF(ISBLANK('By Round'!I85),"",'By Round'!I85)</f>
        <v/>
      </c>
      <c r="J59">
        <f>IF(ISBLANK('By Round'!J85),"",'By Round'!J85)</f>
        <v/>
      </c>
      <c r="K59">
        <f>IF(ISBLANK('By Round'!K85),"",'By Round'!K85)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>
        <f>'By Round'!A87</f>
        <v/>
      </c>
      <c r="C60">
        <f>'By Round'!B95</f>
        <v/>
      </c>
      <c r="D60">
        <f>'By Round'!C95</f>
        <v/>
      </c>
      <c r="E60">
        <f>'By Round'!D95</f>
        <v/>
      </c>
      <c r="F60" s="11" t="inlineStr">
        <is>
          <t>Both</t>
        </is>
      </c>
      <c r="G60">
        <f>IF(ISBLANK('By Round'!G95),"",'By Round'!G95)</f>
        <v/>
      </c>
      <c r="H60">
        <f>IF(ISBLANK('By Round'!H95),"",'By Round'!H95)</f>
        <v/>
      </c>
      <c r="I60">
        <f>IF(ISBLANK('By Round'!I95),"",'By Round'!I95)</f>
        <v/>
      </c>
      <c r="J60">
        <f>IF(ISBLANK('By Round'!J95),"",'By Round'!J95)</f>
        <v/>
      </c>
      <c r="K60">
        <f>IF(ISBLANK('By Round'!K95),"",'By Round'!K95)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>
        <f>'By Round'!A99</f>
        <v/>
      </c>
      <c r="C61">
        <f>'By Round'!B105</f>
        <v/>
      </c>
      <c r="D61">
        <f>'By Round'!C105</f>
        <v/>
      </c>
      <c r="E61">
        <f>'By Round'!D105</f>
        <v/>
      </c>
      <c r="F61" s="11" t="inlineStr">
        <is>
          <t>Both</t>
        </is>
      </c>
      <c r="G61">
        <f>IF(ISBLANK('By Round'!G105),"",'By Round'!G105)</f>
        <v/>
      </c>
      <c r="H61">
        <f>IF(ISBLANK('By Round'!H105),"",'By Round'!H105)</f>
        <v/>
      </c>
      <c r="I61">
        <f>IF(ISBLANK('By Round'!I105),"",'By Round'!I105)</f>
        <v/>
      </c>
      <c r="J61">
        <f>IF(ISBLANK('By Round'!J105),"",'By Round'!J105)</f>
        <v/>
      </c>
      <c r="K61">
        <f>IF(ISBLANK('By Round'!K105),"",'By Round'!K105)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5">
        <f>'By Round'!A123</f>
        <v/>
      </c>
      <c r="C62" s="15">
        <f>'By Round'!B127</f>
        <v/>
      </c>
      <c r="D62" s="15">
        <f>'By Round'!C127</f>
        <v/>
      </c>
      <c r="E62" s="15">
        <f>'By Round'!D127</f>
        <v/>
      </c>
      <c r="F62" s="16" t="inlineStr">
        <is>
          <t>Both</t>
        </is>
      </c>
      <c r="G62" s="15">
        <f>IF(ISBLANK('By Round'!G127),"",'By Round'!G127)</f>
        <v/>
      </c>
      <c r="H62" s="15">
        <f>IF(ISBLANK('By Round'!H127),"",'By Round'!H127)</f>
        <v/>
      </c>
      <c r="I62" s="15">
        <f>IF(ISBLANK('By Round'!I127),"",'By Round'!I127)</f>
        <v/>
      </c>
      <c r="J62" s="15">
        <f>IF(ISBLANK('By Round'!J127),"",'By Round'!J127)</f>
        <v/>
      </c>
      <c r="K62" s="15">
        <f>IF(ISBLANK('By Round'!K127),"",'By Round'!K127)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t="n">
        <v>11</v>
      </c>
      <c r="B63">
        <f>'By Round'!A3</f>
        <v/>
      </c>
      <c r="C63">
        <f>'By Round'!B7</f>
        <v/>
      </c>
      <c r="D63">
        <f>'By Round'!C7</f>
        <v/>
      </c>
      <c r="E63">
        <f>'By Round'!D7</f>
        <v/>
      </c>
      <c r="F63" s="11" t="inlineStr">
        <is>
          <t>None</t>
        </is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>
        <f>'By Round'!A15</f>
        <v/>
      </c>
      <c r="C64">
        <f>'By Round'!B17</f>
        <v/>
      </c>
      <c r="D64">
        <f>'By Round'!C17</f>
        <v/>
      </c>
      <c r="E64">
        <f>'By Round'!D17</f>
        <v/>
      </c>
      <c r="F64" s="11" t="inlineStr">
        <is>
          <t>None</t>
        </is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None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>
        <f>'By Round'!A87</f>
        <v/>
      </c>
      <c r="C66">
        <f>'By Round'!B97</f>
        <v/>
      </c>
      <c r="D66">
        <f>'By Round'!C97</f>
        <v/>
      </c>
      <c r="E66">
        <f>'By Round'!D97</f>
        <v/>
      </c>
      <c r="F66" s="11" t="inlineStr">
        <is>
          <t>None</t>
        </is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>
        <f>'By Round'!A99</f>
        <v/>
      </c>
      <c r="C67">
        <f>'By Round'!B107</f>
        <v/>
      </c>
      <c r="D67">
        <f>'By Round'!C107</f>
        <v/>
      </c>
      <c r="E67">
        <f>'By Round'!D107</f>
        <v/>
      </c>
      <c r="F67" s="11" t="inlineStr">
        <is>
          <t>None</t>
        </is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5">
        <f>'By Round'!A111</f>
        <v/>
      </c>
      <c r="C68" s="15">
        <f>'By Round'!B117</f>
        <v/>
      </c>
      <c r="D68" s="15">
        <f>'By Round'!C117</f>
        <v/>
      </c>
      <c r="E68" s="15">
        <f>'By Round'!D117</f>
        <v/>
      </c>
      <c r="F68" s="16" t="inlineStr">
        <is>
          <t>None</t>
        </is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t="n">
        <v>12</v>
      </c>
      <c r="B69">
        <f>'By Round'!A3</f>
        <v/>
      </c>
      <c r="C69">
        <f>'By Round'!B7</f>
        <v/>
      </c>
      <c r="D69">
        <f>'By Round'!C7</f>
        <v/>
      </c>
      <c r="E69">
        <f>'By Round'!D7</f>
        <v/>
      </c>
      <c r="F69" s="11" t="inlineStr">
        <is>
          <t>NS</t>
        </is>
      </c>
      <c r="G69">
        <f>IF(ISBLANK('By Round'!G7),"",'By Round'!G7)</f>
        <v/>
      </c>
      <c r="H69">
        <f>IF(ISBLANK('By Round'!H7),"",'By Round'!H7)</f>
        <v/>
      </c>
      <c r="I69">
        <f>IF(ISBLANK('By Round'!I7),"",'By Round'!I7)</f>
        <v/>
      </c>
      <c r="J69">
        <f>IF(ISBLANK('By Round'!J7),"",'By Round'!J7)</f>
        <v/>
      </c>
      <c r="K69">
        <f>IF(ISBLANK('By Round'!K7),"",'By Round'!K7)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>
        <f>'By Round'!A15</f>
        <v/>
      </c>
      <c r="C70">
        <f>'By Round'!B17</f>
        <v/>
      </c>
      <c r="D70">
        <f>'By Round'!C17</f>
        <v/>
      </c>
      <c r="E70">
        <f>'By Round'!D17</f>
        <v/>
      </c>
      <c r="F70" s="11" t="inlineStr">
        <is>
          <t>NS</t>
        </is>
      </c>
      <c r="G70">
        <f>IF(ISBLANK('By Round'!G17),"",'By Round'!G17)</f>
        <v/>
      </c>
      <c r="H70">
        <f>IF(ISBLANK('By Round'!H17),"",'By Round'!H17)</f>
        <v/>
      </c>
      <c r="I70">
        <f>IF(ISBLANK('By Round'!I17),"",'By Round'!I17)</f>
        <v/>
      </c>
      <c r="J70">
        <f>IF(ISBLANK('By Round'!J17),"",'By Round'!J17)</f>
        <v/>
      </c>
      <c r="K70">
        <f>IF(ISBLANK('By Round'!K17),"",'By Round'!K17)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>
        <f>'By Round'!A63</f>
        <v/>
      </c>
      <c r="C71">
        <f>'By Round'!B63</f>
        <v/>
      </c>
      <c r="D71">
        <f>'By Round'!C63</f>
        <v/>
      </c>
      <c r="E71">
        <f>'By Round'!D63</f>
        <v/>
      </c>
      <c r="F71" s="11" t="inlineStr">
        <is>
          <t>NS</t>
        </is>
      </c>
      <c r="G71">
        <f>IF(ISBLANK('By Round'!G63),"",'By Round'!G63)</f>
        <v/>
      </c>
      <c r="H71">
        <f>IF(ISBLANK('By Round'!H63),"",'By Round'!H63)</f>
        <v/>
      </c>
      <c r="I71">
        <f>IF(ISBLANK('By Round'!I63),"",'By Round'!I63)</f>
        <v/>
      </c>
      <c r="J71">
        <f>IF(ISBLANK('By Round'!J63),"",'By Round'!J63)</f>
        <v/>
      </c>
      <c r="K71">
        <f>IF(ISBLANK('By Round'!K63),"",'By Round'!K63)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>
        <f>'By Round'!A87</f>
        <v/>
      </c>
      <c r="C72">
        <f>'By Round'!B97</f>
        <v/>
      </c>
      <c r="D72">
        <f>'By Round'!C97</f>
        <v/>
      </c>
      <c r="E72">
        <f>'By Round'!D97</f>
        <v/>
      </c>
      <c r="F72" s="11" t="inlineStr">
        <is>
          <t>NS</t>
        </is>
      </c>
      <c r="G72">
        <f>IF(ISBLANK('By Round'!G97),"",'By Round'!G97)</f>
        <v/>
      </c>
      <c r="H72">
        <f>IF(ISBLANK('By Round'!H97),"",'By Round'!H97)</f>
        <v/>
      </c>
      <c r="I72">
        <f>IF(ISBLANK('By Round'!I97),"",'By Round'!I97)</f>
        <v/>
      </c>
      <c r="J72">
        <f>IF(ISBLANK('By Round'!J97),"",'By Round'!J97)</f>
        <v/>
      </c>
      <c r="K72">
        <f>IF(ISBLANK('By Round'!K97),"",'By Round'!K97)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>
        <f>'By Round'!A99</f>
        <v/>
      </c>
      <c r="C73">
        <f>'By Round'!B107</f>
        <v/>
      </c>
      <c r="D73">
        <f>'By Round'!C107</f>
        <v/>
      </c>
      <c r="E73">
        <f>'By Round'!D107</f>
        <v/>
      </c>
      <c r="F73" s="11" t="inlineStr">
        <is>
          <t>NS</t>
        </is>
      </c>
      <c r="G73">
        <f>IF(ISBLANK('By Round'!G107),"",'By Round'!G107)</f>
        <v/>
      </c>
      <c r="H73">
        <f>IF(ISBLANK('By Round'!H107),"",'By Round'!H107)</f>
        <v/>
      </c>
      <c r="I73">
        <f>IF(ISBLANK('By Round'!I107),"",'By Round'!I107)</f>
        <v/>
      </c>
      <c r="J73">
        <f>IF(ISBLANK('By Round'!J107),"",'By Round'!J107)</f>
        <v/>
      </c>
      <c r="K73">
        <f>IF(ISBLANK('By Round'!K107),"",'By Round'!K107)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5">
        <f>'By Round'!A111</f>
        <v/>
      </c>
      <c r="C74" s="15">
        <f>'By Round'!B117</f>
        <v/>
      </c>
      <c r="D74" s="15">
        <f>'By Round'!C117</f>
        <v/>
      </c>
      <c r="E74" s="15">
        <f>'By Round'!D117</f>
        <v/>
      </c>
      <c r="F74" s="16" t="inlineStr">
        <is>
          <t>NS</t>
        </is>
      </c>
      <c r="G74" s="15">
        <f>IF(ISBLANK('By Round'!G117),"",'By Round'!G117)</f>
        <v/>
      </c>
      <c r="H74" s="15">
        <f>IF(ISBLANK('By Round'!H117),"",'By Round'!H117)</f>
        <v/>
      </c>
      <c r="I74" s="15">
        <f>IF(ISBLANK('By Round'!I117),"",'By Round'!I117)</f>
        <v/>
      </c>
      <c r="J74" s="15">
        <f>IF(ISBLANK('By Round'!J117),"",'By Round'!J117)</f>
        <v/>
      </c>
      <c r="K74" s="15">
        <f>IF(ISBLANK('By Round'!K117),"",'By Round'!K117)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t="n">
        <v>13</v>
      </c>
      <c r="B75">
        <f>'By Round'!A15</f>
        <v/>
      </c>
      <c r="C75">
        <f>'By Round'!B19</f>
        <v/>
      </c>
      <c r="D75">
        <f>'By Round'!C19</f>
        <v/>
      </c>
      <c r="E75">
        <f>'By Round'!D19</f>
        <v/>
      </c>
      <c r="F75" s="11" t="inlineStr">
        <is>
          <t>Both</t>
        </is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>
        <f>'By Round'!A27</f>
        <v/>
      </c>
      <c r="C76">
        <f>'By Round'!B29</f>
        <v/>
      </c>
      <c r="D76">
        <f>'By Round'!C29</f>
        <v/>
      </c>
      <c r="E76">
        <f>'By Round'!D29</f>
        <v/>
      </c>
      <c r="F76" s="11" t="inlineStr">
        <is>
          <t>Both</t>
        </is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>
        <f>'By Round'!A75</f>
        <v/>
      </c>
      <c r="C77">
        <f>'By Round'!B75</f>
        <v/>
      </c>
      <c r="D77">
        <f>'By Round'!C75</f>
        <v/>
      </c>
      <c r="E77">
        <f>'By Round'!D75</f>
        <v/>
      </c>
      <c r="F77" s="11" t="inlineStr">
        <is>
          <t>Both</t>
        </is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>
        <f>'By Round'!A99</f>
        <v/>
      </c>
      <c r="C78">
        <f>'By Round'!B109</f>
        <v/>
      </c>
      <c r="D78">
        <f>'By Round'!C109</f>
        <v/>
      </c>
      <c r="E78">
        <f>'By Round'!D109</f>
        <v/>
      </c>
      <c r="F78" s="11" t="inlineStr">
        <is>
          <t>Both</t>
        </is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>
        <f>'By Round'!A111</f>
        <v/>
      </c>
      <c r="C79">
        <f>'By Round'!B119</f>
        <v/>
      </c>
      <c r="D79">
        <f>'By Round'!C119</f>
        <v/>
      </c>
      <c r="E79">
        <f>'By Round'!D119</f>
        <v/>
      </c>
      <c r="F79" s="11" t="inlineStr">
        <is>
          <t>Both</t>
        </is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5">
        <f>'By Round'!A123</f>
        <v/>
      </c>
      <c r="C80" s="15">
        <f>'By Round'!B129</f>
        <v/>
      </c>
      <c r="D80" s="15">
        <f>'By Round'!C129</f>
        <v/>
      </c>
      <c r="E80" s="15">
        <f>'By Round'!D129</f>
        <v/>
      </c>
      <c r="F80" s="16" t="inlineStr">
        <is>
          <t>Both</t>
        </is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t="n">
        <v>14</v>
      </c>
      <c r="B81">
        <f>'By Round'!A15</f>
        <v/>
      </c>
      <c r="C81">
        <f>'By Round'!B19</f>
        <v/>
      </c>
      <c r="D81">
        <f>'By Round'!C19</f>
        <v/>
      </c>
      <c r="E81">
        <f>'By Round'!D19</f>
        <v/>
      </c>
      <c r="F81" s="11" t="inlineStr">
        <is>
          <t>None</t>
        </is>
      </c>
      <c r="G81">
        <f>IF(ISBLANK('By Round'!G19),"",'By Round'!G19)</f>
        <v/>
      </c>
      <c r="H81">
        <f>IF(ISBLANK('By Round'!H19),"",'By Round'!H19)</f>
        <v/>
      </c>
      <c r="I81">
        <f>IF(ISBLANK('By Round'!I19),"",'By Round'!I19)</f>
        <v/>
      </c>
      <c r="J81">
        <f>IF(ISBLANK('By Round'!J19),"",'By Round'!J19)</f>
        <v/>
      </c>
      <c r="K81">
        <f>IF(ISBLANK('By Round'!K19),"",'By Round'!K19)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>
        <f>'By Round'!A27</f>
        <v/>
      </c>
      <c r="C82">
        <f>'By Round'!B29</f>
        <v/>
      </c>
      <c r="D82">
        <f>'By Round'!C29</f>
        <v/>
      </c>
      <c r="E82">
        <f>'By Round'!D29</f>
        <v/>
      </c>
      <c r="F82" s="11" t="inlineStr">
        <is>
          <t>None</t>
        </is>
      </c>
      <c r="G82">
        <f>IF(ISBLANK('By Round'!G29),"",'By Round'!G29)</f>
        <v/>
      </c>
      <c r="H82">
        <f>IF(ISBLANK('By Round'!H29),"",'By Round'!H29)</f>
        <v/>
      </c>
      <c r="I82">
        <f>IF(ISBLANK('By Round'!I29),"",'By Round'!I29)</f>
        <v/>
      </c>
      <c r="J82">
        <f>IF(ISBLANK('By Round'!J29),"",'By Round'!J29)</f>
        <v/>
      </c>
      <c r="K82">
        <f>IF(ISBLANK('By Round'!K29),"",'By Round'!K29)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>
        <f>'By Round'!A75</f>
        <v/>
      </c>
      <c r="C83">
        <f>'By Round'!B75</f>
        <v/>
      </c>
      <c r="D83">
        <f>'By Round'!C75</f>
        <v/>
      </c>
      <c r="E83">
        <f>'By Round'!D75</f>
        <v/>
      </c>
      <c r="F83" s="11" t="inlineStr">
        <is>
          <t>None</t>
        </is>
      </c>
      <c r="G83">
        <f>IF(ISBLANK('By Round'!G75),"",'By Round'!G75)</f>
        <v/>
      </c>
      <c r="H83">
        <f>IF(ISBLANK('By Round'!H75),"",'By Round'!H75)</f>
        <v/>
      </c>
      <c r="I83">
        <f>IF(ISBLANK('By Round'!I75),"",'By Round'!I75)</f>
        <v/>
      </c>
      <c r="J83">
        <f>IF(ISBLANK('By Round'!J75),"",'By Round'!J75)</f>
        <v/>
      </c>
      <c r="K83">
        <f>IF(ISBLANK('By Round'!K75),"",'By Round'!K75)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>
        <f>'By Round'!A99</f>
        <v/>
      </c>
      <c r="C84">
        <f>'By Round'!B109</f>
        <v/>
      </c>
      <c r="D84">
        <f>'By Round'!C109</f>
        <v/>
      </c>
      <c r="E84">
        <f>'By Round'!D109</f>
        <v/>
      </c>
      <c r="F84" s="11" t="inlineStr">
        <is>
          <t>None</t>
        </is>
      </c>
      <c r="G84">
        <f>IF(ISBLANK('By Round'!G109),"",'By Round'!G109)</f>
        <v/>
      </c>
      <c r="H84">
        <f>IF(ISBLANK('By Round'!H109),"",'By Round'!H109)</f>
        <v/>
      </c>
      <c r="I84">
        <f>IF(ISBLANK('By Round'!I109),"",'By Round'!I109)</f>
        <v/>
      </c>
      <c r="J84">
        <f>IF(ISBLANK('By Round'!J109),"",'By Round'!J109)</f>
        <v/>
      </c>
      <c r="K84">
        <f>IF(ISBLANK('By Round'!K109),"",'By Round'!K109)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>
        <f>'By Round'!A111</f>
        <v/>
      </c>
      <c r="C85">
        <f>'By Round'!B119</f>
        <v/>
      </c>
      <c r="D85">
        <f>'By Round'!C119</f>
        <v/>
      </c>
      <c r="E85">
        <f>'By Round'!D119</f>
        <v/>
      </c>
      <c r="F85" s="11" t="inlineStr">
        <is>
          <t>None</t>
        </is>
      </c>
      <c r="G85">
        <f>IF(ISBLANK('By Round'!G119),"",'By Round'!G119)</f>
        <v/>
      </c>
      <c r="H85">
        <f>IF(ISBLANK('By Round'!H119),"",'By Round'!H119)</f>
        <v/>
      </c>
      <c r="I85">
        <f>IF(ISBLANK('By Round'!I119),"",'By Round'!I119)</f>
        <v/>
      </c>
      <c r="J85">
        <f>IF(ISBLANK('By Round'!J119),"",'By Round'!J119)</f>
        <v/>
      </c>
      <c r="K85">
        <f>IF(ISBLANK('By Round'!K119),"",'By Round'!K119)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5">
        <f>'By Round'!A123</f>
        <v/>
      </c>
      <c r="C86" s="15">
        <f>'By Round'!B129</f>
        <v/>
      </c>
      <c r="D86" s="15">
        <f>'By Round'!C129</f>
        <v/>
      </c>
      <c r="E86" s="15">
        <f>'By Round'!D129</f>
        <v/>
      </c>
      <c r="F86" s="16" t="inlineStr">
        <is>
          <t>None</t>
        </is>
      </c>
      <c r="G86" s="15">
        <f>IF(ISBLANK('By Round'!G129),"",'By Round'!G129)</f>
        <v/>
      </c>
      <c r="H86" s="15">
        <f>IF(ISBLANK('By Round'!H129),"",'By Round'!H129)</f>
        <v/>
      </c>
      <c r="I86" s="15">
        <f>IF(ISBLANK('By Round'!I129),"",'By Round'!I129)</f>
        <v/>
      </c>
      <c r="J86" s="15">
        <f>IF(ISBLANK('By Round'!J129),"",'By Round'!J129)</f>
        <v/>
      </c>
      <c r="K86" s="15">
        <f>IF(ISBLANK('By Round'!K129),"",'By Round'!K129)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t="n">
        <v>15</v>
      </c>
      <c r="B87">
        <f>'By Round'!A3</f>
        <v/>
      </c>
      <c r="C87">
        <f>'By Round'!B9</f>
        <v/>
      </c>
      <c r="D87">
        <f>'By Round'!C9</f>
        <v/>
      </c>
      <c r="E87">
        <f>'By Round'!D9</f>
        <v/>
      </c>
      <c r="F87" s="11" t="inlineStr">
        <is>
          <t>NS</t>
        </is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>
        <f>'By Round'!A27</f>
        <v/>
      </c>
      <c r="C88">
        <f>'By Round'!B31</f>
        <v/>
      </c>
      <c r="D88">
        <f>'By Round'!C31</f>
        <v/>
      </c>
      <c r="E88">
        <f>'By Round'!D31</f>
        <v/>
      </c>
      <c r="F88" s="11" t="inlineStr">
        <is>
          <t>NS</t>
        </is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>
        <f>'By Round'!A39</f>
        <v/>
      </c>
      <c r="C89">
        <f>'By Round'!B41</f>
        <v/>
      </c>
      <c r="D89">
        <f>'By Round'!C41</f>
        <v/>
      </c>
      <c r="E89">
        <f>'By Round'!D41</f>
        <v/>
      </c>
      <c r="F89" s="11" t="inlineStr">
        <is>
          <t>NS</t>
        </is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NS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>
        <f>'By Round'!A111</f>
        <v/>
      </c>
      <c r="C91">
        <f>'By Round'!B121</f>
        <v/>
      </c>
      <c r="D91">
        <f>'By Round'!C121</f>
        <v/>
      </c>
      <c r="E91">
        <f>'By Round'!D121</f>
        <v/>
      </c>
      <c r="F91" s="11" t="inlineStr">
        <is>
          <t>NS</t>
        </is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5">
        <f>'By Round'!A123</f>
        <v/>
      </c>
      <c r="C92" s="15">
        <f>'By Round'!B131</f>
        <v/>
      </c>
      <c r="D92" s="15">
        <f>'By Round'!C131</f>
        <v/>
      </c>
      <c r="E92" s="15">
        <f>'By Round'!D131</f>
        <v/>
      </c>
      <c r="F92" s="16" t="inlineStr">
        <is>
          <t>NS</t>
        </is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t="n">
        <v>16</v>
      </c>
      <c r="B93">
        <f>'By Round'!A3</f>
        <v/>
      </c>
      <c r="C93">
        <f>'By Round'!B9</f>
        <v/>
      </c>
      <c r="D93">
        <f>'By Round'!C9</f>
        <v/>
      </c>
      <c r="E93">
        <f>'By Round'!D9</f>
        <v/>
      </c>
      <c r="F93" s="11" t="inlineStr">
        <is>
          <t>EW</t>
        </is>
      </c>
      <c r="G93">
        <f>IF(ISBLANK('By Round'!G9),"",'By Round'!G9)</f>
        <v/>
      </c>
      <c r="H93">
        <f>IF(ISBLANK('By Round'!H9),"",'By Round'!H9)</f>
        <v/>
      </c>
      <c r="I93">
        <f>IF(ISBLANK('By Round'!I9),"",'By Round'!I9)</f>
        <v/>
      </c>
      <c r="J93">
        <f>IF(ISBLANK('By Round'!J9),"",'By Round'!J9)</f>
        <v/>
      </c>
      <c r="K93">
        <f>IF(ISBLANK('By Round'!K9),"",'By Round'!K9)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>
        <f>'By Round'!A27</f>
        <v/>
      </c>
      <c r="C94">
        <f>'By Round'!B31</f>
        <v/>
      </c>
      <c r="D94">
        <f>'By Round'!C31</f>
        <v/>
      </c>
      <c r="E94">
        <f>'By Round'!D31</f>
        <v/>
      </c>
      <c r="F94" s="11" t="inlineStr">
        <is>
          <t>EW</t>
        </is>
      </c>
      <c r="G94">
        <f>IF(ISBLANK('By Round'!G31),"",'By Round'!G31)</f>
        <v/>
      </c>
      <c r="H94">
        <f>IF(ISBLANK('By Round'!H31),"",'By Round'!H31)</f>
        <v/>
      </c>
      <c r="I94">
        <f>IF(ISBLANK('By Round'!I31),"",'By Round'!I31)</f>
        <v/>
      </c>
      <c r="J94">
        <f>IF(ISBLANK('By Round'!J31),"",'By Round'!J31)</f>
        <v/>
      </c>
      <c r="K94">
        <f>IF(ISBLANK('By Round'!K31),"",'By Round'!K31)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>
        <f>'By Round'!A39</f>
        <v/>
      </c>
      <c r="C95">
        <f>'By Round'!B41</f>
        <v/>
      </c>
      <c r="D95">
        <f>'By Round'!C41</f>
        <v/>
      </c>
      <c r="E95">
        <f>'By Round'!D41</f>
        <v/>
      </c>
      <c r="F95" s="11" t="inlineStr">
        <is>
          <t>EW</t>
        </is>
      </c>
      <c r="G95">
        <f>IF(ISBLANK('By Round'!G41),"",'By Round'!G41)</f>
        <v/>
      </c>
      <c r="H95">
        <f>IF(ISBLANK('By Round'!H41),"",'By Round'!H41)</f>
        <v/>
      </c>
      <c r="I95">
        <f>IF(ISBLANK('By Round'!I41),"",'By Round'!I41)</f>
        <v/>
      </c>
      <c r="J95">
        <f>IF(ISBLANK('By Round'!J41),"",'By Round'!J41)</f>
        <v/>
      </c>
      <c r="K95">
        <f>IF(ISBLANK('By Round'!K41),"",'By Round'!K41)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>
        <f>'By Round'!A87</f>
        <v/>
      </c>
      <c r="C96">
        <f>'By Round'!B87</f>
        <v/>
      </c>
      <c r="D96">
        <f>'By Round'!C87</f>
        <v/>
      </c>
      <c r="E96">
        <f>'By Round'!D87</f>
        <v/>
      </c>
      <c r="F96" s="11" t="inlineStr">
        <is>
          <t>EW</t>
        </is>
      </c>
      <c r="G96">
        <f>IF(ISBLANK('By Round'!G87),"",'By Round'!G87)</f>
        <v/>
      </c>
      <c r="H96">
        <f>IF(ISBLANK('By Round'!H87),"",'By Round'!H87)</f>
        <v/>
      </c>
      <c r="I96">
        <f>IF(ISBLANK('By Round'!I87),"",'By Round'!I87)</f>
        <v/>
      </c>
      <c r="J96">
        <f>IF(ISBLANK('By Round'!J87),"",'By Round'!J87)</f>
        <v/>
      </c>
      <c r="K96">
        <f>IF(ISBLANK('By Round'!K87),"",'By Round'!K87)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>
        <f>'By Round'!A111</f>
        <v/>
      </c>
      <c r="C97">
        <f>'By Round'!B121</f>
        <v/>
      </c>
      <c r="D97">
        <f>'By Round'!C121</f>
        <v/>
      </c>
      <c r="E97">
        <f>'By Round'!D121</f>
        <v/>
      </c>
      <c r="F97" s="11" t="inlineStr">
        <is>
          <t>EW</t>
        </is>
      </c>
      <c r="G97">
        <f>IF(ISBLANK('By Round'!G121),"",'By Round'!G121)</f>
        <v/>
      </c>
      <c r="H97">
        <f>IF(ISBLANK('By Round'!H121),"",'By Round'!H121)</f>
        <v/>
      </c>
      <c r="I97">
        <f>IF(ISBLANK('By Round'!I121),"",'By Round'!I121)</f>
        <v/>
      </c>
      <c r="J97">
        <f>IF(ISBLANK('By Round'!J121),"",'By Round'!J121)</f>
        <v/>
      </c>
      <c r="K97">
        <f>IF(ISBLANK('By Round'!K121),"",'By Round'!K121)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5">
        <f>'By Round'!A123</f>
        <v/>
      </c>
      <c r="C98" s="15">
        <f>'By Round'!B131</f>
        <v/>
      </c>
      <c r="D98" s="15">
        <f>'By Round'!C131</f>
        <v/>
      </c>
      <c r="E98" s="15">
        <f>'By Round'!D131</f>
        <v/>
      </c>
      <c r="F98" s="16" t="inlineStr">
        <is>
          <t>EW</t>
        </is>
      </c>
      <c r="G98" s="15">
        <f>IF(ISBLANK('By Round'!G131),"",'By Round'!G131)</f>
        <v/>
      </c>
      <c r="H98" s="15">
        <f>IF(ISBLANK('By Round'!H131),"",'By Round'!H131)</f>
        <v/>
      </c>
      <c r="I98" s="15">
        <f>IF(ISBLANK('By Round'!I131),"",'By Round'!I131)</f>
        <v/>
      </c>
      <c r="J98" s="15">
        <f>IF(ISBLANK('By Round'!J131),"",'By Round'!J131)</f>
        <v/>
      </c>
      <c r="K98" s="15">
        <f>IF(ISBLANK('By Round'!K131),"",'By Round'!K131)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t="n">
        <v>17</v>
      </c>
      <c r="B99">
        <f>'By Round'!A3</f>
        <v/>
      </c>
      <c r="C99">
        <f>'By Round'!B11</f>
        <v/>
      </c>
      <c r="D99">
        <f>'By Round'!C11</f>
        <v/>
      </c>
      <c r="E99">
        <f>'By Round'!D11</f>
        <v/>
      </c>
      <c r="F99" s="11" t="inlineStr">
        <is>
          <t>None</t>
        </is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>
        <f>'By Round'!A15</f>
        <v/>
      </c>
      <c r="C100">
        <f>'By Round'!B21</f>
        <v/>
      </c>
      <c r="D100">
        <f>'By Round'!C21</f>
        <v/>
      </c>
      <c r="E100">
        <f>'By Round'!D21</f>
        <v/>
      </c>
      <c r="F100" s="11" t="inlineStr">
        <is>
          <t>None</t>
        </is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>
        <f>'By Round'!A39</f>
        <v/>
      </c>
      <c r="C101">
        <f>'By Round'!B43</f>
        <v/>
      </c>
      <c r="D101">
        <f>'By Round'!C43</f>
        <v/>
      </c>
      <c r="E101">
        <f>'By Round'!D43</f>
        <v/>
      </c>
      <c r="F101" s="11" t="inlineStr">
        <is>
          <t>None</t>
        </is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>
        <f>'By Round'!A51</f>
        <v/>
      </c>
      <c r="C102">
        <f>'By Round'!B53</f>
        <v/>
      </c>
      <c r="D102">
        <f>'By Round'!C53</f>
        <v/>
      </c>
      <c r="E102">
        <f>'By Round'!D53</f>
        <v/>
      </c>
      <c r="F102" s="11" t="inlineStr">
        <is>
          <t>None</t>
        </is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>
        <f>'By Round'!A99</f>
        <v/>
      </c>
      <c r="C103">
        <f>'By Round'!B99</f>
        <v/>
      </c>
      <c r="D103">
        <f>'By Round'!C99</f>
        <v/>
      </c>
      <c r="E103">
        <f>'By Round'!D99</f>
        <v/>
      </c>
      <c r="F103" s="11" t="inlineStr">
        <is>
          <t>None</t>
        </is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5">
        <f>'By Round'!A123</f>
        <v/>
      </c>
      <c r="C104" s="15">
        <f>'By Round'!B133</f>
        <v/>
      </c>
      <c r="D104" s="15">
        <f>'By Round'!C133</f>
        <v/>
      </c>
      <c r="E104" s="15">
        <f>'By Round'!D133</f>
        <v/>
      </c>
      <c r="F104" s="16" t="inlineStr">
        <is>
          <t>None</t>
        </is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t="n">
        <v>18</v>
      </c>
      <c r="B105">
        <f>'By Round'!A3</f>
        <v/>
      </c>
      <c r="C105">
        <f>'By Round'!B11</f>
        <v/>
      </c>
      <c r="D105">
        <f>'By Round'!C11</f>
        <v/>
      </c>
      <c r="E105">
        <f>'By Round'!D11</f>
        <v/>
      </c>
      <c r="F105" s="11" t="inlineStr">
        <is>
          <t>NS</t>
        </is>
      </c>
      <c r="G105">
        <f>IF(ISBLANK('By Round'!G11),"",'By Round'!G11)</f>
        <v/>
      </c>
      <c r="H105">
        <f>IF(ISBLANK('By Round'!H11),"",'By Round'!H11)</f>
        <v/>
      </c>
      <c r="I105">
        <f>IF(ISBLANK('By Round'!I11),"",'By Round'!I11)</f>
        <v/>
      </c>
      <c r="J105">
        <f>IF(ISBLANK('By Round'!J11),"",'By Round'!J11)</f>
        <v/>
      </c>
      <c r="K105">
        <f>IF(ISBLANK('By Round'!K11),"",'By Round'!K11)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>
        <f>'By Round'!A15</f>
        <v/>
      </c>
      <c r="C106">
        <f>'By Round'!B21</f>
        <v/>
      </c>
      <c r="D106">
        <f>'By Round'!C21</f>
        <v/>
      </c>
      <c r="E106">
        <f>'By Round'!D21</f>
        <v/>
      </c>
      <c r="F106" s="11" t="inlineStr">
        <is>
          <t>NS</t>
        </is>
      </c>
      <c r="G106">
        <f>IF(ISBLANK('By Round'!G21),"",'By Round'!G21)</f>
        <v/>
      </c>
      <c r="H106">
        <f>IF(ISBLANK('By Round'!H21),"",'By Round'!H21)</f>
        <v/>
      </c>
      <c r="I106">
        <f>IF(ISBLANK('By Round'!I21),"",'By Round'!I21)</f>
        <v/>
      </c>
      <c r="J106">
        <f>IF(ISBLANK('By Round'!J21),"",'By Round'!J21)</f>
        <v/>
      </c>
      <c r="K106">
        <f>IF(ISBLANK('By Round'!K21),"",'By Round'!K21)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>
        <f>'By Round'!A39</f>
        <v/>
      </c>
      <c r="C107">
        <f>'By Round'!B43</f>
        <v/>
      </c>
      <c r="D107">
        <f>'By Round'!C43</f>
        <v/>
      </c>
      <c r="E107">
        <f>'By Round'!D43</f>
        <v/>
      </c>
      <c r="F107" s="11" t="inlineStr">
        <is>
          <t>NS</t>
        </is>
      </c>
      <c r="G107">
        <f>IF(ISBLANK('By Round'!G43),"",'By Round'!G43)</f>
        <v/>
      </c>
      <c r="H107">
        <f>IF(ISBLANK('By Round'!H43),"",'By Round'!H43)</f>
        <v/>
      </c>
      <c r="I107">
        <f>IF(ISBLANK('By Round'!I43),"",'By Round'!I43)</f>
        <v/>
      </c>
      <c r="J107">
        <f>IF(ISBLANK('By Round'!J43),"",'By Round'!J43)</f>
        <v/>
      </c>
      <c r="K107">
        <f>IF(ISBLANK('By Round'!K43),"",'By Round'!K43)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>
        <f>'By Round'!A51</f>
        <v/>
      </c>
      <c r="C108">
        <f>'By Round'!B53</f>
        <v/>
      </c>
      <c r="D108">
        <f>'By Round'!C53</f>
        <v/>
      </c>
      <c r="E108">
        <f>'By Round'!D53</f>
        <v/>
      </c>
      <c r="F108" s="11" t="inlineStr">
        <is>
          <t>NS</t>
        </is>
      </c>
      <c r="G108">
        <f>IF(ISBLANK('By Round'!G53),"",'By Round'!G53)</f>
        <v/>
      </c>
      <c r="H108">
        <f>IF(ISBLANK('By Round'!H53),"",'By Round'!H53)</f>
        <v/>
      </c>
      <c r="I108">
        <f>IF(ISBLANK('By Round'!I53),"",'By Round'!I53)</f>
        <v/>
      </c>
      <c r="J108">
        <f>IF(ISBLANK('By Round'!J53),"",'By Round'!J53)</f>
        <v/>
      </c>
      <c r="K108">
        <f>IF(ISBLANK('By Round'!K53),"",'By Round'!K53)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>
        <f>'By Round'!A99</f>
        <v/>
      </c>
      <c r="C109">
        <f>'By Round'!B99</f>
        <v/>
      </c>
      <c r="D109">
        <f>'By Round'!C99</f>
        <v/>
      </c>
      <c r="E109">
        <f>'By Round'!D99</f>
        <v/>
      </c>
      <c r="F109" s="11" t="inlineStr">
        <is>
          <t>NS</t>
        </is>
      </c>
      <c r="G109">
        <f>IF(ISBLANK('By Round'!G99),"",'By Round'!G99)</f>
        <v/>
      </c>
      <c r="H109">
        <f>IF(ISBLANK('By Round'!H99),"",'By Round'!H99)</f>
        <v/>
      </c>
      <c r="I109">
        <f>IF(ISBLANK('By Round'!I99),"",'By Round'!I99)</f>
        <v/>
      </c>
      <c r="J109">
        <f>IF(ISBLANK('By Round'!J99),"",'By Round'!J99)</f>
        <v/>
      </c>
      <c r="K109">
        <f>IF(ISBLANK('By Round'!K99),"",'By Round'!K99)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5">
        <f>'By Round'!A123</f>
        <v/>
      </c>
      <c r="C110" s="15">
        <f>'By Round'!B133</f>
        <v/>
      </c>
      <c r="D110" s="15">
        <f>'By Round'!C133</f>
        <v/>
      </c>
      <c r="E110" s="15">
        <f>'By Round'!D133</f>
        <v/>
      </c>
      <c r="F110" s="16" t="inlineStr">
        <is>
          <t>NS</t>
        </is>
      </c>
      <c r="G110" s="15">
        <f>IF(ISBLANK('By Round'!G133),"",'By Round'!G133)</f>
        <v/>
      </c>
      <c r="H110" s="15">
        <f>IF(ISBLANK('By Round'!H133),"",'By Round'!H133)</f>
        <v/>
      </c>
      <c r="I110" s="15">
        <f>IF(ISBLANK('By Round'!I133),"",'By Round'!I133)</f>
        <v/>
      </c>
      <c r="J110" s="15">
        <f>IF(ISBLANK('By Round'!J133),"",'By Round'!J133)</f>
        <v/>
      </c>
      <c r="K110" s="15">
        <f>IF(ISBLANK('By Round'!K133),"",'By Round'!K133)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t="n">
        <v>19</v>
      </c>
      <c r="B111">
        <f>'By Round'!A3</f>
        <v/>
      </c>
      <c r="C111">
        <f>'By Round'!B13</f>
        <v/>
      </c>
      <c r="D111">
        <f>'By Round'!C13</f>
        <v/>
      </c>
      <c r="E111">
        <f>'By Round'!D13</f>
        <v/>
      </c>
      <c r="F111" s="11" t="inlineStr">
        <is>
          <t>EW</t>
        </is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>
        <f>'By Round'!A15</f>
        <v/>
      </c>
      <c r="C112">
        <f>'By Round'!B23</f>
        <v/>
      </c>
      <c r="D112">
        <f>'By Round'!C23</f>
        <v/>
      </c>
      <c r="E112">
        <f>'By Round'!D23</f>
        <v/>
      </c>
      <c r="F112" s="11" t="inlineStr">
        <is>
          <t>EW</t>
        </is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>
        <f>'By Round'!A27</f>
        <v/>
      </c>
      <c r="C113">
        <f>'By Round'!B33</f>
        <v/>
      </c>
      <c r="D113">
        <f>'By Round'!C33</f>
        <v/>
      </c>
      <c r="E113">
        <f>'By Round'!D33</f>
        <v/>
      </c>
      <c r="F113" s="11" t="inlineStr">
        <is>
          <t>EW</t>
        </is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>
        <f>'By Round'!A51</f>
        <v/>
      </c>
      <c r="C114">
        <f>'By Round'!B55</f>
        <v/>
      </c>
      <c r="D114">
        <f>'By Round'!C55</f>
        <v/>
      </c>
      <c r="E114">
        <f>'By Round'!D55</f>
        <v/>
      </c>
      <c r="F114" s="11" t="inlineStr">
        <is>
          <t>EW</t>
        </is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>
        <f>'By Round'!A63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EW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5">
        <f>'By Round'!A111</f>
        <v/>
      </c>
      <c r="C116" s="15">
        <f>'By Round'!B111</f>
        <v/>
      </c>
      <c r="D116" s="15">
        <f>'By Round'!C111</f>
        <v/>
      </c>
      <c r="E116" s="15">
        <f>'By Round'!D111</f>
        <v/>
      </c>
      <c r="F116" s="16" t="inlineStr">
        <is>
          <t>EW</t>
        </is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t="n">
        <v>20</v>
      </c>
      <c r="B117">
        <f>'By Round'!A3</f>
        <v/>
      </c>
      <c r="C117">
        <f>'By Round'!B13</f>
        <v/>
      </c>
      <c r="D117">
        <f>'By Round'!C13</f>
        <v/>
      </c>
      <c r="E117">
        <f>'By Round'!D13</f>
        <v/>
      </c>
      <c r="F117" s="11" t="inlineStr">
        <is>
          <t>Both</t>
        </is>
      </c>
      <c r="G117">
        <f>IF(ISBLANK('By Round'!G13),"",'By Round'!G13)</f>
        <v/>
      </c>
      <c r="H117">
        <f>IF(ISBLANK('By Round'!H13),"",'By Round'!H13)</f>
        <v/>
      </c>
      <c r="I117">
        <f>IF(ISBLANK('By Round'!I13),"",'By Round'!I13)</f>
        <v/>
      </c>
      <c r="J117">
        <f>IF(ISBLANK('By Round'!J13),"",'By Round'!J13)</f>
        <v/>
      </c>
      <c r="K117">
        <f>IF(ISBLANK('By Round'!K13),"",'By Round'!K13)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>
        <f>'By Round'!A15</f>
        <v/>
      </c>
      <c r="C118">
        <f>'By Round'!B23</f>
        <v/>
      </c>
      <c r="D118">
        <f>'By Round'!C23</f>
        <v/>
      </c>
      <c r="E118">
        <f>'By Round'!D23</f>
        <v/>
      </c>
      <c r="F118" s="11" t="inlineStr">
        <is>
          <t>Both</t>
        </is>
      </c>
      <c r="G118">
        <f>IF(ISBLANK('By Round'!G23),"",'By Round'!G23)</f>
        <v/>
      </c>
      <c r="H118">
        <f>IF(ISBLANK('By Round'!H23),"",'By Round'!H23)</f>
        <v/>
      </c>
      <c r="I118">
        <f>IF(ISBLANK('By Round'!I23),"",'By Round'!I23)</f>
        <v/>
      </c>
      <c r="J118">
        <f>IF(ISBLANK('By Round'!J23),"",'By Round'!J23)</f>
        <v/>
      </c>
      <c r="K118">
        <f>IF(ISBLANK('By Round'!K23),"",'By Round'!K23)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>
        <f>'By Round'!A27</f>
        <v/>
      </c>
      <c r="C119">
        <f>'By Round'!B33</f>
        <v/>
      </c>
      <c r="D119">
        <f>'By Round'!C33</f>
        <v/>
      </c>
      <c r="E119">
        <f>'By Round'!D33</f>
        <v/>
      </c>
      <c r="F119" s="11" t="inlineStr">
        <is>
          <t>Both</t>
        </is>
      </c>
      <c r="G119">
        <f>IF(ISBLANK('By Round'!G33),"",'By Round'!G33)</f>
        <v/>
      </c>
      <c r="H119">
        <f>IF(ISBLANK('By Round'!H33),"",'By Round'!H33)</f>
        <v/>
      </c>
      <c r="I119">
        <f>IF(ISBLANK('By Round'!I33),"",'By Round'!I33)</f>
        <v/>
      </c>
      <c r="J119">
        <f>IF(ISBLANK('By Round'!J33),"",'By Round'!J33)</f>
        <v/>
      </c>
      <c r="K119">
        <f>IF(ISBLANK('By Round'!K33),"",'By Round'!K33)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>
        <f>'By Round'!A51</f>
        <v/>
      </c>
      <c r="C120">
        <f>'By Round'!B55</f>
        <v/>
      </c>
      <c r="D120">
        <f>'By Round'!C55</f>
        <v/>
      </c>
      <c r="E120">
        <f>'By Round'!D55</f>
        <v/>
      </c>
      <c r="F120" s="11" t="inlineStr">
        <is>
          <t>Both</t>
        </is>
      </c>
      <c r="G120">
        <f>IF(ISBLANK('By Round'!G55),"",'By Round'!G55)</f>
        <v/>
      </c>
      <c r="H120">
        <f>IF(ISBLANK('By Round'!H55),"",'By Round'!H55)</f>
        <v/>
      </c>
      <c r="I120">
        <f>IF(ISBLANK('By Round'!I55),"",'By Round'!I55)</f>
        <v/>
      </c>
      <c r="J120">
        <f>IF(ISBLANK('By Round'!J55),"",'By Round'!J55)</f>
        <v/>
      </c>
      <c r="K120">
        <f>IF(ISBLANK('By Round'!K55),"",'By Round'!K55)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>
        <f>'By Round'!A63</f>
        <v/>
      </c>
      <c r="C121">
        <f>'By Round'!B65</f>
        <v/>
      </c>
      <c r="D121">
        <f>'By Round'!C65</f>
        <v/>
      </c>
      <c r="E121">
        <f>'By Round'!D65</f>
        <v/>
      </c>
      <c r="F121" s="11" t="inlineStr">
        <is>
          <t>Both</t>
        </is>
      </c>
      <c r="G121">
        <f>IF(ISBLANK('By Round'!G65),"",'By Round'!G65)</f>
        <v/>
      </c>
      <c r="H121">
        <f>IF(ISBLANK('By Round'!H65),"",'By Round'!H65)</f>
        <v/>
      </c>
      <c r="I121">
        <f>IF(ISBLANK('By Round'!I65),"",'By Round'!I65)</f>
        <v/>
      </c>
      <c r="J121">
        <f>IF(ISBLANK('By Round'!J65),"",'By Round'!J65)</f>
        <v/>
      </c>
      <c r="K121">
        <f>IF(ISBLANK('By Round'!K65),"",'By Round'!K65)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5">
        <f>'By Round'!A111</f>
        <v/>
      </c>
      <c r="C122" s="15">
        <f>'By Round'!B111</f>
        <v/>
      </c>
      <c r="D122" s="15">
        <f>'By Round'!C111</f>
        <v/>
      </c>
      <c r="E122" s="15">
        <f>'By Round'!D111</f>
        <v/>
      </c>
      <c r="F122" s="16" t="inlineStr">
        <is>
          <t>Both</t>
        </is>
      </c>
      <c r="G122" s="15">
        <f>IF(ISBLANK('By Round'!G111),"",'By Round'!G111)</f>
        <v/>
      </c>
      <c r="H122" s="15">
        <f>IF(ISBLANK('By Round'!H111),"",'By Round'!H111)</f>
        <v/>
      </c>
      <c r="I122" s="15">
        <f>IF(ISBLANK('By Round'!I111),"",'By Round'!I111)</f>
        <v/>
      </c>
      <c r="J122" s="15">
        <f>IF(ISBLANK('By Round'!J111),"",'By Round'!J111)</f>
        <v/>
      </c>
      <c r="K122" s="15">
        <f>IF(ISBLANK('By Round'!K111),"",'By Round'!K111)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t="n">
        <v>21</v>
      </c>
      <c r="B123">
        <f>'By Round'!A15</f>
        <v/>
      </c>
      <c r="C123">
        <f>'By Round'!B25</f>
        <v/>
      </c>
      <c r="D123">
        <f>'By Round'!C25</f>
        <v/>
      </c>
      <c r="E123">
        <f>'By Round'!D25</f>
        <v/>
      </c>
      <c r="F123" s="11" t="inlineStr">
        <is>
          <t>NS</t>
        </is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>
        <f>'By Round'!A27</f>
        <v/>
      </c>
      <c r="C124">
        <f>'By Round'!B35</f>
        <v/>
      </c>
      <c r="D124">
        <f>'By Round'!C35</f>
        <v/>
      </c>
      <c r="E124">
        <f>'By Round'!D35</f>
        <v/>
      </c>
      <c r="F124" s="11" t="inlineStr">
        <is>
          <t>NS</t>
        </is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>
        <f>'By Round'!A39</f>
        <v/>
      </c>
      <c r="C125">
        <f>'By Round'!B45</f>
        <v/>
      </c>
      <c r="D125">
        <f>'By Round'!C45</f>
        <v/>
      </c>
      <c r="E125">
        <f>'By Round'!D45</f>
        <v/>
      </c>
      <c r="F125" s="11" t="inlineStr">
        <is>
          <t>NS</t>
        </is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>
        <f>'By Round'!A63</f>
        <v/>
      </c>
      <c r="C126">
        <f>'By Round'!B67</f>
        <v/>
      </c>
      <c r="D126">
        <f>'By Round'!C67</f>
        <v/>
      </c>
      <c r="E126">
        <f>'By Round'!D67</f>
        <v/>
      </c>
      <c r="F126" s="11" t="inlineStr">
        <is>
          <t>NS</t>
        </is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>
        <f>'By Round'!A75</f>
        <v/>
      </c>
      <c r="C127">
        <f>'By Round'!B77</f>
        <v/>
      </c>
      <c r="D127">
        <f>'By Round'!C77</f>
        <v/>
      </c>
      <c r="E127">
        <f>'By Round'!D77</f>
        <v/>
      </c>
      <c r="F127" s="11" t="inlineStr">
        <is>
          <t>NS</t>
        </is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5">
        <f>'By Round'!A123</f>
        <v/>
      </c>
      <c r="C128" s="15">
        <f>'By Round'!B123</f>
        <v/>
      </c>
      <c r="D128" s="15">
        <f>'By Round'!C123</f>
        <v/>
      </c>
      <c r="E128" s="15">
        <f>'By Round'!D123</f>
        <v/>
      </c>
      <c r="F128" s="16" t="inlineStr">
        <is>
          <t>NS</t>
        </is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t="n">
        <v>22</v>
      </c>
      <c r="B129">
        <f>'By Round'!A15</f>
        <v/>
      </c>
      <c r="C129">
        <f>'By Round'!B25</f>
        <v/>
      </c>
      <c r="D129">
        <f>'By Round'!C25</f>
        <v/>
      </c>
      <c r="E129">
        <f>'By Round'!D25</f>
        <v/>
      </c>
      <c r="F129" s="11" t="inlineStr">
        <is>
          <t>EW</t>
        </is>
      </c>
      <c r="G129">
        <f>IF(ISBLANK('By Round'!G25),"",'By Round'!G25)</f>
        <v/>
      </c>
      <c r="H129">
        <f>IF(ISBLANK('By Round'!H25),"",'By Round'!H25)</f>
        <v/>
      </c>
      <c r="I129">
        <f>IF(ISBLANK('By Round'!I25),"",'By Round'!I25)</f>
        <v/>
      </c>
      <c r="J129">
        <f>IF(ISBLANK('By Round'!J25),"",'By Round'!J25)</f>
        <v/>
      </c>
      <c r="K129">
        <f>IF(ISBLANK('By Round'!K25),"",'By Round'!K25)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>
        <f>'By Round'!A27</f>
        <v/>
      </c>
      <c r="C130">
        <f>'By Round'!B35</f>
        <v/>
      </c>
      <c r="D130">
        <f>'By Round'!C35</f>
        <v/>
      </c>
      <c r="E130">
        <f>'By Round'!D35</f>
        <v/>
      </c>
      <c r="F130" s="11" t="inlineStr">
        <is>
          <t>EW</t>
        </is>
      </c>
      <c r="G130">
        <f>IF(ISBLANK('By Round'!G35),"",'By Round'!G35)</f>
        <v/>
      </c>
      <c r="H130">
        <f>IF(ISBLANK('By Round'!H35),"",'By Round'!H35)</f>
        <v/>
      </c>
      <c r="I130">
        <f>IF(ISBLANK('By Round'!I35),"",'By Round'!I35)</f>
        <v/>
      </c>
      <c r="J130">
        <f>IF(ISBLANK('By Round'!J35),"",'By Round'!J35)</f>
        <v/>
      </c>
      <c r="K130">
        <f>IF(ISBLANK('By Round'!K35),"",'By Round'!K35)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>
        <f>'By Round'!A39</f>
        <v/>
      </c>
      <c r="C131">
        <f>'By Round'!B45</f>
        <v/>
      </c>
      <c r="D131">
        <f>'By Round'!C45</f>
        <v/>
      </c>
      <c r="E131">
        <f>'By Round'!D45</f>
        <v/>
      </c>
      <c r="F131" s="11" t="inlineStr">
        <is>
          <t>EW</t>
        </is>
      </c>
      <c r="G131">
        <f>IF(ISBLANK('By Round'!G45),"",'By Round'!G45)</f>
        <v/>
      </c>
      <c r="H131">
        <f>IF(ISBLANK('By Round'!H45),"",'By Round'!H45)</f>
        <v/>
      </c>
      <c r="I131">
        <f>IF(ISBLANK('By Round'!I45),"",'By Round'!I45)</f>
        <v/>
      </c>
      <c r="J131">
        <f>IF(ISBLANK('By Round'!J45),"",'By Round'!J45)</f>
        <v/>
      </c>
      <c r="K131">
        <f>IF(ISBLANK('By Round'!K45),"",'By Round'!K45)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>
        <f>'By Round'!A63</f>
        <v/>
      </c>
      <c r="C132">
        <f>'By Round'!B67</f>
        <v/>
      </c>
      <c r="D132">
        <f>'By Round'!C67</f>
        <v/>
      </c>
      <c r="E132">
        <f>'By Round'!D67</f>
        <v/>
      </c>
      <c r="F132" s="11" t="inlineStr">
        <is>
          <t>EW</t>
        </is>
      </c>
      <c r="G132">
        <f>IF(ISBLANK('By Round'!G67),"",'By Round'!G67)</f>
        <v/>
      </c>
      <c r="H132">
        <f>IF(ISBLANK('By Round'!H67),"",'By Round'!H67)</f>
        <v/>
      </c>
      <c r="I132">
        <f>IF(ISBLANK('By Round'!I67),"",'By Round'!I67)</f>
        <v/>
      </c>
      <c r="J132">
        <f>IF(ISBLANK('By Round'!J67),"",'By Round'!J67)</f>
        <v/>
      </c>
      <c r="K132">
        <f>IF(ISBLANK('By Round'!K67),"",'By Round'!K67)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>
        <f>'By Round'!A75</f>
        <v/>
      </c>
      <c r="C133">
        <f>'By Round'!B77</f>
        <v/>
      </c>
      <c r="D133">
        <f>'By Round'!C77</f>
        <v/>
      </c>
      <c r="E133">
        <f>'By Round'!D77</f>
        <v/>
      </c>
      <c r="F133" s="11" t="inlineStr">
        <is>
          <t>EW</t>
        </is>
      </c>
      <c r="G133">
        <f>IF(ISBLANK('By Round'!G77),"",'By Round'!G77)</f>
        <v/>
      </c>
      <c r="H133">
        <f>IF(ISBLANK('By Round'!H77),"",'By Round'!H77)</f>
        <v/>
      </c>
      <c r="I133">
        <f>IF(ISBLANK('By Round'!I77),"",'By Round'!I77)</f>
        <v/>
      </c>
      <c r="J133">
        <f>IF(ISBLANK('By Round'!J77),"",'By Round'!J77)</f>
        <v/>
      </c>
      <c r="K133">
        <f>IF(ISBLANK('By Round'!K77),"",'By Round'!K77)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5">
        <f>'By Round'!A123</f>
        <v/>
      </c>
      <c r="C134" s="15">
        <f>'By Round'!B123</f>
        <v/>
      </c>
      <c r="D134" s="15">
        <f>'By Round'!C123</f>
        <v/>
      </c>
      <c r="E134" s="15">
        <f>'By Round'!D123</f>
        <v/>
      </c>
      <c r="F134" s="16" t="inlineStr">
        <is>
          <t>EW</t>
        </is>
      </c>
      <c r="G134" s="15">
        <f>IF(ISBLANK('By Round'!G123),"",'By Round'!G123)</f>
        <v/>
      </c>
      <c r="H134" s="15">
        <f>IF(ISBLANK('By Round'!H123),"",'By Round'!H123)</f>
        <v/>
      </c>
      <c r="I134" s="15">
        <f>IF(ISBLANK('By Round'!I123),"",'By Round'!I123)</f>
        <v/>
      </c>
      <c r="J134" s="15">
        <f>IF(ISBLANK('By Round'!J123),"",'By Round'!J123)</f>
        <v/>
      </c>
      <c r="K134" s="15">
        <f>IF(ISBLANK('By Round'!K123),"",'By Round'!K123)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12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n">
        <v>12</v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n">
        <v>12</v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n">
        <v>12</v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n">
        <v>12</v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n">
        <v>12</v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n">
        <v>12</v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n">
        <v>12</v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n">
        <v>12</v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n">
        <v>12</v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n">
        <v>12</v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2026-02-05T17:28:56Z</dcterms:created>
  <dcterms:modified xsi:type="dcterms:W3CDTF">2026-02-05T17:28:56Z</dcterms:modified>
</cp:coreProperties>
</file>