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12</t>
        </is>
      </c>
      <c r="C10" t="inlineStr">
        <is>
          <t>Name 38</t>
        </is>
      </c>
      <c r="D10" s="4">
        <f>SUMIF('By Board'!$D$3:$D$134,"=1",'By Board'!$O$3:$O$134)/22+SUMIF('By Board'!$E$3:$E$134,"=1",'By Board'!$P$3:$P$134)/22</f>
        <v/>
      </c>
      <c r="E10" s="5">
        <f>SUMIF('By Board'!$D$3:$D$134,"=1",'By Board'!$M$3:$M$134)+SUMIF('By Board'!$E$3:$E$134,"=1",'By Board'!$N$3:$N$134)</f>
        <v/>
      </c>
    </row>
    <row r="11">
      <c r="A11" s="2" t="n">
        <v>2</v>
      </c>
      <c r="B11" t="inlineStr">
        <is>
          <t>Name 39</t>
        </is>
      </c>
      <c r="C11" t="inlineStr">
        <is>
          <t>Name 18</t>
        </is>
      </c>
      <c r="D11" s="4">
        <f>SUMIF('By Board'!$D$3:$D$134,"=2",'By Board'!$O$3:$O$134)/22+SUMIF('By Board'!$E$3:$E$134,"=2",'By Board'!$P$3:$P$134)/22</f>
        <v/>
      </c>
      <c r="E11" s="5">
        <f>SUMIF('By Board'!$D$3:$D$134,"=2",'By Board'!$M$3:$M$134)+SUMIF('By Board'!$E$3:$E$134,"=2",'By Board'!$N$3:$N$134)</f>
        <v/>
      </c>
    </row>
    <row r="12">
      <c r="A12" s="2" t="n">
        <v>3</v>
      </c>
      <c r="B12" t="inlineStr">
        <is>
          <t>Name 24</t>
        </is>
      </c>
      <c r="C12" t="inlineStr">
        <is>
          <t>Name 78</t>
        </is>
      </c>
      <c r="D12" s="4">
        <f>SUMIF('By Board'!$D$3:$D$134,"=3",'By Board'!$O$3:$O$134)/22+SUMIF('By Board'!$E$3:$E$134,"=3",'By Board'!$P$3:$P$134)/22</f>
        <v/>
      </c>
      <c r="E12" s="5">
        <f>SUMIF('By Board'!$D$3:$D$134,"=3",'By Board'!$M$3:$M$134)+SUMIF('By Board'!$E$3:$E$134,"=3",'By Board'!$N$3:$N$134)</f>
        <v/>
      </c>
    </row>
    <row r="13">
      <c r="A13" s="2" t="n">
        <v>4</v>
      </c>
      <c r="B13" t="inlineStr">
        <is>
          <t>Name 90</t>
        </is>
      </c>
      <c r="C13" t="inlineStr">
        <is>
          <t>Name 18</t>
        </is>
      </c>
      <c r="D13" s="4">
        <f>SUMIF('By Board'!$D$3:$D$134,"=4",'By Board'!$O$3:$O$134)/22+SUMIF('By Board'!$E$3:$E$134,"=4",'By Board'!$P$3:$P$134)/22</f>
        <v/>
      </c>
      <c r="E13" s="5">
        <f>SUMIF('By Board'!$D$3:$D$134,"=4",'By Board'!$M$3:$M$134)+SUMIF('By Board'!$E$3:$E$134,"=4",'By Board'!$N$3:$N$134)</f>
        <v/>
      </c>
    </row>
    <row r="14">
      <c r="A14" s="2" t="n">
        <v>5</v>
      </c>
      <c r="B14" t="inlineStr">
        <is>
          <t>Name 72</t>
        </is>
      </c>
      <c r="C14" t="inlineStr">
        <is>
          <t>Name 58</t>
        </is>
      </c>
      <c r="D14" s="4">
        <f>SUMIF('By Board'!$D$3:$D$134,"=5",'By Board'!$O$3:$O$134)/22+SUMIF('By Board'!$E$3:$E$134,"=5",'By Board'!$P$3:$P$134)/22</f>
        <v/>
      </c>
      <c r="E14" s="5">
        <f>SUMIF('By Board'!$D$3:$D$134,"=5",'By Board'!$M$3:$M$134)+SUMIF('By Board'!$E$3:$E$134,"=5",'By Board'!$N$3:$N$134)</f>
        <v/>
      </c>
    </row>
    <row r="15">
      <c r="A15" s="2" t="n">
        <v>6</v>
      </c>
      <c r="B15" t="inlineStr">
        <is>
          <t>Name 78</t>
        </is>
      </c>
      <c r="C15" t="inlineStr">
        <is>
          <t>Name 89</t>
        </is>
      </c>
      <c r="D15" s="4">
        <f>SUMIF('By Board'!$D$3:$D$134,"=6",'By Board'!$O$3:$O$134)/22+SUMIF('By Board'!$E$3:$E$134,"=6",'By Board'!$P$3:$P$134)/22</f>
        <v/>
      </c>
      <c r="E15" s="5">
        <f>SUMIF('By Board'!$D$3:$D$134,"=6",'By Board'!$M$3:$M$134)+SUMIF('By Board'!$E$3:$E$134,"=6",'By Board'!$N$3:$N$134)</f>
        <v/>
      </c>
    </row>
    <row r="16">
      <c r="A16" s="2" t="n">
        <v>7</v>
      </c>
      <c r="B16" t="inlineStr">
        <is>
          <t>Name 40</t>
        </is>
      </c>
      <c r="C16" t="inlineStr">
        <is>
          <t>Name 24</t>
        </is>
      </c>
      <c r="D16" s="4">
        <f>SUMIF('By Board'!$D$3:$D$134,"=7",'By Board'!$O$3:$O$134)/22+SUMIF('By Board'!$E$3:$E$134,"=7",'By Board'!$P$3:$P$134)/22</f>
        <v/>
      </c>
      <c r="E16" s="5">
        <f>SUMIF('By Board'!$D$3:$D$134,"=7",'By Board'!$M$3:$M$134)+SUMIF('By Board'!$E$3:$E$134,"=7",'By Board'!$N$3:$N$134)</f>
        <v/>
      </c>
    </row>
    <row r="17">
      <c r="A17" s="2" t="n">
        <v>8</v>
      </c>
      <c r="B17" t="inlineStr">
        <is>
          <t>Name 87</t>
        </is>
      </c>
      <c r="C17" t="inlineStr">
        <is>
          <t>Name 31</t>
        </is>
      </c>
      <c r="D17" s="4">
        <f>SUMIF('By Board'!$D$3:$D$134,"=8",'By Board'!$O$3:$O$134)/22+SUMIF('By Board'!$E$3:$E$134,"=8",'By Board'!$P$3:$P$134)/22</f>
        <v/>
      </c>
      <c r="E17" s="5">
        <f>SUMIF('By Board'!$D$3:$D$134,"=8",'By Board'!$M$3:$M$134)+SUMIF('By Board'!$E$3:$E$134,"=8",'By Board'!$N$3:$N$134)</f>
        <v/>
      </c>
    </row>
    <row r="18">
      <c r="A18" s="2" t="n">
        <v>9</v>
      </c>
      <c r="B18" t="inlineStr">
        <is>
          <t>Name 29</t>
        </is>
      </c>
      <c r="C18" t="inlineStr">
        <is>
          <t>Name 89</t>
        </is>
      </c>
      <c r="D18" s="4">
        <f>SUMIF('By Board'!$D$3:$D$134,"=9",'By Board'!$O$3:$O$134)/22+SUMIF('By Board'!$E$3:$E$134,"=9",'By Board'!$P$3:$P$134)/22</f>
        <v/>
      </c>
      <c r="E18" s="5">
        <f>SUMIF('By Board'!$D$3:$D$134,"=9",'By Board'!$M$3:$M$134)+SUMIF('By Board'!$E$3:$E$134,"=9",'By Board'!$N$3:$N$134)</f>
        <v/>
      </c>
    </row>
    <row r="19">
      <c r="A19" s="2" t="n">
        <v>10</v>
      </c>
      <c r="B19" t="inlineStr">
        <is>
          <t>Name 61</t>
        </is>
      </c>
      <c r="C19" t="inlineStr">
        <is>
          <t>Name 38</t>
        </is>
      </c>
      <c r="D19" s="4">
        <f>SUMIF('By Board'!$D$3:$D$134,"=10",'By Board'!$O$3:$O$134)/22+SUMIF('By Board'!$E$3:$E$134,"=10",'By Board'!$P$3:$P$134)/22</f>
        <v/>
      </c>
      <c r="E19" s="5">
        <f>SUMIF('By Board'!$D$3:$D$134,"=10",'By Board'!$M$3:$M$134)+SUMIF('By Board'!$E$3:$E$134,"=10",'By Board'!$N$3:$N$134)</f>
        <v/>
      </c>
    </row>
    <row r="20">
      <c r="A20" s="2" t="n">
        <v>11</v>
      </c>
      <c r="B20" t="inlineStr">
        <is>
          <t>Name 81</t>
        </is>
      </c>
      <c r="C20" t="inlineStr">
        <is>
          <t>Name 17</t>
        </is>
      </c>
      <c r="D20" s="4">
        <f>SUMIF('By Board'!$D$3:$D$134,"=11",'By Board'!$O$3:$O$134)/22+SUMIF('By Board'!$E$3:$E$134,"=11",'By Board'!$P$3:$P$134)/22</f>
        <v/>
      </c>
      <c r="E20" s="5">
        <f>SUMIF('By Board'!$D$3:$D$134,"=11",'By Board'!$M$3:$M$134)+SUMIF('By Board'!$E$3:$E$134,"=11",'By Board'!$N$3:$N$134)</f>
        <v/>
      </c>
    </row>
    <row r="21">
      <c r="A21" s="2" t="n">
        <v>12</v>
      </c>
      <c r="B21" t="inlineStr">
        <is>
          <t>Name 51</t>
        </is>
      </c>
      <c r="C21" t="inlineStr">
        <is>
          <t>Name 82</t>
        </is>
      </c>
      <c r="D21" s="4">
        <f>SUMIF('By Board'!$D$3:$D$134,"=12",'By Board'!$O$3:$O$134)/22+0/22</f>
        <v/>
      </c>
      <c r="E21" s="5">
        <f>SUMIF('By Board'!$D$3:$D$134,"=12",'By Board'!$M$3:$M$134)+0</f>
        <v/>
      </c>
    </row>
    <row r="22">
      <c r="D22" s="6">
        <f>AVERAGE(D10:D21)</f>
        <v/>
      </c>
      <c r="E22" s="7">
        <f>SUM(E10:E21)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Round'!A75</f>
        <v/>
      </c>
      <c r="C3" s="10">
        <f>'By Round'!B79</f>
        <v/>
      </c>
      <c r="D3" s="10">
        <f>'By Round'!C79</f>
        <v/>
      </c>
      <c r="E3" s="10">
        <f>'By Round'!D79</f>
        <v/>
      </c>
      <c r="F3" s="10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>
        <f>IF(ISBLANK('By Round'!L79),"",'By Round'!L79)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Round'!A39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Round'!A51</f>
        <v/>
      </c>
      <c r="C5" s="10">
        <f>'By Round'!B57</f>
        <v/>
      </c>
      <c r="D5" s="10">
        <f>'By Round'!C57</f>
        <v/>
      </c>
      <c r="E5" s="10">
        <f>'By Round'!D57</f>
        <v/>
      </c>
      <c r="F5" s="10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>
        <f>IF(ISBLANK('By Round'!L57),"",'By Round'!L57)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Round'!A87</f>
        <v/>
      </c>
      <c r="C6" s="10">
        <f>'By Round'!B89</f>
        <v/>
      </c>
      <c r="D6" s="10">
        <f>'By Round'!C89</f>
        <v/>
      </c>
      <c r="E6" s="10">
        <f>'By Round'!D89</f>
        <v/>
      </c>
      <c r="F6" s="10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>
        <f>IF(ISBLANK('By Round'!L89),"",'By Round'!L89)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Round'!A27</f>
        <v/>
      </c>
      <c r="C7" s="10">
        <f>'By Round'!B37</f>
        <v/>
      </c>
      <c r="D7" s="10">
        <f>'By Round'!C37</f>
        <v/>
      </c>
      <c r="E7" s="10">
        <f>'By Round'!D37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5">
        <f>IF(ISBLANK('By Round'!L3),"",'By Round'!L3)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Round'!A75</f>
        <v/>
      </c>
      <c r="C9" s="10">
        <f>'By Round'!B79</f>
        <v/>
      </c>
      <c r="D9" s="10">
        <f>'By Round'!C79</f>
        <v/>
      </c>
      <c r="E9" s="10">
        <f>'By Round'!D79</f>
        <v/>
      </c>
      <c r="F9" s="10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>
        <f>IF(ISBLANK('By Round'!L80),"",'By Round'!L80)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Round'!A39</f>
        <v/>
      </c>
      <c r="C10" s="10">
        <f>'By Round'!B47</f>
        <v/>
      </c>
      <c r="D10" s="10">
        <f>'By Round'!C47</f>
        <v/>
      </c>
      <c r="E10" s="10">
        <f>'By Round'!D47</f>
        <v/>
      </c>
      <c r="F10" s="10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>
        <f>IF(ISBLANK('By Round'!L48),"",'By Round'!L48)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Round'!A51</f>
        <v/>
      </c>
      <c r="C11" s="10">
        <f>'By Round'!B57</f>
        <v/>
      </c>
      <c r="D11" s="10">
        <f>'By Round'!C57</f>
        <v/>
      </c>
      <c r="E11" s="10">
        <f>'By Round'!D57</f>
        <v/>
      </c>
      <c r="F11" s="10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Round'!A87</f>
        <v/>
      </c>
      <c r="C12" s="10">
        <f>'By Round'!B89</f>
        <v/>
      </c>
      <c r="D12" s="10">
        <f>'By Round'!C89</f>
        <v/>
      </c>
      <c r="E12" s="10">
        <f>'By Round'!D89</f>
        <v/>
      </c>
      <c r="F12" s="10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>
        <f>IF(ISBLANK('By Round'!L90),"",'By Round'!L90)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Round'!A27</f>
        <v/>
      </c>
      <c r="C13" s="10">
        <f>'By Round'!B37</f>
        <v/>
      </c>
      <c r="D13" s="10">
        <f>'By Round'!C37</f>
        <v/>
      </c>
      <c r="E13" s="10">
        <f>'By Round'!D37</f>
        <v/>
      </c>
      <c r="F13" s="10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>
        <f>IF(ISBLANK('By Round'!L38),"",'By Round'!L38)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5">
        <f>IF(ISBLANK('By Round'!L4),"",'By Round'!L4)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Round'!A39</f>
        <v/>
      </c>
      <c r="C15" s="10">
        <f>'By Round'!B49</f>
        <v/>
      </c>
      <c r="D15" s="10">
        <f>'By Round'!C49</f>
        <v/>
      </c>
      <c r="E15" s="10">
        <f>'By Round'!D49</f>
        <v/>
      </c>
      <c r="F15" s="10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>
        <f>IF(ISBLANK('By Round'!L49),"",'By Round'!L49)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Round'!A87</f>
        <v/>
      </c>
      <c r="C16" s="10">
        <f>'By Round'!B91</f>
        <v/>
      </c>
      <c r="D16" s="10">
        <f>'By Round'!C91</f>
        <v/>
      </c>
      <c r="E16" s="10">
        <f>'By Round'!D91</f>
        <v/>
      </c>
      <c r="F16" s="10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>
        <f>IF(ISBLANK('By Round'!L91),"",'By Round'!L91)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Round'!A51</f>
        <v/>
      </c>
      <c r="C17" s="10">
        <f>'By Round'!B59</f>
        <v/>
      </c>
      <c r="D17" s="10">
        <f>'By Round'!C59</f>
        <v/>
      </c>
      <c r="E17" s="10">
        <f>'By Round'!D59</f>
        <v/>
      </c>
      <c r="F17" s="10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>
        <f>IF(ISBLANK('By Round'!L59),"",'By Round'!L59)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Round'!A63</f>
        <v/>
      </c>
      <c r="C18" s="10">
        <f>'By Round'!B69</f>
        <v/>
      </c>
      <c r="D18" s="10">
        <f>'By Round'!C69</f>
        <v/>
      </c>
      <c r="E18" s="10">
        <f>'By Round'!D69</f>
        <v/>
      </c>
      <c r="F18" s="10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>
        <f>IF(ISBLANK('By Round'!L69),"",'By Round'!L69)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Round'!A99</f>
        <v/>
      </c>
      <c r="C19" s="10">
        <f>'By Round'!B101</f>
        <v/>
      </c>
      <c r="D19" s="10">
        <f>'By Round'!C101</f>
        <v/>
      </c>
      <c r="E19" s="10">
        <f>'By Round'!D101</f>
        <v/>
      </c>
      <c r="F19" s="10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>
        <f>IF(ISBLANK('By Round'!L101),"",'By Round'!L101)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5">
        <f>IF(ISBLANK('By Round'!L15),"",'By Round'!L15)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Round'!A39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>
        <f>IF(ISBLANK('By Round'!L50),"",'By Round'!L50)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Round'!A87</f>
        <v/>
      </c>
      <c r="C22" s="10">
        <f>'By Round'!B91</f>
        <v/>
      </c>
      <c r="D22" s="10">
        <f>'By Round'!C91</f>
        <v/>
      </c>
      <c r="E22" s="10">
        <f>'By Round'!D91</f>
        <v/>
      </c>
      <c r="F22" s="10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>
        <f>IF(ISBLANK('By Round'!L92),"",'By Round'!L92)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Round'!A51</f>
        <v/>
      </c>
      <c r="C23" s="10">
        <f>'By Round'!B59</f>
        <v/>
      </c>
      <c r="D23" s="10">
        <f>'By Round'!C59</f>
        <v/>
      </c>
      <c r="E23" s="10">
        <f>'By Round'!D59</f>
        <v/>
      </c>
      <c r="F23" s="10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>
        <f>IF(ISBLANK('By Round'!L60),"",'By Round'!L60)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Round'!A63</f>
        <v/>
      </c>
      <c r="C24" s="10">
        <f>'By Round'!B69</f>
        <v/>
      </c>
      <c r="D24" s="10">
        <f>'By Round'!C69</f>
        <v/>
      </c>
      <c r="E24" s="10">
        <f>'By Round'!D69</f>
        <v/>
      </c>
      <c r="F24" s="10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>
        <f>IF(ISBLANK('By Round'!L70),"",'By Round'!L70)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Round'!A99</f>
        <v/>
      </c>
      <c r="C25" s="10">
        <f>'By Round'!B101</f>
        <v/>
      </c>
      <c r="D25" s="10">
        <f>'By Round'!C101</f>
        <v/>
      </c>
      <c r="E25" s="10">
        <f>'By Round'!D101</f>
        <v/>
      </c>
      <c r="F25" s="10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>
        <f>IF(ISBLANK('By Round'!L102),"",'By Round'!L102)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Round'!A111</f>
        <v/>
      </c>
      <c r="C27" s="10">
        <f>'By Round'!B113</f>
        <v/>
      </c>
      <c r="D27" s="10">
        <f>'By Round'!C113</f>
        <v/>
      </c>
      <c r="E27" s="10">
        <f>'By Round'!D113</f>
        <v/>
      </c>
      <c r="F27" s="10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>
        <f>IF(ISBLANK('By Round'!L113),"",'By Round'!L113)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Round'!A51</f>
        <v/>
      </c>
      <c r="C28" s="10">
        <f>'By Round'!B61</f>
        <v/>
      </c>
      <c r="D28" s="10">
        <f>'By Round'!C61</f>
        <v/>
      </c>
      <c r="E28" s="10">
        <f>'By Round'!D61</f>
        <v/>
      </c>
      <c r="F28" s="10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>
        <f>IF(ISBLANK('By Round'!L61),"",'By Round'!L61)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Round'!A99</f>
        <v/>
      </c>
      <c r="C29" s="10">
        <f>'By Round'!B103</f>
        <v/>
      </c>
      <c r="D29" s="10">
        <f>'By Round'!C103</f>
        <v/>
      </c>
      <c r="E29" s="10">
        <f>'By Round'!D103</f>
        <v/>
      </c>
      <c r="F29" s="10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>
        <f>IF(ISBLANK('By Round'!L103),"",'By Round'!L103)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Round'!A63</f>
        <v/>
      </c>
      <c r="C30" s="10">
        <f>'By Round'!B71</f>
        <v/>
      </c>
      <c r="D30" s="10">
        <f>'By Round'!C71</f>
        <v/>
      </c>
      <c r="E30" s="10">
        <f>'By Round'!D71</f>
        <v/>
      </c>
      <c r="F30" s="10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Round'!A75</f>
        <v/>
      </c>
      <c r="C31" s="10">
        <f>'By Round'!B81</f>
        <v/>
      </c>
      <c r="D31" s="10">
        <f>'By Round'!C81</f>
        <v/>
      </c>
      <c r="E31" s="10">
        <f>'By Round'!D81</f>
        <v/>
      </c>
      <c r="F31" s="10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>
        <f>IF(ISBLANK('By Round'!L81),"",'By Round'!L81)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5">
        <f>IF(ISBLANK('By Round'!L27),"",'By Round'!L27)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Round'!A111</f>
        <v/>
      </c>
      <c r="C33" s="10">
        <f>'By Round'!B113</f>
        <v/>
      </c>
      <c r="D33" s="10">
        <f>'By Round'!C113</f>
        <v/>
      </c>
      <c r="E33" s="10">
        <f>'By Round'!D113</f>
        <v/>
      </c>
      <c r="F33" s="10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>
        <f>IF(ISBLANK('By Round'!L114),"",'By Round'!L114)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Round'!A51</f>
        <v/>
      </c>
      <c r="C34" s="10">
        <f>'By Round'!B61</f>
        <v/>
      </c>
      <c r="D34" s="10">
        <f>'By Round'!C61</f>
        <v/>
      </c>
      <c r="E34" s="10">
        <f>'By Round'!D61</f>
        <v/>
      </c>
      <c r="F34" s="10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>
        <f>IF(ISBLANK('By Round'!L62),"",'By Round'!L62)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Round'!A99</f>
        <v/>
      </c>
      <c r="C35" s="10">
        <f>'By Round'!B103</f>
        <v/>
      </c>
      <c r="D35" s="10">
        <f>'By Round'!C103</f>
        <v/>
      </c>
      <c r="E35" s="10">
        <f>'By Round'!D103</f>
        <v/>
      </c>
      <c r="F35" s="10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>
        <f>IF(ISBLANK('By Round'!L104),"",'By Round'!L104)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Round'!A63</f>
        <v/>
      </c>
      <c r="C36" s="10">
        <f>'By Round'!B71</f>
        <v/>
      </c>
      <c r="D36" s="10">
        <f>'By Round'!C71</f>
        <v/>
      </c>
      <c r="E36" s="10">
        <f>'By Round'!D71</f>
        <v/>
      </c>
      <c r="F36" s="10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Round'!A75</f>
        <v/>
      </c>
      <c r="C37" s="10">
        <f>'By Round'!B81</f>
        <v/>
      </c>
      <c r="D37" s="10">
        <f>'By Round'!C81</f>
        <v/>
      </c>
      <c r="E37" s="10">
        <f>'By Round'!D81</f>
        <v/>
      </c>
      <c r="F37" s="10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>
        <f>IF(ISBLANK('By Round'!L82),"",'By Round'!L82)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5">
        <f>IF(ISBLANK('By Round'!L28),"",'By Round'!L28)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Round'!A87</f>
        <v/>
      </c>
      <c r="C39" s="10">
        <f>'By Round'!B93</f>
        <v/>
      </c>
      <c r="D39" s="10">
        <f>'By Round'!C93</f>
        <v/>
      </c>
      <c r="E39" s="10">
        <f>'By Round'!D93</f>
        <v/>
      </c>
      <c r="F39" s="10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>
        <f>IF(ISBLANK('By Round'!L93),"",'By Round'!L93)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Round'!A123</f>
        <v/>
      </c>
      <c r="C40" s="10">
        <f>'By Round'!B125</f>
        <v/>
      </c>
      <c r="D40" s="10">
        <f>'By Round'!C125</f>
        <v/>
      </c>
      <c r="E40" s="10">
        <f>'By Round'!D125</f>
        <v/>
      </c>
      <c r="F40" s="10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>
        <f>IF(ISBLANK('By Round'!L125),"",'By Round'!L125)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Round'!A63</f>
        <v/>
      </c>
      <c r="C41" s="10">
        <f>'By Round'!B73</f>
        <v/>
      </c>
      <c r="D41" s="10">
        <f>'By Round'!C73</f>
        <v/>
      </c>
      <c r="E41" s="10">
        <f>'By Round'!D73</f>
        <v/>
      </c>
      <c r="F41" s="10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Round'!A111</f>
        <v/>
      </c>
      <c r="C42" s="10">
        <f>'By Round'!B115</f>
        <v/>
      </c>
      <c r="D42" s="10">
        <f>'By Round'!C115</f>
        <v/>
      </c>
      <c r="E42" s="10">
        <f>'By Round'!D115</f>
        <v/>
      </c>
      <c r="F42" s="10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>
        <f>IF(ISBLANK('By Round'!L115),"",'By Round'!L115)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Round'!A75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>
        <f>IF(ISBLANK('By Round'!L83),"",'By Round'!L83)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5">
        <f>IF(ISBLANK('By Round'!L39),"",'By Round'!L39)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Round'!A87</f>
        <v/>
      </c>
      <c r="C45" s="10">
        <f>'By Round'!B93</f>
        <v/>
      </c>
      <c r="D45" s="10">
        <f>'By Round'!C93</f>
        <v/>
      </c>
      <c r="E45" s="10">
        <f>'By Round'!D93</f>
        <v/>
      </c>
      <c r="F45" s="10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>
        <f>IF(ISBLANK('By Round'!L94),"",'By Round'!L94)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Round'!A123</f>
        <v/>
      </c>
      <c r="C46" s="10">
        <f>'By Round'!B125</f>
        <v/>
      </c>
      <c r="D46" s="10">
        <f>'By Round'!C125</f>
        <v/>
      </c>
      <c r="E46" s="10">
        <f>'By Round'!D125</f>
        <v/>
      </c>
      <c r="F46" s="10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>
        <f>IF(ISBLANK('By Round'!L126),"",'By Round'!L126)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Round'!A63</f>
        <v/>
      </c>
      <c r="C47" s="10">
        <f>'By Round'!B73</f>
        <v/>
      </c>
      <c r="D47" s="10">
        <f>'By Round'!C73</f>
        <v/>
      </c>
      <c r="E47" s="10">
        <f>'By Round'!D73</f>
        <v/>
      </c>
      <c r="F47" s="10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>
        <f>IF(ISBLANK('By Round'!L74),"",'By Round'!L74)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Round'!A111</f>
        <v/>
      </c>
      <c r="C48" s="10">
        <f>'By Round'!B115</f>
        <v/>
      </c>
      <c r="D48" s="10">
        <f>'By Round'!C115</f>
        <v/>
      </c>
      <c r="E48" s="10">
        <f>'By Round'!D115</f>
        <v/>
      </c>
      <c r="F48" s="10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>
        <f>IF(ISBLANK('By Round'!L116),"",'By Round'!L116)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Round'!A75</f>
        <v/>
      </c>
      <c r="C49" s="10">
        <f>'By Round'!B83</f>
        <v/>
      </c>
      <c r="D49" s="10">
        <f>'By Round'!C83</f>
        <v/>
      </c>
      <c r="E49" s="10">
        <f>'By Round'!D83</f>
        <v/>
      </c>
      <c r="F49" s="10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>
        <f>IF(ISBLANK('By Round'!L84),"",'By Round'!L84)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5">
        <f>IF(ISBLANK('By Round'!L40),"",'By Round'!L40)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Round'!A99</f>
        <v/>
      </c>
      <c r="C51" s="10">
        <f>'By Round'!B105</f>
        <v/>
      </c>
      <c r="D51" s="10">
        <f>'By Round'!C105</f>
        <v/>
      </c>
      <c r="E51" s="10">
        <f>'By Round'!D105</f>
        <v/>
      </c>
      <c r="F51" s="10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>
        <f>IF(ISBLANK('By Round'!L105),"",'By Round'!L105)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Round'!A3</f>
        <v/>
      </c>
      <c r="C52" s="10">
        <f>'By Round'!B5</f>
        <v/>
      </c>
      <c r="D52" s="10">
        <f>'By Round'!C5</f>
        <v/>
      </c>
      <c r="E52" s="10">
        <f>'By Round'!D5</f>
        <v/>
      </c>
      <c r="F52" s="10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>
        <f>IF(ISBLANK('By Round'!L5),"",'By Round'!L5)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Round'!A75</f>
        <v/>
      </c>
      <c r="C53" s="10">
        <f>'By Round'!B85</f>
        <v/>
      </c>
      <c r="D53" s="10">
        <f>'By Round'!C85</f>
        <v/>
      </c>
      <c r="E53" s="10">
        <f>'By Round'!D85</f>
        <v/>
      </c>
      <c r="F53" s="10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>
        <f>IF(ISBLANK('By Round'!L85),"",'By Round'!L85)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Round'!A123</f>
        <v/>
      </c>
      <c r="C54" s="10">
        <f>'By Round'!B127</f>
        <v/>
      </c>
      <c r="D54" s="10">
        <f>'By Round'!C127</f>
        <v/>
      </c>
      <c r="E54" s="10">
        <f>'By Round'!D127</f>
        <v/>
      </c>
      <c r="F54" s="10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>
        <f>IF(ISBLANK('By Round'!L127),"",'By Round'!L127)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Round'!A87</f>
        <v/>
      </c>
      <c r="C55" s="10">
        <f>'By Round'!B95</f>
        <v/>
      </c>
      <c r="D55" s="10">
        <f>'By Round'!C95</f>
        <v/>
      </c>
      <c r="E55" s="10">
        <f>'By Round'!D95</f>
        <v/>
      </c>
      <c r="F55" s="10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>
        <f>IF(ISBLANK('By Round'!L95),"",'By Round'!L95)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5">
        <f>IF(ISBLANK('By Round'!L51),"",'By Round'!L51)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Round'!A99</f>
        <v/>
      </c>
      <c r="C57" s="10">
        <f>'By Round'!B105</f>
        <v/>
      </c>
      <c r="D57" s="10">
        <f>'By Round'!C105</f>
        <v/>
      </c>
      <c r="E57" s="10">
        <f>'By Round'!D105</f>
        <v/>
      </c>
      <c r="F57" s="10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>
        <f>IF(ISBLANK('By Round'!L106),"",'By Round'!L106)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Round'!A3</f>
        <v/>
      </c>
      <c r="C58" s="10">
        <f>'By Round'!B5</f>
        <v/>
      </c>
      <c r="D58" s="10">
        <f>'By Round'!C5</f>
        <v/>
      </c>
      <c r="E58" s="10">
        <f>'By Round'!D5</f>
        <v/>
      </c>
      <c r="F58" s="10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>
        <f>IF(ISBLANK('By Round'!L6),"",'By Round'!L6)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Round'!A75</f>
        <v/>
      </c>
      <c r="C59" s="10">
        <f>'By Round'!B85</f>
        <v/>
      </c>
      <c r="D59" s="10">
        <f>'By Round'!C85</f>
        <v/>
      </c>
      <c r="E59" s="10">
        <f>'By Round'!D85</f>
        <v/>
      </c>
      <c r="F59" s="10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>
        <f>IF(ISBLANK('By Round'!L86),"",'By Round'!L86)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Round'!A123</f>
        <v/>
      </c>
      <c r="C60" s="10">
        <f>'By Round'!B127</f>
        <v/>
      </c>
      <c r="D60" s="10">
        <f>'By Round'!C127</f>
        <v/>
      </c>
      <c r="E60" s="10">
        <f>'By Round'!D127</f>
        <v/>
      </c>
      <c r="F60" s="10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>
        <f>IF(ISBLANK('By Round'!L128),"",'By Round'!L128)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Round'!A87</f>
        <v/>
      </c>
      <c r="C61" s="10">
        <f>'By Round'!B95</f>
        <v/>
      </c>
      <c r="D61" s="10">
        <f>'By Round'!C95</f>
        <v/>
      </c>
      <c r="E61" s="10">
        <f>'By Round'!D95</f>
        <v/>
      </c>
      <c r="F61" s="10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>
        <f>IF(ISBLANK('By Round'!L96),"",'By Round'!L96)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5">
        <f>IF(ISBLANK('By Round'!L52),"",'By Round'!L52)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Round'!A99</f>
        <v/>
      </c>
      <c r="C63" s="10">
        <f>'By Round'!B107</f>
        <v/>
      </c>
      <c r="D63" s="10">
        <f>'By Round'!C107</f>
        <v/>
      </c>
      <c r="E63" s="10">
        <f>'By Round'!D107</f>
        <v/>
      </c>
      <c r="F63" s="10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>
        <f>IF(ISBLANK('By Round'!L107),"",'By Round'!L107)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Round'!A111</f>
        <v/>
      </c>
      <c r="C64" s="10">
        <f>'By Round'!B117</f>
        <v/>
      </c>
      <c r="D64" s="10">
        <f>'By Round'!C117</f>
        <v/>
      </c>
      <c r="E64" s="10">
        <f>'By Round'!D117</f>
        <v/>
      </c>
      <c r="F64" s="10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>
        <f>IF(ISBLANK('By Round'!L117),"",'By Round'!L117)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Round'!A15</f>
        <v/>
      </c>
      <c r="C65" s="10">
        <f>'By Round'!B17</f>
        <v/>
      </c>
      <c r="D65" s="10">
        <f>'By Round'!C17</f>
        <v/>
      </c>
      <c r="E65" s="10">
        <f>'By Round'!D17</f>
        <v/>
      </c>
      <c r="F65" s="10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>
        <f>IF(ISBLANK('By Round'!L17),"",'By Round'!L17)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Round'!A87</f>
        <v/>
      </c>
      <c r="C66" s="10">
        <f>'By Round'!B97</f>
        <v/>
      </c>
      <c r="D66" s="10">
        <f>'By Round'!C97</f>
        <v/>
      </c>
      <c r="E66" s="10">
        <f>'By Round'!D97</f>
        <v/>
      </c>
      <c r="F66" s="10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>
        <f>IF(ISBLANK('By Round'!L97),"",'By Round'!L97)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Round'!A3</f>
        <v/>
      </c>
      <c r="C67" s="10">
        <f>'By Round'!B7</f>
        <v/>
      </c>
      <c r="D67" s="10">
        <f>'By Round'!C7</f>
        <v/>
      </c>
      <c r="E67" s="10">
        <f>'By Round'!D7</f>
        <v/>
      </c>
      <c r="F67" s="10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>
        <f>IF(ISBLANK('By Round'!L7),"",'By Round'!L7)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5">
        <f>IF(ISBLANK('By Round'!L63),"",'By Round'!L63)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Round'!A99</f>
        <v/>
      </c>
      <c r="C69" s="10">
        <f>'By Round'!B107</f>
        <v/>
      </c>
      <c r="D69" s="10">
        <f>'By Round'!C107</f>
        <v/>
      </c>
      <c r="E69" s="10">
        <f>'By Round'!D107</f>
        <v/>
      </c>
      <c r="F69" s="10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>
        <f>IF(ISBLANK('By Round'!L108),"",'By Round'!L108)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Round'!A111</f>
        <v/>
      </c>
      <c r="C70" s="10">
        <f>'By Round'!B117</f>
        <v/>
      </c>
      <c r="D70" s="10">
        <f>'By Round'!C117</f>
        <v/>
      </c>
      <c r="E70" s="10">
        <f>'By Round'!D117</f>
        <v/>
      </c>
      <c r="F70" s="10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>
        <f>IF(ISBLANK('By Round'!L118),"",'By Round'!L118)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Round'!A15</f>
        <v/>
      </c>
      <c r="C71" s="10">
        <f>'By Round'!B17</f>
        <v/>
      </c>
      <c r="D71" s="10">
        <f>'By Round'!C17</f>
        <v/>
      </c>
      <c r="E71" s="10">
        <f>'By Round'!D17</f>
        <v/>
      </c>
      <c r="F71" s="10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>
        <f>IF(ISBLANK('By Round'!L18),"",'By Round'!L18)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Round'!A87</f>
        <v/>
      </c>
      <c r="C72" s="10">
        <f>'By Round'!B97</f>
        <v/>
      </c>
      <c r="D72" s="10">
        <f>'By Round'!C97</f>
        <v/>
      </c>
      <c r="E72" s="10">
        <f>'By Round'!D97</f>
        <v/>
      </c>
      <c r="F72" s="10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>
        <f>IF(ISBLANK('By Round'!L98),"",'By Round'!L98)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Round'!A3</f>
        <v/>
      </c>
      <c r="C73" s="10">
        <f>'By Round'!B7</f>
        <v/>
      </c>
      <c r="D73" s="10">
        <f>'By Round'!C7</f>
        <v/>
      </c>
      <c r="E73" s="10">
        <f>'By Round'!D7</f>
        <v/>
      </c>
      <c r="F73" s="10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>
        <f>IF(ISBLANK('By Round'!L8),"",'By Round'!L8)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5">
        <f>IF(ISBLANK('By Round'!L64),"",'By Round'!L64)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Round'!A111</f>
        <v/>
      </c>
      <c r="C75" s="10">
        <f>'By Round'!B119</f>
        <v/>
      </c>
      <c r="D75" s="10">
        <f>'By Round'!C119</f>
        <v/>
      </c>
      <c r="E75" s="10">
        <f>'By Round'!D119</f>
        <v/>
      </c>
      <c r="F75" s="10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>
        <f>IF(ISBLANK('By Round'!L119),"",'By Round'!L119)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Round'!A123</f>
        <v/>
      </c>
      <c r="C76" s="10">
        <f>'By Round'!B129</f>
        <v/>
      </c>
      <c r="D76" s="10">
        <f>'By Round'!C129</f>
        <v/>
      </c>
      <c r="E76" s="10">
        <f>'By Round'!D129</f>
        <v/>
      </c>
      <c r="F76" s="10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>
        <f>IF(ISBLANK('By Round'!L129),"",'By Round'!L129)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Round'!A27</f>
        <v/>
      </c>
      <c r="C77" s="10">
        <f>'By Round'!B29</f>
        <v/>
      </c>
      <c r="D77" s="10">
        <f>'By Round'!C29</f>
        <v/>
      </c>
      <c r="E77" s="10">
        <f>'By Round'!D29</f>
        <v/>
      </c>
      <c r="F77" s="10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>
        <f>IF(ISBLANK('By Round'!L29),"",'By Round'!L29)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Round'!A99</f>
        <v/>
      </c>
      <c r="C78" s="10">
        <f>'By Round'!B109</f>
        <v/>
      </c>
      <c r="D78" s="10">
        <f>'By Round'!C109</f>
        <v/>
      </c>
      <c r="E78" s="10">
        <f>'By Round'!D109</f>
        <v/>
      </c>
      <c r="F78" s="10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>
        <f>IF(ISBLANK('By Round'!L109),"",'By Round'!L109)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Round'!A15</f>
        <v/>
      </c>
      <c r="C79" s="10">
        <f>'By Round'!B19</f>
        <v/>
      </c>
      <c r="D79" s="10">
        <f>'By Round'!C19</f>
        <v/>
      </c>
      <c r="E79" s="10">
        <f>'By Round'!D19</f>
        <v/>
      </c>
      <c r="F79" s="10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>
        <f>IF(ISBLANK('By Round'!L19),"",'By Round'!L19)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5">
        <f>IF(ISBLANK('By Round'!L75),"",'By Round'!L75)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Round'!A111</f>
        <v/>
      </c>
      <c r="C81" s="10">
        <f>'By Round'!B119</f>
        <v/>
      </c>
      <c r="D81" s="10">
        <f>'By Round'!C119</f>
        <v/>
      </c>
      <c r="E81" s="10">
        <f>'By Round'!D119</f>
        <v/>
      </c>
      <c r="F81" s="10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>
        <f>IF(ISBLANK('By Round'!L120),"",'By Round'!L120)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Round'!A123</f>
        <v/>
      </c>
      <c r="C82" s="10">
        <f>'By Round'!B129</f>
        <v/>
      </c>
      <c r="D82" s="10">
        <f>'By Round'!C129</f>
        <v/>
      </c>
      <c r="E82" s="10">
        <f>'By Round'!D129</f>
        <v/>
      </c>
      <c r="F82" s="10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>
        <f>IF(ISBLANK('By Round'!L130),"",'By Round'!L130)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Round'!A27</f>
        <v/>
      </c>
      <c r="C83" s="10">
        <f>'By Round'!B29</f>
        <v/>
      </c>
      <c r="D83" s="10">
        <f>'By Round'!C29</f>
        <v/>
      </c>
      <c r="E83" s="10">
        <f>'By Round'!D29</f>
        <v/>
      </c>
      <c r="F83" s="10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>
        <f>IF(ISBLANK('By Round'!L30),"",'By Round'!L30)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Round'!A99</f>
        <v/>
      </c>
      <c r="C84" s="10">
        <f>'By Round'!B109</f>
        <v/>
      </c>
      <c r="D84" s="10">
        <f>'By Round'!C109</f>
        <v/>
      </c>
      <c r="E84" s="10">
        <f>'By Round'!D109</f>
        <v/>
      </c>
      <c r="F84" s="10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>
        <f>IF(ISBLANK('By Round'!L110),"",'By Round'!L110)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Round'!A15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>
        <f>IF(ISBLANK('By Round'!L20),"",'By Round'!L20)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5">
        <f>IF(ISBLANK('By Round'!L76),"",'By Round'!L76)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Round'!A123</f>
        <v/>
      </c>
      <c r="C87" s="10">
        <f>'By Round'!B131</f>
        <v/>
      </c>
      <c r="D87" s="10">
        <f>'By Round'!C131</f>
        <v/>
      </c>
      <c r="E87" s="10">
        <f>'By Round'!D131</f>
        <v/>
      </c>
      <c r="F87" s="10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>
        <f>IF(ISBLANK('By Round'!L131),"",'By Round'!L131)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Round'!A3</f>
        <v/>
      </c>
      <c r="C88" s="10">
        <f>'By Round'!B9</f>
        <v/>
      </c>
      <c r="D88" s="10">
        <f>'By Round'!C9</f>
        <v/>
      </c>
      <c r="E88" s="10">
        <f>'By Round'!D9</f>
        <v/>
      </c>
      <c r="F88" s="10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>
        <f>IF(ISBLANK('By Round'!L9),"",'By Round'!L9)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Round'!A39</f>
        <v/>
      </c>
      <c r="C89" s="10">
        <f>'By Round'!B41</f>
        <v/>
      </c>
      <c r="D89" s="10">
        <f>'By Round'!C41</f>
        <v/>
      </c>
      <c r="E89" s="10">
        <f>'By Round'!D41</f>
        <v/>
      </c>
      <c r="F89" s="10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>
        <f>IF(ISBLANK('By Round'!L41),"",'By Round'!L41)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Round'!A111</f>
        <v/>
      </c>
      <c r="C90" s="10">
        <f>'By Round'!B121</f>
        <v/>
      </c>
      <c r="D90" s="10">
        <f>'By Round'!C121</f>
        <v/>
      </c>
      <c r="E90" s="10">
        <f>'By Round'!D121</f>
        <v/>
      </c>
      <c r="F90" s="10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>
        <f>IF(ISBLANK('By Round'!L121),"",'By Round'!L121)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Round'!A27</f>
        <v/>
      </c>
      <c r="C91" s="10">
        <f>'By Round'!B31</f>
        <v/>
      </c>
      <c r="D91" s="10">
        <f>'By Round'!C31</f>
        <v/>
      </c>
      <c r="E91" s="10">
        <f>'By Round'!D31</f>
        <v/>
      </c>
      <c r="F91" s="10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>
        <f>IF(ISBLANK('By Round'!L31),"",'By Round'!L31)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5">
        <f>IF(ISBLANK('By Round'!L87),"",'By Round'!L87)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Round'!A123</f>
        <v/>
      </c>
      <c r="C93" s="10">
        <f>'By Round'!B131</f>
        <v/>
      </c>
      <c r="D93" s="10">
        <f>'By Round'!C131</f>
        <v/>
      </c>
      <c r="E93" s="10">
        <f>'By Round'!D131</f>
        <v/>
      </c>
      <c r="F93" s="10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>
        <f>IF(ISBLANK('By Round'!L132),"",'By Round'!L132)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Round'!A3</f>
        <v/>
      </c>
      <c r="C94" s="10">
        <f>'By Round'!B9</f>
        <v/>
      </c>
      <c r="D94" s="10">
        <f>'By Round'!C9</f>
        <v/>
      </c>
      <c r="E94" s="10">
        <f>'By Round'!D9</f>
        <v/>
      </c>
      <c r="F94" s="10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>
        <f>IF(ISBLANK('By Round'!L10),"",'By Round'!L10)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Round'!A39</f>
        <v/>
      </c>
      <c r="C95" s="10">
        <f>'By Round'!B41</f>
        <v/>
      </c>
      <c r="D95" s="10">
        <f>'By Round'!C41</f>
        <v/>
      </c>
      <c r="E95" s="10">
        <f>'By Round'!D41</f>
        <v/>
      </c>
      <c r="F95" s="10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>
        <f>IF(ISBLANK('By Round'!L42),"",'By Round'!L42)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Round'!A111</f>
        <v/>
      </c>
      <c r="C96" s="10">
        <f>'By Round'!B121</f>
        <v/>
      </c>
      <c r="D96" s="10">
        <f>'By Round'!C121</f>
        <v/>
      </c>
      <c r="E96" s="10">
        <f>'By Round'!D121</f>
        <v/>
      </c>
      <c r="F96" s="10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>
        <f>IF(ISBLANK('By Round'!L122),"",'By Round'!L122)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Round'!A27</f>
        <v/>
      </c>
      <c r="C97" s="10">
        <f>'By Round'!B31</f>
        <v/>
      </c>
      <c r="D97" s="10">
        <f>'By Round'!C31</f>
        <v/>
      </c>
      <c r="E97" s="10">
        <f>'By Round'!D31</f>
        <v/>
      </c>
      <c r="F97" s="10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>
        <f>IF(ISBLANK('By Round'!L32),"",'By Round'!L32)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5">
        <f>IF(ISBLANK('By Round'!L88),"",'By Round'!L88)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Round'!A3</f>
        <v/>
      </c>
      <c r="C99" s="10">
        <f>'By Round'!B11</f>
        <v/>
      </c>
      <c r="D99" s="10">
        <f>'By Round'!C11</f>
        <v/>
      </c>
      <c r="E99" s="10">
        <f>'By Round'!D11</f>
        <v/>
      </c>
      <c r="F99" s="10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>
        <f>IF(ISBLANK('By Round'!L11),"",'By Round'!L11)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Round'!A15</f>
        <v/>
      </c>
      <c r="C100" s="10">
        <f>'By Round'!B21</f>
        <v/>
      </c>
      <c r="D100" s="10">
        <f>'By Round'!C21</f>
        <v/>
      </c>
      <c r="E100" s="10">
        <f>'By Round'!D21</f>
        <v/>
      </c>
      <c r="F100" s="10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>
        <f>IF(ISBLANK('By Round'!L21),"",'By Round'!L21)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Round'!A51</f>
        <v/>
      </c>
      <c r="C101" s="10">
        <f>'By Round'!B53</f>
        <v/>
      </c>
      <c r="D101" s="10">
        <f>'By Round'!C53</f>
        <v/>
      </c>
      <c r="E101" s="10">
        <f>'By Round'!D53</f>
        <v/>
      </c>
      <c r="F101" s="10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>
        <f>IF(ISBLANK('By Round'!L53),"",'By Round'!L53)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Round'!A123</f>
        <v/>
      </c>
      <c r="C102" s="10">
        <f>'By Round'!B133</f>
        <v/>
      </c>
      <c r="D102" s="10">
        <f>'By Round'!C133</f>
        <v/>
      </c>
      <c r="E102" s="10">
        <f>'By Round'!D133</f>
        <v/>
      </c>
      <c r="F102" s="10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>
        <f>IF(ISBLANK('By Round'!L133),"",'By Round'!L133)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Round'!A39</f>
        <v/>
      </c>
      <c r="C103" s="10">
        <f>'By Round'!B43</f>
        <v/>
      </c>
      <c r="D103" s="10">
        <f>'By Round'!C43</f>
        <v/>
      </c>
      <c r="E103" s="10">
        <f>'By Round'!D43</f>
        <v/>
      </c>
      <c r="F103" s="10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>
        <f>IF(ISBLANK('By Round'!L43),"",'By Round'!L43)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5">
        <f>IF(ISBLANK('By Round'!L99),"",'By Round'!L99)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Round'!A3</f>
        <v/>
      </c>
      <c r="C105" s="10">
        <f>'By Round'!B11</f>
        <v/>
      </c>
      <c r="D105" s="10">
        <f>'By Round'!C11</f>
        <v/>
      </c>
      <c r="E105" s="10">
        <f>'By Round'!D11</f>
        <v/>
      </c>
      <c r="F105" s="10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>
        <f>IF(ISBLANK('By Round'!L12),"",'By Round'!L12)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Round'!A15</f>
        <v/>
      </c>
      <c r="C106" s="10">
        <f>'By Round'!B21</f>
        <v/>
      </c>
      <c r="D106" s="10">
        <f>'By Round'!C21</f>
        <v/>
      </c>
      <c r="E106" s="10">
        <f>'By Round'!D21</f>
        <v/>
      </c>
      <c r="F106" s="10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>
        <f>IF(ISBLANK('By Round'!L22),"",'By Round'!L22)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Round'!A51</f>
        <v/>
      </c>
      <c r="C107" s="10">
        <f>'By Round'!B53</f>
        <v/>
      </c>
      <c r="D107" s="10">
        <f>'By Round'!C53</f>
        <v/>
      </c>
      <c r="E107" s="10">
        <f>'By Round'!D53</f>
        <v/>
      </c>
      <c r="F107" s="10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>
        <f>IF(ISBLANK('By Round'!L54),"",'By Round'!L54)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Round'!A123</f>
        <v/>
      </c>
      <c r="C108" s="10">
        <f>'By Round'!B133</f>
        <v/>
      </c>
      <c r="D108" s="10">
        <f>'By Round'!C133</f>
        <v/>
      </c>
      <c r="E108" s="10">
        <f>'By Round'!D133</f>
        <v/>
      </c>
      <c r="F108" s="10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>
        <f>IF(ISBLANK('By Round'!L134),"",'By Round'!L134)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Round'!A39</f>
        <v/>
      </c>
      <c r="C109" s="10">
        <f>'By Round'!B43</f>
        <v/>
      </c>
      <c r="D109" s="10">
        <f>'By Round'!C43</f>
        <v/>
      </c>
      <c r="E109" s="10">
        <f>'By Round'!D43</f>
        <v/>
      </c>
      <c r="F109" s="10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>
        <f>IF(ISBLANK('By Round'!L44),"",'By Round'!L44)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5">
        <f>IF(ISBLANK('By Round'!L100),"",'By Round'!L100)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Round'!A51</f>
        <v/>
      </c>
      <c r="C111" s="10">
        <f>'By Round'!B55</f>
        <v/>
      </c>
      <c r="D111" s="10">
        <f>'By Round'!C55</f>
        <v/>
      </c>
      <c r="E111" s="10">
        <f>'By Round'!D55</f>
        <v/>
      </c>
      <c r="F111" s="10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>
        <f>IF(ISBLANK('By Round'!L55),"",'By Round'!L55)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Round'!A15</f>
        <v/>
      </c>
      <c r="C112" s="10">
        <f>'By Round'!B23</f>
        <v/>
      </c>
      <c r="D112" s="10">
        <f>'By Round'!C23</f>
        <v/>
      </c>
      <c r="E112" s="10">
        <f>'By Round'!D23</f>
        <v/>
      </c>
      <c r="F112" s="10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>
        <f>IF(ISBLANK('By Round'!L23),"",'By Round'!L23)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Round'!A27</f>
        <v/>
      </c>
      <c r="C113" s="10">
        <f>'By Round'!B33</f>
        <v/>
      </c>
      <c r="D113" s="10">
        <f>'By Round'!C33</f>
        <v/>
      </c>
      <c r="E113" s="10">
        <f>'By Round'!D33</f>
        <v/>
      </c>
      <c r="F113" s="10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>
        <f>IF(ISBLANK('By Round'!L33),"",'By Round'!L33)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Round'!A63</f>
        <v/>
      </c>
      <c r="C114" s="10">
        <f>'By Round'!B65</f>
        <v/>
      </c>
      <c r="D114" s="10">
        <f>'By Round'!C65</f>
        <v/>
      </c>
      <c r="E114" s="10">
        <f>'By Round'!D65</f>
        <v/>
      </c>
      <c r="F114" s="10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>
        <f>IF(ISBLANK('By Round'!L65),"",'By Round'!L65)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Round'!A3</f>
        <v/>
      </c>
      <c r="C115" s="10">
        <f>'By Round'!B13</f>
        <v/>
      </c>
      <c r="D115" s="10">
        <f>'By Round'!C13</f>
        <v/>
      </c>
      <c r="E115" s="10">
        <f>'By Round'!D13</f>
        <v/>
      </c>
      <c r="F115" s="10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>
        <f>IF(ISBLANK('By Round'!L13),"",'By Round'!L13)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5">
        <f>IF(ISBLANK('By Round'!L111),"",'By Round'!L111)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Round'!A51</f>
        <v/>
      </c>
      <c r="C117" s="10">
        <f>'By Round'!B55</f>
        <v/>
      </c>
      <c r="D117" s="10">
        <f>'By Round'!C55</f>
        <v/>
      </c>
      <c r="E117" s="10">
        <f>'By Round'!D55</f>
        <v/>
      </c>
      <c r="F117" s="10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>
        <f>IF(ISBLANK('By Round'!L56),"",'By Round'!L56)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Round'!A15</f>
        <v/>
      </c>
      <c r="C118" s="10">
        <f>'By Round'!B23</f>
        <v/>
      </c>
      <c r="D118" s="10">
        <f>'By Round'!C23</f>
        <v/>
      </c>
      <c r="E118" s="10">
        <f>'By Round'!D23</f>
        <v/>
      </c>
      <c r="F118" s="10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>
        <f>IF(ISBLANK('By Round'!L24),"",'By Round'!L24)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Round'!A27</f>
        <v/>
      </c>
      <c r="C119" s="10">
        <f>'By Round'!B33</f>
        <v/>
      </c>
      <c r="D119" s="10">
        <f>'By Round'!C33</f>
        <v/>
      </c>
      <c r="E119" s="10">
        <f>'By Round'!D33</f>
        <v/>
      </c>
      <c r="F119" s="10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>
        <f>IF(ISBLANK('By Round'!L34),"",'By Round'!L34)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Round'!A63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>
        <f>IF(ISBLANK('By Round'!L66),"",'By Round'!L66)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Round'!A3</f>
        <v/>
      </c>
      <c r="C121" s="10">
        <f>'By Round'!B13</f>
        <v/>
      </c>
      <c r="D121" s="10">
        <f>'By Round'!C13</f>
        <v/>
      </c>
      <c r="E121" s="10">
        <f>'By Round'!D13</f>
        <v/>
      </c>
      <c r="F121" s="10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>
        <f>IF(ISBLANK('By Round'!L14),"",'By Round'!L14)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5">
        <f>IF(ISBLANK('By Round'!L112),"",'By Round'!L112)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Round'!A63</f>
        <v/>
      </c>
      <c r="C123" s="10">
        <f>'By Round'!B67</f>
        <v/>
      </c>
      <c r="D123" s="10">
        <f>'By Round'!C67</f>
        <v/>
      </c>
      <c r="E123" s="10">
        <f>'By Round'!D67</f>
        <v/>
      </c>
      <c r="F123" s="10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>
        <f>IF(ISBLANK('By Round'!L67),"",'By Round'!L67)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Round'!A27</f>
        <v/>
      </c>
      <c r="C124" s="10">
        <f>'By Round'!B35</f>
        <v/>
      </c>
      <c r="D124" s="10">
        <f>'By Round'!C35</f>
        <v/>
      </c>
      <c r="E124" s="10">
        <f>'By Round'!D35</f>
        <v/>
      </c>
      <c r="F124" s="10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>
        <f>IF(ISBLANK('By Round'!L35),"",'By Round'!L35)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Round'!A39</f>
        <v/>
      </c>
      <c r="C125" s="10">
        <f>'By Round'!B45</f>
        <v/>
      </c>
      <c r="D125" s="10">
        <f>'By Round'!C45</f>
        <v/>
      </c>
      <c r="E125" s="10">
        <f>'By Round'!D45</f>
        <v/>
      </c>
      <c r="F125" s="10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>
        <f>IF(ISBLANK('By Round'!L45),"",'By Round'!L45)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Round'!A75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>
        <f>IF(ISBLANK('By Round'!L77),"",'By Round'!L77)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Round'!A15</f>
        <v/>
      </c>
      <c r="C127" s="10">
        <f>'By Round'!B25</f>
        <v/>
      </c>
      <c r="D127" s="10">
        <f>'By Round'!C25</f>
        <v/>
      </c>
      <c r="E127" s="10">
        <f>'By Round'!D25</f>
        <v/>
      </c>
      <c r="F127" s="10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>
        <f>IF(ISBLANK('By Round'!L25),"",'By Round'!L25)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5">
        <f>IF(ISBLANK('By Round'!L123),"",'By Round'!L123)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Round'!A63</f>
        <v/>
      </c>
      <c r="C129" s="10">
        <f>'By Round'!B67</f>
        <v/>
      </c>
      <c r="D129" s="10">
        <f>'By Round'!C67</f>
        <v/>
      </c>
      <c r="E129" s="10">
        <f>'By Round'!D67</f>
        <v/>
      </c>
      <c r="F129" s="10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>
        <f>IF(ISBLANK('By Round'!L68),"",'By Round'!L68)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Round'!A27</f>
        <v/>
      </c>
      <c r="C130" s="10">
        <f>'By Round'!B35</f>
        <v/>
      </c>
      <c r="D130" s="10">
        <f>'By Round'!C35</f>
        <v/>
      </c>
      <c r="E130" s="10">
        <f>'By Round'!D35</f>
        <v/>
      </c>
      <c r="F130" s="10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>
        <f>IF(ISBLANK('By Round'!L36),"",'By Round'!L36)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Round'!A39</f>
        <v/>
      </c>
      <c r="C131" s="10">
        <f>'By Round'!B45</f>
        <v/>
      </c>
      <c r="D131" s="10">
        <f>'By Round'!C45</f>
        <v/>
      </c>
      <c r="E131" s="10">
        <f>'By Round'!D45</f>
        <v/>
      </c>
      <c r="F131" s="10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>
        <f>IF(ISBLANK('By Round'!L46),"",'By Round'!L46)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Round'!A75</f>
        <v/>
      </c>
      <c r="C132" s="10">
        <f>'By Round'!B77</f>
        <v/>
      </c>
      <c r="D132" s="10">
        <f>'By Round'!C77</f>
        <v/>
      </c>
      <c r="E132" s="10">
        <f>'By Round'!D77</f>
        <v/>
      </c>
      <c r="F132" s="10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>
        <f>IF(ISBLANK('By Round'!L78),"",'By Round'!L78)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Round'!A15</f>
        <v/>
      </c>
      <c r="C133" s="10">
        <f>'By Round'!B25</f>
        <v/>
      </c>
      <c r="D133" s="10">
        <f>'By Round'!C25</f>
        <v/>
      </c>
      <c r="E133" s="10">
        <f>'By Round'!D25</f>
        <v/>
      </c>
      <c r="F133" s="10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>
        <f>IF(ISBLANK('By Round'!L26),"",'By Round'!L26)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5">
        <f>IF(ISBLANK('By Round'!L124),"",'By Round'!L124)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12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n">
        <v>12</v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n">
        <v>12</v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n">
        <v>12</v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n">
        <v>12</v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n">
        <v>12</v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n">
        <v>12</v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n">
        <v>12</v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n">
        <v>12</v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n">
        <v>12</v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n">
        <v>12</v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2026-02-20T06:32:06Z</dcterms:created>
  <dcterms:modified xsi:type="dcterms:W3CDTF">2026-02-20T06:32:06Z</dcterms:modified>
</cp:coreProperties>
</file>