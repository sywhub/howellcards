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12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44</t>
        </is>
      </c>
      <c r="C2" t="inlineStr">
        <is>
          <t>Name 79</t>
        </is>
      </c>
      <c r="D2" s="4">
        <f>SUMIF('By Board'!$D$3:$D$134,"=1",'By Board'!$L$3:$L$134)+SUMIF('By Board'!$E$3:$E$134,"=1",'By Board'!$M$3:$M$134)</f>
        <v/>
      </c>
      <c r="E2" s="5">
        <f>SUMIF('By Board'!$D$3:$D$134,"=1",'By Board'!$N$3:$N$134)/22+SUMIF('By Board'!$E$3:$E$134,"=1",'By Board'!$O$3:$O$134)/22</f>
        <v/>
      </c>
    </row>
    <row r="3">
      <c r="A3" t="n">
        <v>2</v>
      </c>
      <c r="B3" t="inlineStr">
        <is>
          <t>Name 81</t>
        </is>
      </c>
      <c r="C3" t="inlineStr">
        <is>
          <t>Name 88</t>
        </is>
      </c>
      <c r="D3" s="4">
        <f>SUMIF('By Board'!$D$3:$D$134,"=2",'By Board'!$L$3:$L$134)+SUMIF('By Board'!$E$3:$E$134,"=2",'By Board'!$M$3:$M$134)</f>
        <v/>
      </c>
      <c r="E3" s="5">
        <f>SUMIF('By Board'!$D$3:$D$134,"=2",'By Board'!$N$3:$N$134)/22+SUMIF('By Board'!$E$3:$E$134,"=2",'By Board'!$O$3:$O$134)/22</f>
        <v/>
      </c>
    </row>
    <row r="4">
      <c r="A4" t="n">
        <v>3</v>
      </c>
      <c r="B4" t="inlineStr">
        <is>
          <t>Name 86</t>
        </is>
      </c>
      <c r="C4" t="inlineStr">
        <is>
          <t>Name 28</t>
        </is>
      </c>
      <c r="D4" s="4">
        <f>SUMIF('By Board'!$D$3:$D$134,"=3",'By Board'!$L$3:$L$134)+SUMIF('By Board'!$E$3:$E$134,"=3",'By Board'!$M$3:$M$134)</f>
        <v/>
      </c>
      <c r="E4" s="5">
        <f>SUMIF('By Board'!$D$3:$D$134,"=3",'By Board'!$N$3:$N$134)/22+SUMIF('By Board'!$E$3:$E$134,"=3",'By Board'!$O$3:$O$134)/22</f>
        <v/>
      </c>
    </row>
    <row r="5">
      <c r="A5" t="n">
        <v>4</v>
      </c>
      <c r="B5" t="inlineStr">
        <is>
          <t>Name 64</t>
        </is>
      </c>
      <c r="C5" t="inlineStr">
        <is>
          <t>Name 90</t>
        </is>
      </c>
      <c r="D5" s="4">
        <f>SUMIF('By Board'!$D$3:$D$134,"=4",'By Board'!$L$3:$L$134)+SUMIF('By Board'!$E$3:$E$134,"=4",'By Board'!$M$3:$M$134)</f>
        <v/>
      </c>
      <c r="E5" s="5">
        <f>SUMIF('By Board'!$D$3:$D$134,"=4",'By Board'!$N$3:$N$134)/22+SUMIF('By Board'!$E$3:$E$134,"=4",'By Board'!$O$3:$O$134)/22</f>
        <v/>
      </c>
    </row>
    <row r="6">
      <c r="A6" t="n">
        <v>5</v>
      </c>
      <c r="B6" t="inlineStr">
        <is>
          <t>Name 62</t>
        </is>
      </c>
      <c r="C6" t="inlineStr">
        <is>
          <t>Name 32</t>
        </is>
      </c>
      <c r="D6" s="4">
        <f>SUMIF('By Board'!$D$3:$D$134,"=5",'By Board'!$L$3:$L$134)+SUMIF('By Board'!$E$3:$E$134,"=5",'By Board'!$M$3:$M$134)</f>
        <v/>
      </c>
      <c r="E6" s="5">
        <f>SUMIF('By Board'!$D$3:$D$134,"=5",'By Board'!$N$3:$N$134)/22+SUMIF('By Board'!$E$3:$E$134,"=5",'By Board'!$O$3:$O$134)/22</f>
        <v/>
      </c>
    </row>
    <row r="7">
      <c r="A7" t="n">
        <v>6</v>
      </c>
      <c r="B7" t="inlineStr">
        <is>
          <t>Name 19</t>
        </is>
      </c>
      <c r="C7" t="inlineStr">
        <is>
          <t>Name 66</t>
        </is>
      </c>
      <c r="D7" s="4">
        <f>SUMIF('By Board'!$D$3:$D$134,"=6",'By Board'!$L$3:$L$134)+SUMIF('By Board'!$E$3:$E$134,"=6",'By Board'!$M$3:$M$134)</f>
        <v/>
      </c>
      <c r="E7" s="5">
        <f>SUMIF('By Board'!$D$3:$D$134,"=6",'By Board'!$N$3:$N$134)/22+SUMIF('By Board'!$E$3:$E$134,"=6",'By Board'!$O$3:$O$134)/22</f>
        <v/>
      </c>
    </row>
    <row r="8">
      <c r="A8" t="n">
        <v>7</v>
      </c>
      <c r="B8" t="inlineStr">
        <is>
          <t>Name 23</t>
        </is>
      </c>
      <c r="C8" t="inlineStr">
        <is>
          <t>Name 90</t>
        </is>
      </c>
      <c r="D8" s="4">
        <f>SUMIF('By Board'!$D$3:$D$134,"=7",'By Board'!$L$3:$L$134)+SUMIF('By Board'!$E$3:$E$134,"=7",'By Board'!$M$3:$M$134)</f>
        <v/>
      </c>
      <c r="E8" s="5">
        <f>SUMIF('By Board'!$D$3:$D$134,"=7",'By Board'!$N$3:$N$134)/22+SUMIF('By Board'!$E$3:$E$134,"=7",'By Board'!$O$3:$O$134)/22</f>
        <v/>
      </c>
    </row>
    <row r="9">
      <c r="A9" t="n">
        <v>8</v>
      </c>
      <c r="B9" t="inlineStr">
        <is>
          <t>Name 59</t>
        </is>
      </c>
      <c r="C9" t="inlineStr">
        <is>
          <t>Name 84</t>
        </is>
      </c>
      <c r="D9" s="4">
        <f>SUMIF('By Board'!$D$3:$D$134,"=8",'By Board'!$L$3:$L$134)+SUMIF('By Board'!$E$3:$E$134,"=8",'By Board'!$M$3:$M$134)</f>
        <v/>
      </c>
      <c r="E9" s="5">
        <f>SUMIF('By Board'!$D$3:$D$134,"=8",'By Board'!$N$3:$N$134)/22+SUMIF('By Board'!$E$3:$E$134,"=8",'By Board'!$O$3:$O$134)/22</f>
        <v/>
      </c>
    </row>
    <row r="10">
      <c r="A10" t="n">
        <v>9</v>
      </c>
      <c r="B10" t="inlineStr">
        <is>
          <t>Name 65</t>
        </is>
      </c>
      <c r="C10" t="inlineStr">
        <is>
          <t>Name 82</t>
        </is>
      </c>
      <c r="D10" s="4">
        <f>SUMIF('By Board'!$D$3:$D$134,"=9",'By Board'!$L$3:$L$134)+SUMIF('By Board'!$E$3:$E$134,"=9",'By Board'!$M$3:$M$134)</f>
        <v/>
      </c>
      <c r="E10" s="5">
        <f>SUMIF('By Board'!$D$3:$D$134,"=9",'By Board'!$N$3:$N$134)/22+SUMIF('By Board'!$E$3:$E$134,"=9",'By Board'!$O$3:$O$134)/22</f>
        <v/>
      </c>
    </row>
    <row r="11">
      <c r="A11" t="n">
        <v>10</v>
      </c>
      <c r="B11" t="inlineStr">
        <is>
          <t>Name 15</t>
        </is>
      </c>
      <c r="C11" t="inlineStr">
        <is>
          <t>Name 49</t>
        </is>
      </c>
      <c r="D11" s="4">
        <f>SUMIF('By Board'!$D$3:$D$134,"=10",'By Board'!$L$3:$L$134)+SUMIF('By Board'!$E$3:$E$134,"=10",'By Board'!$M$3:$M$134)</f>
        <v/>
      </c>
      <c r="E11" s="5">
        <f>SUMIF('By Board'!$D$3:$D$134,"=10",'By Board'!$N$3:$N$134)/22+SUMIF('By Board'!$E$3:$E$134,"=10",'By Board'!$O$3:$O$134)/22</f>
        <v/>
      </c>
    </row>
    <row r="12">
      <c r="A12" t="n">
        <v>11</v>
      </c>
      <c r="B12" t="inlineStr">
        <is>
          <t>Name 21</t>
        </is>
      </c>
      <c r="C12" t="inlineStr">
        <is>
          <t>Name 79</t>
        </is>
      </c>
      <c r="D12" s="4">
        <f>SUMIF('By Board'!$D$3:$D$134,"=11",'By Board'!$L$3:$L$134)+SUMIF('By Board'!$E$3:$E$134,"=11",'By Board'!$M$3:$M$134)</f>
        <v/>
      </c>
      <c r="E12" s="5">
        <f>SUMIF('By Board'!$D$3:$D$134,"=11",'By Board'!$N$3:$N$134)/22+SUMIF('By Board'!$E$3:$E$134,"=11",'By Board'!$O$3:$O$134)/22</f>
        <v/>
      </c>
    </row>
    <row r="13">
      <c r="A13" t="n">
        <v>12</v>
      </c>
      <c r="B13" t="inlineStr">
        <is>
          <t>Name 34</t>
        </is>
      </c>
      <c r="C13" t="inlineStr">
        <is>
          <t>Name 16</t>
        </is>
      </c>
      <c r="D13" s="4">
        <f>SUMIF('By Board'!$D$3:$D$134,"=12",'By Board'!$L$3:$L$134)+0</f>
        <v/>
      </c>
      <c r="E13" s="5">
        <f>SUMIF('By Board'!$D$3:$D$134,"=12",'By Board'!$N$3:$N$134)/22+0/22</f>
        <v/>
      </c>
    </row>
    <row r="14">
      <c r="D14" s="6">
        <f>SUM(D2:D13)</f>
        <v/>
      </c>
      <c r="E14" s="7">
        <f>AVERAGE(E2:E13)</f>
        <v/>
      </c>
    </row>
    <row r="16">
      <c r="A16" t="inlineStr">
        <is>
          <t>Array Formula below, remove single quote</t>
        </is>
      </c>
    </row>
    <row r="17">
      <c r="A17" s="3" t="inlineStr">
        <is>
          <t>IMP Ranking</t>
        </is>
      </c>
    </row>
    <row r="18">
      <c r="A18" t="inlineStr">
        <is>
          <t>'=SORT(A2:E13,4,-1)</t>
        </is>
      </c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4">
      <c r="A34" s="3" t="inlineStr">
        <is>
          <t>MP Ranking</t>
        </is>
      </c>
    </row>
    <row r="35">
      <c r="A35" t="inlineStr">
        <is>
          <t>'=SORT(A2:E13,5,-1)</t>
        </is>
      </c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  <row r="44">
      <c r="D44" s="4" t="n"/>
      <c r="E44" s="8" t="n"/>
    </row>
    <row r="45">
      <c r="D45" s="4" t="n"/>
      <c r="E45" s="8" t="n"/>
    </row>
    <row r="46">
      <c r="D46" s="4" t="n"/>
      <c r="E46" s="8" t="n"/>
    </row>
  </sheetData>
  <mergeCells count="2">
    <mergeCell ref="A34:E34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Y2" s="3" t="inlineStr">
        <is>
          <t>EW MP Scores</t>
        </is>
      </c>
      <c r="AD2" s="10" t="inlineStr">
        <is>
          <t>NS IMP Pair-wise</t>
        </is>
      </c>
      <c r="AI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4">
        <f>SUM(T3:X3)</f>
        <v/>
      </c>
      <c r="Q3" s="4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4">
        <f>SUM(T4:X4)</f>
        <v/>
      </c>
      <c r="Q4" s="4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4">
        <f>SUM(T5:X5)</f>
        <v/>
      </c>
      <c r="Q5" s="4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4">
        <f>SUM(T6:X6)</f>
        <v/>
      </c>
      <c r="Q6" s="4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4">
        <f>SUM(T7:X7)</f>
        <v/>
      </c>
      <c r="Q7" s="4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4">
        <f>SUM(T9:X9)</f>
        <v/>
      </c>
      <c r="Q9" s="4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4">
        <f>SUM(T10:X10)</f>
        <v/>
      </c>
      <c r="Q10" s="4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4">
        <f>SUM(T11:X11)</f>
        <v/>
      </c>
      <c r="Q11" s="4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4">
        <f>SUM(T12:X12)</f>
        <v/>
      </c>
      <c r="Q12" s="4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4">
        <f>SUM(T13:X13)</f>
        <v/>
      </c>
      <c r="Q13" s="4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4">
        <f>SUM(T15:X15)</f>
        <v/>
      </c>
      <c r="Q15" s="4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4">
        <f>SUM(T16:X16)</f>
        <v/>
      </c>
      <c r="Q16" s="4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4">
        <f>SUM(T17:X17)</f>
        <v/>
      </c>
      <c r="Q17" s="4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4">
        <f>SUM(T18:X18)</f>
        <v/>
      </c>
      <c r="Q18" s="4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4">
        <f>SUM(T19:X19)</f>
        <v/>
      </c>
      <c r="Q19" s="4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4">
        <f>SUM(T21:X21)</f>
        <v/>
      </c>
      <c r="Q21" s="4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4">
        <f>SUM(T22:X22)</f>
        <v/>
      </c>
      <c r="Q22" s="4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4">
        <f>SUM(T23:X23)</f>
        <v/>
      </c>
      <c r="Q23" s="4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4">
        <f>SUM(T24:X24)</f>
        <v/>
      </c>
      <c r="Q24" s="4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4">
        <f>SUM(T25:X25)</f>
        <v/>
      </c>
      <c r="Q25" s="4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4">
        <f>SUM(T27:X27)</f>
        <v/>
      </c>
      <c r="Q27" s="4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4">
        <f>SUM(T28:X28)</f>
        <v/>
      </c>
      <c r="Q28" s="4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4">
        <f>SUM(T29:X29)</f>
        <v/>
      </c>
      <c r="Q29" s="4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4">
        <f>SUM(T30:X30)</f>
        <v/>
      </c>
      <c r="Q30" s="4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4">
        <f>SUM(T31:X31)</f>
        <v/>
      </c>
      <c r="Q31" s="4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4">
        <f>SUM(T33:X33)</f>
        <v/>
      </c>
      <c r="Q33" s="4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4">
        <f>SUM(T34:X34)</f>
        <v/>
      </c>
      <c r="Q34" s="4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4">
        <f>SUM(T35:X35)</f>
        <v/>
      </c>
      <c r="Q35" s="4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4">
        <f>SUM(T36:X36)</f>
        <v/>
      </c>
      <c r="Q36" s="4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4">
        <f>SUM(T37:X37)</f>
        <v/>
      </c>
      <c r="Q37" s="4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4">
        <f>SUM(T39:X39)</f>
        <v/>
      </c>
      <c r="Q39" s="4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4">
        <f>SUM(T40:X40)</f>
        <v/>
      </c>
      <c r="Q40" s="4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4">
        <f>SUM(T41:X41)</f>
        <v/>
      </c>
      <c r="Q41" s="4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4">
        <f>SUM(T42:X42)</f>
        <v/>
      </c>
      <c r="Q42" s="4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4">
        <f>SUM(T43:X43)</f>
        <v/>
      </c>
      <c r="Q43" s="4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4">
        <f>SUM(T45:X45)</f>
        <v/>
      </c>
      <c r="Q45" s="4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4">
        <f>SUM(T46:X46)</f>
        <v/>
      </c>
      <c r="Q46" s="4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4">
        <f>SUM(T47:X47)</f>
        <v/>
      </c>
      <c r="Q47" s="4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4">
        <f>SUM(T48:X48)</f>
        <v/>
      </c>
      <c r="Q48" s="4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4">
        <f>SUM(T49:X49)</f>
        <v/>
      </c>
      <c r="Q49" s="4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4">
        <f>SUM(T51:X51)</f>
        <v/>
      </c>
      <c r="Q51" s="4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4">
        <f>SUM(T52:X52)</f>
        <v/>
      </c>
      <c r="Q52" s="4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4">
        <f>SUM(T53:X53)</f>
        <v/>
      </c>
      <c r="Q53" s="4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4">
        <f>SUM(T54:X54)</f>
        <v/>
      </c>
      <c r="Q54" s="4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4">
        <f>SUM(T55:X55)</f>
        <v/>
      </c>
      <c r="Q55" s="4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4">
        <f>SUM(T57:X57)</f>
        <v/>
      </c>
      <c r="Q57" s="4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4">
        <f>SUM(T58:X58)</f>
        <v/>
      </c>
      <c r="Q58" s="4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4">
        <f>SUM(T59:X59)</f>
        <v/>
      </c>
      <c r="Q59" s="4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4">
        <f>SUM(T60:X60)</f>
        <v/>
      </c>
      <c r="Q60" s="4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4">
        <f>SUM(T61:X61)</f>
        <v/>
      </c>
      <c r="Q61" s="4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4">
        <f>SUM(T63:X63)</f>
        <v/>
      </c>
      <c r="Q63" s="4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4">
        <f>SUM(T64:X64)</f>
        <v/>
      </c>
      <c r="Q64" s="4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4">
        <f>SUM(T65:X65)</f>
        <v/>
      </c>
      <c r="Q65" s="4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4">
        <f>SUM(T66:X66)</f>
        <v/>
      </c>
      <c r="Q66" s="4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4">
        <f>SUM(T67:X67)</f>
        <v/>
      </c>
      <c r="Q67" s="4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4">
        <f>SUM(T69:X69)</f>
        <v/>
      </c>
      <c r="Q69" s="4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4">
        <f>SUM(T70:X70)</f>
        <v/>
      </c>
      <c r="Q70" s="4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4">
        <f>SUM(T71:X71)</f>
        <v/>
      </c>
      <c r="Q71" s="4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4">
        <f>SUM(T72:X72)</f>
        <v/>
      </c>
      <c r="Q72" s="4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4">
        <f>SUM(T73:X73)</f>
        <v/>
      </c>
      <c r="Q73" s="4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4">
        <f>SUM(T75:X75)</f>
        <v/>
      </c>
      <c r="Q75" s="4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4">
        <f>SUM(T76:X76)</f>
        <v/>
      </c>
      <c r="Q76" s="4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4">
        <f>SUM(T77:X77)</f>
        <v/>
      </c>
      <c r="Q77" s="4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4">
        <f>SUM(T78:X78)</f>
        <v/>
      </c>
      <c r="Q78" s="4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4">
        <f>SUM(T79:X79)</f>
        <v/>
      </c>
      <c r="Q79" s="4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4">
        <f>SUM(T81:X81)</f>
        <v/>
      </c>
      <c r="Q81" s="4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4">
        <f>SUM(T82:X82)</f>
        <v/>
      </c>
      <c r="Q82" s="4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4">
        <f>SUM(T83:X83)</f>
        <v/>
      </c>
      <c r="Q83" s="4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4">
        <f>SUM(T84:X84)</f>
        <v/>
      </c>
      <c r="Q84" s="4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4">
        <f>SUM(T85:X85)</f>
        <v/>
      </c>
      <c r="Q85" s="4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4">
        <f>SUM(T87:X87)</f>
        <v/>
      </c>
      <c r="Q87" s="4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4">
        <f>SUM(T88:X88)</f>
        <v/>
      </c>
      <c r="Q88" s="4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4">
        <f>SUM(T89:X89)</f>
        <v/>
      </c>
      <c r="Q89" s="4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4">
        <f>SUM(T90:X90)</f>
        <v/>
      </c>
      <c r="Q90" s="4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4">
        <f>SUM(T91:X91)</f>
        <v/>
      </c>
      <c r="Q91" s="4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4">
        <f>SUM(T93:X93)</f>
        <v/>
      </c>
      <c r="Q93" s="4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4">
        <f>SUM(T94:X94)</f>
        <v/>
      </c>
      <c r="Q94" s="4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4">
        <f>SUM(T95:X95)</f>
        <v/>
      </c>
      <c r="Q95" s="4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4">
        <f>SUM(T96:X96)</f>
        <v/>
      </c>
      <c r="Q96" s="4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4">
        <f>SUM(T97:X97)</f>
        <v/>
      </c>
      <c r="Q97" s="4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4">
        <f>SUM(T99:X99)</f>
        <v/>
      </c>
      <c r="Q99" s="4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4">
        <f>SUM(T100:X100)</f>
        <v/>
      </c>
      <c r="Q100" s="4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4">
        <f>SUM(T101:X101)</f>
        <v/>
      </c>
      <c r="Q101" s="4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4">
        <f>SUM(T102:X102)</f>
        <v/>
      </c>
      <c r="Q102" s="4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4">
        <f>SUM(T103:X103)</f>
        <v/>
      </c>
      <c r="Q103" s="4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4">
        <f>SUM(T105:X105)</f>
        <v/>
      </c>
      <c r="Q105" s="4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4">
        <f>SUM(T106:X106)</f>
        <v/>
      </c>
      <c r="Q106" s="4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4">
        <f>SUM(T107:X107)</f>
        <v/>
      </c>
      <c r="Q107" s="4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4">
        <f>SUM(T108:X108)</f>
        <v/>
      </c>
      <c r="Q108" s="4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4">
        <f>SUM(T109:X109)</f>
        <v/>
      </c>
      <c r="Q109" s="4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4">
        <f>SUM(T111:X111)</f>
        <v/>
      </c>
      <c r="Q111" s="4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4">
        <f>SUM(T112:X112)</f>
        <v/>
      </c>
      <c r="Q112" s="4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4">
        <f>SUM(T113:X113)</f>
        <v/>
      </c>
      <c r="Q113" s="4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4">
        <f>SUM(T114:X114)</f>
        <v/>
      </c>
      <c r="Q114" s="4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4">
        <f>SUM(T115:X115)</f>
        <v/>
      </c>
      <c r="Q115" s="4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4">
        <f>SUM(T117:X117)</f>
        <v/>
      </c>
      <c r="Q117" s="4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4">
        <f>SUM(T118:X118)</f>
        <v/>
      </c>
      <c r="Q118" s="4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4">
        <f>SUM(T119:X119)</f>
        <v/>
      </c>
      <c r="Q119" s="4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4">
        <f>SUM(T120:X120)</f>
        <v/>
      </c>
      <c r="Q120" s="4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4">
        <f>SUM(T121:X121)</f>
        <v/>
      </c>
      <c r="Q121" s="4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4">
        <f>SUM(T123:X123)</f>
        <v/>
      </c>
      <c r="Q123" s="4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4">
        <f>SUM(T124:X124)</f>
        <v/>
      </c>
      <c r="Q124" s="4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4">
        <f>SUM(T125:X125)</f>
        <v/>
      </c>
      <c r="Q125" s="4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4">
        <f>SUM(T126:X126)</f>
        <v/>
      </c>
      <c r="Q126" s="4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4">
        <f>SUM(T127:X127)</f>
        <v/>
      </c>
      <c r="Q127" s="4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4">
        <f>SUM(T129:X129)</f>
        <v/>
      </c>
      <c r="Q129" s="4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4">
        <f>SUM(T130:X130)</f>
        <v/>
      </c>
      <c r="Q130" s="4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4">
        <f>SUM(T131:X131)</f>
        <v/>
      </c>
      <c r="Q131" s="4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4">
        <f>SUM(T132:X132)</f>
        <v/>
      </c>
      <c r="Q132" s="4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4">
        <f>SUM(T133:X133)</f>
        <v/>
      </c>
      <c r="Q133" s="4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  <row r="13">
      <c r="A13" s="23" t="n">
        <v>10</v>
      </c>
      <c r="B13" s="24" t="n"/>
      <c r="C13" s="24" t="n"/>
      <c r="D13" s="24" t="n"/>
      <c r="E13" s="24" t="n"/>
      <c r="F13" s="24" t="n"/>
      <c r="G13" s="24" t="n"/>
      <c r="H13" s="24" t="n"/>
    </row>
    <row r="14">
      <c r="A14" s="23" t="n">
        <v>11</v>
      </c>
      <c r="B14" s="24" t="n"/>
      <c r="C14" s="24" t="n"/>
      <c r="D14" s="24" t="n"/>
      <c r="E14" s="24" t="n"/>
      <c r="F14" s="24" t="n"/>
      <c r="G14" s="24" t="n"/>
      <c r="H14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2026-02-02T17:46:18Z</dcterms:created>
  <dcterms:modified xsi:type="dcterms:W3CDTF">2026-02-02T17:46:18Z</dcterms:modified>
</cp:coreProperties>
</file>