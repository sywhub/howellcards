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12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55</t>
        </is>
      </c>
      <c r="C2" t="inlineStr">
        <is>
          <t>Name 74</t>
        </is>
      </c>
      <c r="D2" s="4">
        <f>SUMIF('By Board'!$D$3:$D$134,"=1",'By Board'!$L$3:$L$134)+SUMIF('By Board'!$E$3:$E$134,"=1",'By Board'!$M$3:$M$134)</f>
        <v/>
      </c>
      <c r="E2" s="5">
        <f>SUMIF('By Board'!$D$3:$D$134,"=1",'By Board'!$N$3:$N$134)/22+SUMIF('By Board'!$E$3:$E$134,"=1",'By Board'!$O$3:$O$134)/22</f>
        <v/>
      </c>
    </row>
    <row r="3">
      <c r="A3" t="n">
        <v>2</v>
      </c>
      <c r="B3" t="inlineStr">
        <is>
          <t>Name 32</t>
        </is>
      </c>
      <c r="C3" t="inlineStr">
        <is>
          <t>Name 35</t>
        </is>
      </c>
      <c r="D3" s="4">
        <f>SUMIF('By Board'!$D$3:$D$134,"=2",'By Board'!$L$3:$L$134)+SUMIF('By Board'!$E$3:$E$134,"=2",'By Board'!$M$3:$M$134)</f>
        <v/>
      </c>
      <c r="E3" s="5">
        <f>SUMIF('By Board'!$D$3:$D$134,"=2",'By Board'!$N$3:$N$134)/22+SUMIF('By Board'!$E$3:$E$134,"=2",'By Board'!$O$3:$O$134)/22</f>
        <v/>
      </c>
    </row>
    <row r="4">
      <c r="A4" t="n">
        <v>3</v>
      </c>
      <c r="B4" t="inlineStr">
        <is>
          <t>Name 41</t>
        </is>
      </c>
      <c r="C4" t="inlineStr">
        <is>
          <t>Name 56</t>
        </is>
      </c>
      <c r="D4" s="4">
        <f>SUMIF('By Board'!$D$3:$D$134,"=3",'By Board'!$L$3:$L$134)+SUMIF('By Board'!$E$3:$E$134,"=3",'By Board'!$M$3:$M$134)</f>
        <v/>
      </c>
      <c r="E4" s="5">
        <f>SUMIF('By Board'!$D$3:$D$134,"=3",'By Board'!$N$3:$N$134)/22+SUMIF('By Board'!$E$3:$E$134,"=3",'By Board'!$O$3:$O$134)/22</f>
        <v/>
      </c>
    </row>
    <row r="5">
      <c r="A5" t="n">
        <v>4</v>
      </c>
      <c r="B5" t="inlineStr">
        <is>
          <t>Name 39</t>
        </is>
      </c>
      <c r="C5" t="inlineStr">
        <is>
          <t>Name 63</t>
        </is>
      </c>
      <c r="D5" s="4">
        <f>SUMIF('By Board'!$D$3:$D$134,"=4",'By Board'!$L$3:$L$134)+SUMIF('By Board'!$E$3:$E$134,"=4",'By Board'!$M$3:$M$134)</f>
        <v/>
      </c>
      <c r="E5" s="5">
        <f>SUMIF('By Board'!$D$3:$D$134,"=4",'By Board'!$N$3:$N$134)/22+SUMIF('By Board'!$E$3:$E$134,"=4",'By Board'!$O$3:$O$134)/22</f>
        <v/>
      </c>
    </row>
    <row r="6">
      <c r="A6" t="n">
        <v>5</v>
      </c>
      <c r="B6" t="inlineStr">
        <is>
          <t>Name 16</t>
        </is>
      </c>
      <c r="C6" t="inlineStr">
        <is>
          <t>Name 27</t>
        </is>
      </c>
      <c r="D6" s="4">
        <f>SUMIF('By Board'!$D$3:$D$134,"=5",'By Board'!$L$3:$L$134)+SUMIF('By Board'!$E$3:$E$134,"=5",'By Board'!$M$3:$M$134)</f>
        <v/>
      </c>
      <c r="E6" s="5">
        <f>SUMIF('By Board'!$D$3:$D$134,"=5",'By Board'!$N$3:$N$134)/22+SUMIF('By Board'!$E$3:$E$134,"=5",'By Board'!$O$3:$O$134)/22</f>
        <v/>
      </c>
    </row>
    <row r="7">
      <c r="A7" t="n">
        <v>6</v>
      </c>
      <c r="B7" t="inlineStr">
        <is>
          <t>Name 18</t>
        </is>
      </c>
      <c r="C7" t="inlineStr">
        <is>
          <t>Name 71</t>
        </is>
      </c>
      <c r="D7" s="4">
        <f>SUMIF('By Board'!$D$3:$D$134,"=6",'By Board'!$L$3:$L$134)+SUMIF('By Board'!$E$3:$E$134,"=6",'By Board'!$M$3:$M$134)</f>
        <v/>
      </c>
      <c r="E7" s="5">
        <f>SUMIF('By Board'!$D$3:$D$134,"=6",'By Board'!$N$3:$N$134)/22+SUMIF('By Board'!$E$3:$E$134,"=6",'By Board'!$O$3:$O$134)/22</f>
        <v/>
      </c>
    </row>
    <row r="8">
      <c r="A8" t="n">
        <v>7</v>
      </c>
      <c r="B8" t="inlineStr">
        <is>
          <t>Name 46</t>
        </is>
      </c>
      <c r="C8" t="inlineStr">
        <is>
          <t>Name 30</t>
        </is>
      </c>
      <c r="D8" s="4">
        <f>SUMIF('By Board'!$D$3:$D$134,"=7",'By Board'!$L$3:$L$134)+SUMIF('By Board'!$E$3:$E$134,"=7",'By Board'!$M$3:$M$134)</f>
        <v/>
      </c>
      <c r="E8" s="5">
        <f>SUMIF('By Board'!$D$3:$D$134,"=7",'By Board'!$N$3:$N$134)/22+SUMIF('By Board'!$E$3:$E$134,"=7",'By Board'!$O$3:$O$134)/22</f>
        <v/>
      </c>
    </row>
    <row r="9">
      <c r="A9" t="n">
        <v>8</v>
      </c>
      <c r="B9" t="inlineStr">
        <is>
          <t>Name 60</t>
        </is>
      </c>
      <c r="C9" t="inlineStr">
        <is>
          <t>Name 50</t>
        </is>
      </c>
      <c r="D9" s="4">
        <f>SUMIF('By Board'!$D$3:$D$134,"=8",'By Board'!$L$3:$L$134)+SUMIF('By Board'!$E$3:$E$134,"=8",'By Board'!$M$3:$M$134)</f>
        <v/>
      </c>
      <c r="E9" s="5">
        <f>SUMIF('By Board'!$D$3:$D$134,"=8",'By Board'!$N$3:$N$134)/22+SUMIF('By Board'!$E$3:$E$134,"=8",'By Board'!$O$3:$O$134)/22</f>
        <v/>
      </c>
    </row>
    <row r="10">
      <c r="A10" t="n">
        <v>9</v>
      </c>
      <c r="B10" t="inlineStr">
        <is>
          <t>Name 33</t>
        </is>
      </c>
      <c r="C10" t="inlineStr">
        <is>
          <t>Name 18</t>
        </is>
      </c>
      <c r="D10" s="4">
        <f>SUMIF('By Board'!$D$3:$D$134,"=9",'By Board'!$L$3:$L$134)+SUMIF('By Board'!$E$3:$E$134,"=9",'By Board'!$M$3:$M$134)</f>
        <v/>
      </c>
      <c r="E10" s="5">
        <f>SUMIF('By Board'!$D$3:$D$134,"=9",'By Board'!$N$3:$N$134)/22+SUMIF('By Board'!$E$3:$E$134,"=9",'By Board'!$O$3:$O$134)/22</f>
        <v/>
      </c>
    </row>
    <row r="11">
      <c r="A11" t="n">
        <v>10</v>
      </c>
      <c r="B11" t="inlineStr">
        <is>
          <t>Name 23</t>
        </is>
      </c>
      <c r="C11" t="inlineStr">
        <is>
          <t>Name 13</t>
        </is>
      </c>
      <c r="D11" s="4">
        <f>SUMIF('By Board'!$D$3:$D$134,"=10",'By Board'!$L$3:$L$134)+SUMIF('By Board'!$E$3:$E$134,"=10",'By Board'!$M$3:$M$134)</f>
        <v/>
      </c>
      <c r="E11" s="5">
        <f>SUMIF('By Board'!$D$3:$D$134,"=10",'By Board'!$N$3:$N$134)/22+SUMIF('By Board'!$E$3:$E$134,"=10",'By Board'!$O$3:$O$134)/22</f>
        <v/>
      </c>
    </row>
    <row r="12">
      <c r="A12" t="n">
        <v>11</v>
      </c>
      <c r="B12" t="inlineStr">
        <is>
          <t>Name 50</t>
        </is>
      </c>
      <c r="C12" t="inlineStr">
        <is>
          <t>Name 15</t>
        </is>
      </c>
      <c r="D12" s="4">
        <f>SUMIF('By Board'!$D$3:$D$134,"=11",'By Board'!$L$3:$L$134)+SUMIF('By Board'!$E$3:$E$134,"=11",'By Board'!$M$3:$M$134)</f>
        <v/>
      </c>
      <c r="E12" s="5">
        <f>SUMIF('By Board'!$D$3:$D$134,"=11",'By Board'!$N$3:$N$134)/22+SUMIF('By Board'!$E$3:$E$134,"=11",'By Board'!$O$3:$O$134)/22</f>
        <v/>
      </c>
    </row>
    <row r="13">
      <c r="A13" t="n">
        <v>12</v>
      </c>
      <c r="B13" t="inlineStr">
        <is>
          <t>Name 44</t>
        </is>
      </c>
      <c r="C13" t="inlineStr">
        <is>
          <t>Name 63</t>
        </is>
      </c>
      <c r="D13" s="4">
        <f>SUMIF('By Board'!$D$3:$D$134,"=12",'By Board'!$L$3:$L$134)+0</f>
        <v/>
      </c>
      <c r="E13" s="5">
        <f>SUMIF('By Board'!$D$3:$D$134,"=12",'By Board'!$N$3:$N$134)/22+0/22</f>
        <v/>
      </c>
    </row>
    <row r="14">
      <c r="D14" s="6">
        <f>SUM(D2:D13)</f>
        <v/>
      </c>
      <c r="E14" s="7">
        <f>AVERAGE(E2:E13)</f>
        <v/>
      </c>
    </row>
    <row r="16">
      <c r="A16" t="inlineStr">
        <is>
          <t>Array Formula below, remove single quote</t>
        </is>
      </c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31">
      <c r="A31" t="inlineStr">
        <is>
          <t>'=SORT(A2:E13,5,-1)</t>
        </is>
      </c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AD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3" t="n"/>
      <c r="X2" s="13" t="n"/>
      <c r="Y2" s="11" t="inlineStr">
        <is>
          <t>EW Pair-Wise</t>
        </is>
      </c>
      <c r="Z2" s="13" t="n"/>
      <c r="AA2" s="13" t="n"/>
      <c r="AB2" s="13" t="n"/>
      <c r="AC2" s="13" t="n"/>
      <c r="AD2" s="11" t="inlineStr">
        <is>
          <t>NS MP Score</t>
        </is>
      </c>
      <c r="AE2" s="13" t="n"/>
      <c r="AF2" s="13" t="n"/>
      <c r="AG2" s="13" t="n"/>
      <c r="AH2" s="13" t="n"/>
      <c r="AI2" s="11" t="inlineStr">
        <is>
          <t>EW MP Score</t>
        </is>
      </c>
      <c r="AJ2" s="13" t="n"/>
      <c r="AK2" s="13" t="n"/>
      <c r="AL2" s="13" t="n"/>
      <c r="AM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IFERROR(AVERAGE(T3:X3),"")</f>
        <v/>
      </c>
      <c r="M3" s="4">
        <f>IFERROR(AVERAGE(Y3:AC3),"")</f>
        <v/>
      </c>
      <c r="N3" s="5">
        <f>P3/5</f>
        <v/>
      </c>
      <c r="O3" s="5">
        <f>Q3/5</f>
        <v/>
      </c>
      <c r="P3" s="4">
        <f>IFERROR(SUM(AD3:AH3),"")</f>
        <v/>
      </c>
      <c r="Q3" s="4">
        <f>IFERROR(SUM(AI3:AM3),"")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IF(AND(ISNUMBER(R3),ISNUMBER(R7)),VLOOKUP(ABS(R3-R7),'IMP Table'!$A$2:$C$26,3)*SIGN(R3-R7),"")</f>
        <v/>
      </c>
      <c r="X3">
        <f>IF(AND(ISNUMBER(R3),ISNUMBER(R8)),VLOOKUP(ABS(R3-R8),'IMP Table'!$A$2:$C$26,3)*SIGN(R3-R8),"")</f>
        <v/>
      </c>
      <c r="Y3">
        <f>IF(AND(ISNUMBER(S3),ISNUMBER(S4)),VLOOKUP(ABS(S3-S4),'IMP Table'!$A$2:$C$26,3)*SIGN(S3-S4),"")</f>
        <v/>
      </c>
      <c r="Z3">
        <f>IF(AND(ISNUMBER(S3),ISNUMBER(S5)),VLOOKUP(ABS(S3-S5),'IMP Table'!$A$2:$C$26,3)*SIGN(S3-S5),"")</f>
        <v/>
      </c>
      <c r="AA3">
        <f>IF(AND(ISNUMBER(S3),ISNUMBER(S6)),VLOOKUP(ABS(S3-S6),'IMP Table'!$A$2:$C$26,3)*SIGN(S3-S6),"")</f>
        <v/>
      </c>
      <c r="AB3">
        <f>IF(AND(ISNUMBER(S3),ISNUMBER(S7)),VLOOKUP(ABS(S3-S7),'IMP Table'!$A$2:$C$26,3)*SIGN(S3-S7),"")</f>
        <v/>
      </c>
      <c r="AC3">
        <f>IF(AND(ISNUMBER(S3),ISNUMBER(S8)),VLOOKUP(ABS(S3-S8),'IMP Table'!$A$2:$C$26,3)*SIGN(S3-S8),"")</f>
        <v/>
      </c>
      <c r="AD3">
        <f>IF(AND(ISNUMBER(R3),ISNUMBER(R4)),IF(R3&gt;R4,1,IF(R3=R4,0.5,0)),0.5)</f>
        <v/>
      </c>
      <c r="AE3">
        <f>IF(AND(ISNUMBER(R3),ISNUMBER(R5)),IF(R3&gt;R5,1,IF(R3=R5,0.5,0)),0.5)</f>
        <v/>
      </c>
      <c r="AF3">
        <f>IF(AND(ISNUMBER(R3),ISNUMBER(R6)),IF(R3&gt;R6,1,IF(R3=R6,0.5,0)),0.5)</f>
        <v/>
      </c>
      <c r="AG3">
        <f>IF(AND(ISNUMBER(R3),ISNUMBER(R7)),IF(R3&gt;R7,1,IF(R3=R7,0.5,0)),0.5)</f>
        <v/>
      </c>
      <c r="AH3">
        <f>IF(AND(ISNUMBER(R3),ISNUMBER(R8)),IF(R3&gt;R8,1,IF(R3=R8,0.5,0)),0.5)</f>
        <v/>
      </c>
      <c r="AI3">
        <f>IF(AND(ISNUMBER(S3),ISNUMBER(S4)),IF(S3&gt;S4,1,IF(S3=S4,0.5,0)),0.5)</f>
        <v/>
      </c>
      <c r="AJ3">
        <f>IF(AND(ISNUMBER(S3),ISNUMBER(S5)),IF(S3&gt;S5,1,IF(S3=S5,0.5,0)),0.5)</f>
        <v/>
      </c>
      <c r="AK3">
        <f>IF(AND(ISNUMBER(S3),ISNUMBER(S6)),IF(S3&gt;S6,1,IF(S3=S6,0.5,0)),0.5)</f>
        <v/>
      </c>
      <c r="AL3">
        <f>IF(AND(ISNUMBER(S3),ISNUMBER(S7)),IF(S3&gt;S7,1,IF(S3=S7,0.5,0)),0.5)</f>
        <v/>
      </c>
      <c r="AM3">
        <f>IF(AND(ISNUMBER(S3),ISNUMBER(S8)),IF(S3&gt;S8,1,IF(S3=S8,0.5,0)),0.5)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4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5">
        <f>IFERROR(AVERAGE(T4:X4),"")</f>
        <v/>
      </c>
      <c r="M4" s="4">
        <f>IFERROR(AVERAGE(Y4:AC4),"")</f>
        <v/>
      </c>
      <c r="N4" s="5">
        <f>P4/5</f>
        <v/>
      </c>
      <c r="O4" s="5">
        <f>Q4/5</f>
        <v/>
      </c>
      <c r="P4" s="4">
        <f>IFERROR(SUM(AD4:AH4),"")</f>
        <v/>
      </c>
      <c r="Q4" s="4">
        <f>IFERROR(SUM(AI4:AM4),"")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IF(AND(ISNUMBER(R4),ISNUMBER(R7)),VLOOKUP(ABS(R4-R7),'IMP Table'!$A$2:$C$26,3)*SIGN(R4-R7),"")</f>
        <v/>
      </c>
      <c r="X4">
        <f>IF(AND(ISNUMBER(R4),ISNUMBER(R8)),VLOOKUP(ABS(R4-R8),'IMP Table'!$A$2:$C$26,3)*SIGN(R4-R8),"")</f>
        <v/>
      </c>
      <c r="Y4">
        <f>IF(AND(ISNUMBER(S4),ISNUMBER(S3)),VLOOKUP(ABS(S4-S3),'IMP Table'!$A$2:$C$26,3)*SIGN(S4-S3),"")</f>
        <v/>
      </c>
      <c r="Z4">
        <f>IF(AND(ISNUMBER(S4),ISNUMBER(S5)),VLOOKUP(ABS(S4-S5),'IMP Table'!$A$2:$C$26,3)*SIGN(S4-S5),"")</f>
        <v/>
      </c>
      <c r="AA4">
        <f>IF(AND(ISNUMBER(S4),ISNUMBER(S6)),VLOOKUP(ABS(S4-S6),'IMP Table'!$A$2:$C$26,3)*SIGN(S4-S6),"")</f>
        <v/>
      </c>
      <c r="AB4">
        <f>IF(AND(ISNUMBER(S4),ISNUMBER(S7)),VLOOKUP(ABS(S4-S7),'IMP Table'!$A$2:$C$26,3)*SIGN(S4-S7),"")</f>
        <v/>
      </c>
      <c r="AC4">
        <f>IF(AND(ISNUMBER(S4),ISNUMBER(S8)),VLOOKUP(ABS(S4-S8),'IMP Table'!$A$2:$C$26,3)*SIGN(S4-S8),"")</f>
        <v/>
      </c>
      <c r="AD4">
        <f>IF(AND(ISNUMBER(R4),ISNUMBER(R3)),IF(R4&gt;R3,1,IF(R4=R3,0.5,0)),0.5)</f>
        <v/>
      </c>
      <c r="AE4">
        <f>IF(AND(ISNUMBER(R4),ISNUMBER(R5)),IF(R4&gt;R5,1,IF(R4=R5,0.5,0)),0.5)</f>
        <v/>
      </c>
      <c r="AF4">
        <f>IF(AND(ISNUMBER(R4),ISNUMBER(R6)),IF(R4&gt;R6,1,IF(R4=R6,0.5,0)),0.5)</f>
        <v/>
      </c>
      <c r="AG4">
        <f>IF(AND(ISNUMBER(R4),ISNUMBER(R7)),IF(R4&gt;R7,1,IF(R4=R7,0.5,0)),0.5)</f>
        <v/>
      </c>
      <c r="AH4">
        <f>IF(AND(ISNUMBER(R4),ISNUMBER(R8)),IF(R4&gt;R8,1,IF(R4=R8,0.5,0)),0.5)</f>
        <v/>
      </c>
      <c r="AI4">
        <f>IF(AND(ISNUMBER(S4),ISNUMBER(S3)),IF(S4&gt;S3,1,IF(S4=S3,0.5,0)),0.5)</f>
        <v/>
      </c>
      <c r="AJ4">
        <f>IF(AND(ISNUMBER(S4),ISNUMBER(S5)),IF(S4&gt;S5,1,IF(S4=S5,0.5,0)),0.5)</f>
        <v/>
      </c>
      <c r="AK4">
        <f>IF(AND(ISNUMBER(S4),ISNUMBER(S6)),IF(S4&gt;S6,1,IF(S4=S6,0.5,0)),0.5)</f>
        <v/>
      </c>
      <c r="AL4">
        <f>IF(AND(ISNUMBER(S4),ISNUMBER(S7)),IF(S4&gt;S7,1,IF(S4=S7,0.5,0)),0.5)</f>
        <v/>
      </c>
      <c r="AM4">
        <f>IF(AND(ISNUMBER(S4),ISNUMBER(S8)),IF(S4&gt;S8,1,IF(S4=S8,0.5,0)),0.5)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4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5">
        <f>IFERROR(AVERAGE(T5:X5),"")</f>
        <v/>
      </c>
      <c r="M5" s="4">
        <f>IFERROR(AVERAGE(Y5:AC5),"")</f>
        <v/>
      </c>
      <c r="N5" s="5">
        <f>P5/5</f>
        <v/>
      </c>
      <c r="O5" s="5">
        <f>Q5/5</f>
        <v/>
      </c>
      <c r="P5" s="4">
        <f>IFERROR(SUM(AD5:AH5),"")</f>
        <v/>
      </c>
      <c r="Q5" s="4">
        <f>IFERROR(SUM(AI5:AM5),"")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IF(AND(ISNUMBER(R5),ISNUMBER(R7)),VLOOKUP(ABS(R5-R7),'IMP Table'!$A$2:$C$26,3)*SIGN(R5-R7),"")</f>
        <v/>
      </c>
      <c r="X5">
        <f>IF(AND(ISNUMBER(R5),ISNUMBER(R8)),VLOOKUP(ABS(R5-R8),'IMP Table'!$A$2:$C$26,3)*SIGN(R5-R8),"")</f>
        <v/>
      </c>
      <c r="Y5">
        <f>IF(AND(ISNUMBER(S5),ISNUMBER(S3)),VLOOKUP(ABS(S5-S3),'IMP Table'!$A$2:$C$26,3)*SIGN(S5-S3),"")</f>
        <v/>
      </c>
      <c r="Z5">
        <f>IF(AND(ISNUMBER(S5),ISNUMBER(S4)),VLOOKUP(ABS(S5-S4),'IMP Table'!$A$2:$C$26,3)*SIGN(S5-S4),"")</f>
        <v/>
      </c>
      <c r="AA5">
        <f>IF(AND(ISNUMBER(S5),ISNUMBER(S6)),VLOOKUP(ABS(S5-S6),'IMP Table'!$A$2:$C$26,3)*SIGN(S5-S6),"")</f>
        <v/>
      </c>
      <c r="AB5">
        <f>IF(AND(ISNUMBER(S5),ISNUMBER(S7)),VLOOKUP(ABS(S5-S7),'IMP Table'!$A$2:$C$26,3)*SIGN(S5-S7),"")</f>
        <v/>
      </c>
      <c r="AC5">
        <f>IF(AND(ISNUMBER(S5),ISNUMBER(S8)),VLOOKUP(ABS(S5-S8),'IMP Table'!$A$2:$C$26,3)*SIGN(S5-S8),"")</f>
        <v/>
      </c>
      <c r="AD5">
        <f>IF(AND(ISNUMBER(R5),ISNUMBER(R3)),IF(R5&gt;R3,1,IF(R5=R3,0.5,0)),0.5)</f>
        <v/>
      </c>
      <c r="AE5">
        <f>IF(AND(ISNUMBER(R5),ISNUMBER(R4)),IF(R5&gt;R4,1,IF(R5=R4,0.5,0)),0.5)</f>
        <v/>
      </c>
      <c r="AF5">
        <f>IF(AND(ISNUMBER(R5),ISNUMBER(R6)),IF(R5&gt;R6,1,IF(R5=R6,0.5,0)),0.5)</f>
        <v/>
      </c>
      <c r="AG5">
        <f>IF(AND(ISNUMBER(R5),ISNUMBER(R7)),IF(R5&gt;R7,1,IF(R5=R7,0.5,0)),0.5)</f>
        <v/>
      </c>
      <c r="AH5">
        <f>IF(AND(ISNUMBER(R5),ISNUMBER(R8)),IF(R5&gt;R8,1,IF(R5=R8,0.5,0)),0.5)</f>
        <v/>
      </c>
      <c r="AI5">
        <f>IF(AND(ISNUMBER(S5),ISNUMBER(S3)),IF(S5&gt;S3,1,IF(S5=S3,0.5,0)),0.5)</f>
        <v/>
      </c>
      <c r="AJ5">
        <f>IF(AND(ISNUMBER(S5),ISNUMBER(S4)),IF(S5&gt;S4,1,IF(S5=S4,0.5,0)),0.5)</f>
        <v/>
      </c>
      <c r="AK5">
        <f>IF(AND(ISNUMBER(S5),ISNUMBER(S6)),IF(S5&gt;S6,1,IF(S5=S6,0.5,0)),0.5)</f>
        <v/>
      </c>
      <c r="AL5">
        <f>IF(AND(ISNUMBER(S5),ISNUMBER(S7)),IF(S5&gt;S7,1,IF(S5=S7,0.5,0)),0.5)</f>
        <v/>
      </c>
      <c r="AM5">
        <f>IF(AND(ISNUMBER(S5),ISNUMBER(S8)),IF(S5&gt;S8,1,IF(S5=S8,0.5,0)),0.5)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4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5">
        <f>IFERROR(AVERAGE(T6:X6),"")</f>
        <v/>
      </c>
      <c r="M6" s="4">
        <f>IFERROR(AVERAGE(Y6:AC6),"")</f>
        <v/>
      </c>
      <c r="N6" s="5">
        <f>P6/5</f>
        <v/>
      </c>
      <c r="O6" s="5">
        <f>Q6/5</f>
        <v/>
      </c>
      <c r="P6" s="4">
        <f>IFERROR(SUM(AD6:AH6),"")</f>
        <v/>
      </c>
      <c r="Q6" s="4">
        <f>IFERROR(SUM(AI6:AM6),"")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IF(AND(ISNUMBER(R6),ISNUMBER(R3)),VLOOKUP(ABS(R6-R3),'IMP Table'!$A$2:$C$26,3)*SIGN(R6-R3),"")</f>
        <v/>
      </c>
      <c r="U6">
        <f>IF(AND(ISNUMBER(R6),ISNUMBER(R4)),VLOOKUP(ABS(R6-R4),'IMP Table'!$A$2:$C$26,3)*SIGN(R6-R4),"")</f>
        <v/>
      </c>
      <c r="V6">
        <f>IF(AND(ISNUMBER(R6),ISNUMBER(R5)),VLOOKUP(ABS(R6-R5),'IMP Table'!$A$2:$C$26,3)*SIGN(R6-R5),"")</f>
        <v/>
      </c>
      <c r="W6">
        <f>IF(AND(ISNUMBER(R6),ISNUMBER(R7)),VLOOKUP(ABS(R6-R7),'IMP Table'!$A$2:$C$26,3)*SIGN(R6-R7),"")</f>
        <v/>
      </c>
      <c r="X6">
        <f>IF(AND(ISNUMBER(R6),ISNUMBER(R8)),VLOOKUP(ABS(R6-R8),'IMP Table'!$A$2:$C$26,3)*SIGN(R6-R8),"")</f>
        <v/>
      </c>
      <c r="Y6">
        <f>IF(AND(ISNUMBER(S6),ISNUMBER(S3)),VLOOKUP(ABS(S6-S3),'IMP Table'!$A$2:$C$26,3)*SIGN(S6-S3),"")</f>
        <v/>
      </c>
      <c r="Z6">
        <f>IF(AND(ISNUMBER(S6),ISNUMBER(S4)),VLOOKUP(ABS(S6-S4),'IMP Table'!$A$2:$C$26,3)*SIGN(S6-S4),"")</f>
        <v/>
      </c>
      <c r="AA6">
        <f>IF(AND(ISNUMBER(S6),ISNUMBER(S5)),VLOOKUP(ABS(S6-S5),'IMP Table'!$A$2:$C$26,3)*SIGN(S6-S5),"")</f>
        <v/>
      </c>
      <c r="AB6">
        <f>IF(AND(ISNUMBER(S6),ISNUMBER(S7)),VLOOKUP(ABS(S6-S7),'IMP Table'!$A$2:$C$26,3)*SIGN(S6-S7),"")</f>
        <v/>
      </c>
      <c r="AC6">
        <f>IF(AND(ISNUMBER(S6),ISNUMBER(S8)),VLOOKUP(ABS(S6-S8),'IMP Table'!$A$2:$C$26,3)*SIGN(S6-S8),"")</f>
        <v/>
      </c>
      <c r="AD6">
        <f>IF(AND(ISNUMBER(R6),ISNUMBER(R3)),IF(R6&gt;R3,1,IF(R6=R3,0.5,0)),0.5)</f>
        <v/>
      </c>
      <c r="AE6">
        <f>IF(AND(ISNUMBER(R6),ISNUMBER(R4)),IF(R6&gt;R4,1,IF(R6=R4,0.5,0)),0.5)</f>
        <v/>
      </c>
      <c r="AF6">
        <f>IF(AND(ISNUMBER(R6),ISNUMBER(R5)),IF(R6&gt;R5,1,IF(R6=R5,0.5,0)),0.5)</f>
        <v/>
      </c>
      <c r="AG6">
        <f>IF(AND(ISNUMBER(R6),ISNUMBER(R7)),IF(R6&gt;R7,1,IF(R6=R7,0.5,0)),0.5)</f>
        <v/>
      </c>
      <c r="AH6">
        <f>IF(AND(ISNUMBER(R6),ISNUMBER(R8)),IF(R6&gt;R8,1,IF(R6=R8,0.5,0)),0.5)</f>
        <v/>
      </c>
      <c r="AI6">
        <f>IF(AND(ISNUMBER(S6),ISNUMBER(S3)),IF(S6&gt;S3,1,IF(S6=S3,0.5,0)),0.5)</f>
        <v/>
      </c>
      <c r="AJ6">
        <f>IF(AND(ISNUMBER(S6),ISNUMBER(S4)),IF(S6&gt;S4,1,IF(S6=S4,0.5,0)),0.5)</f>
        <v/>
      </c>
      <c r="AK6">
        <f>IF(AND(ISNUMBER(S6),ISNUMBER(S5)),IF(S6&gt;S5,1,IF(S6=S5,0.5,0)),0.5)</f>
        <v/>
      </c>
      <c r="AL6">
        <f>IF(AND(ISNUMBER(S6),ISNUMBER(S7)),IF(S6&gt;S7,1,IF(S6=S7,0.5,0)),0.5)</f>
        <v/>
      </c>
      <c r="AM6">
        <f>IF(AND(ISNUMBER(S6),ISNUMBER(S8)),IF(S6&gt;S8,1,IF(S6=S8,0.5,0)),0.5)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4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5">
        <f>IFERROR(AVERAGE(T7:X7),"")</f>
        <v/>
      </c>
      <c r="M7" s="4">
        <f>IFERROR(AVERAGE(Y7:AC7),"")</f>
        <v/>
      </c>
      <c r="N7" s="5">
        <f>P7/5</f>
        <v/>
      </c>
      <c r="O7" s="5">
        <f>Q7/5</f>
        <v/>
      </c>
      <c r="P7" s="4">
        <f>IFERROR(SUM(AD7:AH7),"")</f>
        <v/>
      </c>
      <c r="Q7" s="4">
        <f>IFERROR(SUM(AI7:AM7),"")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IF(AND(ISNUMBER(R7),ISNUMBER(R3)),VLOOKUP(ABS(R7-R3),'IMP Table'!$A$2:$C$26,3)*SIGN(R7-R3),"")</f>
        <v/>
      </c>
      <c r="U7">
        <f>IF(AND(ISNUMBER(R7),ISNUMBER(R4)),VLOOKUP(ABS(R7-R4),'IMP Table'!$A$2:$C$26,3)*SIGN(R7-R4),"")</f>
        <v/>
      </c>
      <c r="V7">
        <f>IF(AND(ISNUMBER(R7),ISNUMBER(R5)),VLOOKUP(ABS(R7-R5),'IMP Table'!$A$2:$C$26,3)*SIGN(R7-R5),"")</f>
        <v/>
      </c>
      <c r="W7">
        <f>IF(AND(ISNUMBER(R7),ISNUMBER(R6)),VLOOKUP(ABS(R7-R6),'IMP Table'!$A$2:$C$26,3)*SIGN(R7-R6),"")</f>
        <v/>
      </c>
      <c r="X7">
        <f>IF(AND(ISNUMBER(R7),ISNUMBER(R8)),VLOOKUP(ABS(R7-R8),'IMP Table'!$A$2:$C$26,3)*SIGN(R7-R8),"")</f>
        <v/>
      </c>
      <c r="Y7">
        <f>IF(AND(ISNUMBER(S7),ISNUMBER(S3)),VLOOKUP(ABS(S7-S3),'IMP Table'!$A$2:$C$26,3)*SIGN(S7-S3),"")</f>
        <v/>
      </c>
      <c r="Z7">
        <f>IF(AND(ISNUMBER(S7),ISNUMBER(S4)),VLOOKUP(ABS(S7-S4),'IMP Table'!$A$2:$C$26,3)*SIGN(S7-S4),"")</f>
        <v/>
      </c>
      <c r="AA7">
        <f>IF(AND(ISNUMBER(S7),ISNUMBER(S5)),VLOOKUP(ABS(S7-S5),'IMP Table'!$A$2:$C$26,3)*SIGN(S7-S5),"")</f>
        <v/>
      </c>
      <c r="AB7">
        <f>IF(AND(ISNUMBER(S7),ISNUMBER(S6)),VLOOKUP(ABS(S7-S6),'IMP Table'!$A$2:$C$26,3)*SIGN(S7-S6),"")</f>
        <v/>
      </c>
      <c r="AC7">
        <f>IF(AND(ISNUMBER(S7),ISNUMBER(S8)),VLOOKUP(ABS(S7-S8),'IMP Table'!$A$2:$C$26,3)*SIGN(S7-S8),"")</f>
        <v/>
      </c>
      <c r="AD7">
        <f>IF(AND(ISNUMBER(R7),ISNUMBER(R3)),IF(R7&gt;R3,1,IF(R7=R3,0.5,0)),0.5)</f>
        <v/>
      </c>
      <c r="AE7">
        <f>IF(AND(ISNUMBER(R7),ISNUMBER(R4)),IF(R7&gt;R4,1,IF(R7=R4,0.5,0)),0.5)</f>
        <v/>
      </c>
      <c r="AF7">
        <f>IF(AND(ISNUMBER(R7),ISNUMBER(R5)),IF(R7&gt;R5,1,IF(R7=R5,0.5,0)),0.5)</f>
        <v/>
      </c>
      <c r="AG7">
        <f>IF(AND(ISNUMBER(R7),ISNUMBER(R6)),IF(R7&gt;R6,1,IF(R7=R6,0.5,0)),0.5)</f>
        <v/>
      </c>
      <c r="AH7">
        <f>IF(AND(ISNUMBER(R7),ISNUMBER(R8)),IF(R7&gt;R8,1,IF(R7=R8,0.5,0)),0.5)</f>
        <v/>
      </c>
      <c r="AI7">
        <f>IF(AND(ISNUMBER(S7),ISNUMBER(S3)),IF(S7&gt;S3,1,IF(S7=S3,0.5,0)),0.5)</f>
        <v/>
      </c>
      <c r="AJ7">
        <f>IF(AND(ISNUMBER(S7),ISNUMBER(S4)),IF(S7&gt;S4,1,IF(S7=S4,0.5,0)),0.5)</f>
        <v/>
      </c>
      <c r="AK7">
        <f>IF(AND(ISNUMBER(S7),ISNUMBER(S5)),IF(S7&gt;S5,1,IF(S7=S5,0.5,0)),0.5)</f>
        <v/>
      </c>
      <c r="AL7">
        <f>IF(AND(ISNUMBER(S7),ISNUMBER(S6)),IF(S7&gt;S6,1,IF(S7=S6,0.5,0)),0.5)</f>
        <v/>
      </c>
      <c r="AM7">
        <f>IF(AND(ISNUMBER(S7),ISNUMBER(S8)),IF(S7&gt;S8,1,IF(S7=S8,0.5,0)),0.5)</f>
        <v/>
      </c>
    </row>
    <row r="8">
      <c r="A8" s="13" t="n"/>
      <c r="B8" s="13">
        <f>'By Round'!A87</f>
        <v/>
      </c>
      <c r="C8" s="13">
        <f>'By Round'!B89</f>
        <v/>
      </c>
      <c r="D8" s="13">
        <f>'By Round'!C89</f>
        <v/>
      </c>
      <c r="E8" s="13">
        <f>'By Round'!D89</f>
        <v/>
      </c>
      <c r="F8" s="17" t="inlineStr">
        <is>
          <t>None</t>
        </is>
      </c>
      <c r="G8" s="13">
        <f>IF(ISBLANK('By Round'!G89),"",'By Round'!G89)</f>
        <v/>
      </c>
      <c r="H8" s="13">
        <f>IF(ISBLANK('By Round'!H89),"",'By Round'!H89)</f>
        <v/>
      </c>
      <c r="I8" s="13">
        <f>IF(ISBLANK('By Round'!I89),"",'By Round'!I89)</f>
        <v/>
      </c>
      <c r="J8" s="13">
        <f>IF(ISBLANK('By Round'!J89),"",'By Round'!J89)</f>
        <v/>
      </c>
      <c r="K8" s="13">
        <f>IF(ISBLANK('By Round'!K89),"",'By Round'!K89)</f>
        <v/>
      </c>
      <c r="L8" s="18">
        <f>IFERROR(AVERAGE(T8:X8),"")</f>
        <v/>
      </c>
      <c r="M8" s="19">
        <f>IFERROR(AVERAGE(Y8:AC8),"")</f>
        <v/>
      </c>
      <c r="N8" s="20">
        <f>P8/5</f>
        <v/>
      </c>
      <c r="O8" s="20">
        <f>Q8/5</f>
        <v/>
      </c>
      <c r="P8" s="19">
        <f>IFERROR(SUM(AD8:AH8),"")</f>
        <v/>
      </c>
      <c r="Q8" s="19">
        <f>IFERROR(SUM(AI8:AM8),"")</f>
        <v/>
      </c>
      <c r="R8" s="21">
        <f>IF(ISNUMBER(J8),J8,IF(ISNUMBER(K8),-K8,""))</f>
        <v/>
      </c>
      <c r="S8" s="13">
        <f>IF(ISNUMBER(K8),K8,IF(ISNUMBER(J8),-J8,""))</f>
        <v/>
      </c>
      <c r="T8" s="13">
        <f>IF(AND(ISNUMBER(R8),ISNUMBER(R3)),VLOOKUP(ABS(R8-R3),'IMP Table'!$A$2:$C$26,3)*SIGN(R8-R3),"")</f>
        <v/>
      </c>
      <c r="U8" s="13">
        <f>IF(AND(ISNUMBER(R8),ISNUMBER(R4)),VLOOKUP(ABS(R8-R4),'IMP Table'!$A$2:$C$26,3)*SIGN(R8-R4),"")</f>
        <v/>
      </c>
      <c r="V8" s="13">
        <f>IF(AND(ISNUMBER(R8),ISNUMBER(R5)),VLOOKUP(ABS(R8-R5),'IMP Table'!$A$2:$C$26,3)*SIGN(R8-R5),"")</f>
        <v/>
      </c>
      <c r="W8" s="13">
        <f>IF(AND(ISNUMBER(R8),ISNUMBER(R6)),VLOOKUP(ABS(R8-R6),'IMP Table'!$A$2:$C$26,3)*SIGN(R8-R6),"")</f>
        <v/>
      </c>
      <c r="X8" s="13">
        <f>IF(AND(ISNUMBER(R8),ISNUMBER(R7)),VLOOKUP(ABS(R8-R7),'IMP Table'!$A$2:$C$26,3)*SIGN(R8-R7),"")</f>
        <v/>
      </c>
      <c r="Y8" s="13">
        <f>IF(AND(ISNUMBER(S8),ISNUMBER(S3)),VLOOKUP(ABS(S8-S3),'IMP Table'!$A$2:$C$26,3)*SIGN(S8-S3),"")</f>
        <v/>
      </c>
      <c r="Z8" s="13">
        <f>IF(AND(ISNUMBER(S8),ISNUMBER(S4)),VLOOKUP(ABS(S8-S4),'IMP Table'!$A$2:$C$26,3)*SIGN(S8-S4),"")</f>
        <v/>
      </c>
      <c r="AA8" s="13">
        <f>IF(AND(ISNUMBER(S8),ISNUMBER(S5)),VLOOKUP(ABS(S8-S5),'IMP Table'!$A$2:$C$26,3)*SIGN(S8-S5),"")</f>
        <v/>
      </c>
      <c r="AB8" s="13">
        <f>IF(AND(ISNUMBER(S8),ISNUMBER(S6)),VLOOKUP(ABS(S8-S6),'IMP Table'!$A$2:$C$26,3)*SIGN(S8-S6),"")</f>
        <v/>
      </c>
      <c r="AC8" s="13">
        <f>IF(AND(ISNUMBER(S8),ISNUMBER(S7)),VLOOKUP(ABS(S8-S7),'IMP Table'!$A$2:$C$26,3)*SIGN(S8-S7),"")</f>
        <v/>
      </c>
      <c r="AD8" s="13">
        <f>IF(AND(ISNUMBER(R8),ISNUMBER(R3)),IF(R8&gt;R3,1,IF(R8=R3,0.5,0)),0.5)</f>
        <v/>
      </c>
      <c r="AE8" s="13">
        <f>IF(AND(ISNUMBER(R8),ISNUMBER(R4)),IF(R8&gt;R4,1,IF(R8=R4,0.5,0)),0.5)</f>
        <v/>
      </c>
      <c r="AF8" s="13">
        <f>IF(AND(ISNUMBER(R8),ISNUMBER(R5)),IF(R8&gt;R5,1,IF(R8=R5,0.5,0)),0.5)</f>
        <v/>
      </c>
      <c r="AG8" s="13">
        <f>IF(AND(ISNUMBER(R8),ISNUMBER(R6)),IF(R8&gt;R6,1,IF(R8=R6,0.5,0)),0.5)</f>
        <v/>
      </c>
      <c r="AH8" s="13">
        <f>IF(AND(ISNUMBER(R8),ISNUMBER(R7)),IF(R8&gt;R7,1,IF(R8=R7,0.5,0)),0.5)</f>
        <v/>
      </c>
      <c r="AI8" s="13">
        <f>IF(AND(ISNUMBER(S8),ISNUMBER(S3)),IF(S8&gt;S3,1,IF(S8=S3,0.5,0)),0.5)</f>
        <v/>
      </c>
      <c r="AJ8" s="13">
        <f>IF(AND(ISNUMBER(S8),ISNUMBER(S4)),IF(S8&gt;S4,1,IF(S8=S4,0.5,0)),0.5)</f>
        <v/>
      </c>
      <c r="AK8" s="13">
        <f>IF(AND(ISNUMBER(S8),ISNUMBER(S5)),IF(S8&gt;S5,1,IF(S8=S5,0.5,0)),0.5)</f>
        <v/>
      </c>
      <c r="AL8" s="13">
        <f>IF(AND(ISNUMBER(S8),ISNUMBER(S6)),IF(S8&gt;S6,1,IF(S8=S6,0.5,0)),0.5)</f>
        <v/>
      </c>
      <c r="AM8" s="13">
        <f>IF(AND(ISNUMBER(S8),ISNUMBER(S7)),IF(S8&gt;S7,1,IF(S8=S7,0.5,0)),0.5)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4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5">
        <f>IFERROR(AVERAGE(T9:X9),"")</f>
        <v/>
      </c>
      <c r="M9" s="4">
        <f>IFERROR(AVERAGE(Y9:AC9),"")</f>
        <v/>
      </c>
      <c r="N9" s="5">
        <f>P9/5</f>
        <v/>
      </c>
      <c r="O9" s="5">
        <f>Q9/5</f>
        <v/>
      </c>
      <c r="P9" s="4">
        <f>IFERROR(SUM(AD9:AH9),"")</f>
        <v/>
      </c>
      <c r="Q9" s="4">
        <f>IFERROR(SUM(AI9:AM9),"")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IF(AND(ISNUMBER(R9),ISNUMBER(R10)),VLOOKUP(ABS(R9-R10),'IMP Table'!$A$2:$C$26,3)*SIGN(R9-R10),"")</f>
        <v/>
      </c>
      <c r="U9">
        <f>IF(AND(ISNUMBER(R9),ISNUMBER(R11)),VLOOKUP(ABS(R9-R11),'IMP Table'!$A$2:$C$26,3)*SIGN(R9-R11),"")</f>
        <v/>
      </c>
      <c r="V9">
        <f>IF(AND(ISNUMBER(R9),ISNUMBER(R12)),VLOOKUP(ABS(R9-R12),'IMP Table'!$A$2:$C$26,3)*SIGN(R9-R12),"")</f>
        <v/>
      </c>
      <c r="W9">
        <f>IF(AND(ISNUMBER(R9),ISNUMBER(R13)),VLOOKUP(ABS(R9-R13),'IMP Table'!$A$2:$C$26,3)*SIGN(R9-R13),"")</f>
        <v/>
      </c>
      <c r="X9">
        <f>IF(AND(ISNUMBER(R9),ISNUMBER(R14)),VLOOKUP(ABS(R9-R14),'IMP Table'!$A$2:$C$26,3)*SIGN(R9-R14),"")</f>
        <v/>
      </c>
      <c r="Y9">
        <f>IF(AND(ISNUMBER(S9),ISNUMBER(S10)),VLOOKUP(ABS(S9-S10),'IMP Table'!$A$2:$C$26,3)*SIGN(S9-S10),"")</f>
        <v/>
      </c>
      <c r="Z9">
        <f>IF(AND(ISNUMBER(S9),ISNUMBER(S11)),VLOOKUP(ABS(S9-S11),'IMP Table'!$A$2:$C$26,3)*SIGN(S9-S11),"")</f>
        <v/>
      </c>
      <c r="AA9">
        <f>IF(AND(ISNUMBER(S9),ISNUMBER(S12)),VLOOKUP(ABS(S9-S12),'IMP Table'!$A$2:$C$26,3)*SIGN(S9-S12),"")</f>
        <v/>
      </c>
      <c r="AB9">
        <f>IF(AND(ISNUMBER(S9),ISNUMBER(S13)),VLOOKUP(ABS(S9-S13),'IMP Table'!$A$2:$C$26,3)*SIGN(S9-S13),"")</f>
        <v/>
      </c>
      <c r="AC9">
        <f>IF(AND(ISNUMBER(S9),ISNUMBER(S14)),VLOOKUP(ABS(S9-S14),'IMP Table'!$A$2:$C$26,3)*SIGN(S9-S14),"")</f>
        <v/>
      </c>
      <c r="AD9">
        <f>IF(AND(ISNUMBER(R9),ISNUMBER(R10)),IF(R9&gt;R10,1,IF(R9=R10,0.5,0)),0.5)</f>
        <v/>
      </c>
      <c r="AE9">
        <f>IF(AND(ISNUMBER(R9),ISNUMBER(R11)),IF(R9&gt;R11,1,IF(R9=R11,0.5,0)),0.5)</f>
        <v/>
      </c>
      <c r="AF9">
        <f>IF(AND(ISNUMBER(R9),ISNUMBER(R12)),IF(R9&gt;R12,1,IF(R9=R12,0.5,0)),0.5)</f>
        <v/>
      </c>
      <c r="AG9">
        <f>IF(AND(ISNUMBER(R9),ISNUMBER(R13)),IF(R9&gt;R13,1,IF(R9=R13,0.5,0)),0.5)</f>
        <v/>
      </c>
      <c r="AH9">
        <f>IF(AND(ISNUMBER(R9),ISNUMBER(R14)),IF(R9&gt;R14,1,IF(R9=R14,0.5,0)),0.5)</f>
        <v/>
      </c>
      <c r="AI9">
        <f>IF(AND(ISNUMBER(S9),ISNUMBER(S10)),IF(S9&gt;S10,1,IF(S9=S10,0.5,0)),0.5)</f>
        <v/>
      </c>
      <c r="AJ9">
        <f>IF(AND(ISNUMBER(S9),ISNUMBER(S11)),IF(S9&gt;S11,1,IF(S9=S11,0.5,0)),0.5)</f>
        <v/>
      </c>
      <c r="AK9">
        <f>IF(AND(ISNUMBER(S9),ISNUMBER(S12)),IF(S9&gt;S12,1,IF(S9=S12,0.5,0)),0.5)</f>
        <v/>
      </c>
      <c r="AL9">
        <f>IF(AND(ISNUMBER(S9),ISNUMBER(S13)),IF(S9&gt;S13,1,IF(S9=S13,0.5,0)),0.5)</f>
        <v/>
      </c>
      <c r="AM9">
        <f>IF(AND(ISNUMBER(S9),ISNUMBER(S14)),IF(S9&gt;S14,1,IF(S9=S14,0.5,0)),0.5)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4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5">
        <f>IFERROR(AVERAGE(T10:X10),"")</f>
        <v/>
      </c>
      <c r="M10" s="4">
        <f>IFERROR(AVERAGE(Y10:AC10),"")</f>
        <v/>
      </c>
      <c r="N10" s="5">
        <f>P10/5</f>
        <v/>
      </c>
      <c r="O10" s="5">
        <f>Q10/5</f>
        <v/>
      </c>
      <c r="P10" s="4">
        <f>IFERROR(SUM(AD10:AH10),"")</f>
        <v/>
      </c>
      <c r="Q10" s="4">
        <f>IFERROR(SUM(AI10:AM10),"")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IF(AND(ISNUMBER(R10),ISNUMBER(R9)),VLOOKUP(ABS(R10-R9),'IMP Table'!$A$2:$C$26,3)*SIGN(R10-R9),"")</f>
        <v/>
      </c>
      <c r="U10">
        <f>IF(AND(ISNUMBER(R10),ISNUMBER(R11)),VLOOKUP(ABS(R10-R11),'IMP Table'!$A$2:$C$26,3)*SIGN(R10-R11),"")</f>
        <v/>
      </c>
      <c r="V10">
        <f>IF(AND(ISNUMBER(R10),ISNUMBER(R12)),VLOOKUP(ABS(R10-R12),'IMP Table'!$A$2:$C$26,3)*SIGN(R10-R12),"")</f>
        <v/>
      </c>
      <c r="W10">
        <f>IF(AND(ISNUMBER(R10),ISNUMBER(R13)),VLOOKUP(ABS(R10-R13),'IMP Table'!$A$2:$C$26,3)*SIGN(R10-R13),"")</f>
        <v/>
      </c>
      <c r="X10">
        <f>IF(AND(ISNUMBER(R10),ISNUMBER(R14)),VLOOKUP(ABS(R10-R14),'IMP Table'!$A$2:$C$26,3)*SIGN(R10-R14),"")</f>
        <v/>
      </c>
      <c r="Y10">
        <f>IF(AND(ISNUMBER(S10),ISNUMBER(S9)),VLOOKUP(ABS(S10-S9),'IMP Table'!$A$2:$C$26,3)*SIGN(S10-S9),"")</f>
        <v/>
      </c>
      <c r="Z10">
        <f>IF(AND(ISNUMBER(S10),ISNUMBER(S11)),VLOOKUP(ABS(S10-S11),'IMP Table'!$A$2:$C$26,3)*SIGN(S10-S11),"")</f>
        <v/>
      </c>
      <c r="AA10">
        <f>IF(AND(ISNUMBER(S10),ISNUMBER(S12)),VLOOKUP(ABS(S10-S12),'IMP Table'!$A$2:$C$26,3)*SIGN(S10-S12),"")</f>
        <v/>
      </c>
      <c r="AB10">
        <f>IF(AND(ISNUMBER(S10),ISNUMBER(S13)),VLOOKUP(ABS(S10-S13),'IMP Table'!$A$2:$C$26,3)*SIGN(S10-S13),"")</f>
        <v/>
      </c>
      <c r="AC10">
        <f>IF(AND(ISNUMBER(S10),ISNUMBER(S14)),VLOOKUP(ABS(S10-S14),'IMP Table'!$A$2:$C$26,3)*SIGN(S10-S14),"")</f>
        <v/>
      </c>
      <c r="AD10">
        <f>IF(AND(ISNUMBER(R10),ISNUMBER(R9)),IF(R10&gt;R9,1,IF(R10=R9,0.5,0)),0.5)</f>
        <v/>
      </c>
      <c r="AE10">
        <f>IF(AND(ISNUMBER(R10),ISNUMBER(R11)),IF(R10&gt;R11,1,IF(R10=R11,0.5,0)),0.5)</f>
        <v/>
      </c>
      <c r="AF10">
        <f>IF(AND(ISNUMBER(R10),ISNUMBER(R12)),IF(R10&gt;R12,1,IF(R10=R12,0.5,0)),0.5)</f>
        <v/>
      </c>
      <c r="AG10">
        <f>IF(AND(ISNUMBER(R10),ISNUMBER(R13)),IF(R10&gt;R13,1,IF(R10=R13,0.5,0)),0.5)</f>
        <v/>
      </c>
      <c r="AH10">
        <f>IF(AND(ISNUMBER(R10),ISNUMBER(R14)),IF(R10&gt;R14,1,IF(R10=R14,0.5,0)),0.5)</f>
        <v/>
      </c>
      <c r="AI10">
        <f>IF(AND(ISNUMBER(S10),ISNUMBER(S9)),IF(S10&gt;S9,1,IF(S10=S9,0.5,0)),0.5)</f>
        <v/>
      </c>
      <c r="AJ10">
        <f>IF(AND(ISNUMBER(S10),ISNUMBER(S11)),IF(S10&gt;S11,1,IF(S10=S11,0.5,0)),0.5)</f>
        <v/>
      </c>
      <c r="AK10">
        <f>IF(AND(ISNUMBER(S10),ISNUMBER(S12)),IF(S10&gt;S12,1,IF(S10=S12,0.5,0)),0.5)</f>
        <v/>
      </c>
      <c r="AL10">
        <f>IF(AND(ISNUMBER(S10),ISNUMBER(S13)),IF(S10&gt;S13,1,IF(S10=S13,0.5,0)),0.5)</f>
        <v/>
      </c>
      <c r="AM10">
        <f>IF(AND(ISNUMBER(S10),ISNUMBER(S14)),IF(S10&gt;S14,1,IF(S10=S14,0.5,0)),0.5)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4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5">
        <f>IFERROR(AVERAGE(T11:X11),"")</f>
        <v/>
      </c>
      <c r="M11" s="4">
        <f>IFERROR(AVERAGE(Y11:AC11),"")</f>
        <v/>
      </c>
      <c r="N11" s="5">
        <f>P11/5</f>
        <v/>
      </c>
      <c r="O11" s="5">
        <f>Q11/5</f>
        <v/>
      </c>
      <c r="P11" s="4">
        <f>IFERROR(SUM(AD11:AH11),"")</f>
        <v/>
      </c>
      <c r="Q11" s="4">
        <f>IFERROR(SUM(AI11:AM11),"")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IF(AND(ISNUMBER(R11),ISNUMBER(R9)),VLOOKUP(ABS(R11-R9),'IMP Table'!$A$2:$C$26,3)*SIGN(R11-R9),"")</f>
        <v/>
      </c>
      <c r="U11">
        <f>IF(AND(ISNUMBER(R11),ISNUMBER(R10)),VLOOKUP(ABS(R11-R10),'IMP Table'!$A$2:$C$26,3)*SIGN(R11-R10),"")</f>
        <v/>
      </c>
      <c r="V11">
        <f>IF(AND(ISNUMBER(R11),ISNUMBER(R12)),VLOOKUP(ABS(R11-R12),'IMP Table'!$A$2:$C$26,3)*SIGN(R11-R12),"")</f>
        <v/>
      </c>
      <c r="W11">
        <f>IF(AND(ISNUMBER(R11),ISNUMBER(R13)),VLOOKUP(ABS(R11-R13),'IMP Table'!$A$2:$C$26,3)*SIGN(R11-R13),"")</f>
        <v/>
      </c>
      <c r="X11">
        <f>IF(AND(ISNUMBER(R11),ISNUMBER(R14)),VLOOKUP(ABS(R11-R14),'IMP Table'!$A$2:$C$26,3)*SIGN(R11-R14),"")</f>
        <v/>
      </c>
      <c r="Y11">
        <f>IF(AND(ISNUMBER(S11),ISNUMBER(S9)),VLOOKUP(ABS(S11-S9),'IMP Table'!$A$2:$C$26,3)*SIGN(S11-S9),"")</f>
        <v/>
      </c>
      <c r="Z11">
        <f>IF(AND(ISNUMBER(S11),ISNUMBER(S10)),VLOOKUP(ABS(S11-S10),'IMP Table'!$A$2:$C$26,3)*SIGN(S11-S10),"")</f>
        <v/>
      </c>
      <c r="AA11">
        <f>IF(AND(ISNUMBER(S11),ISNUMBER(S12)),VLOOKUP(ABS(S11-S12),'IMP Table'!$A$2:$C$26,3)*SIGN(S11-S12),"")</f>
        <v/>
      </c>
      <c r="AB11">
        <f>IF(AND(ISNUMBER(S11),ISNUMBER(S13)),VLOOKUP(ABS(S11-S13),'IMP Table'!$A$2:$C$26,3)*SIGN(S11-S13),"")</f>
        <v/>
      </c>
      <c r="AC11">
        <f>IF(AND(ISNUMBER(S11),ISNUMBER(S14)),VLOOKUP(ABS(S11-S14),'IMP Table'!$A$2:$C$26,3)*SIGN(S11-S14),"")</f>
        <v/>
      </c>
      <c r="AD11">
        <f>IF(AND(ISNUMBER(R11),ISNUMBER(R9)),IF(R11&gt;R9,1,IF(R11=R9,0.5,0)),0.5)</f>
        <v/>
      </c>
      <c r="AE11">
        <f>IF(AND(ISNUMBER(R11),ISNUMBER(R10)),IF(R11&gt;R10,1,IF(R11=R10,0.5,0)),0.5)</f>
        <v/>
      </c>
      <c r="AF11">
        <f>IF(AND(ISNUMBER(R11),ISNUMBER(R12)),IF(R11&gt;R12,1,IF(R11=R12,0.5,0)),0.5)</f>
        <v/>
      </c>
      <c r="AG11">
        <f>IF(AND(ISNUMBER(R11),ISNUMBER(R13)),IF(R11&gt;R13,1,IF(R11=R13,0.5,0)),0.5)</f>
        <v/>
      </c>
      <c r="AH11">
        <f>IF(AND(ISNUMBER(R11),ISNUMBER(R14)),IF(R11&gt;R14,1,IF(R11=R14,0.5,0)),0.5)</f>
        <v/>
      </c>
      <c r="AI11">
        <f>IF(AND(ISNUMBER(S11),ISNUMBER(S9)),IF(S11&gt;S9,1,IF(S11=S9,0.5,0)),0.5)</f>
        <v/>
      </c>
      <c r="AJ11">
        <f>IF(AND(ISNUMBER(S11),ISNUMBER(S10)),IF(S11&gt;S10,1,IF(S11=S10,0.5,0)),0.5)</f>
        <v/>
      </c>
      <c r="AK11">
        <f>IF(AND(ISNUMBER(S11),ISNUMBER(S12)),IF(S11&gt;S12,1,IF(S11=S12,0.5,0)),0.5)</f>
        <v/>
      </c>
      <c r="AL11">
        <f>IF(AND(ISNUMBER(S11),ISNUMBER(S13)),IF(S11&gt;S13,1,IF(S11=S13,0.5,0)),0.5)</f>
        <v/>
      </c>
      <c r="AM11">
        <f>IF(AND(ISNUMBER(S11),ISNUMBER(S14)),IF(S11&gt;S14,1,IF(S11=S14,0.5,0)),0.5)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4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5">
        <f>IFERROR(AVERAGE(T12:X12),"")</f>
        <v/>
      </c>
      <c r="M12" s="4">
        <f>IFERROR(AVERAGE(Y12:AC12),"")</f>
        <v/>
      </c>
      <c r="N12" s="5">
        <f>P12/5</f>
        <v/>
      </c>
      <c r="O12" s="5">
        <f>Q12/5</f>
        <v/>
      </c>
      <c r="P12" s="4">
        <f>IFERROR(SUM(AD12:AH12),"")</f>
        <v/>
      </c>
      <c r="Q12" s="4">
        <f>IFERROR(SUM(AI12:AM12),"")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IF(AND(ISNUMBER(R12),ISNUMBER(R9)),VLOOKUP(ABS(R12-R9),'IMP Table'!$A$2:$C$26,3)*SIGN(R12-R9),"")</f>
        <v/>
      </c>
      <c r="U12">
        <f>IF(AND(ISNUMBER(R12),ISNUMBER(R10)),VLOOKUP(ABS(R12-R10),'IMP Table'!$A$2:$C$26,3)*SIGN(R12-R10),"")</f>
        <v/>
      </c>
      <c r="V12">
        <f>IF(AND(ISNUMBER(R12),ISNUMBER(R11)),VLOOKUP(ABS(R12-R11),'IMP Table'!$A$2:$C$26,3)*SIGN(R12-R11),"")</f>
        <v/>
      </c>
      <c r="W12">
        <f>IF(AND(ISNUMBER(R12),ISNUMBER(R13)),VLOOKUP(ABS(R12-R13),'IMP Table'!$A$2:$C$26,3)*SIGN(R12-R13),"")</f>
        <v/>
      </c>
      <c r="X12">
        <f>IF(AND(ISNUMBER(R12),ISNUMBER(R14)),VLOOKUP(ABS(R12-R14),'IMP Table'!$A$2:$C$26,3)*SIGN(R12-R14),"")</f>
        <v/>
      </c>
      <c r="Y12">
        <f>IF(AND(ISNUMBER(S12),ISNUMBER(S9)),VLOOKUP(ABS(S12-S9),'IMP Table'!$A$2:$C$26,3)*SIGN(S12-S9),"")</f>
        <v/>
      </c>
      <c r="Z12">
        <f>IF(AND(ISNUMBER(S12),ISNUMBER(S10)),VLOOKUP(ABS(S12-S10),'IMP Table'!$A$2:$C$26,3)*SIGN(S12-S10),"")</f>
        <v/>
      </c>
      <c r="AA12">
        <f>IF(AND(ISNUMBER(S12),ISNUMBER(S11)),VLOOKUP(ABS(S12-S11),'IMP Table'!$A$2:$C$26,3)*SIGN(S12-S11),"")</f>
        <v/>
      </c>
      <c r="AB12">
        <f>IF(AND(ISNUMBER(S12),ISNUMBER(S13)),VLOOKUP(ABS(S12-S13),'IMP Table'!$A$2:$C$26,3)*SIGN(S12-S13),"")</f>
        <v/>
      </c>
      <c r="AC12">
        <f>IF(AND(ISNUMBER(S12),ISNUMBER(S14)),VLOOKUP(ABS(S12-S14),'IMP Table'!$A$2:$C$26,3)*SIGN(S12-S14),"")</f>
        <v/>
      </c>
      <c r="AD12">
        <f>IF(AND(ISNUMBER(R12),ISNUMBER(R9)),IF(R12&gt;R9,1,IF(R12=R9,0.5,0)),0.5)</f>
        <v/>
      </c>
      <c r="AE12">
        <f>IF(AND(ISNUMBER(R12),ISNUMBER(R10)),IF(R12&gt;R10,1,IF(R12=R10,0.5,0)),0.5)</f>
        <v/>
      </c>
      <c r="AF12">
        <f>IF(AND(ISNUMBER(R12),ISNUMBER(R11)),IF(R12&gt;R11,1,IF(R12=R11,0.5,0)),0.5)</f>
        <v/>
      </c>
      <c r="AG12">
        <f>IF(AND(ISNUMBER(R12),ISNUMBER(R13)),IF(R12&gt;R13,1,IF(R12=R13,0.5,0)),0.5)</f>
        <v/>
      </c>
      <c r="AH12">
        <f>IF(AND(ISNUMBER(R12),ISNUMBER(R14)),IF(R12&gt;R14,1,IF(R12=R14,0.5,0)),0.5)</f>
        <v/>
      </c>
      <c r="AI12">
        <f>IF(AND(ISNUMBER(S12),ISNUMBER(S9)),IF(S12&gt;S9,1,IF(S12=S9,0.5,0)),0.5)</f>
        <v/>
      </c>
      <c r="AJ12">
        <f>IF(AND(ISNUMBER(S12),ISNUMBER(S10)),IF(S12&gt;S10,1,IF(S12=S10,0.5,0)),0.5)</f>
        <v/>
      </c>
      <c r="AK12">
        <f>IF(AND(ISNUMBER(S12),ISNUMBER(S11)),IF(S12&gt;S11,1,IF(S12=S11,0.5,0)),0.5)</f>
        <v/>
      </c>
      <c r="AL12">
        <f>IF(AND(ISNUMBER(S12),ISNUMBER(S13)),IF(S12&gt;S13,1,IF(S12=S13,0.5,0)),0.5)</f>
        <v/>
      </c>
      <c r="AM12">
        <f>IF(AND(ISNUMBER(S12),ISNUMBER(S14)),IF(S12&gt;S14,1,IF(S12=S14,0.5,0)),0.5)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4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5">
        <f>IFERROR(AVERAGE(T13:X13),"")</f>
        <v/>
      </c>
      <c r="M13" s="4">
        <f>IFERROR(AVERAGE(Y13:AC13),"")</f>
        <v/>
      </c>
      <c r="N13" s="5">
        <f>P13/5</f>
        <v/>
      </c>
      <c r="O13" s="5">
        <f>Q13/5</f>
        <v/>
      </c>
      <c r="P13" s="4">
        <f>IFERROR(SUM(AD13:AH13),"")</f>
        <v/>
      </c>
      <c r="Q13" s="4">
        <f>IFERROR(SUM(AI13:AM13),"")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IF(AND(ISNUMBER(R13),ISNUMBER(R9)),VLOOKUP(ABS(R13-R9),'IMP Table'!$A$2:$C$26,3)*SIGN(R13-R9),"")</f>
        <v/>
      </c>
      <c r="U13">
        <f>IF(AND(ISNUMBER(R13),ISNUMBER(R10)),VLOOKUP(ABS(R13-R10),'IMP Table'!$A$2:$C$26,3)*SIGN(R13-R10),"")</f>
        <v/>
      </c>
      <c r="V13">
        <f>IF(AND(ISNUMBER(R13),ISNUMBER(R11)),VLOOKUP(ABS(R13-R11),'IMP Table'!$A$2:$C$26,3)*SIGN(R13-R11),"")</f>
        <v/>
      </c>
      <c r="W13">
        <f>IF(AND(ISNUMBER(R13),ISNUMBER(R12)),VLOOKUP(ABS(R13-R12),'IMP Table'!$A$2:$C$26,3)*SIGN(R13-R12),"")</f>
        <v/>
      </c>
      <c r="X13">
        <f>IF(AND(ISNUMBER(R13),ISNUMBER(R14)),VLOOKUP(ABS(R13-R14),'IMP Table'!$A$2:$C$26,3)*SIGN(R13-R14),"")</f>
        <v/>
      </c>
      <c r="Y13">
        <f>IF(AND(ISNUMBER(S13),ISNUMBER(S9)),VLOOKUP(ABS(S13-S9),'IMP Table'!$A$2:$C$26,3)*SIGN(S13-S9),"")</f>
        <v/>
      </c>
      <c r="Z13">
        <f>IF(AND(ISNUMBER(S13),ISNUMBER(S10)),VLOOKUP(ABS(S13-S10),'IMP Table'!$A$2:$C$26,3)*SIGN(S13-S10),"")</f>
        <v/>
      </c>
      <c r="AA13">
        <f>IF(AND(ISNUMBER(S13),ISNUMBER(S11)),VLOOKUP(ABS(S13-S11),'IMP Table'!$A$2:$C$26,3)*SIGN(S13-S11),"")</f>
        <v/>
      </c>
      <c r="AB13">
        <f>IF(AND(ISNUMBER(S13),ISNUMBER(S12)),VLOOKUP(ABS(S13-S12),'IMP Table'!$A$2:$C$26,3)*SIGN(S13-S12),"")</f>
        <v/>
      </c>
      <c r="AC13">
        <f>IF(AND(ISNUMBER(S13),ISNUMBER(S14)),VLOOKUP(ABS(S13-S14),'IMP Table'!$A$2:$C$26,3)*SIGN(S13-S14),"")</f>
        <v/>
      </c>
      <c r="AD13">
        <f>IF(AND(ISNUMBER(R13),ISNUMBER(R9)),IF(R13&gt;R9,1,IF(R13=R9,0.5,0)),0.5)</f>
        <v/>
      </c>
      <c r="AE13">
        <f>IF(AND(ISNUMBER(R13),ISNUMBER(R10)),IF(R13&gt;R10,1,IF(R13=R10,0.5,0)),0.5)</f>
        <v/>
      </c>
      <c r="AF13">
        <f>IF(AND(ISNUMBER(R13),ISNUMBER(R11)),IF(R13&gt;R11,1,IF(R13=R11,0.5,0)),0.5)</f>
        <v/>
      </c>
      <c r="AG13">
        <f>IF(AND(ISNUMBER(R13),ISNUMBER(R12)),IF(R13&gt;R12,1,IF(R13=R12,0.5,0)),0.5)</f>
        <v/>
      </c>
      <c r="AH13">
        <f>IF(AND(ISNUMBER(R13),ISNUMBER(R14)),IF(R13&gt;R14,1,IF(R13=R14,0.5,0)),0.5)</f>
        <v/>
      </c>
      <c r="AI13">
        <f>IF(AND(ISNUMBER(S13),ISNUMBER(S9)),IF(S13&gt;S9,1,IF(S13=S9,0.5,0)),0.5)</f>
        <v/>
      </c>
      <c r="AJ13">
        <f>IF(AND(ISNUMBER(S13),ISNUMBER(S10)),IF(S13&gt;S10,1,IF(S13=S10,0.5,0)),0.5)</f>
        <v/>
      </c>
      <c r="AK13">
        <f>IF(AND(ISNUMBER(S13),ISNUMBER(S11)),IF(S13&gt;S11,1,IF(S13=S11,0.5,0)),0.5)</f>
        <v/>
      </c>
      <c r="AL13">
        <f>IF(AND(ISNUMBER(S13),ISNUMBER(S12)),IF(S13&gt;S12,1,IF(S13=S12,0.5,0)),0.5)</f>
        <v/>
      </c>
      <c r="AM13">
        <f>IF(AND(ISNUMBER(S13),ISNUMBER(S14)),IF(S13&gt;S14,1,IF(S13=S14,0.5,0)),0.5)</f>
        <v/>
      </c>
    </row>
    <row r="14">
      <c r="A14" s="13" t="n"/>
      <c r="B14" s="13">
        <f>'By Round'!A87</f>
        <v/>
      </c>
      <c r="C14" s="13">
        <f>'By Round'!B89</f>
        <v/>
      </c>
      <c r="D14" s="13">
        <f>'By Round'!C89</f>
        <v/>
      </c>
      <c r="E14" s="13">
        <f>'By Round'!D89</f>
        <v/>
      </c>
      <c r="F14" s="17" t="inlineStr">
        <is>
          <t>NS</t>
        </is>
      </c>
      <c r="G14" s="13">
        <f>IF(ISBLANK('By Round'!G89),"",'By Round'!G89)</f>
        <v/>
      </c>
      <c r="H14" s="13">
        <f>IF(ISBLANK('By Round'!H89),"",'By Round'!H89)</f>
        <v/>
      </c>
      <c r="I14" s="13">
        <f>IF(ISBLANK('By Round'!I89),"",'By Round'!I89)</f>
        <v/>
      </c>
      <c r="J14" s="13">
        <f>IF(ISBLANK('By Round'!J89),"",'By Round'!J89)</f>
        <v/>
      </c>
      <c r="K14" s="13">
        <f>IF(ISBLANK('By Round'!K89),"",'By Round'!K89)</f>
        <v/>
      </c>
      <c r="L14" s="18">
        <f>IFERROR(AVERAGE(T14:X14),"")</f>
        <v/>
      </c>
      <c r="M14" s="19">
        <f>IFERROR(AVERAGE(Y14:AC14),"")</f>
        <v/>
      </c>
      <c r="N14" s="20">
        <f>P14/5</f>
        <v/>
      </c>
      <c r="O14" s="20">
        <f>Q14/5</f>
        <v/>
      </c>
      <c r="P14" s="19">
        <f>IFERROR(SUM(AD14:AH14),"")</f>
        <v/>
      </c>
      <c r="Q14" s="19">
        <f>IFERROR(SUM(AI14:AM14),"")</f>
        <v/>
      </c>
      <c r="R14" s="21">
        <f>IF(ISNUMBER(J14),J14,IF(ISNUMBER(K14),-K14,""))</f>
        <v/>
      </c>
      <c r="S14" s="13">
        <f>IF(ISNUMBER(K14),K14,IF(ISNUMBER(J14),-J14,""))</f>
        <v/>
      </c>
      <c r="T14" s="13">
        <f>IF(AND(ISNUMBER(R14),ISNUMBER(R9)),VLOOKUP(ABS(R14-R9),'IMP Table'!$A$2:$C$26,3)*SIGN(R14-R9),"")</f>
        <v/>
      </c>
      <c r="U14" s="13">
        <f>IF(AND(ISNUMBER(R14),ISNUMBER(R10)),VLOOKUP(ABS(R14-R10),'IMP Table'!$A$2:$C$26,3)*SIGN(R14-R10),"")</f>
        <v/>
      </c>
      <c r="V14" s="13">
        <f>IF(AND(ISNUMBER(R14),ISNUMBER(R11)),VLOOKUP(ABS(R14-R11),'IMP Table'!$A$2:$C$26,3)*SIGN(R14-R11),"")</f>
        <v/>
      </c>
      <c r="W14" s="13">
        <f>IF(AND(ISNUMBER(R14),ISNUMBER(R12)),VLOOKUP(ABS(R14-R12),'IMP Table'!$A$2:$C$26,3)*SIGN(R14-R12),"")</f>
        <v/>
      </c>
      <c r="X14" s="13">
        <f>IF(AND(ISNUMBER(R14),ISNUMBER(R13)),VLOOKUP(ABS(R14-R13),'IMP Table'!$A$2:$C$26,3)*SIGN(R14-R13),"")</f>
        <v/>
      </c>
      <c r="Y14" s="13">
        <f>IF(AND(ISNUMBER(S14),ISNUMBER(S9)),VLOOKUP(ABS(S14-S9),'IMP Table'!$A$2:$C$26,3)*SIGN(S14-S9),"")</f>
        <v/>
      </c>
      <c r="Z14" s="13">
        <f>IF(AND(ISNUMBER(S14),ISNUMBER(S10)),VLOOKUP(ABS(S14-S10),'IMP Table'!$A$2:$C$26,3)*SIGN(S14-S10),"")</f>
        <v/>
      </c>
      <c r="AA14" s="13">
        <f>IF(AND(ISNUMBER(S14),ISNUMBER(S11)),VLOOKUP(ABS(S14-S11),'IMP Table'!$A$2:$C$26,3)*SIGN(S14-S11),"")</f>
        <v/>
      </c>
      <c r="AB14" s="13">
        <f>IF(AND(ISNUMBER(S14),ISNUMBER(S12)),VLOOKUP(ABS(S14-S12),'IMP Table'!$A$2:$C$26,3)*SIGN(S14-S12),"")</f>
        <v/>
      </c>
      <c r="AC14" s="13">
        <f>IF(AND(ISNUMBER(S14),ISNUMBER(S13)),VLOOKUP(ABS(S14-S13),'IMP Table'!$A$2:$C$26,3)*SIGN(S14-S13),"")</f>
        <v/>
      </c>
      <c r="AD14" s="13">
        <f>IF(AND(ISNUMBER(R14),ISNUMBER(R9)),IF(R14&gt;R9,1,IF(R14=R9,0.5,0)),0.5)</f>
        <v/>
      </c>
      <c r="AE14" s="13">
        <f>IF(AND(ISNUMBER(R14),ISNUMBER(R10)),IF(R14&gt;R10,1,IF(R14=R10,0.5,0)),0.5)</f>
        <v/>
      </c>
      <c r="AF14" s="13">
        <f>IF(AND(ISNUMBER(R14),ISNUMBER(R11)),IF(R14&gt;R11,1,IF(R14=R11,0.5,0)),0.5)</f>
        <v/>
      </c>
      <c r="AG14" s="13">
        <f>IF(AND(ISNUMBER(R14),ISNUMBER(R12)),IF(R14&gt;R12,1,IF(R14=R12,0.5,0)),0.5)</f>
        <v/>
      </c>
      <c r="AH14" s="13">
        <f>IF(AND(ISNUMBER(R14),ISNUMBER(R13)),IF(R14&gt;R13,1,IF(R14=R13,0.5,0)),0.5)</f>
        <v/>
      </c>
      <c r="AI14" s="13">
        <f>IF(AND(ISNUMBER(S14),ISNUMBER(S9)),IF(S14&gt;S9,1,IF(S14=S9,0.5,0)),0.5)</f>
        <v/>
      </c>
      <c r="AJ14" s="13">
        <f>IF(AND(ISNUMBER(S14),ISNUMBER(S10)),IF(S14&gt;S10,1,IF(S14=S10,0.5,0)),0.5)</f>
        <v/>
      </c>
      <c r="AK14" s="13">
        <f>IF(AND(ISNUMBER(S14),ISNUMBER(S11)),IF(S14&gt;S11,1,IF(S14=S11,0.5,0)),0.5)</f>
        <v/>
      </c>
      <c r="AL14" s="13">
        <f>IF(AND(ISNUMBER(S14),ISNUMBER(S12)),IF(S14&gt;S12,1,IF(S14=S12,0.5,0)),0.5)</f>
        <v/>
      </c>
      <c r="AM14" s="13">
        <f>IF(AND(ISNUMBER(S14),ISNUMBER(S13)),IF(S14&gt;S13,1,IF(S14=S13,0.5,0)),0.5)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4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5">
        <f>IFERROR(AVERAGE(T15:X15),"")</f>
        <v/>
      </c>
      <c r="M15" s="4">
        <f>IFERROR(AVERAGE(Y15:AC15),"")</f>
        <v/>
      </c>
      <c r="N15" s="5">
        <f>P15/5</f>
        <v/>
      </c>
      <c r="O15" s="5">
        <f>Q15/5</f>
        <v/>
      </c>
      <c r="P15" s="4">
        <f>IFERROR(SUM(AD15:AH15),"")</f>
        <v/>
      </c>
      <c r="Q15" s="4">
        <f>IFERROR(SUM(AI15:AM15),"")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IF(AND(ISNUMBER(R15),ISNUMBER(R16)),VLOOKUP(ABS(R15-R16),'IMP Table'!$A$2:$C$26,3)*SIGN(R15-R16),"")</f>
        <v/>
      </c>
      <c r="U15">
        <f>IF(AND(ISNUMBER(R15),ISNUMBER(R17)),VLOOKUP(ABS(R15-R17),'IMP Table'!$A$2:$C$26,3)*SIGN(R15-R17),"")</f>
        <v/>
      </c>
      <c r="V15">
        <f>IF(AND(ISNUMBER(R15),ISNUMBER(R18)),VLOOKUP(ABS(R15-R18),'IMP Table'!$A$2:$C$26,3)*SIGN(R15-R18),"")</f>
        <v/>
      </c>
      <c r="W15">
        <f>IF(AND(ISNUMBER(R15),ISNUMBER(R19)),VLOOKUP(ABS(R15-R19),'IMP Table'!$A$2:$C$26,3)*SIGN(R15-R19),"")</f>
        <v/>
      </c>
      <c r="X15">
        <f>IF(AND(ISNUMBER(R15),ISNUMBER(R20)),VLOOKUP(ABS(R15-R20),'IMP Table'!$A$2:$C$26,3)*SIGN(R15-R20),"")</f>
        <v/>
      </c>
      <c r="Y15">
        <f>IF(AND(ISNUMBER(S15),ISNUMBER(S16)),VLOOKUP(ABS(S15-S16),'IMP Table'!$A$2:$C$26,3)*SIGN(S15-S16),"")</f>
        <v/>
      </c>
      <c r="Z15">
        <f>IF(AND(ISNUMBER(S15),ISNUMBER(S17)),VLOOKUP(ABS(S15-S17),'IMP Table'!$A$2:$C$26,3)*SIGN(S15-S17),"")</f>
        <v/>
      </c>
      <c r="AA15">
        <f>IF(AND(ISNUMBER(S15),ISNUMBER(S18)),VLOOKUP(ABS(S15-S18),'IMP Table'!$A$2:$C$26,3)*SIGN(S15-S18),"")</f>
        <v/>
      </c>
      <c r="AB15">
        <f>IF(AND(ISNUMBER(S15),ISNUMBER(S19)),VLOOKUP(ABS(S15-S19),'IMP Table'!$A$2:$C$26,3)*SIGN(S15-S19),"")</f>
        <v/>
      </c>
      <c r="AC15">
        <f>IF(AND(ISNUMBER(S15),ISNUMBER(S20)),VLOOKUP(ABS(S15-S20),'IMP Table'!$A$2:$C$26,3)*SIGN(S15-S20),"")</f>
        <v/>
      </c>
      <c r="AD15">
        <f>IF(AND(ISNUMBER(R15),ISNUMBER(R16)),IF(R15&gt;R16,1,IF(R15=R16,0.5,0)),0.5)</f>
        <v/>
      </c>
      <c r="AE15">
        <f>IF(AND(ISNUMBER(R15),ISNUMBER(R17)),IF(R15&gt;R17,1,IF(R15=R17,0.5,0)),0.5)</f>
        <v/>
      </c>
      <c r="AF15">
        <f>IF(AND(ISNUMBER(R15),ISNUMBER(R18)),IF(R15&gt;R18,1,IF(R15=R18,0.5,0)),0.5)</f>
        <v/>
      </c>
      <c r="AG15">
        <f>IF(AND(ISNUMBER(R15),ISNUMBER(R19)),IF(R15&gt;R19,1,IF(R15=R19,0.5,0)),0.5)</f>
        <v/>
      </c>
      <c r="AH15">
        <f>IF(AND(ISNUMBER(R15),ISNUMBER(R20)),IF(R15&gt;R20,1,IF(R15=R20,0.5,0)),0.5)</f>
        <v/>
      </c>
      <c r="AI15">
        <f>IF(AND(ISNUMBER(S15),ISNUMBER(S16)),IF(S15&gt;S16,1,IF(S15=S16,0.5,0)),0.5)</f>
        <v/>
      </c>
      <c r="AJ15">
        <f>IF(AND(ISNUMBER(S15),ISNUMBER(S17)),IF(S15&gt;S17,1,IF(S15=S17,0.5,0)),0.5)</f>
        <v/>
      </c>
      <c r="AK15">
        <f>IF(AND(ISNUMBER(S15),ISNUMBER(S18)),IF(S15&gt;S18,1,IF(S15=S18,0.5,0)),0.5)</f>
        <v/>
      </c>
      <c r="AL15">
        <f>IF(AND(ISNUMBER(S15),ISNUMBER(S19)),IF(S15&gt;S19,1,IF(S15=S19,0.5,0)),0.5)</f>
        <v/>
      </c>
      <c r="AM15">
        <f>IF(AND(ISNUMBER(S15),ISNUMBER(S20)),IF(S15&gt;S20,1,IF(S15=S20,0.5,0)),0.5)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4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5">
        <f>IFERROR(AVERAGE(T16:X16),"")</f>
        <v/>
      </c>
      <c r="M16" s="4">
        <f>IFERROR(AVERAGE(Y16:AC16),"")</f>
        <v/>
      </c>
      <c r="N16" s="5">
        <f>P16/5</f>
        <v/>
      </c>
      <c r="O16" s="5">
        <f>Q16/5</f>
        <v/>
      </c>
      <c r="P16" s="4">
        <f>IFERROR(SUM(AD16:AH16),"")</f>
        <v/>
      </c>
      <c r="Q16" s="4">
        <f>IFERROR(SUM(AI16:AM16),"")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IF(AND(ISNUMBER(R16),ISNUMBER(R15)),VLOOKUP(ABS(R16-R15),'IMP Table'!$A$2:$C$26,3)*SIGN(R16-R15),"")</f>
        <v/>
      </c>
      <c r="U16">
        <f>IF(AND(ISNUMBER(R16),ISNUMBER(R17)),VLOOKUP(ABS(R16-R17),'IMP Table'!$A$2:$C$26,3)*SIGN(R16-R17),"")</f>
        <v/>
      </c>
      <c r="V16">
        <f>IF(AND(ISNUMBER(R16),ISNUMBER(R18)),VLOOKUP(ABS(R16-R18),'IMP Table'!$A$2:$C$26,3)*SIGN(R16-R18),"")</f>
        <v/>
      </c>
      <c r="W16">
        <f>IF(AND(ISNUMBER(R16),ISNUMBER(R19)),VLOOKUP(ABS(R16-R19),'IMP Table'!$A$2:$C$26,3)*SIGN(R16-R19),"")</f>
        <v/>
      </c>
      <c r="X16">
        <f>IF(AND(ISNUMBER(R16),ISNUMBER(R20)),VLOOKUP(ABS(R16-R20),'IMP Table'!$A$2:$C$26,3)*SIGN(R16-R20),"")</f>
        <v/>
      </c>
      <c r="Y16">
        <f>IF(AND(ISNUMBER(S16),ISNUMBER(S15)),VLOOKUP(ABS(S16-S15),'IMP Table'!$A$2:$C$26,3)*SIGN(S16-S15),"")</f>
        <v/>
      </c>
      <c r="Z16">
        <f>IF(AND(ISNUMBER(S16),ISNUMBER(S17)),VLOOKUP(ABS(S16-S17),'IMP Table'!$A$2:$C$26,3)*SIGN(S16-S17),"")</f>
        <v/>
      </c>
      <c r="AA16">
        <f>IF(AND(ISNUMBER(S16),ISNUMBER(S18)),VLOOKUP(ABS(S16-S18),'IMP Table'!$A$2:$C$26,3)*SIGN(S16-S18),"")</f>
        <v/>
      </c>
      <c r="AB16">
        <f>IF(AND(ISNUMBER(S16),ISNUMBER(S19)),VLOOKUP(ABS(S16-S19),'IMP Table'!$A$2:$C$26,3)*SIGN(S16-S19),"")</f>
        <v/>
      </c>
      <c r="AC16">
        <f>IF(AND(ISNUMBER(S16),ISNUMBER(S20)),VLOOKUP(ABS(S16-S20),'IMP Table'!$A$2:$C$26,3)*SIGN(S16-S20),"")</f>
        <v/>
      </c>
      <c r="AD16">
        <f>IF(AND(ISNUMBER(R16),ISNUMBER(R15)),IF(R16&gt;R15,1,IF(R16=R15,0.5,0)),0.5)</f>
        <v/>
      </c>
      <c r="AE16">
        <f>IF(AND(ISNUMBER(R16),ISNUMBER(R17)),IF(R16&gt;R17,1,IF(R16=R17,0.5,0)),0.5)</f>
        <v/>
      </c>
      <c r="AF16">
        <f>IF(AND(ISNUMBER(R16),ISNUMBER(R18)),IF(R16&gt;R18,1,IF(R16=R18,0.5,0)),0.5)</f>
        <v/>
      </c>
      <c r="AG16">
        <f>IF(AND(ISNUMBER(R16),ISNUMBER(R19)),IF(R16&gt;R19,1,IF(R16=R19,0.5,0)),0.5)</f>
        <v/>
      </c>
      <c r="AH16">
        <f>IF(AND(ISNUMBER(R16),ISNUMBER(R20)),IF(R16&gt;R20,1,IF(R16=R20,0.5,0)),0.5)</f>
        <v/>
      </c>
      <c r="AI16">
        <f>IF(AND(ISNUMBER(S16),ISNUMBER(S15)),IF(S16&gt;S15,1,IF(S16=S15,0.5,0)),0.5)</f>
        <v/>
      </c>
      <c r="AJ16">
        <f>IF(AND(ISNUMBER(S16),ISNUMBER(S17)),IF(S16&gt;S17,1,IF(S16=S17,0.5,0)),0.5)</f>
        <v/>
      </c>
      <c r="AK16">
        <f>IF(AND(ISNUMBER(S16),ISNUMBER(S18)),IF(S16&gt;S18,1,IF(S16=S18,0.5,0)),0.5)</f>
        <v/>
      </c>
      <c r="AL16">
        <f>IF(AND(ISNUMBER(S16),ISNUMBER(S19)),IF(S16&gt;S19,1,IF(S16=S19,0.5,0)),0.5)</f>
        <v/>
      </c>
      <c r="AM16">
        <f>IF(AND(ISNUMBER(S16),ISNUMBER(S20)),IF(S16&gt;S20,1,IF(S16=S20,0.5,0)),0.5)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4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5">
        <f>IFERROR(AVERAGE(T17:X17),"")</f>
        <v/>
      </c>
      <c r="M17" s="4">
        <f>IFERROR(AVERAGE(Y17:AC17),"")</f>
        <v/>
      </c>
      <c r="N17" s="5">
        <f>P17/5</f>
        <v/>
      </c>
      <c r="O17" s="5">
        <f>Q17/5</f>
        <v/>
      </c>
      <c r="P17" s="4">
        <f>IFERROR(SUM(AD17:AH17),"")</f>
        <v/>
      </c>
      <c r="Q17" s="4">
        <f>IFERROR(SUM(AI17:AM17),"")</f>
        <v/>
      </c>
      <c r="R17" s="16">
        <f>IF(ISNUMBER(J17),J17,IF(ISNUMBER(K17),-K17,""))</f>
        <v/>
      </c>
      <c r="S17">
        <f>IF(ISNUMBER(K17),K17,IF(ISNUMBER(J17),-J17,""))</f>
        <v/>
      </c>
      <c r="T17">
        <f>IF(AND(ISNUMBER(R17),ISNUMBER(R15)),VLOOKUP(ABS(R17-R15),'IMP Table'!$A$2:$C$26,3)*SIGN(R17-R15),"")</f>
        <v/>
      </c>
      <c r="U17">
        <f>IF(AND(ISNUMBER(R17),ISNUMBER(R16)),VLOOKUP(ABS(R17-R16),'IMP Table'!$A$2:$C$26,3)*SIGN(R17-R16),"")</f>
        <v/>
      </c>
      <c r="V17">
        <f>IF(AND(ISNUMBER(R17),ISNUMBER(R18)),VLOOKUP(ABS(R17-R18),'IMP Table'!$A$2:$C$26,3)*SIGN(R17-R18),"")</f>
        <v/>
      </c>
      <c r="W17">
        <f>IF(AND(ISNUMBER(R17),ISNUMBER(R19)),VLOOKUP(ABS(R17-R19),'IMP Table'!$A$2:$C$26,3)*SIGN(R17-R19),"")</f>
        <v/>
      </c>
      <c r="X17">
        <f>IF(AND(ISNUMBER(R17),ISNUMBER(R20)),VLOOKUP(ABS(R17-R20),'IMP Table'!$A$2:$C$26,3)*SIGN(R17-R20),"")</f>
        <v/>
      </c>
      <c r="Y17">
        <f>IF(AND(ISNUMBER(S17),ISNUMBER(S15)),VLOOKUP(ABS(S17-S15),'IMP Table'!$A$2:$C$26,3)*SIGN(S17-S15),"")</f>
        <v/>
      </c>
      <c r="Z17">
        <f>IF(AND(ISNUMBER(S17),ISNUMBER(S16)),VLOOKUP(ABS(S17-S16),'IMP Table'!$A$2:$C$26,3)*SIGN(S17-S16),"")</f>
        <v/>
      </c>
      <c r="AA17">
        <f>IF(AND(ISNUMBER(S17),ISNUMBER(S18)),VLOOKUP(ABS(S17-S18),'IMP Table'!$A$2:$C$26,3)*SIGN(S17-S18),"")</f>
        <v/>
      </c>
      <c r="AB17">
        <f>IF(AND(ISNUMBER(S17),ISNUMBER(S19)),VLOOKUP(ABS(S17-S19),'IMP Table'!$A$2:$C$26,3)*SIGN(S17-S19),"")</f>
        <v/>
      </c>
      <c r="AC17">
        <f>IF(AND(ISNUMBER(S17),ISNUMBER(S20)),VLOOKUP(ABS(S17-S20),'IMP Table'!$A$2:$C$26,3)*SIGN(S17-S20),"")</f>
        <v/>
      </c>
      <c r="AD17">
        <f>IF(AND(ISNUMBER(R17),ISNUMBER(R15)),IF(R17&gt;R15,1,IF(R17=R15,0.5,0)),0.5)</f>
        <v/>
      </c>
      <c r="AE17">
        <f>IF(AND(ISNUMBER(R17),ISNUMBER(R16)),IF(R17&gt;R16,1,IF(R17=R16,0.5,0)),0.5)</f>
        <v/>
      </c>
      <c r="AF17">
        <f>IF(AND(ISNUMBER(R17),ISNUMBER(R18)),IF(R17&gt;R18,1,IF(R17=R18,0.5,0)),0.5)</f>
        <v/>
      </c>
      <c r="AG17">
        <f>IF(AND(ISNUMBER(R17),ISNUMBER(R19)),IF(R17&gt;R19,1,IF(R17=R19,0.5,0)),0.5)</f>
        <v/>
      </c>
      <c r="AH17">
        <f>IF(AND(ISNUMBER(R17),ISNUMBER(R20)),IF(R17&gt;R20,1,IF(R17=R20,0.5,0)),0.5)</f>
        <v/>
      </c>
      <c r="AI17">
        <f>IF(AND(ISNUMBER(S17),ISNUMBER(S15)),IF(S17&gt;S15,1,IF(S17=S15,0.5,0)),0.5)</f>
        <v/>
      </c>
      <c r="AJ17">
        <f>IF(AND(ISNUMBER(S17),ISNUMBER(S16)),IF(S17&gt;S16,1,IF(S17=S16,0.5,0)),0.5)</f>
        <v/>
      </c>
      <c r="AK17">
        <f>IF(AND(ISNUMBER(S17),ISNUMBER(S18)),IF(S17&gt;S18,1,IF(S17=S18,0.5,0)),0.5)</f>
        <v/>
      </c>
      <c r="AL17">
        <f>IF(AND(ISNUMBER(S17),ISNUMBER(S19)),IF(S17&gt;S19,1,IF(S17=S19,0.5,0)),0.5)</f>
        <v/>
      </c>
      <c r="AM17">
        <f>IF(AND(ISNUMBER(S17),ISNUMBER(S20)),IF(S17&gt;S20,1,IF(S17=S20,0.5,0)),0.5)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4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5">
        <f>IFERROR(AVERAGE(T18:X18),"")</f>
        <v/>
      </c>
      <c r="M18" s="4">
        <f>IFERROR(AVERAGE(Y18:AC18),"")</f>
        <v/>
      </c>
      <c r="N18" s="5">
        <f>P18/5</f>
        <v/>
      </c>
      <c r="O18" s="5">
        <f>Q18/5</f>
        <v/>
      </c>
      <c r="P18" s="4">
        <f>IFERROR(SUM(AD18:AH18),"")</f>
        <v/>
      </c>
      <c r="Q18" s="4">
        <f>IFERROR(SUM(AI18:AM18),"")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IF(AND(ISNUMBER(R18),ISNUMBER(R15)),VLOOKUP(ABS(R18-R15),'IMP Table'!$A$2:$C$26,3)*SIGN(R18-R15),"")</f>
        <v/>
      </c>
      <c r="U18">
        <f>IF(AND(ISNUMBER(R18),ISNUMBER(R16)),VLOOKUP(ABS(R18-R16),'IMP Table'!$A$2:$C$26,3)*SIGN(R18-R16),"")</f>
        <v/>
      </c>
      <c r="V18">
        <f>IF(AND(ISNUMBER(R18),ISNUMBER(R17)),VLOOKUP(ABS(R18-R17),'IMP Table'!$A$2:$C$26,3)*SIGN(R18-R17),"")</f>
        <v/>
      </c>
      <c r="W18">
        <f>IF(AND(ISNUMBER(R18),ISNUMBER(R19)),VLOOKUP(ABS(R18-R19),'IMP Table'!$A$2:$C$26,3)*SIGN(R18-R19),"")</f>
        <v/>
      </c>
      <c r="X18">
        <f>IF(AND(ISNUMBER(R18),ISNUMBER(R20)),VLOOKUP(ABS(R18-R20),'IMP Table'!$A$2:$C$26,3)*SIGN(R18-R20),"")</f>
        <v/>
      </c>
      <c r="Y18">
        <f>IF(AND(ISNUMBER(S18),ISNUMBER(S15)),VLOOKUP(ABS(S18-S15),'IMP Table'!$A$2:$C$26,3)*SIGN(S18-S15),"")</f>
        <v/>
      </c>
      <c r="Z18">
        <f>IF(AND(ISNUMBER(S18),ISNUMBER(S16)),VLOOKUP(ABS(S18-S16),'IMP Table'!$A$2:$C$26,3)*SIGN(S18-S16),"")</f>
        <v/>
      </c>
      <c r="AA18">
        <f>IF(AND(ISNUMBER(S18),ISNUMBER(S17)),VLOOKUP(ABS(S18-S17),'IMP Table'!$A$2:$C$26,3)*SIGN(S18-S17),"")</f>
        <v/>
      </c>
      <c r="AB18">
        <f>IF(AND(ISNUMBER(S18),ISNUMBER(S19)),VLOOKUP(ABS(S18-S19),'IMP Table'!$A$2:$C$26,3)*SIGN(S18-S19),"")</f>
        <v/>
      </c>
      <c r="AC18">
        <f>IF(AND(ISNUMBER(S18),ISNUMBER(S20)),VLOOKUP(ABS(S18-S20),'IMP Table'!$A$2:$C$26,3)*SIGN(S18-S20),"")</f>
        <v/>
      </c>
      <c r="AD18">
        <f>IF(AND(ISNUMBER(R18),ISNUMBER(R15)),IF(R18&gt;R15,1,IF(R18=R15,0.5,0)),0.5)</f>
        <v/>
      </c>
      <c r="AE18">
        <f>IF(AND(ISNUMBER(R18),ISNUMBER(R16)),IF(R18&gt;R16,1,IF(R18=R16,0.5,0)),0.5)</f>
        <v/>
      </c>
      <c r="AF18">
        <f>IF(AND(ISNUMBER(R18),ISNUMBER(R17)),IF(R18&gt;R17,1,IF(R18=R17,0.5,0)),0.5)</f>
        <v/>
      </c>
      <c r="AG18">
        <f>IF(AND(ISNUMBER(R18),ISNUMBER(R19)),IF(R18&gt;R19,1,IF(R18=R19,0.5,0)),0.5)</f>
        <v/>
      </c>
      <c r="AH18">
        <f>IF(AND(ISNUMBER(R18),ISNUMBER(R20)),IF(R18&gt;R20,1,IF(R18=R20,0.5,0)),0.5)</f>
        <v/>
      </c>
      <c r="AI18">
        <f>IF(AND(ISNUMBER(S18),ISNUMBER(S15)),IF(S18&gt;S15,1,IF(S18=S15,0.5,0)),0.5)</f>
        <v/>
      </c>
      <c r="AJ18">
        <f>IF(AND(ISNUMBER(S18),ISNUMBER(S16)),IF(S18&gt;S16,1,IF(S18=S16,0.5,0)),0.5)</f>
        <v/>
      </c>
      <c r="AK18">
        <f>IF(AND(ISNUMBER(S18),ISNUMBER(S17)),IF(S18&gt;S17,1,IF(S18=S17,0.5,0)),0.5)</f>
        <v/>
      </c>
      <c r="AL18">
        <f>IF(AND(ISNUMBER(S18),ISNUMBER(S19)),IF(S18&gt;S19,1,IF(S18=S19,0.5,0)),0.5)</f>
        <v/>
      </c>
      <c r="AM18">
        <f>IF(AND(ISNUMBER(S18),ISNUMBER(S20)),IF(S18&gt;S20,1,IF(S18=S20,0.5,0)),0.5)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4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5">
        <f>IFERROR(AVERAGE(T19:X19),"")</f>
        <v/>
      </c>
      <c r="M19" s="4">
        <f>IFERROR(AVERAGE(Y19:AC19),"")</f>
        <v/>
      </c>
      <c r="N19" s="5">
        <f>P19/5</f>
        <v/>
      </c>
      <c r="O19" s="5">
        <f>Q19/5</f>
        <v/>
      </c>
      <c r="P19" s="4">
        <f>IFERROR(SUM(AD19:AH19),"")</f>
        <v/>
      </c>
      <c r="Q19" s="4">
        <f>IFERROR(SUM(AI19:AM19),"")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IF(AND(ISNUMBER(R19),ISNUMBER(R15)),VLOOKUP(ABS(R19-R15),'IMP Table'!$A$2:$C$26,3)*SIGN(R19-R15),"")</f>
        <v/>
      </c>
      <c r="U19">
        <f>IF(AND(ISNUMBER(R19),ISNUMBER(R16)),VLOOKUP(ABS(R19-R16),'IMP Table'!$A$2:$C$26,3)*SIGN(R19-R16),"")</f>
        <v/>
      </c>
      <c r="V19">
        <f>IF(AND(ISNUMBER(R19),ISNUMBER(R17)),VLOOKUP(ABS(R19-R17),'IMP Table'!$A$2:$C$26,3)*SIGN(R19-R17),"")</f>
        <v/>
      </c>
      <c r="W19">
        <f>IF(AND(ISNUMBER(R19),ISNUMBER(R18)),VLOOKUP(ABS(R19-R18),'IMP Table'!$A$2:$C$26,3)*SIGN(R19-R18),"")</f>
        <v/>
      </c>
      <c r="X19">
        <f>IF(AND(ISNUMBER(R19),ISNUMBER(R20)),VLOOKUP(ABS(R19-R20),'IMP Table'!$A$2:$C$26,3)*SIGN(R19-R20),"")</f>
        <v/>
      </c>
      <c r="Y19">
        <f>IF(AND(ISNUMBER(S19),ISNUMBER(S15)),VLOOKUP(ABS(S19-S15),'IMP Table'!$A$2:$C$26,3)*SIGN(S19-S15),"")</f>
        <v/>
      </c>
      <c r="Z19">
        <f>IF(AND(ISNUMBER(S19),ISNUMBER(S16)),VLOOKUP(ABS(S19-S16),'IMP Table'!$A$2:$C$26,3)*SIGN(S19-S16),"")</f>
        <v/>
      </c>
      <c r="AA19">
        <f>IF(AND(ISNUMBER(S19),ISNUMBER(S17)),VLOOKUP(ABS(S19-S17),'IMP Table'!$A$2:$C$26,3)*SIGN(S19-S17),"")</f>
        <v/>
      </c>
      <c r="AB19">
        <f>IF(AND(ISNUMBER(S19),ISNUMBER(S18)),VLOOKUP(ABS(S19-S18),'IMP Table'!$A$2:$C$26,3)*SIGN(S19-S18),"")</f>
        <v/>
      </c>
      <c r="AC19">
        <f>IF(AND(ISNUMBER(S19),ISNUMBER(S20)),VLOOKUP(ABS(S19-S20),'IMP Table'!$A$2:$C$26,3)*SIGN(S19-S20),"")</f>
        <v/>
      </c>
      <c r="AD19">
        <f>IF(AND(ISNUMBER(R19),ISNUMBER(R15)),IF(R19&gt;R15,1,IF(R19=R15,0.5,0)),0.5)</f>
        <v/>
      </c>
      <c r="AE19">
        <f>IF(AND(ISNUMBER(R19),ISNUMBER(R16)),IF(R19&gt;R16,1,IF(R19=R16,0.5,0)),0.5)</f>
        <v/>
      </c>
      <c r="AF19">
        <f>IF(AND(ISNUMBER(R19),ISNUMBER(R17)),IF(R19&gt;R17,1,IF(R19=R17,0.5,0)),0.5)</f>
        <v/>
      </c>
      <c r="AG19">
        <f>IF(AND(ISNUMBER(R19),ISNUMBER(R18)),IF(R19&gt;R18,1,IF(R19=R18,0.5,0)),0.5)</f>
        <v/>
      </c>
      <c r="AH19">
        <f>IF(AND(ISNUMBER(R19),ISNUMBER(R20)),IF(R19&gt;R20,1,IF(R19=R20,0.5,0)),0.5)</f>
        <v/>
      </c>
      <c r="AI19">
        <f>IF(AND(ISNUMBER(S19),ISNUMBER(S15)),IF(S19&gt;S15,1,IF(S19=S15,0.5,0)),0.5)</f>
        <v/>
      </c>
      <c r="AJ19">
        <f>IF(AND(ISNUMBER(S19),ISNUMBER(S16)),IF(S19&gt;S16,1,IF(S19=S16,0.5,0)),0.5)</f>
        <v/>
      </c>
      <c r="AK19">
        <f>IF(AND(ISNUMBER(S19),ISNUMBER(S17)),IF(S19&gt;S17,1,IF(S19=S17,0.5,0)),0.5)</f>
        <v/>
      </c>
      <c r="AL19">
        <f>IF(AND(ISNUMBER(S19),ISNUMBER(S18)),IF(S19&gt;S18,1,IF(S19=S18,0.5,0)),0.5)</f>
        <v/>
      </c>
      <c r="AM19">
        <f>IF(AND(ISNUMBER(S19),ISNUMBER(S20)),IF(S19&gt;S20,1,IF(S19=S20,0.5,0)),0.5)</f>
        <v/>
      </c>
    </row>
    <row r="20">
      <c r="A20" s="13" t="n"/>
      <c r="B20" s="13">
        <f>'By Round'!A99</f>
        <v/>
      </c>
      <c r="C20" s="13">
        <f>'By Round'!B101</f>
        <v/>
      </c>
      <c r="D20" s="13">
        <f>'By Round'!C101</f>
        <v/>
      </c>
      <c r="E20" s="13">
        <f>'By Round'!D101</f>
        <v/>
      </c>
      <c r="F20" s="17" t="inlineStr">
        <is>
          <t>EW</t>
        </is>
      </c>
      <c r="G20" s="13">
        <f>IF(ISBLANK('By Round'!G101),"",'By Round'!G101)</f>
        <v/>
      </c>
      <c r="H20" s="13">
        <f>IF(ISBLANK('By Round'!H101),"",'By Round'!H101)</f>
        <v/>
      </c>
      <c r="I20" s="13">
        <f>IF(ISBLANK('By Round'!I101),"",'By Round'!I101)</f>
        <v/>
      </c>
      <c r="J20" s="13">
        <f>IF(ISBLANK('By Round'!J101),"",'By Round'!J101)</f>
        <v/>
      </c>
      <c r="K20" s="13">
        <f>IF(ISBLANK('By Round'!K101),"",'By Round'!K101)</f>
        <v/>
      </c>
      <c r="L20" s="18">
        <f>IFERROR(AVERAGE(T20:X20),"")</f>
        <v/>
      </c>
      <c r="M20" s="19">
        <f>IFERROR(AVERAGE(Y20:AC20),"")</f>
        <v/>
      </c>
      <c r="N20" s="20">
        <f>P20/5</f>
        <v/>
      </c>
      <c r="O20" s="20">
        <f>Q20/5</f>
        <v/>
      </c>
      <c r="P20" s="19">
        <f>IFERROR(SUM(AD20:AH20),"")</f>
        <v/>
      </c>
      <c r="Q20" s="19">
        <f>IFERROR(SUM(AI20:AM20),"")</f>
        <v/>
      </c>
      <c r="R20" s="21">
        <f>IF(ISNUMBER(J20),J20,IF(ISNUMBER(K20),-K20,""))</f>
        <v/>
      </c>
      <c r="S20" s="13">
        <f>IF(ISNUMBER(K20),K20,IF(ISNUMBER(J20),-J20,""))</f>
        <v/>
      </c>
      <c r="T20" s="13">
        <f>IF(AND(ISNUMBER(R20),ISNUMBER(R15)),VLOOKUP(ABS(R20-R15),'IMP Table'!$A$2:$C$26,3)*SIGN(R20-R15),"")</f>
        <v/>
      </c>
      <c r="U20" s="13">
        <f>IF(AND(ISNUMBER(R20),ISNUMBER(R16)),VLOOKUP(ABS(R20-R16),'IMP Table'!$A$2:$C$26,3)*SIGN(R20-R16),"")</f>
        <v/>
      </c>
      <c r="V20" s="13">
        <f>IF(AND(ISNUMBER(R20),ISNUMBER(R17)),VLOOKUP(ABS(R20-R17),'IMP Table'!$A$2:$C$26,3)*SIGN(R20-R17),"")</f>
        <v/>
      </c>
      <c r="W20" s="13">
        <f>IF(AND(ISNUMBER(R20),ISNUMBER(R18)),VLOOKUP(ABS(R20-R18),'IMP Table'!$A$2:$C$26,3)*SIGN(R20-R18),"")</f>
        <v/>
      </c>
      <c r="X20" s="13">
        <f>IF(AND(ISNUMBER(R20),ISNUMBER(R19)),VLOOKUP(ABS(R20-R19),'IMP Table'!$A$2:$C$26,3)*SIGN(R20-R19),"")</f>
        <v/>
      </c>
      <c r="Y20" s="13">
        <f>IF(AND(ISNUMBER(S20),ISNUMBER(S15)),VLOOKUP(ABS(S20-S15),'IMP Table'!$A$2:$C$26,3)*SIGN(S20-S15),"")</f>
        <v/>
      </c>
      <c r="Z20" s="13">
        <f>IF(AND(ISNUMBER(S20),ISNUMBER(S16)),VLOOKUP(ABS(S20-S16),'IMP Table'!$A$2:$C$26,3)*SIGN(S20-S16),"")</f>
        <v/>
      </c>
      <c r="AA20" s="13">
        <f>IF(AND(ISNUMBER(S20),ISNUMBER(S17)),VLOOKUP(ABS(S20-S17),'IMP Table'!$A$2:$C$26,3)*SIGN(S20-S17),"")</f>
        <v/>
      </c>
      <c r="AB20" s="13">
        <f>IF(AND(ISNUMBER(S20),ISNUMBER(S18)),VLOOKUP(ABS(S20-S18),'IMP Table'!$A$2:$C$26,3)*SIGN(S20-S18),"")</f>
        <v/>
      </c>
      <c r="AC20" s="13">
        <f>IF(AND(ISNUMBER(S20),ISNUMBER(S19)),VLOOKUP(ABS(S20-S19),'IMP Table'!$A$2:$C$26,3)*SIGN(S20-S19),"")</f>
        <v/>
      </c>
      <c r="AD20" s="13">
        <f>IF(AND(ISNUMBER(R20),ISNUMBER(R15)),IF(R20&gt;R15,1,IF(R20=R15,0.5,0)),0.5)</f>
        <v/>
      </c>
      <c r="AE20" s="13">
        <f>IF(AND(ISNUMBER(R20),ISNUMBER(R16)),IF(R20&gt;R16,1,IF(R20=R16,0.5,0)),0.5)</f>
        <v/>
      </c>
      <c r="AF20" s="13">
        <f>IF(AND(ISNUMBER(R20),ISNUMBER(R17)),IF(R20&gt;R17,1,IF(R20=R17,0.5,0)),0.5)</f>
        <v/>
      </c>
      <c r="AG20" s="13">
        <f>IF(AND(ISNUMBER(R20),ISNUMBER(R18)),IF(R20&gt;R18,1,IF(R20=R18,0.5,0)),0.5)</f>
        <v/>
      </c>
      <c r="AH20" s="13">
        <f>IF(AND(ISNUMBER(R20),ISNUMBER(R19)),IF(R20&gt;R19,1,IF(R20=R19,0.5,0)),0.5)</f>
        <v/>
      </c>
      <c r="AI20" s="13">
        <f>IF(AND(ISNUMBER(S20),ISNUMBER(S15)),IF(S20&gt;S15,1,IF(S20=S15,0.5,0)),0.5)</f>
        <v/>
      </c>
      <c r="AJ20" s="13">
        <f>IF(AND(ISNUMBER(S20),ISNUMBER(S16)),IF(S20&gt;S16,1,IF(S20=S16,0.5,0)),0.5)</f>
        <v/>
      </c>
      <c r="AK20" s="13">
        <f>IF(AND(ISNUMBER(S20),ISNUMBER(S17)),IF(S20&gt;S17,1,IF(S20=S17,0.5,0)),0.5)</f>
        <v/>
      </c>
      <c r="AL20" s="13">
        <f>IF(AND(ISNUMBER(S20),ISNUMBER(S18)),IF(S20&gt;S18,1,IF(S20=S18,0.5,0)),0.5)</f>
        <v/>
      </c>
      <c r="AM20" s="13">
        <f>IF(AND(ISNUMBER(S20),ISNUMBER(S19)),IF(S20&gt;S19,1,IF(S20=S19,0.5,0)),0.5)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4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5">
        <f>IFERROR(AVERAGE(T21:X21),"")</f>
        <v/>
      </c>
      <c r="M21" s="4">
        <f>IFERROR(AVERAGE(Y21:AC21),"")</f>
        <v/>
      </c>
      <c r="N21" s="5">
        <f>P21/5</f>
        <v/>
      </c>
      <c r="O21" s="5">
        <f>Q21/5</f>
        <v/>
      </c>
      <c r="P21" s="4">
        <f>IFERROR(SUM(AD21:AH21),"")</f>
        <v/>
      </c>
      <c r="Q21" s="4">
        <f>IFERROR(SUM(AI21:AM21),"")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IF(AND(ISNUMBER(R21),ISNUMBER(R22)),VLOOKUP(ABS(R21-R22),'IMP Table'!$A$2:$C$26,3)*SIGN(R21-R22),"")</f>
        <v/>
      </c>
      <c r="U21">
        <f>IF(AND(ISNUMBER(R21),ISNUMBER(R23)),VLOOKUP(ABS(R21-R23),'IMP Table'!$A$2:$C$26,3)*SIGN(R21-R23),"")</f>
        <v/>
      </c>
      <c r="V21">
        <f>IF(AND(ISNUMBER(R21),ISNUMBER(R24)),VLOOKUP(ABS(R21-R24),'IMP Table'!$A$2:$C$26,3)*SIGN(R21-R24),"")</f>
        <v/>
      </c>
      <c r="W21">
        <f>IF(AND(ISNUMBER(R21),ISNUMBER(R25)),VLOOKUP(ABS(R21-R25),'IMP Table'!$A$2:$C$26,3)*SIGN(R21-R25),"")</f>
        <v/>
      </c>
      <c r="X21">
        <f>IF(AND(ISNUMBER(R21),ISNUMBER(R26)),VLOOKUP(ABS(R21-R26),'IMP Table'!$A$2:$C$26,3)*SIGN(R21-R26),"")</f>
        <v/>
      </c>
      <c r="Y21">
        <f>IF(AND(ISNUMBER(S21),ISNUMBER(S22)),VLOOKUP(ABS(S21-S22),'IMP Table'!$A$2:$C$26,3)*SIGN(S21-S22),"")</f>
        <v/>
      </c>
      <c r="Z21">
        <f>IF(AND(ISNUMBER(S21),ISNUMBER(S23)),VLOOKUP(ABS(S21-S23),'IMP Table'!$A$2:$C$26,3)*SIGN(S21-S23),"")</f>
        <v/>
      </c>
      <c r="AA21">
        <f>IF(AND(ISNUMBER(S21),ISNUMBER(S24)),VLOOKUP(ABS(S21-S24),'IMP Table'!$A$2:$C$26,3)*SIGN(S21-S24),"")</f>
        <v/>
      </c>
      <c r="AB21">
        <f>IF(AND(ISNUMBER(S21),ISNUMBER(S25)),VLOOKUP(ABS(S21-S25),'IMP Table'!$A$2:$C$26,3)*SIGN(S21-S25),"")</f>
        <v/>
      </c>
      <c r="AC21">
        <f>IF(AND(ISNUMBER(S21),ISNUMBER(S26)),VLOOKUP(ABS(S21-S26),'IMP Table'!$A$2:$C$26,3)*SIGN(S21-S26),"")</f>
        <v/>
      </c>
      <c r="AD21">
        <f>IF(AND(ISNUMBER(R21),ISNUMBER(R22)),IF(R21&gt;R22,1,IF(R21=R22,0.5,0)),0.5)</f>
        <v/>
      </c>
      <c r="AE21">
        <f>IF(AND(ISNUMBER(R21),ISNUMBER(R23)),IF(R21&gt;R23,1,IF(R21=R23,0.5,0)),0.5)</f>
        <v/>
      </c>
      <c r="AF21">
        <f>IF(AND(ISNUMBER(R21),ISNUMBER(R24)),IF(R21&gt;R24,1,IF(R21=R24,0.5,0)),0.5)</f>
        <v/>
      </c>
      <c r="AG21">
        <f>IF(AND(ISNUMBER(R21),ISNUMBER(R25)),IF(R21&gt;R25,1,IF(R21=R25,0.5,0)),0.5)</f>
        <v/>
      </c>
      <c r="AH21">
        <f>IF(AND(ISNUMBER(R21),ISNUMBER(R26)),IF(R21&gt;R26,1,IF(R21=R26,0.5,0)),0.5)</f>
        <v/>
      </c>
      <c r="AI21">
        <f>IF(AND(ISNUMBER(S21),ISNUMBER(S22)),IF(S21&gt;S22,1,IF(S21=S22,0.5,0)),0.5)</f>
        <v/>
      </c>
      <c r="AJ21">
        <f>IF(AND(ISNUMBER(S21),ISNUMBER(S23)),IF(S21&gt;S23,1,IF(S21=S23,0.5,0)),0.5)</f>
        <v/>
      </c>
      <c r="AK21">
        <f>IF(AND(ISNUMBER(S21),ISNUMBER(S24)),IF(S21&gt;S24,1,IF(S21=S24,0.5,0)),0.5)</f>
        <v/>
      </c>
      <c r="AL21">
        <f>IF(AND(ISNUMBER(S21),ISNUMBER(S25)),IF(S21&gt;S25,1,IF(S21=S25,0.5,0)),0.5)</f>
        <v/>
      </c>
      <c r="AM21">
        <f>IF(AND(ISNUMBER(S21),ISNUMBER(S26)),IF(S21&gt;S26,1,IF(S21=S26,0.5,0)),0.5)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4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5">
        <f>IFERROR(AVERAGE(T22:X22),"")</f>
        <v/>
      </c>
      <c r="M22" s="4">
        <f>IFERROR(AVERAGE(Y22:AC22),"")</f>
        <v/>
      </c>
      <c r="N22" s="5">
        <f>P22/5</f>
        <v/>
      </c>
      <c r="O22" s="5">
        <f>Q22/5</f>
        <v/>
      </c>
      <c r="P22" s="4">
        <f>IFERROR(SUM(AD22:AH22),"")</f>
        <v/>
      </c>
      <c r="Q22" s="4">
        <f>IFERROR(SUM(AI22:AM22),"")</f>
        <v/>
      </c>
      <c r="R22" s="16">
        <f>IF(ISNUMBER(J22),J22,IF(ISNUMBER(K22),-K22,""))</f>
        <v/>
      </c>
      <c r="S22">
        <f>IF(ISNUMBER(K22),K22,IF(ISNUMBER(J22),-J22,""))</f>
        <v/>
      </c>
      <c r="T22">
        <f>IF(AND(ISNUMBER(R22),ISNUMBER(R21)),VLOOKUP(ABS(R22-R21),'IMP Table'!$A$2:$C$26,3)*SIGN(R22-R21),"")</f>
        <v/>
      </c>
      <c r="U22">
        <f>IF(AND(ISNUMBER(R22),ISNUMBER(R23)),VLOOKUP(ABS(R22-R23),'IMP Table'!$A$2:$C$26,3)*SIGN(R22-R23),"")</f>
        <v/>
      </c>
      <c r="V22">
        <f>IF(AND(ISNUMBER(R22),ISNUMBER(R24)),VLOOKUP(ABS(R22-R24),'IMP Table'!$A$2:$C$26,3)*SIGN(R22-R24),"")</f>
        <v/>
      </c>
      <c r="W22">
        <f>IF(AND(ISNUMBER(R22),ISNUMBER(R25)),VLOOKUP(ABS(R22-R25),'IMP Table'!$A$2:$C$26,3)*SIGN(R22-R25),"")</f>
        <v/>
      </c>
      <c r="X22">
        <f>IF(AND(ISNUMBER(R22),ISNUMBER(R26)),VLOOKUP(ABS(R22-R26),'IMP Table'!$A$2:$C$26,3)*SIGN(R22-R26),"")</f>
        <v/>
      </c>
      <c r="Y22">
        <f>IF(AND(ISNUMBER(S22),ISNUMBER(S21)),VLOOKUP(ABS(S22-S21),'IMP Table'!$A$2:$C$26,3)*SIGN(S22-S21),"")</f>
        <v/>
      </c>
      <c r="Z22">
        <f>IF(AND(ISNUMBER(S22),ISNUMBER(S23)),VLOOKUP(ABS(S22-S23),'IMP Table'!$A$2:$C$26,3)*SIGN(S22-S23),"")</f>
        <v/>
      </c>
      <c r="AA22">
        <f>IF(AND(ISNUMBER(S22),ISNUMBER(S24)),VLOOKUP(ABS(S22-S24),'IMP Table'!$A$2:$C$26,3)*SIGN(S22-S24),"")</f>
        <v/>
      </c>
      <c r="AB22">
        <f>IF(AND(ISNUMBER(S22),ISNUMBER(S25)),VLOOKUP(ABS(S22-S25),'IMP Table'!$A$2:$C$26,3)*SIGN(S22-S25),"")</f>
        <v/>
      </c>
      <c r="AC22">
        <f>IF(AND(ISNUMBER(S22),ISNUMBER(S26)),VLOOKUP(ABS(S22-S26),'IMP Table'!$A$2:$C$26,3)*SIGN(S22-S26),"")</f>
        <v/>
      </c>
      <c r="AD22">
        <f>IF(AND(ISNUMBER(R22),ISNUMBER(R21)),IF(R22&gt;R21,1,IF(R22=R21,0.5,0)),0.5)</f>
        <v/>
      </c>
      <c r="AE22">
        <f>IF(AND(ISNUMBER(R22),ISNUMBER(R23)),IF(R22&gt;R23,1,IF(R22=R23,0.5,0)),0.5)</f>
        <v/>
      </c>
      <c r="AF22">
        <f>IF(AND(ISNUMBER(R22),ISNUMBER(R24)),IF(R22&gt;R24,1,IF(R22=R24,0.5,0)),0.5)</f>
        <v/>
      </c>
      <c r="AG22">
        <f>IF(AND(ISNUMBER(R22),ISNUMBER(R25)),IF(R22&gt;R25,1,IF(R22=R25,0.5,0)),0.5)</f>
        <v/>
      </c>
      <c r="AH22">
        <f>IF(AND(ISNUMBER(R22),ISNUMBER(R26)),IF(R22&gt;R26,1,IF(R22=R26,0.5,0)),0.5)</f>
        <v/>
      </c>
      <c r="AI22">
        <f>IF(AND(ISNUMBER(S22),ISNUMBER(S21)),IF(S22&gt;S21,1,IF(S22=S21,0.5,0)),0.5)</f>
        <v/>
      </c>
      <c r="AJ22">
        <f>IF(AND(ISNUMBER(S22),ISNUMBER(S23)),IF(S22&gt;S23,1,IF(S22=S23,0.5,0)),0.5)</f>
        <v/>
      </c>
      <c r="AK22">
        <f>IF(AND(ISNUMBER(S22),ISNUMBER(S24)),IF(S22&gt;S24,1,IF(S22=S24,0.5,0)),0.5)</f>
        <v/>
      </c>
      <c r="AL22">
        <f>IF(AND(ISNUMBER(S22),ISNUMBER(S25)),IF(S22&gt;S25,1,IF(S22=S25,0.5,0)),0.5)</f>
        <v/>
      </c>
      <c r="AM22">
        <f>IF(AND(ISNUMBER(S22),ISNUMBER(S26)),IF(S22&gt;S26,1,IF(S22=S26,0.5,0)),0.5)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4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5">
        <f>IFERROR(AVERAGE(T23:X23),"")</f>
        <v/>
      </c>
      <c r="M23" s="4">
        <f>IFERROR(AVERAGE(Y23:AC23),"")</f>
        <v/>
      </c>
      <c r="N23" s="5">
        <f>P23/5</f>
        <v/>
      </c>
      <c r="O23" s="5">
        <f>Q23/5</f>
        <v/>
      </c>
      <c r="P23" s="4">
        <f>IFERROR(SUM(AD23:AH23),"")</f>
        <v/>
      </c>
      <c r="Q23" s="4">
        <f>IFERROR(SUM(AI23:AM23),"")</f>
        <v/>
      </c>
      <c r="R23" s="16">
        <f>IF(ISNUMBER(J23),J23,IF(ISNUMBER(K23),-K23,""))</f>
        <v/>
      </c>
      <c r="S23">
        <f>IF(ISNUMBER(K23),K23,IF(ISNUMBER(J23),-J23,""))</f>
        <v/>
      </c>
      <c r="T23">
        <f>IF(AND(ISNUMBER(R23),ISNUMBER(R21)),VLOOKUP(ABS(R23-R21),'IMP Table'!$A$2:$C$26,3)*SIGN(R23-R21),"")</f>
        <v/>
      </c>
      <c r="U23">
        <f>IF(AND(ISNUMBER(R23),ISNUMBER(R22)),VLOOKUP(ABS(R23-R22),'IMP Table'!$A$2:$C$26,3)*SIGN(R23-R22),"")</f>
        <v/>
      </c>
      <c r="V23">
        <f>IF(AND(ISNUMBER(R23),ISNUMBER(R24)),VLOOKUP(ABS(R23-R24),'IMP Table'!$A$2:$C$26,3)*SIGN(R23-R24),"")</f>
        <v/>
      </c>
      <c r="W23">
        <f>IF(AND(ISNUMBER(R23),ISNUMBER(R25)),VLOOKUP(ABS(R23-R25),'IMP Table'!$A$2:$C$26,3)*SIGN(R23-R25),"")</f>
        <v/>
      </c>
      <c r="X23">
        <f>IF(AND(ISNUMBER(R23),ISNUMBER(R26)),VLOOKUP(ABS(R23-R26),'IMP Table'!$A$2:$C$26,3)*SIGN(R23-R26),"")</f>
        <v/>
      </c>
      <c r="Y23">
        <f>IF(AND(ISNUMBER(S23),ISNUMBER(S21)),VLOOKUP(ABS(S23-S21),'IMP Table'!$A$2:$C$26,3)*SIGN(S23-S21),"")</f>
        <v/>
      </c>
      <c r="Z23">
        <f>IF(AND(ISNUMBER(S23),ISNUMBER(S22)),VLOOKUP(ABS(S23-S22),'IMP Table'!$A$2:$C$26,3)*SIGN(S23-S22),"")</f>
        <v/>
      </c>
      <c r="AA23">
        <f>IF(AND(ISNUMBER(S23),ISNUMBER(S24)),VLOOKUP(ABS(S23-S24),'IMP Table'!$A$2:$C$26,3)*SIGN(S23-S24),"")</f>
        <v/>
      </c>
      <c r="AB23">
        <f>IF(AND(ISNUMBER(S23),ISNUMBER(S25)),VLOOKUP(ABS(S23-S25),'IMP Table'!$A$2:$C$26,3)*SIGN(S23-S25),"")</f>
        <v/>
      </c>
      <c r="AC23">
        <f>IF(AND(ISNUMBER(S23),ISNUMBER(S26)),VLOOKUP(ABS(S23-S26),'IMP Table'!$A$2:$C$26,3)*SIGN(S23-S26),"")</f>
        <v/>
      </c>
      <c r="AD23">
        <f>IF(AND(ISNUMBER(R23),ISNUMBER(R21)),IF(R23&gt;R21,1,IF(R23=R21,0.5,0)),0.5)</f>
        <v/>
      </c>
      <c r="AE23">
        <f>IF(AND(ISNUMBER(R23),ISNUMBER(R22)),IF(R23&gt;R22,1,IF(R23=R22,0.5,0)),0.5)</f>
        <v/>
      </c>
      <c r="AF23">
        <f>IF(AND(ISNUMBER(R23),ISNUMBER(R24)),IF(R23&gt;R24,1,IF(R23=R24,0.5,0)),0.5)</f>
        <v/>
      </c>
      <c r="AG23">
        <f>IF(AND(ISNUMBER(R23),ISNUMBER(R25)),IF(R23&gt;R25,1,IF(R23=R25,0.5,0)),0.5)</f>
        <v/>
      </c>
      <c r="AH23">
        <f>IF(AND(ISNUMBER(R23),ISNUMBER(R26)),IF(R23&gt;R26,1,IF(R23=R26,0.5,0)),0.5)</f>
        <v/>
      </c>
      <c r="AI23">
        <f>IF(AND(ISNUMBER(S23),ISNUMBER(S21)),IF(S23&gt;S21,1,IF(S23=S21,0.5,0)),0.5)</f>
        <v/>
      </c>
      <c r="AJ23">
        <f>IF(AND(ISNUMBER(S23),ISNUMBER(S22)),IF(S23&gt;S22,1,IF(S23=S22,0.5,0)),0.5)</f>
        <v/>
      </c>
      <c r="AK23">
        <f>IF(AND(ISNUMBER(S23),ISNUMBER(S24)),IF(S23&gt;S24,1,IF(S23=S24,0.5,0)),0.5)</f>
        <v/>
      </c>
      <c r="AL23">
        <f>IF(AND(ISNUMBER(S23),ISNUMBER(S25)),IF(S23&gt;S25,1,IF(S23=S25,0.5,0)),0.5)</f>
        <v/>
      </c>
      <c r="AM23">
        <f>IF(AND(ISNUMBER(S23),ISNUMBER(S26)),IF(S23&gt;S26,1,IF(S23=S26,0.5,0)),0.5)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4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5">
        <f>IFERROR(AVERAGE(T24:X24),"")</f>
        <v/>
      </c>
      <c r="M24" s="4">
        <f>IFERROR(AVERAGE(Y24:AC24),"")</f>
        <v/>
      </c>
      <c r="N24" s="5">
        <f>P24/5</f>
        <v/>
      </c>
      <c r="O24" s="5">
        <f>Q24/5</f>
        <v/>
      </c>
      <c r="P24" s="4">
        <f>IFERROR(SUM(AD24:AH24),"")</f>
        <v/>
      </c>
      <c r="Q24" s="4">
        <f>IFERROR(SUM(AI24:AM24),"")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IF(AND(ISNUMBER(R24),ISNUMBER(R21)),VLOOKUP(ABS(R24-R21),'IMP Table'!$A$2:$C$26,3)*SIGN(R24-R21),"")</f>
        <v/>
      </c>
      <c r="U24">
        <f>IF(AND(ISNUMBER(R24),ISNUMBER(R22)),VLOOKUP(ABS(R24-R22),'IMP Table'!$A$2:$C$26,3)*SIGN(R24-R22),"")</f>
        <v/>
      </c>
      <c r="V24">
        <f>IF(AND(ISNUMBER(R24),ISNUMBER(R23)),VLOOKUP(ABS(R24-R23),'IMP Table'!$A$2:$C$26,3)*SIGN(R24-R23),"")</f>
        <v/>
      </c>
      <c r="W24">
        <f>IF(AND(ISNUMBER(R24),ISNUMBER(R25)),VLOOKUP(ABS(R24-R25),'IMP Table'!$A$2:$C$26,3)*SIGN(R24-R25),"")</f>
        <v/>
      </c>
      <c r="X24">
        <f>IF(AND(ISNUMBER(R24),ISNUMBER(R26)),VLOOKUP(ABS(R24-R26),'IMP Table'!$A$2:$C$26,3)*SIGN(R24-R26),"")</f>
        <v/>
      </c>
      <c r="Y24">
        <f>IF(AND(ISNUMBER(S24),ISNUMBER(S21)),VLOOKUP(ABS(S24-S21),'IMP Table'!$A$2:$C$26,3)*SIGN(S24-S21),"")</f>
        <v/>
      </c>
      <c r="Z24">
        <f>IF(AND(ISNUMBER(S24),ISNUMBER(S22)),VLOOKUP(ABS(S24-S22),'IMP Table'!$A$2:$C$26,3)*SIGN(S24-S22),"")</f>
        <v/>
      </c>
      <c r="AA24">
        <f>IF(AND(ISNUMBER(S24),ISNUMBER(S23)),VLOOKUP(ABS(S24-S23),'IMP Table'!$A$2:$C$26,3)*SIGN(S24-S23),"")</f>
        <v/>
      </c>
      <c r="AB24">
        <f>IF(AND(ISNUMBER(S24),ISNUMBER(S25)),VLOOKUP(ABS(S24-S25),'IMP Table'!$A$2:$C$26,3)*SIGN(S24-S25),"")</f>
        <v/>
      </c>
      <c r="AC24">
        <f>IF(AND(ISNUMBER(S24),ISNUMBER(S26)),VLOOKUP(ABS(S24-S26),'IMP Table'!$A$2:$C$26,3)*SIGN(S24-S26),"")</f>
        <v/>
      </c>
      <c r="AD24">
        <f>IF(AND(ISNUMBER(R24),ISNUMBER(R21)),IF(R24&gt;R21,1,IF(R24=R21,0.5,0)),0.5)</f>
        <v/>
      </c>
      <c r="AE24">
        <f>IF(AND(ISNUMBER(R24),ISNUMBER(R22)),IF(R24&gt;R22,1,IF(R24=R22,0.5,0)),0.5)</f>
        <v/>
      </c>
      <c r="AF24">
        <f>IF(AND(ISNUMBER(R24),ISNUMBER(R23)),IF(R24&gt;R23,1,IF(R24=R23,0.5,0)),0.5)</f>
        <v/>
      </c>
      <c r="AG24">
        <f>IF(AND(ISNUMBER(R24),ISNUMBER(R25)),IF(R24&gt;R25,1,IF(R24=R25,0.5,0)),0.5)</f>
        <v/>
      </c>
      <c r="AH24">
        <f>IF(AND(ISNUMBER(R24),ISNUMBER(R26)),IF(R24&gt;R26,1,IF(R24=R26,0.5,0)),0.5)</f>
        <v/>
      </c>
      <c r="AI24">
        <f>IF(AND(ISNUMBER(S24),ISNUMBER(S21)),IF(S24&gt;S21,1,IF(S24=S21,0.5,0)),0.5)</f>
        <v/>
      </c>
      <c r="AJ24">
        <f>IF(AND(ISNUMBER(S24),ISNUMBER(S22)),IF(S24&gt;S22,1,IF(S24=S22,0.5,0)),0.5)</f>
        <v/>
      </c>
      <c r="AK24">
        <f>IF(AND(ISNUMBER(S24),ISNUMBER(S23)),IF(S24&gt;S23,1,IF(S24=S23,0.5,0)),0.5)</f>
        <v/>
      </c>
      <c r="AL24">
        <f>IF(AND(ISNUMBER(S24),ISNUMBER(S25)),IF(S24&gt;S25,1,IF(S24=S25,0.5,0)),0.5)</f>
        <v/>
      </c>
      <c r="AM24">
        <f>IF(AND(ISNUMBER(S24),ISNUMBER(S26)),IF(S24&gt;S26,1,IF(S24=S26,0.5,0)),0.5)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4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5">
        <f>IFERROR(AVERAGE(T25:X25),"")</f>
        <v/>
      </c>
      <c r="M25" s="4">
        <f>IFERROR(AVERAGE(Y25:AC25),"")</f>
        <v/>
      </c>
      <c r="N25" s="5">
        <f>P25/5</f>
        <v/>
      </c>
      <c r="O25" s="5">
        <f>Q25/5</f>
        <v/>
      </c>
      <c r="P25" s="4">
        <f>IFERROR(SUM(AD25:AH25),"")</f>
        <v/>
      </c>
      <c r="Q25" s="4">
        <f>IFERROR(SUM(AI25:AM25),"")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IF(AND(ISNUMBER(R25),ISNUMBER(R21)),VLOOKUP(ABS(R25-R21),'IMP Table'!$A$2:$C$26,3)*SIGN(R25-R21),"")</f>
        <v/>
      </c>
      <c r="U25">
        <f>IF(AND(ISNUMBER(R25),ISNUMBER(R22)),VLOOKUP(ABS(R25-R22),'IMP Table'!$A$2:$C$26,3)*SIGN(R25-R22),"")</f>
        <v/>
      </c>
      <c r="V25">
        <f>IF(AND(ISNUMBER(R25),ISNUMBER(R23)),VLOOKUP(ABS(R25-R23),'IMP Table'!$A$2:$C$26,3)*SIGN(R25-R23),"")</f>
        <v/>
      </c>
      <c r="W25">
        <f>IF(AND(ISNUMBER(R25),ISNUMBER(R24)),VLOOKUP(ABS(R25-R24),'IMP Table'!$A$2:$C$26,3)*SIGN(R25-R24),"")</f>
        <v/>
      </c>
      <c r="X25">
        <f>IF(AND(ISNUMBER(R25),ISNUMBER(R26)),VLOOKUP(ABS(R25-R26),'IMP Table'!$A$2:$C$26,3)*SIGN(R25-R26),"")</f>
        <v/>
      </c>
      <c r="Y25">
        <f>IF(AND(ISNUMBER(S25),ISNUMBER(S21)),VLOOKUP(ABS(S25-S21),'IMP Table'!$A$2:$C$26,3)*SIGN(S25-S21),"")</f>
        <v/>
      </c>
      <c r="Z25">
        <f>IF(AND(ISNUMBER(S25),ISNUMBER(S22)),VLOOKUP(ABS(S25-S22),'IMP Table'!$A$2:$C$26,3)*SIGN(S25-S22),"")</f>
        <v/>
      </c>
      <c r="AA25">
        <f>IF(AND(ISNUMBER(S25),ISNUMBER(S23)),VLOOKUP(ABS(S25-S23),'IMP Table'!$A$2:$C$26,3)*SIGN(S25-S23),"")</f>
        <v/>
      </c>
      <c r="AB25">
        <f>IF(AND(ISNUMBER(S25),ISNUMBER(S24)),VLOOKUP(ABS(S25-S24),'IMP Table'!$A$2:$C$26,3)*SIGN(S25-S24),"")</f>
        <v/>
      </c>
      <c r="AC25">
        <f>IF(AND(ISNUMBER(S25),ISNUMBER(S26)),VLOOKUP(ABS(S25-S26),'IMP Table'!$A$2:$C$26,3)*SIGN(S25-S26),"")</f>
        <v/>
      </c>
      <c r="AD25">
        <f>IF(AND(ISNUMBER(R25),ISNUMBER(R21)),IF(R25&gt;R21,1,IF(R25=R21,0.5,0)),0.5)</f>
        <v/>
      </c>
      <c r="AE25">
        <f>IF(AND(ISNUMBER(R25),ISNUMBER(R22)),IF(R25&gt;R22,1,IF(R25=R22,0.5,0)),0.5)</f>
        <v/>
      </c>
      <c r="AF25">
        <f>IF(AND(ISNUMBER(R25),ISNUMBER(R23)),IF(R25&gt;R23,1,IF(R25=R23,0.5,0)),0.5)</f>
        <v/>
      </c>
      <c r="AG25">
        <f>IF(AND(ISNUMBER(R25),ISNUMBER(R24)),IF(R25&gt;R24,1,IF(R25=R24,0.5,0)),0.5)</f>
        <v/>
      </c>
      <c r="AH25">
        <f>IF(AND(ISNUMBER(R25),ISNUMBER(R26)),IF(R25&gt;R26,1,IF(R25=R26,0.5,0)),0.5)</f>
        <v/>
      </c>
      <c r="AI25">
        <f>IF(AND(ISNUMBER(S25),ISNUMBER(S21)),IF(S25&gt;S21,1,IF(S25=S21,0.5,0)),0.5)</f>
        <v/>
      </c>
      <c r="AJ25">
        <f>IF(AND(ISNUMBER(S25),ISNUMBER(S22)),IF(S25&gt;S22,1,IF(S25=S22,0.5,0)),0.5)</f>
        <v/>
      </c>
      <c r="AK25">
        <f>IF(AND(ISNUMBER(S25),ISNUMBER(S23)),IF(S25&gt;S23,1,IF(S25=S23,0.5,0)),0.5)</f>
        <v/>
      </c>
      <c r="AL25">
        <f>IF(AND(ISNUMBER(S25),ISNUMBER(S24)),IF(S25&gt;S24,1,IF(S25=S24,0.5,0)),0.5)</f>
        <v/>
      </c>
      <c r="AM25">
        <f>IF(AND(ISNUMBER(S25),ISNUMBER(S26)),IF(S25&gt;S26,1,IF(S25=S26,0.5,0)),0.5)</f>
        <v/>
      </c>
    </row>
    <row r="26">
      <c r="A26" s="13" t="n"/>
      <c r="B26" s="13">
        <f>'By Round'!A99</f>
        <v/>
      </c>
      <c r="C26" s="13">
        <f>'By Round'!B101</f>
        <v/>
      </c>
      <c r="D26" s="13">
        <f>'By Round'!C101</f>
        <v/>
      </c>
      <c r="E26" s="13">
        <f>'By Round'!D101</f>
        <v/>
      </c>
      <c r="F26" s="17" t="inlineStr">
        <is>
          <t>Both</t>
        </is>
      </c>
      <c r="G26" s="13">
        <f>IF(ISBLANK('By Round'!G101),"",'By Round'!G101)</f>
        <v/>
      </c>
      <c r="H26" s="13">
        <f>IF(ISBLANK('By Round'!H101),"",'By Round'!H101)</f>
        <v/>
      </c>
      <c r="I26" s="13">
        <f>IF(ISBLANK('By Round'!I101),"",'By Round'!I101)</f>
        <v/>
      </c>
      <c r="J26" s="13">
        <f>IF(ISBLANK('By Round'!J101),"",'By Round'!J101)</f>
        <v/>
      </c>
      <c r="K26" s="13">
        <f>IF(ISBLANK('By Round'!K101),"",'By Round'!K101)</f>
        <v/>
      </c>
      <c r="L26" s="18">
        <f>IFERROR(AVERAGE(T26:X26),"")</f>
        <v/>
      </c>
      <c r="M26" s="19">
        <f>IFERROR(AVERAGE(Y26:AC26),"")</f>
        <v/>
      </c>
      <c r="N26" s="20">
        <f>P26/5</f>
        <v/>
      </c>
      <c r="O26" s="20">
        <f>Q26/5</f>
        <v/>
      </c>
      <c r="P26" s="19">
        <f>IFERROR(SUM(AD26:AH26),"")</f>
        <v/>
      </c>
      <c r="Q26" s="19">
        <f>IFERROR(SUM(AI26:AM26),"")</f>
        <v/>
      </c>
      <c r="R26" s="21">
        <f>IF(ISNUMBER(J26),J26,IF(ISNUMBER(K26),-K26,""))</f>
        <v/>
      </c>
      <c r="S26" s="13">
        <f>IF(ISNUMBER(K26),K26,IF(ISNUMBER(J26),-J26,""))</f>
        <v/>
      </c>
      <c r="T26" s="13">
        <f>IF(AND(ISNUMBER(R26),ISNUMBER(R21)),VLOOKUP(ABS(R26-R21),'IMP Table'!$A$2:$C$26,3)*SIGN(R26-R21),"")</f>
        <v/>
      </c>
      <c r="U26" s="13">
        <f>IF(AND(ISNUMBER(R26),ISNUMBER(R22)),VLOOKUP(ABS(R26-R22),'IMP Table'!$A$2:$C$26,3)*SIGN(R26-R22),"")</f>
        <v/>
      </c>
      <c r="V26" s="13">
        <f>IF(AND(ISNUMBER(R26),ISNUMBER(R23)),VLOOKUP(ABS(R26-R23),'IMP Table'!$A$2:$C$26,3)*SIGN(R26-R23),"")</f>
        <v/>
      </c>
      <c r="W26" s="13">
        <f>IF(AND(ISNUMBER(R26),ISNUMBER(R24)),VLOOKUP(ABS(R26-R24),'IMP Table'!$A$2:$C$26,3)*SIGN(R26-R24),"")</f>
        <v/>
      </c>
      <c r="X26" s="13">
        <f>IF(AND(ISNUMBER(R26),ISNUMBER(R25)),VLOOKUP(ABS(R26-R25),'IMP Table'!$A$2:$C$26,3)*SIGN(R26-R25),"")</f>
        <v/>
      </c>
      <c r="Y26" s="13">
        <f>IF(AND(ISNUMBER(S26),ISNUMBER(S21)),VLOOKUP(ABS(S26-S21),'IMP Table'!$A$2:$C$26,3)*SIGN(S26-S21),"")</f>
        <v/>
      </c>
      <c r="Z26" s="13">
        <f>IF(AND(ISNUMBER(S26),ISNUMBER(S22)),VLOOKUP(ABS(S26-S22),'IMP Table'!$A$2:$C$26,3)*SIGN(S26-S22),"")</f>
        <v/>
      </c>
      <c r="AA26" s="13">
        <f>IF(AND(ISNUMBER(S26),ISNUMBER(S23)),VLOOKUP(ABS(S26-S23),'IMP Table'!$A$2:$C$26,3)*SIGN(S26-S23),"")</f>
        <v/>
      </c>
      <c r="AB26" s="13">
        <f>IF(AND(ISNUMBER(S26),ISNUMBER(S24)),VLOOKUP(ABS(S26-S24),'IMP Table'!$A$2:$C$26,3)*SIGN(S26-S24),"")</f>
        <v/>
      </c>
      <c r="AC26" s="13">
        <f>IF(AND(ISNUMBER(S26),ISNUMBER(S25)),VLOOKUP(ABS(S26-S25),'IMP Table'!$A$2:$C$26,3)*SIGN(S26-S25),"")</f>
        <v/>
      </c>
      <c r="AD26" s="13">
        <f>IF(AND(ISNUMBER(R26),ISNUMBER(R21)),IF(R26&gt;R21,1,IF(R26=R21,0.5,0)),0.5)</f>
        <v/>
      </c>
      <c r="AE26" s="13">
        <f>IF(AND(ISNUMBER(R26),ISNUMBER(R22)),IF(R26&gt;R22,1,IF(R26=R22,0.5,0)),0.5)</f>
        <v/>
      </c>
      <c r="AF26" s="13">
        <f>IF(AND(ISNUMBER(R26),ISNUMBER(R23)),IF(R26&gt;R23,1,IF(R26=R23,0.5,0)),0.5)</f>
        <v/>
      </c>
      <c r="AG26" s="13">
        <f>IF(AND(ISNUMBER(R26),ISNUMBER(R24)),IF(R26&gt;R24,1,IF(R26=R24,0.5,0)),0.5)</f>
        <v/>
      </c>
      <c r="AH26" s="13">
        <f>IF(AND(ISNUMBER(R26),ISNUMBER(R25)),IF(R26&gt;R25,1,IF(R26=R25,0.5,0)),0.5)</f>
        <v/>
      </c>
      <c r="AI26" s="13">
        <f>IF(AND(ISNUMBER(S26),ISNUMBER(S21)),IF(S26&gt;S21,1,IF(S26=S21,0.5,0)),0.5)</f>
        <v/>
      </c>
      <c r="AJ26" s="13">
        <f>IF(AND(ISNUMBER(S26),ISNUMBER(S22)),IF(S26&gt;S22,1,IF(S26=S22,0.5,0)),0.5)</f>
        <v/>
      </c>
      <c r="AK26" s="13">
        <f>IF(AND(ISNUMBER(S26),ISNUMBER(S23)),IF(S26&gt;S23,1,IF(S26=S23,0.5,0)),0.5)</f>
        <v/>
      </c>
      <c r="AL26" s="13">
        <f>IF(AND(ISNUMBER(S26),ISNUMBER(S24)),IF(S26&gt;S24,1,IF(S26=S24,0.5,0)),0.5)</f>
        <v/>
      </c>
      <c r="AM26" s="13">
        <f>IF(AND(ISNUMBER(S26),ISNUMBER(S25)),IF(S26&gt;S25,1,IF(S26=S25,0.5,0)),0.5)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4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5">
        <f>IFERROR(AVERAGE(T27:X27),"")</f>
        <v/>
      </c>
      <c r="M27" s="4">
        <f>IFERROR(AVERAGE(Y27:AC27),"")</f>
        <v/>
      </c>
      <c r="N27" s="5">
        <f>P27/5</f>
        <v/>
      </c>
      <c r="O27" s="5">
        <f>Q27/5</f>
        <v/>
      </c>
      <c r="P27" s="4">
        <f>IFERROR(SUM(AD27:AH27),"")</f>
        <v/>
      </c>
      <c r="Q27" s="4">
        <f>IFERROR(SUM(AI27:AM27),"")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IF(AND(ISNUMBER(R27),ISNUMBER(R28)),VLOOKUP(ABS(R27-R28),'IMP Table'!$A$2:$C$26,3)*SIGN(R27-R28),"")</f>
        <v/>
      </c>
      <c r="U27">
        <f>IF(AND(ISNUMBER(R27),ISNUMBER(R29)),VLOOKUP(ABS(R27-R29),'IMP Table'!$A$2:$C$26,3)*SIGN(R27-R29),"")</f>
        <v/>
      </c>
      <c r="V27">
        <f>IF(AND(ISNUMBER(R27),ISNUMBER(R30)),VLOOKUP(ABS(R27-R30),'IMP Table'!$A$2:$C$26,3)*SIGN(R27-R30),"")</f>
        <v/>
      </c>
      <c r="W27">
        <f>IF(AND(ISNUMBER(R27),ISNUMBER(R31)),VLOOKUP(ABS(R27-R31),'IMP Table'!$A$2:$C$26,3)*SIGN(R27-R31),"")</f>
        <v/>
      </c>
      <c r="X27">
        <f>IF(AND(ISNUMBER(R27),ISNUMBER(R32)),VLOOKUP(ABS(R27-R32),'IMP Table'!$A$2:$C$26,3)*SIGN(R27-R32),"")</f>
        <v/>
      </c>
      <c r="Y27">
        <f>IF(AND(ISNUMBER(S27),ISNUMBER(S28)),VLOOKUP(ABS(S27-S28),'IMP Table'!$A$2:$C$26,3)*SIGN(S27-S28),"")</f>
        <v/>
      </c>
      <c r="Z27">
        <f>IF(AND(ISNUMBER(S27),ISNUMBER(S29)),VLOOKUP(ABS(S27-S29),'IMP Table'!$A$2:$C$26,3)*SIGN(S27-S29),"")</f>
        <v/>
      </c>
      <c r="AA27">
        <f>IF(AND(ISNUMBER(S27),ISNUMBER(S30)),VLOOKUP(ABS(S27-S30),'IMP Table'!$A$2:$C$26,3)*SIGN(S27-S30),"")</f>
        <v/>
      </c>
      <c r="AB27">
        <f>IF(AND(ISNUMBER(S27),ISNUMBER(S31)),VLOOKUP(ABS(S27-S31),'IMP Table'!$A$2:$C$26,3)*SIGN(S27-S31),"")</f>
        <v/>
      </c>
      <c r="AC27">
        <f>IF(AND(ISNUMBER(S27),ISNUMBER(S32)),VLOOKUP(ABS(S27-S32),'IMP Table'!$A$2:$C$26,3)*SIGN(S27-S32),"")</f>
        <v/>
      </c>
      <c r="AD27">
        <f>IF(AND(ISNUMBER(R27),ISNUMBER(R28)),IF(R27&gt;R28,1,IF(R27=R28,0.5,0)),0.5)</f>
        <v/>
      </c>
      <c r="AE27">
        <f>IF(AND(ISNUMBER(R27),ISNUMBER(R29)),IF(R27&gt;R29,1,IF(R27=R29,0.5,0)),0.5)</f>
        <v/>
      </c>
      <c r="AF27">
        <f>IF(AND(ISNUMBER(R27),ISNUMBER(R30)),IF(R27&gt;R30,1,IF(R27=R30,0.5,0)),0.5)</f>
        <v/>
      </c>
      <c r="AG27">
        <f>IF(AND(ISNUMBER(R27),ISNUMBER(R31)),IF(R27&gt;R31,1,IF(R27=R31,0.5,0)),0.5)</f>
        <v/>
      </c>
      <c r="AH27">
        <f>IF(AND(ISNUMBER(R27),ISNUMBER(R32)),IF(R27&gt;R32,1,IF(R27=R32,0.5,0)),0.5)</f>
        <v/>
      </c>
      <c r="AI27">
        <f>IF(AND(ISNUMBER(S27),ISNUMBER(S28)),IF(S27&gt;S28,1,IF(S27=S28,0.5,0)),0.5)</f>
        <v/>
      </c>
      <c r="AJ27">
        <f>IF(AND(ISNUMBER(S27),ISNUMBER(S29)),IF(S27&gt;S29,1,IF(S27=S29,0.5,0)),0.5)</f>
        <v/>
      </c>
      <c r="AK27">
        <f>IF(AND(ISNUMBER(S27),ISNUMBER(S30)),IF(S27&gt;S30,1,IF(S27=S30,0.5,0)),0.5)</f>
        <v/>
      </c>
      <c r="AL27">
        <f>IF(AND(ISNUMBER(S27),ISNUMBER(S31)),IF(S27&gt;S31,1,IF(S27=S31,0.5,0)),0.5)</f>
        <v/>
      </c>
      <c r="AM27">
        <f>IF(AND(ISNUMBER(S27),ISNUMBER(S32)),IF(S27&gt;S32,1,IF(S27=S32,0.5,0)),0.5)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4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5">
        <f>IFERROR(AVERAGE(T28:X28),"")</f>
        <v/>
      </c>
      <c r="M28" s="4">
        <f>IFERROR(AVERAGE(Y28:AC28),"")</f>
        <v/>
      </c>
      <c r="N28" s="5">
        <f>P28/5</f>
        <v/>
      </c>
      <c r="O28" s="5">
        <f>Q28/5</f>
        <v/>
      </c>
      <c r="P28" s="4">
        <f>IFERROR(SUM(AD28:AH28),"")</f>
        <v/>
      </c>
      <c r="Q28" s="4">
        <f>IFERROR(SUM(AI28:AM28),"")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IF(AND(ISNUMBER(R28),ISNUMBER(R27)),VLOOKUP(ABS(R28-R27),'IMP Table'!$A$2:$C$26,3)*SIGN(R28-R27),"")</f>
        <v/>
      </c>
      <c r="U28">
        <f>IF(AND(ISNUMBER(R28),ISNUMBER(R29)),VLOOKUP(ABS(R28-R29),'IMP Table'!$A$2:$C$26,3)*SIGN(R28-R29),"")</f>
        <v/>
      </c>
      <c r="V28">
        <f>IF(AND(ISNUMBER(R28),ISNUMBER(R30)),VLOOKUP(ABS(R28-R30),'IMP Table'!$A$2:$C$26,3)*SIGN(R28-R30),"")</f>
        <v/>
      </c>
      <c r="W28">
        <f>IF(AND(ISNUMBER(R28),ISNUMBER(R31)),VLOOKUP(ABS(R28-R31),'IMP Table'!$A$2:$C$26,3)*SIGN(R28-R31),"")</f>
        <v/>
      </c>
      <c r="X28">
        <f>IF(AND(ISNUMBER(R28),ISNUMBER(R32)),VLOOKUP(ABS(R28-R32),'IMP Table'!$A$2:$C$26,3)*SIGN(R28-R32),"")</f>
        <v/>
      </c>
      <c r="Y28">
        <f>IF(AND(ISNUMBER(S28),ISNUMBER(S27)),VLOOKUP(ABS(S28-S27),'IMP Table'!$A$2:$C$26,3)*SIGN(S28-S27),"")</f>
        <v/>
      </c>
      <c r="Z28">
        <f>IF(AND(ISNUMBER(S28),ISNUMBER(S29)),VLOOKUP(ABS(S28-S29),'IMP Table'!$A$2:$C$26,3)*SIGN(S28-S29),"")</f>
        <v/>
      </c>
      <c r="AA28">
        <f>IF(AND(ISNUMBER(S28),ISNUMBER(S30)),VLOOKUP(ABS(S28-S30),'IMP Table'!$A$2:$C$26,3)*SIGN(S28-S30),"")</f>
        <v/>
      </c>
      <c r="AB28">
        <f>IF(AND(ISNUMBER(S28),ISNUMBER(S31)),VLOOKUP(ABS(S28-S31),'IMP Table'!$A$2:$C$26,3)*SIGN(S28-S31),"")</f>
        <v/>
      </c>
      <c r="AC28">
        <f>IF(AND(ISNUMBER(S28),ISNUMBER(S32)),VLOOKUP(ABS(S28-S32),'IMP Table'!$A$2:$C$26,3)*SIGN(S28-S32),"")</f>
        <v/>
      </c>
      <c r="AD28">
        <f>IF(AND(ISNUMBER(R28),ISNUMBER(R27)),IF(R28&gt;R27,1,IF(R28=R27,0.5,0)),0.5)</f>
        <v/>
      </c>
      <c r="AE28">
        <f>IF(AND(ISNUMBER(R28),ISNUMBER(R29)),IF(R28&gt;R29,1,IF(R28=R29,0.5,0)),0.5)</f>
        <v/>
      </c>
      <c r="AF28">
        <f>IF(AND(ISNUMBER(R28),ISNUMBER(R30)),IF(R28&gt;R30,1,IF(R28=R30,0.5,0)),0.5)</f>
        <v/>
      </c>
      <c r="AG28">
        <f>IF(AND(ISNUMBER(R28),ISNUMBER(R31)),IF(R28&gt;R31,1,IF(R28=R31,0.5,0)),0.5)</f>
        <v/>
      </c>
      <c r="AH28">
        <f>IF(AND(ISNUMBER(R28),ISNUMBER(R32)),IF(R28&gt;R32,1,IF(R28=R32,0.5,0)),0.5)</f>
        <v/>
      </c>
      <c r="AI28">
        <f>IF(AND(ISNUMBER(S28),ISNUMBER(S27)),IF(S28&gt;S27,1,IF(S28=S27,0.5,0)),0.5)</f>
        <v/>
      </c>
      <c r="AJ28">
        <f>IF(AND(ISNUMBER(S28),ISNUMBER(S29)),IF(S28&gt;S29,1,IF(S28=S29,0.5,0)),0.5)</f>
        <v/>
      </c>
      <c r="AK28">
        <f>IF(AND(ISNUMBER(S28),ISNUMBER(S30)),IF(S28&gt;S30,1,IF(S28=S30,0.5,0)),0.5)</f>
        <v/>
      </c>
      <c r="AL28">
        <f>IF(AND(ISNUMBER(S28),ISNUMBER(S31)),IF(S28&gt;S31,1,IF(S28=S31,0.5,0)),0.5)</f>
        <v/>
      </c>
      <c r="AM28">
        <f>IF(AND(ISNUMBER(S28),ISNUMBER(S32)),IF(S28&gt;S32,1,IF(S28=S32,0.5,0)),0.5)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4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5">
        <f>IFERROR(AVERAGE(T29:X29),"")</f>
        <v/>
      </c>
      <c r="M29" s="4">
        <f>IFERROR(AVERAGE(Y29:AC29),"")</f>
        <v/>
      </c>
      <c r="N29" s="5">
        <f>P29/5</f>
        <v/>
      </c>
      <c r="O29" s="5">
        <f>Q29/5</f>
        <v/>
      </c>
      <c r="P29" s="4">
        <f>IFERROR(SUM(AD29:AH29),"")</f>
        <v/>
      </c>
      <c r="Q29" s="4">
        <f>IFERROR(SUM(AI29:AM29),"")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IF(AND(ISNUMBER(R29),ISNUMBER(R27)),VLOOKUP(ABS(R29-R27),'IMP Table'!$A$2:$C$26,3)*SIGN(R29-R27),"")</f>
        <v/>
      </c>
      <c r="U29">
        <f>IF(AND(ISNUMBER(R29),ISNUMBER(R28)),VLOOKUP(ABS(R29-R28),'IMP Table'!$A$2:$C$26,3)*SIGN(R29-R28),"")</f>
        <v/>
      </c>
      <c r="V29">
        <f>IF(AND(ISNUMBER(R29),ISNUMBER(R30)),VLOOKUP(ABS(R29-R30),'IMP Table'!$A$2:$C$26,3)*SIGN(R29-R30),"")</f>
        <v/>
      </c>
      <c r="W29">
        <f>IF(AND(ISNUMBER(R29),ISNUMBER(R31)),VLOOKUP(ABS(R29-R31),'IMP Table'!$A$2:$C$26,3)*SIGN(R29-R31),"")</f>
        <v/>
      </c>
      <c r="X29">
        <f>IF(AND(ISNUMBER(R29),ISNUMBER(R32)),VLOOKUP(ABS(R29-R32),'IMP Table'!$A$2:$C$26,3)*SIGN(R29-R32),"")</f>
        <v/>
      </c>
      <c r="Y29">
        <f>IF(AND(ISNUMBER(S29),ISNUMBER(S27)),VLOOKUP(ABS(S29-S27),'IMP Table'!$A$2:$C$26,3)*SIGN(S29-S27),"")</f>
        <v/>
      </c>
      <c r="Z29">
        <f>IF(AND(ISNUMBER(S29),ISNUMBER(S28)),VLOOKUP(ABS(S29-S28),'IMP Table'!$A$2:$C$26,3)*SIGN(S29-S28),"")</f>
        <v/>
      </c>
      <c r="AA29">
        <f>IF(AND(ISNUMBER(S29),ISNUMBER(S30)),VLOOKUP(ABS(S29-S30),'IMP Table'!$A$2:$C$26,3)*SIGN(S29-S30),"")</f>
        <v/>
      </c>
      <c r="AB29">
        <f>IF(AND(ISNUMBER(S29),ISNUMBER(S31)),VLOOKUP(ABS(S29-S31),'IMP Table'!$A$2:$C$26,3)*SIGN(S29-S31),"")</f>
        <v/>
      </c>
      <c r="AC29">
        <f>IF(AND(ISNUMBER(S29),ISNUMBER(S32)),VLOOKUP(ABS(S29-S32),'IMP Table'!$A$2:$C$26,3)*SIGN(S29-S32),"")</f>
        <v/>
      </c>
      <c r="AD29">
        <f>IF(AND(ISNUMBER(R29),ISNUMBER(R27)),IF(R29&gt;R27,1,IF(R29=R27,0.5,0)),0.5)</f>
        <v/>
      </c>
      <c r="AE29">
        <f>IF(AND(ISNUMBER(R29),ISNUMBER(R28)),IF(R29&gt;R28,1,IF(R29=R28,0.5,0)),0.5)</f>
        <v/>
      </c>
      <c r="AF29">
        <f>IF(AND(ISNUMBER(R29),ISNUMBER(R30)),IF(R29&gt;R30,1,IF(R29=R30,0.5,0)),0.5)</f>
        <v/>
      </c>
      <c r="AG29">
        <f>IF(AND(ISNUMBER(R29),ISNUMBER(R31)),IF(R29&gt;R31,1,IF(R29=R31,0.5,0)),0.5)</f>
        <v/>
      </c>
      <c r="AH29">
        <f>IF(AND(ISNUMBER(R29),ISNUMBER(R32)),IF(R29&gt;R32,1,IF(R29=R32,0.5,0)),0.5)</f>
        <v/>
      </c>
      <c r="AI29">
        <f>IF(AND(ISNUMBER(S29),ISNUMBER(S27)),IF(S29&gt;S27,1,IF(S29=S27,0.5,0)),0.5)</f>
        <v/>
      </c>
      <c r="AJ29">
        <f>IF(AND(ISNUMBER(S29),ISNUMBER(S28)),IF(S29&gt;S28,1,IF(S29=S28,0.5,0)),0.5)</f>
        <v/>
      </c>
      <c r="AK29">
        <f>IF(AND(ISNUMBER(S29),ISNUMBER(S30)),IF(S29&gt;S30,1,IF(S29=S30,0.5,0)),0.5)</f>
        <v/>
      </c>
      <c r="AL29">
        <f>IF(AND(ISNUMBER(S29),ISNUMBER(S31)),IF(S29&gt;S31,1,IF(S29=S31,0.5,0)),0.5)</f>
        <v/>
      </c>
      <c r="AM29">
        <f>IF(AND(ISNUMBER(S29),ISNUMBER(S32)),IF(S29&gt;S32,1,IF(S29=S32,0.5,0)),0.5)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4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5">
        <f>IFERROR(AVERAGE(T30:X30),"")</f>
        <v/>
      </c>
      <c r="M30" s="4">
        <f>IFERROR(AVERAGE(Y30:AC30),"")</f>
        <v/>
      </c>
      <c r="N30" s="5">
        <f>P30/5</f>
        <v/>
      </c>
      <c r="O30" s="5">
        <f>Q30/5</f>
        <v/>
      </c>
      <c r="P30" s="4">
        <f>IFERROR(SUM(AD30:AH30),"")</f>
        <v/>
      </c>
      <c r="Q30" s="4">
        <f>IFERROR(SUM(AI30:AM30),"")</f>
        <v/>
      </c>
      <c r="R30" s="16">
        <f>IF(ISNUMBER(J30),J30,IF(ISNUMBER(K30),-K30,""))</f>
        <v/>
      </c>
      <c r="S30">
        <f>IF(ISNUMBER(K30),K30,IF(ISNUMBER(J30),-J30,""))</f>
        <v/>
      </c>
      <c r="T30">
        <f>IF(AND(ISNUMBER(R30),ISNUMBER(R27)),VLOOKUP(ABS(R30-R27),'IMP Table'!$A$2:$C$26,3)*SIGN(R30-R27),"")</f>
        <v/>
      </c>
      <c r="U30">
        <f>IF(AND(ISNUMBER(R30),ISNUMBER(R28)),VLOOKUP(ABS(R30-R28),'IMP Table'!$A$2:$C$26,3)*SIGN(R30-R28),"")</f>
        <v/>
      </c>
      <c r="V30">
        <f>IF(AND(ISNUMBER(R30),ISNUMBER(R29)),VLOOKUP(ABS(R30-R29),'IMP Table'!$A$2:$C$26,3)*SIGN(R30-R29),"")</f>
        <v/>
      </c>
      <c r="W30">
        <f>IF(AND(ISNUMBER(R30),ISNUMBER(R31)),VLOOKUP(ABS(R30-R31),'IMP Table'!$A$2:$C$26,3)*SIGN(R30-R31),"")</f>
        <v/>
      </c>
      <c r="X30">
        <f>IF(AND(ISNUMBER(R30),ISNUMBER(R32)),VLOOKUP(ABS(R30-R32),'IMP Table'!$A$2:$C$26,3)*SIGN(R30-R32),"")</f>
        <v/>
      </c>
      <c r="Y30">
        <f>IF(AND(ISNUMBER(S30),ISNUMBER(S27)),VLOOKUP(ABS(S30-S27),'IMP Table'!$A$2:$C$26,3)*SIGN(S30-S27),"")</f>
        <v/>
      </c>
      <c r="Z30">
        <f>IF(AND(ISNUMBER(S30),ISNUMBER(S28)),VLOOKUP(ABS(S30-S28),'IMP Table'!$A$2:$C$26,3)*SIGN(S30-S28),"")</f>
        <v/>
      </c>
      <c r="AA30">
        <f>IF(AND(ISNUMBER(S30),ISNUMBER(S29)),VLOOKUP(ABS(S30-S29),'IMP Table'!$A$2:$C$26,3)*SIGN(S30-S29),"")</f>
        <v/>
      </c>
      <c r="AB30">
        <f>IF(AND(ISNUMBER(S30),ISNUMBER(S31)),VLOOKUP(ABS(S30-S31),'IMP Table'!$A$2:$C$26,3)*SIGN(S30-S31),"")</f>
        <v/>
      </c>
      <c r="AC30">
        <f>IF(AND(ISNUMBER(S30),ISNUMBER(S32)),VLOOKUP(ABS(S30-S32),'IMP Table'!$A$2:$C$26,3)*SIGN(S30-S32),"")</f>
        <v/>
      </c>
      <c r="AD30">
        <f>IF(AND(ISNUMBER(R30),ISNUMBER(R27)),IF(R30&gt;R27,1,IF(R30=R27,0.5,0)),0.5)</f>
        <v/>
      </c>
      <c r="AE30">
        <f>IF(AND(ISNUMBER(R30),ISNUMBER(R28)),IF(R30&gt;R28,1,IF(R30=R28,0.5,0)),0.5)</f>
        <v/>
      </c>
      <c r="AF30">
        <f>IF(AND(ISNUMBER(R30),ISNUMBER(R29)),IF(R30&gt;R29,1,IF(R30=R29,0.5,0)),0.5)</f>
        <v/>
      </c>
      <c r="AG30">
        <f>IF(AND(ISNUMBER(R30),ISNUMBER(R31)),IF(R30&gt;R31,1,IF(R30=R31,0.5,0)),0.5)</f>
        <v/>
      </c>
      <c r="AH30">
        <f>IF(AND(ISNUMBER(R30),ISNUMBER(R32)),IF(R30&gt;R32,1,IF(R30=R32,0.5,0)),0.5)</f>
        <v/>
      </c>
      <c r="AI30">
        <f>IF(AND(ISNUMBER(S30),ISNUMBER(S27)),IF(S30&gt;S27,1,IF(S30=S27,0.5,0)),0.5)</f>
        <v/>
      </c>
      <c r="AJ30">
        <f>IF(AND(ISNUMBER(S30),ISNUMBER(S28)),IF(S30&gt;S28,1,IF(S30=S28,0.5,0)),0.5)</f>
        <v/>
      </c>
      <c r="AK30">
        <f>IF(AND(ISNUMBER(S30),ISNUMBER(S29)),IF(S30&gt;S29,1,IF(S30=S29,0.5,0)),0.5)</f>
        <v/>
      </c>
      <c r="AL30">
        <f>IF(AND(ISNUMBER(S30),ISNUMBER(S31)),IF(S30&gt;S31,1,IF(S30=S31,0.5,0)),0.5)</f>
        <v/>
      </c>
      <c r="AM30">
        <f>IF(AND(ISNUMBER(S30),ISNUMBER(S32)),IF(S30&gt;S32,1,IF(S30=S32,0.5,0)),0.5)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4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5">
        <f>IFERROR(AVERAGE(T31:X31),"")</f>
        <v/>
      </c>
      <c r="M31" s="4">
        <f>IFERROR(AVERAGE(Y31:AC31),"")</f>
        <v/>
      </c>
      <c r="N31" s="5">
        <f>P31/5</f>
        <v/>
      </c>
      <c r="O31" s="5">
        <f>Q31/5</f>
        <v/>
      </c>
      <c r="P31" s="4">
        <f>IFERROR(SUM(AD31:AH31),"")</f>
        <v/>
      </c>
      <c r="Q31" s="4">
        <f>IFERROR(SUM(AI31:AM31),"")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IF(AND(ISNUMBER(R31),ISNUMBER(R27)),VLOOKUP(ABS(R31-R27),'IMP Table'!$A$2:$C$26,3)*SIGN(R31-R27),"")</f>
        <v/>
      </c>
      <c r="U31">
        <f>IF(AND(ISNUMBER(R31),ISNUMBER(R28)),VLOOKUP(ABS(R31-R28),'IMP Table'!$A$2:$C$26,3)*SIGN(R31-R28),"")</f>
        <v/>
      </c>
      <c r="V31">
        <f>IF(AND(ISNUMBER(R31),ISNUMBER(R29)),VLOOKUP(ABS(R31-R29),'IMP Table'!$A$2:$C$26,3)*SIGN(R31-R29),"")</f>
        <v/>
      </c>
      <c r="W31">
        <f>IF(AND(ISNUMBER(R31),ISNUMBER(R30)),VLOOKUP(ABS(R31-R30),'IMP Table'!$A$2:$C$26,3)*SIGN(R31-R30),"")</f>
        <v/>
      </c>
      <c r="X31">
        <f>IF(AND(ISNUMBER(R31),ISNUMBER(R32)),VLOOKUP(ABS(R31-R32),'IMP Table'!$A$2:$C$26,3)*SIGN(R31-R32),"")</f>
        <v/>
      </c>
      <c r="Y31">
        <f>IF(AND(ISNUMBER(S31),ISNUMBER(S27)),VLOOKUP(ABS(S31-S27),'IMP Table'!$A$2:$C$26,3)*SIGN(S31-S27),"")</f>
        <v/>
      </c>
      <c r="Z31">
        <f>IF(AND(ISNUMBER(S31),ISNUMBER(S28)),VLOOKUP(ABS(S31-S28),'IMP Table'!$A$2:$C$26,3)*SIGN(S31-S28),"")</f>
        <v/>
      </c>
      <c r="AA31">
        <f>IF(AND(ISNUMBER(S31),ISNUMBER(S29)),VLOOKUP(ABS(S31-S29),'IMP Table'!$A$2:$C$26,3)*SIGN(S31-S29),"")</f>
        <v/>
      </c>
      <c r="AB31">
        <f>IF(AND(ISNUMBER(S31),ISNUMBER(S30)),VLOOKUP(ABS(S31-S30),'IMP Table'!$A$2:$C$26,3)*SIGN(S31-S30),"")</f>
        <v/>
      </c>
      <c r="AC31">
        <f>IF(AND(ISNUMBER(S31),ISNUMBER(S32)),VLOOKUP(ABS(S31-S32),'IMP Table'!$A$2:$C$26,3)*SIGN(S31-S32),"")</f>
        <v/>
      </c>
      <c r="AD31">
        <f>IF(AND(ISNUMBER(R31),ISNUMBER(R27)),IF(R31&gt;R27,1,IF(R31=R27,0.5,0)),0.5)</f>
        <v/>
      </c>
      <c r="AE31">
        <f>IF(AND(ISNUMBER(R31),ISNUMBER(R28)),IF(R31&gt;R28,1,IF(R31=R28,0.5,0)),0.5)</f>
        <v/>
      </c>
      <c r="AF31">
        <f>IF(AND(ISNUMBER(R31),ISNUMBER(R29)),IF(R31&gt;R29,1,IF(R31=R29,0.5,0)),0.5)</f>
        <v/>
      </c>
      <c r="AG31">
        <f>IF(AND(ISNUMBER(R31),ISNUMBER(R30)),IF(R31&gt;R30,1,IF(R31=R30,0.5,0)),0.5)</f>
        <v/>
      </c>
      <c r="AH31">
        <f>IF(AND(ISNUMBER(R31),ISNUMBER(R32)),IF(R31&gt;R32,1,IF(R31=R32,0.5,0)),0.5)</f>
        <v/>
      </c>
      <c r="AI31">
        <f>IF(AND(ISNUMBER(S31),ISNUMBER(S27)),IF(S31&gt;S27,1,IF(S31=S27,0.5,0)),0.5)</f>
        <v/>
      </c>
      <c r="AJ31">
        <f>IF(AND(ISNUMBER(S31),ISNUMBER(S28)),IF(S31&gt;S28,1,IF(S31=S28,0.5,0)),0.5)</f>
        <v/>
      </c>
      <c r="AK31">
        <f>IF(AND(ISNUMBER(S31),ISNUMBER(S29)),IF(S31&gt;S29,1,IF(S31=S29,0.5,0)),0.5)</f>
        <v/>
      </c>
      <c r="AL31">
        <f>IF(AND(ISNUMBER(S31),ISNUMBER(S30)),IF(S31&gt;S30,1,IF(S31=S30,0.5,0)),0.5)</f>
        <v/>
      </c>
      <c r="AM31">
        <f>IF(AND(ISNUMBER(S31),ISNUMBER(S32)),IF(S31&gt;S32,1,IF(S31=S32,0.5,0)),0.5)</f>
        <v/>
      </c>
    </row>
    <row r="32">
      <c r="A32" s="13" t="n"/>
      <c r="B32" s="13">
        <f>'By Round'!A111</f>
        <v/>
      </c>
      <c r="C32" s="13">
        <f>'By Round'!B113</f>
        <v/>
      </c>
      <c r="D32" s="13">
        <f>'By Round'!C113</f>
        <v/>
      </c>
      <c r="E32" s="13">
        <f>'By Round'!D113</f>
        <v/>
      </c>
      <c r="F32" s="17" t="inlineStr">
        <is>
          <t>NS</t>
        </is>
      </c>
      <c r="G32" s="13">
        <f>IF(ISBLANK('By Round'!G113),"",'By Round'!G113)</f>
        <v/>
      </c>
      <c r="H32" s="13">
        <f>IF(ISBLANK('By Round'!H113),"",'By Round'!H113)</f>
        <v/>
      </c>
      <c r="I32" s="13">
        <f>IF(ISBLANK('By Round'!I113),"",'By Round'!I113)</f>
        <v/>
      </c>
      <c r="J32" s="13">
        <f>IF(ISBLANK('By Round'!J113),"",'By Round'!J113)</f>
        <v/>
      </c>
      <c r="K32" s="13">
        <f>IF(ISBLANK('By Round'!K113),"",'By Round'!K113)</f>
        <v/>
      </c>
      <c r="L32" s="18">
        <f>IFERROR(AVERAGE(T32:X32),"")</f>
        <v/>
      </c>
      <c r="M32" s="19">
        <f>IFERROR(AVERAGE(Y32:AC32),"")</f>
        <v/>
      </c>
      <c r="N32" s="20">
        <f>P32/5</f>
        <v/>
      </c>
      <c r="O32" s="20">
        <f>Q32/5</f>
        <v/>
      </c>
      <c r="P32" s="19">
        <f>IFERROR(SUM(AD32:AH32),"")</f>
        <v/>
      </c>
      <c r="Q32" s="19">
        <f>IFERROR(SUM(AI32:AM32),"")</f>
        <v/>
      </c>
      <c r="R32" s="21">
        <f>IF(ISNUMBER(J32),J32,IF(ISNUMBER(K32),-K32,""))</f>
        <v/>
      </c>
      <c r="S32" s="13">
        <f>IF(ISNUMBER(K32),K32,IF(ISNUMBER(J32),-J32,""))</f>
        <v/>
      </c>
      <c r="T32" s="13">
        <f>IF(AND(ISNUMBER(R32),ISNUMBER(R27)),VLOOKUP(ABS(R32-R27),'IMP Table'!$A$2:$C$26,3)*SIGN(R32-R27),"")</f>
        <v/>
      </c>
      <c r="U32" s="13">
        <f>IF(AND(ISNUMBER(R32),ISNUMBER(R28)),VLOOKUP(ABS(R32-R28),'IMP Table'!$A$2:$C$26,3)*SIGN(R32-R28),"")</f>
        <v/>
      </c>
      <c r="V32" s="13">
        <f>IF(AND(ISNUMBER(R32),ISNUMBER(R29)),VLOOKUP(ABS(R32-R29),'IMP Table'!$A$2:$C$26,3)*SIGN(R32-R29),"")</f>
        <v/>
      </c>
      <c r="W32" s="13">
        <f>IF(AND(ISNUMBER(R32),ISNUMBER(R30)),VLOOKUP(ABS(R32-R30),'IMP Table'!$A$2:$C$26,3)*SIGN(R32-R30),"")</f>
        <v/>
      </c>
      <c r="X32" s="13">
        <f>IF(AND(ISNUMBER(R32),ISNUMBER(R31)),VLOOKUP(ABS(R32-R31),'IMP Table'!$A$2:$C$26,3)*SIGN(R32-R31),"")</f>
        <v/>
      </c>
      <c r="Y32" s="13">
        <f>IF(AND(ISNUMBER(S32),ISNUMBER(S27)),VLOOKUP(ABS(S32-S27),'IMP Table'!$A$2:$C$26,3)*SIGN(S32-S27),"")</f>
        <v/>
      </c>
      <c r="Z32" s="13">
        <f>IF(AND(ISNUMBER(S32),ISNUMBER(S28)),VLOOKUP(ABS(S32-S28),'IMP Table'!$A$2:$C$26,3)*SIGN(S32-S28),"")</f>
        <v/>
      </c>
      <c r="AA32" s="13">
        <f>IF(AND(ISNUMBER(S32),ISNUMBER(S29)),VLOOKUP(ABS(S32-S29),'IMP Table'!$A$2:$C$26,3)*SIGN(S32-S29),"")</f>
        <v/>
      </c>
      <c r="AB32" s="13">
        <f>IF(AND(ISNUMBER(S32),ISNUMBER(S30)),VLOOKUP(ABS(S32-S30),'IMP Table'!$A$2:$C$26,3)*SIGN(S32-S30),"")</f>
        <v/>
      </c>
      <c r="AC32" s="13">
        <f>IF(AND(ISNUMBER(S32),ISNUMBER(S31)),VLOOKUP(ABS(S32-S31),'IMP Table'!$A$2:$C$26,3)*SIGN(S32-S31),"")</f>
        <v/>
      </c>
      <c r="AD32" s="13">
        <f>IF(AND(ISNUMBER(R32),ISNUMBER(R27)),IF(R32&gt;R27,1,IF(R32=R27,0.5,0)),0.5)</f>
        <v/>
      </c>
      <c r="AE32" s="13">
        <f>IF(AND(ISNUMBER(R32),ISNUMBER(R28)),IF(R32&gt;R28,1,IF(R32=R28,0.5,0)),0.5)</f>
        <v/>
      </c>
      <c r="AF32" s="13">
        <f>IF(AND(ISNUMBER(R32),ISNUMBER(R29)),IF(R32&gt;R29,1,IF(R32=R29,0.5,0)),0.5)</f>
        <v/>
      </c>
      <c r="AG32" s="13">
        <f>IF(AND(ISNUMBER(R32),ISNUMBER(R30)),IF(R32&gt;R30,1,IF(R32=R30,0.5,0)),0.5)</f>
        <v/>
      </c>
      <c r="AH32" s="13">
        <f>IF(AND(ISNUMBER(R32),ISNUMBER(R31)),IF(R32&gt;R31,1,IF(R32=R31,0.5,0)),0.5)</f>
        <v/>
      </c>
      <c r="AI32" s="13">
        <f>IF(AND(ISNUMBER(S32),ISNUMBER(S27)),IF(S32&gt;S27,1,IF(S32=S27,0.5,0)),0.5)</f>
        <v/>
      </c>
      <c r="AJ32" s="13">
        <f>IF(AND(ISNUMBER(S32),ISNUMBER(S28)),IF(S32&gt;S28,1,IF(S32=S28,0.5,0)),0.5)</f>
        <v/>
      </c>
      <c r="AK32" s="13">
        <f>IF(AND(ISNUMBER(S32),ISNUMBER(S29)),IF(S32&gt;S29,1,IF(S32=S29,0.5,0)),0.5)</f>
        <v/>
      </c>
      <c r="AL32" s="13">
        <f>IF(AND(ISNUMBER(S32),ISNUMBER(S30)),IF(S32&gt;S30,1,IF(S32=S30,0.5,0)),0.5)</f>
        <v/>
      </c>
      <c r="AM32" s="13">
        <f>IF(AND(ISNUMBER(S32),ISNUMBER(S31)),IF(S32&gt;S31,1,IF(S32=S31,0.5,0)),0.5)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4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5">
        <f>IFERROR(AVERAGE(T33:X33),"")</f>
        <v/>
      </c>
      <c r="M33" s="4">
        <f>IFERROR(AVERAGE(Y33:AC33),"")</f>
        <v/>
      </c>
      <c r="N33" s="5">
        <f>P33/5</f>
        <v/>
      </c>
      <c r="O33" s="5">
        <f>Q33/5</f>
        <v/>
      </c>
      <c r="P33" s="4">
        <f>IFERROR(SUM(AD33:AH33),"")</f>
        <v/>
      </c>
      <c r="Q33" s="4">
        <f>IFERROR(SUM(AI33:AM33),"")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IF(AND(ISNUMBER(R33),ISNUMBER(R34)),VLOOKUP(ABS(R33-R34),'IMP Table'!$A$2:$C$26,3)*SIGN(R33-R34),"")</f>
        <v/>
      </c>
      <c r="U33">
        <f>IF(AND(ISNUMBER(R33),ISNUMBER(R35)),VLOOKUP(ABS(R33-R35),'IMP Table'!$A$2:$C$26,3)*SIGN(R33-R35),"")</f>
        <v/>
      </c>
      <c r="V33">
        <f>IF(AND(ISNUMBER(R33),ISNUMBER(R36)),VLOOKUP(ABS(R33-R36),'IMP Table'!$A$2:$C$26,3)*SIGN(R33-R36),"")</f>
        <v/>
      </c>
      <c r="W33">
        <f>IF(AND(ISNUMBER(R33),ISNUMBER(R37)),VLOOKUP(ABS(R33-R37),'IMP Table'!$A$2:$C$26,3)*SIGN(R33-R37),"")</f>
        <v/>
      </c>
      <c r="X33">
        <f>IF(AND(ISNUMBER(R33),ISNUMBER(R38)),VLOOKUP(ABS(R33-R38),'IMP Table'!$A$2:$C$26,3)*SIGN(R33-R38),"")</f>
        <v/>
      </c>
      <c r="Y33">
        <f>IF(AND(ISNUMBER(S33),ISNUMBER(S34)),VLOOKUP(ABS(S33-S34),'IMP Table'!$A$2:$C$26,3)*SIGN(S33-S34),"")</f>
        <v/>
      </c>
      <c r="Z33">
        <f>IF(AND(ISNUMBER(S33),ISNUMBER(S35)),VLOOKUP(ABS(S33-S35),'IMP Table'!$A$2:$C$26,3)*SIGN(S33-S35),"")</f>
        <v/>
      </c>
      <c r="AA33">
        <f>IF(AND(ISNUMBER(S33),ISNUMBER(S36)),VLOOKUP(ABS(S33-S36),'IMP Table'!$A$2:$C$26,3)*SIGN(S33-S36),"")</f>
        <v/>
      </c>
      <c r="AB33">
        <f>IF(AND(ISNUMBER(S33),ISNUMBER(S37)),VLOOKUP(ABS(S33-S37),'IMP Table'!$A$2:$C$26,3)*SIGN(S33-S37),"")</f>
        <v/>
      </c>
      <c r="AC33">
        <f>IF(AND(ISNUMBER(S33),ISNUMBER(S38)),VLOOKUP(ABS(S33-S38),'IMP Table'!$A$2:$C$26,3)*SIGN(S33-S38),"")</f>
        <v/>
      </c>
      <c r="AD33">
        <f>IF(AND(ISNUMBER(R33),ISNUMBER(R34)),IF(R33&gt;R34,1,IF(R33=R34,0.5,0)),0.5)</f>
        <v/>
      </c>
      <c r="AE33">
        <f>IF(AND(ISNUMBER(R33),ISNUMBER(R35)),IF(R33&gt;R35,1,IF(R33=R35,0.5,0)),0.5)</f>
        <v/>
      </c>
      <c r="AF33">
        <f>IF(AND(ISNUMBER(R33),ISNUMBER(R36)),IF(R33&gt;R36,1,IF(R33=R36,0.5,0)),0.5)</f>
        <v/>
      </c>
      <c r="AG33">
        <f>IF(AND(ISNUMBER(R33),ISNUMBER(R37)),IF(R33&gt;R37,1,IF(R33=R37,0.5,0)),0.5)</f>
        <v/>
      </c>
      <c r="AH33">
        <f>IF(AND(ISNUMBER(R33),ISNUMBER(R38)),IF(R33&gt;R38,1,IF(R33=R38,0.5,0)),0.5)</f>
        <v/>
      </c>
      <c r="AI33">
        <f>IF(AND(ISNUMBER(S33),ISNUMBER(S34)),IF(S33&gt;S34,1,IF(S33=S34,0.5,0)),0.5)</f>
        <v/>
      </c>
      <c r="AJ33">
        <f>IF(AND(ISNUMBER(S33),ISNUMBER(S35)),IF(S33&gt;S35,1,IF(S33=S35,0.5,0)),0.5)</f>
        <v/>
      </c>
      <c r="AK33">
        <f>IF(AND(ISNUMBER(S33),ISNUMBER(S36)),IF(S33&gt;S36,1,IF(S33=S36,0.5,0)),0.5)</f>
        <v/>
      </c>
      <c r="AL33">
        <f>IF(AND(ISNUMBER(S33),ISNUMBER(S37)),IF(S33&gt;S37,1,IF(S33=S37,0.5,0)),0.5)</f>
        <v/>
      </c>
      <c r="AM33">
        <f>IF(AND(ISNUMBER(S33),ISNUMBER(S38)),IF(S33&gt;S38,1,IF(S33=S38,0.5,0)),0.5)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4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5">
        <f>IFERROR(AVERAGE(T34:X34),"")</f>
        <v/>
      </c>
      <c r="M34" s="4">
        <f>IFERROR(AVERAGE(Y34:AC34),"")</f>
        <v/>
      </c>
      <c r="N34" s="5">
        <f>P34/5</f>
        <v/>
      </c>
      <c r="O34" s="5">
        <f>Q34/5</f>
        <v/>
      </c>
      <c r="P34" s="4">
        <f>IFERROR(SUM(AD34:AH34),"")</f>
        <v/>
      </c>
      <c r="Q34" s="4">
        <f>IFERROR(SUM(AI34:AM34),"")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IF(AND(ISNUMBER(R34),ISNUMBER(R33)),VLOOKUP(ABS(R34-R33),'IMP Table'!$A$2:$C$26,3)*SIGN(R34-R33),"")</f>
        <v/>
      </c>
      <c r="U34">
        <f>IF(AND(ISNUMBER(R34),ISNUMBER(R35)),VLOOKUP(ABS(R34-R35),'IMP Table'!$A$2:$C$26,3)*SIGN(R34-R35),"")</f>
        <v/>
      </c>
      <c r="V34">
        <f>IF(AND(ISNUMBER(R34),ISNUMBER(R36)),VLOOKUP(ABS(R34-R36),'IMP Table'!$A$2:$C$26,3)*SIGN(R34-R36),"")</f>
        <v/>
      </c>
      <c r="W34">
        <f>IF(AND(ISNUMBER(R34),ISNUMBER(R37)),VLOOKUP(ABS(R34-R37),'IMP Table'!$A$2:$C$26,3)*SIGN(R34-R37),"")</f>
        <v/>
      </c>
      <c r="X34">
        <f>IF(AND(ISNUMBER(R34),ISNUMBER(R38)),VLOOKUP(ABS(R34-R38),'IMP Table'!$A$2:$C$26,3)*SIGN(R34-R38),"")</f>
        <v/>
      </c>
      <c r="Y34">
        <f>IF(AND(ISNUMBER(S34),ISNUMBER(S33)),VLOOKUP(ABS(S34-S33),'IMP Table'!$A$2:$C$26,3)*SIGN(S34-S33),"")</f>
        <v/>
      </c>
      <c r="Z34">
        <f>IF(AND(ISNUMBER(S34),ISNUMBER(S35)),VLOOKUP(ABS(S34-S35),'IMP Table'!$A$2:$C$26,3)*SIGN(S34-S35),"")</f>
        <v/>
      </c>
      <c r="AA34">
        <f>IF(AND(ISNUMBER(S34),ISNUMBER(S36)),VLOOKUP(ABS(S34-S36),'IMP Table'!$A$2:$C$26,3)*SIGN(S34-S36),"")</f>
        <v/>
      </c>
      <c r="AB34">
        <f>IF(AND(ISNUMBER(S34),ISNUMBER(S37)),VLOOKUP(ABS(S34-S37),'IMP Table'!$A$2:$C$26,3)*SIGN(S34-S37),"")</f>
        <v/>
      </c>
      <c r="AC34">
        <f>IF(AND(ISNUMBER(S34),ISNUMBER(S38)),VLOOKUP(ABS(S34-S38),'IMP Table'!$A$2:$C$26,3)*SIGN(S34-S38),"")</f>
        <v/>
      </c>
      <c r="AD34">
        <f>IF(AND(ISNUMBER(R34),ISNUMBER(R33)),IF(R34&gt;R33,1,IF(R34=R33,0.5,0)),0.5)</f>
        <v/>
      </c>
      <c r="AE34">
        <f>IF(AND(ISNUMBER(R34),ISNUMBER(R35)),IF(R34&gt;R35,1,IF(R34=R35,0.5,0)),0.5)</f>
        <v/>
      </c>
      <c r="AF34">
        <f>IF(AND(ISNUMBER(R34),ISNUMBER(R36)),IF(R34&gt;R36,1,IF(R34=R36,0.5,0)),0.5)</f>
        <v/>
      </c>
      <c r="AG34">
        <f>IF(AND(ISNUMBER(R34),ISNUMBER(R37)),IF(R34&gt;R37,1,IF(R34=R37,0.5,0)),0.5)</f>
        <v/>
      </c>
      <c r="AH34">
        <f>IF(AND(ISNUMBER(R34),ISNUMBER(R38)),IF(R34&gt;R38,1,IF(R34=R38,0.5,0)),0.5)</f>
        <v/>
      </c>
      <c r="AI34">
        <f>IF(AND(ISNUMBER(S34),ISNUMBER(S33)),IF(S34&gt;S33,1,IF(S34=S33,0.5,0)),0.5)</f>
        <v/>
      </c>
      <c r="AJ34">
        <f>IF(AND(ISNUMBER(S34),ISNUMBER(S35)),IF(S34&gt;S35,1,IF(S34=S35,0.5,0)),0.5)</f>
        <v/>
      </c>
      <c r="AK34">
        <f>IF(AND(ISNUMBER(S34),ISNUMBER(S36)),IF(S34&gt;S36,1,IF(S34=S36,0.5,0)),0.5)</f>
        <v/>
      </c>
      <c r="AL34">
        <f>IF(AND(ISNUMBER(S34),ISNUMBER(S37)),IF(S34&gt;S37,1,IF(S34=S37,0.5,0)),0.5)</f>
        <v/>
      </c>
      <c r="AM34">
        <f>IF(AND(ISNUMBER(S34),ISNUMBER(S38)),IF(S34&gt;S38,1,IF(S34=S38,0.5,0)),0.5)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4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5">
        <f>IFERROR(AVERAGE(T35:X35),"")</f>
        <v/>
      </c>
      <c r="M35" s="4">
        <f>IFERROR(AVERAGE(Y35:AC35),"")</f>
        <v/>
      </c>
      <c r="N35" s="5">
        <f>P35/5</f>
        <v/>
      </c>
      <c r="O35" s="5">
        <f>Q35/5</f>
        <v/>
      </c>
      <c r="P35" s="4">
        <f>IFERROR(SUM(AD35:AH35),"")</f>
        <v/>
      </c>
      <c r="Q35" s="4">
        <f>IFERROR(SUM(AI35:AM35),"")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IF(AND(ISNUMBER(R35),ISNUMBER(R33)),VLOOKUP(ABS(R35-R33),'IMP Table'!$A$2:$C$26,3)*SIGN(R35-R33),"")</f>
        <v/>
      </c>
      <c r="U35">
        <f>IF(AND(ISNUMBER(R35),ISNUMBER(R34)),VLOOKUP(ABS(R35-R34),'IMP Table'!$A$2:$C$26,3)*SIGN(R35-R34),"")</f>
        <v/>
      </c>
      <c r="V35">
        <f>IF(AND(ISNUMBER(R35),ISNUMBER(R36)),VLOOKUP(ABS(R35-R36),'IMP Table'!$A$2:$C$26,3)*SIGN(R35-R36),"")</f>
        <v/>
      </c>
      <c r="W35">
        <f>IF(AND(ISNUMBER(R35),ISNUMBER(R37)),VLOOKUP(ABS(R35-R37),'IMP Table'!$A$2:$C$26,3)*SIGN(R35-R37),"")</f>
        <v/>
      </c>
      <c r="X35">
        <f>IF(AND(ISNUMBER(R35),ISNUMBER(R38)),VLOOKUP(ABS(R35-R38),'IMP Table'!$A$2:$C$26,3)*SIGN(R35-R38),"")</f>
        <v/>
      </c>
      <c r="Y35">
        <f>IF(AND(ISNUMBER(S35),ISNUMBER(S33)),VLOOKUP(ABS(S35-S33),'IMP Table'!$A$2:$C$26,3)*SIGN(S35-S33),"")</f>
        <v/>
      </c>
      <c r="Z35">
        <f>IF(AND(ISNUMBER(S35),ISNUMBER(S34)),VLOOKUP(ABS(S35-S34),'IMP Table'!$A$2:$C$26,3)*SIGN(S35-S34),"")</f>
        <v/>
      </c>
      <c r="AA35">
        <f>IF(AND(ISNUMBER(S35),ISNUMBER(S36)),VLOOKUP(ABS(S35-S36),'IMP Table'!$A$2:$C$26,3)*SIGN(S35-S36),"")</f>
        <v/>
      </c>
      <c r="AB35">
        <f>IF(AND(ISNUMBER(S35),ISNUMBER(S37)),VLOOKUP(ABS(S35-S37),'IMP Table'!$A$2:$C$26,3)*SIGN(S35-S37),"")</f>
        <v/>
      </c>
      <c r="AC35">
        <f>IF(AND(ISNUMBER(S35),ISNUMBER(S38)),VLOOKUP(ABS(S35-S38),'IMP Table'!$A$2:$C$26,3)*SIGN(S35-S38),"")</f>
        <v/>
      </c>
      <c r="AD35">
        <f>IF(AND(ISNUMBER(R35),ISNUMBER(R33)),IF(R35&gt;R33,1,IF(R35=R33,0.5,0)),0.5)</f>
        <v/>
      </c>
      <c r="AE35">
        <f>IF(AND(ISNUMBER(R35),ISNUMBER(R34)),IF(R35&gt;R34,1,IF(R35=R34,0.5,0)),0.5)</f>
        <v/>
      </c>
      <c r="AF35">
        <f>IF(AND(ISNUMBER(R35),ISNUMBER(R36)),IF(R35&gt;R36,1,IF(R35=R36,0.5,0)),0.5)</f>
        <v/>
      </c>
      <c r="AG35">
        <f>IF(AND(ISNUMBER(R35),ISNUMBER(R37)),IF(R35&gt;R37,1,IF(R35=R37,0.5,0)),0.5)</f>
        <v/>
      </c>
      <c r="AH35">
        <f>IF(AND(ISNUMBER(R35),ISNUMBER(R38)),IF(R35&gt;R38,1,IF(R35=R38,0.5,0)),0.5)</f>
        <v/>
      </c>
      <c r="AI35">
        <f>IF(AND(ISNUMBER(S35),ISNUMBER(S33)),IF(S35&gt;S33,1,IF(S35=S33,0.5,0)),0.5)</f>
        <v/>
      </c>
      <c r="AJ35">
        <f>IF(AND(ISNUMBER(S35),ISNUMBER(S34)),IF(S35&gt;S34,1,IF(S35=S34,0.5,0)),0.5)</f>
        <v/>
      </c>
      <c r="AK35">
        <f>IF(AND(ISNUMBER(S35),ISNUMBER(S36)),IF(S35&gt;S36,1,IF(S35=S36,0.5,0)),0.5)</f>
        <v/>
      </c>
      <c r="AL35">
        <f>IF(AND(ISNUMBER(S35),ISNUMBER(S37)),IF(S35&gt;S37,1,IF(S35=S37,0.5,0)),0.5)</f>
        <v/>
      </c>
      <c r="AM35">
        <f>IF(AND(ISNUMBER(S35),ISNUMBER(S38)),IF(S35&gt;S38,1,IF(S35=S38,0.5,0)),0.5)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4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5">
        <f>IFERROR(AVERAGE(T36:X36),"")</f>
        <v/>
      </c>
      <c r="M36" s="4">
        <f>IFERROR(AVERAGE(Y36:AC36),"")</f>
        <v/>
      </c>
      <c r="N36" s="5">
        <f>P36/5</f>
        <v/>
      </c>
      <c r="O36" s="5">
        <f>Q36/5</f>
        <v/>
      </c>
      <c r="P36" s="4">
        <f>IFERROR(SUM(AD36:AH36),"")</f>
        <v/>
      </c>
      <c r="Q36" s="4">
        <f>IFERROR(SUM(AI36:AM36),"")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IF(AND(ISNUMBER(R36),ISNUMBER(R33)),VLOOKUP(ABS(R36-R33),'IMP Table'!$A$2:$C$26,3)*SIGN(R36-R33),"")</f>
        <v/>
      </c>
      <c r="U36">
        <f>IF(AND(ISNUMBER(R36),ISNUMBER(R34)),VLOOKUP(ABS(R36-R34),'IMP Table'!$A$2:$C$26,3)*SIGN(R36-R34),"")</f>
        <v/>
      </c>
      <c r="V36">
        <f>IF(AND(ISNUMBER(R36),ISNUMBER(R35)),VLOOKUP(ABS(R36-R35),'IMP Table'!$A$2:$C$26,3)*SIGN(R36-R35),"")</f>
        <v/>
      </c>
      <c r="W36">
        <f>IF(AND(ISNUMBER(R36),ISNUMBER(R37)),VLOOKUP(ABS(R36-R37),'IMP Table'!$A$2:$C$26,3)*SIGN(R36-R37),"")</f>
        <v/>
      </c>
      <c r="X36">
        <f>IF(AND(ISNUMBER(R36),ISNUMBER(R38)),VLOOKUP(ABS(R36-R38),'IMP Table'!$A$2:$C$26,3)*SIGN(R36-R38),"")</f>
        <v/>
      </c>
      <c r="Y36">
        <f>IF(AND(ISNUMBER(S36),ISNUMBER(S33)),VLOOKUP(ABS(S36-S33),'IMP Table'!$A$2:$C$26,3)*SIGN(S36-S33),"")</f>
        <v/>
      </c>
      <c r="Z36">
        <f>IF(AND(ISNUMBER(S36),ISNUMBER(S34)),VLOOKUP(ABS(S36-S34),'IMP Table'!$A$2:$C$26,3)*SIGN(S36-S34),"")</f>
        <v/>
      </c>
      <c r="AA36">
        <f>IF(AND(ISNUMBER(S36),ISNUMBER(S35)),VLOOKUP(ABS(S36-S35),'IMP Table'!$A$2:$C$26,3)*SIGN(S36-S35),"")</f>
        <v/>
      </c>
      <c r="AB36">
        <f>IF(AND(ISNUMBER(S36),ISNUMBER(S37)),VLOOKUP(ABS(S36-S37),'IMP Table'!$A$2:$C$26,3)*SIGN(S36-S37),"")</f>
        <v/>
      </c>
      <c r="AC36">
        <f>IF(AND(ISNUMBER(S36),ISNUMBER(S38)),VLOOKUP(ABS(S36-S38),'IMP Table'!$A$2:$C$26,3)*SIGN(S36-S38),"")</f>
        <v/>
      </c>
      <c r="AD36">
        <f>IF(AND(ISNUMBER(R36),ISNUMBER(R33)),IF(R36&gt;R33,1,IF(R36=R33,0.5,0)),0.5)</f>
        <v/>
      </c>
      <c r="AE36">
        <f>IF(AND(ISNUMBER(R36),ISNUMBER(R34)),IF(R36&gt;R34,1,IF(R36=R34,0.5,0)),0.5)</f>
        <v/>
      </c>
      <c r="AF36">
        <f>IF(AND(ISNUMBER(R36),ISNUMBER(R35)),IF(R36&gt;R35,1,IF(R36=R35,0.5,0)),0.5)</f>
        <v/>
      </c>
      <c r="AG36">
        <f>IF(AND(ISNUMBER(R36),ISNUMBER(R37)),IF(R36&gt;R37,1,IF(R36=R37,0.5,0)),0.5)</f>
        <v/>
      </c>
      <c r="AH36">
        <f>IF(AND(ISNUMBER(R36),ISNUMBER(R38)),IF(R36&gt;R38,1,IF(R36=R38,0.5,0)),0.5)</f>
        <v/>
      </c>
      <c r="AI36">
        <f>IF(AND(ISNUMBER(S36),ISNUMBER(S33)),IF(S36&gt;S33,1,IF(S36=S33,0.5,0)),0.5)</f>
        <v/>
      </c>
      <c r="AJ36">
        <f>IF(AND(ISNUMBER(S36),ISNUMBER(S34)),IF(S36&gt;S34,1,IF(S36=S34,0.5,0)),0.5)</f>
        <v/>
      </c>
      <c r="AK36">
        <f>IF(AND(ISNUMBER(S36),ISNUMBER(S35)),IF(S36&gt;S35,1,IF(S36=S35,0.5,0)),0.5)</f>
        <v/>
      </c>
      <c r="AL36">
        <f>IF(AND(ISNUMBER(S36),ISNUMBER(S37)),IF(S36&gt;S37,1,IF(S36=S37,0.5,0)),0.5)</f>
        <v/>
      </c>
      <c r="AM36">
        <f>IF(AND(ISNUMBER(S36),ISNUMBER(S38)),IF(S36&gt;S38,1,IF(S36=S38,0.5,0)),0.5)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4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5">
        <f>IFERROR(AVERAGE(T37:X37),"")</f>
        <v/>
      </c>
      <c r="M37" s="4">
        <f>IFERROR(AVERAGE(Y37:AC37),"")</f>
        <v/>
      </c>
      <c r="N37" s="5">
        <f>P37/5</f>
        <v/>
      </c>
      <c r="O37" s="5">
        <f>Q37/5</f>
        <v/>
      </c>
      <c r="P37" s="4">
        <f>IFERROR(SUM(AD37:AH37),"")</f>
        <v/>
      </c>
      <c r="Q37" s="4">
        <f>IFERROR(SUM(AI37:AM37),"")</f>
        <v/>
      </c>
      <c r="R37" s="16">
        <f>IF(ISNUMBER(J37),J37,IF(ISNUMBER(K37),-K37,""))</f>
        <v/>
      </c>
      <c r="S37">
        <f>IF(ISNUMBER(K37),K37,IF(ISNUMBER(J37),-J37,""))</f>
        <v/>
      </c>
      <c r="T37">
        <f>IF(AND(ISNUMBER(R37),ISNUMBER(R33)),VLOOKUP(ABS(R37-R33),'IMP Table'!$A$2:$C$26,3)*SIGN(R37-R33),"")</f>
        <v/>
      </c>
      <c r="U37">
        <f>IF(AND(ISNUMBER(R37),ISNUMBER(R34)),VLOOKUP(ABS(R37-R34),'IMP Table'!$A$2:$C$26,3)*SIGN(R37-R34),"")</f>
        <v/>
      </c>
      <c r="V37">
        <f>IF(AND(ISNUMBER(R37),ISNUMBER(R35)),VLOOKUP(ABS(R37-R35),'IMP Table'!$A$2:$C$26,3)*SIGN(R37-R35),"")</f>
        <v/>
      </c>
      <c r="W37">
        <f>IF(AND(ISNUMBER(R37),ISNUMBER(R36)),VLOOKUP(ABS(R37-R36),'IMP Table'!$A$2:$C$26,3)*SIGN(R37-R36),"")</f>
        <v/>
      </c>
      <c r="X37">
        <f>IF(AND(ISNUMBER(R37),ISNUMBER(R38)),VLOOKUP(ABS(R37-R38),'IMP Table'!$A$2:$C$26,3)*SIGN(R37-R38),"")</f>
        <v/>
      </c>
      <c r="Y37">
        <f>IF(AND(ISNUMBER(S37),ISNUMBER(S33)),VLOOKUP(ABS(S37-S33),'IMP Table'!$A$2:$C$26,3)*SIGN(S37-S33),"")</f>
        <v/>
      </c>
      <c r="Z37">
        <f>IF(AND(ISNUMBER(S37),ISNUMBER(S34)),VLOOKUP(ABS(S37-S34),'IMP Table'!$A$2:$C$26,3)*SIGN(S37-S34),"")</f>
        <v/>
      </c>
      <c r="AA37">
        <f>IF(AND(ISNUMBER(S37),ISNUMBER(S35)),VLOOKUP(ABS(S37-S35),'IMP Table'!$A$2:$C$26,3)*SIGN(S37-S35),"")</f>
        <v/>
      </c>
      <c r="AB37">
        <f>IF(AND(ISNUMBER(S37),ISNUMBER(S36)),VLOOKUP(ABS(S37-S36),'IMP Table'!$A$2:$C$26,3)*SIGN(S37-S36),"")</f>
        <v/>
      </c>
      <c r="AC37">
        <f>IF(AND(ISNUMBER(S37),ISNUMBER(S38)),VLOOKUP(ABS(S37-S38),'IMP Table'!$A$2:$C$26,3)*SIGN(S37-S38),"")</f>
        <v/>
      </c>
      <c r="AD37">
        <f>IF(AND(ISNUMBER(R37),ISNUMBER(R33)),IF(R37&gt;R33,1,IF(R37=R33,0.5,0)),0.5)</f>
        <v/>
      </c>
      <c r="AE37">
        <f>IF(AND(ISNUMBER(R37),ISNUMBER(R34)),IF(R37&gt;R34,1,IF(R37=R34,0.5,0)),0.5)</f>
        <v/>
      </c>
      <c r="AF37">
        <f>IF(AND(ISNUMBER(R37),ISNUMBER(R35)),IF(R37&gt;R35,1,IF(R37=R35,0.5,0)),0.5)</f>
        <v/>
      </c>
      <c r="AG37">
        <f>IF(AND(ISNUMBER(R37),ISNUMBER(R36)),IF(R37&gt;R36,1,IF(R37=R36,0.5,0)),0.5)</f>
        <v/>
      </c>
      <c r="AH37">
        <f>IF(AND(ISNUMBER(R37),ISNUMBER(R38)),IF(R37&gt;R38,1,IF(R37=R38,0.5,0)),0.5)</f>
        <v/>
      </c>
      <c r="AI37">
        <f>IF(AND(ISNUMBER(S37),ISNUMBER(S33)),IF(S37&gt;S33,1,IF(S37=S33,0.5,0)),0.5)</f>
        <v/>
      </c>
      <c r="AJ37">
        <f>IF(AND(ISNUMBER(S37),ISNUMBER(S34)),IF(S37&gt;S34,1,IF(S37=S34,0.5,0)),0.5)</f>
        <v/>
      </c>
      <c r="AK37">
        <f>IF(AND(ISNUMBER(S37),ISNUMBER(S35)),IF(S37&gt;S35,1,IF(S37=S35,0.5,0)),0.5)</f>
        <v/>
      </c>
      <c r="AL37">
        <f>IF(AND(ISNUMBER(S37),ISNUMBER(S36)),IF(S37&gt;S36,1,IF(S37=S36,0.5,0)),0.5)</f>
        <v/>
      </c>
      <c r="AM37">
        <f>IF(AND(ISNUMBER(S37),ISNUMBER(S38)),IF(S37&gt;S38,1,IF(S37=S38,0.5,0)),0.5)</f>
        <v/>
      </c>
    </row>
    <row r="38">
      <c r="A38" s="13" t="n"/>
      <c r="B38" s="13">
        <f>'By Round'!A111</f>
        <v/>
      </c>
      <c r="C38" s="13">
        <f>'By Round'!B113</f>
        <v/>
      </c>
      <c r="D38" s="13">
        <f>'By Round'!C113</f>
        <v/>
      </c>
      <c r="E38" s="13">
        <f>'By Round'!D113</f>
        <v/>
      </c>
      <c r="F38" s="17" t="inlineStr">
        <is>
          <t>EW</t>
        </is>
      </c>
      <c r="G38" s="13">
        <f>IF(ISBLANK('By Round'!G113),"",'By Round'!G113)</f>
        <v/>
      </c>
      <c r="H38" s="13">
        <f>IF(ISBLANK('By Round'!H113),"",'By Round'!H113)</f>
        <v/>
      </c>
      <c r="I38" s="13">
        <f>IF(ISBLANK('By Round'!I113),"",'By Round'!I113)</f>
        <v/>
      </c>
      <c r="J38" s="13">
        <f>IF(ISBLANK('By Round'!J113),"",'By Round'!J113)</f>
        <v/>
      </c>
      <c r="K38" s="13">
        <f>IF(ISBLANK('By Round'!K113),"",'By Round'!K113)</f>
        <v/>
      </c>
      <c r="L38" s="18">
        <f>IFERROR(AVERAGE(T38:X38),"")</f>
        <v/>
      </c>
      <c r="M38" s="19">
        <f>IFERROR(AVERAGE(Y38:AC38),"")</f>
        <v/>
      </c>
      <c r="N38" s="20">
        <f>P38/5</f>
        <v/>
      </c>
      <c r="O38" s="20">
        <f>Q38/5</f>
        <v/>
      </c>
      <c r="P38" s="19">
        <f>IFERROR(SUM(AD38:AH38),"")</f>
        <v/>
      </c>
      <c r="Q38" s="19">
        <f>IFERROR(SUM(AI38:AM38),"")</f>
        <v/>
      </c>
      <c r="R38" s="21">
        <f>IF(ISNUMBER(J38),J38,IF(ISNUMBER(K38),-K38,""))</f>
        <v/>
      </c>
      <c r="S38" s="13">
        <f>IF(ISNUMBER(K38),K38,IF(ISNUMBER(J38),-J38,""))</f>
        <v/>
      </c>
      <c r="T38" s="13">
        <f>IF(AND(ISNUMBER(R38),ISNUMBER(R33)),VLOOKUP(ABS(R38-R33),'IMP Table'!$A$2:$C$26,3)*SIGN(R38-R33),"")</f>
        <v/>
      </c>
      <c r="U38" s="13">
        <f>IF(AND(ISNUMBER(R38),ISNUMBER(R34)),VLOOKUP(ABS(R38-R34),'IMP Table'!$A$2:$C$26,3)*SIGN(R38-R34),"")</f>
        <v/>
      </c>
      <c r="V38" s="13">
        <f>IF(AND(ISNUMBER(R38),ISNUMBER(R35)),VLOOKUP(ABS(R38-R35),'IMP Table'!$A$2:$C$26,3)*SIGN(R38-R35),"")</f>
        <v/>
      </c>
      <c r="W38" s="13">
        <f>IF(AND(ISNUMBER(R38),ISNUMBER(R36)),VLOOKUP(ABS(R38-R36),'IMP Table'!$A$2:$C$26,3)*SIGN(R38-R36),"")</f>
        <v/>
      </c>
      <c r="X38" s="13">
        <f>IF(AND(ISNUMBER(R38),ISNUMBER(R37)),VLOOKUP(ABS(R38-R37),'IMP Table'!$A$2:$C$26,3)*SIGN(R38-R37),"")</f>
        <v/>
      </c>
      <c r="Y38" s="13">
        <f>IF(AND(ISNUMBER(S38),ISNUMBER(S33)),VLOOKUP(ABS(S38-S33),'IMP Table'!$A$2:$C$26,3)*SIGN(S38-S33),"")</f>
        <v/>
      </c>
      <c r="Z38" s="13">
        <f>IF(AND(ISNUMBER(S38),ISNUMBER(S34)),VLOOKUP(ABS(S38-S34),'IMP Table'!$A$2:$C$26,3)*SIGN(S38-S34),"")</f>
        <v/>
      </c>
      <c r="AA38" s="13">
        <f>IF(AND(ISNUMBER(S38),ISNUMBER(S35)),VLOOKUP(ABS(S38-S35),'IMP Table'!$A$2:$C$26,3)*SIGN(S38-S35),"")</f>
        <v/>
      </c>
      <c r="AB38" s="13">
        <f>IF(AND(ISNUMBER(S38),ISNUMBER(S36)),VLOOKUP(ABS(S38-S36),'IMP Table'!$A$2:$C$26,3)*SIGN(S38-S36),"")</f>
        <v/>
      </c>
      <c r="AC38" s="13">
        <f>IF(AND(ISNUMBER(S38),ISNUMBER(S37)),VLOOKUP(ABS(S38-S37),'IMP Table'!$A$2:$C$26,3)*SIGN(S38-S37),"")</f>
        <v/>
      </c>
      <c r="AD38" s="13">
        <f>IF(AND(ISNUMBER(R38),ISNUMBER(R33)),IF(R38&gt;R33,1,IF(R38=R33,0.5,0)),0.5)</f>
        <v/>
      </c>
      <c r="AE38" s="13">
        <f>IF(AND(ISNUMBER(R38),ISNUMBER(R34)),IF(R38&gt;R34,1,IF(R38=R34,0.5,0)),0.5)</f>
        <v/>
      </c>
      <c r="AF38" s="13">
        <f>IF(AND(ISNUMBER(R38),ISNUMBER(R35)),IF(R38&gt;R35,1,IF(R38=R35,0.5,0)),0.5)</f>
        <v/>
      </c>
      <c r="AG38" s="13">
        <f>IF(AND(ISNUMBER(R38),ISNUMBER(R36)),IF(R38&gt;R36,1,IF(R38=R36,0.5,0)),0.5)</f>
        <v/>
      </c>
      <c r="AH38" s="13">
        <f>IF(AND(ISNUMBER(R38),ISNUMBER(R37)),IF(R38&gt;R37,1,IF(R38=R37,0.5,0)),0.5)</f>
        <v/>
      </c>
      <c r="AI38" s="13">
        <f>IF(AND(ISNUMBER(S38),ISNUMBER(S33)),IF(S38&gt;S33,1,IF(S38=S33,0.5,0)),0.5)</f>
        <v/>
      </c>
      <c r="AJ38" s="13">
        <f>IF(AND(ISNUMBER(S38),ISNUMBER(S34)),IF(S38&gt;S34,1,IF(S38=S34,0.5,0)),0.5)</f>
        <v/>
      </c>
      <c r="AK38" s="13">
        <f>IF(AND(ISNUMBER(S38),ISNUMBER(S35)),IF(S38&gt;S35,1,IF(S38=S35,0.5,0)),0.5)</f>
        <v/>
      </c>
      <c r="AL38" s="13">
        <f>IF(AND(ISNUMBER(S38),ISNUMBER(S36)),IF(S38&gt;S36,1,IF(S38=S36,0.5,0)),0.5)</f>
        <v/>
      </c>
      <c r="AM38" s="13">
        <f>IF(AND(ISNUMBER(S38),ISNUMBER(S37)),IF(S38&gt;S37,1,IF(S38=S37,0.5,0)),0.5)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4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5">
        <f>IFERROR(AVERAGE(T39:X39),"")</f>
        <v/>
      </c>
      <c r="M39" s="4">
        <f>IFERROR(AVERAGE(Y39:AC39),"")</f>
        <v/>
      </c>
      <c r="N39" s="5">
        <f>P39/5</f>
        <v/>
      </c>
      <c r="O39" s="5">
        <f>Q39/5</f>
        <v/>
      </c>
      <c r="P39" s="4">
        <f>IFERROR(SUM(AD39:AH39),"")</f>
        <v/>
      </c>
      <c r="Q39" s="4">
        <f>IFERROR(SUM(AI39:AM39),"")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IF(AND(ISNUMBER(R39),ISNUMBER(R40)),VLOOKUP(ABS(R39-R40),'IMP Table'!$A$2:$C$26,3)*SIGN(R39-R40),"")</f>
        <v/>
      </c>
      <c r="U39">
        <f>IF(AND(ISNUMBER(R39),ISNUMBER(R41)),VLOOKUP(ABS(R39-R41),'IMP Table'!$A$2:$C$26,3)*SIGN(R39-R41),"")</f>
        <v/>
      </c>
      <c r="V39">
        <f>IF(AND(ISNUMBER(R39),ISNUMBER(R42)),VLOOKUP(ABS(R39-R42),'IMP Table'!$A$2:$C$26,3)*SIGN(R39-R42),"")</f>
        <v/>
      </c>
      <c r="W39">
        <f>IF(AND(ISNUMBER(R39),ISNUMBER(R43)),VLOOKUP(ABS(R39-R43),'IMP Table'!$A$2:$C$26,3)*SIGN(R39-R43),"")</f>
        <v/>
      </c>
      <c r="X39">
        <f>IF(AND(ISNUMBER(R39),ISNUMBER(R44)),VLOOKUP(ABS(R39-R44),'IMP Table'!$A$2:$C$26,3)*SIGN(R39-R44),"")</f>
        <v/>
      </c>
      <c r="Y39">
        <f>IF(AND(ISNUMBER(S39),ISNUMBER(S40)),VLOOKUP(ABS(S39-S40),'IMP Table'!$A$2:$C$26,3)*SIGN(S39-S40),"")</f>
        <v/>
      </c>
      <c r="Z39">
        <f>IF(AND(ISNUMBER(S39),ISNUMBER(S41)),VLOOKUP(ABS(S39-S41),'IMP Table'!$A$2:$C$26,3)*SIGN(S39-S41),"")</f>
        <v/>
      </c>
      <c r="AA39">
        <f>IF(AND(ISNUMBER(S39),ISNUMBER(S42)),VLOOKUP(ABS(S39-S42),'IMP Table'!$A$2:$C$26,3)*SIGN(S39-S42),"")</f>
        <v/>
      </c>
      <c r="AB39">
        <f>IF(AND(ISNUMBER(S39),ISNUMBER(S43)),VLOOKUP(ABS(S39-S43),'IMP Table'!$A$2:$C$26,3)*SIGN(S39-S43),"")</f>
        <v/>
      </c>
      <c r="AC39">
        <f>IF(AND(ISNUMBER(S39),ISNUMBER(S44)),VLOOKUP(ABS(S39-S44),'IMP Table'!$A$2:$C$26,3)*SIGN(S39-S44),"")</f>
        <v/>
      </c>
      <c r="AD39">
        <f>IF(AND(ISNUMBER(R39),ISNUMBER(R40)),IF(R39&gt;R40,1,IF(R39=R40,0.5,0)),0.5)</f>
        <v/>
      </c>
      <c r="AE39">
        <f>IF(AND(ISNUMBER(R39),ISNUMBER(R41)),IF(R39&gt;R41,1,IF(R39=R41,0.5,0)),0.5)</f>
        <v/>
      </c>
      <c r="AF39">
        <f>IF(AND(ISNUMBER(R39),ISNUMBER(R42)),IF(R39&gt;R42,1,IF(R39=R42,0.5,0)),0.5)</f>
        <v/>
      </c>
      <c r="AG39">
        <f>IF(AND(ISNUMBER(R39),ISNUMBER(R43)),IF(R39&gt;R43,1,IF(R39=R43,0.5,0)),0.5)</f>
        <v/>
      </c>
      <c r="AH39">
        <f>IF(AND(ISNUMBER(R39),ISNUMBER(R44)),IF(R39&gt;R44,1,IF(R39=R44,0.5,0)),0.5)</f>
        <v/>
      </c>
      <c r="AI39">
        <f>IF(AND(ISNUMBER(S39),ISNUMBER(S40)),IF(S39&gt;S40,1,IF(S39=S40,0.5,0)),0.5)</f>
        <v/>
      </c>
      <c r="AJ39">
        <f>IF(AND(ISNUMBER(S39),ISNUMBER(S41)),IF(S39&gt;S41,1,IF(S39=S41,0.5,0)),0.5)</f>
        <v/>
      </c>
      <c r="AK39">
        <f>IF(AND(ISNUMBER(S39),ISNUMBER(S42)),IF(S39&gt;S42,1,IF(S39=S42,0.5,0)),0.5)</f>
        <v/>
      </c>
      <c r="AL39">
        <f>IF(AND(ISNUMBER(S39),ISNUMBER(S43)),IF(S39&gt;S43,1,IF(S39=S43,0.5,0)),0.5)</f>
        <v/>
      </c>
      <c r="AM39">
        <f>IF(AND(ISNUMBER(S39),ISNUMBER(S44)),IF(S39&gt;S44,1,IF(S39=S44,0.5,0)),0.5)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4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5">
        <f>IFERROR(AVERAGE(T40:X40),"")</f>
        <v/>
      </c>
      <c r="M40" s="4">
        <f>IFERROR(AVERAGE(Y40:AC40),"")</f>
        <v/>
      </c>
      <c r="N40" s="5">
        <f>P40/5</f>
        <v/>
      </c>
      <c r="O40" s="5">
        <f>Q40/5</f>
        <v/>
      </c>
      <c r="P40" s="4">
        <f>IFERROR(SUM(AD40:AH40),"")</f>
        <v/>
      </c>
      <c r="Q40" s="4">
        <f>IFERROR(SUM(AI40:AM40),"")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IF(AND(ISNUMBER(R40),ISNUMBER(R39)),VLOOKUP(ABS(R40-R39),'IMP Table'!$A$2:$C$26,3)*SIGN(R40-R39),"")</f>
        <v/>
      </c>
      <c r="U40">
        <f>IF(AND(ISNUMBER(R40),ISNUMBER(R41)),VLOOKUP(ABS(R40-R41),'IMP Table'!$A$2:$C$26,3)*SIGN(R40-R41),"")</f>
        <v/>
      </c>
      <c r="V40">
        <f>IF(AND(ISNUMBER(R40),ISNUMBER(R42)),VLOOKUP(ABS(R40-R42),'IMP Table'!$A$2:$C$26,3)*SIGN(R40-R42),"")</f>
        <v/>
      </c>
      <c r="W40">
        <f>IF(AND(ISNUMBER(R40),ISNUMBER(R43)),VLOOKUP(ABS(R40-R43),'IMP Table'!$A$2:$C$26,3)*SIGN(R40-R43),"")</f>
        <v/>
      </c>
      <c r="X40">
        <f>IF(AND(ISNUMBER(R40),ISNUMBER(R44)),VLOOKUP(ABS(R40-R44),'IMP Table'!$A$2:$C$26,3)*SIGN(R40-R44),"")</f>
        <v/>
      </c>
      <c r="Y40">
        <f>IF(AND(ISNUMBER(S40),ISNUMBER(S39)),VLOOKUP(ABS(S40-S39),'IMP Table'!$A$2:$C$26,3)*SIGN(S40-S39),"")</f>
        <v/>
      </c>
      <c r="Z40">
        <f>IF(AND(ISNUMBER(S40),ISNUMBER(S41)),VLOOKUP(ABS(S40-S41),'IMP Table'!$A$2:$C$26,3)*SIGN(S40-S41),"")</f>
        <v/>
      </c>
      <c r="AA40">
        <f>IF(AND(ISNUMBER(S40),ISNUMBER(S42)),VLOOKUP(ABS(S40-S42),'IMP Table'!$A$2:$C$26,3)*SIGN(S40-S42),"")</f>
        <v/>
      </c>
      <c r="AB40">
        <f>IF(AND(ISNUMBER(S40),ISNUMBER(S43)),VLOOKUP(ABS(S40-S43),'IMP Table'!$A$2:$C$26,3)*SIGN(S40-S43),"")</f>
        <v/>
      </c>
      <c r="AC40">
        <f>IF(AND(ISNUMBER(S40),ISNUMBER(S44)),VLOOKUP(ABS(S40-S44),'IMP Table'!$A$2:$C$26,3)*SIGN(S40-S44),"")</f>
        <v/>
      </c>
      <c r="AD40">
        <f>IF(AND(ISNUMBER(R40),ISNUMBER(R39)),IF(R40&gt;R39,1,IF(R40=R39,0.5,0)),0.5)</f>
        <v/>
      </c>
      <c r="AE40">
        <f>IF(AND(ISNUMBER(R40),ISNUMBER(R41)),IF(R40&gt;R41,1,IF(R40=R41,0.5,0)),0.5)</f>
        <v/>
      </c>
      <c r="AF40">
        <f>IF(AND(ISNUMBER(R40),ISNUMBER(R42)),IF(R40&gt;R42,1,IF(R40=R42,0.5,0)),0.5)</f>
        <v/>
      </c>
      <c r="AG40">
        <f>IF(AND(ISNUMBER(R40),ISNUMBER(R43)),IF(R40&gt;R43,1,IF(R40=R43,0.5,0)),0.5)</f>
        <v/>
      </c>
      <c r="AH40">
        <f>IF(AND(ISNUMBER(R40),ISNUMBER(R44)),IF(R40&gt;R44,1,IF(R40=R44,0.5,0)),0.5)</f>
        <v/>
      </c>
      <c r="AI40">
        <f>IF(AND(ISNUMBER(S40),ISNUMBER(S39)),IF(S40&gt;S39,1,IF(S40=S39,0.5,0)),0.5)</f>
        <v/>
      </c>
      <c r="AJ40">
        <f>IF(AND(ISNUMBER(S40),ISNUMBER(S41)),IF(S40&gt;S41,1,IF(S40=S41,0.5,0)),0.5)</f>
        <v/>
      </c>
      <c r="AK40">
        <f>IF(AND(ISNUMBER(S40),ISNUMBER(S42)),IF(S40&gt;S42,1,IF(S40=S42,0.5,0)),0.5)</f>
        <v/>
      </c>
      <c r="AL40">
        <f>IF(AND(ISNUMBER(S40),ISNUMBER(S43)),IF(S40&gt;S43,1,IF(S40=S43,0.5,0)),0.5)</f>
        <v/>
      </c>
      <c r="AM40">
        <f>IF(AND(ISNUMBER(S40),ISNUMBER(S44)),IF(S40&gt;S44,1,IF(S40=S44,0.5,0)),0.5)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4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5">
        <f>IFERROR(AVERAGE(T41:X41),"")</f>
        <v/>
      </c>
      <c r="M41" s="4">
        <f>IFERROR(AVERAGE(Y41:AC41),"")</f>
        <v/>
      </c>
      <c r="N41" s="5">
        <f>P41/5</f>
        <v/>
      </c>
      <c r="O41" s="5">
        <f>Q41/5</f>
        <v/>
      </c>
      <c r="P41" s="4">
        <f>IFERROR(SUM(AD41:AH41),"")</f>
        <v/>
      </c>
      <c r="Q41" s="4">
        <f>IFERROR(SUM(AI41:AM41),"")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IF(AND(ISNUMBER(R41),ISNUMBER(R39)),VLOOKUP(ABS(R41-R39),'IMP Table'!$A$2:$C$26,3)*SIGN(R41-R39),"")</f>
        <v/>
      </c>
      <c r="U41">
        <f>IF(AND(ISNUMBER(R41),ISNUMBER(R40)),VLOOKUP(ABS(R41-R40),'IMP Table'!$A$2:$C$26,3)*SIGN(R41-R40),"")</f>
        <v/>
      </c>
      <c r="V41">
        <f>IF(AND(ISNUMBER(R41),ISNUMBER(R42)),VLOOKUP(ABS(R41-R42),'IMP Table'!$A$2:$C$26,3)*SIGN(R41-R42),"")</f>
        <v/>
      </c>
      <c r="W41">
        <f>IF(AND(ISNUMBER(R41),ISNUMBER(R43)),VLOOKUP(ABS(R41-R43),'IMP Table'!$A$2:$C$26,3)*SIGN(R41-R43),"")</f>
        <v/>
      </c>
      <c r="X41">
        <f>IF(AND(ISNUMBER(R41),ISNUMBER(R44)),VLOOKUP(ABS(R41-R44),'IMP Table'!$A$2:$C$26,3)*SIGN(R41-R44),"")</f>
        <v/>
      </c>
      <c r="Y41">
        <f>IF(AND(ISNUMBER(S41),ISNUMBER(S39)),VLOOKUP(ABS(S41-S39),'IMP Table'!$A$2:$C$26,3)*SIGN(S41-S39),"")</f>
        <v/>
      </c>
      <c r="Z41">
        <f>IF(AND(ISNUMBER(S41),ISNUMBER(S40)),VLOOKUP(ABS(S41-S40),'IMP Table'!$A$2:$C$26,3)*SIGN(S41-S40),"")</f>
        <v/>
      </c>
      <c r="AA41">
        <f>IF(AND(ISNUMBER(S41),ISNUMBER(S42)),VLOOKUP(ABS(S41-S42),'IMP Table'!$A$2:$C$26,3)*SIGN(S41-S42),"")</f>
        <v/>
      </c>
      <c r="AB41">
        <f>IF(AND(ISNUMBER(S41),ISNUMBER(S43)),VLOOKUP(ABS(S41-S43),'IMP Table'!$A$2:$C$26,3)*SIGN(S41-S43),"")</f>
        <v/>
      </c>
      <c r="AC41">
        <f>IF(AND(ISNUMBER(S41),ISNUMBER(S44)),VLOOKUP(ABS(S41-S44),'IMP Table'!$A$2:$C$26,3)*SIGN(S41-S44),"")</f>
        <v/>
      </c>
      <c r="AD41">
        <f>IF(AND(ISNUMBER(R41),ISNUMBER(R39)),IF(R41&gt;R39,1,IF(R41=R39,0.5,0)),0.5)</f>
        <v/>
      </c>
      <c r="AE41">
        <f>IF(AND(ISNUMBER(R41),ISNUMBER(R40)),IF(R41&gt;R40,1,IF(R41=R40,0.5,0)),0.5)</f>
        <v/>
      </c>
      <c r="AF41">
        <f>IF(AND(ISNUMBER(R41),ISNUMBER(R42)),IF(R41&gt;R42,1,IF(R41=R42,0.5,0)),0.5)</f>
        <v/>
      </c>
      <c r="AG41">
        <f>IF(AND(ISNUMBER(R41),ISNUMBER(R43)),IF(R41&gt;R43,1,IF(R41=R43,0.5,0)),0.5)</f>
        <v/>
      </c>
      <c r="AH41">
        <f>IF(AND(ISNUMBER(R41),ISNUMBER(R44)),IF(R41&gt;R44,1,IF(R41=R44,0.5,0)),0.5)</f>
        <v/>
      </c>
      <c r="AI41">
        <f>IF(AND(ISNUMBER(S41),ISNUMBER(S39)),IF(S41&gt;S39,1,IF(S41=S39,0.5,0)),0.5)</f>
        <v/>
      </c>
      <c r="AJ41">
        <f>IF(AND(ISNUMBER(S41),ISNUMBER(S40)),IF(S41&gt;S40,1,IF(S41=S40,0.5,0)),0.5)</f>
        <v/>
      </c>
      <c r="AK41">
        <f>IF(AND(ISNUMBER(S41),ISNUMBER(S42)),IF(S41&gt;S42,1,IF(S41=S42,0.5,0)),0.5)</f>
        <v/>
      </c>
      <c r="AL41">
        <f>IF(AND(ISNUMBER(S41),ISNUMBER(S43)),IF(S41&gt;S43,1,IF(S41=S43,0.5,0)),0.5)</f>
        <v/>
      </c>
      <c r="AM41">
        <f>IF(AND(ISNUMBER(S41),ISNUMBER(S44)),IF(S41&gt;S44,1,IF(S41=S44,0.5,0)),0.5)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4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5">
        <f>IFERROR(AVERAGE(T42:X42),"")</f>
        <v/>
      </c>
      <c r="M42" s="4">
        <f>IFERROR(AVERAGE(Y42:AC42),"")</f>
        <v/>
      </c>
      <c r="N42" s="5">
        <f>P42/5</f>
        <v/>
      </c>
      <c r="O42" s="5">
        <f>Q42/5</f>
        <v/>
      </c>
      <c r="P42" s="4">
        <f>IFERROR(SUM(AD42:AH42),"")</f>
        <v/>
      </c>
      <c r="Q42" s="4">
        <f>IFERROR(SUM(AI42:AM42),"")</f>
        <v/>
      </c>
      <c r="R42" s="16">
        <f>IF(ISNUMBER(J42),J42,IF(ISNUMBER(K42),-K42,""))</f>
        <v/>
      </c>
      <c r="S42">
        <f>IF(ISNUMBER(K42),K42,IF(ISNUMBER(J42),-J42,""))</f>
        <v/>
      </c>
      <c r="T42">
        <f>IF(AND(ISNUMBER(R42),ISNUMBER(R39)),VLOOKUP(ABS(R42-R39),'IMP Table'!$A$2:$C$26,3)*SIGN(R42-R39),"")</f>
        <v/>
      </c>
      <c r="U42">
        <f>IF(AND(ISNUMBER(R42),ISNUMBER(R40)),VLOOKUP(ABS(R42-R40),'IMP Table'!$A$2:$C$26,3)*SIGN(R42-R40),"")</f>
        <v/>
      </c>
      <c r="V42">
        <f>IF(AND(ISNUMBER(R42),ISNUMBER(R41)),VLOOKUP(ABS(R42-R41),'IMP Table'!$A$2:$C$26,3)*SIGN(R42-R41),"")</f>
        <v/>
      </c>
      <c r="W42">
        <f>IF(AND(ISNUMBER(R42),ISNUMBER(R43)),VLOOKUP(ABS(R42-R43),'IMP Table'!$A$2:$C$26,3)*SIGN(R42-R43),"")</f>
        <v/>
      </c>
      <c r="X42">
        <f>IF(AND(ISNUMBER(R42),ISNUMBER(R44)),VLOOKUP(ABS(R42-R44),'IMP Table'!$A$2:$C$26,3)*SIGN(R42-R44),"")</f>
        <v/>
      </c>
      <c r="Y42">
        <f>IF(AND(ISNUMBER(S42),ISNUMBER(S39)),VLOOKUP(ABS(S42-S39),'IMP Table'!$A$2:$C$26,3)*SIGN(S42-S39),"")</f>
        <v/>
      </c>
      <c r="Z42">
        <f>IF(AND(ISNUMBER(S42),ISNUMBER(S40)),VLOOKUP(ABS(S42-S40),'IMP Table'!$A$2:$C$26,3)*SIGN(S42-S40),"")</f>
        <v/>
      </c>
      <c r="AA42">
        <f>IF(AND(ISNUMBER(S42),ISNUMBER(S41)),VLOOKUP(ABS(S42-S41),'IMP Table'!$A$2:$C$26,3)*SIGN(S42-S41),"")</f>
        <v/>
      </c>
      <c r="AB42">
        <f>IF(AND(ISNUMBER(S42),ISNUMBER(S43)),VLOOKUP(ABS(S42-S43),'IMP Table'!$A$2:$C$26,3)*SIGN(S42-S43),"")</f>
        <v/>
      </c>
      <c r="AC42">
        <f>IF(AND(ISNUMBER(S42),ISNUMBER(S44)),VLOOKUP(ABS(S42-S44),'IMP Table'!$A$2:$C$26,3)*SIGN(S42-S44),"")</f>
        <v/>
      </c>
      <c r="AD42">
        <f>IF(AND(ISNUMBER(R42),ISNUMBER(R39)),IF(R42&gt;R39,1,IF(R42=R39,0.5,0)),0.5)</f>
        <v/>
      </c>
      <c r="AE42">
        <f>IF(AND(ISNUMBER(R42),ISNUMBER(R40)),IF(R42&gt;R40,1,IF(R42=R40,0.5,0)),0.5)</f>
        <v/>
      </c>
      <c r="AF42">
        <f>IF(AND(ISNUMBER(R42),ISNUMBER(R41)),IF(R42&gt;R41,1,IF(R42=R41,0.5,0)),0.5)</f>
        <v/>
      </c>
      <c r="AG42">
        <f>IF(AND(ISNUMBER(R42),ISNUMBER(R43)),IF(R42&gt;R43,1,IF(R42=R43,0.5,0)),0.5)</f>
        <v/>
      </c>
      <c r="AH42">
        <f>IF(AND(ISNUMBER(R42),ISNUMBER(R44)),IF(R42&gt;R44,1,IF(R42=R44,0.5,0)),0.5)</f>
        <v/>
      </c>
      <c r="AI42">
        <f>IF(AND(ISNUMBER(S42),ISNUMBER(S39)),IF(S42&gt;S39,1,IF(S42=S39,0.5,0)),0.5)</f>
        <v/>
      </c>
      <c r="AJ42">
        <f>IF(AND(ISNUMBER(S42),ISNUMBER(S40)),IF(S42&gt;S40,1,IF(S42=S40,0.5,0)),0.5)</f>
        <v/>
      </c>
      <c r="AK42">
        <f>IF(AND(ISNUMBER(S42),ISNUMBER(S41)),IF(S42&gt;S41,1,IF(S42=S41,0.5,0)),0.5)</f>
        <v/>
      </c>
      <c r="AL42">
        <f>IF(AND(ISNUMBER(S42),ISNUMBER(S43)),IF(S42&gt;S43,1,IF(S42=S43,0.5,0)),0.5)</f>
        <v/>
      </c>
      <c r="AM42">
        <f>IF(AND(ISNUMBER(S42),ISNUMBER(S44)),IF(S42&gt;S44,1,IF(S42=S44,0.5,0)),0.5)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4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5">
        <f>IFERROR(AVERAGE(T43:X43),"")</f>
        <v/>
      </c>
      <c r="M43" s="4">
        <f>IFERROR(AVERAGE(Y43:AC43),"")</f>
        <v/>
      </c>
      <c r="N43" s="5">
        <f>P43/5</f>
        <v/>
      </c>
      <c r="O43" s="5">
        <f>Q43/5</f>
        <v/>
      </c>
      <c r="P43" s="4">
        <f>IFERROR(SUM(AD43:AH43),"")</f>
        <v/>
      </c>
      <c r="Q43" s="4">
        <f>IFERROR(SUM(AI43:AM43),"")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IF(AND(ISNUMBER(R43),ISNUMBER(R39)),VLOOKUP(ABS(R43-R39),'IMP Table'!$A$2:$C$26,3)*SIGN(R43-R39),"")</f>
        <v/>
      </c>
      <c r="U43">
        <f>IF(AND(ISNUMBER(R43),ISNUMBER(R40)),VLOOKUP(ABS(R43-R40),'IMP Table'!$A$2:$C$26,3)*SIGN(R43-R40),"")</f>
        <v/>
      </c>
      <c r="V43">
        <f>IF(AND(ISNUMBER(R43),ISNUMBER(R41)),VLOOKUP(ABS(R43-R41),'IMP Table'!$A$2:$C$26,3)*SIGN(R43-R41),"")</f>
        <v/>
      </c>
      <c r="W43">
        <f>IF(AND(ISNUMBER(R43),ISNUMBER(R42)),VLOOKUP(ABS(R43-R42),'IMP Table'!$A$2:$C$26,3)*SIGN(R43-R42),"")</f>
        <v/>
      </c>
      <c r="X43">
        <f>IF(AND(ISNUMBER(R43),ISNUMBER(R44)),VLOOKUP(ABS(R43-R44),'IMP Table'!$A$2:$C$26,3)*SIGN(R43-R44),"")</f>
        <v/>
      </c>
      <c r="Y43">
        <f>IF(AND(ISNUMBER(S43),ISNUMBER(S39)),VLOOKUP(ABS(S43-S39),'IMP Table'!$A$2:$C$26,3)*SIGN(S43-S39),"")</f>
        <v/>
      </c>
      <c r="Z43">
        <f>IF(AND(ISNUMBER(S43),ISNUMBER(S40)),VLOOKUP(ABS(S43-S40),'IMP Table'!$A$2:$C$26,3)*SIGN(S43-S40),"")</f>
        <v/>
      </c>
      <c r="AA43">
        <f>IF(AND(ISNUMBER(S43),ISNUMBER(S41)),VLOOKUP(ABS(S43-S41),'IMP Table'!$A$2:$C$26,3)*SIGN(S43-S41),"")</f>
        <v/>
      </c>
      <c r="AB43">
        <f>IF(AND(ISNUMBER(S43),ISNUMBER(S42)),VLOOKUP(ABS(S43-S42),'IMP Table'!$A$2:$C$26,3)*SIGN(S43-S42),"")</f>
        <v/>
      </c>
      <c r="AC43">
        <f>IF(AND(ISNUMBER(S43),ISNUMBER(S44)),VLOOKUP(ABS(S43-S44),'IMP Table'!$A$2:$C$26,3)*SIGN(S43-S44),"")</f>
        <v/>
      </c>
      <c r="AD43">
        <f>IF(AND(ISNUMBER(R43),ISNUMBER(R39)),IF(R43&gt;R39,1,IF(R43=R39,0.5,0)),0.5)</f>
        <v/>
      </c>
      <c r="AE43">
        <f>IF(AND(ISNUMBER(R43),ISNUMBER(R40)),IF(R43&gt;R40,1,IF(R43=R40,0.5,0)),0.5)</f>
        <v/>
      </c>
      <c r="AF43">
        <f>IF(AND(ISNUMBER(R43),ISNUMBER(R41)),IF(R43&gt;R41,1,IF(R43=R41,0.5,0)),0.5)</f>
        <v/>
      </c>
      <c r="AG43">
        <f>IF(AND(ISNUMBER(R43),ISNUMBER(R42)),IF(R43&gt;R42,1,IF(R43=R42,0.5,0)),0.5)</f>
        <v/>
      </c>
      <c r="AH43">
        <f>IF(AND(ISNUMBER(R43),ISNUMBER(R44)),IF(R43&gt;R44,1,IF(R43=R44,0.5,0)),0.5)</f>
        <v/>
      </c>
      <c r="AI43">
        <f>IF(AND(ISNUMBER(S43),ISNUMBER(S39)),IF(S43&gt;S39,1,IF(S43=S39,0.5,0)),0.5)</f>
        <v/>
      </c>
      <c r="AJ43">
        <f>IF(AND(ISNUMBER(S43),ISNUMBER(S40)),IF(S43&gt;S40,1,IF(S43=S40,0.5,0)),0.5)</f>
        <v/>
      </c>
      <c r="AK43">
        <f>IF(AND(ISNUMBER(S43),ISNUMBER(S41)),IF(S43&gt;S41,1,IF(S43=S41,0.5,0)),0.5)</f>
        <v/>
      </c>
      <c r="AL43">
        <f>IF(AND(ISNUMBER(S43),ISNUMBER(S42)),IF(S43&gt;S42,1,IF(S43=S42,0.5,0)),0.5)</f>
        <v/>
      </c>
      <c r="AM43">
        <f>IF(AND(ISNUMBER(S43),ISNUMBER(S44)),IF(S43&gt;S44,1,IF(S43=S44,0.5,0)),0.5)</f>
        <v/>
      </c>
    </row>
    <row r="44">
      <c r="A44" s="13" t="n"/>
      <c r="B44" s="13">
        <f>'By Round'!A123</f>
        <v/>
      </c>
      <c r="C44" s="13">
        <f>'By Round'!B125</f>
        <v/>
      </c>
      <c r="D44" s="13">
        <f>'By Round'!C125</f>
        <v/>
      </c>
      <c r="E44" s="13">
        <f>'By Round'!D125</f>
        <v/>
      </c>
      <c r="F44" s="17" t="inlineStr">
        <is>
          <t>Both</t>
        </is>
      </c>
      <c r="G44" s="13">
        <f>IF(ISBLANK('By Round'!G125),"",'By Round'!G125)</f>
        <v/>
      </c>
      <c r="H44" s="13">
        <f>IF(ISBLANK('By Round'!H125),"",'By Round'!H125)</f>
        <v/>
      </c>
      <c r="I44" s="13">
        <f>IF(ISBLANK('By Round'!I125),"",'By Round'!I125)</f>
        <v/>
      </c>
      <c r="J44" s="13">
        <f>IF(ISBLANK('By Round'!J125),"",'By Round'!J125)</f>
        <v/>
      </c>
      <c r="K44" s="13">
        <f>IF(ISBLANK('By Round'!K125),"",'By Round'!K125)</f>
        <v/>
      </c>
      <c r="L44" s="18">
        <f>IFERROR(AVERAGE(T44:X44),"")</f>
        <v/>
      </c>
      <c r="M44" s="19">
        <f>IFERROR(AVERAGE(Y44:AC44),"")</f>
        <v/>
      </c>
      <c r="N44" s="20">
        <f>P44/5</f>
        <v/>
      </c>
      <c r="O44" s="20">
        <f>Q44/5</f>
        <v/>
      </c>
      <c r="P44" s="19">
        <f>IFERROR(SUM(AD44:AH44),"")</f>
        <v/>
      </c>
      <c r="Q44" s="19">
        <f>IFERROR(SUM(AI44:AM44),"")</f>
        <v/>
      </c>
      <c r="R44" s="21">
        <f>IF(ISNUMBER(J44),J44,IF(ISNUMBER(K44),-K44,""))</f>
        <v/>
      </c>
      <c r="S44" s="13">
        <f>IF(ISNUMBER(K44),K44,IF(ISNUMBER(J44),-J44,""))</f>
        <v/>
      </c>
      <c r="T44" s="13">
        <f>IF(AND(ISNUMBER(R44),ISNUMBER(R39)),VLOOKUP(ABS(R44-R39),'IMP Table'!$A$2:$C$26,3)*SIGN(R44-R39),"")</f>
        <v/>
      </c>
      <c r="U44" s="13">
        <f>IF(AND(ISNUMBER(R44),ISNUMBER(R40)),VLOOKUP(ABS(R44-R40),'IMP Table'!$A$2:$C$26,3)*SIGN(R44-R40),"")</f>
        <v/>
      </c>
      <c r="V44" s="13">
        <f>IF(AND(ISNUMBER(R44),ISNUMBER(R41)),VLOOKUP(ABS(R44-R41),'IMP Table'!$A$2:$C$26,3)*SIGN(R44-R41),"")</f>
        <v/>
      </c>
      <c r="W44" s="13">
        <f>IF(AND(ISNUMBER(R44),ISNUMBER(R42)),VLOOKUP(ABS(R44-R42),'IMP Table'!$A$2:$C$26,3)*SIGN(R44-R42),"")</f>
        <v/>
      </c>
      <c r="X44" s="13">
        <f>IF(AND(ISNUMBER(R44),ISNUMBER(R43)),VLOOKUP(ABS(R44-R43),'IMP Table'!$A$2:$C$26,3)*SIGN(R44-R43),"")</f>
        <v/>
      </c>
      <c r="Y44" s="13">
        <f>IF(AND(ISNUMBER(S44),ISNUMBER(S39)),VLOOKUP(ABS(S44-S39),'IMP Table'!$A$2:$C$26,3)*SIGN(S44-S39),"")</f>
        <v/>
      </c>
      <c r="Z44" s="13">
        <f>IF(AND(ISNUMBER(S44),ISNUMBER(S40)),VLOOKUP(ABS(S44-S40),'IMP Table'!$A$2:$C$26,3)*SIGN(S44-S40),"")</f>
        <v/>
      </c>
      <c r="AA44" s="13">
        <f>IF(AND(ISNUMBER(S44),ISNUMBER(S41)),VLOOKUP(ABS(S44-S41),'IMP Table'!$A$2:$C$26,3)*SIGN(S44-S41),"")</f>
        <v/>
      </c>
      <c r="AB44" s="13">
        <f>IF(AND(ISNUMBER(S44),ISNUMBER(S42)),VLOOKUP(ABS(S44-S42),'IMP Table'!$A$2:$C$26,3)*SIGN(S44-S42),"")</f>
        <v/>
      </c>
      <c r="AC44" s="13">
        <f>IF(AND(ISNUMBER(S44),ISNUMBER(S43)),VLOOKUP(ABS(S44-S43),'IMP Table'!$A$2:$C$26,3)*SIGN(S44-S43),"")</f>
        <v/>
      </c>
      <c r="AD44" s="13">
        <f>IF(AND(ISNUMBER(R44),ISNUMBER(R39)),IF(R44&gt;R39,1,IF(R44=R39,0.5,0)),0.5)</f>
        <v/>
      </c>
      <c r="AE44" s="13">
        <f>IF(AND(ISNUMBER(R44),ISNUMBER(R40)),IF(R44&gt;R40,1,IF(R44=R40,0.5,0)),0.5)</f>
        <v/>
      </c>
      <c r="AF44" s="13">
        <f>IF(AND(ISNUMBER(R44),ISNUMBER(R41)),IF(R44&gt;R41,1,IF(R44=R41,0.5,0)),0.5)</f>
        <v/>
      </c>
      <c r="AG44" s="13">
        <f>IF(AND(ISNUMBER(R44),ISNUMBER(R42)),IF(R44&gt;R42,1,IF(R44=R42,0.5,0)),0.5)</f>
        <v/>
      </c>
      <c r="AH44" s="13">
        <f>IF(AND(ISNUMBER(R44),ISNUMBER(R43)),IF(R44&gt;R43,1,IF(R44=R43,0.5,0)),0.5)</f>
        <v/>
      </c>
      <c r="AI44" s="13">
        <f>IF(AND(ISNUMBER(S44),ISNUMBER(S39)),IF(S44&gt;S39,1,IF(S44=S39,0.5,0)),0.5)</f>
        <v/>
      </c>
      <c r="AJ44" s="13">
        <f>IF(AND(ISNUMBER(S44),ISNUMBER(S40)),IF(S44&gt;S40,1,IF(S44=S40,0.5,0)),0.5)</f>
        <v/>
      </c>
      <c r="AK44" s="13">
        <f>IF(AND(ISNUMBER(S44),ISNUMBER(S41)),IF(S44&gt;S41,1,IF(S44=S41,0.5,0)),0.5)</f>
        <v/>
      </c>
      <c r="AL44" s="13">
        <f>IF(AND(ISNUMBER(S44),ISNUMBER(S42)),IF(S44&gt;S42,1,IF(S44=S42,0.5,0)),0.5)</f>
        <v/>
      </c>
      <c r="AM44" s="13">
        <f>IF(AND(ISNUMBER(S44),ISNUMBER(S43)),IF(S44&gt;S43,1,IF(S44=S43,0.5,0)),0.5)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4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5">
        <f>IFERROR(AVERAGE(T45:X45),"")</f>
        <v/>
      </c>
      <c r="M45" s="4">
        <f>IFERROR(AVERAGE(Y45:AC45),"")</f>
        <v/>
      </c>
      <c r="N45" s="5">
        <f>P45/5</f>
        <v/>
      </c>
      <c r="O45" s="5">
        <f>Q45/5</f>
        <v/>
      </c>
      <c r="P45" s="4">
        <f>IFERROR(SUM(AD45:AH45),"")</f>
        <v/>
      </c>
      <c r="Q45" s="4">
        <f>IFERROR(SUM(AI45:AM45),"")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IF(AND(ISNUMBER(R45),ISNUMBER(R46)),VLOOKUP(ABS(R45-R46),'IMP Table'!$A$2:$C$26,3)*SIGN(R45-R46),"")</f>
        <v/>
      </c>
      <c r="U45">
        <f>IF(AND(ISNUMBER(R45),ISNUMBER(R47)),VLOOKUP(ABS(R45-R47),'IMP Table'!$A$2:$C$26,3)*SIGN(R45-R47),"")</f>
        <v/>
      </c>
      <c r="V45">
        <f>IF(AND(ISNUMBER(R45),ISNUMBER(R48)),VLOOKUP(ABS(R45-R48),'IMP Table'!$A$2:$C$26,3)*SIGN(R45-R48),"")</f>
        <v/>
      </c>
      <c r="W45">
        <f>IF(AND(ISNUMBER(R45),ISNUMBER(R49)),VLOOKUP(ABS(R45-R49),'IMP Table'!$A$2:$C$26,3)*SIGN(R45-R49),"")</f>
        <v/>
      </c>
      <c r="X45">
        <f>IF(AND(ISNUMBER(R45),ISNUMBER(R50)),VLOOKUP(ABS(R45-R50),'IMP Table'!$A$2:$C$26,3)*SIGN(R45-R50),"")</f>
        <v/>
      </c>
      <c r="Y45">
        <f>IF(AND(ISNUMBER(S45),ISNUMBER(S46)),VLOOKUP(ABS(S45-S46),'IMP Table'!$A$2:$C$26,3)*SIGN(S45-S46),"")</f>
        <v/>
      </c>
      <c r="Z45">
        <f>IF(AND(ISNUMBER(S45),ISNUMBER(S47)),VLOOKUP(ABS(S45-S47),'IMP Table'!$A$2:$C$26,3)*SIGN(S45-S47),"")</f>
        <v/>
      </c>
      <c r="AA45">
        <f>IF(AND(ISNUMBER(S45),ISNUMBER(S48)),VLOOKUP(ABS(S45-S48),'IMP Table'!$A$2:$C$26,3)*SIGN(S45-S48),"")</f>
        <v/>
      </c>
      <c r="AB45">
        <f>IF(AND(ISNUMBER(S45),ISNUMBER(S49)),VLOOKUP(ABS(S45-S49),'IMP Table'!$A$2:$C$26,3)*SIGN(S45-S49),"")</f>
        <v/>
      </c>
      <c r="AC45">
        <f>IF(AND(ISNUMBER(S45),ISNUMBER(S50)),VLOOKUP(ABS(S45-S50),'IMP Table'!$A$2:$C$26,3)*SIGN(S45-S50),"")</f>
        <v/>
      </c>
      <c r="AD45">
        <f>IF(AND(ISNUMBER(R45),ISNUMBER(R46)),IF(R45&gt;R46,1,IF(R45=R46,0.5,0)),0.5)</f>
        <v/>
      </c>
      <c r="AE45">
        <f>IF(AND(ISNUMBER(R45),ISNUMBER(R47)),IF(R45&gt;R47,1,IF(R45=R47,0.5,0)),0.5)</f>
        <v/>
      </c>
      <c r="AF45">
        <f>IF(AND(ISNUMBER(R45),ISNUMBER(R48)),IF(R45&gt;R48,1,IF(R45=R48,0.5,0)),0.5)</f>
        <v/>
      </c>
      <c r="AG45">
        <f>IF(AND(ISNUMBER(R45),ISNUMBER(R49)),IF(R45&gt;R49,1,IF(R45=R49,0.5,0)),0.5)</f>
        <v/>
      </c>
      <c r="AH45">
        <f>IF(AND(ISNUMBER(R45),ISNUMBER(R50)),IF(R45&gt;R50,1,IF(R45=R50,0.5,0)),0.5)</f>
        <v/>
      </c>
      <c r="AI45">
        <f>IF(AND(ISNUMBER(S45),ISNUMBER(S46)),IF(S45&gt;S46,1,IF(S45=S46,0.5,0)),0.5)</f>
        <v/>
      </c>
      <c r="AJ45">
        <f>IF(AND(ISNUMBER(S45),ISNUMBER(S47)),IF(S45&gt;S47,1,IF(S45=S47,0.5,0)),0.5)</f>
        <v/>
      </c>
      <c r="AK45">
        <f>IF(AND(ISNUMBER(S45),ISNUMBER(S48)),IF(S45&gt;S48,1,IF(S45=S48,0.5,0)),0.5)</f>
        <v/>
      </c>
      <c r="AL45">
        <f>IF(AND(ISNUMBER(S45),ISNUMBER(S49)),IF(S45&gt;S49,1,IF(S45=S49,0.5,0)),0.5)</f>
        <v/>
      </c>
      <c r="AM45">
        <f>IF(AND(ISNUMBER(S45),ISNUMBER(S50)),IF(S45&gt;S50,1,IF(S45=S50,0.5,0)),0.5)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4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5">
        <f>IFERROR(AVERAGE(T46:X46),"")</f>
        <v/>
      </c>
      <c r="M46" s="4">
        <f>IFERROR(AVERAGE(Y46:AC46),"")</f>
        <v/>
      </c>
      <c r="N46" s="5">
        <f>P46/5</f>
        <v/>
      </c>
      <c r="O46" s="5">
        <f>Q46/5</f>
        <v/>
      </c>
      <c r="P46" s="4">
        <f>IFERROR(SUM(AD46:AH46),"")</f>
        <v/>
      </c>
      <c r="Q46" s="4">
        <f>IFERROR(SUM(AI46:AM46),"")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IF(AND(ISNUMBER(R46),ISNUMBER(R45)),VLOOKUP(ABS(R46-R45),'IMP Table'!$A$2:$C$26,3)*SIGN(R46-R45),"")</f>
        <v/>
      </c>
      <c r="U46">
        <f>IF(AND(ISNUMBER(R46),ISNUMBER(R47)),VLOOKUP(ABS(R46-R47),'IMP Table'!$A$2:$C$26,3)*SIGN(R46-R47),"")</f>
        <v/>
      </c>
      <c r="V46">
        <f>IF(AND(ISNUMBER(R46),ISNUMBER(R48)),VLOOKUP(ABS(R46-R48),'IMP Table'!$A$2:$C$26,3)*SIGN(R46-R48),"")</f>
        <v/>
      </c>
      <c r="W46">
        <f>IF(AND(ISNUMBER(R46),ISNUMBER(R49)),VLOOKUP(ABS(R46-R49),'IMP Table'!$A$2:$C$26,3)*SIGN(R46-R49),"")</f>
        <v/>
      </c>
      <c r="X46">
        <f>IF(AND(ISNUMBER(R46),ISNUMBER(R50)),VLOOKUP(ABS(R46-R50),'IMP Table'!$A$2:$C$26,3)*SIGN(R46-R50),"")</f>
        <v/>
      </c>
      <c r="Y46">
        <f>IF(AND(ISNUMBER(S46),ISNUMBER(S45)),VLOOKUP(ABS(S46-S45),'IMP Table'!$A$2:$C$26,3)*SIGN(S46-S45),"")</f>
        <v/>
      </c>
      <c r="Z46">
        <f>IF(AND(ISNUMBER(S46),ISNUMBER(S47)),VLOOKUP(ABS(S46-S47),'IMP Table'!$A$2:$C$26,3)*SIGN(S46-S47),"")</f>
        <v/>
      </c>
      <c r="AA46">
        <f>IF(AND(ISNUMBER(S46),ISNUMBER(S48)),VLOOKUP(ABS(S46-S48),'IMP Table'!$A$2:$C$26,3)*SIGN(S46-S48),"")</f>
        <v/>
      </c>
      <c r="AB46">
        <f>IF(AND(ISNUMBER(S46),ISNUMBER(S49)),VLOOKUP(ABS(S46-S49),'IMP Table'!$A$2:$C$26,3)*SIGN(S46-S49),"")</f>
        <v/>
      </c>
      <c r="AC46">
        <f>IF(AND(ISNUMBER(S46),ISNUMBER(S50)),VLOOKUP(ABS(S46-S50),'IMP Table'!$A$2:$C$26,3)*SIGN(S46-S50),"")</f>
        <v/>
      </c>
      <c r="AD46">
        <f>IF(AND(ISNUMBER(R46),ISNUMBER(R45)),IF(R46&gt;R45,1,IF(R46=R45,0.5,0)),0.5)</f>
        <v/>
      </c>
      <c r="AE46">
        <f>IF(AND(ISNUMBER(R46),ISNUMBER(R47)),IF(R46&gt;R47,1,IF(R46=R47,0.5,0)),0.5)</f>
        <v/>
      </c>
      <c r="AF46">
        <f>IF(AND(ISNUMBER(R46),ISNUMBER(R48)),IF(R46&gt;R48,1,IF(R46=R48,0.5,0)),0.5)</f>
        <v/>
      </c>
      <c r="AG46">
        <f>IF(AND(ISNUMBER(R46),ISNUMBER(R49)),IF(R46&gt;R49,1,IF(R46=R49,0.5,0)),0.5)</f>
        <v/>
      </c>
      <c r="AH46">
        <f>IF(AND(ISNUMBER(R46),ISNUMBER(R50)),IF(R46&gt;R50,1,IF(R46=R50,0.5,0)),0.5)</f>
        <v/>
      </c>
      <c r="AI46">
        <f>IF(AND(ISNUMBER(S46),ISNUMBER(S45)),IF(S46&gt;S45,1,IF(S46=S45,0.5,0)),0.5)</f>
        <v/>
      </c>
      <c r="AJ46">
        <f>IF(AND(ISNUMBER(S46),ISNUMBER(S47)),IF(S46&gt;S47,1,IF(S46=S47,0.5,0)),0.5)</f>
        <v/>
      </c>
      <c r="AK46">
        <f>IF(AND(ISNUMBER(S46),ISNUMBER(S48)),IF(S46&gt;S48,1,IF(S46=S48,0.5,0)),0.5)</f>
        <v/>
      </c>
      <c r="AL46">
        <f>IF(AND(ISNUMBER(S46),ISNUMBER(S49)),IF(S46&gt;S49,1,IF(S46=S49,0.5,0)),0.5)</f>
        <v/>
      </c>
      <c r="AM46">
        <f>IF(AND(ISNUMBER(S46),ISNUMBER(S50)),IF(S46&gt;S50,1,IF(S46=S50,0.5,0)),0.5)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4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5">
        <f>IFERROR(AVERAGE(T47:X47),"")</f>
        <v/>
      </c>
      <c r="M47" s="4">
        <f>IFERROR(AVERAGE(Y47:AC47),"")</f>
        <v/>
      </c>
      <c r="N47" s="5">
        <f>P47/5</f>
        <v/>
      </c>
      <c r="O47" s="5">
        <f>Q47/5</f>
        <v/>
      </c>
      <c r="P47" s="4">
        <f>IFERROR(SUM(AD47:AH47),"")</f>
        <v/>
      </c>
      <c r="Q47" s="4">
        <f>IFERROR(SUM(AI47:AM47),"")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IF(AND(ISNUMBER(R47),ISNUMBER(R45)),VLOOKUP(ABS(R47-R45),'IMP Table'!$A$2:$C$26,3)*SIGN(R47-R45),"")</f>
        <v/>
      </c>
      <c r="U47">
        <f>IF(AND(ISNUMBER(R47),ISNUMBER(R46)),VLOOKUP(ABS(R47-R46),'IMP Table'!$A$2:$C$26,3)*SIGN(R47-R46),"")</f>
        <v/>
      </c>
      <c r="V47">
        <f>IF(AND(ISNUMBER(R47),ISNUMBER(R48)),VLOOKUP(ABS(R47-R48),'IMP Table'!$A$2:$C$26,3)*SIGN(R47-R48),"")</f>
        <v/>
      </c>
      <c r="W47">
        <f>IF(AND(ISNUMBER(R47),ISNUMBER(R49)),VLOOKUP(ABS(R47-R49),'IMP Table'!$A$2:$C$26,3)*SIGN(R47-R49),"")</f>
        <v/>
      </c>
      <c r="X47">
        <f>IF(AND(ISNUMBER(R47),ISNUMBER(R50)),VLOOKUP(ABS(R47-R50),'IMP Table'!$A$2:$C$26,3)*SIGN(R47-R50),"")</f>
        <v/>
      </c>
      <c r="Y47">
        <f>IF(AND(ISNUMBER(S47),ISNUMBER(S45)),VLOOKUP(ABS(S47-S45),'IMP Table'!$A$2:$C$26,3)*SIGN(S47-S45),"")</f>
        <v/>
      </c>
      <c r="Z47">
        <f>IF(AND(ISNUMBER(S47),ISNUMBER(S46)),VLOOKUP(ABS(S47-S46),'IMP Table'!$A$2:$C$26,3)*SIGN(S47-S46),"")</f>
        <v/>
      </c>
      <c r="AA47">
        <f>IF(AND(ISNUMBER(S47),ISNUMBER(S48)),VLOOKUP(ABS(S47-S48),'IMP Table'!$A$2:$C$26,3)*SIGN(S47-S48),"")</f>
        <v/>
      </c>
      <c r="AB47">
        <f>IF(AND(ISNUMBER(S47),ISNUMBER(S49)),VLOOKUP(ABS(S47-S49),'IMP Table'!$A$2:$C$26,3)*SIGN(S47-S49),"")</f>
        <v/>
      </c>
      <c r="AC47">
        <f>IF(AND(ISNUMBER(S47),ISNUMBER(S50)),VLOOKUP(ABS(S47-S50),'IMP Table'!$A$2:$C$26,3)*SIGN(S47-S50),"")</f>
        <v/>
      </c>
      <c r="AD47">
        <f>IF(AND(ISNUMBER(R47),ISNUMBER(R45)),IF(R47&gt;R45,1,IF(R47=R45,0.5,0)),0.5)</f>
        <v/>
      </c>
      <c r="AE47">
        <f>IF(AND(ISNUMBER(R47),ISNUMBER(R46)),IF(R47&gt;R46,1,IF(R47=R46,0.5,0)),0.5)</f>
        <v/>
      </c>
      <c r="AF47">
        <f>IF(AND(ISNUMBER(R47),ISNUMBER(R48)),IF(R47&gt;R48,1,IF(R47=R48,0.5,0)),0.5)</f>
        <v/>
      </c>
      <c r="AG47">
        <f>IF(AND(ISNUMBER(R47),ISNUMBER(R49)),IF(R47&gt;R49,1,IF(R47=R49,0.5,0)),0.5)</f>
        <v/>
      </c>
      <c r="AH47">
        <f>IF(AND(ISNUMBER(R47),ISNUMBER(R50)),IF(R47&gt;R50,1,IF(R47=R50,0.5,0)),0.5)</f>
        <v/>
      </c>
      <c r="AI47">
        <f>IF(AND(ISNUMBER(S47),ISNUMBER(S45)),IF(S47&gt;S45,1,IF(S47=S45,0.5,0)),0.5)</f>
        <v/>
      </c>
      <c r="AJ47">
        <f>IF(AND(ISNUMBER(S47),ISNUMBER(S46)),IF(S47&gt;S46,1,IF(S47=S46,0.5,0)),0.5)</f>
        <v/>
      </c>
      <c r="AK47">
        <f>IF(AND(ISNUMBER(S47),ISNUMBER(S48)),IF(S47&gt;S48,1,IF(S47=S48,0.5,0)),0.5)</f>
        <v/>
      </c>
      <c r="AL47">
        <f>IF(AND(ISNUMBER(S47),ISNUMBER(S49)),IF(S47&gt;S49,1,IF(S47=S49,0.5,0)),0.5)</f>
        <v/>
      </c>
      <c r="AM47">
        <f>IF(AND(ISNUMBER(S47),ISNUMBER(S50)),IF(S47&gt;S50,1,IF(S47=S50,0.5,0)),0.5)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4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5">
        <f>IFERROR(AVERAGE(T48:X48),"")</f>
        <v/>
      </c>
      <c r="M48" s="4">
        <f>IFERROR(AVERAGE(Y48:AC48),"")</f>
        <v/>
      </c>
      <c r="N48" s="5">
        <f>P48/5</f>
        <v/>
      </c>
      <c r="O48" s="5">
        <f>Q48/5</f>
        <v/>
      </c>
      <c r="P48" s="4">
        <f>IFERROR(SUM(AD48:AH48),"")</f>
        <v/>
      </c>
      <c r="Q48" s="4">
        <f>IFERROR(SUM(AI48:AM48),"")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IF(AND(ISNUMBER(R48),ISNUMBER(R45)),VLOOKUP(ABS(R48-R45),'IMP Table'!$A$2:$C$26,3)*SIGN(R48-R45),"")</f>
        <v/>
      </c>
      <c r="U48">
        <f>IF(AND(ISNUMBER(R48),ISNUMBER(R46)),VLOOKUP(ABS(R48-R46),'IMP Table'!$A$2:$C$26,3)*SIGN(R48-R46),"")</f>
        <v/>
      </c>
      <c r="V48">
        <f>IF(AND(ISNUMBER(R48),ISNUMBER(R47)),VLOOKUP(ABS(R48-R47),'IMP Table'!$A$2:$C$26,3)*SIGN(R48-R47),"")</f>
        <v/>
      </c>
      <c r="W48">
        <f>IF(AND(ISNUMBER(R48),ISNUMBER(R49)),VLOOKUP(ABS(R48-R49),'IMP Table'!$A$2:$C$26,3)*SIGN(R48-R49),"")</f>
        <v/>
      </c>
      <c r="X48">
        <f>IF(AND(ISNUMBER(R48),ISNUMBER(R50)),VLOOKUP(ABS(R48-R50),'IMP Table'!$A$2:$C$26,3)*SIGN(R48-R50),"")</f>
        <v/>
      </c>
      <c r="Y48">
        <f>IF(AND(ISNUMBER(S48),ISNUMBER(S45)),VLOOKUP(ABS(S48-S45),'IMP Table'!$A$2:$C$26,3)*SIGN(S48-S45),"")</f>
        <v/>
      </c>
      <c r="Z48">
        <f>IF(AND(ISNUMBER(S48),ISNUMBER(S46)),VLOOKUP(ABS(S48-S46),'IMP Table'!$A$2:$C$26,3)*SIGN(S48-S46),"")</f>
        <v/>
      </c>
      <c r="AA48">
        <f>IF(AND(ISNUMBER(S48),ISNUMBER(S47)),VLOOKUP(ABS(S48-S47),'IMP Table'!$A$2:$C$26,3)*SIGN(S48-S47),"")</f>
        <v/>
      </c>
      <c r="AB48">
        <f>IF(AND(ISNUMBER(S48),ISNUMBER(S49)),VLOOKUP(ABS(S48-S49),'IMP Table'!$A$2:$C$26,3)*SIGN(S48-S49),"")</f>
        <v/>
      </c>
      <c r="AC48">
        <f>IF(AND(ISNUMBER(S48),ISNUMBER(S50)),VLOOKUP(ABS(S48-S50),'IMP Table'!$A$2:$C$26,3)*SIGN(S48-S50),"")</f>
        <v/>
      </c>
      <c r="AD48">
        <f>IF(AND(ISNUMBER(R48),ISNUMBER(R45)),IF(R48&gt;R45,1,IF(R48=R45,0.5,0)),0.5)</f>
        <v/>
      </c>
      <c r="AE48">
        <f>IF(AND(ISNUMBER(R48),ISNUMBER(R46)),IF(R48&gt;R46,1,IF(R48=R46,0.5,0)),0.5)</f>
        <v/>
      </c>
      <c r="AF48">
        <f>IF(AND(ISNUMBER(R48),ISNUMBER(R47)),IF(R48&gt;R47,1,IF(R48=R47,0.5,0)),0.5)</f>
        <v/>
      </c>
      <c r="AG48">
        <f>IF(AND(ISNUMBER(R48),ISNUMBER(R49)),IF(R48&gt;R49,1,IF(R48=R49,0.5,0)),0.5)</f>
        <v/>
      </c>
      <c r="AH48">
        <f>IF(AND(ISNUMBER(R48),ISNUMBER(R50)),IF(R48&gt;R50,1,IF(R48=R50,0.5,0)),0.5)</f>
        <v/>
      </c>
      <c r="AI48">
        <f>IF(AND(ISNUMBER(S48),ISNUMBER(S45)),IF(S48&gt;S45,1,IF(S48=S45,0.5,0)),0.5)</f>
        <v/>
      </c>
      <c r="AJ48">
        <f>IF(AND(ISNUMBER(S48),ISNUMBER(S46)),IF(S48&gt;S46,1,IF(S48=S46,0.5,0)),0.5)</f>
        <v/>
      </c>
      <c r="AK48">
        <f>IF(AND(ISNUMBER(S48),ISNUMBER(S47)),IF(S48&gt;S47,1,IF(S48=S47,0.5,0)),0.5)</f>
        <v/>
      </c>
      <c r="AL48">
        <f>IF(AND(ISNUMBER(S48),ISNUMBER(S49)),IF(S48&gt;S49,1,IF(S48=S49,0.5,0)),0.5)</f>
        <v/>
      </c>
      <c r="AM48">
        <f>IF(AND(ISNUMBER(S48),ISNUMBER(S50)),IF(S48&gt;S50,1,IF(S48=S50,0.5,0)),0.5)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4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5">
        <f>IFERROR(AVERAGE(T49:X49),"")</f>
        <v/>
      </c>
      <c r="M49" s="4">
        <f>IFERROR(AVERAGE(Y49:AC49),"")</f>
        <v/>
      </c>
      <c r="N49" s="5">
        <f>P49/5</f>
        <v/>
      </c>
      <c r="O49" s="5">
        <f>Q49/5</f>
        <v/>
      </c>
      <c r="P49" s="4">
        <f>IFERROR(SUM(AD49:AH49),"")</f>
        <v/>
      </c>
      <c r="Q49" s="4">
        <f>IFERROR(SUM(AI49:AM49),"")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IF(AND(ISNUMBER(R49),ISNUMBER(R45)),VLOOKUP(ABS(R49-R45),'IMP Table'!$A$2:$C$26,3)*SIGN(R49-R45),"")</f>
        <v/>
      </c>
      <c r="U49">
        <f>IF(AND(ISNUMBER(R49),ISNUMBER(R46)),VLOOKUP(ABS(R49-R46),'IMP Table'!$A$2:$C$26,3)*SIGN(R49-R46),"")</f>
        <v/>
      </c>
      <c r="V49">
        <f>IF(AND(ISNUMBER(R49),ISNUMBER(R47)),VLOOKUP(ABS(R49-R47),'IMP Table'!$A$2:$C$26,3)*SIGN(R49-R47),"")</f>
        <v/>
      </c>
      <c r="W49">
        <f>IF(AND(ISNUMBER(R49),ISNUMBER(R48)),VLOOKUP(ABS(R49-R48),'IMP Table'!$A$2:$C$26,3)*SIGN(R49-R48),"")</f>
        <v/>
      </c>
      <c r="X49">
        <f>IF(AND(ISNUMBER(R49),ISNUMBER(R50)),VLOOKUP(ABS(R49-R50),'IMP Table'!$A$2:$C$26,3)*SIGN(R49-R50),"")</f>
        <v/>
      </c>
      <c r="Y49">
        <f>IF(AND(ISNUMBER(S49),ISNUMBER(S45)),VLOOKUP(ABS(S49-S45),'IMP Table'!$A$2:$C$26,3)*SIGN(S49-S45),"")</f>
        <v/>
      </c>
      <c r="Z49">
        <f>IF(AND(ISNUMBER(S49),ISNUMBER(S46)),VLOOKUP(ABS(S49-S46),'IMP Table'!$A$2:$C$26,3)*SIGN(S49-S46),"")</f>
        <v/>
      </c>
      <c r="AA49">
        <f>IF(AND(ISNUMBER(S49),ISNUMBER(S47)),VLOOKUP(ABS(S49-S47),'IMP Table'!$A$2:$C$26,3)*SIGN(S49-S47),"")</f>
        <v/>
      </c>
      <c r="AB49">
        <f>IF(AND(ISNUMBER(S49),ISNUMBER(S48)),VLOOKUP(ABS(S49-S48),'IMP Table'!$A$2:$C$26,3)*SIGN(S49-S48),"")</f>
        <v/>
      </c>
      <c r="AC49">
        <f>IF(AND(ISNUMBER(S49),ISNUMBER(S50)),VLOOKUP(ABS(S49-S50),'IMP Table'!$A$2:$C$26,3)*SIGN(S49-S50),"")</f>
        <v/>
      </c>
      <c r="AD49">
        <f>IF(AND(ISNUMBER(R49),ISNUMBER(R45)),IF(R49&gt;R45,1,IF(R49=R45,0.5,0)),0.5)</f>
        <v/>
      </c>
      <c r="AE49">
        <f>IF(AND(ISNUMBER(R49),ISNUMBER(R46)),IF(R49&gt;R46,1,IF(R49=R46,0.5,0)),0.5)</f>
        <v/>
      </c>
      <c r="AF49">
        <f>IF(AND(ISNUMBER(R49),ISNUMBER(R47)),IF(R49&gt;R47,1,IF(R49=R47,0.5,0)),0.5)</f>
        <v/>
      </c>
      <c r="AG49">
        <f>IF(AND(ISNUMBER(R49),ISNUMBER(R48)),IF(R49&gt;R48,1,IF(R49=R48,0.5,0)),0.5)</f>
        <v/>
      </c>
      <c r="AH49">
        <f>IF(AND(ISNUMBER(R49),ISNUMBER(R50)),IF(R49&gt;R50,1,IF(R49=R50,0.5,0)),0.5)</f>
        <v/>
      </c>
      <c r="AI49">
        <f>IF(AND(ISNUMBER(S49),ISNUMBER(S45)),IF(S49&gt;S45,1,IF(S49=S45,0.5,0)),0.5)</f>
        <v/>
      </c>
      <c r="AJ49">
        <f>IF(AND(ISNUMBER(S49),ISNUMBER(S46)),IF(S49&gt;S46,1,IF(S49=S46,0.5,0)),0.5)</f>
        <v/>
      </c>
      <c r="AK49">
        <f>IF(AND(ISNUMBER(S49),ISNUMBER(S47)),IF(S49&gt;S47,1,IF(S49=S47,0.5,0)),0.5)</f>
        <v/>
      </c>
      <c r="AL49">
        <f>IF(AND(ISNUMBER(S49),ISNUMBER(S48)),IF(S49&gt;S48,1,IF(S49=S48,0.5,0)),0.5)</f>
        <v/>
      </c>
      <c r="AM49">
        <f>IF(AND(ISNUMBER(S49),ISNUMBER(S50)),IF(S49&gt;S50,1,IF(S49=S50,0.5,0)),0.5)</f>
        <v/>
      </c>
    </row>
    <row r="50">
      <c r="A50" s="13" t="n"/>
      <c r="B50" s="13">
        <f>'By Round'!A123</f>
        <v/>
      </c>
      <c r="C50" s="13">
        <f>'By Round'!B125</f>
        <v/>
      </c>
      <c r="D50" s="13">
        <f>'By Round'!C125</f>
        <v/>
      </c>
      <c r="E50" s="13">
        <f>'By Round'!D125</f>
        <v/>
      </c>
      <c r="F50" s="17" t="inlineStr">
        <is>
          <t>None</t>
        </is>
      </c>
      <c r="G50" s="13">
        <f>IF(ISBLANK('By Round'!G125),"",'By Round'!G125)</f>
        <v/>
      </c>
      <c r="H50" s="13">
        <f>IF(ISBLANK('By Round'!H125),"",'By Round'!H125)</f>
        <v/>
      </c>
      <c r="I50" s="13">
        <f>IF(ISBLANK('By Round'!I125),"",'By Round'!I125)</f>
        <v/>
      </c>
      <c r="J50" s="13">
        <f>IF(ISBLANK('By Round'!J125),"",'By Round'!J125)</f>
        <v/>
      </c>
      <c r="K50" s="13">
        <f>IF(ISBLANK('By Round'!K125),"",'By Round'!K125)</f>
        <v/>
      </c>
      <c r="L50" s="18">
        <f>IFERROR(AVERAGE(T50:X50),"")</f>
        <v/>
      </c>
      <c r="M50" s="19">
        <f>IFERROR(AVERAGE(Y50:AC50),"")</f>
        <v/>
      </c>
      <c r="N50" s="20">
        <f>P50/5</f>
        <v/>
      </c>
      <c r="O50" s="20">
        <f>Q50/5</f>
        <v/>
      </c>
      <c r="P50" s="19">
        <f>IFERROR(SUM(AD50:AH50),"")</f>
        <v/>
      </c>
      <c r="Q50" s="19">
        <f>IFERROR(SUM(AI50:AM50),"")</f>
        <v/>
      </c>
      <c r="R50" s="21">
        <f>IF(ISNUMBER(J50),J50,IF(ISNUMBER(K50),-K50,""))</f>
        <v/>
      </c>
      <c r="S50" s="13">
        <f>IF(ISNUMBER(K50),K50,IF(ISNUMBER(J50),-J50,""))</f>
        <v/>
      </c>
      <c r="T50" s="13">
        <f>IF(AND(ISNUMBER(R50),ISNUMBER(R45)),VLOOKUP(ABS(R50-R45),'IMP Table'!$A$2:$C$26,3)*SIGN(R50-R45),"")</f>
        <v/>
      </c>
      <c r="U50" s="13">
        <f>IF(AND(ISNUMBER(R50),ISNUMBER(R46)),VLOOKUP(ABS(R50-R46),'IMP Table'!$A$2:$C$26,3)*SIGN(R50-R46),"")</f>
        <v/>
      </c>
      <c r="V50" s="13">
        <f>IF(AND(ISNUMBER(R50),ISNUMBER(R47)),VLOOKUP(ABS(R50-R47),'IMP Table'!$A$2:$C$26,3)*SIGN(R50-R47),"")</f>
        <v/>
      </c>
      <c r="W50" s="13">
        <f>IF(AND(ISNUMBER(R50),ISNUMBER(R48)),VLOOKUP(ABS(R50-R48),'IMP Table'!$A$2:$C$26,3)*SIGN(R50-R48),"")</f>
        <v/>
      </c>
      <c r="X50" s="13">
        <f>IF(AND(ISNUMBER(R50),ISNUMBER(R49)),VLOOKUP(ABS(R50-R49),'IMP Table'!$A$2:$C$26,3)*SIGN(R50-R49),"")</f>
        <v/>
      </c>
      <c r="Y50" s="13">
        <f>IF(AND(ISNUMBER(S50),ISNUMBER(S45)),VLOOKUP(ABS(S50-S45),'IMP Table'!$A$2:$C$26,3)*SIGN(S50-S45),"")</f>
        <v/>
      </c>
      <c r="Z50" s="13">
        <f>IF(AND(ISNUMBER(S50),ISNUMBER(S46)),VLOOKUP(ABS(S50-S46),'IMP Table'!$A$2:$C$26,3)*SIGN(S50-S46),"")</f>
        <v/>
      </c>
      <c r="AA50" s="13">
        <f>IF(AND(ISNUMBER(S50),ISNUMBER(S47)),VLOOKUP(ABS(S50-S47),'IMP Table'!$A$2:$C$26,3)*SIGN(S50-S47),"")</f>
        <v/>
      </c>
      <c r="AB50" s="13">
        <f>IF(AND(ISNUMBER(S50),ISNUMBER(S48)),VLOOKUP(ABS(S50-S48),'IMP Table'!$A$2:$C$26,3)*SIGN(S50-S48),"")</f>
        <v/>
      </c>
      <c r="AC50" s="13">
        <f>IF(AND(ISNUMBER(S50),ISNUMBER(S49)),VLOOKUP(ABS(S50-S49),'IMP Table'!$A$2:$C$26,3)*SIGN(S50-S49),"")</f>
        <v/>
      </c>
      <c r="AD50" s="13">
        <f>IF(AND(ISNUMBER(R50),ISNUMBER(R45)),IF(R50&gt;R45,1,IF(R50=R45,0.5,0)),0.5)</f>
        <v/>
      </c>
      <c r="AE50" s="13">
        <f>IF(AND(ISNUMBER(R50),ISNUMBER(R46)),IF(R50&gt;R46,1,IF(R50=R46,0.5,0)),0.5)</f>
        <v/>
      </c>
      <c r="AF50" s="13">
        <f>IF(AND(ISNUMBER(R50),ISNUMBER(R47)),IF(R50&gt;R47,1,IF(R50=R47,0.5,0)),0.5)</f>
        <v/>
      </c>
      <c r="AG50" s="13">
        <f>IF(AND(ISNUMBER(R50),ISNUMBER(R48)),IF(R50&gt;R48,1,IF(R50=R48,0.5,0)),0.5)</f>
        <v/>
      </c>
      <c r="AH50" s="13">
        <f>IF(AND(ISNUMBER(R50),ISNUMBER(R49)),IF(R50&gt;R49,1,IF(R50=R49,0.5,0)),0.5)</f>
        <v/>
      </c>
      <c r="AI50" s="13">
        <f>IF(AND(ISNUMBER(S50),ISNUMBER(S45)),IF(S50&gt;S45,1,IF(S50=S45,0.5,0)),0.5)</f>
        <v/>
      </c>
      <c r="AJ50" s="13">
        <f>IF(AND(ISNUMBER(S50),ISNUMBER(S46)),IF(S50&gt;S46,1,IF(S50=S46,0.5,0)),0.5)</f>
        <v/>
      </c>
      <c r="AK50" s="13">
        <f>IF(AND(ISNUMBER(S50),ISNUMBER(S47)),IF(S50&gt;S47,1,IF(S50=S47,0.5,0)),0.5)</f>
        <v/>
      </c>
      <c r="AL50" s="13">
        <f>IF(AND(ISNUMBER(S50),ISNUMBER(S48)),IF(S50&gt;S48,1,IF(S50=S48,0.5,0)),0.5)</f>
        <v/>
      </c>
      <c r="AM50" s="13">
        <f>IF(AND(ISNUMBER(S50),ISNUMBER(S49)),IF(S50&gt;S49,1,IF(S50=S49,0.5,0)),0.5)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4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5">
        <f>IFERROR(AVERAGE(T51:X51),"")</f>
        <v/>
      </c>
      <c r="M51" s="4">
        <f>IFERROR(AVERAGE(Y51:AC51),"")</f>
        <v/>
      </c>
      <c r="N51" s="5">
        <f>P51/5</f>
        <v/>
      </c>
      <c r="O51" s="5">
        <f>Q51/5</f>
        <v/>
      </c>
      <c r="P51" s="4">
        <f>IFERROR(SUM(AD51:AH51),"")</f>
        <v/>
      </c>
      <c r="Q51" s="4">
        <f>IFERROR(SUM(AI51:AM51),"")</f>
        <v/>
      </c>
      <c r="R51" s="16">
        <f>IF(ISNUMBER(J51),J51,IF(ISNUMBER(K51),-K51,""))</f>
        <v/>
      </c>
      <c r="S51">
        <f>IF(ISNUMBER(K51),K51,IF(ISNUMBER(J51),-J51,""))</f>
        <v/>
      </c>
      <c r="T51">
        <f>IF(AND(ISNUMBER(R51),ISNUMBER(R52)),VLOOKUP(ABS(R51-R52),'IMP Table'!$A$2:$C$26,3)*SIGN(R51-R52),"")</f>
        <v/>
      </c>
      <c r="U51">
        <f>IF(AND(ISNUMBER(R51),ISNUMBER(R53)),VLOOKUP(ABS(R51-R53),'IMP Table'!$A$2:$C$26,3)*SIGN(R51-R53),"")</f>
        <v/>
      </c>
      <c r="V51">
        <f>IF(AND(ISNUMBER(R51),ISNUMBER(R54)),VLOOKUP(ABS(R51-R54),'IMP Table'!$A$2:$C$26,3)*SIGN(R51-R54),"")</f>
        <v/>
      </c>
      <c r="W51">
        <f>IF(AND(ISNUMBER(R51),ISNUMBER(R55)),VLOOKUP(ABS(R51-R55),'IMP Table'!$A$2:$C$26,3)*SIGN(R51-R55),"")</f>
        <v/>
      </c>
      <c r="X51">
        <f>IF(AND(ISNUMBER(R51),ISNUMBER(R56)),VLOOKUP(ABS(R51-R56),'IMP Table'!$A$2:$C$26,3)*SIGN(R51-R56),"")</f>
        <v/>
      </c>
      <c r="Y51">
        <f>IF(AND(ISNUMBER(S51),ISNUMBER(S52)),VLOOKUP(ABS(S51-S52),'IMP Table'!$A$2:$C$26,3)*SIGN(S51-S52),"")</f>
        <v/>
      </c>
      <c r="Z51">
        <f>IF(AND(ISNUMBER(S51),ISNUMBER(S53)),VLOOKUP(ABS(S51-S53),'IMP Table'!$A$2:$C$26,3)*SIGN(S51-S53),"")</f>
        <v/>
      </c>
      <c r="AA51">
        <f>IF(AND(ISNUMBER(S51),ISNUMBER(S54)),VLOOKUP(ABS(S51-S54),'IMP Table'!$A$2:$C$26,3)*SIGN(S51-S54),"")</f>
        <v/>
      </c>
      <c r="AB51">
        <f>IF(AND(ISNUMBER(S51),ISNUMBER(S55)),VLOOKUP(ABS(S51-S55),'IMP Table'!$A$2:$C$26,3)*SIGN(S51-S55),"")</f>
        <v/>
      </c>
      <c r="AC51">
        <f>IF(AND(ISNUMBER(S51),ISNUMBER(S56)),VLOOKUP(ABS(S51-S56),'IMP Table'!$A$2:$C$26,3)*SIGN(S51-S56),"")</f>
        <v/>
      </c>
      <c r="AD51">
        <f>IF(AND(ISNUMBER(R51),ISNUMBER(R52)),IF(R51&gt;R52,1,IF(R51=R52,0.5,0)),0.5)</f>
        <v/>
      </c>
      <c r="AE51">
        <f>IF(AND(ISNUMBER(R51),ISNUMBER(R53)),IF(R51&gt;R53,1,IF(R51=R53,0.5,0)),0.5)</f>
        <v/>
      </c>
      <c r="AF51">
        <f>IF(AND(ISNUMBER(R51),ISNUMBER(R54)),IF(R51&gt;R54,1,IF(R51=R54,0.5,0)),0.5)</f>
        <v/>
      </c>
      <c r="AG51">
        <f>IF(AND(ISNUMBER(R51),ISNUMBER(R55)),IF(R51&gt;R55,1,IF(R51=R55,0.5,0)),0.5)</f>
        <v/>
      </c>
      <c r="AH51">
        <f>IF(AND(ISNUMBER(R51),ISNUMBER(R56)),IF(R51&gt;R56,1,IF(R51=R56,0.5,0)),0.5)</f>
        <v/>
      </c>
      <c r="AI51">
        <f>IF(AND(ISNUMBER(S51),ISNUMBER(S52)),IF(S51&gt;S52,1,IF(S51=S52,0.5,0)),0.5)</f>
        <v/>
      </c>
      <c r="AJ51">
        <f>IF(AND(ISNUMBER(S51),ISNUMBER(S53)),IF(S51&gt;S53,1,IF(S51=S53,0.5,0)),0.5)</f>
        <v/>
      </c>
      <c r="AK51">
        <f>IF(AND(ISNUMBER(S51),ISNUMBER(S54)),IF(S51&gt;S54,1,IF(S51=S54,0.5,0)),0.5)</f>
        <v/>
      </c>
      <c r="AL51">
        <f>IF(AND(ISNUMBER(S51),ISNUMBER(S55)),IF(S51&gt;S55,1,IF(S51=S55,0.5,0)),0.5)</f>
        <v/>
      </c>
      <c r="AM51">
        <f>IF(AND(ISNUMBER(S51),ISNUMBER(S56)),IF(S51&gt;S56,1,IF(S51=S56,0.5,0)),0.5)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4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5">
        <f>IFERROR(AVERAGE(T52:X52),"")</f>
        <v/>
      </c>
      <c r="M52" s="4">
        <f>IFERROR(AVERAGE(Y52:AC52),"")</f>
        <v/>
      </c>
      <c r="N52" s="5">
        <f>P52/5</f>
        <v/>
      </c>
      <c r="O52" s="5">
        <f>Q52/5</f>
        <v/>
      </c>
      <c r="P52" s="4">
        <f>IFERROR(SUM(AD52:AH52),"")</f>
        <v/>
      </c>
      <c r="Q52" s="4">
        <f>IFERROR(SUM(AI52:AM52),"")</f>
        <v/>
      </c>
      <c r="R52" s="16">
        <f>IF(ISNUMBER(J52),J52,IF(ISNUMBER(K52),-K52,""))</f>
        <v/>
      </c>
      <c r="S52">
        <f>IF(ISNUMBER(K52),K52,IF(ISNUMBER(J52),-J52,""))</f>
        <v/>
      </c>
      <c r="T52">
        <f>IF(AND(ISNUMBER(R52),ISNUMBER(R51)),VLOOKUP(ABS(R52-R51),'IMP Table'!$A$2:$C$26,3)*SIGN(R52-R51),"")</f>
        <v/>
      </c>
      <c r="U52">
        <f>IF(AND(ISNUMBER(R52),ISNUMBER(R53)),VLOOKUP(ABS(R52-R53),'IMP Table'!$A$2:$C$26,3)*SIGN(R52-R53),"")</f>
        <v/>
      </c>
      <c r="V52">
        <f>IF(AND(ISNUMBER(R52),ISNUMBER(R54)),VLOOKUP(ABS(R52-R54),'IMP Table'!$A$2:$C$26,3)*SIGN(R52-R54),"")</f>
        <v/>
      </c>
      <c r="W52">
        <f>IF(AND(ISNUMBER(R52),ISNUMBER(R55)),VLOOKUP(ABS(R52-R55),'IMP Table'!$A$2:$C$26,3)*SIGN(R52-R55),"")</f>
        <v/>
      </c>
      <c r="X52">
        <f>IF(AND(ISNUMBER(R52),ISNUMBER(R56)),VLOOKUP(ABS(R52-R56),'IMP Table'!$A$2:$C$26,3)*SIGN(R52-R56),"")</f>
        <v/>
      </c>
      <c r="Y52">
        <f>IF(AND(ISNUMBER(S52),ISNUMBER(S51)),VLOOKUP(ABS(S52-S51),'IMP Table'!$A$2:$C$26,3)*SIGN(S52-S51),"")</f>
        <v/>
      </c>
      <c r="Z52">
        <f>IF(AND(ISNUMBER(S52),ISNUMBER(S53)),VLOOKUP(ABS(S52-S53),'IMP Table'!$A$2:$C$26,3)*SIGN(S52-S53),"")</f>
        <v/>
      </c>
      <c r="AA52">
        <f>IF(AND(ISNUMBER(S52),ISNUMBER(S54)),VLOOKUP(ABS(S52-S54),'IMP Table'!$A$2:$C$26,3)*SIGN(S52-S54),"")</f>
        <v/>
      </c>
      <c r="AB52">
        <f>IF(AND(ISNUMBER(S52),ISNUMBER(S55)),VLOOKUP(ABS(S52-S55),'IMP Table'!$A$2:$C$26,3)*SIGN(S52-S55),"")</f>
        <v/>
      </c>
      <c r="AC52">
        <f>IF(AND(ISNUMBER(S52),ISNUMBER(S56)),VLOOKUP(ABS(S52-S56),'IMP Table'!$A$2:$C$26,3)*SIGN(S52-S56),"")</f>
        <v/>
      </c>
      <c r="AD52">
        <f>IF(AND(ISNUMBER(R52),ISNUMBER(R51)),IF(R52&gt;R51,1,IF(R52=R51,0.5,0)),0.5)</f>
        <v/>
      </c>
      <c r="AE52">
        <f>IF(AND(ISNUMBER(R52),ISNUMBER(R53)),IF(R52&gt;R53,1,IF(R52=R53,0.5,0)),0.5)</f>
        <v/>
      </c>
      <c r="AF52">
        <f>IF(AND(ISNUMBER(R52),ISNUMBER(R54)),IF(R52&gt;R54,1,IF(R52=R54,0.5,0)),0.5)</f>
        <v/>
      </c>
      <c r="AG52">
        <f>IF(AND(ISNUMBER(R52),ISNUMBER(R55)),IF(R52&gt;R55,1,IF(R52=R55,0.5,0)),0.5)</f>
        <v/>
      </c>
      <c r="AH52">
        <f>IF(AND(ISNUMBER(R52),ISNUMBER(R56)),IF(R52&gt;R56,1,IF(R52=R56,0.5,0)),0.5)</f>
        <v/>
      </c>
      <c r="AI52">
        <f>IF(AND(ISNUMBER(S52),ISNUMBER(S51)),IF(S52&gt;S51,1,IF(S52=S51,0.5,0)),0.5)</f>
        <v/>
      </c>
      <c r="AJ52">
        <f>IF(AND(ISNUMBER(S52),ISNUMBER(S53)),IF(S52&gt;S53,1,IF(S52=S53,0.5,0)),0.5)</f>
        <v/>
      </c>
      <c r="AK52">
        <f>IF(AND(ISNUMBER(S52),ISNUMBER(S54)),IF(S52&gt;S54,1,IF(S52=S54,0.5,0)),0.5)</f>
        <v/>
      </c>
      <c r="AL52">
        <f>IF(AND(ISNUMBER(S52),ISNUMBER(S55)),IF(S52&gt;S55,1,IF(S52=S55,0.5,0)),0.5)</f>
        <v/>
      </c>
      <c r="AM52">
        <f>IF(AND(ISNUMBER(S52),ISNUMBER(S56)),IF(S52&gt;S56,1,IF(S52=S56,0.5,0)),0.5)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4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5">
        <f>IFERROR(AVERAGE(T53:X53),"")</f>
        <v/>
      </c>
      <c r="M53" s="4">
        <f>IFERROR(AVERAGE(Y53:AC53),"")</f>
        <v/>
      </c>
      <c r="N53" s="5">
        <f>P53/5</f>
        <v/>
      </c>
      <c r="O53" s="5">
        <f>Q53/5</f>
        <v/>
      </c>
      <c r="P53" s="4">
        <f>IFERROR(SUM(AD53:AH53),"")</f>
        <v/>
      </c>
      <c r="Q53" s="4">
        <f>IFERROR(SUM(AI53:AM53),"")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IF(AND(ISNUMBER(R53),ISNUMBER(R51)),VLOOKUP(ABS(R53-R51),'IMP Table'!$A$2:$C$26,3)*SIGN(R53-R51),"")</f>
        <v/>
      </c>
      <c r="U53">
        <f>IF(AND(ISNUMBER(R53),ISNUMBER(R52)),VLOOKUP(ABS(R53-R52),'IMP Table'!$A$2:$C$26,3)*SIGN(R53-R52),"")</f>
        <v/>
      </c>
      <c r="V53">
        <f>IF(AND(ISNUMBER(R53),ISNUMBER(R54)),VLOOKUP(ABS(R53-R54),'IMP Table'!$A$2:$C$26,3)*SIGN(R53-R54),"")</f>
        <v/>
      </c>
      <c r="W53">
        <f>IF(AND(ISNUMBER(R53),ISNUMBER(R55)),VLOOKUP(ABS(R53-R55),'IMP Table'!$A$2:$C$26,3)*SIGN(R53-R55),"")</f>
        <v/>
      </c>
      <c r="X53">
        <f>IF(AND(ISNUMBER(R53),ISNUMBER(R56)),VLOOKUP(ABS(R53-R56),'IMP Table'!$A$2:$C$26,3)*SIGN(R53-R56),"")</f>
        <v/>
      </c>
      <c r="Y53">
        <f>IF(AND(ISNUMBER(S53),ISNUMBER(S51)),VLOOKUP(ABS(S53-S51),'IMP Table'!$A$2:$C$26,3)*SIGN(S53-S51),"")</f>
        <v/>
      </c>
      <c r="Z53">
        <f>IF(AND(ISNUMBER(S53),ISNUMBER(S52)),VLOOKUP(ABS(S53-S52),'IMP Table'!$A$2:$C$26,3)*SIGN(S53-S52),"")</f>
        <v/>
      </c>
      <c r="AA53">
        <f>IF(AND(ISNUMBER(S53),ISNUMBER(S54)),VLOOKUP(ABS(S53-S54),'IMP Table'!$A$2:$C$26,3)*SIGN(S53-S54),"")</f>
        <v/>
      </c>
      <c r="AB53">
        <f>IF(AND(ISNUMBER(S53),ISNUMBER(S55)),VLOOKUP(ABS(S53-S55),'IMP Table'!$A$2:$C$26,3)*SIGN(S53-S55),"")</f>
        <v/>
      </c>
      <c r="AC53">
        <f>IF(AND(ISNUMBER(S53),ISNUMBER(S56)),VLOOKUP(ABS(S53-S56),'IMP Table'!$A$2:$C$26,3)*SIGN(S53-S56),"")</f>
        <v/>
      </c>
      <c r="AD53">
        <f>IF(AND(ISNUMBER(R53),ISNUMBER(R51)),IF(R53&gt;R51,1,IF(R53=R51,0.5,0)),0.5)</f>
        <v/>
      </c>
      <c r="AE53">
        <f>IF(AND(ISNUMBER(R53),ISNUMBER(R52)),IF(R53&gt;R52,1,IF(R53=R52,0.5,0)),0.5)</f>
        <v/>
      </c>
      <c r="AF53">
        <f>IF(AND(ISNUMBER(R53),ISNUMBER(R54)),IF(R53&gt;R54,1,IF(R53=R54,0.5,0)),0.5)</f>
        <v/>
      </c>
      <c r="AG53">
        <f>IF(AND(ISNUMBER(R53),ISNUMBER(R55)),IF(R53&gt;R55,1,IF(R53=R55,0.5,0)),0.5)</f>
        <v/>
      </c>
      <c r="AH53">
        <f>IF(AND(ISNUMBER(R53),ISNUMBER(R56)),IF(R53&gt;R56,1,IF(R53=R56,0.5,0)),0.5)</f>
        <v/>
      </c>
      <c r="AI53">
        <f>IF(AND(ISNUMBER(S53),ISNUMBER(S51)),IF(S53&gt;S51,1,IF(S53=S51,0.5,0)),0.5)</f>
        <v/>
      </c>
      <c r="AJ53">
        <f>IF(AND(ISNUMBER(S53),ISNUMBER(S52)),IF(S53&gt;S52,1,IF(S53=S52,0.5,0)),0.5)</f>
        <v/>
      </c>
      <c r="AK53">
        <f>IF(AND(ISNUMBER(S53),ISNUMBER(S54)),IF(S53&gt;S54,1,IF(S53=S54,0.5,0)),0.5)</f>
        <v/>
      </c>
      <c r="AL53">
        <f>IF(AND(ISNUMBER(S53),ISNUMBER(S55)),IF(S53&gt;S55,1,IF(S53=S55,0.5,0)),0.5)</f>
        <v/>
      </c>
      <c r="AM53">
        <f>IF(AND(ISNUMBER(S53),ISNUMBER(S56)),IF(S53&gt;S56,1,IF(S53=S56,0.5,0)),0.5)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4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5">
        <f>IFERROR(AVERAGE(T54:X54),"")</f>
        <v/>
      </c>
      <c r="M54" s="4">
        <f>IFERROR(AVERAGE(Y54:AC54),"")</f>
        <v/>
      </c>
      <c r="N54" s="5">
        <f>P54/5</f>
        <v/>
      </c>
      <c r="O54" s="5">
        <f>Q54/5</f>
        <v/>
      </c>
      <c r="P54" s="4">
        <f>IFERROR(SUM(AD54:AH54),"")</f>
        <v/>
      </c>
      <c r="Q54" s="4">
        <f>IFERROR(SUM(AI54:AM54),"")</f>
        <v/>
      </c>
      <c r="R54" s="16">
        <f>IF(ISNUMBER(J54),J54,IF(ISNUMBER(K54),-K54,""))</f>
        <v/>
      </c>
      <c r="S54">
        <f>IF(ISNUMBER(K54),K54,IF(ISNUMBER(J54),-J54,""))</f>
        <v/>
      </c>
      <c r="T54">
        <f>IF(AND(ISNUMBER(R54),ISNUMBER(R51)),VLOOKUP(ABS(R54-R51),'IMP Table'!$A$2:$C$26,3)*SIGN(R54-R51),"")</f>
        <v/>
      </c>
      <c r="U54">
        <f>IF(AND(ISNUMBER(R54),ISNUMBER(R52)),VLOOKUP(ABS(R54-R52),'IMP Table'!$A$2:$C$26,3)*SIGN(R54-R52),"")</f>
        <v/>
      </c>
      <c r="V54">
        <f>IF(AND(ISNUMBER(R54),ISNUMBER(R53)),VLOOKUP(ABS(R54-R53),'IMP Table'!$A$2:$C$26,3)*SIGN(R54-R53),"")</f>
        <v/>
      </c>
      <c r="W54">
        <f>IF(AND(ISNUMBER(R54),ISNUMBER(R55)),VLOOKUP(ABS(R54-R55),'IMP Table'!$A$2:$C$26,3)*SIGN(R54-R55),"")</f>
        <v/>
      </c>
      <c r="X54">
        <f>IF(AND(ISNUMBER(R54),ISNUMBER(R56)),VLOOKUP(ABS(R54-R56),'IMP Table'!$A$2:$C$26,3)*SIGN(R54-R56),"")</f>
        <v/>
      </c>
      <c r="Y54">
        <f>IF(AND(ISNUMBER(S54),ISNUMBER(S51)),VLOOKUP(ABS(S54-S51),'IMP Table'!$A$2:$C$26,3)*SIGN(S54-S51),"")</f>
        <v/>
      </c>
      <c r="Z54">
        <f>IF(AND(ISNUMBER(S54),ISNUMBER(S52)),VLOOKUP(ABS(S54-S52),'IMP Table'!$A$2:$C$26,3)*SIGN(S54-S52),"")</f>
        <v/>
      </c>
      <c r="AA54">
        <f>IF(AND(ISNUMBER(S54),ISNUMBER(S53)),VLOOKUP(ABS(S54-S53),'IMP Table'!$A$2:$C$26,3)*SIGN(S54-S53),"")</f>
        <v/>
      </c>
      <c r="AB54">
        <f>IF(AND(ISNUMBER(S54),ISNUMBER(S55)),VLOOKUP(ABS(S54-S55),'IMP Table'!$A$2:$C$26,3)*SIGN(S54-S55),"")</f>
        <v/>
      </c>
      <c r="AC54">
        <f>IF(AND(ISNUMBER(S54),ISNUMBER(S56)),VLOOKUP(ABS(S54-S56),'IMP Table'!$A$2:$C$26,3)*SIGN(S54-S56),"")</f>
        <v/>
      </c>
      <c r="AD54">
        <f>IF(AND(ISNUMBER(R54),ISNUMBER(R51)),IF(R54&gt;R51,1,IF(R54=R51,0.5,0)),0.5)</f>
        <v/>
      </c>
      <c r="AE54">
        <f>IF(AND(ISNUMBER(R54),ISNUMBER(R52)),IF(R54&gt;R52,1,IF(R54=R52,0.5,0)),0.5)</f>
        <v/>
      </c>
      <c r="AF54">
        <f>IF(AND(ISNUMBER(R54),ISNUMBER(R53)),IF(R54&gt;R53,1,IF(R54=R53,0.5,0)),0.5)</f>
        <v/>
      </c>
      <c r="AG54">
        <f>IF(AND(ISNUMBER(R54),ISNUMBER(R55)),IF(R54&gt;R55,1,IF(R54=R55,0.5,0)),0.5)</f>
        <v/>
      </c>
      <c r="AH54">
        <f>IF(AND(ISNUMBER(R54),ISNUMBER(R56)),IF(R54&gt;R56,1,IF(R54=R56,0.5,0)),0.5)</f>
        <v/>
      </c>
      <c r="AI54">
        <f>IF(AND(ISNUMBER(S54),ISNUMBER(S51)),IF(S54&gt;S51,1,IF(S54=S51,0.5,0)),0.5)</f>
        <v/>
      </c>
      <c r="AJ54">
        <f>IF(AND(ISNUMBER(S54),ISNUMBER(S52)),IF(S54&gt;S52,1,IF(S54=S52,0.5,0)),0.5)</f>
        <v/>
      </c>
      <c r="AK54">
        <f>IF(AND(ISNUMBER(S54),ISNUMBER(S53)),IF(S54&gt;S53,1,IF(S54=S53,0.5,0)),0.5)</f>
        <v/>
      </c>
      <c r="AL54">
        <f>IF(AND(ISNUMBER(S54),ISNUMBER(S55)),IF(S54&gt;S55,1,IF(S54=S55,0.5,0)),0.5)</f>
        <v/>
      </c>
      <c r="AM54">
        <f>IF(AND(ISNUMBER(S54),ISNUMBER(S56)),IF(S54&gt;S56,1,IF(S54=S56,0.5,0)),0.5)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4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5">
        <f>IFERROR(AVERAGE(T55:X55),"")</f>
        <v/>
      </c>
      <c r="M55" s="4">
        <f>IFERROR(AVERAGE(Y55:AC55),"")</f>
        <v/>
      </c>
      <c r="N55" s="5">
        <f>P55/5</f>
        <v/>
      </c>
      <c r="O55" s="5">
        <f>Q55/5</f>
        <v/>
      </c>
      <c r="P55" s="4">
        <f>IFERROR(SUM(AD55:AH55),"")</f>
        <v/>
      </c>
      <c r="Q55" s="4">
        <f>IFERROR(SUM(AI55:AM55),"")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IF(AND(ISNUMBER(R55),ISNUMBER(R51)),VLOOKUP(ABS(R55-R51),'IMP Table'!$A$2:$C$26,3)*SIGN(R55-R51),"")</f>
        <v/>
      </c>
      <c r="U55">
        <f>IF(AND(ISNUMBER(R55),ISNUMBER(R52)),VLOOKUP(ABS(R55-R52),'IMP Table'!$A$2:$C$26,3)*SIGN(R55-R52),"")</f>
        <v/>
      </c>
      <c r="V55">
        <f>IF(AND(ISNUMBER(R55),ISNUMBER(R53)),VLOOKUP(ABS(R55-R53),'IMP Table'!$A$2:$C$26,3)*SIGN(R55-R53),"")</f>
        <v/>
      </c>
      <c r="W55">
        <f>IF(AND(ISNUMBER(R55),ISNUMBER(R54)),VLOOKUP(ABS(R55-R54),'IMP Table'!$A$2:$C$26,3)*SIGN(R55-R54),"")</f>
        <v/>
      </c>
      <c r="X55">
        <f>IF(AND(ISNUMBER(R55),ISNUMBER(R56)),VLOOKUP(ABS(R55-R56),'IMP Table'!$A$2:$C$26,3)*SIGN(R55-R56),"")</f>
        <v/>
      </c>
      <c r="Y55">
        <f>IF(AND(ISNUMBER(S55),ISNUMBER(S51)),VLOOKUP(ABS(S55-S51),'IMP Table'!$A$2:$C$26,3)*SIGN(S55-S51),"")</f>
        <v/>
      </c>
      <c r="Z55">
        <f>IF(AND(ISNUMBER(S55),ISNUMBER(S52)),VLOOKUP(ABS(S55-S52),'IMP Table'!$A$2:$C$26,3)*SIGN(S55-S52),"")</f>
        <v/>
      </c>
      <c r="AA55">
        <f>IF(AND(ISNUMBER(S55),ISNUMBER(S53)),VLOOKUP(ABS(S55-S53),'IMP Table'!$A$2:$C$26,3)*SIGN(S55-S53),"")</f>
        <v/>
      </c>
      <c r="AB55">
        <f>IF(AND(ISNUMBER(S55),ISNUMBER(S54)),VLOOKUP(ABS(S55-S54),'IMP Table'!$A$2:$C$26,3)*SIGN(S55-S54),"")</f>
        <v/>
      </c>
      <c r="AC55">
        <f>IF(AND(ISNUMBER(S55),ISNUMBER(S56)),VLOOKUP(ABS(S55-S56),'IMP Table'!$A$2:$C$26,3)*SIGN(S55-S56),"")</f>
        <v/>
      </c>
      <c r="AD55">
        <f>IF(AND(ISNUMBER(R55),ISNUMBER(R51)),IF(R55&gt;R51,1,IF(R55=R51,0.5,0)),0.5)</f>
        <v/>
      </c>
      <c r="AE55">
        <f>IF(AND(ISNUMBER(R55),ISNUMBER(R52)),IF(R55&gt;R52,1,IF(R55=R52,0.5,0)),0.5)</f>
        <v/>
      </c>
      <c r="AF55">
        <f>IF(AND(ISNUMBER(R55),ISNUMBER(R53)),IF(R55&gt;R53,1,IF(R55=R53,0.5,0)),0.5)</f>
        <v/>
      </c>
      <c r="AG55">
        <f>IF(AND(ISNUMBER(R55),ISNUMBER(R54)),IF(R55&gt;R54,1,IF(R55=R54,0.5,0)),0.5)</f>
        <v/>
      </c>
      <c r="AH55">
        <f>IF(AND(ISNUMBER(R55),ISNUMBER(R56)),IF(R55&gt;R56,1,IF(R55=R56,0.5,0)),0.5)</f>
        <v/>
      </c>
      <c r="AI55">
        <f>IF(AND(ISNUMBER(S55),ISNUMBER(S51)),IF(S55&gt;S51,1,IF(S55=S51,0.5,0)),0.5)</f>
        <v/>
      </c>
      <c r="AJ55">
        <f>IF(AND(ISNUMBER(S55),ISNUMBER(S52)),IF(S55&gt;S52,1,IF(S55=S52,0.5,0)),0.5)</f>
        <v/>
      </c>
      <c r="AK55">
        <f>IF(AND(ISNUMBER(S55),ISNUMBER(S53)),IF(S55&gt;S53,1,IF(S55=S53,0.5,0)),0.5)</f>
        <v/>
      </c>
      <c r="AL55">
        <f>IF(AND(ISNUMBER(S55),ISNUMBER(S54)),IF(S55&gt;S54,1,IF(S55=S54,0.5,0)),0.5)</f>
        <v/>
      </c>
      <c r="AM55">
        <f>IF(AND(ISNUMBER(S55),ISNUMBER(S56)),IF(S55&gt;S56,1,IF(S55=S56,0.5,0)),0.5)</f>
        <v/>
      </c>
    </row>
    <row r="56">
      <c r="A56" s="13" t="n"/>
      <c r="B56" s="13">
        <f>'By Round'!A123</f>
        <v/>
      </c>
      <c r="C56" s="13">
        <f>'By Round'!B127</f>
        <v/>
      </c>
      <c r="D56" s="13">
        <f>'By Round'!C127</f>
        <v/>
      </c>
      <c r="E56" s="13">
        <f>'By Round'!D127</f>
        <v/>
      </c>
      <c r="F56" s="17" t="inlineStr">
        <is>
          <t>EW</t>
        </is>
      </c>
      <c r="G56" s="13">
        <f>IF(ISBLANK('By Round'!G127),"",'By Round'!G127)</f>
        <v/>
      </c>
      <c r="H56" s="13">
        <f>IF(ISBLANK('By Round'!H127),"",'By Round'!H127)</f>
        <v/>
      </c>
      <c r="I56" s="13">
        <f>IF(ISBLANK('By Round'!I127),"",'By Round'!I127)</f>
        <v/>
      </c>
      <c r="J56" s="13">
        <f>IF(ISBLANK('By Round'!J127),"",'By Round'!J127)</f>
        <v/>
      </c>
      <c r="K56" s="13">
        <f>IF(ISBLANK('By Round'!K127),"",'By Round'!K127)</f>
        <v/>
      </c>
      <c r="L56" s="18">
        <f>IFERROR(AVERAGE(T56:X56),"")</f>
        <v/>
      </c>
      <c r="M56" s="19">
        <f>IFERROR(AVERAGE(Y56:AC56),"")</f>
        <v/>
      </c>
      <c r="N56" s="20">
        <f>P56/5</f>
        <v/>
      </c>
      <c r="O56" s="20">
        <f>Q56/5</f>
        <v/>
      </c>
      <c r="P56" s="19">
        <f>IFERROR(SUM(AD56:AH56),"")</f>
        <v/>
      </c>
      <c r="Q56" s="19">
        <f>IFERROR(SUM(AI56:AM56),"")</f>
        <v/>
      </c>
      <c r="R56" s="21">
        <f>IF(ISNUMBER(J56),J56,IF(ISNUMBER(K56),-K56,""))</f>
        <v/>
      </c>
      <c r="S56" s="13">
        <f>IF(ISNUMBER(K56),K56,IF(ISNUMBER(J56),-J56,""))</f>
        <v/>
      </c>
      <c r="T56" s="13">
        <f>IF(AND(ISNUMBER(R56),ISNUMBER(R51)),VLOOKUP(ABS(R56-R51),'IMP Table'!$A$2:$C$26,3)*SIGN(R56-R51),"")</f>
        <v/>
      </c>
      <c r="U56" s="13">
        <f>IF(AND(ISNUMBER(R56),ISNUMBER(R52)),VLOOKUP(ABS(R56-R52),'IMP Table'!$A$2:$C$26,3)*SIGN(R56-R52),"")</f>
        <v/>
      </c>
      <c r="V56" s="13">
        <f>IF(AND(ISNUMBER(R56),ISNUMBER(R53)),VLOOKUP(ABS(R56-R53),'IMP Table'!$A$2:$C$26,3)*SIGN(R56-R53),"")</f>
        <v/>
      </c>
      <c r="W56" s="13">
        <f>IF(AND(ISNUMBER(R56),ISNUMBER(R54)),VLOOKUP(ABS(R56-R54),'IMP Table'!$A$2:$C$26,3)*SIGN(R56-R54),"")</f>
        <v/>
      </c>
      <c r="X56" s="13">
        <f>IF(AND(ISNUMBER(R56),ISNUMBER(R55)),VLOOKUP(ABS(R56-R55),'IMP Table'!$A$2:$C$26,3)*SIGN(R56-R55),"")</f>
        <v/>
      </c>
      <c r="Y56" s="13">
        <f>IF(AND(ISNUMBER(S56),ISNUMBER(S51)),VLOOKUP(ABS(S56-S51),'IMP Table'!$A$2:$C$26,3)*SIGN(S56-S51),"")</f>
        <v/>
      </c>
      <c r="Z56" s="13">
        <f>IF(AND(ISNUMBER(S56),ISNUMBER(S52)),VLOOKUP(ABS(S56-S52),'IMP Table'!$A$2:$C$26,3)*SIGN(S56-S52),"")</f>
        <v/>
      </c>
      <c r="AA56" s="13">
        <f>IF(AND(ISNUMBER(S56),ISNUMBER(S53)),VLOOKUP(ABS(S56-S53),'IMP Table'!$A$2:$C$26,3)*SIGN(S56-S53),"")</f>
        <v/>
      </c>
      <c r="AB56" s="13">
        <f>IF(AND(ISNUMBER(S56),ISNUMBER(S54)),VLOOKUP(ABS(S56-S54),'IMP Table'!$A$2:$C$26,3)*SIGN(S56-S54),"")</f>
        <v/>
      </c>
      <c r="AC56" s="13">
        <f>IF(AND(ISNUMBER(S56),ISNUMBER(S55)),VLOOKUP(ABS(S56-S55),'IMP Table'!$A$2:$C$26,3)*SIGN(S56-S55),"")</f>
        <v/>
      </c>
      <c r="AD56" s="13">
        <f>IF(AND(ISNUMBER(R56),ISNUMBER(R51)),IF(R56&gt;R51,1,IF(R56=R51,0.5,0)),0.5)</f>
        <v/>
      </c>
      <c r="AE56" s="13">
        <f>IF(AND(ISNUMBER(R56),ISNUMBER(R52)),IF(R56&gt;R52,1,IF(R56=R52,0.5,0)),0.5)</f>
        <v/>
      </c>
      <c r="AF56" s="13">
        <f>IF(AND(ISNUMBER(R56),ISNUMBER(R53)),IF(R56&gt;R53,1,IF(R56=R53,0.5,0)),0.5)</f>
        <v/>
      </c>
      <c r="AG56" s="13">
        <f>IF(AND(ISNUMBER(R56),ISNUMBER(R54)),IF(R56&gt;R54,1,IF(R56=R54,0.5,0)),0.5)</f>
        <v/>
      </c>
      <c r="AH56" s="13">
        <f>IF(AND(ISNUMBER(R56),ISNUMBER(R55)),IF(R56&gt;R55,1,IF(R56=R55,0.5,0)),0.5)</f>
        <v/>
      </c>
      <c r="AI56" s="13">
        <f>IF(AND(ISNUMBER(S56),ISNUMBER(S51)),IF(S56&gt;S51,1,IF(S56=S51,0.5,0)),0.5)</f>
        <v/>
      </c>
      <c r="AJ56" s="13">
        <f>IF(AND(ISNUMBER(S56),ISNUMBER(S52)),IF(S56&gt;S52,1,IF(S56=S52,0.5,0)),0.5)</f>
        <v/>
      </c>
      <c r="AK56" s="13">
        <f>IF(AND(ISNUMBER(S56),ISNUMBER(S53)),IF(S56&gt;S53,1,IF(S56=S53,0.5,0)),0.5)</f>
        <v/>
      </c>
      <c r="AL56" s="13">
        <f>IF(AND(ISNUMBER(S56),ISNUMBER(S54)),IF(S56&gt;S54,1,IF(S56=S54,0.5,0)),0.5)</f>
        <v/>
      </c>
      <c r="AM56" s="13">
        <f>IF(AND(ISNUMBER(S56),ISNUMBER(S55)),IF(S56&gt;S55,1,IF(S56=S55,0.5,0)),0.5)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4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5">
        <f>IFERROR(AVERAGE(T57:X57),"")</f>
        <v/>
      </c>
      <c r="M57" s="4">
        <f>IFERROR(AVERAGE(Y57:AC57),"")</f>
        <v/>
      </c>
      <c r="N57" s="5">
        <f>P57/5</f>
        <v/>
      </c>
      <c r="O57" s="5">
        <f>Q57/5</f>
        <v/>
      </c>
      <c r="P57" s="4">
        <f>IFERROR(SUM(AD57:AH57),"")</f>
        <v/>
      </c>
      <c r="Q57" s="4">
        <f>IFERROR(SUM(AI57:AM57),"")</f>
        <v/>
      </c>
      <c r="R57" s="16">
        <f>IF(ISNUMBER(J57),J57,IF(ISNUMBER(K57),-K57,""))</f>
        <v/>
      </c>
      <c r="S57">
        <f>IF(ISNUMBER(K57),K57,IF(ISNUMBER(J57),-J57,""))</f>
        <v/>
      </c>
      <c r="T57">
        <f>IF(AND(ISNUMBER(R57),ISNUMBER(R58)),VLOOKUP(ABS(R57-R58),'IMP Table'!$A$2:$C$26,3)*SIGN(R57-R58),"")</f>
        <v/>
      </c>
      <c r="U57">
        <f>IF(AND(ISNUMBER(R57),ISNUMBER(R59)),VLOOKUP(ABS(R57-R59),'IMP Table'!$A$2:$C$26,3)*SIGN(R57-R59),"")</f>
        <v/>
      </c>
      <c r="V57">
        <f>IF(AND(ISNUMBER(R57),ISNUMBER(R60)),VLOOKUP(ABS(R57-R60),'IMP Table'!$A$2:$C$26,3)*SIGN(R57-R60),"")</f>
        <v/>
      </c>
      <c r="W57">
        <f>IF(AND(ISNUMBER(R57),ISNUMBER(R61)),VLOOKUP(ABS(R57-R61),'IMP Table'!$A$2:$C$26,3)*SIGN(R57-R61),"")</f>
        <v/>
      </c>
      <c r="X57">
        <f>IF(AND(ISNUMBER(R57),ISNUMBER(R62)),VLOOKUP(ABS(R57-R62),'IMP Table'!$A$2:$C$26,3)*SIGN(R57-R62),"")</f>
        <v/>
      </c>
      <c r="Y57">
        <f>IF(AND(ISNUMBER(S57),ISNUMBER(S58)),VLOOKUP(ABS(S57-S58),'IMP Table'!$A$2:$C$26,3)*SIGN(S57-S58),"")</f>
        <v/>
      </c>
      <c r="Z57">
        <f>IF(AND(ISNUMBER(S57),ISNUMBER(S59)),VLOOKUP(ABS(S57-S59),'IMP Table'!$A$2:$C$26,3)*SIGN(S57-S59),"")</f>
        <v/>
      </c>
      <c r="AA57">
        <f>IF(AND(ISNUMBER(S57),ISNUMBER(S60)),VLOOKUP(ABS(S57-S60),'IMP Table'!$A$2:$C$26,3)*SIGN(S57-S60),"")</f>
        <v/>
      </c>
      <c r="AB57">
        <f>IF(AND(ISNUMBER(S57),ISNUMBER(S61)),VLOOKUP(ABS(S57-S61),'IMP Table'!$A$2:$C$26,3)*SIGN(S57-S61),"")</f>
        <v/>
      </c>
      <c r="AC57">
        <f>IF(AND(ISNUMBER(S57),ISNUMBER(S62)),VLOOKUP(ABS(S57-S62),'IMP Table'!$A$2:$C$26,3)*SIGN(S57-S62),"")</f>
        <v/>
      </c>
      <c r="AD57">
        <f>IF(AND(ISNUMBER(R57),ISNUMBER(R58)),IF(R57&gt;R58,1,IF(R57=R58,0.5,0)),0.5)</f>
        <v/>
      </c>
      <c r="AE57">
        <f>IF(AND(ISNUMBER(R57),ISNUMBER(R59)),IF(R57&gt;R59,1,IF(R57=R59,0.5,0)),0.5)</f>
        <v/>
      </c>
      <c r="AF57">
        <f>IF(AND(ISNUMBER(R57),ISNUMBER(R60)),IF(R57&gt;R60,1,IF(R57=R60,0.5,0)),0.5)</f>
        <v/>
      </c>
      <c r="AG57">
        <f>IF(AND(ISNUMBER(R57),ISNUMBER(R61)),IF(R57&gt;R61,1,IF(R57=R61,0.5,0)),0.5)</f>
        <v/>
      </c>
      <c r="AH57">
        <f>IF(AND(ISNUMBER(R57),ISNUMBER(R62)),IF(R57&gt;R62,1,IF(R57=R62,0.5,0)),0.5)</f>
        <v/>
      </c>
      <c r="AI57">
        <f>IF(AND(ISNUMBER(S57),ISNUMBER(S58)),IF(S57&gt;S58,1,IF(S57=S58,0.5,0)),0.5)</f>
        <v/>
      </c>
      <c r="AJ57">
        <f>IF(AND(ISNUMBER(S57),ISNUMBER(S59)),IF(S57&gt;S59,1,IF(S57=S59,0.5,0)),0.5)</f>
        <v/>
      </c>
      <c r="AK57">
        <f>IF(AND(ISNUMBER(S57),ISNUMBER(S60)),IF(S57&gt;S60,1,IF(S57=S60,0.5,0)),0.5)</f>
        <v/>
      </c>
      <c r="AL57">
        <f>IF(AND(ISNUMBER(S57),ISNUMBER(S61)),IF(S57&gt;S61,1,IF(S57=S61,0.5,0)),0.5)</f>
        <v/>
      </c>
      <c r="AM57">
        <f>IF(AND(ISNUMBER(S57),ISNUMBER(S62)),IF(S57&gt;S62,1,IF(S57=S62,0.5,0)),0.5)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4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5">
        <f>IFERROR(AVERAGE(T58:X58),"")</f>
        <v/>
      </c>
      <c r="M58" s="4">
        <f>IFERROR(AVERAGE(Y58:AC58),"")</f>
        <v/>
      </c>
      <c r="N58" s="5">
        <f>P58/5</f>
        <v/>
      </c>
      <c r="O58" s="5">
        <f>Q58/5</f>
        <v/>
      </c>
      <c r="P58" s="4">
        <f>IFERROR(SUM(AD58:AH58),"")</f>
        <v/>
      </c>
      <c r="Q58" s="4">
        <f>IFERROR(SUM(AI58:AM58),"")</f>
        <v/>
      </c>
      <c r="R58" s="16">
        <f>IF(ISNUMBER(J58),J58,IF(ISNUMBER(K58),-K58,""))</f>
        <v/>
      </c>
      <c r="S58">
        <f>IF(ISNUMBER(K58),K58,IF(ISNUMBER(J58),-J58,""))</f>
        <v/>
      </c>
      <c r="T58">
        <f>IF(AND(ISNUMBER(R58),ISNUMBER(R57)),VLOOKUP(ABS(R58-R57),'IMP Table'!$A$2:$C$26,3)*SIGN(R58-R57),"")</f>
        <v/>
      </c>
      <c r="U58">
        <f>IF(AND(ISNUMBER(R58),ISNUMBER(R59)),VLOOKUP(ABS(R58-R59),'IMP Table'!$A$2:$C$26,3)*SIGN(R58-R59),"")</f>
        <v/>
      </c>
      <c r="V58">
        <f>IF(AND(ISNUMBER(R58),ISNUMBER(R60)),VLOOKUP(ABS(R58-R60),'IMP Table'!$A$2:$C$26,3)*SIGN(R58-R60),"")</f>
        <v/>
      </c>
      <c r="W58">
        <f>IF(AND(ISNUMBER(R58),ISNUMBER(R61)),VLOOKUP(ABS(R58-R61),'IMP Table'!$A$2:$C$26,3)*SIGN(R58-R61),"")</f>
        <v/>
      </c>
      <c r="X58">
        <f>IF(AND(ISNUMBER(R58),ISNUMBER(R62)),VLOOKUP(ABS(R58-R62),'IMP Table'!$A$2:$C$26,3)*SIGN(R58-R62),"")</f>
        <v/>
      </c>
      <c r="Y58">
        <f>IF(AND(ISNUMBER(S58),ISNUMBER(S57)),VLOOKUP(ABS(S58-S57),'IMP Table'!$A$2:$C$26,3)*SIGN(S58-S57),"")</f>
        <v/>
      </c>
      <c r="Z58">
        <f>IF(AND(ISNUMBER(S58),ISNUMBER(S59)),VLOOKUP(ABS(S58-S59),'IMP Table'!$A$2:$C$26,3)*SIGN(S58-S59),"")</f>
        <v/>
      </c>
      <c r="AA58">
        <f>IF(AND(ISNUMBER(S58),ISNUMBER(S60)),VLOOKUP(ABS(S58-S60),'IMP Table'!$A$2:$C$26,3)*SIGN(S58-S60),"")</f>
        <v/>
      </c>
      <c r="AB58">
        <f>IF(AND(ISNUMBER(S58),ISNUMBER(S61)),VLOOKUP(ABS(S58-S61),'IMP Table'!$A$2:$C$26,3)*SIGN(S58-S61),"")</f>
        <v/>
      </c>
      <c r="AC58">
        <f>IF(AND(ISNUMBER(S58),ISNUMBER(S62)),VLOOKUP(ABS(S58-S62),'IMP Table'!$A$2:$C$26,3)*SIGN(S58-S62),"")</f>
        <v/>
      </c>
      <c r="AD58">
        <f>IF(AND(ISNUMBER(R58),ISNUMBER(R57)),IF(R58&gt;R57,1,IF(R58=R57,0.5,0)),0.5)</f>
        <v/>
      </c>
      <c r="AE58">
        <f>IF(AND(ISNUMBER(R58),ISNUMBER(R59)),IF(R58&gt;R59,1,IF(R58=R59,0.5,0)),0.5)</f>
        <v/>
      </c>
      <c r="AF58">
        <f>IF(AND(ISNUMBER(R58),ISNUMBER(R60)),IF(R58&gt;R60,1,IF(R58=R60,0.5,0)),0.5)</f>
        <v/>
      </c>
      <c r="AG58">
        <f>IF(AND(ISNUMBER(R58),ISNUMBER(R61)),IF(R58&gt;R61,1,IF(R58=R61,0.5,0)),0.5)</f>
        <v/>
      </c>
      <c r="AH58">
        <f>IF(AND(ISNUMBER(R58),ISNUMBER(R62)),IF(R58&gt;R62,1,IF(R58=R62,0.5,0)),0.5)</f>
        <v/>
      </c>
      <c r="AI58">
        <f>IF(AND(ISNUMBER(S58),ISNUMBER(S57)),IF(S58&gt;S57,1,IF(S58=S57,0.5,0)),0.5)</f>
        <v/>
      </c>
      <c r="AJ58">
        <f>IF(AND(ISNUMBER(S58),ISNUMBER(S59)),IF(S58&gt;S59,1,IF(S58=S59,0.5,0)),0.5)</f>
        <v/>
      </c>
      <c r="AK58">
        <f>IF(AND(ISNUMBER(S58),ISNUMBER(S60)),IF(S58&gt;S60,1,IF(S58=S60,0.5,0)),0.5)</f>
        <v/>
      </c>
      <c r="AL58">
        <f>IF(AND(ISNUMBER(S58),ISNUMBER(S61)),IF(S58&gt;S61,1,IF(S58=S61,0.5,0)),0.5)</f>
        <v/>
      </c>
      <c r="AM58">
        <f>IF(AND(ISNUMBER(S58),ISNUMBER(S62)),IF(S58&gt;S62,1,IF(S58=S62,0.5,0)),0.5)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4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5">
        <f>IFERROR(AVERAGE(T59:X59),"")</f>
        <v/>
      </c>
      <c r="M59" s="4">
        <f>IFERROR(AVERAGE(Y59:AC59),"")</f>
        <v/>
      </c>
      <c r="N59" s="5">
        <f>P59/5</f>
        <v/>
      </c>
      <c r="O59" s="5">
        <f>Q59/5</f>
        <v/>
      </c>
      <c r="P59" s="4">
        <f>IFERROR(SUM(AD59:AH59),"")</f>
        <v/>
      </c>
      <c r="Q59" s="4">
        <f>IFERROR(SUM(AI59:AM59),"")</f>
        <v/>
      </c>
      <c r="R59" s="16">
        <f>IF(ISNUMBER(J59),J59,IF(ISNUMBER(K59),-K59,""))</f>
        <v/>
      </c>
      <c r="S59">
        <f>IF(ISNUMBER(K59),K59,IF(ISNUMBER(J59),-J59,""))</f>
        <v/>
      </c>
      <c r="T59">
        <f>IF(AND(ISNUMBER(R59),ISNUMBER(R57)),VLOOKUP(ABS(R59-R57),'IMP Table'!$A$2:$C$26,3)*SIGN(R59-R57),"")</f>
        <v/>
      </c>
      <c r="U59">
        <f>IF(AND(ISNUMBER(R59),ISNUMBER(R58)),VLOOKUP(ABS(R59-R58),'IMP Table'!$A$2:$C$26,3)*SIGN(R59-R58),"")</f>
        <v/>
      </c>
      <c r="V59">
        <f>IF(AND(ISNUMBER(R59),ISNUMBER(R60)),VLOOKUP(ABS(R59-R60),'IMP Table'!$A$2:$C$26,3)*SIGN(R59-R60),"")</f>
        <v/>
      </c>
      <c r="W59">
        <f>IF(AND(ISNUMBER(R59),ISNUMBER(R61)),VLOOKUP(ABS(R59-R61),'IMP Table'!$A$2:$C$26,3)*SIGN(R59-R61),"")</f>
        <v/>
      </c>
      <c r="X59">
        <f>IF(AND(ISNUMBER(R59),ISNUMBER(R62)),VLOOKUP(ABS(R59-R62),'IMP Table'!$A$2:$C$26,3)*SIGN(R59-R62),"")</f>
        <v/>
      </c>
      <c r="Y59">
        <f>IF(AND(ISNUMBER(S59),ISNUMBER(S57)),VLOOKUP(ABS(S59-S57),'IMP Table'!$A$2:$C$26,3)*SIGN(S59-S57),"")</f>
        <v/>
      </c>
      <c r="Z59">
        <f>IF(AND(ISNUMBER(S59),ISNUMBER(S58)),VLOOKUP(ABS(S59-S58),'IMP Table'!$A$2:$C$26,3)*SIGN(S59-S58),"")</f>
        <v/>
      </c>
      <c r="AA59">
        <f>IF(AND(ISNUMBER(S59),ISNUMBER(S60)),VLOOKUP(ABS(S59-S60),'IMP Table'!$A$2:$C$26,3)*SIGN(S59-S60),"")</f>
        <v/>
      </c>
      <c r="AB59">
        <f>IF(AND(ISNUMBER(S59),ISNUMBER(S61)),VLOOKUP(ABS(S59-S61),'IMP Table'!$A$2:$C$26,3)*SIGN(S59-S61),"")</f>
        <v/>
      </c>
      <c r="AC59">
        <f>IF(AND(ISNUMBER(S59),ISNUMBER(S62)),VLOOKUP(ABS(S59-S62),'IMP Table'!$A$2:$C$26,3)*SIGN(S59-S62),"")</f>
        <v/>
      </c>
      <c r="AD59">
        <f>IF(AND(ISNUMBER(R59),ISNUMBER(R57)),IF(R59&gt;R57,1,IF(R59=R57,0.5,0)),0.5)</f>
        <v/>
      </c>
      <c r="AE59">
        <f>IF(AND(ISNUMBER(R59),ISNUMBER(R58)),IF(R59&gt;R58,1,IF(R59=R58,0.5,0)),0.5)</f>
        <v/>
      </c>
      <c r="AF59">
        <f>IF(AND(ISNUMBER(R59),ISNUMBER(R60)),IF(R59&gt;R60,1,IF(R59=R60,0.5,0)),0.5)</f>
        <v/>
      </c>
      <c r="AG59">
        <f>IF(AND(ISNUMBER(R59),ISNUMBER(R61)),IF(R59&gt;R61,1,IF(R59=R61,0.5,0)),0.5)</f>
        <v/>
      </c>
      <c r="AH59">
        <f>IF(AND(ISNUMBER(R59),ISNUMBER(R62)),IF(R59&gt;R62,1,IF(R59=R62,0.5,0)),0.5)</f>
        <v/>
      </c>
      <c r="AI59">
        <f>IF(AND(ISNUMBER(S59),ISNUMBER(S57)),IF(S59&gt;S57,1,IF(S59=S57,0.5,0)),0.5)</f>
        <v/>
      </c>
      <c r="AJ59">
        <f>IF(AND(ISNUMBER(S59),ISNUMBER(S58)),IF(S59&gt;S58,1,IF(S59=S58,0.5,0)),0.5)</f>
        <v/>
      </c>
      <c r="AK59">
        <f>IF(AND(ISNUMBER(S59),ISNUMBER(S60)),IF(S59&gt;S60,1,IF(S59=S60,0.5,0)),0.5)</f>
        <v/>
      </c>
      <c r="AL59">
        <f>IF(AND(ISNUMBER(S59),ISNUMBER(S61)),IF(S59&gt;S61,1,IF(S59=S61,0.5,0)),0.5)</f>
        <v/>
      </c>
      <c r="AM59">
        <f>IF(AND(ISNUMBER(S59),ISNUMBER(S62)),IF(S59&gt;S62,1,IF(S59=S62,0.5,0)),0.5)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4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5">
        <f>IFERROR(AVERAGE(T60:X60),"")</f>
        <v/>
      </c>
      <c r="M60" s="4">
        <f>IFERROR(AVERAGE(Y60:AC60),"")</f>
        <v/>
      </c>
      <c r="N60" s="5">
        <f>P60/5</f>
        <v/>
      </c>
      <c r="O60" s="5">
        <f>Q60/5</f>
        <v/>
      </c>
      <c r="P60" s="4">
        <f>IFERROR(SUM(AD60:AH60),"")</f>
        <v/>
      </c>
      <c r="Q60" s="4">
        <f>IFERROR(SUM(AI60:AM60),"")</f>
        <v/>
      </c>
      <c r="R60" s="16">
        <f>IF(ISNUMBER(J60),J60,IF(ISNUMBER(K60),-K60,""))</f>
        <v/>
      </c>
      <c r="S60">
        <f>IF(ISNUMBER(K60),K60,IF(ISNUMBER(J60),-J60,""))</f>
        <v/>
      </c>
      <c r="T60">
        <f>IF(AND(ISNUMBER(R60),ISNUMBER(R57)),VLOOKUP(ABS(R60-R57),'IMP Table'!$A$2:$C$26,3)*SIGN(R60-R57),"")</f>
        <v/>
      </c>
      <c r="U60">
        <f>IF(AND(ISNUMBER(R60),ISNUMBER(R58)),VLOOKUP(ABS(R60-R58),'IMP Table'!$A$2:$C$26,3)*SIGN(R60-R58),"")</f>
        <v/>
      </c>
      <c r="V60">
        <f>IF(AND(ISNUMBER(R60),ISNUMBER(R59)),VLOOKUP(ABS(R60-R59),'IMP Table'!$A$2:$C$26,3)*SIGN(R60-R59),"")</f>
        <v/>
      </c>
      <c r="W60">
        <f>IF(AND(ISNUMBER(R60),ISNUMBER(R61)),VLOOKUP(ABS(R60-R61),'IMP Table'!$A$2:$C$26,3)*SIGN(R60-R61),"")</f>
        <v/>
      </c>
      <c r="X60">
        <f>IF(AND(ISNUMBER(R60),ISNUMBER(R62)),VLOOKUP(ABS(R60-R62),'IMP Table'!$A$2:$C$26,3)*SIGN(R60-R62),"")</f>
        <v/>
      </c>
      <c r="Y60">
        <f>IF(AND(ISNUMBER(S60),ISNUMBER(S57)),VLOOKUP(ABS(S60-S57),'IMP Table'!$A$2:$C$26,3)*SIGN(S60-S57),"")</f>
        <v/>
      </c>
      <c r="Z60">
        <f>IF(AND(ISNUMBER(S60),ISNUMBER(S58)),VLOOKUP(ABS(S60-S58),'IMP Table'!$A$2:$C$26,3)*SIGN(S60-S58),"")</f>
        <v/>
      </c>
      <c r="AA60">
        <f>IF(AND(ISNUMBER(S60),ISNUMBER(S59)),VLOOKUP(ABS(S60-S59),'IMP Table'!$A$2:$C$26,3)*SIGN(S60-S59),"")</f>
        <v/>
      </c>
      <c r="AB60">
        <f>IF(AND(ISNUMBER(S60),ISNUMBER(S61)),VLOOKUP(ABS(S60-S61),'IMP Table'!$A$2:$C$26,3)*SIGN(S60-S61),"")</f>
        <v/>
      </c>
      <c r="AC60">
        <f>IF(AND(ISNUMBER(S60),ISNUMBER(S62)),VLOOKUP(ABS(S60-S62),'IMP Table'!$A$2:$C$26,3)*SIGN(S60-S62),"")</f>
        <v/>
      </c>
      <c r="AD60">
        <f>IF(AND(ISNUMBER(R60),ISNUMBER(R57)),IF(R60&gt;R57,1,IF(R60=R57,0.5,0)),0.5)</f>
        <v/>
      </c>
      <c r="AE60">
        <f>IF(AND(ISNUMBER(R60),ISNUMBER(R58)),IF(R60&gt;R58,1,IF(R60=R58,0.5,0)),0.5)</f>
        <v/>
      </c>
      <c r="AF60">
        <f>IF(AND(ISNUMBER(R60),ISNUMBER(R59)),IF(R60&gt;R59,1,IF(R60=R59,0.5,0)),0.5)</f>
        <v/>
      </c>
      <c r="AG60">
        <f>IF(AND(ISNUMBER(R60),ISNUMBER(R61)),IF(R60&gt;R61,1,IF(R60=R61,0.5,0)),0.5)</f>
        <v/>
      </c>
      <c r="AH60">
        <f>IF(AND(ISNUMBER(R60),ISNUMBER(R62)),IF(R60&gt;R62,1,IF(R60=R62,0.5,0)),0.5)</f>
        <v/>
      </c>
      <c r="AI60">
        <f>IF(AND(ISNUMBER(S60),ISNUMBER(S57)),IF(S60&gt;S57,1,IF(S60=S57,0.5,0)),0.5)</f>
        <v/>
      </c>
      <c r="AJ60">
        <f>IF(AND(ISNUMBER(S60),ISNUMBER(S58)),IF(S60&gt;S58,1,IF(S60=S58,0.5,0)),0.5)</f>
        <v/>
      </c>
      <c r="AK60">
        <f>IF(AND(ISNUMBER(S60),ISNUMBER(S59)),IF(S60&gt;S59,1,IF(S60=S59,0.5,0)),0.5)</f>
        <v/>
      </c>
      <c r="AL60">
        <f>IF(AND(ISNUMBER(S60),ISNUMBER(S61)),IF(S60&gt;S61,1,IF(S60=S61,0.5,0)),0.5)</f>
        <v/>
      </c>
      <c r="AM60">
        <f>IF(AND(ISNUMBER(S60),ISNUMBER(S62)),IF(S60&gt;S62,1,IF(S60=S62,0.5,0)),0.5)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4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5">
        <f>IFERROR(AVERAGE(T61:X61),"")</f>
        <v/>
      </c>
      <c r="M61" s="4">
        <f>IFERROR(AVERAGE(Y61:AC61),"")</f>
        <v/>
      </c>
      <c r="N61" s="5">
        <f>P61/5</f>
        <v/>
      </c>
      <c r="O61" s="5">
        <f>Q61/5</f>
        <v/>
      </c>
      <c r="P61" s="4">
        <f>IFERROR(SUM(AD61:AH61),"")</f>
        <v/>
      </c>
      <c r="Q61" s="4">
        <f>IFERROR(SUM(AI61:AM61),"")</f>
        <v/>
      </c>
      <c r="R61" s="16">
        <f>IF(ISNUMBER(J61),J61,IF(ISNUMBER(K61),-K61,""))</f>
        <v/>
      </c>
      <c r="S61">
        <f>IF(ISNUMBER(K61),K61,IF(ISNUMBER(J61),-J61,""))</f>
        <v/>
      </c>
      <c r="T61">
        <f>IF(AND(ISNUMBER(R61),ISNUMBER(R57)),VLOOKUP(ABS(R61-R57),'IMP Table'!$A$2:$C$26,3)*SIGN(R61-R57),"")</f>
        <v/>
      </c>
      <c r="U61">
        <f>IF(AND(ISNUMBER(R61),ISNUMBER(R58)),VLOOKUP(ABS(R61-R58),'IMP Table'!$A$2:$C$26,3)*SIGN(R61-R58),"")</f>
        <v/>
      </c>
      <c r="V61">
        <f>IF(AND(ISNUMBER(R61),ISNUMBER(R59)),VLOOKUP(ABS(R61-R59),'IMP Table'!$A$2:$C$26,3)*SIGN(R61-R59),"")</f>
        <v/>
      </c>
      <c r="W61">
        <f>IF(AND(ISNUMBER(R61),ISNUMBER(R60)),VLOOKUP(ABS(R61-R60),'IMP Table'!$A$2:$C$26,3)*SIGN(R61-R60),"")</f>
        <v/>
      </c>
      <c r="X61">
        <f>IF(AND(ISNUMBER(R61),ISNUMBER(R62)),VLOOKUP(ABS(R61-R62),'IMP Table'!$A$2:$C$26,3)*SIGN(R61-R62),"")</f>
        <v/>
      </c>
      <c r="Y61">
        <f>IF(AND(ISNUMBER(S61),ISNUMBER(S57)),VLOOKUP(ABS(S61-S57),'IMP Table'!$A$2:$C$26,3)*SIGN(S61-S57),"")</f>
        <v/>
      </c>
      <c r="Z61">
        <f>IF(AND(ISNUMBER(S61),ISNUMBER(S58)),VLOOKUP(ABS(S61-S58),'IMP Table'!$A$2:$C$26,3)*SIGN(S61-S58),"")</f>
        <v/>
      </c>
      <c r="AA61">
        <f>IF(AND(ISNUMBER(S61),ISNUMBER(S59)),VLOOKUP(ABS(S61-S59),'IMP Table'!$A$2:$C$26,3)*SIGN(S61-S59),"")</f>
        <v/>
      </c>
      <c r="AB61">
        <f>IF(AND(ISNUMBER(S61),ISNUMBER(S60)),VLOOKUP(ABS(S61-S60),'IMP Table'!$A$2:$C$26,3)*SIGN(S61-S60),"")</f>
        <v/>
      </c>
      <c r="AC61">
        <f>IF(AND(ISNUMBER(S61),ISNUMBER(S62)),VLOOKUP(ABS(S61-S62),'IMP Table'!$A$2:$C$26,3)*SIGN(S61-S62),"")</f>
        <v/>
      </c>
      <c r="AD61">
        <f>IF(AND(ISNUMBER(R61),ISNUMBER(R57)),IF(R61&gt;R57,1,IF(R61=R57,0.5,0)),0.5)</f>
        <v/>
      </c>
      <c r="AE61">
        <f>IF(AND(ISNUMBER(R61),ISNUMBER(R58)),IF(R61&gt;R58,1,IF(R61=R58,0.5,0)),0.5)</f>
        <v/>
      </c>
      <c r="AF61">
        <f>IF(AND(ISNUMBER(R61),ISNUMBER(R59)),IF(R61&gt;R59,1,IF(R61=R59,0.5,0)),0.5)</f>
        <v/>
      </c>
      <c r="AG61">
        <f>IF(AND(ISNUMBER(R61),ISNUMBER(R60)),IF(R61&gt;R60,1,IF(R61=R60,0.5,0)),0.5)</f>
        <v/>
      </c>
      <c r="AH61">
        <f>IF(AND(ISNUMBER(R61),ISNUMBER(R62)),IF(R61&gt;R62,1,IF(R61=R62,0.5,0)),0.5)</f>
        <v/>
      </c>
      <c r="AI61">
        <f>IF(AND(ISNUMBER(S61),ISNUMBER(S57)),IF(S61&gt;S57,1,IF(S61=S57,0.5,0)),0.5)</f>
        <v/>
      </c>
      <c r="AJ61">
        <f>IF(AND(ISNUMBER(S61),ISNUMBER(S58)),IF(S61&gt;S58,1,IF(S61=S58,0.5,0)),0.5)</f>
        <v/>
      </c>
      <c r="AK61">
        <f>IF(AND(ISNUMBER(S61),ISNUMBER(S59)),IF(S61&gt;S59,1,IF(S61=S59,0.5,0)),0.5)</f>
        <v/>
      </c>
      <c r="AL61">
        <f>IF(AND(ISNUMBER(S61),ISNUMBER(S60)),IF(S61&gt;S60,1,IF(S61=S60,0.5,0)),0.5)</f>
        <v/>
      </c>
      <c r="AM61">
        <f>IF(AND(ISNUMBER(S61),ISNUMBER(S62)),IF(S61&gt;S62,1,IF(S61=S62,0.5,0)),0.5)</f>
        <v/>
      </c>
    </row>
    <row r="62">
      <c r="A62" s="13" t="n"/>
      <c r="B62" s="13">
        <f>'By Round'!A123</f>
        <v/>
      </c>
      <c r="C62" s="13">
        <f>'By Round'!B127</f>
        <v/>
      </c>
      <c r="D62" s="13">
        <f>'By Round'!C127</f>
        <v/>
      </c>
      <c r="E62" s="13">
        <f>'By Round'!D127</f>
        <v/>
      </c>
      <c r="F62" s="17" t="inlineStr">
        <is>
          <t>Both</t>
        </is>
      </c>
      <c r="G62" s="13">
        <f>IF(ISBLANK('By Round'!G127),"",'By Round'!G127)</f>
        <v/>
      </c>
      <c r="H62" s="13">
        <f>IF(ISBLANK('By Round'!H127),"",'By Round'!H127)</f>
        <v/>
      </c>
      <c r="I62" s="13">
        <f>IF(ISBLANK('By Round'!I127),"",'By Round'!I127)</f>
        <v/>
      </c>
      <c r="J62" s="13">
        <f>IF(ISBLANK('By Round'!J127),"",'By Round'!J127)</f>
        <v/>
      </c>
      <c r="K62" s="13">
        <f>IF(ISBLANK('By Round'!K127),"",'By Round'!K127)</f>
        <v/>
      </c>
      <c r="L62" s="18">
        <f>IFERROR(AVERAGE(T62:X62),"")</f>
        <v/>
      </c>
      <c r="M62" s="19">
        <f>IFERROR(AVERAGE(Y62:AC62),"")</f>
        <v/>
      </c>
      <c r="N62" s="20">
        <f>P62/5</f>
        <v/>
      </c>
      <c r="O62" s="20">
        <f>Q62/5</f>
        <v/>
      </c>
      <c r="P62" s="19">
        <f>IFERROR(SUM(AD62:AH62),"")</f>
        <v/>
      </c>
      <c r="Q62" s="19">
        <f>IFERROR(SUM(AI62:AM62),"")</f>
        <v/>
      </c>
      <c r="R62" s="21">
        <f>IF(ISNUMBER(J62),J62,IF(ISNUMBER(K62),-K62,""))</f>
        <v/>
      </c>
      <c r="S62" s="13">
        <f>IF(ISNUMBER(K62),K62,IF(ISNUMBER(J62),-J62,""))</f>
        <v/>
      </c>
      <c r="T62" s="13">
        <f>IF(AND(ISNUMBER(R62),ISNUMBER(R57)),VLOOKUP(ABS(R62-R57),'IMP Table'!$A$2:$C$26,3)*SIGN(R62-R57),"")</f>
        <v/>
      </c>
      <c r="U62" s="13">
        <f>IF(AND(ISNUMBER(R62),ISNUMBER(R58)),VLOOKUP(ABS(R62-R58),'IMP Table'!$A$2:$C$26,3)*SIGN(R62-R58),"")</f>
        <v/>
      </c>
      <c r="V62" s="13">
        <f>IF(AND(ISNUMBER(R62),ISNUMBER(R59)),VLOOKUP(ABS(R62-R59),'IMP Table'!$A$2:$C$26,3)*SIGN(R62-R59),"")</f>
        <v/>
      </c>
      <c r="W62" s="13">
        <f>IF(AND(ISNUMBER(R62),ISNUMBER(R60)),VLOOKUP(ABS(R62-R60),'IMP Table'!$A$2:$C$26,3)*SIGN(R62-R60),"")</f>
        <v/>
      </c>
      <c r="X62" s="13">
        <f>IF(AND(ISNUMBER(R62),ISNUMBER(R61)),VLOOKUP(ABS(R62-R61),'IMP Table'!$A$2:$C$26,3)*SIGN(R62-R61),"")</f>
        <v/>
      </c>
      <c r="Y62" s="13">
        <f>IF(AND(ISNUMBER(S62),ISNUMBER(S57)),VLOOKUP(ABS(S62-S57),'IMP Table'!$A$2:$C$26,3)*SIGN(S62-S57),"")</f>
        <v/>
      </c>
      <c r="Z62" s="13">
        <f>IF(AND(ISNUMBER(S62),ISNUMBER(S58)),VLOOKUP(ABS(S62-S58),'IMP Table'!$A$2:$C$26,3)*SIGN(S62-S58),"")</f>
        <v/>
      </c>
      <c r="AA62" s="13">
        <f>IF(AND(ISNUMBER(S62),ISNUMBER(S59)),VLOOKUP(ABS(S62-S59),'IMP Table'!$A$2:$C$26,3)*SIGN(S62-S59),"")</f>
        <v/>
      </c>
      <c r="AB62" s="13">
        <f>IF(AND(ISNUMBER(S62),ISNUMBER(S60)),VLOOKUP(ABS(S62-S60),'IMP Table'!$A$2:$C$26,3)*SIGN(S62-S60),"")</f>
        <v/>
      </c>
      <c r="AC62" s="13">
        <f>IF(AND(ISNUMBER(S62),ISNUMBER(S61)),VLOOKUP(ABS(S62-S61),'IMP Table'!$A$2:$C$26,3)*SIGN(S62-S61),"")</f>
        <v/>
      </c>
      <c r="AD62" s="13">
        <f>IF(AND(ISNUMBER(R62),ISNUMBER(R57)),IF(R62&gt;R57,1,IF(R62=R57,0.5,0)),0.5)</f>
        <v/>
      </c>
      <c r="AE62" s="13">
        <f>IF(AND(ISNUMBER(R62),ISNUMBER(R58)),IF(R62&gt;R58,1,IF(R62=R58,0.5,0)),0.5)</f>
        <v/>
      </c>
      <c r="AF62" s="13">
        <f>IF(AND(ISNUMBER(R62),ISNUMBER(R59)),IF(R62&gt;R59,1,IF(R62=R59,0.5,0)),0.5)</f>
        <v/>
      </c>
      <c r="AG62" s="13">
        <f>IF(AND(ISNUMBER(R62),ISNUMBER(R60)),IF(R62&gt;R60,1,IF(R62=R60,0.5,0)),0.5)</f>
        <v/>
      </c>
      <c r="AH62" s="13">
        <f>IF(AND(ISNUMBER(R62),ISNUMBER(R61)),IF(R62&gt;R61,1,IF(R62=R61,0.5,0)),0.5)</f>
        <v/>
      </c>
      <c r="AI62" s="13">
        <f>IF(AND(ISNUMBER(S62),ISNUMBER(S57)),IF(S62&gt;S57,1,IF(S62=S57,0.5,0)),0.5)</f>
        <v/>
      </c>
      <c r="AJ62" s="13">
        <f>IF(AND(ISNUMBER(S62),ISNUMBER(S58)),IF(S62&gt;S58,1,IF(S62=S58,0.5,0)),0.5)</f>
        <v/>
      </c>
      <c r="AK62" s="13">
        <f>IF(AND(ISNUMBER(S62),ISNUMBER(S59)),IF(S62&gt;S59,1,IF(S62=S59,0.5,0)),0.5)</f>
        <v/>
      </c>
      <c r="AL62" s="13">
        <f>IF(AND(ISNUMBER(S62),ISNUMBER(S60)),IF(S62&gt;S60,1,IF(S62=S60,0.5,0)),0.5)</f>
        <v/>
      </c>
      <c r="AM62" s="13">
        <f>IF(AND(ISNUMBER(S62),ISNUMBER(S61)),IF(S62&gt;S61,1,IF(S62=S61,0.5,0)),0.5)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4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5">
        <f>IFERROR(AVERAGE(T63:X63),"")</f>
        <v/>
      </c>
      <c r="M63" s="4">
        <f>IFERROR(AVERAGE(Y63:AC63),"")</f>
        <v/>
      </c>
      <c r="N63" s="5">
        <f>P63/5</f>
        <v/>
      </c>
      <c r="O63" s="5">
        <f>Q63/5</f>
        <v/>
      </c>
      <c r="P63" s="4">
        <f>IFERROR(SUM(AD63:AH63),"")</f>
        <v/>
      </c>
      <c r="Q63" s="4">
        <f>IFERROR(SUM(AI63:AM63),"")</f>
        <v/>
      </c>
      <c r="R63" s="16">
        <f>IF(ISNUMBER(J63),J63,IF(ISNUMBER(K63),-K63,""))</f>
        <v/>
      </c>
      <c r="S63">
        <f>IF(ISNUMBER(K63),K63,IF(ISNUMBER(J63),-J63,""))</f>
        <v/>
      </c>
      <c r="T63">
        <f>IF(AND(ISNUMBER(R63),ISNUMBER(R64)),VLOOKUP(ABS(R63-R64),'IMP Table'!$A$2:$C$26,3)*SIGN(R63-R64),"")</f>
        <v/>
      </c>
      <c r="U63">
        <f>IF(AND(ISNUMBER(R63),ISNUMBER(R65)),VLOOKUP(ABS(R63-R65),'IMP Table'!$A$2:$C$26,3)*SIGN(R63-R65),"")</f>
        <v/>
      </c>
      <c r="V63">
        <f>IF(AND(ISNUMBER(R63),ISNUMBER(R66)),VLOOKUP(ABS(R63-R66),'IMP Table'!$A$2:$C$26,3)*SIGN(R63-R66),"")</f>
        <v/>
      </c>
      <c r="W63">
        <f>IF(AND(ISNUMBER(R63),ISNUMBER(R67)),VLOOKUP(ABS(R63-R67),'IMP Table'!$A$2:$C$26,3)*SIGN(R63-R67),"")</f>
        <v/>
      </c>
      <c r="X63">
        <f>IF(AND(ISNUMBER(R63),ISNUMBER(R68)),VLOOKUP(ABS(R63-R68),'IMP Table'!$A$2:$C$26,3)*SIGN(R63-R68),"")</f>
        <v/>
      </c>
      <c r="Y63">
        <f>IF(AND(ISNUMBER(S63),ISNUMBER(S64)),VLOOKUP(ABS(S63-S64),'IMP Table'!$A$2:$C$26,3)*SIGN(S63-S64),"")</f>
        <v/>
      </c>
      <c r="Z63">
        <f>IF(AND(ISNUMBER(S63),ISNUMBER(S65)),VLOOKUP(ABS(S63-S65),'IMP Table'!$A$2:$C$26,3)*SIGN(S63-S65),"")</f>
        <v/>
      </c>
      <c r="AA63">
        <f>IF(AND(ISNUMBER(S63),ISNUMBER(S66)),VLOOKUP(ABS(S63-S66),'IMP Table'!$A$2:$C$26,3)*SIGN(S63-S66),"")</f>
        <v/>
      </c>
      <c r="AB63">
        <f>IF(AND(ISNUMBER(S63),ISNUMBER(S67)),VLOOKUP(ABS(S63-S67),'IMP Table'!$A$2:$C$26,3)*SIGN(S63-S67),"")</f>
        <v/>
      </c>
      <c r="AC63">
        <f>IF(AND(ISNUMBER(S63),ISNUMBER(S68)),VLOOKUP(ABS(S63-S68),'IMP Table'!$A$2:$C$26,3)*SIGN(S63-S68),"")</f>
        <v/>
      </c>
      <c r="AD63">
        <f>IF(AND(ISNUMBER(R63),ISNUMBER(R64)),IF(R63&gt;R64,1,IF(R63=R64,0.5,0)),0.5)</f>
        <v/>
      </c>
      <c r="AE63">
        <f>IF(AND(ISNUMBER(R63),ISNUMBER(R65)),IF(R63&gt;R65,1,IF(R63=R65,0.5,0)),0.5)</f>
        <v/>
      </c>
      <c r="AF63">
        <f>IF(AND(ISNUMBER(R63),ISNUMBER(R66)),IF(R63&gt;R66,1,IF(R63=R66,0.5,0)),0.5)</f>
        <v/>
      </c>
      <c r="AG63">
        <f>IF(AND(ISNUMBER(R63),ISNUMBER(R67)),IF(R63&gt;R67,1,IF(R63=R67,0.5,0)),0.5)</f>
        <v/>
      </c>
      <c r="AH63">
        <f>IF(AND(ISNUMBER(R63),ISNUMBER(R68)),IF(R63&gt;R68,1,IF(R63=R68,0.5,0)),0.5)</f>
        <v/>
      </c>
      <c r="AI63">
        <f>IF(AND(ISNUMBER(S63),ISNUMBER(S64)),IF(S63&gt;S64,1,IF(S63=S64,0.5,0)),0.5)</f>
        <v/>
      </c>
      <c r="AJ63">
        <f>IF(AND(ISNUMBER(S63),ISNUMBER(S65)),IF(S63&gt;S65,1,IF(S63=S65,0.5,0)),0.5)</f>
        <v/>
      </c>
      <c r="AK63">
        <f>IF(AND(ISNUMBER(S63),ISNUMBER(S66)),IF(S63&gt;S66,1,IF(S63=S66,0.5,0)),0.5)</f>
        <v/>
      </c>
      <c r="AL63">
        <f>IF(AND(ISNUMBER(S63),ISNUMBER(S67)),IF(S63&gt;S67,1,IF(S63=S67,0.5,0)),0.5)</f>
        <v/>
      </c>
      <c r="AM63">
        <f>IF(AND(ISNUMBER(S63),ISNUMBER(S68)),IF(S63&gt;S68,1,IF(S63=S68,0.5,0)),0.5)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4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5">
        <f>IFERROR(AVERAGE(T64:X64),"")</f>
        <v/>
      </c>
      <c r="M64" s="4">
        <f>IFERROR(AVERAGE(Y64:AC64),"")</f>
        <v/>
      </c>
      <c r="N64" s="5">
        <f>P64/5</f>
        <v/>
      </c>
      <c r="O64" s="5">
        <f>Q64/5</f>
        <v/>
      </c>
      <c r="P64" s="4">
        <f>IFERROR(SUM(AD64:AH64),"")</f>
        <v/>
      </c>
      <c r="Q64" s="4">
        <f>IFERROR(SUM(AI64:AM64),"")</f>
        <v/>
      </c>
      <c r="R64" s="16">
        <f>IF(ISNUMBER(J64),J64,IF(ISNUMBER(K64),-K64,""))</f>
        <v/>
      </c>
      <c r="S64">
        <f>IF(ISNUMBER(K64),K64,IF(ISNUMBER(J64),-J64,""))</f>
        <v/>
      </c>
      <c r="T64">
        <f>IF(AND(ISNUMBER(R64),ISNUMBER(R63)),VLOOKUP(ABS(R64-R63),'IMP Table'!$A$2:$C$26,3)*SIGN(R64-R63),"")</f>
        <v/>
      </c>
      <c r="U64">
        <f>IF(AND(ISNUMBER(R64),ISNUMBER(R65)),VLOOKUP(ABS(R64-R65),'IMP Table'!$A$2:$C$26,3)*SIGN(R64-R65),"")</f>
        <v/>
      </c>
      <c r="V64">
        <f>IF(AND(ISNUMBER(R64),ISNUMBER(R66)),VLOOKUP(ABS(R64-R66),'IMP Table'!$A$2:$C$26,3)*SIGN(R64-R66),"")</f>
        <v/>
      </c>
      <c r="W64">
        <f>IF(AND(ISNUMBER(R64),ISNUMBER(R67)),VLOOKUP(ABS(R64-R67),'IMP Table'!$A$2:$C$26,3)*SIGN(R64-R67),"")</f>
        <v/>
      </c>
      <c r="X64">
        <f>IF(AND(ISNUMBER(R64),ISNUMBER(R68)),VLOOKUP(ABS(R64-R68),'IMP Table'!$A$2:$C$26,3)*SIGN(R64-R68),"")</f>
        <v/>
      </c>
      <c r="Y64">
        <f>IF(AND(ISNUMBER(S64),ISNUMBER(S63)),VLOOKUP(ABS(S64-S63),'IMP Table'!$A$2:$C$26,3)*SIGN(S64-S63),"")</f>
        <v/>
      </c>
      <c r="Z64">
        <f>IF(AND(ISNUMBER(S64),ISNUMBER(S65)),VLOOKUP(ABS(S64-S65),'IMP Table'!$A$2:$C$26,3)*SIGN(S64-S65),"")</f>
        <v/>
      </c>
      <c r="AA64">
        <f>IF(AND(ISNUMBER(S64),ISNUMBER(S66)),VLOOKUP(ABS(S64-S66),'IMP Table'!$A$2:$C$26,3)*SIGN(S64-S66),"")</f>
        <v/>
      </c>
      <c r="AB64">
        <f>IF(AND(ISNUMBER(S64),ISNUMBER(S67)),VLOOKUP(ABS(S64-S67),'IMP Table'!$A$2:$C$26,3)*SIGN(S64-S67),"")</f>
        <v/>
      </c>
      <c r="AC64">
        <f>IF(AND(ISNUMBER(S64),ISNUMBER(S68)),VLOOKUP(ABS(S64-S68),'IMP Table'!$A$2:$C$26,3)*SIGN(S64-S68),"")</f>
        <v/>
      </c>
      <c r="AD64">
        <f>IF(AND(ISNUMBER(R64),ISNUMBER(R63)),IF(R64&gt;R63,1,IF(R64=R63,0.5,0)),0.5)</f>
        <v/>
      </c>
      <c r="AE64">
        <f>IF(AND(ISNUMBER(R64),ISNUMBER(R65)),IF(R64&gt;R65,1,IF(R64=R65,0.5,0)),0.5)</f>
        <v/>
      </c>
      <c r="AF64">
        <f>IF(AND(ISNUMBER(R64),ISNUMBER(R66)),IF(R64&gt;R66,1,IF(R64=R66,0.5,0)),0.5)</f>
        <v/>
      </c>
      <c r="AG64">
        <f>IF(AND(ISNUMBER(R64),ISNUMBER(R67)),IF(R64&gt;R67,1,IF(R64=R67,0.5,0)),0.5)</f>
        <v/>
      </c>
      <c r="AH64">
        <f>IF(AND(ISNUMBER(R64),ISNUMBER(R68)),IF(R64&gt;R68,1,IF(R64=R68,0.5,0)),0.5)</f>
        <v/>
      </c>
      <c r="AI64">
        <f>IF(AND(ISNUMBER(S64),ISNUMBER(S63)),IF(S64&gt;S63,1,IF(S64=S63,0.5,0)),0.5)</f>
        <v/>
      </c>
      <c r="AJ64">
        <f>IF(AND(ISNUMBER(S64),ISNUMBER(S65)),IF(S64&gt;S65,1,IF(S64=S65,0.5,0)),0.5)</f>
        <v/>
      </c>
      <c r="AK64">
        <f>IF(AND(ISNUMBER(S64),ISNUMBER(S66)),IF(S64&gt;S66,1,IF(S64=S66,0.5,0)),0.5)</f>
        <v/>
      </c>
      <c r="AL64">
        <f>IF(AND(ISNUMBER(S64),ISNUMBER(S67)),IF(S64&gt;S67,1,IF(S64=S67,0.5,0)),0.5)</f>
        <v/>
      </c>
      <c r="AM64">
        <f>IF(AND(ISNUMBER(S64),ISNUMBER(S68)),IF(S64&gt;S68,1,IF(S64=S68,0.5,0)),0.5)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4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5">
        <f>IFERROR(AVERAGE(T65:X65),"")</f>
        <v/>
      </c>
      <c r="M65" s="4">
        <f>IFERROR(AVERAGE(Y65:AC65),"")</f>
        <v/>
      </c>
      <c r="N65" s="5">
        <f>P65/5</f>
        <v/>
      </c>
      <c r="O65" s="5">
        <f>Q65/5</f>
        <v/>
      </c>
      <c r="P65" s="4">
        <f>IFERROR(SUM(AD65:AH65),"")</f>
        <v/>
      </c>
      <c r="Q65" s="4">
        <f>IFERROR(SUM(AI65:AM65),"")</f>
        <v/>
      </c>
      <c r="R65" s="16">
        <f>IF(ISNUMBER(J65),J65,IF(ISNUMBER(K65),-K65,""))</f>
        <v/>
      </c>
      <c r="S65">
        <f>IF(ISNUMBER(K65),K65,IF(ISNUMBER(J65),-J65,""))</f>
        <v/>
      </c>
      <c r="T65">
        <f>IF(AND(ISNUMBER(R65),ISNUMBER(R63)),VLOOKUP(ABS(R65-R63),'IMP Table'!$A$2:$C$26,3)*SIGN(R65-R63),"")</f>
        <v/>
      </c>
      <c r="U65">
        <f>IF(AND(ISNUMBER(R65),ISNUMBER(R64)),VLOOKUP(ABS(R65-R64),'IMP Table'!$A$2:$C$26,3)*SIGN(R65-R64),"")</f>
        <v/>
      </c>
      <c r="V65">
        <f>IF(AND(ISNUMBER(R65),ISNUMBER(R66)),VLOOKUP(ABS(R65-R66),'IMP Table'!$A$2:$C$26,3)*SIGN(R65-R66),"")</f>
        <v/>
      </c>
      <c r="W65">
        <f>IF(AND(ISNUMBER(R65),ISNUMBER(R67)),VLOOKUP(ABS(R65-R67),'IMP Table'!$A$2:$C$26,3)*SIGN(R65-R67),"")</f>
        <v/>
      </c>
      <c r="X65">
        <f>IF(AND(ISNUMBER(R65),ISNUMBER(R68)),VLOOKUP(ABS(R65-R68),'IMP Table'!$A$2:$C$26,3)*SIGN(R65-R68),"")</f>
        <v/>
      </c>
      <c r="Y65">
        <f>IF(AND(ISNUMBER(S65),ISNUMBER(S63)),VLOOKUP(ABS(S65-S63),'IMP Table'!$A$2:$C$26,3)*SIGN(S65-S63),"")</f>
        <v/>
      </c>
      <c r="Z65">
        <f>IF(AND(ISNUMBER(S65),ISNUMBER(S64)),VLOOKUP(ABS(S65-S64),'IMP Table'!$A$2:$C$26,3)*SIGN(S65-S64),"")</f>
        <v/>
      </c>
      <c r="AA65">
        <f>IF(AND(ISNUMBER(S65),ISNUMBER(S66)),VLOOKUP(ABS(S65-S66),'IMP Table'!$A$2:$C$26,3)*SIGN(S65-S66),"")</f>
        <v/>
      </c>
      <c r="AB65">
        <f>IF(AND(ISNUMBER(S65),ISNUMBER(S67)),VLOOKUP(ABS(S65-S67),'IMP Table'!$A$2:$C$26,3)*SIGN(S65-S67),"")</f>
        <v/>
      </c>
      <c r="AC65">
        <f>IF(AND(ISNUMBER(S65),ISNUMBER(S68)),VLOOKUP(ABS(S65-S68),'IMP Table'!$A$2:$C$26,3)*SIGN(S65-S68),"")</f>
        <v/>
      </c>
      <c r="AD65">
        <f>IF(AND(ISNUMBER(R65),ISNUMBER(R63)),IF(R65&gt;R63,1,IF(R65=R63,0.5,0)),0.5)</f>
        <v/>
      </c>
      <c r="AE65">
        <f>IF(AND(ISNUMBER(R65),ISNUMBER(R64)),IF(R65&gt;R64,1,IF(R65=R64,0.5,0)),0.5)</f>
        <v/>
      </c>
      <c r="AF65">
        <f>IF(AND(ISNUMBER(R65),ISNUMBER(R66)),IF(R65&gt;R66,1,IF(R65=R66,0.5,0)),0.5)</f>
        <v/>
      </c>
      <c r="AG65">
        <f>IF(AND(ISNUMBER(R65),ISNUMBER(R67)),IF(R65&gt;R67,1,IF(R65=R67,0.5,0)),0.5)</f>
        <v/>
      </c>
      <c r="AH65">
        <f>IF(AND(ISNUMBER(R65),ISNUMBER(R68)),IF(R65&gt;R68,1,IF(R65=R68,0.5,0)),0.5)</f>
        <v/>
      </c>
      <c r="AI65">
        <f>IF(AND(ISNUMBER(S65),ISNUMBER(S63)),IF(S65&gt;S63,1,IF(S65=S63,0.5,0)),0.5)</f>
        <v/>
      </c>
      <c r="AJ65">
        <f>IF(AND(ISNUMBER(S65),ISNUMBER(S64)),IF(S65&gt;S64,1,IF(S65=S64,0.5,0)),0.5)</f>
        <v/>
      </c>
      <c r="AK65">
        <f>IF(AND(ISNUMBER(S65),ISNUMBER(S66)),IF(S65&gt;S66,1,IF(S65=S66,0.5,0)),0.5)</f>
        <v/>
      </c>
      <c r="AL65">
        <f>IF(AND(ISNUMBER(S65),ISNUMBER(S67)),IF(S65&gt;S67,1,IF(S65=S67,0.5,0)),0.5)</f>
        <v/>
      </c>
      <c r="AM65">
        <f>IF(AND(ISNUMBER(S65),ISNUMBER(S68)),IF(S65&gt;S68,1,IF(S65=S68,0.5,0)),0.5)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4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5">
        <f>IFERROR(AVERAGE(T66:X66),"")</f>
        <v/>
      </c>
      <c r="M66" s="4">
        <f>IFERROR(AVERAGE(Y66:AC66),"")</f>
        <v/>
      </c>
      <c r="N66" s="5">
        <f>P66/5</f>
        <v/>
      </c>
      <c r="O66" s="5">
        <f>Q66/5</f>
        <v/>
      </c>
      <c r="P66" s="4">
        <f>IFERROR(SUM(AD66:AH66),"")</f>
        <v/>
      </c>
      <c r="Q66" s="4">
        <f>IFERROR(SUM(AI66:AM66),"")</f>
        <v/>
      </c>
      <c r="R66" s="16">
        <f>IF(ISNUMBER(J66),J66,IF(ISNUMBER(K66),-K66,""))</f>
        <v/>
      </c>
      <c r="S66">
        <f>IF(ISNUMBER(K66),K66,IF(ISNUMBER(J66),-J66,""))</f>
        <v/>
      </c>
      <c r="T66">
        <f>IF(AND(ISNUMBER(R66),ISNUMBER(R63)),VLOOKUP(ABS(R66-R63),'IMP Table'!$A$2:$C$26,3)*SIGN(R66-R63),"")</f>
        <v/>
      </c>
      <c r="U66">
        <f>IF(AND(ISNUMBER(R66),ISNUMBER(R64)),VLOOKUP(ABS(R66-R64),'IMP Table'!$A$2:$C$26,3)*SIGN(R66-R64),"")</f>
        <v/>
      </c>
      <c r="V66">
        <f>IF(AND(ISNUMBER(R66),ISNUMBER(R65)),VLOOKUP(ABS(R66-R65),'IMP Table'!$A$2:$C$26,3)*SIGN(R66-R65),"")</f>
        <v/>
      </c>
      <c r="W66">
        <f>IF(AND(ISNUMBER(R66),ISNUMBER(R67)),VLOOKUP(ABS(R66-R67),'IMP Table'!$A$2:$C$26,3)*SIGN(R66-R67),"")</f>
        <v/>
      </c>
      <c r="X66">
        <f>IF(AND(ISNUMBER(R66),ISNUMBER(R68)),VLOOKUP(ABS(R66-R68),'IMP Table'!$A$2:$C$26,3)*SIGN(R66-R68),"")</f>
        <v/>
      </c>
      <c r="Y66">
        <f>IF(AND(ISNUMBER(S66),ISNUMBER(S63)),VLOOKUP(ABS(S66-S63),'IMP Table'!$A$2:$C$26,3)*SIGN(S66-S63),"")</f>
        <v/>
      </c>
      <c r="Z66">
        <f>IF(AND(ISNUMBER(S66),ISNUMBER(S64)),VLOOKUP(ABS(S66-S64),'IMP Table'!$A$2:$C$26,3)*SIGN(S66-S64),"")</f>
        <v/>
      </c>
      <c r="AA66">
        <f>IF(AND(ISNUMBER(S66),ISNUMBER(S65)),VLOOKUP(ABS(S66-S65),'IMP Table'!$A$2:$C$26,3)*SIGN(S66-S65),"")</f>
        <v/>
      </c>
      <c r="AB66">
        <f>IF(AND(ISNUMBER(S66),ISNUMBER(S67)),VLOOKUP(ABS(S66-S67),'IMP Table'!$A$2:$C$26,3)*SIGN(S66-S67),"")</f>
        <v/>
      </c>
      <c r="AC66">
        <f>IF(AND(ISNUMBER(S66),ISNUMBER(S68)),VLOOKUP(ABS(S66-S68),'IMP Table'!$A$2:$C$26,3)*SIGN(S66-S68),"")</f>
        <v/>
      </c>
      <c r="AD66">
        <f>IF(AND(ISNUMBER(R66),ISNUMBER(R63)),IF(R66&gt;R63,1,IF(R66=R63,0.5,0)),0.5)</f>
        <v/>
      </c>
      <c r="AE66">
        <f>IF(AND(ISNUMBER(R66),ISNUMBER(R64)),IF(R66&gt;R64,1,IF(R66=R64,0.5,0)),0.5)</f>
        <v/>
      </c>
      <c r="AF66">
        <f>IF(AND(ISNUMBER(R66),ISNUMBER(R65)),IF(R66&gt;R65,1,IF(R66=R65,0.5,0)),0.5)</f>
        <v/>
      </c>
      <c r="AG66">
        <f>IF(AND(ISNUMBER(R66),ISNUMBER(R67)),IF(R66&gt;R67,1,IF(R66=R67,0.5,0)),0.5)</f>
        <v/>
      </c>
      <c r="AH66">
        <f>IF(AND(ISNUMBER(R66),ISNUMBER(R68)),IF(R66&gt;R68,1,IF(R66=R68,0.5,0)),0.5)</f>
        <v/>
      </c>
      <c r="AI66">
        <f>IF(AND(ISNUMBER(S66),ISNUMBER(S63)),IF(S66&gt;S63,1,IF(S66=S63,0.5,0)),0.5)</f>
        <v/>
      </c>
      <c r="AJ66">
        <f>IF(AND(ISNUMBER(S66),ISNUMBER(S64)),IF(S66&gt;S64,1,IF(S66=S64,0.5,0)),0.5)</f>
        <v/>
      </c>
      <c r="AK66">
        <f>IF(AND(ISNUMBER(S66),ISNUMBER(S65)),IF(S66&gt;S65,1,IF(S66=S65,0.5,0)),0.5)</f>
        <v/>
      </c>
      <c r="AL66">
        <f>IF(AND(ISNUMBER(S66),ISNUMBER(S67)),IF(S66&gt;S67,1,IF(S66=S67,0.5,0)),0.5)</f>
        <v/>
      </c>
      <c r="AM66">
        <f>IF(AND(ISNUMBER(S66),ISNUMBER(S68)),IF(S66&gt;S68,1,IF(S66=S68,0.5,0)),0.5)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4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5">
        <f>IFERROR(AVERAGE(T67:X67),"")</f>
        <v/>
      </c>
      <c r="M67" s="4">
        <f>IFERROR(AVERAGE(Y67:AC67),"")</f>
        <v/>
      </c>
      <c r="N67" s="5">
        <f>P67/5</f>
        <v/>
      </c>
      <c r="O67" s="5">
        <f>Q67/5</f>
        <v/>
      </c>
      <c r="P67" s="4">
        <f>IFERROR(SUM(AD67:AH67),"")</f>
        <v/>
      </c>
      <c r="Q67" s="4">
        <f>IFERROR(SUM(AI67:AM67),"")</f>
        <v/>
      </c>
      <c r="R67" s="16">
        <f>IF(ISNUMBER(J67),J67,IF(ISNUMBER(K67),-K67,""))</f>
        <v/>
      </c>
      <c r="S67">
        <f>IF(ISNUMBER(K67),K67,IF(ISNUMBER(J67),-J67,""))</f>
        <v/>
      </c>
      <c r="T67">
        <f>IF(AND(ISNUMBER(R67),ISNUMBER(R63)),VLOOKUP(ABS(R67-R63),'IMP Table'!$A$2:$C$26,3)*SIGN(R67-R63),"")</f>
        <v/>
      </c>
      <c r="U67">
        <f>IF(AND(ISNUMBER(R67),ISNUMBER(R64)),VLOOKUP(ABS(R67-R64),'IMP Table'!$A$2:$C$26,3)*SIGN(R67-R64),"")</f>
        <v/>
      </c>
      <c r="V67">
        <f>IF(AND(ISNUMBER(R67),ISNUMBER(R65)),VLOOKUP(ABS(R67-R65),'IMP Table'!$A$2:$C$26,3)*SIGN(R67-R65),"")</f>
        <v/>
      </c>
      <c r="W67">
        <f>IF(AND(ISNUMBER(R67),ISNUMBER(R66)),VLOOKUP(ABS(R67-R66),'IMP Table'!$A$2:$C$26,3)*SIGN(R67-R66),"")</f>
        <v/>
      </c>
      <c r="X67">
        <f>IF(AND(ISNUMBER(R67),ISNUMBER(R68)),VLOOKUP(ABS(R67-R68),'IMP Table'!$A$2:$C$26,3)*SIGN(R67-R68),"")</f>
        <v/>
      </c>
      <c r="Y67">
        <f>IF(AND(ISNUMBER(S67),ISNUMBER(S63)),VLOOKUP(ABS(S67-S63),'IMP Table'!$A$2:$C$26,3)*SIGN(S67-S63),"")</f>
        <v/>
      </c>
      <c r="Z67">
        <f>IF(AND(ISNUMBER(S67),ISNUMBER(S64)),VLOOKUP(ABS(S67-S64),'IMP Table'!$A$2:$C$26,3)*SIGN(S67-S64),"")</f>
        <v/>
      </c>
      <c r="AA67">
        <f>IF(AND(ISNUMBER(S67),ISNUMBER(S65)),VLOOKUP(ABS(S67-S65),'IMP Table'!$A$2:$C$26,3)*SIGN(S67-S65),"")</f>
        <v/>
      </c>
      <c r="AB67">
        <f>IF(AND(ISNUMBER(S67),ISNUMBER(S66)),VLOOKUP(ABS(S67-S66),'IMP Table'!$A$2:$C$26,3)*SIGN(S67-S66),"")</f>
        <v/>
      </c>
      <c r="AC67">
        <f>IF(AND(ISNUMBER(S67),ISNUMBER(S68)),VLOOKUP(ABS(S67-S68),'IMP Table'!$A$2:$C$26,3)*SIGN(S67-S68),"")</f>
        <v/>
      </c>
      <c r="AD67">
        <f>IF(AND(ISNUMBER(R67),ISNUMBER(R63)),IF(R67&gt;R63,1,IF(R67=R63,0.5,0)),0.5)</f>
        <v/>
      </c>
      <c r="AE67">
        <f>IF(AND(ISNUMBER(R67),ISNUMBER(R64)),IF(R67&gt;R64,1,IF(R67=R64,0.5,0)),0.5)</f>
        <v/>
      </c>
      <c r="AF67">
        <f>IF(AND(ISNUMBER(R67),ISNUMBER(R65)),IF(R67&gt;R65,1,IF(R67=R65,0.5,0)),0.5)</f>
        <v/>
      </c>
      <c r="AG67">
        <f>IF(AND(ISNUMBER(R67),ISNUMBER(R66)),IF(R67&gt;R66,1,IF(R67=R66,0.5,0)),0.5)</f>
        <v/>
      </c>
      <c r="AH67">
        <f>IF(AND(ISNUMBER(R67),ISNUMBER(R68)),IF(R67&gt;R68,1,IF(R67=R68,0.5,0)),0.5)</f>
        <v/>
      </c>
      <c r="AI67">
        <f>IF(AND(ISNUMBER(S67),ISNUMBER(S63)),IF(S67&gt;S63,1,IF(S67=S63,0.5,0)),0.5)</f>
        <v/>
      </c>
      <c r="AJ67">
        <f>IF(AND(ISNUMBER(S67),ISNUMBER(S64)),IF(S67&gt;S64,1,IF(S67=S64,0.5,0)),0.5)</f>
        <v/>
      </c>
      <c r="AK67">
        <f>IF(AND(ISNUMBER(S67),ISNUMBER(S65)),IF(S67&gt;S65,1,IF(S67=S65,0.5,0)),0.5)</f>
        <v/>
      </c>
      <c r="AL67">
        <f>IF(AND(ISNUMBER(S67),ISNUMBER(S66)),IF(S67&gt;S66,1,IF(S67=S66,0.5,0)),0.5)</f>
        <v/>
      </c>
      <c r="AM67">
        <f>IF(AND(ISNUMBER(S67),ISNUMBER(S68)),IF(S67&gt;S68,1,IF(S67=S68,0.5,0)),0.5)</f>
        <v/>
      </c>
    </row>
    <row r="68">
      <c r="A68" s="13" t="n"/>
      <c r="B68" s="13">
        <f>'By Round'!A111</f>
        <v/>
      </c>
      <c r="C68" s="13">
        <f>'By Round'!B117</f>
        <v/>
      </c>
      <c r="D68" s="13">
        <f>'By Round'!C117</f>
        <v/>
      </c>
      <c r="E68" s="13">
        <f>'By Round'!D117</f>
        <v/>
      </c>
      <c r="F68" s="17" t="inlineStr">
        <is>
          <t>None</t>
        </is>
      </c>
      <c r="G68" s="13">
        <f>IF(ISBLANK('By Round'!G117),"",'By Round'!G117)</f>
        <v/>
      </c>
      <c r="H68" s="13">
        <f>IF(ISBLANK('By Round'!H117),"",'By Round'!H117)</f>
        <v/>
      </c>
      <c r="I68" s="13">
        <f>IF(ISBLANK('By Round'!I117),"",'By Round'!I117)</f>
        <v/>
      </c>
      <c r="J68" s="13">
        <f>IF(ISBLANK('By Round'!J117),"",'By Round'!J117)</f>
        <v/>
      </c>
      <c r="K68" s="13">
        <f>IF(ISBLANK('By Round'!K117),"",'By Round'!K117)</f>
        <v/>
      </c>
      <c r="L68" s="18">
        <f>IFERROR(AVERAGE(T68:X68),"")</f>
        <v/>
      </c>
      <c r="M68" s="19">
        <f>IFERROR(AVERAGE(Y68:AC68),"")</f>
        <v/>
      </c>
      <c r="N68" s="20">
        <f>P68/5</f>
        <v/>
      </c>
      <c r="O68" s="20">
        <f>Q68/5</f>
        <v/>
      </c>
      <c r="P68" s="19">
        <f>IFERROR(SUM(AD68:AH68),"")</f>
        <v/>
      </c>
      <c r="Q68" s="19">
        <f>IFERROR(SUM(AI68:AM68),"")</f>
        <v/>
      </c>
      <c r="R68" s="21">
        <f>IF(ISNUMBER(J68),J68,IF(ISNUMBER(K68),-K68,""))</f>
        <v/>
      </c>
      <c r="S68" s="13">
        <f>IF(ISNUMBER(K68),K68,IF(ISNUMBER(J68),-J68,""))</f>
        <v/>
      </c>
      <c r="T68" s="13">
        <f>IF(AND(ISNUMBER(R68),ISNUMBER(R63)),VLOOKUP(ABS(R68-R63),'IMP Table'!$A$2:$C$26,3)*SIGN(R68-R63),"")</f>
        <v/>
      </c>
      <c r="U68" s="13">
        <f>IF(AND(ISNUMBER(R68),ISNUMBER(R64)),VLOOKUP(ABS(R68-R64),'IMP Table'!$A$2:$C$26,3)*SIGN(R68-R64),"")</f>
        <v/>
      </c>
      <c r="V68" s="13">
        <f>IF(AND(ISNUMBER(R68),ISNUMBER(R65)),VLOOKUP(ABS(R68-R65),'IMP Table'!$A$2:$C$26,3)*SIGN(R68-R65),"")</f>
        <v/>
      </c>
      <c r="W68" s="13">
        <f>IF(AND(ISNUMBER(R68),ISNUMBER(R66)),VLOOKUP(ABS(R68-R66),'IMP Table'!$A$2:$C$26,3)*SIGN(R68-R66),"")</f>
        <v/>
      </c>
      <c r="X68" s="13">
        <f>IF(AND(ISNUMBER(R68),ISNUMBER(R67)),VLOOKUP(ABS(R68-R67),'IMP Table'!$A$2:$C$26,3)*SIGN(R68-R67),"")</f>
        <v/>
      </c>
      <c r="Y68" s="13">
        <f>IF(AND(ISNUMBER(S68),ISNUMBER(S63)),VLOOKUP(ABS(S68-S63),'IMP Table'!$A$2:$C$26,3)*SIGN(S68-S63),"")</f>
        <v/>
      </c>
      <c r="Z68" s="13">
        <f>IF(AND(ISNUMBER(S68),ISNUMBER(S64)),VLOOKUP(ABS(S68-S64),'IMP Table'!$A$2:$C$26,3)*SIGN(S68-S64),"")</f>
        <v/>
      </c>
      <c r="AA68" s="13">
        <f>IF(AND(ISNUMBER(S68),ISNUMBER(S65)),VLOOKUP(ABS(S68-S65),'IMP Table'!$A$2:$C$26,3)*SIGN(S68-S65),"")</f>
        <v/>
      </c>
      <c r="AB68" s="13">
        <f>IF(AND(ISNUMBER(S68),ISNUMBER(S66)),VLOOKUP(ABS(S68-S66),'IMP Table'!$A$2:$C$26,3)*SIGN(S68-S66),"")</f>
        <v/>
      </c>
      <c r="AC68" s="13">
        <f>IF(AND(ISNUMBER(S68),ISNUMBER(S67)),VLOOKUP(ABS(S68-S67),'IMP Table'!$A$2:$C$26,3)*SIGN(S68-S67),"")</f>
        <v/>
      </c>
      <c r="AD68" s="13">
        <f>IF(AND(ISNUMBER(R68),ISNUMBER(R63)),IF(R68&gt;R63,1,IF(R68=R63,0.5,0)),0.5)</f>
        <v/>
      </c>
      <c r="AE68" s="13">
        <f>IF(AND(ISNUMBER(R68),ISNUMBER(R64)),IF(R68&gt;R64,1,IF(R68=R64,0.5,0)),0.5)</f>
        <v/>
      </c>
      <c r="AF68" s="13">
        <f>IF(AND(ISNUMBER(R68),ISNUMBER(R65)),IF(R68&gt;R65,1,IF(R68=R65,0.5,0)),0.5)</f>
        <v/>
      </c>
      <c r="AG68" s="13">
        <f>IF(AND(ISNUMBER(R68),ISNUMBER(R66)),IF(R68&gt;R66,1,IF(R68=R66,0.5,0)),0.5)</f>
        <v/>
      </c>
      <c r="AH68" s="13">
        <f>IF(AND(ISNUMBER(R68),ISNUMBER(R67)),IF(R68&gt;R67,1,IF(R68=R67,0.5,0)),0.5)</f>
        <v/>
      </c>
      <c r="AI68" s="13">
        <f>IF(AND(ISNUMBER(S68),ISNUMBER(S63)),IF(S68&gt;S63,1,IF(S68=S63,0.5,0)),0.5)</f>
        <v/>
      </c>
      <c r="AJ68" s="13">
        <f>IF(AND(ISNUMBER(S68),ISNUMBER(S64)),IF(S68&gt;S64,1,IF(S68=S64,0.5,0)),0.5)</f>
        <v/>
      </c>
      <c r="AK68" s="13">
        <f>IF(AND(ISNUMBER(S68),ISNUMBER(S65)),IF(S68&gt;S65,1,IF(S68=S65,0.5,0)),0.5)</f>
        <v/>
      </c>
      <c r="AL68" s="13">
        <f>IF(AND(ISNUMBER(S68),ISNUMBER(S66)),IF(S68&gt;S66,1,IF(S68=S66,0.5,0)),0.5)</f>
        <v/>
      </c>
      <c r="AM68" s="13">
        <f>IF(AND(ISNUMBER(S68),ISNUMBER(S67)),IF(S68&gt;S67,1,IF(S68=S67,0.5,0)),0.5)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4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5">
        <f>IFERROR(AVERAGE(T69:X69),"")</f>
        <v/>
      </c>
      <c r="M69" s="4">
        <f>IFERROR(AVERAGE(Y69:AC69),"")</f>
        <v/>
      </c>
      <c r="N69" s="5">
        <f>P69/5</f>
        <v/>
      </c>
      <c r="O69" s="5">
        <f>Q69/5</f>
        <v/>
      </c>
      <c r="P69" s="4">
        <f>IFERROR(SUM(AD69:AH69),"")</f>
        <v/>
      </c>
      <c r="Q69" s="4">
        <f>IFERROR(SUM(AI69:AM69),"")</f>
        <v/>
      </c>
      <c r="R69" s="16">
        <f>IF(ISNUMBER(J69),J69,IF(ISNUMBER(K69),-K69,""))</f>
        <v/>
      </c>
      <c r="S69">
        <f>IF(ISNUMBER(K69),K69,IF(ISNUMBER(J69),-J69,""))</f>
        <v/>
      </c>
      <c r="T69">
        <f>IF(AND(ISNUMBER(R69),ISNUMBER(R70)),VLOOKUP(ABS(R69-R70),'IMP Table'!$A$2:$C$26,3)*SIGN(R69-R70),"")</f>
        <v/>
      </c>
      <c r="U69">
        <f>IF(AND(ISNUMBER(R69),ISNUMBER(R71)),VLOOKUP(ABS(R69-R71),'IMP Table'!$A$2:$C$26,3)*SIGN(R69-R71),"")</f>
        <v/>
      </c>
      <c r="V69">
        <f>IF(AND(ISNUMBER(R69),ISNUMBER(R72)),VLOOKUP(ABS(R69-R72),'IMP Table'!$A$2:$C$26,3)*SIGN(R69-R72),"")</f>
        <v/>
      </c>
      <c r="W69">
        <f>IF(AND(ISNUMBER(R69),ISNUMBER(R73)),VLOOKUP(ABS(R69-R73),'IMP Table'!$A$2:$C$26,3)*SIGN(R69-R73),"")</f>
        <v/>
      </c>
      <c r="X69">
        <f>IF(AND(ISNUMBER(R69),ISNUMBER(R74)),VLOOKUP(ABS(R69-R74),'IMP Table'!$A$2:$C$26,3)*SIGN(R69-R74),"")</f>
        <v/>
      </c>
      <c r="Y69">
        <f>IF(AND(ISNUMBER(S69),ISNUMBER(S70)),VLOOKUP(ABS(S69-S70),'IMP Table'!$A$2:$C$26,3)*SIGN(S69-S70),"")</f>
        <v/>
      </c>
      <c r="Z69">
        <f>IF(AND(ISNUMBER(S69),ISNUMBER(S71)),VLOOKUP(ABS(S69-S71),'IMP Table'!$A$2:$C$26,3)*SIGN(S69-S71),"")</f>
        <v/>
      </c>
      <c r="AA69">
        <f>IF(AND(ISNUMBER(S69),ISNUMBER(S72)),VLOOKUP(ABS(S69-S72),'IMP Table'!$A$2:$C$26,3)*SIGN(S69-S72),"")</f>
        <v/>
      </c>
      <c r="AB69">
        <f>IF(AND(ISNUMBER(S69),ISNUMBER(S73)),VLOOKUP(ABS(S69-S73),'IMP Table'!$A$2:$C$26,3)*SIGN(S69-S73),"")</f>
        <v/>
      </c>
      <c r="AC69">
        <f>IF(AND(ISNUMBER(S69),ISNUMBER(S74)),VLOOKUP(ABS(S69-S74),'IMP Table'!$A$2:$C$26,3)*SIGN(S69-S74),"")</f>
        <v/>
      </c>
      <c r="AD69">
        <f>IF(AND(ISNUMBER(R69),ISNUMBER(R70)),IF(R69&gt;R70,1,IF(R69=R70,0.5,0)),0.5)</f>
        <v/>
      </c>
      <c r="AE69">
        <f>IF(AND(ISNUMBER(R69),ISNUMBER(R71)),IF(R69&gt;R71,1,IF(R69=R71,0.5,0)),0.5)</f>
        <v/>
      </c>
      <c r="AF69">
        <f>IF(AND(ISNUMBER(R69),ISNUMBER(R72)),IF(R69&gt;R72,1,IF(R69=R72,0.5,0)),0.5)</f>
        <v/>
      </c>
      <c r="AG69">
        <f>IF(AND(ISNUMBER(R69),ISNUMBER(R73)),IF(R69&gt;R73,1,IF(R69=R73,0.5,0)),0.5)</f>
        <v/>
      </c>
      <c r="AH69">
        <f>IF(AND(ISNUMBER(R69),ISNUMBER(R74)),IF(R69&gt;R74,1,IF(R69=R74,0.5,0)),0.5)</f>
        <v/>
      </c>
      <c r="AI69">
        <f>IF(AND(ISNUMBER(S69),ISNUMBER(S70)),IF(S69&gt;S70,1,IF(S69=S70,0.5,0)),0.5)</f>
        <v/>
      </c>
      <c r="AJ69">
        <f>IF(AND(ISNUMBER(S69),ISNUMBER(S71)),IF(S69&gt;S71,1,IF(S69=S71,0.5,0)),0.5)</f>
        <v/>
      </c>
      <c r="AK69">
        <f>IF(AND(ISNUMBER(S69),ISNUMBER(S72)),IF(S69&gt;S72,1,IF(S69=S72,0.5,0)),0.5)</f>
        <v/>
      </c>
      <c r="AL69">
        <f>IF(AND(ISNUMBER(S69),ISNUMBER(S73)),IF(S69&gt;S73,1,IF(S69=S73,0.5,0)),0.5)</f>
        <v/>
      </c>
      <c r="AM69">
        <f>IF(AND(ISNUMBER(S69),ISNUMBER(S74)),IF(S69&gt;S74,1,IF(S69=S74,0.5,0)),0.5)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4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5">
        <f>IFERROR(AVERAGE(T70:X70),"")</f>
        <v/>
      </c>
      <c r="M70" s="4">
        <f>IFERROR(AVERAGE(Y70:AC70),"")</f>
        <v/>
      </c>
      <c r="N70" s="5">
        <f>P70/5</f>
        <v/>
      </c>
      <c r="O70" s="5">
        <f>Q70/5</f>
        <v/>
      </c>
      <c r="P70" s="4">
        <f>IFERROR(SUM(AD70:AH70),"")</f>
        <v/>
      </c>
      <c r="Q70" s="4">
        <f>IFERROR(SUM(AI70:AM70),"")</f>
        <v/>
      </c>
      <c r="R70" s="16">
        <f>IF(ISNUMBER(J70),J70,IF(ISNUMBER(K70),-K70,""))</f>
        <v/>
      </c>
      <c r="S70">
        <f>IF(ISNUMBER(K70),K70,IF(ISNUMBER(J70),-J70,""))</f>
        <v/>
      </c>
      <c r="T70">
        <f>IF(AND(ISNUMBER(R70),ISNUMBER(R69)),VLOOKUP(ABS(R70-R69),'IMP Table'!$A$2:$C$26,3)*SIGN(R70-R69),"")</f>
        <v/>
      </c>
      <c r="U70">
        <f>IF(AND(ISNUMBER(R70),ISNUMBER(R71)),VLOOKUP(ABS(R70-R71),'IMP Table'!$A$2:$C$26,3)*SIGN(R70-R71),"")</f>
        <v/>
      </c>
      <c r="V70">
        <f>IF(AND(ISNUMBER(R70),ISNUMBER(R72)),VLOOKUP(ABS(R70-R72),'IMP Table'!$A$2:$C$26,3)*SIGN(R70-R72),"")</f>
        <v/>
      </c>
      <c r="W70">
        <f>IF(AND(ISNUMBER(R70),ISNUMBER(R73)),VLOOKUP(ABS(R70-R73),'IMP Table'!$A$2:$C$26,3)*SIGN(R70-R73),"")</f>
        <v/>
      </c>
      <c r="X70">
        <f>IF(AND(ISNUMBER(R70),ISNUMBER(R74)),VLOOKUP(ABS(R70-R74),'IMP Table'!$A$2:$C$26,3)*SIGN(R70-R74),"")</f>
        <v/>
      </c>
      <c r="Y70">
        <f>IF(AND(ISNUMBER(S70),ISNUMBER(S69)),VLOOKUP(ABS(S70-S69),'IMP Table'!$A$2:$C$26,3)*SIGN(S70-S69),"")</f>
        <v/>
      </c>
      <c r="Z70">
        <f>IF(AND(ISNUMBER(S70),ISNUMBER(S71)),VLOOKUP(ABS(S70-S71),'IMP Table'!$A$2:$C$26,3)*SIGN(S70-S71),"")</f>
        <v/>
      </c>
      <c r="AA70">
        <f>IF(AND(ISNUMBER(S70),ISNUMBER(S72)),VLOOKUP(ABS(S70-S72),'IMP Table'!$A$2:$C$26,3)*SIGN(S70-S72),"")</f>
        <v/>
      </c>
      <c r="AB70">
        <f>IF(AND(ISNUMBER(S70),ISNUMBER(S73)),VLOOKUP(ABS(S70-S73),'IMP Table'!$A$2:$C$26,3)*SIGN(S70-S73),"")</f>
        <v/>
      </c>
      <c r="AC70">
        <f>IF(AND(ISNUMBER(S70),ISNUMBER(S74)),VLOOKUP(ABS(S70-S74),'IMP Table'!$A$2:$C$26,3)*SIGN(S70-S74),"")</f>
        <v/>
      </c>
      <c r="AD70">
        <f>IF(AND(ISNUMBER(R70),ISNUMBER(R69)),IF(R70&gt;R69,1,IF(R70=R69,0.5,0)),0.5)</f>
        <v/>
      </c>
      <c r="AE70">
        <f>IF(AND(ISNUMBER(R70),ISNUMBER(R71)),IF(R70&gt;R71,1,IF(R70=R71,0.5,0)),0.5)</f>
        <v/>
      </c>
      <c r="AF70">
        <f>IF(AND(ISNUMBER(R70),ISNUMBER(R72)),IF(R70&gt;R72,1,IF(R70=R72,0.5,0)),0.5)</f>
        <v/>
      </c>
      <c r="AG70">
        <f>IF(AND(ISNUMBER(R70),ISNUMBER(R73)),IF(R70&gt;R73,1,IF(R70=R73,0.5,0)),0.5)</f>
        <v/>
      </c>
      <c r="AH70">
        <f>IF(AND(ISNUMBER(R70),ISNUMBER(R74)),IF(R70&gt;R74,1,IF(R70=R74,0.5,0)),0.5)</f>
        <v/>
      </c>
      <c r="AI70">
        <f>IF(AND(ISNUMBER(S70),ISNUMBER(S69)),IF(S70&gt;S69,1,IF(S70=S69,0.5,0)),0.5)</f>
        <v/>
      </c>
      <c r="AJ70">
        <f>IF(AND(ISNUMBER(S70),ISNUMBER(S71)),IF(S70&gt;S71,1,IF(S70=S71,0.5,0)),0.5)</f>
        <v/>
      </c>
      <c r="AK70">
        <f>IF(AND(ISNUMBER(S70),ISNUMBER(S72)),IF(S70&gt;S72,1,IF(S70=S72,0.5,0)),0.5)</f>
        <v/>
      </c>
      <c r="AL70">
        <f>IF(AND(ISNUMBER(S70),ISNUMBER(S73)),IF(S70&gt;S73,1,IF(S70=S73,0.5,0)),0.5)</f>
        <v/>
      </c>
      <c r="AM70">
        <f>IF(AND(ISNUMBER(S70),ISNUMBER(S74)),IF(S70&gt;S74,1,IF(S70=S74,0.5,0)),0.5)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4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5">
        <f>IFERROR(AVERAGE(T71:X71),"")</f>
        <v/>
      </c>
      <c r="M71" s="4">
        <f>IFERROR(AVERAGE(Y71:AC71),"")</f>
        <v/>
      </c>
      <c r="N71" s="5">
        <f>P71/5</f>
        <v/>
      </c>
      <c r="O71" s="5">
        <f>Q71/5</f>
        <v/>
      </c>
      <c r="P71" s="4">
        <f>IFERROR(SUM(AD71:AH71),"")</f>
        <v/>
      </c>
      <c r="Q71" s="4">
        <f>IFERROR(SUM(AI71:AM71),"")</f>
        <v/>
      </c>
      <c r="R71" s="16">
        <f>IF(ISNUMBER(J71),J71,IF(ISNUMBER(K71),-K71,""))</f>
        <v/>
      </c>
      <c r="S71">
        <f>IF(ISNUMBER(K71),K71,IF(ISNUMBER(J71),-J71,""))</f>
        <v/>
      </c>
      <c r="T71">
        <f>IF(AND(ISNUMBER(R71),ISNUMBER(R69)),VLOOKUP(ABS(R71-R69),'IMP Table'!$A$2:$C$26,3)*SIGN(R71-R69),"")</f>
        <v/>
      </c>
      <c r="U71">
        <f>IF(AND(ISNUMBER(R71),ISNUMBER(R70)),VLOOKUP(ABS(R71-R70),'IMP Table'!$A$2:$C$26,3)*SIGN(R71-R70),"")</f>
        <v/>
      </c>
      <c r="V71">
        <f>IF(AND(ISNUMBER(R71),ISNUMBER(R72)),VLOOKUP(ABS(R71-R72),'IMP Table'!$A$2:$C$26,3)*SIGN(R71-R72),"")</f>
        <v/>
      </c>
      <c r="W71">
        <f>IF(AND(ISNUMBER(R71),ISNUMBER(R73)),VLOOKUP(ABS(R71-R73),'IMP Table'!$A$2:$C$26,3)*SIGN(R71-R73),"")</f>
        <v/>
      </c>
      <c r="X71">
        <f>IF(AND(ISNUMBER(R71),ISNUMBER(R74)),VLOOKUP(ABS(R71-R74),'IMP Table'!$A$2:$C$26,3)*SIGN(R71-R74),"")</f>
        <v/>
      </c>
      <c r="Y71">
        <f>IF(AND(ISNUMBER(S71),ISNUMBER(S69)),VLOOKUP(ABS(S71-S69),'IMP Table'!$A$2:$C$26,3)*SIGN(S71-S69),"")</f>
        <v/>
      </c>
      <c r="Z71">
        <f>IF(AND(ISNUMBER(S71),ISNUMBER(S70)),VLOOKUP(ABS(S71-S70),'IMP Table'!$A$2:$C$26,3)*SIGN(S71-S70),"")</f>
        <v/>
      </c>
      <c r="AA71">
        <f>IF(AND(ISNUMBER(S71),ISNUMBER(S72)),VLOOKUP(ABS(S71-S72),'IMP Table'!$A$2:$C$26,3)*SIGN(S71-S72),"")</f>
        <v/>
      </c>
      <c r="AB71">
        <f>IF(AND(ISNUMBER(S71),ISNUMBER(S73)),VLOOKUP(ABS(S71-S73),'IMP Table'!$A$2:$C$26,3)*SIGN(S71-S73),"")</f>
        <v/>
      </c>
      <c r="AC71">
        <f>IF(AND(ISNUMBER(S71),ISNUMBER(S74)),VLOOKUP(ABS(S71-S74),'IMP Table'!$A$2:$C$26,3)*SIGN(S71-S74),"")</f>
        <v/>
      </c>
      <c r="AD71">
        <f>IF(AND(ISNUMBER(R71),ISNUMBER(R69)),IF(R71&gt;R69,1,IF(R71=R69,0.5,0)),0.5)</f>
        <v/>
      </c>
      <c r="AE71">
        <f>IF(AND(ISNUMBER(R71),ISNUMBER(R70)),IF(R71&gt;R70,1,IF(R71=R70,0.5,0)),0.5)</f>
        <v/>
      </c>
      <c r="AF71">
        <f>IF(AND(ISNUMBER(R71),ISNUMBER(R72)),IF(R71&gt;R72,1,IF(R71=R72,0.5,0)),0.5)</f>
        <v/>
      </c>
      <c r="AG71">
        <f>IF(AND(ISNUMBER(R71),ISNUMBER(R73)),IF(R71&gt;R73,1,IF(R71=R73,0.5,0)),0.5)</f>
        <v/>
      </c>
      <c r="AH71">
        <f>IF(AND(ISNUMBER(R71),ISNUMBER(R74)),IF(R71&gt;R74,1,IF(R71=R74,0.5,0)),0.5)</f>
        <v/>
      </c>
      <c r="AI71">
        <f>IF(AND(ISNUMBER(S71),ISNUMBER(S69)),IF(S71&gt;S69,1,IF(S71=S69,0.5,0)),0.5)</f>
        <v/>
      </c>
      <c r="AJ71">
        <f>IF(AND(ISNUMBER(S71),ISNUMBER(S70)),IF(S71&gt;S70,1,IF(S71=S70,0.5,0)),0.5)</f>
        <v/>
      </c>
      <c r="AK71">
        <f>IF(AND(ISNUMBER(S71),ISNUMBER(S72)),IF(S71&gt;S72,1,IF(S71=S72,0.5,0)),0.5)</f>
        <v/>
      </c>
      <c r="AL71">
        <f>IF(AND(ISNUMBER(S71),ISNUMBER(S73)),IF(S71&gt;S73,1,IF(S71=S73,0.5,0)),0.5)</f>
        <v/>
      </c>
      <c r="AM71">
        <f>IF(AND(ISNUMBER(S71),ISNUMBER(S74)),IF(S71&gt;S74,1,IF(S71=S74,0.5,0)),0.5)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4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5">
        <f>IFERROR(AVERAGE(T72:X72),"")</f>
        <v/>
      </c>
      <c r="M72" s="4">
        <f>IFERROR(AVERAGE(Y72:AC72),"")</f>
        <v/>
      </c>
      <c r="N72" s="5">
        <f>P72/5</f>
        <v/>
      </c>
      <c r="O72" s="5">
        <f>Q72/5</f>
        <v/>
      </c>
      <c r="P72" s="4">
        <f>IFERROR(SUM(AD72:AH72),"")</f>
        <v/>
      </c>
      <c r="Q72" s="4">
        <f>IFERROR(SUM(AI72:AM72),"")</f>
        <v/>
      </c>
      <c r="R72" s="16">
        <f>IF(ISNUMBER(J72),J72,IF(ISNUMBER(K72),-K72,""))</f>
        <v/>
      </c>
      <c r="S72">
        <f>IF(ISNUMBER(K72),K72,IF(ISNUMBER(J72),-J72,""))</f>
        <v/>
      </c>
      <c r="T72">
        <f>IF(AND(ISNUMBER(R72),ISNUMBER(R69)),VLOOKUP(ABS(R72-R69),'IMP Table'!$A$2:$C$26,3)*SIGN(R72-R69),"")</f>
        <v/>
      </c>
      <c r="U72">
        <f>IF(AND(ISNUMBER(R72),ISNUMBER(R70)),VLOOKUP(ABS(R72-R70),'IMP Table'!$A$2:$C$26,3)*SIGN(R72-R70),"")</f>
        <v/>
      </c>
      <c r="V72">
        <f>IF(AND(ISNUMBER(R72),ISNUMBER(R71)),VLOOKUP(ABS(R72-R71),'IMP Table'!$A$2:$C$26,3)*SIGN(R72-R71),"")</f>
        <v/>
      </c>
      <c r="W72">
        <f>IF(AND(ISNUMBER(R72),ISNUMBER(R73)),VLOOKUP(ABS(R72-R73),'IMP Table'!$A$2:$C$26,3)*SIGN(R72-R73),"")</f>
        <v/>
      </c>
      <c r="X72">
        <f>IF(AND(ISNUMBER(R72),ISNUMBER(R74)),VLOOKUP(ABS(R72-R74),'IMP Table'!$A$2:$C$26,3)*SIGN(R72-R74),"")</f>
        <v/>
      </c>
      <c r="Y72">
        <f>IF(AND(ISNUMBER(S72),ISNUMBER(S69)),VLOOKUP(ABS(S72-S69),'IMP Table'!$A$2:$C$26,3)*SIGN(S72-S69),"")</f>
        <v/>
      </c>
      <c r="Z72">
        <f>IF(AND(ISNUMBER(S72),ISNUMBER(S70)),VLOOKUP(ABS(S72-S70),'IMP Table'!$A$2:$C$26,3)*SIGN(S72-S70),"")</f>
        <v/>
      </c>
      <c r="AA72">
        <f>IF(AND(ISNUMBER(S72),ISNUMBER(S71)),VLOOKUP(ABS(S72-S71),'IMP Table'!$A$2:$C$26,3)*SIGN(S72-S71),"")</f>
        <v/>
      </c>
      <c r="AB72">
        <f>IF(AND(ISNUMBER(S72),ISNUMBER(S73)),VLOOKUP(ABS(S72-S73),'IMP Table'!$A$2:$C$26,3)*SIGN(S72-S73),"")</f>
        <v/>
      </c>
      <c r="AC72">
        <f>IF(AND(ISNUMBER(S72),ISNUMBER(S74)),VLOOKUP(ABS(S72-S74),'IMP Table'!$A$2:$C$26,3)*SIGN(S72-S74),"")</f>
        <v/>
      </c>
      <c r="AD72">
        <f>IF(AND(ISNUMBER(R72),ISNUMBER(R69)),IF(R72&gt;R69,1,IF(R72=R69,0.5,0)),0.5)</f>
        <v/>
      </c>
      <c r="AE72">
        <f>IF(AND(ISNUMBER(R72),ISNUMBER(R70)),IF(R72&gt;R70,1,IF(R72=R70,0.5,0)),0.5)</f>
        <v/>
      </c>
      <c r="AF72">
        <f>IF(AND(ISNUMBER(R72),ISNUMBER(R71)),IF(R72&gt;R71,1,IF(R72=R71,0.5,0)),0.5)</f>
        <v/>
      </c>
      <c r="AG72">
        <f>IF(AND(ISNUMBER(R72),ISNUMBER(R73)),IF(R72&gt;R73,1,IF(R72=R73,0.5,0)),0.5)</f>
        <v/>
      </c>
      <c r="AH72">
        <f>IF(AND(ISNUMBER(R72),ISNUMBER(R74)),IF(R72&gt;R74,1,IF(R72=R74,0.5,0)),0.5)</f>
        <v/>
      </c>
      <c r="AI72">
        <f>IF(AND(ISNUMBER(S72),ISNUMBER(S69)),IF(S72&gt;S69,1,IF(S72=S69,0.5,0)),0.5)</f>
        <v/>
      </c>
      <c r="AJ72">
        <f>IF(AND(ISNUMBER(S72),ISNUMBER(S70)),IF(S72&gt;S70,1,IF(S72=S70,0.5,0)),0.5)</f>
        <v/>
      </c>
      <c r="AK72">
        <f>IF(AND(ISNUMBER(S72),ISNUMBER(S71)),IF(S72&gt;S71,1,IF(S72=S71,0.5,0)),0.5)</f>
        <v/>
      </c>
      <c r="AL72">
        <f>IF(AND(ISNUMBER(S72),ISNUMBER(S73)),IF(S72&gt;S73,1,IF(S72=S73,0.5,0)),0.5)</f>
        <v/>
      </c>
      <c r="AM72">
        <f>IF(AND(ISNUMBER(S72),ISNUMBER(S74)),IF(S72&gt;S74,1,IF(S72=S74,0.5,0)),0.5)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4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5">
        <f>IFERROR(AVERAGE(T73:X73),"")</f>
        <v/>
      </c>
      <c r="M73" s="4">
        <f>IFERROR(AVERAGE(Y73:AC73),"")</f>
        <v/>
      </c>
      <c r="N73" s="5">
        <f>P73/5</f>
        <v/>
      </c>
      <c r="O73" s="5">
        <f>Q73/5</f>
        <v/>
      </c>
      <c r="P73" s="4">
        <f>IFERROR(SUM(AD73:AH73),"")</f>
        <v/>
      </c>
      <c r="Q73" s="4">
        <f>IFERROR(SUM(AI73:AM73),"")</f>
        <v/>
      </c>
      <c r="R73" s="16">
        <f>IF(ISNUMBER(J73),J73,IF(ISNUMBER(K73),-K73,""))</f>
        <v/>
      </c>
      <c r="S73">
        <f>IF(ISNUMBER(K73),K73,IF(ISNUMBER(J73),-J73,""))</f>
        <v/>
      </c>
      <c r="T73">
        <f>IF(AND(ISNUMBER(R73),ISNUMBER(R69)),VLOOKUP(ABS(R73-R69),'IMP Table'!$A$2:$C$26,3)*SIGN(R73-R69),"")</f>
        <v/>
      </c>
      <c r="U73">
        <f>IF(AND(ISNUMBER(R73),ISNUMBER(R70)),VLOOKUP(ABS(R73-R70),'IMP Table'!$A$2:$C$26,3)*SIGN(R73-R70),"")</f>
        <v/>
      </c>
      <c r="V73">
        <f>IF(AND(ISNUMBER(R73),ISNUMBER(R71)),VLOOKUP(ABS(R73-R71),'IMP Table'!$A$2:$C$26,3)*SIGN(R73-R71),"")</f>
        <v/>
      </c>
      <c r="W73">
        <f>IF(AND(ISNUMBER(R73),ISNUMBER(R72)),VLOOKUP(ABS(R73-R72),'IMP Table'!$A$2:$C$26,3)*SIGN(R73-R72),"")</f>
        <v/>
      </c>
      <c r="X73">
        <f>IF(AND(ISNUMBER(R73),ISNUMBER(R74)),VLOOKUP(ABS(R73-R74),'IMP Table'!$A$2:$C$26,3)*SIGN(R73-R74),"")</f>
        <v/>
      </c>
      <c r="Y73">
        <f>IF(AND(ISNUMBER(S73),ISNUMBER(S69)),VLOOKUP(ABS(S73-S69),'IMP Table'!$A$2:$C$26,3)*SIGN(S73-S69),"")</f>
        <v/>
      </c>
      <c r="Z73">
        <f>IF(AND(ISNUMBER(S73),ISNUMBER(S70)),VLOOKUP(ABS(S73-S70),'IMP Table'!$A$2:$C$26,3)*SIGN(S73-S70),"")</f>
        <v/>
      </c>
      <c r="AA73">
        <f>IF(AND(ISNUMBER(S73),ISNUMBER(S71)),VLOOKUP(ABS(S73-S71),'IMP Table'!$A$2:$C$26,3)*SIGN(S73-S71),"")</f>
        <v/>
      </c>
      <c r="AB73">
        <f>IF(AND(ISNUMBER(S73),ISNUMBER(S72)),VLOOKUP(ABS(S73-S72),'IMP Table'!$A$2:$C$26,3)*SIGN(S73-S72),"")</f>
        <v/>
      </c>
      <c r="AC73">
        <f>IF(AND(ISNUMBER(S73),ISNUMBER(S74)),VLOOKUP(ABS(S73-S74),'IMP Table'!$A$2:$C$26,3)*SIGN(S73-S74),"")</f>
        <v/>
      </c>
      <c r="AD73">
        <f>IF(AND(ISNUMBER(R73),ISNUMBER(R69)),IF(R73&gt;R69,1,IF(R73=R69,0.5,0)),0.5)</f>
        <v/>
      </c>
      <c r="AE73">
        <f>IF(AND(ISNUMBER(R73),ISNUMBER(R70)),IF(R73&gt;R70,1,IF(R73=R70,0.5,0)),0.5)</f>
        <v/>
      </c>
      <c r="AF73">
        <f>IF(AND(ISNUMBER(R73),ISNUMBER(R71)),IF(R73&gt;R71,1,IF(R73=R71,0.5,0)),0.5)</f>
        <v/>
      </c>
      <c r="AG73">
        <f>IF(AND(ISNUMBER(R73),ISNUMBER(R72)),IF(R73&gt;R72,1,IF(R73=R72,0.5,0)),0.5)</f>
        <v/>
      </c>
      <c r="AH73">
        <f>IF(AND(ISNUMBER(R73),ISNUMBER(R74)),IF(R73&gt;R74,1,IF(R73=R74,0.5,0)),0.5)</f>
        <v/>
      </c>
      <c r="AI73">
        <f>IF(AND(ISNUMBER(S73),ISNUMBER(S69)),IF(S73&gt;S69,1,IF(S73=S69,0.5,0)),0.5)</f>
        <v/>
      </c>
      <c r="AJ73">
        <f>IF(AND(ISNUMBER(S73),ISNUMBER(S70)),IF(S73&gt;S70,1,IF(S73=S70,0.5,0)),0.5)</f>
        <v/>
      </c>
      <c r="AK73">
        <f>IF(AND(ISNUMBER(S73),ISNUMBER(S71)),IF(S73&gt;S71,1,IF(S73=S71,0.5,0)),0.5)</f>
        <v/>
      </c>
      <c r="AL73">
        <f>IF(AND(ISNUMBER(S73),ISNUMBER(S72)),IF(S73&gt;S72,1,IF(S73=S72,0.5,0)),0.5)</f>
        <v/>
      </c>
      <c r="AM73">
        <f>IF(AND(ISNUMBER(S73),ISNUMBER(S74)),IF(S73&gt;S74,1,IF(S73=S74,0.5,0)),0.5)</f>
        <v/>
      </c>
    </row>
    <row r="74">
      <c r="A74" s="13" t="n"/>
      <c r="B74" s="13">
        <f>'By Round'!A111</f>
        <v/>
      </c>
      <c r="C74" s="13">
        <f>'By Round'!B117</f>
        <v/>
      </c>
      <c r="D74" s="13">
        <f>'By Round'!C117</f>
        <v/>
      </c>
      <c r="E74" s="13">
        <f>'By Round'!D117</f>
        <v/>
      </c>
      <c r="F74" s="17" t="inlineStr">
        <is>
          <t>NS</t>
        </is>
      </c>
      <c r="G74" s="13">
        <f>IF(ISBLANK('By Round'!G117),"",'By Round'!G117)</f>
        <v/>
      </c>
      <c r="H74" s="13">
        <f>IF(ISBLANK('By Round'!H117),"",'By Round'!H117)</f>
        <v/>
      </c>
      <c r="I74" s="13">
        <f>IF(ISBLANK('By Round'!I117),"",'By Round'!I117)</f>
        <v/>
      </c>
      <c r="J74" s="13">
        <f>IF(ISBLANK('By Round'!J117),"",'By Round'!J117)</f>
        <v/>
      </c>
      <c r="K74" s="13">
        <f>IF(ISBLANK('By Round'!K117),"",'By Round'!K117)</f>
        <v/>
      </c>
      <c r="L74" s="18">
        <f>IFERROR(AVERAGE(T74:X74),"")</f>
        <v/>
      </c>
      <c r="M74" s="19">
        <f>IFERROR(AVERAGE(Y74:AC74),"")</f>
        <v/>
      </c>
      <c r="N74" s="20">
        <f>P74/5</f>
        <v/>
      </c>
      <c r="O74" s="20">
        <f>Q74/5</f>
        <v/>
      </c>
      <c r="P74" s="19">
        <f>IFERROR(SUM(AD74:AH74),"")</f>
        <v/>
      </c>
      <c r="Q74" s="19">
        <f>IFERROR(SUM(AI74:AM74),"")</f>
        <v/>
      </c>
      <c r="R74" s="21">
        <f>IF(ISNUMBER(J74),J74,IF(ISNUMBER(K74),-K74,""))</f>
        <v/>
      </c>
      <c r="S74" s="13">
        <f>IF(ISNUMBER(K74),K74,IF(ISNUMBER(J74),-J74,""))</f>
        <v/>
      </c>
      <c r="T74" s="13">
        <f>IF(AND(ISNUMBER(R74),ISNUMBER(R69)),VLOOKUP(ABS(R74-R69),'IMP Table'!$A$2:$C$26,3)*SIGN(R74-R69),"")</f>
        <v/>
      </c>
      <c r="U74" s="13">
        <f>IF(AND(ISNUMBER(R74),ISNUMBER(R70)),VLOOKUP(ABS(R74-R70),'IMP Table'!$A$2:$C$26,3)*SIGN(R74-R70),"")</f>
        <v/>
      </c>
      <c r="V74" s="13">
        <f>IF(AND(ISNUMBER(R74),ISNUMBER(R71)),VLOOKUP(ABS(R74-R71),'IMP Table'!$A$2:$C$26,3)*SIGN(R74-R71),"")</f>
        <v/>
      </c>
      <c r="W74" s="13">
        <f>IF(AND(ISNUMBER(R74),ISNUMBER(R72)),VLOOKUP(ABS(R74-R72),'IMP Table'!$A$2:$C$26,3)*SIGN(R74-R72),"")</f>
        <v/>
      </c>
      <c r="X74" s="13">
        <f>IF(AND(ISNUMBER(R74),ISNUMBER(R73)),VLOOKUP(ABS(R74-R73),'IMP Table'!$A$2:$C$26,3)*SIGN(R74-R73),"")</f>
        <v/>
      </c>
      <c r="Y74" s="13">
        <f>IF(AND(ISNUMBER(S74),ISNUMBER(S69)),VLOOKUP(ABS(S74-S69),'IMP Table'!$A$2:$C$26,3)*SIGN(S74-S69),"")</f>
        <v/>
      </c>
      <c r="Z74" s="13">
        <f>IF(AND(ISNUMBER(S74),ISNUMBER(S70)),VLOOKUP(ABS(S74-S70),'IMP Table'!$A$2:$C$26,3)*SIGN(S74-S70),"")</f>
        <v/>
      </c>
      <c r="AA74" s="13">
        <f>IF(AND(ISNUMBER(S74),ISNUMBER(S71)),VLOOKUP(ABS(S74-S71),'IMP Table'!$A$2:$C$26,3)*SIGN(S74-S71),"")</f>
        <v/>
      </c>
      <c r="AB74" s="13">
        <f>IF(AND(ISNUMBER(S74),ISNUMBER(S72)),VLOOKUP(ABS(S74-S72),'IMP Table'!$A$2:$C$26,3)*SIGN(S74-S72),"")</f>
        <v/>
      </c>
      <c r="AC74" s="13">
        <f>IF(AND(ISNUMBER(S74),ISNUMBER(S73)),VLOOKUP(ABS(S74-S73),'IMP Table'!$A$2:$C$26,3)*SIGN(S74-S73),"")</f>
        <v/>
      </c>
      <c r="AD74" s="13">
        <f>IF(AND(ISNUMBER(R74),ISNUMBER(R69)),IF(R74&gt;R69,1,IF(R74=R69,0.5,0)),0.5)</f>
        <v/>
      </c>
      <c r="AE74" s="13">
        <f>IF(AND(ISNUMBER(R74),ISNUMBER(R70)),IF(R74&gt;R70,1,IF(R74=R70,0.5,0)),0.5)</f>
        <v/>
      </c>
      <c r="AF74" s="13">
        <f>IF(AND(ISNUMBER(R74),ISNUMBER(R71)),IF(R74&gt;R71,1,IF(R74=R71,0.5,0)),0.5)</f>
        <v/>
      </c>
      <c r="AG74" s="13">
        <f>IF(AND(ISNUMBER(R74),ISNUMBER(R72)),IF(R74&gt;R72,1,IF(R74=R72,0.5,0)),0.5)</f>
        <v/>
      </c>
      <c r="AH74" s="13">
        <f>IF(AND(ISNUMBER(R74),ISNUMBER(R73)),IF(R74&gt;R73,1,IF(R74=R73,0.5,0)),0.5)</f>
        <v/>
      </c>
      <c r="AI74" s="13">
        <f>IF(AND(ISNUMBER(S74),ISNUMBER(S69)),IF(S74&gt;S69,1,IF(S74=S69,0.5,0)),0.5)</f>
        <v/>
      </c>
      <c r="AJ74" s="13">
        <f>IF(AND(ISNUMBER(S74),ISNUMBER(S70)),IF(S74&gt;S70,1,IF(S74=S70,0.5,0)),0.5)</f>
        <v/>
      </c>
      <c r="AK74" s="13">
        <f>IF(AND(ISNUMBER(S74),ISNUMBER(S71)),IF(S74&gt;S71,1,IF(S74=S71,0.5,0)),0.5)</f>
        <v/>
      </c>
      <c r="AL74" s="13">
        <f>IF(AND(ISNUMBER(S74),ISNUMBER(S72)),IF(S74&gt;S72,1,IF(S74=S72,0.5,0)),0.5)</f>
        <v/>
      </c>
      <c r="AM74" s="13">
        <f>IF(AND(ISNUMBER(S74),ISNUMBER(S73)),IF(S74&gt;S73,1,IF(S74=S73,0.5,0)),0.5)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4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5">
        <f>IFERROR(AVERAGE(T75:X75),"")</f>
        <v/>
      </c>
      <c r="M75" s="4">
        <f>IFERROR(AVERAGE(Y75:AC75),"")</f>
        <v/>
      </c>
      <c r="N75" s="5">
        <f>P75/5</f>
        <v/>
      </c>
      <c r="O75" s="5">
        <f>Q75/5</f>
        <v/>
      </c>
      <c r="P75" s="4">
        <f>IFERROR(SUM(AD75:AH75),"")</f>
        <v/>
      </c>
      <c r="Q75" s="4">
        <f>IFERROR(SUM(AI75:AM75),"")</f>
        <v/>
      </c>
      <c r="R75" s="16">
        <f>IF(ISNUMBER(J75),J75,IF(ISNUMBER(K75),-K75,""))</f>
        <v/>
      </c>
      <c r="S75">
        <f>IF(ISNUMBER(K75),K75,IF(ISNUMBER(J75),-J75,""))</f>
        <v/>
      </c>
      <c r="T75">
        <f>IF(AND(ISNUMBER(R75),ISNUMBER(R76)),VLOOKUP(ABS(R75-R76),'IMP Table'!$A$2:$C$26,3)*SIGN(R75-R76),"")</f>
        <v/>
      </c>
      <c r="U75">
        <f>IF(AND(ISNUMBER(R75),ISNUMBER(R77)),VLOOKUP(ABS(R75-R77),'IMP Table'!$A$2:$C$26,3)*SIGN(R75-R77),"")</f>
        <v/>
      </c>
      <c r="V75">
        <f>IF(AND(ISNUMBER(R75),ISNUMBER(R78)),VLOOKUP(ABS(R75-R78),'IMP Table'!$A$2:$C$26,3)*SIGN(R75-R78),"")</f>
        <v/>
      </c>
      <c r="W75">
        <f>IF(AND(ISNUMBER(R75),ISNUMBER(R79)),VLOOKUP(ABS(R75-R79),'IMP Table'!$A$2:$C$26,3)*SIGN(R75-R79),"")</f>
        <v/>
      </c>
      <c r="X75">
        <f>IF(AND(ISNUMBER(R75),ISNUMBER(R80)),VLOOKUP(ABS(R75-R80),'IMP Table'!$A$2:$C$26,3)*SIGN(R75-R80),"")</f>
        <v/>
      </c>
      <c r="Y75">
        <f>IF(AND(ISNUMBER(S75),ISNUMBER(S76)),VLOOKUP(ABS(S75-S76),'IMP Table'!$A$2:$C$26,3)*SIGN(S75-S76),"")</f>
        <v/>
      </c>
      <c r="Z75">
        <f>IF(AND(ISNUMBER(S75),ISNUMBER(S77)),VLOOKUP(ABS(S75-S77),'IMP Table'!$A$2:$C$26,3)*SIGN(S75-S77),"")</f>
        <v/>
      </c>
      <c r="AA75">
        <f>IF(AND(ISNUMBER(S75),ISNUMBER(S78)),VLOOKUP(ABS(S75-S78),'IMP Table'!$A$2:$C$26,3)*SIGN(S75-S78),"")</f>
        <v/>
      </c>
      <c r="AB75">
        <f>IF(AND(ISNUMBER(S75),ISNUMBER(S79)),VLOOKUP(ABS(S75-S79),'IMP Table'!$A$2:$C$26,3)*SIGN(S75-S79),"")</f>
        <v/>
      </c>
      <c r="AC75">
        <f>IF(AND(ISNUMBER(S75),ISNUMBER(S80)),VLOOKUP(ABS(S75-S80),'IMP Table'!$A$2:$C$26,3)*SIGN(S75-S80),"")</f>
        <v/>
      </c>
      <c r="AD75">
        <f>IF(AND(ISNUMBER(R75),ISNUMBER(R76)),IF(R75&gt;R76,1,IF(R75=R76,0.5,0)),0.5)</f>
        <v/>
      </c>
      <c r="AE75">
        <f>IF(AND(ISNUMBER(R75),ISNUMBER(R77)),IF(R75&gt;R77,1,IF(R75=R77,0.5,0)),0.5)</f>
        <v/>
      </c>
      <c r="AF75">
        <f>IF(AND(ISNUMBER(R75),ISNUMBER(R78)),IF(R75&gt;R78,1,IF(R75=R78,0.5,0)),0.5)</f>
        <v/>
      </c>
      <c r="AG75">
        <f>IF(AND(ISNUMBER(R75),ISNUMBER(R79)),IF(R75&gt;R79,1,IF(R75=R79,0.5,0)),0.5)</f>
        <v/>
      </c>
      <c r="AH75">
        <f>IF(AND(ISNUMBER(R75),ISNUMBER(R80)),IF(R75&gt;R80,1,IF(R75=R80,0.5,0)),0.5)</f>
        <v/>
      </c>
      <c r="AI75">
        <f>IF(AND(ISNUMBER(S75),ISNUMBER(S76)),IF(S75&gt;S76,1,IF(S75=S76,0.5,0)),0.5)</f>
        <v/>
      </c>
      <c r="AJ75">
        <f>IF(AND(ISNUMBER(S75),ISNUMBER(S77)),IF(S75&gt;S77,1,IF(S75=S77,0.5,0)),0.5)</f>
        <v/>
      </c>
      <c r="AK75">
        <f>IF(AND(ISNUMBER(S75),ISNUMBER(S78)),IF(S75&gt;S78,1,IF(S75=S78,0.5,0)),0.5)</f>
        <v/>
      </c>
      <c r="AL75">
        <f>IF(AND(ISNUMBER(S75),ISNUMBER(S79)),IF(S75&gt;S79,1,IF(S75=S79,0.5,0)),0.5)</f>
        <v/>
      </c>
      <c r="AM75">
        <f>IF(AND(ISNUMBER(S75),ISNUMBER(S80)),IF(S75&gt;S80,1,IF(S75=S80,0.5,0)),0.5)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4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5">
        <f>IFERROR(AVERAGE(T76:X76),"")</f>
        <v/>
      </c>
      <c r="M76" s="4">
        <f>IFERROR(AVERAGE(Y76:AC76),"")</f>
        <v/>
      </c>
      <c r="N76" s="5">
        <f>P76/5</f>
        <v/>
      </c>
      <c r="O76" s="5">
        <f>Q76/5</f>
        <v/>
      </c>
      <c r="P76" s="4">
        <f>IFERROR(SUM(AD76:AH76),"")</f>
        <v/>
      </c>
      <c r="Q76" s="4">
        <f>IFERROR(SUM(AI76:AM76),"")</f>
        <v/>
      </c>
      <c r="R76" s="16">
        <f>IF(ISNUMBER(J76),J76,IF(ISNUMBER(K76),-K76,""))</f>
        <v/>
      </c>
      <c r="S76">
        <f>IF(ISNUMBER(K76),K76,IF(ISNUMBER(J76),-J76,""))</f>
        <v/>
      </c>
      <c r="T76">
        <f>IF(AND(ISNUMBER(R76),ISNUMBER(R75)),VLOOKUP(ABS(R76-R75),'IMP Table'!$A$2:$C$26,3)*SIGN(R76-R75),"")</f>
        <v/>
      </c>
      <c r="U76">
        <f>IF(AND(ISNUMBER(R76),ISNUMBER(R77)),VLOOKUP(ABS(R76-R77),'IMP Table'!$A$2:$C$26,3)*SIGN(R76-R77),"")</f>
        <v/>
      </c>
      <c r="V76">
        <f>IF(AND(ISNUMBER(R76),ISNUMBER(R78)),VLOOKUP(ABS(R76-R78),'IMP Table'!$A$2:$C$26,3)*SIGN(R76-R78),"")</f>
        <v/>
      </c>
      <c r="W76">
        <f>IF(AND(ISNUMBER(R76),ISNUMBER(R79)),VLOOKUP(ABS(R76-R79),'IMP Table'!$A$2:$C$26,3)*SIGN(R76-R79),"")</f>
        <v/>
      </c>
      <c r="X76">
        <f>IF(AND(ISNUMBER(R76),ISNUMBER(R80)),VLOOKUP(ABS(R76-R80),'IMP Table'!$A$2:$C$26,3)*SIGN(R76-R80),"")</f>
        <v/>
      </c>
      <c r="Y76">
        <f>IF(AND(ISNUMBER(S76),ISNUMBER(S75)),VLOOKUP(ABS(S76-S75),'IMP Table'!$A$2:$C$26,3)*SIGN(S76-S75),"")</f>
        <v/>
      </c>
      <c r="Z76">
        <f>IF(AND(ISNUMBER(S76),ISNUMBER(S77)),VLOOKUP(ABS(S76-S77),'IMP Table'!$A$2:$C$26,3)*SIGN(S76-S77),"")</f>
        <v/>
      </c>
      <c r="AA76">
        <f>IF(AND(ISNUMBER(S76),ISNUMBER(S78)),VLOOKUP(ABS(S76-S78),'IMP Table'!$A$2:$C$26,3)*SIGN(S76-S78),"")</f>
        <v/>
      </c>
      <c r="AB76">
        <f>IF(AND(ISNUMBER(S76),ISNUMBER(S79)),VLOOKUP(ABS(S76-S79),'IMP Table'!$A$2:$C$26,3)*SIGN(S76-S79),"")</f>
        <v/>
      </c>
      <c r="AC76">
        <f>IF(AND(ISNUMBER(S76),ISNUMBER(S80)),VLOOKUP(ABS(S76-S80),'IMP Table'!$A$2:$C$26,3)*SIGN(S76-S80),"")</f>
        <v/>
      </c>
      <c r="AD76">
        <f>IF(AND(ISNUMBER(R76),ISNUMBER(R75)),IF(R76&gt;R75,1,IF(R76=R75,0.5,0)),0.5)</f>
        <v/>
      </c>
      <c r="AE76">
        <f>IF(AND(ISNUMBER(R76),ISNUMBER(R77)),IF(R76&gt;R77,1,IF(R76=R77,0.5,0)),0.5)</f>
        <v/>
      </c>
      <c r="AF76">
        <f>IF(AND(ISNUMBER(R76),ISNUMBER(R78)),IF(R76&gt;R78,1,IF(R76=R78,0.5,0)),0.5)</f>
        <v/>
      </c>
      <c r="AG76">
        <f>IF(AND(ISNUMBER(R76),ISNUMBER(R79)),IF(R76&gt;R79,1,IF(R76=R79,0.5,0)),0.5)</f>
        <v/>
      </c>
      <c r="AH76">
        <f>IF(AND(ISNUMBER(R76),ISNUMBER(R80)),IF(R76&gt;R80,1,IF(R76=R80,0.5,0)),0.5)</f>
        <v/>
      </c>
      <c r="AI76">
        <f>IF(AND(ISNUMBER(S76),ISNUMBER(S75)),IF(S76&gt;S75,1,IF(S76=S75,0.5,0)),0.5)</f>
        <v/>
      </c>
      <c r="AJ76">
        <f>IF(AND(ISNUMBER(S76),ISNUMBER(S77)),IF(S76&gt;S77,1,IF(S76=S77,0.5,0)),0.5)</f>
        <v/>
      </c>
      <c r="AK76">
        <f>IF(AND(ISNUMBER(S76),ISNUMBER(S78)),IF(S76&gt;S78,1,IF(S76=S78,0.5,0)),0.5)</f>
        <v/>
      </c>
      <c r="AL76">
        <f>IF(AND(ISNUMBER(S76),ISNUMBER(S79)),IF(S76&gt;S79,1,IF(S76=S79,0.5,0)),0.5)</f>
        <v/>
      </c>
      <c r="AM76">
        <f>IF(AND(ISNUMBER(S76),ISNUMBER(S80)),IF(S76&gt;S80,1,IF(S76=S80,0.5,0)),0.5)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4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5">
        <f>IFERROR(AVERAGE(T77:X77),"")</f>
        <v/>
      </c>
      <c r="M77" s="4">
        <f>IFERROR(AVERAGE(Y77:AC77),"")</f>
        <v/>
      </c>
      <c r="N77" s="5">
        <f>P77/5</f>
        <v/>
      </c>
      <c r="O77" s="5">
        <f>Q77/5</f>
        <v/>
      </c>
      <c r="P77" s="4">
        <f>IFERROR(SUM(AD77:AH77),"")</f>
        <v/>
      </c>
      <c r="Q77" s="4">
        <f>IFERROR(SUM(AI77:AM77),"")</f>
        <v/>
      </c>
      <c r="R77" s="16">
        <f>IF(ISNUMBER(J77),J77,IF(ISNUMBER(K77),-K77,""))</f>
        <v/>
      </c>
      <c r="S77">
        <f>IF(ISNUMBER(K77),K77,IF(ISNUMBER(J77),-J77,""))</f>
        <v/>
      </c>
      <c r="T77">
        <f>IF(AND(ISNUMBER(R77),ISNUMBER(R75)),VLOOKUP(ABS(R77-R75),'IMP Table'!$A$2:$C$26,3)*SIGN(R77-R75),"")</f>
        <v/>
      </c>
      <c r="U77">
        <f>IF(AND(ISNUMBER(R77),ISNUMBER(R76)),VLOOKUP(ABS(R77-R76),'IMP Table'!$A$2:$C$26,3)*SIGN(R77-R76),"")</f>
        <v/>
      </c>
      <c r="V77">
        <f>IF(AND(ISNUMBER(R77),ISNUMBER(R78)),VLOOKUP(ABS(R77-R78),'IMP Table'!$A$2:$C$26,3)*SIGN(R77-R78),"")</f>
        <v/>
      </c>
      <c r="W77">
        <f>IF(AND(ISNUMBER(R77),ISNUMBER(R79)),VLOOKUP(ABS(R77-R79),'IMP Table'!$A$2:$C$26,3)*SIGN(R77-R79),"")</f>
        <v/>
      </c>
      <c r="X77">
        <f>IF(AND(ISNUMBER(R77),ISNUMBER(R80)),VLOOKUP(ABS(R77-R80),'IMP Table'!$A$2:$C$26,3)*SIGN(R77-R80),"")</f>
        <v/>
      </c>
      <c r="Y77">
        <f>IF(AND(ISNUMBER(S77),ISNUMBER(S75)),VLOOKUP(ABS(S77-S75),'IMP Table'!$A$2:$C$26,3)*SIGN(S77-S75),"")</f>
        <v/>
      </c>
      <c r="Z77">
        <f>IF(AND(ISNUMBER(S77),ISNUMBER(S76)),VLOOKUP(ABS(S77-S76),'IMP Table'!$A$2:$C$26,3)*SIGN(S77-S76),"")</f>
        <v/>
      </c>
      <c r="AA77">
        <f>IF(AND(ISNUMBER(S77),ISNUMBER(S78)),VLOOKUP(ABS(S77-S78),'IMP Table'!$A$2:$C$26,3)*SIGN(S77-S78),"")</f>
        <v/>
      </c>
      <c r="AB77">
        <f>IF(AND(ISNUMBER(S77),ISNUMBER(S79)),VLOOKUP(ABS(S77-S79),'IMP Table'!$A$2:$C$26,3)*SIGN(S77-S79),"")</f>
        <v/>
      </c>
      <c r="AC77">
        <f>IF(AND(ISNUMBER(S77),ISNUMBER(S80)),VLOOKUP(ABS(S77-S80),'IMP Table'!$A$2:$C$26,3)*SIGN(S77-S80),"")</f>
        <v/>
      </c>
      <c r="AD77">
        <f>IF(AND(ISNUMBER(R77),ISNUMBER(R75)),IF(R77&gt;R75,1,IF(R77=R75,0.5,0)),0.5)</f>
        <v/>
      </c>
      <c r="AE77">
        <f>IF(AND(ISNUMBER(R77),ISNUMBER(R76)),IF(R77&gt;R76,1,IF(R77=R76,0.5,0)),0.5)</f>
        <v/>
      </c>
      <c r="AF77">
        <f>IF(AND(ISNUMBER(R77),ISNUMBER(R78)),IF(R77&gt;R78,1,IF(R77=R78,0.5,0)),0.5)</f>
        <v/>
      </c>
      <c r="AG77">
        <f>IF(AND(ISNUMBER(R77),ISNUMBER(R79)),IF(R77&gt;R79,1,IF(R77=R79,0.5,0)),0.5)</f>
        <v/>
      </c>
      <c r="AH77">
        <f>IF(AND(ISNUMBER(R77),ISNUMBER(R80)),IF(R77&gt;R80,1,IF(R77=R80,0.5,0)),0.5)</f>
        <v/>
      </c>
      <c r="AI77">
        <f>IF(AND(ISNUMBER(S77),ISNUMBER(S75)),IF(S77&gt;S75,1,IF(S77=S75,0.5,0)),0.5)</f>
        <v/>
      </c>
      <c r="AJ77">
        <f>IF(AND(ISNUMBER(S77),ISNUMBER(S76)),IF(S77&gt;S76,1,IF(S77=S76,0.5,0)),0.5)</f>
        <v/>
      </c>
      <c r="AK77">
        <f>IF(AND(ISNUMBER(S77),ISNUMBER(S78)),IF(S77&gt;S78,1,IF(S77=S78,0.5,0)),0.5)</f>
        <v/>
      </c>
      <c r="AL77">
        <f>IF(AND(ISNUMBER(S77),ISNUMBER(S79)),IF(S77&gt;S79,1,IF(S77=S79,0.5,0)),0.5)</f>
        <v/>
      </c>
      <c r="AM77">
        <f>IF(AND(ISNUMBER(S77),ISNUMBER(S80)),IF(S77&gt;S80,1,IF(S77=S80,0.5,0)),0.5)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4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5">
        <f>IFERROR(AVERAGE(T78:X78),"")</f>
        <v/>
      </c>
      <c r="M78" s="4">
        <f>IFERROR(AVERAGE(Y78:AC78),"")</f>
        <v/>
      </c>
      <c r="N78" s="5">
        <f>P78/5</f>
        <v/>
      </c>
      <c r="O78" s="5">
        <f>Q78/5</f>
        <v/>
      </c>
      <c r="P78" s="4">
        <f>IFERROR(SUM(AD78:AH78),"")</f>
        <v/>
      </c>
      <c r="Q78" s="4">
        <f>IFERROR(SUM(AI78:AM78),"")</f>
        <v/>
      </c>
      <c r="R78" s="16">
        <f>IF(ISNUMBER(J78),J78,IF(ISNUMBER(K78),-K78,""))</f>
        <v/>
      </c>
      <c r="S78">
        <f>IF(ISNUMBER(K78),K78,IF(ISNUMBER(J78),-J78,""))</f>
        <v/>
      </c>
      <c r="T78">
        <f>IF(AND(ISNUMBER(R78),ISNUMBER(R75)),VLOOKUP(ABS(R78-R75),'IMP Table'!$A$2:$C$26,3)*SIGN(R78-R75),"")</f>
        <v/>
      </c>
      <c r="U78">
        <f>IF(AND(ISNUMBER(R78),ISNUMBER(R76)),VLOOKUP(ABS(R78-R76),'IMP Table'!$A$2:$C$26,3)*SIGN(R78-R76),"")</f>
        <v/>
      </c>
      <c r="V78">
        <f>IF(AND(ISNUMBER(R78),ISNUMBER(R77)),VLOOKUP(ABS(R78-R77),'IMP Table'!$A$2:$C$26,3)*SIGN(R78-R77),"")</f>
        <v/>
      </c>
      <c r="W78">
        <f>IF(AND(ISNUMBER(R78),ISNUMBER(R79)),VLOOKUP(ABS(R78-R79),'IMP Table'!$A$2:$C$26,3)*SIGN(R78-R79),"")</f>
        <v/>
      </c>
      <c r="X78">
        <f>IF(AND(ISNUMBER(R78),ISNUMBER(R80)),VLOOKUP(ABS(R78-R80),'IMP Table'!$A$2:$C$26,3)*SIGN(R78-R80),"")</f>
        <v/>
      </c>
      <c r="Y78">
        <f>IF(AND(ISNUMBER(S78),ISNUMBER(S75)),VLOOKUP(ABS(S78-S75),'IMP Table'!$A$2:$C$26,3)*SIGN(S78-S75),"")</f>
        <v/>
      </c>
      <c r="Z78">
        <f>IF(AND(ISNUMBER(S78),ISNUMBER(S76)),VLOOKUP(ABS(S78-S76),'IMP Table'!$A$2:$C$26,3)*SIGN(S78-S76),"")</f>
        <v/>
      </c>
      <c r="AA78">
        <f>IF(AND(ISNUMBER(S78),ISNUMBER(S77)),VLOOKUP(ABS(S78-S77),'IMP Table'!$A$2:$C$26,3)*SIGN(S78-S77),"")</f>
        <v/>
      </c>
      <c r="AB78">
        <f>IF(AND(ISNUMBER(S78),ISNUMBER(S79)),VLOOKUP(ABS(S78-S79),'IMP Table'!$A$2:$C$26,3)*SIGN(S78-S79),"")</f>
        <v/>
      </c>
      <c r="AC78">
        <f>IF(AND(ISNUMBER(S78),ISNUMBER(S80)),VLOOKUP(ABS(S78-S80),'IMP Table'!$A$2:$C$26,3)*SIGN(S78-S80),"")</f>
        <v/>
      </c>
      <c r="AD78">
        <f>IF(AND(ISNUMBER(R78),ISNUMBER(R75)),IF(R78&gt;R75,1,IF(R78=R75,0.5,0)),0.5)</f>
        <v/>
      </c>
      <c r="AE78">
        <f>IF(AND(ISNUMBER(R78),ISNUMBER(R76)),IF(R78&gt;R76,1,IF(R78=R76,0.5,0)),0.5)</f>
        <v/>
      </c>
      <c r="AF78">
        <f>IF(AND(ISNUMBER(R78),ISNUMBER(R77)),IF(R78&gt;R77,1,IF(R78=R77,0.5,0)),0.5)</f>
        <v/>
      </c>
      <c r="AG78">
        <f>IF(AND(ISNUMBER(R78),ISNUMBER(R79)),IF(R78&gt;R79,1,IF(R78=R79,0.5,0)),0.5)</f>
        <v/>
      </c>
      <c r="AH78">
        <f>IF(AND(ISNUMBER(R78),ISNUMBER(R80)),IF(R78&gt;R80,1,IF(R78=R80,0.5,0)),0.5)</f>
        <v/>
      </c>
      <c r="AI78">
        <f>IF(AND(ISNUMBER(S78),ISNUMBER(S75)),IF(S78&gt;S75,1,IF(S78=S75,0.5,0)),0.5)</f>
        <v/>
      </c>
      <c r="AJ78">
        <f>IF(AND(ISNUMBER(S78),ISNUMBER(S76)),IF(S78&gt;S76,1,IF(S78=S76,0.5,0)),0.5)</f>
        <v/>
      </c>
      <c r="AK78">
        <f>IF(AND(ISNUMBER(S78),ISNUMBER(S77)),IF(S78&gt;S77,1,IF(S78=S77,0.5,0)),0.5)</f>
        <v/>
      </c>
      <c r="AL78">
        <f>IF(AND(ISNUMBER(S78),ISNUMBER(S79)),IF(S78&gt;S79,1,IF(S78=S79,0.5,0)),0.5)</f>
        <v/>
      </c>
      <c r="AM78">
        <f>IF(AND(ISNUMBER(S78),ISNUMBER(S80)),IF(S78&gt;S80,1,IF(S78=S80,0.5,0)),0.5)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4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5">
        <f>IFERROR(AVERAGE(T79:X79),"")</f>
        <v/>
      </c>
      <c r="M79" s="4">
        <f>IFERROR(AVERAGE(Y79:AC79),"")</f>
        <v/>
      </c>
      <c r="N79" s="5">
        <f>P79/5</f>
        <v/>
      </c>
      <c r="O79" s="5">
        <f>Q79/5</f>
        <v/>
      </c>
      <c r="P79" s="4">
        <f>IFERROR(SUM(AD79:AH79),"")</f>
        <v/>
      </c>
      <c r="Q79" s="4">
        <f>IFERROR(SUM(AI79:AM79),"")</f>
        <v/>
      </c>
      <c r="R79" s="16">
        <f>IF(ISNUMBER(J79),J79,IF(ISNUMBER(K79),-K79,""))</f>
        <v/>
      </c>
      <c r="S79">
        <f>IF(ISNUMBER(K79),K79,IF(ISNUMBER(J79),-J79,""))</f>
        <v/>
      </c>
      <c r="T79">
        <f>IF(AND(ISNUMBER(R79),ISNUMBER(R75)),VLOOKUP(ABS(R79-R75),'IMP Table'!$A$2:$C$26,3)*SIGN(R79-R75),"")</f>
        <v/>
      </c>
      <c r="U79">
        <f>IF(AND(ISNUMBER(R79),ISNUMBER(R76)),VLOOKUP(ABS(R79-R76),'IMP Table'!$A$2:$C$26,3)*SIGN(R79-R76),"")</f>
        <v/>
      </c>
      <c r="V79">
        <f>IF(AND(ISNUMBER(R79),ISNUMBER(R77)),VLOOKUP(ABS(R79-R77),'IMP Table'!$A$2:$C$26,3)*SIGN(R79-R77),"")</f>
        <v/>
      </c>
      <c r="W79">
        <f>IF(AND(ISNUMBER(R79),ISNUMBER(R78)),VLOOKUP(ABS(R79-R78),'IMP Table'!$A$2:$C$26,3)*SIGN(R79-R78),"")</f>
        <v/>
      </c>
      <c r="X79">
        <f>IF(AND(ISNUMBER(R79),ISNUMBER(R80)),VLOOKUP(ABS(R79-R80),'IMP Table'!$A$2:$C$26,3)*SIGN(R79-R80),"")</f>
        <v/>
      </c>
      <c r="Y79">
        <f>IF(AND(ISNUMBER(S79),ISNUMBER(S75)),VLOOKUP(ABS(S79-S75),'IMP Table'!$A$2:$C$26,3)*SIGN(S79-S75),"")</f>
        <v/>
      </c>
      <c r="Z79">
        <f>IF(AND(ISNUMBER(S79),ISNUMBER(S76)),VLOOKUP(ABS(S79-S76),'IMP Table'!$A$2:$C$26,3)*SIGN(S79-S76),"")</f>
        <v/>
      </c>
      <c r="AA79">
        <f>IF(AND(ISNUMBER(S79),ISNUMBER(S77)),VLOOKUP(ABS(S79-S77),'IMP Table'!$A$2:$C$26,3)*SIGN(S79-S77),"")</f>
        <v/>
      </c>
      <c r="AB79">
        <f>IF(AND(ISNUMBER(S79),ISNUMBER(S78)),VLOOKUP(ABS(S79-S78),'IMP Table'!$A$2:$C$26,3)*SIGN(S79-S78),"")</f>
        <v/>
      </c>
      <c r="AC79">
        <f>IF(AND(ISNUMBER(S79),ISNUMBER(S80)),VLOOKUP(ABS(S79-S80),'IMP Table'!$A$2:$C$26,3)*SIGN(S79-S80),"")</f>
        <v/>
      </c>
      <c r="AD79">
        <f>IF(AND(ISNUMBER(R79),ISNUMBER(R75)),IF(R79&gt;R75,1,IF(R79=R75,0.5,0)),0.5)</f>
        <v/>
      </c>
      <c r="AE79">
        <f>IF(AND(ISNUMBER(R79),ISNUMBER(R76)),IF(R79&gt;R76,1,IF(R79=R76,0.5,0)),0.5)</f>
        <v/>
      </c>
      <c r="AF79">
        <f>IF(AND(ISNUMBER(R79),ISNUMBER(R77)),IF(R79&gt;R77,1,IF(R79=R77,0.5,0)),0.5)</f>
        <v/>
      </c>
      <c r="AG79">
        <f>IF(AND(ISNUMBER(R79),ISNUMBER(R78)),IF(R79&gt;R78,1,IF(R79=R78,0.5,0)),0.5)</f>
        <v/>
      </c>
      <c r="AH79">
        <f>IF(AND(ISNUMBER(R79),ISNUMBER(R80)),IF(R79&gt;R80,1,IF(R79=R80,0.5,0)),0.5)</f>
        <v/>
      </c>
      <c r="AI79">
        <f>IF(AND(ISNUMBER(S79),ISNUMBER(S75)),IF(S79&gt;S75,1,IF(S79=S75,0.5,0)),0.5)</f>
        <v/>
      </c>
      <c r="AJ79">
        <f>IF(AND(ISNUMBER(S79),ISNUMBER(S76)),IF(S79&gt;S76,1,IF(S79=S76,0.5,0)),0.5)</f>
        <v/>
      </c>
      <c r="AK79">
        <f>IF(AND(ISNUMBER(S79),ISNUMBER(S77)),IF(S79&gt;S77,1,IF(S79=S77,0.5,0)),0.5)</f>
        <v/>
      </c>
      <c r="AL79">
        <f>IF(AND(ISNUMBER(S79),ISNUMBER(S78)),IF(S79&gt;S78,1,IF(S79=S78,0.5,0)),0.5)</f>
        <v/>
      </c>
      <c r="AM79">
        <f>IF(AND(ISNUMBER(S79),ISNUMBER(S80)),IF(S79&gt;S80,1,IF(S79=S80,0.5,0)),0.5)</f>
        <v/>
      </c>
    </row>
    <row r="80">
      <c r="A80" s="13" t="n"/>
      <c r="B80" s="13">
        <f>'By Round'!A123</f>
        <v/>
      </c>
      <c r="C80" s="13">
        <f>'By Round'!B129</f>
        <v/>
      </c>
      <c r="D80" s="13">
        <f>'By Round'!C129</f>
        <v/>
      </c>
      <c r="E80" s="13">
        <f>'By Round'!D129</f>
        <v/>
      </c>
      <c r="F80" s="17" t="inlineStr">
        <is>
          <t>Both</t>
        </is>
      </c>
      <c r="G80" s="13">
        <f>IF(ISBLANK('By Round'!G129),"",'By Round'!G129)</f>
        <v/>
      </c>
      <c r="H80" s="13">
        <f>IF(ISBLANK('By Round'!H129),"",'By Round'!H129)</f>
        <v/>
      </c>
      <c r="I80" s="13">
        <f>IF(ISBLANK('By Round'!I129),"",'By Round'!I129)</f>
        <v/>
      </c>
      <c r="J80" s="13">
        <f>IF(ISBLANK('By Round'!J129),"",'By Round'!J129)</f>
        <v/>
      </c>
      <c r="K80" s="13">
        <f>IF(ISBLANK('By Round'!K129),"",'By Round'!K129)</f>
        <v/>
      </c>
      <c r="L80" s="18">
        <f>IFERROR(AVERAGE(T80:X80),"")</f>
        <v/>
      </c>
      <c r="M80" s="19">
        <f>IFERROR(AVERAGE(Y80:AC80),"")</f>
        <v/>
      </c>
      <c r="N80" s="20">
        <f>P80/5</f>
        <v/>
      </c>
      <c r="O80" s="20">
        <f>Q80/5</f>
        <v/>
      </c>
      <c r="P80" s="19">
        <f>IFERROR(SUM(AD80:AH80),"")</f>
        <v/>
      </c>
      <c r="Q80" s="19">
        <f>IFERROR(SUM(AI80:AM80),"")</f>
        <v/>
      </c>
      <c r="R80" s="21">
        <f>IF(ISNUMBER(J80),J80,IF(ISNUMBER(K80),-K80,""))</f>
        <v/>
      </c>
      <c r="S80" s="13">
        <f>IF(ISNUMBER(K80),K80,IF(ISNUMBER(J80),-J80,""))</f>
        <v/>
      </c>
      <c r="T80" s="13">
        <f>IF(AND(ISNUMBER(R80),ISNUMBER(R75)),VLOOKUP(ABS(R80-R75),'IMP Table'!$A$2:$C$26,3)*SIGN(R80-R75),"")</f>
        <v/>
      </c>
      <c r="U80" s="13">
        <f>IF(AND(ISNUMBER(R80),ISNUMBER(R76)),VLOOKUP(ABS(R80-R76),'IMP Table'!$A$2:$C$26,3)*SIGN(R80-R76),"")</f>
        <v/>
      </c>
      <c r="V80" s="13">
        <f>IF(AND(ISNUMBER(R80),ISNUMBER(R77)),VLOOKUP(ABS(R80-R77),'IMP Table'!$A$2:$C$26,3)*SIGN(R80-R77),"")</f>
        <v/>
      </c>
      <c r="W80" s="13">
        <f>IF(AND(ISNUMBER(R80),ISNUMBER(R78)),VLOOKUP(ABS(R80-R78),'IMP Table'!$A$2:$C$26,3)*SIGN(R80-R78),"")</f>
        <v/>
      </c>
      <c r="X80" s="13">
        <f>IF(AND(ISNUMBER(R80),ISNUMBER(R79)),VLOOKUP(ABS(R80-R79),'IMP Table'!$A$2:$C$26,3)*SIGN(R80-R79),"")</f>
        <v/>
      </c>
      <c r="Y80" s="13">
        <f>IF(AND(ISNUMBER(S80),ISNUMBER(S75)),VLOOKUP(ABS(S80-S75),'IMP Table'!$A$2:$C$26,3)*SIGN(S80-S75),"")</f>
        <v/>
      </c>
      <c r="Z80" s="13">
        <f>IF(AND(ISNUMBER(S80),ISNUMBER(S76)),VLOOKUP(ABS(S80-S76),'IMP Table'!$A$2:$C$26,3)*SIGN(S80-S76),"")</f>
        <v/>
      </c>
      <c r="AA80" s="13">
        <f>IF(AND(ISNUMBER(S80),ISNUMBER(S77)),VLOOKUP(ABS(S80-S77),'IMP Table'!$A$2:$C$26,3)*SIGN(S80-S77),"")</f>
        <v/>
      </c>
      <c r="AB80" s="13">
        <f>IF(AND(ISNUMBER(S80),ISNUMBER(S78)),VLOOKUP(ABS(S80-S78),'IMP Table'!$A$2:$C$26,3)*SIGN(S80-S78),"")</f>
        <v/>
      </c>
      <c r="AC80" s="13">
        <f>IF(AND(ISNUMBER(S80),ISNUMBER(S79)),VLOOKUP(ABS(S80-S79),'IMP Table'!$A$2:$C$26,3)*SIGN(S80-S79),"")</f>
        <v/>
      </c>
      <c r="AD80" s="13">
        <f>IF(AND(ISNUMBER(R80),ISNUMBER(R75)),IF(R80&gt;R75,1,IF(R80=R75,0.5,0)),0.5)</f>
        <v/>
      </c>
      <c r="AE80" s="13">
        <f>IF(AND(ISNUMBER(R80),ISNUMBER(R76)),IF(R80&gt;R76,1,IF(R80=R76,0.5,0)),0.5)</f>
        <v/>
      </c>
      <c r="AF80" s="13">
        <f>IF(AND(ISNUMBER(R80),ISNUMBER(R77)),IF(R80&gt;R77,1,IF(R80=R77,0.5,0)),0.5)</f>
        <v/>
      </c>
      <c r="AG80" s="13">
        <f>IF(AND(ISNUMBER(R80),ISNUMBER(R78)),IF(R80&gt;R78,1,IF(R80=R78,0.5,0)),0.5)</f>
        <v/>
      </c>
      <c r="AH80" s="13">
        <f>IF(AND(ISNUMBER(R80),ISNUMBER(R79)),IF(R80&gt;R79,1,IF(R80=R79,0.5,0)),0.5)</f>
        <v/>
      </c>
      <c r="AI80" s="13">
        <f>IF(AND(ISNUMBER(S80),ISNUMBER(S75)),IF(S80&gt;S75,1,IF(S80=S75,0.5,0)),0.5)</f>
        <v/>
      </c>
      <c r="AJ80" s="13">
        <f>IF(AND(ISNUMBER(S80),ISNUMBER(S76)),IF(S80&gt;S76,1,IF(S80=S76,0.5,0)),0.5)</f>
        <v/>
      </c>
      <c r="AK80" s="13">
        <f>IF(AND(ISNUMBER(S80),ISNUMBER(S77)),IF(S80&gt;S77,1,IF(S80=S77,0.5,0)),0.5)</f>
        <v/>
      </c>
      <c r="AL80" s="13">
        <f>IF(AND(ISNUMBER(S80),ISNUMBER(S78)),IF(S80&gt;S78,1,IF(S80=S78,0.5,0)),0.5)</f>
        <v/>
      </c>
      <c r="AM80" s="13">
        <f>IF(AND(ISNUMBER(S80),ISNUMBER(S79)),IF(S80&gt;S79,1,IF(S80=S79,0.5,0)),0.5)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4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5">
        <f>IFERROR(AVERAGE(T81:X81),"")</f>
        <v/>
      </c>
      <c r="M81" s="4">
        <f>IFERROR(AVERAGE(Y81:AC81),"")</f>
        <v/>
      </c>
      <c r="N81" s="5">
        <f>P81/5</f>
        <v/>
      </c>
      <c r="O81" s="5">
        <f>Q81/5</f>
        <v/>
      </c>
      <c r="P81" s="4">
        <f>IFERROR(SUM(AD81:AH81),"")</f>
        <v/>
      </c>
      <c r="Q81" s="4">
        <f>IFERROR(SUM(AI81:AM81),"")</f>
        <v/>
      </c>
      <c r="R81" s="16">
        <f>IF(ISNUMBER(J81),J81,IF(ISNUMBER(K81),-K81,""))</f>
        <v/>
      </c>
      <c r="S81">
        <f>IF(ISNUMBER(K81),K81,IF(ISNUMBER(J81),-J81,""))</f>
        <v/>
      </c>
      <c r="T81">
        <f>IF(AND(ISNUMBER(R81),ISNUMBER(R82)),VLOOKUP(ABS(R81-R82),'IMP Table'!$A$2:$C$26,3)*SIGN(R81-R82),"")</f>
        <v/>
      </c>
      <c r="U81">
        <f>IF(AND(ISNUMBER(R81),ISNUMBER(R83)),VLOOKUP(ABS(R81-R83),'IMP Table'!$A$2:$C$26,3)*SIGN(R81-R83),"")</f>
        <v/>
      </c>
      <c r="V81">
        <f>IF(AND(ISNUMBER(R81),ISNUMBER(R84)),VLOOKUP(ABS(R81-R84),'IMP Table'!$A$2:$C$26,3)*SIGN(R81-R84),"")</f>
        <v/>
      </c>
      <c r="W81">
        <f>IF(AND(ISNUMBER(R81),ISNUMBER(R85)),VLOOKUP(ABS(R81-R85),'IMP Table'!$A$2:$C$26,3)*SIGN(R81-R85),"")</f>
        <v/>
      </c>
      <c r="X81">
        <f>IF(AND(ISNUMBER(R81),ISNUMBER(R86)),VLOOKUP(ABS(R81-R86),'IMP Table'!$A$2:$C$26,3)*SIGN(R81-R86),"")</f>
        <v/>
      </c>
      <c r="Y81">
        <f>IF(AND(ISNUMBER(S81),ISNUMBER(S82)),VLOOKUP(ABS(S81-S82),'IMP Table'!$A$2:$C$26,3)*SIGN(S81-S82),"")</f>
        <v/>
      </c>
      <c r="Z81">
        <f>IF(AND(ISNUMBER(S81),ISNUMBER(S83)),VLOOKUP(ABS(S81-S83),'IMP Table'!$A$2:$C$26,3)*SIGN(S81-S83),"")</f>
        <v/>
      </c>
      <c r="AA81">
        <f>IF(AND(ISNUMBER(S81),ISNUMBER(S84)),VLOOKUP(ABS(S81-S84),'IMP Table'!$A$2:$C$26,3)*SIGN(S81-S84),"")</f>
        <v/>
      </c>
      <c r="AB81">
        <f>IF(AND(ISNUMBER(S81),ISNUMBER(S85)),VLOOKUP(ABS(S81-S85),'IMP Table'!$A$2:$C$26,3)*SIGN(S81-S85),"")</f>
        <v/>
      </c>
      <c r="AC81">
        <f>IF(AND(ISNUMBER(S81),ISNUMBER(S86)),VLOOKUP(ABS(S81-S86),'IMP Table'!$A$2:$C$26,3)*SIGN(S81-S86),"")</f>
        <v/>
      </c>
      <c r="AD81">
        <f>IF(AND(ISNUMBER(R81),ISNUMBER(R82)),IF(R81&gt;R82,1,IF(R81=R82,0.5,0)),0.5)</f>
        <v/>
      </c>
      <c r="AE81">
        <f>IF(AND(ISNUMBER(R81),ISNUMBER(R83)),IF(R81&gt;R83,1,IF(R81=R83,0.5,0)),0.5)</f>
        <v/>
      </c>
      <c r="AF81">
        <f>IF(AND(ISNUMBER(R81),ISNUMBER(R84)),IF(R81&gt;R84,1,IF(R81=R84,0.5,0)),0.5)</f>
        <v/>
      </c>
      <c r="AG81">
        <f>IF(AND(ISNUMBER(R81),ISNUMBER(R85)),IF(R81&gt;R85,1,IF(R81=R85,0.5,0)),0.5)</f>
        <v/>
      </c>
      <c r="AH81">
        <f>IF(AND(ISNUMBER(R81),ISNUMBER(R86)),IF(R81&gt;R86,1,IF(R81=R86,0.5,0)),0.5)</f>
        <v/>
      </c>
      <c r="AI81">
        <f>IF(AND(ISNUMBER(S81),ISNUMBER(S82)),IF(S81&gt;S82,1,IF(S81=S82,0.5,0)),0.5)</f>
        <v/>
      </c>
      <c r="AJ81">
        <f>IF(AND(ISNUMBER(S81),ISNUMBER(S83)),IF(S81&gt;S83,1,IF(S81=S83,0.5,0)),0.5)</f>
        <v/>
      </c>
      <c r="AK81">
        <f>IF(AND(ISNUMBER(S81),ISNUMBER(S84)),IF(S81&gt;S84,1,IF(S81=S84,0.5,0)),0.5)</f>
        <v/>
      </c>
      <c r="AL81">
        <f>IF(AND(ISNUMBER(S81),ISNUMBER(S85)),IF(S81&gt;S85,1,IF(S81=S85,0.5,0)),0.5)</f>
        <v/>
      </c>
      <c r="AM81">
        <f>IF(AND(ISNUMBER(S81),ISNUMBER(S86)),IF(S81&gt;S86,1,IF(S81=S86,0.5,0)),0.5)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4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5">
        <f>IFERROR(AVERAGE(T82:X82),"")</f>
        <v/>
      </c>
      <c r="M82" s="4">
        <f>IFERROR(AVERAGE(Y82:AC82),"")</f>
        <v/>
      </c>
      <c r="N82" s="5">
        <f>P82/5</f>
        <v/>
      </c>
      <c r="O82" s="5">
        <f>Q82/5</f>
        <v/>
      </c>
      <c r="P82" s="4">
        <f>IFERROR(SUM(AD82:AH82),"")</f>
        <v/>
      </c>
      <c r="Q82" s="4">
        <f>IFERROR(SUM(AI82:AM82),"")</f>
        <v/>
      </c>
      <c r="R82" s="16">
        <f>IF(ISNUMBER(J82),J82,IF(ISNUMBER(K82),-K82,""))</f>
        <v/>
      </c>
      <c r="S82">
        <f>IF(ISNUMBER(K82),K82,IF(ISNUMBER(J82),-J82,""))</f>
        <v/>
      </c>
      <c r="T82">
        <f>IF(AND(ISNUMBER(R82),ISNUMBER(R81)),VLOOKUP(ABS(R82-R81),'IMP Table'!$A$2:$C$26,3)*SIGN(R82-R81),"")</f>
        <v/>
      </c>
      <c r="U82">
        <f>IF(AND(ISNUMBER(R82),ISNUMBER(R83)),VLOOKUP(ABS(R82-R83),'IMP Table'!$A$2:$C$26,3)*SIGN(R82-R83),"")</f>
        <v/>
      </c>
      <c r="V82">
        <f>IF(AND(ISNUMBER(R82),ISNUMBER(R84)),VLOOKUP(ABS(R82-R84),'IMP Table'!$A$2:$C$26,3)*SIGN(R82-R84),"")</f>
        <v/>
      </c>
      <c r="W82">
        <f>IF(AND(ISNUMBER(R82),ISNUMBER(R85)),VLOOKUP(ABS(R82-R85),'IMP Table'!$A$2:$C$26,3)*SIGN(R82-R85),"")</f>
        <v/>
      </c>
      <c r="X82">
        <f>IF(AND(ISNUMBER(R82),ISNUMBER(R86)),VLOOKUP(ABS(R82-R86),'IMP Table'!$A$2:$C$26,3)*SIGN(R82-R86),"")</f>
        <v/>
      </c>
      <c r="Y82">
        <f>IF(AND(ISNUMBER(S82),ISNUMBER(S81)),VLOOKUP(ABS(S82-S81),'IMP Table'!$A$2:$C$26,3)*SIGN(S82-S81),"")</f>
        <v/>
      </c>
      <c r="Z82">
        <f>IF(AND(ISNUMBER(S82),ISNUMBER(S83)),VLOOKUP(ABS(S82-S83),'IMP Table'!$A$2:$C$26,3)*SIGN(S82-S83),"")</f>
        <v/>
      </c>
      <c r="AA82">
        <f>IF(AND(ISNUMBER(S82),ISNUMBER(S84)),VLOOKUP(ABS(S82-S84),'IMP Table'!$A$2:$C$26,3)*SIGN(S82-S84),"")</f>
        <v/>
      </c>
      <c r="AB82">
        <f>IF(AND(ISNUMBER(S82),ISNUMBER(S85)),VLOOKUP(ABS(S82-S85),'IMP Table'!$A$2:$C$26,3)*SIGN(S82-S85),"")</f>
        <v/>
      </c>
      <c r="AC82">
        <f>IF(AND(ISNUMBER(S82),ISNUMBER(S86)),VLOOKUP(ABS(S82-S86),'IMP Table'!$A$2:$C$26,3)*SIGN(S82-S86),"")</f>
        <v/>
      </c>
      <c r="AD82">
        <f>IF(AND(ISNUMBER(R82),ISNUMBER(R81)),IF(R82&gt;R81,1,IF(R82=R81,0.5,0)),0.5)</f>
        <v/>
      </c>
      <c r="AE82">
        <f>IF(AND(ISNUMBER(R82),ISNUMBER(R83)),IF(R82&gt;R83,1,IF(R82=R83,0.5,0)),0.5)</f>
        <v/>
      </c>
      <c r="AF82">
        <f>IF(AND(ISNUMBER(R82),ISNUMBER(R84)),IF(R82&gt;R84,1,IF(R82=R84,0.5,0)),0.5)</f>
        <v/>
      </c>
      <c r="AG82">
        <f>IF(AND(ISNUMBER(R82),ISNUMBER(R85)),IF(R82&gt;R85,1,IF(R82=R85,0.5,0)),0.5)</f>
        <v/>
      </c>
      <c r="AH82">
        <f>IF(AND(ISNUMBER(R82),ISNUMBER(R86)),IF(R82&gt;R86,1,IF(R82=R86,0.5,0)),0.5)</f>
        <v/>
      </c>
      <c r="AI82">
        <f>IF(AND(ISNUMBER(S82),ISNUMBER(S81)),IF(S82&gt;S81,1,IF(S82=S81,0.5,0)),0.5)</f>
        <v/>
      </c>
      <c r="AJ82">
        <f>IF(AND(ISNUMBER(S82),ISNUMBER(S83)),IF(S82&gt;S83,1,IF(S82=S83,0.5,0)),0.5)</f>
        <v/>
      </c>
      <c r="AK82">
        <f>IF(AND(ISNUMBER(S82),ISNUMBER(S84)),IF(S82&gt;S84,1,IF(S82=S84,0.5,0)),0.5)</f>
        <v/>
      </c>
      <c r="AL82">
        <f>IF(AND(ISNUMBER(S82),ISNUMBER(S85)),IF(S82&gt;S85,1,IF(S82=S85,0.5,0)),0.5)</f>
        <v/>
      </c>
      <c r="AM82">
        <f>IF(AND(ISNUMBER(S82),ISNUMBER(S86)),IF(S82&gt;S86,1,IF(S82=S86,0.5,0)),0.5)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4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5">
        <f>IFERROR(AVERAGE(T83:X83),"")</f>
        <v/>
      </c>
      <c r="M83" s="4">
        <f>IFERROR(AVERAGE(Y83:AC83),"")</f>
        <v/>
      </c>
      <c r="N83" s="5">
        <f>P83/5</f>
        <v/>
      </c>
      <c r="O83" s="5">
        <f>Q83/5</f>
        <v/>
      </c>
      <c r="P83" s="4">
        <f>IFERROR(SUM(AD83:AH83),"")</f>
        <v/>
      </c>
      <c r="Q83" s="4">
        <f>IFERROR(SUM(AI83:AM83),"")</f>
        <v/>
      </c>
      <c r="R83" s="16">
        <f>IF(ISNUMBER(J83),J83,IF(ISNUMBER(K83),-K83,""))</f>
        <v/>
      </c>
      <c r="S83">
        <f>IF(ISNUMBER(K83),K83,IF(ISNUMBER(J83),-J83,""))</f>
        <v/>
      </c>
      <c r="T83">
        <f>IF(AND(ISNUMBER(R83),ISNUMBER(R81)),VLOOKUP(ABS(R83-R81),'IMP Table'!$A$2:$C$26,3)*SIGN(R83-R81),"")</f>
        <v/>
      </c>
      <c r="U83">
        <f>IF(AND(ISNUMBER(R83),ISNUMBER(R82)),VLOOKUP(ABS(R83-R82),'IMP Table'!$A$2:$C$26,3)*SIGN(R83-R82),"")</f>
        <v/>
      </c>
      <c r="V83">
        <f>IF(AND(ISNUMBER(R83),ISNUMBER(R84)),VLOOKUP(ABS(R83-R84),'IMP Table'!$A$2:$C$26,3)*SIGN(R83-R84),"")</f>
        <v/>
      </c>
      <c r="W83">
        <f>IF(AND(ISNUMBER(R83),ISNUMBER(R85)),VLOOKUP(ABS(R83-R85),'IMP Table'!$A$2:$C$26,3)*SIGN(R83-R85),"")</f>
        <v/>
      </c>
      <c r="X83">
        <f>IF(AND(ISNUMBER(R83),ISNUMBER(R86)),VLOOKUP(ABS(R83-R86),'IMP Table'!$A$2:$C$26,3)*SIGN(R83-R86),"")</f>
        <v/>
      </c>
      <c r="Y83">
        <f>IF(AND(ISNUMBER(S83),ISNUMBER(S81)),VLOOKUP(ABS(S83-S81),'IMP Table'!$A$2:$C$26,3)*SIGN(S83-S81),"")</f>
        <v/>
      </c>
      <c r="Z83">
        <f>IF(AND(ISNUMBER(S83),ISNUMBER(S82)),VLOOKUP(ABS(S83-S82),'IMP Table'!$A$2:$C$26,3)*SIGN(S83-S82),"")</f>
        <v/>
      </c>
      <c r="AA83">
        <f>IF(AND(ISNUMBER(S83),ISNUMBER(S84)),VLOOKUP(ABS(S83-S84),'IMP Table'!$A$2:$C$26,3)*SIGN(S83-S84),"")</f>
        <v/>
      </c>
      <c r="AB83">
        <f>IF(AND(ISNUMBER(S83),ISNUMBER(S85)),VLOOKUP(ABS(S83-S85),'IMP Table'!$A$2:$C$26,3)*SIGN(S83-S85),"")</f>
        <v/>
      </c>
      <c r="AC83">
        <f>IF(AND(ISNUMBER(S83),ISNUMBER(S86)),VLOOKUP(ABS(S83-S86),'IMP Table'!$A$2:$C$26,3)*SIGN(S83-S86),"")</f>
        <v/>
      </c>
      <c r="AD83">
        <f>IF(AND(ISNUMBER(R83),ISNUMBER(R81)),IF(R83&gt;R81,1,IF(R83=R81,0.5,0)),0.5)</f>
        <v/>
      </c>
      <c r="AE83">
        <f>IF(AND(ISNUMBER(R83),ISNUMBER(R82)),IF(R83&gt;R82,1,IF(R83=R82,0.5,0)),0.5)</f>
        <v/>
      </c>
      <c r="AF83">
        <f>IF(AND(ISNUMBER(R83),ISNUMBER(R84)),IF(R83&gt;R84,1,IF(R83=R84,0.5,0)),0.5)</f>
        <v/>
      </c>
      <c r="AG83">
        <f>IF(AND(ISNUMBER(R83),ISNUMBER(R85)),IF(R83&gt;R85,1,IF(R83=R85,0.5,0)),0.5)</f>
        <v/>
      </c>
      <c r="AH83">
        <f>IF(AND(ISNUMBER(R83),ISNUMBER(R86)),IF(R83&gt;R86,1,IF(R83=R86,0.5,0)),0.5)</f>
        <v/>
      </c>
      <c r="AI83">
        <f>IF(AND(ISNUMBER(S83),ISNUMBER(S81)),IF(S83&gt;S81,1,IF(S83=S81,0.5,0)),0.5)</f>
        <v/>
      </c>
      <c r="AJ83">
        <f>IF(AND(ISNUMBER(S83),ISNUMBER(S82)),IF(S83&gt;S82,1,IF(S83=S82,0.5,0)),0.5)</f>
        <v/>
      </c>
      <c r="AK83">
        <f>IF(AND(ISNUMBER(S83),ISNUMBER(S84)),IF(S83&gt;S84,1,IF(S83=S84,0.5,0)),0.5)</f>
        <v/>
      </c>
      <c r="AL83">
        <f>IF(AND(ISNUMBER(S83),ISNUMBER(S85)),IF(S83&gt;S85,1,IF(S83=S85,0.5,0)),0.5)</f>
        <v/>
      </c>
      <c r="AM83">
        <f>IF(AND(ISNUMBER(S83),ISNUMBER(S86)),IF(S83&gt;S86,1,IF(S83=S86,0.5,0)),0.5)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4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5">
        <f>IFERROR(AVERAGE(T84:X84),"")</f>
        <v/>
      </c>
      <c r="M84" s="4">
        <f>IFERROR(AVERAGE(Y84:AC84),"")</f>
        <v/>
      </c>
      <c r="N84" s="5">
        <f>P84/5</f>
        <v/>
      </c>
      <c r="O84" s="5">
        <f>Q84/5</f>
        <v/>
      </c>
      <c r="P84" s="4">
        <f>IFERROR(SUM(AD84:AH84),"")</f>
        <v/>
      </c>
      <c r="Q84" s="4">
        <f>IFERROR(SUM(AI84:AM84),"")</f>
        <v/>
      </c>
      <c r="R84" s="16">
        <f>IF(ISNUMBER(J84),J84,IF(ISNUMBER(K84),-K84,""))</f>
        <v/>
      </c>
      <c r="S84">
        <f>IF(ISNUMBER(K84),K84,IF(ISNUMBER(J84),-J84,""))</f>
        <v/>
      </c>
      <c r="T84">
        <f>IF(AND(ISNUMBER(R84),ISNUMBER(R81)),VLOOKUP(ABS(R84-R81),'IMP Table'!$A$2:$C$26,3)*SIGN(R84-R81),"")</f>
        <v/>
      </c>
      <c r="U84">
        <f>IF(AND(ISNUMBER(R84),ISNUMBER(R82)),VLOOKUP(ABS(R84-R82),'IMP Table'!$A$2:$C$26,3)*SIGN(R84-R82),"")</f>
        <v/>
      </c>
      <c r="V84">
        <f>IF(AND(ISNUMBER(R84),ISNUMBER(R83)),VLOOKUP(ABS(R84-R83),'IMP Table'!$A$2:$C$26,3)*SIGN(R84-R83),"")</f>
        <v/>
      </c>
      <c r="W84">
        <f>IF(AND(ISNUMBER(R84),ISNUMBER(R85)),VLOOKUP(ABS(R84-R85),'IMP Table'!$A$2:$C$26,3)*SIGN(R84-R85),"")</f>
        <v/>
      </c>
      <c r="X84">
        <f>IF(AND(ISNUMBER(R84),ISNUMBER(R86)),VLOOKUP(ABS(R84-R86),'IMP Table'!$A$2:$C$26,3)*SIGN(R84-R86),"")</f>
        <v/>
      </c>
      <c r="Y84">
        <f>IF(AND(ISNUMBER(S84),ISNUMBER(S81)),VLOOKUP(ABS(S84-S81),'IMP Table'!$A$2:$C$26,3)*SIGN(S84-S81),"")</f>
        <v/>
      </c>
      <c r="Z84">
        <f>IF(AND(ISNUMBER(S84),ISNUMBER(S82)),VLOOKUP(ABS(S84-S82),'IMP Table'!$A$2:$C$26,3)*SIGN(S84-S82),"")</f>
        <v/>
      </c>
      <c r="AA84">
        <f>IF(AND(ISNUMBER(S84),ISNUMBER(S83)),VLOOKUP(ABS(S84-S83),'IMP Table'!$A$2:$C$26,3)*SIGN(S84-S83),"")</f>
        <v/>
      </c>
      <c r="AB84">
        <f>IF(AND(ISNUMBER(S84),ISNUMBER(S85)),VLOOKUP(ABS(S84-S85),'IMP Table'!$A$2:$C$26,3)*SIGN(S84-S85),"")</f>
        <v/>
      </c>
      <c r="AC84">
        <f>IF(AND(ISNUMBER(S84),ISNUMBER(S86)),VLOOKUP(ABS(S84-S86),'IMP Table'!$A$2:$C$26,3)*SIGN(S84-S86),"")</f>
        <v/>
      </c>
      <c r="AD84">
        <f>IF(AND(ISNUMBER(R84),ISNUMBER(R81)),IF(R84&gt;R81,1,IF(R84=R81,0.5,0)),0.5)</f>
        <v/>
      </c>
      <c r="AE84">
        <f>IF(AND(ISNUMBER(R84),ISNUMBER(R82)),IF(R84&gt;R82,1,IF(R84=R82,0.5,0)),0.5)</f>
        <v/>
      </c>
      <c r="AF84">
        <f>IF(AND(ISNUMBER(R84),ISNUMBER(R83)),IF(R84&gt;R83,1,IF(R84=R83,0.5,0)),0.5)</f>
        <v/>
      </c>
      <c r="AG84">
        <f>IF(AND(ISNUMBER(R84),ISNUMBER(R85)),IF(R84&gt;R85,1,IF(R84=R85,0.5,0)),0.5)</f>
        <v/>
      </c>
      <c r="AH84">
        <f>IF(AND(ISNUMBER(R84),ISNUMBER(R86)),IF(R84&gt;R86,1,IF(R84=R86,0.5,0)),0.5)</f>
        <v/>
      </c>
      <c r="AI84">
        <f>IF(AND(ISNUMBER(S84),ISNUMBER(S81)),IF(S84&gt;S81,1,IF(S84=S81,0.5,0)),0.5)</f>
        <v/>
      </c>
      <c r="AJ84">
        <f>IF(AND(ISNUMBER(S84),ISNUMBER(S82)),IF(S84&gt;S82,1,IF(S84=S82,0.5,0)),0.5)</f>
        <v/>
      </c>
      <c r="AK84">
        <f>IF(AND(ISNUMBER(S84),ISNUMBER(S83)),IF(S84&gt;S83,1,IF(S84=S83,0.5,0)),0.5)</f>
        <v/>
      </c>
      <c r="AL84">
        <f>IF(AND(ISNUMBER(S84),ISNUMBER(S85)),IF(S84&gt;S85,1,IF(S84=S85,0.5,0)),0.5)</f>
        <v/>
      </c>
      <c r="AM84">
        <f>IF(AND(ISNUMBER(S84),ISNUMBER(S86)),IF(S84&gt;S86,1,IF(S84=S86,0.5,0)),0.5)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4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5">
        <f>IFERROR(AVERAGE(T85:X85),"")</f>
        <v/>
      </c>
      <c r="M85" s="4">
        <f>IFERROR(AVERAGE(Y85:AC85),"")</f>
        <v/>
      </c>
      <c r="N85" s="5">
        <f>P85/5</f>
        <v/>
      </c>
      <c r="O85" s="5">
        <f>Q85/5</f>
        <v/>
      </c>
      <c r="P85" s="4">
        <f>IFERROR(SUM(AD85:AH85),"")</f>
        <v/>
      </c>
      <c r="Q85" s="4">
        <f>IFERROR(SUM(AI85:AM85),"")</f>
        <v/>
      </c>
      <c r="R85" s="16">
        <f>IF(ISNUMBER(J85),J85,IF(ISNUMBER(K85),-K85,""))</f>
        <v/>
      </c>
      <c r="S85">
        <f>IF(ISNUMBER(K85),K85,IF(ISNUMBER(J85),-J85,""))</f>
        <v/>
      </c>
      <c r="T85">
        <f>IF(AND(ISNUMBER(R85),ISNUMBER(R81)),VLOOKUP(ABS(R85-R81),'IMP Table'!$A$2:$C$26,3)*SIGN(R85-R81),"")</f>
        <v/>
      </c>
      <c r="U85">
        <f>IF(AND(ISNUMBER(R85),ISNUMBER(R82)),VLOOKUP(ABS(R85-R82),'IMP Table'!$A$2:$C$26,3)*SIGN(R85-R82),"")</f>
        <v/>
      </c>
      <c r="V85">
        <f>IF(AND(ISNUMBER(R85),ISNUMBER(R83)),VLOOKUP(ABS(R85-R83),'IMP Table'!$A$2:$C$26,3)*SIGN(R85-R83),"")</f>
        <v/>
      </c>
      <c r="W85">
        <f>IF(AND(ISNUMBER(R85),ISNUMBER(R84)),VLOOKUP(ABS(R85-R84),'IMP Table'!$A$2:$C$26,3)*SIGN(R85-R84),"")</f>
        <v/>
      </c>
      <c r="X85">
        <f>IF(AND(ISNUMBER(R85),ISNUMBER(R86)),VLOOKUP(ABS(R85-R86),'IMP Table'!$A$2:$C$26,3)*SIGN(R85-R86),"")</f>
        <v/>
      </c>
      <c r="Y85">
        <f>IF(AND(ISNUMBER(S85),ISNUMBER(S81)),VLOOKUP(ABS(S85-S81),'IMP Table'!$A$2:$C$26,3)*SIGN(S85-S81),"")</f>
        <v/>
      </c>
      <c r="Z85">
        <f>IF(AND(ISNUMBER(S85),ISNUMBER(S82)),VLOOKUP(ABS(S85-S82),'IMP Table'!$A$2:$C$26,3)*SIGN(S85-S82),"")</f>
        <v/>
      </c>
      <c r="AA85">
        <f>IF(AND(ISNUMBER(S85),ISNUMBER(S83)),VLOOKUP(ABS(S85-S83),'IMP Table'!$A$2:$C$26,3)*SIGN(S85-S83),"")</f>
        <v/>
      </c>
      <c r="AB85">
        <f>IF(AND(ISNUMBER(S85),ISNUMBER(S84)),VLOOKUP(ABS(S85-S84),'IMP Table'!$A$2:$C$26,3)*SIGN(S85-S84),"")</f>
        <v/>
      </c>
      <c r="AC85">
        <f>IF(AND(ISNUMBER(S85),ISNUMBER(S86)),VLOOKUP(ABS(S85-S86),'IMP Table'!$A$2:$C$26,3)*SIGN(S85-S86),"")</f>
        <v/>
      </c>
      <c r="AD85">
        <f>IF(AND(ISNUMBER(R85),ISNUMBER(R81)),IF(R85&gt;R81,1,IF(R85=R81,0.5,0)),0.5)</f>
        <v/>
      </c>
      <c r="AE85">
        <f>IF(AND(ISNUMBER(R85),ISNUMBER(R82)),IF(R85&gt;R82,1,IF(R85=R82,0.5,0)),0.5)</f>
        <v/>
      </c>
      <c r="AF85">
        <f>IF(AND(ISNUMBER(R85),ISNUMBER(R83)),IF(R85&gt;R83,1,IF(R85=R83,0.5,0)),0.5)</f>
        <v/>
      </c>
      <c r="AG85">
        <f>IF(AND(ISNUMBER(R85),ISNUMBER(R84)),IF(R85&gt;R84,1,IF(R85=R84,0.5,0)),0.5)</f>
        <v/>
      </c>
      <c r="AH85">
        <f>IF(AND(ISNUMBER(R85),ISNUMBER(R86)),IF(R85&gt;R86,1,IF(R85=R86,0.5,0)),0.5)</f>
        <v/>
      </c>
      <c r="AI85">
        <f>IF(AND(ISNUMBER(S85),ISNUMBER(S81)),IF(S85&gt;S81,1,IF(S85=S81,0.5,0)),0.5)</f>
        <v/>
      </c>
      <c r="AJ85">
        <f>IF(AND(ISNUMBER(S85),ISNUMBER(S82)),IF(S85&gt;S82,1,IF(S85=S82,0.5,0)),0.5)</f>
        <v/>
      </c>
      <c r="AK85">
        <f>IF(AND(ISNUMBER(S85),ISNUMBER(S83)),IF(S85&gt;S83,1,IF(S85=S83,0.5,0)),0.5)</f>
        <v/>
      </c>
      <c r="AL85">
        <f>IF(AND(ISNUMBER(S85),ISNUMBER(S84)),IF(S85&gt;S84,1,IF(S85=S84,0.5,0)),0.5)</f>
        <v/>
      </c>
      <c r="AM85">
        <f>IF(AND(ISNUMBER(S85),ISNUMBER(S86)),IF(S85&gt;S86,1,IF(S85=S86,0.5,0)),0.5)</f>
        <v/>
      </c>
    </row>
    <row r="86">
      <c r="A86" s="13" t="n"/>
      <c r="B86" s="13">
        <f>'By Round'!A123</f>
        <v/>
      </c>
      <c r="C86" s="13">
        <f>'By Round'!B129</f>
        <v/>
      </c>
      <c r="D86" s="13">
        <f>'By Round'!C129</f>
        <v/>
      </c>
      <c r="E86" s="13">
        <f>'By Round'!D129</f>
        <v/>
      </c>
      <c r="F86" s="17" t="inlineStr">
        <is>
          <t>None</t>
        </is>
      </c>
      <c r="G86" s="13">
        <f>IF(ISBLANK('By Round'!G129),"",'By Round'!G129)</f>
        <v/>
      </c>
      <c r="H86" s="13">
        <f>IF(ISBLANK('By Round'!H129),"",'By Round'!H129)</f>
        <v/>
      </c>
      <c r="I86" s="13">
        <f>IF(ISBLANK('By Round'!I129),"",'By Round'!I129)</f>
        <v/>
      </c>
      <c r="J86" s="13">
        <f>IF(ISBLANK('By Round'!J129),"",'By Round'!J129)</f>
        <v/>
      </c>
      <c r="K86" s="13">
        <f>IF(ISBLANK('By Round'!K129),"",'By Round'!K129)</f>
        <v/>
      </c>
      <c r="L86" s="18">
        <f>IFERROR(AVERAGE(T86:X86),"")</f>
        <v/>
      </c>
      <c r="M86" s="19">
        <f>IFERROR(AVERAGE(Y86:AC86),"")</f>
        <v/>
      </c>
      <c r="N86" s="20">
        <f>P86/5</f>
        <v/>
      </c>
      <c r="O86" s="20">
        <f>Q86/5</f>
        <v/>
      </c>
      <c r="P86" s="19">
        <f>IFERROR(SUM(AD86:AH86),"")</f>
        <v/>
      </c>
      <c r="Q86" s="19">
        <f>IFERROR(SUM(AI86:AM86),"")</f>
        <v/>
      </c>
      <c r="R86" s="21">
        <f>IF(ISNUMBER(J86),J86,IF(ISNUMBER(K86),-K86,""))</f>
        <v/>
      </c>
      <c r="S86" s="13">
        <f>IF(ISNUMBER(K86),K86,IF(ISNUMBER(J86),-J86,""))</f>
        <v/>
      </c>
      <c r="T86" s="13">
        <f>IF(AND(ISNUMBER(R86),ISNUMBER(R81)),VLOOKUP(ABS(R86-R81),'IMP Table'!$A$2:$C$26,3)*SIGN(R86-R81),"")</f>
        <v/>
      </c>
      <c r="U86" s="13">
        <f>IF(AND(ISNUMBER(R86),ISNUMBER(R82)),VLOOKUP(ABS(R86-R82),'IMP Table'!$A$2:$C$26,3)*SIGN(R86-R82),"")</f>
        <v/>
      </c>
      <c r="V86" s="13">
        <f>IF(AND(ISNUMBER(R86),ISNUMBER(R83)),VLOOKUP(ABS(R86-R83),'IMP Table'!$A$2:$C$26,3)*SIGN(R86-R83),"")</f>
        <v/>
      </c>
      <c r="W86" s="13">
        <f>IF(AND(ISNUMBER(R86),ISNUMBER(R84)),VLOOKUP(ABS(R86-R84),'IMP Table'!$A$2:$C$26,3)*SIGN(R86-R84),"")</f>
        <v/>
      </c>
      <c r="X86" s="13">
        <f>IF(AND(ISNUMBER(R86),ISNUMBER(R85)),VLOOKUP(ABS(R86-R85),'IMP Table'!$A$2:$C$26,3)*SIGN(R86-R85),"")</f>
        <v/>
      </c>
      <c r="Y86" s="13">
        <f>IF(AND(ISNUMBER(S86),ISNUMBER(S81)),VLOOKUP(ABS(S86-S81),'IMP Table'!$A$2:$C$26,3)*SIGN(S86-S81),"")</f>
        <v/>
      </c>
      <c r="Z86" s="13">
        <f>IF(AND(ISNUMBER(S86),ISNUMBER(S82)),VLOOKUP(ABS(S86-S82),'IMP Table'!$A$2:$C$26,3)*SIGN(S86-S82),"")</f>
        <v/>
      </c>
      <c r="AA86" s="13">
        <f>IF(AND(ISNUMBER(S86),ISNUMBER(S83)),VLOOKUP(ABS(S86-S83),'IMP Table'!$A$2:$C$26,3)*SIGN(S86-S83),"")</f>
        <v/>
      </c>
      <c r="AB86" s="13">
        <f>IF(AND(ISNUMBER(S86),ISNUMBER(S84)),VLOOKUP(ABS(S86-S84),'IMP Table'!$A$2:$C$26,3)*SIGN(S86-S84),"")</f>
        <v/>
      </c>
      <c r="AC86" s="13">
        <f>IF(AND(ISNUMBER(S86),ISNUMBER(S85)),VLOOKUP(ABS(S86-S85),'IMP Table'!$A$2:$C$26,3)*SIGN(S86-S85),"")</f>
        <v/>
      </c>
      <c r="AD86" s="13">
        <f>IF(AND(ISNUMBER(R86),ISNUMBER(R81)),IF(R86&gt;R81,1,IF(R86=R81,0.5,0)),0.5)</f>
        <v/>
      </c>
      <c r="AE86" s="13">
        <f>IF(AND(ISNUMBER(R86),ISNUMBER(R82)),IF(R86&gt;R82,1,IF(R86=R82,0.5,0)),0.5)</f>
        <v/>
      </c>
      <c r="AF86" s="13">
        <f>IF(AND(ISNUMBER(R86),ISNUMBER(R83)),IF(R86&gt;R83,1,IF(R86=R83,0.5,0)),0.5)</f>
        <v/>
      </c>
      <c r="AG86" s="13">
        <f>IF(AND(ISNUMBER(R86),ISNUMBER(R84)),IF(R86&gt;R84,1,IF(R86=R84,0.5,0)),0.5)</f>
        <v/>
      </c>
      <c r="AH86" s="13">
        <f>IF(AND(ISNUMBER(R86),ISNUMBER(R85)),IF(R86&gt;R85,1,IF(R86=R85,0.5,0)),0.5)</f>
        <v/>
      </c>
      <c r="AI86" s="13">
        <f>IF(AND(ISNUMBER(S86),ISNUMBER(S81)),IF(S86&gt;S81,1,IF(S86=S81,0.5,0)),0.5)</f>
        <v/>
      </c>
      <c r="AJ86" s="13">
        <f>IF(AND(ISNUMBER(S86),ISNUMBER(S82)),IF(S86&gt;S82,1,IF(S86=S82,0.5,0)),0.5)</f>
        <v/>
      </c>
      <c r="AK86" s="13">
        <f>IF(AND(ISNUMBER(S86),ISNUMBER(S83)),IF(S86&gt;S83,1,IF(S86=S83,0.5,0)),0.5)</f>
        <v/>
      </c>
      <c r="AL86" s="13">
        <f>IF(AND(ISNUMBER(S86),ISNUMBER(S84)),IF(S86&gt;S84,1,IF(S86=S84,0.5,0)),0.5)</f>
        <v/>
      </c>
      <c r="AM86" s="13">
        <f>IF(AND(ISNUMBER(S86),ISNUMBER(S85)),IF(S86&gt;S85,1,IF(S86=S85,0.5,0)),0.5)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4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5">
        <f>IFERROR(AVERAGE(T87:X87),"")</f>
        <v/>
      </c>
      <c r="M87" s="4">
        <f>IFERROR(AVERAGE(Y87:AC87),"")</f>
        <v/>
      </c>
      <c r="N87" s="5">
        <f>P87/5</f>
        <v/>
      </c>
      <c r="O87" s="5">
        <f>Q87/5</f>
        <v/>
      </c>
      <c r="P87" s="4">
        <f>IFERROR(SUM(AD87:AH87),"")</f>
        <v/>
      </c>
      <c r="Q87" s="4">
        <f>IFERROR(SUM(AI87:AM87),"")</f>
        <v/>
      </c>
      <c r="R87" s="16">
        <f>IF(ISNUMBER(J87),J87,IF(ISNUMBER(K87),-K87,""))</f>
        <v/>
      </c>
      <c r="S87">
        <f>IF(ISNUMBER(K87),K87,IF(ISNUMBER(J87),-J87,""))</f>
        <v/>
      </c>
      <c r="T87">
        <f>IF(AND(ISNUMBER(R87),ISNUMBER(R88)),VLOOKUP(ABS(R87-R88),'IMP Table'!$A$2:$C$26,3)*SIGN(R87-R88),"")</f>
        <v/>
      </c>
      <c r="U87">
        <f>IF(AND(ISNUMBER(R87),ISNUMBER(R89)),VLOOKUP(ABS(R87-R89),'IMP Table'!$A$2:$C$26,3)*SIGN(R87-R89),"")</f>
        <v/>
      </c>
      <c r="V87">
        <f>IF(AND(ISNUMBER(R87),ISNUMBER(R90)),VLOOKUP(ABS(R87-R90),'IMP Table'!$A$2:$C$26,3)*SIGN(R87-R90),"")</f>
        <v/>
      </c>
      <c r="W87">
        <f>IF(AND(ISNUMBER(R87),ISNUMBER(R91)),VLOOKUP(ABS(R87-R91),'IMP Table'!$A$2:$C$26,3)*SIGN(R87-R91),"")</f>
        <v/>
      </c>
      <c r="X87">
        <f>IF(AND(ISNUMBER(R87),ISNUMBER(R92)),VLOOKUP(ABS(R87-R92),'IMP Table'!$A$2:$C$26,3)*SIGN(R87-R92),"")</f>
        <v/>
      </c>
      <c r="Y87">
        <f>IF(AND(ISNUMBER(S87),ISNUMBER(S88)),VLOOKUP(ABS(S87-S88),'IMP Table'!$A$2:$C$26,3)*SIGN(S87-S88),"")</f>
        <v/>
      </c>
      <c r="Z87">
        <f>IF(AND(ISNUMBER(S87),ISNUMBER(S89)),VLOOKUP(ABS(S87-S89),'IMP Table'!$A$2:$C$26,3)*SIGN(S87-S89),"")</f>
        <v/>
      </c>
      <c r="AA87">
        <f>IF(AND(ISNUMBER(S87),ISNUMBER(S90)),VLOOKUP(ABS(S87-S90),'IMP Table'!$A$2:$C$26,3)*SIGN(S87-S90),"")</f>
        <v/>
      </c>
      <c r="AB87">
        <f>IF(AND(ISNUMBER(S87),ISNUMBER(S91)),VLOOKUP(ABS(S87-S91),'IMP Table'!$A$2:$C$26,3)*SIGN(S87-S91),"")</f>
        <v/>
      </c>
      <c r="AC87">
        <f>IF(AND(ISNUMBER(S87),ISNUMBER(S92)),VLOOKUP(ABS(S87-S92),'IMP Table'!$A$2:$C$26,3)*SIGN(S87-S92),"")</f>
        <v/>
      </c>
      <c r="AD87">
        <f>IF(AND(ISNUMBER(R87),ISNUMBER(R88)),IF(R87&gt;R88,1,IF(R87=R88,0.5,0)),0.5)</f>
        <v/>
      </c>
      <c r="AE87">
        <f>IF(AND(ISNUMBER(R87),ISNUMBER(R89)),IF(R87&gt;R89,1,IF(R87=R89,0.5,0)),0.5)</f>
        <v/>
      </c>
      <c r="AF87">
        <f>IF(AND(ISNUMBER(R87),ISNUMBER(R90)),IF(R87&gt;R90,1,IF(R87=R90,0.5,0)),0.5)</f>
        <v/>
      </c>
      <c r="AG87">
        <f>IF(AND(ISNUMBER(R87),ISNUMBER(R91)),IF(R87&gt;R91,1,IF(R87=R91,0.5,0)),0.5)</f>
        <v/>
      </c>
      <c r="AH87">
        <f>IF(AND(ISNUMBER(R87),ISNUMBER(R92)),IF(R87&gt;R92,1,IF(R87=R92,0.5,0)),0.5)</f>
        <v/>
      </c>
      <c r="AI87">
        <f>IF(AND(ISNUMBER(S87),ISNUMBER(S88)),IF(S87&gt;S88,1,IF(S87=S88,0.5,0)),0.5)</f>
        <v/>
      </c>
      <c r="AJ87">
        <f>IF(AND(ISNUMBER(S87),ISNUMBER(S89)),IF(S87&gt;S89,1,IF(S87=S89,0.5,0)),0.5)</f>
        <v/>
      </c>
      <c r="AK87">
        <f>IF(AND(ISNUMBER(S87),ISNUMBER(S90)),IF(S87&gt;S90,1,IF(S87=S90,0.5,0)),0.5)</f>
        <v/>
      </c>
      <c r="AL87">
        <f>IF(AND(ISNUMBER(S87),ISNUMBER(S91)),IF(S87&gt;S91,1,IF(S87=S91,0.5,0)),0.5)</f>
        <v/>
      </c>
      <c r="AM87">
        <f>IF(AND(ISNUMBER(S87),ISNUMBER(S92)),IF(S87&gt;S92,1,IF(S87=S92,0.5,0)),0.5)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4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5">
        <f>IFERROR(AVERAGE(T88:X88),"")</f>
        <v/>
      </c>
      <c r="M88" s="4">
        <f>IFERROR(AVERAGE(Y88:AC88),"")</f>
        <v/>
      </c>
      <c r="N88" s="5">
        <f>P88/5</f>
        <v/>
      </c>
      <c r="O88" s="5">
        <f>Q88/5</f>
        <v/>
      </c>
      <c r="P88" s="4">
        <f>IFERROR(SUM(AD88:AH88),"")</f>
        <v/>
      </c>
      <c r="Q88" s="4">
        <f>IFERROR(SUM(AI88:AM88),"")</f>
        <v/>
      </c>
      <c r="R88" s="16">
        <f>IF(ISNUMBER(J88),J88,IF(ISNUMBER(K88),-K88,""))</f>
        <v/>
      </c>
      <c r="S88">
        <f>IF(ISNUMBER(K88),K88,IF(ISNUMBER(J88),-J88,""))</f>
        <v/>
      </c>
      <c r="T88">
        <f>IF(AND(ISNUMBER(R88),ISNUMBER(R87)),VLOOKUP(ABS(R88-R87),'IMP Table'!$A$2:$C$26,3)*SIGN(R88-R87),"")</f>
        <v/>
      </c>
      <c r="U88">
        <f>IF(AND(ISNUMBER(R88),ISNUMBER(R89)),VLOOKUP(ABS(R88-R89),'IMP Table'!$A$2:$C$26,3)*SIGN(R88-R89),"")</f>
        <v/>
      </c>
      <c r="V88">
        <f>IF(AND(ISNUMBER(R88),ISNUMBER(R90)),VLOOKUP(ABS(R88-R90),'IMP Table'!$A$2:$C$26,3)*SIGN(R88-R90),"")</f>
        <v/>
      </c>
      <c r="W88">
        <f>IF(AND(ISNUMBER(R88),ISNUMBER(R91)),VLOOKUP(ABS(R88-R91),'IMP Table'!$A$2:$C$26,3)*SIGN(R88-R91),"")</f>
        <v/>
      </c>
      <c r="X88">
        <f>IF(AND(ISNUMBER(R88),ISNUMBER(R92)),VLOOKUP(ABS(R88-R92),'IMP Table'!$A$2:$C$26,3)*SIGN(R88-R92),"")</f>
        <v/>
      </c>
      <c r="Y88">
        <f>IF(AND(ISNUMBER(S88),ISNUMBER(S87)),VLOOKUP(ABS(S88-S87),'IMP Table'!$A$2:$C$26,3)*SIGN(S88-S87),"")</f>
        <v/>
      </c>
      <c r="Z88">
        <f>IF(AND(ISNUMBER(S88),ISNUMBER(S89)),VLOOKUP(ABS(S88-S89),'IMP Table'!$A$2:$C$26,3)*SIGN(S88-S89),"")</f>
        <v/>
      </c>
      <c r="AA88">
        <f>IF(AND(ISNUMBER(S88),ISNUMBER(S90)),VLOOKUP(ABS(S88-S90),'IMP Table'!$A$2:$C$26,3)*SIGN(S88-S90),"")</f>
        <v/>
      </c>
      <c r="AB88">
        <f>IF(AND(ISNUMBER(S88),ISNUMBER(S91)),VLOOKUP(ABS(S88-S91),'IMP Table'!$A$2:$C$26,3)*SIGN(S88-S91),"")</f>
        <v/>
      </c>
      <c r="AC88">
        <f>IF(AND(ISNUMBER(S88),ISNUMBER(S92)),VLOOKUP(ABS(S88-S92),'IMP Table'!$A$2:$C$26,3)*SIGN(S88-S92),"")</f>
        <v/>
      </c>
      <c r="AD88">
        <f>IF(AND(ISNUMBER(R88),ISNUMBER(R87)),IF(R88&gt;R87,1,IF(R88=R87,0.5,0)),0.5)</f>
        <v/>
      </c>
      <c r="AE88">
        <f>IF(AND(ISNUMBER(R88),ISNUMBER(R89)),IF(R88&gt;R89,1,IF(R88=R89,0.5,0)),0.5)</f>
        <v/>
      </c>
      <c r="AF88">
        <f>IF(AND(ISNUMBER(R88),ISNUMBER(R90)),IF(R88&gt;R90,1,IF(R88=R90,0.5,0)),0.5)</f>
        <v/>
      </c>
      <c r="AG88">
        <f>IF(AND(ISNUMBER(R88),ISNUMBER(R91)),IF(R88&gt;R91,1,IF(R88=R91,0.5,0)),0.5)</f>
        <v/>
      </c>
      <c r="AH88">
        <f>IF(AND(ISNUMBER(R88),ISNUMBER(R92)),IF(R88&gt;R92,1,IF(R88=R92,0.5,0)),0.5)</f>
        <v/>
      </c>
      <c r="AI88">
        <f>IF(AND(ISNUMBER(S88),ISNUMBER(S87)),IF(S88&gt;S87,1,IF(S88=S87,0.5,0)),0.5)</f>
        <v/>
      </c>
      <c r="AJ88">
        <f>IF(AND(ISNUMBER(S88),ISNUMBER(S89)),IF(S88&gt;S89,1,IF(S88=S89,0.5,0)),0.5)</f>
        <v/>
      </c>
      <c r="AK88">
        <f>IF(AND(ISNUMBER(S88),ISNUMBER(S90)),IF(S88&gt;S90,1,IF(S88=S90,0.5,0)),0.5)</f>
        <v/>
      </c>
      <c r="AL88">
        <f>IF(AND(ISNUMBER(S88),ISNUMBER(S91)),IF(S88&gt;S91,1,IF(S88=S91,0.5,0)),0.5)</f>
        <v/>
      </c>
      <c r="AM88">
        <f>IF(AND(ISNUMBER(S88),ISNUMBER(S92)),IF(S88&gt;S92,1,IF(S88=S92,0.5,0)),0.5)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4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5">
        <f>IFERROR(AVERAGE(T89:X89),"")</f>
        <v/>
      </c>
      <c r="M89" s="4">
        <f>IFERROR(AVERAGE(Y89:AC89),"")</f>
        <v/>
      </c>
      <c r="N89" s="5">
        <f>P89/5</f>
        <v/>
      </c>
      <c r="O89" s="5">
        <f>Q89/5</f>
        <v/>
      </c>
      <c r="P89" s="4">
        <f>IFERROR(SUM(AD89:AH89),"")</f>
        <v/>
      </c>
      <c r="Q89" s="4">
        <f>IFERROR(SUM(AI89:AM89),"")</f>
        <v/>
      </c>
      <c r="R89" s="16">
        <f>IF(ISNUMBER(J89),J89,IF(ISNUMBER(K89),-K89,""))</f>
        <v/>
      </c>
      <c r="S89">
        <f>IF(ISNUMBER(K89),K89,IF(ISNUMBER(J89),-J89,""))</f>
        <v/>
      </c>
      <c r="T89">
        <f>IF(AND(ISNUMBER(R89),ISNUMBER(R87)),VLOOKUP(ABS(R89-R87),'IMP Table'!$A$2:$C$26,3)*SIGN(R89-R87),"")</f>
        <v/>
      </c>
      <c r="U89">
        <f>IF(AND(ISNUMBER(R89),ISNUMBER(R88)),VLOOKUP(ABS(R89-R88),'IMP Table'!$A$2:$C$26,3)*SIGN(R89-R88),"")</f>
        <v/>
      </c>
      <c r="V89">
        <f>IF(AND(ISNUMBER(R89),ISNUMBER(R90)),VLOOKUP(ABS(R89-R90),'IMP Table'!$A$2:$C$26,3)*SIGN(R89-R90),"")</f>
        <v/>
      </c>
      <c r="W89">
        <f>IF(AND(ISNUMBER(R89),ISNUMBER(R91)),VLOOKUP(ABS(R89-R91),'IMP Table'!$A$2:$C$26,3)*SIGN(R89-R91),"")</f>
        <v/>
      </c>
      <c r="X89">
        <f>IF(AND(ISNUMBER(R89),ISNUMBER(R92)),VLOOKUP(ABS(R89-R92),'IMP Table'!$A$2:$C$26,3)*SIGN(R89-R92),"")</f>
        <v/>
      </c>
      <c r="Y89">
        <f>IF(AND(ISNUMBER(S89),ISNUMBER(S87)),VLOOKUP(ABS(S89-S87),'IMP Table'!$A$2:$C$26,3)*SIGN(S89-S87),"")</f>
        <v/>
      </c>
      <c r="Z89">
        <f>IF(AND(ISNUMBER(S89),ISNUMBER(S88)),VLOOKUP(ABS(S89-S88),'IMP Table'!$A$2:$C$26,3)*SIGN(S89-S88),"")</f>
        <v/>
      </c>
      <c r="AA89">
        <f>IF(AND(ISNUMBER(S89),ISNUMBER(S90)),VLOOKUP(ABS(S89-S90),'IMP Table'!$A$2:$C$26,3)*SIGN(S89-S90),"")</f>
        <v/>
      </c>
      <c r="AB89">
        <f>IF(AND(ISNUMBER(S89),ISNUMBER(S91)),VLOOKUP(ABS(S89-S91),'IMP Table'!$A$2:$C$26,3)*SIGN(S89-S91),"")</f>
        <v/>
      </c>
      <c r="AC89">
        <f>IF(AND(ISNUMBER(S89),ISNUMBER(S92)),VLOOKUP(ABS(S89-S92),'IMP Table'!$A$2:$C$26,3)*SIGN(S89-S92),"")</f>
        <v/>
      </c>
      <c r="AD89">
        <f>IF(AND(ISNUMBER(R89),ISNUMBER(R87)),IF(R89&gt;R87,1,IF(R89=R87,0.5,0)),0.5)</f>
        <v/>
      </c>
      <c r="AE89">
        <f>IF(AND(ISNUMBER(R89),ISNUMBER(R88)),IF(R89&gt;R88,1,IF(R89=R88,0.5,0)),0.5)</f>
        <v/>
      </c>
      <c r="AF89">
        <f>IF(AND(ISNUMBER(R89),ISNUMBER(R90)),IF(R89&gt;R90,1,IF(R89=R90,0.5,0)),0.5)</f>
        <v/>
      </c>
      <c r="AG89">
        <f>IF(AND(ISNUMBER(R89),ISNUMBER(R91)),IF(R89&gt;R91,1,IF(R89=R91,0.5,0)),0.5)</f>
        <v/>
      </c>
      <c r="AH89">
        <f>IF(AND(ISNUMBER(R89),ISNUMBER(R92)),IF(R89&gt;R92,1,IF(R89=R92,0.5,0)),0.5)</f>
        <v/>
      </c>
      <c r="AI89">
        <f>IF(AND(ISNUMBER(S89),ISNUMBER(S87)),IF(S89&gt;S87,1,IF(S89=S87,0.5,0)),0.5)</f>
        <v/>
      </c>
      <c r="AJ89">
        <f>IF(AND(ISNUMBER(S89),ISNUMBER(S88)),IF(S89&gt;S88,1,IF(S89=S88,0.5,0)),0.5)</f>
        <v/>
      </c>
      <c r="AK89">
        <f>IF(AND(ISNUMBER(S89),ISNUMBER(S90)),IF(S89&gt;S90,1,IF(S89=S90,0.5,0)),0.5)</f>
        <v/>
      </c>
      <c r="AL89">
        <f>IF(AND(ISNUMBER(S89),ISNUMBER(S91)),IF(S89&gt;S91,1,IF(S89=S91,0.5,0)),0.5)</f>
        <v/>
      </c>
      <c r="AM89">
        <f>IF(AND(ISNUMBER(S89),ISNUMBER(S92)),IF(S89&gt;S92,1,IF(S89=S92,0.5,0)),0.5)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4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5">
        <f>IFERROR(AVERAGE(T90:X90),"")</f>
        <v/>
      </c>
      <c r="M90" s="4">
        <f>IFERROR(AVERAGE(Y90:AC90),"")</f>
        <v/>
      </c>
      <c r="N90" s="5">
        <f>P90/5</f>
        <v/>
      </c>
      <c r="O90" s="5">
        <f>Q90/5</f>
        <v/>
      </c>
      <c r="P90" s="4">
        <f>IFERROR(SUM(AD90:AH90),"")</f>
        <v/>
      </c>
      <c r="Q90" s="4">
        <f>IFERROR(SUM(AI90:AM90),"")</f>
        <v/>
      </c>
      <c r="R90" s="16">
        <f>IF(ISNUMBER(J90),J90,IF(ISNUMBER(K90),-K90,""))</f>
        <v/>
      </c>
      <c r="S90">
        <f>IF(ISNUMBER(K90),K90,IF(ISNUMBER(J90),-J90,""))</f>
        <v/>
      </c>
      <c r="T90">
        <f>IF(AND(ISNUMBER(R90),ISNUMBER(R87)),VLOOKUP(ABS(R90-R87),'IMP Table'!$A$2:$C$26,3)*SIGN(R90-R87),"")</f>
        <v/>
      </c>
      <c r="U90">
        <f>IF(AND(ISNUMBER(R90),ISNUMBER(R88)),VLOOKUP(ABS(R90-R88),'IMP Table'!$A$2:$C$26,3)*SIGN(R90-R88),"")</f>
        <v/>
      </c>
      <c r="V90">
        <f>IF(AND(ISNUMBER(R90),ISNUMBER(R89)),VLOOKUP(ABS(R90-R89),'IMP Table'!$A$2:$C$26,3)*SIGN(R90-R89),"")</f>
        <v/>
      </c>
      <c r="W90">
        <f>IF(AND(ISNUMBER(R90),ISNUMBER(R91)),VLOOKUP(ABS(R90-R91),'IMP Table'!$A$2:$C$26,3)*SIGN(R90-R91),"")</f>
        <v/>
      </c>
      <c r="X90">
        <f>IF(AND(ISNUMBER(R90),ISNUMBER(R92)),VLOOKUP(ABS(R90-R92),'IMP Table'!$A$2:$C$26,3)*SIGN(R90-R92),"")</f>
        <v/>
      </c>
      <c r="Y90">
        <f>IF(AND(ISNUMBER(S90),ISNUMBER(S87)),VLOOKUP(ABS(S90-S87),'IMP Table'!$A$2:$C$26,3)*SIGN(S90-S87),"")</f>
        <v/>
      </c>
      <c r="Z90">
        <f>IF(AND(ISNUMBER(S90),ISNUMBER(S88)),VLOOKUP(ABS(S90-S88),'IMP Table'!$A$2:$C$26,3)*SIGN(S90-S88),"")</f>
        <v/>
      </c>
      <c r="AA90">
        <f>IF(AND(ISNUMBER(S90),ISNUMBER(S89)),VLOOKUP(ABS(S90-S89),'IMP Table'!$A$2:$C$26,3)*SIGN(S90-S89),"")</f>
        <v/>
      </c>
      <c r="AB90">
        <f>IF(AND(ISNUMBER(S90),ISNUMBER(S91)),VLOOKUP(ABS(S90-S91),'IMP Table'!$A$2:$C$26,3)*SIGN(S90-S91),"")</f>
        <v/>
      </c>
      <c r="AC90">
        <f>IF(AND(ISNUMBER(S90),ISNUMBER(S92)),VLOOKUP(ABS(S90-S92),'IMP Table'!$A$2:$C$26,3)*SIGN(S90-S92),"")</f>
        <v/>
      </c>
      <c r="AD90">
        <f>IF(AND(ISNUMBER(R90),ISNUMBER(R87)),IF(R90&gt;R87,1,IF(R90=R87,0.5,0)),0.5)</f>
        <v/>
      </c>
      <c r="AE90">
        <f>IF(AND(ISNUMBER(R90),ISNUMBER(R88)),IF(R90&gt;R88,1,IF(R90=R88,0.5,0)),0.5)</f>
        <v/>
      </c>
      <c r="AF90">
        <f>IF(AND(ISNUMBER(R90),ISNUMBER(R89)),IF(R90&gt;R89,1,IF(R90=R89,0.5,0)),0.5)</f>
        <v/>
      </c>
      <c r="AG90">
        <f>IF(AND(ISNUMBER(R90),ISNUMBER(R91)),IF(R90&gt;R91,1,IF(R90=R91,0.5,0)),0.5)</f>
        <v/>
      </c>
      <c r="AH90">
        <f>IF(AND(ISNUMBER(R90),ISNUMBER(R92)),IF(R90&gt;R92,1,IF(R90=R92,0.5,0)),0.5)</f>
        <v/>
      </c>
      <c r="AI90">
        <f>IF(AND(ISNUMBER(S90),ISNUMBER(S87)),IF(S90&gt;S87,1,IF(S90=S87,0.5,0)),0.5)</f>
        <v/>
      </c>
      <c r="AJ90">
        <f>IF(AND(ISNUMBER(S90),ISNUMBER(S88)),IF(S90&gt;S88,1,IF(S90=S88,0.5,0)),0.5)</f>
        <v/>
      </c>
      <c r="AK90">
        <f>IF(AND(ISNUMBER(S90),ISNUMBER(S89)),IF(S90&gt;S89,1,IF(S90=S89,0.5,0)),0.5)</f>
        <v/>
      </c>
      <c r="AL90">
        <f>IF(AND(ISNUMBER(S90),ISNUMBER(S91)),IF(S90&gt;S91,1,IF(S90=S91,0.5,0)),0.5)</f>
        <v/>
      </c>
      <c r="AM90">
        <f>IF(AND(ISNUMBER(S90),ISNUMBER(S92)),IF(S90&gt;S92,1,IF(S90=S92,0.5,0)),0.5)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4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5">
        <f>IFERROR(AVERAGE(T91:X91),"")</f>
        <v/>
      </c>
      <c r="M91" s="4">
        <f>IFERROR(AVERAGE(Y91:AC91),"")</f>
        <v/>
      </c>
      <c r="N91" s="5">
        <f>P91/5</f>
        <v/>
      </c>
      <c r="O91" s="5">
        <f>Q91/5</f>
        <v/>
      </c>
      <c r="P91" s="4">
        <f>IFERROR(SUM(AD91:AH91),"")</f>
        <v/>
      </c>
      <c r="Q91" s="4">
        <f>IFERROR(SUM(AI91:AM91),"")</f>
        <v/>
      </c>
      <c r="R91" s="16">
        <f>IF(ISNUMBER(J91),J91,IF(ISNUMBER(K91),-K91,""))</f>
        <v/>
      </c>
      <c r="S91">
        <f>IF(ISNUMBER(K91),K91,IF(ISNUMBER(J91),-J91,""))</f>
        <v/>
      </c>
      <c r="T91">
        <f>IF(AND(ISNUMBER(R91),ISNUMBER(R87)),VLOOKUP(ABS(R91-R87),'IMP Table'!$A$2:$C$26,3)*SIGN(R91-R87),"")</f>
        <v/>
      </c>
      <c r="U91">
        <f>IF(AND(ISNUMBER(R91),ISNUMBER(R88)),VLOOKUP(ABS(R91-R88),'IMP Table'!$A$2:$C$26,3)*SIGN(R91-R88),"")</f>
        <v/>
      </c>
      <c r="V91">
        <f>IF(AND(ISNUMBER(R91),ISNUMBER(R89)),VLOOKUP(ABS(R91-R89),'IMP Table'!$A$2:$C$26,3)*SIGN(R91-R89),"")</f>
        <v/>
      </c>
      <c r="W91">
        <f>IF(AND(ISNUMBER(R91),ISNUMBER(R90)),VLOOKUP(ABS(R91-R90),'IMP Table'!$A$2:$C$26,3)*SIGN(R91-R90),"")</f>
        <v/>
      </c>
      <c r="X91">
        <f>IF(AND(ISNUMBER(R91),ISNUMBER(R92)),VLOOKUP(ABS(R91-R92),'IMP Table'!$A$2:$C$26,3)*SIGN(R91-R92),"")</f>
        <v/>
      </c>
      <c r="Y91">
        <f>IF(AND(ISNUMBER(S91),ISNUMBER(S87)),VLOOKUP(ABS(S91-S87),'IMP Table'!$A$2:$C$26,3)*SIGN(S91-S87),"")</f>
        <v/>
      </c>
      <c r="Z91">
        <f>IF(AND(ISNUMBER(S91),ISNUMBER(S88)),VLOOKUP(ABS(S91-S88),'IMP Table'!$A$2:$C$26,3)*SIGN(S91-S88),"")</f>
        <v/>
      </c>
      <c r="AA91">
        <f>IF(AND(ISNUMBER(S91),ISNUMBER(S89)),VLOOKUP(ABS(S91-S89),'IMP Table'!$A$2:$C$26,3)*SIGN(S91-S89),"")</f>
        <v/>
      </c>
      <c r="AB91">
        <f>IF(AND(ISNUMBER(S91),ISNUMBER(S90)),VLOOKUP(ABS(S91-S90),'IMP Table'!$A$2:$C$26,3)*SIGN(S91-S90),"")</f>
        <v/>
      </c>
      <c r="AC91">
        <f>IF(AND(ISNUMBER(S91),ISNUMBER(S92)),VLOOKUP(ABS(S91-S92),'IMP Table'!$A$2:$C$26,3)*SIGN(S91-S92),"")</f>
        <v/>
      </c>
      <c r="AD91">
        <f>IF(AND(ISNUMBER(R91),ISNUMBER(R87)),IF(R91&gt;R87,1,IF(R91=R87,0.5,0)),0.5)</f>
        <v/>
      </c>
      <c r="AE91">
        <f>IF(AND(ISNUMBER(R91),ISNUMBER(R88)),IF(R91&gt;R88,1,IF(R91=R88,0.5,0)),0.5)</f>
        <v/>
      </c>
      <c r="AF91">
        <f>IF(AND(ISNUMBER(R91),ISNUMBER(R89)),IF(R91&gt;R89,1,IF(R91=R89,0.5,0)),0.5)</f>
        <v/>
      </c>
      <c r="AG91">
        <f>IF(AND(ISNUMBER(R91),ISNUMBER(R90)),IF(R91&gt;R90,1,IF(R91=R90,0.5,0)),0.5)</f>
        <v/>
      </c>
      <c r="AH91">
        <f>IF(AND(ISNUMBER(R91),ISNUMBER(R92)),IF(R91&gt;R92,1,IF(R91=R92,0.5,0)),0.5)</f>
        <v/>
      </c>
      <c r="AI91">
        <f>IF(AND(ISNUMBER(S91),ISNUMBER(S87)),IF(S91&gt;S87,1,IF(S91=S87,0.5,0)),0.5)</f>
        <v/>
      </c>
      <c r="AJ91">
        <f>IF(AND(ISNUMBER(S91),ISNUMBER(S88)),IF(S91&gt;S88,1,IF(S91=S88,0.5,0)),0.5)</f>
        <v/>
      </c>
      <c r="AK91">
        <f>IF(AND(ISNUMBER(S91),ISNUMBER(S89)),IF(S91&gt;S89,1,IF(S91=S89,0.5,0)),0.5)</f>
        <v/>
      </c>
      <c r="AL91">
        <f>IF(AND(ISNUMBER(S91),ISNUMBER(S90)),IF(S91&gt;S90,1,IF(S91=S90,0.5,0)),0.5)</f>
        <v/>
      </c>
      <c r="AM91">
        <f>IF(AND(ISNUMBER(S91),ISNUMBER(S92)),IF(S91&gt;S92,1,IF(S91=S92,0.5,0)),0.5)</f>
        <v/>
      </c>
    </row>
    <row r="92">
      <c r="A92" s="13" t="n"/>
      <c r="B92" s="13">
        <f>'By Round'!A123</f>
        <v/>
      </c>
      <c r="C92" s="13">
        <f>'By Round'!B131</f>
        <v/>
      </c>
      <c r="D92" s="13">
        <f>'By Round'!C131</f>
        <v/>
      </c>
      <c r="E92" s="13">
        <f>'By Round'!D131</f>
        <v/>
      </c>
      <c r="F92" s="17" t="inlineStr">
        <is>
          <t>NS</t>
        </is>
      </c>
      <c r="G92" s="13">
        <f>IF(ISBLANK('By Round'!G131),"",'By Round'!G131)</f>
        <v/>
      </c>
      <c r="H92" s="13">
        <f>IF(ISBLANK('By Round'!H131),"",'By Round'!H131)</f>
        <v/>
      </c>
      <c r="I92" s="13">
        <f>IF(ISBLANK('By Round'!I131),"",'By Round'!I131)</f>
        <v/>
      </c>
      <c r="J92" s="13">
        <f>IF(ISBLANK('By Round'!J131),"",'By Round'!J131)</f>
        <v/>
      </c>
      <c r="K92" s="13">
        <f>IF(ISBLANK('By Round'!K131),"",'By Round'!K131)</f>
        <v/>
      </c>
      <c r="L92" s="18">
        <f>IFERROR(AVERAGE(T92:X92),"")</f>
        <v/>
      </c>
      <c r="M92" s="19">
        <f>IFERROR(AVERAGE(Y92:AC92),"")</f>
        <v/>
      </c>
      <c r="N92" s="20">
        <f>P92/5</f>
        <v/>
      </c>
      <c r="O92" s="20">
        <f>Q92/5</f>
        <v/>
      </c>
      <c r="P92" s="19">
        <f>IFERROR(SUM(AD92:AH92),"")</f>
        <v/>
      </c>
      <c r="Q92" s="19">
        <f>IFERROR(SUM(AI92:AM92),"")</f>
        <v/>
      </c>
      <c r="R92" s="21">
        <f>IF(ISNUMBER(J92),J92,IF(ISNUMBER(K92),-K92,""))</f>
        <v/>
      </c>
      <c r="S92" s="13">
        <f>IF(ISNUMBER(K92),K92,IF(ISNUMBER(J92),-J92,""))</f>
        <v/>
      </c>
      <c r="T92" s="13">
        <f>IF(AND(ISNUMBER(R92),ISNUMBER(R87)),VLOOKUP(ABS(R92-R87),'IMP Table'!$A$2:$C$26,3)*SIGN(R92-R87),"")</f>
        <v/>
      </c>
      <c r="U92" s="13">
        <f>IF(AND(ISNUMBER(R92),ISNUMBER(R88)),VLOOKUP(ABS(R92-R88),'IMP Table'!$A$2:$C$26,3)*SIGN(R92-R88),"")</f>
        <v/>
      </c>
      <c r="V92" s="13">
        <f>IF(AND(ISNUMBER(R92),ISNUMBER(R89)),VLOOKUP(ABS(R92-R89),'IMP Table'!$A$2:$C$26,3)*SIGN(R92-R89),"")</f>
        <v/>
      </c>
      <c r="W92" s="13">
        <f>IF(AND(ISNUMBER(R92),ISNUMBER(R90)),VLOOKUP(ABS(R92-R90),'IMP Table'!$A$2:$C$26,3)*SIGN(R92-R90),"")</f>
        <v/>
      </c>
      <c r="X92" s="13">
        <f>IF(AND(ISNUMBER(R92),ISNUMBER(R91)),VLOOKUP(ABS(R92-R91),'IMP Table'!$A$2:$C$26,3)*SIGN(R92-R91),"")</f>
        <v/>
      </c>
      <c r="Y92" s="13">
        <f>IF(AND(ISNUMBER(S92),ISNUMBER(S87)),VLOOKUP(ABS(S92-S87),'IMP Table'!$A$2:$C$26,3)*SIGN(S92-S87),"")</f>
        <v/>
      </c>
      <c r="Z92" s="13">
        <f>IF(AND(ISNUMBER(S92),ISNUMBER(S88)),VLOOKUP(ABS(S92-S88),'IMP Table'!$A$2:$C$26,3)*SIGN(S92-S88),"")</f>
        <v/>
      </c>
      <c r="AA92" s="13">
        <f>IF(AND(ISNUMBER(S92),ISNUMBER(S89)),VLOOKUP(ABS(S92-S89),'IMP Table'!$A$2:$C$26,3)*SIGN(S92-S89),"")</f>
        <v/>
      </c>
      <c r="AB92" s="13">
        <f>IF(AND(ISNUMBER(S92),ISNUMBER(S90)),VLOOKUP(ABS(S92-S90),'IMP Table'!$A$2:$C$26,3)*SIGN(S92-S90),"")</f>
        <v/>
      </c>
      <c r="AC92" s="13">
        <f>IF(AND(ISNUMBER(S92),ISNUMBER(S91)),VLOOKUP(ABS(S92-S91),'IMP Table'!$A$2:$C$26,3)*SIGN(S92-S91),"")</f>
        <v/>
      </c>
      <c r="AD92" s="13">
        <f>IF(AND(ISNUMBER(R92),ISNUMBER(R87)),IF(R92&gt;R87,1,IF(R92=R87,0.5,0)),0.5)</f>
        <v/>
      </c>
      <c r="AE92" s="13">
        <f>IF(AND(ISNUMBER(R92),ISNUMBER(R88)),IF(R92&gt;R88,1,IF(R92=R88,0.5,0)),0.5)</f>
        <v/>
      </c>
      <c r="AF92" s="13">
        <f>IF(AND(ISNUMBER(R92),ISNUMBER(R89)),IF(R92&gt;R89,1,IF(R92=R89,0.5,0)),0.5)</f>
        <v/>
      </c>
      <c r="AG92" s="13">
        <f>IF(AND(ISNUMBER(R92),ISNUMBER(R90)),IF(R92&gt;R90,1,IF(R92=R90,0.5,0)),0.5)</f>
        <v/>
      </c>
      <c r="AH92" s="13">
        <f>IF(AND(ISNUMBER(R92),ISNUMBER(R91)),IF(R92&gt;R91,1,IF(R92=R91,0.5,0)),0.5)</f>
        <v/>
      </c>
      <c r="AI92" s="13">
        <f>IF(AND(ISNUMBER(S92),ISNUMBER(S87)),IF(S92&gt;S87,1,IF(S92=S87,0.5,0)),0.5)</f>
        <v/>
      </c>
      <c r="AJ92" s="13">
        <f>IF(AND(ISNUMBER(S92),ISNUMBER(S88)),IF(S92&gt;S88,1,IF(S92=S88,0.5,0)),0.5)</f>
        <v/>
      </c>
      <c r="AK92" s="13">
        <f>IF(AND(ISNUMBER(S92),ISNUMBER(S89)),IF(S92&gt;S89,1,IF(S92=S89,0.5,0)),0.5)</f>
        <v/>
      </c>
      <c r="AL92" s="13">
        <f>IF(AND(ISNUMBER(S92),ISNUMBER(S90)),IF(S92&gt;S90,1,IF(S92=S90,0.5,0)),0.5)</f>
        <v/>
      </c>
      <c r="AM92" s="13">
        <f>IF(AND(ISNUMBER(S92),ISNUMBER(S91)),IF(S92&gt;S91,1,IF(S92=S91,0.5,0)),0.5)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4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5">
        <f>IFERROR(AVERAGE(T93:X93),"")</f>
        <v/>
      </c>
      <c r="M93" s="4">
        <f>IFERROR(AVERAGE(Y93:AC93),"")</f>
        <v/>
      </c>
      <c r="N93" s="5">
        <f>P93/5</f>
        <v/>
      </c>
      <c r="O93" s="5">
        <f>Q93/5</f>
        <v/>
      </c>
      <c r="P93" s="4">
        <f>IFERROR(SUM(AD93:AH93),"")</f>
        <v/>
      </c>
      <c r="Q93" s="4">
        <f>IFERROR(SUM(AI93:AM93),"")</f>
        <v/>
      </c>
      <c r="R93" s="16">
        <f>IF(ISNUMBER(J93),J93,IF(ISNUMBER(K93),-K93,""))</f>
        <v/>
      </c>
      <c r="S93">
        <f>IF(ISNUMBER(K93),K93,IF(ISNUMBER(J93),-J93,""))</f>
        <v/>
      </c>
      <c r="T93">
        <f>IF(AND(ISNUMBER(R93),ISNUMBER(R94)),VLOOKUP(ABS(R93-R94),'IMP Table'!$A$2:$C$26,3)*SIGN(R93-R94),"")</f>
        <v/>
      </c>
      <c r="U93">
        <f>IF(AND(ISNUMBER(R93),ISNUMBER(R95)),VLOOKUP(ABS(R93-R95),'IMP Table'!$A$2:$C$26,3)*SIGN(R93-R95),"")</f>
        <v/>
      </c>
      <c r="V93">
        <f>IF(AND(ISNUMBER(R93),ISNUMBER(R96)),VLOOKUP(ABS(R93-R96),'IMP Table'!$A$2:$C$26,3)*SIGN(R93-R96),"")</f>
        <v/>
      </c>
      <c r="W93">
        <f>IF(AND(ISNUMBER(R93),ISNUMBER(R97)),VLOOKUP(ABS(R93-R97),'IMP Table'!$A$2:$C$26,3)*SIGN(R93-R97),"")</f>
        <v/>
      </c>
      <c r="X93">
        <f>IF(AND(ISNUMBER(R93),ISNUMBER(R98)),VLOOKUP(ABS(R93-R98),'IMP Table'!$A$2:$C$26,3)*SIGN(R93-R98),"")</f>
        <v/>
      </c>
      <c r="Y93">
        <f>IF(AND(ISNUMBER(S93),ISNUMBER(S94)),VLOOKUP(ABS(S93-S94),'IMP Table'!$A$2:$C$26,3)*SIGN(S93-S94),"")</f>
        <v/>
      </c>
      <c r="Z93">
        <f>IF(AND(ISNUMBER(S93),ISNUMBER(S95)),VLOOKUP(ABS(S93-S95),'IMP Table'!$A$2:$C$26,3)*SIGN(S93-S95),"")</f>
        <v/>
      </c>
      <c r="AA93">
        <f>IF(AND(ISNUMBER(S93),ISNUMBER(S96)),VLOOKUP(ABS(S93-S96),'IMP Table'!$A$2:$C$26,3)*SIGN(S93-S96),"")</f>
        <v/>
      </c>
      <c r="AB93">
        <f>IF(AND(ISNUMBER(S93),ISNUMBER(S97)),VLOOKUP(ABS(S93-S97),'IMP Table'!$A$2:$C$26,3)*SIGN(S93-S97),"")</f>
        <v/>
      </c>
      <c r="AC93">
        <f>IF(AND(ISNUMBER(S93),ISNUMBER(S98)),VLOOKUP(ABS(S93-S98),'IMP Table'!$A$2:$C$26,3)*SIGN(S93-S98),"")</f>
        <v/>
      </c>
      <c r="AD93">
        <f>IF(AND(ISNUMBER(R93),ISNUMBER(R94)),IF(R93&gt;R94,1,IF(R93=R94,0.5,0)),0.5)</f>
        <v/>
      </c>
      <c r="AE93">
        <f>IF(AND(ISNUMBER(R93),ISNUMBER(R95)),IF(R93&gt;R95,1,IF(R93=R95,0.5,0)),0.5)</f>
        <v/>
      </c>
      <c r="AF93">
        <f>IF(AND(ISNUMBER(R93),ISNUMBER(R96)),IF(R93&gt;R96,1,IF(R93=R96,0.5,0)),0.5)</f>
        <v/>
      </c>
      <c r="AG93">
        <f>IF(AND(ISNUMBER(R93),ISNUMBER(R97)),IF(R93&gt;R97,1,IF(R93=R97,0.5,0)),0.5)</f>
        <v/>
      </c>
      <c r="AH93">
        <f>IF(AND(ISNUMBER(R93),ISNUMBER(R98)),IF(R93&gt;R98,1,IF(R93=R98,0.5,0)),0.5)</f>
        <v/>
      </c>
      <c r="AI93">
        <f>IF(AND(ISNUMBER(S93),ISNUMBER(S94)),IF(S93&gt;S94,1,IF(S93=S94,0.5,0)),0.5)</f>
        <v/>
      </c>
      <c r="AJ93">
        <f>IF(AND(ISNUMBER(S93),ISNUMBER(S95)),IF(S93&gt;S95,1,IF(S93=S95,0.5,0)),0.5)</f>
        <v/>
      </c>
      <c r="AK93">
        <f>IF(AND(ISNUMBER(S93),ISNUMBER(S96)),IF(S93&gt;S96,1,IF(S93=S96,0.5,0)),0.5)</f>
        <v/>
      </c>
      <c r="AL93">
        <f>IF(AND(ISNUMBER(S93),ISNUMBER(S97)),IF(S93&gt;S97,1,IF(S93=S97,0.5,0)),0.5)</f>
        <v/>
      </c>
      <c r="AM93">
        <f>IF(AND(ISNUMBER(S93),ISNUMBER(S98)),IF(S93&gt;S98,1,IF(S93=S98,0.5,0)),0.5)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4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5">
        <f>IFERROR(AVERAGE(T94:X94),"")</f>
        <v/>
      </c>
      <c r="M94" s="4">
        <f>IFERROR(AVERAGE(Y94:AC94),"")</f>
        <v/>
      </c>
      <c r="N94" s="5">
        <f>P94/5</f>
        <v/>
      </c>
      <c r="O94" s="5">
        <f>Q94/5</f>
        <v/>
      </c>
      <c r="P94" s="4">
        <f>IFERROR(SUM(AD94:AH94),"")</f>
        <v/>
      </c>
      <c r="Q94" s="4">
        <f>IFERROR(SUM(AI94:AM94),"")</f>
        <v/>
      </c>
      <c r="R94" s="16">
        <f>IF(ISNUMBER(J94),J94,IF(ISNUMBER(K94),-K94,""))</f>
        <v/>
      </c>
      <c r="S94">
        <f>IF(ISNUMBER(K94),K94,IF(ISNUMBER(J94),-J94,""))</f>
        <v/>
      </c>
      <c r="T94">
        <f>IF(AND(ISNUMBER(R94),ISNUMBER(R93)),VLOOKUP(ABS(R94-R93),'IMP Table'!$A$2:$C$26,3)*SIGN(R94-R93),"")</f>
        <v/>
      </c>
      <c r="U94">
        <f>IF(AND(ISNUMBER(R94),ISNUMBER(R95)),VLOOKUP(ABS(R94-R95),'IMP Table'!$A$2:$C$26,3)*SIGN(R94-R95),"")</f>
        <v/>
      </c>
      <c r="V94">
        <f>IF(AND(ISNUMBER(R94),ISNUMBER(R96)),VLOOKUP(ABS(R94-R96),'IMP Table'!$A$2:$C$26,3)*SIGN(R94-R96),"")</f>
        <v/>
      </c>
      <c r="W94">
        <f>IF(AND(ISNUMBER(R94),ISNUMBER(R97)),VLOOKUP(ABS(R94-R97),'IMP Table'!$A$2:$C$26,3)*SIGN(R94-R97),"")</f>
        <v/>
      </c>
      <c r="X94">
        <f>IF(AND(ISNUMBER(R94),ISNUMBER(R98)),VLOOKUP(ABS(R94-R98),'IMP Table'!$A$2:$C$26,3)*SIGN(R94-R98),"")</f>
        <v/>
      </c>
      <c r="Y94">
        <f>IF(AND(ISNUMBER(S94),ISNUMBER(S93)),VLOOKUP(ABS(S94-S93),'IMP Table'!$A$2:$C$26,3)*SIGN(S94-S93),"")</f>
        <v/>
      </c>
      <c r="Z94">
        <f>IF(AND(ISNUMBER(S94),ISNUMBER(S95)),VLOOKUP(ABS(S94-S95),'IMP Table'!$A$2:$C$26,3)*SIGN(S94-S95),"")</f>
        <v/>
      </c>
      <c r="AA94">
        <f>IF(AND(ISNUMBER(S94),ISNUMBER(S96)),VLOOKUP(ABS(S94-S96),'IMP Table'!$A$2:$C$26,3)*SIGN(S94-S96),"")</f>
        <v/>
      </c>
      <c r="AB94">
        <f>IF(AND(ISNUMBER(S94),ISNUMBER(S97)),VLOOKUP(ABS(S94-S97),'IMP Table'!$A$2:$C$26,3)*SIGN(S94-S97),"")</f>
        <v/>
      </c>
      <c r="AC94">
        <f>IF(AND(ISNUMBER(S94),ISNUMBER(S98)),VLOOKUP(ABS(S94-S98),'IMP Table'!$A$2:$C$26,3)*SIGN(S94-S98),"")</f>
        <v/>
      </c>
      <c r="AD94">
        <f>IF(AND(ISNUMBER(R94),ISNUMBER(R93)),IF(R94&gt;R93,1,IF(R94=R93,0.5,0)),0.5)</f>
        <v/>
      </c>
      <c r="AE94">
        <f>IF(AND(ISNUMBER(R94),ISNUMBER(R95)),IF(R94&gt;R95,1,IF(R94=R95,0.5,0)),0.5)</f>
        <v/>
      </c>
      <c r="AF94">
        <f>IF(AND(ISNUMBER(R94),ISNUMBER(R96)),IF(R94&gt;R96,1,IF(R94=R96,0.5,0)),0.5)</f>
        <v/>
      </c>
      <c r="AG94">
        <f>IF(AND(ISNUMBER(R94),ISNUMBER(R97)),IF(R94&gt;R97,1,IF(R94=R97,0.5,0)),0.5)</f>
        <v/>
      </c>
      <c r="AH94">
        <f>IF(AND(ISNUMBER(R94),ISNUMBER(R98)),IF(R94&gt;R98,1,IF(R94=R98,0.5,0)),0.5)</f>
        <v/>
      </c>
      <c r="AI94">
        <f>IF(AND(ISNUMBER(S94),ISNUMBER(S93)),IF(S94&gt;S93,1,IF(S94=S93,0.5,0)),0.5)</f>
        <v/>
      </c>
      <c r="AJ94">
        <f>IF(AND(ISNUMBER(S94),ISNUMBER(S95)),IF(S94&gt;S95,1,IF(S94=S95,0.5,0)),0.5)</f>
        <v/>
      </c>
      <c r="AK94">
        <f>IF(AND(ISNUMBER(S94),ISNUMBER(S96)),IF(S94&gt;S96,1,IF(S94=S96,0.5,0)),0.5)</f>
        <v/>
      </c>
      <c r="AL94">
        <f>IF(AND(ISNUMBER(S94),ISNUMBER(S97)),IF(S94&gt;S97,1,IF(S94=S97,0.5,0)),0.5)</f>
        <v/>
      </c>
      <c r="AM94">
        <f>IF(AND(ISNUMBER(S94),ISNUMBER(S98)),IF(S94&gt;S98,1,IF(S94=S98,0.5,0)),0.5)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4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5">
        <f>IFERROR(AVERAGE(T95:X95),"")</f>
        <v/>
      </c>
      <c r="M95" s="4">
        <f>IFERROR(AVERAGE(Y95:AC95),"")</f>
        <v/>
      </c>
      <c r="N95" s="5">
        <f>P95/5</f>
        <v/>
      </c>
      <c r="O95" s="5">
        <f>Q95/5</f>
        <v/>
      </c>
      <c r="P95" s="4">
        <f>IFERROR(SUM(AD95:AH95),"")</f>
        <v/>
      </c>
      <c r="Q95" s="4">
        <f>IFERROR(SUM(AI95:AM95),"")</f>
        <v/>
      </c>
      <c r="R95" s="16">
        <f>IF(ISNUMBER(J95),J95,IF(ISNUMBER(K95),-K95,""))</f>
        <v/>
      </c>
      <c r="S95">
        <f>IF(ISNUMBER(K95),K95,IF(ISNUMBER(J95),-J95,""))</f>
        <v/>
      </c>
      <c r="T95">
        <f>IF(AND(ISNUMBER(R95),ISNUMBER(R93)),VLOOKUP(ABS(R95-R93),'IMP Table'!$A$2:$C$26,3)*SIGN(R95-R93),"")</f>
        <v/>
      </c>
      <c r="U95">
        <f>IF(AND(ISNUMBER(R95),ISNUMBER(R94)),VLOOKUP(ABS(R95-R94),'IMP Table'!$A$2:$C$26,3)*SIGN(R95-R94),"")</f>
        <v/>
      </c>
      <c r="V95">
        <f>IF(AND(ISNUMBER(R95),ISNUMBER(R96)),VLOOKUP(ABS(R95-R96),'IMP Table'!$A$2:$C$26,3)*SIGN(R95-R96),"")</f>
        <v/>
      </c>
      <c r="W95">
        <f>IF(AND(ISNUMBER(R95),ISNUMBER(R97)),VLOOKUP(ABS(R95-R97),'IMP Table'!$A$2:$C$26,3)*SIGN(R95-R97),"")</f>
        <v/>
      </c>
      <c r="X95">
        <f>IF(AND(ISNUMBER(R95),ISNUMBER(R98)),VLOOKUP(ABS(R95-R98),'IMP Table'!$A$2:$C$26,3)*SIGN(R95-R98),"")</f>
        <v/>
      </c>
      <c r="Y95">
        <f>IF(AND(ISNUMBER(S95),ISNUMBER(S93)),VLOOKUP(ABS(S95-S93),'IMP Table'!$A$2:$C$26,3)*SIGN(S95-S93),"")</f>
        <v/>
      </c>
      <c r="Z95">
        <f>IF(AND(ISNUMBER(S95),ISNUMBER(S94)),VLOOKUP(ABS(S95-S94),'IMP Table'!$A$2:$C$26,3)*SIGN(S95-S94),"")</f>
        <v/>
      </c>
      <c r="AA95">
        <f>IF(AND(ISNUMBER(S95),ISNUMBER(S96)),VLOOKUP(ABS(S95-S96),'IMP Table'!$A$2:$C$26,3)*SIGN(S95-S96),"")</f>
        <v/>
      </c>
      <c r="AB95">
        <f>IF(AND(ISNUMBER(S95),ISNUMBER(S97)),VLOOKUP(ABS(S95-S97),'IMP Table'!$A$2:$C$26,3)*SIGN(S95-S97),"")</f>
        <v/>
      </c>
      <c r="AC95">
        <f>IF(AND(ISNUMBER(S95),ISNUMBER(S98)),VLOOKUP(ABS(S95-S98),'IMP Table'!$A$2:$C$26,3)*SIGN(S95-S98),"")</f>
        <v/>
      </c>
      <c r="AD95">
        <f>IF(AND(ISNUMBER(R95),ISNUMBER(R93)),IF(R95&gt;R93,1,IF(R95=R93,0.5,0)),0.5)</f>
        <v/>
      </c>
      <c r="AE95">
        <f>IF(AND(ISNUMBER(R95),ISNUMBER(R94)),IF(R95&gt;R94,1,IF(R95=R94,0.5,0)),0.5)</f>
        <v/>
      </c>
      <c r="AF95">
        <f>IF(AND(ISNUMBER(R95),ISNUMBER(R96)),IF(R95&gt;R96,1,IF(R95=R96,0.5,0)),0.5)</f>
        <v/>
      </c>
      <c r="AG95">
        <f>IF(AND(ISNUMBER(R95),ISNUMBER(R97)),IF(R95&gt;R97,1,IF(R95=R97,0.5,0)),0.5)</f>
        <v/>
      </c>
      <c r="AH95">
        <f>IF(AND(ISNUMBER(R95),ISNUMBER(R98)),IF(R95&gt;R98,1,IF(R95=R98,0.5,0)),0.5)</f>
        <v/>
      </c>
      <c r="AI95">
        <f>IF(AND(ISNUMBER(S95),ISNUMBER(S93)),IF(S95&gt;S93,1,IF(S95=S93,0.5,0)),0.5)</f>
        <v/>
      </c>
      <c r="AJ95">
        <f>IF(AND(ISNUMBER(S95),ISNUMBER(S94)),IF(S95&gt;S94,1,IF(S95=S94,0.5,0)),0.5)</f>
        <v/>
      </c>
      <c r="AK95">
        <f>IF(AND(ISNUMBER(S95),ISNUMBER(S96)),IF(S95&gt;S96,1,IF(S95=S96,0.5,0)),0.5)</f>
        <v/>
      </c>
      <c r="AL95">
        <f>IF(AND(ISNUMBER(S95),ISNUMBER(S97)),IF(S95&gt;S97,1,IF(S95=S97,0.5,0)),0.5)</f>
        <v/>
      </c>
      <c r="AM95">
        <f>IF(AND(ISNUMBER(S95),ISNUMBER(S98)),IF(S95&gt;S98,1,IF(S95=S98,0.5,0)),0.5)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4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5">
        <f>IFERROR(AVERAGE(T96:X96),"")</f>
        <v/>
      </c>
      <c r="M96" s="4">
        <f>IFERROR(AVERAGE(Y96:AC96),"")</f>
        <v/>
      </c>
      <c r="N96" s="5">
        <f>P96/5</f>
        <v/>
      </c>
      <c r="O96" s="5">
        <f>Q96/5</f>
        <v/>
      </c>
      <c r="P96" s="4">
        <f>IFERROR(SUM(AD96:AH96),"")</f>
        <v/>
      </c>
      <c r="Q96" s="4">
        <f>IFERROR(SUM(AI96:AM96),"")</f>
        <v/>
      </c>
      <c r="R96" s="16">
        <f>IF(ISNUMBER(J96),J96,IF(ISNUMBER(K96),-K96,""))</f>
        <v/>
      </c>
      <c r="S96">
        <f>IF(ISNUMBER(K96),K96,IF(ISNUMBER(J96),-J96,""))</f>
        <v/>
      </c>
      <c r="T96">
        <f>IF(AND(ISNUMBER(R96),ISNUMBER(R93)),VLOOKUP(ABS(R96-R93),'IMP Table'!$A$2:$C$26,3)*SIGN(R96-R93),"")</f>
        <v/>
      </c>
      <c r="U96">
        <f>IF(AND(ISNUMBER(R96),ISNUMBER(R94)),VLOOKUP(ABS(R96-R94),'IMP Table'!$A$2:$C$26,3)*SIGN(R96-R94),"")</f>
        <v/>
      </c>
      <c r="V96">
        <f>IF(AND(ISNUMBER(R96),ISNUMBER(R95)),VLOOKUP(ABS(R96-R95),'IMP Table'!$A$2:$C$26,3)*SIGN(R96-R95),"")</f>
        <v/>
      </c>
      <c r="W96">
        <f>IF(AND(ISNUMBER(R96),ISNUMBER(R97)),VLOOKUP(ABS(R96-R97),'IMP Table'!$A$2:$C$26,3)*SIGN(R96-R97),"")</f>
        <v/>
      </c>
      <c r="X96">
        <f>IF(AND(ISNUMBER(R96),ISNUMBER(R98)),VLOOKUP(ABS(R96-R98),'IMP Table'!$A$2:$C$26,3)*SIGN(R96-R98),"")</f>
        <v/>
      </c>
      <c r="Y96">
        <f>IF(AND(ISNUMBER(S96),ISNUMBER(S93)),VLOOKUP(ABS(S96-S93),'IMP Table'!$A$2:$C$26,3)*SIGN(S96-S93),"")</f>
        <v/>
      </c>
      <c r="Z96">
        <f>IF(AND(ISNUMBER(S96),ISNUMBER(S94)),VLOOKUP(ABS(S96-S94),'IMP Table'!$A$2:$C$26,3)*SIGN(S96-S94),"")</f>
        <v/>
      </c>
      <c r="AA96">
        <f>IF(AND(ISNUMBER(S96),ISNUMBER(S95)),VLOOKUP(ABS(S96-S95),'IMP Table'!$A$2:$C$26,3)*SIGN(S96-S95),"")</f>
        <v/>
      </c>
      <c r="AB96">
        <f>IF(AND(ISNUMBER(S96),ISNUMBER(S97)),VLOOKUP(ABS(S96-S97),'IMP Table'!$A$2:$C$26,3)*SIGN(S96-S97),"")</f>
        <v/>
      </c>
      <c r="AC96">
        <f>IF(AND(ISNUMBER(S96),ISNUMBER(S98)),VLOOKUP(ABS(S96-S98),'IMP Table'!$A$2:$C$26,3)*SIGN(S96-S98),"")</f>
        <v/>
      </c>
      <c r="AD96">
        <f>IF(AND(ISNUMBER(R96),ISNUMBER(R93)),IF(R96&gt;R93,1,IF(R96=R93,0.5,0)),0.5)</f>
        <v/>
      </c>
      <c r="AE96">
        <f>IF(AND(ISNUMBER(R96),ISNUMBER(R94)),IF(R96&gt;R94,1,IF(R96=R94,0.5,0)),0.5)</f>
        <v/>
      </c>
      <c r="AF96">
        <f>IF(AND(ISNUMBER(R96),ISNUMBER(R95)),IF(R96&gt;R95,1,IF(R96=R95,0.5,0)),0.5)</f>
        <v/>
      </c>
      <c r="AG96">
        <f>IF(AND(ISNUMBER(R96),ISNUMBER(R97)),IF(R96&gt;R97,1,IF(R96=R97,0.5,0)),0.5)</f>
        <v/>
      </c>
      <c r="AH96">
        <f>IF(AND(ISNUMBER(R96),ISNUMBER(R98)),IF(R96&gt;R98,1,IF(R96=R98,0.5,0)),0.5)</f>
        <v/>
      </c>
      <c r="AI96">
        <f>IF(AND(ISNUMBER(S96),ISNUMBER(S93)),IF(S96&gt;S93,1,IF(S96=S93,0.5,0)),0.5)</f>
        <v/>
      </c>
      <c r="AJ96">
        <f>IF(AND(ISNUMBER(S96),ISNUMBER(S94)),IF(S96&gt;S94,1,IF(S96=S94,0.5,0)),0.5)</f>
        <v/>
      </c>
      <c r="AK96">
        <f>IF(AND(ISNUMBER(S96),ISNUMBER(S95)),IF(S96&gt;S95,1,IF(S96=S95,0.5,0)),0.5)</f>
        <v/>
      </c>
      <c r="AL96">
        <f>IF(AND(ISNUMBER(S96),ISNUMBER(S97)),IF(S96&gt;S97,1,IF(S96=S97,0.5,0)),0.5)</f>
        <v/>
      </c>
      <c r="AM96">
        <f>IF(AND(ISNUMBER(S96),ISNUMBER(S98)),IF(S96&gt;S98,1,IF(S96=S98,0.5,0)),0.5)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4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5">
        <f>IFERROR(AVERAGE(T97:X97),"")</f>
        <v/>
      </c>
      <c r="M97" s="4">
        <f>IFERROR(AVERAGE(Y97:AC97),"")</f>
        <v/>
      </c>
      <c r="N97" s="5">
        <f>P97/5</f>
        <v/>
      </c>
      <c r="O97" s="5">
        <f>Q97/5</f>
        <v/>
      </c>
      <c r="P97" s="4">
        <f>IFERROR(SUM(AD97:AH97),"")</f>
        <v/>
      </c>
      <c r="Q97" s="4">
        <f>IFERROR(SUM(AI97:AM97),"")</f>
        <v/>
      </c>
      <c r="R97" s="16">
        <f>IF(ISNUMBER(J97),J97,IF(ISNUMBER(K97),-K97,""))</f>
        <v/>
      </c>
      <c r="S97">
        <f>IF(ISNUMBER(K97),K97,IF(ISNUMBER(J97),-J97,""))</f>
        <v/>
      </c>
      <c r="T97">
        <f>IF(AND(ISNUMBER(R97),ISNUMBER(R93)),VLOOKUP(ABS(R97-R93),'IMP Table'!$A$2:$C$26,3)*SIGN(R97-R93),"")</f>
        <v/>
      </c>
      <c r="U97">
        <f>IF(AND(ISNUMBER(R97),ISNUMBER(R94)),VLOOKUP(ABS(R97-R94),'IMP Table'!$A$2:$C$26,3)*SIGN(R97-R94),"")</f>
        <v/>
      </c>
      <c r="V97">
        <f>IF(AND(ISNUMBER(R97),ISNUMBER(R95)),VLOOKUP(ABS(R97-R95),'IMP Table'!$A$2:$C$26,3)*SIGN(R97-R95),"")</f>
        <v/>
      </c>
      <c r="W97">
        <f>IF(AND(ISNUMBER(R97),ISNUMBER(R96)),VLOOKUP(ABS(R97-R96),'IMP Table'!$A$2:$C$26,3)*SIGN(R97-R96),"")</f>
        <v/>
      </c>
      <c r="X97">
        <f>IF(AND(ISNUMBER(R97),ISNUMBER(R98)),VLOOKUP(ABS(R97-R98),'IMP Table'!$A$2:$C$26,3)*SIGN(R97-R98),"")</f>
        <v/>
      </c>
      <c r="Y97">
        <f>IF(AND(ISNUMBER(S97),ISNUMBER(S93)),VLOOKUP(ABS(S97-S93),'IMP Table'!$A$2:$C$26,3)*SIGN(S97-S93),"")</f>
        <v/>
      </c>
      <c r="Z97">
        <f>IF(AND(ISNUMBER(S97),ISNUMBER(S94)),VLOOKUP(ABS(S97-S94),'IMP Table'!$A$2:$C$26,3)*SIGN(S97-S94),"")</f>
        <v/>
      </c>
      <c r="AA97">
        <f>IF(AND(ISNUMBER(S97),ISNUMBER(S95)),VLOOKUP(ABS(S97-S95),'IMP Table'!$A$2:$C$26,3)*SIGN(S97-S95),"")</f>
        <v/>
      </c>
      <c r="AB97">
        <f>IF(AND(ISNUMBER(S97),ISNUMBER(S96)),VLOOKUP(ABS(S97-S96),'IMP Table'!$A$2:$C$26,3)*SIGN(S97-S96),"")</f>
        <v/>
      </c>
      <c r="AC97">
        <f>IF(AND(ISNUMBER(S97),ISNUMBER(S98)),VLOOKUP(ABS(S97-S98),'IMP Table'!$A$2:$C$26,3)*SIGN(S97-S98),"")</f>
        <v/>
      </c>
      <c r="AD97">
        <f>IF(AND(ISNUMBER(R97),ISNUMBER(R93)),IF(R97&gt;R93,1,IF(R97=R93,0.5,0)),0.5)</f>
        <v/>
      </c>
      <c r="AE97">
        <f>IF(AND(ISNUMBER(R97),ISNUMBER(R94)),IF(R97&gt;R94,1,IF(R97=R94,0.5,0)),0.5)</f>
        <v/>
      </c>
      <c r="AF97">
        <f>IF(AND(ISNUMBER(R97),ISNUMBER(R95)),IF(R97&gt;R95,1,IF(R97=R95,0.5,0)),0.5)</f>
        <v/>
      </c>
      <c r="AG97">
        <f>IF(AND(ISNUMBER(R97),ISNUMBER(R96)),IF(R97&gt;R96,1,IF(R97=R96,0.5,0)),0.5)</f>
        <v/>
      </c>
      <c r="AH97">
        <f>IF(AND(ISNUMBER(R97),ISNUMBER(R98)),IF(R97&gt;R98,1,IF(R97=R98,0.5,0)),0.5)</f>
        <v/>
      </c>
      <c r="AI97">
        <f>IF(AND(ISNUMBER(S97),ISNUMBER(S93)),IF(S97&gt;S93,1,IF(S97=S93,0.5,0)),0.5)</f>
        <v/>
      </c>
      <c r="AJ97">
        <f>IF(AND(ISNUMBER(S97),ISNUMBER(S94)),IF(S97&gt;S94,1,IF(S97=S94,0.5,0)),0.5)</f>
        <v/>
      </c>
      <c r="AK97">
        <f>IF(AND(ISNUMBER(S97),ISNUMBER(S95)),IF(S97&gt;S95,1,IF(S97=S95,0.5,0)),0.5)</f>
        <v/>
      </c>
      <c r="AL97">
        <f>IF(AND(ISNUMBER(S97),ISNUMBER(S96)),IF(S97&gt;S96,1,IF(S97=S96,0.5,0)),0.5)</f>
        <v/>
      </c>
      <c r="AM97">
        <f>IF(AND(ISNUMBER(S97),ISNUMBER(S98)),IF(S97&gt;S98,1,IF(S97=S98,0.5,0)),0.5)</f>
        <v/>
      </c>
    </row>
    <row r="98">
      <c r="A98" s="13" t="n"/>
      <c r="B98" s="13">
        <f>'By Round'!A123</f>
        <v/>
      </c>
      <c r="C98" s="13">
        <f>'By Round'!B131</f>
        <v/>
      </c>
      <c r="D98" s="13">
        <f>'By Round'!C131</f>
        <v/>
      </c>
      <c r="E98" s="13">
        <f>'By Round'!D131</f>
        <v/>
      </c>
      <c r="F98" s="17" t="inlineStr">
        <is>
          <t>EW</t>
        </is>
      </c>
      <c r="G98" s="13">
        <f>IF(ISBLANK('By Round'!G131),"",'By Round'!G131)</f>
        <v/>
      </c>
      <c r="H98" s="13">
        <f>IF(ISBLANK('By Round'!H131),"",'By Round'!H131)</f>
        <v/>
      </c>
      <c r="I98" s="13">
        <f>IF(ISBLANK('By Round'!I131),"",'By Round'!I131)</f>
        <v/>
      </c>
      <c r="J98" s="13">
        <f>IF(ISBLANK('By Round'!J131),"",'By Round'!J131)</f>
        <v/>
      </c>
      <c r="K98" s="13">
        <f>IF(ISBLANK('By Round'!K131),"",'By Round'!K131)</f>
        <v/>
      </c>
      <c r="L98" s="18">
        <f>IFERROR(AVERAGE(T98:X98),"")</f>
        <v/>
      </c>
      <c r="M98" s="19">
        <f>IFERROR(AVERAGE(Y98:AC98),"")</f>
        <v/>
      </c>
      <c r="N98" s="20">
        <f>P98/5</f>
        <v/>
      </c>
      <c r="O98" s="20">
        <f>Q98/5</f>
        <v/>
      </c>
      <c r="P98" s="19">
        <f>IFERROR(SUM(AD98:AH98),"")</f>
        <v/>
      </c>
      <c r="Q98" s="19">
        <f>IFERROR(SUM(AI98:AM98),"")</f>
        <v/>
      </c>
      <c r="R98" s="21">
        <f>IF(ISNUMBER(J98),J98,IF(ISNUMBER(K98),-K98,""))</f>
        <v/>
      </c>
      <c r="S98" s="13">
        <f>IF(ISNUMBER(K98),K98,IF(ISNUMBER(J98),-J98,""))</f>
        <v/>
      </c>
      <c r="T98" s="13">
        <f>IF(AND(ISNUMBER(R98),ISNUMBER(R93)),VLOOKUP(ABS(R98-R93),'IMP Table'!$A$2:$C$26,3)*SIGN(R98-R93),"")</f>
        <v/>
      </c>
      <c r="U98" s="13">
        <f>IF(AND(ISNUMBER(R98),ISNUMBER(R94)),VLOOKUP(ABS(R98-R94),'IMP Table'!$A$2:$C$26,3)*SIGN(R98-R94),"")</f>
        <v/>
      </c>
      <c r="V98" s="13">
        <f>IF(AND(ISNUMBER(R98),ISNUMBER(R95)),VLOOKUP(ABS(R98-R95),'IMP Table'!$A$2:$C$26,3)*SIGN(R98-R95),"")</f>
        <v/>
      </c>
      <c r="W98" s="13">
        <f>IF(AND(ISNUMBER(R98),ISNUMBER(R96)),VLOOKUP(ABS(R98-R96),'IMP Table'!$A$2:$C$26,3)*SIGN(R98-R96),"")</f>
        <v/>
      </c>
      <c r="X98" s="13">
        <f>IF(AND(ISNUMBER(R98),ISNUMBER(R97)),VLOOKUP(ABS(R98-R97),'IMP Table'!$A$2:$C$26,3)*SIGN(R98-R97),"")</f>
        <v/>
      </c>
      <c r="Y98" s="13">
        <f>IF(AND(ISNUMBER(S98),ISNUMBER(S93)),VLOOKUP(ABS(S98-S93),'IMP Table'!$A$2:$C$26,3)*SIGN(S98-S93),"")</f>
        <v/>
      </c>
      <c r="Z98" s="13">
        <f>IF(AND(ISNUMBER(S98),ISNUMBER(S94)),VLOOKUP(ABS(S98-S94),'IMP Table'!$A$2:$C$26,3)*SIGN(S98-S94),"")</f>
        <v/>
      </c>
      <c r="AA98" s="13">
        <f>IF(AND(ISNUMBER(S98),ISNUMBER(S95)),VLOOKUP(ABS(S98-S95),'IMP Table'!$A$2:$C$26,3)*SIGN(S98-S95),"")</f>
        <v/>
      </c>
      <c r="AB98" s="13">
        <f>IF(AND(ISNUMBER(S98),ISNUMBER(S96)),VLOOKUP(ABS(S98-S96),'IMP Table'!$A$2:$C$26,3)*SIGN(S98-S96),"")</f>
        <v/>
      </c>
      <c r="AC98" s="13">
        <f>IF(AND(ISNUMBER(S98),ISNUMBER(S97)),VLOOKUP(ABS(S98-S97),'IMP Table'!$A$2:$C$26,3)*SIGN(S98-S97),"")</f>
        <v/>
      </c>
      <c r="AD98" s="13">
        <f>IF(AND(ISNUMBER(R98),ISNUMBER(R93)),IF(R98&gt;R93,1,IF(R98=R93,0.5,0)),0.5)</f>
        <v/>
      </c>
      <c r="AE98" s="13">
        <f>IF(AND(ISNUMBER(R98),ISNUMBER(R94)),IF(R98&gt;R94,1,IF(R98=R94,0.5,0)),0.5)</f>
        <v/>
      </c>
      <c r="AF98" s="13">
        <f>IF(AND(ISNUMBER(R98),ISNUMBER(R95)),IF(R98&gt;R95,1,IF(R98=R95,0.5,0)),0.5)</f>
        <v/>
      </c>
      <c r="AG98" s="13">
        <f>IF(AND(ISNUMBER(R98),ISNUMBER(R96)),IF(R98&gt;R96,1,IF(R98=R96,0.5,0)),0.5)</f>
        <v/>
      </c>
      <c r="AH98" s="13">
        <f>IF(AND(ISNUMBER(R98),ISNUMBER(R97)),IF(R98&gt;R97,1,IF(R98=R97,0.5,0)),0.5)</f>
        <v/>
      </c>
      <c r="AI98" s="13">
        <f>IF(AND(ISNUMBER(S98),ISNUMBER(S93)),IF(S98&gt;S93,1,IF(S98=S93,0.5,0)),0.5)</f>
        <v/>
      </c>
      <c r="AJ98" s="13">
        <f>IF(AND(ISNUMBER(S98),ISNUMBER(S94)),IF(S98&gt;S94,1,IF(S98=S94,0.5,0)),0.5)</f>
        <v/>
      </c>
      <c r="AK98" s="13">
        <f>IF(AND(ISNUMBER(S98),ISNUMBER(S95)),IF(S98&gt;S95,1,IF(S98=S95,0.5,0)),0.5)</f>
        <v/>
      </c>
      <c r="AL98" s="13">
        <f>IF(AND(ISNUMBER(S98),ISNUMBER(S96)),IF(S98&gt;S96,1,IF(S98=S96,0.5,0)),0.5)</f>
        <v/>
      </c>
      <c r="AM98" s="13">
        <f>IF(AND(ISNUMBER(S98),ISNUMBER(S97)),IF(S98&gt;S97,1,IF(S98=S97,0.5,0)),0.5)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4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5">
        <f>IFERROR(AVERAGE(T99:X99),"")</f>
        <v/>
      </c>
      <c r="M99" s="4">
        <f>IFERROR(AVERAGE(Y99:AC99),"")</f>
        <v/>
      </c>
      <c r="N99" s="5">
        <f>P99/5</f>
        <v/>
      </c>
      <c r="O99" s="5">
        <f>Q99/5</f>
        <v/>
      </c>
      <c r="P99" s="4">
        <f>IFERROR(SUM(AD99:AH99),"")</f>
        <v/>
      </c>
      <c r="Q99" s="4">
        <f>IFERROR(SUM(AI99:AM99),"")</f>
        <v/>
      </c>
      <c r="R99" s="16">
        <f>IF(ISNUMBER(J99),J99,IF(ISNUMBER(K99),-K99,""))</f>
        <v/>
      </c>
      <c r="S99">
        <f>IF(ISNUMBER(K99),K99,IF(ISNUMBER(J99),-J99,""))</f>
        <v/>
      </c>
      <c r="T99">
        <f>IF(AND(ISNUMBER(R99),ISNUMBER(R100)),VLOOKUP(ABS(R99-R100),'IMP Table'!$A$2:$C$26,3)*SIGN(R99-R100),"")</f>
        <v/>
      </c>
      <c r="U99">
        <f>IF(AND(ISNUMBER(R99),ISNUMBER(R101)),VLOOKUP(ABS(R99-R101),'IMP Table'!$A$2:$C$26,3)*SIGN(R99-R101),"")</f>
        <v/>
      </c>
      <c r="V99">
        <f>IF(AND(ISNUMBER(R99),ISNUMBER(R102)),VLOOKUP(ABS(R99-R102),'IMP Table'!$A$2:$C$26,3)*SIGN(R99-R102),"")</f>
        <v/>
      </c>
      <c r="W99">
        <f>IF(AND(ISNUMBER(R99),ISNUMBER(R103)),VLOOKUP(ABS(R99-R103),'IMP Table'!$A$2:$C$26,3)*SIGN(R99-R103),"")</f>
        <v/>
      </c>
      <c r="X99">
        <f>IF(AND(ISNUMBER(R99),ISNUMBER(R104)),VLOOKUP(ABS(R99-R104),'IMP Table'!$A$2:$C$26,3)*SIGN(R99-R104),"")</f>
        <v/>
      </c>
      <c r="Y99">
        <f>IF(AND(ISNUMBER(S99),ISNUMBER(S100)),VLOOKUP(ABS(S99-S100),'IMP Table'!$A$2:$C$26,3)*SIGN(S99-S100),"")</f>
        <v/>
      </c>
      <c r="Z99">
        <f>IF(AND(ISNUMBER(S99),ISNUMBER(S101)),VLOOKUP(ABS(S99-S101),'IMP Table'!$A$2:$C$26,3)*SIGN(S99-S101),"")</f>
        <v/>
      </c>
      <c r="AA99">
        <f>IF(AND(ISNUMBER(S99),ISNUMBER(S102)),VLOOKUP(ABS(S99-S102),'IMP Table'!$A$2:$C$26,3)*SIGN(S99-S102),"")</f>
        <v/>
      </c>
      <c r="AB99">
        <f>IF(AND(ISNUMBER(S99),ISNUMBER(S103)),VLOOKUP(ABS(S99-S103),'IMP Table'!$A$2:$C$26,3)*SIGN(S99-S103),"")</f>
        <v/>
      </c>
      <c r="AC99">
        <f>IF(AND(ISNUMBER(S99),ISNUMBER(S104)),VLOOKUP(ABS(S99-S104),'IMP Table'!$A$2:$C$26,3)*SIGN(S99-S104),"")</f>
        <v/>
      </c>
      <c r="AD99">
        <f>IF(AND(ISNUMBER(R99),ISNUMBER(R100)),IF(R99&gt;R100,1,IF(R99=R100,0.5,0)),0.5)</f>
        <v/>
      </c>
      <c r="AE99">
        <f>IF(AND(ISNUMBER(R99),ISNUMBER(R101)),IF(R99&gt;R101,1,IF(R99=R101,0.5,0)),0.5)</f>
        <v/>
      </c>
      <c r="AF99">
        <f>IF(AND(ISNUMBER(R99),ISNUMBER(R102)),IF(R99&gt;R102,1,IF(R99=R102,0.5,0)),0.5)</f>
        <v/>
      </c>
      <c r="AG99">
        <f>IF(AND(ISNUMBER(R99),ISNUMBER(R103)),IF(R99&gt;R103,1,IF(R99=R103,0.5,0)),0.5)</f>
        <v/>
      </c>
      <c r="AH99">
        <f>IF(AND(ISNUMBER(R99),ISNUMBER(R104)),IF(R99&gt;R104,1,IF(R99=R104,0.5,0)),0.5)</f>
        <v/>
      </c>
      <c r="AI99">
        <f>IF(AND(ISNUMBER(S99),ISNUMBER(S100)),IF(S99&gt;S100,1,IF(S99=S100,0.5,0)),0.5)</f>
        <v/>
      </c>
      <c r="AJ99">
        <f>IF(AND(ISNUMBER(S99),ISNUMBER(S101)),IF(S99&gt;S101,1,IF(S99=S101,0.5,0)),0.5)</f>
        <v/>
      </c>
      <c r="AK99">
        <f>IF(AND(ISNUMBER(S99),ISNUMBER(S102)),IF(S99&gt;S102,1,IF(S99=S102,0.5,0)),0.5)</f>
        <v/>
      </c>
      <c r="AL99">
        <f>IF(AND(ISNUMBER(S99),ISNUMBER(S103)),IF(S99&gt;S103,1,IF(S99=S103,0.5,0)),0.5)</f>
        <v/>
      </c>
      <c r="AM99">
        <f>IF(AND(ISNUMBER(S99),ISNUMBER(S104)),IF(S99&gt;S104,1,IF(S99=S104,0.5,0)),0.5)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4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5">
        <f>IFERROR(AVERAGE(T100:X100),"")</f>
        <v/>
      </c>
      <c r="M100" s="4">
        <f>IFERROR(AVERAGE(Y100:AC100),"")</f>
        <v/>
      </c>
      <c r="N100" s="5">
        <f>P100/5</f>
        <v/>
      </c>
      <c r="O100" s="5">
        <f>Q100/5</f>
        <v/>
      </c>
      <c r="P100" s="4">
        <f>IFERROR(SUM(AD100:AH100),"")</f>
        <v/>
      </c>
      <c r="Q100" s="4">
        <f>IFERROR(SUM(AI100:AM100),"")</f>
        <v/>
      </c>
      <c r="R100" s="16">
        <f>IF(ISNUMBER(J100),J100,IF(ISNUMBER(K100),-K100,""))</f>
        <v/>
      </c>
      <c r="S100">
        <f>IF(ISNUMBER(K100),K100,IF(ISNUMBER(J100),-J100,""))</f>
        <v/>
      </c>
      <c r="T100">
        <f>IF(AND(ISNUMBER(R100),ISNUMBER(R99)),VLOOKUP(ABS(R100-R99),'IMP Table'!$A$2:$C$26,3)*SIGN(R100-R99),"")</f>
        <v/>
      </c>
      <c r="U100">
        <f>IF(AND(ISNUMBER(R100),ISNUMBER(R101)),VLOOKUP(ABS(R100-R101),'IMP Table'!$A$2:$C$26,3)*SIGN(R100-R101),"")</f>
        <v/>
      </c>
      <c r="V100">
        <f>IF(AND(ISNUMBER(R100),ISNUMBER(R102)),VLOOKUP(ABS(R100-R102),'IMP Table'!$A$2:$C$26,3)*SIGN(R100-R102),"")</f>
        <v/>
      </c>
      <c r="W100">
        <f>IF(AND(ISNUMBER(R100),ISNUMBER(R103)),VLOOKUP(ABS(R100-R103),'IMP Table'!$A$2:$C$26,3)*SIGN(R100-R103),"")</f>
        <v/>
      </c>
      <c r="X100">
        <f>IF(AND(ISNUMBER(R100),ISNUMBER(R104)),VLOOKUP(ABS(R100-R104),'IMP Table'!$A$2:$C$26,3)*SIGN(R100-R104),"")</f>
        <v/>
      </c>
      <c r="Y100">
        <f>IF(AND(ISNUMBER(S100),ISNUMBER(S99)),VLOOKUP(ABS(S100-S99),'IMP Table'!$A$2:$C$26,3)*SIGN(S100-S99),"")</f>
        <v/>
      </c>
      <c r="Z100">
        <f>IF(AND(ISNUMBER(S100),ISNUMBER(S101)),VLOOKUP(ABS(S100-S101),'IMP Table'!$A$2:$C$26,3)*SIGN(S100-S101),"")</f>
        <v/>
      </c>
      <c r="AA100">
        <f>IF(AND(ISNUMBER(S100),ISNUMBER(S102)),VLOOKUP(ABS(S100-S102),'IMP Table'!$A$2:$C$26,3)*SIGN(S100-S102),"")</f>
        <v/>
      </c>
      <c r="AB100">
        <f>IF(AND(ISNUMBER(S100),ISNUMBER(S103)),VLOOKUP(ABS(S100-S103),'IMP Table'!$A$2:$C$26,3)*SIGN(S100-S103),"")</f>
        <v/>
      </c>
      <c r="AC100">
        <f>IF(AND(ISNUMBER(S100),ISNUMBER(S104)),VLOOKUP(ABS(S100-S104),'IMP Table'!$A$2:$C$26,3)*SIGN(S100-S104),"")</f>
        <v/>
      </c>
      <c r="AD100">
        <f>IF(AND(ISNUMBER(R100),ISNUMBER(R99)),IF(R100&gt;R99,1,IF(R100=R99,0.5,0)),0.5)</f>
        <v/>
      </c>
      <c r="AE100">
        <f>IF(AND(ISNUMBER(R100),ISNUMBER(R101)),IF(R100&gt;R101,1,IF(R100=R101,0.5,0)),0.5)</f>
        <v/>
      </c>
      <c r="AF100">
        <f>IF(AND(ISNUMBER(R100),ISNUMBER(R102)),IF(R100&gt;R102,1,IF(R100=R102,0.5,0)),0.5)</f>
        <v/>
      </c>
      <c r="AG100">
        <f>IF(AND(ISNUMBER(R100),ISNUMBER(R103)),IF(R100&gt;R103,1,IF(R100=R103,0.5,0)),0.5)</f>
        <v/>
      </c>
      <c r="AH100">
        <f>IF(AND(ISNUMBER(R100),ISNUMBER(R104)),IF(R100&gt;R104,1,IF(R100=R104,0.5,0)),0.5)</f>
        <v/>
      </c>
      <c r="AI100">
        <f>IF(AND(ISNUMBER(S100),ISNUMBER(S99)),IF(S100&gt;S99,1,IF(S100=S99,0.5,0)),0.5)</f>
        <v/>
      </c>
      <c r="AJ100">
        <f>IF(AND(ISNUMBER(S100),ISNUMBER(S101)),IF(S100&gt;S101,1,IF(S100=S101,0.5,0)),0.5)</f>
        <v/>
      </c>
      <c r="AK100">
        <f>IF(AND(ISNUMBER(S100),ISNUMBER(S102)),IF(S100&gt;S102,1,IF(S100=S102,0.5,0)),0.5)</f>
        <v/>
      </c>
      <c r="AL100">
        <f>IF(AND(ISNUMBER(S100),ISNUMBER(S103)),IF(S100&gt;S103,1,IF(S100=S103,0.5,0)),0.5)</f>
        <v/>
      </c>
      <c r="AM100">
        <f>IF(AND(ISNUMBER(S100),ISNUMBER(S104)),IF(S100&gt;S104,1,IF(S100=S104,0.5,0)),0.5)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4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5">
        <f>IFERROR(AVERAGE(T101:X101),"")</f>
        <v/>
      </c>
      <c r="M101" s="4">
        <f>IFERROR(AVERAGE(Y101:AC101),"")</f>
        <v/>
      </c>
      <c r="N101" s="5">
        <f>P101/5</f>
        <v/>
      </c>
      <c r="O101" s="5">
        <f>Q101/5</f>
        <v/>
      </c>
      <c r="P101" s="4">
        <f>IFERROR(SUM(AD101:AH101),"")</f>
        <v/>
      </c>
      <c r="Q101" s="4">
        <f>IFERROR(SUM(AI101:AM101),"")</f>
        <v/>
      </c>
      <c r="R101" s="16">
        <f>IF(ISNUMBER(J101),J101,IF(ISNUMBER(K101),-K101,""))</f>
        <v/>
      </c>
      <c r="S101">
        <f>IF(ISNUMBER(K101),K101,IF(ISNUMBER(J101),-J101,""))</f>
        <v/>
      </c>
      <c r="T101">
        <f>IF(AND(ISNUMBER(R101),ISNUMBER(R99)),VLOOKUP(ABS(R101-R99),'IMP Table'!$A$2:$C$26,3)*SIGN(R101-R99),"")</f>
        <v/>
      </c>
      <c r="U101">
        <f>IF(AND(ISNUMBER(R101),ISNUMBER(R100)),VLOOKUP(ABS(R101-R100),'IMP Table'!$A$2:$C$26,3)*SIGN(R101-R100),"")</f>
        <v/>
      </c>
      <c r="V101">
        <f>IF(AND(ISNUMBER(R101),ISNUMBER(R102)),VLOOKUP(ABS(R101-R102),'IMP Table'!$A$2:$C$26,3)*SIGN(R101-R102),"")</f>
        <v/>
      </c>
      <c r="W101">
        <f>IF(AND(ISNUMBER(R101),ISNUMBER(R103)),VLOOKUP(ABS(R101-R103),'IMP Table'!$A$2:$C$26,3)*SIGN(R101-R103),"")</f>
        <v/>
      </c>
      <c r="X101">
        <f>IF(AND(ISNUMBER(R101),ISNUMBER(R104)),VLOOKUP(ABS(R101-R104),'IMP Table'!$A$2:$C$26,3)*SIGN(R101-R104),"")</f>
        <v/>
      </c>
      <c r="Y101">
        <f>IF(AND(ISNUMBER(S101),ISNUMBER(S99)),VLOOKUP(ABS(S101-S99),'IMP Table'!$A$2:$C$26,3)*SIGN(S101-S99),"")</f>
        <v/>
      </c>
      <c r="Z101">
        <f>IF(AND(ISNUMBER(S101),ISNUMBER(S100)),VLOOKUP(ABS(S101-S100),'IMP Table'!$A$2:$C$26,3)*SIGN(S101-S100),"")</f>
        <v/>
      </c>
      <c r="AA101">
        <f>IF(AND(ISNUMBER(S101),ISNUMBER(S102)),VLOOKUP(ABS(S101-S102),'IMP Table'!$A$2:$C$26,3)*SIGN(S101-S102),"")</f>
        <v/>
      </c>
      <c r="AB101">
        <f>IF(AND(ISNUMBER(S101),ISNUMBER(S103)),VLOOKUP(ABS(S101-S103),'IMP Table'!$A$2:$C$26,3)*SIGN(S101-S103),"")</f>
        <v/>
      </c>
      <c r="AC101">
        <f>IF(AND(ISNUMBER(S101),ISNUMBER(S104)),VLOOKUP(ABS(S101-S104),'IMP Table'!$A$2:$C$26,3)*SIGN(S101-S104),"")</f>
        <v/>
      </c>
      <c r="AD101">
        <f>IF(AND(ISNUMBER(R101),ISNUMBER(R99)),IF(R101&gt;R99,1,IF(R101=R99,0.5,0)),0.5)</f>
        <v/>
      </c>
      <c r="AE101">
        <f>IF(AND(ISNUMBER(R101),ISNUMBER(R100)),IF(R101&gt;R100,1,IF(R101=R100,0.5,0)),0.5)</f>
        <v/>
      </c>
      <c r="AF101">
        <f>IF(AND(ISNUMBER(R101),ISNUMBER(R102)),IF(R101&gt;R102,1,IF(R101=R102,0.5,0)),0.5)</f>
        <v/>
      </c>
      <c r="AG101">
        <f>IF(AND(ISNUMBER(R101),ISNUMBER(R103)),IF(R101&gt;R103,1,IF(R101=R103,0.5,0)),0.5)</f>
        <v/>
      </c>
      <c r="AH101">
        <f>IF(AND(ISNUMBER(R101),ISNUMBER(R104)),IF(R101&gt;R104,1,IF(R101=R104,0.5,0)),0.5)</f>
        <v/>
      </c>
      <c r="AI101">
        <f>IF(AND(ISNUMBER(S101),ISNUMBER(S99)),IF(S101&gt;S99,1,IF(S101=S99,0.5,0)),0.5)</f>
        <v/>
      </c>
      <c r="AJ101">
        <f>IF(AND(ISNUMBER(S101),ISNUMBER(S100)),IF(S101&gt;S100,1,IF(S101=S100,0.5,0)),0.5)</f>
        <v/>
      </c>
      <c r="AK101">
        <f>IF(AND(ISNUMBER(S101),ISNUMBER(S102)),IF(S101&gt;S102,1,IF(S101=S102,0.5,0)),0.5)</f>
        <v/>
      </c>
      <c r="AL101">
        <f>IF(AND(ISNUMBER(S101),ISNUMBER(S103)),IF(S101&gt;S103,1,IF(S101=S103,0.5,0)),0.5)</f>
        <v/>
      </c>
      <c r="AM101">
        <f>IF(AND(ISNUMBER(S101),ISNUMBER(S104)),IF(S101&gt;S104,1,IF(S101=S104,0.5,0)),0.5)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4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5">
        <f>IFERROR(AVERAGE(T102:X102),"")</f>
        <v/>
      </c>
      <c r="M102" s="4">
        <f>IFERROR(AVERAGE(Y102:AC102),"")</f>
        <v/>
      </c>
      <c r="N102" s="5">
        <f>P102/5</f>
        <v/>
      </c>
      <c r="O102" s="5">
        <f>Q102/5</f>
        <v/>
      </c>
      <c r="P102" s="4">
        <f>IFERROR(SUM(AD102:AH102),"")</f>
        <v/>
      </c>
      <c r="Q102" s="4">
        <f>IFERROR(SUM(AI102:AM102),"")</f>
        <v/>
      </c>
      <c r="R102" s="16">
        <f>IF(ISNUMBER(J102),J102,IF(ISNUMBER(K102),-K102,""))</f>
        <v/>
      </c>
      <c r="S102">
        <f>IF(ISNUMBER(K102),K102,IF(ISNUMBER(J102),-J102,""))</f>
        <v/>
      </c>
      <c r="T102">
        <f>IF(AND(ISNUMBER(R102),ISNUMBER(R99)),VLOOKUP(ABS(R102-R99),'IMP Table'!$A$2:$C$26,3)*SIGN(R102-R99),"")</f>
        <v/>
      </c>
      <c r="U102">
        <f>IF(AND(ISNUMBER(R102),ISNUMBER(R100)),VLOOKUP(ABS(R102-R100),'IMP Table'!$A$2:$C$26,3)*SIGN(R102-R100),"")</f>
        <v/>
      </c>
      <c r="V102">
        <f>IF(AND(ISNUMBER(R102),ISNUMBER(R101)),VLOOKUP(ABS(R102-R101),'IMP Table'!$A$2:$C$26,3)*SIGN(R102-R101),"")</f>
        <v/>
      </c>
      <c r="W102">
        <f>IF(AND(ISNUMBER(R102),ISNUMBER(R103)),VLOOKUP(ABS(R102-R103),'IMP Table'!$A$2:$C$26,3)*SIGN(R102-R103),"")</f>
        <v/>
      </c>
      <c r="X102">
        <f>IF(AND(ISNUMBER(R102),ISNUMBER(R104)),VLOOKUP(ABS(R102-R104),'IMP Table'!$A$2:$C$26,3)*SIGN(R102-R104),"")</f>
        <v/>
      </c>
      <c r="Y102">
        <f>IF(AND(ISNUMBER(S102),ISNUMBER(S99)),VLOOKUP(ABS(S102-S99),'IMP Table'!$A$2:$C$26,3)*SIGN(S102-S99),"")</f>
        <v/>
      </c>
      <c r="Z102">
        <f>IF(AND(ISNUMBER(S102),ISNUMBER(S100)),VLOOKUP(ABS(S102-S100),'IMP Table'!$A$2:$C$26,3)*SIGN(S102-S100),"")</f>
        <v/>
      </c>
      <c r="AA102">
        <f>IF(AND(ISNUMBER(S102),ISNUMBER(S101)),VLOOKUP(ABS(S102-S101),'IMP Table'!$A$2:$C$26,3)*SIGN(S102-S101),"")</f>
        <v/>
      </c>
      <c r="AB102">
        <f>IF(AND(ISNUMBER(S102),ISNUMBER(S103)),VLOOKUP(ABS(S102-S103),'IMP Table'!$A$2:$C$26,3)*SIGN(S102-S103),"")</f>
        <v/>
      </c>
      <c r="AC102">
        <f>IF(AND(ISNUMBER(S102),ISNUMBER(S104)),VLOOKUP(ABS(S102-S104),'IMP Table'!$A$2:$C$26,3)*SIGN(S102-S104),"")</f>
        <v/>
      </c>
      <c r="AD102">
        <f>IF(AND(ISNUMBER(R102),ISNUMBER(R99)),IF(R102&gt;R99,1,IF(R102=R99,0.5,0)),0.5)</f>
        <v/>
      </c>
      <c r="AE102">
        <f>IF(AND(ISNUMBER(R102),ISNUMBER(R100)),IF(R102&gt;R100,1,IF(R102=R100,0.5,0)),0.5)</f>
        <v/>
      </c>
      <c r="AF102">
        <f>IF(AND(ISNUMBER(R102),ISNUMBER(R101)),IF(R102&gt;R101,1,IF(R102=R101,0.5,0)),0.5)</f>
        <v/>
      </c>
      <c r="AG102">
        <f>IF(AND(ISNUMBER(R102),ISNUMBER(R103)),IF(R102&gt;R103,1,IF(R102=R103,0.5,0)),0.5)</f>
        <v/>
      </c>
      <c r="AH102">
        <f>IF(AND(ISNUMBER(R102),ISNUMBER(R104)),IF(R102&gt;R104,1,IF(R102=R104,0.5,0)),0.5)</f>
        <v/>
      </c>
      <c r="AI102">
        <f>IF(AND(ISNUMBER(S102),ISNUMBER(S99)),IF(S102&gt;S99,1,IF(S102=S99,0.5,0)),0.5)</f>
        <v/>
      </c>
      <c r="AJ102">
        <f>IF(AND(ISNUMBER(S102),ISNUMBER(S100)),IF(S102&gt;S100,1,IF(S102=S100,0.5,0)),0.5)</f>
        <v/>
      </c>
      <c r="AK102">
        <f>IF(AND(ISNUMBER(S102),ISNUMBER(S101)),IF(S102&gt;S101,1,IF(S102=S101,0.5,0)),0.5)</f>
        <v/>
      </c>
      <c r="AL102">
        <f>IF(AND(ISNUMBER(S102),ISNUMBER(S103)),IF(S102&gt;S103,1,IF(S102=S103,0.5,0)),0.5)</f>
        <v/>
      </c>
      <c r="AM102">
        <f>IF(AND(ISNUMBER(S102),ISNUMBER(S104)),IF(S102&gt;S104,1,IF(S102=S104,0.5,0)),0.5)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4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5">
        <f>IFERROR(AVERAGE(T103:X103),"")</f>
        <v/>
      </c>
      <c r="M103" s="4">
        <f>IFERROR(AVERAGE(Y103:AC103),"")</f>
        <v/>
      </c>
      <c r="N103" s="5">
        <f>P103/5</f>
        <v/>
      </c>
      <c r="O103" s="5">
        <f>Q103/5</f>
        <v/>
      </c>
      <c r="P103" s="4">
        <f>IFERROR(SUM(AD103:AH103),"")</f>
        <v/>
      </c>
      <c r="Q103" s="4">
        <f>IFERROR(SUM(AI103:AM103),"")</f>
        <v/>
      </c>
      <c r="R103" s="16">
        <f>IF(ISNUMBER(J103),J103,IF(ISNUMBER(K103),-K103,""))</f>
        <v/>
      </c>
      <c r="S103">
        <f>IF(ISNUMBER(K103),K103,IF(ISNUMBER(J103),-J103,""))</f>
        <v/>
      </c>
      <c r="T103">
        <f>IF(AND(ISNUMBER(R103),ISNUMBER(R99)),VLOOKUP(ABS(R103-R99),'IMP Table'!$A$2:$C$26,3)*SIGN(R103-R99),"")</f>
        <v/>
      </c>
      <c r="U103">
        <f>IF(AND(ISNUMBER(R103),ISNUMBER(R100)),VLOOKUP(ABS(R103-R100),'IMP Table'!$A$2:$C$26,3)*SIGN(R103-R100),"")</f>
        <v/>
      </c>
      <c r="V103">
        <f>IF(AND(ISNUMBER(R103),ISNUMBER(R101)),VLOOKUP(ABS(R103-R101),'IMP Table'!$A$2:$C$26,3)*SIGN(R103-R101),"")</f>
        <v/>
      </c>
      <c r="W103">
        <f>IF(AND(ISNUMBER(R103),ISNUMBER(R102)),VLOOKUP(ABS(R103-R102),'IMP Table'!$A$2:$C$26,3)*SIGN(R103-R102),"")</f>
        <v/>
      </c>
      <c r="X103">
        <f>IF(AND(ISNUMBER(R103),ISNUMBER(R104)),VLOOKUP(ABS(R103-R104),'IMP Table'!$A$2:$C$26,3)*SIGN(R103-R104),"")</f>
        <v/>
      </c>
      <c r="Y103">
        <f>IF(AND(ISNUMBER(S103),ISNUMBER(S99)),VLOOKUP(ABS(S103-S99),'IMP Table'!$A$2:$C$26,3)*SIGN(S103-S99),"")</f>
        <v/>
      </c>
      <c r="Z103">
        <f>IF(AND(ISNUMBER(S103),ISNUMBER(S100)),VLOOKUP(ABS(S103-S100),'IMP Table'!$A$2:$C$26,3)*SIGN(S103-S100),"")</f>
        <v/>
      </c>
      <c r="AA103">
        <f>IF(AND(ISNUMBER(S103),ISNUMBER(S101)),VLOOKUP(ABS(S103-S101),'IMP Table'!$A$2:$C$26,3)*SIGN(S103-S101),"")</f>
        <v/>
      </c>
      <c r="AB103">
        <f>IF(AND(ISNUMBER(S103),ISNUMBER(S102)),VLOOKUP(ABS(S103-S102),'IMP Table'!$A$2:$C$26,3)*SIGN(S103-S102),"")</f>
        <v/>
      </c>
      <c r="AC103">
        <f>IF(AND(ISNUMBER(S103),ISNUMBER(S104)),VLOOKUP(ABS(S103-S104),'IMP Table'!$A$2:$C$26,3)*SIGN(S103-S104),"")</f>
        <v/>
      </c>
      <c r="AD103">
        <f>IF(AND(ISNUMBER(R103),ISNUMBER(R99)),IF(R103&gt;R99,1,IF(R103=R99,0.5,0)),0.5)</f>
        <v/>
      </c>
      <c r="AE103">
        <f>IF(AND(ISNUMBER(R103),ISNUMBER(R100)),IF(R103&gt;R100,1,IF(R103=R100,0.5,0)),0.5)</f>
        <v/>
      </c>
      <c r="AF103">
        <f>IF(AND(ISNUMBER(R103),ISNUMBER(R101)),IF(R103&gt;R101,1,IF(R103=R101,0.5,0)),0.5)</f>
        <v/>
      </c>
      <c r="AG103">
        <f>IF(AND(ISNUMBER(R103),ISNUMBER(R102)),IF(R103&gt;R102,1,IF(R103=R102,0.5,0)),0.5)</f>
        <v/>
      </c>
      <c r="AH103">
        <f>IF(AND(ISNUMBER(R103),ISNUMBER(R104)),IF(R103&gt;R104,1,IF(R103=R104,0.5,0)),0.5)</f>
        <v/>
      </c>
      <c r="AI103">
        <f>IF(AND(ISNUMBER(S103),ISNUMBER(S99)),IF(S103&gt;S99,1,IF(S103=S99,0.5,0)),0.5)</f>
        <v/>
      </c>
      <c r="AJ103">
        <f>IF(AND(ISNUMBER(S103),ISNUMBER(S100)),IF(S103&gt;S100,1,IF(S103=S100,0.5,0)),0.5)</f>
        <v/>
      </c>
      <c r="AK103">
        <f>IF(AND(ISNUMBER(S103),ISNUMBER(S101)),IF(S103&gt;S101,1,IF(S103=S101,0.5,0)),0.5)</f>
        <v/>
      </c>
      <c r="AL103">
        <f>IF(AND(ISNUMBER(S103),ISNUMBER(S102)),IF(S103&gt;S102,1,IF(S103=S102,0.5,0)),0.5)</f>
        <v/>
      </c>
      <c r="AM103">
        <f>IF(AND(ISNUMBER(S103),ISNUMBER(S104)),IF(S103&gt;S104,1,IF(S103=S104,0.5,0)),0.5)</f>
        <v/>
      </c>
    </row>
    <row r="104">
      <c r="A104" s="13" t="n"/>
      <c r="B104" s="13">
        <f>'By Round'!A123</f>
        <v/>
      </c>
      <c r="C104" s="13">
        <f>'By Round'!B133</f>
        <v/>
      </c>
      <c r="D104" s="13">
        <f>'By Round'!C133</f>
        <v/>
      </c>
      <c r="E104" s="13">
        <f>'By Round'!D133</f>
        <v/>
      </c>
      <c r="F104" s="17" t="inlineStr">
        <is>
          <t>None</t>
        </is>
      </c>
      <c r="G104" s="13">
        <f>IF(ISBLANK('By Round'!G133),"",'By Round'!G133)</f>
        <v/>
      </c>
      <c r="H104" s="13">
        <f>IF(ISBLANK('By Round'!H133),"",'By Round'!H133)</f>
        <v/>
      </c>
      <c r="I104" s="13">
        <f>IF(ISBLANK('By Round'!I133),"",'By Round'!I133)</f>
        <v/>
      </c>
      <c r="J104" s="13">
        <f>IF(ISBLANK('By Round'!J133),"",'By Round'!J133)</f>
        <v/>
      </c>
      <c r="K104" s="13">
        <f>IF(ISBLANK('By Round'!K133),"",'By Round'!K133)</f>
        <v/>
      </c>
      <c r="L104" s="18">
        <f>IFERROR(AVERAGE(T104:X104),"")</f>
        <v/>
      </c>
      <c r="M104" s="19">
        <f>IFERROR(AVERAGE(Y104:AC104),"")</f>
        <v/>
      </c>
      <c r="N104" s="20">
        <f>P104/5</f>
        <v/>
      </c>
      <c r="O104" s="20">
        <f>Q104/5</f>
        <v/>
      </c>
      <c r="P104" s="19">
        <f>IFERROR(SUM(AD104:AH104),"")</f>
        <v/>
      </c>
      <c r="Q104" s="19">
        <f>IFERROR(SUM(AI104:AM104),"")</f>
        <v/>
      </c>
      <c r="R104" s="21">
        <f>IF(ISNUMBER(J104),J104,IF(ISNUMBER(K104),-K104,""))</f>
        <v/>
      </c>
      <c r="S104" s="13">
        <f>IF(ISNUMBER(K104),K104,IF(ISNUMBER(J104),-J104,""))</f>
        <v/>
      </c>
      <c r="T104" s="13">
        <f>IF(AND(ISNUMBER(R104),ISNUMBER(R99)),VLOOKUP(ABS(R104-R99),'IMP Table'!$A$2:$C$26,3)*SIGN(R104-R99),"")</f>
        <v/>
      </c>
      <c r="U104" s="13">
        <f>IF(AND(ISNUMBER(R104),ISNUMBER(R100)),VLOOKUP(ABS(R104-R100),'IMP Table'!$A$2:$C$26,3)*SIGN(R104-R100),"")</f>
        <v/>
      </c>
      <c r="V104" s="13">
        <f>IF(AND(ISNUMBER(R104),ISNUMBER(R101)),VLOOKUP(ABS(R104-R101),'IMP Table'!$A$2:$C$26,3)*SIGN(R104-R101),"")</f>
        <v/>
      </c>
      <c r="W104" s="13">
        <f>IF(AND(ISNUMBER(R104),ISNUMBER(R102)),VLOOKUP(ABS(R104-R102),'IMP Table'!$A$2:$C$26,3)*SIGN(R104-R102),"")</f>
        <v/>
      </c>
      <c r="X104" s="13">
        <f>IF(AND(ISNUMBER(R104),ISNUMBER(R103)),VLOOKUP(ABS(R104-R103),'IMP Table'!$A$2:$C$26,3)*SIGN(R104-R103),"")</f>
        <v/>
      </c>
      <c r="Y104" s="13">
        <f>IF(AND(ISNUMBER(S104),ISNUMBER(S99)),VLOOKUP(ABS(S104-S99),'IMP Table'!$A$2:$C$26,3)*SIGN(S104-S99),"")</f>
        <v/>
      </c>
      <c r="Z104" s="13">
        <f>IF(AND(ISNUMBER(S104),ISNUMBER(S100)),VLOOKUP(ABS(S104-S100),'IMP Table'!$A$2:$C$26,3)*SIGN(S104-S100),"")</f>
        <v/>
      </c>
      <c r="AA104" s="13">
        <f>IF(AND(ISNUMBER(S104),ISNUMBER(S101)),VLOOKUP(ABS(S104-S101),'IMP Table'!$A$2:$C$26,3)*SIGN(S104-S101),"")</f>
        <v/>
      </c>
      <c r="AB104" s="13">
        <f>IF(AND(ISNUMBER(S104),ISNUMBER(S102)),VLOOKUP(ABS(S104-S102),'IMP Table'!$A$2:$C$26,3)*SIGN(S104-S102),"")</f>
        <v/>
      </c>
      <c r="AC104" s="13">
        <f>IF(AND(ISNUMBER(S104),ISNUMBER(S103)),VLOOKUP(ABS(S104-S103),'IMP Table'!$A$2:$C$26,3)*SIGN(S104-S103),"")</f>
        <v/>
      </c>
      <c r="AD104" s="13">
        <f>IF(AND(ISNUMBER(R104),ISNUMBER(R99)),IF(R104&gt;R99,1,IF(R104=R99,0.5,0)),0.5)</f>
        <v/>
      </c>
      <c r="AE104" s="13">
        <f>IF(AND(ISNUMBER(R104),ISNUMBER(R100)),IF(R104&gt;R100,1,IF(R104=R100,0.5,0)),0.5)</f>
        <v/>
      </c>
      <c r="AF104" s="13">
        <f>IF(AND(ISNUMBER(R104),ISNUMBER(R101)),IF(R104&gt;R101,1,IF(R104=R101,0.5,0)),0.5)</f>
        <v/>
      </c>
      <c r="AG104" s="13">
        <f>IF(AND(ISNUMBER(R104),ISNUMBER(R102)),IF(R104&gt;R102,1,IF(R104=R102,0.5,0)),0.5)</f>
        <v/>
      </c>
      <c r="AH104" s="13">
        <f>IF(AND(ISNUMBER(R104),ISNUMBER(R103)),IF(R104&gt;R103,1,IF(R104=R103,0.5,0)),0.5)</f>
        <v/>
      </c>
      <c r="AI104" s="13">
        <f>IF(AND(ISNUMBER(S104),ISNUMBER(S99)),IF(S104&gt;S99,1,IF(S104=S99,0.5,0)),0.5)</f>
        <v/>
      </c>
      <c r="AJ104" s="13">
        <f>IF(AND(ISNUMBER(S104),ISNUMBER(S100)),IF(S104&gt;S100,1,IF(S104=S100,0.5,0)),0.5)</f>
        <v/>
      </c>
      <c r="AK104" s="13">
        <f>IF(AND(ISNUMBER(S104),ISNUMBER(S101)),IF(S104&gt;S101,1,IF(S104=S101,0.5,0)),0.5)</f>
        <v/>
      </c>
      <c r="AL104" s="13">
        <f>IF(AND(ISNUMBER(S104),ISNUMBER(S102)),IF(S104&gt;S102,1,IF(S104=S102,0.5,0)),0.5)</f>
        <v/>
      </c>
      <c r="AM104" s="13">
        <f>IF(AND(ISNUMBER(S104),ISNUMBER(S103)),IF(S104&gt;S103,1,IF(S104=S103,0.5,0)),0.5)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4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5">
        <f>IFERROR(AVERAGE(T105:X105),"")</f>
        <v/>
      </c>
      <c r="M105" s="4">
        <f>IFERROR(AVERAGE(Y105:AC105),"")</f>
        <v/>
      </c>
      <c r="N105" s="5">
        <f>P105/5</f>
        <v/>
      </c>
      <c r="O105" s="5">
        <f>Q105/5</f>
        <v/>
      </c>
      <c r="P105" s="4">
        <f>IFERROR(SUM(AD105:AH105),"")</f>
        <v/>
      </c>
      <c r="Q105" s="4">
        <f>IFERROR(SUM(AI105:AM105),"")</f>
        <v/>
      </c>
      <c r="R105" s="16">
        <f>IF(ISNUMBER(J105),J105,IF(ISNUMBER(K105),-K105,""))</f>
        <v/>
      </c>
      <c r="S105">
        <f>IF(ISNUMBER(K105),K105,IF(ISNUMBER(J105),-J105,""))</f>
        <v/>
      </c>
      <c r="T105">
        <f>IF(AND(ISNUMBER(R105),ISNUMBER(R106)),VLOOKUP(ABS(R105-R106),'IMP Table'!$A$2:$C$26,3)*SIGN(R105-R106),"")</f>
        <v/>
      </c>
      <c r="U105">
        <f>IF(AND(ISNUMBER(R105),ISNUMBER(R107)),VLOOKUP(ABS(R105-R107),'IMP Table'!$A$2:$C$26,3)*SIGN(R105-R107),"")</f>
        <v/>
      </c>
      <c r="V105">
        <f>IF(AND(ISNUMBER(R105),ISNUMBER(R108)),VLOOKUP(ABS(R105-R108),'IMP Table'!$A$2:$C$26,3)*SIGN(R105-R108),"")</f>
        <v/>
      </c>
      <c r="W105">
        <f>IF(AND(ISNUMBER(R105),ISNUMBER(R109)),VLOOKUP(ABS(R105-R109),'IMP Table'!$A$2:$C$26,3)*SIGN(R105-R109),"")</f>
        <v/>
      </c>
      <c r="X105">
        <f>IF(AND(ISNUMBER(R105),ISNUMBER(R110)),VLOOKUP(ABS(R105-R110),'IMP Table'!$A$2:$C$26,3)*SIGN(R105-R110),"")</f>
        <v/>
      </c>
      <c r="Y105">
        <f>IF(AND(ISNUMBER(S105),ISNUMBER(S106)),VLOOKUP(ABS(S105-S106),'IMP Table'!$A$2:$C$26,3)*SIGN(S105-S106),"")</f>
        <v/>
      </c>
      <c r="Z105">
        <f>IF(AND(ISNUMBER(S105),ISNUMBER(S107)),VLOOKUP(ABS(S105-S107),'IMP Table'!$A$2:$C$26,3)*SIGN(S105-S107),"")</f>
        <v/>
      </c>
      <c r="AA105">
        <f>IF(AND(ISNUMBER(S105),ISNUMBER(S108)),VLOOKUP(ABS(S105-S108),'IMP Table'!$A$2:$C$26,3)*SIGN(S105-S108),"")</f>
        <v/>
      </c>
      <c r="AB105">
        <f>IF(AND(ISNUMBER(S105),ISNUMBER(S109)),VLOOKUP(ABS(S105-S109),'IMP Table'!$A$2:$C$26,3)*SIGN(S105-S109),"")</f>
        <v/>
      </c>
      <c r="AC105">
        <f>IF(AND(ISNUMBER(S105),ISNUMBER(S110)),VLOOKUP(ABS(S105-S110),'IMP Table'!$A$2:$C$26,3)*SIGN(S105-S110),"")</f>
        <v/>
      </c>
      <c r="AD105">
        <f>IF(AND(ISNUMBER(R105),ISNUMBER(R106)),IF(R105&gt;R106,1,IF(R105=R106,0.5,0)),0.5)</f>
        <v/>
      </c>
      <c r="AE105">
        <f>IF(AND(ISNUMBER(R105),ISNUMBER(R107)),IF(R105&gt;R107,1,IF(R105=R107,0.5,0)),0.5)</f>
        <v/>
      </c>
      <c r="AF105">
        <f>IF(AND(ISNUMBER(R105),ISNUMBER(R108)),IF(R105&gt;R108,1,IF(R105=R108,0.5,0)),0.5)</f>
        <v/>
      </c>
      <c r="AG105">
        <f>IF(AND(ISNUMBER(R105),ISNUMBER(R109)),IF(R105&gt;R109,1,IF(R105=R109,0.5,0)),0.5)</f>
        <v/>
      </c>
      <c r="AH105">
        <f>IF(AND(ISNUMBER(R105),ISNUMBER(R110)),IF(R105&gt;R110,1,IF(R105=R110,0.5,0)),0.5)</f>
        <v/>
      </c>
      <c r="AI105">
        <f>IF(AND(ISNUMBER(S105),ISNUMBER(S106)),IF(S105&gt;S106,1,IF(S105=S106,0.5,0)),0.5)</f>
        <v/>
      </c>
      <c r="AJ105">
        <f>IF(AND(ISNUMBER(S105),ISNUMBER(S107)),IF(S105&gt;S107,1,IF(S105=S107,0.5,0)),0.5)</f>
        <v/>
      </c>
      <c r="AK105">
        <f>IF(AND(ISNUMBER(S105),ISNUMBER(S108)),IF(S105&gt;S108,1,IF(S105=S108,0.5,0)),0.5)</f>
        <v/>
      </c>
      <c r="AL105">
        <f>IF(AND(ISNUMBER(S105),ISNUMBER(S109)),IF(S105&gt;S109,1,IF(S105=S109,0.5,0)),0.5)</f>
        <v/>
      </c>
      <c r="AM105">
        <f>IF(AND(ISNUMBER(S105),ISNUMBER(S110)),IF(S105&gt;S110,1,IF(S105=S110,0.5,0)),0.5)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4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5">
        <f>IFERROR(AVERAGE(T106:X106),"")</f>
        <v/>
      </c>
      <c r="M106" s="4">
        <f>IFERROR(AVERAGE(Y106:AC106),"")</f>
        <v/>
      </c>
      <c r="N106" s="5">
        <f>P106/5</f>
        <v/>
      </c>
      <c r="O106" s="5">
        <f>Q106/5</f>
        <v/>
      </c>
      <c r="P106" s="4">
        <f>IFERROR(SUM(AD106:AH106),"")</f>
        <v/>
      </c>
      <c r="Q106" s="4">
        <f>IFERROR(SUM(AI106:AM106),"")</f>
        <v/>
      </c>
      <c r="R106" s="16">
        <f>IF(ISNUMBER(J106),J106,IF(ISNUMBER(K106),-K106,""))</f>
        <v/>
      </c>
      <c r="S106">
        <f>IF(ISNUMBER(K106),K106,IF(ISNUMBER(J106),-J106,""))</f>
        <v/>
      </c>
      <c r="T106">
        <f>IF(AND(ISNUMBER(R106),ISNUMBER(R105)),VLOOKUP(ABS(R106-R105),'IMP Table'!$A$2:$C$26,3)*SIGN(R106-R105),"")</f>
        <v/>
      </c>
      <c r="U106">
        <f>IF(AND(ISNUMBER(R106),ISNUMBER(R107)),VLOOKUP(ABS(R106-R107),'IMP Table'!$A$2:$C$26,3)*SIGN(R106-R107),"")</f>
        <v/>
      </c>
      <c r="V106">
        <f>IF(AND(ISNUMBER(R106),ISNUMBER(R108)),VLOOKUP(ABS(R106-R108),'IMP Table'!$A$2:$C$26,3)*SIGN(R106-R108),"")</f>
        <v/>
      </c>
      <c r="W106">
        <f>IF(AND(ISNUMBER(R106),ISNUMBER(R109)),VLOOKUP(ABS(R106-R109),'IMP Table'!$A$2:$C$26,3)*SIGN(R106-R109),"")</f>
        <v/>
      </c>
      <c r="X106">
        <f>IF(AND(ISNUMBER(R106),ISNUMBER(R110)),VLOOKUP(ABS(R106-R110),'IMP Table'!$A$2:$C$26,3)*SIGN(R106-R110),"")</f>
        <v/>
      </c>
      <c r="Y106">
        <f>IF(AND(ISNUMBER(S106),ISNUMBER(S105)),VLOOKUP(ABS(S106-S105),'IMP Table'!$A$2:$C$26,3)*SIGN(S106-S105),"")</f>
        <v/>
      </c>
      <c r="Z106">
        <f>IF(AND(ISNUMBER(S106),ISNUMBER(S107)),VLOOKUP(ABS(S106-S107),'IMP Table'!$A$2:$C$26,3)*SIGN(S106-S107),"")</f>
        <v/>
      </c>
      <c r="AA106">
        <f>IF(AND(ISNUMBER(S106),ISNUMBER(S108)),VLOOKUP(ABS(S106-S108),'IMP Table'!$A$2:$C$26,3)*SIGN(S106-S108),"")</f>
        <v/>
      </c>
      <c r="AB106">
        <f>IF(AND(ISNUMBER(S106),ISNUMBER(S109)),VLOOKUP(ABS(S106-S109),'IMP Table'!$A$2:$C$26,3)*SIGN(S106-S109),"")</f>
        <v/>
      </c>
      <c r="AC106">
        <f>IF(AND(ISNUMBER(S106),ISNUMBER(S110)),VLOOKUP(ABS(S106-S110),'IMP Table'!$A$2:$C$26,3)*SIGN(S106-S110),"")</f>
        <v/>
      </c>
      <c r="AD106">
        <f>IF(AND(ISNUMBER(R106),ISNUMBER(R105)),IF(R106&gt;R105,1,IF(R106=R105,0.5,0)),0.5)</f>
        <v/>
      </c>
      <c r="AE106">
        <f>IF(AND(ISNUMBER(R106),ISNUMBER(R107)),IF(R106&gt;R107,1,IF(R106=R107,0.5,0)),0.5)</f>
        <v/>
      </c>
      <c r="AF106">
        <f>IF(AND(ISNUMBER(R106),ISNUMBER(R108)),IF(R106&gt;R108,1,IF(R106=R108,0.5,0)),0.5)</f>
        <v/>
      </c>
      <c r="AG106">
        <f>IF(AND(ISNUMBER(R106),ISNUMBER(R109)),IF(R106&gt;R109,1,IF(R106=R109,0.5,0)),0.5)</f>
        <v/>
      </c>
      <c r="AH106">
        <f>IF(AND(ISNUMBER(R106),ISNUMBER(R110)),IF(R106&gt;R110,1,IF(R106=R110,0.5,0)),0.5)</f>
        <v/>
      </c>
      <c r="AI106">
        <f>IF(AND(ISNUMBER(S106),ISNUMBER(S105)),IF(S106&gt;S105,1,IF(S106=S105,0.5,0)),0.5)</f>
        <v/>
      </c>
      <c r="AJ106">
        <f>IF(AND(ISNUMBER(S106),ISNUMBER(S107)),IF(S106&gt;S107,1,IF(S106=S107,0.5,0)),0.5)</f>
        <v/>
      </c>
      <c r="AK106">
        <f>IF(AND(ISNUMBER(S106),ISNUMBER(S108)),IF(S106&gt;S108,1,IF(S106=S108,0.5,0)),0.5)</f>
        <v/>
      </c>
      <c r="AL106">
        <f>IF(AND(ISNUMBER(S106),ISNUMBER(S109)),IF(S106&gt;S109,1,IF(S106=S109,0.5,0)),0.5)</f>
        <v/>
      </c>
      <c r="AM106">
        <f>IF(AND(ISNUMBER(S106),ISNUMBER(S110)),IF(S106&gt;S110,1,IF(S106=S110,0.5,0)),0.5)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4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5">
        <f>IFERROR(AVERAGE(T107:X107),"")</f>
        <v/>
      </c>
      <c r="M107" s="4">
        <f>IFERROR(AVERAGE(Y107:AC107),"")</f>
        <v/>
      </c>
      <c r="N107" s="5">
        <f>P107/5</f>
        <v/>
      </c>
      <c r="O107" s="5">
        <f>Q107/5</f>
        <v/>
      </c>
      <c r="P107" s="4">
        <f>IFERROR(SUM(AD107:AH107),"")</f>
        <v/>
      </c>
      <c r="Q107" s="4">
        <f>IFERROR(SUM(AI107:AM107),"")</f>
        <v/>
      </c>
      <c r="R107" s="16">
        <f>IF(ISNUMBER(J107),J107,IF(ISNUMBER(K107),-K107,""))</f>
        <v/>
      </c>
      <c r="S107">
        <f>IF(ISNUMBER(K107),K107,IF(ISNUMBER(J107),-J107,""))</f>
        <v/>
      </c>
      <c r="T107">
        <f>IF(AND(ISNUMBER(R107),ISNUMBER(R105)),VLOOKUP(ABS(R107-R105),'IMP Table'!$A$2:$C$26,3)*SIGN(R107-R105),"")</f>
        <v/>
      </c>
      <c r="U107">
        <f>IF(AND(ISNUMBER(R107),ISNUMBER(R106)),VLOOKUP(ABS(R107-R106),'IMP Table'!$A$2:$C$26,3)*SIGN(R107-R106),"")</f>
        <v/>
      </c>
      <c r="V107">
        <f>IF(AND(ISNUMBER(R107),ISNUMBER(R108)),VLOOKUP(ABS(R107-R108),'IMP Table'!$A$2:$C$26,3)*SIGN(R107-R108),"")</f>
        <v/>
      </c>
      <c r="W107">
        <f>IF(AND(ISNUMBER(R107),ISNUMBER(R109)),VLOOKUP(ABS(R107-R109),'IMP Table'!$A$2:$C$26,3)*SIGN(R107-R109),"")</f>
        <v/>
      </c>
      <c r="X107">
        <f>IF(AND(ISNUMBER(R107),ISNUMBER(R110)),VLOOKUP(ABS(R107-R110),'IMP Table'!$A$2:$C$26,3)*SIGN(R107-R110),"")</f>
        <v/>
      </c>
      <c r="Y107">
        <f>IF(AND(ISNUMBER(S107),ISNUMBER(S105)),VLOOKUP(ABS(S107-S105),'IMP Table'!$A$2:$C$26,3)*SIGN(S107-S105),"")</f>
        <v/>
      </c>
      <c r="Z107">
        <f>IF(AND(ISNUMBER(S107),ISNUMBER(S106)),VLOOKUP(ABS(S107-S106),'IMP Table'!$A$2:$C$26,3)*SIGN(S107-S106),"")</f>
        <v/>
      </c>
      <c r="AA107">
        <f>IF(AND(ISNUMBER(S107),ISNUMBER(S108)),VLOOKUP(ABS(S107-S108),'IMP Table'!$A$2:$C$26,3)*SIGN(S107-S108),"")</f>
        <v/>
      </c>
      <c r="AB107">
        <f>IF(AND(ISNUMBER(S107),ISNUMBER(S109)),VLOOKUP(ABS(S107-S109),'IMP Table'!$A$2:$C$26,3)*SIGN(S107-S109),"")</f>
        <v/>
      </c>
      <c r="AC107">
        <f>IF(AND(ISNUMBER(S107),ISNUMBER(S110)),VLOOKUP(ABS(S107-S110),'IMP Table'!$A$2:$C$26,3)*SIGN(S107-S110),"")</f>
        <v/>
      </c>
      <c r="AD107">
        <f>IF(AND(ISNUMBER(R107),ISNUMBER(R105)),IF(R107&gt;R105,1,IF(R107=R105,0.5,0)),0.5)</f>
        <v/>
      </c>
      <c r="AE107">
        <f>IF(AND(ISNUMBER(R107),ISNUMBER(R106)),IF(R107&gt;R106,1,IF(R107=R106,0.5,0)),0.5)</f>
        <v/>
      </c>
      <c r="AF107">
        <f>IF(AND(ISNUMBER(R107),ISNUMBER(R108)),IF(R107&gt;R108,1,IF(R107=R108,0.5,0)),0.5)</f>
        <v/>
      </c>
      <c r="AG107">
        <f>IF(AND(ISNUMBER(R107),ISNUMBER(R109)),IF(R107&gt;R109,1,IF(R107=R109,0.5,0)),0.5)</f>
        <v/>
      </c>
      <c r="AH107">
        <f>IF(AND(ISNUMBER(R107),ISNUMBER(R110)),IF(R107&gt;R110,1,IF(R107=R110,0.5,0)),0.5)</f>
        <v/>
      </c>
      <c r="AI107">
        <f>IF(AND(ISNUMBER(S107),ISNUMBER(S105)),IF(S107&gt;S105,1,IF(S107=S105,0.5,0)),0.5)</f>
        <v/>
      </c>
      <c r="AJ107">
        <f>IF(AND(ISNUMBER(S107),ISNUMBER(S106)),IF(S107&gt;S106,1,IF(S107=S106,0.5,0)),0.5)</f>
        <v/>
      </c>
      <c r="AK107">
        <f>IF(AND(ISNUMBER(S107),ISNUMBER(S108)),IF(S107&gt;S108,1,IF(S107=S108,0.5,0)),0.5)</f>
        <v/>
      </c>
      <c r="AL107">
        <f>IF(AND(ISNUMBER(S107),ISNUMBER(S109)),IF(S107&gt;S109,1,IF(S107=S109,0.5,0)),0.5)</f>
        <v/>
      </c>
      <c r="AM107">
        <f>IF(AND(ISNUMBER(S107),ISNUMBER(S110)),IF(S107&gt;S110,1,IF(S107=S110,0.5,0)),0.5)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4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5">
        <f>IFERROR(AVERAGE(T108:X108),"")</f>
        <v/>
      </c>
      <c r="M108" s="4">
        <f>IFERROR(AVERAGE(Y108:AC108),"")</f>
        <v/>
      </c>
      <c r="N108" s="5">
        <f>P108/5</f>
        <v/>
      </c>
      <c r="O108" s="5">
        <f>Q108/5</f>
        <v/>
      </c>
      <c r="P108" s="4">
        <f>IFERROR(SUM(AD108:AH108),"")</f>
        <v/>
      </c>
      <c r="Q108" s="4">
        <f>IFERROR(SUM(AI108:AM108),"")</f>
        <v/>
      </c>
      <c r="R108" s="16">
        <f>IF(ISNUMBER(J108),J108,IF(ISNUMBER(K108),-K108,""))</f>
        <v/>
      </c>
      <c r="S108">
        <f>IF(ISNUMBER(K108),K108,IF(ISNUMBER(J108),-J108,""))</f>
        <v/>
      </c>
      <c r="T108">
        <f>IF(AND(ISNUMBER(R108),ISNUMBER(R105)),VLOOKUP(ABS(R108-R105),'IMP Table'!$A$2:$C$26,3)*SIGN(R108-R105),"")</f>
        <v/>
      </c>
      <c r="U108">
        <f>IF(AND(ISNUMBER(R108),ISNUMBER(R106)),VLOOKUP(ABS(R108-R106),'IMP Table'!$A$2:$C$26,3)*SIGN(R108-R106),"")</f>
        <v/>
      </c>
      <c r="V108">
        <f>IF(AND(ISNUMBER(R108),ISNUMBER(R107)),VLOOKUP(ABS(R108-R107),'IMP Table'!$A$2:$C$26,3)*SIGN(R108-R107),"")</f>
        <v/>
      </c>
      <c r="W108">
        <f>IF(AND(ISNUMBER(R108),ISNUMBER(R109)),VLOOKUP(ABS(R108-R109),'IMP Table'!$A$2:$C$26,3)*SIGN(R108-R109),"")</f>
        <v/>
      </c>
      <c r="X108">
        <f>IF(AND(ISNUMBER(R108),ISNUMBER(R110)),VLOOKUP(ABS(R108-R110),'IMP Table'!$A$2:$C$26,3)*SIGN(R108-R110),"")</f>
        <v/>
      </c>
      <c r="Y108">
        <f>IF(AND(ISNUMBER(S108),ISNUMBER(S105)),VLOOKUP(ABS(S108-S105),'IMP Table'!$A$2:$C$26,3)*SIGN(S108-S105),"")</f>
        <v/>
      </c>
      <c r="Z108">
        <f>IF(AND(ISNUMBER(S108),ISNUMBER(S106)),VLOOKUP(ABS(S108-S106),'IMP Table'!$A$2:$C$26,3)*SIGN(S108-S106),"")</f>
        <v/>
      </c>
      <c r="AA108">
        <f>IF(AND(ISNUMBER(S108),ISNUMBER(S107)),VLOOKUP(ABS(S108-S107),'IMP Table'!$A$2:$C$26,3)*SIGN(S108-S107),"")</f>
        <v/>
      </c>
      <c r="AB108">
        <f>IF(AND(ISNUMBER(S108),ISNUMBER(S109)),VLOOKUP(ABS(S108-S109),'IMP Table'!$A$2:$C$26,3)*SIGN(S108-S109),"")</f>
        <v/>
      </c>
      <c r="AC108">
        <f>IF(AND(ISNUMBER(S108),ISNUMBER(S110)),VLOOKUP(ABS(S108-S110),'IMP Table'!$A$2:$C$26,3)*SIGN(S108-S110),"")</f>
        <v/>
      </c>
      <c r="AD108">
        <f>IF(AND(ISNUMBER(R108),ISNUMBER(R105)),IF(R108&gt;R105,1,IF(R108=R105,0.5,0)),0.5)</f>
        <v/>
      </c>
      <c r="AE108">
        <f>IF(AND(ISNUMBER(R108),ISNUMBER(R106)),IF(R108&gt;R106,1,IF(R108=R106,0.5,0)),0.5)</f>
        <v/>
      </c>
      <c r="AF108">
        <f>IF(AND(ISNUMBER(R108),ISNUMBER(R107)),IF(R108&gt;R107,1,IF(R108=R107,0.5,0)),0.5)</f>
        <v/>
      </c>
      <c r="AG108">
        <f>IF(AND(ISNUMBER(R108),ISNUMBER(R109)),IF(R108&gt;R109,1,IF(R108=R109,0.5,0)),0.5)</f>
        <v/>
      </c>
      <c r="AH108">
        <f>IF(AND(ISNUMBER(R108),ISNUMBER(R110)),IF(R108&gt;R110,1,IF(R108=R110,0.5,0)),0.5)</f>
        <v/>
      </c>
      <c r="AI108">
        <f>IF(AND(ISNUMBER(S108),ISNUMBER(S105)),IF(S108&gt;S105,1,IF(S108=S105,0.5,0)),0.5)</f>
        <v/>
      </c>
      <c r="AJ108">
        <f>IF(AND(ISNUMBER(S108),ISNUMBER(S106)),IF(S108&gt;S106,1,IF(S108=S106,0.5,0)),0.5)</f>
        <v/>
      </c>
      <c r="AK108">
        <f>IF(AND(ISNUMBER(S108),ISNUMBER(S107)),IF(S108&gt;S107,1,IF(S108=S107,0.5,0)),0.5)</f>
        <v/>
      </c>
      <c r="AL108">
        <f>IF(AND(ISNUMBER(S108),ISNUMBER(S109)),IF(S108&gt;S109,1,IF(S108=S109,0.5,0)),0.5)</f>
        <v/>
      </c>
      <c r="AM108">
        <f>IF(AND(ISNUMBER(S108),ISNUMBER(S110)),IF(S108&gt;S110,1,IF(S108=S110,0.5,0)),0.5)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4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5">
        <f>IFERROR(AVERAGE(T109:X109),"")</f>
        <v/>
      </c>
      <c r="M109" s="4">
        <f>IFERROR(AVERAGE(Y109:AC109),"")</f>
        <v/>
      </c>
      <c r="N109" s="5">
        <f>P109/5</f>
        <v/>
      </c>
      <c r="O109" s="5">
        <f>Q109/5</f>
        <v/>
      </c>
      <c r="P109" s="4">
        <f>IFERROR(SUM(AD109:AH109),"")</f>
        <v/>
      </c>
      <c r="Q109" s="4">
        <f>IFERROR(SUM(AI109:AM109),"")</f>
        <v/>
      </c>
      <c r="R109" s="16">
        <f>IF(ISNUMBER(J109),J109,IF(ISNUMBER(K109),-K109,""))</f>
        <v/>
      </c>
      <c r="S109">
        <f>IF(ISNUMBER(K109),K109,IF(ISNUMBER(J109),-J109,""))</f>
        <v/>
      </c>
      <c r="T109">
        <f>IF(AND(ISNUMBER(R109),ISNUMBER(R105)),VLOOKUP(ABS(R109-R105),'IMP Table'!$A$2:$C$26,3)*SIGN(R109-R105),"")</f>
        <v/>
      </c>
      <c r="U109">
        <f>IF(AND(ISNUMBER(R109),ISNUMBER(R106)),VLOOKUP(ABS(R109-R106),'IMP Table'!$A$2:$C$26,3)*SIGN(R109-R106),"")</f>
        <v/>
      </c>
      <c r="V109">
        <f>IF(AND(ISNUMBER(R109),ISNUMBER(R107)),VLOOKUP(ABS(R109-R107),'IMP Table'!$A$2:$C$26,3)*SIGN(R109-R107),"")</f>
        <v/>
      </c>
      <c r="W109">
        <f>IF(AND(ISNUMBER(R109),ISNUMBER(R108)),VLOOKUP(ABS(R109-R108),'IMP Table'!$A$2:$C$26,3)*SIGN(R109-R108),"")</f>
        <v/>
      </c>
      <c r="X109">
        <f>IF(AND(ISNUMBER(R109),ISNUMBER(R110)),VLOOKUP(ABS(R109-R110),'IMP Table'!$A$2:$C$26,3)*SIGN(R109-R110),"")</f>
        <v/>
      </c>
      <c r="Y109">
        <f>IF(AND(ISNUMBER(S109),ISNUMBER(S105)),VLOOKUP(ABS(S109-S105),'IMP Table'!$A$2:$C$26,3)*SIGN(S109-S105),"")</f>
        <v/>
      </c>
      <c r="Z109">
        <f>IF(AND(ISNUMBER(S109),ISNUMBER(S106)),VLOOKUP(ABS(S109-S106),'IMP Table'!$A$2:$C$26,3)*SIGN(S109-S106),"")</f>
        <v/>
      </c>
      <c r="AA109">
        <f>IF(AND(ISNUMBER(S109),ISNUMBER(S107)),VLOOKUP(ABS(S109-S107),'IMP Table'!$A$2:$C$26,3)*SIGN(S109-S107),"")</f>
        <v/>
      </c>
      <c r="AB109">
        <f>IF(AND(ISNUMBER(S109),ISNUMBER(S108)),VLOOKUP(ABS(S109-S108),'IMP Table'!$A$2:$C$26,3)*SIGN(S109-S108),"")</f>
        <v/>
      </c>
      <c r="AC109">
        <f>IF(AND(ISNUMBER(S109),ISNUMBER(S110)),VLOOKUP(ABS(S109-S110),'IMP Table'!$A$2:$C$26,3)*SIGN(S109-S110),"")</f>
        <v/>
      </c>
      <c r="AD109">
        <f>IF(AND(ISNUMBER(R109),ISNUMBER(R105)),IF(R109&gt;R105,1,IF(R109=R105,0.5,0)),0.5)</f>
        <v/>
      </c>
      <c r="AE109">
        <f>IF(AND(ISNUMBER(R109),ISNUMBER(R106)),IF(R109&gt;R106,1,IF(R109=R106,0.5,0)),0.5)</f>
        <v/>
      </c>
      <c r="AF109">
        <f>IF(AND(ISNUMBER(R109),ISNUMBER(R107)),IF(R109&gt;R107,1,IF(R109=R107,0.5,0)),0.5)</f>
        <v/>
      </c>
      <c r="AG109">
        <f>IF(AND(ISNUMBER(R109),ISNUMBER(R108)),IF(R109&gt;R108,1,IF(R109=R108,0.5,0)),0.5)</f>
        <v/>
      </c>
      <c r="AH109">
        <f>IF(AND(ISNUMBER(R109),ISNUMBER(R110)),IF(R109&gt;R110,1,IF(R109=R110,0.5,0)),0.5)</f>
        <v/>
      </c>
      <c r="AI109">
        <f>IF(AND(ISNUMBER(S109),ISNUMBER(S105)),IF(S109&gt;S105,1,IF(S109=S105,0.5,0)),0.5)</f>
        <v/>
      </c>
      <c r="AJ109">
        <f>IF(AND(ISNUMBER(S109),ISNUMBER(S106)),IF(S109&gt;S106,1,IF(S109=S106,0.5,0)),0.5)</f>
        <v/>
      </c>
      <c r="AK109">
        <f>IF(AND(ISNUMBER(S109),ISNUMBER(S107)),IF(S109&gt;S107,1,IF(S109=S107,0.5,0)),0.5)</f>
        <v/>
      </c>
      <c r="AL109">
        <f>IF(AND(ISNUMBER(S109),ISNUMBER(S108)),IF(S109&gt;S108,1,IF(S109=S108,0.5,0)),0.5)</f>
        <v/>
      </c>
      <c r="AM109">
        <f>IF(AND(ISNUMBER(S109),ISNUMBER(S110)),IF(S109&gt;S110,1,IF(S109=S110,0.5,0)),0.5)</f>
        <v/>
      </c>
    </row>
    <row r="110">
      <c r="A110" s="13" t="n"/>
      <c r="B110" s="13">
        <f>'By Round'!A123</f>
        <v/>
      </c>
      <c r="C110" s="13">
        <f>'By Round'!B133</f>
        <v/>
      </c>
      <c r="D110" s="13">
        <f>'By Round'!C133</f>
        <v/>
      </c>
      <c r="E110" s="13">
        <f>'By Round'!D133</f>
        <v/>
      </c>
      <c r="F110" s="17" t="inlineStr">
        <is>
          <t>NS</t>
        </is>
      </c>
      <c r="G110" s="13">
        <f>IF(ISBLANK('By Round'!G133),"",'By Round'!G133)</f>
        <v/>
      </c>
      <c r="H110" s="13">
        <f>IF(ISBLANK('By Round'!H133),"",'By Round'!H133)</f>
        <v/>
      </c>
      <c r="I110" s="13">
        <f>IF(ISBLANK('By Round'!I133),"",'By Round'!I133)</f>
        <v/>
      </c>
      <c r="J110" s="13">
        <f>IF(ISBLANK('By Round'!J133),"",'By Round'!J133)</f>
        <v/>
      </c>
      <c r="K110" s="13">
        <f>IF(ISBLANK('By Round'!K133),"",'By Round'!K133)</f>
        <v/>
      </c>
      <c r="L110" s="18">
        <f>IFERROR(AVERAGE(T110:X110),"")</f>
        <v/>
      </c>
      <c r="M110" s="19">
        <f>IFERROR(AVERAGE(Y110:AC110),"")</f>
        <v/>
      </c>
      <c r="N110" s="20">
        <f>P110/5</f>
        <v/>
      </c>
      <c r="O110" s="20">
        <f>Q110/5</f>
        <v/>
      </c>
      <c r="P110" s="19">
        <f>IFERROR(SUM(AD110:AH110),"")</f>
        <v/>
      </c>
      <c r="Q110" s="19">
        <f>IFERROR(SUM(AI110:AM110),"")</f>
        <v/>
      </c>
      <c r="R110" s="21">
        <f>IF(ISNUMBER(J110),J110,IF(ISNUMBER(K110),-K110,""))</f>
        <v/>
      </c>
      <c r="S110" s="13">
        <f>IF(ISNUMBER(K110),K110,IF(ISNUMBER(J110),-J110,""))</f>
        <v/>
      </c>
      <c r="T110" s="13">
        <f>IF(AND(ISNUMBER(R110),ISNUMBER(R105)),VLOOKUP(ABS(R110-R105),'IMP Table'!$A$2:$C$26,3)*SIGN(R110-R105),"")</f>
        <v/>
      </c>
      <c r="U110" s="13">
        <f>IF(AND(ISNUMBER(R110),ISNUMBER(R106)),VLOOKUP(ABS(R110-R106),'IMP Table'!$A$2:$C$26,3)*SIGN(R110-R106),"")</f>
        <v/>
      </c>
      <c r="V110" s="13">
        <f>IF(AND(ISNUMBER(R110),ISNUMBER(R107)),VLOOKUP(ABS(R110-R107),'IMP Table'!$A$2:$C$26,3)*SIGN(R110-R107),"")</f>
        <v/>
      </c>
      <c r="W110" s="13">
        <f>IF(AND(ISNUMBER(R110),ISNUMBER(R108)),VLOOKUP(ABS(R110-R108),'IMP Table'!$A$2:$C$26,3)*SIGN(R110-R108),"")</f>
        <v/>
      </c>
      <c r="X110" s="13">
        <f>IF(AND(ISNUMBER(R110),ISNUMBER(R109)),VLOOKUP(ABS(R110-R109),'IMP Table'!$A$2:$C$26,3)*SIGN(R110-R109),"")</f>
        <v/>
      </c>
      <c r="Y110" s="13">
        <f>IF(AND(ISNUMBER(S110),ISNUMBER(S105)),VLOOKUP(ABS(S110-S105),'IMP Table'!$A$2:$C$26,3)*SIGN(S110-S105),"")</f>
        <v/>
      </c>
      <c r="Z110" s="13">
        <f>IF(AND(ISNUMBER(S110),ISNUMBER(S106)),VLOOKUP(ABS(S110-S106),'IMP Table'!$A$2:$C$26,3)*SIGN(S110-S106),"")</f>
        <v/>
      </c>
      <c r="AA110" s="13">
        <f>IF(AND(ISNUMBER(S110),ISNUMBER(S107)),VLOOKUP(ABS(S110-S107),'IMP Table'!$A$2:$C$26,3)*SIGN(S110-S107),"")</f>
        <v/>
      </c>
      <c r="AB110" s="13">
        <f>IF(AND(ISNUMBER(S110),ISNUMBER(S108)),VLOOKUP(ABS(S110-S108),'IMP Table'!$A$2:$C$26,3)*SIGN(S110-S108),"")</f>
        <v/>
      </c>
      <c r="AC110" s="13">
        <f>IF(AND(ISNUMBER(S110),ISNUMBER(S109)),VLOOKUP(ABS(S110-S109),'IMP Table'!$A$2:$C$26,3)*SIGN(S110-S109),"")</f>
        <v/>
      </c>
      <c r="AD110" s="13">
        <f>IF(AND(ISNUMBER(R110),ISNUMBER(R105)),IF(R110&gt;R105,1,IF(R110=R105,0.5,0)),0.5)</f>
        <v/>
      </c>
      <c r="AE110" s="13">
        <f>IF(AND(ISNUMBER(R110),ISNUMBER(R106)),IF(R110&gt;R106,1,IF(R110=R106,0.5,0)),0.5)</f>
        <v/>
      </c>
      <c r="AF110" s="13">
        <f>IF(AND(ISNUMBER(R110),ISNUMBER(R107)),IF(R110&gt;R107,1,IF(R110=R107,0.5,0)),0.5)</f>
        <v/>
      </c>
      <c r="AG110" s="13">
        <f>IF(AND(ISNUMBER(R110),ISNUMBER(R108)),IF(R110&gt;R108,1,IF(R110=R108,0.5,0)),0.5)</f>
        <v/>
      </c>
      <c r="AH110" s="13">
        <f>IF(AND(ISNUMBER(R110),ISNUMBER(R109)),IF(R110&gt;R109,1,IF(R110=R109,0.5,0)),0.5)</f>
        <v/>
      </c>
      <c r="AI110" s="13">
        <f>IF(AND(ISNUMBER(S110),ISNUMBER(S105)),IF(S110&gt;S105,1,IF(S110=S105,0.5,0)),0.5)</f>
        <v/>
      </c>
      <c r="AJ110" s="13">
        <f>IF(AND(ISNUMBER(S110),ISNUMBER(S106)),IF(S110&gt;S106,1,IF(S110=S106,0.5,0)),0.5)</f>
        <v/>
      </c>
      <c r="AK110" s="13">
        <f>IF(AND(ISNUMBER(S110),ISNUMBER(S107)),IF(S110&gt;S107,1,IF(S110=S107,0.5,0)),0.5)</f>
        <v/>
      </c>
      <c r="AL110" s="13">
        <f>IF(AND(ISNUMBER(S110),ISNUMBER(S108)),IF(S110&gt;S108,1,IF(S110=S108,0.5,0)),0.5)</f>
        <v/>
      </c>
      <c r="AM110" s="13">
        <f>IF(AND(ISNUMBER(S110),ISNUMBER(S109)),IF(S110&gt;S109,1,IF(S110=S109,0.5,0)),0.5)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4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5">
        <f>IFERROR(AVERAGE(T111:X111),"")</f>
        <v/>
      </c>
      <c r="M111" s="4">
        <f>IFERROR(AVERAGE(Y111:AC111),"")</f>
        <v/>
      </c>
      <c r="N111" s="5">
        <f>P111/5</f>
        <v/>
      </c>
      <c r="O111" s="5">
        <f>Q111/5</f>
        <v/>
      </c>
      <c r="P111" s="4">
        <f>IFERROR(SUM(AD111:AH111),"")</f>
        <v/>
      </c>
      <c r="Q111" s="4">
        <f>IFERROR(SUM(AI111:AM111),"")</f>
        <v/>
      </c>
      <c r="R111" s="16">
        <f>IF(ISNUMBER(J111),J111,IF(ISNUMBER(K111),-K111,""))</f>
        <v/>
      </c>
      <c r="S111">
        <f>IF(ISNUMBER(K111),K111,IF(ISNUMBER(J111),-J111,""))</f>
        <v/>
      </c>
      <c r="T111">
        <f>IF(AND(ISNUMBER(R111),ISNUMBER(R112)),VLOOKUP(ABS(R111-R112),'IMP Table'!$A$2:$C$26,3)*SIGN(R111-R112),"")</f>
        <v/>
      </c>
      <c r="U111">
        <f>IF(AND(ISNUMBER(R111),ISNUMBER(R113)),VLOOKUP(ABS(R111-R113),'IMP Table'!$A$2:$C$26,3)*SIGN(R111-R113),"")</f>
        <v/>
      </c>
      <c r="V111">
        <f>IF(AND(ISNUMBER(R111),ISNUMBER(R114)),VLOOKUP(ABS(R111-R114),'IMP Table'!$A$2:$C$26,3)*SIGN(R111-R114),"")</f>
        <v/>
      </c>
      <c r="W111">
        <f>IF(AND(ISNUMBER(R111),ISNUMBER(R115)),VLOOKUP(ABS(R111-R115),'IMP Table'!$A$2:$C$26,3)*SIGN(R111-R115),"")</f>
        <v/>
      </c>
      <c r="X111">
        <f>IF(AND(ISNUMBER(R111),ISNUMBER(R116)),VLOOKUP(ABS(R111-R116),'IMP Table'!$A$2:$C$26,3)*SIGN(R111-R116),"")</f>
        <v/>
      </c>
      <c r="Y111">
        <f>IF(AND(ISNUMBER(S111),ISNUMBER(S112)),VLOOKUP(ABS(S111-S112),'IMP Table'!$A$2:$C$26,3)*SIGN(S111-S112),"")</f>
        <v/>
      </c>
      <c r="Z111">
        <f>IF(AND(ISNUMBER(S111),ISNUMBER(S113)),VLOOKUP(ABS(S111-S113),'IMP Table'!$A$2:$C$26,3)*SIGN(S111-S113),"")</f>
        <v/>
      </c>
      <c r="AA111">
        <f>IF(AND(ISNUMBER(S111),ISNUMBER(S114)),VLOOKUP(ABS(S111-S114),'IMP Table'!$A$2:$C$26,3)*SIGN(S111-S114),"")</f>
        <v/>
      </c>
      <c r="AB111">
        <f>IF(AND(ISNUMBER(S111),ISNUMBER(S115)),VLOOKUP(ABS(S111-S115),'IMP Table'!$A$2:$C$26,3)*SIGN(S111-S115),"")</f>
        <v/>
      </c>
      <c r="AC111">
        <f>IF(AND(ISNUMBER(S111),ISNUMBER(S116)),VLOOKUP(ABS(S111-S116),'IMP Table'!$A$2:$C$26,3)*SIGN(S111-S116),"")</f>
        <v/>
      </c>
      <c r="AD111">
        <f>IF(AND(ISNUMBER(R111),ISNUMBER(R112)),IF(R111&gt;R112,1,IF(R111=R112,0.5,0)),0.5)</f>
        <v/>
      </c>
      <c r="AE111">
        <f>IF(AND(ISNUMBER(R111),ISNUMBER(R113)),IF(R111&gt;R113,1,IF(R111=R113,0.5,0)),0.5)</f>
        <v/>
      </c>
      <c r="AF111">
        <f>IF(AND(ISNUMBER(R111),ISNUMBER(R114)),IF(R111&gt;R114,1,IF(R111=R114,0.5,0)),0.5)</f>
        <v/>
      </c>
      <c r="AG111">
        <f>IF(AND(ISNUMBER(R111),ISNUMBER(R115)),IF(R111&gt;R115,1,IF(R111=R115,0.5,0)),0.5)</f>
        <v/>
      </c>
      <c r="AH111">
        <f>IF(AND(ISNUMBER(R111),ISNUMBER(R116)),IF(R111&gt;R116,1,IF(R111=R116,0.5,0)),0.5)</f>
        <v/>
      </c>
      <c r="AI111">
        <f>IF(AND(ISNUMBER(S111),ISNUMBER(S112)),IF(S111&gt;S112,1,IF(S111=S112,0.5,0)),0.5)</f>
        <v/>
      </c>
      <c r="AJ111">
        <f>IF(AND(ISNUMBER(S111),ISNUMBER(S113)),IF(S111&gt;S113,1,IF(S111=S113,0.5,0)),0.5)</f>
        <v/>
      </c>
      <c r="AK111">
        <f>IF(AND(ISNUMBER(S111),ISNUMBER(S114)),IF(S111&gt;S114,1,IF(S111=S114,0.5,0)),0.5)</f>
        <v/>
      </c>
      <c r="AL111">
        <f>IF(AND(ISNUMBER(S111),ISNUMBER(S115)),IF(S111&gt;S115,1,IF(S111=S115,0.5,0)),0.5)</f>
        <v/>
      </c>
      <c r="AM111">
        <f>IF(AND(ISNUMBER(S111),ISNUMBER(S116)),IF(S111&gt;S116,1,IF(S111=S116,0.5,0)),0.5)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4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5">
        <f>IFERROR(AVERAGE(T112:X112),"")</f>
        <v/>
      </c>
      <c r="M112" s="4">
        <f>IFERROR(AVERAGE(Y112:AC112),"")</f>
        <v/>
      </c>
      <c r="N112" s="5">
        <f>P112/5</f>
        <v/>
      </c>
      <c r="O112" s="5">
        <f>Q112/5</f>
        <v/>
      </c>
      <c r="P112" s="4">
        <f>IFERROR(SUM(AD112:AH112),"")</f>
        <v/>
      </c>
      <c r="Q112" s="4">
        <f>IFERROR(SUM(AI112:AM112),"")</f>
        <v/>
      </c>
      <c r="R112" s="16">
        <f>IF(ISNUMBER(J112),J112,IF(ISNUMBER(K112),-K112,""))</f>
        <v/>
      </c>
      <c r="S112">
        <f>IF(ISNUMBER(K112),K112,IF(ISNUMBER(J112),-J112,""))</f>
        <v/>
      </c>
      <c r="T112">
        <f>IF(AND(ISNUMBER(R112),ISNUMBER(R111)),VLOOKUP(ABS(R112-R111),'IMP Table'!$A$2:$C$26,3)*SIGN(R112-R111),"")</f>
        <v/>
      </c>
      <c r="U112">
        <f>IF(AND(ISNUMBER(R112),ISNUMBER(R113)),VLOOKUP(ABS(R112-R113),'IMP Table'!$A$2:$C$26,3)*SIGN(R112-R113),"")</f>
        <v/>
      </c>
      <c r="V112">
        <f>IF(AND(ISNUMBER(R112),ISNUMBER(R114)),VLOOKUP(ABS(R112-R114),'IMP Table'!$A$2:$C$26,3)*SIGN(R112-R114),"")</f>
        <v/>
      </c>
      <c r="W112">
        <f>IF(AND(ISNUMBER(R112),ISNUMBER(R115)),VLOOKUP(ABS(R112-R115),'IMP Table'!$A$2:$C$26,3)*SIGN(R112-R115),"")</f>
        <v/>
      </c>
      <c r="X112">
        <f>IF(AND(ISNUMBER(R112),ISNUMBER(R116)),VLOOKUP(ABS(R112-R116),'IMP Table'!$A$2:$C$26,3)*SIGN(R112-R116),"")</f>
        <v/>
      </c>
      <c r="Y112">
        <f>IF(AND(ISNUMBER(S112),ISNUMBER(S111)),VLOOKUP(ABS(S112-S111),'IMP Table'!$A$2:$C$26,3)*SIGN(S112-S111),"")</f>
        <v/>
      </c>
      <c r="Z112">
        <f>IF(AND(ISNUMBER(S112),ISNUMBER(S113)),VLOOKUP(ABS(S112-S113),'IMP Table'!$A$2:$C$26,3)*SIGN(S112-S113),"")</f>
        <v/>
      </c>
      <c r="AA112">
        <f>IF(AND(ISNUMBER(S112),ISNUMBER(S114)),VLOOKUP(ABS(S112-S114),'IMP Table'!$A$2:$C$26,3)*SIGN(S112-S114),"")</f>
        <v/>
      </c>
      <c r="AB112">
        <f>IF(AND(ISNUMBER(S112),ISNUMBER(S115)),VLOOKUP(ABS(S112-S115),'IMP Table'!$A$2:$C$26,3)*SIGN(S112-S115),"")</f>
        <v/>
      </c>
      <c r="AC112">
        <f>IF(AND(ISNUMBER(S112),ISNUMBER(S116)),VLOOKUP(ABS(S112-S116),'IMP Table'!$A$2:$C$26,3)*SIGN(S112-S116),"")</f>
        <v/>
      </c>
      <c r="AD112">
        <f>IF(AND(ISNUMBER(R112),ISNUMBER(R111)),IF(R112&gt;R111,1,IF(R112=R111,0.5,0)),0.5)</f>
        <v/>
      </c>
      <c r="AE112">
        <f>IF(AND(ISNUMBER(R112),ISNUMBER(R113)),IF(R112&gt;R113,1,IF(R112=R113,0.5,0)),0.5)</f>
        <v/>
      </c>
      <c r="AF112">
        <f>IF(AND(ISNUMBER(R112),ISNUMBER(R114)),IF(R112&gt;R114,1,IF(R112=R114,0.5,0)),0.5)</f>
        <v/>
      </c>
      <c r="AG112">
        <f>IF(AND(ISNUMBER(R112),ISNUMBER(R115)),IF(R112&gt;R115,1,IF(R112=R115,0.5,0)),0.5)</f>
        <v/>
      </c>
      <c r="AH112">
        <f>IF(AND(ISNUMBER(R112),ISNUMBER(R116)),IF(R112&gt;R116,1,IF(R112=R116,0.5,0)),0.5)</f>
        <v/>
      </c>
      <c r="AI112">
        <f>IF(AND(ISNUMBER(S112),ISNUMBER(S111)),IF(S112&gt;S111,1,IF(S112=S111,0.5,0)),0.5)</f>
        <v/>
      </c>
      <c r="AJ112">
        <f>IF(AND(ISNUMBER(S112),ISNUMBER(S113)),IF(S112&gt;S113,1,IF(S112=S113,0.5,0)),0.5)</f>
        <v/>
      </c>
      <c r="AK112">
        <f>IF(AND(ISNUMBER(S112),ISNUMBER(S114)),IF(S112&gt;S114,1,IF(S112=S114,0.5,0)),0.5)</f>
        <v/>
      </c>
      <c r="AL112">
        <f>IF(AND(ISNUMBER(S112),ISNUMBER(S115)),IF(S112&gt;S115,1,IF(S112=S115,0.5,0)),0.5)</f>
        <v/>
      </c>
      <c r="AM112">
        <f>IF(AND(ISNUMBER(S112),ISNUMBER(S116)),IF(S112&gt;S116,1,IF(S112=S116,0.5,0)),0.5)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4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5">
        <f>IFERROR(AVERAGE(T113:X113),"")</f>
        <v/>
      </c>
      <c r="M113" s="4">
        <f>IFERROR(AVERAGE(Y113:AC113),"")</f>
        <v/>
      </c>
      <c r="N113" s="5">
        <f>P113/5</f>
        <v/>
      </c>
      <c r="O113" s="5">
        <f>Q113/5</f>
        <v/>
      </c>
      <c r="P113" s="4">
        <f>IFERROR(SUM(AD113:AH113),"")</f>
        <v/>
      </c>
      <c r="Q113" s="4">
        <f>IFERROR(SUM(AI113:AM113),"")</f>
        <v/>
      </c>
      <c r="R113" s="16">
        <f>IF(ISNUMBER(J113),J113,IF(ISNUMBER(K113),-K113,""))</f>
        <v/>
      </c>
      <c r="S113">
        <f>IF(ISNUMBER(K113),K113,IF(ISNUMBER(J113),-J113,""))</f>
        <v/>
      </c>
      <c r="T113">
        <f>IF(AND(ISNUMBER(R113),ISNUMBER(R111)),VLOOKUP(ABS(R113-R111),'IMP Table'!$A$2:$C$26,3)*SIGN(R113-R111),"")</f>
        <v/>
      </c>
      <c r="U113">
        <f>IF(AND(ISNUMBER(R113),ISNUMBER(R112)),VLOOKUP(ABS(R113-R112),'IMP Table'!$A$2:$C$26,3)*SIGN(R113-R112),"")</f>
        <v/>
      </c>
      <c r="V113">
        <f>IF(AND(ISNUMBER(R113),ISNUMBER(R114)),VLOOKUP(ABS(R113-R114),'IMP Table'!$A$2:$C$26,3)*SIGN(R113-R114),"")</f>
        <v/>
      </c>
      <c r="W113">
        <f>IF(AND(ISNUMBER(R113),ISNUMBER(R115)),VLOOKUP(ABS(R113-R115),'IMP Table'!$A$2:$C$26,3)*SIGN(R113-R115),"")</f>
        <v/>
      </c>
      <c r="X113">
        <f>IF(AND(ISNUMBER(R113),ISNUMBER(R116)),VLOOKUP(ABS(R113-R116),'IMP Table'!$A$2:$C$26,3)*SIGN(R113-R116),"")</f>
        <v/>
      </c>
      <c r="Y113">
        <f>IF(AND(ISNUMBER(S113),ISNUMBER(S111)),VLOOKUP(ABS(S113-S111),'IMP Table'!$A$2:$C$26,3)*SIGN(S113-S111),"")</f>
        <v/>
      </c>
      <c r="Z113">
        <f>IF(AND(ISNUMBER(S113),ISNUMBER(S112)),VLOOKUP(ABS(S113-S112),'IMP Table'!$A$2:$C$26,3)*SIGN(S113-S112),"")</f>
        <v/>
      </c>
      <c r="AA113">
        <f>IF(AND(ISNUMBER(S113),ISNUMBER(S114)),VLOOKUP(ABS(S113-S114),'IMP Table'!$A$2:$C$26,3)*SIGN(S113-S114),"")</f>
        <v/>
      </c>
      <c r="AB113">
        <f>IF(AND(ISNUMBER(S113),ISNUMBER(S115)),VLOOKUP(ABS(S113-S115),'IMP Table'!$A$2:$C$26,3)*SIGN(S113-S115),"")</f>
        <v/>
      </c>
      <c r="AC113">
        <f>IF(AND(ISNUMBER(S113),ISNUMBER(S116)),VLOOKUP(ABS(S113-S116),'IMP Table'!$A$2:$C$26,3)*SIGN(S113-S116),"")</f>
        <v/>
      </c>
      <c r="AD113">
        <f>IF(AND(ISNUMBER(R113),ISNUMBER(R111)),IF(R113&gt;R111,1,IF(R113=R111,0.5,0)),0.5)</f>
        <v/>
      </c>
      <c r="AE113">
        <f>IF(AND(ISNUMBER(R113),ISNUMBER(R112)),IF(R113&gt;R112,1,IF(R113=R112,0.5,0)),0.5)</f>
        <v/>
      </c>
      <c r="AF113">
        <f>IF(AND(ISNUMBER(R113),ISNUMBER(R114)),IF(R113&gt;R114,1,IF(R113=R114,0.5,0)),0.5)</f>
        <v/>
      </c>
      <c r="AG113">
        <f>IF(AND(ISNUMBER(R113),ISNUMBER(R115)),IF(R113&gt;R115,1,IF(R113=R115,0.5,0)),0.5)</f>
        <v/>
      </c>
      <c r="AH113">
        <f>IF(AND(ISNUMBER(R113),ISNUMBER(R116)),IF(R113&gt;R116,1,IF(R113=R116,0.5,0)),0.5)</f>
        <v/>
      </c>
      <c r="AI113">
        <f>IF(AND(ISNUMBER(S113),ISNUMBER(S111)),IF(S113&gt;S111,1,IF(S113=S111,0.5,0)),0.5)</f>
        <v/>
      </c>
      <c r="AJ113">
        <f>IF(AND(ISNUMBER(S113),ISNUMBER(S112)),IF(S113&gt;S112,1,IF(S113=S112,0.5,0)),0.5)</f>
        <v/>
      </c>
      <c r="AK113">
        <f>IF(AND(ISNUMBER(S113),ISNUMBER(S114)),IF(S113&gt;S114,1,IF(S113=S114,0.5,0)),0.5)</f>
        <v/>
      </c>
      <c r="AL113">
        <f>IF(AND(ISNUMBER(S113),ISNUMBER(S115)),IF(S113&gt;S115,1,IF(S113=S115,0.5,0)),0.5)</f>
        <v/>
      </c>
      <c r="AM113">
        <f>IF(AND(ISNUMBER(S113),ISNUMBER(S116)),IF(S113&gt;S116,1,IF(S113=S116,0.5,0)),0.5)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4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5">
        <f>IFERROR(AVERAGE(T114:X114),"")</f>
        <v/>
      </c>
      <c r="M114" s="4">
        <f>IFERROR(AVERAGE(Y114:AC114),"")</f>
        <v/>
      </c>
      <c r="N114" s="5">
        <f>P114/5</f>
        <v/>
      </c>
      <c r="O114" s="5">
        <f>Q114/5</f>
        <v/>
      </c>
      <c r="P114" s="4">
        <f>IFERROR(SUM(AD114:AH114),"")</f>
        <v/>
      </c>
      <c r="Q114" s="4">
        <f>IFERROR(SUM(AI114:AM114),"")</f>
        <v/>
      </c>
      <c r="R114" s="16">
        <f>IF(ISNUMBER(J114),J114,IF(ISNUMBER(K114),-K114,""))</f>
        <v/>
      </c>
      <c r="S114">
        <f>IF(ISNUMBER(K114),K114,IF(ISNUMBER(J114),-J114,""))</f>
        <v/>
      </c>
      <c r="T114">
        <f>IF(AND(ISNUMBER(R114),ISNUMBER(R111)),VLOOKUP(ABS(R114-R111),'IMP Table'!$A$2:$C$26,3)*SIGN(R114-R111),"")</f>
        <v/>
      </c>
      <c r="U114">
        <f>IF(AND(ISNUMBER(R114),ISNUMBER(R112)),VLOOKUP(ABS(R114-R112),'IMP Table'!$A$2:$C$26,3)*SIGN(R114-R112),"")</f>
        <v/>
      </c>
      <c r="V114">
        <f>IF(AND(ISNUMBER(R114),ISNUMBER(R113)),VLOOKUP(ABS(R114-R113),'IMP Table'!$A$2:$C$26,3)*SIGN(R114-R113),"")</f>
        <v/>
      </c>
      <c r="W114">
        <f>IF(AND(ISNUMBER(R114),ISNUMBER(R115)),VLOOKUP(ABS(R114-R115),'IMP Table'!$A$2:$C$26,3)*SIGN(R114-R115),"")</f>
        <v/>
      </c>
      <c r="X114">
        <f>IF(AND(ISNUMBER(R114),ISNUMBER(R116)),VLOOKUP(ABS(R114-R116),'IMP Table'!$A$2:$C$26,3)*SIGN(R114-R116),"")</f>
        <v/>
      </c>
      <c r="Y114">
        <f>IF(AND(ISNUMBER(S114),ISNUMBER(S111)),VLOOKUP(ABS(S114-S111),'IMP Table'!$A$2:$C$26,3)*SIGN(S114-S111),"")</f>
        <v/>
      </c>
      <c r="Z114">
        <f>IF(AND(ISNUMBER(S114),ISNUMBER(S112)),VLOOKUP(ABS(S114-S112),'IMP Table'!$A$2:$C$26,3)*SIGN(S114-S112),"")</f>
        <v/>
      </c>
      <c r="AA114">
        <f>IF(AND(ISNUMBER(S114),ISNUMBER(S113)),VLOOKUP(ABS(S114-S113),'IMP Table'!$A$2:$C$26,3)*SIGN(S114-S113),"")</f>
        <v/>
      </c>
      <c r="AB114">
        <f>IF(AND(ISNUMBER(S114),ISNUMBER(S115)),VLOOKUP(ABS(S114-S115),'IMP Table'!$A$2:$C$26,3)*SIGN(S114-S115),"")</f>
        <v/>
      </c>
      <c r="AC114">
        <f>IF(AND(ISNUMBER(S114),ISNUMBER(S116)),VLOOKUP(ABS(S114-S116),'IMP Table'!$A$2:$C$26,3)*SIGN(S114-S116),"")</f>
        <v/>
      </c>
      <c r="AD114">
        <f>IF(AND(ISNUMBER(R114),ISNUMBER(R111)),IF(R114&gt;R111,1,IF(R114=R111,0.5,0)),0.5)</f>
        <v/>
      </c>
      <c r="AE114">
        <f>IF(AND(ISNUMBER(R114),ISNUMBER(R112)),IF(R114&gt;R112,1,IF(R114=R112,0.5,0)),0.5)</f>
        <v/>
      </c>
      <c r="AF114">
        <f>IF(AND(ISNUMBER(R114),ISNUMBER(R113)),IF(R114&gt;R113,1,IF(R114=R113,0.5,0)),0.5)</f>
        <v/>
      </c>
      <c r="AG114">
        <f>IF(AND(ISNUMBER(R114),ISNUMBER(R115)),IF(R114&gt;R115,1,IF(R114=R115,0.5,0)),0.5)</f>
        <v/>
      </c>
      <c r="AH114">
        <f>IF(AND(ISNUMBER(R114),ISNUMBER(R116)),IF(R114&gt;R116,1,IF(R114=R116,0.5,0)),0.5)</f>
        <v/>
      </c>
      <c r="AI114">
        <f>IF(AND(ISNUMBER(S114),ISNUMBER(S111)),IF(S114&gt;S111,1,IF(S114=S111,0.5,0)),0.5)</f>
        <v/>
      </c>
      <c r="AJ114">
        <f>IF(AND(ISNUMBER(S114),ISNUMBER(S112)),IF(S114&gt;S112,1,IF(S114=S112,0.5,0)),0.5)</f>
        <v/>
      </c>
      <c r="AK114">
        <f>IF(AND(ISNUMBER(S114),ISNUMBER(S113)),IF(S114&gt;S113,1,IF(S114=S113,0.5,0)),0.5)</f>
        <v/>
      </c>
      <c r="AL114">
        <f>IF(AND(ISNUMBER(S114),ISNUMBER(S115)),IF(S114&gt;S115,1,IF(S114=S115,0.5,0)),0.5)</f>
        <v/>
      </c>
      <c r="AM114">
        <f>IF(AND(ISNUMBER(S114),ISNUMBER(S116)),IF(S114&gt;S116,1,IF(S114=S116,0.5,0)),0.5)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4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5">
        <f>IFERROR(AVERAGE(T115:X115),"")</f>
        <v/>
      </c>
      <c r="M115" s="4">
        <f>IFERROR(AVERAGE(Y115:AC115),"")</f>
        <v/>
      </c>
      <c r="N115" s="5">
        <f>P115/5</f>
        <v/>
      </c>
      <c r="O115" s="5">
        <f>Q115/5</f>
        <v/>
      </c>
      <c r="P115" s="4">
        <f>IFERROR(SUM(AD115:AH115),"")</f>
        <v/>
      </c>
      <c r="Q115" s="4">
        <f>IFERROR(SUM(AI115:AM115),"")</f>
        <v/>
      </c>
      <c r="R115" s="16">
        <f>IF(ISNUMBER(J115),J115,IF(ISNUMBER(K115),-K115,""))</f>
        <v/>
      </c>
      <c r="S115">
        <f>IF(ISNUMBER(K115),K115,IF(ISNUMBER(J115),-J115,""))</f>
        <v/>
      </c>
      <c r="T115">
        <f>IF(AND(ISNUMBER(R115),ISNUMBER(R111)),VLOOKUP(ABS(R115-R111),'IMP Table'!$A$2:$C$26,3)*SIGN(R115-R111),"")</f>
        <v/>
      </c>
      <c r="U115">
        <f>IF(AND(ISNUMBER(R115),ISNUMBER(R112)),VLOOKUP(ABS(R115-R112),'IMP Table'!$A$2:$C$26,3)*SIGN(R115-R112),"")</f>
        <v/>
      </c>
      <c r="V115">
        <f>IF(AND(ISNUMBER(R115),ISNUMBER(R113)),VLOOKUP(ABS(R115-R113),'IMP Table'!$A$2:$C$26,3)*SIGN(R115-R113),"")</f>
        <v/>
      </c>
      <c r="W115">
        <f>IF(AND(ISNUMBER(R115),ISNUMBER(R114)),VLOOKUP(ABS(R115-R114),'IMP Table'!$A$2:$C$26,3)*SIGN(R115-R114),"")</f>
        <v/>
      </c>
      <c r="X115">
        <f>IF(AND(ISNUMBER(R115),ISNUMBER(R116)),VLOOKUP(ABS(R115-R116),'IMP Table'!$A$2:$C$26,3)*SIGN(R115-R116),"")</f>
        <v/>
      </c>
      <c r="Y115">
        <f>IF(AND(ISNUMBER(S115),ISNUMBER(S111)),VLOOKUP(ABS(S115-S111),'IMP Table'!$A$2:$C$26,3)*SIGN(S115-S111),"")</f>
        <v/>
      </c>
      <c r="Z115">
        <f>IF(AND(ISNUMBER(S115),ISNUMBER(S112)),VLOOKUP(ABS(S115-S112),'IMP Table'!$A$2:$C$26,3)*SIGN(S115-S112),"")</f>
        <v/>
      </c>
      <c r="AA115">
        <f>IF(AND(ISNUMBER(S115),ISNUMBER(S113)),VLOOKUP(ABS(S115-S113),'IMP Table'!$A$2:$C$26,3)*SIGN(S115-S113),"")</f>
        <v/>
      </c>
      <c r="AB115">
        <f>IF(AND(ISNUMBER(S115),ISNUMBER(S114)),VLOOKUP(ABS(S115-S114),'IMP Table'!$A$2:$C$26,3)*SIGN(S115-S114),"")</f>
        <v/>
      </c>
      <c r="AC115">
        <f>IF(AND(ISNUMBER(S115),ISNUMBER(S116)),VLOOKUP(ABS(S115-S116),'IMP Table'!$A$2:$C$26,3)*SIGN(S115-S116),"")</f>
        <v/>
      </c>
      <c r="AD115">
        <f>IF(AND(ISNUMBER(R115),ISNUMBER(R111)),IF(R115&gt;R111,1,IF(R115=R111,0.5,0)),0.5)</f>
        <v/>
      </c>
      <c r="AE115">
        <f>IF(AND(ISNUMBER(R115),ISNUMBER(R112)),IF(R115&gt;R112,1,IF(R115=R112,0.5,0)),0.5)</f>
        <v/>
      </c>
      <c r="AF115">
        <f>IF(AND(ISNUMBER(R115),ISNUMBER(R113)),IF(R115&gt;R113,1,IF(R115=R113,0.5,0)),0.5)</f>
        <v/>
      </c>
      <c r="AG115">
        <f>IF(AND(ISNUMBER(R115),ISNUMBER(R114)),IF(R115&gt;R114,1,IF(R115=R114,0.5,0)),0.5)</f>
        <v/>
      </c>
      <c r="AH115">
        <f>IF(AND(ISNUMBER(R115),ISNUMBER(R116)),IF(R115&gt;R116,1,IF(R115=R116,0.5,0)),0.5)</f>
        <v/>
      </c>
      <c r="AI115">
        <f>IF(AND(ISNUMBER(S115),ISNUMBER(S111)),IF(S115&gt;S111,1,IF(S115=S111,0.5,0)),0.5)</f>
        <v/>
      </c>
      <c r="AJ115">
        <f>IF(AND(ISNUMBER(S115),ISNUMBER(S112)),IF(S115&gt;S112,1,IF(S115=S112,0.5,0)),0.5)</f>
        <v/>
      </c>
      <c r="AK115">
        <f>IF(AND(ISNUMBER(S115),ISNUMBER(S113)),IF(S115&gt;S113,1,IF(S115=S113,0.5,0)),0.5)</f>
        <v/>
      </c>
      <c r="AL115">
        <f>IF(AND(ISNUMBER(S115),ISNUMBER(S114)),IF(S115&gt;S114,1,IF(S115=S114,0.5,0)),0.5)</f>
        <v/>
      </c>
      <c r="AM115">
        <f>IF(AND(ISNUMBER(S115),ISNUMBER(S116)),IF(S115&gt;S116,1,IF(S115=S116,0.5,0)),0.5)</f>
        <v/>
      </c>
    </row>
    <row r="116">
      <c r="A116" s="13" t="n"/>
      <c r="B116" s="13">
        <f>'By Round'!A111</f>
        <v/>
      </c>
      <c r="C116" s="13">
        <f>'By Round'!B111</f>
        <v/>
      </c>
      <c r="D116" s="13">
        <f>'By Round'!C111</f>
        <v/>
      </c>
      <c r="E116" s="13">
        <f>'By Round'!D111</f>
        <v/>
      </c>
      <c r="F116" s="17" t="inlineStr">
        <is>
          <t>EW</t>
        </is>
      </c>
      <c r="G116" s="13">
        <f>IF(ISBLANK('By Round'!G111),"",'By Round'!G111)</f>
        <v/>
      </c>
      <c r="H116" s="13">
        <f>IF(ISBLANK('By Round'!H111),"",'By Round'!H111)</f>
        <v/>
      </c>
      <c r="I116" s="13">
        <f>IF(ISBLANK('By Round'!I111),"",'By Round'!I111)</f>
        <v/>
      </c>
      <c r="J116" s="13">
        <f>IF(ISBLANK('By Round'!J111),"",'By Round'!J111)</f>
        <v/>
      </c>
      <c r="K116" s="13">
        <f>IF(ISBLANK('By Round'!K111),"",'By Round'!K111)</f>
        <v/>
      </c>
      <c r="L116" s="18">
        <f>IFERROR(AVERAGE(T116:X116),"")</f>
        <v/>
      </c>
      <c r="M116" s="19">
        <f>IFERROR(AVERAGE(Y116:AC116),"")</f>
        <v/>
      </c>
      <c r="N116" s="20">
        <f>P116/5</f>
        <v/>
      </c>
      <c r="O116" s="20">
        <f>Q116/5</f>
        <v/>
      </c>
      <c r="P116" s="19">
        <f>IFERROR(SUM(AD116:AH116),"")</f>
        <v/>
      </c>
      <c r="Q116" s="19">
        <f>IFERROR(SUM(AI116:AM116),"")</f>
        <v/>
      </c>
      <c r="R116" s="21">
        <f>IF(ISNUMBER(J116),J116,IF(ISNUMBER(K116),-K116,""))</f>
        <v/>
      </c>
      <c r="S116" s="13">
        <f>IF(ISNUMBER(K116),K116,IF(ISNUMBER(J116),-J116,""))</f>
        <v/>
      </c>
      <c r="T116" s="13">
        <f>IF(AND(ISNUMBER(R116),ISNUMBER(R111)),VLOOKUP(ABS(R116-R111),'IMP Table'!$A$2:$C$26,3)*SIGN(R116-R111),"")</f>
        <v/>
      </c>
      <c r="U116" s="13">
        <f>IF(AND(ISNUMBER(R116),ISNUMBER(R112)),VLOOKUP(ABS(R116-R112),'IMP Table'!$A$2:$C$26,3)*SIGN(R116-R112),"")</f>
        <v/>
      </c>
      <c r="V116" s="13">
        <f>IF(AND(ISNUMBER(R116),ISNUMBER(R113)),VLOOKUP(ABS(R116-R113),'IMP Table'!$A$2:$C$26,3)*SIGN(R116-R113),"")</f>
        <v/>
      </c>
      <c r="W116" s="13">
        <f>IF(AND(ISNUMBER(R116),ISNUMBER(R114)),VLOOKUP(ABS(R116-R114),'IMP Table'!$A$2:$C$26,3)*SIGN(R116-R114),"")</f>
        <v/>
      </c>
      <c r="X116" s="13">
        <f>IF(AND(ISNUMBER(R116),ISNUMBER(R115)),VLOOKUP(ABS(R116-R115),'IMP Table'!$A$2:$C$26,3)*SIGN(R116-R115),"")</f>
        <v/>
      </c>
      <c r="Y116" s="13">
        <f>IF(AND(ISNUMBER(S116),ISNUMBER(S111)),VLOOKUP(ABS(S116-S111),'IMP Table'!$A$2:$C$26,3)*SIGN(S116-S111),"")</f>
        <v/>
      </c>
      <c r="Z116" s="13">
        <f>IF(AND(ISNUMBER(S116),ISNUMBER(S112)),VLOOKUP(ABS(S116-S112),'IMP Table'!$A$2:$C$26,3)*SIGN(S116-S112),"")</f>
        <v/>
      </c>
      <c r="AA116" s="13">
        <f>IF(AND(ISNUMBER(S116),ISNUMBER(S113)),VLOOKUP(ABS(S116-S113),'IMP Table'!$A$2:$C$26,3)*SIGN(S116-S113),"")</f>
        <v/>
      </c>
      <c r="AB116" s="13">
        <f>IF(AND(ISNUMBER(S116),ISNUMBER(S114)),VLOOKUP(ABS(S116-S114),'IMP Table'!$A$2:$C$26,3)*SIGN(S116-S114),"")</f>
        <v/>
      </c>
      <c r="AC116" s="13">
        <f>IF(AND(ISNUMBER(S116),ISNUMBER(S115)),VLOOKUP(ABS(S116-S115),'IMP Table'!$A$2:$C$26,3)*SIGN(S116-S115),"")</f>
        <v/>
      </c>
      <c r="AD116" s="13">
        <f>IF(AND(ISNUMBER(R116),ISNUMBER(R111)),IF(R116&gt;R111,1,IF(R116=R111,0.5,0)),0.5)</f>
        <v/>
      </c>
      <c r="AE116" s="13">
        <f>IF(AND(ISNUMBER(R116),ISNUMBER(R112)),IF(R116&gt;R112,1,IF(R116=R112,0.5,0)),0.5)</f>
        <v/>
      </c>
      <c r="AF116" s="13">
        <f>IF(AND(ISNUMBER(R116),ISNUMBER(R113)),IF(R116&gt;R113,1,IF(R116=R113,0.5,0)),0.5)</f>
        <v/>
      </c>
      <c r="AG116" s="13">
        <f>IF(AND(ISNUMBER(R116),ISNUMBER(R114)),IF(R116&gt;R114,1,IF(R116=R114,0.5,0)),0.5)</f>
        <v/>
      </c>
      <c r="AH116" s="13">
        <f>IF(AND(ISNUMBER(R116),ISNUMBER(R115)),IF(R116&gt;R115,1,IF(R116=R115,0.5,0)),0.5)</f>
        <v/>
      </c>
      <c r="AI116" s="13">
        <f>IF(AND(ISNUMBER(S116),ISNUMBER(S111)),IF(S116&gt;S111,1,IF(S116=S111,0.5,0)),0.5)</f>
        <v/>
      </c>
      <c r="AJ116" s="13">
        <f>IF(AND(ISNUMBER(S116),ISNUMBER(S112)),IF(S116&gt;S112,1,IF(S116=S112,0.5,0)),0.5)</f>
        <v/>
      </c>
      <c r="AK116" s="13">
        <f>IF(AND(ISNUMBER(S116),ISNUMBER(S113)),IF(S116&gt;S113,1,IF(S116=S113,0.5,0)),0.5)</f>
        <v/>
      </c>
      <c r="AL116" s="13">
        <f>IF(AND(ISNUMBER(S116),ISNUMBER(S114)),IF(S116&gt;S114,1,IF(S116=S114,0.5,0)),0.5)</f>
        <v/>
      </c>
      <c r="AM116" s="13">
        <f>IF(AND(ISNUMBER(S116),ISNUMBER(S115)),IF(S116&gt;S115,1,IF(S116=S115,0.5,0)),0.5)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4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5">
        <f>IFERROR(AVERAGE(T117:X117),"")</f>
        <v/>
      </c>
      <c r="M117" s="4">
        <f>IFERROR(AVERAGE(Y117:AC117),"")</f>
        <v/>
      </c>
      <c r="N117" s="5">
        <f>P117/5</f>
        <v/>
      </c>
      <c r="O117" s="5">
        <f>Q117/5</f>
        <v/>
      </c>
      <c r="P117" s="4">
        <f>IFERROR(SUM(AD117:AH117),"")</f>
        <v/>
      </c>
      <c r="Q117" s="4">
        <f>IFERROR(SUM(AI117:AM117),"")</f>
        <v/>
      </c>
      <c r="R117" s="16">
        <f>IF(ISNUMBER(J117),J117,IF(ISNUMBER(K117),-K117,""))</f>
        <v/>
      </c>
      <c r="S117">
        <f>IF(ISNUMBER(K117),K117,IF(ISNUMBER(J117),-J117,""))</f>
        <v/>
      </c>
      <c r="T117">
        <f>IF(AND(ISNUMBER(R117),ISNUMBER(R118)),VLOOKUP(ABS(R117-R118),'IMP Table'!$A$2:$C$26,3)*SIGN(R117-R118),"")</f>
        <v/>
      </c>
      <c r="U117">
        <f>IF(AND(ISNUMBER(R117),ISNUMBER(R119)),VLOOKUP(ABS(R117-R119),'IMP Table'!$A$2:$C$26,3)*SIGN(R117-R119),"")</f>
        <v/>
      </c>
      <c r="V117">
        <f>IF(AND(ISNUMBER(R117),ISNUMBER(R120)),VLOOKUP(ABS(R117-R120),'IMP Table'!$A$2:$C$26,3)*SIGN(R117-R120),"")</f>
        <v/>
      </c>
      <c r="W117">
        <f>IF(AND(ISNUMBER(R117),ISNUMBER(R121)),VLOOKUP(ABS(R117-R121),'IMP Table'!$A$2:$C$26,3)*SIGN(R117-R121),"")</f>
        <v/>
      </c>
      <c r="X117">
        <f>IF(AND(ISNUMBER(R117),ISNUMBER(R122)),VLOOKUP(ABS(R117-R122),'IMP Table'!$A$2:$C$26,3)*SIGN(R117-R122),"")</f>
        <v/>
      </c>
      <c r="Y117">
        <f>IF(AND(ISNUMBER(S117),ISNUMBER(S118)),VLOOKUP(ABS(S117-S118),'IMP Table'!$A$2:$C$26,3)*SIGN(S117-S118),"")</f>
        <v/>
      </c>
      <c r="Z117">
        <f>IF(AND(ISNUMBER(S117),ISNUMBER(S119)),VLOOKUP(ABS(S117-S119),'IMP Table'!$A$2:$C$26,3)*SIGN(S117-S119),"")</f>
        <v/>
      </c>
      <c r="AA117">
        <f>IF(AND(ISNUMBER(S117),ISNUMBER(S120)),VLOOKUP(ABS(S117-S120),'IMP Table'!$A$2:$C$26,3)*SIGN(S117-S120),"")</f>
        <v/>
      </c>
      <c r="AB117">
        <f>IF(AND(ISNUMBER(S117),ISNUMBER(S121)),VLOOKUP(ABS(S117-S121),'IMP Table'!$A$2:$C$26,3)*SIGN(S117-S121),"")</f>
        <v/>
      </c>
      <c r="AC117">
        <f>IF(AND(ISNUMBER(S117),ISNUMBER(S122)),VLOOKUP(ABS(S117-S122),'IMP Table'!$A$2:$C$26,3)*SIGN(S117-S122),"")</f>
        <v/>
      </c>
      <c r="AD117">
        <f>IF(AND(ISNUMBER(R117),ISNUMBER(R118)),IF(R117&gt;R118,1,IF(R117=R118,0.5,0)),0.5)</f>
        <v/>
      </c>
      <c r="AE117">
        <f>IF(AND(ISNUMBER(R117),ISNUMBER(R119)),IF(R117&gt;R119,1,IF(R117=R119,0.5,0)),0.5)</f>
        <v/>
      </c>
      <c r="AF117">
        <f>IF(AND(ISNUMBER(R117),ISNUMBER(R120)),IF(R117&gt;R120,1,IF(R117=R120,0.5,0)),0.5)</f>
        <v/>
      </c>
      <c r="AG117">
        <f>IF(AND(ISNUMBER(R117),ISNUMBER(R121)),IF(R117&gt;R121,1,IF(R117=R121,0.5,0)),0.5)</f>
        <v/>
      </c>
      <c r="AH117">
        <f>IF(AND(ISNUMBER(R117),ISNUMBER(R122)),IF(R117&gt;R122,1,IF(R117=R122,0.5,0)),0.5)</f>
        <v/>
      </c>
      <c r="AI117">
        <f>IF(AND(ISNUMBER(S117),ISNUMBER(S118)),IF(S117&gt;S118,1,IF(S117=S118,0.5,0)),0.5)</f>
        <v/>
      </c>
      <c r="AJ117">
        <f>IF(AND(ISNUMBER(S117),ISNUMBER(S119)),IF(S117&gt;S119,1,IF(S117=S119,0.5,0)),0.5)</f>
        <v/>
      </c>
      <c r="AK117">
        <f>IF(AND(ISNUMBER(S117),ISNUMBER(S120)),IF(S117&gt;S120,1,IF(S117=S120,0.5,0)),0.5)</f>
        <v/>
      </c>
      <c r="AL117">
        <f>IF(AND(ISNUMBER(S117),ISNUMBER(S121)),IF(S117&gt;S121,1,IF(S117=S121,0.5,0)),0.5)</f>
        <v/>
      </c>
      <c r="AM117">
        <f>IF(AND(ISNUMBER(S117),ISNUMBER(S122)),IF(S117&gt;S122,1,IF(S117=S122,0.5,0)),0.5)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4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5">
        <f>IFERROR(AVERAGE(T118:X118),"")</f>
        <v/>
      </c>
      <c r="M118" s="4">
        <f>IFERROR(AVERAGE(Y118:AC118),"")</f>
        <v/>
      </c>
      <c r="N118" s="5">
        <f>P118/5</f>
        <v/>
      </c>
      <c r="O118" s="5">
        <f>Q118/5</f>
        <v/>
      </c>
      <c r="P118" s="4">
        <f>IFERROR(SUM(AD118:AH118),"")</f>
        <v/>
      </c>
      <c r="Q118" s="4">
        <f>IFERROR(SUM(AI118:AM118),"")</f>
        <v/>
      </c>
      <c r="R118" s="16">
        <f>IF(ISNUMBER(J118),J118,IF(ISNUMBER(K118),-K118,""))</f>
        <v/>
      </c>
      <c r="S118">
        <f>IF(ISNUMBER(K118),K118,IF(ISNUMBER(J118),-J118,""))</f>
        <v/>
      </c>
      <c r="T118">
        <f>IF(AND(ISNUMBER(R118),ISNUMBER(R117)),VLOOKUP(ABS(R118-R117),'IMP Table'!$A$2:$C$26,3)*SIGN(R118-R117),"")</f>
        <v/>
      </c>
      <c r="U118">
        <f>IF(AND(ISNUMBER(R118),ISNUMBER(R119)),VLOOKUP(ABS(R118-R119),'IMP Table'!$A$2:$C$26,3)*SIGN(R118-R119),"")</f>
        <v/>
      </c>
      <c r="V118">
        <f>IF(AND(ISNUMBER(R118),ISNUMBER(R120)),VLOOKUP(ABS(R118-R120),'IMP Table'!$A$2:$C$26,3)*SIGN(R118-R120),"")</f>
        <v/>
      </c>
      <c r="W118">
        <f>IF(AND(ISNUMBER(R118),ISNUMBER(R121)),VLOOKUP(ABS(R118-R121),'IMP Table'!$A$2:$C$26,3)*SIGN(R118-R121),"")</f>
        <v/>
      </c>
      <c r="X118">
        <f>IF(AND(ISNUMBER(R118),ISNUMBER(R122)),VLOOKUP(ABS(R118-R122),'IMP Table'!$A$2:$C$26,3)*SIGN(R118-R122),"")</f>
        <v/>
      </c>
      <c r="Y118">
        <f>IF(AND(ISNUMBER(S118),ISNUMBER(S117)),VLOOKUP(ABS(S118-S117),'IMP Table'!$A$2:$C$26,3)*SIGN(S118-S117),"")</f>
        <v/>
      </c>
      <c r="Z118">
        <f>IF(AND(ISNUMBER(S118),ISNUMBER(S119)),VLOOKUP(ABS(S118-S119),'IMP Table'!$A$2:$C$26,3)*SIGN(S118-S119),"")</f>
        <v/>
      </c>
      <c r="AA118">
        <f>IF(AND(ISNUMBER(S118),ISNUMBER(S120)),VLOOKUP(ABS(S118-S120),'IMP Table'!$A$2:$C$26,3)*SIGN(S118-S120),"")</f>
        <v/>
      </c>
      <c r="AB118">
        <f>IF(AND(ISNUMBER(S118),ISNUMBER(S121)),VLOOKUP(ABS(S118-S121),'IMP Table'!$A$2:$C$26,3)*SIGN(S118-S121),"")</f>
        <v/>
      </c>
      <c r="AC118">
        <f>IF(AND(ISNUMBER(S118),ISNUMBER(S122)),VLOOKUP(ABS(S118-S122),'IMP Table'!$A$2:$C$26,3)*SIGN(S118-S122),"")</f>
        <v/>
      </c>
      <c r="AD118">
        <f>IF(AND(ISNUMBER(R118),ISNUMBER(R117)),IF(R118&gt;R117,1,IF(R118=R117,0.5,0)),0.5)</f>
        <v/>
      </c>
      <c r="AE118">
        <f>IF(AND(ISNUMBER(R118),ISNUMBER(R119)),IF(R118&gt;R119,1,IF(R118=R119,0.5,0)),0.5)</f>
        <v/>
      </c>
      <c r="AF118">
        <f>IF(AND(ISNUMBER(R118),ISNUMBER(R120)),IF(R118&gt;R120,1,IF(R118=R120,0.5,0)),0.5)</f>
        <v/>
      </c>
      <c r="AG118">
        <f>IF(AND(ISNUMBER(R118),ISNUMBER(R121)),IF(R118&gt;R121,1,IF(R118=R121,0.5,0)),0.5)</f>
        <v/>
      </c>
      <c r="AH118">
        <f>IF(AND(ISNUMBER(R118),ISNUMBER(R122)),IF(R118&gt;R122,1,IF(R118=R122,0.5,0)),0.5)</f>
        <v/>
      </c>
      <c r="AI118">
        <f>IF(AND(ISNUMBER(S118),ISNUMBER(S117)),IF(S118&gt;S117,1,IF(S118=S117,0.5,0)),0.5)</f>
        <v/>
      </c>
      <c r="AJ118">
        <f>IF(AND(ISNUMBER(S118),ISNUMBER(S119)),IF(S118&gt;S119,1,IF(S118=S119,0.5,0)),0.5)</f>
        <v/>
      </c>
      <c r="AK118">
        <f>IF(AND(ISNUMBER(S118),ISNUMBER(S120)),IF(S118&gt;S120,1,IF(S118=S120,0.5,0)),0.5)</f>
        <v/>
      </c>
      <c r="AL118">
        <f>IF(AND(ISNUMBER(S118),ISNUMBER(S121)),IF(S118&gt;S121,1,IF(S118=S121,0.5,0)),0.5)</f>
        <v/>
      </c>
      <c r="AM118">
        <f>IF(AND(ISNUMBER(S118),ISNUMBER(S122)),IF(S118&gt;S122,1,IF(S118=S122,0.5,0)),0.5)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4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5">
        <f>IFERROR(AVERAGE(T119:X119),"")</f>
        <v/>
      </c>
      <c r="M119" s="4">
        <f>IFERROR(AVERAGE(Y119:AC119),"")</f>
        <v/>
      </c>
      <c r="N119" s="5">
        <f>P119/5</f>
        <v/>
      </c>
      <c r="O119" s="5">
        <f>Q119/5</f>
        <v/>
      </c>
      <c r="P119" s="4">
        <f>IFERROR(SUM(AD119:AH119),"")</f>
        <v/>
      </c>
      <c r="Q119" s="4">
        <f>IFERROR(SUM(AI119:AM119),"")</f>
        <v/>
      </c>
      <c r="R119" s="16">
        <f>IF(ISNUMBER(J119),J119,IF(ISNUMBER(K119),-K119,""))</f>
        <v/>
      </c>
      <c r="S119">
        <f>IF(ISNUMBER(K119),K119,IF(ISNUMBER(J119),-J119,""))</f>
        <v/>
      </c>
      <c r="T119">
        <f>IF(AND(ISNUMBER(R119),ISNUMBER(R117)),VLOOKUP(ABS(R119-R117),'IMP Table'!$A$2:$C$26,3)*SIGN(R119-R117),"")</f>
        <v/>
      </c>
      <c r="U119">
        <f>IF(AND(ISNUMBER(R119),ISNUMBER(R118)),VLOOKUP(ABS(R119-R118),'IMP Table'!$A$2:$C$26,3)*SIGN(R119-R118),"")</f>
        <v/>
      </c>
      <c r="V119">
        <f>IF(AND(ISNUMBER(R119),ISNUMBER(R120)),VLOOKUP(ABS(R119-R120),'IMP Table'!$A$2:$C$26,3)*SIGN(R119-R120),"")</f>
        <v/>
      </c>
      <c r="W119">
        <f>IF(AND(ISNUMBER(R119),ISNUMBER(R121)),VLOOKUP(ABS(R119-R121),'IMP Table'!$A$2:$C$26,3)*SIGN(R119-R121),"")</f>
        <v/>
      </c>
      <c r="X119">
        <f>IF(AND(ISNUMBER(R119),ISNUMBER(R122)),VLOOKUP(ABS(R119-R122),'IMP Table'!$A$2:$C$26,3)*SIGN(R119-R122),"")</f>
        <v/>
      </c>
      <c r="Y119">
        <f>IF(AND(ISNUMBER(S119),ISNUMBER(S117)),VLOOKUP(ABS(S119-S117),'IMP Table'!$A$2:$C$26,3)*SIGN(S119-S117),"")</f>
        <v/>
      </c>
      <c r="Z119">
        <f>IF(AND(ISNUMBER(S119),ISNUMBER(S118)),VLOOKUP(ABS(S119-S118),'IMP Table'!$A$2:$C$26,3)*SIGN(S119-S118),"")</f>
        <v/>
      </c>
      <c r="AA119">
        <f>IF(AND(ISNUMBER(S119),ISNUMBER(S120)),VLOOKUP(ABS(S119-S120),'IMP Table'!$A$2:$C$26,3)*SIGN(S119-S120),"")</f>
        <v/>
      </c>
      <c r="AB119">
        <f>IF(AND(ISNUMBER(S119),ISNUMBER(S121)),VLOOKUP(ABS(S119-S121),'IMP Table'!$A$2:$C$26,3)*SIGN(S119-S121),"")</f>
        <v/>
      </c>
      <c r="AC119">
        <f>IF(AND(ISNUMBER(S119),ISNUMBER(S122)),VLOOKUP(ABS(S119-S122),'IMP Table'!$A$2:$C$26,3)*SIGN(S119-S122),"")</f>
        <v/>
      </c>
      <c r="AD119">
        <f>IF(AND(ISNUMBER(R119),ISNUMBER(R117)),IF(R119&gt;R117,1,IF(R119=R117,0.5,0)),0.5)</f>
        <v/>
      </c>
      <c r="AE119">
        <f>IF(AND(ISNUMBER(R119),ISNUMBER(R118)),IF(R119&gt;R118,1,IF(R119=R118,0.5,0)),0.5)</f>
        <v/>
      </c>
      <c r="AF119">
        <f>IF(AND(ISNUMBER(R119),ISNUMBER(R120)),IF(R119&gt;R120,1,IF(R119=R120,0.5,0)),0.5)</f>
        <v/>
      </c>
      <c r="AG119">
        <f>IF(AND(ISNUMBER(R119),ISNUMBER(R121)),IF(R119&gt;R121,1,IF(R119=R121,0.5,0)),0.5)</f>
        <v/>
      </c>
      <c r="AH119">
        <f>IF(AND(ISNUMBER(R119),ISNUMBER(R122)),IF(R119&gt;R122,1,IF(R119=R122,0.5,0)),0.5)</f>
        <v/>
      </c>
      <c r="AI119">
        <f>IF(AND(ISNUMBER(S119),ISNUMBER(S117)),IF(S119&gt;S117,1,IF(S119=S117,0.5,0)),0.5)</f>
        <v/>
      </c>
      <c r="AJ119">
        <f>IF(AND(ISNUMBER(S119),ISNUMBER(S118)),IF(S119&gt;S118,1,IF(S119=S118,0.5,0)),0.5)</f>
        <v/>
      </c>
      <c r="AK119">
        <f>IF(AND(ISNUMBER(S119),ISNUMBER(S120)),IF(S119&gt;S120,1,IF(S119=S120,0.5,0)),0.5)</f>
        <v/>
      </c>
      <c r="AL119">
        <f>IF(AND(ISNUMBER(S119),ISNUMBER(S121)),IF(S119&gt;S121,1,IF(S119=S121,0.5,0)),0.5)</f>
        <v/>
      </c>
      <c r="AM119">
        <f>IF(AND(ISNUMBER(S119),ISNUMBER(S122)),IF(S119&gt;S122,1,IF(S119=S122,0.5,0)),0.5)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4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5">
        <f>IFERROR(AVERAGE(T120:X120),"")</f>
        <v/>
      </c>
      <c r="M120" s="4">
        <f>IFERROR(AVERAGE(Y120:AC120),"")</f>
        <v/>
      </c>
      <c r="N120" s="5">
        <f>P120/5</f>
        <v/>
      </c>
      <c r="O120" s="5">
        <f>Q120/5</f>
        <v/>
      </c>
      <c r="P120" s="4">
        <f>IFERROR(SUM(AD120:AH120),"")</f>
        <v/>
      </c>
      <c r="Q120" s="4">
        <f>IFERROR(SUM(AI120:AM120),"")</f>
        <v/>
      </c>
      <c r="R120" s="16">
        <f>IF(ISNUMBER(J120),J120,IF(ISNUMBER(K120),-K120,""))</f>
        <v/>
      </c>
      <c r="S120">
        <f>IF(ISNUMBER(K120),K120,IF(ISNUMBER(J120),-J120,""))</f>
        <v/>
      </c>
      <c r="T120">
        <f>IF(AND(ISNUMBER(R120),ISNUMBER(R117)),VLOOKUP(ABS(R120-R117),'IMP Table'!$A$2:$C$26,3)*SIGN(R120-R117),"")</f>
        <v/>
      </c>
      <c r="U120">
        <f>IF(AND(ISNUMBER(R120),ISNUMBER(R118)),VLOOKUP(ABS(R120-R118),'IMP Table'!$A$2:$C$26,3)*SIGN(R120-R118),"")</f>
        <v/>
      </c>
      <c r="V120">
        <f>IF(AND(ISNUMBER(R120),ISNUMBER(R119)),VLOOKUP(ABS(R120-R119),'IMP Table'!$A$2:$C$26,3)*SIGN(R120-R119),"")</f>
        <v/>
      </c>
      <c r="W120">
        <f>IF(AND(ISNUMBER(R120),ISNUMBER(R121)),VLOOKUP(ABS(R120-R121),'IMP Table'!$A$2:$C$26,3)*SIGN(R120-R121),"")</f>
        <v/>
      </c>
      <c r="X120">
        <f>IF(AND(ISNUMBER(R120),ISNUMBER(R122)),VLOOKUP(ABS(R120-R122),'IMP Table'!$A$2:$C$26,3)*SIGN(R120-R122),"")</f>
        <v/>
      </c>
      <c r="Y120">
        <f>IF(AND(ISNUMBER(S120),ISNUMBER(S117)),VLOOKUP(ABS(S120-S117),'IMP Table'!$A$2:$C$26,3)*SIGN(S120-S117),"")</f>
        <v/>
      </c>
      <c r="Z120">
        <f>IF(AND(ISNUMBER(S120),ISNUMBER(S118)),VLOOKUP(ABS(S120-S118),'IMP Table'!$A$2:$C$26,3)*SIGN(S120-S118),"")</f>
        <v/>
      </c>
      <c r="AA120">
        <f>IF(AND(ISNUMBER(S120),ISNUMBER(S119)),VLOOKUP(ABS(S120-S119),'IMP Table'!$A$2:$C$26,3)*SIGN(S120-S119),"")</f>
        <v/>
      </c>
      <c r="AB120">
        <f>IF(AND(ISNUMBER(S120),ISNUMBER(S121)),VLOOKUP(ABS(S120-S121),'IMP Table'!$A$2:$C$26,3)*SIGN(S120-S121),"")</f>
        <v/>
      </c>
      <c r="AC120">
        <f>IF(AND(ISNUMBER(S120),ISNUMBER(S122)),VLOOKUP(ABS(S120-S122),'IMP Table'!$A$2:$C$26,3)*SIGN(S120-S122),"")</f>
        <v/>
      </c>
      <c r="AD120">
        <f>IF(AND(ISNUMBER(R120),ISNUMBER(R117)),IF(R120&gt;R117,1,IF(R120=R117,0.5,0)),0.5)</f>
        <v/>
      </c>
      <c r="AE120">
        <f>IF(AND(ISNUMBER(R120),ISNUMBER(R118)),IF(R120&gt;R118,1,IF(R120=R118,0.5,0)),0.5)</f>
        <v/>
      </c>
      <c r="AF120">
        <f>IF(AND(ISNUMBER(R120),ISNUMBER(R119)),IF(R120&gt;R119,1,IF(R120=R119,0.5,0)),0.5)</f>
        <v/>
      </c>
      <c r="AG120">
        <f>IF(AND(ISNUMBER(R120),ISNUMBER(R121)),IF(R120&gt;R121,1,IF(R120=R121,0.5,0)),0.5)</f>
        <v/>
      </c>
      <c r="AH120">
        <f>IF(AND(ISNUMBER(R120),ISNUMBER(R122)),IF(R120&gt;R122,1,IF(R120=R122,0.5,0)),0.5)</f>
        <v/>
      </c>
      <c r="AI120">
        <f>IF(AND(ISNUMBER(S120),ISNUMBER(S117)),IF(S120&gt;S117,1,IF(S120=S117,0.5,0)),0.5)</f>
        <v/>
      </c>
      <c r="AJ120">
        <f>IF(AND(ISNUMBER(S120),ISNUMBER(S118)),IF(S120&gt;S118,1,IF(S120=S118,0.5,0)),0.5)</f>
        <v/>
      </c>
      <c r="AK120">
        <f>IF(AND(ISNUMBER(S120),ISNUMBER(S119)),IF(S120&gt;S119,1,IF(S120=S119,0.5,0)),0.5)</f>
        <v/>
      </c>
      <c r="AL120">
        <f>IF(AND(ISNUMBER(S120),ISNUMBER(S121)),IF(S120&gt;S121,1,IF(S120=S121,0.5,0)),0.5)</f>
        <v/>
      </c>
      <c r="AM120">
        <f>IF(AND(ISNUMBER(S120),ISNUMBER(S122)),IF(S120&gt;S122,1,IF(S120=S122,0.5,0)),0.5)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4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5">
        <f>IFERROR(AVERAGE(T121:X121),"")</f>
        <v/>
      </c>
      <c r="M121" s="4">
        <f>IFERROR(AVERAGE(Y121:AC121),"")</f>
        <v/>
      </c>
      <c r="N121" s="5">
        <f>P121/5</f>
        <v/>
      </c>
      <c r="O121" s="5">
        <f>Q121/5</f>
        <v/>
      </c>
      <c r="P121" s="4">
        <f>IFERROR(SUM(AD121:AH121),"")</f>
        <v/>
      </c>
      <c r="Q121" s="4">
        <f>IFERROR(SUM(AI121:AM121),"")</f>
        <v/>
      </c>
      <c r="R121" s="16">
        <f>IF(ISNUMBER(J121),J121,IF(ISNUMBER(K121),-K121,""))</f>
        <v/>
      </c>
      <c r="S121">
        <f>IF(ISNUMBER(K121),K121,IF(ISNUMBER(J121),-J121,""))</f>
        <v/>
      </c>
      <c r="T121">
        <f>IF(AND(ISNUMBER(R121),ISNUMBER(R117)),VLOOKUP(ABS(R121-R117),'IMP Table'!$A$2:$C$26,3)*SIGN(R121-R117),"")</f>
        <v/>
      </c>
      <c r="U121">
        <f>IF(AND(ISNUMBER(R121),ISNUMBER(R118)),VLOOKUP(ABS(R121-R118),'IMP Table'!$A$2:$C$26,3)*SIGN(R121-R118),"")</f>
        <v/>
      </c>
      <c r="V121">
        <f>IF(AND(ISNUMBER(R121),ISNUMBER(R119)),VLOOKUP(ABS(R121-R119),'IMP Table'!$A$2:$C$26,3)*SIGN(R121-R119),"")</f>
        <v/>
      </c>
      <c r="W121">
        <f>IF(AND(ISNUMBER(R121),ISNUMBER(R120)),VLOOKUP(ABS(R121-R120),'IMP Table'!$A$2:$C$26,3)*SIGN(R121-R120),"")</f>
        <v/>
      </c>
      <c r="X121">
        <f>IF(AND(ISNUMBER(R121),ISNUMBER(R122)),VLOOKUP(ABS(R121-R122),'IMP Table'!$A$2:$C$26,3)*SIGN(R121-R122),"")</f>
        <v/>
      </c>
      <c r="Y121">
        <f>IF(AND(ISNUMBER(S121),ISNUMBER(S117)),VLOOKUP(ABS(S121-S117),'IMP Table'!$A$2:$C$26,3)*SIGN(S121-S117),"")</f>
        <v/>
      </c>
      <c r="Z121">
        <f>IF(AND(ISNUMBER(S121),ISNUMBER(S118)),VLOOKUP(ABS(S121-S118),'IMP Table'!$A$2:$C$26,3)*SIGN(S121-S118),"")</f>
        <v/>
      </c>
      <c r="AA121">
        <f>IF(AND(ISNUMBER(S121),ISNUMBER(S119)),VLOOKUP(ABS(S121-S119),'IMP Table'!$A$2:$C$26,3)*SIGN(S121-S119),"")</f>
        <v/>
      </c>
      <c r="AB121">
        <f>IF(AND(ISNUMBER(S121),ISNUMBER(S120)),VLOOKUP(ABS(S121-S120),'IMP Table'!$A$2:$C$26,3)*SIGN(S121-S120),"")</f>
        <v/>
      </c>
      <c r="AC121">
        <f>IF(AND(ISNUMBER(S121),ISNUMBER(S122)),VLOOKUP(ABS(S121-S122),'IMP Table'!$A$2:$C$26,3)*SIGN(S121-S122),"")</f>
        <v/>
      </c>
      <c r="AD121">
        <f>IF(AND(ISNUMBER(R121),ISNUMBER(R117)),IF(R121&gt;R117,1,IF(R121=R117,0.5,0)),0.5)</f>
        <v/>
      </c>
      <c r="AE121">
        <f>IF(AND(ISNUMBER(R121),ISNUMBER(R118)),IF(R121&gt;R118,1,IF(R121=R118,0.5,0)),0.5)</f>
        <v/>
      </c>
      <c r="AF121">
        <f>IF(AND(ISNUMBER(R121),ISNUMBER(R119)),IF(R121&gt;R119,1,IF(R121=R119,0.5,0)),0.5)</f>
        <v/>
      </c>
      <c r="AG121">
        <f>IF(AND(ISNUMBER(R121),ISNUMBER(R120)),IF(R121&gt;R120,1,IF(R121=R120,0.5,0)),0.5)</f>
        <v/>
      </c>
      <c r="AH121">
        <f>IF(AND(ISNUMBER(R121),ISNUMBER(R122)),IF(R121&gt;R122,1,IF(R121=R122,0.5,0)),0.5)</f>
        <v/>
      </c>
      <c r="AI121">
        <f>IF(AND(ISNUMBER(S121),ISNUMBER(S117)),IF(S121&gt;S117,1,IF(S121=S117,0.5,0)),0.5)</f>
        <v/>
      </c>
      <c r="AJ121">
        <f>IF(AND(ISNUMBER(S121),ISNUMBER(S118)),IF(S121&gt;S118,1,IF(S121=S118,0.5,0)),0.5)</f>
        <v/>
      </c>
      <c r="AK121">
        <f>IF(AND(ISNUMBER(S121),ISNUMBER(S119)),IF(S121&gt;S119,1,IF(S121=S119,0.5,0)),0.5)</f>
        <v/>
      </c>
      <c r="AL121">
        <f>IF(AND(ISNUMBER(S121),ISNUMBER(S120)),IF(S121&gt;S120,1,IF(S121=S120,0.5,0)),0.5)</f>
        <v/>
      </c>
      <c r="AM121">
        <f>IF(AND(ISNUMBER(S121),ISNUMBER(S122)),IF(S121&gt;S122,1,IF(S121=S122,0.5,0)),0.5)</f>
        <v/>
      </c>
    </row>
    <row r="122">
      <c r="A122" s="13" t="n"/>
      <c r="B122" s="13">
        <f>'By Round'!A111</f>
        <v/>
      </c>
      <c r="C122" s="13">
        <f>'By Round'!B111</f>
        <v/>
      </c>
      <c r="D122" s="13">
        <f>'By Round'!C111</f>
        <v/>
      </c>
      <c r="E122" s="13">
        <f>'By Round'!D111</f>
        <v/>
      </c>
      <c r="F122" s="17" t="inlineStr">
        <is>
          <t>Both</t>
        </is>
      </c>
      <c r="G122" s="13">
        <f>IF(ISBLANK('By Round'!G111),"",'By Round'!G111)</f>
        <v/>
      </c>
      <c r="H122" s="13">
        <f>IF(ISBLANK('By Round'!H111),"",'By Round'!H111)</f>
        <v/>
      </c>
      <c r="I122" s="13">
        <f>IF(ISBLANK('By Round'!I111),"",'By Round'!I111)</f>
        <v/>
      </c>
      <c r="J122" s="13">
        <f>IF(ISBLANK('By Round'!J111),"",'By Round'!J111)</f>
        <v/>
      </c>
      <c r="K122" s="13">
        <f>IF(ISBLANK('By Round'!K111),"",'By Round'!K111)</f>
        <v/>
      </c>
      <c r="L122" s="18">
        <f>IFERROR(AVERAGE(T122:X122),"")</f>
        <v/>
      </c>
      <c r="M122" s="19">
        <f>IFERROR(AVERAGE(Y122:AC122),"")</f>
        <v/>
      </c>
      <c r="N122" s="20">
        <f>P122/5</f>
        <v/>
      </c>
      <c r="O122" s="20">
        <f>Q122/5</f>
        <v/>
      </c>
      <c r="P122" s="19">
        <f>IFERROR(SUM(AD122:AH122),"")</f>
        <v/>
      </c>
      <c r="Q122" s="19">
        <f>IFERROR(SUM(AI122:AM122),"")</f>
        <v/>
      </c>
      <c r="R122" s="21">
        <f>IF(ISNUMBER(J122),J122,IF(ISNUMBER(K122),-K122,""))</f>
        <v/>
      </c>
      <c r="S122" s="13">
        <f>IF(ISNUMBER(K122),K122,IF(ISNUMBER(J122),-J122,""))</f>
        <v/>
      </c>
      <c r="T122" s="13">
        <f>IF(AND(ISNUMBER(R122),ISNUMBER(R117)),VLOOKUP(ABS(R122-R117),'IMP Table'!$A$2:$C$26,3)*SIGN(R122-R117),"")</f>
        <v/>
      </c>
      <c r="U122" s="13">
        <f>IF(AND(ISNUMBER(R122),ISNUMBER(R118)),VLOOKUP(ABS(R122-R118),'IMP Table'!$A$2:$C$26,3)*SIGN(R122-R118),"")</f>
        <v/>
      </c>
      <c r="V122" s="13">
        <f>IF(AND(ISNUMBER(R122),ISNUMBER(R119)),VLOOKUP(ABS(R122-R119),'IMP Table'!$A$2:$C$26,3)*SIGN(R122-R119),"")</f>
        <v/>
      </c>
      <c r="W122" s="13">
        <f>IF(AND(ISNUMBER(R122),ISNUMBER(R120)),VLOOKUP(ABS(R122-R120),'IMP Table'!$A$2:$C$26,3)*SIGN(R122-R120),"")</f>
        <v/>
      </c>
      <c r="X122" s="13">
        <f>IF(AND(ISNUMBER(R122),ISNUMBER(R121)),VLOOKUP(ABS(R122-R121),'IMP Table'!$A$2:$C$26,3)*SIGN(R122-R121),"")</f>
        <v/>
      </c>
      <c r="Y122" s="13">
        <f>IF(AND(ISNUMBER(S122),ISNUMBER(S117)),VLOOKUP(ABS(S122-S117),'IMP Table'!$A$2:$C$26,3)*SIGN(S122-S117),"")</f>
        <v/>
      </c>
      <c r="Z122" s="13">
        <f>IF(AND(ISNUMBER(S122),ISNUMBER(S118)),VLOOKUP(ABS(S122-S118),'IMP Table'!$A$2:$C$26,3)*SIGN(S122-S118),"")</f>
        <v/>
      </c>
      <c r="AA122" s="13">
        <f>IF(AND(ISNUMBER(S122),ISNUMBER(S119)),VLOOKUP(ABS(S122-S119),'IMP Table'!$A$2:$C$26,3)*SIGN(S122-S119),"")</f>
        <v/>
      </c>
      <c r="AB122" s="13">
        <f>IF(AND(ISNUMBER(S122),ISNUMBER(S120)),VLOOKUP(ABS(S122-S120),'IMP Table'!$A$2:$C$26,3)*SIGN(S122-S120),"")</f>
        <v/>
      </c>
      <c r="AC122" s="13">
        <f>IF(AND(ISNUMBER(S122),ISNUMBER(S121)),VLOOKUP(ABS(S122-S121),'IMP Table'!$A$2:$C$26,3)*SIGN(S122-S121),"")</f>
        <v/>
      </c>
      <c r="AD122" s="13">
        <f>IF(AND(ISNUMBER(R122),ISNUMBER(R117)),IF(R122&gt;R117,1,IF(R122=R117,0.5,0)),0.5)</f>
        <v/>
      </c>
      <c r="AE122" s="13">
        <f>IF(AND(ISNUMBER(R122),ISNUMBER(R118)),IF(R122&gt;R118,1,IF(R122=R118,0.5,0)),0.5)</f>
        <v/>
      </c>
      <c r="AF122" s="13">
        <f>IF(AND(ISNUMBER(R122),ISNUMBER(R119)),IF(R122&gt;R119,1,IF(R122=R119,0.5,0)),0.5)</f>
        <v/>
      </c>
      <c r="AG122" s="13">
        <f>IF(AND(ISNUMBER(R122),ISNUMBER(R120)),IF(R122&gt;R120,1,IF(R122=R120,0.5,0)),0.5)</f>
        <v/>
      </c>
      <c r="AH122" s="13">
        <f>IF(AND(ISNUMBER(R122),ISNUMBER(R121)),IF(R122&gt;R121,1,IF(R122=R121,0.5,0)),0.5)</f>
        <v/>
      </c>
      <c r="AI122" s="13">
        <f>IF(AND(ISNUMBER(S122),ISNUMBER(S117)),IF(S122&gt;S117,1,IF(S122=S117,0.5,0)),0.5)</f>
        <v/>
      </c>
      <c r="AJ122" s="13">
        <f>IF(AND(ISNUMBER(S122),ISNUMBER(S118)),IF(S122&gt;S118,1,IF(S122=S118,0.5,0)),0.5)</f>
        <v/>
      </c>
      <c r="AK122" s="13">
        <f>IF(AND(ISNUMBER(S122),ISNUMBER(S119)),IF(S122&gt;S119,1,IF(S122=S119,0.5,0)),0.5)</f>
        <v/>
      </c>
      <c r="AL122" s="13">
        <f>IF(AND(ISNUMBER(S122),ISNUMBER(S120)),IF(S122&gt;S120,1,IF(S122=S120,0.5,0)),0.5)</f>
        <v/>
      </c>
      <c r="AM122" s="13">
        <f>IF(AND(ISNUMBER(S122),ISNUMBER(S121)),IF(S122&gt;S121,1,IF(S122=S121,0.5,0)),0.5)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4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5">
        <f>IFERROR(AVERAGE(T123:X123),"")</f>
        <v/>
      </c>
      <c r="M123" s="4">
        <f>IFERROR(AVERAGE(Y123:AC123),"")</f>
        <v/>
      </c>
      <c r="N123" s="5">
        <f>P123/5</f>
        <v/>
      </c>
      <c r="O123" s="5">
        <f>Q123/5</f>
        <v/>
      </c>
      <c r="P123" s="4">
        <f>IFERROR(SUM(AD123:AH123),"")</f>
        <v/>
      </c>
      <c r="Q123" s="4">
        <f>IFERROR(SUM(AI123:AM123),"")</f>
        <v/>
      </c>
      <c r="R123" s="16">
        <f>IF(ISNUMBER(J123),J123,IF(ISNUMBER(K123),-K123,""))</f>
        <v/>
      </c>
      <c r="S123">
        <f>IF(ISNUMBER(K123),K123,IF(ISNUMBER(J123),-J123,""))</f>
        <v/>
      </c>
      <c r="T123">
        <f>IF(AND(ISNUMBER(R123),ISNUMBER(R124)),VLOOKUP(ABS(R123-R124),'IMP Table'!$A$2:$C$26,3)*SIGN(R123-R124),"")</f>
        <v/>
      </c>
      <c r="U123">
        <f>IF(AND(ISNUMBER(R123),ISNUMBER(R125)),VLOOKUP(ABS(R123-R125),'IMP Table'!$A$2:$C$26,3)*SIGN(R123-R125),"")</f>
        <v/>
      </c>
      <c r="V123">
        <f>IF(AND(ISNUMBER(R123),ISNUMBER(R126)),VLOOKUP(ABS(R123-R126),'IMP Table'!$A$2:$C$26,3)*SIGN(R123-R126),"")</f>
        <v/>
      </c>
      <c r="W123">
        <f>IF(AND(ISNUMBER(R123),ISNUMBER(R127)),VLOOKUP(ABS(R123-R127),'IMP Table'!$A$2:$C$26,3)*SIGN(R123-R127),"")</f>
        <v/>
      </c>
      <c r="X123">
        <f>IF(AND(ISNUMBER(R123),ISNUMBER(R128)),VLOOKUP(ABS(R123-R128),'IMP Table'!$A$2:$C$26,3)*SIGN(R123-R128),"")</f>
        <v/>
      </c>
      <c r="Y123">
        <f>IF(AND(ISNUMBER(S123),ISNUMBER(S124)),VLOOKUP(ABS(S123-S124),'IMP Table'!$A$2:$C$26,3)*SIGN(S123-S124),"")</f>
        <v/>
      </c>
      <c r="Z123">
        <f>IF(AND(ISNUMBER(S123),ISNUMBER(S125)),VLOOKUP(ABS(S123-S125),'IMP Table'!$A$2:$C$26,3)*SIGN(S123-S125),"")</f>
        <v/>
      </c>
      <c r="AA123">
        <f>IF(AND(ISNUMBER(S123),ISNUMBER(S126)),VLOOKUP(ABS(S123-S126),'IMP Table'!$A$2:$C$26,3)*SIGN(S123-S126),"")</f>
        <v/>
      </c>
      <c r="AB123">
        <f>IF(AND(ISNUMBER(S123),ISNUMBER(S127)),VLOOKUP(ABS(S123-S127),'IMP Table'!$A$2:$C$26,3)*SIGN(S123-S127),"")</f>
        <v/>
      </c>
      <c r="AC123">
        <f>IF(AND(ISNUMBER(S123),ISNUMBER(S128)),VLOOKUP(ABS(S123-S128),'IMP Table'!$A$2:$C$26,3)*SIGN(S123-S128),"")</f>
        <v/>
      </c>
      <c r="AD123">
        <f>IF(AND(ISNUMBER(R123),ISNUMBER(R124)),IF(R123&gt;R124,1,IF(R123=R124,0.5,0)),0.5)</f>
        <v/>
      </c>
      <c r="AE123">
        <f>IF(AND(ISNUMBER(R123),ISNUMBER(R125)),IF(R123&gt;R125,1,IF(R123=R125,0.5,0)),0.5)</f>
        <v/>
      </c>
      <c r="AF123">
        <f>IF(AND(ISNUMBER(R123),ISNUMBER(R126)),IF(R123&gt;R126,1,IF(R123=R126,0.5,0)),0.5)</f>
        <v/>
      </c>
      <c r="AG123">
        <f>IF(AND(ISNUMBER(R123),ISNUMBER(R127)),IF(R123&gt;R127,1,IF(R123=R127,0.5,0)),0.5)</f>
        <v/>
      </c>
      <c r="AH123">
        <f>IF(AND(ISNUMBER(R123),ISNUMBER(R128)),IF(R123&gt;R128,1,IF(R123=R128,0.5,0)),0.5)</f>
        <v/>
      </c>
      <c r="AI123">
        <f>IF(AND(ISNUMBER(S123),ISNUMBER(S124)),IF(S123&gt;S124,1,IF(S123=S124,0.5,0)),0.5)</f>
        <v/>
      </c>
      <c r="AJ123">
        <f>IF(AND(ISNUMBER(S123),ISNUMBER(S125)),IF(S123&gt;S125,1,IF(S123=S125,0.5,0)),0.5)</f>
        <v/>
      </c>
      <c r="AK123">
        <f>IF(AND(ISNUMBER(S123),ISNUMBER(S126)),IF(S123&gt;S126,1,IF(S123=S126,0.5,0)),0.5)</f>
        <v/>
      </c>
      <c r="AL123">
        <f>IF(AND(ISNUMBER(S123),ISNUMBER(S127)),IF(S123&gt;S127,1,IF(S123=S127,0.5,0)),0.5)</f>
        <v/>
      </c>
      <c r="AM123">
        <f>IF(AND(ISNUMBER(S123),ISNUMBER(S128)),IF(S123&gt;S128,1,IF(S123=S128,0.5,0)),0.5)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4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5">
        <f>IFERROR(AVERAGE(T124:X124),"")</f>
        <v/>
      </c>
      <c r="M124" s="4">
        <f>IFERROR(AVERAGE(Y124:AC124),"")</f>
        <v/>
      </c>
      <c r="N124" s="5">
        <f>P124/5</f>
        <v/>
      </c>
      <c r="O124" s="5">
        <f>Q124/5</f>
        <v/>
      </c>
      <c r="P124" s="4">
        <f>IFERROR(SUM(AD124:AH124),"")</f>
        <v/>
      </c>
      <c r="Q124" s="4">
        <f>IFERROR(SUM(AI124:AM124),"")</f>
        <v/>
      </c>
      <c r="R124" s="16">
        <f>IF(ISNUMBER(J124),J124,IF(ISNUMBER(K124),-K124,""))</f>
        <v/>
      </c>
      <c r="S124">
        <f>IF(ISNUMBER(K124),K124,IF(ISNUMBER(J124),-J124,""))</f>
        <v/>
      </c>
      <c r="T124">
        <f>IF(AND(ISNUMBER(R124),ISNUMBER(R123)),VLOOKUP(ABS(R124-R123),'IMP Table'!$A$2:$C$26,3)*SIGN(R124-R123),"")</f>
        <v/>
      </c>
      <c r="U124">
        <f>IF(AND(ISNUMBER(R124),ISNUMBER(R125)),VLOOKUP(ABS(R124-R125),'IMP Table'!$A$2:$C$26,3)*SIGN(R124-R125),"")</f>
        <v/>
      </c>
      <c r="V124">
        <f>IF(AND(ISNUMBER(R124),ISNUMBER(R126)),VLOOKUP(ABS(R124-R126),'IMP Table'!$A$2:$C$26,3)*SIGN(R124-R126),"")</f>
        <v/>
      </c>
      <c r="W124">
        <f>IF(AND(ISNUMBER(R124),ISNUMBER(R127)),VLOOKUP(ABS(R124-R127),'IMP Table'!$A$2:$C$26,3)*SIGN(R124-R127),"")</f>
        <v/>
      </c>
      <c r="X124">
        <f>IF(AND(ISNUMBER(R124),ISNUMBER(R128)),VLOOKUP(ABS(R124-R128),'IMP Table'!$A$2:$C$26,3)*SIGN(R124-R128),"")</f>
        <v/>
      </c>
      <c r="Y124">
        <f>IF(AND(ISNUMBER(S124),ISNUMBER(S123)),VLOOKUP(ABS(S124-S123),'IMP Table'!$A$2:$C$26,3)*SIGN(S124-S123),"")</f>
        <v/>
      </c>
      <c r="Z124">
        <f>IF(AND(ISNUMBER(S124),ISNUMBER(S125)),VLOOKUP(ABS(S124-S125),'IMP Table'!$A$2:$C$26,3)*SIGN(S124-S125),"")</f>
        <v/>
      </c>
      <c r="AA124">
        <f>IF(AND(ISNUMBER(S124),ISNUMBER(S126)),VLOOKUP(ABS(S124-S126),'IMP Table'!$A$2:$C$26,3)*SIGN(S124-S126),"")</f>
        <v/>
      </c>
      <c r="AB124">
        <f>IF(AND(ISNUMBER(S124),ISNUMBER(S127)),VLOOKUP(ABS(S124-S127),'IMP Table'!$A$2:$C$26,3)*SIGN(S124-S127),"")</f>
        <v/>
      </c>
      <c r="AC124">
        <f>IF(AND(ISNUMBER(S124),ISNUMBER(S128)),VLOOKUP(ABS(S124-S128),'IMP Table'!$A$2:$C$26,3)*SIGN(S124-S128),"")</f>
        <v/>
      </c>
      <c r="AD124">
        <f>IF(AND(ISNUMBER(R124),ISNUMBER(R123)),IF(R124&gt;R123,1,IF(R124=R123,0.5,0)),0.5)</f>
        <v/>
      </c>
      <c r="AE124">
        <f>IF(AND(ISNUMBER(R124),ISNUMBER(R125)),IF(R124&gt;R125,1,IF(R124=R125,0.5,0)),0.5)</f>
        <v/>
      </c>
      <c r="AF124">
        <f>IF(AND(ISNUMBER(R124),ISNUMBER(R126)),IF(R124&gt;R126,1,IF(R124=R126,0.5,0)),0.5)</f>
        <v/>
      </c>
      <c r="AG124">
        <f>IF(AND(ISNUMBER(R124),ISNUMBER(R127)),IF(R124&gt;R127,1,IF(R124=R127,0.5,0)),0.5)</f>
        <v/>
      </c>
      <c r="AH124">
        <f>IF(AND(ISNUMBER(R124),ISNUMBER(R128)),IF(R124&gt;R128,1,IF(R124=R128,0.5,0)),0.5)</f>
        <v/>
      </c>
      <c r="AI124">
        <f>IF(AND(ISNUMBER(S124),ISNUMBER(S123)),IF(S124&gt;S123,1,IF(S124=S123,0.5,0)),0.5)</f>
        <v/>
      </c>
      <c r="AJ124">
        <f>IF(AND(ISNUMBER(S124),ISNUMBER(S125)),IF(S124&gt;S125,1,IF(S124=S125,0.5,0)),0.5)</f>
        <v/>
      </c>
      <c r="AK124">
        <f>IF(AND(ISNUMBER(S124),ISNUMBER(S126)),IF(S124&gt;S126,1,IF(S124=S126,0.5,0)),0.5)</f>
        <v/>
      </c>
      <c r="AL124">
        <f>IF(AND(ISNUMBER(S124),ISNUMBER(S127)),IF(S124&gt;S127,1,IF(S124=S127,0.5,0)),0.5)</f>
        <v/>
      </c>
      <c r="AM124">
        <f>IF(AND(ISNUMBER(S124),ISNUMBER(S128)),IF(S124&gt;S128,1,IF(S124=S128,0.5,0)),0.5)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4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5">
        <f>IFERROR(AVERAGE(T125:X125),"")</f>
        <v/>
      </c>
      <c r="M125" s="4">
        <f>IFERROR(AVERAGE(Y125:AC125),"")</f>
        <v/>
      </c>
      <c r="N125" s="5">
        <f>P125/5</f>
        <v/>
      </c>
      <c r="O125" s="5">
        <f>Q125/5</f>
        <v/>
      </c>
      <c r="P125" s="4">
        <f>IFERROR(SUM(AD125:AH125),"")</f>
        <v/>
      </c>
      <c r="Q125" s="4">
        <f>IFERROR(SUM(AI125:AM125),"")</f>
        <v/>
      </c>
      <c r="R125" s="16">
        <f>IF(ISNUMBER(J125),J125,IF(ISNUMBER(K125),-K125,""))</f>
        <v/>
      </c>
      <c r="S125">
        <f>IF(ISNUMBER(K125),K125,IF(ISNUMBER(J125),-J125,""))</f>
        <v/>
      </c>
      <c r="T125">
        <f>IF(AND(ISNUMBER(R125),ISNUMBER(R123)),VLOOKUP(ABS(R125-R123),'IMP Table'!$A$2:$C$26,3)*SIGN(R125-R123),"")</f>
        <v/>
      </c>
      <c r="U125">
        <f>IF(AND(ISNUMBER(R125),ISNUMBER(R124)),VLOOKUP(ABS(R125-R124),'IMP Table'!$A$2:$C$26,3)*SIGN(R125-R124),"")</f>
        <v/>
      </c>
      <c r="V125">
        <f>IF(AND(ISNUMBER(R125),ISNUMBER(R126)),VLOOKUP(ABS(R125-R126),'IMP Table'!$A$2:$C$26,3)*SIGN(R125-R126),"")</f>
        <v/>
      </c>
      <c r="W125">
        <f>IF(AND(ISNUMBER(R125),ISNUMBER(R127)),VLOOKUP(ABS(R125-R127),'IMP Table'!$A$2:$C$26,3)*SIGN(R125-R127),"")</f>
        <v/>
      </c>
      <c r="X125">
        <f>IF(AND(ISNUMBER(R125),ISNUMBER(R128)),VLOOKUP(ABS(R125-R128),'IMP Table'!$A$2:$C$26,3)*SIGN(R125-R128),"")</f>
        <v/>
      </c>
      <c r="Y125">
        <f>IF(AND(ISNUMBER(S125),ISNUMBER(S123)),VLOOKUP(ABS(S125-S123),'IMP Table'!$A$2:$C$26,3)*SIGN(S125-S123),"")</f>
        <v/>
      </c>
      <c r="Z125">
        <f>IF(AND(ISNUMBER(S125),ISNUMBER(S124)),VLOOKUP(ABS(S125-S124),'IMP Table'!$A$2:$C$26,3)*SIGN(S125-S124),"")</f>
        <v/>
      </c>
      <c r="AA125">
        <f>IF(AND(ISNUMBER(S125),ISNUMBER(S126)),VLOOKUP(ABS(S125-S126),'IMP Table'!$A$2:$C$26,3)*SIGN(S125-S126),"")</f>
        <v/>
      </c>
      <c r="AB125">
        <f>IF(AND(ISNUMBER(S125),ISNUMBER(S127)),VLOOKUP(ABS(S125-S127),'IMP Table'!$A$2:$C$26,3)*SIGN(S125-S127),"")</f>
        <v/>
      </c>
      <c r="AC125">
        <f>IF(AND(ISNUMBER(S125),ISNUMBER(S128)),VLOOKUP(ABS(S125-S128),'IMP Table'!$A$2:$C$26,3)*SIGN(S125-S128),"")</f>
        <v/>
      </c>
      <c r="AD125">
        <f>IF(AND(ISNUMBER(R125),ISNUMBER(R123)),IF(R125&gt;R123,1,IF(R125=R123,0.5,0)),0.5)</f>
        <v/>
      </c>
      <c r="AE125">
        <f>IF(AND(ISNUMBER(R125),ISNUMBER(R124)),IF(R125&gt;R124,1,IF(R125=R124,0.5,0)),0.5)</f>
        <v/>
      </c>
      <c r="AF125">
        <f>IF(AND(ISNUMBER(R125),ISNUMBER(R126)),IF(R125&gt;R126,1,IF(R125=R126,0.5,0)),0.5)</f>
        <v/>
      </c>
      <c r="AG125">
        <f>IF(AND(ISNUMBER(R125),ISNUMBER(R127)),IF(R125&gt;R127,1,IF(R125=R127,0.5,0)),0.5)</f>
        <v/>
      </c>
      <c r="AH125">
        <f>IF(AND(ISNUMBER(R125),ISNUMBER(R128)),IF(R125&gt;R128,1,IF(R125=R128,0.5,0)),0.5)</f>
        <v/>
      </c>
      <c r="AI125">
        <f>IF(AND(ISNUMBER(S125),ISNUMBER(S123)),IF(S125&gt;S123,1,IF(S125=S123,0.5,0)),0.5)</f>
        <v/>
      </c>
      <c r="AJ125">
        <f>IF(AND(ISNUMBER(S125),ISNUMBER(S124)),IF(S125&gt;S124,1,IF(S125=S124,0.5,0)),0.5)</f>
        <v/>
      </c>
      <c r="AK125">
        <f>IF(AND(ISNUMBER(S125),ISNUMBER(S126)),IF(S125&gt;S126,1,IF(S125=S126,0.5,0)),0.5)</f>
        <v/>
      </c>
      <c r="AL125">
        <f>IF(AND(ISNUMBER(S125),ISNUMBER(S127)),IF(S125&gt;S127,1,IF(S125=S127,0.5,0)),0.5)</f>
        <v/>
      </c>
      <c r="AM125">
        <f>IF(AND(ISNUMBER(S125),ISNUMBER(S128)),IF(S125&gt;S128,1,IF(S125=S128,0.5,0)),0.5)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4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5">
        <f>IFERROR(AVERAGE(T126:X126),"")</f>
        <v/>
      </c>
      <c r="M126" s="4">
        <f>IFERROR(AVERAGE(Y126:AC126),"")</f>
        <v/>
      </c>
      <c r="N126" s="5">
        <f>P126/5</f>
        <v/>
      </c>
      <c r="O126" s="5">
        <f>Q126/5</f>
        <v/>
      </c>
      <c r="P126" s="4">
        <f>IFERROR(SUM(AD126:AH126),"")</f>
        <v/>
      </c>
      <c r="Q126" s="4">
        <f>IFERROR(SUM(AI126:AM126),"")</f>
        <v/>
      </c>
      <c r="R126" s="16">
        <f>IF(ISNUMBER(J126),J126,IF(ISNUMBER(K126),-K126,""))</f>
        <v/>
      </c>
      <c r="S126">
        <f>IF(ISNUMBER(K126),K126,IF(ISNUMBER(J126),-J126,""))</f>
        <v/>
      </c>
      <c r="T126">
        <f>IF(AND(ISNUMBER(R126),ISNUMBER(R123)),VLOOKUP(ABS(R126-R123),'IMP Table'!$A$2:$C$26,3)*SIGN(R126-R123),"")</f>
        <v/>
      </c>
      <c r="U126">
        <f>IF(AND(ISNUMBER(R126),ISNUMBER(R124)),VLOOKUP(ABS(R126-R124),'IMP Table'!$A$2:$C$26,3)*SIGN(R126-R124),"")</f>
        <v/>
      </c>
      <c r="V126">
        <f>IF(AND(ISNUMBER(R126),ISNUMBER(R125)),VLOOKUP(ABS(R126-R125),'IMP Table'!$A$2:$C$26,3)*SIGN(R126-R125),"")</f>
        <v/>
      </c>
      <c r="W126">
        <f>IF(AND(ISNUMBER(R126),ISNUMBER(R127)),VLOOKUP(ABS(R126-R127),'IMP Table'!$A$2:$C$26,3)*SIGN(R126-R127),"")</f>
        <v/>
      </c>
      <c r="X126">
        <f>IF(AND(ISNUMBER(R126),ISNUMBER(R128)),VLOOKUP(ABS(R126-R128),'IMP Table'!$A$2:$C$26,3)*SIGN(R126-R128),"")</f>
        <v/>
      </c>
      <c r="Y126">
        <f>IF(AND(ISNUMBER(S126),ISNUMBER(S123)),VLOOKUP(ABS(S126-S123),'IMP Table'!$A$2:$C$26,3)*SIGN(S126-S123),"")</f>
        <v/>
      </c>
      <c r="Z126">
        <f>IF(AND(ISNUMBER(S126),ISNUMBER(S124)),VLOOKUP(ABS(S126-S124),'IMP Table'!$A$2:$C$26,3)*SIGN(S126-S124),"")</f>
        <v/>
      </c>
      <c r="AA126">
        <f>IF(AND(ISNUMBER(S126),ISNUMBER(S125)),VLOOKUP(ABS(S126-S125),'IMP Table'!$A$2:$C$26,3)*SIGN(S126-S125),"")</f>
        <v/>
      </c>
      <c r="AB126">
        <f>IF(AND(ISNUMBER(S126),ISNUMBER(S127)),VLOOKUP(ABS(S126-S127),'IMP Table'!$A$2:$C$26,3)*SIGN(S126-S127),"")</f>
        <v/>
      </c>
      <c r="AC126">
        <f>IF(AND(ISNUMBER(S126),ISNUMBER(S128)),VLOOKUP(ABS(S126-S128),'IMP Table'!$A$2:$C$26,3)*SIGN(S126-S128),"")</f>
        <v/>
      </c>
      <c r="AD126">
        <f>IF(AND(ISNUMBER(R126),ISNUMBER(R123)),IF(R126&gt;R123,1,IF(R126=R123,0.5,0)),0.5)</f>
        <v/>
      </c>
      <c r="AE126">
        <f>IF(AND(ISNUMBER(R126),ISNUMBER(R124)),IF(R126&gt;R124,1,IF(R126=R124,0.5,0)),0.5)</f>
        <v/>
      </c>
      <c r="AF126">
        <f>IF(AND(ISNUMBER(R126),ISNUMBER(R125)),IF(R126&gt;R125,1,IF(R126=R125,0.5,0)),0.5)</f>
        <v/>
      </c>
      <c r="AG126">
        <f>IF(AND(ISNUMBER(R126),ISNUMBER(R127)),IF(R126&gt;R127,1,IF(R126=R127,0.5,0)),0.5)</f>
        <v/>
      </c>
      <c r="AH126">
        <f>IF(AND(ISNUMBER(R126),ISNUMBER(R128)),IF(R126&gt;R128,1,IF(R126=R128,0.5,0)),0.5)</f>
        <v/>
      </c>
      <c r="AI126">
        <f>IF(AND(ISNUMBER(S126),ISNUMBER(S123)),IF(S126&gt;S123,1,IF(S126=S123,0.5,0)),0.5)</f>
        <v/>
      </c>
      <c r="AJ126">
        <f>IF(AND(ISNUMBER(S126),ISNUMBER(S124)),IF(S126&gt;S124,1,IF(S126=S124,0.5,0)),0.5)</f>
        <v/>
      </c>
      <c r="AK126">
        <f>IF(AND(ISNUMBER(S126),ISNUMBER(S125)),IF(S126&gt;S125,1,IF(S126=S125,0.5,0)),0.5)</f>
        <v/>
      </c>
      <c r="AL126">
        <f>IF(AND(ISNUMBER(S126),ISNUMBER(S127)),IF(S126&gt;S127,1,IF(S126=S127,0.5,0)),0.5)</f>
        <v/>
      </c>
      <c r="AM126">
        <f>IF(AND(ISNUMBER(S126),ISNUMBER(S128)),IF(S126&gt;S128,1,IF(S126=S128,0.5,0)),0.5)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4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5">
        <f>IFERROR(AVERAGE(T127:X127),"")</f>
        <v/>
      </c>
      <c r="M127" s="4">
        <f>IFERROR(AVERAGE(Y127:AC127),"")</f>
        <v/>
      </c>
      <c r="N127" s="5">
        <f>P127/5</f>
        <v/>
      </c>
      <c r="O127" s="5">
        <f>Q127/5</f>
        <v/>
      </c>
      <c r="P127" s="4">
        <f>IFERROR(SUM(AD127:AH127),"")</f>
        <v/>
      </c>
      <c r="Q127" s="4">
        <f>IFERROR(SUM(AI127:AM127),"")</f>
        <v/>
      </c>
      <c r="R127" s="16">
        <f>IF(ISNUMBER(J127),J127,IF(ISNUMBER(K127),-K127,""))</f>
        <v/>
      </c>
      <c r="S127">
        <f>IF(ISNUMBER(K127),K127,IF(ISNUMBER(J127),-J127,""))</f>
        <v/>
      </c>
      <c r="T127">
        <f>IF(AND(ISNUMBER(R127),ISNUMBER(R123)),VLOOKUP(ABS(R127-R123),'IMP Table'!$A$2:$C$26,3)*SIGN(R127-R123),"")</f>
        <v/>
      </c>
      <c r="U127">
        <f>IF(AND(ISNUMBER(R127),ISNUMBER(R124)),VLOOKUP(ABS(R127-R124),'IMP Table'!$A$2:$C$26,3)*SIGN(R127-R124),"")</f>
        <v/>
      </c>
      <c r="V127">
        <f>IF(AND(ISNUMBER(R127),ISNUMBER(R125)),VLOOKUP(ABS(R127-R125),'IMP Table'!$A$2:$C$26,3)*SIGN(R127-R125),"")</f>
        <v/>
      </c>
      <c r="W127">
        <f>IF(AND(ISNUMBER(R127),ISNUMBER(R126)),VLOOKUP(ABS(R127-R126),'IMP Table'!$A$2:$C$26,3)*SIGN(R127-R126),"")</f>
        <v/>
      </c>
      <c r="X127">
        <f>IF(AND(ISNUMBER(R127),ISNUMBER(R128)),VLOOKUP(ABS(R127-R128),'IMP Table'!$A$2:$C$26,3)*SIGN(R127-R128),"")</f>
        <v/>
      </c>
      <c r="Y127">
        <f>IF(AND(ISNUMBER(S127),ISNUMBER(S123)),VLOOKUP(ABS(S127-S123),'IMP Table'!$A$2:$C$26,3)*SIGN(S127-S123),"")</f>
        <v/>
      </c>
      <c r="Z127">
        <f>IF(AND(ISNUMBER(S127),ISNUMBER(S124)),VLOOKUP(ABS(S127-S124),'IMP Table'!$A$2:$C$26,3)*SIGN(S127-S124),"")</f>
        <v/>
      </c>
      <c r="AA127">
        <f>IF(AND(ISNUMBER(S127),ISNUMBER(S125)),VLOOKUP(ABS(S127-S125),'IMP Table'!$A$2:$C$26,3)*SIGN(S127-S125),"")</f>
        <v/>
      </c>
      <c r="AB127">
        <f>IF(AND(ISNUMBER(S127),ISNUMBER(S126)),VLOOKUP(ABS(S127-S126),'IMP Table'!$A$2:$C$26,3)*SIGN(S127-S126),"")</f>
        <v/>
      </c>
      <c r="AC127">
        <f>IF(AND(ISNUMBER(S127),ISNUMBER(S128)),VLOOKUP(ABS(S127-S128),'IMP Table'!$A$2:$C$26,3)*SIGN(S127-S128),"")</f>
        <v/>
      </c>
      <c r="AD127">
        <f>IF(AND(ISNUMBER(R127),ISNUMBER(R123)),IF(R127&gt;R123,1,IF(R127=R123,0.5,0)),0.5)</f>
        <v/>
      </c>
      <c r="AE127">
        <f>IF(AND(ISNUMBER(R127),ISNUMBER(R124)),IF(R127&gt;R124,1,IF(R127=R124,0.5,0)),0.5)</f>
        <v/>
      </c>
      <c r="AF127">
        <f>IF(AND(ISNUMBER(R127),ISNUMBER(R125)),IF(R127&gt;R125,1,IF(R127=R125,0.5,0)),0.5)</f>
        <v/>
      </c>
      <c r="AG127">
        <f>IF(AND(ISNUMBER(R127),ISNUMBER(R126)),IF(R127&gt;R126,1,IF(R127=R126,0.5,0)),0.5)</f>
        <v/>
      </c>
      <c r="AH127">
        <f>IF(AND(ISNUMBER(R127),ISNUMBER(R128)),IF(R127&gt;R128,1,IF(R127=R128,0.5,0)),0.5)</f>
        <v/>
      </c>
      <c r="AI127">
        <f>IF(AND(ISNUMBER(S127),ISNUMBER(S123)),IF(S127&gt;S123,1,IF(S127=S123,0.5,0)),0.5)</f>
        <v/>
      </c>
      <c r="AJ127">
        <f>IF(AND(ISNUMBER(S127),ISNUMBER(S124)),IF(S127&gt;S124,1,IF(S127=S124,0.5,0)),0.5)</f>
        <v/>
      </c>
      <c r="AK127">
        <f>IF(AND(ISNUMBER(S127),ISNUMBER(S125)),IF(S127&gt;S125,1,IF(S127=S125,0.5,0)),0.5)</f>
        <v/>
      </c>
      <c r="AL127">
        <f>IF(AND(ISNUMBER(S127),ISNUMBER(S126)),IF(S127&gt;S126,1,IF(S127=S126,0.5,0)),0.5)</f>
        <v/>
      </c>
      <c r="AM127">
        <f>IF(AND(ISNUMBER(S127),ISNUMBER(S128)),IF(S127&gt;S128,1,IF(S127=S128,0.5,0)),0.5)</f>
        <v/>
      </c>
    </row>
    <row r="128">
      <c r="A128" s="13" t="n"/>
      <c r="B128" s="13">
        <f>'By Round'!A123</f>
        <v/>
      </c>
      <c r="C128" s="13">
        <f>'By Round'!B123</f>
        <v/>
      </c>
      <c r="D128" s="13">
        <f>'By Round'!C123</f>
        <v/>
      </c>
      <c r="E128" s="13">
        <f>'By Round'!D123</f>
        <v/>
      </c>
      <c r="F128" s="17" t="inlineStr">
        <is>
          <t>NS</t>
        </is>
      </c>
      <c r="G128" s="13">
        <f>IF(ISBLANK('By Round'!G123),"",'By Round'!G123)</f>
        <v/>
      </c>
      <c r="H128" s="13">
        <f>IF(ISBLANK('By Round'!H123),"",'By Round'!H123)</f>
        <v/>
      </c>
      <c r="I128" s="13">
        <f>IF(ISBLANK('By Round'!I123),"",'By Round'!I123)</f>
        <v/>
      </c>
      <c r="J128" s="13">
        <f>IF(ISBLANK('By Round'!J123),"",'By Round'!J123)</f>
        <v/>
      </c>
      <c r="K128" s="13">
        <f>IF(ISBLANK('By Round'!K123),"",'By Round'!K123)</f>
        <v/>
      </c>
      <c r="L128" s="18">
        <f>IFERROR(AVERAGE(T128:X128),"")</f>
        <v/>
      </c>
      <c r="M128" s="19">
        <f>IFERROR(AVERAGE(Y128:AC128),"")</f>
        <v/>
      </c>
      <c r="N128" s="20">
        <f>P128/5</f>
        <v/>
      </c>
      <c r="O128" s="20">
        <f>Q128/5</f>
        <v/>
      </c>
      <c r="P128" s="19">
        <f>IFERROR(SUM(AD128:AH128),"")</f>
        <v/>
      </c>
      <c r="Q128" s="19">
        <f>IFERROR(SUM(AI128:AM128),"")</f>
        <v/>
      </c>
      <c r="R128" s="21">
        <f>IF(ISNUMBER(J128),J128,IF(ISNUMBER(K128),-K128,""))</f>
        <v/>
      </c>
      <c r="S128" s="13">
        <f>IF(ISNUMBER(K128),K128,IF(ISNUMBER(J128),-J128,""))</f>
        <v/>
      </c>
      <c r="T128" s="13">
        <f>IF(AND(ISNUMBER(R128),ISNUMBER(R123)),VLOOKUP(ABS(R128-R123),'IMP Table'!$A$2:$C$26,3)*SIGN(R128-R123),"")</f>
        <v/>
      </c>
      <c r="U128" s="13">
        <f>IF(AND(ISNUMBER(R128),ISNUMBER(R124)),VLOOKUP(ABS(R128-R124),'IMP Table'!$A$2:$C$26,3)*SIGN(R128-R124),"")</f>
        <v/>
      </c>
      <c r="V128" s="13">
        <f>IF(AND(ISNUMBER(R128),ISNUMBER(R125)),VLOOKUP(ABS(R128-R125),'IMP Table'!$A$2:$C$26,3)*SIGN(R128-R125),"")</f>
        <v/>
      </c>
      <c r="W128" s="13">
        <f>IF(AND(ISNUMBER(R128),ISNUMBER(R126)),VLOOKUP(ABS(R128-R126),'IMP Table'!$A$2:$C$26,3)*SIGN(R128-R126),"")</f>
        <v/>
      </c>
      <c r="X128" s="13">
        <f>IF(AND(ISNUMBER(R128),ISNUMBER(R127)),VLOOKUP(ABS(R128-R127),'IMP Table'!$A$2:$C$26,3)*SIGN(R128-R127),"")</f>
        <v/>
      </c>
      <c r="Y128" s="13">
        <f>IF(AND(ISNUMBER(S128),ISNUMBER(S123)),VLOOKUP(ABS(S128-S123),'IMP Table'!$A$2:$C$26,3)*SIGN(S128-S123),"")</f>
        <v/>
      </c>
      <c r="Z128" s="13">
        <f>IF(AND(ISNUMBER(S128),ISNUMBER(S124)),VLOOKUP(ABS(S128-S124),'IMP Table'!$A$2:$C$26,3)*SIGN(S128-S124),"")</f>
        <v/>
      </c>
      <c r="AA128" s="13">
        <f>IF(AND(ISNUMBER(S128),ISNUMBER(S125)),VLOOKUP(ABS(S128-S125),'IMP Table'!$A$2:$C$26,3)*SIGN(S128-S125),"")</f>
        <v/>
      </c>
      <c r="AB128" s="13">
        <f>IF(AND(ISNUMBER(S128),ISNUMBER(S126)),VLOOKUP(ABS(S128-S126),'IMP Table'!$A$2:$C$26,3)*SIGN(S128-S126),"")</f>
        <v/>
      </c>
      <c r="AC128" s="13">
        <f>IF(AND(ISNUMBER(S128),ISNUMBER(S127)),VLOOKUP(ABS(S128-S127),'IMP Table'!$A$2:$C$26,3)*SIGN(S128-S127),"")</f>
        <v/>
      </c>
      <c r="AD128" s="13">
        <f>IF(AND(ISNUMBER(R128),ISNUMBER(R123)),IF(R128&gt;R123,1,IF(R128=R123,0.5,0)),0.5)</f>
        <v/>
      </c>
      <c r="AE128" s="13">
        <f>IF(AND(ISNUMBER(R128),ISNUMBER(R124)),IF(R128&gt;R124,1,IF(R128=R124,0.5,0)),0.5)</f>
        <v/>
      </c>
      <c r="AF128" s="13">
        <f>IF(AND(ISNUMBER(R128),ISNUMBER(R125)),IF(R128&gt;R125,1,IF(R128=R125,0.5,0)),0.5)</f>
        <v/>
      </c>
      <c r="AG128" s="13">
        <f>IF(AND(ISNUMBER(R128),ISNUMBER(R126)),IF(R128&gt;R126,1,IF(R128=R126,0.5,0)),0.5)</f>
        <v/>
      </c>
      <c r="AH128" s="13">
        <f>IF(AND(ISNUMBER(R128),ISNUMBER(R127)),IF(R128&gt;R127,1,IF(R128=R127,0.5,0)),0.5)</f>
        <v/>
      </c>
      <c r="AI128" s="13">
        <f>IF(AND(ISNUMBER(S128),ISNUMBER(S123)),IF(S128&gt;S123,1,IF(S128=S123,0.5,0)),0.5)</f>
        <v/>
      </c>
      <c r="AJ128" s="13">
        <f>IF(AND(ISNUMBER(S128),ISNUMBER(S124)),IF(S128&gt;S124,1,IF(S128=S124,0.5,0)),0.5)</f>
        <v/>
      </c>
      <c r="AK128" s="13">
        <f>IF(AND(ISNUMBER(S128),ISNUMBER(S125)),IF(S128&gt;S125,1,IF(S128=S125,0.5,0)),0.5)</f>
        <v/>
      </c>
      <c r="AL128" s="13">
        <f>IF(AND(ISNUMBER(S128),ISNUMBER(S126)),IF(S128&gt;S126,1,IF(S128=S126,0.5,0)),0.5)</f>
        <v/>
      </c>
      <c r="AM128" s="13">
        <f>IF(AND(ISNUMBER(S128),ISNUMBER(S127)),IF(S128&gt;S127,1,IF(S128=S127,0.5,0)),0.5)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4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5">
        <f>IFERROR(AVERAGE(T129:X129),"")</f>
        <v/>
      </c>
      <c r="M129" s="4">
        <f>IFERROR(AVERAGE(Y129:AC129),"")</f>
        <v/>
      </c>
      <c r="N129" s="5">
        <f>P129/5</f>
        <v/>
      </c>
      <c r="O129" s="5">
        <f>Q129/5</f>
        <v/>
      </c>
      <c r="P129" s="4">
        <f>IFERROR(SUM(AD129:AH129),"")</f>
        <v/>
      </c>
      <c r="Q129" s="4">
        <f>IFERROR(SUM(AI129:AM129),"")</f>
        <v/>
      </c>
      <c r="R129" s="16">
        <f>IF(ISNUMBER(J129),J129,IF(ISNUMBER(K129),-K129,""))</f>
        <v/>
      </c>
      <c r="S129">
        <f>IF(ISNUMBER(K129),K129,IF(ISNUMBER(J129),-J129,""))</f>
        <v/>
      </c>
      <c r="T129">
        <f>IF(AND(ISNUMBER(R129),ISNUMBER(R130)),VLOOKUP(ABS(R129-R130),'IMP Table'!$A$2:$C$26,3)*SIGN(R129-R130),"")</f>
        <v/>
      </c>
      <c r="U129">
        <f>IF(AND(ISNUMBER(R129),ISNUMBER(R131)),VLOOKUP(ABS(R129-R131),'IMP Table'!$A$2:$C$26,3)*SIGN(R129-R131),"")</f>
        <v/>
      </c>
      <c r="V129">
        <f>IF(AND(ISNUMBER(R129),ISNUMBER(R132)),VLOOKUP(ABS(R129-R132),'IMP Table'!$A$2:$C$26,3)*SIGN(R129-R132),"")</f>
        <v/>
      </c>
      <c r="W129">
        <f>IF(AND(ISNUMBER(R129),ISNUMBER(R133)),VLOOKUP(ABS(R129-R133),'IMP Table'!$A$2:$C$26,3)*SIGN(R129-R133),"")</f>
        <v/>
      </c>
      <c r="X129">
        <f>IF(AND(ISNUMBER(R129),ISNUMBER(R134)),VLOOKUP(ABS(R129-R134),'IMP Table'!$A$2:$C$26,3)*SIGN(R129-R134),"")</f>
        <v/>
      </c>
      <c r="Y129">
        <f>IF(AND(ISNUMBER(S129),ISNUMBER(S130)),VLOOKUP(ABS(S129-S130),'IMP Table'!$A$2:$C$26,3)*SIGN(S129-S130),"")</f>
        <v/>
      </c>
      <c r="Z129">
        <f>IF(AND(ISNUMBER(S129),ISNUMBER(S131)),VLOOKUP(ABS(S129-S131),'IMP Table'!$A$2:$C$26,3)*SIGN(S129-S131),"")</f>
        <v/>
      </c>
      <c r="AA129">
        <f>IF(AND(ISNUMBER(S129),ISNUMBER(S132)),VLOOKUP(ABS(S129-S132),'IMP Table'!$A$2:$C$26,3)*SIGN(S129-S132),"")</f>
        <v/>
      </c>
      <c r="AB129">
        <f>IF(AND(ISNUMBER(S129),ISNUMBER(S133)),VLOOKUP(ABS(S129-S133),'IMP Table'!$A$2:$C$26,3)*SIGN(S129-S133),"")</f>
        <v/>
      </c>
      <c r="AC129">
        <f>IF(AND(ISNUMBER(S129),ISNUMBER(S134)),VLOOKUP(ABS(S129-S134),'IMP Table'!$A$2:$C$26,3)*SIGN(S129-S134),"")</f>
        <v/>
      </c>
      <c r="AD129">
        <f>IF(AND(ISNUMBER(R129),ISNUMBER(R130)),IF(R129&gt;R130,1,IF(R129=R130,0.5,0)),0.5)</f>
        <v/>
      </c>
      <c r="AE129">
        <f>IF(AND(ISNUMBER(R129),ISNUMBER(R131)),IF(R129&gt;R131,1,IF(R129=R131,0.5,0)),0.5)</f>
        <v/>
      </c>
      <c r="AF129">
        <f>IF(AND(ISNUMBER(R129),ISNUMBER(R132)),IF(R129&gt;R132,1,IF(R129=R132,0.5,0)),0.5)</f>
        <v/>
      </c>
      <c r="AG129">
        <f>IF(AND(ISNUMBER(R129),ISNUMBER(R133)),IF(R129&gt;R133,1,IF(R129=R133,0.5,0)),0.5)</f>
        <v/>
      </c>
      <c r="AH129">
        <f>IF(AND(ISNUMBER(R129),ISNUMBER(R134)),IF(R129&gt;R134,1,IF(R129=R134,0.5,0)),0.5)</f>
        <v/>
      </c>
      <c r="AI129">
        <f>IF(AND(ISNUMBER(S129),ISNUMBER(S130)),IF(S129&gt;S130,1,IF(S129=S130,0.5,0)),0.5)</f>
        <v/>
      </c>
      <c r="AJ129">
        <f>IF(AND(ISNUMBER(S129),ISNUMBER(S131)),IF(S129&gt;S131,1,IF(S129=S131,0.5,0)),0.5)</f>
        <v/>
      </c>
      <c r="AK129">
        <f>IF(AND(ISNUMBER(S129),ISNUMBER(S132)),IF(S129&gt;S132,1,IF(S129=S132,0.5,0)),0.5)</f>
        <v/>
      </c>
      <c r="AL129">
        <f>IF(AND(ISNUMBER(S129),ISNUMBER(S133)),IF(S129&gt;S133,1,IF(S129=S133,0.5,0)),0.5)</f>
        <v/>
      </c>
      <c r="AM129">
        <f>IF(AND(ISNUMBER(S129),ISNUMBER(S134)),IF(S129&gt;S134,1,IF(S129=S134,0.5,0)),0.5)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4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5">
        <f>IFERROR(AVERAGE(T130:X130),"")</f>
        <v/>
      </c>
      <c r="M130" s="4">
        <f>IFERROR(AVERAGE(Y130:AC130),"")</f>
        <v/>
      </c>
      <c r="N130" s="5">
        <f>P130/5</f>
        <v/>
      </c>
      <c r="O130" s="5">
        <f>Q130/5</f>
        <v/>
      </c>
      <c r="P130" s="4">
        <f>IFERROR(SUM(AD130:AH130),"")</f>
        <v/>
      </c>
      <c r="Q130" s="4">
        <f>IFERROR(SUM(AI130:AM130),"")</f>
        <v/>
      </c>
      <c r="R130" s="16">
        <f>IF(ISNUMBER(J130),J130,IF(ISNUMBER(K130),-K130,""))</f>
        <v/>
      </c>
      <c r="S130">
        <f>IF(ISNUMBER(K130),K130,IF(ISNUMBER(J130),-J130,""))</f>
        <v/>
      </c>
      <c r="T130">
        <f>IF(AND(ISNUMBER(R130),ISNUMBER(R129)),VLOOKUP(ABS(R130-R129),'IMP Table'!$A$2:$C$26,3)*SIGN(R130-R129),"")</f>
        <v/>
      </c>
      <c r="U130">
        <f>IF(AND(ISNUMBER(R130),ISNUMBER(R131)),VLOOKUP(ABS(R130-R131),'IMP Table'!$A$2:$C$26,3)*SIGN(R130-R131),"")</f>
        <v/>
      </c>
      <c r="V130">
        <f>IF(AND(ISNUMBER(R130),ISNUMBER(R132)),VLOOKUP(ABS(R130-R132),'IMP Table'!$A$2:$C$26,3)*SIGN(R130-R132),"")</f>
        <v/>
      </c>
      <c r="W130">
        <f>IF(AND(ISNUMBER(R130),ISNUMBER(R133)),VLOOKUP(ABS(R130-R133),'IMP Table'!$A$2:$C$26,3)*SIGN(R130-R133),"")</f>
        <v/>
      </c>
      <c r="X130">
        <f>IF(AND(ISNUMBER(R130),ISNUMBER(R134)),VLOOKUP(ABS(R130-R134),'IMP Table'!$A$2:$C$26,3)*SIGN(R130-R134),"")</f>
        <v/>
      </c>
      <c r="Y130">
        <f>IF(AND(ISNUMBER(S130),ISNUMBER(S129)),VLOOKUP(ABS(S130-S129),'IMP Table'!$A$2:$C$26,3)*SIGN(S130-S129),"")</f>
        <v/>
      </c>
      <c r="Z130">
        <f>IF(AND(ISNUMBER(S130),ISNUMBER(S131)),VLOOKUP(ABS(S130-S131),'IMP Table'!$A$2:$C$26,3)*SIGN(S130-S131),"")</f>
        <v/>
      </c>
      <c r="AA130">
        <f>IF(AND(ISNUMBER(S130),ISNUMBER(S132)),VLOOKUP(ABS(S130-S132),'IMP Table'!$A$2:$C$26,3)*SIGN(S130-S132),"")</f>
        <v/>
      </c>
      <c r="AB130">
        <f>IF(AND(ISNUMBER(S130),ISNUMBER(S133)),VLOOKUP(ABS(S130-S133),'IMP Table'!$A$2:$C$26,3)*SIGN(S130-S133),"")</f>
        <v/>
      </c>
      <c r="AC130">
        <f>IF(AND(ISNUMBER(S130),ISNUMBER(S134)),VLOOKUP(ABS(S130-S134),'IMP Table'!$A$2:$C$26,3)*SIGN(S130-S134),"")</f>
        <v/>
      </c>
      <c r="AD130">
        <f>IF(AND(ISNUMBER(R130),ISNUMBER(R129)),IF(R130&gt;R129,1,IF(R130=R129,0.5,0)),0.5)</f>
        <v/>
      </c>
      <c r="AE130">
        <f>IF(AND(ISNUMBER(R130),ISNUMBER(R131)),IF(R130&gt;R131,1,IF(R130=R131,0.5,0)),0.5)</f>
        <v/>
      </c>
      <c r="AF130">
        <f>IF(AND(ISNUMBER(R130),ISNUMBER(R132)),IF(R130&gt;R132,1,IF(R130=R132,0.5,0)),0.5)</f>
        <v/>
      </c>
      <c r="AG130">
        <f>IF(AND(ISNUMBER(R130),ISNUMBER(R133)),IF(R130&gt;R133,1,IF(R130=R133,0.5,0)),0.5)</f>
        <v/>
      </c>
      <c r="AH130">
        <f>IF(AND(ISNUMBER(R130),ISNUMBER(R134)),IF(R130&gt;R134,1,IF(R130=R134,0.5,0)),0.5)</f>
        <v/>
      </c>
      <c r="AI130">
        <f>IF(AND(ISNUMBER(S130),ISNUMBER(S129)),IF(S130&gt;S129,1,IF(S130=S129,0.5,0)),0.5)</f>
        <v/>
      </c>
      <c r="AJ130">
        <f>IF(AND(ISNUMBER(S130),ISNUMBER(S131)),IF(S130&gt;S131,1,IF(S130=S131,0.5,0)),0.5)</f>
        <v/>
      </c>
      <c r="AK130">
        <f>IF(AND(ISNUMBER(S130),ISNUMBER(S132)),IF(S130&gt;S132,1,IF(S130=S132,0.5,0)),0.5)</f>
        <v/>
      </c>
      <c r="AL130">
        <f>IF(AND(ISNUMBER(S130),ISNUMBER(S133)),IF(S130&gt;S133,1,IF(S130=S133,0.5,0)),0.5)</f>
        <v/>
      </c>
      <c r="AM130">
        <f>IF(AND(ISNUMBER(S130),ISNUMBER(S134)),IF(S130&gt;S134,1,IF(S130=S134,0.5,0)),0.5)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4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5">
        <f>IFERROR(AVERAGE(T131:X131),"")</f>
        <v/>
      </c>
      <c r="M131" s="4">
        <f>IFERROR(AVERAGE(Y131:AC131),"")</f>
        <v/>
      </c>
      <c r="N131" s="5">
        <f>P131/5</f>
        <v/>
      </c>
      <c r="O131" s="5">
        <f>Q131/5</f>
        <v/>
      </c>
      <c r="P131" s="4">
        <f>IFERROR(SUM(AD131:AH131),"")</f>
        <v/>
      </c>
      <c r="Q131" s="4">
        <f>IFERROR(SUM(AI131:AM131),"")</f>
        <v/>
      </c>
      <c r="R131" s="16">
        <f>IF(ISNUMBER(J131),J131,IF(ISNUMBER(K131),-K131,""))</f>
        <v/>
      </c>
      <c r="S131">
        <f>IF(ISNUMBER(K131),K131,IF(ISNUMBER(J131),-J131,""))</f>
        <v/>
      </c>
      <c r="T131">
        <f>IF(AND(ISNUMBER(R131),ISNUMBER(R129)),VLOOKUP(ABS(R131-R129),'IMP Table'!$A$2:$C$26,3)*SIGN(R131-R129),"")</f>
        <v/>
      </c>
      <c r="U131">
        <f>IF(AND(ISNUMBER(R131),ISNUMBER(R130)),VLOOKUP(ABS(R131-R130),'IMP Table'!$A$2:$C$26,3)*SIGN(R131-R130),"")</f>
        <v/>
      </c>
      <c r="V131">
        <f>IF(AND(ISNUMBER(R131),ISNUMBER(R132)),VLOOKUP(ABS(R131-R132),'IMP Table'!$A$2:$C$26,3)*SIGN(R131-R132),"")</f>
        <v/>
      </c>
      <c r="W131">
        <f>IF(AND(ISNUMBER(R131),ISNUMBER(R133)),VLOOKUP(ABS(R131-R133),'IMP Table'!$A$2:$C$26,3)*SIGN(R131-R133),"")</f>
        <v/>
      </c>
      <c r="X131">
        <f>IF(AND(ISNUMBER(R131),ISNUMBER(R134)),VLOOKUP(ABS(R131-R134),'IMP Table'!$A$2:$C$26,3)*SIGN(R131-R134),"")</f>
        <v/>
      </c>
      <c r="Y131">
        <f>IF(AND(ISNUMBER(S131),ISNUMBER(S129)),VLOOKUP(ABS(S131-S129),'IMP Table'!$A$2:$C$26,3)*SIGN(S131-S129),"")</f>
        <v/>
      </c>
      <c r="Z131">
        <f>IF(AND(ISNUMBER(S131),ISNUMBER(S130)),VLOOKUP(ABS(S131-S130),'IMP Table'!$A$2:$C$26,3)*SIGN(S131-S130),"")</f>
        <v/>
      </c>
      <c r="AA131">
        <f>IF(AND(ISNUMBER(S131),ISNUMBER(S132)),VLOOKUP(ABS(S131-S132),'IMP Table'!$A$2:$C$26,3)*SIGN(S131-S132),"")</f>
        <v/>
      </c>
      <c r="AB131">
        <f>IF(AND(ISNUMBER(S131),ISNUMBER(S133)),VLOOKUP(ABS(S131-S133),'IMP Table'!$A$2:$C$26,3)*SIGN(S131-S133),"")</f>
        <v/>
      </c>
      <c r="AC131">
        <f>IF(AND(ISNUMBER(S131),ISNUMBER(S134)),VLOOKUP(ABS(S131-S134),'IMP Table'!$A$2:$C$26,3)*SIGN(S131-S134),"")</f>
        <v/>
      </c>
      <c r="AD131">
        <f>IF(AND(ISNUMBER(R131),ISNUMBER(R129)),IF(R131&gt;R129,1,IF(R131=R129,0.5,0)),0.5)</f>
        <v/>
      </c>
      <c r="AE131">
        <f>IF(AND(ISNUMBER(R131),ISNUMBER(R130)),IF(R131&gt;R130,1,IF(R131=R130,0.5,0)),0.5)</f>
        <v/>
      </c>
      <c r="AF131">
        <f>IF(AND(ISNUMBER(R131),ISNUMBER(R132)),IF(R131&gt;R132,1,IF(R131=R132,0.5,0)),0.5)</f>
        <v/>
      </c>
      <c r="AG131">
        <f>IF(AND(ISNUMBER(R131),ISNUMBER(R133)),IF(R131&gt;R133,1,IF(R131=R133,0.5,0)),0.5)</f>
        <v/>
      </c>
      <c r="AH131">
        <f>IF(AND(ISNUMBER(R131),ISNUMBER(R134)),IF(R131&gt;R134,1,IF(R131=R134,0.5,0)),0.5)</f>
        <v/>
      </c>
      <c r="AI131">
        <f>IF(AND(ISNUMBER(S131),ISNUMBER(S129)),IF(S131&gt;S129,1,IF(S131=S129,0.5,0)),0.5)</f>
        <v/>
      </c>
      <c r="AJ131">
        <f>IF(AND(ISNUMBER(S131),ISNUMBER(S130)),IF(S131&gt;S130,1,IF(S131=S130,0.5,0)),0.5)</f>
        <v/>
      </c>
      <c r="AK131">
        <f>IF(AND(ISNUMBER(S131),ISNUMBER(S132)),IF(S131&gt;S132,1,IF(S131=S132,0.5,0)),0.5)</f>
        <v/>
      </c>
      <c r="AL131">
        <f>IF(AND(ISNUMBER(S131),ISNUMBER(S133)),IF(S131&gt;S133,1,IF(S131=S133,0.5,0)),0.5)</f>
        <v/>
      </c>
      <c r="AM131">
        <f>IF(AND(ISNUMBER(S131),ISNUMBER(S134)),IF(S131&gt;S134,1,IF(S131=S134,0.5,0)),0.5)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4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5">
        <f>IFERROR(AVERAGE(T132:X132),"")</f>
        <v/>
      </c>
      <c r="M132" s="4">
        <f>IFERROR(AVERAGE(Y132:AC132),"")</f>
        <v/>
      </c>
      <c r="N132" s="5">
        <f>P132/5</f>
        <v/>
      </c>
      <c r="O132" s="5">
        <f>Q132/5</f>
        <v/>
      </c>
      <c r="P132" s="4">
        <f>IFERROR(SUM(AD132:AH132),"")</f>
        <v/>
      </c>
      <c r="Q132" s="4">
        <f>IFERROR(SUM(AI132:AM132),"")</f>
        <v/>
      </c>
      <c r="R132" s="16">
        <f>IF(ISNUMBER(J132),J132,IF(ISNUMBER(K132),-K132,""))</f>
        <v/>
      </c>
      <c r="S132">
        <f>IF(ISNUMBER(K132),K132,IF(ISNUMBER(J132),-J132,""))</f>
        <v/>
      </c>
      <c r="T132">
        <f>IF(AND(ISNUMBER(R132),ISNUMBER(R129)),VLOOKUP(ABS(R132-R129),'IMP Table'!$A$2:$C$26,3)*SIGN(R132-R129),"")</f>
        <v/>
      </c>
      <c r="U132">
        <f>IF(AND(ISNUMBER(R132),ISNUMBER(R130)),VLOOKUP(ABS(R132-R130),'IMP Table'!$A$2:$C$26,3)*SIGN(R132-R130),"")</f>
        <v/>
      </c>
      <c r="V132">
        <f>IF(AND(ISNUMBER(R132),ISNUMBER(R131)),VLOOKUP(ABS(R132-R131),'IMP Table'!$A$2:$C$26,3)*SIGN(R132-R131),"")</f>
        <v/>
      </c>
      <c r="W132">
        <f>IF(AND(ISNUMBER(R132),ISNUMBER(R133)),VLOOKUP(ABS(R132-R133),'IMP Table'!$A$2:$C$26,3)*SIGN(R132-R133),"")</f>
        <v/>
      </c>
      <c r="X132">
        <f>IF(AND(ISNUMBER(R132),ISNUMBER(R134)),VLOOKUP(ABS(R132-R134),'IMP Table'!$A$2:$C$26,3)*SIGN(R132-R134),"")</f>
        <v/>
      </c>
      <c r="Y132">
        <f>IF(AND(ISNUMBER(S132),ISNUMBER(S129)),VLOOKUP(ABS(S132-S129),'IMP Table'!$A$2:$C$26,3)*SIGN(S132-S129),"")</f>
        <v/>
      </c>
      <c r="Z132">
        <f>IF(AND(ISNUMBER(S132),ISNUMBER(S130)),VLOOKUP(ABS(S132-S130),'IMP Table'!$A$2:$C$26,3)*SIGN(S132-S130),"")</f>
        <v/>
      </c>
      <c r="AA132">
        <f>IF(AND(ISNUMBER(S132),ISNUMBER(S131)),VLOOKUP(ABS(S132-S131),'IMP Table'!$A$2:$C$26,3)*SIGN(S132-S131),"")</f>
        <v/>
      </c>
      <c r="AB132">
        <f>IF(AND(ISNUMBER(S132),ISNUMBER(S133)),VLOOKUP(ABS(S132-S133),'IMP Table'!$A$2:$C$26,3)*SIGN(S132-S133),"")</f>
        <v/>
      </c>
      <c r="AC132">
        <f>IF(AND(ISNUMBER(S132),ISNUMBER(S134)),VLOOKUP(ABS(S132-S134),'IMP Table'!$A$2:$C$26,3)*SIGN(S132-S134),"")</f>
        <v/>
      </c>
      <c r="AD132">
        <f>IF(AND(ISNUMBER(R132),ISNUMBER(R129)),IF(R132&gt;R129,1,IF(R132=R129,0.5,0)),0.5)</f>
        <v/>
      </c>
      <c r="AE132">
        <f>IF(AND(ISNUMBER(R132),ISNUMBER(R130)),IF(R132&gt;R130,1,IF(R132=R130,0.5,0)),0.5)</f>
        <v/>
      </c>
      <c r="AF132">
        <f>IF(AND(ISNUMBER(R132),ISNUMBER(R131)),IF(R132&gt;R131,1,IF(R132=R131,0.5,0)),0.5)</f>
        <v/>
      </c>
      <c r="AG132">
        <f>IF(AND(ISNUMBER(R132),ISNUMBER(R133)),IF(R132&gt;R133,1,IF(R132=R133,0.5,0)),0.5)</f>
        <v/>
      </c>
      <c r="AH132">
        <f>IF(AND(ISNUMBER(R132),ISNUMBER(R134)),IF(R132&gt;R134,1,IF(R132=R134,0.5,0)),0.5)</f>
        <v/>
      </c>
      <c r="AI132">
        <f>IF(AND(ISNUMBER(S132),ISNUMBER(S129)),IF(S132&gt;S129,1,IF(S132=S129,0.5,0)),0.5)</f>
        <v/>
      </c>
      <c r="AJ132">
        <f>IF(AND(ISNUMBER(S132),ISNUMBER(S130)),IF(S132&gt;S130,1,IF(S132=S130,0.5,0)),0.5)</f>
        <v/>
      </c>
      <c r="AK132">
        <f>IF(AND(ISNUMBER(S132),ISNUMBER(S131)),IF(S132&gt;S131,1,IF(S132=S131,0.5,0)),0.5)</f>
        <v/>
      </c>
      <c r="AL132">
        <f>IF(AND(ISNUMBER(S132),ISNUMBER(S133)),IF(S132&gt;S133,1,IF(S132=S133,0.5,0)),0.5)</f>
        <v/>
      </c>
      <c r="AM132">
        <f>IF(AND(ISNUMBER(S132),ISNUMBER(S134)),IF(S132&gt;S134,1,IF(S132=S134,0.5,0)),0.5)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4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5">
        <f>IFERROR(AVERAGE(T133:X133),"")</f>
        <v/>
      </c>
      <c r="M133" s="4">
        <f>IFERROR(AVERAGE(Y133:AC133),"")</f>
        <v/>
      </c>
      <c r="N133" s="5">
        <f>P133/5</f>
        <v/>
      </c>
      <c r="O133" s="5">
        <f>Q133/5</f>
        <v/>
      </c>
      <c r="P133" s="4">
        <f>IFERROR(SUM(AD133:AH133),"")</f>
        <v/>
      </c>
      <c r="Q133" s="4">
        <f>IFERROR(SUM(AI133:AM133),"")</f>
        <v/>
      </c>
      <c r="R133" s="16">
        <f>IF(ISNUMBER(J133),J133,IF(ISNUMBER(K133),-K133,""))</f>
        <v/>
      </c>
      <c r="S133">
        <f>IF(ISNUMBER(K133),K133,IF(ISNUMBER(J133),-J133,""))</f>
        <v/>
      </c>
      <c r="T133">
        <f>IF(AND(ISNUMBER(R133),ISNUMBER(R129)),VLOOKUP(ABS(R133-R129),'IMP Table'!$A$2:$C$26,3)*SIGN(R133-R129),"")</f>
        <v/>
      </c>
      <c r="U133">
        <f>IF(AND(ISNUMBER(R133),ISNUMBER(R130)),VLOOKUP(ABS(R133-R130),'IMP Table'!$A$2:$C$26,3)*SIGN(R133-R130),"")</f>
        <v/>
      </c>
      <c r="V133">
        <f>IF(AND(ISNUMBER(R133),ISNUMBER(R131)),VLOOKUP(ABS(R133-R131),'IMP Table'!$A$2:$C$26,3)*SIGN(R133-R131),"")</f>
        <v/>
      </c>
      <c r="W133">
        <f>IF(AND(ISNUMBER(R133),ISNUMBER(R132)),VLOOKUP(ABS(R133-R132),'IMP Table'!$A$2:$C$26,3)*SIGN(R133-R132),"")</f>
        <v/>
      </c>
      <c r="X133">
        <f>IF(AND(ISNUMBER(R133),ISNUMBER(R134)),VLOOKUP(ABS(R133-R134),'IMP Table'!$A$2:$C$26,3)*SIGN(R133-R134),"")</f>
        <v/>
      </c>
      <c r="Y133">
        <f>IF(AND(ISNUMBER(S133),ISNUMBER(S129)),VLOOKUP(ABS(S133-S129),'IMP Table'!$A$2:$C$26,3)*SIGN(S133-S129),"")</f>
        <v/>
      </c>
      <c r="Z133">
        <f>IF(AND(ISNUMBER(S133),ISNUMBER(S130)),VLOOKUP(ABS(S133-S130),'IMP Table'!$A$2:$C$26,3)*SIGN(S133-S130),"")</f>
        <v/>
      </c>
      <c r="AA133">
        <f>IF(AND(ISNUMBER(S133),ISNUMBER(S131)),VLOOKUP(ABS(S133-S131),'IMP Table'!$A$2:$C$26,3)*SIGN(S133-S131),"")</f>
        <v/>
      </c>
      <c r="AB133">
        <f>IF(AND(ISNUMBER(S133),ISNUMBER(S132)),VLOOKUP(ABS(S133-S132),'IMP Table'!$A$2:$C$26,3)*SIGN(S133-S132),"")</f>
        <v/>
      </c>
      <c r="AC133">
        <f>IF(AND(ISNUMBER(S133),ISNUMBER(S134)),VLOOKUP(ABS(S133-S134),'IMP Table'!$A$2:$C$26,3)*SIGN(S133-S134),"")</f>
        <v/>
      </c>
      <c r="AD133">
        <f>IF(AND(ISNUMBER(R133),ISNUMBER(R129)),IF(R133&gt;R129,1,IF(R133=R129,0.5,0)),0.5)</f>
        <v/>
      </c>
      <c r="AE133">
        <f>IF(AND(ISNUMBER(R133),ISNUMBER(R130)),IF(R133&gt;R130,1,IF(R133=R130,0.5,0)),0.5)</f>
        <v/>
      </c>
      <c r="AF133">
        <f>IF(AND(ISNUMBER(R133),ISNUMBER(R131)),IF(R133&gt;R131,1,IF(R133=R131,0.5,0)),0.5)</f>
        <v/>
      </c>
      <c r="AG133">
        <f>IF(AND(ISNUMBER(R133),ISNUMBER(R132)),IF(R133&gt;R132,1,IF(R133=R132,0.5,0)),0.5)</f>
        <v/>
      </c>
      <c r="AH133">
        <f>IF(AND(ISNUMBER(R133),ISNUMBER(R134)),IF(R133&gt;R134,1,IF(R133=R134,0.5,0)),0.5)</f>
        <v/>
      </c>
      <c r="AI133">
        <f>IF(AND(ISNUMBER(S133),ISNUMBER(S129)),IF(S133&gt;S129,1,IF(S133=S129,0.5,0)),0.5)</f>
        <v/>
      </c>
      <c r="AJ133">
        <f>IF(AND(ISNUMBER(S133),ISNUMBER(S130)),IF(S133&gt;S130,1,IF(S133=S130,0.5,0)),0.5)</f>
        <v/>
      </c>
      <c r="AK133">
        <f>IF(AND(ISNUMBER(S133),ISNUMBER(S131)),IF(S133&gt;S131,1,IF(S133=S131,0.5,0)),0.5)</f>
        <v/>
      </c>
      <c r="AL133">
        <f>IF(AND(ISNUMBER(S133),ISNUMBER(S132)),IF(S133&gt;S132,1,IF(S133=S132,0.5,0)),0.5)</f>
        <v/>
      </c>
      <c r="AM133">
        <f>IF(AND(ISNUMBER(S133),ISNUMBER(S134)),IF(S133&gt;S134,1,IF(S133=S134,0.5,0)),0.5)</f>
        <v/>
      </c>
    </row>
    <row r="134">
      <c r="B134">
        <f>'By Round'!A123</f>
        <v/>
      </c>
      <c r="C134">
        <f>'By Round'!B123</f>
        <v/>
      </c>
      <c r="D134">
        <f>'By Round'!C123</f>
        <v/>
      </c>
      <c r="E134">
        <f>'By Round'!D123</f>
        <v/>
      </c>
      <c r="F134" s="14" t="inlineStr">
        <is>
          <t>EW</t>
        </is>
      </c>
      <c r="G134">
        <f>IF(ISBLANK('By Round'!G123),"",'By Round'!G123)</f>
        <v/>
      </c>
      <c r="H134">
        <f>IF(ISBLANK('By Round'!H123),"",'By Round'!H123)</f>
        <v/>
      </c>
      <c r="I134">
        <f>IF(ISBLANK('By Round'!I123),"",'By Round'!I123)</f>
        <v/>
      </c>
      <c r="J134">
        <f>IF(ISBLANK('By Round'!J123),"",'By Round'!J123)</f>
        <v/>
      </c>
      <c r="K134">
        <f>IF(ISBLANK('By Round'!K123),"",'By Round'!K123)</f>
        <v/>
      </c>
      <c r="L134" s="15">
        <f>IFERROR(AVERAGE(T134:X134),"")</f>
        <v/>
      </c>
      <c r="M134" s="4">
        <f>IFERROR(AVERAGE(Y134:AC134),"")</f>
        <v/>
      </c>
      <c r="N134" s="5">
        <f>P134/5</f>
        <v/>
      </c>
      <c r="O134" s="5">
        <f>Q134/5</f>
        <v/>
      </c>
      <c r="P134" s="4">
        <f>IFERROR(SUM(AD134:AH134),"")</f>
        <v/>
      </c>
      <c r="Q134" s="4">
        <f>IFERROR(SUM(AI134:AM134),"")</f>
        <v/>
      </c>
      <c r="R134" s="16">
        <f>IF(ISNUMBER(J134),J134,IF(ISNUMBER(K134),-K134,""))</f>
        <v/>
      </c>
      <c r="S134">
        <f>IF(ISNUMBER(K134),K134,IF(ISNUMBER(J134),-J134,""))</f>
        <v/>
      </c>
      <c r="T134">
        <f>IF(AND(ISNUMBER(R134),ISNUMBER(R129)),VLOOKUP(ABS(R134-R129),'IMP Table'!$A$2:$C$26,3)*SIGN(R134-R129),"")</f>
        <v/>
      </c>
      <c r="U134">
        <f>IF(AND(ISNUMBER(R134),ISNUMBER(R130)),VLOOKUP(ABS(R134-R130),'IMP Table'!$A$2:$C$26,3)*SIGN(R134-R130),"")</f>
        <v/>
      </c>
      <c r="V134">
        <f>IF(AND(ISNUMBER(R134),ISNUMBER(R131)),VLOOKUP(ABS(R134-R131),'IMP Table'!$A$2:$C$26,3)*SIGN(R134-R131),"")</f>
        <v/>
      </c>
      <c r="W134">
        <f>IF(AND(ISNUMBER(R134),ISNUMBER(R132)),VLOOKUP(ABS(R134-R132),'IMP Table'!$A$2:$C$26,3)*SIGN(R134-R132),"")</f>
        <v/>
      </c>
      <c r="X134">
        <f>IF(AND(ISNUMBER(R134),ISNUMBER(R133)),VLOOKUP(ABS(R134-R133),'IMP Table'!$A$2:$C$26,3)*SIGN(R134-R133),"")</f>
        <v/>
      </c>
      <c r="Y134">
        <f>IF(AND(ISNUMBER(S134),ISNUMBER(S129)),VLOOKUP(ABS(S134-S129),'IMP Table'!$A$2:$C$26,3)*SIGN(S134-S129),"")</f>
        <v/>
      </c>
      <c r="Z134">
        <f>IF(AND(ISNUMBER(S134),ISNUMBER(S130)),VLOOKUP(ABS(S134-S130),'IMP Table'!$A$2:$C$26,3)*SIGN(S134-S130),"")</f>
        <v/>
      </c>
      <c r="AA134">
        <f>IF(AND(ISNUMBER(S134),ISNUMBER(S131)),VLOOKUP(ABS(S134-S131),'IMP Table'!$A$2:$C$26,3)*SIGN(S134-S131),"")</f>
        <v/>
      </c>
      <c r="AB134">
        <f>IF(AND(ISNUMBER(S134),ISNUMBER(S132)),VLOOKUP(ABS(S134-S132),'IMP Table'!$A$2:$C$26,3)*SIGN(S134-S132),"")</f>
        <v/>
      </c>
      <c r="AC134">
        <f>IF(AND(ISNUMBER(S134),ISNUMBER(S133)),VLOOKUP(ABS(S134-S133),'IMP Table'!$A$2:$C$26,3)*SIGN(S134-S133),"")</f>
        <v/>
      </c>
      <c r="AD134">
        <f>IF(AND(ISNUMBER(R134),ISNUMBER(R129)),IF(R134&gt;R129,1,IF(R134=R129,0.5,0)),0.5)</f>
        <v/>
      </c>
      <c r="AE134">
        <f>IF(AND(ISNUMBER(R134),ISNUMBER(R130)),IF(R134&gt;R130,1,IF(R134=R130,0.5,0)),0.5)</f>
        <v/>
      </c>
      <c r="AF134">
        <f>IF(AND(ISNUMBER(R134),ISNUMBER(R131)),IF(R134&gt;R131,1,IF(R134=R131,0.5,0)),0.5)</f>
        <v/>
      </c>
      <c r="AG134">
        <f>IF(AND(ISNUMBER(R134),ISNUMBER(R132)),IF(R134&gt;R132,1,IF(R134=R132,0.5,0)),0.5)</f>
        <v/>
      </c>
      <c r="AH134">
        <f>IF(AND(ISNUMBER(R134),ISNUMBER(R133)),IF(R134&gt;R133,1,IF(R134=R133,0.5,0)),0.5)</f>
        <v/>
      </c>
      <c r="AI134">
        <f>IF(AND(ISNUMBER(S134),ISNUMBER(S129)),IF(S134&gt;S129,1,IF(S134=S129,0.5,0)),0.5)</f>
        <v/>
      </c>
      <c r="AJ134">
        <f>IF(AND(ISNUMBER(S134),ISNUMBER(S130)),IF(S134&gt;S130,1,IF(S134=S130,0.5,0)),0.5)</f>
        <v/>
      </c>
      <c r="AK134">
        <f>IF(AND(ISNUMBER(S134),ISNUMBER(S131)),IF(S134&gt;S131,1,IF(S134=S131,0.5,0)),0.5)</f>
        <v/>
      </c>
      <c r="AL134">
        <f>IF(AND(ISNUMBER(S134),ISNUMBER(S132)),IF(S134&gt;S132,1,IF(S134=S132,0.5,0)),0.5)</f>
        <v/>
      </c>
      <c r="AM134">
        <f>IF(AND(ISNUMBER(S134),ISNUMBER(S133)),IF(S134&gt;S133,1,IF(S134=S133,0.5,0)),0.5)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12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3</v>
      </c>
      <c r="D5" s="14" t="n">
        <v>10</v>
      </c>
      <c r="E5" s="14" t="n">
        <v>9</v>
      </c>
      <c r="F5" s="14" t="inlineStr">
        <is>
          <t>EW</t>
        </is>
      </c>
    </row>
    <row r="6">
      <c r="B6" s="22" t="n"/>
      <c r="C6" s="22" t="n"/>
      <c r="D6" s="22" t="n"/>
      <c r="E6" s="22" t="n">
        <v>10</v>
      </c>
      <c r="F6" s="22" t="inlineStr">
        <is>
          <t>Both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8</v>
      </c>
      <c r="D7" s="14" t="n">
        <v>7</v>
      </c>
      <c r="E7" s="14" t="n">
        <v>11</v>
      </c>
      <c r="F7" s="14" t="inlineStr">
        <is>
          <t>None</t>
        </is>
      </c>
    </row>
    <row r="8">
      <c r="B8" s="22" t="n"/>
      <c r="C8" s="22" t="n"/>
      <c r="D8" s="22" t="n"/>
      <c r="E8" s="22" t="n">
        <v>12</v>
      </c>
      <c r="F8" s="22" t="inlineStr">
        <is>
          <t>NS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5</v>
      </c>
      <c r="D9" s="14" t="n">
        <v>11</v>
      </c>
      <c r="E9" s="14" t="n">
        <v>15</v>
      </c>
      <c r="F9" s="14" t="inlineStr">
        <is>
          <t>NS</t>
        </is>
      </c>
    </row>
    <row r="10">
      <c r="B10" s="22" t="n"/>
      <c r="C10" s="22" t="n"/>
      <c r="D10" s="22" t="n"/>
      <c r="E10" s="22" t="n">
        <v>16</v>
      </c>
      <c r="F10" s="22" t="inlineStr">
        <is>
          <t>EW</t>
        </is>
      </c>
      <c r="G10" s="23" t="n"/>
      <c r="H10" s="23" t="n"/>
      <c r="I10" s="23" t="n"/>
      <c r="J10" s="23" t="n"/>
      <c r="K10" s="23" t="n"/>
    </row>
    <row r="11">
      <c r="B11" s="14" t="n">
        <v>5</v>
      </c>
      <c r="C11" s="14" t="n">
        <v>4</v>
      </c>
      <c r="D11" s="14" t="n">
        <v>2</v>
      </c>
      <c r="E11" s="14" t="n">
        <v>17</v>
      </c>
      <c r="F11" s="14" t="inlineStr">
        <is>
          <t>None</t>
        </is>
      </c>
    </row>
    <row r="12">
      <c r="B12" s="22" t="n"/>
      <c r="C12" s="22" t="n"/>
      <c r="D12" s="22" t="n"/>
      <c r="E12" s="22" t="n">
        <v>18</v>
      </c>
      <c r="F12" s="22" t="inlineStr">
        <is>
          <t>NS</t>
        </is>
      </c>
      <c r="G12" s="23" t="n"/>
      <c r="H12" s="23" t="n"/>
      <c r="I12" s="23" t="n"/>
      <c r="J12" s="23" t="n"/>
      <c r="K12" s="23" t="n"/>
    </row>
    <row r="13">
      <c r="B13" s="14" t="n">
        <v>6</v>
      </c>
      <c r="C13" s="14" t="n">
        <v>9</v>
      </c>
      <c r="D13" s="14" t="n">
        <v>6</v>
      </c>
      <c r="E13" s="14" t="n">
        <v>19</v>
      </c>
      <c r="F13" s="14" t="inlineStr">
        <is>
          <t>EW</t>
        </is>
      </c>
    </row>
    <row r="14">
      <c r="A14" s="23" t="n"/>
      <c r="B14" s="22" t="n"/>
      <c r="C14" s="22" t="n"/>
      <c r="D14" s="22" t="n"/>
      <c r="E14" s="22" t="n">
        <v>20</v>
      </c>
      <c r="F14" s="22" t="inlineStr">
        <is>
          <t>Both</t>
        </is>
      </c>
      <c r="G14" s="23" t="n"/>
      <c r="H14" s="23" t="n"/>
      <c r="I14" s="23" t="n"/>
      <c r="J14" s="23" t="n"/>
      <c r="K14" s="23" t="n"/>
    </row>
    <row r="15">
      <c r="A15" s="14" t="n">
        <v>2</v>
      </c>
      <c r="B15" s="14" t="n">
        <v>1</v>
      </c>
      <c r="C15" s="14" t="n">
        <v>12</v>
      </c>
      <c r="D15" s="14" t="n">
        <v>2</v>
      </c>
      <c r="E15" s="14" t="n">
        <v>3</v>
      </c>
      <c r="F15" s="14" t="inlineStr">
        <is>
          <t>EW</t>
        </is>
      </c>
    </row>
    <row r="16">
      <c r="B16" s="22" t="n"/>
      <c r="C16" s="22" t="n"/>
      <c r="D16" s="22" t="n"/>
      <c r="E16" s="22" t="n">
        <v>4</v>
      </c>
      <c r="F16" s="22" t="inlineStr">
        <is>
          <t>Both</t>
        </is>
      </c>
      <c r="G16" s="23" t="n"/>
      <c r="H16" s="23" t="n"/>
      <c r="I16" s="23" t="n"/>
      <c r="J16" s="23" t="n"/>
      <c r="K16" s="23" t="n"/>
    </row>
    <row r="17">
      <c r="B17" s="14" t="n">
        <v>2</v>
      </c>
      <c r="C17" s="14" t="n">
        <v>4</v>
      </c>
      <c r="D17" s="14" t="n">
        <v>11</v>
      </c>
      <c r="E17" s="14" t="n">
        <v>11</v>
      </c>
      <c r="F17" s="14" t="inlineStr">
        <is>
          <t>None</t>
        </is>
      </c>
    </row>
    <row r="18">
      <c r="B18" s="22" t="n"/>
      <c r="C18" s="22" t="n"/>
      <c r="D18" s="22" t="n"/>
      <c r="E18" s="22" t="n">
        <v>12</v>
      </c>
      <c r="F18" s="22" t="inlineStr">
        <is>
          <t>NS</t>
        </is>
      </c>
      <c r="G18" s="23" t="n"/>
      <c r="H18" s="23" t="n"/>
      <c r="I18" s="23" t="n"/>
      <c r="J18" s="23" t="n"/>
      <c r="K18" s="23" t="n"/>
    </row>
    <row r="19">
      <c r="B19" s="14" t="n">
        <v>3</v>
      </c>
      <c r="C19" s="14" t="n">
        <v>9</v>
      </c>
      <c r="D19" s="14" t="n">
        <v>8</v>
      </c>
      <c r="E19" s="14" t="n">
        <v>13</v>
      </c>
      <c r="F19" s="14" t="inlineStr">
        <is>
          <t>Both</t>
        </is>
      </c>
    </row>
    <row r="20">
      <c r="B20" s="22" t="n"/>
      <c r="C20" s="22" t="n"/>
      <c r="D20" s="22" t="n"/>
      <c r="E20" s="22" t="n">
        <v>14</v>
      </c>
      <c r="F20" s="22" t="inlineStr">
        <is>
          <t>None</t>
        </is>
      </c>
      <c r="G20" s="23" t="n"/>
      <c r="H20" s="23" t="n"/>
      <c r="I20" s="23" t="n"/>
      <c r="J20" s="23" t="n"/>
      <c r="K20" s="23" t="n"/>
    </row>
    <row r="21">
      <c r="B21" s="14" t="n">
        <v>4</v>
      </c>
      <c r="C21" s="14" t="n">
        <v>6</v>
      </c>
      <c r="D21" s="14" t="n">
        <v>1</v>
      </c>
      <c r="E21" s="14" t="n">
        <v>17</v>
      </c>
      <c r="F21" s="14" t="inlineStr">
        <is>
          <t>None</t>
        </is>
      </c>
    </row>
    <row r="22">
      <c r="B22" s="22" t="n"/>
      <c r="C22" s="22" t="n"/>
      <c r="D22" s="22" t="n"/>
      <c r="E22" s="22" t="n">
        <v>18</v>
      </c>
      <c r="F22" s="22" t="inlineStr">
        <is>
          <t>NS</t>
        </is>
      </c>
      <c r="G22" s="23" t="n"/>
      <c r="H22" s="23" t="n"/>
      <c r="I22" s="23" t="n"/>
      <c r="J22" s="23" t="n"/>
      <c r="K22" s="23" t="n"/>
    </row>
    <row r="23">
      <c r="B23" s="14" t="n">
        <v>5</v>
      </c>
      <c r="C23" s="14" t="n">
        <v>5</v>
      </c>
      <c r="D23" s="14" t="n">
        <v>3</v>
      </c>
      <c r="E23" s="14" t="n">
        <v>19</v>
      </c>
      <c r="F23" s="14" t="inlineStr">
        <is>
          <t>EW</t>
        </is>
      </c>
    </row>
    <row r="24">
      <c r="B24" s="22" t="n"/>
      <c r="C24" s="22" t="n"/>
      <c r="D24" s="22" t="n"/>
      <c r="E24" s="22" t="n">
        <v>20</v>
      </c>
      <c r="F24" s="22" t="inlineStr">
        <is>
          <t>Both</t>
        </is>
      </c>
      <c r="G24" s="23" t="n"/>
      <c r="H24" s="23" t="n"/>
      <c r="I24" s="23" t="n"/>
      <c r="J24" s="23" t="n"/>
      <c r="K24" s="23" t="n"/>
    </row>
    <row r="25">
      <c r="B25" s="14" t="n">
        <v>6</v>
      </c>
      <c r="C25" s="14" t="n">
        <v>10</v>
      </c>
      <c r="D25" s="14" t="n">
        <v>7</v>
      </c>
      <c r="E25" s="14" t="n">
        <v>21</v>
      </c>
      <c r="F25" s="14" t="inlineStr">
        <is>
          <t>NS</t>
        </is>
      </c>
    </row>
    <row r="26">
      <c r="A26" s="23" t="n"/>
      <c r="B26" s="22" t="n"/>
      <c r="C26" s="22" t="n"/>
      <c r="D26" s="22" t="n"/>
      <c r="E26" s="22" t="n">
        <v>22</v>
      </c>
      <c r="F26" s="22" t="inlineStr">
        <is>
          <t>EW</t>
        </is>
      </c>
      <c r="G26" s="23" t="n"/>
      <c r="H26" s="23" t="n"/>
      <c r="I26" s="23" t="n"/>
      <c r="J26" s="23" t="n"/>
      <c r="K26" s="23" t="n"/>
    </row>
    <row r="27">
      <c r="A27" s="14" t="n">
        <v>3</v>
      </c>
      <c r="B27" s="14" t="n">
        <v>1</v>
      </c>
      <c r="C27" s="14" t="n">
        <v>12</v>
      </c>
      <c r="D27" s="14" t="n">
        <v>3</v>
      </c>
      <c r="E27" s="14" t="n">
        <v>5</v>
      </c>
      <c r="F27" s="14" t="inlineStr">
        <is>
          <t>NS</t>
        </is>
      </c>
    </row>
    <row r="28">
      <c r="B28" s="22" t="n"/>
      <c r="C28" s="22" t="n"/>
      <c r="D28" s="22" t="n"/>
      <c r="E28" s="22" t="n">
        <v>6</v>
      </c>
      <c r="F28" s="22" t="inlineStr">
        <is>
          <t>EW</t>
        </is>
      </c>
      <c r="G28" s="23" t="n"/>
      <c r="H28" s="23" t="n"/>
      <c r="I28" s="23" t="n"/>
      <c r="J28" s="23" t="n"/>
      <c r="K28" s="23" t="n"/>
    </row>
    <row r="29">
      <c r="B29" s="14" t="n">
        <v>2</v>
      </c>
      <c r="C29" s="14" t="n">
        <v>5</v>
      </c>
      <c r="D29" s="14" t="n">
        <v>1</v>
      </c>
      <c r="E29" s="14" t="n">
        <v>13</v>
      </c>
      <c r="F29" s="14" t="inlineStr">
        <is>
          <t>Both</t>
        </is>
      </c>
    </row>
    <row r="30">
      <c r="B30" s="22" t="n"/>
      <c r="C30" s="22" t="n"/>
      <c r="D30" s="22" t="n"/>
      <c r="E30" s="22" t="n">
        <v>14</v>
      </c>
      <c r="F30" s="22" t="inlineStr">
        <is>
          <t>None</t>
        </is>
      </c>
      <c r="G30" s="23" t="n"/>
      <c r="H30" s="23" t="n"/>
      <c r="I30" s="23" t="n"/>
      <c r="J30" s="23" t="n"/>
      <c r="K30" s="23" t="n"/>
    </row>
    <row r="31">
      <c r="B31" s="14" t="n">
        <v>3</v>
      </c>
      <c r="C31" s="14" t="n">
        <v>10</v>
      </c>
      <c r="D31" s="14" t="n">
        <v>9</v>
      </c>
      <c r="E31" s="14" t="n">
        <v>15</v>
      </c>
      <c r="F31" s="14" t="inlineStr">
        <is>
          <t>NS</t>
        </is>
      </c>
    </row>
    <row r="32">
      <c r="B32" s="22" t="n"/>
      <c r="C32" s="22" t="n"/>
      <c r="D32" s="22" t="n"/>
      <c r="E32" s="22" t="n">
        <v>16</v>
      </c>
      <c r="F32" s="22" t="inlineStr">
        <is>
          <t>EW</t>
        </is>
      </c>
      <c r="G32" s="23" t="n"/>
      <c r="H32" s="23" t="n"/>
      <c r="I32" s="23" t="n"/>
      <c r="J32" s="23" t="n"/>
      <c r="K32" s="23" t="n"/>
    </row>
    <row r="33">
      <c r="B33" s="14" t="n">
        <v>4</v>
      </c>
      <c r="C33" s="14" t="n">
        <v>7</v>
      </c>
      <c r="D33" s="14" t="n">
        <v>2</v>
      </c>
      <c r="E33" s="14" t="n">
        <v>19</v>
      </c>
      <c r="F33" s="14" t="inlineStr">
        <is>
          <t>EW</t>
        </is>
      </c>
    </row>
    <row r="34">
      <c r="B34" s="22" t="n"/>
      <c r="C34" s="22" t="n"/>
      <c r="D34" s="22" t="n"/>
      <c r="E34" s="22" t="n">
        <v>20</v>
      </c>
      <c r="F34" s="22" t="inlineStr">
        <is>
          <t>Both</t>
        </is>
      </c>
      <c r="G34" s="23" t="n"/>
      <c r="H34" s="23" t="n"/>
      <c r="I34" s="23" t="n"/>
      <c r="J34" s="23" t="n"/>
      <c r="K34" s="23" t="n"/>
    </row>
    <row r="35">
      <c r="B35" s="14" t="n">
        <v>5</v>
      </c>
      <c r="C35" s="14" t="n">
        <v>6</v>
      </c>
      <c r="D35" s="14" t="n">
        <v>4</v>
      </c>
      <c r="E35" s="14" t="n">
        <v>21</v>
      </c>
      <c r="F35" s="14" t="inlineStr">
        <is>
          <t>NS</t>
        </is>
      </c>
    </row>
    <row r="36">
      <c r="B36" s="22" t="n"/>
      <c r="C36" s="22" t="n"/>
      <c r="D36" s="22" t="n"/>
      <c r="E36" s="22" t="n">
        <v>22</v>
      </c>
      <c r="F36" s="22" t="inlineStr">
        <is>
          <t>EW</t>
        </is>
      </c>
      <c r="G36" s="23" t="n"/>
      <c r="H36" s="23" t="n"/>
      <c r="I36" s="23" t="n"/>
      <c r="J36" s="23" t="n"/>
      <c r="K36" s="23" t="n"/>
    </row>
    <row r="37">
      <c r="B37" s="14" t="n">
        <v>6</v>
      </c>
      <c r="C37" s="14" t="n">
        <v>11</v>
      </c>
      <c r="D37" s="14" t="n">
        <v>8</v>
      </c>
      <c r="E37" s="14" t="n">
        <v>1</v>
      </c>
      <c r="F37" s="14" t="inlineStr">
        <is>
          <t>None</t>
        </is>
      </c>
    </row>
    <row r="38">
      <c r="A38" s="23" t="n"/>
      <c r="B38" s="22" t="n"/>
      <c r="C38" s="22" t="n"/>
      <c r="D38" s="22" t="n"/>
      <c r="E38" s="22" t="n">
        <v>2</v>
      </c>
      <c r="F38" s="22" t="inlineStr">
        <is>
          <t>NS</t>
        </is>
      </c>
      <c r="G38" s="23" t="n"/>
      <c r="H38" s="23" t="n"/>
      <c r="I38" s="23" t="n"/>
      <c r="J38" s="23" t="n"/>
      <c r="K38" s="23" t="n"/>
    </row>
    <row r="39">
      <c r="A39" s="14" t="n">
        <v>4</v>
      </c>
      <c r="B39" s="14" t="n">
        <v>1</v>
      </c>
      <c r="C39" s="14" t="n">
        <v>12</v>
      </c>
      <c r="D39" s="14" t="n">
        <v>4</v>
      </c>
      <c r="E39" s="14" t="n">
        <v>7</v>
      </c>
      <c r="F39" s="14" t="inlineStr">
        <is>
          <t>Both</t>
        </is>
      </c>
    </row>
    <row r="40">
      <c r="B40" s="22" t="n"/>
      <c r="C40" s="22" t="n"/>
      <c r="D40" s="22" t="n"/>
      <c r="E40" s="22" t="n">
        <v>8</v>
      </c>
      <c r="F40" s="22" t="inlineStr">
        <is>
          <t>None</t>
        </is>
      </c>
      <c r="G40" s="23" t="n"/>
      <c r="H40" s="23" t="n"/>
      <c r="I40" s="23" t="n"/>
      <c r="J40" s="23" t="n"/>
      <c r="K40" s="23" t="n"/>
    </row>
    <row r="41">
      <c r="B41" s="14" t="n">
        <v>2</v>
      </c>
      <c r="C41" s="14" t="n">
        <v>6</v>
      </c>
      <c r="D41" s="14" t="n">
        <v>2</v>
      </c>
      <c r="E41" s="14" t="n">
        <v>15</v>
      </c>
      <c r="F41" s="14" t="inlineStr">
        <is>
          <t>NS</t>
        </is>
      </c>
    </row>
    <row r="42">
      <c r="B42" s="22" t="n"/>
      <c r="C42" s="22" t="n"/>
      <c r="D42" s="22" t="n"/>
      <c r="E42" s="22" t="n">
        <v>16</v>
      </c>
      <c r="F42" s="22" t="inlineStr">
        <is>
          <t>EW</t>
        </is>
      </c>
      <c r="G42" s="23" t="n"/>
      <c r="H42" s="23" t="n"/>
      <c r="I42" s="23" t="n"/>
      <c r="J42" s="23" t="n"/>
      <c r="K42" s="23" t="n"/>
    </row>
    <row r="43">
      <c r="B43" s="14" t="n">
        <v>3</v>
      </c>
      <c r="C43" s="14" t="n">
        <v>11</v>
      </c>
      <c r="D43" s="14" t="n">
        <v>10</v>
      </c>
      <c r="E43" s="14" t="n">
        <v>17</v>
      </c>
      <c r="F43" s="14" t="inlineStr">
        <is>
          <t>None</t>
        </is>
      </c>
    </row>
    <row r="44">
      <c r="B44" s="22" t="n"/>
      <c r="C44" s="22" t="n"/>
      <c r="D44" s="22" t="n"/>
      <c r="E44" s="22" t="n">
        <v>18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B45" s="14" t="n">
        <v>4</v>
      </c>
      <c r="C45" s="14" t="n">
        <v>8</v>
      </c>
      <c r="D45" s="14" t="n">
        <v>3</v>
      </c>
      <c r="E45" s="14" t="n">
        <v>21</v>
      </c>
      <c r="F45" s="14" t="inlineStr">
        <is>
          <t>NS</t>
        </is>
      </c>
    </row>
    <row r="46">
      <c r="B46" s="22" t="n"/>
      <c r="C46" s="22" t="n"/>
      <c r="D46" s="22" t="n"/>
      <c r="E46" s="22" t="n">
        <v>22</v>
      </c>
      <c r="F46" s="22" t="inlineStr">
        <is>
          <t>EW</t>
        </is>
      </c>
      <c r="G46" s="23" t="n"/>
      <c r="H46" s="23" t="n"/>
      <c r="I46" s="23" t="n"/>
      <c r="J46" s="23" t="n"/>
      <c r="K46" s="23" t="n"/>
    </row>
    <row r="47">
      <c r="B47" s="14" t="n">
        <v>5</v>
      </c>
      <c r="C47" s="14" t="n">
        <v>7</v>
      </c>
      <c r="D47" s="14" t="n">
        <v>5</v>
      </c>
      <c r="E47" s="14" t="n">
        <v>1</v>
      </c>
      <c r="F47" s="14" t="inlineStr">
        <is>
          <t>None</t>
        </is>
      </c>
    </row>
    <row r="48">
      <c r="B48" s="22" t="n"/>
      <c r="C48" s="22" t="n"/>
      <c r="D48" s="22" t="n"/>
      <c r="E48" s="22" t="n">
        <v>2</v>
      </c>
      <c r="F48" s="22" t="inlineStr">
        <is>
          <t>NS</t>
        </is>
      </c>
      <c r="G48" s="23" t="n"/>
      <c r="H48" s="23" t="n"/>
      <c r="I48" s="23" t="n"/>
      <c r="J48" s="23" t="n"/>
      <c r="K48" s="23" t="n"/>
    </row>
    <row r="49">
      <c r="B49" s="14" t="n">
        <v>6</v>
      </c>
      <c r="C49" s="14" t="n">
        <v>1</v>
      </c>
      <c r="D49" s="14" t="n">
        <v>9</v>
      </c>
      <c r="E49" s="14" t="n">
        <v>3</v>
      </c>
      <c r="F49" s="14" t="inlineStr">
        <is>
          <t>EW</t>
        </is>
      </c>
    </row>
    <row r="50">
      <c r="A50" s="23" t="n"/>
      <c r="B50" s="22" t="n"/>
      <c r="C50" s="22" t="n"/>
      <c r="D50" s="22" t="n"/>
      <c r="E50" s="22" t="n">
        <v>4</v>
      </c>
      <c r="F50" s="22" t="inlineStr">
        <is>
          <t>Both</t>
        </is>
      </c>
      <c r="G50" s="23" t="n"/>
      <c r="H50" s="23" t="n"/>
      <c r="I50" s="23" t="n"/>
      <c r="J50" s="23" t="n"/>
      <c r="K50" s="23" t="n"/>
    </row>
    <row r="51">
      <c r="A51" s="14" t="n">
        <v>5</v>
      </c>
      <c r="B51" s="14" t="n">
        <v>1</v>
      </c>
      <c r="C51" s="14" t="n">
        <v>12</v>
      </c>
      <c r="D51" s="14" t="n">
        <v>5</v>
      </c>
      <c r="E51" s="14" t="n">
        <v>9</v>
      </c>
      <c r="F51" s="14" t="inlineStr">
        <is>
          <t>EW</t>
        </is>
      </c>
    </row>
    <row r="52">
      <c r="B52" s="22" t="n"/>
      <c r="C52" s="22" t="n"/>
      <c r="D52" s="22" t="n"/>
      <c r="E52" s="22" t="n">
        <v>10</v>
      </c>
      <c r="F52" s="22" t="inlineStr">
        <is>
          <t>Both</t>
        </is>
      </c>
      <c r="G52" s="23" t="n"/>
      <c r="H52" s="23" t="n"/>
      <c r="I52" s="23" t="n"/>
      <c r="J52" s="23" t="n"/>
      <c r="K52" s="23" t="n"/>
    </row>
    <row r="53">
      <c r="B53" s="14" t="n">
        <v>2</v>
      </c>
      <c r="C53" s="14" t="n">
        <v>7</v>
      </c>
      <c r="D53" s="14" t="n">
        <v>3</v>
      </c>
      <c r="E53" s="14" t="n">
        <v>17</v>
      </c>
      <c r="F53" s="14" t="inlineStr">
        <is>
          <t>None</t>
        </is>
      </c>
    </row>
    <row r="54">
      <c r="B54" s="22" t="n"/>
      <c r="C54" s="22" t="n"/>
      <c r="D54" s="22" t="n"/>
      <c r="E54" s="22" t="n">
        <v>18</v>
      </c>
      <c r="F54" s="22" t="inlineStr">
        <is>
          <t>NS</t>
        </is>
      </c>
      <c r="G54" s="23" t="n"/>
      <c r="H54" s="23" t="n"/>
      <c r="I54" s="23" t="n"/>
      <c r="J54" s="23" t="n"/>
      <c r="K54" s="23" t="n"/>
    </row>
    <row r="55">
      <c r="B55" s="14" t="n">
        <v>3</v>
      </c>
      <c r="C55" s="14" t="n">
        <v>1</v>
      </c>
      <c r="D55" s="14" t="n">
        <v>11</v>
      </c>
      <c r="E55" s="14" t="n">
        <v>19</v>
      </c>
      <c r="F55" s="14" t="inlineStr">
        <is>
          <t>EW</t>
        </is>
      </c>
    </row>
    <row r="56">
      <c r="B56" s="22" t="n"/>
      <c r="C56" s="22" t="n"/>
      <c r="D56" s="22" t="n"/>
      <c r="E56" s="22" t="n">
        <v>20</v>
      </c>
      <c r="F56" s="22" t="inlineStr">
        <is>
          <t>Both</t>
        </is>
      </c>
      <c r="G56" s="23" t="n"/>
      <c r="H56" s="23" t="n"/>
      <c r="I56" s="23" t="n"/>
      <c r="J56" s="23" t="n"/>
      <c r="K56" s="23" t="n"/>
    </row>
    <row r="57">
      <c r="B57" s="14" t="n">
        <v>4</v>
      </c>
      <c r="C57" s="14" t="n">
        <v>9</v>
      </c>
      <c r="D57" s="14" t="n">
        <v>4</v>
      </c>
      <c r="E57" s="14" t="n">
        <v>1</v>
      </c>
      <c r="F57" s="14" t="inlineStr">
        <is>
          <t>None</t>
        </is>
      </c>
    </row>
    <row r="58">
      <c r="B58" s="22" t="n"/>
      <c r="C58" s="22" t="n"/>
      <c r="D58" s="22" t="n"/>
      <c r="E58" s="22" t="n">
        <v>2</v>
      </c>
      <c r="F58" s="22" t="inlineStr">
        <is>
          <t>NS</t>
        </is>
      </c>
      <c r="G58" s="23" t="n"/>
      <c r="H58" s="23" t="n"/>
      <c r="I58" s="23" t="n"/>
      <c r="J58" s="23" t="n"/>
      <c r="K58" s="23" t="n"/>
    </row>
    <row r="59">
      <c r="B59" s="14" t="n">
        <v>5</v>
      </c>
      <c r="C59" s="14" t="n">
        <v>8</v>
      </c>
      <c r="D59" s="14" t="n">
        <v>6</v>
      </c>
      <c r="E59" s="14" t="n">
        <v>3</v>
      </c>
      <c r="F59" s="14" t="inlineStr">
        <is>
          <t>EW</t>
        </is>
      </c>
    </row>
    <row r="60">
      <c r="B60" s="22" t="n"/>
      <c r="C60" s="22" t="n"/>
      <c r="D60" s="22" t="n"/>
      <c r="E60" s="22" t="n">
        <v>4</v>
      </c>
      <c r="F60" s="22" t="inlineStr">
        <is>
          <t>Both</t>
        </is>
      </c>
      <c r="G60" s="23" t="n"/>
      <c r="H60" s="23" t="n"/>
      <c r="I60" s="23" t="n"/>
      <c r="J60" s="23" t="n"/>
      <c r="K60" s="23" t="n"/>
    </row>
    <row r="61">
      <c r="B61" s="14" t="n">
        <v>6</v>
      </c>
      <c r="C61" s="14" t="n">
        <v>2</v>
      </c>
      <c r="D61" s="14" t="n">
        <v>10</v>
      </c>
      <c r="E61" s="14" t="n">
        <v>5</v>
      </c>
      <c r="F61" s="14" t="inlineStr">
        <is>
          <t>NS</t>
        </is>
      </c>
    </row>
    <row r="62">
      <c r="A62" s="23" t="n"/>
      <c r="B62" s="22" t="n"/>
      <c r="C62" s="22" t="n"/>
      <c r="D62" s="22" t="n"/>
      <c r="E62" s="22" t="n">
        <v>6</v>
      </c>
      <c r="F62" s="22" t="inlineStr">
        <is>
          <t>EW</t>
        </is>
      </c>
      <c r="G62" s="23" t="n"/>
      <c r="H62" s="23" t="n"/>
      <c r="I62" s="23" t="n"/>
      <c r="J62" s="23" t="n"/>
      <c r="K62" s="23" t="n"/>
    </row>
    <row r="63">
      <c r="A63" s="14" t="n">
        <v>6</v>
      </c>
      <c r="B63" s="14" t="n">
        <v>1</v>
      </c>
      <c r="C63" s="14" t="n">
        <v>12</v>
      </c>
      <c r="D63" s="14" t="n">
        <v>6</v>
      </c>
      <c r="E63" s="14" t="n">
        <v>11</v>
      </c>
      <c r="F63" s="14" t="inlineStr">
        <is>
          <t>None</t>
        </is>
      </c>
    </row>
    <row r="64">
      <c r="B64" s="22" t="n"/>
      <c r="C64" s="22" t="n"/>
      <c r="D64" s="22" t="n"/>
      <c r="E64" s="22" t="n">
        <v>12</v>
      </c>
      <c r="F64" s="22" t="inlineStr">
        <is>
          <t>NS</t>
        </is>
      </c>
      <c r="G64" s="23" t="n"/>
      <c r="H64" s="23" t="n"/>
      <c r="I64" s="23" t="n"/>
      <c r="J64" s="23" t="n"/>
      <c r="K64" s="23" t="n"/>
    </row>
    <row r="65">
      <c r="B65" s="14" t="n">
        <v>2</v>
      </c>
      <c r="C65" s="14" t="n">
        <v>8</v>
      </c>
      <c r="D65" s="14" t="n">
        <v>4</v>
      </c>
      <c r="E65" s="14" t="n">
        <v>19</v>
      </c>
      <c r="F65" s="14" t="inlineStr">
        <is>
          <t>EW</t>
        </is>
      </c>
    </row>
    <row r="66">
      <c r="B66" s="22" t="n"/>
      <c r="C66" s="22" t="n"/>
      <c r="D66" s="22" t="n"/>
      <c r="E66" s="22" t="n">
        <v>20</v>
      </c>
      <c r="F66" s="22" t="inlineStr">
        <is>
          <t>Both</t>
        </is>
      </c>
      <c r="G66" s="23" t="n"/>
      <c r="H66" s="23" t="n"/>
      <c r="I66" s="23" t="n"/>
      <c r="J66" s="23" t="n"/>
      <c r="K66" s="23" t="n"/>
    </row>
    <row r="67">
      <c r="B67" s="14" t="n">
        <v>3</v>
      </c>
      <c r="C67" s="14" t="n">
        <v>2</v>
      </c>
      <c r="D67" s="14" t="n">
        <v>1</v>
      </c>
      <c r="E67" s="14" t="n">
        <v>21</v>
      </c>
      <c r="F67" s="14" t="inlineStr">
        <is>
          <t>NS</t>
        </is>
      </c>
    </row>
    <row r="68">
      <c r="B68" s="22" t="n"/>
      <c r="C68" s="22" t="n"/>
      <c r="D68" s="22" t="n"/>
      <c r="E68" s="22" t="n">
        <v>22</v>
      </c>
      <c r="F68" s="22" t="inlineStr">
        <is>
          <t>EW</t>
        </is>
      </c>
      <c r="G68" s="23" t="n"/>
      <c r="H68" s="23" t="n"/>
      <c r="I68" s="23" t="n"/>
      <c r="J68" s="23" t="n"/>
      <c r="K68" s="23" t="n"/>
    </row>
    <row r="69">
      <c r="B69" s="14" t="n">
        <v>4</v>
      </c>
      <c r="C69" s="14" t="n">
        <v>10</v>
      </c>
      <c r="D69" s="14" t="n">
        <v>5</v>
      </c>
      <c r="E69" s="14" t="n">
        <v>3</v>
      </c>
      <c r="F69" s="14" t="inlineStr">
        <is>
          <t>EW</t>
        </is>
      </c>
    </row>
    <row r="70">
      <c r="B70" s="22" t="n"/>
      <c r="C70" s="22" t="n"/>
      <c r="D70" s="22" t="n"/>
      <c r="E70" s="22" t="n">
        <v>4</v>
      </c>
      <c r="F70" s="22" t="inlineStr">
        <is>
          <t>Both</t>
        </is>
      </c>
      <c r="G70" s="23" t="n"/>
      <c r="H70" s="23" t="n"/>
      <c r="I70" s="23" t="n"/>
      <c r="J70" s="23" t="n"/>
      <c r="K70" s="23" t="n"/>
    </row>
    <row r="71">
      <c r="B71" s="14" t="n">
        <v>5</v>
      </c>
      <c r="C71" s="14" t="n">
        <v>9</v>
      </c>
      <c r="D71" s="14" t="n">
        <v>7</v>
      </c>
      <c r="E71" s="14" t="n">
        <v>5</v>
      </c>
      <c r="F71" s="14" t="inlineStr">
        <is>
          <t>NS</t>
        </is>
      </c>
    </row>
    <row r="72">
      <c r="B72" s="22" t="n"/>
      <c r="C72" s="22" t="n"/>
      <c r="D72" s="22" t="n"/>
      <c r="E72" s="22" t="n">
        <v>6</v>
      </c>
      <c r="F72" s="22" t="inlineStr">
        <is>
          <t>EW</t>
        </is>
      </c>
      <c r="G72" s="23" t="n"/>
      <c r="H72" s="23" t="n"/>
      <c r="I72" s="23" t="n"/>
      <c r="J72" s="23" t="n"/>
      <c r="K72" s="23" t="n"/>
    </row>
    <row r="73">
      <c r="B73" s="14" t="n">
        <v>6</v>
      </c>
      <c r="C73" s="14" t="n">
        <v>3</v>
      </c>
      <c r="D73" s="14" t="n">
        <v>11</v>
      </c>
      <c r="E73" s="14" t="n">
        <v>7</v>
      </c>
      <c r="F73" s="14" t="inlineStr">
        <is>
          <t>Both</t>
        </is>
      </c>
    </row>
    <row r="74">
      <c r="A74" s="23" t="n"/>
      <c r="B74" s="22" t="n"/>
      <c r="C74" s="22" t="n"/>
      <c r="D74" s="22" t="n"/>
      <c r="E74" s="22" t="n">
        <v>8</v>
      </c>
      <c r="F74" s="22" t="inlineStr">
        <is>
          <t>None</t>
        </is>
      </c>
      <c r="G74" s="23" t="n"/>
      <c r="H74" s="23" t="n"/>
      <c r="I74" s="23" t="n"/>
      <c r="J74" s="23" t="n"/>
      <c r="K74" s="23" t="n"/>
    </row>
    <row r="75">
      <c r="A75" s="14" t="n">
        <v>7</v>
      </c>
      <c r="B75" s="14" t="n">
        <v>1</v>
      </c>
      <c r="C75" s="14" t="n">
        <v>12</v>
      </c>
      <c r="D75" s="14" t="n">
        <v>7</v>
      </c>
      <c r="E75" s="14" t="n">
        <v>13</v>
      </c>
      <c r="F75" s="14" t="inlineStr">
        <is>
          <t>Both</t>
        </is>
      </c>
    </row>
    <row r="76">
      <c r="B76" s="22" t="n"/>
      <c r="C76" s="22" t="n"/>
      <c r="D76" s="22" t="n"/>
      <c r="E76" s="22" t="n">
        <v>14</v>
      </c>
      <c r="F76" s="22" t="inlineStr">
        <is>
          <t>None</t>
        </is>
      </c>
      <c r="G76" s="23" t="n"/>
      <c r="H76" s="23" t="n"/>
      <c r="I76" s="23" t="n"/>
      <c r="J76" s="23" t="n"/>
      <c r="K76" s="23" t="n"/>
    </row>
    <row r="77">
      <c r="B77" s="14" t="n">
        <v>2</v>
      </c>
      <c r="C77" s="14" t="n">
        <v>9</v>
      </c>
      <c r="D77" s="14" t="n">
        <v>5</v>
      </c>
      <c r="E77" s="14" t="n">
        <v>21</v>
      </c>
      <c r="F77" s="14" t="inlineStr">
        <is>
          <t>NS</t>
        </is>
      </c>
    </row>
    <row r="78">
      <c r="B78" s="22" t="n"/>
      <c r="C78" s="22" t="n"/>
      <c r="D78" s="22" t="n"/>
      <c r="E78" s="22" t="n">
        <v>22</v>
      </c>
      <c r="F78" s="22" t="inlineStr">
        <is>
          <t>EW</t>
        </is>
      </c>
      <c r="G78" s="23" t="n"/>
      <c r="H78" s="23" t="n"/>
      <c r="I78" s="23" t="n"/>
      <c r="J78" s="23" t="n"/>
      <c r="K78" s="23" t="n"/>
    </row>
    <row r="79">
      <c r="B79" s="14" t="n">
        <v>3</v>
      </c>
      <c r="C79" s="14" t="n">
        <v>3</v>
      </c>
      <c r="D79" s="14" t="n">
        <v>2</v>
      </c>
      <c r="E79" s="14" t="n">
        <v>1</v>
      </c>
      <c r="F79" s="14" t="inlineStr">
        <is>
          <t>None</t>
        </is>
      </c>
    </row>
    <row r="80">
      <c r="B80" s="22" t="n"/>
      <c r="C80" s="22" t="n"/>
      <c r="D80" s="22" t="n"/>
      <c r="E80" s="22" t="n">
        <v>2</v>
      </c>
      <c r="F80" s="22" t="inlineStr">
        <is>
          <t>NS</t>
        </is>
      </c>
      <c r="G80" s="23" t="n"/>
      <c r="H80" s="23" t="n"/>
      <c r="I80" s="23" t="n"/>
      <c r="J80" s="23" t="n"/>
      <c r="K80" s="23" t="n"/>
    </row>
    <row r="81">
      <c r="B81" s="14" t="n">
        <v>4</v>
      </c>
      <c r="C81" s="14" t="n">
        <v>11</v>
      </c>
      <c r="D81" s="14" t="n">
        <v>6</v>
      </c>
      <c r="E81" s="14" t="n">
        <v>5</v>
      </c>
      <c r="F81" s="14" t="inlineStr">
        <is>
          <t>NS</t>
        </is>
      </c>
    </row>
    <row r="82">
      <c r="B82" s="22" t="n"/>
      <c r="C82" s="22" t="n"/>
      <c r="D82" s="22" t="n"/>
      <c r="E82" s="22" t="n">
        <v>6</v>
      </c>
      <c r="F82" s="22" t="inlineStr">
        <is>
          <t>EW</t>
        </is>
      </c>
      <c r="G82" s="23" t="n"/>
      <c r="H82" s="23" t="n"/>
      <c r="I82" s="23" t="n"/>
      <c r="J82" s="23" t="n"/>
      <c r="K82" s="23" t="n"/>
    </row>
    <row r="83">
      <c r="B83" s="14" t="n">
        <v>5</v>
      </c>
      <c r="C83" s="14" t="n">
        <v>10</v>
      </c>
      <c r="D83" s="14" t="n">
        <v>8</v>
      </c>
      <c r="E83" s="14" t="n">
        <v>7</v>
      </c>
      <c r="F83" s="14" t="inlineStr">
        <is>
          <t>Both</t>
        </is>
      </c>
    </row>
    <row r="84">
      <c r="B84" s="22" t="n"/>
      <c r="C84" s="22" t="n"/>
      <c r="D84" s="22" t="n"/>
      <c r="E84" s="22" t="n">
        <v>8</v>
      </c>
      <c r="F84" s="22" t="inlineStr">
        <is>
          <t>None</t>
        </is>
      </c>
      <c r="G84" s="23" t="n"/>
      <c r="H84" s="23" t="n"/>
      <c r="I84" s="23" t="n"/>
      <c r="J84" s="23" t="n"/>
      <c r="K84" s="23" t="n"/>
    </row>
    <row r="85">
      <c r="B85" s="14" t="n">
        <v>6</v>
      </c>
      <c r="C85" s="14" t="n">
        <v>4</v>
      </c>
      <c r="D85" s="14" t="n">
        <v>1</v>
      </c>
      <c r="E85" s="14" t="n">
        <v>9</v>
      </c>
      <c r="F85" s="14" t="inlineStr">
        <is>
          <t>EW</t>
        </is>
      </c>
    </row>
    <row r="86">
      <c r="A86" s="23" t="n"/>
      <c r="B86" s="22" t="n"/>
      <c r="C86" s="22" t="n"/>
      <c r="D86" s="22" t="n"/>
      <c r="E86" s="22" t="n">
        <v>10</v>
      </c>
      <c r="F86" s="22" t="inlineStr">
        <is>
          <t>Both</t>
        </is>
      </c>
      <c r="G86" s="23" t="n"/>
      <c r="H86" s="23" t="n"/>
      <c r="I86" s="23" t="n"/>
      <c r="J86" s="23" t="n"/>
      <c r="K86" s="23" t="n"/>
    </row>
    <row r="87">
      <c r="A87" s="14" t="n">
        <v>8</v>
      </c>
      <c r="B87" s="14" t="n">
        <v>1</v>
      </c>
      <c r="C87" s="14" t="n">
        <v>12</v>
      </c>
      <c r="D87" s="14" t="n">
        <v>8</v>
      </c>
      <c r="E87" s="14" t="n">
        <v>15</v>
      </c>
      <c r="F87" s="14" t="inlineStr">
        <is>
          <t>NS</t>
        </is>
      </c>
    </row>
    <row r="88">
      <c r="B88" s="22" t="n"/>
      <c r="C88" s="22" t="n"/>
      <c r="D88" s="22" t="n"/>
      <c r="E88" s="22" t="n">
        <v>16</v>
      </c>
      <c r="F88" s="22" t="inlineStr">
        <is>
          <t>EW</t>
        </is>
      </c>
      <c r="G88" s="23" t="n"/>
      <c r="H88" s="23" t="n"/>
      <c r="I88" s="23" t="n"/>
      <c r="J88" s="23" t="n"/>
      <c r="K88" s="23" t="n"/>
    </row>
    <row r="89">
      <c r="B89" s="14" t="n">
        <v>2</v>
      </c>
      <c r="C89" s="14" t="n">
        <v>10</v>
      </c>
      <c r="D89" s="14" t="n">
        <v>6</v>
      </c>
      <c r="E89" s="14" t="n">
        <v>1</v>
      </c>
      <c r="F89" s="14" t="inlineStr">
        <is>
          <t>None</t>
        </is>
      </c>
    </row>
    <row r="90">
      <c r="B90" s="22" t="n"/>
      <c r="C90" s="22" t="n"/>
      <c r="D90" s="22" t="n"/>
      <c r="E90" s="22" t="n">
        <v>2</v>
      </c>
      <c r="F90" s="22" t="inlineStr">
        <is>
          <t>NS</t>
        </is>
      </c>
      <c r="G90" s="23" t="n"/>
      <c r="H90" s="23" t="n"/>
      <c r="I90" s="23" t="n"/>
      <c r="J90" s="23" t="n"/>
      <c r="K90" s="23" t="n"/>
    </row>
    <row r="91">
      <c r="B91" s="14" t="n">
        <v>3</v>
      </c>
      <c r="C91" s="14" t="n">
        <v>4</v>
      </c>
      <c r="D91" s="14" t="n">
        <v>3</v>
      </c>
      <c r="E91" s="14" t="n">
        <v>3</v>
      </c>
      <c r="F91" s="14" t="inlineStr">
        <is>
          <t>EW</t>
        </is>
      </c>
    </row>
    <row r="92">
      <c r="B92" s="22" t="n"/>
      <c r="C92" s="22" t="n"/>
      <c r="D92" s="22" t="n"/>
      <c r="E92" s="22" t="n">
        <v>4</v>
      </c>
      <c r="F92" s="22" t="inlineStr">
        <is>
          <t>Both</t>
        </is>
      </c>
      <c r="G92" s="23" t="n"/>
      <c r="H92" s="23" t="n"/>
      <c r="I92" s="23" t="n"/>
      <c r="J92" s="23" t="n"/>
      <c r="K92" s="23" t="n"/>
    </row>
    <row r="93">
      <c r="B93" s="14" t="n">
        <v>4</v>
      </c>
      <c r="C93" s="14" t="n">
        <v>1</v>
      </c>
      <c r="D93" s="14" t="n">
        <v>7</v>
      </c>
      <c r="E93" s="14" t="n">
        <v>7</v>
      </c>
      <c r="F93" s="14" t="inlineStr">
        <is>
          <t>Both</t>
        </is>
      </c>
    </row>
    <row r="94">
      <c r="B94" s="22" t="n"/>
      <c r="C94" s="22" t="n"/>
      <c r="D94" s="22" t="n"/>
      <c r="E94" s="22" t="n">
        <v>8</v>
      </c>
      <c r="F94" s="22" t="inlineStr">
        <is>
          <t>None</t>
        </is>
      </c>
      <c r="G94" s="23" t="n"/>
      <c r="H94" s="23" t="n"/>
      <c r="I94" s="23" t="n"/>
      <c r="J94" s="23" t="n"/>
      <c r="K94" s="23" t="n"/>
    </row>
    <row r="95">
      <c r="B95" s="14" t="n">
        <v>5</v>
      </c>
      <c r="C95" s="14" t="n">
        <v>11</v>
      </c>
      <c r="D95" s="14" t="n">
        <v>9</v>
      </c>
      <c r="E95" s="14" t="n">
        <v>9</v>
      </c>
      <c r="F95" s="14" t="inlineStr">
        <is>
          <t>EW</t>
        </is>
      </c>
    </row>
    <row r="96">
      <c r="B96" s="22" t="n"/>
      <c r="C96" s="22" t="n"/>
      <c r="D96" s="22" t="n"/>
      <c r="E96" s="22" t="n">
        <v>10</v>
      </c>
      <c r="F96" s="22" t="inlineStr">
        <is>
          <t>Both</t>
        </is>
      </c>
      <c r="G96" s="23" t="n"/>
      <c r="H96" s="23" t="n"/>
      <c r="I96" s="23" t="n"/>
      <c r="J96" s="23" t="n"/>
      <c r="K96" s="23" t="n"/>
    </row>
    <row r="97">
      <c r="B97" s="14" t="n">
        <v>6</v>
      </c>
      <c r="C97" s="14" t="n">
        <v>5</v>
      </c>
      <c r="D97" s="14" t="n">
        <v>2</v>
      </c>
      <c r="E97" s="14" t="n">
        <v>11</v>
      </c>
      <c r="F97" s="14" t="inlineStr">
        <is>
          <t>None</t>
        </is>
      </c>
    </row>
    <row r="98">
      <c r="A98" s="23" t="n"/>
      <c r="B98" s="22" t="n"/>
      <c r="C98" s="22" t="n"/>
      <c r="D98" s="22" t="n"/>
      <c r="E98" s="22" t="n">
        <v>12</v>
      </c>
      <c r="F98" s="22" t="inlineStr">
        <is>
          <t>NS</t>
        </is>
      </c>
      <c r="G98" s="23" t="n"/>
      <c r="H98" s="23" t="n"/>
      <c r="I98" s="23" t="n"/>
      <c r="J98" s="23" t="n"/>
      <c r="K98" s="23" t="n"/>
    </row>
    <row r="99">
      <c r="A99" s="14" t="n">
        <v>9</v>
      </c>
      <c r="B99" s="14" t="n">
        <v>1</v>
      </c>
      <c r="C99" s="14" t="n">
        <v>12</v>
      </c>
      <c r="D99" s="14" t="n">
        <v>9</v>
      </c>
      <c r="E99" s="14" t="n">
        <v>17</v>
      </c>
      <c r="F99" s="14" t="inlineStr">
        <is>
          <t>None</t>
        </is>
      </c>
    </row>
    <row r="100">
      <c r="B100" s="22" t="n"/>
      <c r="C100" s="22" t="n"/>
      <c r="D100" s="22" t="n"/>
      <c r="E100" s="22" t="n">
        <v>18</v>
      </c>
      <c r="F100" s="22" t="inlineStr">
        <is>
          <t>NS</t>
        </is>
      </c>
      <c r="G100" s="23" t="n"/>
      <c r="H100" s="23" t="n"/>
      <c r="I100" s="23" t="n"/>
      <c r="J100" s="23" t="n"/>
      <c r="K100" s="23" t="n"/>
    </row>
    <row r="101">
      <c r="B101" s="14" t="n">
        <v>2</v>
      </c>
      <c r="C101" s="14" t="n">
        <v>11</v>
      </c>
      <c r="D101" s="14" t="n">
        <v>7</v>
      </c>
      <c r="E101" s="14" t="n">
        <v>3</v>
      </c>
      <c r="F101" s="14" t="inlineStr">
        <is>
          <t>EW</t>
        </is>
      </c>
    </row>
    <row r="102">
      <c r="B102" s="22" t="n"/>
      <c r="C102" s="22" t="n"/>
      <c r="D102" s="22" t="n"/>
      <c r="E102" s="22" t="n">
        <v>4</v>
      </c>
      <c r="F102" s="22" t="inlineStr">
        <is>
          <t>Both</t>
        </is>
      </c>
      <c r="G102" s="23" t="n"/>
      <c r="H102" s="23" t="n"/>
      <c r="I102" s="23" t="n"/>
      <c r="J102" s="23" t="n"/>
      <c r="K102" s="23" t="n"/>
    </row>
    <row r="103">
      <c r="B103" s="14" t="n">
        <v>3</v>
      </c>
      <c r="C103" s="14" t="n">
        <v>5</v>
      </c>
      <c r="D103" s="14" t="n">
        <v>4</v>
      </c>
      <c r="E103" s="14" t="n">
        <v>5</v>
      </c>
      <c r="F103" s="14" t="inlineStr">
        <is>
          <t>NS</t>
        </is>
      </c>
    </row>
    <row r="104">
      <c r="B104" s="22" t="n"/>
      <c r="C104" s="22" t="n"/>
      <c r="D104" s="22" t="n"/>
      <c r="E104" s="22" t="n">
        <v>6</v>
      </c>
      <c r="F104" s="22" t="inlineStr">
        <is>
          <t>EW</t>
        </is>
      </c>
      <c r="G104" s="23" t="n"/>
      <c r="H104" s="23" t="n"/>
      <c r="I104" s="23" t="n"/>
      <c r="J104" s="23" t="n"/>
      <c r="K104" s="23" t="n"/>
    </row>
    <row r="105">
      <c r="B105" s="14" t="n">
        <v>4</v>
      </c>
      <c r="C105" s="14" t="n">
        <v>2</v>
      </c>
      <c r="D105" s="14" t="n">
        <v>8</v>
      </c>
      <c r="E105" s="14" t="n">
        <v>9</v>
      </c>
      <c r="F105" s="14" t="inlineStr">
        <is>
          <t>EW</t>
        </is>
      </c>
    </row>
    <row r="106">
      <c r="B106" s="22" t="n"/>
      <c r="C106" s="22" t="n"/>
      <c r="D106" s="22" t="n"/>
      <c r="E106" s="22" t="n">
        <v>10</v>
      </c>
      <c r="F106" s="22" t="inlineStr">
        <is>
          <t>Both</t>
        </is>
      </c>
      <c r="G106" s="23" t="n"/>
      <c r="H106" s="23" t="n"/>
      <c r="I106" s="23" t="n"/>
      <c r="J106" s="23" t="n"/>
      <c r="K106" s="23" t="n"/>
    </row>
    <row r="107">
      <c r="B107" s="14" t="n">
        <v>5</v>
      </c>
      <c r="C107" s="14" t="n">
        <v>1</v>
      </c>
      <c r="D107" s="14" t="n">
        <v>10</v>
      </c>
      <c r="E107" s="14" t="n">
        <v>11</v>
      </c>
      <c r="F107" s="14" t="inlineStr">
        <is>
          <t>None</t>
        </is>
      </c>
    </row>
    <row r="108">
      <c r="B108" s="22" t="n"/>
      <c r="C108" s="22" t="n"/>
      <c r="D108" s="22" t="n"/>
      <c r="E108" s="22" t="n">
        <v>12</v>
      </c>
      <c r="F108" s="22" t="inlineStr">
        <is>
          <t>NS</t>
        </is>
      </c>
      <c r="G108" s="23" t="n"/>
      <c r="H108" s="23" t="n"/>
      <c r="I108" s="23" t="n"/>
      <c r="J108" s="23" t="n"/>
      <c r="K108" s="23" t="n"/>
    </row>
    <row r="109">
      <c r="B109" s="14" t="n">
        <v>6</v>
      </c>
      <c r="C109" s="14" t="n">
        <v>6</v>
      </c>
      <c r="D109" s="14" t="n">
        <v>3</v>
      </c>
      <c r="E109" s="14" t="n">
        <v>13</v>
      </c>
      <c r="F109" s="14" t="inlineStr">
        <is>
          <t>Both</t>
        </is>
      </c>
    </row>
    <row r="110">
      <c r="A110" s="23" t="n"/>
      <c r="B110" s="22" t="n"/>
      <c r="C110" s="22" t="n"/>
      <c r="D110" s="22" t="n"/>
      <c r="E110" s="22" t="n">
        <v>14</v>
      </c>
      <c r="F110" s="22" t="inlineStr">
        <is>
          <t>None</t>
        </is>
      </c>
      <c r="G110" s="23" t="n"/>
      <c r="H110" s="23" t="n"/>
      <c r="I110" s="23" t="n"/>
      <c r="J110" s="23" t="n"/>
      <c r="K110" s="23" t="n"/>
    </row>
    <row r="111">
      <c r="A111" s="14" t="n">
        <v>10</v>
      </c>
      <c r="B111" s="14" t="n">
        <v>1</v>
      </c>
      <c r="C111" s="14" t="n">
        <v>12</v>
      </c>
      <c r="D111" s="14" t="n">
        <v>10</v>
      </c>
      <c r="E111" s="14" t="n">
        <v>19</v>
      </c>
      <c r="F111" s="14" t="inlineStr">
        <is>
          <t>EW</t>
        </is>
      </c>
    </row>
    <row r="112">
      <c r="B112" s="22" t="n"/>
      <c r="C112" s="22" t="n"/>
      <c r="D112" s="22" t="n"/>
      <c r="E112" s="22" t="n">
        <v>20</v>
      </c>
      <c r="F112" s="22" t="inlineStr">
        <is>
          <t>Both</t>
        </is>
      </c>
      <c r="G112" s="23" t="n"/>
      <c r="H112" s="23" t="n"/>
      <c r="I112" s="23" t="n"/>
      <c r="J112" s="23" t="n"/>
      <c r="K112" s="23" t="n"/>
    </row>
    <row r="113">
      <c r="B113" s="14" t="n">
        <v>2</v>
      </c>
      <c r="C113" s="14" t="n">
        <v>1</v>
      </c>
      <c r="D113" s="14" t="n">
        <v>8</v>
      </c>
      <c r="E113" s="14" t="n">
        <v>5</v>
      </c>
      <c r="F113" s="14" t="inlineStr">
        <is>
          <t>NS</t>
        </is>
      </c>
    </row>
    <row r="114">
      <c r="B114" s="22" t="n"/>
      <c r="C114" s="22" t="n"/>
      <c r="D114" s="22" t="n"/>
      <c r="E114" s="22" t="n">
        <v>6</v>
      </c>
      <c r="F114" s="22" t="inlineStr">
        <is>
          <t>EW</t>
        </is>
      </c>
      <c r="G114" s="23" t="n"/>
      <c r="H114" s="23" t="n"/>
      <c r="I114" s="23" t="n"/>
      <c r="J114" s="23" t="n"/>
      <c r="K114" s="23" t="n"/>
    </row>
    <row r="115">
      <c r="B115" s="14" t="n">
        <v>3</v>
      </c>
      <c r="C115" s="14" t="n">
        <v>6</v>
      </c>
      <c r="D115" s="14" t="n">
        <v>5</v>
      </c>
      <c r="E115" s="14" t="n">
        <v>7</v>
      </c>
      <c r="F115" s="14" t="inlineStr">
        <is>
          <t>Both</t>
        </is>
      </c>
    </row>
    <row r="116">
      <c r="B116" s="22" t="n"/>
      <c r="C116" s="22" t="n"/>
      <c r="D116" s="22" t="n"/>
      <c r="E116" s="22" t="n">
        <v>8</v>
      </c>
      <c r="F116" s="22" t="inlineStr">
        <is>
          <t>None</t>
        </is>
      </c>
      <c r="G116" s="23" t="n"/>
      <c r="H116" s="23" t="n"/>
      <c r="I116" s="23" t="n"/>
      <c r="J116" s="23" t="n"/>
      <c r="K116" s="23" t="n"/>
    </row>
    <row r="117">
      <c r="B117" s="14" t="n">
        <v>4</v>
      </c>
      <c r="C117" s="14" t="n">
        <v>3</v>
      </c>
      <c r="D117" s="14" t="n">
        <v>9</v>
      </c>
      <c r="E117" s="14" t="n">
        <v>11</v>
      </c>
      <c r="F117" s="14" t="inlineStr">
        <is>
          <t>None</t>
        </is>
      </c>
    </row>
    <row r="118">
      <c r="B118" s="22" t="n"/>
      <c r="C118" s="22" t="n"/>
      <c r="D118" s="22" t="n"/>
      <c r="E118" s="22" t="n">
        <v>12</v>
      </c>
      <c r="F118" s="22" t="inlineStr">
        <is>
          <t>NS</t>
        </is>
      </c>
      <c r="G118" s="23" t="n"/>
      <c r="H118" s="23" t="n"/>
      <c r="I118" s="23" t="n"/>
      <c r="J118" s="23" t="n"/>
      <c r="K118" s="23" t="n"/>
    </row>
    <row r="119">
      <c r="B119" s="14" t="n">
        <v>5</v>
      </c>
      <c r="C119" s="14" t="n">
        <v>2</v>
      </c>
      <c r="D119" s="14" t="n">
        <v>11</v>
      </c>
      <c r="E119" s="14" t="n">
        <v>13</v>
      </c>
      <c r="F119" s="14" t="inlineStr">
        <is>
          <t>Both</t>
        </is>
      </c>
    </row>
    <row r="120">
      <c r="B120" s="22" t="n"/>
      <c r="C120" s="22" t="n"/>
      <c r="D120" s="22" t="n"/>
      <c r="E120" s="22" t="n">
        <v>14</v>
      </c>
      <c r="F120" s="22" t="inlineStr">
        <is>
          <t>None</t>
        </is>
      </c>
      <c r="G120" s="23" t="n"/>
      <c r="H120" s="23" t="n"/>
      <c r="I120" s="23" t="n"/>
      <c r="J120" s="23" t="n"/>
      <c r="K120" s="23" t="n"/>
    </row>
    <row r="121">
      <c r="B121" s="14" t="n">
        <v>6</v>
      </c>
      <c r="C121" s="14" t="n">
        <v>7</v>
      </c>
      <c r="D121" s="14" t="n">
        <v>4</v>
      </c>
      <c r="E121" s="14" t="n">
        <v>15</v>
      </c>
      <c r="F121" s="14" t="inlineStr">
        <is>
          <t>NS</t>
        </is>
      </c>
    </row>
    <row r="122">
      <c r="A122" s="23" t="n"/>
      <c r="B122" s="22" t="n"/>
      <c r="C122" s="22" t="n"/>
      <c r="D122" s="22" t="n"/>
      <c r="E122" s="22" t="n">
        <v>16</v>
      </c>
      <c r="F122" s="22" t="inlineStr">
        <is>
          <t>EW</t>
        </is>
      </c>
      <c r="G122" s="23" t="n"/>
      <c r="H122" s="23" t="n"/>
      <c r="I122" s="23" t="n"/>
      <c r="J122" s="23" t="n"/>
      <c r="K122" s="23" t="n"/>
    </row>
    <row r="123">
      <c r="A123" s="14" t="n">
        <v>11</v>
      </c>
      <c r="B123" s="14" t="n">
        <v>1</v>
      </c>
      <c r="C123" s="14" t="n">
        <v>12</v>
      </c>
      <c r="D123" s="14" t="n">
        <v>11</v>
      </c>
      <c r="E123" s="14" t="n">
        <v>21</v>
      </c>
      <c r="F123" s="14" t="inlineStr">
        <is>
          <t>NS</t>
        </is>
      </c>
    </row>
    <row r="124">
      <c r="B124" s="22" t="n"/>
      <c r="C124" s="22" t="n"/>
      <c r="D124" s="22" t="n"/>
      <c r="E124" s="22" t="n">
        <v>22</v>
      </c>
      <c r="F124" s="22" t="inlineStr">
        <is>
          <t>EW</t>
        </is>
      </c>
      <c r="G124" s="23" t="n"/>
      <c r="H124" s="23" t="n"/>
      <c r="I124" s="23" t="n"/>
      <c r="J124" s="23" t="n"/>
      <c r="K124" s="23" t="n"/>
    </row>
    <row r="125">
      <c r="B125" s="14" t="n">
        <v>2</v>
      </c>
      <c r="C125" s="14" t="n">
        <v>2</v>
      </c>
      <c r="D125" s="14" t="n">
        <v>9</v>
      </c>
      <c r="E125" s="14" t="n">
        <v>7</v>
      </c>
      <c r="F125" s="14" t="inlineStr">
        <is>
          <t>Both</t>
        </is>
      </c>
    </row>
    <row r="126">
      <c r="B126" s="22" t="n"/>
      <c r="C126" s="22" t="n"/>
      <c r="D126" s="22" t="n"/>
      <c r="E126" s="22" t="n">
        <v>8</v>
      </c>
      <c r="F126" s="22" t="inlineStr">
        <is>
          <t>None</t>
        </is>
      </c>
      <c r="G126" s="23" t="n"/>
      <c r="H126" s="23" t="n"/>
      <c r="I126" s="23" t="n"/>
      <c r="J126" s="23" t="n"/>
      <c r="K126" s="23" t="n"/>
    </row>
    <row r="127">
      <c r="B127" s="14" t="n">
        <v>3</v>
      </c>
      <c r="C127" s="14" t="n">
        <v>7</v>
      </c>
      <c r="D127" s="14" t="n">
        <v>6</v>
      </c>
      <c r="E127" s="14" t="n">
        <v>9</v>
      </c>
      <c r="F127" s="14" t="inlineStr">
        <is>
          <t>EW</t>
        </is>
      </c>
    </row>
    <row r="128">
      <c r="B128" s="22" t="n"/>
      <c r="C128" s="22" t="n"/>
      <c r="D128" s="22" t="n"/>
      <c r="E128" s="22" t="n">
        <v>10</v>
      </c>
      <c r="F128" s="22" t="inlineStr">
        <is>
          <t>Both</t>
        </is>
      </c>
      <c r="G128" s="23" t="n"/>
      <c r="H128" s="23" t="n"/>
      <c r="I128" s="23" t="n"/>
      <c r="J128" s="23" t="n"/>
      <c r="K128" s="23" t="n"/>
    </row>
    <row r="129">
      <c r="B129" s="14" t="n">
        <v>4</v>
      </c>
      <c r="C129" s="14" t="n">
        <v>4</v>
      </c>
      <c r="D129" s="14" t="n">
        <v>10</v>
      </c>
      <c r="E129" s="14" t="n">
        <v>13</v>
      </c>
      <c r="F129" s="14" t="inlineStr">
        <is>
          <t>Both</t>
        </is>
      </c>
    </row>
    <row r="130">
      <c r="B130" s="22" t="n"/>
      <c r="C130" s="22" t="n"/>
      <c r="D130" s="22" t="n"/>
      <c r="E130" s="22" t="n">
        <v>14</v>
      </c>
      <c r="F130" s="22" t="inlineStr">
        <is>
          <t>None</t>
        </is>
      </c>
      <c r="G130" s="23" t="n"/>
      <c r="H130" s="23" t="n"/>
      <c r="I130" s="23" t="n"/>
      <c r="J130" s="23" t="n"/>
      <c r="K130" s="23" t="n"/>
    </row>
    <row r="131">
      <c r="B131" s="14" t="n">
        <v>5</v>
      </c>
      <c r="C131" s="14" t="n">
        <v>3</v>
      </c>
      <c r="D131" s="14" t="n">
        <v>1</v>
      </c>
      <c r="E131" s="14" t="n">
        <v>15</v>
      </c>
      <c r="F131" s="14" t="inlineStr">
        <is>
          <t>NS</t>
        </is>
      </c>
    </row>
    <row r="132">
      <c r="B132" s="22" t="n"/>
      <c r="C132" s="22" t="n"/>
      <c r="D132" s="22" t="n"/>
      <c r="E132" s="22" t="n">
        <v>16</v>
      </c>
      <c r="F132" s="22" t="inlineStr">
        <is>
          <t>EW</t>
        </is>
      </c>
      <c r="G132" s="23" t="n"/>
      <c r="H132" s="23" t="n"/>
      <c r="I132" s="23" t="n"/>
      <c r="J132" s="23" t="n"/>
      <c r="K132" s="23" t="n"/>
    </row>
    <row r="133">
      <c r="B133" s="14" t="n">
        <v>6</v>
      </c>
      <c r="C133" s="14" t="n">
        <v>8</v>
      </c>
      <c r="D133" s="14" t="n">
        <v>5</v>
      </c>
      <c r="E133" s="14" t="n">
        <v>17</v>
      </c>
      <c r="F133" s="14" t="inlineStr">
        <is>
          <t>None</t>
        </is>
      </c>
    </row>
    <row r="134">
      <c r="A134" s="23" t="n"/>
      <c r="B134" s="22" t="n"/>
      <c r="C134" s="22" t="n"/>
      <c r="D134" s="22" t="n"/>
      <c r="E134" s="22" t="n">
        <v>18</v>
      </c>
      <c r="F134" s="22" t="inlineStr">
        <is>
          <t>NS</t>
        </is>
      </c>
      <c r="G134" s="23" t="n"/>
      <c r="H134" s="23" t="n"/>
      <c r="I134" s="23" t="n"/>
      <c r="J134" s="23" t="n"/>
      <c r="K134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  <row r="10">
      <c r="A10" s="25" t="n">
        <v>7</v>
      </c>
      <c r="B10" s="26" t="n"/>
      <c r="C10" s="26" t="n"/>
      <c r="D10" s="26" t="n"/>
      <c r="E10" s="26" t="n"/>
      <c r="F10" s="26" t="n"/>
      <c r="G10" s="26" t="n"/>
      <c r="H10" s="26" t="n"/>
    </row>
    <row r="11">
      <c r="A11" s="25" t="n">
        <v>8</v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25" t="n">
        <v>9</v>
      </c>
      <c r="B12" s="26" t="n"/>
      <c r="C12" s="26" t="n"/>
      <c r="D12" s="26" t="n"/>
      <c r="E12" s="26" t="n"/>
      <c r="F12" s="26" t="n"/>
      <c r="G12" s="26" t="n"/>
      <c r="H12" s="26" t="n"/>
    </row>
    <row r="13">
      <c r="A13" s="25" t="n">
        <v>10</v>
      </c>
      <c r="B13" s="26" t="n"/>
      <c r="C13" s="26" t="n"/>
      <c r="D13" s="26" t="n"/>
      <c r="E13" s="26" t="n"/>
      <c r="F13" s="26" t="n"/>
      <c r="G13" s="26" t="n"/>
      <c r="H13" s="26" t="n"/>
    </row>
    <row r="14">
      <c r="A14" s="25" t="n">
        <v>11</v>
      </c>
      <c r="B14" s="26" t="n"/>
      <c r="C14" s="26" t="n"/>
      <c r="D14" s="26" t="n"/>
      <c r="E14" s="26" t="n"/>
      <c r="F14" s="26" t="n"/>
      <c r="G14" s="26" t="n"/>
      <c r="H14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2026-01-29T16:59:38Z</dcterms:created>
  <dcterms:modified xsi:type="dcterms:W3CDTF">2026-01-29T16:59:38Z</dcterms:modified>
</cp:coreProperties>
</file>