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69</t>
        </is>
      </c>
      <c r="C10" t="inlineStr">
        <is>
          <t>Name 60</t>
        </is>
      </c>
      <c r="D10" s="4">
        <f>SUMIF('By Board'!$D$3:$D$58,"=1",'By Board'!$O$3:$O$58)/14+SUMIF('By Board'!$E$3:$E$58,"=1",'By Board'!$P$3:$P$58)/14</f>
        <v/>
      </c>
      <c r="E10" s="5">
        <f>SUMIF('By Board'!$D$3:$D$58,"=1",'By Board'!$M$3:$M$58)+SUMIF('By Board'!$E$3:$E$58,"=1",'By Board'!$N$3:$N$58)</f>
        <v/>
      </c>
    </row>
    <row r="11">
      <c r="A11" s="2" t="n">
        <v>2</v>
      </c>
      <c r="B11" t="inlineStr">
        <is>
          <t>Name 53</t>
        </is>
      </c>
      <c r="C11" t="inlineStr">
        <is>
          <t>Name 77</t>
        </is>
      </c>
      <c r="D11" s="4">
        <f>SUMIF('By Board'!$D$3:$D$58,"=2",'By Board'!$O$3:$O$58)/14+SUMIF('By Board'!$E$3:$E$58,"=2",'By Board'!$P$3:$P$58)/14</f>
        <v/>
      </c>
      <c r="E11" s="5">
        <f>SUMIF('By Board'!$D$3:$D$58,"=2",'By Board'!$M$3:$M$58)+SUMIF('By Board'!$E$3:$E$58,"=2",'By Board'!$N$3:$N$58)</f>
        <v/>
      </c>
    </row>
    <row r="12">
      <c r="A12" s="2" t="n">
        <v>3</v>
      </c>
      <c r="B12" t="inlineStr">
        <is>
          <t>Name 34</t>
        </is>
      </c>
      <c r="C12" t="inlineStr">
        <is>
          <t>Name 69</t>
        </is>
      </c>
      <c r="D12" s="4">
        <f>SUMIF('By Board'!$D$3:$D$58,"=3",'By Board'!$O$3:$O$58)/14+SUMIF('By Board'!$E$3:$E$58,"=3",'By Board'!$P$3:$P$58)/14</f>
        <v/>
      </c>
      <c r="E12" s="5">
        <f>SUMIF('By Board'!$D$3:$D$58,"=3",'By Board'!$M$3:$M$58)+SUMIF('By Board'!$E$3:$E$58,"=3",'By Board'!$N$3:$N$58)</f>
        <v/>
      </c>
    </row>
    <row r="13">
      <c r="A13" s="2" t="n">
        <v>4</v>
      </c>
      <c r="B13" t="inlineStr">
        <is>
          <t>Name 12</t>
        </is>
      </c>
      <c r="C13" t="inlineStr">
        <is>
          <t>Name 88</t>
        </is>
      </c>
      <c r="D13" s="4">
        <f>SUMIF('By Board'!$D$3:$D$58,"=4",'By Board'!$O$3:$O$58)/14+SUMIF('By Board'!$E$3:$E$58,"=4",'By Board'!$P$3:$P$58)/14</f>
        <v/>
      </c>
      <c r="E13" s="5">
        <f>SUMIF('By Board'!$D$3:$D$58,"=4",'By Board'!$M$3:$M$58)+SUMIF('By Board'!$E$3:$E$58,"=4",'By Board'!$N$3:$N$58)</f>
        <v/>
      </c>
    </row>
    <row r="14">
      <c r="A14" s="2" t="n">
        <v>5</v>
      </c>
      <c r="B14" t="inlineStr">
        <is>
          <t>Name 21</t>
        </is>
      </c>
      <c r="C14" t="inlineStr">
        <is>
          <t>Name 11</t>
        </is>
      </c>
      <c r="D14" s="4">
        <f>SUMIF('By Board'!$D$3:$D$58,"=5",'By Board'!$O$3:$O$58)/14+SUMIF('By Board'!$E$3:$E$58,"=5",'By Board'!$P$3:$P$58)/14</f>
        <v/>
      </c>
      <c r="E14" s="5">
        <f>SUMIF('By Board'!$D$3:$D$58,"=5",'By Board'!$M$3:$M$58)+SUMIF('By Board'!$E$3:$E$58,"=5",'By Board'!$N$3:$N$58)</f>
        <v/>
      </c>
    </row>
    <row r="15">
      <c r="A15" s="2" t="n">
        <v>6</v>
      </c>
      <c r="B15" t="inlineStr">
        <is>
          <t>Name 28</t>
        </is>
      </c>
      <c r="C15" t="inlineStr">
        <is>
          <t>Name 73</t>
        </is>
      </c>
      <c r="D15" s="4">
        <f>SUMIF('By Board'!$D$3:$D$58,"=6",'By Board'!$O$3:$O$58)/14+SUMIF('By Board'!$E$3:$E$58,"=6",'By Board'!$P$3:$P$58)/14</f>
        <v/>
      </c>
      <c r="E15" s="5">
        <f>SUMIF('By Board'!$D$3:$D$58,"=6",'By Board'!$M$3:$M$58)+SUMIF('By Board'!$E$3:$E$58,"=6",'By Board'!$N$3:$N$58)</f>
        <v/>
      </c>
    </row>
    <row r="16">
      <c r="A16" s="2" t="n">
        <v>7</v>
      </c>
      <c r="B16" t="inlineStr">
        <is>
          <t>Name 43</t>
        </is>
      </c>
      <c r="C16" t="inlineStr">
        <is>
          <t>Name 67</t>
        </is>
      </c>
      <c r="D16" s="4">
        <f>SUMIF('By Board'!$D$3:$D$58,"=7",'By Board'!$O$3:$O$58)/14+SUMIF('By Board'!$E$3:$E$58,"=7",'By Board'!$P$3:$P$58)/14</f>
        <v/>
      </c>
      <c r="E16" s="5">
        <f>SUMIF('By Board'!$D$3:$D$58,"=7",'By Board'!$M$3:$M$58)+SUMIF('By Board'!$E$3:$E$58,"=7",'By Board'!$N$3:$N$58)</f>
        <v/>
      </c>
    </row>
    <row r="17">
      <c r="A17" s="2" t="n">
        <v>8</v>
      </c>
      <c r="B17" t="inlineStr">
        <is>
          <t>Name 79</t>
        </is>
      </c>
      <c r="C17" t="inlineStr">
        <is>
          <t>Name 40</t>
        </is>
      </c>
      <c r="D17" s="4">
        <f>SUMIF('By Board'!$D$3:$D$58,"=8",'By Board'!$O$3:$O$58)/14+0/14</f>
        <v/>
      </c>
      <c r="E17" s="5">
        <f>SUMIF('By Board'!$D$3:$D$58,"=8",'By Board'!$M$3:$M$58)+0</f>
        <v/>
      </c>
    </row>
    <row r="18">
      <c r="D18" s="6">
        <f>AVERAGE(D10:D17)</f>
        <v/>
      </c>
      <c r="E18" s="7">
        <f>SUM(E10:E17)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Round'!A43</f>
        <v/>
      </c>
      <c r="C3" s="10">
        <f>'By Round'!B47</f>
        <v/>
      </c>
      <c r="D3" s="10">
        <f>'By Round'!C47</f>
        <v/>
      </c>
      <c r="E3" s="10">
        <f>'By Round'!D47</f>
        <v/>
      </c>
      <c r="F3" s="10">
        <f>IF(ISBLANK('By Round'!F47),"",'By Round'!F47)</f>
        <v/>
      </c>
      <c r="G3">
        <f>IF(ISBLANK('By Round'!G47),"",'By Round'!G47)</f>
        <v/>
      </c>
      <c r="H3">
        <f>IF(ISBLANK('By Round'!H47),"",'By Round'!H47)</f>
        <v/>
      </c>
      <c r="I3">
        <f>IF(ISBLANK('By Round'!I47),"",'By Round'!I47)</f>
        <v/>
      </c>
      <c r="J3">
        <f>IF(ISBLANK('By Round'!J47),"",'By Round'!J47)</f>
        <v/>
      </c>
      <c r="K3">
        <f>IF(ISBLANK('By Round'!K47),"",'By Round'!K47)</f>
        <v/>
      </c>
      <c r="L3">
        <f>IF(ISBLANK('By Round'!L47),"",'By Round'!L47)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Round'!A27</f>
        <v/>
      </c>
      <c r="C4" s="10">
        <f>'By Round'!B33</f>
        <v/>
      </c>
      <c r="D4" s="10">
        <f>'By Round'!C33</f>
        <v/>
      </c>
      <c r="E4" s="10">
        <f>'By Round'!D33</f>
        <v/>
      </c>
      <c r="F4" s="10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>
        <f>IF(ISBLANK('By Round'!L33),"",'By Round'!L33)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Round'!A51</f>
        <v/>
      </c>
      <c r="C5" s="10">
        <f>'By Round'!B53</f>
        <v/>
      </c>
      <c r="D5" s="10">
        <f>'By Round'!C53</f>
        <v/>
      </c>
      <c r="E5" s="10">
        <f>'By Round'!D53</f>
        <v/>
      </c>
      <c r="F5" s="10">
        <f>IF(ISBLANK('By Round'!F53),"",'By Round'!F53)</f>
        <v/>
      </c>
      <c r="G5">
        <f>IF(ISBLANK('By Round'!G53),"",'By Round'!G53)</f>
        <v/>
      </c>
      <c r="H5">
        <f>IF(ISBLANK('By Round'!H53),"",'By Round'!H53)</f>
        <v/>
      </c>
      <c r="I5">
        <f>IF(ISBLANK('By Round'!I53),"",'By Round'!I53)</f>
        <v/>
      </c>
      <c r="J5">
        <f>IF(ISBLANK('By Round'!J53),"",'By Round'!J53)</f>
        <v/>
      </c>
      <c r="K5">
        <f>IF(ISBLANK('By Round'!K53),"",'By Round'!K53)</f>
        <v/>
      </c>
      <c r="L5">
        <f>IF(ISBLANK('By Round'!L53),"",'By Round'!L53)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Round'!F3),"",'By Round'!F3)</f>
        <v/>
      </c>
      <c r="G6" s="15">
        <f>IF(ISBLANK('By Round'!G3),"",'By Round'!G3)</f>
        <v/>
      </c>
      <c r="H6" s="15">
        <f>IF(ISBLANK('By Round'!H3),"",'By Round'!H3)</f>
        <v/>
      </c>
      <c r="I6" s="15">
        <f>IF(ISBLANK('By Round'!I3),"",'By Round'!I3)</f>
        <v/>
      </c>
      <c r="J6" s="15">
        <f>IF(ISBLANK('By Round'!J3),"",'By Round'!J3)</f>
        <v/>
      </c>
      <c r="K6" s="15">
        <f>IF(ISBLANK('By Round'!K3),"",'By Round'!K3)</f>
        <v/>
      </c>
      <c r="L6" s="15">
        <f>IF(ISBLANK('By Round'!L3),"",'By Round'!L3)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Round'!A43</f>
        <v/>
      </c>
      <c r="C7" s="10">
        <f>'By Round'!B47</f>
        <v/>
      </c>
      <c r="D7" s="10">
        <f>'By Round'!C47</f>
        <v/>
      </c>
      <c r="E7" s="10">
        <f>'By Round'!D47</f>
        <v/>
      </c>
      <c r="F7" s="10">
        <f>IF(ISBLANK('By Round'!F48),"",'By Round'!F48)</f>
        <v/>
      </c>
      <c r="G7">
        <f>IF(ISBLANK('By Round'!G48),"",'By Round'!G48)</f>
        <v/>
      </c>
      <c r="H7">
        <f>IF(ISBLANK('By Round'!H48),"",'By Round'!H48)</f>
        <v/>
      </c>
      <c r="I7">
        <f>IF(ISBLANK('By Round'!I48),"",'By Round'!I48)</f>
        <v/>
      </c>
      <c r="J7">
        <f>IF(ISBLANK('By Round'!J48),"",'By Round'!J48)</f>
        <v/>
      </c>
      <c r="K7">
        <f>IF(ISBLANK('By Round'!K48),"",'By Round'!K48)</f>
        <v/>
      </c>
      <c r="L7">
        <f>IF(ISBLANK('By Round'!L48),"",'By Round'!L48)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Round'!A27</f>
        <v/>
      </c>
      <c r="C8" s="10">
        <f>'By Round'!B33</f>
        <v/>
      </c>
      <c r="D8" s="10">
        <f>'By Round'!C33</f>
        <v/>
      </c>
      <c r="E8" s="10">
        <f>'By Round'!D33</f>
        <v/>
      </c>
      <c r="F8" s="10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>
        <f>IF(ISBLANK('By Round'!L34),"",'By Round'!L34)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Round'!A51</f>
        <v/>
      </c>
      <c r="C9" s="10">
        <f>'By Round'!B53</f>
        <v/>
      </c>
      <c r="D9" s="10">
        <f>'By Round'!C53</f>
        <v/>
      </c>
      <c r="E9" s="10">
        <f>'By Round'!D53</f>
        <v/>
      </c>
      <c r="F9" s="10">
        <f>IF(ISBLANK('By Round'!F54),"",'By Round'!F54)</f>
        <v/>
      </c>
      <c r="G9">
        <f>IF(ISBLANK('By Round'!G54),"",'By Round'!G54)</f>
        <v/>
      </c>
      <c r="H9">
        <f>IF(ISBLANK('By Round'!H54),"",'By Round'!H54)</f>
        <v/>
      </c>
      <c r="I9">
        <f>IF(ISBLANK('By Round'!I54),"",'By Round'!I54)</f>
        <v/>
      </c>
      <c r="J9">
        <f>IF(ISBLANK('By Round'!J54),"",'By Round'!J54)</f>
        <v/>
      </c>
      <c r="K9">
        <f>IF(ISBLANK('By Round'!K54),"",'By Round'!K54)</f>
        <v/>
      </c>
      <c r="L9">
        <f>IF(ISBLANK('By Round'!L54),"",'By Round'!L54)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Round'!A3</f>
        <v/>
      </c>
      <c r="C10" s="16">
        <f>'By Round'!B3</f>
        <v/>
      </c>
      <c r="D10" s="16">
        <f>'By Round'!C3</f>
        <v/>
      </c>
      <c r="E10" s="16">
        <f>'By Round'!D3</f>
        <v/>
      </c>
      <c r="F10" s="16">
        <f>IF(ISBLANK('By Round'!F4),"",'By Round'!F4)</f>
        <v/>
      </c>
      <c r="G10" s="15">
        <f>IF(ISBLANK('By Round'!G4),"",'By Round'!G4)</f>
        <v/>
      </c>
      <c r="H10" s="15">
        <f>IF(ISBLANK('By Round'!H4),"",'By Round'!H4)</f>
        <v/>
      </c>
      <c r="I10" s="15">
        <f>IF(ISBLANK('By Round'!I4),"",'By Round'!I4)</f>
        <v/>
      </c>
      <c r="J10" s="15">
        <f>IF(ISBLANK('By Round'!J4),"",'By Round'!J4)</f>
        <v/>
      </c>
      <c r="K10" s="15">
        <f>IF(ISBLANK('By Round'!K4),"",'By Round'!K4)</f>
        <v/>
      </c>
      <c r="L10" s="15">
        <f>IF(ISBLANK('By Round'!L4),"",'By Round'!L4)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Round'!A51</f>
        <v/>
      </c>
      <c r="C11" s="10">
        <f>'By Round'!B55</f>
        <v/>
      </c>
      <c r="D11" s="10">
        <f>'By Round'!C55</f>
        <v/>
      </c>
      <c r="E11" s="10">
        <f>'By Round'!D55</f>
        <v/>
      </c>
      <c r="F11" s="10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Round'!A35</f>
        <v/>
      </c>
      <c r="C12" s="10">
        <f>'By Round'!B41</f>
        <v/>
      </c>
      <c r="D12" s="10">
        <f>'By Round'!C41</f>
        <v/>
      </c>
      <c r="E12" s="10">
        <f>'By Round'!D41</f>
        <v/>
      </c>
      <c r="F12" s="10">
        <f>IF(ISBLANK('By Round'!F41),"",'By Round'!F41)</f>
        <v/>
      </c>
      <c r="G12">
        <f>IF(ISBLANK('By Round'!G41),"",'By Round'!G41)</f>
        <v/>
      </c>
      <c r="H12">
        <f>IF(ISBLANK('By Round'!H41),"",'By Round'!H41)</f>
        <v/>
      </c>
      <c r="I12">
        <f>IF(ISBLANK('By Round'!I41),"",'By Round'!I41)</f>
        <v/>
      </c>
      <c r="J12">
        <f>IF(ISBLANK('By Round'!J41),"",'By Round'!J41)</f>
        <v/>
      </c>
      <c r="K12">
        <f>IF(ISBLANK('By Round'!K41),"",'By Round'!K41)</f>
        <v/>
      </c>
      <c r="L12">
        <f>IF(ISBLANK('By Round'!L41),"",'By Round'!L41)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Round'!B5</f>
        <v/>
      </c>
      <c r="D13" s="10">
        <f>'By Round'!C5</f>
        <v/>
      </c>
      <c r="E13" s="10">
        <f>'By Round'!D5</f>
        <v/>
      </c>
      <c r="F13" s="10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Round'!A11</f>
        <v/>
      </c>
      <c r="C14" s="16">
        <f>'By Round'!B11</f>
        <v/>
      </c>
      <c r="D14" s="16">
        <f>'By Round'!C11</f>
        <v/>
      </c>
      <c r="E14" s="16">
        <f>'By Round'!D11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Round'!A51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Round'!A35</f>
        <v/>
      </c>
      <c r="C16" s="10">
        <f>'By Round'!B41</f>
        <v/>
      </c>
      <c r="D16" s="10">
        <f>'By Round'!C41</f>
        <v/>
      </c>
      <c r="E16" s="10">
        <f>'By Round'!D41</f>
        <v/>
      </c>
      <c r="F16" s="10">
        <f>IF(ISBLANK('By Round'!F42),"",'By Round'!F42)</f>
        <v/>
      </c>
      <c r="G16">
        <f>IF(ISBLANK('By Round'!G42),"",'By Round'!G42)</f>
        <v/>
      </c>
      <c r="H16">
        <f>IF(ISBLANK('By Round'!H42),"",'By Round'!H42)</f>
        <v/>
      </c>
      <c r="I16">
        <f>IF(ISBLANK('By Round'!I42),"",'By Round'!I42)</f>
        <v/>
      </c>
      <c r="J16">
        <f>IF(ISBLANK('By Round'!J42),"",'By Round'!J42)</f>
        <v/>
      </c>
      <c r="K16">
        <f>IF(ISBLANK('By Round'!K42),"",'By Round'!K42)</f>
        <v/>
      </c>
      <c r="L16">
        <f>IF(ISBLANK('By Round'!L42),"",'By Round'!L42)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</f>
        <v/>
      </c>
      <c r="C17" s="10">
        <f>'By Round'!B5</f>
        <v/>
      </c>
      <c r="D17" s="10">
        <f>'By Round'!C5</f>
        <v/>
      </c>
      <c r="E17" s="10">
        <f>'By Round'!D5</f>
        <v/>
      </c>
      <c r="F17" s="10">
        <f>IF(ISBLANK('By Round'!F6),"",'By Round'!F6)</f>
        <v/>
      </c>
      <c r="G17">
        <f>IF(ISBLANK('By Round'!G6),"",'By Round'!G6)</f>
        <v/>
      </c>
      <c r="H17">
        <f>IF(ISBLANK('By Round'!H6),"",'By Round'!H6)</f>
        <v/>
      </c>
      <c r="I17">
        <f>IF(ISBLANK('By Round'!I6),"",'By Round'!I6)</f>
        <v/>
      </c>
      <c r="J17">
        <f>IF(ISBLANK('By Round'!J6),"",'By Round'!J6)</f>
        <v/>
      </c>
      <c r="K17">
        <f>IF(ISBLANK('By Round'!K6),"",'By Round'!K6)</f>
        <v/>
      </c>
      <c r="L17">
        <f>IF(ISBLANK('By Round'!L6),"",'By Round'!L6)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Round'!A11</f>
        <v/>
      </c>
      <c r="C18" s="16">
        <f>'By Round'!B11</f>
        <v/>
      </c>
      <c r="D18" s="16">
        <f>'By Round'!C11</f>
        <v/>
      </c>
      <c r="E18" s="16">
        <f>'By Round'!D11</f>
        <v/>
      </c>
      <c r="F18" s="16">
        <f>IF(ISBLANK('By Round'!F12),"",'By Round'!F12)</f>
        <v/>
      </c>
      <c r="G18" s="15">
        <f>IF(ISBLANK('By Round'!G12),"",'By Round'!G12)</f>
        <v/>
      </c>
      <c r="H18" s="15">
        <f>IF(ISBLANK('By Round'!H12),"",'By Round'!H12)</f>
        <v/>
      </c>
      <c r="I18" s="15">
        <f>IF(ISBLANK('By Round'!I12),"",'By Round'!I12)</f>
        <v/>
      </c>
      <c r="J18" s="15">
        <f>IF(ISBLANK('By Round'!J12),"",'By Round'!J12)</f>
        <v/>
      </c>
      <c r="K18" s="15">
        <f>IF(ISBLANK('By Round'!K12),"",'By Round'!K12)</f>
        <v/>
      </c>
      <c r="L18" s="15">
        <f>IF(ISBLANK('By Round'!L12),"",'By Round'!L12)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Round'!A3</f>
        <v/>
      </c>
      <c r="C19" s="10">
        <f>'By Round'!B7</f>
        <v/>
      </c>
      <c r="D19" s="10">
        <f>'By Round'!C7</f>
        <v/>
      </c>
      <c r="E19" s="10">
        <f>'By Round'!D7</f>
        <v/>
      </c>
      <c r="F19" s="10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>
        <f>IF(ISBLANK('By Round'!L7),"",'By Round'!L7)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Round'!A43</f>
        <v/>
      </c>
      <c r="C20" s="10">
        <f>'By Round'!B49</f>
        <v/>
      </c>
      <c r="D20" s="10">
        <f>'By Round'!C49</f>
        <v/>
      </c>
      <c r="E20" s="10">
        <f>'By Round'!D49</f>
        <v/>
      </c>
      <c r="F20" s="10">
        <f>IF(ISBLANK('By Round'!F49),"",'By Round'!F49)</f>
        <v/>
      </c>
      <c r="G20">
        <f>IF(ISBLANK('By Round'!G49),"",'By Round'!G49)</f>
        <v/>
      </c>
      <c r="H20">
        <f>IF(ISBLANK('By Round'!H49),"",'By Round'!H49)</f>
        <v/>
      </c>
      <c r="I20">
        <f>IF(ISBLANK('By Round'!I49),"",'By Round'!I49)</f>
        <v/>
      </c>
      <c r="J20">
        <f>IF(ISBLANK('By Round'!J49),"",'By Round'!J49)</f>
        <v/>
      </c>
      <c r="K20">
        <f>IF(ISBLANK('By Round'!K49),"",'By Round'!K49)</f>
        <v/>
      </c>
      <c r="L20">
        <f>IF(ISBLANK('By Round'!L49),"",'By Round'!L49)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Round'!A11</f>
        <v/>
      </c>
      <c r="C21" s="10">
        <f>'By Round'!B13</f>
        <v/>
      </c>
      <c r="D21" s="10">
        <f>'By Round'!C13</f>
        <v/>
      </c>
      <c r="E21" s="10">
        <f>'By Round'!D13</f>
        <v/>
      </c>
      <c r="F21" s="10">
        <f>IF(ISBLANK('By Round'!F13),"",'By Round'!F13)</f>
        <v/>
      </c>
      <c r="G21">
        <f>IF(ISBLANK('By Round'!G13),"",'By Round'!G13)</f>
        <v/>
      </c>
      <c r="H21">
        <f>IF(ISBLANK('By Round'!H13),"",'By Round'!H13)</f>
        <v/>
      </c>
      <c r="I21">
        <f>IF(ISBLANK('By Round'!I13),"",'By Round'!I13)</f>
        <v/>
      </c>
      <c r="J21">
        <f>IF(ISBLANK('By Round'!J13),"",'By Round'!J13)</f>
        <v/>
      </c>
      <c r="K21">
        <f>IF(ISBLANK('By Round'!K13),"",'By Round'!K13)</f>
        <v/>
      </c>
      <c r="L21">
        <f>IF(ISBLANK('By Round'!L13),"",'By Round'!L13)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Round'!A19</f>
        <v/>
      </c>
      <c r="C22" s="16">
        <f>'By Round'!B19</f>
        <v/>
      </c>
      <c r="D22" s="16">
        <f>'By Round'!C19</f>
        <v/>
      </c>
      <c r="E22" s="16">
        <f>'By Round'!D19</f>
        <v/>
      </c>
      <c r="F22" s="16">
        <f>IF(ISBLANK('By Round'!F19),"",'By Round'!F19)</f>
        <v/>
      </c>
      <c r="G22" s="15">
        <f>IF(ISBLANK('By Round'!G19),"",'By Round'!G19)</f>
        <v/>
      </c>
      <c r="H22" s="15">
        <f>IF(ISBLANK('By Round'!H19),"",'By Round'!H19)</f>
        <v/>
      </c>
      <c r="I22" s="15">
        <f>IF(ISBLANK('By Round'!I19),"",'By Round'!I19)</f>
        <v/>
      </c>
      <c r="J22" s="15">
        <f>IF(ISBLANK('By Round'!J19),"",'By Round'!J19)</f>
        <v/>
      </c>
      <c r="K22" s="15">
        <f>IF(ISBLANK('By Round'!K19),"",'By Round'!K19)</f>
        <v/>
      </c>
      <c r="L22" s="15">
        <f>IF(ISBLANK('By Round'!L19),"",'By Round'!L19)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Round'!A3</f>
        <v/>
      </c>
      <c r="C23" s="10">
        <f>'By Round'!B7</f>
        <v/>
      </c>
      <c r="D23" s="10">
        <f>'By Round'!C7</f>
        <v/>
      </c>
      <c r="E23" s="10">
        <f>'By Round'!D7</f>
        <v/>
      </c>
      <c r="F23" s="10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>
        <f>IF(ISBLANK('By Round'!L8),"",'By Round'!L8)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Round'!A43</f>
        <v/>
      </c>
      <c r="C24" s="10">
        <f>'By Round'!B49</f>
        <v/>
      </c>
      <c r="D24" s="10">
        <f>'By Round'!C49</f>
        <v/>
      </c>
      <c r="E24" s="10">
        <f>'By Round'!D49</f>
        <v/>
      </c>
      <c r="F24" s="10">
        <f>IF(ISBLANK('By Round'!F50),"",'By Round'!F50)</f>
        <v/>
      </c>
      <c r="G24">
        <f>IF(ISBLANK('By Round'!G50),"",'By Round'!G50)</f>
        <v/>
      </c>
      <c r="H24">
        <f>IF(ISBLANK('By Round'!H50),"",'By Round'!H50)</f>
        <v/>
      </c>
      <c r="I24">
        <f>IF(ISBLANK('By Round'!I50),"",'By Round'!I50)</f>
        <v/>
      </c>
      <c r="J24">
        <f>IF(ISBLANK('By Round'!J50),"",'By Round'!J50)</f>
        <v/>
      </c>
      <c r="K24">
        <f>IF(ISBLANK('By Round'!K50),"",'By Round'!K50)</f>
        <v/>
      </c>
      <c r="L24">
        <f>IF(ISBLANK('By Round'!L50),"",'By Round'!L50)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Round'!A11</f>
        <v/>
      </c>
      <c r="C25" s="10">
        <f>'By Round'!B13</f>
        <v/>
      </c>
      <c r="D25" s="10">
        <f>'By Round'!C13</f>
        <v/>
      </c>
      <c r="E25" s="10">
        <f>'By Round'!D13</f>
        <v/>
      </c>
      <c r="F25" s="10">
        <f>IF(ISBLANK('By Round'!F14),"",'By Round'!F14)</f>
        <v/>
      </c>
      <c r="G25">
        <f>IF(ISBLANK('By Round'!G14),"",'By Round'!G14)</f>
        <v/>
      </c>
      <c r="H25">
        <f>IF(ISBLANK('By Round'!H14),"",'By Round'!H14)</f>
        <v/>
      </c>
      <c r="I25">
        <f>IF(ISBLANK('By Round'!I14),"",'By Round'!I14)</f>
        <v/>
      </c>
      <c r="J25">
        <f>IF(ISBLANK('By Round'!J14),"",'By Round'!J14)</f>
        <v/>
      </c>
      <c r="K25">
        <f>IF(ISBLANK('By Round'!K14),"",'By Round'!K14)</f>
        <v/>
      </c>
      <c r="L25">
        <f>IF(ISBLANK('By Round'!L14),"",'By Round'!L14)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Round'!A19</f>
        <v/>
      </c>
      <c r="C26" s="16">
        <f>'By Round'!B19</f>
        <v/>
      </c>
      <c r="D26" s="16">
        <f>'By Round'!C19</f>
        <v/>
      </c>
      <c r="E26" s="16">
        <f>'By Round'!D19</f>
        <v/>
      </c>
      <c r="F26" s="16">
        <f>IF(ISBLANK('By Round'!F20),"",'By Round'!F20)</f>
        <v/>
      </c>
      <c r="G26" s="15">
        <f>IF(ISBLANK('By Round'!G20),"",'By Round'!G20)</f>
        <v/>
      </c>
      <c r="H26" s="15">
        <f>IF(ISBLANK('By Round'!H20),"",'By Round'!H20)</f>
        <v/>
      </c>
      <c r="I26" s="15">
        <f>IF(ISBLANK('By Round'!I20),"",'By Round'!I20)</f>
        <v/>
      </c>
      <c r="J26" s="15">
        <f>IF(ISBLANK('By Round'!J20),"",'By Round'!J20)</f>
        <v/>
      </c>
      <c r="K26" s="15">
        <f>IF(ISBLANK('By Round'!K20),"",'By Round'!K20)</f>
        <v/>
      </c>
      <c r="L26" s="15">
        <f>IF(ISBLANK('By Round'!L20),"",'By Round'!L20)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Round'!A19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Round'!A11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Round'!F15),"",'By Round'!F15)</f>
        <v/>
      </c>
      <c r="G28">
        <f>IF(ISBLANK('By Round'!G15),"",'By Round'!G15)</f>
        <v/>
      </c>
      <c r="H28">
        <f>IF(ISBLANK('By Round'!H15),"",'By Round'!H15)</f>
        <v/>
      </c>
      <c r="I28">
        <f>IF(ISBLANK('By Round'!I15),"",'By Round'!I15)</f>
        <v/>
      </c>
      <c r="J28">
        <f>IF(ISBLANK('By Round'!J15),"",'By Round'!J15)</f>
        <v/>
      </c>
      <c r="K28">
        <f>IF(ISBLANK('By Round'!K15),"",'By Round'!K15)</f>
        <v/>
      </c>
      <c r="L28">
        <f>IF(ISBLANK('By Round'!L15),"",'By Round'!L15)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Round'!A51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Round'!F27),"",'By Round'!F27)</f>
        <v/>
      </c>
      <c r="G30" s="15">
        <f>IF(ISBLANK('By Round'!G27),"",'By Round'!G27)</f>
        <v/>
      </c>
      <c r="H30" s="15">
        <f>IF(ISBLANK('By Round'!H27),"",'By Round'!H27)</f>
        <v/>
      </c>
      <c r="I30" s="15">
        <f>IF(ISBLANK('By Round'!I27),"",'By Round'!I27)</f>
        <v/>
      </c>
      <c r="J30" s="15">
        <f>IF(ISBLANK('By Round'!J27),"",'By Round'!J27)</f>
        <v/>
      </c>
      <c r="K30" s="15">
        <f>IF(ISBLANK('By Round'!K27),"",'By Round'!K27)</f>
        <v/>
      </c>
      <c r="L30" s="15">
        <f>IF(ISBLANK('By Round'!L27),"",'By Round'!L27)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Round'!A19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Round'!A11</f>
        <v/>
      </c>
      <c r="C32" s="10">
        <f>'By Round'!B15</f>
        <v/>
      </c>
      <c r="D32" s="10">
        <f>'By Round'!C15</f>
        <v/>
      </c>
      <c r="E32" s="10">
        <f>'By Round'!D15</f>
        <v/>
      </c>
      <c r="F32" s="10">
        <f>IF(ISBLANK('By Round'!F16),"",'By Round'!F16)</f>
        <v/>
      </c>
      <c r="G32">
        <f>IF(ISBLANK('By Round'!G16),"",'By Round'!G16)</f>
        <v/>
      </c>
      <c r="H32">
        <f>IF(ISBLANK('By Round'!H16),"",'By Round'!H16)</f>
        <v/>
      </c>
      <c r="I32">
        <f>IF(ISBLANK('By Round'!I16),"",'By Round'!I16)</f>
        <v/>
      </c>
      <c r="J32">
        <f>IF(ISBLANK('By Round'!J16),"",'By Round'!J16)</f>
        <v/>
      </c>
      <c r="K32">
        <f>IF(ISBLANK('By Round'!K16),"",'By Round'!K16)</f>
        <v/>
      </c>
      <c r="L32">
        <f>IF(ISBLANK('By Round'!L16),"",'By Round'!L16)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Round'!A51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Round'!A27</f>
        <v/>
      </c>
      <c r="C34" s="16">
        <f>'By Round'!B27</f>
        <v/>
      </c>
      <c r="D34" s="16">
        <f>'By Round'!C27</f>
        <v/>
      </c>
      <c r="E34" s="16">
        <f>'By Round'!D27</f>
        <v/>
      </c>
      <c r="F34" s="16">
        <f>IF(ISBLANK('By Round'!F28),"",'By Round'!F28)</f>
        <v/>
      </c>
      <c r="G34" s="15">
        <f>IF(ISBLANK('By Round'!G28),"",'By Round'!G28)</f>
        <v/>
      </c>
      <c r="H34" s="15">
        <f>IF(ISBLANK('By Round'!H28),"",'By Round'!H28)</f>
        <v/>
      </c>
      <c r="I34" s="15">
        <f>IF(ISBLANK('By Round'!I28),"",'By Round'!I28)</f>
        <v/>
      </c>
      <c r="J34" s="15">
        <f>IF(ISBLANK('By Round'!J28),"",'By Round'!J28)</f>
        <v/>
      </c>
      <c r="K34" s="15">
        <f>IF(ISBLANK('By Round'!K28),"",'By Round'!K28)</f>
        <v/>
      </c>
      <c r="L34" s="15">
        <f>IF(ISBLANK('By Round'!L28),"",'By Round'!L28)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Round'!A27</f>
        <v/>
      </c>
      <c r="C35" s="10">
        <f>'By Round'!B29</f>
        <v/>
      </c>
      <c r="D35" s="10">
        <f>'By Round'!C29</f>
        <v/>
      </c>
      <c r="E35" s="10">
        <f>'By Round'!D29</f>
        <v/>
      </c>
      <c r="F35" s="10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Round'!A19</f>
        <v/>
      </c>
      <c r="C36" s="10">
        <f>'By Round'!B23</f>
        <v/>
      </c>
      <c r="D36" s="10">
        <f>'By Round'!C23</f>
        <v/>
      </c>
      <c r="E36" s="10">
        <f>'By Round'!D23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Round'!F9),"",'By Round'!F9)</f>
        <v/>
      </c>
      <c r="G37">
        <f>IF(ISBLANK('By Round'!G9),"",'By Round'!G9)</f>
        <v/>
      </c>
      <c r="H37">
        <f>IF(ISBLANK('By Round'!H9),"",'By Round'!H9)</f>
        <v/>
      </c>
      <c r="I37">
        <f>IF(ISBLANK('By Round'!I9),"",'By Round'!I9)</f>
        <v/>
      </c>
      <c r="J37">
        <f>IF(ISBLANK('By Round'!J9),"",'By Round'!J9)</f>
        <v/>
      </c>
      <c r="K37">
        <f>IF(ISBLANK('By Round'!K9),"",'By Round'!K9)</f>
        <v/>
      </c>
      <c r="L37">
        <f>IF(ISBLANK('By Round'!L9),"",'By Round'!L9)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Round'!A27</f>
        <v/>
      </c>
      <c r="C39" s="10">
        <f>'By Round'!B29</f>
        <v/>
      </c>
      <c r="D39" s="10">
        <f>'By Round'!C29</f>
        <v/>
      </c>
      <c r="E39" s="10">
        <f>'By Round'!D29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Round'!A19</f>
        <v/>
      </c>
      <c r="C40" s="10">
        <f>'By Round'!B23</f>
        <v/>
      </c>
      <c r="D40" s="10">
        <f>'By Round'!C23</f>
        <v/>
      </c>
      <c r="E40" s="10">
        <f>'By Round'!D23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Round'!A3</f>
        <v/>
      </c>
      <c r="C41" s="10">
        <f>'By Round'!B9</f>
        <v/>
      </c>
      <c r="D41" s="10">
        <f>'By Round'!C9</f>
        <v/>
      </c>
      <c r="E41" s="10">
        <f>'By Round'!D9</f>
        <v/>
      </c>
      <c r="F41" s="10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5">
        <f>IF(ISBLANK('By Round'!L36),"",'By Round'!L36)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Round'!A11</f>
        <v/>
      </c>
      <c r="C43" s="10">
        <f>'By Round'!B17</f>
        <v/>
      </c>
      <c r="D43" s="10">
        <f>'By Round'!C17</f>
        <v/>
      </c>
      <c r="E43" s="10">
        <f>'By Round'!D17</f>
        <v/>
      </c>
      <c r="F43" s="10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>
        <f>IF(ISBLANK('By Round'!L17),"",'By Round'!L17)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Round'!A35</f>
        <v/>
      </c>
      <c r="C44" s="10">
        <f>'By Round'!B37</f>
        <v/>
      </c>
      <c r="D44" s="10">
        <f>'By Round'!C37</f>
        <v/>
      </c>
      <c r="E44" s="10">
        <f>'By Round'!D37</f>
        <v/>
      </c>
      <c r="F44" s="10">
        <f>IF(ISBLANK('By Round'!F37),"",'By Round'!F37)</f>
        <v/>
      </c>
      <c r="G44">
        <f>IF(ISBLANK('By Round'!G37),"",'By Round'!G37)</f>
        <v/>
      </c>
      <c r="H44">
        <f>IF(ISBLANK('By Round'!H37),"",'By Round'!H37)</f>
        <v/>
      </c>
      <c r="I44">
        <f>IF(ISBLANK('By Round'!I37),"",'By Round'!I37)</f>
        <v/>
      </c>
      <c r="J44">
        <f>IF(ISBLANK('By Round'!J37),"",'By Round'!J37)</f>
        <v/>
      </c>
      <c r="K44">
        <f>IF(ISBLANK('By Round'!K37),"",'By Round'!K37)</f>
        <v/>
      </c>
      <c r="L44">
        <f>IF(ISBLANK('By Round'!L37),"",'By Round'!L37)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Round'!A27</f>
        <v/>
      </c>
      <c r="C45" s="10">
        <f>'By Round'!B31</f>
        <v/>
      </c>
      <c r="D45" s="10">
        <f>'By Round'!C31</f>
        <v/>
      </c>
      <c r="E45" s="10">
        <f>'By Round'!D31</f>
        <v/>
      </c>
      <c r="F45" s="10">
        <f>IF(ISBLANK('By Round'!F31),"",'By Round'!F31)</f>
        <v/>
      </c>
      <c r="G45">
        <f>IF(ISBLANK('By Round'!G31),"",'By Round'!G31)</f>
        <v/>
      </c>
      <c r="H45">
        <f>IF(ISBLANK('By Round'!H31),"",'By Round'!H31)</f>
        <v/>
      </c>
      <c r="I45">
        <f>IF(ISBLANK('By Round'!I31),"",'By Round'!I31)</f>
        <v/>
      </c>
      <c r="J45">
        <f>IF(ISBLANK('By Round'!J31),"",'By Round'!J31)</f>
        <v/>
      </c>
      <c r="K45">
        <f>IF(ISBLANK('By Round'!K31),"",'By Round'!K31)</f>
        <v/>
      </c>
      <c r="L45">
        <f>IF(ISBLANK('By Round'!L31),"",'By Round'!L31)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5">
        <f>IF(ISBLANK('By Round'!L43),"",'By Round'!L43)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Round'!A11</f>
        <v/>
      </c>
      <c r="C47" s="10">
        <f>'By Round'!B17</f>
        <v/>
      </c>
      <c r="D47" s="10">
        <f>'By Round'!C17</f>
        <v/>
      </c>
      <c r="E47" s="10">
        <f>'By Round'!D17</f>
        <v/>
      </c>
      <c r="F47" s="10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>
        <f>IF(ISBLANK('By Round'!L18),"",'By Round'!L18)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Round'!A35</f>
        <v/>
      </c>
      <c r="C48" s="10">
        <f>'By Round'!B37</f>
        <v/>
      </c>
      <c r="D48" s="10">
        <f>'By Round'!C37</f>
        <v/>
      </c>
      <c r="E48" s="10">
        <f>'By Round'!D37</f>
        <v/>
      </c>
      <c r="F48" s="10">
        <f>IF(ISBLANK('By Round'!F38),"",'By Round'!F38)</f>
        <v/>
      </c>
      <c r="G48">
        <f>IF(ISBLANK('By Round'!G38),"",'By Round'!G38)</f>
        <v/>
      </c>
      <c r="H48">
        <f>IF(ISBLANK('By Round'!H38),"",'By Round'!H38)</f>
        <v/>
      </c>
      <c r="I48">
        <f>IF(ISBLANK('By Round'!I38),"",'By Round'!I38)</f>
        <v/>
      </c>
      <c r="J48">
        <f>IF(ISBLANK('By Round'!J38),"",'By Round'!J38)</f>
        <v/>
      </c>
      <c r="K48">
        <f>IF(ISBLANK('By Round'!K38),"",'By Round'!K38)</f>
        <v/>
      </c>
      <c r="L48">
        <f>IF(ISBLANK('By Round'!L38),"",'By Round'!L38)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Round'!A27</f>
        <v/>
      </c>
      <c r="C49" s="10">
        <f>'By Round'!B31</f>
        <v/>
      </c>
      <c r="D49" s="10">
        <f>'By Round'!C31</f>
        <v/>
      </c>
      <c r="E49" s="10">
        <f>'By Round'!D31</f>
        <v/>
      </c>
      <c r="F49" s="10">
        <f>IF(ISBLANK('By Round'!F32),"",'By Round'!F32)</f>
        <v/>
      </c>
      <c r="G49">
        <f>IF(ISBLANK('By Round'!G32),"",'By Round'!G32)</f>
        <v/>
      </c>
      <c r="H49">
        <f>IF(ISBLANK('By Round'!H32),"",'By Round'!H32)</f>
        <v/>
      </c>
      <c r="I49">
        <f>IF(ISBLANK('By Round'!I32),"",'By Round'!I32)</f>
        <v/>
      </c>
      <c r="J49">
        <f>IF(ISBLANK('By Round'!J32),"",'By Round'!J32)</f>
        <v/>
      </c>
      <c r="K49">
        <f>IF(ISBLANK('By Round'!K32),"",'By Round'!K32)</f>
        <v/>
      </c>
      <c r="L49">
        <f>IF(ISBLANK('By Round'!L32),"",'By Round'!L32)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5">
        <f>IF(ISBLANK('By Round'!L44),"",'By Round'!L44)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Round'!A35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Round'!A19</f>
        <v/>
      </c>
      <c r="C52" s="10">
        <f>'By Round'!B25</f>
        <v/>
      </c>
      <c r="D52" s="10">
        <f>'By Round'!C25</f>
        <v/>
      </c>
      <c r="E52" s="10">
        <f>'By Round'!D25</f>
        <v/>
      </c>
      <c r="F52" s="10">
        <f>IF(ISBLANK('By Round'!F25),"",'By Round'!F25)</f>
        <v/>
      </c>
      <c r="G52">
        <f>IF(ISBLANK('By Round'!G25),"",'By Round'!G25)</f>
        <v/>
      </c>
      <c r="H52">
        <f>IF(ISBLANK('By Round'!H25),"",'By Round'!H25)</f>
        <v/>
      </c>
      <c r="I52">
        <f>IF(ISBLANK('By Round'!I25),"",'By Round'!I25)</f>
        <v/>
      </c>
      <c r="J52">
        <f>IF(ISBLANK('By Round'!J25),"",'By Round'!J25)</f>
        <v/>
      </c>
      <c r="K52">
        <f>IF(ISBLANK('By Round'!K25),"",'By Round'!K25)</f>
        <v/>
      </c>
      <c r="L52">
        <f>IF(ISBLANK('By Round'!L25),"",'By Round'!L25)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Round'!A43</f>
        <v/>
      </c>
      <c r="C53" s="10">
        <f>'By Round'!B45</f>
        <v/>
      </c>
      <c r="D53" s="10">
        <f>'By Round'!C45</f>
        <v/>
      </c>
      <c r="E53" s="10">
        <f>'By Round'!D45</f>
        <v/>
      </c>
      <c r="F53" s="10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5">
        <f>IF(ISBLANK('By Round'!L51),"",'By Round'!L51)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Round'!A35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Round'!A19</f>
        <v/>
      </c>
      <c r="C56" s="10">
        <f>'By Round'!B25</f>
        <v/>
      </c>
      <c r="D56" s="10">
        <f>'By Round'!C25</f>
        <v/>
      </c>
      <c r="E56" s="10">
        <f>'By Round'!D25</f>
        <v/>
      </c>
      <c r="F56" s="10">
        <f>IF(ISBLANK('By Round'!F26),"",'By Round'!F26)</f>
        <v/>
      </c>
      <c r="G56">
        <f>IF(ISBLANK('By Round'!G26),"",'By Round'!G26)</f>
        <v/>
      </c>
      <c r="H56">
        <f>IF(ISBLANK('By Round'!H26),"",'By Round'!H26)</f>
        <v/>
      </c>
      <c r="I56">
        <f>IF(ISBLANK('By Round'!I26),"",'By Round'!I26)</f>
        <v/>
      </c>
      <c r="J56">
        <f>IF(ISBLANK('By Round'!J26),"",'By Round'!J26)</f>
        <v/>
      </c>
      <c r="K56">
        <f>IF(ISBLANK('By Round'!K26),"",'By Round'!K26)</f>
        <v/>
      </c>
      <c r="L56">
        <f>IF(ISBLANK('By Round'!L26),"",'By Round'!L26)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Round'!A43</f>
        <v/>
      </c>
      <c r="C57" s="10">
        <f>'By Round'!B45</f>
        <v/>
      </c>
      <c r="D57" s="10">
        <f>'By Round'!C45</f>
        <v/>
      </c>
      <c r="E57" s="10">
        <f>'By Round'!D45</f>
        <v/>
      </c>
      <c r="F57" s="10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5">
        <f>IF(ISBLANK('By Round'!L52),"",'By Round'!L52)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8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n">
        <v>8</v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n">
        <v>8</v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n">
        <v>8</v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n">
        <v>8</v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n">
        <v>8</v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n">
        <v>8</v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2026-03-18T15:27:45Z</dcterms:created>
  <dcterms:modified xsi:type="dcterms:W3CDTF">2026-03-18T15:27:45Z</dcterms:modified>
</cp:coreProperties>
</file>