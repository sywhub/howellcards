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32</t>
        </is>
      </c>
      <c r="C10" t="inlineStr">
        <is>
          <t>Name 14</t>
        </is>
      </c>
      <c r="D10" s="4">
        <f>SUMIF('By Board'!$D$3:$D$58,"=1",'By Board'!$O$3:$O$58)/14+SUMIF('By Board'!$E$3:$E$58,"=1",'By Board'!$P$3:$P$58)/14</f>
        <v/>
      </c>
      <c r="E10" s="5">
        <f>SUMIF('By Board'!$D$3:$D$58,"=1",'By Board'!$M$3:$M$58)+SUMIF('By Board'!$E$3:$E$58,"=1",'By Board'!$N$3:$N$58)</f>
        <v/>
      </c>
    </row>
    <row r="11">
      <c r="A11" s="2" t="n">
        <v>2</v>
      </c>
      <c r="B11" t="inlineStr">
        <is>
          <t>Name 90</t>
        </is>
      </c>
      <c r="C11" t="inlineStr">
        <is>
          <t>Name 20</t>
        </is>
      </c>
      <c r="D11" s="4">
        <f>SUMIF('By Board'!$D$3:$D$58,"=2",'By Board'!$O$3:$O$58)/14+SUMIF('By Board'!$E$3:$E$58,"=2",'By Board'!$P$3:$P$58)/14</f>
        <v/>
      </c>
      <c r="E11" s="5">
        <f>SUMIF('By Board'!$D$3:$D$58,"=2",'By Board'!$M$3:$M$58)+SUMIF('By Board'!$E$3:$E$58,"=2",'By Board'!$N$3:$N$58)</f>
        <v/>
      </c>
    </row>
    <row r="12">
      <c r="A12" s="2" t="n">
        <v>3</v>
      </c>
      <c r="B12" t="inlineStr">
        <is>
          <t>Name 82</t>
        </is>
      </c>
      <c r="C12" t="inlineStr">
        <is>
          <t>Name 70</t>
        </is>
      </c>
      <c r="D12" s="4">
        <f>SUMIF('By Board'!$D$3:$D$58,"=3",'By Board'!$O$3:$O$58)/14+SUMIF('By Board'!$E$3:$E$58,"=3",'By Board'!$P$3:$P$58)/14</f>
        <v/>
      </c>
      <c r="E12" s="5">
        <f>SUMIF('By Board'!$D$3:$D$58,"=3",'By Board'!$M$3:$M$58)+SUMIF('By Board'!$E$3:$E$58,"=3",'By Board'!$N$3:$N$58)</f>
        <v/>
      </c>
    </row>
    <row r="13">
      <c r="A13" s="2" t="n">
        <v>4</v>
      </c>
      <c r="B13" t="inlineStr">
        <is>
          <t>Name 40</t>
        </is>
      </c>
      <c r="C13" t="inlineStr">
        <is>
          <t>Name 84</t>
        </is>
      </c>
      <c r="D13" s="4">
        <f>SUMIF('By Board'!$D$3:$D$58,"=4",'By Board'!$O$3:$O$58)/14+SUMIF('By Board'!$E$3:$E$58,"=4",'By Board'!$P$3:$P$58)/14</f>
        <v/>
      </c>
      <c r="E13" s="5">
        <f>SUMIF('By Board'!$D$3:$D$58,"=4",'By Board'!$M$3:$M$58)+SUMIF('By Board'!$E$3:$E$58,"=4",'By Board'!$N$3:$N$58)</f>
        <v/>
      </c>
    </row>
    <row r="14">
      <c r="A14" s="2" t="n">
        <v>5</v>
      </c>
      <c r="B14" t="inlineStr">
        <is>
          <t>Name 21</t>
        </is>
      </c>
      <c r="C14" t="inlineStr">
        <is>
          <t>Name 37</t>
        </is>
      </c>
      <c r="D14" s="4">
        <f>SUMIF('By Board'!$D$3:$D$58,"=5",'By Board'!$O$3:$O$58)/14+SUMIF('By Board'!$E$3:$E$58,"=5",'By Board'!$P$3:$P$58)/14</f>
        <v/>
      </c>
      <c r="E14" s="5">
        <f>SUMIF('By Board'!$D$3:$D$58,"=5",'By Board'!$M$3:$M$58)+SUMIF('By Board'!$E$3:$E$58,"=5",'By Board'!$N$3:$N$58)</f>
        <v/>
      </c>
    </row>
    <row r="15">
      <c r="A15" s="2" t="n">
        <v>6</v>
      </c>
      <c r="B15" t="inlineStr">
        <is>
          <t>Name 66</t>
        </is>
      </c>
      <c r="C15" t="inlineStr">
        <is>
          <t>Name 26</t>
        </is>
      </c>
      <c r="D15" s="4">
        <f>SUMIF('By Board'!$D$3:$D$58,"=6",'By Board'!$O$3:$O$58)/14+SUMIF('By Board'!$E$3:$E$58,"=6",'By Board'!$P$3:$P$58)/14</f>
        <v/>
      </c>
      <c r="E15" s="5">
        <f>SUMIF('By Board'!$D$3:$D$58,"=6",'By Board'!$M$3:$M$58)+SUMIF('By Board'!$E$3:$E$58,"=6",'By Board'!$N$3:$N$58)</f>
        <v/>
      </c>
    </row>
    <row r="16">
      <c r="A16" s="2" t="n">
        <v>7</v>
      </c>
      <c r="B16" t="inlineStr">
        <is>
          <t>Name 65</t>
        </is>
      </c>
      <c r="C16" t="inlineStr">
        <is>
          <t>Name 39</t>
        </is>
      </c>
      <c r="D16" s="4">
        <f>SUMIF('By Board'!$D$3:$D$58,"=7",'By Board'!$O$3:$O$58)/14+SUMIF('By Board'!$E$3:$E$58,"=7",'By Board'!$P$3:$P$58)/14</f>
        <v/>
      </c>
      <c r="E16" s="5">
        <f>SUMIF('By Board'!$D$3:$D$58,"=7",'By Board'!$M$3:$M$58)+SUMIF('By Board'!$E$3:$E$58,"=7",'By Board'!$N$3:$N$58)</f>
        <v/>
      </c>
    </row>
    <row r="17">
      <c r="A17" s="2" t="n">
        <v>8</v>
      </c>
      <c r="B17" t="inlineStr">
        <is>
          <t>Name 59</t>
        </is>
      </c>
      <c r="C17" t="inlineStr">
        <is>
          <t>Name 72</t>
        </is>
      </c>
      <c r="D17" s="4">
        <f>SUMIF('By Board'!$D$3:$D$58,"=8",'By Board'!$O$3:$O$58)/14+0/14</f>
        <v/>
      </c>
      <c r="E17" s="5">
        <f>SUMIF('By Board'!$D$3:$D$58,"=8",'By Board'!$M$3:$M$58)+0</f>
        <v/>
      </c>
    </row>
    <row r="18">
      <c r="D18" s="6">
        <f>AVERAGE(D10:D17)</f>
        <v/>
      </c>
      <c r="E18" s="7">
        <f>SUM(E10:E17)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Round'!A43</f>
        <v/>
      </c>
      <c r="C3" s="10">
        <f>'By Round'!B47</f>
        <v/>
      </c>
      <c r="D3" s="10">
        <f>'By Round'!C47</f>
        <v/>
      </c>
      <c r="E3" s="10">
        <f>'By Round'!D47</f>
        <v/>
      </c>
      <c r="F3" s="10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>
        <f>IF(ISBLANK('By Round'!L47),"",'By Round'!L47)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Round'!A27</f>
        <v/>
      </c>
      <c r="C4" s="10">
        <f>'By Round'!B33</f>
        <v/>
      </c>
      <c r="D4" s="10">
        <f>'By Round'!C33</f>
        <v/>
      </c>
      <c r="E4" s="10">
        <f>'By Round'!D33</f>
        <v/>
      </c>
      <c r="F4" s="10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Round'!A51</f>
        <v/>
      </c>
      <c r="C5" s="10">
        <f>'By Round'!B53</f>
        <v/>
      </c>
      <c r="D5" s="10">
        <f>'By Round'!C53</f>
        <v/>
      </c>
      <c r="E5" s="10">
        <f>'By Round'!D53</f>
        <v/>
      </c>
      <c r="F5" s="10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>
        <f>IF(ISBLANK('By Round'!L53),"",'By Round'!L53)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5">
        <f>IF(ISBLANK('By Round'!L3),"",'By Round'!L3)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Round'!A43</f>
        <v/>
      </c>
      <c r="C7" s="10">
        <f>'By Round'!B47</f>
        <v/>
      </c>
      <c r="D7" s="10">
        <f>'By Round'!C47</f>
        <v/>
      </c>
      <c r="E7" s="10">
        <f>'By Round'!D47</f>
        <v/>
      </c>
      <c r="F7" s="10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>
        <f>IF(ISBLANK('By Round'!L48),"",'By Round'!L48)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Round'!A27</f>
        <v/>
      </c>
      <c r="C8" s="10">
        <f>'By Round'!B33</f>
        <v/>
      </c>
      <c r="D8" s="10">
        <f>'By Round'!C33</f>
        <v/>
      </c>
      <c r="E8" s="10">
        <f>'By Round'!D33</f>
        <v/>
      </c>
      <c r="F8" s="10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>
        <f>IF(ISBLANK('By Round'!L34),"",'By Round'!L34)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Round'!A51</f>
        <v/>
      </c>
      <c r="C9" s="10">
        <f>'By Round'!B53</f>
        <v/>
      </c>
      <c r="D9" s="10">
        <f>'By Round'!C53</f>
        <v/>
      </c>
      <c r="E9" s="10">
        <f>'By Round'!D53</f>
        <v/>
      </c>
      <c r="F9" s="10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>
        <f>IF(ISBLANK('By Round'!L54),"",'By Round'!L54)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5">
        <f>IF(ISBLANK('By Round'!L4),"",'By Round'!L4)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Round'!A51</f>
        <v/>
      </c>
      <c r="C11" s="10">
        <f>'By Round'!B55</f>
        <v/>
      </c>
      <c r="D11" s="10">
        <f>'By Round'!C55</f>
        <v/>
      </c>
      <c r="E11" s="10">
        <f>'By Round'!D55</f>
        <v/>
      </c>
      <c r="F11" s="10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Round'!A35</f>
        <v/>
      </c>
      <c r="C12" s="10">
        <f>'By Round'!B41</f>
        <v/>
      </c>
      <c r="D12" s="10">
        <f>'By Round'!C41</f>
        <v/>
      </c>
      <c r="E12" s="10">
        <f>'By Round'!D41</f>
        <v/>
      </c>
      <c r="F12" s="10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>
        <f>IF(ISBLANK('By Round'!L41),"",'By Round'!L41)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Round'!B5</f>
        <v/>
      </c>
      <c r="D13" s="10">
        <f>'By Round'!C5</f>
        <v/>
      </c>
      <c r="E13" s="10">
        <f>'By Round'!D5</f>
        <v/>
      </c>
      <c r="F13" s="10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Round'!A51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Round'!A35</f>
        <v/>
      </c>
      <c r="C16" s="10">
        <f>'By Round'!B41</f>
        <v/>
      </c>
      <c r="D16" s="10">
        <f>'By Round'!C41</f>
        <v/>
      </c>
      <c r="E16" s="10">
        <f>'By Round'!D41</f>
        <v/>
      </c>
      <c r="F16" s="10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>
        <f>IF(ISBLANK('By Round'!L42),"",'By Round'!L42)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</f>
        <v/>
      </c>
      <c r="C17" s="10">
        <f>'By Round'!B5</f>
        <v/>
      </c>
      <c r="D17" s="10">
        <f>'By Round'!C5</f>
        <v/>
      </c>
      <c r="E17" s="10">
        <f>'By Round'!D5</f>
        <v/>
      </c>
      <c r="F17" s="10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>
        <f>IF(ISBLANK('By Round'!L6),"",'By Round'!L6)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5">
        <f>IF(ISBLANK('By Round'!L12),"",'By Round'!L12)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Round'!A3</f>
        <v/>
      </c>
      <c r="C19" s="10">
        <f>'By Round'!B7</f>
        <v/>
      </c>
      <c r="D19" s="10">
        <f>'By Round'!C7</f>
        <v/>
      </c>
      <c r="E19" s="10">
        <f>'By Round'!D7</f>
        <v/>
      </c>
      <c r="F19" s="10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>
        <f>IF(ISBLANK('By Round'!L7),"",'By Round'!L7)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Round'!A43</f>
        <v/>
      </c>
      <c r="C20" s="10">
        <f>'By Round'!B49</f>
        <v/>
      </c>
      <c r="D20" s="10">
        <f>'By Round'!C49</f>
        <v/>
      </c>
      <c r="E20" s="10">
        <f>'By Round'!D49</f>
        <v/>
      </c>
      <c r="F20" s="10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>
        <f>IF(ISBLANK('By Round'!L49),"",'By Round'!L49)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Round'!A11</f>
        <v/>
      </c>
      <c r="C21" s="10">
        <f>'By Round'!B13</f>
        <v/>
      </c>
      <c r="D21" s="10">
        <f>'By Round'!C13</f>
        <v/>
      </c>
      <c r="E21" s="10">
        <f>'By Round'!D13</f>
        <v/>
      </c>
      <c r="F21" s="10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>
        <f>IF(ISBLANK('By Round'!L13),"",'By Round'!L13)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5">
        <f>IF(ISBLANK('By Round'!L19),"",'By Round'!L19)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Round'!A3</f>
        <v/>
      </c>
      <c r="C23" s="10">
        <f>'By Round'!B7</f>
        <v/>
      </c>
      <c r="D23" s="10">
        <f>'By Round'!C7</f>
        <v/>
      </c>
      <c r="E23" s="10">
        <f>'By Round'!D7</f>
        <v/>
      </c>
      <c r="F23" s="10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>
        <f>IF(ISBLANK('By Round'!L8),"",'By Round'!L8)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Round'!A43</f>
        <v/>
      </c>
      <c r="C24" s="10">
        <f>'By Round'!B49</f>
        <v/>
      </c>
      <c r="D24" s="10">
        <f>'By Round'!C49</f>
        <v/>
      </c>
      <c r="E24" s="10">
        <f>'By Round'!D49</f>
        <v/>
      </c>
      <c r="F24" s="10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>
        <f>IF(ISBLANK('By Round'!L50),"",'By Round'!L50)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Round'!A11</f>
        <v/>
      </c>
      <c r="C25" s="10">
        <f>'By Round'!B13</f>
        <v/>
      </c>
      <c r="D25" s="10">
        <f>'By Round'!C13</f>
        <v/>
      </c>
      <c r="E25" s="10">
        <f>'By Round'!D13</f>
        <v/>
      </c>
      <c r="F25" s="10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>
        <f>IF(ISBLANK('By Round'!L14),"",'By Round'!L14)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5">
        <f>IF(ISBLANK('By Round'!L20),"",'By Round'!L20)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Round'!A19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Round'!A11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>
        <f>IF(ISBLANK('By Round'!L15),"",'By Round'!L15)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Round'!A51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5">
        <f>IF(ISBLANK('By Round'!L27),"",'By Round'!L27)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Round'!A19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Round'!A11</f>
        <v/>
      </c>
      <c r="C32" s="10">
        <f>'By Round'!B15</f>
        <v/>
      </c>
      <c r="D32" s="10">
        <f>'By Round'!C15</f>
        <v/>
      </c>
      <c r="E32" s="10">
        <f>'By Round'!D15</f>
        <v/>
      </c>
      <c r="F32" s="10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>
        <f>IF(ISBLANK('By Round'!L16),"",'By Round'!L16)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Round'!A51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5">
        <f>IF(ISBLANK('By Round'!L28),"",'By Round'!L28)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Round'!B29</f>
        <v/>
      </c>
      <c r="D35" s="10">
        <f>'By Round'!C29</f>
        <v/>
      </c>
      <c r="E35" s="10">
        <f>'By Round'!D29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Round'!A19</f>
        <v/>
      </c>
      <c r="C36" s="10">
        <f>'By Round'!B23</f>
        <v/>
      </c>
      <c r="D36" s="10">
        <f>'By Round'!C23</f>
        <v/>
      </c>
      <c r="E36" s="10">
        <f>'By Round'!D23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>
        <f>IF(ISBLANK('By Round'!L9),"",'By Round'!L9)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Round'!A27</f>
        <v/>
      </c>
      <c r="C39" s="10">
        <f>'By Round'!B29</f>
        <v/>
      </c>
      <c r="D39" s="10">
        <f>'By Round'!C29</f>
        <v/>
      </c>
      <c r="E39" s="10">
        <f>'By Round'!D29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Round'!A19</f>
        <v/>
      </c>
      <c r="C40" s="10">
        <f>'By Round'!B23</f>
        <v/>
      </c>
      <c r="D40" s="10">
        <f>'By Round'!C23</f>
        <v/>
      </c>
      <c r="E40" s="10">
        <f>'By Round'!D23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Round'!A3</f>
        <v/>
      </c>
      <c r="C41" s="10">
        <f>'By Round'!B9</f>
        <v/>
      </c>
      <c r="D41" s="10">
        <f>'By Round'!C9</f>
        <v/>
      </c>
      <c r="E41" s="10">
        <f>'By Round'!D9</f>
        <v/>
      </c>
      <c r="F41" s="10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5">
        <f>IF(ISBLANK('By Round'!L36),"",'By Round'!L36)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Round'!A11</f>
        <v/>
      </c>
      <c r="C43" s="10">
        <f>'By Round'!B17</f>
        <v/>
      </c>
      <c r="D43" s="10">
        <f>'By Round'!C17</f>
        <v/>
      </c>
      <c r="E43" s="10">
        <f>'By Round'!D17</f>
        <v/>
      </c>
      <c r="F43" s="10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>
        <f>IF(ISBLANK('By Round'!L17),"",'By Round'!L17)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Round'!A35</f>
        <v/>
      </c>
      <c r="C44" s="10">
        <f>'By Round'!B37</f>
        <v/>
      </c>
      <c r="D44" s="10">
        <f>'By Round'!C37</f>
        <v/>
      </c>
      <c r="E44" s="10">
        <f>'By Round'!D37</f>
        <v/>
      </c>
      <c r="F44" s="10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>
        <f>IF(ISBLANK('By Round'!L37),"",'By Round'!L37)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Round'!A27</f>
        <v/>
      </c>
      <c r="C45" s="10">
        <f>'By Round'!B31</f>
        <v/>
      </c>
      <c r="D45" s="10">
        <f>'By Round'!C31</f>
        <v/>
      </c>
      <c r="E45" s="10">
        <f>'By Round'!D31</f>
        <v/>
      </c>
      <c r="F45" s="10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>
        <f>IF(ISBLANK('By Round'!L31),"",'By Round'!L31)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5">
        <f>IF(ISBLANK('By Round'!L43),"",'By Round'!L43)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Round'!A11</f>
        <v/>
      </c>
      <c r="C47" s="10">
        <f>'By Round'!B17</f>
        <v/>
      </c>
      <c r="D47" s="10">
        <f>'By Round'!C17</f>
        <v/>
      </c>
      <c r="E47" s="10">
        <f>'By Round'!D17</f>
        <v/>
      </c>
      <c r="F47" s="10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>
        <f>IF(ISBLANK('By Round'!L18),"",'By Round'!L18)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Round'!A35</f>
        <v/>
      </c>
      <c r="C48" s="10">
        <f>'By Round'!B37</f>
        <v/>
      </c>
      <c r="D48" s="10">
        <f>'By Round'!C37</f>
        <v/>
      </c>
      <c r="E48" s="10">
        <f>'By Round'!D37</f>
        <v/>
      </c>
      <c r="F48" s="10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>
        <f>IF(ISBLANK('By Round'!L38),"",'By Round'!L38)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Round'!A27</f>
        <v/>
      </c>
      <c r="C49" s="10">
        <f>'By Round'!B31</f>
        <v/>
      </c>
      <c r="D49" s="10">
        <f>'By Round'!C31</f>
        <v/>
      </c>
      <c r="E49" s="10">
        <f>'By Round'!D31</f>
        <v/>
      </c>
      <c r="F49" s="10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>
        <f>IF(ISBLANK('By Round'!L32),"",'By Round'!L32)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5">
        <f>IF(ISBLANK('By Round'!L44),"",'By Round'!L44)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Round'!A35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Round'!A19</f>
        <v/>
      </c>
      <c r="C52" s="10">
        <f>'By Round'!B25</f>
        <v/>
      </c>
      <c r="D52" s="10">
        <f>'By Round'!C25</f>
        <v/>
      </c>
      <c r="E52" s="10">
        <f>'By Round'!D25</f>
        <v/>
      </c>
      <c r="F52" s="10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>
        <f>IF(ISBLANK('By Round'!L25),"",'By Round'!L25)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Round'!A43</f>
        <v/>
      </c>
      <c r="C53" s="10">
        <f>'By Round'!B45</f>
        <v/>
      </c>
      <c r="D53" s="10">
        <f>'By Round'!C45</f>
        <v/>
      </c>
      <c r="E53" s="10">
        <f>'By Round'!D45</f>
        <v/>
      </c>
      <c r="F53" s="10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5">
        <f>IF(ISBLANK('By Round'!L51),"",'By Round'!L51)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Round'!A35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Round'!A19</f>
        <v/>
      </c>
      <c r="C56" s="10">
        <f>'By Round'!B25</f>
        <v/>
      </c>
      <c r="D56" s="10">
        <f>'By Round'!C25</f>
        <v/>
      </c>
      <c r="E56" s="10">
        <f>'By Round'!D25</f>
        <v/>
      </c>
      <c r="F56" s="10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>
        <f>IF(ISBLANK('By Round'!L26),"",'By Round'!L26)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Round'!A43</f>
        <v/>
      </c>
      <c r="C57" s="10">
        <f>'By Round'!B45</f>
        <v/>
      </c>
      <c r="D57" s="10">
        <f>'By Round'!C45</f>
        <v/>
      </c>
      <c r="E57" s="10">
        <f>'By Round'!D45</f>
        <v/>
      </c>
      <c r="F57" s="10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5">
        <f>IF(ISBLANK('By Round'!L52),"",'By Round'!L52)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8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n">
        <v>8</v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n">
        <v>8</v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n">
        <v>8</v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n">
        <v>8</v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n">
        <v>8</v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n">
        <v>8</v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2026-03-20T20:42:09Z</dcterms:created>
  <dcterms:modified xsi:type="dcterms:W3CDTF">2026-03-20T20:42:09Z</dcterms:modified>
</cp:coreProperties>
</file>