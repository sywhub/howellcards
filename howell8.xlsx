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65</t>
        </is>
      </c>
      <c r="C10" t="inlineStr">
        <is>
          <t>Name 62</t>
        </is>
      </c>
      <c r="D10" s="4">
        <f>SUMIF('By Board'!$D$3:$D$58,"=1",'By Board'!$N$3:$N$58)/14+SUMIF('By Board'!$E$3:$E$58,"=1",'By Board'!$O$3:$O$58)/14</f>
        <v/>
      </c>
      <c r="E10" s="5">
        <f>SUMIF('By Board'!$D$3:$D$58,"=1",'By Board'!$L$3:$L$58)+SUMIF('By Board'!$E$3:$E$58,"=1",'By Board'!$M$3:$M$58)</f>
        <v/>
      </c>
    </row>
    <row r="11">
      <c r="A11" s="2" t="n">
        <v>2</v>
      </c>
      <c r="B11" t="inlineStr">
        <is>
          <t>Name 84</t>
        </is>
      </c>
      <c r="C11" t="inlineStr">
        <is>
          <t>Name 25</t>
        </is>
      </c>
      <c r="D11" s="4">
        <f>SUMIF('By Board'!$D$3:$D$58,"=2",'By Board'!$N$3:$N$58)/14+SUMIF('By Board'!$E$3:$E$58,"=2",'By Board'!$O$3:$O$58)/14</f>
        <v/>
      </c>
      <c r="E11" s="5">
        <f>SUMIF('By Board'!$D$3:$D$58,"=2",'By Board'!$L$3:$L$58)+SUMIF('By Board'!$E$3:$E$58,"=2",'By Board'!$M$3:$M$58)</f>
        <v/>
      </c>
    </row>
    <row r="12">
      <c r="A12" s="2" t="n">
        <v>3</v>
      </c>
      <c r="B12" t="inlineStr">
        <is>
          <t>Name 17</t>
        </is>
      </c>
      <c r="C12" t="inlineStr">
        <is>
          <t>Name 76</t>
        </is>
      </c>
      <c r="D12" s="4">
        <f>SUMIF('By Board'!$D$3:$D$58,"=3",'By Board'!$N$3:$N$58)/14+SUMIF('By Board'!$E$3:$E$58,"=3",'By Board'!$O$3:$O$58)/14</f>
        <v/>
      </c>
      <c r="E12" s="5">
        <f>SUMIF('By Board'!$D$3:$D$58,"=3",'By Board'!$L$3:$L$58)+SUMIF('By Board'!$E$3:$E$58,"=3",'By Board'!$M$3:$M$58)</f>
        <v/>
      </c>
    </row>
    <row r="13">
      <c r="A13" s="2" t="n">
        <v>4</v>
      </c>
      <c r="B13" t="inlineStr">
        <is>
          <t>Name 45</t>
        </is>
      </c>
      <c r="C13" t="inlineStr">
        <is>
          <t>Name 78</t>
        </is>
      </c>
      <c r="D13" s="4">
        <f>SUMIF('By Board'!$D$3:$D$58,"=4",'By Board'!$N$3:$N$58)/14+SUMIF('By Board'!$E$3:$E$58,"=4",'By Board'!$O$3:$O$58)/14</f>
        <v/>
      </c>
      <c r="E13" s="5">
        <f>SUMIF('By Board'!$D$3:$D$58,"=4",'By Board'!$L$3:$L$58)+SUMIF('By Board'!$E$3:$E$58,"=4",'By Board'!$M$3:$M$58)</f>
        <v/>
      </c>
    </row>
    <row r="14">
      <c r="A14" s="2" t="n">
        <v>5</v>
      </c>
      <c r="B14" t="inlineStr">
        <is>
          <t>Name 80</t>
        </is>
      </c>
      <c r="C14" t="inlineStr">
        <is>
          <t>Name 33</t>
        </is>
      </c>
      <c r="D14" s="4">
        <f>SUMIF('By Board'!$D$3:$D$58,"=5",'By Board'!$N$3:$N$58)/14+SUMIF('By Board'!$E$3:$E$58,"=5",'By Board'!$O$3:$O$58)/14</f>
        <v/>
      </c>
      <c r="E14" s="5">
        <f>SUMIF('By Board'!$D$3:$D$58,"=5",'By Board'!$L$3:$L$58)+SUMIF('By Board'!$E$3:$E$58,"=5",'By Board'!$M$3:$M$58)</f>
        <v/>
      </c>
    </row>
    <row r="15">
      <c r="A15" s="2" t="n">
        <v>6</v>
      </c>
      <c r="B15" t="inlineStr">
        <is>
          <t>Name 80</t>
        </is>
      </c>
      <c r="C15" t="inlineStr">
        <is>
          <t>Name 72</t>
        </is>
      </c>
      <c r="D15" s="4">
        <f>SUMIF('By Board'!$D$3:$D$58,"=6",'By Board'!$N$3:$N$58)/14+SUMIF('By Board'!$E$3:$E$58,"=6",'By Board'!$O$3:$O$58)/14</f>
        <v/>
      </c>
      <c r="E15" s="5">
        <f>SUMIF('By Board'!$D$3:$D$58,"=6",'By Board'!$L$3:$L$58)+SUMIF('By Board'!$E$3:$E$58,"=6",'By Board'!$M$3:$M$58)</f>
        <v/>
      </c>
    </row>
    <row r="16">
      <c r="A16" s="2" t="n">
        <v>7</v>
      </c>
      <c r="B16" t="inlineStr">
        <is>
          <t>Name 78</t>
        </is>
      </c>
      <c r="C16" t="inlineStr">
        <is>
          <t>Name 88</t>
        </is>
      </c>
      <c r="D16" s="4">
        <f>SUMIF('By Board'!$D$3:$D$58,"=7",'By Board'!$N$3:$N$58)/14+SUMIF('By Board'!$E$3:$E$58,"=7",'By Board'!$O$3:$O$58)/14</f>
        <v/>
      </c>
      <c r="E16" s="5">
        <f>SUMIF('By Board'!$D$3:$D$58,"=7",'By Board'!$L$3:$L$58)+SUMIF('By Board'!$E$3:$E$58,"=7",'By Board'!$M$3:$M$58)</f>
        <v/>
      </c>
    </row>
    <row r="17">
      <c r="A17" s="2" t="n">
        <v>8</v>
      </c>
      <c r="B17" t="inlineStr">
        <is>
          <t>Name 35</t>
        </is>
      </c>
      <c r="C17" t="inlineStr">
        <is>
          <t>Name 70</t>
        </is>
      </c>
      <c r="D17" s="4">
        <f>SUMIF('By Board'!$D$3:$D$58,"=8",'By Board'!$N$3:$N$58)/14+0/14</f>
        <v/>
      </c>
      <c r="E17" s="5">
        <f>SUMIF('By Board'!$D$3:$D$58,"=8",'By Board'!$L$3:$L$58)+0</f>
        <v/>
      </c>
    </row>
    <row r="18">
      <c r="D18" s="6">
        <f>AVERAGE(D10:D17)</f>
        <v/>
      </c>
      <c r="E18" s="7">
        <f>SUM(E10:E17)</f>
        <v/>
      </c>
    </row>
    <row r="20">
      <c r="A20" t="inlineStr">
        <is>
          <t>To sort, remove single quote below</t>
        </is>
      </c>
    </row>
    <row r="21">
      <c r="A21" s="2" t="inlineStr">
        <is>
          <t>IMP Ranking</t>
        </is>
      </c>
    </row>
    <row r="22">
      <c r="A22" t="inlineStr">
        <is>
          <t>'=SORT(A10:E17,4,-1)</t>
        </is>
      </c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4">
      <c r="A34" s="2" t="inlineStr">
        <is>
          <t>MP Ranking</t>
        </is>
      </c>
    </row>
    <row r="35">
      <c r="A35" t="inlineStr">
        <is>
          <t>'=SORT(A10:E17,5,-1)</t>
        </is>
      </c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</sheetData>
  <mergeCells count="9">
    <mergeCell ref="A4:B4"/>
    <mergeCell ref="A21:E21"/>
    <mergeCell ref="A34:E3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W2" s="2" t="inlineStr">
        <is>
          <t>EW MP Scores</t>
        </is>
      </c>
      <c r="Z2" s="10" t="inlineStr">
        <is>
          <t>NS IMP Pair-wise</t>
        </is>
      </c>
      <c r="AC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SUM(Z3:AB3)</f>
        <v/>
      </c>
      <c r="M3" s="13">
        <f>SUM(AC3:AE3)</f>
        <v/>
      </c>
      <c r="N3" s="8">
        <f>IF(COUNT(T3:V3)&gt;0,P3/COUNT(T3:V3),0.5)</f>
        <v/>
      </c>
      <c r="O3" s="8">
        <f>IF(COUNT(W3:Y3)&gt;0,Q3/COUNT(W3:Y3),0.5)</f>
        <v/>
      </c>
      <c r="P3" s="5">
        <f>SUM(T3:V3)</f>
        <v/>
      </c>
      <c r="Q3" s="5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>
        <f>'By Round'!A27</f>
        <v/>
      </c>
      <c r="C4">
        <f>'By Round'!B33</f>
        <v/>
      </c>
      <c r="D4">
        <f>'By Round'!C33</f>
        <v/>
      </c>
      <c r="E4">
        <f>'By Round'!D33</f>
        <v/>
      </c>
      <c r="F4" s="11" t="inlineStr">
        <is>
          <t>None</t>
        </is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2">
        <f>SUM(Z4:AB4)</f>
        <v/>
      </c>
      <c r="M4" s="13">
        <f>SUM(AC4:AE4)</f>
        <v/>
      </c>
      <c r="N4" s="8">
        <f>IF(COUNT(T4:V4)&gt;0,P4/COUNT(T4:V4),0.5)</f>
        <v/>
      </c>
      <c r="O4" s="8">
        <f>IF(COUNT(W4:Y4)&gt;0,Q4/COUNT(W4:Y4),0.5)</f>
        <v/>
      </c>
      <c r="P4" s="5">
        <f>SUM(T4:V4)</f>
        <v/>
      </c>
      <c r="Q4" s="5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>
        <f>'By Round'!A43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SUM(Z5:AB5)</f>
        <v/>
      </c>
      <c r="M5" s="13">
        <f>SUM(AC5:AE5)</f>
        <v/>
      </c>
      <c r="N5" s="8">
        <f>IF(COUNT(T5:V5)&gt;0,P5/COUNT(T5:V5),0.5)</f>
        <v/>
      </c>
      <c r="O5" s="8">
        <f>IF(COUNT(W5:Y5)&gt;0,Q5/COUNT(W5:Y5),0.5)</f>
        <v/>
      </c>
      <c r="P5" s="5">
        <f>SUM(T5:V5)</f>
        <v/>
      </c>
      <c r="Q5" s="5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5">
        <f>'By Round'!A51</f>
        <v/>
      </c>
      <c r="C6" s="15">
        <f>'By Round'!B53</f>
        <v/>
      </c>
      <c r="D6" s="15">
        <f>'By Round'!C53</f>
        <v/>
      </c>
      <c r="E6" s="15">
        <f>'By Round'!D53</f>
        <v/>
      </c>
      <c r="F6" s="16" t="inlineStr">
        <is>
          <t>None</t>
        </is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7">
        <f>SUM(Z6:AB6)</f>
        <v/>
      </c>
      <c r="M6" s="18">
        <f>SUM(AC6:AE6)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t="n">
        <v>2</v>
      </c>
      <c r="B7">
        <f>'By Round'!A3</f>
        <v/>
      </c>
      <c r="C7">
        <f>'By Round'!B3</f>
        <v/>
      </c>
      <c r="D7">
        <f>'By Round'!C3</f>
        <v/>
      </c>
      <c r="E7">
        <f>'By Round'!D3</f>
        <v/>
      </c>
      <c r="F7" s="11" t="inlineStr">
        <is>
          <t>NS</t>
        </is>
      </c>
      <c r="G7">
        <f>IF(ISBLANK('By Round'!G3),"",'By Round'!G3)</f>
        <v/>
      </c>
      <c r="H7">
        <f>IF(ISBLANK('By Round'!H3),"",'By Round'!H3)</f>
        <v/>
      </c>
      <c r="I7">
        <f>IF(ISBLANK('By Round'!I3),"",'By Round'!I3)</f>
        <v/>
      </c>
      <c r="J7">
        <f>IF(ISBLANK('By Round'!J3),"",'By Round'!J3)</f>
        <v/>
      </c>
      <c r="K7">
        <f>IF(ISBLANK('By Round'!K3),"",'By Round'!K3)</f>
        <v/>
      </c>
      <c r="L7" s="12">
        <f>SUM(Z7:AB7)</f>
        <v/>
      </c>
      <c r="M7" s="13">
        <f>SUM(AC7:AE7)</f>
        <v/>
      </c>
      <c r="N7" s="8">
        <f>IF(COUNT(T7:V7)&gt;0,P7/COUNT(T7:V7),0.5)</f>
        <v/>
      </c>
      <c r="O7" s="8">
        <f>IF(COUNT(W7:Y7)&gt;0,Q7/COUNT(W7:Y7),0.5)</f>
        <v/>
      </c>
      <c r="P7" s="5">
        <f>SUM(T7:V7)</f>
        <v/>
      </c>
      <c r="Q7" s="5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>
        <f>'By Round'!A27</f>
        <v/>
      </c>
      <c r="C8">
        <f>'By Round'!B33</f>
        <v/>
      </c>
      <c r="D8">
        <f>'By Round'!C33</f>
        <v/>
      </c>
      <c r="E8">
        <f>'By Round'!D33</f>
        <v/>
      </c>
      <c r="F8" s="11" t="inlineStr">
        <is>
          <t>NS</t>
        </is>
      </c>
      <c r="G8">
        <f>IF(ISBLANK('By Round'!G33),"",'By Round'!G33)</f>
        <v/>
      </c>
      <c r="H8">
        <f>IF(ISBLANK('By Round'!H33),"",'By Round'!H33)</f>
        <v/>
      </c>
      <c r="I8">
        <f>IF(ISBLANK('By Round'!I33),"",'By Round'!I33)</f>
        <v/>
      </c>
      <c r="J8">
        <f>IF(ISBLANK('By Round'!J33),"",'By Round'!J33)</f>
        <v/>
      </c>
      <c r="K8">
        <f>IF(ISBLANK('By Round'!K33),"",'By Round'!K33)</f>
        <v/>
      </c>
      <c r="L8" s="12">
        <f>SUM(Z8:AB8)</f>
        <v/>
      </c>
      <c r="M8" s="13">
        <f>SUM(AC8:AE8)</f>
        <v/>
      </c>
      <c r="N8" s="8">
        <f>IF(COUNT(T8:V8)&gt;0,P8/COUNT(T8:V8),0.5)</f>
        <v/>
      </c>
      <c r="O8" s="8">
        <f>IF(COUNT(W8:Y8)&gt;0,Q8/COUNT(W8:Y8),0.5)</f>
        <v/>
      </c>
      <c r="P8" s="5">
        <f>SUM(T8:V8)</f>
        <v/>
      </c>
      <c r="Q8" s="5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>
        <f>'By Round'!A43</f>
        <v/>
      </c>
      <c r="C9">
        <f>'By Round'!B47</f>
        <v/>
      </c>
      <c r="D9">
        <f>'By Round'!C47</f>
        <v/>
      </c>
      <c r="E9">
        <f>'By Round'!D47</f>
        <v/>
      </c>
      <c r="F9" s="11" t="inlineStr">
        <is>
          <t>NS</t>
        </is>
      </c>
      <c r="G9">
        <f>IF(ISBLANK('By Round'!G47),"",'By Round'!G47)</f>
        <v/>
      </c>
      <c r="H9">
        <f>IF(ISBLANK('By Round'!H47),"",'By Round'!H47)</f>
        <v/>
      </c>
      <c r="I9">
        <f>IF(ISBLANK('By Round'!I47),"",'By Round'!I47)</f>
        <v/>
      </c>
      <c r="J9">
        <f>IF(ISBLANK('By Round'!J47),"",'By Round'!J47)</f>
        <v/>
      </c>
      <c r="K9">
        <f>IF(ISBLANK('By Round'!K47),"",'By Round'!K47)</f>
        <v/>
      </c>
      <c r="L9" s="12">
        <f>SUM(Z9:AB9)</f>
        <v/>
      </c>
      <c r="M9" s="13">
        <f>SUM(AC9:AE9)</f>
        <v/>
      </c>
      <c r="N9" s="8">
        <f>IF(COUNT(T9:V9)&gt;0,P9/COUNT(T9:V9),0.5)</f>
        <v/>
      </c>
      <c r="O9" s="8">
        <f>IF(COUNT(W9:Y9)&gt;0,Q9/COUNT(W9:Y9),0.5)</f>
        <v/>
      </c>
      <c r="P9" s="5">
        <f>SUM(T9:V9)</f>
        <v/>
      </c>
      <c r="Q9" s="5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5">
        <f>'By Round'!A51</f>
        <v/>
      </c>
      <c r="C10" s="15">
        <f>'By Round'!B53</f>
        <v/>
      </c>
      <c r="D10" s="15">
        <f>'By Round'!C53</f>
        <v/>
      </c>
      <c r="E10" s="15">
        <f>'By Round'!D53</f>
        <v/>
      </c>
      <c r="F10" s="16" t="inlineStr">
        <is>
          <t>NS</t>
        </is>
      </c>
      <c r="G10" s="15">
        <f>IF(ISBLANK('By Round'!G53),"",'By Round'!G53)</f>
        <v/>
      </c>
      <c r="H10" s="15">
        <f>IF(ISBLANK('By Round'!H53),"",'By Round'!H53)</f>
        <v/>
      </c>
      <c r="I10" s="15">
        <f>IF(ISBLANK('By Round'!I53),"",'By Round'!I53)</f>
        <v/>
      </c>
      <c r="J10" s="15">
        <f>IF(ISBLANK('By Round'!J53),"",'By Round'!J53)</f>
        <v/>
      </c>
      <c r="K10" s="15">
        <f>IF(ISBLANK('By Round'!K53),"",'By Round'!K53)</f>
        <v/>
      </c>
      <c r="L10" s="17">
        <f>SUM(Z10:AB10)</f>
        <v/>
      </c>
      <c r="M10" s="18">
        <f>SUM(AC10:AE10)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t="n">
        <v>3</v>
      </c>
      <c r="B11">
        <f>'By Round'!A3</f>
        <v/>
      </c>
      <c r="C11">
        <f>'By Round'!B5</f>
        <v/>
      </c>
      <c r="D11">
        <f>'By Round'!C5</f>
        <v/>
      </c>
      <c r="E11">
        <f>'By Round'!D5</f>
        <v/>
      </c>
      <c r="F11" s="11" t="inlineStr">
        <is>
          <t>EW</t>
        </is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2">
        <f>SUM(Z11:AB11)</f>
        <v/>
      </c>
      <c r="M11" s="13">
        <f>SUM(AC11:AE11)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5">
        <f>SUM(T11:V11)</f>
        <v/>
      </c>
      <c r="Q11" s="5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>
        <f>'By Round'!A11</f>
        <v/>
      </c>
      <c r="C12">
        <f>'By Round'!B11</f>
        <v/>
      </c>
      <c r="D12">
        <f>'By Round'!C11</f>
        <v/>
      </c>
      <c r="E12">
        <f>'By Round'!D11</f>
        <v/>
      </c>
      <c r="F12" s="11" t="inlineStr">
        <is>
          <t>EW</t>
        </is>
      </c>
      <c r="G12">
        <f>IF(ISBLANK('By Round'!G11),"",'By Round'!G11)</f>
        <v/>
      </c>
      <c r="H12">
        <f>IF(ISBLANK('By Round'!H11),"",'By Round'!H11)</f>
        <v/>
      </c>
      <c r="I12">
        <f>IF(ISBLANK('By Round'!I11),"",'By Round'!I11)</f>
        <v/>
      </c>
      <c r="J12">
        <f>IF(ISBLANK('By Round'!J11),"",'By Round'!J11)</f>
        <v/>
      </c>
      <c r="K12">
        <f>IF(ISBLANK('By Round'!K11),"",'By Round'!K11)</f>
        <v/>
      </c>
      <c r="L12" s="12">
        <f>SUM(Z12:AB12)</f>
        <v/>
      </c>
      <c r="M12" s="13">
        <f>SUM(AC12:AE12)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5">
        <f>SUM(T12:V12)</f>
        <v/>
      </c>
      <c r="Q12" s="5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>
        <f>'By Round'!A35</f>
        <v/>
      </c>
      <c r="C13">
        <f>'By Round'!B41</f>
        <v/>
      </c>
      <c r="D13">
        <f>'By Round'!C41</f>
        <v/>
      </c>
      <c r="E13">
        <f>'By Round'!D41</f>
        <v/>
      </c>
      <c r="F13" s="11" t="inlineStr">
        <is>
          <t>EW</t>
        </is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2">
        <f>SUM(Z13:AB13)</f>
        <v/>
      </c>
      <c r="M13" s="13">
        <f>SUM(AC13:AE13)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5">
        <f>SUM(T13:V13)</f>
        <v/>
      </c>
      <c r="Q13" s="5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5">
        <f>'By Round'!A51</f>
        <v/>
      </c>
      <c r="C14" s="15">
        <f>'By Round'!B55</f>
        <v/>
      </c>
      <c r="D14" s="15">
        <f>'By Round'!C55</f>
        <v/>
      </c>
      <c r="E14" s="15">
        <f>'By Round'!D55</f>
        <v/>
      </c>
      <c r="F14" s="16" t="inlineStr">
        <is>
          <t>EW</t>
        </is>
      </c>
      <c r="G14" s="15">
        <f>IF(ISBLANK('By Round'!G55),"",'By Round'!G55)</f>
        <v/>
      </c>
      <c r="H14" s="15">
        <f>IF(ISBLANK('By Round'!H55),"",'By Round'!H55)</f>
        <v/>
      </c>
      <c r="I14" s="15">
        <f>IF(ISBLANK('By Round'!I55),"",'By Round'!I55)</f>
        <v/>
      </c>
      <c r="J14" s="15">
        <f>IF(ISBLANK('By Round'!J55),"",'By Round'!J55)</f>
        <v/>
      </c>
      <c r="K14" s="15">
        <f>IF(ISBLANK('By Round'!K55),"",'By Round'!K55)</f>
        <v/>
      </c>
      <c r="L14" s="17">
        <f>SUM(Z14:AB14)</f>
        <v/>
      </c>
      <c r="M14" s="18">
        <f>SUM(AC14:AE14)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t="n">
        <v>4</v>
      </c>
      <c r="B15">
        <f>'By Round'!A3</f>
        <v/>
      </c>
      <c r="C15">
        <f>'By Round'!B5</f>
        <v/>
      </c>
      <c r="D15">
        <f>'By Round'!C5</f>
        <v/>
      </c>
      <c r="E15">
        <f>'By Round'!D5</f>
        <v/>
      </c>
      <c r="F15" s="11" t="inlineStr">
        <is>
          <t>Both</t>
        </is>
      </c>
      <c r="G15">
        <f>IF(ISBLANK('By Round'!G5),"",'By Round'!G5)</f>
        <v/>
      </c>
      <c r="H15">
        <f>IF(ISBLANK('By Round'!H5),"",'By Round'!H5)</f>
        <v/>
      </c>
      <c r="I15">
        <f>IF(ISBLANK('By Round'!I5),"",'By Round'!I5)</f>
        <v/>
      </c>
      <c r="J15">
        <f>IF(ISBLANK('By Round'!J5),"",'By Round'!J5)</f>
        <v/>
      </c>
      <c r="K15">
        <f>IF(ISBLANK('By Round'!K5),"",'By Round'!K5)</f>
        <v/>
      </c>
      <c r="L15" s="12">
        <f>SUM(Z15:AB15)</f>
        <v/>
      </c>
      <c r="M15" s="13">
        <f>SUM(AC15:AE15)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5">
        <f>SUM(T15:V15)</f>
        <v/>
      </c>
      <c r="Q15" s="5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>
        <f>'By Round'!A11</f>
        <v/>
      </c>
      <c r="C16">
        <f>'By Round'!B11</f>
        <v/>
      </c>
      <c r="D16">
        <f>'By Round'!C11</f>
        <v/>
      </c>
      <c r="E16">
        <f>'By Round'!D11</f>
        <v/>
      </c>
      <c r="F16" s="11" t="inlineStr">
        <is>
          <t>Both</t>
        </is>
      </c>
      <c r="G16">
        <f>IF(ISBLANK('By Round'!G11),"",'By Round'!G11)</f>
        <v/>
      </c>
      <c r="H16">
        <f>IF(ISBLANK('By Round'!H11),"",'By Round'!H11)</f>
        <v/>
      </c>
      <c r="I16">
        <f>IF(ISBLANK('By Round'!I11),"",'By Round'!I11)</f>
        <v/>
      </c>
      <c r="J16">
        <f>IF(ISBLANK('By Round'!J11),"",'By Round'!J11)</f>
        <v/>
      </c>
      <c r="K16">
        <f>IF(ISBLANK('By Round'!K11),"",'By Round'!K11)</f>
        <v/>
      </c>
      <c r="L16" s="12">
        <f>SUM(Z16:AB16)</f>
        <v/>
      </c>
      <c r="M16" s="13">
        <f>SUM(AC16:AE16)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5">
        <f>SUM(T16:V16)</f>
        <v/>
      </c>
      <c r="Q16" s="5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>
        <f>'By Round'!A35</f>
        <v/>
      </c>
      <c r="C17">
        <f>'By Round'!B41</f>
        <v/>
      </c>
      <c r="D17">
        <f>'By Round'!C41</f>
        <v/>
      </c>
      <c r="E17">
        <f>'By Round'!D41</f>
        <v/>
      </c>
      <c r="F17" s="11" t="inlineStr">
        <is>
          <t>Both</t>
        </is>
      </c>
      <c r="G17">
        <f>IF(ISBLANK('By Round'!G41),"",'By Round'!G41)</f>
        <v/>
      </c>
      <c r="H17">
        <f>IF(ISBLANK('By Round'!H41),"",'By Round'!H41)</f>
        <v/>
      </c>
      <c r="I17">
        <f>IF(ISBLANK('By Round'!I41),"",'By Round'!I41)</f>
        <v/>
      </c>
      <c r="J17">
        <f>IF(ISBLANK('By Round'!J41),"",'By Round'!J41)</f>
        <v/>
      </c>
      <c r="K17">
        <f>IF(ISBLANK('By Round'!K41),"",'By Round'!K41)</f>
        <v/>
      </c>
      <c r="L17" s="12">
        <f>SUM(Z17:AB17)</f>
        <v/>
      </c>
      <c r="M17" s="13">
        <f>SUM(AC17:AE17)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5">
        <f>SUM(T17:V17)</f>
        <v/>
      </c>
      <c r="Q17" s="5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5">
        <f>'By Round'!A51</f>
        <v/>
      </c>
      <c r="C18" s="15">
        <f>'By Round'!B55</f>
        <v/>
      </c>
      <c r="D18" s="15">
        <f>'By Round'!C55</f>
        <v/>
      </c>
      <c r="E18" s="15">
        <f>'By Round'!D55</f>
        <v/>
      </c>
      <c r="F18" s="16" t="inlineStr">
        <is>
          <t>Both</t>
        </is>
      </c>
      <c r="G18" s="15">
        <f>IF(ISBLANK('By Round'!G55),"",'By Round'!G55)</f>
        <v/>
      </c>
      <c r="H18" s="15">
        <f>IF(ISBLANK('By Round'!H55),"",'By Round'!H55)</f>
        <v/>
      </c>
      <c r="I18" s="15">
        <f>IF(ISBLANK('By Round'!I55),"",'By Round'!I55)</f>
        <v/>
      </c>
      <c r="J18" s="15">
        <f>IF(ISBLANK('By Round'!J55),"",'By Round'!J55)</f>
        <v/>
      </c>
      <c r="K18" s="15">
        <f>IF(ISBLANK('By Round'!K55),"",'By Round'!K55)</f>
        <v/>
      </c>
      <c r="L18" s="17">
        <f>SUM(Z18:AB18)</f>
        <v/>
      </c>
      <c r="M18" s="18">
        <f>SUM(AC18:AE18)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t="n">
        <v>5</v>
      </c>
      <c r="B19">
        <f>'By Round'!A3</f>
        <v/>
      </c>
      <c r="C19">
        <f>'By Round'!B7</f>
        <v/>
      </c>
      <c r="D19">
        <f>'By Round'!C7</f>
        <v/>
      </c>
      <c r="E19">
        <f>'By Round'!D7</f>
        <v/>
      </c>
      <c r="F19" s="11" t="inlineStr">
        <is>
          <t>NS</t>
        </is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2">
        <f>SUM(Z19:AB19)</f>
        <v/>
      </c>
      <c r="M19" s="13">
        <f>SUM(AC19:AE19)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5">
        <f>SUM(T19:V19)</f>
        <v/>
      </c>
      <c r="Q19" s="5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>
        <f>'By Round'!A11</f>
        <v/>
      </c>
      <c r="C20">
        <f>'By Round'!B13</f>
        <v/>
      </c>
      <c r="D20">
        <f>'By Round'!C13</f>
        <v/>
      </c>
      <c r="E20">
        <f>'By Round'!D13</f>
        <v/>
      </c>
      <c r="F20" s="11" t="inlineStr">
        <is>
          <t>NS</t>
        </is>
      </c>
      <c r="G20">
        <f>IF(ISBLANK('By Round'!G13),"",'By Round'!G13)</f>
        <v/>
      </c>
      <c r="H20">
        <f>IF(ISBLANK('By Round'!H13),"",'By Round'!H13)</f>
        <v/>
      </c>
      <c r="I20">
        <f>IF(ISBLANK('By Round'!I13),"",'By Round'!I13)</f>
        <v/>
      </c>
      <c r="J20">
        <f>IF(ISBLANK('By Round'!J13),"",'By Round'!J13)</f>
        <v/>
      </c>
      <c r="K20">
        <f>IF(ISBLANK('By Round'!K13),"",'By Round'!K13)</f>
        <v/>
      </c>
      <c r="L20" s="12">
        <f>SUM(Z20:AB20)</f>
        <v/>
      </c>
      <c r="M20" s="13">
        <f>SUM(AC20:AE20)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5">
        <f>SUM(T20:V20)</f>
        <v/>
      </c>
      <c r="Q20" s="5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>
        <f>'By Round'!A19</f>
        <v/>
      </c>
      <c r="C21">
        <f>'By Round'!B19</f>
        <v/>
      </c>
      <c r="D21">
        <f>'By Round'!C19</f>
        <v/>
      </c>
      <c r="E21">
        <f>'By Round'!D19</f>
        <v/>
      </c>
      <c r="F21" s="11" t="inlineStr">
        <is>
          <t>NS</t>
        </is>
      </c>
      <c r="G21">
        <f>IF(ISBLANK('By Round'!G19),"",'By Round'!G19)</f>
        <v/>
      </c>
      <c r="H21">
        <f>IF(ISBLANK('By Round'!H19),"",'By Round'!H19)</f>
        <v/>
      </c>
      <c r="I21">
        <f>IF(ISBLANK('By Round'!I19),"",'By Round'!I19)</f>
        <v/>
      </c>
      <c r="J21">
        <f>IF(ISBLANK('By Round'!J19),"",'By Round'!J19)</f>
        <v/>
      </c>
      <c r="K21">
        <f>IF(ISBLANK('By Round'!K19),"",'By Round'!K19)</f>
        <v/>
      </c>
      <c r="L21" s="12">
        <f>SUM(Z21:AB21)</f>
        <v/>
      </c>
      <c r="M21" s="13">
        <f>SUM(AC21:AE21)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5">
        <f>SUM(T21:V21)</f>
        <v/>
      </c>
      <c r="Q21" s="5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5">
        <f>'By Round'!A43</f>
        <v/>
      </c>
      <c r="C22" s="15">
        <f>'By Round'!B49</f>
        <v/>
      </c>
      <c r="D22" s="15">
        <f>'By Round'!C49</f>
        <v/>
      </c>
      <c r="E22" s="15">
        <f>'By Round'!D49</f>
        <v/>
      </c>
      <c r="F22" s="16" t="inlineStr">
        <is>
          <t>NS</t>
        </is>
      </c>
      <c r="G22" s="15">
        <f>IF(ISBLANK('By Round'!G49),"",'By Round'!G49)</f>
        <v/>
      </c>
      <c r="H22" s="15">
        <f>IF(ISBLANK('By Round'!H49),"",'By Round'!H49)</f>
        <v/>
      </c>
      <c r="I22" s="15">
        <f>IF(ISBLANK('By Round'!I49),"",'By Round'!I49)</f>
        <v/>
      </c>
      <c r="J22" s="15">
        <f>IF(ISBLANK('By Round'!J49),"",'By Round'!J49)</f>
        <v/>
      </c>
      <c r="K22" s="15">
        <f>IF(ISBLANK('By Round'!K49),"",'By Round'!K49)</f>
        <v/>
      </c>
      <c r="L22" s="17">
        <f>SUM(Z22:AB22)</f>
        <v/>
      </c>
      <c r="M22" s="18">
        <f>SUM(AC22:AE22)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t="n">
        <v>6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EW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SUM(Z23:AB23)</f>
        <v/>
      </c>
      <c r="M23" s="13">
        <f>SUM(AC23:AE23)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5">
        <f>SUM(T23:V23)</f>
        <v/>
      </c>
      <c r="Q23" s="5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>
        <f>'By Round'!A11</f>
        <v/>
      </c>
      <c r="C24">
        <f>'By Round'!B13</f>
        <v/>
      </c>
      <c r="D24">
        <f>'By Round'!C13</f>
        <v/>
      </c>
      <c r="E24">
        <f>'By Round'!D13</f>
        <v/>
      </c>
      <c r="F24" s="11" t="inlineStr">
        <is>
          <t>EW</t>
        </is>
      </c>
      <c r="G24">
        <f>IF(ISBLANK('By Round'!G13),"",'By Round'!G13)</f>
        <v/>
      </c>
      <c r="H24">
        <f>IF(ISBLANK('By Round'!H13),"",'By Round'!H13)</f>
        <v/>
      </c>
      <c r="I24">
        <f>IF(ISBLANK('By Round'!I13),"",'By Round'!I13)</f>
        <v/>
      </c>
      <c r="J24">
        <f>IF(ISBLANK('By Round'!J13),"",'By Round'!J13)</f>
        <v/>
      </c>
      <c r="K24">
        <f>IF(ISBLANK('By Round'!K13),"",'By Round'!K13)</f>
        <v/>
      </c>
      <c r="L24" s="12">
        <f>SUM(Z24:AB24)</f>
        <v/>
      </c>
      <c r="M24" s="13">
        <f>SUM(AC24:AE24)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5">
        <f>SUM(T24:V24)</f>
        <v/>
      </c>
      <c r="Q24" s="5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>
        <f>'By Round'!A19</f>
        <v/>
      </c>
      <c r="C25">
        <f>'By Round'!B19</f>
        <v/>
      </c>
      <c r="D25">
        <f>'By Round'!C19</f>
        <v/>
      </c>
      <c r="E25">
        <f>'By Round'!D19</f>
        <v/>
      </c>
      <c r="F25" s="11" t="inlineStr">
        <is>
          <t>EW</t>
        </is>
      </c>
      <c r="G25">
        <f>IF(ISBLANK('By Round'!G19),"",'By Round'!G19)</f>
        <v/>
      </c>
      <c r="H25">
        <f>IF(ISBLANK('By Round'!H19),"",'By Round'!H19)</f>
        <v/>
      </c>
      <c r="I25">
        <f>IF(ISBLANK('By Round'!I19),"",'By Round'!I19)</f>
        <v/>
      </c>
      <c r="J25">
        <f>IF(ISBLANK('By Round'!J19),"",'By Round'!J19)</f>
        <v/>
      </c>
      <c r="K25">
        <f>IF(ISBLANK('By Round'!K19),"",'By Round'!K19)</f>
        <v/>
      </c>
      <c r="L25" s="12">
        <f>SUM(Z25:AB25)</f>
        <v/>
      </c>
      <c r="M25" s="13">
        <f>SUM(AC25:AE25)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5">
        <f>SUM(T25:V25)</f>
        <v/>
      </c>
      <c r="Q25" s="5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5">
        <f>'By Round'!A43</f>
        <v/>
      </c>
      <c r="C26" s="15">
        <f>'By Round'!B49</f>
        <v/>
      </c>
      <c r="D26" s="15">
        <f>'By Round'!C49</f>
        <v/>
      </c>
      <c r="E26" s="15">
        <f>'By Round'!D49</f>
        <v/>
      </c>
      <c r="F26" s="16" t="inlineStr">
        <is>
          <t>EW</t>
        </is>
      </c>
      <c r="G26" s="15">
        <f>IF(ISBLANK('By Round'!G49),"",'By Round'!G49)</f>
        <v/>
      </c>
      <c r="H26" s="15">
        <f>IF(ISBLANK('By Round'!H49),"",'By Round'!H49)</f>
        <v/>
      </c>
      <c r="I26" s="15">
        <f>IF(ISBLANK('By Round'!I49),"",'By Round'!I49)</f>
        <v/>
      </c>
      <c r="J26" s="15">
        <f>IF(ISBLANK('By Round'!J49),"",'By Round'!J49)</f>
        <v/>
      </c>
      <c r="K26" s="15">
        <f>IF(ISBLANK('By Round'!K49),"",'By Round'!K49)</f>
        <v/>
      </c>
      <c r="L26" s="17">
        <f>SUM(Z26:AB26)</f>
        <v/>
      </c>
      <c r="M26" s="18">
        <f>SUM(AC26:AE26)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t="n">
        <v>7</v>
      </c>
      <c r="B27">
        <f>'By Round'!A11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Both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SUM(Z27:AB27)</f>
        <v/>
      </c>
      <c r="M27" s="13">
        <f>SUM(AC27:AE27)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5">
        <f>SUM(T27:V27)</f>
        <v/>
      </c>
      <c r="Q27" s="5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>
        <f>'By Round'!A19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Both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SUM(Z28:AB28)</f>
        <v/>
      </c>
      <c r="M28" s="13">
        <f>SUM(AC28:AE28)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5">
        <f>SUM(T28:V28)</f>
        <v/>
      </c>
      <c r="Q28" s="5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>
        <f>'By Round'!A27</f>
        <v/>
      </c>
      <c r="C29">
        <f>'By Round'!B27</f>
        <v/>
      </c>
      <c r="D29">
        <f>'By Round'!C27</f>
        <v/>
      </c>
      <c r="E29">
        <f>'By Round'!D27</f>
        <v/>
      </c>
      <c r="F29" s="11" t="inlineStr">
        <is>
          <t>Both</t>
        </is>
      </c>
      <c r="G29">
        <f>IF(ISBLANK('By Round'!G27),"",'By Round'!G27)</f>
        <v/>
      </c>
      <c r="H29">
        <f>IF(ISBLANK('By Round'!H27),"",'By Round'!H27)</f>
        <v/>
      </c>
      <c r="I29">
        <f>IF(ISBLANK('By Round'!I27),"",'By Round'!I27)</f>
        <v/>
      </c>
      <c r="J29">
        <f>IF(ISBLANK('By Round'!J27),"",'By Round'!J27)</f>
        <v/>
      </c>
      <c r="K29">
        <f>IF(ISBLANK('By Round'!K27),"",'By Round'!K27)</f>
        <v/>
      </c>
      <c r="L29" s="12">
        <f>SUM(Z29:AB29)</f>
        <v/>
      </c>
      <c r="M29" s="13">
        <f>SUM(AC29:AE29)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5">
        <f>SUM(T29:V29)</f>
        <v/>
      </c>
      <c r="Q29" s="5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5">
        <f>'By Round'!A51</f>
        <v/>
      </c>
      <c r="C30" s="15">
        <f>'By Round'!B57</f>
        <v/>
      </c>
      <c r="D30" s="15">
        <f>'By Round'!C57</f>
        <v/>
      </c>
      <c r="E30" s="15">
        <f>'By Round'!D57</f>
        <v/>
      </c>
      <c r="F30" s="16" t="inlineStr">
        <is>
          <t>Both</t>
        </is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7">
        <f>SUM(Z30:AB30)</f>
        <v/>
      </c>
      <c r="M30" s="18">
        <f>SUM(AC30:AE30)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t="n">
        <v>8</v>
      </c>
      <c r="B31">
        <f>'By Round'!A11</f>
        <v/>
      </c>
      <c r="C31">
        <f>'By Round'!B15</f>
        <v/>
      </c>
      <c r="D31">
        <f>'By Round'!C15</f>
        <v/>
      </c>
      <c r="E31">
        <f>'By Round'!D15</f>
        <v/>
      </c>
      <c r="F31" s="11" t="inlineStr">
        <is>
          <t>None</t>
        </is>
      </c>
      <c r="G31">
        <f>IF(ISBLANK('By Round'!G15),"",'By Round'!G15)</f>
        <v/>
      </c>
      <c r="H31">
        <f>IF(ISBLANK('By Round'!H15),"",'By Round'!H15)</f>
        <v/>
      </c>
      <c r="I31">
        <f>IF(ISBLANK('By Round'!I15),"",'By Round'!I15)</f>
        <v/>
      </c>
      <c r="J31">
        <f>IF(ISBLANK('By Round'!J15),"",'By Round'!J15)</f>
        <v/>
      </c>
      <c r="K31">
        <f>IF(ISBLANK('By Round'!K15),"",'By Round'!K15)</f>
        <v/>
      </c>
      <c r="L31" s="12">
        <f>SUM(Z31:AB31)</f>
        <v/>
      </c>
      <c r="M31" s="13">
        <f>SUM(AC31:AE31)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5">
        <f>SUM(T31:V31)</f>
        <v/>
      </c>
      <c r="Q31" s="5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>
        <f>'By Round'!A19</f>
        <v/>
      </c>
      <c r="C32">
        <f>'By Round'!B21</f>
        <v/>
      </c>
      <c r="D32">
        <f>'By Round'!C21</f>
        <v/>
      </c>
      <c r="E32">
        <f>'By Round'!D21</f>
        <v/>
      </c>
      <c r="F32" s="11" t="inlineStr">
        <is>
          <t>None</t>
        </is>
      </c>
      <c r="G32">
        <f>IF(ISBLANK('By Round'!G21),"",'By Round'!G21)</f>
        <v/>
      </c>
      <c r="H32">
        <f>IF(ISBLANK('By Round'!H21),"",'By Round'!H21)</f>
        <v/>
      </c>
      <c r="I32">
        <f>IF(ISBLANK('By Round'!I21),"",'By Round'!I21)</f>
        <v/>
      </c>
      <c r="J32">
        <f>IF(ISBLANK('By Round'!J21),"",'By Round'!J21)</f>
        <v/>
      </c>
      <c r="K32">
        <f>IF(ISBLANK('By Round'!K21),"",'By Round'!K21)</f>
        <v/>
      </c>
      <c r="L32" s="12">
        <f>SUM(Z32:AB32)</f>
        <v/>
      </c>
      <c r="M32" s="13">
        <f>SUM(AC32:AE32)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5">
        <f>SUM(T32:V32)</f>
        <v/>
      </c>
      <c r="Q32" s="5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None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SUM(Z33:AB33)</f>
        <v/>
      </c>
      <c r="M33" s="13">
        <f>SUM(AC33:AE33)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5">
        <f>SUM(T33:V33)</f>
        <v/>
      </c>
      <c r="Q33" s="5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5">
        <f>'By Round'!A51</f>
        <v/>
      </c>
      <c r="C34" s="15">
        <f>'By Round'!B57</f>
        <v/>
      </c>
      <c r="D34" s="15">
        <f>'By Round'!C57</f>
        <v/>
      </c>
      <c r="E34" s="15">
        <f>'By Round'!D57</f>
        <v/>
      </c>
      <c r="F34" s="16" t="inlineStr">
        <is>
          <t>None</t>
        </is>
      </c>
      <c r="G34" s="15">
        <f>IF(ISBLANK('By Round'!G57),"",'By Round'!G57)</f>
        <v/>
      </c>
      <c r="H34" s="15">
        <f>IF(ISBLANK('By Round'!H57),"",'By Round'!H57)</f>
        <v/>
      </c>
      <c r="I34" s="15">
        <f>IF(ISBLANK('By Round'!I57),"",'By Round'!I57)</f>
        <v/>
      </c>
      <c r="J34" s="15">
        <f>IF(ISBLANK('By Round'!J57),"",'By Round'!J57)</f>
        <v/>
      </c>
      <c r="K34" s="15">
        <f>IF(ISBLANK('By Round'!K57),"",'By Round'!K57)</f>
        <v/>
      </c>
      <c r="L34" s="17">
        <f>SUM(Z34:AB34)</f>
        <v/>
      </c>
      <c r="M34" s="18">
        <f>SUM(AC34:AE34)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t="n">
        <v>9</v>
      </c>
      <c r="B35">
        <f>'By Round'!A3</f>
        <v/>
      </c>
      <c r="C35">
        <f>'By Round'!B9</f>
        <v/>
      </c>
      <c r="D35">
        <f>'By Round'!C9</f>
        <v/>
      </c>
      <c r="E35">
        <f>'By Round'!D9</f>
        <v/>
      </c>
      <c r="F35" s="11" t="inlineStr">
        <is>
          <t>EW</t>
        </is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2">
        <f>SUM(Z35:AB35)</f>
        <v/>
      </c>
      <c r="M35" s="13">
        <f>SUM(AC35:AE35)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5">
        <f>SUM(T35:V35)</f>
        <v/>
      </c>
      <c r="Q35" s="5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>
        <f>'By Round'!A19</f>
        <v/>
      </c>
      <c r="C36">
        <f>'By Round'!B23</f>
        <v/>
      </c>
      <c r="D36">
        <f>'By Round'!C23</f>
        <v/>
      </c>
      <c r="E36">
        <f>'By Round'!D23</f>
        <v/>
      </c>
      <c r="F36" s="11" t="inlineStr">
        <is>
          <t>EW</t>
        </is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2">
        <f>SUM(Z36:AB36)</f>
        <v/>
      </c>
      <c r="M36" s="13">
        <f>SUM(AC36:AE36)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5">
        <f>SUM(T36:V36)</f>
        <v/>
      </c>
      <c r="Q36" s="5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>
        <f>'By Round'!A27</f>
        <v/>
      </c>
      <c r="C37">
        <f>'By Round'!B29</f>
        <v/>
      </c>
      <c r="D37">
        <f>'By Round'!C29</f>
        <v/>
      </c>
      <c r="E37">
        <f>'By Round'!D29</f>
        <v/>
      </c>
      <c r="F37" s="11" t="inlineStr">
        <is>
          <t>EW</t>
        </is>
      </c>
      <c r="G37">
        <f>IF(ISBLANK('By Round'!G29),"",'By Round'!G29)</f>
        <v/>
      </c>
      <c r="H37">
        <f>IF(ISBLANK('By Round'!H29),"",'By Round'!H29)</f>
        <v/>
      </c>
      <c r="I37">
        <f>IF(ISBLANK('By Round'!I29),"",'By Round'!I29)</f>
        <v/>
      </c>
      <c r="J37">
        <f>IF(ISBLANK('By Round'!J29),"",'By Round'!J29)</f>
        <v/>
      </c>
      <c r="K37">
        <f>IF(ISBLANK('By Round'!K29),"",'By Round'!K29)</f>
        <v/>
      </c>
      <c r="L37" s="12">
        <f>SUM(Z37:AB37)</f>
        <v/>
      </c>
      <c r="M37" s="13">
        <f>SUM(AC37:AE37)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5">
        <f>SUM(T37:V37)</f>
        <v/>
      </c>
      <c r="Q37" s="5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5">
        <f>'By Round'!A35</f>
        <v/>
      </c>
      <c r="C38" s="15">
        <f>'By Round'!B35</f>
        <v/>
      </c>
      <c r="D38" s="15">
        <f>'By Round'!C35</f>
        <v/>
      </c>
      <c r="E38" s="15">
        <f>'By Round'!D35</f>
        <v/>
      </c>
      <c r="F38" s="16" t="inlineStr">
        <is>
          <t>EW</t>
        </is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7">
        <f>SUM(Z38:AB38)</f>
        <v/>
      </c>
      <c r="M38" s="18">
        <f>SUM(AC38:AE38)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t="n">
        <v>10</v>
      </c>
      <c r="B39">
        <f>'By Round'!A3</f>
        <v/>
      </c>
      <c r="C39">
        <f>'By Round'!B9</f>
        <v/>
      </c>
      <c r="D39">
        <f>'By Round'!C9</f>
        <v/>
      </c>
      <c r="E39">
        <f>'By Round'!D9</f>
        <v/>
      </c>
      <c r="F39" s="11" t="inlineStr">
        <is>
          <t>Both</t>
        </is>
      </c>
      <c r="G39">
        <f>IF(ISBLANK('By Round'!G9),"",'By Round'!G9)</f>
        <v/>
      </c>
      <c r="H39">
        <f>IF(ISBLANK('By Round'!H9),"",'By Round'!H9)</f>
        <v/>
      </c>
      <c r="I39">
        <f>IF(ISBLANK('By Round'!I9),"",'By Round'!I9)</f>
        <v/>
      </c>
      <c r="J39">
        <f>IF(ISBLANK('By Round'!J9),"",'By Round'!J9)</f>
        <v/>
      </c>
      <c r="K39">
        <f>IF(ISBLANK('By Round'!K9),"",'By Round'!K9)</f>
        <v/>
      </c>
      <c r="L39" s="12">
        <f>SUM(Z39:AB39)</f>
        <v/>
      </c>
      <c r="M39" s="13">
        <f>SUM(AC39:AE39)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5">
        <f>SUM(T39:V39)</f>
        <v/>
      </c>
      <c r="Q39" s="5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>
        <f>'By Round'!A19</f>
        <v/>
      </c>
      <c r="C40">
        <f>'By Round'!B23</f>
        <v/>
      </c>
      <c r="D40">
        <f>'By Round'!C23</f>
        <v/>
      </c>
      <c r="E40">
        <f>'By Round'!D23</f>
        <v/>
      </c>
      <c r="F40" s="11" t="inlineStr">
        <is>
          <t>Both</t>
        </is>
      </c>
      <c r="G40">
        <f>IF(ISBLANK('By Round'!G23),"",'By Round'!G23)</f>
        <v/>
      </c>
      <c r="H40">
        <f>IF(ISBLANK('By Round'!H23),"",'By Round'!H23)</f>
        <v/>
      </c>
      <c r="I40">
        <f>IF(ISBLANK('By Round'!I23),"",'By Round'!I23)</f>
        <v/>
      </c>
      <c r="J40">
        <f>IF(ISBLANK('By Round'!J23),"",'By Round'!J23)</f>
        <v/>
      </c>
      <c r="K40">
        <f>IF(ISBLANK('By Round'!K23),"",'By Round'!K23)</f>
        <v/>
      </c>
      <c r="L40" s="12">
        <f>SUM(Z40:AB40)</f>
        <v/>
      </c>
      <c r="M40" s="13">
        <f>SUM(AC40:AE40)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5">
        <f>SUM(T40:V40)</f>
        <v/>
      </c>
      <c r="Q40" s="5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>
        <f>'By Round'!A27</f>
        <v/>
      </c>
      <c r="C41">
        <f>'By Round'!B29</f>
        <v/>
      </c>
      <c r="D41">
        <f>'By Round'!C29</f>
        <v/>
      </c>
      <c r="E41">
        <f>'By Round'!D29</f>
        <v/>
      </c>
      <c r="F41" s="11" t="inlineStr">
        <is>
          <t>Both</t>
        </is>
      </c>
      <c r="G41">
        <f>IF(ISBLANK('By Round'!G29),"",'By Round'!G29)</f>
        <v/>
      </c>
      <c r="H41">
        <f>IF(ISBLANK('By Round'!H29),"",'By Round'!H29)</f>
        <v/>
      </c>
      <c r="I41">
        <f>IF(ISBLANK('By Round'!I29),"",'By Round'!I29)</f>
        <v/>
      </c>
      <c r="J41">
        <f>IF(ISBLANK('By Round'!J29),"",'By Round'!J29)</f>
        <v/>
      </c>
      <c r="K41">
        <f>IF(ISBLANK('By Round'!K29),"",'By Round'!K29)</f>
        <v/>
      </c>
      <c r="L41" s="12">
        <f>SUM(Z41:AB41)</f>
        <v/>
      </c>
      <c r="M41" s="13">
        <f>SUM(AC41:AE41)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5">
        <f>SUM(T41:V41)</f>
        <v/>
      </c>
      <c r="Q41" s="5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5">
        <f>'By Round'!A35</f>
        <v/>
      </c>
      <c r="C42" s="15">
        <f>'By Round'!B35</f>
        <v/>
      </c>
      <c r="D42" s="15">
        <f>'By Round'!C35</f>
        <v/>
      </c>
      <c r="E42" s="15">
        <f>'By Round'!D35</f>
        <v/>
      </c>
      <c r="F42" s="16" t="inlineStr">
        <is>
          <t>Both</t>
        </is>
      </c>
      <c r="G42" s="15">
        <f>IF(ISBLANK('By Round'!G35),"",'By Round'!G35)</f>
        <v/>
      </c>
      <c r="H42" s="15">
        <f>IF(ISBLANK('By Round'!H35),"",'By Round'!H35)</f>
        <v/>
      </c>
      <c r="I42" s="15">
        <f>IF(ISBLANK('By Round'!I35),"",'By Round'!I35)</f>
        <v/>
      </c>
      <c r="J42" s="15">
        <f>IF(ISBLANK('By Round'!J35),"",'By Round'!J35)</f>
        <v/>
      </c>
      <c r="K42" s="15">
        <f>IF(ISBLANK('By Round'!K35),"",'By Round'!K35)</f>
        <v/>
      </c>
      <c r="L42" s="17">
        <f>SUM(Z42:AB42)</f>
        <v/>
      </c>
      <c r="M42" s="18">
        <f>SUM(AC42:AE42)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t="n">
        <v>11</v>
      </c>
      <c r="B43">
        <f>'By Round'!A11</f>
        <v/>
      </c>
      <c r="C43">
        <f>'By Round'!B17</f>
        <v/>
      </c>
      <c r="D43">
        <f>'By Round'!C17</f>
        <v/>
      </c>
      <c r="E43">
        <f>'By Round'!D17</f>
        <v/>
      </c>
      <c r="F43" s="11" t="inlineStr">
        <is>
          <t>None</t>
        </is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2">
        <f>SUM(Z43:AB43)</f>
        <v/>
      </c>
      <c r="M43" s="13">
        <f>SUM(AC43:AE43)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5">
        <f>SUM(T43:V43)</f>
        <v/>
      </c>
      <c r="Q43" s="5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>
        <f>'By Round'!A27</f>
        <v/>
      </c>
      <c r="C44">
        <f>'By Round'!B31</f>
        <v/>
      </c>
      <c r="D44">
        <f>'By Round'!C31</f>
        <v/>
      </c>
      <c r="E44">
        <f>'By Round'!D31</f>
        <v/>
      </c>
      <c r="F44" s="11" t="inlineStr">
        <is>
          <t>None</t>
        </is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2">
        <f>SUM(Z44:AB44)</f>
        <v/>
      </c>
      <c r="M44" s="13">
        <f>SUM(AC44:AE44)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5">
        <f>SUM(T44:V44)</f>
        <v/>
      </c>
      <c r="Q44" s="5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>
        <f>'By Round'!A35</f>
        <v/>
      </c>
      <c r="C45">
        <f>'By Round'!B37</f>
        <v/>
      </c>
      <c r="D45">
        <f>'By Round'!C37</f>
        <v/>
      </c>
      <c r="E45">
        <f>'By Round'!D37</f>
        <v/>
      </c>
      <c r="F45" s="11" t="inlineStr">
        <is>
          <t>None</t>
        </is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2">
        <f>SUM(Z45:AB45)</f>
        <v/>
      </c>
      <c r="M45" s="13">
        <f>SUM(AC45:AE45)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5">
        <f>SUM(T45:V45)</f>
        <v/>
      </c>
      <c r="Q45" s="5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5">
        <f>'By Round'!A43</f>
        <v/>
      </c>
      <c r="C46" s="15">
        <f>'By Round'!B43</f>
        <v/>
      </c>
      <c r="D46" s="15">
        <f>'By Round'!C43</f>
        <v/>
      </c>
      <c r="E46" s="15">
        <f>'By Round'!D43</f>
        <v/>
      </c>
      <c r="F46" s="16" t="inlineStr">
        <is>
          <t>None</t>
        </is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7">
        <f>SUM(Z46:AB46)</f>
        <v/>
      </c>
      <c r="M46" s="18">
        <f>SUM(AC46:AE46)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t="n">
        <v>12</v>
      </c>
      <c r="B47">
        <f>'By Round'!A11</f>
        <v/>
      </c>
      <c r="C47">
        <f>'By Round'!B17</f>
        <v/>
      </c>
      <c r="D47">
        <f>'By Round'!C17</f>
        <v/>
      </c>
      <c r="E47">
        <f>'By Round'!D17</f>
        <v/>
      </c>
      <c r="F47" s="11" t="inlineStr">
        <is>
          <t>NS</t>
        </is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2">
        <f>SUM(Z47:AB47)</f>
        <v/>
      </c>
      <c r="M47" s="13">
        <f>SUM(AC47:AE47)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5">
        <f>SUM(T47:V47)</f>
        <v/>
      </c>
      <c r="Q47" s="5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>
        <f>'By Round'!A27</f>
        <v/>
      </c>
      <c r="C48">
        <f>'By Round'!B31</f>
        <v/>
      </c>
      <c r="D48">
        <f>'By Round'!C31</f>
        <v/>
      </c>
      <c r="E48">
        <f>'By Round'!D31</f>
        <v/>
      </c>
      <c r="F48" s="11" t="inlineStr">
        <is>
          <t>NS</t>
        </is>
      </c>
      <c r="G48">
        <f>IF(ISBLANK('By Round'!G31),"",'By Round'!G31)</f>
        <v/>
      </c>
      <c r="H48">
        <f>IF(ISBLANK('By Round'!H31),"",'By Round'!H31)</f>
        <v/>
      </c>
      <c r="I48">
        <f>IF(ISBLANK('By Round'!I31),"",'By Round'!I31)</f>
        <v/>
      </c>
      <c r="J48">
        <f>IF(ISBLANK('By Round'!J31),"",'By Round'!J31)</f>
        <v/>
      </c>
      <c r="K48">
        <f>IF(ISBLANK('By Round'!K31),"",'By Round'!K31)</f>
        <v/>
      </c>
      <c r="L48" s="12">
        <f>SUM(Z48:AB48)</f>
        <v/>
      </c>
      <c r="M48" s="13">
        <f>SUM(AC48:AE48)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5">
        <f>SUM(T48:V48)</f>
        <v/>
      </c>
      <c r="Q48" s="5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>
        <f>'By Round'!A35</f>
        <v/>
      </c>
      <c r="C49">
        <f>'By Round'!B37</f>
        <v/>
      </c>
      <c r="D49">
        <f>'By Round'!C37</f>
        <v/>
      </c>
      <c r="E49">
        <f>'By Round'!D37</f>
        <v/>
      </c>
      <c r="F49" s="11" t="inlineStr">
        <is>
          <t>NS</t>
        </is>
      </c>
      <c r="G49">
        <f>IF(ISBLANK('By Round'!G37),"",'By Round'!G37)</f>
        <v/>
      </c>
      <c r="H49">
        <f>IF(ISBLANK('By Round'!H37),"",'By Round'!H37)</f>
        <v/>
      </c>
      <c r="I49">
        <f>IF(ISBLANK('By Round'!I37),"",'By Round'!I37)</f>
        <v/>
      </c>
      <c r="J49">
        <f>IF(ISBLANK('By Round'!J37),"",'By Round'!J37)</f>
        <v/>
      </c>
      <c r="K49">
        <f>IF(ISBLANK('By Round'!K37),"",'By Round'!K37)</f>
        <v/>
      </c>
      <c r="L49" s="12">
        <f>SUM(Z49:AB49)</f>
        <v/>
      </c>
      <c r="M49" s="13">
        <f>SUM(AC49:AE49)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5">
        <f>SUM(T49:V49)</f>
        <v/>
      </c>
      <c r="Q49" s="5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5">
        <f>'By Round'!A43</f>
        <v/>
      </c>
      <c r="C50" s="15">
        <f>'By Round'!B43</f>
        <v/>
      </c>
      <c r="D50" s="15">
        <f>'By Round'!C43</f>
        <v/>
      </c>
      <c r="E50" s="15">
        <f>'By Round'!D43</f>
        <v/>
      </c>
      <c r="F50" s="16" t="inlineStr">
        <is>
          <t>NS</t>
        </is>
      </c>
      <c r="G50" s="15">
        <f>IF(ISBLANK('By Round'!G43),"",'By Round'!G43)</f>
        <v/>
      </c>
      <c r="H50" s="15">
        <f>IF(ISBLANK('By Round'!H43),"",'By Round'!H43)</f>
        <v/>
      </c>
      <c r="I50" s="15">
        <f>IF(ISBLANK('By Round'!I43),"",'By Round'!I43)</f>
        <v/>
      </c>
      <c r="J50" s="15">
        <f>IF(ISBLANK('By Round'!J43),"",'By Round'!J43)</f>
        <v/>
      </c>
      <c r="K50" s="15">
        <f>IF(ISBLANK('By Round'!K43),"",'By Round'!K43)</f>
        <v/>
      </c>
      <c r="L50" s="17">
        <f>SUM(Z50:AB50)</f>
        <v/>
      </c>
      <c r="M50" s="18">
        <f>SUM(AC50:AE50)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t="n">
        <v>13</v>
      </c>
      <c r="B51">
        <f>'By Round'!A19</f>
        <v/>
      </c>
      <c r="C51">
        <f>'By Round'!B25</f>
        <v/>
      </c>
      <c r="D51">
        <f>'By Round'!C25</f>
        <v/>
      </c>
      <c r="E51">
        <f>'By Round'!D25</f>
        <v/>
      </c>
      <c r="F51" s="11" t="inlineStr">
        <is>
          <t>Both</t>
        </is>
      </c>
      <c r="G51">
        <f>IF(ISBLANK('By Round'!G25),"",'By Round'!G25)</f>
        <v/>
      </c>
      <c r="H51">
        <f>IF(ISBLANK('By Round'!H25),"",'By Round'!H25)</f>
        <v/>
      </c>
      <c r="I51">
        <f>IF(ISBLANK('By Round'!I25),"",'By Round'!I25)</f>
        <v/>
      </c>
      <c r="J51">
        <f>IF(ISBLANK('By Round'!J25),"",'By Round'!J25)</f>
        <v/>
      </c>
      <c r="K51">
        <f>IF(ISBLANK('By Round'!K25),"",'By Round'!K25)</f>
        <v/>
      </c>
      <c r="L51" s="12">
        <f>SUM(Z51:AB51)</f>
        <v/>
      </c>
      <c r="M51" s="13">
        <f>SUM(AC51:AE51)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5">
        <f>SUM(T51:V51)</f>
        <v/>
      </c>
      <c r="Q51" s="5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>
        <f>'By Round'!A35</f>
        <v/>
      </c>
      <c r="C52">
        <f>'By Round'!B39</f>
        <v/>
      </c>
      <c r="D52">
        <f>'By Round'!C39</f>
        <v/>
      </c>
      <c r="E52">
        <f>'By Round'!D39</f>
        <v/>
      </c>
      <c r="F52" s="11" t="inlineStr">
        <is>
          <t>Both</t>
        </is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2">
        <f>SUM(Z52:AB52)</f>
        <v/>
      </c>
      <c r="M52" s="13">
        <f>SUM(AC52:AE52)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5">
        <f>SUM(T52:V52)</f>
        <v/>
      </c>
      <c r="Q52" s="5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>
        <f>'By Round'!A43</f>
        <v/>
      </c>
      <c r="C53">
        <f>'By Round'!B45</f>
        <v/>
      </c>
      <c r="D53">
        <f>'By Round'!C45</f>
        <v/>
      </c>
      <c r="E53">
        <f>'By Round'!D45</f>
        <v/>
      </c>
      <c r="F53" s="11" t="inlineStr">
        <is>
          <t>Both</t>
        </is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2">
        <f>SUM(Z53:AB53)</f>
        <v/>
      </c>
      <c r="M53" s="13">
        <f>SUM(AC53:AE53)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5">
        <f>SUM(T53:V53)</f>
        <v/>
      </c>
      <c r="Q53" s="5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5">
        <f>'By Round'!A51</f>
        <v/>
      </c>
      <c r="C54" s="15">
        <f>'By Round'!B51</f>
        <v/>
      </c>
      <c r="D54" s="15">
        <f>'By Round'!C51</f>
        <v/>
      </c>
      <c r="E54" s="15">
        <f>'By Round'!D51</f>
        <v/>
      </c>
      <c r="F54" s="16" t="inlineStr">
        <is>
          <t>Both</t>
        </is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7">
        <f>SUM(Z54:AB54)</f>
        <v/>
      </c>
      <c r="M54" s="18">
        <f>SUM(AC54:AE54)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t="n">
        <v>14</v>
      </c>
      <c r="B55">
        <f>'By Round'!A19</f>
        <v/>
      </c>
      <c r="C55">
        <f>'By Round'!B25</f>
        <v/>
      </c>
      <c r="D55">
        <f>'By Round'!C25</f>
        <v/>
      </c>
      <c r="E55">
        <f>'By Round'!D25</f>
        <v/>
      </c>
      <c r="F55" s="11" t="inlineStr">
        <is>
          <t>None</t>
        </is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 s="12">
        <f>SUM(Z55:AB55)</f>
        <v/>
      </c>
      <c r="M55" s="13">
        <f>SUM(AC55:AE55)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5">
        <f>SUM(T55:V55)</f>
        <v/>
      </c>
      <c r="Q55" s="5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>
        <f>'By Round'!A35</f>
        <v/>
      </c>
      <c r="C56">
        <f>'By Round'!B39</f>
        <v/>
      </c>
      <c r="D56">
        <f>'By Round'!C39</f>
        <v/>
      </c>
      <c r="E56">
        <f>'By Round'!D39</f>
        <v/>
      </c>
      <c r="F56" s="11" t="inlineStr">
        <is>
          <t>None</t>
        </is>
      </c>
      <c r="G56">
        <f>IF(ISBLANK('By Round'!G39),"",'By Round'!G39)</f>
        <v/>
      </c>
      <c r="H56">
        <f>IF(ISBLANK('By Round'!H39),"",'By Round'!H39)</f>
        <v/>
      </c>
      <c r="I56">
        <f>IF(ISBLANK('By Round'!I39),"",'By Round'!I39)</f>
        <v/>
      </c>
      <c r="J56">
        <f>IF(ISBLANK('By Round'!J39),"",'By Round'!J39)</f>
        <v/>
      </c>
      <c r="K56">
        <f>IF(ISBLANK('By Round'!K39),"",'By Round'!K39)</f>
        <v/>
      </c>
      <c r="L56" s="12">
        <f>SUM(Z56:AB56)</f>
        <v/>
      </c>
      <c r="M56" s="13">
        <f>SUM(AC56:AE56)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5">
        <f>SUM(T56:V56)</f>
        <v/>
      </c>
      <c r="Q56" s="5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>
        <f>'By Round'!A43</f>
        <v/>
      </c>
      <c r="C57">
        <f>'By Round'!B45</f>
        <v/>
      </c>
      <c r="D57">
        <f>'By Round'!C45</f>
        <v/>
      </c>
      <c r="E57">
        <f>'By Round'!D45</f>
        <v/>
      </c>
      <c r="F57" s="11" t="inlineStr">
        <is>
          <t>None</t>
        </is>
      </c>
      <c r="G57">
        <f>IF(ISBLANK('By Round'!G45),"",'By Round'!G45)</f>
        <v/>
      </c>
      <c r="H57">
        <f>IF(ISBLANK('By Round'!H45),"",'By Round'!H45)</f>
        <v/>
      </c>
      <c r="I57">
        <f>IF(ISBLANK('By Round'!I45),"",'By Round'!I45)</f>
        <v/>
      </c>
      <c r="J57">
        <f>IF(ISBLANK('By Round'!J45),"",'By Round'!J45)</f>
        <v/>
      </c>
      <c r="K57">
        <f>IF(ISBLANK('By Round'!K45),"",'By Round'!K45)</f>
        <v/>
      </c>
      <c r="L57" s="12">
        <f>SUM(Z57:AB57)</f>
        <v/>
      </c>
      <c r="M57" s="13">
        <f>SUM(AC57:AE57)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5">
        <f>SUM(T57:V57)</f>
        <v/>
      </c>
      <c r="Q57" s="5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5">
        <f>'By Round'!A51</f>
        <v/>
      </c>
      <c r="C58" s="15">
        <f>'By Round'!B51</f>
        <v/>
      </c>
      <c r="D58" s="15">
        <f>'By Round'!C51</f>
        <v/>
      </c>
      <c r="E58" s="15">
        <f>'By Round'!D51</f>
        <v/>
      </c>
      <c r="F58" s="16" t="inlineStr">
        <is>
          <t>None</t>
        </is>
      </c>
      <c r="G58" s="15">
        <f>IF(ISBLANK('By Round'!G51),"",'By Round'!G51)</f>
        <v/>
      </c>
      <c r="H58" s="15">
        <f>IF(ISBLANK('By Round'!H51),"",'By Round'!H51)</f>
        <v/>
      </c>
      <c r="I58" s="15">
        <f>IF(ISBLANK('By Round'!I51),"",'By Round'!I51)</f>
        <v/>
      </c>
      <c r="J58" s="15">
        <f>IF(ISBLANK('By Round'!J51),"",'By Round'!J51)</f>
        <v/>
      </c>
      <c r="K58" s="15">
        <f>IF(ISBLANK('By Round'!K51),"",'By Round'!K51)</f>
        <v/>
      </c>
      <c r="L58" s="17">
        <f>SUM(Z58:AB58)</f>
        <v/>
      </c>
      <c r="M58" s="18">
        <f>SUM(AC58:AE58)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8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6</v>
      </c>
      <c r="D5" s="11" t="n">
        <v>5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4</v>
      </c>
      <c r="D7" s="11" t="n">
        <v>2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7</v>
      </c>
      <c r="D9" s="11" t="n">
        <v>3</v>
      </c>
      <c r="E9" s="11" t="n">
        <v>9</v>
      </c>
      <c r="F9" s="11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A11" s="11" t="n">
        <v>2</v>
      </c>
      <c r="B11" s="11" t="n">
        <v>1</v>
      </c>
      <c r="C11" s="11" t="n">
        <v>8</v>
      </c>
      <c r="D11" s="11" t="n">
        <v>2</v>
      </c>
      <c r="E11" s="11" t="n">
        <v>3</v>
      </c>
      <c r="F11" s="11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2</v>
      </c>
      <c r="C13" s="11" t="n">
        <v>7</v>
      </c>
      <c r="D13" s="11" t="n">
        <v>6</v>
      </c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3</v>
      </c>
      <c r="C15" s="11" t="n">
        <v>5</v>
      </c>
      <c r="D15" s="11" t="n">
        <v>3</v>
      </c>
      <c r="E15" s="11" t="n">
        <v>7</v>
      </c>
      <c r="F15" s="11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B17" s="11" t="n">
        <v>4</v>
      </c>
      <c r="C17" s="11" t="n">
        <v>1</v>
      </c>
      <c r="D17" s="11" t="n">
        <v>4</v>
      </c>
      <c r="E17" s="11" t="n">
        <v>11</v>
      </c>
      <c r="F17" s="11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A19" s="11" t="n">
        <v>3</v>
      </c>
      <c r="B19" s="11" t="n">
        <v>1</v>
      </c>
      <c r="C19" s="11" t="n">
        <v>8</v>
      </c>
      <c r="D19" s="11" t="n">
        <v>3</v>
      </c>
      <c r="E19" s="11" t="n">
        <v>5</v>
      </c>
      <c r="F19" s="11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</row>
    <row r="21">
      <c r="B21" s="11" t="n">
        <v>2</v>
      </c>
      <c r="C21" s="11" t="n">
        <v>1</v>
      </c>
      <c r="D21" s="11" t="n">
        <v>7</v>
      </c>
      <c r="E21" s="11" t="n">
        <v>7</v>
      </c>
      <c r="F21" s="11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</row>
    <row r="23">
      <c r="B23" s="11" t="n">
        <v>3</v>
      </c>
      <c r="C23" s="11" t="n">
        <v>6</v>
      </c>
      <c r="D23" s="11" t="n">
        <v>4</v>
      </c>
      <c r="E23" s="11" t="n">
        <v>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4</v>
      </c>
      <c r="C25" s="11" t="n">
        <v>2</v>
      </c>
      <c r="D25" s="11" t="n">
        <v>5</v>
      </c>
      <c r="E25" s="11" t="n">
        <v>13</v>
      </c>
      <c r="F25" s="11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A27" s="11" t="n">
        <v>4</v>
      </c>
      <c r="B27" s="11" t="n">
        <v>1</v>
      </c>
      <c r="C27" s="11" t="n">
        <v>8</v>
      </c>
      <c r="D27" s="11" t="n">
        <v>4</v>
      </c>
      <c r="E27" s="11" t="n">
        <v>7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2</v>
      </c>
      <c r="D29" s="11" t="n">
        <v>1</v>
      </c>
      <c r="E29" s="11" t="n">
        <v>9</v>
      </c>
      <c r="F29" s="11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7</v>
      </c>
      <c r="D31" s="11" t="n">
        <v>5</v>
      </c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3</v>
      </c>
      <c r="D33" s="11" t="n">
        <v>6</v>
      </c>
      <c r="E33" s="11" t="n">
        <v>1</v>
      </c>
      <c r="F33" s="11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</row>
    <row r="35">
      <c r="A35" s="11" t="n">
        <v>5</v>
      </c>
      <c r="B35" s="11" t="n">
        <v>1</v>
      </c>
      <c r="C35" s="11" t="n">
        <v>8</v>
      </c>
      <c r="D35" s="11" t="n">
        <v>5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2</v>
      </c>
      <c r="C37" s="11" t="n">
        <v>3</v>
      </c>
      <c r="D37" s="11" t="n">
        <v>2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3</v>
      </c>
      <c r="C39" s="11" t="n">
        <v>1</v>
      </c>
      <c r="D39" s="11" t="n">
        <v>6</v>
      </c>
      <c r="E39" s="11" t="n">
        <v>13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4</v>
      </c>
      <c r="C41" s="11" t="n">
        <v>4</v>
      </c>
      <c r="D41" s="11" t="n">
        <v>7</v>
      </c>
      <c r="E41" s="11" t="n">
        <v>3</v>
      </c>
      <c r="F41" s="11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A43" s="11" t="n">
        <v>6</v>
      </c>
      <c r="B43" s="11" t="n">
        <v>1</v>
      </c>
      <c r="C43" s="11" t="n">
        <v>8</v>
      </c>
      <c r="D43" s="11" t="n">
        <v>6</v>
      </c>
      <c r="E43" s="11" t="n">
        <v>11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13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2</v>
      </c>
      <c r="D47" s="11" t="n">
        <v>7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5</v>
      </c>
      <c r="D49" s="11" t="n">
        <v>1</v>
      </c>
      <c r="E49" s="11" t="n">
        <v>5</v>
      </c>
      <c r="F49" s="11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A51" s="11" t="n">
        <v>7</v>
      </c>
      <c r="B51" s="11" t="n">
        <v>1</v>
      </c>
      <c r="C51" s="11" t="n">
        <v>8</v>
      </c>
      <c r="D51" s="11" t="n">
        <v>7</v>
      </c>
      <c r="E51" s="11" t="n">
        <v>13</v>
      </c>
      <c r="F51" s="11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5</v>
      </c>
      <c r="D53" s="11" t="n">
        <v>4</v>
      </c>
      <c r="E53" s="11" t="n">
        <v>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3</v>
      </c>
      <c r="D55" s="11" t="n">
        <v>1</v>
      </c>
      <c r="E55" s="11" t="n">
        <v>3</v>
      </c>
      <c r="F55" s="11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6</v>
      </c>
      <c r="D57" s="11" t="n">
        <v>2</v>
      </c>
      <c r="E57" s="11" t="n">
        <v>7</v>
      </c>
      <c r="F57" s="11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2026-02-06T19:39:26Z</dcterms:created>
  <dcterms:modified xsi:type="dcterms:W3CDTF">2026-02-06T19:39:26Z</dcterms:modified>
</cp:coreProperties>
</file>