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0.00"/>
    <numFmt numFmtId="165" formatCode="0.0%"/>
    <numFmt numFmtId="166" formatCode="#0.0"/>
    <numFmt numFmtId="167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4" fontId="0" fillId="0" borderId="2" pivotButton="0" quotePrefix="0" xfId="0"/>
    <xf numFmtId="0" fontId="0" fillId="0" borderId="4" pivotButton="0" quotePrefix="0" xfId="0"/>
    <xf numFmtId="0" fontId="5" fillId="0" borderId="0" pivotButton="0" quotePrefix="0" xfId="0"/>
    <xf numFmtId="0" fontId="2" fillId="0" borderId="5" applyAlignment="1" pivotButton="0" quotePrefix="0" xfId="0">
      <alignment horizontal="center"/>
    </xf>
    <xf numFmtId="0" fontId="0" fillId="0" borderId="5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Feb 01,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8</v>
      </c>
    </row>
    <row r="4">
      <c r="A4" s="2" t="inlineStr">
        <is>
          <t>Tables</t>
        </is>
      </c>
      <c r="B4" s="2" t="n">
        <v>4</v>
      </c>
    </row>
    <row r="5">
      <c r="A5" s="2" t="inlineStr">
        <is>
          <t>Rounds</t>
        </is>
      </c>
      <c r="B5" s="2" t="n">
        <v>7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32</t>
        </is>
      </c>
      <c r="C2" t="inlineStr">
        <is>
          <t>Name 47</t>
        </is>
      </c>
      <c r="D2" s="4">
        <f>SUMIF('By Board'!$D$3:$D$58,"=1",'By Board'!$L$3:$L$58)+SUMIF('By Board'!$E$3:$E$58,"=1",'By Board'!$M$3:$M$58)</f>
        <v/>
      </c>
      <c r="E2" s="5">
        <f>SUMIF('By Board'!$D$3:$D$58,"=1",'By Board'!$N$3:$N$58)/14+SUMIF('By Board'!$E$3:$E$58,"=1",'By Board'!$O$3:$O$58)/14</f>
        <v/>
      </c>
    </row>
    <row r="3">
      <c r="A3" t="n">
        <v>2</v>
      </c>
      <c r="B3" t="inlineStr">
        <is>
          <t>Name 31</t>
        </is>
      </c>
      <c r="C3" t="inlineStr">
        <is>
          <t>Name 81</t>
        </is>
      </c>
      <c r="D3" s="4">
        <f>SUMIF('By Board'!$D$3:$D$58,"=2",'By Board'!$L$3:$L$58)+SUMIF('By Board'!$E$3:$E$58,"=2",'By Board'!$M$3:$M$58)</f>
        <v/>
      </c>
      <c r="E3" s="5">
        <f>SUMIF('By Board'!$D$3:$D$58,"=2",'By Board'!$N$3:$N$58)/14+SUMIF('By Board'!$E$3:$E$58,"=2",'By Board'!$O$3:$O$58)/14</f>
        <v/>
      </c>
    </row>
    <row r="4">
      <c r="A4" t="n">
        <v>3</v>
      </c>
      <c r="B4" t="inlineStr">
        <is>
          <t>Name 54</t>
        </is>
      </c>
      <c r="C4" t="inlineStr">
        <is>
          <t>Name 22</t>
        </is>
      </c>
      <c r="D4" s="4">
        <f>SUMIF('By Board'!$D$3:$D$58,"=3",'By Board'!$L$3:$L$58)+SUMIF('By Board'!$E$3:$E$58,"=3",'By Board'!$M$3:$M$58)</f>
        <v/>
      </c>
      <c r="E4" s="5">
        <f>SUMIF('By Board'!$D$3:$D$58,"=3",'By Board'!$N$3:$N$58)/14+SUMIF('By Board'!$E$3:$E$58,"=3",'By Board'!$O$3:$O$58)/14</f>
        <v/>
      </c>
    </row>
    <row r="5">
      <c r="A5" t="n">
        <v>4</v>
      </c>
      <c r="B5" t="inlineStr">
        <is>
          <t>Name 58</t>
        </is>
      </c>
      <c r="C5" t="inlineStr">
        <is>
          <t>Name 57</t>
        </is>
      </c>
      <c r="D5" s="4">
        <f>SUMIF('By Board'!$D$3:$D$58,"=4",'By Board'!$L$3:$L$58)+SUMIF('By Board'!$E$3:$E$58,"=4",'By Board'!$M$3:$M$58)</f>
        <v/>
      </c>
      <c r="E5" s="5">
        <f>SUMIF('By Board'!$D$3:$D$58,"=4",'By Board'!$N$3:$N$58)/14+SUMIF('By Board'!$E$3:$E$58,"=4",'By Board'!$O$3:$O$58)/14</f>
        <v/>
      </c>
    </row>
    <row r="6">
      <c r="A6" t="n">
        <v>5</v>
      </c>
      <c r="B6" t="inlineStr">
        <is>
          <t>Name 87</t>
        </is>
      </c>
      <c r="C6" t="inlineStr">
        <is>
          <t>Name 44</t>
        </is>
      </c>
      <c r="D6" s="4">
        <f>SUMIF('By Board'!$D$3:$D$58,"=5",'By Board'!$L$3:$L$58)+SUMIF('By Board'!$E$3:$E$58,"=5",'By Board'!$M$3:$M$58)</f>
        <v/>
      </c>
      <c r="E6" s="5">
        <f>SUMIF('By Board'!$D$3:$D$58,"=5",'By Board'!$N$3:$N$58)/14+SUMIF('By Board'!$E$3:$E$58,"=5",'By Board'!$O$3:$O$58)/14</f>
        <v/>
      </c>
    </row>
    <row r="7">
      <c r="A7" t="n">
        <v>6</v>
      </c>
      <c r="B7" t="inlineStr">
        <is>
          <t>Name 77</t>
        </is>
      </c>
      <c r="C7" t="inlineStr">
        <is>
          <t>Name 25</t>
        </is>
      </c>
      <c r="D7" s="4">
        <f>SUMIF('By Board'!$D$3:$D$58,"=6",'By Board'!$L$3:$L$58)+SUMIF('By Board'!$E$3:$E$58,"=6",'By Board'!$M$3:$M$58)</f>
        <v/>
      </c>
      <c r="E7" s="5">
        <f>SUMIF('By Board'!$D$3:$D$58,"=6",'By Board'!$N$3:$N$58)/14+SUMIF('By Board'!$E$3:$E$58,"=6",'By Board'!$O$3:$O$58)/14</f>
        <v/>
      </c>
    </row>
    <row r="8">
      <c r="A8" t="n">
        <v>7</v>
      </c>
      <c r="B8" t="inlineStr">
        <is>
          <t>Name 21</t>
        </is>
      </c>
      <c r="C8" t="inlineStr">
        <is>
          <t>Name 59</t>
        </is>
      </c>
      <c r="D8" s="4">
        <f>SUMIF('By Board'!$D$3:$D$58,"=7",'By Board'!$L$3:$L$58)+SUMIF('By Board'!$E$3:$E$58,"=7",'By Board'!$M$3:$M$58)</f>
        <v/>
      </c>
      <c r="E8" s="5">
        <f>SUMIF('By Board'!$D$3:$D$58,"=7",'By Board'!$N$3:$N$58)/14+SUMIF('By Board'!$E$3:$E$58,"=7",'By Board'!$O$3:$O$58)/14</f>
        <v/>
      </c>
    </row>
    <row r="9">
      <c r="A9" t="n">
        <v>8</v>
      </c>
      <c r="B9" t="inlineStr">
        <is>
          <t>Name 59</t>
        </is>
      </c>
      <c r="C9" t="inlineStr">
        <is>
          <t>Name 12</t>
        </is>
      </c>
      <c r="D9" s="4">
        <f>SUMIF('By Board'!$D$3:$D$58,"=8",'By Board'!$L$3:$L$58)+0</f>
        <v/>
      </c>
      <c r="E9" s="5">
        <f>SUMIF('By Board'!$D$3:$D$58,"=8",'By Board'!$N$3:$N$58)/14+0/14</f>
        <v/>
      </c>
    </row>
    <row r="10">
      <c r="D10" s="6">
        <f>SUM(D2:D9)</f>
        <v/>
      </c>
      <c r="E10" s="7">
        <f>AVERAGE(E2:E9)</f>
        <v/>
      </c>
    </row>
    <row r="12">
      <c r="A12" t="inlineStr">
        <is>
          <t>Array Formula below, remove single quote</t>
        </is>
      </c>
    </row>
    <row r="13">
      <c r="A13" s="3" t="inlineStr">
        <is>
          <t>IMP Ranking</t>
        </is>
      </c>
    </row>
    <row r="14">
      <c r="A14" t="inlineStr">
        <is>
          <t>'=SORT(A2:E9,4,-1)</t>
        </is>
      </c>
      <c r="D14" s="4" t="n"/>
      <c r="E14" s="8" t="n"/>
    </row>
    <row r="15">
      <c r="D15" s="4" t="n"/>
      <c r="E15" s="8" t="n"/>
    </row>
    <row r="16">
      <c r="D16" s="4" t="n"/>
      <c r="E16" s="8" t="n"/>
    </row>
    <row r="17">
      <c r="D17" s="4" t="n"/>
      <c r="E17" s="8" t="n"/>
    </row>
    <row r="18">
      <c r="D18" s="4" t="n"/>
      <c r="E18" s="8" t="n"/>
    </row>
    <row r="19">
      <c r="D19" s="4" t="n"/>
      <c r="E19" s="8" t="n"/>
    </row>
    <row r="20">
      <c r="D20" s="4" t="n"/>
      <c r="E20" s="8" t="n"/>
    </row>
    <row r="21">
      <c r="D21" s="4" t="n"/>
      <c r="E21" s="8" t="n"/>
    </row>
    <row r="26">
      <c r="A26" s="3" t="inlineStr">
        <is>
          <t>MP Ranking</t>
        </is>
      </c>
    </row>
    <row r="27">
      <c r="A27" t="inlineStr">
        <is>
          <t>'=SORT(A2:E9,5,-1)</t>
        </is>
      </c>
      <c r="D27" s="4" t="n"/>
      <c r="E27" s="8" t="n"/>
    </row>
    <row r="28">
      <c r="D28" s="4" t="n"/>
      <c r="E28" s="8" t="n"/>
    </row>
    <row r="29">
      <c r="D29" s="4" t="n"/>
      <c r="E29" s="8" t="n"/>
    </row>
    <row r="30">
      <c r="D30" s="4" t="n"/>
      <c r="E30" s="8" t="n"/>
    </row>
    <row r="31">
      <c r="D31" s="4" t="n"/>
      <c r="E31" s="8" t="n"/>
    </row>
    <row r="32">
      <c r="D32" s="4" t="n"/>
      <c r="E32" s="8" t="n"/>
    </row>
    <row r="33">
      <c r="D33" s="4" t="n"/>
      <c r="E33" s="8" t="n"/>
    </row>
    <row r="34">
      <c r="D34" s="4" t="n"/>
      <c r="E34" s="8" t="n"/>
    </row>
  </sheetData>
  <mergeCells count="2">
    <mergeCell ref="A26:E26"/>
    <mergeCell ref="A13:E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Z1" s="9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10" t="inlineStr">
        <is>
          <t>NS</t>
        </is>
      </c>
      <c r="M2" s="3" t="inlineStr">
        <is>
          <t>EW</t>
        </is>
      </c>
      <c r="N2" s="3" t="inlineStr">
        <is>
          <t>NS</t>
        </is>
      </c>
      <c r="O2" s="3" t="inlineStr">
        <is>
          <t>EW</t>
        </is>
      </c>
      <c r="P2" s="3" t="inlineStr">
        <is>
          <t>NS</t>
        </is>
      </c>
      <c r="Q2" s="3" t="inlineStr">
        <is>
          <t>EW</t>
        </is>
      </c>
      <c r="R2" s="10" t="inlineStr">
        <is>
          <t>NS</t>
        </is>
      </c>
      <c r="S2" s="3" t="inlineStr">
        <is>
          <t>EW</t>
        </is>
      </c>
      <c r="T2" s="10" t="inlineStr">
        <is>
          <t>NS MP Scores</t>
        </is>
      </c>
      <c r="W2" s="3" t="inlineStr">
        <is>
          <t>EW MP Scores</t>
        </is>
      </c>
      <c r="Z2" s="10" t="inlineStr">
        <is>
          <t>NS IMP Pair-wise</t>
        </is>
      </c>
      <c r="AC2" s="3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SUM(Z3:AB3)</f>
        <v/>
      </c>
      <c r="M3" s="13">
        <f>SUM(AC3:AE3)</f>
        <v/>
      </c>
      <c r="N3" s="8">
        <f>IF(COUNT(T3:V3)&gt;0,P3/COUNT(T3:V3),0.5)</f>
        <v/>
      </c>
      <c r="O3" s="8">
        <f>IF(COUNT(W3:Y3)&gt;0,Q3/COUNT(W3:Y3),0.5)</f>
        <v/>
      </c>
      <c r="P3" s="4">
        <f>SUM(T3:V3)</f>
        <v/>
      </c>
      <c r="Q3" s="4">
        <f>SUM(W3:Y3)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4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>
        <f>'By Round'!A27</f>
        <v/>
      </c>
      <c r="C4">
        <f>'By Round'!B33</f>
        <v/>
      </c>
      <c r="D4">
        <f>'By Round'!C33</f>
        <v/>
      </c>
      <c r="E4">
        <f>'By Round'!D33</f>
        <v/>
      </c>
      <c r="F4" s="11" t="inlineStr">
        <is>
          <t>None</t>
        </is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 s="12">
        <f>SUM(Z4:AB4)</f>
        <v/>
      </c>
      <c r="M4" s="13">
        <f>SUM(AC4:AE4)</f>
        <v/>
      </c>
      <c r="N4" s="8">
        <f>IF(COUNT(T4:V4)&gt;0,P4/COUNT(T4:V4),0.5)</f>
        <v/>
      </c>
      <c r="O4" s="8">
        <f>IF(COUNT(W4:Y4)&gt;0,Q4/COUNT(W4:Y4),0.5)</f>
        <v/>
      </c>
      <c r="P4" s="4">
        <f>SUM(T4:V4)</f>
        <v/>
      </c>
      <c r="Q4" s="4">
        <f>SUM(W4:Y4)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4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>
        <f>'By Round'!A43</f>
        <v/>
      </c>
      <c r="C5">
        <f>'By Round'!B47</f>
        <v/>
      </c>
      <c r="D5">
        <f>'By Round'!C47</f>
        <v/>
      </c>
      <c r="E5">
        <f>'By Round'!D47</f>
        <v/>
      </c>
      <c r="F5" s="11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SUM(Z5:AB5)</f>
        <v/>
      </c>
      <c r="M5" s="13">
        <f>SUM(AC5:AE5)</f>
        <v/>
      </c>
      <c r="N5" s="8">
        <f>IF(COUNT(T5:V5)&gt;0,P5/COUNT(T5:V5),0.5)</f>
        <v/>
      </c>
      <c r="O5" s="8">
        <f>IF(COUNT(W5:Y5)&gt;0,Q5/COUNT(W5:Y5),0.5)</f>
        <v/>
      </c>
      <c r="P5" s="4">
        <f>SUM(T5:V5)</f>
        <v/>
      </c>
      <c r="Q5" s="4">
        <f>SUM(W5:Y5)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4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15" t="n"/>
      <c r="B6" s="15">
        <f>'By Round'!A51</f>
        <v/>
      </c>
      <c r="C6" s="15">
        <f>'By Round'!B53</f>
        <v/>
      </c>
      <c r="D6" s="15">
        <f>'By Round'!C53</f>
        <v/>
      </c>
      <c r="E6" s="15">
        <f>'By Round'!D53</f>
        <v/>
      </c>
      <c r="F6" s="16" t="inlineStr">
        <is>
          <t>None</t>
        </is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7">
        <f>SUM(Z6:AB6)</f>
        <v/>
      </c>
      <c r="M6" s="18">
        <f>SUM(AC6:AE6)</f>
        <v/>
      </c>
      <c r="N6" s="19">
        <f>IF(COUNT(T6:V6)&gt;0,P6/COUNT(T6:V6),0.5)</f>
        <v/>
      </c>
      <c r="O6" s="19">
        <f>IF(COUNT(W6:Y6)&gt;0,Q6/COUNT(W6:Y6),0.5)</f>
        <v/>
      </c>
      <c r="P6" s="20">
        <f>SUM(T6:V6)</f>
        <v/>
      </c>
      <c r="Q6" s="20">
        <f>SUM(W6:Y6)</f>
        <v/>
      </c>
      <c r="R6" s="21">
        <f>IF(ISNUMBER(J6),J6,IF(ISNUMBER(K6),-K6,""))</f>
        <v/>
      </c>
      <c r="S6" s="15">
        <f>IF(ISNUMBER(K6),K6,IF(ISNUMBER(J6),-J6,""))</f>
        <v/>
      </c>
      <c r="T6" s="21">
        <f>IF(ISNUMBER(R6),IF(ISNUMBER(R3),IF(R6&gt;R3,1.0,IF(R6=R3,0.5,0.0)),""),"")</f>
        <v/>
      </c>
      <c r="U6" s="15">
        <f>IF(ISNUMBER(R6),IF(ISNUMBER(R4),IF(R6&gt;R4,1.0,IF(R6=R4,0.5,0.0)),""),"")</f>
        <v/>
      </c>
      <c r="V6" s="15">
        <f>IF(ISNUMBER(R6),IF(ISNUMBER(R5),IF(R6&gt;R5,1.0,IF(R6=R5,0.5,0.0)),""),"")</f>
        <v/>
      </c>
      <c r="W6" s="15">
        <f>IF(ISNUMBER(S6),IF(ISNUMBER(S3),IF(S6&gt;S3,1.0,IF(S6=S3,0.5,0.0)),""),"")</f>
        <v/>
      </c>
      <c r="X6" s="15">
        <f>IF(ISNUMBER(S6),IF(ISNUMBER(S4),IF(S6&gt;S4,1.0,IF(S6=S4,0.5,0.0)),""),"")</f>
        <v/>
      </c>
      <c r="Y6" s="15">
        <f>IF(ISNUMBER(S6),IF(ISNUMBER(S5),IF(S6&gt;S5,1.0,IF(S6=S5,0.5,0.0)),""),"")</f>
        <v/>
      </c>
      <c r="Z6" s="21">
        <f>IF(AND(ISNUMBER(R6),ISNUMBER(R3)),VLOOKUP(ABS(R6-R3),'IMP Table'!$A$2:$C$26,3)*SIGN(R6-R3),0)</f>
        <v/>
      </c>
      <c r="AA6" s="15">
        <f>IF(AND(ISNUMBER(R6),ISNUMBER(R4)),VLOOKUP(ABS(R6-R4),'IMP Table'!$A$2:$C$26,3)*SIGN(R6-R4),0)</f>
        <v/>
      </c>
      <c r="AB6" s="15">
        <f>IF(AND(ISNUMBER(R6),ISNUMBER(R5)),VLOOKUP(ABS(R6-R5),'IMP Table'!$A$2:$C$26,3)*SIGN(R6-R5),0)</f>
        <v/>
      </c>
      <c r="AC6" s="15">
        <f>IF(AND(ISNUMBER(S6),ISNUMBER(S3)),VLOOKUP(ABS(S6-S3),'IMP Table'!$A$2:$C$26,3)*SIGN(S6-S3),0)</f>
        <v/>
      </c>
      <c r="AD6" s="15">
        <f>IF(AND(ISNUMBER(S6),ISNUMBER(S4)),VLOOKUP(ABS(S6-S4),'IMP Table'!$A$2:$C$26,3)*SIGN(S6-S4),0)</f>
        <v/>
      </c>
      <c r="AE6" s="15">
        <f>IF(AND(ISNUMBER(S6),ISNUMBER(S5)),VLOOKUP(ABS(S6-S5),'IMP Table'!$A$2:$C$26,3)*SIGN(S6-S5),0)</f>
        <v/>
      </c>
    </row>
    <row r="7">
      <c r="A7" t="n">
        <v>2</v>
      </c>
      <c r="B7">
        <f>'By Round'!A3</f>
        <v/>
      </c>
      <c r="C7">
        <f>'By Round'!B3</f>
        <v/>
      </c>
      <c r="D7">
        <f>'By Round'!C3</f>
        <v/>
      </c>
      <c r="E7">
        <f>'By Round'!D3</f>
        <v/>
      </c>
      <c r="F7" s="11" t="inlineStr">
        <is>
          <t>NS</t>
        </is>
      </c>
      <c r="G7">
        <f>IF(ISBLANK('By Round'!G3),"",'By Round'!G3)</f>
        <v/>
      </c>
      <c r="H7">
        <f>IF(ISBLANK('By Round'!H3),"",'By Round'!H3)</f>
        <v/>
      </c>
      <c r="I7">
        <f>IF(ISBLANK('By Round'!I3),"",'By Round'!I3)</f>
        <v/>
      </c>
      <c r="J7">
        <f>IF(ISBLANK('By Round'!J3),"",'By Round'!J3)</f>
        <v/>
      </c>
      <c r="K7">
        <f>IF(ISBLANK('By Round'!K3),"",'By Round'!K3)</f>
        <v/>
      </c>
      <c r="L7" s="12">
        <f>SUM(Z7:AB7)</f>
        <v/>
      </c>
      <c r="M7" s="13">
        <f>SUM(AC7:AE7)</f>
        <v/>
      </c>
      <c r="N7" s="8">
        <f>IF(COUNT(T7:V7)&gt;0,P7/COUNT(T7:V7),0.5)</f>
        <v/>
      </c>
      <c r="O7" s="8">
        <f>IF(COUNT(W7:Y7)&gt;0,Q7/COUNT(W7:Y7),0.5)</f>
        <v/>
      </c>
      <c r="P7" s="4">
        <f>SUM(T7:V7)</f>
        <v/>
      </c>
      <c r="Q7" s="4">
        <f>SUM(W7:Y7)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4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>
        <f>'By Round'!A27</f>
        <v/>
      </c>
      <c r="C8">
        <f>'By Round'!B33</f>
        <v/>
      </c>
      <c r="D8">
        <f>'By Round'!C33</f>
        <v/>
      </c>
      <c r="E8">
        <f>'By Round'!D33</f>
        <v/>
      </c>
      <c r="F8" s="11" t="inlineStr">
        <is>
          <t>NS</t>
        </is>
      </c>
      <c r="G8">
        <f>IF(ISBLANK('By Round'!G33),"",'By Round'!G33)</f>
        <v/>
      </c>
      <c r="H8">
        <f>IF(ISBLANK('By Round'!H33),"",'By Round'!H33)</f>
        <v/>
      </c>
      <c r="I8">
        <f>IF(ISBLANK('By Round'!I33),"",'By Round'!I33)</f>
        <v/>
      </c>
      <c r="J8">
        <f>IF(ISBLANK('By Round'!J33),"",'By Round'!J33)</f>
        <v/>
      </c>
      <c r="K8">
        <f>IF(ISBLANK('By Round'!K33),"",'By Round'!K33)</f>
        <v/>
      </c>
      <c r="L8" s="12">
        <f>SUM(Z8:AB8)</f>
        <v/>
      </c>
      <c r="M8" s="13">
        <f>SUM(AC8:AE8)</f>
        <v/>
      </c>
      <c r="N8" s="8">
        <f>IF(COUNT(T8:V8)&gt;0,P8/COUNT(T8:V8),0.5)</f>
        <v/>
      </c>
      <c r="O8" s="8">
        <f>IF(COUNT(W8:Y8)&gt;0,Q8/COUNT(W8:Y8),0.5)</f>
        <v/>
      </c>
      <c r="P8" s="4">
        <f>SUM(T8:V8)</f>
        <v/>
      </c>
      <c r="Q8" s="4">
        <f>SUM(W8:Y8)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4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>
        <f>'By Round'!A43</f>
        <v/>
      </c>
      <c r="C9">
        <f>'By Round'!B47</f>
        <v/>
      </c>
      <c r="D9">
        <f>'By Round'!C47</f>
        <v/>
      </c>
      <c r="E9">
        <f>'By Round'!D47</f>
        <v/>
      </c>
      <c r="F9" s="11" t="inlineStr">
        <is>
          <t>NS</t>
        </is>
      </c>
      <c r="G9">
        <f>IF(ISBLANK('By Round'!G47),"",'By Round'!G47)</f>
        <v/>
      </c>
      <c r="H9">
        <f>IF(ISBLANK('By Round'!H47),"",'By Round'!H47)</f>
        <v/>
      </c>
      <c r="I9">
        <f>IF(ISBLANK('By Round'!I47),"",'By Round'!I47)</f>
        <v/>
      </c>
      <c r="J9">
        <f>IF(ISBLANK('By Round'!J47),"",'By Round'!J47)</f>
        <v/>
      </c>
      <c r="K9">
        <f>IF(ISBLANK('By Round'!K47),"",'By Round'!K47)</f>
        <v/>
      </c>
      <c r="L9" s="12">
        <f>SUM(Z9:AB9)</f>
        <v/>
      </c>
      <c r="M9" s="13">
        <f>SUM(AC9:AE9)</f>
        <v/>
      </c>
      <c r="N9" s="8">
        <f>IF(COUNT(T9:V9)&gt;0,P9/COUNT(T9:V9),0.5)</f>
        <v/>
      </c>
      <c r="O9" s="8">
        <f>IF(COUNT(W9:Y9)&gt;0,Q9/COUNT(W9:Y9),0.5)</f>
        <v/>
      </c>
      <c r="P9" s="4">
        <f>SUM(T9:V9)</f>
        <v/>
      </c>
      <c r="Q9" s="4">
        <f>SUM(W9:Y9)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4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15" t="n"/>
      <c r="B10" s="15">
        <f>'By Round'!A51</f>
        <v/>
      </c>
      <c r="C10" s="15">
        <f>'By Round'!B53</f>
        <v/>
      </c>
      <c r="D10" s="15">
        <f>'By Round'!C53</f>
        <v/>
      </c>
      <c r="E10" s="15">
        <f>'By Round'!D53</f>
        <v/>
      </c>
      <c r="F10" s="16" t="inlineStr">
        <is>
          <t>NS</t>
        </is>
      </c>
      <c r="G10" s="15">
        <f>IF(ISBLANK('By Round'!G53),"",'By Round'!G53)</f>
        <v/>
      </c>
      <c r="H10" s="15">
        <f>IF(ISBLANK('By Round'!H53),"",'By Round'!H53)</f>
        <v/>
      </c>
      <c r="I10" s="15">
        <f>IF(ISBLANK('By Round'!I53),"",'By Round'!I53)</f>
        <v/>
      </c>
      <c r="J10" s="15">
        <f>IF(ISBLANK('By Round'!J53),"",'By Round'!J53)</f>
        <v/>
      </c>
      <c r="K10" s="15">
        <f>IF(ISBLANK('By Round'!K53),"",'By Round'!K53)</f>
        <v/>
      </c>
      <c r="L10" s="17">
        <f>SUM(Z10:AB10)</f>
        <v/>
      </c>
      <c r="M10" s="18">
        <f>SUM(AC10:AE10)</f>
        <v/>
      </c>
      <c r="N10" s="19">
        <f>IF(COUNT(T10:V10)&gt;0,P10/COUNT(T10:V10),0.5)</f>
        <v/>
      </c>
      <c r="O10" s="19">
        <f>IF(COUNT(W10:Y10)&gt;0,Q10/COUNT(W10:Y10),0.5)</f>
        <v/>
      </c>
      <c r="P10" s="20">
        <f>SUM(T10:V10)</f>
        <v/>
      </c>
      <c r="Q10" s="20">
        <f>SUM(W10:Y10)</f>
        <v/>
      </c>
      <c r="R10" s="21">
        <f>IF(ISNUMBER(J10),J10,IF(ISNUMBER(K10),-K10,""))</f>
        <v/>
      </c>
      <c r="S10" s="15">
        <f>IF(ISNUMBER(K10),K10,IF(ISNUMBER(J10),-J10,""))</f>
        <v/>
      </c>
      <c r="T10" s="21">
        <f>IF(ISNUMBER(R10),IF(ISNUMBER(R7),IF(R10&gt;R7,1.0,IF(R10=R7,0.5,0.0)),""),"")</f>
        <v/>
      </c>
      <c r="U10" s="15">
        <f>IF(ISNUMBER(R10),IF(ISNUMBER(R8),IF(R10&gt;R8,1.0,IF(R10=R8,0.5,0.0)),""),"")</f>
        <v/>
      </c>
      <c r="V10" s="15">
        <f>IF(ISNUMBER(R10),IF(ISNUMBER(R9),IF(R10&gt;R9,1.0,IF(R10=R9,0.5,0.0)),""),"")</f>
        <v/>
      </c>
      <c r="W10" s="15">
        <f>IF(ISNUMBER(S10),IF(ISNUMBER(S7),IF(S10&gt;S7,1.0,IF(S10=S7,0.5,0.0)),""),"")</f>
        <v/>
      </c>
      <c r="X10" s="15">
        <f>IF(ISNUMBER(S10),IF(ISNUMBER(S8),IF(S10&gt;S8,1.0,IF(S10=S8,0.5,0.0)),""),"")</f>
        <v/>
      </c>
      <c r="Y10" s="15">
        <f>IF(ISNUMBER(S10),IF(ISNUMBER(S9),IF(S10&gt;S9,1.0,IF(S10=S9,0.5,0.0)),""),"")</f>
        <v/>
      </c>
      <c r="Z10" s="21">
        <f>IF(AND(ISNUMBER(R10),ISNUMBER(R7)),VLOOKUP(ABS(R10-R7),'IMP Table'!$A$2:$C$26,3)*SIGN(R10-R7),0)</f>
        <v/>
      </c>
      <c r="AA10" s="15">
        <f>IF(AND(ISNUMBER(R10),ISNUMBER(R8)),VLOOKUP(ABS(R10-R8),'IMP Table'!$A$2:$C$26,3)*SIGN(R10-R8),0)</f>
        <v/>
      </c>
      <c r="AB10" s="15">
        <f>IF(AND(ISNUMBER(R10),ISNUMBER(R9)),VLOOKUP(ABS(R10-R9),'IMP Table'!$A$2:$C$26,3)*SIGN(R10-R9),0)</f>
        <v/>
      </c>
      <c r="AC10" s="15">
        <f>IF(AND(ISNUMBER(S10),ISNUMBER(S7)),VLOOKUP(ABS(S10-S7),'IMP Table'!$A$2:$C$26,3)*SIGN(S10-S7),0)</f>
        <v/>
      </c>
      <c r="AD10" s="15">
        <f>IF(AND(ISNUMBER(S10),ISNUMBER(S8)),VLOOKUP(ABS(S10-S8),'IMP Table'!$A$2:$C$26,3)*SIGN(S10-S8),0)</f>
        <v/>
      </c>
      <c r="AE10" s="15">
        <f>IF(AND(ISNUMBER(S10),ISNUMBER(S9)),VLOOKUP(ABS(S10-S9),'IMP Table'!$A$2:$C$26,3)*SIGN(S10-S9),0)</f>
        <v/>
      </c>
    </row>
    <row r="11">
      <c r="A11" t="n">
        <v>3</v>
      </c>
      <c r="B11">
        <f>'By Round'!A3</f>
        <v/>
      </c>
      <c r="C11">
        <f>'By Round'!B5</f>
        <v/>
      </c>
      <c r="D11">
        <f>'By Round'!C5</f>
        <v/>
      </c>
      <c r="E11">
        <f>'By Round'!D5</f>
        <v/>
      </c>
      <c r="F11" s="11" t="inlineStr">
        <is>
          <t>EW</t>
        </is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2">
        <f>SUM(Z11:AB11)</f>
        <v/>
      </c>
      <c r="M11" s="13">
        <f>SUM(AC11:AE11)</f>
        <v/>
      </c>
      <c r="N11" s="8">
        <f>IF(COUNT(T11:V11)&gt;0,P11/COUNT(T11:V11),0.5)</f>
        <v/>
      </c>
      <c r="O11" s="8">
        <f>IF(COUNT(W11:Y11)&gt;0,Q11/COUNT(W11:Y11),0.5)</f>
        <v/>
      </c>
      <c r="P11" s="4">
        <f>SUM(T11:V11)</f>
        <v/>
      </c>
      <c r="Q11" s="4">
        <f>SUM(W11:Y11)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4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>
        <f>'By Round'!A11</f>
        <v/>
      </c>
      <c r="C12">
        <f>'By Round'!B11</f>
        <v/>
      </c>
      <c r="D12">
        <f>'By Round'!C11</f>
        <v/>
      </c>
      <c r="E12">
        <f>'By Round'!D11</f>
        <v/>
      </c>
      <c r="F12" s="11" t="inlineStr">
        <is>
          <t>EW</t>
        </is>
      </c>
      <c r="G12">
        <f>IF(ISBLANK('By Round'!G11),"",'By Round'!G11)</f>
        <v/>
      </c>
      <c r="H12">
        <f>IF(ISBLANK('By Round'!H11),"",'By Round'!H11)</f>
        <v/>
      </c>
      <c r="I12">
        <f>IF(ISBLANK('By Round'!I11),"",'By Round'!I11)</f>
        <v/>
      </c>
      <c r="J12">
        <f>IF(ISBLANK('By Round'!J11),"",'By Round'!J11)</f>
        <v/>
      </c>
      <c r="K12">
        <f>IF(ISBLANK('By Round'!K11),"",'By Round'!K11)</f>
        <v/>
      </c>
      <c r="L12" s="12">
        <f>SUM(Z12:AB12)</f>
        <v/>
      </c>
      <c r="M12" s="13">
        <f>SUM(AC12:AE12)</f>
        <v/>
      </c>
      <c r="N12" s="8">
        <f>IF(COUNT(T12:V12)&gt;0,P12/COUNT(T12:V12),0.5)</f>
        <v/>
      </c>
      <c r="O12" s="8">
        <f>IF(COUNT(W12:Y12)&gt;0,Q12/COUNT(W12:Y12),0.5)</f>
        <v/>
      </c>
      <c r="P12" s="4">
        <f>SUM(T12:V12)</f>
        <v/>
      </c>
      <c r="Q12" s="4">
        <f>SUM(W12:Y12)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4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>
        <f>'By Round'!A35</f>
        <v/>
      </c>
      <c r="C13">
        <f>'By Round'!B41</f>
        <v/>
      </c>
      <c r="D13">
        <f>'By Round'!C41</f>
        <v/>
      </c>
      <c r="E13">
        <f>'By Round'!D41</f>
        <v/>
      </c>
      <c r="F13" s="11" t="inlineStr">
        <is>
          <t>EW</t>
        </is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 s="12">
        <f>SUM(Z13:AB13)</f>
        <v/>
      </c>
      <c r="M13" s="13">
        <f>SUM(AC13:AE13)</f>
        <v/>
      </c>
      <c r="N13" s="8">
        <f>IF(COUNT(T13:V13)&gt;0,P13/COUNT(T13:V13),0.5)</f>
        <v/>
      </c>
      <c r="O13" s="8">
        <f>IF(COUNT(W13:Y13)&gt;0,Q13/COUNT(W13:Y13),0.5)</f>
        <v/>
      </c>
      <c r="P13" s="4">
        <f>SUM(T13:V13)</f>
        <v/>
      </c>
      <c r="Q13" s="4">
        <f>SUM(W13:Y13)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4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15" t="n"/>
      <c r="B14" s="15">
        <f>'By Round'!A51</f>
        <v/>
      </c>
      <c r="C14" s="15">
        <f>'By Round'!B55</f>
        <v/>
      </c>
      <c r="D14" s="15">
        <f>'By Round'!C55</f>
        <v/>
      </c>
      <c r="E14" s="15">
        <f>'By Round'!D55</f>
        <v/>
      </c>
      <c r="F14" s="16" t="inlineStr">
        <is>
          <t>EW</t>
        </is>
      </c>
      <c r="G14" s="15">
        <f>IF(ISBLANK('By Round'!G55),"",'By Round'!G55)</f>
        <v/>
      </c>
      <c r="H14" s="15">
        <f>IF(ISBLANK('By Round'!H55),"",'By Round'!H55)</f>
        <v/>
      </c>
      <c r="I14" s="15">
        <f>IF(ISBLANK('By Round'!I55),"",'By Round'!I55)</f>
        <v/>
      </c>
      <c r="J14" s="15">
        <f>IF(ISBLANK('By Round'!J55),"",'By Round'!J55)</f>
        <v/>
      </c>
      <c r="K14" s="15">
        <f>IF(ISBLANK('By Round'!K55),"",'By Round'!K55)</f>
        <v/>
      </c>
      <c r="L14" s="17">
        <f>SUM(Z14:AB14)</f>
        <v/>
      </c>
      <c r="M14" s="18">
        <f>SUM(AC14:AE14)</f>
        <v/>
      </c>
      <c r="N14" s="19">
        <f>IF(COUNT(T14:V14)&gt;0,P14/COUNT(T14:V14),0.5)</f>
        <v/>
      </c>
      <c r="O14" s="19">
        <f>IF(COUNT(W14:Y14)&gt;0,Q14/COUNT(W14:Y14),0.5)</f>
        <v/>
      </c>
      <c r="P14" s="20">
        <f>SUM(T14:V14)</f>
        <v/>
      </c>
      <c r="Q14" s="20">
        <f>SUM(W14:Y14)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IF(ISNUMBER(R14),IF(ISNUMBER(R11),IF(R14&gt;R11,1.0,IF(R14=R11,0.5,0.0)),""),"")</f>
        <v/>
      </c>
      <c r="U14" s="15">
        <f>IF(ISNUMBER(R14),IF(ISNUMBER(R12),IF(R14&gt;R12,1.0,IF(R14=R12,0.5,0.0)),""),"")</f>
        <v/>
      </c>
      <c r="V14" s="15">
        <f>IF(ISNUMBER(R14),IF(ISNUMBER(R13),IF(R14&gt;R13,1.0,IF(R14=R13,0.5,0.0)),""),"")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21">
        <f>IF(AND(ISNUMBER(R14),ISNUMBER(R11)),VLOOKUP(ABS(R14-R11),'IMP Table'!$A$2:$C$26,3)*SIGN(R14-R11),0)</f>
        <v/>
      </c>
      <c r="AA14" s="15">
        <f>IF(AND(ISNUMBER(R14),ISNUMBER(R12)),VLOOKUP(ABS(R14-R12),'IMP Table'!$A$2:$C$26,3)*SIGN(R14-R12),0)</f>
        <v/>
      </c>
      <c r="AB14" s="15">
        <f>IF(AND(ISNUMBER(R14),ISNUMBER(R13)),VLOOKUP(ABS(R14-R13),'IMP Table'!$A$2:$C$26,3)*SIGN(R14-R13),0)</f>
        <v/>
      </c>
      <c r="AC14" s="15">
        <f>IF(AND(ISNUMBER(S14),ISNUMBER(S11)),VLOOKUP(ABS(S14-S11),'IMP Table'!$A$2:$C$26,3)*SIGN(S14-S11),0)</f>
        <v/>
      </c>
      <c r="AD14" s="15">
        <f>IF(AND(ISNUMBER(S14),ISNUMBER(S12)),VLOOKUP(ABS(S14-S12),'IMP Table'!$A$2:$C$26,3)*SIGN(S14-S12),0)</f>
        <v/>
      </c>
      <c r="AE14" s="15">
        <f>IF(AND(ISNUMBER(S14),ISNUMBER(S13)),VLOOKUP(ABS(S14-S13),'IMP Table'!$A$2:$C$26,3)*SIGN(S14-S13),0)</f>
        <v/>
      </c>
    </row>
    <row r="15">
      <c r="A15" t="n">
        <v>4</v>
      </c>
      <c r="B15">
        <f>'By Round'!A3</f>
        <v/>
      </c>
      <c r="C15">
        <f>'By Round'!B5</f>
        <v/>
      </c>
      <c r="D15">
        <f>'By Round'!C5</f>
        <v/>
      </c>
      <c r="E15">
        <f>'By Round'!D5</f>
        <v/>
      </c>
      <c r="F15" s="11" t="inlineStr">
        <is>
          <t>Both</t>
        </is>
      </c>
      <c r="G15">
        <f>IF(ISBLANK('By Round'!G5),"",'By Round'!G5)</f>
        <v/>
      </c>
      <c r="H15">
        <f>IF(ISBLANK('By Round'!H5),"",'By Round'!H5)</f>
        <v/>
      </c>
      <c r="I15">
        <f>IF(ISBLANK('By Round'!I5),"",'By Round'!I5)</f>
        <v/>
      </c>
      <c r="J15">
        <f>IF(ISBLANK('By Round'!J5),"",'By Round'!J5)</f>
        <v/>
      </c>
      <c r="K15">
        <f>IF(ISBLANK('By Round'!K5),"",'By Round'!K5)</f>
        <v/>
      </c>
      <c r="L15" s="12">
        <f>SUM(Z15:AB15)</f>
        <v/>
      </c>
      <c r="M15" s="13">
        <f>SUM(AC15:AE15)</f>
        <v/>
      </c>
      <c r="N15" s="8">
        <f>IF(COUNT(T15:V15)&gt;0,P15/COUNT(T15:V15),0.5)</f>
        <v/>
      </c>
      <c r="O15" s="8">
        <f>IF(COUNT(W15:Y15)&gt;0,Q15/COUNT(W15:Y15),0.5)</f>
        <v/>
      </c>
      <c r="P15" s="4">
        <f>SUM(T15:V15)</f>
        <v/>
      </c>
      <c r="Q15" s="4">
        <f>SUM(W15:Y15)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4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>
        <f>'By Round'!A11</f>
        <v/>
      </c>
      <c r="C16">
        <f>'By Round'!B11</f>
        <v/>
      </c>
      <c r="D16">
        <f>'By Round'!C11</f>
        <v/>
      </c>
      <c r="E16">
        <f>'By Round'!D11</f>
        <v/>
      </c>
      <c r="F16" s="11" t="inlineStr">
        <is>
          <t>Both</t>
        </is>
      </c>
      <c r="G16">
        <f>IF(ISBLANK('By Round'!G11),"",'By Round'!G11)</f>
        <v/>
      </c>
      <c r="H16">
        <f>IF(ISBLANK('By Round'!H11),"",'By Round'!H11)</f>
        <v/>
      </c>
      <c r="I16">
        <f>IF(ISBLANK('By Round'!I11),"",'By Round'!I11)</f>
        <v/>
      </c>
      <c r="J16">
        <f>IF(ISBLANK('By Round'!J11),"",'By Round'!J11)</f>
        <v/>
      </c>
      <c r="K16">
        <f>IF(ISBLANK('By Round'!K11),"",'By Round'!K11)</f>
        <v/>
      </c>
      <c r="L16" s="12">
        <f>SUM(Z16:AB16)</f>
        <v/>
      </c>
      <c r="M16" s="13">
        <f>SUM(AC16:AE16)</f>
        <v/>
      </c>
      <c r="N16" s="8">
        <f>IF(COUNT(T16:V16)&gt;0,P16/COUNT(T16:V16),0.5)</f>
        <v/>
      </c>
      <c r="O16" s="8">
        <f>IF(COUNT(W16:Y16)&gt;0,Q16/COUNT(W16:Y16),0.5)</f>
        <v/>
      </c>
      <c r="P16" s="4">
        <f>SUM(T16:V16)</f>
        <v/>
      </c>
      <c r="Q16" s="4">
        <f>SUM(W16:Y16)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4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>
        <f>'By Round'!A35</f>
        <v/>
      </c>
      <c r="C17">
        <f>'By Round'!B41</f>
        <v/>
      </c>
      <c r="D17">
        <f>'By Round'!C41</f>
        <v/>
      </c>
      <c r="E17">
        <f>'By Round'!D41</f>
        <v/>
      </c>
      <c r="F17" s="11" t="inlineStr">
        <is>
          <t>Both</t>
        </is>
      </c>
      <c r="G17">
        <f>IF(ISBLANK('By Round'!G41),"",'By Round'!G41)</f>
        <v/>
      </c>
      <c r="H17">
        <f>IF(ISBLANK('By Round'!H41),"",'By Round'!H41)</f>
        <v/>
      </c>
      <c r="I17">
        <f>IF(ISBLANK('By Round'!I41),"",'By Round'!I41)</f>
        <v/>
      </c>
      <c r="J17">
        <f>IF(ISBLANK('By Round'!J41),"",'By Round'!J41)</f>
        <v/>
      </c>
      <c r="K17">
        <f>IF(ISBLANK('By Round'!K41),"",'By Round'!K41)</f>
        <v/>
      </c>
      <c r="L17" s="12">
        <f>SUM(Z17:AB17)</f>
        <v/>
      </c>
      <c r="M17" s="13">
        <f>SUM(AC17:AE17)</f>
        <v/>
      </c>
      <c r="N17" s="8">
        <f>IF(COUNT(T17:V17)&gt;0,P17/COUNT(T17:V17),0.5)</f>
        <v/>
      </c>
      <c r="O17" s="8">
        <f>IF(COUNT(W17:Y17)&gt;0,Q17/COUNT(W17:Y17),0.5)</f>
        <v/>
      </c>
      <c r="P17" s="4">
        <f>SUM(T17:V17)</f>
        <v/>
      </c>
      <c r="Q17" s="4">
        <f>SUM(W17:Y17)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4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15" t="n"/>
      <c r="B18" s="15">
        <f>'By Round'!A51</f>
        <v/>
      </c>
      <c r="C18" s="15">
        <f>'By Round'!B55</f>
        <v/>
      </c>
      <c r="D18" s="15">
        <f>'By Round'!C55</f>
        <v/>
      </c>
      <c r="E18" s="15">
        <f>'By Round'!D55</f>
        <v/>
      </c>
      <c r="F18" s="16" t="inlineStr">
        <is>
          <t>Both</t>
        </is>
      </c>
      <c r="G18" s="15">
        <f>IF(ISBLANK('By Round'!G55),"",'By Round'!G55)</f>
        <v/>
      </c>
      <c r="H18" s="15">
        <f>IF(ISBLANK('By Round'!H55),"",'By Round'!H55)</f>
        <v/>
      </c>
      <c r="I18" s="15">
        <f>IF(ISBLANK('By Round'!I55),"",'By Round'!I55)</f>
        <v/>
      </c>
      <c r="J18" s="15">
        <f>IF(ISBLANK('By Round'!J55),"",'By Round'!J55)</f>
        <v/>
      </c>
      <c r="K18" s="15">
        <f>IF(ISBLANK('By Round'!K55),"",'By Round'!K55)</f>
        <v/>
      </c>
      <c r="L18" s="17">
        <f>SUM(Z18:AB18)</f>
        <v/>
      </c>
      <c r="M18" s="18">
        <f>SUM(AC18:AE18)</f>
        <v/>
      </c>
      <c r="N18" s="19">
        <f>IF(COUNT(T18:V18)&gt;0,P18/COUNT(T18:V18),0.5)</f>
        <v/>
      </c>
      <c r="O18" s="19">
        <f>IF(COUNT(W18:Y18)&gt;0,Q18/COUNT(W18:Y18),0.5)</f>
        <v/>
      </c>
      <c r="P18" s="20">
        <f>SUM(T18:V18)</f>
        <v/>
      </c>
      <c r="Q18" s="20">
        <f>SUM(W18:Y18)</f>
        <v/>
      </c>
      <c r="R18" s="21">
        <f>IF(ISNUMBER(J18),J18,IF(ISNUMBER(K18),-K18,""))</f>
        <v/>
      </c>
      <c r="S18" s="15">
        <f>IF(ISNUMBER(K18),K18,IF(ISNUMBER(J18),-J18,""))</f>
        <v/>
      </c>
      <c r="T18" s="21">
        <f>IF(ISNUMBER(R18),IF(ISNUMBER(R15),IF(R18&gt;R15,1.0,IF(R18=R15,0.5,0.0)),""),"")</f>
        <v/>
      </c>
      <c r="U18" s="15">
        <f>IF(ISNUMBER(R18),IF(ISNUMBER(R16),IF(R18&gt;R16,1.0,IF(R18=R16,0.5,0.0)),""),"")</f>
        <v/>
      </c>
      <c r="V18" s="15">
        <f>IF(ISNUMBER(R18),IF(ISNUMBER(R17),IF(R18&gt;R17,1.0,IF(R18=R17,0.5,0.0)),""),"")</f>
        <v/>
      </c>
      <c r="W18" s="15">
        <f>IF(ISNUMBER(S18),IF(ISNUMBER(S15),IF(S18&gt;S15,1.0,IF(S18=S15,0.5,0.0)),""),"")</f>
        <v/>
      </c>
      <c r="X18" s="15">
        <f>IF(ISNUMBER(S18),IF(ISNUMBER(S16),IF(S18&gt;S16,1.0,IF(S18=S16,0.5,0.0)),""),"")</f>
        <v/>
      </c>
      <c r="Y18" s="15">
        <f>IF(ISNUMBER(S18),IF(ISNUMBER(S17),IF(S18&gt;S17,1.0,IF(S18=S17,0.5,0.0)),""),"")</f>
        <v/>
      </c>
      <c r="Z18" s="21">
        <f>IF(AND(ISNUMBER(R18),ISNUMBER(R15)),VLOOKUP(ABS(R18-R15),'IMP Table'!$A$2:$C$26,3)*SIGN(R18-R15),0)</f>
        <v/>
      </c>
      <c r="AA18" s="15">
        <f>IF(AND(ISNUMBER(R18),ISNUMBER(R16)),VLOOKUP(ABS(R18-R16),'IMP Table'!$A$2:$C$26,3)*SIGN(R18-R16),0)</f>
        <v/>
      </c>
      <c r="AB18" s="15">
        <f>IF(AND(ISNUMBER(R18),ISNUMBER(R17)),VLOOKUP(ABS(R18-R17),'IMP Table'!$A$2:$C$26,3)*SIGN(R18-R17),0)</f>
        <v/>
      </c>
      <c r="AC18" s="15">
        <f>IF(AND(ISNUMBER(S18),ISNUMBER(S15)),VLOOKUP(ABS(S18-S15),'IMP Table'!$A$2:$C$26,3)*SIGN(S18-S15),0)</f>
        <v/>
      </c>
      <c r="AD18" s="15">
        <f>IF(AND(ISNUMBER(S18),ISNUMBER(S16)),VLOOKUP(ABS(S18-S16),'IMP Table'!$A$2:$C$26,3)*SIGN(S18-S16),0)</f>
        <v/>
      </c>
      <c r="AE18" s="15">
        <f>IF(AND(ISNUMBER(S18),ISNUMBER(S17)),VLOOKUP(ABS(S18-S17),'IMP Table'!$A$2:$C$26,3)*SIGN(S18-S17),0)</f>
        <v/>
      </c>
    </row>
    <row r="19">
      <c r="A19" t="n">
        <v>5</v>
      </c>
      <c r="B19">
        <f>'By Round'!A3</f>
        <v/>
      </c>
      <c r="C19">
        <f>'By Round'!B7</f>
        <v/>
      </c>
      <c r="D19">
        <f>'By Round'!C7</f>
        <v/>
      </c>
      <c r="E19">
        <f>'By Round'!D7</f>
        <v/>
      </c>
      <c r="F19" s="11" t="inlineStr">
        <is>
          <t>NS</t>
        </is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 s="12">
        <f>SUM(Z19:AB19)</f>
        <v/>
      </c>
      <c r="M19" s="13">
        <f>SUM(AC19:AE19)</f>
        <v/>
      </c>
      <c r="N19" s="8">
        <f>IF(COUNT(T19:V19)&gt;0,P19/COUNT(T19:V19),0.5)</f>
        <v/>
      </c>
      <c r="O19" s="8">
        <f>IF(COUNT(W19:Y19)&gt;0,Q19/COUNT(W19:Y19),0.5)</f>
        <v/>
      </c>
      <c r="P19" s="4">
        <f>SUM(T19:V19)</f>
        <v/>
      </c>
      <c r="Q19" s="4">
        <f>SUM(W19:Y19)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4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>
        <f>'By Round'!A11</f>
        <v/>
      </c>
      <c r="C20">
        <f>'By Round'!B13</f>
        <v/>
      </c>
      <c r="D20">
        <f>'By Round'!C13</f>
        <v/>
      </c>
      <c r="E20">
        <f>'By Round'!D13</f>
        <v/>
      </c>
      <c r="F20" s="11" t="inlineStr">
        <is>
          <t>NS</t>
        </is>
      </c>
      <c r="G20">
        <f>IF(ISBLANK('By Round'!G13),"",'By Round'!G13)</f>
        <v/>
      </c>
      <c r="H20">
        <f>IF(ISBLANK('By Round'!H13),"",'By Round'!H13)</f>
        <v/>
      </c>
      <c r="I20">
        <f>IF(ISBLANK('By Round'!I13),"",'By Round'!I13)</f>
        <v/>
      </c>
      <c r="J20">
        <f>IF(ISBLANK('By Round'!J13),"",'By Round'!J13)</f>
        <v/>
      </c>
      <c r="K20">
        <f>IF(ISBLANK('By Round'!K13),"",'By Round'!K13)</f>
        <v/>
      </c>
      <c r="L20" s="12">
        <f>SUM(Z20:AB20)</f>
        <v/>
      </c>
      <c r="M20" s="13">
        <f>SUM(AC20:AE20)</f>
        <v/>
      </c>
      <c r="N20" s="8">
        <f>IF(COUNT(T20:V20)&gt;0,P20/COUNT(T20:V20),0.5)</f>
        <v/>
      </c>
      <c r="O20" s="8">
        <f>IF(COUNT(W20:Y20)&gt;0,Q20/COUNT(W20:Y20),0.5)</f>
        <v/>
      </c>
      <c r="P20" s="4">
        <f>SUM(T20:V20)</f>
        <v/>
      </c>
      <c r="Q20" s="4">
        <f>SUM(W20:Y20)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4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>
        <f>'By Round'!A19</f>
        <v/>
      </c>
      <c r="C21">
        <f>'By Round'!B19</f>
        <v/>
      </c>
      <c r="D21">
        <f>'By Round'!C19</f>
        <v/>
      </c>
      <c r="E21">
        <f>'By Round'!D19</f>
        <v/>
      </c>
      <c r="F21" s="11" t="inlineStr">
        <is>
          <t>NS</t>
        </is>
      </c>
      <c r="G21">
        <f>IF(ISBLANK('By Round'!G19),"",'By Round'!G19)</f>
        <v/>
      </c>
      <c r="H21">
        <f>IF(ISBLANK('By Round'!H19),"",'By Round'!H19)</f>
        <v/>
      </c>
      <c r="I21">
        <f>IF(ISBLANK('By Round'!I19),"",'By Round'!I19)</f>
        <v/>
      </c>
      <c r="J21">
        <f>IF(ISBLANK('By Round'!J19),"",'By Round'!J19)</f>
        <v/>
      </c>
      <c r="K21">
        <f>IF(ISBLANK('By Round'!K19),"",'By Round'!K19)</f>
        <v/>
      </c>
      <c r="L21" s="12">
        <f>SUM(Z21:AB21)</f>
        <v/>
      </c>
      <c r="M21" s="13">
        <f>SUM(AC21:AE21)</f>
        <v/>
      </c>
      <c r="N21" s="8">
        <f>IF(COUNT(T21:V21)&gt;0,P21/COUNT(T21:V21),0.5)</f>
        <v/>
      </c>
      <c r="O21" s="8">
        <f>IF(COUNT(W21:Y21)&gt;0,Q21/COUNT(W21:Y21),0.5)</f>
        <v/>
      </c>
      <c r="P21" s="4">
        <f>SUM(T21:V21)</f>
        <v/>
      </c>
      <c r="Q21" s="4">
        <f>SUM(W21:Y21)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4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15" t="n"/>
      <c r="B22" s="15">
        <f>'By Round'!A43</f>
        <v/>
      </c>
      <c r="C22" s="15">
        <f>'By Round'!B49</f>
        <v/>
      </c>
      <c r="D22" s="15">
        <f>'By Round'!C49</f>
        <v/>
      </c>
      <c r="E22" s="15">
        <f>'By Round'!D49</f>
        <v/>
      </c>
      <c r="F22" s="16" t="inlineStr">
        <is>
          <t>NS</t>
        </is>
      </c>
      <c r="G22" s="15">
        <f>IF(ISBLANK('By Round'!G49),"",'By Round'!G49)</f>
        <v/>
      </c>
      <c r="H22" s="15">
        <f>IF(ISBLANK('By Round'!H49),"",'By Round'!H49)</f>
        <v/>
      </c>
      <c r="I22" s="15">
        <f>IF(ISBLANK('By Round'!I49),"",'By Round'!I49)</f>
        <v/>
      </c>
      <c r="J22" s="15">
        <f>IF(ISBLANK('By Round'!J49),"",'By Round'!J49)</f>
        <v/>
      </c>
      <c r="K22" s="15">
        <f>IF(ISBLANK('By Round'!K49),"",'By Round'!K49)</f>
        <v/>
      </c>
      <c r="L22" s="17">
        <f>SUM(Z22:AB22)</f>
        <v/>
      </c>
      <c r="M22" s="18">
        <f>SUM(AC22:AE22)</f>
        <v/>
      </c>
      <c r="N22" s="19">
        <f>IF(COUNT(T22:V22)&gt;0,P22/COUNT(T22:V22),0.5)</f>
        <v/>
      </c>
      <c r="O22" s="19">
        <f>IF(COUNT(W22:Y22)&gt;0,Q22/COUNT(W22:Y22),0.5)</f>
        <v/>
      </c>
      <c r="P22" s="20">
        <f>SUM(T22:V22)</f>
        <v/>
      </c>
      <c r="Q22" s="20">
        <f>SUM(W22:Y22)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IF(ISNUMBER(R22),IF(ISNUMBER(R19),IF(R22&gt;R19,1.0,IF(R22=R19,0.5,0.0)),""),"")</f>
        <v/>
      </c>
      <c r="U22" s="15">
        <f>IF(ISNUMBER(R22),IF(ISNUMBER(R20),IF(R22&gt;R20,1.0,IF(R22=R20,0.5,0.0)),""),"")</f>
        <v/>
      </c>
      <c r="V22" s="15">
        <f>IF(ISNUMBER(R22),IF(ISNUMBER(R21),IF(R22&gt;R21,1.0,IF(R22=R21,0.5,0.0)),""),"")</f>
        <v/>
      </c>
      <c r="W22" s="15">
        <f>IF(ISNUMBER(S22),IF(ISNUMBER(S19),IF(S22&gt;S19,1.0,IF(S22=S19,0.5,0.0)),""),"")</f>
        <v/>
      </c>
      <c r="X22" s="15">
        <f>IF(ISNUMBER(S22),IF(ISNUMBER(S20),IF(S22&gt;S20,1.0,IF(S22=S20,0.5,0.0)),""),"")</f>
        <v/>
      </c>
      <c r="Y22" s="15">
        <f>IF(ISNUMBER(S22),IF(ISNUMBER(S21),IF(S22&gt;S21,1.0,IF(S22=S21,0.5,0.0)),""),"")</f>
        <v/>
      </c>
      <c r="Z22" s="21">
        <f>IF(AND(ISNUMBER(R22),ISNUMBER(R19)),VLOOKUP(ABS(R22-R19),'IMP Table'!$A$2:$C$26,3)*SIGN(R22-R19),0)</f>
        <v/>
      </c>
      <c r="AA22" s="15">
        <f>IF(AND(ISNUMBER(R22),ISNUMBER(R20)),VLOOKUP(ABS(R22-R20),'IMP Table'!$A$2:$C$26,3)*SIGN(R22-R20),0)</f>
        <v/>
      </c>
      <c r="AB22" s="15">
        <f>IF(AND(ISNUMBER(R22),ISNUMBER(R21)),VLOOKUP(ABS(R22-R21),'IMP Table'!$A$2:$C$26,3)*SIGN(R22-R21),0)</f>
        <v/>
      </c>
      <c r="AC22" s="15">
        <f>IF(AND(ISNUMBER(S22),ISNUMBER(S19)),VLOOKUP(ABS(S22-S19),'IMP Table'!$A$2:$C$26,3)*SIGN(S22-S19),0)</f>
        <v/>
      </c>
      <c r="AD22" s="15">
        <f>IF(AND(ISNUMBER(S22),ISNUMBER(S20)),VLOOKUP(ABS(S22-S20),'IMP Table'!$A$2:$C$26,3)*SIGN(S22-S20),0)</f>
        <v/>
      </c>
      <c r="AE22" s="15">
        <f>IF(AND(ISNUMBER(S22),ISNUMBER(S21)),VLOOKUP(ABS(S22-S21),'IMP Table'!$A$2:$C$26,3)*SIGN(S22-S21),0)</f>
        <v/>
      </c>
    </row>
    <row r="23">
      <c r="A23" t="n">
        <v>6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1" t="inlineStr">
        <is>
          <t>EW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SUM(Z23:AB23)</f>
        <v/>
      </c>
      <c r="M23" s="13">
        <f>SUM(AC23:AE23)</f>
        <v/>
      </c>
      <c r="N23" s="8">
        <f>IF(COUNT(T23:V23)&gt;0,P23/COUNT(T23:V23),0.5)</f>
        <v/>
      </c>
      <c r="O23" s="8">
        <f>IF(COUNT(W23:Y23)&gt;0,Q23/COUNT(W23:Y23),0.5)</f>
        <v/>
      </c>
      <c r="P23" s="4">
        <f>SUM(T23:V23)</f>
        <v/>
      </c>
      <c r="Q23" s="4">
        <f>SUM(W23:Y23)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4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>
        <f>'By Round'!A11</f>
        <v/>
      </c>
      <c r="C24">
        <f>'By Round'!B13</f>
        <v/>
      </c>
      <c r="D24">
        <f>'By Round'!C13</f>
        <v/>
      </c>
      <c r="E24">
        <f>'By Round'!D13</f>
        <v/>
      </c>
      <c r="F24" s="11" t="inlineStr">
        <is>
          <t>EW</t>
        </is>
      </c>
      <c r="G24">
        <f>IF(ISBLANK('By Round'!G13),"",'By Round'!G13)</f>
        <v/>
      </c>
      <c r="H24">
        <f>IF(ISBLANK('By Round'!H13),"",'By Round'!H13)</f>
        <v/>
      </c>
      <c r="I24">
        <f>IF(ISBLANK('By Round'!I13),"",'By Round'!I13)</f>
        <v/>
      </c>
      <c r="J24">
        <f>IF(ISBLANK('By Round'!J13),"",'By Round'!J13)</f>
        <v/>
      </c>
      <c r="K24">
        <f>IF(ISBLANK('By Round'!K13),"",'By Round'!K13)</f>
        <v/>
      </c>
      <c r="L24" s="12">
        <f>SUM(Z24:AB24)</f>
        <v/>
      </c>
      <c r="M24" s="13">
        <f>SUM(AC24:AE24)</f>
        <v/>
      </c>
      <c r="N24" s="8">
        <f>IF(COUNT(T24:V24)&gt;0,P24/COUNT(T24:V24),0.5)</f>
        <v/>
      </c>
      <c r="O24" s="8">
        <f>IF(COUNT(W24:Y24)&gt;0,Q24/COUNT(W24:Y24),0.5)</f>
        <v/>
      </c>
      <c r="P24" s="4">
        <f>SUM(T24:V24)</f>
        <v/>
      </c>
      <c r="Q24" s="4">
        <f>SUM(W24:Y24)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4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>
        <f>'By Round'!A19</f>
        <v/>
      </c>
      <c r="C25">
        <f>'By Round'!B19</f>
        <v/>
      </c>
      <c r="D25">
        <f>'By Round'!C19</f>
        <v/>
      </c>
      <c r="E25">
        <f>'By Round'!D19</f>
        <v/>
      </c>
      <c r="F25" s="11" t="inlineStr">
        <is>
          <t>EW</t>
        </is>
      </c>
      <c r="G25">
        <f>IF(ISBLANK('By Round'!G19),"",'By Round'!G19)</f>
        <v/>
      </c>
      <c r="H25">
        <f>IF(ISBLANK('By Round'!H19),"",'By Round'!H19)</f>
        <v/>
      </c>
      <c r="I25">
        <f>IF(ISBLANK('By Round'!I19),"",'By Round'!I19)</f>
        <v/>
      </c>
      <c r="J25">
        <f>IF(ISBLANK('By Round'!J19),"",'By Round'!J19)</f>
        <v/>
      </c>
      <c r="K25">
        <f>IF(ISBLANK('By Round'!K19),"",'By Round'!K19)</f>
        <v/>
      </c>
      <c r="L25" s="12">
        <f>SUM(Z25:AB25)</f>
        <v/>
      </c>
      <c r="M25" s="13">
        <f>SUM(AC25:AE25)</f>
        <v/>
      </c>
      <c r="N25" s="8">
        <f>IF(COUNT(T25:V25)&gt;0,P25/COUNT(T25:V25),0.5)</f>
        <v/>
      </c>
      <c r="O25" s="8">
        <f>IF(COUNT(W25:Y25)&gt;0,Q25/COUNT(W25:Y25),0.5)</f>
        <v/>
      </c>
      <c r="P25" s="4">
        <f>SUM(T25:V25)</f>
        <v/>
      </c>
      <c r="Q25" s="4">
        <f>SUM(W25:Y25)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4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15" t="n"/>
      <c r="B26" s="15">
        <f>'By Round'!A43</f>
        <v/>
      </c>
      <c r="C26" s="15">
        <f>'By Round'!B49</f>
        <v/>
      </c>
      <c r="D26" s="15">
        <f>'By Round'!C49</f>
        <v/>
      </c>
      <c r="E26" s="15">
        <f>'By Round'!D49</f>
        <v/>
      </c>
      <c r="F26" s="16" t="inlineStr">
        <is>
          <t>EW</t>
        </is>
      </c>
      <c r="G26" s="15">
        <f>IF(ISBLANK('By Round'!G49),"",'By Round'!G49)</f>
        <v/>
      </c>
      <c r="H26" s="15">
        <f>IF(ISBLANK('By Round'!H49),"",'By Round'!H49)</f>
        <v/>
      </c>
      <c r="I26" s="15">
        <f>IF(ISBLANK('By Round'!I49),"",'By Round'!I49)</f>
        <v/>
      </c>
      <c r="J26" s="15">
        <f>IF(ISBLANK('By Round'!J49),"",'By Round'!J49)</f>
        <v/>
      </c>
      <c r="K26" s="15">
        <f>IF(ISBLANK('By Round'!K49),"",'By Round'!K49)</f>
        <v/>
      </c>
      <c r="L26" s="17">
        <f>SUM(Z26:AB26)</f>
        <v/>
      </c>
      <c r="M26" s="18">
        <f>SUM(AC26:AE26)</f>
        <v/>
      </c>
      <c r="N26" s="19">
        <f>IF(COUNT(T26:V26)&gt;0,P26/COUNT(T26:V26),0.5)</f>
        <v/>
      </c>
      <c r="O26" s="19">
        <f>IF(COUNT(W26:Y26)&gt;0,Q26/COUNT(W26:Y26),0.5)</f>
        <v/>
      </c>
      <c r="P26" s="20">
        <f>SUM(T26:V26)</f>
        <v/>
      </c>
      <c r="Q26" s="20">
        <f>SUM(W26:Y26)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IF(ISNUMBER(R26),IF(ISNUMBER(R23),IF(R26&gt;R23,1.0,IF(R26=R23,0.5,0.0)),""),"")</f>
        <v/>
      </c>
      <c r="U26" s="15">
        <f>IF(ISNUMBER(R26),IF(ISNUMBER(R24),IF(R26&gt;R24,1.0,IF(R26=R24,0.5,0.0)),""),"")</f>
        <v/>
      </c>
      <c r="V26" s="15">
        <f>IF(ISNUMBER(R26),IF(ISNUMBER(R25),IF(R26&gt;R25,1.0,IF(R26=R25,0.5,0.0)),""),"")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21">
        <f>IF(AND(ISNUMBER(R26),ISNUMBER(R23)),VLOOKUP(ABS(R26-R23),'IMP Table'!$A$2:$C$26,3)*SIGN(R26-R23),0)</f>
        <v/>
      </c>
      <c r="AA26" s="15">
        <f>IF(AND(ISNUMBER(R26),ISNUMBER(R24)),VLOOKUP(ABS(R26-R24),'IMP Table'!$A$2:$C$26,3)*SIGN(R26-R24),0)</f>
        <v/>
      </c>
      <c r="AB26" s="15">
        <f>IF(AND(ISNUMBER(R26),ISNUMBER(R25)),VLOOKUP(ABS(R26-R25),'IMP Table'!$A$2:$C$26,3)*SIGN(R26-R25),0)</f>
        <v/>
      </c>
      <c r="AC26" s="15">
        <f>IF(AND(ISNUMBER(S26),ISNUMBER(S23)),VLOOKUP(ABS(S26-S23),'IMP Table'!$A$2:$C$26,3)*SIGN(S26-S23),0)</f>
        <v/>
      </c>
      <c r="AD26" s="15">
        <f>IF(AND(ISNUMBER(S26),ISNUMBER(S24)),VLOOKUP(ABS(S26-S24),'IMP Table'!$A$2:$C$26,3)*SIGN(S26-S24),0)</f>
        <v/>
      </c>
      <c r="AE26" s="15">
        <f>IF(AND(ISNUMBER(S26),ISNUMBER(S25)),VLOOKUP(ABS(S26-S25),'IMP Table'!$A$2:$C$26,3)*SIGN(S26-S25),0)</f>
        <v/>
      </c>
    </row>
    <row r="27">
      <c r="A27" t="n">
        <v>7</v>
      </c>
      <c r="B27">
        <f>'By Round'!A11</f>
        <v/>
      </c>
      <c r="C27">
        <f>'By Round'!B15</f>
        <v/>
      </c>
      <c r="D27">
        <f>'By Round'!C15</f>
        <v/>
      </c>
      <c r="E27">
        <f>'By Round'!D15</f>
        <v/>
      </c>
      <c r="F27" s="11" t="inlineStr">
        <is>
          <t>Both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SUM(Z27:AB27)</f>
        <v/>
      </c>
      <c r="M27" s="13">
        <f>SUM(AC27:AE27)</f>
        <v/>
      </c>
      <c r="N27" s="8">
        <f>IF(COUNT(T27:V27)&gt;0,P27/COUNT(T27:V27),0.5)</f>
        <v/>
      </c>
      <c r="O27" s="8">
        <f>IF(COUNT(W27:Y27)&gt;0,Q27/COUNT(W27:Y27),0.5)</f>
        <v/>
      </c>
      <c r="P27" s="4">
        <f>SUM(T27:V27)</f>
        <v/>
      </c>
      <c r="Q27" s="4">
        <f>SUM(W27:Y27)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4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>
        <f>'By Round'!A19</f>
        <v/>
      </c>
      <c r="C28">
        <f>'By Round'!B21</f>
        <v/>
      </c>
      <c r="D28">
        <f>'By Round'!C21</f>
        <v/>
      </c>
      <c r="E28">
        <f>'By Round'!D21</f>
        <v/>
      </c>
      <c r="F28" s="11" t="inlineStr">
        <is>
          <t>Both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SUM(Z28:AB28)</f>
        <v/>
      </c>
      <c r="M28" s="13">
        <f>SUM(AC28:AE28)</f>
        <v/>
      </c>
      <c r="N28" s="8">
        <f>IF(COUNT(T28:V28)&gt;0,P28/COUNT(T28:V28),0.5)</f>
        <v/>
      </c>
      <c r="O28" s="8">
        <f>IF(COUNT(W28:Y28)&gt;0,Q28/COUNT(W28:Y28),0.5)</f>
        <v/>
      </c>
      <c r="P28" s="4">
        <f>SUM(T28:V28)</f>
        <v/>
      </c>
      <c r="Q28" s="4">
        <f>SUM(W28:Y28)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4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>
        <f>'By Round'!A27</f>
        <v/>
      </c>
      <c r="C29">
        <f>'By Round'!B27</f>
        <v/>
      </c>
      <c r="D29">
        <f>'By Round'!C27</f>
        <v/>
      </c>
      <c r="E29">
        <f>'By Round'!D27</f>
        <v/>
      </c>
      <c r="F29" s="11" t="inlineStr">
        <is>
          <t>Both</t>
        </is>
      </c>
      <c r="G29">
        <f>IF(ISBLANK('By Round'!G27),"",'By Round'!G27)</f>
        <v/>
      </c>
      <c r="H29">
        <f>IF(ISBLANK('By Round'!H27),"",'By Round'!H27)</f>
        <v/>
      </c>
      <c r="I29">
        <f>IF(ISBLANK('By Round'!I27),"",'By Round'!I27)</f>
        <v/>
      </c>
      <c r="J29">
        <f>IF(ISBLANK('By Round'!J27),"",'By Round'!J27)</f>
        <v/>
      </c>
      <c r="K29">
        <f>IF(ISBLANK('By Round'!K27),"",'By Round'!K27)</f>
        <v/>
      </c>
      <c r="L29" s="12">
        <f>SUM(Z29:AB29)</f>
        <v/>
      </c>
      <c r="M29" s="13">
        <f>SUM(AC29:AE29)</f>
        <v/>
      </c>
      <c r="N29" s="8">
        <f>IF(COUNT(T29:V29)&gt;0,P29/COUNT(T29:V29),0.5)</f>
        <v/>
      </c>
      <c r="O29" s="8">
        <f>IF(COUNT(W29:Y29)&gt;0,Q29/COUNT(W29:Y29),0.5)</f>
        <v/>
      </c>
      <c r="P29" s="4">
        <f>SUM(T29:V29)</f>
        <v/>
      </c>
      <c r="Q29" s="4">
        <f>SUM(W29:Y29)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4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15" t="n"/>
      <c r="B30" s="15">
        <f>'By Round'!A51</f>
        <v/>
      </c>
      <c r="C30" s="15">
        <f>'By Round'!B57</f>
        <v/>
      </c>
      <c r="D30" s="15">
        <f>'By Round'!C57</f>
        <v/>
      </c>
      <c r="E30" s="15">
        <f>'By Round'!D57</f>
        <v/>
      </c>
      <c r="F30" s="16" t="inlineStr">
        <is>
          <t>Both</t>
        </is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7">
        <f>SUM(Z30:AB30)</f>
        <v/>
      </c>
      <c r="M30" s="18">
        <f>SUM(AC30:AE30)</f>
        <v/>
      </c>
      <c r="N30" s="19">
        <f>IF(COUNT(T30:V30)&gt;0,P30/COUNT(T30:V30),0.5)</f>
        <v/>
      </c>
      <c r="O30" s="19">
        <f>IF(COUNT(W30:Y30)&gt;0,Q30/COUNT(W30:Y30),0.5)</f>
        <v/>
      </c>
      <c r="P30" s="20">
        <f>SUM(T30:V30)</f>
        <v/>
      </c>
      <c r="Q30" s="20">
        <f>SUM(W30:Y30)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IF(ISNUMBER(R30),IF(ISNUMBER(R27),IF(R30&gt;R27,1.0,IF(R30=R27,0.5,0.0)),""),"")</f>
        <v/>
      </c>
      <c r="U30" s="15">
        <f>IF(ISNUMBER(R30),IF(ISNUMBER(R28),IF(R30&gt;R28,1.0,IF(R30=R28,0.5,0.0)),""),"")</f>
        <v/>
      </c>
      <c r="V30" s="15">
        <f>IF(ISNUMBER(R30),IF(ISNUMBER(R29),IF(R30&gt;R29,1.0,IF(R30=R29,0.5,0.0)),""),"")</f>
        <v/>
      </c>
      <c r="W30" s="15">
        <f>IF(ISNUMBER(S30),IF(ISNUMBER(S27),IF(S30&gt;S27,1.0,IF(S30=S27,0.5,0.0)),""),"")</f>
        <v/>
      </c>
      <c r="X30" s="15">
        <f>IF(ISNUMBER(S30),IF(ISNUMBER(S28),IF(S30&gt;S28,1.0,IF(S30=S28,0.5,0.0)),""),"")</f>
        <v/>
      </c>
      <c r="Y30" s="15">
        <f>IF(ISNUMBER(S30),IF(ISNUMBER(S29),IF(S30&gt;S29,1.0,IF(S30=S29,0.5,0.0)),""),"")</f>
        <v/>
      </c>
      <c r="Z30" s="21">
        <f>IF(AND(ISNUMBER(R30),ISNUMBER(R27)),VLOOKUP(ABS(R30-R27),'IMP Table'!$A$2:$C$26,3)*SIGN(R30-R27),0)</f>
        <v/>
      </c>
      <c r="AA30" s="15">
        <f>IF(AND(ISNUMBER(R30),ISNUMBER(R28)),VLOOKUP(ABS(R30-R28),'IMP Table'!$A$2:$C$26,3)*SIGN(R30-R28),0)</f>
        <v/>
      </c>
      <c r="AB30" s="15">
        <f>IF(AND(ISNUMBER(R30),ISNUMBER(R29)),VLOOKUP(ABS(R30-R29),'IMP Table'!$A$2:$C$26,3)*SIGN(R30-R29),0)</f>
        <v/>
      </c>
      <c r="AC30" s="15">
        <f>IF(AND(ISNUMBER(S30),ISNUMBER(S27)),VLOOKUP(ABS(S30-S27),'IMP Table'!$A$2:$C$26,3)*SIGN(S30-S27),0)</f>
        <v/>
      </c>
      <c r="AD30" s="15">
        <f>IF(AND(ISNUMBER(S30),ISNUMBER(S28)),VLOOKUP(ABS(S30-S28),'IMP Table'!$A$2:$C$26,3)*SIGN(S30-S28),0)</f>
        <v/>
      </c>
      <c r="AE30" s="15">
        <f>IF(AND(ISNUMBER(S30),ISNUMBER(S29)),VLOOKUP(ABS(S30-S29),'IMP Table'!$A$2:$C$26,3)*SIGN(S30-S29),0)</f>
        <v/>
      </c>
    </row>
    <row r="31">
      <c r="A31" t="n">
        <v>8</v>
      </c>
      <c r="B31">
        <f>'By Round'!A11</f>
        <v/>
      </c>
      <c r="C31">
        <f>'By Round'!B15</f>
        <v/>
      </c>
      <c r="D31">
        <f>'By Round'!C15</f>
        <v/>
      </c>
      <c r="E31">
        <f>'By Round'!D15</f>
        <v/>
      </c>
      <c r="F31" s="11" t="inlineStr">
        <is>
          <t>None</t>
        </is>
      </c>
      <c r="G31">
        <f>IF(ISBLANK('By Round'!G15),"",'By Round'!G15)</f>
        <v/>
      </c>
      <c r="H31">
        <f>IF(ISBLANK('By Round'!H15),"",'By Round'!H15)</f>
        <v/>
      </c>
      <c r="I31">
        <f>IF(ISBLANK('By Round'!I15),"",'By Round'!I15)</f>
        <v/>
      </c>
      <c r="J31">
        <f>IF(ISBLANK('By Round'!J15),"",'By Round'!J15)</f>
        <v/>
      </c>
      <c r="K31">
        <f>IF(ISBLANK('By Round'!K15),"",'By Round'!K15)</f>
        <v/>
      </c>
      <c r="L31" s="12">
        <f>SUM(Z31:AB31)</f>
        <v/>
      </c>
      <c r="M31" s="13">
        <f>SUM(AC31:AE31)</f>
        <v/>
      </c>
      <c r="N31" s="8">
        <f>IF(COUNT(T31:V31)&gt;0,P31/COUNT(T31:V31),0.5)</f>
        <v/>
      </c>
      <c r="O31" s="8">
        <f>IF(COUNT(W31:Y31)&gt;0,Q31/COUNT(W31:Y31),0.5)</f>
        <v/>
      </c>
      <c r="P31" s="4">
        <f>SUM(T31:V31)</f>
        <v/>
      </c>
      <c r="Q31" s="4">
        <f>SUM(W31:Y31)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4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>
        <f>'By Round'!A19</f>
        <v/>
      </c>
      <c r="C32">
        <f>'By Round'!B21</f>
        <v/>
      </c>
      <c r="D32">
        <f>'By Round'!C21</f>
        <v/>
      </c>
      <c r="E32">
        <f>'By Round'!D21</f>
        <v/>
      </c>
      <c r="F32" s="11" t="inlineStr">
        <is>
          <t>None</t>
        </is>
      </c>
      <c r="G32">
        <f>IF(ISBLANK('By Round'!G21),"",'By Round'!G21)</f>
        <v/>
      </c>
      <c r="H32">
        <f>IF(ISBLANK('By Round'!H21),"",'By Round'!H21)</f>
        <v/>
      </c>
      <c r="I32">
        <f>IF(ISBLANK('By Round'!I21),"",'By Round'!I21)</f>
        <v/>
      </c>
      <c r="J32">
        <f>IF(ISBLANK('By Round'!J21),"",'By Round'!J21)</f>
        <v/>
      </c>
      <c r="K32">
        <f>IF(ISBLANK('By Round'!K21),"",'By Round'!K21)</f>
        <v/>
      </c>
      <c r="L32" s="12">
        <f>SUM(Z32:AB32)</f>
        <v/>
      </c>
      <c r="M32" s="13">
        <f>SUM(AC32:AE32)</f>
        <v/>
      </c>
      <c r="N32" s="8">
        <f>IF(COUNT(T32:V32)&gt;0,P32/COUNT(T32:V32),0.5)</f>
        <v/>
      </c>
      <c r="O32" s="8">
        <f>IF(COUNT(W32:Y32)&gt;0,Q32/COUNT(W32:Y32),0.5)</f>
        <v/>
      </c>
      <c r="P32" s="4">
        <f>SUM(T32:V32)</f>
        <v/>
      </c>
      <c r="Q32" s="4">
        <f>SUM(W32:Y32)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4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1" t="inlineStr">
        <is>
          <t>None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2">
        <f>SUM(Z33:AB33)</f>
        <v/>
      </c>
      <c r="M33" s="13">
        <f>SUM(AC33:AE33)</f>
        <v/>
      </c>
      <c r="N33" s="8">
        <f>IF(COUNT(T33:V33)&gt;0,P33/COUNT(T33:V33),0.5)</f>
        <v/>
      </c>
      <c r="O33" s="8">
        <f>IF(COUNT(W33:Y33)&gt;0,Q33/COUNT(W33:Y33),0.5)</f>
        <v/>
      </c>
      <c r="P33" s="4">
        <f>SUM(T33:V33)</f>
        <v/>
      </c>
      <c r="Q33" s="4">
        <f>SUM(W33:Y33)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4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15" t="n"/>
      <c r="B34" s="15">
        <f>'By Round'!A51</f>
        <v/>
      </c>
      <c r="C34" s="15">
        <f>'By Round'!B57</f>
        <v/>
      </c>
      <c r="D34" s="15">
        <f>'By Round'!C57</f>
        <v/>
      </c>
      <c r="E34" s="15">
        <f>'By Round'!D57</f>
        <v/>
      </c>
      <c r="F34" s="16" t="inlineStr">
        <is>
          <t>None</t>
        </is>
      </c>
      <c r="G34" s="15">
        <f>IF(ISBLANK('By Round'!G57),"",'By Round'!G57)</f>
        <v/>
      </c>
      <c r="H34" s="15">
        <f>IF(ISBLANK('By Round'!H57),"",'By Round'!H57)</f>
        <v/>
      </c>
      <c r="I34" s="15">
        <f>IF(ISBLANK('By Round'!I57),"",'By Round'!I57)</f>
        <v/>
      </c>
      <c r="J34" s="15">
        <f>IF(ISBLANK('By Round'!J57),"",'By Round'!J57)</f>
        <v/>
      </c>
      <c r="K34" s="15">
        <f>IF(ISBLANK('By Round'!K57),"",'By Round'!K57)</f>
        <v/>
      </c>
      <c r="L34" s="17">
        <f>SUM(Z34:AB34)</f>
        <v/>
      </c>
      <c r="M34" s="18">
        <f>SUM(AC34:AE34)</f>
        <v/>
      </c>
      <c r="N34" s="19">
        <f>IF(COUNT(T34:V34)&gt;0,P34/COUNT(T34:V34),0.5)</f>
        <v/>
      </c>
      <c r="O34" s="19">
        <f>IF(COUNT(W34:Y34)&gt;0,Q34/COUNT(W34:Y34),0.5)</f>
        <v/>
      </c>
      <c r="P34" s="20">
        <f>SUM(T34:V34)</f>
        <v/>
      </c>
      <c r="Q34" s="20">
        <f>SUM(W34:Y34)</f>
        <v/>
      </c>
      <c r="R34" s="21">
        <f>IF(ISNUMBER(J34),J34,IF(ISNUMBER(K34),-K34,""))</f>
        <v/>
      </c>
      <c r="S34" s="15">
        <f>IF(ISNUMBER(K34),K34,IF(ISNUMBER(J34),-J34,""))</f>
        <v/>
      </c>
      <c r="T34" s="21">
        <f>IF(ISNUMBER(R34),IF(ISNUMBER(R31),IF(R34&gt;R31,1.0,IF(R34=R31,0.5,0.0)),""),"")</f>
        <v/>
      </c>
      <c r="U34" s="15">
        <f>IF(ISNUMBER(R34),IF(ISNUMBER(R32),IF(R34&gt;R32,1.0,IF(R34=R32,0.5,0.0)),""),"")</f>
        <v/>
      </c>
      <c r="V34" s="15">
        <f>IF(ISNUMBER(R34),IF(ISNUMBER(R33),IF(R34&gt;R33,1.0,IF(R34=R33,0.5,0.0)),""),"")</f>
        <v/>
      </c>
      <c r="W34" s="15">
        <f>IF(ISNUMBER(S34),IF(ISNUMBER(S31),IF(S34&gt;S31,1.0,IF(S34=S31,0.5,0.0)),""),"")</f>
        <v/>
      </c>
      <c r="X34" s="15">
        <f>IF(ISNUMBER(S34),IF(ISNUMBER(S32),IF(S34&gt;S32,1.0,IF(S34=S32,0.5,0.0)),""),"")</f>
        <v/>
      </c>
      <c r="Y34" s="15">
        <f>IF(ISNUMBER(S34),IF(ISNUMBER(S33),IF(S34&gt;S33,1.0,IF(S34=S33,0.5,0.0)),""),"")</f>
        <v/>
      </c>
      <c r="Z34" s="21">
        <f>IF(AND(ISNUMBER(R34),ISNUMBER(R31)),VLOOKUP(ABS(R34-R31),'IMP Table'!$A$2:$C$26,3)*SIGN(R34-R31),0)</f>
        <v/>
      </c>
      <c r="AA34" s="15">
        <f>IF(AND(ISNUMBER(R34),ISNUMBER(R32)),VLOOKUP(ABS(R34-R32),'IMP Table'!$A$2:$C$26,3)*SIGN(R34-R32),0)</f>
        <v/>
      </c>
      <c r="AB34" s="15">
        <f>IF(AND(ISNUMBER(R34),ISNUMBER(R33)),VLOOKUP(ABS(R34-R33),'IMP Table'!$A$2:$C$26,3)*SIGN(R34-R33),0)</f>
        <v/>
      </c>
      <c r="AC34" s="15">
        <f>IF(AND(ISNUMBER(S34),ISNUMBER(S31)),VLOOKUP(ABS(S34-S31),'IMP Table'!$A$2:$C$26,3)*SIGN(S34-S31),0)</f>
        <v/>
      </c>
      <c r="AD34" s="15">
        <f>IF(AND(ISNUMBER(S34),ISNUMBER(S32)),VLOOKUP(ABS(S34-S32),'IMP Table'!$A$2:$C$26,3)*SIGN(S34-S32),0)</f>
        <v/>
      </c>
      <c r="AE34" s="15">
        <f>IF(AND(ISNUMBER(S34),ISNUMBER(S33)),VLOOKUP(ABS(S34-S33),'IMP Table'!$A$2:$C$26,3)*SIGN(S34-S33),0)</f>
        <v/>
      </c>
    </row>
    <row r="35">
      <c r="A35" t="n">
        <v>9</v>
      </c>
      <c r="B35">
        <f>'By Round'!A3</f>
        <v/>
      </c>
      <c r="C35">
        <f>'By Round'!B9</f>
        <v/>
      </c>
      <c r="D35">
        <f>'By Round'!C9</f>
        <v/>
      </c>
      <c r="E35">
        <f>'By Round'!D9</f>
        <v/>
      </c>
      <c r="F35" s="11" t="inlineStr">
        <is>
          <t>EW</t>
        </is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 s="12">
        <f>SUM(Z35:AB35)</f>
        <v/>
      </c>
      <c r="M35" s="13">
        <f>SUM(AC35:AE35)</f>
        <v/>
      </c>
      <c r="N35" s="8">
        <f>IF(COUNT(T35:V35)&gt;0,P35/COUNT(T35:V35),0.5)</f>
        <v/>
      </c>
      <c r="O35" s="8">
        <f>IF(COUNT(W35:Y35)&gt;0,Q35/COUNT(W35:Y35),0.5)</f>
        <v/>
      </c>
      <c r="P35" s="4">
        <f>SUM(T35:V35)</f>
        <v/>
      </c>
      <c r="Q35" s="4">
        <f>SUM(W35:Y35)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4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>
        <f>'By Round'!A19</f>
        <v/>
      </c>
      <c r="C36">
        <f>'By Round'!B23</f>
        <v/>
      </c>
      <c r="D36">
        <f>'By Round'!C23</f>
        <v/>
      </c>
      <c r="E36">
        <f>'By Round'!D23</f>
        <v/>
      </c>
      <c r="F36" s="11" t="inlineStr">
        <is>
          <t>EW</t>
        </is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 s="12">
        <f>SUM(Z36:AB36)</f>
        <v/>
      </c>
      <c r="M36" s="13">
        <f>SUM(AC36:AE36)</f>
        <v/>
      </c>
      <c r="N36" s="8">
        <f>IF(COUNT(T36:V36)&gt;0,P36/COUNT(T36:V36),0.5)</f>
        <v/>
      </c>
      <c r="O36" s="8">
        <f>IF(COUNT(W36:Y36)&gt;0,Q36/COUNT(W36:Y36),0.5)</f>
        <v/>
      </c>
      <c r="P36" s="4">
        <f>SUM(T36:V36)</f>
        <v/>
      </c>
      <c r="Q36" s="4">
        <f>SUM(W36:Y36)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4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>
        <f>'By Round'!A27</f>
        <v/>
      </c>
      <c r="C37">
        <f>'By Round'!B29</f>
        <v/>
      </c>
      <c r="D37">
        <f>'By Round'!C29</f>
        <v/>
      </c>
      <c r="E37">
        <f>'By Round'!D29</f>
        <v/>
      </c>
      <c r="F37" s="11" t="inlineStr">
        <is>
          <t>EW</t>
        </is>
      </c>
      <c r="G37">
        <f>IF(ISBLANK('By Round'!G29),"",'By Round'!G29)</f>
        <v/>
      </c>
      <c r="H37">
        <f>IF(ISBLANK('By Round'!H29),"",'By Round'!H29)</f>
        <v/>
      </c>
      <c r="I37">
        <f>IF(ISBLANK('By Round'!I29),"",'By Round'!I29)</f>
        <v/>
      </c>
      <c r="J37">
        <f>IF(ISBLANK('By Round'!J29),"",'By Round'!J29)</f>
        <v/>
      </c>
      <c r="K37">
        <f>IF(ISBLANK('By Round'!K29),"",'By Round'!K29)</f>
        <v/>
      </c>
      <c r="L37" s="12">
        <f>SUM(Z37:AB37)</f>
        <v/>
      </c>
      <c r="M37" s="13">
        <f>SUM(AC37:AE37)</f>
        <v/>
      </c>
      <c r="N37" s="8">
        <f>IF(COUNT(T37:V37)&gt;0,P37/COUNT(T37:V37),0.5)</f>
        <v/>
      </c>
      <c r="O37" s="8">
        <f>IF(COUNT(W37:Y37)&gt;0,Q37/COUNT(W37:Y37),0.5)</f>
        <v/>
      </c>
      <c r="P37" s="4">
        <f>SUM(T37:V37)</f>
        <v/>
      </c>
      <c r="Q37" s="4">
        <f>SUM(W37:Y37)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4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15" t="n"/>
      <c r="B38" s="15">
        <f>'By Round'!A35</f>
        <v/>
      </c>
      <c r="C38" s="15">
        <f>'By Round'!B35</f>
        <v/>
      </c>
      <c r="D38" s="15">
        <f>'By Round'!C35</f>
        <v/>
      </c>
      <c r="E38" s="15">
        <f>'By Round'!D35</f>
        <v/>
      </c>
      <c r="F38" s="16" t="inlineStr">
        <is>
          <t>EW</t>
        </is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7">
        <f>SUM(Z38:AB38)</f>
        <v/>
      </c>
      <c r="M38" s="18">
        <f>SUM(AC38:AE38)</f>
        <v/>
      </c>
      <c r="N38" s="19">
        <f>IF(COUNT(T38:V38)&gt;0,P38/COUNT(T38:V38),0.5)</f>
        <v/>
      </c>
      <c r="O38" s="19">
        <f>IF(COUNT(W38:Y38)&gt;0,Q38/COUNT(W38:Y38),0.5)</f>
        <v/>
      </c>
      <c r="P38" s="20">
        <f>SUM(T38:V38)</f>
        <v/>
      </c>
      <c r="Q38" s="20">
        <f>SUM(W38:Y38)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IF(ISNUMBER(R38),IF(ISNUMBER(R35),IF(R38&gt;R35,1.0,IF(R38=R35,0.5,0.0)),""),"")</f>
        <v/>
      </c>
      <c r="U38" s="15">
        <f>IF(ISNUMBER(R38),IF(ISNUMBER(R36),IF(R38&gt;R36,1.0,IF(R38=R36,0.5,0.0)),""),"")</f>
        <v/>
      </c>
      <c r="V38" s="15">
        <f>IF(ISNUMBER(R38),IF(ISNUMBER(R37),IF(R38&gt;R37,1.0,IF(R38=R37,0.5,0.0)),""),"")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21">
        <f>IF(AND(ISNUMBER(R38),ISNUMBER(R35)),VLOOKUP(ABS(R38-R35),'IMP Table'!$A$2:$C$26,3)*SIGN(R38-R35),0)</f>
        <v/>
      </c>
      <c r="AA38" s="15">
        <f>IF(AND(ISNUMBER(R38),ISNUMBER(R36)),VLOOKUP(ABS(R38-R36),'IMP Table'!$A$2:$C$26,3)*SIGN(R38-R36),0)</f>
        <v/>
      </c>
      <c r="AB38" s="15">
        <f>IF(AND(ISNUMBER(R38),ISNUMBER(R37)),VLOOKUP(ABS(R38-R37),'IMP Table'!$A$2:$C$26,3)*SIGN(R38-R37),0)</f>
        <v/>
      </c>
      <c r="AC38" s="15">
        <f>IF(AND(ISNUMBER(S38),ISNUMBER(S35)),VLOOKUP(ABS(S38-S35),'IMP Table'!$A$2:$C$26,3)*SIGN(S38-S35),0)</f>
        <v/>
      </c>
      <c r="AD38" s="15">
        <f>IF(AND(ISNUMBER(S38),ISNUMBER(S36)),VLOOKUP(ABS(S38-S36),'IMP Table'!$A$2:$C$26,3)*SIGN(S38-S36),0)</f>
        <v/>
      </c>
      <c r="AE38" s="15">
        <f>IF(AND(ISNUMBER(S38),ISNUMBER(S37)),VLOOKUP(ABS(S38-S37),'IMP Table'!$A$2:$C$26,3)*SIGN(S38-S37),0)</f>
        <v/>
      </c>
    </row>
    <row r="39">
      <c r="A39" t="n">
        <v>10</v>
      </c>
      <c r="B39">
        <f>'By Round'!A3</f>
        <v/>
      </c>
      <c r="C39">
        <f>'By Round'!B9</f>
        <v/>
      </c>
      <c r="D39">
        <f>'By Round'!C9</f>
        <v/>
      </c>
      <c r="E39">
        <f>'By Round'!D9</f>
        <v/>
      </c>
      <c r="F39" s="11" t="inlineStr">
        <is>
          <t>Both</t>
        </is>
      </c>
      <c r="G39">
        <f>IF(ISBLANK('By Round'!G9),"",'By Round'!G9)</f>
        <v/>
      </c>
      <c r="H39">
        <f>IF(ISBLANK('By Round'!H9),"",'By Round'!H9)</f>
        <v/>
      </c>
      <c r="I39">
        <f>IF(ISBLANK('By Round'!I9),"",'By Round'!I9)</f>
        <v/>
      </c>
      <c r="J39">
        <f>IF(ISBLANK('By Round'!J9),"",'By Round'!J9)</f>
        <v/>
      </c>
      <c r="K39">
        <f>IF(ISBLANK('By Round'!K9),"",'By Round'!K9)</f>
        <v/>
      </c>
      <c r="L39" s="12">
        <f>SUM(Z39:AB39)</f>
        <v/>
      </c>
      <c r="M39" s="13">
        <f>SUM(AC39:AE39)</f>
        <v/>
      </c>
      <c r="N39" s="8">
        <f>IF(COUNT(T39:V39)&gt;0,P39/COUNT(T39:V39),0.5)</f>
        <v/>
      </c>
      <c r="O39" s="8">
        <f>IF(COUNT(W39:Y39)&gt;0,Q39/COUNT(W39:Y39),0.5)</f>
        <v/>
      </c>
      <c r="P39" s="4">
        <f>SUM(T39:V39)</f>
        <v/>
      </c>
      <c r="Q39" s="4">
        <f>SUM(W39:Y39)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4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>
        <f>'By Round'!A19</f>
        <v/>
      </c>
      <c r="C40">
        <f>'By Round'!B23</f>
        <v/>
      </c>
      <c r="D40">
        <f>'By Round'!C23</f>
        <v/>
      </c>
      <c r="E40">
        <f>'By Round'!D23</f>
        <v/>
      </c>
      <c r="F40" s="11" t="inlineStr">
        <is>
          <t>Both</t>
        </is>
      </c>
      <c r="G40">
        <f>IF(ISBLANK('By Round'!G23),"",'By Round'!G23)</f>
        <v/>
      </c>
      <c r="H40">
        <f>IF(ISBLANK('By Round'!H23),"",'By Round'!H23)</f>
        <v/>
      </c>
      <c r="I40">
        <f>IF(ISBLANK('By Round'!I23),"",'By Round'!I23)</f>
        <v/>
      </c>
      <c r="J40">
        <f>IF(ISBLANK('By Round'!J23),"",'By Round'!J23)</f>
        <v/>
      </c>
      <c r="K40">
        <f>IF(ISBLANK('By Round'!K23),"",'By Round'!K23)</f>
        <v/>
      </c>
      <c r="L40" s="12">
        <f>SUM(Z40:AB40)</f>
        <v/>
      </c>
      <c r="M40" s="13">
        <f>SUM(AC40:AE40)</f>
        <v/>
      </c>
      <c r="N40" s="8">
        <f>IF(COUNT(T40:V40)&gt;0,P40/COUNT(T40:V40),0.5)</f>
        <v/>
      </c>
      <c r="O40" s="8">
        <f>IF(COUNT(W40:Y40)&gt;0,Q40/COUNT(W40:Y40),0.5)</f>
        <v/>
      </c>
      <c r="P40" s="4">
        <f>SUM(T40:V40)</f>
        <v/>
      </c>
      <c r="Q40" s="4">
        <f>SUM(W40:Y40)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4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>
        <f>'By Round'!A27</f>
        <v/>
      </c>
      <c r="C41">
        <f>'By Round'!B29</f>
        <v/>
      </c>
      <c r="D41">
        <f>'By Round'!C29</f>
        <v/>
      </c>
      <c r="E41">
        <f>'By Round'!D29</f>
        <v/>
      </c>
      <c r="F41" s="11" t="inlineStr">
        <is>
          <t>Both</t>
        </is>
      </c>
      <c r="G41">
        <f>IF(ISBLANK('By Round'!G29),"",'By Round'!G29)</f>
        <v/>
      </c>
      <c r="H41">
        <f>IF(ISBLANK('By Round'!H29),"",'By Round'!H29)</f>
        <v/>
      </c>
      <c r="I41">
        <f>IF(ISBLANK('By Round'!I29),"",'By Round'!I29)</f>
        <v/>
      </c>
      <c r="J41">
        <f>IF(ISBLANK('By Round'!J29),"",'By Round'!J29)</f>
        <v/>
      </c>
      <c r="K41">
        <f>IF(ISBLANK('By Round'!K29),"",'By Round'!K29)</f>
        <v/>
      </c>
      <c r="L41" s="12">
        <f>SUM(Z41:AB41)</f>
        <v/>
      </c>
      <c r="M41" s="13">
        <f>SUM(AC41:AE41)</f>
        <v/>
      </c>
      <c r="N41" s="8">
        <f>IF(COUNT(T41:V41)&gt;0,P41/COUNT(T41:V41),0.5)</f>
        <v/>
      </c>
      <c r="O41" s="8">
        <f>IF(COUNT(W41:Y41)&gt;0,Q41/COUNT(W41:Y41),0.5)</f>
        <v/>
      </c>
      <c r="P41" s="4">
        <f>SUM(T41:V41)</f>
        <v/>
      </c>
      <c r="Q41" s="4">
        <f>SUM(W41:Y41)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4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15" t="n"/>
      <c r="B42" s="15">
        <f>'By Round'!A35</f>
        <v/>
      </c>
      <c r="C42" s="15">
        <f>'By Round'!B35</f>
        <v/>
      </c>
      <c r="D42" s="15">
        <f>'By Round'!C35</f>
        <v/>
      </c>
      <c r="E42" s="15">
        <f>'By Round'!D35</f>
        <v/>
      </c>
      <c r="F42" s="16" t="inlineStr">
        <is>
          <t>Both</t>
        </is>
      </c>
      <c r="G42" s="15">
        <f>IF(ISBLANK('By Round'!G35),"",'By Round'!G35)</f>
        <v/>
      </c>
      <c r="H42" s="15">
        <f>IF(ISBLANK('By Round'!H35),"",'By Round'!H35)</f>
        <v/>
      </c>
      <c r="I42" s="15">
        <f>IF(ISBLANK('By Round'!I35),"",'By Round'!I35)</f>
        <v/>
      </c>
      <c r="J42" s="15">
        <f>IF(ISBLANK('By Round'!J35),"",'By Round'!J35)</f>
        <v/>
      </c>
      <c r="K42" s="15">
        <f>IF(ISBLANK('By Round'!K35),"",'By Round'!K35)</f>
        <v/>
      </c>
      <c r="L42" s="17">
        <f>SUM(Z42:AB42)</f>
        <v/>
      </c>
      <c r="M42" s="18">
        <f>SUM(AC42:AE42)</f>
        <v/>
      </c>
      <c r="N42" s="19">
        <f>IF(COUNT(T42:V42)&gt;0,P42/COUNT(T42:V42),0.5)</f>
        <v/>
      </c>
      <c r="O42" s="19">
        <f>IF(COUNT(W42:Y42)&gt;0,Q42/COUNT(W42:Y42),0.5)</f>
        <v/>
      </c>
      <c r="P42" s="20">
        <f>SUM(T42:V42)</f>
        <v/>
      </c>
      <c r="Q42" s="20">
        <f>SUM(W42:Y42)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IF(ISNUMBER(R42),IF(ISNUMBER(R39),IF(R42&gt;R39,1.0,IF(R42=R39,0.5,0.0)),""),"")</f>
        <v/>
      </c>
      <c r="U42" s="15">
        <f>IF(ISNUMBER(R42),IF(ISNUMBER(R40),IF(R42&gt;R40,1.0,IF(R42=R40,0.5,0.0)),""),"")</f>
        <v/>
      </c>
      <c r="V42" s="15">
        <f>IF(ISNUMBER(R42),IF(ISNUMBER(R41),IF(R42&gt;R41,1.0,IF(R42=R41,0.5,0.0)),""),"")</f>
        <v/>
      </c>
      <c r="W42" s="15">
        <f>IF(ISNUMBER(S42),IF(ISNUMBER(S39),IF(S42&gt;S39,1.0,IF(S42=S39,0.5,0.0)),""),"")</f>
        <v/>
      </c>
      <c r="X42" s="15">
        <f>IF(ISNUMBER(S42),IF(ISNUMBER(S40),IF(S42&gt;S40,1.0,IF(S42=S40,0.5,0.0)),""),"")</f>
        <v/>
      </c>
      <c r="Y42" s="15">
        <f>IF(ISNUMBER(S42),IF(ISNUMBER(S41),IF(S42&gt;S41,1.0,IF(S42=S41,0.5,0.0)),""),"")</f>
        <v/>
      </c>
      <c r="Z42" s="21">
        <f>IF(AND(ISNUMBER(R42),ISNUMBER(R39)),VLOOKUP(ABS(R42-R39),'IMP Table'!$A$2:$C$26,3)*SIGN(R42-R39),0)</f>
        <v/>
      </c>
      <c r="AA42" s="15">
        <f>IF(AND(ISNUMBER(R42),ISNUMBER(R40)),VLOOKUP(ABS(R42-R40),'IMP Table'!$A$2:$C$26,3)*SIGN(R42-R40),0)</f>
        <v/>
      </c>
      <c r="AB42" s="15">
        <f>IF(AND(ISNUMBER(R42),ISNUMBER(R41)),VLOOKUP(ABS(R42-R41),'IMP Table'!$A$2:$C$26,3)*SIGN(R42-R41),0)</f>
        <v/>
      </c>
      <c r="AC42" s="15">
        <f>IF(AND(ISNUMBER(S42),ISNUMBER(S39)),VLOOKUP(ABS(S42-S39),'IMP Table'!$A$2:$C$26,3)*SIGN(S42-S39),0)</f>
        <v/>
      </c>
      <c r="AD42" s="15">
        <f>IF(AND(ISNUMBER(S42),ISNUMBER(S40)),VLOOKUP(ABS(S42-S40),'IMP Table'!$A$2:$C$26,3)*SIGN(S42-S40),0)</f>
        <v/>
      </c>
      <c r="AE42" s="15">
        <f>IF(AND(ISNUMBER(S42),ISNUMBER(S41)),VLOOKUP(ABS(S42-S41),'IMP Table'!$A$2:$C$26,3)*SIGN(S42-S41),0)</f>
        <v/>
      </c>
    </row>
    <row r="43">
      <c r="A43" t="n">
        <v>11</v>
      </c>
      <c r="B43">
        <f>'By Round'!A11</f>
        <v/>
      </c>
      <c r="C43">
        <f>'By Round'!B17</f>
        <v/>
      </c>
      <c r="D43">
        <f>'By Round'!C17</f>
        <v/>
      </c>
      <c r="E43">
        <f>'By Round'!D17</f>
        <v/>
      </c>
      <c r="F43" s="11" t="inlineStr">
        <is>
          <t>None</t>
        </is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 s="12">
        <f>SUM(Z43:AB43)</f>
        <v/>
      </c>
      <c r="M43" s="13">
        <f>SUM(AC43:AE43)</f>
        <v/>
      </c>
      <c r="N43" s="8">
        <f>IF(COUNT(T43:V43)&gt;0,P43/COUNT(T43:V43),0.5)</f>
        <v/>
      </c>
      <c r="O43" s="8">
        <f>IF(COUNT(W43:Y43)&gt;0,Q43/COUNT(W43:Y43),0.5)</f>
        <v/>
      </c>
      <c r="P43" s="4">
        <f>SUM(T43:V43)</f>
        <v/>
      </c>
      <c r="Q43" s="4">
        <f>SUM(W43:Y43)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4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>
        <f>'By Round'!A27</f>
        <v/>
      </c>
      <c r="C44">
        <f>'By Round'!B31</f>
        <v/>
      </c>
      <c r="D44">
        <f>'By Round'!C31</f>
        <v/>
      </c>
      <c r="E44">
        <f>'By Round'!D31</f>
        <v/>
      </c>
      <c r="F44" s="11" t="inlineStr">
        <is>
          <t>None</t>
        </is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 s="12">
        <f>SUM(Z44:AB44)</f>
        <v/>
      </c>
      <c r="M44" s="13">
        <f>SUM(AC44:AE44)</f>
        <v/>
      </c>
      <c r="N44" s="8">
        <f>IF(COUNT(T44:V44)&gt;0,P44/COUNT(T44:V44),0.5)</f>
        <v/>
      </c>
      <c r="O44" s="8">
        <f>IF(COUNT(W44:Y44)&gt;0,Q44/COUNT(W44:Y44),0.5)</f>
        <v/>
      </c>
      <c r="P44" s="4">
        <f>SUM(T44:V44)</f>
        <v/>
      </c>
      <c r="Q44" s="4">
        <f>SUM(W44:Y44)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4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>
        <f>'By Round'!A35</f>
        <v/>
      </c>
      <c r="C45">
        <f>'By Round'!B37</f>
        <v/>
      </c>
      <c r="D45">
        <f>'By Round'!C37</f>
        <v/>
      </c>
      <c r="E45">
        <f>'By Round'!D37</f>
        <v/>
      </c>
      <c r="F45" s="11" t="inlineStr">
        <is>
          <t>None</t>
        </is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 s="12">
        <f>SUM(Z45:AB45)</f>
        <v/>
      </c>
      <c r="M45" s="13">
        <f>SUM(AC45:AE45)</f>
        <v/>
      </c>
      <c r="N45" s="8">
        <f>IF(COUNT(T45:V45)&gt;0,P45/COUNT(T45:V45),0.5)</f>
        <v/>
      </c>
      <c r="O45" s="8">
        <f>IF(COUNT(W45:Y45)&gt;0,Q45/COUNT(W45:Y45),0.5)</f>
        <v/>
      </c>
      <c r="P45" s="4">
        <f>SUM(T45:V45)</f>
        <v/>
      </c>
      <c r="Q45" s="4">
        <f>SUM(W45:Y45)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4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15" t="n"/>
      <c r="B46" s="15">
        <f>'By Round'!A43</f>
        <v/>
      </c>
      <c r="C46" s="15">
        <f>'By Round'!B43</f>
        <v/>
      </c>
      <c r="D46" s="15">
        <f>'By Round'!C43</f>
        <v/>
      </c>
      <c r="E46" s="15">
        <f>'By Round'!D43</f>
        <v/>
      </c>
      <c r="F46" s="16" t="inlineStr">
        <is>
          <t>None</t>
        </is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7">
        <f>SUM(Z46:AB46)</f>
        <v/>
      </c>
      <c r="M46" s="18">
        <f>SUM(AC46:AE46)</f>
        <v/>
      </c>
      <c r="N46" s="19">
        <f>IF(COUNT(T46:V46)&gt;0,P46/COUNT(T46:V46),0.5)</f>
        <v/>
      </c>
      <c r="O46" s="19">
        <f>IF(COUNT(W46:Y46)&gt;0,Q46/COUNT(W46:Y46),0.5)</f>
        <v/>
      </c>
      <c r="P46" s="20">
        <f>SUM(T46:V46)</f>
        <v/>
      </c>
      <c r="Q46" s="20">
        <f>SUM(W46:Y46)</f>
        <v/>
      </c>
      <c r="R46" s="21">
        <f>IF(ISNUMBER(J46),J46,IF(ISNUMBER(K46),-K46,""))</f>
        <v/>
      </c>
      <c r="S46" s="15">
        <f>IF(ISNUMBER(K46),K46,IF(ISNUMBER(J46),-J46,""))</f>
        <v/>
      </c>
      <c r="T46" s="21">
        <f>IF(ISNUMBER(R46),IF(ISNUMBER(R43),IF(R46&gt;R43,1.0,IF(R46=R43,0.5,0.0)),""),"")</f>
        <v/>
      </c>
      <c r="U46" s="15">
        <f>IF(ISNUMBER(R46),IF(ISNUMBER(R44),IF(R46&gt;R44,1.0,IF(R46=R44,0.5,0.0)),""),"")</f>
        <v/>
      </c>
      <c r="V46" s="15">
        <f>IF(ISNUMBER(R46),IF(ISNUMBER(R45),IF(R46&gt;R45,1.0,IF(R46=R45,0.5,0.0)),""),"")</f>
        <v/>
      </c>
      <c r="W46" s="15">
        <f>IF(ISNUMBER(S46),IF(ISNUMBER(S43),IF(S46&gt;S43,1.0,IF(S46=S43,0.5,0.0)),""),"")</f>
        <v/>
      </c>
      <c r="X46" s="15">
        <f>IF(ISNUMBER(S46),IF(ISNUMBER(S44),IF(S46&gt;S44,1.0,IF(S46=S44,0.5,0.0)),""),"")</f>
        <v/>
      </c>
      <c r="Y46" s="15">
        <f>IF(ISNUMBER(S46),IF(ISNUMBER(S45),IF(S46&gt;S45,1.0,IF(S46=S45,0.5,0.0)),""),"")</f>
        <v/>
      </c>
      <c r="Z46" s="21">
        <f>IF(AND(ISNUMBER(R46),ISNUMBER(R43)),VLOOKUP(ABS(R46-R43),'IMP Table'!$A$2:$C$26,3)*SIGN(R46-R43),0)</f>
        <v/>
      </c>
      <c r="AA46" s="15">
        <f>IF(AND(ISNUMBER(R46),ISNUMBER(R44)),VLOOKUP(ABS(R46-R44),'IMP Table'!$A$2:$C$26,3)*SIGN(R46-R44),0)</f>
        <v/>
      </c>
      <c r="AB46" s="15">
        <f>IF(AND(ISNUMBER(R46),ISNUMBER(R45)),VLOOKUP(ABS(R46-R45),'IMP Table'!$A$2:$C$26,3)*SIGN(R46-R45),0)</f>
        <v/>
      </c>
      <c r="AC46" s="15">
        <f>IF(AND(ISNUMBER(S46),ISNUMBER(S43)),VLOOKUP(ABS(S46-S43),'IMP Table'!$A$2:$C$26,3)*SIGN(S46-S43),0)</f>
        <v/>
      </c>
      <c r="AD46" s="15">
        <f>IF(AND(ISNUMBER(S46),ISNUMBER(S44)),VLOOKUP(ABS(S46-S44),'IMP Table'!$A$2:$C$26,3)*SIGN(S46-S44),0)</f>
        <v/>
      </c>
      <c r="AE46" s="15">
        <f>IF(AND(ISNUMBER(S46),ISNUMBER(S45)),VLOOKUP(ABS(S46-S45),'IMP Table'!$A$2:$C$26,3)*SIGN(S46-S45),0)</f>
        <v/>
      </c>
    </row>
    <row r="47">
      <c r="A47" t="n">
        <v>12</v>
      </c>
      <c r="B47">
        <f>'By Round'!A11</f>
        <v/>
      </c>
      <c r="C47">
        <f>'By Round'!B17</f>
        <v/>
      </c>
      <c r="D47">
        <f>'By Round'!C17</f>
        <v/>
      </c>
      <c r="E47">
        <f>'By Round'!D17</f>
        <v/>
      </c>
      <c r="F47" s="11" t="inlineStr">
        <is>
          <t>NS</t>
        </is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 s="12">
        <f>SUM(Z47:AB47)</f>
        <v/>
      </c>
      <c r="M47" s="13">
        <f>SUM(AC47:AE47)</f>
        <v/>
      </c>
      <c r="N47" s="8">
        <f>IF(COUNT(T47:V47)&gt;0,P47/COUNT(T47:V47),0.5)</f>
        <v/>
      </c>
      <c r="O47" s="8">
        <f>IF(COUNT(W47:Y47)&gt;0,Q47/COUNT(W47:Y47),0.5)</f>
        <v/>
      </c>
      <c r="P47" s="4">
        <f>SUM(T47:V47)</f>
        <v/>
      </c>
      <c r="Q47" s="4">
        <f>SUM(W47:Y47)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4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>
        <f>'By Round'!A27</f>
        <v/>
      </c>
      <c r="C48">
        <f>'By Round'!B31</f>
        <v/>
      </c>
      <c r="D48">
        <f>'By Round'!C31</f>
        <v/>
      </c>
      <c r="E48">
        <f>'By Round'!D31</f>
        <v/>
      </c>
      <c r="F48" s="11" t="inlineStr">
        <is>
          <t>NS</t>
        </is>
      </c>
      <c r="G48">
        <f>IF(ISBLANK('By Round'!G31),"",'By Round'!G31)</f>
        <v/>
      </c>
      <c r="H48">
        <f>IF(ISBLANK('By Round'!H31),"",'By Round'!H31)</f>
        <v/>
      </c>
      <c r="I48">
        <f>IF(ISBLANK('By Round'!I31),"",'By Round'!I31)</f>
        <v/>
      </c>
      <c r="J48">
        <f>IF(ISBLANK('By Round'!J31),"",'By Round'!J31)</f>
        <v/>
      </c>
      <c r="K48">
        <f>IF(ISBLANK('By Round'!K31),"",'By Round'!K31)</f>
        <v/>
      </c>
      <c r="L48" s="12">
        <f>SUM(Z48:AB48)</f>
        <v/>
      </c>
      <c r="M48" s="13">
        <f>SUM(AC48:AE48)</f>
        <v/>
      </c>
      <c r="N48" s="8">
        <f>IF(COUNT(T48:V48)&gt;0,P48/COUNT(T48:V48),0.5)</f>
        <v/>
      </c>
      <c r="O48" s="8">
        <f>IF(COUNT(W48:Y48)&gt;0,Q48/COUNT(W48:Y48),0.5)</f>
        <v/>
      </c>
      <c r="P48" s="4">
        <f>SUM(T48:V48)</f>
        <v/>
      </c>
      <c r="Q48" s="4">
        <f>SUM(W48:Y48)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4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>
        <f>'By Round'!A35</f>
        <v/>
      </c>
      <c r="C49">
        <f>'By Round'!B37</f>
        <v/>
      </c>
      <c r="D49">
        <f>'By Round'!C37</f>
        <v/>
      </c>
      <c r="E49">
        <f>'By Round'!D37</f>
        <v/>
      </c>
      <c r="F49" s="11" t="inlineStr">
        <is>
          <t>NS</t>
        </is>
      </c>
      <c r="G49">
        <f>IF(ISBLANK('By Round'!G37),"",'By Round'!G37)</f>
        <v/>
      </c>
      <c r="H49">
        <f>IF(ISBLANK('By Round'!H37),"",'By Round'!H37)</f>
        <v/>
      </c>
      <c r="I49">
        <f>IF(ISBLANK('By Round'!I37),"",'By Round'!I37)</f>
        <v/>
      </c>
      <c r="J49">
        <f>IF(ISBLANK('By Round'!J37),"",'By Round'!J37)</f>
        <v/>
      </c>
      <c r="K49">
        <f>IF(ISBLANK('By Round'!K37),"",'By Round'!K37)</f>
        <v/>
      </c>
      <c r="L49" s="12">
        <f>SUM(Z49:AB49)</f>
        <v/>
      </c>
      <c r="M49" s="13">
        <f>SUM(AC49:AE49)</f>
        <v/>
      </c>
      <c r="N49" s="8">
        <f>IF(COUNT(T49:V49)&gt;0,P49/COUNT(T49:V49),0.5)</f>
        <v/>
      </c>
      <c r="O49" s="8">
        <f>IF(COUNT(W49:Y49)&gt;0,Q49/COUNT(W49:Y49),0.5)</f>
        <v/>
      </c>
      <c r="P49" s="4">
        <f>SUM(T49:V49)</f>
        <v/>
      </c>
      <c r="Q49" s="4">
        <f>SUM(W49:Y49)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4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15" t="n"/>
      <c r="B50" s="15">
        <f>'By Round'!A43</f>
        <v/>
      </c>
      <c r="C50" s="15">
        <f>'By Round'!B43</f>
        <v/>
      </c>
      <c r="D50" s="15">
        <f>'By Round'!C43</f>
        <v/>
      </c>
      <c r="E50" s="15">
        <f>'By Round'!D43</f>
        <v/>
      </c>
      <c r="F50" s="16" t="inlineStr">
        <is>
          <t>NS</t>
        </is>
      </c>
      <c r="G50" s="15">
        <f>IF(ISBLANK('By Round'!G43),"",'By Round'!G43)</f>
        <v/>
      </c>
      <c r="H50" s="15">
        <f>IF(ISBLANK('By Round'!H43),"",'By Round'!H43)</f>
        <v/>
      </c>
      <c r="I50" s="15">
        <f>IF(ISBLANK('By Round'!I43),"",'By Round'!I43)</f>
        <v/>
      </c>
      <c r="J50" s="15">
        <f>IF(ISBLANK('By Round'!J43),"",'By Round'!J43)</f>
        <v/>
      </c>
      <c r="K50" s="15">
        <f>IF(ISBLANK('By Round'!K43),"",'By Round'!K43)</f>
        <v/>
      </c>
      <c r="L50" s="17">
        <f>SUM(Z50:AB50)</f>
        <v/>
      </c>
      <c r="M50" s="18">
        <f>SUM(AC50:AE50)</f>
        <v/>
      </c>
      <c r="N50" s="19">
        <f>IF(COUNT(T50:V50)&gt;0,P50/COUNT(T50:V50),0.5)</f>
        <v/>
      </c>
      <c r="O50" s="19">
        <f>IF(COUNT(W50:Y50)&gt;0,Q50/COUNT(W50:Y50),0.5)</f>
        <v/>
      </c>
      <c r="P50" s="20">
        <f>SUM(T50:V50)</f>
        <v/>
      </c>
      <c r="Q50" s="20">
        <f>SUM(W50:Y50)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IF(ISNUMBER(R50),IF(ISNUMBER(R47),IF(R50&gt;R47,1.0,IF(R50=R47,0.5,0.0)),""),"")</f>
        <v/>
      </c>
      <c r="U50" s="15">
        <f>IF(ISNUMBER(R50),IF(ISNUMBER(R48),IF(R50&gt;R48,1.0,IF(R50=R48,0.5,0.0)),""),"")</f>
        <v/>
      </c>
      <c r="V50" s="15">
        <f>IF(ISNUMBER(R50),IF(ISNUMBER(R49),IF(R50&gt;R49,1.0,IF(R50=R49,0.5,0.0)),""),"")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21">
        <f>IF(AND(ISNUMBER(R50),ISNUMBER(R47)),VLOOKUP(ABS(R50-R47),'IMP Table'!$A$2:$C$26,3)*SIGN(R50-R47),0)</f>
        <v/>
      </c>
      <c r="AA50" s="15">
        <f>IF(AND(ISNUMBER(R50),ISNUMBER(R48)),VLOOKUP(ABS(R50-R48),'IMP Table'!$A$2:$C$26,3)*SIGN(R50-R48),0)</f>
        <v/>
      </c>
      <c r="AB50" s="15">
        <f>IF(AND(ISNUMBER(R50),ISNUMBER(R49)),VLOOKUP(ABS(R50-R49),'IMP Table'!$A$2:$C$26,3)*SIGN(R50-R49),0)</f>
        <v/>
      </c>
      <c r="AC50" s="15">
        <f>IF(AND(ISNUMBER(S50),ISNUMBER(S47)),VLOOKUP(ABS(S50-S47),'IMP Table'!$A$2:$C$26,3)*SIGN(S50-S47),0)</f>
        <v/>
      </c>
      <c r="AD50" s="15">
        <f>IF(AND(ISNUMBER(S50),ISNUMBER(S48)),VLOOKUP(ABS(S50-S48),'IMP Table'!$A$2:$C$26,3)*SIGN(S50-S48),0)</f>
        <v/>
      </c>
      <c r="AE50" s="15">
        <f>IF(AND(ISNUMBER(S50),ISNUMBER(S49)),VLOOKUP(ABS(S50-S49),'IMP Table'!$A$2:$C$26,3)*SIGN(S50-S49),0)</f>
        <v/>
      </c>
    </row>
    <row r="51">
      <c r="A51" t="n">
        <v>13</v>
      </c>
      <c r="B51">
        <f>'By Round'!A19</f>
        <v/>
      </c>
      <c r="C51">
        <f>'By Round'!B25</f>
        <v/>
      </c>
      <c r="D51">
        <f>'By Round'!C25</f>
        <v/>
      </c>
      <c r="E51">
        <f>'By Round'!D25</f>
        <v/>
      </c>
      <c r="F51" s="11" t="inlineStr">
        <is>
          <t>Both</t>
        </is>
      </c>
      <c r="G51">
        <f>IF(ISBLANK('By Round'!G25),"",'By Round'!G25)</f>
        <v/>
      </c>
      <c r="H51">
        <f>IF(ISBLANK('By Round'!H25),"",'By Round'!H25)</f>
        <v/>
      </c>
      <c r="I51">
        <f>IF(ISBLANK('By Round'!I25),"",'By Round'!I25)</f>
        <v/>
      </c>
      <c r="J51">
        <f>IF(ISBLANK('By Round'!J25),"",'By Round'!J25)</f>
        <v/>
      </c>
      <c r="K51">
        <f>IF(ISBLANK('By Round'!K25),"",'By Round'!K25)</f>
        <v/>
      </c>
      <c r="L51" s="12">
        <f>SUM(Z51:AB51)</f>
        <v/>
      </c>
      <c r="M51" s="13">
        <f>SUM(AC51:AE51)</f>
        <v/>
      </c>
      <c r="N51" s="8">
        <f>IF(COUNT(T51:V51)&gt;0,P51/COUNT(T51:V51),0.5)</f>
        <v/>
      </c>
      <c r="O51" s="8">
        <f>IF(COUNT(W51:Y51)&gt;0,Q51/COUNT(W51:Y51),0.5)</f>
        <v/>
      </c>
      <c r="P51" s="4">
        <f>SUM(T51:V51)</f>
        <v/>
      </c>
      <c r="Q51" s="4">
        <f>SUM(W51:Y51)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IF(ISNUMBER(S51),IF(ISNUMBER(S52),IF(S51&gt;S52,1.0,IF(S51=S52,0.5,0.0)),""),"")</f>
        <v/>
      </c>
      <c r="X51">
        <f>IF(ISNUMBER(S51),IF(ISNUMBER(S53),IF(S51&gt;S53,1.0,IF(S51=S53,0.5,0.0)),""),"")</f>
        <v/>
      </c>
      <c r="Y51">
        <f>IF(ISNUMBER(S51),IF(ISNUMBER(S54),IF(S51&gt;S54,1.0,IF(S51=S54,0.5,0.0)),""),"")</f>
        <v/>
      </c>
      <c r="Z51" s="14">
        <f>IF(AND(ISNUMBER(R51),ISNUMBER(R52)),VLOOKUP(ABS(R51-R52),'IMP Table'!$A$2:$C$26,3)*SIGN(R51-R52),0)</f>
        <v/>
      </c>
      <c r="AA51">
        <f>IF(AND(ISNUMBER(R51),ISNUMBER(R53)),VLOOKUP(ABS(R51-R53),'IMP Table'!$A$2:$C$26,3)*SIGN(R51-R53),0)</f>
        <v/>
      </c>
      <c r="AB51">
        <f>IF(AND(ISNUMBER(R51),ISNUMBER(R54)),VLOOKUP(ABS(R51-R54),'IMP Table'!$A$2:$C$26,3)*SIGN(R51-R54),0)</f>
        <v/>
      </c>
      <c r="AC51">
        <f>IF(AND(ISNUMBER(S51),ISNUMBER(S52)),VLOOKUP(ABS(S51-S52),'IMP Table'!$A$2:$C$26,3)*SIGN(S51-S52),0)</f>
        <v/>
      </c>
      <c r="AD51">
        <f>IF(AND(ISNUMBER(S51),ISNUMBER(S53)),VLOOKUP(ABS(S51-S53),'IMP Table'!$A$2:$C$26,3)*SIGN(S51-S53),0)</f>
        <v/>
      </c>
      <c r="AE51">
        <f>IF(AND(ISNUMBER(S51),ISNUMBER(S54)),VLOOKUP(ABS(S51-S54),'IMP Table'!$A$2:$C$26,3)*SIGN(S51-S54),0)</f>
        <v/>
      </c>
    </row>
    <row r="52">
      <c r="B52">
        <f>'By Round'!A35</f>
        <v/>
      </c>
      <c r="C52">
        <f>'By Round'!B39</f>
        <v/>
      </c>
      <c r="D52">
        <f>'By Round'!C39</f>
        <v/>
      </c>
      <c r="E52">
        <f>'By Round'!D39</f>
        <v/>
      </c>
      <c r="F52" s="11" t="inlineStr">
        <is>
          <t>Both</t>
        </is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 s="12">
        <f>SUM(Z52:AB52)</f>
        <v/>
      </c>
      <c r="M52" s="13">
        <f>SUM(AC52:AE52)</f>
        <v/>
      </c>
      <c r="N52" s="8">
        <f>IF(COUNT(T52:V52)&gt;0,P52/COUNT(T52:V52),0.5)</f>
        <v/>
      </c>
      <c r="O52" s="8">
        <f>IF(COUNT(W52:Y52)&gt;0,Q52/COUNT(W52:Y52),0.5)</f>
        <v/>
      </c>
      <c r="P52" s="4">
        <f>SUM(T52:V52)</f>
        <v/>
      </c>
      <c r="Q52" s="4">
        <f>SUM(W52:Y52)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IF(ISNUMBER(S52),IF(ISNUMBER(S51),IF(S52&gt;S51,1.0,IF(S52=S51,0.5,0.0)),""),"")</f>
        <v/>
      </c>
      <c r="X52">
        <f>IF(ISNUMBER(S52),IF(ISNUMBER(S53),IF(S52&gt;S53,1.0,IF(S52=S53,0.5,0.0)),""),"")</f>
        <v/>
      </c>
      <c r="Y52">
        <f>IF(ISNUMBER(S52),IF(ISNUMBER(S54),IF(S52&gt;S54,1.0,IF(S52=S54,0.5,0.0)),""),"")</f>
        <v/>
      </c>
      <c r="Z52" s="14">
        <f>IF(AND(ISNUMBER(R52),ISNUMBER(R51)),VLOOKUP(ABS(R52-R51),'IMP Table'!$A$2:$C$26,3)*SIGN(R52-R51),0)</f>
        <v/>
      </c>
      <c r="AA52">
        <f>IF(AND(ISNUMBER(R52),ISNUMBER(R53)),VLOOKUP(ABS(R52-R53),'IMP Table'!$A$2:$C$26,3)*SIGN(R52-R53),0)</f>
        <v/>
      </c>
      <c r="AB52">
        <f>IF(AND(ISNUMBER(R52),ISNUMBER(R54)),VLOOKUP(ABS(R52-R54),'IMP Table'!$A$2:$C$26,3)*SIGN(R52-R54),0)</f>
        <v/>
      </c>
      <c r="AC52">
        <f>IF(AND(ISNUMBER(S52),ISNUMBER(S51)),VLOOKUP(ABS(S52-S51),'IMP Table'!$A$2:$C$26,3)*SIGN(S52-S51),0)</f>
        <v/>
      </c>
      <c r="AD52">
        <f>IF(AND(ISNUMBER(S52),ISNUMBER(S53)),VLOOKUP(ABS(S52-S53),'IMP Table'!$A$2:$C$26,3)*SIGN(S52-S53),0)</f>
        <v/>
      </c>
      <c r="AE52">
        <f>IF(AND(ISNUMBER(S52),ISNUMBER(S54)),VLOOKUP(ABS(S52-S54),'IMP Table'!$A$2:$C$26,3)*SIGN(S52-S54),0)</f>
        <v/>
      </c>
    </row>
    <row r="53">
      <c r="B53">
        <f>'By Round'!A43</f>
        <v/>
      </c>
      <c r="C53">
        <f>'By Round'!B45</f>
        <v/>
      </c>
      <c r="D53">
        <f>'By Round'!C45</f>
        <v/>
      </c>
      <c r="E53">
        <f>'By Round'!D45</f>
        <v/>
      </c>
      <c r="F53" s="11" t="inlineStr">
        <is>
          <t>Both</t>
        </is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 s="12">
        <f>SUM(Z53:AB53)</f>
        <v/>
      </c>
      <c r="M53" s="13">
        <f>SUM(AC53:AE53)</f>
        <v/>
      </c>
      <c r="N53" s="8">
        <f>IF(COUNT(T53:V53)&gt;0,P53/COUNT(T53:V53),0.5)</f>
        <v/>
      </c>
      <c r="O53" s="8">
        <f>IF(COUNT(W53:Y53)&gt;0,Q53/COUNT(W53:Y53),0.5)</f>
        <v/>
      </c>
      <c r="P53" s="4">
        <f>SUM(T53:V53)</f>
        <v/>
      </c>
      <c r="Q53" s="4">
        <f>SUM(W53:Y53)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IF(ISNUMBER(S53),IF(ISNUMBER(S51),IF(S53&gt;S51,1.0,IF(S53=S51,0.5,0.0)),""),"")</f>
        <v/>
      </c>
      <c r="X53">
        <f>IF(ISNUMBER(S53),IF(ISNUMBER(S52),IF(S53&gt;S52,1.0,IF(S53=S52,0.5,0.0)),""),"")</f>
        <v/>
      </c>
      <c r="Y53">
        <f>IF(ISNUMBER(S53),IF(ISNUMBER(S54),IF(S53&gt;S54,1.0,IF(S53=S54,0.5,0.0)),""),"")</f>
        <v/>
      </c>
      <c r="Z53" s="14">
        <f>IF(AND(ISNUMBER(R53),ISNUMBER(R51)),VLOOKUP(ABS(R53-R51),'IMP Table'!$A$2:$C$26,3)*SIGN(R53-R51),0)</f>
        <v/>
      </c>
      <c r="AA53">
        <f>IF(AND(ISNUMBER(R53),ISNUMBER(R52)),VLOOKUP(ABS(R53-R52),'IMP Table'!$A$2:$C$26,3)*SIGN(R53-R52),0)</f>
        <v/>
      </c>
      <c r="AB53">
        <f>IF(AND(ISNUMBER(R53),ISNUMBER(R54)),VLOOKUP(ABS(R53-R54),'IMP Table'!$A$2:$C$26,3)*SIGN(R53-R54),0)</f>
        <v/>
      </c>
      <c r="AC53">
        <f>IF(AND(ISNUMBER(S53),ISNUMBER(S51)),VLOOKUP(ABS(S53-S51),'IMP Table'!$A$2:$C$26,3)*SIGN(S53-S51),0)</f>
        <v/>
      </c>
      <c r="AD53">
        <f>IF(AND(ISNUMBER(S53),ISNUMBER(S52)),VLOOKUP(ABS(S53-S52),'IMP Table'!$A$2:$C$26,3)*SIGN(S53-S52),0)</f>
        <v/>
      </c>
      <c r="AE53">
        <f>IF(AND(ISNUMBER(S53),ISNUMBER(S54)),VLOOKUP(ABS(S53-S54),'IMP Table'!$A$2:$C$26,3)*SIGN(S53-S54),0)</f>
        <v/>
      </c>
    </row>
    <row r="54">
      <c r="A54" s="15" t="n"/>
      <c r="B54" s="15">
        <f>'By Round'!A51</f>
        <v/>
      </c>
      <c r="C54" s="15">
        <f>'By Round'!B51</f>
        <v/>
      </c>
      <c r="D54" s="15">
        <f>'By Round'!C51</f>
        <v/>
      </c>
      <c r="E54" s="15">
        <f>'By Round'!D51</f>
        <v/>
      </c>
      <c r="F54" s="16" t="inlineStr">
        <is>
          <t>Both</t>
        </is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7">
        <f>SUM(Z54:AB54)</f>
        <v/>
      </c>
      <c r="M54" s="18">
        <f>SUM(AC54:AE54)</f>
        <v/>
      </c>
      <c r="N54" s="19">
        <f>IF(COUNT(T54:V54)&gt;0,P54/COUNT(T54:V54),0.5)</f>
        <v/>
      </c>
      <c r="O54" s="19">
        <f>IF(COUNT(W54:Y54)&gt;0,Q54/COUNT(W54:Y54),0.5)</f>
        <v/>
      </c>
      <c r="P54" s="20">
        <f>SUM(T54:V54)</f>
        <v/>
      </c>
      <c r="Q54" s="20">
        <f>SUM(W54:Y54)</f>
        <v/>
      </c>
      <c r="R54" s="21">
        <f>IF(ISNUMBER(J54),J54,IF(ISNUMBER(K54),-K54,""))</f>
        <v/>
      </c>
      <c r="S54" s="15">
        <f>IF(ISNUMBER(K54),K54,IF(ISNUMBER(J54),-J54,""))</f>
        <v/>
      </c>
      <c r="T54" s="21">
        <f>IF(ISNUMBER(R54),IF(ISNUMBER(R51),IF(R54&gt;R51,1.0,IF(R54=R51,0.5,0.0)),""),"")</f>
        <v/>
      </c>
      <c r="U54" s="15">
        <f>IF(ISNUMBER(R54),IF(ISNUMBER(R52),IF(R54&gt;R52,1.0,IF(R54=R52,0.5,0.0)),""),"")</f>
        <v/>
      </c>
      <c r="V54" s="15">
        <f>IF(ISNUMBER(R54),IF(ISNUMBER(R53),IF(R54&gt;R53,1.0,IF(R54=R53,0.5,0.0)),""),"")</f>
        <v/>
      </c>
      <c r="W54" s="15">
        <f>IF(ISNUMBER(S54),IF(ISNUMBER(S51),IF(S54&gt;S51,1.0,IF(S54=S51,0.5,0.0)),""),"")</f>
        <v/>
      </c>
      <c r="X54" s="15">
        <f>IF(ISNUMBER(S54),IF(ISNUMBER(S52),IF(S54&gt;S52,1.0,IF(S54=S52,0.5,0.0)),""),"")</f>
        <v/>
      </c>
      <c r="Y54" s="15">
        <f>IF(ISNUMBER(S54),IF(ISNUMBER(S53),IF(S54&gt;S53,1.0,IF(S54=S53,0.5,0.0)),""),"")</f>
        <v/>
      </c>
      <c r="Z54" s="21">
        <f>IF(AND(ISNUMBER(R54),ISNUMBER(R51)),VLOOKUP(ABS(R54-R51),'IMP Table'!$A$2:$C$26,3)*SIGN(R54-R51),0)</f>
        <v/>
      </c>
      <c r="AA54" s="15">
        <f>IF(AND(ISNUMBER(R54),ISNUMBER(R52)),VLOOKUP(ABS(R54-R52),'IMP Table'!$A$2:$C$26,3)*SIGN(R54-R52),0)</f>
        <v/>
      </c>
      <c r="AB54" s="15">
        <f>IF(AND(ISNUMBER(R54),ISNUMBER(R53)),VLOOKUP(ABS(R54-R53),'IMP Table'!$A$2:$C$26,3)*SIGN(R54-R53),0)</f>
        <v/>
      </c>
      <c r="AC54" s="15">
        <f>IF(AND(ISNUMBER(S54),ISNUMBER(S51)),VLOOKUP(ABS(S54-S51),'IMP Table'!$A$2:$C$26,3)*SIGN(S54-S51),0)</f>
        <v/>
      </c>
      <c r="AD54" s="15">
        <f>IF(AND(ISNUMBER(S54),ISNUMBER(S52)),VLOOKUP(ABS(S54-S52),'IMP Table'!$A$2:$C$26,3)*SIGN(S54-S52),0)</f>
        <v/>
      </c>
      <c r="AE54" s="15">
        <f>IF(AND(ISNUMBER(S54),ISNUMBER(S53)),VLOOKUP(ABS(S54-S53),'IMP Table'!$A$2:$C$26,3)*SIGN(S54-S53),0)</f>
        <v/>
      </c>
    </row>
    <row r="55">
      <c r="A55" t="n">
        <v>14</v>
      </c>
      <c r="B55">
        <f>'By Round'!A19</f>
        <v/>
      </c>
      <c r="C55">
        <f>'By Round'!B25</f>
        <v/>
      </c>
      <c r="D55">
        <f>'By Round'!C25</f>
        <v/>
      </c>
      <c r="E55">
        <f>'By Round'!D25</f>
        <v/>
      </c>
      <c r="F55" s="11" t="inlineStr">
        <is>
          <t>None</t>
        </is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 s="12">
        <f>SUM(Z55:AB55)</f>
        <v/>
      </c>
      <c r="M55" s="13">
        <f>SUM(AC55:AE55)</f>
        <v/>
      </c>
      <c r="N55" s="8">
        <f>IF(COUNT(T55:V55)&gt;0,P55/COUNT(T55:V55),0.5)</f>
        <v/>
      </c>
      <c r="O55" s="8">
        <f>IF(COUNT(W55:Y55)&gt;0,Q55/COUNT(W55:Y55),0.5)</f>
        <v/>
      </c>
      <c r="P55" s="4">
        <f>SUM(T55:V55)</f>
        <v/>
      </c>
      <c r="Q55" s="4">
        <f>SUM(W55:Y55)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IF(ISNUMBER(R55),IF(ISNUMBER(R56),IF(R55&gt;R56,1.0,IF(R55=R56,0.5,0.0)),""),"")</f>
        <v/>
      </c>
      <c r="U55">
        <f>IF(ISNUMBER(R55),IF(ISNUMBER(R57),IF(R55&gt;R57,1.0,IF(R55=R57,0.5,0.0)),""),"")</f>
        <v/>
      </c>
      <c r="V55">
        <f>IF(ISNUMBER(R55),IF(ISNUMBER(R58),IF(R55&gt;R58,1.0,IF(R55=R58,0.5,0.0)),""),"")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IF(ISNUMBER(S55),IF(ISNUMBER(S58),IF(S55&gt;S58,1.0,IF(S55=S58,0.5,0.0)),""),"")</f>
        <v/>
      </c>
      <c r="Z55" s="14">
        <f>IF(AND(ISNUMBER(R55),ISNUMBER(R56)),VLOOKUP(ABS(R55-R56),'IMP Table'!$A$2:$C$26,3)*SIGN(R55-R56),0)</f>
        <v/>
      </c>
      <c r="AA55">
        <f>IF(AND(ISNUMBER(R55),ISNUMBER(R57)),VLOOKUP(ABS(R55-R57),'IMP Table'!$A$2:$C$26,3)*SIGN(R55-R57),0)</f>
        <v/>
      </c>
      <c r="AB55">
        <f>IF(AND(ISNUMBER(R55),ISNUMBER(R58)),VLOOKUP(ABS(R55-R58),'IMP Table'!$A$2:$C$26,3)*SIGN(R55-R58),0)</f>
        <v/>
      </c>
      <c r="AC55">
        <f>IF(AND(ISNUMBER(S55),ISNUMBER(S56)),VLOOKUP(ABS(S55-S56),'IMP Table'!$A$2:$C$26,3)*SIGN(S55-S56),0)</f>
        <v/>
      </c>
      <c r="AD55">
        <f>IF(AND(ISNUMBER(S55),ISNUMBER(S57)),VLOOKUP(ABS(S55-S57),'IMP Table'!$A$2:$C$26,3)*SIGN(S55-S57),0)</f>
        <v/>
      </c>
      <c r="AE55">
        <f>IF(AND(ISNUMBER(S55),ISNUMBER(S58)),VLOOKUP(ABS(S55-S58),'IMP Table'!$A$2:$C$26,3)*SIGN(S55-S58),0)</f>
        <v/>
      </c>
    </row>
    <row r="56">
      <c r="B56">
        <f>'By Round'!A35</f>
        <v/>
      </c>
      <c r="C56">
        <f>'By Round'!B39</f>
        <v/>
      </c>
      <c r="D56">
        <f>'By Round'!C39</f>
        <v/>
      </c>
      <c r="E56">
        <f>'By Round'!D39</f>
        <v/>
      </c>
      <c r="F56" s="11" t="inlineStr">
        <is>
          <t>None</t>
        </is>
      </c>
      <c r="G56">
        <f>IF(ISBLANK('By Round'!G39),"",'By Round'!G39)</f>
        <v/>
      </c>
      <c r="H56">
        <f>IF(ISBLANK('By Round'!H39),"",'By Round'!H39)</f>
        <v/>
      </c>
      <c r="I56">
        <f>IF(ISBLANK('By Round'!I39),"",'By Round'!I39)</f>
        <v/>
      </c>
      <c r="J56">
        <f>IF(ISBLANK('By Round'!J39),"",'By Round'!J39)</f>
        <v/>
      </c>
      <c r="K56">
        <f>IF(ISBLANK('By Round'!K39),"",'By Round'!K39)</f>
        <v/>
      </c>
      <c r="L56" s="12">
        <f>SUM(Z56:AB56)</f>
        <v/>
      </c>
      <c r="M56" s="13">
        <f>SUM(AC56:AE56)</f>
        <v/>
      </c>
      <c r="N56" s="8">
        <f>IF(COUNT(T56:V56)&gt;0,P56/COUNT(T56:V56),0.5)</f>
        <v/>
      </c>
      <c r="O56" s="8">
        <f>IF(COUNT(W56:Y56)&gt;0,Q56/COUNT(W56:Y56),0.5)</f>
        <v/>
      </c>
      <c r="P56" s="4">
        <f>SUM(T56:V56)</f>
        <v/>
      </c>
      <c r="Q56" s="4">
        <f>SUM(W56:Y56)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IF(ISNUMBER(R56),IF(ISNUMBER(R55),IF(R56&gt;R55,1.0,IF(R56=R55,0.5,0.0)),""),"")</f>
        <v/>
      </c>
      <c r="U56">
        <f>IF(ISNUMBER(R56),IF(ISNUMBER(R57),IF(R56&gt;R57,1.0,IF(R56=R57,0.5,0.0)),""),"")</f>
        <v/>
      </c>
      <c r="V56">
        <f>IF(ISNUMBER(R56),IF(ISNUMBER(R58),IF(R56&gt;R58,1.0,IF(R56=R58,0.5,0.0)),""),"")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IF(ISNUMBER(S56),IF(ISNUMBER(S58),IF(S56&gt;S58,1.0,IF(S56=S58,0.5,0.0)),""),"")</f>
        <v/>
      </c>
      <c r="Z56" s="14">
        <f>IF(AND(ISNUMBER(R56),ISNUMBER(R55)),VLOOKUP(ABS(R56-R55),'IMP Table'!$A$2:$C$26,3)*SIGN(R56-R55),0)</f>
        <v/>
      </c>
      <c r="AA56">
        <f>IF(AND(ISNUMBER(R56),ISNUMBER(R57)),VLOOKUP(ABS(R56-R57),'IMP Table'!$A$2:$C$26,3)*SIGN(R56-R57),0)</f>
        <v/>
      </c>
      <c r="AB56">
        <f>IF(AND(ISNUMBER(R56),ISNUMBER(R58)),VLOOKUP(ABS(R56-R58),'IMP Table'!$A$2:$C$26,3)*SIGN(R56-R58),0)</f>
        <v/>
      </c>
      <c r="AC56">
        <f>IF(AND(ISNUMBER(S56),ISNUMBER(S55)),VLOOKUP(ABS(S56-S55),'IMP Table'!$A$2:$C$26,3)*SIGN(S56-S55),0)</f>
        <v/>
      </c>
      <c r="AD56">
        <f>IF(AND(ISNUMBER(S56),ISNUMBER(S57)),VLOOKUP(ABS(S56-S57),'IMP Table'!$A$2:$C$26,3)*SIGN(S56-S57),0)</f>
        <v/>
      </c>
      <c r="AE56">
        <f>IF(AND(ISNUMBER(S56),ISNUMBER(S58)),VLOOKUP(ABS(S56-S58),'IMP Table'!$A$2:$C$26,3)*SIGN(S56-S58),0)</f>
        <v/>
      </c>
    </row>
    <row r="57">
      <c r="B57">
        <f>'By Round'!A43</f>
        <v/>
      </c>
      <c r="C57">
        <f>'By Round'!B45</f>
        <v/>
      </c>
      <c r="D57">
        <f>'By Round'!C45</f>
        <v/>
      </c>
      <c r="E57">
        <f>'By Round'!D45</f>
        <v/>
      </c>
      <c r="F57" s="11" t="inlineStr">
        <is>
          <t>None</t>
        </is>
      </c>
      <c r="G57">
        <f>IF(ISBLANK('By Round'!G45),"",'By Round'!G45)</f>
        <v/>
      </c>
      <c r="H57">
        <f>IF(ISBLANK('By Round'!H45),"",'By Round'!H45)</f>
        <v/>
      </c>
      <c r="I57">
        <f>IF(ISBLANK('By Round'!I45),"",'By Round'!I45)</f>
        <v/>
      </c>
      <c r="J57">
        <f>IF(ISBLANK('By Round'!J45),"",'By Round'!J45)</f>
        <v/>
      </c>
      <c r="K57">
        <f>IF(ISBLANK('By Round'!K45),"",'By Round'!K45)</f>
        <v/>
      </c>
      <c r="L57" s="12">
        <f>SUM(Z57:AB57)</f>
        <v/>
      </c>
      <c r="M57" s="13">
        <f>SUM(AC57:AE57)</f>
        <v/>
      </c>
      <c r="N57" s="8">
        <f>IF(COUNT(T57:V57)&gt;0,P57/COUNT(T57:V57),0.5)</f>
        <v/>
      </c>
      <c r="O57" s="8">
        <f>IF(COUNT(W57:Y57)&gt;0,Q57/COUNT(W57:Y57),0.5)</f>
        <v/>
      </c>
      <c r="P57" s="4">
        <f>SUM(T57:V57)</f>
        <v/>
      </c>
      <c r="Q57" s="4">
        <f>SUM(W57:Y57)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IF(ISNUMBER(R57),IF(ISNUMBER(R55),IF(R57&gt;R55,1.0,IF(R57=R55,0.5,0.0)),""),"")</f>
        <v/>
      </c>
      <c r="U57">
        <f>IF(ISNUMBER(R57),IF(ISNUMBER(R56),IF(R57&gt;R56,1.0,IF(R57=R56,0.5,0.0)),""),"")</f>
        <v/>
      </c>
      <c r="V57">
        <f>IF(ISNUMBER(R57),IF(ISNUMBER(R58),IF(R57&gt;R58,1.0,IF(R57=R58,0.5,0.0)),""),"")</f>
        <v/>
      </c>
      <c r="W57">
        <f>IF(ISNUMBER(S57),IF(ISNUMBER(S55),IF(S57&gt;S55,1.0,IF(S57=S55,0.5,0.0)),""),"")</f>
        <v/>
      </c>
      <c r="X57">
        <f>IF(ISNUMBER(S57),IF(ISNUMBER(S56),IF(S57&gt;S56,1.0,IF(S57=S56,0.5,0.0)),""),"")</f>
        <v/>
      </c>
      <c r="Y57">
        <f>IF(ISNUMBER(S57),IF(ISNUMBER(S58),IF(S57&gt;S58,1.0,IF(S57=S58,0.5,0.0)),""),"")</f>
        <v/>
      </c>
      <c r="Z57" s="14">
        <f>IF(AND(ISNUMBER(R57),ISNUMBER(R55)),VLOOKUP(ABS(R57-R55),'IMP Table'!$A$2:$C$26,3)*SIGN(R57-R55),0)</f>
        <v/>
      </c>
      <c r="AA57">
        <f>IF(AND(ISNUMBER(R57),ISNUMBER(R56)),VLOOKUP(ABS(R57-R56),'IMP Table'!$A$2:$C$26,3)*SIGN(R57-R56),0)</f>
        <v/>
      </c>
      <c r="AB57">
        <f>IF(AND(ISNUMBER(R57),ISNUMBER(R58)),VLOOKUP(ABS(R57-R58),'IMP Table'!$A$2:$C$26,3)*SIGN(R57-R58),0)</f>
        <v/>
      </c>
      <c r="AC57">
        <f>IF(AND(ISNUMBER(S57),ISNUMBER(S55)),VLOOKUP(ABS(S57-S55),'IMP Table'!$A$2:$C$26,3)*SIGN(S57-S55),0)</f>
        <v/>
      </c>
      <c r="AD57">
        <f>IF(AND(ISNUMBER(S57),ISNUMBER(S56)),VLOOKUP(ABS(S57-S56),'IMP Table'!$A$2:$C$26,3)*SIGN(S57-S56),0)</f>
        <v/>
      </c>
      <c r="AE57">
        <f>IF(AND(ISNUMBER(S57),ISNUMBER(S58)),VLOOKUP(ABS(S57-S58),'IMP Table'!$A$2:$C$26,3)*SIGN(S57-S58),0)</f>
        <v/>
      </c>
    </row>
    <row r="58">
      <c r="A58" s="15" t="n"/>
      <c r="B58" s="15">
        <f>'By Round'!A51</f>
        <v/>
      </c>
      <c r="C58" s="15">
        <f>'By Round'!B51</f>
        <v/>
      </c>
      <c r="D58" s="15">
        <f>'By Round'!C51</f>
        <v/>
      </c>
      <c r="E58" s="15">
        <f>'By Round'!D51</f>
        <v/>
      </c>
      <c r="F58" s="16" t="inlineStr">
        <is>
          <t>None</t>
        </is>
      </c>
      <c r="G58" s="15">
        <f>IF(ISBLANK('By Round'!G51),"",'By Round'!G51)</f>
        <v/>
      </c>
      <c r="H58" s="15">
        <f>IF(ISBLANK('By Round'!H51),"",'By Round'!H51)</f>
        <v/>
      </c>
      <c r="I58" s="15">
        <f>IF(ISBLANK('By Round'!I51),"",'By Round'!I51)</f>
        <v/>
      </c>
      <c r="J58" s="15">
        <f>IF(ISBLANK('By Round'!J51),"",'By Round'!J51)</f>
        <v/>
      </c>
      <c r="K58" s="15">
        <f>IF(ISBLANK('By Round'!K51),"",'By Round'!K51)</f>
        <v/>
      </c>
      <c r="L58" s="17">
        <f>SUM(Z58:AB58)</f>
        <v/>
      </c>
      <c r="M58" s="18">
        <f>SUM(AC58:AE58)</f>
        <v/>
      </c>
      <c r="N58" s="19">
        <f>IF(COUNT(T58:V58)&gt;0,P58/COUNT(T58:V58),0.5)</f>
        <v/>
      </c>
      <c r="O58" s="19">
        <f>IF(COUNT(W58:Y58)&gt;0,Q58/COUNT(W58:Y58),0.5)</f>
        <v/>
      </c>
      <c r="P58" s="20">
        <f>SUM(T58:V58)</f>
        <v/>
      </c>
      <c r="Q58" s="20">
        <f>SUM(W58:Y58)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IF(ISNUMBER(R58),IF(ISNUMBER(R55),IF(R58&gt;R55,1.0,IF(R58=R55,0.5,0.0)),""),"")</f>
        <v/>
      </c>
      <c r="U58" s="15">
        <f>IF(ISNUMBER(R58),IF(ISNUMBER(R56),IF(R58&gt;R56,1.0,IF(R58=R56,0.5,0.0)),""),"")</f>
        <v/>
      </c>
      <c r="V58" s="15">
        <f>IF(ISNUMBER(R58),IF(ISNUMBER(R57),IF(R58&gt;R57,1.0,IF(R58=R57,0.5,0.0)),""),"")</f>
        <v/>
      </c>
      <c r="W58" s="15">
        <f>IF(ISNUMBER(S58),IF(ISNUMBER(S55),IF(S58&gt;S55,1.0,IF(S58=S55,0.5,0.0)),""),"")</f>
        <v/>
      </c>
      <c r="X58" s="15">
        <f>IF(ISNUMBER(S58),IF(ISNUMBER(S56),IF(S58&gt;S56,1.0,IF(S58=S56,0.5,0.0)),""),"")</f>
        <v/>
      </c>
      <c r="Y58" s="15">
        <f>IF(ISNUMBER(S58),IF(ISNUMBER(S57),IF(S58&gt;S57,1.0,IF(S58=S57,0.5,0.0)),""),"")</f>
        <v/>
      </c>
      <c r="Z58" s="21">
        <f>IF(AND(ISNUMBER(R58),ISNUMBER(R55)),VLOOKUP(ABS(R58-R55),'IMP Table'!$A$2:$C$26,3)*SIGN(R58-R55),0)</f>
        <v/>
      </c>
      <c r="AA58" s="15">
        <f>IF(AND(ISNUMBER(R58),ISNUMBER(R56)),VLOOKUP(ABS(R58-R56),'IMP Table'!$A$2:$C$26,3)*SIGN(R58-R56),0)</f>
        <v/>
      </c>
      <c r="AB58" s="15">
        <f>IF(AND(ISNUMBER(R58),ISNUMBER(R57)),VLOOKUP(ABS(R58-R57),'IMP Table'!$A$2:$C$26,3)*SIGN(R58-R57),0)</f>
        <v/>
      </c>
      <c r="AC58" s="15">
        <f>IF(AND(ISNUMBER(S58),ISNUMBER(S55)),VLOOKUP(ABS(S58-S55),'IMP Table'!$A$2:$C$26,3)*SIGN(S58-S55),0)</f>
        <v/>
      </c>
      <c r="AD58" s="15">
        <f>IF(AND(ISNUMBER(S58),ISNUMBER(S56)),VLOOKUP(ABS(S58-S56),'IMP Table'!$A$2:$C$26,3)*SIGN(S58-S56),0)</f>
        <v/>
      </c>
      <c r="AE58" s="15">
        <f>IF(AND(ISNUMBER(S58),ISNUMBER(S57)),VLOOKUP(ABS(S58-S57),'IMP Table'!$A$2:$C$26,3)*SIGN(S58-S57),0)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1" t="n">
        <v>1</v>
      </c>
      <c r="B3" s="11" t="n">
        <v>1</v>
      </c>
      <c r="C3" s="11" t="n">
        <v>8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6</v>
      </c>
      <c r="D5" s="11" t="n">
        <v>5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4</v>
      </c>
      <c r="D7" s="11" t="n">
        <v>2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7</v>
      </c>
      <c r="D9" s="11" t="n">
        <v>3</v>
      </c>
      <c r="E9" s="11" t="n">
        <v>9</v>
      </c>
      <c r="F9" s="11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A11" s="11" t="n">
        <v>2</v>
      </c>
      <c r="B11" s="11" t="n">
        <v>1</v>
      </c>
      <c r="C11" s="11" t="n">
        <v>8</v>
      </c>
      <c r="D11" s="11" t="n">
        <v>2</v>
      </c>
      <c r="E11" s="11" t="n">
        <v>3</v>
      </c>
      <c r="F11" s="11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2</v>
      </c>
      <c r="C13" s="11" t="n">
        <v>7</v>
      </c>
      <c r="D13" s="11" t="n">
        <v>6</v>
      </c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3</v>
      </c>
      <c r="C15" s="11" t="n">
        <v>5</v>
      </c>
      <c r="D15" s="11" t="n">
        <v>3</v>
      </c>
      <c r="E15" s="11" t="n">
        <v>7</v>
      </c>
      <c r="F15" s="11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B17" s="11" t="n">
        <v>4</v>
      </c>
      <c r="C17" s="11" t="n">
        <v>1</v>
      </c>
      <c r="D17" s="11" t="n">
        <v>4</v>
      </c>
      <c r="E17" s="11" t="n">
        <v>11</v>
      </c>
      <c r="F17" s="11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A19" s="11" t="n">
        <v>3</v>
      </c>
      <c r="B19" s="11" t="n">
        <v>1</v>
      </c>
      <c r="C19" s="11" t="n">
        <v>8</v>
      </c>
      <c r="D19" s="11" t="n">
        <v>3</v>
      </c>
      <c r="E19" s="11" t="n">
        <v>5</v>
      </c>
      <c r="F19" s="11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</row>
    <row r="21">
      <c r="B21" s="11" t="n">
        <v>2</v>
      </c>
      <c r="C21" s="11" t="n">
        <v>1</v>
      </c>
      <c r="D21" s="11" t="n">
        <v>7</v>
      </c>
      <c r="E21" s="11" t="n">
        <v>7</v>
      </c>
      <c r="F21" s="11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</row>
    <row r="23">
      <c r="B23" s="11" t="n">
        <v>3</v>
      </c>
      <c r="C23" s="11" t="n">
        <v>6</v>
      </c>
      <c r="D23" s="11" t="n">
        <v>4</v>
      </c>
      <c r="E23" s="11" t="n">
        <v>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4</v>
      </c>
      <c r="C25" s="11" t="n">
        <v>2</v>
      </c>
      <c r="D25" s="11" t="n">
        <v>5</v>
      </c>
      <c r="E25" s="11" t="n">
        <v>13</v>
      </c>
      <c r="F25" s="11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A27" s="11" t="n">
        <v>4</v>
      </c>
      <c r="B27" s="11" t="n">
        <v>1</v>
      </c>
      <c r="C27" s="11" t="n">
        <v>8</v>
      </c>
      <c r="D27" s="11" t="n">
        <v>4</v>
      </c>
      <c r="E27" s="11" t="n">
        <v>7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2</v>
      </c>
      <c r="D29" s="11" t="n">
        <v>1</v>
      </c>
      <c r="E29" s="11" t="n">
        <v>9</v>
      </c>
      <c r="F29" s="11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7</v>
      </c>
      <c r="D31" s="11" t="n">
        <v>5</v>
      </c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3</v>
      </c>
      <c r="D33" s="11" t="n">
        <v>6</v>
      </c>
      <c r="E33" s="11" t="n">
        <v>1</v>
      </c>
      <c r="F33" s="11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</row>
    <row r="35">
      <c r="A35" s="11" t="n">
        <v>5</v>
      </c>
      <c r="B35" s="11" t="n">
        <v>1</v>
      </c>
      <c r="C35" s="11" t="n">
        <v>8</v>
      </c>
      <c r="D35" s="11" t="n">
        <v>5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2</v>
      </c>
      <c r="C37" s="11" t="n">
        <v>3</v>
      </c>
      <c r="D37" s="11" t="n">
        <v>2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3</v>
      </c>
      <c r="C39" s="11" t="n">
        <v>1</v>
      </c>
      <c r="D39" s="11" t="n">
        <v>6</v>
      </c>
      <c r="E39" s="11" t="n">
        <v>13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4</v>
      </c>
      <c r="C41" s="11" t="n">
        <v>4</v>
      </c>
      <c r="D41" s="11" t="n">
        <v>7</v>
      </c>
      <c r="E41" s="11" t="n">
        <v>3</v>
      </c>
      <c r="F41" s="11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A43" s="11" t="n">
        <v>6</v>
      </c>
      <c r="B43" s="11" t="n">
        <v>1</v>
      </c>
      <c r="C43" s="11" t="n">
        <v>8</v>
      </c>
      <c r="D43" s="11" t="n">
        <v>6</v>
      </c>
      <c r="E43" s="11" t="n">
        <v>11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13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2</v>
      </c>
      <c r="D47" s="11" t="n">
        <v>7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5</v>
      </c>
      <c r="D49" s="11" t="n">
        <v>1</v>
      </c>
      <c r="E49" s="11" t="n">
        <v>5</v>
      </c>
      <c r="F49" s="11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A51" s="11" t="n">
        <v>7</v>
      </c>
      <c r="B51" s="11" t="n">
        <v>1</v>
      </c>
      <c r="C51" s="11" t="n">
        <v>8</v>
      </c>
      <c r="D51" s="11" t="n">
        <v>7</v>
      </c>
      <c r="E51" s="11" t="n">
        <v>13</v>
      </c>
      <c r="F51" s="11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5</v>
      </c>
      <c r="D53" s="11" t="n">
        <v>4</v>
      </c>
      <c r="E53" s="11" t="n">
        <v>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3</v>
      </c>
      <c r="D55" s="11" t="n">
        <v>1</v>
      </c>
      <c r="E55" s="11" t="n">
        <v>3</v>
      </c>
      <c r="F55" s="11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6</v>
      </c>
      <c r="D57" s="11" t="n">
        <v>2</v>
      </c>
      <c r="E57" s="11" t="n">
        <v>7</v>
      </c>
      <c r="F57" s="11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2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3" t="n">
        <v>1</v>
      </c>
      <c r="B4" s="24" t="n"/>
      <c r="C4" s="24" t="n"/>
      <c r="D4" s="24" t="n"/>
      <c r="E4" s="24" t="n"/>
      <c r="F4" s="24" t="n"/>
      <c r="G4" s="24" t="n"/>
      <c r="H4" s="24" t="n"/>
    </row>
    <row r="5">
      <c r="A5" s="23" t="n">
        <v>2</v>
      </c>
      <c r="B5" s="24" t="n"/>
      <c r="C5" s="24" t="n"/>
      <c r="D5" s="24" t="n"/>
      <c r="E5" s="24" t="n"/>
      <c r="F5" s="24" t="n"/>
      <c r="G5" s="24" t="n"/>
      <c r="H5" s="24" t="n"/>
    </row>
    <row r="6">
      <c r="A6" s="23" t="n">
        <v>3</v>
      </c>
      <c r="B6" s="24" t="n"/>
      <c r="C6" s="24" t="n"/>
      <c r="D6" s="24" t="n"/>
      <c r="E6" s="24" t="n"/>
      <c r="F6" s="24" t="n"/>
      <c r="G6" s="24" t="n"/>
      <c r="H6" s="24" t="n"/>
    </row>
    <row r="7">
      <c r="A7" s="23" t="n">
        <v>4</v>
      </c>
      <c r="B7" s="24" t="n"/>
      <c r="C7" s="24" t="n"/>
      <c r="D7" s="24" t="n"/>
      <c r="E7" s="24" t="n"/>
      <c r="F7" s="24" t="n"/>
      <c r="G7" s="24" t="n"/>
      <c r="H7" s="24" t="n"/>
    </row>
    <row r="8">
      <c r="A8" s="23" t="n">
        <v>5</v>
      </c>
      <c r="B8" s="24" t="n"/>
      <c r="C8" s="24" t="n"/>
      <c r="D8" s="24" t="n"/>
      <c r="E8" s="24" t="n"/>
      <c r="F8" s="24" t="n"/>
      <c r="G8" s="24" t="n"/>
      <c r="H8" s="24" t="n"/>
    </row>
    <row r="9">
      <c r="A9" s="23" t="n">
        <v>6</v>
      </c>
      <c r="B9" s="24" t="n"/>
      <c r="C9" s="24" t="n"/>
      <c r="D9" s="24" t="n"/>
      <c r="E9" s="24" t="n"/>
      <c r="F9" s="24" t="n"/>
      <c r="G9" s="24" t="n"/>
      <c r="H9" s="24" t="n"/>
    </row>
    <row r="10">
      <c r="A10" s="23" t="n">
        <v>7</v>
      </c>
      <c r="B10" s="24" t="n"/>
      <c r="C10" s="24" t="n"/>
      <c r="D10" s="24" t="n"/>
      <c r="E10" s="24" t="n"/>
      <c r="F10" s="24" t="n"/>
      <c r="G10" s="24" t="n"/>
      <c r="H10" s="24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3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3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3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3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3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3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3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3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3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3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3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3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3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3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3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3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3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3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3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2026-02-01T18:07:28Z</dcterms:created>
  <dcterms:modified xsi:type="dcterms:W3CDTF">2026-02-01T18:07:28Z</dcterms:modified>
</cp:coreProperties>
</file>