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10,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8</v>
      </c>
    </row>
    <row r="5">
      <c r="A5" s="3" t="inlineStr">
        <is>
          <t>Boards per Round</t>
        </is>
      </c>
      <c r="C5" s="3" t="n">
        <v>3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88</t>
        </is>
      </c>
      <c r="C8" t="inlineStr">
        <is>
          <t>Name 53</t>
        </is>
      </c>
      <c r="D8">
        <f>SUMIF('By Board'!D3:D27,"="&amp;A8,'By Board'!L3:L27)+SUMIF('By Board'!E3:E27,"="&amp;A8,'By Board'!M3:M27)</f>
        <v/>
      </c>
    </row>
    <row r="9">
      <c r="A9" s="2" t="n">
        <v>2</v>
      </c>
      <c r="B9" t="inlineStr">
        <is>
          <t>Name 59</t>
        </is>
      </c>
      <c r="C9" t="inlineStr">
        <is>
          <t>Name 73</t>
        </is>
      </c>
      <c r="D9">
        <f>SUMIF('By Board'!D3:D27,"="&amp;A9,'By Board'!L3:L27)+SUMIF('By Board'!E3:E27,"="&amp;A9,'By Board'!M3:M27)</f>
        <v/>
      </c>
    </row>
    <row r="10">
      <c r="A10" s="2" t="n">
        <v>3</v>
      </c>
      <c r="B10" t="inlineStr">
        <is>
          <t>Name 83</t>
        </is>
      </c>
      <c r="C10" t="inlineStr">
        <is>
          <t>Name 56</t>
        </is>
      </c>
      <c r="D10">
        <f>SUMIF('By Board'!D3:D27,"="&amp;A10,'By Board'!L3:L27)+SUMIF('By Board'!E3:E27,"="&amp;A10,'By Board'!M3:M27)</f>
        <v/>
      </c>
    </row>
    <row r="11">
      <c r="A11" s="4" t="n">
        <v>4</v>
      </c>
      <c r="B11" s="5" t="inlineStr">
        <is>
          <t>Name 23</t>
        </is>
      </c>
      <c r="C11" s="5" t="inlineStr">
        <is>
          <t>Name 63</t>
        </is>
      </c>
      <c r="D11" s="5">
        <f>SUMIF('By Board'!D3:D27,"="&amp;A11,'By Board'!L3:L27)+SUMIF('By Board'!E3:E27,"="&amp;A11,'By Board'!M3:M27)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1</v>
      </c>
      <c r="D7" s="8" t="n">
        <v>1</v>
      </c>
      <c r="E7" s="8" t="n">
        <v>3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2</v>
      </c>
      <c r="D8" s="10" t="n">
        <v>4</v>
      </c>
      <c r="E8" s="10" t="n">
        <v>2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2</v>
      </c>
      <c r="D9" s="8" t="n">
        <v>4</v>
      </c>
      <c r="E9" s="8" t="n">
        <v>2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1</v>
      </c>
      <c r="D10" s="10" t="n">
        <v>1</v>
      </c>
      <c r="E10" s="10" t="n">
        <v>3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1</v>
      </c>
      <c r="C11" s="8" t="n">
        <v>2</v>
      </c>
      <c r="D11" s="8" t="n">
        <v>4</v>
      </c>
      <c r="E11" s="8" t="n">
        <v>2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2</v>
      </c>
      <c r="C12" s="10" t="n">
        <v>1</v>
      </c>
      <c r="D12" s="10" t="n">
        <v>1</v>
      </c>
      <c r="E12" s="10" t="n">
        <v>3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1</v>
      </c>
      <c r="C13" s="8" t="n">
        <v>2</v>
      </c>
      <c r="D13" s="8" t="n">
        <v>4</v>
      </c>
      <c r="E13" s="8" t="n">
        <v>2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2</v>
      </c>
      <c r="C14" s="10" t="n">
        <v>1</v>
      </c>
      <c r="D14" s="10" t="n">
        <v>1</v>
      </c>
      <c r="E14" s="10" t="n">
        <v>3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3</v>
      </c>
      <c r="C15" s="8" t="n">
        <v>1</v>
      </c>
      <c r="D15" s="8" t="n">
        <v>1</v>
      </c>
      <c r="E15" s="8" t="n">
        <v>4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4</v>
      </c>
      <c r="C16" s="10" t="n">
        <v>2</v>
      </c>
      <c r="D16" s="10" t="n">
        <v>3</v>
      </c>
      <c r="E16" s="10" t="n">
        <v>2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3</v>
      </c>
      <c r="C17" s="8" t="n">
        <v>1</v>
      </c>
      <c r="D17" s="8" t="n">
        <v>1</v>
      </c>
      <c r="E17" s="8" t="n">
        <v>4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4</v>
      </c>
      <c r="C18" s="10" t="n">
        <v>2</v>
      </c>
      <c r="D18" s="10" t="n">
        <v>3</v>
      </c>
      <c r="E18" s="10" t="n">
        <v>2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3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4</v>
      </c>
      <c r="C20" s="10" t="n">
        <v>2</v>
      </c>
      <c r="D20" s="10" t="n">
        <v>3</v>
      </c>
      <c r="E20" s="10" t="n">
        <v>2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3</v>
      </c>
      <c r="C21" s="8" t="n">
        <v>2</v>
      </c>
      <c r="D21" s="8" t="n">
        <v>3</v>
      </c>
      <c r="E21" s="8" t="n">
        <v>2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4</v>
      </c>
      <c r="C22" s="10" t="n">
        <v>1</v>
      </c>
      <c r="D22" s="10" t="n">
        <v>1</v>
      </c>
      <c r="E22" s="10" t="n">
        <v>4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3</v>
      </c>
      <c r="C23" s="8" t="n">
        <v>2</v>
      </c>
      <c r="D23" s="8" t="n">
        <v>3</v>
      </c>
      <c r="E23" s="8" t="n">
        <v>2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4</v>
      </c>
      <c r="C24" s="10" t="n">
        <v>1</v>
      </c>
      <c r="D24" s="10" t="n">
        <v>1</v>
      </c>
      <c r="E24" s="10" t="n">
        <v>4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3</v>
      </c>
      <c r="C25" s="8" t="n">
        <v>2</v>
      </c>
      <c r="D25" s="8" t="n">
        <v>3</v>
      </c>
      <c r="E25" s="8" t="n">
        <v>2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4</v>
      </c>
      <c r="C26" s="10" t="n">
        <v>1</v>
      </c>
      <c r="D26" s="10" t="n">
        <v>1</v>
      </c>
      <c r="E26" s="10" t="n">
        <v>4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5</v>
      </c>
      <c r="C27" s="8" t="n">
        <v>1</v>
      </c>
      <c r="D27" s="8" t="n">
        <v>1</v>
      </c>
      <c r="E27" s="8" t="n">
        <v>4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6</v>
      </c>
      <c r="C28" s="10" t="n">
        <v>2</v>
      </c>
      <c r="D28" s="10" t="n">
        <v>2</v>
      </c>
      <c r="E28" s="10" t="n">
        <v>3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5</v>
      </c>
      <c r="C29" s="8" t="n">
        <v>1</v>
      </c>
      <c r="D29" s="8" t="n">
        <v>1</v>
      </c>
      <c r="E29" s="8" t="n">
        <v>4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6</v>
      </c>
      <c r="C30" s="10" t="n">
        <v>2</v>
      </c>
      <c r="D30" s="10" t="n">
        <v>2</v>
      </c>
      <c r="E30" s="10" t="n">
        <v>3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5</v>
      </c>
      <c r="C31" s="8" t="n">
        <v>1</v>
      </c>
      <c r="D31" s="8" t="n">
        <v>1</v>
      </c>
      <c r="E31" s="8" t="n">
        <v>4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6</v>
      </c>
      <c r="C32" s="10" t="n">
        <v>2</v>
      </c>
      <c r="D32" s="10" t="n">
        <v>2</v>
      </c>
      <c r="E32" s="10" t="n">
        <v>3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5</v>
      </c>
      <c r="C33" s="8" t="n">
        <v>2</v>
      </c>
      <c r="D33" s="8" t="n">
        <v>2</v>
      </c>
      <c r="E33" s="8" t="n">
        <v>3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6</v>
      </c>
      <c r="C34" s="10" t="n">
        <v>1</v>
      </c>
      <c r="D34" s="10" t="n">
        <v>1</v>
      </c>
      <c r="E34" s="10" t="n">
        <v>4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  <row r="35">
      <c r="A35" s="8" t="n">
        <v>17</v>
      </c>
      <c r="B35" s="8" t="n">
        <v>5</v>
      </c>
      <c r="C35" s="8" t="n">
        <v>2</v>
      </c>
      <c r="D35" s="8" t="n">
        <v>2</v>
      </c>
      <c r="E35" s="8" t="n">
        <v>3</v>
      </c>
      <c r="F35" s="8" t="inlineStr">
        <is>
          <t>None</t>
        </is>
      </c>
      <c r="L35" s="9">
        <f>IF(AND(ISNUMBER(N35),ISNUMBER(N36)),VLOOKUP(ABS(N35-N36),'IMP Table'!$A$2:$C$26,3)*SIGN(N35-N36),0)</f>
        <v/>
      </c>
      <c r="M35" s="9">
        <f>IF(AND(ISNUMBER(O35),ISNUMBER(O36)),VLOOKUP(ABS(O35-O36),'IMP Table'!$A$2:$C$26,3)*SIGN(O35-O36),0)</f>
        <v/>
      </c>
      <c r="N35">
        <f>IF(ISNUMBER(J35),J35,IF(ISNUMBER(K35),-K35,""))</f>
        <v/>
      </c>
      <c r="O35">
        <f>IF(ISNUMBER(K35),K35,IF(ISNUMBER(J35),-J35,""))</f>
        <v/>
      </c>
    </row>
    <row r="36">
      <c r="A36" s="5" t="n"/>
      <c r="B36" s="10" t="n">
        <v>6</v>
      </c>
      <c r="C36" s="10" t="n">
        <v>1</v>
      </c>
      <c r="D36" s="10" t="n">
        <v>1</v>
      </c>
      <c r="E36" s="10" t="n">
        <v>4</v>
      </c>
      <c r="F36" s="10" t="inlineStr">
        <is>
          <t>None</t>
        </is>
      </c>
      <c r="G36" s="5" t="n"/>
      <c r="H36" s="5" t="n"/>
      <c r="I36" s="5" t="n"/>
      <c r="J36" s="5" t="n"/>
      <c r="K36" s="5" t="n"/>
      <c r="L36" s="11">
        <f>IF(AND(ISNUMBER(N36),ISNUMBER(N35)),VLOOKUP(ABS(N36-N35),'IMP Table'!$A$2:$C$26,3)*SIGN(N36-N35),0)</f>
        <v/>
      </c>
      <c r="M36" s="11">
        <f>IF(AND(ISNUMBER(O36),ISNUMBER(O35)),VLOOKUP(ABS(O36-O35),'IMP Table'!$A$2:$C$26,3)*SIGN(O36-O35),0)</f>
        <v/>
      </c>
      <c r="N36" s="5">
        <f>IF(ISNUMBER(J36),J36,IF(ISNUMBER(K36),-K36,""))</f>
        <v/>
      </c>
      <c r="O36" s="5">
        <f>IF(ISNUMBER(K36),K36,IF(ISNUMBER(J36),-J36,""))</f>
        <v/>
      </c>
    </row>
    <row r="37">
      <c r="A37" s="8" t="n">
        <v>18</v>
      </c>
      <c r="B37" s="8" t="n">
        <v>5</v>
      </c>
      <c r="C37" s="8" t="n">
        <v>2</v>
      </c>
      <c r="D37" s="8" t="n">
        <v>2</v>
      </c>
      <c r="E37" s="8" t="n">
        <v>3</v>
      </c>
      <c r="F37" s="8" t="inlineStr">
        <is>
          <t>NS</t>
        </is>
      </c>
      <c r="L37" s="9">
        <f>IF(AND(ISNUMBER(N37),ISNUMBER(N38)),VLOOKUP(ABS(N37-N38),'IMP Table'!$A$2:$C$26,3)*SIGN(N37-N38),0)</f>
        <v/>
      </c>
      <c r="M37" s="9">
        <f>IF(AND(ISNUMBER(O37),ISNUMBER(O38)),VLOOKUP(ABS(O37-O38),'IMP Table'!$A$2:$C$26,3)*SIGN(O37-O38),0)</f>
        <v/>
      </c>
      <c r="N37">
        <f>IF(ISNUMBER(J37),J37,IF(ISNUMBER(K37),-K37,""))</f>
        <v/>
      </c>
      <c r="O37">
        <f>IF(ISNUMBER(K37),K37,IF(ISNUMBER(J37),-J37,""))</f>
        <v/>
      </c>
    </row>
    <row r="38">
      <c r="A38" s="5" t="n"/>
      <c r="B38" s="10" t="n">
        <v>6</v>
      </c>
      <c r="C38" s="10" t="n">
        <v>1</v>
      </c>
      <c r="D38" s="10" t="n">
        <v>1</v>
      </c>
      <c r="E38" s="10" t="n">
        <v>4</v>
      </c>
      <c r="F38" s="10" t="inlineStr">
        <is>
          <t>NS</t>
        </is>
      </c>
      <c r="G38" s="5" t="n"/>
      <c r="H38" s="5" t="n"/>
      <c r="I38" s="5" t="n"/>
      <c r="J38" s="5" t="n"/>
      <c r="K38" s="5" t="n"/>
      <c r="L38" s="11">
        <f>IF(AND(ISNUMBER(N38),ISNUMBER(N37)),VLOOKUP(ABS(N38-N37),'IMP Table'!$A$2:$C$26,3)*SIGN(N38-N37),0)</f>
        <v/>
      </c>
      <c r="M38" s="11">
        <f>IF(AND(ISNUMBER(O38),ISNUMBER(O37)),VLOOKUP(ABS(O38-O37),'IMP Table'!$A$2:$C$26,3)*SIGN(O38-O37),0)</f>
        <v/>
      </c>
      <c r="N38" s="5">
        <f>IF(ISNUMBER(J38),J38,IF(ISNUMBER(K38),-K38,""))</f>
        <v/>
      </c>
      <c r="O38" s="5">
        <f>IF(ISNUMBER(K38),K38,IF(ISNUMBER(J38),-J38,""))</f>
        <v/>
      </c>
    </row>
    <row r="39">
      <c r="A39" s="8" t="n">
        <v>19</v>
      </c>
      <c r="B39" s="8" t="n">
        <v>7</v>
      </c>
      <c r="C39" s="8" t="n">
        <v>1</v>
      </c>
      <c r="D39" s="8" t="n">
        <v>1</v>
      </c>
      <c r="E39" s="8" t="n">
        <v>2</v>
      </c>
      <c r="F39" s="8" t="inlineStr">
        <is>
          <t>EW</t>
        </is>
      </c>
      <c r="L39" s="9">
        <f>IF(AND(ISNUMBER(N39),ISNUMBER(N40)),VLOOKUP(ABS(N39-N40),'IMP Table'!$A$2:$C$26,3)*SIGN(N39-N40),0)</f>
        <v/>
      </c>
      <c r="M39" s="9">
        <f>IF(AND(ISNUMBER(O39),ISNUMBER(O40)),VLOOKUP(ABS(O39-O40),'IMP Table'!$A$2:$C$26,3)*SIGN(O39-O40),0)</f>
        <v/>
      </c>
      <c r="N39">
        <f>IF(ISNUMBER(J39),J39,IF(ISNUMBER(K39),-K39,""))</f>
        <v/>
      </c>
      <c r="O39">
        <f>IF(ISNUMBER(K39),K39,IF(ISNUMBER(J39),-J39,""))</f>
        <v/>
      </c>
    </row>
    <row r="40">
      <c r="A40" s="5" t="n"/>
      <c r="B40" s="10" t="n">
        <v>8</v>
      </c>
      <c r="C40" s="10" t="n">
        <v>2</v>
      </c>
      <c r="D40" s="10" t="n">
        <v>4</v>
      </c>
      <c r="E40" s="10" t="n">
        <v>3</v>
      </c>
      <c r="F40" s="10" t="inlineStr">
        <is>
          <t>EW</t>
        </is>
      </c>
      <c r="G40" s="5" t="n"/>
      <c r="H40" s="5" t="n"/>
      <c r="I40" s="5" t="n"/>
      <c r="J40" s="5" t="n"/>
      <c r="K40" s="5" t="n"/>
      <c r="L40" s="11">
        <f>IF(AND(ISNUMBER(N40),ISNUMBER(N39)),VLOOKUP(ABS(N40-N39),'IMP Table'!$A$2:$C$26,3)*SIGN(N40-N39),0)</f>
        <v/>
      </c>
      <c r="M40" s="11">
        <f>IF(AND(ISNUMBER(O40),ISNUMBER(O39)),VLOOKUP(ABS(O40-O39),'IMP Table'!$A$2:$C$26,3)*SIGN(O40-O39),0)</f>
        <v/>
      </c>
      <c r="N40" s="5">
        <f>IF(ISNUMBER(J40),J40,IF(ISNUMBER(K40),-K40,""))</f>
        <v/>
      </c>
      <c r="O40" s="5">
        <f>IF(ISNUMBER(K40),K40,IF(ISNUMBER(J40),-J40,""))</f>
        <v/>
      </c>
    </row>
    <row r="41">
      <c r="A41" s="8" t="n">
        <v>20</v>
      </c>
      <c r="B41" s="8" t="n">
        <v>7</v>
      </c>
      <c r="C41" s="8" t="n">
        <v>1</v>
      </c>
      <c r="D41" s="8" t="n">
        <v>1</v>
      </c>
      <c r="E41" s="8" t="n">
        <v>2</v>
      </c>
      <c r="F41" s="8" t="inlineStr">
        <is>
          <t>Both</t>
        </is>
      </c>
      <c r="L41" s="9">
        <f>IF(AND(ISNUMBER(N41),ISNUMBER(N42)),VLOOKUP(ABS(N41-N42),'IMP Table'!$A$2:$C$26,3)*SIGN(N41-N42),0)</f>
        <v/>
      </c>
      <c r="M41" s="9">
        <f>IF(AND(ISNUMBER(O41),ISNUMBER(O42)),VLOOKUP(ABS(O41-O42),'IMP Table'!$A$2:$C$26,3)*SIGN(O41-O42),0)</f>
        <v/>
      </c>
      <c r="N41">
        <f>IF(ISNUMBER(J41),J41,IF(ISNUMBER(K41),-K41,""))</f>
        <v/>
      </c>
      <c r="O41">
        <f>IF(ISNUMBER(K41),K41,IF(ISNUMBER(J41),-J41,""))</f>
        <v/>
      </c>
    </row>
    <row r="42">
      <c r="A42" s="5" t="n"/>
      <c r="B42" s="10" t="n">
        <v>8</v>
      </c>
      <c r="C42" s="10" t="n">
        <v>2</v>
      </c>
      <c r="D42" s="10" t="n">
        <v>4</v>
      </c>
      <c r="E42" s="10" t="n">
        <v>3</v>
      </c>
      <c r="F42" s="10" t="inlineStr">
        <is>
          <t>Both</t>
        </is>
      </c>
      <c r="G42" s="5" t="n"/>
      <c r="H42" s="5" t="n"/>
      <c r="I42" s="5" t="n"/>
      <c r="J42" s="5" t="n"/>
      <c r="K42" s="5" t="n"/>
      <c r="L42" s="11">
        <f>IF(AND(ISNUMBER(N42),ISNUMBER(N41)),VLOOKUP(ABS(N42-N41),'IMP Table'!$A$2:$C$26,3)*SIGN(N42-N41),0)</f>
        <v/>
      </c>
      <c r="M42" s="11">
        <f>IF(AND(ISNUMBER(O42),ISNUMBER(O41)),VLOOKUP(ABS(O42-O41),'IMP Table'!$A$2:$C$26,3)*SIGN(O42-O41),0)</f>
        <v/>
      </c>
      <c r="N42" s="5">
        <f>IF(ISNUMBER(J42),J42,IF(ISNUMBER(K42),-K42,""))</f>
        <v/>
      </c>
      <c r="O42" s="5">
        <f>IF(ISNUMBER(K42),K42,IF(ISNUMBER(J42),-J42,""))</f>
        <v/>
      </c>
    </row>
    <row r="43">
      <c r="A43" s="8" t="n">
        <v>21</v>
      </c>
      <c r="B43" s="8" t="n">
        <v>7</v>
      </c>
      <c r="C43" s="8" t="n">
        <v>1</v>
      </c>
      <c r="D43" s="8" t="n">
        <v>1</v>
      </c>
      <c r="E43" s="8" t="n">
        <v>2</v>
      </c>
      <c r="F43" s="8" t="inlineStr">
        <is>
          <t>NS</t>
        </is>
      </c>
      <c r="L43" s="9">
        <f>IF(AND(ISNUMBER(N43),ISNUMBER(N44)),VLOOKUP(ABS(N43-N44),'IMP Table'!$A$2:$C$26,3)*SIGN(N43-N44),0)</f>
        <v/>
      </c>
      <c r="M43" s="9">
        <f>IF(AND(ISNUMBER(O43),ISNUMBER(O44)),VLOOKUP(ABS(O43-O44),'IMP Table'!$A$2:$C$26,3)*SIGN(O43-O44),0)</f>
        <v/>
      </c>
      <c r="N43">
        <f>IF(ISNUMBER(J43),J43,IF(ISNUMBER(K43),-K43,""))</f>
        <v/>
      </c>
      <c r="O43">
        <f>IF(ISNUMBER(K43),K43,IF(ISNUMBER(J43),-J43,""))</f>
        <v/>
      </c>
    </row>
    <row r="44">
      <c r="A44" s="5" t="n"/>
      <c r="B44" s="10" t="n">
        <v>8</v>
      </c>
      <c r="C44" s="10" t="n">
        <v>2</v>
      </c>
      <c r="D44" s="10" t="n">
        <v>4</v>
      </c>
      <c r="E44" s="10" t="n">
        <v>3</v>
      </c>
      <c r="F44" s="10" t="inlineStr">
        <is>
          <t>NS</t>
        </is>
      </c>
      <c r="G44" s="5" t="n"/>
      <c r="H44" s="5" t="n"/>
      <c r="I44" s="5" t="n"/>
      <c r="J44" s="5" t="n"/>
      <c r="K44" s="5" t="n"/>
      <c r="L44" s="11">
        <f>IF(AND(ISNUMBER(N44),ISNUMBER(N43)),VLOOKUP(ABS(N44-N43),'IMP Table'!$A$2:$C$26,3)*SIGN(N44-N43),0)</f>
        <v/>
      </c>
      <c r="M44" s="11">
        <f>IF(AND(ISNUMBER(O44),ISNUMBER(O43)),VLOOKUP(ABS(O44-O43),'IMP Table'!$A$2:$C$26,3)*SIGN(O44-O43),0)</f>
        <v/>
      </c>
      <c r="N44" s="5">
        <f>IF(ISNUMBER(J44),J44,IF(ISNUMBER(K44),-K44,""))</f>
        <v/>
      </c>
      <c r="O44" s="5">
        <f>IF(ISNUMBER(K44),K44,IF(ISNUMBER(J44),-J44,""))</f>
        <v/>
      </c>
    </row>
    <row r="45">
      <c r="A45" s="8" t="n">
        <v>22</v>
      </c>
      <c r="B45" s="8" t="n">
        <v>7</v>
      </c>
      <c r="C45" s="8" t="n">
        <v>2</v>
      </c>
      <c r="D45" s="8" t="n">
        <v>4</v>
      </c>
      <c r="E45" s="8" t="n">
        <v>3</v>
      </c>
      <c r="F45" s="8" t="inlineStr">
        <is>
          <t>EW</t>
        </is>
      </c>
      <c r="L45" s="9">
        <f>IF(AND(ISNUMBER(N45),ISNUMBER(N46)),VLOOKUP(ABS(N45-N46),'IMP Table'!$A$2:$C$26,3)*SIGN(N45-N46),0)</f>
        <v/>
      </c>
      <c r="M45" s="9">
        <f>IF(AND(ISNUMBER(O45),ISNUMBER(O46)),VLOOKUP(ABS(O45-O46),'IMP Table'!$A$2:$C$26,3)*SIGN(O45-O46),0)</f>
        <v/>
      </c>
      <c r="N45">
        <f>IF(ISNUMBER(J45),J45,IF(ISNUMBER(K45),-K45,""))</f>
        <v/>
      </c>
      <c r="O45">
        <f>IF(ISNUMBER(K45),K45,IF(ISNUMBER(J45),-J45,""))</f>
        <v/>
      </c>
    </row>
    <row r="46">
      <c r="A46" s="5" t="n"/>
      <c r="B46" s="10" t="n">
        <v>8</v>
      </c>
      <c r="C46" s="10" t="n">
        <v>1</v>
      </c>
      <c r="D46" s="10" t="n">
        <v>1</v>
      </c>
      <c r="E46" s="10" t="n">
        <v>2</v>
      </c>
      <c r="F46" s="10" t="inlineStr">
        <is>
          <t>EW</t>
        </is>
      </c>
      <c r="G46" s="5" t="n"/>
      <c r="H46" s="5" t="n"/>
      <c r="I46" s="5" t="n"/>
      <c r="J46" s="5" t="n"/>
      <c r="K46" s="5" t="n"/>
      <c r="L46" s="11">
        <f>IF(AND(ISNUMBER(N46),ISNUMBER(N45)),VLOOKUP(ABS(N46-N45),'IMP Table'!$A$2:$C$26,3)*SIGN(N46-N45),0)</f>
        <v/>
      </c>
      <c r="M46" s="11">
        <f>IF(AND(ISNUMBER(O46),ISNUMBER(O45)),VLOOKUP(ABS(O46-O45),'IMP Table'!$A$2:$C$26,3)*SIGN(O46-O45),0)</f>
        <v/>
      </c>
      <c r="N46" s="5">
        <f>IF(ISNUMBER(J46),J46,IF(ISNUMBER(K46),-K46,""))</f>
        <v/>
      </c>
      <c r="O46" s="5">
        <f>IF(ISNUMBER(K46),K46,IF(ISNUMBER(J46),-J46,""))</f>
        <v/>
      </c>
    </row>
    <row r="47">
      <c r="A47" s="8" t="n">
        <v>23</v>
      </c>
      <c r="B47" s="8" t="n">
        <v>7</v>
      </c>
      <c r="C47" s="8" t="n">
        <v>2</v>
      </c>
      <c r="D47" s="8" t="n">
        <v>4</v>
      </c>
      <c r="E47" s="8" t="n">
        <v>3</v>
      </c>
      <c r="F47" s="8" t="inlineStr">
        <is>
          <t>Both</t>
        </is>
      </c>
      <c r="L47" s="9">
        <f>IF(AND(ISNUMBER(N47),ISNUMBER(N48)),VLOOKUP(ABS(N47-N48),'IMP Table'!$A$2:$C$26,3)*SIGN(N47-N48),0)</f>
        <v/>
      </c>
      <c r="M47" s="9">
        <f>IF(AND(ISNUMBER(O47),ISNUMBER(O48)),VLOOKUP(ABS(O47-O48),'IMP Table'!$A$2:$C$26,3)*SIGN(O47-O48),0)</f>
        <v/>
      </c>
      <c r="N47">
        <f>IF(ISNUMBER(J47),J47,IF(ISNUMBER(K47),-K47,""))</f>
        <v/>
      </c>
      <c r="O47">
        <f>IF(ISNUMBER(K47),K47,IF(ISNUMBER(J47),-J47,""))</f>
        <v/>
      </c>
    </row>
    <row r="48">
      <c r="A48" s="5" t="n"/>
      <c r="B48" s="10" t="n">
        <v>8</v>
      </c>
      <c r="C48" s="10" t="n">
        <v>1</v>
      </c>
      <c r="D48" s="10" t="n">
        <v>1</v>
      </c>
      <c r="E48" s="10" t="n">
        <v>2</v>
      </c>
      <c r="F48" s="10" t="inlineStr">
        <is>
          <t>Both</t>
        </is>
      </c>
      <c r="G48" s="5" t="n"/>
      <c r="H48" s="5" t="n"/>
      <c r="I48" s="5" t="n"/>
      <c r="J48" s="5" t="n"/>
      <c r="K48" s="5" t="n"/>
      <c r="L48" s="11">
        <f>IF(AND(ISNUMBER(N48),ISNUMBER(N47)),VLOOKUP(ABS(N48-N47),'IMP Table'!$A$2:$C$26,3)*SIGN(N48-N47),0)</f>
        <v/>
      </c>
      <c r="M48" s="11">
        <f>IF(AND(ISNUMBER(O48),ISNUMBER(O47)),VLOOKUP(ABS(O48-O47),'IMP Table'!$A$2:$C$26,3)*SIGN(O48-O47),0)</f>
        <v/>
      </c>
      <c r="N48" s="5">
        <f>IF(ISNUMBER(J48),J48,IF(ISNUMBER(K48),-K48,""))</f>
        <v/>
      </c>
      <c r="O48" s="5">
        <f>IF(ISNUMBER(K48),K48,IF(ISNUMBER(J48),-J48,""))</f>
        <v/>
      </c>
    </row>
    <row r="49">
      <c r="A49" s="8" t="n">
        <v>24</v>
      </c>
      <c r="B49" s="8" t="n">
        <v>7</v>
      </c>
      <c r="C49" s="8" t="n">
        <v>2</v>
      </c>
      <c r="D49" s="8" t="n">
        <v>4</v>
      </c>
      <c r="E49" s="8" t="n">
        <v>3</v>
      </c>
      <c r="F49" s="8" t="inlineStr">
        <is>
          <t>None</t>
        </is>
      </c>
      <c r="L49" s="9">
        <f>IF(AND(ISNUMBER(N49),ISNUMBER(N50)),VLOOKUP(ABS(N49-N50),'IMP Table'!$A$2:$C$26,3)*SIGN(N49-N50),0)</f>
        <v/>
      </c>
      <c r="M49" s="9">
        <f>IF(AND(ISNUMBER(O49),ISNUMBER(O50)),VLOOKUP(ABS(O49-O50),'IMP Table'!$A$2:$C$26,3)*SIGN(O49-O50),0)</f>
        <v/>
      </c>
      <c r="N49">
        <f>IF(ISNUMBER(J49),J49,IF(ISNUMBER(K49),-K49,""))</f>
        <v/>
      </c>
      <c r="O49">
        <f>IF(ISNUMBER(K49),K49,IF(ISNUMBER(J49),-J49,""))</f>
        <v/>
      </c>
    </row>
    <row r="50">
      <c r="A50" s="5" t="n"/>
      <c r="B50" s="10" t="n">
        <v>8</v>
      </c>
      <c r="C50" s="10" t="n">
        <v>1</v>
      </c>
      <c r="D50" s="10" t="n">
        <v>1</v>
      </c>
      <c r="E50" s="10" t="n">
        <v>2</v>
      </c>
      <c r="F50" s="10" t="inlineStr">
        <is>
          <t>None</t>
        </is>
      </c>
      <c r="G50" s="5" t="n"/>
      <c r="H50" s="5" t="n"/>
      <c r="I50" s="5" t="n"/>
      <c r="J50" s="5" t="n"/>
      <c r="K50" s="5" t="n"/>
      <c r="L50" s="11">
        <f>IF(AND(ISNUMBER(N50),ISNUMBER(N49)),VLOOKUP(ABS(N50-N49),'IMP Table'!$A$2:$C$26,3)*SIGN(N50-N49),0)</f>
        <v/>
      </c>
      <c r="M50" s="11">
        <f>IF(AND(ISNUMBER(O50),ISNUMBER(O49)),VLOOKUP(ABS(O50-O49),'IMP Table'!$A$2:$C$26,3)*SIGN(O50-O49),0)</f>
        <v/>
      </c>
      <c r="N50" s="5">
        <f>IF(ISNUMBER(J50),J50,IF(ISNUMBER(K50),-K50,""))</f>
        <v/>
      </c>
      <c r="O50" s="5">
        <f>IF(ISNUMBER(K50),K50,IF(ISNUMBER(J50),-J50,""))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2026-03-11T02:04:12Z</dcterms:created>
  <dcterms:modified xsi:type="dcterms:W3CDTF">2026-03-11T02:04:12Z</dcterms:modified>
</cp:coreProperties>
</file>