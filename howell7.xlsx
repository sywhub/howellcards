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Apr 08,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7</v>
      </c>
    </row>
    <row r="4">
      <c r="A4" s="3" t="inlineStr">
        <is>
          <t>Tables</t>
        </is>
      </c>
      <c r="C4" s="3" t="n">
        <v>4</v>
      </c>
    </row>
    <row r="5">
      <c r="A5" s="3" t="inlineStr">
        <is>
          <t>Rounds</t>
        </is>
      </c>
      <c r="C5" s="3" t="n">
        <v>7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14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27</t>
        </is>
      </c>
      <c r="C10" t="inlineStr">
        <is>
          <t>Name 55</t>
        </is>
      </c>
      <c r="D10" s="4">
        <f>SUMIF('By Board'!$D$3:$D$50,"=1",'By Board'!$O$3:$O$50)/12+SUMIF('By Board'!$E$3:$E$50,"=1",'By Board'!$P$3:$P$50)/12</f>
        <v/>
      </c>
      <c r="E10" s="5">
        <f>SUMIF('By Board'!$D$3:$D$50,"=1",'By Board'!$M$3:$M$50)+SUMIF('By Board'!$E$3:$E$50,"=1",'By Board'!$N$3:$N$50)</f>
        <v/>
      </c>
    </row>
    <row r="11">
      <c r="A11" s="2" t="n">
        <v>2</v>
      </c>
      <c r="B11" t="inlineStr">
        <is>
          <t>Name 18</t>
        </is>
      </c>
      <c r="C11" t="inlineStr">
        <is>
          <t>Name 42</t>
        </is>
      </c>
      <c r="D11" s="4">
        <f>SUMIF('By Board'!$D$3:$D$50,"=2",'By Board'!$O$3:$O$50)/12+SUMIF('By Board'!$E$3:$E$50,"=2",'By Board'!$P$3:$P$50)/12</f>
        <v/>
      </c>
      <c r="E11" s="5">
        <f>SUMIF('By Board'!$D$3:$D$50,"=2",'By Board'!$M$3:$M$50)+SUMIF('By Board'!$E$3:$E$50,"=2",'By Board'!$N$3:$N$50)</f>
        <v/>
      </c>
    </row>
    <row r="12">
      <c r="A12" s="2" t="n">
        <v>3</v>
      </c>
      <c r="B12" t="inlineStr">
        <is>
          <t>Name 48</t>
        </is>
      </c>
      <c r="C12" t="inlineStr">
        <is>
          <t>Name 50</t>
        </is>
      </c>
      <c r="D12" s="4">
        <f>SUMIF('By Board'!$D$3:$D$50,"=3",'By Board'!$O$3:$O$50)/12+SUMIF('By Board'!$E$3:$E$50,"=3",'By Board'!$P$3:$P$50)/12</f>
        <v/>
      </c>
      <c r="E12" s="5">
        <f>SUMIF('By Board'!$D$3:$D$50,"=3",'By Board'!$M$3:$M$50)+SUMIF('By Board'!$E$3:$E$50,"=3",'By Board'!$N$3:$N$50)</f>
        <v/>
      </c>
    </row>
    <row r="13">
      <c r="A13" s="2" t="n">
        <v>4</v>
      </c>
      <c r="B13" t="inlineStr">
        <is>
          <t>Name 20</t>
        </is>
      </c>
      <c r="C13" t="inlineStr">
        <is>
          <t>Name 51</t>
        </is>
      </c>
      <c r="D13" s="4">
        <f>SUMIF('By Board'!$D$3:$D$50,"=4",'By Board'!$O$3:$O$50)/12+SUMIF('By Board'!$E$3:$E$50,"=4",'By Board'!$P$3:$P$50)/12</f>
        <v/>
      </c>
      <c r="E13" s="5">
        <f>SUMIF('By Board'!$D$3:$D$50,"=4",'By Board'!$M$3:$M$50)+SUMIF('By Board'!$E$3:$E$50,"=4",'By Board'!$N$3:$N$50)</f>
        <v/>
      </c>
    </row>
    <row r="14">
      <c r="A14" s="2" t="n">
        <v>5</v>
      </c>
      <c r="B14" t="inlineStr">
        <is>
          <t>Name 37</t>
        </is>
      </c>
      <c r="C14" t="inlineStr">
        <is>
          <t>Name 15</t>
        </is>
      </c>
      <c r="D14" s="4">
        <f>SUMIF('By Board'!$D$3:$D$50,"=5",'By Board'!$O$3:$O$50)/12+SUMIF('By Board'!$E$3:$E$50,"=5",'By Board'!$P$3:$P$50)/12</f>
        <v/>
      </c>
      <c r="E14" s="5">
        <f>SUMIF('By Board'!$D$3:$D$50,"=5",'By Board'!$M$3:$M$50)+SUMIF('By Board'!$E$3:$E$50,"=5",'By Board'!$N$3:$N$50)</f>
        <v/>
      </c>
    </row>
    <row r="15">
      <c r="A15" s="2" t="n">
        <v>6</v>
      </c>
      <c r="B15" t="inlineStr">
        <is>
          <t>Name 61</t>
        </is>
      </c>
      <c r="C15" t="inlineStr">
        <is>
          <t>Name 26</t>
        </is>
      </c>
      <c r="D15" s="4">
        <f>SUMIF('By Board'!$D$3:$D$50,"=6",'By Board'!$O$3:$O$50)/12+SUMIF('By Board'!$E$3:$E$50,"=6",'By Board'!$P$3:$P$50)/12</f>
        <v/>
      </c>
      <c r="E15" s="5">
        <f>SUMIF('By Board'!$D$3:$D$50,"=6",'By Board'!$M$3:$M$50)+SUMIF('By Board'!$E$3:$E$50,"=6",'By Board'!$N$3:$N$50)</f>
        <v/>
      </c>
    </row>
    <row r="16">
      <c r="A16" s="2" t="n">
        <v>7</v>
      </c>
      <c r="B16" t="inlineStr">
        <is>
          <t>Name 44</t>
        </is>
      </c>
      <c r="C16" t="inlineStr">
        <is>
          <t>Name 28</t>
        </is>
      </c>
      <c r="D16" s="4">
        <f>SUMIF('By Board'!$D$3:$D$50,"=7",'By Board'!$O$3:$O$50)/12+SUMIF('By Board'!$E$3:$E$50,"=7",'By Board'!$P$3:$P$50)/12</f>
        <v/>
      </c>
      <c r="E16" s="5">
        <f>SUMIF('By Board'!$D$3:$D$50,"=7",'By Board'!$M$3:$M$50)+SUMIF('By Board'!$E$3:$E$50,"=7",'By Board'!$N$3:$N$50)</f>
        <v/>
      </c>
    </row>
    <row r="17">
      <c r="D17" s="6">
        <f>AVERAGE(D10:D16)</f>
        <v/>
      </c>
      <c r="E17" s="7">
        <f>SUM(E10:E16)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A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X2" s="2" t="inlineStr">
        <is>
          <t>EW MP Scores</t>
        </is>
      </c>
      <c r="AA2" s="9" t="inlineStr">
        <is>
          <t>NS IMP Pair-wise</t>
        </is>
      </c>
      <c r="AD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AVERAGE(AA3:AC3)</f>
        <v/>
      </c>
      <c r="N3" s="12">
        <f>AVERAGE(AD3:AF3)</f>
        <v/>
      </c>
      <c r="O3" s="13">
        <f>IF(COUNT(U3:W3)&gt;0,Q3/COUNT(U3:W3),0.5)</f>
        <v/>
      </c>
      <c r="P3" s="13">
        <f>IF(COUNT(X3:Z3)&gt;0,R3/COUNT(X3:Z3),0.5)</f>
        <v/>
      </c>
      <c r="Q3" s="5">
        <f>SUM(U3:W3)</f>
        <v/>
      </c>
      <c r="R3" s="5">
        <f>SUM(X3:Z3)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IF(ISNUMBER(T3),IF(ISNUMBER(T4),IF(T3&gt;T4,1.0,IF(T3=T4,0.5,0.0)),""),"")</f>
        <v/>
      </c>
      <c r="Y3">
        <f>IF(ISNUMBER(T3),IF(ISNUMBER(T5),IF(T3&gt;T5,1.0,IF(T3=T5,0.5,0.0)),""),"")</f>
        <v/>
      </c>
      <c r="Z3">
        <f>IF(ISNUMBER(T3),IF(ISNUMBER(T6),IF(T3&gt;T6,1.0,IF(T3=T6,0.5,0.0)),""),"")</f>
        <v/>
      </c>
      <c r="AA3" s="14">
        <f>IF(AND(ISNUMBER(S3),ISNUMBER(S4)),VLOOKUP(ABS(S3-S4),'IMP Table'!$A$2:$C$26,3)*SIGN(S3-S4),0)</f>
        <v/>
      </c>
      <c r="AB3">
        <f>IF(AND(ISNUMBER(S3),ISNUMBER(S5)),VLOOKUP(ABS(S3-S5),'IMP Table'!$A$2:$C$26,3)*SIGN(S3-S5),0)</f>
        <v/>
      </c>
      <c r="AC3">
        <f>IF(AND(ISNUMBER(S3),ISNUMBER(S6)),VLOOKUP(ABS(S3-S6),'IMP Table'!$A$2:$C$26,3)*SIGN(S3-S6),0)</f>
        <v/>
      </c>
      <c r="AD3">
        <f>IF(AND(ISNUMBER(T3),ISNUMBER(T4)),VLOOKUP(ABS(T3-T4),'IMP Table'!$A$2:$C$26,3)*SIGN(T3-T4),0)</f>
        <v/>
      </c>
      <c r="AE3">
        <f>IF(AND(ISNUMBER(T3),ISNUMBER(T5)),VLOOKUP(ABS(T3-T5),'IMP Table'!$A$2:$C$26,3)*SIGN(T3-T5),0)</f>
        <v/>
      </c>
      <c r="AF3">
        <f>IF(AND(ISNUMBER(T3),ISNUMBER(T6)),VLOOKUP(ABS(T3-T6),'IMP Table'!$A$2:$C$26,3)*SIGN(T3-T6),0)</f>
        <v/>
      </c>
    </row>
    <row r="4">
      <c r="B4" s="10">
        <f>'By Round'!A43</f>
        <v/>
      </c>
      <c r="C4" s="10">
        <f>'By Round'!B47</f>
        <v/>
      </c>
      <c r="D4" s="10">
        <f>'By Round'!C47</f>
        <v/>
      </c>
      <c r="E4" s="10">
        <f>'By Round'!D47</f>
        <v/>
      </c>
      <c r="F4" s="10">
        <f>IF(ISBLANK('By Round'!F47),"",'By Round'!F47)</f>
        <v/>
      </c>
      <c r="G4">
        <f>IF(ISBLANK('By Round'!G47),"",'By Round'!G47)</f>
        <v/>
      </c>
      <c r="H4">
        <f>IF(ISBLANK('By Round'!H47),"",'By Round'!H47)</f>
        <v/>
      </c>
      <c r="I4">
        <f>IF(ISBLANK('By Round'!I47),"",'By Round'!I47)</f>
        <v/>
      </c>
      <c r="J4">
        <f>IF(ISBLANK('By Round'!J47),"",'By Round'!J47)</f>
        <v/>
      </c>
      <c r="K4">
        <f>IF(ISBLANK('By Round'!K47),"",'By Round'!K47)</f>
        <v/>
      </c>
      <c r="L4">
        <f>IF(ISBLANK('By Round'!L47),"",'By Round'!L47)</f>
        <v/>
      </c>
      <c r="M4" s="11">
        <f>AVERAGE(AA4:AC4)</f>
        <v/>
      </c>
      <c r="N4" s="12">
        <f>AVERAGE(AD4:AF4)</f>
        <v/>
      </c>
      <c r="O4" s="13">
        <f>IF(COUNT(U4:W4)&gt;0,Q4/COUNT(U4:W4),0.5)</f>
        <v/>
      </c>
      <c r="P4" s="13">
        <f>IF(COUNT(X4:Z4)&gt;0,R4/COUNT(X4:Z4),0.5)</f>
        <v/>
      </c>
      <c r="Q4" s="5">
        <f>SUM(U4:W4)</f>
        <v/>
      </c>
      <c r="R4" s="5">
        <f>SUM(X4:Z4)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IF(ISNUMBER(T4),IF(ISNUMBER(T3),IF(T4&gt;T3,1.0,IF(T4=T3,0.5,0.0)),""),"")</f>
        <v/>
      </c>
      <c r="Y4">
        <f>IF(ISNUMBER(T4),IF(ISNUMBER(T5),IF(T4&gt;T5,1.0,IF(T4=T5,0.5,0.0)),""),"")</f>
        <v/>
      </c>
      <c r="Z4">
        <f>IF(ISNUMBER(T4),IF(ISNUMBER(T6),IF(T4&gt;T6,1.0,IF(T4=T6,0.5,0.0)),""),"")</f>
        <v/>
      </c>
      <c r="AA4" s="14">
        <f>IF(AND(ISNUMBER(S4),ISNUMBER(S3)),VLOOKUP(ABS(S4-S3),'IMP Table'!$A$2:$C$26,3)*SIGN(S4-S3),0)</f>
        <v/>
      </c>
      <c r="AB4">
        <f>IF(AND(ISNUMBER(S4),ISNUMBER(S5)),VLOOKUP(ABS(S4-S5),'IMP Table'!$A$2:$C$26,3)*SIGN(S4-S5),0)</f>
        <v/>
      </c>
      <c r="AC4">
        <f>IF(AND(ISNUMBER(S4),ISNUMBER(S6)),VLOOKUP(ABS(S4-S6),'IMP Table'!$A$2:$C$26,3)*SIGN(S4-S6),0)</f>
        <v/>
      </c>
      <c r="AD4">
        <f>IF(AND(ISNUMBER(T4),ISNUMBER(T3)),VLOOKUP(ABS(T4-T3),'IMP Table'!$A$2:$C$26,3)*SIGN(T4-T3),0)</f>
        <v/>
      </c>
      <c r="AE4">
        <f>IF(AND(ISNUMBER(T4),ISNUMBER(T5)),VLOOKUP(ABS(T4-T5),'IMP Table'!$A$2:$C$26,3)*SIGN(T4-T5),0)</f>
        <v/>
      </c>
      <c r="AF4">
        <f>IF(AND(ISNUMBER(T4),ISNUMBER(T6)),VLOOKUP(ABS(T4-T6),'IMP Table'!$A$2:$C$26,3)*SIGN(T4-T6),0)</f>
        <v/>
      </c>
    </row>
    <row r="5">
      <c r="B5" s="10">
        <f>'By Round'!A27</f>
        <v/>
      </c>
      <c r="C5" s="10">
        <f>'By Round'!B33</f>
        <v/>
      </c>
      <c r="D5" s="10">
        <f>'By Round'!C33</f>
        <v/>
      </c>
      <c r="E5" s="10">
        <f>'By Round'!D33</f>
        <v/>
      </c>
      <c r="F5" s="10">
        <f>IF(ISBLANK('By Round'!F33),"",'By Round'!F33)</f>
        <v/>
      </c>
      <c r="G5">
        <f>IF(ISBLANK('By Round'!G33),"",'By Round'!G33)</f>
        <v/>
      </c>
      <c r="H5">
        <f>IF(ISBLANK('By Round'!H33),"",'By Round'!H33)</f>
        <v/>
      </c>
      <c r="I5">
        <f>IF(ISBLANK('By Round'!I33),"",'By Round'!I33)</f>
        <v/>
      </c>
      <c r="J5">
        <f>IF(ISBLANK('By Round'!J33),"",'By Round'!J33)</f>
        <v/>
      </c>
      <c r="K5">
        <f>IF(ISBLANK('By Round'!K33),"",'By Round'!K33)</f>
        <v/>
      </c>
      <c r="L5">
        <f>IF(ISBLANK('By Round'!L33),"",'By Round'!L33)</f>
        <v/>
      </c>
      <c r="M5" s="11">
        <f>AVERAGE(AA5:AC5)</f>
        <v/>
      </c>
      <c r="N5" s="12">
        <f>AVERAGE(AD5:AF5)</f>
        <v/>
      </c>
      <c r="O5" s="13">
        <f>IF(COUNT(U5:W5)&gt;0,Q5/COUNT(U5:W5),0.5)</f>
        <v/>
      </c>
      <c r="P5" s="13">
        <f>IF(COUNT(X5:Z5)&gt;0,R5/COUNT(X5:Z5),0.5)</f>
        <v/>
      </c>
      <c r="Q5" s="5">
        <f>SUM(U5:W5)</f>
        <v/>
      </c>
      <c r="R5" s="5">
        <f>SUM(X5:Z5)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IF(ISNUMBER(T5),IF(ISNUMBER(T3),IF(T5&gt;T3,1.0,IF(T5=T3,0.5,0.0)),""),"")</f>
        <v/>
      </c>
      <c r="Y5">
        <f>IF(ISNUMBER(T5),IF(ISNUMBER(T4),IF(T5&gt;T4,1.0,IF(T5=T4,0.5,0.0)),""),"")</f>
        <v/>
      </c>
      <c r="Z5">
        <f>IF(ISNUMBER(T5),IF(ISNUMBER(T6),IF(T5&gt;T6,1.0,IF(T5=T6,0.5,0.0)),""),"")</f>
        <v/>
      </c>
      <c r="AA5" s="14">
        <f>IF(AND(ISNUMBER(S5),ISNUMBER(S3)),VLOOKUP(ABS(S5-S3),'IMP Table'!$A$2:$C$26,3)*SIGN(S5-S3),0)</f>
        <v/>
      </c>
      <c r="AB5">
        <f>IF(AND(ISNUMBER(S5),ISNUMBER(S4)),VLOOKUP(ABS(S5-S4),'IMP Table'!$A$2:$C$26,3)*SIGN(S5-S4),0)</f>
        <v/>
      </c>
      <c r="AC5">
        <f>IF(AND(ISNUMBER(S5),ISNUMBER(S6)),VLOOKUP(ABS(S5-S6),'IMP Table'!$A$2:$C$26,3)*SIGN(S5-S6),0)</f>
        <v/>
      </c>
      <c r="AD5">
        <f>IF(AND(ISNUMBER(T5),ISNUMBER(T3)),VLOOKUP(ABS(T5-T3),'IMP Table'!$A$2:$C$26,3)*SIGN(T5-T3),0)</f>
        <v/>
      </c>
      <c r="AE5">
        <f>IF(AND(ISNUMBER(T5),ISNUMBER(T4)),VLOOKUP(ABS(T5-T4),'IMP Table'!$A$2:$C$26,3)*SIGN(T5-T4),0)</f>
        <v/>
      </c>
      <c r="AF5">
        <f>IF(AND(ISNUMBER(T5),ISNUMBER(T6)),VLOOKUP(ABS(T5-T6),'IMP Table'!$A$2:$C$26,3)*SIGN(T5-T6),0)</f>
        <v/>
      </c>
    </row>
    <row r="6">
      <c r="A6" s="15" t="n"/>
      <c r="B6" s="16">
        <f>'By Round'!A51</f>
        <v/>
      </c>
      <c r="C6" s="16">
        <f>'By Round'!B53</f>
        <v/>
      </c>
      <c r="D6" s="16">
        <f>'By Round'!C53</f>
        <v/>
      </c>
      <c r="E6" s="16">
        <f>'By Round'!D53</f>
        <v/>
      </c>
      <c r="F6" s="16">
        <f>IF(ISBLANK('By Round'!F53),"",'By Round'!F53)</f>
        <v/>
      </c>
      <c r="G6" s="15">
        <f>IF(ISBLANK('By Round'!G53),"",'By Round'!G53)</f>
        <v/>
      </c>
      <c r="H6" s="15">
        <f>IF(ISBLANK('By Round'!H53),"",'By Round'!H53)</f>
        <v/>
      </c>
      <c r="I6" s="15">
        <f>IF(ISBLANK('By Round'!I53),"",'By Round'!I53)</f>
        <v/>
      </c>
      <c r="J6" s="15">
        <f>IF(ISBLANK('By Round'!J53),"",'By Round'!J53)</f>
        <v/>
      </c>
      <c r="K6" s="15">
        <f>IF(ISBLANK('By Round'!K53),"",'By Round'!K53)</f>
        <v/>
      </c>
      <c r="L6" s="15">
        <f>IF(ISBLANK('By Round'!L53),"",'By Round'!L53)</f>
        <v/>
      </c>
      <c r="M6" s="17">
        <f>AVERAGE(AA6:AC6)</f>
        <v/>
      </c>
      <c r="N6" s="18">
        <f>AVERAGE(AD6:AF6)</f>
        <v/>
      </c>
      <c r="O6" s="19">
        <f>IF(COUNT(U6:W6)&gt;0,Q6/COUNT(U6:W6),0.5)</f>
        <v/>
      </c>
      <c r="P6" s="19">
        <f>IF(COUNT(X6:Z6)&gt;0,R6/COUNT(X6:Z6),0.5)</f>
        <v/>
      </c>
      <c r="Q6" s="20">
        <f>SUM(U6:W6)</f>
        <v/>
      </c>
      <c r="R6" s="20">
        <f>SUM(X6:Z6)</f>
        <v/>
      </c>
      <c r="S6" s="21">
        <f>IF(ISNUMBER(K6),K6,IF(ISNUMBER(L6),-L6,""))</f>
        <v/>
      </c>
      <c r="T6" s="15">
        <f>IF(ISNUMBER(L6),L6,IF(ISNUMBER(K6),-K6,""))</f>
        <v/>
      </c>
      <c r="U6" s="21">
        <f>IF(ISNUMBER(S6),IF(ISNUMBER(S3),IF(S6&gt;S3,1.0,IF(S6=S3,0.5,0.0)),""),"")</f>
        <v/>
      </c>
      <c r="V6" s="15">
        <f>IF(ISNUMBER(S6),IF(ISNUMBER(S4),IF(S6&gt;S4,1.0,IF(S6=S4,0.5,0.0)),""),"")</f>
        <v/>
      </c>
      <c r="W6" s="15">
        <f>IF(ISNUMBER(S6),IF(ISNUMBER(S5),IF(S6&gt;S5,1.0,IF(S6=S5,0.5,0.0)),""),"")</f>
        <v/>
      </c>
      <c r="X6" s="15">
        <f>IF(ISNUMBER(T6),IF(ISNUMBER(T3),IF(T6&gt;T3,1.0,IF(T6=T3,0.5,0.0)),""),"")</f>
        <v/>
      </c>
      <c r="Y6" s="15">
        <f>IF(ISNUMBER(T6),IF(ISNUMBER(T4),IF(T6&gt;T4,1.0,IF(T6=T4,0.5,0.0)),""),"")</f>
        <v/>
      </c>
      <c r="Z6" s="15">
        <f>IF(ISNUMBER(T6),IF(ISNUMBER(T5),IF(T6&gt;T5,1.0,IF(T6=T5,0.5,0.0)),""),"")</f>
        <v/>
      </c>
      <c r="AA6" s="21">
        <f>IF(AND(ISNUMBER(S6),ISNUMBER(S3)),VLOOKUP(ABS(S6-S3),'IMP Table'!$A$2:$C$26,3)*SIGN(S6-S3),0)</f>
        <v/>
      </c>
      <c r="AB6" s="15">
        <f>IF(AND(ISNUMBER(S6),ISNUMBER(S4)),VLOOKUP(ABS(S6-S4),'IMP Table'!$A$2:$C$26,3)*SIGN(S6-S4),0)</f>
        <v/>
      </c>
      <c r="AC6" s="15">
        <f>IF(AND(ISNUMBER(S6),ISNUMBER(S5)),VLOOKUP(ABS(S6-S5),'IMP Table'!$A$2:$C$26,3)*SIGN(S6-S5),0)</f>
        <v/>
      </c>
      <c r="AD6" s="15">
        <f>IF(AND(ISNUMBER(T6),ISNUMBER(T3)),VLOOKUP(ABS(T6-T3),'IMP Table'!$A$2:$C$26,3)*SIGN(T6-T3),0)</f>
        <v/>
      </c>
      <c r="AE6" s="15">
        <f>IF(AND(ISNUMBER(T6),ISNUMBER(T4)),VLOOKUP(ABS(T6-T4),'IMP Table'!$A$2:$C$26,3)*SIGN(T6-T4),0)</f>
        <v/>
      </c>
      <c r="AF6" s="15">
        <f>IF(AND(ISNUMBER(T6),ISNUMBER(T5)),VLOOKUP(ABS(T6-T5),'IMP Table'!$A$2:$C$26,3)*SIGN(T6-T5),0)</f>
        <v/>
      </c>
    </row>
    <row r="7">
      <c r="A7" s="10" t="n">
        <v>2</v>
      </c>
      <c r="B7" s="10">
        <f>'By Round'!A3</f>
        <v/>
      </c>
      <c r="C7" s="10">
        <f>'By Round'!B3</f>
        <v/>
      </c>
      <c r="D7" s="10">
        <f>'By Round'!C3</f>
        <v/>
      </c>
      <c r="E7" s="10">
        <f>'By Round'!D3</f>
        <v/>
      </c>
      <c r="F7" s="10">
        <f>IF(ISBLANK('By Round'!F4),"",'By Round'!F4)</f>
        <v/>
      </c>
      <c r="G7">
        <f>IF(ISBLANK('By Round'!G4),"",'By Round'!G4)</f>
        <v/>
      </c>
      <c r="H7">
        <f>IF(ISBLANK('By Round'!H4),"",'By Round'!H4)</f>
        <v/>
      </c>
      <c r="I7">
        <f>IF(ISBLANK('By Round'!I4),"",'By Round'!I4)</f>
        <v/>
      </c>
      <c r="J7">
        <f>IF(ISBLANK('By Round'!J4),"",'By Round'!J4)</f>
        <v/>
      </c>
      <c r="K7">
        <f>IF(ISBLANK('By Round'!K4),"",'By Round'!K4)</f>
        <v/>
      </c>
      <c r="L7">
        <f>IF(ISBLANK('By Round'!L4),"",'By Round'!L4)</f>
        <v/>
      </c>
      <c r="M7" s="11">
        <f>AVERAGE(AA7:AC7)</f>
        <v/>
      </c>
      <c r="N7" s="12">
        <f>AVERAGE(AD7:AF7)</f>
        <v/>
      </c>
      <c r="O7" s="13">
        <f>IF(COUNT(U7:W7)&gt;0,Q7/COUNT(U7:W7),0.5)</f>
        <v/>
      </c>
      <c r="P7" s="13">
        <f>IF(COUNT(X7:Z7)&gt;0,R7/COUNT(X7:Z7),0.5)</f>
        <v/>
      </c>
      <c r="Q7" s="5">
        <f>SUM(U7:W7)</f>
        <v/>
      </c>
      <c r="R7" s="5">
        <f>SUM(X7:Z7)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IF(ISNUMBER(S7),IF(ISNUMBER(S8),IF(S7&gt;S8,1.0,IF(S7=S8,0.5,0.0)),""),"")</f>
        <v/>
      </c>
      <c r="V7">
        <f>IF(ISNUMBER(S7),IF(ISNUMBER(S9),IF(S7&gt;S9,1.0,IF(S7=S9,0.5,0.0)),""),"")</f>
        <v/>
      </c>
      <c r="W7">
        <f>IF(ISNUMBER(S7),IF(ISNUMBER(S10),IF(S7&gt;S10,1.0,IF(S7=S10,0.5,0.0)),""),"")</f>
        <v/>
      </c>
      <c r="X7">
        <f>IF(ISNUMBER(T7),IF(ISNUMBER(T8),IF(T7&gt;T8,1.0,IF(T7=T8,0.5,0.0)),""),"")</f>
        <v/>
      </c>
      <c r="Y7">
        <f>IF(ISNUMBER(T7),IF(ISNUMBER(T9),IF(T7&gt;T9,1.0,IF(T7=T9,0.5,0.0)),""),"")</f>
        <v/>
      </c>
      <c r="Z7">
        <f>IF(ISNUMBER(T7),IF(ISNUMBER(T10),IF(T7&gt;T10,1.0,IF(T7=T10,0.5,0.0)),""),"")</f>
        <v/>
      </c>
      <c r="AA7" s="14">
        <f>IF(AND(ISNUMBER(S7),ISNUMBER(S8)),VLOOKUP(ABS(S7-S8),'IMP Table'!$A$2:$C$26,3)*SIGN(S7-S8),0)</f>
        <v/>
      </c>
      <c r="AB7">
        <f>IF(AND(ISNUMBER(S7),ISNUMBER(S9)),VLOOKUP(ABS(S7-S9),'IMP Table'!$A$2:$C$26,3)*SIGN(S7-S9),0)</f>
        <v/>
      </c>
      <c r="AC7">
        <f>IF(AND(ISNUMBER(S7),ISNUMBER(S10)),VLOOKUP(ABS(S7-S10),'IMP Table'!$A$2:$C$26,3)*SIGN(S7-S10),0)</f>
        <v/>
      </c>
      <c r="AD7">
        <f>IF(AND(ISNUMBER(T7),ISNUMBER(T8)),VLOOKUP(ABS(T7-T8),'IMP Table'!$A$2:$C$26,3)*SIGN(T7-T8),0)</f>
        <v/>
      </c>
      <c r="AE7">
        <f>IF(AND(ISNUMBER(T7),ISNUMBER(T9)),VLOOKUP(ABS(T7-T9),'IMP Table'!$A$2:$C$26,3)*SIGN(T7-T9),0)</f>
        <v/>
      </c>
      <c r="AF7">
        <f>IF(AND(ISNUMBER(T7),ISNUMBER(T10)),VLOOKUP(ABS(T7-T10),'IMP Table'!$A$2:$C$26,3)*SIGN(T7-T10),0)</f>
        <v/>
      </c>
    </row>
    <row r="8">
      <c r="B8" s="10">
        <f>'By Round'!A43</f>
        <v/>
      </c>
      <c r="C8" s="10">
        <f>'By Round'!B47</f>
        <v/>
      </c>
      <c r="D8" s="10">
        <f>'By Round'!C47</f>
        <v/>
      </c>
      <c r="E8" s="10">
        <f>'By Round'!D47</f>
        <v/>
      </c>
      <c r="F8" s="10">
        <f>IF(ISBLANK('By Round'!F48),"",'By Round'!F48)</f>
        <v/>
      </c>
      <c r="G8">
        <f>IF(ISBLANK('By Round'!G48),"",'By Round'!G48)</f>
        <v/>
      </c>
      <c r="H8">
        <f>IF(ISBLANK('By Round'!H48),"",'By Round'!H48)</f>
        <v/>
      </c>
      <c r="I8">
        <f>IF(ISBLANK('By Round'!I48),"",'By Round'!I48)</f>
        <v/>
      </c>
      <c r="J8">
        <f>IF(ISBLANK('By Round'!J48),"",'By Round'!J48)</f>
        <v/>
      </c>
      <c r="K8">
        <f>IF(ISBLANK('By Round'!K48),"",'By Round'!K48)</f>
        <v/>
      </c>
      <c r="L8">
        <f>IF(ISBLANK('By Round'!L48),"",'By Round'!L48)</f>
        <v/>
      </c>
      <c r="M8" s="11">
        <f>AVERAGE(AA8:AC8)</f>
        <v/>
      </c>
      <c r="N8" s="12">
        <f>AVERAGE(AD8:AF8)</f>
        <v/>
      </c>
      <c r="O8" s="13">
        <f>IF(COUNT(U8:W8)&gt;0,Q8/COUNT(U8:W8),0.5)</f>
        <v/>
      </c>
      <c r="P8" s="13">
        <f>IF(COUNT(X8:Z8)&gt;0,R8/COUNT(X8:Z8),0.5)</f>
        <v/>
      </c>
      <c r="Q8" s="5">
        <f>SUM(U8:W8)</f>
        <v/>
      </c>
      <c r="R8" s="5">
        <f>SUM(X8:Z8)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IF(ISNUMBER(S8),IF(ISNUMBER(S7),IF(S8&gt;S7,1.0,IF(S8=S7,0.5,0.0)),""),"")</f>
        <v/>
      </c>
      <c r="V8">
        <f>IF(ISNUMBER(S8),IF(ISNUMBER(S9),IF(S8&gt;S9,1.0,IF(S8=S9,0.5,0.0)),""),"")</f>
        <v/>
      </c>
      <c r="W8">
        <f>IF(ISNUMBER(S8),IF(ISNUMBER(S10),IF(S8&gt;S10,1.0,IF(S8=S10,0.5,0.0)),""),"")</f>
        <v/>
      </c>
      <c r="X8">
        <f>IF(ISNUMBER(T8),IF(ISNUMBER(T7),IF(T8&gt;T7,1.0,IF(T8=T7,0.5,0.0)),""),"")</f>
        <v/>
      </c>
      <c r="Y8">
        <f>IF(ISNUMBER(T8),IF(ISNUMBER(T9),IF(T8&gt;T9,1.0,IF(T8=T9,0.5,0.0)),""),"")</f>
        <v/>
      </c>
      <c r="Z8">
        <f>IF(ISNUMBER(T8),IF(ISNUMBER(T10),IF(T8&gt;T10,1.0,IF(T8=T10,0.5,0.0)),""),"")</f>
        <v/>
      </c>
      <c r="AA8" s="14">
        <f>IF(AND(ISNUMBER(S8),ISNUMBER(S7)),VLOOKUP(ABS(S8-S7),'IMP Table'!$A$2:$C$26,3)*SIGN(S8-S7),0)</f>
        <v/>
      </c>
      <c r="AB8">
        <f>IF(AND(ISNUMBER(S8),ISNUMBER(S9)),VLOOKUP(ABS(S8-S9),'IMP Table'!$A$2:$C$26,3)*SIGN(S8-S9),0)</f>
        <v/>
      </c>
      <c r="AC8">
        <f>IF(AND(ISNUMBER(S8),ISNUMBER(S10)),VLOOKUP(ABS(S8-S10),'IMP Table'!$A$2:$C$26,3)*SIGN(S8-S10),0)</f>
        <v/>
      </c>
      <c r="AD8">
        <f>IF(AND(ISNUMBER(T8),ISNUMBER(T7)),VLOOKUP(ABS(T8-T7),'IMP Table'!$A$2:$C$26,3)*SIGN(T8-T7),0)</f>
        <v/>
      </c>
      <c r="AE8">
        <f>IF(AND(ISNUMBER(T8),ISNUMBER(T9)),VLOOKUP(ABS(T8-T9),'IMP Table'!$A$2:$C$26,3)*SIGN(T8-T9),0)</f>
        <v/>
      </c>
      <c r="AF8">
        <f>IF(AND(ISNUMBER(T8),ISNUMBER(T10)),VLOOKUP(ABS(T8-T10),'IMP Table'!$A$2:$C$26,3)*SIGN(T8-T10),0)</f>
        <v/>
      </c>
    </row>
    <row r="9">
      <c r="B9" s="10">
        <f>'By Round'!A27</f>
        <v/>
      </c>
      <c r="C9" s="10">
        <f>'By Round'!B33</f>
        <v/>
      </c>
      <c r="D9" s="10">
        <f>'By Round'!C33</f>
        <v/>
      </c>
      <c r="E9" s="10">
        <f>'By Round'!D33</f>
        <v/>
      </c>
      <c r="F9" s="10">
        <f>IF(ISBLANK('By Round'!F34),"",'By Round'!F34)</f>
        <v/>
      </c>
      <c r="G9">
        <f>IF(ISBLANK('By Round'!G34),"",'By Round'!G34)</f>
        <v/>
      </c>
      <c r="H9">
        <f>IF(ISBLANK('By Round'!H34),"",'By Round'!H34)</f>
        <v/>
      </c>
      <c r="I9">
        <f>IF(ISBLANK('By Round'!I34),"",'By Round'!I34)</f>
        <v/>
      </c>
      <c r="J9">
        <f>IF(ISBLANK('By Round'!J34),"",'By Round'!J34)</f>
        <v/>
      </c>
      <c r="K9">
        <f>IF(ISBLANK('By Round'!K34),"",'By Round'!K34)</f>
        <v/>
      </c>
      <c r="L9">
        <f>IF(ISBLANK('By Round'!L34),"",'By Round'!L34)</f>
        <v/>
      </c>
      <c r="M9" s="11">
        <f>AVERAGE(AA9:AC9)</f>
        <v/>
      </c>
      <c r="N9" s="12">
        <f>AVERAGE(AD9:AF9)</f>
        <v/>
      </c>
      <c r="O9" s="13">
        <f>IF(COUNT(U9:W9)&gt;0,Q9/COUNT(U9:W9),0.5)</f>
        <v/>
      </c>
      <c r="P9" s="13">
        <f>IF(COUNT(X9:Z9)&gt;0,R9/COUNT(X9:Z9),0.5)</f>
        <v/>
      </c>
      <c r="Q9" s="5">
        <f>SUM(U9:W9)</f>
        <v/>
      </c>
      <c r="R9" s="5">
        <f>SUM(X9:Z9)</f>
        <v/>
      </c>
      <c r="S9" s="14">
        <f>IF(ISNUMBER(K9),K9,IF(ISNUMBER(L9),-L9,""))</f>
        <v/>
      </c>
      <c r="T9">
        <f>IF(ISNUMBER(L9),L9,IF(ISNUMBER(K9),-K9,""))</f>
        <v/>
      </c>
      <c r="U9" s="14">
        <f>IF(ISNUMBER(S9),IF(ISNUMBER(S7),IF(S9&gt;S7,1.0,IF(S9=S7,0.5,0.0)),""),"")</f>
        <v/>
      </c>
      <c r="V9">
        <f>IF(ISNUMBER(S9),IF(ISNUMBER(S8),IF(S9&gt;S8,1.0,IF(S9=S8,0.5,0.0)),""),"")</f>
        <v/>
      </c>
      <c r="W9">
        <f>IF(ISNUMBER(S9),IF(ISNUMBER(S10),IF(S9&gt;S10,1.0,IF(S9=S10,0.5,0.0)),""),"")</f>
        <v/>
      </c>
      <c r="X9">
        <f>IF(ISNUMBER(T9),IF(ISNUMBER(T7),IF(T9&gt;T7,1.0,IF(T9=T7,0.5,0.0)),""),"")</f>
        <v/>
      </c>
      <c r="Y9">
        <f>IF(ISNUMBER(T9),IF(ISNUMBER(T8),IF(T9&gt;T8,1.0,IF(T9=T8,0.5,0.0)),""),"")</f>
        <v/>
      </c>
      <c r="Z9">
        <f>IF(ISNUMBER(T9),IF(ISNUMBER(T10),IF(T9&gt;T10,1.0,IF(T9=T10,0.5,0.0)),""),"")</f>
        <v/>
      </c>
      <c r="AA9" s="14">
        <f>IF(AND(ISNUMBER(S9),ISNUMBER(S7)),VLOOKUP(ABS(S9-S7),'IMP Table'!$A$2:$C$26,3)*SIGN(S9-S7),0)</f>
        <v/>
      </c>
      <c r="AB9">
        <f>IF(AND(ISNUMBER(S9),ISNUMBER(S8)),VLOOKUP(ABS(S9-S8),'IMP Table'!$A$2:$C$26,3)*SIGN(S9-S8),0)</f>
        <v/>
      </c>
      <c r="AC9">
        <f>IF(AND(ISNUMBER(S9),ISNUMBER(S10)),VLOOKUP(ABS(S9-S10),'IMP Table'!$A$2:$C$26,3)*SIGN(S9-S10),0)</f>
        <v/>
      </c>
      <c r="AD9">
        <f>IF(AND(ISNUMBER(T9),ISNUMBER(T7)),VLOOKUP(ABS(T9-T7),'IMP Table'!$A$2:$C$26,3)*SIGN(T9-T7),0)</f>
        <v/>
      </c>
      <c r="AE9">
        <f>IF(AND(ISNUMBER(T9),ISNUMBER(T8)),VLOOKUP(ABS(T9-T8),'IMP Table'!$A$2:$C$26,3)*SIGN(T9-T8),0)</f>
        <v/>
      </c>
      <c r="AF9">
        <f>IF(AND(ISNUMBER(T9),ISNUMBER(T10)),VLOOKUP(ABS(T9-T10),'IMP Table'!$A$2:$C$26,3)*SIGN(T9-T10),0)</f>
        <v/>
      </c>
    </row>
    <row r="10">
      <c r="A10" s="15" t="n"/>
      <c r="B10" s="16">
        <f>'By Round'!A51</f>
        <v/>
      </c>
      <c r="C10" s="16">
        <f>'By Round'!B53</f>
        <v/>
      </c>
      <c r="D10" s="16">
        <f>'By Round'!C53</f>
        <v/>
      </c>
      <c r="E10" s="16">
        <f>'By Round'!D53</f>
        <v/>
      </c>
      <c r="F10" s="16">
        <f>IF(ISBLANK('By Round'!F54),"",'By Round'!F54)</f>
        <v/>
      </c>
      <c r="G10" s="15">
        <f>IF(ISBLANK('By Round'!G54),"",'By Round'!G54)</f>
        <v/>
      </c>
      <c r="H10" s="15">
        <f>IF(ISBLANK('By Round'!H54),"",'By Round'!H54)</f>
        <v/>
      </c>
      <c r="I10" s="15">
        <f>IF(ISBLANK('By Round'!I54),"",'By Round'!I54)</f>
        <v/>
      </c>
      <c r="J10" s="15">
        <f>IF(ISBLANK('By Round'!J54),"",'By Round'!J54)</f>
        <v/>
      </c>
      <c r="K10" s="15">
        <f>IF(ISBLANK('By Round'!K54),"",'By Round'!K54)</f>
        <v/>
      </c>
      <c r="L10" s="15">
        <f>IF(ISBLANK('By Round'!L54),"",'By Round'!L54)</f>
        <v/>
      </c>
      <c r="M10" s="17">
        <f>AVERAGE(AA10:AC10)</f>
        <v/>
      </c>
      <c r="N10" s="18">
        <f>AVERAGE(AD10:AF10)</f>
        <v/>
      </c>
      <c r="O10" s="19">
        <f>IF(COUNT(U10:W10)&gt;0,Q10/COUNT(U10:W10),0.5)</f>
        <v/>
      </c>
      <c r="P10" s="19">
        <f>IF(COUNT(X10:Z10)&gt;0,R10/COUNT(X10:Z10),0.5)</f>
        <v/>
      </c>
      <c r="Q10" s="20">
        <f>SUM(U10:W10)</f>
        <v/>
      </c>
      <c r="R10" s="20">
        <f>SUM(X10:Z10)</f>
        <v/>
      </c>
      <c r="S10" s="21">
        <f>IF(ISNUMBER(K10),K10,IF(ISNUMBER(L10),-L10,""))</f>
        <v/>
      </c>
      <c r="T10" s="15">
        <f>IF(ISNUMBER(L10),L10,IF(ISNUMBER(K10),-K10,""))</f>
        <v/>
      </c>
      <c r="U10" s="21">
        <f>IF(ISNUMBER(S10),IF(ISNUMBER(S7),IF(S10&gt;S7,1.0,IF(S10=S7,0.5,0.0)),""),"")</f>
        <v/>
      </c>
      <c r="V10" s="15">
        <f>IF(ISNUMBER(S10),IF(ISNUMBER(S8),IF(S10&gt;S8,1.0,IF(S10=S8,0.5,0.0)),""),"")</f>
        <v/>
      </c>
      <c r="W10" s="15">
        <f>IF(ISNUMBER(S10),IF(ISNUMBER(S9),IF(S10&gt;S9,1.0,IF(S10=S9,0.5,0.0)),""),"")</f>
        <v/>
      </c>
      <c r="X10" s="15">
        <f>IF(ISNUMBER(T10),IF(ISNUMBER(T7),IF(T10&gt;T7,1.0,IF(T10=T7,0.5,0.0)),""),"")</f>
        <v/>
      </c>
      <c r="Y10" s="15">
        <f>IF(ISNUMBER(T10),IF(ISNUMBER(T8),IF(T10&gt;T8,1.0,IF(T10=T8,0.5,0.0)),""),"")</f>
        <v/>
      </c>
      <c r="Z10" s="15">
        <f>IF(ISNUMBER(T10),IF(ISNUMBER(T9),IF(T10&gt;T9,1.0,IF(T10=T9,0.5,0.0)),""),"")</f>
        <v/>
      </c>
      <c r="AA10" s="21">
        <f>IF(AND(ISNUMBER(S10),ISNUMBER(S7)),VLOOKUP(ABS(S10-S7),'IMP Table'!$A$2:$C$26,3)*SIGN(S10-S7),0)</f>
        <v/>
      </c>
      <c r="AB10" s="15">
        <f>IF(AND(ISNUMBER(S10),ISNUMBER(S8)),VLOOKUP(ABS(S10-S8),'IMP Table'!$A$2:$C$26,3)*SIGN(S10-S8),0)</f>
        <v/>
      </c>
      <c r="AC10" s="15">
        <f>IF(AND(ISNUMBER(S10),ISNUMBER(S9)),VLOOKUP(ABS(S10-S9),'IMP Table'!$A$2:$C$26,3)*SIGN(S10-S9),0)</f>
        <v/>
      </c>
      <c r="AD10" s="15">
        <f>IF(AND(ISNUMBER(T10),ISNUMBER(T7)),VLOOKUP(ABS(T10-T7),'IMP Table'!$A$2:$C$26,3)*SIGN(T10-T7),0)</f>
        <v/>
      </c>
      <c r="AE10" s="15">
        <f>IF(AND(ISNUMBER(T10),ISNUMBER(T8)),VLOOKUP(ABS(T10-T8),'IMP Table'!$A$2:$C$26,3)*SIGN(T10-T8),0)</f>
        <v/>
      </c>
      <c r="AF10" s="15">
        <f>IF(AND(ISNUMBER(T10),ISNUMBER(T9)),VLOOKUP(ABS(T10-T9),'IMP Table'!$A$2:$C$26,3)*SIGN(T10-T9),0)</f>
        <v/>
      </c>
    </row>
    <row r="11">
      <c r="A11" s="10" t="n">
        <v>3</v>
      </c>
      <c r="B11" s="10">
        <f>'By Round'!A11</f>
        <v/>
      </c>
      <c r="C11" s="10">
        <f>'By Round'!B11</f>
        <v/>
      </c>
      <c r="D11" s="10">
        <f>'By Round'!C11</f>
        <v/>
      </c>
      <c r="E11" s="10">
        <f>'By Round'!D11</f>
        <v/>
      </c>
      <c r="F11" s="10">
        <f>IF(ISBLANK('By Round'!F11),"",'By Round'!F11)</f>
        <v/>
      </c>
      <c r="G11">
        <f>IF(ISBLANK('By Round'!G11),"",'By Round'!G11)</f>
        <v/>
      </c>
      <c r="H11">
        <f>IF(ISBLANK('By Round'!H11),"",'By Round'!H11)</f>
        <v/>
      </c>
      <c r="I11">
        <f>IF(ISBLANK('By Round'!I11),"",'By Round'!I11)</f>
        <v/>
      </c>
      <c r="J11">
        <f>IF(ISBLANK('By Round'!J11),"",'By Round'!J11)</f>
        <v/>
      </c>
      <c r="K11">
        <f>IF(ISBLANK('By Round'!K11),"",'By Round'!K11)</f>
        <v/>
      </c>
      <c r="L11">
        <f>IF(ISBLANK('By Round'!L11),"",'By Round'!L11)</f>
        <v/>
      </c>
      <c r="M11" s="11">
        <f>AVERAGE(AA11:AC11)</f>
        <v/>
      </c>
      <c r="N11" s="12">
        <f>AVERAGE(AD11:AF11)</f>
        <v/>
      </c>
      <c r="O11" s="13">
        <f>IF(COUNT(U11:W11)&gt;0,Q11/COUNT(U11:W11),0.5)</f>
        <v/>
      </c>
      <c r="P11" s="13">
        <f>IF(COUNT(X11:Z11)&gt;0,R11/COUNT(X11:Z11),0.5)</f>
        <v/>
      </c>
      <c r="Q11" s="5">
        <f>SUM(U11:W11)</f>
        <v/>
      </c>
      <c r="R11" s="5">
        <f>SUM(X11:Z11)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IF(ISNUMBER(S11),IF(ISNUMBER(S12),IF(S11&gt;S12,1.0,IF(S11=S12,0.5,0.0)),""),"")</f>
        <v/>
      </c>
      <c r="V11">
        <f>IF(ISNUMBER(S11),IF(ISNUMBER(S13),IF(S11&gt;S13,1.0,IF(S11=S13,0.5,0.0)),""),"")</f>
        <v/>
      </c>
      <c r="W11">
        <f>IF(ISNUMBER(S11),IF(ISNUMBER(S14),IF(S11&gt;S14,1.0,IF(S11=S14,0.5,0.0)),""),"")</f>
        <v/>
      </c>
      <c r="X11">
        <f>IF(ISNUMBER(T11),IF(ISNUMBER(T12),IF(T11&gt;T12,1.0,IF(T11=T12,0.5,0.0)),""),"")</f>
        <v/>
      </c>
      <c r="Y11">
        <f>IF(ISNUMBER(T11),IF(ISNUMBER(T13),IF(T11&gt;T13,1.0,IF(T11=T13,0.5,0.0)),""),"")</f>
        <v/>
      </c>
      <c r="Z11">
        <f>IF(ISNUMBER(T11),IF(ISNUMBER(T14),IF(T11&gt;T14,1.0,IF(T11=T14,0.5,0.0)),""),"")</f>
        <v/>
      </c>
      <c r="AA11" s="14">
        <f>IF(AND(ISNUMBER(S11),ISNUMBER(S12)),VLOOKUP(ABS(S11-S12),'IMP Table'!$A$2:$C$26,3)*SIGN(S11-S12),0)</f>
        <v/>
      </c>
      <c r="AB11">
        <f>IF(AND(ISNUMBER(S11),ISNUMBER(S13)),VLOOKUP(ABS(S11-S13),'IMP Table'!$A$2:$C$26,3)*SIGN(S11-S13),0)</f>
        <v/>
      </c>
      <c r="AC11">
        <f>IF(AND(ISNUMBER(S11),ISNUMBER(S14)),VLOOKUP(ABS(S11-S14),'IMP Table'!$A$2:$C$26,3)*SIGN(S11-S14),0)</f>
        <v/>
      </c>
      <c r="AD11">
        <f>IF(AND(ISNUMBER(T11),ISNUMBER(T12)),VLOOKUP(ABS(T11-T12),'IMP Table'!$A$2:$C$26,3)*SIGN(T11-T12),0)</f>
        <v/>
      </c>
      <c r="AE11">
        <f>IF(AND(ISNUMBER(T11),ISNUMBER(T13)),VLOOKUP(ABS(T11-T13),'IMP Table'!$A$2:$C$26,3)*SIGN(T11-T13),0)</f>
        <v/>
      </c>
      <c r="AF11">
        <f>IF(AND(ISNUMBER(T11),ISNUMBER(T14)),VLOOKUP(ABS(T11-T14),'IMP Table'!$A$2:$C$26,3)*SIGN(T11-T14),0)</f>
        <v/>
      </c>
    </row>
    <row r="12">
      <c r="B12" s="10">
        <f>'By Round'!A51</f>
        <v/>
      </c>
      <c r="C12" s="10">
        <f>'By Round'!B55</f>
        <v/>
      </c>
      <c r="D12" s="10">
        <f>'By Round'!C55</f>
        <v/>
      </c>
      <c r="E12" s="10">
        <f>'By Round'!D55</f>
        <v/>
      </c>
      <c r="F12" s="10">
        <f>IF(ISBLANK('By Round'!F55),"",'By Round'!F55)</f>
        <v/>
      </c>
      <c r="G12">
        <f>IF(ISBLANK('By Round'!G55),"",'By Round'!G55)</f>
        <v/>
      </c>
      <c r="H12">
        <f>IF(ISBLANK('By Round'!H55),"",'By Round'!H55)</f>
        <v/>
      </c>
      <c r="I12">
        <f>IF(ISBLANK('By Round'!I55),"",'By Round'!I55)</f>
        <v/>
      </c>
      <c r="J12">
        <f>IF(ISBLANK('By Round'!J55),"",'By Round'!J55)</f>
        <v/>
      </c>
      <c r="K12">
        <f>IF(ISBLANK('By Round'!K55),"",'By Round'!K55)</f>
        <v/>
      </c>
      <c r="L12">
        <f>IF(ISBLANK('By Round'!L55),"",'By Round'!L55)</f>
        <v/>
      </c>
      <c r="M12" s="11">
        <f>AVERAGE(AA12:AC12)</f>
        <v/>
      </c>
      <c r="N12" s="12">
        <f>AVERAGE(AD12:AF12)</f>
        <v/>
      </c>
      <c r="O12" s="13">
        <f>IF(COUNT(U12:W12)&gt;0,Q12/COUNT(U12:W12),0.5)</f>
        <v/>
      </c>
      <c r="P12" s="13">
        <f>IF(COUNT(X12:Z12)&gt;0,R12/COUNT(X12:Z12),0.5)</f>
        <v/>
      </c>
      <c r="Q12" s="5">
        <f>SUM(U12:W12)</f>
        <v/>
      </c>
      <c r="R12" s="5">
        <f>SUM(X12:Z12)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IF(ISNUMBER(S12),IF(ISNUMBER(S11),IF(S12&gt;S11,1.0,IF(S12=S11,0.5,0.0)),""),"")</f>
        <v/>
      </c>
      <c r="V12">
        <f>IF(ISNUMBER(S12),IF(ISNUMBER(S13),IF(S12&gt;S13,1.0,IF(S12=S13,0.5,0.0)),""),"")</f>
        <v/>
      </c>
      <c r="W12">
        <f>IF(ISNUMBER(S12),IF(ISNUMBER(S14),IF(S12&gt;S14,1.0,IF(S12=S14,0.5,0.0)),""),"")</f>
        <v/>
      </c>
      <c r="X12">
        <f>IF(ISNUMBER(T12),IF(ISNUMBER(T11),IF(T12&gt;T11,1.0,IF(T12=T11,0.5,0.0)),""),"")</f>
        <v/>
      </c>
      <c r="Y12">
        <f>IF(ISNUMBER(T12),IF(ISNUMBER(T13),IF(T12&gt;T13,1.0,IF(T12=T13,0.5,0.0)),""),"")</f>
        <v/>
      </c>
      <c r="Z12">
        <f>IF(ISNUMBER(T12),IF(ISNUMBER(T14),IF(T12&gt;T14,1.0,IF(T12=T14,0.5,0.0)),""),"")</f>
        <v/>
      </c>
      <c r="AA12" s="14">
        <f>IF(AND(ISNUMBER(S12),ISNUMBER(S11)),VLOOKUP(ABS(S12-S11),'IMP Table'!$A$2:$C$26,3)*SIGN(S12-S11),0)</f>
        <v/>
      </c>
      <c r="AB12">
        <f>IF(AND(ISNUMBER(S12),ISNUMBER(S13)),VLOOKUP(ABS(S12-S13),'IMP Table'!$A$2:$C$26,3)*SIGN(S12-S13),0)</f>
        <v/>
      </c>
      <c r="AC12">
        <f>IF(AND(ISNUMBER(S12),ISNUMBER(S14)),VLOOKUP(ABS(S12-S14),'IMP Table'!$A$2:$C$26,3)*SIGN(S12-S14),0)</f>
        <v/>
      </c>
      <c r="AD12">
        <f>IF(AND(ISNUMBER(T12),ISNUMBER(T11)),VLOOKUP(ABS(T12-T11),'IMP Table'!$A$2:$C$26,3)*SIGN(T12-T11),0)</f>
        <v/>
      </c>
      <c r="AE12">
        <f>IF(AND(ISNUMBER(T12),ISNUMBER(T13)),VLOOKUP(ABS(T12-T13),'IMP Table'!$A$2:$C$26,3)*SIGN(T12-T13),0)</f>
        <v/>
      </c>
      <c r="AF12">
        <f>IF(AND(ISNUMBER(T12),ISNUMBER(T14)),VLOOKUP(ABS(T12-T14),'IMP Table'!$A$2:$C$26,3)*SIGN(T12-T14),0)</f>
        <v/>
      </c>
    </row>
    <row r="13">
      <c r="B13" s="10">
        <f>'By Round'!A35</f>
        <v/>
      </c>
      <c r="C13" s="10">
        <f>'By Round'!B41</f>
        <v/>
      </c>
      <c r="D13" s="10">
        <f>'By Round'!C41</f>
        <v/>
      </c>
      <c r="E13" s="10">
        <f>'By Round'!D41</f>
        <v/>
      </c>
      <c r="F13" s="10">
        <f>IF(ISBLANK('By Round'!F41),"",'By Round'!F41)</f>
        <v/>
      </c>
      <c r="G13">
        <f>IF(ISBLANK('By Round'!G41),"",'By Round'!G41)</f>
        <v/>
      </c>
      <c r="H13">
        <f>IF(ISBLANK('By Round'!H41),"",'By Round'!H41)</f>
        <v/>
      </c>
      <c r="I13">
        <f>IF(ISBLANK('By Round'!I41),"",'By Round'!I41)</f>
        <v/>
      </c>
      <c r="J13">
        <f>IF(ISBLANK('By Round'!J41),"",'By Round'!J41)</f>
        <v/>
      </c>
      <c r="K13">
        <f>IF(ISBLANK('By Round'!K41),"",'By Round'!K41)</f>
        <v/>
      </c>
      <c r="L13">
        <f>IF(ISBLANK('By Round'!L41),"",'By Round'!L41)</f>
        <v/>
      </c>
      <c r="M13" s="11">
        <f>AVERAGE(AA13:AC13)</f>
        <v/>
      </c>
      <c r="N13" s="12">
        <f>AVERAGE(AD13:AF13)</f>
        <v/>
      </c>
      <c r="O13" s="13">
        <f>IF(COUNT(U13:W13)&gt;0,Q13/COUNT(U13:W13),0.5)</f>
        <v/>
      </c>
      <c r="P13" s="13">
        <f>IF(COUNT(X13:Z13)&gt;0,R13/COUNT(X13:Z13),0.5)</f>
        <v/>
      </c>
      <c r="Q13" s="5">
        <f>SUM(U13:W13)</f>
        <v/>
      </c>
      <c r="R13" s="5">
        <f>SUM(X13:Z13)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IF(ISNUMBER(S13),IF(ISNUMBER(S11),IF(S13&gt;S11,1.0,IF(S13=S11,0.5,0.0)),""),"")</f>
        <v/>
      </c>
      <c r="V13">
        <f>IF(ISNUMBER(S13),IF(ISNUMBER(S12),IF(S13&gt;S12,1.0,IF(S13=S12,0.5,0.0)),""),"")</f>
        <v/>
      </c>
      <c r="W13">
        <f>IF(ISNUMBER(S13),IF(ISNUMBER(S14),IF(S13&gt;S14,1.0,IF(S13=S14,0.5,0.0)),""),"")</f>
        <v/>
      </c>
      <c r="X13">
        <f>IF(ISNUMBER(T13),IF(ISNUMBER(T11),IF(T13&gt;T11,1.0,IF(T13=T11,0.5,0.0)),""),"")</f>
        <v/>
      </c>
      <c r="Y13">
        <f>IF(ISNUMBER(T13),IF(ISNUMBER(T12),IF(T13&gt;T12,1.0,IF(T13=T12,0.5,0.0)),""),"")</f>
        <v/>
      </c>
      <c r="Z13">
        <f>IF(ISNUMBER(T13),IF(ISNUMBER(T14),IF(T13&gt;T14,1.0,IF(T13=T14,0.5,0.0)),""),"")</f>
        <v/>
      </c>
      <c r="AA13" s="14">
        <f>IF(AND(ISNUMBER(S13),ISNUMBER(S11)),VLOOKUP(ABS(S13-S11),'IMP Table'!$A$2:$C$26,3)*SIGN(S13-S11),0)</f>
        <v/>
      </c>
      <c r="AB13">
        <f>IF(AND(ISNUMBER(S13),ISNUMBER(S12)),VLOOKUP(ABS(S13-S12),'IMP Table'!$A$2:$C$26,3)*SIGN(S13-S12),0)</f>
        <v/>
      </c>
      <c r="AC13">
        <f>IF(AND(ISNUMBER(S13),ISNUMBER(S14)),VLOOKUP(ABS(S13-S14),'IMP Table'!$A$2:$C$26,3)*SIGN(S13-S14),0)</f>
        <v/>
      </c>
      <c r="AD13">
        <f>IF(AND(ISNUMBER(T13),ISNUMBER(T11)),VLOOKUP(ABS(T13-T11),'IMP Table'!$A$2:$C$26,3)*SIGN(T13-T11),0)</f>
        <v/>
      </c>
      <c r="AE13">
        <f>IF(AND(ISNUMBER(T13),ISNUMBER(T12)),VLOOKUP(ABS(T13-T12),'IMP Table'!$A$2:$C$26,3)*SIGN(T13-T12),0)</f>
        <v/>
      </c>
      <c r="AF13">
        <f>IF(AND(ISNUMBER(T13),ISNUMBER(T14)),VLOOKUP(ABS(T13-T14),'IMP Table'!$A$2:$C$26,3)*SIGN(T13-T14),0)</f>
        <v/>
      </c>
    </row>
    <row r="14">
      <c r="A14" s="15" t="n"/>
      <c r="B14" s="16">
        <f>'By Round'!A3</f>
        <v/>
      </c>
      <c r="C14" s="16">
        <f>'By Round'!B5</f>
        <v/>
      </c>
      <c r="D14" s="16">
        <f>'By Round'!C5</f>
        <v/>
      </c>
      <c r="E14" s="16">
        <f>'By Round'!D5</f>
        <v/>
      </c>
      <c r="F14" s="16">
        <f>IF(ISBLANK('By Round'!F5),"",'By Round'!F5)</f>
        <v/>
      </c>
      <c r="G14" s="15">
        <f>IF(ISBLANK('By Round'!G5),"",'By Round'!G5)</f>
        <v/>
      </c>
      <c r="H14" s="15">
        <f>IF(ISBLANK('By Round'!H5),"",'By Round'!H5)</f>
        <v/>
      </c>
      <c r="I14" s="15">
        <f>IF(ISBLANK('By Round'!I5),"",'By Round'!I5)</f>
        <v/>
      </c>
      <c r="J14" s="15">
        <f>IF(ISBLANK('By Round'!J5),"",'By Round'!J5)</f>
        <v/>
      </c>
      <c r="K14" s="15">
        <f>IF(ISBLANK('By Round'!K5),"",'By Round'!K5)</f>
        <v/>
      </c>
      <c r="L14" s="15">
        <f>IF(ISBLANK('By Round'!L5),"",'By Round'!L5)</f>
        <v/>
      </c>
      <c r="M14" s="17">
        <f>AVERAGE(AA14:AC14)</f>
        <v/>
      </c>
      <c r="N14" s="18">
        <f>AVERAGE(AD14:AF14)</f>
        <v/>
      </c>
      <c r="O14" s="19">
        <f>IF(COUNT(U14:W14)&gt;0,Q14/COUNT(U14:W14),0.5)</f>
        <v/>
      </c>
      <c r="P14" s="19">
        <f>IF(COUNT(X14:Z14)&gt;0,R14/COUNT(X14:Z14),0.5)</f>
        <v/>
      </c>
      <c r="Q14" s="20">
        <f>SUM(U14:W14)</f>
        <v/>
      </c>
      <c r="R14" s="20">
        <f>SUM(X14:Z14)</f>
        <v/>
      </c>
      <c r="S14" s="21">
        <f>IF(ISNUMBER(K14),K14,IF(ISNUMBER(L14),-L14,""))</f>
        <v/>
      </c>
      <c r="T14" s="15">
        <f>IF(ISNUMBER(L14),L14,IF(ISNUMBER(K14),-K14,""))</f>
        <v/>
      </c>
      <c r="U14" s="21">
        <f>IF(ISNUMBER(S14),IF(ISNUMBER(S11),IF(S14&gt;S11,1.0,IF(S14=S11,0.5,0.0)),""),"")</f>
        <v/>
      </c>
      <c r="V14" s="15">
        <f>IF(ISNUMBER(S14),IF(ISNUMBER(S12),IF(S14&gt;S12,1.0,IF(S14=S12,0.5,0.0)),""),"")</f>
        <v/>
      </c>
      <c r="W14" s="15">
        <f>IF(ISNUMBER(S14),IF(ISNUMBER(S13),IF(S14&gt;S13,1.0,IF(S14=S13,0.5,0.0)),""),"")</f>
        <v/>
      </c>
      <c r="X14" s="15">
        <f>IF(ISNUMBER(T14),IF(ISNUMBER(T11),IF(T14&gt;T11,1.0,IF(T14=T11,0.5,0.0)),""),"")</f>
        <v/>
      </c>
      <c r="Y14" s="15">
        <f>IF(ISNUMBER(T14),IF(ISNUMBER(T12),IF(T14&gt;T12,1.0,IF(T14=T12,0.5,0.0)),""),"")</f>
        <v/>
      </c>
      <c r="Z14" s="15">
        <f>IF(ISNUMBER(T14),IF(ISNUMBER(T13),IF(T14&gt;T13,1.0,IF(T14=T13,0.5,0.0)),""),"")</f>
        <v/>
      </c>
      <c r="AA14" s="21">
        <f>IF(AND(ISNUMBER(S14),ISNUMBER(S11)),VLOOKUP(ABS(S14-S11),'IMP Table'!$A$2:$C$26,3)*SIGN(S14-S11),0)</f>
        <v/>
      </c>
      <c r="AB14" s="15">
        <f>IF(AND(ISNUMBER(S14),ISNUMBER(S12)),VLOOKUP(ABS(S14-S12),'IMP Table'!$A$2:$C$26,3)*SIGN(S14-S12),0)</f>
        <v/>
      </c>
      <c r="AC14" s="15">
        <f>IF(AND(ISNUMBER(S14),ISNUMBER(S13)),VLOOKUP(ABS(S14-S13),'IMP Table'!$A$2:$C$26,3)*SIGN(S14-S13),0)</f>
        <v/>
      </c>
      <c r="AD14" s="15">
        <f>IF(AND(ISNUMBER(T14),ISNUMBER(T11)),VLOOKUP(ABS(T14-T11),'IMP Table'!$A$2:$C$26,3)*SIGN(T14-T11),0)</f>
        <v/>
      </c>
      <c r="AE14" s="15">
        <f>IF(AND(ISNUMBER(T14),ISNUMBER(T12)),VLOOKUP(ABS(T14-T12),'IMP Table'!$A$2:$C$26,3)*SIGN(T14-T12),0)</f>
        <v/>
      </c>
      <c r="AF14" s="15">
        <f>IF(AND(ISNUMBER(T14),ISNUMBER(T13)),VLOOKUP(ABS(T14-T13),'IMP Table'!$A$2:$C$26,3)*SIGN(T14-T13),0)</f>
        <v/>
      </c>
    </row>
    <row r="15">
      <c r="A15" s="10" t="n">
        <v>4</v>
      </c>
      <c r="B15" s="10">
        <f>'By Round'!A11</f>
        <v/>
      </c>
      <c r="C15" s="10">
        <f>'By Round'!B11</f>
        <v/>
      </c>
      <c r="D15" s="10">
        <f>'By Round'!C11</f>
        <v/>
      </c>
      <c r="E15" s="10">
        <f>'By Round'!D11</f>
        <v/>
      </c>
      <c r="F15" s="10">
        <f>IF(ISBLANK('By Round'!F12),"",'By Round'!F12)</f>
        <v/>
      </c>
      <c r="G15">
        <f>IF(ISBLANK('By Round'!G12),"",'By Round'!G12)</f>
        <v/>
      </c>
      <c r="H15">
        <f>IF(ISBLANK('By Round'!H12),"",'By Round'!H12)</f>
        <v/>
      </c>
      <c r="I15">
        <f>IF(ISBLANK('By Round'!I12),"",'By Round'!I12)</f>
        <v/>
      </c>
      <c r="J15">
        <f>IF(ISBLANK('By Round'!J12),"",'By Round'!J12)</f>
        <v/>
      </c>
      <c r="K15">
        <f>IF(ISBLANK('By Round'!K12),"",'By Round'!K12)</f>
        <v/>
      </c>
      <c r="L15">
        <f>IF(ISBLANK('By Round'!L12),"",'By Round'!L12)</f>
        <v/>
      </c>
      <c r="M15" s="11">
        <f>AVERAGE(AA15:AC15)</f>
        <v/>
      </c>
      <c r="N15" s="12">
        <f>AVERAGE(AD15:AF15)</f>
        <v/>
      </c>
      <c r="O15" s="13">
        <f>IF(COUNT(U15:W15)&gt;0,Q15/COUNT(U15:W15),0.5)</f>
        <v/>
      </c>
      <c r="P15" s="13">
        <f>IF(COUNT(X15:Z15)&gt;0,R15/COUNT(X15:Z15),0.5)</f>
        <v/>
      </c>
      <c r="Q15" s="5">
        <f>SUM(U15:W15)</f>
        <v/>
      </c>
      <c r="R15" s="5">
        <f>SUM(X15:Z15)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IF(ISNUMBER(S15),IF(ISNUMBER(S16),IF(S15&gt;S16,1.0,IF(S15=S16,0.5,0.0)),""),"")</f>
        <v/>
      </c>
      <c r="V15">
        <f>IF(ISNUMBER(S15),IF(ISNUMBER(S17),IF(S15&gt;S17,1.0,IF(S15=S17,0.5,0.0)),""),"")</f>
        <v/>
      </c>
      <c r="W15">
        <f>IF(ISNUMBER(S15),IF(ISNUMBER(S18),IF(S15&gt;S18,1.0,IF(S15=S18,0.5,0.0)),""),"")</f>
        <v/>
      </c>
      <c r="X15">
        <f>IF(ISNUMBER(T15),IF(ISNUMBER(T16),IF(T15&gt;T16,1.0,IF(T15=T16,0.5,0.0)),""),"")</f>
        <v/>
      </c>
      <c r="Y15">
        <f>IF(ISNUMBER(T15),IF(ISNUMBER(T17),IF(T15&gt;T17,1.0,IF(T15=T17,0.5,0.0)),""),"")</f>
        <v/>
      </c>
      <c r="Z15">
        <f>IF(ISNUMBER(T15),IF(ISNUMBER(T18),IF(T15&gt;T18,1.0,IF(T15=T18,0.5,0.0)),""),"")</f>
        <v/>
      </c>
      <c r="AA15" s="14">
        <f>IF(AND(ISNUMBER(S15),ISNUMBER(S16)),VLOOKUP(ABS(S15-S16),'IMP Table'!$A$2:$C$26,3)*SIGN(S15-S16),0)</f>
        <v/>
      </c>
      <c r="AB15">
        <f>IF(AND(ISNUMBER(S15),ISNUMBER(S17)),VLOOKUP(ABS(S15-S17),'IMP Table'!$A$2:$C$26,3)*SIGN(S15-S17),0)</f>
        <v/>
      </c>
      <c r="AC15">
        <f>IF(AND(ISNUMBER(S15),ISNUMBER(S18)),VLOOKUP(ABS(S15-S18),'IMP Table'!$A$2:$C$26,3)*SIGN(S15-S18),0)</f>
        <v/>
      </c>
      <c r="AD15">
        <f>IF(AND(ISNUMBER(T15),ISNUMBER(T16)),VLOOKUP(ABS(T15-T16),'IMP Table'!$A$2:$C$26,3)*SIGN(T15-T16),0)</f>
        <v/>
      </c>
      <c r="AE15">
        <f>IF(AND(ISNUMBER(T15),ISNUMBER(T17)),VLOOKUP(ABS(T15-T17),'IMP Table'!$A$2:$C$26,3)*SIGN(T15-T17),0)</f>
        <v/>
      </c>
      <c r="AF15">
        <f>IF(AND(ISNUMBER(T15),ISNUMBER(T18)),VLOOKUP(ABS(T15-T18),'IMP Table'!$A$2:$C$26,3)*SIGN(T15-T18),0)</f>
        <v/>
      </c>
    </row>
    <row r="16">
      <c r="B16" s="10">
        <f>'By Round'!A51</f>
        <v/>
      </c>
      <c r="C16" s="10">
        <f>'By Round'!B55</f>
        <v/>
      </c>
      <c r="D16" s="10">
        <f>'By Round'!C55</f>
        <v/>
      </c>
      <c r="E16" s="10">
        <f>'By Round'!D55</f>
        <v/>
      </c>
      <c r="F16" s="10">
        <f>IF(ISBLANK('By Round'!F56),"",'By Round'!F56)</f>
        <v/>
      </c>
      <c r="G16">
        <f>IF(ISBLANK('By Round'!G56),"",'By Round'!G56)</f>
        <v/>
      </c>
      <c r="H16">
        <f>IF(ISBLANK('By Round'!H56),"",'By Round'!H56)</f>
        <v/>
      </c>
      <c r="I16">
        <f>IF(ISBLANK('By Round'!I56),"",'By Round'!I56)</f>
        <v/>
      </c>
      <c r="J16">
        <f>IF(ISBLANK('By Round'!J56),"",'By Round'!J56)</f>
        <v/>
      </c>
      <c r="K16">
        <f>IF(ISBLANK('By Round'!K56),"",'By Round'!K56)</f>
        <v/>
      </c>
      <c r="L16">
        <f>IF(ISBLANK('By Round'!L56),"",'By Round'!L56)</f>
        <v/>
      </c>
      <c r="M16" s="11">
        <f>AVERAGE(AA16:AC16)</f>
        <v/>
      </c>
      <c r="N16" s="12">
        <f>AVERAGE(AD16:AF16)</f>
        <v/>
      </c>
      <c r="O16" s="13">
        <f>IF(COUNT(U16:W16)&gt;0,Q16/COUNT(U16:W16),0.5)</f>
        <v/>
      </c>
      <c r="P16" s="13">
        <f>IF(COUNT(X16:Z16)&gt;0,R16/COUNT(X16:Z16),0.5)</f>
        <v/>
      </c>
      <c r="Q16" s="5">
        <f>SUM(U16:W16)</f>
        <v/>
      </c>
      <c r="R16" s="5">
        <f>SUM(X16:Z16)</f>
        <v/>
      </c>
      <c r="S16" s="14">
        <f>IF(ISNUMBER(K16),K16,IF(ISNUMBER(L16),-L16,""))</f>
        <v/>
      </c>
      <c r="T16">
        <f>IF(ISNUMBER(L16),L16,IF(ISNUMBER(K16),-K16,""))</f>
        <v/>
      </c>
      <c r="U16" s="14">
        <f>IF(ISNUMBER(S16),IF(ISNUMBER(S15),IF(S16&gt;S15,1.0,IF(S16=S15,0.5,0.0)),""),"")</f>
        <v/>
      </c>
      <c r="V16">
        <f>IF(ISNUMBER(S16),IF(ISNUMBER(S17),IF(S16&gt;S17,1.0,IF(S16=S17,0.5,0.0)),""),"")</f>
        <v/>
      </c>
      <c r="W16">
        <f>IF(ISNUMBER(S16),IF(ISNUMBER(S18),IF(S16&gt;S18,1.0,IF(S16=S18,0.5,0.0)),""),"")</f>
        <v/>
      </c>
      <c r="X16">
        <f>IF(ISNUMBER(T16),IF(ISNUMBER(T15),IF(T16&gt;T15,1.0,IF(T16=T15,0.5,0.0)),""),"")</f>
        <v/>
      </c>
      <c r="Y16">
        <f>IF(ISNUMBER(T16),IF(ISNUMBER(T17),IF(T16&gt;T17,1.0,IF(T16=T17,0.5,0.0)),""),"")</f>
        <v/>
      </c>
      <c r="Z16">
        <f>IF(ISNUMBER(T16),IF(ISNUMBER(T18),IF(T16&gt;T18,1.0,IF(T16=T18,0.5,0.0)),""),"")</f>
        <v/>
      </c>
      <c r="AA16" s="14">
        <f>IF(AND(ISNUMBER(S16),ISNUMBER(S15)),VLOOKUP(ABS(S16-S15),'IMP Table'!$A$2:$C$26,3)*SIGN(S16-S15),0)</f>
        <v/>
      </c>
      <c r="AB16">
        <f>IF(AND(ISNUMBER(S16),ISNUMBER(S17)),VLOOKUP(ABS(S16-S17),'IMP Table'!$A$2:$C$26,3)*SIGN(S16-S17),0)</f>
        <v/>
      </c>
      <c r="AC16">
        <f>IF(AND(ISNUMBER(S16),ISNUMBER(S18)),VLOOKUP(ABS(S16-S18),'IMP Table'!$A$2:$C$26,3)*SIGN(S16-S18),0)</f>
        <v/>
      </c>
      <c r="AD16">
        <f>IF(AND(ISNUMBER(T16),ISNUMBER(T15)),VLOOKUP(ABS(T16-T15),'IMP Table'!$A$2:$C$26,3)*SIGN(T16-T15),0)</f>
        <v/>
      </c>
      <c r="AE16">
        <f>IF(AND(ISNUMBER(T16),ISNUMBER(T17)),VLOOKUP(ABS(T16-T17),'IMP Table'!$A$2:$C$26,3)*SIGN(T16-T17),0)</f>
        <v/>
      </c>
      <c r="AF16">
        <f>IF(AND(ISNUMBER(T16),ISNUMBER(T18)),VLOOKUP(ABS(T16-T18),'IMP Table'!$A$2:$C$26,3)*SIGN(T16-T18),0)</f>
        <v/>
      </c>
    </row>
    <row r="17">
      <c r="B17" s="10">
        <f>'By Round'!A35</f>
        <v/>
      </c>
      <c r="C17" s="10">
        <f>'By Round'!B41</f>
        <v/>
      </c>
      <c r="D17" s="10">
        <f>'By Round'!C41</f>
        <v/>
      </c>
      <c r="E17" s="10">
        <f>'By Round'!D41</f>
        <v/>
      </c>
      <c r="F17" s="10">
        <f>IF(ISBLANK('By Round'!F42),"",'By Round'!F42)</f>
        <v/>
      </c>
      <c r="G17">
        <f>IF(ISBLANK('By Round'!G42),"",'By Round'!G42)</f>
        <v/>
      </c>
      <c r="H17">
        <f>IF(ISBLANK('By Round'!H42),"",'By Round'!H42)</f>
        <v/>
      </c>
      <c r="I17">
        <f>IF(ISBLANK('By Round'!I42),"",'By Round'!I42)</f>
        <v/>
      </c>
      <c r="J17">
        <f>IF(ISBLANK('By Round'!J42),"",'By Round'!J42)</f>
        <v/>
      </c>
      <c r="K17">
        <f>IF(ISBLANK('By Round'!K42),"",'By Round'!K42)</f>
        <v/>
      </c>
      <c r="L17">
        <f>IF(ISBLANK('By Round'!L42),"",'By Round'!L42)</f>
        <v/>
      </c>
      <c r="M17" s="11">
        <f>AVERAGE(AA17:AC17)</f>
        <v/>
      </c>
      <c r="N17" s="12">
        <f>AVERAGE(AD17:AF17)</f>
        <v/>
      </c>
      <c r="O17" s="13">
        <f>IF(COUNT(U17:W17)&gt;0,Q17/COUNT(U17:W17),0.5)</f>
        <v/>
      </c>
      <c r="P17" s="13">
        <f>IF(COUNT(X17:Z17)&gt;0,R17/COUNT(X17:Z17),0.5)</f>
        <v/>
      </c>
      <c r="Q17" s="5">
        <f>SUM(U17:W17)</f>
        <v/>
      </c>
      <c r="R17" s="5">
        <f>SUM(X17:Z17)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IF(ISNUMBER(S17),IF(ISNUMBER(S15),IF(S17&gt;S15,1.0,IF(S17=S15,0.5,0.0)),""),"")</f>
        <v/>
      </c>
      <c r="V17">
        <f>IF(ISNUMBER(S17),IF(ISNUMBER(S16),IF(S17&gt;S16,1.0,IF(S17=S16,0.5,0.0)),""),"")</f>
        <v/>
      </c>
      <c r="W17">
        <f>IF(ISNUMBER(S17),IF(ISNUMBER(S18),IF(S17&gt;S18,1.0,IF(S17=S18,0.5,0.0)),""),"")</f>
        <v/>
      </c>
      <c r="X17">
        <f>IF(ISNUMBER(T17),IF(ISNUMBER(T15),IF(T17&gt;T15,1.0,IF(T17=T15,0.5,0.0)),""),"")</f>
        <v/>
      </c>
      <c r="Y17">
        <f>IF(ISNUMBER(T17),IF(ISNUMBER(T16),IF(T17&gt;T16,1.0,IF(T17=T16,0.5,0.0)),""),"")</f>
        <v/>
      </c>
      <c r="Z17">
        <f>IF(ISNUMBER(T17),IF(ISNUMBER(T18),IF(T17&gt;T18,1.0,IF(T17=T18,0.5,0.0)),""),"")</f>
        <v/>
      </c>
      <c r="AA17" s="14">
        <f>IF(AND(ISNUMBER(S17),ISNUMBER(S15)),VLOOKUP(ABS(S17-S15),'IMP Table'!$A$2:$C$26,3)*SIGN(S17-S15),0)</f>
        <v/>
      </c>
      <c r="AB17">
        <f>IF(AND(ISNUMBER(S17),ISNUMBER(S16)),VLOOKUP(ABS(S17-S16),'IMP Table'!$A$2:$C$26,3)*SIGN(S17-S16),0)</f>
        <v/>
      </c>
      <c r="AC17">
        <f>IF(AND(ISNUMBER(S17),ISNUMBER(S18)),VLOOKUP(ABS(S17-S18),'IMP Table'!$A$2:$C$26,3)*SIGN(S17-S18),0)</f>
        <v/>
      </c>
      <c r="AD17">
        <f>IF(AND(ISNUMBER(T17),ISNUMBER(T15)),VLOOKUP(ABS(T17-T15),'IMP Table'!$A$2:$C$26,3)*SIGN(T17-T15),0)</f>
        <v/>
      </c>
      <c r="AE17">
        <f>IF(AND(ISNUMBER(T17),ISNUMBER(T16)),VLOOKUP(ABS(T17-T16),'IMP Table'!$A$2:$C$26,3)*SIGN(T17-T16),0)</f>
        <v/>
      </c>
      <c r="AF17">
        <f>IF(AND(ISNUMBER(T17),ISNUMBER(T18)),VLOOKUP(ABS(T17-T18),'IMP Table'!$A$2:$C$26,3)*SIGN(T17-T18),0)</f>
        <v/>
      </c>
    </row>
    <row r="18">
      <c r="A18" s="15" t="n"/>
      <c r="B18" s="16">
        <f>'By Round'!A3</f>
        <v/>
      </c>
      <c r="C18" s="16">
        <f>'By Round'!B5</f>
        <v/>
      </c>
      <c r="D18" s="16">
        <f>'By Round'!C5</f>
        <v/>
      </c>
      <c r="E18" s="16">
        <f>'By Round'!D5</f>
        <v/>
      </c>
      <c r="F18" s="16">
        <f>IF(ISBLANK('By Round'!F6),"",'By Round'!F6)</f>
        <v/>
      </c>
      <c r="G18" s="15">
        <f>IF(ISBLANK('By Round'!G6),"",'By Round'!G6)</f>
        <v/>
      </c>
      <c r="H18" s="15">
        <f>IF(ISBLANK('By Round'!H6),"",'By Round'!H6)</f>
        <v/>
      </c>
      <c r="I18" s="15">
        <f>IF(ISBLANK('By Round'!I6),"",'By Round'!I6)</f>
        <v/>
      </c>
      <c r="J18" s="15">
        <f>IF(ISBLANK('By Round'!J6),"",'By Round'!J6)</f>
        <v/>
      </c>
      <c r="K18" s="15">
        <f>IF(ISBLANK('By Round'!K6),"",'By Round'!K6)</f>
        <v/>
      </c>
      <c r="L18" s="15">
        <f>IF(ISBLANK('By Round'!L6),"",'By Round'!L6)</f>
        <v/>
      </c>
      <c r="M18" s="17">
        <f>AVERAGE(AA18:AC18)</f>
        <v/>
      </c>
      <c r="N18" s="18">
        <f>AVERAGE(AD18:AF18)</f>
        <v/>
      </c>
      <c r="O18" s="19">
        <f>IF(COUNT(U18:W18)&gt;0,Q18/COUNT(U18:W18),0.5)</f>
        <v/>
      </c>
      <c r="P18" s="19">
        <f>IF(COUNT(X18:Z18)&gt;0,R18/COUNT(X18:Z18),0.5)</f>
        <v/>
      </c>
      <c r="Q18" s="20">
        <f>SUM(U18:W18)</f>
        <v/>
      </c>
      <c r="R18" s="20">
        <f>SUM(X18:Z18)</f>
        <v/>
      </c>
      <c r="S18" s="21">
        <f>IF(ISNUMBER(K18),K18,IF(ISNUMBER(L18),-L18,""))</f>
        <v/>
      </c>
      <c r="T18" s="15">
        <f>IF(ISNUMBER(L18),L18,IF(ISNUMBER(K18),-K18,""))</f>
        <v/>
      </c>
      <c r="U18" s="21">
        <f>IF(ISNUMBER(S18),IF(ISNUMBER(S15),IF(S18&gt;S15,1.0,IF(S18=S15,0.5,0.0)),""),"")</f>
        <v/>
      </c>
      <c r="V18" s="15">
        <f>IF(ISNUMBER(S18),IF(ISNUMBER(S16),IF(S18&gt;S16,1.0,IF(S18=S16,0.5,0.0)),""),"")</f>
        <v/>
      </c>
      <c r="W18" s="15">
        <f>IF(ISNUMBER(S18),IF(ISNUMBER(S17),IF(S18&gt;S17,1.0,IF(S18=S17,0.5,0.0)),""),"")</f>
        <v/>
      </c>
      <c r="X18" s="15">
        <f>IF(ISNUMBER(T18),IF(ISNUMBER(T15),IF(T18&gt;T15,1.0,IF(T18=T15,0.5,0.0)),""),"")</f>
        <v/>
      </c>
      <c r="Y18" s="15">
        <f>IF(ISNUMBER(T18),IF(ISNUMBER(T16),IF(T18&gt;T16,1.0,IF(T18=T16,0.5,0.0)),""),"")</f>
        <v/>
      </c>
      <c r="Z18" s="15">
        <f>IF(ISNUMBER(T18),IF(ISNUMBER(T17),IF(T18&gt;T17,1.0,IF(T18=T17,0.5,0.0)),""),"")</f>
        <v/>
      </c>
      <c r="AA18" s="21">
        <f>IF(AND(ISNUMBER(S18),ISNUMBER(S15)),VLOOKUP(ABS(S18-S15),'IMP Table'!$A$2:$C$26,3)*SIGN(S18-S15),0)</f>
        <v/>
      </c>
      <c r="AB18" s="15">
        <f>IF(AND(ISNUMBER(S18),ISNUMBER(S16)),VLOOKUP(ABS(S18-S16),'IMP Table'!$A$2:$C$26,3)*SIGN(S18-S16),0)</f>
        <v/>
      </c>
      <c r="AC18" s="15">
        <f>IF(AND(ISNUMBER(S18),ISNUMBER(S17)),VLOOKUP(ABS(S18-S17),'IMP Table'!$A$2:$C$26,3)*SIGN(S18-S17),0)</f>
        <v/>
      </c>
      <c r="AD18" s="15">
        <f>IF(AND(ISNUMBER(T18),ISNUMBER(T15)),VLOOKUP(ABS(T18-T15),'IMP Table'!$A$2:$C$26,3)*SIGN(T18-T15),0)</f>
        <v/>
      </c>
      <c r="AE18" s="15">
        <f>IF(AND(ISNUMBER(T18),ISNUMBER(T16)),VLOOKUP(ABS(T18-T16),'IMP Table'!$A$2:$C$26,3)*SIGN(T18-T16),0)</f>
        <v/>
      </c>
      <c r="AF18" s="15">
        <f>IF(AND(ISNUMBER(T18),ISNUMBER(T17)),VLOOKUP(ABS(T18-T17),'IMP Table'!$A$2:$C$26,3)*SIGN(T18-T17),0)</f>
        <v/>
      </c>
    </row>
    <row r="19">
      <c r="A19" s="10" t="n">
        <v>5</v>
      </c>
      <c r="B19" s="10">
        <f>'By Round'!A19</f>
        <v/>
      </c>
      <c r="C19" s="10">
        <f>'By Round'!B19</f>
        <v/>
      </c>
      <c r="D19" s="10">
        <f>'By Round'!C19</f>
        <v/>
      </c>
      <c r="E19" s="10">
        <f>'By Round'!D19</f>
        <v/>
      </c>
      <c r="F19" s="10">
        <f>IF(ISBLANK('By Round'!F19),"",'By Round'!F19)</f>
        <v/>
      </c>
      <c r="G19">
        <f>IF(ISBLANK('By Round'!G19),"",'By Round'!G19)</f>
        <v/>
      </c>
      <c r="H19">
        <f>IF(ISBLANK('By Round'!H19),"",'By Round'!H19)</f>
        <v/>
      </c>
      <c r="I19">
        <f>IF(ISBLANK('By Round'!I19),"",'By Round'!I19)</f>
        <v/>
      </c>
      <c r="J19">
        <f>IF(ISBLANK('By Round'!J19),"",'By Round'!J19)</f>
        <v/>
      </c>
      <c r="K19">
        <f>IF(ISBLANK('By Round'!K19),"",'By Round'!K19)</f>
        <v/>
      </c>
      <c r="L19">
        <f>IF(ISBLANK('By Round'!L19),"",'By Round'!L19)</f>
        <v/>
      </c>
      <c r="M19" s="11">
        <f>AVERAGE(AA19:AC19)</f>
        <v/>
      </c>
      <c r="N19" s="12">
        <f>AVERAGE(AD19:AF19)</f>
        <v/>
      </c>
      <c r="O19" s="13">
        <f>IF(COUNT(U19:W19)&gt;0,Q19/COUNT(U19:W19),0.5)</f>
        <v/>
      </c>
      <c r="P19" s="13">
        <f>IF(COUNT(X19:Z19)&gt;0,R19/COUNT(X19:Z19),0.5)</f>
        <v/>
      </c>
      <c r="Q19" s="5">
        <f>SUM(U19:W19)</f>
        <v/>
      </c>
      <c r="R19" s="5">
        <f>SUM(X19:Z19)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IF(ISNUMBER(S19),IF(ISNUMBER(S20),IF(S19&gt;S20,1.0,IF(S19=S20,0.5,0.0)),""),"")</f>
        <v/>
      </c>
      <c r="V19">
        <f>IF(ISNUMBER(S19),IF(ISNUMBER(S21),IF(S19&gt;S21,1.0,IF(S19=S21,0.5,0.0)),""),"")</f>
        <v/>
      </c>
      <c r="W19">
        <f>IF(ISNUMBER(S19),IF(ISNUMBER(S22),IF(S19&gt;S22,1.0,IF(S19=S22,0.5,0.0)),""),"")</f>
        <v/>
      </c>
      <c r="X19">
        <f>IF(ISNUMBER(T19),IF(ISNUMBER(T20),IF(T19&gt;T20,1.0,IF(T19=T20,0.5,0.0)),""),"")</f>
        <v/>
      </c>
      <c r="Y19">
        <f>IF(ISNUMBER(T19),IF(ISNUMBER(T21),IF(T19&gt;T21,1.0,IF(T19=T21,0.5,0.0)),""),"")</f>
        <v/>
      </c>
      <c r="Z19">
        <f>IF(ISNUMBER(T19),IF(ISNUMBER(T22),IF(T19&gt;T22,1.0,IF(T19=T22,0.5,0.0)),""),"")</f>
        <v/>
      </c>
      <c r="AA19" s="14">
        <f>IF(AND(ISNUMBER(S19),ISNUMBER(S20)),VLOOKUP(ABS(S19-S20),'IMP Table'!$A$2:$C$26,3)*SIGN(S19-S20),0)</f>
        <v/>
      </c>
      <c r="AB19">
        <f>IF(AND(ISNUMBER(S19),ISNUMBER(S21)),VLOOKUP(ABS(S19-S21),'IMP Table'!$A$2:$C$26,3)*SIGN(S19-S21),0)</f>
        <v/>
      </c>
      <c r="AC19">
        <f>IF(AND(ISNUMBER(S19),ISNUMBER(S22)),VLOOKUP(ABS(S19-S22),'IMP Table'!$A$2:$C$26,3)*SIGN(S19-S22),0)</f>
        <v/>
      </c>
      <c r="AD19">
        <f>IF(AND(ISNUMBER(T19),ISNUMBER(T20)),VLOOKUP(ABS(T19-T20),'IMP Table'!$A$2:$C$26,3)*SIGN(T19-T20),0)</f>
        <v/>
      </c>
      <c r="AE19">
        <f>IF(AND(ISNUMBER(T19),ISNUMBER(T21)),VLOOKUP(ABS(T19-T21),'IMP Table'!$A$2:$C$26,3)*SIGN(T19-T21),0)</f>
        <v/>
      </c>
      <c r="AF19">
        <f>IF(AND(ISNUMBER(T19),ISNUMBER(T22)),VLOOKUP(ABS(T19-T22),'IMP Table'!$A$2:$C$26,3)*SIGN(T19-T22),0)</f>
        <v/>
      </c>
    </row>
    <row r="20">
      <c r="B20" s="10">
        <f>'By Round'!A3</f>
        <v/>
      </c>
      <c r="C20" s="10">
        <f>'By Round'!B7</f>
        <v/>
      </c>
      <c r="D20" s="10">
        <f>'By Round'!C7</f>
        <v/>
      </c>
      <c r="E20" s="10">
        <f>'By Round'!D7</f>
        <v/>
      </c>
      <c r="F20" s="10">
        <f>IF(ISBLANK('By Round'!F7),"",'By Round'!F7)</f>
        <v/>
      </c>
      <c r="G20">
        <f>IF(ISBLANK('By Round'!G7),"",'By Round'!G7)</f>
        <v/>
      </c>
      <c r="H20">
        <f>IF(ISBLANK('By Round'!H7),"",'By Round'!H7)</f>
        <v/>
      </c>
      <c r="I20">
        <f>IF(ISBLANK('By Round'!I7),"",'By Round'!I7)</f>
        <v/>
      </c>
      <c r="J20">
        <f>IF(ISBLANK('By Round'!J7),"",'By Round'!J7)</f>
        <v/>
      </c>
      <c r="K20">
        <f>IF(ISBLANK('By Round'!K7),"",'By Round'!K7)</f>
        <v/>
      </c>
      <c r="L20">
        <f>IF(ISBLANK('By Round'!L7),"",'By Round'!L7)</f>
        <v/>
      </c>
      <c r="M20" s="11">
        <f>AVERAGE(AA20:AC20)</f>
        <v/>
      </c>
      <c r="N20" s="12">
        <f>AVERAGE(AD20:AF20)</f>
        <v/>
      </c>
      <c r="O20" s="13">
        <f>IF(COUNT(U20:W20)&gt;0,Q20/COUNT(U20:W20),0.5)</f>
        <v/>
      </c>
      <c r="P20" s="13">
        <f>IF(COUNT(X20:Z20)&gt;0,R20/COUNT(X20:Z20),0.5)</f>
        <v/>
      </c>
      <c r="Q20" s="5">
        <f>SUM(U20:W20)</f>
        <v/>
      </c>
      <c r="R20" s="5">
        <f>SUM(X20:Z20)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IF(ISNUMBER(S20),IF(ISNUMBER(S19),IF(S20&gt;S19,1.0,IF(S20=S19,0.5,0.0)),""),"")</f>
        <v/>
      </c>
      <c r="V20">
        <f>IF(ISNUMBER(S20),IF(ISNUMBER(S21),IF(S20&gt;S21,1.0,IF(S20=S21,0.5,0.0)),""),"")</f>
        <v/>
      </c>
      <c r="W20">
        <f>IF(ISNUMBER(S20),IF(ISNUMBER(S22),IF(S20&gt;S22,1.0,IF(S20=S22,0.5,0.0)),""),"")</f>
        <v/>
      </c>
      <c r="X20">
        <f>IF(ISNUMBER(T20),IF(ISNUMBER(T19),IF(T20&gt;T19,1.0,IF(T20=T19,0.5,0.0)),""),"")</f>
        <v/>
      </c>
      <c r="Y20">
        <f>IF(ISNUMBER(T20),IF(ISNUMBER(T21),IF(T20&gt;T21,1.0,IF(T20=T21,0.5,0.0)),""),"")</f>
        <v/>
      </c>
      <c r="Z20">
        <f>IF(ISNUMBER(T20),IF(ISNUMBER(T22),IF(T20&gt;T22,1.0,IF(T20=T22,0.5,0.0)),""),"")</f>
        <v/>
      </c>
      <c r="AA20" s="14">
        <f>IF(AND(ISNUMBER(S20),ISNUMBER(S19)),VLOOKUP(ABS(S20-S19),'IMP Table'!$A$2:$C$26,3)*SIGN(S20-S19),0)</f>
        <v/>
      </c>
      <c r="AB20">
        <f>IF(AND(ISNUMBER(S20),ISNUMBER(S21)),VLOOKUP(ABS(S20-S21),'IMP Table'!$A$2:$C$26,3)*SIGN(S20-S21),0)</f>
        <v/>
      </c>
      <c r="AC20">
        <f>IF(AND(ISNUMBER(S20),ISNUMBER(S22)),VLOOKUP(ABS(S20-S22),'IMP Table'!$A$2:$C$26,3)*SIGN(S20-S22),0)</f>
        <v/>
      </c>
      <c r="AD20">
        <f>IF(AND(ISNUMBER(T20),ISNUMBER(T19)),VLOOKUP(ABS(T20-T19),'IMP Table'!$A$2:$C$26,3)*SIGN(T20-T19),0)</f>
        <v/>
      </c>
      <c r="AE20">
        <f>IF(AND(ISNUMBER(T20),ISNUMBER(T21)),VLOOKUP(ABS(T20-T21),'IMP Table'!$A$2:$C$26,3)*SIGN(T20-T21),0)</f>
        <v/>
      </c>
      <c r="AF20">
        <f>IF(AND(ISNUMBER(T20),ISNUMBER(T22)),VLOOKUP(ABS(T20-T22),'IMP Table'!$A$2:$C$26,3)*SIGN(T20-T22),0)</f>
        <v/>
      </c>
    </row>
    <row r="21">
      <c r="B21" s="10">
        <f>'By Round'!A43</f>
        <v/>
      </c>
      <c r="C21" s="10">
        <f>'By Round'!B49</f>
        <v/>
      </c>
      <c r="D21" s="10">
        <f>'By Round'!C49</f>
        <v/>
      </c>
      <c r="E21" s="10">
        <f>'By Round'!D49</f>
        <v/>
      </c>
      <c r="F21" s="10">
        <f>IF(ISBLANK('By Round'!F49),"",'By Round'!F49)</f>
        <v/>
      </c>
      <c r="G21">
        <f>IF(ISBLANK('By Round'!G49),"",'By Round'!G49)</f>
        <v/>
      </c>
      <c r="H21">
        <f>IF(ISBLANK('By Round'!H49),"",'By Round'!H49)</f>
        <v/>
      </c>
      <c r="I21">
        <f>IF(ISBLANK('By Round'!I49),"",'By Round'!I49)</f>
        <v/>
      </c>
      <c r="J21">
        <f>IF(ISBLANK('By Round'!J49),"",'By Round'!J49)</f>
        <v/>
      </c>
      <c r="K21">
        <f>IF(ISBLANK('By Round'!K49),"",'By Round'!K49)</f>
        <v/>
      </c>
      <c r="L21">
        <f>IF(ISBLANK('By Round'!L49),"",'By Round'!L49)</f>
        <v/>
      </c>
      <c r="M21" s="11">
        <f>AVERAGE(AA21:AC21)</f>
        <v/>
      </c>
      <c r="N21" s="12">
        <f>AVERAGE(AD21:AF21)</f>
        <v/>
      </c>
      <c r="O21" s="13">
        <f>IF(COUNT(U21:W21)&gt;0,Q21/COUNT(U21:W21),0.5)</f>
        <v/>
      </c>
      <c r="P21" s="13">
        <f>IF(COUNT(X21:Z21)&gt;0,R21/COUNT(X21:Z21),0.5)</f>
        <v/>
      </c>
      <c r="Q21" s="5">
        <f>SUM(U21:W21)</f>
        <v/>
      </c>
      <c r="R21" s="5">
        <f>SUM(X21:Z21)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IF(ISNUMBER(S21),IF(ISNUMBER(S19),IF(S21&gt;S19,1.0,IF(S21=S19,0.5,0.0)),""),"")</f>
        <v/>
      </c>
      <c r="V21">
        <f>IF(ISNUMBER(S21),IF(ISNUMBER(S20),IF(S21&gt;S20,1.0,IF(S21=S20,0.5,0.0)),""),"")</f>
        <v/>
      </c>
      <c r="W21">
        <f>IF(ISNUMBER(S21),IF(ISNUMBER(S22),IF(S21&gt;S22,1.0,IF(S21=S22,0.5,0.0)),""),"")</f>
        <v/>
      </c>
      <c r="X21">
        <f>IF(ISNUMBER(T21),IF(ISNUMBER(T19),IF(T21&gt;T19,1.0,IF(T21=T19,0.5,0.0)),""),"")</f>
        <v/>
      </c>
      <c r="Y21">
        <f>IF(ISNUMBER(T21),IF(ISNUMBER(T20),IF(T21&gt;T20,1.0,IF(T21=T20,0.5,0.0)),""),"")</f>
        <v/>
      </c>
      <c r="Z21">
        <f>IF(ISNUMBER(T21),IF(ISNUMBER(T22),IF(T21&gt;T22,1.0,IF(T21=T22,0.5,0.0)),""),"")</f>
        <v/>
      </c>
      <c r="AA21" s="14">
        <f>IF(AND(ISNUMBER(S21),ISNUMBER(S19)),VLOOKUP(ABS(S21-S19),'IMP Table'!$A$2:$C$26,3)*SIGN(S21-S19),0)</f>
        <v/>
      </c>
      <c r="AB21">
        <f>IF(AND(ISNUMBER(S21),ISNUMBER(S20)),VLOOKUP(ABS(S21-S20),'IMP Table'!$A$2:$C$26,3)*SIGN(S21-S20),0)</f>
        <v/>
      </c>
      <c r="AC21">
        <f>IF(AND(ISNUMBER(S21),ISNUMBER(S22)),VLOOKUP(ABS(S21-S22),'IMP Table'!$A$2:$C$26,3)*SIGN(S21-S22),0)</f>
        <v/>
      </c>
      <c r="AD21">
        <f>IF(AND(ISNUMBER(T21),ISNUMBER(T19)),VLOOKUP(ABS(T21-T19),'IMP Table'!$A$2:$C$26,3)*SIGN(T21-T19),0)</f>
        <v/>
      </c>
      <c r="AE21">
        <f>IF(AND(ISNUMBER(T21),ISNUMBER(T20)),VLOOKUP(ABS(T21-T20),'IMP Table'!$A$2:$C$26,3)*SIGN(T21-T20),0)</f>
        <v/>
      </c>
      <c r="AF21">
        <f>IF(AND(ISNUMBER(T21),ISNUMBER(T22)),VLOOKUP(ABS(T21-T22),'IMP Table'!$A$2:$C$26,3)*SIGN(T21-T22),0)</f>
        <v/>
      </c>
    </row>
    <row r="22">
      <c r="A22" s="15" t="n"/>
      <c r="B22" s="16">
        <f>'By Round'!A11</f>
        <v/>
      </c>
      <c r="C22" s="16">
        <f>'By Round'!B13</f>
        <v/>
      </c>
      <c r="D22" s="16">
        <f>'By Round'!C13</f>
        <v/>
      </c>
      <c r="E22" s="16">
        <f>'By Round'!D13</f>
        <v/>
      </c>
      <c r="F22" s="16">
        <f>IF(ISBLANK('By Round'!F13),"",'By Round'!F13)</f>
        <v/>
      </c>
      <c r="G22" s="15">
        <f>IF(ISBLANK('By Round'!G13),"",'By Round'!G13)</f>
        <v/>
      </c>
      <c r="H22" s="15">
        <f>IF(ISBLANK('By Round'!H13),"",'By Round'!H13)</f>
        <v/>
      </c>
      <c r="I22" s="15">
        <f>IF(ISBLANK('By Round'!I13),"",'By Round'!I13)</f>
        <v/>
      </c>
      <c r="J22" s="15">
        <f>IF(ISBLANK('By Round'!J13),"",'By Round'!J13)</f>
        <v/>
      </c>
      <c r="K22" s="15">
        <f>IF(ISBLANK('By Round'!K13),"",'By Round'!K13)</f>
        <v/>
      </c>
      <c r="L22" s="15">
        <f>IF(ISBLANK('By Round'!L13),"",'By Round'!L13)</f>
        <v/>
      </c>
      <c r="M22" s="17">
        <f>AVERAGE(AA22:AC22)</f>
        <v/>
      </c>
      <c r="N22" s="18">
        <f>AVERAGE(AD22:AF22)</f>
        <v/>
      </c>
      <c r="O22" s="19">
        <f>IF(COUNT(U22:W22)&gt;0,Q22/COUNT(U22:W22),0.5)</f>
        <v/>
      </c>
      <c r="P22" s="19">
        <f>IF(COUNT(X22:Z22)&gt;0,R22/COUNT(X22:Z22),0.5)</f>
        <v/>
      </c>
      <c r="Q22" s="20">
        <f>SUM(U22:W22)</f>
        <v/>
      </c>
      <c r="R22" s="20">
        <f>SUM(X22:Z22)</f>
        <v/>
      </c>
      <c r="S22" s="21">
        <f>IF(ISNUMBER(K22),K22,IF(ISNUMBER(L22),-L22,""))</f>
        <v/>
      </c>
      <c r="T22" s="15">
        <f>IF(ISNUMBER(L22),L22,IF(ISNUMBER(K22),-K22,""))</f>
        <v/>
      </c>
      <c r="U22" s="21">
        <f>IF(ISNUMBER(S22),IF(ISNUMBER(S19),IF(S22&gt;S19,1.0,IF(S22=S19,0.5,0.0)),""),"")</f>
        <v/>
      </c>
      <c r="V22" s="15">
        <f>IF(ISNUMBER(S22),IF(ISNUMBER(S20),IF(S22&gt;S20,1.0,IF(S22=S20,0.5,0.0)),""),"")</f>
        <v/>
      </c>
      <c r="W22" s="15">
        <f>IF(ISNUMBER(S22),IF(ISNUMBER(S21),IF(S22&gt;S21,1.0,IF(S22=S21,0.5,0.0)),""),"")</f>
        <v/>
      </c>
      <c r="X22" s="15">
        <f>IF(ISNUMBER(T22),IF(ISNUMBER(T19),IF(T22&gt;T19,1.0,IF(T22=T19,0.5,0.0)),""),"")</f>
        <v/>
      </c>
      <c r="Y22" s="15">
        <f>IF(ISNUMBER(T22),IF(ISNUMBER(T20),IF(T22&gt;T20,1.0,IF(T22=T20,0.5,0.0)),""),"")</f>
        <v/>
      </c>
      <c r="Z22" s="15">
        <f>IF(ISNUMBER(T22),IF(ISNUMBER(T21),IF(T22&gt;T21,1.0,IF(T22=T21,0.5,0.0)),""),"")</f>
        <v/>
      </c>
      <c r="AA22" s="21">
        <f>IF(AND(ISNUMBER(S22),ISNUMBER(S19)),VLOOKUP(ABS(S22-S19),'IMP Table'!$A$2:$C$26,3)*SIGN(S22-S19),0)</f>
        <v/>
      </c>
      <c r="AB22" s="15">
        <f>IF(AND(ISNUMBER(S22),ISNUMBER(S20)),VLOOKUP(ABS(S22-S20),'IMP Table'!$A$2:$C$26,3)*SIGN(S22-S20),0)</f>
        <v/>
      </c>
      <c r="AC22" s="15">
        <f>IF(AND(ISNUMBER(S22),ISNUMBER(S21)),VLOOKUP(ABS(S22-S21),'IMP Table'!$A$2:$C$26,3)*SIGN(S22-S21),0)</f>
        <v/>
      </c>
      <c r="AD22" s="15">
        <f>IF(AND(ISNUMBER(T22),ISNUMBER(T19)),VLOOKUP(ABS(T22-T19),'IMP Table'!$A$2:$C$26,3)*SIGN(T22-T19),0)</f>
        <v/>
      </c>
      <c r="AE22" s="15">
        <f>IF(AND(ISNUMBER(T22),ISNUMBER(T20)),VLOOKUP(ABS(T22-T20),'IMP Table'!$A$2:$C$26,3)*SIGN(T22-T20),0)</f>
        <v/>
      </c>
      <c r="AF22" s="15">
        <f>IF(AND(ISNUMBER(T22),ISNUMBER(T21)),VLOOKUP(ABS(T22-T21),'IMP Table'!$A$2:$C$26,3)*SIGN(T22-T21),0)</f>
        <v/>
      </c>
    </row>
    <row r="23">
      <c r="A23" s="10" t="n">
        <v>6</v>
      </c>
      <c r="B23" s="10">
        <f>'By Round'!A19</f>
        <v/>
      </c>
      <c r="C23" s="10">
        <f>'By Round'!B19</f>
        <v/>
      </c>
      <c r="D23" s="10">
        <f>'By Round'!C19</f>
        <v/>
      </c>
      <c r="E23" s="10">
        <f>'By Round'!D19</f>
        <v/>
      </c>
      <c r="F23" s="10">
        <f>IF(ISBLANK('By Round'!F20),"",'By Round'!F20)</f>
        <v/>
      </c>
      <c r="G23">
        <f>IF(ISBLANK('By Round'!G20),"",'By Round'!G20)</f>
        <v/>
      </c>
      <c r="H23">
        <f>IF(ISBLANK('By Round'!H20),"",'By Round'!H20)</f>
        <v/>
      </c>
      <c r="I23">
        <f>IF(ISBLANK('By Round'!I20),"",'By Round'!I20)</f>
        <v/>
      </c>
      <c r="J23">
        <f>IF(ISBLANK('By Round'!J20),"",'By Round'!J20)</f>
        <v/>
      </c>
      <c r="K23">
        <f>IF(ISBLANK('By Round'!K20),"",'By Round'!K20)</f>
        <v/>
      </c>
      <c r="L23">
        <f>IF(ISBLANK('By Round'!L20),"",'By Round'!L20)</f>
        <v/>
      </c>
      <c r="M23" s="11">
        <f>AVERAGE(AA23:AC23)</f>
        <v/>
      </c>
      <c r="N23" s="12">
        <f>AVERAGE(AD23:AF23)</f>
        <v/>
      </c>
      <c r="O23" s="13">
        <f>IF(COUNT(U23:W23)&gt;0,Q23/COUNT(U23:W23),0.5)</f>
        <v/>
      </c>
      <c r="P23" s="13">
        <f>IF(COUNT(X23:Z23)&gt;0,R23/COUNT(X23:Z23),0.5)</f>
        <v/>
      </c>
      <c r="Q23" s="5">
        <f>SUM(U23:W23)</f>
        <v/>
      </c>
      <c r="R23" s="5">
        <f>SUM(X23:Z23)</f>
        <v/>
      </c>
      <c r="S23" s="14">
        <f>IF(ISNUMBER(K23),K23,IF(ISNUMBER(L23),-L23,""))</f>
        <v/>
      </c>
      <c r="T23">
        <f>IF(ISNUMBER(L23),L23,IF(ISNUMBER(K23),-K23,""))</f>
        <v/>
      </c>
      <c r="U23" s="14">
        <f>IF(ISNUMBER(S23),IF(ISNUMBER(S24),IF(S23&gt;S24,1.0,IF(S23=S24,0.5,0.0)),""),"")</f>
        <v/>
      </c>
      <c r="V23">
        <f>IF(ISNUMBER(S23),IF(ISNUMBER(S25),IF(S23&gt;S25,1.0,IF(S23=S25,0.5,0.0)),""),"")</f>
        <v/>
      </c>
      <c r="W23">
        <f>IF(ISNUMBER(S23),IF(ISNUMBER(S26),IF(S23&gt;S26,1.0,IF(S23=S26,0.5,0.0)),""),"")</f>
        <v/>
      </c>
      <c r="X23">
        <f>IF(ISNUMBER(T23),IF(ISNUMBER(T24),IF(T23&gt;T24,1.0,IF(T23=T24,0.5,0.0)),""),"")</f>
        <v/>
      </c>
      <c r="Y23">
        <f>IF(ISNUMBER(T23),IF(ISNUMBER(T25),IF(T23&gt;T25,1.0,IF(T23=T25,0.5,0.0)),""),"")</f>
        <v/>
      </c>
      <c r="Z23">
        <f>IF(ISNUMBER(T23),IF(ISNUMBER(T26),IF(T23&gt;T26,1.0,IF(T23=T26,0.5,0.0)),""),"")</f>
        <v/>
      </c>
      <c r="AA23" s="14">
        <f>IF(AND(ISNUMBER(S23),ISNUMBER(S24)),VLOOKUP(ABS(S23-S24),'IMP Table'!$A$2:$C$26,3)*SIGN(S23-S24),0)</f>
        <v/>
      </c>
      <c r="AB23">
        <f>IF(AND(ISNUMBER(S23),ISNUMBER(S25)),VLOOKUP(ABS(S23-S25),'IMP Table'!$A$2:$C$26,3)*SIGN(S23-S25),0)</f>
        <v/>
      </c>
      <c r="AC23">
        <f>IF(AND(ISNUMBER(S23),ISNUMBER(S26)),VLOOKUP(ABS(S23-S26),'IMP Table'!$A$2:$C$26,3)*SIGN(S23-S26),0)</f>
        <v/>
      </c>
      <c r="AD23">
        <f>IF(AND(ISNUMBER(T23),ISNUMBER(T24)),VLOOKUP(ABS(T23-T24),'IMP Table'!$A$2:$C$26,3)*SIGN(T23-T24),0)</f>
        <v/>
      </c>
      <c r="AE23">
        <f>IF(AND(ISNUMBER(T23),ISNUMBER(T25)),VLOOKUP(ABS(T23-T25),'IMP Table'!$A$2:$C$26,3)*SIGN(T23-T25),0)</f>
        <v/>
      </c>
      <c r="AF23">
        <f>IF(AND(ISNUMBER(T23),ISNUMBER(T26)),VLOOKUP(ABS(T23-T26),'IMP Table'!$A$2:$C$26,3)*SIGN(T23-T26),0)</f>
        <v/>
      </c>
    </row>
    <row r="24">
      <c r="B24" s="10">
        <f>'By Round'!A3</f>
        <v/>
      </c>
      <c r="C24" s="10">
        <f>'By Round'!B7</f>
        <v/>
      </c>
      <c r="D24" s="10">
        <f>'By Round'!C7</f>
        <v/>
      </c>
      <c r="E24" s="10">
        <f>'By Round'!D7</f>
        <v/>
      </c>
      <c r="F24" s="10">
        <f>IF(ISBLANK('By Round'!F8),"",'By Round'!F8)</f>
        <v/>
      </c>
      <c r="G24">
        <f>IF(ISBLANK('By Round'!G8),"",'By Round'!G8)</f>
        <v/>
      </c>
      <c r="H24">
        <f>IF(ISBLANK('By Round'!H8),"",'By Round'!H8)</f>
        <v/>
      </c>
      <c r="I24">
        <f>IF(ISBLANK('By Round'!I8),"",'By Round'!I8)</f>
        <v/>
      </c>
      <c r="J24">
        <f>IF(ISBLANK('By Round'!J8),"",'By Round'!J8)</f>
        <v/>
      </c>
      <c r="K24">
        <f>IF(ISBLANK('By Round'!K8),"",'By Round'!K8)</f>
        <v/>
      </c>
      <c r="L24">
        <f>IF(ISBLANK('By Round'!L8),"",'By Round'!L8)</f>
        <v/>
      </c>
      <c r="M24" s="11">
        <f>AVERAGE(AA24:AC24)</f>
        <v/>
      </c>
      <c r="N24" s="12">
        <f>AVERAGE(AD24:AF24)</f>
        <v/>
      </c>
      <c r="O24" s="13">
        <f>IF(COUNT(U24:W24)&gt;0,Q24/COUNT(U24:W24),0.5)</f>
        <v/>
      </c>
      <c r="P24" s="13">
        <f>IF(COUNT(X24:Z24)&gt;0,R24/COUNT(X24:Z24),0.5)</f>
        <v/>
      </c>
      <c r="Q24" s="5">
        <f>SUM(U24:W24)</f>
        <v/>
      </c>
      <c r="R24" s="5">
        <f>SUM(X24:Z24)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IF(ISNUMBER(S24),IF(ISNUMBER(S23),IF(S24&gt;S23,1.0,IF(S24=S23,0.5,0.0)),""),"")</f>
        <v/>
      </c>
      <c r="V24">
        <f>IF(ISNUMBER(S24),IF(ISNUMBER(S25),IF(S24&gt;S25,1.0,IF(S24=S25,0.5,0.0)),""),"")</f>
        <v/>
      </c>
      <c r="W24">
        <f>IF(ISNUMBER(S24),IF(ISNUMBER(S26),IF(S24&gt;S26,1.0,IF(S24=S26,0.5,0.0)),""),"")</f>
        <v/>
      </c>
      <c r="X24">
        <f>IF(ISNUMBER(T24),IF(ISNUMBER(T23),IF(T24&gt;T23,1.0,IF(T24=T23,0.5,0.0)),""),"")</f>
        <v/>
      </c>
      <c r="Y24">
        <f>IF(ISNUMBER(T24),IF(ISNUMBER(T25),IF(T24&gt;T25,1.0,IF(T24=T25,0.5,0.0)),""),"")</f>
        <v/>
      </c>
      <c r="Z24">
        <f>IF(ISNUMBER(T24),IF(ISNUMBER(T26),IF(T24&gt;T26,1.0,IF(T24=T26,0.5,0.0)),""),"")</f>
        <v/>
      </c>
      <c r="AA24" s="14">
        <f>IF(AND(ISNUMBER(S24),ISNUMBER(S23)),VLOOKUP(ABS(S24-S23),'IMP Table'!$A$2:$C$26,3)*SIGN(S24-S23),0)</f>
        <v/>
      </c>
      <c r="AB24">
        <f>IF(AND(ISNUMBER(S24),ISNUMBER(S25)),VLOOKUP(ABS(S24-S25),'IMP Table'!$A$2:$C$26,3)*SIGN(S24-S25),0)</f>
        <v/>
      </c>
      <c r="AC24">
        <f>IF(AND(ISNUMBER(S24),ISNUMBER(S26)),VLOOKUP(ABS(S24-S26),'IMP Table'!$A$2:$C$26,3)*SIGN(S24-S26),0)</f>
        <v/>
      </c>
      <c r="AD24">
        <f>IF(AND(ISNUMBER(T24),ISNUMBER(T23)),VLOOKUP(ABS(T24-T23),'IMP Table'!$A$2:$C$26,3)*SIGN(T24-T23),0)</f>
        <v/>
      </c>
      <c r="AE24">
        <f>IF(AND(ISNUMBER(T24),ISNUMBER(T25)),VLOOKUP(ABS(T24-T25),'IMP Table'!$A$2:$C$26,3)*SIGN(T24-T25),0)</f>
        <v/>
      </c>
      <c r="AF24">
        <f>IF(AND(ISNUMBER(T24),ISNUMBER(T26)),VLOOKUP(ABS(T24-T26),'IMP Table'!$A$2:$C$26,3)*SIGN(T24-T26),0)</f>
        <v/>
      </c>
    </row>
    <row r="25">
      <c r="B25" s="10">
        <f>'By Round'!A43</f>
        <v/>
      </c>
      <c r="C25" s="10">
        <f>'By Round'!B49</f>
        <v/>
      </c>
      <c r="D25" s="10">
        <f>'By Round'!C49</f>
        <v/>
      </c>
      <c r="E25" s="10">
        <f>'By Round'!D49</f>
        <v/>
      </c>
      <c r="F25" s="10">
        <f>IF(ISBLANK('By Round'!F50),"",'By Round'!F50)</f>
        <v/>
      </c>
      <c r="G25">
        <f>IF(ISBLANK('By Round'!G50),"",'By Round'!G50)</f>
        <v/>
      </c>
      <c r="H25">
        <f>IF(ISBLANK('By Round'!H50),"",'By Round'!H50)</f>
        <v/>
      </c>
      <c r="I25">
        <f>IF(ISBLANK('By Round'!I50),"",'By Round'!I50)</f>
        <v/>
      </c>
      <c r="J25">
        <f>IF(ISBLANK('By Round'!J50),"",'By Round'!J50)</f>
        <v/>
      </c>
      <c r="K25">
        <f>IF(ISBLANK('By Round'!K50),"",'By Round'!K50)</f>
        <v/>
      </c>
      <c r="L25">
        <f>IF(ISBLANK('By Round'!L50),"",'By Round'!L50)</f>
        <v/>
      </c>
      <c r="M25" s="11">
        <f>AVERAGE(AA25:AC25)</f>
        <v/>
      </c>
      <c r="N25" s="12">
        <f>AVERAGE(AD25:AF25)</f>
        <v/>
      </c>
      <c r="O25" s="13">
        <f>IF(COUNT(U25:W25)&gt;0,Q25/COUNT(U25:W25),0.5)</f>
        <v/>
      </c>
      <c r="P25" s="13">
        <f>IF(COUNT(X25:Z25)&gt;0,R25/COUNT(X25:Z25),0.5)</f>
        <v/>
      </c>
      <c r="Q25" s="5">
        <f>SUM(U25:W25)</f>
        <v/>
      </c>
      <c r="R25" s="5">
        <f>SUM(X25:Z25)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IF(ISNUMBER(S25),IF(ISNUMBER(S23),IF(S25&gt;S23,1.0,IF(S25=S23,0.5,0.0)),""),"")</f>
        <v/>
      </c>
      <c r="V25">
        <f>IF(ISNUMBER(S25),IF(ISNUMBER(S24),IF(S25&gt;S24,1.0,IF(S25=S24,0.5,0.0)),""),"")</f>
        <v/>
      </c>
      <c r="W25">
        <f>IF(ISNUMBER(S25),IF(ISNUMBER(S26),IF(S25&gt;S26,1.0,IF(S25=S26,0.5,0.0)),""),"")</f>
        <v/>
      </c>
      <c r="X25">
        <f>IF(ISNUMBER(T25),IF(ISNUMBER(T23),IF(T25&gt;T23,1.0,IF(T25=T23,0.5,0.0)),""),"")</f>
        <v/>
      </c>
      <c r="Y25">
        <f>IF(ISNUMBER(T25),IF(ISNUMBER(T24),IF(T25&gt;T24,1.0,IF(T25=T24,0.5,0.0)),""),"")</f>
        <v/>
      </c>
      <c r="Z25">
        <f>IF(ISNUMBER(T25),IF(ISNUMBER(T26),IF(T25&gt;T26,1.0,IF(T25=T26,0.5,0.0)),""),"")</f>
        <v/>
      </c>
      <c r="AA25" s="14">
        <f>IF(AND(ISNUMBER(S25),ISNUMBER(S23)),VLOOKUP(ABS(S25-S23),'IMP Table'!$A$2:$C$26,3)*SIGN(S25-S23),0)</f>
        <v/>
      </c>
      <c r="AB25">
        <f>IF(AND(ISNUMBER(S25),ISNUMBER(S24)),VLOOKUP(ABS(S25-S24),'IMP Table'!$A$2:$C$26,3)*SIGN(S25-S24),0)</f>
        <v/>
      </c>
      <c r="AC25">
        <f>IF(AND(ISNUMBER(S25),ISNUMBER(S26)),VLOOKUP(ABS(S25-S26),'IMP Table'!$A$2:$C$26,3)*SIGN(S25-S26),0)</f>
        <v/>
      </c>
      <c r="AD25">
        <f>IF(AND(ISNUMBER(T25),ISNUMBER(T23)),VLOOKUP(ABS(T25-T23),'IMP Table'!$A$2:$C$26,3)*SIGN(T25-T23),0)</f>
        <v/>
      </c>
      <c r="AE25">
        <f>IF(AND(ISNUMBER(T25),ISNUMBER(T24)),VLOOKUP(ABS(T25-T24),'IMP Table'!$A$2:$C$26,3)*SIGN(T25-T24),0)</f>
        <v/>
      </c>
      <c r="AF25">
        <f>IF(AND(ISNUMBER(T25),ISNUMBER(T26)),VLOOKUP(ABS(T25-T26),'IMP Table'!$A$2:$C$26,3)*SIGN(T25-T26),0)</f>
        <v/>
      </c>
    </row>
    <row r="26">
      <c r="A26" s="15" t="n"/>
      <c r="B26" s="16">
        <f>'By Round'!A11</f>
        <v/>
      </c>
      <c r="C26" s="16">
        <f>'By Round'!B13</f>
        <v/>
      </c>
      <c r="D26" s="16">
        <f>'By Round'!C13</f>
        <v/>
      </c>
      <c r="E26" s="16">
        <f>'By Round'!D13</f>
        <v/>
      </c>
      <c r="F26" s="16">
        <f>IF(ISBLANK('By Round'!F14),"",'By Round'!F14)</f>
        <v/>
      </c>
      <c r="G26" s="15">
        <f>IF(ISBLANK('By Round'!G14),"",'By Round'!G14)</f>
        <v/>
      </c>
      <c r="H26" s="15">
        <f>IF(ISBLANK('By Round'!H14),"",'By Round'!H14)</f>
        <v/>
      </c>
      <c r="I26" s="15">
        <f>IF(ISBLANK('By Round'!I14),"",'By Round'!I14)</f>
        <v/>
      </c>
      <c r="J26" s="15">
        <f>IF(ISBLANK('By Round'!J14),"",'By Round'!J14)</f>
        <v/>
      </c>
      <c r="K26" s="15">
        <f>IF(ISBLANK('By Round'!K14),"",'By Round'!K14)</f>
        <v/>
      </c>
      <c r="L26" s="15">
        <f>IF(ISBLANK('By Round'!L14),"",'By Round'!L14)</f>
        <v/>
      </c>
      <c r="M26" s="17">
        <f>AVERAGE(AA26:AC26)</f>
        <v/>
      </c>
      <c r="N26" s="18">
        <f>AVERAGE(AD26:AF26)</f>
        <v/>
      </c>
      <c r="O26" s="19">
        <f>IF(COUNT(U26:W26)&gt;0,Q26/COUNT(U26:W26),0.5)</f>
        <v/>
      </c>
      <c r="P26" s="19">
        <f>IF(COUNT(X26:Z26)&gt;0,R26/COUNT(X26:Z26),0.5)</f>
        <v/>
      </c>
      <c r="Q26" s="20">
        <f>SUM(U26:W26)</f>
        <v/>
      </c>
      <c r="R26" s="20">
        <f>SUM(X26:Z26)</f>
        <v/>
      </c>
      <c r="S26" s="21">
        <f>IF(ISNUMBER(K26),K26,IF(ISNUMBER(L26),-L26,""))</f>
        <v/>
      </c>
      <c r="T26" s="15">
        <f>IF(ISNUMBER(L26),L26,IF(ISNUMBER(K26),-K26,""))</f>
        <v/>
      </c>
      <c r="U26" s="21">
        <f>IF(ISNUMBER(S26),IF(ISNUMBER(S23),IF(S26&gt;S23,1.0,IF(S26=S23,0.5,0.0)),""),"")</f>
        <v/>
      </c>
      <c r="V26" s="15">
        <f>IF(ISNUMBER(S26),IF(ISNUMBER(S24),IF(S26&gt;S24,1.0,IF(S26=S24,0.5,0.0)),""),"")</f>
        <v/>
      </c>
      <c r="W26" s="15">
        <f>IF(ISNUMBER(S26),IF(ISNUMBER(S25),IF(S26&gt;S25,1.0,IF(S26=S25,0.5,0.0)),""),"")</f>
        <v/>
      </c>
      <c r="X26" s="15">
        <f>IF(ISNUMBER(T26),IF(ISNUMBER(T23),IF(T26&gt;T23,1.0,IF(T26=T23,0.5,0.0)),""),"")</f>
        <v/>
      </c>
      <c r="Y26" s="15">
        <f>IF(ISNUMBER(T26),IF(ISNUMBER(T24),IF(T26&gt;T24,1.0,IF(T26=T24,0.5,0.0)),""),"")</f>
        <v/>
      </c>
      <c r="Z26" s="15">
        <f>IF(ISNUMBER(T26),IF(ISNUMBER(T25),IF(T26&gt;T25,1.0,IF(T26=T25,0.5,0.0)),""),"")</f>
        <v/>
      </c>
      <c r="AA26" s="21">
        <f>IF(AND(ISNUMBER(S26),ISNUMBER(S23)),VLOOKUP(ABS(S26-S23),'IMP Table'!$A$2:$C$26,3)*SIGN(S26-S23),0)</f>
        <v/>
      </c>
      <c r="AB26" s="15">
        <f>IF(AND(ISNUMBER(S26),ISNUMBER(S24)),VLOOKUP(ABS(S26-S24),'IMP Table'!$A$2:$C$26,3)*SIGN(S26-S24),0)</f>
        <v/>
      </c>
      <c r="AC26" s="15">
        <f>IF(AND(ISNUMBER(S26),ISNUMBER(S25)),VLOOKUP(ABS(S26-S25),'IMP Table'!$A$2:$C$26,3)*SIGN(S26-S25),0)</f>
        <v/>
      </c>
      <c r="AD26" s="15">
        <f>IF(AND(ISNUMBER(T26),ISNUMBER(T23)),VLOOKUP(ABS(T26-T23),'IMP Table'!$A$2:$C$26,3)*SIGN(T26-T23),0)</f>
        <v/>
      </c>
      <c r="AE26" s="15">
        <f>IF(AND(ISNUMBER(T26),ISNUMBER(T24)),VLOOKUP(ABS(T26-T24),'IMP Table'!$A$2:$C$26,3)*SIGN(T26-T24),0)</f>
        <v/>
      </c>
      <c r="AF26" s="15">
        <f>IF(AND(ISNUMBER(T26),ISNUMBER(T25)),VLOOKUP(ABS(T26-T25),'IMP Table'!$A$2:$C$26,3)*SIGN(T26-T25),0)</f>
        <v/>
      </c>
    </row>
    <row r="27">
      <c r="A27" s="10" t="n">
        <v>7</v>
      </c>
      <c r="B27" s="10">
        <f>'By Round'!A27</f>
        <v/>
      </c>
      <c r="C27" s="10">
        <f>'By Round'!B27</f>
        <v/>
      </c>
      <c r="D27" s="10">
        <f>'By Round'!C27</f>
        <v/>
      </c>
      <c r="E27" s="10">
        <f>'By Round'!D27</f>
        <v/>
      </c>
      <c r="F27" s="10">
        <f>IF(ISBLANK('By Round'!F27),"",'By Round'!F27)</f>
        <v/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>
        <f>IF(ISBLANK('By Round'!L27),"",'By Round'!L27)</f>
        <v/>
      </c>
      <c r="M27" s="11">
        <f>AVERAGE(AA27:AC27)</f>
        <v/>
      </c>
      <c r="N27" s="12">
        <f>AVERAGE(AD27:AF27)</f>
        <v/>
      </c>
      <c r="O27" s="13">
        <f>IF(COUNT(U27:W27)&gt;0,Q27/COUNT(U27:W27),0.5)</f>
        <v/>
      </c>
      <c r="P27" s="13">
        <f>IF(COUNT(X27:Z27)&gt;0,R27/COUNT(X27:Z27),0.5)</f>
        <v/>
      </c>
      <c r="Q27" s="5">
        <f>SUM(U27:W27)</f>
        <v/>
      </c>
      <c r="R27" s="5">
        <f>SUM(X27:Z27)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IF(ISNUMBER(S27),IF(ISNUMBER(S28),IF(S27&gt;S28,1.0,IF(S27=S28,0.5,0.0)),""),"")</f>
        <v/>
      </c>
      <c r="V27">
        <f>IF(ISNUMBER(S27),IF(ISNUMBER(S29),IF(S27&gt;S29,1.0,IF(S27=S29,0.5,0.0)),""),"")</f>
        <v/>
      </c>
      <c r="W27">
        <f>IF(ISNUMBER(S27),IF(ISNUMBER(S30),IF(S27&gt;S30,1.0,IF(S27=S30,0.5,0.0)),""),"")</f>
        <v/>
      </c>
      <c r="X27">
        <f>IF(ISNUMBER(T27),IF(ISNUMBER(T28),IF(T27&gt;T28,1.0,IF(T27=T28,0.5,0.0)),""),"")</f>
        <v/>
      </c>
      <c r="Y27">
        <f>IF(ISNUMBER(T27),IF(ISNUMBER(T29),IF(T27&gt;T29,1.0,IF(T27=T29,0.5,0.0)),""),"")</f>
        <v/>
      </c>
      <c r="Z27">
        <f>IF(ISNUMBER(T27),IF(ISNUMBER(T30),IF(T27&gt;T30,1.0,IF(T27=T30,0.5,0.0)),""),"")</f>
        <v/>
      </c>
      <c r="AA27" s="14">
        <f>IF(AND(ISNUMBER(S27),ISNUMBER(S28)),VLOOKUP(ABS(S27-S28),'IMP Table'!$A$2:$C$26,3)*SIGN(S27-S28),0)</f>
        <v/>
      </c>
      <c r="AB27">
        <f>IF(AND(ISNUMBER(S27),ISNUMBER(S29)),VLOOKUP(ABS(S27-S29),'IMP Table'!$A$2:$C$26,3)*SIGN(S27-S29),0)</f>
        <v/>
      </c>
      <c r="AC27">
        <f>IF(AND(ISNUMBER(S27),ISNUMBER(S30)),VLOOKUP(ABS(S27-S30),'IMP Table'!$A$2:$C$26,3)*SIGN(S27-S30),0)</f>
        <v/>
      </c>
      <c r="AD27">
        <f>IF(AND(ISNUMBER(T27),ISNUMBER(T28)),VLOOKUP(ABS(T27-T28),'IMP Table'!$A$2:$C$26,3)*SIGN(T27-T28),0)</f>
        <v/>
      </c>
      <c r="AE27">
        <f>IF(AND(ISNUMBER(T27),ISNUMBER(T29)),VLOOKUP(ABS(T27-T29),'IMP Table'!$A$2:$C$26,3)*SIGN(T27-T29),0)</f>
        <v/>
      </c>
      <c r="AF27">
        <f>IF(AND(ISNUMBER(T27),ISNUMBER(T30)),VLOOKUP(ABS(T27-T30),'IMP Table'!$A$2:$C$26,3)*SIGN(T27-T30),0)</f>
        <v/>
      </c>
    </row>
    <row r="28">
      <c r="B28" s="10">
        <f>'By Round'!A19</f>
        <v/>
      </c>
      <c r="C28" s="10">
        <f>'By Round'!B21</f>
        <v/>
      </c>
      <c r="D28" s="10">
        <f>'By Round'!C21</f>
        <v/>
      </c>
      <c r="E28" s="10">
        <f>'By Round'!D21</f>
        <v/>
      </c>
      <c r="F28" s="10">
        <f>IF(ISBLANK('By Round'!F21),"",'By Round'!F21)</f>
        <v/>
      </c>
      <c r="G28">
        <f>IF(ISBLANK('By Round'!G21),"",'By Round'!G21)</f>
        <v/>
      </c>
      <c r="H28">
        <f>IF(ISBLANK('By Round'!H21),"",'By Round'!H21)</f>
        <v/>
      </c>
      <c r="I28">
        <f>IF(ISBLANK('By Round'!I21),"",'By Round'!I21)</f>
        <v/>
      </c>
      <c r="J28">
        <f>IF(ISBLANK('By Round'!J21),"",'By Round'!J21)</f>
        <v/>
      </c>
      <c r="K28">
        <f>IF(ISBLANK('By Round'!K21),"",'By Round'!K21)</f>
        <v/>
      </c>
      <c r="L28">
        <f>IF(ISBLANK('By Round'!L21),"",'By Round'!L21)</f>
        <v/>
      </c>
      <c r="M28" s="11">
        <f>AVERAGE(AA28:AC28)</f>
        <v/>
      </c>
      <c r="N28" s="12">
        <f>AVERAGE(AD28:AF28)</f>
        <v/>
      </c>
      <c r="O28" s="13">
        <f>IF(COUNT(U28:W28)&gt;0,Q28/COUNT(U28:W28),0.5)</f>
        <v/>
      </c>
      <c r="P28" s="13">
        <f>IF(COUNT(X28:Z28)&gt;0,R28/COUNT(X28:Z28),0.5)</f>
        <v/>
      </c>
      <c r="Q28" s="5">
        <f>SUM(U28:W28)</f>
        <v/>
      </c>
      <c r="R28" s="5">
        <f>SUM(X28:Z28)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IF(ISNUMBER(S28),IF(ISNUMBER(S27),IF(S28&gt;S27,1.0,IF(S28=S27,0.5,0.0)),""),"")</f>
        <v/>
      </c>
      <c r="V28">
        <f>IF(ISNUMBER(S28),IF(ISNUMBER(S29),IF(S28&gt;S29,1.0,IF(S28=S29,0.5,0.0)),""),"")</f>
        <v/>
      </c>
      <c r="W28">
        <f>IF(ISNUMBER(S28),IF(ISNUMBER(S30),IF(S28&gt;S30,1.0,IF(S28=S30,0.5,0.0)),""),"")</f>
        <v/>
      </c>
      <c r="X28">
        <f>IF(ISNUMBER(T28),IF(ISNUMBER(T27),IF(T28&gt;T27,1.0,IF(T28=T27,0.5,0.0)),""),"")</f>
        <v/>
      </c>
      <c r="Y28">
        <f>IF(ISNUMBER(T28),IF(ISNUMBER(T29),IF(T28&gt;T29,1.0,IF(T28=T29,0.5,0.0)),""),"")</f>
        <v/>
      </c>
      <c r="Z28">
        <f>IF(ISNUMBER(T28),IF(ISNUMBER(T30),IF(T28&gt;T30,1.0,IF(T28=T30,0.5,0.0)),""),"")</f>
        <v/>
      </c>
      <c r="AA28" s="14">
        <f>IF(AND(ISNUMBER(S28),ISNUMBER(S27)),VLOOKUP(ABS(S28-S27),'IMP Table'!$A$2:$C$26,3)*SIGN(S28-S27),0)</f>
        <v/>
      </c>
      <c r="AB28">
        <f>IF(AND(ISNUMBER(S28),ISNUMBER(S29)),VLOOKUP(ABS(S28-S29),'IMP Table'!$A$2:$C$26,3)*SIGN(S28-S29),0)</f>
        <v/>
      </c>
      <c r="AC28">
        <f>IF(AND(ISNUMBER(S28),ISNUMBER(S30)),VLOOKUP(ABS(S28-S30),'IMP Table'!$A$2:$C$26,3)*SIGN(S28-S30),0)</f>
        <v/>
      </c>
      <c r="AD28">
        <f>IF(AND(ISNUMBER(T28),ISNUMBER(T27)),VLOOKUP(ABS(T28-T27),'IMP Table'!$A$2:$C$26,3)*SIGN(T28-T27),0)</f>
        <v/>
      </c>
      <c r="AE28">
        <f>IF(AND(ISNUMBER(T28),ISNUMBER(T29)),VLOOKUP(ABS(T28-T29),'IMP Table'!$A$2:$C$26,3)*SIGN(T28-T29),0)</f>
        <v/>
      </c>
      <c r="AF28">
        <f>IF(AND(ISNUMBER(T28),ISNUMBER(T30)),VLOOKUP(ABS(T28-T30),'IMP Table'!$A$2:$C$26,3)*SIGN(T28-T30),0)</f>
        <v/>
      </c>
    </row>
    <row r="29">
      <c r="B29" s="10">
        <f>'By Round'!A11</f>
        <v/>
      </c>
      <c r="C29" s="10">
        <f>'By Round'!B15</f>
        <v/>
      </c>
      <c r="D29" s="10">
        <f>'By Round'!C15</f>
        <v/>
      </c>
      <c r="E29" s="10">
        <f>'By Round'!D15</f>
        <v/>
      </c>
      <c r="F29" s="10">
        <f>IF(ISBLANK('By Round'!F15),"",'By Round'!F15)</f>
        <v/>
      </c>
      <c r="G29">
        <f>IF(ISBLANK('By Round'!G15),"",'By Round'!G15)</f>
        <v/>
      </c>
      <c r="H29">
        <f>IF(ISBLANK('By Round'!H15),"",'By Round'!H15)</f>
        <v/>
      </c>
      <c r="I29">
        <f>IF(ISBLANK('By Round'!I15),"",'By Round'!I15)</f>
        <v/>
      </c>
      <c r="J29">
        <f>IF(ISBLANK('By Round'!J15),"",'By Round'!J15)</f>
        <v/>
      </c>
      <c r="K29">
        <f>IF(ISBLANK('By Round'!K15),"",'By Round'!K15)</f>
        <v/>
      </c>
      <c r="L29">
        <f>IF(ISBLANK('By Round'!L15),"",'By Round'!L15)</f>
        <v/>
      </c>
      <c r="M29" s="11">
        <f>AVERAGE(AA29:AC29)</f>
        <v/>
      </c>
      <c r="N29" s="12">
        <f>AVERAGE(AD29:AF29)</f>
        <v/>
      </c>
      <c r="O29" s="13">
        <f>IF(COUNT(U29:W29)&gt;0,Q29/COUNT(U29:W29),0.5)</f>
        <v/>
      </c>
      <c r="P29" s="13">
        <f>IF(COUNT(X29:Z29)&gt;0,R29/COUNT(X29:Z29),0.5)</f>
        <v/>
      </c>
      <c r="Q29" s="5">
        <f>SUM(U29:W29)</f>
        <v/>
      </c>
      <c r="R29" s="5">
        <f>SUM(X29:Z29)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IF(ISNUMBER(S29),IF(ISNUMBER(S27),IF(S29&gt;S27,1.0,IF(S29=S27,0.5,0.0)),""),"")</f>
        <v/>
      </c>
      <c r="V29">
        <f>IF(ISNUMBER(S29),IF(ISNUMBER(S28),IF(S29&gt;S28,1.0,IF(S29=S28,0.5,0.0)),""),"")</f>
        <v/>
      </c>
      <c r="W29">
        <f>IF(ISNUMBER(S29),IF(ISNUMBER(S30),IF(S29&gt;S30,1.0,IF(S29=S30,0.5,0.0)),""),"")</f>
        <v/>
      </c>
      <c r="X29">
        <f>IF(ISNUMBER(T29),IF(ISNUMBER(T27),IF(T29&gt;T27,1.0,IF(T29=T27,0.5,0.0)),""),"")</f>
        <v/>
      </c>
      <c r="Y29">
        <f>IF(ISNUMBER(T29),IF(ISNUMBER(T28),IF(T29&gt;T28,1.0,IF(T29=T28,0.5,0.0)),""),"")</f>
        <v/>
      </c>
      <c r="Z29">
        <f>IF(ISNUMBER(T29),IF(ISNUMBER(T30),IF(T29&gt;T30,1.0,IF(T29=T30,0.5,0.0)),""),"")</f>
        <v/>
      </c>
      <c r="AA29" s="14">
        <f>IF(AND(ISNUMBER(S29),ISNUMBER(S27)),VLOOKUP(ABS(S29-S27),'IMP Table'!$A$2:$C$26,3)*SIGN(S29-S27),0)</f>
        <v/>
      </c>
      <c r="AB29">
        <f>IF(AND(ISNUMBER(S29),ISNUMBER(S28)),VLOOKUP(ABS(S29-S28),'IMP Table'!$A$2:$C$26,3)*SIGN(S29-S28),0)</f>
        <v/>
      </c>
      <c r="AC29">
        <f>IF(AND(ISNUMBER(S29),ISNUMBER(S30)),VLOOKUP(ABS(S29-S30),'IMP Table'!$A$2:$C$26,3)*SIGN(S29-S30),0)</f>
        <v/>
      </c>
      <c r="AD29">
        <f>IF(AND(ISNUMBER(T29),ISNUMBER(T27)),VLOOKUP(ABS(T29-T27),'IMP Table'!$A$2:$C$26,3)*SIGN(T29-T27),0)</f>
        <v/>
      </c>
      <c r="AE29">
        <f>IF(AND(ISNUMBER(T29),ISNUMBER(T28)),VLOOKUP(ABS(T29-T28),'IMP Table'!$A$2:$C$26,3)*SIGN(T29-T28),0)</f>
        <v/>
      </c>
      <c r="AF29">
        <f>IF(AND(ISNUMBER(T29),ISNUMBER(T30)),VLOOKUP(ABS(T29-T30),'IMP Table'!$A$2:$C$26,3)*SIGN(T29-T30),0)</f>
        <v/>
      </c>
    </row>
    <row r="30">
      <c r="A30" s="15" t="n"/>
      <c r="B30" s="16">
        <f>'By Round'!A51</f>
        <v/>
      </c>
      <c r="C30" s="16">
        <f>'By Round'!B57</f>
        <v/>
      </c>
      <c r="D30" s="16">
        <f>'By Round'!C57</f>
        <v/>
      </c>
      <c r="E30" s="16">
        <f>'By Round'!D57</f>
        <v/>
      </c>
      <c r="F30" s="16">
        <f>IF(ISBLANK('By Round'!F57),"",'By Round'!F57)</f>
        <v/>
      </c>
      <c r="G30" s="15">
        <f>IF(ISBLANK('By Round'!G57),"",'By Round'!G57)</f>
        <v/>
      </c>
      <c r="H30" s="15">
        <f>IF(ISBLANK('By Round'!H57),"",'By Round'!H57)</f>
        <v/>
      </c>
      <c r="I30" s="15">
        <f>IF(ISBLANK('By Round'!I57),"",'By Round'!I57)</f>
        <v/>
      </c>
      <c r="J30" s="15">
        <f>IF(ISBLANK('By Round'!J57),"",'By Round'!J57)</f>
        <v/>
      </c>
      <c r="K30" s="15">
        <f>IF(ISBLANK('By Round'!K57),"",'By Round'!K57)</f>
        <v/>
      </c>
      <c r="L30" s="15">
        <f>IF(ISBLANK('By Round'!L57),"",'By Round'!L57)</f>
        <v/>
      </c>
      <c r="M30" s="17">
        <f>AVERAGE(AA30:AC30)</f>
        <v/>
      </c>
      <c r="N30" s="18">
        <f>AVERAGE(AD30:AF30)</f>
        <v/>
      </c>
      <c r="O30" s="19">
        <f>IF(COUNT(U30:W30)&gt;0,Q30/COUNT(U30:W30),0.5)</f>
        <v/>
      </c>
      <c r="P30" s="19">
        <f>IF(COUNT(X30:Z30)&gt;0,R30/COUNT(X30:Z30),0.5)</f>
        <v/>
      </c>
      <c r="Q30" s="20">
        <f>SUM(U30:W30)</f>
        <v/>
      </c>
      <c r="R30" s="20">
        <f>SUM(X30:Z30)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IF(ISNUMBER(S30),IF(ISNUMBER(S27),IF(S30&gt;S27,1.0,IF(S30=S27,0.5,0.0)),""),"")</f>
        <v/>
      </c>
      <c r="V30" s="15">
        <f>IF(ISNUMBER(S30),IF(ISNUMBER(S28),IF(S30&gt;S28,1.0,IF(S30=S28,0.5,0.0)),""),"")</f>
        <v/>
      </c>
      <c r="W30" s="15">
        <f>IF(ISNUMBER(S30),IF(ISNUMBER(S29),IF(S30&gt;S29,1.0,IF(S30=S29,0.5,0.0)),""),"")</f>
        <v/>
      </c>
      <c r="X30" s="15">
        <f>IF(ISNUMBER(T30),IF(ISNUMBER(T27),IF(T30&gt;T27,1.0,IF(T30=T27,0.5,0.0)),""),"")</f>
        <v/>
      </c>
      <c r="Y30" s="15">
        <f>IF(ISNUMBER(T30),IF(ISNUMBER(T28),IF(T30&gt;T28,1.0,IF(T30=T28,0.5,0.0)),""),"")</f>
        <v/>
      </c>
      <c r="Z30" s="15">
        <f>IF(ISNUMBER(T30),IF(ISNUMBER(T29),IF(T30&gt;T29,1.0,IF(T30=T29,0.5,0.0)),""),"")</f>
        <v/>
      </c>
      <c r="AA30" s="21">
        <f>IF(AND(ISNUMBER(S30),ISNUMBER(S27)),VLOOKUP(ABS(S30-S27),'IMP Table'!$A$2:$C$26,3)*SIGN(S30-S27),0)</f>
        <v/>
      </c>
      <c r="AB30" s="15">
        <f>IF(AND(ISNUMBER(S30),ISNUMBER(S28)),VLOOKUP(ABS(S30-S28),'IMP Table'!$A$2:$C$26,3)*SIGN(S30-S28),0)</f>
        <v/>
      </c>
      <c r="AC30" s="15">
        <f>IF(AND(ISNUMBER(S30),ISNUMBER(S29)),VLOOKUP(ABS(S30-S29),'IMP Table'!$A$2:$C$26,3)*SIGN(S30-S29),0)</f>
        <v/>
      </c>
      <c r="AD30" s="15">
        <f>IF(AND(ISNUMBER(T30),ISNUMBER(T27)),VLOOKUP(ABS(T30-T27),'IMP Table'!$A$2:$C$26,3)*SIGN(T30-T27),0)</f>
        <v/>
      </c>
      <c r="AE30" s="15">
        <f>IF(AND(ISNUMBER(T30),ISNUMBER(T28)),VLOOKUP(ABS(T30-T28),'IMP Table'!$A$2:$C$26,3)*SIGN(T30-T28),0)</f>
        <v/>
      </c>
      <c r="AF30" s="15">
        <f>IF(AND(ISNUMBER(T30),ISNUMBER(T29)),VLOOKUP(ABS(T30-T29),'IMP Table'!$A$2:$C$26,3)*SIGN(T30-T29),0)</f>
        <v/>
      </c>
    </row>
    <row r="31">
      <c r="A31" s="10" t="n">
        <v>8</v>
      </c>
      <c r="B31" s="10">
        <f>'By Round'!A27</f>
        <v/>
      </c>
      <c r="C31" s="10">
        <f>'By Round'!B27</f>
        <v/>
      </c>
      <c r="D31" s="10">
        <f>'By Round'!C27</f>
        <v/>
      </c>
      <c r="E31" s="10">
        <f>'By Round'!D27</f>
        <v/>
      </c>
      <c r="F31" s="10">
        <f>IF(ISBLANK('By Round'!F28),"",'By Round'!F28)</f>
        <v/>
      </c>
      <c r="G31">
        <f>IF(ISBLANK('By Round'!G28),"",'By Round'!G28)</f>
        <v/>
      </c>
      <c r="H31">
        <f>IF(ISBLANK('By Round'!H28),"",'By Round'!H28)</f>
        <v/>
      </c>
      <c r="I31">
        <f>IF(ISBLANK('By Round'!I28),"",'By Round'!I28)</f>
        <v/>
      </c>
      <c r="J31">
        <f>IF(ISBLANK('By Round'!J28),"",'By Round'!J28)</f>
        <v/>
      </c>
      <c r="K31">
        <f>IF(ISBLANK('By Round'!K28),"",'By Round'!K28)</f>
        <v/>
      </c>
      <c r="L31">
        <f>IF(ISBLANK('By Round'!L28),"",'By Round'!L28)</f>
        <v/>
      </c>
      <c r="M31" s="11">
        <f>AVERAGE(AA31:AC31)</f>
        <v/>
      </c>
      <c r="N31" s="12">
        <f>AVERAGE(AD31:AF31)</f>
        <v/>
      </c>
      <c r="O31" s="13">
        <f>IF(COUNT(U31:W31)&gt;0,Q31/COUNT(U31:W31),0.5)</f>
        <v/>
      </c>
      <c r="P31" s="13">
        <f>IF(COUNT(X31:Z31)&gt;0,R31/COUNT(X31:Z31),0.5)</f>
        <v/>
      </c>
      <c r="Q31" s="5">
        <f>SUM(U31:W31)</f>
        <v/>
      </c>
      <c r="R31" s="5">
        <f>SUM(X31:Z31)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IF(ISNUMBER(T31),IF(ISNUMBER(T32),IF(T31&gt;T32,1.0,IF(T31=T32,0.5,0.0)),""),"")</f>
        <v/>
      </c>
      <c r="Y31">
        <f>IF(ISNUMBER(T31),IF(ISNUMBER(T33),IF(T31&gt;T33,1.0,IF(T31=T33,0.5,0.0)),""),"")</f>
        <v/>
      </c>
      <c r="Z31">
        <f>IF(ISNUMBER(T31),IF(ISNUMBER(T34),IF(T31&gt;T34,1.0,IF(T31=T34,0.5,0.0)),""),"")</f>
        <v/>
      </c>
      <c r="AA31" s="14">
        <f>IF(AND(ISNUMBER(S31),ISNUMBER(S32)),VLOOKUP(ABS(S31-S32),'IMP Table'!$A$2:$C$26,3)*SIGN(S31-S32),0)</f>
        <v/>
      </c>
      <c r="AB31">
        <f>IF(AND(ISNUMBER(S31),ISNUMBER(S33)),VLOOKUP(ABS(S31-S33),'IMP Table'!$A$2:$C$26,3)*SIGN(S31-S33),0)</f>
        <v/>
      </c>
      <c r="AC31">
        <f>IF(AND(ISNUMBER(S31),ISNUMBER(S34)),VLOOKUP(ABS(S31-S34),'IMP Table'!$A$2:$C$26,3)*SIGN(S31-S34),0)</f>
        <v/>
      </c>
      <c r="AD31">
        <f>IF(AND(ISNUMBER(T31),ISNUMBER(T32)),VLOOKUP(ABS(T31-T32),'IMP Table'!$A$2:$C$26,3)*SIGN(T31-T32),0)</f>
        <v/>
      </c>
      <c r="AE31">
        <f>IF(AND(ISNUMBER(T31),ISNUMBER(T33)),VLOOKUP(ABS(T31-T33),'IMP Table'!$A$2:$C$26,3)*SIGN(T31-T33),0)</f>
        <v/>
      </c>
      <c r="AF31">
        <f>IF(AND(ISNUMBER(T31),ISNUMBER(T34)),VLOOKUP(ABS(T31-T34),'IMP Table'!$A$2:$C$26,3)*SIGN(T31-T34),0)</f>
        <v/>
      </c>
    </row>
    <row r="32">
      <c r="B32" s="10">
        <f>'By Round'!A19</f>
        <v/>
      </c>
      <c r="C32" s="10">
        <f>'By Round'!B21</f>
        <v/>
      </c>
      <c r="D32" s="10">
        <f>'By Round'!C21</f>
        <v/>
      </c>
      <c r="E32" s="10">
        <f>'By Round'!D21</f>
        <v/>
      </c>
      <c r="F32" s="10">
        <f>IF(ISBLANK('By Round'!F22),"",'By Round'!F22)</f>
        <v/>
      </c>
      <c r="G32">
        <f>IF(ISBLANK('By Round'!G22),"",'By Round'!G22)</f>
        <v/>
      </c>
      <c r="H32">
        <f>IF(ISBLANK('By Round'!H22),"",'By Round'!H22)</f>
        <v/>
      </c>
      <c r="I32">
        <f>IF(ISBLANK('By Round'!I22),"",'By Round'!I22)</f>
        <v/>
      </c>
      <c r="J32">
        <f>IF(ISBLANK('By Round'!J22),"",'By Round'!J22)</f>
        <v/>
      </c>
      <c r="K32">
        <f>IF(ISBLANK('By Round'!K22),"",'By Round'!K22)</f>
        <v/>
      </c>
      <c r="L32">
        <f>IF(ISBLANK('By Round'!L22),"",'By Round'!L22)</f>
        <v/>
      </c>
      <c r="M32" s="11">
        <f>AVERAGE(AA32:AC32)</f>
        <v/>
      </c>
      <c r="N32" s="12">
        <f>AVERAGE(AD32:AF32)</f>
        <v/>
      </c>
      <c r="O32" s="13">
        <f>IF(COUNT(U32:W32)&gt;0,Q32/COUNT(U32:W32),0.5)</f>
        <v/>
      </c>
      <c r="P32" s="13">
        <f>IF(COUNT(X32:Z32)&gt;0,R32/COUNT(X32:Z32),0.5)</f>
        <v/>
      </c>
      <c r="Q32" s="5">
        <f>SUM(U32:W32)</f>
        <v/>
      </c>
      <c r="R32" s="5">
        <f>SUM(X32:Z32)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IF(ISNUMBER(T32),IF(ISNUMBER(T31),IF(T32&gt;T31,1.0,IF(T32=T31,0.5,0.0)),""),"")</f>
        <v/>
      </c>
      <c r="Y32">
        <f>IF(ISNUMBER(T32),IF(ISNUMBER(T33),IF(T32&gt;T33,1.0,IF(T32=T33,0.5,0.0)),""),"")</f>
        <v/>
      </c>
      <c r="Z32">
        <f>IF(ISNUMBER(T32),IF(ISNUMBER(T34),IF(T32&gt;T34,1.0,IF(T32=T34,0.5,0.0)),""),"")</f>
        <v/>
      </c>
      <c r="AA32" s="14">
        <f>IF(AND(ISNUMBER(S32),ISNUMBER(S31)),VLOOKUP(ABS(S32-S31),'IMP Table'!$A$2:$C$26,3)*SIGN(S32-S31),0)</f>
        <v/>
      </c>
      <c r="AB32">
        <f>IF(AND(ISNUMBER(S32),ISNUMBER(S33)),VLOOKUP(ABS(S32-S33),'IMP Table'!$A$2:$C$26,3)*SIGN(S32-S33),0)</f>
        <v/>
      </c>
      <c r="AC32">
        <f>IF(AND(ISNUMBER(S32),ISNUMBER(S34)),VLOOKUP(ABS(S32-S34),'IMP Table'!$A$2:$C$26,3)*SIGN(S32-S34),0)</f>
        <v/>
      </c>
      <c r="AD32">
        <f>IF(AND(ISNUMBER(T32),ISNUMBER(T31)),VLOOKUP(ABS(T32-T31),'IMP Table'!$A$2:$C$26,3)*SIGN(T32-T31),0)</f>
        <v/>
      </c>
      <c r="AE32">
        <f>IF(AND(ISNUMBER(T32),ISNUMBER(T33)),VLOOKUP(ABS(T32-T33),'IMP Table'!$A$2:$C$26,3)*SIGN(T32-T33),0)</f>
        <v/>
      </c>
      <c r="AF32">
        <f>IF(AND(ISNUMBER(T32),ISNUMBER(T34)),VLOOKUP(ABS(T32-T34),'IMP Table'!$A$2:$C$26,3)*SIGN(T32-T34),0)</f>
        <v/>
      </c>
    </row>
    <row r="33">
      <c r="B33" s="10">
        <f>'By Round'!A11</f>
        <v/>
      </c>
      <c r="C33" s="10">
        <f>'By Round'!B15</f>
        <v/>
      </c>
      <c r="D33" s="10">
        <f>'By Round'!C15</f>
        <v/>
      </c>
      <c r="E33" s="10">
        <f>'By Round'!D15</f>
        <v/>
      </c>
      <c r="F33" s="10">
        <f>IF(ISBLANK('By Round'!F16),"",'By Round'!F16)</f>
        <v/>
      </c>
      <c r="G33">
        <f>IF(ISBLANK('By Round'!G16),"",'By Round'!G16)</f>
        <v/>
      </c>
      <c r="H33">
        <f>IF(ISBLANK('By Round'!H16),"",'By Round'!H16)</f>
        <v/>
      </c>
      <c r="I33">
        <f>IF(ISBLANK('By Round'!I16),"",'By Round'!I16)</f>
        <v/>
      </c>
      <c r="J33">
        <f>IF(ISBLANK('By Round'!J16),"",'By Round'!J16)</f>
        <v/>
      </c>
      <c r="K33">
        <f>IF(ISBLANK('By Round'!K16),"",'By Round'!K16)</f>
        <v/>
      </c>
      <c r="L33">
        <f>IF(ISBLANK('By Round'!L16),"",'By Round'!L16)</f>
        <v/>
      </c>
      <c r="M33" s="11">
        <f>AVERAGE(AA33:AC33)</f>
        <v/>
      </c>
      <c r="N33" s="12">
        <f>AVERAGE(AD33:AF33)</f>
        <v/>
      </c>
      <c r="O33" s="13">
        <f>IF(COUNT(U33:W33)&gt;0,Q33/COUNT(U33:W33),0.5)</f>
        <v/>
      </c>
      <c r="P33" s="13">
        <f>IF(COUNT(X33:Z33)&gt;0,R33/COUNT(X33:Z33),0.5)</f>
        <v/>
      </c>
      <c r="Q33" s="5">
        <f>SUM(U33:W33)</f>
        <v/>
      </c>
      <c r="R33" s="5">
        <f>SUM(X33:Z33)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IF(ISNUMBER(T33),IF(ISNUMBER(T31),IF(T33&gt;T31,1.0,IF(T33=T31,0.5,0.0)),""),"")</f>
        <v/>
      </c>
      <c r="Y33">
        <f>IF(ISNUMBER(T33),IF(ISNUMBER(T32),IF(T33&gt;T32,1.0,IF(T33=T32,0.5,0.0)),""),"")</f>
        <v/>
      </c>
      <c r="Z33">
        <f>IF(ISNUMBER(T33),IF(ISNUMBER(T34),IF(T33&gt;T34,1.0,IF(T33=T34,0.5,0.0)),""),"")</f>
        <v/>
      </c>
      <c r="AA33" s="14">
        <f>IF(AND(ISNUMBER(S33),ISNUMBER(S31)),VLOOKUP(ABS(S33-S31),'IMP Table'!$A$2:$C$26,3)*SIGN(S33-S31),0)</f>
        <v/>
      </c>
      <c r="AB33">
        <f>IF(AND(ISNUMBER(S33),ISNUMBER(S32)),VLOOKUP(ABS(S33-S32),'IMP Table'!$A$2:$C$26,3)*SIGN(S33-S32),0)</f>
        <v/>
      </c>
      <c r="AC33">
        <f>IF(AND(ISNUMBER(S33),ISNUMBER(S34)),VLOOKUP(ABS(S33-S34),'IMP Table'!$A$2:$C$26,3)*SIGN(S33-S34),0)</f>
        <v/>
      </c>
      <c r="AD33">
        <f>IF(AND(ISNUMBER(T33),ISNUMBER(T31)),VLOOKUP(ABS(T33-T31),'IMP Table'!$A$2:$C$26,3)*SIGN(T33-T31),0)</f>
        <v/>
      </c>
      <c r="AE33">
        <f>IF(AND(ISNUMBER(T33),ISNUMBER(T32)),VLOOKUP(ABS(T33-T32),'IMP Table'!$A$2:$C$26,3)*SIGN(T33-T32),0)</f>
        <v/>
      </c>
      <c r="AF33">
        <f>IF(AND(ISNUMBER(T33),ISNUMBER(T34)),VLOOKUP(ABS(T33-T34),'IMP Table'!$A$2:$C$26,3)*SIGN(T33-T34),0)</f>
        <v/>
      </c>
    </row>
    <row r="34">
      <c r="A34" s="15" t="n"/>
      <c r="B34" s="16">
        <f>'By Round'!A51</f>
        <v/>
      </c>
      <c r="C34" s="16">
        <f>'By Round'!B57</f>
        <v/>
      </c>
      <c r="D34" s="16">
        <f>'By Round'!C57</f>
        <v/>
      </c>
      <c r="E34" s="16">
        <f>'By Round'!D57</f>
        <v/>
      </c>
      <c r="F34" s="16">
        <f>IF(ISBLANK('By Round'!F58),"",'By Round'!F58)</f>
        <v/>
      </c>
      <c r="G34" s="15">
        <f>IF(ISBLANK('By Round'!G58),"",'By Round'!G58)</f>
        <v/>
      </c>
      <c r="H34" s="15">
        <f>IF(ISBLANK('By Round'!H58),"",'By Round'!H58)</f>
        <v/>
      </c>
      <c r="I34" s="15">
        <f>IF(ISBLANK('By Round'!I58),"",'By Round'!I58)</f>
        <v/>
      </c>
      <c r="J34" s="15">
        <f>IF(ISBLANK('By Round'!J58),"",'By Round'!J58)</f>
        <v/>
      </c>
      <c r="K34" s="15">
        <f>IF(ISBLANK('By Round'!K58),"",'By Round'!K58)</f>
        <v/>
      </c>
      <c r="L34" s="15">
        <f>IF(ISBLANK('By Round'!L58),"",'By Round'!L58)</f>
        <v/>
      </c>
      <c r="M34" s="17">
        <f>AVERAGE(AA34:AC34)</f>
        <v/>
      </c>
      <c r="N34" s="18">
        <f>AVERAGE(AD34:AF34)</f>
        <v/>
      </c>
      <c r="O34" s="19">
        <f>IF(COUNT(U34:W34)&gt;0,Q34/COUNT(U34:W34),0.5)</f>
        <v/>
      </c>
      <c r="P34" s="19">
        <f>IF(COUNT(X34:Z34)&gt;0,R34/COUNT(X34:Z34),0.5)</f>
        <v/>
      </c>
      <c r="Q34" s="20">
        <f>SUM(U34:W34)</f>
        <v/>
      </c>
      <c r="R34" s="20">
        <f>SUM(X34:Z34)</f>
        <v/>
      </c>
      <c r="S34" s="21">
        <f>IF(ISNUMBER(K34),K34,IF(ISNUMBER(L34),-L34,""))</f>
        <v/>
      </c>
      <c r="T34" s="15">
        <f>IF(ISNUMBER(L34),L34,IF(ISNUMBER(K34),-K34,""))</f>
        <v/>
      </c>
      <c r="U34" s="21">
        <f>IF(ISNUMBER(S34),IF(ISNUMBER(S31),IF(S34&gt;S31,1.0,IF(S34=S31,0.5,0.0)),""),"")</f>
        <v/>
      </c>
      <c r="V34" s="15">
        <f>IF(ISNUMBER(S34),IF(ISNUMBER(S32),IF(S34&gt;S32,1.0,IF(S34=S32,0.5,0.0)),""),"")</f>
        <v/>
      </c>
      <c r="W34" s="15">
        <f>IF(ISNUMBER(S34),IF(ISNUMBER(S33),IF(S34&gt;S33,1.0,IF(S34=S33,0.5,0.0)),""),"")</f>
        <v/>
      </c>
      <c r="X34" s="15">
        <f>IF(ISNUMBER(T34),IF(ISNUMBER(T31),IF(T34&gt;T31,1.0,IF(T34=T31,0.5,0.0)),""),"")</f>
        <v/>
      </c>
      <c r="Y34" s="15">
        <f>IF(ISNUMBER(T34),IF(ISNUMBER(T32),IF(T34&gt;T32,1.0,IF(T34=T32,0.5,0.0)),""),"")</f>
        <v/>
      </c>
      <c r="Z34" s="15">
        <f>IF(ISNUMBER(T34),IF(ISNUMBER(T33),IF(T34&gt;T33,1.0,IF(T34=T33,0.5,0.0)),""),"")</f>
        <v/>
      </c>
      <c r="AA34" s="21">
        <f>IF(AND(ISNUMBER(S34),ISNUMBER(S31)),VLOOKUP(ABS(S34-S31),'IMP Table'!$A$2:$C$26,3)*SIGN(S34-S31),0)</f>
        <v/>
      </c>
      <c r="AB34" s="15">
        <f>IF(AND(ISNUMBER(S34),ISNUMBER(S32)),VLOOKUP(ABS(S34-S32),'IMP Table'!$A$2:$C$26,3)*SIGN(S34-S32),0)</f>
        <v/>
      </c>
      <c r="AC34" s="15">
        <f>IF(AND(ISNUMBER(S34),ISNUMBER(S33)),VLOOKUP(ABS(S34-S33),'IMP Table'!$A$2:$C$26,3)*SIGN(S34-S33),0)</f>
        <v/>
      </c>
      <c r="AD34" s="15">
        <f>IF(AND(ISNUMBER(T34),ISNUMBER(T31)),VLOOKUP(ABS(T34-T31),'IMP Table'!$A$2:$C$26,3)*SIGN(T34-T31),0)</f>
        <v/>
      </c>
      <c r="AE34" s="15">
        <f>IF(AND(ISNUMBER(T34),ISNUMBER(T32)),VLOOKUP(ABS(T34-T32),'IMP Table'!$A$2:$C$26,3)*SIGN(T34-T32),0)</f>
        <v/>
      </c>
      <c r="AF34" s="15">
        <f>IF(AND(ISNUMBER(T34),ISNUMBER(T33)),VLOOKUP(ABS(T34-T33),'IMP Table'!$A$2:$C$26,3)*SIGN(T34-T33),0)</f>
        <v/>
      </c>
    </row>
    <row r="35">
      <c r="A35" s="10" t="n">
        <v>9</v>
      </c>
      <c r="B35" s="10">
        <f>'By Round'!A35</f>
        <v/>
      </c>
      <c r="C35" s="10">
        <f>'By Round'!B35</f>
        <v/>
      </c>
      <c r="D35" s="10">
        <f>'By Round'!C35</f>
        <v/>
      </c>
      <c r="E35" s="10">
        <f>'By Round'!D35</f>
        <v/>
      </c>
      <c r="F35" s="10">
        <f>IF(ISBLANK('By Round'!F35),"",'By Round'!F35)</f>
        <v/>
      </c>
      <c r="G35">
        <f>IF(ISBLANK('By Round'!G35),"",'By Round'!G35)</f>
        <v/>
      </c>
      <c r="H35">
        <f>IF(ISBLANK('By Round'!H35),"",'By Round'!H35)</f>
        <v/>
      </c>
      <c r="I35">
        <f>IF(ISBLANK('By Round'!I35),"",'By Round'!I35)</f>
        <v/>
      </c>
      <c r="J35">
        <f>IF(ISBLANK('By Round'!J35),"",'By Round'!J35)</f>
        <v/>
      </c>
      <c r="K35">
        <f>IF(ISBLANK('By Round'!K35),"",'By Round'!K35)</f>
        <v/>
      </c>
      <c r="L35">
        <f>IF(ISBLANK('By Round'!L35),"",'By Round'!L35)</f>
        <v/>
      </c>
      <c r="M35" s="11">
        <f>AVERAGE(AA35:AC35)</f>
        <v/>
      </c>
      <c r="N35" s="12">
        <f>AVERAGE(AD35:AF35)</f>
        <v/>
      </c>
      <c r="O35" s="13">
        <f>IF(COUNT(U35:W35)&gt;0,Q35/COUNT(U35:W35),0.5)</f>
        <v/>
      </c>
      <c r="P35" s="13">
        <f>IF(COUNT(X35:Z35)&gt;0,R35/COUNT(X35:Z35),0.5)</f>
        <v/>
      </c>
      <c r="Q35" s="5">
        <f>SUM(U35:W35)</f>
        <v/>
      </c>
      <c r="R35" s="5">
        <f>SUM(X35:Z35)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IF(ISNUMBER(S35),IF(ISNUMBER(S36),IF(S35&gt;S36,1.0,IF(S35=S36,0.5,0.0)),""),"")</f>
        <v/>
      </c>
      <c r="V35">
        <f>IF(ISNUMBER(S35),IF(ISNUMBER(S37),IF(S35&gt;S37,1.0,IF(S35=S37,0.5,0.0)),""),"")</f>
        <v/>
      </c>
      <c r="W35">
        <f>IF(ISNUMBER(S35),IF(ISNUMBER(S38),IF(S35&gt;S38,1.0,IF(S35=S38,0.5,0.0)),""),"")</f>
        <v/>
      </c>
      <c r="X35">
        <f>IF(ISNUMBER(T35),IF(ISNUMBER(T36),IF(T35&gt;T36,1.0,IF(T35=T36,0.5,0.0)),""),"")</f>
        <v/>
      </c>
      <c r="Y35">
        <f>IF(ISNUMBER(T35),IF(ISNUMBER(T37),IF(T35&gt;T37,1.0,IF(T35=T37,0.5,0.0)),""),"")</f>
        <v/>
      </c>
      <c r="Z35">
        <f>IF(ISNUMBER(T35),IF(ISNUMBER(T38),IF(T35&gt;T38,1.0,IF(T35=T38,0.5,0.0)),""),"")</f>
        <v/>
      </c>
      <c r="AA35" s="14">
        <f>IF(AND(ISNUMBER(S35),ISNUMBER(S36)),VLOOKUP(ABS(S35-S36),'IMP Table'!$A$2:$C$26,3)*SIGN(S35-S36),0)</f>
        <v/>
      </c>
      <c r="AB35">
        <f>IF(AND(ISNUMBER(S35),ISNUMBER(S37)),VLOOKUP(ABS(S35-S37),'IMP Table'!$A$2:$C$26,3)*SIGN(S35-S37),0)</f>
        <v/>
      </c>
      <c r="AC35">
        <f>IF(AND(ISNUMBER(S35),ISNUMBER(S38)),VLOOKUP(ABS(S35-S38),'IMP Table'!$A$2:$C$26,3)*SIGN(S35-S38),0)</f>
        <v/>
      </c>
      <c r="AD35">
        <f>IF(AND(ISNUMBER(T35),ISNUMBER(T36)),VLOOKUP(ABS(T35-T36),'IMP Table'!$A$2:$C$26,3)*SIGN(T35-T36),0)</f>
        <v/>
      </c>
      <c r="AE35">
        <f>IF(AND(ISNUMBER(T35),ISNUMBER(T37)),VLOOKUP(ABS(T35-T37),'IMP Table'!$A$2:$C$26,3)*SIGN(T35-T37),0)</f>
        <v/>
      </c>
      <c r="AF35">
        <f>IF(AND(ISNUMBER(T35),ISNUMBER(T38)),VLOOKUP(ABS(T35-T38),'IMP Table'!$A$2:$C$26,3)*SIGN(T35-T38),0)</f>
        <v/>
      </c>
    </row>
    <row r="36">
      <c r="B36" s="10">
        <f>'By Round'!A27</f>
        <v/>
      </c>
      <c r="C36" s="10">
        <f>'By Round'!B29</f>
        <v/>
      </c>
      <c r="D36" s="10">
        <f>'By Round'!C29</f>
        <v/>
      </c>
      <c r="E36" s="10">
        <f>'By Round'!D29</f>
        <v/>
      </c>
      <c r="F36" s="10">
        <f>IF(ISBLANK('By Round'!F29),"",'By Round'!F29)</f>
        <v/>
      </c>
      <c r="G36">
        <f>IF(ISBLANK('By Round'!G29),"",'By Round'!G29)</f>
        <v/>
      </c>
      <c r="H36">
        <f>IF(ISBLANK('By Round'!H29),"",'By Round'!H29)</f>
        <v/>
      </c>
      <c r="I36">
        <f>IF(ISBLANK('By Round'!I29),"",'By Round'!I29)</f>
        <v/>
      </c>
      <c r="J36">
        <f>IF(ISBLANK('By Round'!J29),"",'By Round'!J29)</f>
        <v/>
      </c>
      <c r="K36">
        <f>IF(ISBLANK('By Round'!K29),"",'By Round'!K29)</f>
        <v/>
      </c>
      <c r="L36">
        <f>IF(ISBLANK('By Round'!L29),"",'By Round'!L29)</f>
        <v/>
      </c>
      <c r="M36" s="11">
        <f>AVERAGE(AA36:AC36)</f>
        <v/>
      </c>
      <c r="N36" s="12">
        <f>AVERAGE(AD36:AF36)</f>
        <v/>
      </c>
      <c r="O36" s="13">
        <f>IF(COUNT(U36:W36)&gt;0,Q36/COUNT(U36:W36),0.5)</f>
        <v/>
      </c>
      <c r="P36" s="13">
        <f>IF(COUNT(X36:Z36)&gt;0,R36/COUNT(X36:Z36),0.5)</f>
        <v/>
      </c>
      <c r="Q36" s="5">
        <f>SUM(U36:W36)</f>
        <v/>
      </c>
      <c r="R36" s="5">
        <f>SUM(X36:Z36)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IF(ISNUMBER(S36),IF(ISNUMBER(S35),IF(S36&gt;S35,1.0,IF(S36=S35,0.5,0.0)),""),"")</f>
        <v/>
      </c>
      <c r="V36">
        <f>IF(ISNUMBER(S36),IF(ISNUMBER(S37),IF(S36&gt;S37,1.0,IF(S36=S37,0.5,0.0)),""),"")</f>
        <v/>
      </c>
      <c r="W36">
        <f>IF(ISNUMBER(S36),IF(ISNUMBER(S38),IF(S36&gt;S38,1.0,IF(S36=S38,0.5,0.0)),""),"")</f>
        <v/>
      </c>
      <c r="X36">
        <f>IF(ISNUMBER(T36),IF(ISNUMBER(T35),IF(T36&gt;T35,1.0,IF(T36=T35,0.5,0.0)),""),"")</f>
        <v/>
      </c>
      <c r="Y36">
        <f>IF(ISNUMBER(T36),IF(ISNUMBER(T37),IF(T36&gt;T37,1.0,IF(T36=T37,0.5,0.0)),""),"")</f>
        <v/>
      </c>
      <c r="Z36">
        <f>IF(ISNUMBER(T36),IF(ISNUMBER(T38),IF(T36&gt;T38,1.0,IF(T36=T38,0.5,0.0)),""),"")</f>
        <v/>
      </c>
      <c r="AA36" s="14">
        <f>IF(AND(ISNUMBER(S36),ISNUMBER(S35)),VLOOKUP(ABS(S36-S35),'IMP Table'!$A$2:$C$26,3)*SIGN(S36-S35),0)</f>
        <v/>
      </c>
      <c r="AB36">
        <f>IF(AND(ISNUMBER(S36),ISNUMBER(S37)),VLOOKUP(ABS(S36-S37),'IMP Table'!$A$2:$C$26,3)*SIGN(S36-S37),0)</f>
        <v/>
      </c>
      <c r="AC36">
        <f>IF(AND(ISNUMBER(S36),ISNUMBER(S38)),VLOOKUP(ABS(S36-S38),'IMP Table'!$A$2:$C$26,3)*SIGN(S36-S38),0)</f>
        <v/>
      </c>
      <c r="AD36">
        <f>IF(AND(ISNUMBER(T36),ISNUMBER(T35)),VLOOKUP(ABS(T36-T35),'IMP Table'!$A$2:$C$26,3)*SIGN(T36-T35),0)</f>
        <v/>
      </c>
      <c r="AE36">
        <f>IF(AND(ISNUMBER(T36),ISNUMBER(T37)),VLOOKUP(ABS(T36-T37),'IMP Table'!$A$2:$C$26,3)*SIGN(T36-T37),0)</f>
        <v/>
      </c>
      <c r="AF36">
        <f>IF(AND(ISNUMBER(T36),ISNUMBER(T38)),VLOOKUP(ABS(T36-T38),'IMP Table'!$A$2:$C$26,3)*SIGN(T36-T38),0)</f>
        <v/>
      </c>
    </row>
    <row r="37">
      <c r="B37" s="10">
        <f>'By Round'!A19</f>
        <v/>
      </c>
      <c r="C37" s="10">
        <f>'By Round'!B23</f>
        <v/>
      </c>
      <c r="D37" s="10">
        <f>'By Round'!C23</f>
        <v/>
      </c>
      <c r="E37" s="10">
        <f>'By Round'!D23</f>
        <v/>
      </c>
      <c r="F37" s="10">
        <f>IF(ISBLANK('By Round'!F23),"",'By Round'!F23)</f>
        <v/>
      </c>
      <c r="G37">
        <f>IF(ISBLANK('By Round'!G23),"",'By Round'!G23)</f>
        <v/>
      </c>
      <c r="H37">
        <f>IF(ISBLANK('By Round'!H23),"",'By Round'!H23)</f>
        <v/>
      </c>
      <c r="I37">
        <f>IF(ISBLANK('By Round'!I23),"",'By Round'!I23)</f>
        <v/>
      </c>
      <c r="J37">
        <f>IF(ISBLANK('By Round'!J23),"",'By Round'!J23)</f>
        <v/>
      </c>
      <c r="K37">
        <f>IF(ISBLANK('By Round'!K23),"",'By Round'!K23)</f>
        <v/>
      </c>
      <c r="L37">
        <f>IF(ISBLANK('By Round'!L23),"",'By Round'!L23)</f>
        <v/>
      </c>
      <c r="M37" s="11">
        <f>AVERAGE(AA37:AC37)</f>
        <v/>
      </c>
      <c r="N37" s="12">
        <f>AVERAGE(AD37:AF37)</f>
        <v/>
      </c>
      <c r="O37" s="13">
        <f>IF(COUNT(U37:W37)&gt;0,Q37/COUNT(U37:W37),0.5)</f>
        <v/>
      </c>
      <c r="P37" s="13">
        <f>IF(COUNT(X37:Z37)&gt;0,R37/COUNT(X37:Z37),0.5)</f>
        <v/>
      </c>
      <c r="Q37" s="5">
        <f>SUM(U37:W37)</f>
        <v/>
      </c>
      <c r="R37" s="5">
        <f>SUM(X37:Z37)</f>
        <v/>
      </c>
      <c r="S37" s="14">
        <f>IF(ISNUMBER(K37),K37,IF(ISNUMBER(L37),-L37,""))</f>
        <v/>
      </c>
      <c r="T37">
        <f>IF(ISNUMBER(L37),L37,IF(ISNUMBER(K37),-K37,""))</f>
        <v/>
      </c>
      <c r="U37" s="14">
        <f>IF(ISNUMBER(S37),IF(ISNUMBER(S35),IF(S37&gt;S35,1.0,IF(S37=S35,0.5,0.0)),""),"")</f>
        <v/>
      </c>
      <c r="V37">
        <f>IF(ISNUMBER(S37),IF(ISNUMBER(S36),IF(S37&gt;S36,1.0,IF(S37=S36,0.5,0.0)),""),"")</f>
        <v/>
      </c>
      <c r="W37">
        <f>IF(ISNUMBER(S37),IF(ISNUMBER(S38),IF(S37&gt;S38,1.0,IF(S37=S38,0.5,0.0)),""),"")</f>
        <v/>
      </c>
      <c r="X37">
        <f>IF(ISNUMBER(T37),IF(ISNUMBER(T35),IF(T37&gt;T35,1.0,IF(T37=T35,0.5,0.0)),""),"")</f>
        <v/>
      </c>
      <c r="Y37">
        <f>IF(ISNUMBER(T37),IF(ISNUMBER(T36),IF(T37&gt;T36,1.0,IF(T37=T36,0.5,0.0)),""),"")</f>
        <v/>
      </c>
      <c r="Z37">
        <f>IF(ISNUMBER(T37),IF(ISNUMBER(T38),IF(T37&gt;T38,1.0,IF(T37=T38,0.5,0.0)),""),"")</f>
        <v/>
      </c>
      <c r="AA37" s="14">
        <f>IF(AND(ISNUMBER(S37),ISNUMBER(S35)),VLOOKUP(ABS(S37-S35),'IMP Table'!$A$2:$C$26,3)*SIGN(S37-S35),0)</f>
        <v/>
      </c>
      <c r="AB37">
        <f>IF(AND(ISNUMBER(S37),ISNUMBER(S36)),VLOOKUP(ABS(S37-S36),'IMP Table'!$A$2:$C$26,3)*SIGN(S37-S36),0)</f>
        <v/>
      </c>
      <c r="AC37">
        <f>IF(AND(ISNUMBER(S37),ISNUMBER(S38)),VLOOKUP(ABS(S37-S38),'IMP Table'!$A$2:$C$26,3)*SIGN(S37-S38),0)</f>
        <v/>
      </c>
      <c r="AD37">
        <f>IF(AND(ISNUMBER(T37),ISNUMBER(T35)),VLOOKUP(ABS(T37-T35),'IMP Table'!$A$2:$C$26,3)*SIGN(T37-T35),0)</f>
        <v/>
      </c>
      <c r="AE37">
        <f>IF(AND(ISNUMBER(T37),ISNUMBER(T36)),VLOOKUP(ABS(T37-T36),'IMP Table'!$A$2:$C$26,3)*SIGN(T37-T36),0)</f>
        <v/>
      </c>
      <c r="AF37">
        <f>IF(AND(ISNUMBER(T37),ISNUMBER(T38)),VLOOKUP(ABS(T37-T38),'IMP Table'!$A$2:$C$26,3)*SIGN(T37-T38),0)</f>
        <v/>
      </c>
    </row>
    <row r="38">
      <c r="A38" s="15" t="n"/>
      <c r="B38" s="16">
        <f>'By Round'!A3</f>
        <v/>
      </c>
      <c r="C38" s="16">
        <f>'By Round'!B9</f>
        <v/>
      </c>
      <c r="D38" s="16">
        <f>'By Round'!C9</f>
        <v/>
      </c>
      <c r="E38" s="16">
        <f>'By Round'!D9</f>
        <v/>
      </c>
      <c r="F38" s="16">
        <f>IF(ISBLANK('By Round'!F9),"",'By Round'!F9)</f>
        <v/>
      </c>
      <c r="G38" s="15">
        <f>IF(ISBLANK('By Round'!G9),"",'By Round'!G9)</f>
        <v/>
      </c>
      <c r="H38" s="15">
        <f>IF(ISBLANK('By Round'!H9),"",'By Round'!H9)</f>
        <v/>
      </c>
      <c r="I38" s="15">
        <f>IF(ISBLANK('By Round'!I9),"",'By Round'!I9)</f>
        <v/>
      </c>
      <c r="J38" s="15">
        <f>IF(ISBLANK('By Round'!J9),"",'By Round'!J9)</f>
        <v/>
      </c>
      <c r="K38" s="15">
        <f>IF(ISBLANK('By Round'!K9),"",'By Round'!K9)</f>
        <v/>
      </c>
      <c r="L38" s="15">
        <f>IF(ISBLANK('By Round'!L9),"",'By Round'!L9)</f>
        <v/>
      </c>
      <c r="M38" s="17">
        <f>AVERAGE(AA38:AC38)</f>
        <v/>
      </c>
      <c r="N38" s="18">
        <f>AVERAGE(AD38:AF38)</f>
        <v/>
      </c>
      <c r="O38" s="19">
        <f>IF(COUNT(U38:W38)&gt;0,Q38/COUNT(U38:W38),0.5)</f>
        <v/>
      </c>
      <c r="P38" s="19">
        <f>IF(COUNT(X38:Z38)&gt;0,R38/COUNT(X38:Z38),0.5)</f>
        <v/>
      </c>
      <c r="Q38" s="20">
        <f>SUM(U38:W38)</f>
        <v/>
      </c>
      <c r="R38" s="20">
        <f>SUM(X38:Z38)</f>
        <v/>
      </c>
      <c r="S38" s="21">
        <f>IF(ISNUMBER(K38),K38,IF(ISNUMBER(L38),-L38,""))</f>
        <v/>
      </c>
      <c r="T38" s="15">
        <f>IF(ISNUMBER(L38),L38,IF(ISNUMBER(K38),-K38,""))</f>
        <v/>
      </c>
      <c r="U38" s="21">
        <f>IF(ISNUMBER(S38),IF(ISNUMBER(S35),IF(S38&gt;S35,1.0,IF(S38=S35,0.5,0.0)),""),"")</f>
        <v/>
      </c>
      <c r="V38" s="15">
        <f>IF(ISNUMBER(S38),IF(ISNUMBER(S36),IF(S38&gt;S36,1.0,IF(S38=S36,0.5,0.0)),""),"")</f>
        <v/>
      </c>
      <c r="W38" s="15">
        <f>IF(ISNUMBER(S38),IF(ISNUMBER(S37),IF(S38&gt;S37,1.0,IF(S38=S37,0.5,0.0)),""),"")</f>
        <v/>
      </c>
      <c r="X38" s="15">
        <f>IF(ISNUMBER(T38),IF(ISNUMBER(T35),IF(T38&gt;T35,1.0,IF(T38=T35,0.5,0.0)),""),"")</f>
        <v/>
      </c>
      <c r="Y38" s="15">
        <f>IF(ISNUMBER(T38),IF(ISNUMBER(T36),IF(T38&gt;T36,1.0,IF(T38=T36,0.5,0.0)),""),"")</f>
        <v/>
      </c>
      <c r="Z38" s="15">
        <f>IF(ISNUMBER(T38),IF(ISNUMBER(T37),IF(T38&gt;T37,1.0,IF(T38=T37,0.5,0.0)),""),"")</f>
        <v/>
      </c>
      <c r="AA38" s="21">
        <f>IF(AND(ISNUMBER(S38),ISNUMBER(S35)),VLOOKUP(ABS(S38-S35),'IMP Table'!$A$2:$C$26,3)*SIGN(S38-S35),0)</f>
        <v/>
      </c>
      <c r="AB38" s="15">
        <f>IF(AND(ISNUMBER(S38),ISNUMBER(S36)),VLOOKUP(ABS(S38-S36),'IMP Table'!$A$2:$C$26,3)*SIGN(S38-S36),0)</f>
        <v/>
      </c>
      <c r="AC38" s="15">
        <f>IF(AND(ISNUMBER(S38),ISNUMBER(S37)),VLOOKUP(ABS(S38-S37),'IMP Table'!$A$2:$C$26,3)*SIGN(S38-S37),0)</f>
        <v/>
      </c>
      <c r="AD38" s="15">
        <f>IF(AND(ISNUMBER(T38),ISNUMBER(T35)),VLOOKUP(ABS(T38-T35),'IMP Table'!$A$2:$C$26,3)*SIGN(T38-T35),0)</f>
        <v/>
      </c>
      <c r="AE38" s="15">
        <f>IF(AND(ISNUMBER(T38),ISNUMBER(T36)),VLOOKUP(ABS(T38-T36),'IMP Table'!$A$2:$C$26,3)*SIGN(T38-T36),0)</f>
        <v/>
      </c>
      <c r="AF38" s="15">
        <f>IF(AND(ISNUMBER(T38),ISNUMBER(T37)),VLOOKUP(ABS(T38-T37),'IMP Table'!$A$2:$C$26,3)*SIGN(T38-T37),0)</f>
        <v/>
      </c>
    </row>
    <row r="39">
      <c r="A39" s="10" t="n">
        <v>10</v>
      </c>
      <c r="B39" s="10">
        <f>'By Round'!A35</f>
        <v/>
      </c>
      <c r="C39" s="10">
        <f>'By Round'!B35</f>
        <v/>
      </c>
      <c r="D39" s="10">
        <f>'By Round'!C35</f>
        <v/>
      </c>
      <c r="E39" s="10">
        <f>'By Round'!D35</f>
        <v/>
      </c>
      <c r="F39" s="10">
        <f>IF(ISBLANK('By Round'!F36),"",'By Round'!F36)</f>
        <v/>
      </c>
      <c r="G39">
        <f>IF(ISBLANK('By Round'!G36),"",'By Round'!G36)</f>
        <v/>
      </c>
      <c r="H39">
        <f>IF(ISBLANK('By Round'!H36),"",'By Round'!H36)</f>
        <v/>
      </c>
      <c r="I39">
        <f>IF(ISBLANK('By Round'!I36),"",'By Round'!I36)</f>
        <v/>
      </c>
      <c r="J39">
        <f>IF(ISBLANK('By Round'!J36),"",'By Round'!J36)</f>
        <v/>
      </c>
      <c r="K39">
        <f>IF(ISBLANK('By Round'!K36),"",'By Round'!K36)</f>
        <v/>
      </c>
      <c r="L39">
        <f>IF(ISBLANK('By Round'!L36),"",'By Round'!L36)</f>
        <v/>
      </c>
      <c r="M39" s="11">
        <f>AVERAGE(AA39:AC39)</f>
        <v/>
      </c>
      <c r="N39" s="12">
        <f>AVERAGE(AD39:AF39)</f>
        <v/>
      </c>
      <c r="O39" s="13">
        <f>IF(COUNT(U39:W39)&gt;0,Q39/COUNT(U39:W39),0.5)</f>
        <v/>
      </c>
      <c r="P39" s="13">
        <f>IF(COUNT(X39:Z39)&gt;0,R39/COUNT(X39:Z39),0.5)</f>
        <v/>
      </c>
      <c r="Q39" s="5">
        <f>SUM(U39:W39)</f>
        <v/>
      </c>
      <c r="R39" s="5">
        <f>SUM(X39:Z39)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IF(ISNUMBER(S39),IF(ISNUMBER(S40),IF(S39&gt;S40,1.0,IF(S39=S40,0.5,0.0)),""),"")</f>
        <v/>
      </c>
      <c r="V39">
        <f>IF(ISNUMBER(S39),IF(ISNUMBER(S41),IF(S39&gt;S41,1.0,IF(S39=S41,0.5,0.0)),""),"")</f>
        <v/>
      </c>
      <c r="W39">
        <f>IF(ISNUMBER(S39),IF(ISNUMBER(S42),IF(S39&gt;S42,1.0,IF(S39=S42,0.5,0.0)),""),"")</f>
        <v/>
      </c>
      <c r="X39">
        <f>IF(ISNUMBER(T39),IF(ISNUMBER(T40),IF(T39&gt;T40,1.0,IF(T39=T40,0.5,0.0)),""),"")</f>
        <v/>
      </c>
      <c r="Y39">
        <f>IF(ISNUMBER(T39),IF(ISNUMBER(T41),IF(T39&gt;T41,1.0,IF(T39=T41,0.5,0.0)),""),"")</f>
        <v/>
      </c>
      <c r="Z39">
        <f>IF(ISNUMBER(T39),IF(ISNUMBER(T42),IF(T39&gt;T42,1.0,IF(T39=T42,0.5,0.0)),""),"")</f>
        <v/>
      </c>
      <c r="AA39" s="14">
        <f>IF(AND(ISNUMBER(S39),ISNUMBER(S40)),VLOOKUP(ABS(S39-S40),'IMP Table'!$A$2:$C$26,3)*SIGN(S39-S40),0)</f>
        <v/>
      </c>
      <c r="AB39">
        <f>IF(AND(ISNUMBER(S39),ISNUMBER(S41)),VLOOKUP(ABS(S39-S41),'IMP Table'!$A$2:$C$26,3)*SIGN(S39-S41),0)</f>
        <v/>
      </c>
      <c r="AC39">
        <f>IF(AND(ISNUMBER(S39),ISNUMBER(S42)),VLOOKUP(ABS(S39-S42),'IMP Table'!$A$2:$C$26,3)*SIGN(S39-S42),0)</f>
        <v/>
      </c>
      <c r="AD39">
        <f>IF(AND(ISNUMBER(T39),ISNUMBER(T40)),VLOOKUP(ABS(T39-T40),'IMP Table'!$A$2:$C$26,3)*SIGN(T39-T40),0)</f>
        <v/>
      </c>
      <c r="AE39">
        <f>IF(AND(ISNUMBER(T39),ISNUMBER(T41)),VLOOKUP(ABS(T39-T41),'IMP Table'!$A$2:$C$26,3)*SIGN(T39-T41),0)</f>
        <v/>
      </c>
      <c r="AF39">
        <f>IF(AND(ISNUMBER(T39),ISNUMBER(T42)),VLOOKUP(ABS(T39-T42),'IMP Table'!$A$2:$C$26,3)*SIGN(T39-T42),0)</f>
        <v/>
      </c>
    </row>
    <row r="40">
      <c r="B40" s="10">
        <f>'By Round'!A27</f>
        <v/>
      </c>
      <c r="C40" s="10">
        <f>'By Round'!B29</f>
        <v/>
      </c>
      <c r="D40" s="10">
        <f>'By Round'!C29</f>
        <v/>
      </c>
      <c r="E40" s="10">
        <f>'By Round'!D29</f>
        <v/>
      </c>
      <c r="F40" s="10">
        <f>IF(ISBLANK('By Round'!F30),"",'By Round'!F30)</f>
        <v/>
      </c>
      <c r="G40">
        <f>IF(ISBLANK('By Round'!G30),"",'By Round'!G30)</f>
        <v/>
      </c>
      <c r="H40">
        <f>IF(ISBLANK('By Round'!H30),"",'By Round'!H30)</f>
        <v/>
      </c>
      <c r="I40">
        <f>IF(ISBLANK('By Round'!I30),"",'By Round'!I30)</f>
        <v/>
      </c>
      <c r="J40">
        <f>IF(ISBLANK('By Round'!J30),"",'By Round'!J30)</f>
        <v/>
      </c>
      <c r="K40">
        <f>IF(ISBLANK('By Round'!K30),"",'By Round'!K30)</f>
        <v/>
      </c>
      <c r="L40">
        <f>IF(ISBLANK('By Round'!L30),"",'By Round'!L30)</f>
        <v/>
      </c>
      <c r="M40" s="11">
        <f>AVERAGE(AA40:AC40)</f>
        <v/>
      </c>
      <c r="N40" s="12">
        <f>AVERAGE(AD40:AF40)</f>
        <v/>
      </c>
      <c r="O40" s="13">
        <f>IF(COUNT(U40:W40)&gt;0,Q40/COUNT(U40:W40),0.5)</f>
        <v/>
      </c>
      <c r="P40" s="13">
        <f>IF(COUNT(X40:Z40)&gt;0,R40/COUNT(X40:Z40),0.5)</f>
        <v/>
      </c>
      <c r="Q40" s="5">
        <f>SUM(U40:W40)</f>
        <v/>
      </c>
      <c r="R40" s="5">
        <f>SUM(X40:Z40)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IF(ISNUMBER(S40),IF(ISNUMBER(S39),IF(S40&gt;S39,1.0,IF(S40=S39,0.5,0.0)),""),"")</f>
        <v/>
      </c>
      <c r="V40">
        <f>IF(ISNUMBER(S40),IF(ISNUMBER(S41),IF(S40&gt;S41,1.0,IF(S40=S41,0.5,0.0)),""),"")</f>
        <v/>
      </c>
      <c r="W40">
        <f>IF(ISNUMBER(S40),IF(ISNUMBER(S42),IF(S40&gt;S42,1.0,IF(S40=S42,0.5,0.0)),""),"")</f>
        <v/>
      </c>
      <c r="X40">
        <f>IF(ISNUMBER(T40),IF(ISNUMBER(T39),IF(T40&gt;T39,1.0,IF(T40=T39,0.5,0.0)),""),"")</f>
        <v/>
      </c>
      <c r="Y40">
        <f>IF(ISNUMBER(T40),IF(ISNUMBER(T41),IF(T40&gt;T41,1.0,IF(T40=T41,0.5,0.0)),""),"")</f>
        <v/>
      </c>
      <c r="Z40">
        <f>IF(ISNUMBER(T40),IF(ISNUMBER(T42),IF(T40&gt;T42,1.0,IF(T40=T42,0.5,0.0)),""),"")</f>
        <v/>
      </c>
      <c r="AA40" s="14">
        <f>IF(AND(ISNUMBER(S40),ISNUMBER(S39)),VLOOKUP(ABS(S40-S39),'IMP Table'!$A$2:$C$26,3)*SIGN(S40-S39),0)</f>
        <v/>
      </c>
      <c r="AB40">
        <f>IF(AND(ISNUMBER(S40),ISNUMBER(S41)),VLOOKUP(ABS(S40-S41),'IMP Table'!$A$2:$C$26,3)*SIGN(S40-S41),0)</f>
        <v/>
      </c>
      <c r="AC40">
        <f>IF(AND(ISNUMBER(S40),ISNUMBER(S42)),VLOOKUP(ABS(S40-S42),'IMP Table'!$A$2:$C$26,3)*SIGN(S40-S42),0)</f>
        <v/>
      </c>
      <c r="AD40">
        <f>IF(AND(ISNUMBER(T40),ISNUMBER(T39)),VLOOKUP(ABS(T40-T39),'IMP Table'!$A$2:$C$26,3)*SIGN(T40-T39),0)</f>
        <v/>
      </c>
      <c r="AE40">
        <f>IF(AND(ISNUMBER(T40),ISNUMBER(T41)),VLOOKUP(ABS(T40-T41),'IMP Table'!$A$2:$C$26,3)*SIGN(T40-T41),0)</f>
        <v/>
      </c>
      <c r="AF40">
        <f>IF(AND(ISNUMBER(T40),ISNUMBER(T42)),VLOOKUP(ABS(T40-T42),'IMP Table'!$A$2:$C$26,3)*SIGN(T40-T42),0)</f>
        <v/>
      </c>
    </row>
    <row r="41">
      <c r="B41" s="10">
        <f>'By Round'!A19</f>
        <v/>
      </c>
      <c r="C41" s="10">
        <f>'By Round'!B23</f>
        <v/>
      </c>
      <c r="D41" s="10">
        <f>'By Round'!C23</f>
        <v/>
      </c>
      <c r="E41" s="10">
        <f>'By Round'!D23</f>
        <v/>
      </c>
      <c r="F41" s="10">
        <f>IF(ISBLANK('By Round'!F24),"",'By Round'!F24)</f>
        <v/>
      </c>
      <c r="G41">
        <f>IF(ISBLANK('By Round'!G24),"",'By Round'!G24)</f>
        <v/>
      </c>
      <c r="H41">
        <f>IF(ISBLANK('By Round'!H24),"",'By Round'!H24)</f>
        <v/>
      </c>
      <c r="I41">
        <f>IF(ISBLANK('By Round'!I24),"",'By Round'!I24)</f>
        <v/>
      </c>
      <c r="J41">
        <f>IF(ISBLANK('By Round'!J24),"",'By Round'!J24)</f>
        <v/>
      </c>
      <c r="K41">
        <f>IF(ISBLANK('By Round'!K24),"",'By Round'!K24)</f>
        <v/>
      </c>
      <c r="L41">
        <f>IF(ISBLANK('By Round'!L24),"",'By Round'!L24)</f>
        <v/>
      </c>
      <c r="M41" s="11">
        <f>AVERAGE(AA41:AC41)</f>
        <v/>
      </c>
      <c r="N41" s="12">
        <f>AVERAGE(AD41:AF41)</f>
        <v/>
      </c>
      <c r="O41" s="13">
        <f>IF(COUNT(U41:W41)&gt;0,Q41/COUNT(U41:W41),0.5)</f>
        <v/>
      </c>
      <c r="P41" s="13">
        <f>IF(COUNT(X41:Z41)&gt;0,R41/COUNT(X41:Z41),0.5)</f>
        <v/>
      </c>
      <c r="Q41" s="5">
        <f>SUM(U41:W41)</f>
        <v/>
      </c>
      <c r="R41" s="5">
        <f>SUM(X41:Z41)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IF(ISNUMBER(S41),IF(ISNUMBER(S39),IF(S41&gt;S39,1.0,IF(S41=S39,0.5,0.0)),""),"")</f>
        <v/>
      </c>
      <c r="V41">
        <f>IF(ISNUMBER(S41),IF(ISNUMBER(S40),IF(S41&gt;S40,1.0,IF(S41=S40,0.5,0.0)),""),"")</f>
        <v/>
      </c>
      <c r="W41">
        <f>IF(ISNUMBER(S41),IF(ISNUMBER(S42),IF(S41&gt;S42,1.0,IF(S41=S42,0.5,0.0)),""),"")</f>
        <v/>
      </c>
      <c r="X41">
        <f>IF(ISNUMBER(T41),IF(ISNUMBER(T39),IF(T41&gt;T39,1.0,IF(T41=T39,0.5,0.0)),""),"")</f>
        <v/>
      </c>
      <c r="Y41">
        <f>IF(ISNUMBER(T41),IF(ISNUMBER(T40),IF(T41&gt;T40,1.0,IF(T41=T40,0.5,0.0)),""),"")</f>
        <v/>
      </c>
      <c r="Z41">
        <f>IF(ISNUMBER(T41),IF(ISNUMBER(T42),IF(T41&gt;T42,1.0,IF(T41=T42,0.5,0.0)),""),"")</f>
        <v/>
      </c>
      <c r="AA41" s="14">
        <f>IF(AND(ISNUMBER(S41),ISNUMBER(S39)),VLOOKUP(ABS(S41-S39),'IMP Table'!$A$2:$C$26,3)*SIGN(S41-S39),0)</f>
        <v/>
      </c>
      <c r="AB41">
        <f>IF(AND(ISNUMBER(S41),ISNUMBER(S40)),VLOOKUP(ABS(S41-S40),'IMP Table'!$A$2:$C$26,3)*SIGN(S41-S40),0)</f>
        <v/>
      </c>
      <c r="AC41">
        <f>IF(AND(ISNUMBER(S41),ISNUMBER(S42)),VLOOKUP(ABS(S41-S42),'IMP Table'!$A$2:$C$26,3)*SIGN(S41-S42),0)</f>
        <v/>
      </c>
      <c r="AD41">
        <f>IF(AND(ISNUMBER(T41),ISNUMBER(T39)),VLOOKUP(ABS(T41-T39),'IMP Table'!$A$2:$C$26,3)*SIGN(T41-T39),0)</f>
        <v/>
      </c>
      <c r="AE41">
        <f>IF(AND(ISNUMBER(T41),ISNUMBER(T40)),VLOOKUP(ABS(T41-T40),'IMP Table'!$A$2:$C$26,3)*SIGN(T41-T40),0)</f>
        <v/>
      </c>
      <c r="AF41">
        <f>IF(AND(ISNUMBER(T41),ISNUMBER(T42)),VLOOKUP(ABS(T41-T42),'IMP Table'!$A$2:$C$26,3)*SIGN(T41-T42),0)</f>
        <v/>
      </c>
    </row>
    <row r="42">
      <c r="A42" s="15" t="n"/>
      <c r="B42" s="16">
        <f>'By Round'!A3</f>
        <v/>
      </c>
      <c r="C42" s="16">
        <f>'By Round'!B9</f>
        <v/>
      </c>
      <c r="D42" s="16">
        <f>'By Round'!C9</f>
        <v/>
      </c>
      <c r="E42" s="16">
        <f>'By Round'!D9</f>
        <v/>
      </c>
      <c r="F42" s="16">
        <f>IF(ISBLANK('By Round'!F10),"",'By Round'!F10)</f>
        <v/>
      </c>
      <c r="G42" s="15">
        <f>IF(ISBLANK('By Round'!G10),"",'By Round'!G10)</f>
        <v/>
      </c>
      <c r="H42" s="15">
        <f>IF(ISBLANK('By Round'!H10),"",'By Round'!H10)</f>
        <v/>
      </c>
      <c r="I42" s="15">
        <f>IF(ISBLANK('By Round'!I10),"",'By Round'!I10)</f>
        <v/>
      </c>
      <c r="J42" s="15">
        <f>IF(ISBLANK('By Round'!J10),"",'By Round'!J10)</f>
        <v/>
      </c>
      <c r="K42" s="15">
        <f>IF(ISBLANK('By Round'!K10),"",'By Round'!K10)</f>
        <v/>
      </c>
      <c r="L42" s="15">
        <f>IF(ISBLANK('By Round'!L10),"",'By Round'!L10)</f>
        <v/>
      </c>
      <c r="M42" s="17">
        <f>AVERAGE(AA42:AC42)</f>
        <v/>
      </c>
      <c r="N42" s="18">
        <f>AVERAGE(AD42:AF42)</f>
        <v/>
      </c>
      <c r="O42" s="19">
        <f>IF(COUNT(U42:W42)&gt;0,Q42/COUNT(U42:W42),0.5)</f>
        <v/>
      </c>
      <c r="P42" s="19">
        <f>IF(COUNT(X42:Z42)&gt;0,R42/COUNT(X42:Z42),0.5)</f>
        <v/>
      </c>
      <c r="Q42" s="20">
        <f>SUM(U42:W42)</f>
        <v/>
      </c>
      <c r="R42" s="20">
        <f>SUM(X42:Z42)</f>
        <v/>
      </c>
      <c r="S42" s="21">
        <f>IF(ISNUMBER(K42),K42,IF(ISNUMBER(L42),-L42,""))</f>
        <v/>
      </c>
      <c r="T42" s="15">
        <f>IF(ISNUMBER(L42),L42,IF(ISNUMBER(K42),-K42,""))</f>
        <v/>
      </c>
      <c r="U42" s="21">
        <f>IF(ISNUMBER(S42),IF(ISNUMBER(S39),IF(S42&gt;S39,1.0,IF(S42=S39,0.5,0.0)),""),"")</f>
        <v/>
      </c>
      <c r="V42" s="15">
        <f>IF(ISNUMBER(S42),IF(ISNUMBER(S40),IF(S42&gt;S40,1.0,IF(S42=S40,0.5,0.0)),""),"")</f>
        <v/>
      </c>
      <c r="W42" s="15">
        <f>IF(ISNUMBER(S42),IF(ISNUMBER(S41),IF(S42&gt;S41,1.0,IF(S42=S41,0.5,0.0)),""),"")</f>
        <v/>
      </c>
      <c r="X42" s="15">
        <f>IF(ISNUMBER(T42),IF(ISNUMBER(T39),IF(T42&gt;T39,1.0,IF(T42=T39,0.5,0.0)),""),"")</f>
        <v/>
      </c>
      <c r="Y42" s="15">
        <f>IF(ISNUMBER(T42),IF(ISNUMBER(T40),IF(T42&gt;T40,1.0,IF(T42=T40,0.5,0.0)),""),"")</f>
        <v/>
      </c>
      <c r="Z42" s="15">
        <f>IF(ISNUMBER(T42),IF(ISNUMBER(T41),IF(T42&gt;T41,1.0,IF(T42=T41,0.5,0.0)),""),"")</f>
        <v/>
      </c>
      <c r="AA42" s="21">
        <f>IF(AND(ISNUMBER(S42),ISNUMBER(S39)),VLOOKUP(ABS(S42-S39),'IMP Table'!$A$2:$C$26,3)*SIGN(S42-S39),0)</f>
        <v/>
      </c>
      <c r="AB42" s="15">
        <f>IF(AND(ISNUMBER(S42),ISNUMBER(S40)),VLOOKUP(ABS(S42-S40),'IMP Table'!$A$2:$C$26,3)*SIGN(S42-S40),0)</f>
        <v/>
      </c>
      <c r="AC42" s="15">
        <f>IF(AND(ISNUMBER(S42),ISNUMBER(S41)),VLOOKUP(ABS(S42-S41),'IMP Table'!$A$2:$C$26,3)*SIGN(S42-S41),0)</f>
        <v/>
      </c>
      <c r="AD42" s="15">
        <f>IF(AND(ISNUMBER(T42),ISNUMBER(T39)),VLOOKUP(ABS(T42-T39),'IMP Table'!$A$2:$C$26,3)*SIGN(T42-T39),0)</f>
        <v/>
      </c>
      <c r="AE42" s="15">
        <f>IF(AND(ISNUMBER(T42),ISNUMBER(T40)),VLOOKUP(ABS(T42-T40),'IMP Table'!$A$2:$C$26,3)*SIGN(T42-T40),0)</f>
        <v/>
      </c>
      <c r="AF42" s="15">
        <f>IF(AND(ISNUMBER(T42),ISNUMBER(T41)),VLOOKUP(ABS(T42-T41),'IMP Table'!$A$2:$C$26,3)*SIGN(T42-T41),0)</f>
        <v/>
      </c>
    </row>
    <row r="43">
      <c r="A43" s="10" t="n">
        <v>11</v>
      </c>
      <c r="B43" s="10">
        <f>'By Round'!A43</f>
        <v/>
      </c>
      <c r="C43" s="10">
        <f>'By Round'!B43</f>
        <v/>
      </c>
      <c r="D43" s="10">
        <f>'By Round'!C43</f>
        <v/>
      </c>
      <c r="E43" s="10">
        <f>'By Round'!D43</f>
        <v/>
      </c>
      <c r="F43" s="10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>
        <f>IF(ISBLANK('By Round'!L43),"",'By Round'!L43)</f>
        <v/>
      </c>
      <c r="M43" s="11">
        <f>AVERAGE(AA43:AC43)</f>
        <v/>
      </c>
      <c r="N43" s="12">
        <f>AVERAGE(AD43:AF43)</f>
        <v/>
      </c>
      <c r="O43" s="13">
        <f>IF(COUNT(U43:W43)&gt;0,Q43/COUNT(U43:W43),0.5)</f>
        <v/>
      </c>
      <c r="P43" s="13">
        <f>IF(COUNT(X43:Z43)&gt;0,R43/COUNT(X43:Z43),0.5)</f>
        <v/>
      </c>
      <c r="Q43" s="5">
        <f>SUM(U43:W43)</f>
        <v/>
      </c>
      <c r="R43" s="5">
        <f>SUM(X43:Z43)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IF(ISNUMBER(S43),IF(ISNUMBER(S44),IF(S43&gt;S44,1.0,IF(S43=S44,0.5,0.0)),""),"")</f>
        <v/>
      </c>
      <c r="V43">
        <f>IF(ISNUMBER(S43),IF(ISNUMBER(S45),IF(S43&gt;S45,1.0,IF(S43=S45,0.5,0.0)),""),"")</f>
        <v/>
      </c>
      <c r="W43">
        <f>IF(ISNUMBER(S43),IF(ISNUMBER(S46),IF(S43&gt;S46,1.0,IF(S43=S46,0.5,0.0)),""),"")</f>
        <v/>
      </c>
      <c r="X43">
        <f>IF(ISNUMBER(T43),IF(ISNUMBER(T44),IF(T43&gt;T44,1.0,IF(T43=T44,0.5,0.0)),""),"")</f>
        <v/>
      </c>
      <c r="Y43">
        <f>IF(ISNUMBER(T43),IF(ISNUMBER(T45),IF(T43&gt;T45,1.0,IF(T43=T45,0.5,0.0)),""),"")</f>
        <v/>
      </c>
      <c r="Z43">
        <f>IF(ISNUMBER(T43),IF(ISNUMBER(T46),IF(T43&gt;T46,1.0,IF(T43=T46,0.5,0.0)),""),"")</f>
        <v/>
      </c>
      <c r="AA43" s="14">
        <f>IF(AND(ISNUMBER(S43),ISNUMBER(S44)),VLOOKUP(ABS(S43-S44),'IMP Table'!$A$2:$C$26,3)*SIGN(S43-S44),0)</f>
        <v/>
      </c>
      <c r="AB43">
        <f>IF(AND(ISNUMBER(S43),ISNUMBER(S45)),VLOOKUP(ABS(S43-S45),'IMP Table'!$A$2:$C$26,3)*SIGN(S43-S45),0)</f>
        <v/>
      </c>
      <c r="AC43">
        <f>IF(AND(ISNUMBER(S43),ISNUMBER(S46)),VLOOKUP(ABS(S43-S46),'IMP Table'!$A$2:$C$26,3)*SIGN(S43-S46),0)</f>
        <v/>
      </c>
      <c r="AD43">
        <f>IF(AND(ISNUMBER(T43),ISNUMBER(T44)),VLOOKUP(ABS(T43-T44),'IMP Table'!$A$2:$C$26,3)*SIGN(T43-T44),0)</f>
        <v/>
      </c>
      <c r="AE43">
        <f>IF(AND(ISNUMBER(T43),ISNUMBER(T45)),VLOOKUP(ABS(T43-T45),'IMP Table'!$A$2:$C$26,3)*SIGN(T43-T45),0)</f>
        <v/>
      </c>
      <c r="AF43">
        <f>IF(AND(ISNUMBER(T43),ISNUMBER(T46)),VLOOKUP(ABS(T43-T46),'IMP Table'!$A$2:$C$26,3)*SIGN(T43-T46),0)</f>
        <v/>
      </c>
    </row>
    <row r="44">
      <c r="B44" s="10">
        <f>'By Round'!A11</f>
        <v/>
      </c>
      <c r="C44" s="10">
        <f>'By Round'!B17</f>
        <v/>
      </c>
      <c r="D44" s="10">
        <f>'By Round'!C17</f>
        <v/>
      </c>
      <c r="E44" s="10">
        <f>'By Round'!D17</f>
        <v/>
      </c>
      <c r="F44" s="10">
        <f>IF(ISBLANK('By Round'!F17),"",'By Round'!F17)</f>
        <v/>
      </c>
      <c r="G44">
        <f>IF(ISBLANK('By Round'!G17),"",'By Round'!G17)</f>
        <v/>
      </c>
      <c r="H44">
        <f>IF(ISBLANK('By Round'!H17),"",'By Round'!H17)</f>
        <v/>
      </c>
      <c r="I44">
        <f>IF(ISBLANK('By Round'!I17),"",'By Round'!I17)</f>
        <v/>
      </c>
      <c r="J44">
        <f>IF(ISBLANK('By Round'!J17),"",'By Round'!J17)</f>
        <v/>
      </c>
      <c r="K44">
        <f>IF(ISBLANK('By Round'!K17),"",'By Round'!K17)</f>
        <v/>
      </c>
      <c r="L44">
        <f>IF(ISBLANK('By Round'!L17),"",'By Round'!L17)</f>
        <v/>
      </c>
      <c r="M44" s="11">
        <f>AVERAGE(AA44:AC44)</f>
        <v/>
      </c>
      <c r="N44" s="12">
        <f>AVERAGE(AD44:AF44)</f>
        <v/>
      </c>
      <c r="O44" s="13">
        <f>IF(COUNT(U44:W44)&gt;0,Q44/COUNT(U44:W44),0.5)</f>
        <v/>
      </c>
      <c r="P44" s="13">
        <f>IF(COUNT(X44:Z44)&gt;0,R44/COUNT(X44:Z44),0.5)</f>
        <v/>
      </c>
      <c r="Q44" s="5">
        <f>SUM(U44:W44)</f>
        <v/>
      </c>
      <c r="R44" s="5">
        <f>SUM(X44:Z44)</f>
        <v/>
      </c>
      <c r="S44" s="14">
        <f>IF(ISNUMBER(K44),K44,IF(ISNUMBER(L44),-L44,""))</f>
        <v/>
      </c>
      <c r="T44">
        <f>IF(ISNUMBER(L44),L44,IF(ISNUMBER(K44),-K44,""))</f>
        <v/>
      </c>
      <c r="U44" s="14">
        <f>IF(ISNUMBER(S44),IF(ISNUMBER(S43),IF(S44&gt;S43,1.0,IF(S44=S43,0.5,0.0)),""),"")</f>
        <v/>
      </c>
      <c r="V44">
        <f>IF(ISNUMBER(S44),IF(ISNUMBER(S45),IF(S44&gt;S45,1.0,IF(S44=S45,0.5,0.0)),""),"")</f>
        <v/>
      </c>
      <c r="W44">
        <f>IF(ISNUMBER(S44),IF(ISNUMBER(S46),IF(S44&gt;S46,1.0,IF(S44=S46,0.5,0.0)),""),"")</f>
        <v/>
      </c>
      <c r="X44">
        <f>IF(ISNUMBER(T44),IF(ISNUMBER(T43),IF(T44&gt;T43,1.0,IF(T44=T43,0.5,0.0)),""),"")</f>
        <v/>
      </c>
      <c r="Y44">
        <f>IF(ISNUMBER(T44),IF(ISNUMBER(T45),IF(T44&gt;T45,1.0,IF(T44=T45,0.5,0.0)),""),"")</f>
        <v/>
      </c>
      <c r="Z44">
        <f>IF(ISNUMBER(T44),IF(ISNUMBER(T46),IF(T44&gt;T46,1.0,IF(T44=T46,0.5,0.0)),""),"")</f>
        <v/>
      </c>
      <c r="AA44" s="14">
        <f>IF(AND(ISNUMBER(S44),ISNUMBER(S43)),VLOOKUP(ABS(S44-S43),'IMP Table'!$A$2:$C$26,3)*SIGN(S44-S43),0)</f>
        <v/>
      </c>
      <c r="AB44">
        <f>IF(AND(ISNUMBER(S44),ISNUMBER(S45)),VLOOKUP(ABS(S44-S45),'IMP Table'!$A$2:$C$26,3)*SIGN(S44-S45),0)</f>
        <v/>
      </c>
      <c r="AC44">
        <f>IF(AND(ISNUMBER(S44),ISNUMBER(S46)),VLOOKUP(ABS(S44-S46),'IMP Table'!$A$2:$C$26,3)*SIGN(S44-S46),0)</f>
        <v/>
      </c>
      <c r="AD44">
        <f>IF(AND(ISNUMBER(T44),ISNUMBER(T43)),VLOOKUP(ABS(T44-T43),'IMP Table'!$A$2:$C$26,3)*SIGN(T44-T43),0)</f>
        <v/>
      </c>
      <c r="AE44">
        <f>IF(AND(ISNUMBER(T44),ISNUMBER(T45)),VLOOKUP(ABS(T44-T45),'IMP Table'!$A$2:$C$26,3)*SIGN(T44-T45),0)</f>
        <v/>
      </c>
      <c r="AF44">
        <f>IF(AND(ISNUMBER(T44),ISNUMBER(T46)),VLOOKUP(ABS(T44-T46),'IMP Table'!$A$2:$C$26,3)*SIGN(T44-T46),0)</f>
        <v/>
      </c>
    </row>
    <row r="45">
      <c r="B45" s="10">
        <f>'By Round'!A35</f>
        <v/>
      </c>
      <c r="C45" s="10">
        <f>'By Round'!B37</f>
        <v/>
      </c>
      <c r="D45" s="10">
        <f>'By Round'!C37</f>
        <v/>
      </c>
      <c r="E45" s="10">
        <f>'By Round'!D37</f>
        <v/>
      </c>
      <c r="F45" s="10">
        <f>IF(ISBLANK('By Round'!F37),"",'By Round'!F37)</f>
        <v/>
      </c>
      <c r="G45">
        <f>IF(ISBLANK('By Round'!G37),"",'By Round'!G37)</f>
        <v/>
      </c>
      <c r="H45">
        <f>IF(ISBLANK('By Round'!H37),"",'By Round'!H37)</f>
        <v/>
      </c>
      <c r="I45">
        <f>IF(ISBLANK('By Round'!I37),"",'By Round'!I37)</f>
        <v/>
      </c>
      <c r="J45">
        <f>IF(ISBLANK('By Round'!J37),"",'By Round'!J37)</f>
        <v/>
      </c>
      <c r="K45">
        <f>IF(ISBLANK('By Round'!K37),"",'By Round'!K37)</f>
        <v/>
      </c>
      <c r="L45">
        <f>IF(ISBLANK('By Round'!L37),"",'By Round'!L37)</f>
        <v/>
      </c>
      <c r="M45" s="11">
        <f>AVERAGE(AA45:AC45)</f>
        <v/>
      </c>
      <c r="N45" s="12">
        <f>AVERAGE(AD45:AF45)</f>
        <v/>
      </c>
      <c r="O45" s="13">
        <f>IF(COUNT(U45:W45)&gt;0,Q45/COUNT(U45:W45),0.5)</f>
        <v/>
      </c>
      <c r="P45" s="13">
        <f>IF(COUNT(X45:Z45)&gt;0,R45/COUNT(X45:Z45),0.5)</f>
        <v/>
      </c>
      <c r="Q45" s="5">
        <f>SUM(U45:W45)</f>
        <v/>
      </c>
      <c r="R45" s="5">
        <f>SUM(X45:Z45)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IF(ISNUMBER(S45),IF(ISNUMBER(S43),IF(S45&gt;S43,1.0,IF(S45=S43,0.5,0.0)),""),"")</f>
        <v/>
      </c>
      <c r="V45">
        <f>IF(ISNUMBER(S45),IF(ISNUMBER(S44),IF(S45&gt;S44,1.0,IF(S45=S44,0.5,0.0)),""),"")</f>
        <v/>
      </c>
      <c r="W45">
        <f>IF(ISNUMBER(S45),IF(ISNUMBER(S46),IF(S45&gt;S46,1.0,IF(S45=S46,0.5,0.0)),""),"")</f>
        <v/>
      </c>
      <c r="X45">
        <f>IF(ISNUMBER(T45),IF(ISNUMBER(T43),IF(T45&gt;T43,1.0,IF(T45=T43,0.5,0.0)),""),"")</f>
        <v/>
      </c>
      <c r="Y45">
        <f>IF(ISNUMBER(T45),IF(ISNUMBER(T44),IF(T45&gt;T44,1.0,IF(T45=T44,0.5,0.0)),""),"")</f>
        <v/>
      </c>
      <c r="Z45">
        <f>IF(ISNUMBER(T45),IF(ISNUMBER(T46),IF(T45&gt;T46,1.0,IF(T45=T46,0.5,0.0)),""),"")</f>
        <v/>
      </c>
      <c r="AA45" s="14">
        <f>IF(AND(ISNUMBER(S45),ISNUMBER(S43)),VLOOKUP(ABS(S45-S43),'IMP Table'!$A$2:$C$26,3)*SIGN(S45-S43),0)</f>
        <v/>
      </c>
      <c r="AB45">
        <f>IF(AND(ISNUMBER(S45),ISNUMBER(S44)),VLOOKUP(ABS(S45-S44),'IMP Table'!$A$2:$C$26,3)*SIGN(S45-S44),0)</f>
        <v/>
      </c>
      <c r="AC45">
        <f>IF(AND(ISNUMBER(S45),ISNUMBER(S46)),VLOOKUP(ABS(S45-S46),'IMP Table'!$A$2:$C$26,3)*SIGN(S45-S46),0)</f>
        <v/>
      </c>
      <c r="AD45">
        <f>IF(AND(ISNUMBER(T45),ISNUMBER(T43)),VLOOKUP(ABS(T45-T43),'IMP Table'!$A$2:$C$26,3)*SIGN(T45-T43),0)</f>
        <v/>
      </c>
      <c r="AE45">
        <f>IF(AND(ISNUMBER(T45),ISNUMBER(T44)),VLOOKUP(ABS(T45-T44),'IMP Table'!$A$2:$C$26,3)*SIGN(T45-T44),0)</f>
        <v/>
      </c>
      <c r="AF45">
        <f>IF(AND(ISNUMBER(T45),ISNUMBER(T46)),VLOOKUP(ABS(T45-T46),'IMP Table'!$A$2:$C$26,3)*SIGN(T45-T46),0)</f>
        <v/>
      </c>
    </row>
    <row r="46">
      <c r="A46" s="15" t="n"/>
      <c r="B46" s="16">
        <f>'By Round'!A27</f>
        <v/>
      </c>
      <c r="C46" s="16">
        <f>'By Round'!B31</f>
        <v/>
      </c>
      <c r="D46" s="16">
        <f>'By Round'!C31</f>
        <v/>
      </c>
      <c r="E46" s="16">
        <f>'By Round'!D31</f>
        <v/>
      </c>
      <c r="F46" s="16">
        <f>IF(ISBLANK('By Round'!F31),"",'By Round'!F31)</f>
        <v/>
      </c>
      <c r="G46" s="15">
        <f>IF(ISBLANK('By Round'!G31),"",'By Round'!G31)</f>
        <v/>
      </c>
      <c r="H46" s="15">
        <f>IF(ISBLANK('By Round'!H31),"",'By Round'!H31)</f>
        <v/>
      </c>
      <c r="I46" s="15">
        <f>IF(ISBLANK('By Round'!I31),"",'By Round'!I31)</f>
        <v/>
      </c>
      <c r="J46" s="15">
        <f>IF(ISBLANK('By Round'!J31),"",'By Round'!J31)</f>
        <v/>
      </c>
      <c r="K46" s="15">
        <f>IF(ISBLANK('By Round'!K31),"",'By Round'!K31)</f>
        <v/>
      </c>
      <c r="L46" s="15">
        <f>IF(ISBLANK('By Round'!L31),"",'By Round'!L31)</f>
        <v/>
      </c>
      <c r="M46" s="17">
        <f>AVERAGE(AA46:AC46)</f>
        <v/>
      </c>
      <c r="N46" s="18">
        <f>AVERAGE(AD46:AF46)</f>
        <v/>
      </c>
      <c r="O46" s="19">
        <f>IF(COUNT(U46:W46)&gt;0,Q46/COUNT(U46:W46),0.5)</f>
        <v/>
      </c>
      <c r="P46" s="19">
        <f>IF(COUNT(X46:Z46)&gt;0,R46/COUNT(X46:Z46),0.5)</f>
        <v/>
      </c>
      <c r="Q46" s="20">
        <f>SUM(U46:W46)</f>
        <v/>
      </c>
      <c r="R46" s="20">
        <f>SUM(X46:Z46)</f>
        <v/>
      </c>
      <c r="S46" s="21">
        <f>IF(ISNUMBER(K46),K46,IF(ISNUMBER(L46),-L46,""))</f>
        <v/>
      </c>
      <c r="T46" s="15">
        <f>IF(ISNUMBER(L46),L46,IF(ISNUMBER(K46),-K46,""))</f>
        <v/>
      </c>
      <c r="U46" s="21">
        <f>IF(ISNUMBER(S46),IF(ISNUMBER(S43),IF(S46&gt;S43,1.0,IF(S46=S43,0.5,0.0)),""),"")</f>
        <v/>
      </c>
      <c r="V46" s="15">
        <f>IF(ISNUMBER(S46),IF(ISNUMBER(S44),IF(S46&gt;S44,1.0,IF(S46=S44,0.5,0.0)),""),"")</f>
        <v/>
      </c>
      <c r="W46" s="15">
        <f>IF(ISNUMBER(S46),IF(ISNUMBER(S45),IF(S46&gt;S45,1.0,IF(S46=S45,0.5,0.0)),""),"")</f>
        <v/>
      </c>
      <c r="X46" s="15">
        <f>IF(ISNUMBER(T46),IF(ISNUMBER(T43),IF(T46&gt;T43,1.0,IF(T46=T43,0.5,0.0)),""),"")</f>
        <v/>
      </c>
      <c r="Y46" s="15">
        <f>IF(ISNUMBER(T46),IF(ISNUMBER(T44),IF(T46&gt;T44,1.0,IF(T46=T44,0.5,0.0)),""),"")</f>
        <v/>
      </c>
      <c r="Z46" s="15">
        <f>IF(ISNUMBER(T46),IF(ISNUMBER(T45),IF(T46&gt;T45,1.0,IF(T46=T45,0.5,0.0)),""),"")</f>
        <v/>
      </c>
      <c r="AA46" s="21">
        <f>IF(AND(ISNUMBER(S46),ISNUMBER(S43)),VLOOKUP(ABS(S46-S43),'IMP Table'!$A$2:$C$26,3)*SIGN(S46-S43),0)</f>
        <v/>
      </c>
      <c r="AB46" s="15">
        <f>IF(AND(ISNUMBER(S46),ISNUMBER(S44)),VLOOKUP(ABS(S46-S44),'IMP Table'!$A$2:$C$26,3)*SIGN(S46-S44),0)</f>
        <v/>
      </c>
      <c r="AC46" s="15">
        <f>IF(AND(ISNUMBER(S46),ISNUMBER(S45)),VLOOKUP(ABS(S46-S45),'IMP Table'!$A$2:$C$26,3)*SIGN(S46-S45),0)</f>
        <v/>
      </c>
      <c r="AD46" s="15">
        <f>IF(AND(ISNUMBER(T46),ISNUMBER(T43)),VLOOKUP(ABS(T46-T43),'IMP Table'!$A$2:$C$26,3)*SIGN(T46-T43),0)</f>
        <v/>
      </c>
      <c r="AE46" s="15">
        <f>IF(AND(ISNUMBER(T46),ISNUMBER(T44)),VLOOKUP(ABS(T46-T44),'IMP Table'!$A$2:$C$26,3)*SIGN(T46-T44),0)</f>
        <v/>
      </c>
      <c r="AF46" s="15">
        <f>IF(AND(ISNUMBER(T46),ISNUMBER(T45)),VLOOKUP(ABS(T46-T45),'IMP Table'!$A$2:$C$26,3)*SIGN(T46-T45),0)</f>
        <v/>
      </c>
    </row>
    <row r="47">
      <c r="A47" s="10" t="n">
        <v>12</v>
      </c>
      <c r="B47" s="10">
        <f>'By Round'!A43</f>
        <v/>
      </c>
      <c r="C47" s="10">
        <f>'By Round'!B43</f>
        <v/>
      </c>
      <c r="D47" s="10">
        <f>'By Round'!C43</f>
        <v/>
      </c>
      <c r="E47" s="10">
        <f>'By Round'!D43</f>
        <v/>
      </c>
      <c r="F47" s="10">
        <f>IF(ISBLANK('By Round'!F44),"",'By Round'!F44)</f>
        <v/>
      </c>
      <c r="G47">
        <f>IF(ISBLANK('By Round'!G44),"",'By Round'!G44)</f>
        <v/>
      </c>
      <c r="H47">
        <f>IF(ISBLANK('By Round'!H44),"",'By Round'!H44)</f>
        <v/>
      </c>
      <c r="I47">
        <f>IF(ISBLANK('By Round'!I44),"",'By Round'!I44)</f>
        <v/>
      </c>
      <c r="J47">
        <f>IF(ISBLANK('By Round'!J44),"",'By Round'!J44)</f>
        <v/>
      </c>
      <c r="K47">
        <f>IF(ISBLANK('By Round'!K44),"",'By Round'!K44)</f>
        <v/>
      </c>
      <c r="L47">
        <f>IF(ISBLANK('By Round'!L44),"",'By Round'!L44)</f>
        <v/>
      </c>
      <c r="M47" s="11">
        <f>AVERAGE(AA47:AC47)</f>
        <v/>
      </c>
      <c r="N47" s="12">
        <f>AVERAGE(AD47:AF47)</f>
        <v/>
      </c>
      <c r="O47" s="13">
        <f>IF(COUNT(U47:W47)&gt;0,Q47/COUNT(U47:W47),0.5)</f>
        <v/>
      </c>
      <c r="P47" s="13">
        <f>IF(COUNT(X47:Z47)&gt;0,R47/COUNT(X47:Z47),0.5)</f>
        <v/>
      </c>
      <c r="Q47" s="5">
        <f>SUM(U47:W47)</f>
        <v/>
      </c>
      <c r="R47" s="5">
        <f>SUM(X47:Z47)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IF(ISNUMBER(S47),IF(ISNUMBER(S48),IF(S47&gt;S48,1.0,IF(S47=S48,0.5,0.0)),""),"")</f>
        <v/>
      </c>
      <c r="V47">
        <f>IF(ISNUMBER(S47),IF(ISNUMBER(S49),IF(S47&gt;S49,1.0,IF(S47=S49,0.5,0.0)),""),"")</f>
        <v/>
      </c>
      <c r="W47">
        <f>IF(ISNUMBER(S47),IF(ISNUMBER(S50),IF(S47&gt;S50,1.0,IF(S47=S50,0.5,0.0)),""),"")</f>
        <v/>
      </c>
      <c r="X47">
        <f>IF(ISNUMBER(T47),IF(ISNUMBER(T48),IF(T47&gt;T48,1.0,IF(T47=T48,0.5,0.0)),""),"")</f>
        <v/>
      </c>
      <c r="Y47">
        <f>IF(ISNUMBER(T47),IF(ISNUMBER(T49),IF(T47&gt;T49,1.0,IF(T47=T49,0.5,0.0)),""),"")</f>
        <v/>
      </c>
      <c r="Z47">
        <f>IF(ISNUMBER(T47),IF(ISNUMBER(T50),IF(T47&gt;T50,1.0,IF(T47=T50,0.5,0.0)),""),"")</f>
        <v/>
      </c>
      <c r="AA47" s="14">
        <f>IF(AND(ISNUMBER(S47),ISNUMBER(S48)),VLOOKUP(ABS(S47-S48),'IMP Table'!$A$2:$C$26,3)*SIGN(S47-S48),0)</f>
        <v/>
      </c>
      <c r="AB47">
        <f>IF(AND(ISNUMBER(S47),ISNUMBER(S49)),VLOOKUP(ABS(S47-S49),'IMP Table'!$A$2:$C$26,3)*SIGN(S47-S49),0)</f>
        <v/>
      </c>
      <c r="AC47">
        <f>IF(AND(ISNUMBER(S47),ISNUMBER(S50)),VLOOKUP(ABS(S47-S50),'IMP Table'!$A$2:$C$26,3)*SIGN(S47-S50),0)</f>
        <v/>
      </c>
      <c r="AD47">
        <f>IF(AND(ISNUMBER(T47),ISNUMBER(T48)),VLOOKUP(ABS(T47-T48),'IMP Table'!$A$2:$C$26,3)*SIGN(T47-T48),0)</f>
        <v/>
      </c>
      <c r="AE47">
        <f>IF(AND(ISNUMBER(T47),ISNUMBER(T49)),VLOOKUP(ABS(T47-T49),'IMP Table'!$A$2:$C$26,3)*SIGN(T47-T49),0)</f>
        <v/>
      </c>
      <c r="AF47">
        <f>IF(AND(ISNUMBER(T47),ISNUMBER(T50)),VLOOKUP(ABS(T47-T50),'IMP Table'!$A$2:$C$26,3)*SIGN(T47-T50),0)</f>
        <v/>
      </c>
    </row>
    <row r="48">
      <c r="B48" s="10">
        <f>'By Round'!A11</f>
        <v/>
      </c>
      <c r="C48" s="10">
        <f>'By Round'!B17</f>
        <v/>
      </c>
      <c r="D48" s="10">
        <f>'By Round'!C17</f>
        <v/>
      </c>
      <c r="E48" s="10">
        <f>'By Round'!D17</f>
        <v/>
      </c>
      <c r="F48" s="10">
        <f>IF(ISBLANK('By Round'!F18),"",'By Round'!F18)</f>
        <v/>
      </c>
      <c r="G48">
        <f>IF(ISBLANK('By Round'!G18),"",'By Round'!G18)</f>
        <v/>
      </c>
      <c r="H48">
        <f>IF(ISBLANK('By Round'!H18),"",'By Round'!H18)</f>
        <v/>
      </c>
      <c r="I48">
        <f>IF(ISBLANK('By Round'!I18),"",'By Round'!I18)</f>
        <v/>
      </c>
      <c r="J48">
        <f>IF(ISBLANK('By Round'!J18),"",'By Round'!J18)</f>
        <v/>
      </c>
      <c r="K48">
        <f>IF(ISBLANK('By Round'!K18),"",'By Round'!K18)</f>
        <v/>
      </c>
      <c r="L48">
        <f>IF(ISBLANK('By Round'!L18),"",'By Round'!L18)</f>
        <v/>
      </c>
      <c r="M48" s="11">
        <f>AVERAGE(AA48:AC48)</f>
        <v/>
      </c>
      <c r="N48" s="12">
        <f>AVERAGE(AD48:AF48)</f>
        <v/>
      </c>
      <c r="O48" s="13">
        <f>IF(COUNT(U48:W48)&gt;0,Q48/COUNT(U48:W48),0.5)</f>
        <v/>
      </c>
      <c r="P48" s="13">
        <f>IF(COUNT(X48:Z48)&gt;0,R48/COUNT(X48:Z48),0.5)</f>
        <v/>
      </c>
      <c r="Q48" s="5">
        <f>SUM(U48:W48)</f>
        <v/>
      </c>
      <c r="R48" s="5">
        <f>SUM(X48:Z48)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IF(ISNUMBER(S48),IF(ISNUMBER(S47),IF(S48&gt;S47,1.0,IF(S48=S47,0.5,0.0)),""),"")</f>
        <v/>
      </c>
      <c r="V48">
        <f>IF(ISNUMBER(S48),IF(ISNUMBER(S49),IF(S48&gt;S49,1.0,IF(S48=S49,0.5,0.0)),""),"")</f>
        <v/>
      </c>
      <c r="W48">
        <f>IF(ISNUMBER(S48),IF(ISNUMBER(S50),IF(S48&gt;S50,1.0,IF(S48=S50,0.5,0.0)),""),"")</f>
        <v/>
      </c>
      <c r="X48">
        <f>IF(ISNUMBER(T48),IF(ISNUMBER(T47),IF(T48&gt;T47,1.0,IF(T48=T47,0.5,0.0)),""),"")</f>
        <v/>
      </c>
      <c r="Y48">
        <f>IF(ISNUMBER(T48),IF(ISNUMBER(T49),IF(T48&gt;T49,1.0,IF(T48=T49,0.5,0.0)),""),"")</f>
        <v/>
      </c>
      <c r="Z48">
        <f>IF(ISNUMBER(T48),IF(ISNUMBER(T50),IF(T48&gt;T50,1.0,IF(T48=T50,0.5,0.0)),""),"")</f>
        <v/>
      </c>
      <c r="AA48" s="14">
        <f>IF(AND(ISNUMBER(S48),ISNUMBER(S47)),VLOOKUP(ABS(S48-S47),'IMP Table'!$A$2:$C$26,3)*SIGN(S48-S47),0)</f>
        <v/>
      </c>
      <c r="AB48">
        <f>IF(AND(ISNUMBER(S48),ISNUMBER(S49)),VLOOKUP(ABS(S48-S49),'IMP Table'!$A$2:$C$26,3)*SIGN(S48-S49),0)</f>
        <v/>
      </c>
      <c r="AC48">
        <f>IF(AND(ISNUMBER(S48),ISNUMBER(S50)),VLOOKUP(ABS(S48-S50),'IMP Table'!$A$2:$C$26,3)*SIGN(S48-S50),0)</f>
        <v/>
      </c>
      <c r="AD48">
        <f>IF(AND(ISNUMBER(T48),ISNUMBER(T47)),VLOOKUP(ABS(T48-T47),'IMP Table'!$A$2:$C$26,3)*SIGN(T48-T47),0)</f>
        <v/>
      </c>
      <c r="AE48">
        <f>IF(AND(ISNUMBER(T48),ISNUMBER(T49)),VLOOKUP(ABS(T48-T49),'IMP Table'!$A$2:$C$26,3)*SIGN(T48-T49),0)</f>
        <v/>
      </c>
      <c r="AF48">
        <f>IF(AND(ISNUMBER(T48),ISNUMBER(T50)),VLOOKUP(ABS(T48-T50),'IMP Table'!$A$2:$C$26,3)*SIGN(T48-T50),0)</f>
        <v/>
      </c>
    </row>
    <row r="49">
      <c r="B49" s="10">
        <f>'By Round'!A35</f>
        <v/>
      </c>
      <c r="C49" s="10">
        <f>'By Round'!B37</f>
        <v/>
      </c>
      <c r="D49" s="10">
        <f>'By Round'!C37</f>
        <v/>
      </c>
      <c r="E49" s="10">
        <f>'By Round'!D37</f>
        <v/>
      </c>
      <c r="F49" s="10">
        <f>IF(ISBLANK('By Round'!F38),"",'By Round'!F38)</f>
        <v/>
      </c>
      <c r="G49">
        <f>IF(ISBLANK('By Round'!G38),"",'By Round'!G38)</f>
        <v/>
      </c>
      <c r="H49">
        <f>IF(ISBLANK('By Round'!H38),"",'By Round'!H38)</f>
        <v/>
      </c>
      <c r="I49">
        <f>IF(ISBLANK('By Round'!I38),"",'By Round'!I38)</f>
        <v/>
      </c>
      <c r="J49">
        <f>IF(ISBLANK('By Round'!J38),"",'By Round'!J38)</f>
        <v/>
      </c>
      <c r="K49">
        <f>IF(ISBLANK('By Round'!K38),"",'By Round'!K38)</f>
        <v/>
      </c>
      <c r="L49">
        <f>IF(ISBLANK('By Round'!L38),"",'By Round'!L38)</f>
        <v/>
      </c>
      <c r="M49" s="11">
        <f>AVERAGE(AA49:AC49)</f>
        <v/>
      </c>
      <c r="N49" s="12">
        <f>AVERAGE(AD49:AF49)</f>
        <v/>
      </c>
      <c r="O49" s="13">
        <f>IF(COUNT(U49:W49)&gt;0,Q49/COUNT(U49:W49),0.5)</f>
        <v/>
      </c>
      <c r="P49" s="13">
        <f>IF(COUNT(X49:Z49)&gt;0,R49/COUNT(X49:Z49),0.5)</f>
        <v/>
      </c>
      <c r="Q49" s="5">
        <f>SUM(U49:W49)</f>
        <v/>
      </c>
      <c r="R49" s="5">
        <f>SUM(X49:Z49)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IF(ISNUMBER(S49),IF(ISNUMBER(S47),IF(S49&gt;S47,1.0,IF(S49=S47,0.5,0.0)),""),"")</f>
        <v/>
      </c>
      <c r="V49">
        <f>IF(ISNUMBER(S49),IF(ISNUMBER(S48),IF(S49&gt;S48,1.0,IF(S49=S48,0.5,0.0)),""),"")</f>
        <v/>
      </c>
      <c r="W49">
        <f>IF(ISNUMBER(S49),IF(ISNUMBER(S50),IF(S49&gt;S50,1.0,IF(S49=S50,0.5,0.0)),""),"")</f>
        <v/>
      </c>
      <c r="X49">
        <f>IF(ISNUMBER(T49),IF(ISNUMBER(T47),IF(T49&gt;T47,1.0,IF(T49=T47,0.5,0.0)),""),"")</f>
        <v/>
      </c>
      <c r="Y49">
        <f>IF(ISNUMBER(T49),IF(ISNUMBER(T48),IF(T49&gt;T48,1.0,IF(T49=T48,0.5,0.0)),""),"")</f>
        <v/>
      </c>
      <c r="Z49">
        <f>IF(ISNUMBER(T49),IF(ISNUMBER(T50),IF(T49&gt;T50,1.0,IF(T49=T50,0.5,0.0)),""),"")</f>
        <v/>
      </c>
      <c r="AA49" s="14">
        <f>IF(AND(ISNUMBER(S49),ISNUMBER(S47)),VLOOKUP(ABS(S49-S47),'IMP Table'!$A$2:$C$26,3)*SIGN(S49-S47),0)</f>
        <v/>
      </c>
      <c r="AB49">
        <f>IF(AND(ISNUMBER(S49),ISNUMBER(S48)),VLOOKUP(ABS(S49-S48),'IMP Table'!$A$2:$C$26,3)*SIGN(S49-S48),0)</f>
        <v/>
      </c>
      <c r="AC49">
        <f>IF(AND(ISNUMBER(S49),ISNUMBER(S50)),VLOOKUP(ABS(S49-S50),'IMP Table'!$A$2:$C$26,3)*SIGN(S49-S50),0)</f>
        <v/>
      </c>
      <c r="AD49">
        <f>IF(AND(ISNUMBER(T49),ISNUMBER(T47)),VLOOKUP(ABS(T49-T47),'IMP Table'!$A$2:$C$26,3)*SIGN(T49-T47),0)</f>
        <v/>
      </c>
      <c r="AE49">
        <f>IF(AND(ISNUMBER(T49),ISNUMBER(T48)),VLOOKUP(ABS(T49-T48),'IMP Table'!$A$2:$C$26,3)*SIGN(T49-T48),0)</f>
        <v/>
      </c>
      <c r="AF49">
        <f>IF(AND(ISNUMBER(T49),ISNUMBER(T50)),VLOOKUP(ABS(T49-T50),'IMP Table'!$A$2:$C$26,3)*SIGN(T49-T50),0)</f>
        <v/>
      </c>
    </row>
    <row r="50">
      <c r="A50" s="15" t="n"/>
      <c r="B50" s="16">
        <f>'By Round'!A27</f>
        <v/>
      </c>
      <c r="C50" s="16">
        <f>'By Round'!B31</f>
        <v/>
      </c>
      <c r="D50" s="16">
        <f>'By Round'!C31</f>
        <v/>
      </c>
      <c r="E50" s="16">
        <f>'By Round'!D31</f>
        <v/>
      </c>
      <c r="F50" s="16">
        <f>IF(ISBLANK('By Round'!F32),"",'By Round'!F32)</f>
        <v/>
      </c>
      <c r="G50" s="15">
        <f>IF(ISBLANK('By Round'!G32),"",'By Round'!G32)</f>
        <v/>
      </c>
      <c r="H50" s="15">
        <f>IF(ISBLANK('By Round'!H32),"",'By Round'!H32)</f>
        <v/>
      </c>
      <c r="I50" s="15">
        <f>IF(ISBLANK('By Round'!I32),"",'By Round'!I32)</f>
        <v/>
      </c>
      <c r="J50" s="15">
        <f>IF(ISBLANK('By Round'!J32),"",'By Round'!J32)</f>
        <v/>
      </c>
      <c r="K50" s="15">
        <f>IF(ISBLANK('By Round'!K32),"",'By Round'!K32)</f>
        <v/>
      </c>
      <c r="L50" s="15">
        <f>IF(ISBLANK('By Round'!L32),"",'By Round'!L32)</f>
        <v/>
      </c>
      <c r="M50" s="17">
        <f>AVERAGE(AA50:AC50)</f>
        <v/>
      </c>
      <c r="N50" s="18">
        <f>AVERAGE(AD50:AF50)</f>
        <v/>
      </c>
      <c r="O50" s="19">
        <f>IF(COUNT(U50:W50)&gt;0,Q50/COUNT(U50:W50),0.5)</f>
        <v/>
      </c>
      <c r="P50" s="19">
        <f>IF(COUNT(X50:Z50)&gt;0,R50/COUNT(X50:Z50),0.5)</f>
        <v/>
      </c>
      <c r="Q50" s="20">
        <f>SUM(U50:W50)</f>
        <v/>
      </c>
      <c r="R50" s="20">
        <f>SUM(X50:Z50)</f>
        <v/>
      </c>
      <c r="S50" s="21">
        <f>IF(ISNUMBER(K50),K50,IF(ISNUMBER(L50),-L50,""))</f>
        <v/>
      </c>
      <c r="T50" s="15">
        <f>IF(ISNUMBER(L50),L50,IF(ISNUMBER(K50),-K50,""))</f>
        <v/>
      </c>
      <c r="U50" s="21">
        <f>IF(ISNUMBER(S50),IF(ISNUMBER(S47),IF(S50&gt;S47,1.0,IF(S50=S47,0.5,0.0)),""),"")</f>
        <v/>
      </c>
      <c r="V50" s="15">
        <f>IF(ISNUMBER(S50),IF(ISNUMBER(S48),IF(S50&gt;S48,1.0,IF(S50=S48,0.5,0.0)),""),"")</f>
        <v/>
      </c>
      <c r="W50" s="15">
        <f>IF(ISNUMBER(S50),IF(ISNUMBER(S49),IF(S50&gt;S49,1.0,IF(S50=S49,0.5,0.0)),""),"")</f>
        <v/>
      </c>
      <c r="X50" s="15">
        <f>IF(ISNUMBER(T50),IF(ISNUMBER(T47),IF(T50&gt;T47,1.0,IF(T50=T47,0.5,0.0)),""),"")</f>
        <v/>
      </c>
      <c r="Y50" s="15">
        <f>IF(ISNUMBER(T50),IF(ISNUMBER(T48),IF(T50&gt;T48,1.0,IF(T50=T48,0.5,0.0)),""),"")</f>
        <v/>
      </c>
      <c r="Z50" s="15">
        <f>IF(ISNUMBER(T50),IF(ISNUMBER(T49),IF(T50&gt;T49,1.0,IF(T50=T49,0.5,0.0)),""),"")</f>
        <v/>
      </c>
      <c r="AA50" s="21">
        <f>IF(AND(ISNUMBER(S50),ISNUMBER(S47)),VLOOKUP(ABS(S50-S47),'IMP Table'!$A$2:$C$26,3)*SIGN(S50-S47),0)</f>
        <v/>
      </c>
      <c r="AB50" s="15">
        <f>IF(AND(ISNUMBER(S50),ISNUMBER(S48)),VLOOKUP(ABS(S50-S48),'IMP Table'!$A$2:$C$26,3)*SIGN(S50-S48),0)</f>
        <v/>
      </c>
      <c r="AC50" s="15">
        <f>IF(AND(ISNUMBER(S50),ISNUMBER(S49)),VLOOKUP(ABS(S50-S49),'IMP Table'!$A$2:$C$26,3)*SIGN(S50-S49),0)</f>
        <v/>
      </c>
      <c r="AD50" s="15">
        <f>IF(AND(ISNUMBER(T50),ISNUMBER(T47)),VLOOKUP(ABS(T50-T47),'IMP Table'!$A$2:$C$26,3)*SIGN(T50-T47),0)</f>
        <v/>
      </c>
      <c r="AE50" s="15">
        <f>IF(AND(ISNUMBER(T50),ISNUMBER(T48)),VLOOKUP(ABS(T50-T48),'IMP Table'!$A$2:$C$26,3)*SIGN(T50-T48),0)</f>
        <v/>
      </c>
      <c r="AF50" s="15">
        <f>IF(AND(ISNUMBER(T50),ISNUMBER(T49)),VLOOKUP(ABS(T50-T49),'IMP Table'!$A$2:$C$26,3)*SIGN(T50-T49),0)</f>
        <v/>
      </c>
    </row>
    <row r="51">
      <c r="A51" s="10" t="n">
        <v>13</v>
      </c>
      <c r="B51" s="10">
        <f>'By Round'!A51</f>
        <v/>
      </c>
      <c r="C51" s="10">
        <f>'By Round'!B51</f>
        <v/>
      </c>
      <c r="D51" s="10">
        <f>'By Round'!C51</f>
        <v/>
      </c>
      <c r="E51" s="10">
        <f>'By Round'!D51</f>
        <v/>
      </c>
      <c r="F51" s="10">
        <f>IF(ISBLANK('By Round'!F51),"",'By Round'!F51)</f>
        <v/>
      </c>
      <c r="G51">
        <f>IF(ISBLANK('By Round'!G51),"",'By Round'!G51)</f>
        <v/>
      </c>
      <c r="H51">
        <f>IF(ISBLANK('By Round'!H51),"",'By Round'!H51)</f>
        <v/>
      </c>
      <c r="I51">
        <f>IF(ISBLANK('By Round'!I51),"",'By Round'!I51)</f>
        <v/>
      </c>
      <c r="J51">
        <f>IF(ISBLANK('By Round'!J51),"",'By Round'!J51)</f>
        <v/>
      </c>
      <c r="K51">
        <f>IF(ISBLANK('By Round'!K51),"",'By Round'!K51)</f>
        <v/>
      </c>
      <c r="L51">
        <f>IF(ISBLANK('By Round'!L51),"",'By Round'!L51)</f>
        <v/>
      </c>
      <c r="M51" s="11">
        <f>AVERAGE(AA51:AC51)</f>
        <v/>
      </c>
      <c r="N51" s="12">
        <f>AVERAGE(AD51:AF51)</f>
        <v/>
      </c>
      <c r="O51" s="13">
        <f>IF(COUNT(U51:W51)&gt;0,Q51/COUNT(U51:W51),0.5)</f>
        <v/>
      </c>
      <c r="P51" s="13">
        <f>IF(COUNT(X51:Z51)&gt;0,R51/COUNT(X51:Z51),0.5)</f>
        <v/>
      </c>
      <c r="Q51" s="5">
        <f>SUM(U51:W51)</f>
        <v/>
      </c>
      <c r="R51" s="5">
        <f>SUM(X51:Z51)</f>
        <v/>
      </c>
      <c r="S51" s="14">
        <f>IF(ISNUMBER(K51),K51,IF(ISNUMBER(L51),-L51,""))</f>
        <v/>
      </c>
      <c r="T51">
        <f>IF(ISNUMBER(L51),L51,IF(ISNUMBER(K51),-K51,""))</f>
        <v/>
      </c>
      <c r="U51" s="14">
        <f>IF(ISNUMBER(S51),IF(ISNUMBER(S52),IF(S51&gt;S52,1.0,IF(S51=S52,0.5,0.0)),""),"")</f>
        <v/>
      </c>
      <c r="V51">
        <f>IF(ISNUMBER(S51),IF(ISNUMBER(S53),IF(S51&gt;S53,1.0,IF(S51=S53,0.5,0.0)),""),"")</f>
        <v/>
      </c>
      <c r="W51">
        <f>IF(ISNUMBER(S51),IF(ISNUMBER(S54),IF(S51&gt;S54,1.0,IF(S51=S54,0.5,0.0)),""),"")</f>
        <v/>
      </c>
      <c r="X51">
        <f>IF(ISNUMBER(T51),IF(ISNUMBER(T52),IF(T51&gt;T52,1.0,IF(T51=T52,0.5,0.0)),""),"")</f>
        <v/>
      </c>
      <c r="Y51">
        <f>IF(ISNUMBER(T51),IF(ISNUMBER(T53),IF(T51&gt;T53,1.0,IF(T51=T53,0.5,0.0)),""),"")</f>
        <v/>
      </c>
      <c r="Z51">
        <f>IF(ISNUMBER(T51),IF(ISNUMBER(T54),IF(T51&gt;T54,1.0,IF(T51=T54,0.5,0.0)),""),"")</f>
        <v/>
      </c>
      <c r="AA51" s="14">
        <f>IF(AND(ISNUMBER(S51),ISNUMBER(S52)),VLOOKUP(ABS(S51-S52),'IMP Table'!$A$2:$C$26,3)*SIGN(S51-S52),0)</f>
        <v/>
      </c>
      <c r="AB51">
        <f>IF(AND(ISNUMBER(S51),ISNUMBER(S53)),VLOOKUP(ABS(S51-S53),'IMP Table'!$A$2:$C$26,3)*SIGN(S51-S53),0)</f>
        <v/>
      </c>
      <c r="AC51">
        <f>IF(AND(ISNUMBER(S51),ISNUMBER(S54)),VLOOKUP(ABS(S51-S54),'IMP Table'!$A$2:$C$26,3)*SIGN(S51-S54),0)</f>
        <v/>
      </c>
      <c r="AD51">
        <f>IF(AND(ISNUMBER(T51),ISNUMBER(T52)),VLOOKUP(ABS(T51-T52),'IMP Table'!$A$2:$C$26,3)*SIGN(T51-T52),0)</f>
        <v/>
      </c>
      <c r="AE51">
        <f>IF(AND(ISNUMBER(T51),ISNUMBER(T53)),VLOOKUP(ABS(T51-T53),'IMP Table'!$A$2:$C$26,3)*SIGN(T51-T53),0)</f>
        <v/>
      </c>
      <c r="AF51">
        <f>IF(AND(ISNUMBER(T51),ISNUMBER(T54)),VLOOKUP(ABS(T51-T54),'IMP Table'!$A$2:$C$26,3)*SIGN(T51-T54),0)</f>
        <v/>
      </c>
    </row>
    <row r="52">
      <c r="B52" s="10">
        <f>'By Round'!A35</f>
        <v/>
      </c>
      <c r="C52" s="10">
        <f>'By Round'!B39</f>
        <v/>
      </c>
      <c r="D52" s="10">
        <f>'By Round'!C39</f>
        <v/>
      </c>
      <c r="E52" s="10">
        <f>'By Round'!D39</f>
        <v/>
      </c>
      <c r="F52" s="10">
        <f>IF(ISBLANK('By Round'!F39),"",'By Round'!F39)</f>
        <v/>
      </c>
      <c r="G52">
        <f>IF(ISBLANK('By Round'!G39),"",'By Round'!G39)</f>
        <v/>
      </c>
      <c r="H52">
        <f>IF(ISBLANK('By Round'!H39),"",'By Round'!H39)</f>
        <v/>
      </c>
      <c r="I52">
        <f>IF(ISBLANK('By Round'!I39),"",'By Round'!I39)</f>
        <v/>
      </c>
      <c r="J52">
        <f>IF(ISBLANK('By Round'!J39),"",'By Round'!J39)</f>
        <v/>
      </c>
      <c r="K52">
        <f>IF(ISBLANK('By Round'!K39),"",'By Round'!K39)</f>
        <v/>
      </c>
      <c r="L52">
        <f>IF(ISBLANK('By Round'!L39),"",'By Round'!L39)</f>
        <v/>
      </c>
      <c r="M52" s="11">
        <f>AVERAGE(AA52:AC52)</f>
        <v/>
      </c>
      <c r="N52" s="12">
        <f>AVERAGE(AD52:AF52)</f>
        <v/>
      </c>
      <c r="O52" s="13">
        <f>IF(COUNT(U52:W52)&gt;0,Q52/COUNT(U52:W52),0.5)</f>
        <v/>
      </c>
      <c r="P52" s="13">
        <f>IF(COUNT(X52:Z52)&gt;0,R52/COUNT(X52:Z52),0.5)</f>
        <v/>
      </c>
      <c r="Q52" s="5">
        <f>SUM(U52:W52)</f>
        <v/>
      </c>
      <c r="R52" s="5">
        <f>SUM(X52:Z52)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IF(ISNUMBER(S52),IF(ISNUMBER(S51),IF(S52&gt;S51,1.0,IF(S52=S51,0.5,0.0)),""),"")</f>
        <v/>
      </c>
      <c r="V52">
        <f>IF(ISNUMBER(S52),IF(ISNUMBER(S53),IF(S52&gt;S53,1.0,IF(S52=S53,0.5,0.0)),""),"")</f>
        <v/>
      </c>
      <c r="W52">
        <f>IF(ISNUMBER(S52),IF(ISNUMBER(S54),IF(S52&gt;S54,1.0,IF(S52=S54,0.5,0.0)),""),"")</f>
        <v/>
      </c>
      <c r="X52">
        <f>IF(ISNUMBER(T52),IF(ISNUMBER(T51),IF(T52&gt;T51,1.0,IF(T52=T51,0.5,0.0)),""),"")</f>
        <v/>
      </c>
      <c r="Y52">
        <f>IF(ISNUMBER(T52),IF(ISNUMBER(T53),IF(T52&gt;T53,1.0,IF(T52=T53,0.5,0.0)),""),"")</f>
        <v/>
      </c>
      <c r="Z52">
        <f>IF(ISNUMBER(T52),IF(ISNUMBER(T54),IF(T52&gt;T54,1.0,IF(T52=T54,0.5,0.0)),""),"")</f>
        <v/>
      </c>
      <c r="AA52" s="14">
        <f>IF(AND(ISNUMBER(S52),ISNUMBER(S51)),VLOOKUP(ABS(S52-S51),'IMP Table'!$A$2:$C$26,3)*SIGN(S52-S51),0)</f>
        <v/>
      </c>
      <c r="AB52">
        <f>IF(AND(ISNUMBER(S52),ISNUMBER(S53)),VLOOKUP(ABS(S52-S53),'IMP Table'!$A$2:$C$26,3)*SIGN(S52-S53),0)</f>
        <v/>
      </c>
      <c r="AC52">
        <f>IF(AND(ISNUMBER(S52),ISNUMBER(S54)),VLOOKUP(ABS(S52-S54),'IMP Table'!$A$2:$C$26,3)*SIGN(S52-S54),0)</f>
        <v/>
      </c>
      <c r="AD52">
        <f>IF(AND(ISNUMBER(T52),ISNUMBER(T51)),VLOOKUP(ABS(T52-T51),'IMP Table'!$A$2:$C$26,3)*SIGN(T52-T51),0)</f>
        <v/>
      </c>
      <c r="AE52">
        <f>IF(AND(ISNUMBER(T52),ISNUMBER(T53)),VLOOKUP(ABS(T52-T53),'IMP Table'!$A$2:$C$26,3)*SIGN(T52-T53),0)</f>
        <v/>
      </c>
      <c r="AF52">
        <f>IF(AND(ISNUMBER(T52),ISNUMBER(T54)),VLOOKUP(ABS(T52-T54),'IMP Table'!$A$2:$C$26,3)*SIGN(T52-T54),0)</f>
        <v/>
      </c>
    </row>
    <row r="53">
      <c r="B53" s="10">
        <f>'By Round'!A19</f>
        <v/>
      </c>
      <c r="C53" s="10">
        <f>'By Round'!B25</f>
        <v/>
      </c>
      <c r="D53" s="10">
        <f>'By Round'!C25</f>
        <v/>
      </c>
      <c r="E53" s="10">
        <f>'By Round'!D25</f>
        <v/>
      </c>
      <c r="F53" s="10">
        <f>IF(ISBLANK('By Round'!F25),"",'By Round'!F25)</f>
        <v/>
      </c>
      <c r="G53">
        <f>IF(ISBLANK('By Round'!G25),"",'By Round'!G25)</f>
        <v/>
      </c>
      <c r="H53">
        <f>IF(ISBLANK('By Round'!H25),"",'By Round'!H25)</f>
        <v/>
      </c>
      <c r="I53">
        <f>IF(ISBLANK('By Round'!I25),"",'By Round'!I25)</f>
        <v/>
      </c>
      <c r="J53">
        <f>IF(ISBLANK('By Round'!J25),"",'By Round'!J25)</f>
        <v/>
      </c>
      <c r="K53">
        <f>IF(ISBLANK('By Round'!K25),"",'By Round'!K25)</f>
        <v/>
      </c>
      <c r="L53">
        <f>IF(ISBLANK('By Round'!L25),"",'By Round'!L25)</f>
        <v/>
      </c>
      <c r="M53" s="11">
        <f>AVERAGE(AA53:AC53)</f>
        <v/>
      </c>
      <c r="N53" s="12">
        <f>AVERAGE(AD53:AF53)</f>
        <v/>
      </c>
      <c r="O53" s="13">
        <f>IF(COUNT(U53:W53)&gt;0,Q53/COUNT(U53:W53),0.5)</f>
        <v/>
      </c>
      <c r="P53" s="13">
        <f>IF(COUNT(X53:Z53)&gt;0,R53/COUNT(X53:Z53),0.5)</f>
        <v/>
      </c>
      <c r="Q53" s="5">
        <f>SUM(U53:W53)</f>
        <v/>
      </c>
      <c r="R53" s="5">
        <f>SUM(X53:Z53)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IF(ISNUMBER(S53),IF(ISNUMBER(S51),IF(S53&gt;S51,1.0,IF(S53=S51,0.5,0.0)),""),"")</f>
        <v/>
      </c>
      <c r="V53">
        <f>IF(ISNUMBER(S53),IF(ISNUMBER(S52),IF(S53&gt;S52,1.0,IF(S53=S52,0.5,0.0)),""),"")</f>
        <v/>
      </c>
      <c r="W53">
        <f>IF(ISNUMBER(S53),IF(ISNUMBER(S54),IF(S53&gt;S54,1.0,IF(S53=S54,0.5,0.0)),""),"")</f>
        <v/>
      </c>
      <c r="X53">
        <f>IF(ISNUMBER(T53),IF(ISNUMBER(T51),IF(T53&gt;T51,1.0,IF(T53=T51,0.5,0.0)),""),"")</f>
        <v/>
      </c>
      <c r="Y53">
        <f>IF(ISNUMBER(T53),IF(ISNUMBER(T52),IF(T53&gt;T52,1.0,IF(T53=T52,0.5,0.0)),""),"")</f>
        <v/>
      </c>
      <c r="Z53">
        <f>IF(ISNUMBER(T53),IF(ISNUMBER(T54),IF(T53&gt;T54,1.0,IF(T53=T54,0.5,0.0)),""),"")</f>
        <v/>
      </c>
      <c r="AA53" s="14">
        <f>IF(AND(ISNUMBER(S53),ISNUMBER(S51)),VLOOKUP(ABS(S53-S51),'IMP Table'!$A$2:$C$26,3)*SIGN(S53-S51),0)</f>
        <v/>
      </c>
      <c r="AB53">
        <f>IF(AND(ISNUMBER(S53),ISNUMBER(S52)),VLOOKUP(ABS(S53-S52),'IMP Table'!$A$2:$C$26,3)*SIGN(S53-S52),0)</f>
        <v/>
      </c>
      <c r="AC53">
        <f>IF(AND(ISNUMBER(S53),ISNUMBER(S54)),VLOOKUP(ABS(S53-S54),'IMP Table'!$A$2:$C$26,3)*SIGN(S53-S54),0)</f>
        <v/>
      </c>
      <c r="AD53">
        <f>IF(AND(ISNUMBER(T53),ISNUMBER(T51)),VLOOKUP(ABS(T53-T51),'IMP Table'!$A$2:$C$26,3)*SIGN(T53-T51),0)</f>
        <v/>
      </c>
      <c r="AE53">
        <f>IF(AND(ISNUMBER(T53),ISNUMBER(T52)),VLOOKUP(ABS(T53-T52),'IMP Table'!$A$2:$C$26,3)*SIGN(T53-T52),0)</f>
        <v/>
      </c>
      <c r="AF53">
        <f>IF(AND(ISNUMBER(T53),ISNUMBER(T54)),VLOOKUP(ABS(T53-T54),'IMP Table'!$A$2:$C$26,3)*SIGN(T53-T54),0)</f>
        <v/>
      </c>
    </row>
    <row r="54">
      <c r="A54" s="15" t="n"/>
      <c r="B54" s="16">
        <f>'By Round'!A43</f>
        <v/>
      </c>
      <c r="C54" s="16">
        <f>'By Round'!B45</f>
        <v/>
      </c>
      <c r="D54" s="16">
        <f>'By Round'!C45</f>
        <v/>
      </c>
      <c r="E54" s="16">
        <f>'By Round'!D45</f>
        <v/>
      </c>
      <c r="F54" s="16">
        <f>IF(ISBLANK('By Round'!F45),"",'By Round'!F45)</f>
        <v/>
      </c>
      <c r="G54" s="15">
        <f>IF(ISBLANK('By Round'!G45),"",'By Round'!G45)</f>
        <v/>
      </c>
      <c r="H54" s="15">
        <f>IF(ISBLANK('By Round'!H45),"",'By Round'!H45)</f>
        <v/>
      </c>
      <c r="I54" s="15">
        <f>IF(ISBLANK('By Round'!I45),"",'By Round'!I45)</f>
        <v/>
      </c>
      <c r="J54" s="15">
        <f>IF(ISBLANK('By Round'!J45),"",'By Round'!J45)</f>
        <v/>
      </c>
      <c r="K54" s="15">
        <f>IF(ISBLANK('By Round'!K45),"",'By Round'!K45)</f>
        <v/>
      </c>
      <c r="L54" s="15">
        <f>IF(ISBLANK('By Round'!L45),"",'By Round'!L45)</f>
        <v/>
      </c>
      <c r="M54" s="17">
        <f>AVERAGE(AA54:AC54)</f>
        <v/>
      </c>
      <c r="N54" s="18">
        <f>AVERAGE(AD54:AF54)</f>
        <v/>
      </c>
      <c r="O54" s="19">
        <f>IF(COUNT(U54:W54)&gt;0,Q54/COUNT(U54:W54),0.5)</f>
        <v/>
      </c>
      <c r="P54" s="19">
        <f>IF(COUNT(X54:Z54)&gt;0,R54/COUNT(X54:Z54),0.5)</f>
        <v/>
      </c>
      <c r="Q54" s="20">
        <f>SUM(U54:W54)</f>
        <v/>
      </c>
      <c r="R54" s="20">
        <f>SUM(X54:Z54)</f>
        <v/>
      </c>
      <c r="S54" s="21">
        <f>IF(ISNUMBER(K54),K54,IF(ISNUMBER(L54),-L54,""))</f>
        <v/>
      </c>
      <c r="T54" s="15">
        <f>IF(ISNUMBER(L54),L54,IF(ISNUMBER(K54),-K54,""))</f>
        <v/>
      </c>
      <c r="U54" s="21">
        <f>IF(ISNUMBER(S54),IF(ISNUMBER(S51),IF(S54&gt;S51,1.0,IF(S54=S51,0.5,0.0)),""),"")</f>
        <v/>
      </c>
      <c r="V54" s="15">
        <f>IF(ISNUMBER(S54),IF(ISNUMBER(S52),IF(S54&gt;S52,1.0,IF(S54=S52,0.5,0.0)),""),"")</f>
        <v/>
      </c>
      <c r="W54" s="15">
        <f>IF(ISNUMBER(S54),IF(ISNUMBER(S53),IF(S54&gt;S53,1.0,IF(S54=S53,0.5,0.0)),""),"")</f>
        <v/>
      </c>
      <c r="X54" s="15">
        <f>IF(ISNUMBER(T54),IF(ISNUMBER(T51),IF(T54&gt;T51,1.0,IF(T54=T51,0.5,0.0)),""),"")</f>
        <v/>
      </c>
      <c r="Y54" s="15">
        <f>IF(ISNUMBER(T54),IF(ISNUMBER(T52),IF(T54&gt;T52,1.0,IF(T54=T52,0.5,0.0)),""),"")</f>
        <v/>
      </c>
      <c r="Z54" s="15">
        <f>IF(ISNUMBER(T54),IF(ISNUMBER(T53),IF(T54&gt;T53,1.0,IF(T54=T53,0.5,0.0)),""),"")</f>
        <v/>
      </c>
      <c r="AA54" s="21">
        <f>IF(AND(ISNUMBER(S54),ISNUMBER(S51)),VLOOKUP(ABS(S54-S51),'IMP Table'!$A$2:$C$26,3)*SIGN(S54-S51),0)</f>
        <v/>
      </c>
      <c r="AB54" s="15">
        <f>IF(AND(ISNUMBER(S54),ISNUMBER(S52)),VLOOKUP(ABS(S54-S52),'IMP Table'!$A$2:$C$26,3)*SIGN(S54-S52),0)</f>
        <v/>
      </c>
      <c r="AC54" s="15">
        <f>IF(AND(ISNUMBER(S54),ISNUMBER(S53)),VLOOKUP(ABS(S54-S53),'IMP Table'!$A$2:$C$26,3)*SIGN(S54-S53),0)</f>
        <v/>
      </c>
      <c r="AD54" s="15">
        <f>IF(AND(ISNUMBER(T54),ISNUMBER(T51)),VLOOKUP(ABS(T54-T51),'IMP Table'!$A$2:$C$26,3)*SIGN(T54-T51),0)</f>
        <v/>
      </c>
      <c r="AE54" s="15">
        <f>IF(AND(ISNUMBER(T54),ISNUMBER(T52)),VLOOKUP(ABS(T54-T52),'IMP Table'!$A$2:$C$26,3)*SIGN(T54-T52),0)</f>
        <v/>
      </c>
      <c r="AF54" s="15">
        <f>IF(AND(ISNUMBER(T54),ISNUMBER(T53)),VLOOKUP(ABS(T54-T53),'IMP Table'!$A$2:$C$26,3)*SIGN(T54-T53),0)</f>
        <v/>
      </c>
    </row>
    <row r="55">
      <c r="A55" s="10" t="n">
        <v>14</v>
      </c>
      <c r="B55" s="10">
        <f>'By Round'!A51</f>
        <v/>
      </c>
      <c r="C55" s="10">
        <f>'By Round'!B51</f>
        <v/>
      </c>
      <c r="D55" s="10">
        <f>'By Round'!C51</f>
        <v/>
      </c>
      <c r="E55" s="10">
        <f>'By Round'!D51</f>
        <v/>
      </c>
      <c r="F55" s="10">
        <f>IF(ISBLANK('By Round'!F52),"",'By Round'!F52)</f>
        <v/>
      </c>
      <c r="G55">
        <f>IF(ISBLANK('By Round'!G52),"",'By Round'!G52)</f>
        <v/>
      </c>
      <c r="H55">
        <f>IF(ISBLANK('By Round'!H52),"",'By Round'!H52)</f>
        <v/>
      </c>
      <c r="I55">
        <f>IF(ISBLANK('By Round'!I52),"",'By Round'!I52)</f>
        <v/>
      </c>
      <c r="J55">
        <f>IF(ISBLANK('By Round'!J52),"",'By Round'!J52)</f>
        <v/>
      </c>
      <c r="K55">
        <f>IF(ISBLANK('By Round'!K52),"",'By Round'!K52)</f>
        <v/>
      </c>
      <c r="L55">
        <f>IF(ISBLANK('By Round'!L52),"",'By Round'!L52)</f>
        <v/>
      </c>
      <c r="M55" s="11">
        <f>AVERAGE(AA55:AC55)</f>
        <v/>
      </c>
      <c r="N55" s="12">
        <f>AVERAGE(AD55:AF55)</f>
        <v/>
      </c>
      <c r="O55" s="13">
        <f>IF(COUNT(U55:W55)&gt;0,Q55/COUNT(U55:W55),0.5)</f>
        <v/>
      </c>
      <c r="P55" s="13">
        <f>IF(COUNT(X55:Z55)&gt;0,R55/COUNT(X55:Z55),0.5)</f>
        <v/>
      </c>
      <c r="Q55" s="5">
        <f>SUM(U55:W55)</f>
        <v/>
      </c>
      <c r="R55" s="5">
        <f>SUM(X55:Z55)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IF(ISNUMBER(S55),IF(ISNUMBER(S56),IF(S55&gt;S56,1.0,IF(S55=S56,0.5,0.0)),""),"")</f>
        <v/>
      </c>
      <c r="V55">
        <f>IF(ISNUMBER(S55),IF(ISNUMBER(S57),IF(S55&gt;S57,1.0,IF(S55=S57,0.5,0.0)),""),"")</f>
        <v/>
      </c>
      <c r="W55">
        <f>IF(ISNUMBER(S55),IF(ISNUMBER(S58),IF(S55&gt;S58,1.0,IF(S55=S58,0.5,0.0)),""),"")</f>
        <v/>
      </c>
      <c r="X55">
        <f>IF(ISNUMBER(T55),IF(ISNUMBER(T56),IF(T55&gt;T56,1.0,IF(T55=T56,0.5,0.0)),""),"")</f>
        <v/>
      </c>
      <c r="Y55">
        <f>IF(ISNUMBER(T55),IF(ISNUMBER(T57),IF(T55&gt;T57,1.0,IF(T55=T57,0.5,0.0)),""),"")</f>
        <v/>
      </c>
      <c r="Z55">
        <f>IF(ISNUMBER(T55),IF(ISNUMBER(T58),IF(T55&gt;T58,1.0,IF(T55=T58,0.5,0.0)),""),"")</f>
        <v/>
      </c>
      <c r="AA55" s="14">
        <f>IF(AND(ISNUMBER(S55),ISNUMBER(S56)),VLOOKUP(ABS(S55-S56),'IMP Table'!$A$2:$C$26,3)*SIGN(S55-S56),0)</f>
        <v/>
      </c>
      <c r="AB55">
        <f>IF(AND(ISNUMBER(S55),ISNUMBER(S57)),VLOOKUP(ABS(S55-S57),'IMP Table'!$A$2:$C$26,3)*SIGN(S55-S57),0)</f>
        <v/>
      </c>
      <c r="AC55">
        <f>IF(AND(ISNUMBER(S55),ISNUMBER(S58)),VLOOKUP(ABS(S55-S58),'IMP Table'!$A$2:$C$26,3)*SIGN(S55-S58),0)</f>
        <v/>
      </c>
      <c r="AD55">
        <f>IF(AND(ISNUMBER(T55),ISNUMBER(T56)),VLOOKUP(ABS(T55-T56),'IMP Table'!$A$2:$C$26,3)*SIGN(T55-T56),0)</f>
        <v/>
      </c>
      <c r="AE55">
        <f>IF(AND(ISNUMBER(T55),ISNUMBER(T57)),VLOOKUP(ABS(T55-T57),'IMP Table'!$A$2:$C$26,3)*SIGN(T55-T57),0)</f>
        <v/>
      </c>
      <c r="AF55">
        <f>IF(AND(ISNUMBER(T55),ISNUMBER(T58)),VLOOKUP(ABS(T55-T58),'IMP Table'!$A$2:$C$26,3)*SIGN(T55-T58),0)</f>
        <v/>
      </c>
    </row>
    <row r="56">
      <c r="B56" s="10">
        <f>'By Round'!A35</f>
        <v/>
      </c>
      <c r="C56" s="10">
        <f>'By Round'!B39</f>
        <v/>
      </c>
      <c r="D56" s="10">
        <f>'By Round'!C39</f>
        <v/>
      </c>
      <c r="E56" s="10">
        <f>'By Round'!D39</f>
        <v/>
      </c>
      <c r="F56" s="10">
        <f>IF(ISBLANK('By Round'!F40),"",'By Round'!F40)</f>
        <v/>
      </c>
      <c r="G56">
        <f>IF(ISBLANK('By Round'!G40),"",'By Round'!G40)</f>
        <v/>
      </c>
      <c r="H56">
        <f>IF(ISBLANK('By Round'!H40),"",'By Round'!H40)</f>
        <v/>
      </c>
      <c r="I56">
        <f>IF(ISBLANK('By Round'!I40),"",'By Round'!I40)</f>
        <v/>
      </c>
      <c r="J56">
        <f>IF(ISBLANK('By Round'!J40),"",'By Round'!J40)</f>
        <v/>
      </c>
      <c r="K56">
        <f>IF(ISBLANK('By Round'!K40),"",'By Round'!K40)</f>
        <v/>
      </c>
      <c r="L56">
        <f>IF(ISBLANK('By Round'!L40),"",'By Round'!L40)</f>
        <v/>
      </c>
      <c r="M56" s="11">
        <f>AVERAGE(AA56:AC56)</f>
        <v/>
      </c>
      <c r="N56" s="12">
        <f>AVERAGE(AD56:AF56)</f>
        <v/>
      </c>
      <c r="O56" s="13">
        <f>IF(COUNT(U56:W56)&gt;0,Q56/COUNT(U56:W56),0.5)</f>
        <v/>
      </c>
      <c r="P56" s="13">
        <f>IF(COUNT(X56:Z56)&gt;0,R56/COUNT(X56:Z56),0.5)</f>
        <v/>
      </c>
      <c r="Q56" s="5">
        <f>SUM(U56:W56)</f>
        <v/>
      </c>
      <c r="R56" s="5">
        <f>SUM(X56:Z56)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IF(ISNUMBER(S56),IF(ISNUMBER(S55),IF(S56&gt;S55,1.0,IF(S56=S55,0.5,0.0)),""),"")</f>
        <v/>
      </c>
      <c r="V56">
        <f>IF(ISNUMBER(S56),IF(ISNUMBER(S57),IF(S56&gt;S57,1.0,IF(S56=S57,0.5,0.0)),""),"")</f>
        <v/>
      </c>
      <c r="W56">
        <f>IF(ISNUMBER(S56),IF(ISNUMBER(S58),IF(S56&gt;S58,1.0,IF(S56=S58,0.5,0.0)),""),"")</f>
        <v/>
      </c>
      <c r="X56">
        <f>IF(ISNUMBER(T56),IF(ISNUMBER(T55),IF(T56&gt;T55,1.0,IF(T56=T55,0.5,0.0)),""),"")</f>
        <v/>
      </c>
      <c r="Y56">
        <f>IF(ISNUMBER(T56),IF(ISNUMBER(T57),IF(T56&gt;T57,1.0,IF(T56=T57,0.5,0.0)),""),"")</f>
        <v/>
      </c>
      <c r="Z56">
        <f>IF(ISNUMBER(T56),IF(ISNUMBER(T58),IF(T56&gt;T58,1.0,IF(T56=T58,0.5,0.0)),""),"")</f>
        <v/>
      </c>
      <c r="AA56" s="14">
        <f>IF(AND(ISNUMBER(S56),ISNUMBER(S55)),VLOOKUP(ABS(S56-S55),'IMP Table'!$A$2:$C$26,3)*SIGN(S56-S55),0)</f>
        <v/>
      </c>
      <c r="AB56">
        <f>IF(AND(ISNUMBER(S56),ISNUMBER(S57)),VLOOKUP(ABS(S56-S57),'IMP Table'!$A$2:$C$26,3)*SIGN(S56-S57),0)</f>
        <v/>
      </c>
      <c r="AC56">
        <f>IF(AND(ISNUMBER(S56),ISNUMBER(S58)),VLOOKUP(ABS(S56-S58),'IMP Table'!$A$2:$C$26,3)*SIGN(S56-S58),0)</f>
        <v/>
      </c>
      <c r="AD56">
        <f>IF(AND(ISNUMBER(T56),ISNUMBER(T55)),VLOOKUP(ABS(T56-T55),'IMP Table'!$A$2:$C$26,3)*SIGN(T56-T55),0)</f>
        <v/>
      </c>
      <c r="AE56">
        <f>IF(AND(ISNUMBER(T56),ISNUMBER(T57)),VLOOKUP(ABS(T56-T57),'IMP Table'!$A$2:$C$26,3)*SIGN(T56-T57),0)</f>
        <v/>
      </c>
      <c r="AF56">
        <f>IF(AND(ISNUMBER(T56),ISNUMBER(T58)),VLOOKUP(ABS(T56-T58),'IMP Table'!$A$2:$C$26,3)*SIGN(T56-T58),0)</f>
        <v/>
      </c>
    </row>
    <row r="57">
      <c r="B57" s="10">
        <f>'By Round'!A19</f>
        <v/>
      </c>
      <c r="C57" s="10">
        <f>'By Round'!B25</f>
        <v/>
      </c>
      <c r="D57" s="10">
        <f>'By Round'!C25</f>
        <v/>
      </c>
      <c r="E57" s="10">
        <f>'By Round'!D25</f>
        <v/>
      </c>
      <c r="F57" s="10">
        <f>IF(ISBLANK('By Round'!F26),"",'By Round'!F26)</f>
        <v/>
      </c>
      <c r="G57">
        <f>IF(ISBLANK('By Round'!G26),"",'By Round'!G26)</f>
        <v/>
      </c>
      <c r="H57">
        <f>IF(ISBLANK('By Round'!H26),"",'By Round'!H26)</f>
        <v/>
      </c>
      <c r="I57">
        <f>IF(ISBLANK('By Round'!I26),"",'By Round'!I26)</f>
        <v/>
      </c>
      <c r="J57">
        <f>IF(ISBLANK('By Round'!J26),"",'By Round'!J26)</f>
        <v/>
      </c>
      <c r="K57">
        <f>IF(ISBLANK('By Round'!K26),"",'By Round'!K26)</f>
        <v/>
      </c>
      <c r="L57">
        <f>IF(ISBLANK('By Round'!L26),"",'By Round'!L26)</f>
        <v/>
      </c>
      <c r="M57" s="11">
        <f>AVERAGE(AA57:AC57)</f>
        <v/>
      </c>
      <c r="N57" s="12">
        <f>AVERAGE(AD57:AF57)</f>
        <v/>
      </c>
      <c r="O57" s="13">
        <f>IF(COUNT(U57:W57)&gt;0,Q57/COUNT(U57:W57),0.5)</f>
        <v/>
      </c>
      <c r="P57" s="13">
        <f>IF(COUNT(X57:Z57)&gt;0,R57/COUNT(X57:Z57),0.5)</f>
        <v/>
      </c>
      <c r="Q57" s="5">
        <f>SUM(U57:W57)</f>
        <v/>
      </c>
      <c r="R57" s="5">
        <f>SUM(X57:Z57)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IF(ISNUMBER(S57),IF(ISNUMBER(S55),IF(S57&gt;S55,1.0,IF(S57=S55,0.5,0.0)),""),"")</f>
        <v/>
      </c>
      <c r="V57">
        <f>IF(ISNUMBER(S57),IF(ISNUMBER(S56),IF(S57&gt;S56,1.0,IF(S57=S56,0.5,0.0)),""),"")</f>
        <v/>
      </c>
      <c r="W57">
        <f>IF(ISNUMBER(S57),IF(ISNUMBER(S58),IF(S57&gt;S58,1.0,IF(S57=S58,0.5,0.0)),""),"")</f>
        <v/>
      </c>
      <c r="X57">
        <f>IF(ISNUMBER(T57),IF(ISNUMBER(T55),IF(T57&gt;T55,1.0,IF(T57=T55,0.5,0.0)),""),"")</f>
        <v/>
      </c>
      <c r="Y57">
        <f>IF(ISNUMBER(T57),IF(ISNUMBER(T56),IF(T57&gt;T56,1.0,IF(T57=T56,0.5,0.0)),""),"")</f>
        <v/>
      </c>
      <c r="Z57">
        <f>IF(ISNUMBER(T57),IF(ISNUMBER(T58),IF(T57&gt;T58,1.0,IF(T57=T58,0.5,0.0)),""),"")</f>
        <v/>
      </c>
      <c r="AA57" s="14">
        <f>IF(AND(ISNUMBER(S57),ISNUMBER(S55)),VLOOKUP(ABS(S57-S55),'IMP Table'!$A$2:$C$26,3)*SIGN(S57-S55),0)</f>
        <v/>
      </c>
      <c r="AB57">
        <f>IF(AND(ISNUMBER(S57),ISNUMBER(S56)),VLOOKUP(ABS(S57-S56),'IMP Table'!$A$2:$C$26,3)*SIGN(S57-S56),0)</f>
        <v/>
      </c>
      <c r="AC57">
        <f>IF(AND(ISNUMBER(S57),ISNUMBER(S58)),VLOOKUP(ABS(S57-S58),'IMP Table'!$A$2:$C$26,3)*SIGN(S57-S58),0)</f>
        <v/>
      </c>
      <c r="AD57">
        <f>IF(AND(ISNUMBER(T57),ISNUMBER(T55)),VLOOKUP(ABS(T57-T55),'IMP Table'!$A$2:$C$26,3)*SIGN(T57-T55),0)</f>
        <v/>
      </c>
      <c r="AE57">
        <f>IF(AND(ISNUMBER(T57),ISNUMBER(T56)),VLOOKUP(ABS(T57-T56),'IMP Table'!$A$2:$C$26,3)*SIGN(T57-T56),0)</f>
        <v/>
      </c>
      <c r="AF57">
        <f>IF(AND(ISNUMBER(T57),ISNUMBER(T58)),VLOOKUP(ABS(T57-T58),'IMP Table'!$A$2:$C$26,3)*SIGN(T57-T58),0)</f>
        <v/>
      </c>
    </row>
    <row r="58">
      <c r="A58" s="15" t="n"/>
      <c r="B58" s="16">
        <f>'By Round'!A43</f>
        <v/>
      </c>
      <c r="C58" s="16">
        <f>'By Round'!B45</f>
        <v/>
      </c>
      <c r="D58" s="16">
        <f>'By Round'!C45</f>
        <v/>
      </c>
      <c r="E58" s="16">
        <f>'By Round'!D45</f>
        <v/>
      </c>
      <c r="F58" s="16">
        <f>IF(ISBLANK('By Round'!F46),"",'By Round'!F46)</f>
        <v/>
      </c>
      <c r="G58" s="15">
        <f>IF(ISBLANK('By Round'!G46),"",'By Round'!G46)</f>
        <v/>
      </c>
      <c r="H58" s="15">
        <f>IF(ISBLANK('By Round'!H46),"",'By Round'!H46)</f>
        <v/>
      </c>
      <c r="I58" s="15">
        <f>IF(ISBLANK('By Round'!I46),"",'By Round'!I46)</f>
        <v/>
      </c>
      <c r="J58" s="15">
        <f>IF(ISBLANK('By Round'!J46),"",'By Round'!J46)</f>
        <v/>
      </c>
      <c r="K58" s="15">
        <f>IF(ISBLANK('By Round'!K46),"",'By Round'!K46)</f>
        <v/>
      </c>
      <c r="L58" s="15">
        <f>IF(ISBLANK('By Round'!L46),"",'By Round'!L46)</f>
        <v/>
      </c>
      <c r="M58" s="17">
        <f>AVERAGE(AA58:AC58)</f>
        <v/>
      </c>
      <c r="N58" s="18">
        <f>AVERAGE(AD58:AF58)</f>
        <v/>
      </c>
      <c r="O58" s="19">
        <f>IF(COUNT(U58:W58)&gt;0,Q58/COUNT(U58:W58),0.5)</f>
        <v/>
      </c>
      <c r="P58" s="19">
        <f>IF(COUNT(X58:Z58)&gt;0,R58/COUNT(X58:Z58),0.5)</f>
        <v/>
      </c>
      <c r="Q58" s="20">
        <f>SUM(U58:W58)</f>
        <v/>
      </c>
      <c r="R58" s="20">
        <f>SUM(X58:Z58)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IF(ISNUMBER(S58),IF(ISNUMBER(S55),IF(S58&gt;S55,1.0,IF(S58=S55,0.5,0.0)),""),"")</f>
        <v/>
      </c>
      <c r="V58" s="15">
        <f>IF(ISNUMBER(S58),IF(ISNUMBER(S56),IF(S58&gt;S56,1.0,IF(S58=S56,0.5,0.0)),""),"")</f>
        <v/>
      </c>
      <c r="W58" s="15">
        <f>IF(ISNUMBER(S58),IF(ISNUMBER(S57),IF(S58&gt;S57,1.0,IF(S58=S57,0.5,0.0)),""),"")</f>
        <v/>
      </c>
      <c r="X58" s="15">
        <f>IF(ISNUMBER(T58),IF(ISNUMBER(T55),IF(T58&gt;T55,1.0,IF(T58=T55,0.5,0.0)),""),"")</f>
        <v/>
      </c>
      <c r="Y58" s="15">
        <f>IF(ISNUMBER(T58),IF(ISNUMBER(T56),IF(T58&gt;T56,1.0,IF(T58=T56,0.5,0.0)),""),"")</f>
        <v/>
      </c>
      <c r="Z58" s="15">
        <f>IF(ISNUMBER(T58),IF(ISNUMBER(T57),IF(T58&gt;T57,1.0,IF(T58=T57,0.5,0.0)),""),"")</f>
        <v/>
      </c>
      <c r="AA58" s="21">
        <f>IF(AND(ISNUMBER(S58),ISNUMBER(S55)),VLOOKUP(ABS(S58-S55),'IMP Table'!$A$2:$C$26,3)*SIGN(S58-S55),0)</f>
        <v/>
      </c>
      <c r="AB58" s="15">
        <f>IF(AND(ISNUMBER(S58),ISNUMBER(S56)),VLOOKUP(ABS(S58-S56),'IMP Table'!$A$2:$C$26,3)*SIGN(S58-S56),0)</f>
        <v/>
      </c>
      <c r="AC58" s="15">
        <f>IF(AND(ISNUMBER(S58),ISNUMBER(S57)),VLOOKUP(ABS(S58-S57),'IMP Table'!$A$2:$C$26,3)*SIGN(S58-S57),0)</f>
        <v/>
      </c>
      <c r="AD58" s="15">
        <f>IF(AND(ISNUMBER(T58),ISNUMBER(T55)),VLOOKUP(ABS(T58-T55),'IMP Table'!$A$2:$C$26,3)*SIGN(T58-T55),0)</f>
        <v/>
      </c>
      <c r="AE58" s="15">
        <f>IF(AND(ISNUMBER(T58),ISNUMBER(T56)),VLOOKUP(ABS(T58-T56),'IMP Table'!$A$2:$C$26,3)*SIGN(T58-T56),0)</f>
        <v/>
      </c>
      <c r="AF58" s="15">
        <f>IF(AND(ISNUMBER(T58),ISNUMBER(T57)),VLOOKUP(ABS(T58-T57),'IMP Table'!$A$2:$C$26,3)*SIGN(T58-T57),0)</f>
        <v/>
      </c>
    </row>
  </sheetData>
  <mergeCells count="12">
    <mergeCell ref="U2:W2"/>
    <mergeCell ref="X2:Z2"/>
    <mergeCell ref="AA2:AC2"/>
    <mergeCell ref="Q1:R1"/>
    <mergeCell ref="AA1:AF1"/>
    <mergeCell ref="AD2:AF2"/>
    <mergeCell ref="K1:L1"/>
    <mergeCell ref="S1:T1"/>
    <mergeCell ref="U1:Z1"/>
    <mergeCell ref="O1:P1"/>
    <mergeCell ref="M1:N1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6</v>
      </c>
      <c r="D5" s="10" t="n">
        <v>5</v>
      </c>
      <c r="E5" s="10" t="n">
        <v>3</v>
      </c>
      <c r="F5" s="10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4</v>
      </c>
      <c r="D7" s="10" t="n">
        <v>2</v>
      </c>
      <c r="E7" s="10" t="n">
        <v>5</v>
      </c>
      <c r="F7" s="10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7</v>
      </c>
      <c r="D9" s="10" t="n">
        <v>3</v>
      </c>
      <c r="E9" s="10" t="n">
        <v>9</v>
      </c>
      <c r="F9" s="10" t="inlineStr">
        <is>
          <t>EW</t>
        </is>
      </c>
    </row>
    <row r="10">
      <c r="A10" s="15" t="n"/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A11" s="10" t="n">
        <v>2</v>
      </c>
      <c r="B11" s="10" t="n">
        <v>1</v>
      </c>
      <c r="C11" s="10" t="inlineStr">
        <is>
          <t>Sit-Out</t>
        </is>
      </c>
      <c r="D11" s="10" t="n">
        <v>2</v>
      </c>
      <c r="E11" s="10" t="n">
        <v>3</v>
      </c>
      <c r="F11" s="10" t="inlineStr">
        <is>
          <t>EW</t>
        </is>
      </c>
    </row>
    <row r="12">
      <c r="B12" s="16" t="n"/>
      <c r="C12" s="16" t="n"/>
      <c r="D12" s="16" t="n"/>
      <c r="E12" s="16" t="n">
        <v>4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2</v>
      </c>
      <c r="C13" s="10" t="n">
        <v>7</v>
      </c>
      <c r="D13" s="10" t="n">
        <v>6</v>
      </c>
      <c r="E13" s="10" t="n">
        <v>5</v>
      </c>
      <c r="F13" s="10" t="inlineStr">
        <is>
          <t>NS</t>
        </is>
      </c>
    </row>
    <row r="14">
      <c r="B14" s="16" t="n"/>
      <c r="C14" s="16" t="n"/>
      <c r="D14" s="16" t="n"/>
      <c r="E14" s="16" t="n">
        <v>6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3</v>
      </c>
      <c r="C15" s="10" t="n">
        <v>5</v>
      </c>
      <c r="D15" s="10" t="n">
        <v>3</v>
      </c>
      <c r="E15" s="10" t="n">
        <v>7</v>
      </c>
      <c r="F15" s="10" t="inlineStr">
        <is>
          <t>Both</t>
        </is>
      </c>
    </row>
    <row r="16">
      <c r="B16" s="16" t="n"/>
      <c r="C16" s="16" t="n"/>
      <c r="D16" s="16" t="n"/>
      <c r="E16" s="16" t="n">
        <v>8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B17" s="10" t="n">
        <v>4</v>
      </c>
      <c r="C17" s="10" t="n">
        <v>1</v>
      </c>
      <c r="D17" s="10" t="n">
        <v>4</v>
      </c>
      <c r="E17" s="10" t="n">
        <v>11</v>
      </c>
      <c r="F17" s="10" t="inlineStr">
        <is>
          <t>None</t>
        </is>
      </c>
    </row>
    <row r="18">
      <c r="A18" s="15" t="n"/>
      <c r="B18" s="16" t="n"/>
      <c r="C18" s="16" t="n"/>
      <c r="D18" s="16" t="n"/>
      <c r="E18" s="16" t="n">
        <v>12</v>
      </c>
      <c r="F18" s="16" t="inlineStr">
        <is>
          <t>NS</t>
        </is>
      </c>
      <c r="G18" s="15" t="n"/>
      <c r="H18" s="15" t="n"/>
      <c r="I18" s="15" t="n"/>
      <c r="J18" s="15" t="n"/>
      <c r="K18" s="15" t="n"/>
      <c r="L18" s="15" t="n"/>
    </row>
    <row r="19">
      <c r="A19" s="10" t="n">
        <v>3</v>
      </c>
      <c r="B19" s="10" t="n">
        <v>1</v>
      </c>
      <c r="C19" s="10" t="inlineStr">
        <is>
          <t>Sit-Out</t>
        </is>
      </c>
      <c r="D19" s="10" t="n">
        <v>3</v>
      </c>
      <c r="E19" s="10" t="n">
        <v>5</v>
      </c>
      <c r="F19" s="10" t="inlineStr">
        <is>
          <t>NS</t>
        </is>
      </c>
    </row>
    <row r="20">
      <c r="B20" s="16" t="n"/>
      <c r="C20" s="16" t="n"/>
      <c r="D20" s="16" t="n"/>
      <c r="E20" s="16" t="n">
        <v>6</v>
      </c>
      <c r="F20" s="16" t="inlineStr">
        <is>
          <t>EW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2</v>
      </c>
      <c r="C21" s="10" t="n">
        <v>1</v>
      </c>
      <c r="D21" s="10" t="n">
        <v>7</v>
      </c>
      <c r="E21" s="10" t="n">
        <v>7</v>
      </c>
      <c r="F21" s="10" t="inlineStr">
        <is>
          <t>Both</t>
        </is>
      </c>
    </row>
    <row r="22">
      <c r="B22" s="16" t="n"/>
      <c r="C22" s="16" t="n"/>
      <c r="D22" s="16" t="n"/>
      <c r="E22" s="16" t="n">
        <v>8</v>
      </c>
      <c r="F22" s="16" t="inlineStr">
        <is>
          <t>None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3</v>
      </c>
      <c r="C23" s="10" t="n">
        <v>6</v>
      </c>
      <c r="D23" s="10" t="n">
        <v>4</v>
      </c>
      <c r="E23" s="10" t="n">
        <v>9</v>
      </c>
      <c r="F23" s="10" t="inlineStr">
        <is>
          <t>EW</t>
        </is>
      </c>
    </row>
    <row r="24">
      <c r="B24" s="16" t="n"/>
      <c r="C24" s="16" t="n"/>
      <c r="D24" s="16" t="n"/>
      <c r="E24" s="16" t="n">
        <v>10</v>
      </c>
      <c r="F24" s="16" t="inlineStr">
        <is>
          <t>Both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4</v>
      </c>
      <c r="C25" s="10" t="n">
        <v>2</v>
      </c>
      <c r="D25" s="10" t="n">
        <v>5</v>
      </c>
      <c r="E25" s="10" t="n">
        <v>13</v>
      </c>
      <c r="F25" s="10" t="inlineStr">
        <is>
          <t>Both</t>
        </is>
      </c>
    </row>
    <row r="26">
      <c r="A26" s="15" t="n"/>
      <c r="B26" s="16" t="n"/>
      <c r="C26" s="16" t="n"/>
      <c r="D26" s="16" t="n"/>
      <c r="E26" s="16" t="n">
        <v>14</v>
      </c>
      <c r="F26" s="16" t="inlineStr">
        <is>
          <t>None</t>
        </is>
      </c>
      <c r="G26" s="15" t="n"/>
      <c r="H26" s="15" t="n"/>
      <c r="I26" s="15" t="n"/>
      <c r="J26" s="15" t="n"/>
      <c r="K26" s="15" t="n"/>
      <c r="L26" s="15" t="n"/>
    </row>
    <row r="27">
      <c r="A27" s="10" t="n">
        <v>4</v>
      </c>
      <c r="B27" s="10" t="n">
        <v>1</v>
      </c>
      <c r="C27" s="10" t="inlineStr">
        <is>
          <t>Sit-Out</t>
        </is>
      </c>
      <c r="D27" s="10" t="n">
        <v>4</v>
      </c>
      <c r="E27" s="10" t="n">
        <v>7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8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2</v>
      </c>
      <c r="C29" s="10" t="n">
        <v>2</v>
      </c>
      <c r="D29" s="10" t="n">
        <v>1</v>
      </c>
      <c r="E29" s="10" t="n">
        <v>9</v>
      </c>
      <c r="F29" s="10" t="inlineStr">
        <is>
          <t>EW</t>
        </is>
      </c>
    </row>
    <row r="30">
      <c r="B30" s="16" t="n"/>
      <c r="C30" s="16" t="n"/>
      <c r="D30" s="16" t="n"/>
      <c r="E30" s="16" t="n">
        <v>10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B31" s="10" t="n">
        <v>3</v>
      </c>
      <c r="C31" s="10" t="n">
        <v>7</v>
      </c>
      <c r="D31" s="10" t="n">
        <v>5</v>
      </c>
      <c r="E31" s="10" t="n">
        <v>11</v>
      </c>
      <c r="F31" s="10" t="inlineStr">
        <is>
          <t>None</t>
        </is>
      </c>
    </row>
    <row r="32">
      <c r="B32" s="16" t="n"/>
      <c r="C32" s="16" t="n"/>
      <c r="D32" s="16" t="n"/>
      <c r="E32" s="16" t="n">
        <v>12</v>
      </c>
      <c r="F32" s="16" t="inlineStr">
        <is>
          <t>NS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4</v>
      </c>
      <c r="C33" s="10" t="n">
        <v>3</v>
      </c>
      <c r="D33" s="10" t="n">
        <v>6</v>
      </c>
      <c r="E33" s="10" t="n">
        <v>1</v>
      </c>
      <c r="F33" s="10" t="inlineStr">
        <is>
          <t>None</t>
        </is>
      </c>
    </row>
    <row r="34">
      <c r="A34" s="15" t="n"/>
      <c r="B34" s="16" t="n"/>
      <c r="C34" s="16" t="n"/>
      <c r="D34" s="16" t="n"/>
      <c r="E34" s="16" t="n">
        <v>2</v>
      </c>
      <c r="F34" s="16" t="inlineStr">
        <is>
          <t>NS</t>
        </is>
      </c>
      <c r="G34" s="15" t="n"/>
      <c r="H34" s="15" t="n"/>
      <c r="I34" s="15" t="n"/>
      <c r="J34" s="15" t="n"/>
      <c r="K34" s="15" t="n"/>
      <c r="L34" s="15" t="n"/>
    </row>
    <row r="35">
      <c r="A35" s="10" t="n">
        <v>5</v>
      </c>
      <c r="B35" s="10" t="n">
        <v>1</v>
      </c>
      <c r="C35" s="10" t="inlineStr">
        <is>
          <t>Sit-Out</t>
        </is>
      </c>
      <c r="D35" s="10" t="n">
        <v>5</v>
      </c>
      <c r="E35" s="10" t="n">
        <v>9</v>
      </c>
      <c r="F35" s="10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2</v>
      </c>
      <c r="C37" s="10" t="n">
        <v>3</v>
      </c>
      <c r="D37" s="10" t="n">
        <v>2</v>
      </c>
      <c r="E37" s="10" t="n">
        <v>11</v>
      </c>
      <c r="F37" s="10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3</v>
      </c>
      <c r="C39" s="10" t="n">
        <v>1</v>
      </c>
      <c r="D39" s="10" t="n">
        <v>6</v>
      </c>
      <c r="E39" s="10" t="n">
        <v>13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14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4</v>
      </c>
      <c r="C41" s="10" t="n">
        <v>4</v>
      </c>
      <c r="D41" s="10" t="n">
        <v>7</v>
      </c>
      <c r="E41" s="10" t="n">
        <v>3</v>
      </c>
      <c r="F41" s="10" t="inlineStr">
        <is>
          <t>EW</t>
        </is>
      </c>
    </row>
    <row r="42">
      <c r="A42" s="15" t="n"/>
      <c r="B42" s="16" t="n"/>
      <c r="C42" s="16" t="n"/>
      <c r="D42" s="16" t="n"/>
      <c r="E42" s="16" t="n">
        <v>4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A43" s="10" t="n">
        <v>6</v>
      </c>
      <c r="B43" s="10" t="n">
        <v>1</v>
      </c>
      <c r="C43" s="10" t="inlineStr">
        <is>
          <t>Sit-Out</t>
        </is>
      </c>
      <c r="D43" s="10" t="n">
        <v>6</v>
      </c>
      <c r="E43" s="10" t="n">
        <v>11</v>
      </c>
      <c r="F43" s="10" t="inlineStr">
        <is>
          <t>None</t>
        </is>
      </c>
    </row>
    <row r="44">
      <c r="B44" s="16" t="n"/>
      <c r="C44" s="16" t="n"/>
      <c r="D44" s="16" t="n"/>
      <c r="E44" s="16" t="n">
        <v>12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B45" s="10" t="n">
        <v>2</v>
      </c>
      <c r="C45" s="10" t="n">
        <v>4</v>
      </c>
      <c r="D45" s="10" t="n">
        <v>3</v>
      </c>
      <c r="E45" s="10" t="n">
        <v>13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14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3</v>
      </c>
      <c r="C47" s="10" t="n">
        <v>2</v>
      </c>
      <c r="D47" s="10" t="n">
        <v>7</v>
      </c>
      <c r="E47" s="10" t="n">
        <v>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4</v>
      </c>
      <c r="C49" s="10" t="n">
        <v>5</v>
      </c>
      <c r="D49" s="10" t="n">
        <v>1</v>
      </c>
      <c r="E49" s="10" t="n">
        <v>5</v>
      </c>
      <c r="F49" s="10" t="inlineStr">
        <is>
          <t>NS</t>
        </is>
      </c>
    </row>
    <row r="50">
      <c r="A50" s="15" t="n"/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  <c r="L50" s="15" t="n"/>
    </row>
    <row r="51">
      <c r="A51" s="10" t="n">
        <v>7</v>
      </c>
      <c r="B51" s="10" t="n">
        <v>1</v>
      </c>
      <c r="C51" s="10" t="inlineStr">
        <is>
          <t>Sit-Out</t>
        </is>
      </c>
      <c r="D51" s="10" t="n">
        <v>7</v>
      </c>
      <c r="E51" s="10" t="n">
        <v>13</v>
      </c>
      <c r="F51" s="10" t="inlineStr">
        <is>
          <t>Both</t>
        </is>
      </c>
    </row>
    <row r="52">
      <c r="B52" s="16" t="n"/>
      <c r="C52" s="16" t="n"/>
      <c r="D52" s="16" t="n"/>
      <c r="E52" s="16" t="n">
        <v>14</v>
      </c>
      <c r="F52" s="16" t="inlineStr">
        <is>
          <t>None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2</v>
      </c>
      <c r="C53" s="10" t="n">
        <v>5</v>
      </c>
      <c r="D53" s="10" t="n">
        <v>4</v>
      </c>
      <c r="E53" s="10" t="n">
        <v>1</v>
      </c>
      <c r="F53" s="10" t="inlineStr">
        <is>
          <t>None</t>
        </is>
      </c>
    </row>
    <row r="54">
      <c r="B54" s="16" t="n"/>
      <c r="C54" s="16" t="n"/>
      <c r="D54" s="16" t="n"/>
      <c r="E54" s="16" t="n">
        <v>2</v>
      </c>
      <c r="F54" s="16" t="inlineStr">
        <is>
          <t>NS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3</v>
      </c>
      <c r="C55" s="10" t="n">
        <v>3</v>
      </c>
      <c r="D55" s="10" t="n">
        <v>1</v>
      </c>
      <c r="E55" s="10" t="n">
        <v>3</v>
      </c>
      <c r="F55" s="10" t="inlineStr">
        <is>
          <t>EW</t>
        </is>
      </c>
    </row>
    <row r="56">
      <c r="B56" s="16" t="n"/>
      <c r="C56" s="16" t="n"/>
      <c r="D56" s="16" t="n"/>
      <c r="E56" s="16" t="n">
        <v>4</v>
      </c>
      <c r="F56" s="16" t="inlineStr">
        <is>
          <t>Both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4</v>
      </c>
      <c r="C57" s="10" t="n">
        <v>6</v>
      </c>
      <c r="D57" s="10" t="n">
        <v>2</v>
      </c>
      <c r="E57" s="10" t="n">
        <v>7</v>
      </c>
      <c r="F57" s="10" t="inlineStr">
        <is>
          <t>Both</t>
        </is>
      </c>
    </row>
    <row r="58">
      <c r="A58" s="15" t="n"/>
      <c r="B58" s="16" t="n"/>
      <c r="C58" s="16" t="n"/>
      <c r="D58" s="16" t="n"/>
      <c r="E58" s="16" t="n">
        <v>8</v>
      </c>
      <c r="F58" s="16" t="inlineStr">
        <is>
          <t>None</t>
        </is>
      </c>
      <c r="G58" s="15" t="n"/>
      <c r="H58" s="15" t="n"/>
      <c r="I58" s="15" t="n"/>
      <c r="J58" s="15" t="n"/>
      <c r="K58" s="15" t="n"/>
      <c r="L58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2026-04-09T04:39:59Z</dcterms:created>
  <dcterms:modified xsi:type="dcterms:W3CDTF">2026-04-09T04:39:59Z</dcterms:modified>
</cp:coreProperties>
</file>