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41</t>
        </is>
      </c>
      <c r="C10" t="inlineStr">
        <is>
          <t>Name 39</t>
        </is>
      </c>
      <c r="D10" s="4">
        <f>SUMIF('By Board'!$D$3:$D$50,"=1",'By Board'!$N$3:$N$50)/12+SUMIF('By Board'!$E$3:$E$50,"=1",'By Board'!$O$3:$O$50)/12</f>
        <v/>
      </c>
      <c r="E10" s="5">
        <f>SUMIF('By Board'!$D$3:$D$50,"=1",'By Board'!$L$3:$L$50)+SUMIF('By Board'!$E$3:$E$50,"=1",'By Board'!$M$3:$M$50)</f>
        <v/>
      </c>
    </row>
    <row r="11">
      <c r="A11" s="2" t="n">
        <v>2</v>
      </c>
      <c r="B11" t="inlineStr">
        <is>
          <t>Name 63</t>
        </is>
      </c>
      <c r="C11" t="inlineStr">
        <is>
          <t>Name 53</t>
        </is>
      </c>
      <c r="D11" s="4">
        <f>SUMIF('By Board'!$D$3:$D$50,"=2",'By Board'!$N$3:$N$50)/12+SUMIF('By Board'!$E$3:$E$50,"=2",'By Board'!$O$3:$O$50)/12</f>
        <v/>
      </c>
      <c r="E11" s="5">
        <f>SUMIF('By Board'!$D$3:$D$50,"=2",'By Board'!$L$3:$L$50)+SUMIF('By Board'!$E$3:$E$50,"=2",'By Board'!$M$3:$M$50)</f>
        <v/>
      </c>
    </row>
    <row r="12">
      <c r="A12" s="2" t="n">
        <v>3</v>
      </c>
      <c r="B12" t="inlineStr">
        <is>
          <t>Name 46</t>
        </is>
      </c>
      <c r="C12" t="inlineStr">
        <is>
          <t>Name 55</t>
        </is>
      </c>
      <c r="D12" s="4">
        <f>SUMIF('By Board'!$D$3:$D$50,"=3",'By Board'!$N$3:$N$50)/12+SUMIF('By Board'!$E$3:$E$50,"=3",'By Board'!$O$3:$O$50)/12</f>
        <v/>
      </c>
      <c r="E12" s="5">
        <f>SUMIF('By Board'!$D$3:$D$50,"=3",'By Board'!$L$3:$L$50)+SUMIF('By Board'!$E$3:$E$50,"=3",'By Board'!$M$3:$M$50)</f>
        <v/>
      </c>
    </row>
    <row r="13">
      <c r="A13" s="2" t="n">
        <v>4</v>
      </c>
      <c r="B13" t="inlineStr">
        <is>
          <t>Name 20</t>
        </is>
      </c>
      <c r="C13" t="inlineStr">
        <is>
          <t>Name 81</t>
        </is>
      </c>
      <c r="D13" s="4">
        <f>SUMIF('By Board'!$D$3:$D$50,"=4",'By Board'!$N$3:$N$50)/12+SUMIF('By Board'!$E$3:$E$50,"=4",'By Board'!$O$3:$O$50)/12</f>
        <v/>
      </c>
      <c r="E13" s="5">
        <f>SUMIF('By Board'!$D$3:$D$50,"=4",'By Board'!$L$3:$L$50)+SUMIF('By Board'!$E$3:$E$50,"=4",'By Board'!$M$3:$M$50)</f>
        <v/>
      </c>
    </row>
    <row r="14">
      <c r="A14" s="2" t="n">
        <v>5</v>
      </c>
      <c r="B14" t="inlineStr">
        <is>
          <t>Name 19</t>
        </is>
      </c>
      <c r="C14" t="inlineStr">
        <is>
          <t>Name 69</t>
        </is>
      </c>
      <c r="D14" s="4">
        <f>SUMIF('By Board'!$D$3:$D$50,"=5",'By Board'!$N$3:$N$50)/12+SUMIF('By Board'!$E$3:$E$50,"=5",'By Board'!$O$3:$O$50)/12</f>
        <v/>
      </c>
      <c r="E14" s="5">
        <f>SUMIF('By Board'!$D$3:$D$50,"=5",'By Board'!$L$3:$L$50)+SUMIF('By Board'!$E$3:$E$50,"=5",'By Board'!$M$3:$M$50)</f>
        <v/>
      </c>
    </row>
    <row r="15">
      <c r="A15" s="2" t="n">
        <v>6</v>
      </c>
      <c r="B15" t="inlineStr">
        <is>
          <t>Name 61</t>
        </is>
      </c>
      <c r="C15" t="inlineStr">
        <is>
          <t>Name 68</t>
        </is>
      </c>
      <c r="D15" s="4">
        <f>SUMIF('By Board'!$D$3:$D$50,"=6",'By Board'!$N$3:$N$50)/12+SUMIF('By Board'!$E$3:$E$50,"=6",'By Board'!$O$3:$O$50)/12</f>
        <v/>
      </c>
      <c r="E15" s="5">
        <f>SUMIF('By Board'!$D$3:$D$50,"=6",'By Board'!$L$3:$L$50)+SUMIF('By Board'!$E$3:$E$50,"=6",'By Board'!$M$3:$M$50)</f>
        <v/>
      </c>
    </row>
    <row r="16">
      <c r="A16" s="2" t="n">
        <v>7</v>
      </c>
      <c r="B16" t="inlineStr">
        <is>
          <t>Name 54</t>
        </is>
      </c>
      <c r="C16" t="inlineStr">
        <is>
          <t>Name 76</t>
        </is>
      </c>
      <c r="D16" s="4">
        <f>SUMIF('By Board'!$D$3:$D$50,"=7",'By Board'!$N$3:$N$50)/12+SUMIF('By Board'!$E$3:$E$50,"=7",'By Board'!$O$3:$O$50)/12</f>
        <v/>
      </c>
      <c r="E16" s="5">
        <f>SUMIF('By Board'!$D$3:$D$50,"=7",'By Board'!$L$3:$L$50)+SUMIF('By Board'!$E$3:$E$50,"=7",'By Board'!$M$3:$M$50)</f>
        <v/>
      </c>
    </row>
    <row r="17">
      <c r="D17" s="6">
        <f>AVERAGE(D10:D16)</f>
        <v/>
      </c>
      <c r="E17" s="7">
        <f>SUM(E10:E16)</f>
        <v/>
      </c>
    </row>
    <row r="19">
      <c r="A19" t="inlineStr">
        <is>
          <t>To sort, remove single quote below</t>
        </is>
      </c>
    </row>
    <row r="20">
      <c r="A20" s="2" t="inlineStr">
        <is>
          <t>IMP Ranking</t>
        </is>
      </c>
    </row>
    <row r="21">
      <c r="A21" t="inlineStr">
        <is>
          <t>'=SORT(A10:E16,4,-1)</t>
        </is>
      </c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32">
      <c r="A32" s="2" t="inlineStr">
        <is>
          <t>MP Ranking</t>
        </is>
      </c>
    </row>
    <row r="33">
      <c r="A33" t="inlineStr">
        <is>
          <t>'=SORT(A10:E16,5,-1)</t>
        </is>
      </c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</sheetData>
  <mergeCells count="9">
    <mergeCell ref="A4:B4"/>
    <mergeCell ref="A20:E20"/>
    <mergeCell ref="A7:B7"/>
    <mergeCell ref="A2:E2"/>
    <mergeCell ref="A5:B5"/>
    <mergeCell ref="A9:C9"/>
    <mergeCell ref="A32:E3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AVERAGE(Z3:AB3)</f>
        <v/>
      </c>
      <c r="M3" s="13">
        <f>AVERAGE(AC3:AE3)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1">
        <f>'By Round'!A43</f>
        <v/>
      </c>
      <c r="C4" s="11">
        <f>'By Round'!B47</f>
        <v/>
      </c>
      <c r="D4" s="11">
        <f>'By Round'!C47</f>
        <v/>
      </c>
      <c r="E4" s="11">
        <f>'By Round'!D47</f>
        <v/>
      </c>
      <c r="F4" s="11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 s="12">
        <f>AVERAGE(Z4:AB4)</f>
        <v/>
      </c>
      <c r="M4" s="13">
        <f>AVERAGE(AC4:AE4)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1">
        <f>'By Round'!A27</f>
        <v/>
      </c>
      <c r="C5" s="11">
        <f>'By Round'!B33</f>
        <v/>
      </c>
      <c r="D5" s="11">
        <f>'By Round'!C33</f>
        <v/>
      </c>
      <c r="E5" s="11">
        <f>'By Round'!D33</f>
        <v/>
      </c>
      <c r="F5" s="11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2">
        <f>AVERAGE(Z5:AB5)</f>
        <v/>
      </c>
      <c r="M5" s="13">
        <f>AVERAGE(AC5:AE5)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AVERAGE(Z6:AB6)</f>
        <v/>
      </c>
      <c r="M6" s="18">
        <f>AVERAGE(AC6:AE6)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s="11" t="n">
        <v>2</v>
      </c>
      <c r="B7" s="11">
        <f>'By Round'!A3</f>
        <v/>
      </c>
      <c r="C7" s="11">
        <f>'By Round'!B3</f>
        <v/>
      </c>
      <c r="D7" s="11">
        <f>'By Round'!C3</f>
        <v/>
      </c>
      <c r="E7" s="11">
        <f>'By Round'!D3</f>
        <v/>
      </c>
      <c r="F7" s="11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2">
        <f>AVERAGE(Z7:AB7)</f>
        <v/>
      </c>
      <c r="M7" s="13">
        <f>AVERAGE(AC7:AE7)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1">
        <f>'By Round'!A43</f>
        <v/>
      </c>
      <c r="C8" s="11">
        <f>'By Round'!B47</f>
        <v/>
      </c>
      <c r="D8" s="11">
        <f>'By Round'!C47</f>
        <v/>
      </c>
      <c r="E8" s="11">
        <f>'By Round'!D47</f>
        <v/>
      </c>
      <c r="F8" s="11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 s="12">
        <f>AVERAGE(Z8:AB8)</f>
        <v/>
      </c>
      <c r="M8" s="13">
        <f>AVERAGE(AC8:AE8)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1">
        <f>'By Round'!A27</f>
        <v/>
      </c>
      <c r="C9" s="11">
        <f>'By Round'!B33</f>
        <v/>
      </c>
      <c r="D9" s="11">
        <f>'By Round'!C33</f>
        <v/>
      </c>
      <c r="E9" s="11">
        <f>'By Round'!D33</f>
        <v/>
      </c>
      <c r="F9" s="11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2">
        <f>AVERAGE(Z9:AB9)</f>
        <v/>
      </c>
      <c r="M9" s="13">
        <f>AVERAGE(AC9:AE9)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7">
        <f>AVERAGE(Z10:AB10)</f>
        <v/>
      </c>
      <c r="M10" s="18">
        <f>AVERAGE(AC10:AE10)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s="11" t="n">
        <v>3</v>
      </c>
      <c r="B11" s="11">
        <f>'By Round'!A11</f>
        <v/>
      </c>
      <c r="C11" s="11">
        <f>'By Round'!B11</f>
        <v/>
      </c>
      <c r="D11" s="11">
        <f>'By Round'!C11</f>
        <v/>
      </c>
      <c r="E11" s="11">
        <f>'By Round'!D11</f>
        <v/>
      </c>
      <c r="F11" s="11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 s="12">
        <f>AVERAGE(Z11:AB11)</f>
        <v/>
      </c>
      <c r="M11" s="13">
        <f>AVERAGE(AC11:AE11)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1">
        <f>'By Round'!A51</f>
        <v/>
      </c>
      <c r="C12" s="11">
        <f>'By Round'!B55</f>
        <v/>
      </c>
      <c r="D12" s="11">
        <f>'By Round'!C55</f>
        <v/>
      </c>
      <c r="E12" s="11">
        <f>'By Round'!D55</f>
        <v/>
      </c>
      <c r="F12" s="11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AVERAGE(Z12:AB12)</f>
        <v/>
      </c>
      <c r="M12" s="13">
        <f>AVERAGE(AC12:AE12)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1">
        <f>'By Round'!A35</f>
        <v/>
      </c>
      <c r="C13" s="11">
        <f>'By Round'!B41</f>
        <v/>
      </c>
      <c r="D13" s="11">
        <f>'By Round'!C41</f>
        <v/>
      </c>
      <c r="E13" s="11">
        <f>'By Round'!D41</f>
        <v/>
      </c>
      <c r="F13" s="11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AVERAGE(Z13:AB13)</f>
        <v/>
      </c>
      <c r="M13" s="13">
        <f>AVERAGE(AC13:AE13)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7">
        <f>AVERAGE(Z14:AB14)</f>
        <v/>
      </c>
      <c r="M14" s="18">
        <f>AVERAGE(AC14:AE14)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s="11" t="n">
        <v>4</v>
      </c>
      <c r="B15" s="11">
        <f>'By Round'!A11</f>
        <v/>
      </c>
      <c r="C15" s="11">
        <f>'By Round'!B11</f>
        <v/>
      </c>
      <c r="D15" s="11">
        <f>'By Round'!C11</f>
        <v/>
      </c>
      <c r="E15" s="11">
        <f>'By Round'!D11</f>
        <v/>
      </c>
      <c r="F15" s="11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 s="12">
        <f>AVERAGE(Z15:AB15)</f>
        <v/>
      </c>
      <c r="M15" s="13">
        <f>AVERAGE(AC15:AE15)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1">
        <f>'By Round'!A51</f>
        <v/>
      </c>
      <c r="C16" s="11">
        <f>'By Round'!B55</f>
        <v/>
      </c>
      <c r="D16" s="11">
        <f>'By Round'!C55</f>
        <v/>
      </c>
      <c r="E16" s="11">
        <f>'By Round'!D55</f>
        <v/>
      </c>
      <c r="F16" s="11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2">
        <f>AVERAGE(Z16:AB16)</f>
        <v/>
      </c>
      <c r="M16" s="13">
        <f>AVERAGE(AC16:AE16)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1">
        <f>'By Round'!A35</f>
        <v/>
      </c>
      <c r="C17" s="11">
        <f>'By Round'!B41</f>
        <v/>
      </c>
      <c r="D17" s="11">
        <f>'By Round'!C41</f>
        <v/>
      </c>
      <c r="E17" s="11">
        <f>'By Round'!D41</f>
        <v/>
      </c>
      <c r="F17" s="11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 s="12">
        <f>AVERAGE(Z17:AB17)</f>
        <v/>
      </c>
      <c r="M17" s="13">
        <f>AVERAGE(AC17:AE17)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7">
        <f>AVERAGE(Z18:AB18)</f>
        <v/>
      </c>
      <c r="M18" s="18">
        <f>AVERAGE(AC18:AE18)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s="11" t="n">
        <v>5</v>
      </c>
      <c r="B19" s="11">
        <f>'By Round'!A19</f>
        <v/>
      </c>
      <c r="C19" s="11">
        <f>'By Round'!B19</f>
        <v/>
      </c>
      <c r="D19" s="11">
        <f>'By Round'!C19</f>
        <v/>
      </c>
      <c r="E19" s="11">
        <f>'By Round'!D19</f>
        <v/>
      </c>
      <c r="F19" s="11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 s="12">
        <f>AVERAGE(Z19:AB19)</f>
        <v/>
      </c>
      <c r="M19" s="13">
        <f>AVERAGE(AC19:AE19)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1">
        <f>'By Round'!A3</f>
        <v/>
      </c>
      <c r="C20" s="11">
        <f>'By Round'!B7</f>
        <v/>
      </c>
      <c r="D20" s="11">
        <f>'By Round'!C7</f>
        <v/>
      </c>
      <c r="E20" s="11">
        <f>'By Round'!D7</f>
        <v/>
      </c>
      <c r="F20" s="11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 s="12">
        <f>AVERAGE(Z20:AB20)</f>
        <v/>
      </c>
      <c r="M20" s="13">
        <f>AVERAGE(AC20:AE20)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1">
        <f>'By Round'!A43</f>
        <v/>
      </c>
      <c r="C21" s="11">
        <f>'By Round'!B49</f>
        <v/>
      </c>
      <c r="D21" s="11">
        <f>'By Round'!C49</f>
        <v/>
      </c>
      <c r="E21" s="11">
        <f>'By Round'!D49</f>
        <v/>
      </c>
      <c r="F21" s="11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 s="12">
        <f>AVERAGE(Z21:AB21)</f>
        <v/>
      </c>
      <c r="M21" s="13">
        <f>AVERAGE(AC21:AE21)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7">
        <f>AVERAGE(Z22:AB22)</f>
        <v/>
      </c>
      <c r="M22" s="18">
        <f>AVERAGE(AC22:AE22)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s="11" t="n">
        <v>6</v>
      </c>
      <c r="B23" s="11">
        <f>'By Round'!A19</f>
        <v/>
      </c>
      <c r="C23" s="11">
        <f>'By Round'!B19</f>
        <v/>
      </c>
      <c r="D23" s="11">
        <f>'By Round'!C19</f>
        <v/>
      </c>
      <c r="E23" s="11">
        <f>'By Round'!D19</f>
        <v/>
      </c>
      <c r="F23" s="11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 s="12">
        <f>AVERAGE(Z23:AB23)</f>
        <v/>
      </c>
      <c r="M23" s="13">
        <f>AVERAGE(AC23:AE23)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1">
        <f>'By Round'!A3</f>
        <v/>
      </c>
      <c r="C24" s="11">
        <f>'By Round'!B7</f>
        <v/>
      </c>
      <c r="D24" s="11">
        <f>'By Round'!C7</f>
        <v/>
      </c>
      <c r="E24" s="11">
        <f>'By Round'!D7</f>
        <v/>
      </c>
      <c r="F24" s="11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 s="12">
        <f>AVERAGE(Z24:AB24)</f>
        <v/>
      </c>
      <c r="M24" s="13">
        <f>AVERAGE(AC24:AE24)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1">
        <f>'By Round'!A43</f>
        <v/>
      </c>
      <c r="C25" s="11">
        <f>'By Round'!B49</f>
        <v/>
      </c>
      <c r="D25" s="11">
        <f>'By Round'!C49</f>
        <v/>
      </c>
      <c r="E25" s="11">
        <f>'By Round'!D49</f>
        <v/>
      </c>
      <c r="F25" s="11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 s="12">
        <f>AVERAGE(Z25:AB25)</f>
        <v/>
      </c>
      <c r="M25" s="13">
        <f>AVERAGE(AC25:AE25)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7">
        <f>AVERAGE(Z26:AB26)</f>
        <v/>
      </c>
      <c r="M26" s="18">
        <f>AVERAGE(AC26:AE26)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s="11" t="n">
        <v>7</v>
      </c>
      <c r="B27" s="11">
        <f>'By Round'!A27</f>
        <v/>
      </c>
      <c r="C27" s="11">
        <f>'By Round'!B27</f>
        <v/>
      </c>
      <c r="D27" s="11">
        <f>'By Round'!C27</f>
        <v/>
      </c>
      <c r="E27" s="11">
        <f>'By Round'!D27</f>
        <v/>
      </c>
      <c r="F27" s="11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AVERAGE(Z27:AB27)</f>
        <v/>
      </c>
      <c r="M27" s="13">
        <f>AVERAGE(AC27:AE27)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1">
        <f>'By Round'!A19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AVERAGE(Z28:AB28)</f>
        <v/>
      </c>
      <c r="M28" s="13">
        <f>AVERAGE(AC28:AE28)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1">
        <f>'By Round'!A11</f>
        <v/>
      </c>
      <c r="C29" s="11">
        <f>'By Round'!B15</f>
        <v/>
      </c>
      <c r="D29" s="11">
        <f>'By Round'!C15</f>
        <v/>
      </c>
      <c r="E29" s="11">
        <f>'By Round'!D15</f>
        <v/>
      </c>
      <c r="F29" s="11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AVERAGE(Z29:AB29)</f>
        <v/>
      </c>
      <c r="M29" s="13">
        <f>AVERAGE(AC29:AE29)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AVERAGE(Z30:AB30)</f>
        <v/>
      </c>
      <c r="M30" s="18">
        <f>AVERAGE(AC30:AE30)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s="11" t="n">
        <v>8</v>
      </c>
      <c r="B31" s="11">
        <f>'By Round'!A27</f>
        <v/>
      </c>
      <c r="C31" s="11">
        <f>'By Round'!B27</f>
        <v/>
      </c>
      <c r="D31" s="11">
        <f>'By Round'!C27</f>
        <v/>
      </c>
      <c r="E31" s="11">
        <f>'By Round'!D27</f>
        <v/>
      </c>
      <c r="F31" s="11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2">
        <f>AVERAGE(Z31:AB31)</f>
        <v/>
      </c>
      <c r="M31" s="13">
        <f>AVERAGE(AC31:AE31)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1">
        <f>'By Round'!A19</f>
        <v/>
      </c>
      <c r="C32" s="11">
        <f>'By Round'!B21</f>
        <v/>
      </c>
      <c r="D32" s="11">
        <f>'By Round'!C21</f>
        <v/>
      </c>
      <c r="E32" s="11">
        <f>'By Round'!D21</f>
        <v/>
      </c>
      <c r="F32" s="11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 s="12">
        <f>AVERAGE(Z32:AB32)</f>
        <v/>
      </c>
      <c r="M32" s="13">
        <f>AVERAGE(AC32:AE32)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1">
        <f>'By Round'!A11</f>
        <v/>
      </c>
      <c r="C33" s="11">
        <f>'By Round'!B15</f>
        <v/>
      </c>
      <c r="D33" s="11">
        <f>'By Round'!C15</f>
        <v/>
      </c>
      <c r="E33" s="11">
        <f>'By Round'!D15</f>
        <v/>
      </c>
      <c r="F33" s="11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 s="12">
        <f>AVERAGE(Z33:AB33)</f>
        <v/>
      </c>
      <c r="M33" s="13">
        <f>AVERAGE(AC33:AE33)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7">
        <f>AVERAGE(Z34:AB34)</f>
        <v/>
      </c>
      <c r="M34" s="18">
        <f>AVERAGE(AC34:AE34)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s="11" t="n">
        <v>9</v>
      </c>
      <c r="B35" s="11">
        <f>'By Round'!A35</f>
        <v/>
      </c>
      <c r="C35" s="11">
        <f>'By Round'!B35</f>
        <v/>
      </c>
      <c r="D35" s="11">
        <f>'By Round'!C35</f>
        <v/>
      </c>
      <c r="E35" s="11">
        <f>'By Round'!D35</f>
        <v/>
      </c>
      <c r="F35" s="11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 s="12">
        <f>AVERAGE(Z35:AB35)</f>
        <v/>
      </c>
      <c r="M35" s="13">
        <f>AVERAGE(AC35:AE35)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1">
        <f>'By Round'!A27</f>
        <v/>
      </c>
      <c r="C36" s="11">
        <f>'By Round'!B29</f>
        <v/>
      </c>
      <c r="D36" s="11">
        <f>'By Round'!C29</f>
        <v/>
      </c>
      <c r="E36" s="11">
        <f>'By Round'!D29</f>
        <v/>
      </c>
      <c r="F36" s="11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 s="12">
        <f>AVERAGE(Z36:AB36)</f>
        <v/>
      </c>
      <c r="M36" s="13">
        <f>AVERAGE(AC36:AE36)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1">
        <f>'By Round'!A19</f>
        <v/>
      </c>
      <c r="C37" s="11">
        <f>'By Round'!B23</f>
        <v/>
      </c>
      <c r="D37" s="11">
        <f>'By Round'!C23</f>
        <v/>
      </c>
      <c r="E37" s="11">
        <f>'By Round'!D23</f>
        <v/>
      </c>
      <c r="F37" s="11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 s="12">
        <f>AVERAGE(Z37:AB37)</f>
        <v/>
      </c>
      <c r="M37" s="13">
        <f>AVERAGE(AC37:AE37)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7">
        <f>AVERAGE(Z38:AB38)</f>
        <v/>
      </c>
      <c r="M38" s="18">
        <f>AVERAGE(AC38:AE38)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s="11" t="n">
        <v>10</v>
      </c>
      <c r="B39" s="11">
        <f>'By Round'!A35</f>
        <v/>
      </c>
      <c r="C39" s="11">
        <f>'By Round'!B35</f>
        <v/>
      </c>
      <c r="D39" s="11">
        <f>'By Round'!C35</f>
        <v/>
      </c>
      <c r="E39" s="11">
        <f>'By Round'!D35</f>
        <v/>
      </c>
      <c r="F39" s="11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 s="12">
        <f>AVERAGE(Z39:AB39)</f>
        <v/>
      </c>
      <c r="M39" s="13">
        <f>AVERAGE(AC39:AE39)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1">
        <f>'By Round'!A27</f>
        <v/>
      </c>
      <c r="C40" s="11">
        <f>'By Round'!B29</f>
        <v/>
      </c>
      <c r="D40" s="11">
        <f>'By Round'!C29</f>
        <v/>
      </c>
      <c r="E40" s="11">
        <f>'By Round'!D29</f>
        <v/>
      </c>
      <c r="F40" s="11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 s="12">
        <f>AVERAGE(Z40:AB40)</f>
        <v/>
      </c>
      <c r="M40" s="13">
        <f>AVERAGE(AC40:AE40)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1">
        <f>'By Round'!A19</f>
        <v/>
      </c>
      <c r="C41" s="11">
        <f>'By Round'!B23</f>
        <v/>
      </c>
      <c r="D41" s="11">
        <f>'By Round'!C23</f>
        <v/>
      </c>
      <c r="E41" s="11">
        <f>'By Round'!D23</f>
        <v/>
      </c>
      <c r="F41" s="11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 s="12">
        <f>AVERAGE(Z41:AB41)</f>
        <v/>
      </c>
      <c r="M41" s="13">
        <f>AVERAGE(AC41:AE41)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7">
        <f>AVERAGE(Z42:AB42)</f>
        <v/>
      </c>
      <c r="M42" s="18">
        <f>AVERAGE(AC42:AE42)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s="11" t="n">
        <v>11</v>
      </c>
      <c r="B43" s="11">
        <f>'By Round'!A43</f>
        <v/>
      </c>
      <c r="C43" s="11">
        <f>'By Round'!B43</f>
        <v/>
      </c>
      <c r="D43" s="11">
        <f>'By Round'!C43</f>
        <v/>
      </c>
      <c r="E43" s="11">
        <f>'By Round'!D43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AVERAGE(Z43:AB43)</f>
        <v/>
      </c>
      <c r="M43" s="13">
        <f>AVERAGE(AC43:AE43)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1">
        <f>'By Round'!A11</f>
        <v/>
      </c>
      <c r="C44" s="11">
        <f>'By Round'!B17</f>
        <v/>
      </c>
      <c r="D44" s="11">
        <f>'By Round'!C17</f>
        <v/>
      </c>
      <c r="E44" s="11">
        <f>'By Round'!D17</f>
        <v/>
      </c>
      <c r="F44" s="11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 s="12">
        <f>AVERAGE(Z44:AB44)</f>
        <v/>
      </c>
      <c r="M44" s="13">
        <f>AVERAGE(AC44:AE44)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1">
        <f>'By Round'!A35</f>
        <v/>
      </c>
      <c r="C45" s="11">
        <f>'By Round'!B37</f>
        <v/>
      </c>
      <c r="D45" s="11">
        <f>'By Round'!C37</f>
        <v/>
      </c>
      <c r="E45" s="11">
        <f>'By Round'!D37</f>
        <v/>
      </c>
      <c r="F45" s="11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AVERAGE(Z45:AB45)</f>
        <v/>
      </c>
      <c r="M45" s="13">
        <f>AVERAGE(AC45:AE45)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7">
        <f>AVERAGE(Z46:AB46)</f>
        <v/>
      </c>
      <c r="M46" s="18">
        <f>AVERAGE(AC46:AE46)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s="11" t="n">
        <v>12</v>
      </c>
      <c r="B47" s="11">
        <f>'By Round'!A43</f>
        <v/>
      </c>
      <c r="C47" s="11">
        <f>'By Round'!B43</f>
        <v/>
      </c>
      <c r="D47" s="11">
        <f>'By Round'!C43</f>
        <v/>
      </c>
      <c r="E47" s="11">
        <f>'By Round'!D43</f>
        <v/>
      </c>
      <c r="F47" s="11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 s="12">
        <f>AVERAGE(Z47:AB47)</f>
        <v/>
      </c>
      <c r="M47" s="13">
        <f>AVERAGE(AC47:AE47)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1">
        <f>'By Round'!A11</f>
        <v/>
      </c>
      <c r="C48" s="11">
        <f>'By Round'!B17</f>
        <v/>
      </c>
      <c r="D48" s="11">
        <f>'By Round'!C17</f>
        <v/>
      </c>
      <c r="E48" s="11">
        <f>'By Round'!D17</f>
        <v/>
      </c>
      <c r="F48" s="11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 s="12">
        <f>AVERAGE(Z48:AB48)</f>
        <v/>
      </c>
      <c r="M48" s="13">
        <f>AVERAGE(AC48:AE48)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1">
        <f>'By Round'!A35</f>
        <v/>
      </c>
      <c r="C49" s="11">
        <f>'By Round'!B37</f>
        <v/>
      </c>
      <c r="D49" s="11">
        <f>'By Round'!C37</f>
        <v/>
      </c>
      <c r="E49" s="11">
        <f>'By Round'!D37</f>
        <v/>
      </c>
      <c r="F49" s="11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 s="12">
        <f>AVERAGE(Z49:AB49)</f>
        <v/>
      </c>
      <c r="M49" s="13">
        <f>AVERAGE(AC49:AE49)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7">
        <f>AVERAGE(Z50:AB50)</f>
        <v/>
      </c>
      <c r="M50" s="18">
        <f>AVERAGE(AC50:AE50)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s="11" t="n">
        <v>13</v>
      </c>
      <c r="B51" s="11">
        <f>'By Round'!A51</f>
        <v/>
      </c>
      <c r="C51" s="11">
        <f>'By Round'!B51</f>
        <v/>
      </c>
      <c r="D51" s="11">
        <f>'By Round'!C51</f>
        <v/>
      </c>
      <c r="E51" s="11">
        <f>'By Round'!D51</f>
        <v/>
      </c>
      <c r="F51" s="11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 s="12">
        <f>AVERAGE(Z51:AB51)</f>
        <v/>
      </c>
      <c r="M51" s="13">
        <f>AVERAGE(AC51:AE51)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 s="11">
        <f>'By Round'!A35</f>
        <v/>
      </c>
      <c r="C52" s="11">
        <f>'By Round'!B39</f>
        <v/>
      </c>
      <c r="D52" s="11">
        <f>'By Round'!C39</f>
        <v/>
      </c>
      <c r="E52" s="11">
        <f>'By Round'!D39</f>
        <v/>
      </c>
      <c r="F52" s="11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AVERAGE(Z52:AB52)</f>
        <v/>
      </c>
      <c r="M52" s="13">
        <f>AVERAGE(AC52:AE52)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 s="11">
        <f>'By Round'!A19</f>
        <v/>
      </c>
      <c r="C53" s="11">
        <f>'By Round'!B25</f>
        <v/>
      </c>
      <c r="D53" s="11">
        <f>'By Round'!C25</f>
        <v/>
      </c>
      <c r="E53" s="11">
        <f>'By Round'!D25</f>
        <v/>
      </c>
      <c r="F53" s="11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 s="12">
        <f>AVERAGE(Z53:AB53)</f>
        <v/>
      </c>
      <c r="M53" s="13">
        <f>AVERAGE(AC53:AE53)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7">
        <f>AVERAGE(Z54:AB54)</f>
        <v/>
      </c>
      <c r="M54" s="18">
        <f>AVERAGE(AC54:AE54)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s="11" t="n">
        <v>14</v>
      </c>
      <c r="B55" s="11">
        <f>'By Round'!A51</f>
        <v/>
      </c>
      <c r="C55" s="11">
        <f>'By Round'!B51</f>
        <v/>
      </c>
      <c r="D55" s="11">
        <f>'By Round'!C51</f>
        <v/>
      </c>
      <c r="E55" s="11">
        <f>'By Round'!D51</f>
        <v/>
      </c>
      <c r="F55" s="11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 s="12">
        <f>AVERAGE(Z55:AB55)</f>
        <v/>
      </c>
      <c r="M55" s="13">
        <f>AVERAGE(AC55:AE55)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 s="11">
        <f>'By Round'!A35</f>
        <v/>
      </c>
      <c r="C56" s="11">
        <f>'By Round'!B39</f>
        <v/>
      </c>
      <c r="D56" s="11">
        <f>'By Round'!C39</f>
        <v/>
      </c>
      <c r="E56" s="11">
        <f>'By Round'!D39</f>
        <v/>
      </c>
      <c r="F56" s="11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 s="12">
        <f>AVERAGE(Z56:AB56)</f>
        <v/>
      </c>
      <c r="M56" s="13">
        <f>AVERAGE(AC56:AE56)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 s="11">
        <f>'By Round'!A19</f>
        <v/>
      </c>
      <c r="C57" s="11">
        <f>'By Round'!B25</f>
        <v/>
      </c>
      <c r="D57" s="11">
        <f>'By Round'!C25</f>
        <v/>
      </c>
      <c r="E57" s="11">
        <f>'By Round'!D25</f>
        <v/>
      </c>
      <c r="F57" s="11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 s="12">
        <f>AVERAGE(Z57:AB57)</f>
        <v/>
      </c>
      <c r="M57" s="13">
        <f>AVERAGE(AC57:AE57)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7">
        <f>AVERAGE(Z58:AB58)</f>
        <v/>
      </c>
      <c r="M58" s="18">
        <f>AVERAGE(AC58:AE58)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inlineStr">
        <is>
          <t>Sit-Out</t>
        </is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inlineStr">
        <is>
          <t>Sit-Out</t>
        </is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inlineStr">
        <is>
          <t>Sit-Out</t>
        </is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inlineStr">
        <is>
          <t>Sit-Out</t>
        </is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inlineStr">
        <is>
          <t>Sit-Out</t>
        </is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inlineStr">
        <is>
          <t>Sit-Out</t>
        </is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2026-02-12T16:45:40Z</dcterms:created>
  <dcterms:modified xsi:type="dcterms:W3CDTF">2026-02-12T16:45:40Z</dcterms:modified>
</cp:coreProperties>
</file>