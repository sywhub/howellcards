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01,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7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40</t>
        </is>
      </c>
      <c r="C2" t="inlineStr">
        <is>
          <t>Name 73</t>
        </is>
      </c>
      <c r="D2" s="4">
        <f>SUMIF('By Board'!$D$3:$D$50,"=1",'By Board'!$L$3:$L$50)+SUMIF('By Board'!$E$3:$E$50,"=1",'By Board'!$M$3:$M$50)</f>
        <v/>
      </c>
      <c r="E2" s="5">
        <f>SUMIF('By Board'!$D$3:$D$50,"=1",'By Board'!$N$3:$N$50)/12+SUMIF('By Board'!$E$3:$E$50,"=1",'By Board'!$O$3:$O$50)/12</f>
        <v/>
      </c>
    </row>
    <row r="3">
      <c r="A3" t="n">
        <v>2</v>
      </c>
      <c r="B3" t="inlineStr">
        <is>
          <t>Name 37</t>
        </is>
      </c>
      <c r="C3" t="inlineStr">
        <is>
          <t>Name 35</t>
        </is>
      </c>
      <c r="D3" s="4">
        <f>SUMIF('By Board'!$D$3:$D$50,"=2",'By Board'!$L$3:$L$50)+SUMIF('By Board'!$E$3:$E$50,"=2",'By Board'!$M$3:$M$50)</f>
        <v/>
      </c>
      <c r="E3" s="5">
        <f>SUMIF('By Board'!$D$3:$D$50,"=2",'By Board'!$N$3:$N$50)/12+SUMIF('By Board'!$E$3:$E$50,"=2",'By Board'!$O$3:$O$50)/12</f>
        <v/>
      </c>
    </row>
    <row r="4">
      <c r="A4" t="n">
        <v>3</v>
      </c>
      <c r="B4" t="inlineStr">
        <is>
          <t>Name 84</t>
        </is>
      </c>
      <c r="C4" t="inlineStr">
        <is>
          <t>Name 28</t>
        </is>
      </c>
      <c r="D4" s="4">
        <f>SUMIF('By Board'!$D$3:$D$50,"=3",'By Board'!$L$3:$L$50)+SUMIF('By Board'!$E$3:$E$50,"=3",'By Board'!$M$3:$M$50)</f>
        <v/>
      </c>
      <c r="E4" s="5">
        <f>SUMIF('By Board'!$D$3:$D$50,"=3",'By Board'!$N$3:$N$50)/12+SUMIF('By Board'!$E$3:$E$50,"=3",'By Board'!$O$3:$O$50)/12</f>
        <v/>
      </c>
    </row>
    <row r="5">
      <c r="A5" t="n">
        <v>4</v>
      </c>
      <c r="B5" t="inlineStr">
        <is>
          <t>Name 45</t>
        </is>
      </c>
      <c r="C5" t="inlineStr">
        <is>
          <t>Name 72</t>
        </is>
      </c>
      <c r="D5" s="4">
        <f>SUMIF('By Board'!$D$3:$D$50,"=4",'By Board'!$L$3:$L$50)+SUMIF('By Board'!$E$3:$E$50,"=4",'By Board'!$M$3:$M$50)</f>
        <v/>
      </c>
      <c r="E5" s="5">
        <f>SUMIF('By Board'!$D$3:$D$50,"=4",'By Board'!$N$3:$N$50)/12+SUMIF('By Board'!$E$3:$E$50,"=4",'By Board'!$O$3:$O$50)/12</f>
        <v/>
      </c>
    </row>
    <row r="6">
      <c r="A6" t="n">
        <v>5</v>
      </c>
      <c r="B6" t="inlineStr">
        <is>
          <t>Name 38</t>
        </is>
      </c>
      <c r="C6" t="inlineStr">
        <is>
          <t>Name 87</t>
        </is>
      </c>
      <c r="D6" s="4">
        <f>SUMIF('By Board'!$D$3:$D$50,"=5",'By Board'!$L$3:$L$50)+SUMIF('By Board'!$E$3:$E$50,"=5",'By Board'!$M$3:$M$50)</f>
        <v/>
      </c>
      <c r="E6" s="5">
        <f>SUMIF('By Board'!$D$3:$D$50,"=5",'By Board'!$N$3:$N$50)/12+SUMIF('By Board'!$E$3:$E$50,"=5",'By Board'!$O$3:$O$50)/12</f>
        <v/>
      </c>
    </row>
    <row r="7">
      <c r="A7" t="n">
        <v>6</v>
      </c>
      <c r="B7" t="inlineStr">
        <is>
          <t>Name 36</t>
        </is>
      </c>
      <c r="C7" t="inlineStr">
        <is>
          <t>Name 18</t>
        </is>
      </c>
      <c r="D7" s="4">
        <f>SUMIF('By Board'!$D$3:$D$50,"=6",'By Board'!$L$3:$L$50)+SUMIF('By Board'!$E$3:$E$50,"=6",'By Board'!$M$3:$M$50)</f>
        <v/>
      </c>
      <c r="E7" s="5">
        <f>SUMIF('By Board'!$D$3:$D$50,"=6",'By Board'!$N$3:$N$50)/12+SUMIF('By Board'!$E$3:$E$50,"=6",'By Board'!$O$3:$O$50)/12</f>
        <v/>
      </c>
    </row>
    <row r="8">
      <c r="A8" t="n">
        <v>7</v>
      </c>
      <c r="B8" t="inlineStr">
        <is>
          <t>Name 47</t>
        </is>
      </c>
      <c r="C8" t="inlineStr">
        <is>
          <t>Name 87</t>
        </is>
      </c>
      <c r="D8" s="4">
        <f>SUMIF('By Board'!$D$3:$D$50,"=7",'By Board'!$L$3:$L$50)+SUMIF('By Board'!$E$3:$E$50,"=7",'By Board'!$M$3:$M$50)</f>
        <v/>
      </c>
      <c r="E8" s="5">
        <f>SUMIF('By Board'!$D$3:$D$50,"=7",'By Board'!$N$3:$N$50)/12+SUMIF('By Board'!$E$3:$E$50,"=7",'By Board'!$O$3:$O$50)/12</f>
        <v/>
      </c>
    </row>
    <row r="9">
      <c r="D9" s="6">
        <f>SUM(D2:D8)</f>
        <v/>
      </c>
      <c r="E9" s="7">
        <f>AVERAGE(E2:E8)</f>
        <v/>
      </c>
    </row>
    <row r="11">
      <c r="A11" t="inlineStr">
        <is>
          <t>Array Formula below, remove single quote</t>
        </is>
      </c>
    </row>
    <row r="12">
      <c r="A12" s="3" t="inlineStr">
        <is>
          <t>IMP Ranking</t>
        </is>
      </c>
    </row>
    <row r="13">
      <c r="A13" t="inlineStr">
        <is>
          <t>'=SORT(A2:E8,4,-1)</t>
        </is>
      </c>
      <c r="D13" s="4" t="n"/>
      <c r="E13" s="8" t="n"/>
    </row>
    <row r="14">
      <c r="D14" s="4" t="n"/>
      <c r="E14" s="8" t="n"/>
    </row>
    <row r="15">
      <c r="D15" s="4" t="n"/>
      <c r="E15" s="8" t="n"/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4">
      <c r="A24" s="3" t="inlineStr">
        <is>
          <t>MP Ranking</t>
        </is>
      </c>
    </row>
    <row r="25">
      <c r="A25" t="inlineStr">
        <is>
          <t>'=SORT(A2:E8,5,-1)</t>
        </is>
      </c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</sheetData>
  <mergeCells count="2">
    <mergeCell ref="A12:E12"/>
    <mergeCell ref="A24:E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W2" s="3" t="inlineStr">
        <is>
          <t>EW MP Scores</t>
        </is>
      </c>
      <c r="Z2" s="10" t="inlineStr">
        <is>
          <t>NS IMP Pair-wise</t>
        </is>
      </c>
      <c r="AC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4">
        <f>SUM(T3:V3)</f>
        <v/>
      </c>
      <c r="Q3" s="4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4">
        <f>SUM(T4:V4)</f>
        <v/>
      </c>
      <c r="Q4" s="4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4">
        <f>SUM(T5:V5)</f>
        <v/>
      </c>
      <c r="Q5" s="4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4">
        <f>SUM(T7:V7)</f>
        <v/>
      </c>
      <c r="Q7" s="4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4">
        <f>SUM(T8:V8)</f>
        <v/>
      </c>
      <c r="Q8" s="4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4">
        <f>SUM(T9:V9)</f>
        <v/>
      </c>
      <c r="Q9" s="4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4">
        <f>SUM(T11:V11)</f>
        <v/>
      </c>
      <c r="Q11" s="4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4">
        <f>SUM(T12:V12)</f>
        <v/>
      </c>
      <c r="Q12" s="4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4">
        <f>SUM(T13:V13)</f>
        <v/>
      </c>
      <c r="Q13" s="4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4">
        <f>SUM(T15:V15)</f>
        <v/>
      </c>
      <c r="Q15" s="4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4">
        <f>SUM(T16:V16)</f>
        <v/>
      </c>
      <c r="Q16" s="4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4">
        <f>SUM(T17:V17)</f>
        <v/>
      </c>
      <c r="Q17" s="4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4">
        <f>SUM(T19:V19)</f>
        <v/>
      </c>
      <c r="Q19" s="4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4">
        <f>SUM(T20:V20)</f>
        <v/>
      </c>
      <c r="Q20" s="4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4">
        <f>SUM(T21:V21)</f>
        <v/>
      </c>
      <c r="Q21" s="4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4">
        <f>SUM(T23:V23)</f>
        <v/>
      </c>
      <c r="Q23" s="4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4">
        <f>SUM(T24:V24)</f>
        <v/>
      </c>
      <c r="Q24" s="4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4">
        <f>SUM(T25:V25)</f>
        <v/>
      </c>
      <c r="Q25" s="4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4">
        <f>SUM(T27:V27)</f>
        <v/>
      </c>
      <c r="Q27" s="4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4">
        <f>SUM(T28:V28)</f>
        <v/>
      </c>
      <c r="Q28" s="4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4">
        <f>SUM(T29:V29)</f>
        <v/>
      </c>
      <c r="Q29" s="4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4">
        <f>SUM(T31:V31)</f>
        <v/>
      </c>
      <c r="Q31" s="4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4">
        <f>SUM(T32:V32)</f>
        <v/>
      </c>
      <c r="Q32" s="4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4">
        <f>SUM(T33:V33)</f>
        <v/>
      </c>
      <c r="Q33" s="4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4">
        <f>SUM(T35:V35)</f>
        <v/>
      </c>
      <c r="Q35" s="4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4">
        <f>SUM(T36:V36)</f>
        <v/>
      </c>
      <c r="Q36" s="4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4">
        <f>SUM(T37:V37)</f>
        <v/>
      </c>
      <c r="Q37" s="4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4">
        <f>SUM(T39:V39)</f>
        <v/>
      </c>
      <c r="Q39" s="4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4">
        <f>SUM(T40:V40)</f>
        <v/>
      </c>
      <c r="Q40" s="4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4">
        <f>SUM(T41:V41)</f>
        <v/>
      </c>
      <c r="Q41" s="4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4">
        <f>SUM(T43:V43)</f>
        <v/>
      </c>
      <c r="Q43" s="4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4">
        <f>SUM(T44:V44)</f>
        <v/>
      </c>
      <c r="Q44" s="4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4">
        <f>SUM(T45:V45)</f>
        <v/>
      </c>
      <c r="Q45" s="4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4">
        <f>SUM(T47:V47)</f>
        <v/>
      </c>
      <c r="Q47" s="4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4">
        <f>SUM(T48:V48)</f>
        <v/>
      </c>
      <c r="Q48" s="4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4">
        <f>SUM(T49:V49)</f>
        <v/>
      </c>
      <c r="Q49" s="4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4">
        <f>SUM(T51:V51)</f>
        <v/>
      </c>
      <c r="Q51" s="4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4">
        <f>SUM(T52:V52)</f>
        <v/>
      </c>
      <c r="Q52" s="4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4">
        <f>SUM(T53:V53)</f>
        <v/>
      </c>
      <c r="Q53" s="4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4">
        <f>SUM(T55:V55)</f>
        <v/>
      </c>
      <c r="Q55" s="4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4">
        <f>SUM(T56:V56)</f>
        <v/>
      </c>
      <c r="Q56" s="4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4">
        <f>SUM(T57:V57)</f>
        <v/>
      </c>
      <c r="Q57" s="4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0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0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0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0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0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0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2026-02-01T18:07:28Z</dcterms:created>
  <dcterms:modified xsi:type="dcterms:W3CDTF">2026-02-01T18:07:28Z</dcterms:modified>
</cp:coreProperties>
</file>