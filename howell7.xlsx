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02,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7</v>
      </c>
    </row>
    <row r="4">
      <c r="A4" s="2" t="inlineStr">
        <is>
          <t>Tables</t>
        </is>
      </c>
      <c r="B4" s="2" t="n">
        <v>4</v>
      </c>
    </row>
    <row r="5">
      <c r="A5" s="2" t="inlineStr">
        <is>
          <t>Rounds</t>
        </is>
      </c>
      <c r="B5" s="2" t="n">
        <v>7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68</t>
        </is>
      </c>
      <c r="C2" t="inlineStr">
        <is>
          <t>Name 66</t>
        </is>
      </c>
      <c r="D2" s="4">
        <f>SUMIF('By Board'!$D$3:$D$50,"=1",'By Board'!$L$3:$L$50)+SUMIF('By Board'!$E$3:$E$50,"=1",'By Board'!$M$3:$M$50)</f>
        <v/>
      </c>
      <c r="E2" s="5">
        <f>SUMIF('By Board'!$D$3:$D$50,"=1",'By Board'!$N$3:$N$50)/12+SUMIF('By Board'!$E$3:$E$50,"=1",'By Board'!$O$3:$O$50)/12</f>
        <v/>
      </c>
    </row>
    <row r="3">
      <c r="A3" t="n">
        <v>2</v>
      </c>
      <c r="B3" t="inlineStr">
        <is>
          <t>Name 63</t>
        </is>
      </c>
      <c r="C3" t="inlineStr">
        <is>
          <t>Name 21</t>
        </is>
      </c>
      <c r="D3" s="4">
        <f>SUMIF('By Board'!$D$3:$D$50,"=2",'By Board'!$L$3:$L$50)+SUMIF('By Board'!$E$3:$E$50,"=2",'By Board'!$M$3:$M$50)</f>
        <v/>
      </c>
      <c r="E3" s="5">
        <f>SUMIF('By Board'!$D$3:$D$50,"=2",'By Board'!$N$3:$N$50)/12+SUMIF('By Board'!$E$3:$E$50,"=2",'By Board'!$O$3:$O$50)/12</f>
        <v/>
      </c>
    </row>
    <row r="4">
      <c r="A4" t="n">
        <v>3</v>
      </c>
      <c r="B4" t="inlineStr">
        <is>
          <t>Name 14</t>
        </is>
      </c>
      <c r="C4" t="inlineStr">
        <is>
          <t>Name 39</t>
        </is>
      </c>
      <c r="D4" s="4">
        <f>SUMIF('By Board'!$D$3:$D$50,"=3",'By Board'!$L$3:$L$50)+SUMIF('By Board'!$E$3:$E$50,"=3",'By Board'!$M$3:$M$50)</f>
        <v/>
      </c>
      <c r="E4" s="5">
        <f>SUMIF('By Board'!$D$3:$D$50,"=3",'By Board'!$N$3:$N$50)/12+SUMIF('By Board'!$E$3:$E$50,"=3",'By Board'!$O$3:$O$50)/12</f>
        <v/>
      </c>
    </row>
    <row r="5">
      <c r="A5" t="n">
        <v>4</v>
      </c>
      <c r="B5" t="inlineStr">
        <is>
          <t>Name 59</t>
        </is>
      </c>
      <c r="C5" t="inlineStr">
        <is>
          <t>Name 38</t>
        </is>
      </c>
      <c r="D5" s="4">
        <f>SUMIF('By Board'!$D$3:$D$50,"=4",'By Board'!$L$3:$L$50)+SUMIF('By Board'!$E$3:$E$50,"=4",'By Board'!$M$3:$M$50)</f>
        <v/>
      </c>
      <c r="E5" s="5">
        <f>SUMIF('By Board'!$D$3:$D$50,"=4",'By Board'!$N$3:$N$50)/12+SUMIF('By Board'!$E$3:$E$50,"=4",'By Board'!$O$3:$O$50)/12</f>
        <v/>
      </c>
    </row>
    <row r="6">
      <c r="A6" t="n">
        <v>5</v>
      </c>
      <c r="B6" t="inlineStr">
        <is>
          <t>Name 22</t>
        </is>
      </c>
      <c r="C6" t="inlineStr">
        <is>
          <t>Name 69</t>
        </is>
      </c>
      <c r="D6" s="4">
        <f>SUMIF('By Board'!$D$3:$D$50,"=5",'By Board'!$L$3:$L$50)+SUMIF('By Board'!$E$3:$E$50,"=5",'By Board'!$M$3:$M$50)</f>
        <v/>
      </c>
      <c r="E6" s="5">
        <f>SUMIF('By Board'!$D$3:$D$50,"=5",'By Board'!$N$3:$N$50)/12+SUMIF('By Board'!$E$3:$E$50,"=5",'By Board'!$O$3:$O$50)/12</f>
        <v/>
      </c>
    </row>
    <row r="7">
      <c r="A7" t="n">
        <v>6</v>
      </c>
      <c r="B7" t="inlineStr">
        <is>
          <t>Name 74</t>
        </is>
      </c>
      <c r="C7" t="inlineStr">
        <is>
          <t>Name 59</t>
        </is>
      </c>
      <c r="D7" s="4">
        <f>SUMIF('By Board'!$D$3:$D$50,"=6",'By Board'!$L$3:$L$50)+SUMIF('By Board'!$E$3:$E$50,"=6",'By Board'!$M$3:$M$50)</f>
        <v/>
      </c>
      <c r="E7" s="5">
        <f>SUMIF('By Board'!$D$3:$D$50,"=6",'By Board'!$N$3:$N$50)/12+SUMIF('By Board'!$E$3:$E$50,"=6",'By Board'!$O$3:$O$50)/12</f>
        <v/>
      </c>
    </row>
    <row r="8">
      <c r="A8" t="n">
        <v>7</v>
      </c>
      <c r="B8" t="inlineStr">
        <is>
          <t>Name 22</t>
        </is>
      </c>
      <c r="C8" t="inlineStr">
        <is>
          <t>Name 43</t>
        </is>
      </c>
      <c r="D8" s="4">
        <f>SUMIF('By Board'!$D$3:$D$50,"=7",'By Board'!$L$3:$L$50)+SUMIF('By Board'!$E$3:$E$50,"=7",'By Board'!$M$3:$M$50)</f>
        <v/>
      </c>
      <c r="E8" s="5">
        <f>SUMIF('By Board'!$D$3:$D$50,"=7",'By Board'!$N$3:$N$50)/12+SUMIF('By Board'!$E$3:$E$50,"=7",'By Board'!$O$3:$O$50)/12</f>
        <v/>
      </c>
    </row>
    <row r="9">
      <c r="D9" s="6">
        <f>SUM(D2:D8)</f>
        <v/>
      </c>
      <c r="E9" s="7">
        <f>AVERAGE(E2:E8)</f>
        <v/>
      </c>
    </row>
    <row r="11">
      <c r="A11" t="inlineStr">
        <is>
          <t>Array Formula below, remove single quote</t>
        </is>
      </c>
    </row>
    <row r="12">
      <c r="A12" s="3" t="inlineStr">
        <is>
          <t>IMP Ranking</t>
        </is>
      </c>
    </row>
    <row r="13">
      <c r="A13" t="inlineStr">
        <is>
          <t>'=SORT(A2:E8,4,-1)</t>
        </is>
      </c>
      <c r="D13" s="4" t="n"/>
      <c r="E13" s="8" t="n"/>
    </row>
    <row r="14">
      <c r="D14" s="4" t="n"/>
      <c r="E14" s="8" t="n"/>
    </row>
    <row r="15">
      <c r="D15" s="4" t="n"/>
      <c r="E15" s="8" t="n"/>
    </row>
    <row r="16">
      <c r="D16" s="4" t="n"/>
      <c r="E16" s="8" t="n"/>
    </row>
    <row r="17">
      <c r="D17" s="4" t="n"/>
      <c r="E17" s="8" t="n"/>
    </row>
    <row r="18">
      <c r="D18" s="4" t="n"/>
      <c r="E18" s="8" t="n"/>
    </row>
    <row r="19">
      <c r="D19" s="4" t="n"/>
      <c r="E19" s="8" t="n"/>
    </row>
    <row r="24">
      <c r="A24" s="3" t="inlineStr">
        <is>
          <t>MP Ranking</t>
        </is>
      </c>
    </row>
    <row r="25">
      <c r="A25" t="inlineStr">
        <is>
          <t>'=SORT(A2:E8,5,-1)</t>
        </is>
      </c>
      <c r="D25" s="4" t="n"/>
      <c r="E25" s="8" t="n"/>
    </row>
    <row r="26">
      <c r="D26" s="4" t="n"/>
      <c r="E26" s="8" t="n"/>
    </row>
    <row r="27">
      <c r="D27" s="4" t="n"/>
      <c r="E27" s="8" t="n"/>
    </row>
    <row r="28">
      <c r="D28" s="4" t="n"/>
      <c r="E28" s="8" t="n"/>
    </row>
    <row r="29">
      <c r="D29" s="4" t="n"/>
      <c r="E29" s="8" t="n"/>
    </row>
    <row r="30">
      <c r="D30" s="4" t="n"/>
      <c r="E30" s="8" t="n"/>
    </row>
    <row r="31">
      <c r="D31" s="4" t="n"/>
      <c r="E31" s="8" t="n"/>
    </row>
  </sheetData>
  <mergeCells count="2">
    <mergeCell ref="A12:E12"/>
    <mergeCell ref="A24:E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W2" s="3" t="inlineStr">
        <is>
          <t>EW MP Scores</t>
        </is>
      </c>
      <c r="Z2" s="10" t="inlineStr">
        <is>
          <t>NS IMP Pair-wise</t>
        </is>
      </c>
      <c r="AC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4">
        <f>SUM(T3:V3)</f>
        <v/>
      </c>
      <c r="Q3" s="4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>
        <f>'By Round'!A27</f>
        <v/>
      </c>
      <c r="C4">
        <f>'By Round'!B33</f>
        <v/>
      </c>
      <c r="D4">
        <f>'By Round'!C33</f>
        <v/>
      </c>
      <c r="E4">
        <f>'By Round'!D33</f>
        <v/>
      </c>
      <c r="F4" s="11" t="inlineStr">
        <is>
          <t>None</t>
        </is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4">
        <f>SUM(T4:V4)</f>
        <v/>
      </c>
      <c r="Q4" s="4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>
        <f>'By Round'!A43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4">
        <f>SUM(T5:V5)</f>
        <v/>
      </c>
      <c r="Q5" s="4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5">
        <f>'By Round'!A51</f>
        <v/>
      </c>
      <c r="C6" s="15">
        <f>'By Round'!B53</f>
        <v/>
      </c>
      <c r="D6" s="15">
        <f>'By Round'!C53</f>
        <v/>
      </c>
      <c r="E6" s="15">
        <f>'By Round'!D53</f>
        <v/>
      </c>
      <c r="F6" s="16" t="inlineStr">
        <is>
          <t>None</t>
        </is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t="n">
        <v>2</v>
      </c>
      <c r="B7">
        <f>'By Round'!A3</f>
        <v/>
      </c>
      <c r="C7">
        <f>'By Round'!B3</f>
        <v/>
      </c>
      <c r="D7">
        <f>'By Round'!C3</f>
        <v/>
      </c>
      <c r="E7">
        <f>'By Round'!D3</f>
        <v/>
      </c>
      <c r="F7" s="11" t="inlineStr">
        <is>
          <t>NS</t>
        </is>
      </c>
      <c r="G7">
        <f>IF(ISBLANK('By Round'!G3),"",'By Round'!G3)</f>
        <v/>
      </c>
      <c r="H7">
        <f>IF(ISBLANK('By Round'!H3),"",'By Round'!H3)</f>
        <v/>
      </c>
      <c r="I7">
        <f>IF(ISBLANK('By Round'!I3),"",'By Round'!I3)</f>
        <v/>
      </c>
      <c r="J7">
        <f>IF(ISBLANK('By Round'!J3),"",'By Round'!J3)</f>
        <v/>
      </c>
      <c r="K7">
        <f>IF(ISBLANK('By Round'!K3),"",'By Round'!K3)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4">
        <f>SUM(T7:V7)</f>
        <v/>
      </c>
      <c r="Q7" s="4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>
        <f>'By Round'!A27</f>
        <v/>
      </c>
      <c r="C8">
        <f>'By Round'!B33</f>
        <v/>
      </c>
      <c r="D8">
        <f>'By Round'!C33</f>
        <v/>
      </c>
      <c r="E8">
        <f>'By Round'!D33</f>
        <v/>
      </c>
      <c r="F8" s="11" t="inlineStr">
        <is>
          <t>NS</t>
        </is>
      </c>
      <c r="G8">
        <f>IF(ISBLANK('By Round'!G33),"",'By Round'!G33)</f>
        <v/>
      </c>
      <c r="H8">
        <f>IF(ISBLANK('By Round'!H33),"",'By Round'!H33)</f>
        <v/>
      </c>
      <c r="I8">
        <f>IF(ISBLANK('By Round'!I33),"",'By Round'!I33)</f>
        <v/>
      </c>
      <c r="J8">
        <f>IF(ISBLANK('By Round'!J33),"",'By Round'!J33)</f>
        <v/>
      </c>
      <c r="K8">
        <f>IF(ISBLANK('By Round'!K33),"",'By Round'!K33)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4">
        <f>SUM(T8:V8)</f>
        <v/>
      </c>
      <c r="Q8" s="4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>
        <f>'By Round'!A43</f>
        <v/>
      </c>
      <c r="C9">
        <f>'By Round'!B47</f>
        <v/>
      </c>
      <c r="D9">
        <f>'By Round'!C47</f>
        <v/>
      </c>
      <c r="E9">
        <f>'By Round'!D47</f>
        <v/>
      </c>
      <c r="F9" s="11" t="inlineStr">
        <is>
          <t>NS</t>
        </is>
      </c>
      <c r="G9">
        <f>IF(ISBLANK('By Round'!G47),"",'By Round'!G47)</f>
        <v/>
      </c>
      <c r="H9">
        <f>IF(ISBLANK('By Round'!H47),"",'By Round'!H47)</f>
        <v/>
      </c>
      <c r="I9">
        <f>IF(ISBLANK('By Round'!I47),"",'By Round'!I47)</f>
        <v/>
      </c>
      <c r="J9">
        <f>IF(ISBLANK('By Round'!J47),"",'By Round'!J47)</f>
        <v/>
      </c>
      <c r="K9">
        <f>IF(ISBLANK('By Round'!K47),"",'By Round'!K47)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4">
        <f>SUM(T9:V9)</f>
        <v/>
      </c>
      <c r="Q9" s="4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5">
        <f>'By Round'!A51</f>
        <v/>
      </c>
      <c r="C10" s="15">
        <f>'By Round'!B53</f>
        <v/>
      </c>
      <c r="D10" s="15">
        <f>'By Round'!C53</f>
        <v/>
      </c>
      <c r="E10" s="15">
        <f>'By Round'!D53</f>
        <v/>
      </c>
      <c r="F10" s="16" t="inlineStr">
        <is>
          <t>NS</t>
        </is>
      </c>
      <c r="G10" s="15">
        <f>IF(ISBLANK('By Round'!G53),"",'By Round'!G53)</f>
        <v/>
      </c>
      <c r="H10" s="15">
        <f>IF(ISBLANK('By Round'!H53),"",'By Round'!H53)</f>
        <v/>
      </c>
      <c r="I10" s="15">
        <f>IF(ISBLANK('By Round'!I53),"",'By Round'!I53)</f>
        <v/>
      </c>
      <c r="J10" s="15">
        <f>IF(ISBLANK('By Round'!J53),"",'By Round'!J53)</f>
        <v/>
      </c>
      <c r="K10" s="15">
        <f>IF(ISBLANK('By Round'!K53),"",'By Round'!K53)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t="n">
        <v>3</v>
      </c>
      <c r="B11">
        <f>'By Round'!A3</f>
        <v/>
      </c>
      <c r="C11">
        <f>'By Round'!B5</f>
        <v/>
      </c>
      <c r="D11">
        <f>'By Round'!C5</f>
        <v/>
      </c>
      <c r="E11">
        <f>'By Round'!D5</f>
        <v/>
      </c>
      <c r="F11" s="11" t="inlineStr">
        <is>
          <t>EW</t>
        </is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4">
        <f>SUM(T11:V11)</f>
        <v/>
      </c>
      <c r="Q11" s="4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>
        <f>'By Round'!A11</f>
        <v/>
      </c>
      <c r="C12">
        <f>'By Round'!B11</f>
        <v/>
      </c>
      <c r="D12">
        <f>'By Round'!C11</f>
        <v/>
      </c>
      <c r="E12">
        <f>'By Round'!D11</f>
        <v/>
      </c>
      <c r="F12" s="11" t="inlineStr">
        <is>
          <t>EW</t>
        </is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4">
        <f>SUM(T12:V12)</f>
        <v/>
      </c>
      <c r="Q12" s="4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>
        <f>'By Round'!A35</f>
        <v/>
      </c>
      <c r="C13">
        <f>'By Round'!B41</f>
        <v/>
      </c>
      <c r="D13">
        <f>'By Round'!C41</f>
        <v/>
      </c>
      <c r="E13">
        <f>'By Round'!D41</f>
        <v/>
      </c>
      <c r="F13" s="11" t="inlineStr">
        <is>
          <t>EW</t>
        </is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4">
        <f>SUM(T13:V13)</f>
        <v/>
      </c>
      <c r="Q13" s="4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5">
        <f>'By Round'!A51</f>
        <v/>
      </c>
      <c r="C14" s="15">
        <f>'By Round'!B55</f>
        <v/>
      </c>
      <c r="D14" s="15">
        <f>'By Round'!C55</f>
        <v/>
      </c>
      <c r="E14" s="15">
        <f>'By Round'!D55</f>
        <v/>
      </c>
      <c r="F14" s="16" t="inlineStr">
        <is>
          <t>EW</t>
        </is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t="n">
        <v>4</v>
      </c>
      <c r="B15">
        <f>'By Round'!A3</f>
        <v/>
      </c>
      <c r="C15">
        <f>'By Round'!B5</f>
        <v/>
      </c>
      <c r="D15">
        <f>'By Round'!C5</f>
        <v/>
      </c>
      <c r="E15">
        <f>'By Round'!D5</f>
        <v/>
      </c>
      <c r="F15" s="11" t="inlineStr">
        <is>
          <t>Both</t>
        </is>
      </c>
      <c r="G15">
        <f>IF(ISBLANK('By Round'!G5),"",'By Round'!G5)</f>
        <v/>
      </c>
      <c r="H15">
        <f>IF(ISBLANK('By Round'!H5),"",'By Round'!H5)</f>
        <v/>
      </c>
      <c r="I15">
        <f>IF(ISBLANK('By Round'!I5),"",'By Round'!I5)</f>
        <v/>
      </c>
      <c r="J15">
        <f>IF(ISBLANK('By Round'!J5),"",'By Round'!J5)</f>
        <v/>
      </c>
      <c r="K15">
        <f>IF(ISBLANK('By Round'!K5),"",'By Round'!K5)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4">
        <f>SUM(T15:V15)</f>
        <v/>
      </c>
      <c r="Q15" s="4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1" t="inlineStr">
        <is>
          <t>Both</t>
        </is>
      </c>
      <c r="G16">
        <f>IF(ISBLANK('By Round'!G11),"",'By Round'!G11)</f>
        <v/>
      </c>
      <c r="H16">
        <f>IF(ISBLANK('By Round'!H11),"",'By Round'!H11)</f>
        <v/>
      </c>
      <c r="I16">
        <f>IF(ISBLANK('By Round'!I11),"",'By Round'!I11)</f>
        <v/>
      </c>
      <c r="J16">
        <f>IF(ISBLANK('By Round'!J11),"",'By Round'!J11)</f>
        <v/>
      </c>
      <c r="K16">
        <f>IF(ISBLANK('By Round'!K11),"",'By Round'!K11)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4">
        <f>SUM(T16:V16)</f>
        <v/>
      </c>
      <c r="Q16" s="4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>
        <f>'By Round'!A35</f>
        <v/>
      </c>
      <c r="C17">
        <f>'By Round'!B41</f>
        <v/>
      </c>
      <c r="D17">
        <f>'By Round'!C41</f>
        <v/>
      </c>
      <c r="E17">
        <f>'By Round'!D41</f>
        <v/>
      </c>
      <c r="F17" s="11" t="inlineStr">
        <is>
          <t>Both</t>
        </is>
      </c>
      <c r="G17">
        <f>IF(ISBLANK('By Round'!G41),"",'By Round'!G41)</f>
        <v/>
      </c>
      <c r="H17">
        <f>IF(ISBLANK('By Round'!H41),"",'By Round'!H41)</f>
        <v/>
      </c>
      <c r="I17">
        <f>IF(ISBLANK('By Round'!I41),"",'By Round'!I41)</f>
        <v/>
      </c>
      <c r="J17">
        <f>IF(ISBLANK('By Round'!J41),"",'By Round'!J41)</f>
        <v/>
      </c>
      <c r="K17">
        <f>IF(ISBLANK('By Round'!K41),"",'By Round'!K41)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4">
        <f>SUM(T17:V17)</f>
        <v/>
      </c>
      <c r="Q17" s="4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5">
        <f>'By Round'!A51</f>
        <v/>
      </c>
      <c r="C18" s="15">
        <f>'By Round'!B55</f>
        <v/>
      </c>
      <c r="D18" s="15">
        <f>'By Round'!C55</f>
        <v/>
      </c>
      <c r="E18" s="15">
        <f>'By Round'!D55</f>
        <v/>
      </c>
      <c r="F18" s="16" t="inlineStr">
        <is>
          <t>Both</t>
        </is>
      </c>
      <c r="G18" s="15">
        <f>IF(ISBLANK('By Round'!G55),"",'By Round'!G55)</f>
        <v/>
      </c>
      <c r="H18" s="15">
        <f>IF(ISBLANK('By Round'!H55),"",'By Round'!H55)</f>
        <v/>
      </c>
      <c r="I18" s="15">
        <f>IF(ISBLANK('By Round'!I55),"",'By Round'!I55)</f>
        <v/>
      </c>
      <c r="J18" s="15">
        <f>IF(ISBLANK('By Round'!J55),"",'By Round'!J55)</f>
        <v/>
      </c>
      <c r="K18" s="15">
        <f>IF(ISBLANK('By Round'!K55),"",'By Round'!K55)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t="n">
        <v>5</v>
      </c>
      <c r="B19">
        <f>'By Round'!A3</f>
        <v/>
      </c>
      <c r="C19">
        <f>'By Round'!B7</f>
        <v/>
      </c>
      <c r="D19">
        <f>'By Round'!C7</f>
        <v/>
      </c>
      <c r="E19">
        <f>'By Round'!D7</f>
        <v/>
      </c>
      <c r="F19" s="11" t="inlineStr">
        <is>
          <t>NS</t>
        </is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4">
        <f>SUM(T19:V19)</f>
        <v/>
      </c>
      <c r="Q19" s="4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>
        <f>'By Round'!A11</f>
        <v/>
      </c>
      <c r="C20">
        <f>'By Round'!B13</f>
        <v/>
      </c>
      <c r="D20">
        <f>'By Round'!C13</f>
        <v/>
      </c>
      <c r="E20">
        <f>'By Round'!D13</f>
        <v/>
      </c>
      <c r="F20" s="11" t="inlineStr">
        <is>
          <t>NS</t>
        </is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4">
        <f>SUM(T20:V20)</f>
        <v/>
      </c>
      <c r="Q20" s="4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>
        <f>'By Round'!A19</f>
        <v/>
      </c>
      <c r="C21">
        <f>'By Round'!B19</f>
        <v/>
      </c>
      <c r="D21">
        <f>'By Round'!C19</f>
        <v/>
      </c>
      <c r="E21">
        <f>'By Round'!D19</f>
        <v/>
      </c>
      <c r="F21" s="11" t="inlineStr">
        <is>
          <t>NS</t>
        </is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4">
        <f>SUM(T21:V21)</f>
        <v/>
      </c>
      <c r="Q21" s="4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5">
        <f>'By Round'!A43</f>
        <v/>
      </c>
      <c r="C22" s="15">
        <f>'By Round'!B49</f>
        <v/>
      </c>
      <c r="D22" s="15">
        <f>'By Round'!C49</f>
        <v/>
      </c>
      <c r="E22" s="15">
        <f>'By Round'!D49</f>
        <v/>
      </c>
      <c r="F22" s="16" t="inlineStr">
        <is>
          <t>NS</t>
        </is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t="n">
        <v>6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EW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4">
        <f>SUM(T23:V23)</f>
        <v/>
      </c>
      <c r="Q23" s="4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>
        <f>'By Round'!A11</f>
        <v/>
      </c>
      <c r="C24">
        <f>'By Round'!B13</f>
        <v/>
      </c>
      <c r="D24">
        <f>'By Round'!C13</f>
        <v/>
      </c>
      <c r="E24">
        <f>'By Round'!D13</f>
        <v/>
      </c>
      <c r="F24" s="11" t="inlineStr">
        <is>
          <t>EW</t>
        </is>
      </c>
      <c r="G24">
        <f>IF(ISBLANK('By Round'!G13),"",'By Round'!G13)</f>
        <v/>
      </c>
      <c r="H24">
        <f>IF(ISBLANK('By Round'!H13),"",'By Round'!H13)</f>
        <v/>
      </c>
      <c r="I24">
        <f>IF(ISBLANK('By Round'!I13),"",'By Round'!I13)</f>
        <v/>
      </c>
      <c r="J24">
        <f>IF(ISBLANK('By Round'!J13),"",'By Round'!J13)</f>
        <v/>
      </c>
      <c r="K24">
        <f>IF(ISBLANK('By Round'!K13),"",'By Round'!K13)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4">
        <f>SUM(T24:V24)</f>
        <v/>
      </c>
      <c r="Q24" s="4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>
        <f>'By Round'!A19</f>
        <v/>
      </c>
      <c r="C25">
        <f>'By Round'!B19</f>
        <v/>
      </c>
      <c r="D25">
        <f>'By Round'!C19</f>
        <v/>
      </c>
      <c r="E25">
        <f>'By Round'!D19</f>
        <v/>
      </c>
      <c r="F25" s="11" t="inlineStr">
        <is>
          <t>EW</t>
        </is>
      </c>
      <c r="G25">
        <f>IF(ISBLANK('By Round'!G19),"",'By Round'!G19)</f>
        <v/>
      </c>
      <c r="H25">
        <f>IF(ISBLANK('By Round'!H19),"",'By Round'!H19)</f>
        <v/>
      </c>
      <c r="I25">
        <f>IF(ISBLANK('By Round'!I19),"",'By Round'!I19)</f>
        <v/>
      </c>
      <c r="J25">
        <f>IF(ISBLANK('By Round'!J19),"",'By Round'!J19)</f>
        <v/>
      </c>
      <c r="K25">
        <f>IF(ISBLANK('By Round'!K19),"",'By Round'!K19)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4">
        <f>SUM(T25:V25)</f>
        <v/>
      </c>
      <c r="Q25" s="4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5">
        <f>'By Round'!A43</f>
        <v/>
      </c>
      <c r="C26" s="15">
        <f>'By Round'!B49</f>
        <v/>
      </c>
      <c r="D26" s="15">
        <f>'By Round'!C49</f>
        <v/>
      </c>
      <c r="E26" s="15">
        <f>'By Round'!D49</f>
        <v/>
      </c>
      <c r="F26" s="16" t="inlineStr">
        <is>
          <t>EW</t>
        </is>
      </c>
      <c r="G26" s="15">
        <f>IF(ISBLANK('By Round'!G49),"",'By Round'!G49)</f>
        <v/>
      </c>
      <c r="H26" s="15">
        <f>IF(ISBLANK('By Round'!H49),"",'By Round'!H49)</f>
        <v/>
      </c>
      <c r="I26" s="15">
        <f>IF(ISBLANK('By Round'!I49),"",'By Round'!I49)</f>
        <v/>
      </c>
      <c r="J26" s="15">
        <f>IF(ISBLANK('By Round'!J49),"",'By Round'!J49)</f>
        <v/>
      </c>
      <c r="K26" s="15">
        <f>IF(ISBLANK('By Round'!K49),"",'By Round'!K49)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t="n">
        <v>7</v>
      </c>
      <c r="B27">
        <f>'By Round'!A11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Both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4">
        <f>SUM(T27:V27)</f>
        <v/>
      </c>
      <c r="Q27" s="4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>
        <f>'By Round'!A19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Both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4">
        <f>SUM(T28:V28)</f>
        <v/>
      </c>
      <c r="Q28" s="4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>
        <f>'By Round'!A27</f>
        <v/>
      </c>
      <c r="C29">
        <f>'By Round'!B27</f>
        <v/>
      </c>
      <c r="D29">
        <f>'By Round'!C27</f>
        <v/>
      </c>
      <c r="E29">
        <f>'By Round'!D27</f>
        <v/>
      </c>
      <c r="F29" s="11" t="inlineStr">
        <is>
          <t>Both</t>
        </is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4">
        <f>SUM(T29:V29)</f>
        <v/>
      </c>
      <c r="Q29" s="4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5">
        <f>'By Round'!A51</f>
        <v/>
      </c>
      <c r="C30" s="15">
        <f>'By Round'!B57</f>
        <v/>
      </c>
      <c r="D30" s="15">
        <f>'By Round'!C57</f>
        <v/>
      </c>
      <c r="E30" s="15">
        <f>'By Round'!D57</f>
        <v/>
      </c>
      <c r="F30" s="16" t="inlineStr">
        <is>
          <t>Both</t>
        </is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t="n">
        <v>8</v>
      </c>
      <c r="B31">
        <f>'By Round'!A11</f>
        <v/>
      </c>
      <c r="C31">
        <f>'By Round'!B15</f>
        <v/>
      </c>
      <c r="D31">
        <f>'By Round'!C15</f>
        <v/>
      </c>
      <c r="E31">
        <f>'By Round'!D15</f>
        <v/>
      </c>
      <c r="F31" s="11" t="inlineStr">
        <is>
          <t>None</t>
        </is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4">
        <f>SUM(T31:V31)</f>
        <v/>
      </c>
      <c r="Q31" s="4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>
        <f>'By Round'!A19</f>
        <v/>
      </c>
      <c r="C32">
        <f>'By Round'!B21</f>
        <v/>
      </c>
      <c r="D32">
        <f>'By Round'!C21</f>
        <v/>
      </c>
      <c r="E32">
        <f>'By Round'!D21</f>
        <v/>
      </c>
      <c r="F32" s="11" t="inlineStr">
        <is>
          <t>None</t>
        </is>
      </c>
      <c r="G32">
        <f>IF(ISBLANK('By Round'!G21),"",'By Round'!G21)</f>
        <v/>
      </c>
      <c r="H32">
        <f>IF(ISBLANK('By Round'!H21),"",'By Round'!H21)</f>
        <v/>
      </c>
      <c r="I32">
        <f>IF(ISBLANK('By Round'!I21),"",'By Round'!I21)</f>
        <v/>
      </c>
      <c r="J32">
        <f>IF(ISBLANK('By Round'!J21),"",'By Round'!J21)</f>
        <v/>
      </c>
      <c r="K32">
        <f>IF(ISBLANK('By Round'!K21),"",'By Round'!K21)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4">
        <f>SUM(T32:V32)</f>
        <v/>
      </c>
      <c r="Q32" s="4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None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4">
        <f>SUM(T33:V33)</f>
        <v/>
      </c>
      <c r="Q33" s="4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5">
        <f>'By Round'!A51</f>
        <v/>
      </c>
      <c r="C34" s="15">
        <f>'By Round'!B57</f>
        <v/>
      </c>
      <c r="D34" s="15">
        <f>'By Round'!C57</f>
        <v/>
      </c>
      <c r="E34" s="15">
        <f>'By Round'!D57</f>
        <v/>
      </c>
      <c r="F34" s="16" t="inlineStr">
        <is>
          <t>None</t>
        </is>
      </c>
      <c r="G34" s="15">
        <f>IF(ISBLANK('By Round'!G57),"",'By Round'!G57)</f>
        <v/>
      </c>
      <c r="H34" s="15">
        <f>IF(ISBLANK('By Round'!H57),"",'By Round'!H57)</f>
        <v/>
      </c>
      <c r="I34" s="15">
        <f>IF(ISBLANK('By Round'!I57),"",'By Round'!I57)</f>
        <v/>
      </c>
      <c r="J34" s="15">
        <f>IF(ISBLANK('By Round'!J57),"",'By Round'!J57)</f>
        <v/>
      </c>
      <c r="K34" s="15">
        <f>IF(ISBLANK('By Round'!K57),"",'By Round'!K57)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t="n">
        <v>9</v>
      </c>
      <c r="B35">
        <f>'By Round'!A3</f>
        <v/>
      </c>
      <c r="C35">
        <f>'By Round'!B9</f>
        <v/>
      </c>
      <c r="D35">
        <f>'By Round'!C9</f>
        <v/>
      </c>
      <c r="E35">
        <f>'By Round'!D9</f>
        <v/>
      </c>
      <c r="F35" s="11" t="inlineStr">
        <is>
          <t>EW</t>
        </is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4">
        <f>SUM(T35:V35)</f>
        <v/>
      </c>
      <c r="Q35" s="4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>
        <f>'By Round'!A19</f>
        <v/>
      </c>
      <c r="C36">
        <f>'By Round'!B23</f>
        <v/>
      </c>
      <c r="D36">
        <f>'By Round'!C23</f>
        <v/>
      </c>
      <c r="E36">
        <f>'By Round'!D23</f>
        <v/>
      </c>
      <c r="F36" s="11" t="inlineStr">
        <is>
          <t>EW</t>
        </is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4">
        <f>SUM(T36:V36)</f>
        <v/>
      </c>
      <c r="Q36" s="4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>
        <f>'By Round'!A27</f>
        <v/>
      </c>
      <c r="C37">
        <f>'By Round'!B29</f>
        <v/>
      </c>
      <c r="D37">
        <f>'By Round'!C29</f>
        <v/>
      </c>
      <c r="E37">
        <f>'By Round'!D29</f>
        <v/>
      </c>
      <c r="F37" s="11" t="inlineStr">
        <is>
          <t>EW</t>
        </is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4">
        <f>SUM(T37:V37)</f>
        <v/>
      </c>
      <c r="Q37" s="4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5">
        <f>'By Round'!A35</f>
        <v/>
      </c>
      <c r="C38" s="15">
        <f>'By Round'!B35</f>
        <v/>
      </c>
      <c r="D38" s="15">
        <f>'By Round'!C35</f>
        <v/>
      </c>
      <c r="E38" s="15">
        <f>'By Round'!D35</f>
        <v/>
      </c>
      <c r="F38" s="16" t="inlineStr">
        <is>
          <t>EW</t>
        </is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t="n">
        <v>10</v>
      </c>
      <c r="B39">
        <f>'By Round'!A3</f>
        <v/>
      </c>
      <c r="C39">
        <f>'By Round'!B9</f>
        <v/>
      </c>
      <c r="D39">
        <f>'By Round'!C9</f>
        <v/>
      </c>
      <c r="E39">
        <f>'By Round'!D9</f>
        <v/>
      </c>
      <c r="F39" s="11" t="inlineStr">
        <is>
          <t>Both</t>
        </is>
      </c>
      <c r="G39">
        <f>IF(ISBLANK('By Round'!G9),"",'By Round'!G9)</f>
        <v/>
      </c>
      <c r="H39">
        <f>IF(ISBLANK('By Round'!H9),"",'By Round'!H9)</f>
        <v/>
      </c>
      <c r="I39">
        <f>IF(ISBLANK('By Round'!I9),"",'By Round'!I9)</f>
        <v/>
      </c>
      <c r="J39">
        <f>IF(ISBLANK('By Round'!J9),"",'By Round'!J9)</f>
        <v/>
      </c>
      <c r="K39">
        <f>IF(ISBLANK('By Round'!K9),"",'By Round'!K9)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4">
        <f>SUM(T39:V39)</f>
        <v/>
      </c>
      <c r="Q39" s="4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>
        <f>'By Round'!A19</f>
        <v/>
      </c>
      <c r="C40">
        <f>'By Round'!B23</f>
        <v/>
      </c>
      <c r="D40">
        <f>'By Round'!C23</f>
        <v/>
      </c>
      <c r="E40">
        <f>'By Round'!D23</f>
        <v/>
      </c>
      <c r="F40" s="11" t="inlineStr">
        <is>
          <t>Both</t>
        </is>
      </c>
      <c r="G40">
        <f>IF(ISBLANK('By Round'!G23),"",'By Round'!G23)</f>
        <v/>
      </c>
      <c r="H40">
        <f>IF(ISBLANK('By Round'!H23),"",'By Round'!H23)</f>
        <v/>
      </c>
      <c r="I40">
        <f>IF(ISBLANK('By Round'!I23),"",'By Round'!I23)</f>
        <v/>
      </c>
      <c r="J40">
        <f>IF(ISBLANK('By Round'!J23),"",'By Round'!J23)</f>
        <v/>
      </c>
      <c r="K40">
        <f>IF(ISBLANK('By Round'!K23),"",'By Round'!K23)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4">
        <f>SUM(T40:V40)</f>
        <v/>
      </c>
      <c r="Q40" s="4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>
        <f>'By Round'!A27</f>
        <v/>
      </c>
      <c r="C41">
        <f>'By Round'!B29</f>
        <v/>
      </c>
      <c r="D41">
        <f>'By Round'!C29</f>
        <v/>
      </c>
      <c r="E41">
        <f>'By Round'!D29</f>
        <v/>
      </c>
      <c r="F41" s="11" t="inlineStr">
        <is>
          <t>Both</t>
        </is>
      </c>
      <c r="G41">
        <f>IF(ISBLANK('By Round'!G29),"",'By Round'!G29)</f>
        <v/>
      </c>
      <c r="H41">
        <f>IF(ISBLANK('By Round'!H29),"",'By Round'!H29)</f>
        <v/>
      </c>
      <c r="I41">
        <f>IF(ISBLANK('By Round'!I29),"",'By Round'!I29)</f>
        <v/>
      </c>
      <c r="J41">
        <f>IF(ISBLANK('By Round'!J29),"",'By Round'!J29)</f>
        <v/>
      </c>
      <c r="K41">
        <f>IF(ISBLANK('By Round'!K29),"",'By Round'!K29)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4">
        <f>SUM(T41:V41)</f>
        <v/>
      </c>
      <c r="Q41" s="4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5">
        <f>'By Round'!A35</f>
        <v/>
      </c>
      <c r="C42" s="15">
        <f>'By Round'!B35</f>
        <v/>
      </c>
      <c r="D42" s="15">
        <f>'By Round'!C35</f>
        <v/>
      </c>
      <c r="E42" s="15">
        <f>'By Round'!D35</f>
        <v/>
      </c>
      <c r="F42" s="16" t="inlineStr">
        <is>
          <t>Both</t>
        </is>
      </c>
      <c r="G42" s="15">
        <f>IF(ISBLANK('By Round'!G35),"",'By Round'!G35)</f>
        <v/>
      </c>
      <c r="H42" s="15">
        <f>IF(ISBLANK('By Round'!H35),"",'By Round'!H35)</f>
        <v/>
      </c>
      <c r="I42" s="15">
        <f>IF(ISBLANK('By Round'!I35),"",'By Round'!I35)</f>
        <v/>
      </c>
      <c r="J42" s="15">
        <f>IF(ISBLANK('By Round'!J35),"",'By Round'!J35)</f>
        <v/>
      </c>
      <c r="K42" s="15">
        <f>IF(ISBLANK('By Round'!K35),"",'By Round'!K35)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t="n">
        <v>11</v>
      </c>
      <c r="B43">
        <f>'By Round'!A11</f>
        <v/>
      </c>
      <c r="C43">
        <f>'By Round'!B17</f>
        <v/>
      </c>
      <c r="D43">
        <f>'By Round'!C17</f>
        <v/>
      </c>
      <c r="E43">
        <f>'By Round'!D17</f>
        <v/>
      </c>
      <c r="F43" s="11" t="inlineStr">
        <is>
          <t>None</t>
        </is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4">
        <f>SUM(T43:V43)</f>
        <v/>
      </c>
      <c r="Q43" s="4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>
        <f>'By Round'!A27</f>
        <v/>
      </c>
      <c r="C44">
        <f>'By Round'!B31</f>
        <v/>
      </c>
      <c r="D44">
        <f>'By Round'!C31</f>
        <v/>
      </c>
      <c r="E44">
        <f>'By Round'!D31</f>
        <v/>
      </c>
      <c r="F44" s="11" t="inlineStr">
        <is>
          <t>None</t>
        </is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4">
        <f>SUM(T44:V44)</f>
        <v/>
      </c>
      <c r="Q44" s="4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>
        <f>'By Round'!A35</f>
        <v/>
      </c>
      <c r="C45">
        <f>'By Round'!B37</f>
        <v/>
      </c>
      <c r="D45">
        <f>'By Round'!C37</f>
        <v/>
      </c>
      <c r="E45">
        <f>'By Round'!D37</f>
        <v/>
      </c>
      <c r="F45" s="11" t="inlineStr">
        <is>
          <t>None</t>
        </is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4">
        <f>SUM(T45:V45)</f>
        <v/>
      </c>
      <c r="Q45" s="4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5">
        <f>'By Round'!A43</f>
        <v/>
      </c>
      <c r="C46" s="15">
        <f>'By Round'!B43</f>
        <v/>
      </c>
      <c r="D46" s="15">
        <f>'By Round'!C43</f>
        <v/>
      </c>
      <c r="E46" s="15">
        <f>'By Round'!D43</f>
        <v/>
      </c>
      <c r="F46" s="16" t="inlineStr">
        <is>
          <t>None</t>
        </is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t="n">
        <v>12</v>
      </c>
      <c r="B47">
        <f>'By Round'!A11</f>
        <v/>
      </c>
      <c r="C47">
        <f>'By Round'!B17</f>
        <v/>
      </c>
      <c r="D47">
        <f>'By Round'!C17</f>
        <v/>
      </c>
      <c r="E47">
        <f>'By Round'!D17</f>
        <v/>
      </c>
      <c r="F47" s="11" t="inlineStr">
        <is>
          <t>NS</t>
        </is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4">
        <f>SUM(T47:V47)</f>
        <v/>
      </c>
      <c r="Q47" s="4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>
        <f>'By Round'!A27</f>
        <v/>
      </c>
      <c r="C48">
        <f>'By Round'!B31</f>
        <v/>
      </c>
      <c r="D48">
        <f>'By Round'!C31</f>
        <v/>
      </c>
      <c r="E48">
        <f>'By Round'!D31</f>
        <v/>
      </c>
      <c r="F48" s="11" t="inlineStr">
        <is>
          <t>NS</t>
        </is>
      </c>
      <c r="G48">
        <f>IF(ISBLANK('By Round'!G31),"",'By Round'!G31)</f>
        <v/>
      </c>
      <c r="H48">
        <f>IF(ISBLANK('By Round'!H31),"",'By Round'!H31)</f>
        <v/>
      </c>
      <c r="I48">
        <f>IF(ISBLANK('By Round'!I31),"",'By Round'!I31)</f>
        <v/>
      </c>
      <c r="J48">
        <f>IF(ISBLANK('By Round'!J31),"",'By Round'!J31)</f>
        <v/>
      </c>
      <c r="K48">
        <f>IF(ISBLANK('By Round'!K31),"",'By Round'!K31)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4">
        <f>SUM(T48:V48)</f>
        <v/>
      </c>
      <c r="Q48" s="4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>
        <f>'By Round'!A35</f>
        <v/>
      </c>
      <c r="C49">
        <f>'By Round'!B37</f>
        <v/>
      </c>
      <c r="D49">
        <f>'By Round'!C37</f>
        <v/>
      </c>
      <c r="E49">
        <f>'By Round'!D37</f>
        <v/>
      </c>
      <c r="F49" s="11" t="inlineStr">
        <is>
          <t>NS</t>
        </is>
      </c>
      <c r="G49">
        <f>IF(ISBLANK('By Round'!G37),"",'By Round'!G37)</f>
        <v/>
      </c>
      <c r="H49">
        <f>IF(ISBLANK('By Round'!H37),"",'By Round'!H37)</f>
        <v/>
      </c>
      <c r="I49">
        <f>IF(ISBLANK('By Round'!I37),"",'By Round'!I37)</f>
        <v/>
      </c>
      <c r="J49">
        <f>IF(ISBLANK('By Round'!J37),"",'By Round'!J37)</f>
        <v/>
      </c>
      <c r="K49">
        <f>IF(ISBLANK('By Round'!K37),"",'By Round'!K37)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4">
        <f>SUM(T49:V49)</f>
        <v/>
      </c>
      <c r="Q49" s="4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5">
        <f>'By Round'!A43</f>
        <v/>
      </c>
      <c r="C50" s="15">
        <f>'By Round'!B43</f>
        <v/>
      </c>
      <c r="D50" s="15">
        <f>'By Round'!C43</f>
        <v/>
      </c>
      <c r="E50" s="15">
        <f>'By Round'!D43</f>
        <v/>
      </c>
      <c r="F50" s="16" t="inlineStr">
        <is>
          <t>NS</t>
        </is>
      </c>
      <c r="G50" s="15">
        <f>IF(ISBLANK('By Round'!G43),"",'By Round'!G43)</f>
        <v/>
      </c>
      <c r="H50" s="15">
        <f>IF(ISBLANK('By Round'!H43),"",'By Round'!H43)</f>
        <v/>
      </c>
      <c r="I50" s="15">
        <f>IF(ISBLANK('By Round'!I43),"",'By Round'!I43)</f>
        <v/>
      </c>
      <c r="J50" s="15">
        <f>IF(ISBLANK('By Round'!J43),"",'By Round'!J43)</f>
        <v/>
      </c>
      <c r="K50" s="15">
        <f>IF(ISBLANK('By Round'!K43),"",'By Round'!K43)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t="n">
        <v>13</v>
      </c>
      <c r="B51">
        <f>'By Round'!A19</f>
        <v/>
      </c>
      <c r="C51">
        <f>'By Round'!B25</f>
        <v/>
      </c>
      <c r="D51">
        <f>'By Round'!C25</f>
        <v/>
      </c>
      <c r="E51">
        <f>'By Round'!D25</f>
        <v/>
      </c>
      <c r="F51" s="11" t="inlineStr">
        <is>
          <t>Both</t>
        </is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4">
        <f>SUM(T51:V51)</f>
        <v/>
      </c>
      <c r="Q51" s="4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>
        <f>'By Round'!A35</f>
        <v/>
      </c>
      <c r="C52">
        <f>'By Round'!B39</f>
        <v/>
      </c>
      <c r="D52">
        <f>'By Round'!C39</f>
        <v/>
      </c>
      <c r="E52">
        <f>'By Round'!D39</f>
        <v/>
      </c>
      <c r="F52" s="11" t="inlineStr">
        <is>
          <t>Both</t>
        </is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4">
        <f>SUM(T52:V52)</f>
        <v/>
      </c>
      <c r="Q52" s="4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>
        <f>'By Round'!A43</f>
        <v/>
      </c>
      <c r="C53">
        <f>'By Round'!B45</f>
        <v/>
      </c>
      <c r="D53">
        <f>'By Round'!C45</f>
        <v/>
      </c>
      <c r="E53">
        <f>'By Round'!D45</f>
        <v/>
      </c>
      <c r="F53" s="11" t="inlineStr">
        <is>
          <t>Both</t>
        </is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4">
        <f>SUM(T53:V53)</f>
        <v/>
      </c>
      <c r="Q53" s="4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5">
        <f>'By Round'!A51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6" t="inlineStr">
        <is>
          <t>Both</t>
        </is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t="n">
        <v>14</v>
      </c>
      <c r="B55">
        <f>'By Round'!A19</f>
        <v/>
      </c>
      <c r="C55">
        <f>'By Round'!B25</f>
        <v/>
      </c>
      <c r="D55">
        <f>'By Round'!C25</f>
        <v/>
      </c>
      <c r="E55">
        <f>'By Round'!D25</f>
        <v/>
      </c>
      <c r="F55" s="11" t="inlineStr">
        <is>
          <t>None</t>
        </is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4">
        <f>SUM(T55:V55)</f>
        <v/>
      </c>
      <c r="Q55" s="4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>
        <f>'By Round'!A35</f>
        <v/>
      </c>
      <c r="C56">
        <f>'By Round'!B39</f>
        <v/>
      </c>
      <c r="D56">
        <f>'By Round'!C39</f>
        <v/>
      </c>
      <c r="E56">
        <f>'By Round'!D39</f>
        <v/>
      </c>
      <c r="F56" s="11" t="inlineStr">
        <is>
          <t>None</t>
        </is>
      </c>
      <c r="G56">
        <f>IF(ISBLANK('By Round'!G39),"",'By Round'!G39)</f>
        <v/>
      </c>
      <c r="H56">
        <f>IF(ISBLANK('By Round'!H39),"",'By Round'!H39)</f>
        <v/>
      </c>
      <c r="I56">
        <f>IF(ISBLANK('By Round'!I39),"",'By Round'!I39)</f>
        <v/>
      </c>
      <c r="J56">
        <f>IF(ISBLANK('By Round'!J39),"",'By Round'!J39)</f>
        <v/>
      </c>
      <c r="K56">
        <f>IF(ISBLANK('By Round'!K39),"",'By Round'!K39)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4">
        <f>SUM(T56:V56)</f>
        <v/>
      </c>
      <c r="Q56" s="4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>
        <f>'By Round'!A43</f>
        <v/>
      </c>
      <c r="C57">
        <f>'By Round'!B45</f>
        <v/>
      </c>
      <c r="D57">
        <f>'By Round'!C45</f>
        <v/>
      </c>
      <c r="E57">
        <f>'By Round'!D45</f>
        <v/>
      </c>
      <c r="F57" s="11" t="inlineStr">
        <is>
          <t>None</t>
        </is>
      </c>
      <c r="G57">
        <f>IF(ISBLANK('By Round'!G45),"",'By Round'!G45)</f>
        <v/>
      </c>
      <c r="H57">
        <f>IF(ISBLANK('By Round'!H45),"",'By Round'!H45)</f>
        <v/>
      </c>
      <c r="I57">
        <f>IF(ISBLANK('By Round'!I45),"",'By Round'!I45)</f>
        <v/>
      </c>
      <c r="J57">
        <f>IF(ISBLANK('By Round'!J45),"",'By Round'!J45)</f>
        <v/>
      </c>
      <c r="K57">
        <f>IF(ISBLANK('By Round'!K45),"",'By Round'!K45)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4">
        <f>SUM(T57:V57)</f>
        <v/>
      </c>
      <c r="Q57" s="4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5">
        <f>'By Round'!A51</f>
        <v/>
      </c>
      <c r="C58" s="15">
        <f>'By Round'!B51</f>
        <v/>
      </c>
      <c r="D58" s="15">
        <f>'By Round'!C51</f>
        <v/>
      </c>
      <c r="E58" s="15">
        <f>'By Round'!D51</f>
        <v/>
      </c>
      <c r="F58" s="16" t="inlineStr">
        <is>
          <t>None</t>
        </is>
      </c>
      <c r="G58" s="15">
        <f>IF(ISBLANK('By Round'!G51),"",'By Round'!G51)</f>
        <v/>
      </c>
      <c r="H58" s="15">
        <f>IF(ISBLANK('By Round'!H51),"",'By Round'!H51)</f>
        <v/>
      </c>
      <c r="I58" s="15">
        <f>IF(ISBLANK('By Round'!I51),"",'By Round'!I51)</f>
        <v/>
      </c>
      <c r="J58" s="15">
        <f>IF(ISBLANK('By Round'!J51),"",'By Round'!J51)</f>
        <v/>
      </c>
      <c r="K58" s="15">
        <f>IF(ISBLANK('By Round'!K51),"",'By Round'!K51)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n">
        <v>0</v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n">
        <v>0</v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n">
        <v>0</v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n">
        <v>0</v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n">
        <v>0</v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n">
        <v>0</v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2026-02-02T17:46:15Z</dcterms:created>
  <dcterms:modified xsi:type="dcterms:W3CDTF">2026-02-02T17:46:15Z</dcterms:modified>
</cp:coreProperties>
</file>