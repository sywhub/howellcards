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42</t>
        </is>
      </c>
      <c r="C10" t="inlineStr">
        <is>
          <t>Name 59</t>
        </is>
      </c>
      <c r="D10" s="4">
        <f>SUMIF('By Board'!$D$3:$D$50,"=1",'By Board'!$N$3:$N$50)/12+SUMIF('By Board'!$E$3:$E$50,"=1",'By Board'!$O$3:$O$50)/12</f>
        <v/>
      </c>
      <c r="E10" s="5">
        <f>SUMIF('By Board'!$D$3:$D$50,"=1",'By Board'!$L$3:$L$50)+SUMIF('By Board'!$E$3:$E$50,"=1",'By Board'!$M$3:$M$50)</f>
        <v/>
      </c>
    </row>
    <row r="11">
      <c r="A11" s="2" t="n">
        <v>2</v>
      </c>
      <c r="B11" t="inlineStr">
        <is>
          <t>Name 87</t>
        </is>
      </c>
      <c r="C11" t="inlineStr">
        <is>
          <t>Name 41</t>
        </is>
      </c>
      <c r="D11" s="4">
        <f>SUMIF('By Board'!$D$3:$D$50,"=2",'By Board'!$N$3:$N$50)/12+SUMIF('By Board'!$E$3:$E$50,"=2",'By Board'!$O$3:$O$50)/12</f>
        <v/>
      </c>
      <c r="E11" s="5">
        <f>SUMIF('By Board'!$D$3:$D$50,"=2",'By Board'!$L$3:$L$50)+SUMIF('By Board'!$E$3:$E$50,"=2",'By Board'!$M$3:$M$50)</f>
        <v/>
      </c>
    </row>
    <row r="12">
      <c r="A12" s="2" t="n">
        <v>3</v>
      </c>
      <c r="B12" t="inlineStr">
        <is>
          <t>Name 83</t>
        </is>
      </c>
      <c r="C12" t="inlineStr">
        <is>
          <t>Name 52</t>
        </is>
      </c>
      <c r="D12" s="4">
        <f>SUMIF('By Board'!$D$3:$D$50,"=3",'By Board'!$N$3:$N$50)/12+SUMIF('By Board'!$E$3:$E$50,"=3",'By Board'!$O$3:$O$50)/12</f>
        <v/>
      </c>
      <c r="E12" s="5">
        <f>SUMIF('By Board'!$D$3:$D$50,"=3",'By Board'!$L$3:$L$50)+SUMIF('By Board'!$E$3:$E$50,"=3",'By Board'!$M$3:$M$50)</f>
        <v/>
      </c>
    </row>
    <row r="13">
      <c r="A13" s="2" t="n">
        <v>4</v>
      </c>
      <c r="B13" t="inlineStr">
        <is>
          <t>Name 26</t>
        </is>
      </c>
      <c r="C13" t="inlineStr">
        <is>
          <t>Name 36</t>
        </is>
      </c>
      <c r="D13" s="4">
        <f>SUMIF('By Board'!$D$3:$D$50,"=4",'By Board'!$N$3:$N$50)/12+SUMIF('By Board'!$E$3:$E$50,"=4",'By Board'!$O$3:$O$50)/12</f>
        <v/>
      </c>
      <c r="E13" s="5">
        <f>SUMIF('By Board'!$D$3:$D$50,"=4",'By Board'!$L$3:$L$50)+SUMIF('By Board'!$E$3:$E$50,"=4",'By Board'!$M$3:$M$50)</f>
        <v/>
      </c>
    </row>
    <row r="14">
      <c r="A14" s="2" t="n">
        <v>5</v>
      </c>
      <c r="B14" t="inlineStr">
        <is>
          <t>Name 58</t>
        </is>
      </c>
      <c r="C14" t="inlineStr">
        <is>
          <t>Name 79</t>
        </is>
      </c>
      <c r="D14" s="4">
        <f>SUMIF('By Board'!$D$3:$D$50,"=5",'By Board'!$N$3:$N$50)/12+SUMIF('By Board'!$E$3:$E$50,"=5",'By Board'!$O$3:$O$50)/12</f>
        <v/>
      </c>
      <c r="E14" s="5">
        <f>SUMIF('By Board'!$D$3:$D$50,"=5",'By Board'!$L$3:$L$50)+SUMIF('By Board'!$E$3:$E$50,"=5",'By Board'!$M$3:$M$50)</f>
        <v/>
      </c>
    </row>
    <row r="15">
      <c r="A15" s="2" t="n">
        <v>6</v>
      </c>
      <c r="B15" t="inlineStr">
        <is>
          <t>Name 81</t>
        </is>
      </c>
      <c r="C15" t="inlineStr">
        <is>
          <t>Name 42</t>
        </is>
      </c>
      <c r="D15" s="4">
        <f>SUMIF('By Board'!$D$3:$D$50,"=6",'By Board'!$N$3:$N$50)/12+SUMIF('By Board'!$E$3:$E$50,"=6",'By Board'!$O$3:$O$50)/12</f>
        <v/>
      </c>
      <c r="E15" s="5">
        <f>SUMIF('By Board'!$D$3:$D$50,"=6",'By Board'!$L$3:$L$50)+SUMIF('By Board'!$E$3:$E$50,"=6",'By Board'!$M$3:$M$50)</f>
        <v/>
      </c>
    </row>
    <row r="16">
      <c r="A16" s="2" t="n">
        <v>7</v>
      </c>
      <c r="B16" t="inlineStr">
        <is>
          <t>Name 23</t>
        </is>
      </c>
      <c r="C16" t="inlineStr">
        <is>
          <t>Name 22</t>
        </is>
      </c>
      <c r="D16" s="4">
        <f>SUMIF('By Board'!$D$3:$D$50,"=7",'By Board'!$N$3:$N$50)/12+SUMIF('By Board'!$E$3:$E$50,"=7",'By Board'!$O$3:$O$50)/12</f>
        <v/>
      </c>
      <c r="E16" s="5">
        <f>SUMIF('By Board'!$D$3:$D$50,"=7",'By Board'!$L$3:$L$50)+SUMIF('By Board'!$E$3:$E$50,"=7",'By Board'!$M$3:$M$50)</f>
        <v/>
      </c>
    </row>
    <row r="17">
      <c r="D17" s="6">
        <f>AVERAGE(D10:D16)</f>
        <v/>
      </c>
      <c r="E17" s="7">
        <f>SUM(E10:E16)</f>
        <v/>
      </c>
    </row>
    <row r="19">
      <c r="A19" t="inlineStr">
        <is>
          <t>To sort, remove single quote below</t>
        </is>
      </c>
    </row>
    <row r="20">
      <c r="A20" s="2" t="inlineStr">
        <is>
          <t>IMP Ranking</t>
        </is>
      </c>
    </row>
    <row r="21">
      <c r="A21" t="inlineStr">
        <is>
          <t>'=SORT(A10:E16,4,-1)</t>
        </is>
      </c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32">
      <c r="A32" s="2" t="inlineStr">
        <is>
          <t>MP Ranking</t>
        </is>
      </c>
    </row>
    <row r="33">
      <c r="A33" t="inlineStr">
        <is>
          <t>'=SORT(A10:E16,5,-1)</t>
        </is>
      </c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</sheetData>
  <mergeCells count="9">
    <mergeCell ref="A4:B4"/>
    <mergeCell ref="A20:E20"/>
    <mergeCell ref="A7:B7"/>
    <mergeCell ref="A2:E2"/>
    <mergeCell ref="A5:B5"/>
    <mergeCell ref="A9:C9"/>
    <mergeCell ref="A32:E3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1">
        <f>'By Round'!A27</f>
        <v/>
      </c>
      <c r="C4" s="11">
        <f>'By Round'!B33</f>
        <v/>
      </c>
      <c r="D4" s="11">
        <f>'By Round'!C33</f>
        <v/>
      </c>
      <c r="E4" s="11">
        <f>'By Round'!D33</f>
        <v/>
      </c>
      <c r="F4" s="11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1">
        <f>'By Round'!A43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s="11" t="n">
        <v>2</v>
      </c>
      <c r="B7" s="11">
        <f>'By Round'!A3</f>
        <v/>
      </c>
      <c r="C7" s="11">
        <f>'By Round'!B3</f>
        <v/>
      </c>
      <c r="D7" s="11">
        <f>'By Round'!C3</f>
        <v/>
      </c>
      <c r="E7" s="11">
        <f>'By Round'!D3</f>
        <v/>
      </c>
      <c r="F7" s="11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1">
        <f>'By Round'!A27</f>
        <v/>
      </c>
      <c r="C8" s="11">
        <f>'By Round'!B33</f>
        <v/>
      </c>
      <c r="D8" s="11">
        <f>'By Round'!C33</f>
        <v/>
      </c>
      <c r="E8" s="11">
        <f>'By Round'!D33</f>
        <v/>
      </c>
      <c r="F8" s="11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1">
        <f>'By Round'!A43</f>
        <v/>
      </c>
      <c r="C9" s="11">
        <f>'By Round'!B47</f>
        <v/>
      </c>
      <c r="D9" s="11">
        <f>'By Round'!C47</f>
        <v/>
      </c>
      <c r="E9" s="11">
        <f>'By Round'!D47</f>
        <v/>
      </c>
      <c r="F9" s="11">
        <f>IF(ISBLANK('By Round'!F48),"",'By Round'!F48)</f>
        <v/>
      </c>
      <c r="G9">
        <f>IF(ISBLANK('By Round'!G48),"",'By Round'!G48)</f>
        <v/>
      </c>
      <c r="H9">
        <f>IF(ISBLANK('By Round'!H48),"",'By Round'!H48)</f>
        <v/>
      </c>
      <c r="I9">
        <f>IF(ISBLANK('By Round'!I48),"",'By Round'!I48)</f>
        <v/>
      </c>
      <c r="J9">
        <f>IF(ISBLANK('By Round'!J48),"",'By Round'!J48)</f>
        <v/>
      </c>
      <c r="K9">
        <f>IF(ISBLANK('By Round'!K48),"",'By Round'!K48)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s="11" t="n">
        <v>3</v>
      </c>
      <c r="B11" s="11">
        <f>'By Round'!A3</f>
        <v/>
      </c>
      <c r="C11" s="11">
        <f>'By Round'!B5</f>
        <v/>
      </c>
      <c r="D11" s="11">
        <f>'By Round'!C5</f>
        <v/>
      </c>
      <c r="E11" s="11">
        <f>'By Round'!D5</f>
        <v/>
      </c>
      <c r="F11" s="11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1">
        <f>'By Round'!A11</f>
        <v/>
      </c>
      <c r="C12" s="11">
        <f>'By Round'!B11</f>
        <v/>
      </c>
      <c r="D12" s="11">
        <f>'By Round'!C11</f>
        <v/>
      </c>
      <c r="E12" s="11">
        <f>'By Round'!D11</f>
        <v/>
      </c>
      <c r="F12" s="11">
        <f>IF(ISBLANK('By Round'!F11),"",'By Round'!F11)</f>
        <v/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1">
        <f>'By Round'!A35</f>
        <v/>
      </c>
      <c r="C13" s="11">
        <f>'By Round'!B41</f>
        <v/>
      </c>
      <c r="D13" s="11">
        <f>'By Round'!C41</f>
        <v/>
      </c>
      <c r="E13" s="11">
        <f>'By Round'!D41</f>
        <v/>
      </c>
      <c r="F13" s="11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6">
        <f>'By Round'!A51</f>
        <v/>
      </c>
      <c r="C14" s="16">
        <f>'By Round'!B55</f>
        <v/>
      </c>
      <c r="D14" s="16">
        <f>'By Round'!C55</f>
        <v/>
      </c>
      <c r="E14" s="16">
        <f>'By Round'!D55</f>
        <v/>
      </c>
      <c r="F14" s="16">
        <f>IF(ISBLANK('By Round'!F55),"",'By Round'!F55)</f>
        <v/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s="11" t="n">
        <v>4</v>
      </c>
      <c r="B15" s="11">
        <f>'By Round'!A3</f>
        <v/>
      </c>
      <c r="C15" s="11">
        <f>'By Round'!B5</f>
        <v/>
      </c>
      <c r="D15" s="11">
        <f>'By Round'!C5</f>
        <v/>
      </c>
      <c r="E15" s="11">
        <f>'By Round'!D5</f>
        <v/>
      </c>
      <c r="F15" s="11">
        <f>IF(ISBLANK('By Round'!F6),"",'By Round'!F6)</f>
        <v/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1">
        <f>'By Round'!A11</f>
        <v/>
      </c>
      <c r="C16" s="11">
        <f>'By Round'!B11</f>
        <v/>
      </c>
      <c r="D16" s="11">
        <f>'By Round'!C11</f>
        <v/>
      </c>
      <c r="E16" s="11">
        <f>'By Round'!D11</f>
        <v/>
      </c>
      <c r="F16" s="11">
        <f>IF(ISBLANK('By Round'!F12),"",'By Round'!F12)</f>
        <v/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1">
        <f>'By Round'!A35</f>
        <v/>
      </c>
      <c r="C17" s="11">
        <f>'By Round'!B41</f>
        <v/>
      </c>
      <c r="D17" s="11">
        <f>'By Round'!C41</f>
        <v/>
      </c>
      <c r="E17" s="11">
        <f>'By Round'!D41</f>
        <v/>
      </c>
      <c r="F17" s="11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6">
        <f>'By Round'!A51</f>
        <v/>
      </c>
      <c r="C18" s="16">
        <f>'By Round'!B55</f>
        <v/>
      </c>
      <c r="D18" s="16">
        <f>'By Round'!C55</f>
        <v/>
      </c>
      <c r="E18" s="16">
        <f>'By Round'!D55</f>
        <v/>
      </c>
      <c r="F18" s="16">
        <f>IF(ISBLANK('By Round'!F56),"",'By Round'!F56)</f>
        <v/>
      </c>
      <c r="G18" s="15">
        <f>IF(ISBLANK('By Round'!G56),"",'By Round'!G56)</f>
        <v/>
      </c>
      <c r="H18" s="15">
        <f>IF(ISBLANK('By Round'!H56),"",'By Round'!H56)</f>
        <v/>
      </c>
      <c r="I18" s="15">
        <f>IF(ISBLANK('By Round'!I56),"",'By Round'!I56)</f>
        <v/>
      </c>
      <c r="J18" s="15">
        <f>IF(ISBLANK('By Round'!J56),"",'By Round'!J56)</f>
        <v/>
      </c>
      <c r="K18" s="15">
        <f>IF(ISBLANK('By Round'!K56),"",'By Round'!K56)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s="11" t="n">
        <v>5</v>
      </c>
      <c r="B19" s="11">
        <f>'By Round'!A3</f>
        <v/>
      </c>
      <c r="C19" s="11">
        <f>'By Round'!B7</f>
        <v/>
      </c>
      <c r="D19" s="11">
        <f>'By Round'!C7</f>
        <v/>
      </c>
      <c r="E19" s="11">
        <f>'By Round'!D7</f>
        <v/>
      </c>
      <c r="F19" s="11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1">
        <f>'By Round'!A11</f>
        <v/>
      </c>
      <c r="C20" s="11">
        <f>'By Round'!B13</f>
        <v/>
      </c>
      <c r="D20" s="11">
        <f>'By Round'!C13</f>
        <v/>
      </c>
      <c r="E20" s="11">
        <f>'By Round'!D13</f>
        <v/>
      </c>
      <c r="F20" s="11">
        <f>IF(ISBLANK('By Round'!F13),"",'By Round'!F13)</f>
        <v/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1">
        <f>'By Round'!A19</f>
        <v/>
      </c>
      <c r="C21" s="11">
        <f>'By Round'!B19</f>
        <v/>
      </c>
      <c r="D21" s="11">
        <f>'By Round'!C19</f>
        <v/>
      </c>
      <c r="E21" s="11">
        <f>'By Round'!D19</f>
        <v/>
      </c>
      <c r="F21" s="11">
        <f>IF(ISBLANK('By Round'!F19),"",'By Round'!F19)</f>
        <v/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6">
        <f>'By Round'!A43</f>
        <v/>
      </c>
      <c r="C22" s="16">
        <f>'By Round'!B49</f>
        <v/>
      </c>
      <c r="D22" s="16">
        <f>'By Round'!C49</f>
        <v/>
      </c>
      <c r="E22" s="16">
        <f>'By Round'!D49</f>
        <v/>
      </c>
      <c r="F22" s="16">
        <f>IF(ISBLANK('By Round'!F49),"",'By Round'!F49)</f>
        <v/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s="11" t="n">
        <v>6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1">
        <f>'By Round'!A11</f>
        <v/>
      </c>
      <c r="C24" s="11">
        <f>'By Round'!B13</f>
        <v/>
      </c>
      <c r="D24" s="11">
        <f>'By Round'!C13</f>
        <v/>
      </c>
      <c r="E24" s="11">
        <f>'By Round'!D13</f>
        <v/>
      </c>
      <c r="F24" s="11">
        <f>IF(ISBLANK('By Round'!F14),"",'By Round'!F14)</f>
        <v/>
      </c>
      <c r="G24">
        <f>IF(ISBLANK('By Round'!G14),"",'By Round'!G14)</f>
        <v/>
      </c>
      <c r="H24">
        <f>IF(ISBLANK('By Round'!H14),"",'By Round'!H14)</f>
        <v/>
      </c>
      <c r="I24">
        <f>IF(ISBLANK('By Round'!I14),"",'By Round'!I14)</f>
        <v/>
      </c>
      <c r="J24">
        <f>IF(ISBLANK('By Round'!J14),"",'By Round'!J14)</f>
        <v/>
      </c>
      <c r="K24">
        <f>IF(ISBLANK('By Round'!K14),"",'By Round'!K14)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1">
        <f>'By Round'!A19</f>
        <v/>
      </c>
      <c r="C25" s="11">
        <f>'By Round'!B19</f>
        <v/>
      </c>
      <c r="D25" s="11">
        <f>'By Round'!C19</f>
        <v/>
      </c>
      <c r="E25" s="11">
        <f>'By Round'!D19</f>
        <v/>
      </c>
      <c r="F25" s="11">
        <f>IF(ISBLANK('By Round'!F20),"",'By Round'!F20)</f>
        <v/>
      </c>
      <c r="G25">
        <f>IF(ISBLANK('By Round'!G20),"",'By Round'!G20)</f>
        <v/>
      </c>
      <c r="H25">
        <f>IF(ISBLANK('By Round'!H20),"",'By Round'!H20)</f>
        <v/>
      </c>
      <c r="I25">
        <f>IF(ISBLANK('By Round'!I20),"",'By Round'!I20)</f>
        <v/>
      </c>
      <c r="J25">
        <f>IF(ISBLANK('By Round'!J20),"",'By Round'!J20)</f>
        <v/>
      </c>
      <c r="K25">
        <f>IF(ISBLANK('By Round'!K20),"",'By Round'!K20)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6">
        <f>'By Round'!A43</f>
        <v/>
      </c>
      <c r="C26" s="16">
        <f>'By Round'!B49</f>
        <v/>
      </c>
      <c r="D26" s="16">
        <f>'By Round'!C49</f>
        <v/>
      </c>
      <c r="E26" s="16">
        <f>'By Round'!D49</f>
        <v/>
      </c>
      <c r="F26" s="16">
        <f>IF(ISBLANK('By Round'!F50),"",'By Round'!F50)</f>
        <v/>
      </c>
      <c r="G26" s="15">
        <f>IF(ISBLANK('By Round'!G50),"",'By Round'!G50)</f>
        <v/>
      </c>
      <c r="H26" s="15">
        <f>IF(ISBLANK('By Round'!H50),"",'By Round'!H50)</f>
        <v/>
      </c>
      <c r="I26" s="15">
        <f>IF(ISBLANK('By Round'!I50),"",'By Round'!I50)</f>
        <v/>
      </c>
      <c r="J26" s="15">
        <f>IF(ISBLANK('By Round'!J50),"",'By Round'!J50)</f>
        <v/>
      </c>
      <c r="K26" s="15">
        <f>IF(ISBLANK('By Round'!K50),"",'By Round'!K50)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s="11" t="n">
        <v>7</v>
      </c>
      <c r="B27" s="11">
        <f>'By Round'!A11</f>
        <v/>
      </c>
      <c r="C27" s="11">
        <f>'By Round'!B15</f>
        <v/>
      </c>
      <c r="D27" s="11">
        <f>'By Round'!C15</f>
        <v/>
      </c>
      <c r="E27" s="11">
        <f>'By Round'!D15</f>
        <v/>
      </c>
      <c r="F27" s="11">
        <f>IF(ISBLANK('By Round'!F15),"",'By Round'!F15)</f>
        <v/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1">
        <f>'By Round'!A19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1">
        <f>'By Round'!A27</f>
        <v/>
      </c>
      <c r="C29" s="11">
        <f>'By Round'!B27</f>
        <v/>
      </c>
      <c r="D29" s="11">
        <f>'By Round'!C27</f>
        <v/>
      </c>
      <c r="E29" s="11">
        <f>'By Round'!D27</f>
        <v/>
      </c>
      <c r="F29" s="11">
        <f>IF(ISBLANK('By Round'!F27),"",'By Round'!F27)</f>
        <v/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s="11" t="n">
        <v>8</v>
      </c>
      <c r="B31" s="11">
        <f>'By Round'!A11</f>
        <v/>
      </c>
      <c r="C31" s="11">
        <f>'By Round'!B15</f>
        <v/>
      </c>
      <c r="D31" s="11">
        <f>'By Round'!C15</f>
        <v/>
      </c>
      <c r="E31" s="11">
        <f>'By Round'!D15</f>
        <v/>
      </c>
      <c r="F31" s="11">
        <f>IF(ISBLANK('By Round'!F16),"",'By Round'!F16)</f>
        <v/>
      </c>
      <c r="G31">
        <f>IF(ISBLANK('By Round'!G16),"",'By Round'!G16)</f>
        <v/>
      </c>
      <c r="H31">
        <f>IF(ISBLANK('By Round'!H16),"",'By Round'!H16)</f>
        <v/>
      </c>
      <c r="I31">
        <f>IF(ISBLANK('By Round'!I16),"",'By Round'!I16)</f>
        <v/>
      </c>
      <c r="J31">
        <f>IF(ISBLANK('By Round'!J16),"",'By Round'!J16)</f>
        <v/>
      </c>
      <c r="K31">
        <f>IF(ISBLANK('By Round'!K16),"",'By Round'!K16)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1">
        <f>'By Round'!A19</f>
        <v/>
      </c>
      <c r="C32" s="11">
        <f>'By Round'!B21</f>
        <v/>
      </c>
      <c r="D32" s="11">
        <f>'By Round'!C21</f>
        <v/>
      </c>
      <c r="E32" s="11">
        <f>'By Round'!D21</f>
        <v/>
      </c>
      <c r="F32" s="11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s="11" t="n">
        <v>9</v>
      </c>
      <c r="B35" s="11">
        <f>'By Round'!A3</f>
        <v/>
      </c>
      <c r="C35" s="11">
        <f>'By Round'!B9</f>
        <v/>
      </c>
      <c r="D35" s="11">
        <f>'By Round'!C9</f>
        <v/>
      </c>
      <c r="E35" s="11">
        <f>'By Round'!D9</f>
        <v/>
      </c>
      <c r="F35" s="11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1">
        <f>'By Round'!A19</f>
        <v/>
      </c>
      <c r="C36" s="11">
        <f>'By Round'!B23</f>
        <v/>
      </c>
      <c r="D36" s="11">
        <f>'By Round'!C23</f>
        <v/>
      </c>
      <c r="E36" s="11">
        <f>'By Round'!D23</f>
        <v/>
      </c>
      <c r="F36" s="11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1">
        <f>'By Round'!A27</f>
        <v/>
      </c>
      <c r="C37" s="11">
        <f>'By Round'!B29</f>
        <v/>
      </c>
      <c r="D37" s="11">
        <f>'By Round'!C29</f>
        <v/>
      </c>
      <c r="E37" s="11">
        <f>'By Round'!D29</f>
        <v/>
      </c>
      <c r="F37" s="11">
        <f>IF(ISBLANK('By Round'!F29),"",'By Round'!F29)</f>
        <v/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s="11" t="n">
        <v>10</v>
      </c>
      <c r="B39" s="11">
        <f>'By Round'!A3</f>
        <v/>
      </c>
      <c r="C39" s="11">
        <f>'By Round'!B9</f>
        <v/>
      </c>
      <c r="D39" s="11">
        <f>'By Round'!C9</f>
        <v/>
      </c>
      <c r="E39" s="11">
        <f>'By Round'!D9</f>
        <v/>
      </c>
      <c r="F39" s="11">
        <f>IF(ISBLANK('By Round'!F10),"",'By Round'!F10)</f>
        <v/>
      </c>
      <c r="G39">
        <f>IF(ISBLANK('By Round'!G10),"",'By Round'!G10)</f>
        <v/>
      </c>
      <c r="H39">
        <f>IF(ISBLANK('By Round'!H10),"",'By Round'!H10)</f>
        <v/>
      </c>
      <c r="I39">
        <f>IF(ISBLANK('By Round'!I10),"",'By Round'!I10)</f>
        <v/>
      </c>
      <c r="J39">
        <f>IF(ISBLANK('By Round'!J10),"",'By Round'!J10)</f>
        <v/>
      </c>
      <c r="K39">
        <f>IF(ISBLANK('By Round'!K10),"",'By Round'!K10)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1">
        <f>'By Round'!A19</f>
        <v/>
      </c>
      <c r="C40" s="11">
        <f>'By Round'!B23</f>
        <v/>
      </c>
      <c r="D40" s="11">
        <f>'By Round'!C23</f>
        <v/>
      </c>
      <c r="E40" s="11">
        <f>'By Round'!D23</f>
        <v/>
      </c>
      <c r="F40" s="11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1">
        <f>'By Round'!A27</f>
        <v/>
      </c>
      <c r="C41" s="11">
        <f>'By Round'!B29</f>
        <v/>
      </c>
      <c r="D41" s="11">
        <f>'By Round'!C29</f>
        <v/>
      </c>
      <c r="E41" s="11">
        <f>'By Round'!D29</f>
        <v/>
      </c>
      <c r="F41" s="11">
        <f>IF(ISBLANK('By Round'!F30),"",'By Round'!F30)</f>
        <v/>
      </c>
      <c r="G41">
        <f>IF(ISBLANK('By Round'!G30),"",'By Round'!G30)</f>
        <v/>
      </c>
      <c r="H41">
        <f>IF(ISBLANK('By Round'!H30),"",'By Round'!H30)</f>
        <v/>
      </c>
      <c r="I41">
        <f>IF(ISBLANK('By Round'!I30),"",'By Round'!I30)</f>
        <v/>
      </c>
      <c r="J41">
        <f>IF(ISBLANK('By Round'!J30),"",'By Round'!J30)</f>
        <v/>
      </c>
      <c r="K41">
        <f>IF(ISBLANK('By Round'!K30),"",'By Round'!K30)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s="11" t="n">
        <v>11</v>
      </c>
      <c r="B43" s="11">
        <f>'By Round'!A11</f>
        <v/>
      </c>
      <c r="C43" s="11">
        <f>'By Round'!B17</f>
        <v/>
      </c>
      <c r="D43" s="11">
        <f>'By Round'!C17</f>
        <v/>
      </c>
      <c r="E43" s="11">
        <f>'By Round'!D17</f>
        <v/>
      </c>
      <c r="F43" s="11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1">
        <f>'By Round'!A27</f>
        <v/>
      </c>
      <c r="C44" s="11">
        <f>'By Round'!B31</f>
        <v/>
      </c>
      <c r="D44" s="11">
        <f>'By Round'!C31</f>
        <v/>
      </c>
      <c r="E44" s="11">
        <f>'By Round'!D31</f>
        <v/>
      </c>
      <c r="F44" s="11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1">
        <f>'By Round'!A35</f>
        <v/>
      </c>
      <c r="C45" s="11">
        <f>'By Round'!B37</f>
        <v/>
      </c>
      <c r="D45" s="11">
        <f>'By Round'!C37</f>
        <v/>
      </c>
      <c r="E45" s="11">
        <f>'By Round'!D37</f>
        <v/>
      </c>
      <c r="F45" s="11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s="11" t="n">
        <v>12</v>
      </c>
      <c r="B47" s="11">
        <f>'By Round'!A11</f>
        <v/>
      </c>
      <c r="C47" s="11">
        <f>'By Round'!B17</f>
        <v/>
      </c>
      <c r="D47" s="11">
        <f>'By Round'!C17</f>
        <v/>
      </c>
      <c r="E47" s="11">
        <f>'By Round'!D17</f>
        <v/>
      </c>
      <c r="F47" s="11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1">
        <f>'By Round'!A27</f>
        <v/>
      </c>
      <c r="C48" s="11">
        <f>'By Round'!B31</f>
        <v/>
      </c>
      <c r="D48" s="11">
        <f>'By Round'!C31</f>
        <v/>
      </c>
      <c r="E48" s="11">
        <f>'By Round'!D31</f>
        <v/>
      </c>
      <c r="F48" s="11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1">
        <f>'By Round'!A35</f>
        <v/>
      </c>
      <c r="C49" s="11">
        <f>'By Round'!B37</f>
        <v/>
      </c>
      <c r="D49" s="11">
        <f>'By Round'!C37</f>
        <v/>
      </c>
      <c r="E49" s="11">
        <f>'By Round'!D37</f>
        <v/>
      </c>
      <c r="F49" s="11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s="11" t="n">
        <v>13</v>
      </c>
      <c r="B51" s="11">
        <f>'By Round'!A19</f>
        <v/>
      </c>
      <c r="C51" s="11">
        <f>'By Round'!B25</f>
        <v/>
      </c>
      <c r="D51" s="11">
        <f>'By Round'!C25</f>
        <v/>
      </c>
      <c r="E51" s="11">
        <f>'By Round'!D25</f>
        <v/>
      </c>
      <c r="F51" s="11">
        <f>IF(ISBLANK('By Round'!F25),"",'By Round'!F25)</f>
        <v/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 s="11">
        <f>'By Round'!A35</f>
        <v/>
      </c>
      <c r="C52" s="11">
        <f>'By Round'!B39</f>
        <v/>
      </c>
      <c r="D52" s="11">
        <f>'By Round'!C39</f>
        <v/>
      </c>
      <c r="E52" s="11">
        <f>'By Round'!D39</f>
        <v/>
      </c>
      <c r="F52" s="11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 s="11">
        <f>'By Round'!A43</f>
        <v/>
      </c>
      <c r="C53" s="11">
        <f>'By Round'!B45</f>
        <v/>
      </c>
      <c r="D53" s="11">
        <f>'By Round'!C45</f>
        <v/>
      </c>
      <c r="E53" s="11">
        <f>'By Round'!D45</f>
        <v/>
      </c>
      <c r="F53" s="11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s="11" t="n">
        <v>14</v>
      </c>
      <c r="B55" s="11">
        <f>'By Round'!A19</f>
        <v/>
      </c>
      <c r="C55" s="11">
        <f>'By Round'!B25</f>
        <v/>
      </c>
      <c r="D55" s="11">
        <f>'By Round'!C25</f>
        <v/>
      </c>
      <c r="E55" s="11">
        <f>'By Round'!D25</f>
        <v/>
      </c>
      <c r="F55" s="11">
        <f>IF(ISBLANK('By Round'!F26),"",'By Round'!F26)</f>
        <v/>
      </c>
      <c r="G55">
        <f>IF(ISBLANK('By Round'!G26),"",'By Round'!G26)</f>
        <v/>
      </c>
      <c r="H55">
        <f>IF(ISBLANK('By Round'!H26),"",'By Round'!H26)</f>
        <v/>
      </c>
      <c r="I55">
        <f>IF(ISBLANK('By Round'!I26),"",'By Round'!I26)</f>
        <v/>
      </c>
      <c r="J55">
        <f>IF(ISBLANK('By Round'!J26),"",'By Round'!J26)</f>
        <v/>
      </c>
      <c r="K55">
        <f>IF(ISBLANK('By Round'!K26),"",'By Round'!K26)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 s="11">
        <f>'By Round'!A35</f>
        <v/>
      </c>
      <c r="C56" s="11">
        <f>'By Round'!B39</f>
        <v/>
      </c>
      <c r="D56" s="11">
        <f>'By Round'!C39</f>
        <v/>
      </c>
      <c r="E56" s="11">
        <f>'By Round'!D39</f>
        <v/>
      </c>
      <c r="F56" s="11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 s="11">
        <f>'By Round'!A43</f>
        <v/>
      </c>
      <c r="C57" s="11">
        <f>'By Round'!B45</f>
        <v/>
      </c>
      <c r="D57" s="11">
        <f>'By Round'!C45</f>
        <v/>
      </c>
      <c r="E57" s="11">
        <f>'By Round'!D45</f>
        <v/>
      </c>
      <c r="F57" s="11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inlineStr">
        <is>
          <t>Sit-Out</t>
        </is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inlineStr">
        <is>
          <t>Sit-Out</t>
        </is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inlineStr">
        <is>
          <t>Sit-Out</t>
        </is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inlineStr">
        <is>
          <t>Sit-Out</t>
        </is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inlineStr">
        <is>
          <t>Sit-Out</t>
        </is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inlineStr">
        <is>
          <t>Sit-Out</t>
        </is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2026-02-08T17:33:29Z</dcterms:created>
  <dcterms:modified xsi:type="dcterms:W3CDTF">2026-02-08T17:33:29Z</dcterms:modified>
</cp:coreProperties>
</file>