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18,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48</t>
        </is>
      </c>
      <c r="C10" t="inlineStr">
        <is>
          <t>Name 47</t>
        </is>
      </c>
      <c r="D10" s="4">
        <f>SUMIF('By Board'!$D$3:$D$50,"=1",'By Board'!$O$3:$O$50)/12+SUMIF('By Board'!$E$3:$E$50,"=1",'By Board'!$P$3:$P$50)/12</f>
        <v/>
      </c>
      <c r="E10" s="5">
        <f>SUMIF('By Board'!$D$3:$D$50,"=1",'By Board'!$M$3:$M$50)+SUMIF('By Board'!$E$3:$E$50,"=1",'By Board'!$N$3:$N$50)</f>
        <v/>
      </c>
    </row>
    <row r="11">
      <c r="A11" s="2" t="n">
        <v>2</v>
      </c>
      <c r="B11" t="inlineStr">
        <is>
          <t>Name 65</t>
        </is>
      </c>
      <c r="C11" t="inlineStr">
        <is>
          <t>Name 63</t>
        </is>
      </c>
      <c r="D11" s="4">
        <f>SUMIF('By Board'!$D$3:$D$50,"=2",'By Board'!$O$3:$O$50)/12+SUMIF('By Board'!$E$3:$E$50,"=2",'By Board'!$P$3:$P$50)/12</f>
        <v/>
      </c>
      <c r="E11" s="5">
        <f>SUMIF('By Board'!$D$3:$D$50,"=2",'By Board'!$M$3:$M$50)+SUMIF('By Board'!$E$3:$E$50,"=2",'By Board'!$N$3:$N$50)</f>
        <v/>
      </c>
    </row>
    <row r="12">
      <c r="A12" s="2" t="n">
        <v>3</v>
      </c>
      <c r="B12" t="inlineStr">
        <is>
          <t>Name 80</t>
        </is>
      </c>
      <c r="C12" t="inlineStr">
        <is>
          <t>Name 22</t>
        </is>
      </c>
      <c r="D12" s="4">
        <f>SUMIF('By Board'!$D$3:$D$50,"=3",'By Board'!$O$3:$O$50)/12+SUMIF('By Board'!$E$3:$E$50,"=3",'By Board'!$P$3:$P$50)/12</f>
        <v/>
      </c>
      <c r="E12" s="5">
        <f>SUMIF('By Board'!$D$3:$D$50,"=3",'By Board'!$M$3:$M$50)+SUMIF('By Board'!$E$3:$E$50,"=3",'By Board'!$N$3:$N$50)</f>
        <v/>
      </c>
    </row>
    <row r="13">
      <c r="A13" s="2" t="n">
        <v>4</v>
      </c>
      <c r="B13" t="inlineStr">
        <is>
          <t>Name 14</t>
        </is>
      </c>
      <c r="C13" t="inlineStr">
        <is>
          <t>Name 72</t>
        </is>
      </c>
      <c r="D13" s="4">
        <f>SUMIF('By Board'!$D$3:$D$50,"=4",'By Board'!$O$3:$O$50)/12+SUMIF('By Board'!$E$3:$E$50,"=4",'By Board'!$P$3:$P$50)/12</f>
        <v/>
      </c>
      <c r="E13" s="5">
        <f>SUMIF('By Board'!$D$3:$D$50,"=4",'By Board'!$M$3:$M$50)+SUMIF('By Board'!$E$3:$E$50,"=4",'By Board'!$N$3:$N$50)</f>
        <v/>
      </c>
    </row>
    <row r="14">
      <c r="A14" s="2" t="n">
        <v>5</v>
      </c>
      <c r="B14" t="inlineStr">
        <is>
          <t>Name 16</t>
        </is>
      </c>
      <c r="C14" t="inlineStr">
        <is>
          <t>Name 48</t>
        </is>
      </c>
      <c r="D14" s="4">
        <f>SUMIF('By Board'!$D$3:$D$50,"=5",'By Board'!$O$3:$O$50)/12+SUMIF('By Board'!$E$3:$E$50,"=5",'By Board'!$P$3:$P$50)/12</f>
        <v/>
      </c>
      <c r="E14" s="5">
        <f>SUMIF('By Board'!$D$3:$D$50,"=5",'By Board'!$M$3:$M$50)+SUMIF('By Board'!$E$3:$E$50,"=5",'By Board'!$N$3:$N$50)</f>
        <v/>
      </c>
    </row>
    <row r="15">
      <c r="A15" s="2" t="n">
        <v>6</v>
      </c>
      <c r="B15" t="inlineStr">
        <is>
          <t>Name 42</t>
        </is>
      </c>
      <c r="C15" t="inlineStr">
        <is>
          <t>Name 55</t>
        </is>
      </c>
      <c r="D15" s="4">
        <f>SUMIF('By Board'!$D$3:$D$50,"=6",'By Board'!$O$3:$O$50)/12+SUMIF('By Board'!$E$3:$E$50,"=6",'By Board'!$P$3:$P$50)/12</f>
        <v/>
      </c>
      <c r="E15" s="5">
        <f>SUMIF('By Board'!$D$3:$D$50,"=6",'By Board'!$M$3:$M$50)+SUMIF('By Board'!$E$3:$E$50,"=6",'By Board'!$N$3:$N$50)</f>
        <v/>
      </c>
    </row>
    <row r="16">
      <c r="A16" s="2" t="n">
        <v>7</v>
      </c>
      <c r="B16" t="inlineStr">
        <is>
          <t>Name 53</t>
        </is>
      </c>
      <c r="C16" t="inlineStr">
        <is>
          <t>Name 64</t>
        </is>
      </c>
      <c r="D16" s="4">
        <f>SUMIF('By Board'!$D$3:$D$50,"=7",'By Board'!$O$3:$O$50)/12+SUMIF('By Board'!$E$3:$E$50,"=7",'By Board'!$P$3:$P$50)/12</f>
        <v/>
      </c>
      <c r="E16" s="5">
        <f>SUMIF('By Board'!$D$3:$D$50,"=7",'By Board'!$M$3:$M$50)+SUMIF('By Board'!$E$3:$E$50,"=7",'By Board'!$N$3:$N$50)</f>
        <v/>
      </c>
    </row>
    <row r="17">
      <c r="D17" s="6">
        <f>AVERAGE(D10:D16)</f>
        <v/>
      </c>
      <c r="E17" s="7">
        <f>SUM(E10:E16)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Round'!A43</f>
        <v/>
      </c>
      <c r="C4" s="10">
        <f>'By Round'!B47</f>
        <v/>
      </c>
      <c r="D4" s="10">
        <f>'By Round'!C47</f>
        <v/>
      </c>
      <c r="E4" s="10">
        <f>'By Round'!D47</f>
        <v/>
      </c>
      <c r="F4" s="10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>
        <f>IF(ISBLANK('By Round'!L47),"",'By Round'!L47)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Round'!A27</f>
        <v/>
      </c>
      <c r="C5" s="10">
        <f>'By Round'!B33</f>
        <v/>
      </c>
      <c r="D5" s="10">
        <f>'By Round'!C33</f>
        <v/>
      </c>
      <c r="E5" s="10">
        <f>'By Round'!D33</f>
        <v/>
      </c>
      <c r="F5" s="10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Round'!A51</f>
        <v/>
      </c>
      <c r="C6" s="16">
        <f>'By Round'!B53</f>
        <v/>
      </c>
      <c r="D6" s="16">
        <f>'By Round'!C53</f>
        <v/>
      </c>
      <c r="E6" s="16">
        <f>'By Round'!D53</f>
        <v/>
      </c>
      <c r="F6" s="16">
        <f>IF(ISBLANK('By Round'!F53),"",'By Round'!F53)</f>
        <v/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5">
        <f>IF(ISBLANK('By Round'!L53),"",'By Round'!L53)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IF(ISNUMBER(S6),IF(ISNUMBER(S3),IF(S6&gt;S3,1.0,IF(S6=S3,0.5,0.0)),""),"")</f>
        <v/>
      </c>
      <c r="V6" s="15">
        <f>IF(ISNUMBER(S6),IF(ISNUMBER(S4),IF(S6&gt;S4,1.0,IF(S6=S4,0.5,0.0)),""),"")</f>
        <v/>
      </c>
      <c r="W6" s="15">
        <f>IF(ISNUMBER(S6),IF(ISNUMBER(S5),IF(S6&gt;S5,1.0,IF(S6=S5,0.5,0.0)),""),"")</f>
        <v/>
      </c>
      <c r="X6" s="15">
        <f>IF(ISNUMBER(T6),IF(ISNUMBER(T3),IF(T6&gt;T3,1.0,IF(T6=T3,0.5,0.0)),""),"")</f>
        <v/>
      </c>
      <c r="Y6" s="15">
        <f>IF(ISNUMBER(T6),IF(ISNUMBER(T4),IF(T6&gt;T4,1.0,IF(T6=T4,0.5,0.0)),""),"")</f>
        <v/>
      </c>
      <c r="Z6" s="15">
        <f>IF(ISNUMBER(T6),IF(ISNUMBER(T5),IF(T6&gt;T5,1.0,IF(T6=T5,0.5,0.0)),""),"")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Round'!A3</f>
        <v/>
      </c>
      <c r="C7" s="10">
        <f>'By Round'!B3</f>
        <v/>
      </c>
      <c r="D7" s="10">
        <f>'By Round'!C3</f>
        <v/>
      </c>
      <c r="E7" s="10">
        <f>'By Round'!D3</f>
        <v/>
      </c>
      <c r="F7" s="10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Round'!A43</f>
        <v/>
      </c>
      <c r="C8" s="10">
        <f>'By Round'!B47</f>
        <v/>
      </c>
      <c r="D8" s="10">
        <f>'By Round'!C47</f>
        <v/>
      </c>
      <c r="E8" s="10">
        <f>'By Round'!D47</f>
        <v/>
      </c>
      <c r="F8" s="10">
        <f>IF(ISBLANK('By Round'!F48),"",'By Round'!F48)</f>
        <v/>
      </c>
      <c r="G8">
        <f>IF(ISBLANK('By Round'!G48),"",'By Round'!G48)</f>
        <v/>
      </c>
      <c r="H8">
        <f>IF(ISBLANK('By Round'!H48),"",'By Round'!H48)</f>
        <v/>
      </c>
      <c r="I8">
        <f>IF(ISBLANK('By Round'!I48),"",'By Round'!I48)</f>
        <v/>
      </c>
      <c r="J8">
        <f>IF(ISBLANK('By Round'!J48),"",'By Round'!J48)</f>
        <v/>
      </c>
      <c r="K8">
        <f>IF(ISBLANK('By Round'!K48),"",'By Round'!K48)</f>
        <v/>
      </c>
      <c r="L8">
        <f>IF(ISBLANK('By Round'!L48),"",'By Round'!L48)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Round'!A27</f>
        <v/>
      </c>
      <c r="C9" s="10">
        <f>'By Round'!B33</f>
        <v/>
      </c>
      <c r="D9" s="10">
        <f>'By Round'!C33</f>
        <v/>
      </c>
      <c r="E9" s="10">
        <f>'By Round'!D33</f>
        <v/>
      </c>
      <c r="F9" s="10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Round'!A51</f>
        <v/>
      </c>
      <c r="C10" s="16">
        <f>'By Round'!B53</f>
        <v/>
      </c>
      <c r="D10" s="16">
        <f>'By Round'!C53</f>
        <v/>
      </c>
      <c r="E10" s="16">
        <f>'By Round'!D53</f>
        <v/>
      </c>
      <c r="F10" s="16">
        <f>IF(ISBLANK('By Round'!F54),"",'By Round'!F54)</f>
        <v/>
      </c>
      <c r="G10" s="15">
        <f>IF(ISBLANK('By Round'!G54),"",'By Round'!G54)</f>
        <v/>
      </c>
      <c r="H10" s="15">
        <f>IF(ISBLANK('By Round'!H54),"",'By Round'!H54)</f>
        <v/>
      </c>
      <c r="I10" s="15">
        <f>IF(ISBLANK('By Round'!I54),"",'By Round'!I54)</f>
        <v/>
      </c>
      <c r="J10" s="15">
        <f>IF(ISBLANK('By Round'!J54),"",'By Round'!J54)</f>
        <v/>
      </c>
      <c r="K10" s="15">
        <f>IF(ISBLANK('By Round'!K54),"",'By Round'!K54)</f>
        <v/>
      </c>
      <c r="L10" s="15">
        <f>IF(ISBLANK('By Round'!L54),"",'By Round'!L54)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IF(ISNUMBER(S10),IF(ISNUMBER(S7),IF(S10&gt;S7,1.0,IF(S10=S7,0.5,0.0)),""),"")</f>
        <v/>
      </c>
      <c r="V10" s="15">
        <f>IF(ISNUMBER(S10),IF(ISNUMBER(S8),IF(S10&gt;S8,1.0,IF(S10=S8,0.5,0.0)),""),"")</f>
        <v/>
      </c>
      <c r="W10" s="15">
        <f>IF(ISNUMBER(S10),IF(ISNUMBER(S9),IF(S10&gt;S9,1.0,IF(S10=S9,0.5,0.0)),""),"")</f>
        <v/>
      </c>
      <c r="X10" s="15">
        <f>IF(ISNUMBER(T10),IF(ISNUMBER(T7),IF(T10&gt;T7,1.0,IF(T10=T7,0.5,0.0)),""),"")</f>
        <v/>
      </c>
      <c r="Y10" s="15">
        <f>IF(ISNUMBER(T10),IF(ISNUMBER(T8),IF(T10&gt;T8,1.0,IF(T10=T8,0.5,0.0)),""),"")</f>
        <v/>
      </c>
      <c r="Z10" s="15">
        <f>IF(ISNUMBER(T10),IF(ISNUMBER(T9),IF(T10&gt;T9,1.0,IF(T10=T9,0.5,0.0)),""),"")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Round'!A11</f>
        <v/>
      </c>
      <c r="C11" s="10">
        <f>'By Round'!B11</f>
        <v/>
      </c>
      <c r="D11" s="10">
        <f>'By Round'!C11</f>
        <v/>
      </c>
      <c r="E11" s="10">
        <f>'By Round'!D11</f>
        <v/>
      </c>
      <c r="F11" s="10">
        <f>IF(ISBLANK('By Round'!F11),"",'By Round'!F11)</f>
        <v/>
      </c>
      <c r="G11">
        <f>IF(ISBLANK('By Round'!G11),"",'By Round'!G11)</f>
        <v/>
      </c>
      <c r="H11">
        <f>IF(ISBLANK('By Round'!H11),"",'By Round'!H11)</f>
        <v/>
      </c>
      <c r="I11">
        <f>IF(ISBLANK('By Round'!I11),"",'By Round'!I11)</f>
        <v/>
      </c>
      <c r="J11">
        <f>IF(ISBLANK('By Round'!J11),"",'By Round'!J11)</f>
        <v/>
      </c>
      <c r="K11">
        <f>IF(ISBLANK('By Round'!K11),"",'By Round'!K11)</f>
        <v/>
      </c>
      <c r="L11">
        <f>IF(ISBLANK('By Round'!L11),"",'By Round'!L11)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Round'!A51</f>
        <v/>
      </c>
      <c r="C12" s="10">
        <f>'By Round'!B55</f>
        <v/>
      </c>
      <c r="D12" s="10">
        <f>'By Round'!C55</f>
        <v/>
      </c>
      <c r="E12" s="10">
        <f>'By Round'!D55</f>
        <v/>
      </c>
      <c r="F12" s="10">
        <f>IF(ISBLANK('By Round'!F55),"",'By Round'!F55)</f>
        <v/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>
        <f>IF(ISBLANK('By Round'!L55),"",'By Round'!L55)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Round'!A35</f>
        <v/>
      </c>
      <c r="C13" s="10">
        <f>'By Round'!B41</f>
        <v/>
      </c>
      <c r="D13" s="10">
        <f>'By Round'!C41</f>
        <v/>
      </c>
      <c r="E13" s="10">
        <f>'By Round'!D41</f>
        <v/>
      </c>
      <c r="F13" s="10">
        <f>IF(ISBLANK('By Round'!F41),"",'By Round'!F41)</f>
        <v/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>
        <f>IF(ISBLANK('By Round'!L41),"",'By Round'!L41)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Round'!A3</f>
        <v/>
      </c>
      <c r="C14" s="16">
        <f>'By Round'!B5</f>
        <v/>
      </c>
      <c r="D14" s="16">
        <f>'By Round'!C5</f>
        <v/>
      </c>
      <c r="E14" s="16">
        <f>'By Round'!D5</f>
        <v/>
      </c>
      <c r="F14" s="16">
        <f>IF(ISBLANK('By Round'!F5),"",'By Round'!F5)</f>
        <v/>
      </c>
      <c r="G14" s="15">
        <f>IF(ISBLANK('By Round'!G5),"",'By Round'!G5)</f>
        <v/>
      </c>
      <c r="H14" s="15">
        <f>IF(ISBLANK('By Round'!H5),"",'By Round'!H5)</f>
        <v/>
      </c>
      <c r="I14" s="15">
        <f>IF(ISBLANK('By Round'!I5),"",'By Round'!I5)</f>
        <v/>
      </c>
      <c r="J14" s="15">
        <f>IF(ISBLANK('By Round'!J5),"",'By Round'!J5)</f>
        <v/>
      </c>
      <c r="K14" s="15">
        <f>IF(ISBLANK('By Round'!K5),"",'By Round'!K5)</f>
        <v/>
      </c>
      <c r="L14" s="15">
        <f>IF(ISBLANK('By Round'!L5),"",'By Round'!L5)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15">
        <f>IF(ISNUMBER(T14),IF(ISNUMBER(T11),IF(T14&gt;T11,1.0,IF(T14=T11,0.5,0.0)),""),"")</f>
        <v/>
      </c>
      <c r="Y14" s="15">
        <f>IF(ISNUMBER(T14),IF(ISNUMBER(T12),IF(T14&gt;T12,1.0,IF(T14=T12,0.5,0.0)),""),"")</f>
        <v/>
      </c>
      <c r="Z14" s="15">
        <f>IF(ISNUMBER(T14),IF(ISNUMBER(T13),IF(T14&gt;T13,1.0,IF(T14=T13,0.5,0.0)),""),"")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Round'!A11</f>
        <v/>
      </c>
      <c r="C15" s="10">
        <f>'By Round'!B11</f>
        <v/>
      </c>
      <c r="D15" s="10">
        <f>'By Round'!C11</f>
        <v/>
      </c>
      <c r="E15" s="10">
        <f>'By Round'!D11</f>
        <v/>
      </c>
      <c r="F15" s="10">
        <f>IF(ISBLANK('By Round'!F12),"",'By Round'!F12)</f>
        <v/>
      </c>
      <c r="G15">
        <f>IF(ISBLANK('By Round'!G12),"",'By Round'!G12)</f>
        <v/>
      </c>
      <c r="H15">
        <f>IF(ISBLANK('By Round'!H12),"",'By Round'!H12)</f>
        <v/>
      </c>
      <c r="I15">
        <f>IF(ISBLANK('By Round'!I12),"",'By Round'!I12)</f>
        <v/>
      </c>
      <c r="J15">
        <f>IF(ISBLANK('By Round'!J12),"",'By Round'!J12)</f>
        <v/>
      </c>
      <c r="K15">
        <f>IF(ISBLANK('By Round'!K12),"",'By Round'!K12)</f>
        <v/>
      </c>
      <c r="L15">
        <f>IF(ISBLANK('By Round'!L12),"",'By Round'!L12)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Round'!A51</f>
        <v/>
      </c>
      <c r="C16" s="10">
        <f>'By Round'!B55</f>
        <v/>
      </c>
      <c r="D16" s="10">
        <f>'By Round'!C55</f>
        <v/>
      </c>
      <c r="E16" s="10">
        <f>'By Round'!D55</f>
        <v/>
      </c>
      <c r="F16" s="10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Round'!A35</f>
        <v/>
      </c>
      <c r="C17" s="10">
        <f>'By Round'!B41</f>
        <v/>
      </c>
      <c r="D17" s="10">
        <f>'By Round'!C41</f>
        <v/>
      </c>
      <c r="E17" s="10">
        <f>'By Round'!D41</f>
        <v/>
      </c>
      <c r="F17" s="10">
        <f>IF(ISBLANK('By Round'!F42),"",'By Round'!F42)</f>
        <v/>
      </c>
      <c r="G17">
        <f>IF(ISBLANK('By Round'!G42),"",'By Round'!G42)</f>
        <v/>
      </c>
      <c r="H17">
        <f>IF(ISBLANK('By Round'!H42),"",'By Round'!H42)</f>
        <v/>
      </c>
      <c r="I17">
        <f>IF(ISBLANK('By Round'!I42),"",'By Round'!I42)</f>
        <v/>
      </c>
      <c r="J17">
        <f>IF(ISBLANK('By Round'!J42),"",'By Round'!J42)</f>
        <v/>
      </c>
      <c r="K17">
        <f>IF(ISBLANK('By Round'!K42),"",'By Round'!K42)</f>
        <v/>
      </c>
      <c r="L17">
        <f>IF(ISBLANK('By Round'!L42),"",'By Round'!L42)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Round'!A3</f>
        <v/>
      </c>
      <c r="C18" s="16">
        <f>'By Round'!B5</f>
        <v/>
      </c>
      <c r="D18" s="16">
        <f>'By Round'!C5</f>
        <v/>
      </c>
      <c r="E18" s="16">
        <f>'By Round'!D5</f>
        <v/>
      </c>
      <c r="F18" s="16">
        <f>IF(ISBLANK('By Round'!F6),"",'By Round'!F6)</f>
        <v/>
      </c>
      <c r="G18" s="15">
        <f>IF(ISBLANK('By Round'!G6),"",'By Round'!G6)</f>
        <v/>
      </c>
      <c r="H18" s="15">
        <f>IF(ISBLANK('By Round'!H6),"",'By Round'!H6)</f>
        <v/>
      </c>
      <c r="I18" s="15">
        <f>IF(ISBLANK('By Round'!I6),"",'By Round'!I6)</f>
        <v/>
      </c>
      <c r="J18" s="15">
        <f>IF(ISBLANK('By Round'!J6),"",'By Round'!J6)</f>
        <v/>
      </c>
      <c r="K18" s="15">
        <f>IF(ISBLANK('By Round'!K6),"",'By Round'!K6)</f>
        <v/>
      </c>
      <c r="L18" s="15">
        <f>IF(ISBLANK('By Round'!L6),"",'By Round'!L6)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IF(ISNUMBER(S18),IF(ISNUMBER(S15),IF(S18&gt;S15,1.0,IF(S18=S15,0.5,0.0)),""),"")</f>
        <v/>
      </c>
      <c r="V18" s="15">
        <f>IF(ISNUMBER(S18),IF(ISNUMBER(S16),IF(S18&gt;S16,1.0,IF(S18=S16,0.5,0.0)),""),"")</f>
        <v/>
      </c>
      <c r="W18" s="15">
        <f>IF(ISNUMBER(S18),IF(ISNUMBER(S17),IF(S18&gt;S17,1.0,IF(S18=S17,0.5,0.0)),""),"")</f>
        <v/>
      </c>
      <c r="X18" s="15">
        <f>IF(ISNUMBER(T18),IF(ISNUMBER(T15),IF(T18&gt;T15,1.0,IF(T18=T15,0.5,0.0)),""),"")</f>
        <v/>
      </c>
      <c r="Y18" s="15">
        <f>IF(ISNUMBER(T18),IF(ISNUMBER(T16),IF(T18&gt;T16,1.0,IF(T18=T16,0.5,0.0)),""),"")</f>
        <v/>
      </c>
      <c r="Z18" s="15">
        <f>IF(ISNUMBER(T18),IF(ISNUMBER(T17),IF(T18&gt;T17,1.0,IF(T18=T17,0.5,0.0)),""),"")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Round'!A19</f>
        <v/>
      </c>
      <c r="C19" s="10">
        <f>'By Round'!B19</f>
        <v/>
      </c>
      <c r="D19" s="10">
        <f>'By Round'!C19</f>
        <v/>
      </c>
      <c r="E19" s="10">
        <f>'By Round'!D19</f>
        <v/>
      </c>
      <c r="F19" s="10">
        <f>IF(ISBLANK('By Round'!F19),"",'By Round'!F19)</f>
        <v/>
      </c>
      <c r="G19">
        <f>IF(ISBLANK('By Round'!G19),"",'By Round'!G19)</f>
        <v/>
      </c>
      <c r="H19">
        <f>IF(ISBLANK('By Round'!H19),"",'By Round'!H19)</f>
        <v/>
      </c>
      <c r="I19">
        <f>IF(ISBLANK('By Round'!I19),"",'By Round'!I19)</f>
        <v/>
      </c>
      <c r="J19">
        <f>IF(ISBLANK('By Round'!J19),"",'By Round'!J19)</f>
        <v/>
      </c>
      <c r="K19">
        <f>IF(ISBLANK('By Round'!K19),"",'By Round'!K19)</f>
        <v/>
      </c>
      <c r="L19">
        <f>IF(ISBLANK('By Round'!L19),"",'By Round'!L19)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Round'!A3</f>
        <v/>
      </c>
      <c r="C20" s="10">
        <f>'By Round'!B7</f>
        <v/>
      </c>
      <c r="D20" s="10">
        <f>'By Round'!C7</f>
        <v/>
      </c>
      <c r="E20" s="10">
        <f>'By Round'!D7</f>
        <v/>
      </c>
      <c r="F20" s="10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Round'!A43</f>
        <v/>
      </c>
      <c r="C21" s="10">
        <f>'By Round'!B49</f>
        <v/>
      </c>
      <c r="D21" s="10">
        <f>'By Round'!C49</f>
        <v/>
      </c>
      <c r="E21" s="10">
        <f>'By Round'!D49</f>
        <v/>
      </c>
      <c r="F21" s="10">
        <f>IF(ISBLANK('By Round'!F49),"",'By Round'!F49)</f>
        <v/>
      </c>
      <c r="G21">
        <f>IF(ISBLANK('By Round'!G49),"",'By Round'!G49)</f>
        <v/>
      </c>
      <c r="H21">
        <f>IF(ISBLANK('By Round'!H49),"",'By Round'!H49)</f>
        <v/>
      </c>
      <c r="I21">
        <f>IF(ISBLANK('By Round'!I49),"",'By Round'!I49)</f>
        <v/>
      </c>
      <c r="J21">
        <f>IF(ISBLANK('By Round'!J49),"",'By Round'!J49)</f>
        <v/>
      </c>
      <c r="K21">
        <f>IF(ISBLANK('By Round'!K49),"",'By Round'!K49)</f>
        <v/>
      </c>
      <c r="L21">
        <f>IF(ISBLANK('By Round'!L49),"",'By Round'!L49)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Round'!A11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Round'!F13),"",'By Round'!F13)</f>
        <v/>
      </c>
      <c r="G22" s="15">
        <f>IF(ISBLANK('By Round'!G13),"",'By Round'!G13)</f>
        <v/>
      </c>
      <c r="H22" s="15">
        <f>IF(ISBLANK('By Round'!H13),"",'By Round'!H13)</f>
        <v/>
      </c>
      <c r="I22" s="15">
        <f>IF(ISBLANK('By Round'!I13),"",'By Round'!I13)</f>
        <v/>
      </c>
      <c r="J22" s="15">
        <f>IF(ISBLANK('By Round'!J13),"",'By Round'!J13)</f>
        <v/>
      </c>
      <c r="K22" s="15">
        <f>IF(ISBLANK('By Round'!K13),"",'By Round'!K13)</f>
        <v/>
      </c>
      <c r="L22" s="15">
        <f>IF(ISBLANK('By Round'!L13),"",'By Round'!L13)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IF(ISNUMBER(S22),IF(ISNUMBER(S19),IF(S22&gt;S19,1.0,IF(S22=S19,0.5,0.0)),""),"")</f>
        <v/>
      </c>
      <c r="V22" s="15">
        <f>IF(ISNUMBER(S22),IF(ISNUMBER(S20),IF(S22&gt;S20,1.0,IF(S22=S20,0.5,0.0)),""),"")</f>
        <v/>
      </c>
      <c r="W22" s="15">
        <f>IF(ISNUMBER(S22),IF(ISNUMBER(S21),IF(S22&gt;S21,1.0,IF(S22=S21,0.5,0.0)),""),"")</f>
        <v/>
      </c>
      <c r="X22" s="15">
        <f>IF(ISNUMBER(T22),IF(ISNUMBER(T19),IF(T22&gt;T19,1.0,IF(T22=T19,0.5,0.0)),""),"")</f>
        <v/>
      </c>
      <c r="Y22" s="15">
        <f>IF(ISNUMBER(T22),IF(ISNUMBER(T20),IF(T22&gt;T20,1.0,IF(T22=T20,0.5,0.0)),""),"")</f>
        <v/>
      </c>
      <c r="Z22" s="15">
        <f>IF(ISNUMBER(T22),IF(ISNUMBER(T21),IF(T22&gt;T21,1.0,IF(T22=T21,0.5,0.0)),""),"")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Round'!A19</f>
        <v/>
      </c>
      <c r="C23" s="10">
        <f>'By Round'!B19</f>
        <v/>
      </c>
      <c r="D23" s="10">
        <f>'By Round'!C19</f>
        <v/>
      </c>
      <c r="E23" s="10">
        <f>'By Round'!D19</f>
        <v/>
      </c>
      <c r="F23" s="10">
        <f>IF(ISBLANK('By Round'!F20),"",'By Round'!F20)</f>
        <v/>
      </c>
      <c r="G23">
        <f>IF(ISBLANK('By Round'!G20),"",'By Round'!G20)</f>
        <v/>
      </c>
      <c r="H23">
        <f>IF(ISBLANK('By Round'!H20),"",'By Round'!H20)</f>
        <v/>
      </c>
      <c r="I23">
        <f>IF(ISBLANK('By Round'!I20),"",'By Round'!I20)</f>
        <v/>
      </c>
      <c r="J23">
        <f>IF(ISBLANK('By Round'!J20),"",'By Round'!J20)</f>
        <v/>
      </c>
      <c r="K23">
        <f>IF(ISBLANK('By Round'!K20),"",'By Round'!K20)</f>
        <v/>
      </c>
      <c r="L23">
        <f>IF(ISBLANK('By Round'!L20),"",'By Round'!L20)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Round'!A3</f>
        <v/>
      </c>
      <c r="C24" s="10">
        <f>'By Round'!B7</f>
        <v/>
      </c>
      <c r="D24" s="10">
        <f>'By Round'!C7</f>
        <v/>
      </c>
      <c r="E24" s="10">
        <f>'By Round'!D7</f>
        <v/>
      </c>
      <c r="F24" s="10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Round'!A43</f>
        <v/>
      </c>
      <c r="C25" s="10">
        <f>'By Round'!B49</f>
        <v/>
      </c>
      <c r="D25" s="10">
        <f>'By Round'!C49</f>
        <v/>
      </c>
      <c r="E25" s="10">
        <f>'By Round'!D49</f>
        <v/>
      </c>
      <c r="F25" s="10">
        <f>IF(ISBLANK('By Round'!F50),"",'By Round'!F50)</f>
        <v/>
      </c>
      <c r="G25">
        <f>IF(ISBLANK('By Round'!G50),"",'By Round'!G50)</f>
        <v/>
      </c>
      <c r="H25">
        <f>IF(ISBLANK('By Round'!H50),"",'By Round'!H50)</f>
        <v/>
      </c>
      <c r="I25">
        <f>IF(ISBLANK('By Round'!I50),"",'By Round'!I50)</f>
        <v/>
      </c>
      <c r="J25">
        <f>IF(ISBLANK('By Round'!J50),"",'By Round'!J50)</f>
        <v/>
      </c>
      <c r="K25">
        <f>IF(ISBLANK('By Round'!K50),"",'By Round'!K50)</f>
        <v/>
      </c>
      <c r="L25">
        <f>IF(ISBLANK('By Round'!L50),"",'By Round'!L50)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Round'!A11</f>
        <v/>
      </c>
      <c r="C26" s="16">
        <f>'By Round'!B13</f>
        <v/>
      </c>
      <c r="D26" s="16">
        <f>'By Round'!C13</f>
        <v/>
      </c>
      <c r="E26" s="16">
        <f>'By Round'!D13</f>
        <v/>
      </c>
      <c r="F26" s="16">
        <f>IF(ISBLANK('By Round'!F14),"",'By Round'!F14)</f>
        <v/>
      </c>
      <c r="G26" s="15">
        <f>IF(ISBLANK('By Round'!G14),"",'By Round'!G14)</f>
        <v/>
      </c>
      <c r="H26" s="15">
        <f>IF(ISBLANK('By Round'!H14),"",'By Round'!H14)</f>
        <v/>
      </c>
      <c r="I26" s="15">
        <f>IF(ISBLANK('By Round'!I14),"",'By Round'!I14)</f>
        <v/>
      </c>
      <c r="J26" s="15">
        <f>IF(ISBLANK('By Round'!J14),"",'By Round'!J14)</f>
        <v/>
      </c>
      <c r="K26" s="15">
        <f>IF(ISBLANK('By Round'!K14),"",'By Round'!K14)</f>
        <v/>
      </c>
      <c r="L26" s="15">
        <f>IF(ISBLANK('By Round'!L14),"",'By Round'!L14)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15">
        <f>IF(ISNUMBER(T26),IF(ISNUMBER(T23),IF(T26&gt;T23,1.0,IF(T26=T23,0.5,0.0)),""),"")</f>
        <v/>
      </c>
      <c r="Y26" s="15">
        <f>IF(ISNUMBER(T26),IF(ISNUMBER(T24),IF(T26&gt;T24,1.0,IF(T26=T24,0.5,0.0)),""),"")</f>
        <v/>
      </c>
      <c r="Z26" s="15">
        <f>IF(ISNUMBER(T26),IF(ISNUMBER(T25),IF(T26&gt;T25,1.0,IF(T26=T25,0.5,0.0)),""),"")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Round'!A27</f>
        <v/>
      </c>
      <c r="C27" s="10">
        <f>'By Round'!B27</f>
        <v/>
      </c>
      <c r="D27" s="10">
        <f>'By Round'!C27</f>
        <v/>
      </c>
      <c r="E27" s="10">
        <f>'By Round'!D27</f>
        <v/>
      </c>
      <c r="F27" s="10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Round'!A19</f>
        <v/>
      </c>
      <c r="C28" s="10">
        <f>'By Round'!B21</f>
        <v/>
      </c>
      <c r="D28" s="10">
        <f>'By Round'!C21</f>
        <v/>
      </c>
      <c r="E28" s="10">
        <f>'By Round'!D21</f>
        <v/>
      </c>
      <c r="F28" s="10">
        <f>IF(ISBLANK('By Round'!F21),"",'By Round'!F21)</f>
        <v/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>
        <f>IF(ISBLANK('By Round'!L21),"",'By Round'!L21)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Round'!A11</f>
        <v/>
      </c>
      <c r="C29" s="10">
        <f>'By Round'!B15</f>
        <v/>
      </c>
      <c r="D29" s="10">
        <f>'By Round'!C15</f>
        <v/>
      </c>
      <c r="E29" s="10">
        <f>'By Round'!D15</f>
        <v/>
      </c>
      <c r="F29" s="10">
        <f>IF(ISBLANK('By Round'!F15),"",'By Round'!F15)</f>
        <v/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>
        <f>IF(ISBLANK('By Round'!L15),"",'By Round'!L15)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Round'!A51</f>
        <v/>
      </c>
      <c r="C30" s="16">
        <f>'By Round'!B57</f>
        <v/>
      </c>
      <c r="D30" s="16">
        <f>'By Round'!C57</f>
        <v/>
      </c>
      <c r="E30" s="16">
        <f>'By Round'!D57</f>
        <v/>
      </c>
      <c r="F30" s="16">
        <f>IF(ISBLANK('By Round'!F57),"",'By Round'!F57)</f>
        <v/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5">
        <f>IF(ISBLANK('By Round'!L57),"",'By Round'!L57)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IF(ISNUMBER(S30),IF(ISNUMBER(S27),IF(S30&gt;S27,1.0,IF(S30=S27,0.5,0.0)),""),"")</f>
        <v/>
      </c>
      <c r="V30" s="15">
        <f>IF(ISNUMBER(S30),IF(ISNUMBER(S28),IF(S30&gt;S28,1.0,IF(S30=S28,0.5,0.0)),""),"")</f>
        <v/>
      </c>
      <c r="W30" s="15">
        <f>IF(ISNUMBER(S30),IF(ISNUMBER(S29),IF(S30&gt;S29,1.0,IF(S30=S29,0.5,0.0)),""),"")</f>
        <v/>
      </c>
      <c r="X30" s="15">
        <f>IF(ISNUMBER(T30),IF(ISNUMBER(T27),IF(T30&gt;T27,1.0,IF(T30=T27,0.5,0.0)),""),"")</f>
        <v/>
      </c>
      <c r="Y30" s="15">
        <f>IF(ISNUMBER(T30),IF(ISNUMBER(T28),IF(T30&gt;T28,1.0,IF(T30=T28,0.5,0.0)),""),"")</f>
        <v/>
      </c>
      <c r="Z30" s="15">
        <f>IF(ISNUMBER(T30),IF(ISNUMBER(T29),IF(T30&gt;T29,1.0,IF(T30=T29,0.5,0.0)),""),"")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Round'!A27</f>
        <v/>
      </c>
      <c r="C31" s="10">
        <f>'By Round'!B27</f>
        <v/>
      </c>
      <c r="D31" s="10">
        <f>'By Round'!C27</f>
        <v/>
      </c>
      <c r="E31" s="10">
        <f>'By Round'!D27</f>
        <v/>
      </c>
      <c r="F31" s="10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Round'!A19</f>
        <v/>
      </c>
      <c r="C32" s="10">
        <f>'By Round'!B21</f>
        <v/>
      </c>
      <c r="D32" s="10">
        <f>'By Round'!C21</f>
        <v/>
      </c>
      <c r="E32" s="10">
        <f>'By Round'!D21</f>
        <v/>
      </c>
      <c r="F32" s="10">
        <f>IF(ISBLANK('By Round'!F22),"",'By Round'!F22)</f>
        <v/>
      </c>
      <c r="G32">
        <f>IF(ISBLANK('By Round'!G22),"",'By Round'!G22)</f>
        <v/>
      </c>
      <c r="H32">
        <f>IF(ISBLANK('By Round'!H22),"",'By Round'!H22)</f>
        <v/>
      </c>
      <c r="I32">
        <f>IF(ISBLANK('By Round'!I22),"",'By Round'!I22)</f>
        <v/>
      </c>
      <c r="J32">
        <f>IF(ISBLANK('By Round'!J22),"",'By Round'!J22)</f>
        <v/>
      </c>
      <c r="K32">
        <f>IF(ISBLANK('By Round'!K22),"",'By Round'!K22)</f>
        <v/>
      </c>
      <c r="L32">
        <f>IF(ISBLANK('By Round'!L22),"",'By Round'!L22)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Round'!A11</f>
        <v/>
      </c>
      <c r="C33" s="10">
        <f>'By Round'!B15</f>
        <v/>
      </c>
      <c r="D33" s="10">
        <f>'By Round'!C15</f>
        <v/>
      </c>
      <c r="E33" s="10">
        <f>'By Round'!D15</f>
        <v/>
      </c>
      <c r="F33" s="10">
        <f>IF(ISBLANK('By Round'!F16),"",'By Round'!F16)</f>
        <v/>
      </c>
      <c r="G33">
        <f>IF(ISBLANK('By Round'!G16),"",'By Round'!G16)</f>
        <v/>
      </c>
      <c r="H33">
        <f>IF(ISBLANK('By Round'!H16),"",'By Round'!H16)</f>
        <v/>
      </c>
      <c r="I33">
        <f>IF(ISBLANK('By Round'!I16),"",'By Round'!I16)</f>
        <v/>
      </c>
      <c r="J33">
        <f>IF(ISBLANK('By Round'!J16),"",'By Round'!J16)</f>
        <v/>
      </c>
      <c r="K33">
        <f>IF(ISBLANK('By Round'!K16),"",'By Round'!K16)</f>
        <v/>
      </c>
      <c r="L33">
        <f>IF(ISBLANK('By Round'!L16),"",'By Round'!L16)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Round'!A51</f>
        <v/>
      </c>
      <c r="C34" s="16">
        <f>'By Round'!B57</f>
        <v/>
      </c>
      <c r="D34" s="16">
        <f>'By Round'!C57</f>
        <v/>
      </c>
      <c r="E34" s="16">
        <f>'By Round'!D57</f>
        <v/>
      </c>
      <c r="F34" s="16">
        <f>IF(ISBLANK('By Round'!F58),"",'By Round'!F58)</f>
        <v/>
      </c>
      <c r="G34" s="15">
        <f>IF(ISBLANK('By Round'!G58),"",'By Round'!G58)</f>
        <v/>
      </c>
      <c r="H34" s="15">
        <f>IF(ISBLANK('By Round'!H58),"",'By Round'!H58)</f>
        <v/>
      </c>
      <c r="I34" s="15">
        <f>IF(ISBLANK('By Round'!I58),"",'By Round'!I58)</f>
        <v/>
      </c>
      <c r="J34" s="15">
        <f>IF(ISBLANK('By Round'!J58),"",'By Round'!J58)</f>
        <v/>
      </c>
      <c r="K34" s="15">
        <f>IF(ISBLANK('By Round'!K58),"",'By Round'!K58)</f>
        <v/>
      </c>
      <c r="L34" s="15">
        <f>IF(ISBLANK('By Round'!L58),"",'By Round'!L58)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IF(ISNUMBER(S34),IF(ISNUMBER(S31),IF(S34&gt;S31,1.0,IF(S34=S31,0.5,0.0)),""),"")</f>
        <v/>
      </c>
      <c r="V34" s="15">
        <f>IF(ISNUMBER(S34),IF(ISNUMBER(S32),IF(S34&gt;S32,1.0,IF(S34=S32,0.5,0.0)),""),"")</f>
        <v/>
      </c>
      <c r="W34" s="15">
        <f>IF(ISNUMBER(S34),IF(ISNUMBER(S33),IF(S34&gt;S33,1.0,IF(S34=S33,0.5,0.0)),""),"")</f>
        <v/>
      </c>
      <c r="X34" s="15">
        <f>IF(ISNUMBER(T34),IF(ISNUMBER(T31),IF(T34&gt;T31,1.0,IF(T34=T31,0.5,0.0)),""),"")</f>
        <v/>
      </c>
      <c r="Y34" s="15">
        <f>IF(ISNUMBER(T34),IF(ISNUMBER(T32),IF(T34&gt;T32,1.0,IF(T34=T32,0.5,0.0)),""),"")</f>
        <v/>
      </c>
      <c r="Z34" s="15">
        <f>IF(ISNUMBER(T34),IF(ISNUMBER(T33),IF(T34&gt;T33,1.0,IF(T34=T33,0.5,0.0)),""),"")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Round'!A35</f>
        <v/>
      </c>
      <c r="C35" s="10">
        <f>'By Round'!B35</f>
        <v/>
      </c>
      <c r="D35" s="10">
        <f>'By Round'!C35</f>
        <v/>
      </c>
      <c r="E35" s="10">
        <f>'By Round'!D35</f>
        <v/>
      </c>
      <c r="F35" s="10">
        <f>IF(ISBLANK('By Round'!F35),"",'By Round'!F35)</f>
        <v/>
      </c>
      <c r="G35">
        <f>IF(ISBLANK('By Round'!G35),"",'By Round'!G35)</f>
        <v/>
      </c>
      <c r="H35">
        <f>IF(ISBLANK('By Round'!H35),"",'By Round'!H35)</f>
        <v/>
      </c>
      <c r="I35">
        <f>IF(ISBLANK('By Round'!I35),"",'By Round'!I35)</f>
        <v/>
      </c>
      <c r="J35">
        <f>IF(ISBLANK('By Round'!J35),"",'By Round'!J35)</f>
        <v/>
      </c>
      <c r="K35">
        <f>IF(ISBLANK('By Round'!K35),"",'By Round'!K35)</f>
        <v/>
      </c>
      <c r="L35">
        <f>IF(ISBLANK('By Round'!L35),"",'By Round'!L35)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Round'!A27</f>
        <v/>
      </c>
      <c r="C36" s="10">
        <f>'By Round'!B29</f>
        <v/>
      </c>
      <c r="D36" s="10">
        <f>'By Round'!C29</f>
        <v/>
      </c>
      <c r="E36" s="10">
        <f>'By Round'!D29</f>
        <v/>
      </c>
      <c r="F36" s="10">
        <f>IF(ISBLANK('By Round'!F29),"",'By Round'!F29)</f>
        <v/>
      </c>
      <c r="G36">
        <f>IF(ISBLANK('By Round'!G29),"",'By Round'!G29)</f>
        <v/>
      </c>
      <c r="H36">
        <f>IF(ISBLANK('By Round'!H29),"",'By Round'!H29)</f>
        <v/>
      </c>
      <c r="I36">
        <f>IF(ISBLANK('By Round'!I29),"",'By Round'!I29)</f>
        <v/>
      </c>
      <c r="J36">
        <f>IF(ISBLANK('By Round'!J29),"",'By Round'!J29)</f>
        <v/>
      </c>
      <c r="K36">
        <f>IF(ISBLANK('By Round'!K29),"",'By Round'!K29)</f>
        <v/>
      </c>
      <c r="L36">
        <f>IF(ISBLANK('By Round'!L29),"",'By Round'!L29)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Round'!A19</f>
        <v/>
      </c>
      <c r="C37" s="10">
        <f>'By Round'!B23</f>
        <v/>
      </c>
      <c r="D37" s="10">
        <f>'By Round'!C23</f>
        <v/>
      </c>
      <c r="E37" s="10">
        <f>'By Round'!D23</f>
        <v/>
      </c>
      <c r="F37" s="10">
        <f>IF(ISBLANK('By Round'!F23),"",'By Round'!F23)</f>
        <v/>
      </c>
      <c r="G37">
        <f>IF(ISBLANK('By Round'!G23),"",'By Round'!G23)</f>
        <v/>
      </c>
      <c r="H37">
        <f>IF(ISBLANK('By Round'!H23),"",'By Round'!H23)</f>
        <v/>
      </c>
      <c r="I37">
        <f>IF(ISBLANK('By Round'!I23),"",'By Round'!I23)</f>
        <v/>
      </c>
      <c r="J37">
        <f>IF(ISBLANK('By Round'!J23),"",'By Round'!J23)</f>
        <v/>
      </c>
      <c r="K37">
        <f>IF(ISBLANK('By Round'!K23),"",'By Round'!K23)</f>
        <v/>
      </c>
      <c r="L37">
        <f>IF(ISBLANK('By Round'!L23),"",'By Round'!L23)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Round'!F9),"",'By Round'!F9)</f>
        <v/>
      </c>
      <c r="G38" s="15">
        <f>IF(ISBLANK('By Round'!G9),"",'By Round'!G9)</f>
        <v/>
      </c>
      <c r="H38" s="15">
        <f>IF(ISBLANK('By Round'!H9),"",'By Round'!H9)</f>
        <v/>
      </c>
      <c r="I38" s="15">
        <f>IF(ISBLANK('By Round'!I9),"",'By Round'!I9)</f>
        <v/>
      </c>
      <c r="J38" s="15">
        <f>IF(ISBLANK('By Round'!J9),"",'By Round'!J9)</f>
        <v/>
      </c>
      <c r="K38" s="15">
        <f>IF(ISBLANK('By Round'!K9),"",'By Round'!K9)</f>
        <v/>
      </c>
      <c r="L38" s="15">
        <f>IF(ISBLANK('By Round'!L9),"",'By Round'!L9)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15">
        <f>IF(ISNUMBER(T38),IF(ISNUMBER(T35),IF(T38&gt;T35,1.0,IF(T38=T35,0.5,0.0)),""),"")</f>
        <v/>
      </c>
      <c r="Y38" s="15">
        <f>IF(ISNUMBER(T38),IF(ISNUMBER(T36),IF(T38&gt;T36,1.0,IF(T38=T36,0.5,0.0)),""),"")</f>
        <v/>
      </c>
      <c r="Z38" s="15">
        <f>IF(ISNUMBER(T38),IF(ISNUMBER(T37),IF(T38&gt;T37,1.0,IF(T38=T37,0.5,0.0)),""),"")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Round'!A35</f>
        <v/>
      </c>
      <c r="C39" s="10">
        <f>'By Round'!B35</f>
        <v/>
      </c>
      <c r="D39" s="10">
        <f>'By Round'!C35</f>
        <v/>
      </c>
      <c r="E39" s="10">
        <f>'By Round'!D35</f>
        <v/>
      </c>
      <c r="F39" s="10">
        <f>IF(ISBLANK('By Round'!F36),"",'By Round'!F36)</f>
        <v/>
      </c>
      <c r="G39">
        <f>IF(ISBLANK('By Round'!G36),"",'By Round'!G36)</f>
        <v/>
      </c>
      <c r="H39">
        <f>IF(ISBLANK('By Round'!H36),"",'By Round'!H36)</f>
        <v/>
      </c>
      <c r="I39">
        <f>IF(ISBLANK('By Round'!I36),"",'By Round'!I36)</f>
        <v/>
      </c>
      <c r="J39">
        <f>IF(ISBLANK('By Round'!J36),"",'By Round'!J36)</f>
        <v/>
      </c>
      <c r="K39">
        <f>IF(ISBLANK('By Round'!K36),"",'By Round'!K36)</f>
        <v/>
      </c>
      <c r="L39">
        <f>IF(ISBLANK('By Round'!L36),"",'By Round'!L36)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Round'!A27</f>
        <v/>
      </c>
      <c r="C40" s="10">
        <f>'By Round'!B29</f>
        <v/>
      </c>
      <c r="D40" s="10">
        <f>'By Round'!C29</f>
        <v/>
      </c>
      <c r="E40" s="10">
        <f>'By Round'!D29</f>
        <v/>
      </c>
      <c r="F40" s="10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Round'!A19</f>
        <v/>
      </c>
      <c r="C41" s="10">
        <f>'By Round'!B23</f>
        <v/>
      </c>
      <c r="D41" s="10">
        <f>'By Round'!C23</f>
        <v/>
      </c>
      <c r="E41" s="10">
        <f>'By Round'!D23</f>
        <v/>
      </c>
      <c r="F41" s="10">
        <f>IF(ISBLANK('By Round'!F24),"",'By Round'!F24)</f>
        <v/>
      </c>
      <c r="G41">
        <f>IF(ISBLANK('By Round'!G24),"",'By Round'!G24)</f>
        <v/>
      </c>
      <c r="H41">
        <f>IF(ISBLANK('By Round'!H24),"",'By Round'!H24)</f>
        <v/>
      </c>
      <c r="I41">
        <f>IF(ISBLANK('By Round'!I24),"",'By Round'!I24)</f>
        <v/>
      </c>
      <c r="J41">
        <f>IF(ISBLANK('By Round'!J24),"",'By Round'!J24)</f>
        <v/>
      </c>
      <c r="K41">
        <f>IF(ISBLANK('By Round'!K24),"",'By Round'!K24)</f>
        <v/>
      </c>
      <c r="L41">
        <f>IF(ISBLANK('By Round'!L24),"",'By Round'!L24)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Round'!A3</f>
        <v/>
      </c>
      <c r="C42" s="16">
        <f>'By Round'!B9</f>
        <v/>
      </c>
      <c r="D42" s="16">
        <f>'By Round'!C9</f>
        <v/>
      </c>
      <c r="E42" s="16">
        <f>'By Round'!D9</f>
        <v/>
      </c>
      <c r="F42" s="16">
        <f>IF(ISBLANK('By Round'!F10),"",'By Round'!F10)</f>
        <v/>
      </c>
      <c r="G42" s="15">
        <f>IF(ISBLANK('By Round'!G10),"",'By Round'!G10)</f>
        <v/>
      </c>
      <c r="H42" s="15">
        <f>IF(ISBLANK('By Round'!H10),"",'By Round'!H10)</f>
        <v/>
      </c>
      <c r="I42" s="15">
        <f>IF(ISBLANK('By Round'!I10),"",'By Round'!I10)</f>
        <v/>
      </c>
      <c r="J42" s="15">
        <f>IF(ISBLANK('By Round'!J10),"",'By Round'!J10)</f>
        <v/>
      </c>
      <c r="K42" s="15">
        <f>IF(ISBLANK('By Round'!K10),"",'By Round'!K10)</f>
        <v/>
      </c>
      <c r="L42" s="15">
        <f>IF(ISBLANK('By Round'!L10),"",'By Round'!L10)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IF(ISNUMBER(S42),IF(ISNUMBER(S39),IF(S42&gt;S39,1.0,IF(S42=S39,0.5,0.0)),""),"")</f>
        <v/>
      </c>
      <c r="V42" s="15">
        <f>IF(ISNUMBER(S42),IF(ISNUMBER(S40),IF(S42&gt;S40,1.0,IF(S42=S40,0.5,0.0)),""),"")</f>
        <v/>
      </c>
      <c r="W42" s="15">
        <f>IF(ISNUMBER(S42),IF(ISNUMBER(S41),IF(S42&gt;S41,1.0,IF(S42=S41,0.5,0.0)),""),"")</f>
        <v/>
      </c>
      <c r="X42" s="15">
        <f>IF(ISNUMBER(T42),IF(ISNUMBER(T39),IF(T42&gt;T39,1.0,IF(T42=T39,0.5,0.0)),""),"")</f>
        <v/>
      </c>
      <c r="Y42" s="15">
        <f>IF(ISNUMBER(T42),IF(ISNUMBER(T40),IF(T42&gt;T40,1.0,IF(T42=T40,0.5,0.0)),""),"")</f>
        <v/>
      </c>
      <c r="Z42" s="15">
        <f>IF(ISNUMBER(T42),IF(ISNUMBER(T41),IF(T42&gt;T41,1.0,IF(T42=T41,0.5,0.0)),""),"")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Round'!A43</f>
        <v/>
      </c>
      <c r="C43" s="10">
        <f>'By Round'!B43</f>
        <v/>
      </c>
      <c r="D43" s="10">
        <f>'By Round'!C43</f>
        <v/>
      </c>
      <c r="E43" s="10">
        <f>'By Round'!D43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Round'!A11</f>
        <v/>
      </c>
      <c r="C44" s="10">
        <f>'By Round'!B17</f>
        <v/>
      </c>
      <c r="D44" s="10">
        <f>'By Round'!C17</f>
        <v/>
      </c>
      <c r="E44" s="10">
        <f>'By Round'!D17</f>
        <v/>
      </c>
      <c r="F44" s="10">
        <f>IF(ISBLANK('By Round'!F17),"",'By Round'!F17)</f>
        <v/>
      </c>
      <c r="G44">
        <f>IF(ISBLANK('By Round'!G17),"",'By Round'!G17)</f>
        <v/>
      </c>
      <c r="H44">
        <f>IF(ISBLANK('By Round'!H17),"",'By Round'!H17)</f>
        <v/>
      </c>
      <c r="I44">
        <f>IF(ISBLANK('By Round'!I17),"",'By Round'!I17)</f>
        <v/>
      </c>
      <c r="J44">
        <f>IF(ISBLANK('By Round'!J17),"",'By Round'!J17)</f>
        <v/>
      </c>
      <c r="K44">
        <f>IF(ISBLANK('By Round'!K17),"",'By Round'!K17)</f>
        <v/>
      </c>
      <c r="L44">
        <f>IF(ISBLANK('By Round'!L17),"",'By Round'!L17)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Round'!A35</f>
        <v/>
      </c>
      <c r="C45" s="10">
        <f>'By Round'!B37</f>
        <v/>
      </c>
      <c r="D45" s="10">
        <f>'By Round'!C37</f>
        <v/>
      </c>
      <c r="E45" s="10">
        <f>'By Round'!D37</f>
        <v/>
      </c>
      <c r="F45" s="10">
        <f>IF(ISBLANK('By Round'!F37),"",'By Round'!F37)</f>
        <v/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>
        <f>IF(ISBLANK('By Round'!L37),"",'By Round'!L37)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Round'!A27</f>
        <v/>
      </c>
      <c r="C46" s="16">
        <f>'By Round'!B31</f>
        <v/>
      </c>
      <c r="D46" s="16">
        <f>'By Round'!C31</f>
        <v/>
      </c>
      <c r="E46" s="16">
        <f>'By Round'!D31</f>
        <v/>
      </c>
      <c r="F46" s="16">
        <f>IF(ISBLANK('By Round'!F31),"",'By Round'!F31)</f>
        <v/>
      </c>
      <c r="G46" s="15">
        <f>IF(ISBLANK('By Round'!G31),"",'By Round'!G31)</f>
        <v/>
      </c>
      <c r="H46" s="15">
        <f>IF(ISBLANK('By Round'!H31),"",'By Round'!H31)</f>
        <v/>
      </c>
      <c r="I46" s="15">
        <f>IF(ISBLANK('By Round'!I31),"",'By Round'!I31)</f>
        <v/>
      </c>
      <c r="J46" s="15">
        <f>IF(ISBLANK('By Round'!J31),"",'By Round'!J31)</f>
        <v/>
      </c>
      <c r="K46" s="15">
        <f>IF(ISBLANK('By Round'!K31),"",'By Round'!K31)</f>
        <v/>
      </c>
      <c r="L46" s="15">
        <f>IF(ISBLANK('By Round'!L31),"",'By Round'!L31)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IF(ISNUMBER(S46),IF(ISNUMBER(S43),IF(S46&gt;S43,1.0,IF(S46=S43,0.5,0.0)),""),"")</f>
        <v/>
      </c>
      <c r="V46" s="15">
        <f>IF(ISNUMBER(S46),IF(ISNUMBER(S44),IF(S46&gt;S44,1.0,IF(S46=S44,0.5,0.0)),""),"")</f>
        <v/>
      </c>
      <c r="W46" s="15">
        <f>IF(ISNUMBER(S46),IF(ISNUMBER(S45),IF(S46&gt;S45,1.0,IF(S46=S45,0.5,0.0)),""),"")</f>
        <v/>
      </c>
      <c r="X46" s="15">
        <f>IF(ISNUMBER(T46),IF(ISNUMBER(T43),IF(T46&gt;T43,1.0,IF(T46=T43,0.5,0.0)),""),"")</f>
        <v/>
      </c>
      <c r="Y46" s="15">
        <f>IF(ISNUMBER(T46),IF(ISNUMBER(T44),IF(T46&gt;T44,1.0,IF(T46=T44,0.5,0.0)),""),"")</f>
        <v/>
      </c>
      <c r="Z46" s="15">
        <f>IF(ISNUMBER(T46),IF(ISNUMBER(T45),IF(T46&gt;T45,1.0,IF(T46=T45,0.5,0.0)),""),"")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Round'!A43</f>
        <v/>
      </c>
      <c r="C47" s="10">
        <f>'By Round'!B43</f>
        <v/>
      </c>
      <c r="D47" s="10">
        <f>'By Round'!C43</f>
        <v/>
      </c>
      <c r="E47" s="10">
        <f>'By Round'!D43</f>
        <v/>
      </c>
      <c r="F47" s="10">
        <f>IF(ISBLANK('By Round'!F44),"",'By Round'!F44)</f>
        <v/>
      </c>
      <c r="G47">
        <f>IF(ISBLANK('By Round'!G44),"",'By Round'!G44)</f>
        <v/>
      </c>
      <c r="H47">
        <f>IF(ISBLANK('By Round'!H44),"",'By Round'!H44)</f>
        <v/>
      </c>
      <c r="I47">
        <f>IF(ISBLANK('By Round'!I44),"",'By Round'!I44)</f>
        <v/>
      </c>
      <c r="J47">
        <f>IF(ISBLANK('By Round'!J44),"",'By Round'!J44)</f>
        <v/>
      </c>
      <c r="K47">
        <f>IF(ISBLANK('By Round'!K44),"",'By Round'!K44)</f>
        <v/>
      </c>
      <c r="L47">
        <f>IF(ISBLANK('By Round'!L44),"",'By Round'!L44)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Round'!A11</f>
        <v/>
      </c>
      <c r="C48" s="10">
        <f>'By Round'!B17</f>
        <v/>
      </c>
      <c r="D48" s="10">
        <f>'By Round'!C17</f>
        <v/>
      </c>
      <c r="E48" s="10">
        <f>'By Round'!D17</f>
        <v/>
      </c>
      <c r="F48" s="10">
        <f>IF(ISBLANK('By Round'!F18),"",'By Round'!F18)</f>
        <v/>
      </c>
      <c r="G48">
        <f>IF(ISBLANK('By Round'!G18),"",'By Round'!G18)</f>
        <v/>
      </c>
      <c r="H48">
        <f>IF(ISBLANK('By Round'!H18),"",'By Round'!H18)</f>
        <v/>
      </c>
      <c r="I48">
        <f>IF(ISBLANK('By Round'!I18),"",'By Round'!I18)</f>
        <v/>
      </c>
      <c r="J48">
        <f>IF(ISBLANK('By Round'!J18),"",'By Round'!J18)</f>
        <v/>
      </c>
      <c r="K48">
        <f>IF(ISBLANK('By Round'!K18),"",'By Round'!K18)</f>
        <v/>
      </c>
      <c r="L48">
        <f>IF(ISBLANK('By Round'!L18),"",'By Round'!L18)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Round'!A35</f>
        <v/>
      </c>
      <c r="C49" s="10">
        <f>'By Round'!B37</f>
        <v/>
      </c>
      <c r="D49" s="10">
        <f>'By Round'!C37</f>
        <v/>
      </c>
      <c r="E49" s="10">
        <f>'By Round'!D37</f>
        <v/>
      </c>
      <c r="F49" s="10">
        <f>IF(ISBLANK('By Round'!F38),"",'By Round'!F38)</f>
        <v/>
      </c>
      <c r="G49">
        <f>IF(ISBLANK('By Round'!G38),"",'By Round'!G38)</f>
        <v/>
      </c>
      <c r="H49">
        <f>IF(ISBLANK('By Round'!H38),"",'By Round'!H38)</f>
        <v/>
      </c>
      <c r="I49">
        <f>IF(ISBLANK('By Round'!I38),"",'By Round'!I38)</f>
        <v/>
      </c>
      <c r="J49">
        <f>IF(ISBLANK('By Round'!J38),"",'By Round'!J38)</f>
        <v/>
      </c>
      <c r="K49">
        <f>IF(ISBLANK('By Round'!K38),"",'By Round'!K38)</f>
        <v/>
      </c>
      <c r="L49">
        <f>IF(ISBLANK('By Round'!L38),"",'By Round'!L38)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Round'!A27</f>
        <v/>
      </c>
      <c r="C50" s="16">
        <f>'By Round'!B31</f>
        <v/>
      </c>
      <c r="D50" s="16">
        <f>'By Round'!C31</f>
        <v/>
      </c>
      <c r="E50" s="16">
        <f>'By Round'!D31</f>
        <v/>
      </c>
      <c r="F50" s="16">
        <f>IF(ISBLANK('By Round'!F32),"",'By Round'!F32)</f>
        <v/>
      </c>
      <c r="G50" s="15">
        <f>IF(ISBLANK('By Round'!G32),"",'By Round'!G32)</f>
        <v/>
      </c>
      <c r="H50" s="15">
        <f>IF(ISBLANK('By Round'!H32),"",'By Round'!H32)</f>
        <v/>
      </c>
      <c r="I50" s="15">
        <f>IF(ISBLANK('By Round'!I32),"",'By Round'!I32)</f>
        <v/>
      </c>
      <c r="J50" s="15">
        <f>IF(ISBLANK('By Round'!J32),"",'By Round'!J32)</f>
        <v/>
      </c>
      <c r="K50" s="15">
        <f>IF(ISBLANK('By Round'!K32),"",'By Round'!K32)</f>
        <v/>
      </c>
      <c r="L50" s="15">
        <f>IF(ISBLANK('By Round'!L32),"",'By Round'!L32)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IF(ISNUMBER(S50),IF(ISNUMBER(S47),IF(S50&gt;S47,1.0,IF(S50=S47,0.5,0.0)),""),"")</f>
        <v/>
      </c>
      <c r="V50" s="15">
        <f>IF(ISNUMBER(S50),IF(ISNUMBER(S48),IF(S50&gt;S48,1.0,IF(S50=S48,0.5,0.0)),""),"")</f>
        <v/>
      </c>
      <c r="W50" s="15">
        <f>IF(ISNUMBER(S50),IF(ISNUMBER(S49),IF(S50&gt;S49,1.0,IF(S50=S49,0.5,0.0)),""),"")</f>
        <v/>
      </c>
      <c r="X50" s="15">
        <f>IF(ISNUMBER(T50),IF(ISNUMBER(T47),IF(T50&gt;T47,1.0,IF(T50=T47,0.5,0.0)),""),"")</f>
        <v/>
      </c>
      <c r="Y50" s="15">
        <f>IF(ISNUMBER(T50),IF(ISNUMBER(T48),IF(T50&gt;T48,1.0,IF(T50=T48,0.5,0.0)),""),"")</f>
        <v/>
      </c>
      <c r="Z50" s="15">
        <f>IF(ISNUMBER(T50),IF(ISNUMBER(T49),IF(T50&gt;T49,1.0,IF(T50=T49,0.5,0.0)),""),"")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Round'!A51</f>
        <v/>
      </c>
      <c r="C51" s="10">
        <f>'By Round'!B51</f>
        <v/>
      </c>
      <c r="D51" s="10">
        <f>'By Round'!C51</f>
        <v/>
      </c>
      <c r="E51" s="10">
        <f>'By Round'!D51</f>
        <v/>
      </c>
      <c r="F51" s="10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>
        <f>IF(ISBLANK('By Round'!L51),"",'By Round'!L51)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IF(ISNUMBER(T51),IF(ISNUMBER(T52),IF(T51&gt;T52,1.0,IF(T51=T52,0.5,0.0)),""),"")</f>
        <v/>
      </c>
      <c r="Y51">
        <f>IF(ISNUMBER(T51),IF(ISNUMBER(T53),IF(T51&gt;T53,1.0,IF(T51=T53,0.5,0.0)),""),"")</f>
        <v/>
      </c>
      <c r="Z51">
        <f>IF(ISNUMBER(T51),IF(ISNUMBER(T54),IF(T51&gt;T54,1.0,IF(T51=T54,0.5,0.0)),""),"")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Round'!A35</f>
        <v/>
      </c>
      <c r="C52" s="10">
        <f>'By Round'!B39</f>
        <v/>
      </c>
      <c r="D52" s="10">
        <f>'By Round'!C39</f>
        <v/>
      </c>
      <c r="E52" s="10">
        <f>'By Round'!D39</f>
        <v/>
      </c>
      <c r="F52" s="10">
        <f>IF(ISBLANK('By Round'!F39),"",'By Round'!F39)</f>
        <v/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>
        <f>IF(ISBLANK('By Round'!L39),"",'By Round'!L39)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IF(ISNUMBER(T52),IF(ISNUMBER(T51),IF(T52&gt;T51,1.0,IF(T52=T51,0.5,0.0)),""),"")</f>
        <v/>
      </c>
      <c r="Y52">
        <f>IF(ISNUMBER(T52),IF(ISNUMBER(T53),IF(T52&gt;T53,1.0,IF(T52=T53,0.5,0.0)),""),"")</f>
        <v/>
      </c>
      <c r="Z52">
        <f>IF(ISNUMBER(T52),IF(ISNUMBER(T54),IF(T52&gt;T54,1.0,IF(T52=T54,0.5,0.0)),""),"")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Round'!A19</f>
        <v/>
      </c>
      <c r="C53" s="10">
        <f>'By Round'!B25</f>
        <v/>
      </c>
      <c r="D53" s="10">
        <f>'By Round'!C25</f>
        <v/>
      </c>
      <c r="E53" s="10">
        <f>'By Round'!D25</f>
        <v/>
      </c>
      <c r="F53" s="10">
        <f>IF(ISBLANK('By Round'!F25),"",'By Round'!F25)</f>
        <v/>
      </c>
      <c r="G53">
        <f>IF(ISBLANK('By Round'!G25),"",'By Round'!G25)</f>
        <v/>
      </c>
      <c r="H53">
        <f>IF(ISBLANK('By Round'!H25),"",'By Round'!H25)</f>
        <v/>
      </c>
      <c r="I53">
        <f>IF(ISBLANK('By Round'!I25),"",'By Round'!I25)</f>
        <v/>
      </c>
      <c r="J53">
        <f>IF(ISBLANK('By Round'!J25),"",'By Round'!J25)</f>
        <v/>
      </c>
      <c r="K53">
        <f>IF(ISBLANK('By Round'!K25),"",'By Round'!K25)</f>
        <v/>
      </c>
      <c r="L53">
        <f>IF(ISBLANK('By Round'!L25),"",'By Round'!L25)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IF(ISNUMBER(T53),IF(ISNUMBER(T51),IF(T53&gt;T51,1.0,IF(T53=T51,0.5,0.0)),""),"")</f>
        <v/>
      </c>
      <c r="Y53">
        <f>IF(ISNUMBER(T53),IF(ISNUMBER(T52),IF(T53&gt;T52,1.0,IF(T53=T52,0.5,0.0)),""),"")</f>
        <v/>
      </c>
      <c r="Z53">
        <f>IF(ISNUMBER(T53),IF(ISNUMBER(T54),IF(T53&gt;T54,1.0,IF(T53=T54,0.5,0.0)),""),"")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Round'!A43</f>
        <v/>
      </c>
      <c r="C54" s="16">
        <f>'By Round'!B45</f>
        <v/>
      </c>
      <c r="D54" s="16">
        <f>'By Round'!C45</f>
        <v/>
      </c>
      <c r="E54" s="16">
        <f>'By Round'!D45</f>
        <v/>
      </c>
      <c r="F54" s="16">
        <f>IF(ISBLANK('By Round'!F45),"",'By Round'!F45)</f>
        <v/>
      </c>
      <c r="G54" s="15">
        <f>IF(ISBLANK('By Round'!G45),"",'By Round'!G45)</f>
        <v/>
      </c>
      <c r="H54" s="15">
        <f>IF(ISBLANK('By Round'!H45),"",'By Round'!H45)</f>
        <v/>
      </c>
      <c r="I54" s="15">
        <f>IF(ISBLANK('By Round'!I45),"",'By Round'!I45)</f>
        <v/>
      </c>
      <c r="J54" s="15">
        <f>IF(ISBLANK('By Round'!J45),"",'By Round'!J45)</f>
        <v/>
      </c>
      <c r="K54" s="15">
        <f>IF(ISBLANK('By Round'!K45),"",'By Round'!K45)</f>
        <v/>
      </c>
      <c r="L54" s="15">
        <f>IF(ISBLANK('By Round'!L45),"",'By Round'!L45)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IF(ISNUMBER(S54),IF(ISNUMBER(S51),IF(S54&gt;S51,1.0,IF(S54=S51,0.5,0.0)),""),"")</f>
        <v/>
      </c>
      <c r="V54" s="15">
        <f>IF(ISNUMBER(S54),IF(ISNUMBER(S52),IF(S54&gt;S52,1.0,IF(S54=S52,0.5,0.0)),""),"")</f>
        <v/>
      </c>
      <c r="W54" s="15">
        <f>IF(ISNUMBER(S54),IF(ISNUMBER(S53),IF(S54&gt;S53,1.0,IF(S54=S53,0.5,0.0)),""),"")</f>
        <v/>
      </c>
      <c r="X54" s="15">
        <f>IF(ISNUMBER(T54),IF(ISNUMBER(T51),IF(T54&gt;T51,1.0,IF(T54=T51,0.5,0.0)),""),"")</f>
        <v/>
      </c>
      <c r="Y54" s="15">
        <f>IF(ISNUMBER(T54),IF(ISNUMBER(T52),IF(T54&gt;T52,1.0,IF(T54=T52,0.5,0.0)),""),"")</f>
        <v/>
      </c>
      <c r="Z54" s="15">
        <f>IF(ISNUMBER(T54),IF(ISNUMBER(T53),IF(T54&gt;T53,1.0,IF(T54=T53,0.5,0.0)),""),"")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Round'!A51</f>
        <v/>
      </c>
      <c r="C55" s="10">
        <f>'By Round'!B51</f>
        <v/>
      </c>
      <c r="D55" s="10">
        <f>'By Round'!C51</f>
        <v/>
      </c>
      <c r="E55" s="10">
        <f>'By Round'!D51</f>
        <v/>
      </c>
      <c r="F55" s="10">
        <f>IF(ISBLANK('By Round'!F52),"",'By Round'!F52)</f>
        <v/>
      </c>
      <c r="G55">
        <f>IF(ISBLANK('By Round'!G52),"",'By Round'!G52)</f>
        <v/>
      </c>
      <c r="H55">
        <f>IF(ISBLANK('By Round'!H52),"",'By Round'!H52)</f>
        <v/>
      </c>
      <c r="I55">
        <f>IF(ISBLANK('By Round'!I52),"",'By Round'!I52)</f>
        <v/>
      </c>
      <c r="J55">
        <f>IF(ISBLANK('By Round'!J52),"",'By Round'!J52)</f>
        <v/>
      </c>
      <c r="K55">
        <f>IF(ISBLANK('By Round'!K52),"",'By Round'!K52)</f>
        <v/>
      </c>
      <c r="L55">
        <f>IF(ISBLANK('By Round'!L52),"",'By Round'!L52)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IF(ISNUMBER(S55),IF(ISNUMBER(S56),IF(S55&gt;S56,1.0,IF(S55=S56,0.5,0.0)),""),"")</f>
        <v/>
      </c>
      <c r="V55">
        <f>IF(ISNUMBER(S55),IF(ISNUMBER(S57),IF(S55&gt;S57,1.0,IF(S55=S57,0.5,0.0)),""),"")</f>
        <v/>
      </c>
      <c r="W55">
        <f>IF(ISNUMBER(S55),IF(ISNUMBER(S58),IF(S55&gt;S58,1.0,IF(S55=S58,0.5,0.0)),""),"")</f>
        <v/>
      </c>
      <c r="X55">
        <f>IF(ISNUMBER(T55),IF(ISNUMBER(T56),IF(T55&gt;T56,1.0,IF(T55=T56,0.5,0.0)),""),"")</f>
        <v/>
      </c>
      <c r="Y55">
        <f>IF(ISNUMBER(T55),IF(ISNUMBER(T57),IF(T55&gt;T57,1.0,IF(T55=T57,0.5,0.0)),""),"")</f>
        <v/>
      </c>
      <c r="Z55">
        <f>IF(ISNUMBER(T55),IF(ISNUMBER(T58),IF(T55&gt;T58,1.0,IF(T55=T58,0.5,0.0)),""),"")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Round'!A35</f>
        <v/>
      </c>
      <c r="C56" s="10">
        <f>'By Round'!B39</f>
        <v/>
      </c>
      <c r="D56" s="10">
        <f>'By Round'!C39</f>
        <v/>
      </c>
      <c r="E56" s="10">
        <f>'By Round'!D39</f>
        <v/>
      </c>
      <c r="F56" s="10">
        <f>IF(ISBLANK('By Round'!F40),"",'By Round'!F40)</f>
        <v/>
      </c>
      <c r="G56">
        <f>IF(ISBLANK('By Round'!G40),"",'By Round'!G40)</f>
        <v/>
      </c>
      <c r="H56">
        <f>IF(ISBLANK('By Round'!H40),"",'By Round'!H40)</f>
        <v/>
      </c>
      <c r="I56">
        <f>IF(ISBLANK('By Round'!I40),"",'By Round'!I40)</f>
        <v/>
      </c>
      <c r="J56">
        <f>IF(ISBLANK('By Round'!J40),"",'By Round'!J40)</f>
        <v/>
      </c>
      <c r="K56">
        <f>IF(ISBLANK('By Round'!K40),"",'By Round'!K40)</f>
        <v/>
      </c>
      <c r="L56">
        <f>IF(ISBLANK('By Round'!L40),"",'By Round'!L40)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IF(ISNUMBER(S56),IF(ISNUMBER(S55),IF(S56&gt;S55,1.0,IF(S56=S55,0.5,0.0)),""),"")</f>
        <v/>
      </c>
      <c r="V56">
        <f>IF(ISNUMBER(S56),IF(ISNUMBER(S57),IF(S56&gt;S57,1.0,IF(S56=S57,0.5,0.0)),""),"")</f>
        <v/>
      </c>
      <c r="W56">
        <f>IF(ISNUMBER(S56),IF(ISNUMBER(S58),IF(S56&gt;S58,1.0,IF(S56=S58,0.5,0.0)),""),"")</f>
        <v/>
      </c>
      <c r="X56">
        <f>IF(ISNUMBER(T56),IF(ISNUMBER(T55),IF(T56&gt;T55,1.0,IF(T56=T55,0.5,0.0)),""),"")</f>
        <v/>
      </c>
      <c r="Y56">
        <f>IF(ISNUMBER(T56),IF(ISNUMBER(T57),IF(T56&gt;T57,1.0,IF(T56=T57,0.5,0.0)),""),"")</f>
        <v/>
      </c>
      <c r="Z56">
        <f>IF(ISNUMBER(T56),IF(ISNUMBER(T58),IF(T56&gt;T58,1.0,IF(T56=T58,0.5,0.0)),""),"")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Round'!A19</f>
        <v/>
      </c>
      <c r="C57" s="10">
        <f>'By Round'!B25</f>
        <v/>
      </c>
      <c r="D57" s="10">
        <f>'By Round'!C25</f>
        <v/>
      </c>
      <c r="E57" s="10">
        <f>'By Round'!D25</f>
        <v/>
      </c>
      <c r="F57" s="10">
        <f>IF(ISBLANK('By Round'!F26),"",'By Round'!F26)</f>
        <v/>
      </c>
      <c r="G57">
        <f>IF(ISBLANK('By Round'!G26),"",'By Round'!G26)</f>
        <v/>
      </c>
      <c r="H57">
        <f>IF(ISBLANK('By Round'!H26),"",'By Round'!H26)</f>
        <v/>
      </c>
      <c r="I57">
        <f>IF(ISBLANK('By Round'!I26),"",'By Round'!I26)</f>
        <v/>
      </c>
      <c r="J57">
        <f>IF(ISBLANK('By Round'!J26),"",'By Round'!J26)</f>
        <v/>
      </c>
      <c r="K57">
        <f>IF(ISBLANK('By Round'!K26),"",'By Round'!K26)</f>
        <v/>
      </c>
      <c r="L57">
        <f>IF(ISBLANK('By Round'!L26),"",'By Round'!L26)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IF(ISNUMBER(S57),IF(ISNUMBER(S55),IF(S57&gt;S55,1.0,IF(S57=S55,0.5,0.0)),""),"")</f>
        <v/>
      </c>
      <c r="V57">
        <f>IF(ISNUMBER(S57),IF(ISNUMBER(S56),IF(S57&gt;S56,1.0,IF(S57=S56,0.5,0.0)),""),"")</f>
        <v/>
      </c>
      <c r="W57">
        <f>IF(ISNUMBER(S57),IF(ISNUMBER(S58),IF(S57&gt;S58,1.0,IF(S57=S58,0.5,0.0)),""),"")</f>
        <v/>
      </c>
      <c r="X57">
        <f>IF(ISNUMBER(T57),IF(ISNUMBER(T55),IF(T57&gt;T55,1.0,IF(T57=T55,0.5,0.0)),""),"")</f>
        <v/>
      </c>
      <c r="Y57">
        <f>IF(ISNUMBER(T57),IF(ISNUMBER(T56),IF(T57&gt;T56,1.0,IF(T57=T56,0.5,0.0)),""),"")</f>
        <v/>
      </c>
      <c r="Z57">
        <f>IF(ISNUMBER(T57),IF(ISNUMBER(T58),IF(T57&gt;T58,1.0,IF(T57=T58,0.5,0.0)),""),"")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Round'!A43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5">
        <f>IF(ISBLANK('By Round'!L46),"",'By Round'!L46)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IF(ISNUMBER(S58),IF(ISNUMBER(S55),IF(S58&gt;S55,1.0,IF(S58=S55,0.5,0.0)),""),"")</f>
        <v/>
      </c>
      <c r="V58" s="15">
        <f>IF(ISNUMBER(S58),IF(ISNUMBER(S56),IF(S58&gt;S56,1.0,IF(S58=S56,0.5,0.0)),""),"")</f>
        <v/>
      </c>
      <c r="W58" s="15">
        <f>IF(ISNUMBER(S58),IF(ISNUMBER(S57),IF(S58&gt;S57,1.0,IF(S58=S57,0.5,0.0)),""),"")</f>
        <v/>
      </c>
      <c r="X58" s="15">
        <f>IF(ISNUMBER(T58),IF(ISNUMBER(T55),IF(T58&gt;T55,1.0,IF(T58=T55,0.5,0.0)),""),"")</f>
        <v/>
      </c>
      <c r="Y58" s="15">
        <f>IF(ISNUMBER(T58),IF(ISNUMBER(T56),IF(T58&gt;T56,1.0,IF(T58=T56,0.5,0.0)),""),"")</f>
        <v/>
      </c>
      <c r="Z58" s="15">
        <f>IF(ISNUMBER(T58),IF(ISNUMBER(T57),IF(T58&gt;T57,1.0,IF(T58=T57,0.5,0.0)),""),"")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6</v>
      </c>
      <c r="D5" s="10" t="n">
        <v>5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4</v>
      </c>
      <c r="D7" s="10" t="n">
        <v>2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7</v>
      </c>
      <c r="D9" s="10" t="n">
        <v>3</v>
      </c>
      <c r="E9" s="10" t="n">
        <v>9</v>
      </c>
      <c r="F9" s="10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A11" s="10" t="n">
        <v>2</v>
      </c>
      <c r="B11" s="10" t="n">
        <v>1</v>
      </c>
      <c r="C11" s="10" t="inlineStr">
        <is>
          <t>Sit-Out</t>
        </is>
      </c>
      <c r="D11" s="10" t="n">
        <v>2</v>
      </c>
      <c r="E11" s="10" t="n">
        <v>3</v>
      </c>
      <c r="F11" s="10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2</v>
      </c>
      <c r="C13" s="10" t="n">
        <v>7</v>
      </c>
      <c r="D13" s="10" t="n">
        <v>6</v>
      </c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3</v>
      </c>
      <c r="C15" s="10" t="n">
        <v>5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4</v>
      </c>
      <c r="C17" s="10" t="n">
        <v>1</v>
      </c>
      <c r="D17" s="10" t="n">
        <v>4</v>
      </c>
      <c r="E17" s="10" t="n">
        <v>11</v>
      </c>
      <c r="F17" s="10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A19" s="10" t="n">
        <v>3</v>
      </c>
      <c r="B19" s="10" t="n">
        <v>1</v>
      </c>
      <c r="C19" s="10" t="inlineStr">
        <is>
          <t>Sit-Out</t>
        </is>
      </c>
      <c r="D19" s="10" t="n">
        <v>3</v>
      </c>
      <c r="E19" s="10" t="n">
        <v>5</v>
      </c>
      <c r="F19" s="10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2</v>
      </c>
      <c r="C21" s="10" t="n">
        <v>1</v>
      </c>
      <c r="D21" s="10" t="n">
        <v>7</v>
      </c>
      <c r="E21" s="10" t="n">
        <v>7</v>
      </c>
      <c r="F21" s="10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3</v>
      </c>
      <c r="C23" s="10" t="n">
        <v>6</v>
      </c>
      <c r="D23" s="10" t="n">
        <v>4</v>
      </c>
      <c r="E23" s="10" t="n">
        <v>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4</v>
      </c>
      <c r="C25" s="10" t="n">
        <v>2</v>
      </c>
      <c r="D25" s="10" t="n">
        <v>5</v>
      </c>
      <c r="E25" s="10" t="n">
        <v>13</v>
      </c>
      <c r="F25" s="10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4</v>
      </c>
      <c r="B27" s="10" t="n">
        <v>1</v>
      </c>
      <c r="C27" s="10" t="inlineStr">
        <is>
          <t>Sit-Out</t>
        </is>
      </c>
      <c r="D27" s="10" t="n">
        <v>4</v>
      </c>
      <c r="E27" s="10" t="n">
        <v>7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2</v>
      </c>
      <c r="D29" s="10" t="n">
        <v>1</v>
      </c>
      <c r="E29" s="10" t="n">
        <v>9</v>
      </c>
      <c r="F29" s="10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7</v>
      </c>
      <c r="D31" s="10" t="n">
        <v>5</v>
      </c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3</v>
      </c>
      <c r="D33" s="10" t="n">
        <v>6</v>
      </c>
      <c r="E33" s="10" t="n">
        <v>1</v>
      </c>
      <c r="F33" s="10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  <c r="L34" s="15" t="n"/>
    </row>
    <row r="35">
      <c r="A35" s="10" t="n">
        <v>5</v>
      </c>
      <c r="B35" s="10" t="n">
        <v>1</v>
      </c>
      <c r="C35" s="10" t="inlineStr">
        <is>
          <t>Sit-Out</t>
        </is>
      </c>
      <c r="D35" s="10" t="n">
        <v>5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2</v>
      </c>
      <c r="C37" s="10" t="n">
        <v>3</v>
      </c>
      <c r="D37" s="10" t="n">
        <v>2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3</v>
      </c>
      <c r="C39" s="10" t="n">
        <v>1</v>
      </c>
      <c r="D39" s="10" t="n">
        <v>6</v>
      </c>
      <c r="E39" s="10" t="n">
        <v>13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4</v>
      </c>
      <c r="C41" s="10" t="n">
        <v>4</v>
      </c>
      <c r="D41" s="10" t="n">
        <v>7</v>
      </c>
      <c r="E41" s="10" t="n">
        <v>3</v>
      </c>
      <c r="F41" s="10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6</v>
      </c>
      <c r="B43" s="10" t="n">
        <v>1</v>
      </c>
      <c r="C43" s="10" t="inlineStr">
        <is>
          <t>Sit-Out</t>
        </is>
      </c>
      <c r="D43" s="10" t="n">
        <v>6</v>
      </c>
      <c r="E43" s="10" t="n">
        <v>11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13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2</v>
      </c>
      <c r="D47" s="10" t="n">
        <v>7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5</v>
      </c>
      <c r="D49" s="10" t="n">
        <v>1</v>
      </c>
      <c r="E49" s="10" t="n">
        <v>5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7</v>
      </c>
      <c r="B51" s="10" t="n">
        <v>1</v>
      </c>
      <c r="C51" s="10" t="inlineStr">
        <is>
          <t>Sit-Out</t>
        </is>
      </c>
      <c r="D51" s="10" t="n">
        <v>7</v>
      </c>
      <c r="E51" s="10" t="n">
        <v>13</v>
      </c>
      <c r="F51" s="10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5</v>
      </c>
      <c r="D53" s="10" t="n">
        <v>4</v>
      </c>
      <c r="E53" s="10" t="n">
        <v>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3</v>
      </c>
      <c r="D55" s="10" t="n">
        <v>1</v>
      </c>
      <c r="E55" s="10" t="n">
        <v>3</v>
      </c>
      <c r="F55" s="10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6</v>
      </c>
      <c r="D57" s="10" t="n">
        <v>2</v>
      </c>
      <c r="E57" s="10" t="n">
        <v>7</v>
      </c>
      <c r="F57" s="10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  <c r="L5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2026-03-18T15:27:44Z</dcterms:created>
  <dcterms:modified xsi:type="dcterms:W3CDTF">2026-03-18T15:27:44Z</dcterms:modified>
</cp:coreProperties>
</file>