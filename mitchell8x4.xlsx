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2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165" fontId="0" fillId="0" borderId="1" pivotButton="0" quotePrefix="0" xfId="0"/>
    <xf numFmtId="0" fontId="0" fillId="0" borderId="3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Jul 29, 2026.</t>
        </is>
      </c>
    </row>
    <row r="2">
      <c r="A2" s="2" t="inlineStr">
        <is>
          <t>Mitchell Tournament</t>
        </is>
      </c>
    </row>
    <row r="3">
      <c r="A3" s="3" t="inlineStr">
        <is>
          <t>Pairs</t>
        </is>
      </c>
      <c r="C3" s="3" t="n">
        <v>8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>Rounds</t>
        </is>
      </c>
      <c r="C5" s="3" t="n">
        <v>3</v>
      </c>
    </row>
    <row r="6">
      <c r="A6" s="3" t="inlineStr">
        <is>
          <t>Boards per round</t>
        </is>
      </c>
      <c r="C6" s="3" t="n">
        <v>4</v>
      </c>
    </row>
    <row r="7">
      <c r="A7" s="3" t="inlineStr">
        <is>
          <t>EW pairs skip a table after round 2</t>
        </is>
      </c>
      <c r="C7" s="3" t="inlineStr"/>
    </row>
    <row r="9">
      <c r="A9" s="2" t="inlineStr">
        <is>
          <t>NS 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37</t>
        </is>
      </c>
      <c r="C10" t="inlineStr">
        <is>
          <t>Name 43</t>
        </is>
      </c>
      <c r="D10" s="4">
        <f>SUMIF('By Board'!D3:D50,"="&amp;A10,'By Board'!Q3:Q50)/24</f>
        <v/>
      </c>
      <c r="E10" s="5">
        <f>SUMIF('By Board'!D3:D50,"="&amp;A10,'By Board'!M3:M50)</f>
        <v/>
      </c>
    </row>
    <row r="11">
      <c r="A11" s="2" t="n">
        <v>2</v>
      </c>
      <c r="B11" t="inlineStr">
        <is>
          <t>Name 53</t>
        </is>
      </c>
      <c r="C11" t="inlineStr">
        <is>
          <t>Name 11</t>
        </is>
      </c>
      <c r="D11" s="4">
        <f>SUMIF('By Board'!D3:D50,"="&amp;A11,'By Board'!Q3:Q50)/24</f>
        <v/>
      </c>
      <c r="E11" s="5">
        <f>SUMIF('By Board'!D3:D50,"="&amp;A11,'By Board'!M3:M50)</f>
        <v/>
      </c>
    </row>
    <row r="12">
      <c r="A12" s="2" t="n">
        <v>3</v>
      </c>
      <c r="B12" t="inlineStr">
        <is>
          <t>Name 62</t>
        </is>
      </c>
      <c r="C12" t="inlineStr">
        <is>
          <t>Name 31</t>
        </is>
      </c>
      <c r="D12" s="4">
        <f>SUMIF('By Board'!D3:D50,"="&amp;A12,'By Board'!Q3:Q50)/24</f>
        <v/>
      </c>
      <c r="E12" s="5">
        <f>SUMIF('By Board'!D3:D50,"="&amp;A12,'By Board'!M3:M50)</f>
        <v/>
      </c>
    </row>
    <row r="13">
      <c r="A13" s="6" t="n">
        <v>4</v>
      </c>
      <c r="B13" s="7" t="inlineStr">
        <is>
          <t>Name 89</t>
        </is>
      </c>
      <c r="C13" s="7" t="inlineStr">
        <is>
          <t>Name 61</t>
        </is>
      </c>
      <c r="D13" s="8">
        <f>SUMIF('By Board'!D3:D50,"="&amp;A13,'By Board'!Q3:Q50)/24</f>
        <v/>
      </c>
      <c r="E13" s="9">
        <f>SUMIF('By Board'!D3:D50,"="&amp;A13,'By Board'!M3:M50)</f>
        <v/>
      </c>
      <c r="F13" s="7" t="n"/>
    </row>
    <row r="14">
      <c r="C14" s="10" t="inlineStr">
        <is>
          <t>Average</t>
        </is>
      </c>
      <c r="D14" s="11">
        <f>AVERAGE(D10:D13)</f>
        <v/>
      </c>
      <c r="E14" s="12">
        <f>SUM(F10:F13)</f>
        <v/>
      </c>
    </row>
    <row r="16">
      <c r="A16" s="2" t="inlineStr">
        <is>
          <t>EW Pairs</t>
        </is>
      </c>
      <c r="D16" s="2" t="inlineStr">
        <is>
          <t>MP</t>
        </is>
      </c>
      <c r="E16" s="2" t="inlineStr">
        <is>
          <t>IMP</t>
        </is>
      </c>
    </row>
    <row r="17">
      <c r="A17" s="2" t="n">
        <v>1</v>
      </c>
      <c r="B17" t="inlineStr">
        <is>
          <t>Name 18</t>
        </is>
      </c>
      <c r="C17" t="inlineStr">
        <is>
          <t>Name 70</t>
        </is>
      </c>
      <c r="D17" s="4">
        <f>SUMIF('By Board'!E3:E50,"="&amp;A17,'By Board'!R3:R50)/24</f>
        <v/>
      </c>
      <c r="E17" s="5">
        <f>SUMIF('By Board'!E3:E50,"="&amp;A17,'By Board'!N3:N50)</f>
        <v/>
      </c>
    </row>
    <row r="18">
      <c r="A18" s="2" t="n">
        <v>2</v>
      </c>
      <c r="B18" t="inlineStr">
        <is>
          <t>Name 65</t>
        </is>
      </c>
      <c r="C18" t="inlineStr">
        <is>
          <t>Name 26</t>
        </is>
      </c>
      <c r="D18" s="4">
        <f>SUMIF('By Board'!E3:E50,"="&amp;A18,'By Board'!R3:R50)/24</f>
        <v/>
      </c>
      <c r="E18" s="5">
        <f>SUMIF('By Board'!E3:E50,"="&amp;A18,'By Board'!N3:N50)</f>
        <v/>
      </c>
    </row>
    <row r="19">
      <c r="A19" s="2" t="n">
        <v>3</v>
      </c>
      <c r="B19" t="inlineStr">
        <is>
          <t>Name 81</t>
        </is>
      </c>
      <c r="C19" t="inlineStr">
        <is>
          <t>Name 79</t>
        </is>
      </c>
      <c r="D19" s="4">
        <f>SUMIF('By Board'!E3:E50,"="&amp;A19,'By Board'!R3:R50)/24</f>
        <v/>
      </c>
      <c r="E19" s="5">
        <f>SUMIF('By Board'!E3:E50,"="&amp;A19,'By Board'!N3:N50)</f>
        <v/>
      </c>
    </row>
    <row r="20">
      <c r="A20" s="6" t="n">
        <v>4</v>
      </c>
      <c r="B20" s="7" t="inlineStr">
        <is>
          <t>Name 51</t>
        </is>
      </c>
      <c r="C20" s="7" t="inlineStr">
        <is>
          <t>Name 84</t>
        </is>
      </c>
      <c r="D20" s="8">
        <f>SUMIF('By Board'!E3:E50,"="&amp;A20,'By Board'!R3:R50)/24</f>
        <v/>
      </c>
      <c r="E20" s="9">
        <f>SUMIF('By Board'!E3:E50,"="&amp;A20,'By Board'!N3:N50)</f>
        <v/>
      </c>
      <c r="F20" s="7" t="n"/>
    </row>
    <row r="21">
      <c r="C21" s="10" t="inlineStr">
        <is>
          <t>Average</t>
        </is>
      </c>
      <c r="D21" s="11">
        <f>AVERAGE(D17:D20)</f>
        <v/>
      </c>
      <c r="E21" s="12">
        <f>SUM(F17:F20)</f>
        <v/>
      </c>
    </row>
  </sheetData>
  <mergeCells count="8">
    <mergeCell ref="A4:B4"/>
    <mergeCell ref="A7:B7"/>
    <mergeCell ref="A2:E2"/>
    <mergeCell ref="A5:B5"/>
    <mergeCell ref="A9:C9"/>
    <mergeCell ref="A3:B3"/>
    <mergeCell ref="A6:B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  <c r="M1" s="13" t="inlineStr">
        <is>
          <t>IMP</t>
        </is>
      </c>
      <c r="O1" s="13" t="inlineStr">
        <is>
          <t>MP %</t>
        </is>
      </c>
      <c r="Q1" s="13" t="inlineStr">
        <is>
          <t>MP Pts</t>
        </is>
      </c>
      <c r="S1" s="13" t="inlineStr">
        <is>
          <t>Net</t>
        </is>
      </c>
      <c r="U1" s="13" t="inlineStr">
        <is>
          <t>MP Calculation</t>
        </is>
      </c>
      <c r="Y1" s="13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14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14" t="inlineStr">
        <is>
          <t>NS</t>
        </is>
      </c>
      <c r="T2" s="2" t="inlineStr">
        <is>
          <t>EW</t>
        </is>
      </c>
      <c r="U2" s="14" t="inlineStr">
        <is>
          <t>NS MP Scores</t>
        </is>
      </c>
      <c r="W2" s="2" t="inlineStr">
        <is>
          <t>EW MP Scores</t>
        </is>
      </c>
      <c r="Y2" s="14" t="inlineStr">
        <is>
          <t>NS IMP Pair-wise</t>
        </is>
      </c>
      <c r="AA2" s="2" t="inlineStr">
        <is>
          <t>EW IMP Pair-wise</t>
        </is>
      </c>
    </row>
    <row r="3">
      <c r="A3" s="15" t="n">
        <v>1</v>
      </c>
      <c r="B3" s="15">
        <f>'By Round'!A3</f>
        <v/>
      </c>
      <c r="C3" s="15">
        <f>'By Round'!B3</f>
        <v/>
      </c>
      <c r="D3" s="15">
        <f>'By Round'!C3</f>
        <v/>
      </c>
      <c r="E3" s="15">
        <f>'By Round'!D3</f>
        <v/>
      </c>
      <c r="F3" s="15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6">
        <f>AVERAGE(Y3:Z3)</f>
        <v/>
      </c>
      <c r="N3" s="5">
        <f>AVERAGE(AA3:AB3)</f>
        <v/>
      </c>
      <c r="O3" s="4">
        <f>IF(COUNT(U3:V3)&gt;0,Q3/COUNT(U3:V3),0.5)</f>
        <v/>
      </c>
      <c r="P3" s="4">
        <f>IF(COUNT(W3:X3)&gt;0,R3/COUNT(W3:X3),0.5)</f>
        <v/>
      </c>
      <c r="Q3" s="17">
        <f>SUM(U3:V3)</f>
        <v/>
      </c>
      <c r="R3" s="17">
        <f>SUM(W3:X3)</f>
        <v/>
      </c>
      <c r="S3" s="18">
        <f>IF(ISNUMBER(K3),K3,IF(ISNUMBER(L3),-L3,""))</f>
        <v/>
      </c>
      <c r="T3">
        <f>IF(ISNUMBER(L3),L3,IF(ISNUMBER(K3),-K3,""))</f>
        <v/>
      </c>
      <c r="U3" s="18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IF(ISNUMBER(T3),IF(ISNUMBER(T4),IF(T3&gt;T4,1.0,IF(T3=T4,0.5,0.0)),0.5),0.5)</f>
        <v/>
      </c>
      <c r="X3">
        <f>IF(ISNUMBER(T3),IF(ISNUMBER(T5),IF(T3&gt;T5,1.0,IF(T3=T5,0.5,0.0)),0.5),0.5)</f>
        <v/>
      </c>
      <c r="Y3" s="18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5">
        <f>'By Round'!A19</f>
        <v/>
      </c>
      <c r="C4" s="15">
        <f>'By Round'!B23</f>
        <v/>
      </c>
      <c r="D4" s="15">
        <f>'By Round'!C23</f>
        <v/>
      </c>
      <c r="E4" s="15">
        <f>'By Round'!D23</f>
        <v/>
      </c>
      <c r="F4" s="15">
        <f>IF(ISBLANK('By Round'!F23),"",'By Round'!F23)</f>
        <v/>
      </c>
      <c r="G4">
        <f>IF(ISBLANK('By Round'!G23),"",'By Round'!G23)</f>
        <v/>
      </c>
      <c r="H4">
        <f>IF(ISBLANK('By Round'!H23),"",'By Round'!H23)</f>
        <v/>
      </c>
      <c r="I4">
        <f>IF(ISBLANK('By Round'!I23),"",'By Round'!I23)</f>
        <v/>
      </c>
      <c r="J4">
        <f>IF(ISBLANK('By Round'!J23),"",'By Round'!J23)</f>
        <v/>
      </c>
      <c r="K4">
        <f>IF(ISBLANK('By Round'!K23),"",'By Round'!K23)</f>
        <v/>
      </c>
      <c r="L4">
        <f>IF(ISBLANK('By Round'!L23),"",'By Round'!L23)</f>
        <v/>
      </c>
      <c r="M4" s="16">
        <f>AVERAGE(Y4:Z4)</f>
        <v/>
      </c>
      <c r="N4" s="5">
        <f>AVERAGE(AA4:AB4)</f>
        <v/>
      </c>
      <c r="O4" s="4">
        <f>IF(COUNT(U4:V4)&gt;0,Q4/COUNT(U4:V4),0.5)</f>
        <v/>
      </c>
      <c r="P4" s="4">
        <f>IF(COUNT(W4:X4)&gt;0,R4/COUNT(W4:X4),0.5)</f>
        <v/>
      </c>
      <c r="Q4" s="17">
        <f>SUM(U4:V4)</f>
        <v/>
      </c>
      <c r="R4" s="17">
        <f>SUM(W4:X4)</f>
        <v/>
      </c>
      <c r="S4" s="18">
        <f>IF(ISNUMBER(K4),K4,IF(ISNUMBER(L4),-L4,""))</f>
        <v/>
      </c>
      <c r="T4">
        <f>IF(ISNUMBER(L4),L4,IF(ISNUMBER(K4),-K4,""))</f>
        <v/>
      </c>
      <c r="U4" s="18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IF(ISNUMBER(T4),IF(ISNUMBER(T3),IF(T4&gt;T3,1.0,IF(T4=T3,0.5,0.0)),0.5),0.5)</f>
        <v/>
      </c>
      <c r="X4">
        <f>IF(ISNUMBER(T4),IF(ISNUMBER(T5),IF(T4&gt;T5,1.0,IF(T4=T5,0.5,0.0)),0.5),0.5)</f>
        <v/>
      </c>
      <c r="Y4" s="18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7" t="n"/>
      <c r="B5" s="19">
        <f>'By Round'!A35</f>
        <v/>
      </c>
      <c r="C5" s="19">
        <f>'By Round'!B43</f>
        <v/>
      </c>
      <c r="D5" s="19">
        <f>'By Round'!C43</f>
        <v/>
      </c>
      <c r="E5" s="19">
        <f>'By Round'!D43</f>
        <v/>
      </c>
      <c r="F5" s="19">
        <f>IF(ISBLANK('By Round'!F43),"",'By Round'!F43)</f>
        <v/>
      </c>
      <c r="G5" s="7">
        <f>IF(ISBLANK('By Round'!G43),"",'By Round'!G43)</f>
        <v/>
      </c>
      <c r="H5" s="7">
        <f>IF(ISBLANK('By Round'!H43),"",'By Round'!H43)</f>
        <v/>
      </c>
      <c r="I5" s="7">
        <f>IF(ISBLANK('By Round'!I43),"",'By Round'!I43)</f>
        <v/>
      </c>
      <c r="J5" s="7">
        <f>IF(ISBLANK('By Round'!J43),"",'By Round'!J43)</f>
        <v/>
      </c>
      <c r="K5" s="7">
        <f>IF(ISBLANK('By Round'!K43),"",'By Round'!K43)</f>
        <v/>
      </c>
      <c r="L5" s="7">
        <f>IF(ISBLANK('By Round'!L43),"",'By Round'!L43)</f>
        <v/>
      </c>
      <c r="M5" s="20">
        <f>AVERAGE(Y5:Z5)</f>
        <v/>
      </c>
      <c r="N5" s="9">
        <f>AVERAGE(AA5:AB5)</f>
        <v/>
      </c>
      <c r="O5" s="8">
        <f>IF(COUNT(U5:V5)&gt;0,Q5/COUNT(U5:V5),0.5)</f>
        <v/>
      </c>
      <c r="P5" s="8">
        <f>IF(COUNT(W5:X5)&gt;0,R5/COUNT(W5:X5),0.5)</f>
        <v/>
      </c>
      <c r="Q5" s="21">
        <f>SUM(U5:V5)</f>
        <v/>
      </c>
      <c r="R5" s="21">
        <f>SUM(W5:X5)</f>
        <v/>
      </c>
      <c r="S5" s="22">
        <f>IF(ISNUMBER(K5),K5,IF(ISNUMBER(L5),-L5,""))</f>
        <v/>
      </c>
      <c r="T5" s="7">
        <f>IF(ISNUMBER(L5),L5,IF(ISNUMBER(K5),-K5,""))</f>
        <v/>
      </c>
      <c r="U5" s="22">
        <f>IF(ISNUMBER(S5),IF(ISNUMBER(S3),IF(S5&gt;S3,1.0,IF(S5=S3,0.5,0.0)),0.5),0.5)</f>
        <v/>
      </c>
      <c r="V5" s="7">
        <f>IF(ISNUMBER(S5),IF(ISNUMBER(S4),IF(S5&gt;S4,1.0,IF(S5=S4,0.5,0.0)),0.5),0.5)</f>
        <v/>
      </c>
      <c r="W5" s="7">
        <f>IF(ISNUMBER(T5),IF(ISNUMBER(T3),IF(T5&gt;T3,1.0,IF(T5=T3,0.5,0.0)),0.5),0.5)</f>
        <v/>
      </c>
      <c r="X5" s="7">
        <f>IF(ISNUMBER(T5),IF(ISNUMBER(T4),IF(T5&gt;T4,1.0,IF(T5=T4,0.5,0.0)),0.5),0.5)</f>
        <v/>
      </c>
      <c r="Y5" s="22">
        <f>IF(AND(ISNUMBER(S5),ISNUMBER(S3)),VLOOKUP(ABS(S5-S3),'IMP Table'!$A$2:$C$26,3)*SIGN(S5-S3),0)</f>
        <v/>
      </c>
      <c r="Z5" s="7">
        <f>IF(AND(ISNUMBER(S5),ISNUMBER(S4)),VLOOKUP(ABS(S5-S4),'IMP Table'!$A$2:$C$26,3)*SIGN(S5-S4),0)</f>
        <v/>
      </c>
      <c r="AA5" s="7">
        <f>IF(AND(ISNUMBER(T5),ISNUMBER(T3)),VLOOKUP(ABS(T5-T3),'IMP Table'!$A$2:$C$26,3)*SIGN(T5-T3),0)</f>
        <v/>
      </c>
      <c r="AB5" s="7">
        <f>IF(AND(ISNUMBER(T5),ISNUMBER(T4)),VLOOKUP(ABS(T5-T4),'IMP Table'!$A$2:$C$26,3)*SIGN(T5-T4),0)</f>
        <v/>
      </c>
      <c r="AC5" s="7" t="n"/>
      <c r="AD5" s="7" t="n"/>
      <c r="AE5" s="7" t="n"/>
      <c r="AF5" s="7" t="n"/>
    </row>
    <row r="6">
      <c r="A6" s="15" t="n">
        <v>2</v>
      </c>
      <c r="B6" s="15">
        <f>'By Round'!A3</f>
        <v/>
      </c>
      <c r="C6" s="15">
        <f>'By Round'!B3</f>
        <v/>
      </c>
      <c r="D6" s="15">
        <f>'By Round'!C3</f>
        <v/>
      </c>
      <c r="E6" s="15">
        <f>'By Round'!D3</f>
        <v/>
      </c>
      <c r="F6" s="15">
        <f>IF(ISBLANK('By Round'!F4),"",'By Round'!F4)</f>
        <v/>
      </c>
      <c r="G6">
        <f>IF(ISBLANK('By Round'!G4),"",'By Round'!G4)</f>
        <v/>
      </c>
      <c r="H6">
        <f>IF(ISBLANK('By Round'!H4),"",'By Round'!H4)</f>
        <v/>
      </c>
      <c r="I6">
        <f>IF(ISBLANK('By Round'!I4),"",'By Round'!I4)</f>
        <v/>
      </c>
      <c r="J6">
        <f>IF(ISBLANK('By Round'!J4),"",'By Round'!J4)</f>
        <v/>
      </c>
      <c r="K6">
        <f>IF(ISBLANK('By Round'!K4),"",'By Round'!K4)</f>
        <v/>
      </c>
      <c r="L6">
        <f>IF(ISBLANK('By Round'!L4),"",'By Round'!L4)</f>
        <v/>
      </c>
      <c r="M6" s="16">
        <f>AVERAGE(Y6:Z6)</f>
        <v/>
      </c>
      <c r="N6" s="5">
        <f>AVERAGE(AA6:AB6)</f>
        <v/>
      </c>
      <c r="O6" s="4">
        <f>IF(COUNT(U6:V6)&gt;0,Q6/COUNT(U6:V6),0.5)</f>
        <v/>
      </c>
      <c r="P6" s="4">
        <f>IF(COUNT(W6:X6)&gt;0,R6/COUNT(W6:X6),0.5)</f>
        <v/>
      </c>
      <c r="Q6" s="17">
        <f>SUM(U6:V6)</f>
        <v/>
      </c>
      <c r="R6" s="17">
        <f>SUM(W6:X6)</f>
        <v/>
      </c>
      <c r="S6" s="18">
        <f>IF(ISNUMBER(K6),K6,IF(ISNUMBER(L6),-L6,""))</f>
        <v/>
      </c>
      <c r="T6">
        <f>IF(ISNUMBER(L6),L6,IF(ISNUMBER(K6),-K6,""))</f>
        <v/>
      </c>
      <c r="U6" s="18">
        <f>IF(ISNUMBER(S6),IF(ISNUMBER(S7),IF(S6&gt;S7,1.0,IF(S6=S7,0.5,0.0)),0.5),0.5)</f>
        <v/>
      </c>
      <c r="V6">
        <f>IF(ISNUMBER(S6),IF(ISNUMBER(S8),IF(S6&gt;S8,1.0,IF(S6=S8,0.5,0.0)),0.5),0.5)</f>
        <v/>
      </c>
      <c r="W6">
        <f>IF(ISNUMBER(T6),IF(ISNUMBER(T7),IF(T6&gt;T7,1.0,IF(T6=T7,0.5,0.0)),0.5),0.5)</f>
        <v/>
      </c>
      <c r="X6">
        <f>IF(ISNUMBER(T6),IF(ISNUMBER(T8),IF(T6&gt;T8,1.0,IF(T6=T8,0.5,0.0)),0.5),0.5)</f>
        <v/>
      </c>
      <c r="Y6" s="18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5">
        <f>'By Round'!A19</f>
        <v/>
      </c>
      <c r="C7" s="15">
        <f>'By Round'!B23</f>
        <v/>
      </c>
      <c r="D7" s="15">
        <f>'By Round'!C23</f>
        <v/>
      </c>
      <c r="E7" s="15">
        <f>'By Round'!D23</f>
        <v/>
      </c>
      <c r="F7" s="15">
        <f>IF(ISBLANK('By Round'!F24),"",'By Round'!F24)</f>
        <v/>
      </c>
      <c r="G7">
        <f>IF(ISBLANK('By Round'!G24),"",'By Round'!G24)</f>
        <v/>
      </c>
      <c r="H7">
        <f>IF(ISBLANK('By Round'!H24),"",'By Round'!H24)</f>
        <v/>
      </c>
      <c r="I7">
        <f>IF(ISBLANK('By Round'!I24),"",'By Round'!I24)</f>
        <v/>
      </c>
      <c r="J7">
        <f>IF(ISBLANK('By Round'!J24),"",'By Round'!J24)</f>
        <v/>
      </c>
      <c r="K7">
        <f>IF(ISBLANK('By Round'!K24),"",'By Round'!K24)</f>
        <v/>
      </c>
      <c r="L7">
        <f>IF(ISBLANK('By Round'!L24),"",'By Round'!L24)</f>
        <v/>
      </c>
      <c r="M7" s="16">
        <f>AVERAGE(Y7:Z7)</f>
        <v/>
      </c>
      <c r="N7" s="5">
        <f>AVERAGE(AA7:AB7)</f>
        <v/>
      </c>
      <c r="O7" s="4">
        <f>IF(COUNT(U7:V7)&gt;0,Q7/COUNT(U7:V7),0.5)</f>
        <v/>
      </c>
      <c r="P7" s="4">
        <f>IF(COUNT(W7:X7)&gt;0,R7/COUNT(W7:X7),0.5)</f>
        <v/>
      </c>
      <c r="Q7" s="17">
        <f>SUM(U7:V7)</f>
        <v/>
      </c>
      <c r="R7" s="17">
        <f>SUM(W7:X7)</f>
        <v/>
      </c>
      <c r="S7" s="18">
        <f>IF(ISNUMBER(K7),K7,IF(ISNUMBER(L7),-L7,""))</f>
        <v/>
      </c>
      <c r="T7">
        <f>IF(ISNUMBER(L7),L7,IF(ISNUMBER(K7),-K7,""))</f>
        <v/>
      </c>
      <c r="U7" s="18">
        <f>IF(ISNUMBER(S7),IF(ISNUMBER(S6),IF(S7&gt;S6,1.0,IF(S7=S6,0.5,0.0)),0.5),0.5)</f>
        <v/>
      </c>
      <c r="V7">
        <f>IF(ISNUMBER(S7),IF(ISNUMBER(S8),IF(S7&gt;S8,1.0,IF(S7=S8,0.5,0.0)),0.5),0.5)</f>
        <v/>
      </c>
      <c r="W7">
        <f>IF(ISNUMBER(T7),IF(ISNUMBER(T6),IF(T7&gt;T6,1.0,IF(T7=T6,0.5,0.0)),0.5),0.5)</f>
        <v/>
      </c>
      <c r="X7">
        <f>IF(ISNUMBER(T7),IF(ISNUMBER(T8),IF(T7&gt;T8,1.0,IF(T7=T8,0.5,0.0)),0.5),0.5)</f>
        <v/>
      </c>
      <c r="Y7" s="18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7" t="n"/>
      <c r="B8" s="19">
        <f>'By Round'!A35</f>
        <v/>
      </c>
      <c r="C8" s="19">
        <f>'By Round'!B43</f>
        <v/>
      </c>
      <c r="D8" s="19">
        <f>'By Round'!C43</f>
        <v/>
      </c>
      <c r="E8" s="19">
        <f>'By Round'!D43</f>
        <v/>
      </c>
      <c r="F8" s="19">
        <f>IF(ISBLANK('By Round'!F44),"",'By Round'!F44)</f>
        <v/>
      </c>
      <c r="G8" s="7">
        <f>IF(ISBLANK('By Round'!G44),"",'By Round'!G44)</f>
        <v/>
      </c>
      <c r="H8" s="7">
        <f>IF(ISBLANK('By Round'!H44),"",'By Round'!H44)</f>
        <v/>
      </c>
      <c r="I8" s="7">
        <f>IF(ISBLANK('By Round'!I44),"",'By Round'!I44)</f>
        <v/>
      </c>
      <c r="J8" s="7">
        <f>IF(ISBLANK('By Round'!J44),"",'By Round'!J44)</f>
        <v/>
      </c>
      <c r="K8" s="7">
        <f>IF(ISBLANK('By Round'!K44),"",'By Round'!K44)</f>
        <v/>
      </c>
      <c r="L8" s="7">
        <f>IF(ISBLANK('By Round'!L44),"",'By Round'!L44)</f>
        <v/>
      </c>
      <c r="M8" s="20">
        <f>AVERAGE(Y8:Z8)</f>
        <v/>
      </c>
      <c r="N8" s="9">
        <f>AVERAGE(AA8:AB8)</f>
        <v/>
      </c>
      <c r="O8" s="8">
        <f>IF(COUNT(U8:V8)&gt;0,Q8/COUNT(U8:V8),0.5)</f>
        <v/>
      </c>
      <c r="P8" s="8">
        <f>IF(COUNT(W8:X8)&gt;0,R8/COUNT(W8:X8),0.5)</f>
        <v/>
      </c>
      <c r="Q8" s="21">
        <f>SUM(U8:V8)</f>
        <v/>
      </c>
      <c r="R8" s="21">
        <f>SUM(W8:X8)</f>
        <v/>
      </c>
      <c r="S8" s="22">
        <f>IF(ISNUMBER(K8),K8,IF(ISNUMBER(L8),-L8,""))</f>
        <v/>
      </c>
      <c r="T8" s="7">
        <f>IF(ISNUMBER(L8),L8,IF(ISNUMBER(K8),-K8,""))</f>
        <v/>
      </c>
      <c r="U8" s="22">
        <f>IF(ISNUMBER(S8),IF(ISNUMBER(S6),IF(S8&gt;S6,1.0,IF(S8=S6,0.5,0.0)),0.5),0.5)</f>
        <v/>
      </c>
      <c r="V8" s="7">
        <f>IF(ISNUMBER(S8),IF(ISNUMBER(S7),IF(S8&gt;S7,1.0,IF(S8=S7,0.5,0.0)),0.5),0.5)</f>
        <v/>
      </c>
      <c r="W8" s="7">
        <f>IF(ISNUMBER(T8),IF(ISNUMBER(T6),IF(T8&gt;T6,1.0,IF(T8=T6,0.5,0.0)),0.5),0.5)</f>
        <v/>
      </c>
      <c r="X8" s="7">
        <f>IF(ISNUMBER(T8),IF(ISNUMBER(T7),IF(T8&gt;T7,1.0,IF(T8=T7,0.5,0.0)),0.5),0.5)</f>
        <v/>
      </c>
      <c r="Y8" s="22">
        <f>IF(AND(ISNUMBER(S8),ISNUMBER(S6)),VLOOKUP(ABS(S8-S6),'IMP Table'!$A$2:$C$26,3)*SIGN(S8-S6),0)</f>
        <v/>
      </c>
      <c r="Z8" s="7">
        <f>IF(AND(ISNUMBER(S8),ISNUMBER(S7)),VLOOKUP(ABS(S8-S7),'IMP Table'!$A$2:$C$26,3)*SIGN(S8-S7),0)</f>
        <v/>
      </c>
      <c r="AA8" s="7">
        <f>IF(AND(ISNUMBER(T8),ISNUMBER(T6)),VLOOKUP(ABS(T8-T6),'IMP Table'!$A$2:$C$26,3)*SIGN(T8-T6),0)</f>
        <v/>
      </c>
      <c r="AB8" s="7">
        <f>IF(AND(ISNUMBER(T8),ISNUMBER(T7)),VLOOKUP(ABS(T8-T7),'IMP Table'!$A$2:$C$26,3)*SIGN(T8-T7),0)</f>
        <v/>
      </c>
      <c r="AC8" s="7" t="n"/>
      <c r="AD8" s="7" t="n"/>
      <c r="AE8" s="7" t="n"/>
      <c r="AF8" s="7" t="n"/>
    </row>
    <row r="9">
      <c r="A9" s="15" t="n">
        <v>3</v>
      </c>
      <c r="B9" s="15">
        <f>'By Round'!A3</f>
        <v/>
      </c>
      <c r="C9" s="15">
        <f>'By Round'!B3</f>
        <v/>
      </c>
      <c r="D9" s="15">
        <f>'By Round'!C3</f>
        <v/>
      </c>
      <c r="E9" s="15">
        <f>'By Round'!D3</f>
        <v/>
      </c>
      <c r="F9" s="15">
        <f>IF(ISBLANK('By Round'!F5),"",'By Round'!F5)</f>
        <v/>
      </c>
      <c r="G9">
        <f>IF(ISBLANK('By Round'!G5),"",'By Round'!G5)</f>
        <v/>
      </c>
      <c r="H9">
        <f>IF(ISBLANK('By Round'!H5),"",'By Round'!H5)</f>
        <v/>
      </c>
      <c r="I9">
        <f>IF(ISBLANK('By Round'!I5),"",'By Round'!I5)</f>
        <v/>
      </c>
      <c r="J9">
        <f>IF(ISBLANK('By Round'!J5),"",'By Round'!J5)</f>
        <v/>
      </c>
      <c r="K9">
        <f>IF(ISBLANK('By Round'!K5),"",'By Round'!K5)</f>
        <v/>
      </c>
      <c r="L9">
        <f>IF(ISBLANK('By Round'!L5),"",'By Round'!L5)</f>
        <v/>
      </c>
      <c r="M9" s="16">
        <f>AVERAGE(Y9:Z9)</f>
        <v/>
      </c>
      <c r="N9" s="5">
        <f>AVERAGE(AA9:AB9)</f>
        <v/>
      </c>
      <c r="O9" s="4">
        <f>IF(COUNT(U9:V9)&gt;0,Q9/COUNT(U9:V9),0.5)</f>
        <v/>
      </c>
      <c r="P9" s="4">
        <f>IF(COUNT(W9:X9)&gt;0,R9/COUNT(W9:X9),0.5)</f>
        <v/>
      </c>
      <c r="Q9" s="17">
        <f>SUM(U9:V9)</f>
        <v/>
      </c>
      <c r="R9" s="17">
        <f>SUM(W9:X9)</f>
        <v/>
      </c>
      <c r="S9" s="18">
        <f>IF(ISNUMBER(K9),K9,IF(ISNUMBER(L9),-L9,""))</f>
        <v/>
      </c>
      <c r="T9">
        <f>IF(ISNUMBER(L9),L9,IF(ISNUMBER(K9),-K9,""))</f>
        <v/>
      </c>
      <c r="U9" s="18">
        <f>IF(ISNUMBER(S9),IF(ISNUMBER(S10),IF(S9&gt;S10,1.0,IF(S9=S10,0.5,0.0)),0.5),0.5)</f>
        <v/>
      </c>
      <c r="V9">
        <f>IF(ISNUMBER(S9),IF(ISNUMBER(S11),IF(S9&gt;S11,1.0,IF(S9=S11,0.5,0.0)),0.5),0.5)</f>
        <v/>
      </c>
      <c r="W9">
        <f>IF(ISNUMBER(T9),IF(ISNUMBER(T10),IF(T9&gt;T10,1.0,IF(T9=T10,0.5,0.0)),0.5),0.5)</f>
        <v/>
      </c>
      <c r="X9">
        <f>IF(ISNUMBER(T9),IF(ISNUMBER(T11),IF(T9&gt;T11,1.0,IF(T9=T11,0.5,0.0)),0.5),0.5)</f>
        <v/>
      </c>
      <c r="Y9" s="18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5">
        <f>'By Round'!A19</f>
        <v/>
      </c>
      <c r="C10" s="15">
        <f>'By Round'!B23</f>
        <v/>
      </c>
      <c r="D10" s="15">
        <f>'By Round'!C23</f>
        <v/>
      </c>
      <c r="E10" s="15">
        <f>'By Round'!D23</f>
        <v/>
      </c>
      <c r="F10" s="15">
        <f>IF(ISBLANK('By Round'!F25),"",'By Round'!F25)</f>
        <v/>
      </c>
      <c r="G10">
        <f>IF(ISBLANK('By Round'!G25),"",'By Round'!G25)</f>
        <v/>
      </c>
      <c r="H10">
        <f>IF(ISBLANK('By Round'!H25),"",'By Round'!H25)</f>
        <v/>
      </c>
      <c r="I10">
        <f>IF(ISBLANK('By Round'!I25),"",'By Round'!I25)</f>
        <v/>
      </c>
      <c r="J10">
        <f>IF(ISBLANK('By Round'!J25),"",'By Round'!J25)</f>
        <v/>
      </c>
      <c r="K10">
        <f>IF(ISBLANK('By Round'!K25),"",'By Round'!K25)</f>
        <v/>
      </c>
      <c r="L10">
        <f>IF(ISBLANK('By Round'!L25),"",'By Round'!L25)</f>
        <v/>
      </c>
      <c r="M10" s="16">
        <f>AVERAGE(Y10:Z10)</f>
        <v/>
      </c>
      <c r="N10" s="5">
        <f>AVERAGE(AA10:AB10)</f>
        <v/>
      </c>
      <c r="O10" s="4">
        <f>IF(COUNT(U10:V10)&gt;0,Q10/COUNT(U10:V10),0.5)</f>
        <v/>
      </c>
      <c r="P10" s="4">
        <f>IF(COUNT(W10:X10)&gt;0,R10/COUNT(W10:X10),0.5)</f>
        <v/>
      </c>
      <c r="Q10" s="17">
        <f>SUM(U10:V10)</f>
        <v/>
      </c>
      <c r="R10" s="17">
        <f>SUM(W10:X10)</f>
        <v/>
      </c>
      <c r="S10" s="18">
        <f>IF(ISNUMBER(K10),K10,IF(ISNUMBER(L10),-L10,""))</f>
        <v/>
      </c>
      <c r="T10">
        <f>IF(ISNUMBER(L10),L10,IF(ISNUMBER(K10),-K10,""))</f>
        <v/>
      </c>
      <c r="U10" s="18">
        <f>IF(ISNUMBER(S10),IF(ISNUMBER(S9),IF(S10&gt;S9,1.0,IF(S10=S9,0.5,0.0)),0.5),0.5)</f>
        <v/>
      </c>
      <c r="V10">
        <f>IF(ISNUMBER(S10),IF(ISNUMBER(S11),IF(S10&gt;S11,1.0,IF(S10=S11,0.5,0.0)),0.5),0.5)</f>
        <v/>
      </c>
      <c r="W10">
        <f>IF(ISNUMBER(T10),IF(ISNUMBER(T9),IF(T10&gt;T9,1.0,IF(T10=T9,0.5,0.0)),0.5),0.5)</f>
        <v/>
      </c>
      <c r="X10">
        <f>IF(ISNUMBER(T10),IF(ISNUMBER(T11),IF(T10&gt;T11,1.0,IF(T10=T11,0.5,0.0)),0.5),0.5)</f>
        <v/>
      </c>
      <c r="Y10" s="18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7" t="n"/>
      <c r="B11" s="19">
        <f>'By Round'!A35</f>
        <v/>
      </c>
      <c r="C11" s="19">
        <f>'By Round'!B43</f>
        <v/>
      </c>
      <c r="D11" s="19">
        <f>'By Round'!C43</f>
        <v/>
      </c>
      <c r="E11" s="19">
        <f>'By Round'!D43</f>
        <v/>
      </c>
      <c r="F11" s="19">
        <f>IF(ISBLANK('By Round'!F45),"",'By Round'!F45)</f>
        <v/>
      </c>
      <c r="G11" s="7">
        <f>IF(ISBLANK('By Round'!G45),"",'By Round'!G45)</f>
        <v/>
      </c>
      <c r="H11" s="7">
        <f>IF(ISBLANK('By Round'!H45),"",'By Round'!H45)</f>
        <v/>
      </c>
      <c r="I11" s="7">
        <f>IF(ISBLANK('By Round'!I45),"",'By Round'!I45)</f>
        <v/>
      </c>
      <c r="J11" s="7">
        <f>IF(ISBLANK('By Round'!J45),"",'By Round'!J45)</f>
        <v/>
      </c>
      <c r="K11" s="7">
        <f>IF(ISBLANK('By Round'!K45),"",'By Round'!K45)</f>
        <v/>
      </c>
      <c r="L11" s="7">
        <f>IF(ISBLANK('By Round'!L45),"",'By Round'!L45)</f>
        <v/>
      </c>
      <c r="M11" s="20">
        <f>AVERAGE(Y11:Z11)</f>
        <v/>
      </c>
      <c r="N11" s="9">
        <f>AVERAGE(AA11:AB11)</f>
        <v/>
      </c>
      <c r="O11" s="8">
        <f>IF(COUNT(U11:V11)&gt;0,Q11/COUNT(U11:V11),0.5)</f>
        <v/>
      </c>
      <c r="P11" s="8">
        <f>IF(COUNT(W11:X11)&gt;0,R11/COUNT(W11:X11),0.5)</f>
        <v/>
      </c>
      <c r="Q11" s="21">
        <f>SUM(U11:V11)</f>
        <v/>
      </c>
      <c r="R11" s="21">
        <f>SUM(W11:X11)</f>
        <v/>
      </c>
      <c r="S11" s="22">
        <f>IF(ISNUMBER(K11),K11,IF(ISNUMBER(L11),-L11,""))</f>
        <v/>
      </c>
      <c r="T11" s="7">
        <f>IF(ISNUMBER(L11),L11,IF(ISNUMBER(K11),-K11,""))</f>
        <v/>
      </c>
      <c r="U11" s="22">
        <f>IF(ISNUMBER(S11),IF(ISNUMBER(S9),IF(S11&gt;S9,1.0,IF(S11=S9,0.5,0.0)),0.5),0.5)</f>
        <v/>
      </c>
      <c r="V11" s="7">
        <f>IF(ISNUMBER(S11),IF(ISNUMBER(S10),IF(S11&gt;S10,1.0,IF(S11=S10,0.5,0.0)),0.5),0.5)</f>
        <v/>
      </c>
      <c r="W11" s="7">
        <f>IF(ISNUMBER(T11),IF(ISNUMBER(T9),IF(T11&gt;T9,1.0,IF(T11=T9,0.5,0.0)),0.5),0.5)</f>
        <v/>
      </c>
      <c r="X11" s="7">
        <f>IF(ISNUMBER(T11),IF(ISNUMBER(T10),IF(T11&gt;T10,1.0,IF(T11=T10,0.5,0.0)),0.5),0.5)</f>
        <v/>
      </c>
      <c r="Y11" s="22">
        <f>IF(AND(ISNUMBER(S11),ISNUMBER(S9)),VLOOKUP(ABS(S11-S9),'IMP Table'!$A$2:$C$26,3)*SIGN(S11-S9),0)</f>
        <v/>
      </c>
      <c r="Z11" s="7">
        <f>IF(AND(ISNUMBER(S11),ISNUMBER(S10)),VLOOKUP(ABS(S11-S10),'IMP Table'!$A$2:$C$26,3)*SIGN(S11-S10),0)</f>
        <v/>
      </c>
      <c r="AA11" s="7">
        <f>IF(AND(ISNUMBER(T11),ISNUMBER(T9)),VLOOKUP(ABS(T11-T9),'IMP Table'!$A$2:$C$26,3)*SIGN(T11-T9),0)</f>
        <v/>
      </c>
      <c r="AB11" s="7">
        <f>IF(AND(ISNUMBER(T11),ISNUMBER(T10)),VLOOKUP(ABS(T11-T10),'IMP Table'!$A$2:$C$26,3)*SIGN(T11-T10),0)</f>
        <v/>
      </c>
      <c r="AC11" s="7" t="n"/>
      <c r="AD11" s="7" t="n"/>
      <c r="AE11" s="7" t="n"/>
      <c r="AF11" s="7" t="n"/>
    </row>
    <row r="12">
      <c r="A12" s="15" t="n">
        <v>4</v>
      </c>
      <c r="B12" s="15">
        <f>'By Round'!A3</f>
        <v/>
      </c>
      <c r="C12" s="15">
        <f>'By Round'!B3</f>
        <v/>
      </c>
      <c r="D12" s="15">
        <f>'By Round'!C3</f>
        <v/>
      </c>
      <c r="E12" s="15">
        <f>'By Round'!D3</f>
        <v/>
      </c>
      <c r="F12" s="15">
        <f>IF(ISBLANK('By Round'!F6),"",'By Round'!F6)</f>
        <v/>
      </c>
      <c r="G12">
        <f>IF(ISBLANK('By Round'!G6),"",'By Round'!G6)</f>
        <v/>
      </c>
      <c r="H12">
        <f>IF(ISBLANK('By Round'!H6),"",'By Round'!H6)</f>
        <v/>
      </c>
      <c r="I12">
        <f>IF(ISBLANK('By Round'!I6),"",'By Round'!I6)</f>
        <v/>
      </c>
      <c r="J12">
        <f>IF(ISBLANK('By Round'!J6),"",'By Round'!J6)</f>
        <v/>
      </c>
      <c r="K12">
        <f>IF(ISBLANK('By Round'!K6),"",'By Round'!K6)</f>
        <v/>
      </c>
      <c r="L12">
        <f>IF(ISBLANK('By Round'!L6),"",'By Round'!L6)</f>
        <v/>
      </c>
      <c r="M12" s="16">
        <f>AVERAGE(Y12:Z12)</f>
        <v/>
      </c>
      <c r="N12" s="5">
        <f>AVERAGE(AA12:AB12)</f>
        <v/>
      </c>
      <c r="O12" s="4">
        <f>IF(COUNT(U12:V12)&gt;0,Q12/COUNT(U12:V12),0.5)</f>
        <v/>
      </c>
      <c r="P12" s="4">
        <f>IF(COUNT(W12:X12)&gt;0,R12/COUNT(W12:X12),0.5)</f>
        <v/>
      </c>
      <c r="Q12" s="17">
        <f>SUM(U12:V12)</f>
        <v/>
      </c>
      <c r="R12" s="17">
        <f>SUM(W12:X12)</f>
        <v/>
      </c>
      <c r="S12" s="18">
        <f>IF(ISNUMBER(K12),K12,IF(ISNUMBER(L12),-L12,""))</f>
        <v/>
      </c>
      <c r="T12">
        <f>IF(ISNUMBER(L12),L12,IF(ISNUMBER(K12),-K12,""))</f>
        <v/>
      </c>
      <c r="U12" s="18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8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5">
        <f>'By Round'!A19</f>
        <v/>
      </c>
      <c r="C13" s="15">
        <f>'By Round'!B23</f>
        <v/>
      </c>
      <c r="D13" s="15">
        <f>'By Round'!C23</f>
        <v/>
      </c>
      <c r="E13" s="15">
        <f>'By Round'!D23</f>
        <v/>
      </c>
      <c r="F13" s="15">
        <f>IF(ISBLANK('By Round'!F26),"",'By Round'!F26)</f>
        <v/>
      </c>
      <c r="G13">
        <f>IF(ISBLANK('By Round'!G26),"",'By Round'!G26)</f>
        <v/>
      </c>
      <c r="H13">
        <f>IF(ISBLANK('By Round'!H26),"",'By Round'!H26)</f>
        <v/>
      </c>
      <c r="I13">
        <f>IF(ISBLANK('By Round'!I26),"",'By Round'!I26)</f>
        <v/>
      </c>
      <c r="J13">
        <f>IF(ISBLANK('By Round'!J26),"",'By Round'!J26)</f>
        <v/>
      </c>
      <c r="K13">
        <f>IF(ISBLANK('By Round'!K26),"",'By Round'!K26)</f>
        <v/>
      </c>
      <c r="L13">
        <f>IF(ISBLANK('By Round'!L26),"",'By Round'!L26)</f>
        <v/>
      </c>
      <c r="M13" s="16">
        <f>AVERAGE(Y13:Z13)</f>
        <v/>
      </c>
      <c r="N13" s="5">
        <f>AVERAGE(AA13:AB13)</f>
        <v/>
      </c>
      <c r="O13" s="4">
        <f>IF(COUNT(U13:V13)&gt;0,Q13/COUNT(U13:V13),0.5)</f>
        <v/>
      </c>
      <c r="P13" s="4">
        <f>IF(COUNT(W13:X13)&gt;0,R13/COUNT(W13:X13),0.5)</f>
        <v/>
      </c>
      <c r="Q13" s="17">
        <f>SUM(U13:V13)</f>
        <v/>
      </c>
      <c r="R13" s="17">
        <f>SUM(W13:X13)</f>
        <v/>
      </c>
      <c r="S13" s="18">
        <f>IF(ISNUMBER(K13),K13,IF(ISNUMBER(L13),-L13,""))</f>
        <v/>
      </c>
      <c r="T13">
        <f>IF(ISNUMBER(L13),L13,IF(ISNUMBER(K13),-K13,""))</f>
        <v/>
      </c>
      <c r="U13" s="18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8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7" t="n"/>
      <c r="B14" s="19">
        <f>'By Round'!A35</f>
        <v/>
      </c>
      <c r="C14" s="19">
        <f>'By Round'!B43</f>
        <v/>
      </c>
      <c r="D14" s="19">
        <f>'By Round'!C43</f>
        <v/>
      </c>
      <c r="E14" s="19">
        <f>'By Round'!D43</f>
        <v/>
      </c>
      <c r="F14" s="19">
        <f>IF(ISBLANK('By Round'!F46),"",'By Round'!F46)</f>
        <v/>
      </c>
      <c r="G14" s="7">
        <f>IF(ISBLANK('By Round'!G46),"",'By Round'!G46)</f>
        <v/>
      </c>
      <c r="H14" s="7">
        <f>IF(ISBLANK('By Round'!H46),"",'By Round'!H46)</f>
        <v/>
      </c>
      <c r="I14" s="7">
        <f>IF(ISBLANK('By Round'!I46),"",'By Round'!I46)</f>
        <v/>
      </c>
      <c r="J14" s="7">
        <f>IF(ISBLANK('By Round'!J46),"",'By Round'!J46)</f>
        <v/>
      </c>
      <c r="K14" s="7">
        <f>IF(ISBLANK('By Round'!K46),"",'By Round'!K46)</f>
        <v/>
      </c>
      <c r="L14" s="7">
        <f>IF(ISBLANK('By Round'!L46),"",'By Round'!L46)</f>
        <v/>
      </c>
      <c r="M14" s="20">
        <f>AVERAGE(Y14:Z14)</f>
        <v/>
      </c>
      <c r="N14" s="9">
        <f>AVERAGE(AA14:AB14)</f>
        <v/>
      </c>
      <c r="O14" s="8">
        <f>IF(COUNT(U14:V14)&gt;0,Q14/COUNT(U14:V14),0.5)</f>
        <v/>
      </c>
      <c r="P14" s="8">
        <f>IF(COUNT(W14:X14)&gt;0,R14/COUNT(W14:X14),0.5)</f>
        <v/>
      </c>
      <c r="Q14" s="21">
        <f>SUM(U14:V14)</f>
        <v/>
      </c>
      <c r="R14" s="21">
        <f>SUM(W14:X14)</f>
        <v/>
      </c>
      <c r="S14" s="22">
        <f>IF(ISNUMBER(K14),K14,IF(ISNUMBER(L14),-L14,""))</f>
        <v/>
      </c>
      <c r="T14" s="7">
        <f>IF(ISNUMBER(L14),L14,IF(ISNUMBER(K14),-K14,""))</f>
        <v/>
      </c>
      <c r="U14" s="22">
        <f>IF(ISNUMBER(S14),IF(ISNUMBER(S12),IF(S14&gt;S12,1.0,IF(S14=S12,0.5,0.0)),0.5),0.5)</f>
        <v/>
      </c>
      <c r="V14" s="7">
        <f>IF(ISNUMBER(S14),IF(ISNUMBER(S13),IF(S14&gt;S13,1.0,IF(S14=S13,0.5,0.0)),0.5),0.5)</f>
        <v/>
      </c>
      <c r="W14" s="7">
        <f>IF(ISNUMBER(T14),IF(ISNUMBER(T12),IF(T14&gt;T12,1.0,IF(T14=T12,0.5,0.0)),0.5),0.5)</f>
        <v/>
      </c>
      <c r="X14" s="7">
        <f>IF(ISNUMBER(T14),IF(ISNUMBER(T13),IF(T14&gt;T13,1.0,IF(T14=T13,0.5,0.0)),0.5),0.5)</f>
        <v/>
      </c>
      <c r="Y14" s="22">
        <f>IF(AND(ISNUMBER(S14),ISNUMBER(S12)),VLOOKUP(ABS(S14-S12),'IMP Table'!$A$2:$C$26,3)*SIGN(S14-S12),0)</f>
        <v/>
      </c>
      <c r="Z14" s="7">
        <f>IF(AND(ISNUMBER(S14),ISNUMBER(S13)),VLOOKUP(ABS(S14-S13),'IMP Table'!$A$2:$C$26,3)*SIGN(S14-S13),0)</f>
        <v/>
      </c>
      <c r="AA14" s="7">
        <f>IF(AND(ISNUMBER(T14),ISNUMBER(T12)),VLOOKUP(ABS(T14-T12),'IMP Table'!$A$2:$C$26,3)*SIGN(T14-T12),0)</f>
        <v/>
      </c>
      <c r="AB14" s="7">
        <f>IF(AND(ISNUMBER(T14),ISNUMBER(T13)),VLOOKUP(ABS(T14-T13),'IMP Table'!$A$2:$C$26,3)*SIGN(T14-T13),0)</f>
        <v/>
      </c>
      <c r="AC14" s="7" t="n"/>
      <c r="AD14" s="7" t="n"/>
      <c r="AE14" s="7" t="n"/>
      <c r="AF14" s="7" t="n"/>
    </row>
    <row r="15">
      <c r="A15" s="15" t="n">
        <v>5</v>
      </c>
      <c r="B15" s="15">
        <f>'By Round'!A3</f>
        <v/>
      </c>
      <c r="C15" s="15">
        <f>'By Round'!B7</f>
        <v/>
      </c>
      <c r="D15" s="15">
        <f>'By Round'!C7</f>
        <v/>
      </c>
      <c r="E15" s="15">
        <f>'By Round'!D7</f>
        <v/>
      </c>
      <c r="F15" s="15">
        <f>IF(ISBLANK('By Round'!F7),"",'By Round'!F7)</f>
        <v/>
      </c>
      <c r="G15">
        <f>IF(ISBLANK('By Round'!G7),"",'By Round'!G7)</f>
        <v/>
      </c>
      <c r="H15">
        <f>IF(ISBLANK('By Round'!H7),"",'By Round'!H7)</f>
        <v/>
      </c>
      <c r="I15">
        <f>IF(ISBLANK('By Round'!I7),"",'By Round'!I7)</f>
        <v/>
      </c>
      <c r="J15">
        <f>IF(ISBLANK('By Round'!J7),"",'By Round'!J7)</f>
        <v/>
      </c>
      <c r="K15">
        <f>IF(ISBLANK('By Round'!K7),"",'By Round'!K7)</f>
        <v/>
      </c>
      <c r="L15">
        <f>IF(ISBLANK('By Round'!L7),"",'By Round'!L7)</f>
        <v/>
      </c>
      <c r="M15" s="16">
        <f>AVERAGE(Y15:Z15)</f>
        <v/>
      </c>
      <c r="N15" s="5">
        <f>AVERAGE(AA15:AB15)</f>
        <v/>
      </c>
      <c r="O15" s="4">
        <f>IF(COUNT(U15:V15)&gt;0,Q15/COUNT(U15:V15),0.5)</f>
        <v/>
      </c>
      <c r="P15" s="4">
        <f>IF(COUNT(W15:X15)&gt;0,R15/COUNT(W15:X15),0.5)</f>
        <v/>
      </c>
      <c r="Q15" s="17">
        <f>SUM(U15:V15)</f>
        <v/>
      </c>
      <c r="R15" s="17">
        <f>SUM(W15:X15)</f>
        <v/>
      </c>
      <c r="S15" s="18">
        <f>IF(ISNUMBER(K15),K15,IF(ISNUMBER(L15),-L15,""))</f>
        <v/>
      </c>
      <c r="T15">
        <f>IF(ISNUMBER(L15),L15,IF(ISNUMBER(K15),-K15,""))</f>
        <v/>
      </c>
      <c r="U15" s="18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IF(ISNUMBER(T15),IF(ISNUMBER(T16),IF(T15&gt;T16,1.0,IF(T15=T16,0.5,0.0)),0.5),0.5)</f>
        <v/>
      </c>
      <c r="X15">
        <f>IF(ISNUMBER(T15),IF(ISNUMBER(T17),IF(T15&gt;T17,1.0,IF(T15=T17,0.5,0.0)),0.5),0.5)</f>
        <v/>
      </c>
      <c r="Y15" s="18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5">
        <f>'By Round'!A19</f>
        <v/>
      </c>
      <c r="C16" s="15">
        <f>'By Round'!B27</f>
        <v/>
      </c>
      <c r="D16" s="15">
        <f>'By Round'!C27</f>
        <v/>
      </c>
      <c r="E16" s="15">
        <f>'By Round'!D27</f>
        <v/>
      </c>
      <c r="F16" s="15">
        <f>IF(ISBLANK('By Round'!F27),"",'By Round'!F27)</f>
        <v/>
      </c>
      <c r="G16">
        <f>IF(ISBLANK('By Round'!G27),"",'By Round'!G27)</f>
        <v/>
      </c>
      <c r="H16">
        <f>IF(ISBLANK('By Round'!H27),"",'By Round'!H27)</f>
        <v/>
      </c>
      <c r="I16">
        <f>IF(ISBLANK('By Round'!I27),"",'By Round'!I27)</f>
        <v/>
      </c>
      <c r="J16">
        <f>IF(ISBLANK('By Round'!J27),"",'By Round'!J27)</f>
        <v/>
      </c>
      <c r="K16">
        <f>IF(ISBLANK('By Round'!K27),"",'By Round'!K27)</f>
        <v/>
      </c>
      <c r="L16">
        <f>IF(ISBLANK('By Round'!L27),"",'By Round'!L27)</f>
        <v/>
      </c>
      <c r="M16" s="16">
        <f>AVERAGE(Y16:Z16)</f>
        <v/>
      </c>
      <c r="N16" s="5">
        <f>AVERAGE(AA16:AB16)</f>
        <v/>
      </c>
      <c r="O16" s="4">
        <f>IF(COUNT(U16:V16)&gt;0,Q16/COUNT(U16:V16),0.5)</f>
        <v/>
      </c>
      <c r="P16" s="4">
        <f>IF(COUNT(W16:X16)&gt;0,R16/COUNT(W16:X16),0.5)</f>
        <v/>
      </c>
      <c r="Q16" s="17">
        <f>SUM(U16:V16)</f>
        <v/>
      </c>
      <c r="R16" s="17">
        <f>SUM(W16:X16)</f>
        <v/>
      </c>
      <c r="S16" s="18">
        <f>IF(ISNUMBER(K16),K16,IF(ISNUMBER(L16),-L16,""))</f>
        <v/>
      </c>
      <c r="T16">
        <f>IF(ISNUMBER(L16),L16,IF(ISNUMBER(K16),-K16,""))</f>
        <v/>
      </c>
      <c r="U16" s="18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IF(ISNUMBER(T16),IF(ISNUMBER(T17),IF(T16&gt;T17,1.0,IF(T16=T17,0.5,0.0)),0.5),0.5)</f>
        <v/>
      </c>
      <c r="Y16" s="18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7" t="n"/>
      <c r="B17" s="19">
        <f>'By Round'!A35</f>
        <v/>
      </c>
      <c r="C17" s="19">
        <f>'By Round'!B47</f>
        <v/>
      </c>
      <c r="D17" s="19">
        <f>'By Round'!C47</f>
        <v/>
      </c>
      <c r="E17" s="19">
        <f>'By Round'!D47</f>
        <v/>
      </c>
      <c r="F17" s="19">
        <f>IF(ISBLANK('By Round'!F47),"",'By Round'!F47)</f>
        <v/>
      </c>
      <c r="G17" s="7">
        <f>IF(ISBLANK('By Round'!G47),"",'By Round'!G47)</f>
        <v/>
      </c>
      <c r="H17" s="7">
        <f>IF(ISBLANK('By Round'!H47),"",'By Round'!H47)</f>
        <v/>
      </c>
      <c r="I17" s="7">
        <f>IF(ISBLANK('By Round'!I47),"",'By Round'!I47)</f>
        <v/>
      </c>
      <c r="J17" s="7">
        <f>IF(ISBLANK('By Round'!J47),"",'By Round'!J47)</f>
        <v/>
      </c>
      <c r="K17" s="7">
        <f>IF(ISBLANK('By Round'!K47),"",'By Round'!K47)</f>
        <v/>
      </c>
      <c r="L17" s="7">
        <f>IF(ISBLANK('By Round'!L47),"",'By Round'!L47)</f>
        <v/>
      </c>
      <c r="M17" s="20">
        <f>AVERAGE(Y17:Z17)</f>
        <v/>
      </c>
      <c r="N17" s="9">
        <f>AVERAGE(AA17:AB17)</f>
        <v/>
      </c>
      <c r="O17" s="8">
        <f>IF(COUNT(U17:V17)&gt;0,Q17/COUNT(U17:V17),0.5)</f>
        <v/>
      </c>
      <c r="P17" s="8">
        <f>IF(COUNT(W17:X17)&gt;0,R17/COUNT(W17:X17),0.5)</f>
        <v/>
      </c>
      <c r="Q17" s="21">
        <f>SUM(U17:V17)</f>
        <v/>
      </c>
      <c r="R17" s="21">
        <f>SUM(W17:X17)</f>
        <v/>
      </c>
      <c r="S17" s="22">
        <f>IF(ISNUMBER(K17),K17,IF(ISNUMBER(L17),-L17,""))</f>
        <v/>
      </c>
      <c r="T17" s="7">
        <f>IF(ISNUMBER(L17),L17,IF(ISNUMBER(K17),-K17,""))</f>
        <v/>
      </c>
      <c r="U17" s="22">
        <f>IF(ISNUMBER(S17),IF(ISNUMBER(S15),IF(S17&gt;S15,1.0,IF(S17=S15,0.5,0.0)),0.5),0.5)</f>
        <v/>
      </c>
      <c r="V17" s="7">
        <f>IF(ISNUMBER(S17),IF(ISNUMBER(S16),IF(S17&gt;S16,1.0,IF(S17=S16,0.5,0.0)),0.5),0.5)</f>
        <v/>
      </c>
      <c r="W17" s="7">
        <f>IF(ISNUMBER(T17),IF(ISNUMBER(T15),IF(T17&gt;T15,1.0,IF(T17=T15,0.5,0.0)),0.5),0.5)</f>
        <v/>
      </c>
      <c r="X17" s="7">
        <f>IF(ISNUMBER(T17),IF(ISNUMBER(T16),IF(T17&gt;T16,1.0,IF(T17=T16,0.5,0.0)),0.5),0.5)</f>
        <v/>
      </c>
      <c r="Y17" s="22">
        <f>IF(AND(ISNUMBER(S17),ISNUMBER(S15)),VLOOKUP(ABS(S17-S15),'IMP Table'!$A$2:$C$26,3)*SIGN(S17-S15),0)</f>
        <v/>
      </c>
      <c r="Z17" s="7">
        <f>IF(AND(ISNUMBER(S17),ISNUMBER(S16)),VLOOKUP(ABS(S17-S16),'IMP Table'!$A$2:$C$26,3)*SIGN(S17-S16),0)</f>
        <v/>
      </c>
      <c r="AA17" s="7">
        <f>IF(AND(ISNUMBER(T17),ISNUMBER(T15)),VLOOKUP(ABS(T17-T15),'IMP Table'!$A$2:$C$26,3)*SIGN(T17-T15),0)</f>
        <v/>
      </c>
      <c r="AB17" s="7">
        <f>IF(AND(ISNUMBER(T17),ISNUMBER(T16)),VLOOKUP(ABS(T17-T16),'IMP Table'!$A$2:$C$26,3)*SIGN(T17-T16),0)</f>
        <v/>
      </c>
      <c r="AC17" s="7" t="n"/>
      <c r="AD17" s="7" t="n"/>
      <c r="AE17" s="7" t="n"/>
      <c r="AF17" s="7" t="n"/>
    </row>
    <row r="18">
      <c r="A18" s="15" t="n">
        <v>6</v>
      </c>
      <c r="B18" s="15">
        <f>'By Round'!A3</f>
        <v/>
      </c>
      <c r="C18" s="15">
        <f>'By Round'!B7</f>
        <v/>
      </c>
      <c r="D18" s="15">
        <f>'By Round'!C7</f>
        <v/>
      </c>
      <c r="E18" s="15">
        <f>'By Round'!D7</f>
        <v/>
      </c>
      <c r="F18" s="15">
        <f>IF(ISBLANK('By Round'!F8),"",'By Round'!F8)</f>
        <v/>
      </c>
      <c r="G18">
        <f>IF(ISBLANK('By Round'!G8),"",'By Round'!G8)</f>
        <v/>
      </c>
      <c r="H18">
        <f>IF(ISBLANK('By Round'!H8),"",'By Round'!H8)</f>
        <v/>
      </c>
      <c r="I18">
        <f>IF(ISBLANK('By Round'!I8),"",'By Round'!I8)</f>
        <v/>
      </c>
      <c r="J18">
        <f>IF(ISBLANK('By Round'!J8),"",'By Round'!J8)</f>
        <v/>
      </c>
      <c r="K18">
        <f>IF(ISBLANK('By Round'!K8),"",'By Round'!K8)</f>
        <v/>
      </c>
      <c r="L18">
        <f>IF(ISBLANK('By Round'!L8),"",'By Round'!L8)</f>
        <v/>
      </c>
      <c r="M18" s="16">
        <f>AVERAGE(Y18:Z18)</f>
        <v/>
      </c>
      <c r="N18" s="5">
        <f>AVERAGE(AA18:AB18)</f>
        <v/>
      </c>
      <c r="O18" s="4">
        <f>IF(COUNT(U18:V18)&gt;0,Q18/COUNT(U18:V18),0.5)</f>
        <v/>
      </c>
      <c r="P18" s="4">
        <f>IF(COUNT(W18:X18)&gt;0,R18/COUNT(W18:X18),0.5)</f>
        <v/>
      </c>
      <c r="Q18" s="17">
        <f>SUM(U18:V18)</f>
        <v/>
      </c>
      <c r="R18" s="17">
        <f>SUM(W18:X18)</f>
        <v/>
      </c>
      <c r="S18" s="18">
        <f>IF(ISNUMBER(K18),K18,IF(ISNUMBER(L18),-L18,""))</f>
        <v/>
      </c>
      <c r="T18">
        <f>IF(ISNUMBER(L18),L18,IF(ISNUMBER(K18),-K18,""))</f>
        <v/>
      </c>
      <c r="U18" s="18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IF(ISNUMBER(T18),IF(ISNUMBER(T19),IF(T18&gt;T19,1.0,IF(T18=T19,0.5,0.0)),0.5),0.5)</f>
        <v/>
      </c>
      <c r="X18">
        <f>IF(ISNUMBER(T18),IF(ISNUMBER(T20),IF(T18&gt;T20,1.0,IF(T18=T20,0.5,0.0)),0.5),0.5)</f>
        <v/>
      </c>
      <c r="Y18" s="18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5">
        <f>'By Round'!A19</f>
        <v/>
      </c>
      <c r="C19" s="15">
        <f>'By Round'!B27</f>
        <v/>
      </c>
      <c r="D19" s="15">
        <f>'By Round'!C27</f>
        <v/>
      </c>
      <c r="E19" s="15">
        <f>'By Round'!D27</f>
        <v/>
      </c>
      <c r="F19" s="15">
        <f>IF(ISBLANK('By Round'!F28),"",'By Round'!F28)</f>
        <v/>
      </c>
      <c r="G19">
        <f>IF(ISBLANK('By Round'!G28),"",'By Round'!G28)</f>
        <v/>
      </c>
      <c r="H19">
        <f>IF(ISBLANK('By Round'!H28),"",'By Round'!H28)</f>
        <v/>
      </c>
      <c r="I19">
        <f>IF(ISBLANK('By Round'!I28),"",'By Round'!I28)</f>
        <v/>
      </c>
      <c r="J19">
        <f>IF(ISBLANK('By Round'!J28),"",'By Round'!J28)</f>
        <v/>
      </c>
      <c r="K19">
        <f>IF(ISBLANK('By Round'!K28),"",'By Round'!K28)</f>
        <v/>
      </c>
      <c r="L19">
        <f>IF(ISBLANK('By Round'!L28),"",'By Round'!L28)</f>
        <v/>
      </c>
      <c r="M19" s="16">
        <f>AVERAGE(Y19:Z19)</f>
        <v/>
      </c>
      <c r="N19" s="5">
        <f>AVERAGE(AA19:AB19)</f>
        <v/>
      </c>
      <c r="O19" s="4">
        <f>IF(COUNT(U19:V19)&gt;0,Q19/COUNT(U19:V19),0.5)</f>
        <v/>
      </c>
      <c r="P19" s="4">
        <f>IF(COUNT(W19:X19)&gt;0,R19/COUNT(W19:X19),0.5)</f>
        <v/>
      </c>
      <c r="Q19" s="17">
        <f>SUM(U19:V19)</f>
        <v/>
      </c>
      <c r="R19" s="17">
        <f>SUM(W19:X19)</f>
        <v/>
      </c>
      <c r="S19" s="18">
        <f>IF(ISNUMBER(K19),K19,IF(ISNUMBER(L19),-L19,""))</f>
        <v/>
      </c>
      <c r="T19">
        <f>IF(ISNUMBER(L19),L19,IF(ISNUMBER(K19),-K19,""))</f>
        <v/>
      </c>
      <c r="U19" s="18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IF(ISNUMBER(T19),IF(ISNUMBER(T18),IF(T19&gt;T18,1.0,IF(T19=T18,0.5,0.0)),0.5),0.5)</f>
        <v/>
      </c>
      <c r="X19">
        <f>IF(ISNUMBER(T19),IF(ISNUMBER(T20),IF(T19&gt;T20,1.0,IF(T19=T20,0.5,0.0)),0.5),0.5)</f>
        <v/>
      </c>
      <c r="Y19" s="18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7" t="n"/>
      <c r="B20" s="19">
        <f>'By Round'!A35</f>
        <v/>
      </c>
      <c r="C20" s="19">
        <f>'By Round'!B47</f>
        <v/>
      </c>
      <c r="D20" s="19">
        <f>'By Round'!C47</f>
        <v/>
      </c>
      <c r="E20" s="19">
        <f>'By Round'!D47</f>
        <v/>
      </c>
      <c r="F20" s="19">
        <f>IF(ISBLANK('By Round'!F48),"",'By Round'!F48)</f>
        <v/>
      </c>
      <c r="G20" s="7">
        <f>IF(ISBLANK('By Round'!G48),"",'By Round'!G48)</f>
        <v/>
      </c>
      <c r="H20" s="7">
        <f>IF(ISBLANK('By Round'!H48),"",'By Round'!H48)</f>
        <v/>
      </c>
      <c r="I20" s="7">
        <f>IF(ISBLANK('By Round'!I48),"",'By Round'!I48)</f>
        <v/>
      </c>
      <c r="J20" s="7">
        <f>IF(ISBLANK('By Round'!J48),"",'By Round'!J48)</f>
        <v/>
      </c>
      <c r="K20" s="7">
        <f>IF(ISBLANK('By Round'!K48),"",'By Round'!K48)</f>
        <v/>
      </c>
      <c r="L20" s="7">
        <f>IF(ISBLANK('By Round'!L48),"",'By Round'!L48)</f>
        <v/>
      </c>
      <c r="M20" s="20">
        <f>AVERAGE(Y20:Z20)</f>
        <v/>
      </c>
      <c r="N20" s="9">
        <f>AVERAGE(AA20:AB20)</f>
        <v/>
      </c>
      <c r="O20" s="8">
        <f>IF(COUNT(U20:V20)&gt;0,Q20/COUNT(U20:V20),0.5)</f>
        <v/>
      </c>
      <c r="P20" s="8">
        <f>IF(COUNT(W20:X20)&gt;0,R20/COUNT(W20:X20),0.5)</f>
        <v/>
      </c>
      <c r="Q20" s="21">
        <f>SUM(U20:V20)</f>
        <v/>
      </c>
      <c r="R20" s="21">
        <f>SUM(W20:X20)</f>
        <v/>
      </c>
      <c r="S20" s="22">
        <f>IF(ISNUMBER(K20),K20,IF(ISNUMBER(L20),-L20,""))</f>
        <v/>
      </c>
      <c r="T20" s="7">
        <f>IF(ISNUMBER(L20),L20,IF(ISNUMBER(K20),-K20,""))</f>
        <v/>
      </c>
      <c r="U20" s="22">
        <f>IF(ISNUMBER(S20),IF(ISNUMBER(S18),IF(S20&gt;S18,1.0,IF(S20=S18,0.5,0.0)),0.5),0.5)</f>
        <v/>
      </c>
      <c r="V20" s="7">
        <f>IF(ISNUMBER(S20),IF(ISNUMBER(S19),IF(S20&gt;S19,1.0,IF(S20=S19,0.5,0.0)),0.5),0.5)</f>
        <v/>
      </c>
      <c r="W20" s="7">
        <f>IF(ISNUMBER(T20),IF(ISNUMBER(T18),IF(T20&gt;T18,1.0,IF(T20=T18,0.5,0.0)),0.5),0.5)</f>
        <v/>
      </c>
      <c r="X20" s="7">
        <f>IF(ISNUMBER(T20),IF(ISNUMBER(T19),IF(T20&gt;T19,1.0,IF(T20=T19,0.5,0.0)),0.5),0.5)</f>
        <v/>
      </c>
      <c r="Y20" s="22">
        <f>IF(AND(ISNUMBER(S20),ISNUMBER(S18)),VLOOKUP(ABS(S20-S18),'IMP Table'!$A$2:$C$26,3)*SIGN(S20-S18),0)</f>
        <v/>
      </c>
      <c r="Z20" s="7">
        <f>IF(AND(ISNUMBER(S20),ISNUMBER(S19)),VLOOKUP(ABS(S20-S19),'IMP Table'!$A$2:$C$26,3)*SIGN(S20-S19),0)</f>
        <v/>
      </c>
      <c r="AA20" s="7">
        <f>IF(AND(ISNUMBER(T20),ISNUMBER(T18)),VLOOKUP(ABS(T20-T18),'IMP Table'!$A$2:$C$26,3)*SIGN(T20-T18),0)</f>
        <v/>
      </c>
      <c r="AB20" s="7">
        <f>IF(AND(ISNUMBER(T20),ISNUMBER(T19)),VLOOKUP(ABS(T20-T19),'IMP Table'!$A$2:$C$26,3)*SIGN(T20-T19),0)</f>
        <v/>
      </c>
      <c r="AC20" s="7" t="n"/>
      <c r="AD20" s="7" t="n"/>
      <c r="AE20" s="7" t="n"/>
      <c r="AF20" s="7" t="n"/>
    </row>
    <row r="21">
      <c r="A21" s="15" t="n">
        <v>7</v>
      </c>
      <c r="B21" s="15">
        <f>'By Round'!A3</f>
        <v/>
      </c>
      <c r="C21" s="15">
        <f>'By Round'!B7</f>
        <v/>
      </c>
      <c r="D21" s="15">
        <f>'By Round'!C7</f>
        <v/>
      </c>
      <c r="E21" s="15">
        <f>'By Round'!D7</f>
        <v/>
      </c>
      <c r="F21" s="15">
        <f>IF(ISBLANK('By Round'!F9),"",'By Round'!F9)</f>
        <v/>
      </c>
      <c r="G21">
        <f>IF(ISBLANK('By Round'!G9),"",'By Round'!G9)</f>
        <v/>
      </c>
      <c r="H21">
        <f>IF(ISBLANK('By Round'!H9),"",'By Round'!H9)</f>
        <v/>
      </c>
      <c r="I21">
        <f>IF(ISBLANK('By Round'!I9),"",'By Round'!I9)</f>
        <v/>
      </c>
      <c r="J21">
        <f>IF(ISBLANK('By Round'!J9),"",'By Round'!J9)</f>
        <v/>
      </c>
      <c r="K21">
        <f>IF(ISBLANK('By Round'!K9),"",'By Round'!K9)</f>
        <v/>
      </c>
      <c r="L21">
        <f>IF(ISBLANK('By Round'!L9),"",'By Round'!L9)</f>
        <v/>
      </c>
      <c r="M21" s="16">
        <f>AVERAGE(Y21:Z21)</f>
        <v/>
      </c>
      <c r="N21" s="5">
        <f>AVERAGE(AA21:AB21)</f>
        <v/>
      </c>
      <c r="O21" s="4">
        <f>IF(COUNT(U21:V21)&gt;0,Q21/COUNT(U21:V21),0.5)</f>
        <v/>
      </c>
      <c r="P21" s="4">
        <f>IF(COUNT(W21:X21)&gt;0,R21/COUNT(W21:X21),0.5)</f>
        <v/>
      </c>
      <c r="Q21" s="17">
        <f>SUM(U21:V21)</f>
        <v/>
      </c>
      <c r="R21" s="17">
        <f>SUM(W21:X21)</f>
        <v/>
      </c>
      <c r="S21" s="18">
        <f>IF(ISNUMBER(K21),K21,IF(ISNUMBER(L21),-L21,""))</f>
        <v/>
      </c>
      <c r="T21">
        <f>IF(ISNUMBER(L21),L21,IF(ISNUMBER(K21),-K21,""))</f>
        <v/>
      </c>
      <c r="U21" s="18">
        <f>IF(ISNUMBER(S21),IF(ISNUMBER(S22),IF(S21&gt;S22,1.0,IF(S21=S22,0.5,0.0)),0.5),0.5)</f>
        <v/>
      </c>
      <c r="V21">
        <f>IF(ISNUMBER(S21),IF(ISNUMBER(S23),IF(S21&gt;S23,1.0,IF(S21=S23,0.5,0.0)),0.5),0.5)</f>
        <v/>
      </c>
      <c r="W21">
        <f>IF(ISNUMBER(T21),IF(ISNUMBER(T22),IF(T21&gt;T22,1.0,IF(T21=T22,0.5,0.0)),0.5),0.5)</f>
        <v/>
      </c>
      <c r="X21">
        <f>IF(ISNUMBER(T21),IF(ISNUMBER(T23),IF(T21&gt;T23,1.0,IF(T21=T23,0.5,0.0)),0.5),0.5)</f>
        <v/>
      </c>
      <c r="Y21" s="18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5">
        <f>'By Round'!A19</f>
        <v/>
      </c>
      <c r="C22" s="15">
        <f>'By Round'!B27</f>
        <v/>
      </c>
      <c r="D22" s="15">
        <f>'By Round'!C27</f>
        <v/>
      </c>
      <c r="E22" s="15">
        <f>'By Round'!D27</f>
        <v/>
      </c>
      <c r="F22" s="15">
        <f>IF(ISBLANK('By Round'!F29),"",'By Round'!F29)</f>
        <v/>
      </c>
      <c r="G22">
        <f>IF(ISBLANK('By Round'!G29),"",'By Round'!G29)</f>
        <v/>
      </c>
      <c r="H22">
        <f>IF(ISBLANK('By Round'!H29),"",'By Round'!H29)</f>
        <v/>
      </c>
      <c r="I22">
        <f>IF(ISBLANK('By Round'!I29),"",'By Round'!I29)</f>
        <v/>
      </c>
      <c r="J22">
        <f>IF(ISBLANK('By Round'!J29),"",'By Round'!J29)</f>
        <v/>
      </c>
      <c r="K22">
        <f>IF(ISBLANK('By Round'!K29),"",'By Round'!K29)</f>
        <v/>
      </c>
      <c r="L22">
        <f>IF(ISBLANK('By Round'!L29),"",'By Round'!L29)</f>
        <v/>
      </c>
      <c r="M22" s="16">
        <f>AVERAGE(Y22:Z22)</f>
        <v/>
      </c>
      <c r="N22" s="5">
        <f>AVERAGE(AA22:AB22)</f>
        <v/>
      </c>
      <c r="O22" s="4">
        <f>IF(COUNT(U22:V22)&gt;0,Q22/COUNT(U22:V22),0.5)</f>
        <v/>
      </c>
      <c r="P22" s="4">
        <f>IF(COUNT(W22:X22)&gt;0,R22/COUNT(W22:X22),0.5)</f>
        <v/>
      </c>
      <c r="Q22" s="17">
        <f>SUM(U22:V22)</f>
        <v/>
      </c>
      <c r="R22" s="17">
        <f>SUM(W22:X22)</f>
        <v/>
      </c>
      <c r="S22" s="18">
        <f>IF(ISNUMBER(K22),K22,IF(ISNUMBER(L22),-L22,""))</f>
        <v/>
      </c>
      <c r="T22">
        <f>IF(ISNUMBER(L22),L22,IF(ISNUMBER(K22),-K22,""))</f>
        <v/>
      </c>
      <c r="U22" s="18">
        <f>IF(ISNUMBER(S22),IF(ISNUMBER(S21),IF(S22&gt;S21,1.0,IF(S22=S21,0.5,0.0)),0.5),0.5)</f>
        <v/>
      </c>
      <c r="V22">
        <f>IF(ISNUMBER(S22),IF(ISNUMBER(S23),IF(S22&gt;S23,1.0,IF(S22=S23,0.5,0.0)),0.5),0.5)</f>
        <v/>
      </c>
      <c r="W22">
        <f>IF(ISNUMBER(T22),IF(ISNUMBER(T21),IF(T22&gt;T21,1.0,IF(T22=T21,0.5,0.0)),0.5),0.5)</f>
        <v/>
      </c>
      <c r="X22">
        <f>IF(ISNUMBER(T22),IF(ISNUMBER(T23),IF(T22&gt;T23,1.0,IF(T22=T23,0.5,0.0)),0.5),0.5)</f>
        <v/>
      </c>
      <c r="Y22" s="18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7" t="n"/>
      <c r="B23" s="19">
        <f>'By Round'!A35</f>
        <v/>
      </c>
      <c r="C23" s="19">
        <f>'By Round'!B47</f>
        <v/>
      </c>
      <c r="D23" s="19">
        <f>'By Round'!C47</f>
        <v/>
      </c>
      <c r="E23" s="19">
        <f>'By Round'!D47</f>
        <v/>
      </c>
      <c r="F23" s="19">
        <f>IF(ISBLANK('By Round'!F49),"",'By Round'!F49)</f>
        <v/>
      </c>
      <c r="G23" s="7">
        <f>IF(ISBLANK('By Round'!G49),"",'By Round'!G49)</f>
        <v/>
      </c>
      <c r="H23" s="7">
        <f>IF(ISBLANK('By Round'!H49),"",'By Round'!H49)</f>
        <v/>
      </c>
      <c r="I23" s="7">
        <f>IF(ISBLANK('By Round'!I49),"",'By Round'!I49)</f>
        <v/>
      </c>
      <c r="J23" s="7">
        <f>IF(ISBLANK('By Round'!J49),"",'By Round'!J49)</f>
        <v/>
      </c>
      <c r="K23" s="7">
        <f>IF(ISBLANK('By Round'!K49),"",'By Round'!K49)</f>
        <v/>
      </c>
      <c r="L23" s="7">
        <f>IF(ISBLANK('By Round'!L49),"",'By Round'!L49)</f>
        <v/>
      </c>
      <c r="M23" s="20">
        <f>AVERAGE(Y23:Z23)</f>
        <v/>
      </c>
      <c r="N23" s="9">
        <f>AVERAGE(AA23:AB23)</f>
        <v/>
      </c>
      <c r="O23" s="8">
        <f>IF(COUNT(U23:V23)&gt;0,Q23/COUNT(U23:V23),0.5)</f>
        <v/>
      </c>
      <c r="P23" s="8">
        <f>IF(COUNT(W23:X23)&gt;0,R23/COUNT(W23:X23),0.5)</f>
        <v/>
      </c>
      <c r="Q23" s="21">
        <f>SUM(U23:V23)</f>
        <v/>
      </c>
      <c r="R23" s="21">
        <f>SUM(W23:X23)</f>
        <v/>
      </c>
      <c r="S23" s="22">
        <f>IF(ISNUMBER(K23),K23,IF(ISNUMBER(L23),-L23,""))</f>
        <v/>
      </c>
      <c r="T23" s="7">
        <f>IF(ISNUMBER(L23),L23,IF(ISNUMBER(K23),-K23,""))</f>
        <v/>
      </c>
      <c r="U23" s="22">
        <f>IF(ISNUMBER(S23),IF(ISNUMBER(S21),IF(S23&gt;S21,1.0,IF(S23=S21,0.5,0.0)),0.5),0.5)</f>
        <v/>
      </c>
      <c r="V23" s="7">
        <f>IF(ISNUMBER(S23),IF(ISNUMBER(S22),IF(S23&gt;S22,1.0,IF(S23=S22,0.5,0.0)),0.5),0.5)</f>
        <v/>
      </c>
      <c r="W23" s="7">
        <f>IF(ISNUMBER(T23),IF(ISNUMBER(T21),IF(T23&gt;T21,1.0,IF(T23=T21,0.5,0.0)),0.5),0.5)</f>
        <v/>
      </c>
      <c r="X23" s="7">
        <f>IF(ISNUMBER(T23),IF(ISNUMBER(T22),IF(T23&gt;T22,1.0,IF(T23=T22,0.5,0.0)),0.5),0.5)</f>
        <v/>
      </c>
      <c r="Y23" s="22">
        <f>IF(AND(ISNUMBER(S23),ISNUMBER(S21)),VLOOKUP(ABS(S23-S21),'IMP Table'!$A$2:$C$26,3)*SIGN(S23-S21),0)</f>
        <v/>
      </c>
      <c r="Z23" s="7">
        <f>IF(AND(ISNUMBER(S23),ISNUMBER(S22)),VLOOKUP(ABS(S23-S22),'IMP Table'!$A$2:$C$26,3)*SIGN(S23-S22),0)</f>
        <v/>
      </c>
      <c r="AA23" s="7">
        <f>IF(AND(ISNUMBER(T23),ISNUMBER(T21)),VLOOKUP(ABS(T23-T21),'IMP Table'!$A$2:$C$26,3)*SIGN(T23-T21),0)</f>
        <v/>
      </c>
      <c r="AB23" s="7">
        <f>IF(AND(ISNUMBER(T23),ISNUMBER(T22)),VLOOKUP(ABS(T23-T22),'IMP Table'!$A$2:$C$26,3)*SIGN(T23-T22),0)</f>
        <v/>
      </c>
      <c r="AC23" s="7" t="n"/>
      <c r="AD23" s="7" t="n"/>
      <c r="AE23" s="7" t="n"/>
      <c r="AF23" s="7" t="n"/>
    </row>
    <row r="24">
      <c r="A24" s="15" t="n">
        <v>8</v>
      </c>
      <c r="B24" s="15">
        <f>'By Round'!A3</f>
        <v/>
      </c>
      <c r="C24" s="15">
        <f>'By Round'!B7</f>
        <v/>
      </c>
      <c r="D24" s="15">
        <f>'By Round'!C7</f>
        <v/>
      </c>
      <c r="E24" s="15">
        <f>'By Round'!D7</f>
        <v/>
      </c>
      <c r="F24" s="15">
        <f>IF(ISBLANK('By Round'!F10),"",'By Round'!F10)</f>
        <v/>
      </c>
      <c r="G24">
        <f>IF(ISBLANK('By Round'!G10),"",'By Round'!G10)</f>
        <v/>
      </c>
      <c r="H24">
        <f>IF(ISBLANK('By Round'!H10),"",'By Round'!H10)</f>
        <v/>
      </c>
      <c r="I24">
        <f>IF(ISBLANK('By Round'!I10),"",'By Round'!I10)</f>
        <v/>
      </c>
      <c r="J24">
        <f>IF(ISBLANK('By Round'!J10),"",'By Round'!J10)</f>
        <v/>
      </c>
      <c r="K24">
        <f>IF(ISBLANK('By Round'!K10),"",'By Round'!K10)</f>
        <v/>
      </c>
      <c r="L24">
        <f>IF(ISBLANK('By Round'!L10),"",'By Round'!L10)</f>
        <v/>
      </c>
      <c r="M24" s="16">
        <f>AVERAGE(Y24:Z24)</f>
        <v/>
      </c>
      <c r="N24" s="5">
        <f>AVERAGE(AA24:AB24)</f>
        <v/>
      </c>
      <c r="O24" s="4">
        <f>IF(COUNT(U24:V24)&gt;0,Q24/COUNT(U24:V24),0.5)</f>
        <v/>
      </c>
      <c r="P24" s="4">
        <f>IF(COUNT(W24:X24)&gt;0,R24/COUNT(W24:X24),0.5)</f>
        <v/>
      </c>
      <c r="Q24" s="17">
        <f>SUM(U24:V24)</f>
        <v/>
      </c>
      <c r="R24" s="17">
        <f>SUM(W24:X24)</f>
        <v/>
      </c>
      <c r="S24" s="18">
        <f>IF(ISNUMBER(K24),K24,IF(ISNUMBER(L24),-L24,""))</f>
        <v/>
      </c>
      <c r="T24">
        <f>IF(ISNUMBER(L24),L24,IF(ISNUMBER(K24),-K24,""))</f>
        <v/>
      </c>
      <c r="U24" s="18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8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5">
        <f>'By Round'!A19</f>
        <v/>
      </c>
      <c r="C25" s="15">
        <f>'By Round'!B27</f>
        <v/>
      </c>
      <c r="D25" s="15">
        <f>'By Round'!C27</f>
        <v/>
      </c>
      <c r="E25" s="15">
        <f>'By Round'!D27</f>
        <v/>
      </c>
      <c r="F25" s="15">
        <f>IF(ISBLANK('By Round'!F30),"",'By Round'!F30)</f>
        <v/>
      </c>
      <c r="G25">
        <f>IF(ISBLANK('By Round'!G30),"",'By Round'!G30)</f>
        <v/>
      </c>
      <c r="H25">
        <f>IF(ISBLANK('By Round'!H30),"",'By Round'!H30)</f>
        <v/>
      </c>
      <c r="I25">
        <f>IF(ISBLANK('By Round'!I30),"",'By Round'!I30)</f>
        <v/>
      </c>
      <c r="J25">
        <f>IF(ISBLANK('By Round'!J30),"",'By Round'!J30)</f>
        <v/>
      </c>
      <c r="K25">
        <f>IF(ISBLANK('By Round'!K30),"",'By Round'!K30)</f>
        <v/>
      </c>
      <c r="L25">
        <f>IF(ISBLANK('By Round'!L30),"",'By Round'!L30)</f>
        <v/>
      </c>
      <c r="M25" s="16">
        <f>AVERAGE(Y25:Z25)</f>
        <v/>
      </c>
      <c r="N25" s="5">
        <f>AVERAGE(AA25:AB25)</f>
        <v/>
      </c>
      <c r="O25" s="4">
        <f>IF(COUNT(U25:V25)&gt;0,Q25/COUNT(U25:V25),0.5)</f>
        <v/>
      </c>
      <c r="P25" s="4">
        <f>IF(COUNT(W25:X25)&gt;0,R25/COUNT(W25:X25),0.5)</f>
        <v/>
      </c>
      <c r="Q25" s="17">
        <f>SUM(U25:V25)</f>
        <v/>
      </c>
      <c r="R25" s="17">
        <f>SUM(W25:X25)</f>
        <v/>
      </c>
      <c r="S25" s="18">
        <f>IF(ISNUMBER(K25),K25,IF(ISNUMBER(L25),-L25,""))</f>
        <v/>
      </c>
      <c r="T25">
        <f>IF(ISNUMBER(L25),L25,IF(ISNUMBER(K25),-K25,""))</f>
        <v/>
      </c>
      <c r="U25" s="18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8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7" t="n"/>
      <c r="B26" s="19">
        <f>'By Round'!A35</f>
        <v/>
      </c>
      <c r="C26" s="19">
        <f>'By Round'!B47</f>
        <v/>
      </c>
      <c r="D26" s="19">
        <f>'By Round'!C47</f>
        <v/>
      </c>
      <c r="E26" s="19">
        <f>'By Round'!D47</f>
        <v/>
      </c>
      <c r="F26" s="19">
        <f>IF(ISBLANK('By Round'!F50),"",'By Round'!F50)</f>
        <v/>
      </c>
      <c r="G26" s="7">
        <f>IF(ISBLANK('By Round'!G50),"",'By Round'!G50)</f>
        <v/>
      </c>
      <c r="H26" s="7">
        <f>IF(ISBLANK('By Round'!H50),"",'By Round'!H50)</f>
        <v/>
      </c>
      <c r="I26" s="7">
        <f>IF(ISBLANK('By Round'!I50),"",'By Round'!I50)</f>
        <v/>
      </c>
      <c r="J26" s="7">
        <f>IF(ISBLANK('By Round'!J50),"",'By Round'!J50)</f>
        <v/>
      </c>
      <c r="K26" s="7">
        <f>IF(ISBLANK('By Round'!K50),"",'By Round'!K50)</f>
        <v/>
      </c>
      <c r="L26" s="7">
        <f>IF(ISBLANK('By Round'!L50),"",'By Round'!L50)</f>
        <v/>
      </c>
      <c r="M26" s="20">
        <f>AVERAGE(Y26:Z26)</f>
        <v/>
      </c>
      <c r="N26" s="9">
        <f>AVERAGE(AA26:AB26)</f>
        <v/>
      </c>
      <c r="O26" s="8">
        <f>IF(COUNT(U26:V26)&gt;0,Q26/COUNT(U26:V26),0.5)</f>
        <v/>
      </c>
      <c r="P26" s="8">
        <f>IF(COUNT(W26:X26)&gt;0,R26/COUNT(W26:X26),0.5)</f>
        <v/>
      </c>
      <c r="Q26" s="21">
        <f>SUM(U26:V26)</f>
        <v/>
      </c>
      <c r="R26" s="21">
        <f>SUM(W26:X26)</f>
        <v/>
      </c>
      <c r="S26" s="22">
        <f>IF(ISNUMBER(K26),K26,IF(ISNUMBER(L26),-L26,""))</f>
        <v/>
      </c>
      <c r="T26" s="7">
        <f>IF(ISNUMBER(L26),L26,IF(ISNUMBER(K26),-K26,""))</f>
        <v/>
      </c>
      <c r="U26" s="22">
        <f>IF(ISNUMBER(S26),IF(ISNUMBER(S24),IF(S26&gt;S24,1.0,IF(S26=S24,0.5,0.0)),0.5),0.5)</f>
        <v/>
      </c>
      <c r="V26" s="7">
        <f>IF(ISNUMBER(S26),IF(ISNUMBER(S25),IF(S26&gt;S25,1.0,IF(S26=S25,0.5,0.0)),0.5),0.5)</f>
        <v/>
      </c>
      <c r="W26" s="7">
        <f>IF(ISNUMBER(T26),IF(ISNUMBER(T24),IF(T26&gt;T24,1.0,IF(T26=T24,0.5,0.0)),0.5),0.5)</f>
        <v/>
      </c>
      <c r="X26" s="7">
        <f>IF(ISNUMBER(T26),IF(ISNUMBER(T25),IF(T26&gt;T25,1.0,IF(T26=T25,0.5,0.0)),0.5),0.5)</f>
        <v/>
      </c>
      <c r="Y26" s="22">
        <f>IF(AND(ISNUMBER(S26),ISNUMBER(S24)),VLOOKUP(ABS(S26-S24),'IMP Table'!$A$2:$C$26,3)*SIGN(S26-S24),0)</f>
        <v/>
      </c>
      <c r="Z26" s="7">
        <f>IF(AND(ISNUMBER(S26),ISNUMBER(S25)),VLOOKUP(ABS(S26-S25),'IMP Table'!$A$2:$C$26,3)*SIGN(S26-S25),0)</f>
        <v/>
      </c>
      <c r="AA26" s="7">
        <f>IF(AND(ISNUMBER(T26),ISNUMBER(T24)),VLOOKUP(ABS(T26-T24),'IMP Table'!$A$2:$C$26,3)*SIGN(T26-T24),0)</f>
        <v/>
      </c>
      <c r="AB26" s="7">
        <f>IF(AND(ISNUMBER(T26),ISNUMBER(T25)),VLOOKUP(ABS(T26-T25),'IMP Table'!$A$2:$C$26,3)*SIGN(T26-T25),0)</f>
        <v/>
      </c>
      <c r="AC26" s="7" t="n"/>
      <c r="AD26" s="7" t="n"/>
      <c r="AE26" s="7" t="n"/>
      <c r="AF26" s="7" t="n"/>
    </row>
    <row r="27">
      <c r="A27" s="15" t="n">
        <v>9</v>
      </c>
      <c r="B27" s="15">
        <f>'By Round'!A35</f>
        <v/>
      </c>
      <c r="C27" s="15">
        <f>'By Round'!B35</f>
        <v/>
      </c>
      <c r="D27" s="15">
        <f>'By Round'!C35</f>
        <v/>
      </c>
      <c r="E27" s="15">
        <f>'By Round'!D35</f>
        <v/>
      </c>
      <c r="F27" s="15">
        <f>IF(ISBLANK('By Round'!F35),"",'By Round'!F35)</f>
        <v/>
      </c>
      <c r="G27">
        <f>IF(ISBLANK('By Round'!G35),"",'By Round'!G35)</f>
        <v/>
      </c>
      <c r="H27">
        <f>IF(ISBLANK('By Round'!H35),"",'By Round'!H35)</f>
        <v/>
      </c>
      <c r="I27">
        <f>IF(ISBLANK('By Round'!I35),"",'By Round'!I35)</f>
        <v/>
      </c>
      <c r="J27">
        <f>IF(ISBLANK('By Round'!J35),"",'By Round'!J35)</f>
        <v/>
      </c>
      <c r="K27">
        <f>IF(ISBLANK('By Round'!K35),"",'By Round'!K35)</f>
        <v/>
      </c>
      <c r="L27">
        <f>IF(ISBLANK('By Round'!L35),"",'By Round'!L35)</f>
        <v/>
      </c>
      <c r="M27" s="16">
        <f>AVERAGE(Y27:Z27)</f>
        <v/>
      </c>
      <c r="N27" s="5">
        <f>AVERAGE(AA27:AB27)</f>
        <v/>
      </c>
      <c r="O27" s="4">
        <f>IF(COUNT(U27:V27)&gt;0,Q27/COUNT(U27:V27),0.5)</f>
        <v/>
      </c>
      <c r="P27" s="4">
        <f>IF(COUNT(W27:X27)&gt;0,R27/COUNT(W27:X27),0.5)</f>
        <v/>
      </c>
      <c r="Q27" s="17">
        <f>SUM(U27:V27)</f>
        <v/>
      </c>
      <c r="R27" s="17">
        <f>SUM(W27:X27)</f>
        <v/>
      </c>
      <c r="S27" s="18">
        <f>IF(ISNUMBER(K27),K27,IF(ISNUMBER(L27),-L27,""))</f>
        <v/>
      </c>
      <c r="T27">
        <f>IF(ISNUMBER(L27),L27,IF(ISNUMBER(K27),-K27,""))</f>
        <v/>
      </c>
      <c r="U27" s="18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IF(ISNUMBER(T27),IF(ISNUMBER(T28),IF(T27&gt;T28,1.0,IF(T27=T28,0.5,0.0)),0.5),0.5)</f>
        <v/>
      </c>
      <c r="X27">
        <f>IF(ISNUMBER(T27),IF(ISNUMBER(T29),IF(T27&gt;T29,1.0,IF(T27=T29,0.5,0.0)),0.5),0.5)</f>
        <v/>
      </c>
      <c r="Y27" s="18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5">
        <f>'By Round'!A3</f>
        <v/>
      </c>
      <c r="C28" s="15">
        <f>'By Round'!B11</f>
        <v/>
      </c>
      <c r="D28" s="15">
        <f>'By Round'!C11</f>
        <v/>
      </c>
      <c r="E28" s="15">
        <f>'By Round'!D11</f>
        <v/>
      </c>
      <c r="F28" s="15">
        <f>IF(ISBLANK('By Round'!F11),"",'By Round'!F11)</f>
        <v/>
      </c>
      <c r="G28">
        <f>IF(ISBLANK('By Round'!G11),"",'By Round'!G11)</f>
        <v/>
      </c>
      <c r="H28">
        <f>IF(ISBLANK('By Round'!H11),"",'By Round'!H11)</f>
        <v/>
      </c>
      <c r="I28">
        <f>IF(ISBLANK('By Round'!I11),"",'By Round'!I11)</f>
        <v/>
      </c>
      <c r="J28">
        <f>IF(ISBLANK('By Round'!J11),"",'By Round'!J11)</f>
        <v/>
      </c>
      <c r="K28">
        <f>IF(ISBLANK('By Round'!K11),"",'By Round'!K11)</f>
        <v/>
      </c>
      <c r="L28">
        <f>IF(ISBLANK('By Round'!L11),"",'By Round'!L11)</f>
        <v/>
      </c>
      <c r="M28" s="16">
        <f>AVERAGE(Y28:Z28)</f>
        <v/>
      </c>
      <c r="N28" s="5">
        <f>AVERAGE(AA28:AB28)</f>
        <v/>
      </c>
      <c r="O28" s="4">
        <f>IF(COUNT(U28:V28)&gt;0,Q28/COUNT(U28:V28),0.5)</f>
        <v/>
      </c>
      <c r="P28" s="4">
        <f>IF(COUNT(W28:X28)&gt;0,R28/COUNT(W28:X28),0.5)</f>
        <v/>
      </c>
      <c r="Q28" s="17">
        <f>SUM(U28:V28)</f>
        <v/>
      </c>
      <c r="R28" s="17">
        <f>SUM(W28:X28)</f>
        <v/>
      </c>
      <c r="S28" s="18">
        <f>IF(ISNUMBER(K28),K28,IF(ISNUMBER(L28),-L28,""))</f>
        <v/>
      </c>
      <c r="T28">
        <f>IF(ISNUMBER(L28),L28,IF(ISNUMBER(K28),-K28,""))</f>
        <v/>
      </c>
      <c r="U28" s="18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IF(ISNUMBER(T28),IF(ISNUMBER(T27),IF(T28&gt;T27,1.0,IF(T28=T27,0.5,0.0)),0.5),0.5)</f>
        <v/>
      </c>
      <c r="X28">
        <f>IF(ISNUMBER(T28),IF(ISNUMBER(T29),IF(T28&gt;T29,1.0,IF(T28=T29,0.5,0.0)),0.5),0.5)</f>
        <v/>
      </c>
      <c r="Y28" s="18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7" t="n"/>
      <c r="B29" s="19">
        <f>'By Round'!A19</f>
        <v/>
      </c>
      <c r="C29" s="19">
        <f>'By Round'!B31</f>
        <v/>
      </c>
      <c r="D29" s="19">
        <f>'By Round'!C31</f>
        <v/>
      </c>
      <c r="E29" s="19">
        <f>'By Round'!D31</f>
        <v/>
      </c>
      <c r="F29" s="19">
        <f>IF(ISBLANK('By Round'!F31),"",'By Round'!F31)</f>
        <v/>
      </c>
      <c r="G29" s="7">
        <f>IF(ISBLANK('By Round'!G31),"",'By Round'!G31)</f>
        <v/>
      </c>
      <c r="H29" s="7">
        <f>IF(ISBLANK('By Round'!H31),"",'By Round'!H31)</f>
        <v/>
      </c>
      <c r="I29" s="7">
        <f>IF(ISBLANK('By Round'!I31),"",'By Round'!I31)</f>
        <v/>
      </c>
      <c r="J29" s="7">
        <f>IF(ISBLANK('By Round'!J31),"",'By Round'!J31)</f>
        <v/>
      </c>
      <c r="K29" s="7">
        <f>IF(ISBLANK('By Round'!K31),"",'By Round'!K31)</f>
        <v/>
      </c>
      <c r="L29" s="7">
        <f>IF(ISBLANK('By Round'!L31),"",'By Round'!L31)</f>
        <v/>
      </c>
      <c r="M29" s="20">
        <f>AVERAGE(Y29:Z29)</f>
        <v/>
      </c>
      <c r="N29" s="9">
        <f>AVERAGE(AA29:AB29)</f>
        <v/>
      </c>
      <c r="O29" s="8">
        <f>IF(COUNT(U29:V29)&gt;0,Q29/COUNT(U29:V29),0.5)</f>
        <v/>
      </c>
      <c r="P29" s="8">
        <f>IF(COUNT(W29:X29)&gt;0,R29/COUNT(W29:X29),0.5)</f>
        <v/>
      </c>
      <c r="Q29" s="21">
        <f>SUM(U29:V29)</f>
        <v/>
      </c>
      <c r="R29" s="21">
        <f>SUM(W29:X29)</f>
        <v/>
      </c>
      <c r="S29" s="22">
        <f>IF(ISNUMBER(K29),K29,IF(ISNUMBER(L29),-L29,""))</f>
        <v/>
      </c>
      <c r="T29" s="7">
        <f>IF(ISNUMBER(L29),L29,IF(ISNUMBER(K29),-K29,""))</f>
        <v/>
      </c>
      <c r="U29" s="22">
        <f>IF(ISNUMBER(S29),IF(ISNUMBER(S27),IF(S29&gt;S27,1.0,IF(S29=S27,0.5,0.0)),0.5),0.5)</f>
        <v/>
      </c>
      <c r="V29" s="7">
        <f>IF(ISNUMBER(S29),IF(ISNUMBER(S28),IF(S29&gt;S28,1.0,IF(S29=S28,0.5,0.0)),0.5),0.5)</f>
        <v/>
      </c>
      <c r="W29" s="7">
        <f>IF(ISNUMBER(T29),IF(ISNUMBER(T27),IF(T29&gt;T27,1.0,IF(T29=T27,0.5,0.0)),0.5),0.5)</f>
        <v/>
      </c>
      <c r="X29" s="7">
        <f>IF(ISNUMBER(T29),IF(ISNUMBER(T28),IF(T29&gt;T28,1.0,IF(T29=T28,0.5,0.0)),0.5),0.5)</f>
        <v/>
      </c>
      <c r="Y29" s="22">
        <f>IF(AND(ISNUMBER(S29),ISNUMBER(S27)),VLOOKUP(ABS(S29-S27),'IMP Table'!$A$2:$C$26,3)*SIGN(S29-S27),0)</f>
        <v/>
      </c>
      <c r="Z29" s="7">
        <f>IF(AND(ISNUMBER(S29),ISNUMBER(S28)),VLOOKUP(ABS(S29-S28),'IMP Table'!$A$2:$C$26,3)*SIGN(S29-S28),0)</f>
        <v/>
      </c>
      <c r="AA29" s="7">
        <f>IF(AND(ISNUMBER(T29),ISNUMBER(T27)),VLOOKUP(ABS(T29-T27),'IMP Table'!$A$2:$C$26,3)*SIGN(T29-T27),0)</f>
        <v/>
      </c>
      <c r="AB29" s="7">
        <f>IF(AND(ISNUMBER(T29),ISNUMBER(T28)),VLOOKUP(ABS(T29-T28),'IMP Table'!$A$2:$C$26,3)*SIGN(T29-T28),0)</f>
        <v/>
      </c>
      <c r="AC29" s="7" t="n"/>
      <c r="AD29" s="7" t="n"/>
      <c r="AE29" s="7" t="n"/>
      <c r="AF29" s="7" t="n"/>
    </row>
    <row r="30">
      <c r="A30" s="15" t="n">
        <v>10</v>
      </c>
      <c r="B30" s="15">
        <f>'By Round'!A35</f>
        <v/>
      </c>
      <c r="C30" s="15">
        <f>'By Round'!B35</f>
        <v/>
      </c>
      <c r="D30" s="15">
        <f>'By Round'!C35</f>
        <v/>
      </c>
      <c r="E30" s="15">
        <f>'By Round'!D35</f>
        <v/>
      </c>
      <c r="F30" s="15">
        <f>IF(ISBLANK('By Round'!F36),"",'By Round'!F36)</f>
        <v/>
      </c>
      <c r="G30">
        <f>IF(ISBLANK('By Round'!G36),"",'By Round'!G36)</f>
        <v/>
      </c>
      <c r="H30">
        <f>IF(ISBLANK('By Round'!H36),"",'By Round'!H36)</f>
        <v/>
      </c>
      <c r="I30">
        <f>IF(ISBLANK('By Round'!I36),"",'By Round'!I36)</f>
        <v/>
      </c>
      <c r="J30">
        <f>IF(ISBLANK('By Round'!J36),"",'By Round'!J36)</f>
        <v/>
      </c>
      <c r="K30">
        <f>IF(ISBLANK('By Round'!K36),"",'By Round'!K36)</f>
        <v/>
      </c>
      <c r="L30">
        <f>IF(ISBLANK('By Round'!L36),"",'By Round'!L36)</f>
        <v/>
      </c>
      <c r="M30" s="16">
        <f>AVERAGE(Y30:Z30)</f>
        <v/>
      </c>
      <c r="N30" s="5">
        <f>AVERAGE(AA30:AB30)</f>
        <v/>
      </c>
      <c r="O30" s="4">
        <f>IF(COUNT(U30:V30)&gt;0,Q30/COUNT(U30:V30),0.5)</f>
        <v/>
      </c>
      <c r="P30" s="4">
        <f>IF(COUNT(W30:X30)&gt;0,R30/COUNT(W30:X30),0.5)</f>
        <v/>
      </c>
      <c r="Q30" s="17">
        <f>SUM(U30:V30)</f>
        <v/>
      </c>
      <c r="R30" s="17">
        <f>SUM(W30:X30)</f>
        <v/>
      </c>
      <c r="S30" s="18">
        <f>IF(ISNUMBER(K30),K30,IF(ISNUMBER(L30),-L30,""))</f>
        <v/>
      </c>
      <c r="T30">
        <f>IF(ISNUMBER(L30),L30,IF(ISNUMBER(K30),-K30,""))</f>
        <v/>
      </c>
      <c r="U30" s="18">
        <f>IF(ISNUMBER(S30),IF(ISNUMBER(S31),IF(S30&gt;S31,1.0,IF(S30=S31,0.5,0.0)),0.5),0.5)</f>
        <v/>
      </c>
      <c r="V30">
        <f>IF(ISNUMBER(S30),IF(ISNUMBER(S32),IF(S30&gt;S32,1.0,IF(S30=S32,0.5,0.0)),0.5),0.5)</f>
        <v/>
      </c>
      <c r="W30">
        <f>IF(ISNUMBER(T30),IF(ISNUMBER(T31),IF(T30&gt;T31,1.0,IF(T30=T31,0.5,0.0)),0.5),0.5)</f>
        <v/>
      </c>
      <c r="X30">
        <f>IF(ISNUMBER(T30),IF(ISNUMBER(T32),IF(T30&gt;T32,1.0,IF(T30=T32,0.5,0.0)),0.5),0.5)</f>
        <v/>
      </c>
      <c r="Y30" s="18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5">
        <f>'By Round'!A3</f>
        <v/>
      </c>
      <c r="C31" s="15">
        <f>'By Round'!B11</f>
        <v/>
      </c>
      <c r="D31" s="15">
        <f>'By Round'!C11</f>
        <v/>
      </c>
      <c r="E31" s="15">
        <f>'By Round'!D11</f>
        <v/>
      </c>
      <c r="F31" s="15">
        <f>IF(ISBLANK('By Round'!F12),"",'By Round'!F12)</f>
        <v/>
      </c>
      <c r="G31">
        <f>IF(ISBLANK('By Round'!G12),"",'By Round'!G12)</f>
        <v/>
      </c>
      <c r="H31">
        <f>IF(ISBLANK('By Round'!H12),"",'By Round'!H12)</f>
        <v/>
      </c>
      <c r="I31">
        <f>IF(ISBLANK('By Round'!I12),"",'By Round'!I12)</f>
        <v/>
      </c>
      <c r="J31">
        <f>IF(ISBLANK('By Round'!J12),"",'By Round'!J12)</f>
        <v/>
      </c>
      <c r="K31">
        <f>IF(ISBLANK('By Round'!K12),"",'By Round'!K12)</f>
        <v/>
      </c>
      <c r="L31">
        <f>IF(ISBLANK('By Round'!L12),"",'By Round'!L12)</f>
        <v/>
      </c>
      <c r="M31" s="16">
        <f>AVERAGE(Y31:Z31)</f>
        <v/>
      </c>
      <c r="N31" s="5">
        <f>AVERAGE(AA31:AB31)</f>
        <v/>
      </c>
      <c r="O31" s="4">
        <f>IF(COUNT(U31:V31)&gt;0,Q31/COUNT(U31:V31),0.5)</f>
        <v/>
      </c>
      <c r="P31" s="4">
        <f>IF(COUNT(W31:X31)&gt;0,R31/COUNT(W31:X31),0.5)</f>
        <v/>
      </c>
      <c r="Q31" s="17">
        <f>SUM(U31:V31)</f>
        <v/>
      </c>
      <c r="R31" s="17">
        <f>SUM(W31:X31)</f>
        <v/>
      </c>
      <c r="S31" s="18">
        <f>IF(ISNUMBER(K31),K31,IF(ISNUMBER(L31),-L31,""))</f>
        <v/>
      </c>
      <c r="T31">
        <f>IF(ISNUMBER(L31),L31,IF(ISNUMBER(K31),-K31,""))</f>
        <v/>
      </c>
      <c r="U31" s="18">
        <f>IF(ISNUMBER(S31),IF(ISNUMBER(S30),IF(S31&gt;S30,1.0,IF(S31=S30,0.5,0.0)),0.5),0.5)</f>
        <v/>
      </c>
      <c r="V31">
        <f>IF(ISNUMBER(S31),IF(ISNUMBER(S32),IF(S31&gt;S32,1.0,IF(S31=S32,0.5,0.0)),0.5),0.5)</f>
        <v/>
      </c>
      <c r="W31">
        <f>IF(ISNUMBER(T31),IF(ISNUMBER(T30),IF(T31&gt;T30,1.0,IF(T31=T30,0.5,0.0)),0.5),0.5)</f>
        <v/>
      </c>
      <c r="X31">
        <f>IF(ISNUMBER(T31),IF(ISNUMBER(T32),IF(T31&gt;T32,1.0,IF(T31=T32,0.5,0.0)),0.5),0.5)</f>
        <v/>
      </c>
      <c r="Y31" s="18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7" t="n"/>
      <c r="B32" s="19">
        <f>'By Round'!A19</f>
        <v/>
      </c>
      <c r="C32" s="19">
        <f>'By Round'!B31</f>
        <v/>
      </c>
      <c r="D32" s="19">
        <f>'By Round'!C31</f>
        <v/>
      </c>
      <c r="E32" s="19">
        <f>'By Round'!D31</f>
        <v/>
      </c>
      <c r="F32" s="19">
        <f>IF(ISBLANK('By Round'!F32),"",'By Round'!F32)</f>
        <v/>
      </c>
      <c r="G32" s="7">
        <f>IF(ISBLANK('By Round'!G32),"",'By Round'!G32)</f>
        <v/>
      </c>
      <c r="H32" s="7">
        <f>IF(ISBLANK('By Round'!H32),"",'By Round'!H32)</f>
        <v/>
      </c>
      <c r="I32" s="7">
        <f>IF(ISBLANK('By Round'!I32),"",'By Round'!I32)</f>
        <v/>
      </c>
      <c r="J32" s="7">
        <f>IF(ISBLANK('By Round'!J32),"",'By Round'!J32)</f>
        <v/>
      </c>
      <c r="K32" s="7">
        <f>IF(ISBLANK('By Round'!K32),"",'By Round'!K32)</f>
        <v/>
      </c>
      <c r="L32" s="7">
        <f>IF(ISBLANK('By Round'!L32),"",'By Round'!L32)</f>
        <v/>
      </c>
      <c r="M32" s="20">
        <f>AVERAGE(Y32:Z32)</f>
        <v/>
      </c>
      <c r="N32" s="9">
        <f>AVERAGE(AA32:AB32)</f>
        <v/>
      </c>
      <c r="O32" s="8">
        <f>IF(COUNT(U32:V32)&gt;0,Q32/COUNT(U32:V32),0.5)</f>
        <v/>
      </c>
      <c r="P32" s="8">
        <f>IF(COUNT(W32:X32)&gt;0,R32/COUNT(W32:X32),0.5)</f>
        <v/>
      </c>
      <c r="Q32" s="21">
        <f>SUM(U32:V32)</f>
        <v/>
      </c>
      <c r="R32" s="21">
        <f>SUM(W32:X32)</f>
        <v/>
      </c>
      <c r="S32" s="22">
        <f>IF(ISNUMBER(K32),K32,IF(ISNUMBER(L32),-L32,""))</f>
        <v/>
      </c>
      <c r="T32" s="7">
        <f>IF(ISNUMBER(L32),L32,IF(ISNUMBER(K32),-K32,""))</f>
        <v/>
      </c>
      <c r="U32" s="22">
        <f>IF(ISNUMBER(S32),IF(ISNUMBER(S30),IF(S32&gt;S30,1.0,IF(S32=S30,0.5,0.0)),0.5),0.5)</f>
        <v/>
      </c>
      <c r="V32" s="7">
        <f>IF(ISNUMBER(S32),IF(ISNUMBER(S31),IF(S32&gt;S31,1.0,IF(S32=S31,0.5,0.0)),0.5),0.5)</f>
        <v/>
      </c>
      <c r="W32" s="7">
        <f>IF(ISNUMBER(T32),IF(ISNUMBER(T30),IF(T32&gt;T30,1.0,IF(T32=T30,0.5,0.0)),0.5),0.5)</f>
        <v/>
      </c>
      <c r="X32" s="7">
        <f>IF(ISNUMBER(T32),IF(ISNUMBER(T31),IF(T32&gt;T31,1.0,IF(T32=T31,0.5,0.0)),0.5),0.5)</f>
        <v/>
      </c>
      <c r="Y32" s="22">
        <f>IF(AND(ISNUMBER(S32),ISNUMBER(S30)),VLOOKUP(ABS(S32-S30),'IMP Table'!$A$2:$C$26,3)*SIGN(S32-S30),0)</f>
        <v/>
      </c>
      <c r="Z32" s="7">
        <f>IF(AND(ISNUMBER(S32),ISNUMBER(S31)),VLOOKUP(ABS(S32-S31),'IMP Table'!$A$2:$C$26,3)*SIGN(S32-S31),0)</f>
        <v/>
      </c>
      <c r="AA32" s="7">
        <f>IF(AND(ISNUMBER(T32),ISNUMBER(T30)),VLOOKUP(ABS(T32-T30),'IMP Table'!$A$2:$C$26,3)*SIGN(T32-T30),0)</f>
        <v/>
      </c>
      <c r="AB32" s="7">
        <f>IF(AND(ISNUMBER(T32),ISNUMBER(T31)),VLOOKUP(ABS(T32-T31),'IMP Table'!$A$2:$C$26,3)*SIGN(T32-T31),0)</f>
        <v/>
      </c>
      <c r="AC32" s="7" t="n"/>
      <c r="AD32" s="7" t="n"/>
      <c r="AE32" s="7" t="n"/>
      <c r="AF32" s="7" t="n"/>
    </row>
    <row r="33">
      <c r="A33" s="15" t="n">
        <v>11</v>
      </c>
      <c r="B33" s="15">
        <f>'By Round'!A35</f>
        <v/>
      </c>
      <c r="C33" s="15">
        <f>'By Round'!B35</f>
        <v/>
      </c>
      <c r="D33" s="15">
        <f>'By Round'!C35</f>
        <v/>
      </c>
      <c r="E33" s="15">
        <f>'By Round'!D35</f>
        <v/>
      </c>
      <c r="F33" s="15">
        <f>IF(ISBLANK('By Round'!F37),"",'By Round'!F37)</f>
        <v/>
      </c>
      <c r="G33">
        <f>IF(ISBLANK('By Round'!G37),"",'By Round'!G37)</f>
        <v/>
      </c>
      <c r="H33">
        <f>IF(ISBLANK('By Round'!H37),"",'By Round'!H37)</f>
        <v/>
      </c>
      <c r="I33">
        <f>IF(ISBLANK('By Round'!I37),"",'By Round'!I37)</f>
        <v/>
      </c>
      <c r="J33">
        <f>IF(ISBLANK('By Round'!J37),"",'By Round'!J37)</f>
        <v/>
      </c>
      <c r="K33">
        <f>IF(ISBLANK('By Round'!K37),"",'By Round'!K37)</f>
        <v/>
      </c>
      <c r="L33">
        <f>IF(ISBLANK('By Round'!L37),"",'By Round'!L37)</f>
        <v/>
      </c>
      <c r="M33" s="16">
        <f>AVERAGE(Y33:Z33)</f>
        <v/>
      </c>
      <c r="N33" s="5">
        <f>AVERAGE(AA33:AB33)</f>
        <v/>
      </c>
      <c r="O33" s="4">
        <f>IF(COUNT(U33:V33)&gt;0,Q33/COUNT(U33:V33),0.5)</f>
        <v/>
      </c>
      <c r="P33" s="4">
        <f>IF(COUNT(W33:X33)&gt;0,R33/COUNT(W33:X33),0.5)</f>
        <v/>
      </c>
      <c r="Q33" s="17">
        <f>SUM(U33:V33)</f>
        <v/>
      </c>
      <c r="R33" s="17">
        <f>SUM(W33:X33)</f>
        <v/>
      </c>
      <c r="S33" s="18">
        <f>IF(ISNUMBER(K33),K33,IF(ISNUMBER(L33),-L33,""))</f>
        <v/>
      </c>
      <c r="T33">
        <f>IF(ISNUMBER(L33),L33,IF(ISNUMBER(K33),-K33,""))</f>
        <v/>
      </c>
      <c r="U33" s="18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IF(ISNUMBER(T33),IF(ISNUMBER(T34),IF(T33&gt;T34,1.0,IF(T33=T34,0.5,0.0)),0.5),0.5)</f>
        <v/>
      </c>
      <c r="X33">
        <f>IF(ISNUMBER(T33),IF(ISNUMBER(T35),IF(T33&gt;T35,1.0,IF(T33=T35,0.5,0.0)),0.5),0.5)</f>
        <v/>
      </c>
      <c r="Y33" s="18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5">
        <f>'By Round'!A3</f>
        <v/>
      </c>
      <c r="C34" s="15">
        <f>'By Round'!B11</f>
        <v/>
      </c>
      <c r="D34" s="15">
        <f>'By Round'!C11</f>
        <v/>
      </c>
      <c r="E34" s="15">
        <f>'By Round'!D11</f>
        <v/>
      </c>
      <c r="F34" s="15">
        <f>IF(ISBLANK('By Round'!F13),"",'By Round'!F13)</f>
        <v/>
      </c>
      <c r="G34">
        <f>IF(ISBLANK('By Round'!G13),"",'By Round'!G13)</f>
        <v/>
      </c>
      <c r="H34">
        <f>IF(ISBLANK('By Round'!H13),"",'By Round'!H13)</f>
        <v/>
      </c>
      <c r="I34">
        <f>IF(ISBLANK('By Round'!I13),"",'By Round'!I13)</f>
        <v/>
      </c>
      <c r="J34">
        <f>IF(ISBLANK('By Round'!J13),"",'By Round'!J13)</f>
        <v/>
      </c>
      <c r="K34">
        <f>IF(ISBLANK('By Round'!K13),"",'By Round'!K13)</f>
        <v/>
      </c>
      <c r="L34">
        <f>IF(ISBLANK('By Round'!L13),"",'By Round'!L13)</f>
        <v/>
      </c>
      <c r="M34" s="16">
        <f>AVERAGE(Y34:Z34)</f>
        <v/>
      </c>
      <c r="N34" s="5">
        <f>AVERAGE(AA34:AB34)</f>
        <v/>
      </c>
      <c r="O34" s="4">
        <f>IF(COUNT(U34:V34)&gt;0,Q34/COUNT(U34:V34),0.5)</f>
        <v/>
      </c>
      <c r="P34" s="4">
        <f>IF(COUNT(W34:X34)&gt;0,R34/COUNT(W34:X34),0.5)</f>
        <v/>
      </c>
      <c r="Q34" s="17">
        <f>SUM(U34:V34)</f>
        <v/>
      </c>
      <c r="R34" s="17">
        <f>SUM(W34:X34)</f>
        <v/>
      </c>
      <c r="S34" s="18">
        <f>IF(ISNUMBER(K34),K34,IF(ISNUMBER(L34),-L34,""))</f>
        <v/>
      </c>
      <c r="T34">
        <f>IF(ISNUMBER(L34),L34,IF(ISNUMBER(K34),-K34,""))</f>
        <v/>
      </c>
      <c r="U34" s="18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IF(ISNUMBER(T34),IF(ISNUMBER(T33),IF(T34&gt;T33,1.0,IF(T34=T33,0.5,0.0)),0.5),0.5)</f>
        <v/>
      </c>
      <c r="X34">
        <f>IF(ISNUMBER(T34),IF(ISNUMBER(T35),IF(T34&gt;T35,1.0,IF(T34=T35,0.5,0.0)),0.5),0.5)</f>
        <v/>
      </c>
      <c r="Y34" s="18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7" t="n"/>
      <c r="B35" s="19">
        <f>'By Round'!A19</f>
        <v/>
      </c>
      <c r="C35" s="19">
        <f>'By Round'!B31</f>
        <v/>
      </c>
      <c r="D35" s="19">
        <f>'By Round'!C31</f>
        <v/>
      </c>
      <c r="E35" s="19">
        <f>'By Round'!D31</f>
        <v/>
      </c>
      <c r="F35" s="19">
        <f>IF(ISBLANK('By Round'!F33),"",'By Round'!F33)</f>
        <v/>
      </c>
      <c r="G35" s="7">
        <f>IF(ISBLANK('By Round'!G33),"",'By Round'!G33)</f>
        <v/>
      </c>
      <c r="H35" s="7">
        <f>IF(ISBLANK('By Round'!H33),"",'By Round'!H33)</f>
        <v/>
      </c>
      <c r="I35" s="7">
        <f>IF(ISBLANK('By Round'!I33),"",'By Round'!I33)</f>
        <v/>
      </c>
      <c r="J35" s="7">
        <f>IF(ISBLANK('By Round'!J33),"",'By Round'!J33)</f>
        <v/>
      </c>
      <c r="K35" s="7">
        <f>IF(ISBLANK('By Round'!K33),"",'By Round'!K33)</f>
        <v/>
      </c>
      <c r="L35" s="7">
        <f>IF(ISBLANK('By Round'!L33),"",'By Round'!L33)</f>
        <v/>
      </c>
      <c r="M35" s="20">
        <f>AVERAGE(Y35:Z35)</f>
        <v/>
      </c>
      <c r="N35" s="9">
        <f>AVERAGE(AA35:AB35)</f>
        <v/>
      </c>
      <c r="O35" s="8">
        <f>IF(COUNT(U35:V35)&gt;0,Q35/COUNT(U35:V35),0.5)</f>
        <v/>
      </c>
      <c r="P35" s="8">
        <f>IF(COUNT(W35:X35)&gt;0,R35/COUNT(W35:X35),0.5)</f>
        <v/>
      </c>
      <c r="Q35" s="21">
        <f>SUM(U35:V35)</f>
        <v/>
      </c>
      <c r="R35" s="21">
        <f>SUM(W35:X35)</f>
        <v/>
      </c>
      <c r="S35" s="22">
        <f>IF(ISNUMBER(K35),K35,IF(ISNUMBER(L35),-L35,""))</f>
        <v/>
      </c>
      <c r="T35" s="7">
        <f>IF(ISNUMBER(L35),L35,IF(ISNUMBER(K35),-K35,""))</f>
        <v/>
      </c>
      <c r="U35" s="22">
        <f>IF(ISNUMBER(S35),IF(ISNUMBER(S33),IF(S35&gt;S33,1.0,IF(S35=S33,0.5,0.0)),0.5),0.5)</f>
        <v/>
      </c>
      <c r="V35" s="7">
        <f>IF(ISNUMBER(S35),IF(ISNUMBER(S34),IF(S35&gt;S34,1.0,IF(S35=S34,0.5,0.0)),0.5),0.5)</f>
        <v/>
      </c>
      <c r="W35" s="7">
        <f>IF(ISNUMBER(T35),IF(ISNUMBER(T33),IF(T35&gt;T33,1.0,IF(T35=T33,0.5,0.0)),0.5),0.5)</f>
        <v/>
      </c>
      <c r="X35" s="7">
        <f>IF(ISNUMBER(T35),IF(ISNUMBER(T34),IF(T35&gt;T34,1.0,IF(T35=T34,0.5,0.0)),0.5),0.5)</f>
        <v/>
      </c>
      <c r="Y35" s="22">
        <f>IF(AND(ISNUMBER(S35),ISNUMBER(S33)),VLOOKUP(ABS(S35-S33),'IMP Table'!$A$2:$C$26,3)*SIGN(S35-S33),0)</f>
        <v/>
      </c>
      <c r="Z35" s="7">
        <f>IF(AND(ISNUMBER(S35),ISNUMBER(S34)),VLOOKUP(ABS(S35-S34),'IMP Table'!$A$2:$C$26,3)*SIGN(S35-S34),0)</f>
        <v/>
      </c>
      <c r="AA35" s="7">
        <f>IF(AND(ISNUMBER(T35),ISNUMBER(T33)),VLOOKUP(ABS(T35-T33),'IMP Table'!$A$2:$C$26,3)*SIGN(T35-T33),0)</f>
        <v/>
      </c>
      <c r="AB35" s="7">
        <f>IF(AND(ISNUMBER(T35),ISNUMBER(T34)),VLOOKUP(ABS(T35-T34),'IMP Table'!$A$2:$C$26,3)*SIGN(T35-T34),0)</f>
        <v/>
      </c>
      <c r="AC35" s="7" t="n"/>
      <c r="AD35" s="7" t="n"/>
      <c r="AE35" s="7" t="n"/>
      <c r="AF35" s="7" t="n"/>
    </row>
    <row r="36">
      <c r="A36" s="15" t="n">
        <v>12</v>
      </c>
      <c r="B36" s="15">
        <f>'By Round'!A35</f>
        <v/>
      </c>
      <c r="C36" s="15">
        <f>'By Round'!B35</f>
        <v/>
      </c>
      <c r="D36" s="15">
        <f>'By Round'!C35</f>
        <v/>
      </c>
      <c r="E36" s="15">
        <f>'By Round'!D35</f>
        <v/>
      </c>
      <c r="F36" s="15">
        <f>IF(ISBLANK('By Round'!F38),"",'By Round'!F38)</f>
        <v/>
      </c>
      <c r="G36">
        <f>IF(ISBLANK('By Round'!G38),"",'By Round'!G38)</f>
        <v/>
      </c>
      <c r="H36">
        <f>IF(ISBLANK('By Round'!H38),"",'By Round'!H38)</f>
        <v/>
      </c>
      <c r="I36">
        <f>IF(ISBLANK('By Round'!I38),"",'By Round'!I38)</f>
        <v/>
      </c>
      <c r="J36">
        <f>IF(ISBLANK('By Round'!J38),"",'By Round'!J38)</f>
        <v/>
      </c>
      <c r="K36">
        <f>IF(ISBLANK('By Round'!K38),"",'By Round'!K38)</f>
        <v/>
      </c>
      <c r="L36">
        <f>IF(ISBLANK('By Round'!L38),"",'By Round'!L38)</f>
        <v/>
      </c>
      <c r="M36" s="16">
        <f>AVERAGE(Y36:Z36)</f>
        <v/>
      </c>
      <c r="N36" s="5">
        <f>AVERAGE(AA36:AB36)</f>
        <v/>
      </c>
      <c r="O36" s="4">
        <f>IF(COUNT(U36:V36)&gt;0,Q36/COUNT(U36:V36),0.5)</f>
        <v/>
      </c>
      <c r="P36" s="4">
        <f>IF(COUNT(W36:X36)&gt;0,R36/COUNT(W36:X36),0.5)</f>
        <v/>
      </c>
      <c r="Q36" s="17">
        <f>SUM(U36:V36)</f>
        <v/>
      </c>
      <c r="R36" s="17">
        <f>SUM(W36:X36)</f>
        <v/>
      </c>
      <c r="S36" s="18">
        <f>IF(ISNUMBER(K36),K36,IF(ISNUMBER(L36),-L36,""))</f>
        <v/>
      </c>
      <c r="T36">
        <f>IF(ISNUMBER(L36),L36,IF(ISNUMBER(K36),-K36,""))</f>
        <v/>
      </c>
      <c r="U36" s="18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8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5">
        <f>'By Round'!A3</f>
        <v/>
      </c>
      <c r="C37" s="15">
        <f>'By Round'!B11</f>
        <v/>
      </c>
      <c r="D37" s="15">
        <f>'By Round'!C11</f>
        <v/>
      </c>
      <c r="E37" s="15">
        <f>'By Round'!D11</f>
        <v/>
      </c>
      <c r="F37" s="15">
        <f>IF(ISBLANK('By Round'!F14),"",'By Round'!F14)</f>
        <v/>
      </c>
      <c r="G37">
        <f>IF(ISBLANK('By Round'!G14),"",'By Round'!G14)</f>
        <v/>
      </c>
      <c r="H37">
        <f>IF(ISBLANK('By Round'!H14),"",'By Round'!H14)</f>
        <v/>
      </c>
      <c r="I37">
        <f>IF(ISBLANK('By Round'!I14),"",'By Round'!I14)</f>
        <v/>
      </c>
      <c r="J37">
        <f>IF(ISBLANK('By Round'!J14),"",'By Round'!J14)</f>
        <v/>
      </c>
      <c r="K37">
        <f>IF(ISBLANK('By Round'!K14),"",'By Round'!K14)</f>
        <v/>
      </c>
      <c r="L37">
        <f>IF(ISBLANK('By Round'!L14),"",'By Round'!L14)</f>
        <v/>
      </c>
      <c r="M37" s="16">
        <f>AVERAGE(Y37:Z37)</f>
        <v/>
      </c>
      <c r="N37" s="5">
        <f>AVERAGE(AA37:AB37)</f>
        <v/>
      </c>
      <c r="O37" s="4">
        <f>IF(COUNT(U37:V37)&gt;0,Q37/COUNT(U37:V37),0.5)</f>
        <v/>
      </c>
      <c r="P37" s="4">
        <f>IF(COUNT(W37:X37)&gt;0,R37/COUNT(W37:X37),0.5)</f>
        <v/>
      </c>
      <c r="Q37" s="17">
        <f>SUM(U37:V37)</f>
        <v/>
      </c>
      <c r="R37" s="17">
        <f>SUM(W37:X37)</f>
        <v/>
      </c>
      <c r="S37" s="18">
        <f>IF(ISNUMBER(K37),K37,IF(ISNUMBER(L37),-L37,""))</f>
        <v/>
      </c>
      <c r="T37">
        <f>IF(ISNUMBER(L37),L37,IF(ISNUMBER(K37),-K37,""))</f>
        <v/>
      </c>
      <c r="U37" s="18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8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7" t="n"/>
      <c r="B38" s="19">
        <f>'By Round'!A19</f>
        <v/>
      </c>
      <c r="C38" s="19">
        <f>'By Round'!B31</f>
        <v/>
      </c>
      <c r="D38" s="19">
        <f>'By Round'!C31</f>
        <v/>
      </c>
      <c r="E38" s="19">
        <f>'By Round'!D31</f>
        <v/>
      </c>
      <c r="F38" s="19">
        <f>IF(ISBLANK('By Round'!F34),"",'By Round'!F34)</f>
        <v/>
      </c>
      <c r="G38" s="7">
        <f>IF(ISBLANK('By Round'!G34),"",'By Round'!G34)</f>
        <v/>
      </c>
      <c r="H38" s="7">
        <f>IF(ISBLANK('By Round'!H34),"",'By Round'!H34)</f>
        <v/>
      </c>
      <c r="I38" s="7">
        <f>IF(ISBLANK('By Round'!I34),"",'By Round'!I34)</f>
        <v/>
      </c>
      <c r="J38" s="7">
        <f>IF(ISBLANK('By Round'!J34),"",'By Round'!J34)</f>
        <v/>
      </c>
      <c r="K38" s="7">
        <f>IF(ISBLANK('By Round'!K34),"",'By Round'!K34)</f>
        <v/>
      </c>
      <c r="L38" s="7">
        <f>IF(ISBLANK('By Round'!L34),"",'By Round'!L34)</f>
        <v/>
      </c>
      <c r="M38" s="20">
        <f>AVERAGE(Y38:Z38)</f>
        <v/>
      </c>
      <c r="N38" s="9">
        <f>AVERAGE(AA38:AB38)</f>
        <v/>
      </c>
      <c r="O38" s="8">
        <f>IF(COUNT(U38:V38)&gt;0,Q38/COUNT(U38:V38),0.5)</f>
        <v/>
      </c>
      <c r="P38" s="8">
        <f>IF(COUNT(W38:X38)&gt;0,R38/COUNT(W38:X38),0.5)</f>
        <v/>
      </c>
      <c r="Q38" s="21">
        <f>SUM(U38:V38)</f>
        <v/>
      </c>
      <c r="R38" s="21">
        <f>SUM(W38:X38)</f>
        <v/>
      </c>
      <c r="S38" s="22">
        <f>IF(ISNUMBER(K38),K38,IF(ISNUMBER(L38),-L38,""))</f>
        <v/>
      </c>
      <c r="T38" s="7">
        <f>IF(ISNUMBER(L38),L38,IF(ISNUMBER(K38),-K38,""))</f>
        <v/>
      </c>
      <c r="U38" s="22">
        <f>IF(ISNUMBER(S38),IF(ISNUMBER(S36),IF(S38&gt;S36,1.0,IF(S38=S36,0.5,0.0)),0.5),0.5)</f>
        <v/>
      </c>
      <c r="V38" s="7">
        <f>IF(ISNUMBER(S38),IF(ISNUMBER(S37),IF(S38&gt;S37,1.0,IF(S38=S37,0.5,0.0)),0.5),0.5)</f>
        <v/>
      </c>
      <c r="W38" s="7">
        <f>IF(ISNUMBER(T38),IF(ISNUMBER(T36),IF(T38&gt;T36,1.0,IF(T38=T36,0.5,0.0)),0.5),0.5)</f>
        <v/>
      </c>
      <c r="X38" s="7">
        <f>IF(ISNUMBER(T38),IF(ISNUMBER(T37),IF(T38&gt;T37,1.0,IF(T38=T37,0.5,0.0)),0.5),0.5)</f>
        <v/>
      </c>
      <c r="Y38" s="22">
        <f>IF(AND(ISNUMBER(S38),ISNUMBER(S36)),VLOOKUP(ABS(S38-S36),'IMP Table'!$A$2:$C$26,3)*SIGN(S38-S36),0)</f>
        <v/>
      </c>
      <c r="Z38" s="7">
        <f>IF(AND(ISNUMBER(S38),ISNUMBER(S37)),VLOOKUP(ABS(S38-S37),'IMP Table'!$A$2:$C$26,3)*SIGN(S38-S37),0)</f>
        <v/>
      </c>
      <c r="AA38" s="7">
        <f>IF(AND(ISNUMBER(T38),ISNUMBER(T36)),VLOOKUP(ABS(T38-T36),'IMP Table'!$A$2:$C$26,3)*SIGN(T38-T36),0)</f>
        <v/>
      </c>
      <c r="AB38" s="7">
        <f>IF(AND(ISNUMBER(T38),ISNUMBER(T37)),VLOOKUP(ABS(T38-T37),'IMP Table'!$A$2:$C$26,3)*SIGN(T38-T37),0)</f>
        <v/>
      </c>
      <c r="AC38" s="7" t="n"/>
      <c r="AD38" s="7" t="n"/>
      <c r="AE38" s="7" t="n"/>
      <c r="AF38" s="7" t="n"/>
    </row>
    <row r="39">
      <c r="A39" s="15" t="n">
        <v>13</v>
      </c>
      <c r="B39" s="15">
        <f>'By Round'!A19</f>
        <v/>
      </c>
      <c r="C39" s="15">
        <f>'By Round'!B19</f>
        <v/>
      </c>
      <c r="D39" s="15">
        <f>'By Round'!C19</f>
        <v/>
      </c>
      <c r="E39" s="15">
        <f>'By Round'!D19</f>
        <v/>
      </c>
      <c r="F39" s="15">
        <f>IF(ISBLANK('By Round'!F19),"",'By Round'!F19)</f>
        <v/>
      </c>
      <c r="G39">
        <f>IF(ISBLANK('By Round'!G19),"",'By Round'!G19)</f>
        <v/>
      </c>
      <c r="H39">
        <f>IF(ISBLANK('By Round'!H19),"",'By Round'!H19)</f>
        <v/>
      </c>
      <c r="I39">
        <f>IF(ISBLANK('By Round'!I19),"",'By Round'!I19)</f>
        <v/>
      </c>
      <c r="J39">
        <f>IF(ISBLANK('By Round'!J19),"",'By Round'!J19)</f>
        <v/>
      </c>
      <c r="K39">
        <f>IF(ISBLANK('By Round'!K19),"",'By Round'!K19)</f>
        <v/>
      </c>
      <c r="L39">
        <f>IF(ISBLANK('By Round'!L19),"",'By Round'!L19)</f>
        <v/>
      </c>
      <c r="M39" s="16">
        <f>AVERAGE(Y39:Z39)</f>
        <v/>
      </c>
      <c r="N39" s="5">
        <f>AVERAGE(AA39:AB39)</f>
        <v/>
      </c>
      <c r="O39" s="4">
        <f>IF(COUNT(U39:V39)&gt;0,Q39/COUNT(U39:V39),0.5)</f>
        <v/>
      </c>
      <c r="P39" s="4">
        <f>IF(COUNT(W39:X39)&gt;0,R39/COUNT(W39:X39),0.5)</f>
        <v/>
      </c>
      <c r="Q39" s="17">
        <f>SUM(U39:V39)</f>
        <v/>
      </c>
      <c r="R39" s="17">
        <f>SUM(W39:X39)</f>
        <v/>
      </c>
      <c r="S39" s="18">
        <f>IF(ISNUMBER(K39),K39,IF(ISNUMBER(L39),-L39,""))</f>
        <v/>
      </c>
      <c r="T39">
        <f>IF(ISNUMBER(L39),L39,IF(ISNUMBER(K39),-K39,""))</f>
        <v/>
      </c>
      <c r="U39" s="18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IF(ISNUMBER(T39),IF(ISNUMBER(T40),IF(T39&gt;T40,1.0,IF(T39=T40,0.5,0.0)),0.5),0.5)</f>
        <v/>
      </c>
      <c r="X39">
        <f>IF(ISNUMBER(T39),IF(ISNUMBER(T41),IF(T39&gt;T41,1.0,IF(T39=T41,0.5,0.0)),0.5),0.5)</f>
        <v/>
      </c>
      <c r="Y39" s="18">
        <f>IF(AND(ISNUMBER(S39),ISNUMBER(S40)),VLOOKUP(ABS(S39-S40),'IMP Table'!$A$2:$C$26,3)*SIGN(S39-S40),0)</f>
        <v/>
      </c>
      <c r="Z39">
        <f>IF(AND(ISNUMBER(S39),ISNUMBER(S41)),VLOOKUP(ABS(S39-S41),'IMP Table'!$A$2:$C$26,3)*SIGN(S39-S41),0)</f>
        <v/>
      </c>
      <c r="AA39">
        <f>IF(AND(ISNUMBER(T39),ISNUMBER(T40)),VLOOKUP(ABS(T39-T40),'IMP Table'!$A$2:$C$26,3)*SIGN(T39-T40),0)</f>
        <v/>
      </c>
      <c r="AB39">
        <f>IF(AND(ISNUMBER(T39),ISNUMBER(T41)),VLOOKUP(ABS(T39-T41),'IMP Table'!$A$2:$C$26,3)*SIGN(T39-T41),0)</f>
        <v/>
      </c>
    </row>
    <row r="40">
      <c r="B40" s="15">
        <f>'By Round'!A35</f>
        <v/>
      </c>
      <c r="C40" s="15">
        <f>'By Round'!B39</f>
        <v/>
      </c>
      <c r="D40" s="15">
        <f>'By Round'!C39</f>
        <v/>
      </c>
      <c r="E40" s="15">
        <f>'By Round'!D39</f>
        <v/>
      </c>
      <c r="F40" s="15">
        <f>IF(ISBLANK('By Round'!F39),"",'By Round'!F39)</f>
        <v/>
      </c>
      <c r="G40">
        <f>IF(ISBLANK('By Round'!G39),"",'By Round'!G39)</f>
        <v/>
      </c>
      <c r="H40">
        <f>IF(ISBLANK('By Round'!H39),"",'By Round'!H39)</f>
        <v/>
      </c>
      <c r="I40">
        <f>IF(ISBLANK('By Round'!I39),"",'By Round'!I39)</f>
        <v/>
      </c>
      <c r="J40">
        <f>IF(ISBLANK('By Round'!J39),"",'By Round'!J39)</f>
        <v/>
      </c>
      <c r="K40">
        <f>IF(ISBLANK('By Round'!K39),"",'By Round'!K39)</f>
        <v/>
      </c>
      <c r="L40">
        <f>IF(ISBLANK('By Round'!L39),"",'By Round'!L39)</f>
        <v/>
      </c>
      <c r="M40" s="16">
        <f>AVERAGE(Y40:Z40)</f>
        <v/>
      </c>
      <c r="N40" s="5">
        <f>AVERAGE(AA40:AB40)</f>
        <v/>
      </c>
      <c r="O40" s="4">
        <f>IF(COUNT(U40:V40)&gt;0,Q40/COUNT(U40:V40),0.5)</f>
        <v/>
      </c>
      <c r="P40" s="4">
        <f>IF(COUNT(W40:X40)&gt;0,R40/COUNT(W40:X40),0.5)</f>
        <v/>
      </c>
      <c r="Q40" s="17">
        <f>SUM(U40:V40)</f>
        <v/>
      </c>
      <c r="R40" s="17">
        <f>SUM(W40:X40)</f>
        <v/>
      </c>
      <c r="S40" s="18">
        <f>IF(ISNUMBER(K40),K40,IF(ISNUMBER(L40),-L40,""))</f>
        <v/>
      </c>
      <c r="T40">
        <f>IF(ISNUMBER(L40),L40,IF(ISNUMBER(K40),-K40,""))</f>
        <v/>
      </c>
      <c r="U40" s="18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IF(ISNUMBER(T40),IF(ISNUMBER(T39),IF(T40&gt;T39,1.0,IF(T40=T39,0.5,0.0)),0.5),0.5)</f>
        <v/>
      </c>
      <c r="X40">
        <f>IF(ISNUMBER(T40),IF(ISNUMBER(T41),IF(T40&gt;T41,1.0,IF(T40=T41,0.5,0.0)),0.5),0.5)</f>
        <v/>
      </c>
      <c r="Y40" s="18">
        <f>IF(AND(ISNUMBER(S40),ISNUMBER(S39)),VLOOKUP(ABS(S40-S39),'IMP Table'!$A$2:$C$26,3)*SIGN(S40-S39),0)</f>
        <v/>
      </c>
      <c r="Z40">
        <f>IF(AND(ISNUMBER(S40),ISNUMBER(S41)),VLOOKUP(ABS(S40-S41),'IMP Table'!$A$2:$C$26,3)*SIGN(S40-S41),0)</f>
        <v/>
      </c>
      <c r="AA40">
        <f>IF(AND(ISNUMBER(T40),ISNUMBER(T39)),VLOOKUP(ABS(T40-T39),'IMP Table'!$A$2:$C$26,3)*SIGN(T40-T39),0)</f>
        <v/>
      </c>
      <c r="AB40">
        <f>IF(AND(ISNUMBER(T40),ISNUMBER(T41)),VLOOKUP(ABS(T40-T41),'IMP Table'!$A$2:$C$26,3)*SIGN(T40-T41),0)</f>
        <v/>
      </c>
    </row>
    <row r="41">
      <c r="A41" s="7" t="n"/>
      <c r="B41" s="19">
        <f>'By Round'!A3</f>
        <v/>
      </c>
      <c r="C41" s="19">
        <f>'By Round'!B15</f>
        <v/>
      </c>
      <c r="D41" s="19">
        <f>'By Round'!C15</f>
        <v/>
      </c>
      <c r="E41" s="19">
        <f>'By Round'!D15</f>
        <v/>
      </c>
      <c r="F41" s="19">
        <f>IF(ISBLANK('By Round'!F15),"",'By Round'!F15)</f>
        <v/>
      </c>
      <c r="G41" s="7">
        <f>IF(ISBLANK('By Round'!G15),"",'By Round'!G15)</f>
        <v/>
      </c>
      <c r="H41" s="7">
        <f>IF(ISBLANK('By Round'!H15),"",'By Round'!H15)</f>
        <v/>
      </c>
      <c r="I41" s="7">
        <f>IF(ISBLANK('By Round'!I15),"",'By Round'!I15)</f>
        <v/>
      </c>
      <c r="J41" s="7">
        <f>IF(ISBLANK('By Round'!J15),"",'By Round'!J15)</f>
        <v/>
      </c>
      <c r="K41" s="7">
        <f>IF(ISBLANK('By Round'!K15),"",'By Round'!K15)</f>
        <v/>
      </c>
      <c r="L41" s="7">
        <f>IF(ISBLANK('By Round'!L15),"",'By Round'!L15)</f>
        <v/>
      </c>
      <c r="M41" s="20">
        <f>AVERAGE(Y41:Z41)</f>
        <v/>
      </c>
      <c r="N41" s="9">
        <f>AVERAGE(AA41:AB41)</f>
        <v/>
      </c>
      <c r="O41" s="8">
        <f>IF(COUNT(U41:V41)&gt;0,Q41/COUNT(U41:V41),0.5)</f>
        <v/>
      </c>
      <c r="P41" s="8">
        <f>IF(COUNT(W41:X41)&gt;0,R41/COUNT(W41:X41),0.5)</f>
        <v/>
      </c>
      <c r="Q41" s="21">
        <f>SUM(U41:V41)</f>
        <v/>
      </c>
      <c r="R41" s="21">
        <f>SUM(W41:X41)</f>
        <v/>
      </c>
      <c r="S41" s="22">
        <f>IF(ISNUMBER(K41),K41,IF(ISNUMBER(L41),-L41,""))</f>
        <v/>
      </c>
      <c r="T41" s="7">
        <f>IF(ISNUMBER(L41),L41,IF(ISNUMBER(K41),-K41,""))</f>
        <v/>
      </c>
      <c r="U41" s="22">
        <f>IF(ISNUMBER(S41),IF(ISNUMBER(S39),IF(S41&gt;S39,1.0,IF(S41=S39,0.5,0.0)),0.5),0.5)</f>
        <v/>
      </c>
      <c r="V41" s="7">
        <f>IF(ISNUMBER(S41),IF(ISNUMBER(S40),IF(S41&gt;S40,1.0,IF(S41=S40,0.5,0.0)),0.5),0.5)</f>
        <v/>
      </c>
      <c r="W41" s="7">
        <f>IF(ISNUMBER(T41),IF(ISNUMBER(T39),IF(T41&gt;T39,1.0,IF(T41=T39,0.5,0.0)),0.5),0.5)</f>
        <v/>
      </c>
      <c r="X41" s="7">
        <f>IF(ISNUMBER(T41),IF(ISNUMBER(T40),IF(T41&gt;T40,1.0,IF(T41=T40,0.5,0.0)),0.5),0.5)</f>
        <v/>
      </c>
      <c r="Y41" s="22">
        <f>IF(AND(ISNUMBER(S41),ISNUMBER(S39)),VLOOKUP(ABS(S41-S39),'IMP Table'!$A$2:$C$26,3)*SIGN(S41-S39),0)</f>
        <v/>
      </c>
      <c r="Z41" s="7">
        <f>IF(AND(ISNUMBER(S41),ISNUMBER(S40)),VLOOKUP(ABS(S41-S40),'IMP Table'!$A$2:$C$26,3)*SIGN(S41-S40),0)</f>
        <v/>
      </c>
      <c r="AA41" s="7">
        <f>IF(AND(ISNUMBER(T41),ISNUMBER(T39)),VLOOKUP(ABS(T41-T39),'IMP Table'!$A$2:$C$26,3)*SIGN(T41-T39),0)</f>
        <v/>
      </c>
      <c r="AB41" s="7">
        <f>IF(AND(ISNUMBER(T41),ISNUMBER(T40)),VLOOKUP(ABS(T41-T40),'IMP Table'!$A$2:$C$26,3)*SIGN(T41-T40),0)</f>
        <v/>
      </c>
      <c r="AC41" s="7" t="n"/>
      <c r="AD41" s="7" t="n"/>
      <c r="AE41" s="7" t="n"/>
      <c r="AF41" s="7" t="n"/>
    </row>
    <row r="42">
      <c r="A42" s="15" t="n">
        <v>14</v>
      </c>
      <c r="B42" s="15">
        <f>'By Round'!A19</f>
        <v/>
      </c>
      <c r="C42" s="15">
        <f>'By Round'!B19</f>
        <v/>
      </c>
      <c r="D42" s="15">
        <f>'By Round'!C19</f>
        <v/>
      </c>
      <c r="E42" s="15">
        <f>'By Round'!D19</f>
        <v/>
      </c>
      <c r="F42" s="15">
        <f>IF(ISBLANK('By Round'!F20),"",'By Round'!F20)</f>
        <v/>
      </c>
      <c r="G42">
        <f>IF(ISBLANK('By Round'!G20),"",'By Round'!G20)</f>
        <v/>
      </c>
      <c r="H42">
        <f>IF(ISBLANK('By Round'!H20),"",'By Round'!H20)</f>
        <v/>
      </c>
      <c r="I42">
        <f>IF(ISBLANK('By Round'!I20),"",'By Round'!I20)</f>
        <v/>
      </c>
      <c r="J42">
        <f>IF(ISBLANK('By Round'!J20),"",'By Round'!J20)</f>
        <v/>
      </c>
      <c r="K42">
        <f>IF(ISBLANK('By Round'!K20),"",'By Round'!K20)</f>
        <v/>
      </c>
      <c r="L42">
        <f>IF(ISBLANK('By Round'!L20),"",'By Round'!L20)</f>
        <v/>
      </c>
      <c r="M42" s="16">
        <f>AVERAGE(Y42:Z42)</f>
        <v/>
      </c>
      <c r="N42" s="5">
        <f>AVERAGE(AA42:AB42)</f>
        <v/>
      </c>
      <c r="O42" s="4">
        <f>IF(COUNT(U42:V42)&gt;0,Q42/COUNT(U42:V42),0.5)</f>
        <v/>
      </c>
      <c r="P42" s="4">
        <f>IF(COUNT(W42:X42)&gt;0,R42/COUNT(W42:X42),0.5)</f>
        <v/>
      </c>
      <c r="Q42" s="17">
        <f>SUM(U42:V42)</f>
        <v/>
      </c>
      <c r="R42" s="17">
        <f>SUM(W42:X42)</f>
        <v/>
      </c>
      <c r="S42" s="18">
        <f>IF(ISNUMBER(K42),K42,IF(ISNUMBER(L42),-L42,""))</f>
        <v/>
      </c>
      <c r="T42">
        <f>IF(ISNUMBER(L42),L42,IF(ISNUMBER(K42),-K42,""))</f>
        <v/>
      </c>
      <c r="U42" s="18">
        <f>IF(ISNUMBER(S42),IF(ISNUMBER(S43),IF(S42&gt;S43,1.0,IF(S42=S43,0.5,0.0)),0.5),0.5)</f>
        <v/>
      </c>
      <c r="V42">
        <f>IF(ISNUMBER(S42),IF(ISNUMBER(S44),IF(S42&gt;S44,1.0,IF(S42=S44,0.5,0.0)),0.5),0.5)</f>
        <v/>
      </c>
      <c r="W42">
        <f>IF(ISNUMBER(T42),IF(ISNUMBER(T43),IF(T42&gt;T43,1.0,IF(T42=T43,0.5,0.0)),0.5),0.5)</f>
        <v/>
      </c>
      <c r="X42">
        <f>IF(ISNUMBER(T42),IF(ISNUMBER(T44),IF(T42&gt;T44,1.0,IF(T42=T44,0.5,0.0)),0.5),0.5)</f>
        <v/>
      </c>
      <c r="Y42" s="18">
        <f>IF(AND(ISNUMBER(S42),ISNUMBER(S43)),VLOOKUP(ABS(S42-S43),'IMP Table'!$A$2:$C$26,3)*SIGN(S42-S43),0)</f>
        <v/>
      </c>
      <c r="Z42">
        <f>IF(AND(ISNUMBER(S42),ISNUMBER(S44)),VLOOKUP(ABS(S42-S44),'IMP Table'!$A$2:$C$26,3)*SIGN(S42-S44),0)</f>
        <v/>
      </c>
      <c r="AA42">
        <f>IF(AND(ISNUMBER(T42),ISNUMBER(T43)),VLOOKUP(ABS(T42-T43),'IMP Table'!$A$2:$C$26,3)*SIGN(T42-T43),0)</f>
        <v/>
      </c>
      <c r="AB42">
        <f>IF(AND(ISNUMBER(T42),ISNUMBER(T44)),VLOOKUP(ABS(T42-T44),'IMP Table'!$A$2:$C$26,3)*SIGN(T42-T44),0)</f>
        <v/>
      </c>
    </row>
    <row r="43">
      <c r="B43" s="15">
        <f>'By Round'!A35</f>
        <v/>
      </c>
      <c r="C43" s="15">
        <f>'By Round'!B39</f>
        <v/>
      </c>
      <c r="D43" s="15">
        <f>'By Round'!C39</f>
        <v/>
      </c>
      <c r="E43" s="15">
        <f>'By Round'!D39</f>
        <v/>
      </c>
      <c r="F43" s="15">
        <f>IF(ISBLANK('By Round'!F40),"",'By Round'!F40)</f>
        <v/>
      </c>
      <c r="G43">
        <f>IF(ISBLANK('By Round'!G40),"",'By Round'!G40)</f>
        <v/>
      </c>
      <c r="H43">
        <f>IF(ISBLANK('By Round'!H40),"",'By Round'!H40)</f>
        <v/>
      </c>
      <c r="I43">
        <f>IF(ISBLANK('By Round'!I40),"",'By Round'!I40)</f>
        <v/>
      </c>
      <c r="J43">
        <f>IF(ISBLANK('By Round'!J40),"",'By Round'!J40)</f>
        <v/>
      </c>
      <c r="K43">
        <f>IF(ISBLANK('By Round'!K40),"",'By Round'!K40)</f>
        <v/>
      </c>
      <c r="L43">
        <f>IF(ISBLANK('By Round'!L40),"",'By Round'!L40)</f>
        <v/>
      </c>
      <c r="M43" s="16">
        <f>AVERAGE(Y43:Z43)</f>
        <v/>
      </c>
      <c r="N43" s="5">
        <f>AVERAGE(AA43:AB43)</f>
        <v/>
      </c>
      <c r="O43" s="4">
        <f>IF(COUNT(U43:V43)&gt;0,Q43/COUNT(U43:V43),0.5)</f>
        <v/>
      </c>
      <c r="P43" s="4">
        <f>IF(COUNT(W43:X43)&gt;0,R43/COUNT(W43:X43),0.5)</f>
        <v/>
      </c>
      <c r="Q43" s="17">
        <f>SUM(U43:V43)</f>
        <v/>
      </c>
      <c r="R43" s="17">
        <f>SUM(W43:X43)</f>
        <v/>
      </c>
      <c r="S43" s="18">
        <f>IF(ISNUMBER(K43),K43,IF(ISNUMBER(L43),-L43,""))</f>
        <v/>
      </c>
      <c r="T43">
        <f>IF(ISNUMBER(L43),L43,IF(ISNUMBER(K43),-K43,""))</f>
        <v/>
      </c>
      <c r="U43" s="18">
        <f>IF(ISNUMBER(S43),IF(ISNUMBER(S42),IF(S43&gt;S42,1.0,IF(S43=S42,0.5,0.0)),0.5),0.5)</f>
        <v/>
      </c>
      <c r="V43">
        <f>IF(ISNUMBER(S43),IF(ISNUMBER(S44),IF(S43&gt;S44,1.0,IF(S43=S44,0.5,0.0)),0.5),0.5)</f>
        <v/>
      </c>
      <c r="W43">
        <f>IF(ISNUMBER(T43),IF(ISNUMBER(T42),IF(T43&gt;T42,1.0,IF(T43=T42,0.5,0.0)),0.5),0.5)</f>
        <v/>
      </c>
      <c r="X43">
        <f>IF(ISNUMBER(T43),IF(ISNUMBER(T44),IF(T43&gt;T44,1.0,IF(T43=T44,0.5,0.0)),0.5),0.5)</f>
        <v/>
      </c>
      <c r="Y43" s="18">
        <f>IF(AND(ISNUMBER(S43),ISNUMBER(S42)),VLOOKUP(ABS(S43-S42),'IMP Table'!$A$2:$C$26,3)*SIGN(S43-S42),0)</f>
        <v/>
      </c>
      <c r="Z43">
        <f>IF(AND(ISNUMBER(S43),ISNUMBER(S44)),VLOOKUP(ABS(S43-S44),'IMP Table'!$A$2:$C$26,3)*SIGN(S43-S44),0)</f>
        <v/>
      </c>
      <c r="AA43">
        <f>IF(AND(ISNUMBER(T43),ISNUMBER(T42)),VLOOKUP(ABS(T43-T42),'IMP Table'!$A$2:$C$26,3)*SIGN(T43-T42),0)</f>
        <v/>
      </c>
      <c r="AB43">
        <f>IF(AND(ISNUMBER(T43),ISNUMBER(T44)),VLOOKUP(ABS(T43-T44),'IMP Table'!$A$2:$C$26,3)*SIGN(T43-T44),0)</f>
        <v/>
      </c>
    </row>
    <row r="44">
      <c r="A44" s="7" t="n"/>
      <c r="B44" s="19">
        <f>'By Round'!A3</f>
        <v/>
      </c>
      <c r="C44" s="19">
        <f>'By Round'!B15</f>
        <v/>
      </c>
      <c r="D44" s="19">
        <f>'By Round'!C15</f>
        <v/>
      </c>
      <c r="E44" s="19">
        <f>'By Round'!D15</f>
        <v/>
      </c>
      <c r="F44" s="19">
        <f>IF(ISBLANK('By Round'!F16),"",'By Round'!F16)</f>
        <v/>
      </c>
      <c r="G44" s="7">
        <f>IF(ISBLANK('By Round'!G16),"",'By Round'!G16)</f>
        <v/>
      </c>
      <c r="H44" s="7">
        <f>IF(ISBLANK('By Round'!H16),"",'By Round'!H16)</f>
        <v/>
      </c>
      <c r="I44" s="7">
        <f>IF(ISBLANK('By Round'!I16),"",'By Round'!I16)</f>
        <v/>
      </c>
      <c r="J44" s="7">
        <f>IF(ISBLANK('By Round'!J16),"",'By Round'!J16)</f>
        <v/>
      </c>
      <c r="K44" s="7">
        <f>IF(ISBLANK('By Round'!K16),"",'By Round'!K16)</f>
        <v/>
      </c>
      <c r="L44" s="7">
        <f>IF(ISBLANK('By Round'!L16),"",'By Round'!L16)</f>
        <v/>
      </c>
      <c r="M44" s="20">
        <f>AVERAGE(Y44:Z44)</f>
        <v/>
      </c>
      <c r="N44" s="9">
        <f>AVERAGE(AA44:AB44)</f>
        <v/>
      </c>
      <c r="O44" s="8">
        <f>IF(COUNT(U44:V44)&gt;0,Q44/COUNT(U44:V44),0.5)</f>
        <v/>
      </c>
      <c r="P44" s="8">
        <f>IF(COUNT(W44:X44)&gt;0,R44/COUNT(W44:X44),0.5)</f>
        <v/>
      </c>
      <c r="Q44" s="21">
        <f>SUM(U44:V44)</f>
        <v/>
      </c>
      <c r="R44" s="21">
        <f>SUM(W44:X44)</f>
        <v/>
      </c>
      <c r="S44" s="22">
        <f>IF(ISNUMBER(K44),K44,IF(ISNUMBER(L44),-L44,""))</f>
        <v/>
      </c>
      <c r="T44" s="7">
        <f>IF(ISNUMBER(L44),L44,IF(ISNUMBER(K44),-K44,""))</f>
        <v/>
      </c>
      <c r="U44" s="22">
        <f>IF(ISNUMBER(S44),IF(ISNUMBER(S42),IF(S44&gt;S42,1.0,IF(S44=S42,0.5,0.0)),0.5),0.5)</f>
        <v/>
      </c>
      <c r="V44" s="7">
        <f>IF(ISNUMBER(S44),IF(ISNUMBER(S43),IF(S44&gt;S43,1.0,IF(S44=S43,0.5,0.0)),0.5),0.5)</f>
        <v/>
      </c>
      <c r="W44" s="7">
        <f>IF(ISNUMBER(T44),IF(ISNUMBER(T42),IF(T44&gt;T42,1.0,IF(T44=T42,0.5,0.0)),0.5),0.5)</f>
        <v/>
      </c>
      <c r="X44" s="7">
        <f>IF(ISNUMBER(T44),IF(ISNUMBER(T43),IF(T44&gt;T43,1.0,IF(T44=T43,0.5,0.0)),0.5),0.5)</f>
        <v/>
      </c>
      <c r="Y44" s="22">
        <f>IF(AND(ISNUMBER(S44),ISNUMBER(S42)),VLOOKUP(ABS(S44-S42),'IMP Table'!$A$2:$C$26,3)*SIGN(S44-S42),0)</f>
        <v/>
      </c>
      <c r="Z44" s="7">
        <f>IF(AND(ISNUMBER(S44),ISNUMBER(S43)),VLOOKUP(ABS(S44-S43),'IMP Table'!$A$2:$C$26,3)*SIGN(S44-S43),0)</f>
        <v/>
      </c>
      <c r="AA44" s="7">
        <f>IF(AND(ISNUMBER(T44),ISNUMBER(T42)),VLOOKUP(ABS(T44-T42),'IMP Table'!$A$2:$C$26,3)*SIGN(T44-T42),0)</f>
        <v/>
      </c>
      <c r="AB44" s="7">
        <f>IF(AND(ISNUMBER(T44),ISNUMBER(T43)),VLOOKUP(ABS(T44-T43),'IMP Table'!$A$2:$C$26,3)*SIGN(T44-T43),0)</f>
        <v/>
      </c>
      <c r="AC44" s="7" t="n"/>
      <c r="AD44" s="7" t="n"/>
      <c r="AE44" s="7" t="n"/>
      <c r="AF44" s="7" t="n"/>
    </row>
    <row r="45">
      <c r="A45" s="15" t="n">
        <v>15</v>
      </c>
      <c r="B45" s="15">
        <f>'By Round'!A19</f>
        <v/>
      </c>
      <c r="C45" s="15">
        <f>'By Round'!B19</f>
        <v/>
      </c>
      <c r="D45" s="15">
        <f>'By Round'!C19</f>
        <v/>
      </c>
      <c r="E45" s="15">
        <f>'By Round'!D19</f>
        <v/>
      </c>
      <c r="F45" s="15">
        <f>IF(ISBLANK('By Round'!F21),"",'By Round'!F21)</f>
        <v/>
      </c>
      <c r="G45">
        <f>IF(ISBLANK('By Round'!G21),"",'By Round'!G21)</f>
        <v/>
      </c>
      <c r="H45">
        <f>IF(ISBLANK('By Round'!H21),"",'By Round'!H21)</f>
        <v/>
      </c>
      <c r="I45">
        <f>IF(ISBLANK('By Round'!I21),"",'By Round'!I21)</f>
        <v/>
      </c>
      <c r="J45">
        <f>IF(ISBLANK('By Round'!J21),"",'By Round'!J21)</f>
        <v/>
      </c>
      <c r="K45">
        <f>IF(ISBLANK('By Round'!K21),"",'By Round'!K21)</f>
        <v/>
      </c>
      <c r="L45">
        <f>IF(ISBLANK('By Round'!L21),"",'By Round'!L21)</f>
        <v/>
      </c>
      <c r="M45" s="16">
        <f>AVERAGE(Y45:Z45)</f>
        <v/>
      </c>
      <c r="N45" s="5">
        <f>AVERAGE(AA45:AB45)</f>
        <v/>
      </c>
      <c r="O45" s="4">
        <f>IF(COUNT(U45:V45)&gt;0,Q45/COUNT(U45:V45),0.5)</f>
        <v/>
      </c>
      <c r="P45" s="4">
        <f>IF(COUNT(W45:X45)&gt;0,R45/COUNT(W45:X45),0.5)</f>
        <v/>
      </c>
      <c r="Q45" s="17">
        <f>SUM(U45:V45)</f>
        <v/>
      </c>
      <c r="R45" s="17">
        <f>SUM(W45:X45)</f>
        <v/>
      </c>
      <c r="S45" s="18">
        <f>IF(ISNUMBER(K45),K45,IF(ISNUMBER(L45),-L45,""))</f>
        <v/>
      </c>
      <c r="T45">
        <f>IF(ISNUMBER(L45),L45,IF(ISNUMBER(K45),-K45,""))</f>
        <v/>
      </c>
      <c r="U45" s="18">
        <f>IF(ISNUMBER(S45),IF(ISNUMBER(S46),IF(S45&gt;S46,1.0,IF(S45=S46,0.5,0.0)),0.5),0.5)</f>
        <v/>
      </c>
      <c r="V45">
        <f>IF(ISNUMBER(S45),IF(ISNUMBER(S47),IF(S45&gt;S47,1.0,IF(S45=S47,0.5,0.0)),0.5),0.5)</f>
        <v/>
      </c>
      <c r="W45">
        <f>IF(ISNUMBER(T45),IF(ISNUMBER(T46),IF(T45&gt;T46,1.0,IF(T45=T46,0.5,0.0)),0.5),0.5)</f>
        <v/>
      </c>
      <c r="X45">
        <f>IF(ISNUMBER(T45),IF(ISNUMBER(T47),IF(T45&gt;T47,1.0,IF(T45=T47,0.5,0.0)),0.5),0.5)</f>
        <v/>
      </c>
      <c r="Y45" s="18">
        <f>IF(AND(ISNUMBER(S45),ISNUMBER(S46)),VLOOKUP(ABS(S45-S46),'IMP Table'!$A$2:$C$26,3)*SIGN(S45-S46),0)</f>
        <v/>
      </c>
      <c r="Z45">
        <f>IF(AND(ISNUMBER(S45),ISNUMBER(S47)),VLOOKUP(ABS(S45-S47),'IMP Table'!$A$2:$C$26,3)*SIGN(S45-S47),0)</f>
        <v/>
      </c>
      <c r="AA45">
        <f>IF(AND(ISNUMBER(T45),ISNUMBER(T46)),VLOOKUP(ABS(T45-T46),'IMP Table'!$A$2:$C$26,3)*SIGN(T45-T46),0)</f>
        <v/>
      </c>
      <c r="AB45">
        <f>IF(AND(ISNUMBER(T45),ISNUMBER(T47)),VLOOKUP(ABS(T45-T47),'IMP Table'!$A$2:$C$26,3)*SIGN(T45-T47),0)</f>
        <v/>
      </c>
    </row>
    <row r="46">
      <c r="B46" s="15">
        <f>'By Round'!A35</f>
        <v/>
      </c>
      <c r="C46" s="15">
        <f>'By Round'!B39</f>
        <v/>
      </c>
      <c r="D46" s="15">
        <f>'By Round'!C39</f>
        <v/>
      </c>
      <c r="E46" s="15">
        <f>'By Round'!D39</f>
        <v/>
      </c>
      <c r="F46" s="15">
        <f>IF(ISBLANK('By Round'!F41),"",'By Round'!F41)</f>
        <v/>
      </c>
      <c r="G46">
        <f>IF(ISBLANK('By Round'!G41),"",'By Round'!G41)</f>
        <v/>
      </c>
      <c r="H46">
        <f>IF(ISBLANK('By Round'!H41),"",'By Round'!H41)</f>
        <v/>
      </c>
      <c r="I46">
        <f>IF(ISBLANK('By Round'!I41),"",'By Round'!I41)</f>
        <v/>
      </c>
      <c r="J46">
        <f>IF(ISBLANK('By Round'!J41),"",'By Round'!J41)</f>
        <v/>
      </c>
      <c r="K46">
        <f>IF(ISBLANK('By Round'!K41),"",'By Round'!K41)</f>
        <v/>
      </c>
      <c r="L46">
        <f>IF(ISBLANK('By Round'!L41),"",'By Round'!L41)</f>
        <v/>
      </c>
      <c r="M46" s="16">
        <f>AVERAGE(Y46:Z46)</f>
        <v/>
      </c>
      <c r="N46" s="5">
        <f>AVERAGE(AA46:AB46)</f>
        <v/>
      </c>
      <c r="O46" s="4">
        <f>IF(COUNT(U46:V46)&gt;0,Q46/COUNT(U46:V46),0.5)</f>
        <v/>
      </c>
      <c r="P46" s="4">
        <f>IF(COUNT(W46:X46)&gt;0,R46/COUNT(W46:X46),0.5)</f>
        <v/>
      </c>
      <c r="Q46" s="17">
        <f>SUM(U46:V46)</f>
        <v/>
      </c>
      <c r="R46" s="17">
        <f>SUM(W46:X46)</f>
        <v/>
      </c>
      <c r="S46" s="18">
        <f>IF(ISNUMBER(K46),K46,IF(ISNUMBER(L46),-L46,""))</f>
        <v/>
      </c>
      <c r="T46">
        <f>IF(ISNUMBER(L46),L46,IF(ISNUMBER(K46),-K46,""))</f>
        <v/>
      </c>
      <c r="U46" s="18">
        <f>IF(ISNUMBER(S46),IF(ISNUMBER(S45),IF(S46&gt;S45,1.0,IF(S46=S45,0.5,0.0)),0.5),0.5)</f>
        <v/>
      </c>
      <c r="V46">
        <f>IF(ISNUMBER(S46),IF(ISNUMBER(S47),IF(S46&gt;S47,1.0,IF(S46=S47,0.5,0.0)),0.5),0.5)</f>
        <v/>
      </c>
      <c r="W46">
        <f>IF(ISNUMBER(T46),IF(ISNUMBER(T45),IF(T46&gt;T45,1.0,IF(T46=T45,0.5,0.0)),0.5),0.5)</f>
        <v/>
      </c>
      <c r="X46">
        <f>IF(ISNUMBER(T46),IF(ISNUMBER(T47),IF(T46&gt;T47,1.0,IF(T46=T47,0.5,0.0)),0.5),0.5)</f>
        <v/>
      </c>
      <c r="Y46" s="18">
        <f>IF(AND(ISNUMBER(S46),ISNUMBER(S45)),VLOOKUP(ABS(S46-S45),'IMP Table'!$A$2:$C$26,3)*SIGN(S46-S45),0)</f>
        <v/>
      </c>
      <c r="Z46">
        <f>IF(AND(ISNUMBER(S46),ISNUMBER(S47)),VLOOKUP(ABS(S46-S47),'IMP Table'!$A$2:$C$26,3)*SIGN(S46-S47),0)</f>
        <v/>
      </c>
      <c r="AA46">
        <f>IF(AND(ISNUMBER(T46),ISNUMBER(T45)),VLOOKUP(ABS(T46-T45),'IMP Table'!$A$2:$C$26,3)*SIGN(T46-T45),0)</f>
        <v/>
      </c>
      <c r="AB46">
        <f>IF(AND(ISNUMBER(T46),ISNUMBER(T47)),VLOOKUP(ABS(T46-T47),'IMP Table'!$A$2:$C$26,3)*SIGN(T46-T47),0)</f>
        <v/>
      </c>
    </row>
    <row r="47">
      <c r="A47" s="7" t="n"/>
      <c r="B47" s="19">
        <f>'By Round'!A3</f>
        <v/>
      </c>
      <c r="C47" s="19">
        <f>'By Round'!B15</f>
        <v/>
      </c>
      <c r="D47" s="19">
        <f>'By Round'!C15</f>
        <v/>
      </c>
      <c r="E47" s="19">
        <f>'By Round'!D15</f>
        <v/>
      </c>
      <c r="F47" s="19">
        <f>IF(ISBLANK('By Round'!F17),"",'By Round'!F17)</f>
        <v/>
      </c>
      <c r="G47" s="7">
        <f>IF(ISBLANK('By Round'!G17),"",'By Round'!G17)</f>
        <v/>
      </c>
      <c r="H47" s="7">
        <f>IF(ISBLANK('By Round'!H17),"",'By Round'!H17)</f>
        <v/>
      </c>
      <c r="I47" s="7">
        <f>IF(ISBLANK('By Round'!I17),"",'By Round'!I17)</f>
        <v/>
      </c>
      <c r="J47" s="7">
        <f>IF(ISBLANK('By Round'!J17),"",'By Round'!J17)</f>
        <v/>
      </c>
      <c r="K47" s="7">
        <f>IF(ISBLANK('By Round'!K17),"",'By Round'!K17)</f>
        <v/>
      </c>
      <c r="L47" s="7">
        <f>IF(ISBLANK('By Round'!L17),"",'By Round'!L17)</f>
        <v/>
      </c>
      <c r="M47" s="20">
        <f>AVERAGE(Y47:Z47)</f>
        <v/>
      </c>
      <c r="N47" s="9">
        <f>AVERAGE(AA47:AB47)</f>
        <v/>
      </c>
      <c r="O47" s="8">
        <f>IF(COUNT(U47:V47)&gt;0,Q47/COUNT(U47:V47),0.5)</f>
        <v/>
      </c>
      <c r="P47" s="8">
        <f>IF(COUNT(W47:X47)&gt;0,R47/COUNT(W47:X47),0.5)</f>
        <v/>
      </c>
      <c r="Q47" s="21">
        <f>SUM(U47:V47)</f>
        <v/>
      </c>
      <c r="R47" s="21">
        <f>SUM(W47:X47)</f>
        <v/>
      </c>
      <c r="S47" s="22">
        <f>IF(ISNUMBER(K47),K47,IF(ISNUMBER(L47),-L47,""))</f>
        <v/>
      </c>
      <c r="T47" s="7">
        <f>IF(ISNUMBER(L47),L47,IF(ISNUMBER(K47),-K47,""))</f>
        <v/>
      </c>
      <c r="U47" s="22">
        <f>IF(ISNUMBER(S47),IF(ISNUMBER(S45),IF(S47&gt;S45,1.0,IF(S47=S45,0.5,0.0)),0.5),0.5)</f>
        <v/>
      </c>
      <c r="V47" s="7">
        <f>IF(ISNUMBER(S47),IF(ISNUMBER(S46),IF(S47&gt;S46,1.0,IF(S47=S46,0.5,0.0)),0.5),0.5)</f>
        <v/>
      </c>
      <c r="W47" s="7">
        <f>IF(ISNUMBER(T47),IF(ISNUMBER(T45),IF(T47&gt;T45,1.0,IF(T47=T45,0.5,0.0)),0.5),0.5)</f>
        <v/>
      </c>
      <c r="X47" s="7">
        <f>IF(ISNUMBER(T47),IF(ISNUMBER(T46),IF(T47&gt;T46,1.0,IF(T47=T46,0.5,0.0)),0.5),0.5)</f>
        <v/>
      </c>
      <c r="Y47" s="22">
        <f>IF(AND(ISNUMBER(S47),ISNUMBER(S45)),VLOOKUP(ABS(S47-S45),'IMP Table'!$A$2:$C$26,3)*SIGN(S47-S45),0)</f>
        <v/>
      </c>
      <c r="Z47" s="7">
        <f>IF(AND(ISNUMBER(S47),ISNUMBER(S46)),VLOOKUP(ABS(S47-S46),'IMP Table'!$A$2:$C$26,3)*SIGN(S47-S46),0)</f>
        <v/>
      </c>
      <c r="AA47" s="7">
        <f>IF(AND(ISNUMBER(T47),ISNUMBER(T45)),VLOOKUP(ABS(T47-T45),'IMP Table'!$A$2:$C$26,3)*SIGN(T47-T45),0)</f>
        <v/>
      </c>
      <c r="AB47" s="7">
        <f>IF(AND(ISNUMBER(T47),ISNUMBER(T46)),VLOOKUP(ABS(T47-T46),'IMP Table'!$A$2:$C$26,3)*SIGN(T47-T46),0)</f>
        <v/>
      </c>
      <c r="AC47" s="7" t="n"/>
      <c r="AD47" s="7" t="n"/>
      <c r="AE47" s="7" t="n"/>
      <c r="AF47" s="7" t="n"/>
    </row>
    <row r="48">
      <c r="A48" s="15" t="n">
        <v>16</v>
      </c>
      <c r="B48" s="15">
        <f>'By Round'!A19</f>
        <v/>
      </c>
      <c r="C48" s="15">
        <f>'By Round'!B19</f>
        <v/>
      </c>
      <c r="D48" s="15">
        <f>'By Round'!C19</f>
        <v/>
      </c>
      <c r="E48" s="15">
        <f>'By Round'!D19</f>
        <v/>
      </c>
      <c r="F48" s="15">
        <f>IF(ISBLANK('By Round'!F22),"",'By Round'!F22)</f>
        <v/>
      </c>
      <c r="G48">
        <f>IF(ISBLANK('By Round'!G22),"",'By Round'!G22)</f>
        <v/>
      </c>
      <c r="H48">
        <f>IF(ISBLANK('By Round'!H22),"",'By Round'!H22)</f>
        <v/>
      </c>
      <c r="I48">
        <f>IF(ISBLANK('By Round'!I22),"",'By Round'!I22)</f>
        <v/>
      </c>
      <c r="J48">
        <f>IF(ISBLANK('By Round'!J22),"",'By Round'!J22)</f>
        <v/>
      </c>
      <c r="K48">
        <f>IF(ISBLANK('By Round'!K22),"",'By Round'!K22)</f>
        <v/>
      </c>
      <c r="L48">
        <f>IF(ISBLANK('By Round'!L22),"",'By Round'!L22)</f>
        <v/>
      </c>
      <c r="M48" s="16">
        <f>AVERAGE(Y48:Z48)</f>
        <v/>
      </c>
      <c r="N48" s="5">
        <f>AVERAGE(AA48:AB48)</f>
        <v/>
      </c>
      <c r="O48" s="4">
        <f>IF(COUNT(U48:V48)&gt;0,Q48/COUNT(U48:V48),0.5)</f>
        <v/>
      </c>
      <c r="P48" s="4">
        <f>IF(COUNT(W48:X48)&gt;0,R48/COUNT(W48:X48),0.5)</f>
        <v/>
      </c>
      <c r="Q48" s="17">
        <f>SUM(U48:V48)</f>
        <v/>
      </c>
      <c r="R48" s="17">
        <f>SUM(W48:X48)</f>
        <v/>
      </c>
      <c r="S48" s="18">
        <f>IF(ISNUMBER(K48),K48,IF(ISNUMBER(L48),-L48,""))</f>
        <v/>
      </c>
      <c r="T48">
        <f>IF(ISNUMBER(L48),L48,IF(ISNUMBER(K48),-K48,""))</f>
        <v/>
      </c>
      <c r="U48" s="18">
        <f>IF(ISNUMBER(S48),IF(ISNUMBER(S49),IF(S48&gt;S49,1.0,IF(S48=S49,0.5,0.0)),0.5),0.5)</f>
        <v/>
      </c>
      <c r="V48">
        <f>IF(ISNUMBER(S48),IF(ISNUMBER(S50),IF(S48&gt;S50,1.0,IF(S48=S50,0.5,0.0)),0.5),0.5)</f>
        <v/>
      </c>
      <c r="W48">
        <f>IF(ISNUMBER(T48),IF(ISNUMBER(T49),IF(T48&gt;T49,1.0,IF(T48=T49,0.5,0.0)),0.5),0.5)</f>
        <v/>
      </c>
      <c r="X48">
        <f>IF(ISNUMBER(T48),IF(ISNUMBER(T50),IF(T48&gt;T50,1.0,IF(T48=T50,0.5,0.0)),0.5),0.5)</f>
        <v/>
      </c>
      <c r="Y48" s="18">
        <f>IF(AND(ISNUMBER(S48),ISNUMBER(S49)),VLOOKUP(ABS(S48-S49),'IMP Table'!$A$2:$C$26,3)*SIGN(S48-S49),0)</f>
        <v/>
      </c>
      <c r="Z48">
        <f>IF(AND(ISNUMBER(S48),ISNUMBER(S50)),VLOOKUP(ABS(S48-S50),'IMP Table'!$A$2:$C$26,3)*SIGN(S48-S50),0)</f>
        <v/>
      </c>
      <c r="AA48">
        <f>IF(AND(ISNUMBER(T48),ISNUMBER(T49)),VLOOKUP(ABS(T48-T49),'IMP Table'!$A$2:$C$26,3)*SIGN(T48-T49),0)</f>
        <v/>
      </c>
      <c r="AB48">
        <f>IF(AND(ISNUMBER(T48),ISNUMBER(T50)),VLOOKUP(ABS(T48-T50),'IMP Table'!$A$2:$C$26,3)*SIGN(T48-T50),0)</f>
        <v/>
      </c>
    </row>
    <row r="49">
      <c r="B49" s="15">
        <f>'By Round'!A35</f>
        <v/>
      </c>
      <c r="C49" s="15">
        <f>'By Round'!B39</f>
        <v/>
      </c>
      <c r="D49" s="15">
        <f>'By Round'!C39</f>
        <v/>
      </c>
      <c r="E49" s="15">
        <f>'By Round'!D39</f>
        <v/>
      </c>
      <c r="F49" s="15">
        <f>IF(ISBLANK('By Round'!F42),"",'By Round'!F42)</f>
        <v/>
      </c>
      <c r="G49">
        <f>IF(ISBLANK('By Round'!G42),"",'By Round'!G42)</f>
        <v/>
      </c>
      <c r="H49">
        <f>IF(ISBLANK('By Round'!H42),"",'By Round'!H42)</f>
        <v/>
      </c>
      <c r="I49">
        <f>IF(ISBLANK('By Round'!I42),"",'By Round'!I42)</f>
        <v/>
      </c>
      <c r="J49">
        <f>IF(ISBLANK('By Round'!J42),"",'By Round'!J42)</f>
        <v/>
      </c>
      <c r="K49">
        <f>IF(ISBLANK('By Round'!K42),"",'By Round'!K42)</f>
        <v/>
      </c>
      <c r="L49">
        <f>IF(ISBLANK('By Round'!L42),"",'By Round'!L42)</f>
        <v/>
      </c>
      <c r="M49" s="16">
        <f>AVERAGE(Y49:Z49)</f>
        <v/>
      </c>
      <c r="N49" s="5">
        <f>AVERAGE(AA49:AB49)</f>
        <v/>
      </c>
      <c r="O49" s="4">
        <f>IF(COUNT(U49:V49)&gt;0,Q49/COUNT(U49:V49),0.5)</f>
        <v/>
      </c>
      <c r="P49" s="4">
        <f>IF(COUNT(W49:X49)&gt;0,R49/COUNT(W49:X49),0.5)</f>
        <v/>
      </c>
      <c r="Q49" s="17">
        <f>SUM(U49:V49)</f>
        <v/>
      </c>
      <c r="R49" s="17">
        <f>SUM(W49:X49)</f>
        <v/>
      </c>
      <c r="S49" s="18">
        <f>IF(ISNUMBER(K49),K49,IF(ISNUMBER(L49),-L49,""))</f>
        <v/>
      </c>
      <c r="T49">
        <f>IF(ISNUMBER(L49),L49,IF(ISNUMBER(K49),-K49,""))</f>
        <v/>
      </c>
      <c r="U49" s="18">
        <f>IF(ISNUMBER(S49),IF(ISNUMBER(S48),IF(S49&gt;S48,1.0,IF(S49=S48,0.5,0.0)),0.5),0.5)</f>
        <v/>
      </c>
      <c r="V49">
        <f>IF(ISNUMBER(S49),IF(ISNUMBER(S50),IF(S49&gt;S50,1.0,IF(S49=S50,0.5,0.0)),0.5),0.5)</f>
        <v/>
      </c>
      <c r="W49">
        <f>IF(ISNUMBER(T49),IF(ISNUMBER(T48),IF(T49&gt;T48,1.0,IF(T49=T48,0.5,0.0)),0.5),0.5)</f>
        <v/>
      </c>
      <c r="X49">
        <f>IF(ISNUMBER(T49),IF(ISNUMBER(T50),IF(T49&gt;T50,1.0,IF(T49=T50,0.5,0.0)),0.5),0.5)</f>
        <v/>
      </c>
      <c r="Y49" s="18">
        <f>IF(AND(ISNUMBER(S49),ISNUMBER(S48)),VLOOKUP(ABS(S49-S48),'IMP Table'!$A$2:$C$26,3)*SIGN(S49-S48),0)</f>
        <v/>
      </c>
      <c r="Z49">
        <f>IF(AND(ISNUMBER(S49),ISNUMBER(S50)),VLOOKUP(ABS(S49-S50),'IMP Table'!$A$2:$C$26,3)*SIGN(S49-S50),0)</f>
        <v/>
      </c>
      <c r="AA49">
        <f>IF(AND(ISNUMBER(T49),ISNUMBER(T48)),VLOOKUP(ABS(T49-T48),'IMP Table'!$A$2:$C$26,3)*SIGN(T49-T48),0)</f>
        <v/>
      </c>
      <c r="AB49">
        <f>IF(AND(ISNUMBER(T49),ISNUMBER(T50)),VLOOKUP(ABS(T49-T50),'IMP Table'!$A$2:$C$26,3)*SIGN(T49-T50),0)</f>
        <v/>
      </c>
    </row>
    <row r="50">
      <c r="A50" s="7" t="n"/>
      <c r="B50" s="19">
        <f>'By Round'!A3</f>
        <v/>
      </c>
      <c r="C50" s="19">
        <f>'By Round'!B15</f>
        <v/>
      </c>
      <c r="D50" s="19">
        <f>'By Round'!C15</f>
        <v/>
      </c>
      <c r="E50" s="19">
        <f>'By Round'!D15</f>
        <v/>
      </c>
      <c r="F50" s="19">
        <f>IF(ISBLANK('By Round'!F18),"",'By Round'!F18)</f>
        <v/>
      </c>
      <c r="G50" s="7">
        <f>IF(ISBLANK('By Round'!G18),"",'By Round'!G18)</f>
        <v/>
      </c>
      <c r="H50" s="7">
        <f>IF(ISBLANK('By Round'!H18),"",'By Round'!H18)</f>
        <v/>
      </c>
      <c r="I50" s="7">
        <f>IF(ISBLANK('By Round'!I18),"",'By Round'!I18)</f>
        <v/>
      </c>
      <c r="J50" s="7">
        <f>IF(ISBLANK('By Round'!J18),"",'By Round'!J18)</f>
        <v/>
      </c>
      <c r="K50" s="7">
        <f>IF(ISBLANK('By Round'!K18),"",'By Round'!K18)</f>
        <v/>
      </c>
      <c r="L50" s="7">
        <f>IF(ISBLANK('By Round'!L18),"",'By Round'!L18)</f>
        <v/>
      </c>
      <c r="M50" s="20">
        <f>AVERAGE(Y50:Z50)</f>
        <v/>
      </c>
      <c r="N50" s="9">
        <f>AVERAGE(AA50:AB50)</f>
        <v/>
      </c>
      <c r="O50" s="8">
        <f>IF(COUNT(U50:V50)&gt;0,Q50/COUNT(U50:V50),0.5)</f>
        <v/>
      </c>
      <c r="P50" s="8">
        <f>IF(COUNT(W50:X50)&gt;0,R50/COUNT(W50:X50),0.5)</f>
        <v/>
      </c>
      <c r="Q50" s="21">
        <f>SUM(U50:V50)</f>
        <v/>
      </c>
      <c r="R50" s="21">
        <f>SUM(W50:X50)</f>
        <v/>
      </c>
      <c r="S50" s="22">
        <f>IF(ISNUMBER(K50),K50,IF(ISNUMBER(L50),-L50,""))</f>
        <v/>
      </c>
      <c r="T50" s="7">
        <f>IF(ISNUMBER(L50),L50,IF(ISNUMBER(K50),-K50,""))</f>
        <v/>
      </c>
      <c r="U50" s="22">
        <f>IF(ISNUMBER(S50),IF(ISNUMBER(S48),IF(S50&gt;S48,1.0,IF(S50=S48,0.5,0.0)),0.5),0.5)</f>
        <v/>
      </c>
      <c r="V50" s="7">
        <f>IF(ISNUMBER(S50),IF(ISNUMBER(S49),IF(S50&gt;S49,1.0,IF(S50=S49,0.5,0.0)),0.5),0.5)</f>
        <v/>
      </c>
      <c r="W50" s="7">
        <f>IF(ISNUMBER(T50),IF(ISNUMBER(T48),IF(T50&gt;T48,1.0,IF(T50=T48,0.5,0.0)),0.5),0.5)</f>
        <v/>
      </c>
      <c r="X50" s="7">
        <f>IF(ISNUMBER(T50),IF(ISNUMBER(T49),IF(T50&gt;T49,1.0,IF(T50=T49,0.5,0.0)),0.5),0.5)</f>
        <v/>
      </c>
      <c r="Y50" s="22">
        <f>IF(AND(ISNUMBER(S50),ISNUMBER(S48)),VLOOKUP(ABS(S50-S48),'IMP Table'!$A$2:$C$26,3)*SIGN(S50-S48),0)</f>
        <v/>
      </c>
      <c r="Z50" s="7">
        <f>IF(AND(ISNUMBER(S50),ISNUMBER(S49)),VLOOKUP(ABS(S50-S49),'IMP Table'!$A$2:$C$26,3)*SIGN(S50-S49),0)</f>
        <v/>
      </c>
      <c r="AA50" s="7">
        <f>IF(AND(ISNUMBER(T50),ISNUMBER(T48)),VLOOKUP(ABS(T50-T48),'IMP Table'!$A$2:$C$26,3)*SIGN(T50-T48),0)</f>
        <v/>
      </c>
      <c r="AB50" s="7">
        <f>IF(AND(ISNUMBER(T50),ISNUMBER(T49)),VLOOKUP(ABS(T50-T49),'IMP Table'!$A$2:$C$26,3)*SIGN(T50-T49),0)</f>
        <v/>
      </c>
      <c r="AC50" s="7" t="n"/>
      <c r="AD50" s="7" t="n"/>
      <c r="AE50" s="7" t="n"/>
      <c r="AF50" s="7" t="n"/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5" t="n">
        <v>1</v>
      </c>
      <c r="B3" s="15" t="n">
        <v>1</v>
      </c>
      <c r="C3" s="15" t="n">
        <v>1</v>
      </c>
      <c r="D3" s="15" t="n">
        <v>1</v>
      </c>
      <c r="E3" s="15" t="n">
        <v>1</v>
      </c>
      <c r="F3" s="15" t="inlineStr">
        <is>
          <t>None</t>
        </is>
      </c>
    </row>
    <row r="4">
      <c r="B4" s="15" t="n"/>
      <c r="C4" s="15" t="n"/>
      <c r="D4" s="15" t="n"/>
      <c r="E4" s="15" t="n">
        <v>2</v>
      </c>
      <c r="F4" s="15" t="inlineStr">
        <is>
          <t>NS</t>
        </is>
      </c>
    </row>
    <row r="5">
      <c r="B5" s="15" t="n"/>
      <c r="C5" s="15" t="n"/>
      <c r="D5" s="15" t="n"/>
      <c r="E5" s="15" t="n">
        <v>3</v>
      </c>
      <c r="F5" s="15" t="inlineStr">
        <is>
          <t>EW</t>
        </is>
      </c>
    </row>
    <row r="6">
      <c r="B6" s="19" t="n"/>
      <c r="C6" s="19" t="n"/>
      <c r="D6" s="19" t="n"/>
      <c r="E6" s="19" t="n">
        <v>4</v>
      </c>
      <c r="F6" s="19" t="inlineStr">
        <is>
          <t>Both</t>
        </is>
      </c>
      <c r="G6" s="7" t="n"/>
      <c r="H6" s="7" t="n"/>
      <c r="I6" s="7" t="n"/>
      <c r="J6" s="7" t="n"/>
      <c r="K6" s="7" t="n"/>
      <c r="L6" s="7" t="n"/>
    </row>
    <row r="7">
      <c r="B7" s="15" t="n">
        <v>2</v>
      </c>
      <c r="C7" s="15" t="n">
        <v>2</v>
      </c>
      <c r="D7" s="15" t="n">
        <v>2</v>
      </c>
      <c r="E7" s="15" t="n">
        <v>5</v>
      </c>
      <c r="F7" s="15" t="inlineStr">
        <is>
          <t>NS</t>
        </is>
      </c>
    </row>
    <row r="8">
      <c r="B8" s="15" t="n"/>
      <c r="C8" s="15" t="n"/>
      <c r="D8" s="15" t="n"/>
      <c r="E8" s="15" t="n">
        <v>6</v>
      </c>
      <c r="F8" s="15" t="inlineStr">
        <is>
          <t>EW</t>
        </is>
      </c>
    </row>
    <row r="9">
      <c r="B9" s="15" t="n"/>
      <c r="C9" s="15" t="n"/>
      <c r="D9" s="15" t="n"/>
      <c r="E9" s="15" t="n">
        <v>7</v>
      </c>
      <c r="F9" s="15" t="inlineStr">
        <is>
          <t>Both</t>
        </is>
      </c>
    </row>
    <row r="10">
      <c r="B10" s="19" t="n"/>
      <c r="C10" s="19" t="n"/>
      <c r="D10" s="19" t="n"/>
      <c r="E10" s="19" t="n">
        <v>8</v>
      </c>
      <c r="F10" s="19" t="inlineStr">
        <is>
          <t>None</t>
        </is>
      </c>
      <c r="G10" s="7" t="n"/>
      <c r="H10" s="7" t="n"/>
      <c r="I10" s="7" t="n"/>
      <c r="J10" s="7" t="n"/>
      <c r="K10" s="7" t="n"/>
      <c r="L10" s="7" t="n"/>
    </row>
    <row r="11">
      <c r="B11" s="15" t="n">
        <v>3</v>
      </c>
      <c r="C11" s="15" t="n">
        <v>3</v>
      </c>
      <c r="D11" s="15" t="n">
        <v>3</v>
      </c>
      <c r="E11" s="15" t="n">
        <v>9</v>
      </c>
      <c r="F11" s="15" t="inlineStr">
        <is>
          <t>EW</t>
        </is>
      </c>
    </row>
    <row r="12">
      <c r="B12" s="15" t="n"/>
      <c r="C12" s="15" t="n"/>
      <c r="D12" s="15" t="n"/>
      <c r="E12" s="15" t="n">
        <v>10</v>
      </c>
      <c r="F12" s="15" t="inlineStr">
        <is>
          <t>Both</t>
        </is>
      </c>
    </row>
    <row r="13">
      <c r="B13" s="15" t="n"/>
      <c r="C13" s="15" t="n"/>
      <c r="D13" s="15" t="n"/>
      <c r="E13" s="15" t="n">
        <v>11</v>
      </c>
      <c r="F13" s="15" t="inlineStr">
        <is>
          <t>None</t>
        </is>
      </c>
    </row>
    <row r="14">
      <c r="B14" s="19" t="n"/>
      <c r="C14" s="19" t="n"/>
      <c r="D14" s="19" t="n"/>
      <c r="E14" s="19" t="n">
        <v>12</v>
      </c>
      <c r="F14" s="19" t="inlineStr">
        <is>
          <t>NS</t>
        </is>
      </c>
      <c r="G14" s="7" t="n"/>
      <c r="H14" s="7" t="n"/>
      <c r="I14" s="7" t="n"/>
      <c r="J14" s="7" t="n"/>
      <c r="K14" s="7" t="n"/>
      <c r="L14" s="7" t="n"/>
    </row>
    <row r="15">
      <c r="B15" s="15" t="n">
        <v>4</v>
      </c>
      <c r="C15" s="15" t="n">
        <v>4</v>
      </c>
      <c r="D15" s="15" t="n">
        <v>4</v>
      </c>
      <c r="E15" s="15" t="n">
        <v>13</v>
      </c>
      <c r="F15" s="15" t="inlineStr">
        <is>
          <t>Both</t>
        </is>
      </c>
    </row>
    <row r="16">
      <c r="B16" s="15" t="n"/>
      <c r="C16" s="15" t="n"/>
      <c r="D16" s="15" t="n"/>
      <c r="E16" s="15" t="n">
        <v>14</v>
      </c>
      <c r="F16" s="15" t="inlineStr">
        <is>
          <t>None</t>
        </is>
      </c>
    </row>
    <row r="17">
      <c r="B17" s="15" t="n"/>
      <c r="C17" s="15" t="n"/>
      <c r="D17" s="15" t="n"/>
      <c r="E17" s="15" t="n">
        <v>15</v>
      </c>
      <c r="F17" s="15" t="inlineStr">
        <is>
          <t>NS</t>
        </is>
      </c>
    </row>
    <row r="18">
      <c r="A18" s="7" t="n"/>
      <c r="B18" s="19" t="n"/>
      <c r="C18" s="19" t="n"/>
      <c r="D18" s="19" t="n"/>
      <c r="E18" s="19" t="n">
        <v>16</v>
      </c>
      <c r="F18" s="19" t="inlineStr">
        <is>
          <t>EW</t>
        </is>
      </c>
      <c r="G18" s="7" t="n"/>
      <c r="H18" s="7" t="n"/>
      <c r="I18" s="7" t="n"/>
      <c r="J18" s="7" t="n"/>
      <c r="K18" s="7" t="n"/>
      <c r="L18" s="7" t="n"/>
    </row>
    <row r="19">
      <c r="A19" s="15" t="n">
        <v>2</v>
      </c>
      <c r="B19" s="15" t="n">
        <v>1</v>
      </c>
      <c r="C19" s="15" t="n">
        <v>1</v>
      </c>
      <c r="D19" s="15" t="n">
        <v>2</v>
      </c>
      <c r="E19" s="15" t="n">
        <v>13</v>
      </c>
      <c r="F19" s="15" t="inlineStr">
        <is>
          <t>Both</t>
        </is>
      </c>
    </row>
    <row r="20">
      <c r="B20" s="15" t="n"/>
      <c r="C20" s="15" t="n"/>
      <c r="D20" s="15" t="n"/>
      <c r="E20" s="15" t="n">
        <v>14</v>
      </c>
      <c r="F20" s="15" t="inlineStr">
        <is>
          <t>None</t>
        </is>
      </c>
    </row>
    <row r="21">
      <c r="B21" s="15" t="n"/>
      <c r="C21" s="15" t="n"/>
      <c r="D21" s="15" t="n"/>
      <c r="E21" s="15" t="n">
        <v>15</v>
      </c>
      <c r="F21" s="15" t="inlineStr">
        <is>
          <t>NS</t>
        </is>
      </c>
    </row>
    <row r="22">
      <c r="B22" s="19" t="n"/>
      <c r="C22" s="19" t="n"/>
      <c r="D22" s="19" t="n"/>
      <c r="E22" s="19" t="n">
        <v>16</v>
      </c>
      <c r="F22" s="19" t="inlineStr">
        <is>
          <t>EW</t>
        </is>
      </c>
      <c r="G22" s="7" t="n"/>
      <c r="H22" s="7" t="n"/>
      <c r="I22" s="7" t="n"/>
      <c r="J22" s="7" t="n"/>
      <c r="K22" s="7" t="n"/>
      <c r="L22" s="7" t="n"/>
    </row>
    <row r="23">
      <c r="B23" s="15" t="n">
        <v>2</v>
      </c>
      <c r="C23" s="15" t="n">
        <v>2</v>
      </c>
      <c r="D23" s="15" t="n">
        <v>3</v>
      </c>
      <c r="E23" s="15" t="n">
        <v>1</v>
      </c>
      <c r="F23" s="15" t="inlineStr">
        <is>
          <t>None</t>
        </is>
      </c>
    </row>
    <row r="24">
      <c r="B24" s="15" t="n"/>
      <c r="C24" s="15" t="n"/>
      <c r="D24" s="15" t="n"/>
      <c r="E24" s="15" t="n">
        <v>2</v>
      </c>
      <c r="F24" s="15" t="inlineStr">
        <is>
          <t>NS</t>
        </is>
      </c>
    </row>
    <row r="25">
      <c r="B25" s="15" t="n"/>
      <c r="C25" s="15" t="n"/>
      <c r="D25" s="15" t="n"/>
      <c r="E25" s="15" t="n">
        <v>3</v>
      </c>
      <c r="F25" s="15" t="inlineStr">
        <is>
          <t>EW</t>
        </is>
      </c>
    </row>
    <row r="26">
      <c r="B26" s="19" t="n"/>
      <c r="C26" s="19" t="n"/>
      <c r="D26" s="19" t="n"/>
      <c r="E26" s="19" t="n">
        <v>4</v>
      </c>
      <c r="F26" s="19" t="inlineStr">
        <is>
          <t>Both</t>
        </is>
      </c>
      <c r="G26" s="7" t="n"/>
      <c r="H26" s="7" t="n"/>
      <c r="I26" s="7" t="n"/>
      <c r="J26" s="7" t="n"/>
      <c r="K26" s="7" t="n"/>
      <c r="L26" s="7" t="n"/>
    </row>
    <row r="27">
      <c r="B27" s="15" t="n">
        <v>3</v>
      </c>
      <c r="C27" s="15" t="n">
        <v>3</v>
      </c>
      <c r="D27" s="15" t="n">
        <v>4</v>
      </c>
      <c r="E27" s="15" t="n">
        <v>5</v>
      </c>
      <c r="F27" s="15" t="inlineStr">
        <is>
          <t>NS</t>
        </is>
      </c>
    </row>
    <row r="28">
      <c r="B28" s="15" t="n"/>
      <c r="C28" s="15" t="n"/>
      <c r="D28" s="15" t="n"/>
      <c r="E28" s="15" t="n">
        <v>6</v>
      </c>
      <c r="F28" s="15" t="inlineStr">
        <is>
          <t>EW</t>
        </is>
      </c>
    </row>
    <row r="29">
      <c r="B29" s="15" t="n"/>
      <c r="C29" s="15" t="n"/>
      <c r="D29" s="15" t="n"/>
      <c r="E29" s="15" t="n">
        <v>7</v>
      </c>
      <c r="F29" s="15" t="inlineStr">
        <is>
          <t>Both</t>
        </is>
      </c>
    </row>
    <row r="30">
      <c r="B30" s="19" t="n"/>
      <c r="C30" s="19" t="n"/>
      <c r="D30" s="19" t="n"/>
      <c r="E30" s="19" t="n">
        <v>8</v>
      </c>
      <c r="F30" s="19" t="inlineStr">
        <is>
          <t>None</t>
        </is>
      </c>
      <c r="G30" s="7" t="n"/>
      <c r="H30" s="7" t="n"/>
      <c r="I30" s="7" t="n"/>
      <c r="J30" s="7" t="n"/>
      <c r="K30" s="7" t="n"/>
      <c r="L30" s="7" t="n"/>
    </row>
    <row r="31">
      <c r="B31" s="15" t="n">
        <v>4</v>
      </c>
      <c r="C31" s="15" t="n">
        <v>4</v>
      </c>
      <c r="D31" s="15" t="n">
        <v>1</v>
      </c>
      <c r="E31" s="15" t="n">
        <v>9</v>
      </c>
      <c r="F31" s="15" t="inlineStr">
        <is>
          <t>EW</t>
        </is>
      </c>
    </row>
    <row r="32">
      <c r="B32" s="15" t="n"/>
      <c r="C32" s="15" t="n"/>
      <c r="D32" s="15" t="n"/>
      <c r="E32" s="15" t="n">
        <v>10</v>
      </c>
      <c r="F32" s="15" t="inlineStr">
        <is>
          <t>Both</t>
        </is>
      </c>
    </row>
    <row r="33">
      <c r="B33" s="15" t="n"/>
      <c r="C33" s="15" t="n"/>
      <c r="D33" s="15" t="n"/>
      <c r="E33" s="15" t="n">
        <v>11</v>
      </c>
      <c r="F33" s="15" t="inlineStr">
        <is>
          <t>None</t>
        </is>
      </c>
    </row>
    <row r="34">
      <c r="A34" s="7" t="n"/>
      <c r="B34" s="19" t="n"/>
      <c r="C34" s="19" t="n"/>
      <c r="D34" s="19" t="n"/>
      <c r="E34" s="19" t="n">
        <v>12</v>
      </c>
      <c r="F34" s="19" t="inlineStr">
        <is>
          <t>NS</t>
        </is>
      </c>
      <c r="G34" s="7" t="n"/>
      <c r="H34" s="7" t="n"/>
      <c r="I34" s="7" t="n"/>
      <c r="J34" s="7" t="n"/>
      <c r="K34" s="7" t="n"/>
      <c r="L34" s="7" t="n"/>
    </row>
    <row r="35">
      <c r="A35" s="15" t="n">
        <v>3</v>
      </c>
      <c r="B35" s="15" t="n">
        <v>1</v>
      </c>
      <c r="C35" s="15" t="n">
        <v>1</v>
      </c>
      <c r="D35" s="15" t="n">
        <v>4</v>
      </c>
      <c r="E35" s="15" t="n">
        <v>9</v>
      </c>
      <c r="F35" s="15" t="inlineStr">
        <is>
          <t>EW</t>
        </is>
      </c>
    </row>
    <row r="36">
      <c r="B36" s="15" t="n"/>
      <c r="C36" s="15" t="n"/>
      <c r="D36" s="15" t="n"/>
      <c r="E36" s="15" t="n">
        <v>10</v>
      </c>
      <c r="F36" s="15" t="inlineStr">
        <is>
          <t>Both</t>
        </is>
      </c>
    </row>
    <row r="37">
      <c r="B37" s="15" t="n"/>
      <c r="C37" s="15" t="n"/>
      <c r="D37" s="15" t="n"/>
      <c r="E37" s="15" t="n">
        <v>11</v>
      </c>
      <c r="F37" s="15" t="inlineStr">
        <is>
          <t>None</t>
        </is>
      </c>
    </row>
    <row r="38">
      <c r="B38" s="19" t="n"/>
      <c r="C38" s="19" t="n"/>
      <c r="D38" s="19" t="n"/>
      <c r="E38" s="19" t="n">
        <v>12</v>
      </c>
      <c r="F38" s="19" t="inlineStr">
        <is>
          <t>NS</t>
        </is>
      </c>
      <c r="G38" s="7" t="n"/>
      <c r="H38" s="7" t="n"/>
      <c r="I38" s="7" t="n"/>
      <c r="J38" s="7" t="n"/>
      <c r="K38" s="7" t="n"/>
      <c r="L38" s="7" t="n"/>
    </row>
    <row r="39">
      <c r="B39" s="15" t="n">
        <v>2</v>
      </c>
      <c r="C39" s="15" t="n">
        <v>2</v>
      </c>
      <c r="D39" s="15" t="n">
        <v>1</v>
      </c>
      <c r="E39" s="15" t="n">
        <v>13</v>
      </c>
      <c r="F39" s="15" t="inlineStr">
        <is>
          <t>Both</t>
        </is>
      </c>
    </row>
    <row r="40">
      <c r="B40" s="15" t="n"/>
      <c r="C40" s="15" t="n"/>
      <c r="D40" s="15" t="n"/>
      <c r="E40" s="15" t="n">
        <v>14</v>
      </c>
      <c r="F40" s="15" t="inlineStr">
        <is>
          <t>None</t>
        </is>
      </c>
    </row>
    <row r="41">
      <c r="B41" s="15" t="n"/>
      <c r="C41" s="15" t="n"/>
      <c r="D41" s="15" t="n"/>
      <c r="E41" s="15" t="n">
        <v>15</v>
      </c>
      <c r="F41" s="15" t="inlineStr">
        <is>
          <t>NS</t>
        </is>
      </c>
    </row>
    <row r="42">
      <c r="B42" s="19" t="n"/>
      <c r="C42" s="19" t="n"/>
      <c r="D42" s="19" t="n"/>
      <c r="E42" s="19" t="n">
        <v>16</v>
      </c>
      <c r="F42" s="19" t="inlineStr">
        <is>
          <t>EW</t>
        </is>
      </c>
      <c r="G42" s="7" t="n"/>
      <c r="H42" s="7" t="n"/>
      <c r="I42" s="7" t="n"/>
      <c r="J42" s="7" t="n"/>
      <c r="K42" s="7" t="n"/>
      <c r="L42" s="7" t="n"/>
    </row>
    <row r="43">
      <c r="B43" s="15" t="n">
        <v>3</v>
      </c>
      <c r="C43" s="15" t="n">
        <v>3</v>
      </c>
      <c r="D43" s="15" t="n">
        <v>2</v>
      </c>
      <c r="E43" s="15" t="n">
        <v>1</v>
      </c>
      <c r="F43" s="15" t="inlineStr">
        <is>
          <t>None</t>
        </is>
      </c>
    </row>
    <row r="44">
      <c r="B44" s="15" t="n"/>
      <c r="C44" s="15" t="n"/>
      <c r="D44" s="15" t="n"/>
      <c r="E44" s="15" t="n">
        <v>2</v>
      </c>
      <c r="F44" s="15" t="inlineStr">
        <is>
          <t>NS</t>
        </is>
      </c>
    </row>
    <row r="45">
      <c r="B45" s="15" t="n"/>
      <c r="C45" s="15" t="n"/>
      <c r="D45" s="15" t="n"/>
      <c r="E45" s="15" t="n">
        <v>3</v>
      </c>
      <c r="F45" s="15" t="inlineStr">
        <is>
          <t>EW</t>
        </is>
      </c>
    </row>
    <row r="46">
      <c r="B46" s="19" t="n"/>
      <c r="C46" s="19" t="n"/>
      <c r="D46" s="19" t="n"/>
      <c r="E46" s="19" t="n">
        <v>4</v>
      </c>
      <c r="F46" s="19" t="inlineStr">
        <is>
          <t>Both</t>
        </is>
      </c>
      <c r="G46" s="7" t="n"/>
      <c r="H46" s="7" t="n"/>
      <c r="I46" s="7" t="n"/>
      <c r="J46" s="7" t="n"/>
      <c r="K46" s="7" t="n"/>
      <c r="L46" s="7" t="n"/>
    </row>
    <row r="47">
      <c r="B47" s="15" t="n">
        <v>4</v>
      </c>
      <c r="C47" s="15" t="n">
        <v>4</v>
      </c>
      <c r="D47" s="15" t="n">
        <v>3</v>
      </c>
      <c r="E47" s="15" t="n">
        <v>5</v>
      </c>
      <c r="F47" s="15" t="inlineStr">
        <is>
          <t>NS</t>
        </is>
      </c>
    </row>
    <row r="48">
      <c r="B48" s="15" t="n"/>
      <c r="C48" s="15" t="n"/>
      <c r="D48" s="15" t="n"/>
      <c r="E48" s="15" t="n">
        <v>6</v>
      </c>
      <c r="F48" s="15" t="inlineStr">
        <is>
          <t>EW</t>
        </is>
      </c>
    </row>
    <row r="49">
      <c r="B49" s="15" t="n"/>
      <c r="C49" s="15" t="n"/>
      <c r="D49" s="15" t="n"/>
      <c r="E49" s="15" t="n">
        <v>7</v>
      </c>
      <c r="F49" s="15" t="inlineStr">
        <is>
          <t>Both</t>
        </is>
      </c>
    </row>
    <row r="50">
      <c r="A50" s="7" t="n"/>
      <c r="B50" s="19" t="n"/>
      <c r="C50" s="19" t="n"/>
      <c r="D50" s="19" t="n"/>
      <c r="E50" s="19" t="n">
        <v>8</v>
      </c>
      <c r="F50" s="19" t="inlineStr">
        <is>
          <t>None</t>
        </is>
      </c>
      <c r="G50" s="7" t="n"/>
      <c r="H50" s="7" t="n"/>
      <c r="I50" s="7" t="n"/>
      <c r="J50" s="7" t="n"/>
      <c r="K50" s="7" t="n"/>
      <c r="L50" s="7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3" t="n">
        <v>70</v>
      </c>
      <c r="D3" s="23" t="n">
        <v>140</v>
      </c>
      <c r="E3" s="23" t="n">
        <v>230</v>
      </c>
      <c r="F3" s="23" t="n">
        <v>70</v>
      </c>
      <c r="G3" s="23" t="n">
        <v>140</v>
      </c>
      <c r="H3" s="23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3" t="n">
        <v>90</v>
      </c>
      <c r="D4" s="23" t="n">
        <v>240</v>
      </c>
      <c r="E4" s="23" t="n">
        <v>430</v>
      </c>
      <c r="F4" s="23" t="n">
        <v>90</v>
      </c>
      <c r="G4" s="23" t="n">
        <v>340</v>
      </c>
      <c r="H4" s="23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3" t="n">
        <v>110</v>
      </c>
      <c r="D5" s="23" t="n">
        <v>340</v>
      </c>
      <c r="E5" s="23" t="n">
        <v>630</v>
      </c>
      <c r="F5" s="23" t="n">
        <v>110</v>
      </c>
      <c r="G5" s="23" t="n">
        <v>540</v>
      </c>
      <c r="H5" s="23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3" t="n">
        <v>130</v>
      </c>
      <c r="D6" s="23" t="n">
        <v>440</v>
      </c>
      <c r="E6" s="23" t="n">
        <v>830</v>
      </c>
      <c r="F6" s="23" t="n">
        <v>130</v>
      </c>
      <c r="G6" s="23" t="n">
        <v>740</v>
      </c>
      <c r="H6" s="23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3" t="n">
        <v>150</v>
      </c>
      <c r="D7" s="23" t="n">
        <v>540</v>
      </c>
      <c r="E7" s="23" t="n">
        <v>1030</v>
      </c>
      <c r="F7" s="23" t="n">
        <v>150</v>
      </c>
      <c r="G7" s="23" t="n">
        <v>940</v>
      </c>
      <c r="H7" s="23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3" t="n">
        <v>170</v>
      </c>
      <c r="D8" s="23" t="n">
        <v>640</v>
      </c>
      <c r="E8" s="23" t="n">
        <v>1230</v>
      </c>
      <c r="F8" s="23" t="n">
        <v>170</v>
      </c>
      <c r="G8" s="23" t="n">
        <v>1140</v>
      </c>
      <c r="H8" s="23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3" t="n">
        <v>190</v>
      </c>
      <c r="D9" s="23" t="n">
        <v>740</v>
      </c>
      <c r="E9" s="23" t="n">
        <v>1430</v>
      </c>
      <c r="F9" s="23" t="n">
        <v>190</v>
      </c>
      <c r="G9" s="23" t="n">
        <v>1340</v>
      </c>
      <c r="H9" s="23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3" t="n">
        <v>80</v>
      </c>
      <c r="D10" s="23" t="n">
        <v>160</v>
      </c>
      <c r="E10" s="23" t="n">
        <v>520</v>
      </c>
      <c r="F10" s="23" t="n">
        <v>80</v>
      </c>
      <c r="G10" s="23" t="n">
        <v>160</v>
      </c>
      <c r="H10" s="23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3" t="n">
        <v>110</v>
      </c>
      <c r="D11" s="23" t="n">
        <v>260</v>
      </c>
      <c r="E11" s="23" t="n">
        <v>720</v>
      </c>
      <c r="F11" s="23" t="n">
        <v>110</v>
      </c>
      <c r="G11" s="23" t="n">
        <v>360</v>
      </c>
      <c r="H11" s="23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3" t="n">
        <v>140</v>
      </c>
      <c r="D12" s="23" t="n">
        <v>360</v>
      </c>
      <c r="E12" s="23" t="n">
        <v>920</v>
      </c>
      <c r="F12" s="23" t="n">
        <v>140</v>
      </c>
      <c r="G12" s="23" t="n">
        <v>560</v>
      </c>
      <c r="H12" s="23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3" t="n">
        <v>170</v>
      </c>
      <c r="D13" s="23" t="n">
        <v>460</v>
      </c>
      <c r="E13" s="23" t="n">
        <v>1120</v>
      </c>
      <c r="F13" s="23" t="n">
        <v>170</v>
      </c>
      <c r="G13" s="23" t="n">
        <v>760</v>
      </c>
      <c r="H13" s="23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3" t="n">
        <v>200</v>
      </c>
      <c r="D14" s="23" t="n">
        <v>560</v>
      </c>
      <c r="E14" s="23" t="n">
        <v>1320</v>
      </c>
      <c r="F14" s="23" t="n">
        <v>200</v>
      </c>
      <c r="G14" s="23" t="n">
        <v>960</v>
      </c>
      <c r="H14" s="23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3" t="n">
        <v>230</v>
      </c>
      <c r="D15" s="23" t="n">
        <v>660</v>
      </c>
      <c r="E15" s="23" t="n">
        <v>1520</v>
      </c>
      <c r="F15" s="23" t="n">
        <v>230</v>
      </c>
      <c r="G15" s="23" t="n">
        <v>1160</v>
      </c>
      <c r="H15" s="23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3" t="n">
        <v>260</v>
      </c>
      <c r="D16" s="23" t="n">
        <v>760</v>
      </c>
      <c r="E16" s="23" t="n">
        <v>1720</v>
      </c>
      <c r="F16" s="23" t="n">
        <v>260</v>
      </c>
      <c r="G16" s="23" t="n">
        <v>1360</v>
      </c>
      <c r="H16" s="23" t="n">
        <v>3120</v>
      </c>
    </row>
    <row r="17">
      <c r="A17" s="2" t="inlineStr">
        <is>
          <t>1 NT</t>
        </is>
      </c>
      <c r="B17" t="n">
        <v>1</v>
      </c>
      <c r="C17" s="23" t="n">
        <v>90</v>
      </c>
      <c r="D17" s="23" t="n">
        <v>180</v>
      </c>
      <c r="E17" s="23" t="n">
        <v>560</v>
      </c>
      <c r="F17" s="23" t="n">
        <v>90</v>
      </c>
      <c r="G17" s="23" t="n">
        <v>180</v>
      </c>
      <c r="H17" s="23" t="n">
        <v>760</v>
      </c>
    </row>
    <row r="18">
      <c r="B18" t="n">
        <v>2</v>
      </c>
      <c r="C18" s="23" t="n">
        <v>120</v>
      </c>
      <c r="D18" s="23" t="n">
        <v>280</v>
      </c>
      <c r="E18" s="23" t="n">
        <v>760</v>
      </c>
      <c r="F18" s="23" t="n">
        <v>120</v>
      </c>
      <c r="G18" s="23" t="n">
        <v>380</v>
      </c>
      <c r="H18" s="23" t="n">
        <v>1160</v>
      </c>
    </row>
    <row r="19">
      <c r="B19" t="n">
        <v>3</v>
      </c>
      <c r="C19" s="23" t="n">
        <v>150</v>
      </c>
      <c r="D19" s="23" t="n">
        <v>380</v>
      </c>
      <c r="E19" s="23" t="n">
        <v>960</v>
      </c>
      <c r="F19" s="23" t="n">
        <v>150</v>
      </c>
      <c r="G19" s="23" t="n">
        <v>580</v>
      </c>
      <c r="H19" s="23" t="n">
        <v>1560</v>
      </c>
    </row>
    <row r="20">
      <c r="B20" t="n">
        <v>4</v>
      </c>
      <c r="C20" s="23" t="n">
        <v>180</v>
      </c>
      <c r="D20" s="23" t="n">
        <v>480</v>
      </c>
      <c r="E20" s="23" t="n">
        <v>1160</v>
      </c>
      <c r="F20" s="23" t="n">
        <v>180</v>
      </c>
      <c r="G20" s="23" t="n">
        <v>780</v>
      </c>
      <c r="H20" s="23" t="n">
        <v>1960</v>
      </c>
    </row>
    <row r="21">
      <c r="B21" t="n">
        <v>5</v>
      </c>
      <c r="C21" s="23" t="n">
        <v>210</v>
      </c>
      <c r="D21" s="23" t="n">
        <v>580</v>
      </c>
      <c r="E21" s="23" t="n">
        <v>1360</v>
      </c>
      <c r="F21" s="23" t="n">
        <v>210</v>
      </c>
      <c r="G21" s="23" t="n">
        <v>980</v>
      </c>
      <c r="H21" s="23" t="n">
        <v>2360</v>
      </c>
    </row>
    <row r="22">
      <c r="B22" t="n">
        <v>6</v>
      </c>
      <c r="C22" s="23" t="n">
        <v>240</v>
      </c>
      <c r="D22" s="23" t="n">
        <v>680</v>
      </c>
      <c r="E22" s="23" t="n">
        <v>1560</v>
      </c>
      <c r="F22" s="23" t="n">
        <v>240</v>
      </c>
      <c r="G22" s="23" t="n">
        <v>1180</v>
      </c>
      <c r="H22" s="23" t="n">
        <v>2760</v>
      </c>
    </row>
    <row r="23">
      <c r="B23" t="n">
        <v>7</v>
      </c>
      <c r="C23" s="23" t="n">
        <v>270</v>
      </c>
      <c r="D23" s="23" t="n">
        <v>780</v>
      </c>
      <c r="E23" s="23" t="n">
        <v>1760</v>
      </c>
      <c r="F23" s="23" t="n">
        <v>270</v>
      </c>
      <c r="G23" s="23" t="n">
        <v>1380</v>
      </c>
      <c r="H23" s="23" t="n">
        <v>3160</v>
      </c>
    </row>
    <row r="24">
      <c r="A24" s="2" t="inlineStr">
        <is>
          <t>2 D/C</t>
        </is>
      </c>
      <c r="B24" t="n">
        <v>2</v>
      </c>
      <c r="C24" s="23" t="n">
        <v>90</v>
      </c>
      <c r="D24" s="23" t="n">
        <v>180</v>
      </c>
      <c r="E24" s="23" t="n">
        <v>560</v>
      </c>
      <c r="F24" s="23" t="n">
        <v>90</v>
      </c>
      <c r="G24" s="23" t="n">
        <v>180</v>
      </c>
      <c r="H24" s="23" t="n">
        <v>760</v>
      </c>
    </row>
    <row r="25">
      <c r="B25" t="n">
        <v>3</v>
      </c>
      <c r="C25" s="23" t="n">
        <v>110</v>
      </c>
      <c r="D25" s="23" t="n">
        <v>280</v>
      </c>
      <c r="E25" s="23" t="n">
        <v>760</v>
      </c>
      <c r="F25" s="23" t="n">
        <v>110</v>
      </c>
      <c r="G25" s="23" t="n">
        <v>380</v>
      </c>
      <c r="H25" s="23" t="n">
        <v>1160</v>
      </c>
    </row>
    <row r="26">
      <c r="B26" t="n">
        <v>4</v>
      </c>
      <c r="C26" s="23" t="n">
        <v>130</v>
      </c>
      <c r="D26" s="23" t="n">
        <v>380</v>
      </c>
      <c r="E26" s="23" t="n">
        <v>960</v>
      </c>
      <c r="F26" s="23" t="n">
        <v>130</v>
      </c>
      <c r="G26" s="23" t="n">
        <v>580</v>
      </c>
      <c r="H26" s="23" t="n">
        <v>1560</v>
      </c>
    </row>
    <row r="27">
      <c r="B27" t="n">
        <v>5</v>
      </c>
      <c r="C27" s="23" t="n">
        <v>150</v>
      </c>
      <c r="D27" s="23" t="n">
        <v>480</v>
      </c>
      <c r="E27" s="23" t="n">
        <v>1160</v>
      </c>
      <c r="F27" s="23" t="n">
        <v>150</v>
      </c>
      <c r="G27" s="23" t="n">
        <v>780</v>
      </c>
      <c r="H27" s="23" t="n">
        <v>1960</v>
      </c>
    </row>
    <row r="28">
      <c r="B28" t="n">
        <v>6</v>
      </c>
      <c r="C28" s="23" t="n">
        <v>170</v>
      </c>
      <c r="D28" s="23" t="n">
        <v>580</v>
      </c>
      <c r="E28" s="23" t="n">
        <v>1360</v>
      </c>
      <c r="F28" s="23" t="n">
        <v>170</v>
      </c>
      <c r="G28" s="23" t="n">
        <v>980</v>
      </c>
      <c r="H28" s="23" t="n">
        <v>2360</v>
      </c>
    </row>
    <row r="29">
      <c r="B29" t="n">
        <v>7</v>
      </c>
      <c r="C29" s="23" t="n">
        <v>190</v>
      </c>
      <c r="D29" s="23" t="n">
        <v>680</v>
      </c>
      <c r="E29" s="23" t="n">
        <v>1560</v>
      </c>
      <c r="F29" s="23" t="n">
        <v>190</v>
      </c>
      <c r="G29" s="23" t="n">
        <v>1180</v>
      </c>
      <c r="H29" s="23" t="n">
        <v>2760</v>
      </c>
    </row>
    <row r="30">
      <c r="A30" s="2" t="inlineStr">
        <is>
          <t>2 H/S</t>
        </is>
      </c>
      <c r="B30" t="n">
        <v>2</v>
      </c>
      <c r="C30" s="23" t="n">
        <v>110</v>
      </c>
      <c r="D30" s="23" t="n">
        <v>470</v>
      </c>
      <c r="E30" s="23" t="n">
        <v>640</v>
      </c>
      <c r="F30" s="23" t="n">
        <v>110</v>
      </c>
      <c r="G30" s="23" t="n">
        <v>670</v>
      </c>
      <c r="H30" s="23" t="n">
        <v>840</v>
      </c>
    </row>
    <row r="31">
      <c r="B31" t="n">
        <v>3</v>
      </c>
      <c r="C31" s="23" t="n">
        <v>140</v>
      </c>
      <c r="D31" s="23" t="n">
        <v>570</v>
      </c>
      <c r="E31" s="23" t="n">
        <v>840</v>
      </c>
      <c r="F31" s="23" t="n">
        <v>140</v>
      </c>
      <c r="G31" s="23" t="n">
        <v>870</v>
      </c>
      <c r="H31" s="23" t="n">
        <v>1240</v>
      </c>
    </row>
    <row r="32">
      <c r="B32" t="n">
        <v>4</v>
      </c>
      <c r="C32" s="23" t="n">
        <v>170</v>
      </c>
      <c r="D32" s="23" t="n">
        <v>670</v>
      </c>
      <c r="E32" s="23" t="n">
        <v>1040</v>
      </c>
      <c r="F32" s="23" t="n">
        <v>170</v>
      </c>
      <c r="G32" s="23" t="n">
        <v>1070</v>
      </c>
      <c r="H32" s="23" t="n">
        <v>1640</v>
      </c>
    </row>
    <row r="33">
      <c r="B33" t="n">
        <v>5</v>
      </c>
      <c r="C33" s="23" t="n">
        <v>200</v>
      </c>
      <c r="D33" s="23" t="n">
        <v>770</v>
      </c>
      <c r="E33" s="23" t="n">
        <v>1240</v>
      </c>
      <c r="F33" s="23" t="n">
        <v>200</v>
      </c>
      <c r="G33" s="23" t="n">
        <v>1270</v>
      </c>
      <c r="H33" s="23" t="n">
        <v>2040</v>
      </c>
    </row>
    <row r="34">
      <c r="B34" t="n">
        <v>6</v>
      </c>
      <c r="C34" s="23" t="n">
        <v>230</v>
      </c>
      <c r="D34" s="23" t="n">
        <v>870</v>
      </c>
      <c r="E34" s="23" t="n">
        <v>1440</v>
      </c>
      <c r="F34" s="23" t="n">
        <v>230</v>
      </c>
      <c r="G34" s="23" t="n">
        <v>1470</v>
      </c>
      <c r="H34" s="23" t="n">
        <v>2440</v>
      </c>
    </row>
    <row r="35">
      <c r="B35" t="n">
        <v>7</v>
      </c>
      <c r="C35" s="23" t="n">
        <v>260</v>
      </c>
      <c r="D35" s="23" t="n">
        <v>970</v>
      </c>
      <c r="E35" s="23" t="n">
        <v>1640</v>
      </c>
      <c r="F35" s="23" t="n">
        <v>260</v>
      </c>
      <c r="G35" s="23" t="n">
        <v>1670</v>
      </c>
      <c r="H35" s="23" t="n">
        <v>2840</v>
      </c>
    </row>
    <row r="36">
      <c r="A36" s="2" t="inlineStr">
        <is>
          <t>2 NT</t>
        </is>
      </c>
      <c r="B36" t="n">
        <v>2</v>
      </c>
      <c r="C36" s="23" t="n">
        <v>120</v>
      </c>
      <c r="D36" s="23" t="n">
        <v>490</v>
      </c>
      <c r="E36" s="23" t="n">
        <v>680</v>
      </c>
      <c r="F36" s="23" t="n">
        <v>120</v>
      </c>
      <c r="G36" s="23" t="n">
        <v>690</v>
      </c>
      <c r="H36" s="23" t="n">
        <v>880</v>
      </c>
    </row>
    <row r="37">
      <c r="B37" t="n">
        <v>3</v>
      </c>
      <c r="C37" s="23" t="n">
        <v>150</v>
      </c>
      <c r="D37" s="23" t="n">
        <v>590</v>
      </c>
      <c r="E37" s="23" t="n">
        <v>880</v>
      </c>
      <c r="F37" s="23" t="n">
        <v>150</v>
      </c>
      <c r="G37" s="23" t="n">
        <v>890</v>
      </c>
      <c r="H37" s="23" t="n">
        <v>1280</v>
      </c>
    </row>
    <row r="38">
      <c r="B38" t="n">
        <v>4</v>
      </c>
      <c r="C38" s="23" t="n">
        <v>180</v>
      </c>
      <c r="D38" s="23" t="n">
        <v>690</v>
      </c>
      <c r="E38" s="23" t="n">
        <v>1080</v>
      </c>
      <c r="F38" s="23" t="n">
        <v>180</v>
      </c>
      <c r="G38" s="23" t="n">
        <v>1090</v>
      </c>
      <c r="H38" s="23" t="n">
        <v>1680</v>
      </c>
    </row>
    <row r="39">
      <c r="B39" t="n">
        <v>5</v>
      </c>
      <c r="C39" s="23" t="n">
        <v>210</v>
      </c>
      <c r="D39" s="23" t="n">
        <v>790</v>
      </c>
      <c r="E39" s="23" t="n">
        <v>1280</v>
      </c>
      <c r="F39" s="23" t="n">
        <v>210</v>
      </c>
      <c r="G39" s="23" t="n">
        <v>1290</v>
      </c>
      <c r="H39" s="23" t="n">
        <v>2080</v>
      </c>
    </row>
    <row r="40">
      <c r="B40" t="n">
        <v>6</v>
      </c>
      <c r="C40" s="23" t="n">
        <v>240</v>
      </c>
      <c r="D40" s="23" t="n">
        <v>890</v>
      </c>
      <c r="E40" s="23" t="n">
        <v>1480</v>
      </c>
      <c r="F40" s="23" t="n">
        <v>240</v>
      </c>
      <c r="G40" s="23" t="n">
        <v>1490</v>
      </c>
      <c r="H40" s="23" t="n">
        <v>2480</v>
      </c>
    </row>
    <row r="41">
      <c r="B41" t="n">
        <v>7</v>
      </c>
      <c r="C41" s="23" t="n">
        <v>270</v>
      </c>
      <c r="D41" s="23" t="n">
        <v>990</v>
      </c>
      <c r="E41" s="23" t="n">
        <v>1680</v>
      </c>
      <c r="F41" s="23" t="n">
        <v>270</v>
      </c>
      <c r="G41" s="23" t="n">
        <v>1690</v>
      </c>
      <c r="H41" s="23" t="n">
        <v>2880</v>
      </c>
    </row>
    <row r="42">
      <c r="A42" s="2" t="inlineStr">
        <is>
          <t>3 D/C</t>
        </is>
      </c>
      <c r="B42" t="n">
        <v>3</v>
      </c>
      <c r="C42" s="23" t="n">
        <v>110</v>
      </c>
      <c r="D42" s="23" t="n">
        <v>470</v>
      </c>
      <c r="E42" s="23" t="n">
        <v>640</v>
      </c>
      <c r="F42" s="23" t="n">
        <v>110</v>
      </c>
      <c r="G42" s="23" t="n">
        <v>670</v>
      </c>
      <c r="H42" s="23" t="n">
        <v>840</v>
      </c>
    </row>
    <row r="43">
      <c r="B43" t="n">
        <v>4</v>
      </c>
      <c r="C43" s="23" t="n">
        <v>130</v>
      </c>
      <c r="D43" s="23" t="n">
        <v>570</v>
      </c>
      <c r="E43" s="23" t="n">
        <v>840</v>
      </c>
      <c r="F43" s="23" t="n">
        <v>130</v>
      </c>
      <c r="G43" s="23" t="n">
        <v>870</v>
      </c>
      <c r="H43" s="23" t="n">
        <v>1240</v>
      </c>
    </row>
    <row r="44">
      <c r="B44" t="n">
        <v>5</v>
      </c>
      <c r="C44" s="23" t="n">
        <v>150</v>
      </c>
      <c r="D44" s="23" t="n">
        <v>670</v>
      </c>
      <c r="E44" s="23" t="n">
        <v>1040</v>
      </c>
      <c r="F44" s="23" t="n">
        <v>150</v>
      </c>
      <c r="G44" s="23" t="n">
        <v>1070</v>
      </c>
      <c r="H44" s="23" t="n">
        <v>1640</v>
      </c>
    </row>
    <row r="45">
      <c r="B45" t="n">
        <v>6</v>
      </c>
      <c r="C45" s="23" t="n">
        <v>170</v>
      </c>
      <c r="D45" s="23" t="n">
        <v>770</v>
      </c>
      <c r="E45" s="23" t="n">
        <v>1240</v>
      </c>
      <c r="F45" s="23" t="n">
        <v>170</v>
      </c>
      <c r="G45" s="23" t="n">
        <v>1270</v>
      </c>
      <c r="H45" s="23" t="n">
        <v>2040</v>
      </c>
    </row>
    <row r="46">
      <c r="B46" t="n">
        <v>7</v>
      </c>
      <c r="C46" s="23" t="n">
        <v>190</v>
      </c>
      <c r="D46" s="23" t="n">
        <v>870</v>
      </c>
      <c r="E46" s="23" t="n">
        <v>1440</v>
      </c>
      <c r="F46" s="23" t="n">
        <v>190</v>
      </c>
      <c r="G46" s="23" t="n">
        <v>1470</v>
      </c>
      <c r="H46" s="23" t="n">
        <v>2440</v>
      </c>
    </row>
    <row r="47">
      <c r="A47" s="2" t="inlineStr">
        <is>
          <t>3 H/S</t>
        </is>
      </c>
      <c r="B47" t="n">
        <v>3</v>
      </c>
      <c r="C47" s="23" t="n">
        <v>140</v>
      </c>
      <c r="D47" s="23" t="n">
        <v>530</v>
      </c>
      <c r="E47" s="23" t="n">
        <v>760</v>
      </c>
      <c r="F47" s="23" t="n">
        <v>140</v>
      </c>
      <c r="G47" s="23" t="n">
        <v>730</v>
      </c>
      <c r="H47" s="23" t="n">
        <v>960</v>
      </c>
    </row>
    <row r="48">
      <c r="B48" t="n">
        <v>4</v>
      </c>
      <c r="C48" s="23" t="n">
        <v>170</v>
      </c>
      <c r="D48" s="23" t="n">
        <v>630</v>
      </c>
      <c r="E48" s="23" t="n">
        <v>960</v>
      </c>
      <c r="F48" s="23" t="n">
        <v>170</v>
      </c>
      <c r="G48" s="23" t="n">
        <v>930</v>
      </c>
      <c r="H48" s="23" t="n">
        <v>1360</v>
      </c>
    </row>
    <row r="49">
      <c r="B49" t="n">
        <v>5</v>
      </c>
      <c r="C49" s="23" t="n">
        <v>200</v>
      </c>
      <c r="D49" s="23" t="n">
        <v>730</v>
      </c>
      <c r="E49" s="23" t="n">
        <v>1160</v>
      </c>
      <c r="F49" s="23" t="n">
        <v>200</v>
      </c>
      <c r="G49" s="23" t="n">
        <v>1130</v>
      </c>
      <c r="H49" s="23" t="n">
        <v>1760</v>
      </c>
    </row>
    <row r="50">
      <c r="B50" t="n">
        <v>6</v>
      </c>
      <c r="C50" s="23" t="n">
        <v>230</v>
      </c>
      <c r="D50" s="23" t="n">
        <v>830</v>
      </c>
      <c r="E50" s="23" t="n">
        <v>1360</v>
      </c>
      <c r="F50" s="23" t="n">
        <v>230</v>
      </c>
      <c r="G50" s="23" t="n">
        <v>1330</v>
      </c>
      <c r="H50" s="23" t="n">
        <v>2160</v>
      </c>
    </row>
    <row r="51">
      <c r="B51" t="n">
        <v>7</v>
      </c>
      <c r="C51" s="23" t="n">
        <v>260</v>
      </c>
      <c r="D51" s="23" t="n">
        <v>930</v>
      </c>
      <c r="E51" s="23" t="n">
        <v>1560</v>
      </c>
      <c r="F51" s="23" t="n">
        <v>260</v>
      </c>
      <c r="G51" s="23" t="n">
        <v>1530</v>
      </c>
      <c r="H51" s="23" t="n">
        <v>2560</v>
      </c>
    </row>
    <row r="52">
      <c r="A52" s="2" t="inlineStr">
        <is>
          <t>3 NT</t>
        </is>
      </c>
      <c r="B52" t="n">
        <v>3</v>
      </c>
      <c r="C52" s="23" t="n">
        <v>400</v>
      </c>
      <c r="D52" s="23" t="n">
        <v>550</v>
      </c>
      <c r="E52" s="23" t="n">
        <v>800</v>
      </c>
      <c r="F52" s="23" t="n">
        <v>600</v>
      </c>
      <c r="G52" s="23" t="n">
        <v>750</v>
      </c>
      <c r="H52" s="23" t="n">
        <v>1000</v>
      </c>
    </row>
    <row r="53">
      <c r="B53" t="n">
        <v>4</v>
      </c>
      <c r="C53" s="23" t="n">
        <v>430</v>
      </c>
      <c r="D53" s="23" t="n">
        <v>650</v>
      </c>
      <c r="E53" s="23" t="n">
        <v>1000</v>
      </c>
      <c r="F53" s="23" t="n">
        <v>630</v>
      </c>
      <c r="G53" s="23" t="n">
        <v>950</v>
      </c>
      <c r="H53" s="23" t="n">
        <v>1400</v>
      </c>
    </row>
    <row r="54">
      <c r="B54" t="n">
        <v>5</v>
      </c>
      <c r="C54" s="23" t="n">
        <v>460</v>
      </c>
      <c r="D54" s="23" t="n">
        <v>750</v>
      </c>
      <c r="E54" s="23" t="n">
        <v>1200</v>
      </c>
      <c r="F54" s="23" t="n">
        <v>660</v>
      </c>
      <c r="G54" s="23" t="n">
        <v>1150</v>
      </c>
      <c r="H54" s="23" t="n">
        <v>1800</v>
      </c>
    </row>
    <row r="55">
      <c r="B55" t="n">
        <v>6</v>
      </c>
      <c r="C55" s="23" t="n">
        <v>490</v>
      </c>
      <c r="D55" s="23" t="n">
        <v>850</v>
      </c>
      <c r="E55" s="23" t="n">
        <v>1400</v>
      </c>
      <c r="F55" s="23" t="n">
        <v>690</v>
      </c>
      <c r="G55" s="23" t="n">
        <v>1350</v>
      </c>
      <c r="H55" s="23" t="n">
        <v>2200</v>
      </c>
    </row>
    <row r="56">
      <c r="B56" t="n">
        <v>7</v>
      </c>
      <c r="C56" s="23" t="n">
        <v>520</v>
      </c>
      <c r="D56" s="23" t="n">
        <v>950</v>
      </c>
      <c r="E56" s="23" t="n">
        <v>1600</v>
      </c>
      <c r="F56" s="23" t="n">
        <v>720</v>
      </c>
      <c r="G56" s="23" t="n">
        <v>1550</v>
      </c>
      <c r="H56" s="23" t="n">
        <v>2600</v>
      </c>
    </row>
    <row r="57">
      <c r="A57" s="2" t="inlineStr">
        <is>
          <t>4 D/C</t>
        </is>
      </c>
      <c r="B57" t="n">
        <v>4</v>
      </c>
      <c r="C57" s="23" t="n">
        <v>130</v>
      </c>
      <c r="D57" s="23" t="n">
        <v>510</v>
      </c>
      <c r="E57" s="23" t="n">
        <v>720</v>
      </c>
      <c r="F57" s="23" t="n">
        <v>130</v>
      </c>
      <c r="G57" s="23" t="n">
        <v>710</v>
      </c>
      <c r="H57" s="23" t="n">
        <v>920</v>
      </c>
    </row>
    <row r="58">
      <c r="B58" t="n">
        <v>5</v>
      </c>
      <c r="C58" s="23" t="n">
        <v>150</v>
      </c>
      <c r="D58" s="23" t="n">
        <v>610</v>
      </c>
      <c r="E58" s="23" t="n">
        <v>920</v>
      </c>
      <c r="F58" s="23" t="n">
        <v>150</v>
      </c>
      <c r="G58" s="23" t="n">
        <v>910</v>
      </c>
      <c r="H58" s="23" t="n">
        <v>1320</v>
      </c>
    </row>
    <row r="59">
      <c r="B59" t="n">
        <v>6</v>
      </c>
      <c r="C59" s="23" t="n">
        <v>170</v>
      </c>
      <c r="D59" s="23" t="n">
        <v>710</v>
      </c>
      <c r="E59" s="23" t="n">
        <v>1120</v>
      </c>
      <c r="F59" s="23" t="n">
        <v>170</v>
      </c>
      <c r="G59" s="23" t="n">
        <v>1110</v>
      </c>
      <c r="H59" s="23" t="n">
        <v>1720</v>
      </c>
    </row>
    <row r="60">
      <c r="B60" t="n">
        <v>7</v>
      </c>
      <c r="C60" s="23" t="n">
        <v>190</v>
      </c>
      <c r="D60" s="23" t="n">
        <v>810</v>
      </c>
      <c r="E60" s="23" t="n">
        <v>1320</v>
      </c>
      <c r="F60" s="23" t="n">
        <v>190</v>
      </c>
      <c r="G60" s="23" t="n">
        <v>1310</v>
      </c>
      <c r="H60" s="23" t="n">
        <v>2120</v>
      </c>
    </row>
    <row r="61">
      <c r="A61" s="2" t="inlineStr">
        <is>
          <t>4 H/S</t>
        </is>
      </c>
      <c r="B61" t="n">
        <v>4</v>
      </c>
      <c r="C61" s="23" t="n">
        <v>420</v>
      </c>
      <c r="D61" s="23" t="n">
        <v>590</v>
      </c>
      <c r="E61" s="23" t="n">
        <v>880</v>
      </c>
      <c r="F61" s="23" t="n">
        <v>620</v>
      </c>
      <c r="G61" s="23" t="n">
        <v>790</v>
      </c>
      <c r="H61" s="23" t="n">
        <v>1080</v>
      </c>
    </row>
    <row r="62">
      <c r="B62" t="n">
        <v>5</v>
      </c>
      <c r="C62" s="23" t="n">
        <v>450</v>
      </c>
      <c r="D62" s="23" t="n">
        <v>690</v>
      </c>
      <c r="E62" s="23" t="n">
        <v>1080</v>
      </c>
      <c r="F62" s="23" t="n">
        <v>650</v>
      </c>
      <c r="G62" s="23" t="n">
        <v>990</v>
      </c>
      <c r="H62" s="23" t="n">
        <v>1480</v>
      </c>
    </row>
    <row r="63">
      <c r="B63" t="n">
        <v>6</v>
      </c>
      <c r="C63" s="23" t="n">
        <v>480</v>
      </c>
      <c r="D63" s="23" t="n">
        <v>790</v>
      </c>
      <c r="E63" s="23" t="n">
        <v>1280</v>
      </c>
      <c r="F63" s="23" t="n">
        <v>680</v>
      </c>
      <c r="G63" s="23" t="n">
        <v>1190</v>
      </c>
      <c r="H63" s="23" t="n">
        <v>1880</v>
      </c>
    </row>
    <row r="64">
      <c r="B64" t="n">
        <v>7</v>
      </c>
      <c r="C64" s="23" t="n">
        <v>510</v>
      </c>
      <c r="D64" s="23" t="n">
        <v>890</v>
      </c>
      <c r="E64" s="23" t="n">
        <v>1480</v>
      </c>
      <c r="F64" s="23" t="n">
        <v>710</v>
      </c>
      <c r="G64" s="23" t="n">
        <v>1390</v>
      </c>
      <c r="H64" s="23" t="n">
        <v>2280</v>
      </c>
    </row>
    <row r="65">
      <c r="A65" s="2" t="inlineStr">
        <is>
          <t>4 NT</t>
        </is>
      </c>
      <c r="B65" t="n">
        <v>4</v>
      </c>
      <c r="C65" s="23" t="n">
        <v>430</v>
      </c>
      <c r="D65" s="23" t="n">
        <v>610</v>
      </c>
      <c r="E65" s="23" t="n">
        <v>920</v>
      </c>
      <c r="F65" s="23" t="n">
        <v>630</v>
      </c>
      <c r="G65" s="23" t="n">
        <v>810</v>
      </c>
      <c r="H65" s="23" t="n">
        <v>1120</v>
      </c>
    </row>
    <row r="66">
      <c r="B66" t="n">
        <v>5</v>
      </c>
      <c r="C66" s="23" t="n">
        <v>460</v>
      </c>
      <c r="D66" s="23" t="n">
        <v>710</v>
      </c>
      <c r="E66" s="23" t="n">
        <v>1120</v>
      </c>
      <c r="F66" s="23" t="n">
        <v>660</v>
      </c>
      <c r="G66" s="23" t="n">
        <v>1010</v>
      </c>
      <c r="H66" s="23" t="n">
        <v>1520</v>
      </c>
    </row>
    <row r="67">
      <c r="B67" t="n">
        <v>6</v>
      </c>
      <c r="C67" s="23" t="n">
        <v>490</v>
      </c>
      <c r="D67" s="23" t="n">
        <v>810</v>
      </c>
      <c r="E67" s="23" t="n">
        <v>1320</v>
      </c>
      <c r="F67" s="23" t="n">
        <v>690</v>
      </c>
      <c r="G67" s="23" t="n">
        <v>1210</v>
      </c>
      <c r="H67" s="23" t="n">
        <v>1920</v>
      </c>
    </row>
    <row r="68">
      <c r="B68" t="n">
        <v>7</v>
      </c>
      <c r="C68" s="23" t="n">
        <v>520</v>
      </c>
      <c r="D68" s="23" t="n">
        <v>910</v>
      </c>
      <c r="E68" s="23" t="n">
        <v>1520</v>
      </c>
      <c r="F68" s="23" t="n">
        <v>720</v>
      </c>
      <c r="G68" s="23" t="n">
        <v>1410</v>
      </c>
      <c r="H68" s="23" t="n">
        <v>2320</v>
      </c>
    </row>
    <row r="69">
      <c r="A69" s="2" t="inlineStr">
        <is>
          <t>5 D/C</t>
        </is>
      </c>
      <c r="B69" t="n">
        <v>5</v>
      </c>
      <c r="C69" s="23" t="n">
        <v>400</v>
      </c>
      <c r="D69" s="23" t="n">
        <v>550</v>
      </c>
      <c r="E69" s="23" t="n">
        <v>800</v>
      </c>
      <c r="F69" s="23" t="n">
        <v>600</v>
      </c>
      <c r="G69" s="23" t="n">
        <v>750</v>
      </c>
      <c r="H69" s="23" t="n">
        <v>1000</v>
      </c>
    </row>
    <row r="70">
      <c r="B70" t="n">
        <v>6</v>
      </c>
      <c r="C70" s="23" t="n">
        <v>420</v>
      </c>
      <c r="D70" s="23" t="n">
        <v>650</v>
      </c>
      <c r="E70" s="23" t="n">
        <v>1000</v>
      </c>
      <c r="F70" s="23" t="n">
        <v>620</v>
      </c>
      <c r="G70" s="23" t="n">
        <v>950</v>
      </c>
      <c r="H70" s="23" t="n">
        <v>1400</v>
      </c>
    </row>
    <row r="71">
      <c r="B71" t="n">
        <v>7</v>
      </c>
      <c r="C71" s="23" t="n">
        <v>440</v>
      </c>
      <c r="D71" s="23" t="n">
        <v>750</v>
      </c>
      <c r="E71" s="23" t="n">
        <v>1200</v>
      </c>
      <c r="F71" s="23" t="n">
        <v>640</v>
      </c>
      <c r="G71" s="23" t="n">
        <v>1150</v>
      </c>
      <c r="H71" s="23" t="n">
        <v>1800</v>
      </c>
    </row>
    <row r="72">
      <c r="A72" s="2" t="inlineStr">
        <is>
          <t>5 H/S</t>
        </is>
      </c>
      <c r="B72" t="n">
        <v>5</v>
      </c>
      <c r="C72" s="23" t="n">
        <v>450</v>
      </c>
      <c r="D72" s="23" t="n">
        <v>650</v>
      </c>
      <c r="E72" s="23" t="n">
        <v>1000</v>
      </c>
      <c r="F72" s="23" t="n">
        <v>650</v>
      </c>
      <c r="G72" s="23" t="n">
        <v>850</v>
      </c>
      <c r="H72" s="23" t="n">
        <v>1200</v>
      </c>
    </row>
    <row r="73">
      <c r="B73" t="n">
        <v>6</v>
      </c>
      <c r="C73" s="23" t="n">
        <v>480</v>
      </c>
      <c r="D73" s="23" t="n">
        <v>750</v>
      </c>
      <c r="E73" s="23" t="n">
        <v>1200</v>
      </c>
      <c r="F73" s="23" t="n">
        <v>680</v>
      </c>
      <c r="G73" s="23" t="n">
        <v>1050</v>
      </c>
      <c r="H73" s="23" t="n">
        <v>1600</v>
      </c>
    </row>
    <row r="74">
      <c r="B74" t="n">
        <v>7</v>
      </c>
      <c r="C74" s="23" t="n">
        <v>510</v>
      </c>
      <c r="D74" s="23" t="n">
        <v>850</v>
      </c>
      <c r="E74" s="23" t="n">
        <v>1400</v>
      </c>
      <c r="F74" s="23" t="n">
        <v>710</v>
      </c>
      <c r="G74" s="23" t="n">
        <v>1250</v>
      </c>
      <c r="H74" s="23" t="n">
        <v>2000</v>
      </c>
    </row>
    <row r="75">
      <c r="A75" s="2" t="inlineStr">
        <is>
          <t>5 NT</t>
        </is>
      </c>
      <c r="B75" t="n">
        <v>5</v>
      </c>
      <c r="C75" s="23" t="n">
        <v>460</v>
      </c>
      <c r="D75" s="23" t="n">
        <v>670</v>
      </c>
      <c r="E75" s="23" t="n">
        <v>1040</v>
      </c>
      <c r="F75" s="23" t="n">
        <v>660</v>
      </c>
      <c r="G75" s="23" t="n">
        <v>870</v>
      </c>
      <c r="H75" s="23" t="n">
        <v>1240</v>
      </c>
    </row>
    <row r="76">
      <c r="B76" t="n">
        <v>6</v>
      </c>
      <c r="C76" s="23" t="n">
        <v>490</v>
      </c>
      <c r="D76" s="23" t="n">
        <v>770</v>
      </c>
      <c r="E76" s="23" t="n">
        <v>1240</v>
      </c>
      <c r="F76" s="23" t="n">
        <v>690</v>
      </c>
      <c r="G76" s="23" t="n">
        <v>1070</v>
      </c>
      <c r="H76" s="23" t="n">
        <v>1640</v>
      </c>
    </row>
    <row r="77">
      <c r="B77" t="n">
        <v>7</v>
      </c>
      <c r="C77" s="23" t="n">
        <v>520</v>
      </c>
      <c r="D77" s="23" t="n">
        <v>870</v>
      </c>
      <c r="E77" s="23" t="n">
        <v>1440</v>
      </c>
      <c r="F77" s="23" t="n">
        <v>720</v>
      </c>
      <c r="G77" s="23" t="n">
        <v>1270</v>
      </c>
      <c r="H77" s="23" t="n">
        <v>2040</v>
      </c>
    </row>
    <row r="78">
      <c r="A78" s="2" t="inlineStr">
        <is>
          <t>6 D/C</t>
        </is>
      </c>
      <c r="B78" t="n">
        <v>6</v>
      </c>
      <c r="C78" s="23" t="n">
        <v>920</v>
      </c>
      <c r="D78" s="23" t="n">
        <v>1090</v>
      </c>
      <c r="E78" s="23" t="n">
        <v>1380</v>
      </c>
      <c r="F78" s="23" t="n">
        <v>1370</v>
      </c>
      <c r="G78" s="23" t="n">
        <v>1540</v>
      </c>
      <c r="H78" s="23" t="n">
        <v>1830</v>
      </c>
    </row>
    <row r="79">
      <c r="B79" t="n">
        <v>7</v>
      </c>
      <c r="C79" s="23" t="n">
        <v>940</v>
      </c>
      <c r="D79" s="23" t="n">
        <v>1190</v>
      </c>
      <c r="E79" s="23" t="n">
        <v>1580</v>
      </c>
      <c r="F79" s="23" t="n">
        <v>1390</v>
      </c>
      <c r="G79" s="23" t="n">
        <v>1740</v>
      </c>
      <c r="H79" s="23" t="n">
        <v>2230</v>
      </c>
    </row>
    <row r="80">
      <c r="A80" s="2" t="inlineStr">
        <is>
          <t>6 H/S</t>
        </is>
      </c>
      <c r="B80" t="n">
        <v>6</v>
      </c>
      <c r="C80" s="23" t="n">
        <v>980</v>
      </c>
      <c r="D80" s="23" t="n">
        <v>1210</v>
      </c>
      <c r="E80" s="23" t="n">
        <v>1620</v>
      </c>
      <c r="F80" s="23" t="n">
        <v>1430</v>
      </c>
      <c r="G80" s="23" t="n">
        <v>1660</v>
      </c>
      <c r="H80" s="23" t="n">
        <v>2070</v>
      </c>
    </row>
    <row r="81">
      <c r="B81" t="n">
        <v>7</v>
      </c>
      <c r="C81" s="23" t="n">
        <v>1010</v>
      </c>
      <c r="D81" s="23" t="n">
        <v>1310</v>
      </c>
      <c r="E81" s="23" t="n">
        <v>1820</v>
      </c>
      <c r="F81" s="23" t="n">
        <v>1460</v>
      </c>
      <c r="G81" s="23" t="n">
        <v>1860</v>
      </c>
      <c r="H81" s="23" t="n">
        <v>2470</v>
      </c>
    </row>
    <row r="82">
      <c r="A82" s="2" t="inlineStr">
        <is>
          <t>6 NT</t>
        </is>
      </c>
      <c r="B82" t="n">
        <v>6</v>
      </c>
      <c r="C82" s="23" t="n">
        <v>990</v>
      </c>
      <c r="D82" s="23" t="n">
        <v>1230</v>
      </c>
      <c r="E82" s="23" t="n">
        <v>1660</v>
      </c>
      <c r="F82" s="23" t="n">
        <v>1440</v>
      </c>
      <c r="G82" s="23" t="n">
        <v>1680</v>
      </c>
      <c r="H82" s="23" t="n">
        <v>2110</v>
      </c>
    </row>
    <row r="83">
      <c r="B83" t="n">
        <v>7</v>
      </c>
      <c r="C83" s="23" t="n">
        <v>1020</v>
      </c>
      <c r="D83" s="23" t="n">
        <v>1330</v>
      </c>
      <c r="E83" s="23" t="n">
        <v>1860</v>
      </c>
      <c r="F83" s="23" t="n">
        <v>1470</v>
      </c>
      <c r="G83" s="23" t="n">
        <v>1880</v>
      </c>
      <c r="H83" s="23" t="n">
        <v>2510</v>
      </c>
    </row>
    <row r="84">
      <c r="A84" s="2" t="inlineStr">
        <is>
          <t>7 D/C</t>
        </is>
      </c>
      <c r="B84" t="n">
        <v>7</v>
      </c>
      <c r="C84" s="23" t="n">
        <v>1440</v>
      </c>
      <c r="D84" s="23" t="n">
        <v>1630</v>
      </c>
      <c r="E84" s="23" t="n">
        <v>1960</v>
      </c>
      <c r="F84" s="23" t="n">
        <v>2140</v>
      </c>
      <c r="G84" s="23" t="n">
        <v>2330</v>
      </c>
      <c r="H84" s="23" t="n">
        <v>2660</v>
      </c>
    </row>
    <row r="85">
      <c r="A85" s="2" t="inlineStr">
        <is>
          <t>7 H/S</t>
        </is>
      </c>
      <c r="B85" t="n">
        <v>7</v>
      </c>
      <c r="C85" s="23" t="n">
        <v>1510</v>
      </c>
      <c r="D85" s="23" t="n">
        <v>1770</v>
      </c>
      <c r="E85" s="23" t="n">
        <v>2240</v>
      </c>
      <c r="F85" s="23" t="n">
        <v>2210</v>
      </c>
      <c r="G85" s="23" t="n">
        <v>2470</v>
      </c>
      <c r="H85" s="23" t="n">
        <v>2940</v>
      </c>
    </row>
    <row r="86">
      <c r="A86" s="2" t="inlineStr">
        <is>
          <t>7 NT</t>
        </is>
      </c>
      <c r="B86" t="n">
        <v>7</v>
      </c>
      <c r="C86" s="23" t="n">
        <v>1520</v>
      </c>
      <c r="D86" s="23" t="n">
        <v>1790</v>
      </c>
      <c r="E86" s="23" t="n">
        <v>2280</v>
      </c>
      <c r="F86" s="23" t="n">
        <v>2220</v>
      </c>
      <c r="G86" s="23" t="n">
        <v>2490</v>
      </c>
      <c r="H86" s="23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2026-07-29T11:06:58Z</dcterms:created>
  <dcterms:modified xsi:type="dcterms:W3CDTF">2026-07-29T11:06:58Z</dcterms:modified>
</cp:coreProperties>
</file>