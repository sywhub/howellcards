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02,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10</v>
      </c>
    </row>
    <row r="4">
      <c r="A4" s="2" t="inlineStr">
        <is>
          <t>Tables</t>
        </is>
      </c>
      <c r="B4" s="2" t="n">
        <v>5</v>
      </c>
    </row>
    <row r="5">
      <c r="A5" s="2" t="inlineStr">
        <is>
          <t>Rounds</t>
        </is>
      </c>
      <c r="B5" s="2" t="n">
        <v>9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53</t>
        </is>
      </c>
      <c r="C2" t="inlineStr">
        <is>
          <t>Name 12</t>
        </is>
      </c>
      <c r="D2" s="4">
        <f>SUMIF('By Board'!$D$3:$D$92,"=1",'By Board'!$L$3:$L$92)+SUMIF('By Board'!$E$3:$E$92,"=1",'By Board'!$M$3:$M$92)</f>
        <v/>
      </c>
      <c r="E2" s="5">
        <f>SUMIF('By Board'!$D$3:$D$92,"=1",'By Board'!$N$3:$N$92)/18+SUMIF('By Board'!$E$3:$E$92,"=1",'By Board'!$O$3:$O$92)/18</f>
        <v/>
      </c>
    </row>
    <row r="3">
      <c r="A3" t="n">
        <v>2</v>
      </c>
      <c r="B3" t="inlineStr">
        <is>
          <t>Name 40</t>
        </is>
      </c>
      <c r="C3" t="inlineStr">
        <is>
          <t>Name 15</t>
        </is>
      </c>
      <c r="D3" s="4">
        <f>SUMIF('By Board'!$D$3:$D$92,"=2",'By Board'!$L$3:$L$92)+SUMIF('By Board'!$E$3:$E$92,"=2",'By Board'!$M$3:$M$92)</f>
        <v/>
      </c>
      <c r="E3" s="5">
        <f>SUMIF('By Board'!$D$3:$D$92,"=2",'By Board'!$N$3:$N$92)/18+SUMIF('By Board'!$E$3:$E$92,"=2",'By Board'!$O$3:$O$92)/18</f>
        <v/>
      </c>
    </row>
    <row r="4">
      <c r="A4" t="n">
        <v>3</v>
      </c>
      <c r="B4" t="inlineStr">
        <is>
          <t>Name 67</t>
        </is>
      </c>
      <c r="C4" t="inlineStr">
        <is>
          <t>Name 23</t>
        </is>
      </c>
      <c r="D4" s="4">
        <f>SUMIF('By Board'!$D$3:$D$92,"=3",'By Board'!$L$3:$L$92)+SUMIF('By Board'!$E$3:$E$92,"=3",'By Board'!$M$3:$M$92)</f>
        <v/>
      </c>
      <c r="E4" s="5">
        <f>SUMIF('By Board'!$D$3:$D$92,"=3",'By Board'!$N$3:$N$92)/18+SUMIF('By Board'!$E$3:$E$92,"=3",'By Board'!$O$3:$O$92)/18</f>
        <v/>
      </c>
    </row>
    <row r="5">
      <c r="A5" t="n">
        <v>4</v>
      </c>
      <c r="B5" t="inlineStr">
        <is>
          <t>Name 57</t>
        </is>
      </c>
      <c r="C5" t="inlineStr">
        <is>
          <t>Name 42</t>
        </is>
      </c>
      <c r="D5" s="4">
        <f>SUMIF('By Board'!$D$3:$D$92,"=4",'By Board'!$L$3:$L$92)+SUMIF('By Board'!$E$3:$E$92,"=4",'By Board'!$M$3:$M$92)</f>
        <v/>
      </c>
      <c r="E5" s="5">
        <f>SUMIF('By Board'!$D$3:$D$92,"=4",'By Board'!$N$3:$N$92)/18+SUMIF('By Board'!$E$3:$E$92,"=4",'By Board'!$O$3:$O$92)/18</f>
        <v/>
      </c>
    </row>
    <row r="6">
      <c r="A6" t="n">
        <v>5</v>
      </c>
      <c r="B6" t="inlineStr">
        <is>
          <t>Name 85</t>
        </is>
      </c>
      <c r="C6" t="inlineStr">
        <is>
          <t>Name 88</t>
        </is>
      </c>
      <c r="D6" s="4">
        <f>SUMIF('By Board'!$D$3:$D$92,"=5",'By Board'!$L$3:$L$92)+SUMIF('By Board'!$E$3:$E$92,"=5",'By Board'!$M$3:$M$92)</f>
        <v/>
      </c>
      <c r="E6" s="5">
        <f>SUMIF('By Board'!$D$3:$D$92,"=5",'By Board'!$N$3:$N$92)/18+SUMIF('By Board'!$E$3:$E$92,"=5",'By Board'!$O$3:$O$92)/18</f>
        <v/>
      </c>
    </row>
    <row r="7">
      <c r="A7" t="n">
        <v>6</v>
      </c>
      <c r="B7" t="inlineStr">
        <is>
          <t>Name 90</t>
        </is>
      </c>
      <c r="C7" t="inlineStr">
        <is>
          <t>Name 24</t>
        </is>
      </c>
      <c r="D7" s="4">
        <f>SUMIF('By Board'!$D$3:$D$92,"=6",'By Board'!$L$3:$L$92)+SUMIF('By Board'!$E$3:$E$92,"=6",'By Board'!$M$3:$M$92)</f>
        <v/>
      </c>
      <c r="E7" s="5">
        <f>SUMIF('By Board'!$D$3:$D$92,"=6",'By Board'!$N$3:$N$92)/18+SUMIF('By Board'!$E$3:$E$92,"=6",'By Board'!$O$3:$O$92)/18</f>
        <v/>
      </c>
    </row>
    <row r="8">
      <c r="A8" t="n">
        <v>7</v>
      </c>
      <c r="B8" t="inlineStr">
        <is>
          <t>Name 70</t>
        </is>
      </c>
      <c r="C8" t="inlineStr">
        <is>
          <t>Name 45</t>
        </is>
      </c>
      <c r="D8" s="4">
        <f>SUMIF('By Board'!$D$3:$D$92,"=7",'By Board'!$L$3:$L$92)+SUMIF('By Board'!$E$3:$E$92,"=7",'By Board'!$M$3:$M$92)</f>
        <v/>
      </c>
      <c r="E8" s="5">
        <f>SUMIF('By Board'!$D$3:$D$92,"=7",'By Board'!$N$3:$N$92)/18+SUMIF('By Board'!$E$3:$E$92,"=7",'By Board'!$O$3:$O$92)/18</f>
        <v/>
      </c>
    </row>
    <row r="9">
      <c r="A9" t="n">
        <v>8</v>
      </c>
      <c r="B9" t="inlineStr">
        <is>
          <t>Name 83</t>
        </is>
      </c>
      <c r="C9" t="inlineStr">
        <is>
          <t>Name 81</t>
        </is>
      </c>
      <c r="D9" s="4">
        <f>SUMIF('By Board'!$D$3:$D$92,"=8",'By Board'!$L$3:$L$92)+SUMIF('By Board'!$E$3:$E$92,"=8",'By Board'!$M$3:$M$92)</f>
        <v/>
      </c>
      <c r="E9" s="5">
        <f>SUMIF('By Board'!$D$3:$D$92,"=8",'By Board'!$N$3:$N$92)/18+SUMIF('By Board'!$E$3:$E$92,"=8",'By Board'!$O$3:$O$92)/18</f>
        <v/>
      </c>
    </row>
    <row r="10">
      <c r="A10" t="n">
        <v>9</v>
      </c>
      <c r="B10" t="inlineStr">
        <is>
          <t>Name 60</t>
        </is>
      </c>
      <c r="C10" t="inlineStr">
        <is>
          <t>Name 60</t>
        </is>
      </c>
      <c r="D10" s="4">
        <f>SUMIF('By Board'!$D$3:$D$92,"=9",'By Board'!$L$3:$L$92)+SUMIF('By Board'!$E$3:$E$92,"=9",'By Board'!$M$3:$M$92)</f>
        <v/>
      </c>
      <c r="E10" s="5">
        <f>SUMIF('By Board'!$D$3:$D$92,"=9",'By Board'!$N$3:$N$92)/18+SUMIF('By Board'!$E$3:$E$92,"=9",'By Board'!$O$3:$O$92)/18</f>
        <v/>
      </c>
    </row>
    <row r="11">
      <c r="A11" t="n">
        <v>10</v>
      </c>
      <c r="B11" t="inlineStr">
        <is>
          <t>Name 34</t>
        </is>
      </c>
      <c r="C11" t="inlineStr">
        <is>
          <t>Name 42</t>
        </is>
      </c>
      <c r="D11" s="4">
        <f>SUMIF('By Board'!$D$3:$D$92,"=10",'By Board'!$L$3:$L$92)+0</f>
        <v/>
      </c>
      <c r="E11" s="5">
        <f>SUMIF('By Board'!$D$3:$D$92,"=10",'By Board'!$N$3:$N$92)/18+0/18</f>
        <v/>
      </c>
    </row>
    <row r="12">
      <c r="D12" s="6">
        <f>SUM(D2:D11)</f>
        <v/>
      </c>
      <c r="E12" s="7">
        <f>AVERAGE(E2:E11)</f>
        <v/>
      </c>
    </row>
    <row r="14">
      <c r="A14" t="inlineStr">
        <is>
          <t>Array Formula below, remove single quote</t>
        </is>
      </c>
    </row>
    <row r="15">
      <c r="A15" s="3" t="inlineStr">
        <is>
          <t>IMP Ranking</t>
        </is>
      </c>
    </row>
    <row r="16">
      <c r="A16" t="inlineStr">
        <is>
          <t>'=SORT(A2:E11,4,-1)</t>
        </is>
      </c>
      <c r="D16" s="4" t="n"/>
      <c r="E16" s="8" t="n"/>
    </row>
    <row r="17">
      <c r="D17" s="4" t="n"/>
      <c r="E17" s="8" t="n"/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30">
      <c r="A30" s="3" t="inlineStr">
        <is>
          <t>MP Ranking</t>
        </is>
      </c>
    </row>
    <row r="31">
      <c r="A31" t="inlineStr">
        <is>
          <t>'=SORT(A2:E11,5,-1)</t>
        </is>
      </c>
      <c r="D31" s="4" t="n"/>
      <c r="E31" s="8" t="n"/>
    </row>
    <row r="32">
      <c r="D32" s="4" t="n"/>
      <c r="E32" s="8" t="n"/>
    </row>
    <row r="33">
      <c r="D33" s="4" t="n"/>
      <c r="E33" s="8" t="n"/>
    </row>
    <row r="34">
      <c r="D34" s="4" t="n"/>
      <c r="E34" s="8" t="n"/>
    </row>
    <row r="35">
      <c r="D35" s="4" t="n"/>
      <c r="E35" s="8" t="n"/>
    </row>
    <row r="36">
      <c r="D36" s="4" t="n"/>
      <c r="E36" s="8" t="n"/>
    </row>
    <row r="37">
      <c r="D37" s="4" t="n"/>
      <c r="E37" s="8" t="n"/>
    </row>
    <row r="38">
      <c r="D38" s="4" t="n"/>
      <c r="E38" s="8" t="n"/>
    </row>
    <row r="39">
      <c r="D39" s="4" t="n"/>
      <c r="E39" s="8" t="n"/>
    </row>
    <row r="40">
      <c r="D40" s="4" t="n"/>
      <c r="E40" s="8" t="n"/>
    </row>
  </sheetData>
  <mergeCells count="2">
    <mergeCell ref="A30:E30"/>
    <mergeCell ref="A15:E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X2" s="3" t="inlineStr">
        <is>
          <t>EW MP Scores</t>
        </is>
      </c>
      <c r="AB2" s="10" t="inlineStr">
        <is>
          <t>NS IMP Pair-wise</t>
        </is>
      </c>
      <c r="AF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4">
        <f>SUM(T3:W3)</f>
        <v/>
      </c>
      <c r="Q3" s="4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>
        <f>'By Round'!A13</f>
        <v/>
      </c>
      <c r="C4">
        <f>'By Round'!B21</f>
        <v/>
      </c>
      <c r="D4">
        <f>'By Round'!C21</f>
        <v/>
      </c>
      <c r="E4">
        <f>'By Round'!D21</f>
        <v/>
      </c>
      <c r="F4" s="11" t="inlineStr">
        <is>
          <t>None</t>
        </is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4">
        <f>SUM(T4:W4)</f>
        <v/>
      </c>
      <c r="Q4" s="4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>
        <f>'By Round'!A23</f>
        <v/>
      </c>
      <c r="C5">
        <f>'By Round'!B29</f>
        <v/>
      </c>
      <c r="D5">
        <f>'By Round'!C29</f>
        <v/>
      </c>
      <c r="E5">
        <f>'By Round'!D29</f>
        <v/>
      </c>
      <c r="F5" s="11" t="inlineStr">
        <is>
          <t>None</t>
        </is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4">
        <f>SUM(T5:W5)</f>
        <v/>
      </c>
      <c r="Q5" s="4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>
        <f>'By Round'!A73</f>
        <v/>
      </c>
      <c r="C6">
        <f>'By Round'!B77</f>
        <v/>
      </c>
      <c r="D6">
        <f>'By Round'!C77</f>
        <v/>
      </c>
      <c r="E6">
        <f>'By Round'!D77</f>
        <v/>
      </c>
      <c r="F6" s="11" t="inlineStr">
        <is>
          <t>None</t>
        </is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4">
        <f>SUM(T6:W6)</f>
        <v/>
      </c>
      <c r="Q6" s="4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5">
        <f>'By Round'!A83</f>
        <v/>
      </c>
      <c r="C7" s="15">
        <f>'By Round'!B85</f>
        <v/>
      </c>
      <c r="D7" s="15">
        <f>'By Round'!C85</f>
        <v/>
      </c>
      <c r="E7" s="15">
        <f>'By Round'!D85</f>
        <v/>
      </c>
      <c r="F7" s="16" t="inlineStr">
        <is>
          <t>None</t>
        </is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t="n">
        <v>2</v>
      </c>
      <c r="B8">
        <f>'By Round'!A3</f>
        <v/>
      </c>
      <c r="C8">
        <f>'By Round'!B3</f>
        <v/>
      </c>
      <c r="D8">
        <f>'By Round'!C3</f>
        <v/>
      </c>
      <c r="E8">
        <f>'By Round'!D3</f>
        <v/>
      </c>
      <c r="F8" s="11" t="inlineStr">
        <is>
          <t>NS</t>
        </is>
      </c>
      <c r="G8">
        <f>IF(ISBLANK('By Round'!G3),"",'By Round'!G3)</f>
        <v/>
      </c>
      <c r="H8">
        <f>IF(ISBLANK('By Round'!H3),"",'By Round'!H3)</f>
        <v/>
      </c>
      <c r="I8">
        <f>IF(ISBLANK('By Round'!I3),"",'By Round'!I3)</f>
        <v/>
      </c>
      <c r="J8">
        <f>IF(ISBLANK('By Round'!J3),"",'By Round'!J3)</f>
        <v/>
      </c>
      <c r="K8">
        <f>IF(ISBLANK('By Round'!K3),"",'By Round'!K3)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4">
        <f>SUM(T8:W8)</f>
        <v/>
      </c>
      <c r="Q8" s="4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>
        <f>'By Round'!A13</f>
        <v/>
      </c>
      <c r="C9">
        <f>'By Round'!B21</f>
        <v/>
      </c>
      <c r="D9">
        <f>'By Round'!C21</f>
        <v/>
      </c>
      <c r="E9">
        <f>'By Round'!D21</f>
        <v/>
      </c>
      <c r="F9" s="11" t="inlineStr">
        <is>
          <t>NS</t>
        </is>
      </c>
      <c r="G9">
        <f>IF(ISBLANK('By Round'!G21),"",'By Round'!G21)</f>
        <v/>
      </c>
      <c r="H9">
        <f>IF(ISBLANK('By Round'!H21),"",'By Round'!H21)</f>
        <v/>
      </c>
      <c r="I9">
        <f>IF(ISBLANK('By Round'!I21),"",'By Round'!I21)</f>
        <v/>
      </c>
      <c r="J9">
        <f>IF(ISBLANK('By Round'!J21),"",'By Round'!J21)</f>
        <v/>
      </c>
      <c r="K9">
        <f>IF(ISBLANK('By Round'!K21),"",'By Round'!K21)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4">
        <f>SUM(T9:W9)</f>
        <v/>
      </c>
      <c r="Q9" s="4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>
        <f>'By Round'!A23</f>
        <v/>
      </c>
      <c r="C10">
        <f>'By Round'!B29</f>
        <v/>
      </c>
      <c r="D10">
        <f>'By Round'!C29</f>
        <v/>
      </c>
      <c r="E10">
        <f>'By Round'!D29</f>
        <v/>
      </c>
      <c r="F10" s="11" t="inlineStr">
        <is>
          <t>NS</t>
        </is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4">
        <f>SUM(T10:W10)</f>
        <v/>
      </c>
      <c r="Q10" s="4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>
        <f>'By Round'!A73</f>
        <v/>
      </c>
      <c r="C11">
        <f>'By Round'!B77</f>
        <v/>
      </c>
      <c r="D11">
        <f>'By Round'!C77</f>
        <v/>
      </c>
      <c r="E11">
        <f>'By Round'!D77</f>
        <v/>
      </c>
      <c r="F11" s="11" t="inlineStr">
        <is>
          <t>NS</t>
        </is>
      </c>
      <c r="G11">
        <f>IF(ISBLANK('By Round'!G77),"",'By Round'!G77)</f>
        <v/>
      </c>
      <c r="H11">
        <f>IF(ISBLANK('By Round'!H77),"",'By Round'!H77)</f>
        <v/>
      </c>
      <c r="I11">
        <f>IF(ISBLANK('By Round'!I77),"",'By Round'!I77)</f>
        <v/>
      </c>
      <c r="J11">
        <f>IF(ISBLANK('By Round'!J77),"",'By Round'!J77)</f>
        <v/>
      </c>
      <c r="K11">
        <f>IF(ISBLANK('By Round'!K77),"",'By Round'!K77)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4">
        <f>SUM(T11:W11)</f>
        <v/>
      </c>
      <c r="Q11" s="4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5">
        <f>'By Round'!A83</f>
        <v/>
      </c>
      <c r="C12" s="15">
        <f>'By Round'!B85</f>
        <v/>
      </c>
      <c r="D12" s="15">
        <f>'By Round'!C85</f>
        <v/>
      </c>
      <c r="E12" s="15">
        <f>'By Round'!D85</f>
        <v/>
      </c>
      <c r="F12" s="16" t="inlineStr">
        <is>
          <t>NS</t>
        </is>
      </c>
      <c r="G12" s="15">
        <f>IF(ISBLANK('By Round'!G85),"",'By Round'!G85)</f>
        <v/>
      </c>
      <c r="H12" s="15">
        <f>IF(ISBLANK('By Round'!H85),"",'By Round'!H85)</f>
        <v/>
      </c>
      <c r="I12" s="15">
        <f>IF(ISBLANK('By Round'!I85),"",'By Round'!I85)</f>
        <v/>
      </c>
      <c r="J12" s="15">
        <f>IF(ISBLANK('By Round'!J85),"",'By Round'!J85)</f>
        <v/>
      </c>
      <c r="K12" s="15">
        <f>IF(ISBLANK('By Round'!K85),"",'By Round'!K85)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t="n">
        <v>3</v>
      </c>
      <c r="B13">
        <f>'By Round'!A3</f>
        <v/>
      </c>
      <c r="C13">
        <f>'By Round'!B5</f>
        <v/>
      </c>
      <c r="D13">
        <f>'By Round'!C5</f>
        <v/>
      </c>
      <c r="E13">
        <f>'By Round'!D5</f>
        <v/>
      </c>
      <c r="F13" s="11" t="inlineStr">
        <is>
          <t>EW</t>
        </is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4">
        <f>SUM(T13:W13)</f>
        <v/>
      </c>
      <c r="Q13" s="4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>
        <f>'By Round'!A13</f>
        <v/>
      </c>
      <c r="C14">
        <f>'By Round'!B13</f>
        <v/>
      </c>
      <c r="D14">
        <f>'By Round'!C13</f>
        <v/>
      </c>
      <c r="E14">
        <f>'By Round'!D13</f>
        <v/>
      </c>
      <c r="F14" s="11" t="inlineStr">
        <is>
          <t>EW</t>
        </is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4">
        <f>SUM(T14:W14)</f>
        <v/>
      </c>
      <c r="Q14" s="4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>
        <f>'By Round'!A23</f>
        <v/>
      </c>
      <c r="C15">
        <f>'By Round'!B31</f>
        <v/>
      </c>
      <c r="D15">
        <f>'By Round'!C31</f>
        <v/>
      </c>
      <c r="E15">
        <f>'By Round'!D31</f>
        <v/>
      </c>
      <c r="F15" s="11" t="inlineStr">
        <is>
          <t>EW</t>
        </is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4">
        <f>SUM(T15:W15)</f>
        <v/>
      </c>
      <c r="Q15" s="4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>
        <f>'By Round'!A33</f>
        <v/>
      </c>
      <c r="C16">
        <f>'By Round'!B39</f>
        <v/>
      </c>
      <c r="D16">
        <f>'By Round'!C39</f>
        <v/>
      </c>
      <c r="E16">
        <f>'By Round'!D39</f>
        <v/>
      </c>
      <c r="F16" s="11" t="inlineStr">
        <is>
          <t>EW</t>
        </is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4">
        <f>SUM(T16:W16)</f>
        <v/>
      </c>
      <c r="Q16" s="4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5">
        <f>'By Round'!A83</f>
        <v/>
      </c>
      <c r="C17" s="15">
        <f>'By Round'!B87</f>
        <v/>
      </c>
      <c r="D17" s="15">
        <f>'By Round'!C87</f>
        <v/>
      </c>
      <c r="E17" s="15">
        <f>'By Round'!D87</f>
        <v/>
      </c>
      <c r="F17" s="16" t="inlineStr">
        <is>
          <t>EW</t>
        </is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t="n">
        <v>4</v>
      </c>
      <c r="B18">
        <f>'By Round'!A3</f>
        <v/>
      </c>
      <c r="C18">
        <f>'By Round'!B5</f>
        <v/>
      </c>
      <c r="D18">
        <f>'By Round'!C5</f>
        <v/>
      </c>
      <c r="E18">
        <f>'By Round'!D5</f>
        <v/>
      </c>
      <c r="F18" s="11" t="inlineStr">
        <is>
          <t>Both</t>
        </is>
      </c>
      <c r="G18">
        <f>IF(ISBLANK('By Round'!G5),"",'By Round'!G5)</f>
        <v/>
      </c>
      <c r="H18">
        <f>IF(ISBLANK('By Round'!H5),"",'By Round'!H5)</f>
        <v/>
      </c>
      <c r="I18">
        <f>IF(ISBLANK('By Round'!I5),"",'By Round'!I5)</f>
        <v/>
      </c>
      <c r="J18">
        <f>IF(ISBLANK('By Round'!J5),"",'By Round'!J5)</f>
        <v/>
      </c>
      <c r="K18">
        <f>IF(ISBLANK('By Round'!K5),"",'By Round'!K5)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4">
        <f>SUM(T18:W18)</f>
        <v/>
      </c>
      <c r="Q18" s="4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>
        <f>'By Round'!A13</f>
        <v/>
      </c>
      <c r="C19">
        <f>'By Round'!B13</f>
        <v/>
      </c>
      <c r="D19">
        <f>'By Round'!C13</f>
        <v/>
      </c>
      <c r="E19">
        <f>'By Round'!D13</f>
        <v/>
      </c>
      <c r="F19" s="11" t="inlineStr">
        <is>
          <t>Both</t>
        </is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4">
        <f>SUM(T19:W19)</f>
        <v/>
      </c>
      <c r="Q19" s="4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>
        <f>'By Round'!A23</f>
        <v/>
      </c>
      <c r="C20">
        <f>'By Round'!B31</f>
        <v/>
      </c>
      <c r="D20">
        <f>'By Round'!C31</f>
        <v/>
      </c>
      <c r="E20">
        <f>'By Round'!D31</f>
        <v/>
      </c>
      <c r="F20" s="11" t="inlineStr">
        <is>
          <t>Both</t>
        </is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4">
        <f>SUM(T20:W20)</f>
        <v/>
      </c>
      <c r="Q20" s="4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>
        <f>'By Round'!A33</f>
        <v/>
      </c>
      <c r="C21">
        <f>'By Round'!B39</f>
        <v/>
      </c>
      <c r="D21">
        <f>'By Round'!C39</f>
        <v/>
      </c>
      <c r="E21">
        <f>'By Round'!D39</f>
        <v/>
      </c>
      <c r="F21" s="11" t="inlineStr">
        <is>
          <t>Both</t>
        </is>
      </c>
      <c r="G21">
        <f>IF(ISBLANK('By Round'!G39),"",'By Round'!G39)</f>
        <v/>
      </c>
      <c r="H21">
        <f>IF(ISBLANK('By Round'!H39),"",'By Round'!H39)</f>
        <v/>
      </c>
      <c r="I21">
        <f>IF(ISBLANK('By Round'!I39),"",'By Round'!I39)</f>
        <v/>
      </c>
      <c r="J21">
        <f>IF(ISBLANK('By Round'!J39),"",'By Round'!J39)</f>
        <v/>
      </c>
      <c r="K21">
        <f>IF(ISBLANK('By Round'!K39),"",'By Round'!K39)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4">
        <f>SUM(T21:W21)</f>
        <v/>
      </c>
      <c r="Q21" s="4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5">
        <f>'By Round'!A83</f>
        <v/>
      </c>
      <c r="C22" s="15">
        <f>'By Round'!B87</f>
        <v/>
      </c>
      <c r="D22" s="15">
        <f>'By Round'!C87</f>
        <v/>
      </c>
      <c r="E22" s="15">
        <f>'By Round'!D87</f>
        <v/>
      </c>
      <c r="F22" s="16" t="inlineStr">
        <is>
          <t>Both</t>
        </is>
      </c>
      <c r="G22" s="15">
        <f>IF(ISBLANK('By Round'!G87),"",'By Round'!G87)</f>
        <v/>
      </c>
      <c r="H22" s="15">
        <f>IF(ISBLANK('By Round'!H87),"",'By Round'!H87)</f>
        <v/>
      </c>
      <c r="I22" s="15">
        <f>IF(ISBLANK('By Round'!I87),"",'By Round'!I87)</f>
        <v/>
      </c>
      <c r="J22" s="15">
        <f>IF(ISBLANK('By Round'!J87),"",'By Round'!J87)</f>
        <v/>
      </c>
      <c r="K22" s="15">
        <f>IF(ISBLANK('By Round'!K87),"",'By Round'!K87)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t="n">
        <v>5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NS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4">
        <f>SUM(T23:W23)</f>
        <v/>
      </c>
      <c r="Q23" s="4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>
        <f>'By Round'!A13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NS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4">
        <f>SUM(T24:W24)</f>
        <v/>
      </c>
      <c r="Q24" s="4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>
        <f>'By Round'!A23</f>
        <v/>
      </c>
      <c r="C25">
        <f>'By Round'!B23</f>
        <v/>
      </c>
      <c r="D25">
        <f>'By Round'!C23</f>
        <v/>
      </c>
      <c r="E25">
        <f>'By Round'!D23</f>
        <v/>
      </c>
      <c r="F25" s="11" t="inlineStr">
        <is>
          <t>NS</t>
        </is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4">
        <f>SUM(T25:W25)</f>
        <v/>
      </c>
      <c r="Q25" s="4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>
        <f>'By Round'!A33</f>
        <v/>
      </c>
      <c r="C26">
        <f>'By Round'!B41</f>
        <v/>
      </c>
      <c r="D26">
        <f>'By Round'!C41</f>
        <v/>
      </c>
      <c r="E26">
        <f>'By Round'!D41</f>
        <v/>
      </c>
      <c r="F26" s="11" t="inlineStr">
        <is>
          <t>NS</t>
        </is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4">
        <f>SUM(T26:W26)</f>
        <v/>
      </c>
      <c r="Q26" s="4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5">
        <f>'By Round'!A43</f>
        <v/>
      </c>
      <c r="C27" s="15">
        <f>'By Round'!B49</f>
        <v/>
      </c>
      <c r="D27" s="15">
        <f>'By Round'!C49</f>
        <v/>
      </c>
      <c r="E27" s="15">
        <f>'By Round'!D49</f>
        <v/>
      </c>
      <c r="F27" s="16" t="inlineStr">
        <is>
          <t>NS</t>
        </is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t="n">
        <v>6</v>
      </c>
      <c r="B28">
        <f>'By Round'!A3</f>
        <v/>
      </c>
      <c r="C28">
        <f>'By Round'!B7</f>
        <v/>
      </c>
      <c r="D28">
        <f>'By Round'!C7</f>
        <v/>
      </c>
      <c r="E28">
        <f>'By Round'!D7</f>
        <v/>
      </c>
      <c r="F28" s="11" t="inlineStr">
        <is>
          <t>EW</t>
        </is>
      </c>
      <c r="G28">
        <f>IF(ISBLANK('By Round'!G7),"",'By Round'!G7)</f>
        <v/>
      </c>
      <c r="H28">
        <f>IF(ISBLANK('By Round'!H7),"",'By Round'!H7)</f>
        <v/>
      </c>
      <c r="I28">
        <f>IF(ISBLANK('By Round'!I7),"",'By Round'!I7)</f>
        <v/>
      </c>
      <c r="J28">
        <f>IF(ISBLANK('By Round'!J7),"",'By Round'!J7)</f>
        <v/>
      </c>
      <c r="K28">
        <f>IF(ISBLANK('By Round'!K7),"",'By Round'!K7)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4">
        <f>SUM(T28:W28)</f>
        <v/>
      </c>
      <c r="Q28" s="4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>
        <f>'By Round'!A13</f>
        <v/>
      </c>
      <c r="C29">
        <f>'By Round'!B15</f>
        <v/>
      </c>
      <c r="D29">
        <f>'By Round'!C15</f>
        <v/>
      </c>
      <c r="E29">
        <f>'By Round'!D15</f>
        <v/>
      </c>
      <c r="F29" s="11" t="inlineStr">
        <is>
          <t>EW</t>
        </is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4">
        <f>SUM(T29:W29)</f>
        <v/>
      </c>
      <c r="Q29" s="4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>
        <f>'By Round'!A23</f>
        <v/>
      </c>
      <c r="C30">
        <f>'By Round'!B23</f>
        <v/>
      </c>
      <c r="D30">
        <f>'By Round'!C23</f>
        <v/>
      </c>
      <c r="E30">
        <f>'By Round'!D23</f>
        <v/>
      </c>
      <c r="F30" s="11" t="inlineStr">
        <is>
          <t>EW</t>
        </is>
      </c>
      <c r="G30">
        <f>IF(ISBLANK('By Round'!G23),"",'By Round'!G23)</f>
        <v/>
      </c>
      <c r="H30">
        <f>IF(ISBLANK('By Round'!H23),"",'By Round'!H23)</f>
        <v/>
      </c>
      <c r="I30">
        <f>IF(ISBLANK('By Round'!I23),"",'By Round'!I23)</f>
        <v/>
      </c>
      <c r="J30">
        <f>IF(ISBLANK('By Round'!J23),"",'By Round'!J23)</f>
        <v/>
      </c>
      <c r="K30">
        <f>IF(ISBLANK('By Round'!K23),"",'By Round'!K23)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4">
        <f>SUM(T30:W30)</f>
        <v/>
      </c>
      <c r="Q30" s="4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>
        <f>'By Round'!A33</f>
        <v/>
      </c>
      <c r="C31">
        <f>'By Round'!B41</f>
        <v/>
      </c>
      <c r="D31">
        <f>'By Round'!C41</f>
        <v/>
      </c>
      <c r="E31">
        <f>'By Round'!D41</f>
        <v/>
      </c>
      <c r="F31" s="11" t="inlineStr">
        <is>
          <t>EW</t>
        </is>
      </c>
      <c r="G31">
        <f>IF(ISBLANK('By Round'!G41),"",'By Round'!G41)</f>
        <v/>
      </c>
      <c r="H31">
        <f>IF(ISBLANK('By Round'!H41),"",'By Round'!H41)</f>
        <v/>
      </c>
      <c r="I31">
        <f>IF(ISBLANK('By Round'!I41),"",'By Round'!I41)</f>
        <v/>
      </c>
      <c r="J31">
        <f>IF(ISBLANK('By Round'!J41),"",'By Round'!J41)</f>
        <v/>
      </c>
      <c r="K31">
        <f>IF(ISBLANK('By Round'!K41),"",'By Round'!K41)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4">
        <f>SUM(T31:W31)</f>
        <v/>
      </c>
      <c r="Q31" s="4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5">
        <f>'By Round'!A43</f>
        <v/>
      </c>
      <c r="C32" s="15">
        <f>'By Round'!B49</f>
        <v/>
      </c>
      <c r="D32" s="15">
        <f>'By Round'!C49</f>
        <v/>
      </c>
      <c r="E32" s="15">
        <f>'By Round'!D49</f>
        <v/>
      </c>
      <c r="F32" s="16" t="inlineStr">
        <is>
          <t>EW</t>
        </is>
      </c>
      <c r="G32" s="15">
        <f>IF(ISBLANK('By Round'!G49),"",'By Round'!G49)</f>
        <v/>
      </c>
      <c r="H32" s="15">
        <f>IF(ISBLANK('By Round'!H49),"",'By Round'!H49)</f>
        <v/>
      </c>
      <c r="I32" s="15">
        <f>IF(ISBLANK('By Round'!I49),"",'By Round'!I49)</f>
        <v/>
      </c>
      <c r="J32" s="15">
        <f>IF(ISBLANK('By Round'!J49),"",'By Round'!J49)</f>
        <v/>
      </c>
      <c r="K32" s="15">
        <f>IF(ISBLANK('By Round'!K49),"",'By Round'!K49)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t="n">
        <v>7</v>
      </c>
      <c r="B33">
        <f>'By Round'!A13</f>
        <v/>
      </c>
      <c r="C33">
        <f>'By Round'!B17</f>
        <v/>
      </c>
      <c r="D33">
        <f>'By Round'!C17</f>
        <v/>
      </c>
      <c r="E33">
        <f>'By Round'!D17</f>
        <v/>
      </c>
      <c r="F33" s="11" t="inlineStr">
        <is>
          <t>Both</t>
        </is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4">
        <f>SUM(T33:W33)</f>
        <v/>
      </c>
      <c r="Q33" s="4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>
        <f>'By Round'!A23</f>
        <v/>
      </c>
      <c r="C34">
        <f>'By Round'!B25</f>
        <v/>
      </c>
      <c r="D34">
        <f>'By Round'!C25</f>
        <v/>
      </c>
      <c r="E34">
        <f>'By Round'!D25</f>
        <v/>
      </c>
      <c r="F34" s="11" t="inlineStr">
        <is>
          <t>Both</t>
        </is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4">
        <f>SUM(T34:W34)</f>
        <v/>
      </c>
      <c r="Q34" s="4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>
        <f>'By Round'!A33</f>
        <v/>
      </c>
      <c r="C35">
        <f>'By Round'!B33</f>
        <v/>
      </c>
      <c r="D35">
        <f>'By Round'!C33</f>
        <v/>
      </c>
      <c r="E35">
        <f>'By Round'!D33</f>
        <v/>
      </c>
      <c r="F35" s="11" t="inlineStr">
        <is>
          <t>Both</t>
        </is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4">
        <f>SUM(T35:W35)</f>
        <v/>
      </c>
      <c r="Q35" s="4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>
        <f>'By Round'!A43</f>
        <v/>
      </c>
      <c r="C36">
        <f>'By Round'!B51</f>
        <v/>
      </c>
      <c r="D36">
        <f>'By Round'!C51</f>
        <v/>
      </c>
      <c r="E36">
        <f>'By Round'!D51</f>
        <v/>
      </c>
      <c r="F36" s="11" t="inlineStr">
        <is>
          <t>Both</t>
        </is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4">
        <f>SUM(T36:W36)</f>
        <v/>
      </c>
      <c r="Q36" s="4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5">
        <f>'By Round'!A53</f>
        <v/>
      </c>
      <c r="C37" s="15">
        <f>'By Round'!B59</f>
        <v/>
      </c>
      <c r="D37" s="15">
        <f>'By Round'!C59</f>
        <v/>
      </c>
      <c r="E37" s="15">
        <f>'By Round'!D59</f>
        <v/>
      </c>
      <c r="F37" s="16" t="inlineStr">
        <is>
          <t>Both</t>
        </is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t="n">
        <v>8</v>
      </c>
      <c r="B38">
        <f>'By Round'!A13</f>
        <v/>
      </c>
      <c r="C38">
        <f>'By Round'!B17</f>
        <v/>
      </c>
      <c r="D38">
        <f>'By Round'!C17</f>
        <v/>
      </c>
      <c r="E38">
        <f>'By Round'!D17</f>
        <v/>
      </c>
      <c r="F38" s="11" t="inlineStr">
        <is>
          <t>None</t>
        </is>
      </c>
      <c r="G38">
        <f>IF(ISBLANK('By Round'!G17),"",'By Round'!G17)</f>
        <v/>
      </c>
      <c r="H38">
        <f>IF(ISBLANK('By Round'!H17),"",'By Round'!H17)</f>
        <v/>
      </c>
      <c r="I38">
        <f>IF(ISBLANK('By Round'!I17),"",'By Round'!I17)</f>
        <v/>
      </c>
      <c r="J38">
        <f>IF(ISBLANK('By Round'!J17),"",'By Round'!J17)</f>
        <v/>
      </c>
      <c r="K38">
        <f>IF(ISBLANK('By Round'!K17),"",'By Round'!K17)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4">
        <f>SUM(T38:W38)</f>
        <v/>
      </c>
      <c r="Q38" s="4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>
        <f>'By Round'!A23</f>
        <v/>
      </c>
      <c r="C39">
        <f>'By Round'!B25</f>
        <v/>
      </c>
      <c r="D39">
        <f>'By Round'!C25</f>
        <v/>
      </c>
      <c r="E39">
        <f>'By Round'!D25</f>
        <v/>
      </c>
      <c r="F39" s="11" t="inlineStr">
        <is>
          <t>None</t>
        </is>
      </c>
      <c r="G39">
        <f>IF(ISBLANK('By Round'!G25),"",'By Round'!G25)</f>
        <v/>
      </c>
      <c r="H39">
        <f>IF(ISBLANK('By Round'!H25),"",'By Round'!H25)</f>
        <v/>
      </c>
      <c r="I39">
        <f>IF(ISBLANK('By Round'!I25),"",'By Round'!I25)</f>
        <v/>
      </c>
      <c r="J39">
        <f>IF(ISBLANK('By Round'!J25),"",'By Round'!J25)</f>
        <v/>
      </c>
      <c r="K39">
        <f>IF(ISBLANK('By Round'!K25),"",'By Round'!K25)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4">
        <f>SUM(T39:W39)</f>
        <v/>
      </c>
      <c r="Q39" s="4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>
        <f>'By Round'!A33</f>
        <v/>
      </c>
      <c r="C40">
        <f>'By Round'!B33</f>
        <v/>
      </c>
      <c r="D40">
        <f>'By Round'!C33</f>
        <v/>
      </c>
      <c r="E40">
        <f>'By Round'!D33</f>
        <v/>
      </c>
      <c r="F40" s="11" t="inlineStr">
        <is>
          <t>None</t>
        </is>
      </c>
      <c r="G40">
        <f>IF(ISBLANK('By Round'!G33),"",'By Round'!G33)</f>
        <v/>
      </c>
      <c r="H40">
        <f>IF(ISBLANK('By Round'!H33),"",'By Round'!H33)</f>
        <v/>
      </c>
      <c r="I40">
        <f>IF(ISBLANK('By Round'!I33),"",'By Round'!I33)</f>
        <v/>
      </c>
      <c r="J40">
        <f>IF(ISBLANK('By Round'!J33),"",'By Round'!J33)</f>
        <v/>
      </c>
      <c r="K40">
        <f>IF(ISBLANK('By Round'!K33),"",'By Round'!K33)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4">
        <f>SUM(T40:W40)</f>
        <v/>
      </c>
      <c r="Q40" s="4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>
        <f>'By Round'!A43</f>
        <v/>
      </c>
      <c r="C41">
        <f>'By Round'!B51</f>
        <v/>
      </c>
      <c r="D41">
        <f>'By Round'!C51</f>
        <v/>
      </c>
      <c r="E41">
        <f>'By Round'!D51</f>
        <v/>
      </c>
      <c r="F41" s="11" t="inlineStr">
        <is>
          <t>None</t>
        </is>
      </c>
      <c r="G41">
        <f>IF(ISBLANK('By Round'!G51),"",'By Round'!G51)</f>
        <v/>
      </c>
      <c r="H41">
        <f>IF(ISBLANK('By Round'!H51),"",'By Round'!H51)</f>
        <v/>
      </c>
      <c r="I41">
        <f>IF(ISBLANK('By Round'!I51),"",'By Round'!I51)</f>
        <v/>
      </c>
      <c r="J41">
        <f>IF(ISBLANK('By Round'!J51),"",'By Round'!J51)</f>
        <v/>
      </c>
      <c r="K41">
        <f>IF(ISBLANK('By Round'!K51),"",'By Round'!K51)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4">
        <f>SUM(T41:W41)</f>
        <v/>
      </c>
      <c r="Q41" s="4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5">
        <f>'By Round'!A53</f>
        <v/>
      </c>
      <c r="C42" s="15">
        <f>'By Round'!B59</f>
        <v/>
      </c>
      <c r="D42" s="15">
        <f>'By Round'!C59</f>
        <v/>
      </c>
      <c r="E42" s="15">
        <f>'By Round'!D59</f>
        <v/>
      </c>
      <c r="F42" s="16" t="inlineStr">
        <is>
          <t>None</t>
        </is>
      </c>
      <c r="G42" s="15">
        <f>IF(ISBLANK('By Round'!G59),"",'By Round'!G59)</f>
        <v/>
      </c>
      <c r="H42" s="15">
        <f>IF(ISBLANK('By Round'!H59),"",'By Round'!H59)</f>
        <v/>
      </c>
      <c r="I42" s="15">
        <f>IF(ISBLANK('By Round'!I59),"",'By Round'!I59)</f>
        <v/>
      </c>
      <c r="J42" s="15">
        <f>IF(ISBLANK('By Round'!J59),"",'By Round'!J59)</f>
        <v/>
      </c>
      <c r="K42" s="15">
        <f>IF(ISBLANK('By Round'!K59),"",'By Round'!K59)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t="n">
        <v>9</v>
      </c>
      <c r="B43">
        <f>'By Round'!A23</f>
        <v/>
      </c>
      <c r="C43">
        <f>'By Round'!B27</f>
        <v/>
      </c>
      <c r="D43">
        <f>'By Round'!C27</f>
        <v/>
      </c>
      <c r="E43">
        <f>'By Round'!D27</f>
        <v/>
      </c>
      <c r="F43" s="11" t="inlineStr">
        <is>
          <t>EW</t>
        </is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4">
        <f>SUM(T43:W43)</f>
        <v/>
      </c>
      <c r="Q43" s="4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>
        <f>'By Round'!A33</f>
        <v/>
      </c>
      <c r="C44">
        <f>'By Round'!B35</f>
        <v/>
      </c>
      <c r="D44">
        <f>'By Round'!C35</f>
        <v/>
      </c>
      <c r="E44">
        <f>'By Round'!D35</f>
        <v/>
      </c>
      <c r="F44" s="11" t="inlineStr">
        <is>
          <t>EW</t>
        </is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4">
        <f>SUM(T44:W44)</f>
        <v/>
      </c>
      <c r="Q44" s="4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>
        <f>'By Round'!A43</f>
        <v/>
      </c>
      <c r="C45">
        <f>'By Round'!B43</f>
        <v/>
      </c>
      <c r="D45">
        <f>'By Round'!C43</f>
        <v/>
      </c>
      <c r="E45">
        <f>'By Round'!D43</f>
        <v/>
      </c>
      <c r="F45" s="11" t="inlineStr">
        <is>
          <t>EW</t>
        </is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4">
        <f>SUM(T45:W45)</f>
        <v/>
      </c>
      <c r="Q45" s="4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>
        <f>'By Round'!A53</f>
        <v/>
      </c>
      <c r="C46">
        <f>'By Round'!B61</f>
        <v/>
      </c>
      <c r="D46">
        <f>'By Round'!C61</f>
        <v/>
      </c>
      <c r="E46">
        <f>'By Round'!D61</f>
        <v/>
      </c>
      <c r="F46" s="11" t="inlineStr">
        <is>
          <t>EW</t>
        </is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4">
        <f>SUM(T46:W46)</f>
        <v/>
      </c>
      <c r="Q46" s="4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5">
        <f>'By Round'!A63</f>
        <v/>
      </c>
      <c r="C47" s="15">
        <f>'By Round'!B69</f>
        <v/>
      </c>
      <c r="D47" s="15">
        <f>'By Round'!C69</f>
        <v/>
      </c>
      <c r="E47" s="15">
        <f>'By Round'!D69</f>
        <v/>
      </c>
      <c r="F47" s="16" t="inlineStr">
        <is>
          <t>EW</t>
        </is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t="n">
        <v>10</v>
      </c>
      <c r="B48">
        <f>'By Round'!A23</f>
        <v/>
      </c>
      <c r="C48">
        <f>'By Round'!B27</f>
        <v/>
      </c>
      <c r="D48">
        <f>'By Round'!C27</f>
        <v/>
      </c>
      <c r="E48">
        <f>'By Round'!D27</f>
        <v/>
      </c>
      <c r="F48" s="11" t="inlineStr">
        <is>
          <t>Both</t>
        </is>
      </c>
      <c r="G48">
        <f>IF(ISBLANK('By Round'!G27),"",'By Round'!G27)</f>
        <v/>
      </c>
      <c r="H48">
        <f>IF(ISBLANK('By Round'!H27),"",'By Round'!H27)</f>
        <v/>
      </c>
      <c r="I48">
        <f>IF(ISBLANK('By Round'!I27),"",'By Round'!I27)</f>
        <v/>
      </c>
      <c r="J48">
        <f>IF(ISBLANK('By Round'!J27),"",'By Round'!J27)</f>
        <v/>
      </c>
      <c r="K48">
        <f>IF(ISBLANK('By Round'!K27),"",'By Round'!K27)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4">
        <f>SUM(T48:W48)</f>
        <v/>
      </c>
      <c r="Q48" s="4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>
        <f>'By Round'!A33</f>
        <v/>
      </c>
      <c r="C49">
        <f>'By Round'!B35</f>
        <v/>
      </c>
      <c r="D49">
        <f>'By Round'!C35</f>
        <v/>
      </c>
      <c r="E49">
        <f>'By Round'!D35</f>
        <v/>
      </c>
      <c r="F49" s="11" t="inlineStr">
        <is>
          <t>Both</t>
        </is>
      </c>
      <c r="G49">
        <f>IF(ISBLANK('By Round'!G35),"",'By Round'!G35)</f>
        <v/>
      </c>
      <c r="H49">
        <f>IF(ISBLANK('By Round'!H35),"",'By Round'!H35)</f>
        <v/>
      </c>
      <c r="I49">
        <f>IF(ISBLANK('By Round'!I35),"",'By Round'!I35)</f>
        <v/>
      </c>
      <c r="J49">
        <f>IF(ISBLANK('By Round'!J35),"",'By Round'!J35)</f>
        <v/>
      </c>
      <c r="K49">
        <f>IF(ISBLANK('By Round'!K35),"",'By Round'!K35)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4">
        <f>SUM(T49:W49)</f>
        <v/>
      </c>
      <c r="Q49" s="4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>
        <f>'By Round'!A43</f>
        <v/>
      </c>
      <c r="C50">
        <f>'By Round'!B43</f>
        <v/>
      </c>
      <c r="D50">
        <f>'By Round'!C43</f>
        <v/>
      </c>
      <c r="E50">
        <f>'By Round'!D43</f>
        <v/>
      </c>
      <c r="F50" s="11" t="inlineStr">
        <is>
          <t>Both</t>
        </is>
      </c>
      <c r="G50">
        <f>IF(ISBLANK('By Round'!G43),"",'By Round'!G43)</f>
        <v/>
      </c>
      <c r="H50">
        <f>IF(ISBLANK('By Round'!H43),"",'By Round'!H43)</f>
        <v/>
      </c>
      <c r="I50">
        <f>IF(ISBLANK('By Round'!I43),"",'By Round'!I43)</f>
        <v/>
      </c>
      <c r="J50">
        <f>IF(ISBLANK('By Round'!J43),"",'By Round'!J43)</f>
        <v/>
      </c>
      <c r="K50">
        <f>IF(ISBLANK('By Round'!K43),"",'By Round'!K43)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4">
        <f>SUM(T50:W50)</f>
        <v/>
      </c>
      <c r="Q50" s="4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>
        <f>'By Round'!A53</f>
        <v/>
      </c>
      <c r="C51">
        <f>'By Round'!B61</f>
        <v/>
      </c>
      <c r="D51">
        <f>'By Round'!C61</f>
        <v/>
      </c>
      <c r="E51">
        <f>'By Round'!D61</f>
        <v/>
      </c>
      <c r="F51" s="11" t="inlineStr">
        <is>
          <t>Both</t>
        </is>
      </c>
      <c r="G51">
        <f>IF(ISBLANK('By Round'!G61),"",'By Round'!G61)</f>
        <v/>
      </c>
      <c r="H51">
        <f>IF(ISBLANK('By Round'!H61),"",'By Round'!H61)</f>
        <v/>
      </c>
      <c r="I51">
        <f>IF(ISBLANK('By Round'!I61),"",'By Round'!I61)</f>
        <v/>
      </c>
      <c r="J51">
        <f>IF(ISBLANK('By Round'!J61),"",'By Round'!J61)</f>
        <v/>
      </c>
      <c r="K51">
        <f>IF(ISBLANK('By Round'!K61),"",'By Round'!K61)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4">
        <f>SUM(T51:W51)</f>
        <v/>
      </c>
      <c r="Q51" s="4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5">
        <f>'By Round'!A63</f>
        <v/>
      </c>
      <c r="C52" s="15">
        <f>'By Round'!B69</f>
        <v/>
      </c>
      <c r="D52" s="15">
        <f>'By Round'!C69</f>
        <v/>
      </c>
      <c r="E52" s="15">
        <f>'By Round'!D69</f>
        <v/>
      </c>
      <c r="F52" s="16" t="inlineStr">
        <is>
          <t>Both</t>
        </is>
      </c>
      <c r="G52" s="15">
        <f>IF(ISBLANK('By Round'!G69),"",'By Round'!G69)</f>
        <v/>
      </c>
      <c r="H52" s="15">
        <f>IF(ISBLANK('By Round'!H69),"",'By Round'!H69)</f>
        <v/>
      </c>
      <c r="I52" s="15">
        <f>IF(ISBLANK('By Round'!I69),"",'By Round'!I69)</f>
        <v/>
      </c>
      <c r="J52" s="15">
        <f>IF(ISBLANK('By Round'!J69),"",'By Round'!J69)</f>
        <v/>
      </c>
      <c r="K52" s="15">
        <f>IF(ISBLANK('By Round'!K69),"",'By Round'!K69)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t="n">
        <v>11</v>
      </c>
      <c r="B53">
        <f>'By Round'!A33</f>
        <v/>
      </c>
      <c r="C53">
        <f>'By Round'!B37</f>
        <v/>
      </c>
      <c r="D53">
        <f>'By Round'!C37</f>
        <v/>
      </c>
      <c r="E53">
        <f>'By Round'!D37</f>
        <v/>
      </c>
      <c r="F53" s="11" t="inlineStr">
        <is>
          <t>None</t>
        </is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4">
        <f>SUM(T53:W53)</f>
        <v/>
      </c>
      <c r="Q53" s="4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>
        <f>'By Round'!A43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4">
        <f>SUM(T54:W54)</f>
        <v/>
      </c>
      <c r="Q54" s="4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>
        <f>'By Round'!A53</f>
        <v/>
      </c>
      <c r="C55">
        <f>'By Round'!B53</f>
        <v/>
      </c>
      <c r="D55">
        <f>'By Round'!C53</f>
        <v/>
      </c>
      <c r="E55">
        <f>'By Round'!D53</f>
        <v/>
      </c>
      <c r="F55" s="11" t="inlineStr">
        <is>
          <t>None</t>
        </is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4">
        <f>SUM(T55:W55)</f>
        <v/>
      </c>
      <c r="Q55" s="4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>
        <f>'By Round'!A63</f>
        <v/>
      </c>
      <c r="C56">
        <f>'By Round'!B71</f>
        <v/>
      </c>
      <c r="D56">
        <f>'By Round'!C71</f>
        <v/>
      </c>
      <c r="E56">
        <f>'By Round'!D71</f>
        <v/>
      </c>
      <c r="F56" s="11" t="inlineStr">
        <is>
          <t>None</t>
        </is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4">
        <f>SUM(T56:W56)</f>
        <v/>
      </c>
      <c r="Q56" s="4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5">
        <f>'By Round'!A73</f>
        <v/>
      </c>
      <c r="C57" s="15">
        <f>'By Round'!B79</f>
        <v/>
      </c>
      <c r="D57" s="15">
        <f>'By Round'!C79</f>
        <v/>
      </c>
      <c r="E57" s="15">
        <f>'By Round'!D79</f>
        <v/>
      </c>
      <c r="F57" s="16" t="inlineStr">
        <is>
          <t>None</t>
        </is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t="n">
        <v>12</v>
      </c>
      <c r="B58">
        <f>'By Round'!A33</f>
        <v/>
      </c>
      <c r="C58">
        <f>'By Round'!B37</f>
        <v/>
      </c>
      <c r="D58">
        <f>'By Round'!C37</f>
        <v/>
      </c>
      <c r="E58">
        <f>'By Round'!D37</f>
        <v/>
      </c>
      <c r="F58" s="11" t="inlineStr">
        <is>
          <t>NS</t>
        </is>
      </c>
      <c r="G58">
        <f>IF(ISBLANK('By Round'!G37),"",'By Round'!G37)</f>
        <v/>
      </c>
      <c r="H58">
        <f>IF(ISBLANK('By Round'!H37),"",'By Round'!H37)</f>
        <v/>
      </c>
      <c r="I58">
        <f>IF(ISBLANK('By Round'!I37),"",'By Round'!I37)</f>
        <v/>
      </c>
      <c r="J58">
        <f>IF(ISBLANK('By Round'!J37),"",'By Round'!J37)</f>
        <v/>
      </c>
      <c r="K58">
        <f>IF(ISBLANK('By Round'!K37),"",'By Round'!K37)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4">
        <f>SUM(T58:W58)</f>
        <v/>
      </c>
      <c r="Q58" s="4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>
        <f>'By Round'!A43</f>
        <v/>
      </c>
      <c r="C59">
        <f>'By Round'!B45</f>
        <v/>
      </c>
      <c r="D59">
        <f>'By Round'!C45</f>
        <v/>
      </c>
      <c r="E59">
        <f>'By Round'!D45</f>
        <v/>
      </c>
      <c r="F59" s="11" t="inlineStr">
        <is>
          <t>NS</t>
        </is>
      </c>
      <c r="G59">
        <f>IF(ISBLANK('By Round'!G45),"",'By Round'!G45)</f>
        <v/>
      </c>
      <c r="H59">
        <f>IF(ISBLANK('By Round'!H45),"",'By Round'!H45)</f>
        <v/>
      </c>
      <c r="I59">
        <f>IF(ISBLANK('By Round'!I45),"",'By Round'!I45)</f>
        <v/>
      </c>
      <c r="J59">
        <f>IF(ISBLANK('By Round'!J45),"",'By Round'!J45)</f>
        <v/>
      </c>
      <c r="K59">
        <f>IF(ISBLANK('By Round'!K45),"",'By Round'!K45)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4">
        <f>SUM(T59:W59)</f>
        <v/>
      </c>
      <c r="Q59" s="4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>
        <f>'By Round'!A53</f>
        <v/>
      </c>
      <c r="C60">
        <f>'By Round'!B53</f>
        <v/>
      </c>
      <c r="D60">
        <f>'By Round'!C53</f>
        <v/>
      </c>
      <c r="E60">
        <f>'By Round'!D53</f>
        <v/>
      </c>
      <c r="F60" s="11" t="inlineStr">
        <is>
          <t>NS</t>
        </is>
      </c>
      <c r="G60">
        <f>IF(ISBLANK('By Round'!G53),"",'By Round'!G53)</f>
        <v/>
      </c>
      <c r="H60">
        <f>IF(ISBLANK('By Round'!H53),"",'By Round'!H53)</f>
        <v/>
      </c>
      <c r="I60">
        <f>IF(ISBLANK('By Round'!I53),"",'By Round'!I53)</f>
        <v/>
      </c>
      <c r="J60">
        <f>IF(ISBLANK('By Round'!J53),"",'By Round'!J53)</f>
        <v/>
      </c>
      <c r="K60">
        <f>IF(ISBLANK('By Round'!K53),"",'By Round'!K53)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4">
        <f>SUM(T60:W60)</f>
        <v/>
      </c>
      <c r="Q60" s="4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>
        <f>'By Round'!A63</f>
        <v/>
      </c>
      <c r="C61">
        <f>'By Round'!B71</f>
        <v/>
      </c>
      <c r="D61">
        <f>'By Round'!C71</f>
        <v/>
      </c>
      <c r="E61">
        <f>'By Round'!D71</f>
        <v/>
      </c>
      <c r="F61" s="11" t="inlineStr">
        <is>
          <t>NS</t>
        </is>
      </c>
      <c r="G61">
        <f>IF(ISBLANK('By Round'!G71),"",'By Round'!G71)</f>
        <v/>
      </c>
      <c r="H61">
        <f>IF(ISBLANK('By Round'!H71),"",'By Round'!H71)</f>
        <v/>
      </c>
      <c r="I61">
        <f>IF(ISBLANK('By Round'!I71),"",'By Round'!I71)</f>
        <v/>
      </c>
      <c r="J61">
        <f>IF(ISBLANK('By Round'!J71),"",'By Round'!J71)</f>
        <v/>
      </c>
      <c r="K61">
        <f>IF(ISBLANK('By Round'!K71),"",'By Round'!K71)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4">
        <f>SUM(T61:W61)</f>
        <v/>
      </c>
      <c r="Q61" s="4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5">
        <f>'By Round'!A73</f>
        <v/>
      </c>
      <c r="C62" s="15">
        <f>'By Round'!B79</f>
        <v/>
      </c>
      <c r="D62" s="15">
        <f>'By Round'!C79</f>
        <v/>
      </c>
      <c r="E62" s="15">
        <f>'By Round'!D79</f>
        <v/>
      </c>
      <c r="F62" s="16" t="inlineStr">
        <is>
          <t>NS</t>
        </is>
      </c>
      <c r="G62" s="15">
        <f>IF(ISBLANK('By Round'!G79),"",'By Round'!G79)</f>
        <v/>
      </c>
      <c r="H62" s="15">
        <f>IF(ISBLANK('By Round'!H79),"",'By Round'!H79)</f>
        <v/>
      </c>
      <c r="I62" s="15">
        <f>IF(ISBLANK('By Round'!I79),"",'By Round'!I79)</f>
        <v/>
      </c>
      <c r="J62" s="15">
        <f>IF(ISBLANK('By Round'!J79),"",'By Round'!J79)</f>
        <v/>
      </c>
      <c r="K62" s="15">
        <f>IF(ISBLANK('By Round'!K79),"",'By Round'!K79)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t="n">
        <v>13</v>
      </c>
      <c r="B63">
        <f>'By Round'!A43</f>
        <v/>
      </c>
      <c r="C63">
        <f>'By Round'!B47</f>
        <v/>
      </c>
      <c r="D63">
        <f>'By Round'!C47</f>
        <v/>
      </c>
      <c r="E63">
        <f>'By Round'!D47</f>
        <v/>
      </c>
      <c r="F63" s="11" t="inlineStr">
        <is>
          <t>Both</t>
        </is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4">
        <f>SUM(T63:W63)</f>
        <v/>
      </c>
      <c r="Q63" s="4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>
        <f>'By Round'!A53</f>
        <v/>
      </c>
      <c r="C64">
        <f>'By Round'!B55</f>
        <v/>
      </c>
      <c r="D64">
        <f>'By Round'!C55</f>
        <v/>
      </c>
      <c r="E64">
        <f>'By Round'!D55</f>
        <v/>
      </c>
      <c r="F64" s="11" t="inlineStr">
        <is>
          <t>Both</t>
        </is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4">
        <f>SUM(T64:W64)</f>
        <v/>
      </c>
      <c r="Q64" s="4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Both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4">
        <f>SUM(T65:W65)</f>
        <v/>
      </c>
      <c r="Q65" s="4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>
        <f>'By Round'!A73</f>
        <v/>
      </c>
      <c r="C66">
        <f>'By Round'!B81</f>
        <v/>
      </c>
      <c r="D66">
        <f>'By Round'!C81</f>
        <v/>
      </c>
      <c r="E66">
        <f>'By Round'!D81</f>
        <v/>
      </c>
      <c r="F66" s="11" t="inlineStr">
        <is>
          <t>Both</t>
        </is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4">
        <f>SUM(T66:W66)</f>
        <v/>
      </c>
      <c r="Q66" s="4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5">
        <f>'By Round'!A83</f>
        <v/>
      </c>
      <c r="C67" s="15">
        <f>'By Round'!B89</f>
        <v/>
      </c>
      <c r="D67" s="15">
        <f>'By Round'!C89</f>
        <v/>
      </c>
      <c r="E67" s="15">
        <f>'By Round'!D89</f>
        <v/>
      </c>
      <c r="F67" s="16" t="inlineStr">
        <is>
          <t>Both</t>
        </is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t="n">
        <v>14</v>
      </c>
      <c r="B68">
        <f>'By Round'!A43</f>
        <v/>
      </c>
      <c r="C68">
        <f>'By Round'!B47</f>
        <v/>
      </c>
      <c r="D68">
        <f>'By Round'!C47</f>
        <v/>
      </c>
      <c r="E68">
        <f>'By Round'!D47</f>
        <v/>
      </c>
      <c r="F68" s="11" t="inlineStr">
        <is>
          <t>None</t>
        </is>
      </c>
      <c r="G68">
        <f>IF(ISBLANK('By Round'!G47),"",'By Round'!G47)</f>
        <v/>
      </c>
      <c r="H68">
        <f>IF(ISBLANK('By Round'!H47),"",'By Round'!H47)</f>
        <v/>
      </c>
      <c r="I68">
        <f>IF(ISBLANK('By Round'!I47),"",'By Round'!I47)</f>
        <v/>
      </c>
      <c r="J68">
        <f>IF(ISBLANK('By Round'!J47),"",'By Round'!J47)</f>
        <v/>
      </c>
      <c r="K68">
        <f>IF(ISBLANK('By Round'!K47),"",'By Round'!K47)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4">
        <f>SUM(T68:W68)</f>
        <v/>
      </c>
      <c r="Q68" s="4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>
        <f>'By Round'!A53</f>
        <v/>
      </c>
      <c r="C69">
        <f>'By Round'!B55</f>
        <v/>
      </c>
      <c r="D69">
        <f>'By Round'!C55</f>
        <v/>
      </c>
      <c r="E69">
        <f>'By Round'!D55</f>
        <v/>
      </c>
      <c r="F69" s="11" t="inlineStr">
        <is>
          <t>None</t>
        </is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4">
        <f>SUM(T69:W69)</f>
        <v/>
      </c>
      <c r="Q69" s="4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>
        <f>'By Round'!A63</f>
        <v/>
      </c>
      <c r="C70">
        <f>'By Round'!B63</f>
        <v/>
      </c>
      <c r="D70">
        <f>'By Round'!C63</f>
        <v/>
      </c>
      <c r="E70">
        <f>'By Round'!D63</f>
        <v/>
      </c>
      <c r="F70" s="11" t="inlineStr">
        <is>
          <t>None</t>
        </is>
      </c>
      <c r="G70">
        <f>IF(ISBLANK('By Round'!G63),"",'By Round'!G63)</f>
        <v/>
      </c>
      <c r="H70">
        <f>IF(ISBLANK('By Round'!H63),"",'By Round'!H63)</f>
        <v/>
      </c>
      <c r="I70">
        <f>IF(ISBLANK('By Round'!I63),"",'By Round'!I63)</f>
        <v/>
      </c>
      <c r="J70">
        <f>IF(ISBLANK('By Round'!J63),"",'By Round'!J63)</f>
        <v/>
      </c>
      <c r="K70">
        <f>IF(ISBLANK('By Round'!K63),"",'By Round'!K63)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4">
        <f>SUM(T70:W70)</f>
        <v/>
      </c>
      <c r="Q70" s="4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>
        <f>'By Round'!A73</f>
        <v/>
      </c>
      <c r="C71">
        <f>'By Round'!B81</f>
        <v/>
      </c>
      <c r="D71">
        <f>'By Round'!C81</f>
        <v/>
      </c>
      <c r="E71">
        <f>'By Round'!D81</f>
        <v/>
      </c>
      <c r="F71" s="11" t="inlineStr">
        <is>
          <t>None</t>
        </is>
      </c>
      <c r="G71">
        <f>IF(ISBLANK('By Round'!G81),"",'By Round'!G81)</f>
        <v/>
      </c>
      <c r="H71">
        <f>IF(ISBLANK('By Round'!H81),"",'By Round'!H81)</f>
        <v/>
      </c>
      <c r="I71">
        <f>IF(ISBLANK('By Round'!I81),"",'By Round'!I81)</f>
        <v/>
      </c>
      <c r="J71">
        <f>IF(ISBLANK('By Round'!J81),"",'By Round'!J81)</f>
        <v/>
      </c>
      <c r="K71">
        <f>IF(ISBLANK('By Round'!K81),"",'By Round'!K81)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4">
        <f>SUM(T71:W71)</f>
        <v/>
      </c>
      <c r="Q71" s="4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5">
        <f>'By Round'!A83</f>
        <v/>
      </c>
      <c r="C72" s="15">
        <f>'By Round'!B89</f>
        <v/>
      </c>
      <c r="D72" s="15">
        <f>'By Round'!C89</f>
        <v/>
      </c>
      <c r="E72" s="15">
        <f>'By Round'!D89</f>
        <v/>
      </c>
      <c r="F72" s="16" t="inlineStr">
        <is>
          <t>None</t>
        </is>
      </c>
      <c r="G72" s="15">
        <f>IF(ISBLANK('By Round'!G89),"",'By Round'!G89)</f>
        <v/>
      </c>
      <c r="H72" s="15">
        <f>IF(ISBLANK('By Round'!H89),"",'By Round'!H89)</f>
        <v/>
      </c>
      <c r="I72" s="15">
        <f>IF(ISBLANK('By Round'!I89),"",'By Round'!I89)</f>
        <v/>
      </c>
      <c r="J72" s="15">
        <f>IF(ISBLANK('By Round'!J89),"",'By Round'!J89)</f>
        <v/>
      </c>
      <c r="K72" s="15">
        <f>IF(ISBLANK('By Round'!K89),"",'By Round'!K89)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t="n">
        <v>15</v>
      </c>
      <c r="B73">
        <f>'By Round'!A3</f>
        <v/>
      </c>
      <c r="C73">
        <f>'By Round'!B9</f>
        <v/>
      </c>
      <c r="D73">
        <f>'By Round'!C9</f>
        <v/>
      </c>
      <c r="E73">
        <f>'By Round'!D9</f>
        <v/>
      </c>
      <c r="F73" s="11" t="inlineStr">
        <is>
          <t>NS</t>
        </is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4">
        <f>SUM(T73:W73)</f>
        <v/>
      </c>
      <c r="Q73" s="4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>
        <f>'By Round'!A53</f>
        <v/>
      </c>
      <c r="C74">
        <f>'By Round'!B57</f>
        <v/>
      </c>
      <c r="D74">
        <f>'By Round'!C57</f>
        <v/>
      </c>
      <c r="E74">
        <f>'By Round'!D57</f>
        <v/>
      </c>
      <c r="F74" s="11" t="inlineStr">
        <is>
          <t>NS</t>
        </is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4">
        <f>SUM(T74:W74)</f>
        <v/>
      </c>
      <c r="Q74" s="4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>
        <f>'By Round'!A63</f>
        <v/>
      </c>
      <c r="C75">
        <f>'By Round'!B65</f>
        <v/>
      </c>
      <c r="D75">
        <f>'By Round'!C65</f>
        <v/>
      </c>
      <c r="E75">
        <f>'By Round'!D65</f>
        <v/>
      </c>
      <c r="F75" s="11" t="inlineStr">
        <is>
          <t>NS</t>
        </is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4">
        <f>SUM(T75:W75)</f>
        <v/>
      </c>
      <c r="Q75" s="4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NS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4">
        <f>SUM(T76:W76)</f>
        <v/>
      </c>
      <c r="Q76" s="4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5">
        <f>'By Round'!A83</f>
        <v/>
      </c>
      <c r="C77" s="15">
        <f>'By Round'!B91</f>
        <v/>
      </c>
      <c r="D77" s="15">
        <f>'By Round'!C91</f>
        <v/>
      </c>
      <c r="E77" s="15">
        <f>'By Round'!D91</f>
        <v/>
      </c>
      <c r="F77" s="16" t="inlineStr">
        <is>
          <t>NS</t>
        </is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t="n">
        <v>16</v>
      </c>
      <c r="B78">
        <f>'By Round'!A3</f>
        <v/>
      </c>
      <c r="C78">
        <f>'By Round'!B9</f>
        <v/>
      </c>
      <c r="D78">
        <f>'By Round'!C9</f>
        <v/>
      </c>
      <c r="E78">
        <f>'By Round'!D9</f>
        <v/>
      </c>
      <c r="F78" s="11" t="inlineStr">
        <is>
          <t>EW</t>
        </is>
      </c>
      <c r="G78">
        <f>IF(ISBLANK('By Round'!G9),"",'By Round'!G9)</f>
        <v/>
      </c>
      <c r="H78">
        <f>IF(ISBLANK('By Round'!H9),"",'By Round'!H9)</f>
        <v/>
      </c>
      <c r="I78">
        <f>IF(ISBLANK('By Round'!I9),"",'By Round'!I9)</f>
        <v/>
      </c>
      <c r="J78">
        <f>IF(ISBLANK('By Round'!J9),"",'By Round'!J9)</f>
        <v/>
      </c>
      <c r="K78">
        <f>IF(ISBLANK('By Round'!K9),"",'By Round'!K9)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4">
        <f>SUM(T78:W78)</f>
        <v/>
      </c>
      <c r="Q78" s="4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>
        <f>'By Round'!A53</f>
        <v/>
      </c>
      <c r="C79">
        <f>'By Round'!B57</f>
        <v/>
      </c>
      <c r="D79">
        <f>'By Round'!C57</f>
        <v/>
      </c>
      <c r="E79">
        <f>'By Round'!D57</f>
        <v/>
      </c>
      <c r="F79" s="11" t="inlineStr">
        <is>
          <t>EW</t>
        </is>
      </c>
      <c r="G79">
        <f>IF(ISBLANK('By Round'!G57),"",'By Round'!G57)</f>
        <v/>
      </c>
      <c r="H79">
        <f>IF(ISBLANK('By Round'!H57),"",'By Round'!H57)</f>
        <v/>
      </c>
      <c r="I79">
        <f>IF(ISBLANK('By Round'!I57),"",'By Round'!I57)</f>
        <v/>
      </c>
      <c r="J79">
        <f>IF(ISBLANK('By Round'!J57),"",'By Round'!J57)</f>
        <v/>
      </c>
      <c r="K79">
        <f>IF(ISBLANK('By Round'!K57),"",'By Round'!K57)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4">
        <f>SUM(T79:W79)</f>
        <v/>
      </c>
      <c r="Q79" s="4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>
        <f>'By Round'!A63</f>
        <v/>
      </c>
      <c r="C80">
        <f>'By Round'!B65</f>
        <v/>
      </c>
      <c r="D80">
        <f>'By Round'!C65</f>
        <v/>
      </c>
      <c r="E80">
        <f>'By Round'!D65</f>
        <v/>
      </c>
      <c r="F80" s="11" t="inlineStr">
        <is>
          <t>EW</t>
        </is>
      </c>
      <c r="G80">
        <f>IF(ISBLANK('By Round'!G65),"",'By Round'!G65)</f>
        <v/>
      </c>
      <c r="H80">
        <f>IF(ISBLANK('By Round'!H65),"",'By Round'!H65)</f>
        <v/>
      </c>
      <c r="I80">
        <f>IF(ISBLANK('By Round'!I65),"",'By Round'!I65)</f>
        <v/>
      </c>
      <c r="J80">
        <f>IF(ISBLANK('By Round'!J65),"",'By Round'!J65)</f>
        <v/>
      </c>
      <c r="K80">
        <f>IF(ISBLANK('By Round'!K65),"",'By Round'!K65)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4">
        <f>SUM(T80:W80)</f>
        <v/>
      </c>
      <c r="Q80" s="4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>
        <f>'By Round'!A73</f>
        <v/>
      </c>
      <c r="C81">
        <f>'By Round'!B73</f>
        <v/>
      </c>
      <c r="D81">
        <f>'By Round'!C73</f>
        <v/>
      </c>
      <c r="E81">
        <f>'By Round'!D73</f>
        <v/>
      </c>
      <c r="F81" s="11" t="inlineStr">
        <is>
          <t>EW</t>
        </is>
      </c>
      <c r="G81">
        <f>IF(ISBLANK('By Round'!G73),"",'By Round'!G73)</f>
        <v/>
      </c>
      <c r="H81">
        <f>IF(ISBLANK('By Round'!H73),"",'By Round'!H73)</f>
        <v/>
      </c>
      <c r="I81">
        <f>IF(ISBLANK('By Round'!I73),"",'By Round'!I73)</f>
        <v/>
      </c>
      <c r="J81">
        <f>IF(ISBLANK('By Round'!J73),"",'By Round'!J73)</f>
        <v/>
      </c>
      <c r="K81">
        <f>IF(ISBLANK('By Round'!K73),"",'By Round'!K73)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4">
        <f>SUM(T81:W81)</f>
        <v/>
      </c>
      <c r="Q81" s="4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5">
        <f>'By Round'!A83</f>
        <v/>
      </c>
      <c r="C82" s="15">
        <f>'By Round'!B91</f>
        <v/>
      </c>
      <c r="D82" s="15">
        <f>'By Round'!C91</f>
        <v/>
      </c>
      <c r="E82" s="15">
        <f>'By Round'!D91</f>
        <v/>
      </c>
      <c r="F82" s="16" t="inlineStr">
        <is>
          <t>EW</t>
        </is>
      </c>
      <c r="G82" s="15">
        <f>IF(ISBLANK('By Round'!G91),"",'By Round'!G91)</f>
        <v/>
      </c>
      <c r="H82" s="15">
        <f>IF(ISBLANK('By Round'!H91),"",'By Round'!H91)</f>
        <v/>
      </c>
      <c r="I82" s="15">
        <f>IF(ISBLANK('By Round'!I91),"",'By Round'!I91)</f>
        <v/>
      </c>
      <c r="J82" s="15">
        <f>IF(ISBLANK('By Round'!J91),"",'By Round'!J91)</f>
        <v/>
      </c>
      <c r="K82" s="15">
        <f>IF(ISBLANK('By Round'!K91),"",'By Round'!K91)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t="n">
        <v>17</v>
      </c>
      <c r="B83">
        <f>'By Round'!A3</f>
        <v/>
      </c>
      <c r="C83">
        <f>'By Round'!B11</f>
        <v/>
      </c>
      <c r="D83">
        <f>'By Round'!C11</f>
        <v/>
      </c>
      <c r="E83">
        <f>'By Round'!D11</f>
        <v/>
      </c>
      <c r="F83" s="11" t="inlineStr">
        <is>
          <t>None</t>
        </is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4">
        <f>SUM(T83:W83)</f>
        <v/>
      </c>
      <c r="Q83" s="4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>
        <f>'By Round'!A13</f>
        <v/>
      </c>
      <c r="C84">
        <f>'By Round'!B19</f>
        <v/>
      </c>
      <c r="D84">
        <f>'By Round'!C19</f>
        <v/>
      </c>
      <c r="E84">
        <f>'By Round'!D19</f>
        <v/>
      </c>
      <c r="F84" s="11" t="inlineStr">
        <is>
          <t>None</t>
        </is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4">
        <f>SUM(T84:W84)</f>
        <v/>
      </c>
      <c r="Q84" s="4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>
        <f>'By Round'!A63</f>
        <v/>
      </c>
      <c r="C85">
        <f>'By Round'!B67</f>
        <v/>
      </c>
      <c r="D85">
        <f>'By Round'!C67</f>
        <v/>
      </c>
      <c r="E85">
        <f>'By Round'!D67</f>
        <v/>
      </c>
      <c r="F85" s="11" t="inlineStr">
        <is>
          <t>None</t>
        </is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4">
        <f>SUM(T85:W85)</f>
        <v/>
      </c>
      <c r="Q85" s="4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>
        <f>'By Round'!A73</f>
        <v/>
      </c>
      <c r="C86">
        <f>'By Round'!B75</f>
        <v/>
      </c>
      <c r="D86">
        <f>'By Round'!C75</f>
        <v/>
      </c>
      <c r="E86">
        <f>'By Round'!D75</f>
        <v/>
      </c>
      <c r="F86" s="11" t="inlineStr">
        <is>
          <t>None</t>
        </is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4">
        <f>SUM(T86:W86)</f>
        <v/>
      </c>
      <c r="Q86" s="4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5">
        <f>'By Round'!A83</f>
        <v/>
      </c>
      <c r="C87" s="15">
        <f>'By Round'!B83</f>
        <v/>
      </c>
      <c r="D87" s="15">
        <f>'By Round'!C83</f>
        <v/>
      </c>
      <c r="E87" s="15">
        <f>'By Round'!D83</f>
        <v/>
      </c>
      <c r="F87" s="16" t="inlineStr">
        <is>
          <t>None</t>
        </is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t="n">
        <v>18</v>
      </c>
      <c r="B88">
        <f>'By Round'!A3</f>
        <v/>
      </c>
      <c r="C88">
        <f>'By Round'!B11</f>
        <v/>
      </c>
      <c r="D88">
        <f>'By Round'!C11</f>
        <v/>
      </c>
      <c r="E88">
        <f>'By Round'!D11</f>
        <v/>
      </c>
      <c r="F88" s="11" t="inlineStr">
        <is>
          <t>NS</t>
        </is>
      </c>
      <c r="G88">
        <f>IF(ISBLANK('By Round'!G11),"",'By Round'!G11)</f>
        <v/>
      </c>
      <c r="H88">
        <f>IF(ISBLANK('By Round'!H11),"",'By Round'!H11)</f>
        <v/>
      </c>
      <c r="I88">
        <f>IF(ISBLANK('By Round'!I11),"",'By Round'!I11)</f>
        <v/>
      </c>
      <c r="J88">
        <f>IF(ISBLANK('By Round'!J11),"",'By Round'!J11)</f>
        <v/>
      </c>
      <c r="K88">
        <f>IF(ISBLANK('By Round'!K11),"",'By Round'!K11)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4">
        <f>SUM(T88:W88)</f>
        <v/>
      </c>
      <c r="Q88" s="4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>
        <f>'By Round'!A13</f>
        <v/>
      </c>
      <c r="C89">
        <f>'By Round'!B19</f>
        <v/>
      </c>
      <c r="D89">
        <f>'By Round'!C19</f>
        <v/>
      </c>
      <c r="E89">
        <f>'By Round'!D19</f>
        <v/>
      </c>
      <c r="F89" s="11" t="inlineStr">
        <is>
          <t>NS</t>
        </is>
      </c>
      <c r="G89">
        <f>IF(ISBLANK('By Round'!G19),"",'By Round'!G19)</f>
        <v/>
      </c>
      <c r="H89">
        <f>IF(ISBLANK('By Round'!H19),"",'By Round'!H19)</f>
        <v/>
      </c>
      <c r="I89">
        <f>IF(ISBLANK('By Round'!I19),"",'By Round'!I19)</f>
        <v/>
      </c>
      <c r="J89">
        <f>IF(ISBLANK('By Round'!J19),"",'By Round'!J19)</f>
        <v/>
      </c>
      <c r="K89">
        <f>IF(ISBLANK('By Round'!K19),"",'By Round'!K19)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4">
        <f>SUM(T89:W89)</f>
        <v/>
      </c>
      <c r="Q89" s="4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>
        <f>'By Round'!A63</f>
        <v/>
      </c>
      <c r="C90">
        <f>'By Round'!B67</f>
        <v/>
      </c>
      <c r="D90">
        <f>'By Round'!C67</f>
        <v/>
      </c>
      <c r="E90">
        <f>'By Round'!D67</f>
        <v/>
      </c>
      <c r="F90" s="11" t="inlineStr">
        <is>
          <t>NS</t>
        </is>
      </c>
      <c r="G90">
        <f>IF(ISBLANK('By Round'!G67),"",'By Round'!G67)</f>
        <v/>
      </c>
      <c r="H90">
        <f>IF(ISBLANK('By Round'!H67),"",'By Round'!H67)</f>
        <v/>
      </c>
      <c r="I90">
        <f>IF(ISBLANK('By Round'!I67),"",'By Round'!I67)</f>
        <v/>
      </c>
      <c r="J90">
        <f>IF(ISBLANK('By Round'!J67),"",'By Round'!J67)</f>
        <v/>
      </c>
      <c r="K90">
        <f>IF(ISBLANK('By Round'!K67),"",'By Round'!K67)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4">
        <f>SUM(T90:W90)</f>
        <v/>
      </c>
      <c r="Q90" s="4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>
        <f>'By Round'!A73</f>
        <v/>
      </c>
      <c r="C91">
        <f>'By Round'!B75</f>
        <v/>
      </c>
      <c r="D91">
        <f>'By Round'!C75</f>
        <v/>
      </c>
      <c r="E91">
        <f>'By Round'!D75</f>
        <v/>
      </c>
      <c r="F91" s="11" t="inlineStr">
        <is>
          <t>NS</t>
        </is>
      </c>
      <c r="G91">
        <f>IF(ISBLANK('By Round'!G75),"",'By Round'!G75)</f>
        <v/>
      </c>
      <c r="H91">
        <f>IF(ISBLANK('By Round'!H75),"",'By Round'!H75)</f>
        <v/>
      </c>
      <c r="I91">
        <f>IF(ISBLANK('By Round'!I75),"",'By Round'!I75)</f>
        <v/>
      </c>
      <c r="J91">
        <f>IF(ISBLANK('By Round'!J75),"",'By Round'!J75)</f>
        <v/>
      </c>
      <c r="K91">
        <f>IF(ISBLANK('By Round'!K75),"",'By Round'!K75)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4">
        <f>SUM(T91:W91)</f>
        <v/>
      </c>
      <c r="Q91" s="4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5">
        <f>'By Round'!A83</f>
        <v/>
      </c>
      <c r="C92" s="15">
        <f>'By Round'!B83</f>
        <v/>
      </c>
      <c r="D92" s="15">
        <f>'By Round'!C83</f>
        <v/>
      </c>
      <c r="E92" s="15">
        <f>'By Round'!D83</f>
        <v/>
      </c>
      <c r="F92" s="16" t="inlineStr">
        <is>
          <t>NS</t>
        </is>
      </c>
      <c r="G92" s="15">
        <f>IF(ISBLANK('By Round'!G83),"",'By Round'!G83)</f>
        <v/>
      </c>
      <c r="H92" s="15">
        <f>IF(ISBLANK('By Round'!H83),"",'By Round'!H83)</f>
        <v/>
      </c>
      <c r="I92" s="15">
        <f>IF(ISBLANK('By Round'!I83),"",'By Round'!I83)</f>
        <v/>
      </c>
      <c r="J92" s="15">
        <f>IF(ISBLANK('By Round'!J83),"",'By Round'!J83)</f>
        <v/>
      </c>
      <c r="K92" s="15">
        <f>IF(ISBLANK('By Round'!K83),"",'By Round'!K83)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10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n">
        <v>10</v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n">
        <v>10</v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n">
        <v>10</v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n">
        <v>10</v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n">
        <v>10</v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n">
        <v>10</v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n">
        <v>10</v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n">
        <v>10</v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  <row r="10">
      <c r="A10" s="23" t="n">
        <v>7</v>
      </c>
      <c r="B10" s="24" t="n"/>
      <c r="C10" s="24" t="n"/>
      <c r="D10" s="24" t="n"/>
      <c r="E10" s="24" t="n"/>
      <c r="F10" s="24" t="n"/>
      <c r="G10" s="24" t="n"/>
      <c r="H10" s="24" t="n"/>
    </row>
    <row r="11">
      <c r="A11" s="23" t="n">
        <v>8</v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3" t="n">
        <v>9</v>
      </c>
      <c r="B12" s="24" t="n"/>
      <c r="C12" s="24" t="n"/>
      <c r="D12" s="24" t="n"/>
      <c r="E12" s="24" t="n"/>
      <c r="F12" s="24" t="n"/>
      <c r="G12" s="24" t="n"/>
      <c r="H12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2026-02-02T17:46:16Z</dcterms:created>
  <dcterms:modified xsi:type="dcterms:W3CDTF">2026-02-02T17:46:16Z</dcterms:modified>
</cp:coreProperties>
</file>