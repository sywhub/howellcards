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10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PH35</t>
        </is>
      </c>
      <c r="C2" t="inlineStr">
        <is>
          <t>PH48</t>
        </is>
      </c>
      <c r="D2" s="4">
        <f>SUMIF('By Board'!$D$3:$D$92,"=1",'By Board'!$L$3:$L$92)+SUMIF('By Board'!$E$3:$E$92,"=1",'By Board'!$M$3:$M$92)</f>
        <v/>
      </c>
    </row>
    <row r="3">
      <c r="A3" t="n">
        <v>2</v>
      </c>
      <c r="B3" t="inlineStr">
        <is>
          <t>PH58</t>
        </is>
      </c>
      <c r="C3" t="inlineStr">
        <is>
          <t>PH79</t>
        </is>
      </c>
      <c r="D3" s="4">
        <f>SUMIF('By Board'!$D$3:$D$92,"=2",'By Board'!$L$3:$L$92)+SUMIF('By Board'!$E$3:$E$92,"=2",'By Board'!$M$3:$M$92)</f>
        <v/>
      </c>
    </row>
    <row r="4">
      <c r="A4" t="n">
        <v>3</v>
      </c>
      <c r="B4" t="inlineStr">
        <is>
          <t>PH69</t>
        </is>
      </c>
      <c r="C4" t="inlineStr">
        <is>
          <t>PH46</t>
        </is>
      </c>
      <c r="D4" s="4">
        <f>SUMIF('By Board'!$D$3:$D$92,"=3",'By Board'!$L$3:$L$92)+SUMIF('By Board'!$E$3:$E$92,"=3",'By Board'!$M$3:$M$92)</f>
        <v/>
      </c>
    </row>
    <row r="5">
      <c r="A5" t="n">
        <v>4</v>
      </c>
      <c r="B5" t="inlineStr">
        <is>
          <t>PH86</t>
        </is>
      </c>
      <c r="C5" t="inlineStr">
        <is>
          <t>PH40</t>
        </is>
      </c>
      <c r="D5" s="4">
        <f>SUMIF('By Board'!$D$3:$D$92,"=4",'By Board'!$L$3:$L$92)+SUMIF('By Board'!$E$3:$E$92,"=4",'By Board'!$M$3:$M$92)</f>
        <v/>
      </c>
    </row>
    <row r="6">
      <c r="A6" t="n">
        <v>5</v>
      </c>
      <c r="B6" t="inlineStr">
        <is>
          <t>PH80</t>
        </is>
      </c>
      <c r="C6" t="inlineStr">
        <is>
          <t>PH23</t>
        </is>
      </c>
      <c r="D6" s="4">
        <f>SUMIF('By Board'!$D$3:$D$92,"=5",'By Board'!$L$3:$L$92)+SUMIF('By Board'!$E$3:$E$92,"=5",'By Board'!$M$3:$M$92)</f>
        <v/>
      </c>
    </row>
    <row r="7">
      <c r="A7" t="n">
        <v>6</v>
      </c>
      <c r="B7" t="inlineStr">
        <is>
          <t>PH99</t>
        </is>
      </c>
      <c r="C7" t="inlineStr">
        <is>
          <t>PH68</t>
        </is>
      </c>
      <c r="D7" s="4">
        <f>SUMIF('By Board'!$D$3:$D$92,"=6",'By Board'!$L$3:$L$92)+SUMIF('By Board'!$E$3:$E$92,"=6",'By Board'!$M$3:$M$92)</f>
        <v/>
      </c>
    </row>
    <row r="8">
      <c r="A8" t="n">
        <v>7</v>
      </c>
      <c r="B8" t="inlineStr">
        <is>
          <t>PH22</t>
        </is>
      </c>
      <c r="C8" t="inlineStr">
        <is>
          <t>PH64</t>
        </is>
      </c>
      <c r="D8" s="4">
        <f>SUMIF('By Board'!$D$3:$D$92,"=7",'By Board'!$L$3:$L$92)+SUMIF('By Board'!$E$3:$E$92,"=7",'By Board'!$M$3:$M$92)</f>
        <v/>
      </c>
    </row>
    <row r="9">
      <c r="A9" t="n">
        <v>8</v>
      </c>
      <c r="B9" t="inlineStr">
        <is>
          <t>PH96</t>
        </is>
      </c>
      <c r="C9" t="inlineStr">
        <is>
          <t>PH75</t>
        </is>
      </c>
      <c r="D9" s="4">
        <f>SUMIF('By Board'!$D$3:$D$92,"=8",'By Board'!$L$3:$L$92)+SUMIF('By Board'!$E$3:$E$92,"=8",'By Board'!$M$3:$M$92)</f>
        <v/>
      </c>
    </row>
    <row r="10">
      <c r="A10" t="n">
        <v>9</v>
      </c>
      <c r="B10" t="inlineStr">
        <is>
          <t>PH24</t>
        </is>
      </c>
      <c r="C10" t="inlineStr">
        <is>
          <t>PH34</t>
        </is>
      </c>
      <c r="D10" s="4">
        <f>SUMIF('By Board'!$D$3:$D$92,"=9",'By Board'!$L$3:$L$92)+SUMIF('By Board'!$E$3:$E$92,"=9",'By Board'!$M$3:$M$92)</f>
        <v/>
      </c>
    </row>
    <row r="11">
      <c r="A11" t="n">
        <v>10</v>
      </c>
      <c r="B11" t="inlineStr">
        <is>
          <t>PH23</t>
        </is>
      </c>
      <c r="C11" t="inlineStr">
        <is>
          <t>PH87</t>
        </is>
      </c>
      <c r="D11" s="4">
        <f>SUMIF('By Board'!$D$3:$D$92,"=10",'By Board'!$L$3:$L$92)+0</f>
        <v/>
      </c>
    </row>
    <row r="12">
      <c r="C12" s="5" t="inlineStr">
        <is>
          <t>Sum to Zero</t>
        </is>
      </c>
      <c r="D12" s="6">
        <f>SUM(D2:D11)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Round'!A12</f>
        <v/>
      </c>
      <c r="C4">
        <f>'By Round'!B20</f>
        <v/>
      </c>
      <c r="D4">
        <f>'By Round'!C20</f>
        <v/>
      </c>
      <c r="E4">
        <f>'By Round'!D20</f>
        <v/>
      </c>
      <c r="F4" s="10" t="inlineStr">
        <is>
          <t>None</t>
        </is>
      </c>
      <c r="G4">
        <f>'By Round'!G20</f>
        <v/>
      </c>
      <c r="H4">
        <f>'By Round'!H20</f>
        <v/>
      </c>
      <c r="I4">
        <f>'By Round'!I20</f>
        <v/>
      </c>
      <c r="J4">
        <f>'By Round'!J20</f>
        <v/>
      </c>
      <c r="K4">
        <f>'By Round'!K20</f>
        <v/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Round'!A22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G5">
        <f>'By Round'!G28</f>
        <v/>
      </c>
      <c r="H5">
        <f>'By Round'!H28</f>
        <v/>
      </c>
      <c r="I5">
        <f>'By Round'!I28</f>
        <v/>
      </c>
      <c r="J5">
        <f>'By Round'!J28</f>
        <v/>
      </c>
      <c r="K5">
        <f>'By Round'!K28</f>
        <v/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Round'!A72</f>
        <v/>
      </c>
      <c r="C6">
        <f>'By Round'!B76</f>
        <v/>
      </c>
      <c r="D6">
        <f>'By Round'!C76</f>
        <v/>
      </c>
      <c r="E6">
        <f>'By Round'!D76</f>
        <v/>
      </c>
      <c r="F6" s="10" t="inlineStr">
        <is>
          <t>None</t>
        </is>
      </c>
      <c r="G6">
        <f>'By Round'!G76</f>
        <v/>
      </c>
      <c r="H6">
        <f>'By Round'!H76</f>
        <v/>
      </c>
      <c r="I6">
        <f>'By Round'!I76</f>
        <v/>
      </c>
      <c r="J6">
        <f>'By Round'!J76</f>
        <v/>
      </c>
      <c r="K6">
        <f>'By Round'!K76</f>
        <v/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Round'!A82</f>
        <v/>
      </c>
      <c r="C7">
        <f>'By Round'!B84</f>
        <v/>
      </c>
      <c r="D7">
        <f>'By Round'!C84</f>
        <v/>
      </c>
      <c r="E7">
        <f>'By Round'!D84</f>
        <v/>
      </c>
      <c r="F7" s="10" t="inlineStr">
        <is>
          <t>None</t>
        </is>
      </c>
      <c r="G7">
        <f>'By Round'!G84</f>
        <v/>
      </c>
      <c r="H7">
        <f>'By Round'!H84</f>
        <v/>
      </c>
      <c r="I7">
        <f>'By Round'!I84</f>
        <v/>
      </c>
      <c r="J7">
        <f>'By Round'!J84</f>
        <v/>
      </c>
      <c r="K7">
        <f>'By Round'!K84</f>
        <v/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G8">
        <f>'By Round'!G3</f>
        <v/>
      </c>
      <c r="H8">
        <f>'By Round'!H3</f>
        <v/>
      </c>
      <c r="I8">
        <f>'By Round'!I3</f>
        <v/>
      </c>
      <c r="J8">
        <f>'By Round'!J3</f>
        <v/>
      </c>
      <c r="K8">
        <f>'By Round'!K3</f>
        <v/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Round'!A12</f>
        <v/>
      </c>
      <c r="C9">
        <f>'By Round'!B20</f>
        <v/>
      </c>
      <c r="D9">
        <f>'By Round'!C20</f>
        <v/>
      </c>
      <c r="E9">
        <f>'By Round'!D20</f>
        <v/>
      </c>
      <c r="F9" s="10" t="inlineStr">
        <is>
          <t>NS</t>
        </is>
      </c>
      <c r="G9">
        <f>'By Round'!G21</f>
        <v/>
      </c>
      <c r="H9">
        <f>'By Round'!H21</f>
        <v/>
      </c>
      <c r="I9">
        <f>'By Round'!I21</f>
        <v/>
      </c>
      <c r="J9">
        <f>'By Round'!J21</f>
        <v/>
      </c>
      <c r="K9">
        <f>'By Round'!K21</f>
        <v/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Round'!A22</f>
        <v/>
      </c>
      <c r="C10">
        <f>'By Round'!B28</f>
        <v/>
      </c>
      <c r="D10">
        <f>'By Round'!C28</f>
        <v/>
      </c>
      <c r="E10">
        <f>'By Round'!D28</f>
        <v/>
      </c>
      <c r="F10" s="10" t="inlineStr">
        <is>
          <t>NS</t>
        </is>
      </c>
      <c r="G10">
        <f>'By Round'!G29</f>
        <v/>
      </c>
      <c r="H10">
        <f>'By Round'!H29</f>
        <v/>
      </c>
      <c r="I10">
        <f>'By Round'!I29</f>
        <v/>
      </c>
      <c r="J10">
        <f>'By Round'!J29</f>
        <v/>
      </c>
      <c r="K10">
        <f>'By Round'!K29</f>
        <v/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Round'!A72</f>
        <v/>
      </c>
      <c r="C11">
        <f>'By Round'!B76</f>
        <v/>
      </c>
      <c r="D11">
        <f>'By Round'!C76</f>
        <v/>
      </c>
      <c r="E11">
        <f>'By Round'!D76</f>
        <v/>
      </c>
      <c r="F11" s="10" t="inlineStr">
        <is>
          <t>NS</t>
        </is>
      </c>
      <c r="G11">
        <f>'By Round'!G77</f>
        <v/>
      </c>
      <c r="H11">
        <f>'By Round'!H77</f>
        <v/>
      </c>
      <c r="I11">
        <f>'By Round'!I77</f>
        <v/>
      </c>
      <c r="J11">
        <f>'By Round'!J77</f>
        <v/>
      </c>
      <c r="K11">
        <f>'By Round'!K77</f>
        <v/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Round'!A82</f>
        <v/>
      </c>
      <c r="C12">
        <f>'By Round'!B84</f>
        <v/>
      </c>
      <c r="D12">
        <f>'By Round'!C84</f>
        <v/>
      </c>
      <c r="E12">
        <f>'By Round'!D84</f>
        <v/>
      </c>
      <c r="F12" s="10" t="inlineStr">
        <is>
          <t>NS</t>
        </is>
      </c>
      <c r="G12">
        <f>'By Round'!G85</f>
        <v/>
      </c>
      <c r="H12">
        <f>'By Round'!H85</f>
        <v/>
      </c>
      <c r="I12">
        <f>'By Round'!I85</f>
        <v/>
      </c>
      <c r="J12">
        <f>'By Round'!J85</f>
        <v/>
      </c>
      <c r="K12">
        <f>'By Round'!K85</f>
        <v/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Round'!B4</f>
        <v/>
      </c>
      <c r="D13">
        <f>'By Round'!C4</f>
        <v/>
      </c>
      <c r="E13">
        <f>'By Round'!D4</f>
        <v/>
      </c>
      <c r="F13" s="10" t="inlineStr">
        <is>
          <t>EW</t>
        </is>
      </c>
      <c r="G13">
        <f>'By Round'!G4</f>
        <v/>
      </c>
      <c r="H13">
        <f>'By Round'!H4</f>
        <v/>
      </c>
      <c r="I13">
        <f>'By Round'!I4</f>
        <v/>
      </c>
      <c r="J13">
        <f>'By Round'!J4</f>
        <v/>
      </c>
      <c r="K13">
        <f>'By Round'!K4</f>
        <v/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Round'!A12</f>
        <v/>
      </c>
      <c r="C14">
        <f>'By Round'!B12</f>
        <v/>
      </c>
      <c r="D14">
        <f>'By Round'!C12</f>
        <v/>
      </c>
      <c r="E14">
        <f>'By Round'!D12</f>
        <v/>
      </c>
      <c r="F14" s="10" t="inlineStr">
        <is>
          <t>EW</t>
        </is>
      </c>
      <c r="G14">
        <f>'By Round'!G12</f>
        <v/>
      </c>
      <c r="H14">
        <f>'By Round'!H12</f>
        <v/>
      </c>
      <c r="I14">
        <f>'By Round'!I12</f>
        <v/>
      </c>
      <c r="J14">
        <f>'By Round'!J12</f>
        <v/>
      </c>
      <c r="K14">
        <f>'By Round'!K12</f>
        <v/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Round'!A22</f>
        <v/>
      </c>
      <c r="C15">
        <f>'By Round'!B30</f>
        <v/>
      </c>
      <c r="D15">
        <f>'By Round'!C30</f>
        <v/>
      </c>
      <c r="E15">
        <f>'By Round'!D30</f>
        <v/>
      </c>
      <c r="F15" s="10" t="inlineStr">
        <is>
          <t>EW</t>
        </is>
      </c>
      <c r="G15">
        <f>'By Round'!G30</f>
        <v/>
      </c>
      <c r="H15">
        <f>'By Round'!H30</f>
        <v/>
      </c>
      <c r="I15">
        <f>'By Round'!I30</f>
        <v/>
      </c>
      <c r="J15">
        <f>'By Round'!J30</f>
        <v/>
      </c>
      <c r="K15">
        <f>'By Round'!K30</f>
        <v/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Round'!A32</f>
        <v/>
      </c>
      <c r="C16">
        <f>'By Round'!B38</f>
        <v/>
      </c>
      <c r="D16">
        <f>'By Round'!C38</f>
        <v/>
      </c>
      <c r="E16">
        <f>'By Round'!D38</f>
        <v/>
      </c>
      <c r="F16" s="10" t="inlineStr">
        <is>
          <t>EW</t>
        </is>
      </c>
      <c r="G16">
        <f>'By Round'!G38</f>
        <v/>
      </c>
      <c r="H16">
        <f>'By Round'!H38</f>
        <v/>
      </c>
      <c r="I16">
        <f>'By Round'!I38</f>
        <v/>
      </c>
      <c r="J16">
        <f>'By Round'!J38</f>
        <v/>
      </c>
      <c r="K16">
        <f>'By Round'!K38</f>
        <v/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Round'!A82</f>
        <v/>
      </c>
      <c r="C17">
        <f>'By Round'!B86</f>
        <v/>
      </c>
      <c r="D17">
        <f>'By Round'!C86</f>
        <v/>
      </c>
      <c r="E17">
        <f>'By Round'!D86</f>
        <v/>
      </c>
      <c r="F17" s="10" t="inlineStr">
        <is>
          <t>EW</t>
        </is>
      </c>
      <c r="G17">
        <f>'By Round'!G86</f>
        <v/>
      </c>
      <c r="H17">
        <f>'By Round'!H86</f>
        <v/>
      </c>
      <c r="I17">
        <f>'By Round'!I86</f>
        <v/>
      </c>
      <c r="J17">
        <f>'By Round'!J86</f>
        <v/>
      </c>
      <c r="K17">
        <f>'By Round'!K86</f>
        <v/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Round'!B4</f>
        <v/>
      </c>
      <c r="D18">
        <f>'By Round'!C4</f>
        <v/>
      </c>
      <c r="E18">
        <f>'By Round'!D4</f>
        <v/>
      </c>
      <c r="F18" s="10" t="inlineStr">
        <is>
          <t>Both</t>
        </is>
      </c>
      <c r="G18">
        <f>'By Round'!G5</f>
        <v/>
      </c>
      <c r="H18">
        <f>'By Round'!H5</f>
        <v/>
      </c>
      <c r="I18">
        <f>'By Round'!I5</f>
        <v/>
      </c>
      <c r="J18">
        <f>'By Round'!J5</f>
        <v/>
      </c>
      <c r="K18">
        <f>'By Round'!K5</f>
        <v/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0" t="inlineStr">
        <is>
          <t>Both</t>
        </is>
      </c>
      <c r="G19">
        <f>'By Round'!G13</f>
        <v/>
      </c>
      <c r="H19">
        <f>'By Round'!H13</f>
        <v/>
      </c>
      <c r="I19">
        <f>'By Round'!I13</f>
        <v/>
      </c>
      <c r="J19">
        <f>'By Round'!J13</f>
        <v/>
      </c>
      <c r="K19">
        <f>'By Round'!K13</f>
        <v/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Round'!A22</f>
        <v/>
      </c>
      <c r="C20">
        <f>'By Round'!B30</f>
        <v/>
      </c>
      <c r="D20">
        <f>'By Round'!C30</f>
        <v/>
      </c>
      <c r="E20">
        <f>'By Round'!D30</f>
        <v/>
      </c>
      <c r="F20" s="10" t="inlineStr">
        <is>
          <t>Both</t>
        </is>
      </c>
      <c r="G20">
        <f>'By Round'!G31</f>
        <v/>
      </c>
      <c r="H20">
        <f>'By Round'!H31</f>
        <v/>
      </c>
      <c r="I20">
        <f>'By Round'!I31</f>
        <v/>
      </c>
      <c r="J20">
        <f>'By Round'!J31</f>
        <v/>
      </c>
      <c r="K20">
        <f>'By Round'!K31</f>
        <v/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Round'!A32</f>
        <v/>
      </c>
      <c r="C21">
        <f>'By Round'!B38</f>
        <v/>
      </c>
      <c r="D21">
        <f>'By Round'!C38</f>
        <v/>
      </c>
      <c r="E21">
        <f>'By Round'!D38</f>
        <v/>
      </c>
      <c r="F21" s="10" t="inlineStr">
        <is>
          <t>Both</t>
        </is>
      </c>
      <c r="G21">
        <f>'By Round'!G39</f>
        <v/>
      </c>
      <c r="H21">
        <f>'By Round'!H39</f>
        <v/>
      </c>
      <c r="I21">
        <f>'By Round'!I39</f>
        <v/>
      </c>
      <c r="J21">
        <f>'By Round'!J39</f>
        <v/>
      </c>
      <c r="K21">
        <f>'By Round'!K39</f>
        <v/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Round'!A82</f>
        <v/>
      </c>
      <c r="C22">
        <f>'By Round'!B86</f>
        <v/>
      </c>
      <c r="D22">
        <f>'By Round'!C86</f>
        <v/>
      </c>
      <c r="E22">
        <f>'By Round'!D86</f>
        <v/>
      </c>
      <c r="F22" s="10" t="inlineStr">
        <is>
          <t>Both</t>
        </is>
      </c>
      <c r="G22">
        <f>'By Round'!G87</f>
        <v/>
      </c>
      <c r="H22">
        <f>'By Round'!H87</f>
        <v/>
      </c>
      <c r="I22">
        <f>'By Round'!I87</f>
        <v/>
      </c>
      <c r="J22">
        <f>'By Round'!J87</f>
        <v/>
      </c>
      <c r="K22">
        <f>'By Round'!K87</f>
        <v/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NS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Round'!A12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NS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Round'!A22</f>
        <v/>
      </c>
      <c r="C25">
        <f>'By Round'!B22</f>
        <v/>
      </c>
      <c r="D25">
        <f>'By Round'!C22</f>
        <v/>
      </c>
      <c r="E25">
        <f>'By Round'!D22</f>
        <v/>
      </c>
      <c r="F25" s="10" t="inlineStr">
        <is>
          <t>NS</t>
        </is>
      </c>
      <c r="G25">
        <f>'By Round'!G22</f>
        <v/>
      </c>
      <c r="H25">
        <f>'By Round'!H22</f>
        <v/>
      </c>
      <c r="I25">
        <f>'By Round'!I22</f>
        <v/>
      </c>
      <c r="J25">
        <f>'By Round'!J22</f>
        <v/>
      </c>
      <c r="K25">
        <f>'By Round'!K22</f>
        <v/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Round'!A32</f>
        <v/>
      </c>
      <c r="C26">
        <f>'By Round'!B40</f>
        <v/>
      </c>
      <c r="D26">
        <f>'By Round'!C40</f>
        <v/>
      </c>
      <c r="E26">
        <f>'By Round'!D40</f>
        <v/>
      </c>
      <c r="F26" s="10" t="inlineStr">
        <is>
          <t>NS</t>
        </is>
      </c>
      <c r="G26">
        <f>'By Round'!G40</f>
        <v/>
      </c>
      <c r="H26">
        <f>'By Round'!H40</f>
        <v/>
      </c>
      <c r="I26">
        <f>'By Round'!I40</f>
        <v/>
      </c>
      <c r="J26">
        <f>'By Round'!J40</f>
        <v/>
      </c>
      <c r="K26">
        <f>'By Round'!K40</f>
        <v/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Round'!A42</f>
        <v/>
      </c>
      <c r="C27">
        <f>'By Round'!B48</f>
        <v/>
      </c>
      <c r="D27">
        <f>'By Round'!C48</f>
        <v/>
      </c>
      <c r="E27">
        <f>'By Round'!D48</f>
        <v/>
      </c>
      <c r="F27" s="10" t="inlineStr">
        <is>
          <t>NS</t>
        </is>
      </c>
      <c r="G27">
        <f>'By Round'!G48</f>
        <v/>
      </c>
      <c r="H27">
        <f>'By Round'!H48</f>
        <v/>
      </c>
      <c r="I27">
        <f>'By Round'!I48</f>
        <v/>
      </c>
      <c r="J27">
        <f>'By Round'!J48</f>
        <v/>
      </c>
      <c r="K27">
        <f>'By Round'!K48</f>
        <v/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Round'!B6</f>
        <v/>
      </c>
      <c r="D28">
        <f>'By Round'!C6</f>
        <v/>
      </c>
      <c r="E28">
        <f>'By Round'!D6</f>
        <v/>
      </c>
      <c r="F28" s="10" t="inlineStr">
        <is>
          <t>EW</t>
        </is>
      </c>
      <c r="G28">
        <f>'By Round'!G7</f>
        <v/>
      </c>
      <c r="H28">
        <f>'By Round'!H7</f>
        <v/>
      </c>
      <c r="I28">
        <f>'By Round'!I7</f>
        <v/>
      </c>
      <c r="J28">
        <f>'By Round'!J7</f>
        <v/>
      </c>
      <c r="K28">
        <f>'By Round'!K7</f>
        <v/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Round'!A12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EW</t>
        </is>
      </c>
      <c r="G29">
        <f>'By Round'!G15</f>
        <v/>
      </c>
      <c r="H29">
        <f>'By Round'!H15</f>
        <v/>
      </c>
      <c r="I29">
        <f>'By Round'!I15</f>
        <v/>
      </c>
      <c r="J29">
        <f>'By Round'!J15</f>
        <v/>
      </c>
      <c r="K29">
        <f>'By Round'!K15</f>
        <v/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Round'!A22</f>
        <v/>
      </c>
      <c r="C30">
        <f>'By Round'!B22</f>
        <v/>
      </c>
      <c r="D30">
        <f>'By Round'!C22</f>
        <v/>
      </c>
      <c r="E30">
        <f>'By Round'!D22</f>
        <v/>
      </c>
      <c r="F30" s="10" t="inlineStr">
        <is>
          <t>EW</t>
        </is>
      </c>
      <c r="G30">
        <f>'By Round'!G23</f>
        <v/>
      </c>
      <c r="H30">
        <f>'By Round'!H23</f>
        <v/>
      </c>
      <c r="I30">
        <f>'By Round'!I23</f>
        <v/>
      </c>
      <c r="J30">
        <f>'By Round'!J23</f>
        <v/>
      </c>
      <c r="K30">
        <f>'By Round'!K23</f>
        <v/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Round'!A32</f>
        <v/>
      </c>
      <c r="C31">
        <f>'By Round'!B40</f>
        <v/>
      </c>
      <c r="D31">
        <f>'By Round'!C40</f>
        <v/>
      </c>
      <c r="E31">
        <f>'By Round'!D40</f>
        <v/>
      </c>
      <c r="F31" s="10" t="inlineStr">
        <is>
          <t>EW</t>
        </is>
      </c>
      <c r="G31">
        <f>'By Round'!G41</f>
        <v/>
      </c>
      <c r="H31">
        <f>'By Round'!H41</f>
        <v/>
      </c>
      <c r="I31">
        <f>'By Round'!I41</f>
        <v/>
      </c>
      <c r="J31">
        <f>'By Round'!J41</f>
        <v/>
      </c>
      <c r="K31">
        <f>'By Round'!K41</f>
        <v/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Round'!A42</f>
        <v/>
      </c>
      <c r="C32">
        <f>'By Round'!B48</f>
        <v/>
      </c>
      <c r="D32">
        <f>'By Round'!C48</f>
        <v/>
      </c>
      <c r="E32">
        <f>'By Round'!D48</f>
        <v/>
      </c>
      <c r="F32" s="10" t="inlineStr">
        <is>
          <t>EW</t>
        </is>
      </c>
      <c r="G32">
        <f>'By Round'!G49</f>
        <v/>
      </c>
      <c r="H32">
        <f>'By Round'!H49</f>
        <v/>
      </c>
      <c r="I32">
        <f>'By Round'!I49</f>
        <v/>
      </c>
      <c r="J32">
        <f>'By Round'!J49</f>
        <v/>
      </c>
      <c r="K32">
        <f>'By Round'!K49</f>
        <v/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Round'!A12</f>
        <v/>
      </c>
      <c r="C33">
        <f>'By Round'!B16</f>
        <v/>
      </c>
      <c r="D33">
        <f>'By Round'!C16</f>
        <v/>
      </c>
      <c r="E33">
        <f>'By Round'!D16</f>
        <v/>
      </c>
      <c r="F33" s="10" t="inlineStr">
        <is>
          <t>Both</t>
        </is>
      </c>
      <c r="G33">
        <f>'By Round'!G16</f>
        <v/>
      </c>
      <c r="H33">
        <f>'By Round'!H16</f>
        <v/>
      </c>
      <c r="I33">
        <f>'By Round'!I16</f>
        <v/>
      </c>
      <c r="J33">
        <f>'By Round'!J16</f>
        <v/>
      </c>
      <c r="K33">
        <f>'By Round'!K16</f>
        <v/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Round'!A22</f>
        <v/>
      </c>
      <c r="C34">
        <f>'By Round'!B24</f>
        <v/>
      </c>
      <c r="D34">
        <f>'By Round'!C24</f>
        <v/>
      </c>
      <c r="E34">
        <f>'By Round'!D24</f>
        <v/>
      </c>
      <c r="F34" s="10" t="inlineStr">
        <is>
          <t>Both</t>
        </is>
      </c>
      <c r="G34">
        <f>'By Round'!G24</f>
        <v/>
      </c>
      <c r="H34">
        <f>'By Round'!H24</f>
        <v/>
      </c>
      <c r="I34">
        <f>'By Round'!I24</f>
        <v/>
      </c>
      <c r="J34">
        <f>'By Round'!J24</f>
        <v/>
      </c>
      <c r="K34">
        <f>'By Round'!K24</f>
        <v/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Round'!A32</f>
        <v/>
      </c>
      <c r="C35">
        <f>'By Round'!B32</f>
        <v/>
      </c>
      <c r="D35">
        <f>'By Round'!C32</f>
        <v/>
      </c>
      <c r="E35">
        <f>'By Round'!D32</f>
        <v/>
      </c>
      <c r="F35" s="10" t="inlineStr">
        <is>
          <t>Both</t>
        </is>
      </c>
      <c r="G35">
        <f>'By Round'!G32</f>
        <v/>
      </c>
      <c r="H35">
        <f>'By Round'!H32</f>
        <v/>
      </c>
      <c r="I35">
        <f>'By Round'!I32</f>
        <v/>
      </c>
      <c r="J35">
        <f>'By Round'!J32</f>
        <v/>
      </c>
      <c r="K35">
        <f>'By Round'!K32</f>
        <v/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Round'!A42</f>
        <v/>
      </c>
      <c r="C36">
        <f>'By Round'!B50</f>
        <v/>
      </c>
      <c r="D36">
        <f>'By Round'!C50</f>
        <v/>
      </c>
      <c r="E36">
        <f>'By Round'!D50</f>
        <v/>
      </c>
      <c r="F36" s="10" t="inlineStr">
        <is>
          <t>Both</t>
        </is>
      </c>
      <c r="G36">
        <f>'By Round'!G50</f>
        <v/>
      </c>
      <c r="H36">
        <f>'By Round'!H50</f>
        <v/>
      </c>
      <c r="I36">
        <f>'By Round'!I50</f>
        <v/>
      </c>
      <c r="J36">
        <f>'By Round'!J50</f>
        <v/>
      </c>
      <c r="K36">
        <f>'By Round'!K50</f>
        <v/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Round'!A52</f>
        <v/>
      </c>
      <c r="C37">
        <f>'By Round'!B58</f>
        <v/>
      </c>
      <c r="D37">
        <f>'By Round'!C58</f>
        <v/>
      </c>
      <c r="E37">
        <f>'By Round'!D58</f>
        <v/>
      </c>
      <c r="F37" s="10" t="inlineStr">
        <is>
          <t>Both</t>
        </is>
      </c>
      <c r="G37">
        <f>'By Round'!G58</f>
        <v/>
      </c>
      <c r="H37">
        <f>'By Round'!H58</f>
        <v/>
      </c>
      <c r="I37">
        <f>'By Round'!I58</f>
        <v/>
      </c>
      <c r="J37">
        <f>'By Round'!J58</f>
        <v/>
      </c>
      <c r="K37">
        <f>'By Round'!K58</f>
        <v/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Round'!A12</f>
        <v/>
      </c>
      <c r="C38">
        <f>'By Round'!B16</f>
        <v/>
      </c>
      <c r="D38">
        <f>'By Round'!C16</f>
        <v/>
      </c>
      <c r="E38">
        <f>'By Round'!D16</f>
        <v/>
      </c>
      <c r="F38" s="10" t="inlineStr">
        <is>
          <t>None</t>
        </is>
      </c>
      <c r="G38">
        <f>'By Round'!G17</f>
        <v/>
      </c>
      <c r="H38">
        <f>'By Round'!H17</f>
        <v/>
      </c>
      <c r="I38">
        <f>'By Round'!I17</f>
        <v/>
      </c>
      <c r="J38">
        <f>'By Round'!J17</f>
        <v/>
      </c>
      <c r="K38">
        <f>'By Round'!K17</f>
        <v/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Round'!A22</f>
        <v/>
      </c>
      <c r="C39">
        <f>'By Round'!B24</f>
        <v/>
      </c>
      <c r="D39">
        <f>'By Round'!C24</f>
        <v/>
      </c>
      <c r="E39">
        <f>'By Round'!D24</f>
        <v/>
      </c>
      <c r="F39" s="10" t="inlineStr">
        <is>
          <t>None</t>
        </is>
      </c>
      <c r="G39">
        <f>'By Round'!G25</f>
        <v/>
      </c>
      <c r="H39">
        <f>'By Round'!H25</f>
        <v/>
      </c>
      <c r="I39">
        <f>'By Round'!I25</f>
        <v/>
      </c>
      <c r="J39">
        <f>'By Round'!J25</f>
        <v/>
      </c>
      <c r="K39">
        <f>'By Round'!K25</f>
        <v/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Round'!A32</f>
        <v/>
      </c>
      <c r="C40">
        <f>'By Round'!B32</f>
        <v/>
      </c>
      <c r="D40">
        <f>'By Round'!C32</f>
        <v/>
      </c>
      <c r="E40">
        <f>'By Round'!D32</f>
        <v/>
      </c>
      <c r="F40" s="10" t="inlineStr">
        <is>
          <t>None</t>
        </is>
      </c>
      <c r="G40">
        <f>'By Round'!G33</f>
        <v/>
      </c>
      <c r="H40">
        <f>'By Round'!H33</f>
        <v/>
      </c>
      <c r="I40">
        <f>'By Round'!I33</f>
        <v/>
      </c>
      <c r="J40">
        <f>'By Round'!J33</f>
        <v/>
      </c>
      <c r="K40">
        <f>'By Round'!K33</f>
        <v/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Round'!A42</f>
        <v/>
      </c>
      <c r="C41">
        <f>'By Round'!B50</f>
        <v/>
      </c>
      <c r="D41">
        <f>'By Round'!C50</f>
        <v/>
      </c>
      <c r="E41">
        <f>'By Round'!D50</f>
        <v/>
      </c>
      <c r="F41" s="10" t="inlineStr">
        <is>
          <t>None</t>
        </is>
      </c>
      <c r="G41">
        <f>'By Round'!G51</f>
        <v/>
      </c>
      <c r="H41">
        <f>'By Round'!H51</f>
        <v/>
      </c>
      <c r="I41">
        <f>'By Round'!I51</f>
        <v/>
      </c>
      <c r="J41">
        <f>'By Round'!J51</f>
        <v/>
      </c>
      <c r="K41">
        <f>'By Round'!K51</f>
        <v/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Round'!A52</f>
        <v/>
      </c>
      <c r="C42">
        <f>'By Round'!B58</f>
        <v/>
      </c>
      <c r="D42">
        <f>'By Round'!C58</f>
        <v/>
      </c>
      <c r="E42">
        <f>'By Round'!D58</f>
        <v/>
      </c>
      <c r="F42" s="10" t="inlineStr">
        <is>
          <t>None</t>
        </is>
      </c>
      <c r="G42">
        <f>'By Round'!G59</f>
        <v/>
      </c>
      <c r="H42">
        <f>'By Round'!H59</f>
        <v/>
      </c>
      <c r="I42">
        <f>'By Round'!I59</f>
        <v/>
      </c>
      <c r="J42">
        <f>'By Round'!J59</f>
        <v/>
      </c>
      <c r="K42">
        <f>'By Round'!K59</f>
        <v/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Round'!A22</f>
        <v/>
      </c>
      <c r="C43">
        <f>'By Round'!B26</f>
        <v/>
      </c>
      <c r="D43">
        <f>'By Round'!C26</f>
        <v/>
      </c>
      <c r="E43">
        <f>'By Round'!D26</f>
        <v/>
      </c>
      <c r="F43" s="10" t="inlineStr">
        <is>
          <t>EW</t>
        </is>
      </c>
      <c r="G43">
        <f>'By Round'!G26</f>
        <v/>
      </c>
      <c r="H43">
        <f>'By Round'!H26</f>
        <v/>
      </c>
      <c r="I43">
        <f>'By Round'!I26</f>
        <v/>
      </c>
      <c r="J43">
        <f>'By Round'!J26</f>
        <v/>
      </c>
      <c r="K43">
        <f>'By Round'!K26</f>
        <v/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Round'!A32</f>
        <v/>
      </c>
      <c r="C44">
        <f>'By Round'!B34</f>
        <v/>
      </c>
      <c r="D44">
        <f>'By Round'!C34</f>
        <v/>
      </c>
      <c r="E44">
        <f>'By Round'!D34</f>
        <v/>
      </c>
      <c r="F44" s="10" t="inlineStr">
        <is>
          <t>EW</t>
        </is>
      </c>
      <c r="G44">
        <f>'By Round'!G34</f>
        <v/>
      </c>
      <c r="H44">
        <f>'By Round'!H34</f>
        <v/>
      </c>
      <c r="I44">
        <f>'By Round'!I34</f>
        <v/>
      </c>
      <c r="J44">
        <f>'By Round'!J34</f>
        <v/>
      </c>
      <c r="K44">
        <f>'By Round'!K34</f>
        <v/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Round'!A42</f>
        <v/>
      </c>
      <c r="C45">
        <f>'By Round'!B42</f>
        <v/>
      </c>
      <c r="D45">
        <f>'By Round'!C42</f>
        <v/>
      </c>
      <c r="E45">
        <f>'By Round'!D42</f>
        <v/>
      </c>
      <c r="F45" s="10" t="inlineStr">
        <is>
          <t>EW</t>
        </is>
      </c>
      <c r="G45">
        <f>'By Round'!G42</f>
        <v/>
      </c>
      <c r="H45">
        <f>'By Round'!H42</f>
        <v/>
      </c>
      <c r="I45">
        <f>'By Round'!I42</f>
        <v/>
      </c>
      <c r="J45">
        <f>'By Round'!J42</f>
        <v/>
      </c>
      <c r="K45">
        <f>'By Round'!K42</f>
        <v/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Round'!A52</f>
        <v/>
      </c>
      <c r="C46">
        <f>'By Round'!B60</f>
        <v/>
      </c>
      <c r="D46">
        <f>'By Round'!C60</f>
        <v/>
      </c>
      <c r="E46">
        <f>'By Round'!D60</f>
        <v/>
      </c>
      <c r="F46" s="10" t="inlineStr">
        <is>
          <t>EW</t>
        </is>
      </c>
      <c r="G46">
        <f>'By Round'!G60</f>
        <v/>
      </c>
      <c r="H46">
        <f>'By Round'!H60</f>
        <v/>
      </c>
      <c r="I46">
        <f>'By Round'!I60</f>
        <v/>
      </c>
      <c r="J46">
        <f>'By Round'!J60</f>
        <v/>
      </c>
      <c r="K46">
        <f>'By Round'!K60</f>
        <v/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Round'!A62</f>
        <v/>
      </c>
      <c r="C47">
        <f>'By Round'!B68</f>
        <v/>
      </c>
      <c r="D47">
        <f>'By Round'!C68</f>
        <v/>
      </c>
      <c r="E47">
        <f>'By Round'!D68</f>
        <v/>
      </c>
      <c r="F47" s="10" t="inlineStr">
        <is>
          <t>EW</t>
        </is>
      </c>
      <c r="G47">
        <f>'By Round'!G68</f>
        <v/>
      </c>
      <c r="H47">
        <f>'By Round'!H68</f>
        <v/>
      </c>
      <c r="I47">
        <f>'By Round'!I68</f>
        <v/>
      </c>
      <c r="J47">
        <f>'By Round'!J68</f>
        <v/>
      </c>
      <c r="K47">
        <f>'By Round'!K68</f>
        <v/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Round'!A22</f>
        <v/>
      </c>
      <c r="C48">
        <f>'By Round'!B26</f>
        <v/>
      </c>
      <c r="D48">
        <f>'By Round'!C26</f>
        <v/>
      </c>
      <c r="E48">
        <f>'By Round'!D26</f>
        <v/>
      </c>
      <c r="F48" s="10" t="inlineStr">
        <is>
          <t>Both</t>
        </is>
      </c>
      <c r="G48">
        <f>'By Round'!G27</f>
        <v/>
      </c>
      <c r="H48">
        <f>'By Round'!H27</f>
        <v/>
      </c>
      <c r="I48">
        <f>'By Round'!I27</f>
        <v/>
      </c>
      <c r="J48">
        <f>'By Round'!J27</f>
        <v/>
      </c>
      <c r="K48">
        <f>'By Round'!K27</f>
        <v/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Round'!A32</f>
        <v/>
      </c>
      <c r="C49">
        <f>'By Round'!B34</f>
        <v/>
      </c>
      <c r="D49">
        <f>'By Round'!C34</f>
        <v/>
      </c>
      <c r="E49">
        <f>'By Round'!D34</f>
        <v/>
      </c>
      <c r="F49" s="10" t="inlineStr">
        <is>
          <t>Both</t>
        </is>
      </c>
      <c r="G49">
        <f>'By Round'!G35</f>
        <v/>
      </c>
      <c r="H49">
        <f>'By Round'!H35</f>
        <v/>
      </c>
      <c r="I49">
        <f>'By Round'!I35</f>
        <v/>
      </c>
      <c r="J49">
        <f>'By Round'!J35</f>
        <v/>
      </c>
      <c r="K49">
        <f>'By Round'!K35</f>
        <v/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Both</t>
        </is>
      </c>
      <c r="G50">
        <f>'By Round'!G43</f>
        <v/>
      </c>
      <c r="H50">
        <f>'By Round'!H43</f>
        <v/>
      </c>
      <c r="I50">
        <f>'By Round'!I43</f>
        <v/>
      </c>
      <c r="J50">
        <f>'By Round'!J43</f>
        <v/>
      </c>
      <c r="K50">
        <f>'By Round'!K43</f>
        <v/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Round'!A52</f>
        <v/>
      </c>
      <c r="C51">
        <f>'By Round'!B60</f>
        <v/>
      </c>
      <c r="D51">
        <f>'By Round'!C60</f>
        <v/>
      </c>
      <c r="E51">
        <f>'By Round'!D60</f>
        <v/>
      </c>
      <c r="F51" s="10" t="inlineStr">
        <is>
          <t>Both</t>
        </is>
      </c>
      <c r="G51">
        <f>'By Round'!G61</f>
        <v/>
      </c>
      <c r="H51">
        <f>'By Round'!H61</f>
        <v/>
      </c>
      <c r="I51">
        <f>'By Round'!I61</f>
        <v/>
      </c>
      <c r="J51">
        <f>'By Round'!J61</f>
        <v/>
      </c>
      <c r="K51">
        <f>'By Round'!K61</f>
        <v/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Round'!A62</f>
        <v/>
      </c>
      <c r="C52">
        <f>'By Round'!B68</f>
        <v/>
      </c>
      <c r="D52">
        <f>'By Round'!C68</f>
        <v/>
      </c>
      <c r="E52">
        <f>'By Round'!D68</f>
        <v/>
      </c>
      <c r="F52" s="10" t="inlineStr">
        <is>
          <t>Both</t>
        </is>
      </c>
      <c r="G52">
        <f>'By Round'!G69</f>
        <v/>
      </c>
      <c r="H52">
        <f>'By Round'!H69</f>
        <v/>
      </c>
      <c r="I52">
        <f>'By Round'!I69</f>
        <v/>
      </c>
      <c r="J52">
        <f>'By Round'!J69</f>
        <v/>
      </c>
      <c r="K52">
        <f>'By Round'!K69</f>
        <v/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Round'!A32</f>
        <v/>
      </c>
      <c r="C53">
        <f>'By Round'!B36</f>
        <v/>
      </c>
      <c r="D53">
        <f>'By Round'!C36</f>
        <v/>
      </c>
      <c r="E53">
        <f>'By Round'!D36</f>
        <v/>
      </c>
      <c r="F53" s="10" t="inlineStr">
        <is>
          <t>None</t>
        </is>
      </c>
      <c r="G53">
        <f>'By Round'!G36</f>
        <v/>
      </c>
      <c r="H53">
        <f>'By Round'!H36</f>
        <v/>
      </c>
      <c r="I53">
        <f>'By Round'!I36</f>
        <v/>
      </c>
      <c r="J53">
        <f>'By Round'!J36</f>
        <v/>
      </c>
      <c r="K53">
        <f>'By Round'!K36</f>
        <v/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Round'!A42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Round'!A52</f>
        <v/>
      </c>
      <c r="C55">
        <f>'By Round'!B52</f>
        <v/>
      </c>
      <c r="D55">
        <f>'By Round'!C52</f>
        <v/>
      </c>
      <c r="E55">
        <f>'By Round'!D52</f>
        <v/>
      </c>
      <c r="F55" s="10" t="inlineStr">
        <is>
          <t>None</t>
        </is>
      </c>
      <c r="G55">
        <f>'By Round'!G52</f>
        <v/>
      </c>
      <c r="H55">
        <f>'By Round'!H52</f>
        <v/>
      </c>
      <c r="I55">
        <f>'By Round'!I52</f>
        <v/>
      </c>
      <c r="J55">
        <f>'By Round'!J52</f>
        <v/>
      </c>
      <c r="K55">
        <f>'By Round'!K52</f>
        <v/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Round'!A62</f>
        <v/>
      </c>
      <c r="C56">
        <f>'By Round'!B70</f>
        <v/>
      </c>
      <c r="D56">
        <f>'By Round'!C70</f>
        <v/>
      </c>
      <c r="E56">
        <f>'By Round'!D70</f>
        <v/>
      </c>
      <c r="F56" s="10" t="inlineStr">
        <is>
          <t>None</t>
        </is>
      </c>
      <c r="G56">
        <f>'By Round'!G70</f>
        <v/>
      </c>
      <c r="H56">
        <f>'By Round'!H70</f>
        <v/>
      </c>
      <c r="I56">
        <f>'By Round'!I70</f>
        <v/>
      </c>
      <c r="J56">
        <f>'By Round'!J70</f>
        <v/>
      </c>
      <c r="K56">
        <f>'By Round'!K70</f>
        <v/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Round'!A72</f>
        <v/>
      </c>
      <c r="C57">
        <f>'By Round'!B78</f>
        <v/>
      </c>
      <c r="D57">
        <f>'By Round'!C78</f>
        <v/>
      </c>
      <c r="E57">
        <f>'By Round'!D78</f>
        <v/>
      </c>
      <c r="F57" s="10" t="inlineStr">
        <is>
          <t>None</t>
        </is>
      </c>
      <c r="G57">
        <f>'By Round'!G78</f>
        <v/>
      </c>
      <c r="H57">
        <f>'By Round'!H78</f>
        <v/>
      </c>
      <c r="I57">
        <f>'By Round'!I78</f>
        <v/>
      </c>
      <c r="J57">
        <f>'By Round'!J78</f>
        <v/>
      </c>
      <c r="K57">
        <f>'By Round'!K78</f>
        <v/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Round'!A32</f>
        <v/>
      </c>
      <c r="C58">
        <f>'By Round'!B36</f>
        <v/>
      </c>
      <c r="D58">
        <f>'By Round'!C36</f>
        <v/>
      </c>
      <c r="E58">
        <f>'By Round'!D36</f>
        <v/>
      </c>
      <c r="F58" s="10" t="inlineStr">
        <is>
          <t>NS</t>
        </is>
      </c>
      <c r="G58">
        <f>'By Round'!G37</f>
        <v/>
      </c>
      <c r="H58">
        <f>'By Round'!H37</f>
        <v/>
      </c>
      <c r="I58">
        <f>'By Round'!I37</f>
        <v/>
      </c>
      <c r="J58">
        <f>'By Round'!J37</f>
        <v/>
      </c>
      <c r="K58">
        <f>'By Round'!K37</f>
        <v/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Round'!A42</f>
        <v/>
      </c>
      <c r="C59">
        <f>'By Round'!B44</f>
        <v/>
      </c>
      <c r="D59">
        <f>'By Round'!C44</f>
        <v/>
      </c>
      <c r="E59">
        <f>'By Round'!D44</f>
        <v/>
      </c>
      <c r="F59" s="10" t="inlineStr">
        <is>
          <t>NS</t>
        </is>
      </c>
      <c r="G59">
        <f>'By Round'!G45</f>
        <v/>
      </c>
      <c r="H59">
        <f>'By Round'!H45</f>
        <v/>
      </c>
      <c r="I59">
        <f>'By Round'!I45</f>
        <v/>
      </c>
      <c r="J59">
        <f>'By Round'!J45</f>
        <v/>
      </c>
      <c r="K59">
        <f>'By Round'!K45</f>
        <v/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Round'!A52</f>
        <v/>
      </c>
      <c r="C60">
        <f>'By Round'!B52</f>
        <v/>
      </c>
      <c r="D60">
        <f>'By Round'!C52</f>
        <v/>
      </c>
      <c r="E60">
        <f>'By Round'!D52</f>
        <v/>
      </c>
      <c r="F60" s="10" t="inlineStr">
        <is>
          <t>NS</t>
        </is>
      </c>
      <c r="G60">
        <f>'By Round'!G53</f>
        <v/>
      </c>
      <c r="H60">
        <f>'By Round'!H53</f>
        <v/>
      </c>
      <c r="I60">
        <f>'By Round'!I53</f>
        <v/>
      </c>
      <c r="J60">
        <f>'By Round'!J53</f>
        <v/>
      </c>
      <c r="K60">
        <f>'By Round'!K53</f>
        <v/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Round'!A62</f>
        <v/>
      </c>
      <c r="C61">
        <f>'By Round'!B70</f>
        <v/>
      </c>
      <c r="D61">
        <f>'By Round'!C70</f>
        <v/>
      </c>
      <c r="E61">
        <f>'By Round'!D70</f>
        <v/>
      </c>
      <c r="F61" s="10" t="inlineStr">
        <is>
          <t>NS</t>
        </is>
      </c>
      <c r="G61">
        <f>'By Round'!G71</f>
        <v/>
      </c>
      <c r="H61">
        <f>'By Round'!H71</f>
        <v/>
      </c>
      <c r="I61">
        <f>'By Round'!I71</f>
        <v/>
      </c>
      <c r="J61">
        <f>'By Round'!J71</f>
        <v/>
      </c>
      <c r="K61">
        <f>'By Round'!K71</f>
        <v/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Round'!A72</f>
        <v/>
      </c>
      <c r="C62">
        <f>'By Round'!B78</f>
        <v/>
      </c>
      <c r="D62">
        <f>'By Round'!C78</f>
        <v/>
      </c>
      <c r="E62">
        <f>'By Round'!D78</f>
        <v/>
      </c>
      <c r="F62" s="10" t="inlineStr">
        <is>
          <t>NS</t>
        </is>
      </c>
      <c r="G62">
        <f>'By Round'!G79</f>
        <v/>
      </c>
      <c r="H62">
        <f>'By Round'!H79</f>
        <v/>
      </c>
      <c r="I62">
        <f>'By Round'!I79</f>
        <v/>
      </c>
      <c r="J62">
        <f>'By Round'!J79</f>
        <v/>
      </c>
      <c r="K62">
        <f>'By Round'!K79</f>
        <v/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Round'!A42</f>
        <v/>
      </c>
      <c r="C63">
        <f>'By Round'!B46</f>
        <v/>
      </c>
      <c r="D63">
        <f>'By Round'!C46</f>
        <v/>
      </c>
      <c r="E63">
        <f>'By Round'!D46</f>
        <v/>
      </c>
      <c r="F63" s="10" t="inlineStr">
        <is>
          <t>Both</t>
        </is>
      </c>
      <c r="G63">
        <f>'By Round'!G46</f>
        <v/>
      </c>
      <c r="H63">
        <f>'By Round'!H46</f>
        <v/>
      </c>
      <c r="I63">
        <f>'By Round'!I46</f>
        <v/>
      </c>
      <c r="J63">
        <f>'By Round'!J46</f>
        <v/>
      </c>
      <c r="K63">
        <f>'By Round'!K46</f>
        <v/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Round'!A52</f>
        <v/>
      </c>
      <c r="C64">
        <f>'By Round'!B54</f>
        <v/>
      </c>
      <c r="D64">
        <f>'By Round'!C54</f>
        <v/>
      </c>
      <c r="E64">
        <f>'By Round'!D54</f>
        <v/>
      </c>
      <c r="F64" s="10" t="inlineStr">
        <is>
          <t>Both</t>
        </is>
      </c>
      <c r="G64">
        <f>'By Round'!G54</f>
        <v/>
      </c>
      <c r="H64">
        <f>'By Round'!H54</f>
        <v/>
      </c>
      <c r="I64">
        <f>'By Round'!I54</f>
        <v/>
      </c>
      <c r="J64">
        <f>'By Round'!J54</f>
        <v/>
      </c>
      <c r="K64">
        <f>'By Round'!K54</f>
        <v/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Both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Round'!A72</f>
        <v/>
      </c>
      <c r="C66">
        <f>'By Round'!B80</f>
        <v/>
      </c>
      <c r="D66">
        <f>'By Round'!C80</f>
        <v/>
      </c>
      <c r="E66">
        <f>'By Round'!D80</f>
        <v/>
      </c>
      <c r="F66" s="10" t="inlineStr">
        <is>
          <t>Both</t>
        </is>
      </c>
      <c r="G66">
        <f>'By Round'!G80</f>
        <v/>
      </c>
      <c r="H66">
        <f>'By Round'!H80</f>
        <v/>
      </c>
      <c r="I66">
        <f>'By Round'!I80</f>
        <v/>
      </c>
      <c r="J66">
        <f>'By Round'!J80</f>
        <v/>
      </c>
      <c r="K66">
        <f>'By Round'!K80</f>
        <v/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Round'!A82</f>
        <v/>
      </c>
      <c r="C67">
        <f>'By Round'!B88</f>
        <v/>
      </c>
      <c r="D67">
        <f>'By Round'!C88</f>
        <v/>
      </c>
      <c r="E67">
        <f>'By Round'!D88</f>
        <v/>
      </c>
      <c r="F67" s="10" t="inlineStr">
        <is>
          <t>Both</t>
        </is>
      </c>
      <c r="G67">
        <f>'By Round'!G88</f>
        <v/>
      </c>
      <c r="H67">
        <f>'By Round'!H88</f>
        <v/>
      </c>
      <c r="I67">
        <f>'By Round'!I88</f>
        <v/>
      </c>
      <c r="J67">
        <f>'By Round'!J88</f>
        <v/>
      </c>
      <c r="K67">
        <f>'By Round'!K88</f>
        <v/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Round'!A42</f>
        <v/>
      </c>
      <c r="C68">
        <f>'By Round'!B46</f>
        <v/>
      </c>
      <c r="D68">
        <f>'By Round'!C46</f>
        <v/>
      </c>
      <c r="E68">
        <f>'By Round'!D46</f>
        <v/>
      </c>
      <c r="F68" s="10" t="inlineStr">
        <is>
          <t>None</t>
        </is>
      </c>
      <c r="G68">
        <f>'By Round'!G47</f>
        <v/>
      </c>
      <c r="H68">
        <f>'By Round'!H47</f>
        <v/>
      </c>
      <c r="I68">
        <f>'By Round'!I47</f>
        <v/>
      </c>
      <c r="J68">
        <f>'By Round'!J47</f>
        <v/>
      </c>
      <c r="K68">
        <f>'By Round'!K47</f>
        <v/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Round'!A52</f>
        <v/>
      </c>
      <c r="C69">
        <f>'By Round'!B54</f>
        <v/>
      </c>
      <c r="D69">
        <f>'By Round'!C54</f>
        <v/>
      </c>
      <c r="E69">
        <f>'By Round'!D54</f>
        <v/>
      </c>
      <c r="F69" s="10" t="inlineStr">
        <is>
          <t>None</t>
        </is>
      </c>
      <c r="G69">
        <f>'By Round'!G55</f>
        <v/>
      </c>
      <c r="H69">
        <f>'By Round'!H55</f>
        <v/>
      </c>
      <c r="I69">
        <f>'By Round'!I55</f>
        <v/>
      </c>
      <c r="J69">
        <f>'By Round'!J55</f>
        <v/>
      </c>
      <c r="K69">
        <f>'By Round'!K55</f>
        <v/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Round'!A62</f>
        <v/>
      </c>
      <c r="C70">
        <f>'By Round'!B62</f>
        <v/>
      </c>
      <c r="D70">
        <f>'By Round'!C62</f>
        <v/>
      </c>
      <c r="E70">
        <f>'By Round'!D62</f>
        <v/>
      </c>
      <c r="F70" s="10" t="inlineStr">
        <is>
          <t>None</t>
        </is>
      </c>
      <c r="G70">
        <f>'By Round'!G63</f>
        <v/>
      </c>
      <c r="H70">
        <f>'By Round'!H63</f>
        <v/>
      </c>
      <c r="I70">
        <f>'By Round'!I63</f>
        <v/>
      </c>
      <c r="J70">
        <f>'By Round'!J63</f>
        <v/>
      </c>
      <c r="K70">
        <f>'By Round'!K63</f>
        <v/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Round'!A72</f>
        <v/>
      </c>
      <c r="C71">
        <f>'By Round'!B80</f>
        <v/>
      </c>
      <c r="D71">
        <f>'By Round'!C80</f>
        <v/>
      </c>
      <c r="E71">
        <f>'By Round'!D80</f>
        <v/>
      </c>
      <c r="F71" s="10" t="inlineStr">
        <is>
          <t>None</t>
        </is>
      </c>
      <c r="G71">
        <f>'By Round'!G81</f>
        <v/>
      </c>
      <c r="H71">
        <f>'By Round'!H81</f>
        <v/>
      </c>
      <c r="I71">
        <f>'By Round'!I81</f>
        <v/>
      </c>
      <c r="J71">
        <f>'By Round'!J81</f>
        <v/>
      </c>
      <c r="K71">
        <f>'By Round'!K81</f>
        <v/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Round'!A82</f>
        <v/>
      </c>
      <c r="C72">
        <f>'By Round'!B88</f>
        <v/>
      </c>
      <c r="D72">
        <f>'By Round'!C88</f>
        <v/>
      </c>
      <c r="E72">
        <f>'By Round'!D88</f>
        <v/>
      </c>
      <c r="F72" s="10" t="inlineStr">
        <is>
          <t>None</t>
        </is>
      </c>
      <c r="G72">
        <f>'By Round'!G89</f>
        <v/>
      </c>
      <c r="H72">
        <f>'By Round'!H89</f>
        <v/>
      </c>
      <c r="I72">
        <f>'By Round'!I89</f>
        <v/>
      </c>
      <c r="J72">
        <f>'By Round'!J89</f>
        <v/>
      </c>
      <c r="K72">
        <f>'By Round'!K89</f>
        <v/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Round'!B8</f>
        <v/>
      </c>
      <c r="D73">
        <f>'By Round'!C8</f>
        <v/>
      </c>
      <c r="E73">
        <f>'By Round'!D8</f>
        <v/>
      </c>
      <c r="F73" s="10" t="inlineStr">
        <is>
          <t>NS</t>
        </is>
      </c>
      <c r="G73">
        <f>'By Round'!G8</f>
        <v/>
      </c>
      <c r="H73">
        <f>'By Round'!H8</f>
        <v/>
      </c>
      <c r="I73">
        <f>'By Round'!I8</f>
        <v/>
      </c>
      <c r="J73">
        <f>'By Round'!J8</f>
        <v/>
      </c>
      <c r="K73">
        <f>'By Round'!K8</f>
        <v/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Round'!A52</f>
        <v/>
      </c>
      <c r="C74">
        <f>'By Round'!B56</f>
        <v/>
      </c>
      <c r="D74">
        <f>'By Round'!C56</f>
        <v/>
      </c>
      <c r="E74">
        <f>'By Round'!D56</f>
        <v/>
      </c>
      <c r="F74" s="10" t="inlineStr">
        <is>
          <t>NS</t>
        </is>
      </c>
      <c r="G74">
        <f>'By Round'!G56</f>
        <v/>
      </c>
      <c r="H74">
        <f>'By Round'!H56</f>
        <v/>
      </c>
      <c r="I74">
        <f>'By Round'!I56</f>
        <v/>
      </c>
      <c r="J74">
        <f>'By Round'!J56</f>
        <v/>
      </c>
      <c r="K74">
        <f>'By Round'!K56</f>
        <v/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Round'!A62</f>
        <v/>
      </c>
      <c r="C75">
        <f>'By Round'!B64</f>
        <v/>
      </c>
      <c r="D75">
        <f>'By Round'!C64</f>
        <v/>
      </c>
      <c r="E75">
        <f>'By Round'!D64</f>
        <v/>
      </c>
      <c r="F75" s="10" t="inlineStr">
        <is>
          <t>NS</t>
        </is>
      </c>
      <c r="G75">
        <f>'By Round'!G64</f>
        <v/>
      </c>
      <c r="H75">
        <f>'By Round'!H64</f>
        <v/>
      </c>
      <c r="I75">
        <f>'By Round'!I64</f>
        <v/>
      </c>
      <c r="J75">
        <f>'By Round'!J64</f>
        <v/>
      </c>
      <c r="K75">
        <f>'By Round'!K64</f>
        <v/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NS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Round'!A82</f>
        <v/>
      </c>
      <c r="C77">
        <f>'By Round'!B90</f>
        <v/>
      </c>
      <c r="D77">
        <f>'By Round'!C90</f>
        <v/>
      </c>
      <c r="E77">
        <f>'By Round'!D90</f>
        <v/>
      </c>
      <c r="F77" s="10" t="inlineStr">
        <is>
          <t>NS</t>
        </is>
      </c>
      <c r="G77">
        <f>'By Round'!G90</f>
        <v/>
      </c>
      <c r="H77">
        <f>'By Round'!H90</f>
        <v/>
      </c>
      <c r="I77">
        <f>'By Round'!I90</f>
        <v/>
      </c>
      <c r="J77">
        <f>'By Round'!J90</f>
        <v/>
      </c>
      <c r="K77">
        <f>'By Round'!K90</f>
        <v/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Round'!B8</f>
        <v/>
      </c>
      <c r="D78">
        <f>'By Round'!C8</f>
        <v/>
      </c>
      <c r="E78">
        <f>'By Round'!D8</f>
        <v/>
      </c>
      <c r="F78" s="10" t="inlineStr">
        <is>
          <t>EW</t>
        </is>
      </c>
      <c r="G78">
        <f>'By Round'!G9</f>
        <v/>
      </c>
      <c r="H78">
        <f>'By Round'!H9</f>
        <v/>
      </c>
      <c r="I78">
        <f>'By Round'!I9</f>
        <v/>
      </c>
      <c r="J78">
        <f>'By Round'!J9</f>
        <v/>
      </c>
      <c r="K78">
        <f>'By Round'!K9</f>
        <v/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Round'!A52</f>
        <v/>
      </c>
      <c r="C79">
        <f>'By Round'!B56</f>
        <v/>
      </c>
      <c r="D79">
        <f>'By Round'!C56</f>
        <v/>
      </c>
      <c r="E79">
        <f>'By Round'!D56</f>
        <v/>
      </c>
      <c r="F79" s="10" t="inlineStr">
        <is>
          <t>EW</t>
        </is>
      </c>
      <c r="G79">
        <f>'By Round'!G57</f>
        <v/>
      </c>
      <c r="H79">
        <f>'By Round'!H57</f>
        <v/>
      </c>
      <c r="I79">
        <f>'By Round'!I57</f>
        <v/>
      </c>
      <c r="J79">
        <f>'By Round'!J57</f>
        <v/>
      </c>
      <c r="K79">
        <f>'By Round'!K57</f>
        <v/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Round'!A62</f>
        <v/>
      </c>
      <c r="C80">
        <f>'By Round'!B64</f>
        <v/>
      </c>
      <c r="D80">
        <f>'By Round'!C64</f>
        <v/>
      </c>
      <c r="E80">
        <f>'By Round'!D64</f>
        <v/>
      </c>
      <c r="F80" s="10" t="inlineStr">
        <is>
          <t>EW</t>
        </is>
      </c>
      <c r="G80">
        <f>'By Round'!G65</f>
        <v/>
      </c>
      <c r="H80">
        <f>'By Round'!H65</f>
        <v/>
      </c>
      <c r="I80">
        <f>'By Round'!I65</f>
        <v/>
      </c>
      <c r="J80">
        <f>'By Round'!J65</f>
        <v/>
      </c>
      <c r="K80">
        <f>'By Round'!K65</f>
        <v/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Round'!A72</f>
        <v/>
      </c>
      <c r="C81">
        <f>'By Round'!B72</f>
        <v/>
      </c>
      <c r="D81">
        <f>'By Round'!C72</f>
        <v/>
      </c>
      <c r="E81">
        <f>'By Round'!D72</f>
        <v/>
      </c>
      <c r="F81" s="10" t="inlineStr">
        <is>
          <t>EW</t>
        </is>
      </c>
      <c r="G81">
        <f>'By Round'!G73</f>
        <v/>
      </c>
      <c r="H81">
        <f>'By Round'!H73</f>
        <v/>
      </c>
      <c r="I81">
        <f>'By Round'!I73</f>
        <v/>
      </c>
      <c r="J81">
        <f>'By Round'!J73</f>
        <v/>
      </c>
      <c r="K81">
        <f>'By Round'!K73</f>
        <v/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Round'!A82</f>
        <v/>
      </c>
      <c r="C82">
        <f>'By Round'!B90</f>
        <v/>
      </c>
      <c r="D82">
        <f>'By Round'!C90</f>
        <v/>
      </c>
      <c r="E82">
        <f>'By Round'!D90</f>
        <v/>
      </c>
      <c r="F82" s="10" t="inlineStr">
        <is>
          <t>EW</t>
        </is>
      </c>
      <c r="G82">
        <f>'By Round'!G91</f>
        <v/>
      </c>
      <c r="H82">
        <f>'By Round'!H91</f>
        <v/>
      </c>
      <c r="I82">
        <f>'By Round'!I91</f>
        <v/>
      </c>
      <c r="J82">
        <f>'By Round'!J91</f>
        <v/>
      </c>
      <c r="K82">
        <f>'By Round'!K91</f>
        <v/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Round'!B10</f>
        <v/>
      </c>
      <c r="D83">
        <f>'By Round'!C10</f>
        <v/>
      </c>
      <c r="E83">
        <f>'By Round'!D10</f>
        <v/>
      </c>
      <c r="F83" s="10" t="inlineStr">
        <is>
          <t>None</t>
        </is>
      </c>
      <c r="G83">
        <f>'By Round'!G10</f>
        <v/>
      </c>
      <c r="H83">
        <f>'By Round'!H10</f>
        <v/>
      </c>
      <c r="I83">
        <f>'By Round'!I10</f>
        <v/>
      </c>
      <c r="J83">
        <f>'By Round'!J10</f>
        <v/>
      </c>
      <c r="K83">
        <f>'By Round'!K10</f>
        <v/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Round'!A12</f>
        <v/>
      </c>
      <c r="C84">
        <f>'By Round'!B18</f>
        <v/>
      </c>
      <c r="D84">
        <f>'By Round'!C18</f>
        <v/>
      </c>
      <c r="E84">
        <f>'By Round'!D18</f>
        <v/>
      </c>
      <c r="F84" s="10" t="inlineStr">
        <is>
          <t>None</t>
        </is>
      </c>
      <c r="G84">
        <f>'By Round'!G18</f>
        <v/>
      </c>
      <c r="H84">
        <f>'By Round'!H18</f>
        <v/>
      </c>
      <c r="I84">
        <f>'By Round'!I18</f>
        <v/>
      </c>
      <c r="J84">
        <f>'By Round'!J18</f>
        <v/>
      </c>
      <c r="K84">
        <f>'By Round'!K18</f>
        <v/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Round'!A62</f>
        <v/>
      </c>
      <c r="C85">
        <f>'By Round'!B66</f>
        <v/>
      </c>
      <c r="D85">
        <f>'By Round'!C66</f>
        <v/>
      </c>
      <c r="E85">
        <f>'By Round'!D66</f>
        <v/>
      </c>
      <c r="F85" s="10" t="inlineStr">
        <is>
          <t>None</t>
        </is>
      </c>
      <c r="G85">
        <f>'By Round'!G66</f>
        <v/>
      </c>
      <c r="H85">
        <f>'By Round'!H66</f>
        <v/>
      </c>
      <c r="I85">
        <f>'By Round'!I66</f>
        <v/>
      </c>
      <c r="J85">
        <f>'By Round'!J66</f>
        <v/>
      </c>
      <c r="K85">
        <f>'By Round'!K66</f>
        <v/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Round'!A72</f>
        <v/>
      </c>
      <c r="C86">
        <f>'By Round'!B74</f>
        <v/>
      </c>
      <c r="D86">
        <f>'By Round'!C74</f>
        <v/>
      </c>
      <c r="E86">
        <f>'By Round'!D74</f>
        <v/>
      </c>
      <c r="F86" s="10" t="inlineStr">
        <is>
          <t>None</t>
        </is>
      </c>
      <c r="G86">
        <f>'By Round'!G74</f>
        <v/>
      </c>
      <c r="H86">
        <f>'By Round'!H74</f>
        <v/>
      </c>
      <c r="I86">
        <f>'By Round'!I74</f>
        <v/>
      </c>
      <c r="J86">
        <f>'By Round'!J74</f>
        <v/>
      </c>
      <c r="K86">
        <f>'By Round'!K74</f>
        <v/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Round'!A82</f>
        <v/>
      </c>
      <c r="C87">
        <f>'By Round'!B82</f>
        <v/>
      </c>
      <c r="D87">
        <f>'By Round'!C82</f>
        <v/>
      </c>
      <c r="E87">
        <f>'By Round'!D82</f>
        <v/>
      </c>
      <c r="F87" s="10" t="inlineStr">
        <is>
          <t>None</t>
        </is>
      </c>
      <c r="G87">
        <f>'By Round'!G82</f>
        <v/>
      </c>
      <c r="H87">
        <f>'By Round'!H82</f>
        <v/>
      </c>
      <c r="I87">
        <f>'By Round'!I82</f>
        <v/>
      </c>
      <c r="J87">
        <f>'By Round'!J82</f>
        <v/>
      </c>
      <c r="K87">
        <f>'By Round'!K82</f>
        <v/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Round'!B10</f>
        <v/>
      </c>
      <c r="D88">
        <f>'By Round'!C10</f>
        <v/>
      </c>
      <c r="E88">
        <f>'By Round'!D10</f>
        <v/>
      </c>
      <c r="F88" s="10" t="inlineStr">
        <is>
          <t>NS</t>
        </is>
      </c>
      <c r="G88">
        <f>'By Round'!G11</f>
        <v/>
      </c>
      <c r="H88">
        <f>'By Round'!H11</f>
        <v/>
      </c>
      <c r="I88">
        <f>'By Round'!I11</f>
        <v/>
      </c>
      <c r="J88">
        <f>'By Round'!J11</f>
        <v/>
      </c>
      <c r="K88">
        <f>'By Round'!K11</f>
        <v/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Round'!A12</f>
        <v/>
      </c>
      <c r="C89">
        <f>'By Round'!B18</f>
        <v/>
      </c>
      <c r="D89">
        <f>'By Round'!C18</f>
        <v/>
      </c>
      <c r="E89">
        <f>'By Round'!D18</f>
        <v/>
      </c>
      <c r="F89" s="10" t="inlineStr">
        <is>
          <t>NS</t>
        </is>
      </c>
      <c r="G89">
        <f>'By Round'!G19</f>
        <v/>
      </c>
      <c r="H89">
        <f>'By Round'!H19</f>
        <v/>
      </c>
      <c r="I89">
        <f>'By Round'!I19</f>
        <v/>
      </c>
      <c r="J89">
        <f>'By Round'!J19</f>
        <v/>
      </c>
      <c r="K89">
        <f>'By Round'!K19</f>
        <v/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Round'!A62</f>
        <v/>
      </c>
      <c r="C90">
        <f>'By Round'!B66</f>
        <v/>
      </c>
      <c r="D90">
        <f>'By Round'!C66</f>
        <v/>
      </c>
      <c r="E90">
        <f>'By Round'!D66</f>
        <v/>
      </c>
      <c r="F90" s="10" t="inlineStr">
        <is>
          <t>NS</t>
        </is>
      </c>
      <c r="G90">
        <f>'By Round'!G67</f>
        <v/>
      </c>
      <c r="H90">
        <f>'By Round'!H67</f>
        <v/>
      </c>
      <c r="I90">
        <f>'By Round'!I67</f>
        <v/>
      </c>
      <c r="J90">
        <f>'By Round'!J67</f>
        <v/>
      </c>
      <c r="K90">
        <f>'By Round'!K67</f>
        <v/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Round'!A72</f>
        <v/>
      </c>
      <c r="C91">
        <f>'By Round'!B74</f>
        <v/>
      </c>
      <c r="D91">
        <f>'By Round'!C74</f>
        <v/>
      </c>
      <c r="E91">
        <f>'By Round'!D74</f>
        <v/>
      </c>
      <c r="F91" s="10" t="inlineStr">
        <is>
          <t>NS</t>
        </is>
      </c>
      <c r="G91">
        <f>'By Round'!G75</f>
        <v/>
      </c>
      <c r="H91">
        <f>'By Round'!H75</f>
        <v/>
      </c>
      <c r="I91">
        <f>'By Round'!I75</f>
        <v/>
      </c>
      <c r="J91">
        <f>'By Round'!J75</f>
        <v/>
      </c>
      <c r="K91">
        <f>'By Round'!K75</f>
        <v/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Round'!A82</f>
        <v/>
      </c>
      <c r="C92">
        <f>'By Round'!B82</f>
        <v/>
      </c>
      <c r="D92">
        <f>'By Round'!C82</f>
        <v/>
      </c>
      <c r="E92">
        <f>'By Round'!D82</f>
        <v/>
      </c>
      <c r="F92" s="10" t="inlineStr">
        <is>
          <t>NS</t>
        </is>
      </c>
      <c r="G92">
        <f>'By Round'!G83</f>
        <v/>
      </c>
      <c r="H92">
        <f>'By Round'!H83</f>
        <v/>
      </c>
      <c r="I92">
        <f>'By Round'!I83</f>
        <v/>
      </c>
      <c r="J92">
        <f>'By Round'!J83</f>
        <v/>
      </c>
      <c r="K92">
        <f>'By Round'!K83</f>
        <v/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10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9</v>
      </c>
      <c r="D4" s="12" t="n">
        <v>8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6</v>
      </c>
      <c r="D6" s="12" t="n">
        <v>4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3</v>
      </c>
      <c r="D8" s="12" t="n">
        <v>7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5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A12" s="14" t="n">
        <v>2</v>
      </c>
      <c r="B12" s="14" t="n">
        <v>1</v>
      </c>
      <c r="C12" s="14" t="n">
        <v>10</v>
      </c>
      <c r="D12" s="14" t="n">
        <v>2</v>
      </c>
      <c r="E12" s="14" t="n">
        <v>3</v>
      </c>
      <c r="F12" s="15" t="inlineStr">
        <is>
          <t>EW</t>
        </is>
      </c>
      <c r="G12" s="14" t="n"/>
      <c r="H12" s="14" t="n"/>
      <c r="I12" s="14" t="n"/>
      <c r="J12" s="14" t="n"/>
      <c r="K12" s="14" t="n"/>
    </row>
    <row r="13">
      <c r="E13" t="n">
        <v>4</v>
      </c>
      <c r="F13" s="10" t="inlineStr">
        <is>
          <t>Both</t>
        </is>
      </c>
    </row>
    <row r="14">
      <c r="B14" s="12" t="n">
        <v>2</v>
      </c>
      <c r="C14" s="12" t="n">
        <v>1</v>
      </c>
      <c r="D14" s="12" t="n">
        <v>9</v>
      </c>
      <c r="E14" s="12" t="n">
        <v>5</v>
      </c>
      <c r="F14" s="13" t="inlineStr">
        <is>
          <t>None</t>
        </is>
      </c>
      <c r="G14" s="12" t="n"/>
      <c r="H14" s="12" t="n"/>
      <c r="I14" s="12" t="n"/>
      <c r="J14" s="12" t="n"/>
      <c r="K14" s="12" t="n"/>
    </row>
    <row r="15">
      <c r="E15" t="n">
        <v>6</v>
      </c>
      <c r="F15" s="10" t="inlineStr">
        <is>
          <t>NS</t>
        </is>
      </c>
    </row>
    <row r="16">
      <c r="B16" s="12" t="n">
        <v>3</v>
      </c>
      <c r="C16" s="12" t="n">
        <v>7</v>
      </c>
      <c r="D16" s="12" t="n">
        <v>5</v>
      </c>
      <c r="E16" s="12" t="n">
        <v>7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8</v>
      </c>
      <c r="F17" s="10" t="inlineStr">
        <is>
          <t>Both</t>
        </is>
      </c>
    </row>
    <row r="18">
      <c r="B18" s="12" t="n">
        <v>4</v>
      </c>
      <c r="C18" s="12" t="n">
        <v>4</v>
      </c>
      <c r="D18" s="12" t="n">
        <v>8</v>
      </c>
      <c r="E18" s="12" t="n">
        <v>17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18</v>
      </c>
      <c r="F19" s="10" t="inlineStr">
        <is>
          <t>NS</t>
        </is>
      </c>
    </row>
    <row r="20">
      <c r="B20" s="12" t="n">
        <v>5</v>
      </c>
      <c r="C20" s="12" t="n">
        <v>6</v>
      </c>
      <c r="D20" s="12" t="n">
        <v>3</v>
      </c>
      <c r="E20" s="12" t="n">
        <v>1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2</v>
      </c>
      <c r="F21" s="10" t="inlineStr">
        <is>
          <t>NS</t>
        </is>
      </c>
    </row>
    <row r="22">
      <c r="A22" s="14" t="n">
        <v>3</v>
      </c>
      <c r="B22" s="14" t="n">
        <v>1</v>
      </c>
      <c r="C22" s="14" t="n">
        <v>10</v>
      </c>
      <c r="D22" s="14" t="n">
        <v>3</v>
      </c>
      <c r="E22" s="14" t="n">
        <v>5</v>
      </c>
      <c r="F22" s="15" t="inlineStr">
        <is>
          <t>None</t>
        </is>
      </c>
      <c r="G22" s="14" t="n"/>
      <c r="H22" s="14" t="n"/>
      <c r="I22" s="14" t="n"/>
      <c r="J22" s="14" t="n"/>
      <c r="K22" s="14" t="n"/>
    </row>
    <row r="23">
      <c r="E23" t="n">
        <v>6</v>
      </c>
      <c r="F23" s="10" t="inlineStr">
        <is>
          <t>NS</t>
        </is>
      </c>
    </row>
    <row r="24">
      <c r="B24" s="12" t="n">
        <v>2</v>
      </c>
      <c r="C24" s="12" t="n">
        <v>2</v>
      </c>
      <c r="D24" s="12" t="n">
        <v>1</v>
      </c>
      <c r="E24" s="12" t="n">
        <v>7</v>
      </c>
      <c r="F24" s="13" t="inlineStr">
        <is>
          <t>EW</t>
        </is>
      </c>
      <c r="G24" s="12" t="n"/>
      <c r="H24" s="12" t="n"/>
      <c r="I24" s="12" t="n"/>
      <c r="J24" s="12" t="n"/>
      <c r="K24" s="12" t="n"/>
    </row>
    <row r="25">
      <c r="E25" t="n">
        <v>8</v>
      </c>
      <c r="F25" s="10" t="inlineStr">
        <is>
          <t>Both</t>
        </is>
      </c>
    </row>
    <row r="26">
      <c r="B26" s="12" t="n">
        <v>3</v>
      </c>
      <c r="C26" s="12" t="n">
        <v>8</v>
      </c>
      <c r="D26" s="12" t="n">
        <v>6</v>
      </c>
      <c r="E26" s="12" t="n">
        <v>9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10</v>
      </c>
      <c r="F27" s="10" t="inlineStr">
        <is>
          <t>NS</t>
        </is>
      </c>
    </row>
    <row r="28">
      <c r="B28" s="12" t="n">
        <v>4</v>
      </c>
      <c r="C28" s="12" t="n">
        <v>5</v>
      </c>
      <c r="D28" s="12" t="n">
        <v>9</v>
      </c>
      <c r="E28" s="12" t="n">
        <v>1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</v>
      </c>
      <c r="F29" s="10" t="inlineStr">
        <is>
          <t>NS</t>
        </is>
      </c>
    </row>
    <row r="30">
      <c r="B30" s="12" t="n">
        <v>5</v>
      </c>
      <c r="C30" s="12" t="n">
        <v>7</v>
      </c>
      <c r="D30" s="12" t="n">
        <v>4</v>
      </c>
      <c r="E30" s="12" t="n">
        <v>3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4</v>
      </c>
      <c r="F31" s="10" t="inlineStr">
        <is>
          <t>Both</t>
        </is>
      </c>
    </row>
    <row r="32">
      <c r="A32" s="14" t="n">
        <v>4</v>
      </c>
      <c r="B32" s="14" t="n">
        <v>1</v>
      </c>
      <c r="C32" s="14" t="n">
        <v>10</v>
      </c>
      <c r="D32" s="14" t="n">
        <v>4</v>
      </c>
      <c r="E32" s="14" t="n">
        <v>7</v>
      </c>
      <c r="F32" s="15" t="inlineStr">
        <is>
          <t>EW</t>
        </is>
      </c>
      <c r="G32" s="14" t="n"/>
      <c r="H32" s="14" t="n"/>
      <c r="I32" s="14" t="n"/>
      <c r="J32" s="14" t="n"/>
      <c r="K32" s="14" t="n"/>
    </row>
    <row r="33">
      <c r="E33" t="n">
        <v>8</v>
      </c>
      <c r="F33" s="10" t="inlineStr">
        <is>
          <t>Both</t>
        </is>
      </c>
    </row>
    <row r="34">
      <c r="B34" s="12" t="n">
        <v>2</v>
      </c>
      <c r="C34" s="12" t="n">
        <v>3</v>
      </c>
      <c r="D34" s="12" t="n">
        <v>2</v>
      </c>
      <c r="E34" s="12" t="n">
        <v>9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10</v>
      </c>
      <c r="F35" s="10" t="inlineStr">
        <is>
          <t>NS</t>
        </is>
      </c>
    </row>
    <row r="36">
      <c r="B36" s="12" t="n">
        <v>3</v>
      </c>
      <c r="C36" s="12" t="n">
        <v>9</v>
      </c>
      <c r="D36" s="12" t="n">
        <v>7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4</v>
      </c>
      <c r="C38" s="12" t="n">
        <v>6</v>
      </c>
      <c r="D38" s="12" t="n">
        <v>1</v>
      </c>
      <c r="E38" s="12" t="n">
        <v>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4</v>
      </c>
      <c r="F39" s="10" t="inlineStr">
        <is>
          <t>Both</t>
        </is>
      </c>
    </row>
    <row r="40">
      <c r="B40" s="12" t="n">
        <v>5</v>
      </c>
      <c r="C40" s="12" t="n">
        <v>8</v>
      </c>
      <c r="D40" s="12" t="n">
        <v>5</v>
      </c>
      <c r="E40" s="12" t="n">
        <v>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6</v>
      </c>
      <c r="F41" s="10" t="inlineStr">
        <is>
          <t>NS</t>
        </is>
      </c>
    </row>
    <row r="42">
      <c r="A42" s="14" t="n">
        <v>5</v>
      </c>
      <c r="B42" s="14" t="n">
        <v>1</v>
      </c>
      <c r="C42" s="14" t="n">
        <v>10</v>
      </c>
      <c r="D42" s="14" t="n">
        <v>5</v>
      </c>
      <c r="E42" s="14" t="n">
        <v>9</v>
      </c>
      <c r="F42" s="15" t="inlineStr">
        <is>
          <t>None</t>
        </is>
      </c>
      <c r="G42" s="14" t="n"/>
      <c r="H42" s="14" t="n"/>
      <c r="I42" s="14" t="n"/>
      <c r="J42" s="14" t="n"/>
      <c r="K42" s="14" t="n"/>
    </row>
    <row r="43">
      <c r="E43" t="n">
        <v>10</v>
      </c>
      <c r="F43" s="10" t="inlineStr">
        <is>
          <t>NS</t>
        </is>
      </c>
    </row>
    <row r="44">
      <c r="B44" s="12" t="n">
        <v>2</v>
      </c>
      <c r="C44" s="12" t="n">
        <v>4</v>
      </c>
      <c r="D44" s="12" t="n">
        <v>3</v>
      </c>
      <c r="E44" s="12" t="n">
        <v>11</v>
      </c>
      <c r="F44" s="13" t="inlineStr">
        <is>
          <t>EW</t>
        </is>
      </c>
      <c r="G44" s="12" t="n"/>
      <c r="H44" s="12" t="n"/>
      <c r="I44" s="12" t="n"/>
      <c r="J44" s="12" t="n"/>
      <c r="K44" s="12" t="n"/>
    </row>
    <row r="45">
      <c r="E45" t="n">
        <v>12</v>
      </c>
      <c r="F45" s="10" t="inlineStr">
        <is>
          <t>Both</t>
        </is>
      </c>
    </row>
    <row r="46">
      <c r="B46" s="12" t="n">
        <v>3</v>
      </c>
      <c r="C46" s="12" t="n">
        <v>1</v>
      </c>
      <c r="D46" s="12" t="n">
        <v>8</v>
      </c>
      <c r="E46" s="12" t="n">
        <v>13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14</v>
      </c>
      <c r="F47" s="10" t="inlineStr">
        <is>
          <t>NS</t>
        </is>
      </c>
    </row>
    <row r="48">
      <c r="B48" s="12" t="n">
        <v>4</v>
      </c>
      <c r="C48" s="12" t="n">
        <v>7</v>
      </c>
      <c r="D48" s="12" t="n">
        <v>2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B50" s="12" t="n">
        <v>5</v>
      </c>
      <c r="C50" s="12" t="n">
        <v>9</v>
      </c>
      <c r="D50" s="12" t="n">
        <v>6</v>
      </c>
      <c r="E50" s="12" t="n">
        <v>7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8</v>
      </c>
      <c r="F51" s="10" t="inlineStr">
        <is>
          <t>Both</t>
        </is>
      </c>
    </row>
    <row r="52">
      <c r="A52" s="14" t="n">
        <v>6</v>
      </c>
      <c r="B52" s="14" t="n">
        <v>1</v>
      </c>
      <c r="C52" s="14" t="n">
        <v>10</v>
      </c>
      <c r="D52" s="14" t="n">
        <v>6</v>
      </c>
      <c r="E52" s="14" t="n">
        <v>11</v>
      </c>
      <c r="F52" s="15" t="inlineStr">
        <is>
          <t>EW</t>
        </is>
      </c>
      <c r="G52" s="14" t="n"/>
      <c r="H52" s="14" t="n"/>
      <c r="I52" s="14" t="n"/>
      <c r="J52" s="14" t="n"/>
      <c r="K52" s="14" t="n"/>
    </row>
    <row r="53">
      <c r="E53" t="n">
        <v>12</v>
      </c>
      <c r="F53" s="10" t="inlineStr">
        <is>
          <t>Both</t>
        </is>
      </c>
    </row>
    <row r="54">
      <c r="B54" s="12" t="n">
        <v>2</v>
      </c>
      <c r="C54" s="12" t="n">
        <v>5</v>
      </c>
      <c r="D54" s="12" t="n">
        <v>4</v>
      </c>
      <c r="E54" s="12" t="n">
        <v>13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14</v>
      </c>
      <c r="F55" s="10" t="inlineStr">
        <is>
          <t>NS</t>
        </is>
      </c>
    </row>
    <row r="56">
      <c r="B56" s="12" t="n">
        <v>3</v>
      </c>
      <c r="C56" s="12" t="n">
        <v>2</v>
      </c>
      <c r="D56" s="12" t="n">
        <v>9</v>
      </c>
      <c r="E56" s="12" t="n">
        <v>15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16</v>
      </c>
      <c r="F57" s="10" t="inlineStr">
        <is>
          <t>Both</t>
        </is>
      </c>
    </row>
    <row r="58">
      <c r="B58" s="12" t="n">
        <v>4</v>
      </c>
      <c r="C58" s="12" t="n">
        <v>8</v>
      </c>
      <c r="D58" s="12" t="n">
        <v>3</v>
      </c>
      <c r="E58" s="12" t="n">
        <v>7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8</v>
      </c>
      <c r="F59" s="10" t="inlineStr">
        <is>
          <t>Both</t>
        </is>
      </c>
    </row>
    <row r="60">
      <c r="B60" s="12" t="n">
        <v>5</v>
      </c>
      <c r="C60" s="12" t="n">
        <v>1</v>
      </c>
      <c r="D60" s="12" t="n">
        <v>7</v>
      </c>
      <c r="E60" s="12" t="n">
        <v>9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10</v>
      </c>
      <c r="F61" s="10" t="inlineStr">
        <is>
          <t>NS</t>
        </is>
      </c>
    </row>
    <row r="62">
      <c r="A62" s="14" t="n">
        <v>7</v>
      </c>
      <c r="B62" s="14" t="n">
        <v>1</v>
      </c>
      <c r="C62" s="14" t="n">
        <v>10</v>
      </c>
      <c r="D62" s="14" t="n">
        <v>7</v>
      </c>
      <c r="E62" s="14" t="n">
        <v>13</v>
      </c>
      <c r="F62" s="15" t="inlineStr">
        <is>
          <t>None</t>
        </is>
      </c>
      <c r="G62" s="14" t="n"/>
      <c r="H62" s="14" t="n"/>
      <c r="I62" s="14" t="n"/>
      <c r="J62" s="14" t="n"/>
      <c r="K62" s="14" t="n"/>
    </row>
    <row r="63">
      <c r="E63" t="n">
        <v>14</v>
      </c>
      <c r="F63" s="10" t="inlineStr">
        <is>
          <t>NS</t>
        </is>
      </c>
    </row>
    <row r="64">
      <c r="B64" s="12" t="n">
        <v>2</v>
      </c>
      <c r="C64" s="12" t="n">
        <v>6</v>
      </c>
      <c r="D64" s="12" t="n">
        <v>5</v>
      </c>
      <c r="E64" s="12" t="n">
        <v>15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16</v>
      </c>
      <c r="F65" s="10" t="inlineStr">
        <is>
          <t>Both</t>
        </is>
      </c>
    </row>
    <row r="66">
      <c r="B66" s="12" t="n">
        <v>3</v>
      </c>
      <c r="C66" s="12" t="n">
        <v>3</v>
      </c>
      <c r="D66" s="12" t="n">
        <v>1</v>
      </c>
      <c r="E66" s="12" t="n">
        <v>17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18</v>
      </c>
      <c r="F67" s="10" t="inlineStr">
        <is>
          <t>NS</t>
        </is>
      </c>
    </row>
    <row r="68">
      <c r="B68" s="12" t="n">
        <v>4</v>
      </c>
      <c r="C68" s="12" t="n">
        <v>9</v>
      </c>
      <c r="D68" s="12" t="n">
        <v>4</v>
      </c>
      <c r="E68" s="12" t="n">
        <v>9</v>
      </c>
      <c r="F68" s="13" t="inlineStr">
        <is>
          <t>None</t>
        </is>
      </c>
      <c r="G68" s="12" t="n"/>
      <c r="H68" s="12" t="n"/>
      <c r="I68" s="12" t="n"/>
      <c r="J68" s="12" t="n"/>
      <c r="K68" s="12" t="n"/>
    </row>
    <row r="69">
      <c r="E69" t="n">
        <v>10</v>
      </c>
      <c r="F69" s="10" t="inlineStr">
        <is>
          <t>NS</t>
        </is>
      </c>
    </row>
    <row r="70">
      <c r="B70" s="12" t="n">
        <v>5</v>
      </c>
      <c r="C70" s="12" t="n">
        <v>2</v>
      </c>
      <c r="D70" s="12" t="n">
        <v>8</v>
      </c>
      <c r="E70" s="12" t="n">
        <v>11</v>
      </c>
      <c r="F70" s="13" t="inlineStr">
        <is>
          <t>EW</t>
        </is>
      </c>
      <c r="G70" s="12" t="n"/>
      <c r="H70" s="12" t="n"/>
      <c r="I70" s="12" t="n"/>
      <c r="J70" s="12" t="n"/>
      <c r="K70" s="12" t="n"/>
    </row>
    <row r="71">
      <c r="E71" t="n">
        <v>12</v>
      </c>
      <c r="F71" s="10" t="inlineStr">
        <is>
          <t>Both</t>
        </is>
      </c>
    </row>
    <row r="72">
      <c r="A72" s="14" t="n">
        <v>8</v>
      </c>
      <c r="B72" s="14" t="n">
        <v>1</v>
      </c>
      <c r="C72" s="14" t="n">
        <v>10</v>
      </c>
      <c r="D72" s="14" t="n">
        <v>8</v>
      </c>
      <c r="E72" s="14" t="n">
        <v>15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16</v>
      </c>
      <c r="F73" s="10" t="inlineStr">
        <is>
          <t>Both</t>
        </is>
      </c>
    </row>
    <row r="74">
      <c r="B74" s="12" t="n">
        <v>2</v>
      </c>
      <c r="C74" s="12" t="n">
        <v>7</v>
      </c>
      <c r="D74" s="12" t="n">
        <v>6</v>
      </c>
      <c r="E74" s="12" t="n">
        <v>17</v>
      </c>
      <c r="F74" s="13" t="inlineStr">
        <is>
          <t>None</t>
        </is>
      </c>
      <c r="G74" s="12" t="n"/>
      <c r="H74" s="12" t="n"/>
      <c r="I74" s="12" t="n"/>
      <c r="J74" s="12" t="n"/>
      <c r="K74" s="12" t="n"/>
    </row>
    <row r="75">
      <c r="E75" t="n">
        <v>18</v>
      </c>
      <c r="F75" s="10" t="inlineStr">
        <is>
          <t>NS</t>
        </is>
      </c>
    </row>
    <row r="76">
      <c r="B76" s="12" t="n">
        <v>3</v>
      </c>
      <c r="C76" s="12" t="n">
        <v>4</v>
      </c>
      <c r="D76" s="12" t="n">
        <v>2</v>
      </c>
      <c r="E76" s="12" t="n">
        <v>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5</v>
      </c>
      <c r="E78" s="12" t="n">
        <v>11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12</v>
      </c>
      <c r="F79" s="10" t="inlineStr">
        <is>
          <t>Both</t>
        </is>
      </c>
    </row>
    <row r="80">
      <c r="B80" s="12" t="n">
        <v>5</v>
      </c>
      <c r="C80" s="12" t="n">
        <v>3</v>
      </c>
      <c r="D80" s="12" t="n">
        <v>9</v>
      </c>
      <c r="E80" s="12" t="n">
        <v>13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14</v>
      </c>
      <c r="F81" s="10" t="inlineStr">
        <is>
          <t>NS</t>
        </is>
      </c>
    </row>
    <row r="82">
      <c r="A82" s="14" t="n">
        <v>9</v>
      </c>
      <c r="B82" s="14" t="n">
        <v>1</v>
      </c>
      <c r="C82" s="14" t="n">
        <v>10</v>
      </c>
      <c r="D82" s="14" t="n">
        <v>9</v>
      </c>
      <c r="E82" s="14" t="n">
        <v>17</v>
      </c>
      <c r="F82" s="15" t="inlineStr">
        <is>
          <t>None</t>
        </is>
      </c>
      <c r="G82" s="14" t="n"/>
      <c r="H82" s="14" t="n"/>
      <c r="I82" s="14" t="n"/>
      <c r="J82" s="14" t="n"/>
      <c r="K82" s="14" t="n"/>
    </row>
    <row r="83">
      <c r="E83" t="n">
        <v>18</v>
      </c>
      <c r="F83" s="10" t="inlineStr">
        <is>
          <t>NS</t>
        </is>
      </c>
    </row>
    <row r="84">
      <c r="B84" s="12" t="n">
        <v>2</v>
      </c>
      <c r="C84" s="12" t="n">
        <v>8</v>
      </c>
      <c r="D84" s="12" t="n">
        <v>7</v>
      </c>
      <c r="E84" s="12" t="n">
        <v>1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2</v>
      </c>
      <c r="F85" s="10" t="inlineStr">
        <is>
          <t>NS</t>
        </is>
      </c>
    </row>
    <row r="86">
      <c r="B86" s="12" t="n">
        <v>3</v>
      </c>
      <c r="C86" s="12" t="n">
        <v>5</v>
      </c>
      <c r="D86" s="12" t="n">
        <v>3</v>
      </c>
      <c r="E86" s="12" t="n">
        <v>3</v>
      </c>
      <c r="F86" s="13" t="inlineStr">
        <is>
          <t>EW</t>
        </is>
      </c>
      <c r="G86" s="12" t="n"/>
      <c r="H86" s="12" t="n"/>
      <c r="I86" s="12" t="n"/>
      <c r="J86" s="12" t="n"/>
      <c r="K86" s="12" t="n"/>
    </row>
    <row r="87">
      <c r="E87" t="n">
        <v>4</v>
      </c>
      <c r="F87" s="10" t="inlineStr">
        <is>
          <t>Both</t>
        </is>
      </c>
    </row>
    <row r="88">
      <c r="B88" s="12" t="n">
        <v>4</v>
      </c>
      <c r="C88" s="12" t="n">
        <v>2</v>
      </c>
      <c r="D88" s="12" t="n">
        <v>6</v>
      </c>
      <c r="E88" s="12" t="n">
        <v>13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14</v>
      </c>
      <c r="F89" s="10" t="inlineStr">
        <is>
          <t>NS</t>
        </is>
      </c>
    </row>
    <row r="90">
      <c r="B90" s="12" t="n">
        <v>5</v>
      </c>
      <c r="C90" s="12" t="n">
        <v>4</v>
      </c>
      <c r="D90" s="12" t="n">
        <v>1</v>
      </c>
      <c r="E90" s="12" t="n">
        <v>15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16</v>
      </c>
      <c r="F91" s="10" t="inlineStr">
        <is>
          <t>Both</t>
        </is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2026-01-14T21:33:00Z</dcterms:created>
  <dcterms:modified xsi:type="dcterms:W3CDTF">2026-01-14T21:33:00Z</dcterms:modified>
</cp:coreProperties>
</file>