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11,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40</t>
        </is>
      </c>
      <c r="C10" t="inlineStr">
        <is>
          <t>Name 60</t>
        </is>
      </c>
      <c r="D10" s="4">
        <f>SUMIF('By Board'!$D$3:$D$92,"=1",'By Board'!$N$3:$N$92)/18+SUMIF('By Board'!$E$3:$E$92,"=1",'By Board'!$O$3:$O$92)/18</f>
        <v/>
      </c>
      <c r="E10" s="5">
        <f>SUMIF('By Board'!$D$3:$D$92,"=1",'By Board'!$L$3:$L$92)+SUMIF('By Board'!$E$3:$E$92,"=1",'By Board'!$M$3:$M$92)</f>
        <v/>
      </c>
    </row>
    <row r="11">
      <c r="A11" s="2" t="n">
        <v>2</v>
      </c>
      <c r="B11" t="inlineStr">
        <is>
          <t>Name 22</t>
        </is>
      </c>
      <c r="C11" t="inlineStr">
        <is>
          <t>Name 76</t>
        </is>
      </c>
      <c r="D11" s="4">
        <f>SUMIF('By Board'!$D$3:$D$92,"=2",'By Board'!$N$3:$N$92)/18+SUMIF('By Board'!$E$3:$E$92,"=2",'By Board'!$O$3:$O$92)/18</f>
        <v/>
      </c>
      <c r="E11" s="5">
        <f>SUMIF('By Board'!$D$3:$D$92,"=2",'By Board'!$L$3:$L$92)+SUMIF('By Board'!$E$3:$E$92,"=2",'By Board'!$M$3:$M$92)</f>
        <v/>
      </c>
    </row>
    <row r="12">
      <c r="A12" s="2" t="n">
        <v>3</v>
      </c>
      <c r="B12" t="inlineStr">
        <is>
          <t>Name 54</t>
        </is>
      </c>
      <c r="C12" t="inlineStr">
        <is>
          <t>Name 12</t>
        </is>
      </c>
      <c r="D12" s="4">
        <f>SUMIF('By Board'!$D$3:$D$92,"=3",'By Board'!$N$3:$N$92)/18+SUMIF('By Board'!$E$3:$E$92,"=3",'By Board'!$O$3:$O$92)/18</f>
        <v/>
      </c>
      <c r="E12" s="5">
        <f>SUMIF('By Board'!$D$3:$D$92,"=3",'By Board'!$L$3:$L$92)+SUMIF('By Board'!$E$3:$E$92,"=3",'By Board'!$M$3:$M$92)</f>
        <v/>
      </c>
    </row>
    <row r="13">
      <c r="A13" s="2" t="n">
        <v>4</v>
      </c>
      <c r="B13" t="inlineStr">
        <is>
          <t>Name 82</t>
        </is>
      </c>
      <c r="C13" t="inlineStr">
        <is>
          <t>Name 57</t>
        </is>
      </c>
      <c r="D13" s="4">
        <f>SUMIF('By Board'!$D$3:$D$92,"=4",'By Board'!$N$3:$N$92)/18+SUMIF('By Board'!$E$3:$E$92,"=4",'By Board'!$O$3:$O$92)/18</f>
        <v/>
      </c>
      <c r="E13" s="5">
        <f>SUMIF('By Board'!$D$3:$D$92,"=4",'By Board'!$L$3:$L$92)+SUMIF('By Board'!$E$3:$E$92,"=4",'By Board'!$M$3:$M$92)</f>
        <v/>
      </c>
    </row>
    <row r="14">
      <c r="A14" s="2" t="n">
        <v>5</v>
      </c>
      <c r="B14" t="inlineStr">
        <is>
          <t>Name 89</t>
        </is>
      </c>
      <c r="C14" t="inlineStr">
        <is>
          <t>Name 85</t>
        </is>
      </c>
      <c r="D14" s="4">
        <f>SUMIF('By Board'!$D$3:$D$92,"=5",'By Board'!$N$3:$N$92)/18+SUMIF('By Board'!$E$3:$E$92,"=5",'By Board'!$O$3:$O$92)/18</f>
        <v/>
      </c>
      <c r="E14" s="5">
        <f>SUMIF('By Board'!$D$3:$D$92,"=5",'By Board'!$L$3:$L$92)+SUMIF('By Board'!$E$3:$E$92,"=5",'By Board'!$M$3:$M$92)</f>
        <v/>
      </c>
    </row>
    <row r="15">
      <c r="A15" s="2" t="n">
        <v>6</v>
      </c>
      <c r="B15" t="inlineStr">
        <is>
          <t>Name 80</t>
        </is>
      </c>
      <c r="C15" t="inlineStr">
        <is>
          <t>Name 63</t>
        </is>
      </c>
      <c r="D15" s="4">
        <f>SUMIF('By Board'!$D$3:$D$92,"=6",'By Board'!$N$3:$N$92)/18+SUMIF('By Board'!$E$3:$E$92,"=6",'By Board'!$O$3:$O$92)/18</f>
        <v/>
      </c>
      <c r="E15" s="5">
        <f>SUMIF('By Board'!$D$3:$D$92,"=6",'By Board'!$L$3:$L$92)+SUMIF('By Board'!$E$3:$E$92,"=6",'By Board'!$M$3:$M$92)</f>
        <v/>
      </c>
    </row>
    <row r="16">
      <c r="A16" s="2" t="n">
        <v>7</v>
      </c>
      <c r="B16" t="inlineStr">
        <is>
          <t>Name 62</t>
        </is>
      </c>
      <c r="C16" t="inlineStr">
        <is>
          <t>Name 45</t>
        </is>
      </c>
      <c r="D16" s="4">
        <f>SUMIF('By Board'!$D$3:$D$92,"=7",'By Board'!$N$3:$N$92)/18+SUMIF('By Board'!$E$3:$E$92,"=7",'By Board'!$O$3:$O$92)/18</f>
        <v/>
      </c>
      <c r="E16" s="5">
        <f>SUMIF('By Board'!$D$3:$D$92,"=7",'By Board'!$L$3:$L$92)+SUMIF('By Board'!$E$3:$E$92,"=7",'By Board'!$M$3:$M$92)</f>
        <v/>
      </c>
    </row>
    <row r="17">
      <c r="A17" s="2" t="n">
        <v>8</v>
      </c>
      <c r="B17" t="inlineStr">
        <is>
          <t>Name 25</t>
        </is>
      </c>
      <c r="C17" t="inlineStr">
        <is>
          <t>Name 50</t>
        </is>
      </c>
      <c r="D17" s="4">
        <f>SUMIF('By Board'!$D$3:$D$92,"=8",'By Board'!$N$3:$N$92)/18+SUMIF('By Board'!$E$3:$E$92,"=8",'By Board'!$O$3:$O$92)/18</f>
        <v/>
      </c>
      <c r="E17" s="5">
        <f>SUMIF('By Board'!$D$3:$D$92,"=8",'By Board'!$L$3:$L$92)+SUMIF('By Board'!$E$3:$E$92,"=8",'By Board'!$M$3:$M$92)</f>
        <v/>
      </c>
    </row>
    <row r="18">
      <c r="A18" s="2" t="n">
        <v>9</v>
      </c>
      <c r="B18" t="inlineStr">
        <is>
          <t>Name 53</t>
        </is>
      </c>
      <c r="C18" t="inlineStr">
        <is>
          <t>Name 60</t>
        </is>
      </c>
      <c r="D18" s="4">
        <f>SUMIF('By Board'!$D$3:$D$92,"=9",'By Board'!$N$3:$N$92)/18+SUMIF('By Board'!$E$3:$E$92,"=9",'By Board'!$O$3:$O$92)/18</f>
        <v/>
      </c>
      <c r="E18" s="5">
        <f>SUMIF('By Board'!$D$3:$D$92,"=9",'By Board'!$L$3:$L$92)+SUMIF('By Board'!$E$3:$E$92,"=9",'By Board'!$M$3:$M$92)</f>
        <v/>
      </c>
    </row>
    <row r="19">
      <c r="A19" s="2" t="n">
        <v>10</v>
      </c>
      <c r="B19" t="inlineStr">
        <is>
          <t>Name 63</t>
        </is>
      </c>
      <c r="C19" t="inlineStr">
        <is>
          <t>Name 44</t>
        </is>
      </c>
      <c r="D19" s="4">
        <f>SUMIF('By Board'!$D$3:$D$92,"=10",'By Board'!$N$3:$N$92)/18+0/18</f>
        <v/>
      </c>
      <c r="E19" s="5">
        <f>SUMIF('By Board'!$D$3:$D$92,"=10",'By Board'!$L$3:$L$92)+0</f>
        <v/>
      </c>
    </row>
    <row r="20">
      <c r="D20" s="6">
        <f>AVERAGE(D10:D19)</f>
        <v/>
      </c>
      <c r="E20" s="7">
        <f>SUM(E10:E19)</f>
        <v/>
      </c>
    </row>
    <row r="22">
      <c r="A22" t="inlineStr">
        <is>
          <t>To sort, remove single quote below</t>
        </is>
      </c>
    </row>
    <row r="23">
      <c r="A23" s="2" t="inlineStr">
        <is>
          <t>IMP Ranking</t>
        </is>
      </c>
    </row>
    <row r="24">
      <c r="A24" t="inlineStr">
        <is>
          <t>'=SORT(A10:E19,4,-1)</t>
        </is>
      </c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8">
      <c r="A38" s="2" t="inlineStr">
        <is>
          <t>MP Ranking</t>
        </is>
      </c>
    </row>
    <row r="39">
      <c r="A39" t="inlineStr">
        <is>
          <t>'=SORT(A10:E19,5,-1)</t>
        </is>
      </c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</sheetData>
  <mergeCells count="9">
    <mergeCell ref="A4:B4"/>
    <mergeCell ref="A7:B7"/>
    <mergeCell ref="A2:E2"/>
    <mergeCell ref="A38:E38"/>
    <mergeCell ref="A5:B5"/>
    <mergeCell ref="A9:C9"/>
    <mergeCell ref="A23:E23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B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X2" s="2" t="inlineStr">
        <is>
          <t>EW MP Scores</t>
        </is>
      </c>
      <c r="AB2" s="10" t="inlineStr">
        <is>
          <t>NS IMP Pair-wise</t>
        </is>
      </c>
      <c r="AF2" s="2" t="inlineStr">
        <is>
          <t>EW IMP Pair-wise</t>
        </is>
      </c>
    </row>
    <row r="3">
      <c r="A3" s="11" t="n">
        <v>1</v>
      </c>
      <c r="B3" s="11">
        <f>'By Round'!A73</f>
        <v/>
      </c>
      <c r="C3" s="11">
        <f>'By Round'!B77</f>
        <v/>
      </c>
      <c r="D3" s="11">
        <f>'By Round'!C77</f>
        <v/>
      </c>
      <c r="E3" s="11">
        <f>'By Round'!D77</f>
        <v/>
      </c>
      <c r="F3" s="11">
        <f>IF(ISBLANK('By Round'!F77),"",'By Round'!F77)</f>
        <v/>
      </c>
      <c r="G3">
        <f>IF(ISBLANK('By Round'!G77),"",'By Round'!G77)</f>
        <v/>
      </c>
      <c r="H3">
        <f>IF(ISBLANK('By Round'!H77),"",'By Round'!H77)</f>
        <v/>
      </c>
      <c r="I3">
        <f>IF(ISBLANK('By Round'!I77),"",'By Round'!I77)</f>
        <v/>
      </c>
      <c r="J3">
        <f>IF(ISBLANK('By Round'!J77),"",'By Round'!J77)</f>
        <v/>
      </c>
      <c r="K3">
        <f>IF(ISBLANK('By Round'!K77),"",'By Round'!K77)</f>
        <v/>
      </c>
      <c r="L3" s="12">
        <f>AVERAGE(AB3:AE3)</f>
        <v/>
      </c>
      <c r="M3" s="13">
        <f>AVERAGE(AF3:AI3)</f>
        <v/>
      </c>
      <c r="N3" s="8">
        <f>IF(COUNT(T3:W3)&gt;0,P3/COUNT(T3:W3),0.5)</f>
        <v/>
      </c>
      <c r="O3" s="8">
        <f>IF(COUNT(X3:AA3)&gt;0,Q3/COUNT(X3:AA3),0.5)</f>
        <v/>
      </c>
      <c r="P3" s="5">
        <f>SUM(T3:W3)</f>
        <v/>
      </c>
      <c r="Q3" s="5">
        <f>SUM(X3:AA3)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4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1">
        <f>'By Round'!A23</f>
        <v/>
      </c>
      <c r="C4" s="11">
        <f>'By Round'!B29</f>
        <v/>
      </c>
      <c r="D4" s="11">
        <f>'By Round'!C29</f>
        <v/>
      </c>
      <c r="E4" s="11">
        <f>'By Round'!D29</f>
        <v/>
      </c>
      <c r="F4" s="11">
        <f>IF(ISBLANK('By Round'!F29),"",'By Round'!F29)</f>
        <v/>
      </c>
      <c r="G4">
        <f>IF(ISBLANK('By Round'!G29),"",'By Round'!G29)</f>
        <v/>
      </c>
      <c r="H4">
        <f>IF(ISBLANK('By Round'!H29),"",'By Round'!H29)</f>
        <v/>
      </c>
      <c r="I4">
        <f>IF(ISBLANK('By Round'!I29),"",'By Round'!I29)</f>
        <v/>
      </c>
      <c r="J4">
        <f>IF(ISBLANK('By Round'!J29),"",'By Round'!J29)</f>
        <v/>
      </c>
      <c r="K4">
        <f>IF(ISBLANK('By Round'!K29),"",'By Round'!K29)</f>
        <v/>
      </c>
      <c r="L4" s="12">
        <f>AVERAGE(AB4:AE4)</f>
        <v/>
      </c>
      <c r="M4" s="13">
        <f>AVERAGE(AF4:AI4)</f>
        <v/>
      </c>
      <c r="N4" s="8">
        <f>IF(COUNT(T4:W4)&gt;0,P4/COUNT(T4:W4),0.5)</f>
        <v/>
      </c>
      <c r="O4" s="8">
        <f>IF(COUNT(X4:AA4)&gt;0,Q4/COUNT(X4:AA4),0.5)</f>
        <v/>
      </c>
      <c r="P4" s="5">
        <f>SUM(T4:W4)</f>
        <v/>
      </c>
      <c r="Q4" s="5">
        <f>SUM(X4:AA4)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4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1">
        <f>'By Round'!A13</f>
        <v/>
      </c>
      <c r="C5" s="11">
        <f>'By Round'!B21</f>
        <v/>
      </c>
      <c r="D5" s="11">
        <f>'By Round'!C21</f>
        <v/>
      </c>
      <c r="E5" s="11">
        <f>'By Round'!D21</f>
        <v/>
      </c>
      <c r="F5" s="11">
        <f>IF(ISBLANK('By Round'!F21),"",'By Round'!F21)</f>
        <v/>
      </c>
      <c r="G5">
        <f>IF(ISBLANK('By Round'!G21),"",'By Round'!G21)</f>
        <v/>
      </c>
      <c r="H5">
        <f>IF(ISBLANK('By Round'!H21),"",'By Round'!H21)</f>
        <v/>
      </c>
      <c r="I5">
        <f>IF(ISBLANK('By Round'!I21),"",'By Round'!I21)</f>
        <v/>
      </c>
      <c r="J5">
        <f>IF(ISBLANK('By Round'!J21),"",'By Round'!J21)</f>
        <v/>
      </c>
      <c r="K5">
        <f>IF(ISBLANK('By Round'!K21),"",'By Round'!K21)</f>
        <v/>
      </c>
      <c r="L5" s="12">
        <f>AVERAGE(AB5:AE5)</f>
        <v/>
      </c>
      <c r="M5" s="13">
        <f>AVERAGE(AF5:AI5)</f>
        <v/>
      </c>
      <c r="N5" s="8">
        <f>IF(COUNT(T5:W5)&gt;0,P5/COUNT(T5:W5),0.5)</f>
        <v/>
      </c>
      <c r="O5" s="8">
        <f>IF(COUNT(X5:AA5)&gt;0,Q5/COUNT(X5:AA5),0.5)</f>
        <v/>
      </c>
      <c r="P5" s="5">
        <f>SUM(T5:W5)</f>
        <v/>
      </c>
      <c r="Q5" s="5">
        <f>SUM(X5:AA5)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4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1">
        <f>'By Round'!A83</f>
        <v/>
      </c>
      <c r="C6" s="11">
        <f>'By Round'!B85</f>
        <v/>
      </c>
      <c r="D6" s="11">
        <f>'By Round'!C85</f>
        <v/>
      </c>
      <c r="E6" s="11">
        <f>'By Round'!D85</f>
        <v/>
      </c>
      <c r="F6" s="11">
        <f>IF(ISBLANK('By Round'!F85),"",'By Round'!F85)</f>
        <v/>
      </c>
      <c r="G6">
        <f>IF(ISBLANK('By Round'!G85),"",'By Round'!G85)</f>
        <v/>
      </c>
      <c r="H6">
        <f>IF(ISBLANK('By Round'!H85),"",'By Round'!H85)</f>
        <v/>
      </c>
      <c r="I6">
        <f>IF(ISBLANK('By Round'!I85),"",'By Round'!I85)</f>
        <v/>
      </c>
      <c r="J6">
        <f>IF(ISBLANK('By Round'!J85),"",'By Round'!J85)</f>
        <v/>
      </c>
      <c r="K6">
        <f>IF(ISBLANK('By Round'!K85),"",'By Round'!K85)</f>
        <v/>
      </c>
      <c r="L6" s="12">
        <f>AVERAGE(AB6:AE6)</f>
        <v/>
      </c>
      <c r="M6" s="13">
        <f>AVERAGE(AF6:AI6)</f>
        <v/>
      </c>
      <c r="N6" s="8">
        <f>IF(COUNT(T6:W6)&gt;0,P6/COUNT(T6:W6),0.5)</f>
        <v/>
      </c>
      <c r="O6" s="8">
        <f>IF(COUNT(X6:AA6)&gt;0,Q6/COUNT(X6:AA6),0.5)</f>
        <v/>
      </c>
      <c r="P6" s="5">
        <f>SUM(T6:W6)</f>
        <v/>
      </c>
      <c r="Q6" s="5">
        <f>SUM(X6:AA6)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4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15" t="n"/>
      <c r="B7" s="16">
        <f>'By Round'!A3</f>
        <v/>
      </c>
      <c r="C7" s="16">
        <f>'By Round'!B3</f>
        <v/>
      </c>
      <c r="D7" s="16">
        <f>'By Round'!C3</f>
        <v/>
      </c>
      <c r="E7" s="16">
        <f>'By Round'!D3</f>
        <v/>
      </c>
      <c r="F7" s="16">
        <f>IF(ISBLANK('By Round'!F3),"",'By Round'!F3)</f>
        <v/>
      </c>
      <c r="G7" s="15">
        <f>IF(ISBLANK('By Round'!G3),"",'By Round'!G3)</f>
        <v/>
      </c>
      <c r="H7" s="15">
        <f>IF(ISBLANK('By Round'!H3),"",'By Round'!H3)</f>
        <v/>
      </c>
      <c r="I7" s="15">
        <f>IF(ISBLANK('By Round'!I3),"",'By Round'!I3)</f>
        <v/>
      </c>
      <c r="J7" s="15">
        <f>IF(ISBLANK('By Round'!J3),"",'By Round'!J3)</f>
        <v/>
      </c>
      <c r="K7" s="15">
        <f>IF(ISBLANK('By Round'!K3),"",'By Round'!K3)</f>
        <v/>
      </c>
      <c r="L7" s="17">
        <f>AVERAGE(AB7:AE7)</f>
        <v/>
      </c>
      <c r="M7" s="18">
        <f>AVERAGE(AF7:AI7)</f>
        <v/>
      </c>
      <c r="N7" s="19">
        <f>IF(COUNT(T7:W7)&gt;0,P7/COUNT(T7:W7),0.5)</f>
        <v/>
      </c>
      <c r="O7" s="19">
        <f>IF(COUNT(X7:AA7)&gt;0,Q7/COUNT(X7:AA7),0.5)</f>
        <v/>
      </c>
      <c r="P7" s="20">
        <f>SUM(T7:W7)</f>
        <v/>
      </c>
      <c r="Q7" s="20">
        <f>SUM(X7:AA7)</f>
        <v/>
      </c>
      <c r="R7" s="21">
        <f>IF(ISNUMBER(J7),J7,IF(ISNUMBER(K7),-K7,""))</f>
        <v/>
      </c>
      <c r="S7" s="15">
        <f>IF(ISNUMBER(K7),K7,IF(ISNUMBER(J7),-J7,""))</f>
        <v/>
      </c>
      <c r="T7" s="21">
        <f>IF(ISNUMBER(R7),IF(ISNUMBER(R3),IF(R7&gt;R3,1.0,IF(R7=R3,0.5,0.0)),""),"")</f>
        <v/>
      </c>
      <c r="U7" s="15">
        <f>IF(ISNUMBER(R7),IF(ISNUMBER(R4),IF(R7&gt;R4,1.0,IF(R7=R4,0.5,0.0)),""),"")</f>
        <v/>
      </c>
      <c r="V7" s="15">
        <f>IF(ISNUMBER(R7),IF(ISNUMBER(R5),IF(R7&gt;R5,1.0,IF(R7=R5,0.5,0.0)),""),"")</f>
        <v/>
      </c>
      <c r="W7" s="15">
        <f>IF(ISNUMBER(R7),IF(ISNUMBER(R6),IF(R7&gt;R6,1.0,IF(R7=R6,0.5,0.0)),""),"")</f>
        <v/>
      </c>
      <c r="X7" s="15">
        <f>IF(ISNUMBER(S7),IF(ISNUMBER(S3),IF(S7&gt;S3,1.0,IF(S7=S3,0.5,0.0)),""),"")</f>
        <v/>
      </c>
      <c r="Y7" s="15">
        <f>IF(ISNUMBER(S7),IF(ISNUMBER(S4),IF(S7&gt;S4,1.0,IF(S7=S4,0.5,0.0)),""),"")</f>
        <v/>
      </c>
      <c r="Z7" s="15">
        <f>IF(ISNUMBER(S7),IF(ISNUMBER(S5),IF(S7&gt;S5,1.0,IF(S7=S5,0.5,0.0)),""),"")</f>
        <v/>
      </c>
      <c r="AA7" s="15">
        <f>IF(ISNUMBER(S7),IF(ISNUMBER(S6),IF(S7&gt;S6,1.0,IF(S7=S6,0.5,0.0)),""),"")</f>
        <v/>
      </c>
      <c r="AB7" s="21">
        <f>IF(AND(ISNUMBER(R7),ISNUMBER(R3)),VLOOKUP(ABS(R7-R3),'IMP Table'!$A$2:$C$26,3)*SIGN(R7-R3),0)</f>
        <v/>
      </c>
      <c r="AC7" s="15">
        <f>IF(AND(ISNUMBER(R7),ISNUMBER(R4)),VLOOKUP(ABS(R7-R4),'IMP Table'!$A$2:$C$26,3)*SIGN(R7-R4),0)</f>
        <v/>
      </c>
      <c r="AD7" s="15">
        <f>IF(AND(ISNUMBER(R7),ISNUMBER(R5)),VLOOKUP(ABS(R7-R5),'IMP Table'!$A$2:$C$26,3)*SIGN(R7-R5),0)</f>
        <v/>
      </c>
      <c r="AE7" s="15">
        <f>IF(AND(ISNUMBER(R7),ISNUMBER(R6)),VLOOKUP(ABS(R7-R6),'IMP Table'!$A$2:$C$26,3)*SIGN(R7-R6),0)</f>
        <v/>
      </c>
      <c r="AF7" s="15">
        <f>IF(AND(ISNUMBER(S7),ISNUMBER(S3)),VLOOKUP(ABS(S7-S3),'IMP Table'!$A$2:$C$26,3)*SIGN(S7-S3),0)</f>
        <v/>
      </c>
      <c r="AG7" s="15">
        <f>IF(AND(ISNUMBER(S7),ISNUMBER(S4)),VLOOKUP(ABS(S7-S4),'IMP Table'!$A$2:$C$26,3)*SIGN(S7-S4),0)</f>
        <v/>
      </c>
      <c r="AH7" s="15">
        <f>IF(AND(ISNUMBER(S7),ISNUMBER(S5)),VLOOKUP(ABS(S7-S5),'IMP Table'!$A$2:$C$26,3)*SIGN(S7-S5),0)</f>
        <v/>
      </c>
      <c r="AI7" s="15">
        <f>IF(AND(ISNUMBER(S7),ISNUMBER(S6)),VLOOKUP(ABS(S7-S6),'IMP Table'!$A$2:$C$26,3)*SIGN(S7-S6),0)</f>
        <v/>
      </c>
    </row>
    <row r="8">
      <c r="A8" s="11" t="n">
        <v>2</v>
      </c>
      <c r="B8" s="11">
        <f>'By Round'!A73</f>
        <v/>
      </c>
      <c r="C8" s="11">
        <f>'By Round'!B77</f>
        <v/>
      </c>
      <c r="D8" s="11">
        <f>'By Round'!C77</f>
        <v/>
      </c>
      <c r="E8" s="11">
        <f>'By Round'!D77</f>
        <v/>
      </c>
      <c r="F8" s="11">
        <f>IF(ISBLANK('By Round'!F78),"",'By Round'!F78)</f>
        <v/>
      </c>
      <c r="G8">
        <f>IF(ISBLANK('By Round'!G78),"",'By Round'!G78)</f>
        <v/>
      </c>
      <c r="H8">
        <f>IF(ISBLANK('By Round'!H78),"",'By Round'!H78)</f>
        <v/>
      </c>
      <c r="I8">
        <f>IF(ISBLANK('By Round'!I78),"",'By Round'!I78)</f>
        <v/>
      </c>
      <c r="J8">
        <f>IF(ISBLANK('By Round'!J78),"",'By Round'!J78)</f>
        <v/>
      </c>
      <c r="K8">
        <f>IF(ISBLANK('By Round'!K78),"",'By Round'!K78)</f>
        <v/>
      </c>
      <c r="L8" s="12">
        <f>AVERAGE(AB8:AE8)</f>
        <v/>
      </c>
      <c r="M8" s="13">
        <f>AVERAGE(AF8:AI8)</f>
        <v/>
      </c>
      <c r="N8" s="8">
        <f>IF(COUNT(T8:W8)&gt;0,P8/COUNT(T8:W8),0.5)</f>
        <v/>
      </c>
      <c r="O8" s="8">
        <f>IF(COUNT(X8:AA8)&gt;0,Q8/COUNT(X8:AA8),0.5)</f>
        <v/>
      </c>
      <c r="P8" s="5">
        <f>SUM(T8:W8)</f>
        <v/>
      </c>
      <c r="Q8" s="5">
        <f>SUM(X8:AA8)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4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1">
        <f>'By Round'!A23</f>
        <v/>
      </c>
      <c r="C9" s="11">
        <f>'By Round'!B29</f>
        <v/>
      </c>
      <c r="D9" s="11">
        <f>'By Round'!C29</f>
        <v/>
      </c>
      <c r="E9" s="11">
        <f>'By Round'!D29</f>
        <v/>
      </c>
      <c r="F9" s="11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 s="12">
        <f>AVERAGE(AB9:AE9)</f>
        <v/>
      </c>
      <c r="M9" s="13">
        <f>AVERAGE(AF9:AI9)</f>
        <v/>
      </c>
      <c r="N9" s="8">
        <f>IF(COUNT(T9:W9)&gt;0,P9/COUNT(T9:W9),0.5)</f>
        <v/>
      </c>
      <c r="O9" s="8">
        <f>IF(COUNT(X9:AA9)&gt;0,Q9/COUNT(X9:AA9),0.5)</f>
        <v/>
      </c>
      <c r="P9" s="5">
        <f>SUM(T9:W9)</f>
        <v/>
      </c>
      <c r="Q9" s="5">
        <f>SUM(X9:AA9)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4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1">
        <f>'By Round'!A13</f>
        <v/>
      </c>
      <c r="C10" s="11">
        <f>'By Round'!B21</f>
        <v/>
      </c>
      <c r="D10" s="11">
        <f>'By Round'!C21</f>
        <v/>
      </c>
      <c r="E10" s="11">
        <f>'By Round'!D21</f>
        <v/>
      </c>
      <c r="F10" s="11">
        <f>IF(ISBLANK('By Round'!F22),"",'By Round'!F22)</f>
        <v/>
      </c>
      <c r="G10">
        <f>IF(ISBLANK('By Round'!G22),"",'By Round'!G22)</f>
        <v/>
      </c>
      <c r="H10">
        <f>IF(ISBLANK('By Round'!H22),"",'By Round'!H22)</f>
        <v/>
      </c>
      <c r="I10">
        <f>IF(ISBLANK('By Round'!I22),"",'By Round'!I22)</f>
        <v/>
      </c>
      <c r="J10">
        <f>IF(ISBLANK('By Round'!J22),"",'By Round'!J22)</f>
        <v/>
      </c>
      <c r="K10">
        <f>IF(ISBLANK('By Round'!K22),"",'By Round'!K22)</f>
        <v/>
      </c>
      <c r="L10" s="12">
        <f>AVERAGE(AB10:AE10)</f>
        <v/>
      </c>
      <c r="M10" s="13">
        <f>AVERAGE(AF10:AI10)</f>
        <v/>
      </c>
      <c r="N10" s="8">
        <f>IF(COUNT(T10:W10)&gt;0,P10/COUNT(T10:W10),0.5)</f>
        <v/>
      </c>
      <c r="O10" s="8">
        <f>IF(COUNT(X10:AA10)&gt;0,Q10/COUNT(X10:AA10),0.5)</f>
        <v/>
      </c>
      <c r="P10" s="5">
        <f>SUM(T10:W10)</f>
        <v/>
      </c>
      <c r="Q10" s="5">
        <f>SUM(X10:AA10)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4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1">
        <f>'By Round'!A83</f>
        <v/>
      </c>
      <c r="C11" s="11">
        <f>'By Round'!B85</f>
        <v/>
      </c>
      <c r="D11" s="11">
        <f>'By Round'!C85</f>
        <v/>
      </c>
      <c r="E11" s="11">
        <f>'By Round'!D85</f>
        <v/>
      </c>
      <c r="F11" s="11">
        <f>IF(ISBLANK('By Round'!F86),"",'By Round'!F86)</f>
        <v/>
      </c>
      <c r="G11">
        <f>IF(ISBLANK('By Round'!G86),"",'By Round'!G86)</f>
        <v/>
      </c>
      <c r="H11">
        <f>IF(ISBLANK('By Round'!H86),"",'By Round'!H86)</f>
        <v/>
      </c>
      <c r="I11">
        <f>IF(ISBLANK('By Round'!I86),"",'By Round'!I86)</f>
        <v/>
      </c>
      <c r="J11">
        <f>IF(ISBLANK('By Round'!J86),"",'By Round'!J86)</f>
        <v/>
      </c>
      <c r="K11">
        <f>IF(ISBLANK('By Round'!K86),"",'By Round'!K86)</f>
        <v/>
      </c>
      <c r="L11" s="12">
        <f>AVERAGE(AB11:AE11)</f>
        <v/>
      </c>
      <c r="M11" s="13">
        <f>AVERAGE(AF11:AI11)</f>
        <v/>
      </c>
      <c r="N11" s="8">
        <f>IF(COUNT(T11:W11)&gt;0,P11/COUNT(T11:W11),0.5)</f>
        <v/>
      </c>
      <c r="O11" s="8">
        <f>IF(COUNT(X11:AA11)&gt;0,Q11/COUNT(X11:AA11),0.5)</f>
        <v/>
      </c>
      <c r="P11" s="5">
        <f>SUM(T11:W11)</f>
        <v/>
      </c>
      <c r="Q11" s="5">
        <f>SUM(X11:AA11)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4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15" t="n"/>
      <c r="B12" s="16">
        <f>'By Round'!A3</f>
        <v/>
      </c>
      <c r="C12" s="16">
        <f>'By Round'!B3</f>
        <v/>
      </c>
      <c r="D12" s="16">
        <f>'By Round'!C3</f>
        <v/>
      </c>
      <c r="E12" s="16">
        <f>'By Round'!D3</f>
        <v/>
      </c>
      <c r="F12" s="16">
        <f>IF(ISBLANK('By Round'!F4),"",'By Round'!F4)</f>
        <v/>
      </c>
      <c r="G12" s="15">
        <f>IF(ISBLANK('By Round'!G4),"",'By Round'!G4)</f>
        <v/>
      </c>
      <c r="H12" s="15">
        <f>IF(ISBLANK('By Round'!H4),"",'By Round'!H4)</f>
        <v/>
      </c>
      <c r="I12" s="15">
        <f>IF(ISBLANK('By Round'!I4),"",'By Round'!I4)</f>
        <v/>
      </c>
      <c r="J12" s="15">
        <f>IF(ISBLANK('By Round'!J4),"",'By Round'!J4)</f>
        <v/>
      </c>
      <c r="K12" s="15">
        <f>IF(ISBLANK('By Round'!K4),"",'By Round'!K4)</f>
        <v/>
      </c>
      <c r="L12" s="17">
        <f>AVERAGE(AB12:AE12)</f>
        <v/>
      </c>
      <c r="M12" s="18">
        <f>AVERAGE(AF12:AI12)</f>
        <v/>
      </c>
      <c r="N12" s="19">
        <f>IF(COUNT(T12:W12)&gt;0,P12/COUNT(T12:W12),0.5)</f>
        <v/>
      </c>
      <c r="O12" s="19">
        <f>IF(COUNT(X12:AA12)&gt;0,Q12/COUNT(X12:AA12),0.5)</f>
        <v/>
      </c>
      <c r="P12" s="20">
        <f>SUM(T12:W12)</f>
        <v/>
      </c>
      <c r="Q12" s="20">
        <f>SUM(X12:AA12)</f>
        <v/>
      </c>
      <c r="R12" s="21">
        <f>IF(ISNUMBER(J12),J12,IF(ISNUMBER(K12),-K12,""))</f>
        <v/>
      </c>
      <c r="S12" s="15">
        <f>IF(ISNUMBER(K12),K12,IF(ISNUMBER(J12),-J12,""))</f>
        <v/>
      </c>
      <c r="T12" s="21">
        <f>IF(ISNUMBER(R12),IF(ISNUMBER(R8),IF(R12&gt;R8,1.0,IF(R12=R8,0.5,0.0)),""),"")</f>
        <v/>
      </c>
      <c r="U12" s="15">
        <f>IF(ISNUMBER(R12),IF(ISNUMBER(R9),IF(R12&gt;R9,1.0,IF(R12=R9,0.5,0.0)),""),"")</f>
        <v/>
      </c>
      <c r="V12" s="15">
        <f>IF(ISNUMBER(R12),IF(ISNUMBER(R10),IF(R12&gt;R10,1.0,IF(R12=R10,0.5,0.0)),""),"")</f>
        <v/>
      </c>
      <c r="W12" s="15">
        <f>IF(ISNUMBER(R12),IF(ISNUMBER(R11),IF(R12&gt;R11,1.0,IF(R12=R11,0.5,0.0)),""),"")</f>
        <v/>
      </c>
      <c r="X12" s="15">
        <f>IF(ISNUMBER(S12),IF(ISNUMBER(S8),IF(S12&gt;S8,1.0,IF(S12=S8,0.5,0.0)),""),"")</f>
        <v/>
      </c>
      <c r="Y12" s="15">
        <f>IF(ISNUMBER(S12),IF(ISNUMBER(S9),IF(S12&gt;S9,1.0,IF(S12=S9,0.5,0.0)),""),"")</f>
        <v/>
      </c>
      <c r="Z12" s="15">
        <f>IF(ISNUMBER(S12),IF(ISNUMBER(S10),IF(S12&gt;S10,1.0,IF(S12=S10,0.5,0.0)),""),"")</f>
        <v/>
      </c>
      <c r="AA12" s="15">
        <f>IF(ISNUMBER(S12),IF(ISNUMBER(S11),IF(S12&gt;S11,1.0,IF(S12=S11,0.5,0.0)),""),"")</f>
        <v/>
      </c>
      <c r="AB12" s="21">
        <f>IF(AND(ISNUMBER(R12),ISNUMBER(R8)),VLOOKUP(ABS(R12-R8),'IMP Table'!$A$2:$C$26,3)*SIGN(R12-R8),0)</f>
        <v/>
      </c>
      <c r="AC12" s="15">
        <f>IF(AND(ISNUMBER(R12),ISNUMBER(R9)),VLOOKUP(ABS(R12-R9),'IMP Table'!$A$2:$C$26,3)*SIGN(R12-R9),0)</f>
        <v/>
      </c>
      <c r="AD12" s="15">
        <f>IF(AND(ISNUMBER(R12),ISNUMBER(R10)),VLOOKUP(ABS(R12-R10),'IMP Table'!$A$2:$C$26,3)*SIGN(R12-R10),0)</f>
        <v/>
      </c>
      <c r="AE12" s="15">
        <f>IF(AND(ISNUMBER(R12),ISNUMBER(R11)),VLOOKUP(ABS(R12-R11),'IMP Table'!$A$2:$C$26,3)*SIGN(R12-R11),0)</f>
        <v/>
      </c>
      <c r="AF12" s="15">
        <f>IF(AND(ISNUMBER(S12),ISNUMBER(S8)),VLOOKUP(ABS(S12-S8),'IMP Table'!$A$2:$C$26,3)*SIGN(S12-S8),0)</f>
        <v/>
      </c>
      <c r="AG12" s="15">
        <f>IF(AND(ISNUMBER(S12),ISNUMBER(S9)),VLOOKUP(ABS(S12-S9),'IMP Table'!$A$2:$C$26,3)*SIGN(S12-S9),0)</f>
        <v/>
      </c>
      <c r="AH12" s="15">
        <f>IF(AND(ISNUMBER(S12),ISNUMBER(S10)),VLOOKUP(ABS(S12-S10),'IMP Table'!$A$2:$C$26,3)*SIGN(S12-S10),0)</f>
        <v/>
      </c>
      <c r="AI12" s="15">
        <f>IF(AND(ISNUMBER(S12),ISNUMBER(S11)),VLOOKUP(ABS(S12-S11),'IMP Table'!$A$2:$C$26,3)*SIGN(S12-S11),0)</f>
        <v/>
      </c>
    </row>
    <row r="13">
      <c r="A13" s="11" t="n">
        <v>3</v>
      </c>
      <c r="B13" s="11">
        <f>'By Round'!A83</f>
        <v/>
      </c>
      <c r="C13" s="11">
        <f>'By Round'!B87</f>
        <v/>
      </c>
      <c r="D13" s="11">
        <f>'By Round'!C87</f>
        <v/>
      </c>
      <c r="E13" s="11">
        <f>'By Round'!D87</f>
        <v/>
      </c>
      <c r="F13" s="11">
        <f>IF(ISBLANK('By Round'!F87),"",'By Round'!F87)</f>
        <v/>
      </c>
      <c r="G13">
        <f>IF(ISBLANK('By Round'!G87),"",'By Round'!G87)</f>
        <v/>
      </c>
      <c r="H13">
        <f>IF(ISBLANK('By Round'!H87),"",'By Round'!H87)</f>
        <v/>
      </c>
      <c r="I13">
        <f>IF(ISBLANK('By Round'!I87),"",'By Round'!I87)</f>
        <v/>
      </c>
      <c r="J13">
        <f>IF(ISBLANK('By Round'!J87),"",'By Round'!J87)</f>
        <v/>
      </c>
      <c r="K13">
        <f>IF(ISBLANK('By Round'!K87),"",'By Round'!K87)</f>
        <v/>
      </c>
      <c r="L13" s="12">
        <f>AVERAGE(AB13:AE13)</f>
        <v/>
      </c>
      <c r="M13" s="13">
        <f>AVERAGE(AF13:AI13)</f>
        <v/>
      </c>
      <c r="N13" s="8">
        <f>IF(COUNT(T13:W13)&gt;0,P13/COUNT(T13:W13),0.5)</f>
        <v/>
      </c>
      <c r="O13" s="8">
        <f>IF(COUNT(X13:AA13)&gt;0,Q13/COUNT(X13:AA13),0.5)</f>
        <v/>
      </c>
      <c r="P13" s="5">
        <f>SUM(T13:W13)</f>
        <v/>
      </c>
      <c r="Q13" s="5">
        <f>SUM(X13:AA13)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4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1">
        <f>'By Round'!A33</f>
        <v/>
      </c>
      <c r="C14" s="11">
        <f>'By Round'!B39</f>
        <v/>
      </c>
      <c r="D14" s="11">
        <f>'By Round'!C39</f>
        <v/>
      </c>
      <c r="E14" s="11">
        <f>'By Round'!D39</f>
        <v/>
      </c>
      <c r="F14" s="11">
        <f>IF(ISBLANK('By Round'!F39),"",'By Round'!F39)</f>
        <v/>
      </c>
      <c r="G14">
        <f>IF(ISBLANK('By Round'!G39),"",'By Round'!G39)</f>
        <v/>
      </c>
      <c r="H14">
        <f>IF(ISBLANK('By Round'!H39),"",'By Round'!H39)</f>
        <v/>
      </c>
      <c r="I14">
        <f>IF(ISBLANK('By Round'!I39),"",'By Round'!I39)</f>
        <v/>
      </c>
      <c r="J14">
        <f>IF(ISBLANK('By Round'!J39),"",'By Round'!J39)</f>
        <v/>
      </c>
      <c r="K14">
        <f>IF(ISBLANK('By Round'!K39),"",'By Round'!K39)</f>
        <v/>
      </c>
      <c r="L14" s="12">
        <f>AVERAGE(AB14:AE14)</f>
        <v/>
      </c>
      <c r="M14" s="13">
        <f>AVERAGE(AF14:AI14)</f>
        <v/>
      </c>
      <c r="N14" s="8">
        <f>IF(COUNT(T14:W14)&gt;0,P14/COUNT(T14:W14),0.5)</f>
        <v/>
      </c>
      <c r="O14" s="8">
        <f>IF(COUNT(X14:AA14)&gt;0,Q14/COUNT(X14:AA14),0.5)</f>
        <v/>
      </c>
      <c r="P14" s="5">
        <f>SUM(T14:W14)</f>
        <v/>
      </c>
      <c r="Q14" s="5">
        <f>SUM(X14:AA14)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4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1">
        <f>'By Round'!A23</f>
        <v/>
      </c>
      <c r="C15" s="11">
        <f>'By Round'!B31</f>
        <v/>
      </c>
      <c r="D15" s="11">
        <f>'By Round'!C31</f>
        <v/>
      </c>
      <c r="E15" s="11">
        <f>'By Round'!D31</f>
        <v/>
      </c>
      <c r="F15" s="11">
        <f>IF(ISBLANK('By Round'!F31),"",'By Round'!F31)</f>
        <v/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 s="12">
        <f>AVERAGE(AB15:AE15)</f>
        <v/>
      </c>
      <c r="M15" s="13">
        <f>AVERAGE(AF15:AI15)</f>
        <v/>
      </c>
      <c r="N15" s="8">
        <f>IF(COUNT(T15:W15)&gt;0,P15/COUNT(T15:W15),0.5)</f>
        <v/>
      </c>
      <c r="O15" s="8">
        <f>IF(COUNT(X15:AA15)&gt;0,Q15/COUNT(X15:AA15),0.5)</f>
        <v/>
      </c>
      <c r="P15" s="5">
        <f>SUM(T15:W15)</f>
        <v/>
      </c>
      <c r="Q15" s="5">
        <f>SUM(X15:AA15)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4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1">
        <f>'By Round'!A3</f>
        <v/>
      </c>
      <c r="C16" s="11">
        <f>'By Round'!B5</f>
        <v/>
      </c>
      <c r="D16" s="11">
        <f>'By Round'!C5</f>
        <v/>
      </c>
      <c r="E16" s="11">
        <f>'By Round'!D5</f>
        <v/>
      </c>
      <c r="F16" s="11">
        <f>IF(ISBLANK('By Round'!F5),"",'By Round'!F5)</f>
        <v/>
      </c>
      <c r="G16">
        <f>IF(ISBLANK('By Round'!G5),"",'By Round'!G5)</f>
        <v/>
      </c>
      <c r="H16">
        <f>IF(ISBLANK('By Round'!H5),"",'By Round'!H5)</f>
        <v/>
      </c>
      <c r="I16">
        <f>IF(ISBLANK('By Round'!I5),"",'By Round'!I5)</f>
        <v/>
      </c>
      <c r="J16">
        <f>IF(ISBLANK('By Round'!J5),"",'By Round'!J5)</f>
        <v/>
      </c>
      <c r="K16">
        <f>IF(ISBLANK('By Round'!K5),"",'By Round'!K5)</f>
        <v/>
      </c>
      <c r="L16" s="12">
        <f>AVERAGE(AB16:AE16)</f>
        <v/>
      </c>
      <c r="M16" s="13">
        <f>AVERAGE(AF16:AI16)</f>
        <v/>
      </c>
      <c r="N16" s="8">
        <f>IF(COUNT(T16:W16)&gt;0,P16/COUNT(T16:W16),0.5)</f>
        <v/>
      </c>
      <c r="O16" s="8">
        <f>IF(COUNT(X16:AA16)&gt;0,Q16/COUNT(X16:AA16),0.5)</f>
        <v/>
      </c>
      <c r="P16" s="5">
        <f>SUM(T16:W16)</f>
        <v/>
      </c>
      <c r="Q16" s="5">
        <f>SUM(X16:AA16)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4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15" t="n"/>
      <c r="B17" s="16">
        <f>'By Round'!A13</f>
        <v/>
      </c>
      <c r="C17" s="16">
        <f>'By Round'!B13</f>
        <v/>
      </c>
      <c r="D17" s="16">
        <f>'By Round'!C13</f>
        <v/>
      </c>
      <c r="E17" s="16">
        <f>'By Round'!D13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7">
        <f>AVERAGE(AB17:AE17)</f>
        <v/>
      </c>
      <c r="M17" s="18">
        <f>AVERAGE(AF17:AI17)</f>
        <v/>
      </c>
      <c r="N17" s="19">
        <f>IF(COUNT(T17:W17)&gt;0,P17/COUNT(T17:W17),0.5)</f>
        <v/>
      </c>
      <c r="O17" s="19">
        <f>IF(COUNT(X17:AA17)&gt;0,Q17/COUNT(X17:AA17),0.5)</f>
        <v/>
      </c>
      <c r="P17" s="20">
        <f>SUM(T17:W17)</f>
        <v/>
      </c>
      <c r="Q17" s="20">
        <f>SUM(X17:AA17)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IF(ISNUMBER(R17),IF(ISNUMBER(R13),IF(R17&gt;R13,1.0,IF(R17=R13,0.5,0.0)),""),"")</f>
        <v/>
      </c>
      <c r="U17" s="15">
        <f>IF(ISNUMBER(R17),IF(ISNUMBER(R14),IF(R17&gt;R14,1.0,IF(R17=R14,0.5,0.0)),""),"")</f>
        <v/>
      </c>
      <c r="V17" s="15">
        <f>IF(ISNUMBER(R17),IF(ISNUMBER(R15),IF(R17&gt;R15,1.0,IF(R17=R15,0.5,0.0)),""),"")</f>
        <v/>
      </c>
      <c r="W17" s="15">
        <f>IF(ISNUMBER(R17),IF(ISNUMBER(R16),IF(R17&gt;R16,1.0,IF(R17=R16,0.5,0.0)),""),"")</f>
        <v/>
      </c>
      <c r="X17" s="15">
        <f>IF(ISNUMBER(S17),IF(ISNUMBER(S13),IF(S17&gt;S13,1.0,IF(S17=S13,0.5,0.0)),""),"")</f>
        <v/>
      </c>
      <c r="Y17" s="15">
        <f>IF(ISNUMBER(S17),IF(ISNUMBER(S14),IF(S17&gt;S14,1.0,IF(S17=S14,0.5,0.0)),""),"")</f>
        <v/>
      </c>
      <c r="Z17" s="15">
        <f>IF(ISNUMBER(S17),IF(ISNUMBER(S15),IF(S17&gt;S15,1.0,IF(S17=S15,0.5,0.0)),""),"")</f>
        <v/>
      </c>
      <c r="AA17" s="15">
        <f>IF(ISNUMBER(S17),IF(ISNUMBER(S16),IF(S17&gt;S16,1.0,IF(S17=S16,0.5,0.0)),""),"")</f>
        <v/>
      </c>
      <c r="AB17" s="21">
        <f>IF(AND(ISNUMBER(R17),ISNUMBER(R13)),VLOOKUP(ABS(R17-R13),'IMP Table'!$A$2:$C$26,3)*SIGN(R17-R13),0)</f>
        <v/>
      </c>
      <c r="AC17" s="15">
        <f>IF(AND(ISNUMBER(R17),ISNUMBER(R14)),VLOOKUP(ABS(R17-R14),'IMP Table'!$A$2:$C$26,3)*SIGN(R17-R14),0)</f>
        <v/>
      </c>
      <c r="AD17" s="15">
        <f>IF(AND(ISNUMBER(R17),ISNUMBER(R15)),VLOOKUP(ABS(R17-R15),'IMP Table'!$A$2:$C$26,3)*SIGN(R17-R15),0)</f>
        <v/>
      </c>
      <c r="AE17" s="15">
        <f>IF(AND(ISNUMBER(R17),ISNUMBER(R16)),VLOOKUP(ABS(R17-R16),'IMP Table'!$A$2:$C$26,3)*SIGN(R17-R16),0)</f>
        <v/>
      </c>
      <c r="AF17" s="15">
        <f>IF(AND(ISNUMBER(S17),ISNUMBER(S13)),VLOOKUP(ABS(S17-S13),'IMP Table'!$A$2:$C$26,3)*SIGN(S17-S13),0)</f>
        <v/>
      </c>
      <c r="AG17" s="15">
        <f>IF(AND(ISNUMBER(S17),ISNUMBER(S14)),VLOOKUP(ABS(S17-S14),'IMP Table'!$A$2:$C$26,3)*SIGN(S17-S14),0)</f>
        <v/>
      </c>
      <c r="AH17" s="15">
        <f>IF(AND(ISNUMBER(S17),ISNUMBER(S15)),VLOOKUP(ABS(S17-S15),'IMP Table'!$A$2:$C$26,3)*SIGN(S17-S15),0)</f>
        <v/>
      </c>
      <c r="AI17" s="15">
        <f>IF(AND(ISNUMBER(S17),ISNUMBER(S16)),VLOOKUP(ABS(S17-S16),'IMP Table'!$A$2:$C$26,3)*SIGN(S17-S16),0)</f>
        <v/>
      </c>
    </row>
    <row r="18">
      <c r="A18" s="11" t="n">
        <v>4</v>
      </c>
      <c r="B18" s="11">
        <f>'By Round'!A83</f>
        <v/>
      </c>
      <c r="C18" s="11">
        <f>'By Round'!B87</f>
        <v/>
      </c>
      <c r="D18" s="11">
        <f>'By Round'!C87</f>
        <v/>
      </c>
      <c r="E18" s="11">
        <f>'By Round'!D87</f>
        <v/>
      </c>
      <c r="F18" s="11">
        <f>IF(ISBLANK('By Round'!F88),"",'By Round'!F88)</f>
        <v/>
      </c>
      <c r="G18">
        <f>IF(ISBLANK('By Round'!G88),"",'By Round'!G88)</f>
        <v/>
      </c>
      <c r="H18">
        <f>IF(ISBLANK('By Round'!H88),"",'By Round'!H88)</f>
        <v/>
      </c>
      <c r="I18">
        <f>IF(ISBLANK('By Round'!I88),"",'By Round'!I88)</f>
        <v/>
      </c>
      <c r="J18">
        <f>IF(ISBLANK('By Round'!J88),"",'By Round'!J88)</f>
        <v/>
      </c>
      <c r="K18">
        <f>IF(ISBLANK('By Round'!K88),"",'By Round'!K88)</f>
        <v/>
      </c>
      <c r="L18" s="12">
        <f>AVERAGE(AB18:AE18)</f>
        <v/>
      </c>
      <c r="M18" s="13">
        <f>AVERAGE(AF18:AI18)</f>
        <v/>
      </c>
      <c r="N18" s="8">
        <f>IF(COUNT(T18:W18)&gt;0,P18/COUNT(T18:W18),0.5)</f>
        <v/>
      </c>
      <c r="O18" s="8">
        <f>IF(COUNT(X18:AA18)&gt;0,Q18/COUNT(X18:AA18),0.5)</f>
        <v/>
      </c>
      <c r="P18" s="5">
        <f>SUM(T18:W18)</f>
        <v/>
      </c>
      <c r="Q18" s="5">
        <f>SUM(X18:AA18)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4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1">
        <f>'By Round'!A33</f>
        <v/>
      </c>
      <c r="C19" s="11">
        <f>'By Round'!B39</f>
        <v/>
      </c>
      <c r="D19" s="11">
        <f>'By Round'!C39</f>
        <v/>
      </c>
      <c r="E19" s="11">
        <f>'By Round'!D39</f>
        <v/>
      </c>
      <c r="F19" s="11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 s="12">
        <f>AVERAGE(AB19:AE19)</f>
        <v/>
      </c>
      <c r="M19" s="13">
        <f>AVERAGE(AF19:AI19)</f>
        <v/>
      </c>
      <c r="N19" s="8">
        <f>IF(COUNT(T19:W19)&gt;0,P19/COUNT(T19:W19),0.5)</f>
        <v/>
      </c>
      <c r="O19" s="8">
        <f>IF(COUNT(X19:AA19)&gt;0,Q19/COUNT(X19:AA19),0.5)</f>
        <v/>
      </c>
      <c r="P19" s="5">
        <f>SUM(T19:W19)</f>
        <v/>
      </c>
      <c r="Q19" s="5">
        <f>SUM(X19:AA19)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4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1">
        <f>'By Round'!A23</f>
        <v/>
      </c>
      <c r="C20" s="11">
        <f>'By Round'!B31</f>
        <v/>
      </c>
      <c r="D20" s="11">
        <f>'By Round'!C31</f>
        <v/>
      </c>
      <c r="E20" s="11">
        <f>'By Round'!D31</f>
        <v/>
      </c>
      <c r="F20" s="11">
        <f>IF(ISBLANK('By Round'!F32),"",'By Round'!F32)</f>
        <v/>
      </c>
      <c r="G20">
        <f>IF(ISBLANK('By Round'!G32),"",'By Round'!G32)</f>
        <v/>
      </c>
      <c r="H20">
        <f>IF(ISBLANK('By Round'!H32),"",'By Round'!H32)</f>
        <v/>
      </c>
      <c r="I20">
        <f>IF(ISBLANK('By Round'!I32),"",'By Round'!I32)</f>
        <v/>
      </c>
      <c r="J20">
        <f>IF(ISBLANK('By Round'!J32),"",'By Round'!J32)</f>
        <v/>
      </c>
      <c r="K20">
        <f>IF(ISBLANK('By Round'!K32),"",'By Round'!K32)</f>
        <v/>
      </c>
      <c r="L20" s="12">
        <f>AVERAGE(AB20:AE20)</f>
        <v/>
      </c>
      <c r="M20" s="13">
        <f>AVERAGE(AF20:AI20)</f>
        <v/>
      </c>
      <c r="N20" s="8">
        <f>IF(COUNT(T20:W20)&gt;0,P20/COUNT(T20:W20),0.5)</f>
        <v/>
      </c>
      <c r="O20" s="8">
        <f>IF(COUNT(X20:AA20)&gt;0,Q20/COUNT(X20:AA20),0.5)</f>
        <v/>
      </c>
      <c r="P20" s="5">
        <f>SUM(T20:W20)</f>
        <v/>
      </c>
      <c r="Q20" s="5">
        <f>SUM(X20:AA20)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4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1">
        <f>'By Round'!A3</f>
        <v/>
      </c>
      <c r="C21" s="11">
        <f>'By Round'!B5</f>
        <v/>
      </c>
      <c r="D21" s="11">
        <f>'By Round'!C5</f>
        <v/>
      </c>
      <c r="E21" s="11">
        <f>'By Round'!D5</f>
        <v/>
      </c>
      <c r="F21" s="11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 s="12">
        <f>AVERAGE(AB21:AE21)</f>
        <v/>
      </c>
      <c r="M21" s="13">
        <f>AVERAGE(AF21:AI21)</f>
        <v/>
      </c>
      <c r="N21" s="8">
        <f>IF(COUNT(T21:W21)&gt;0,P21/COUNT(T21:W21),0.5)</f>
        <v/>
      </c>
      <c r="O21" s="8">
        <f>IF(COUNT(X21:AA21)&gt;0,Q21/COUNT(X21:AA21),0.5)</f>
        <v/>
      </c>
      <c r="P21" s="5">
        <f>SUM(T21:W21)</f>
        <v/>
      </c>
      <c r="Q21" s="5">
        <f>SUM(X21:AA21)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4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15" t="n"/>
      <c r="B22" s="16">
        <f>'By Round'!A13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Round'!F14),"",'By Round'!F14)</f>
        <v/>
      </c>
      <c r="G22" s="15">
        <f>IF(ISBLANK('By Round'!G14),"",'By Round'!G14)</f>
        <v/>
      </c>
      <c r="H22" s="15">
        <f>IF(ISBLANK('By Round'!H14),"",'By Round'!H14)</f>
        <v/>
      </c>
      <c r="I22" s="15">
        <f>IF(ISBLANK('By Round'!I14),"",'By Round'!I14)</f>
        <v/>
      </c>
      <c r="J22" s="15">
        <f>IF(ISBLANK('By Round'!J14),"",'By Round'!J14)</f>
        <v/>
      </c>
      <c r="K22" s="15">
        <f>IF(ISBLANK('By Round'!K14),"",'By Round'!K14)</f>
        <v/>
      </c>
      <c r="L22" s="17">
        <f>AVERAGE(AB22:AE22)</f>
        <v/>
      </c>
      <c r="M22" s="18">
        <f>AVERAGE(AF22:AI22)</f>
        <v/>
      </c>
      <c r="N22" s="19">
        <f>IF(COUNT(T22:W22)&gt;0,P22/COUNT(T22:W22),0.5)</f>
        <v/>
      </c>
      <c r="O22" s="19">
        <f>IF(COUNT(X22:AA22)&gt;0,Q22/COUNT(X22:AA22),0.5)</f>
        <v/>
      </c>
      <c r="P22" s="20">
        <f>SUM(T22:W22)</f>
        <v/>
      </c>
      <c r="Q22" s="20">
        <f>SUM(X22:AA22)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IF(ISNUMBER(R22),IF(ISNUMBER(R18),IF(R22&gt;R18,1.0,IF(R22=R18,0.5,0.0)),""),"")</f>
        <v/>
      </c>
      <c r="U22" s="15">
        <f>IF(ISNUMBER(R22),IF(ISNUMBER(R19),IF(R22&gt;R19,1.0,IF(R22=R19,0.5,0.0)),""),"")</f>
        <v/>
      </c>
      <c r="V22" s="15">
        <f>IF(ISNUMBER(R22),IF(ISNUMBER(R20),IF(R22&gt;R20,1.0,IF(R22=R20,0.5,0.0)),""),"")</f>
        <v/>
      </c>
      <c r="W22" s="15">
        <f>IF(ISNUMBER(R22),IF(ISNUMBER(R21),IF(R22&gt;R21,1.0,IF(R22=R21,0.5,0.0)),""),"")</f>
        <v/>
      </c>
      <c r="X22" s="15">
        <f>IF(ISNUMBER(S22),IF(ISNUMBER(S18),IF(S22&gt;S18,1.0,IF(S22=S18,0.5,0.0)),""),"")</f>
        <v/>
      </c>
      <c r="Y22" s="15">
        <f>IF(ISNUMBER(S22),IF(ISNUMBER(S19),IF(S22&gt;S19,1.0,IF(S22=S19,0.5,0.0)),""),"")</f>
        <v/>
      </c>
      <c r="Z22" s="15">
        <f>IF(ISNUMBER(S22),IF(ISNUMBER(S20),IF(S22&gt;S20,1.0,IF(S22=S20,0.5,0.0)),""),"")</f>
        <v/>
      </c>
      <c r="AA22" s="15">
        <f>IF(ISNUMBER(S22),IF(ISNUMBER(S21),IF(S22&gt;S21,1.0,IF(S22=S21,0.5,0.0)),""),"")</f>
        <v/>
      </c>
      <c r="AB22" s="21">
        <f>IF(AND(ISNUMBER(R22),ISNUMBER(R18)),VLOOKUP(ABS(R22-R18),'IMP Table'!$A$2:$C$26,3)*SIGN(R22-R18),0)</f>
        <v/>
      </c>
      <c r="AC22" s="15">
        <f>IF(AND(ISNUMBER(R22),ISNUMBER(R19)),VLOOKUP(ABS(R22-R19),'IMP Table'!$A$2:$C$26,3)*SIGN(R22-R19),0)</f>
        <v/>
      </c>
      <c r="AD22" s="15">
        <f>IF(AND(ISNUMBER(R22),ISNUMBER(R20)),VLOOKUP(ABS(R22-R20),'IMP Table'!$A$2:$C$26,3)*SIGN(R22-R20),0)</f>
        <v/>
      </c>
      <c r="AE22" s="15">
        <f>IF(AND(ISNUMBER(R22),ISNUMBER(R21)),VLOOKUP(ABS(R22-R21),'IMP Table'!$A$2:$C$26,3)*SIGN(R22-R21),0)</f>
        <v/>
      </c>
      <c r="AF22" s="15">
        <f>IF(AND(ISNUMBER(S22),ISNUMBER(S18)),VLOOKUP(ABS(S22-S18),'IMP Table'!$A$2:$C$26,3)*SIGN(S22-S18),0)</f>
        <v/>
      </c>
      <c r="AG22" s="15">
        <f>IF(AND(ISNUMBER(S22),ISNUMBER(S19)),VLOOKUP(ABS(S22-S19),'IMP Table'!$A$2:$C$26,3)*SIGN(S22-S19),0)</f>
        <v/>
      </c>
      <c r="AH22" s="15">
        <f>IF(AND(ISNUMBER(S22),ISNUMBER(S20)),VLOOKUP(ABS(S22-S20),'IMP Table'!$A$2:$C$26,3)*SIGN(S22-S20),0)</f>
        <v/>
      </c>
      <c r="AI22" s="15">
        <f>IF(AND(ISNUMBER(S22),ISNUMBER(S21)),VLOOKUP(ABS(S22-S21),'IMP Table'!$A$2:$C$26,3)*SIGN(S22-S21),0)</f>
        <v/>
      </c>
    </row>
    <row r="23">
      <c r="A23" s="11" t="n">
        <v>5</v>
      </c>
      <c r="B23" s="11">
        <f>'By Round'!A13</f>
        <v/>
      </c>
      <c r="C23" s="11">
        <f>'By Round'!B15</f>
        <v/>
      </c>
      <c r="D23" s="11">
        <f>'By Round'!C15</f>
        <v/>
      </c>
      <c r="E23" s="11">
        <f>'By Round'!D15</f>
        <v/>
      </c>
      <c r="F23" s="11">
        <f>IF(ISBLANK('By Round'!F15),"",'By Round'!F15)</f>
        <v/>
      </c>
      <c r="G23">
        <f>IF(ISBLANK('By Round'!G15),"",'By Round'!G15)</f>
        <v/>
      </c>
      <c r="H23">
        <f>IF(ISBLANK('By Round'!H15),"",'By Round'!H15)</f>
        <v/>
      </c>
      <c r="I23">
        <f>IF(ISBLANK('By Round'!I15),"",'By Round'!I15)</f>
        <v/>
      </c>
      <c r="J23">
        <f>IF(ISBLANK('By Round'!J15),"",'By Round'!J15)</f>
        <v/>
      </c>
      <c r="K23">
        <f>IF(ISBLANK('By Round'!K15),"",'By Round'!K15)</f>
        <v/>
      </c>
      <c r="L23" s="12">
        <f>AVERAGE(AB23:AE23)</f>
        <v/>
      </c>
      <c r="M23" s="13">
        <f>AVERAGE(AF23:AI23)</f>
        <v/>
      </c>
      <c r="N23" s="8">
        <f>IF(COUNT(T23:W23)&gt;0,P23/COUNT(T23:W23),0.5)</f>
        <v/>
      </c>
      <c r="O23" s="8">
        <f>IF(COUNT(X23:AA23)&gt;0,Q23/COUNT(X23:AA23),0.5)</f>
        <v/>
      </c>
      <c r="P23" s="5">
        <f>SUM(T23:W23)</f>
        <v/>
      </c>
      <c r="Q23" s="5">
        <f>SUM(X23:AA23)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4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1">
        <f>'By Round'!A3</f>
        <v/>
      </c>
      <c r="C24" s="11">
        <f>'By Round'!B7</f>
        <v/>
      </c>
      <c r="D24" s="11">
        <f>'By Round'!C7</f>
        <v/>
      </c>
      <c r="E24" s="11">
        <f>'By Round'!D7</f>
        <v/>
      </c>
      <c r="F24" s="11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 s="12">
        <f>AVERAGE(AB24:AE24)</f>
        <v/>
      </c>
      <c r="M24" s="13">
        <f>AVERAGE(AF24:AI24)</f>
        <v/>
      </c>
      <c r="N24" s="8">
        <f>IF(COUNT(T24:W24)&gt;0,P24/COUNT(T24:W24),0.5)</f>
        <v/>
      </c>
      <c r="O24" s="8">
        <f>IF(COUNT(X24:AA24)&gt;0,Q24/COUNT(X24:AA24),0.5)</f>
        <v/>
      </c>
      <c r="P24" s="5">
        <f>SUM(T24:W24)</f>
        <v/>
      </c>
      <c r="Q24" s="5">
        <f>SUM(X24:AA24)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4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1">
        <f>'By Round'!A43</f>
        <v/>
      </c>
      <c r="C25" s="11">
        <f>'By Round'!B49</f>
        <v/>
      </c>
      <c r="D25" s="11">
        <f>'By Round'!C49</f>
        <v/>
      </c>
      <c r="E25" s="11">
        <f>'By Round'!D49</f>
        <v/>
      </c>
      <c r="F25" s="11">
        <f>IF(ISBLANK('By Round'!F49),"",'By Round'!F49)</f>
        <v/>
      </c>
      <c r="G25">
        <f>IF(ISBLANK('By Round'!G49),"",'By Round'!G49)</f>
        <v/>
      </c>
      <c r="H25">
        <f>IF(ISBLANK('By Round'!H49),"",'By Round'!H49)</f>
        <v/>
      </c>
      <c r="I25">
        <f>IF(ISBLANK('By Round'!I49),"",'By Round'!I49)</f>
        <v/>
      </c>
      <c r="J25">
        <f>IF(ISBLANK('By Round'!J49),"",'By Round'!J49)</f>
        <v/>
      </c>
      <c r="K25">
        <f>IF(ISBLANK('By Round'!K49),"",'By Round'!K49)</f>
        <v/>
      </c>
      <c r="L25" s="12">
        <f>AVERAGE(AB25:AE25)</f>
        <v/>
      </c>
      <c r="M25" s="13">
        <f>AVERAGE(AF25:AI25)</f>
        <v/>
      </c>
      <c r="N25" s="8">
        <f>IF(COUNT(T25:W25)&gt;0,P25/COUNT(T25:W25),0.5)</f>
        <v/>
      </c>
      <c r="O25" s="8">
        <f>IF(COUNT(X25:AA25)&gt;0,Q25/COUNT(X25:AA25),0.5)</f>
        <v/>
      </c>
      <c r="P25" s="5">
        <f>SUM(T25:W25)</f>
        <v/>
      </c>
      <c r="Q25" s="5">
        <f>SUM(X25:AA25)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4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1">
        <f>'By Round'!A33</f>
        <v/>
      </c>
      <c r="C26" s="11">
        <f>'By Round'!B41</f>
        <v/>
      </c>
      <c r="D26" s="11">
        <f>'By Round'!C41</f>
        <v/>
      </c>
      <c r="E26" s="11">
        <f>'By Round'!D41</f>
        <v/>
      </c>
      <c r="F26" s="11">
        <f>IF(ISBLANK('By Round'!F41),"",'By Round'!F41)</f>
        <v/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 s="12">
        <f>AVERAGE(AB26:AE26)</f>
        <v/>
      </c>
      <c r="M26" s="13">
        <f>AVERAGE(AF26:AI26)</f>
        <v/>
      </c>
      <c r="N26" s="8">
        <f>IF(COUNT(T26:W26)&gt;0,P26/COUNT(T26:W26),0.5)</f>
        <v/>
      </c>
      <c r="O26" s="8">
        <f>IF(COUNT(X26:AA26)&gt;0,Q26/COUNT(X26:AA26),0.5)</f>
        <v/>
      </c>
      <c r="P26" s="5">
        <f>SUM(T26:W26)</f>
        <v/>
      </c>
      <c r="Q26" s="5">
        <f>SUM(X26:AA26)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4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15" t="n"/>
      <c r="B27" s="16">
        <f>'By Round'!A23</f>
        <v/>
      </c>
      <c r="C27" s="16">
        <f>'By Round'!B23</f>
        <v/>
      </c>
      <c r="D27" s="16">
        <f>'By Round'!C23</f>
        <v/>
      </c>
      <c r="E27" s="16">
        <f>'By Round'!D23</f>
        <v/>
      </c>
      <c r="F27" s="16">
        <f>IF(ISBLANK('By Round'!F23),"",'By Round'!F23)</f>
        <v/>
      </c>
      <c r="G27" s="15">
        <f>IF(ISBLANK('By Round'!G23),"",'By Round'!G23)</f>
        <v/>
      </c>
      <c r="H27" s="15">
        <f>IF(ISBLANK('By Round'!H23),"",'By Round'!H23)</f>
        <v/>
      </c>
      <c r="I27" s="15">
        <f>IF(ISBLANK('By Round'!I23),"",'By Round'!I23)</f>
        <v/>
      </c>
      <c r="J27" s="15">
        <f>IF(ISBLANK('By Round'!J23),"",'By Round'!J23)</f>
        <v/>
      </c>
      <c r="K27" s="15">
        <f>IF(ISBLANK('By Round'!K23),"",'By Round'!K23)</f>
        <v/>
      </c>
      <c r="L27" s="17">
        <f>AVERAGE(AB27:AE27)</f>
        <v/>
      </c>
      <c r="M27" s="18">
        <f>AVERAGE(AF27:AI27)</f>
        <v/>
      </c>
      <c r="N27" s="19">
        <f>IF(COUNT(T27:W27)&gt;0,P27/COUNT(T27:W27),0.5)</f>
        <v/>
      </c>
      <c r="O27" s="19">
        <f>IF(COUNT(X27:AA27)&gt;0,Q27/COUNT(X27:AA27),0.5)</f>
        <v/>
      </c>
      <c r="P27" s="20">
        <f>SUM(T27:W27)</f>
        <v/>
      </c>
      <c r="Q27" s="20">
        <f>SUM(X27:AA27)</f>
        <v/>
      </c>
      <c r="R27" s="21">
        <f>IF(ISNUMBER(J27),J27,IF(ISNUMBER(K27),-K27,""))</f>
        <v/>
      </c>
      <c r="S27" s="15">
        <f>IF(ISNUMBER(K27),K27,IF(ISNUMBER(J27),-J27,""))</f>
        <v/>
      </c>
      <c r="T27" s="21">
        <f>IF(ISNUMBER(R27),IF(ISNUMBER(R23),IF(R27&gt;R23,1.0,IF(R27=R23,0.5,0.0)),""),"")</f>
        <v/>
      </c>
      <c r="U27" s="15">
        <f>IF(ISNUMBER(R27),IF(ISNUMBER(R24),IF(R27&gt;R24,1.0,IF(R27=R24,0.5,0.0)),""),"")</f>
        <v/>
      </c>
      <c r="V27" s="15">
        <f>IF(ISNUMBER(R27),IF(ISNUMBER(R25),IF(R27&gt;R25,1.0,IF(R27=R25,0.5,0.0)),""),"")</f>
        <v/>
      </c>
      <c r="W27" s="15">
        <f>IF(ISNUMBER(R27),IF(ISNUMBER(R26),IF(R27&gt;R26,1.0,IF(R27=R26,0.5,0.0)),""),"")</f>
        <v/>
      </c>
      <c r="X27" s="15">
        <f>IF(ISNUMBER(S27),IF(ISNUMBER(S23),IF(S27&gt;S23,1.0,IF(S27=S23,0.5,0.0)),""),"")</f>
        <v/>
      </c>
      <c r="Y27" s="15">
        <f>IF(ISNUMBER(S27),IF(ISNUMBER(S24),IF(S27&gt;S24,1.0,IF(S27=S24,0.5,0.0)),""),"")</f>
        <v/>
      </c>
      <c r="Z27" s="15">
        <f>IF(ISNUMBER(S27),IF(ISNUMBER(S25),IF(S27&gt;S25,1.0,IF(S27=S25,0.5,0.0)),""),"")</f>
        <v/>
      </c>
      <c r="AA27" s="15">
        <f>IF(ISNUMBER(S27),IF(ISNUMBER(S26),IF(S27&gt;S26,1.0,IF(S27=S26,0.5,0.0)),""),"")</f>
        <v/>
      </c>
      <c r="AB27" s="21">
        <f>IF(AND(ISNUMBER(R27),ISNUMBER(R23)),VLOOKUP(ABS(R27-R23),'IMP Table'!$A$2:$C$26,3)*SIGN(R27-R23),0)</f>
        <v/>
      </c>
      <c r="AC27" s="15">
        <f>IF(AND(ISNUMBER(R27),ISNUMBER(R24)),VLOOKUP(ABS(R27-R24),'IMP Table'!$A$2:$C$26,3)*SIGN(R27-R24),0)</f>
        <v/>
      </c>
      <c r="AD27" s="15">
        <f>IF(AND(ISNUMBER(R27),ISNUMBER(R25)),VLOOKUP(ABS(R27-R25),'IMP Table'!$A$2:$C$26,3)*SIGN(R27-R25),0)</f>
        <v/>
      </c>
      <c r="AE27" s="15">
        <f>IF(AND(ISNUMBER(R27),ISNUMBER(R26)),VLOOKUP(ABS(R27-R26),'IMP Table'!$A$2:$C$26,3)*SIGN(R27-R26),0)</f>
        <v/>
      </c>
      <c r="AF27" s="15">
        <f>IF(AND(ISNUMBER(S27),ISNUMBER(S23)),VLOOKUP(ABS(S27-S23),'IMP Table'!$A$2:$C$26,3)*SIGN(S27-S23),0)</f>
        <v/>
      </c>
      <c r="AG27" s="15">
        <f>IF(AND(ISNUMBER(S27),ISNUMBER(S24)),VLOOKUP(ABS(S27-S24),'IMP Table'!$A$2:$C$26,3)*SIGN(S27-S24),0)</f>
        <v/>
      </c>
      <c r="AH27" s="15">
        <f>IF(AND(ISNUMBER(S27),ISNUMBER(S25)),VLOOKUP(ABS(S27-S25),'IMP Table'!$A$2:$C$26,3)*SIGN(S27-S25),0)</f>
        <v/>
      </c>
      <c r="AI27" s="15">
        <f>IF(AND(ISNUMBER(S27),ISNUMBER(S26)),VLOOKUP(ABS(S27-S26),'IMP Table'!$A$2:$C$26,3)*SIGN(S27-S26),0)</f>
        <v/>
      </c>
    </row>
    <row r="28">
      <c r="A28" s="11" t="n">
        <v>6</v>
      </c>
      <c r="B28" s="11">
        <f>'By Round'!A13</f>
        <v/>
      </c>
      <c r="C28" s="11">
        <f>'By Round'!B15</f>
        <v/>
      </c>
      <c r="D28" s="11">
        <f>'By Round'!C15</f>
        <v/>
      </c>
      <c r="E28" s="11">
        <f>'By Round'!D15</f>
        <v/>
      </c>
      <c r="F28" s="11">
        <f>IF(ISBLANK('By Round'!F16),"",'By Round'!F16)</f>
        <v/>
      </c>
      <c r="G28">
        <f>IF(ISBLANK('By Round'!G16),"",'By Round'!G16)</f>
        <v/>
      </c>
      <c r="H28">
        <f>IF(ISBLANK('By Round'!H16),"",'By Round'!H16)</f>
        <v/>
      </c>
      <c r="I28">
        <f>IF(ISBLANK('By Round'!I16),"",'By Round'!I16)</f>
        <v/>
      </c>
      <c r="J28">
        <f>IF(ISBLANK('By Round'!J16),"",'By Round'!J16)</f>
        <v/>
      </c>
      <c r="K28">
        <f>IF(ISBLANK('By Round'!K16),"",'By Round'!K16)</f>
        <v/>
      </c>
      <c r="L28" s="12">
        <f>AVERAGE(AB28:AE28)</f>
        <v/>
      </c>
      <c r="M28" s="13">
        <f>AVERAGE(AF28:AI28)</f>
        <v/>
      </c>
      <c r="N28" s="8">
        <f>IF(COUNT(T28:W28)&gt;0,P28/COUNT(T28:W28),0.5)</f>
        <v/>
      </c>
      <c r="O28" s="8">
        <f>IF(COUNT(X28:AA28)&gt;0,Q28/COUNT(X28:AA28),0.5)</f>
        <v/>
      </c>
      <c r="P28" s="5">
        <f>SUM(T28:W28)</f>
        <v/>
      </c>
      <c r="Q28" s="5">
        <f>SUM(X28:AA28)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4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1">
        <f>'By Round'!A3</f>
        <v/>
      </c>
      <c r="C29" s="11">
        <f>'By Round'!B7</f>
        <v/>
      </c>
      <c r="D29" s="11">
        <f>'By Round'!C7</f>
        <v/>
      </c>
      <c r="E29" s="11">
        <f>'By Round'!D7</f>
        <v/>
      </c>
      <c r="F29" s="11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 s="12">
        <f>AVERAGE(AB29:AE29)</f>
        <v/>
      </c>
      <c r="M29" s="13">
        <f>AVERAGE(AF29:AI29)</f>
        <v/>
      </c>
      <c r="N29" s="8">
        <f>IF(COUNT(T29:W29)&gt;0,P29/COUNT(T29:W29),0.5)</f>
        <v/>
      </c>
      <c r="O29" s="8">
        <f>IF(COUNT(X29:AA29)&gt;0,Q29/COUNT(X29:AA29),0.5)</f>
        <v/>
      </c>
      <c r="P29" s="5">
        <f>SUM(T29:W29)</f>
        <v/>
      </c>
      <c r="Q29" s="5">
        <f>SUM(X29:AA29)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4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1">
        <f>'By Round'!A43</f>
        <v/>
      </c>
      <c r="C30" s="11">
        <f>'By Round'!B49</f>
        <v/>
      </c>
      <c r="D30" s="11">
        <f>'By Round'!C49</f>
        <v/>
      </c>
      <c r="E30" s="11">
        <f>'By Round'!D49</f>
        <v/>
      </c>
      <c r="F30" s="11">
        <f>IF(ISBLANK('By Round'!F50),"",'By Round'!F50)</f>
        <v/>
      </c>
      <c r="G30">
        <f>IF(ISBLANK('By Round'!G50),"",'By Round'!G50)</f>
        <v/>
      </c>
      <c r="H30">
        <f>IF(ISBLANK('By Round'!H50),"",'By Round'!H50)</f>
        <v/>
      </c>
      <c r="I30">
        <f>IF(ISBLANK('By Round'!I50),"",'By Round'!I50)</f>
        <v/>
      </c>
      <c r="J30">
        <f>IF(ISBLANK('By Round'!J50),"",'By Round'!J50)</f>
        <v/>
      </c>
      <c r="K30">
        <f>IF(ISBLANK('By Round'!K50),"",'By Round'!K50)</f>
        <v/>
      </c>
      <c r="L30" s="12">
        <f>AVERAGE(AB30:AE30)</f>
        <v/>
      </c>
      <c r="M30" s="13">
        <f>AVERAGE(AF30:AI30)</f>
        <v/>
      </c>
      <c r="N30" s="8">
        <f>IF(COUNT(T30:W30)&gt;0,P30/COUNT(T30:W30),0.5)</f>
        <v/>
      </c>
      <c r="O30" s="8">
        <f>IF(COUNT(X30:AA30)&gt;0,Q30/COUNT(X30:AA30),0.5)</f>
        <v/>
      </c>
      <c r="P30" s="5">
        <f>SUM(T30:W30)</f>
        <v/>
      </c>
      <c r="Q30" s="5">
        <f>SUM(X30:AA30)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4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1">
        <f>'By Round'!A33</f>
        <v/>
      </c>
      <c r="C31" s="11">
        <f>'By Round'!B41</f>
        <v/>
      </c>
      <c r="D31" s="11">
        <f>'By Round'!C41</f>
        <v/>
      </c>
      <c r="E31" s="11">
        <f>'By Round'!D41</f>
        <v/>
      </c>
      <c r="F31" s="11">
        <f>IF(ISBLANK('By Round'!F42),"",'By Round'!F42)</f>
        <v/>
      </c>
      <c r="G31">
        <f>IF(ISBLANK('By Round'!G42),"",'By Round'!G42)</f>
        <v/>
      </c>
      <c r="H31">
        <f>IF(ISBLANK('By Round'!H42),"",'By Round'!H42)</f>
        <v/>
      </c>
      <c r="I31">
        <f>IF(ISBLANK('By Round'!I42),"",'By Round'!I42)</f>
        <v/>
      </c>
      <c r="J31">
        <f>IF(ISBLANK('By Round'!J42),"",'By Round'!J42)</f>
        <v/>
      </c>
      <c r="K31">
        <f>IF(ISBLANK('By Round'!K42),"",'By Round'!K42)</f>
        <v/>
      </c>
      <c r="L31" s="12">
        <f>AVERAGE(AB31:AE31)</f>
        <v/>
      </c>
      <c r="M31" s="13">
        <f>AVERAGE(AF31:AI31)</f>
        <v/>
      </c>
      <c r="N31" s="8">
        <f>IF(COUNT(T31:W31)&gt;0,P31/COUNT(T31:W31),0.5)</f>
        <v/>
      </c>
      <c r="O31" s="8">
        <f>IF(COUNT(X31:AA31)&gt;0,Q31/COUNT(X31:AA31),0.5)</f>
        <v/>
      </c>
      <c r="P31" s="5">
        <f>SUM(T31:W31)</f>
        <v/>
      </c>
      <c r="Q31" s="5">
        <f>SUM(X31:AA31)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4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15" t="n"/>
      <c r="B32" s="16">
        <f>'By Round'!A23</f>
        <v/>
      </c>
      <c r="C32" s="16">
        <f>'By Round'!B23</f>
        <v/>
      </c>
      <c r="D32" s="16">
        <f>'By Round'!C23</f>
        <v/>
      </c>
      <c r="E32" s="16">
        <f>'By Round'!D23</f>
        <v/>
      </c>
      <c r="F32" s="16">
        <f>IF(ISBLANK('By Round'!F24),"",'By Round'!F24)</f>
        <v/>
      </c>
      <c r="G32" s="15">
        <f>IF(ISBLANK('By Round'!G24),"",'By Round'!G24)</f>
        <v/>
      </c>
      <c r="H32" s="15">
        <f>IF(ISBLANK('By Round'!H24),"",'By Round'!H24)</f>
        <v/>
      </c>
      <c r="I32" s="15">
        <f>IF(ISBLANK('By Round'!I24),"",'By Round'!I24)</f>
        <v/>
      </c>
      <c r="J32" s="15">
        <f>IF(ISBLANK('By Round'!J24),"",'By Round'!J24)</f>
        <v/>
      </c>
      <c r="K32" s="15">
        <f>IF(ISBLANK('By Round'!K24),"",'By Round'!K24)</f>
        <v/>
      </c>
      <c r="L32" s="17">
        <f>AVERAGE(AB32:AE32)</f>
        <v/>
      </c>
      <c r="M32" s="18">
        <f>AVERAGE(AF32:AI32)</f>
        <v/>
      </c>
      <c r="N32" s="19">
        <f>IF(COUNT(T32:W32)&gt;0,P32/COUNT(T32:W32),0.5)</f>
        <v/>
      </c>
      <c r="O32" s="19">
        <f>IF(COUNT(X32:AA32)&gt;0,Q32/COUNT(X32:AA32),0.5)</f>
        <v/>
      </c>
      <c r="P32" s="20">
        <f>SUM(T32:W32)</f>
        <v/>
      </c>
      <c r="Q32" s="20">
        <f>SUM(X32:AA32)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IF(ISNUMBER(R32),IF(ISNUMBER(R28),IF(R32&gt;R28,1.0,IF(R32=R28,0.5,0.0)),""),"")</f>
        <v/>
      </c>
      <c r="U32" s="15">
        <f>IF(ISNUMBER(R32),IF(ISNUMBER(R29),IF(R32&gt;R29,1.0,IF(R32=R29,0.5,0.0)),""),"")</f>
        <v/>
      </c>
      <c r="V32" s="15">
        <f>IF(ISNUMBER(R32),IF(ISNUMBER(R30),IF(R32&gt;R30,1.0,IF(R32=R30,0.5,0.0)),""),"")</f>
        <v/>
      </c>
      <c r="W32" s="15">
        <f>IF(ISNUMBER(R32),IF(ISNUMBER(R31),IF(R32&gt;R31,1.0,IF(R32=R31,0.5,0.0)),""),"")</f>
        <v/>
      </c>
      <c r="X32" s="15">
        <f>IF(ISNUMBER(S32),IF(ISNUMBER(S28),IF(S32&gt;S28,1.0,IF(S32=S28,0.5,0.0)),""),"")</f>
        <v/>
      </c>
      <c r="Y32" s="15">
        <f>IF(ISNUMBER(S32),IF(ISNUMBER(S29),IF(S32&gt;S29,1.0,IF(S32=S29,0.5,0.0)),""),"")</f>
        <v/>
      </c>
      <c r="Z32" s="15">
        <f>IF(ISNUMBER(S32),IF(ISNUMBER(S30),IF(S32&gt;S30,1.0,IF(S32=S30,0.5,0.0)),""),"")</f>
        <v/>
      </c>
      <c r="AA32" s="15">
        <f>IF(ISNUMBER(S32),IF(ISNUMBER(S31),IF(S32&gt;S31,1.0,IF(S32=S31,0.5,0.0)),""),"")</f>
        <v/>
      </c>
      <c r="AB32" s="21">
        <f>IF(AND(ISNUMBER(R32),ISNUMBER(R28)),VLOOKUP(ABS(R32-R28),'IMP Table'!$A$2:$C$26,3)*SIGN(R32-R28),0)</f>
        <v/>
      </c>
      <c r="AC32" s="15">
        <f>IF(AND(ISNUMBER(R32),ISNUMBER(R29)),VLOOKUP(ABS(R32-R29),'IMP Table'!$A$2:$C$26,3)*SIGN(R32-R29),0)</f>
        <v/>
      </c>
      <c r="AD32" s="15">
        <f>IF(AND(ISNUMBER(R32),ISNUMBER(R30)),VLOOKUP(ABS(R32-R30),'IMP Table'!$A$2:$C$26,3)*SIGN(R32-R30),0)</f>
        <v/>
      </c>
      <c r="AE32" s="15">
        <f>IF(AND(ISNUMBER(R32),ISNUMBER(R31)),VLOOKUP(ABS(R32-R31),'IMP Table'!$A$2:$C$26,3)*SIGN(R32-R31),0)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</row>
    <row r="33">
      <c r="A33" s="11" t="n">
        <v>7</v>
      </c>
      <c r="B33" s="11">
        <f>'By Round'!A23</f>
        <v/>
      </c>
      <c r="C33" s="11">
        <f>'By Round'!B25</f>
        <v/>
      </c>
      <c r="D33" s="11">
        <f>'By Round'!C25</f>
        <v/>
      </c>
      <c r="E33" s="11">
        <f>'By Round'!D25</f>
        <v/>
      </c>
      <c r="F33" s="11">
        <f>IF(ISBLANK('By Round'!F25),"",'By Round'!F25)</f>
        <v/>
      </c>
      <c r="G33">
        <f>IF(ISBLANK('By Round'!G25),"",'By Round'!G25)</f>
        <v/>
      </c>
      <c r="H33">
        <f>IF(ISBLANK('By Round'!H25),"",'By Round'!H25)</f>
        <v/>
      </c>
      <c r="I33">
        <f>IF(ISBLANK('By Round'!I25),"",'By Round'!I25)</f>
        <v/>
      </c>
      <c r="J33">
        <f>IF(ISBLANK('By Round'!J25),"",'By Round'!J25)</f>
        <v/>
      </c>
      <c r="K33">
        <f>IF(ISBLANK('By Round'!K25),"",'By Round'!K25)</f>
        <v/>
      </c>
      <c r="L33" s="12">
        <f>AVERAGE(AB33:AE33)</f>
        <v/>
      </c>
      <c r="M33" s="13">
        <f>AVERAGE(AF33:AI33)</f>
        <v/>
      </c>
      <c r="N33" s="8">
        <f>IF(COUNT(T33:W33)&gt;0,P33/COUNT(T33:W33),0.5)</f>
        <v/>
      </c>
      <c r="O33" s="8">
        <f>IF(COUNT(X33:AA33)&gt;0,Q33/COUNT(X33:AA33),0.5)</f>
        <v/>
      </c>
      <c r="P33" s="5">
        <f>SUM(T33:W33)</f>
        <v/>
      </c>
      <c r="Q33" s="5">
        <f>SUM(X33:AA33)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4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1">
        <f>'By Round'!A13</f>
        <v/>
      </c>
      <c r="C34" s="11">
        <f>'By Round'!B17</f>
        <v/>
      </c>
      <c r="D34" s="11">
        <f>'By Round'!C17</f>
        <v/>
      </c>
      <c r="E34" s="11">
        <f>'By Round'!D17</f>
        <v/>
      </c>
      <c r="F34" s="11">
        <f>IF(ISBLANK('By Round'!F17),"",'By Round'!F17)</f>
        <v/>
      </c>
      <c r="G34">
        <f>IF(ISBLANK('By Round'!G17),"",'By Round'!G17)</f>
        <v/>
      </c>
      <c r="H34">
        <f>IF(ISBLANK('By Round'!H17),"",'By Round'!H17)</f>
        <v/>
      </c>
      <c r="I34">
        <f>IF(ISBLANK('By Round'!I17),"",'By Round'!I17)</f>
        <v/>
      </c>
      <c r="J34">
        <f>IF(ISBLANK('By Round'!J17),"",'By Round'!J17)</f>
        <v/>
      </c>
      <c r="K34">
        <f>IF(ISBLANK('By Round'!K17),"",'By Round'!K17)</f>
        <v/>
      </c>
      <c r="L34" s="12">
        <f>AVERAGE(AB34:AE34)</f>
        <v/>
      </c>
      <c r="M34" s="13">
        <f>AVERAGE(AF34:AI34)</f>
        <v/>
      </c>
      <c r="N34" s="8">
        <f>IF(COUNT(T34:W34)&gt;0,P34/COUNT(T34:W34),0.5)</f>
        <v/>
      </c>
      <c r="O34" s="8">
        <f>IF(COUNT(X34:AA34)&gt;0,Q34/COUNT(X34:AA34),0.5)</f>
        <v/>
      </c>
      <c r="P34" s="5">
        <f>SUM(T34:W34)</f>
        <v/>
      </c>
      <c r="Q34" s="5">
        <f>SUM(X34:AA34)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4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1">
        <f>'By Round'!A53</f>
        <v/>
      </c>
      <c r="C35" s="11">
        <f>'By Round'!B59</f>
        <v/>
      </c>
      <c r="D35" s="11">
        <f>'By Round'!C59</f>
        <v/>
      </c>
      <c r="E35" s="11">
        <f>'By Round'!D59</f>
        <v/>
      </c>
      <c r="F35" s="11">
        <f>IF(ISBLANK('By Round'!F59),"",'By Round'!F59)</f>
        <v/>
      </c>
      <c r="G35">
        <f>IF(ISBLANK('By Round'!G59),"",'By Round'!G59)</f>
        <v/>
      </c>
      <c r="H35">
        <f>IF(ISBLANK('By Round'!H59),"",'By Round'!H59)</f>
        <v/>
      </c>
      <c r="I35">
        <f>IF(ISBLANK('By Round'!I59),"",'By Round'!I59)</f>
        <v/>
      </c>
      <c r="J35">
        <f>IF(ISBLANK('By Round'!J59),"",'By Round'!J59)</f>
        <v/>
      </c>
      <c r="K35">
        <f>IF(ISBLANK('By Round'!K59),"",'By Round'!K59)</f>
        <v/>
      </c>
      <c r="L35" s="12">
        <f>AVERAGE(AB35:AE35)</f>
        <v/>
      </c>
      <c r="M35" s="13">
        <f>AVERAGE(AF35:AI35)</f>
        <v/>
      </c>
      <c r="N35" s="8">
        <f>IF(COUNT(T35:W35)&gt;0,P35/COUNT(T35:W35),0.5)</f>
        <v/>
      </c>
      <c r="O35" s="8">
        <f>IF(COUNT(X35:AA35)&gt;0,Q35/COUNT(X35:AA35),0.5)</f>
        <v/>
      </c>
      <c r="P35" s="5">
        <f>SUM(T35:W35)</f>
        <v/>
      </c>
      <c r="Q35" s="5">
        <f>SUM(X35:AA35)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4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1">
        <f>'By Round'!A43</f>
        <v/>
      </c>
      <c r="C36" s="11">
        <f>'By Round'!B51</f>
        <v/>
      </c>
      <c r="D36" s="11">
        <f>'By Round'!C51</f>
        <v/>
      </c>
      <c r="E36" s="11">
        <f>'By Round'!D51</f>
        <v/>
      </c>
      <c r="F36" s="11">
        <f>IF(ISBLANK('By Round'!F51),"",'By Round'!F51)</f>
        <v/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 s="12">
        <f>AVERAGE(AB36:AE36)</f>
        <v/>
      </c>
      <c r="M36" s="13">
        <f>AVERAGE(AF36:AI36)</f>
        <v/>
      </c>
      <c r="N36" s="8">
        <f>IF(COUNT(T36:W36)&gt;0,P36/COUNT(T36:W36),0.5)</f>
        <v/>
      </c>
      <c r="O36" s="8">
        <f>IF(COUNT(X36:AA36)&gt;0,Q36/COUNT(X36:AA36),0.5)</f>
        <v/>
      </c>
      <c r="P36" s="5">
        <f>SUM(T36:W36)</f>
        <v/>
      </c>
      <c r="Q36" s="5">
        <f>SUM(X36:AA36)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4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15" t="n"/>
      <c r="B37" s="16">
        <f>'By Round'!A33</f>
        <v/>
      </c>
      <c r="C37" s="16">
        <f>'By Round'!B33</f>
        <v/>
      </c>
      <c r="D37" s="16">
        <f>'By Round'!C33</f>
        <v/>
      </c>
      <c r="E37" s="16">
        <f>'By Round'!D33</f>
        <v/>
      </c>
      <c r="F37" s="16">
        <f>IF(ISBLANK('By Round'!F33),"",'By Round'!F33)</f>
        <v/>
      </c>
      <c r="G37" s="15">
        <f>IF(ISBLANK('By Round'!G33),"",'By Round'!G33)</f>
        <v/>
      </c>
      <c r="H37" s="15">
        <f>IF(ISBLANK('By Round'!H33),"",'By Round'!H33)</f>
        <v/>
      </c>
      <c r="I37" s="15">
        <f>IF(ISBLANK('By Round'!I33),"",'By Round'!I33)</f>
        <v/>
      </c>
      <c r="J37" s="15">
        <f>IF(ISBLANK('By Round'!J33),"",'By Round'!J33)</f>
        <v/>
      </c>
      <c r="K37" s="15">
        <f>IF(ISBLANK('By Round'!K33),"",'By Round'!K33)</f>
        <v/>
      </c>
      <c r="L37" s="17">
        <f>AVERAGE(AB37:AE37)</f>
        <v/>
      </c>
      <c r="M37" s="18">
        <f>AVERAGE(AF37:AI37)</f>
        <v/>
      </c>
      <c r="N37" s="19">
        <f>IF(COUNT(T37:W37)&gt;0,P37/COUNT(T37:W37),0.5)</f>
        <v/>
      </c>
      <c r="O37" s="19">
        <f>IF(COUNT(X37:AA37)&gt;0,Q37/COUNT(X37:AA37),0.5)</f>
        <v/>
      </c>
      <c r="P37" s="20">
        <f>SUM(T37:W37)</f>
        <v/>
      </c>
      <c r="Q37" s="20">
        <f>SUM(X37:AA37)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IF(ISNUMBER(R37),IF(ISNUMBER(R33),IF(R37&gt;R33,1.0,IF(R37=R33,0.5,0.0)),""),"")</f>
        <v/>
      </c>
      <c r="U37" s="15">
        <f>IF(ISNUMBER(R37),IF(ISNUMBER(R34),IF(R37&gt;R34,1.0,IF(R37=R34,0.5,0.0)),""),"")</f>
        <v/>
      </c>
      <c r="V37" s="15">
        <f>IF(ISNUMBER(R37),IF(ISNUMBER(R35),IF(R37&gt;R35,1.0,IF(R37=R35,0.5,0.0)),""),"")</f>
        <v/>
      </c>
      <c r="W37" s="15">
        <f>IF(ISNUMBER(R37),IF(ISNUMBER(R36),IF(R37&gt;R36,1.0,IF(R37=R36,0.5,0.0)),""),"")</f>
        <v/>
      </c>
      <c r="X37" s="15">
        <f>IF(ISNUMBER(S37),IF(ISNUMBER(S33),IF(S37&gt;S33,1.0,IF(S37=S33,0.5,0.0)),""),"")</f>
        <v/>
      </c>
      <c r="Y37" s="15">
        <f>IF(ISNUMBER(S37),IF(ISNUMBER(S34),IF(S37&gt;S34,1.0,IF(S37=S34,0.5,0.0)),""),"")</f>
        <v/>
      </c>
      <c r="Z37" s="15">
        <f>IF(ISNUMBER(S37),IF(ISNUMBER(S35),IF(S37&gt;S35,1.0,IF(S37=S35,0.5,0.0)),""),"")</f>
        <v/>
      </c>
      <c r="AA37" s="15">
        <f>IF(ISNUMBER(S37),IF(ISNUMBER(S36),IF(S37&gt;S36,1.0,IF(S37=S36,0.5,0.0)),""),"")</f>
        <v/>
      </c>
      <c r="AB37" s="21">
        <f>IF(AND(ISNUMBER(R37),ISNUMBER(R33)),VLOOKUP(ABS(R37-R33),'IMP Table'!$A$2:$C$26,3)*SIGN(R37-R33),0)</f>
        <v/>
      </c>
      <c r="AC37" s="15">
        <f>IF(AND(ISNUMBER(R37),ISNUMBER(R34)),VLOOKUP(ABS(R37-R34),'IMP Table'!$A$2:$C$26,3)*SIGN(R37-R34),0)</f>
        <v/>
      </c>
      <c r="AD37" s="15">
        <f>IF(AND(ISNUMBER(R37),ISNUMBER(R35)),VLOOKUP(ABS(R37-R35),'IMP Table'!$A$2:$C$26,3)*SIGN(R37-R35),0)</f>
        <v/>
      </c>
      <c r="AE37" s="15">
        <f>IF(AND(ISNUMBER(R37),ISNUMBER(R36)),VLOOKUP(ABS(R37-R36),'IMP Table'!$A$2:$C$26,3)*SIGN(R37-R36),0)</f>
        <v/>
      </c>
      <c r="AF37" s="15">
        <f>IF(AND(ISNUMBER(S37),ISNUMBER(S33)),VLOOKUP(ABS(S37-S33),'IMP Table'!$A$2:$C$26,3)*SIGN(S37-S33),0)</f>
        <v/>
      </c>
      <c r="AG37" s="15">
        <f>IF(AND(ISNUMBER(S37),ISNUMBER(S34)),VLOOKUP(ABS(S37-S34),'IMP Table'!$A$2:$C$26,3)*SIGN(S37-S34),0)</f>
        <v/>
      </c>
      <c r="AH37" s="15">
        <f>IF(AND(ISNUMBER(S37),ISNUMBER(S35)),VLOOKUP(ABS(S37-S35),'IMP Table'!$A$2:$C$26,3)*SIGN(S37-S35),0)</f>
        <v/>
      </c>
      <c r="AI37" s="15">
        <f>IF(AND(ISNUMBER(S37),ISNUMBER(S36)),VLOOKUP(ABS(S37-S36),'IMP Table'!$A$2:$C$26,3)*SIGN(S37-S36),0)</f>
        <v/>
      </c>
    </row>
    <row r="38">
      <c r="A38" s="11" t="n">
        <v>8</v>
      </c>
      <c r="B38" s="11">
        <f>'By Round'!A23</f>
        <v/>
      </c>
      <c r="C38" s="11">
        <f>'By Round'!B25</f>
        <v/>
      </c>
      <c r="D38" s="11">
        <f>'By Round'!C25</f>
        <v/>
      </c>
      <c r="E38" s="11">
        <f>'By Round'!D25</f>
        <v/>
      </c>
      <c r="F38" s="11">
        <f>IF(ISBLANK('By Round'!F26),"",'By Round'!F26)</f>
        <v/>
      </c>
      <c r="G38">
        <f>IF(ISBLANK('By Round'!G26),"",'By Round'!G26)</f>
        <v/>
      </c>
      <c r="H38">
        <f>IF(ISBLANK('By Round'!H26),"",'By Round'!H26)</f>
        <v/>
      </c>
      <c r="I38">
        <f>IF(ISBLANK('By Round'!I26),"",'By Round'!I26)</f>
        <v/>
      </c>
      <c r="J38">
        <f>IF(ISBLANK('By Round'!J26),"",'By Round'!J26)</f>
        <v/>
      </c>
      <c r="K38">
        <f>IF(ISBLANK('By Round'!K26),"",'By Round'!K26)</f>
        <v/>
      </c>
      <c r="L38" s="12">
        <f>AVERAGE(AB38:AE38)</f>
        <v/>
      </c>
      <c r="M38" s="13">
        <f>AVERAGE(AF38:AI38)</f>
        <v/>
      </c>
      <c r="N38" s="8">
        <f>IF(COUNT(T38:W38)&gt;0,P38/COUNT(T38:W38),0.5)</f>
        <v/>
      </c>
      <c r="O38" s="8">
        <f>IF(COUNT(X38:AA38)&gt;0,Q38/COUNT(X38:AA38),0.5)</f>
        <v/>
      </c>
      <c r="P38" s="5">
        <f>SUM(T38:W38)</f>
        <v/>
      </c>
      <c r="Q38" s="5">
        <f>SUM(X38:AA38)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4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1">
        <f>'By Round'!A13</f>
        <v/>
      </c>
      <c r="C39" s="11">
        <f>'By Round'!B17</f>
        <v/>
      </c>
      <c r="D39" s="11">
        <f>'By Round'!C17</f>
        <v/>
      </c>
      <c r="E39" s="11">
        <f>'By Round'!D17</f>
        <v/>
      </c>
      <c r="F39" s="11">
        <f>IF(ISBLANK('By Round'!F18),"",'By Round'!F18)</f>
        <v/>
      </c>
      <c r="G39">
        <f>IF(ISBLANK('By Round'!G18),"",'By Round'!G18)</f>
        <v/>
      </c>
      <c r="H39">
        <f>IF(ISBLANK('By Round'!H18),"",'By Round'!H18)</f>
        <v/>
      </c>
      <c r="I39">
        <f>IF(ISBLANK('By Round'!I18),"",'By Round'!I18)</f>
        <v/>
      </c>
      <c r="J39">
        <f>IF(ISBLANK('By Round'!J18),"",'By Round'!J18)</f>
        <v/>
      </c>
      <c r="K39">
        <f>IF(ISBLANK('By Round'!K18),"",'By Round'!K18)</f>
        <v/>
      </c>
      <c r="L39" s="12">
        <f>AVERAGE(AB39:AE39)</f>
        <v/>
      </c>
      <c r="M39" s="13">
        <f>AVERAGE(AF39:AI39)</f>
        <v/>
      </c>
      <c r="N39" s="8">
        <f>IF(COUNT(T39:W39)&gt;0,P39/COUNT(T39:W39),0.5)</f>
        <v/>
      </c>
      <c r="O39" s="8">
        <f>IF(COUNT(X39:AA39)&gt;0,Q39/COUNT(X39:AA39),0.5)</f>
        <v/>
      </c>
      <c r="P39" s="5">
        <f>SUM(T39:W39)</f>
        <v/>
      </c>
      <c r="Q39" s="5">
        <f>SUM(X39:AA39)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4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1">
        <f>'By Round'!A53</f>
        <v/>
      </c>
      <c r="C40" s="11">
        <f>'By Round'!B59</f>
        <v/>
      </c>
      <c r="D40" s="11">
        <f>'By Round'!C59</f>
        <v/>
      </c>
      <c r="E40" s="11">
        <f>'By Round'!D59</f>
        <v/>
      </c>
      <c r="F40" s="11">
        <f>IF(ISBLANK('By Round'!F60),"",'By Round'!F60)</f>
        <v/>
      </c>
      <c r="G40">
        <f>IF(ISBLANK('By Round'!G60),"",'By Round'!G60)</f>
        <v/>
      </c>
      <c r="H40">
        <f>IF(ISBLANK('By Round'!H60),"",'By Round'!H60)</f>
        <v/>
      </c>
      <c r="I40">
        <f>IF(ISBLANK('By Round'!I60),"",'By Round'!I60)</f>
        <v/>
      </c>
      <c r="J40">
        <f>IF(ISBLANK('By Round'!J60),"",'By Round'!J60)</f>
        <v/>
      </c>
      <c r="K40">
        <f>IF(ISBLANK('By Round'!K60),"",'By Round'!K60)</f>
        <v/>
      </c>
      <c r="L40" s="12">
        <f>AVERAGE(AB40:AE40)</f>
        <v/>
      </c>
      <c r="M40" s="13">
        <f>AVERAGE(AF40:AI40)</f>
        <v/>
      </c>
      <c r="N40" s="8">
        <f>IF(COUNT(T40:W40)&gt;0,P40/COUNT(T40:W40),0.5)</f>
        <v/>
      </c>
      <c r="O40" s="8">
        <f>IF(COUNT(X40:AA40)&gt;0,Q40/COUNT(X40:AA40),0.5)</f>
        <v/>
      </c>
      <c r="P40" s="5">
        <f>SUM(T40:W40)</f>
        <v/>
      </c>
      <c r="Q40" s="5">
        <f>SUM(X40:AA40)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4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1">
        <f>'By Round'!A43</f>
        <v/>
      </c>
      <c r="C41" s="11">
        <f>'By Round'!B51</f>
        <v/>
      </c>
      <c r="D41" s="11">
        <f>'By Round'!C51</f>
        <v/>
      </c>
      <c r="E41" s="11">
        <f>'By Round'!D51</f>
        <v/>
      </c>
      <c r="F41" s="11">
        <f>IF(ISBLANK('By Round'!F52),"",'By Round'!F52)</f>
        <v/>
      </c>
      <c r="G41">
        <f>IF(ISBLANK('By Round'!G52),"",'By Round'!G52)</f>
        <v/>
      </c>
      <c r="H41">
        <f>IF(ISBLANK('By Round'!H52),"",'By Round'!H52)</f>
        <v/>
      </c>
      <c r="I41">
        <f>IF(ISBLANK('By Round'!I52),"",'By Round'!I52)</f>
        <v/>
      </c>
      <c r="J41">
        <f>IF(ISBLANK('By Round'!J52),"",'By Round'!J52)</f>
        <v/>
      </c>
      <c r="K41">
        <f>IF(ISBLANK('By Round'!K52),"",'By Round'!K52)</f>
        <v/>
      </c>
      <c r="L41" s="12">
        <f>AVERAGE(AB41:AE41)</f>
        <v/>
      </c>
      <c r="M41" s="13">
        <f>AVERAGE(AF41:AI41)</f>
        <v/>
      </c>
      <c r="N41" s="8">
        <f>IF(COUNT(T41:W41)&gt;0,P41/COUNT(T41:W41),0.5)</f>
        <v/>
      </c>
      <c r="O41" s="8">
        <f>IF(COUNT(X41:AA41)&gt;0,Q41/COUNT(X41:AA41),0.5)</f>
        <v/>
      </c>
      <c r="P41" s="5">
        <f>SUM(T41:W41)</f>
        <v/>
      </c>
      <c r="Q41" s="5">
        <f>SUM(X41:AA41)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4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15" t="n"/>
      <c r="B42" s="16">
        <f>'By Round'!A33</f>
        <v/>
      </c>
      <c r="C42" s="16">
        <f>'By Round'!B33</f>
        <v/>
      </c>
      <c r="D42" s="16">
        <f>'By Round'!C33</f>
        <v/>
      </c>
      <c r="E42" s="16">
        <f>'By Round'!D33</f>
        <v/>
      </c>
      <c r="F42" s="16">
        <f>IF(ISBLANK('By Round'!F34),"",'By Round'!F34)</f>
        <v/>
      </c>
      <c r="G42" s="15">
        <f>IF(ISBLANK('By Round'!G34),"",'By Round'!G34)</f>
        <v/>
      </c>
      <c r="H42" s="15">
        <f>IF(ISBLANK('By Round'!H34),"",'By Round'!H34)</f>
        <v/>
      </c>
      <c r="I42" s="15">
        <f>IF(ISBLANK('By Round'!I34),"",'By Round'!I34)</f>
        <v/>
      </c>
      <c r="J42" s="15">
        <f>IF(ISBLANK('By Round'!J34),"",'By Round'!J34)</f>
        <v/>
      </c>
      <c r="K42" s="15">
        <f>IF(ISBLANK('By Round'!K34),"",'By Round'!K34)</f>
        <v/>
      </c>
      <c r="L42" s="17">
        <f>AVERAGE(AB42:AE42)</f>
        <v/>
      </c>
      <c r="M42" s="18">
        <f>AVERAGE(AF42:AI42)</f>
        <v/>
      </c>
      <c r="N42" s="19">
        <f>IF(COUNT(T42:W42)&gt;0,P42/COUNT(T42:W42),0.5)</f>
        <v/>
      </c>
      <c r="O42" s="19">
        <f>IF(COUNT(X42:AA42)&gt;0,Q42/COUNT(X42:AA42),0.5)</f>
        <v/>
      </c>
      <c r="P42" s="20">
        <f>SUM(T42:W42)</f>
        <v/>
      </c>
      <c r="Q42" s="20">
        <f>SUM(X42:AA42)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IF(ISNUMBER(R42),IF(ISNUMBER(R38),IF(R42&gt;R38,1.0,IF(R42=R38,0.5,0.0)),""),"")</f>
        <v/>
      </c>
      <c r="U42" s="15">
        <f>IF(ISNUMBER(R42),IF(ISNUMBER(R39),IF(R42&gt;R39,1.0,IF(R42=R39,0.5,0.0)),""),"")</f>
        <v/>
      </c>
      <c r="V42" s="15">
        <f>IF(ISNUMBER(R42),IF(ISNUMBER(R40),IF(R42&gt;R40,1.0,IF(R42=R40,0.5,0.0)),""),"")</f>
        <v/>
      </c>
      <c r="W42" s="15">
        <f>IF(ISNUMBER(R42),IF(ISNUMBER(R41),IF(R42&gt;R41,1.0,IF(R42=R41,0.5,0.0)),""),"")</f>
        <v/>
      </c>
      <c r="X42" s="15">
        <f>IF(ISNUMBER(S42),IF(ISNUMBER(S38),IF(S42&gt;S38,1.0,IF(S42=S38,0.5,0.0)),""),"")</f>
        <v/>
      </c>
      <c r="Y42" s="15">
        <f>IF(ISNUMBER(S42),IF(ISNUMBER(S39),IF(S42&gt;S39,1.0,IF(S42=S39,0.5,0.0)),""),"")</f>
        <v/>
      </c>
      <c r="Z42" s="15">
        <f>IF(ISNUMBER(S42),IF(ISNUMBER(S40),IF(S42&gt;S40,1.0,IF(S42=S40,0.5,0.0)),""),"")</f>
        <v/>
      </c>
      <c r="AA42" s="15">
        <f>IF(ISNUMBER(S42),IF(ISNUMBER(S41),IF(S42&gt;S41,1.0,IF(S42=S41,0.5,0.0)),""),"")</f>
        <v/>
      </c>
      <c r="AB42" s="21">
        <f>IF(AND(ISNUMBER(R42),ISNUMBER(R38)),VLOOKUP(ABS(R42-R38),'IMP Table'!$A$2:$C$26,3)*SIGN(R42-R38),0)</f>
        <v/>
      </c>
      <c r="AC42" s="15">
        <f>IF(AND(ISNUMBER(R42),ISNUMBER(R39)),VLOOKUP(ABS(R42-R39),'IMP Table'!$A$2:$C$26,3)*SIGN(R42-R39),0)</f>
        <v/>
      </c>
      <c r="AD42" s="15">
        <f>IF(AND(ISNUMBER(R42),ISNUMBER(R40)),VLOOKUP(ABS(R42-R40),'IMP Table'!$A$2:$C$26,3)*SIGN(R42-R40),0)</f>
        <v/>
      </c>
      <c r="AE42" s="15">
        <f>IF(AND(ISNUMBER(R42),ISNUMBER(R41)),VLOOKUP(ABS(R42-R41),'IMP Table'!$A$2:$C$26,3)*SIGN(R42-R41),0)</f>
        <v/>
      </c>
      <c r="AF42" s="15">
        <f>IF(AND(ISNUMBER(S42),ISNUMBER(S38)),VLOOKUP(ABS(S42-S38),'IMP Table'!$A$2:$C$26,3)*SIGN(S42-S38),0)</f>
        <v/>
      </c>
      <c r="AG42" s="15">
        <f>IF(AND(ISNUMBER(S42),ISNUMBER(S39)),VLOOKUP(ABS(S42-S39),'IMP Table'!$A$2:$C$26,3)*SIGN(S42-S39),0)</f>
        <v/>
      </c>
      <c r="AH42" s="15">
        <f>IF(AND(ISNUMBER(S42),ISNUMBER(S40)),VLOOKUP(ABS(S42-S40),'IMP Table'!$A$2:$C$26,3)*SIGN(S42-S40),0)</f>
        <v/>
      </c>
      <c r="AI42" s="15">
        <f>IF(AND(ISNUMBER(S42),ISNUMBER(S41)),VLOOKUP(ABS(S42-S41),'IMP Table'!$A$2:$C$26,3)*SIGN(S42-S41),0)</f>
        <v/>
      </c>
    </row>
    <row r="43">
      <c r="A43" s="11" t="n">
        <v>9</v>
      </c>
      <c r="B43" s="11">
        <f>'By Round'!A53</f>
        <v/>
      </c>
      <c r="C43" s="11">
        <f>'By Round'!B61</f>
        <v/>
      </c>
      <c r="D43" s="11">
        <f>'By Round'!C61</f>
        <v/>
      </c>
      <c r="E43" s="11">
        <f>'By Round'!D61</f>
        <v/>
      </c>
      <c r="F43" s="11">
        <f>IF(ISBLANK('By Round'!F61),"",'By Round'!F61)</f>
        <v/>
      </c>
      <c r="G43">
        <f>IF(ISBLANK('By Round'!G61),"",'By Round'!G61)</f>
        <v/>
      </c>
      <c r="H43">
        <f>IF(ISBLANK('By Round'!H61),"",'By Round'!H61)</f>
        <v/>
      </c>
      <c r="I43">
        <f>IF(ISBLANK('By Round'!I61),"",'By Round'!I61)</f>
        <v/>
      </c>
      <c r="J43">
        <f>IF(ISBLANK('By Round'!J61),"",'By Round'!J61)</f>
        <v/>
      </c>
      <c r="K43">
        <f>IF(ISBLANK('By Round'!K61),"",'By Round'!K61)</f>
        <v/>
      </c>
      <c r="L43" s="12">
        <f>AVERAGE(AB43:AE43)</f>
        <v/>
      </c>
      <c r="M43" s="13">
        <f>AVERAGE(AF43:AI43)</f>
        <v/>
      </c>
      <c r="N43" s="8">
        <f>IF(COUNT(T43:W43)&gt;0,P43/COUNT(T43:W43),0.5)</f>
        <v/>
      </c>
      <c r="O43" s="8">
        <f>IF(COUNT(X43:AA43)&gt;0,Q43/COUNT(X43:AA43),0.5)</f>
        <v/>
      </c>
      <c r="P43" s="5">
        <f>SUM(T43:W43)</f>
        <v/>
      </c>
      <c r="Q43" s="5">
        <f>SUM(X43:AA43)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4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1">
        <f>'By Round'!A33</f>
        <v/>
      </c>
      <c r="C44" s="11">
        <f>'By Round'!B35</f>
        <v/>
      </c>
      <c r="D44" s="11">
        <f>'By Round'!C35</f>
        <v/>
      </c>
      <c r="E44" s="11">
        <f>'By Round'!D35</f>
        <v/>
      </c>
      <c r="F44" s="11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2">
        <f>AVERAGE(AB44:AE44)</f>
        <v/>
      </c>
      <c r="M44" s="13">
        <f>AVERAGE(AF44:AI44)</f>
        <v/>
      </c>
      <c r="N44" s="8">
        <f>IF(COUNT(T44:W44)&gt;0,P44/COUNT(T44:W44),0.5)</f>
        <v/>
      </c>
      <c r="O44" s="8">
        <f>IF(COUNT(X44:AA44)&gt;0,Q44/COUNT(X44:AA44),0.5)</f>
        <v/>
      </c>
      <c r="P44" s="5">
        <f>SUM(T44:W44)</f>
        <v/>
      </c>
      <c r="Q44" s="5">
        <f>SUM(X44:AA44)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4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1">
        <f>'By Round'!A23</f>
        <v/>
      </c>
      <c r="C45" s="11">
        <f>'By Round'!B27</f>
        <v/>
      </c>
      <c r="D45" s="11">
        <f>'By Round'!C27</f>
        <v/>
      </c>
      <c r="E45" s="11">
        <f>'By Round'!D27</f>
        <v/>
      </c>
      <c r="F45" s="11">
        <f>IF(ISBLANK('By Round'!F27),"",'By Round'!F27)</f>
        <v/>
      </c>
      <c r="G45">
        <f>IF(ISBLANK('By Round'!G27),"",'By Round'!G27)</f>
        <v/>
      </c>
      <c r="H45">
        <f>IF(ISBLANK('By Round'!H27),"",'By Round'!H27)</f>
        <v/>
      </c>
      <c r="I45">
        <f>IF(ISBLANK('By Round'!I27),"",'By Round'!I27)</f>
        <v/>
      </c>
      <c r="J45">
        <f>IF(ISBLANK('By Round'!J27),"",'By Round'!J27)</f>
        <v/>
      </c>
      <c r="K45">
        <f>IF(ISBLANK('By Round'!K27),"",'By Round'!K27)</f>
        <v/>
      </c>
      <c r="L45" s="12">
        <f>AVERAGE(AB45:AE45)</f>
        <v/>
      </c>
      <c r="M45" s="13">
        <f>AVERAGE(AF45:AI45)</f>
        <v/>
      </c>
      <c r="N45" s="8">
        <f>IF(COUNT(T45:W45)&gt;0,P45/COUNT(T45:W45),0.5)</f>
        <v/>
      </c>
      <c r="O45" s="8">
        <f>IF(COUNT(X45:AA45)&gt;0,Q45/COUNT(X45:AA45),0.5)</f>
        <v/>
      </c>
      <c r="P45" s="5">
        <f>SUM(T45:W45)</f>
        <v/>
      </c>
      <c r="Q45" s="5">
        <f>SUM(X45:AA45)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4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1">
        <f>'By Round'!A63</f>
        <v/>
      </c>
      <c r="C46" s="11">
        <f>'By Round'!B69</f>
        <v/>
      </c>
      <c r="D46" s="11">
        <f>'By Round'!C69</f>
        <v/>
      </c>
      <c r="E46" s="11">
        <f>'By Round'!D69</f>
        <v/>
      </c>
      <c r="F46" s="11">
        <f>IF(ISBLANK('By Round'!F69),"",'By Round'!F69)</f>
        <v/>
      </c>
      <c r="G46">
        <f>IF(ISBLANK('By Round'!G69),"",'By Round'!G69)</f>
        <v/>
      </c>
      <c r="H46">
        <f>IF(ISBLANK('By Round'!H69),"",'By Round'!H69)</f>
        <v/>
      </c>
      <c r="I46">
        <f>IF(ISBLANK('By Round'!I69),"",'By Round'!I69)</f>
        <v/>
      </c>
      <c r="J46">
        <f>IF(ISBLANK('By Round'!J69),"",'By Round'!J69)</f>
        <v/>
      </c>
      <c r="K46">
        <f>IF(ISBLANK('By Round'!K69),"",'By Round'!K69)</f>
        <v/>
      </c>
      <c r="L46" s="12">
        <f>AVERAGE(AB46:AE46)</f>
        <v/>
      </c>
      <c r="M46" s="13">
        <f>AVERAGE(AF46:AI46)</f>
        <v/>
      </c>
      <c r="N46" s="8">
        <f>IF(COUNT(T46:W46)&gt;0,P46/COUNT(T46:W46),0.5)</f>
        <v/>
      </c>
      <c r="O46" s="8">
        <f>IF(COUNT(X46:AA46)&gt;0,Q46/COUNT(X46:AA46),0.5)</f>
        <v/>
      </c>
      <c r="P46" s="5">
        <f>SUM(T46:W46)</f>
        <v/>
      </c>
      <c r="Q46" s="5">
        <f>SUM(X46:AA46)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4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15" t="n"/>
      <c r="B47" s="16">
        <f>'By Round'!A43</f>
        <v/>
      </c>
      <c r="C47" s="16">
        <f>'By Round'!B43</f>
        <v/>
      </c>
      <c r="D47" s="16">
        <f>'By Round'!C43</f>
        <v/>
      </c>
      <c r="E47" s="16">
        <f>'By Round'!D43</f>
        <v/>
      </c>
      <c r="F47" s="16">
        <f>IF(ISBLANK('By Round'!F43),"",'By Round'!F43)</f>
        <v/>
      </c>
      <c r="G47" s="15">
        <f>IF(ISBLANK('By Round'!G43),"",'By Round'!G43)</f>
        <v/>
      </c>
      <c r="H47" s="15">
        <f>IF(ISBLANK('By Round'!H43),"",'By Round'!H43)</f>
        <v/>
      </c>
      <c r="I47" s="15">
        <f>IF(ISBLANK('By Round'!I43),"",'By Round'!I43)</f>
        <v/>
      </c>
      <c r="J47" s="15">
        <f>IF(ISBLANK('By Round'!J43),"",'By Round'!J43)</f>
        <v/>
      </c>
      <c r="K47" s="15">
        <f>IF(ISBLANK('By Round'!K43),"",'By Round'!K43)</f>
        <v/>
      </c>
      <c r="L47" s="17">
        <f>AVERAGE(AB47:AE47)</f>
        <v/>
      </c>
      <c r="M47" s="18">
        <f>AVERAGE(AF47:AI47)</f>
        <v/>
      </c>
      <c r="N47" s="19">
        <f>IF(COUNT(T47:W47)&gt;0,P47/COUNT(T47:W47),0.5)</f>
        <v/>
      </c>
      <c r="O47" s="19">
        <f>IF(COUNT(X47:AA47)&gt;0,Q47/COUNT(X47:AA47),0.5)</f>
        <v/>
      </c>
      <c r="P47" s="20">
        <f>SUM(T47:W47)</f>
        <v/>
      </c>
      <c r="Q47" s="20">
        <f>SUM(X47:AA47)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IF(ISNUMBER(R47),IF(ISNUMBER(R43),IF(R47&gt;R43,1.0,IF(R47=R43,0.5,0.0)),""),"")</f>
        <v/>
      </c>
      <c r="U47" s="15">
        <f>IF(ISNUMBER(R47),IF(ISNUMBER(R44),IF(R47&gt;R44,1.0,IF(R47=R44,0.5,0.0)),""),"")</f>
        <v/>
      </c>
      <c r="V47" s="15">
        <f>IF(ISNUMBER(R47),IF(ISNUMBER(R45),IF(R47&gt;R45,1.0,IF(R47=R45,0.5,0.0)),""),"")</f>
        <v/>
      </c>
      <c r="W47" s="15">
        <f>IF(ISNUMBER(R47),IF(ISNUMBER(R46),IF(R47&gt;R46,1.0,IF(R47=R46,0.5,0.0)),""),"")</f>
        <v/>
      </c>
      <c r="X47" s="15">
        <f>IF(ISNUMBER(S47),IF(ISNUMBER(S43),IF(S47&gt;S43,1.0,IF(S47=S43,0.5,0.0)),""),"")</f>
        <v/>
      </c>
      <c r="Y47" s="15">
        <f>IF(ISNUMBER(S47),IF(ISNUMBER(S44),IF(S47&gt;S44,1.0,IF(S47=S44,0.5,0.0)),""),"")</f>
        <v/>
      </c>
      <c r="Z47" s="15">
        <f>IF(ISNUMBER(S47),IF(ISNUMBER(S45),IF(S47&gt;S45,1.0,IF(S47=S45,0.5,0.0)),""),"")</f>
        <v/>
      </c>
      <c r="AA47" s="15">
        <f>IF(ISNUMBER(S47),IF(ISNUMBER(S46),IF(S47&gt;S46,1.0,IF(S47=S46,0.5,0.0)),""),"")</f>
        <v/>
      </c>
      <c r="AB47" s="21">
        <f>IF(AND(ISNUMBER(R47),ISNUMBER(R43)),VLOOKUP(ABS(R47-R43),'IMP Table'!$A$2:$C$26,3)*SIGN(R47-R43),0)</f>
        <v/>
      </c>
      <c r="AC47" s="15">
        <f>IF(AND(ISNUMBER(R47),ISNUMBER(R44)),VLOOKUP(ABS(R47-R44),'IMP Table'!$A$2:$C$26,3)*SIGN(R47-R44),0)</f>
        <v/>
      </c>
      <c r="AD47" s="15">
        <f>IF(AND(ISNUMBER(R47),ISNUMBER(R45)),VLOOKUP(ABS(R47-R45),'IMP Table'!$A$2:$C$26,3)*SIGN(R47-R45),0)</f>
        <v/>
      </c>
      <c r="AE47" s="15">
        <f>IF(AND(ISNUMBER(R47),ISNUMBER(R46)),VLOOKUP(ABS(R47-R46),'IMP Table'!$A$2:$C$26,3)*SIGN(R47-R46),0)</f>
        <v/>
      </c>
      <c r="AF47" s="15">
        <f>IF(AND(ISNUMBER(S47),ISNUMBER(S43)),VLOOKUP(ABS(S47-S43),'IMP Table'!$A$2:$C$26,3)*SIGN(S47-S43),0)</f>
        <v/>
      </c>
      <c r="AG47" s="15">
        <f>IF(AND(ISNUMBER(S47),ISNUMBER(S44)),VLOOKUP(ABS(S47-S44),'IMP Table'!$A$2:$C$26,3)*SIGN(S47-S44),0)</f>
        <v/>
      </c>
      <c r="AH47" s="15">
        <f>IF(AND(ISNUMBER(S47),ISNUMBER(S45)),VLOOKUP(ABS(S47-S45),'IMP Table'!$A$2:$C$26,3)*SIGN(S47-S45),0)</f>
        <v/>
      </c>
      <c r="AI47" s="15">
        <f>IF(AND(ISNUMBER(S47),ISNUMBER(S46)),VLOOKUP(ABS(S47-S46),'IMP Table'!$A$2:$C$26,3)*SIGN(S47-S46),0)</f>
        <v/>
      </c>
    </row>
    <row r="48">
      <c r="A48" s="11" t="n">
        <v>10</v>
      </c>
      <c r="B48" s="11">
        <f>'By Round'!A53</f>
        <v/>
      </c>
      <c r="C48" s="11">
        <f>'By Round'!B61</f>
        <v/>
      </c>
      <c r="D48" s="11">
        <f>'By Round'!C61</f>
        <v/>
      </c>
      <c r="E48" s="11">
        <f>'By Round'!D61</f>
        <v/>
      </c>
      <c r="F48" s="11">
        <f>IF(ISBLANK('By Round'!F62),"",'By Round'!F62)</f>
        <v/>
      </c>
      <c r="G48">
        <f>IF(ISBLANK('By Round'!G62),"",'By Round'!G62)</f>
        <v/>
      </c>
      <c r="H48">
        <f>IF(ISBLANK('By Round'!H62),"",'By Round'!H62)</f>
        <v/>
      </c>
      <c r="I48">
        <f>IF(ISBLANK('By Round'!I62),"",'By Round'!I62)</f>
        <v/>
      </c>
      <c r="J48">
        <f>IF(ISBLANK('By Round'!J62),"",'By Round'!J62)</f>
        <v/>
      </c>
      <c r="K48">
        <f>IF(ISBLANK('By Round'!K62),"",'By Round'!K62)</f>
        <v/>
      </c>
      <c r="L48" s="12">
        <f>AVERAGE(AB48:AE48)</f>
        <v/>
      </c>
      <c r="M48" s="13">
        <f>AVERAGE(AF48:AI48)</f>
        <v/>
      </c>
      <c r="N48" s="8">
        <f>IF(COUNT(T48:W48)&gt;0,P48/COUNT(T48:W48),0.5)</f>
        <v/>
      </c>
      <c r="O48" s="8">
        <f>IF(COUNT(X48:AA48)&gt;0,Q48/COUNT(X48:AA48),0.5)</f>
        <v/>
      </c>
      <c r="P48" s="5">
        <f>SUM(T48:W48)</f>
        <v/>
      </c>
      <c r="Q48" s="5">
        <f>SUM(X48:AA48)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4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1">
        <f>'By Round'!A33</f>
        <v/>
      </c>
      <c r="C49" s="11">
        <f>'By Round'!B35</f>
        <v/>
      </c>
      <c r="D49" s="11">
        <f>'By Round'!C35</f>
        <v/>
      </c>
      <c r="E49" s="11">
        <f>'By Round'!D35</f>
        <v/>
      </c>
      <c r="F49" s="11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 s="12">
        <f>AVERAGE(AB49:AE49)</f>
        <v/>
      </c>
      <c r="M49" s="13">
        <f>AVERAGE(AF49:AI49)</f>
        <v/>
      </c>
      <c r="N49" s="8">
        <f>IF(COUNT(T49:W49)&gt;0,P49/COUNT(T49:W49),0.5)</f>
        <v/>
      </c>
      <c r="O49" s="8">
        <f>IF(COUNT(X49:AA49)&gt;0,Q49/COUNT(X49:AA49),0.5)</f>
        <v/>
      </c>
      <c r="P49" s="5">
        <f>SUM(T49:W49)</f>
        <v/>
      </c>
      <c r="Q49" s="5">
        <f>SUM(X49:AA49)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4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1">
        <f>'By Round'!A23</f>
        <v/>
      </c>
      <c r="C50" s="11">
        <f>'By Round'!B27</f>
        <v/>
      </c>
      <c r="D50" s="11">
        <f>'By Round'!C27</f>
        <v/>
      </c>
      <c r="E50" s="11">
        <f>'By Round'!D27</f>
        <v/>
      </c>
      <c r="F50" s="11">
        <f>IF(ISBLANK('By Round'!F28),"",'By Round'!F28)</f>
        <v/>
      </c>
      <c r="G50">
        <f>IF(ISBLANK('By Round'!G28),"",'By Round'!G28)</f>
        <v/>
      </c>
      <c r="H50">
        <f>IF(ISBLANK('By Round'!H28),"",'By Round'!H28)</f>
        <v/>
      </c>
      <c r="I50">
        <f>IF(ISBLANK('By Round'!I28),"",'By Round'!I28)</f>
        <v/>
      </c>
      <c r="J50">
        <f>IF(ISBLANK('By Round'!J28),"",'By Round'!J28)</f>
        <v/>
      </c>
      <c r="K50">
        <f>IF(ISBLANK('By Round'!K28),"",'By Round'!K28)</f>
        <v/>
      </c>
      <c r="L50" s="12">
        <f>AVERAGE(AB50:AE50)</f>
        <v/>
      </c>
      <c r="M50" s="13">
        <f>AVERAGE(AF50:AI50)</f>
        <v/>
      </c>
      <c r="N50" s="8">
        <f>IF(COUNT(T50:W50)&gt;0,P50/COUNT(T50:W50),0.5)</f>
        <v/>
      </c>
      <c r="O50" s="8">
        <f>IF(COUNT(X50:AA50)&gt;0,Q50/COUNT(X50:AA50),0.5)</f>
        <v/>
      </c>
      <c r="P50" s="5">
        <f>SUM(T50:W50)</f>
        <v/>
      </c>
      <c r="Q50" s="5">
        <f>SUM(X50:AA50)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4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1">
        <f>'By Round'!A63</f>
        <v/>
      </c>
      <c r="C51" s="11">
        <f>'By Round'!B69</f>
        <v/>
      </c>
      <c r="D51" s="11">
        <f>'By Round'!C69</f>
        <v/>
      </c>
      <c r="E51" s="11">
        <f>'By Round'!D69</f>
        <v/>
      </c>
      <c r="F51" s="11">
        <f>IF(ISBLANK('By Round'!F70),"",'By Round'!F70)</f>
        <v/>
      </c>
      <c r="G51">
        <f>IF(ISBLANK('By Round'!G70),"",'By Round'!G70)</f>
        <v/>
      </c>
      <c r="H51">
        <f>IF(ISBLANK('By Round'!H70),"",'By Round'!H70)</f>
        <v/>
      </c>
      <c r="I51">
        <f>IF(ISBLANK('By Round'!I70),"",'By Round'!I70)</f>
        <v/>
      </c>
      <c r="J51">
        <f>IF(ISBLANK('By Round'!J70),"",'By Round'!J70)</f>
        <v/>
      </c>
      <c r="K51">
        <f>IF(ISBLANK('By Round'!K70),"",'By Round'!K70)</f>
        <v/>
      </c>
      <c r="L51" s="12">
        <f>AVERAGE(AB51:AE51)</f>
        <v/>
      </c>
      <c r="M51" s="13">
        <f>AVERAGE(AF51:AI51)</f>
        <v/>
      </c>
      <c r="N51" s="8">
        <f>IF(COUNT(T51:W51)&gt;0,P51/COUNT(T51:W51),0.5)</f>
        <v/>
      </c>
      <c r="O51" s="8">
        <f>IF(COUNT(X51:AA51)&gt;0,Q51/COUNT(X51:AA51),0.5)</f>
        <v/>
      </c>
      <c r="P51" s="5">
        <f>SUM(T51:W51)</f>
        <v/>
      </c>
      <c r="Q51" s="5">
        <f>SUM(X51:AA51)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4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15" t="n"/>
      <c r="B52" s="16">
        <f>'By Round'!A43</f>
        <v/>
      </c>
      <c r="C52" s="16">
        <f>'By Round'!B43</f>
        <v/>
      </c>
      <c r="D52" s="16">
        <f>'By Round'!C43</f>
        <v/>
      </c>
      <c r="E52" s="16">
        <f>'By Round'!D43</f>
        <v/>
      </c>
      <c r="F52" s="16">
        <f>IF(ISBLANK('By Round'!F44),"",'By Round'!F44)</f>
        <v/>
      </c>
      <c r="G52" s="15">
        <f>IF(ISBLANK('By Round'!G44),"",'By Round'!G44)</f>
        <v/>
      </c>
      <c r="H52" s="15">
        <f>IF(ISBLANK('By Round'!H44),"",'By Round'!H44)</f>
        <v/>
      </c>
      <c r="I52" s="15">
        <f>IF(ISBLANK('By Round'!I44),"",'By Round'!I44)</f>
        <v/>
      </c>
      <c r="J52" s="15">
        <f>IF(ISBLANK('By Round'!J44),"",'By Round'!J44)</f>
        <v/>
      </c>
      <c r="K52" s="15">
        <f>IF(ISBLANK('By Round'!K44),"",'By Round'!K44)</f>
        <v/>
      </c>
      <c r="L52" s="17">
        <f>AVERAGE(AB52:AE52)</f>
        <v/>
      </c>
      <c r="M52" s="18">
        <f>AVERAGE(AF52:AI52)</f>
        <v/>
      </c>
      <c r="N52" s="19">
        <f>IF(COUNT(T52:W52)&gt;0,P52/COUNT(T52:W52),0.5)</f>
        <v/>
      </c>
      <c r="O52" s="19">
        <f>IF(COUNT(X52:AA52)&gt;0,Q52/COUNT(X52:AA52),0.5)</f>
        <v/>
      </c>
      <c r="P52" s="20">
        <f>SUM(T52:W52)</f>
        <v/>
      </c>
      <c r="Q52" s="20">
        <f>SUM(X52:AA52)</f>
        <v/>
      </c>
      <c r="R52" s="21">
        <f>IF(ISNUMBER(J52),J52,IF(ISNUMBER(K52),-K52,""))</f>
        <v/>
      </c>
      <c r="S52" s="15">
        <f>IF(ISNUMBER(K52),K52,IF(ISNUMBER(J52),-J52,""))</f>
        <v/>
      </c>
      <c r="T52" s="21">
        <f>IF(ISNUMBER(R52),IF(ISNUMBER(R48),IF(R52&gt;R48,1.0,IF(R52=R48,0.5,0.0)),""),"")</f>
        <v/>
      </c>
      <c r="U52" s="15">
        <f>IF(ISNUMBER(R52),IF(ISNUMBER(R49),IF(R52&gt;R49,1.0,IF(R52=R49,0.5,0.0)),""),"")</f>
        <v/>
      </c>
      <c r="V52" s="15">
        <f>IF(ISNUMBER(R52),IF(ISNUMBER(R50),IF(R52&gt;R50,1.0,IF(R52=R50,0.5,0.0)),""),"")</f>
        <v/>
      </c>
      <c r="W52" s="15">
        <f>IF(ISNUMBER(R52),IF(ISNUMBER(R51),IF(R52&gt;R51,1.0,IF(R52=R51,0.5,0.0)),""),"")</f>
        <v/>
      </c>
      <c r="X52" s="15">
        <f>IF(ISNUMBER(S52),IF(ISNUMBER(S48),IF(S52&gt;S48,1.0,IF(S52=S48,0.5,0.0)),""),"")</f>
        <v/>
      </c>
      <c r="Y52" s="15">
        <f>IF(ISNUMBER(S52),IF(ISNUMBER(S49),IF(S52&gt;S49,1.0,IF(S52=S49,0.5,0.0)),""),"")</f>
        <v/>
      </c>
      <c r="Z52" s="15">
        <f>IF(ISNUMBER(S52),IF(ISNUMBER(S50),IF(S52&gt;S50,1.0,IF(S52=S50,0.5,0.0)),""),"")</f>
        <v/>
      </c>
      <c r="AA52" s="15">
        <f>IF(ISNUMBER(S52),IF(ISNUMBER(S51),IF(S52&gt;S51,1.0,IF(S52=S51,0.5,0.0)),""),"")</f>
        <v/>
      </c>
      <c r="AB52" s="21">
        <f>IF(AND(ISNUMBER(R52),ISNUMBER(R48)),VLOOKUP(ABS(R52-R48),'IMP Table'!$A$2:$C$26,3)*SIGN(R52-R48),0)</f>
        <v/>
      </c>
      <c r="AC52" s="15">
        <f>IF(AND(ISNUMBER(R52),ISNUMBER(R49)),VLOOKUP(ABS(R52-R49),'IMP Table'!$A$2:$C$26,3)*SIGN(R52-R49),0)</f>
        <v/>
      </c>
      <c r="AD52" s="15">
        <f>IF(AND(ISNUMBER(R52),ISNUMBER(R50)),VLOOKUP(ABS(R52-R50),'IMP Table'!$A$2:$C$26,3)*SIGN(R52-R50),0)</f>
        <v/>
      </c>
      <c r="AE52" s="15">
        <f>IF(AND(ISNUMBER(R52),ISNUMBER(R51)),VLOOKUP(ABS(R52-R51),'IMP Table'!$A$2:$C$26,3)*SIGN(R52-R51),0)</f>
        <v/>
      </c>
      <c r="AF52" s="15">
        <f>IF(AND(ISNUMBER(S52),ISNUMBER(S48)),VLOOKUP(ABS(S52-S48),'IMP Table'!$A$2:$C$26,3)*SIGN(S52-S48),0)</f>
        <v/>
      </c>
      <c r="AG52" s="15">
        <f>IF(AND(ISNUMBER(S52),ISNUMBER(S49)),VLOOKUP(ABS(S52-S49),'IMP Table'!$A$2:$C$26,3)*SIGN(S52-S49),0)</f>
        <v/>
      </c>
      <c r="AH52" s="15">
        <f>IF(AND(ISNUMBER(S52),ISNUMBER(S50)),VLOOKUP(ABS(S52-S50),'IMP Table'!$A$2:$C$26,3)*SIGN(S52-S50),0)</f>
        <v/>
      </c>
      <c r="AI52" s="15">
        <f>IF(AND(ISNUMBER(S52),ISNUMBER(S51)),VLOOKUP(ABS(S52-S51),'IMP Table'!$A$2:$C$26,3)*SIGN(S52-S51),0)</f>
        <v/>
      </c>
    </row>
    <row r="53">
      <c r="A53" s="11" t="n">
        <v>11</v>
      </c>
      <c r="B53" s="11">
        <f>'By Round'!A73</f>
        <v/>
      </c>
      <c r="C53" s="11">
        <f>'By Round'!B79</f>
        <v/>
      </c>
      <c r="D53" s="11">
        <f>'By Round'!C79</f>
        <v/>
      </c>
      <c r="E53" s="11">
        <f>'By Round'!D79</f>
        <v/>
      </c>
      <c r="F53" s="11">
        <f>IF(ISBLANK('By Round'!F79),"",'By Round'!F79)</f>
        <v/>
      </c>
      <c r="G53">
        <f>IF(ISBLANK('By Round'!G79),"",'By Round'!G79)</f>
        <v/>
      </c>
      <c r="H53">
        <f>IF(ISBLANK('By Round'!H79),"",'By Round'!H79)</f>
        <v/>
      </c>
      <c r="I53">
        <f>IF(ISBLANK('By Round'!I79),"",'By Round'!I79)</f>
        <v/>
      </c>
      <c r="J53">
        <f>IF(ISBLANK('By Round'!J79),"",'By Round'!J79)</f>
        <v/>
      </c>
      <c r="K53">
        <f>IF(ISBLANK('By Round'!K79),"",'By Round'!K79)</f>
        <v/>
      </c>
      <c r="L53" s="12">
        <f>AVERAGE(AB53:AE53)</f>
        <v/>
      </c>
      <c r="M53" s="13">
        <f>AVERAGE(AF53:AI53)</f>
        <v/>
      </c>
      <c r="N53" s="8">
        <f>IF(COUNT(T53:W53)&gt;0,P53/COUNT(T53:W53),0.5)</f>
        <v/>
      </c>
      <c r="O53" s="8">
        <f>IF(COUNT(X53:AA53)&gt;0,Q53/COUNT(X53:AA53),0.5)</f>
        <v/>
      </c>
      <c r="P53" s="5">
        <f>SUM(T53:W53)</f>
        <v/>
      </c>
      <c r="Q53" s="5">
        <f>SUM(X53:AA53)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4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1">
        <f>'By Round'!A63</f>
        <v/>
      </c>
      <c r="C54" s="11">
        <f>'By Round'!B71</f>
        <v/>
      </c>
      <c r="D54" s="11">
        <f>'By Round'!C71</f>
        <v/>
      </c>
      <c r="E54" s="11">
        <f>'By Round'!D71</f>
        <v/>
      </c>
      <c r="F54" s="11">
        <f>IF(ISBLANK('By Round'!F71),"",'By Round'!F71)</f>
        <v/>
      </c>
      <c r="G54">
        <f>IF(ISBLANK('By Round'!G71),"",'By Round'!G71)</f>
        <v/>
      </c>
      <c r="H54">
        <f>IF(ISBLANK('By Round'!H71),"",'By Round'!H71)</f>
        <v/>
      </c>
      <c r="I54">
        <f>IF(ISBLANK('By Round'!I71),"",'By Round'!I71)</f>
        <v/>
      </c>
      <c r="J54">
        <f>IF(ISBLANK('By Round'!J71),"",'By Round'!J71)</f>
        <v/>
      </c>
      <c r="K54">
        <f>IF(ISBLANK('By Round'!K71),"",'By Round'!K71)</f>
        <v/>
      </c>
      <c r="L54" s="12">
        <f>AVERAGE(AB54:AE54)</f>
        <v/>
      </c>
      <c r="M54" s="13">
        <f>AVERAGE(AF54:AI54)</f>
        <v/>
      </c>
      <c r="N54" s="8">
        <f>IF(COUNT(T54:W54)&gt;0,P54/COUNT(T54:W54),0.5)</f>
        <v/>
      </c>
      <c r="O54" s="8">
        <f>IF(COUNT(X54:AA54)&gt;0,Q54/COUNT(X54:AA54),0.5)</f>
        <v/>
      </c>
      <c r="P54" s="5">
        <f>SUM(T54:W54)</f>
        <v/>
      </c>
      <c r="Q54" s="5">
        <f>SUM(X54:AA54)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4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1">
        <f>'By Round'!A43</f>
        <v/>
      </c>
      <c r="C55" s="11">
        <f>'By Round'!B45</f>
        <v/>
      </c>
      <c r="D55" s="11">
        <f>'By Round'!C45</f>
        <v/>
      </c>
      <c r="E55" s="11">
        <f>'By Round'!D45</f>
        <v/>
      </c>
      <c r="F55" s="11">
        <f>IF(ISBLANK('By Round'!F45),"",'By Round'!F45)</f>
        <v/>
      </c>
      <c r="G55">
        <f>IF(ISBLANK('By Round'!G45),"",'By Round'!G45)</f>
        <v/>
      </c>
      <c r="H55">
        <f>IF(ISBLANK('By Round'!H45),"",'By Round'!H45)</f>
        <v/>
      </c>
      <c r="I55">
        <f>IF(ISBLANK('By Round'!I45),"",'By Round'!I45)</f>
        <v/>
      </c>
      <c r="J55">
        <f>IF(ISBLANK('By Round'!J45),"",'By Round'!J45)</f>
        <v/>
      </c>
      <c r="K55">
        <f>IF(ISBLANK('By Round'!K45),"",'By Round'!K45)</f>
        <v/>
      </c>
      <c r="L55" s="12">
        <f>AVERAGE(AB55:AE55)</f>
        <v/>
      </c>
      <c r="M55" s="13">
        <f>AVERAGE(AF55:AI55)</f>
        <v/>
      </c>
      <c r="N55" s="8">
        <f>IF(COUNT(T55:W55)&gt;0,P55/COUNT(T55:W55),0.5)</f>
        <v/>
      </c>
      <c r="O55" s="8">
        <f>IF(COUNT(X55:AA55)&gt;0,Q55/COUNT(X55:AA55),0.5)</f>
        <v/>
      </c>
      <c r="P55" s="5">
        <f>SUM(T55:W55)</f>
        <v/>
      </c>
      <c r="Q55" s="5">
        <f>SUM(X55:AA55)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4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1">
        <f>'By Round'!A33</f>
        <v/>
      </c>
      <c r="C56" s="11">
        <f>'By Round'!B37</f>
        <v/>
      </c>
      <c r="D56" s="11">
        <f>'By Round'!C37</f>
        <v/>
      </c>
      <c r="E56" s="11">
        <f>'By Round'!D37</f>
        <v/>
      </c>
      <c r="F56" s="11">
        <f>IF(ISBLANK('By Round'!F37),"",'By Round'!F37)</f>
        <v/>
      </c>
      <c r="G56">
        <f>IF(ISBLANK('By Round'!G37),"",'By Round'!G37)</f>
        <v/>
      </c>
      <c r="H56">
        <f>IF(ISBLANK('By Round'!H37),"",'By Round'!H37)</f>
        <v/>
      </c>
      <c r="I56">
        <f>IF(ISBLANK('By Round'!I37),"",'By Round'!I37)</f>
        <v/>
      </c>
      <c r="J56">
        <f>IF(ISBLANK('By Round'!J37),"",'By Round'!J37)</f>
        <v/>
      </c>
      <c r="K56">
        <f>IF(ISBLANK('By Round'!K37),"",'By Round'!K37)</f>
        <v/>
      </c>
      <c r="L56" s="12">
        <f>AVERAGE(AB56:AE56)</f>
        <v/>
      </c>
      <c r="M56" s="13">
        <f>AVERAGE(AF56:AI56)</f>
        <v/>
      </c>
      <c r="N56" s="8">
        <f>IF(COUNT(T56:W56)&gt;0,P56/COUNT(T56:W56),0.5)</f>
        <v/>
      </c>
      <c r="O56" s="8">
        <f>IF(COUNT(X56:AA56)&gt;0,Q56/COUNT(X56:AA56),0.5)</f>
        <v/>
      </c>
      <c r="P56" s="5">
        <f>SUM(T56:W56)</f>
        <v/>
      </c>
      <c r="Q56" s="5">
        <f>SUM(X56:AA56)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4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15" t="n"/>
      <c r="B57" s="16">
        <f>'By Round'!A53</f>
        <v/>
      </c>
      <c r="C57" s="16">
        <f>'By Round'!B53</f>
        <v/>
      </c>
      <c r="D57" s="16">
        <f>'By Round'!C53</f>
        <v/>
      </c>
      <c r="E57" s="16">
        <f>'By Round'!D53</f>
        <v/>
      </c>
      <c r="F57" s="16">
        <f>IF(ISBLANK('By Round'!F53),"",'By Round'!F53)</f>
        <v/>
      </c>
      <c r="G57" s="15">
        <f>IF(ISBLANK('By Round'!G53),"",'By Round'!G53)</f>
        <v/>
      </c>
      <c r="H57" s="15">
        <f>IF(ISBLANK('By Round'!H53),"",'By Round'!H53)</f>
        <v/>
      </c>
      <c r="I57" s="15">
        <f>IF(ISBLANK('By Round'!I53),"",'By Round'!I53)</f>
        <v/>
      </c>
      <c r="J57" s="15">
        <f>IF(ISBLANK('By Round'!J53),"",'By Round'!J53)</f>
        <v/>
      </c>
      <c r="K57" s="15">
        <f>IF(ISBLANK('By Round'!K53),"",'By Round'!K53)</f>
        <v/>
      </c>
      <c r="L57" s="17">
        <f>AVERAGE(AB57:AE57)</f>
        <v/>
      </c>
      <c r="M57" s="18">
        <f>AVERAGE(AF57:AI57)</f>
        <v/>
      </c>
      <c r="N57" s="19">
        <f>IF(COUNT(T57:W57)&gt;0,P57/COUNT(T57:W57),0.5)</f>
        <v/>
      </c>
      <c r="O57" s="19">
        <f>IF(COUNT(X57:AA57)&gt;0,Q57/COUNT(X57:AA57),0.5)</f>
        <v/>
      </c>
      <c r="P57" s="20">
        <f>SUM(T57:W57)</f>
        <v/>
      </c>
      <c r="Q57" s="20">
        <f>SUM(X57:AA57)</f>
        <v/>
      </c>
      <c r="R57" s="21">
        <f>IF(ISNUMBER(J57),J57,IF(ISNUMBER(K57),-K57,""))</f>
        <v/>
      </c>
      <c r="S57" s="15">
        <f>IF(ISNUMBER(K57),K57,IF(ISNUMBER(J57),-J57,""))</f>
        <v/>
      </c>
      <c r="T57" s="21">
        <f>IF(ISNUMBER(R57),IF(ISNUMBER(R53),IF(R57&gt;R53,1.0,IF(R57=R53,0.5,0.0)),""),"")</f>
        <v/>
      </c>
      <c r="U57" s="15">
        <f>IF(ISNUMBER(R57),IF(ISNUMBER(R54),IF(R57&gt;R54,1.0,IF(R57=R54,0.5,0.0)),""),"")</f>
        <v/>
      </c>
      <c r="V57" s="15">
        <f>IF(ISNUMBER(R57),IF(ISNUMBER(R55),IF(R57&gt;R55,1.0,IF(R57=R55,0.5,0.0)),""),"")</f>
        <v/>
      </c>
      <c r="W57" s="15">
        <f>IF(ISNUMBER(R57),IF(ISNUMBER(R56),IF(R57&gt;R56,1.0,IF(R57=R56,0.5,0.0)),""),"")</f>
        <v/>
      </c>
      <c r="X57" s="15">
        <f>IF(ISNUMBER(S57),IF(ISNUMBER(S53),IF(S57&gt;S53,1.0,IF(S57=S53,0.5,0.0)),""),"")</f>
        <v/>
      </c>
      <c r="Y57" s="15">
        <f>IF(ISNUMBER(S57),IF(ISNUMBER(S54),IF(S57&gt;S54,1.0,IF(S57=S54,0.5,0.0)),""),"")</f>
        <v/>
      </c>
      <c r="Z57" s="15">
        <f>IF(ISNUMBER(S57),IF(ISNUMBER(S55),IF(S57&gt;S55,1.0,IF(S57=S55,0.5,0.0)),""),"")</f>
        <v/>
      </c>
      <c r="AA57" s="15">
        <f>IF(ISNUMBER(S57),IF(ISNUMBER(S56),IF(S57&gt;S56,1.0,IF(S57=S56,0.5,0.0)),""),"")</f>
        <v/>
      </c>
      <c r="AB57" s="21">
        <f>IF(AND(ISNUMBER(R57),ISNUMBER(R53)),VLOOKUP(ABS(R57-R53),'IMP Table'!$A$2:$C$26,3)*SIGN(R57-R53),0)</f>
        <v/>
      </c>
      <c r="AC57" s="15">
        <f>IF(AND(ISNUMBER(R57),ISNUMBER(R54)),VLOOKUP(ABS(R57-R54),'IMP Table'!$A$2:$C$26,3)*SIGN(R57-R54),0)</f>
        <v/>
      </c>
      <c r="AD57" s="15">
        <f>IF(AND(ISNUMBER(R57),ISNUMBER(R55)),VLOOKUP(ABS(R57-R55),'IMP Table'!$A$2:$C$26,3)*SIGN(R57-R55),0)</f>
        <v/>
      </c>
      <c r="AE57" s="15">
        <f>IF(AND(ISNUMBER(R57),ISNUMBER(R56)),VLOOKUP(ABS(R57-R56),'IMP Table'!$A$2:$C$26,3)*SIGN(R57-R56),0)</f>
        <v/>
      </c>
      <c r="AF57" s="15">
        <f>IF(AND(ISNUMBER(S57),ISNUMBER(S53)),VLOOKUP(ABS(S57-S53),'IMP Table'!$A$2:$C$26,3)*SIGN(S57-S53),0)</f>
        <v/>
      </c>
      <c r="AG57" s="15">
        <f>IF(AND(ISNUMBER(S57),ISNUMBER(S54)),VLOOKUP(ABS(S57-S54),'IMP Table'!$A$2:$C$26,3)*SIGN(S57-S54),0)</f>
        <v/>
      </c>
      <c r="AH57" s="15">
        <f>IF(AND(ISNUMBER(S57),ISNUMBER(S55)),VLOOKUP(ABS(S57-S55),'IMP Table'!$A$2:$C$26,3)*SIGN(S57-S55),0)</f>
        <v/>
      </c>
      <c r="AI57" s="15">
        <f>IF(AND(ISNUMBER(S57),ISNUMBER(S56)),VLOOKUP(ABS(S57-S56),'IMP Table'!$A$2:$C$26,3)*SIGN(S57-S56),0)</f>
        <v/>
      </c>
    </row>
    <row r="58">
      <c r="A58" s="11" t="n">
        <v>12</v>
      </c>
      <c r="B58" s="11">
        <f>'By Round'!A73</f>
        <v/>
      </c>
      <c r="C58" s="11">
        <f>'By Round'!B79</f>
        <v/>
      </c>
      <c r="D58" s="11">
        <f>'By Round'!C79</f>
        <v/>
      </c>
      <c r="E58" s="11">
        <f>'By Round'!D79</f>
        <v/>
      </c>
      <c r="F58" s="11">
        <f>IF(ISBLANK('By Round'!F80),"",'By Round'!F80)</f>
        <v/>
      </c>
      <c r="G58">
        <f>IF(ISBLANK('By Round'!G80),"",'By Round'!G80)</f>
        <v/>
      </c>
      <c r="H58">
        <f>IF(ISBLANK('By Round'!H80),"",'By Round'!H80)</f>
        <v/>
      </c>
      <c r="I58">
        <f>IF(ISBLANK('By Round'!I80),"",'By Round'!I80)</f>
        <v/>
      </c>
      <c r="J58">
        <f>IF(ISBLANK('By Round'!J80),"",'By Round'!J80)</f>
        <v/>
      </c>
      <c r="K58">
        <f>IF(ISBLANK('By Round'!K80),"",'By Round'!K80)</f>
        <v/>
      </c>
      <c r="L58" s="12">
        <f>AVERAGE(AB58:AE58)</f>
        <v/>
      </c>
      <c r="M58" s="13">
        <f>AVERAGE(AF58:AI58)</f>
        <v/>
      </c>
      <c r="N58" s="8">
        <f>IF(COUNT(T58:W58)&gt;0,P58/COUNT(T58:W58),0.5)</f>
        <v/>
      </c>
      <c r="O58" s="8">
        <f>IF(COUNT(X58:AA58)&gt;0,Q58/COUNT(X58:AA58),0.5)</f>
        <v/>
      </c>
      <c r="P58" s="5">
        <f>SUM(T58:W58)</f>
        <v/>
      </c>
      <c r="Q58" s="5">
        <f>SUM(X58:AA58)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4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1">
        <f>'By Round'!A63</f>
        <v/>
      </c>
      <c r="C59" s="11">
        <f>'By Round'!B71</f>
        <v/>
      </c>
      <c r="D59" s="11">
        <f>'By Round'!C71</f>
        <v/>
      </c>
      <c r="E59" s="11">
        <f>'By Round'!D71</f>
        <v/>
      </c>
      <c r="F59" s="11">
        <f>IF(ISBLANK('By Round'!F72),"",'By Round'!F72)</f>
        <v/>
      </c>
      <c r="G59">
        <f>IF(ISBLANK('By Round'!G72),"",'By Round'!G72)</f>
        <v/>
      </c>
      <c r="H59">
        <f>IF(ISBLANK('By Round'!H72),"",'By Round'!H72)</f>
        <v/>
      </c>
      <c r="I59">
        <f>IF(ISBLANK('By Round'!I72),"",'By Round'!I72)</f>
        <v/>
      </c>
      <c r="J59">
        <f>IF(ISBLANK('By Round'!J72),"",'By Round'!J72)</f>
        <v/>
      </c>
      <c r="K59">
        <f>IF(ISBLANK('By Round'!K72),"",'By Round'!K72)</f>
        <v/>
      </c>
      <c r="L59" s="12">
        <f>AVERAGE(AB59:AE59)</f>
        <v/>
      </c>
      <c r="M59" s="13">
        <f>AVERAGE(AF59:AI59)</f>
        <v/>
      </c>
      <c r="N59" s="8">
        <f>IF(COUNT(T59:W59)&gt;0,P59/COUNT(T59:W59),0.5)</f>
        <v/>
      </c>
      <c r="O59" s="8">
        <f>IF(COUNT(X59:AA59)&gt;0,Q59/COUNT(X59:AA59),0.5)</f>
        <v/>
      </c>
      <c r="P59" s="5">
        <f>SUM(T59:W59)</f>
        <v/>
      </c>
      <c r="Q59" s="5">
        <f>SUM(X59:AA59)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4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1">
        <f>'By Round'!A43</f>
        <v/>
      </c>
      <c r="C60" s="11">
        <f>'By Round'!B45</f>
        <v/>
      </c>
      <c r="D60" s="11">
        <f>'By Round'!C45</f>
        <v/>
      </c>
      <c r="E60" s="11">
        <f>'By Round'!D45</f>
        <v/>
      </c>
      <c r="F60" s="11">
        <f>IF(ISBLANK('By Round'!F46),"",'By Round'!F46)</f>
        <v/>
      </c>
      <c r="G60">
        <f>IF(ISBLANK('By Round'!G46),"",'By Round'!G46)</f>
        <v/>
      </c>
      <c r="H60">
        <f>IF(ISBLANK('By Round'!H46),"",'By Round'!H46)</f>
        <v/>
      </c>
      <c r="I60">
        <f>IF(ISBLANK('By Round'!I46),"",'By Round'!I46)</f>
        <v/>
      </c>
      <c r="J60">
        <f>IF(ISBLANK('By Round'!J46),"",'By Round'!J46)</f>
        <v/>
      </c>
      <c r="K60">
        <f>IF(ISBLANK('By Round'!K46),"",'By Round'!K46)</f>
        <v/>
      </c>
      <c r="L60" s="12">
        <f>AVERAGE(AB60:AE60)</f>
        <v/>
      </c>
      <c r="M60" s="13">
        <f>AVERAGE(AF60:AI60)</f>
        <v/>
      </c>
      <c r="N60" s="8">
        <f>IF(COUNT(T60:W60)&gt;0,P60/COUNT(T60:W60),0.5)</f>
        <v/>
      </c>
      <c r="O60" s="8">
        <f>IF(COUNT(X60:AA60)&gt;0,Q60/COUNT(X60:AA60),0.5)</f>
        <v/>
      </c>
      <c r="P60" s="5">
        <f>SUM(T60:W60)</f>
        <v/>
      </c>
      <c r="Q60" s="5">
        <f>SUM(X60:AA60)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4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1">
        <f>'By Round'!A33</f>
        <v/>
      </c>
      <c r="C61" s="11">
        <f>'By Round'!B37</f>
        <v/>
      </c>
      <c r="D61" s="11">
        <f>'By Round'!C37</f>
        <v/>
      </c>
      <c r="E61" s="11">
        <f>'By Round'!D37</f>
        <v/>
      </c>
      <c r="F61" s="11">
        <f>IF(ISBLANK('By Round'!F38),"",'By Round'!F38)</f>
        <v/>
      </c>
      <c r="G61">
        <f>IF(ISBLANK('By Round'!G38),"",'By Round'!G38)</f>
        <v/>
      </c>
      <c r="H61">
        <f>IF(ISBLANK('By Round'!H38),"",'By Round'!H38)</f>
        <v/>
      </c>
      <c r="I61">
        <f>IF(ISBLANK('By Round'!I38),"",'By Round'!I38)</f>
        <v/>
      </c>
      <c r="J61">
        <f>IF(ISBLANK('By Round'!J38),"",'By Round'!J38)</f>
        <v/>
      </c>
      <c r="K61">
        <f>IF(ISBLANK('By Round'!K38),"",'By Round'!K38)</f>
        <v/>
      </c>
      <c r="L61" s="12">
        <f>AVERAGE(AB61:AE61)</f>
        <v/>
      </c>
      <c r="M61" s="13">
        <f>AVERAGE(AF61:AI61)</f>
        <v/>
      </c>
      <c r="N61" s="8">
        <f>IF(COUNT(T61:W61)&gt;0,P61/COUNT(T61:W61),0.5)</f>
        <v/>
      </c>
      <c r="O61" s="8">
        <f>IF(COUNT(X61:AA61)&gt;0,Q61/COUNT(X61:AA61),0.5)</f>
        <v/>
      </c>
      <c r="P61" s="5">
        <f>SUM(T61:W61)</f>
        <v/>
      </c>
      <c r="Q61" s="5">
        <f>SUM(X61:AA61)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4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15" t="n"/>
      <c r="B62" s="16">
        <f>'By Round'!A53</f>
        <v/>
      </c>
      <c r="C62" s="16">
        <f>'By Round'!B53</f>
        <v/>
      </c>
      <c r="D62" s="16">
        <f>'By Round'!C53</f>
        <v/>
      </c>
      <c r="E62" s="16">
        <f>'By Round'!D53</f>
        <v/>
      </c>
      <c r="F62" s="16">
        <f>IF(ISBLANK('By Round'!F54),"",'By Round'!F54)</f>
        <v/>
      </c>
      <c r="G62" s="15">
        <f>IF(ISBLANK('By Round'!G54),"",'By Round'!G54)</f>
        <v/>
      </c>
      <c r="H62" s="15">
        <f>IF(ISBLANK('By Round'!H54),"",'By Round'!H54)</f>
        <v/>
      </c>
      <c r="I62" s="15">
        <f>IF(ISBLANK('By Round'!I54),"",'By Round'!I54)</f>
        <v/>
      </c>
      <c r="J62" s="15">
        <f>IF(ISBLANK('By Round'!J54),"",'By Round'!J54)</f>
        <v/>
      </c>
      <c r="K62" s="15">
        <f>IF(ISBLANK('By Round'!K54),"",'By Round'!K54)</f>
        <v/>
      </c>
      <c r="L62" s="17">
        <f>AVERAGE(AB62:AE62)</f>
        <v/>
      </c>
      <c r="M62" s="18">
        <f>AVERAGE(AF62:AI62)</f>
        <v/>
      </c>
      <c r="N62" s="19">
        <f>IF(COUNT(T62:W62)&gt;0,P62/COUNT(T62:W62),0.5)</f>
        <v/>
      </c>
      <c r="O62" s="19">
        <f>IF(COUNT(X62:AA62)&gt;0,Q62/COUNT(X62:AA62),0.5)</f>
        <v/>
      </c>
      <c r="P62" s="20">
        <f>SUM(T62:W62)</f>
        <v/>
      </c>
      <c r="Q62" s="20">
        <f>SUM(X62:AA62)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IF(ISNUMBER(R62),IF(ISNUMBER(R58),IF(R62&gt;R58,1.0,IF(R62=R58,0.5,0.0)),""),"")</f>
        <v/>
      </c>
      <c r="U62" s="15">
        <f>IF(ISNUMBER(R62),IF(ISNUMBER(R59),IF(R62&gt;R59,1.0,IF(R62=R59,0.5,0.0)),""),"")</f>
        <v/>
      </c>
      <c r="V62" s="15">
        <f>IF(ISNUMBER(R62),IF(ISNUMBER(R60),IF(R62&gt;R60,1.0,IF(R62=R60,0.5,0.0)),""),"")</f>
        <v/>
      </c>
      <c r="W62" s="15">
        <f>IF(ISNUMBER(R62),IF(ISNUMBER(R61),IF(R62&gt;R61,1.0,IF(R62=R61,0.5,0.0)),""),"")</f>
        <v/>
      </c>
      <c r="X62" s="15">
        <f>IF(ISNUMBER(S62),IF(ISNUMBER(S58),IF(S62&gt;S58,1.0,IF(S62=S58,0.5,0.0)),""),"")</f>
        <v/>
      </c>
      <c r="Y62" s="15">
        <f>IF(ISNUMBER(S62),IF(ISNUMBER(S59),IF(S62&gt;S59,1.0,IF(S62=S59,0.5,0.0)),""),"")</f>
        <v/>
      </c>
      <c r="Z62" s="15">
        <f>IF(ISNUMBER(S62),IF(ISNUMBER(S60),IF(S62&gt;S60,1.0,IF(S62=S60,0.5,0.0)),""),"")</f>
        <v/>
      </c>
      <c r="AA62" s="15">
        <f>IF(ISNUMBER(S62),IF(ISNUMBER(S61),IF(S62&gt;S61,1.0,IF(S62=S61,0.5,0.0)),""),"")</f>
        <v/>
      </c>
      <c r="AB62" s="21">
        <f>IF(AND(ISNUMBER(R62),ISNUMBER(R58)),VLOOKUP(ABS(R62-R58),'IMP Table'!$A$2:$C$26,3)*SIGN(R62-R58),0)</f>
        <v/>
      </c>
      <c r="AC62" s="15">
        <f>IF(AND(ISNUMBER(R62),ISNUMBER(R59)),VLOOKUP(ABS(R62-R59),'IMP Table'!$A$2:$C$26,3)*SIGN(R62-R59),0)</f>
        <v/>
      </c>
      <c r="AD62" s="15">
        <f>IF(AND(ISNUMBER(R62),ISNUMBER(R60)),VLOOKUP(ABS(R62-R60),'IMP Table'!$A$2:$C$26,3)*SIGN(R62-R60),0)</f>
        <v/>
      </c>
      <c r="AE62" s="15">
        <f>IF(AND(ISNUMBER(R62),ISNUMBER(R61)),VLOOKUP(ABS(R62-R61),'IMP Table'!$A$2:$C$26,3)*SIGN(R62-R61),0)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</row>
    <row r="63">
      <c r="A63" s="11" t="n">
        <v>13</v>
      </c>
      <c r="B63" s="11">
        <f>'By Round'!A43</f>
        <v/>
      </c>
      <c r="C63" s="11">
        <f>'By Round'!B47</f>
        <v/>
      </c>
      <c r="D63" s="11">
        <f>'By Round'!C47</f>
        <v/>
      </c>
      <c r="E63" s="11">
        <f>'By Round'!D47</f>
        <v/>
      </c>
      <c r="F63" s="11">
        <f>IF(ISBLANK('By Round'!F47),"",'By Round'!F47)</f>
        <v/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 s="12">
        <f>AVERAGE(AB63:AE63)</f>
        <v/>
      </c>
      <c r="M63" s="13">
        <f>AVERAGE(AF63:AI63)</f>
        <v/>
      </c>
      <c r="N63" s="8">
        <f>IF(COUNT(T63:W63)&gt;0,P63/COUNT(T63:W63),0.5)</f>
        <v/>
      </c>
      <c r="O63" s="8">
        <f>IF(COUNT(X63:AA63)&gt;0,Q63/COUNT(X63:AA63),0.5)</f>
        <v/>
      </c>
      <c r="P63" s="5">
        <f>SUM(T63:W63)</f>
        <v/>
      </c>
      <c r="Q63" s="5">
        <f>SUM(X63:AA63)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4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1">
        <f>'By Round'!A83</f>
        <v/>
      </c>
      <c r="C64" s="11">
        <f>'By Round'!B89</f>
        <v/>
      </c>
      <c r="D64" s="11">
        <f>'By Round'!C89</f>
        <v/>
      </c>
      <c r="E64" s="11">
        <f>'By Round'!D89</f>
        <v/>
      </c>
      <c r="F64" s="11">
        <f>IF(ISBLANK('By Round'!F89),"",'By Round'!F89)</f>
        <v/>
      </c>
      <c r="G64">
        <f>IF(ISBLANK('By Round'!G89),"",'By Round'!G89)</f>
        <v/>
      </c>
      <c r="H64">
        <f>IF(ISBLANK('By Round'!H89),"",'By Round'!H89)</f>
        <v/>
      </c>
      <c r="I64">
        <f>IF(ISBLANK('By Round'!I89),"",'By Round'!I89)</f>
        <v/>
      </c>
      <c r="J64">
        <f>IF(ISBLANK('By Round'!J89),"",'By Round'!J89)</f>
        <v/>
      </c>
      <c r="K64">
        <f>IF(ISBLANK('By Round'!K89),"",'By Round'!K89)</f>
        <v/>
      </c>
      <c r="L64" s="12">
        <f>AVERAGE(AB64:AE64)</f>
        <v/>
      </c>
      <c r="M64" s="13">
        <f>AVERAGE(AF64:AI64)</f>
        <v/>
      </c>
      <c r="N64" s="8">
        <f>IF(COUNT(T64:W64)&gt;0,P64/COUNT(T64:W64),0.5)</f>
        <v/>
      </c>
      <c r="O64" s="8">
        <f>IF(COUNT(X64:AA64)&gt;0,Q64/COUNT(X64:AA64),0.5)</f>
        <v/>
      </c>
      <c r="P64" s="5">
        <f>SUM(T64:W64)</f>
        <v/>
      </c>
      <c r="Q64" s="5">
        <f>SUM(X64:AA64)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4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1">
        <f>'By Round'!A73</f>
        <v/>
      </c>
      <c r="C65" s="11">
        <f>'By Round'!B81</f>
        <v/>
      </c>
      <c r="D65" s="11">
        <f>'By Round'!C81</f>
        <v/>
      </c>
      <c r="E65" s="11">
        <f>'By Round'!D81</f>
        <v/>
      </c>
      <c r="F65" s="11">
        <f>IF(ISBLANK('By Round'!F81),"",'By Round'!F81)</f>
        <v/>
      </c>
      <c r="G65">
        <f>IF(ISBLANK('By Round'!G81),"",'By Round'!G81)</f>
        <v/>
      </c>
      <c r="H65">
        <f>IF(ISBLANK('By Round'!H81),"",'By Round'!H81)</f>
        <v/>
      </c>
      <c r="I65">
        <f>IF(ISBLANK('By Round'!I81),"",'By Round'!I81)</f>
        <v/>
      </c>
      <c r="J65">
        <f>IF(ISBLANK('By Round'!J81),"",'By Round'!J81)</f>
        <v/>
      </c>
      <c r="K65">
        <f>IF(ISBLANK('By Round'!K81),"",'By Round'!K81)</f>
        <v/>
      </c>
      <c r="L65" s="12">
        <f>AVERAGE(AB65:AE65)</f>
        <v/>
      </c>
      <c r="M65" s="13">
        <f>AVERAGE(AF65:AI65)</f>
        <v/>
      </c>
      <c r="N65" s="8">
        <f>IF(COUNT(T65:W65)&gt;0,P65/COUNT(T65:W65),0.5)</f>
        <v/>
      </c>
      <c r="O65" s="8">
        <f>IF(COUNT(X65:AA65)&gt;0,Q65/COUNT(X65:AA65),0.5)</f>
        <v/>
      </c>
      <c r="P65" s="5">
        <f>SUM(T65:W65)</f>
        <v/>
      </c>
      <c r="Q65" s="5">
        <f>SUM(X65:AA65)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4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1">
        <f>'By Round'!A53</f>
        <v/>
      </c>
      <c r="C66" s="11">
        <f>'By Round'!B55</f>
        <v/>
      </c>
      <c r="D66" s="11">
        <f>'By Round'!C55</f>
        <v/>
      </c>
      <c r="E66" s="11">
        <f>'By Round'!D55</f>
        <v/>
      </c>
      <c r="F66" s="11">
        <f>IF(ISBLANK('By Round'!F55),"",'By Round'!F55)</f>
        <v/>
      </c>
      <c r="G66">
        <f>IF(ISBLANK('By Round'!G55),"",'By Round'!G55)</f>
        <v/>
      </c>
      <c r="H66">
        <f>IF(ISBLANK('By Round'!H55),"",'By Round'!H55)</f>
        <v/>
      </c>
      <c r="I66">
        <f>IF(ISBLANK('By Round'!I55),"",'By Round'!I55)</f>
        <v/>
      </c>
      <c r="J66">
        <f>IF(ISBLANK('By Round'!J55),"",'By Round'!J55)</f>
        <v/>
      </c>
      <c r="K66">
        <f>IF(ISBLANK('By Round'!K55),"",'By Round'!K55)</f>
        <v/>
      </c>
      <c r="L66" s="12">
        <f>AVERAGE(AB66:AE66)</f>
        <v/>
      </c>
      <c r="M66" s="13">
        <f>AVERAGE(AF66:AI66)</f>
        <v/>
      </c>
      <c r="N66" s="8">
        <f>IF(COUNT(T66:W66)&gt;0,P66/COUNT(T66:W66),0.5)</f>
        <v/>
      </c>
      <c r="O66" s="8">
        <f>IF(COUNT(X66:AA66)&gt;0,Q66/COUNT(X66:AA66),0.5)</f>
        <v/>
      </c>
      <c r="P66" s="5">
        <f>SUM(T66:W66)</f>
        <v/>
      </c>
      <c r="Q66" s="5">
        <f>SUM(X66:AA66)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4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15" t="n"/>
      <c r="B67" s="16">
        <f>'By Round'!A63</f>
        <v/>
      </c>
      <c r="C67" s="16">
        <f>'By Round'!B63</f>
        <v/>
      </c>
      <c r="D67" s="16">
        <f>'By Round'!C63</f>
        <v/>
      </c>
      <c r="E67" s="16">
        <f>'By Round'!D63</f>
        <v/>
      </c>
      <c r="F67" s="16">
        <f>IF(ISBLANK('By Round'!F63),"",'By Round'!F63)</f>
        <v/>
      </c>
      <c r="G67" s="15">
        <f>IF(ISBLANK('By Round'!G63),"",'By Round'!G63)</f>
        <v/>
      </c>
      <c r="H67" s="15">
        <f>IF(ISBLANK('By Round'!H63),"",'By Round'!H63)</f>
        <v/>
      </c>
      <c r="I67" s="15">
        <f>IF(ISBLANK('By Round'!I63),"",'By Round'!I63)</f>
        <v/>
      </c>
      <c r="J67" s="15">
        <f>IF(ISBLANK('By Round'!J63),"",'By Round'!J63)</f>
        <v/>
      </c>
      <c r="K67" s="15">
        <f>IF(ISBLANK('By Round'!K63),"",'By Round'!K63)</f>
        <v/>
      </c>
      <c r="L67" s="17">
        <f>AVERAGE(AB67:AE67)</f>
        <v/>
      </c>
      <c r="M67" s="18">
        <f>AVERAGE(AF67:AI67)</f>
        <v/>
      </c>
      <c r="N67" s="19">
        <f>IF(COUNT(T67:W67)&gt;0,P67/COUNT(T67:W67),0.5)</f>
        <v/>
      </c>
      <c r="O67" s="19">
        <f>IF(COUNT(X67:AA67)&gt;0,Q67/COUNT(X67:AA67),0.5)</f>
        <v/>
      </c>
      <c r="P67" s="20">
        <f>SUM(T67:W67)</f>
        <v/>
      </c>
      <c r="Q67" s="20">
        <f>SUM(X67:AA67)</f>
        <v/>
      </c>
      <c r="R67" s="21">
        <f>IF(ISNUMBER(J67),J67,IF(ISNUMBER(K67),-K67,""))</f>
        <v/>
      </c>
      <c r="S67" s="15">
        <f>IF(ISNUMBER(K67),K67,IF(ISNUMBER(J67),-J67,""))</f>
        <v/>
      </c>
      <c r="T67" s="21">
        <f>IF(ISNUMBER(R67),IF(ISNUMBER(R63),IF(R67&gt;R63,1.0,IF(R67=R63,0.5,0.0)),""),"")</f>
        <v/>
      </c>
      <c r="U67" s="15">
        <f>IF(ISNUMBER(R67),IF(ISNUMBER(R64),IF(R67&gt;R64,1.0,IF(R67=R64,0.5,0.0)),""),"")</f>
        <v/>
      </c>
      <c r="V67" s="15">
        <f>IF(ISNUMBER(R67),IF(ISNUMBER(R65),IF(R67&gt;R65,1.0,IF(R67=R65,0.5,0.0)),""),"")</f>
        <v/>
      </c>
      <c r="W67" s="15">
        <f>IF(ISNUMBER(R67),IF(ISNUMBER(R66),IF(R67&gt;R66,1.0,IF(R67=R66,0.5,0.0)),""),"")</f>
        <v/>
      </c>
      <c r="X67" s="15">
        <f>IF(ISNUMBER(S67),IF(ISNUMBER(S63),IF(S67&gt;S63,1.0,IF(S67=S63,0.5,0.0)),""),"")</f>
        <v/>
      </c>
      <c r="Y67" s="15">
        <f>IF(ISNUMBER(S67),IF(ISNUMBER(S64),IF(S67&gt;S64,1.0,IF(S67=S64,0.5,0.0)),""),"")</f>
        <v/>
      </c>
      <c r="Z67" s="15">
        <f>IF(ISNUMBER(S67),IF(ISNUMBER(S65),IF(S67&gt;S65,1.0,IF(S67=S65,0.5,0.0)),""),"")</f>
        <v/>
      </c>
      <c r="AA67" s="15">
        <f>IF(ISNUMBER(S67),IF(ISNUMBER(S66),IF(S67&gt;S66,1.0,IF(S67=S66,0.5,0.0)),""),"")</f>
        <v/>
      </c>
      <c r="AB67" s="21">
        <f>IF(AND(ISNUMBER(R67),ISNUMBER(R63)),VLOOKUP(ABS(R67-R63),'IMP Table'!$A$2:$C$26,3)*SIGN(R67-R63),0)</f>
        <v/>
      </c>
      <c r="AC67" s="15">
        <f>IF(AND(ISNUMBER(R67),ISNUMBER(R64)),VLOOKUP(ABS(R67-R64),'IMP Table'!$A$2:$C$26,3)*SIGN(R67-R64),0)</f>
        <v/>
      </c>
      <c r="AD67" s="15">
        <f>IF(AND(ISNUMBER(R67),ISNUMBER(R65)),VLOOKUP(ABS(R67-R65),'IMP Table'!$A$2:$C$26,3)*SIGN(R67-R65),0)</f>
        <v/>
      </c>
      <c r="AE67" s="15">
        <f>IF(AND(ISNUMBER(R67),ISNUMBER(R66)),VLOOKUP(ABS(R67-R66),'IMP Table'!$A$2:$C$26,3)*SIGN(R67-R66),0)</f>
        <v/>
      </c>
      <c r="AF67" s="15">
        <f>IF(AND(ISNUMBER(S67),ISNUMBER(S63)),VLOOKUP(ABS(S67-S63),'IMP Table'!$A$2:$C$26,3)*SIGN(S67-S63),0)</f>
        <v/>
      </c>
      <c r="AG67" s="15">
        <f>IF(AND(ISNUMBER(S67),ISNUMBER(S64)),VLOOKUP(ABS(S67-S64),'IMP Table'!$A$2:$C$26,3)*SIGN(S67-S64),0)</f>
        <v/>
      </c>
      <c r="AH67" s="15">
        <f>IF(AND(ISNUMBER(S67),ISNUMBER(S65)),VLOOKUP(ABS(S67-S65),'IMP Table'!$A$2:$C$26,3)*SIGN(S67-S65),0)</f>
        <v/>
      </c>
      <c r="AI67" s="15">
        <f>IF(AND(ISNUMBER(S67),ISNUMBER(S66)),VLOOKUP(ABS(S67-S66),'IMP Table'!$A$2:$C$26,3)*SIGN(S67-S66),0)</f>
        <v/>
      </c>
    </row>
    <row r="68">
      <c r="A68" s="11" t="n">
        <v>14</v>
      </c>
      <c r="B68" s="11">
        <f>'By Round'!A43</f>
        <v/>
      </c>
      <c r="C68" s="11">
        <f>'By Round'!B47</f>
        <v/>
      </c>
      <c r="D68" s="11">
        <f>'By Round'!C47</f>
        <v/>
      </c>
      <c r="E68" s="11">
        <f>'By Round'!D47</f>
        <v/>
      </c>
      <c r="F68" s="11">
        <f>IF(ISBLANK('By Round'!F48),"",'By Round'!F48)</f>
        <v/>
      </c>
      <c r="G68">
        <f>IF(ISBLANK('By Round'!G48),"",'By Round'!G48)</f>
        <v/>
      </c>
      <c r="H68">
        <f>IF(ISBLANK('By Round'!H48),"",'By Round'!H48)</f>
        <v/>
      </c>
      <c r="I68">
        <f>IF(ISBLANK('By Round'!I48),"",'By Round'!I48)</f>
        <v/>
      </c>
      <c r="J68">
        <f>IF(ISBLANK('By Round'!J48),"",'By Round'!J48)</f>
        <v/>
      </c>
      <c r="K68">
        <f>IF(ISBLANK('By Round'!K48),"",'By Round'!K48)</f>
        <v/>
      </c>
      <c r="L68" s="12">
        <f>AVERAGE(AB68:AE68)</f>
        <v/>
      </c>
      <c r="M68" s="13">
        <f>AVERAGE(AF68:AI68)</f>
        <v/>
      </c>
      <c r="N68" s="8">
        <f>IF(COUNT(T68:W68)&gt;0,P68/COUNT(T68:W68),0.5)</f>
        <v/>
      </c>
      <c r="O68" s="8">
        <f>IF(COUNT(X68:AA68)&gt;0,Q68/COUNT(X68:AA68),0.5)</f>
        <v/>
      </c>
      <c r="P68" s="5">
        <f>SUM(T68:W68)</f>
        <v/>
      </c>
      <c r="Q68" s="5">
        <f>SUM(X68:AA68)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4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1">
        <f>'By Round'!A83</f>
        <v/>
      </c>
      <c r="C69" s="11">
        <f>'By Round'!B89</f>
        <v/>
      </c>
      <c r="D69" s="11">
        <f>'By Round'!C89</f>
        <v/>
      </c>
      <c r="E69" s="11">
        <f>'By Round'!D89</f>
        <v/>
      </c>
      <c r="F69" s="11">
        <f>IF(ISBLANK('By Round'!F90),"",'By Round'!F90)</f>
        <v/>
      </c>
      <c r="G69">
        <f>IF(ISBLANK('By Round'!G90),"",'By Round'!G90)</f>
        <v/>
      </c>
      <c r="H69">
        <f>IF(ISBLANK('By Round'!H90),"",'By Round'!H90)</f>
        <v/>
      </c>
      <c r="I69">
        <f>IF(ISBLANK('By Round'!I90),"",'By Round'!I90)</f>
        <v/>
      </c>
      <c r="J69">
        <f>IF(ISBLANK('By Round'!J90),"",'By Round'!J90)</f>
        <v/>
      </c>
      <c r="K69">
        <f>IF(ISBLANK('By Round'!K90),"",'By Round'!K90)</f>
        <v/>
      </c>
      <c r="L69" s="12">
        <f>AVERAGE(AB69:AE69)</f>
        <v/>
      </c>
      <c r="M69" s="13">
        <f>AVERAGE(AF69:AI69)</f>
        <v/>
      </c>
      <c r="N69" s="8">
        <f>IF(COUNT(T69:W69)&gt;0,P69/COUNT(T69:W69),0.5)</f>
        <v/>
      </c>
      <c r="O69" s="8">
        <f>IF(COUNT(X69:AA69)&gt;0,Q69/COUNT(X69:AA69),0.5)</f>
        <v/>
      </c>
      <c r="P69" s="5">
        <f>SUM(T69:W69)</f>
        <v/>
      </c>
      <c r="Q69" s="5">
        <f>SUM(X69:AA69)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4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1">
        <f>'By Round'!A73</f>
        <v/>
      </c>
      <c r="C70" s="11">
        <f>'By Round'!B81</f>
        <v/>
      </c>
      <c r="D70" s="11">
        <f>'By Round'!C81</f>
        <v/>
      </c>
      <c r="E70" s="11">
        <f>'By Round'!D81</f>
        <v/>
      </c>
      <c r="F70" s="11">
        <f>IF(ISBLANK('By Round'!F82),"",'By Round'!F82)</f>
        <v/>
      </c>
      <c r="G70">
        <f>IF(ISBLANK('By Round'!G82),"",'By Round'!G82)</f>
        <v/>
      </c>
      <c r="H70">
        <f>IF(ISBLANK('By Round'!H82),"",'By Round'!H82)</f>
        <v/>
      </c>
      <c r="I70">
        <f>IF(ISBLANK('By Round'!I82),"",'By Round'!I82)</f>
        <v/>
      </c>
      <c r="J70">
        <f>IF(ISBLANK('By Round'!J82),"",'By Round'!J82)</f>
        <v/>
      </c>
      <c r="K70">
        <f>IF(ISBLANK('By Round'!K82),"",'By Round'!K82)</f>
        <v/>
      </c>
      <c r="L70" s="12">
        <f>AVERAGE(AB70:AE70)</f>
        <v/>
      </c>
      <c r="M70" s="13">
        <f>AVERAGE(AF70:AI70)</f>
        <v/>
      </c>
      <c r="N70" s="8">
        <f>IF(COUNT(T70:W70)&gt;0,P70/COUNT(T70:W70),0.5)</f>
        <v/>
      </c>
      <c r="O70" s="8">
        <f>IF(COUNT(X70:AA70)&gt;0,Q70/COUNT(X70:AA70),0.5)</f>
        <v/>
      </c>
      <c r="P70" s="5">
        <f>SUM(T70:W70)</f>
        <v/>
      </c>
      <c r="Q70" s="5">
        <f>SUM(X70:AA70)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4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1">
        <f>'By Round'!A53</f>
        <v/>
      </c>
      <c r="C71" s="11">
        <f>'By Round'!B55</f>
        <v/>
      </c>
      <c r="D71" s="11">
        <f>'By Round'!C55</f>
        <v/>
      </c>
      <c r="E71" s="11">
        <f>'By Round'!D55</f>
        <v/>
      </c>
      <c r="F71" s="11">
        <f>IF(ISBLANK('By Round'!F56),"",'By Round'!F56)</f>
        <v/>
      </c>
      <c r="G71">
        <f>IF(ISBLANK('By Round'!G56),"",'By Round'!G56)</f>
        <v/>
      </c>
      <c r="H71">
        <f>IF(ISBLANK('By Round'!H56),"",'By Round'!H56)</f>
        <v/>
      </c>
      <c r="I71">
        <f>IF(ISBLANK('By Round'!I56),"",'By Round'!I56)</f>
        <v/>
      </c>
      <c r="J71">
        <f>IF(ISBLANK('By Round'!J56),"",'By Round'!J56)</f>
        <v/>
      </c>
      <c r="K71">
        <f>IF(ISBLANK('By Round'!K56),"",'By Round'!K56)</f>
        <v/>
      </c>
      <c r="L71" s="12">
        <f>AVERAGE(AB71:AE71)</f>
        <v/>
      </c>
      <c r="M71" s="13">
        <f>AVERAGE(AF71:AI71)</f>
        <v/>
      </c>
      <c r="N71" s="8">
        <f>IF(COUNT(T71:W71)&gt;0,P71/COUNT(T71:W71),0.5)</f>
        <v/>
      </c>
      <c r="O71" s="8">
        <f>IF(COUNT(X71:AA71)&gt;0,Q71/COUNT(X71:AA71),0.5)</f>
        <v/>
      </c>
      <c r="P71" s="5">
        <f>SUM(T71:W71)</f>
        <v/>
      </c>
      <c r="Q71" s="5">
        <f>SUM(X71:AA71)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4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15" t="n"/>
      <c r="B72" s="16">
        <f>'By Round'!A63</f>
        <v/>
      </c>
      <c r="C72" s="16">
        <f>'By Round'!B63</f>
        <v/>
      </c>
      <c r="D72" s="16">
        <f>'By Round'!C63</f>
        <v/>
      </c>
      <c r="E72" s="16">
        <f>'By Round'!D63</f>
        <v/>
      </c>
      <c r="F72" s="16">
        <f>IF(ISBLANK('By Round'!F64),"",'By Round'!F64)</f>
        <v/>
      </c>
      <c r="G72" s="15">
        <f>IF(ISBLANK('By Round'!G64),"",'By Round'!G64)</f>
        <v/>
      </c>
      <c r="H72" s="15">
        <f>IF(ISBLANK('By Round'!H64),"",'By Round'!H64)</f>
        <v/>
      </c>
      <c r="I72" s="15">
        <f>IF(ISBLANK('By Round'!I64),"",'By Round'!I64)</f>
        <v/>
      </c>
      <c r="J72" s="15">
        <f>IF(ISBLANK('By Round'!J64),"",'By Round'!J64)</f>
        <v/>
      </c>
      <c r="K72" s="15">
        <f>IF(ISBLANK('By Round'!K64),"",'By Round'!K64)</f>
        <v/>
      </c>
      <c r="L72" s="17">
        <f>AVERAGE(AB72:AE72)</f>
        <v/>
      </c>
      <c r="M72" s="18">
        <f>AVERAGE(AF72:AI72)</f>
        <v/>
      </c>
      <c r="N72" s="19">
        <f>IF(COUNT(T72:W72)&gt;0,P72/COUNT(T72:W72),0.5)</f>
        <v/>
      </c>
      <c r="O72" s="19">
        <f>IF(COUNT(X72:AA72)&gt;0,Q72/COUNT(X72:AA72),0.5)</f>
        <v/>
      </c>
      <c r="P72" s="20">
        <f>SUM(T72:W72)</f>
        <v/>
      </c>
      <c r="Q72" s="20">
        <f>SUM(X72:AA72)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IF(ISNUMBER(R72),IF(ISNUMBER(R68),IF(R72&gt;R68,1.0,IF(R72=R68,0.5,0.0)),""),"")</f>
        <v/>
      </c>
      <c r="U72" s="15">
        <f>IF(ISNUMBER(R72),IF(ISNUMBER(R69),IF(R72&gt;R69,1.0,IF(R72=R69,0.5,0.0)),""),"")</f>
        <v/>
      </c>
      <c r="V72" s="15">
        <f>IF(ISNUMBER(R72),IF(ISNUMBER(R70),IF(R72&gt;R70,1.0,IF(R72=R70,0.5,0.0)),""),"")</f>
        <v/>
      </c>
      <c r="W72" s="15">
        <f>IF(ISNUMBER(R72),IF(ISNUMBER(R71),IF(R72&gt;R71,1.0,IF(R72=R71,0.5,0.0)),""),"")</f>
        <v/>
      </c>
      <c r="X72" s="15">
        <f>IF(ISNUMBER(S72),IF(ISNUMBER(S68),IF(S72&gt;S68,1.0,IF(S72=S68,0.5,0.0)),""),"")</f>
        <v/>
      </c>
      <c r="Y72" s="15">
        <f>IF(ISNUMBER(S72),IF(ISNUMBER(S69),IF(S72&gt;S69,1.0,IF(S72=S69,0.5,0.0)),""),"")</f>
        <v/>
      </c>
      <c r="Z72" s="15">
        <f>IF(ISNUMBER(S72),IF(ISNUMBER(S70),IF(S72&gt;S70,1.0,IF(S72=S70,0.5,0.0)),""),"")</f>
        <v/>
      </c>
      <c r="AA72" s="15">
        <f>IF(ISNUMBER(S72),IF(ISNUMBER(S71),IF(S72&gt;S71,1.0,IF(S72=S71,0.5,0.0)),""),"")</f>
        <v/>
      </c>
      <c r="AB72" s="21">
        <f>IF(AND(ISNUMBER(R72),ISNUMBER(R68)),VLOOKUP(ABS(R72-R68),'IMP Table'!$A$2:$C$26,3)*SIGN(R72-R68),0)</f>
        <v/>
      </c>
      <c r="AC72" s="15">
        <f>IF(AND(ISNUMBER(R72),ISNUMBER(R69)),VLOOKUP(ABS(R72-R69),'IMP Table'!$A$2:$C$26,3)*SIGN(R72-R69),0)</f>
        <v/>
      </c>
      <c r="AD72" s="15">
        <f>IF(AND(ISNUMBER(R72),ISNUMBER(R70)),VLOOKUP(ABS(R72-R70),'IMP Table'!$A$2:$C$26,3)*SIGN(R72-R70),0)</f>
        <v/>
      </c>
      <c r="AE72" s="15">
        <f>IF(AND(ISNUMBER(R72),ISNUMBER(R71)),VLOOKUP(ABS(R72-R71),'IMP Table'!$A$2:$C$26,3)*SIGN(R72-R71),0)</f>
        <v/>
      </c>
      <c r="AF72" s="15">
        <f>IF(AND(ISNUMBER(S72),ISNUMBER(S68)),VLOOKUP(ABS(S72-S68),'IMP Table'!$A$2:$C$26,3)*SIGN(S72-S68),0)</f>
        <v/>
      </c>
      <c r="AG72" s="15">
        <f>IF(AND(ISNUMBER(S72),ISNUMBER(S69)),VLOOKUP(ABS(S72-S69),'IMP Table'!$A$2:$C$26,3)*SIGN(S72-S69),0)</f>
        <v/>
      </c>
      <c r="AH72" s="15">
        <f>IF(AND(ISNUMBER(S72),ISNUMBER(S70)),VLOOKUP(ABS(S72-S70),'IMP Table'!$A$2:$C$26,3)*SIGN(S72-S70),0)</f>
        <v/>
      </c>
      <c r="AI72" s="15">
        <f>IF(AND(ISNUMBER(S72),ISNUMBER(S71)),VLOOKUP(ABS(S72-S71),'IMP Table'!$A$2:$C$26,3)*SIGN(S72-S71),0)</f>
        <v/>
      </c>
    </row>
    <row r="73">
      <c r="A73" s="11" t="n">
        <v>15</v>
      </c>
      <c r="B73" s="11">
        <f>'By Round'!A53</f>
        <v/>
      </c>
      <c r="C73" s="11">
        <f>'By Round'!B57</f>
        <v/>
      </c>
      <c r="D73" s="11">
        <f>'By Round'!C57</f>
        <v/>
      </c>
      <c r="E73" s="11">
        <f>'By Round'!D57</f>
        <v/>
      </c>
      <c r="F73" s="11">
        <f>IF(ISBLANK('By Round'!F57),"",'By Round'!F57)</f>
        <v/>
      </c>
      <c r="G73">
        <f>IF(ISBLANK('By Round'!G57),"",'By Round'!G57)</f>
        <v/>
      </c>
      <c r="H73">
        <f>IF(ISBLANK('By Round'!H57),"",'By Round'!H57)</f>
        <v/>
      </c>
      <c r="I73">
        <f>IF(ISBLANK('By Round'!I57),"",'By Round'!I57)</f>
        <v/>
      </c>
      <c r="J73">
        <f>IF(ISBLANK('By Round'!J57),"",'By Round'!J57)</f>
        <v/>
      </c>
      <c r="K73">
        <f>IF(ISBLANK('By Round'!K57),"",'By Round'!K57)</f>
        <v/>
      </c>
      <c r="L73" s="12">
        <f>AVERAGE(AB73:AE73)</f>
        <v/>
      </c>
      <c r="M73" s="13">
        <f>AVERAGE(AF73:AI73)</f>
        <v/>
      </c>
      <c r="N73" s="8">
        <f>IF(COUNT(T73:W73)&gt;0,P73/COUNT(T73:W73),0.5)</f>
        <v/>
      </c>
      <c r="O73" s="8">
        <f>IF(COUNT(X73:AA73)&gt;0,Q73/COUNT(X73:AA73),0.5)</f>
        <v/>
      </c>
      <c r="P73" s="5">
        <f>SUM(T73:W73)</f>
        <v/>
      </c>
      <c r="Q73" s="5">
        <f>SUM(X73:AA73)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4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1">
        <f>'By Round'!A3</f>
        <v/>
      </c>
      <c r="C74" s="11">
        <f>'By Round'!B9</f>
        <v/>
      </c>
      <c r="D74" s="11">
        <f>'By Round'!C9</f>
        <v/>
      </c>
      <c r="E74" s="11">
        <f>'By Round'!D9</f>
        <v/>
      </c>
      <c r="F74" s="11">
        <f>IF(ISBLANK('By Round'!F9),"",'By Round'!F9)</f>
        <v/>
      </c>
      <c r="G74">
        <f>IF(ISBLANK('By Round'!G9),"",'By Round'!G9)</f>
        <v/>
      </c>
      <c r="H74">
        <f>IF(ISBLANK('By Round'!H9),"",'By Round'!H9)</f>
        <v/>
      </c>
      <c r="I74">
        <f>IF(ISBLANK('By Round'!I9),"",'By Round'!I9)</f>
        <v/>
      </c>
      <c r="J74">
        <f>IF(ISBLANK('By Round'!J9),"",'By Round'!J9)</f>
        <v/>
      </c>
      <c r="K74">
        <f>IF(ISBLANK('By Round'!K9),"",'By Round'!K9)</f>
        <v/>
      </c>
      <c r="L74" s="12">
        <f>AVERAGE(AB74:AE74)</f>
        <v/>
      </c>
      <c r="M74" s="13">
        <f>AVERAGE(AF74:AI74)</f>
        <v/>
      </c>
      <c r="N74" s="8">
        <f>IF(COUNT(T74:W74)&gt;0,P74/COUNT(T74:W74),0.5)</f>
        <v/>
      </c>
      <c r="O74" s="8">
        <f>IF(COUNT(X74:AA74)&gt;0,Q74/COUNT(X74:AA74),0.5)</f>
        <v/>
      </c>
      <c r="P74" s="5">
        <f>SUM(T74:W74)</f>
        <v/>
      </c>
      <c r="Q74" s="5">
        <f>SUM(X74:AA74)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4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1">
        <f>'By Round'!A83</f>
        <v/>
      </c>
      <c r="C75" s="11">
        <f>'By Round'!B91</f>
        <v/>
      </c>
      <c r="D75" s="11">
        <f>'By Round'!C91</f>
        <v/>
      </c>
      <c r="E75" s="11">
        <f>'By Round'!D91</f>
        <v/>
      </c>
      <c r="F75" s="11">
        <f>IF(ISBLANK('By Round'!F91),"",'By Round'!F91)</f>
        <v/>
      </c>
      <c r="G75">
        <f>IF(ISBLANK('By Round'!G91),"",'By Round'!G91)</f>
        <v/>
      </c>
      <c r="H75">
        <f>IF(ISBLANK('By Round'!H91),"",'By Round'!H91)</f>
        <v/>
      </c>
      <c r="I75">
        <f>IF(ISBLANK('By Round'!I91),"",'By Round'!I91)</f>
        <v/>
      </c>
      <c r="J75">
        <f>IF(ISBLANK('By Round'!J91),"",'By Round'!J91)</f>
        <v/>
      </c>
      <c r="K75">
        <f>IF(ISBLANK('By Round'!K91),"",'By Round'!K91)</f>
        <v/>
      </c>
      <c r="L75" s="12">
        <f>AVERAGE(AB75:AE75)</f>
        <v/>
      </c>
      <c r="M75" s="13">
        <f>AVERAGE(AF75:AI75)</f>
        <v/>
      </c>
      <c r="N75" s="8">
        <f>IF(COUNT(T75:W75)&gt;0,P75/COUNT(T75:W75),0.5)</f>
        <v/>
      </c>
      <c r="O75" s="8">
        <f>IF(COUNT(X75:AA75)&gt;0,Q75/COUNT(X75:AA75),0.5)</f>
        <v/>
      </c>
      <c r="P75" s="5">
        <f>SUM(T75:W75)</f>
        <v/>
      </c>
      <c r="Q75" s="5">
        <f>SUM(X75:AA75)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4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1">
        <f>'By Round'!A63</f>
        <v/>
      </c>
      <c r="C76" s="11">
        <f>'By Round'!B65</f>
        <v/>
      </c>
      <c r="D76" s="11">
        <f>'By Round'!C65</f>
        <v/>
      </c>
      <c r="E76" s="11">
        <f>'By Round'!D65</f>
        <v/>
      </c>
      <c r="F76" s="11">
        <f>IF(ISBLANK('By Round'!F65),"",'By Round'!F65)</f>
        <v/>
      </c>
      <c r="G76">
        <f>IF(ISBLANK('By Round'!G65),"",'By Round'!G65)</f>
        <v/>
      </c>
      <c r="H76">
        <f>IF(ISBLANK('By Round'!H65),"",'By Round'!H65)</f>
        <v/>
      </c>
      <c r="I76">
        <f>IF(ISBLANK('By Round'!I65),"",'By Round'!I65)</f>
        <v/>
      </c>
      <c r="J76">
        <f>IF(ISBLANK('By Round'!J65),"",'By Round'!J65)</f>
        <v/>
      </c>
      <c r="K76">
        <f>IF(ISBLANK('By Round'!K65),"",'By Round'!K65)</f>
        <v/>
      </c>
      <c r="L76" s="12">
        <f>AVERAGE(AB76:AE76)</f>
        <v/>
      </c>
      <c r="M76" s="13">
        <f>AVERAGE(AF76:AI76)</f>
        <v/>
      </c>
      <c r="N76" s="8">
        <f>IF(COUNT(T76:W76)&gt;0,P76/COUNT(T76:W76),0.5)</f>
        <v/>
      </c>
      <c r="O76" s="8">
        <f>IF(COUNT(X76:AA76)&gt;0,Q76/COUNT(X76:AA76),0.5)</f>
        <v/>
      </c>
      <c r="P76" s="5">
        <f>SUM(T76:W76)</f>
        <v/>
      </c>
      <c r="Q76" s="5">
        <f>SUM(X76:AA76)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4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15" t="n"/>
      <c r="B77" s="16">
        <f>'By Round'!A73</f>
        <v/>
      </c>
      <c r="C77" s="16">
        <f>'By Round'!B73</f>
        <v/>
      </c>
      <c r="D77" s="16">
        <f>'By Round'!C73</f>
        <v/>
      </c>
      <c r="E77" s="16">
        <f>'By Round'!D73</f>
        <v/>
      </c>
      <c r="F77" s="16">
        <f>IF(ISBLANK('By Round'!F73),"",'By Round'!F73)</f>
        <v/>
      </c>
      <c r="G77" s="15">
        <f>IF(ISBLANK('By Round'!G73),"",'By Round'!G73)</f>
        <v/>
      </c>
      <c r="H77" s="15">
        <f>IF(ISBLANK('By Round'!H73),"",'By Round'!H73)</f>
        <v/>
      </c>
      <c r="I77" s="15">
        <f>IF(ISBLANK('By Round'!I73),"",'By Round'!I73)</f>
        <v/>
      </c>
      <c r="J77" s="15">
        <f>IF(ISBLANK('By Round'!J73),"",'By Round'!J73)</f>
        <v/>
      </c>
      <c r="K77" s="15">
        <f>IF(ISBLANK('By Round'!K73),"",'By Round'!K73)</f>
        <v/>
      </c>
      <c r="L77" s="17">
        <f>AVERAGE(AB77:AE77)</f>
        <v/>
      </c>
      <c r="M77" s="18">
        <f>AVERAGE(AF77:AI77)</f>
        <v/>
      </c>
      <c r="N77" s="19">
        <f>IF(COUNT(T77:W77)&gt;0,P77/COUNT(T77:W77),0.5)</f>
        <v/>
      </c>
      <c r="O77" s="19">
        <f>IF(COUNT(X77:AA77)&gt;0,Q77/COUNT(X77:AA77),0.5)</f>
        <v/>
      </c>
      <c r="P77" s="20">
        <f>SUM(T77:W77)</f>
        <v/>
      </c>
      <c r="Q77" s="20">
        <f>SUM(X77:AA77)</f>
        <v/>
      </c>
      <c r="R77" s="21">
        <f>IF(ISNUMBER(J77),J77,IF(ISNUMBER(K77),-K77,""))</f>
        <v/>
      </c>
      <c r="S77" s="15">
        <f>IF(ISNUMBER(K77),K77,IF(ISNUMBER(J77),-J77,""))</f>
        <v/>
      </c>
      <c r="T77" s="21">
        <f>IF(ISNUMBER(R77),IF(ISNUMBER(R73),IF(R77&gt;R73,1.0,IF(R77=R73,0.5,0.0)),""),"")</f>
        <v/>
      </c>
      <c r="U77" s="15">
        <f>IF(ISNUMBER(R77),IF(ISNUMBER(R74),IF(R77&gt;R74,1.0,IF(R77=R74,0.5,0.0)),""),"")</f>
        <v/>
      </c>
      <c r="V77" s="15">
        <f>IF(ISNUMBER(R77),IF(ISNUMBER(R75),IF(R77&gt;R75,1.0,IF(R77=R75,0.5,0.0)),""),"")</f>
        <v/>
      </c>
      <c r="W77" s="15">
        <f>IF(ISNUMBER(R77),IF(ISNUMBER(R76),IF(R77&gt;R76,1.0,IF(R77=R76,0.5,0.0)),""),"")</f>
        <v/>
      </c>
      <c r="X77" s="15">
        <f>IF(ISNUMBER(S77),IF(ISNUMBER(S73),IF(S77&gt;S73,1.0,IF(S77=S73,0.5,0.0)),""),"")</f>
        <v/>
      </c>
      <c r="Y77" s="15">
        <f>IF(ISNUMBER(S77),IF(ISNUMBER(S74),IF(S77&gt;S74,1.0,IF(S77=S74,0.5,0.0)),""),"")</f>
        <v/>
      </c>
      <c r="Z77" s="15">
        <f>IF(ISNUMBER(S77),IF(ISNUMBER(S75),IF(S77&gt;S75,1.0,IF(S77=S75,0.5,0.0)),""),"")</f>
        <v/>
      </c>
      <c r="AA77" s="15">
        <f>IF(ISNUMBER(S77),IF(ISNUMBER(S76),IF(S77&gt;S76,1.0,IF(S77=S76,0.5,0.0)),""),"")</f>
        <v/>
      </c>
      <c r="AB77" s="21">
        <f>IF(AND(ISNUMBER(R77),ISNUMBER(R73)),VLOOKUP(ABS(R77-R73),'IMP Table'!$A$2:$C$26,3)*SIGN(R77-R73),0)</f>
        <v/>
      </c>
      <c r="AC77" s="15">
        <f>IF(AND(ISNUMBER(R77),ISNUMBER(R74)),VLOOKUP(ABS(R77-R74),'IMP Table'!$A$2:$C$26,3)*SIGN(R77-R74),0)</f>
        <v/>
      </c>
      <c r="AD77" s="15">
        <f>IF(AND(ISNUMBER(R77),ISNUMBER(R75)),VLOOKUP(ABS(R77-R75),'IMP Table'!$A$2:$C$26,3)*SIGN(R77-R75),0)</f>
        <v/>
      </c>
      <c r="AE77" s="15">
        <f>IF(AND(ISNUMBER(R77),ISNUMBER(R76)),VLOOKUP(ABS(R77-R76),'IMP Table'!$A$2:$C$26,3)*SIGN(R77-R76),0)</f>
        <v/>
      </c>
      <c r="AF77" s="15">
        <f>IF(AND(ISNUMBER(S77),ISNUMBER(S73)),VLOOKUP(ABS(S77-S73),'IMP Table'!$A$2:$C$26,3)*SIGN(S77-S73),0)</f>
        <v/>
      </c>
      <c r="AG77" s="15">
        <f>IF(AND(ISNUMBER(S77),ISNUMBER(S74)),VLOOKUP(ABS(S77-S74),'IMP Table'!$A$2:$C$26,3)*SIGN(S77-S74),0)</f>
        <v/>
      </c>
      <c r="AH77" s="15">
        <f>IF(AND(ISNUMBER(S77),ISNUMBER(S75)),VLOOKUP(ABS(S77-S75),'IMP Table'!$A$2:$C$26,3)*SIGN(S77-S75),0)</f>
        <v/>
      </c>
      <c r="AI77" s="15">
        <f>IF(AND(ISNUMBER(S77),ISNUMBER(S76)),VLOOKUP(ABS(S77-S76),'IMP Table'!$A$2:$C$26,3)*SIGN(S77-S76),0)</f>
        <v/>
      </c>
    </row>
    <row r="78">
      <c r="A78" s="11" t="n">
        <v>16</v>
      </c>
      <c r="B78" s="11">
        <f>'By Round'!A53</f>
        <v/>
      </c>
      <c r="C78" s="11">
        <f>'By Round'!B57</f>
        <v/>
      </c>
      <c r="D78" s="11">
        <f>'By Round'!C57</f>
        <v/>
      </c>
      <c r="E78" s="11">
        <f>'By Round'!D57</f>
        <v/>
      </c>
      <c r="F78" s="11">
        <f>IF(ISBLANK('By Round'!F58),"",'By Round'!F58)</f>
        <v/>
      </c>
      <c r="G78">
        <f>IF(ISBLANK('By Round'!G58),"",'By Round'!G58)</f>
        <v/>
      </c>
      <c r="H78">
        <f>IF(ISBLANK('By Round'!H58),"",'By Round'!H58)</f>
        <v/>
      </c>
      <c r="I78">
        <f>IF(ISBLANK('By Round'!I58),"",'By Round'!I58)</f>
        <v/>
      </c>
      <c r="J78">
        <f>IF(ISBLANK('By Round'!J58),"",'By Round'!J58)</f>
        <v/>
      </c>
      <c r="K78">
        <f>IF(ISBLANK('By Round'!K58),"",'By Round'!K58)</f>
        <v/>
      </c>
      <c r="L78" s="12">
        <f>AVERAGE(AB78:AE78)</f>
        <v/>
      </c>
      <c r="M78" s="13">
        <f>AVERAGE(AF78:AI78)</f>
        <v/>
      </c>
      <c r="N78" s="8">
        <f>IF(COUNT(T78:W78)&gt;0,P78/COUNT(T78:W78),0.5)</f>
        <v/>
      </c>
      <c r="O78" s="8">
        <f>IF(COUNT(X78:AA78)&gt;0,Q78/COUNT(X78:AA78),0.5)</f>
        <v/>
      </c>
      <c r="P78" s="5">
        <f>SUM(T78:W78)</f>
        <v/>
      </c>
      <c r="Q78" s="5">
        <f>SUM(X78:AA78)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IF(ISNUMBER(R78),IF(ISNUMBER(R79),IF(R78&gt;R79,1.0,IF(R78=R79,0.5,0.0)),""),"")</f>
        <v/>
      </c>
      <c r="U78">
        <f>IF(ISNUMBER(R78),IF(ISNUMBER(R80),IF(R78&gt;R80,1.0,IF(R78=R80,0.5,0.0)),""),"")</f>
        <v/>
      </c>
      <c r="V78">
        <f>IF(ISNUMBER(R78),IF(ISNUMBER(R81),IF(R78&gt;R81,1.0,IF(R78=R81,0.5,0.0)),""),"")</f>
        <v/>
      </c>
      <c r="W78">
        <f>IF(ISNUMBER(R78),IF(ISNUMBER(R82),IF(R78&gt;R82,1.0,IF(R78=R82,0.5,0.0)),""),"")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IF(ISNUMBER(S78),IF(ISNUMBER(S81),IF(S78&gt;S81,1.0,IF(S78=S81,0.5,0.0)),""),"")</f>
        <v/>
      </c>
      <c r="AA78">
        <f>IF(ISNUMBER(S78),IF(ISNUMBER(S82),IF(S78&gt;S82,1.0,IF(S78=S82,0.5,0.0)),""),"")</f>
        <v/>
      </c>
      <c r="AB78" s="14">
        <f>IF(AND(ISNUMBER(R78),ISNUMBER(R79)),VLOOKUP(ABS(R78-R79),'IMP Table'!$A$2:$C$26,3)*SIGN(R78-R79),0)</f>
        <v/>
      </c>
      <c r="AC78">
        <f>IF(AND(ISNUMBER(R78),ISNUMBER(R80)),VLOOKUP(ABS(R78-R80),'IMP Table'!$A$2:$C$26,3)*SIGN(R78-R80),0)</f>
        <v/>
      </c>
      <c r="AD78">
        <f>IF(AND(ISNUMBER(R78),ISNUMBER(R81)),VLOOKUP(ABS(R78-R81),'IMP Table'!$A$2:$C$26,3)*SIGN(R78-R81),0)</f>
        <v/>
      </c>
      <c r="AE78">
        <f>IF(AND(ISNUMBER(R78),ISNUMBER(R82)),VLOOKUP(ABS(R78-R82),'IMP Table'!$A$2:$C$26,3)*SIGN(R78-R82),0)</f>
        <v/>
      </c>
      <c r="AF78">
        <f>IF(AND(ISNUMBER(S78),ISNUMBER(S79)),VLOOKUP(ABS(S78-S79),'IMP Table'!$A$2:$C$26,3)*SIGN(S78-S79),0)</f>
        <v/>
      </c>
      <c r="AG78">
        <f>IF(AND(ISNUMBER(S78),ISNUMBER(S80)),VLOOKUP(ABS(S78-S80),'IMP Table'!$A$2:$C$26,3)*SIGN(S78-S80),0)</f>
        <v/>
      </c>
      <c r="AH78">
        <f>IF(AND(ISNUMBER(S78),ISNUMBER(S81)),VLOOKUP(ABS(S78-S81),'IMP Table'!$A$2:$C$26,3)*SIGN(S78-S81),0)</f>
        <v/>
      </c>
      <c r="AI78">
        <f>IF(AND(ISNUMBER(S78),ISNUMBER(S82)),VLOOKUP(ABS(S78-S82),'IMP Table'!$A$2:$C$26,3)*SIGN(S78-S82),0)</f>
        <v/>
      </c>
    </row>
    <row r="79">
      <c r="B79" s="11">
        <f>'By Round'!A3</f>
        <v/>
      </c>
      <c r="C79" s="11">
        <f>'By Round'!B9</f>
        <v/>
      </c>
      <c r="D79" s="11">
        <f>'By Round'!C9</f>
        <v/>
      </c>
      <c r="E79" s="11">
        <f>'By Round'!D9</f>
        <v/>
      </c>
      <c r="F79" s="11">
        <f>IF(ISBLANK('By Round'!F10),"",'By Round'!F10)</f>
        <v/>
      </c>
      <c r="G79">
        <f>IF(ISBLANK('By Round'!G10),"",'By Round'!G10)</f>
        <v/>
      </c>
      <c r="H79">
        <f>IF(ISBLANK('By Round'!H10),"",'By Round'!H10)</f>
        <v/>
      </c>
      <c r="I79">
        <f>IF(ISBLANK('By Round'!I10),"",'By Round'!I10)</f>
        <v/>
      </c>
      <c r="J79">
        <f>IF(ISBLANK('By Round'!J10),"",'By Round'!J10)</f>
        <v/>
      </c>
      <c r="K79">
        <f>IF(ISBLANK('By Round'!K10),"",'By Round'!K10)</f>
        <v/>
      </c>
      <c r="L79" s="12">
        <f>AVERAGE(AB79:AE79)</f>
        <v/>
      </c>
      <c r="M79" s="13">
        <f>AVERAGE(AF79:AI79)</f>
        <v/>
      </c>
      <c r="N79" s="8">
        <f>IF(COUNT(T79:W79)&gt;0,P79/COUNT(T79:W79),0.5)</f>
        <v/>
      </c>
      <c r="O79" s="8">
        <f>IF(COUNT(X79:AA79)&gt;0,Q79/COUNT(X79:AA79),0.5)</f>
        <v/>
      </c>
      <c r="P79" s="5">
        <f>SUM(T79:W79)</f>
        <v/>
      </c>
      <c r="Q79" s="5">
        <f>SUM(X79:AA79)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IF(ISNUMBER(R79),IF(ISNUMBER(R78),IF(R79&gt;R78,1.0,IF(R79=R78,0.5,0.0)),""),"")</f>
        <v/>
      </c>
      <c r="U79">
        <f>IF(ISNUMBER(R79),IF(ISNUMBER(R80),IF(R79&gt;R80,1.0,IF(R79=R80,0.5,0.0)),""),"")</f>
        <v/>
      </c>
      <c r="V79">
        <f>IF(ISNUMBER(R79),IF(ISNUMBER(R81),IF(R79&gt;R81,1.0,IF(R79=R81,0.5,0.0)),""),"")</f>
        <v/>
      </c>
      <c r="W79">
        <f>IF(ISNUMBER(R79),IF(ISNUMBER(R82),IF(R79&gt;R82,1.0,IF(R79=R82,0.5,0.0)),""),"")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IF(ISNUMBER(S79),IF(ISNUMBER(S81),IF(S79&gt;S81,1.0,IF(S79=S81,0.5,0.0)),""),"")</f>
        <v/>
      </c>
      <c r="AA79">
        <f>IF(ISNUMBER(S79),IF(ISNUMBER(S82),IF(S79&gt;S82,1.0,IF(S79=S82,0.5,0.0)),""),"")</f>
        <v/>
      </c>
      <c r="AB79" s="14">
        <f>IF(AND(ISNUMBER(R79),ISNUMBER(R78)),VLOOKUP(ABS(R79-R78),'IMP Table'!$A$2:$C$26,3)*SIGN(R79-R78),0)</f>
        <v/>
      </c>
      <c r="AC79">
        <f>IF(AND(ISNUMBER(R79),ISNUMBER(R80)),VLOOKUP(ABS(R79-R80),'IMP Table'!$A$2:$C$26,3)*SIGN(R79-R80),0)</f>
        <v/>
      </c>
      <c r="AD79">
        <f>IF(AND(ISNUMBER(R79),ISNUMBER(R81)),VLOOKUP(ABS(R79-R81),'IMP Table'!$A$2:$C$26,3)*SIGN(R79-R81),0)</f>
        <v/>
      </c>
      <c r="AE79">
        <f>IF(AND(ISNUMBER(R79),ISNUMBER(R82)),VLOOKUP(ABS(R79-R82),'IMP Table'!$A$2:$C$26,3)*SIGN(R79-R82),0)</f>
        <v/>
      </c>
      <c r="AF79">
        <f>IF(AND(ISNUMBER(S79),ISNUMBER(S78)),VLOOKUP(ABS(S79-S78),'IMP Table'!$A$2:$C$26,3)*SIGN(S79-S78),0)</f>
        <v/>
      </c>
      <c r="AG79">
        <f>IF(AND(ISNUMBER(S79),ISNUMBER(S80)),VLOOKUP(ABS(S79-S80),'IMP Table'!$A$2:$C$26,3)*SIGN(S79-S80),0)</f>
        <v/>
      </c>
      <c r="AH79">
        <f>IF(AND(ISNUMBER(S79),ISNUMBER(S81)),VLOOKUP(ABS(S79-S81),'IMP Table'!$A$2:$C$26,3)*SIGN(S79-S81),0)</f>
        <v/>
      </c>
      <c r="AI79">
        <f>IF(AND(ISNUMBER(S79),ISNUMBER(S82)),VLOOKUP(ABS(S79-S82),'IMP Table'!$A$2:$C$26,3)*SIGN(S79-S82),0)</f>
        <v/>
      </c>
    </row>
    <row r="80">
      <c r="B80" s="11">
        <f>'By Round'!A83</f>
        <v/>
      </c>
      <c r="C80" s="11">
        <f>'By Round'!B91</f>
        <v/>
      </c>
      <c r="D80" s="11">
        <f>'By Round'!C91</f>
        <v/>
      </c>
      <c r="E80" s="11">
        <f>'By Round'!D91</f>
        <v/>
      </c>
      <c r="F80" s="11">
        <f>IF(ISBLANK('By Round'!F92),"",'By Round'!F92)</f>
        <v/>
      </c>
      <c r="G80">
        <f>IF(ISBLANK('By Round'!G92),"",'By Round'!G92)</f>
        <v/>
      </c>
      <c r="H80">
        <f>IF(ISBLANK('By Round'!H92),"",'By Round'!H92)</f>
        <v/>
      </c>
      <c r="I80">
        <f>IF(ISBLANK('By Round'!I92),"",'By Round'!I92)</f>
        <v/>
      </c>
      <c r="J80">
        <f>IF(ISBLANK('By Round'!J92),"",'By Round'!J92)</f>
        <v/>
      </c>
      <c r="K80">
        <f>IF(ISBLANK('By Round'!K92),"",'By Round'!K92)</f>
        <v/>
      </c>
      <c r="L80" s="12">
        <f>AVERAGE(AB80:AE80)</f>
        <v/>
      </c>
      <c r="M80" s="13">
        <f>AVERAGE(AF80:AI80)</f>
        <v/>
      </c>
      <c r="N80" s="8">
        <f>IF(COUNT(T80:W80)&gt;0,P80/COUNT(T80:W80),0.5)</f>
        <v/>
      </c>
      <c r="O80" s="8">
        <f>IF(COUNT(X80:AA80)&gt;0,Q80/COUNT(X80:AA80),0.5)</f>
        <v/>
      </c>
      <c r="P80" s="5">
        <f>SUM(T80:W80)</f>
        <v/>
      </c>
      <c r="Q80" s="5">
        <f>SUM(X80:AA80)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IF(ISNUMBER(R80),IF(ISNUMBER(R78),IF(R80&gt;R78,1.0,IF(R80=R78,0.5,0.0)),""),"")</f>
        <v/>
      </c>
      <c r="U80">
        <f>IF(ISNUMBER(R80),IF(ISNUMBER(R79),IF(R80&gt;R79,1.0,IF(R80=R79,0.5,0.0)),""),"")</f>
        <v/>
      </c>
      <c r="V80">
        <f>IF(ISNUMBER(R80),IF(ISNUMBER(R81),IF(R80&gt;R81,1.0,IF(R80=R81,0.5,0.0)),""),"")</f>
        <v/>
      </c>
      <c r="W80">
        <f>IF(ISNUMBER(R80),IF(ISNUMBER(R82),IF(R80&gt;R82,1.0,IF(R80=R82,0.5,0.0)),""),"")</f>
        <v/>
      </c>
      <c r="X80">
        <f>IF(ISNUMBER(S80),IF(ISNUMBER(S78),IF(S80&gt;S78,1.0,IF(S80=S78,0.5,0.0)),""),"")</f>
        <v/>
      </c>
      <c r="Y80">
        <f>IF(ISNUMBER(S80),IF(ISNUMBER(S79),IF(S80&gt;S79,1.0,IF(S80=S79,0.5,0.0)),""),"")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 s="14">
        <f>IF(AND(ISNUMBER(R80),ISNUMBER(R78)),VLOOKUP(ABS(R80-R78),'IMP Table'!$A$2:$C$26,3)*SIGN(R80-R78),0)</f>
        <v/>
      </c>
      <c r="AC80">
        <f>IF(AND(ISNUMBER(R80),ISNUMBER(R79)),VLOOKUP(ABS(R80-R79),'IMP Table'!$A$2:$C$26,3)*SIGN(R80-R79),0)</f>
        <v/>
      </c>
      <c r="AD80">
        <f>IF(AND(ISNUMBER(R80),ISNUMBER(R81)),VLOOKUP(ABS(R80-R81),'IMP Table'!$A$2:$C$26,3)*SIGN(R80-R81),0)</f>
        <v/>
      </c>
      <c r="AE80">
        <f>IF(AND(ISNUMBER(R80),ISNUMBER(R82)),VLOOKUP(ABS(R80-R82),'IMP Table'!$A$2:$C$26,3)*SIGN(R80-R82),0)</f>
        <v/>
      </c>
      <c r="AF80">
        <f>IF(AND(ISNUMBER(S80),ISNUMBER(S78)),VLOOKUP(ABS(S80-S78),'IMP Table'!$A$2:$C$26,3)*SIGN(S80-S78),0)</f>
        <v/>
      </c>
      <c r="AG80">
        <f>IF(AND(ISNUMBER(S80),ISNUMBER(S79)),VLOOKUP(ABS(S80-S79),'IMP Table'!$A$2:$C$26,3)*SIGN(S80-S79),0)</f>
        <v/>
      </c>
      <c r="AH80">
        <f>IF(AND(ISNUMBER(S80),ISNUMBER(S81)),VLOOKUP(ABS(S80-S81),'IMP Table'!$A$2:$C$26,3)*SIGN(S80-S81),0)</f>
        <v/>
      </c>
      <c r="AI80">
        <f>IF(AND(ISNUMBER(S80),ISNUMBER(S82)),VLOOKUP(ABS(S80-S82),'IMP Table'!$A$2:$C$26,3)*SIGN(S80-S82),0)</f>
        <v/>
      </c>
    </row>
    <row r="81">
      <c r="B81" s="11">
        <f>'By Round'!A63</f>
        <v/>
      </c>
      <c r="C81" s="11">
        <f>'By Round'!B65</f>
        <v/>
      </c>
      <c r="D81" s="11">
        <f>'By Round'!C65</f>
        <v/>
      </c>
      <c r="E81" s="11">
        <f>'By Round'!D65</f>
        <v/>
      </c>
      <c r="F81" s="11">
        <f>IF(ISBLANK('By Round'!F66),"",'By Round'!F66)</f>
        <v/>
      </c>
      <c r="G81">
        <f>IF(ISBLANK('By Round'!G66),"",'By Round'!G66)</f>
        <v/>
      </c>
      <c r="H81">
        <f>IF(ISBLANK('By Round'!H66),"",'By Round'!H66)</f>
        <v/>
      </c>
      <c r="I81">
        <f>IF(ISBLANK('By Round'!I66),"",'By Round'!I66)</f>
        <v/>
      </c>
      <c r="J81">
        <f>IF(ISBLANK('By Round'!J66),"",'By Round'!J66)</f>
        <v/>
      </c>
      <c r="K81">
        <f>IF(ISBLANK('By Round'!K66),"",'By Round'!K66)</f>
        <v/>
      </c>
      <c r="L81" s="12">
        <f>AVERAGE(AB81:AE81)</f>
        <v/>
      </c>
      <c r="M81" s="13">
        <f>AVERAGE(AF81:AI81)</f>
        <v/>
      </c>
      <c r="N81" s="8">
        <f>IF(COUNT(T81:W81)&gt;0,P81/COUNT(T81:W81),0.5)</f>
        <v/>
      </c>
      <c r="O81" s="8">
        <f>IF(COUNT(X81:AA81)&gt;0,Q81/COUNT(X81:AA81),0.5)</f>
        <v/>
      </c>
      <c r="P81" s="5">
        <f>SUM(T81:W81)</f>
        <v/>
      </c>
      <c r="Q81" s="5">
        <f>SUM(X81:AA81)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IF(ISNUMBER(R81),IF(ISNUMBER(R78),IF(R81&gt;R78,1.0,IF(R81=R78,0.5,0.0)),""),"")</f>
        <v/>
      </c>
      <c r="U81">
        <f>IF(ISNUMBER(R81),IF(ISNUMBER(R79),IF(R81&gt;R79,1.0,IF(R81=R79,0.5,0.0)),""),"")</f>
        <v/>
      </c>
      <c r="V81">
        <f>IF(ISNUMBER(R81),IF(ISNUMBER(R80),IF(R81&gt;R80,1.0,IF(R81=R80,0.5,0.0)),""),"")</f>
        <v/>
      </c>
      <c r="W81">
        <f>IF(ISNUMBER(R81),IF(ISNUMBER(R82),IF(R81&gt;R82,1.0,IF(R81=R82,0.5,0.0)),""),"")</f>
        <v/>
      </c>
      <c r="X81">
        <f>IF(ISNUMBER(S81),IF(ISNUMBER(S78),IF(S81&gt;S78,1.0,IF(S81=S78,0.5,0.0)),""),"")</f>
        <v/>
      </c>
      <c r="Y81">
        <f>IF(ISNUMBER(S81),IF(ISNUMBER(S79),IF(S81&gt;S79,1.0,IF(S81=S79,0.5,0.0)),""),"")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 s="14">
        <f>IF(AND(ISNUMBER(R81),ISNUMBER(R78)),VLOOKUP(ABS(R81-R78),'IMP Table'!$A$2:$C$26,3)*SIGN(R81-R78),0)</f>
        <v/>
      </c>
      <c r="AC81">
        <f>IF(AND(ISNUMBER(R81),ISNUMBER(R79)),VLOOKUP(ABS(R81-R79),'IMP Table'!$A$2:$C$26,3)*SIGN(R81-R79),0)</f>
        <v/>
      </c>
      <c r="AD81">
        <f>IF(AND(ISNUMBER(R81),ISNUMBER(R80)),VLOOKUP(ABS(R81-R80),'IMP Table'!$A$2:$C$26,3)*SIGN(R81-R80),0)</f>
        <v/>
      </c>
      <c r="AE81">
        <f>IF(AND(ISNUMBER(R81),ISNUMBER(R82)),VLOOKUP(ABS(R81-R82),'IMP Table'!$A$2:$C$26,3)*SIGN(R81-R82),0)</f>
        <v/>
      </c>
      <c r="AF81">
        <f>IF(AND(ISNUMBER(S81),ISNUMBER(S78)),VLOOKUP(ABS(S81-S78),'IMP Table'!$A$2:$C$26,3)*SIGN(S81-S78),0)</f>
        <v/>
      </c>
      <c r="AG81">
        <f>IF(AND(ISNUMBER(S81),ISNUMBER(S79)),VLOOKUP(ABS(S81-S79),'IMP Table'!$A$2:$C$26,3)*SIGN(S81-S79),0)</f>
        <v/>
      </c>
      <c r="AH81">
        <f>IF(AND(ISNUMBER(S81),ISNUMBER(S80)),VLOOKUP(ABS(S81-S80),'IMP Table'!$A$2:$C$26,3)*SIGN(S81-S80),0)</f>
        <v/>
      </c>
      <c r="AI81">
        <f>IF(AND(ISNUMBER(S81),ISNUMBER(S82)),VLOOKUP(ABS(S81-S82),'IMP Table'!$A$2:$C$26,3)*SIGN(S81-S82),0)</f>
        <v/>
      </c>
    </row>
    <row r="82">
      <c r="A82" s="15" t="n"/>
      <c r="B82" s="16">
        <f>'By Round'!A73</f>
        <v/>
      </c>
      <c r="C82" s="16">
        <f>'By Round'!B73</f>
        <v/>
      </c>
      <c r="D82" s="16">
        <f>'By Round'!C73</f>
        <v/>
      </c>
      <c r="E82" s="16">
        <f>'By Round'!D73</f>
        <v/>
      </c>
      <c r="F82" s="16">
        <f>IF(ISBLANK('By Round'!F74),"",'By Round'!F74)</f>
        <v/>
      </c>
      <c r="G82" s="15">
        <f>IF(ISBLANK('By Round'!G74),"",'By Round'!G74)</f>
        <v/>
      </c>
      <c r="H82" s="15">
        <f>IF(ISBLANK('By Round'!H74),"",'By Round'!H74)</f>
        <v/>
      </c>
      <c r="I82" s="15">
        <f>IF(ISBLANK('By Round'!I74),"",'By Round'!I74)</f>
        <v/>
      </c>
      <c r="J82" s="15">
        <f>IF(ISBLANK('By Round'!J74),"",'By Round'!J74)</f>
        <v/>
      </c>
      <c r="K82" s="15">
        <f>IF(ISBLANK('By Round'!K74),"",'By Round'!K74)</f>
        <v/>
      </c>
      <c r="L82" s="17">
        <f>AVERAGE(AB82:AE82)</f>
        <v/>
      </c>
      <c r="M82" s="18">
        <f>AVERAGE(AF82:AI82)</f>
        <v/>
      </c>
      <c r="N82" s="19">
        <f>IF(COUNT(T82:W82)&gt;0,P82/COUNT(T82:W82),0.5)</f>
        <v/>
      </c>
      <c r="O82" s="19">
        <f>IF(COUNT(X82:AA82)&gt;0,Q82/COUNT(X82:AA82),0.5)</f>
        <v/>
      </c>
      <c r="P82" s="20">
        <f>SUM(T82:W82)</f>
        <v/>
      </c>
      <c r="Q82" s="20">
        <f>SUM(X82:AA82)</f>
        <v/>
      </c>
      <c r="R82" s="21">
        <f>IF(ISNUMBER(J82),J82,IF(ISNUMBER(K82),-K82,""))</f>
        <v/>
      </c>
      <c r="S82" s="15">
        <f>IF(ISNUMBER(K82),K82,IF(ISNUMBER(J82),-J82,""))</f>
        <v/>
      </c>
      <c r="T82" s="21">
        <f>IF(ISNUMBER(R82),IF(ISNUMBER(R78),IF(R82&gt;R78,1.0,IF(R82=R78,0.5,0.0)),""),"")</f>
        <v/>
      </c>
      <c r="U82" s="15">
        <f>IF(ISNUMBER(R82),IF(ISNUMBER(R79),IF(R82&gt;R79,1.0,IF(R82=R79,0.5,0.0)),""),"")</f>
        <v/>
      </c>
      <c r="V82" s="15">
        <f>IF(ISNUMBER(R82),IF(ISNUMBER(R80),IF(R82&gt;R80,1.0,IF(R82=R80,0.5,0.0)),""),"")</f>
        <v/>
      </c>
      <c r="W82" s="15">
        <f>IF(ISNUMBER(R82),IF(ISNUMBER(R81),IF(R82&gt;R81,1.0,IF(R82=R81,0.5,0.0)),""),"")</f>
        <v/>
      </c>
      <c r="X82" s="15">
        <f>IF(ISNUMBER(S82),IF(ISNUMBER(S78),IF(S82&gt;S78,1.0,IF(S82=S78,0.5,0.0)),""),"")</f>
        <v/>
      </c>
      <c r="Y82" s="15">
        <f>IF(ISNUMBER(S82),IF(ISNUMBER(S79),IF(S82&gt;S79,1.0,IF(S82=S79,0.5,0.0)),""),"")</f>
        <v/>
      </c>
      <c r="Z82" s="15">
        <f>IF(ISNUMBER(S82),IF(ISNUMBER(S80),IF(S82&gt;S80,1.0,IF(S82=S80,0.5,0.0)),""),"")</f>
        <v/>
      </c>
      <c r="AA82" s="15">
        <f>IF(ISNUMBER(S82),IF(ISNUMBER(S81),IF(S82&gt;S81,1.0,IF(S82=S81,0.5,0.0)),""),"")</f>
        <v/>
      </c>
      <c r="AB82" s="21">
        <f>IF(AND(ISNUMBER(R82),ISNUMBER(R78)),VLOOKUP(ABS(R82-R78),'IMP Table'!$A$2:$C$26,3)*SIGN(R82-R78),0)</f>
        <v/>
      </c>
      <c r="AC82" s="15">
        <f>IF(AND(ISNUMBER(R82),ISNUMBER(R79)),VLOOKUP(ABS(R82-R79),'IMP Table'!$A$2:$C$26,3)*SIGN(R82-R79),0)</f>
        <v/>
      </c>
      <c r="AD82" s="15">
        <f>IF(AND(ISNUMBER(R82),ISNUMBER(R80)),VLOOKUP(ABS(R82-R80),'IMP Table'!$A$2:$C$26,3)*SIGN(R82-R80),0)</f>
        <v/>
      </c>
      <c r="AE82" s="15">
        <f>IF(AND(ISNUMBER(R82),ISNUMBER(R81)),VLOOKUP(ABS(R82-R81),'IMP Table'!$A$2:$C$26,3)*SIGN(R82-R81),0)</f>
        <v/>
      </c>
      <c r="AF82" s="15">
        <f>IF(AND(ISNUMBER(S82),ISNUMBER(S78)),VLOOKUP(ABS(S82-S78),'IMP Table'!$A$2:$C$26,3)*SIGN(S82-S78),0)</f>
        <v/>
      </c>
      <c r="AG82" s="15">
        <f>IF(AND(ISNUMBER(S82),ISNUMBER(S79)),VLOOKUP(ABS(S82-S79),'IMP Table'!$A$2:$C$26,3)*SIGN(S82-S79),0)</f>
        <v/>
      </c>
      <c r="AH82" s="15">
        <f>IF(AND(ISNUMBER(S82),ISNUMBER(S80)),VLOOKUP(ABS(S82-S80),'IMP Table'!$A$2:$C$26,3)*SIGN(S82-S80),0)</f>
        <v/>
      </c>
      <c r="AI82" s="15">
        <f>IF(AND(ISNUMBER(S82),ISNUMBER(S81)),VLOOKUP(ABS(S82-S81),'IMP Table'!$A$2:$C$26,3)*SIGN(S82-S81),0)</f>
        <v/>
      </c>
    </row>
    <row r="83">
      <c r="A83" s="11" t="n">
        <v>17</v>
      </c>
      <c r="B83" s="11">
        <f>'By Round'!A63</f>
        <v/>
      </c>
      <c r="C83" s="11">
        <f>'By Round'!B67</f>
        <v/>
      </c>
      <c r="D83" s="11">
        <f>'By Round'!C67</f>
        <v/>
      </c>
      <c r="E83" s="11">
        <f>'By Round'!D67</f>
        <v/>
      </c>
      <c r="F83" s="11">
        <f>IF(ISBLANK('By Round'!F67),"",'By Round'!F67)</f>
        <v/>
      </c>
      <c r="G83">
        <f>IF(ISBLANK('By Round'!G67),"",'By Round'!G67)</f>
        <v/>
      </c>
      <c r="H83">
        <f>IF(ISBLANK('By Round'!H67),"",'By Round'!H67)</f>
        <v/>
      </c>
      <c r="I83">
        <f>IF(ISBLANK('By Round'!I67),"",'By Round'!I67)</f>
        <v/>
      </c>
      <c r="J83">
        <f>IF(ISBLANK('By Round'!J67),"",'By Round'!J67)</f>
        <v/>
      </c>
      <c r="K83">
        <f>IF(ISBLANK('By Round'!K67),"",'By Round'!K67)</f>
        <v/>
      </c>
      <c r="L83" s="12">
        <f>AVERAGE(AB83:AE83)</f>
        <v/>
      </c>
      <c r="M83" s="13">
        <f>AVERAGE(AF83:AI83)</f>
        <v/>
      </c>
      <c r="N83" s="8">
        <f>IF(COUNT(T83:W83)&gt;0,P83/COUNT(T83:W83),0.5)</f>
        <v/>
      </c>
      <c r="O83" s="8">
        <f>IF(COUNT(X83:AA83)&gt;0,Q83/COUNT(X83:AA83),0.5)</f>
        <v/>
      </c>
      <c r="P83" s="5">
        <f>SUM(T83:W83)</f>
        <v/>
      </c>
      <c r="Q83" s="5">
        <f>SUM(X83:AA83)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IF(ISNUMBER(R83),IF(ISNUMBER(R84),IF(R83&gt;R84,1.0,IF(R83=R84,0.5,0.0)),""),"")</f>
        <v/>
      </c>
      <c r="U83">
        <f>IF(ISNUMBER(R83),IF(ISNUMBER(R85),IF(R83&gt;R85,1.0,IF(R83=R85,0.5,0.0)),""),"")</f>
        <v/>
      </c>
      <c r="V83">
        <f>IF(ISNUMBER(R83),IF(ISNUMBER(R86),IF(R83&gt;R86,1.0,IF(R83=R86,0.5,0.0)),""),"")</f>
        <v/>
      </c>
      <c r="W83">
        <f>IF(ISNUMBER(R83),IF(ISNUMBER(R87),IF(R83&gt;R87,1.0,IF(R83=R87,0.5,0.0)),""),"")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IF(ISNUMBER(S83),IF(ISNUMBER(S87),IF(S83&gt;S87,1.0,IF(S83=S87,0.5,0.0)),""),"")</f>
        <v/>
      </c>
      <c r="AB83" s="14">
        <f>IF(AND(ISNUMBER(R83),ISNUMBER(R84)),VLOOKUP(ABS(R83-R84),'IMP Table'!$A$2:$C$26,3)*SIGN(R83-R84),0)</f>
        <v/>
      </c>
      <c r="AC83">
        <f>IF(AND(ISNUMBER(R83),ISNUMBER(R85)),VLOOKUP(ABS(R83-R85),'IMP Table'!$A$2:$C$26,3)*SIGN(R83-R85),0)</f>
        <v/>
      </c>
      <c r="AD83">
        <f>IF(AND(ISNUMBER(R83),ISNUMBER(R86)),VLOOKUP(ABS(R83-R86),'IMP Table'!$A$2:$C$26,3)*SIGN(R83-R86),0)</f>
        <v/>
      </c>
      <c r="AE83">
        <f>IF(AND(ISNUMBER(R83),ISNUMBER(R87)),VLOOKUP(ABS(R83-R87),'IMP Table'!$A$2:$C$26,3)*SIGN(R83-R87),0)</f>
        <v/>
      </c>
      <c r="AF83">
        <f>IF(AND(ISNUMBER(S83),ISNUMBER(S84)),VLOOKUP(ABS(S83-S84),'IMP Table'!$A$2:$C$26,3)*SIGN(S83-S84),0)</f>
        <v/>
      </c>
      <c r="AG83">
        <f>IF(AND(ISNUMBER(S83),ISNUMBER(S85)),VLOOKUP(ABS(S83-S85),'IMP Table'!$A$2:$C$26,3)*SIGN(S83-S85),0)</f>
        <v/>
      </c>
      <c r="AH83">
        <f>IF(AND(ISNUMBER(S83),ISNUMBER(S86)),VLOOKUP(ABS(S83-S86),'IMP Table'!$A$2:$C$26,3)*SIGN(S83-S86),0)</f>
        <v/>
      </c>
      <c r="AI83">
        <f>IF(AND(ISNUMBER(S83),ISNUMBER(S87)),VLOOKUP(ABS(S83-S87),'IMP Table'!$A$2:$C$26,3)*SIGN(S83-S87),0)</f>
        <v/>
      </c>
    </row>
    <row r="84">
      <c r="B84" s="11">
        <f>'By Round'!A13</f>
        <v/>
      </c>
      <c r="C84" s="11">
        <f>'By Round'!B19</f>
        <v/>
      </c>
      <c r="D84" s="11">
        <f>'By Round'!C19</f>
        <v/>
      </c>
      <c r="E84" s="11">
        <f>'By Round'!D19</f>
        <v/>
      </c>
      <c r="F84" s="11">
        <f>IF(ISBLANK('By Round'!F19),"",'By Round'!F19)</f>
        <v/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 s="12">
        <f>AVERAGE(AB84:AE84)</f>
        <v/>
      </c>
      <c r="M84" s="13">
        <f>AVERAGE(AF84:AI84)</f>
        <v/>
      </c>
      <c r="N84" s="8">
        <f>IF(COUNT(T84:W84)&gt;0,P84/COUNT(T84:W84),0.5)</f>
        <v/>
      </c>
      <c r="O84" s="8">
        <f>IF(COUNT(X84:AA84)&gt;0,Q84/COUNT(X84:AA84),0.5)</f>
        <v/>
      </c>
      <c r="P84" s="5">
        <f>SUM(T84:W84)</f>
        <v/>
      </c>
      <c r="Q84" s="5">
        <f>SUM(X84:AA84)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IF(ISNUMBER(R84),IF(ISNUMBER(R83),IF(R84&gt;R83,1.0,IF(R84=R83,0.5,0.0)),""),"")</f>
        <v/>
      </c>
      <c r="U84">
        <f>IF(ISNUMBER(R84),IF(ISNUMBER(R85),IF(R84&gt;R85,1.0,IF(R84=R85,0.5,0.0)),""),"")</f>
        <v/>
      </c>
      <c r="V84">
        <f>IF(ISNUMBER(R84),IF(ISNUMBER(R86),IF(R84&gt;R86,1.0,IF(R84=R86,0.5,0.0)),""),"")</f>
        <v/>
      </c>
      <c r="W84">
        <f>IF(ISNUMBER(R84),IF(ISNUMBER(R87),IF(R84&gt;R87,1.0,IF(R84=R87,0.5,0.0)),""),"")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IF(ISNUMBER(S84),IF(ISNUMBER(S87),IF(S84&gt;S87,1.0,IF(S84=S87,0.5,0.0)),""),"")</f>
        <v/>
      </c>
      <c r="AB84" s="14">
        <f>IF(AND(ISNUMBER(R84),ISNUMBER(R83)),VLOOKUP(ABS(R84-R83),'IMP Table'!$A$2:$C$26,3)*SIGN(R84-R83),0)</f>
        <v/>
      </c>
      <c r="AC84">
        <f>IF(AND(ISNUMBER(R84),ISNUMBER(R85)),VLOOKUP(ABS(R84-R85),'IMP Table'!$A$2:$C$26,3)*SIGN(R84-R85),0)</f>
        <v/>
      </c>
      <c r="AD84">
        <f>IF(AND(ISNUMBER(R84),ISNUMBER(R86)),VLOOKUP(ABS(R84-R86),'IMP Table'!$A$2:$C$26,3)*SIGN(R84-R86),0)</f>
        <v/>
      </c>
      <c r="AE84">
        <f>IF(AND(ISNUMBER(R84),ISNUMBER(R87)),VLOOKUP(ABS(R84-R87),'IMP Table'!$A$2:$C$26,3)*SIGN(R84-R87),0)</f>
        <v/>
      </c>
      <c r="AF84">
        <f>IF(AND(ISNUMBER(S84),ISNUMBER(S83)),VLOOKUP(ABS(S84-S83),'IMP Table'!$A$2:$C$26,3)*SIGN(S84-S83),0)</f>
        <v/>
      </c>
      <c r="AG84">
        <f>IF(AND(ISNUMBER(S84),ISNUMBER(S85)),VLOOKUP(ABS(S84-S85),'IMP Table'!$A$2:$C$26,3)*SIGN(S84-S85),0)</f>
        <v/>
      </c>
      <c r="AH84">
        <f>IF(AND(ISNUMBER(S84),ISNUMBER(S86)),VLOOKUP(ABS(S84-S86),'IMP Table'!$A$2:$C$26,3)*SIGN(S84-S86),0)</f>
        <v/>
      </c>
      <c r="AI84">
        <f>IF(AND(ISNUMBER(S84),ISNUMBER(S87)),VLOOKUP(ABS(S84-S87),'IMP Table'!$A$2:$C$26,3)*SIGN(S84-S87),0)</f>
        <v/>
      </c>
    </row>
    <row r="85">
      <c r="B85" s="11">
        <f>'By Round'!A3</f>
        <v/>
      </c>
      <c r="C85" s="11">
        <f>'By Round'!B11</f>
        <v/>
      </c>
      <c r="D85" s="11">
        <f>'By Round'!C11</f>
        <v/>
      </c>
      <c r="E85" s="11">
        <f>'By Round'!D11</f>
        <v/>
      </c>
      <c r="F85" s="11">
        <f>IF(ISBLANK('By Round'!F11),"",'By Round'!F11)</f>
        <v/>
      </c>
      <c r="G85">
        <f>IF(ISBLANK('By Round'!G11),"",'By Round'!G11)</f>
        <v/>
      </c>
      <c r="H85">
        <f>IF(ISBLANK('By Round'!H11),"",'By Round'!H11)</f>
        <v/>
      </c>
      <c r="I85">
        <f>IF(ISBLANK('By Round'!I11),"",'By Round'!I11)</f>
        <v/>
      </c>
      <c r="J85">
        <f>IF(ISBLANK('By Round'!J11),"",'By Round'!J11)</f>
        <v/>
      </c>
      <c r="K85">
        <f>IF(ISBLANK('By Round'!K11),"",'By Round'!K11)</f>
        <v/>
      </c>
      <c r="L85" s="12">
        <f>AVERAGE(AB85:AE85)</f>
        <v/>
      </c>
      <c r="M85" s="13">
        <f>AVERAGE(AF85:AI85)</f>
        <v/>
      </c>
      <c r="N85" s="8">
        <f>IF(COUNT(T85:W85)&gt;0,P85/COUNT(T85:W85),0.5)</f>
        <v/>
      </c>
      <c r="O85" s="8">
        <f>IF(COUNT(X85:AA85)&gt;0,Q85/COUNT(X85:AA85),0.5)</f>
        <v/>
      </c>
      <c r="P85" s="5">
        <f>SUM(T85:W85)</f>
        <v/>
      </c>
      <c r="Q85" s="5">
        <f>SUM(X85:AA85)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IF(ISNUMBER(R85),IF(ISNUMBER(R83),IF(R85&gt;R83,1.0,IF(R85=R83,0.5,0.0)),""),"")</f>
        <v/>
      </c>
      <c r="U85">
        <f>IF(ISNUMBER(R85),IF(ISNUMBER(R84),IF(R85&gt;R84,1.0,IF(R85=R84,0.5,0.0)),""),"")</f>
        <v/>
      </c>
      <c r="V85">
        <f>IF(ISNUMBER(R85),IF(ISNUMBER(R86),IF(R85&gt;R86,1.0,IF(R85=R86,0.5,0.0)),""),"")</f>
        <v/>
      </c>
      <c r="W85">
        <f>IF(ISNUMBER(R85),IF(ISNUMBER(R87),IF(R85&gt;R87,1.0,IF(R85=R87,0.5,0.0)),""),"")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IF(ISNUMBER(S85),IF(ISNUMBER(S87),IF(S85&gt;S87,1.0,IF(S85=S87,0.5,0.0)),""),"")</f>
        <v/>
      </c>
      <c r="AB85" s="14">
        <f>IF(AND(ISNUMBER(R85),ISNUMBER(R83)),VLOOKUP(ABS(R85-R83),'IMP Table'!$A$2:$C$26,3)*SIGN(R85-R83),0)</f>
        <v/>
      </c>
      <c r="AC85">
        <f>IF(AND(ISNUMBER(R85),ISNUMBER(R84)),VLOOKUP(ABS(R85-R84),'IMP Table'!$A$2:$C$26,3)*SIGN(R85-R84),0)</f>
        <v/>
      </c>
      <c r="AD85">
        <f>IF(AND(ISNUMBER(R85),ISNUMBER(R86)),VLOOKUP(ABS(R85-R86),'IMP Table'!$A$2:$C$26,3)*SIGN(R85-R86),0)</f>
        <v/>
      </c>
      <c r="AE85">
        <f>IF(AND(ISNUMBER(R85),ISNUMBER(R87)),VLOOKUP(ABS(R85-R87),'IMP Table'!$A$2:$C$26,3)*SIGN(R85-R87),0)</f>
        <v/>
      </c>
      <c r="AF85">
        <f>IF(AND(ISNUMBER(S85),ISNUMBER(S83)),VLOOKUP(ABS(S85-S83),'IMP Table'!$A$2:$C$26,3)*SIGN(S85-S83),0)</f>
        <v/>
      </c>
      <c r="AG85">
        <f>IF(AND(ISNUMBER(S85),ISNUMBER(S84)),VLOOKUP(ABS(S85-S84),'IMP Table'!$A$2:$C$26,3)*SIGN(S85-S84),0)</f>
        <v/>
      </c>
      <c r="AH85">
        <f>IF(AND(ISNUMBER(S85),ISNUMBER(S86)),VLOOKUP(ABS(S85-S86),'IMP Table'!$A$2:$C$26,3)*SIGN(S85-S86),0)</f>
        <v/>
      </c>
      <c r="AI85">
        <f>IF(AND(ISNUMBER(S85),ISNUMBER(S87)),VLOOKUP(ABS(S85-S87),'IMP Table'!$A$2:$C$26,3)*SIGN(S85-S87),0)</f>
        <v/>
      </c>
    </row>
    <row r="86">
      <c r="B86" s="11">
        <f>'By Round'!A73</f>
        <v/>
      </c>
      <c r="C86" s="11">
        <f>'By Round'!B75</f>
        <v/>
      </c>
      <c r="D86" s="11">
        <f>'By Round'!C75</f>
        <v/>
      </c>
      <c r="E86" s="11">
        <f>'By Round'!D75</f>
        <v/>
      </c>
      <c r="F86" s="11">
        <f>IF(ISBLANK('By Round'!F75),"",'By Round'!F75)</f>
        <v/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 s="12">
        <f>AVERAGE(AB86:AE86)</f>
        <v/>
      </c>
      <c r="M86" s="13">
        <f>AVERAGE(AF86:AI86)</f>
        <v/>
      </c>
      <c r="N86" s="8">
        <f>IF(COUNT(T86:W86)&gt;0,P86/COUNT(T86:W86),0.5)</f>
        <v/>
      </c>
      <c r="O86" s="8">
        <f>IF(COUNT(X86:AA86)&gt;0,Q86/COUNT(X86:AA86),0.5)</f>
        <v/>
      </c>
      <c r="P86" s="5">
        <f>SUM(T86:W86)</f>
        <v/>
      </c>
      <c r="Q86" s="5">
        <f>SUM(X86:AA86)</f>
        <v/>
      </c>
      <c r="R86" s="14">
        <f>IF(ISNUMBER(J86),J86,IF(ISNUMBER(K86),-K86,""))</f>
        <v/>
      </c>
      <c r="S86">
        <f>IF(ISNUMBER(K86),K86,IF(ISNUMBER(J86),-J86,""))</f>
        <v/>
      </c>
      <c r="T86" s="14">
        <f>IF(ISNUMBER(R86),IF(ISNUMBER(R83),IF(R86&gt;R83,1.0,IF(R86=R83,0.5,0.0)),""),"")</f>
        <v/>
      </c>
      <c r="U86">
        <f>IF(ISNUMBER(R86),IF(ISNUMBER(R84),IF(R86&gt;R84,1.0,IF(R86=R84,0.5,0.0)),""),"")</f>
        <v/>
      </c>
      <c r="V86">
        <f>IF(ISNUMBER(R86),IF(ISNUMBER(R85),IF(R86&gt;R85,1.0,IF(R86=R85,0.5,0.0)),""),"")</f>
        <v/>
      </c>
      <c r="W86">
        <f>IF(ISNUMBER(R86),IF(ISNUMBER(R87),IF(R86&gt;R87,1.0,IF(R86=R87,0.5,0.0)),""),"")</f>
        <v/>
      </c>
      <c r="X86">
        <f>IF(ISNUMBER(S86),IF(ISNUMBER(S83),IF(S86&gt;S83,1.0,IF(S86=S83,0.5,0.0)),""),"")</f>
        <v/>
      </c>
      <c r="Y86">
        <f>IF(ISNUMBER(S86),IF(ISNUMBER(S84),IF(S86&gt;S84,1.0,IF(S86=S84,0.5,0.0)),""),"")</f>
        <v/>
      </c>
      <c r="Z86">
        <f>IF(ISNUMBER(S86),IF(ISNUMBER(S85),IF(S86&gt;S85,1.0,IF(S86=S85,0.5,0.0)),""),"")</f>
        <v/>
      </c>
      <c r="AA86">
        <f>IF(ISNUMBER(S86),IF(ISNUMBER(S87),IF(S86&gt;S87,1.0,IF(S86=S87,0.5,0.0)),""),"")</f>
        <v/>
      </c>
      <c r="AB86" s="14">
        <f>IF(AND(ISNUMBER(R86),ISNUMBER(R83)),VLOOKUP(ABS(R86-R83),'IMP Table'!$A$2:$C$26,3)*SIGN(R86-R83),0)</f>
        <v/>
      </c>
      <c r="AC86">
        <f>IF(AND(ISNUMBER(R86),ISNUMBER(R84)),VLOOKUP(ABS(R86-R84),'IMP Table'!$A$2:$C$26,3)*SIGN(R86-R84),0)</f>
        <v/>
      </c>
      <c r="AD86">
        <f>IF(AND(ISNUMBER(R86),ISNUMBER(R85)),VLOOKUP(ABS(R86-R85),'IMP Table'!$A$2:$C$26,3)*SIGN(R86-R85),0)</f>
        <v/>
      </c>
      <c r="AE86">
        <f>IF(AND(ISNUMBER(R86),ISNUMBER(R87)),VLOOKUP(ABS(R86-R87),'IMP Table'!$A$2:$C$26,3)*SIGN(R86-R87),0)</f>
        <v/>
      </c>
      <c r="AF86">
        <f>IF(AND(ISNUMBER(S86),ISNUMBER(S83)),VLOOKUP(ABS(S86-S83),'IMP Table'!$A$2:$C$26,3)*SIGN(S86-S83),0)</f>
        <v/>
      </c>
      <c r="AG86">
        <f>IF(AND(ISNUMBER(S86),ISNUMBER(S84)),VLOOKUP(ABS(S86-S84),'IMP Table'!$A$2:$C$26,3)*SIGN(S86-S84),0)</f>
        <v/>
      </c>
      <c r="AH86">
        <f>IF(AND(ISNUMBER(S86),ISNUMBER(S85)),VLOOKUP(ABS(S86-S85),'IMP Table'!$A$2:$C$26,3)*SIGN(S86-S85),0)</f>
        <v/>
      </c>
      <c r="AI86">
        <f>IF(AND(ISNUMBER(S86),ISNUMBER(S87)),VLOOKUP(ABS(S86-S87),'IMP Table'!$A$2:$C$26,3)*SIGN(S86-S87),0)</f>
        <v/>
      </c>
    </row>
    <row r="87">
      <c r="A87" s="15" t="n"/>
      <c r="B87" s="16">
        <f>'By Round'!A83</f>
        <v/>
      </c>
      <c r="C87" s="16">
        <f>'By Round'!B83</f>
        <v/>
      </c>
      <c r="D87" s="16">
        <f>'By Round'!C83</f>
        <v/>
      </c>
      <c r="E87" s="16">
        <f>'By Round'!D83</f>
        <v/>
      </c>
      <c r="F87" s="16">
        <f>IF(ISBLANK('By Round'!F83),"",'By Round'!F83)</f>
        <v/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7">
        <f>AVERAGE(AB87:AE87)</f>
        <v/>
      </c>
      <c r="M87" s="18">
        <f>AVERAGE(AF87:AI87)</f>
        <v/>
      </c>
      <c r="N87" s="19">
        <f>IF(COUNT(T87:W87)&gt;0,P87/COUNT(T87:W87),0.5)</f>
        <v/>
      </c>
      <c r="O87" s="19">
        <f>IF(COUNT(X87:AA87)&gt;0,Q87/COUNT(X87:AA87),0.5)</f>
        <v/>
      </c>
      <c r="P87" s="20">
        <f>SUM(T87:W87)</f>
        <v/>
      </c>
      <c r="Q87" s="20">
        <f>SUM(X87:AA87)</f>
        <v/>
      </c>
      <c r="R87" s="21">
        <f>IF(ISNUMBER(J87),J87,IF(ISNUMBER(K87),-K87,""))</f>
        <v/>
      </c>
      <c r="S87" s="15">
        <f>IF(ISNUMBER(K87),K87,IF(ISNUMBER(J87),-J87,""))</f>
        <v/>
      </c>
      <c r="T87" s="21">
        <f>IF(ISNUMBER(R87),IF(ISNUMBER(R83),IF(R87&gt;R83,1.0,IF(R87=R83,0.5,0.0)),""),"")</f>
        <v/>
      </c>
      <c r="U87" s="15">
        <f>IF(ISNUMBER(R87),IF(ISNUMBER(R84),IF(R87&gt;R84,1.0,IF(R87=R84,0.5,0.0)),""),"")</f>
        <v/>
      </c>
      <c r="V87" s="15">
        <f>IF(ISNUMBER(R87),IF(ISNUMBER(R85),IF(R87&gt;R85,1.0,IF(R87=R85,0.5,0.0)),""),"")</f>
        <v/>
      </c>
      <c r="W87" s="15">
        <f>IF(ISNUMBER(R87),IF(ISNUMBER(R86),IF(R87&gt;R86,1.0,IF(R87=R86,0.5,0.0)),""),"")</f>
        <v/>
      </c>
      <c r="X87" s="15">
        <f>IF(ISNUMBER(S87),IF(ISNUMBER(S83),IF(S87&gt;S83,1.0,IF(S87=S83,0.5,0.0)),""),"")</f>
        <v/>
      </c>
      <c r="Y87" s="15">
        <f>IF(ISNUMBER(S87),IF(ISNUMBER(S84),IF(S87&gt;S84,1.0,IF(S87=S84,0.5,0.0)),""),"")</f>
        <v/>
      </c>
      <c r="Z87" s="15">
        <f>IF(ISNUMBER(S87),IF(ISNUMBER(S85),IF(S87&gt;S85,1.0,IF(S87=S85,0.5,0.0)),""),"")</f>
        <v/>
      </c>
      <c r="AA87" s="15">
        <f>IF(ISNUMBER(S87),IF(ISNUMBER(S86),IF(S87&gt;S86,1.0,IF(S87=S86,0.5,0.0)),""),"")</f>
        <v/>
      </c>
      <c r="AB87" s="21">
        <f>IF(AND(ISNUMBER(R87),ISNUMBER(R83)),VLOOKUP(ABS(R87-R83),'IMP Table'!$A$2:$C$26,3)*SIGN(R87-R83),0)</f>
        <v/>
      </c>
      <c r="AC87" s="15">
        <f>IF(AND(ISNUMBER(R87),ISNUMBER(R84)),VLOOKUP(ABS(R87-R84),'IMP Table'!$A$2:$C$26,3)*SIGN(R87-R84),0)</f>
        <v/>
      </c>
      <c r="AD87" s="15">
        <f>IF(AND(ISNUMBER(R87),ISNUMBER(R85)),VLOOKUP(ABS(R87-R85),'IMP Table'!$A$2:$C$26,3)*SIGN(R87-R85),0)</f>
        <v/>
      </c>
      <c r="AE87" s="15">
        <f>IF(AND(ISNUMBER(R87),ISNUMBER(R86)),VLOOKUP(ABS(R87-R86),'IMP Table'!$A$2:$C$26,3)*SIGN(R87-R86),0)</f>
        <v/>
      </c>
      <c r="AF87" s="15">
        <f>IF(AND(ISNUMBER(S87),ISNUMBER(S83)),VLOOKUP(ABS(S87-S83),'IMP Table'!$A$2:$C$26,3)*SIGN(S87-S83),0)</f>
        <v/>
      </c>
      <c r="AG87" s="15">
        <f>IF(AND(ISNUMBER(S87),ISNUMBER(S84)),VLOOKUP(ABS(S87-S84),'IMP Table'!$A$2:$C$26,3)*SIGN(S87-S84),0)</f>
        <v/>
      </c>
      <c r="AH87" s="15">
        <f>IF(AND(ISNUMBER(S87),ISNUMBER(S85)),VLOOKUP(ABS(S87-S85),'IMP Table'!$A$2:$C$26,3)*SIGN(S87-S85),0)</f>
        <v/>
      </c>
      <c r="AI87" s="15">
        <f>IF(AND(ISNUMBER(S87),ISNUMBER(S86)),VLOOKUP(ABS(S87-S86),'IMP Table'!$A$2:$C$26,3)*SIGN(S87-S86),0)</f>
        <v/>
      </c>
    </row>
    <row r="88">
      <c r="A88" s="11" t="n">
        <v>18</v>
      </c>
      <c r="B88" s="11">
        <f>'By Round'!A63</f>
        <v/>
      </c>
      <c r="C88" s="11">
        <f>'By Round'!B67</f>
        <v/>
      </c>
      <c r="D88" s="11">
        <f>'By Round'!C67</f>
        <v/>
      </c>
      <c r="E88" s="11">
        <f>'By Round'!D67</f>
        <v/>
      </c>
      <c r="F88" s="11">
        <f>IF(ISBLANK('By Round'!F68),"",'By Round'!F68)</f>
        <v/>
      </c>
      <c r="G88">
        <f>IF(ISBLANK('By Round'!G68),"",'By Round'!G68)</f>
        <v/>
      </c>
      <c r="H88">
        <f>IF(ISBLANK('By Round'!H68),"",'By Round'!H68)</f>
        <v/>
      </c>
      <c r="I88">
        <f>IF(ISBLANK('By Round'!I68),"",'By Round'!I68)</f>
        <v/>
      </c>
      <c r="J88">
        <f>IF(ISBLANK('By Round'!J68),"",'By Round'!J68)</f>
        <v/>
      </c>
      <c r="K88">
        <f>IF(ISBLANK('By Round'!K68),"",'By Round'!K68)</f>
        <v/>
      </c>
      <c r="L88" s="12">
        <f>AVERAGE(AB88:AE88)</f>
        <v/>
      </c>
      <c r="M88" s="13">
        <f>AVERAGE(AF88:AI88)</f>
        <v/>
      </c>
      <c r="N88" s="8">
        <f>IF(COUNT(T88:W88)&gt;0,P88/COUNT(T88:W88),0.5)</f>
        <v/>
      </c>
      <c r="O88" s="8">
        <f>IF(COUNT(X88:AA88)&gt;0,Q88/COUNT(X88:AA88),0.5)</f>
        <v/>
      </c>
      <c r="P88" s="5">
        <f>SUM(T88:W88)</f>
        <v/>
      </c>
      <c r="Q88" s="5">
        <f>SUM(X88:AA88)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IF(ISNUMBER(R88),IF(ISNUMBER(R89),IF(R88&gt;R89,1.0,IF(R88=R89,0.5,0.0)),""),"")</f>
        <v/>
      </c>
      <c r="U88">
        <f>IF(ISNUMBER(R88),IF(ISNUMBER(R90),IF(R88&gt;R90,1.0,IF(R88=R90,0.5,0.0)),""),"")</f>
        <v/>
      </c>
      <c r="V88">
        <f>IF(ISNUMBER(R88),IF(ISNUMBER(R91),IF(R88&gt;R91,1.0,IF(R88=R91,0.5,0.0)),""),"")</f>
        <v/>
      </c>
      <c r="W88">
        <f>IF(ISNUMBER(R88),IF(ISNUMBER(R92),IF(R88&gt;R92,1.0,IF(R88=R92,0.5,0.0)),""),"")</f>
        <v/>
      </c>
      <c r="X88">
        <f>IF(ISNUMBER(S88),IF(ISNUMBER(S89),IF(S88&gt;S89,1.0,IF(S88=S89,0.5,0.0)),""),"")</f>
        <v/>
      </c>
      <c r="Y88">
        <f>IF(ISNUMBER(S88),IF(ISNUMBER(S90),IF(S88&gt;S90,1.0,IF(S88=S90,0.5,0.0)),""),"")</f>
        <v/>
      </c>
      <c r="Z88">
        <f>IF(ISNUMBER(S88),IF(ISNUMBER(S91),IF(S88&gt;S91,1.0,IF(S88=S91,0.5,0.0)),""),"")</f>
        <v/>
      </c>
      <c r="AA88">
        <f>IF(ISNUMBER(S88),IF(ISNUMBER(S92),IF(S88&gt;S92,1.0,IF(S88=S92,0.5,0.0)),""),"")</f>
        <v/>
      </c>
      <c r="AB88" s="14">
        <f>IF(AND(ISNUMBER(R88),ISNUMBER(R89)),VLOOKUP(ABS(R88-R89),'IMP Table'!$A$2:$C$26,3)*SIGN(R88-R89),0)</f>
        <v/>
      </c>
      <c r="AC88">
        <f>IF(AND(ISNUMBER(R88),ISNUMBER(R90)),VLOOKUP(ABS(R88-R90),'IMP Table'!$A$2:$C$26,3)*SIGN(R88-R90),0)</f>
        <v/>
      </c>
      <c r="AD88">
        <f>IF(AND(ISNUMBER(R88),ISNUMBER(R91)),VLOOKUP(ABS(R88-R91),'IMP Table'!$A$2:$C$26,3)*SIGN(R88-R91),0)</f>
        <v/>
      </c>
      <c r="AE88">
        <f>IF(AND(ISNUMBER(R88),ISNUMBER(R92)),VLOOKUP(ABS(R88-R92),'IMP Table'!$A$2:$C$26,3)*SIGN(R88-R92),0)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</row>
    <row r="89">
      <c r="B89" s="11">
        <f>'By Round'!A13</f>
        <v/>
      </c>
      <c r="C89" s="11">
        <f>'By Round'!B19</f>
        <v/>
      </c>
      <c r="D89" s="11">
        <f>'By Round'!C19</f>
        <v/>
      </c>
      <c r="E89" s="11">
        <f>'By Round'!D19</f>
        <v/>
      </c>
      <c r="F89" s="11">
        <f>IF(ISBLANK('By Round'!F20),"",'By Round'!F20)</f>
        <v/>
      </c>
      <c r="G89">
        <f>IF(ISBLANK('By Round'!G20),"",'By Round'!G20)</f>
        <v/>
      </c>
      <c r="H89">
        <f>IF(ISBLANK('By Round'!H20),"",'By Round'!H20)</f>
        <v/>
      </c>
      <c r="I89">
        <f>IF(ISBLANK('By Round'!I20),"",'By Round'!I20)</f>
        <v/>
      </c>
      <c r="J89">
        <f>IF(ISBLANK('By Round'!J20),"",'By Round'!J20)</f>
        <v/>
      </c>
      <c r="K89">
        <f>IF(ISBLANK('By Round'!K20),"",'By Round'!K20)</f>
        <v/>
      </c>
      <c r="L89" s="12">
        <f>AVERAGE(AB89:AE89)</f>
        <v/>
      </c>
      <c r="M89" s="13">
        <f>AVERAGE(AF89:AI89)</f>
        <v/>
      </c>
      <c r="N89" s="8">
        <f>IF(COUNT(T89:W89)&gt;0,P89/COUNT(T89:W89),0.5)</f>
        <v/>
      </c>
      <c r="O89" s="8">
        <f>IF(COUNT(X89:AA89)&gt;0,Q89/COUNT(X89:AA89),0.5)</f>
        <v/>
      </c>
      <c r="P89" s="5">
        <f>SUM(T89:W89)</f>
        <v/>
      </c>
      <c r="Q89" s="5">
        <f>SUM(X89:AA89)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IF(ISNUMBER(R89),IF(ISNUMBER(R88),IF(R89&gt;R88,1.0,IF(R89=R88,0.5,0.0)),""),"")</f>
        <v/>
      </c>
      <c r="U89">
        <f>IF(ISNUMBER(R89),IF(ISNUMBER(R90),IF(R89&gt;R90,1.0,IF(R89=R90,0.5,0.0)),""),"")</f>
        <v/>
      </c>
      <c r="V89">
        <f>IF(ISNUMBER(R89),IF(ISNUMBER(R91),IF(R89&gt;R91,1.0,IF(R89=R91,0.5,0.0)),""),"")</f>
        <v/>
      </c>
      <c r="W89">
        <f>IF(ISNUMBER(R89),IF(ISNUMBER(R92),IF(R89&gt;R92,1.0,IF(R89=R92,0.5,0.0)),""),"")</f>
        <v/>
      </c>
      <c r="X89">
        <f>IF(ISNUMBER(S89),IF(ISNUMBER(S88),IF(S89&gt;S88,1.0,IF(S89=S88,0.5,0.0)),""),"")</f>
        <v/>
      </c>
      <c r="Y89">
        <f>IF(ISNUMBER(S89),IF(ISNUMBER(S90),IF(S89&gt;S90,1.0,IF(S89=S90,0.5,0.0)),""),"")</f>
        <v/>
      </c>
      <c r="Z89">
        <f>IF(ISNUMBER(S89),IF(ISNUMBER(S91),IF(S89&gt;S91,1.0,IF(S89=S91,0.5,0.0)),""),"")</f>
        <v/>
      </c>
      <c r="AA89">
        <f>IF(ISNUMBER(S89),IF(ISNUMBER(S92),IF(S89&gt;S92,1.0,IF(S89=S92,0.5,0.0)),""),"")</f>
        <v/>
      </c>
      <c r="AB89" s="14">
        <f>IF(AND(ISNUMBER(R89),ISNUMBER(R88)),VLOOKUP(ABS(R89-R88),'IMP Table'!$A$2:$C$26,3)*SIGN(R89-R88),0)</f>
        <v/>
      </c>
      <c r="AC89">
        <f>IF(AND(ISNUMBER(R89),ISNUMBER(R90)),VLOOKUP(ABS(R89-R90),'IMP Table'!$A$2:$C$26,3)*SIGN(R89-R90),0)</f>
        <v/>
      </c>
      <c r="AD89">
        <f>IF(AND(ISNUMBER(R89),ISNUMBER(R91)),VLOOKUP(ABS(R89-R91),'IMP Table'!$A$2:$C$26,3)*SIGN(R89-R91),0)</f>
        <v/>
      </c>
      <c r="AE89">
        <f>IF(AND(ISNUMBER(R89),ISNUMBER(R92)),VLOOKUP(ABS(R89-R92),'IMP Table'!$A$2:$C$26,3)*SIGN(R89-R92),0)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</row>
    <row r="90">
      <c r="B90" s="11">
        <f>'By Round'!A3</f>
        <v/>
      </c>
      <c r="C90" s="11">
        <f>'By Round'!B11</f>
        <v/>
      </c>
      <c r="D90" s="11">
        <f>'By Round'!C11</f>
        <v/>
      </c>
      <c r="E90" s="11">
        <f>'By Round'!D11</f>
        <v/>
      </c>
      <c r="F90" s="11">
        <f>IF(ISBLANK('By Round'!F12),"",'By Round'!F12)</f>
        <v/>
      </c>
      <c r="G90">
        <f>IF(ISBLANK('By Round'!G12),"",'By Round'!G12)</f>
        <v/>
      </c>
      <c r="H90">
        <f>IF(ISBLANK('By Round'!H12),"",'By Round'!H12)</f>
        <v/>
      </c>
      <c r="I90">
        <f>IF(ISBLANK('By Round'!I12),"",'By Round'!I12)</f>
        <v/>
      </c>
      <c r="J90">
        <f>IF(ISBLANK('By Round'!J12),"",'By Round'!J12)</f>
        <v/>
      </c>
      <c r="K90">
        <f>IF(ISBLANK('By Round'!K12),"",'By Round'!K12)</f>
        <v/>
      </c>
      <c r="L90" s="12">
        <f>AVERAGE(AB90:AE90)</f>
        <v/>
      </c>
      <c r="M90" s="13">
        <f>AVERAGE(AF90:AI90)</f>
        <v/>
      </c>
      <c r="N90" s="8">
        <f>IF(COUNT(T90:W90)&gt;0,P90/COUNT(T90:W90),0.5)</f>
        <v/>
      </c>
      <c r="O90" s="8">
        <f>IF(COUNT(X90:AA90)&gt;0,Q90/COUNT(X90:AA90),0.5)</f>
        <v/>
      </c>
      <c r="P90" s="5">
        <f>SUM(T90:W90)</f>
        <v/>
      </c>
      <c r="Q90" s="5">
        <f>SUM(X90:AA90)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IF(ISNUMBER(R90),IF(ISNUMBER(R88),IF(R90&gt;R88,1.0,IF(R90=R88,0.5,0.0)),""),"")</f>
        <v/>
      </c>
      <c r="U90">
        <f>IF(ISNUMBER(R90),IF(ISNUMBER(R89),IF(R90&gt;R89,1.0,IF(R90=R89,0.5,0.0)),""),"")</f>
        <v/>
      </c>
      <c r="V90">
        <f>IF(ISNUMBER(R90),IF(ISNUMBER(R91),IF(R90&gt;R91,1.0,IF(R90=R91,0.5,0.0)),""),"")</f>
        <v/>
      </c>
      <c r="W90">
        <f>IF(ISNUMBER(R90),IF(ISNUMBER(R92),IF(R90&gt;R92,1.0,IF(R90=R92,0.5,0.0)),""),"")</f>
        <v/>
      </c>
      <c r="X90">
        <f>IF(ISNUMBER(S90),IF(ISNUMBER(S88),IF(S90&gt;S88,1.0,IF(S90=S88,0.5,0.0)),""),"")</f>
        <v/>
      </c>
      <c r="Y90">
        <f>IF(ISNUMBER(S90),IF(ISNUMBER(S89),IF(S90&gt;S89,1.0,IF(S90=S89,0.5,0.0)),""),"")</f>
        <v/>
      </c>
      <c r="Z90">
        <f>IF(ISNUMBER(S90),IF(ISNUMBER(S91),IF(S90&gt;S91,1.0,IF(S90=S91,0.5,0.0)),""),"")</f>
        <v/>
      </c>
      <c r="AA90">
        <f>IF(ISNUMBER(S90),IF(ISNUMBER(S92),IF(S90&gt;S92,1.0,IF(S90=S92,0.5,0.0)),""),"")</f>
        <v/>
      </c>
      <c r="AB90" s="14">
        <f>IF(AND(ISNUMBER(R90),ISNUMBER(R88)),VLOOKUP(ABS(R90-R88),'IMP Table'!$A$2:$C$26,3)*SIGN(R90-R88),0)</f>
        <v/>
      </c>
      <c r="AC90">
        <f>IF(AND(ISNUMBER(R90),ISNUMBER(R89)),VLOOKUP(ABS(R90-R89),'IMP Table'!$A$2:$C$26,3)*SIGN(R90-R89),0)</f>
        <v/>
      </c>
      <c r="AD90">
        <f>IF(AND(ISNUMBER(R90),ISNUMBER(R91)),VLOOKUP(ABS(R90-R91),'IMP Table'!$A$2:$C$26,3)*SIGN(R90-R91),0)</f>
        <v/>
      </c>
      <c r="AE90">
        <f>IF(AND(ISNUMBER(R90),ISNUMBER(R92)),VLOOKUP(ABS(R90-R92),'IMP Table'!$A$2:$C$26,3)*SIGN(R90-R92),0)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</row>
    <row r="91">
      <c r="B91" s="11">
        <f>'By Round'!A73</f>
        <v/>
      </c>
      <c r="C91" s="11">
        <f>'By Round'!B75</f>
        <v/>
      </c>
      <c r="D91" s="11">
        <f>'By Round'!C75</f>
        <v/>
      </c>
      <c r="E91" s="11">
        <f>'By Round'!D75</f>
        <v/>
      </c>
      <c r="F91" s="11">
        <f>IF(ISBLANK('By Round'!F76),"",'By Round'!F76)</f>
        <v/>
      </c>
      <c r="G91">
        <f>IF(ISBLANK('By Round'!G76),"",'By Round'!G76)</f>
        <v/>
      </c>
      <c r="H91">
        <f>IF(ISBLANK('By Round'!H76),"",'By Round'!H76)</f>
        <v/>
      </c>
      <c r="I91">
        <f>IF(ISBLANK('By Round'!I76),"",'By Round'!I76)</f>
        <v/>
      </c>
      <c r="J91">
        <f>IF(ISBLANK('By Round'!J76),"",'By Round'!J76)</f>
        <v/>
      </c>
      <c r="K91">
        <f>IF(ISBLANK('By Round'!K76),"",'By Round'!K76)</f>
        <v/>
      </c>
      <c r="L91" s="12">
        <f>AVERAGE(AB91:AE91)</f>
        <v/>
      </c>
      <c r="M91" s="13">
        <f>AVERAGE(AF91:AI91)</f>
        <v/>
      </c>
      <c r="N91" s="8">
        <f>IF(COUNT(T91:W91)&gt;0,P91/COUNT(T91:W91),0.5)</f>
        <v/>
      </c>
      <c r="O91" s="8">
        <f>IF(COUNT(X91:AA91)&gt;0,Q91/COUNT(X91:AA91),0.5)</f>
        <v/>
      </c>
      <c r="P91" s="5">
        <f>SUM(T91:W91)</f>
        <v/>
      </c>
      <c r="Q91" s="5">
        <f>SUM(X91:AA91)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IF(ISNUMBER(R91),IF(ISNUMBER(R88),IF(R91&gt;R88,1.0,IF(R91=R88,0.5,0.0)),""),"")</f>
        <v/>
      </c>
      <c r="U91">
        <f>IF(ISNUMBER(R91),IF(ISNUMBER(R89),IF(R91&gt;R89,1.0,IF(R91=R89,0.5,0.0)),""),"")</f>
        <v/>
      </c>
      <c r="V91">
        <f>IF(ISNUMBER(R91),IF(ISNUMBER(R90),IF(R91&gt;R90,1.0,IF(R91=R90,0.5,0.0)),""),"")</f>
        <v/>
      </c>
      <c r="W91">
        <f>IF(ISNUMBER(R91),IF(ISNUMBER(R92),IF(R91&gt;R92,1.0,IF(R91=R92,0.5,0.0)),""),"")</f>
        <v/>
      </c>
      <c r="X91">
        <f>IF(ISNUMBER(S91),IF(ISNUMBER(S88),IF(S91&gt;S88,1.0,IF(S91=S88,0.5,0.0)),""),"")</f>
        <v/>
      </c>
      <c r="Y91">
        <f>IF(ISNUMBER(S91),IF(ISNUMBER(S89),IF(S91&gt;S89,1.0,IF(S91=S89,0.5,0.0)),""),"")</f>
        <v/>
      </c>
      <c r="Z91">
        <f>IF(ISNUMBER(S91),IF(ISNUMBER(S90),IF(S91&gt;S90,1.0,IF(S91=S90,0.5,0.0)),""),"")</f>
        <v/>
      </c>
      <c r="AA91">
        <f>IF(ISNUMBER(S91),IF(ISNUMBER(S92),IF(S91&gt;S92,1.0,IF(S91=S92,0.5,0.0)),""),"")</f>
        <v/>
      </c>
      <c r="AB91" s="14">
        <f>IF(AND(ISNUMBER(R91),ISNUMBER(R88)),VLOOKUP(ABS(R91-R88),'IMP Table'!$A$2:$C$26,3)*SIGN(R91-R88),0)</f>
        <v/>
      </c>
      <c r="AC91">
        <f>IF(AND(ISNUMBER(R91),ISNUMBER(R89)),VLOOKUP(ABS(R91-R89),'IMP Table'!$A$2:$C$26,3)*SIGN(R91-R89),0)</f>
        <v/>
      </c>
      <c r="AD91">
        <f>IF(AND(ISNUMBER(R91),ISNUMBER(R90)),VLOOKUP(ABS(R91-R90),'IMP Table'!$A$2:$C$26,3)*SIGN(R91-R90),0)</f>
        <v/>
      </c>
      <c r="AE91">
        <f>IF(AND(ISNUMBER(R91),ISNUMBER(R92)),VLOOKUP(ABS(R91-R92),'IMP Table'!$A$2:$C$26,3)*SIGN(R91-R92),0)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</row>
    <row r="92">
      <c r="A92" s="15" t="n"/>
      <c r="B92" s="16">
        <f>'By Round'!A83</f>
        <v/>
      </c>
      <c r="C92" s="16">
        <f>'By Round'!B83</f>
        <v/>
      </c>
      <c r="D92" s="16">
        <f>'By Round'!C83</f>
        <v/>
      </c>
      <c r="E92" s="16">
        <f>'By Round'!D83</f>
        <v/>
      </c>
      <c r="F92" s="16">
        <f>IF(ISBLANK('By Round'!F84),"",'By Round'!F84)</f>
        <v/>
      </c>
      <c r="G92" s="15">
        <f>IF(ISBLANK('By Round'!G84),"",'By Round'!G84)</f>
        <v/>
      </c>
      <c r="H92" s="15">
        <f>IF(ISBLANK('By Round'!H84),"",'By Round'!H84)</f>
        <v/>
      </c>
      <c r="I92" s="15">
        <f>IF(ISBLANK('By Round'!I84),"",'By Round'!I84)</f>
        <v/>
      </c>
      <c r="J92" s="15">
        <f>IF(ISBLANK('By Round'!J84),"",'By Round'!J84)</f>
        <v/>
      </c>
      <c r="K92" s="15">
        <f>IF(ISBLANK('By Round'!K84),"",'By Round'!K84)</f>
        <v/>
      </c>
      <c r="L92" s="17">
        <f>AVERAGE(AB92:AE92)</f>
        <v/>
      </c>
      <c r="M92" s="18">
        <f>AVERAGE(AF92:AI92)</f>
        <v/>
      </c>
      <c r="N92" s="19">
        <f>IF(COUNT(T92:W92)&gt;0,P92/COUNT(T92:W92),0.5)</f>
        <v/>
      </c>
      <c r="O92" s="19">
        <f>IF(COUNT(X92:AA92)&gt;0,Q92/COUNT(X92:AA92),0.5)</f>
        <v/>
      </c>
      <c r="P92" s="20">
        <f>SUM(T92:W92)</f>
        <v/>
      </c>
      <c r="Q92" s="20">
        <f>SUM(X92:AA92)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IF(ISNUMBER(R92),IF(ISNUMBER(R88),IF(R92&gt;R88,1.0,IF(R92=R88,0.5,0.0)),""),"")</f>
        <v/>
      </c>
      <c r="U92" s="15">
        <f>IF(ISNUMBER(R92),IF(ISNUMBER(R89),IF(R92&gt;R89,1.0,IF(R92=R89,0.5,0.0)),""),"")</f>
        <v/>
      </c>
      <c r="V92" s="15">
        <f>IF(ISNUMBER(R92),IF(ISNUMBER(R90),IF(R92&gt;R90,1.0,IF(R92=R90,0.5,0.0)),""),"")</f>
        <v/>
      </c>
      <c r="W92" s="15">
        <f>IF(ISNUMBER(R92),IF(ISNUMBER(R91),IF(R92&gt;R91,1.0,IF(R92=R91,0.5,0.0)),""),"")</f>
        <v/>
      </c>
      <c r="X92" s="15">
        <f>IF(ISNUMBER(S92),IF(ISNUMBER(S88),IF(S92&gt;S88,1.0,IF(S92=S88,0.5,0.0)),""),"")</f>
        <v/>
      </c>
      <c r="Y92" s="15">
        <f>IF(ISNUMBER(S92),IF(ISNUMBER(S89),IF(S92&gt;S89,1.0,IF(S92=S89,0.5,0.0)),""),"")</f>
        <v/>
      </c>
      <c r="Z92" s="15">
        <f>IF(ISNUMBER(S92),IF(ISNUMBER(S90),IF(S92&gt;S90,1.0,IF(S92=S90,0.5,0.0)),""),"")</f>
        <v/>
      </c>
      <c r="AA92" s="15">
        <f>IF(ISNUMBER(S92),IF(ISNUMBER(S91),IF(S92&gt;S91,1.0,IF(S92=S91,0.5,0.0)),""),"")</f>
        <v/>
      </c>
      <c r="AB92" s="21">
        <f>IF(AND(ISNUMBER(R92),ISNUMBER(R88)),VLOOKUP(ABS(R92-R88),'IMP Table'!$A$2:$C$26,3)*SIGN(R92-R88),0)</f>
        <v/>
      </c>
      <c r="AC92" s="15">
        <f>IF(AND(ISNUMBER(R92),ISNUMBER(R89)),VLOOKUP(ABS(R92-R89),'IMP Table'!$A$2:$C$26,3)*SIGN(R92-R89),0)</f>
        <v/>
      </c>
      <c r="AD92" s="15">
        <f>IF(AND(ISNUMBER(R92),ISNUMBER(R90)),VLOOKUP(ABS(R92-R90),'IMP Table'!$A$2:$C$26,3)*SIGN(R92-R90),0)</f>
        <v/>
      </c>
      <c r="AE92" s="15">
        <f>IF(AND(ISNUMBER(R92),ISNUMBER(R91)),VLOOKUP(ABS(R92-R91),'IMP Table'!$A$2:$C$26,3)*SIGN(R92-R91),0)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10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9</v>
      </c>
      <c r="D5" s="11" t="n">
        <v>8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6</v>
      </c>
      <c r="D7" s="11" t="n">
        <v>4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3</v>
      </c>
      <c r="D9" s="11" t="n">
        <v>7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5</v>
      </c>
      <c r="D11" s="11" t="n">
        <v>2</v>
      </c>
      <c r="E11" s="11" t="n">
        <v>17</v>
      </c>
      <c r="F11" s="11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A13" s="11" t="n">
        <v>2</v>
      </c>
      <c r="B13" s="11" t="n">
        <v>1</v>
      </c>
      <c r="C13" s="11" t="n">
        <v>10</v>
      </c>
      <c r="D13" s="11" t="n">
        <v>2</v>
      </c>
      <c r="E13" s="11" t="n">
        <v>3</v>
      </c>
      <c r="F13" s="11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1</v>
      </c>
      <c r="D15" s="11" t="n">
        <v>9</v>
      </c>
      <c r="E15" s="11" t="n">
        <v>5</v>
      </c>
      <c r="F15" s="11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</row>
    <row r="17">
      <c r="B17" s="11" t="n">
        <v>3</v>
      </c>
      <c r="C17" s="11" t="n">
        <v>7</v>
      </c>
      <c r="D17" s="11" t="n">
        <v>5</v>
      </c>
      <c r="E17" s="11" t="n">
        <v>7</v>
      </c>
      <c r="F17" s="11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</row>
    <row r="19">
      <c r="B19" s="11" t="n">
        <v>4</v>
      </c>
      <c r="C19" s="11" t="n">
        <v>4</v>
      </c>
      <c r="D19" s="11" t="n">
        <v>8</v>
      </c>
      <c r="E19" s="11" t="n">
        <v>17</v>
      </c>
      <c r="F19" s="11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B21" s="11" t="n">
        <v>5</v>
      </c>
      <c r="C21" s="11" t="n">
        <v>6</v>
      </c>
      <c r="D21" s="11" t="n">
        <v>3</v>
      </c>
      <c r="E21" s="11" t="n">
        <v>1</v>
      </c>
      <c r="F21" s="11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A23" s="11" t="n">
        <v>3</v>
      </c>
      <c r="B23" s="11" t="n">
        <v>1</v>
      </c>
      <c r="C23" s="11" t="n">
        <v>10</v>
      </c>
      <c r="D23" s="11" t="n">
        <v>3</v>
      </c>
      <c r="E23" s="11" t="n">
        <v>5</v>
      </c>
      <c r="F23" s="11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</row>
    <row r="25">
      <c r="B25" s="11" t="n">
        <v>2</v>
      </c>
      <c r="C25" s="11" t="n">
        <v>2</v>
      </c>
      <c r="D25" s="11" t="n">
        <v>1</v>
      </c>
      <c r="E25" s="11" t="n">
        <v>7</v>
      </c>
      <c r="F25" s="11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8</v>
      </c>
      <c r="D27" s="11" t="n">
        <v>6</v>
      </c>
      <c r="E27" s="11" t="n">
        <v>9</v>
      </c>
      <c r="F27" s="11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</row>
    <row r="29">
      <c r="B29" s="11" t="n">
        <v>4</v>
      </c>
      <c r="C29" s="11" t="n">
        <v>5</v>
      </c>
      <c r="D29" s="11" t="n">
        <v>9</v>
      </c>
      <c r="E29" s="11" t="n">
        <v>1</v>
      </c>
      <c r="F29" s="11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</row>
    <row r="31">
      <c r="B31" s="11" t="n">
        <v>5</v>
      </c>
      <c r="C31" s="11" t="n">
        <v>7</v>
      </c>
      <c r="D31" s="11" t="n">
        <v>4</v>
      </c>
      <c r="E31" s="11" t="n">
        <v>3</v>
      </c>
      <c r="F31" s="11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</row>
    <row r="33">
      <c r="A33" s="11" t="n">
        <v>4</v>
      </c>
      <c r="B33" s="11" t="n">
        <v>1</v>
      </c>
      <c r="C33" s="11" t="n">
        <v>10</v>
      </c>
      <c r="D33" s="11" t="n">
        <v>4</v>
      </c>
      <c r="E33" s="11" t="n">
        <v>7</v>
      </c>
      <c r="F33" s="11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</row>
    <row r="35">
      <c r="B35" s="11" t="n">
        <v>2</v>
      </c>
      <c r="C35" s="11" t="n">
        <v>3</v>
      </c>
      <c r="D35" s="11" t="n">
        <v>2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3</v>
      </c>
      <c r="C37" s="11" t="n">
        <v>9</v>
      </c>
      <c r="D37" s="11" t="n">
        <v>7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4</v>
      </c>
      <c r="C39" s="11" t="n">
        <v>6</v>
      </c>
      <c r="D39" s="11" t="n">
        <v>1</v>
      </c>
      <c r="E39" s="11" t="n">
        <v>3</v>
      </c>
      <c r="F39" s="11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</row>
    <row r="41">
      <c r="B41" s="11" t="n">
        <v>5</v>
      </c>
      <c r="C41" s="11" t="n">
        <v>8</v>
      </c>
      <c r="D41" s="11" t="n">
        <v>5</v>
      </c>
      <c r="E41" s="11" t="n">
        <v>5</v>
      </c>
      <c r="F41" s="11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A43" s="11" t="n">
        <v>5</v>
      </c>
      <c r="B43" s="11" t="n">
        <v>1</v>
      </c>
      <c r="C43" s="11" t="n">
        <v>10</v>
      </c>
      <c r="D43" s="11" t="n">
        <v>5</v>
      </c>
      <c r="E43" s="11" t="n">
        <v>9</v>
      </c>
      <c r="F43" s="11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11</v>
      </c>
      <c r="F45" s="11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1</v>
      </c>
      <c r="D47" s="11" t="n">
        <v>8</v>
      </c>
      <c r="E47" s="11" t="n">
        <v>13</v>
      </c>
      <c r="F47" s="11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7</v>
      </c>
      <c r="D49" s="11" t="n">
        <v>2</v>
      </c>
      <c r="E49" s="11" t="n">
        <v>5</v>
      </c>
      <c r="F49" s="11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B51" s="11" t="n">
        <v>5</v>
      </c>
      <c r="C51" s="11" t="n">
        <v>9</v>
      </c>
      <c r="D51" s="11" t="n">
        <v>6</v>
      </c>
      <c r="E51" s="11" t="n">
        <v>7</v>
      </c>
      <c r="F51" s="11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A53" s="11" t="n">
        <v>6</v>
      </c>
      <c r="B53" s="11" t="n">
        <v>1</v>
      </c>
      <c r="C53" s="11" t="n">
        <v>10</v>
      </c>
      <c r="D53" s="11" t="n">
        <v>6</v>
      </c>
      <c r="E53" s="11" t="n">
        <v>11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2</v>
      </c>
      <c r="C55" s="11" t="n">
        <v>5</v>
      </c>
      <c r="D55" s="11" t="n">
        <v>4</v>
      </c>
      <c r="E55" s="11" t="n">
        <v>13</v>
      </c>
      <c r="F55" s="11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</row>
    <row r="57">
      <c r="B57" s="11" t="n">
        <v>3</v>
      </c>
      <c r="C57" s="11" t="n">
        <v>2</v>
      </c>
      <c r="D57" s="11" t="n">
        <v>9</v>
      </c>
      <c r="E57" s="11" t="n">
        <v>15</v>
      </c>
      <c r="F57" s="11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</row>
    <row r="59">
      <c r="B59" s="11" t="n">
        <v>4</v>
      </c>
      <c r="C59" s="11" t="n">
        <v>8</v>
      </c>
      <c r="D59" s="11" t="n">
        <v>3</v>
      </c>
      <c r="E59" s="11" t="n">
        <v>7</v>
      </c>
      <c r="F59" s="11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</row>
    <row r="61">
      <c r="B61" s="11" t="n">
        <v>5</v>
      </c>
      <c r="C61" s="11" t="n">
        <v>1</v>
      </c>
      <c r="D61" s="11" t="n">
        <v>7</v>
      </c>
      <c r="E61" s="11" t="n">
        <v>9</v>
      </c>
      <c r="F61" s="11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</row>
    <row r="63">
      <c r="A63" s="11" t="n">
        <v>7</v>
      </c>
      <c r="B63" s="11" t="n">
        <v>1</v>
      </c>
      <c r="C63" s="11" t="n">
        <v>10</v>
      </c>
      <c r="D63" s="11" t="n">
        <v>7</v>
      </c>
      <c r="E63" s="11" t="n">
        <v>13</v>
      </c>
      <c r="F63" s="11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6</v>
      </c>
      <c r="D65" s="11" t="n">
        <v>5</v>
      </c>
      <c r="E65" s="11" t="n">
        <v>15</v>
      </c>
      <c r="F65" s="11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3</v>
      </c>
      <c r="D67" s="11" t="n">
        <v>1</v>
      </c>
      <c r="E67" s="11" t="n">
        <v>17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9</v>
      </c>
      <c r="D69" s="11" t="n">
        <v>4</v>
      </c>
      <c r="E69" s="11" t="n">
        <v>9</v>
      </c>
      <c r="F69" s="11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2</v>
      </c>
      <c r="D71" s="11" t="n">
        <v>8</v>
      </c>
      <c r="E71" s="11" t="n">
        <v>11</v>
      </c>
      <c r="F71" s="11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</row>
    <row r="73">
      <c r="A73" s="11" t="n">
        <v>8</v>
      </c>
      <c r="B73" s="11" t="n">
        <v>1</v>
      </c>
      <c r="C73" s="11" t="n">
        <v>10</v>
      </c>
      <c r="D73" s="11" t="n">
        <v>8</v>
      </c>
      <c r="E73" s="11" t="n">
        <v>15</v>
      </c>
      <c r="F73" s="11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7</v>
      </c>
      <c r="D75" s="11" t="n">
        <v>6</v>
      </c>
      <c r="E75" s="11" t="n">
        <v>17</v>
      </c>
      <c r="F75" s="11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4</v>
      </c>
      <c r="D77" s="11" t="n">
        <v>2</v>
      </c>
      <c r="E77" s="11" t="n">
        <v>1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5</v>
      </c>
      <c r="E79" s="11" t="n">
        <v>11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3</v>
      </c>
      <c r="D81" s="11" t="n">
        <v>9</v>
      </c>
      <c r="E81" s="11" t="n">
        <v>13</v>
      </c>
      <c r="F81" s="11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</row>
    <row r="83">
      <c r="A83" s="11" t="n">
        <v>9</v>
      </c>
      <c r="B83" s="11" t="n">
        <v>1</v>
      </c>
      <c r="C83" s="11" t="n">
        <v>10</v>
      </c>
      <c r="D83" s="11" t="n">
        <v>9</v>
      </c>
      <c r="E83" s="11" t="n">
        <v>17</v>
      </c>
      <c r="F83" s="11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</row>
    <row r="85">
      <c r="B85" s="11" t="n">
        <v>2</v>
      </c>
      <c r="C85" s="11" t="n">
        <v>8</v>
      </c>
      <c r="D85" s="11" t="n">
        <v>7</v>
      </c>
      <c r="E85" s="11" t="n">
        <v>1</v>
      </c>
      <c r="F85" s="11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</row>
    <row r="87">
      <c r="B87" s="11" t="n">
        <v>3</v>
      </c>
      <c r="C87" s="11" t="n">
        <v>5</v>
      </c>
      <c r="D87" s="11" t="n">
        <v>3</v>
      </c>
      <c r="E87" s="11" t="n">
        <v>3</v>
      </c>
      <c r="F87" s="11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</row>
    <row r="89">
      <c r="B89" s="11" t="n">
        <v>4</v>
      </c>
      <c r="C89" s="11" t="n">
        <v>2</v>
      </c>
      <c r="D89" s="11" t="n">
        <v>6</v>
      </c>
      <c r="E89" s="11" t="n">
        <v>13</v>
      </c>
      <c r="F89" s="11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</row>
    <row r="91">
      <c r="B91" s="11" t="n">
        <v>5</v>
      </c>
      <c r="C91" s="11" t="n">
        <v>4</v>
      </c>
      <c r="D91" s="11" t="n">
        <v>1</v>
      </c>
      <c r="E91" s="11" t="n">
        <v>15</v>
      </c>
      <c r="F91" s="11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2026-02-12T07:17:17Z</dcterms:created>
  <dcterms:modified xsi:type="dcterms:W3CDTF">2026-02-12T07:17:17Z</dcterms:modified>
</cp:coreProperties>
</file>