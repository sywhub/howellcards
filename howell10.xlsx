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80</t>
        </is>
      </c>
      <c r="C10" t="inlineStr">
        <is>
          <t>Name 32</t>
        </is>
      </c>
      <c r="D10" s="4">
        <f>SUMIF('By Board'!$D$3:$D$92,"=1",'By Board'!$O$3:$O$92)/18+SUMIF('By Board'!$E$3:$E$92,"=1",'By Board'!$P$3:$P$92)/18</f>
        <v/>
      </c>
      <c r="E10" s="5">
        <f>SUMIF('By Board'!$D$3:$D$92,"=1",'By Board'!$M$3:$M$92)+SUMIF('By Board'!$E$3:$E$92,"=1",'By Board'!$N$3:$N$92)</f>
        <v/>
      </c>
    </row>
    <row r="11">
      <c r="A11" s="2" t="n">
        <v>2</v>
      </c>
      <c r="B11" t="inlineStr">
        <is>
          <t>Name 80</t>
        </is>
      </c>
      <c r="C11" t="inlineStr">
        <is>
          <t>Name 46</t>
        </is>
      </c>
      <c r="D11" s="4">
        <f>SUMIF('By Board'!$D$3:$D$92,"=2",'By Board'!$O$3:$O$92)/18+SUMIF('By Board'!$E$3:$E$92,"=2",'By Board'!$P$3:$P$92)/18</f>
        <v/>
      </c>
      <c r="E11" s="5">
        <f>SUMIF('By Board'!$D$3:$D$92,"=2",'By Board'!$M$3:$M$92)+SUMIF('By Board'!$E$3:$E$92,"=2",'By Board'!$N$3:$N$92)</f>
        <v/>
      </c>
    </row>
    <row r="12">
      <c r="A12" s="2" t="n">
        <v>3</v>
      </c>
      <c r="B12" t="inlineStr">
        <is>
          <t>Name 77</t>
        </is>
      </c>
      <c r="C12" t="inlineStr">
        <is>
          <t>Name 27</t>
        </is>
      </c>
      <c r="D12" s="4">
        <f>SUMIF('By Board'!$D$3:$D$92,"=3",'By Board'!$O$3:$O$92)/18+SUMIF('By Board'!$E$3:$E$92,"=3",'By Board'!$P$3:$P$92)/18</f>
        <v/>
      </c>
      <c r="E12" s="5">
        <f>SUMIF('By Board'!$D$3:$D$92,"=3",'By Board'!$M$3:$M$92)+SUMIF('By Board'!$E$3:$E$92,"=3",'By Board'!$N$3:$N$92)</f>
        <v/>
      </c>
    </row>
    <row r="13">
      <c r="A13" s="2" t="n">
        <v>4</v>
      </c>
      <c r="B13" t="inlineStr">
        <is>
          <t>Name 81</t>
        </is>
      </c>
      <c r="C13" t="inlineStr">
        <is>
          <t>Name 59</t>
        </is>
      </c>
      <c r="D13" s="4">
        <f>SUMIF('By Board'!$D$3:$D$92,"=4",'By Board'!$O$3:$O$92)/18+SUMIF('By Board'!$E$3:$E$92,"=4",'By Board'!$P$3:$P$92)/18</f>
        <v/>
      </c>
      <c r="E13" s="5">
        <f>SUMIF('By Board'!$D$3:$D$92,"=4",'By Board'!$M$3:$M$92)+SUMIF('By Board'!$E$3:$E$92,"=4",'By Board'!$N$3:$N$92)</f>
        <v/>
      </c>
    </row>
    <row r="14">
      <c r="A14" s="2" t="n">
        <v>5</v>
      </c>
      <c r="B14" t="inlineStr">
        <is>
          <t>Name 48</t>
        </is>
      </c>
      <c r="C14" t="inlineStr">
        <is>
          <t>Name 30</t>
        </is>
      </c>
      <c r="D14" s="4">
        <f>SUMIF('By Board'!$D$3:$D$92,"=5",'By Board'!$O$3:$O$92)/18+SUMIF('By Board'!$E$3:$E$92,"=5",'By Board'!$P$3:$P$92)/18</f>
        <v/>
      </c>
      <c r="E14" s="5">
        <f>SUMIF('By Board'!$D$3:$D$92,"=5",'By Board'!$M$3:$M$92)+SUMIF('By Board'!$E$3:$E$92,"=5",'By Board'!$N$3:$N$92)</f>
        <v/>
      </c>
    </row>
    <row r="15">
      <c r="A15" s="2" t="n">
        <v>6</v>
      </c>
      <c r="B15" t="inlineStr">
        <is>
          <t>Name 67</t>
        </is>
      </c>
      <c r="C15" t="inlineStr">
        <is>
          <t>Name 54</t>
        </is>
      </c>
      <c r="D15" s="4">
        <f>SUMIF('By Board'!$D$3:$D$92,"=6",'By Board'!$O$3:$O$92)/18+SUMIF('By Board'!$E$3:$E$92,"=6",'By Board'!$P$3:$P$92)/18</f>
        <v/>
      </c>
      <c r="E15" s="5">
        <f>SUMIF('By Board'!$D$3:$D$92,"=6",'By Board'!$M$3:$M$92)+SUMIF('By Board'!$E$3:$E$92,"=6",'By Board'!$N$3:$N$92)</f>
        <v/>
      </c>
    </row>
    <row r="16">
      <c r="A16" s="2" t="n">
        <v>7</v>
      </c>
      <c r="B16" t="inlineStr">
        <is>
          <t>Name 84</t>
        </is>
      </c>
      <c r="C16" t="inlineStr">
        <is>
          <t>Name 68</t>
        </is>
      </c>
      <c r="D16" s="4">
        <f>SUMIF('By Board'!$D$3:$D$92,"=7",'By Board'!$O$3:$O$92)/18+SUMIF('By Board'!$E$3:$E$92,"=7",'By Board'!$P$3:$P$92)/18</f>
        <v/>
      </c>
      <c r="E16" s="5">
        <f>SUMIF('By Board'!$D$3:$D$92,"=7",'By Board'!$M$3:$M$92)+SUMIF('By Board'!$E$3:$E$92,"=7",'By Board'!$N$3:$N$92)</f>
        <v/>
      </c>
    </row>
    <row r="17">
      <c r="A17" s="2" t="n">
        <v>8</v>
      </c>
      <c r="B17" t="inlineStr">
        <is>
          <t>Name 81</t>
        </is>
      </c>
      <c r="C17" t="inlineStr">
        <is>
          <t>Name 85</t>
        </is>
      </c>
      <c r="D17" s="4">
        <f>SUMIF('By Board'!$D$3:$D$92,"=8",'By Board'!$O$3:$O$92)/18+SUMIF('By Board'!$E$3:$E$92,"=8",'By Board'!$P$3:$P$92)/18</f>
        <v/>
      </c>
      <c r="E17" s="5">
        <f>SUMIF('By Board'!$D$3:$D$92,"=8",'By Board'!$M$3:$M$92)+SUMIF('By Board'!$E$3:$E$92,"=8",'By Board'!$N$3:$N$92)</f>
        <v/>
      </c>
    </row>
    <row r="18">
      <c r="A18" s="2" t="n">
        <v>9</v>
      </c>
      <c r="B18" t="inlineStr">
        <is>
          <t>Name 79</t>
        </is>
      </c>
      <c r="C18" t="inlineStr">
        <is>
          <t>Name 58</t>
        </is>
      </c>
      <c r="D18" s="4">
        <f>SUMIF('By Board'!$D$3:$D$92,"=9",'By Board'!$O$3:$O$92)/18+SUMIF('By Board'!$E$3:$E$92,"=9",'By Board'!$P$3:$P$92)/18</f>
        <v/>
      </c>
      <c r="E18" s="5">
        <f>SUMIF('By Board'!$D$3:$D$92,"=9",'By Board'!$M$3:$M$92)+SUMIF('By Board'!$E$3:$E$92,"=9",'By Board'!$N$3:$N$92)</f>
        <v/>
      </c>
    </row>
    <row r="19">
      <c r="A19" s="2" t="n">
        <v>10</v>
      </c>
      <c r="B19" t="inlineStr">
        <is>
          <t>Name 74</t>
        </is>
      </c>
      <c r="C19" t="inlineStr">
        <is>
          <t>Name 53</t>
        </is>
      </c>
      <c r="D19" s="4">
        <f>SUMIF('By Board'!$D$3:$D$92,"=10",'By Board'!$O$3:$O$92)/18+0/18</f>
        <v/>
      </c>
      <c r="E19" s="5">
        <f>SUMIF('By Board'!$D$3:$D$92,"=10",'By Board'!$M$3:$M$92)+0</f>
        <v/>
      </c>
    </row>
    <row r="20">
      <c r="D20" s="6">
        <f>AVERAGE(D10:D19)</f>
        <v/>
      </c>
      <c r="E20" s="7">
        <f>SUM(E10:E19)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Round'!A73</f>
        <v/>
      </c>
      <c r="C3" s="10">
        <f>'By Round'!B77</f>
        <v/>
      </c>
      <c r="D3" s="10">
        <f>'By Round'!C77</f>
        <v/>
      </c>
      <c r="E3" s="10">
        <f>'By Round'!D77</f>
        <v/>
      </c>
      <c r="F3" s="10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>
        <f>IF(ISBLANK('By Round'!L77),"",'By Round'!L77)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Round'!A23</f>
        <v/>
      </c>
      <c r="C4" s="10">
        <f>'By Round'!B29</f>
        <v/>
      </c>
      <c r="D4" s="10">
        <f>'By Round'!C29</f>
        <v/>
      </c>
      <c r="E4" s="10">
        <f>'By Round'!D29</f>
        <v/>
      </c>
      <c r="F4" s="10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>
        <f>IF(ISBLANK('By Round'!L29),"",'By Round'!L29)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Round'!A13</f>
        <v/>
      </c>
      <c r="C5" s="10">
        <f>'By Round'!B21</f>
        <v/>
      </c>
      <c r="D5" s="10">
        <f>'By Round'!C21</f>
        <v/>
      </c>
      <c r="E5" s="10">
        <f>'By Round'!D21</f>
        <v/>
      </c>
      <c r="F5" s="10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>
        <f>IF(ISBLANK('By Round'!L21),"",'By Round'!L21)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Round'!A83</f>
        <v/>
      </c>
      <c r="C6" s="10">
        <f>'By Round'!B85</f>
        <v/>
      </c>
      <c r="D6" s="10">
        <f>'By Round'!C85</f>
        <v/>
      </c>
      <c r="E6" s="10">
        <f>'By Round'!D85</f>
        <v/>
      </c>
      <c r="F6" s="10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>
        <f>IF(ISBLANK('By Round'!L85),"",'By Round'!L85)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5">
        <f>IF(ISBLANK('By Round'!L3),"",'By Round'!L3)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Round'!A73</f>
        <v/>
      </c>
      <c r="C8" s="10">
        <f>'By Round'!B77</f>
        <v/>
      </c>
      <c r="D8" s="10">
        <f>'By Round'!C77</f>
        <v/>
      </c>
      <c r="E8" s="10">
        <f>'By Round'!D77</f>
        <v/>
      </c>
      <c r="F8" s="10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>
        <f>IF(ISBLANK('By Round'!L78),"",'By Round'!L78)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Round'!A23</f>
        <v/>
      </c>
      <c r="C9" s="10">
        <f>'By Round'!B29</f>
        <v/>
      </c>
      <c r="D9" s="10">
        <f>'By Round'!C29</f>
        <v/>
      </c>
      <c r="E9" s="10">
        <f>'By Round'!D29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Round'!A13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>
        <f>IF(ISBLANK('By Round'!L22),"",'By Round'!L22)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Round'!A83</f>
        <v/>
      </c>
      <c r="C11" s="10">
        <f>'By Round'!B85</f>
        <v/>
      </c>
      <c r="D11" s="10">
        <f>'By Round'!C85</f>
        <v/>
      </c>
      <c r="E11" s="10">
        <f>'By Round'!D85</f>
        <v/>
      </c>
      <c r="F11" s="10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>
        <f>IF(ISBLANK('By Round'!L86),"",'By Round'!L86)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5">
        <f>IF(ISBLANK('By Round'!L4),"",'By Round'!L4)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Round'!A83</f>
        <v/>
      </c>
      <c r="C13" s="10">
        <f>'By Round'!B87</f>
        <v/>
      </c>
      <c r="D13" s="10">
        <f>'By Round'!C87</f>
        <v/>
      </c>
      <c r="E13" s="10">
        <f>'By Round'!D87</f>
        <v/>
      </c>
      <c r="F13" s="10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>
        <f>IF(ISBLANK('By Round'!L87),"",'By Round'!L87)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Round'!A33</f>
        <v/>
      </c>
      <c r="C14" s="10">
        <f>'By Round'!B39</f>
        <v/>
      </c>
      <c r="D14" s="10">
        <f>'By Round'!C39</f>
        <v/>
      </c>
      <c r="E14" s="10">
        <f>'By Round'!D39</f>
        <v/>
      </c>
      <c r="F14" s="10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>
        <f>IF(ISBLANK('By Round'!L39),"",'By Round'!L39)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Round'!A23</f>
        <v/>
      </c>
      <c r="C15" s="10">
        <f>'By Round'!B31</f>
        <v/>
      </c>
      <c r="D15" s="10">
        <f>'By Round'!C31</f>
        <v/>
      </c>
      <c r="E15" s="10">
        <f>'By Round'!D31</f>
        <v/>
      </c>
      <c r="F15" s="10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>
        <f>IF(ISBLANK('By Round'!L31),"",'By Round'!L31)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Round'!B5</f>
        <v/>
      </c>
      <c r="D16" s="10">
        <f>'By Round'!C5</f>
        <v/>
      </c>
      <c r="E16" s="10">
        <f>'By Round'!D5</f>
        <v/>
      </c>
      <c r="F16" s="10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>
        <f>IF(ISBLANK('By Round'!L5),"",'By Round'!L5)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Round'!A83</f>
        <v/>
      </c>
      <c r="C18" s="10">
        <f>'By Round'!B87</f>
        <v/>
      </c>
      <c r="D18" s="10">
        <f>'By Round'!C87</f>
        <v/>
      </c>
      <c r="E18" s="10">
        <f>'By Round'!D87</f>
        <v/>
      </c>
      <c r="F18" s="10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>
        <f>IF(ISBLANK('By Round'!L88),"",'By Round'!L88)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Round'!A33</f>
        <v/>
      </c>
      <c r="C19" s="10">
        <f>'By Round'!B39</f>
        <v/>
      </c>
      <c r="D19" s="10">
        <f>'By Round'!C39</f>
        <v/>
      </c>
      <c r="E19" s="10">
        <f>'By Round'!D39</f>
        <v/>
      </c>
      <c r="F19" s="10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Round'!A23</f>
        <v/>
      </c>
      <c r="C20" s="10">
        <f>'By Round'!B31</f>
        <v/>
      </c>
      <c r="D20" s="10">
        <f>'By Round'!C31</f>
        <v/>
      </c>
      <c r="E20" s="10">
        <f>'By Round'!D31</f>
        <v/>
      </c>
      <c r="F20" s="10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>
        <f>IF(ISBLANK('By Round'!L32),"",'By Round'!L32)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Round'!A3</f>
        <v/>
      </c>
      <c r="C21" s="10">
        <f>'By Round'!B5</f>
        <v/>
      </c>
      <c r="D21" s="10">
        <f>'By Round'!C5</f>
        <v/>
      </c>
      <c r="E21" s="10">
        <f>'By Round'!D5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5">
        <f>IF(ISBLANK('By Round'!L14),"",'By Round'!L14)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Round'!A13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>
        <f>IF(ISBLANK('By Round'!L15),"",'By Round'!L15)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>
        <f>IF(ISBLANK('By Round'!L49),"",'By Round'!L49)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Round'!A33</f>
        <v/>
      </c>
      <c r="C26" s="10">
        <f>'By Round'!B41</f>
        <v/>
      </c>
      <c r="D26" s="10">
        <f>'By Round'!C41</f>
        <v/>
      </c>
      <c r="E26" s="10">
        <f>'By Round'!D41</f>
        <v/>
      </c>
      <c r="F26" s="10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>
        <f>IF(ISBLANK('By Round'!L41),"",'By Round'!L41)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5">
        <f>IF(ISBLANK('By Round'!L23),"",'By Round'!L23)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Round'!A13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>
        <f>IF(ISBLANK('By Round'!L16),"",'By Round'!L16)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Round'!A3</f>
        <v/>
      </c>
      <c r="C29" s="10">
        <f>'By Round'!B7</f>
        <v/>
      </c>
      <c r="D29" s="10">
        <f>'By Round'!C7</f>
        <v/>
      </c>
      <c r="E29" s="10">
        <f>'By Round'!D7</f>
        <v/>
      </c>
      <c r="F29" s="10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Round'!A43</f>
        <v/>
      </c>
      <c r="C30" s="10">
        <f>'By Round'!B49</f>
        <v/>
      </c>
      <c r="D30" s="10">
        <f>'By Round'!C49</f>
        <v/>
      </c>
      <c r="E30" s="10">
        <f>'By Round'!D49</f>
        <v/>
      </c>
      <c r="F30" s="10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>
        <f>IF(ISBLANK('By Round'!L50),"",'By Round'!L50)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Round'!A33</f>
        <v/>
      </c>
      <c r="C31" s="10">
        <f>'By Round'!B41</f>
        <v/>
      </c>
      <c r="D31" s="10">
        <f>'By Round'!C41</f>
        <v/>
      </c>
      <c r="E31" s="10">
        <f>'By Round'!D41</f>
        <v/>
      </c>
      <c r="F31" s="10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>
        <f>IF(ISBLANK('By Round'!L42),"",'By Round'!L42)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5">
        <f>IF(ISBLANK('By Round'!L24),"",'By Round'!L24)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Round'!A23</f>
        <v/>
      </c>
      <c r="C33" s="10">
        <f>'By Round'!B25</f>
        <v/>
      </c>
      <c r="D33" s="10">
        <f>'By Round'!C25</f>
        <v/>
      </c>
      <c r="E33" s="10">
        <f>'By Round'!D25</f>
        <v/>
      </c>
      <c r="F33" s="10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>
        <f>IF(ISBLANK('By Round'!L25),"",'By Round'!L25)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Round'!A13</f>
        <v/>
      </c>
      <c r="C34" s="10">
        <f>'By Round'!B17</f>
        <v/>
      </c>
      <c r="D34" s="10">
        <f>'By Round'!C17</f>
        <v/>
      </c>
      <c r="E34" s="10">
        <f>'By Round'!D17</f>
        <v/>
      </c>
      <c r="F34" s="10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>
        <f>IF(ISBLANK('By Round'!L17),"",'By Round'!L17)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Round'!A53</f>
        <v/>
      </c>
      <c r="C35" s="10">
        <f>'By Round'!B59</f>
        <v/>
      </c>
      <c r="D35" s="10">
        <f>'By Round'!C59</f>
        <v/>
      </c>
      <c r="E35" s="10">
        <f>'By Round'!D59</f>
        <v/>
      </c>
      <c r="F35" s="10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>
        <f>IF(ISBLANK('By Round'!L59),"",'By Round'!L59)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Round'!A43</f>
        <v/>
      </c>
      <c r="C36" s="10">
        <f>'By Round'!B51</f>
        <v/>
      </c>
      <c r="D36" s="10">
        <f>'By Round'!C51</f>
        <v/>
      </c>
      <c r="E36" s="10">
        <f>'By Round'!D51</f>
        <v/>
      </c>
      <c r="F36" s="10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>
        <f>IF(ISBLANK('By Round'!L51),"",'By Round'!L51)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5">
        <f>IF(ISBLANK('By Round'!L33),"",'By Round'!L33)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Round'!A23</f>
        <v/>
      </c>
      <c r="C38" s="10">
        <f>'By Round'!B25</f>
        <v/>
      </c>
      <c r="D38" s="10">
        <f>'By Round'!C25</f>
        <v/>
      </c>
      <c r="E38" s="10">
        <f>'By Round'!D25</f>
        <v/>
      </c>
      <c r="F38" s="10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>
        <f>IF(ISBLANK('By Round'!L26),"",'By Round'!L26)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Round'!A13</f>
        <v/>
      </c>
      <c r="C39" s="10">
        <f>'By Round'!B17</f>
        <v/>
      </c>
      <c r="D39" s="10">
        <f>'By Round'!C17</f>
        <v/>
      </c>
      <c r="E39" s="10">
        <f>'By Round'!D17</f>
        <v/>
      </c>
      <c r="F39" s="10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>
        <f>IF(ISBLANK('By Round'!L18),"",'By Round'!L18)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Round'!A53</f>
        <v/>
      </c>
      <c r="C40" s="10">
        <f>'By Round'!B59</f>
        <v/>
      </c>
      <c r="D40" s="10">
        <f>'By Round'!C59</f>
        <v/>
      </c>
      <c r="E40" s="10">
        <f>'By Round'!D59</f>
        <v/>
      </c>
      <c r="F40" s="10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>
        <f>IF(ISBLANK('By Round'!L60),"",'By Round'!L60)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Round'!A43</f>
        <v/>
      </c>
      <c r="C41" s="10">
        <f>'By Round'!B51</f>
        <v/>
      </c>
      <c r="D41" s="10">
        <f>'By Round'!C51</f>
        <v/>
      </c>
      <c r="E41" s="10">
        <f>'By Round'!D51</f>
        <v/>
      </c>
      <c r="F41" s="10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>
        <f>IF(ISBLANK('By Round'!L52),"",'By Round'!L52)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5">
        <f>IF(ISBLANK('By Round'!L34),"",'By Round'!L34)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Round'!A53</f>
        <v/>
      </c>
      <c r="C43" s="10">
        <f>'By Round'!B61</f>
        <v/>
      </c>
      <c r="D43" s="10">
        <f>'By Round'!C61</f>
        <v/>
      </c>
      <c r="E43" s="10">
        <f>'By Round'!D61</f>
        <v/>
      </c>
      <c r="F43" s="10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>
        <f>IF(ISBLANK('By Round'!L61),"",'By Round'!L61)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Round'!A33</f>
        <v/>
      </c>
      <c r="C44" s="10">
        <f>'By Round'!B35</f>
        <v/>
      </c>
      <c r="D44" s="10">
        <f>'By Round'!C35</f>
        <v/>
      </c>
      <c r="E44" s="10">
        <f>'By Round'!D35</f>
        <v/>
      </c>
      <c r="F44" s="10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Round'!A23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>
        <f>IF(ISBLANK('By Round'!L27),"",'By Round'!L27)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Round'!A63</f>
        <v/>
      </c>
      <c r="C46" s="10">
        <f>'By Round'!B69</f>
        <v/>
      </c>
      <c r="D46" s="10">
        <f>'By Round'!C69</f>
        <v/>
      </c>
      <c r="E46" s="10">
        <f>'By Round'!D69</f>
        <v/>
      </c>
      <c r="F46" s="10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>
        <f>IF(ISBLANK('By Round'!L69),"",'By Round'!L69)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5">
        <f>IF(ISBLANK('By Round'!L43),"",'By Round'!L43)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Round'!A53</f>
        <v/>
      </c>
      <c r="C48" s="10">
        <f>'By Round'!B61</f>
        <v/>
      </c>
      <c r="D48" s="10">
        <f>'By Round'!C61</f>
        <v/>
      </c>
      <c r="E48" s="10">
        <f>'By Round'!D61</f>
        <v/>
      </c>
      <c r="F48" s="10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>
        <f>IF(ISBLANK('By Round'!L62),"",'By Round'!L62)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Round'!A33</f>
        <v/>
      </c>
      <c r="C49" s="10">
        <f>'By Round'!B35</f>
        <v/>
      </c>
      <c r="D49" s="10">
        <f>'By Round'!C35</f>
        <v/>
      </c>
      <c r="E49" s="10">
        <f>'By Round'!D35</f>
        <v/>
      </c>
      <c r="F49" s="10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Round'!A23</f>
        <v/>
      </c>
      <c r="C50" s="10">
        <f>'By Round'!B27</f>
        <v/>
      </c>
      <c r="D50" s="10">
        <f>'By Round'!C27</f>
        <v/>
      </c>
      <c r="E50" s="10">
        <f>'By Round'!D27</f>
        <v/>
      </c>
      <c r="F50" s="10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>
        <f>IF(ISBLANK('By Round'!L28),"",'By Round'!L28)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Round'!A63</f>
        <v/>
      </c>
      <c r="C51" s="10">
        <f>'By Round'!B69</f>
        <v/>
      </c>
      <c r="D51" s="10">
        <f>'By Round'!C69</f>
        <v/>
      </c>
      <c r="E51" s="10">
        <f>'By Round'!D69</f>
        <v/>
      </c>
      <c r="F51" s="10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>
        <f>IF(ISBLANK('By Round'!L70),"",'By Round'!L70)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5">
        <f>IF(ISBLANK('By Round'!L44),"",'By Round'!L44)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Round'!A73</f>
        <v/>
      </c>
      <c r="C53" s="10">
        <f>'By Round'!B79</f>
        <v/>
      </c>
      <c r="D53" s="10">
        <f>'By Round'!C79</f>
        <v/>
      </c>
      <c r="E53" s="10">
        <f>'By Round'!D79</f>
        <v/>
      </c>
      <c r="F53" s="10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>
        <f>IF(ISBLANK('By Round'!L79),"",'By Round'!L79)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Round'!A63</f>
        <v/>
      </c>
      <c r="C54" s="10">
        <f>'By Round'!B71</f>
        <v/>
      </c>
      <c r="D54" s="10">
        <f>'By Round'!C71</f>
        <v/>
      </c>
      <c r="E54" s="10">
        <f>'By Round'!D71</f>
        <v/>
      </c>
      <c r="F54" s="10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>
        <f>IF(ISBLANK('By Round'!L71),"",'By Round'!L71)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Round'!A43</f>
        <v/>
      </c>
      <c r="C55" s="10">
        <f>'By Round'!B45</f>
        <v/>
      </c>
      <c r="D55" s="10">
        <f>'By Round'!C45</f>
        <v/>
      </c>
      <c r="E55" s="10">
        <f>'By Round'!D45</f>
        <v/>
      </c>
      <c r="F55" s="10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>
        <f>IF(ISBLANK('By Round'!L45),"",'By Round'!L45)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Round'!A33</f>
        <v/>
      </c>
      <c r="C56" s="10">
        <f>'By Round'!B37</f>
        <v/>
      </c>
      <c r="D56" s="10">
        <f>'By Round'!C37</f>
        <v/>
      </c>
      <c r="E56" s="10">
        <f>'By Round'!D37</f>
        <v/>
      </c>
      <c r="F56" s="10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>
        <f>IF(ISBLANK('By Round'!L37),"",'By Round'!L37)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5">
        <f>IF(ISBLANK('By Round'!L53),"",'By Round'!L53)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Round'!A73</f>
        <v/>
      </c>
      <c r="C58" s="10">
        <f>'By Round'!B79</f>
        <v/>
      </c>
      <c r="D58" s="10">
        <f>'By Round'!C79</f>
        <v/>
      </c>
      <c r="E58" s="10">
        <f>'By Round'!D79</f>
        <v/>
      </c>
      <c r="F58" s="10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>
        <f>IF(ISBLANK('By Round'!L80),"",'By Round'!L80)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Round'!A63</f>
        <v/>
      </c>
      <c r="C59" s="10">
        <f>'By Round'!B71</f>
        <v/>
      </c>
      <c r="D59" s="10">
        <f>'By Round'!C71</f>
        <v/>
      </c>
      <c r="E59" s="10">
        <f>'By Round'!D71</f>
        <v/>
      </c>
      <c r="F59" s="10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>
        <f>IF(ISBLANK('By Round'!L72),"",'By Round'!L72)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Round'!A43</f>
        <v/>
      </c>
      <c r="C60" s="10">
        <f>'By Round'!B45</f>
        <v/>
      </c>
      <c r="D60" s="10">
        <f>'By Round'!C45</f>
        <v/>
      </c>
      <c r="E60" s="10">
        <f>'By Round'!D45</f>
        <v/>
      </c>
      <c r="F60" s="10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>
        <f>IF(ISBLANK('By Round'!L46),"",'By Round'!L46)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Round'!A33</f>
        <v/>
      </c>
      <c r="C61" s="10">
        <f>'By Round'!B37</f>
        <v/>
      </c>
      <c r="D61" s="10">
        <f>'By Round'!C37</f>
        <v/>
      </c>
      <c r="E61" s="10">
        <f>'By Round'!D37</f>
        <v/>
      </c>
      <c r="F61" s="10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>
        <f>IF(ISBLANK('By Round'!L38),"",'By Round'!L38)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5">
        <f>IF(ISBLANK('By Round'!L54),"",'By Round'!L54)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Round'!A43</f>
        <v/>
      </c>
      <c r="C63" s="10">
        <f>'By Round'!B47</f>
        <v/>
      </c>
      <c r="D63" s="10">
        <f>'By Round'!C47</f>
        <v/>
      </c>
      <c r="E63" s="10">
        <f>'By Round'!D47</f>
        <v/>
      </c>
      <c r="F63" s="10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>
        <f>IF(ISBLANK('By Round'!L47),"",'By Round'!L47)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Round'!A83</f>
        <v/>
      </c>
      <c r="C64" s="10">
        <f>'By Round'!B89</f>
        <v/>
      </c>
      <c r="D64" s="10">
        <f>'By Round'!C89</f>
        <v/>
      </c>
      <c r="E64" s="10">
        <f>'By Round'!D89</f>
        <v/>
      </c>
      <c r="F64" s="10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>
        <f>IF(ISBLANK('By Round'!L89),"",'By Round'!L89)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Round'!A73</f>
        <v/>
      </c>
      <c r="C65" s="10">
        <f>'By Round'!B81</f>
        <v/>
      </c>
      <c r="D65" s="10">
        <f>'By Round'!C81</f>
        <v/>
      </c>
      <c r="E65" s="10">
        <f>'By Round'!D81</f>
        <v/>
      </c>
      <c r="F65" s="10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>
        <f>IF(ISBLANK('By Round'!L81),"",'By Round'!L81)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Round'!A53</f>
        <v/>
      </c>
      <c r="C66" s="10">
        <f>'By Round'!B55</f>
        <v/>
      </c>
      <c r="D66" s="10">
        <f>'By Round'!C55</f>
        <v/>
      </c>
      <c r="E66" s="10">
        <f>'By Round'!D55</f>
        <v/>
      </c>
      <c r="F66" s="10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>
        <f>IF(ISBLANK('By Round'!L55),"",'By Round'!L55)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5">
        <f>IF(ISBLANK('By Round'!L63),"",'By Round'!L63)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Round'!A43</f>
        <v/>
      </c>
      <c r="C68" s="10">
        <f>'By Round'!B47</f>
        <v/>
      </c>
      <c r="D68" s="10">
        <f>'By Round'!C47</f>
        <v/>
      </c>
      <c r="E68" s="10">
        <f>'By Round'!D47</f>
        <v/>
      </c>
      <c r="F68" s="10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>
        <f>IF(ISBLANK('By Round'!L48),"",'By Round'!L48)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Round'!A83</f>
        <v/>
      </c>
      <c r="C69" s="10">
        <f>'By Round'!B89</f>
        <v/>
      </c>
      <c r="D69" s="10">
        <f>'By Round'!C89</f>
        <v/>
      </c>
      <c r="E69" s="10">
        <f>'By Round'!D89</f>
        <v/>
      </c>
      <c r="F69" s="10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>
        <f>IF(ISBLANK('By Round'!L90),"",'By Round'!L90)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Round'!A73</f>
        <v/>
      </c>
      <c r="C70" s="10">
        <f>'By Round'!B81</f>
        <v/>
      </c>
      <c r="D70" s="10">
        <f>'By Round'!C81</f>
        <v/>
      </c>
      <c r="E70" s="10">
        <f>'By Round'!D81</f>
        <v/>
      </c>
      <c r="F70" s="10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>
        <f>IF(ISBLANK('By Round'!L82),"",'By Round'!L82)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Round'!A53</f>
        <v/>
      </c>
      <c r="C71" s="10">
        <f>'By Round'!B55</f>
        <v/>
      </c>
      <c r="D71" s="10">
        <f>'By Round'!C55</f>
        <v/>
      </c>
      <c r="E71" s="10">
        <f>'By Round'!D55</f>
        <v/>
      </c>
      <c r="F71" s="10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>
        <f>IF(ISBLANK('By Round'!L56),"",'By Round'!L56)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5">
        <f>IF(ISBLANK('By Round'!L64),"",'By Round'!L64)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Round'!A53</f>
        <v/>
      </c>
      <c r="C73" s="10">
        <f>'By Round'!B57</f>
        <v/>
      </c>
      <c r="D73" s="10">
        <f>'By Round'!C57</f>
        <v/>
      </c>
      <c r="E73" s="10">
        <f>'By Round'!D57</f>
        <v/>
      </c>
      <c r="F73" s="10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>
        <f>IF(ISBLANK('By Round'!L57),"",'By Round'!L57)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Round'!A3</f>
        <v/>
      </c>
      <c r="C74" s="10">
        <f>'By Round'!B9</f>
        <v/>
      </c>
      <c r="D74" s="10">
        <f>'By Round'!C9</f>
        <v/>
      </c>
      <c r="E74" s="10">
        <f>'By Round'!D9</f>
        <v/>
      </c>
      <c r="F74" s="10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>
        <f>IF(ISBLANK('By Round'!L9),"",'By Round'!L9)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Round'!A83</f>
        <v/>
      </c>
      <c r="C75" s="10">
        <f>'By Round'!B91</f>
        <v/>
      </c>
      <c r="D75" s="10">
        <f>'By Round'!C91</f>
        <v/>
      </c>
      <c r="E75" s="10">
        <f>'By Round'!D91</f>
        <v/>
      </c>
      <c r="F75" s="10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>
        <f>IF(ISBLANK('By Round'!L91),"",'By Round'!L91)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Round'!A63</f>
        <v/>
      </c>
      <c r="C76" s="10">
        <f>'By Round'!B65</f>
        <v/>
      </c>
      <c r="D76" s="10">
        <f>'By Round'!C65</f>
        <v/>
      </c>
      <c r="E76" s="10">
        <f>'By Round'!D65</f>
        <v/>
      </c>
      <c r="F76" s="10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>
        <f>IF(ISBLANK('By Round'!L65),"",'By Round'!L65)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5">
        <f>IF(ISBLANK('By Round'!L73),"",'By Round'!L73)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Round'!A53</f>
        <v/>
      </c>
      <c r="C78" s="10">
        <f>'By Round'!B57</f>
        <v/>
      </c>
      <c r="D78" s="10">
        <f>'By Round'!C57</f>
        <v/>
      </c>
      <c r="E78" s="10">
        <f>'By Round'!D57</f>
        <v/>
      </c>
      <c r="F78" s="10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>
        <f>IF(ISBLANK('By Round'!L58),"",'By Round'!L58)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Round'!A3</f>
        <v/>
      </c>
      <c r="C79" s="10">
        <f>'By Round'!B9</f>
        <v/>
      </c>
      <c r="D79" s="10">
        <f>'By Round'!C9</f>
        <v/>
      </c>
      <c r="E79" s="10">
        <f>'By Round'!D9</f>
        <v/>
      </c>
      <c r="F79" s="10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>
        <f>IF(ISBLANK('By Round'!L10),"",'By Round'!L10)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Round'!A83</f>
        <v/>
      </c>
      <c r="C80" s="10">
        <f>'By Round'!B91</f>
        <v/>
      </c>
      <c r="D80" s="10">
        <f>'By Round'!C91</f>
        <v/>
      </c>
      <c r="E80" s="10">
        <f>'By Round'!D91</f>
        <v/>
      </c>
      <c r="F80" s="10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>
        <f>IF(ISBLANK('By Round'!L92),"",'By Round'!L92)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Round'!A63</f>
        <v/>
      </c>
      <c r="C81" s="10">
        <f>'By Round'!B65</f>
        <v/>
      </c>
      <c r="D81" s="10">
        <f>'By Round'!C65</f>
        <v/>
      </c>
      <c r="E81" s="10">
        <f>'By Round'!D65</f>
        <v/>
      </c>
      <c r="F81" s="10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>
        <f>IF(ISBLANK('By Round'!L66),"",'By Round'!L66)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5">
        <f>IF(ISBLANK('By Round'!L74),"",'By Round'!L74)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Round'!A63</f>
        <v/>
      </c>
      <c r="C83" s="10">
        <f>'By Round'!B67</f>
        <v/>
      </c>
      <c r="D83" s="10">
        <f>'By Round'!C67</f>
        <v/>
      </c>
      <c r="E83" s="10">
        <f>'By Round'!D67</f>
        <v/>
      </c>
      <c r="F83" s="10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>
        <f>IF(ISBLANK('By Round'!L67),"",'By Round'!L67)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Round'!A13</f>
        <v/>
      </c>
      <c r="C84" s="10">
        <f>'By Round'!B19</f>
        <v/>
      </c>
      <c r="D84" s="10">
        <f>'By Round'!C19</f>
        <v/>
      </c>
      <c r="E84" s="10">
        <f>'By Round'!D19</f>
        <v/>
      </c>
      <c r="F84" s="10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>
        <f>IF(ISBLANK('By Round'!L19),"",'By Round'!L19)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Round'!A3</f>
        <v/>
      </c>
      <c r="C85" s="10">
        <f>'By Round'!B11</f>
        <v/>
      </c>
      <c r="D85" s="10">
        <f>'By Round'!C11</f>
        <v/>
      </c>
      <c r="E85" s="10">
        <f>'By Round'!D11</f>
        <v/>
      </c>
      <c r="F85" s="10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>
        <f>IF(ISBLANK('By Round'!L11),"",'By Round'!L11)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Round'!A73</f>
        <v/>
      </c>
      <c r="C86" s="10">
        <f>'By Round'!B75</f>
        <v/>
      </c>
      <c r="D86" s="10">
        <f>'By Round'!C75</f>
        <v/>
      </c>
      <c r="E86" s="10">
        <f>'By Round'!D75</f>
        <v/>
      </c>
      <c r="F86" s="10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>
        <f>IF(ISBLANK('By Round'!L75),"",'By Round'!L75)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5">
        <f>IF(ISBLANK('By Round'!L83),"",'By Round'!L83)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Round'!A63</f>
        <v/>
      </c>
      <c r="C88" s="10">
        <f>'By Round'!B67</f>
        <v/>
      </c>
      <c r="D88" s="10">
        <f>'By Round'!C67</f>
        <v/>
      </c>
      <c r="E88" s="10">
        <f>'By Round'!D67</f>
        <v/>
      </c>
      <c r="F88" s="10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>
        <f>IF(ISBLANK('By Round'!L68),"",'By Round'!L68)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Round'!A13</f>
        <v/>
      </c>
      <c r="C89" s="10">
        <f>'By Round'!B19</f>
        <v/>
      </c>
      <c r="D89" s="10">
        <f>'By Round'!C19</f>
        <v/>
      </c>
      <c r="E89" s="10">
        <f>'By Round'!D19</f>
        <v/>
      </c>
      <c r="F89" s="10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>
        <f>IF(ISBLANK('By Round'!L20),"",'By Round'!L20)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Round'!A3</f>
        <v/>
      </c>
      <c r="C90" s="10">
        <f>'By Round'!B11</f>
        <v/>
      </c>
      <c r="D90" s="10">
        <f>'By Round'!C11</f>
        <v/>
      </c>
      <c r="E90" s="10">
        <f>'By Round'!D11</f>
        <v/>
      </c>
      <c r="F90" s="10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>
        <f>IF(ISBLANK('By Round'!L12),"",'By Round'!L12)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Round'!A73</f>
        <v/>
      </c>
      <c r="C91" s="10">
        <f>'By Round'!B75</f>
        <v/>
      </c>
      <c r="D91" s="10">
        <f>'By Round'!C75</f>
        <v/>
      </c>
      <c r="E91" s="10">
        <f>'By Round'!D75</f>
        <v/>
      </c>
      <c r="F91" s="10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>
        <f>IF(ISBLANK('By Round'!L76),"",'By Round'!L76)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5">
        <f>IF(ISBLANK('By Round'!L84),"",'By Round'!L84)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10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n">
        <v>10</v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n">
        <v>10</v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n">
        <v>10</v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n">
        <v>10</v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n">
        <v>10</v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n">
        <v>10</v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n">
        <v>10</v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n">
        <v>10</v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2026-03-07T21:22:31Z</dcterms:created>
  <dcterms:modified xsi:type="dcterms:W3CDTF">2026-03-07T21:22:31Z</dcterms:modified>
</cp:coreProperties>
</file>