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06,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25</t>
        </is>
      </c>
      <c r="C10" t="inlineStr">
        <is>
          <t>Name 81</t>
        </is>
      </c>
      <c r="D10" s="4">
        <f>SUMIF('By Board'!$D$3:$D$92,"=1",'By Board'!$N$3:$N$92)/18+SUMIF('By Board'!$E$3:$E$92,"=1",'By Board'!$O$3:$O$92)/18</f>
        <v/>
      </c>
      <c r="E10" s="5">
        <f>SUMIF('By Board'!$D$3:$D$92,"=1",'By Board'!$L$3:$L$92)+SUMIF('By Board'!$E$3:$E$92,"=1",'By Board'!$M$3:$M$92)</f>
        <v/>
      </c>
    </row>
    <row r="11">
      <c r="A11" s="2" t="n">
        <v>2</v>
      </c>
      <c r="B11" t="inlineStr">
        <is>
          <t>Name 51</t>
        </is>
      </c>
      <c r="C11" t="inlineStr">
        <is>
          <t>Name 48</t>
        </is>
      </c>
      <c r="D11" s="4">
        <f>SUMIF('By Board'!$D$3:$D$92,"=2",'By Board'!$N$3:$N$92)/18+SUMIF('By Board'!$E$3:$E$92,"=2",'By Board'!$O$3:$O$92)/18</f>
        <v/>
      </c>
      <c r="E11" s="5">
        <f>SUMIF('By Board'!$D$3:$D$92,"=2",'By Board'!$L$3:$L$92)+SUMIF('By Board'!$E$3:$E$92,"=2",'By Board'!$M$3:$M$92)</f>
        <v/>
      </c>
    </row>
    <row r="12">
      <c r="A12" s="2" t="n">
        <v>3</v>
      </c>
      <c r="B12" t="inlineStr">
        <is>
          <t>Name 22</t>
        </is>
      </c>
      <c r="C12" t="inlineStr">
        <is>
          <t>Name 24</t>
        </is>
      </c>
      <c r="D12" s="4">
        <f>SUMIF('By Board'!$D$3:$D$92,"=3",'By Board'!$N$3:$N$92)/18+SUMIF('By Board'!$E$3:$E$92,"=3",'By Board'!$O$3:$O$92)/18</f>
        <v/>
      </c>
      <c r="E12" s="5">
        <f>SUMIF('By Board'!$D$3:$D$92,"=3",'By Board'!$L$3:$L$92)+SUMIF('By Board'!$E$3:$E$92,"=3",'By Board'!$M$3:$M$92)</f>
        <v/>
      </c>
    </row>
    <row r="13">
      <c r="A13" s="2" t="n">
        <v>4</v>
      </c>
      <c r="B13" t="inlineStr">
        <is>
          <t>Name 44</t>
        </is>
      </c>
      <c r="C13" t="inlineStr">
        <is>
          <t>Name 12</t>
        </is>
      </c>
      <c r="D13" s="4">
        <f>SUMIF('By Board'!$D$3:$D$92,"=4",'By Board'!$N$3:$N$92)/18+SUMIF('By Board'!$E$3:$E$92,"=4",'By Board'!$O$3:$O$92)/18</f>
        <v/>
      </c>
      <c r="E13" s="5">
        <f>SUMIF('By Board'!$D$3:$D$92,"=4",'By Board'!$L$3:$L$92)+SUMIF('By Board'!$E$3:$E$92,"=4",'By Board'!$M$3:$M$92)</f>
        <v/>
      </c>
    </row>
    <row r="14">
      <c r="A14" s="2" t="n">
        <v>5</v>
      </c>
      <c r="B14" t="inlineStr">
        <is>
          <t>Name 68</t>
        </is>
      </c>
      <c r="C14" t="inlineStr">
        <is>
          <t>Name 38</t>
        </is>
      </c>
      <c r="D14" s="4">
        <f>SUMIF('By Board'!$D$3:$D$92,"=5",'By Board'!$N$3:$N$92)/18+SUMIF('By Board'!$E$3:$E$92,"=5",'By Board'!$O$3:$O$92)/18</f>
        <v/>
      </c>
      <c r="E14" s="5">
        <f>SUMIF('By Board'!$D$3:$D$92,"=5",'By Board'!$L$3:$L$92)+SUMIF('By Board'!$E$3:$E$92,"=5",'By Board'!$M$3:$M$92)</f>
        <v/>
      </c>
    </row>
    <row r="15">
      <c r="A15" s="2" t="n">
        <v>6</v>
      </c>
      <c r="B15" t="inlineStr">
        <is>
          <t>Name 59</t>
        </is>
      </c>
      <c r="C15" t="inlineStr">
        <is>
          <t>Name 27</t>
        </is>
      </c>
      <c r="D15" s="4">
        <f>SUMIF('By Board'!$D$3:$D$92,"=6",'By Board'!$N$3:$N$92)/18+SUMIF('By Board'!$E$3:$E$92,"=6",'By Board'!$O$3:$O$92)/18</f>
        <v/>
      </c>
      <c r="E15" s="5">
        <f>SUMIF('By Board'!$D$3:$D$92,"=6",'By Board'!$L$3:$L$92)+SUMIF('By Board'!$E$3:$E$92,"=6",'By Board'!$M$3:$M$92)</f>
        <v/>
      </c>
    </row>
    <row r="16">
      <c r="A16" s="2" t="n">
        <v>7</v>
      </c>
      <c r="B16" t="inlineStr">
        <is>
          <t>Name 49</t>
        </is>
      </c>
      <c r="C16" t="inlineStr">
        <is>
          <t>Name 27</t>
        </is>
      </c>
      <c r="D16" s="4">
        <f>SUMIF('By Board'!$D$3:$D$92,"=7",'By Board'!$N$3:$N$92)/18+SUMIF('By Board'!$E$3:$E$92,"=7",'By Board'!$O$3:$O$92)/18</f>
        <v/>
      </c>
      <c r="E16" s="5">
        <f>SUMIF('By Board'!$D$3:$D$92,"=7",'By Board'!$L$3:$L$92)+SUMIF('By Board'!$E$3:$E$92,"=7",'By Board'!$M$3:$M$92)</f>
        <v/>
      </c>
    </row>
    <row r="17">
      <c r="A17" s="2" t="n">
        <v>8</v>
      </c>
      <c r="B17" t="inlineStr">
        <is>
          <t>Name 27</t>
        </is>
      </c>
      <c r="C17" t="inlineStr">
        <is>
          <t>Name 61</t>
        </is>
      </c>
      <c r="D17" s="4">
        <f>SUMIF('By Board'!$D$3:$D$92,"=8",'By Board'!$N$3:$N$92)/18+SUMIF('By Board'!$E$3:$E$92,"=8",'By Board'!$O$3:$O$92)/18</f>
        <v/>
      </c>
      <c r="E17" s="5">
        <f>SUMIF('By Board'!$D$3:$D$92,"=8",'By Board'!$L$3:$L$92)+SUMIF('By Board'!$E$3:$E$92,"=8",'By Board'!$M$3:$M$92)</f>
        <v/>
      </c>
    </row>
    <row r="18">
      <c r="A18" s="2" t="n">
        <v>9</v>
      </c>
      <c r="B18" t="inlineStr">
        <is>
          <t>Name 59</t>
        </is>
      </c>
      <c r="C18" t="inlineStr">
        <is>
          <t>Name 42</t>
        </is>
      </c>
      <c r="D18" s="4">
        <f>SUMIF('By Board'!$D$3:$D$92,"=9",'By Board'!$N$3:$N$92)/18+SUMIF('By Board'!$E$3:$E$92,"=9",'By Board'!$O$3:$O$92)/18</f>
        <v/>
      </c>
      <c r="E18" s="5">
        <f>SUMIF('By Board'!$D$3:$D$92,"=9",'By Board'!$L$3:$L$92)+SUMIF('By Board'!$E$3:$E$92,"=9",'By Board'!$M$3:$M$92)</f>
        <v/>
      </c>
    </row>
    <row r="19">
      <c r="A19" s="2" t="n">
        <v>10</v>
      </c>
      <c r="B19" t="inlineStr">
        <is>
          <t>Name 75</t>
        </is>
      </c>
      <c r="C19" t="inlineStr">
        <is>
          <t>Name 47</t>
        </is>
      </c>
      <c r="D19" s="4">
        <f>SUMIF('By Board'!$D$3:$D$92,"=10",'By Board'!$N$3:$N$92)/18+0/18</f>
        <v/>
      </c>
      <c r="E19" s="5">
        <f>SUMIF('By Board'!$D$3:$D$92,"=10",'By Board'!$L$3:$L$92)+0</f>
        <v/>
      </c>
    </row>
    <row r="20">
      <c r="D20" s="6">
        <f>AVERAGE(D10:D19)</f>
        <v/>
      </c>
      <c r="E20" s="7">
        <f>SUM(E10:E19)</f>
        <v/>
      </c>
    </row>
    <row r="22">
      <c r="A22" t="inlineStr">
        <is>
          <t>To sort, remove single quote below</t>
        </is>
      </c>
    </row>
    <row r="23">
      <c r="A23" s="2" t="inlineStr">
        <is>
          <t>IMP Ranking</t>
        </is>
      </c>
    </row>
    <row r="24">
      <c r="A24" t="inlineStr">
        <is>
          <t>'=SORT(A10:E19,4,-1)</t>
        </is>
      </c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  <row r="38">
      <c r="A38" s="2" t="inlineStr">
        <is>
          <t>MP Ranking</t>
        </is>
      </c>
    </row>
    <row r="39">
      <c r="A39" t="inlineStr">
        <is>
          <t>'=SORT(A10:E19,5,-1)</t>
        </is>
      </c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  <row r="46">
      <c r="D46" s="5" t="n"/>
      <c r="E46" s="8" t="n"/>
    </row>
    <row r="47">
      <c r="D47" s="5" t="n"/>
      <c r="E47" s="8" t="n"/>
    </row>
    <row r="48">
      <c r="D48" s="5" t="n"/>
      <c r="E48" s="8" t="n"/>
    </row>
  </sheetData>
  <mergeCells count="9">
    <mergeCell ref="A4:B4"/>
    <mergeCell ref="A7:B7"/>
    <mergeCell ref="A2:E2"/>
    <mergeCell ref="A38:E38"/>
    <mergeCell ref="A5:B5"/>
    <mergeCell ref="A9:C9"/>
    <mergeCell ref="A23:E23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10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10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10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10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10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10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10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10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10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2026-02-06T19:39:27Z</dcterms:created>
  <dcterms:modified xsi:type="dcterms:W3CDTF">2026-02-06T19:39:27Z</dcterms:modified>
</cp:coreProperties>
</file>