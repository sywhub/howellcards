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37</t>
        </is>
      </c>
      <c r="C10" t="inlineStr">
        <is>
          <t>Name 46</t>
        </is>
      </c>
      <c r="D10" s="4">
        <f>SUMIF('By Board'!$D$3:$D$170,"=1",'By Board'!$N$3:$N$170)/24+SUMIF('By Board'!$E$3:$E$170,"=1",'By Board'!$O$3:$O$170)/24</f>
        <v/>
      </c>
      <c r="E10" s="5">
        <f>SUMIF('By Board'!$D$3:$D$170,"=1",'By Board'!$L$3:$L$170)+SUMIF('By Board'!$E$3:$E$170,"=1",'By Board'!$M$3:$M$170)</f>
        <v/>
      </c>
    </row>
    <row r="11">
      <c r="A11" s="2" t="n">
        <v>2</v>
      </c>
      <c r="B11" t="inlineStr">
        <is>
          <t>Name 47</t>
        </is>
      </c>
      <c r="C11" t="inlineStr">
        <is>
          <t>Name 53</t>
        </is>
      </c>
      <c r="D11" s="4">
        <f>SUMIF('By Board'!$D$3:$D$170,"=2",'By Board'!$N$3:$N$170)/24+SUMIF('By Board'!$E$3:$E$170,"=2",'By Board'!$O$3:$O$170)/24</f>
        <v/>
      </c>
      <c r="E11" s="5">
        <f>SUMIF('By Board'!$D$3:$D$170,"=2",'By Board'!$L$3:$L$170)+SUMIF('By Board'!$E$3:$E$170,"=2",'By Board'!$M$3:$M$170)</f>
        <v/>
      </c>
    </row>
    <row r="12">
      <c r="A12" s="2" t="n">
        <v>3</v>
      </c>
      <c r="B12" t="inlineStr">
        <is>
          <t>Name 81</t>
        </is>
      </c>
      <c r="C12" t="inlineStr">
        <is>
          <t>Name 65</t>
        </is>
      </c>
      <c r="D12" s="4">
        <f>SUMIF('By Board'!$D$3:$D$170,"=3",'By Board'!$N$3:$N$170)/24+SUMIF('By Board'!$E$3:$E$170,"=3",'By Board'!$O$3:$O$170)/24</f>
        <v/>
      </c>
      <c r="E12" s="5">
        <f>SUMIF('By Board'!$D$3:$D$170,"=3",'By Board'!$L$3:$L$170)+SUMIF('By Board'!$E$3:$E$170,"=3",'By Board'!$M$3:$M$170)</f>
        <v/>
      </c>
    </row>
    <row r="13">
      <c r="A13" s="2" t="n">
        <v>4</v>
      </c>
      <c r="B13" t="inlineStr">
        <is>
          <t>Name 50</t>
        </is>
      </c>
      <c r="C13" t="inlineStr">
        <is>
          <t>Name 20</t>
        </is>
      </c>
      <c r="D13" s="4">
        <f>SUMIF('By Board'!$D$3:$D$170,"=4",'By Board'!$N$3:$N$170)/24+SUMIF('By Board'!$E$3:$E$170,"=4",'By Board'!$O$3:$O$170)/24</f>
        <v/>
      </c>
      <c r="E13" s="5">
        <f>SUMIF('By Board'!$D$3:$D$170,"=4",'By Board'!$L$3:$L$170)+SUMIF('By Board'!$E$3:$E$170,"=4",'By Board'!$M$3:$M$170)</f>
        <v/>
      </c>
    </row>
    <row r="14">
      <c r="A14" s="2" t="n">
        <v>5</v>
      </c>
      <c r="B14" t="inlineStr">
        <is>
          <t>Name 42</t>
        </is>
      </c>
      <c r="C14" t="inlineStr">
        <is>
          <t>Name 50</t>
        </is>
      </c>
      <c r="D14" s="4">
        <f>SUMIF('By Board'!$D$3:$D$170,"=5",'By Board'!$N$3:$N$170)/24+SUMIF('By Board'!$E$3:$E$170,"=5",'By Board'!$O$3:$O$170)/24</f>
        <v/>
      </c>
      <c r="E14" s="5">
        <f>SUMIF('By Board'!$D$3:$D$170,"=5",'By Board'!$L$3:$L$170)+SUMIF('By Board'!$E$3:$E$170,"=5",'By Board'!$M$3:$M$170)</f>
        <v/>
      </c>
    </row>
    <row r="15">
      <c r="A15" s="2" t="n">
        <v>6</v>
      </c>
      <c r="B15" t="inlineStr">
        <is>
          <t>Name 67</t>
        </is>
      </c>
      <c r="C15" t="inlineStr">
        <is>
          <t>Name 58</t>
        </is>
      </c>
      <c r="D15" s="4">
        <f>SUMIF('By Board'!$D$3:$D$170,"=6",'By Board'!$N$3:$N$170)/24+SUMIF('By Board'!$E$3:$E$170,"=6",'By Board'!$O$3:$O$170)/24</f>
        <v/>
      </c>
      <c r="E15" s="5">
        <f>SUMIF('By Board'!$D$3:$D$170,"=6",'By Board'!$L$3:$L$170)+SUMIF('By Board'!$E$3:$E$170,"=6",'By Board'!$M$3:$M$170)</f>
        <v/>
      </c>
    </row>
    <row r="16">
      <c r="A16" s="2" t="n">
        <v>7</v>
      </c>
      <c r="B16" t="inlineStr">
        <is>
          <t>Name 37</t>
        </is>
      </c>
      <c r="C16" t="inlineStr">
        <is>
          <t>Name 50</t>
        </is>
      </c>
      <c r="D16" s="4">
        <f>SUMIF('By Board'!$D$3:$D$170,"=7",'By Board'!$N$3:$N$170)/24+SUMIF('By Board'!$E$3:$E$170,"=7",'By Board'!$O$3:$O$170)/24</f>
        <v/>
      </c>
      <c r="E16" s="5">
        <f>SUMIF('By Board'!$D$3:$D$170,"=7",'By Board'!$L$3:$L$170)+SUMIF('By Board'!$E$3:$E$170,"=7",'By Board'!$M$3:$M$170)</f>
        <v/>
      </c>
    </row>
    <row r="17">
      <c r="A17" s="2" t="n">
        <v>8</v>
      </c>
      <c r="B17" t="inlineStr">
        <is>
          <t>Name 83</t>
        </is>
      </c>
      <c r="C17" t="inlineStr">
        <is>
          <t>Name 43</t>
        </is>
      </c>
      <c r="D17" s="4">
        <f>SUMIF('By Board'!$D$3:$D$170,"=8",'By Board'!$N$3:$N$170)/24+SUMIF('By Board'!$E$3:$E$170,"=8",'By Board'!$O$3:$O$170)/24</f>
        <v/>
      </c>
      <c r="E17" s="5">
        <f>SUMIF('By Board'!$D$3:$D$170,"=8",'By Board'!$L$3:$L$170)+SUMIF('By Board'!$E$3:$E$170,"=8",'By Board'!$M$3:$M$170)</f>
        <v/>
      </c>
    </row>
    <row r="18">
      <c r="A18" s="2" t="n">
        <v>9</v>
      </c>
      <c r="B18" t="inlineStr">
        <is>
          <t>Name 70</t>
        </is>
      </c>
      <c r="C18" t="inlineStr">
        <is>
          <t>Name 20</t>
        </is>
      </c>
      <c r="D18" s="4">
        <f>SUMIF('By Board'!$D$3:$D$170,"=9",'By Board'!$N$3:$N$170)/24+SUMIF('By Board'!$E$3:$E$170,"=9",'By Board'!$O$3:$O$170)/24</f>
        <v/>
      </c>
      <c r="E18" s="5">
        <f>SUMIF('By Board'!$D$3:$D$170,"=9",'By Board'!$L$3:$L$170)+SUMIF('By Board'!$E$3:$E$170,"=9",'By Board'!$M$3:$M$170)</f>
        <v/>
      </c>
    </row>
    <row r="19">
      <c r="A19" s="2" t="n">
        <v>10</v>
      </c>
      <c r="B19" t="inlineStr">
        <is>
          <t>Name 53</t>
        </is>
      </c>
      <c r="C19" t="inlineStr">
        <is>
          <t>Name 57</t>
        </is>
      </c>
      <c r="D19" s="4">
        <f>SUMIF('By Board'!$D$3:$D$170,"=10",'By Board'!$N$3:$N$170)/24+SUMIF('By Board'!$E$3:$E$170,"=10",'By Board'!$O$3:$O$170)/24</f>
        <v/>
      </c>
      <c r="E19" s="5">
        <f>SUMIF('By Board'!$D$3:$D$170,"=10",'By Board'!$L$3:$L$170)+SUMIF('By Board'!$E$3:$E$170,"=10",'By Board'!$M$3:$M$170)</f>
        <v/>
      </c>
    </row>
    <row r="20">
      <c r="A20" s="2" t="n">
        <v>11</v>
      </c>
      <c r="B20" t="inlineStr">
        <is>
          <t>Name 34</t>
        </is>
      </c>
      <c r="C20" t="inlineStr">
        <is>
          <t>Name 61</t>
        </is>
      </c>
      <c r="D20" s="4">
        <f>SUMIF('By Board'!$D$3:$D$170,"=11",'By Board'!$N$3:$N$170)/24+SUMIF('By Board'!$E$3:$E$170,"=11",'By Board'!$O$3:$O$170)/24</f>
        <v/>
      </c>
      <c r="E20" s="5">
        <f>SUMIF('By Board'!$D$3:$D$170,"=11",'By Board'!$L$3:$L$170)+SUMIF('By Board'!$E$3:$E$170,"=11",'By Board'!$M$3:$M$170)</f>
        <v/>
      </c>
    </row>
    <row r="21">
      <c r="A21" s="2" t="n">
        <v>12</v>
      </c>
      <c r="B21" t="inlineStr">
        <is>
          <t>Name 25</t>
        </is>
      </c>
      <c r="C21" t="inlineStr">
        <is>
          <t>Name 46</t>
        </is>
      </c>
      <c r="D21" s="4">
        <f>SUMIF('By Board'!$D$3:$D$170,"=12",'By Board'!$N$3:$N$170)/24+SUMIF('By Board'!$E$3:$E$170,"=12",'By Board'!$O$3:$O$170)/24</f>
        <v/>
      </c>
      <c r="E21" s="5">
        <f>SUMIF('By Board'!$D$3:$D$170,"=12",'By Board'!$L$3:$L$170)+SUMIF('By Board'!$E$3:$E$170,"=12",'By Board'!$M$3:$M$170)</f>
        <v/>
      </c>
    </row>
    <row r="22">
      <c r="A22" s="2" t="n">
        <v>13</v>
      </c>
      <c r="B22" t="inlineStr">
        <is>
          <t>Name 61</t>
        </is>
      </c>
      <c r="C22" t="inlineStr">
        <is>
          <t>Name 66</t>
        </is>
      </c>
      <c r="D22" s="4">
        <f>SUMIF('By Board'!$D$3:$D$170,"=13",'By Board'!$N$3:$N$170)/24+SUMIF('By Board'!$E$3:$E$170,"=13",'By Board'!$O$3:$O$170)/24</f>
        <v/>
      </c>
      <c r="E22" s="5">
        <f>SUMIF('By Board'!$D$3:$D$170,"=13",'By Board'!$L$3:$L$170)+SUMIF('By Board'!$E$3:$E$170,"=13",'By Board'!$M$3:$M$170)</f>
        <v/>
      </c>
    </row>
    <row r="23">
      <c r="D23" s="6">
        <f>AVERAGE(D10:D22)</f>
        <v/>
      </c>
      <c r="E23" s="7">
        <f>SUM(E10:E22)</f>
        <v/>
      </c>
    </row>
    <row r="25">
      <c r="A25" t="inlineStr">
        <is>
          <t>To sort, remove single quote below</t>
        </is>
      </c>
    </row>
    <row r="26">
      <c r="A26" s="2" t="inlineStr">
        <is>
          <t>IMP Ranking</t>
        </is>
      </c>
    </row>
    <row r="27">
      <c r="A27" t="inlineStr">
        <is>
          <t>'=SORT(A10:E22,4,-1)</t>
        </is>
      </c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4">
      <c r="A44" s="2" t="inlineStr">
        <is>
          <t>MP Ranking</t>
        </is>
      </c>
    </row>
    <row r="45">
      <c r="A45" t="inlineStr">
        <is>
          <t>'=SORT(A10:E22,5,-1)</t>
        </is>
      </c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</sheetData>
  <mergeCells count="9">
    <mergeCell ref="A4:B4"/>
    <mergeCell ref="A26:E26"/>
    <mergeCell ref="A7:B7"/>
    <mergeCell ref="A2:E2"/>
    <mergeCell ref="A5:B5"/>
    <mergeCell ref="A9:C9"/>
    <mergeCell ref="A44:E44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inlineStr">
        <is>
          <t>Sit-Out</t>
        </is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inlineStr">
        <is>
          <t>Sit-Out</t>
        </is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inlineStr">
        <is>
          <t>Sit-Out</t>
        </is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inlineStr">
        <is>
          <t>Sit-Out</t>
        </is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inlineStr">
        <is>
          <t>Sit-Out</t>
        </is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inlineStr">
        <is>
          <t>Sit-Out</t>
        </is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inlineStr">
        <is>
          <t>Sit-Out</t>
        </is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inlineStr">
        <is>
          <t>Sit-Out</t>
        </is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inlineStr">
        <is>
          <t>Sit-Out</t>
        </is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inlineStr">
        <is>
          <t>Sit-Out</t>
        </is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inlineStr">
        <is>
          <t>Sit-Out</t>
        </is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inlineStr">
        <is>
          <t>Sit-Out</t>
        </is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2026-02-06T19:39:29Z</dcterms:created>
  <dcterms:modified xsi:type="dcterms:W3CDTF">2026-02-06T19:39:29Z</dcterms:modified>
</cp:coreProperties>
</file>