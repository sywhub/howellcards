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13</v>
      </c>
    </row>
    <row r="4">
      <c r="A4" s="2" t="inlineStr">
        <is>
          <t>Tables</t>
        </is>
      </c>
      <c r="B4" s="2" t="n">
        <v>7</v>
      </c>
    </row>
    <row r="5">
      <c r="A5" s="2" t="inlineStr">
        <is>
          <t>Rounds</t>
        </is>
      </c>
      <c r="B5" s="2" t="n">
        <v>13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26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PH80</t>
        </is>
      </c>
      <c r="C2" t="inlineStr">
        <is>
          <t>PH19</t>
        </is>
      </c>
      <c r="D2" s="4">
        <f>SUMIF('By Board'!$D$3:$D$170,"=1",'By Board'!$L$3:$L$170)+SUMIF('By Board'!$E$3:$E$170,"=1",'By Board'!$M$3:$M$170)</f>
        <v/>
      </c>
    </row>
    <row r="3">
      <c r="A3" t="n">
        <v>2</v>
      </c>
      <c r="B3" t="inlineStr">
        <is>
          <t>PH82</t>
        </is>
      </c>
      <c r="C3" t="inlineStr">
        <is>
          <t>PH72</t>
        </is>
      </c>
      <c r="D3" s="4">
        <f>SUMIF('By Board'!$D$3:$D$170,"=2",'By Board'!$L$3:$L$170)+SUMIF('By Board'!$E$3:$E$170,"=2",'By Board'!$M$3:$M$170)</f>
        <v/>
      </c>
    </row>
    <row r="4">
      <c r="A4" t="n">
        <v>3</v>
      </c>
      <c r="B4" t="inlineStr">
        <is>
          <t>PH77</t>
        </is>
      </c>
      <c r="C4" t="inlineStr">
        <is>
          <t>PH64</t>
        </is>
      </c>
      <c r="D4" s="4">
        <f>SUMIF('By Board'!$D$3:$D$170,"=3",'By Board'!$L$3:$L$170)+SUMIF('By Board'!$E$3:$E$170,"=3",'By Board'!$M$3:$M$170)</f>
        <v/>
      </c>
    </row>
    <row r="5">
      <c r="A5" t="n">
        <v>4</v>
      </c>
      <c r="B5" t="inlineStr">
        <is>
          <t>PH85</t>
        </is>
      </c>
      <c r="C5" t="inlineStr">
        <is>
          <t>PH33</t>
        </is>
      </c>
      <c r="D5" s="4">
        <f>SUMIF('By Board'!$D$3:$D$170,"=4",'By Board'!$L$3:$L$170)+SUMIF('By Board'!$E$3:$E$170,"=4",'By Board'!$M$3:$M$170)</f>
        <v/>
      </c>
    </row>
    <row r="6">
      <c r="A6" t="n">
        <v>5</v>
      </c>
      <c r="B6" t="inlineStr">
        <is>
          <t>PH12</t>
        </is>
      </c>
      <c r="C6" t="inlineStr">
        <is>
          <t>PH57</t>
        </is>
      </c>
      <c r="D6" s="4">
        <f>SUMIF('By Board'!$D$3:$D$170,"=5",'By Board'!$L$3:$L$170)+SUMIF('By Board'!$E$3:$E$170,"=5",'By Board'!$M$3:$M$170)</f>
        <v/>
      </c>
    </row>
    <row r="7">
      <c r="A7" t="n">
        <v>6</v>
      </c>
      <c r="B7" t="inlineStr">
        <is>
          <t>PH44</t>
        </is>
      </c>
      <c r="C7" t="inlineStr">
        <is>
          <t>PH58</t>
        </is>
      </c>
      <c r="D7" s="4">
        <f>SUMIF('By Board'!$D$3:$D$170,"=6",'By Board'!$L$3:$L$170)+SUMIF('By Board'!$E$3:$E$170,"=6",'By Board'!$M$3:$M$170)</f>
        <v/>
      </c>
    </row>
    <row r="8">
      <c r="A8" t="n">
        <v>7</v>
      </c>
      <c r="B8" t="inlineStr">
        <is>
          <t>PH14</t>
        </is>
      </c>
      <c r="C8" t="inlineStr">
        <is>
          <t>PH90</t>
        </is>
      </c>
      <c r="D8" s="4">
        <f>SUMIF('By Board'!$D$3:$D$170,"=7",'By Board'!$L$3:$L$170)+SUMIF('By Board'!$E$3:$E$170,"=7",'By Board'!$M$3:$M$170)</f>
        <v/>
      </c>
    </row>
    <row r="9">
      <c r="A9" t="n">
        <v>8</v>
      </c>
      <c r="B9" t="inlineStr">
        <is>
          <t>PH55</t>
        </is>
      </c>
      <c r="C9" t="inlineStr">
        <is>
          <t>PH42</t>
        </is>
      </c>
      <c r="D9" s="4">
        <f>SUMIF('By Board'!$D$3:$D$170,"=8",'By Board'!$L$3:$L$170)+SUMIF('By Board'!$E$3:$E$170,"=8",'By Board'!$M$3:$M$170)</f>
        <v/>
      </c>
    </row>
    <row r="10">
      <c r="A10" t="n">
        <v>9</v>
      </c>
      <c r="B10" t="inlineStr">
        <is>
          <t>PH57</t>
        </is>
      </c>
      <c r="C10" t="inlineStr">
        <is>
          <t>PH71</t>
        </is>
      </c>
      <c r="D10" s="4">
        <f>SUMIF('By Board'!$D$3:$D$170,"=9",'By Board'!$L$3:$L$170)+SUMIF('By Board'!$E$3:$E$170,"=9",'By Board'!$M$3:$M$170)</f>
        <v/>
      </c>
    </row>
    <row r="11">
      <c r="A11" t="n">
        <v>10</v>
      </c>
      <c r="B11" t="inlineStr">
        <is>
          <t>PH34</t>
        </is>
      </c>
      <c r="C11" t="inlineStr">
        <is>
          <t>PH15</t>
        </is>
      </c>
      <c r="D11" s="4">
        <f>SUMIF('By Board'!$D$3:$D$170,"=10",'By Board'!$L$3:$L$170)+SUMIF('By Board'!$E$3:$E$170,"=10",'By Board'!$M$3:$M$170)</f>
        <v/>
      </c>
    </row>
    <row r="12">
      <c r="A12" t="n">
        <v>11</v>
      </c>
      <c r="B12" t="inlineStr">
        <is>
          <t>PH56</t>
        </is>
      </c>
      <c r="C12" t="inlineStr">
        <is>
          <t>PH24</t>
        </is>
      </c>
      <c r="D12" s="4">
        <f>SUMIF('By Board'!$D$3:$D$170,"=11",'By Board'!$L$3:$L$170)+SUMIF('By Board'!$E$3:$E$170,"=11",'By Board'!$M$3:$M$170)</f>
        <v/>
      </c>
    </row>
    <row r="13">
      <c r="A13" t="n">
        <v>12</v>
      </c>
      <c r="B13" t="inlineStr">
        <is>
          <t>PH52</t>
        </is>
      </c>
      <c r="C13" t="inlineStr">
        <is>
          <t>PH22</t>
        </is>
      </c>
      <c r="D13" s="4">
        <f>SUMIF('By Board'!$D$3:$D$170,"=12",'By Board'!$L$3:$L$170)+SUMIF('By Board'!$E$3:$E$170,"=12",'By Board'!$M$3:$M$170)</f>
        <v/>
      </c>
    </row>
    <row r="14">
      <c r="A14" t="n">
        <v>13</v>
      </c>
      <c r="B14" t="inlineStr">
        <is>
          <t>PH39</t>
        </is>
      </c>
      <c r="C14" t="inlineStr">
        <is>
          <t>PH44</t>
        </is>
      </c>
      <c r="D14" s="4">
        <f>SUMIF('By Board'!$D$3:$D$170,"=13",'By Board'!$L$3:$L$170)+SUMIF('By Board'!$E$3:$E$170,"=13",'By Board'!$M$3:$M$170)</f>
        <v/>
      </c>
    </row>
    <row r="15">
      <c r="C15" s="5" t="inlineStr">
        <is>
          <t>Sum to Zero</t>
        </is>
      </c>
      <c r="D15" s="6">
        <f>SUM(D2:D14)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V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IFERROR(AVERAGE(P3:U3),"")</f>
        <v/>
      </c>
      <c r="M3" s="4">
        <f>IFERROR(AVERAGE(V3:AA3),"")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IF(AND(ISNUMBER(N3),ISNUMBER(N8)),VLOOKUP(ABS(N3-N8),'IMP Table'!$A$2:$C$26,3)*SIGN(N3-N8),"")</f>
        <v/>
      </c>
      <c r="U3">
        <f>IF(AND(ISNUMBER(N3),ISNUMBER(N9)),VLOOKUP(ABS(N3-N9),'IMP Table'!$A$2:$C$26,3)*SIGN(N3-N9),"")</f>
        <v/>
      </c>
      <c r="V3">
        <f>IF(AND(ISNUMBER(O3),ISNUMBER(O4)),VLOOKUP(ABS(O3-O4),'IMP Table'!$A$2:$C$26,3)*SIGN(O3-O4),"")</f>
        <v/>
      </c>
      <c r="W3">
        <f>IF(AND(ISNUMBER(O3),ISNUMBER(O5)),VLOOKUP(ABS(O3-O5),'IMP Table'!$A$2:$C$26,3)*SIGN(O3-O5),"")</f>
        <v/>
      </c>
      <c r="X3">
        <f>IF(AND(ISNUMBER(O3),ISNUMBER(O6)),VLOOKUP(ABS(O3-O6),'IMP Table'!$A$2:$C$26,3)*SIGN(O3-O6),"")</f>
        <v/>
      </c>
      <c r="Y3">
        <f>IF(AND(ISNUMBER(O3),ISNUMBER(O7)),VLOOKUP(ABS(O3-O7),'IMP Table'!$A$2:$C$26,3)*SIGN(O3-O7),"")</f>
        <v/>
      </c>
      <c r="Z3">
        <f>IF(AND(ISNUMBER(O3),ISNUMBER(O8)),VLOOKUP(ABS(O3-O8),'IMP Table'!$A$2:$C$26,3)*SIGN(O3-O8),"")</f>
        <v/>
      </c>
      <c r="AA3">
        <f>IF(AND(ISNUMBER(O3),ISNUMBER(O9)),VLOOKUP(ABS(O3-O9),'IMP Table'!$A$2:$C$26,3)*SIGN(O3-O9),"")</f>
        <v/>
      </c>
    </row>
    <row r="4">
      <c r="B4">
        <f>'By Round'!A30</f>
        <v/>
      </c>
      <c r="C4">
        <f>'By Round'!B42</f>
        <v/>
      </c>
      <c r="D4">
        <f>'By Round'!C42</f>
        <v/>
      </c>
      <c r="E4">
        <f>'By Round'!D42</f>
        <v/>
      </c>
      <c r="F4" s="10" t="inlineStr">
        <is>
          <t>None</t>
        </is>
      </c>
      <c r="G4">
        <f>'By Round'!G42</f>
        <v/>
      </c>
      <c r="H4">
        <f>'By Round'!H42</f>
        <v/>
      </c>
      <c r="I4">
        <f>'By Round'!I42</f>
        <v/>
      </c>
      <c r="J4">
        <f>'By Round'!J42</f>
        <v/>
      </c>
      <c r="K4">
        <f>'By Round'!K42</f>
        <v/>
      </c>
      <c r="L4" s="11">
        <f>IFERROR(AVERAGE(P4:U4),"")</f>
        <v/>
      </c>
      <c r="M4" s="4">
        <f>IFERROR(AVERAGE(V4:AA4),"")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IF(AND(ISNUMBER(N4),ISNUMBER(N8)),VLOOKUP(ABS(N4-N8),'IMP Table'!$A$2:$C$26,3)*SIGN(N4-N8),"")</f>
        <v/>
      </c>
      <c r="U4">
        <f>IF(AND(ISNUMBER(N4),ISNUMBER(N9)),VLOOKUP(ABS(N4-N9),'IMP Table'!$A$2:$C$26,3)*SIGN(N4-N9),"")</f>
        <v/>
      </c>
      <c r="V4">
        <f>IF(AND(ISNUMBER(O4),ISNUMBER(O3)),VLOOKUP(ABS(O4-O3),'IMP Table'!$A$2:$C$26,3)*SIGN(O4-O3),"")</f>
        <v/>
      </c>
      <c r="W4">
        <f>IF(AND(ISNUMBER(O4),ISNUMBER(O5)),VLOOKUP(ABS(O4-O5),'IMP Table'!$A$2:$C$26,3)*SIGN(O4-O5),"")</f>
        <v/>
      </c>
      <c r="X4">
        <f>IF(AND(ISNUMBER(O4),ISNUMBER(O6)),VLOOKUP(ABS(O4-O6),'IMP Table'!$A$2:$C$26,3)*SIGN(O4-O6),"")</f>
        <v/>
      </c>
      <c r="Y4">
        <f>IF(AND(ISNUMBER(O4),ISNUMBER(O7)),VLOOKUP(ABS(O4-O7),'IMP Table'!$A$2:$C$26,3)*SIGN(O4-O7),"")</f>
        <v/>
      </c>
      <c r="Z4">
        <f>IF(AND(ISNUMBER(O4),ISNUMBER(O8)),VLOOKUP(ABS(O4-O8),'IMP Table'!$A$2:$C$26,3)*SIGN(O4-O8),"")</f>
        <v/>
      </c>
      <c r="AA4">
        <f>IF(AND(ISNUMBER(O4),ISNUMBER(O9)),VLOOKUP(ABS(O4-O9),'IMP Table'!$A$2:$C$26,3)*SIGN(O4-O9),"")</f>
        <v/>
      </c>
    </row>
    <row r="5">
      <c r="B5">
        <f>'By Round'!A44</f>
        <v/>
      </c>
      <c r="C5">
        <f>'By Round'!B54</f>
        <v/>
      </c>
      <c r="D5">
        <f>'By Round'!C54</f>
        <v/>
      </c>
      <c r="E5">
        <f>'By Round'!D54</f>
        <v/>
      </c>
      <c r="F5" s="10" t="inlineStr">
        <is>
          <t>None</t>
        </is>
      </c>
      <c r="G5">
        <f>'By Round'!G54</f>
        <v/>
      </c>
      <c r="H5">
        <f>'By Round'!H54</f>
        <v/>
      </c>
      <c r="I5">
        <f>'By Round'!I54</f>
        <v/>
      </c>
      <c r="J5">
        <f>'By Round'!J54</f>
        <v/>
      </c>
      <c r="K5">
        <f>'By Round'!K54</f>
        <v/>
      </c>
      <c r="L5" s="11">
        <f>IFERROR(AVERAGE(P5:U5),"")</f>
        <v/>
      </c>
      <c r="M5" s="4">
        <f>IFERROR(AVERAGE(V5:AA5),"")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IF(AND(ISNUMBER(N5),ISNUMBER(N8)),VLOOKUP(ABS(N5-N8),'IMP Table'!$A$2:$C$26,3)*SIGN(N5-N8),"")</f>
        <v/>
      </c>
      <c r="U5">
        <f>IF(AND(ISNUMBER(N5),ISNUMBER(N9)),VLOOKUP(ABS(N5-N9),'IMP Table'!$A$2:$C$26,3)*SIGN(N5-N9),"")</f>
        <v/>
      </c>
      <c r="V5">
        <f>IF(AND(ISNUMBER(O5),ISNUMBER(O3)),VLOOKUP(ABS(O5-O3),'IMP Table'!$A$2:$C$26,3)*SIGN(O5-O3),"")</f>
        <v/>
      </c>
      <c r="W5">
        <f>IF(AND(ISNUMBER(O5),ISNUMBER(O4)),VLOOKUP(ABS(O5-O4),'IMP Table'!$A$2:$C$26,3)*SIGN(O5-O4),"")</f>
        <v/>
      </c>
      <c r="X5">
        <f>IF(AND(ISNUMBER(O5),ISNUMBER(O6)),VLOOKUP(ABS(O5-O6),'IMP Table'!$A$2:$C$26,3)*SIGN(O5-O6),"")</f>
        <v/>
      </c>
      <c r="Y5">
        <f>IF(AND(ISNUMBER(O5),ISNUMBER(O7)),VLOOKUP(ABS(O5-O7),'IMP Table'!$A$2:$C$26,3)*SIGN(O5-O7),"")</f>
        <v/>
      </c>
      <c r="Z5">
        <f>IF(AND(ISNUMBER(O5),ISNUMBER(O8)),VLOOKUP(ABS(O5-O8),'IMP Table'!$A$2:$C$26,3)*SIGN(O5-O8),"")</f>
        <v/>
      </c>
      <c r="AA5">
        <f>IF(AND(ISNUMBER(O5),ISNUMBER(O9)),VLOOKUP(ABS(O5-O9),'IMP Table'!$A$2:$C$26,3)*SIGN(O5-O9),"")</f>
        <v/>
      </c>
    </row>
    <row r="6">
      <c r="B6">
        <f>'By Round'!A58</f>
        <v/>
      </c>
      <c r="C6">
        <f>'By Round'!B66</f>
        <v/>
      </c>
      <c r="D6">
        <f>'By Round'!C66</f>
        <v/>
      </c>
      <c r="E6">
        <f>'By Round'!D66</f>
        <v/>
      </c>
      <c r="F6" s="10" t="inlineStr">
        <is>
          <t>None</t>
        </is>
      </c>
      <c r="G6">
        <f>'By Round'!G66</f>
        <v/>
      </c>
      <c r="H6">
        <f>'By Round'!H66</f>
        <v/>
      </c>
      <c r="I6">
        <f>'By Round'!I66</f>
        <v/>
      </c>
      <c r="J6">
        <f>'By Round'!J66</f>
        <v/>
      </c>
      <c r="K6">
        <f>'By Round'!K66</f>
        <v/>
      </c>
      <c r="L6" s="11">
        <f>IFERROR(AVERAGE(P6:U6),"")</f>
        <v/>
      </c>
      <c r="M6" s="4">
        <f>IFERROR(AVERAGE(V6:AA6),"")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IF(AND(ISNUMBER(N6),ISNUMBER(N8)),VLOOKUP(ABS(N6-N8),'IMP Table'!$A$2:$C$26,3)*SIGN(N6-N8),"")</f>
        <v/>
      </c>
      <c r="U6">
        <f>IF(AND(ISNUMBER(N6),ISNUMBER(N9)),VLOOKUP(ABS(N6-N9),'IMP Table'!$A$2:$C$26,3)*SIGN(N6-N9),"")</f>
        <v/>
      </c>
      <c r="V6">
        <f>IF(AND(ISNUMBER(O6),ISNUMBER(O3)),VLOOKUP(ABS(O6-O3),'IMP Table'!$A$2:$C$26,3)*SIGN(O6-O3),"")</f>
        <v/>
      </c>
      <c r="W6">
        <f>IF(AND(ISNUMBER(O6),ISNUMBER(O4)),VLOOKUP(ABS(O6-O4),'IMP Table'!$A$2:$C$26,3)*SIGN(O6-O4),"")</f>
        <v/>
      </c>
      <c r="X6">
        <f>IF(AND(ISNUMBER(O6),ISNUMBER(O5)),VLOOKUP(ABS(O6-O5),'IMP Table'!$A$2:$C$26,3)*SIGN(O6-O5),"")</f>
        <v/>
      </c>
      <c r="Y6">
        <f>IF(AND(ISNUMBER(O6),ISNUMBER(O7)),VLOOKUP(ABS(O6-O7),'IMP Table'!$A$2:$C$26,3)*SIGN(O6-O7),"")</f>
        <v/>
      </c>
      <c r="Z6">
        <f>IF(AND(ISNUMBER(O6),ISNUMBER(O8)),VLOOKUP(ABS(O6-O8),'IMP Table'!$A$2:$C$26,3)*SIGN(O6-O8),"")</f>
        <v/>
      </c>
      <c r="AA6">
        <f>IF(AND(ISNUMBER(O6),ISNUMBER(O9)),VLOOKUP(ABS(O6-O9),'IMP Table'!$A$2:$C$26,3)*SIGN(O6-O9),"")</f>
        <v/>
      </c>
    </row>
    <row r="7">
      <c r="B7">
        <f>'By Round'!A128</f>
        <v/>
      </c>
      <c r="C7">
        <f>'By Round'!B134</f>
        <v/>
      </c>
      <c r="D7">
        <f>'By Round'!C134</f>
        <v/>
      </c>
      <c r="E7">
        <f>'By Round'!D134</f>
        <v/>
      </c>
      <c r="F7" s="10" t="inlineStr">
        <is>
          <t>None</t>
        </is>
      </c>
      <c r="G7">
        <f>'By Round'!G134</f>
        <v/>
      </c>
      <c r="H7">
        <f>'By Round'!H134</f>
        <v/>
      </c>
      <c r="I7">
        <f>'By Round'!I134</f>
        <v/>
      </c>
      <c r="J7">
        <f>'By Round'!J134</f>
        <v/>
      </c>
      <c r="K7">
        <f>'By Round'!K134</f>
        <v/>
      </c>
      <c r="L7" s="11">
        <f>IFERROR(AVERAGE(P7:U7),"")</f>
        <v/>
      </c>
      <c r="M7" s="4">
        <f>IFERROR(AVERAGE(V7:AA7),"")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IF(AND(ISNUMBER(N7),ISNUMBER(N8)),VLOOKUP(ABS(N7-N8),'IMP Table'!$A$2:$C$26,3)*SIGN(N7-N8),"")</f>
        <v/>
      </c>
      <c r="U7">
        <f>IF(AND(ISNUMBER(N7),ISNUMBER(N9)),VLOOKUP(ABS(N7-N9),'IMP Table'!$A$2:$C$26,3)*SIGN(N7-N9),"")</f>
        <v/>
      </c>
      <c r="V7">
        <f>IF(AND(ISNUMBER(O7),ISNUMBER(O3)),VLOOKUP(ABS(O7-O3),'IMP Table'!$A$2:$C$26,3)*SIGN(O7-O3),"")</f>
        <v/>
      </c>
      <c r="W7">
        <f>IF(AND(ISNUMBER(O7),ISNUMBER(O4)),VLOOKUP(ABS(O7-O4),'IMP Table'!$A$2:$C$26,3)*SIGN(O7-O4),"")</f>
        <v/>
      </c>
      <c r="X7">
        <f>IF(AND(ISNUMBER(O7),ISNUMBER(O5)),VLOOKUP(ABS(O7-O5),'IMP Table'!$A$2:$C$26,3)*SIGN(O7-O5),"")</f>
        <v/>
      </c>
      <c r="Y7">
        <f>IF(AND(ISNUMBER(O7),ISNUMBER(O6)),VLOOKUP(ABS(O7-O6),'IMP Table'!$A$2:$C$26,3)*SIGN(O7-O6),"")</f>
        <v/>
      </c>
      <c r="Z7">
        <f>IF(AND(ISNUMBER(O7),ISNUMBER(O8)),VLOOKUP(ABS(O7-O8),'IMP Table'!$A$2:$C$26,3)*SIGN(O7-O8),"")</f>
        <v/>
      </c>
      <c r="AA7">
        <f>IF(AND(ISNUMBER(O7),ISNUMBER(O9)),VLOOKUP(ABS(O7-O9),'IMP Table'!$A$2:$C$26,3)*SIGN(O7-O9),"")</f>
        <v/>
      </c>
    </row>
    <row r="8">
      <c r="B8">
        <f>'By Round'!A142</f>
        <v/>
      </c>
      <c r="C8">
        <f>'By Round'!B146</f>
        <v/>
      </c>
      <c r="D8">
        <f>'By Round'!C146</f>
        <v/>
      </c>
      <c r="E8">
        <f>'By Round'!D146</f>
        <v/>
      </c>
      <c r="F8" s="10" t="inlineStr">
        <is>
          <t>None</t>
        </is>
      </c>
      <c r="G8">
        <f>'By Round'!G146</f>
        <v/>
      </c>
      <c r="H8">
        <f>'By Round'!H146</f>
        <v/>
      </c>
      <c r="I8">
        <f>'By Round'!I146</f>
        <v/>
      </c>
      <c r="J8">
        <f>'By Round'!J146</f>
        <v/>
      </c>
      <c r="K8">
        <f>'By Round'!K146</f>
        <v/>
      </c>
      <c r="L8" s="11">
        <f>IFERROR(AVERAGE(P8:U8),"")</f>
        <v/>
      </c>
      <c r="M8" s="4">
        <f>IFERROR(AVERAGE(V8:AA8),"")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IF(AND(ISNUMBER(N8),ISNUMBER(N3)),VLOOKUP(ABS(N8-N3),'IMP Table'!$A$2:$C$26,3)*SIGN(N8-N3),"")</f>
        <v/>
      </c>
      <c r="Q8">
        <f>IF(AND(ISNUMBER(N8),ISNUMBER(N4)),VLOOKUP(ABS(N8-N4),'IMP Table'!$A$2:$C$26,3)*SIGN(N8-N4),"")</f>
        <v/>
      </c>
      <c r="R8">
        <f>IF(AND(ISNUMBER(N8),ISNUMBER(N5)),VLOOKUP(ABS(N8-N5),'IMP Table'!$A$2:$C$26,3)*SIGN(N8-N5),"")</f>
        <v/>
      </c>
      <c r="S8">
        <f>IF(AND(ISNUMBER(N8),ISNUMBER(N6)),VLOOKUP(ABS(N8-N6),'IMP Table'!$A$2:$C$26,3)*SIGN(N8-N6),"")</f>
        <v/>
      </c>
      <c r="T8">
        <f>IF(AND(ISNUMBER(N8),ISNUMBER(N7)),VLOOKUP(ABS(N8-N7),'IMP Table'!$A$2:$C$26,3)*SIGN(N8-N7),"")</f>
        <v/>
      </c>
      <c r="U8">
        <f>IF(AND(ISNUMBER(N8),ISNUMBER(N9)),VLOOKUP(ABS(N8-N9),'IMP Table'!$A$2:$C$26,3)*SIGN(N8-N9),"")</f>
        <v/>
      </c>
      <c r="V8">
        <f>IF(AND(ISNUMBER(O8),ISNUMBER(O3)),VLOOKUP(ABS(O8-O3),'IMP Table'!$A$2:$C$26,3)*SIGN(O8-O3),"")</f>
        <v/>
      </c>
      <c r="W8">
        <f>IF(AND(ISNUMBER(O8),ISNUMBER(O4)),VLOOKUP(ABS(O8-O4),'IMP Table'!$A$2:$C$26,3)*SIGN(O8-O4),"")</f>
        <v/>
      </c>
      <c r="X8">
        <f>IF(AND(ISNUMBER(O8),ISNUMBER(O5)),VLOOKUP(ABS(O8-O5),'IMP Table'!$A$2:$C$26,3)*SIGN(O8-O5),"")</f>
        <v/>
      </c>
      <c r="Y8">
        <f>IF(AND(ISNUMBER(O8),ISNUMBER(O6)),VLOOKUP(ABS(O8-O6),'IMP Table'!$A$2:$C$26,3)*SIGN(O8-O6),"")</f>
        <v/>
      </c>
      <c r="Z8">
        <f>IF(AND(ISNUMBER(O8),ISNUMBER(O7)),VLOOKUP(ABS(O8-O7),'IMP Table'!$A$2:$C$26,3)*SIGN(O8-O7),"")</f>
        <v/>
      </c>
      <c r="AA8">
        <f>IF(AND(ISNUMBER(O8),ISNUMBER(O9)),VLOOKUP(ABS(O8-O9),'IMP Table'!$A$2:$C$26,3)*SIGN(O8-O9),"")</f>
        <v/>
      </c>
    </row>
    <row r="9">
      <c r="B9">
        <f>'By Round'!A156</f>
        <v/>
      </c>
      <c r="C9">
        <f>'By Round'!B158</f>
        <v/>
      </c>
      <c r="D9">
        <f>'By Round'!C158</f>
        <v/>
      </c>
      <c r="E9">
        <f>'By Round'!D158</f>
        <v/>
      </c>
      <c r="F9" s="10" t="inlineStr">
        <is>
          <t>None</t>
        </is>
      </c>
      <c r="G9">
        <f>'By Round'!G158</f>
        <v/>
      </c>
      <c r="H9">
        <f>'By Round'!H158</f>
        <v/>
      </c>
      <c r="I9">
        <f>'By Round'!I158</f>
        <v/>
      </c>
      <c r="J9">
        <f>'By Round'!J158</f>
        <v/>
      </c>
      <c r="K9">
        <f>'By Round'!K158</f>
        <v/>
      </c>
      <c r="L9" s="11">
        <f>IFERROR(AVERAGE(P9:U9),"")</f>
        <v/>
      </c>
      <c r="M9" s="4">
        <f>IFERROR(AVERAGE(V9:AA9),"")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IF(AND(ISNUMBER(N9),ISNUMBER(N3)),VLOOKUP(ABS(N9-N3),'IMP Table'!$A$2:$C$26,3)*SIGN(N9-N3),"")</f>
        <v/>
      </c>
      <c r="Q9">
        <f>IF(AND(ISNUMBER(N9),ISNUMBER(N4)),VLOOKUP(ABS(N9-N4),'IMP Table'!$A$2:$C$26,3)*SIGN(N9-N4),"")</f>
        <v/>
      </c>
      <c r="R9">
        <f>IF(AND(ISNUMBER(N9),ISNUMBER(N5)),VLOOKUP(ABS(N9-N5),'IMP Table'!$A$2:$C$26,3)*SIGN(N9-N5),"")</f>
        <v/>
      </c>
      <c r="S9">
        <f>IF(AND(ISNUMBER(N9),ISNUMBER(N6)),VLOOKUP(ABS(N9-N6),'IMP Table'!$A$2:$C$26,3)*SIGN(N9-N6),"")</f>
        <v/>
      </c>
      <c r="T9">
        <f>IF(AND(ISNUMBER(N9),ISNUMBER(N7)),VLOOKUP(ABS(N9-N7),'IMP Table'!$A$2:$C$26,3)*SIGN(N9-N7),"")</f>
        <v/>
      </c>
      <c r="U9">
        <f>IF(AND(ISNUMBER(N9),ISNUMBER(N8)),VLOOKUP(ABS(N9-N8),'IMP Table'!$A$2:$C$26,3)*SIGN(N9-N8),"")</f>
        <v/>
      </c>
      <c r="V9">
        <f>IF(AND(ISNUMBER(O9),ISNUMBER(O3)),VLOOKUP(ABS(O9-O3),'IMP Table'!$A$2:$C$26,3)*SIGN(O9-O3),"")</f>
        <v/>
      </c>
      <c r="W9">
        <f>IF(AND(ISNUMBER(O9),ISNUMBER(O4)),VLOOKUP(ABS(O9-O4),'IMP Table'!$A$2:$C$26,3)*SIGN(O9-O4),"")</f>
        <v/>
      </c>
      <c r="X9">
        <f>IF(AND(ISNUMBER(O9),ISNUMBER(O5)),VLOOKUP(ABS(O9-O5),'IMP Table'!$A$2:$C$26,3)*SIGN(O9-O5),"")</f>
        <v/>
      </c>
      <c r="Y9">
        <f>IF(AND(ISNUMBER(O9),ISNUMBER(O6)),VLOOKUP(ABS(O9-O6),'IMP Table'!$A$2:$C$26,3)*SIGN(O9-O6),"")</f>
        <v/>
      </c>
      <c r="Z9">
        <f>IF(AND(ISNUMBER(O9),ISNUMBER(O7)),VLOOKUP(ABS(O9-O7),'IMP Table'!$A$2:$C$26,3)*SIGN(O9-O7),"")</f>
        <v/>
      </c>
      <c r="AA9">
        <f>IF(AND(ISNUMBER(O9),ISNUMBER(O8)),VLOOKUP(ABS(O9-O8),'IMP Table'!$A$2:$C$26,3)*SIGN(O9-O8),"")</f>
        <v/>
      </c>
    </row>
    <row r="10">
      <c r="A10" t="n">
        <v>2</v>
      </c>
      <c r="B10">
        <f>'By Round'!A2</f>
        <v/>
      </c>
      <c r="C10">
        <f>'By Round'!B2</f>
        <v/>
      </c>
      <c r="D10">
        <f>'By Round'!C2</f>
        <v/>
      </c>
      <c r="E10">
        <f>'By Round'!D2</f>
        <v/>
      </c>
      <c r="F10" s="10" t="inlineStr">
        <is>
          <t>NS</t>
        </is>
      </c>
      <c r="G10">
        <f>'By Round'!G3</f>
        <v/>
      </c>
      <c r="H10">
        <f>'By Round'!H3</f>
        <v/>
      </c>
      <c r="I10">
        <f>'By Round'!I3</f>
        <v/>
      </c>
      <c r="J10">
        <f>'By Round'!J3</f>
        <v/>
      </c>
      <c r="K10">
        <f>'By Round'!K3</f>
        <v/>
      </c>
      <c r="L10" s="11">
        <f>IFERROR(AVERAGE(P10:U10),"")</f>
        <v/>
      </c>
      <c r="M10" s="4">
        <f>IFERROR(AVERAGE(V10:AA10),"")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IF(AND(ISNUMBER(N10),ISNUMBER(N11)),VLOOKUP(ABS(N10-N11),'IMP Table'!$A$2:$C$26,3)*SIGN(N10-N11),"")</f>
        <v/>
      </c>
      <c r="Q10">
        <f>IF(AND(ISNUMBER(N10),ISNUMBER(N12)),VLOOKUP(ABS(N10-N12),'IMP Table'!$A$2:$C$26,3)*SIGN(N10-N12),"")</f>
        <v/>
      </c>
      <c r="R10">
        <f>IF(AND(ISNUMBER(N10),ISNUMBER(N13)),VLOOKUP(ABS(N10-N13),'IMP Table'!$A$2:$C$26,3)*SIGN(N10-N13),"")</f>
        <v/>
      </c>
      <c r="S10">
        <f>IF(AND(ISNUMBER(N10),ISNUMBER(N14)),VLOOKUP(ABS(N10-N14),'IMP Table'!$A$2:$C$26,3)*SIGN(N10-N14),"")</f>
        <v/>
      </c>
      <c r="T10">
        <f>IF(AND(ISNUMBER(N10),ISNUMBER(N15)),VLOOKUP(ABS(N10-N15),'IMP Table'!$A$2:$C$26,3)*SIGN(N10-N15),"")</f>
        <v/>
      </c>
      <c r="U10">
        <f>IF(AND(ISNUMBER(N10),ISNUMBER(N16)),VLOOKUP(ABS(N10-N16),'IMP Table'!$A$2:$C$26,3)*SIGN(N10-N16),"")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  <c r="X10">
        <f>IF(AND(ISNUMBER(O10),ISNUMBER(O13)),VLOOKUP(ABS(O10-O13),'IMP Table'!$A$2:$C$26,3)*SIGN(O10-O13),"")</f>
        <v/>
      </c>
      <c r="Y10">
        <f>IF(AND(ISNUMBER(O10),ISNUMBER(O14)),VLOOKUP(ABS(O10-O14),'IMP Table'!$A$2:$C$26,3)*SIGN(O10-O14),"")</f>
        <v/>
      </c>
      <c r="Z10">
        <f>IF(AND(ISNUMBER(O10),ISNUMBER(O15)),VLOOKUP(ABS(O10-O15),'IMP Table'!$A$2:$C$26,3)*SIGN(O10-O15),"")</f>
        <v/>
      </c>
      <c r="AA10">
        <f>IF(AND(ISNUMBER(O10),ISNUMBER(O16)),VLOOKUP(ABS(O10-O16),'IMP Table'!$A$2:$C$26,3)*SIGN(O10-O16),"")</f>
        <v/>
      </c>
    </row>
    <row r="11">
      <c r="B11">
        <f>'By Round'!A30</f>
        <v/>
      </c>
      <c r="C11">
        <f>'By Round'!B42</f>
        <v/>
      </c>
      <c r="D11">
        <f>'By Round'!C42</f>
        <v/>
      </c>
      <c r="E11">
        <f>'By Round'!D42</f>
        <v/>
      </c>
      <c r="F11" s="10" t="inlineStr">
        <is>
          <t>NS</t>
        </is>
      </c>
      <c r="G11">
        <f>'By Round'!G43</f>
        <v/>
      </c>
      <c r="H11">
        <f>'By Round'!H43</f>
        <v/>
      </c>
      <c r="I11">
        <f>'By Round'!I43</f>
        <v/>
      </c>
      <c r="J11">
        <f>'By Round'!J43</f>
        <v/>
      </c>
      <c r="K11">
        <f>'By Round'!K43</f>
        <v/>
      </c>
      <c r="L11" s="11">
        <f>IFERROR(AVERAGE(P11:U11),"")</f>
        <v/>
      </c>
      <c r="M11" s="4">
        <f>IFERROR(AVERAGE(V11:AA11),"")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IF(AND(ISNUMBER(N11),ISNUMBER(N10)),VLOOKUP(ABS(N11-N10),'IMP Table'!$A$2:$C$26,3)*SIGN(N11-N10),"")</f>
        <v/>
      </c>
      <c r="Q11">
        <f>IF(AND(ISNUMBER(N11),ISNUMBER(N12)),VLOOKUP(ABS(N11-N12),'IMP Table'!$A$2:$C$26,3)*SIGN(N11-N12),"")</f>
        <v/>
      </c>
      <c r="R11">
        <f>IF(AND(ISNUMBER(N11),ISNUMBER(N13)),VLOOKUP(ABS(N11-N13),'IMP Table'!$A$2:$C$26,3)*SIGN(N11-N13),"")</f>
        <v/>
      </c>
      <c r="S11">
        <f>IF(AND(ISNUMBER(N11),ISNUMBER(N14)),VLOOKUP(ABS(N11-N14),'IMP Table'!$A$2:$C$26,3)*SIGN(N11-N14),"")</f>
        <v/>
      </c>
      <c r="T11">
        <f>IF(AND(ISNUMBER(N11),ISNUMBER(N15)),VLOOKUP(ABS(N11-N15),'IMP Table'!$A$2:$C$26,3)*SIGN(N11-N15),"")</f>
        <v/>
      </c>
      <c r="U11">
        <f>IF(AND(ISNUMBER(N11),ISNUMBER(N16)),VLOOKUP(ABS(N11-N16),'IMP Table'!$A$2:$C$26,3)*SIGN(N11-N16),"")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  <c r="X11">
        <f>IF(AND(ISNUMBER(O11),ISNUMBER(O13)),VLOOKUP(ABS(O11-O13),'IMP Table'!$A$2:$C$26,3)*SIGN(O11-O13),"")</f>
        <v/>
      </c>
      <c r="Y11">
        <f>IF(AND(ISNUMBER(O11),ISNUMBER(O14)),VLOOKUP(ABS(O11-O14),'IMP Table'!$A$2:$C$26,3)*SIGN(O11-O14),"")</f>
        <v/>
      </c>
      <c r="Z11">
        <f>IF(AND(ISNUMBER(O11),ISNUMBER(O15)),VLOOKUP(ABS(O11-O15),'IMP Table'!$A$2:$C$26,3)*SIGN(O11-O15),"")</f>
        <v/>
      </c>
      <c r="AA11">
        <f>IF(AND(ISNUMBER(O11),ISNUMBER(O16)),VLOOKUP(ABS(O11-O16),'IMP Table'!$A$2:$C$26,3)*SIGN(O11-O16),"")</f>
        <v/>
      </c>
    </row>
    <row r="12">
      <c r="B12">
        <f>'By Round'!A44</f>
        <v/>
      </c>
      <c r="C12">
        <f>'By Round'!B54</f>
        <v/>
      </c>
      <c r="D12">
        <f>'By Round'!C54</f>
        <v/>
      </c>
      <c r="E12">
        <f>'By Round'!D54</f>
        <v/>
      </c>
      <c r="F12" s="10" t="inlineStr">
        <is>
          <t>NS</t>
        </is>
      </c>
      <c r="G12">
        <f>'By Round'!G55</f>
        <v/>
      </c>
      <c r="H12">
        <f>'By Round'!H55</f>
        <v/>
      </c>
      <c r="I12">
        <f>'By Round'!I55</f>
        <v/>
      </c>
      <c r="J12">
        <f>'By Round'!J55</f>
        <v/>
      </c>
      <c r="K12">
        <f>'By Round'!K55</f>
        <v/>
      </c>
      <c r="L12" s="11">
        <f>IFERROR(AVERAGE(P12:U12),"")</f>
        <v/>
      </c>
      <c r="M12" s="4">
        <f>IFERROR(AVERAGE(V12:AA12),"")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IF(AND(ISNUMBER(N12),ISNUMBER(N10)),VLOOKUP(ABS(N12-N10),'IMP Table'!$A$2:$C$26,3)*SIGN(N12-N10),"")</f>
        <v/>
      </c>
      <c r="Q12">
        <f>IF(AND(ISNUMBER(N12),ISNUMBER(N11)),VLOOKUP(ABS(N12-N11),'IMP Table'!$A$2:$C$26,3)*SIGN(N12-N11),"")</f>
        <v/>
      </c>
      <c r="R12">
        <f>IF(AND(ISNUMBER(N12),ISNUMBER(N13)),VLOOKUP(ABS(N12-N13),'IMP Table'!$A$2:$C$26,3)*SIGN(N12-N13),"")</f>
        <v/>
      </c>
      <c r="S12">
        <f>IF(AND(ISNUMBER(N12),ISNUMBER(N14)),VLOOKUP(ABS(N12-N14),'IMP Table'!$A$2:$C$26,3)*SIGN(N12-N14),"")</f>
        <v/>
      </c>
      <c r="T12">
        <f>IF(AND(ISNUMBER(N12),ISNUMBER(N15)),VLOOKUP(ABS(N12-N15),'IMP Table'!$A$2:$C$26,3)*SIGN(N12-N15),"")</f>
        <v/>
      </c>
      <c r="U12">
        <f>IF(AND(ISNUMBER(N12),ISNUMBER(N16)),VLOOKUP(ABS(N12-N16),'IMP Table'!$A$2:$C$26,3)*SIGN(N12-N16),"")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  <c r="X12">
        <f>IF(AND(ISNUMBER(O12),ISNUMBER(O13)),VLOOKUP(ABS(O12-O13),'IMP Table'!$A$2:$C$26,3)*SIGN(O12-O13),"")</f>
        <v/>
      </c>
      <c r="Y12">
        <f>IF(AND(ISNUMBER(O12),ISNUMBER(O14)),VLOOKUP(ABS(O12-O14),'IMP Table'!$A$2:$C$26,3)*SIGN(O12-O14),"")</f>
        <v/>
      </c>
      <c r="Z12">
        <f>IF(AND(ISNUMBER(O12),ISNUMBER(O15)),VLOOKUP(ABS(O12-O15),'IMP Table'!$A$2:$C$26,3)*SIGN(O12-O15),"")</f>
        <v/>
      </c>
      <c r="AA12">
        <f>IF(AND(ISNUMBER(O12),ISNUMBER(O16)),VLOOKUP(ABS(O12-O16),'IMP Table'!$A$2:$C$26,3)*SIGN(O12-O16),"")</f>
        <v/>
      </c>
    </row>
    <row r="13">
      <c r="B13">
        <f>'By Round'!A58</f>
        <v/>
      </c>
      <c r="C13">
        <f>'By Round'!B66</f>
        <v/>
      </c>
      <c r="D13">
        <f>'By Round'!C66</f>
        <v/>
      </c>
      <c r="E13">
        <f>'By Round'!D66</f>
        <v/>
      </c>
      <c r="F13" s="10" t="inlineStr">
        <is>
          <t>NS</t>
        </is>
      </c>
      <c r="G13">
        <f>'By Round'!G67</f>
        <v/>
      </c>
      <c r="H13">
        <f>'By Round'!H67</f>
        <v/>
      </c>
      <c r="I13">
        <f>'By Round'!I67</f>
        <v/>
      </c>
      <c r="J13">
        <f>'By Round'!J67</f>
        <v/>
      </c>
      <c r="K13">
        <f>'By Round'!K67</f>
        <v/>
      </c>
      <c r="L13" s="11">
        <f>IFERROR(AVERAGE(P13:U13),"")</f>
        <v/>
      </c>
      <c r="M13" s="4">
        <f>IFERROR(AVERAGE(V13:AA13),"")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IF(AND(ISNUMBER(N13),ISNUMBER(N10)),VLOOKUP(ABS(N13-N10),'IMP Table'!$A$2:$C$26,3)*SIGN(N13-N10),"")</f>
        <v/>
      </c>
      <c r="Q13">
        <f>IF(AND(ISNUMBER(N13),ISNUMBER(N11)),VLOOKUP(ABS(N13-N11),'IMP Table'!$A$2:$C$26,3)*SIGN(N13-N11),"")</f>
        <v/>
      </c>
      <c r="R13">
        <f>IF(AND(ISNUMBER(N13),ISNUMBER(N12)),VLOOKUP(ABS(N13-N12),'IMP Table'!$A$2:$C$26,3)*SIGN(N13-N12),"")</f>
        <v/>
      </c>
      <c r="S13">
        <f>IF(AND(ISNUMBER(N13),ISNUMBER(N14)),VLOOKUP(ABS(N13-N14),'IMP Table'!$A$2:$C$26,3)*SIGN(N13-N14),"")</f>
        <v/>
      </c>
      <c r="T13">
        <f>IF(AND(ISNUMBER(N13),ISNUMBER(N15)),VLOOKUP(ABS(N13-N15),'IMP Table'!$A$2:$C$26,3)*SIGN(N13-N15),"")</f>
        <v/>
      </c>
      <c r="U13">
        <f>IF(AND(ISNUMBER(N13),ISNUMBER(N16)),VLOOKUP(ABS(N13-N16),'IMP Table'!$A$2:$C$26,3)*SIGN(N13-N16),"")</f>
        <v/>
      </c>
      <c r="V13">
        <f>IF(AND(ISNUMBER(O13),ISNUMBER(O10)),VLOOKUP(ABS(O13-O10),'IMP Table'!$A$2:$C$26,3)*SIGN(O13-O10),"")</f>
        <v/>
      </c>
      <c r="W13">
        <f>IF(AND(ISNUMBER(O13),ISNUMBER(O11)),VLOOKUP(ABS(O13-O11),'IMP Table'!$A$2:$C$26,3)*SIGN(O13-O11),"")</f>
        <v/>
      </c>
      <c r="X13">
        <f>IF(AND(ISNUMBER(O13),ISNUMBER(O12)),VLOOKUP(ABS(O13-O12),'IMP Table'!$A$2:$C$26,3)*SIGN(O13-O12),"")</f>
        <v/>
      </c>
      <c r="Y13">
        <f>IF(AND(ISNUMBER(O13),ISNUMBER(O14)),VLOOKUP(ABS(O13-O14),'IMP Table'!$A$2:$C$26,3)*SIGN(O13-O14),"")</f>
        <v/>
      </c>
      <c r="Z13">
        <f>IF(AND(ISNUMBER(O13),ISNUMBER(O15)),VLOOKUP(ABS(O13-O15),'IMP Table'!$A$2:$C$26,3)*SIGN(O13-O15),"")</f>
        <v/>
      </c>
      <c r="AA13">
        <f>IF(AND(ISNUMBER(O13),ISNUMBER(O16)),VLOOKUP(ABS(O13-O16),'IMP Table'!$A$2:$C$26,3)*SIGN(O13-O16),"")</f>
        <v/>
      </c>
    </row>
    <row r="14">
      <c r="B14">
        <f>'By Round'!A128</f>
        <v/>
      </c>
      <c r="C14">
        <f>'By Round'!B134</f>
        <v/>
      </c>
      <c r="D14">
        <f>'By Round'!C134</f>
        <v/>
      </c>
      <c r="E14">
        <f>'By Round'!D134</f>
        <v/>
      </c>
      <c r="F14" s="10" t="inlineStr">
        <is>
          <t>NS</t>
        </is>
      </c>
      <c r="G14">
        <f>'By Round'!G135</f>
        <v/>
      </c>
      <c r="H14">
        <f>'By Round'!H135</f>
        <v/>
      </c>
      <c r="I14">
        <f>'By Round'!I135</f>
        <v/>
      </c>
      <c r="J14">
        <f>'By Round'!J135</f>
        <v/>
      </c>
      <c r="K14">
        <f>'By Round'!K135</f>
        <v/>
      </c>
      <c r="L14" s="11">
        <f>IFERROR(AVERAGE(P14:U14),"")</f>
        <v/>
      </c>
      <c r="M14" s="4">
        <f>IFERROR(AVERAGE(V14:AA14),"")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IF(AND(ISNUMBER(N14),ISNUMBER(N10)),VLOOKUP(ABS(N14-N10),'IMP Table'!$A$2:$C$26,3)*SIGN(N14-N10),"")</f>
        <v/>
      </c>
      <c r="Q14">
        <f>IF(AND(ISNUMBER(N14),ISNUMBER(N11)),VLOOKUP(ABS(N14-N11),'IMP Table'!$A$2:$C$26,3)*SIGN(N14-N11),"")</f>
        <v/>
      </c>
      <c r="R14">
        <f>IF(AND(ISNUMBER(N14),ISNUMBER(N12)),VLOOKUP(ABS(N14-N12),'IMP Table'!$A$2:$C$26,3)*SIGN(N14-N12),"")</f>
        <v/>
      </c>
      <c r="S14">
        <f>IF(AND(ISNUMBER(N14),ISNUMBER(N13)),VLOOKUP(ABS(N14-N13),'IMP Table'!$A$2:$C$26,3)*SIGN(N14-N13),"")</f>
        <v/>
      </c>
      <c r="T14">
        <f>IF(AND(ISNUMBER(N14),ISNUMBER(N15)),VLOOKUP(ABS(N14-N15),'IMP Table'!$A$2:$C$26,3)*SIGN(N14-N15),"")</f>
        <v/>
      </c>
      <c r="U14">
        <f>IF(AND(ISNUMBER(N14),ISNUMBER(N16)),VLOOKUP(ABS(N14-N16),'IMP Table'!$A$2:$C$26,3)*SIGN(N14-N16),"")</f>
        <v/>
      </c>
      <c r="V14">
        <f>IF(AND(ISNUMBER(O14),ISNUMBER(O10)),VLOOKUP(ABS(O14-O10),'IMP Table'!$A$2:$C$26,3)*SIGN(O14-O10),"")</f>
        <v/>
      </c>
      <c r="W14">
        <f>IF(AND(ISNUMBER(O14),ISNUMBER(O11)),VLOOKUP(ABS(O14-O11),'IMP Table'!$A$2:$C$26,3)*SIGN(O14-O11),"")</f>
        <v/>
      </c>
      <c r="X14">
        <f>IF(AND(ISNUMBER(O14),ISNUMBER(O12)),VLOOKUP(ABS(O14-O12),'IMP Table'!$A$2:$C$26,3)*SIGN(O14-O12),"")</f>
        <v/>
      </c>
      <c r="Y14">
        <f>IF(AND(ISNUMBER(O14),ISNUMBER(O13)),VLOOKUP(ABS(O14-O13),'IMP Table'!$A$2:$C$26,3)*SIGN(O14-O13),"")</f>
        <v/>
      </c>
      <c r="Z14">
        <f>IF(AND(ISNUMBER(O14),ISNUMBER(O15)),VLOOKUP(ABS(O14-O15),'IMP Table'!$A$2:$C$26,3)*SIGN(O14-O15),"")</f>
        <v/>
      </c>
      <c r="AA14">
        <f>IF(AND(ISNUMBER(O14),ISNUMBER(O16)),VLOOKUP(ABS(O14-O16),'IMP Table'!$A$2:$C$26,3)*SIGN(O14-O16),"")</f>
        <v/>
      </c>
    </row>
    <row r="15">
      <c r="B15">
        <f>'By Round'!A142</f>
        <v/>
      </c>
      <c r="C15">
        <f>'By Round'!B146</f>
        <v/>
      </c>
      <c r="D15">
        <f>'By Round'!C146</f>
        <v/>
      </c>
      <c r="E15">
        <f>'By Round'!D146</f>
        <v/>
      </c>
      <c r="F15" s="10" t="inlineStr">
        <is>
          <t>NS</t>
        </is>
      </c>
      <c r="G15">
        <f>'By Round'!G147</f>
        <v/>
      </c>
      <c r="H15">
        <f>'By Round'!H147</f>
        <v/>
      </c>
      <c r="I15">
        <f>'By Round'!I147</f>
        <v/>
      </c>
      <c r="J15">
        <f>'By Round'!J147</f>
        <v/>
      </c>
      <c r="K15">
        <f>'By Round'!K147</f>
        <v/>
      </c>
      <c r="L15" s="11">
        <f>IFERROR(AVERAGE(P15:U15),"")</f>
        <v/>
      </c>
      <c r="M15" s="4">
        <f>IFERROR(AVERAGE(V15:AA15),"")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IF(AND(ISNUMBER(N15),ISNUMBER(N10)),VLOOKUP(ABS(N15-N10),'IMP Table'!$A$2:$C$26,3)*SIGN(N15-N10),"")</f>
        <v/>
      </c>
      <c r="Q15">
        <f>IF(AND(ISNUMBER(N15),ISNUMBER(N11)),VLOOKUP(ABS(N15-N11),'IMP Table'!$A$2:$C$26,3)*SIGN(N15-N11),"")</f>
        <v/>
      </c>
      <c r="R15">
        <f>IF(AND(ISNUMBER(N15),ISNUMBER(N12)),VLOOKUP(ABS(N15-N12),'IMP Table'!$A$2:$C$26,3)*SIGN(N15-N12),"")</f>
        <v/>
      </c>
      <c r="S15">
        <f>IF(AND(ISNUMBER(N15),ISNUMBER(N13)),VLOOKUP(ABS(N15-N13),'IMP Table'!$A$2:$C$26,3)*SIGN(N15-N13),"")</f>
        <v/>
      </c>
      <c r="T15">
        <f>IF(AND(ISNUMBER(N15),ISNUMBER(N14)),VLOOKUP(ABS(N15-N14),'IMP Table'!$A$2:$C$26,3)*SIGN(N15-N14),"")</f>
        <v/>
      </c>
      <c r="U15">
        <f>IF(AND(ISNUMBER(N15),ISNUMBER(N16)),VLOOKUP(ABS(N15-N16),'IMP Table'!$A$2:$C$26,3)*SIGN(N15-N16),"")</f>
        <v/>
      </c>
      <c r="V15">
        <f>IF(AND(ISNUMBER(O15),ISNUMBER(O10)),VLOOKUP(ABS(O15-O10),'IMP Table'!$A$2:$C$26,3)*SIGN(O15-O10),"")</f>
        <v/>
      </c>
      <c r="W15">
        <f>IF(AND(ISNUMBER(O15),ISNUMBER(O11)),VLOOKUP(ABS(O15-O11),'IMP Table'!$A$2:$C$26,3)*SIGN(O15-O11),"")</f>
        <v/>
      </c>
      <c r="X15">
        <f>IF(AND(ISNUMBER(O15),ISNUMBER(O12)),VLOOKUP(ABS(O15-O12),'IMP Table'!$A$2:$C$26,3)*SIGN(O15-O12),"")</f>
        <v/>
      </c>
      <c r="Y15">
        <f>IF(AND(ISNUMBER(O15),ISNUMBER(O13)),VLOOKUP(ABS(O15-O13),'IMP Table'!$A$2:$C$26,3)*SIGN(O15-O13),"")</f>
        <v/>
      </c>
      <c r="Z15">
        <f>IF(AND(ISNUMBER(O15),ISNUMBER(O14)),VLOOKUP(ABS(O15-O14),'IMP Table'!$A$2:$C$26,3)*SIGN(O15-O14),"")</f>
        <v/>
      </c>
      <c r="AA15">
        <f>IF(AND(ISNUMBER(O15),ISNUMBER(O16)),VLOOKUP(ABS(O15-O16),'IMP Table'!$A$2:$C$26,3)*SIGN(O15-O16),"")</f>
        <v/>
      </c>
    </row>
    <row r="16">
      <c r="B16">
        <f>'By Round'!A156</f>
        <v/>
      </c>
      <c r="C16">
        <f>'By Round'!B158</f>
        <v/>
      </c>
      <c r="D16">
        <f>'By Round'!C158</f>
        <v/>
      </c>
      <c r="E16">
        <f>'By Round'!D158</f>
        <v/>
      </c>
      <c r="F16" s="10" t="inlineStr">
        <is>
          <t>NS</t>
        </is>
      </c>
      <c r="G16">
        <f>'By Round'!G159</f>
        <v/>
      </c>
      <c r="H16">
        <f>'By Round'!H159</f>
        <v/>
      </c>
      <c r="I16">
        <f>'By Round'!I159</f>
        <v/>
      </c>
      <c r="J16">
        <f>'By Round'!J159</f>
        <v/>
      </c>
      <c r="K16">
        <f>'By Round'!K159</f>
        <v/>
      </c>
      <c r="L16" s="11">
        <f>IFERROR(AVERAGE(P16:U16),"")</f>
        <v/>
      </c>
      <c r="M16" s="4">
        <f>IFERROR(AVERAGE(V16:AA16),"")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IF(AND(ISNUMBER(N16),ISNUMBER(N10)),VLOOKUP(ABS(N16-N10),'IMP Table'!$A$2:$C$26,3)*SIGN(N16-N10),"")</f>
        <v/>
      </c>
      <c r="Q16">
        <f>IF(AND(ISNUMBER(N16),ISNUMBER(N11)),VLOOKUP(ABS(N16-N11),'IMP Table'!$A$2:$C$26,3)*SIGN(N16-N11),"")</f>
        <v/>
      </c>
      <c r="R16">
        <f>IF(AND(ISNUMBER(N16),ISNUMBER(N12)),VLOOKUP(ABS(N16-N12),'IMP Table'!$A$2:$C$26,3)*SIGN(N16-N12),"")</f>
        <v/>
      </c>
      <c r="S16">
        <f>IF(AND(ISNUMBER(N16),ISNUMBER(N13)),VLOOKUP(ABS(N16-N13),'IMP Table'!$A$2:$C$26,3)*SIGN(N16-N13),"")</f>
        <v/>
      </c>
      <c r="T16">
        <f>IF(AND(ISNUMBER(N16),ISNUMBER(N14)),VLOOKUP(ABS(N16-N14),'IMP Table'!$A$2:$C$26,3)*SIGN(N16-N14),"")</f>
        <v/>
      </c>
      <c r="U16">
        <f>IF(AND(ISNUMBER(N16),ISNUMBER(N15)),VLOOKUP(ABS(N16-N15),'IMP Table'!$A$2:$C$26,3)*SIGN(N16-N15),"")</f>
        <v/>
      </c>
      <c r="V16">
        <f>IF(AND(ISNUMBER(O16),ISNUMBER(O10)),VLOOKUP(ABS(O16-O10),'IMP Table'!$A$2:$C$26,3)*SIGN(O16-O10),"")</f>
        <v/>
      </c>
      <c r="W16">
        <f>IF(AND(ISNUMBER(O16),ISNUMBER(O11)),VLOOKUP(ABS(O16-O11),'IMP Table'!$A$2:$C$26,3)*SIGN(O16-O11),"")</f>
        <v/>
      </c>
      <c r="X16">
        <f>IF(AND(ISNUMBER(O16),ISNUMBER(O12)),VLOOKUP(ABS(O16-O12),'IMP Table'!$A$2:$C$26,3)*SIGN(O16-O12),"")</f>
        <v/>
      </c>
      <c r="Y16">
        <f>IF(AND(ISNUMBER(O16),ISNUMBER(O13)),VLOOKUP(ABS(O16-O13),'IMP Table'!$A$2:$C$26,3)*SIGN(O16-O13),"")</f>
        <v/>
      </c>
      <c r="Z16">
        <f>IF(AND(ISNUMBER(O16),ISNUMBER(O14)),VLOOKUP(ABS(O16-O14),'IMP Table'!$A$2:$C$26,3)*SIGN(O16-O14),"")</f>
        <v/>
      </c>
      <c r="AA16">
        <f>IF(AND(ISNUMBER(O16),ISNUMBER(O15)),VLOOKUP(ABS(O16-O15),'IMP Table'!$A$2:$C$26,3)*SIGN(O16-O15),"")</f>
        <v/>
      </c>
    </row>
    <row r="17">
      <c r="A17" t="n">
        <v>3</v>
      </c>
      <c r="B17">
        <f>'By Round'!A16</f>
        <v/>
      </c>
      <c r="C17">
        <f>'By Round'!B16</f>
        <v/>
      </c>
      <c r="D17">
        <f>'By Round'!C16</f>
        <v/>
      </c>
      <c r="E17">
        <f>'By Round'!D16</f>
        <v/>
      </c>
      <c r="F17" s="10" t="inlineStr">
        <is>
          <t>EW</t>
        </is>
      </c>
      <c r="G17">
        <f>'By Round'!G16</f>
        <v/>
      </c>
      <c r="H17">
        <f>'By Round'!H16</f>
        <v/>
      </c>
      <c r="I17">
        <f>'By Round'!I16</f>
        <v/>
      </c>
      <c r="J17">
        <f>'By Round'!J16</f>
        <v/>
      </c>
      <c r="K17">
        <f>'By Round'!K16</f>
        <v/>
      </c>
      <c r="L17" s="11">
        <f>IFERROR(AVERAGE(P17:U17),"")</f>
        <v/>
      </c>
      <c r="M17" s="4">
        <f>IFERROR(AVERAGE(V17:AA17),"")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IF(AND(ISNUMBER(N17),ISNUMBER(N18)),VLOOKUP(ABS(N17-N18),'IMP Table'!$A$2:$C$26,3)*SIGN(N17-N18),"")</f>
        <v/>
      </c>
      <c r="Q17">
        <f>IF(AND(ISNUMBER(N17),ISNUMBER(N19)),VLOOKUP(ABS(N17-N19),'IMP Table'!$A$2:$C$26,3)*SIGN(N17-N19),"")</f>
        <v/>
      </c>
      <c r="R17">
        <f>IF(AND(ISNUMBER(N17),ISNUMBER(N20)),VLOOKUP(ABS(N17-N20),'IMP Table'!$A$2:$C$26,3)*SIGN(N17-N20),"")</f>
        <v/>
      </c>
      <c r="S17">
        <f>IF(AND(ISNUMBER(N17),ISNUMBER(N21)),VLOOKUP(ABS(N17-N21),'IMP Table'!$A$2:$C$26,3)*SIGN(N17-N21),"")</f>
        <v/>
      </c>
      <c r="T17">
        <f>IF(AND(ISNUMBER(N17),ISNUMBER(N22)),VLOOKUP(ABS(N17-N22),'IMP Table'!$A$2:$C$26,3)*SIGN(N17-N22),"")</f>
        <v/>
      </c>
      <c r="U17">
        <f>IF(AND(ISNUMBER(N17),ISNUMBER(N23)),VLOOKUP(ABS(N17-N23),'IMP Table'!$A$2:$C$26,3)*SIGN(N17-N23),"")</f>
        <v/>
      </c>
      <c r="V17">
        <f>IF(AND(ISNUMBER(O17),ISNUMBER(O18)),VLOOKUP(ABS(O17-O18),'IMP Table'!$A$2:$C$26,3)*SIGN(O17-O18),"")</f>
        <v/>
      </c>
      <c r="W17">
        <f>IF(AND(ISNUMBER(O17),ISNUMBER(O19)),VLOOKUP(ABS(O17-O19),'IMP Table'!$A$2:$C$26,3)*SIGN(O17-O19),"")</f>
        <v/>
      </c>
      <c r="X17">
        <f>IF(AND(ISNUMBER(O17),ISNUMBER(O20)),VLOOKUP(ABS(O17-O20),'IMP Table'!$A$2:$C$26,3)*SIGN(O17-O20),"")</f>
        <v/>
      </c>
      <c r="Y17">
        <f>IF(AND(ISNUMBER(O17),ISNUMBER(O21)),VLOOKUP(ABS(O17-O21),'IMP Table'!$A$2:$C$26,3)*SIGN(O17-O21),"")</f>
        <v/>
      </c>
      <c r="Z17">
        <f>IF(AND(ISNUMBER(O17),ISNUMBER(O22)),VLOOKUP(ABS(O17-O22),'IMP Table'!$A$2:$C$26,3)*SIGN(O17-O22),"")</f>
        <v/>
      </c>
      <c r="AA17">
        <f>IF(AND(ISNUMBER(O17),ISNUMBER(O23)),VLOOKUP(ABS(O17-O23),'IMP Table'!$A$2:$C$26,3)*SIGN(O17-O23),"")</f>
        <v/>
      </c>
    </row>
    <row r="18">
      <c r="B18">
        <f>'By Round'!A44</f>
        <v/>
      </c>
      <c r="C18">
        <f>'By Round'!B56</f>
        <v/>
      </c>
      <c r="D18">
        <f>'By Round'!C56</f>
        <v/>
      </c>
      <c r="E18">
        <f>'By Round'!D56</f>
        <v/>
      </c>
      <c r="F18" s="10" t="inlineStr">
        <is>
          <t>EW</t>
        </is>
      </c>
      <c r="G18">
        <f>'By Round'!G56</f>
        <v/>
      </c>
      <c r="H18">
        <f>'By Round'!H56</f>
        <v/>
      </c>
      <c r="I18">
        <f>'By Round'!I56</f>
        <v/>
      </c>
      <c r="J18">
        <f>'By Round'!J56</f>
        <v/>
      </c>
      <c r="K18">
        <f>'By Round'!K56</f>
        <v/>
      </c>
      <c r="L18" s="11">
        <f>IFERROR(AVERAGE(P18:U18),"")</f>
        <v/>
      </c>
      <c r="M18" s="4">
        <f>IFERROR(AVERAGE(V18:AA18),"")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IF(AND(ISNUMBER(N18),ISNUMBER(N17)),VLOOKUP(ABS(N18-N17),'IMP Table'!$A$2:$C$26,3)*SIGN(N18-N17),"")</f>
        <v/>
      </c>
      <c r="Q18">
        <f>IF(AND(ISNUMBER(N18),ISNUMBER(N19)),VLOOKUP(ABS(N18-N19),'IMP Table'!$A$2:$C$26,3)*SIGN(N18-N19),"")</f>
        <v/>
      </c>
      <c r="R18">
        <f>IF(AND(ISNUMBER(N18),ISNUMBER(N20)),VLOOKUP(ABS(N18-N20),'IMP Table'!$A$2:$C$26,3)*SIGN(N18-N20),"")</f>
        <v/>
      </c>
      <c r="S18">
        <f>IF(AND(ISNUMBER(N18),ISNUMBER(N21)),VLOOKUP(ABS(N18-N21),'IMP Table'!$A$2:$C$26,3)*SIGN(N18-N21),"")</f>
        <v/>
      </c>
      <c r="T18">
        <f>IF(AND(ISNUMBER(N18),ISNUMBER(N22)),VLOOKUP(ABS(N18-N22),'IMP Table'!$A$2:$C$26,3)*SIGN(N18-N22),"")</f>
        <v/>
      </c>
      <c r="U18">
        <f>IF(AND(ISNUMBER(N18),ISNUMBER(N23)),VLOOKUP(ABS(N18-N23),'IMP Table'!$A$2:$C$26,3)*SIGN(N18-N23),"")</f>
        <v/>
      </c>
      <c r="V18">
        <f>IF(AND(ISNUMBER(O18),ISNUMBER(O17)),VLOOKUP(ABS(O18-O17),'IMP Table'!$A$2:$C$26,3)*SIGN(O18-O17),"")</f>
        <v/>
      </c>
      <c r="W18">
        <f>IF(AND(ISNUMBER(O18),ISNUMBER(O19)),VLOOKUP(ABS(O18-O19),'IMP Table'!$A$2:$C$26,3)*SIGN(O18-O19),"")</f>
        <v/>
      </c>
      <c r="X18">
        <f>IF(AND(ISNUMBER(O18),ISNUMBER(O20)),VLOOKUP(ABS(O18-O20),'IMP Table'!$A$2:$C$26,3)*SIGN(O18-O20),"")</f>
        <v/>
      </c>
      <c r="Y18">
        <f>IF(AND(ISNUMBER(O18),ISNUMBER(O21)),VLOOKUP(ABS(O18-O21),'IMP Table'!$A$2:$C$26,3)*SIGN(O18-O21),"")</f>
        <v/>
      </c>
      <c r="Z18">
        <f>IF(AND(ISNUMBER(O18),ISNUMBER(O22)),VLOOKUP(ABS(O18-O22),'IMP Table'!$A$2:$C$26,3)*SIGN(O18-O22),"")</f>
        <v/>
      </c>
      <c r="AA18">
        <f>IF(AND(ISNUMBER(O18),ISNUMBER(O23)),VLOOKUP(ABS(O18-O23),'IMP Table'!$A$2:$C$26,3)*SIGN(O18-O23),"")</f>
        <v/>
      </c>
    </row>
    <row r="19">
      <c r="B19">
        <f>'By Round'!A58</f>
        <v/>
      </c>
      <c r="C19">
        <f>'By Round'!B68</f>
        <v/>
      </c>
      <c r="D19">
        <f>'By Round'!C68</f>
        <v/>
      </c>
      <c r="E19">
        <f>'By Round'!D68</f>
        <v/>
      </c>
      <c r="F19" s="10" t="inlineStr">
        <is>
          <t>EW</t>
        </is>
      </c>
      <c r="G19">
        <f>'By Round'!G68</f>
        <v/>
      </c>
      <c r="H19">
        <f>'By Round'!H68</f>
        <v/>
      </c>
      <c r="I19">
        <f>'By Round'!I68</f>
        <v/>
      </c>
      <c r="J19">
        <f>'By Round'!J68</f>
        <v/>
      </c>
      <c r="K19">
        <f>'By Round'!K68</f>
        <v/>
      </c>
      <c r="L19" s="11">
        <f>IFERROR(AVERAGE(P19:U19),"")</f>
        <v/>
      </c>
      <c r="M19" s="4">
        <f>IFERROR(AVERAGE(V19:AA19),"")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IF(AND(ISNUMBER(N19),ISNUMBER(N17)),VLOOKUP(ABS(N19-N17),'IMP Table'!$A$2:$C$26,3)*SIGN(N19-N17),"")</f>
        <v/>
      </c>
      <c r="Q19">
        <f>IF(AND(ISNUMBER(N19),ISNUMBER(N18)),VLOOKUP(ABS(N19-N18),'IMP Table'!$A$2:$C$26,3)*SIGN(N19-N18),"")</f>
        <v/>
      </c>
      <c r="R19">
        <f>IF(AND(ISNUMBER(N19),ISNUMBER(N20)),VLOOKUP(ABS(N19-N20),'IMP Table'!$A$2:$C$26,3)*SIGN(N19-N20),"")</f>
        <v/>
      </c>
      <c r="S19">
        <f>IF(AND(ISNUMBER(N19),ISNUMBER(N21)),VLOOKUP(ABS(N19-N21),'IMP Table'!$A$2:$C$26,3)*SIGN(N19-N21),"")</f>
        <v/>
      </c>
      <c r="T19">
        <f>IF(AND(ISNUMBER(N19),ISNUMBER(N22)),VLOOKUP(ABS(N19-N22),'IMP Table'!$A$2:$C$26,3)*SIGN(N19-N22),"")</f>
        <v/>
      </c>
      <c r="U19">
        <f>IF(AND(ISNUMBER(N19),ISNUMBER(N23)),VLOOKUP(ABS(N19-N23),'IMP Table'!$A$2:$C$26,3)*SIGN(N19-N23),"")</f>
        <v/>
      </c>
      <c r="V19">
        <f>IF(AND(ISNUMBER(O19),ISNUMBER(O17)),VLOOKUP(ABS(O19-O17),'IMP Table'!$A$2:$C$26,3)*SIGN(O19-O17),"")</f>
        <v/>
      </c>
      <c r="W19">
        <f>IF(AND(ISNUMBER(O19),ISNUMBER(O18)),VLOOKUP(ABS(O19-O18),'IMP Table'!$A$2:$C$26,3)*SIGN(O19-O18),"")</f>
        <v/>
      </c>
      <c r="X19">
        <f>IF(AND(ISNUMBER(O19),ISNUMBER(O20)),VLOOKUP(ABS(O19-O20),'IMP Table'!$A$2:$C$26,3)*SIGN(O19-O20),"")</f>
        <v/>
      </c>
      <c r="Y19">
        <f>IF(AND(ISNUMBER(O19),ISNUMBER(O21)),VLOOKUP(ABS(O19-O21),'IMP Table'!$A$2:$C$26,3)*SIGN(O19-O21),"")</f>
        <v/>
      </c>
      <c r="Z19">
        <f>IF(AND(ISNUMBER(O19),ISNUMBER(O22)),VLOOKUP(ABS(O19-O22),'IMP Table'!$A$2:$C$26,3)*SIGN(O19-O22),"")</f>
        <v/>
      </c>
      <c r="AA19">
        <f>IF(AND(ISNUMBER(O19),ISNUMBER(O23)),VLOOKUP(ABS(O19-O23),'IMP Table'!$A$2:$C$26,3)*SIGN(O19-O23),"")</f>
        <v/>
      </c>
    </row>
    <row r="20">
      <c r="B20">
        <f>'By Round'!A72</f>
        <v/>
      </c>
      <c r="C20">
        <f>'By Round'!B80</f>
        <v/>
      </c>
      <c r="D20">
        <f>'By Round'!C80</f>
        <v/>
      </c>
      <c r="E20">
        <f>'By Round'!D80</f>
        <v/>
      </c>
      <c r="F20" s="10" t="inlineStr">
        <is>
          <t>EW</t>
        </is>
      </c>
      <c r="G20">
        <f>'By Round'!G80</f>
        <v/>
      </c>
      <c r="H20">
        <f>'By Round'!H80</f>
        <v/>
      </c>
      <c r="I20">
        <f>'By Round'!I80</f>
        <v/>
      </c>
      <c r="J20">
        <f>'By Round'!J80</f>
        <v/>
      </c>
      <c r="K20">
        <f>'By Round'!K80</f>
        <v/>
      </c>
      <c r="L20" s="11">
        <f>IFERROR(AVERAGE(P20:U20),"")</f>
        <v/>
      </c>
      <c r="M20" s="4">
        <f>IFERROR(AVERAGE(V20:AA20),"")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IF(AND(ISNUMBER(N20),ISNUMBER(N17)),VLOOKUP(ABS(N20-N17),'IMP Table'!$A$2:$C$26,3)*SIGN(N20-N17),"")</f>
        <v/>
      </c>
      <c r="Q20">
        <f>IF(AND(ISNUMBER(N20),ISNUMBER(N18)),VLOOKUP(ABS(N20-N18),'IMP Table'!$A$2:$C$26,3)*SIGN(N20-N18),"")</f>
        <v/>
      </c>
      <c r="R20">
        <f>IF(AND(ISNUMBER(N20),ISNUMBER(N19)),VLOOKUP(ABS(N20-N19),'IMP Table'!$A$2:$C$26,3)*SIGN(N20-N19),"")</f>
        <v/>
      </c>
      <c r="S20">
        <f>IF(AND(ISNUMBER(N20),ISNUMBER(N21)),VLOOKUP(ABS(N20-N21),'IMP Table'!$A$2:$C$26,3)*SIGN(N20-N21),"")</f>
        <v/>
      </c>
      <c r="T20">
        <f>IF(AND(ISNUMBER(N20),ISNUMBER(N22)),VLOOKUP(ABS(N20-N22),'IMP Table'!$A$2:$C$26,3)*SIGN(N20-N22),"")</f>
        <v/>
      </c>
      <c r="U20">
        <f>IF(AND(ISNUMBER(N20),ISNUMBER(N23)),VLOOKUP(ABS(N20-N23),'IMP Table'!$A$2:$C$26,3)*SIGN(N20-N23),"")</f>
        <v/>
      </c>
      <c r="V20">
        <f>IF(AND(ISNUMBER(O20),ISNUMBER(O17)),VLOOKUP(ABS(O20-O17),'IMP Table'!$A$2:$C$26,3)*SIGN(O20-O17),"")</f>
        <v/>
      </c>
      <c r="W20">
        <f>IF(AND(ISNUMBER(O20),ISNUMBER(O18)),VLOOKUP(ABS(O20-O18),'IMP Table'!$A$2:$C$26,3)*SIGN(O20-O18),"")</f>
        <v/>
      </c>
      <c r="X20">
        <f>IF(AND(ISNUMBER(O20),ISNUMBER(O19)),VLOOKUP(ABS(O20-O19),'IMP Table'!$A$2:$C$26,3)*SIGN(O20-O19),"")</f>
        <v/>
      </c>
      <c r="Y20">
        <f>IF(AND(ISNUMBER(O20),ISNUMBER(O21)),VLOOKUP(ABS(O20-O21),'IMP Table'!$A$2:$C$26,3)*SIGN(O20-O21),"")</f>
        <v/>
      </c>
      <c r="Z20">
        <f>IF(AND(ISNUMBER(O20),ISNUMBER(O22)),VLOOKUP(ABS(O20-O22),'IMP Table'!$A$2:$C$26,3)*SIGN(O20-O22),"")</f>
        <v/>
      </c>
      <c r="AA20">
        <f>IF(AND(ISNUMBER(O20),ISNUMBER(O23)),VLOOKUP(ABS(O20-O23),'IMP Table'!$A$2:$C$26,3)*SIGN(O20-O23),"")</f>
        <v/>
      </c>
    </row>
    <row r="21">
      <c r="B21">
        <f>'By Round'!A142</f>
        <v/>
      </c>
      <c r="C21">
        <f>'By Round'!B148</f>
        <v/>
      </c>
      <c r="D21">
        <f>'By Round'!C148</f>
        <v/>
      </c>
      <c r="E21">
        <f>'By Round'!D148</f>
        <v/>
      </c>
      <c r="F21" s="10" t="inlineStr">
        <is>
          <t>EW</t>
        </is>
      </c>
      <c r="G21">
        <f>'By Round'!G148</f>
        <v/>
      </c>
      <c r="H21">
        <f>'By Round'!H148</f>
        <v/>
      </c>
      <c r="I21">
        <f>'By Round'!I148</f>
        <v/>
      </c>
      <c r="J21">
        <f>'By Round'!J148</f>
        <v/>
      </c>
      <c r="K21">
        <f>'By Round'!K148</f>
        <v/>
      </c>
      <c r="L21" s="11">
        <f>IFERROR(AVERAGE(P21:U21),"")</f>
        <v/>
      </c>
      <c r="M21" s="4">
        <f>IFERROR(AVERAGE(V21:AA21),"")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IF(AND(ISNUMBER(N21),ISNUMBER(N17)),VLOOKUP(ABS(N21-N17),'IMP Table'!$A$2:$C$26,3)*SIGN(N21-N17),"")</f>
        <v/>
      </c>
      <c r="Q21">
        <f>IF(AND(ISNUMBER(N21),ISNUMBER(N18)),VLOOKUP(ABS(N21-N18),'IMP Table'!$A$2:$C$26,3)*SIGN(N21-N18),"")</f>
        <v/>
      </c>
      <c r="R21">
        <f>IF(AND(ISNUMBER(N21),ISNUMBER(N19)),VLOOKUP(ABS(N21-N19),'IMP Table'!$A$2:$C$26,3)*SIGN(N21-N19),"")</f>
        <v/>
      </c>
      <c r="S21">
        <f>IF(AND(ISNUMBER(N21),ISNUMBER(N20)),VLOOKUP(ABS(N21-N20),'IMP Table'!$A$2:$C$26,3)*SIGN(N21-N20),"")</f>
        <v/>
      </c>
      <c r="T21">
        <f>IF(AND(ISNUMBER(N21),ISNUMBER(N22)),VLOOKUP(ABS(N21-N22),'IMP Table'!$A$2:$C$26,3)*SIGN(N21-N22),"")</f>
        <v/>
      </c>
      <c r="U21">
        <f>IF(AND(ISNUMBER(N21),ISNUMBER(N23)),VLOOKUP(ABS(N21-N23),'IMP Table'!$A$2:$C$26,3)*SIGN(N21-N23),"")</f>
        <v/>
      </c>
      <c r="V21">
        <f>IF(AND(ISNUMBER(O21),ISNUMBER(O17)),VLOOKUP(ABS(O21-O17),'IMP Table'!$A$2:$C$26,3)*SIGN(O21-O17),"")</f>
        <v/>
      </c>
      <c r="W21">
        <f>IF(AND(ISNUMBER(O21),ISNUMBER(O18)),VLOOKUP(ABS(O21-O18),'IMP Table'!$A$2:$C$26,3)*SIGN(O21-O18),"")</f>
        <v/>
      </c>
      <c r="X21">
        <f>IF(AND(ISNUMBER(O21),ISNUMBER(O19)),VLOOKUP(ABS(O21-O19),'IMP Table'!$A$2:$C$26,3)*SIGN(O21-O19),"")</f>
        <v/>
      </c>
      <c r="Y21">
        <f>IF(AND(ISNUMBER(O21),ISNUMBER(O20)),VLOOKUP(ABS(O21-O20),'IMP Table'!$A$2:$C$26,3)*SIGN(O21-O20),"")</f>
        <v/>
      </c>
      <c r="Z21">
        <f>IF(AND(ISNUMBER(O21),ISNUMBER(O22)),VLOOKUP(ABS(O21-O22),'IMP Table'!$A$2:$C$26,3)*SIGN(O21-O22),"")</f>
        <v/>
      </c>
      <c r="AA21">
        <f>IF(AND(ISNUMBER(O21),ISNUMBER(O23)),VLOOKUP(ABS(O21-O23),'IMP Table'!$A$2:$C$26,3)*SIGN(O21-O23),"")</f>
        <v/>
      </c>
    </row>
    <row r="22">
      <c r="B22">
        <f>'By Round'!A156</f>
        <v/>
      </c>
      <c r="C22">
        <f>'By Round'!B160</f>
        <v/>
      </c>
      <c r="D22">
        <f>'By Round'!C160</f>
        <v/>
      </c>
      <c r="E22">
        <f>'By Round'!D160</f>
        <v/>
      </c>
      <c r="F22" s="10" t="inlineStr">
        <is>
          <t>EW</t>
        </is>
      </c>
      <c r="G22">
        <f>'By Round'!G160</f>
        <v/>
      </c>
      <c r="H22">
        <f>'By Round'!H160</f>
        <v/>
      </c>
      <c r="I22">
        <f>'By Round'!I160</f>
        <v/>
      </c>
      <c r="J22">
        <f>'By Round'!J160</f>
        <v/>
      </c>
      <c r="K22">
        <f>'By Round'!K160</f>
        <v/>
      </c>
      <c r="L22" s="11">
        <f>IFERROR(AVERAGE(P22:U22),"")</f>
        <v/>
      </c>
      <c r="M22" s="4">
        <f>IFERROR(AVERAGE(V22:AA22),"")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IF(AND(ISNUMBER(N22),ISNUMBER(N17)),VLOOKUP(ABS(N22-N17),'IMP Table'!$A$2:$C$26,3)*SIGN(N22-N17),"")</f>
        <v/>
      </c>
      <c r="Q22">
        <f>IF(AND(ISNUMBER(N22),ISNUMBER(N18)),VLOOKUP(ABS(N22-N18),'IMP Table'!$A$2:$C$26,3)*SIGN(N22-N18),"")</f>
        <v/>
      </c>
      <c r="R22">
        <f>IF(AND(ISNUMBER(N22),ISNUMBER(N19)),VLOOKUP(ABS(N22-N19),'IMP Table'!$A$2:$C$26,3)*SIGN(N22-N19),"")</f>
        <v/>
      </c>
      <c r="S22">
        <f>IF(AND(ISNUMBER(N22),ISNUMBER(N20)),VLOOKUP(ABS(N22-N20),'IMP Table'!$A$2:$C$26,3)*SIGN(N22-N20),"")</f>
        <v/>
      </c>
      <c r="T22">
        <f>IF(AND(ISNUMBER(N22),ISNUMBER(N21)),VLOOKUP(ABS(N22-N21),'IMP Table'!$A$2:$C$26,3)*SIGN(N22-N21),"")</f>
        <v/>
      </c>
      <c r="U22">
        <f>IF(AND(ISNUMBER(N22),ISNUMBER(N23)),VLOOKUP(ABS(N22-N23),'IMP Table'!$A$2:$C$26,3)*SIGN(N22-N23),"")</f>
        <v/>
      </c>
      <c r="V22">
        <f>IF(AND(ISNUMBER(O22),ISNUMBER(O17)),VLOOKUP(ABS(O22-O17),'IMP Table'!$A$2:$C$26,3)*SIGN(O22-O17),"")</f>
        <v/>
      </c>
      <c r="W22">
        <f>IF(AND(ISNUMBER(O22),ISNUMBER(O18)),VLOOKUP(ABS(O22-O18),'IMP Table'!$A$2:$C$26,3)*SIGN(O22-O18),"")</f>
        <v/>
      </c>
      <c r="X22">
        <f>IF(AND(ISNUMBER(O22),ISNUMBER(O19)),VLOOKUP(ABS(O22-O19),'IMP Table'!$A$2:$C$26,3)*SIGN(O22-O19),"")</f>
        <v/>
      </c>
      <c r="Y22">
        <f>IF(AND(ISNUMBER(O22),ISNUMBER(O20)),VLOOKUP(ABS(O22-O20),'IMP Table'!$A$2:$C$26,3)*SIGN(O22-O20),"")</f>
        <v/>
      </c>
      <c r="Z22">
        <f>IF(AND(ISNUMBER(O22),ISNUMBER(O21)),VLOOKUP(ABS(O22-O21),'IMP Table'!$A$2:$C$26,3)*SIGN(O22-O21),"")</f>
        <v/>
      </c>
      <c r="AA22">
        <f>IF(AND(ISNUMBER(O22),ISNUMBER(O23)),VLOOKUP(ABS(O22-O23),'IMP Table'!$A$2:$C$26,3)*SIGN(O22-O23),"")</f>
        <v/>
      </c>
    </row>
    <row r="23">
      <c r="B23">
        <f>'By Round'!A170</f>
        <v/>
      </c>
      <c r="C23">
        <f>'By Round'!B172</f>
        <v/>
      </c>
      <c r="D23">
        <f>'By Round'!C172</f>
        <v/>
      </c>
      <c r="E23">
        <f>'By Round'!D172</f>
        <v/>
      </c>
      <c r="F23" s="10" t="inlineStr">
        <is>
          <t>EW</t>
        </is>
      </c>
      <c r="G23">
        <f>'By Round'!G172</f>
        <v/>
      </c>
      <c r="H23">
        <f>'By Round'!H172</f>
        <v/>
      </c>
      <c r="I23">
        <f>'By Round'!I172</f>
        <v/>
      </c>
      <c r="J23">
        <f>'By Round'!J172</f>
        <v/>
      </c>
      <c r="K23">
        <f>'By Round'!K172</f>
        <v/>
      </c>
      <c r="L23" s="11">
        <f>IFERROR(AVERAGE(P23:U23),"")</f>
        <v/>
      </c>
      <c r="M23" s="4">
        <f>IFERROR(AVERAGE(V23:AA23),"")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IF(AND(ISNUMBER(N23),ISNUMBER(N17)),VLOOKUP(ABS(N23-N17),'IMP Table'!$A$2:$C$26,3)*SIGN(N23-N17),"")</f>
        <v/>
      </c>
      <c r="Q23">
        <f>IF(AND(ISNUMBER(N23),ISNUMBER(N18)),VLOOKUP(ABS(N23-N18),'IMP Table'!$A$2:$C$26,3)*SIGN(N23-N18),"")</f>
        <v/>
      </c>
      <c r="R23">
        <f>IF(AND(ISNUMBER(N23),ISNUMBER(N19)),VLOOKUP(ABS(N23-N19),'IMP Table'!$A$2:$C$26,3)*SIGN(N23-N19),"")</f>
        <v/>
      </c>
      <c r="S23">
        <f>IF(AND(ISNUMBER(N23),ISNUMBER(N20)),VLOOKUP(ABS(N23-N20),'IMP Table'!$A$2:$C$26,3)*SIGN(N23-N20),"")</f>
        <v/>
      </c>
      <c r="T23">
        <f>IF(AND(ISNUMBER(N23),ISNUMBER(N21)),VLOOKUP(ABS(N23-N21),'IMP Table'!$A$2:$C$26,3)*SIGN(N23-N21),"")</f>
        <v/>
      </c>
      <c r="U23">
        <f>IF(AND(ISNUMBER(N23),ISNUMBER(N22)),VLOOKUP(ABS(N23-N22),'IMP Table'!$A$2:$C$26,3)*SIGN(N23-N22),"")</f>
        <v/>
      </c>
      <c r="V23">
        <f>IF(AND(ISNUMBER(O23),ISNUMBER(O17)),VLOOKUP(ABS(O23-O17),'IMP Table'!$A$2:$C$26,3)*SIGN(O23-O17),"")</f>
        <v/>
      </c>
      <c r="W23">
        <f>IF(AND(ISNUMBER(O23),ISNUMBER(O18)),VLOOKUP(ABS(O23-O18),'IMP Table'!$A$2:$C$26,3)*SIGN(O23-O18),"")</f>
        <v/>
      </c>
      <c r="X23">
        <f>IF(AND(ISNUMBER(O23),ISNUMBER(O19)),VLOOKUP(ABS(O23-O19),'IMP Table'!$A$2:$C$26,3)*SIGN(O23-O19),"")</f>
        <v/>
      </c>
      <c r="Y23">
        <f>IF(AND(ISNUMBER(O23),ISNUMBER(O20)),VLOOKUP(ABS(O23-O20),'IMP Table'!$A$2:$C$26,3)*SIGN(O23-O20),"")</f>
        <v/>
      </c>
      <c r="Z23">
        <f>IF(AND(ISNUMBER(O23),ISNUMBER(O21)),VLOOKUP(ABS(O23-O21),'IMP Table'!$A$2:$C$26,3)*SIGN(O23-O21),"")</f>
        <v/>
      </c>
      <c r="AA23">
        <f>IF(AND(ISNUMBER(O23),ISNUMBER(O22)),VLOOKUP(ABS(O23-O22),'IMP Table'!$A$2:$C$26,3)*SIGN(O23-O22),"")</f>
        <v/>
      </c>
    </row>
    <row r="24">
      <c r="A24" t="n">
        <v>4</v>
      </c>
      <c r="B24">
        <f>'By Round'!A16</f>
        <v/>
      </c>
      <c r="C24">
        <f>'By Round'!B16</f>
        <v/>
      </c>
      <c r="D24">
        <f>'By Round'!C16</f>
        <v/>
      </c>
      <c r="E24">
        <f>'By Round'!D16</f>
        <v/>
      </c>
      <c r="F24" s="10" t="inlineStr">
        <is>
          <t>Both</t>
        </is>
      </c>
      <c r="G24">
        <f>'By Round'!G17</f>
        <v/>
      </c>
      <c r="H24">
        <f>'By Round'!H17</f>
        <v/>
      </c>
      <c r="I24">
        <f>'By Round'!I17</f>
        <v/>
      </c>
      <c r="J24">
        <f>'By Round'!J17</f>
        <v/>
      </c>
      <c r="K24">
        <f>'By Round'!K17</f>
        <v/>
      </c>
      <c r="L24" s="11">
        <f>IFERROR(AVERAGE(P24:U24),"")</f>
        <v/>
      </c>
      <c r="M24" s="4">
        <f>IFERROR(AVERAGE(V24:AA24),"")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IF(AND(ISNUMBER(N24),ISNUMBER(N25)),VLOOKUP(ABS(N24-N25),'IMP Table'!$A$2:$C$26,3)*SIGN(N24-N25),"")</f>
        <v/>
      </c>
      <c r="Q24">
        <f>IF(AND(ISNUMBER(N24),ISNUMBER(N26)),VLOOKUP(ABS(N24-N26),'IMP Table'!$A$2:$C$26,3)*SIGN(N24-N26),"")</f>
        <v/>
      </c>
      <c r="R24">
        <f>IF(AND(ISNUMBER(N24),ISNUMBER(N27)),VLOOKUP(ABS(N24-N27),'IMP Table'!$A$2:$C$26,3)*SIGN(N24-N27),"")</f>
        <v/>
      </c>
      <c r="S24">
        <f>IF(AND(ISNUMBER(N24),ISNUMBER(N28)),VLOOKUP(ABS(N24-N28),'IMP Table'!$A$2:$C$26,3)*SIGN(N24-N28),"")</f>
        <v/>
      </c>
      <c r="T24">
        <f>IF(AND(ISNUMBER(N24),ISNUMBER(N29)),VLOOKUP(ABS(N24-N29),'IMP Table'!$A$2:$C$26,3)*SIGN(N24-N29),"")</f>
        <v/>
      </c>
      <c r="U24">
        <f>IF(AND(ISNUMBER(N24),ISNUMBER(N30)),VLOOKUP(ABS(N24-N30),'IMP Table'!$A$2:$C$26,3)*SIGN(N24-N30),"")</f>
        <v/>
      </c>
      <c r="V24">
        <f>IF(AND(ISNUMBER(O24),ISNUMBER(O25)),VLOOKUP(ABS(O24-O25),'IMP Table'!$A$2:$C$26,3)*SIGN(O24-O25),"")</f>
        <v/>
      </c>
      <c r="W24">
        <f>IF(AND(ISNUMBER(O24),ISNUMBER(O26)),VLOOKUP(ABS(O24-O26),'IMP Table'!$A$2:$C$26,3)*SIGN(O24-O26),"")</f>
        <v/>
      </c>
      <c r="X24">
        <f>IF(AND(ISNUMBER(O24),ISNUMBER(O27)),VLOOKUP(ABS(O24-O27),'IMP Table'!$A$2:$C$26,3)*SIGN(O24-O27),"")</f>
        <v/>
      </c>
      <c r="Y24">
        <f>IF(AND(ISNUMBER(O24),ISNUMBER(O28)),VLOOKUP(ABS(O24-O28),'IMP Table'!$A$2:$C$26,3)*SIGN(O24-O28),"")</f>
        <v/>
      </c>
      <c r="Z24">
        <f>IF(AND(ISNUMBER(O24),ISNUMBER(O29)),VLOOKUP(ABS(O24-O29),'IMP Table'!$A$2:$C$26,3)*SIGN(O24-O29),"")</f>
        <v/>
      </c>
      <c r="AA24">
        <f>IF(AND(ISNUMBER(O24),ISNUMBER(O30)),VLOOKUP(ABS(O24-O30),'IMP Table'!$A$2:$C$26,3)*SIGN(O24-O30),"")</f>
        <v/>
      </c>
    </row>
    <row r="25">
      <c r="B25">
        <f>'By Round'!A44</f>
        <v/>
      </c>
      <c r="C25">
        <f>'By Round'!B56</f>
        <v/>
      </c>
      <c r="D25">
        <f>'By Round'!C56</f>
        <v/>
      </c>
      <c r="E25">
        <f>'By Round'!D56</f>
        <v/>
      </c>
      <c r="F25" s="10" t="inlineStr">
        <is>
          <t>Both</t>
        </is>
      </c>
      <c r="G25">
        <f>'By Round'!G57</f>
        <v/>
      </c>
      <c r="H25">
        <f>'By Round'!H57</f>
        <v/>
      </c>
      <c r="I25">
        <f>'By Round'!I57</f>
        <v/>
      </c>
      <c r="J25">
        <f>'By Round'!J57</f>
        <v/>
      </c>
      <c r="K25">
        <f>'By Round'!K57</f>
        <v/>
      </c>
      <c r="L25" s="11">
        <f>IFERROR(AVERAGE(P25:U25),"")</f>
        <v/>
      </c>
      <c r="M25" s="4">
        <f>IFERROR(AVERAGE(V25:AA25),"")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IF(AND(ISNUMBER(N25),ISNUMBER(N24)),VLOOKUP(ABS(N25-N24),'IMP Table'!$A$2:$C$26,3)*SIGN(N25-N24),"")</f>
        <v/>
      </c>
      <c r="Q25">
        <f>IF(AND(ISNUMBER(N25),ISNUMBER(N26)),VLOOKUP(ABS(N25-N26),'IMP Table'!$A$2:$C$26,3)*SIGN(N25-N26),"")</f>
        <v/>
      </c>
      <c r="R25">
        <f>IF(AND(ISNUMBER(N25),ISNUMBER(N27)),VLOOKUP(ABS(N25-N27),'IMP Table'!$A$2:$C$26,3)*SIGN(N25-N27),"")</f>
        <v/>
      </c>
      <c r="S25">
        <f>IF(AND(ISNUMBER(N25),ISNUMBER(N28)),VLOOKUP(ABS(N25-N28),'IMP Table'!$A$2:$C$26,3)*SIGN(N25-N28),"")</f>
        <v/>
      </c>
      <c r="T25">
        <f>IF(AND(ISNUMBER(N25),ISNUMBER(N29)),VLOOKUP(ABS(N25-N29),'IMP Table'!$A$2:$C$26,3)*SIGN(N25-N29),"")</f>
        <v/>
      </c>
      <c r="U25">
        <f>IF(AND(ISNUMBER(N25),ISNUMBER(N30)),VLOOKUP(ABS(N25-N30),'IMP Table'!$A$2:$C$26,3)*SIGN(N25-N30),"")</f>
        <v/>
      </c>
      <c r="V25">
        <f>IF(AND(ISNUMBER(O25),ISNUMBER(O24)),VLOOKUP(ABS(O25-O24),'IMP Table'!$A$2:$C$26,3)*SIGN(O25-O24),"")</f>
        <v/>
      </c>
      <c r="W25">
        <f>IF(AND(ISNUMBER(O25),ISNUMBER(O26)),VLOOKUP(ABS(O25-O26),'IMP Table'!$A$2:$C$26,3)*SIGN(O25-O26),"")</f>
        <v/>
      </c>
      <c r="X25">
        <f>IF(AND(ISNUMBER(O25),ISNUMBER(O27)),VLOOKUP(ABS(O25-O27),'IMP Table'!$A$2:$C$26,3)*SIGN(O25-O27),"")</f>
        <v/>
      </c>
      <c r="Y25">
        <f>IF(AND(ISNUMBER(O25),ISNUMBER(O28)),VLOOKUP(ABS(O25-O28),'IMP Table'!$A$2:$C$26,3)*SIGN(O25-O28),"")</f>
        <v/>
      </c>
      <c r="Z25">
        <f>IF(AND(ISNUMBER(O25),ISNUMBER(O29)),VLOOKUP(ABS(O25-O29),'IMP Table'!$A$2:$C$26,3)*SIGN(O25-O29),"")</f>
        <v/>
      </c>
      <c r="AA25">
        <f>IF(AND(ISNUMBER(O25),ISNUMBER(O30)),VLOOKUP(ABS(O25-O30),'IMP Table'!$A$2:$C$26,3)*SIGN(O25-O30),"")</f>
        <v/>
      </c>
    </row>
    <row r="26">
      <c r="B26">
        <f>'By Round'!A58</f>
        <v/>
      </c>
      <c r="C26">
        <f>'By Round'!B68</f>
        <v/>
      </c>
      <c r="D26">
        <f>'By Round'!C68</f>
        <v/>
      </c>
      <c r="E26">
        <f>'By Round'!D68</f>
        <v/>
      </c>
      <c r="F26" s="10" t="inlineStr">
        <is>
          <t>Both</t>
        </is>
      </c>
      <c r="G26">
        <f>'By Round'!G69</f>
        <v/>
      </c>
      <c r="H26">
        <f>'By Round'!H69</f>
        <v/>
      </c>
      <c r="I26">
        <f>'By Round'!I69</f>
        <v/>
      </c>
      <c r="J26">
        <f>'By Round'!J69</f>
        <v/>
      </c>
      <c r="K26">
        <f>'By Round'!K69</f>
        <v/>
      </c>
      <c r="L26" s="11">
        <f>IFERROR(AVERAGE(P26:U26),"")</f>
        <v/>
      </c>
      <c r="M26" s="4">
        <f>IFERROR(AVERAGE(V26:AA26),"")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IF(AND(ISNUMBER(N26),ISNUMBER(N24)),VLOOKUP(ABS(N26-N24),'IMP Table'!$A$2:$C$26,3)*SIGN(N26-N24),"")</f>
        <v/>
      </c>
      <c r="Q26">
        <f>IF(AND(ISNUMBER(N26),ISNUMBER(N25)),VLOOKUP(ABS(N26-N25),'IMP Table'!$A$2:$C$26,3)*SIGN(N26-N25),"")</f>
        <v/>
      </c>
      <c r="R26">
        <f>IF(AND(ISNUMBER(N26),ISNUMBER(N27)),VLOOKUP(ABS(N26-N27),'IMP Table'!$A$2:$C$26,3)*SIGN(N26-N27),"")</f>
        <v/>
      </c>
      <c r="S26">
        <f>IF(AND(ISNUMBER(N26),ISNUMBER(N28)),VLOOKUP(ABS(N26-N28),'IMP Table'!$A$2:$C$26,3)*SIGN(N26-N28),"")</f>
        <v/>
      </c>
      <c r="T26">
        <f>IF(AND(ISNUMBER(N26),ISNUMBER(N29)),VLOOKUP(ABS(N26-N29),'IMP Table'!$A$2:$C$26,3)*SIGN(N26-N29),"")</f>
        <v/>
      </c>
      <c r="U26">
        <f>IF(AND(ISNUMBER(N26),ISNUMBER(N30)),VLOOKUP(ABS(N26-N30),'IMP Table'!$A$2:$C$26,3)*SIGN(N26-N30),"")</f>
        <v/>
      </c>
      <c r="V26">
        <f>IF(AND(ISNUMBER(O26),ISNUMBER(O24)),VLOOKUP(ABS(O26-O24),'IMP Table'!$A$2:$C$26,3)*SIGN(O26-O24),"")</f>
        <v/>
      </c>
      <c r="W26">
        <f>IF(AND(ISNUMBER(O26),ISNUMBER(O25)),VLOOKUP(ABS(O26-O25),'IMP Table'!$A$2:$C$26,3)*SIGN(O26-O25),"")</f>
        <v/>
      </c>
      <c r="X26">
        <f>IF(AND(ISNUMBER(O26),ISNUMBER(O27)),VLOOKUP(ABS(O26-O27),'IMP Table'!$A$2:$C$26,3)*SIGN(O26-O27),"")</f>
        <v/>
      </c>
      <c r="Y26">
        <f>IF(AND(ISNUMBER(O26),ISNUMBER(O28)),VLOOKUP(ABS(O26-O28),'IMP Table'!$A$2:$C$26,3)*SIGN(O26-O28),"")</f>
        <v/>
      </c>
      <c r="Z26">
        <f>IF(AND(ISNUMBER(O26),ISNUMBER(O29)),VLOOKUP(ABS(O26-O29),'IMP Table'!$A$2:$C$26,3)*SIGN(O26-O29),"")</f>
        <v/>
      </c>
      <c r="AA26">
        <f>IF(AND(ISNUMBER(O26),ISNUMBER(O30)),VLOOKUP(ABS(O26-O30),'IMP Table'!$A$2:$C$26,3)*SIGN(O26-O30),"")</f>
        <v/>
      </c>
    </row>
    <row r="27">
      <c r="B27">
        <f>'By Round'!A72</f>
        <v/>
      </c>
      <c r="C27">
        <f>'By Round'!B80</f>
        <v/>
      </c>
      <c r="D27">
        <f>'By Round'!C80</f>
        <v/>
      </c>
      <c r="E27">
        <f>'By Round'!D80</f>
        <v/>
      </c>
      <c r="F27" s="10" t="inlineStr">
        <is>
          <t>Both</t>
        </is>
      </c>
      <c r="G27">
        <f>'By Round'!G81</f>
        <v/>
      </c>
      <c r="H27">
        <f>'By Round'!H81</f>
        <v/>
      </c>
      <c r="I27">
        <f>'By Round'!I81</f>
        <v/>
      </c>
      <c r="J27">
        <f>'By Round'!J81</f>
        <v/>
      </c>
      <c r="K27">
        <f>'By Round'!K81</f>
        <v/>
      </c>
      <c r="L27" s="11">
        <f>IFERROR(AVERAGE(P27:U27),"")</f>
        <v/>
      </c>
      <c r="M27" s="4">
        <f>IFERROR(AVERAGE(V27:AA27),"")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IF(AND(ISNUMBER(N27),ISNUMBER(N24)),VLOOKUP(ABS(N27-N24),'IMP Table'!$A$2:$C$26,3)*SIGN(N27-N24),"")</f>
        <v/>
      </c>
      <c r="Q27">
        <f>IF(AND(ISNUMBER(N27),ISNUMBER(N25)),VLOOKUP(ABS(N27-N25),'IMP Table'!$A$2:$C$26,3)*SIGN(N27-N25),"")</f>
        <v/>
      </c>
      <c r="R27">
        <f>IF(AND(ISNUMBER(N27),ISNUMBER(N26)),VLOOKUP(ABS(N27-N26),'IMP Table'!$A$2:$C$26,3)*SIGN(N27-N26),"")</f>
        <v/>
      </c>
      <c r="S27">
        <f>IF(AND(ISNUMBER(N27),ISNUMBER(N28)),VLOOKUP(ABS(N27-N28),'IMP Table'!$A$2:$C$26,3)*SIGN(N27-N28),"")</f>
        <v/>
      </c>
      <c r="T27">
        <f>IF(AND(ISNUMBER(N27),ISNUMBER(N29)),VLOOKUP(ABS(N27-N29),'IMP Table'!$A$2:$C$26,3)*SIGN(N27-N29),"")</f>
        <v/>
      </c>
      <c r="U27">
        <f>IF(AND(ISNUMBER(N27),ISNUMBER(N30)),VLOOKUP(ABS(N27-N30),'IMP Table'!$A$2:$C$26,3)*SIGN(N27-N30),"")</f>
        <v/>
      </c>
      <c r="V27">
        <f>IF(AND(ISNUMBER(O27),ISNUMBER(O24)),VLOOKUP(ABS(O27-O24),'IMP Table'!$A$2:$C$26,3)*SIGN(O27-O24),"")</f>
        <v/>
      </c>
      <c r="W27">
        <f>IF(AND(ISNUMBER(O27),ISNUMBER(O25)),VLOOKUP(ABS(O27-O25),'IMP Table'!$A$2:$C$26,3)*SIGN(O27-O25),"")</f>
        <v/>
      </c>
      <c r="X27">
        <f>IF(AND(ISNUMBER(O27),ISNUMBER(O26)),VLOOKUP(ABS(O27-O26),'IMP Table'!$A$2:$C$26,3)*SIGN(O27-O26),"")</f>
        <v/>
      </c>
      <c r="Y27">
        <f>IF(AND(ISNUMBER(O27),ISNUMBER(O28)),VLOOKUP(ABS(O27-O28),'IMP Table'!$A$2:$C$26,3)*SIGN(O27-O28),"")</f>
        <v/>
      </c>
      <c r="Z27">
        <f>IF(AND(ISNUMBER(O27),ISNUMBER(O29)),VLOOKUP(ABS(O27-O29),'IMP Table'!$A$2:$C$26,3)*SIGN(O27-O29),"")</f>
        <v/>
      </c>
      <c r="AA27">
        <f>IF(AND(ISNUMBER(O27),ISNUMBER(O30)),VLOOKUP(ABS(O27-O30),'IMP Table'!$A$2:$C$26,3)*SIGN(O27-O30),"")</f>
        <v/>
      </c>
    </row>
    <row r="28">
      <c r="B28">
        <f>'By Round'!A142</f>
        <v/>
      </c>
      <c r="C28">
        <f>'By Round'!B148</f>
        <v/>
      </c>
      <c r="D28">
        <f>'By Round'!C148</f>
        <v/>
      </c>
      <c r="E28">
        <f>'By Round'!D148</f>
        <v/>
      </c>
      <c r="F28" s="10" t="inlineStr">
        <is>
          <t>Both</t>
        </is>
      </c>
      <c r="G28">
        <f>'By Round'!G149</f>
        <v/>
      </c>
      <c r="H28">
        <f>'By Round'!H149</f>
        <v/>
      </c>
      <c r="I28">
        <f>'By Round'!I149</f>
        <v/>
      </c>
      <c r="J28">
        <f>'By Round'!J149</f>
        <v/>
      </c>
      <c r="K28">
        <f>'By Round'!K149</f>
        <v/>
      </c>
      <c r="L28" s="11">
        <f>IFERROR(AVERAGE(P28:U28),"")</f>
        <v/>
      </c>
      <c r="M28" s="4">
        <f>IFERROR(AVERAGE(V28:AA28),"")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IF(AND(ISNUMBER(N28),ISNUMBER(N24)),VLOOKUP(ABS(N28-N24),'IMP Table'!$A$2:$C$26,3)*SIGN(N28-N24),"")</f>
        <v/>
      </c>
      <c r="Q28">
        <f>IF(AND(ISNUMBER(N28),ISNUMBER(N25)),VLOOKUP(ABS(N28-N25),'IMP Table'!$A$2:$C$26,3)*SIGN(N28-N25),"")</f>
        <v/>
      </c>
      <c r="R28">
        <f>IF(AND(ISNUMBER(N28),ISNUMBER(N26)),VLOOKUP(ABS(N28-N26),'IMP Table'!$A$2:$C$26,3)*SIGN(N28-N26),"")</f>
        <v/>
      </c>
      <c r="S28">
        <f>IF(AND(ISNUMBER(N28),ISNUMBER(N27)),VLOOKUP(ABS(N28-N27),'IMP Table'!$A$2:$C$26,3)*SIGN(N28-N27),"")</f>
        <v/>
      </c>
      <c r="T28">
        <f>IF(AND(ISNUMBER(N28),ISNUMBER(N29)),VLOOKUP(ABS(N28-N29),'IMP Table'!$A$2:$C$26,3)*SIGN(N28-N29),"")</f>
        <v/>
      </c>
      <c r="U28">
        <f>IF(AND(ISNUMBER(N28),ISNUMBER(N30)),VLOOKUP(ABS(N28-N30),'IMP Table'!$A$2:$C$26,3)*SIGN(N28-N30),"")</f>
        <v/>
      </c>
      <c r="V28">
        <f>IF(AND(ISNUMBER(O28),ISNUMBER(O24)),VLOOKUP(ABS(O28-O24),'IMP Table'!$A$2:$C$26,3)*SIGN(O28-O24),"")</f>
        <v/>
      </c>
      <c r="W28">
        <f>IF(AND(ISNUMBER(O28),ISNUMBER(O25)),VLOOKUP(ABS(O28-O25),'IMP Table'!$A$2:$C$26,3)*SIGN(O28-O25),"")</f>
        <v/>
      </c>
      <c r="X28">
        <f>IF(AND(ISNUMBER(O28),ISNUMBER(O26)),VLOOKUP(ABS(O28-O26),'IMP Table'!$A$2:$C$26,3)*SIGN(O28-O26),"")</f>
        <v/>
      </c>
      <c r="Y28">
        <f>IF(AND(ISNUMBER(O28),ISNUMBER(O27)),VLOOKUP(ABS(O28-O27),'IMP Table'!$A$2:$C$26,3)*SIGN(O28-O27),"")</f>
        <v/>
      </c>
      <c r="Z28">
        <f>IF(AND(ISNUMBER(O28),ISNUMBER(O29)),VLOOKUP(ABS(O28-O29),'IMP Table'!$A$2:$C$26,3)*SIGN(O28-O29),"")</f>
        <v/>
      </c>
      <c r="AA28">
        <f>IF(AND(ISNUMBER(O28),ISNUMBER(O30)),VLOOKUP(ABS(O28-O30),'IMP Table'!$A$2:$C$26,3)*SIGN(O28-O30),"")</f>
        <v/>
      </c>
    </row>
    <row r="29">
      <c r="B29">
        <f>'By Round'!A156</f>
        <v/>
      </c>
      <c r="C29">
        <f>'By Round'!B160</f>
        <v/>
      </c>
      <c r="D29">
        <f>'By Round'!C160</f>
        <v/>
      </c>
      <c r="E29">
        <f>'By Round'!D160</f>
        <v/>
      </c>
      <c r="F29" s="10" t="inlineStr">
        <is>
          <t>Both</t>
        </is>
      </c>
      <c r="G29">
        <f>'By Round'!G161</f>
        <v/>
      </c>
      <c r="H29">
        <f>'By Round'!H161</f>
        <v/>
      </c>
      <c r="I29">
        <f>'By Round'!I161</f>
        <v/>
      </c>
      <c r="J29">
        <f>'By Round'!J161</f>
        <v/>
      </c>
      <c r="K29">
        <f>'By Round'!K161</f>
        <v/>
      </c>
      <c r="L29" s="11">
        <f>IFERROR(AVERAGE(P29:U29),"")</f>
        <v/>
      </c>
      <c r="M29" s="4">
        <f>IFERROR(AVERAGE(V29:AA29),"")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IF(AND(ISNUMBER(N29),ISNUMBER(N24)),VLOOKUP(ABS(N29-N24),'IMP Table'!$A$2:$C$26,3)*SIGN(N29-N24),"")</f>
        <v/>
      </c>
      <c r="Q29">
        <f>IF(AND(ISNUMBER(N29),ISNUMBER(N25)),VLOOKUP(ABS(N29-N25),'IMP Table'!$A$2:$C$26,3)*SIGN(N29-N25),"")</f>
        <v/>
      </c>
      <c r="R29">
        <f>IF(AND(ISNUMBER(N29),ISNUMBER(N26)),VLOOKUP(ABS(N29-N26),'IMP Table'!$A$2:$C$26,3)*SIGN(N29-N26),"")</f>
        <v/>
      </c>
      <c r="S29">
        <f>IF(AND(ISNUMBER(N29),ISNUMBER(N27)),VLOOKUP(ABS(N29-N27),'IMP Table'!$A$2:$C$26,3)*SIGN(N29-N27),"")</f>
        <v/>
      </c>
      <c r="T29">
        <f>IF(AND(ISNUMBER(N29),ISNUMBER(N28)),VLOOKUP(ABS(N29-N28),'IMP Table'!$A$2:$C$26,3)*SIGN(N29-N28),"")</f>
        <v/>
      </c>
      <c r="U29">
        <f>IF(AND(ISNUMBER(N29),ISNUMBER(N30)),VLOOKUP(ABS(N29-N30),'IMP Table'!$A$2:$C$26,3)*SIGN(N29-N30),"")</f>
        <v/>
      </c>
      <c r="V29">
        <f>IF(AND(ISNUMBER(O29),ISNUMBER(O24)),VLOOKUP(ABS(O29-O24),'IMP Table'!$A$2:$C$26,3)*SIGN(O29-O24),"")</f>
        <v/>
      </c>
      <c r="W29">
        <f>IF(AND(ISNUMBER(O29),ISNUMBER(O25)),VLOOKUP(ABS(O29-O25),'IMP Table'!$A$2:$C$26,3)*SIGN(O29-O25),"")</f>
        <v/>
      </c>
      <c r="X29">
        <f>IF(AND(ISNUMBER(O29),ISNUMBER(O26)),VLOOKUP(ABS(O29-O26),'IMP Table'!$A$2:$C$26,3)*SIGN(O29-O26),"")</f>
        <v/>
      </c>
      <c r="Y29">
        <f>IF(AND(ISNUMBER(O29),ISNUMBER(O27)),VLOOKUP(ABS(O29-O27),'IMP Table'!$A$2:$C$26,3)*SIGN(O29-O27),"")</f>
        <v/>
      </c>
      <c r="Z29">
        <f>IF(AND(ISNUMBER(O29),ISNUMBER(O28)),VLOOKUP(ABS(O29-O28),'IMP Table'!$A$2:$C$26,3)*SIGN(O29-O28),"")</f>
        <v/>
      </c>
      <c r="AA29">
        <f>IF(AND(ISNUMBER(O29),ISNUMBER(O30)),VLOOKUP(ABS(O29-O30),'IMP Table'!$A$2:$C$26,3)*SIGN(O29-O30),"")</f>
        <v/>
      </c>
    </row>
    <row r="30">
      <c r="B30">
        <f>'By Round'!A170</f>
        <v/>
      </c>
      <c r="C30">
        <f>'By Round'!B172</f>
        <v/>
      </c>
      <c r="D30">
        <f>'By Round'!C172</f>
        <v/>
      </c>
      <c r="E30">
        <f>'By Round'!D172</f>
        <v/>
      </c>
      <c r="F30" s="10" t="inlineStr">
        <is>
          <t>Both</t>
        </is>
      </c>
      <c r="G30">
        <f>'By Round'!G173</f>
        <v/>
      </c>
      <c r="H30">
        <f>'By Round'!H173</f>
        <v/>
      </c>
      <c r="I30">
        <f>'By Round'!I173</f>
        <v/>
      </c>
      <c r="J30">
        <f>'By Round'!J173</f>
        <v/>
      </c>
      <c r="K30">
        <f>'By Round'!K173</f>
        <v/>
      </c>
      <c r="L30" s="11">
        <f>IFERROR(AVERAGE(P30:U30),"")</f>
        <v/>
      </c>
      <c r="M30" s="4">
        <f>IFERROR(AVERAGE(V30:AA30),"")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IF(AND(ISNUMBER(N30),ISNUMBER(N24)),VLOOKUP(ABS(N30-N24),'IMP Table'!$A$2:$C$26,3)*SIGN(N30-N24),"")</f>
        <v/>
      </c>
      <c r="Q30">
        <f>IF(AND(ISNUMBER(N30),ISNUMBER(N25)),VLOOKUP(ABS(N30-N25),'IMP Table'!$A$2:$C$26,3)*SIGN(N30-N25),"")</f>
        <v/>
      </c>
      <c r="R30">
        <f>IF(AND(ISNUMBER(N30),ISNUMBER(N26)),VLOOKUP(ABS(N30-N26),'IMP Table'!$A$2:$C$26,3)*SIGN(N30-N26),"")</f>
        <v/>
      </c>
      <c r="S30">
        <f>IF(AND(ISNUMBER(N30),ISNUMBER(N27)),VLOOKUP(ABS(N30-N27),'IMP Table'!$A$2:$C$26,3)*SIGN(N30-N27),"")</f>
        <v/>
      </c>
      <c r="T30">
        <f>IF(AND(ISNUMBER(N30),ISNUMBER(N28)),VLOOKUP(ABS(N30-N28),'IMP Table'!$A$2:$C$26,3)*SIGN(N30-N28),"")</f>
        <v/>
      </c>
      <c r="U30">
        <f>IF(AND(ISNUMBER(N30),ISNUMBER(N29)),VLOOKUP(ABS(N30-N29),'IMP Table'!$A$2:$C$26,3)*SIGN(N30-N29),"")</f>
        <v/>
      </c>
      <c r="V30">
        <f>IF(AND(ISNUMBER(O30),ISNUMBER(O24)),VLOOKUP(ABS(O30-O24),'IMP Table'!$A$2:$C$26,3)*SIGN(O30-O24),"")</f>
        <v/>
      </c>
      <c r="W30">
        <f>IF(AND(ISNUMBER(O30),ISNUMBER(O25)),VLOOKUP(ABS(O30-O25),'IMP Table'!$A$2:$C$26,3)*SIGN(O30-O25),"")</f>
        <v/>
      </c>
      <c r="X30">
        <f>IF(AND(ISNUMBER(O30),ISNUMBER(O26)),VLOOKUP(ABS(O30-O26),'IMP Table'!$A$2:$C$26,3)*SIGN(O30-O26),"")</f>
        <v/>
      </c>
      <c r="Y30">
        <f>IF(AND(ISNUMBER(O30),ISNUMBER(O27)),VLOOKUP(ABS(O30-O27),'IMP Table'!$A$2:$C$26,3)*SIGN(O30-O27),"")</f>
        <v/>
      </c>
      <c r="Z30">
        <f>IF(AND(ISNUMBER(O30),ISNUMBER(O28)),VLOOKUP(ABS(O30-O28),'IMP Table'!$A$2:$C$26,3)*SIGN(O30-O28),"")</f>
        <v/>
      </c>
      <c r="AA30">
        <f>IF(AND(ISNUMBER(O30),ISNUMBER(O29)),VLOOKUP(ABS(O30-O29),'IMP Table'!$A$2:$C$26,3)*SIGN(O30-O29),"")</f>
        <v/>
      </c>
    </row>
    <row r="31">
      <c r="A31" t="n">
        <v>5</v>
      </c>
      <c r="B31">
        <f>'By Round'!A2</f>
        <v/>
      </c>
      <c r="C31">
        <f>'By Round'!B4</f>
        <v/>
      </c>
      <c r="D31">
        <f>'By Round'!C4</f>
        <v/>
      </c>
      <c r="E31">
        <f>'By Round'!D4</f>
        <v/>
      </c>
      <c r="F31" s="10" t="inlineStr">
        <is>
          <t>NS</t>
        </is>
      </c>
      <c r="G31">
        <f>'By Round'!G4</f>
        <v/>
      </c>
      <c r="H31">
        <f>'By Round'!H4</f>
        <v/>
      </c>
      <c r="I31">
        <f>'By Round'!I4</f>
        <v/>
      </c>
      <c r="J31">
        <f>'By Round'!J4</f>
        <v/>
      </c>
      <c r="K31">
        <f>'By Round'!K4</f>
        <v/>
      </c>
      <c r="L31" s="11">
        <f>IFERROR(AVERAGE(P31:U31),"")</f>
        <v/>
      </c>
      <c r="M31" s="4">
        <f>IFERROR(AVERAGE(V31:AA31),"")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IF(AND(ISNUMBER(N31),ISNUMBER(N32)),VLOOKUP(ABS(N31-N32),'IMP Table'!$A$2:$C$26,3)*SIGN(N31-N32),"")</f>
        <v/>
      </c>
      <c r="Q31">
        <f>IF(AND(ISNUMBER(N31),ISNUMBER(N33)),VLOOKUP(ABS(N31-N33),'IMP Table'!$A$2:$C$26,3)*SIGN(N31-N33),"")</f>
        <v/>
      </c>
      <c r="R31">
        <f>IF(AND(ISNUMBER(N31),ISNUMBER(N34)),VLOOKUP(ABS(N31-N34),'IMP Table'!$A$2:$C$26,3)*SIGN(N31-N34),"")</f>
        <v/>
      </c>
      <c r="S31">
        <f>IF(AND(ISNUMBER(N31),ISNUMBER(N35)),VLOOKUP(ABS(N31-N35),'IMP Table'!$A$2:$C$26,3)*SIGN(N31-N35),"")</f>
        <v/>
      </c>
      <c r="T31">
        <f>IF(AND(ISNUMBER(N31),ISNUMBER(N36)),VLOOKUP(ABS(N31-N36),'IMP Table'!$A$2:$C$26,3)*SIGN(N31-N36),"")</f>
        <v/>
      </c>
      <c r="U31">
        <f>IF(AND(ISNUMBER(N31),ISNUMBER(N37)),VLOOKUP(ABS(N31-N37),'IMP Table'!$A$2:$C$26,3)*SIGN(N31-N37),"")</f>
        <v/>
      </c>
      <c r="V31">
        <f>IF(AND(ISNUMBER(O31),ISNUMBER(O32)),VLOOKUP(ABS(O31-O32),'IMP Table'!$A$2:$C$26,3)*SIGN(O31-O32),"")</f>
        <v/>
      </c>
      <c r="W31">
        <f>IF(AND(ISNUMBER(O31),ISNUMBER(O33)),VLOOKUP(ABS(O31-O33),'IMP Table'!$A$2:$C$26,3)*SIGN(O31-O33),"")</f>
        <v/>
      </c>
      <c r="X31">
        <f>IF(AND(ISNUMBER(O31),ISNUMBER(O34)),VLOOKUP(ABS(O31-O34),'IMP Table'!$A$2:$C$26,3)*SIGN(O31-O34),"")</f>
        <v/>
      </c>
      <c r="Y31">
        <f>IF(AND(ISNUMBER(O31),ISNUMBER(O35)),VLOOKUP(ABS(O31-O35),'IMP Table'!$A$2:$C$26,3)*SIGN(O31-O35),"")</f>
        <v/>
      </c>
      <c r="Z31">
        <f>IF(AND(ISNUMBER(O31),ISNUMBER(O36)),VLOOKUP(ABS(O31-O36),'IMP Table'!$A$2:$C$26,3)*SIGN(O31-O36),"")</f>
        <v/>
      </c>
      <c r="AA31">
        <f>IF(AND(ISNUMBER(O31),ISNUMBER(O37)),VLOOKUP(ABS(O31-O37),'IMP Table'!$A$2:$C$26,3)*SIGN(O31-O37),"")</f>
        <v/>
      </c>
    </row>
    <row r="32">
      <c r="B32">
        <f>'By Round'!A30</f>
        <v/>
      </c>
      <c r="C32">
        <f>'By Round'!B30</f>
        <v/>
      </c>
      <c r="D32">
        <f>'By Round'!C30</f>
        <v/>
      </c>
      <c r="E32">
        <f>'By Round'!D30</f>
        <v/>
      </c>
      <c r="F32" s="10" t="inlineStr">
        <is>
          <t>NS</t>
        </is>
      </c>
      <c r="G32">
        <f>'By Round'!G30</f>
        <v/>
      </c>
      <c r="H32">
        <f>'By Round'!H30</f>
        <v/>
      </c>
      <c r="I32">
        <f>'By Round'!I30</f>
        <v/>
      </c>
      <c r="J32">
        <f>'By Round'!J30</f>
        <v/>
      </c>
      <c r="K32">
        <f>'By Round'!K30</f>
        <v/>
      </c>
      <c r="L32" s="11">
        <f>IFERROR(AVERAGE(P32:U32),"")</f>
        <v/>
      </c>
      <c r="M32" s="4">
        <f>IFERROR(AVERAGE(V32:AA32),"")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IF(AND(ISNUMBER(N32),ISNUMBER(N31)),VLOOKUP(ABS(N32-N31),'IMP Table'!$A$2:$C$26,3)*SIGN(N32-N31),"")</f>
        <v/>
      </c>
      <c r="Q32">
        <f>IF(AND(ISNUMBER(N32),ISNUMBER(N33)),VLOOKUP(ABS(N32-N33),'IMP Table'!$A$2:$C$26,3)*SIGN(N32-N33),"")</f>
        <v/>
      </c>
      <c r="R32">
        <f>IF(AND(ISNUMBER(N32),ISNUMBER(N34)),VLOOKUP(ABS(N32-N34),'IMP Table'!$A$2:$C$26,3)*SIGN(N32-N34),"")</f>
        <v/>
      </c>
      <c r="S32">
        <f>IF(AND(ISNUMBER(N32),ISNUMBER(N35)),VLOOKUP(ABS(N32-N35),'IMP Table'!$A$2:$C$26,3)*SIGN(N32-N35),"")</f>
        <v/>
      </c>
      <c r="T32">
        <f>IF(AND(ISNUMBER(N32),ISNUMBER(N36)),VLOOKUP(ABS(N32-N36),'IMP Table'!$A$2:$C$26,3)*SIGN(N32-N36),"")</f>
        <v/>
      </c>
      <c r="U32">
        <f>IF(AND(ISNUMBER(N32),ISNUMBER(N37)),VLOOKUP(ABS(N32-N37),'IMP Table'!$A$2:$C$26,3)*SIGN(N32-N37),"")</f>
        <v/>
      </c>
      <c r="V32">
        <f>IF(AND(ISNUMBER(O32),ISNUMBER(O31)),VLOOKUP(ABS(O32-O31),'IMP Table'!$A$2:$C$26,3)*SIGN(O32-O31),"")</f>
        <v/>
      </c>
      <c r="W32">
        <f>IF(AND(ISNUMBER(O32),ISNUMBER(O33)),VLOOKUP(ABS(O32-O33),'IMP Table'!$A$2:$C$26,3)*SIGN(O32-O33),"")</f>
        <v/>
      </c>
      <c r="X32">
        <f>IF(AND(ISNUMBER(O32),ISNUMBER(O34)),VLOOKUP(ABS(O32-O34),'IMP Table'!$A$2:$C$26,3)*SIGN(O32-O34),"")</f>
        <v/>
      </c>
      <c r="Y32">
        <f>IF(AND(ISNUMBER(O32),ISNUMBER(O35)),VLOOKUP(ABS(O32-O35),'IMP Table'!$A$2:$C$26,3)*SIGN(O32-O35),"")</f>
        <v/>
      </c>
      <c r="Z32">
        <f>IF(AND(ISNUMBER(O32),ISNUMBER(O36)),VLOOKUP(ABS(O32-O36),'IMP Table'!$A$2:$C$26,3)*SIGN(O32-O36),"")</f>
        <v/>
      </c>
      <c r="AA32">
        <f>IF(AND(ISNUMBER(O32),ISNUMBER(O37)),VLOOKUP(ABS(O32-O37),'IMP Table'!$A$2:$C$26,3)*SIGN(O32-O37),"")</f>
        <v/>
      </c>
    </row>
    <row r="33">
      <c r="B33">
        <f>'By Round'!A58</f>
        <v/>
      </c>
      <c r="C33">
        <f>'By Round'!B70</f>
        <v/>
      </c>
      <c r="D33">
        <f>'By Round'!C70</f>
        <v/>
      </c>
      <c r="E33">
        <f>'By Round'!D70</f>
        <v/>
      </c>
      <c r="F33" s="10" t="inlineStr">
        <is>
          <t>NS</t>
        </is>
      </c>
      <c r="G33">
        <f>'By Round'!G70</f>
        <v/>
      </c>
      <c r="H33">
        <f>'By Round'!H70</f>
        <v/>
      </c>
      <c r="I33">
        <f>'By Round'!I70</f>
        <v/>
      </c>
      <c r="J33">
        <f>'By Round'!J70</f>
        <v/>
      </c>
      <c r="K33">
        <f>'By Round'!K70</f>
        <v/>
      </c>
      <c r="L33" s="11">
        <f>IFERROR(AVERAGE(P33:U33),"")</f>
        <v/>
      </c>
      <c r="M33" s="4">
        <f>IFERROR(AVERAGE(V33:AA33),"")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IF(AND(ISNUMBER(N33),ISNUMBER(N31)),VLOOKUP(ABS(N33-N31),'IMP Table'!$A$2:$C$26,3)*SIGN(N33-N31),"")</f>
        <v/>
      </c>
      <c r="Q33">
        <f>IF(AND(ISNUMBER(N33),ISNUMBER(N32)),VLOOKUP(ABS(N33-N32),'IMP Table'!$A$2:$C$26,3)*SIGN(N33-N32),"")</f>
        <v/>
      </c>
      <c r="R33">
        <f>IF(AND(ISNUMBER(N33),ISNUMBER(N34)),VLOOKUP(ABS(N33-N34),'IMP Table'!$A$2:$C$26,3)*SIGN(N33-N34),"")</f>
        <v/>
      </c>
      <c r="S33">
        <f>IF(AND(ISNUMBER(N33),ISNUMBER(N35)),VLOOKUP(ABS(N33-N35),'IMP Table'!$A$2:$C$26,3)*SIGN(N33-N35),"")</f>
        <v/>
      </c>
      <c r="T33">
        <f>IF(AND(ISNUMBER(N33),ISNUMBER(N36)),VLOOKUP(ABS(N33-N36),'IMP Table'!$A$2:$C$26,3)*SIGN(N33-N36),"")</f>
        <v/>
      </c>
      <c r="U33">
        <f>IF(AND(ISNUMBER(N33),ISNUMBER(N37)),VLOOKUP(ABS(N33-N37),'IMP Table'!$A$2:$C$26,3)*SIGN(N33-N37),"")</f>
        <v/>
      </c>
      <c r="V33">
        <f>IF(AND(ISNUMBER(O33),ISNUMBER(O31)),VLOOKUP(ABS(O33-O31),'IMP Table'!$A$2:$C$26,3)*SIGN(O33-O31),"")</f>
        <v/>
      </c>
      <c r="W33">
        <f>IF(AND(ISNUMBER(O33),ISNUMBER(O32)),VLOOKUP(ABS(O33-O32),'IMP Table'!$A$2:$C$26,3)*SIGN(O33-O32),"")</f>
        <v/>
      </c>
      <c r="X33">
        <f>IF(AND(ISNUMBER(O33),ISNUMBER(O34)),VLOOKUP(ABS(O33-O34),'IMP Table'!$A$2:$C$26,3)*SIGN(O33-O34),"")</f>
        <v/>
      </c>
      <c r="Y33">
        <f>IF(AND(ISNUMBER(O33),ISNUMBER(O35)),VLOOKUP(ABS(O33-O35),'IMP Table'!$A$2:$C$26,3)*SIGN(O33-O35),"")</f>
        <v/>
      </c>
      <c r="Z33">
        <f>IF(AND(ISNUMBER(O33),ISNUMBER(O36)),VLOOKUP(ABS(O33-O36),'IMP Table'!$A$2:$C$26,3)*SIGN(O33-O36),"")</f>
        <v/>
      </c>
      <c r="AA33">
        <f>IF(AND(ISNUMBER(O33),ISNUMBER(O37)),VLOOKUP(ABS(O33-O37),'IMP Table'!$A$2:$C$26,3)*SIGN(O33-O37),"")</f>
        <v/>
      </c>
    </row>
    <row r="34">
      <c r="B34">
        <f>'By Round'!A72</f>
        <v/>
      </c>
      <c r="C34">
        <f>'By Round'!B82</f>
        <v/>
      </c>
      <c r="D34">
        <f>'By Round'!C82</f>
        <v/>
      </c>
      <c r="E34">
        <f>'By Round'!D82</f>
        <v/>
      </c>
      <c r="F34" s="10" t="inlineStr">
        <is>
          <t>NS</t>
        </is>
      </c>
      <c r="G34">
        <f>'By Round'!G82</f>
        <v/>
      </c>
      <c r="H34">
        <f>'By Round'!H82</f>
        <v/>
      </c>
      <c r="I34">
        <f>'By Round'!I82</f>
        <v/>
      </c>
      <c r="J34">
        <f>'By Round'!J82</f>
        <v/>
      </c>
      <c r="K34">
        <f>'By Round'!K82</f>
        <v/>
      </c>
      <c r="L34" s="11">
        <f>IFERROR(AVERAGE(P34:U34),"")</f>
        <v/>
      </c>
      <c r="M34" s="4">
        <f>IFERROR(AVERAGE(V34:AA34),"")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IF(AND(ISNUMBER(N34),ISNUMBER(N31)),VLOOKUP(ABS(N34-N31),'IMP Table'!$A$2:$C$26,3)*SIGN(N34-N31),"")</f>
        <v/>
      </c>
      <c r="Q34">
        <f>IF(AND(ISNUMBER(N34),ISNUMBER(N32)),VLOOKUP(ABS(N34-N32),'IMP Table'!$A$2:$C$26,3)*SIGN(N34-N32),"")</f>
        <v/>
      </c>
      <c r="R34">
        <f>IF(AND(ISNUMBER(N34),ISNUMBER(N33)),VLOOKUP(ABS(N34-N33),'IMP Table'!$A$2:$C$26,3)*SIGN(N34-N33),"")</f>
        <v/>
      </c>
      <c r="S34">
        <f>IF(AND(ISNUMBER(N34),ISNUMBER(N35)),VLOOKUP(ABS(N34-N35),'IMP Table'!$A$2:$C$26,3)*SIGN(N34-N35),"")</f>
        <v/>
      </c>
      <c r="T34">
        <f>IF(AND(ISNUMBER(N34),ISNUMBER(N36)),VLOOKUP(ABS(N34-N36),'IMP Table'!$A$2:$C$26,3)*SIGN(N34-N36),"")</f>
        <v/>
      </c>
      <c r="U34">
        <f>IF(AND(ISNUMBER(N34),ISNUMBER(N37)),VLOOKUP(ABS(N34-N37),'IMP Table'!$A$2:$C$26,3)*SIGN(N34-N37),"")</f>
        <v/>
      </c>
      <c r="V34">
        <f>IF(AND(ISNUMBER(O34),ISNUMBER(O31)),VLOOKUP(ABS(O34-O31),'IMP Table'!$A$2:$C$26,3)*SIGN(O34-O31),"")</f>
        <v/>
      </c>
      <c r="W34">
        <f>IF(AND(ISNUMBER(O34),ISNUMBER(O32)),VLOOKUP(ABS(O34-O32),'IMP Table'!$A$2:$C$26,3)*SIGN(O34-O32),"")</f>
        <v/>
      </c>
      <c r="X34">
        <f>IF(AND(ISNUMBER(O34),ISNUMBER(O33)),VLOOKUP(ABS(O34-O33),'IMP Table'!$A$2:$C$26,3)*SIGN(O34-O33),"")</f>
        <v/>
      </c>
      <c r="Y34">
        <f>IF(AND(ISNUMBER(O34),ISNUMBER(O35)),VLOOKUP(ABS(O34-O35),'IMP Table'!$A$2:$C$26,3)*SIGN(O34-O35),"")</f>
        <v/>
      </c>
      <c r="Z34">
        <f>IF(AND(ISNUMBER(O34),ISNUMBER(O36)),VLOOKUP(ABS(O34-O36),'IMP Table'!$A$2:$C$26,3)*SIGN(O34-O36),"")</f>
        <v/>
      </c>
      <c r="AA34">
        <f>IF(AND(ISNUMBER(O34),ISNUMBER(O37)),VLOOKUP(ABS(O34-O37),'IMP Table'!$A$2:$C$26,3)*SIGN(O34-O37),"")</f>
        <v/>
      </c>
    </row>
    <row r="35">
      <c r="B35">
        <f>'By Round'!A86</f>
        <v/>
      </c>
      <c r="C35">
        <f>'By Round'!B94</f>
        <v/>
      </c>
      <c r="D35">
        <f>'By Round'!C94</f>
        <v/>
      </c>
      <c r="E35">
        <f>'By Round'!D94</f>
        <v/>
      </c>
      <c r="F35" s="10" t="inlineStr">
        <is>
          <t>NS</t>
        </is>
      </c>
      <c r="G35">
        <f>'By Round'!G94</f>
        <v/>
      </c>
      <c r="H35">
        <f>'By Round'!H94</f>
        <v/>
      </c>
      <c r="I35">
        <f>'By Round'!I94</f>
        <v/>
      </c>
      <c r="J35">
        <f>'By Round'!J94</f>
        <v/>
      </c>
      <c r="K35">
        <f>'By Round'!K94</f>
        <v/>
      </c>
      <c r="L35" s="11">
        <f>IFERROR(AVERAGE(P35:U35),"")</f>
        <v/>
      </c>
      <c r="M35" s="4">
        <f>IFERROR(AVERAGE(V35:AA35),"")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IF(AND(ISNUMBER(N35),ISNUMBER(N31)),VLOOKUP(ABS(N35-N31),'IMP Table'!$A$2:$C$26,3)*SIGN(N35-N31),"")</f>
        <v/>
      </c>
      <c r="Q35">
        <f>IF(AND(ISNUMBER(N35),ISNUMBER(N32)),VLOOKUP(ABS(N35-N32),'IMP Table'!$A$2:$C$26,3)*SIGN(N35-N32),"")</f>
        <v/>
      </c>
      <c r="R35">
        <f>IF(AND(ISNUMBER(N35),ISNUMBER(N33)),VLOOKUP(ABS(N35-N33),'IMP Table'!$A$2:$C$26,3)*SIGN(N35-N33),"")</f>
        <v/>
      </c>
      <c r="S35">
        <f>IF(AND(ISNUMBER(N35),ISNUMBER(N34)),VLOOKUP(ABS(N35-N34),'IMP Table'!$A$2:$C$26,3)*SIGN(N35-N34),"")</f>
        <v/>
      </c>
      <c r="T35">
        <f>IF(AND(ISNUMBER(N35),ISNUMBER(N36)),VLOOKUP(ABS(N35-N36),'IMP Table'!$A$2:$C$26,3)*SIGN(N35-N36),"")</f>
        <v/>
      </c>
      <c r="U35">
        <f>IF(AND(ISNUMBER(N35),ISNUMBER(N37)),VLOOKUP(ABS(N35-N37),'IMP Table'!$A$2:$C$26,3)*SIGN(N35-N37),"")</f>
        <v/>
      </c>
      <c r="V35">
        <f>IF(AND(ISNUMBER(O35),ISNUMBER(O31)),VLOOKUP(ABS(O35-O31),'IMP Table'!$A$2:$C$26,3)*SIGN(O35-O31),"")</f>
        <v/>
      </c>
      <c r="W35">
        <f>IF(AND(ISNUMBER(O35),ISNUMBER(O32)),VLOOKUP(ABS(O35-O32),'IMP Table'!$A$2:$C$26,3)*SIGN(O35-O32),"")</f>
        <v/>
      </c>
      <c r="X35">
        <f>IF(AND(ISNUMBER(O35),ISNUMBER(O33)),VLOOKUP(ABS(O35-O33),'IMP Table'!$A$2:$C$26,3)*SIGN(O35-O33),"")</f>
        <v/>
      </c>
      <c r="Y35">
        <f>IF(AND(ISNUMBER(O35),ISNUMBER(O34)),VLOOKUP(ABS(O35-O34),'IMP Table'!$A$2:$C$26,3)*SIGN(O35-O34),"")</f>
        <v/>
      </c>
      <c r="Z35">
        <f>IF(AND(ISNUMBER(O35),ISNUMBER(O36)),VLOOKUP(ABS(O35-O36),'IMP Table'!$A$2:$C$26,3)*SIGN(O35-O36),"")</f>
        <v/>
      </c>
      <c r="AA35">
        <f>IF(AND(ISNUMBER(O35),ISNUMBER(O37)),VLOOKUP(ABS(O35-O37),'IMP Table'!$A$2:$C$26,3)*SIGN(O35-O37),"")</f>
        <v/>
      </c>
    </row>
    <row r="36">
      <c r="B36">
        <f>'By Round'!A156</f>
        <v/>
      </c>
      <c r="C36">
        <f>'By Round'!B162</f>
        <v/>
      </c>
      <c r="D36">
        <f>'By Round'!C162</f>
        <v/>
      </c>
      <c r="E36">
        <f>'By Round'!D162</f>
        <v/>
      </c>
      <c r="F36" s="10" t="inlineStr">
        <is>
          <t>NS</t>
        </is>
      </c>
      <c r="G36">
        <f>'By Round'!G162</f>
        <v/>
      </c>
      <c r="H36">
        <f>'By Round'!H162</f>
        <v/>
      </c>
      <c r="I36">
        <f>'By Round'!I162</f>
        <v/>
      </c>
      <c r="J36">
        <f>'By Round'!J162</f>
        <v/>
      </c>
      <c r="K36">
        <f>'By Round'!K162</f>
        <v/>
      </c>
      <c r="L36" s="11">
        <f>IFERROR(AVERAGE(P36:U36),"")</f>
        <v/>
      </c>
      <c r="M36" s="4">
        <f>IFERROR(AVERAGE(V36:AA36),"")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IF(AND(ISNUMBER(N36),ISNUMBER(N31)),VLOOKUP(ABS(N36-N31),'IMP Table'!$A$2:$C$26,3)*SIGN(N36-N31),"")</f>
        <v/>
      </c>
      <c r="Q36">
        <f>IF(AND(ISNUMBER(N36),ISNUMBER(N32)),VLOOKUP(ABS(N36-N32),'IMP Table'!$A$2:$C$26,3)*SIGN(N36-N32),"")</f>
        <v/>
      </c>
      <c r="R36">
        <f>IF(AND(ISNUMBER(N36),ISNUMBER(N33)),VLOOKUP(ABS(N36-N33),'IMP Table'!$A$2:$C$26,3)*SIGN(N36-N33),"")</f>
        <v/>
      </c>
      <c r="S36">
        <f>IF(AND(ISNUMBER(N36),ISNUMBER(N34)),VLOOKUP(ABS(N36-N34),'IMP Table'!$A$2:$C$26,3)*SIGN(N36-N34),"")</f>
        <v/>
      </c>
      <c r="T36">
        <f>IF(AND(ISNUMBER(N36),ISNUMBER(N35)),VLOOKUP(ABS(N36-N35),'IMP Table'!$A$2:$C$26,3)*SIGN(N36-N35),"")</f>
        <v/>
      </c>
      <c r="U36">
        <f>IF(AND(ISNUMBER(N36),ISNUMBER(N37)),VLOOKUP(ABS(N36-N37),'IMP Table'!$A$2:$C$26,3)*SIGN(N36-N37),"")</f>
        <v/>
      </c>
      <c r="V36">
        <f>IF(AND(ISNUMBER(O36),ISNUMBER(O31)),VLOOKUP(ABS(O36-O31),'IMP Table'!$A$2:$C$26,3)*SIGN(O36-O31),"")</f>
        <v/>
      </c>
      <c r="W36">
        <f>IF(AND(ISNUMBER(O36),ISNUMBER(O32)),VLOOKUP(ABS(O36-O32),'IMP Table'!$A$2:$C$26,3)*SIGN(O36-O32),"")</f>
        <v/>
      </c>
      <c r="X36">
        <f>IF(AND(ISNUMBER(O36),ISNUMBER(O33)),VLOOKUP(ABS(O36-O33),'IMP Table'!$A$2:$C$26,3)*SIGN(O36-O33),"")</f>
        <v/>
      </c>
      <c r="Y36">
        <f>IF(AND(ISNUMBER(O36),ISNUMBER(O34)),VLOOKUP(ABS(O36-O34),'IMP Table'!$A$2:$C$26,3)*SIGN(O36-O34),"")</f>
        <v/>
      </c>
      <c r="Z36">
        <f>IF(AND(ISNUMBER(O36),ISNUMBER(O35)),VLOOKUP(ABS(O36-O35),'IMP Table'!$A$2:$C$26,3)*SIGN(O36-O35),"")</f>
        <v/>
      </c>
      <c r="AA36">
        <f>IF(AND(ISNUMBER(O36),ISNUMBER(O37)),VLOOKUP(ABS(O36-O37),'IMP Table'!$A$2:$C$26,3)*SIGN(O36-O37),"")</f>
        <v/>
      </c>
    </row>
    <row r="37">
      <c r="B37">
        <f>'By Round'!A170</f>
        <v/>
      </c>
      <c r="C37">
        <f>'By Round'!B174</f>
        <v/>
      </c>
      <c r="D37">
        <f>'By Round'!C174</f>
        <v/>
      </c>
      <c r="E37">
        <f>'By Round'!D174</f>
        <v/>
      </c>
      <c r="F37" s="10" t="inlineStr">
        <is>
          <t>NS</t>
        </is>
      </c>
      <c r="G37">
        <f>'By Round'!G174</f>
        <v/>
      </c>
      <c r="H37">
        <f>'By Round'!H174</f>
        <v/>
      </c>
      <c r="I37">
        <f>'By Round'!I174</f>
        <v/>
      </c>
      <c r="J37">
        <f>'By Round'!J174</f>
        <v/>
      </c>
      <c r="K37">
        <f>'By Round'!K174</f>
        <v/>
      </c>
      <c r="L37" s="11">
        <f>IFERROR(AVERAGE(P37:U37),"")</f>
        <v/>
      </c>
      <c r="M37" s="4">
        <f>IFERROR(AVERAGE(V37:AA37),"")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IF(AND(ISNUMBER(N37),ISNUMBER(N31)),VLOOKUP(ABS(N37-N31),'IMP Table'!$A$2:$C$26,3)*SIGN(N37-N31),"")</f>
        <v/>
      </c>
      <c r="Q37">
        <f>IF(AND(ISNUMBER(N37),ISNUMBER(N32)),VLOOKUP(ABS(N37-N32),'IMP Table'!$A$2:$C$26,3)*SIGN(N37-N32),"")</f>
        <v/>
      </c>
      <c r="R37">
        <f>IF(AND(ISNUMBER(N37),ISNUMBER(N33)),VLOOKUP(ABS(N37-N33),'IMP Table'!$A$2:$C$26,3)*SIGN(N37-N33),"")</f>
        <v/>
      </c>
      <c r="S37">
        <f>IF(AND(ISNUMBER(N37),ISNUMBER(N34)),VLOOKUP(ABS(N37-N34),'IMP Table'!$A$2:$C$26,3)*SIGN(N37-N34),"")</f>
        <v/>
      </c>
      <c r="T37">
        <f>IF(AND(ISNUMBER(N37),ISNUMBER(N35)),VLOOKUP(ABS(N37-N35),'IMP Table'!$A$2:$C$26,3)*SIGN(N37-N35),"")</f>
        <v/>
      </c>
      <c r="U37">
        <f>IF(AND(ISNUMBER(N37),ISNUMBER(N36)),VLOOKUP(ABS(N37-N36),'IMP Table'!$A$2:$C$26,3)*SIGN(N37-N36),"")</f>
        <v/>
      </c>
      <c r="V37">
        <f>IF(AND(ISNUMBER(O37),ISNUMBER(O31)),VLOOKUP(ABS(O37-O31),'IMP Table'!$A$2:$C$26,3)*SIGN(O37-O31),"")</f>
        <v/>
      </c>
      <c r="W37">
        <f>IF(AND(ISNUMBER(O37),ISNUMBER(O32)),VLOOKUP(ABS(O37-O32),'IMP Table'!$A$2:$C$26,3)*SIGN(O37-O32),"")</f>
        <v/>
      </c>
      <c r="X37">
        <f>IF(AND(ISNUMBER(O37),ISNUMBER(O33)),VLOOKUP(ABS(O37-O33),'IMP Table'!$A$2:$C$26,3)*SIGN(O37-O33),"")</f>
        <v/>
      </c>
      <c r="Y37">
        <f>IF(AND(ISNUMBER(O37),ISNUMBER(O34)),VLOOKUP(ABS(O37-O34),'IMP Table'!$A$2:$C$26,3)*SIGN(O37-O34),"")</f>
        <v/>
      </c>
      <c r="Z37">
        <f>IF(AND(ISNUMBER(O37),ISNUMBER(O35)),VLOOKUP(ABS(O37-O35),'IMP Table'!$A$2:$C$26,3)*SIGN(O37-O35),"")</f>
        <v/>
      </c>
      <c r="AA37">
        <f>IF(AND(ISNUMBER(O37),ISNUMBER(O36)),VLOOKUP(ABS(O37-O36),'IMP Table'!$A$2:$C$26,3)*SIGN(O37-O36),"")</f>
        <v/>
      </c>
    </row>
    <row r="38">
      <c r="A38" t="n">
        <v>6</v>
      </c>
      <c r="B38">
        <f>'By Round'!A2</f>
        <v/>
      </c>
      <c r="C38">
        <f>'By Round'!B4</f>
        <v/>
      </c>
      <c r="D38">
        <f>'By Round'!C4</f>
        <v/>
      </c>
      <c r="E38">
        <f>'By Round'!D4</f>
        <v/>
      </c>
      <c r="F38" s="10" t="inlineStr">
        <is>
          <t>EW</t>
        </is>
      </c>
      <c r="G38">
        <f>'By Round'!G5</f>
        <v/>
      </c>
      <c r="H38">
        <f>'By Round'!H5</f>
        <v/>
      </c>
      <c r="I38">
        <f>'By Round'!I5</f>
        <v/>
      </c>
      <c r="J38">
        <f>'By Round'!J5</f>
        <v/>
      </c>
      <c r="K38">
        <f>'By Round'!K5</f>
        <v/>
      </c>
      <c r="L38" s="11">
        <f>IFERROR(AVERAGE(P38:U38),"")</f>
        <v/>
      </c>
      <c r="M38" s="4">
        <f>IFERROR(AVERAGE(V38:AA38),"")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IF(AND(ISNUMBER(N38),ISNUMBER(N43)),VLOOKUP(ABS(N38-N43),'IMP Table'!$A$2:$C$26,3)*SIGN(N38-N43),"")</f>
        <v/>
      </c>
      <c r="U38">
        <f>IF(AND(ISNUMBER(N38),ISNUMBER(N44)),VLOOKUP(ABS(N38-N44),'IMP Table'!$A$2:$C$26,3)*SIGN(N38-N44),"")</f>
        <v/>
      </c>
      <c r="V38">
        <f>IF(AND(ISNUMBER(O38),ISNUMBER(O39)),VLOOKUP(ABS(O38-O39),'IMP Table'!$A$2:$C$26,3)*SIGN(O38-O39),"")</f>
        <v/>
      </c>
      <c r="W38">
        <f>IF(AND(ISNUMBER(O38),ISNUMBER(O40)),VLOOKUP(ABS(O38-O40),'IMP Table'!$A$2:$C$26,3)*SIGN(O38-O40),"")</f>
        <v/>
      </c>
      <c r="X38">
        <f>IF(AND(ISNUMBER(O38),ISNUMBER(O41)),VLOOKUP(ABS(O38-O41),'IMP Table'!$A$2:$C$26,3)*SIGN(O38-O41),"")</f>
        <v/>
      </c>
      <c r="Y38">
        <f>IF(AND(ISNUMBER(O38),ISNUMBER(O42)),VLOOKUP(ABS(O38-O42),'IMP Table'!$A$2:$C$26,3)*SIGN(O38-O42),"")</f>
        <v/>
      </c>
      <c r="Z38">
        <f>IF(AND(ISNUMBER(O38),ISNUMBER(O43)),VLOOKUP(ABS(O38-O43),'IMP Table'!$A$2:$C$26,3)*SIGN(O38-O43),"")</f>
        <v/>
      </c>
      <c r="AA38">
        <f>IF(AND(ISNUMBER(O38),ISNUMBER(O44)),VLOOKUP(ABS(O38-O44),'IMP Table'!$A$2:$C$26,3)*SIGN(O38-O44),"")</f>
        <v/>
      </c>
    </row>
    <row r="39">
      <c r="B39">
        <f>'By Round'!A30</f>
        <v/>
      </c>
      <c r="C39">
        <f>'By Round'!B30</f>
        <v/>
      </c>
      <c r="D39">
        <f>'By Round'!C30</f>
        <v/>
      </c>
      <c r="E39">
        <f>'By Round'!D30</f>
        <v/>
      </c>
      <c r="F39" s="10" t="inlineStr">
        <is>
          <t>EW</t>
        </is>
      </c>
      <c r="G39">
        <f>'By Round'!G31</f>
        <v/>
      </c>
      <c r="H39">
        <f>'By Round'!H31</f>
        <v/>
      </c>
      <c r="I39">
        <f>'By Round'!I31</f>
        <v/>
      </c>
      <c r="J39">
        <f>'By Round'!J31</f>
        <v/>
      </c>
      <c r="K39">
        <f>'By Round'!K31</f>
        <v/>
      </c>
      <c r="L39" s="11">
        <f>IFERROR(AVERAGE(P39:U39),"")</f>
        <v/>
      </c>
      <c r="M39" s="4">
        <f>IFERROR(AVERAGE(V39:AA39),"")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IF(AND(ISNUMBER(N39),ISNUMBER(N43)),VLOOKUP(ABS(N39-N43),'IMP Table'!$A$2:$C$26,3)*SIGN(N39-N43),"")</f>
        <v/>
      </c>
      <c r="U39">
        <f>IF(AND(ISNUMBER(N39),ISNUMBER(N44)),VLOOKUP(ABS(N39-N44),'IMP Table'!$A$2:$C$26,3)*SIGN(N39-N44),"")</f>
        <v/>
      </c>
      <c r="V39">
        <f>IF(AND(ISNUMBER(O39),ISNUMBER(O38)),VLOOKUP(ABS(O39-O38),'IMP Table'!$A$2:$C$26,3)*SIGN(O39-O38),"")</f>
        <v/>
      </c>
      <c r="W39">
        <f>IF(AND(ISNUMBER(O39),ISNUMBER(O40)),VLOOKUP(ABS(O39-O40),'IMP Table'!$A$2:$C$26,3)*SIGN(O39-O40),"")</f>
        <v/>
      </c>
      <c r="X39">
        <f>IF(AND(ISNUMBER(O39),ISNUMBER(O41)),VLOOKUP(ABS(O39-O41),'IMP Table'!$A$2:$C$26,3)*SIGN(O39-O41),"")</f>
        <v/>
      </c>
      <c r="Y39">
        <f>IF(AND(ISNUMBER(O39),ISNUMBER(O42)),VLOOKUP(ABS(O39-O42),'IMP Table'!$A$2:$C$26,3)*SIGN(O39-O42),"")</f>
        <v/>
      </c>
      <c r="Z39">
        <f>IF(AND(ISNUMBER(O39),ISNUMBER(O43)),VLOOKUP(ABS(O39-O43),'IMP Table'!$A$2:$C$26,3)*SIGN(O39-O43),"")</f>
        <v/>
      </c>
      <c r="AA39">
        <f>IF(AND(ISNUMBER(O39),ISNUMBER(O44)),VLOOKUP(ABS(O39-O44),'IMP Table'!$A$2:$C$26,3)*SIGN(O39-O44),"")</f>
        <v/>
      </c>
    </row>
    <row r="40">
      <c r="B40">
        <f>'By Round'!A58</f>
        <v/>
      </c>
      <c r="C40">
        <f>'By Round'!B70</f>
        <v/>
      </c>
      <c r="D40">
        <f>'By Round'!C70</f>
        <v/>
      </c>
      <c r="E40">
        <f>'By Round'!D70</f>
        <v/>
      </c>
      <c r="F40" s="10" t="inlineStr">
        <is>
          <t>EW</t>
        </is>
      </c>
      <c r="G40">
        <f>'By Round'!G71</f>
        <v/>
      </c>
      <c r="H40">
        <f>'By Round'!H71</f>
        <v/>
      </c>
      <c r="I40">
        <f>'By Round'!I71</f>
        <v/>
      </c>
      <c r="J40">
        <f>'By Round'!J71</f>
        <v/>
      </c>
      <c r="K40">
        <f>'By Round'!K71</f>
        <v/>
      </c>
      <c r="L40" s="11">
        <f>IFERROR(AVERAGE(P40:U40),"")</f>
        <v/>
      </c>
      <c r="M40" s="4">
        <f>IFERROR(AVERAGE(V40:AA40),"")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IF(AND(ISNUMBER(N40),ISNUMBER(N43)),VLOOKUP(ABS(N40-N43),'IMP Table'!$A$2:$C$26,3)*SIGN(N40-N43),"")</f>
        <v/>
      </c>
      <c r="U40">
        <f>IF(AND(ISNUMBER(N40),ISNUMBER(N44)),VLOOKUP(ABS(N40-N44),'IMP Table'!$A$2:$C$26,3)*SIGN(N40-N44),"")</f>
        <v/>
      </c>
      <c r="V40">
        <f>IF(AND(ISNUMBER(O40),ISNUMBER(O38)),VLOOKUP(ABS(O40-O38),'IMP Table'!$A$2:$C$26,3)*SIGN(O40-O38),"")</f>
        <v/>
      </c>
      <c r="W40">
        <f>IF(AND(ISNUMBER(O40),ISNUMBER(O39)),VLOOKUP(ABS(O40-O39),'IMP Table'!$A$2:$C$26,3)*SIGN(O40-O39),"")</f>
        <v/>
      </c>
      <c r="X40">
        <f>IF(AND(ISNUMBER(O40),ISNUMBER(O41)),VLOOKUP(ABS(O40-O41),'IMP Table'!$A$2:$C$26,3)*SIGN(O40-O41),"")</f>
        <v/>
      </c>
      <c r="Y40">
        <f>IF(AND(ISNUMBER(O40),ISNUMBER(O42)),VLOOKUP(ABS(O40-O42),'IMP Table'!$A$2:$C$26,3)*SIGN(O40-O42),"")</f>
        <v/>
      </c>
      <c r="Z40">
        <f>IF(AND(ISNUMBER(O40),ISNUMBER(O43)),VLOOKUP(ABS(O40-O43),'IMP Table'!$A$2:$C$26,3)*SIGN(O40-O43),"")</f>
        <v/>
      </c>
      <c r="AA40">
        <f>IF(AND(ISNUMBER(O40),ISNUMBER(O44)),VLOOKUP(ABS(O40-O44),'IMP Table'!$A$2:$C$26,3)*SIGN(O40-O44),"")</f>
        <v/>
      </c>
    </row>
    <row r="41">
      <c r="B41">
        <f>'By Round'!A72</f>
        <v/>
      </c>
      <c r="C41">
        <f>'By Round'!B82</f>
        <v/>
      </c>
      <c r="D41">
        <f>'By Round'!C82</f>
        <v/>
      </c>
      <c r="E41">
        <f>'By Round'!D82</f>
        <v/>
      </c>
      <c r="F41" s="10" t="inlineStr">
        <is>
          <t>EW</t>
        </is>
      </c>
      <c r="G41">
        <f>'By Round'!G83</f>
        <v/>
      </c>
      <c r="H41">
        <f>'By Round'!H83</f>
        <v/>
      </c>
      <c r="I41">
        <f>'By Round'!I83</f>
        <v/>
      </c>
      <c r="J41">
        <f>'By Round'!J83</f>
        <v/>
      </c>
      <c r="K41">
        <f>'By Round'!K83</f>
        <v/>
      </c>
      <c r="L41" s="11">
        <f>IFERROR(AVERAGE(P41:U41),"")</f>
        <v/>
      </c>
      <c r="M41" s="4">
        <f>IFERROR(AVERAGE(V41:AA41),"")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IF(AND(ISNUMBER(N41),ISNUMBER(N43)),VLOOKUP(ABS(N41-N43),'IMP Table'!$A$2:$C$26,3)*SIGN(N41-N43),"")</f>
        <v/>
      </c>
      <c r="U41">
        <f>IF(AND(ISNUMBER(N41),ISNUMBER(N44)),VLOOKUP(ABS(N41-N44),'IMP Table'!$A$2:$C$26,3)*SIGN(N41-N44),"")</f>
        <v/>
      </c>
      <c r="V41">
        <f>IF(AND(ISNUMBER(O41),ISNUMBER(O38)),VLOOKUP(ABS(O41-O38),'IMP Table'!$A$2:$C$26,3)*SIGN(O41-O38),"")</f>
        <v/>
      </c>
      <c r="W41">
        <f>IF(AND(ISNUMBER(O41),ISNUMBER(O39)),VLOOKUP(ABS(O41-O39),'IMP Table'!$A$2:$C$26,3)*SIGN(O41-O39),"")</f>
        <v/>
      </c>
      <c r="X41">
        <f>IF(AND(ISNUMBER(O41),ISNUMBER(O40)),VLOOKUP(ABS(O41-O40),'IMP Table'!$A$2:$C$26,3)*SIGN(O41-O40),"")</f>
        <v/>
      </c>
      <c r="Y41">
        <f>IF(AND(ISNUMBER(O41),ISNUMBER(O42)),VLOOKUP(ABS(O41-O42),'IMP Table'!$A$2:$C$26,3)*SIGN(O41-O42),"")</f>
        <v/>
      </c>
      <c r="Z41">
        <f>IF(AND(ISNUMBER(O41),ISNUMBER(O43)),VLOOKUP(ABS(O41-O43),'IMP Table'!$A$2:$C$26,3)*SIGN(O41-O43),"")</f>
        <v/>
      </c>
      <c r="AA41">
        <f>IF(AND(ISNUMBER(O41),ISNUMBER(O44)),VLOOKUP(ABS(O41-O44),'IMP Table'!$A$2:$C$26,3)*SIGN(O41-O44),"")</f>
        <v/>
      </c>
    </row>
    <row r="42">
      <c r="B42">
        <f>'By Round'!A86</f>
        <v/>
      </c>
      <c r="C42">
        <f>'By Round'!B94</f>
        <v/>
      </c>
      <c r="D42">
        <f>'By Round'!C94</f>
        <v/>
      </c>
      <c r="E42">
        <f>'By Round'!D94</f>
        <v/>
      </c>
      <c r="F42" s="10" t="inlineStr">
        <is>
          <t>EW</t>
        </is>
      </c>
      <c r="G42">
        <f>'By Round'!G95</f>
        <v/>
      </c>
      <c r="H42">
        <f>'By Round'!H95</f>
        <v/>
      </c>
      <c r="I42">
        <f>'By Round'!I95</f>
        <v/>
      </c>
      <c r="J42">
        <f>'By Round'!J95</f>
        <v/>
      </c>
      <c r="K42">
        <f>'By Round'!K95</f>
        <v/>
      </c>
      <c r="L42" s="11">
        <f>IFERROR(AVERAGE(P42:U42),"")</f>
        <v/>
      </c>
      <c r="M42" s="4">
        <f>IFERROR(AVERAGE(V42:AA42),"")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IF(AND(ISNUMBER(N42),ISNUMBER(N43)),VLOOKUP(ABS(N42-N43),'IMP Table'!$A$2:$C$26,3)*SIGN(N42-N43),"")</f>
        <v/>
      </c>
      <c r="U42">
        <f>IF(AND(ISNUMBER(N42),ISNUMBER(N44)),VLOOKUP(ABS(N42-N44),'IMP Table'!$A$2:$C$26,3)*SIGN(N42-N44),"")</f>
        <v/>
      </c>
      <c r="V42">
        <f>IF(AND(ISNUMBER(O42),ISNUMBER(O38)),VLOOKUP(ABS(O42-O38),'IMP Table'!$A$2:$C$26,3)*SIGN(O42-O38),"")</f>
        <v/>
      </c>
      <c r="W42">
        <f>IF(AND(ISNUMBER(O42),ISNUMBER(O39)),VLOOKUP(ABS(O42-O39),'IMP Table'!$A$2:$C$26,3)*SIGN(O42-O39),"")</f>
        <v/>
      </c>
      <c r="X42">
        <f>IF(AND(ISNUMBER(O42),ISNUMBER(O40)),VLOOKUP(ABS(O42-O40),'IMP Table'!$A$2:$C$26,3)*SIGN(O42-O40),"")</f>
        <v/>
      </c>
      <c r="Y42">
        <f>IF(AND(ISNUMBER(O42),ISNUMBER(O41)),VLOOKUP(ABS(O42-O41),'IMP Table'!$A$2:$C$26,3)*SIGN(O42-O41),"")</f>
        <v/>
      </c>
      <c r="Z42">
        <f>IF(AND(ISNUMBER(O42),ISNUMBER(O43)),VLOOKUP(ABS(O42-O43),'IMP Table'!$A$2:$C$26,3)*SIGN(O42-O43),"")</f>
        <v/>
      </c>
      <c r="AA42">
        <f>IF(AND(ISNUMBER(O42),ISNUMBER(O44)),VLOOKUP(ABS(O42-O44),'IMP Table'!$A$2:$C$26,3)*SIGN(O42-O44),"")</f>
        <v/>
      </c>
    </row>
    <row r="43">
      <c r="B43">
        <f>'By Round'!A156</f>
        <v/>
      </c>
      <c r="C43">
        <f>'By Round'!B162</f>
        <v/>
      </c>
      <c r="D43">
        <f>'By Round'!C162</f>
        <v/>
      </c>
      <c r="E43">
        <f>'By Round'!D162</f>
        <v/>
      </c>
      <c r="F43" s="10" t="inlineStr">
        <is>
          <t>EW</t>
        </is>
      </c>
      <c r="G43">
        <f>'By Round'!G163</f>
        <v/>
      </c>
      <c r="H43">
        <f>'By Round'!H163</f>
        <v/>
      </c>
      <c r="I43">
        <f>'By Round'!I163</f>
        <v/>
      </c>
      <c r="J43">
        <f>'By Round'!J163</f>
        <v/>
      </c>
      <c r="K43">
        <f>'By Round'!K163</f>
        <v/>
      </c>
      <c r="L43" s="11">
        <f>IFERROR(AVERAGE(P43:U43),"")</f>
        <v/>
      </c>
      <c r="M43" s="4">
        <f>IFERROR(AVERAGE(V43:AA43),"")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IF(AND(ISNUMBER(N43),ISNUMBER(N38)),VLOOKUP(ABS(N43-N38),'IMP Table'!$A$2:$C$26,3)*SIGN(N43-N38),"")</f>
        <v/>
      </c>
      <c r="Q43">
        <f>IF(AND(ISNUMBER(N43),ISNUMBER(N39)),VLOOKUP(ABS(N43-N39),'IMP Table'!$A$2:$C$26,3)*SIGN(N43-N39),"")</f>
        <v/>
      </c>
      <c r="R43">
        <f>IF(AND(ISNUMBER(N43),ISNUMBER(N40)),VLOOKUP(ABS(N43-N40),'IMP Table'!$A$2:$C$26,3)*SIGN(N43-N40),"")</f>
        <v/>
      </c>
      <c r="S43">
        <f>IF(AND(ISNUMBER(N43),ISNUMBER(N41)),VLOOKUP(ABS(N43-N41),'IMP Table'!$A$2:$C$26,3)*SIGN(N43-N41),"")</f>
        <v/>
      </c>
      <c r="T43">
        <f>IF(AND(ISNUMBER(N43),ISNUMBER(N42)),VLOOKUP(ABS(N43-N42),'IMP Table'!$A$2:$C$26,3)*SIGN(N43-N42),"")</f>
        <v/>
      </c>
      <c r="U43">
        <f>IF(AND(ISNUMBER(N43),ISNUMBER(N44)),VLOOKUP(ABS(N43-N44),'IMP Table'!$A$2:$C$26,3)*SIGN(N43-N44),"")</f>
        <v/>
      </c>
      <c r="V43">
        <f>IF(AND(ISNUMBER(O43),ISNUMBER(O38)),VLOOKUP(ABS(O43-O38),'IMP Table'!$A$2:$C$26,3)*SIGN(O43-O38),"")</f>
        <v/>
      </c>
      <c r="W43">
        <f>IF(AND(ISNUMBER(O43),ISNUMBER(O39)),VLOOKUP(ABS(O43-O39),'IMP Table'!$A$2:$C$26,3)*SIGN(O43-O39),"")</f>
        <v/>
      </c>
      <c r="X43">
        <f>IF(AND(ISNUMBER(O43),ISNUMBER(O40)),VLOOKUP(ABS(O43-O40),'IMP Table'!$A$2:$C$26,3)*SIGN(O43-O40),"")</f>
        <v/>
      </c>
      <c r="Y43">
        <f>IF(AND(ISNUMBER(O43),ISNUMBER(O41)),VLOOKUP(ABS(O43-O41),'IMP Table'!$A$2:$C$26,3)*SIGN(O43-O41),"")</f>
        <v/>
      </c>
      <c r="Z43">
        <f>IF(AND(ISNUMBER(O43),ISNUMBER(O42)),VLOOKUP(ABS(O43-O42),'IMP Table'!$A$2:$C$26,3)*SIGN(O43-O42),"")</f>
        <v/>
      </c>
      <c r="AA43">
        <f>IF(AND(ISNUMBER(O43),ISNUMBER(O44)),VLOOKUP(ABS(O43-O44),'IMP Table'!$A$2:$C$26,3)*SIGN(O43-O44),"")</f>
        <v/>
      </c>
    </row>
    <row r="44">
      <c r="B44">
        <f>'By Round'!A170</f>
        <v/>
      </c>
      <c r="C44">
        <f>'By Round'!B174</f>
        <v/>
      </c>
      <c r="D44">
        <f>'By Round'!C174</f>
        <v/>
      </c>
      <c r="E44">
        <f>'By Round'!D174</f>
        <v/>
      </c>
      <c r="F44" s="10" t="inlineStr">
        <is>
          <t>EW</t>
        </is>
      </c>
      <c r="G44">
        <f>'By Round'!G175</f>
        <v/>
      </c>
      <c r="H44">
        <f>'By Round'!H175</f>
        <v/>
      </c>
      <c r="I44">
        <f>'By Round'!I175</f>
        <v/>
      </c>
      <c r="J44">
        <f>'By Round'!J175</f>
        <v/>
      </c>
      <c r="K44">
        <f>'By Round'!K175</f>
        <v/>
      </c>
      <c r="L44" s="11">
        <f>IFERROR(AVERAGE(P44:U44),"")</f>
        <v/>
      </c>
      <c r="M44" s="4">
        <f>IFERROR(AVERAGE(V44:AA44),"")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IF(AND(ISNUMBER(N44),ISNUMBER(N38)),VLOOKUP(ABS(N44-N38),'IMP Table'!$A$2:$C$26,3)*SIGN(N44-N38),"")</f>
        <v/>
      </c>
      <c r="Q44">
        <f>IF(AND(ISNUMBER(N44),ISNUMBER(N39)),VLOOKUP(ABS(N44-N39),'IMP Table'!$A$2:$C$26,3)*SIGN(N44-N39),"")</f>
        <v/>
      </c>
      <c r="R44">
        <f>IF(AND(ISNUMBER(N44),ISNUMBER(N40)),VLOOKUP(ABS(N44-N40),'IMP Table'!$A$2:$C$26,3)*SIGN(N44-N40),"")</f>
        <v/>
      </c>
      <c r="S44">
        <f>IF(AND(ISNUMBER(N44),ISNUMBER(N41)),VLOOKUP(ABS(N44-N41),'IMP Table'!$A$2:$C$26,3)*SIGN(N44-N41),"")</f>
        <v/>
      </c>
      <c r="T44">
        <f>IF(AND(ISNUMBER(N44),ISNUMBER(N42)),VLOOKUP(ABS(N44-N42),'IMP Table'!$A$2:$C$26,3)*SIGN(N44-N42),"")</f>
        <v/>
      </c>
      <c r="U44">
        <f>IF(AND(ISNUMBER(N44),ISNUMBER(N43)),VLOOKUP(ABS(N44-N43),'IMP Table'!$A$2:$C$26,3)*SIGN(N44-N43),"")</f>
        <v/>
      </c>
      <c r="V44">
        <f>IF(AND(ISNUMBER(O44),ISNUMBER(O38)),VLOOKUP(ABS(O44-O38),'IMP Table'!$A$2:$C$26,3)*SIGN(O44-O38),"")</f>
        <v/>
      </c>
      <c r="W44">
        <f>IF(AND(ISNUMBER(O44),ISNUMBER(O39)),VLOOKUP(ABS(O44-O39),'IMP Table'!$A$2:$C$26,3)*SIGN(O44-O39),"")</f>
        <v/>
      </c>
      <c r="X44">
        <f>IF(AND(ISNUMBER(O44),ISNUMBER(O40)),VLOOKUP(ABS(O44-O40),'IMP Table'!$A$2:$C$26,3)*SIGN(O44-O40),"")</f>
        <v/>
      </c>
      <c r="Y44">
        <f>IF(AND(ISNUMBER(O44),ISNUMBER(O41)),VLOOKUP(ABS(O44-O41),'IMP Table'!$A$2:$C$26,3)*SIGN(O44-O41),"")</f>
        <v/>
      </c>
      <c r="Z44">
        <f>IF(AND(ISNUMBER(O44),ISNUMBER(O42)),VLOOKUP(ABS(O44-O42),'IMP Table'!$A$2:$C$26,3)*SIGN(O44-O42),"")</f>
        <v/>
      </c>
      <c r="AA44">
        <f>IF(AND(ISNUMBER(O44),ISNUMBER(O43)),VLOOKUP(ABS(O44-O43),'IMP Table'!$A$2:$C$26,3)*SIGN(O44-O43),"")</f>
        <v/>
      </c>
    </row>
    <row r="45">
      <c r="A45" t="n">
        <v>7</v>
      </c>
      <c r="B45">
        <f>'By Round'!A2</f>
        <v/>
      </c>
      <c r="C45">
        <f>'By Round'!B6</f>
        <v/>
      </c>
      <c r="D45">
        <f>'By Round'!C6</f>
        <v/>
      </c>
      <c r="E45">
        <f>'By Round'!D6</f>
        <v/>
      </c>
      <c r="F45" s="10" t="inlineStr">
        <is>
          <t>Both</t>
        </is>
      </c>
      <c r="G45">
        <f>'By Round'!G6</f>
        <v/>
      </c>
      <c r="H45">
        <f>'By Round'!H6</f>
        <v/>
      </c>
      <c r="I45">
        <f>'By Round'!I6</f>
        <v/>
      </c>
      <c r="J45">
        <f>'By Round'!J6</f>
        <v/>
      </c>
      <c r="K45">
        <f>'By Round'!K6</f>
        <v/>
      </c>
      <c r="L45" s="11">
        <f>IFERROR(AVERAGE(P45:U45),"")</f>
        <v/>
      </c>
      <c r="M45" s="4">
        <f>IFERROR(AVERAGE(V45:AA45),"")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IF(AND(ISNUMBER(N45),ISNUMBER(N46)),VLOOKUP(ABS(N45-N46),'IMP Table'!$A$2:$C$26,3)*SIGN(N45-N46),"")</f>
        <v/>
      </c>
      <c r="Q45">
        <f>IF(AND(ISNUMBER(N45),ISNUMBER(N47)),VLOOKUP(ABS(N45-N47),'IMP Table'!$A$2:$C$26,3)*SIGN(N45-N47),"")</f>
        <v/>
      </c>
      <c r="R45">
        <f>IF(AND(ISNUMBER(N45),ISNUMBER(N48)),VLOOKUP(ABS(N45-N48),'IMP Table'!$A$2:$C$26,3)*SIGN(N45-N48),"")</f>
        <v/>
      </c>
      <c r="S45">
        <f>IF(AND(ISNUMBER(N45),ISNUMBER(N49)),VLOOKUP(ABS(N45-N49),'IMP Table'!$A$2:$C$26,3)*SIGN(N45-N49),"")</f>
        <v/>
      </c>
      <c r="T45">
        <f>IF(AND(ISNUMBER(N45),ISNUMBER(N50)),VLOOKUP(ABS(N45-N50),'IMP Table'!$A$2:$C$26,3)*SIGN(N45-N50),"")</f>
        <v/>
      </c>
      <c r="U45">
        <f>IF(AND(ISNUMBER(N45),ISNUMBER(N51)),VLOOKUP(ABS(N45-N51),'IMP Table'!$A$2:$C$26,3)*SIGN(N45-N51),"")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  <c r="X45">
        <f>IF(AND(ISNUMBER(O45),ISNUMBER(O48)),VLOOKUP(ABS(O45-O48),'IMP Table'!$A$2:$C$26,3)*SIGN(O45-O48),"")</f>
        <v/>
      </c>
      <c r="Y45">
        <f>IF(AND(ISNUMBER(O45),ISNUMBER(O49)),VLOOKUP(ABS(O45-O49),'IMP Table'!$A$2:$C$26,3)*SIGN(O45-O49),"")</f>
        <v/>
      </c>
      <c r="Z45">
        <f>IF(AND(ISNUMBER(O45),ISNUMBER(O50)),VLOOKUP(ABS(O45-O50),'IMP Table'!$A$2:$C$26,3)*SIGN(O45-O50),"")</f>
        <v/>
      </c>
      <c r="AA45">
        <f>IF(AND(ISNUMBER(O45),ISNUMBER(O51)),VLOOKUP(ABS(O45-O51),'IMP Table'!$A$2:$C$26,3)*SIGN(O45-O51),"")</f>
        <v/>
      </c>
    </row>
    <row r="46">
      <c r="B46">
        <f>'By Round'!A16</f>
        <v/>
      </c>
      <c r="C46">
        <f>'By Round'!B18</f>
        <v/>
      </c>
      <c r="D46">
        <f>'By Round'!C18</f>
        <v/>
      </c>
      <c r="E46">
        <f>'By Round'!D18</f>
        <v/>
      </c>
      <c r="F46" s="10" t="inlineStr">
        <is>
          <t>Both</t>
        </is>
      </c>
      <c r="G46">
        <f>'By Round'!G18</f>
        <v/>
      </c>
      <c r="H46">
        <f>'By Round'!H18</f>
        <v/>
      </c>
      <c r="I46">
        <f>'By Round'!I18</f>
        <v/>
      </c>
      <c r="J46">
        <f>'By Round'!J18</f>
        <v/>
      </c>
      <c r="K46">
        <f>'By Round'!K18</f>
        <v/>
      </c>
      <c r="L46" s="11">
        <f>IFERROR(AVERAGE(P46:U46),"")</f>
        <v/>
      </c>
      <c r="M46" s="4">
        <f>IFERROR(AVERAGE(V46:AA46),"")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IF(AND(ISNUMBER(N46),ISNUMBER(N45)),VLOOKUP(ABS(N46-N45),'IMP Table'!$A$2:$C$26,3)*SIGN(N46-N45),"")</f>
        <v/>
      </c>
      <c r="Q46">
        <f>IF(AND(ISNUMBER(N46),ISNUMBER(N47)),VLOOKUP(ABS(N46-N47),'IMP Table'!$A$2:$C$26,3)*SIGN(N46-N47),"")</f>
        <v/>
      </c>
      <c r="R46">
        <f>IF(AND(ISNUMBER(N46),ISNUMBER(N48)),VLOOKUP(ABS(N46-N48),'IMP Table'!$A$2:$C$26,3)*SIGN(N46-N48),"")</f>
        <v/>
      </c>
      <c r="S46">
        <f>IF(AND(ISNUMBER(N46),ISNUMBER(N49)),VLOOKUP(ABS(N46-N49),'IMP Table'!$A$2:$C$26,3)*SIGN(N46-N49),"")</f>
        <v/>
      </c>
      <c r="T46">
        <f>IF(AND(ISNUMBER(N46),ISNUMBER(N50)),VLOOKUP(ABS(N46-N50),'IMP Table'!$A$2:$C$26,3)*SIGN(N46-N50),"")</f>
        <v/>
      </c>
      <c r="U46">
        <f>IF(AND(ISNUMBER(N46),ISNUMBER(N51)),VLOOKUP(ABS(N46-N51),'IMP Table'!$A$2:$C$26,3)*SIGN(N46-N51),"")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  <c r="X46">
        <f>IF(AND(ISNUMBER(O46),ISNUMBER(O48)),VLOOKUP(ABS(O46-O48),'IMP Table'!$A$2:$C$26,3)*SIGN(O46-O48),"")</f>
        <v/>
      </c>
      <c r="Y46">
        <f>IF(AND(ISNUMBER(O46),ISNUMBER(O49)),VLOOKUP(ABS(O46-O49),'IMP Table'!$A$2:$C$26,3)*SIGN(O46-O49),"")</f>
        <v/>
      </c>
      <c r="Z46">
        <f>IF(AND(ISNUMBER(O46),ISNUMBER(O50)),VLOOKUP(ABS(O46-O50),'IMP Table'!$A$2:$C$26,3)*SIGN(O46-O50),"")</f>
        <v/>
      </c>
      <c r="AA46">
        <f>IF(AND(ISNUMBER(O46),ISNUMBER(O51)),VLOOKUP(ABS(O46-O51),'IMP Table'!$A$2:$C$26,3)*SIGN(O46-O51),"")</f>
        <v/>
      </c>
    </row>
    <row r="47">
      <c r="B47">
        <f>'By Round'!A44</f>
        <v/>
      </c>
      <c r="C47">
        <f>'By Round'!B44</f>
        <v/>
      </c>
      <c r="D47">
        <f>'By Round'!C44</f>
        <v/>
      </c>
      <c r="E47">
        <f>'By Round'!D44</f>
        <v/>
      </c>
      <c r="F47" s="10" t="inlineStr">
        <is>
          <t>Both</t>
        </is>
      </c>
      <c r="G47">
        <f>'By Round'!G44</f>
        <v/>
      </c>
      <c r="H47">
        <f>'By Round'!H44</f>
        <v/>
      </c>
      <c r="I47">
        <f>'By Round'!I44</f>
        <v/>
      </c>
      <c r="J47">
        <f>'By Round'!J44</f>
        <v/>
      </c>
      <c r="K47">
        <f>'By Round'!K44</f>
        <v/>
      </c>
      <c r="L47" s="11">
        <f>IFERROR(AVERAGE(P47:U47),"")</f>
        <v/>
      </c>
      <c r="M47" s="4">
        <f>IFERROR(AVERAGE(V47:AA47),"")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IF(AND(ISNUMBER(N47),ISNUMBER(N45)),VLOOKUP(ABS(N47-N45),'IMP Table'!$A$2:$C$26,3)*SIGN(N47-N45),"")</f>
        <v/>
      </c>
      <c r="Q47">
        <f>IF(AND(ISNUMBER(N47),ISNUMBER(N46)),VLOOKUP(ABS(N47-N46),'IMP Table'!$A$2:$C$26,3)*SIGN(N47-N46),"")</f>
        <v/>
      </c>
      <c r="R47">
        <f>IF(AND(ISNUMBER(N47),ISNUMBER(N48)),VLOOKUP(ABS(N47-N48),'IMP Table'!$A$2:$C$26,3)*SIGN(N47-N48),"")</f>
        <v/>
      </c>
      <c r="S47">
        <f>IF(AND(ISNUMBER(N47),ISNUMBER(N49)),VLOOKUP(ABS(N47-N49),'IMP Table'!$A$2:$C$26,3)*SIGN(N47-N49),"")</f>
        <v/>
      </c>
      <c r="T47">
        <f>IF(AND(ISNUMBER(N47),ISNUMBER(N50)),VLOOKUP(ABS(N47-N50),'IMP Table'!$A$2:$C$26,3)*SIGN(N47-N50),"")</f>
        <v/>
      </c>
      <c r="U47">
        <f>IF(AND(ISNUMBER(N47),ISNUMBER(N51)),VLOOKUP(ABS(N47-N51),'IMP Table'!$A$2:$C$26,3)*SIGN(N47-N51),"")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  <c r="X47">
        <f>IF(AND(ISNUMBER(O47),ISNUMBER(O48)),VLOOKUP(ABS(O47-O48),'IMP Table'!$A$2:$C$26,3)*SIGN(O47-O48),"")</f>
        <v/>
      </c>
      <c r="Y47">
        <f>IF(AND(ISNUMBER(O47),ISNUMBER(O49)),VLOOKUP(ABS(O47-O49),'IMP Table'!$A$2:$C$26,3)*SIGN(O47-O49),"")</f>
        <v/>
      </c>
      <c r="Z47">
        <f>IF(AND(ISNUMBER(O47),ISNUMBER(O50)),VLOOKUP(ABS(O47-O50),'IMP Table'!$A$2:$C$26,3)*SIGN(O47-O50),"")</f>
        <v/>
      </c>
      <c r="AA47">
        <f>IF(AND(ISNUMBER(O47),ISNUMBER(O51)),VLOOKUP(ABS(O47-O51),'IMP Table'!$A$2:$C$26,3)*SIGN(O47-O51),"")</f>
        <v/>
      </c>
    </row>
    <row r="48">
      <c r="B48">
        <f>'By Round'!A72</f>
        <v/>
      </c>
      <c r="C48">
        <f>'By Round'!B84</f>
        <v/>
      </c>
      <c r="D48">
        <f>'By Round'!C84</f>
        <v/>
      </c>
      <c r="E48">
        <f>'By Round'!D84</f>
        <v/>
      </c>
      <c r="F48" s="10" t="inlineStr">
        <is>
          <t>Both</t>
        </is>
      </c>
      <c r="G48">
        <f>'By Round'!G84</f>
        <v/>
      </c>
      <c r="H48">
        <f>'By Round'!H84</f>
        <v/>
      </c>
      <c r="I48">
        <f>'By Round'!I84</f>
        <v/>
      </c>
      <c r="J48">
        <f>'By Round'!J84</f>
        <v/>
      </c>
      <c r="K48">
        <f>'By Round'!K84</f>
        <v/>
      </c>
      <c r="L48" s="11">
        <f>IFERROR(AVERAGE(P48:U48),"")</f>
        <v/>
      </c>
      <c r="M48" s="4">
        <f>IFERROR(AVERAGE(V48:AA48),"")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IF(AND(ISNUMBER(N48),ISNUMBER(N45)),VLOOKUP(ABS(N48-N45),'IMP Table'!$A$2:$C$26,3)*SIGN(N48-N45),"")</f>
        <v/>
      </c>
      <c r="Q48">
        <f>IF(AND(ISNUMBER(N48),ISNUMBER(N46)),VLOOKUP(ABS(N48-N46),'IMP Table'!$A$2:$C$26,3)*SIGN(N48-N46),"")</f>
        <v/>
      </c>
      <c r="R48">
        <f>IF(AND(ISNUMBER(N48),ISNUMBER(N47)),VLOOKUP(ABS(N48-N47),'IMP Table'!$A$2:$C$26,3)*SIGN(N48-N47),"")</f>
        <v/>
      </c>
      <c r="S48">
        <f>IF(AND(ISNUMBER(N48),ISNUMBER(N49)),VLOOKUP(ABS(N48-N49),'IMP Table'!$A$2:$C$26,3)*SIGN(N48-N49),"")</f>
        <v/>
      </c>
      <c r="T48">
        <f>IF(AND(ISNUMBER(N48),ISNUMBER(N50)),VLOOKUP(ABS(N48-N50),'IMP Table'!$A$2:$C$26,3)*SIGN(N48-N50),"")</f>
        <v/>
      </c>
      <c r="U48">
        <f>IF(AND(ISNUMBER(N48),ISNUMBER(N51)),VLOOKUP(ABS(N48-N51),'IMP Table'!$A$2:$C$26,3)*SIGN(N48-N51),"")</f>
        <v/>
      </c>
      <c r="V48">
        <f>IF(AND(ISNUMBER(O48),ISNUMBER(O45)),VLOOKUP(ABS(O48-O45),'IMP Table'!$A$2:$C$26,3)*SIGN(O48-O45),"")</f>
        <v/>
      </c>
      <c r="W48">
        <f>IF(AND(ISNUMBER(O48),ISNUMBER(O46)),VLOOKUP(ABS(O48-O46),'IMP Table'!$A$2:$C$26,3)*SIGN(O48-O46),"")</f>
        <v/>
      </c>
      <c r="X48">
        <f>IF(AND(ISNUMBER(O48),ISNUMBER(O47)),VLOOKUP(ABS(O48-O47),'IMP Table'!$A$2:$C$26,3)*SIGN(O48-O47),"")</f>
        <v/>
      </c>
      <c r="Y48">
        <f>IF(AND(ISNUMBER(O48),ISNUMBER(O49)),VLOOKUP(ABS(O48-O49),'IMP Table'!$A$2:$C$26,3)*SIGN(O48-O49),"")</f>
        <v/>
      </c>
      <c r="Z48">
        <f>IF(AND(ISNUMBER(O48),ISNUMBER(O50)),VLOOKUP(ABS(O48-O50),'IMP Table'!$A$2:$C$26,3)*SIGN(O48-O50),"")</f>
        <v/>
      </c>
      <c r="AA48">
        <f>IF(AND(ISNUMBER(O48),ISNUMBER(O51)),VLOOKUP(ABS(O48-O51),'IMP Table'!$A$2:$C$26,3)*SIGN(O48-O51),"")</f>
        <v/>
      </c>
    </row>
    <row r="49">
      <c r="B49">
        <f>'By Round'!A86</f>
        <v/>
      </c>
      <c r="C49">
        <f>'By Round'!B96</f>
        <v/>
      </c>
      <c r="D49">
        <f>'By Round'!C96</f>
        <v/>
      </c>
      <c r="E49">
        <f>'By Round'!D96</f>
        <v/>
      </c>
      <c r="F49" s="10" t="inlineStr">
        <is>
          <t>Both</t>
        </is>
      </c>
      <c r="G49">
        <f>'By Round'!G96</f>
        <v/>
      </c>
      <c r="H49">
        <f>'By Round'!H96</f>
        <v/>
      </c>
      <c r="I49">
        <f>'By Round'!I96</f>
        <v/>
      </c>
      <c r="J49">
        <f>'By Round'!J96</f>
        <v/>
      </c>
      <c r="K49">
        <f>'By Round'!K96</f>
        <v/>
      </c>
      <c r="L49" s="11">
        <f>IFERROR(AVERAGE(P49:U49),"")</f>
        <v/>
      </c>
      <c r="M49" s="4">
        <f>IFERROR(AVERAGE(V49:AA49),"")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IF(AND(ISNUMBER(N49),ISNUMBER(N45)),VLOOKUP(ABS(N49-N45),'IMP Table'!$A$2:$C$26,3)*SIGN(N49-N45),"")</f>
        <v/>
      </c>
      <c r="Q49">
        <f>IF(AND(ISNUMBER(N49),ISNUMBER(N46)),VLOOKUP(ABS(N49-N46),'IMP Table'!$A$2:$C$26,3)*SIGN(N49-N46),"")</f>
        <v/>
      </c>
      <c r="R49">
        <f>IF(AND(ISNUMBER(N49),ISNUMBER(N47)),VLOOKUP(ABS(N49-N47),'IMP Table'!$A$2:$C$26,3)*SIGN(N49-N47),"")</f>
        <v/>
      </c>
      <c r="S49">
        <f>IF(AND(ISNUMBER(N49),ISNUMBER(N48)),VLOOKUP(ABS(N49-N48),'IMP Table'!$A$2:$C$26,3)*SIGN(N49-N48),"")</f>
        <v/>
      </c>
      <c r="T49">
        <f>IF(AND(ISNUMBER(N49),ISNUMBER(N50)),VLOOKUP(ABS(N49-N50),'IMP Table'!$A$2:$C$26,3)*SIGN(N49-N50),"")</f>
        <v/>
      </c>
      <c r="U49">
        <f>IF(AND(ISNUMBER(N49),ISNUMBER(N51)),VLOOKUP(ABS(N49-N51),'IMP Table'!$A$2:$C$26,3)*SIGN(N49-N51),"")</f>
        <v/>
      </c>
      <c r="V49">
        <f>IF(AND(ISNUMBER(O49),ISNUMBER(O45)),VLOOKUP(ABS(O49-O45),'IMP Table'!$A$2:$C$26,3)*SIGN(O49-O45),"")</f>
        <v/>
      </c>
      <c r="W49">
        <f>IF(AND(ISNUMBER(O49),ISNUMBER(O46)),VLOOKUP(ABS(O49-O46),'IMP Table'!$A$2:$C$26,3)*SIGN(O49-O46),"")</f>
        <v/>
      </c>
      <c r="X49">
        <f>IF(AND(ISNUMBER(O49),ISNUMBER(O47)),VLOOKUP(ABS(O49-O47),'IMP Table'!$A$2:$C$26,3)*SIGN(O49-O47),"")</f>
        <v/>
      </c>
      <c r="Y49">
        <f>IF(AND(ISNUMBER(O49),ISNUMBER(O48)),VLOOKUP(ABS(O49-O48),'IMP Table'!$A$2:$C$26,3)*SIGN(O49-O48),"")</f>
        <v/>
      </c>
      <c r="Z49">
        <f>IF(AND(ISNUMBER(O49),ISNUMBER(O50)),VLOOKUP(ABS(O49-O50),'IMP Table'!$A$2:$C$26,3)*SIGN(O49-O50),"")</f>
        <v/>
      </c>
      <c r="AA49">
        <f>IF(AND(ISNUMBER(O49),ISNUMBER(O51)),VLOOKUP(ABS(O49-O51),'IMP Table'!$A$2:$C$26,3)*SIGN(O49-O51),"")</f>
        <v/>
      </c>
    </row>
    <row r="50">
      <c r="B50">
        <f>'By Round'!A100</f>
        <v/>
      </c>
      <c r="C50">
        <f>'By Round'!B108</f>
        <v/>
      </c>
      <c r="D50">
        <f>'By Round'!C108</f>
        <v/>
      </c>
      <c r="E50">
        <f>'By Round'!D108</f>
        <v/>
      </c>
      <c r="F50" s="10" t="inlineStr">
        <is>
          <t>Both</t>
        </is>
      </c>
      <c r="G50">
        <f>'By Round'!G108</f>
        <v/>
      </c>
      <c r="H50">
        <f>'By Round'!H108</f>
        <v/>
      </c>
      <c r="I50">
        <f>'By Round'!I108</f>
        <v/>
      </c>
      <c r="J50">
        <f>'By Round'!J108</f>
        <v/>
      </c>
      <c r="K50">
        <f>'By Round'!K108</f>
        <v/>
      </c>
      <c r="L50" s="11">
        <f>IFERROR(AVERAGE(P50:U50),"")</f>
        <v/>
      </c>
      <c r="M50" s="4">
        <f>IFERROR(AVERAGE(V50:AA50),"")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IF(AND(ISNUMBER(N50),ISNUMBER(N45)),VLOOKUP(ABS(N50-N45),'IMP Table'!$A$2:$C$26,3)*SIGN(N50-N45),"")</f>
        <v/>
      </c>
      <c r="Q50">
        <f>IF(AND(ISNUMBER(N50),ISNUMBER(N46)),VLOOKUP(ABS(N50-N46),'IMP Table'!$A$2:$C$26,3)*SIGN(N50-N46),"")</f>
        <v/>
      </c>
      <c r="R50">
        <f>IF(AND(ISNUMBER(N50),ISNUMBER(N47)),VLOOKUP(ABS(N50-N47),'IMP Table'!$A$2:$C$26,3)*SIGN(N50-N47),"")</f>
        <v/>
      </c>
      <c r="S50">
        <f>IF(AND(ISNUMBER(N50),ISNUMBER(N48)),VLOOKUP(ABS(N50-N48),'IMP Table'!$A$2:$C$26,3)*SIGN(N50-N48),"")</f>
        <v/>
      </c>
      <c r="T50">
        <f>IF(AND(ISNUMBER(N50),ISNUMBER(N49)),VLOOKUP(ABS(N50-N49),'IMP Table'!$A$2:$C$26,3)*SIGN(N50-N49),"")</f>
        <v/>
      </c>
      <c r="U50">
        <f>IF(AND(ISNUMBER(N50),ISNUMBER(N51)),VLOOKUP(ABS(N50-N51),'IMP Table'!$A$2:$C$26,3)*SIGN(N50-N51),"")</f>
        <v/>
      </c>
      <c r="V50">
        <f>IF(AND(ISNUMBER(O50),ISNUMBER(O45)),VLOOKUP(ABS(O50-O45),'IMP Table'!$A$2:$C$26,3)*SIGN(O50-O45),"")</f>
        <v/>
      </c>
      <c r="W50">
        <f>IF(AND(ISNUMBER(O50),ISNUMBER(O46)),VLOOKUP(ABS(O50-O46),'IMP Table'!$A$2:$C$26,3)*SIGN(O50-O46),"")</f>
        <v/>
      </c>
      <c r="X50">
        <f>IF(AND(ISNUMBER(O50),ISNUMBER(O47)),VLOOKUP(ABS(O50-O47),'IMP Table'!$A$2:$C$26,3)*SIGN(O50-O47),"")</f>
        <v/>
      </c>
      <c r="Y50">
        <f>IF(AND(ISNUMBER(O50),ISNUMBER(O48)),VLOOKUP(ABS(O50-O48),'IMP Table'!$A$2:$C$26,3)*SIGN(O50-O48),"")</f>
        <v/>
      </c>
      <c r="Z50">
        <f>IF(AND(ISNUMBER(O50),ISNUMBER(O49)),VLOOKUP(ABS(O50-O49),'IMP Table'!$A$2:$C$26,3)*SIGN(O50-O49),"")</f>
        <v/>
      </c>
      <c r="AA50">
        <f>IF(AND(ISNUMBER(O50),ISNUMBER(O51)),VLOOKUP(ABS(O50-O51),'IMP Table'!$A$2:$C$26,3)*SIGN(O50-O51),"")</f>
        <v/>
      </c>
    </row>
    <row r="51">
      <c r="B51">
        <f>'By Round'!A170</f>
        <v/>
      </c>
      <c r="C51">
        <f>'By Round'!B176</f>
        <v/>
      </c>
      <c r="D51">
        <f>'By Round'!C176</f>
        <v/>
      </c>
      <c r="E51">
        <f>'By Round'!D176</f>
        <v/>
      </c>
      <c r="F51" s="10" t="inlineStr">
        <is>
          <t>Both</t>
        </is>
      </c>
      <c r="G51">
        <f>'By Round'!G176</f>
        <v/>
      </c>
      <c r="H51">
        <f>'By Round'!H176</f>
        <v/>
      </c>
      <c r="I51">
        <f>'By Round'!I176</f>
        <v/>
      </c>
      <c r="J51">
        <f>'By Round'!J176</f>
        <v/>
      </c>
      <c r="K51">
        <f>'By Round'!K176</f>
        <v/>
      </c>
      <c r="L51" s="11">
        <f>IFERROR(AVERAGE(P51:U51),"")</f>
        <v/>
      </c>
      <c r="M51" s="4">
        <f>IFERROR(AVERAGE(V51:AA51),"")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IF(AND(ISNUMBER(N51),ISNUMBER(N45)),VLOOKUP(ABS(N51-N45),'IMP Table'!$A$2:$C$26,3)*SIGN(N51-N45),"")</f>
        <v/>
      </c>
      <c r="Q51">
        <f>IF(AND(ISNUMBER(N51),ISNUMBER(N46)),VLOOKUP(ABS(N51-N46),'IMP Table'!$A$2:$C$26,3)*SIGN(N51-N46),"")</f>
        <v/>
      </c>
      <c r="R51">
        <f>IF(AND(ISNUMBER(N51),ISNUMBER(N47)),VLOOKUP(ABS(N51-N47),'IMP Table'!$A$2:$C$26,3)*SIGN(N51-N47),"")</f>
        <v/>
      </c>
      <c r="S51">
        <f>IF(AND(ISNUMBER(N51),ISNUMBER(N48)),VLOOKUP(ABS(N51-N48),'IMP Table'!$A$2:$C$26,3)*SIGN(N51-N48),"")</f>
        <v/>
      </c>
      <c r="T51">
        <f>IF(AND(ISNUMBER(N51),ISNUMBER(N49)),VLOOKUP(ABS(N51-N49),'IMP Table'!$A$2:$C$26,3)*SIGN(N51-N49),"")</f>
        <v/>
      </c>
      <c r="U51">
        <f>IF(AND(ISNUMBER(N51),ISNUMBER(N50)),VLOOKUP(ABS(N51-N50),'IMP Table'!$A$2:$C$26,3)*SIGN(N51-N50),"")</f>
        <v/>
      </c>
      <c r="V51">
        <f>IF(AND(ISNUMBER(O51),ISNUMBER(O45)),VLOOKUP(ABS(O51-O45),'IMP Table'!$A$2:$C$26,3)*SIGN(O51-O45),"")</f>
        <v/>
      </c>
      <c r="W51">
        <f>IF(AND(ISNUMBER(O51),ISNUMBER(O46)),VLOOKUP(ABS(O51-O46),'IMP Table'!$A$2:$C$26,3)*SIGN(O51-O46),"")</f>
        <v/>
      </c>
      <c r="X51">
        <f>IF(AND(ISNUMBER(O51),ISNUMBER(O47)),VLOOKUP(ABS(O51-O47),'IMP Table'!$A$2:$C$26,3)*SIGN(O51-O47),"")</f>
        <v/>
      </c>
      <c r="Y51">
        <f>IF(AND(ISNUMBER(O51),ISNUMBER(O48)),VLOOKUP(ABS(O51-O48),'IMP Table'!$A$2:$C$26,3)*SIGN(O51-O48),"")</f>
        <v/>
      </c>
      <c r="Z51">
        <f>IF(AND(ISNUMBER(O51),ISNUMBER(O49)),VLOOKUP(ABS(O51-O49),'IMP Table'!$A$2:$C$26,3)*SIGN(O51-O49),"")</f>
        <v/>
      </c>
      <c r="AA51">
        <f>IF(AND(ISNUMBER(O51),ISNUMBER(O50)),VLOOKUP(ABS(O51-O50),'IMP Table'!$A$2:$C$26,3)*SIGN(O51-O50),"")</f>
        <v/>
      </c>
    </row>
    <row r="52">
      <c r="A52" t="n">
        <v>8</v>
      </c>
      <c r="B52">
        <f>'By Round'!A2</f>
        <v/>
      </c>
      <c r="C52">
        <f>'By Round'!B6</f>
        <v/>
      </c>
      <c r="D52">
        <f>'By Round'!C6</f>
        <v/>
      </c>
      <c r="E52">
        <f>'By Round'!D6</f>
        <v/>
      </c>
      <c r="F52" s="10" t="inlineStr">
        <is>
          <t>None</t>
        </is>
      </c>
      <c r="G52">
        <f>'By Round'!G7</f>
        <v/>
      </c>
      <c r="H52">
        <f>'By Round'!H7</f>
        <v/>
      </c>
      <c r="I52">
        <f>'By Round'!I7</f>
        <v/>
      </c>
      <c r="J52">
        <f>'By Round'!J7</f>
        <v/>
      </c>
      <c r="K52">
        <f>'By Round'!K7</f>
        <v/>
      </c>
      <c r="L52" s="11">
        <f>IFERROR(AVERAGE(P52:U52),"")</f>
        <v/>
      </c>
      <c r="M52" s="4">
        <f>IFERROR(AVERAGE(V52:AA52),"")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IF(AND(ISNUMBER(N52),ISNUMBER(N53)),VLOOKUP(ABS(N52-N53),'IMP Table'!$A$2:$C$26,3)*SIGN(N52-N53),"")</f>
        <v/>
      </c>
      <c r="Q52">
        <f>IF(AND(ISNUMBER(N52),ISNUMBER(N54)),VLOOKUP(ABS(N52-N54),'IMP Table'!$A$2:$C$26,3)*SIGN(N52-N54),"")</f>
        <v/>
      </c>
      <c r="R52">
        <f>IF(AND(ISNUMBER(N52),ISNUMBER(N55)),VLOOKUP(ABS(N52-N55),'IMP Table'!$A$2:$C$26,3)*SIGN(N52-N55),"")</f>
        <v/>
      </c>
      <c r="S52">
        <f>IF(AND(ISNUMBER(N52),ISNUMBER(N56)),VLOOKUP(ABS(N52-N56),'IMP Table'!$A$2:$C$26,3)*SIGN(N52-N56),"")</f>
        <v/>
      </c>
      <c r="T52">
        <f>IF(AND(ISNUMBER(N52),ISNUMBER(N57)),VLOOKUP(ABS(N52-N57),'IMP Table'!$A$2:$C$26,3)*SIGN(N52-N57),"")</f>
        <v/>
      </c>
      <c r="U52">
        <f>IF(AND(ISNUMBER(N52),ISNUMBER(N58)),VLOOKUP(ABS(N52-N58),'IMP Table'!$A$2:$C$26,3)*SIGN(N52-N58),"")</f>
        <v/>
      </c>
      <c r="V52">
        <f>IF(AND(ISNUMBER(O52),ISNUMBER(O53)),VLOOKUP(ABS(O52-O53),'IMP Table'!$A$2:$C$26,3)*SIGN(O52-O53),"")</f>
        <v/>
      </c>
      <c r="W52">
        <f>IF(AND(ISNUMBER(O52),ISNUMBER(O54)),VLOOKUP(ABS(O52-O54),'IMP Table'!$A$2:$C$26,3)*SIGN(O52-O54),"")</f>
        <v/>
      </c>
      <c r="X52">
        <f>IF(AND(ISNUMBER(O52),ISNUMBER(O55)),VLOOKUP(ABS(O52-O55),'IMP Table'!$A$2:$C$26,3)*SIGN(O52-O55),"")</f>
        <v/>
      </c>
      <c r="Y52">
        <f>IF(AND(ISNUMBER(O52),ISNUMBER(O56)),VLOOKUP(ABS(O52-O56),'IMP Table'!$A$2:$C$26,3)*SIGN(O52-O56),"")</f>
        <v/>
      </c>
      <c r="Z52">
        <f>IF(AND(ISNUMBER(O52),ISNUMBER(O57)),VLOOKUP(ABS(O52-O57),'IMP Table'!$A$2:$C$26,3)*SIGN(O52-O57),"")</f>
        <v/>
      </c>
      <c r="AA52">
        <f>IF(AND(ISNUMBER(O52),ISNUMBER(O58)),VLOOKUP(ABS(O52-O58),'IMP Table'!$A$2:$C$26,3)*SIGN(O52-O58),"")</f>
        <v/>
      </c>
    </row>
    <row r="53">
      <c r="B53">
        <f>'By Round'!A16</f>
        <v/>
      </c>
      <c r="C53">
        <f>'By Round'!B18</f>
        <v/>
      </c>
      <c r="D53">
        <f>'By Round'!C18</f>
        <v/>
      </c>
      <c r="E53">
        <f>'By Round'!D18</f>
        <v/>
      </c>
      <c r="F53" s="10" t="inlineStr">
        <is>
          <t>None</t>
        </is>
      </c>
      <c r="G53">
        <f>'By Round'!G19</f>
        <v/>
      </c>
      <c r="H53">
        <f>'By Round'!H19</f>
        <v/>
      </c>
      <c r="I53">
        <f>'By Round'!I19</f>
        <v/>
      </c>
      <c r="J53">
        <f>'By Round'!J19</f>
        <v/>
      </c>
      <c r="K53">
        <f>'By Round'!K19</f>
        <v/>
      </c>
      <c r="L53" s="11">
        <f>IFERROR(AVERAGE(P53:U53),"")</f>
        <v/>
      </c>
      <c r="M53" s="4">
        <f>IFERROR(AVERAGE(V53:AA53),"")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IF(AND(ISNUMBER(N53),ISNUMBER(N52)),VLOOKUP(ABS(N53-N52),'IMP Table'!$A$2:$C$26,3)*SIGN(N53-N52),"")</f>
        <v/>
      </c>
      <c r="Q53">
        <f>IF(AND(ISNUMBER(N53),ISNUMBER(N54)),VLOOKUP(ABS(N53-N54),'IMP Table'!$A$2:$C$26,3)*SIGN(N53-N54),"")</f>
        <v/>
      </c>
      <c r="R53">
        <f>IF(AND(ISNUMBER(N53),ISNUMBER(N55)),VLOOKUP(ABS(N53-N55),'IMP Table'!$A$2:$C$26,3)*SIGN(N53-N55),"")</f>
        <v/>
      </c>
      <c r="S53">
        <f>IF(AND(ISNUMBER(N53),ISNUMBER(N56)),VLOOKUP(ABS(N53-N56),'IMP Table'!$A$2:$C$26,3)*SIGN(N53-N56),"")</f>
        <v/>
      </c>
      <c r="T53">
        <f>IF(AND(ISNUMBER(N53),ISNUMBER(N57)),VLOOKUP(ABS(N53-N57),'IMP Table'!$A$2:$C$26,3)*SIGN(N53-N57),"")</f>
        <v/>
      </c>
      <c r="U53">
        <f>IF(AND(ISNUMBER(N53),ISNUMBER(N58)),VLOOKUP(ABS(N53-N58),'IMP Table'!$A$2:$C$26,3)*SIGN(N53-N58),"")</f>
        <v/>
      </c>
      <c r="V53">
        <f>IF(AND(ISNUMBER(O53),ISNUMBER(O52)),VLOOKUP(ABS(O53-O52),'IMP Table'!$A$2:$C$26,3)*SIGN(O53-O52),"")</f>
        <v/>
      </c>
      <c r="W53">
        <f>IF(AND(ISNUMBER(O53),ISNUMBER(O54)),VLOOKUP(ABS(O53-O54),'IMP Table'!$A$2:$C$26,3)*SIGN(O53-O54),"")</f>
        <v/>
      </c>
      <c r="X53">
        <f>IF(AND(ISNUMBER(O53),ISNUMBER(O55)),VLOOKUP(ABS(O53-O55),'IMP Table'!$A$2:$C$26,3)*SIGN(O53-O55),"")</f>
        <v/>
      </c>
      <c r="Y53">
        <f>IF(AND(ISNUMBER(O53),ISNUMBER(O56)),VLOOKUP(ABS(O53-O56),'IMP Table'!$A$2:$C$26,3)*SIGN(O53-O56),"")</f>
        <v/>
      </c>
      <c r="Z53">
        <f>IF(AND(ISNUMBER(O53),ISNUMBER(O57)),VLOOKUP(ABS(O53-O57),'IMP Table'!$A$2:$C$26,3)*SIGN(O53-O57),"")</f>
        <v/>
      </c>
      <c r="AA53">
        <f>IF(AND(ISNUMBER(O53),ISNUMBER(O58)),VLOOKUP(ABS(O53-O58),'IMP Table'!$A$2:$C$26,3)*SIGN(O53-O58),"")</f>
        <v/>
      </c>
    </row>
    <row r="54">
      <c r="B54">
        <f>'By Round'!A44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Round'!G45</f>
        <v/>
      </c>
      <c r="H54">
        <f>'By Round'!H45</f>
        <v/>
      </c>
      <c r="I54">
        <f>'By Round'!I45</f>
        <v/>
      </c>
      <c r="J54">
        <f>'By Round'!J45</f>
        <v/>
      </c>
      <c r="K54">
        <f>'By Round'!K45</f>
        <v/>
      </c>
      <c r="L54" s="11">
        <f>IFERROR(AVERAGE(P54:U54),"")</f>
        <v/>
      </c>
      <c r="M54" s="4">
        <f>IFERROR(AVERAGE(V54:AA54),"")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IF(AND(ISNUMBER(N54),ISNUMBER(N52)),VLOOKUP(ABS(N54-N52),'IMP Table'!$A$2:$C$26,3)*SIGN(N54-N52),"")</f>
        <v/>
      </c>
      <c r="Q54">
        <f>IF(AND(ISNUMBER(N54),ISNUMBER(N53)),VLOOKUP(ABS(N54-N53),'IMP Table'!$A$2:$C$26,3)*SIGN(N54-N53),"")</f>
        <v/>
      </c>
      <c r="R54">
        <f>IF(AND(ISNUMBER(N54),ISNUMBER(N55)),VLOOKUP(ABS(N54-N55),'IMP Table'!$A$2:$C$26,3)*SIGN(N54-N55),"")</f>
        <v/>
      </c>
      <c r="S54">
        <f>IF(AND(ISNUMBER(N54),ISNUMBER(N56)),VLOOKUP(ABS(N54-N56),'IMP Table'!$A$2:$C$26,3)*SIGN(N54-N56),"")</f>
        <v/>
      </c>
      <c r="T54">
        <f>IF(AND(ISNUMBER(N54),ISNUMBER(N57)),VLOOKUP(ABS(N54-N57),'IMP Table'!$A$2:$C$26,3)*SIGN(N54-N57),"")</f>
        <v/>
      </c>
      <c r="U54">
        <f>IF(AND(ISNUMBER(N54),ISNUMBER(N58)),VLOOKUP(ABS(N54-N58),'IMP Table'!$A$2:$C$26,3)*SIGN(N54-N58),"")</f>
        <v/>
      </c>
      <c r="V54">
        <f>IF(AND(ISNUMBER(O54),ISNUMBER(O52)),VLOOKUP(ABS(O54-O52),'IMP Table'!$A$2:$C$26,3)*SIGN(O54-O52),"")</f>
        <v/>
      </c>
      <c r="W54">
        <f>IF(AND(ISNUMBER(O54),ISNUMBER(O53)),VLOOKUP(ABS(O54-O53),'IMP Table'!$A$2:$C$26,3)*SIGN(O54-O53),"")</f>
        <v/>
      </c>
      <c r="X54">
        <f>IF(AND(ISNUMBER(O54),ISNUMBER(O55)),VLOOKUP(ABS(O54-O55),'IMP Table'!$A$2:$C$26,3)*SIGN(O54-O55),"")</f>
        <v/>
      </c>
      <c r="Y54">
        <f>IF(AND(ISNUMBER(O54),ISNUMBER(O56)),VLOOKUP(ABS(O54-O56),'IMP Table'!$A$2:$C$26,3)*SIGN(O54-O56),"")</f>
        <v/>
      </c>
      <c r="Z54">
        <f>IF(AND(ISNUMBER(O54),ISNUMBER(O57)),VLOOKUP(ABS(O54-O57),'IMP Table'!$A$2:$C$26,3)*SIGN(O54-O57),"")</f>
        <v/>
      </c>
      <c r="AA54">
        <f>IF(AND(ISNUMBER(O54),ISNUMBER(O58)),VLOOKUP(ABS(O54-O58),'IMP Table'!$A$2:$C$26,3)*SIGN(O54-O58),"")</f>
        <v/>
      </c>
    </row>
    <row r="55">
      <c r="B55">
        <f>'By Round'!A72</f>
        <v/>
      </c>
      <c r="C55">
        <f>'By Round'!B84</f>
        <v/>
      </c>
      <c r="D55">
        <f>'By Round'!C84</f>
        <v/>
      </c>
      <c r="E55">
        <f>'By Round'!D84</f>
        <v/>
      </c>
      <c r="F55" s="10" t="inlineStr">
        <is>
          <t>None</t>
        </is>
      </c>
      <c r="G55">
        <f>'By Round'!G85</f>
        <v/>
      </c>
      <c r="H55">
        <f>'By Round'!H85</f>
        <v/>
      </c>
      <c r="I55">
        <f>'By Round'!I85</f>
        <v/>
      </c>
      <c r="J55">
        <f>'By Round'!J85</f>
        <v/>
      </c>
      <c r="K55">
        <f>'By Round'!K85</f>
        <v/>
      </c>
      <c r="L55" s="11">
        <f>IFERROR(AVERAGE(P55:U55),"")</f>
        <v/>
      </c>
      <c r="M55" s="4">
        <f>IFERROR(AVERAGE(V55:AA55),"")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IF(AND(ISNUMBER(N55),ISNUMBER(N52)),VLOOKUP(ABS(N55-N52),'IMP Table'!$A$2:$C$26,3)*SIGN(N55-N52),"")</f>
        <v/>
      </c>
      <c r="Q55">
        <f>IF(AND(ISNUMBER(N55),ISNUMBER(N53)),VLOOKUP(ABS(N55-N53),'IMP Table'!$A$2:$C$26,3)*SIGN(N55-N53),"")</f>
        <v/>
      </c>
      <c r="R55">
        <f>IF(AND(ISNUMBER(N55),ISNUMBER(N54)),VLOOKUP(ABS(N55-N54),'IMP Table'!$A$2:$C$26,3)*SIGN(N55-N54),"")</f>
        <v/>
      </c>
      <c r="S55">
        <f>IF(AND(ISNUMBER(N55),ISNUMBER(N56)),VLOOKUP(ABS(N55-N56),'IMP Table'!$A$2:$C$26,3)*SIGN(N55-N56),"")</f>
        <v/>
      </c>
      <c r="T55">
        <f>IF(AND(ISNUMBER(N55),ISNUMBER(N57)),VLOOKUP(ABS(N55-N57),'IMP Table'!$A$2:$C$26,3)*SIGN(N55-N57),"")</f>
        <v/>
      </c>
      <c r="U55">
        <f>IF(AND(ISNUMBER(N55),ISNUMBER(N58)),VLOOKUP(ABS(N55-N58),'IMP Table'!$A$2:$C$26,3)*SIGN(N55-N58),"")</f>
        <v/>
      </c>
      <c r="V55">
        <f>IF(AND(ISNUMBER(O55),ISNUMBER(O52)),VLOOKUP(ABS(O55-O52),'IMP Table'!$A$2:$C$26,3)*SIGN(O55-O52),"")</f>
        <v/>
      </c>
      <c r="W55">
        <f>IF(AND(ISNUMBER(O55),ISNUMBER(O53)),VLOOKUP(ABS(O55-O53),'IMP Table'!$A$2:$C$26,3)*SIGN(O55-O53),"")</f>
        <v/>
      </c>
      <c r="X55">
        <f>IF(AND(ISNUMBER(O55),ISNUMBER(O54)),VLOOKUP(ABS(O55-O54),'IMP Table'!$A$2:$C$26,3)*SIGN(O55-O54),"")</f>
        <v/>
      </c>
      <c r="Y55">
        <f>IF(AND(ISNUMBER(O55),ISNUMBER(O56)),VLOOKUP(ABS(O55-O56),'IMP Table'!$A$2:$C$26,3)*SIGN(O55-O56),"")</f>
        <v/>
      </c>
      <c r="Z55">
        <f>IF(AND(ISNUMBER(O55),ISNUMBER(O57)),VLOOKUP(ABS(O55-O57),'IMP Table'!$A$2:$C$26,3)*SIGN(O55-O57),"")</f>
        <v/>
      </c>
      <c r="AA55">
        <f>IF(AND(ISNUMBER(O55),ISNUMBER(O58)),VLOOKUP(ABS(O55-O58),'IMP Table'!$A$2:$C$26,3)*SIGN(O55-O58),"")</f>
        <v/>
      </c>
    </row>
    <row r="56">
      <c r="B56">
        <f>'By Round'!A86</f>
        <v/>
      </c>
      <c r="C56">
        <f>'By Round'!B96</f>
        <v/>
      </c>
      <c r="D56">
        <f>'By Round'!C96</f>
        <v/>
      </c>
      <c r="E56">
        <f>'By Round'!D96</f>
        <v/>
      </c>
      <c r="F56" s="10" t="inlineStr">
        <is>
          <t>None</t>
        </is>
      </c>
      <c r="G56">
        <f>'By Round'!G97</f>
        <v/>
      </c>
      <c r="H56">
        <f>'By Round'!H97</f>
        <v/>
      </c>
      <c r="I56">
        <f>'By Round'!I97</f>
        <v/>
      </c>
      <c r="J56">
        <f>'By Round'!J97</f>
        <v/>
      </c>
      <c r="K56">
        <f>'By Round'!K97</f>
        <v/>
      </c>
      <c r="L56" s="11">
        <f>IFERROR(AVERAGE(P56:U56),"")</f>
        <v/>
      </c>
      <c r="M56" s="4">
        <f>IFERROR(AVERAGE(V56:AA56),"")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IF(AND(ISNUMBER(N56),ISNUMBER(N52)),VLOOKUP(ABS(N56-N52),'IMP Table'!$A$2:$C$26,3)*SIGN(N56-N52),"")</f>
        <v/>
      </c>
      <c r="Q56">
        <f>IF(AND(ISNUMBER(N56),ISNUMBER(N53)),VLOOKUP(ABS(N56-N53),'IMP Table'!$A$2:$C$26,3)*SIGN(N56-N53),"")</f>
        <v/>
      </c>
      <c r="R56">
        <f>IF(AND(ISNUMBER(N56),ISNUMBER(N54)),VLOOKUP(ABS(N56-N54),'IMP Table'!$A$2:$C$26,3)*SIGN(N56-N54),"")</f>
        <v/>
      </c>
      <c r="S56">
        <f>IF(AND(ISNUMBER(N56),ISNUMBER(N55)),VLOOKUP(ABS(N56-N55),'IMP Table'!$A$2:$C$26,3)*SIGN(N56-N55),"")</f>
        <v/>
      </c>
      <c r="T56">
        <f>IF(AND(ISNUMBER(N56),ISNUMBER(N57)),VLOOKUP(ABS(N56-N57),'IMP Table'!$A$2:$C$26,3)*SIGN(N56-N57),"")</f>
        <v/>
      </c>
      <c r="U56">
        <f>IF(AND(ISNUMBER(N56),ISNUMBER(N58)),VLOOKUP(ABS(N56-N58),'IMP Table'!$A$2:$C$26,3)*SIGN(N56-N58),"")</f>
        <v/>
      </c>
      <c r="V56">
        <f>IF(AND(ISNUMBER(O56),ISNUMBER(O52)),VLOOKUP(ABS(O56-O52),'IMP Table'!$A$2:$C$26,3)*SIGN(O56-O52),"")</f>
        <v/>
      </c>
      <c r="W56">
        <f>IF(AND(ISNUMBER(O56),ISNUMBER(O53)),VLOOKUP(ABS(O56-O53),'IMP Table'!$A$2:$C$26,3)*SIGN(O56-O53),"")</f>
        <v/>
      </c>
      <c r="X56">
        <f>IF(AND(ISNUMBER(O56),ISNUMBER(O54)),VLOOKUP(ABS(O56-O54),'IMP Table'!$A$2:$C$26,3)*SIGN(O56-O54),"")</f>
        <v/>
      </c>
      <c r="Y56">
        <f>IF(AND(ISNUMBER(O56),ISNUMBER(O55)),VLOOKUP(ABS(O56-O55),'IMP Table'!$A$2:$C$26,3)*SIGN(O56-O55),"")</f>
        <v/>
      </c>
      <c r="Z56">
        <f>IF(AND(ISNUMBER(O56),ISNUMBER(O57)),VLOOKUP(ABS(O56-O57),'IMP Table'!$A$2:$C$26,3)*SIGN(O56-O57),"")</f>
        <v/>
      </c>
      <c r="AA56">
        <f>IF(AND(ISNUMBER(O56),ISNUMBER(O58)),VLOOKUP(ABS(O56-O58),'IMP Table'!$A$2:$C$26,3)*SIGN(O56-O58),"")</f>
        <v/>
      </c>
    </row>
    <row r="57">
      <c r="B57">
        <f>'By Round'!A100</f>
        <v/>
      </c>
      <c r="C57">
        <f>'By Round'!B108</f>
        <v/>
      </c>
      <c r="D57">
        <f>'By Round'!C108</f>
        <v/>
      </c>
      <c r="E57">
        <f>'By Round'!D108</f>
        <v/>
      </c>
      <c r="F57" s="10" t="inlineStr">
        <is>
          <t>None</t>
        </is>
      </c>
      <c r="G57">
        <f>'By Round'!G109</f>
        <v/>
      </c>
      <c r="H57">
        <f>'By Round'!H109</f>
        <v/>
      </c>
      <c r="I57">
        <f>'By Round'!I109</f>
        <v/>
      </c>
      <c r="J57">
        <f>'By Round'!J109</f>
        <v/>
      </c>
      <c r="K57">
        <f>'By Round'!K109</f>
        <v/>
      </c>
      <c r="L57" s="11">
        <f>IFERROR(AVERAGE(P57:U57),"")</f>
        <v/>
      </c>
      <c r="M57" s="4">
        <f>IFERROR(AVERAGE(V57:AA57),"")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IF(AND(ISNUMBER(N57),ISNUMBER(N52)),VLOOKUP(ABS(N57-N52),'IMP Table'!$A$2:$C$26,3)*SIGN(N57-N52),"")</f>
        <v/>
      </c>
      <c r="Q57">
        <f>IF(AND(ISNUMBER(N57),ISNUMBER(N53)),VLOOKUP(ABS(N57-N53),'IMP Table'!$A$2:$C$26,3)*SIGN(N57-N53),"")</f>
        <v/>
      </c>
      <c r="R57">
        <f>IF(AND(ISNUMBER(N57),ISNUMBER(N54)),VLOOKUP(ABS(N57-N54),'IMP Table'!$A$2:$C$26,3)*SIGN(N57-N54),"")</f>
        <v/>
      </c>
      <c r="S57">
        <f>IF(AND(ISNUMBER(N57),ISNUMBER(N55)),VLOOKUP(ABS(N57-N55),'IMP Table'!$A$2:$C$26,3)*SIGN(N57-N55),"")</f>
        <v/>
      </c>
      <c r="T57">
        <f>IF(AND(ISNUMBER(N57),ISNUMBER(N56)),VLOOKUP(ABS(N57-N56),'IMP Table'!$A$2:$C$26,3)*SIGN(N57-N56),"")</f>
        <v/>
      </c>
      <c r="U57">
        <f>IF(AND(ISNUMBER(N57),ISNUMBER(N58)),VLOOKUP(ABS(N57-N58),'IMP Table'!$A$2:$C$26,3)*SIGN(N57-N58),"")</f>
        <v/>
      </c>
      <c r="V57">
        <f>IF(AND(ISNUMBER(O57),ISNUMBER(O52)),VLOOKUP(ABS(O57-O52),'IMP Table'!$A$2:$C$26,3)*SIGN(O57-O52),"")</f>
        <v/>
      </c>
      <c r="W57">
        <f>IF(AND(ISNUMBER(O57),ISNUMBER(O53)),VLOOKUP(ABS(O57-O53),'IMP Table'!$A$2:$C$26,3)*SIGN(O57-O53),"")</f>
        <v/>
      </c>
      <c r="X57">
        <f>IF(AND(ISNUMBER(O57),ISNUMBER(O54)),VLOOKUP(ABS(O57-O54),'IMP Table'!$A$2:$C$26,3)*SIGN(O57-O54),"")</f>
        <v/>
      </c>
      <c r="Y57">
        <f>IF(AND(ISNUMBER(O57),ISNUMBER(O55)),VLOOKUP(ABS(O57-O55),'IMP Table'!$A$2:$C$26,3)*SIGN(O57-O55),"")</f>
        <v/>
      </c>
      <c r="Z57">
        <f>IF(AND(ISNUMBER(O57),ISNUMBER(O56)),VLOOKUP(ABS(O57-O56),'IMP Table'!$A$2:$C$26,3)*SIGN(O57-O56),"")</f>
        <v/>
      </c>
      <c r="AA57">
        <f>IF(AND(ISNUMBER(O57),ISNUMBER(O58)),VLOOKUP(ABS(O57-O58),'IMP Table'!$A$2:$C$26,3)*SIGN(O57-O58),"")</f>
        <v/>
      </c>
    </row>
    <row r="58">
      <c r="B58">
        <f>'By Round'!A170</f>
        <v/>
      </c>
      <c r="C58">
        <f>'By Round'!B176</f>
        <v/>
      </c>
      <c r="D58">
        <f>'By Round'!C176</f>
        <v/>
      </c>
      <c r="E58">
        <f>'By Round'!D176</f>
        <v/>
      </c>
      <c r="F58" s="10" t="inlineStr">
        <is>
          <t>None</t>
        </is>
      </c>
      <c r="G58">
        <f>'By Round'!G177</f>
        <v/>
      </c>
      <c r="H58">
        <f>'By Round'!H177</f>
        <v/>
      </c>
      <c r="I58">
        <f>'By Round'!I177</f>
        <v/>
      </c>
      <c r="J58">
        <f>'By Round'!J177</f>
        <v/>
      </c>
      <c r="K58">
        <f>'By Round'!K177</f>
        <v/>
      </c>
      <c r="L58" s="11">
        <f>IFERROR(AVERAGE(P58:U58),"")</f>
        <v/>
      </c>
      <c r="M58" s="4">
        <f>IFERROR(AVERAGE(V58:AA58),"")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IF(AND(ISNUMBER(N58),ISNUMBER(N52)),VLOOKUP(ABS(N58-N52),'IMP Table'!$A$2:$C$26,3)*SIGN(N58-N52),"")</f>
        <v/>
      </c>
      <c r="Q58">
        <f>IF(AND(ISNUMBER(N58),ISNUMBER(N53)),VLOOKUP(ABS(N58-N53),'IMP Table'!$A$2:$C$26,3)*SIGN(N58-N53),"")</f>
        <v/>
      </c>
      <c r="R58">
        <f>IF(AND(ISNUMBER(N58),ISNUMBER(N54)),VLOOKUP(ABS(N58-N54),'IMP Table'!$A$2:$C$26,3)*SIGN(N58-N54),"")</f>
        <v/>
      </c>
      <c r="S58">
        <f>IF(AND(ISNUMBER(N58),ISNUMBER(N55)),VLOOKUP(ABS(N58-N55),'IMP Table'!$A$2:$C$26,3)*SIGN(N58-N55),"")</f>
        <v/>
      </c>
      <c r="T58">
        <f>IF(AND(ISNUMBER(N58),ISNUMBER(N56)),VLOOKUP(ABS(N58-N56),'IMP Table'!$A$2:$C$26,3)*SIGN(N58-N56),"")</f>
        <v/>
      </c>
      <c r="U58">
        <f>IF(AND(ISNUMBER(N58),ISNUMBER(N57)),VLOOKUP(ABS(N58-N57),'IMP Table'!$A$2:$C$26,3)*SIGN(N58-N57),"")</f>
        <v/>
      </c>
      <c r="V58">
        <f>IF(AND(ISNUMBER(O58),ISNUMBER(O52)),VLOOKUP(ABS(O58-O52),'IMP Table'!$A$2:$C$26,3)*SIGN(O58-O52),"")</f>
        <v/>
      </c>
      <c r="W58">
        <f>IF(AND(ISNUMBER(O58),ISNUMBER(O53)),VLOOKUP(ABS(O58-O53),'IMP Table'!$A$2:$C$26,3)*SIGN(O58-O53),"")</f>
        <v/>
      </c>
      <c r="X58">
        <f>IF(AND(ISNUMBER(O58),ISNUMBER(O54)),VLOOKUP(ABS(O58-O54),'IMP Table'!$A$2:$C$26,3)*SIGN(O58-O54),"")</f>
        <v/>
      </c>
      <c r="Y58">
        <f>IF(AND(ISNUMBER(O58),ISNUMBER(O55)),VLOOKUP(ABS(O58-O55),'IMP Table'!$A$2:$C$26,3)*SIGN(O58-O55),"")</f>
        <v/>
      </c>
      <c r="Z58">
        <f>IF(AND(ISNUMBER(O58),ISNUMBER(O56)),VLOOKUP(ABS(O58-O56),'IMP Table'!$A$2:$C$26,3)*SIGN(O58-O56),"")</f>
        <v/>
      </c>
      <c r="AA58">
        <f>IF(AND(ISNUMBER(O58),ISNUMBER(O57)),VLOOKUP(ABS(O58-O57),'IMP Table'!$A$2:$C$26,3)*SIGN(O58-O57),"")</f>
        <v/>
      </c>
    </row>
    <row r="59">
      <c r="A59" t="n">
        <v>9</v>
      </c>
      <c r="B59">
        <f>'By Round'!A2</f>
        <v/>
      </c>
      <c r="C59">
        <f>'By Round'!B8</f>
        <v/>
      </c>
      <c r="D59">
        <f>'By Round'!C8</f>
        <v/>
      </c>
      <c r="E59">
        <f>'By Round'!D8</f>
        <v/>
      </c>
      <c r="F59" s="10" t="inlineStr">
        <is>
          <t>EW</t>
        </is>
      </c>
      <c r="G59">
        <f>'By Round'!G8</f>
        <v/>
      </c>
      <c r="H59">
        <f>'By Round'!H8</f>
        <v/>
      </c>
      <c r="I59">
        <f>'By Round'!I8</f>
        <v/>
      </c>
      <c r="J59">
        <f>'By Round'!J8</f>
        <v/>
      </c>
      <c r="K59">
        <f>'By Round'!K8</f>
        <v/>
      </c>
      <c r="L59" s="11">
        <f>IFERROR(AVERAGE(P59:U59),"")</f>
        <v/>
      </c>
      <c r="M59" s="4">
        <f>IFERROR(AVERAGE(V59:AA59),"")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IF(AND(ISNUMBER(N59),ISNUMBER(N60)),VLOOKUP(ABS(N59-N60),'IMP Table'!$A$2:$C$26,3)*SIGN(N59-N60),"")</f>
        <v/>
      </c>
      <c r="Q59">
        <f>IF(AND(ISNUMBER(N59),ISNUMBER(N61)),VLOOKUP(ABS(N59-N61),'IMP Table'!$A$2:$C$26,3)*SIGN(N59-N61),"")</f>
        <v/>
      </c>
      <c r="R59">
        <f>IF(AND(ISNUMBER(N59),ISNUMBER(N62)),VLOOKUP(ABS(N59-N62),'IMP Table'!$A$2:$C$26,3)*SIGN(N59-N62),"")</f>
        <v/>
      </c>
      <c r="S59">
        <f>IF(AND(ISNUMBER(N59),ISNUMBER(N63)),VLOOKUP(ABS(N59-N63),'IMP Table'!$A$2:$C$26,3)*SIGN(N59-N63),"")</f>
        <v/>
      </c>
      <c r="T59">
        <f>IF(AND(ISNUMBER(N59),ISNUMBER(N64)),VLOOKUP(ABS(N59-N64),'IMP Table'!$A$2:$C$26,3)*SIGN(N59-N64),"")</f>
        <v/>
      </c>
      <c r="U59">
        <f>IF(AND(ISNUMBER(N59),ISNUMBER(N65)),VLOOKUP(ABS(N59-N65),'IMP Table'!$A$2:$C$26,3)*SIGN(N59-N65),"")</f>
        <v/>
      </c>
      <c r="V59">
        <f>IF(AND(ISNUMBER(O59),ISNUMBER(O60)),VLOOKUP(ABS(O59-O60),'IMP Table'!$A$2:$C$26,3)*SIGN(O59-O60),"")</f>
        <v/>
      </c>
      <c r="W59">
        <f>IF(AND(ISNUMBER(O59),ISNUMBER(O61)),VLOOKUP(ABS(O59-O61),'IMP Table'!$A$2:$C$26,3)*SIGN(O59-O61),"")</f>
        <v/>
      </c>
      <c r="X59">
        <f>IF(AND(ISNUMBER(O59),ISNUMBER(O62)),VLOOKUP(ABS(O59-O62),'IMP Table'!$A$2:$C$26,3)*SIGN(O59-O62),"")</f>
        <v/>
      </c>
      <c r="Y59">
        <f>IF(AND(ISNUMBER(O59),ISNUMBER(O63)),VLOOKUP(ABS(O59-O63),'IMP Table'!$A$2:$C$26,3)*SIGN(O59-O63),"")</f>
        <v/>
      </c>
      <c r="Z59">
        <f>IF(AND(ISNUMBER(O59),ISNUMBER(O64)),VLOOKUP(ABS(O59-O64),'IMP Table'!$A$2:$C$26,3)*SIGN(O59-O64),"")</f>
        <v/>
      </c>
      <c r="AA59">
        <f>IF(AND(ISNUMBER(O59),ISNUMBER(O65)),VLOOKUP(ABS(O59-O65),'IMP Table'!$A$2:$C$26,3)*SIGN(O59-O65),"")</f>
        <v/>
      </c>
    </row>
    <row r="60">
      <c r="B60">
        <f>'By Round'!A16</f>
        <v/>
      </c>
      <c r="C60">
        <f>'By Round'!B20</f>
        <v/>
      </c>
      <c r="D60">
        <f>'By Round'!C20</f>
        <v/>
      </c>
      <c r="E60">
        <f>'By Round'!D20</f>
        <v/>
      </c>
      <c r="F60" s="10" t="inlineStr">
        <is>
          <t>EW</t>
        </is>
      </c>
      <c r="G60">
        <f>'By Round'!G20</f>
        <v/>
      </c>
      <c r="H60">
        <f>'By Round'!H20</f>
        <v/>
      </c>
      <c r="I60">
        <f>'By Round'!I20</f>
        <v/>
      </c>
      <c r="J60">
        <f>'By Round'!J20</f>
        <v/>
      </c>
      <c r="K60">
        <f>'By Round'!K20</f>
        <v/>
      </c>
      <c r="L60" s="11">
        <f>IFERROR(AVERAGE(P60:U60),"")</f>
        <v/>
      </c>
      <c r="M60" s="4">
        <f>IFERROR(AVERAGE(V60:AA60),"")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IF(AND(ISNUMBER(N60),ISNUMBER(N59)),VLOOKUP(ABS(N60-N59),'IMP Table'!$A$2:$C$26,3)*SIGN(N60-N59),"")</f>
        <v/>
      </c>
      <c r="Q60">
        <f>IF(AND(ISNUMBER(N60),ISNUMBER(N61)),VLOOKUP(ABS(N60-N61),'IMP Table'!$A$2:$C$26,3)*SIGN(N60-N61),"")</f>
        <v/>
      </c>
      <c r="R60">
        <f>IF(AND(ISNUMBER(N60),ISNUMBER(N62)),VLOOKUP(ABS(N60-N62),'IMP Table'!$A$2:$C$26,3)*SIGN(N60-N62),"")</f>
        <v/>
      </c>
      <c r="S60">
        <f>IF(AND(ISNUMBER(N60),ISNUMBER(N63)),VLOOKUP(ABS(N60-N63),'IMP Table'!$A$2:$C$26,3)*SIGN(N60-N63),"")</f>
        <v/>
      </c>
      <c r="T60">
        <f>IF(AND(ISNUMBER(N60),ISNUMBER(N64)),VLOOKUP(ABS(N60-N64),'IMP Table'!$A$2:$C$26,3)*SIGN(N60-N64),"")</f>
        <v/>
      </c>
      <c r="U60">
        <f>IF(AND(ISNUMBER(N60),ISNUMBER(N65)),VLOOKUP(ABS(N60-N65),'IMP Table'!$A$2:$C$26,3)*SIGN(N60-N65),"")</f>
        <v/>
      </c>
      <c r="V60">
        <f>IF(AND(ISNUMBER(O60),ISNUMBER(O59)),VLOOKUP(ABS(O60-O59),'IMP Table'!$A$2:$C$26,3)*SIGN(O60-O59),"")</f>
        <v/>
      </c>
      <c r="W60">
        <f>IF(AND(ISNUMBER(O60),ISNUMBER(O61)),VLOOKUP(ABS(O60-O61),'IMP Table'!$A$2:$C$26,3)*SIGN(O60-O61),"")</f>
        <v/>
      </c>
      <c r="X60">
        <f>IF(AND(ISNUMBER(O60),ISNUMBER(O62)),VLOOKUP(ABS(O60-O62),'IMP Table'!$A$2:$C$26,3)*SIGN(O60-O62),"")</f>
        <v/>
      </c>
      <c r="Y60">
        <f>IF(AND(ISNUMBER(O60),ISNUMBER(O63)),VLOOKUP(ABS(O60-O63),'IMP Table'!$A$2:$C$26,3)*SIGN(O60-O63),"")</f>
        <v/>
      </c>
      <c r="Z60">
        <f>IF(AND(ISNUMBER(O60),ISNUMBER(O64)),VLOOKUP(ABS(O60-O64),'IMP Table'!$A$2:$C$26,3)*SIGN(O60-O64),"")</f>
        <v/>
      </c>
      <c r="AA60">
        <f>IF(AND(ISNUMBER(O60),ISNUMBER(O65)),VLOOKUP(ABS(O60-O65),'IMP Table'!$A$2:$C$26,3)*SIGN(O60-O65),"")</f>
        <v/>
      </c>
    </row>
    <row r="61">
      <c r="B61">
        <f>'By Round'!A30</f>
        <v/>
      </c>
      <c r="C61">
        <f>'By Round'!B32</f>
        <v/>
      </c>
      <c r="D61">
        <f>'By Round'!C32</f>
        <v/>
      </c>
      <c r="E61">
        <f>'By Round'!D32</f>
        <v/>
      </c>
      <c r="F61" s="10" t="inlineStr">
        <is>
          <t>EW</t>
        </is>
      </c>
      <c r="G61">
        <f>'By Round'!G32</f>
        <v/>
      </c>
      <c r="H61">
        <f>'By Round'!H32</f>
        <v/>
      </c>
      <c r="I61">
        <f>'By Round'!I32</f>
        <v/>
      </c>
      <c r="J61">
        <f>'By Round'!J32</f>
        <v/>
      </c>
      <c r="K61">
        <f>'By Round'!K32</f>
        <v/>
      </c>
      <c r="L61" s="11">
        <f>IFERROR(AVERAGE(P61:U61),"")</f>
        <v/>
      </c>
      <c r="M61" s="4">
        <f>IFERROR(AVERAGE(V61:AA61),"")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IF(AND(ISNUMBER(N61),ISNUMBER(N59)),VLOOKUP(ABS(N61-N59),'IMP Table'!$A$2:$C$26,3)*SIGN(N61-N59),"")</f>
        <v/>
      </c>
      <c r="Q61">
        <f>IF(AND(ISNUMBER(N61),ISNUMBER(N60)),VLOOKUP(ABS(N61-N60),'IMP Table'!$A$2:$C$26,3)*SIGN(N61-N60),"")</f>
        <v/>
      </c>
      <c r="R61">
        <f>IF(AND(ISNUMBER(N61),ISNUMBER(N62)),VLOOKUP(ABS(N61-N62),'IMP Table'!$A$2:$C$26,3)*SIGN(N61-N62),"")</f>
        <v/>
      </c>
      <c r="S61">
        <f>IF(AND(ISNUMBER(N61),ISNUMBER(N63)),VLOOKUP(ABS(N61-N63),'IMP Table'!$A$2:$C$26,3)*SIGN(N61-N63),"")</f>
        <v/>
      </c>
      <c r="T61">
        <f>IF(AND(ISNUMBER(N61),ISNUMBER(N64)),VLOOKUP(ABS(N61-N64),'IMP Table'!$A$2:$C$26,3)*SIGN(N61-N64),"")</f>
        <v/>
      </c>
      <c r="U61">
        <f>IF(AND(ISNUMBER(N61),ISNUMBER(N65)),VLOOKUP(ABS(N61-N65),'IMP Table'!$A$2:$C$26,3)*SIGN(N61-N65),"")</f>
        <v/>
      </c>
      <c r="V61">
        <f>IF(AND(ISNUMBER(O61),ISNUMBER(O59)),VLOOKUP(ABS(O61-O59),'IMP Table'!$A$2:$C$26,3)*SIGN(O61-O59),"")</f>
        <v/>
      </c>
      <c r="W61">
        <f>IF(AND(ISNUMBER(O61),ISNUMBER(O60)),VLOOKUP(ABS(O61-O60),'IMP Table'!$A$2:$C$26,3)*SIGN(O61-O60),"")</f>
        <v/>
      </c>
      <c r="X61">
        <f>IF(AND(ISNUMBER(O61),ISNUMBER(O62)),VLOOKUP(ABS(O61-O62),'IMP Table'!$A$2:$C$26,3)*SIGN(O61-O62),"")</f>
        <v/>
      </c>
      <c r="Y61">
        <f>IF(AND(ISNUMBER(O61),ISNUMBER(O63)),VLOOKUP(ABS(O61-O63),'IMP Table'!$A$2:$C$26,3)*SIGN(O61-O63),"")</f>
        <v/>
      </c>
      <c r="Z61">
        <f>IF(AND(ISNUMBER(O61),ISNUMBER(O64)),VLOOKUP(ABS(O61-O64),'IMP Table'!$A$2:$C$26,3)*SIGN(O61-O64),"")</f>
        <v/>
      </c>
      <c r="AA61">
        <f>IF(AND(ISNUMBER(O61),ISNUMBER(O65)),VLOOKUP(ABS(O61-O65),'IMP Table'!$A$2:$C$26,3)*SIGN(O61-O65),"")</f>
        <v/>
      </c>
    </row>
    <row r="62">
      <c r="B62">
        <f>'By Round'!A58</f>
        <v/>
      </c>
      <c r="C62">
        <f>'By Round'!B58</f>
        <v/>
      </c>
      <c r="D62">
        <f>'By Round'!C58</f>
        <v/>
      </c>
      <c r="E62">
        <f>'By Round'!D58</f>
        <v/>
      </c>
      <c r="F62" s="10" t="inlineStr">
        <is>
          <t>EW</t>
        </is>
      </c>
      <c r="G62">
        <f>'By Round'!G58</f>
        <v/>
      </c>
      <c r="H62">
        <f>'By Round'!H58</f>
        <v/>
      </c>
      <c r="I62">
        <f>'By Round'!I58</f>
        <v/>
      </c>
      <c r="J62">
        <f>'By Round'!J58</f>
        <v/>
      </c>
      <c r="K62">
        <f>'By Round'!K58</f>
        <v/>
      </c>
      <c r="L62" s="11">
        <f>IFERROR(AVERAGE(P62:U62),"")</f>
        <v/>
      </c>
      <c r="M62" s="4">
        <f>IFERROR(AVERAGE(V62:AA62),"")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IF(AND(ISNUMBER(N62),ISNUMBER(N59)),VLOOKUP(ABS(N62-N59),'IMP Table'!$A$2:$C$26,3)*SIGN(N62-N59),"")</f>
        <v/>
      </c>
      <c r="Q62">
        <f>IF(AND(ISNUMBER(N62),ISNUMBER(N60)),VLOOKUP(ABS(N62-N60),'IMP Table'!$A$2:$C$26,3)*SIGN(N62-N60),"")</f>
        <v/>
      </c>
      <c r="R62">
        <f>IF(AND(ISNUMBER(N62),ISNUMBER(N61)),VLOOKUP(ABS(N62-N61),'IMP Table'!$A$2:$C$26,3)*SIGN(N62-N61),"")</f>
        <v/>
      </c>
      <c r="S62">
        <f>IF(AND(ISNUMBER(N62),ISNUMBER(N63)),VLOOKUP(ABS(N62-N63),'IMP Table'!$A$2:$C$26,3)*SIGN(N62-N63),"")</f>
        <v/>
      </c>
      <c r="T62">
        <f>IF(AND(ISNUMBER(N62),ISNUMBER(N64)),VLOOKUP(ABS(N62-N64),'IMP Table'!$A$2:$C$26,3)*SIGN(N62-N64),"")</f>
        <v/>
      </c>
      <c r="U62">
        <f>IF(AND(ISNUMBER(N62),ISNUMBER(N65)),VLOOKUP(ABS(N62-N65),'IMP Table'!$A$2:$C$26,3)*SIGN(N62-N65),"")</f>
        <v/>
      </c>
      <c r="V62">
        <f>IF(AND(ISNUMBER(O62),ISNUMBER(O59)),VLOOKUP(ABS(O62-O59),'IMP Table'!$A$2:$C$26,3)*SIGN(O62-O59),"")</f>
        <v/>
      </c>
      <c r="W62">
        <f>IF(AND(ISNUMBER(O62),ISNUMBER(O60)),VLOOKUP(ABS(O62-O60),'IMP Table'!$A$2:$C$26,3)*SIGN(O62-O60),"")</f>
        <v/>
      </c>
      <c r="X62">
        <f>IF(AND(ISNUMBER(O62),ISNUMBER(O61)),VLOOKUP(ABS(O62-O61),'IMP Table'!$A$2:$C$26,3)*SIGN(O62-O61),"")</f>
        <v/>
      </c>
      <c r="Y62">
        <f>IF(AND(ISNUMBER(O62),ISNUMBER(O63)),VLOOKUP(ABS(O62-O63),'IMP Table'!$A$2:$C$26,3)*SIGN(O62-O63),"")</f>
        <v/>
      </c>
      <c r="Z62">
        <f>IF(AND(ISNUMBER(O62),ISNUMBER(O64)),VLOOKUP(ABS(O62-O64),'IMP Table'!$A$2:$C$26,3)*SIGN(O62-O64),"")</f>
        <v/>
      </c>
      <c r="AA62">
        <f>IF(AND(ISNUMBER(O62),ISNUMBER(O65)),VLOOKUP(ABS(O62-O65),'IMP Table'!$A$2:$C$26,3)*SIGN(O62-O65),"")</f>
        <v/>
      </c>
    </row>
    <row r="63">
      <c r="B63">
        <f>'By Round'!A86</f>
        <v/>
      </c>
      <c r="C63">
        <f>'By Round'!B98</f>
        <v/>
      </c>
      <c r="D63">
        <f>'By Round'!C98</f>
        <v/>
      </c>
      <c r="E63">
        <f>'By Round'!D98</f>
        <v/>
      </c>
      <c r="F63" s="10" t="inlineStr">
        <is>
          <t>EW</t>
        </is>
      </c>
      <c r="G63">
        <f>'By Round'!G98</f>
        <v/>
      </c>
      <c r="H63">
        <f>'By Round'!H98</f>
        <v/>
      </c>
      <c r="I63">
        <f>'By Round'!I98</f>
        <v/>
      </c>
      <c r="J63">
        <f>'By Round'!J98</f>
        <v/>
      </c>
      <c r="K63">
        <f>'By Round'!K98</f>
        <v/>
      </c>
      <c r="L63" s="11">
        <f>IFERROR(AVERAGE(P63:U63),"")</f>
        <v/>
      </c>
      <c r="M63" s="4">
        <f>IFERROR(AVERAGE(V63:AA63),"")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IF(AND(ISNUMBER(N63),ISNUMBER(N59)),VLOOKUP(ABS(N63-N59),'IMP Table'!$A$2:$C$26,3)*SIGN(N63-N59),"")</f>
        <v/>
      </c>
      <c r="Q63">
        <f>IF(AND(ISNUMBER(N63),ISNUMBER(N60)),VLOOKUP(ABS(N63-N60),'IMP Table'!$A$2:$C$26,3)*SIGN(N63-N60),"")</f>
        <v/>
      </c>
      <c r="R63">
        <f>IF(AND(ISNUMBER(N63),ISNUMBER(N61)),VLOOKUP(ABS(N63-N61),'IMP Table'!$A$2:$C$26,3)*SIGN(N63-N61),"")</f>
        <v/>
      </c>
      <c r="S63">
        <f>IF(AND(ISNUMBER(N63),ISNUMBER(N62)),VLOOKUP(ABS(N63-N62),'IMP Table'!$A$2:$C$26,3)*SIGN(N63-N62),"")</f>
        <v/>
      </c>
      <c r="T63">
        <f>IF(AND(ISNUMBER(N63),ISNUMBER(N64)),VLOOKUP(ABS(N63-N64),'IMP Table'!$A$2:$C$26,3)*SIGN(N63-N64),"")</f>
        <v/>
      </c>
      <c r="U63">
        <f>IF(AND(ISNUMBER(N63),ISNUMBER(N65)),VLOOKUP(ABS(N63-N65),'IMP Table'!$A$2:$C$26,3)*SIGN(N63-N65),"")</f>
        <v/>
      </c>
      <c r="V63">
        <f>IF(AND(ISNUMBER(O63),ISNUMBER(O59)),VLOOKUP(ABS(O63-O59),'IMP Table'!$A$2:$C$26,3)*SIGN(O63-O59),"")</f>
        <v/>
      </c>
      <c r="W63">
        <f>IF(AND(ISNUMBER(O63),ISNUMBER(O60)),VLOOKUP(ABS(O63-O60),'IMP Table'!$A$2:$C$26,3)*SIGN(O63-O60),"")</f>
        <v/>
      </c>
      <c r="X63">
        <f>IF(AND(ISNUMBER(O63),ISNUMBER(O61)),VLOOKUP(ABS(O63-O61),'IMP Table'!$A$2:$C$26,3)*SIGN(O63-O61),"")</f>
        <v/>
      </c>
      <c r="Y63">
        <f>IF(AND(ISNUMBER(O63),ISNUMBER(O62)),VLOOKUP(ABS(O63-O62),'IMP Table'!$A$2:$C$26,3)*SIGN(O63-O62),"")</f>
        <v/>
      </c>
      <c r="Z63">
        <f>IF(AND(ISNUMBER(O63),ISNUMBER(O64)),VLOOKUP(ABS(O63-O64),'IMP Table'!$A$2:$C$26,3)*SIGN(O63-O64),"")</f>
        <v/>
      </c>
      <c r="AA63">
        <f>IF(AND(ISNUMBER(O63),ISNUMBER(O65)),VLOOKUP(ABS(O63-O65),'IMP Table'!$A$2:$C$26,3)*SIGN(O63-O65),"")</f>
        <v/>
      </c>
    </row>
    <row r="64">
      <c r="B64">
        <f>'By Round'!A100</f>
        <v/>
      </c>
      <c r="C64">
        <f>'By Round'!B110</f>
        <v/>
      </c>
      <c r="D64">
        <f>'By Round'!C110</f>
        <v/>
      </c>
      <c r="E64">
        <f>'By Round'!D110</f>
        <v/>
      </c>
      <c r="F64" s="10" t="inlineStr">
        <is>
          <t>EW</t>
        </is>
      </c>
      <c r="G64">
        <f>'By Round'!G110</f>
        <v/>
      </c>
      <c r="H64">
        <f>'By Round'!H110</f>
        <v/>
      </c>
      <c r="I64">
        <f>'By Round'!I110</f>
        <v/>
      </c>
      <c r="J64">
        <f>'By Round'!J110</f>
        <v/>
      </c>
      <c r="K64">
        <f>'By Round'!K110</f>
        <v/>
      </c>
      <c r="L64" s="11">
        <f>IFERROR(AVERAGE(P64:U64),"")</f>
        <v/>
      </c>
      <c r="M64" s="4">
        <f>IFERROR(AVERAGE(V64:AA64),"")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IF(AND(ISNUMBER(N64),ISNUMBER(N59)),VLOOKUP(ABS(N64-N59),'IMP Table'!$A$2:$C$26,3)*SIGN(N64-N59),"")</f>
        <v/>
      </c>
      <c r="Q64">
        <f>IF(AND(ISNUMBER(N64),ISNUMBER(N60)),VLOOKUP(ABS(N64-N60),'IMP Table'!$A$2:$C$26,3)*SIGN(N64-N60),"")</f>
        <v/>
      </c>
      <c r="R64">
        <f>IF(AND(ISNUMBER(N64),ISNUMBER(N61)),VLOOKUP(ABS(N64-N61),'IMP Table'!$A$2:$C$26,3)*SIGN(N64-N61),"")</f>
        <v/>
      </c>
      <c r="S64">
        <f>IF(AND(ISNUMBER(N64),ISNUMBER(N62)),VLOOKUP(ABS(N64-N62),'IMP Table'!$A$2:$C$26,3)*SIGN(N64-N62),"")</f>
        <v/>
      </c>
      <c r="T64">
        <f>IF(AND(ISNUMBER(N64),ISNUMBER(N63)),VLOOKUP(ABS(N64-N63),'IMP Table'!$A$2:$C$26,3)*SIGN(N64-N63),"")</f>
        <v/>
      </c>
      <c r="U64">
        <f>IF(AND(ISNUMBER(N64),ISNUMBER(N65)),VLOOKUP(ABS(N64-N65),'IMP Table'!$A$2:$C$26,3)*SIGN(N64-N65),"")</f>
        <v/>
      </c>
      <c r="V64">
        <f>IF(AND(ISNUMBER(O64),ISNUMBER(O59)),VLOOKUP(ABS(O64-O59),'IMP Table'!$A$2:$C$26,3)*SIGN(O64-O59),"")</f>
        <v/>
      </c>
      <c r="W64">
        <f>IF(AND(ISNUMBER(O64),ISNUMBER(O60)),VLOOKUP(ABS(O64-O60),'IMP Table'!$A$2:$C$26,3)*SIGN(O64-O60),"")</f>
        <v/>
      </c>
      <c r="X64">
        <f>IF(AND(ISNUMBER(O64),ISNUMBER(O61)),VLOOKUP(ABS(O64-O61),'IMP Table'!$A$2:$C$26,3)*SIGN(O64-O61),"")</f>
        <v/>
      </c>
      <c r="Y64">
        <f>IF(AND(ISNUMBER(O64),ISNUMBER(O62)),VLOOKUP(ABS(O64-O62),'IMP Table'!$A$2:$C$26,3)*SIGN(O64-O62),"")</f>
        <v/>
      </c>
      <c r="Z64">
        <f>IF(AND(ISNUMBER(O64),ISNUMBER(O63)),VLOOKUP(ABS(O64-O63),'IMP Table'!$A$2:$C$26,3)*SIGN(O64-O63),"")</f>
        <v/>
      </c>
      <c r="AA64">
        <f>IF(AND(ISNUMBER(O64),ISNUMBER(O65)),VLOOKUP(ABS(O64-O65),'IMP Table'!$A$2:$C$26,3)*SIGN(O64-O65),"")</f>
        <v/>
      </c>
    </row>
    <row r="65">
      <c r="B65">
        <f>'By Round'!A114</f>
        <v/>
      </c>
      <c r="C65">
        <f>'By Round'!B122</f>
        <v/>
      </c>
      <c r="D65">
        <f>'By Round'!C122</f>
        <v/>
      </c>
      <c r="E65">
        <f>'By Round'!D122</f>
        <v/>
      </c>
      <c r="F65" s="10" t="inlineStr">
        <is>
          <t>EW</t>
        </is>
      </c>
      <c r="G65">
        <f>'By Round'!G122</f>
        <v/>
      </c>
      <c r="H65">
        <f>'By Round'!H122</f>
        <v/>
      </c>
      <c r="I65">
        <f>'By Round'!I122</f>
        <v/>
      </c>
      <c r="J65">
        <f>'By Round'!J122</f>
        <v/>
      </c>
      <c r="K65">
        <f>'By Round'!K122</f>
        <v/>
      </c>
      <c r="L65" s="11">
        <f>IFERROR(AVERAGE(P65:U65),"")</f>
        <v/>
      </c>
      <c r="M65" s="4">
        <f>IFERROR(AVERAGE(V65:AA65),"")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IF(AND(ISNUMBER(N65),ISNUMBER(N59)),VLOOKUP(ABS(N65-N59),'IMP Table'!$A$2:$C$26,3)*SIGN(N65-N59),"")</f>
        <v/>
      </c>
      <c r="Q65">
        <f>IF(AND(ISNUMBER(N65),ISNUMBER(N60)),VLOOKUP(ABS(N65-N60),'IMP Table'!$A$2:$C$26,3)*SIGN(N65-N60),"")</f>
        <v/>
      </c>
      <c r="R65">
        <f>IF(AND(ISNUMBER(N65),ISNUMBER(N61)),VLOOKUP(ABS(N65-N61),'IMP Table'!$A$2:$C$26,3)*SIGN(N65-N61),"")</f>
        <v/>
      </c>
      <c r="S65">
        <f>IF(AND(ISNUMBER(N65),ISNUMBER(N62)),VLOOKUP(ABS(N65-N62),'IMP Table'!$A$2:$C$26,3)*SIGN(N65-N62),"")</f>
        <v/>
      </c>
      <c r="T65">
        <f>IF(AND(ISNUMBER(N65),ISNUMBER(N63)),VLOOKUP(ABS(N65-N63),'IMP Table'!$A$2:$C$26,3)*SIGN(N65-N63),"")</f>
        <v/>
      </c>
      <c r="U65">
        <f>IF(AND(ISNUMBER(N65),ISNUMBER(N64)),VLOOKUP(ABS(N65-N64),'IMP Table'!$A$2:$C$26,3)*SIGN(N65-N64),"")</f>
        <v/>
      </c>
      <c r="V65">
        <f>IF(AND(ISNUMBER(O65),ISNUMBER(O59)),VLOOKUP(ABS(O65-O59),'IMP Table'!$A$2:$C$26,3)*SIGN(O65-O59),"")</f>
        <v/>
      </c>
      <c r="W65">
        <f>IF(AND(ISNUMBER(O65),ISNUMBER(O60)),VLOOKUP(ABS(O65-O60),'IMP Table'!$A$2:$C$26,3)*SIGN(O65-O60),"")</f>
        <v/>
      </c>
      <c r="X65">
        <f>IF(AND(ISNUMBER(O65),ISNUMBER(O61)),VLOOKUP(ABS(O65-O61),'IMP Table'!$A$2:$C$26,3)*SIGN(O65-O61),"")</f>
        <v/>
      </c>
      <c r="Y65">
        <f>IF(AND(ISNUMBER(O65),ISNUMBER(O62)),VLOOKUP(ABS(O65-O62),'IMP Table'!$A$2:$C$26,3)*SIGN(O65-O62),"")</f>
        <v/>
      </c>
      <c r="Z65">
        <f>IF(AND(ISNUMBER(O65),ISNUMBER(O63)),VLOOKUP(ABS(O65-O63),'IMP Table'!$A$2:$C$26,3)*SIGN(O65-O63),"")</f>
        <v/>
      </c>
      <c r="AA65">
        <f>IF(AND(ISNUMBER(O65),ISNUMBER(O64)),VLOOKUP(ABS(O65-O64),'IMP Table'!$A$2:$C$26,3)*SIGN(O65-O64),"")</f>
        <v/>
      </c>
    </row>
    <row r="66">
      <c r="A66" t="n">
        <v>10</v>
      </c>
      <c r="B66">
        <f>'By Round'!A2</f>
        <v/>
      </c>
      <c r="C66">
        <f>'By Round'!B8</f>
        <v/>
      </c>
      <c r="D66">
        <f>'By Round'!C8</f>
        <v/>
      </c>
      <c r="E66">
        <f>'By Round'!D8</f>
        <v/>
      </c>
      <c r="F66" s="10" t="inlineStr">
        <is>
          <t>Both</t>
        </is>
      </c>
      <c r="G66">
        <f>'By Round'!G9</f>
        <v/>
      </c>
      <c r="H66">
        <f>'By Round'!H9</f>
        <v/>
      </c>
      <c r="I66">
        <f>'By Round'!I9</f>
        <v/>
      </c>
      <c r="J66">
        <f>'By Round'!J9</f>
        <v/>
      </c>
      <c r="K66">
        <f>'By Round'!K9</f>
        <v/>
      </c>
      <c r="L66" s="11">
        <f>IFERROR(AVERAGE(P66:U66),"")</f>
        <v/>
      </c>
      <c r="M66" s="4">
        <f>IFERROR(AVERAGE(V66:AA66),"")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IF(AND(ISNUMBER(N66),ISNUMBER(N67)),VLOOKUP(ABS(N66-N67),'IMP Table'!$A$2:$C$26,3)*SIGN(N66-N67),"")</f>
        <v/>
      </c>
      <c r="Q66">
        <f>IF(AND(ISNUMBER(N66),ISNUMBER(N68)),VLOOKUP(ABS(N66-N68),'IMP Table'!$A$2:$C$26,3)*SIGN(N66-N68),"")</f>
        <v/>
      </c>
      <c r="R66">
        <f>IF(AND(ISNUMBER(N66),ISNUMBER(N69)),VLOOKUP(ABS(N66-N69),'IMP Table'!$A$2:$C$26,3)*SIGN(N66-N69),"")</f>
        <v/>
      </c>
      <c r="S66">
        <f>IF(AND(ISNUMBER(N66),ISNUMBER(N70)),VLOOKUP(ABS(N66-N70),'IMP Table'!$A$2:$C$26,3)*SIGN(N66-N70),"")</f>
        <v/>
      </c>
      <c r="T66">
        <f>IF(AND(ISNUMBER(N66),ISNUMBER(N71)),VLOOKUP(ABS(N66-N71),'IMP Table'!$A$2:$C$26,3)*SIGN(N66-N71),"")</f>
        <v/>
      </c>
      <c r="U66">
        <f>IF(AND(ISNUMBER(N66),ISNUMBER(N72)),VLOOKUP(ABS(N66-N72),'IMP Table'!$A$2:$C$26,3)*SIGN(N66-N72),"")</f>
        <v/>
      </c>
      <c r="V66">
        <f>IF(AND(ISNUMBER(O66),ISNUMBER(O67)),VLOOKUP(ABS(O66-O67),'IMP Table'!$A$2:$C$26,3)*SIGN(O66-O67),"")</f>
        <v/>
      </c>
      <c r="W66">
        <f>IF(AND(ISNUMBER(O66),ISNUMBER(O68)),VLOOKUP(ABS(O66-O68),'IMP Table'!$A$2:$C$26,3)*SIGN(O66-O68),"")</f>
        <v/>
      </c>
      <c r="X66">
        <f>IF(AND(ISNUMBER(O66),ISNUMBER(O69)),VLOOKUP(ABS(O66-O69),'IMP Table'!$A$2:$C$26,3)*SIGN(O66-O69),"")</f>
        <v/>
      </c>
      <c r="Y66">
        <f>IF(AND(ISNUMBER(O66),ISNUMBER(O70)),VLOOKUP(ABS(O66-O70),'IMP Table'!$A$2:$C$26,3)*SIGN(O66-O70),"")</f>
        <v/>
      </c>
      <c r="Z66">
        <f>IF(AND(ISNUMBER(O66),ISNUMBER(O71)),VLOOKUP(ABS(O66-O71),'IMP Table'!$A$2:$C$26,3)*SIGN(O66-O71),"")</f>
        <v/>
      </c>
      <c r="AA66">
        <f>IF(AND(ISNUMBER(O66),ISNUMBER(O72)),VLOOKUP(ABS(O66-O72),'IMP Table'!$A$2:$C$26,3)*SIGN(O66-O72),"")</f>
        <v/>
      </c>
    </row>
    <row r="67">
      <c r="B67">
        <f>'By Round'!A16</f>
        <v/>
      </c>
      <c r="C67">
        <f>'By Round'!B20</f>
        <v/>
      </c>
      <c r="D67">
        <f>'By Round'!C20</f>
        <v/>
      </c>
      <c r="E67">
        <f>'By Round'!D20</f>
        <v/>
      </c>
      <c r="F67" s="10" t="inlineStr">
        <is>
          <t>Both</t>
        </is>
      </c>
      <c r="G67">
        <f>'By Round'!G21</f>
        <v/>
      </c>
      <c r="H67">
        <f>'By Round'!H21</f>
        <v/>
      </c>
      <c r="I67">
        <f>'By Round'!I21</f>
        <v/>
      </c>
      <c r="J67">
        <f>'By Round'!J21</f>
        <v/>
      </c>
      <c r="K67">
        <f>'By Round'!K21</f>
        <v/>
      </c>
      <c r="L67" s="11">
        <f>IFERROR(AVERAGE(P67:U67),"")</f>
        <v/>
      </c>
      <c r="M67" s="4">
        <f>IFERROR(AVERAGE(V67:AA67),"")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IF(AND(ISNUMBER(N67),ISNUMBER(N66)),VLOOKUP(ABS(N67-N66),'IMP Table'!$A$2:$C$26,3)*SIGN(N67-N66),"")</f>
        <v/>
      </c>
      <c r="Q67">
        <f>IF(AND(ISNUMBER(N67),ISNUMBER(N68)),VLOOKUP(ABS(N67-N68),'IMP Table'!$A$2:$C$26,3)*SIGN(N67-N68),"")</f>
        <v/>
      </c>
      <c r="R67">
        <f>IF(AND(ISNUMBER(N67),ISNUMBER(N69)),VLOOKUP(ABS(N67-N69),'IMP Table'!$A$2:$C$26,3)*SIGN(N67-N69),"")</f>
        <v/>
      </c>
      <c r="S67">
        <f>IF(AND(ISNUMBER(N67),ISNUMBER(N70)),VLOOKUP(ABS(N67-N70),'IMP Table'!$A$2:$C$26,3)*SIGN(N67-N70),"")</f>
        <v/>
      </c>
      <c r="T67">
        <f>IF(AND(ISNUMBER(N67),ISNUMBER(N71)),VLOOKUP(ABS(N67-N71),'IMP Table'!$A$2:$C$26,3)*SIGN(N67-N71),"")</f>
        <v/>
      </c>
      <c r="U67">
        <f>IF(AND(ISNUMBER(N67),ISNUMBER(N72)),VLOOKUP(ABS(N67-N72),'IMP Table'!$A$2:$C$26,3)*SIGN(N67-N72),"")</f>
        <v/>
      </c>
      <c r="V67">
        <f>IF(AND(ISNUMBER(O67),ISNUMBER(O66)),VLOOKUP(ABS(O67-O66),'IMP Table'!$A$2:$C$26,3)*SIGN(O67-O66),"")</f>
        <v/>
      </c>
      <c r="W67">
        <f>IF(AND(ISNUMBER(O67),ISNUMBER(O68)),VLOOKUP(ABS(O67-O68),'IMP Table'!$A$2:$C$26,3)*SIGN(O67-O68),"")</f>
        <v/>
      </c>
      <c r="X67">
        <f>IF(AND(ISNUMBER(O67),ISNUMBER(O69)),VLOOKUP(ABS(O67-O69),'IMP Table'!$A$2:$C$26,3)*SIGN(O67-O69),"")</f>
        <v/>
      </c>
      <c r="Y67">
        <f>IF(AND(ISNUMBER(O67),ISNUMBER(O70)),VLOOKUP(ABS(O67-O70),'IMP Table'!$A$2:$C$26,3)*SIGN(O67-O70),"")</f>
        <v/>
      </c>
      <c r="Z67">
        <f>IF(AND(ISNUMBER(O67),ISNUMBER(O71)),VLOOKUP(ABS(O67-O71),'IMP Table'!$A$2:$C$26,3)*SIGN(O67-O71),"")</f>
        <v/>
      </c>
      <c r="AA67">
        <f>IF(AND(ISNUMBER(O67),ISNUMBER(O72)),VLOOKUP(ABS(O67-O72),'IMP Table'!$A$2:$C$26,3)*SIGN(O67-O72),"")</f>
        <v/>
      </c>
    </row>
    <row r="68">
      <c r="B68">
        <f>'By Round'!A30</f>
        <v/>
      </c>
      <c r="C68">
        <f>'By Round'!B32</f>
        <v/>
      </c>
      <c r="D68">
        <f>'By Round'!C32</f>
        <v/>
      </c>
      <c r="E68">
        <f>'By Round'!D32</f>
        <v/>
      </c>
      <c r="F68" s="10" t="inlineStr">
        <is>
          <t>Both</t>
        </is>
      </c>
      <c r="G68">
        <f>'By Round'!G33</f>
        <v/>
      </c>
      <c r="H68">
        <f>'By Round'!H33</f>
        <v/>
      </c>
      <c r="I68">
        <f>'By Round'!I33</f>
        <v/>
      </c>
      <c r="J68">
        <f>'By Round'!J33</f>
        <v/>
      </c>
      <c r="K68">
        <f>'By Round'!K33</f>
        <v/>
      </c>
      <c r="L68" s="11">
        <f>IFERROR(AVERAGE(P68:U68),"")</f>
        <v/>
      </c>
      <c r="M68" s="4">
        <f>IFERROR(AVERAGE(V68:AA68),"")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IF(AND(ISNUMBER(N68),ISNUMBER(N66)),VLOOKUP(ABS(N68-N66),'IMP Table'!$A$2:$C$26,3)*SIGN(N68-N66),"")</f>
        <v/>
      </c>
      <c r="Q68">
        <f>IF(AND(ISNUMBER(N68),ISNUMBER(N67)),VLOOKUP(ABS(N68-N67),'IMP Table'!$A$2:$C$26,3)*SIGN(N68-N67),"")</f>
        <v/>
      </c>
      <c r="R68">
        <f>IF(AND(ISNUMBER(N68),ISNUMBER(N69)),VLOOKUP(ABS(N68-N69),'IMP Table'!$A$2:$C$26,3)*SIGN(N68-N69),"")</f>
        <v/>
      </c>
      <c r="S68">
        <f>IF(AND(ISNUMBER(N68),ISNUMBER(N70)),VLOOKUP(ABS(N68-N70),'IMP Table'!$A$2:$C$26,3)*SIGN(N68-N70),"")</f>
        <v/>
      </c>
      <c r="T68">
        <f>IF(AND(ISNUMBER(N68),ISNUMBER(N71)),VLOOKUP(ABS(N68-N71),'IMP Table'!$A$2:$C$26,3)*SIGN(N68-N71),"")</f>
        <v/>
      </c>
      <c r="U68">
        <f>IF(AND(ISNUMBER(N68),ISNUMBER(N72)),VLOOKUP(ABS(N68-N72),'IMP Table'!$A$2:$C$26,3)*SIGN(N68-N72),"")</f>
        <v/>
      </c>
      <c r="V68">
        <f>IF(AND(ISNUMBER(O68),ISNUMBER(O66)),VLOOKUP(ABS(O68-O66),'IMP Table'!$A$2:$C$26,3)*SIGN(O68-O66),"")</f>
        <v/>
      </c>
      <c r="W68">
        <f>IF(AND(ISNUMBER(O68),ISNUMBER(O67)),VLOOKUP(ABS(O68-O67),'IMP Table'!$A$2:$C$26,3)*SIGN(O68-O67),"")</f>
        <v/>
      </c>
      <c r="X68">
        <f>IF(AND(ISNUMBER(O68),ISNUMBER(O69)),VLOOKUP(ABS(O68-O69),'IMP Table'!$A$2:$C$26,3)*SIGN(O68-O69),"")</f>
        <v/>
      </c>
      <c r="Y68">
        <f>IF(AND(ISNUMBER(O68),ISNUMBER(O70)),VLOOKUP(ABS(O68-O70),'IMP Table'!$A$2:$C$26,3)*SIGN(O68-O70),"")</f>
        <v/>
      </c>
      <c r="Z68">
        <f>IF(AND(ISNUMBER(O68),ISNUMBER(O71)),VLOOKUP(ABS(O68-O71),'IMP Table'!$A$2:$C$26,3)*SIGN(O68-O71),"")</f>
        <v/>
      </c>
      <c r="AA68">
        <f>IF(AND(ISNUMBER(O68),ISNUMBER(O72)),VLOOKUP(ABS(O68-O72),'IMP Table'!$A$2:$C$26,3)*SIGN(O68-O72),"")</f>
        <v/>
      </c>
    </row>
    <row r="69">
      <c r="B69">
        <f>'By Round'!A58</f>
        <v/>
      </c>
      <c r="C69">
        <f>'By Round'!B58</f>
        <v/>
      </c>
      <c r="D69">
        <f>'By Round'!C58</f>
        <v/>
      </c>
      <c r="E69">
        <f>'By Round'!D58</f>
        <v/>
      </c>
      <c r="F69" s="10" t="inlineStr">
        <is>
          <t>Both</t>
        </is>
      </c>
      <c r="G69">
        <f>'By Round'!G59</f>
        <v/>
      </c>
      <c r="H69">
        <f>'By Round'!H59</f>
        <v/>
      </c>
      <c r="I69">
        <f>'By Round'!I59</f>
        <v/>
      </c>
      <c r="J69">
        <f>'By Round'!J59</f>
        <v/>
      </c>
      <c r="K69">
        <f>'By Round'!K59</f>
        <v/>
      </c>
      <c r="L69" s="11">
        <f>IFERROR(AVERAGE(P69:U69),"")</f>
        <v/>
      </c>
      <c r="M69" s="4">
        <f>IFERROR(AVERAGE(V69:AA69),"")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IF(AND(ISNUMBER(N69),ISNUMBER(N66)),VLOOKUP(ABS(N69-N66),'IMP Table'!$A$2:$C$26,3)*SIGN(N69-N66),"")</f>
        <v/>
      </c>
      <c r="Q69">
        <f>IF(AND(ISNUMBER(N69),ISNUMBER(N67)),VLOOKUP(ABS(N69-N67),'IMP Table'!$A$2:$C$26,3)*SIGN(N69-N67),"")</f>
        <v/>
      </c>
      <c r="R69">
        <f>IF(AND(ISNUMBER(N69),ISNUMBER(N68)),VLOOKUP(ABS(N69-N68),'IMP Table'!$A$2:$C$26,3)*SIGN(N69-N68),"")</f>
        <v/>
      </c>
      <c r="S69">
        <f>IF(AND(ISNUMBER(N69),ISNUMBER(N70)),VLOOKUP(ABS(N69-N70),'IMP Table'!$A$2:$C$26,3)*SIGN(N69-N70),"")</f>
        <v/>
      </c>
      <c r="T69">
        <f>IF(AND(ISNUMBER(N69),ISNUMBER(N71)),VLOOKUP(ABS(N69-N71),'IMP Table'!$A$2:$C$26,3)*SIGN(N69-N71),"")</f>
        <v/>
      </c>
      <c r="U69">
        <f>IF(AND(ISNUMBER(N69),ISNUMBER(N72)),VLOOKUP(ABS(N69-N72),'IMP Table'!$A$2:$C$26,3)*SIGN(N69-N72),"")</f>
        <v/>
      </c>
      <c r="V69">
        <f>IF(AND(ISNUMBER(O69),ISNUMBER(O66)),VLOOKUP(ABS(O69-O66),'IMP Table'!$A$2:$C$26,3)*SIGN(O69-O66),"")</f>
        <v/>
      </c>
      <c r="W69">
        <f>IF(AND(ISNUMBER(O69),ISNUMBER(O67)),VLOOKUP(ABS(O69-O67),'IMP Table'!$A$2:$C$26,3)*SIGN(O69-O67),"")</f>
        <v/>
      </c>
      <c r="X69">
        <f>IF(AND(ISNUMBER(O69),ISNUMBER(O68)),VLOOKUP(ABS(O69-O68),'IMP Table'!$A$2:$C$26,3)*SIGN(O69-O68),"")</f>
        <v/>
      </c>
      <c r="Y69">
        <f>IF(AND(ISNUMBER(O69),ISNUMBER(O70)),VLOOKUP(ABS(O69-O70),'IMP Table'!$A$2:$C$26,3)*SIGN(O69-O70),"")</f>
        <v/>
      </c>
      <c r="Z69">
        <f>IF(AND(ISNUMBER(O69),ISNUMBER(O71)),VLOOKUP(ABS(O69-O71),'IMP Table'!$A$2:$C$26,3)*SIGN(O69-O71),"")</f>
        <v/>
      </c>
      <c r="AA69">
        <f>IF(AND(ISNUMBER(O69),ISNUMBER(O72)),VLOOKUP(ABS(O69-O72),'IMP Table'!$A$2:$C$26,3)*SIGN(O69-O72),"")</f>
        <v/>
      </c>
    </row>
    <row r="70">
      <c r="B70">
        <f>'By Round'!A86</f>
        <v/>
      </c>
      <c r="C70">
        <f>'By Round'!B98</f>
        <v/>
      </c>
      <c r="D70">
        <f>'By Round'!C98</f>
        <v/>
      </c>
      <c r="E70">
        <f>'By Round'!D98</f>
        <v/>
      </c>
      <c r="F70" s="10" t="inlineStr">
        <is>
          <t>Both</t>
        </is>
      </c>
      <c r="G70">
        <f>'By Round'!G99</f>
        <v/>
      </c>
      <c r="H70">
        <f>'By Round'!H99</f>
        <v/>
      </c>
      <c r="I70">
        <f>'By Round'!I99</f>
        <v/>
      </c>
      <c r="J70">
        <f>'By Round'!J99</f>
        <v/>
      </c>
      <c r="K70">
        <f>'By Round'!K99</f>
        <v/>
      </c>
      <c r="L70" s="11">
        <f>IFERROR(AVERAGE(P70:U70),"")</f>
        <v/>
      </c>
      <c r="M70" s="4">
        <f>IFERROR(AVERAGE(V70:AA70),"")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IF(AND(ISNUMBER(N70),ISNUMBER(N66)),VLOOKUP(ABS(N70-N66),'IMP Table'!$A$2:$C$26,3)*SIGN(N70-N66),"")</f>
        <v/>
      </c>
      <c r="Q70">
        <f>IF(AND(ISNUMBER(N70),ISNUMBER(N67)),VLOOKUP(ABS(N70-N67),'IMP Table'!$A$2:$C$26,3)*SIGN(N70-N67),"")</f>
        <v/>
      </c>
      <c r="R70">
        <f>IF(AND(ISNUMBER(N70),ISNUMBER(N68)),VLOOKUP(ABS(N70-N68),'IMP Table'!$A$2:$C$26,3)*SIGN(N70-N68),"")</f>
        <v/>
      </c>
      <c r="S70">
        <f>IF(AND(ISNUMBER(N70),ISNUMBER(N69)),VLOOKUP(ABS(N70-N69),'IMP Table'!$A$2:$C$26,3)*SIGN(N70-N69),"")</f>
        <v/>
      </c>
      <c r="T70">
        <f>IF(AND(ISNUMBER(N70),ISNUMBER(N71)),VLOOKUP(ABS(N70-N71),'IMP Table'!$A$2:$C$26,3)*SIGN(N70-N71),"")</f>
        <v/>
      </c>
      <c r="U70">
        <f>IF(AND(ISNUMBER(N70),ISNUMBER(N72)),VLOOKUP(ABS(N70-N72),'IMP Table'!$A$2:$C$26,3)*SIGN(N70-N72),"")</f>
        <v/>
      </c>
      <c r="V70">
        <f>IF(AND(ISNUMBER(O70),ISNUMBER(O66)),VLOOKUP(ABS(O70-O66),'IMP Table'!$A$2:$C$26,3)*SIGN(O70-O66),"")</f>
        <v/>
      </c>
      <c r="W70">
        <f>IF(AND(ISNUMBER(O70),ISNUMBER(O67)),VLOOKUP(ABS(O70-O67),'IMP Table'!$A$2:$C$26,3)*SIGN(O70-O67),"")</f>
        <v/>
      </c>
      <c r="X70">
        <f>IF(AND(ISNUMBER(O70),ISNUMBER(O68)),VLOOKUP(ABS(O70-O68),'IMP Table'!$A$2:$C$26,3)*SIGN(O70-O68),"")</f>
        <v/>
      </c>
      <c r="Y70">
        <f>IF(AND(ISNUMBER(O70),ISNUMBER(O69)),VLOOKUP(ABS(O70-O69),'IMP Table'!$A$2:$C$26,3)*SIGN(O70-O69),"")</f>
        <v/>
      </c>
      <c r="Z70">
        <f>IF(AND(ISNUMBER(O70),ISNUMBER(O71)),VLOOKUP(ABS(O70-O71),'IMP Table'!$A$2:$C$26,3)*SIGN(O70-O71),"")</f>
        <v/>
      </c>
      <c r="AA70">
        <f>IF(AND(ISNUMBER(O70),ISNUMBER(O72)),VLOOKUP(ABS(O70-O72),'IMP Table'!$A$2:$C$26,3)*SIGN(O70-O72),"")</f>
        <v/>
      </c>
    </row>
    <row r="71">
      <c r="B71">
        <f>'By Round'!A100</f>
        <v/>
      </c>
      <c r="C71">
        <f>'By Round'!B110</f>
        <v/>
      </c>
      <c r="D71">
        <f>'By Round'!C110</f>
        <v/>
      </c>
      <c r="E71">
        <f>'By Round'!D110</f>
        <v/>
      </c>
      <c r="F71" s="10" t="inlineStr">
        <is>
          <t>Both</t>
        </is>
      </c>
      <c r="G71">
        <f>'By Round'!G111</f>
        <v/>
      </c>
      <c r="H71">
        <f>'By Round'!H111</f>
        <v/>
      </c>
      <c r="I71">
        <f>'By Round'!I111</f>
        <v/>
      </c>
      <c r="J71">
        <f>'By Round'!J111</f>
        <v/>
      </c>
      <c r="K71">
        <f>'By Round'!K111</f>
        <v/>
      </c>
      <c r="L71" s="11">
        <f>IFERROR(AVERAGE(P71:U71),"")</f>
        <v/>
      </c>
      <c r="M71" s="4">
        <f>IFERROR(AVERAGE(V71:AA71),"")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IF(AND(ISNUMBER(N71),ISNUMBER(N66)),VLOOKUP(ABS(N71-N66),'IMP Table'!$A$2:$C$26,3)*SIGN(N71-N66),"")</f>
        <v/>
      </c>
      <c r="Q71">
        <f>IF(AND(ISNUMBER(N71),ISNUMBER(N67)),VLOOKUP(ABS(N71-N67),'IMP Table'!$A$2:$C$26,3)*SIGN(N71-N67),"")</f>
        <v/>
      </c>
      <c r="R71">
        <f>IF(AND(ISNUMBER(N71),ISNUMBER(N68)),VLOOKUP(ABS(N71-N68),'IMP Table'!$A$2:$C$26,3)*SIGN(N71-N68),"")</f>
        <v/>
      </c>
      <c r="S71">
        <f>IF(AND(ISNUMBER(N71),ISNUMBER(N69)),VLOOKUP(ABS(N71-N69),'IMP Table'!$A$2:$C$26,3)*SIGN(N71-N69),"")</f>
        <v/>
      </c>
      <c r="T71">
        <f>IF(AND(ISNUMBER(N71),ISNUMBER(N70)),VLOOKUP(ABS(N71-N70),'IMP Table'!$A$2:$C$26,3)*SIGN(N71-N70),"")</f>
        <v/>
      </c>
      <c r="U71">
        <f>IF(AND(ISNUMBER(N71),ISNUMBER(N72)),VLOOKUP(ABS(N71-N72),'IMP Table'!$A$2:$C$26,3)*SIGN(N71-N72),"")</f>
        <v/>
      </c>
      <c r="V71">
        <f>IF(AND(ISNUMBER(O71),ISNUMBER(O66)),VLOOKUP(ABS(O71-O66),'IMP Table'!$A$2:$C$26,3)*SIGN(O71-O66),"")</f>
        <v/>
      </c>
      <c r="W71">
        <f>IF(AND(ISNUMBER(O71),ISNUMBER(O67)),VLOOKUP(ABS(O71-O67),'IMP Table'!$A$2:$C$26,3)*SIGN(O71-O67),"")</f>
        <v/>
      </c>
      <c r="X71">
        <f>IF(AND(ISNUMBER(O71),ISNUMBER(O68)),VLOOKUP(ABS(O71-O68),'IMP Table'!$A$2:$C$26,3)*SIGN(O71-O68),"")</f>
        <v/>
      </c>
      <c r="Y71">
        <f>IF(AND(ISNUMBER(O71),ISNUMBER(O69)),VLOOKUP(ABS(O71-O69),'IMP Table'!$A$2:$C$26,3)*SIGN(O71-O69),"")</f>
        <v/>
      </c>
      <c r="Z71">
        <f>IF(AND(ISNUMBER(O71),ISNUMBER(O70)),VLOOKUP(ABS(O71-O70),'IMP Table'!$A$2:$C$26,3)*SIGN(O71-O70),"")</f>
        <v/>
      </c>
      <c r="AA71">
        <f>IF(AND(ISNUMBER(O71),ISNUMBER(O72)),VLOOKUP(ABS(O71-O72),'IMP Table'!$A$2:$C$26,3)*SIGN(O71-O72),"")</f>
        <v/>
      </c>
    </row>
    <row r="72">
      <c r="B72">
        <f>'By Round'!A114</f>
        <v/>
      </c>
      <c r="C72">
        <f>'By Round'!B122</f>
        <v/>
      </c>
      <c r="D72">
        <f>'By Round'!C122</f>
        <v/>
      </c>
      <c r="E72">
        <f>'By Round'!D122</f>
        <v/>
      </c>
      <c r="F72" s="10" t="inlineStr">
        <is>
          <t>Both</t>
        </is>
      </c>
      <c r="G72">
        <f>'By Round'!G123</f>
        <v/>
      </c>
      <c r="H72">
        <f>'By Round'!H123</f>
        <v/>
      </c>
      <c r="I72">
        <f>'By Round'!I123</f>
        <v/>
      </c>
      <c r="J72">
        <f>'By Round'!J123</f>
        <v/>
      </c>
      <c r="K72">
        <f>'By Round'!K123</f>
        <v/>
      </c>
      <c r="L72" s="11">
        <f>IFERROR(AVERAGE(P72:U72),"")</f>
        <v/>
      </c>
      <c r="M72" s="4">
        <f>IFERROR(AVERAGE(V72:AA72),"")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IF(AND(ISNUMBER(N72),ISNUMBER(N66)),VLOOKUP(ABS(N72-N66),'IMP Table'!$A$2:$C$26,3)*SIGN(N72-N66),"")</f>
        <v/>
      </c>
      <c r="Q72">
        <f>IF(AND(ISNUMBER(N72),ISNUMBER(N67)),VLOOKUP(ABS(N72-N67),'IMP Table'!$A$2:$C$26,3)*SIGN(N72-N67),"")</f>
        <v/>
      </c>
      <c r="R72">
        <f>IF(AND(ISNUMBER(N72),ISNUMBER(N68)),VLOOKUP(ABS(N72-N68),'IMP Table'!$A$2:$C$26,3)*SIGN(N72-N68),"")</f>
        <v/>
      </c>
      <c r="S72">
        <f>IF(AND(ISNUMBER(N72),ISNUMBER(N69)),VLOOKUP(ABS(N72-N69),'IMP Table'!$A$2:$C$26,3)*SIGN(N72-N69),"")</f>
        <v/>
      </c>
      <c r="T72">
        <f>IF(AND(ISNUMBER(N72),ISNUMBER(N70)),VLOOKUP(ABS(N72-N70),'IMP Table'!$A$2:$C$26,3)*SIGN(N72-N70),"")</f>
        <v/>
      </c>
      <c r="U72">
        <f>IF(AND(ISNUMBER(N72),ISNUMBER(N71)),VLOOKUP(ABS(N72-N71),'IMP Table'!$A$2:$C$26,3)*SIGN(N72-N71),"")</f>
        <v/>
      </c>
      <c r="V72">
        <f>IF(AND(ISNUMBER(O72),ISNUMBER(O66)),VLOOKUP(ABS(O72-O66),'IMP Table'!$A$2:$C$26,3)*SIGN(O72-O66),"")</f>
        <v/>
      </c>
      <c r="W72">
        <f>IF(AND(ISNUMBER(O72),ISNUMBER(O67)),VLOOKUP(ABS(O72-O67),'IMP Table'!$A$2:$C$26,3)*SIGN(O72-O67),"")</f>
        <v/>
      </c>
      <c r="X72">
        <f>IF(AND(ISNUMBER(O72),ISNUMBER(O68)),VLOOKUP(ABS(O72-O68),'IMP Table'!$A$2:$C$26,3)*SIGN(O72-O68),"")</f>
        <v/>
      </c>
      <c r="Y72">
        <f>IF(AND(ISNUMBER(O72),ISNUMBER(O69)),VLOOKUP(ABS(O72-O69),'IMP Table'!$A$2:$C$26,3)*SIGN(O72-O69),"")</f>
        <v/>
      </c>
      <c r="Z72">
        <f>IF(AND(ISNUMBER(O72),ISNUMBER(O70)),VLOOKUP(ABS(O72-O70),'IMP Table'!$A$2:$C$26,3)*SIGN(O72-O70),"")</f>
        <v/>
      </c>
      <c r="AA72">
        <f>IF(AND(ISNUMBER(O72),ISNUMBER(O71)),VLOOKUP(ABS(O72-O71),'IMP Table'!$A$2:$C$26,3)*SIGN(O72-O71),"")</f>
        <v/>
      </c>
    </row>
    <row r="73">
      <c r="A73" t="n">
        <v>11</v>
      </c>
      <c r="B73">
        <f>'By Round'!A16</f>
        <v/>
      </c>
      <c r="C73">
        <f>'By Round'!B22</f>
        <v/>
      </c>
      <c r="D73">
        <f>'By Round'!C22</f>
        <v/>
      </c>
      <c r="E73">
        <f>'By Round'!D22</f>
        <v/>
      </c>
      <c r="F73" s="10" t="inlineStr">
        <is>
          <t>None</t>
        </is>
      </c>
      <c r="G73">
        <f>'By Round'!G22</f>
        <v/>
      </c>
      <c r="H73">
        <f>'By Round'!H22</f>
        <v/>
      </c>
      <c r="I73">
        <f>'By Round'!I22</f>
        <v/>
      </c>
      <c r="J73">
        <f>'By Round'!J22</f>
        <v/>
      </c>
      <c r="K73">
        <f>'By Round'!K22</f>
        <v/>
      </c>
      <c r="L73" s="11">
        <f>IFERROR(AVERAGE(P73:U73),"")</f>
        <v/>
      </c>
      <c r="M73" s="4">
        <f>IFERROR(AVERAGE(V73:AA73),"")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IF(AND(ISNUMBER(N73),ISNUMBER(N78)),VLOOKUP(ABS(N73-N78),'IMP Table'!$A$2:$C$26,3)*SIGN(N73-N78),"")</f>
        <v/>
      </c>
      <c r="U73">
        <f>IF(AND(ISNUMBER(N73),ISNUMBER(N79)),VLOOKUP(ABS(N73-N79),'IMP Table'!$A$2:$C$26,3)*SIGN(N73-N79),"")</f>
        <v/>
      </c>
      <c r="V73">
        <f>IF(AND(ISNUMBER(O73),ISNUMBER(O74)),VLOOKUP(ABS(O73-O74),'IMP Table'!$A$2:$C$26,3)*SIGN(O73-O74),"")</f>
        <v/>
      </c>
      <c r="W73">
        <f>IF(AND(ISNUMBER(O73),ISNUMBER(O75)),VLOOKUP(ABS(O73-O75),'IMP Table'!$A$2:$C$26,3)*SIGN(O73-O75),"")</f>
        <v/>
      </c>
      <c r="X73">
        <f>IF(AND(ISNUMBER(O73),ISNUMBER(O76)),VLOOKUP(ABS(O73-O76),'IMP Table'!$A$2:$C$26,3)*SIGN(O73-O76),"")</f>
        <v/>
      </c>
      <c r="Y73">
        <f>IF(AND(ISNUMBER(O73),ISNUMBER(O77)),VLOOKUP(ABS(O73-O77),'IMP Table'!$A$2:$C$26,3)*SIGN(O73-O77),"")</f>
        <v/>
      </c>
      <c r="Z73">
        <f>IF(AND(ISNUMBER(O73),ISNUMBER(O78)),VLOOKUP(ABS(O73-O78),'IMP Table'!$A$2:$C$26,3)*SIGN(O73-O78),"")</f>
        <v/>
      </c>
      <c r="AA73">
        <f>IF(AND(ISNUMBER(O73),ISNUMBER(O79)),VLOOKUP(ABS(O73-O79),'IMP Table'!$A$2:$C$26,3)*SIGN(O73-O79),"")</f>
        <v/>
      </c>
    </row>
    <row r="74">
      <c r="B74">
        <f>'By Round'!A30</f>
        <v/>
      </c>
      <c r="C74">
        <f>'By Round'!B34</f>
        <v/>
      </c>
      <c r="D74">
        <f>'By Round'!C34</f>
        <v/>
      </c>
      <c r="E74">
        <f>'By Round'!D34</f>
        <v/>
      </c>
      <c r="F74" s="10" t="inlineStr">
        <is>
          <t>None</t>
        </is>
      </c>
      <c r="G74">
        <f>'By Round'!G34</f>
        <v/>
      </c>
      <c r="H74">
        <f>'By Round'!H34</f>
        <v/>
      </c>
      <c r="I74">
        <f>'By Round'!I34</f>
        <v/>
      </c>
      <c r="J74">
        <f>'By Round'!J34</f>
        <v/>
      </c>
      <c r="K74">
        <f>'By Round'!K34</f>
        <v/>
      </c>
      <c r="L74" s="11">
        <f>IFERROR(AVERAGE(P74:U74),"")</f>
        <v/>
      </c>
      <c r="M74" s="4">
        <f>IFERROR(AVERAGE(V74:AA74),"")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IF(AND(ISNUMBER(N74),ISNUMBER(N78)),VLOOKUP(ABS(N74-N78),'IMP Table'!$A$2:$C$26,3)*SIGN(N74-N78),"")</f>
        <v/>
      </c>
      <c r="U74">
        <f>IF(AND(ISNUMBER(N74),ISNUMBER(N79)),VLOOKUP(ABS(N74-N79),'IMP Table'!$A$2:$C$26,3)*SIGN(N74-N79),"")</f>
        <v/>
      </c>
      <c r="V74">
        <f>IF(AND(ISNUMBER(O74),ISNUMBER(O73)),VLOOKUP(ABS(O74-O73),'IMP Table'!$A$2:$C$26,3)*SIGN(O74-O73),"")</f>
        <v/>
      </c>
      <c r="W74">
        <f>IF(AND(ISNUMBER(O74),ISNUMBER(O75)),VLOOKUP(ABS(O74-O75),'IMP Table'!$A$2:$C$26,3)*SIGN(O74-O75),"")</f>
        <v/>
      </c>
      <c r="X74">
        <f>IF(AND(ISNUMBER(O74),ISNUMBER(O76)),VLOOKUP(ABS(O74-O76),'IMP Table'!$A$2:$C$26,3)*SIGN(O74-O76),"")</f>
        <v/>
      </c>
      <c r="Y74">
        <f>IF(AND(ISNUMBER(O74),ISNUMBER(O77)),VLOOKUP(ABS(O74-O77),'IMP Table'!$A$2:$C$26,3)*SIGN(O74-O77),"")</f>
        <v/>
      </c>
      <c r="Z74">
        <f>IF(AND(ISNUMBER(O74),ISNUMBER(O78)),VLOOKUP(ABS(O74-O78),'IMP Table'!$A$2:$C$26,3)*SIGN(O74-O78),"")</f>
        <v/>
      </c>
      <c r="AA74">
        <f>IF(AND(ISNUMBER(O74),ISNUMBER(O79)),VLOOKUP(ABS(O74-O79),'IMP Table'!$A$2:$C$26,3)*SIGN(O74-O79),"")</f>
        <v/>
      </c>
    </row>
    <row r="75">
      <c r="B75">
        <f>'By Round'!A44</f>
        <v/>
      </c>
      <c r="C75">
        <f>'By Round'!B46</f>
        <v/>
      </c>
      <c r="D75">
        <f>'By Round'!C46</f>
        <v/>
      </c>
      <c r="E75">
        <f>'By Round'!D46</f>
        <v/>
      </c>
      <c r="F75" s="10" t="inlineStr">
        <is>
          <t>None</t>
        </is>
      </c>
      <c r="G75">
        <f>'By Round'!G46</f>
        <v/>
      </c>
      <c r="H75">
        <f>'By Round'!H46</f>
        <v/>
      </c>
      <c r="I75">
        <f>'By Round'!I46</f>
        <v/>
      </c>
      <c r="J75">
        <f>'By Round'!J46</f>
        <v/>
      </c>
      <c r="K75">
        <f>'By Round'!K46</f>
        <v/>
      </c>
      <c r="L75" s="11">
        <f>IFERROR(AVERAGE(P75:U75),"")</f>
        <v/>
      </c>
      <c r="M75" s="4">
        <f>IFERROR(AVERAGE(V75:AA75),"")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IF(AND(ISNUMBER(N75),ISNUMBER(N78)),VLOOKUP(ABS(N75-N78),'IMP Table'!$A$2:$C$26,3)*SIGN(N75-N78),"")</f>
        <v/>
      </c>
      <c r="U75">
        <f>IF(AND(ISNUMBER(N75),ISNUMBER(N79)),VLOOKUP(ABS(N75-N79),'IMP Table'!$A$2:$C$26,3)*SIGN(N75-N79),"")</f>
        <v/>
      </c>
      <c r="V75">
        <f>IF(AND(ISNUMBER(O75),ISNUMBER(O73)),VLOOKUP(ABS(O75-O73),'IMP Table'!$A$2:$C$26,3)*SIGN(O75-O73),"")</f>
        <v/>
      </c>
      <c r="W75">
        <f>IF(AND(ISNUMBER(O75),ISNUMBER(O74)),VLOOKUP(ABS(O75-O74),'IMP Table'!$A$2:$C$26,3)*SIGN(O75-O74),"")</f>
        <v/>
      </c>
      <c r="X75">
        <f>IF(AND(ISNUMBER(O75),ISNUMBER(O76)),VLOOKUP(ABS(O75-O76),'IMP Table'!$A$2:$C$26,3)*SIGN(O75-O76),"")</f>
        <v/>
      </c>
      <c r="Y75">
        <f>IF(AND(ISNUMBER(O75),ISNUMBER(O77)),VLOOKUP(ABS(O75-O77),'IMP Table'!$A$2:$C$26,3)*SIGN(O75-O77),"")</f>
        <v/>
      </c>
      <c r="Z75">
        <f>IF(AND(ISNUMBER(O75),ISNUMBER(O78)),VLOOKUP(ABS(O75-O78),'IMP Table'!$A$2:$C$26,3)*SIGN(O75-O78),"")</f>
        <v/>
      </c>
      <c r="AA75">
        <f>IF(AND(ISNUMBER(O75),ISNUMBER(O79)),VLOOKUP(ABS(O75-O79),'IMP Table'!$A$2:$C$26,3)*SIGN(O75-O79),"")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None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IFERROR(AVERAGE(P76:U76),"")</f>
        <v/>
      </c>
      <c r="M76" s="4">
        <f>IFERROR(AVERAGE(V76:AA76),"")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IF(AND(ISNUMBER(N76),ISNUMBER(N78)),VLOOKUP(ABS(N76-N78),'IMP Table'!$A$2:$C$26,3)*SIGN(N76-N78),"")</f>
        <v/>
      </c>
      <c r="U76">
        <f>IF(AND(ISNUMBER(N76),ISNUMBER(N79)),VLOOKUP(ABS(N76-N79),'IMP Table'!$A$2:$C$26,3)*SIGN(N76-N79),"")</f>
        <v/>
      </c>
      <c r="V76">
        <f>IF(AND(ISNUMBER(O76),ISNUMBER(O73)),VLOOKUP(ABS(O76-O73),'IMP Table'!$A$2:$C$26,3)*SIGN(O76-O73),"")</f>
        <v/>
      </c>
      <c r="W76">
        <f>IF(AND(ISNUMBER(O76),ISNUMBER(O74)),VLOOKUP(ABS(O76-O74),'IMP Table'!$A$2:$C$26,3)*SIGN(O76-O74),"")</f>
        <v/>
      </c>
      <c r="X76">
        <f>IF(AND(ISNUMBER(O76),ISNUMBER(O75)),VLOOKUP(ABS(O76-O75),'IMP Table'!$A$2:$C$26,3)*SIGN(O76-O75),"")</f>
        <v/>
      </c>
      <c r="Y76">
        <f>IF(AND(ISNUMBER(O76),ISNUMBER(O77)),VLOOKUP(ABS(O76-O77),'IMP Table'!$A$2:$C$26,3)*SIGN(O76-O77),"")</f>
        <v/>
      </c>
      <c r="Z76">
        <f>IF(AND(ISNUMBER(O76),ISNUMBER(O78)),VLOOKUP(ABS(O76-O78),'IMP Table'!$A$2:$C$26,3)*SIGN(O76-O78),"")</f>
        <v/>
      </c>
      <c r="AA76">
        <f>IF(AND(ISNUMBER(O76),ISNUMBER(O79)),VLOOKUP(ABS(O76-O79),'IMP Table'!$A$2:$C$26,3)*SIGN(O76-O79),"")</f>
        <v/>
      </c>
    </row>
    <row r="77">
      <c r="B77">
        <f>'By Round'!A100</f>
        <v/>
      </c>
      <c r="C77">
        <f>'By Round'!B112</f>
        <v/>
      </c>
      <c r="D77">
        <f>'By Round'!C112</f>
        <v/>
      </c>
      <c r="E77">
        <f>'By Round'!D112</f>
        <v/>
      </c>
      <c r="F77" s="10" t="inlineStr">
        <is>
          <t>None</t>
        </is>
      </c>
      <c r="G77">
        <f>'By Round'!G112</f>
        <v/>
      </c>
      <c r="H77">
        <f>'By Round'!H112</f>
        <v/>
      </c>
      <c r="I77">
        <f>'By Round'!I112</f>
        <v/>
      </c>
      <c r="J77">
        <f>'By Round'!J112</f>
        <v/>
      </c>
      <c r="K77">
        <f>'By Round'!K112</f>
        <v/>
      </c>
      <c r="L77" s="11">
        <f>IFERROR(AVERAGE(P77:U77),"")</f>
        <v/>
      </c>
      <c r="M77" s="4">
        <f>IFERROR(AVERAGE(V77:AA77),"")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IF(AND(ISNUMBER(N77),ISNUMBER(N78)),VLOOKUP(ABS(N77-N78),'IMP Table'!$A$2:$C$26,3)*SIGN(N77-N78),"")</f>
        <v/>
      </c>
      <c r="U77">
        <f>IF(AND(ISNUMBER(N77),ISNUMBER(N79)),VLOOKUP(ABS(N77-N79),'IMP Table'!$A$2:$C$26,3)*SIGN(N77-N79),"")</f>
        <v/>
      </c>
      <c r="V77">
        <f>IF(AND(ISNUMBER(O77),ISNUMBER(O73)),VLOOKUP(ABS(O77-O73),'IMP Table'!$A$2:$C$26,3)*SIGN(O77-O73),"")</f>
        <v/>
      </c>
      <c r="W77">
        <f>IF(AND(ISNUMBER(O77),ISNUMBER(O74)),VLOOKUP(ABS(O77-O74),'IMP Table'!$A$2:$C$26,3)*SIGN(O77-O74),"")</f>
        <v/>
      </c>
      <c r="X77">
        <f>IF(AND(ISNUMBER(O77),ISNUMBER(O75)),VLOOKUP(ABS(O77-O75),'IMP Table'!$A$2:$C$26,3)*SIGN(O77-O75),"")</f>
        <v/>
      </c>
      <c r="Y77">
        <f>IF(AND(ISNUMBER(O77),ISNUMBER(O76)),VLOOKUP(ABS(O77-O76),'IMP Table'!$A$2:$C$26,3)*SIGN(O77-O76),"")</f>
        <v/>
      </c>
      <c r="Z77">
        <f>IF(AND(ISNUMBER(O77),ISNUMBER(O78)),VLOOKUP(ABS(O77-O78),'IMP Table'!$A$2:$C$26,3)*SIGN(O77-O78),"")</f>
        <v/>
      </c>
      <c r="AA77">
        <f>IF(AND(ISNUMBER(O77),ISNUMBER(O79)),VLOOKUP(ABS(O77-O79),'IMP Table'!$A$2:$C$26,3)*SIGN(O77-O79),"")</f>
        <v/>
      </c>
    </row>
    <row r="78">
      <c r="B78">
        <f>'By Round'!A114</f>
        <v/>
      </c>
      <c r="C78">
        <f>'By Round'!B124</f>
        <v/>
      </c>
      <c r="D78">
        <f>'By Round'!C124</f>
        <v/>
      </c>
      <c r="E78">
        <f>'By Round'!D124</f>
        <v/>
      </c>
      <c r="F78" s="10" t="inlineStr">
        <is>
          <t>None</t>
        </is>
      </c>
      <c r="G78">
        <f>'By Round'!G124</f>
        <v/>
      </c>
      <c r="H78">
        <f>'By Round'!H124</f>
        <v/>
      </c>
      <c r="I78">
        <f>'By Round'!I124</f>
        <v/>
      </c>
      <c r="J78">
        <f>'By Round'!J124</f>
        <v/>
      </c>
      <c r="K78">
        <f>'By Round'!K124</f>
        <v/>
      </c>
      <c r="L78" s="11">
        <f>IFERROR(AVERAGE(P78:U78),"")</f>
        <v/>
      </c>
      <c r="M78" s="4">
        <f>IFERROR(AVERAGE(V78:AA78),"")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IF(AND(ISNUMBER(N78),ISNUMBER(N73)),VLOOKUP(ABS(N78-N73),'IMP Table'!$A$2:$C$26,3)*SIGN(N78-N73),"")</f>
        <v/>
      </c>
      <c r="Q78">
        <f>IF(AND(ISNUMBER(N78),ISNUMBER(N74)),VLOOKUP(ABS(N78-N74),'IMP Table'!$A$2:$C$26,3)*SIGN(N78-N74),"")</f>
        <v/>
      </c>
      <c r="R78">
        <f>IF(AND(ISNUMBER(N78),ISNUMBER(N75)),VLOOKUP(ABS(N78-N75),'IMP Table'!$A$2:$C$26,3)*SIGN(N78-N75),"")</f>
        <v/>
      </c>
      <c r="S78">
        <f>IF(AND(ISNUMBER(N78),ISNUMBER(N76)),VLOOKUP(ABS(N78-N76),'IMP Table'!$A$2:$C$26,3)*SIGN(N78-N76),"")</f>
        <v/>
      </c>
      <c r="T78">
        <f>IF(AND(ISNUMBER(N78),ISNUMBER(N77)),VLOOKUP(ABS(N78-N77),'IMP Table'!$A$2:$C$26,3)*SIGN(N78-N77),"")</f>
        <v/>
      </c>
      <c r="U78">
        <f>IF(AND(ISNUMBER(N78),ISNUMBER(N79)),VLOOKUP(ABS(N78-N79),'IMP Table'!$A$2:$C$26,3)*SIGN(N78-N79),"")</f>
        <v/>
      </c>
      <c r="V78">
        <f>IF(AND(ISNUMBER(O78),ISNUMBER(O73)),VLOOKUP(ABS(O78-O73),'IMP Table'!$A$2:$C$26,3)*SIGN(O78-O73),"")</f>
        <v/>
      </c>
      <c r="W78">
        <f>IF(AND(ISNUMBER(O78),ISNUMBER(O74)),VLOOKUP(ABS(O78-O74),'IMP Table'!$A$2:$C$26,3)*SIGN(O78-O74),"")</f>
        <v/>
      </c>
      <c r="X78">
        <f>IF(AND(ISNUMBER(O78),ISNUMBER(O75)),VLOOKUP(ABS(O78-O75),'IMP Table'!$A$2:$C$26,3)*SIGN(O78-O75),"")</f>
        <v/>
      </c>
      <c r="Y78">
        <f>IF(AND(ISNUMBER(O78),ISNUMBER(O76)),VLOOKUP(ABS(O78-O76),'IMP Table'!$A$2:$C$26,3)*SIGN(O78-O76),"")</f>
        <v/>
      </c>
      <c r="Z78">
        <f>IF(AND(ISNUMBER(O78),ISNUMBER(O77)),VLOOKUP(ABS(O78-O77),'IMP Table'!$A$2:$C$26,3)*SIGN(O78-O77),"")</f>
        <v/>
      </c>
      <c r="AA78">
        <f>IF(AND(ISNUMBER(O78),ISNUMBER(O79)),VLOOKUP(ABS(O78-O79),'IMP Table'!$A$2:$C$26,3)*SIGN(O78-O79),"")</f>
        <v/>
      </c>
    </row>
    <row r="79">
      <c r="B79">
        <f>'By Round'!A128</f>
        <v/>
      </c>
      <c r="C79">
        <f>'By Round'!B136</f>
        <v/>
      </c>
      <c r="D79">
        <f>'By Round'!C136</f>
        <v/>
      </c>
      <c r="E79">
        <f>'By Round'!D136</f>
        <v/>
      </c>
      <c r="F79" s="10" t="inlineStr">
        <is>
          <t>None</t>
        </is>
      </c>
      <c r="G79">
        <f>'By Round'!G136</f>
        <v/>
      </c>
      <c r="H79">
        <f>'By Round'!H136</f>
        <v/>
      </c>
      <c r="I79">
        <f>'By Round'!I136</f>
        <v/>
      </c>
      <c r="J79">
        <f>'By Round'!J136</f>
        <v/>
      </c>
      <c r="K79">
        <f>'By Round'!K136</f>
        <v/>
      </c>
      <c r="L79" s="11">
        <f>IFERROR(AVERAGE(P79:U79),"")</f>
        <v/>
      </c>
      <c r="M79" s="4">
        <f>IFERROR(AVERAGE(V79:AA79),"")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IF(AND(ISNUMBER(N79),ISNUMBER(N73)),VLOOKUP(ABS(N79-N73),'IMP Table'!$A$2:$C$26,3)*SIGN(N79-N73),"")</f>
        <v/>
      </c>
      <c r="Q79">
        <f>IF(AND(ISNUMBER(N79),ISNUMBER(N74)),VLOOKUP(ABS(N79-N74),'IMP Table'!$A$2:$C$26,3)*SIGN(N79-N74),"")</f>
        <v/>
      </c>
      <c r="R79">
        <f>IF(AND(ISNUMBER(N79),ISNUMBER(N75)),VLOOKUP(ABS(N79-N75),'IMP Table'!$A$2:$C$26,3)*SIGN(N79-N75),"")</f>
        <v/>
      </c>
      <c r="S79">
        <f>IF(AND(ISNUMBER(N79),ISNUMBER(N76)),VLOOKUP(ABS(N79-N76),'IMP Table'!$A$2:$C$26,3)*SIGN(N79-N76),"")</f>
        <v/>
      </c>
      <c r="T79">
        <f>IF(AND(ISNUMBER(N79),ISNUMBER(N77)),VLOOKUP(ABS(N79-N77),'IMP Table'!$A$2:$C$26,3)*SIGN(N79-N77),"")</f>
        <v/>
      </c>
      <c r="U79">
        <f>IF(AND(ISNUMBER(N79),ISNUMBER(N78)),VLOOKUP(ABS(N79-N78),'IMP Table'!$A$2:$C$26,3)*SIGN(N79-N78),"")</f>
        <v/>
      </c>
      <c r="V79">
        <f>IF(AND(ISNUMBER(O79),ISNUMBER(O73)),VLOOKUP(ABS(O79-O73),'IMP Table'!$A$2:$C$26,3)*SIGN(O79-O73),"")</f>
        <v/>
      </c>
      <c r="W79">
        <f>IF(AND(ISNUMBER(O79),ISNUMBER(O74)),VLOOKUP(ABS(O79-O74),'IMP Table'!$A$2:$C$26,3)*SIGN(O79-O74),"")</f>
        <v/>
      </c>
      <c r="X79">
        <f>IF(AND(ISNUMBER(O79),ISNUMBER(O75)),VLOOKUP(ABS(O79-O75),'IMP Table'!$A$2:$C$26,3)*SIGN(O79-O75),"")</f>
        <v/>
      </c>
      <c r="Y79">
        <f>IF(AND(ISNUMBER(O79),ISNUMBER(O76)),VLOOKUP(ABS(O79-O76),'IMP Table'!$A$2:$C$26,3)*SIGN(O79-O76),"")</f>
        <v/>
      </c>
      <c r="Z79">
        <f>IF(AND(ISNUMBER(O79),ISNUMBER(O77)),VLOOKUP(ABS(O79-O77),'IMP Table'!$A$2:$C$26,3)*SIGN(O79-O77),"")</f>
        <v/>
      </c>
      <c r="AA79">
        <f>IF(AND(ISNUMBER(O79),ISNUMBER(O78)),VLOOKUP(ABS(O79-O78),'IMP Table'!$A$2:$C$26,3)*SIGN(O79-O78),"")</f>
        <v/>
      </c>
    </row>
    <row r="80">
      <c r="A80" t="n">
        <v>12</v>
      </c>
      <c r="B80">
        <f>'By Round'!A16</f>
        <v/>
      </c>
      <c r="C80">
        <f>'By Round'!B22</f>
        <v/>
      </c>
      <c r="D80">
        <f>'By Round'!C22</f>
        <v/>
      </c>
      <c r="E80">
        <f>'By Round'!D22</f>
        <v/>
      </c>
      <c r="F80" s="10" t="inlineStr">
        <is>
          <t>NS</t>
        </is>
      </c>
      <c r="G80">
        <f>'By Round'!G23</f>
        <v/>
      </c>
      <c r="H80">
        <f>'By Round'!H23</f>
        <v/>
      </c>
      <c r="I80">
        <f>'By Round'!I23</f>
        <v/>
      </c>
      <c r="J80">
        <f>'By Round'!J23</f>
        <v/>
      </c>
      <c r="K80">
        <f>'By Round'!K23</f>
        <v/>
      </c>
      <c r="L80" s="11">
        <f>IFERROR(AVERAGE(P80:U80),"")</f>
        <v/>
      </c>
      <c r="M80" s="4">
        <f>IFERROR(AVERAGE(V80:AA80),"")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IF(AND(ISNUMBER(N80),ISNUMBER(N81)),VLOOKUP(ABS(N80-N81),'IMP Table'!$A$2:$C$26,3)*SIGN(N80-N81),"")</f>
        <v/>
      </c>
      <c r="Q80">
        <f>IF(AND(ISNUMBER(N80),ISNUMBER(N82)),VLOOKUP(ABS(N80-N82),'IMP Table'!$A$2:$C$26,3)*SIGN(N80-N82),"")</f>
        <v/>
      </c>
      <c r="R80">
        <f>IF(AND(ISNUMBER(N80),ISNUMBER(N83)),VLOOKUP(ABS(N80-N83),'IMP Table'!$A$2:$C$26,3)*SIGN(N80-N83),"")</f>
        <v/>
      </c>
      <c r="S80">
        <f>IF(AND(ISNUMBER(N80),ISNUMBER(N84)),VLOOKUP(ABS(N80-N84),'IMP Table'!$A$2:$C$26,3)*SIGN(N80-N84),"")</f>
        <v/>
      </c>
      <c r="T80">
        <f>IF(AND(ISNUMBER(N80),ISNUMBER(N85)),VLOOKUP(ABS(N80-N85),'IMP Table'!$A$2:$C$26,3)*SIGN(N80-N85),"")</f>
        <v/>
      </c>
      <c r="U80">
        <f>IF(AND(ISNUMBER(N80),ISNUMBER(N86)),VLOOKUP(ABS(N80-N86),'IMP Table'!$A$2:$C$26,3)*SIGN(N80-N86),"")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  <c r="X80">
        <f>IF(AND(ISNUMBER(O80),ISNUMBER(O83)),VLOOKUP(ABS(O80-O83),'IMP Table'!$A$2:$C$26,3)*SIGN(O80-O83),"")</f>
        <v/>
      </c>
      <c r="Y80">
        <f>IF(AND(ISNUMBER(O80),ISNUMBER(O84)),VLOOKUP(ABS(O80-O84),'IMP Table'!$A$2:$C$26,3)*SIGN(O80-O84),"")</f>
        <v/>
      </c>
      <c r="Z80">
        <f>IF(AND(ISNUMBER(O80),ISNUMBER(O85)),VLOOKUP(ABS(O80-O85),'IMP Table'!$A$2:$C$26,3)*SIGN(O80-O85),"")</f>
        <v/>
      </c>
      <c r="AA80">
        <f>IF(AND(ISNUMBER(O80),ISNUMBER(O86)),VLOOKUP(ABS(O80-O86),'IMP Table'!$A$2:$C$26,3)*SIGN(O80-O86),"")</f>
        <v/>
      </c>
    </row>
    <row r="81">
      <c r="B81">
        <f>'By Round'!A30</f>
        <v/>
      </c>
      <c r="C81">
        <f>'By Round'!B34</f>
        <v/>
      </c>
      <c r="D81">
        <f>'By Round'!C34</f>
        <v/>
      </c>
      <c r="E81">
        <f>'By Round'!D34</f>
        <v/>
      </c>
      <c r="F81" s="10" t="inlineStr">
        <is>
          <t>NS</t>
        </is>
      </c>
      <c r="G81">
        <f>'By Round'!G35</f>
        <v/>
      </c>
      <c r="H81">
        <f>'By Round'!H35</f>
        <v/>
      </c>
      <c r="I81">
        <f>'By Round'!I35</f>
        <v/>
      </c>
      <c r="J81">
        <f>'By Round'!J35</f>
        <v/>
      </c>
      <c r="K81">
        <f>'By Round'!K35</f>
        <v/>
      </c>
      <c r="L81" s="11">
        <f>IFERROR(AVERAGE(P81:U81),"")</f>
        <v/>
      </c>
      <c r="M81" s="4">
        <f>IFERROR(AVERAGE(V81:AA81),"")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IF(AND(ISNUMBER(N81),ISNUMBER(N80)),VLOOKUP(ABS(N81-N80),'IMP Table'!$A$2:$C$26,3)*SIGN(N81-N80),"")</f>
        <v/>
      </c>
      <c r="Q81">
        <f>IF(AND(ISNUMBER(N81),ISNUMBER(N82)),VLOOKUP(ABS(N81-N82),'IMP Table'!$A$2:$C$26,3)*SIGN(N81-N82),"")</f>
        <v/>
      </c>
      <c r="R81">
        <f>IF(AND(ISNUMBER(N81),ISNUMBER(N83)),VLOOKUP(ABS(N81-N83),'IMP Table'!$A$2:$C$26,3)*SIGN(N81-N83),"")</f>
        <v/>
      </c>
      <c r="S81">
        <f>IF(AND(ISNUMBER(N81),ISNUMBER(N84)),VLOOKUP(ABS(N81-N84),'IMP Table'!$A$2:$C$26,3)*SIGN(N81-N84),"")</f>
        <v/>
      </c>
      <c r="T81">
        <f>IF(AND(ISNUMBER(N81),ISNUMBER(N85)),VLOOKUP(ABS(N81-N85),'IMP Table'!$A$2:$C$26,3)*SIGN(N81-N85),"")</f>
        <v/>
      </c>
      <c r="U81">
        <f>IF(AND(ISNUMBER(N81),ISNUMBER(N86)),VLOOKUP(ABS(N81-N86),'IMP Table'!$A$2:$C$26,3)*SIGN(N81-N86),"")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  <c r="X81">
        <f>IF(AND(ISNUMBER(O81),ISNUMBER(O83)),VLOOKUP(ABS(O81-O83),'IMP Table'!$A$2:$C$26,3)*SIGN(O81-O83),"")</f>
        <v/>
      </c>
      <c r="Y81">
        <f>IF(AND(ISNUMBER(O81),ISNUMBER(O84)),VLOOKUP(ABS(O81-O84),'IMP Table'!$A$2:$C$26,3)*SIGN(O81-O84),"")</f>
        <v/>
      </c>
      <c r="Z81">
        <f>IF(AND(ISNUMBER(O81),ISNUMBER(O85)),VLOOKUP(ABS(O81-O85),'IMP Table'!$A$2:$C$26,3)*SIGN(O81-O85),"")</f>
        <v/>
      </c>
      <c r="AA81">
        <f>IF(AND(ISNUMBER(O81),ISNUMBER(O86)),VLOOKUP(ABS(O81-O86),'IMP Table'!$A$2:$C$26,3)*SIGN(O81-O86),"")</f>
        <v/>
      </c>
    </row>
    <row r="82">
      <c r="B82">
        <f>'By Round'!A44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NS</t>
        </is>
      </c>
      <c r="G82">
        <f>'By Round'!G47</f>
        <v/>
      </c>
      <c r="H82">
        <f>'By Round'!H47</f>
        <v/>
      </c>
      <c r="I82">
        <f>'By Round'!I47</f>
        <v/>
      </c>
      <c r="J82">
        <f>'By Round'!J47</f>
        <v/>
      </c>
      <c r="K82">
        <f>'By Round'!K47</f>
        <v/>
      </c>
      <c r="L82" s="11">
        <f>IFERROR(AVERAGE(P82:U82),"")</f>
        <v/>
      </c>
      <c r="M82" s="4">
        <f>IFERROR(AVERAGE(V82:AA82),"")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IF(AND(ISNUMBER(N82),ISNUMBER(N80)),VLOOKUP(ABS(N82-N80),'IMP Table'!$A$2:$C$26,3)*SIGN(N82-N80),"")</f>
        <v/>
      </c>
      <c r="Q82">
        <f>IF(AND(ISNUMBER(N82),ISNUMBER(N81)),VLOOKUP(ABS(N82-N81),'IMP Table'!$A$2:$C$26,3)*SIGN(N82-N81),"")</f>
        <v/>
      </c>
      <c r="R82">
        <f>IF(AND(ISNUMBER(N82),ISNUMBER(N83)),VLOOKUP(ABS(N82-N83),'IMP Table'!$A$2:$C$26,3)*SIGN(N82-N83),"")</f>
        <v/>
      </c>
      <c r="S82">
        <f>IF(AND(ISNUMBER(N82),ISNUMBER(N84)),VLOOKUP(ABS(N82-N84),'IMP Table'!$A$2:$C$26,3)*SIGN(N82-N84),"")</f>
        <v/>
      </c>
      <c r="T82">
        <f>IF(AND(ISNUMBER(N82),ISNUMBER(N85)),VLOOKUP(ABS(N82-N85),'IMP Table'!$A$2:$C$26,3)*SIGN(N82-N85),"")</f>
        <v/>
      </c>
      <c r="U82">
        <f>IF(AND(ISNUMBER(N82),ISNUMBER(N86)),VLOOKUP(ABS(N82-N86),'IMP Table'!$A$2:$C$26,3)*SIGN(N82-N86),"")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  <c r="X82">
        <f>IF(AND(ISNUMBER(O82),ISNUMBER(O83)),VLOOKUP(ABS(O82-O83),'IMP Table'!$A$2:$C$26,3)*SIGN(O82-O83),"")</f>
        <v/>
      </c>
      <c r="Y82">
        <f>IF(AND(ISNUMBER(O82),ISNUMBER(O84)),VLOOKUP(ABS(O82-O84),'IMP Table'!$A$2:$C$26,3)*SIGN(O82-O84),"")</f>
        <v/>
      </c>
      <c r="Z82">
        <f>IF(AND(ISNUMBER(O82),ISNUMBER(O85)),VLOOKUP(ABS(O82-O85),'IMP Table'!$A$2:$C$26,3)*SIGN(O82-O85),"")</f>
        <v/>
      </c>
      <c r="AA82">
        <f>IF(AND(ISNUMBER(O82),ISNUMBER(O86)),VLOOKUP(ABS(O82-O86),'IMP Table'!$A$2:$C$26,3)*SIGN(O82-O86),"")</f>
        <v/>
      </c>
    </row>
    <row r="83">
      <c r="B83">
        <f>'By Round'!A72</f>
        <v/>
      </c>
      <c r="C83">
        <f>'By Round'!B72</f>
        <v/>
      </c>
      <c r="D83">
        <f>'By Round'!C72</f>
        <v/>
      </c>
      <c r="E83">
        <f>'By Round'!D72</f>
        <v/>
      </c>
      <c r="F83" s="10" t="inlineStr">
        <is>
          <t>NS</t>
        </is>
      </c>
      <c r="G83">
        <f>'By Round'!G73</f>
        <v/>
      </c>
      <c r="H83">
        <f>'By Round'!H73</f>
        <v/>
      </c>
      <c r="I83">
        <f>'By Round'!I73</f>
        <v/>
      </c>
      <c r="J83">
        <f>'By Round'!J73</f>
        <v/>
      </c>
      <c r="K83">
        <f>'By Round'!K73</f>
        <v/>
      </c>
      <c r="L83" s="11">
        <f>IFERROR(AVERAGE(P83:U83),"")</f>
        <v/>
      </c>
      <c r="M83" s="4">
        <f>IFERROR(AVERAGE(V83:AA83),"")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IF(AND(ISNUMBER(N83),ISNUMBER(N80)),VLOOKUP(ABS(N83-N80),'IMP Table'!$A$2:$C$26,3)*SIGN(N83-N80),"")</f>
        <v/>
      </c>
      <c r="Q83">
        <f>IF(AND(ISNUMBER(N83),ISNUMBER(N81)),VLOOKUP(ABS(N83-N81),'IMP Table'!$A$2:$C$26,3)*SIGN(N83-N81),"")</f>
        <v/>
      </c>
      <c r="R83">
        <f>IF(AND(ISNUMBER(N83),ISNUMBER(N82)),VLOOKUP(ABS(N83-N82),'IMP Table'!$A$2:$C$26,3)*SIGN(N83-N82),"")</f>
        <v/>
      </c>
      <c r="S83">
        <f>IF(AND(ISNUMBER(N83),ISNUMBER(N84)),VLOOKUP(ABS(N83-N84),'IMP Table'!$A$2:$C$26,3)*SIGN(N83-N84),"")</f>
        <v/>
      </c>
      <c r="T83">
        <f>IF(AND(ISNUMBER(N83),ISNUMBER(N85)),VLOOKUP(ABS(N83-N85),'IMP Table'!$A$2:$C$26,3)*SIGN(N83-N85),"")</f>
        <v/>
      </c>
      <c r="U83">
        <f>IF(AND(ISNUMBER(N83),ISNUMBER(N86)),VLOOKUP(ABS(N83-N86),'IMP Table'!$A$2:$C$26,3)*SIGN(N83-N86),"")</f>
        <v/>
      </c>
      <c r="V83">
        <f>IF(AND(ISNUMBER(O83),ISNUMBER(O80)),VLOOKUP(ABS(O83-O80),'IMP Table'!$A$2:$C$26,3)*SIGN(O83-O80),"")</f>
        <v/>
      </c>
      <c r="W83">
        <f>IF(AND(ISNUMBER(O83),ISNUMBER(O81)),VLOOKUP(ABS(O83-O81),'IMP Table'!$A$2:$C$26,3)*SIGN(O83-O81),"")</f>
        <v/>
      </c>
      <c r="X83">
        <f>IF(AND(ISNUMBER(O83),ISNUMBER(O82)),VLOOKUP(ABS(O83-O82),'IMP Table'!$A$2:$C$26,3)*SIGN(O83-O82),"")</f>
        <v/>
      </c>
      <c r="Y83">
        <f>IF(AND(ISNUMBER(O83),ISNUMBER(O84)),VLOOKUP(ABS(O83-O84),'IMP Table'!$A$2:$C$26,3)*SIGN(O83-O84),"")</f>
        <v/>
      </c>
      <c r="Z83">
        <f>IF(AND(ISNUMBER(O83),ISNUMBER(O85)),VLOOKUP(ABS(O83-O85),'IMP Table'!$A$2:$C$26,3)*SIGN(O83-O85),"")</f>
        <v/>
      </c>
      <c r="AA83">
        <f>IF(AND(ISNUMBER(O83),ISNUMBER(O86)),VLOOKUP(ABS(O83-O86),'IMP Table'!$A$2:$C$26,3)*SIGN(O83-O86),"")</f>
        <v/>
      </c>
    </row>
    <row r="84">
      <c r="B84">
        <f>'By Round'!A100</f>
        <v/>
      </c>
      <c r="C84">
        <f>'By Round'!B112</f>
        <v/>
      </c>
      <c r="D84">
        <f>'By Round'!C112</f>
        <v/>
      </c>
      <c r="E84">
        <f>'By Round'!D112</f>
        <v/>
      </c>
      <c r="F84" s="10" t="inlineStr">
        <is>
          <t>NS</t>
        </is>
      </c>
      <c r="G84">
        <f>'By Round'!G113</f>
        <v/>
      </c>
      <c r="H84">
        <f>'By Round'!H113</f>
        <v/>
      </c>
      <c r="I84">
        <f>'By Round'!I113</f>
        <v/>
      </c>
      <c r="J84">
        <f>'By Round'!J113</f>
        <v/>
      </c>
      <c r="K84">
        <f>'By Round'!K113</f>
        <v/>
      </c>
      <c r="L84" s="11">
        <f>IFERROR(AVERAGE(P84:U84),"")</f>
        <v/>
      </c>
      <c r="M84" s="4">
        <f>IFERROR(AVERAGE(V84:AA84),"")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IF(AND(ISNUMBER(N84),ISNUMBER(N80)),VLOOKUP(ABS(N84-N80),'IMP Table'!$A$2:$C$26,3)*SIGN(N84-N80),"")</f>
        <v/>
      </c>
      <c r="Q84">
        <f>IF(AND(ISNUMBER(N84),ISNUMBER(N81)),VLOOKUP(ABS(N84-N81),'IMP Table'!$A$2:$C$26,3)*SIGN(N84-N81),"")</f>
        <v/>
      </c>
      <c r="R84">
        <f>IF(AND(ISNUMBER(N84),ISNUMBER(N82)),VLOOKUP(ABS(N84-N82),'IMP Table'!$A$2:$C$26,3)*SIGN(N84-N82),"")</f>
        <v/>
      </c>
      <c r="S84">
        <f>IF(AND(ISNUMBER(N84),ISNUMBER(N83)),VLOOKUP(ABS(N84-N83),'IMP Table'!$A$2:$C$26,3)*SIGN(N84-N83),"")</f>
        <v/>
      </c>
      <c r="T84">
        <f>IF(AND(ISNUMBER(N84),ISNUMBER(N85)),VLOOKUP(ABS(N84-N85),'IMP Table'!$A$2:$C$26,3)*SIGN(N84-N85),"")</f>
        <v/>
      </c>
      <c r="U84">
        <f>IF(AND(ISNUMBER(N84),ISNUMBER(N86)),VLOOKUP(ABS(N84-N86),'IMP Table'!$A$2:$C$26,3)*SIGN(N84-N86),"")</f>
        <v/>
      </c>
      <c r="V84">
        <f>IF(AND(ISNUMBER(O84),ISNUMBER(O80)),VLOOKUP(ABS(O84-O80),'IMP Table'!$A$2:$C$26,3)*SIGN(O84-O80),"")</f>
        <v/>
      </c>
      <c r="W84">
        <f>IF(AND(ISNUMBER(O84),ISNUMBER(O81)),VLOOKUP(ABS(O84-O81),'IMP Table'!$A$2:$C$26,3)*SIGN(O84-O81),"")</f>
        <v/>
      </c>
      <c r="X84">
        <f>IF(AND(ISNUMBER(O84),ISNUMBER(O82)),VLOOKUP(ABS(O84-O82),'IMP Table'!$A$2:$C$26,3)*SIGN(O84-O82),"")</f>
        <v/>
      </c>
      <c r="Y84">
        <f>IF(AND(ISNUMBER(O84),ISNUMBER(O83)),VLOOKUP(ABS(O84-O83),'IMP Table'!$A$2:$C$26,3)*SIGN(O84-O83),"")</f>
        <v/>
      </c>
      <c r="Z84">
        <f>IF(AND(ISNUMBER(O84),ISNUMBER(O85)),VLOOKUP(ABS(O84-O85),'IMP Table'!$A$2:$C$26,3)*SIGN(O84-O85),"")</f>
        <v/>
      </c>
      <c r="AA84">
        <f>IF(AND(ISNUMBER(O84),ISNUMBER(O86)),VLOOKUP(ABS(O84-O86),'IMP Table'!$A$2:$C$26,3)*SIGN(O84-O86),"")</f>
        <v/>
      </c>
    </row>
    <row r="85">
      <c r="B85">
        <f>'By Round'!A114</f>
        <v/>
      </c>
      <c r="C85">
        <f>'By Round'!B124</f>
        <v/>
      </c>
      <c r="D85">
        <f>'By Round'!C124</f>
        <v/>
      </c>
      <c r="E85">
        <f>'By Round'!D124</f>
        <v/>
      </c>
      <c r="F85" s="10" t="inlineStr">
        <is>
          <t>NS</t>
        </is>
      </c>
      <c r="G85">
        <f>'By Round'!G125</f>
        <v/>
      </c>
      <c r="H85">
        <f>'By Round'!H125</f>
        <v/>
      </c>
      <c r="I85">
        <f>'By Round'!I125</f>
        <v/>
      </c>
      <c r="J85">
        <f>'By Round'!J125</f>
        <v/>
      </c>
      <c r="K85">
        <f>'By Round'!K125</f>
        <v/>
      </c>
      <c r="L85" s="11">
        <f>IFERROR(AVERAGE(P85:U85),"")</f>
        <v/>
      </c>
      <c r="M85" s="4">
        <f>IFERROR(AVERAGE(V85:AA85),"")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IF(AND(ISNUMBER(N85),ISNUMBER(N80)),VLOOKUP(ABS(N85-N80),'IMP Table'!$A$2:$C$26,3)*SIGN(N85-N80),"")</f>
        <v/>
      </c>
      <c r="Q85">
        <f>IF(AND(ISNUMBER(N85),ISNUMBER(N81)),VLOOKUP(ABS(N85-N81),'IMP Table'!$A$2:$C$26,3)*SIGN(N85-N81),"")</f>
        <v/>
      </c>
      <c r="R85">
        <f>IF(AND(ISNUMBER(N85),ISNUMBER(N82)),VLOOKUP(ABS(N85-N82),'IMP Table'!$A$2:$C$26,3)*SIGN(N85-N82),"")</f>
        <v/>
      </c>
      <c r="S85">
        <f>IF(AND(ISNUMBER(N85),ISNUMBER(N83)),VLOOKUP(ABS(N85-N83),'IMP Table'!$A$2:$C$26,3)*SIGN(N85-N83),"")</f>
        <v/>
      </c>
      <c r="T85">
        <f>IF(AND(ISNUMBER(N85),ISNUMBER(N84)),VLOOKUP(ABS(N85-N84),'IMP Table'!$A$2:$C$26,3)*SIGN(N85-N84),"")</f>
        <v/>
      </c>
      <c r="U85">
        <f>IF(AND(ISNUMBER(N85),ISNUMBER(N86)),VLOOKUP(ABS(N85-N86),'IMP Table'!$A$2:$C$26,3)*SIGN(N85-N86),"")</f>
        <v/>
      </c>
      <c r="V85">
        <f>IF(AND(ISNUMBER(O85),ISNUMBER(O80)),VLOOKUP(ABS(O85-O80),'IMP Table'!$A$2:$C$26,3)*SIGN(O85-O80),"")</f>
        <v/>
      </c>
      <c r="W85">
        <f>IF(AND(ISNUMBER(O85),ISNUMBER(O81)),VLOOKUP(ABS(O85-O81),'IMP Table'!$A$2:$C$26,3)*SIGN(O85-O81),"")</f>
        <v/>
      </c>
      <c r="X85">
        <f>IF(AND(ISNUMBER(O85),ISNUMBER(O82)),VLOOKUP(ABS(O85-O82),'IMP Table'!$A$2:$C$26,3)*SIGN(O85-O82),"")</f>
        <v/>
      </c>
      <c r="Y85">
        <f>IF(AND(ISNUMBER(O85),ISNUMBER(O83)),VLOOKUP(ABS(O85-O83),'IMP Table'!$A$2:$C$26,3)*SIGN(O85-O83),"")</f>
        <v/>
      </c>
      <c r="Z85">
        <f>IF(AND(ISNUMBER(O85),ISNUMBER(O84)),VLOOKUP(ABS(O85-O84),'IMP Table'!$A$2:$C$26,3)*SIGN(O85-O84),"")</f>
        <v/>
      </c>
      <c r="AA85">
        <f>IF(AND(ISNUMBER(O85),ISNUMBER(O86)),VLOOKUP(ABS(O85-O86),'IMP Table'!$A$2:$C$26,3)*SIGN(O85-O86),"")</f>
        <v/>
      </c>
    </row>
    <row r="86">
      <c r="B86">
        <f>'By Round'!A128</f>
        <v/>
      </c>
      <c r="C86">
        <f>'By Round'!B136</f>
        <v/>
      </c>
      <c r="D86">
        <f>'By Round'!C136</f>
        <v/>
      </c>
      <c r="E86">
        <f>'By Round'!D136</f>
        <v/>
      </c>
      <c r="F86" s="10" t="inlineStr">
        <is>
          <t>NS</t>
        </is>
      </c>
      <c r="G86">
        <f>'By Round'!G137</f>
        <v/>
      </c>
      <c r="H86">
        <f>'By Round'!H137</f>
        <v/>
      </c>
      <c r="I86">
        <f>'By Round'!I137</f>
        <v/>
      </c>
      <c r="J86">
        <f>'By Round'!J137</f>
        <v/>
      </c>
      <c r="K86">
        <f>'By Round'!K137</f>
        <v/>
      </c>
      <c r="L86" s="11">
        <f>IFERROR(AVERAGE(P86:U86),"")</f>
        <v/>
      </c>
      <c r="M86" s="4">
        <f>IFERROR(AVERAGE(V86:AA86),"")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IF(AND(ISNUMBER(N86),ISNUMBER(N80)),VLOOKUP(ABS(N86-N80),'IMP Table'!$A$2:$C$26,3)*SIGN(N86-N80),"")</f>
        <v/>
      </c>
      <c r="Q86">
        <f>IF(AND(ISNUMBER(N86),ISNUMBER(N81)),VLOOKUP(ABS(N86-N81),'IMP Table'!$A$2:$C$26,3)*SIGN(N86-N81),"")</f>
        <v/>
      </c>
      <c r="R86">
        <f>IF(AND(ISNUMBER(N86),ISNUMBER(N82)),VLOOKUP(ABS(N86-N82),'IMP Table'!$A$2:$C$26,3)*SIGN(N86-N82),"")</f>
        <v/>
      </c>
      <c r="S86">
        <f>IF(AND(ISNUMBER(N86),ISNUMBER(N83)),VLOOKUP(ABS(N86-N83),'IMP Table'!$A$2:$C$26,3)*SIGN(N86-N83),"")</f>
        <v/>
      </c>
      <c r="T86">
        <f>IF(AND(ISNUMBER(N86),ISNUMBER(N84)),VLOOKUP(ABS(N86-N84),'IMP Table'!$A$2:$C$26,3)*SIGN(N86-N84),"")</f>
        <v/>
      </c>
      <c r="U86">
        <f>IF(AND(ISNUMBER(N86),ISNUMBER(N85)),VLOOKUP(ABS(N86-N85),'IMP Table'!$A$2:$C$26,3)*SIGN(N86-N85),"")</f>
        <v/>
      </c>
      <c r="V86">
        <f>IF(AND(ISNUMBER(O86),ISNUMBER(O80)),VLOOKUP(ABS(O86-O80),'IMP Table'!$A$2:$C$26,3)*SIGN(O86-O80),"")</f>
        <v/>
      </c>
      <c r="W86">
        <f>IF(AND(ISNUMBER(O86),ISNUMBER(O81)),VLOOKUP(ABS(O86-O81),'IMP Table'!$A$2:$C$26,3)*SIGN(O86-O81),"")</f>
        <v/>
      </c>
      <c r="X86">
        <f>IF(AND(ISNUMBER(O86),ISNUMBER(O82)),VLOOKUP(ABS(O86-O82),'IMP Table'!$A$2:$C$26,3)*SIGN(O86-O82),"")</f>
        <v/>
      </c>
      <c r="Y86">
        <f>IF(AND(ISNUMBER(O86),ISNUMBER(O83)),VLOOKUP(ABS(O86-O83),'IMP Table'!$A$2:$C$26,3)*SIGN(O86-O83),"")</f>
        <v/>
      </c>
      <c r="Z86">
        <f>IF(AND(ISNUMBER(O86),ISNUMBER(O84)),VLOOKUP(ABS(O86-O84),'IMP Table'!$A$2:$C$26,3)*SIGN(O86-O84),"")</f>
        <v/>
      </c>
      <c r="AA86">
        <f>IF(AND(ISNUMBER(O86),ISNUMBER(O85)),VLOOKUP(ABS(O86-O85),'IMP Table'!$A$2:$C$26,3)*SIGN(O86-O85),"")</f>
        <v/>
      </c>
    </row>
    <row r="87">
      <c r="A87" t="n">
        <v>13</v>
      </c>
      <c r="B87">
        <f>'By Round'!A30</f>
        <v/>
      </c>
      <c r="C87">
        <f>'By Round'!B36</f>
        <v/>
      </c>
      <c r="D87">
        <f>'By Round'!C36</f>
        <v/>
      </c>
      <c r="E87">
        <f>'By Round'!D36</f>
        <v/>
      </c>
      <c r="F87" s="10" t="inlineStr">
        <is>
          <t>Both</t>
        </is>
      </c>
      <c r="G87">
        <f>'By Round'!G36</f>
        <v/>
      </c>
      <c r="H87">
        <f>'By Round'!H36</f>
        <v/>
      </c>
      <c r="I87">
        <f>'By Round'!I36</f>
        <v/>
      </c>
      <c r="J87">
        <f>'By Round'!J36</f>
        <v/>
      </c>
      <c r="K87">
        <f>'By Round'!K36</f>
        <v/>
      </c>
      <c r="L87" s="11">
        <f>IFERROR(AVERAGE(P87:U87),"")</f>
        <v/>
      </c>
      <c r="M87" s="4">
        <f>IFERROR(AVERAGE(V87:AA87),"")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IF(AND(ISNUMBER(N87),ISNUMBER(N88)),VLOOKUP(ABS(N87-N88),'IMP Table'!$A$2:$C$26,3)*SIGN(N87-N88),"")</f>
        <v/>
      </c>
      <c r="Q87">
        <f>IF(AND(ISNUMBER(N87),ISNUMBER(N89)),VLOOKUP(ABS(N87-N89),'IMP Table'!$A$2:$C$26,3)*SIGN(N87-N89),"")</f>
        <v/>
      </c>
      <c r="R87">
        <f>IF(AND(ISNUMBER(N87),ISNUMBER(N90)),VLOOKUP(ABS(N87-N90),'IMP Table'!$A$2:$C$26,3)*SIGN(N87-N90),"")</f>
        <v/>
      </c>
      <c r="S87">
        <f>IF(AND(ISNUMBER(N87),ISNUMBER(N91)),VLOOKUP(ABS(N87-N91),'IMP Table'!$A$2:$C$26,3)*SIGN(N87-N91),"")</f>
        <v/>
      </c>
      <c r="T87">
        <f>IF(AND(ISNUMBER(N87),ISNUMBER(N92)),VLOOKUP(ABS(N87-N92),'IMP Table'!$A$2:$C$26,3)*SIGN(N87-N92),"")</f>
        <v/>
      </c>
      <c r="U87">
        <f>IF(AND(ISNUMBER(N87),ISNUMBER(N93)),VLOOKUP(ABS(N87-N93),'IMP Table'!$A$2:$C$26,3)*SIGN(N87-N93),"")</f>
        <v/>
      </c>
      <c r="V87">
        <f>IF(AND(ISNUMBER(O87),ISNUMBER(O88)),VLOOKUP(ABS(O87-O88),'IMP Table'!$A$2:$C$26,3)*SIGN(O87-O88),"")</f>
        <v/>
      </c>
      <c r="W87">
        <f>IF(AND(ISNUMBER(O87),ISNUMBER(O89)),VLOOKUP(ABS(O87-O89),'IMP Table'!$A$2:$C$26,3)*SIGN(O87-O89),"")</f>
        <v/>
      </c>
      <c r="X87">
        <f>IF(AND(ISNUMBER(O87),ISNUMBER(O90)),VLOOKUP(ABS(O87-O90),'IMP Table'!$A$2:$C$26,3)*SIGN(O87-O90),"")</f>
        <v/>
      </c>
      <c r="Y87">
        <f>IF(AND(ISNUMBER(O87),ISNUMBER(O91)),VLOOKUP(ABS(O87-O91),'IMP Table'!$A$2:$C$26,3)*SIGN(O87-O91),"")</f>
        <v/>
      </c>
      <c r="Z87">
        <f>IF(AND(ISNUMBER(O87),ISNUMBER(O92)),VLOOKUP(ABS(O87-O92),'IMP Table'!$A$2:$C$26,3)*SIGN(O87-O92),"")</f>
        <v/>
      </c>
      <c r="AA87">
        <f>IF(AND(ISNUMBER(O87),ISNUMBER(O93)),VLOOKUP(ABS(O87-O93),'IMP Table'!$A$2:$C$26,3)*SIGN(O87-O93),"")</f>
        <v/>
      </c>
    </row>
    <row r="88">
      <c r="B88">
        <f>'By Round'!A44</f>
        <v/>
      </c>
      <c r="C88">
        <f>'By Round'!B48</f>
        <v/>
      </c>
      <c r="D88">
        <f>'By Round'!C48</f>
        <v/>
      </c>
      <c r="E88">
        <f>'By Round'!D48</f>
        <v/>
      </c>
      <c r="F88" s="10" t="inlineStr">
        <is>
          <t>Both</t>
        </is>
      </c>
      <c r="G88">
        <f>'By Round'!G48</f>
        <v/>
      </c>
      <c r="H88">
        <f>'By Round'!H48</f>
        <v/>
      </c>
      <c r="I88">
        <f>'By Round'!I48</f>
        <v/>
      </c>
      <c r="J88">
        <f>'By Round'!J48</f>
        <v/>
      </c>
      <c r="K88">
        <f>'By Round'!K48</f>
        <v/>
      </c>
      <c r="L88" s="11">
        <f>IFERROR(AVERAGE(P88:U88),"")</f>
        <v/>
      </c>
      <c r="M88" s="4">
        <f>IFERROR(AVERAGE(V88:AA88),"")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IF(AND(ISNUMBER(N88),ISNUMBER(N87)),VLOOKUP(ABS(N88-N87),'IMP Table'!$A$2:$C$26,3)*SIGN(N88-N87),"")</f>
        <v/>
      </c>
      <c r="Q88">
        <f>IF(AND(ISNUMBER(N88),ISNUMBER(N89)),VLOOKUP(ABS(N88-N89),'IMP Table'!$A$2:$C$26,3)*SIGN(N88-N89),"")</f>
        <v/>
      </c>
      <c r="R88">
        <f>IF(AND(ISNUMBER(N88),ISNUMBER(N90)),VLOOKUP(ABS(N88-N90),'IMP Table'!$A$2:$C$26,3)*SIGN(N88-N90),"")</f>
        <v/>
      </c>
      <c r="S88">
        <f>IF(AND(ISNUMBER(N88),ISNUMBER(N91)),VLOOKUP(ABS(N88-N91),'IMP Table'!$A$2:$C$26,3)*SIGN(N88-N91),"")</f>
        <v/>
      </c>
      <c r="T88">
        <f>IF(AND(ISNUMBER(N88),ISNUMBER(N92)),VLOOKUP(ABS(N88-N92),'IMP Table'!$A$2:$C$26,3)*SIGN(N88-N92),"")</f>
        <v/>
      </c>
      <c r="U88">
        <f>IF(AND(ISNUMBER(N88),ISNUMBER(N93)),VLOOKUP(ABS(N88-N93),'IMP Table'!$A$2:$C$26,3)*SIGN(N88-N93),"")</f>
        <v/>
      </c>
      <c r="V88">
        <f>IF(AND(ISNUMBER(O88),ISNUMBER(O87)),VLOOKUP(ABS(O88-O87),'IMP Table'!$A$2:$C$26,3)*SIGN(O88-O87),"")</f>
        <v/>
      </c>
      <c r="W88">
        <f>IF(AND(ISNUMBER(O88),ISNUMBER(O89)),VLOOKUP(ABS(O88-O89),'IMP Table'!$A$2:$C$26,3)*SIGN(O88-O89),"")</f>
        <v/>
      </c>
      <c r="X88">
        <f>IF(AND(ISNUMBER(O88),ISNUMBER(O90)),VLOOKUP(ABS(O88-O90),'IMP Table'!$A$2:$C$26,3)*SIGN(O88-O90),"")</f>
        <v/>
      </c>
      <c r="Y88">
        <f>IF(AND(ISNUMBER(O88),ISNUMBER(O91)),VLOOKUP(ABS(O88-O91),'IMP Table'!$A$2:$C$26,3)*SIGN(O88-O91),"")</f>
        <v/>
      </c>
      <c r="Z88">
        <f>IF(AND(ISNUMBER(O88),ISNUMBER(O92)),VLOOKUP(ABS(O88-O92),'IMP Table'!$A$2:$C$26,3)*SIGN(O88-O92),"")</f>
        <v/>
      </c>
      <c r="AA88">
        <f>IF(AND(ISNUMBER(O88),ISNUMBER(O93)),VLOOKUP(ABS(O88-O93),'IMP Table'!$A$2:$C$26,3)*SIGN(O88-O93),"")</f>
        <v/>
      </c>
    </row>
    <row r="89">
      <c r="B89">
        <f>'By Round'!A58</f>
        <v/>
      </c>
      <c r="C89">
        <f>'By Round'!B60</f>
        <v/>
      </c>
      <c r="D89">
        <f>'By Round'!C60</f>
        <v/>
      </c>
      <c r="E89">
        <f>'By Round'!D60</f>
        <v/>
      </c>
      <c r="F89" s="10" t="inlineStr">
        <is>
          <t>Both</t>
        </is>
      </c>
      <c r="G89">
        <f>'By Round'!G60</f>
        <v/>
      </c>
      <c r="H89">
        <f>'By Round'!H60</f>
        <v/>
      </c>
      <c r="I89">
        <f>'By Round'!I60</f>
        <v/>
      </c>
      <c r="J89">
        <f>'By Round'!J60</f>
        <v/>
      </c>
      <c r="K89">
        <f>'By Round'!K60</f>
        <v/>
      </c>
      <c r="L89" s="11">
        <f>IFERROR(AVERAGE(P89:U89),"")</f>
        <v/>
      </c>
      <c r="M89" s="4">
        <f>IFERROR(AVERAGE(V89:AA89),"")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IF(AND(ISNUMBER(N89),ISNUMBER(N87)),VLOOKUP(ABS(N89-N87),'IMP Table'!$A$2:$C$26,3)*SIGN(N89-N87),"")</f>
        <v/>
      </c>
      <c r="Q89">
        <f>IF(AND(ISNUMBER(N89),ISNUMBER(N88)),VLOOKUP(ABS(N89-N88),'IMP Table'!$A$2:$C$26,3)*SIGN(N89-N88),"")</f>
        <v/>
      </c>
      <c r="R89">
        <f>IF(AND(ISNUMBER(N89),ISNUMBER(N90)),VLOOKUP(ABS(N89-N90),'IMP Table'!$A$2:$C$26,3)*SIGN(N89-N90),"")</f>
        <v/>
      </c>
      <c r="S89">
        <f>IF(AND(ISNUMBER(N89),ISNUMBER(N91)),VLOOKUP(ABS(N89-N91),'IMP Table'!$A$2:$C$26,3)*SIGN(N89-N91),"")</f>
        <v/>
      </c>
      <c r="T89">
        <f>IF(AND(ISNUMBER(N89),ISNUMBER(N92)),VLOOKUP(ABS(N89-N92),'IMP Table'!$A$2:$C$26,3)*SIGN(N89-N92),"")</f>
        <v/>
      </c>
      <c r="U89">
        <f>IF(AND(ISNUMBER(N89),ISNUMBER(N93)),VLOOKUP(ABS(N89-N93),'IMP Table'!$A$2:$C$26,3)*SIGN(N89-N93),"")</f>
        <v/>
      </c>
      <c r="V89">
        <f>IF(AND(ISNUMBER(O89),ISNUMBER(O87)),VLOOKUP(ABS(O89-O87),'IMP Table'!$A$2:$C$26,3)*SIGN(O89-O87),"")</f>
        <v/>
      </c>
      <c r="W89">
        <f>IF(AND(ISNUMBER(O89),ISNUMBER(O88)),VLOOKUP(ABS(O89-O88),'IMP Table'!$A$2:$C$26,3)*SIGN(O89-O88),"")</f>
        <v/>
      </c>
      <c r="X89">
        <f>IF(AND(ISNUMBER(O89),ISNUMBER(O90)),VLOOKUP(ABS(O89-O90),'IMP Table'!$A$2:$C$26,3)*SIGN(O89-O90),"")</f>
        <v/>
      </c>
      <c r="Y89">
        <f>IF(AND(ISNUMBER(O89),ISNUMBER(O91)),VLOOKUP(ABS(O89-O91),'IMP Table'!$A$2:$C$26,3)*SIGN(O89-O91),"")</f>
        <v/>
      </c>
      <c r="Z89">
        <f>IF(AND(ISNUMBER(O89),ISNUMBER(O92)),VLOOKUP(ABS(O89-O92),'IMP Table'!$A$2:$C$26,3)*SIGN(O89-O92),"")</f>
        <v/>
      </c>
      <c r="AA89">
        <f>IF(AND(ISNUMBER(O89),ISNUMBER(O93)),VLOOKUP(ABS(O89-O93),'IMP Table'!$A$2:$C$26,3)*SIGN(O89-O93),"")</f>
        <v/>
      </c>
    </row>
    <row r="90">
      <c r="B90">
        <f>'By Round'!A86</f>
        <v/>
      </c>
      <c r="C90">
        <f>'By Round'!B86</f>
        <v/>
      </c>
      <c r="D90">
        <f>'By Round'!C86</f>
        <v/>
      </c>
      <c r="E90">
        <f>'By Round'!D86</f>
        <v/>
      </c>
      <c r="F90" s="10" t="inlineStr">
        <is>
          <t>Both</t>
        </is>
      </c>
      <c r="G90">
        <f>'By Round'!G86</f>
        <v/>
      </c>
      <c r="H90">
        <f>'By Round'!H86</f>
        <v/>
      </c>
      <c r="I90">
        <f>'By Round'!I86</f>
        <v/>
      </c>
      <c r="J90">
        <f>'By Round'!J86</f>
        <v/>
      </c>
      <c r="K90">
        <f>'By Round'!K86</f>
        <v/>
      </c>
      <c r="L90" s="11">
        <f>IFERROR(AVERAGE(P90:U90),"")</f>
        <v/>
      </c>
      <c r="M90" s="4">
        <f>IFERROR(AVERAGE(V90:AA90),"")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IF(AND(ISNUMBER(N90),ISNUMBER(N87)),VLOOKUP(ABS(N90-N87),'IMP Table'!$A$2:$C$26,3)*SIGN(N90-N87),"")</f>
        <v/>
      </c>
      <c r="Q90">
        <f>IF(AND(ISNUMBER(N90),ISNUMBER(N88)),VLOOKUP(ABS(N90-N88),'IMP Table'!$A$2:$C$26,3)*SIGN(N90-N88),"")</f>
        <v/>
      </c>
      <c r="R90">
        <f>IF(AND(ISNUMBER(N90),ISNUMBER(N89)),VLOOKUP(ABS(N90-N89),'IMP Table'!$A$2:$C$26,3)*SIGN(N90-N89),"")</f>
        <v/>
      </c>
      <c r="S90">
        <f>IF(AND(ISNUMBER(N90),ISNUMBER(N91)),VLOOKUP(ABS(N90-N91),'IMP Table'!$A$2:$C$26,3)*SIGN(N90-N91),"")</f>
        <v/>
      </c>
      <c r="T90">
        <f>IF(AND(ISNUMBER(N90),ISNUMBER(N92)),VLOOKUP(ABS(N90-N92),'IMP Table'!$A$2:$C$26,3)*SIGN(N90-N92),"")</f>
        <v/>
      </c>
      <c r="U90">
        <f>IF(AND(ISNUMBER(N90),ISNUMBER(N93)),VLOOKUP(ABS(N90-N93),'IMP Table'!$A$2:$C$26,3)*SIGN(N90-N93),"")</f>
        <v/>
      </c>
      <c r="V90">
        <f>IF(AND(ISNUMBER(O90),ISNUMBER(O87)),VLOOKUP(ABS(O90-O87),'IMP Table'!$A$2:$C$26,3)*SIGN(O90-O87),"")</f>
        <v/>
      </c>
      <c r="W90">
        <f>IF(AND(ISNUMBER(O90),ISNUMBER(O88)),VLOOKUP(ABS(O90-O88),'IMP Table'!$A$2:$C$26,3)*SIGN(O90-O88),"")</f>
        <v/>
      </c>
      <c r="X90">
        <f>IF(AND(ISNUMBER(O90),ISNUMBER(O89)),VLOOKUP(ABS(O90-O89),'IMP Table'!$A$2:$C$26,3)*SIGN(O90-O89),"")</f>
        <v/>
      </c>
      <c r="Y90">
        <f>IF(AND(ISNUMBER(O90),ISNUMBER(O91)),VLOOKUP(ABS(O90-O91),'IMP Table'!$A$2:$C$26,3)*SIGN(O90-O91),"")</f>
        <v/>
      </c>
      <c r="Z90">
        <f>IF(AND(ISNUMBER(O90),ISNUMBER(O92)),VLOOKUP(ABS(O90-O92),'IMP Table'!$A$2:$C$26,3)*SIGN(O90-O92),"")</f>
        <v/>
      </c>
      <c r="AA90">
        <f>IF(AND(ISNUMBER(O90),ISNUMBER(O93)),VLOOKUP(ABS(O90-O93),'IMP Table'!$A$2:$C$26,3)*SIGN(O90-O93),"")</f>
        <v/>
      </c>
    </row>
    <row r="91">
      <c r="B91">
        <f>'By Round'!A114</f>
        <v/>
      </c>
      <c r="C91">
        <f>'By Round'!B126</f>
        <v/>
      </c>
      <c r="D91">
        <f>'By Round'!C126</f>
        <v/>
      </c>
      <c r="E91">
        <f>'By Round'!D126</f>
        <v/>
      </c>
      <c r="F91" s="10" t="inlineStr">
        <is>
          <t>Both</t>
        </is>
      </c>
      <c r="G91">
        <f>'By Round'!G126</f>
        <v/>
      </c>
      <c r="H91">
        <f>'By Round'!H126</f>
        <v/>
      </c>
      <c r="I91">
        <f>'By Round'!I126</f>
        <v/>
      </c>
      <c r="J91">
        <f>'By Round'!J126</f>
        <v/>
      </c>
      <c r="K91">
        <f>'By Round'!K126</f>
        <v/>
      </c>
      <c r="L91" s="11">
        <f>IFERROR(AVERAGE(P91:U91),"")</f>
        <v/>
      </c>
      <c r="M91" s="4">
        <f>IFERROR(AVERAGE(V91:AA91),"")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IF(AND(ISNUMBER(N91),ISNUMBER(N87)),VLOOKUP(ABS(N91-N87),'IMP Table'!$A$2:$C$26,3)*SIGN(N91-N87),"")</f>
        <v/>
      </c>
      <c r="Q91">
        <f>IF(AND(ISNUMBER(N91),ISNUMBER(N88)),VLOOKUP(ABS(N91-N88),'IMP Table'!$A$2:$C$26,3)*SIGN(N91-N88),"")</f>
        <v/>
      </c>
      <c r="R91">
        <f>IF(AND(ISNUMBER(N91),ISNUMBER(N89)),VLOOKUP(ABS(N91-N89),'IMP Table'!$A$2:$C$26,3)*SIGN(N91-N89),"")</f>
        <v/>
      </c>
      <c r="S91">
        <f>IF(AND(ISNUMBER(N91),ISNUMBER(N90)),VLOOKUP(ABS(N91-N90),'IMP Table'!$A$2:$C$26,3)*SIGN(N91-N90),"")</f>
        <v/>
      </c>
      <c r="T91">
        <f>IF(AND(ISNUMBER(N91),ISNUMBER(N92)),VLOOKUP(ABS(N91-N92),'IMP Table'!$A$2:$C$26,3)*SIGN(N91-N92),"")</f>
        <v/>
      </c>
      <c r="U91">
        <f>IF(AND(ISNUMBER(N91),ISNUMBER(N93)),VLOOKUP(ABS(N91-N93),'IMP Table'!$A$2:$C$26,3)*SIGN(N91-N93),"")</f>
        <v/>
      </c>
      <c r="V91">
        <f>IF(AND(ISNUMBER(O91),ISNUMBER(O87)),VLOOKUP(ABS(O91-O87),'IMP Table'!$A$2:$C$26,3)*SIGN(O91-O87),"")</f>
        <v/>
      </c>
      <c r="W91">
        <f>IF(AND(ISNUMBER(O91),ISNUMBER(O88)),VLOOKUP(ABS(O91-O88),'IMP Table'!$A$2:$C$26,3)*SIGN(O91-O88),"")</f>
        <v/>
      </c>
      <c r="X91">
        <f>IF(AND(ISNUMBER(O91),ISNUMBER(O89)),VLOOKUP(ABS(O91-O89),'IMP Table'!$A$2:$C$26,3)*SIGN(O91-O89),"")</f>
        <v/>
      </c>
      <c r="Y91">
        <f>IF(AND(ISNUMBER(O91),ISNUMBER(O90)),VLOOKUP(ABS(O91-O90),'IMP Table'!$A$2:$C$26,3)*SIGN(O91-O90),"")</f>
        <v/>
      </c>
      <c r="Z91">
        <f>IF(AND(ISNUMBER(O91),ISNUMBER(O92)),VLOOKUP(ABS(O91-O92),'IMP Table'!$A$2:$C$26,3)*SIGN(O91-O92),"")</f>
        <v/>
      </c>
      <c r="AA91">
        <f>IF(AND(ISNUMBER(O91),ISNUMBER(O93)),VLOOKUP(ABS(O91-O93),'IMP Table'!$A$2:$C$26,3)*SIGN(O91-O93),"")</f>
        <v/>
      </c>
    </row>
    <row r="92">
      <c r="B92">
        <f>'By Round'!A128</f>
        <v/>
      </c>
      <c r="C92">
        <f>'By Round'!B138</f>
        <v/>
      </c>
      <c r="D92">
        <f>'By Round'!C138</f>
        <v/>
      </c>
      <c r="E92">
        <f>'By Round'!D138</f>
        <v/>
      </c>
      <c r="F92" s="10" t="inlineStr">
        <is>
          <t>Both</t>
        </is>
      </c>
      <c r="G92">
        <f>'By Round'!G138</f>
        <v/>
      </c>
      <c r="H92">
        <f>'By Round'!H138</f>
        <v/>
      </c>
      <c r="I92">
        <f>'By Round'!I138</f>
        <v/>
      </c>
      <c r="J92">
        <f>'By Round'!J138</f>
        <v/>
      </c>
      <c r="K92">
        <f>'By Round'!K138</f>
        <v/>
      </c>
      <c r="L92" s="11">
        <f>IFERROR(AVERAGE(P92:U92),"")</f>
        <v/>
      </c>
      <c r="M92" s="4">
        <f>IFERROR(AVERAGE(V92:AA92),"")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IF(AND(ISNUMBER(N92),ISNUMBER(N87)),VLOOKUP(ABS(N92-N87),'IMP Table'!$A$2:$C$26,3)*SIGN(N92-N87),"")</f>
        <v/>
      </c>
      <c r="Q92">
        <f>IF(AND(ISNUMBER(N92),ISNUMBER(N88)),VLOOKUP(ABS(N92-N88),'IMP Table'!$A$2:$C$26,3)*SIGN(N92-N88),"")</f>
        <v/>
      </c>
      <c r="R92">
        <f>IF(AND(ISNUMBER(N92),ISNUMBER(N89)),VLOOKUP(ABS(N92-N89),'IMP Table'!$A$2:$C$26,3)*SIGN(N92-N89),"")</f>
        <v/>
      </c>
      <c r="S92">
        <f>IF(AND(ISNUMBER(N92),ISNUMBER(N90)),VLOOKUP(ABS(N92-N90),'IMP Table'!$A$2:$C$26,3)*SIGN(N92-N90),"")</f>
        <v/>
      </c>
      <c r="T92">
        <f>IF(AND(ISNUMBER(N92),ISNUMBER(N91)),VLOOKUP(ABS(N92-N91),'IMP Table'!$A$2:$C$26,3)*SIGN(N92-N91),"")</f>
        <v/>
      </c>
      <c r="U92">
        <f>IF(AND(ISNUMBER(N92),ISNUMBER(N93)),VLOOKUP(ABS(N92-N93),'IMP Table'!$A$2:$C$26,3)*SIGN(N92-N93),"")</f>
        <v/>
      </c>
      <c r="V92">
        <f>IF(AND(ISNUMBER(O92),ISNUMBER(O87)),VLOOKUP(ABS(O92-O87),'IMP Table'!$A$2:$C$26,3)*SIGN(O92-O87),"")</f>
        <v/>
      </c>
      <c r="W92">
        <f>IF(AND(ISNUMBER(O92),ISNUMBER(O88)),VLOOKUP(ABS(O92-O88),'IMP Table'!$A$2:$C$26,3)*SIGN(O92-O88),"")</f>
        <v/>
      </c>
      <c r="X92">
        <f>IF(AND(ISNUMBER(O92),ISNUMBER(O89)),VLOOKUP(ABS(O92-O89),'IMP Table'!$A$2:$C$26,3)*SIGN(O92-O89),"")</f>
        <v/>
      </c>
      <c r="Y92">
        <f>IF(AND(ISNUMBER(O92),ISNUMBER(O90)),VLOOKUP(ABS(O92-O90),'IMP Table'!$A$2:$C$26,3)*SIGN(O92-O90),"")</f>
        <v/>
      </c>
      <c r="Z92">
        <f>IF(AND(ISNUMBER(O92),ISNUMBER(O91)),VLOOKUP(ABS(O92-O91),'IMP Table'!$A$2:$C$26,3)*SIGN(O92-O91),"")</f>
        <v/>
      </c>
      <c r="AA92">
        <f>IF(AND(ISNUMBER(O92),ISNUMBER(O93)),VLOOKUP(ABS(O92-O93),'IMP Table'!$A$2:$C$26,3)*SIGN(O92-O93),"")</f>
        <v/>
      </c>
    </row>
    <row r="93">
      <c r="B93">
        <f>'By Round'!A142</f>
        <v/>
      </c>
      <c r="C93">
        <f>'By Round'!B150</f>
        <v/>
      </c>
      <c r="D93">
        <f>'By Round'!C150</f>
        <v/>
      </c>
      <c r="E93">
        <f>'By Round'!D150</f>
        <v/>
      </c>
      <c r="F93" s="10" t="inlineStr">
        <is>
          <t>Both</t>
        </is>
      </c>
      <c r="G93">
        <f>'By Round'!G150</f>
        <v/>
      </c>
      <c r="H93">
        <f>'By Round'!H150</f>
        <v/>
      </c>
      <c r="I93">
        <f>'By Round'!I150</f>
        <v/>
      </c>
      <c r="J93">
        <f>'By Round'!J150</f>
        <v/>
      </c>
      <c r="K93">
        <f>'By Round'!K150</f>
        <v/>
      </c>
      <c r="L93" s="11">
        <f>IFERROR(AVERAGE(P93:U93),"")</f>
        <v/>
      </c>
      <c r="M93" s="4">
        <f>IFERROR(AVERAGE(V93:AA93),"")</f>
        <v/>
      </c>
      <c r="N93">
        <f>IF(ISNUMBER(J93),J93,IF(ISNUMBER(K93),-K93,""))</f>
        <v/>
      </c>
      <c r="O93">
        <f>IF(ISNUMBER(K93),K93,IF(ISNUMBER(J93),-J93,""))</f>
        <v/>
      </c>
      <c r="P93">
        <f>IF(AND(ISNUMBER(N93),ISNUMBER(N87)),VLOOKUP(ABS(N93-N87),'IMP Table'!$A$2:$C$26,3)*SIGN(N93-N87),"")</f>
        <v/>
      </c>
      <c r="Q93">
        <f>IF(AND(ISNUMBER(N93),ISNUMBER(N88)),VLOOKUP(ABS(N93-N88),'IMP Table'!$A$2:$C$26,3)*SIGN(N93-N88),"")</f>
        <v/>
      </c>
      <c r="R93">
        <f>IF(AND(ISNUMBER(N93),ISNUMBER(N89)),VLOOKUP(ABS(N93-N89),'IMP Table'!$A$2:$C$26,3)*SIGN(N93-N89),"")</f>
        <v/>
      </c>
      <c r="S93">
        <f>IF(AND(ISNUMBER(N93),ISNUMBER(N90)),VLOOKUP(ABS(N93-N90),'IMP Table'!$A$2:$C$26,3)*SIGN(N93-N90),"")</f>
        <v/>
      </c>
      <c r="T93">
        <f>IF(AND(ISNUMBER(N93),ISNUMBER(N91)),VLOOKUP(ABS(N93-N91),'IMP Table'!$A$2:$C$26,3)*SIGN(N93-N91),"")</f>
        <v/>
      </c>
      <c r="U93">
        <f>IF(AND(ISNUMBER(N93),ISNUMBER(N92)),VLOOKUP(ABS(N93-N92),'IMP Table'!$A$2:$C$26,3)*SIGN(N93-N92),"")</f>
        <v/>
      </c>
      <c r="V93">
        <f>IF(AND(ISNUMBER(O93),ISNUMBER(O87)),VLOOKUP(ABS(O93-O87),'IMP Table'!$A$2:$C$26,3)*SIGN(O93-O87),"")</f>
        <v/>
      </c>
      <c r="W93">
        <f>IF(AND(ISNUMBER(O93),ISNUMBER(O88)),VLOOKUP(ABS(O93-O88),'IMP Table'!$A$2:$C$26,3)*SIGN(O93-O88),"")</f>
        <v/>
      </c>
      <c r="X93">
        <f>IF(AND(ISNUMBER(O93),ISNUMBER(O89)),VLOOKUP(ABS(O93-O89),'IMP Table'!$A$2:$C$26,3)*SIGN(O93-O89),"")</f>
        <v/>
      </c>
      <c r="Y93">
        <f>IF(AND(ISNUMBER(O93),ISNUMBER(O90)),VLOOKUP(ABS(O93-O90),'IMP Table'!$A$2:$C$26,3)*SIGN(O93-O90),"")</f>
        <v/>
      </c>
      <c r="Z93">
        <f>IF(AND(ISNUMBER(O93),ISNUMBER(O91)),VLOOKUP(ABS(O93-O91),'IMP Table'!$A$2:$C$26,3)*SIGN(O93-O91),"")</f>
        <v/>
      </c>
      <c r="AA93">
        <f>IF(AND(ISNUMBER(O93),ISNUMBER(O92)),VLOOKUP(ABS(O93-O92),'IMP Table'!$A$2:$C$26,3)*SIGN(O93-O92),"")</f>
        <v/>
      </c>
    </row>
    <row r="94">
      <c r="A94" t="n">
        <v>14</v>
      </c>
      <c r="B94">
        <f>'By Round'!A30</f>
        <v/>
      </c>
      <c r="C94">
        <f>'By Round'!B36</f>
        <v/>
      </c>
      <c r="D94">
        <f>'By Round'!C36</f>
        <v/>
      </c>
      <c r="E94">
        <f>'By Round'!D36</f>
        <v/>
      </c>
      <c r="F94" s="10" t="inlineStr">
        <is>
          <t>None</t>
        </is>
      </c>
      <c r="G94">
        <f>'By Round'!G37</f>
        <v/>
      </c>
      <c r="H94">
        <f>'By Round'!H37</f>
        <v/>
      </c>
      <c r="I94">
        <f>'By Round'!I37</f>
        <v/>
      </c>
      <c r="J94">
        <f>'By Round'!J37</f>
        <v/>
      </c>
      <c r="K94">
        <f>'By Round'!K37</f>
        <v/>
      </c>
      <c r="L94" s="11">
        <f>IFERROR(AVERAGE(P94:U94),"")</f>
        <v/>
      </c>
      <c r="M94" s="4">
        <f>IFERROR(AVERAGE(V94:AA94),"")</f>
        <v/>
      </c>
      <c r="N94">
        <f>IF(ISNUMBER(J94),J94,IF(ISNUMBER(K94),-K94,""))</f>
        <v/>
      </c>
      <c r="O94">
        <f>IF(ISNUMBER(K94),K94,IF(ISNUMBER(J94),-J94,""))</f>
        <v/>
      </c>
      <c r="P94">
        <f>IF(AND(ISNUMBER(N94),ISNUMBER(N95)),VLOOKUP(ABS(N94-N95),'IMP Table'!$A$2:$C$26,3)*SIGN(N94-N95),"")</f>
        <v/>
      </c>
      <c r="Q94">
        <f>IF(AND(ISNUMBER(N94),ISNUMBER(N96)),VLOOKUP(ABS(N94-N96),'IMP Table'!$A$2:$C$26,3)*SIGN(N94-N96),"")</f>
        <v/>
      </c>
      <c r="R94">
        <f>IF(AND(ISNUMBER(N94),ISNUMBER(N97)),VLOOKUP(ABS(N94-N97),'IMP Table'!$A$2:$C$26,3)*SIGN(N94-N97),"")</f>
        <v/>
      </c>
      <c r="S94">
        <f>IF(AND(ISNUMBER(N94),ISNUMBER(N98)),VLOOKUP(ABS(N94-N98),'IMP Table'!$A$2:$C$26,3)*SIGN(N94-N98),"")</f>
        <v/>
      </c>
      <c r="T94">
        <f>IF(AND(ISNUMBER(N94),ISNUMBER(N99)),VLOOKUP(ABS(N94-N99),'IMP Table'!$A$2:$C$26,3)*SIGN(N94-N99),"")</f>
        <v/>
      </c>
      <c r="U94">
        <f>IF(AND(ISNUMBER(N94),ISNUMBER(N100)),VLOOKUP(ABS(N94-N100),'IMP Table'!$A$2:$C$26,3)*SIGN(N94-N100),"")</f>
        <v/>
      </c>
      <c r="V94">
        <f>IF(AND(ISNUMBER(O94),ISNUMBER(O95)),VLOOKUP(ABS(O94-O95),'IMP Table'!$A$2:$C$26,3)*SIGN(O94-O95),"")</f>
        <v/>
      </c>
      <c r="W94">
        <f>IF(AND(ISNUMBER(O94),ISNUMBER(O96)),VLOOKUP(ABS(O94-O96),'IMP Table'!$A$2:$C$26,3)*SIGN(O94-O96),"")</f>
        <v/>
      </c>
      <c r="X94">
        <f>IF(AND(ISNUMBER(O94),ISNUMBER(O97)),VLOOKUP(ABS(O94-O97),'IMP Table'!$A$2:$C$26,3)*SIGN(O94-O97),"")</f>
        <v/>
      </c>
      <c r="Y94">
        <f>IF(AND(ISNUMBER(O94),ISNUMBER(O98)),VLOOKUP(ABS(O94-O98),'IMP Table'!$A$2:$C$26,3)*SIGN(O94-O98),"")</f>
        <v/>
      </c>
      <c r="Z94">
        <f>IF(AND(ISNUMBER(O94),ISNUMBER(O99)),VLOOKUP(ABS(O94-O99),'IMP Table'!$A$2:$C$26,3)*SIGN(O94-O99),"")</f>
        <v/>
      </c>
      <c r="AA94">
        <f>IF(AND(ISNUMBER(O94),ISNUMBER(O100)),VLOOKUP(ABS(O94-O100),'IMP Table'!$A$2:$C$26,3)*SIGN(O94-O100),"")</f>
        <v/>
      </c>
    </row>
    <row r="95">
      <c r="B95">
        <f>'By Round'!A44</f>
        <v/>
      </c>
      <c r="C95">
        <f>'By Round'!B48</f>
        <v/>
      </c>
      <c r="D95">
        <f>'By Round'!C48</f>
        <v/>
      </c>
      <c r="E95">
        <f>'By Round'!D48</f>
        <v/>
      </c>
      <c r="F95" s="10" t="inlineStr">
        <is>
          <t>None</t>
        </is>
      </c>
      <c r="G95">
        <f>'By Round'!G49</f>
        <v/>
      </c>
      <c r="H95">
        <f>'By Round'!H49</f>
        <v/>
      </c>
      <c r="I95">
        <f>'By Round'!I49</f>
        <v/>
      </c>
      <c r="J95">
        <f>'By Round'!J49</f>
        <v/>
      </c>
      <c r="K95">
        <f>'By Round'!K49</f>
        <v/>
      </c>
      <c r="L95" s="11">
        <f>IFERROR(AVERAGE(P95:U95),"")</f>
        <v/>
      </c>
      <c r="M95" s="4">
        <f>IFERROR(AVERAGE(V95:AA95),"")</f>
        <v/>
      </c>
      <c r="N95">
        <f>IF(ISNUMBER(J95),J95,IF(ISNUMBER(K95),-K95,""))</f>
        <v/>
      </c>
      <c r="O95">
        <f>IF(ISNUMBER(K95),K95,IF(ISNUMBER(J95),-J95,""))</f>
        <v/>
      </c>
      <c r="P95">
        <f>IF(AND(ISNUMBER(N95),ISNUMBER(N94)),VLOOKUP(ABS(N95-N94),'IMP Table'!$A$2:$C$26,3)*SIGN(N95-N94),"")</f>
        <v/>
      </c>
      <c r="Q95">
        <f>IF(AND(ISNUMBER(N95),ISNUMBER(N96)),VLOOKUP(ABS(N95-N96),'IMP Table'!$A$2:$C$26,3)*SIGN(N95-N96),"")</f>
        <v/>
      </c>
      <c r="R95">
        <f>IF(AND(ISNUMBER(N95),ISNUMBER(N97)),VLOOKUP(ABS(N95-N97),'IMP Table'!$A$2:$C$26,3)*SIGN(N95-N97),"")</f>
        <v/>
      </c>
      <c r="S95">
        <f>IF(AND(ISNUMBER(N95),ISNUMBER(N98)),VLOOKUP(ABS(N95-N98),'IMP Table'!$A$2:$C$26,3)*SIGN(N95-N98),"")</f>
        <v/>
      </c>
      <c r="T95">
        <f>IF(AND(ISNUMBER(N95),ISNUMBER(N99)),VLOOKUP(ABS(N95-N99),'IMP Table'!$A$2:$C$26,3)*SIGN(N95-N99),"")</f>
        <v/>
      </c>
      <c r="U95">
        <f>IF(AND(ISNUMBER(N95),ISNUMBER(N100)),VLOOKUP(ABS(N95-N100),'IMP Table'!$A$2:$C$26,3)*SIGN(N95-N100),"")</f>
        <v/>
      </c>
      <c r="V95">
        <f>IF(AND(ISNUMBER(O95),ISNUMBER(O94)),VLOOKUP(ABS(O95-O94),'IMP Table'!$A$2:$C$26,3)*SIGN(O95-O94),"")</f>
        <v/>
      </c>
      <c r="W95">
        <f>IF(AND(ISNUMBER(O95),ISNUMBER(O96)),VLOOKUP(ABS(O95-O96),'IMP Table'!$A$2:$C$26,3)*SIGN(O95-O96),"")</f>
        <v/>
      </c>
      <c r="X95">
        <f>IF(AND(ISNUMBER(O95),ISNUMBER(O97)),VLOOKUP(ABS(O95-O97),'IMP Table'!$A$2:$C$26,3)*SIGN(O95-O97),"")</f>
        <v/>
      </c>
      <c r="Y95">
        <f>IF(AND(ISNUMBER(O95),ISNUMBER(O98)),VLOOKUP(ABS(O95-O98),'IMP Table'!$A$2:$C$26,3)*SIGN(O95-O98),"")</f>
        <v/>
      </c>
      <c r="Z95">
        <f>IF(AND(ISNUMBER(O95),ISNUMBER(O99)),VLOOKUP(ABS(O95-O99),'IMP Table'!$A$2:$C$26,3)*SIGN(O95-O99),"")</f>
        <v/>
      </c>
      <c r="AA95">
        <f>IF(AND(ISNUMBER(O95),ISNUMBER(O100)),VLOOKUP(ABS(O95-O100),'IMP Table'!$A$2:$C$26,3)*SIGN(O95-O100),"")</f>
        <v/>
      </c>
    </row>
    <row r="96">
      <c r="B96">
        <f>'By Round'!A58</f>
        <v/>
      </c>
      <c r="C96">
        <f>'By Round'!B60</f>
        <v/>
      </c>
      <c r="D96">
        <f>'By Round'!C60</f>
        <v/>
      </c>
      <c r="E96">
        <f>'By Round'!D60</f>
        <v/>
      </c>
      <c r="F96" s="10" t="inlineStr">
        <is>
          <t>None</t>
        </is>
      </c>
      <c r="G96">
        <f>'By Round'!G61</f>
        <v/>
      </c>
      <c r="H96">
        <f>'By Round'!H61</f>
        <v/>
      </c>
      <c r="I96">
        <f>'By Round'!I61</f>
        <v/>
      </c>
      <c r="J96">
        <f>'By Round'!J61</f>
        <v/>
      </c>
      <c r="K96">
        <f>'By Round'!K61</f>
        <v/>
      </c>
      <c r="L96" s="11">
        <f>IFERROR(AVERAGE(P96:U96),"")</f>
        <v/>
      </c>
      <c r="M96" s="4">
        <f>IFERROR(AVERAGE(V96:AA96),"")</f>
        <v/>
      </c>
      <c r="N96">
        <f>IF(ISNUMBER(J96),J96,IF(ISNUMBER(K96),-K96,""))</f>
        <v/>
      </c>
      <c r="O96">
        <f>IF(ISNUMBER(K96),K96,IF(ISNUMBER(J96),-J96,""))</f>
        <v/>
      </c>
      <c r="P96">
        <f>IF(AND(ISNUMBER(N96),ISNUMBER(N94)),VLOOKUP(ABS(N96-N94),'IMP Table'!$A$2:$C$26,3)*SIGN(N96-N94),"")</f>
        <v/>
      </c>
      <c r="Q96">
        <f>IF(AND(ISNUMBER(N96),ISNUMBER(N95)),VLOOKUP(ABS(N96-N95),'IMP Table'!$A$2:$C$26,3)*SIGN(N96-N95),"")</f>
        <v/>
      </c>
      <c r="R96">
        <f>IF(AND(ISNUMBER(N96),ISNUMBER(N97)),VLOOKUP(ABS(N96-N97),'IMP Table'!$A$2:$C$26,3)*SIGN(N96-N97),"")</f>
        <v/>
      </c>
      <c r="S96">
        <f>IF(AND(ISNUMBER(N96),ISNUMBER(N98)),VLOOKUP(ABS(N96-N98),'IMP Table'!$A$2:$C$26,3)*SIGN(N96-N98),"")</f>
        <v/>
      </c>
      <c r="T96">
        <f>IF(AND(ISNUMBER(N96),ISNUMBER(N99)),VLOOKUP(ABS(N96-N99),'IMP Table'!$A$2:$C$26,3)*SIGN(N96-N99),"")</f>
        <v/>
      </c>
      <c r="U96">
        <f>IF(AND(ISNUMBER(N96),ISNUMBER(N100)),VLOOKUP(ABS(N96-N100),'IMP Table'!$A$2:$C$26,3)*SIGN(N96-N100),"")</f>
        <v/>
      </c>
      <c r="V96">
        <f>IF(AND(ISNUMBER(O96),ISNUMBER(O94)),VLOOKUP(ABS(O96-O94),'IMP Table'!$A$2:$C$26,3)*SIGN(O96-O94),"")</f>
        <v/>
      </c>
      <c r="W96">
        <f>IF(AND(ISNUMBER(O96),ISNUMBER(O95)),VLOOKUP(ABS(O96-O95),'IMP Table'!$A$2:$C$26,3)*SIGN(O96-O95),"")</f>
        <v/>
      </c>
      <c r="X96">
        <f>IF(AND(ISNUMBER(O96),ISNUMBER(O97)),VLOOKUP(ABS(O96-O97),'IMP Table'!$A$2:$C$26,3)*SIGN(O96-O97),"")</f>
        <v/>
      </c>
      <c r="Y96">
        <f>IF(AND(ISNUMBER(O96),ISNUMBER(O98)),VLOOKUP(ABS(O96-O98),'IMP Table'!$A$2:$C$26,3)*SIGN(O96-O98),"")</f>
        <v/>
      </c>
      <c r="Z96">
        <f>IF(AND(ISNUMBER(O96),ISNUMBER(O99)),VLOOKUP(ABS(O96-O99),'IMP Table'!$A$2:$C$26,3)*SIGN(O96-O99),"")</f>
        <v/>
      </c>
      <c r="AA96">
        <f>IF(AND(ISNUMBER(O96),ISNUMBER(O100)),VLOOKUP(ABS(O96-O100),'IMP Table'!$A$2:$C$26,3)*SIGN(O96-O100),"")</f>
        <v/>
      </c>
    </row>
    <row r="97">
      <c r="B97">
        <f>'By Round'!A86</f>
        <v/>
      </c>
      <c r="C97">
        <f>'By Round'!B86</f>
        <v/>
      </c>
      <c r="D97">
        <f>'By Round'!C86</f>
        <v/>
      </c>
      <c r="E97">
        <f>'By Round'!D86</f>
        <v/>
      </c>
      <c r="F97" s="10" t="inlineStr">
        <is>
          <t>None</t>
        </is>
      </c>
      <c r="G97">
        <f>'By Round'!G87</f>
        <v/>
      </c>
      <c r="H97">
        <f>'By Round'!H87</f>
        <v/>
      </c>
      <c r="I97">
        <f>'By Round'!I87</f>
        <v/>
      </c>
      <c r="J97">
        <f>'By Round'!J87</f>
        <v/>
      </c>
      <c r="K97">
        <f>'By Round'!K87</f>
        <v/>
      </c>
      <c r="L97" s="11">
        <f>IFERROR(AVERAGE(P97:U97),"")</f>
        <v/>
      </c>
      <c r="M97" s="4">
        <f>IFERROR(AVERAGE(V97:AA97),"")</f>
        <v/>
      </c>
      <c r="N97">
        <f>IF(ISNUMBER(J97),J97,IF(ISNUMBER(K97),-K97,""))</f>
        <v/>
      </c>
      <c r="O97">
        <f>IF(ISNUMBER(K97),K97,IF(ISNUMBER(J97),-J97,""))</f>
        <v/>
      </c>
      <c r="P97">
        <f>IF(AND(ISNUMBER(N97),ISNUMBER(N94)),VLOOKUP(ABS(N97-N94),'IMP Table'!$A$2:$C$26,3)*SIGN(N97-N94),"")</f>
        <v/>
      </c>
      <c r="Q97">
        <f>IF(AND(ISNUMBER(N97),ISNUMBER(N95)),VLOOKUP(ABS(N97-N95),'IMP Table'!$A$2:$C$26,3)*SIGN(N97-N95),"")</f>
        <v/>
      </c>
      <c r="R97">
        <f>IF(AND(ISNUMBER(N97),ISNUMBER(N96)),VLOOKUP(ABS(N97-N96),'IMP Table'!$A$2:$C$26,3)*SIGN(N97-N96),"")</f>
        <v/>
      </c>
      <c r="S97">
        <f>IF(AND(ISNUMBER(N97),ISNUMBER(N98)),VLOOKUP(ABS(N97-N98),'IMP Table'!$A$2:$C$26,3)*SIGN(N97-N98),"")</f>
        <v/>
      </c>
      <c r="T97">
        <f>IF(AND(ISNUMBER(N97),ISNUMBER(N99)),VLOOKUP(ABS(N97-N99),'IMP Table'!$A$2:$C$26,3)*SIGN(N97-N99),"")</f>
        <v/>
      </c>
      <c r="U97">
        <f>IF(AND(ISNUMBER(N97),ISNUMBER(N100)),VLOOKUP(ABS(N97-N100),'IMP Table'!$A$2:$C$26,3)*SIGN(N97-N100),"")</f>
        <v/>
      </c>
      <c r="V97">
        <f>IF(AND(ISNUMBER(O97),ISNUMBER(O94)),VLOOKUP(ABS(O97-O94),'IMP Table'!$A$2:$C$26,3)*SIGN(O97-O94),"")</f>
        <v/>
      </c>
      <c r="W97">
        <f>IF(AND(ISNUMBER(O97),ISNUMBER(O95)),VLOOKUP(ABS(O97-O95),'IMP Table'!$A$2:$C$26,3)*SIGN(O97-O95),"")</f>
        <v/>
      </c>
      <c r="X97">
        <f>IF(AND(ISNUMBER(O97),ISNUMBER(O96)),VLOOKUP(ABS(O97-O96),'IMP Table'!$A$2:$C$26,3)*SIGN(O97-O96),"")</f>
        <v/>
      </c>
      <c r="Y97">
        <f>IF(AND(ISNUMBER(O97),ISNUMBER(O98)),VLOOKUP(ABS(O97-O98),'IMP Table'!$A$2:$C$26,3)*SIGN(O97-O98),"")</f>
        <v/>
      </c>
      <c r="Z97">
        <f>IF(AND(ISNUMBER(O97),ISNUMBER(O99)),VLOOKUP(ABS(O97-O99),'IMP Table'!$A$2:$C$26,3)*SIGN(O97-O99),"")</f>
        <v/>
      </c>
      <c r="AA97">
        <f>IF(AND(ISNUMBER(O97),ISNUMBER(O100)),VLOOKUP(ABS(O97-O100),'IMP Table'!$A$2:$C$26,3)*SIGN(O97-O100),"")</f>
        <v/>
      </c>
    </row>
    <row r="98">
      <c r="B98">
        <f>'By Round'!A114</f>
        <v/>
      </c>
      <c r="C98">
        <f>'By Round'!B126</f>
        <v/>
      </c>
      <c r="D98">
        <f>'By Round'!C126</f>
        <v/>
      </c>
      <c r="E98">
        <f>'By Round'!D126</f>
        <v/>
      </c>
      <c r="F98" s="10" t="inlineStr">
        <is>
          <t>None</t>
        </is>
      </c>
      <c r="G98">
        <f>'By Round'!G127</f>
        <v/>
      </c>
      <c r="H98">
        <f>'By Round'!H127</f>
        <v/>
      </c>
      <c r="I98">
        <f>'By Round'!I127</f>
        <v/>
      </c>
      <c r="J98">
        <f>'By Round'!J127</f>
        <v/>
      </c>
      <c r="K98">
        <f>'By Round'!K127</f>
        <v/>
      </c>
      <c r="L98" s="11">
        <f>IFERROR(AVERAGE(P98:U98),"")</f>
        <v/>
      </c>
      <c r="M98" s="4">
        <f>IFERROR(AVERAGE(V98:AA98),"")</f>
        <v/>
      </c>
      <c r="N98">
        <f>IF(ISNUMBER(J98),J98,IF(ISNUMBER(K98),-K98,""))</f>
        <v/>
      </c>
      <c r="O98">
        <f>IF(ISNUMBER(K98),K98,IF(ISNUMBER(J98),-J98,""))</f>
        <v/>
      </c>
      <c r="P98">
        <f>IF(AND(ISNUMBER(N98),ISNUMBER(N94)),VLOOKUP(ABS(N98-N94),'IMP Table'!$A$2:$C$26,3)*SIGN(N98-N94),"")</f>
        <v/>
      </c>
      <c r="Q98">
        <f>IF(AND(ISNUMBER(N98),ISNUMBER(N95)),VLOOKUP(ABS(N98-N95),'IMP Table'!$A$2:$C$26,3)*SIGN(N98-N95),"")</f>
        <v/>
      </c>
      <c r="R98">
        <f>IF(AND(ISNUMBER(N98),ISNUMBER(N96)),VLOOKUP(ABS(N98-N96),'IMP Table'!$A$2:$C$26,3)*SIGN(N98-N96),"")</f>
        <v/>
      </c>
      <c r="S98">
        <f>IF(AND(ISNUMBER(N98),ISNUMBER(N97)),VLOOKUP(ABS(N98-N97),'IMP Table'!$A$2:$C$26,3)*SIGN(N98-N97),"")</f>
        <v/>
      </c>
      <c r="T98">
        <f>IF(AND(ISNUMBER(N98),ISNUMBER(N99)),VLOOKUP(ABS(N98-N99),'IMP Table'!$A$2:$C$26,3)*SIGN(N98-N99),"")</f>
        <v/>
      </c>
      <c r="U98">
        <f>IF(AND(ISNUMBER(N98),ISNUMBER(N100)),VLOOKUP(ABS(N98-N100),'IMP Table'!$A$2:$C$26,3)*SIGN(N98-N100),"")</f>
        <v/>
      </c>
      <c r="V98">
        <f>IF(AND(ISNUMBER(O98),ISNUMBER(O94)),VLOOKUP(ABS(O98-O94),'IMP Table'!$A$2:$C$26,3)*SIGN(O98-O94),"")</f>
        <v/>
      </c>
      <c r="W98">
        <f>IF(AND(ISNUMBER(O98),ISNUMBER(O95)),VLOOKUP(ABS(O98-O95),'IMP Table'!$A$2:$C$26,3)*SIGN(O98-O95),"")</f>
        <v/>
      </c>
      <c r="X98">
        <f>IF(AND(ISNUMBER(O98),ISNUMBER(O96)),VLOOKUP(ABS(O98-O96),'IMP Table'!$A$2:$C$26,3)*SIGN(O98-O96),"")</f>
        <v/>
      </c>
      <c r="Y98">
        <f>IF(AND(ISNUMBER(O98),ISNUMBER(O97)),VLOOKUP(ABS(O98-O97),'IMP Table'!$A$2:$C$26,3)*SIGN(O98-O97),"")</f>
        <v/>
      </c>
      <c r="Z98">
        <f>IF(AND(ISNUMBER(O98),ISNUMBER(O99)),VLOOKUP(ABS(O98-O99),'IMP Table'!$A$2:$C$26,3)*SIGN(O98-O99),"")</f>
        <v/>
      </c>
      <c r="AA98">
        <f>IF(AND(ISNUMBER(O98),ISNUMBER(O100)),VLOOKUP(ABS(O98-O100),'IMP Table'!$A$2:$C$26,3)*SIGN(O98-O100),"")</f>
        <v/>
      </c>
    </row>
    <row r="99">
      <c r="B99">
        <f>'By Round'!A128</f>
        <v/>
      </c>
      <c r="C99">
        <f>'By Round'!B138</f>
        <v/>
      </c>
      <c r="D99">
        <f>'By Round'!C138</f>
        <v/>
      </c>
      <c r="E99">
        <f>'By Round'!D138</f>
        <v/>
      </c>
      <c r="F99" s="10" t="inlineStr">
        <is>
          <t>None</t>
        </is>
      </c>
      <c r="G99">
        <f>'By Round'!G139</f>
        <v/>
      </c>
      <c r="H99">
        <f>'By Round'!H139</f>
        <v/>
      </c>
      <c r="I99">
        <f>'By Round'!I139</f>
        <v/>
      </c>
      <c r="J99">
        <f>'By Round'!J139</f>
        <v/>
      </c>
      <c r="K99">
        <f>'By Round'!K139</f>
        <v/>
      </c>
      <c r="L99" s="11">
        <f>IFERROR(AVERAGE(P99:U99),"")</f>
        <v/>
      </c>
      <c r="M99" s="4">
        <f>IFERROR(AVERAGE(V99:AA99),"")</f>
        <v/>
      </c>
      <c r="N99">
        <f>IF(ISNUMBER(J99),J99,IF(ISNUMBER(K99),-K99,""))</f>
        <v/>
      </c>
      <c r="O99">
        <f>IF(ISNUMBER(K99),K99,IF(ISNUMBER(J99),-J99,""))</f>
        <v/>
      </c>
      <c r="P99">
        <f>IF(AND(ISNUMBER(N99),ISNUMBER(N94)),VLOOKUP(ABS(N99-N94),'IMP Table'!$A$2:$C$26,3)*SIGN(N99-N94),"")</f>
        <v/>
      </c>
      <c r="Q99">
        <f>IF(AND(ISNUMBER(N99),ISNUMBER(N95)),VLOOKUP(ABS(N99-N95),'IMP Table'!$A$2:$C$26,3)*SIGN(N99-N95),"")</f>
        <v/>
      </c>
      <c r="R99">
        <f>IF(AND(ISNUMBER(N99),ISNUMBER(N96)),VLOOKUP(ABS(N99-N96),'IMP Table'!$A$2:$C$26,3)*SIGN(N99-N96),"")</f>
        <v/>
      </c>
      <c r="S99">
        <f>IF(AND(ISNUMBER(N99),ISNUMBER(N97)),VLOOKUP(ABS(N99-N97),'IMP Table'!$A$2:$C$26,3)*SIGN(N99-N97),"")</f>
        <v/>
      </c>
      <c r="T99">
        <f>IF(AND(ISNUMBER(N99),ISNUMBER(N98)),VLOOKUP(ABS(N99-N98),'IMP Table'!$A$2:$C$26,3)*SIGN(N99-N98),"")</f>
        <v/>
      </c>
      <c r="U99">
        <f>IF(AND(ISNUMBER(N99),ISNUMBER(N100)),VLOOKUP(ABS(N99-N100),'IMP Table'!$A$2:$C$26,3)*SIGN(N99-N100),"")</f>
        <v/>
      </c>
      <c r="V99">
        <f>IF(AND(ISNUMBER(O99),ISNUMBER(O94)),VLOOKUP(ABS(O99-O94),'IMP Table'!$A$2:$C$26,3)*SIGN(O99-O94),"")</f>
        <v/>
      </c>
      <c r="W99">
        <f>IF(AND(ISNUMBER(O99),ISNUMBER(O95)),VLOOKUP(ABS(O99-O95),'IMP Table'!$A$2:$C$26,3)*SIGN(O99-O95),"")</f>
        <v/>
      </c>
      <c r="X99">
        <f>IF(AND(ISNUMBER(O99),ISNUMBER(O96)),VLOOKUP(ABS(O99-O96),'IMP Table'!$A$2:$C$26,3)*SIGN(O99-O96),"")</f>
        <v/>
      </c>
      <c r="Y99">
        <f>IF(AND(ISNUMBER(O99),ISNUMBER(O97)),VLOOKUP(ABS(O99-O97),'IMP Table'!$A$2:$C$26,3)*SIGN(O99-O97),"")</f>
        <v/>
      </c>
      <c r="Z99">
        <f>IF(AND(ISNUMBER(O99),ISNUMBER(O98)),VLOOKUP(ABS(O99-O98),'IMP Table'!$A$2:$C$26,3)*SIGN(O99-O98),"")</f>
        <v/>
      </c>
      <c r="AA99">
        <f>IF(AND(ISNUMBER(O99),ISNUMBER(O100)),VLOOKUP(ABS(O99-O100),'IMP Table'!$A$2:$C$26,3)*SIGN(O99-O100),"")</f>
        <v/>
      </c>
    </row>
    <row r="100">
      <c r="B100">
        <f>'By Round'!A142</f>
        <v/>
      </c>
      <c r="C100">
        <f>'By Round'!B150</f>
        <v/>
      </c>
      <c r="D100">
        <f>'By Round'!C150</f>
        <v/>
      </c>
      <c r="E100">
        <f>'By Round'!D150</f>
        <v/>
      </c>
      <c r="F100" s="10" t="inlineStr">
        <is>
          <t>None</t>
        </is>
      </c>
      <c r="G100">
        <f>'By Round'!G151</f>
        <v/>
      </c>
      <c r="H100">
        <f>'By Round'!H151</f>
        <v/>
      </c>
      <c r="I100">
        <f>'By Round'!I151</f>
        <v/>
      </c>
      <c r="J100">
        <f>'By Round'!J151</f>
        <v/>
      </c>
      <c r="K100">
        <f>'By Round'!K151</f>
        <v/>
      </c>
      <c r="L100" s="11">
        <f>IFERROR(AVERAGE(P100:U100),"")</f>
        <v/>
      </c>
      <c r="M100" s="4">
        <f>IFERROR(AVERAGE(V100:AA100),"")</f>
        <v/>
      </c>
      <c r="N100">
        <f>IF(ISNUMBER(J100),J100,IF(ISNUMBER(K100),-K100,""))</f>
        <v/>
      </c>
      <c r="O100">
        <f>IF(ISNUMBER(K100),K100,IF(ISNUMBER(J100),-J100,""))</f>
        <v/>
      </c>
      <c r="P100">
        <f>IF(AND(ISNUMBER(N100),ISNUMBER(N94)),VLOOKUP(ABS(N100-N94),'IMP Table'!$A$2:$C$26,3)*SIGN(N100-N94),"")</f>
        <v/>
      </c>
      <c r="Q100">
        <f>IF(AND(ISNUMBER(N100),ISNUMBER(N95)),VLOOKUP(ABS(N100-N95),'IMP Table'!$A$2:$C$26,3)*SIGN(N100-N95),"")</f>
        <v/>
      </c>
      <c r="R100">
        <f>IF(AND(ISNUMBER(N100),ISNUMBER(N96)),VLOOKUP(ABS(N100-N96),'IMP Table'!$A$2:$C$26,3)*SIGN(N100-N96),"")</f>
        <v/>
      </c>
      <c r="S100">
        <f>IF(AND(ISNUMBER(N100),ISNUMBER(N97)),VLOOKUP(ABS(N100-N97),'IMP Table'!$A$2:$C$26,3)*SIGN(N100-N97),"")</f>
        <v/>
      </c>
      <c r="T100">
        <f>IF(AND(ISNUMBER(N100),ISNUMBER(N98)),VLOOKUP(ABS(N100-N98),'IMP Table'!$A$2:$C$26,3)*SIGN(N100-N98),"")</f>
        <v/>
      </c>
      <c r="U100">
        <f>IF(AND(ISNUMBER(N100),ISNUMBER(N99)),VLOOKUP(ABS(N100-N99),'IMP Table'!$A$2:$C$26,3)*SIGN(N100-N99),"")</f>
        <v/>
      </c>
      <c r="V100">
        <f>IF(AND(ISNUMBER(O100),ISNUMBER(O94)),VLOOKUP(ABS(O100-O94),'IMP Table'!$A$2:$C$26,3)*SIGN(O100-O94),"")</f>
        <v/>
      </c>
      <c r="W100">
        <f>IF(AND(ISNUMBER(O100),ISNUMBER(O95)),VLOOKUP(ABS(O100-O95),'IMP Table'!$A$2:$C$26,3)*SIGN(O100-O95),"")</f>
        <v/>
      </c>
      <c r="X100">
        <f>IF(AND(ISNUMBER(O100),ISNUMBER(O96)),VLOOKUP(ABS(O100-O96),'IMP Table'!$A$2:$C$26,3)*SIGN(O100-O96),"")</f>
        <v/>
      </c>
      <c r="Y100">
        <f>IF(AND(ISNUMBER(O100),ISNUMBER(O97)),VLOOKUP(ABS(O100-O97),'IMP Table'!$A$2:$C$26,3)*SIGN(O100-O97),"")</f>
        <v/>
      </c>
      <c r="Z100">
        <f>IF(AND(ISNUMBER(O100),ISNUMBER(O98)),VLOOKUP(ABS(O100-O98),'IMP Table'!$A$2:$C$26,3)*SIGN(O100-O98),"")</f>
        <v/>
      </c>
      <c r="AA100">
        <f>IF(AND(ISNUMBER(O100),ISNUMBER(O99)),VLOOKUP(ABS(O100-O99),'IMP Table'!$A$2:$C$26,3)*SIGN(O100-O99),"")</f>
        <v/>
      </c>
    </row>
    <row r="101">
      <c r="A101" t="n">
        <v>15</v>
      </c>
      <c r="B101">
        <f>'By Round'!A44</f>
        <v/>
      </c>
      <c r="C101">
        <f>'By Round'!B50</f>
        <v/>
      </c>
      <c r="D101">
        <f>'By Round'!C50</f>
        <v/>
      </c>
      <c r="E101">
        <f>'By Round'!D50</f>
        <v/>
      </c>
      <c r="F101" s="10" t="inlineStr">
        <is>
          <t>NS</t>
        </is>
      </c>
      <c r="G101">
        <f>'By Round'!G50</f>
        <v/>
      </c>
      <c r="H101">
        <f>'By Round'!H50</f>
        <v/>
      </c>
      <c r="I101">
        <f>'By Round'!I50</f>
        <v/>
      </c>
      <c r="J101">
        <f>'By Round'!J50</f>
        <v/>
      </c>
      <c r="K101">
        <f>'By Round'!K50</f>
        <v/>
      </c>
      <c r="L101" s="11">
        <f>IFERROR(AVERAGE(P101:U101),"")</f>
        <v/>
      </c>
      <c r="M101" s="4">
        <f>IFERROR(AVERAGE(V101:AA101),"")</f>
        <v/>
      </c>
      <c r="N101">
        <f>IF(ISNUMBER(J101),J101,IF(ISNUMBER(K101),-K101,""))</f>
        <v/>
      </c>
      <c r="O101">
        <f>IF(ISNUMBER(K101),K101,IF(ISNUMBER(J101),-J101,""))</f>
        <v/>
      </c>
      <c r="P101">
        <f>IF(AND(ISNUMBER(N101),ISNUMBER(N102)),VLOOKUP(ABS(N101-N102),'IMP Table'!$A$2:$C$26,3)*SIGN(N101-N102),"")</f>
        <v/>
      </c>
      <c r="Q101">
        <f>IF(AND(ISNUMBER(N101),ISNUMBER(N103)),VLOOKUP(ABS(N101-N103),'IMP Table'!$A$2:$C$26,3)*SIGN(N101-N103),"")</f>
        <v/>
      </c>
      <c r="R101">
        <f>IF(AND(ISNUMBER(N101),ISNUMBER(N104)),VLOOKUP(ABS(N101-N104),'IMP Table'!$A$2:$C$26,3)*SIGN(N101-N104),"")</f>
        <v/>
      </c>
      <c r="S101">
        <f>IF(AND(ISNUMBER(N101),ISNUMBER(N105)),VLOOKUP(ABS(N101-N105),'IMP Table'!$A$2:$C$26,3)*SIGN(N101-N105),"")</f>
        <v/>
      </c>
      <c r="T101">
        <f>IF(AND(ISNUMBER(N101),ISNUMBER(N106)),VLOOKUP(ABS(N101-N106),'IMP Table'!$A$2:$C$26,3)*SIGN(N101-N106),"")</f>
        <v/>
      </c>
      <c r="U101">
        <f>IF(AND(ISNUMBER(N101),ISNUMBER(N107)),VLOOKUP(ABS(N101-N107),'IMP Table'!$A$2:$C$26,3)*SIGN(N101-N107),"")</f>
        <v/>
      </c>
      <c r="V101">
        <f>IF(AND(ISNUMBER(O101),ISNUMBER(O102)),VLOOKUP(ABS(O101-O102),'IMP Table'!$A$2:$C$26,3)*SIGN(O101-O102),"")</f>
        <v/>
      </c>
      <c r="W101">
        <f>IF(AND(ISNUMBER(O101),ISNUMBER(O103)),VLOOKUP(ABS(O101-O103),'IMP Table'!$A$2:$C$26,3)*SIGN(O101-O103),"")</f>
        <v/>
      </c>
      <c r="X101">
        <f>IF(AND(ISNUMBER(O101),ISNUMBER(O104)),VLOOKUP(ABS(O101-O104),'IMP Table'!$A$2:$C$26,3)*SIGN(O101-O104),"")</f>
        <v/>
      </c>
      <c r="Y101">
        <f>IF(AND(ISNUMBER(O101),ISNUMBER(O105)),VLOOKUP(ABS(O101-O105),'IMP Table'!$A$2:$C$26,3)*SIGN(O101-O105),"")</f>
        <v/>
      </c>
      <c r="Z101">
        <f>IF(AND(ISNUMBER(O101),ISNUMBER(O106)),VLOOKUP(ABS(O101-O106),'IMP Table'!$A$2:$C$26,3)*SIGN(O101-O106),"")</f>
        <v/>
      </c>
      <c r="AA101">
        <f>IF(AND(ISNUMBER(O101),ISNUMBER(O107)),VLOOKUP(ABS(O101-O107),'IMP Table'!$A$2:$C$26,3)*SIGN(O101-O107),"")</f>
        <v/>
      </c>
    </row>
    <row r="102">
      <c r="B102">
        <f>'By Round'!A58</f>
        <v/>
      </c>
      <c r="C102">
        <f>'By Round'!B62</f>
        <v/>
      </c>
      <c r="D102">
        <f>'By Round'!C62</f>
        <v/>
      </c>
      <c r="E102">
        <f>'By Round'!D62</f>
        <v/>
      </c>
      <c r="F102" s="10" t="inlineStr">
        <is>
          <t>NS</t>
        </is>
      </c>
      <c r="G102">
        <f>'By Round'!G62</f>
        <v/>
      </c>
      <c r="H102">
        <f>'By Round'!H62</f>
        <v/>
      </c>
      <c r="I102">
        <f>'By Round'!I62</f>
        <v/>
      </c>
      <c r="J102">
        <f>'By Round'!J62</f>
        <v/>
      </c>
      <c r="K102">
        <f>'By Round'!K62</f>
        <v/>
      </c>
      <c r="L102" s="11">
        <f>IFERROR(AVERAGE(P102:U102),"")</f>
        <v/>
      </c>
      <c r="M102" s="4">
        <f>IFERROR(AVERAGE(V102:AA102),"")</f>
        <v/>
      </c>
      <c r="N102">
        <f>IF(ISNUMBER(J102),J102,IF(ISNUMBER(K102),-K102,""))</f>
        <v/>
      </c>
      <c r="O102">
        <f>IF(ISNUMBER(K102),K102,IF(ISNUMBER(J102),-J102,""))</f>
        <v/>
      </c>
      <c r="P102">
        <f>IF(AND(ISNUMBER(N102),ISNUMBER(N101)),VLOOKUP(ABS(N102-N101),'IMP Table'!$A$2:$C$26,3)*SIGN(N102-N101),"")</f>
        <v/>
      </c>
      <c r="Q102">
        <f>IF(AND(ISNUMBER(N102),ISNUMBER(N103)),VLOOKUP(ABS(N102-N103),'IMP Table'!$A$2:$C$26,3)*SIGN(N102-N103),"")</f>
        <v/>
      </c>
      <c r="R102">
        <f>IF(AND(ISNUMBER(N102),ISNUMBER(N104)),VLOOKUP(ABS(N102-N104),'IMP Table'!$A$2:$C$26,3)*SIGN(N102-N104),"")</f>
        <v/>
      </c>
      <c r="S102">
        <f>IF(AND(ISNUMBER(N102),ISNUMBER(N105)),VLOOKUP(ABS(N102-N105),'IMP Table'!$A$2:$C$26,3)*SIGN(N102-N105),"")</f>
        <v/>
      </c>
      <c r="T102">
        <f>IF(AND(ISNUMBER(N102),ISNUMBER(N106)),VLOOKUP(ABS(N102-N106),'IMP Table'!$A$2:$C$26,3)*SIGN(N102-N106),"")</f>
        <v/>
      </c>
      <c r="U102">
        <f>IF(AND(ISNUMBER(N102),ISNUMBER(N107)),VLOOKUP(ABS(N102-N107),'IMP Table'!$A$2:$C$26,3)*SIGN(N102-N107),"")</f>
        <v/>
      </c>
      <c r="V102">
        <f>IF(AND(ISNUMBER(O102),ISNUMBER(O101)),VLOOKUP(ABS(O102-O101),'IMP Table'!$A$2:$C$26,3)*SIGN(O102-O101),"")</f>
        <v/>
      </c>
      <c r="W102">
        <f>IF(AND(ISNUMBER(O102),ISNUMBER(O103)),VLOOKUP(ABS(O102-O103),'IMP Table'!$A$2:$C$26,3)*SIGN(O102-O103),"")</f>
        <v/>
      </c>
      <c r="X102">
        <f>IF(AND(ISNUMBER(O102),ISNUMBER(O104)),VLOOKUP(ABS(O102-O104),'IMP Table'!$A$2:$C$26,3)*SIGN(O102-O104),"")</f>
        <v/>
      </c>
      <c r="Y102">
        <f>IF(AND(ISNUMBER(O102),ISNUMBER(O105)),VLOOKUP(ABS(O102-O105),'IMP Table'!$A$2:$C$26,3)*SIGN(O102-O105),"")</f>
        <v/>
      </c>
      <c r="Z102">
        <f>IF(AND(ISNUMBER(O102),ISNUMBER(O106)),VLOOKUP(ABS(O102-O106),'IMP Table'!$A$2:$C$26,3)*SIGN(O102-O106),"")</f>
        <v/>
      </c>
      <c r="AA102">
        <f>IF(AND(ISNUMBER(O102),ISNUMBER(O107)),VLOOKUP(ABS(O102-O107),'IMP Table'!$A$2:$C$26,3)*SIGN(O102-O107),"")</f>
        <v/>
      </c>
    </row>
    <row r="103">
      <c r="B103">
        <f>'By Round'!A72</f>
        <v/>
      </c>
      <c r="C103">
        <f>'By Round'!B74</f>
        <v/>
      </c>
      <c r="D103">
        <f>'By Round'!C74</f>
        <v/>
      </c>
      <c r="E103">
        <f>'By Round'!D74</f>
        <v/>
      </c>
      <c r="F103" s="10" t="inlineStr">
        <is>
          <t>NS</t>
        </is>
      </c>
      <c r="G103">
        <f>'By Round'!G74</f>
        <v/>
      </c>
      <c r="H103">
        <f>'By Round'!H74</f>
        <v/>
      </c>
      <c r="I103">
        <f>'By Round'!I74</f>
        <v/>
      </c>
      <c r="J103">
        <f>'By Round'!J74</f>
        <v/>
      </c>
      <c r="K103">
        <f>'By Round'!K74</f>
        <v/>
      </c>
      <c r="L103" s="11">
        <f>IFERROR(AVERAGE(P103:U103),"")</f>
        <v/>
      </c>
      <c r="M103" s="4">
        <f>IFERROR(AVERAGE(V103:AA103),"")</f>
        <v/>
      </c>
      <c r="N103">
        <f>IF(ISNUMBER(J103),J103,IF(ISNUMBER(K103),-K103,""))</f>
        <v/>
      </c>
      <c r="O103">
        <f>IF(ISNUMBER(K103),K103,IF(ISNUMBER(J103),-J103,""))</f>
        <v/>
      </c>
      <c r="P103">
        <f>IF(AND(ISNUMBER(N103),ISNUMBER(N101)),VLOOKUP(ABS(N103-N101),'IMP Table'!$A$2:$C$26,3)*SIGN(N103-N101),"")</f>
        <v/>
      </c>
      <c r="Q103">
        <f>IF(AND(ISNUMBER(N103),ISNUMBER(N102)),VLOOKUP(ABS(N103-N102),'IMP Table'!$A$2:$C$26,3)*SIGN(N103-N102),"")</f>
        <v/>
      </c>
      <c r="R103">
        <f>IF(AND(ISNUMBER(N103),ISNUMBER(N104)),VLOOKUP(ABS(N103-N104),'IMP Table'!$A$2:$C$26,3)*SIGN(N103-N104),"")</f>
        <v/>
      </c>
      <c r="S103">
        <f>IF(AND(ISNUMBER(N103),ISNUMBER(N105)),VLOOKUP(ABS(N103-N105),'IMP Table'!$A$2:$C$26,3)*SIGN(N103-N105),"")</f>
        <v/>
      </c>
      <c r="T103">
        <f>IF(AND(ISNUMBER(N103),ISNUMBER(N106)),VLOOKUP(ABS(N103-N106),'IMP Table'!$A$2:$C$26,3)*SIGN(N103-N106),"")</f>
        <v/>
      </c>
      <c r="U103">
        <f>IF(AND(ISNUMBER(N103),ISNUMBER(N107)),VLOOKUP(ABS(N103-N107),'IMP Table'!$A$2:$C$26,3)*SIGN(N103-N107),"")</f>
        <v/>
      </c>
      <c r="V103">
        <f>IF(AND(ISNUMBER(O103),ISNUMBER(O101)),VLOOKUP(ABS(O103-O101),'IMP Table'!$A$2:$C$26,3)*SIGN(O103-O101),"")</f>
        <v/>
      </c>
      <c r="W103">
        <f>IF(AND(ISNUMBER(O103),ISNUMBER(O102)),VLOOKUP(ABS(O103-O102),'IMP Table'!$A$2:$C$26,3)*SIGN(O103-O102),"")</f>
        <v/>
      </c>
      <c r="X103">
        <f>IF(AND(ISNUMBER(O103),ISNUMBER(O104)),VLOOKUP(ABS(O103-O104),'IMP Table'!$A$2:$C$26,3)*SIGN(O103-O104),"")</f>
        <v/>
      </c>
      <c r="Y103">
        <f>IF(AND(ISNUMBER(O103),ISNUMBER(O105)),VLOOKUP(ABS(O103-O105),'IMP Table'!$A$2:$C$26,3)*SIGN(O103-O105),"")</f>
        <v/>
      </c>
      <c r="Z103">
        <f>IF(AND(ISNUMBER(O103),ISNUMBER(O106)),VLOOKUP(ABS(O103-O106),'IMP Table'!$A$2:$C$26,3)*SIGN(O103-O106),"")</f>
        <v/>
      </c>
      <c r="AA103">
        <f>IF(AND(ISNUMBER(O103),ISNUMBER(O107)),VLOOKUP(ABS(O103-O107),'IMP Table'!$A$2:$C$26,3)*SIGN(O103-O107),"")</f>
        <v/>
      </c>
    </row>
    <row r="104">
      <c r="B104">
        <f>'By Round'!A100</f>
        <v/>
      </c>
      <c r="C104">
        <f>'By Round'!B100</f>
        <v/>
      </c>
      <c r="D104">
        <f>'By Round'!C100</f>
        <v/>
      </c>
      <c r="E104">
        <f>'By Round'!D100</f>
        <v/>
      </c>
      <c r="F104" s="10" t="inlineStr">
        <is>
          <t>NS</t>
        </is>
      </c>
      <c r="G104">
        <f>'By Round'!G100</f>
        <v/>
      </c>
      <c r="H104">
        <f>'By Round'!H100</f>
        <v/>
      </c>
      <c r="I104">
        <f>'By Round'!I100</f>
        <v/>
      </c>
      <c r="J104">
        <f>'By Round'!J100</f>
        <v/>
      </c>
      <c r="K104">
        <f>'By Round'!K100</f>
        <v/>
      </c>
      <c r="L104" s="11">
        <f>IFERROR(AVERAGE(P104:U104),"")</f>
        <v/>
      </c>
      <c r="M104" s="4">
        <f>IFERROR(AVERAGE(V104:AA104),"")</f>
        <v/>
      </c>
      <c r="N104">
        <f>IF(ISNUMBER(J104),J104,IF(ISNUMBER(K104),-K104,""))</f>
        <v/>
      </c>
      <c r="O104">
        <f>IF(ISNUMBER(K104),K104,IF(ISNUMBER(J104),-J104,""))</f>
        <v/>
      </c>
      <c r="P104">
        <f>IF(AND(ISNUMBER(N104),ISNUMBER(N101)),VLOOKUP(ABS(N104-N101),'IMP Table'!$A$2:$C$26,3)*SIGN(N104-N101),"")</f>
        <v/>
      </c>
      <c r="Q104">
        <f>IF(AND(ISNUMBER(N104),ISNUMBER(N102)),VLOOKUP(ABS(N104-N102),'IMP Table'!$A$2:$C$26,3)*SIGN(N104-N102),"")</f>
        <v/>
      </c>
      <c r="R104">
        <f>IF(AND(ISNUMBER(N104),ISNUMBER(N103)),VLOOKUP(ABS(N104-N103),'IMP Table'!$A$2:$C$26,3)*SIGN(N104-N103),"")</f>
        <v/>
      </c>
      <c r="S104">
        <f>IF(AND(ISNUMBER(N104),ISNUMBER(N105)),VLOOKUP(ABS(N104-N105),'IMP Table'!$A$2:$C$26,3)*SIGN(N104-N105),"")</f>
        <v/>
      </c>
      <c r="T104">
        <f>IF(AND(ISNUMBER(N104),ISNUMBER(N106)),VLOOKUP(ABS(N104-N106),'IMP Table'!$A$2:$C$26,3)*SIGN(N104-N106),"")</f>
        <v/>
      </c>
      <c r="U104">
        <f>IF(AND(ISNUMBER(N104),ISNUMBER(N107)),VLOOKUP(ABS(N104-N107),'IMP Table'!$A$2:$C$26,3)*SIGN(N104-N107),"")</f>
        <v/>
      </c>
      <c r="V104">
        <f>IF(AND(ISNUMBER(O104),ISNUMBER(O101)),VLOOKUP(ABS(O104-O101),'IMP Table'!$A$2:$C$26,3)*SIGN(O104-O101),"")</f>
        <v/>
      </c>
      <c r="W104">
        <f>IF(AND(ISNUMBER(O104),ISNUMBER(O102)),VLOOKUP(ABS(O104-O102),'IMP Table'!$A$2:$C$26,3)*SIGN(O104-O102),"")</f>
        <v/>
      </c>
      <c r="X104">
        <f>IF(AND(ISNUMBER(O104),ISNUMBER(O103)),VLOOKUP(ABS(O104-O103),'IMP Table'!$A$2:$C$26,3)*SIGN(O104-O103),"")</f>
        <v/>
      </c>
      <c r="Y104">
        <f>IF(AND(ISNUMBER(O104),ISNUMBER(O105)),VLOOKUP(ABS(O104-O105),'IMP Table'!$A$2:$C$26,3)*SIGN(O104-O105),"")</f>
        <v/>
      </c>
      <c r="Z104">
        <f>IF(AND(ISNUMBER(O104),ISNUMBER(O106)),VLOOKUP(ABS(O104-O106),'IMP Table'!$A$2:$C$26,3)*SIGN(O104-O106),"")</f>
        <v/>
      </c>
      <c r="AA104">
        <f>IF(AND(ISNUMBER(O104),ISNUMBER(O107)),VLOOKUP(ABS(O104-O107),'IMP Table'!$A$2:$C$26,3)*SIGN(O104-O107),"")</f>
        <v/>
      </c>
    </row>
    <row r="105">
      <c r="B105">
        <f>'By Round'!A128</f>
        <v/>
      </c>
      <c r="C105">
        <f>'By Round'!B140</f>
        <v/>
      </c>
      <c r="D105">
        <f>'By Round'!C140</f>
        <v/>
      </c>
      <c r="E105">
        <f>'By Round'!D140</f>
        <v/>
      </c>
      <c r="F105" s="10" t="inlineStr">
        <is>
          <t>NS</t>
        </is>
      </c>
      <c r="G105">
        <f>'By Round'!G140</f>
        <v/>
      </c>
      <c r="H105">
        <f>'By Round'!H140</f>
        <v/>
      </c>
      <c r="I105">
        <f>'By Round'!I140</f>
        <v/>
      </c>
      <c r="J105">
        <f>'By Round'!J140</f>
        <v/>
      </c>
      <c r="K105">
        <f>'By Round'!K140</f>
        <v/>
      </c>
      <c r="L105" s="11">
        <f>IFERROR(AVERAGE(P105:U105),"")</f>
        <v/>
      </c>
      <c r="M105" s="4">
        <f>IFERROR(AVERAGE(V105:AA105),"")</f>
        <v/>
      </c>
      <c r="N105">
        <f>IF(ISNUMBER(J105),J105,IF(ISNUMBER(K105),-K105,""))</f>
        <v/>
      </c>
      <c r="O105">
        <f>IF(ISNUMBER(K105),K105,IF(ISNUMBER(J105),-J105,""))</f>
        <v/>
      </c>
      <c r="P105">
        <f>IF(AND(ISNUMBER(N105),ISNUMBER(N101)),VLOOKUP(ABS(N105-N101),'IMP Table'!$A$2:$C$26,3)*SIGN(N105-N101),"")</f>
        <v/>
      </c>
      <c r="Q105">
        <f>IF(AND(ISNUMBER(N105),ISNUMBER(N102)),VLOOKUP(ABS(N105-N102),'IMP Table'!$A$2:$C$26,3)*SIGN(N105-N102),"")</f>
        <v/>
      </c>
      <c r="R105">
        <f>IF(AND(ISNUMBER(N105),ISNUMBER(N103)),VLOOKUP(ABS(N105-N103),'IMP Table'!$A$2:$C$26,3)*SIGN(N105-N103),"")</f>
        <v/>
      </c>
      <c r="S105">
        <f>IF(AND(ISNUMBER(N105),ISNUMBER(N104)),VLOOKUP(ABS(N105-N104),'IMP Table'!$A$2:$C$26,3)*SIGN(N105-N104),"")</f>
        <v/>
      </c>
      <c r="T105">
        <f>IF(AND(ISNUMBER(N105),ISNUMBER(N106)),VLOOKUP(ABS(N105-N106),'IMP Table'!$A$2:$C$26,3)*SIGN(N105-N106),"")</f>
        <v/>
      </c>
      <c r="U105">
        <f>IF(AND(ISNUMBER(N105),ISNUMBER(N107)),VLOOKUP(ABS(N105-N107),'IMP Table'!$A$2:$C$26,3)*SIGN(N105-N107),"")</f>
        <v/>
      </c>
      <c r="V105">
        <f>IF(AND(ISNUMBER(O105),ISNUMBER(O101)),VLOOKUP(ABS(O105-O101),'IMP Table'!$A$2:$C$26,3)*SIGN(O105-O101),"")</f>
        <v/>
      </c>
      <c r="W105">
        <f>IF(AND(ISNUMBER(O105),ISNUMBER(O102)),VLOOKUP(ABS(O105-O102),'IMP Table'!$A$2:$C$26,3)*SIGN(O105-O102),"")</f>
        <v/>
      </c>
      <c r="X105">
        <f>IF(AND(ISNUMBER(O105),ISNUMBER(O103)),VLOOKUP(ABS(O105-O103),'IMP Table'!$A$2:$C$26,3)*SIGN(O105-O103),"")</f>
        <v/>
      </c>
      <c r="Y105">
        <f>IF(AND(ISNUMBER(O105),ISNUMBER(O104)),VLOOKUP(ABS(O105-O104),'IMP Table'!$A$2:$C$26,3)*SIGN(O105-O104),"")</f>
        <v/>
      </c>
      <c r="Z105">
        <f>IF(AND(ISNUMBER(O105),ISNUMBER(O106)),VLOOKUP(ABS(O105-O106),'IMP Table'!$A$2:$C$26,3)*SIGN(O105-O106),"")</f>
        <v/>
      </c>
      <c r="AA105">
        <f>IF(AND(ISNUMBER(O105),ISNUMBER(O107)),VLOOKUP(ABS(O105-O107),'IMP Table'!$A$2:$C$26,3)*SIGN(O105-O107),"")</f>
        <v/>
      </c>
    </row>
    <row r="106">
      <c r="B106">
        <f>'By Round'!A142</f>
        <v/>
      </c>
      <c r="C106">
        <f>'By Round'!B152</f>
        <v/>
      </c>
      <c r="D106">
        <f>'By Round'!C152</f>
        <v/>
      </c>
      <c r="E106">
        <f>'By Round'!D152</f>
        <v/>
      </c>
      <c r="F106" s="10" t="inlineStr">
        <is>
          <t>NS</t>
        </is>
      </c>
      <c r="G106">
        <f>'By Round'!G152</f>
        <v/>
      </c>
      <c r="H106">
        <f>'By Round'!H152</f>
        <v/>
      </c>
      <c r="I106">
        <f>'By Round'!I152</f>
        <v/>
      </c>
      <c r="J106">
        <f>'By Round'!J152</f>
        <v/>
      </c>
      <c r="K106">
        <f>'By Round'!K152</f>
        <v/>
      </c>
      <c r="L106" s="11">
        <f>IFERROR(AVERAGE(P106:U106),"")</f>
        <v/>
      </c>
      <c r="M106" s="4">
        <f>IFERROR(AVERAGE(V106:AA106),"")</f>
        <v/>
      </c>
      <c r="N106">
        <f>IF(ISNUMBER(J106),J106,IF(ISNUMBER(K106),-K106,""))</f>
        <v/>
      </c>
      <c r="O106">
        <f>IF(ISNUMBER(K106),K106,IF(ISNUMBER(J106),-J106,""))</f>
        <v/>
      </c>
      <c r="P106">
        <f>IF(AND(ISNUMBER(N106),ISNUMBER(N101)),VLOOKUP(ABS(N106-N101),'IMP Table'!$A$2:$C$26,3)*SIGN(N106-N101),"")</f>
        <v/>
      </c>
      <c r="Q106">
        <f>IF(AND(ISNUMBER(N106),ISNUMBER(N102)),VLOOKUP(ABS(N106-N102),'IMP Table'!$A$2:$C$26,3)*SIGN(N106-N102),"")</f>
        <v/>
      </c>
      <c r="R106">
        <f>IF(AND(ISNUMBER(N106),ISNUMBER(N103)),VLOOKUP(ABS(N106-N103),'IMP Table'!$A$2:$C$26,3)*SIGN(N106-N103),"")</f>
        <v/>
      </c>
      <c r="S106">
        <f>IF(AND(ISNUMBER(N106),ISNUMBER(N104)),VLOOKUP(ABS(N106-N104),'IMP Table'!$A$2:$C$26,3)*SIGN(N106-N104),"")</f>
        <v/>
      </c>
      <c r="T106">
        <f>IF(AND(ISNUMBER(N106),ISNUMBER(N105)),VLOOKUP(ABS(N106-N105),'IMP Table'!$A$2:$C$26,3)*SIGN(N106-N105),"")</f>
        <v/>
      </c>
      <c r="U106">
        <f>IF(AND(ISNUMBER(N106),ISNUMBER(N107)),VLOOKUP(ABS(N106-N107),'IMP Table'!$A$2:$C$26,3)*SIGN(N106-N107),"")</f>
        <v/>
      </c>
      <c r="V106">
        <f>IF(AND(ISNUMBER(O106),ISNUMBER(O101)),VLOOKUP(ABS(O106-O101),'IMP Table'!$A$2:$C$26,3)*SIGN(O106-O101),"")</f>
        <v/>
      </c>
      <c r="W106">
        <f>IF(AND(ISNUMBER(O106),ISNUMBER(O102)),VLOOKUP(ABS(O106-O102),'IMP Table'!$A$2:$C$26,3)*SIGN(O106-O102),"")</f>
        <v/>
      </c>
      <c r="X106">
        <f>IF(AND(ISNUMBER(O106),ISNUMBER(O103)),VLOOKUP(ABS(O106-O103),'IMP Table'!$A$2:$C$26,3)*SIGN(O106-O103),"")</f>
        <v/>
      </c>
      <c r="Y106">
        <f>IF(AND(ISNUMBER(O106),ISNUMBER(O104)),VLOOKUP(ABS(O106-O104),'IMP Table'!$A$2:$C$26,3)*SIGN(O106-O104),"")</f>
        <v/>
      </c>
      <c r="Z106">
        <f>IF(AND(ISNUMBER(O106),ISNUMBER(O105)),VLOOKUP(ABS(O106-O105),'IMP Table'!$A$2:$C$26,3)*SIGN(O106-O105),"")</f>
        <v/>
      </c>
      <c r="AA106">
        <f>IF(AND(ISNUMBER(O106),ISNUMBER(O107)),VLOOKUP(ABS(O106-O107),'IMP Table'!$A$2:$C$26,3)*SIGN(O106-O107),"")</f>
        <v/>
      </c>
    </row>
    <row r="107">
      <c r="B107">
        <f>'By Round'!A156</f>
        <v/>
      </c>
      <c r="C107">
        <f>'By Round'!B164</f>
        <v/>
      </c>
      <c r="D107">
        <f>'By Round'!C164</f>
        <v/>
      </c>
      <c r="E107">
        <f>'By Round'!D164</f>
        <v/>
      </c>
      <c r="F107" s="10" t="inlineStr">
        <is>
          <t>NS</t>
        </is>
      </c>
      <c r="G107">
        <f>'By Round'!G164</f>
        <v/>
      </c>
      <c r="H107">
        <f>'By Round'!H164</f>
        <v/>
      </c>
      <c r="I107">
        <f>'By Round'!I164</f>
        <v/>
      </c>
      <c r="J107">
        <f>'By Round'!J164</f>
        <v/>
      </c>
      <c r="K107">
        <f>'By Round'!K164</f>
        <v/>
      </c>
      <c r="L107" s="11">
        <f>IFERROR(AVERAGE(P107:U107),"")</f>
        <v/>
      </c>
      <c r="M107" s="4">
        <f>IFERROR(AVERAGE(V107:AA107),"")</f>
        <v/>
      </c>
      <c r="N107">
        <f>IF(ISNUMBER(J107),J107,IF(ISNUMBER(K107),-K107,""))</f>
        <v/>
      </c>
      <c r="O107">
        <f>IF(ISNUMBER(K107),K107,IF(ISNUMBER(J107),-J107,""))</f>
        <v/>
      </c>
      <c r="P107">
        <f>IF(AND(ISNUMBER(N107),ISNUMBER(N101)),VLOOKUP(ABS(N107-N101),'IMP Table'!$A$2:$C$26,3)*SIGN(N107-N101),"")</f>
        <v/>
      </c>
      <c r="Q107">
        <f>IF(AND(ISNUMBER(N107),ISNUMBER(N102)),VLOOKUP(ABS(N107-N102),'IMP Table'!$A$2:$C$26,3)*SIGN(N107-N102),"")</f>
        <v/>
      </c>
      <c r="R107">
        <f>IF(AND(ISNUMBER(N107),ISNUMBER(N103)),VLOOKUP(ABS(N107-N103),'IMP Table'!$A$2:$C$26,3)*SIGN(N107-N103),"")</f>
        <v/>
      </c>
      <c r="S107">
        <f>IF(AND(ISNUMBER(N107),ISNUMBER(N104)),VLOOKUP(ABS(N107-N104),'IMP Table'!$A$2:$C$26,3)*SIGN(N107-N104),"")</f>
        <v/>
      </c>
      <c r="T107">
        <f>IF(AND(ISNUMBER(N107),ISNUMBER(N105)),VLOOKUP(ABS(N107-N105),'IMP Table'!$A$2:$C$26,3)*SIGN(N107-N105),"")</f>
        <v/>
      </c>
      <c r="U107">
        <f>IF(AND(ISNUMBER(N107),ISNUMBER(N106)),VLOOKUP(ABS(N107-N106),'IMP Table'!$A$2:$C$26,3)*SIGN(N107-N106),"")</f>
        <v/>
      </c>
      <c r="V107">
        <f>IF(AND(ISNUMBER(O107),ISNUMBER(O101)),VLOOKUP(ABS(O107-O101),'IMP Table'!$A$2:$C$26,3)*SIGN(O107-O101),"")</f>
        <v/>
      </c>
      <c r="W107">
        <f>IF(AND(ISNUMBER(O107),ISNUMBER(O102)),VLOOKUP(ABS(O107-O102),'IMP Table'!$A$2:$C$26,3)*SIGN(O107-O102),"")</f>
        <v/>
      </c>
      <c r="X107">
        <f>IF(AND(ISNUMBER(O107),ISNUMBER(O103)),VLOOKUP(ABS(O107-O103),'IMP Table'!$A$2:$C$26,3)*SIGN(O107-O103),"")</f>
        <v/>
      </c>
      <c r="Y107">
        <f>IF(AND(ISNUMBER(O107),ISNUMBER(O104)),VLOOKUP(ABS(O107-O104),'IMP Table'!$A$2:$C$26,3)*SIGN(O107-O104),"")</f>
        <v/>
      </c>
      <c r="Z107">
        <f>IF(AND(ISNUMBER(O107),ISNUMBER(O105)),VLOOKUP(ABS(O107-O105),'IMP Table'!$A$2:$C$26,3)*SIGN(O107-O105),"")</f>
        <v/>
      </c>
      <c r="AA107">
        <f>IF(AND(ISNUMBER(O107),ISNUMBER(O106)),VLOOKUP(ABS(O107-O106),'IMP Table'!$A$2:$C$26,3)*SIGN(O107-O106),"")</f>
        <v/>
      </c>
    </row>
    <row r="108">
      <c r="A108" t="n">
        <v>16</v>
      </c>
      <c r="B108">
        <f>'By Round'!A44</f>
        <v/>
      </c>
      <c r="C108">
        <f>'By Round'!B50</f>
        <v/>
      </c>
      <c r="D108">
        <f>'By Round'!C50</f>
        <v/>
      </c>
      <c r="E108">
        <f>'By Round'!D50</f>
        <v/>
      </c>
      <c r="F108" s="10" t="inlineStr">
        <is>
          <t>EW</t>
        </is>
      </c>
      <c r="G108">
        <f>'By Round'!G51</f>
        <v/>
      </c>
      <c r="H108">
        <f>'By Round'!H51</f>
        <v/>
      </c>
      <c r="I108">
        <f>'By Round'!I51</f>
        <v/>
      </c>
      <c r="J108">
        <f>'By Round'!J51</f>
        <v/>
      </c>
      <c r="K108">
        <f>'By Round'!K51</f>
        <v/>
      </c>
      <c r="L108" s="11">
        <f>IFERROR(AVERAGE(P108:U108),"")</f>
        <v/>
      </c>
      <c r="M108" s="4">
        <f>IFERROR(AVERAGE(V108:AA108),"")</f>
        <v/>
      </c>
      <c r="N108">
        <f>IF(ISNUMBER(J108),J108,IF(ISNUMBER(K108),-K108,""))</f>
        <v/>
      </c>
      <c r="O108">
        <f>IF(ISNUMBER(K108),K108,IF(ISNUMBER(J108),-J108,""))</f>
        <v/>
      </c>
      <c r="P108">
        <f>IF(AND(ISNUMBER(N108),ISNUMBER(N109)),VLOOKUP(ABS(N108-N109),'IMP Table'!$A$2:$C$26,3)*SIGN(N108-N109),"")</f>
        <v/>
      </c>
      <c r="Q108">
        <f>IF(AND(ISNUMBER(N108),ISNUMBER(N110)),VLOOKUP(ABS(N108-N110),'IMP Table'!$A$2:$C$26,3)*SIGN(N108-N110),"")</f>
        <v/>
      </c>
      <c r="R108">
        <f>IF(AND(ISNUMBER(N108),ISNUMBER(N111)),VLOOKUP(ABS(N108-N111),'IMP Table'!$A$2:$C$26,3)*SIGN(N108-N111),"")</f>
        <v/>
      </c>
      <c r="S108">
        <f>IF(AND(ISNUMBER(N108),ISNUMBER(N112)),VLOOKUP(ABS(N108-N112),'IMP Table'!$A$2:$C$26,3)*SIGN(N108-N112),"")</f>
        <v/>
      </c>
      <c r="T108">
        <f>IF(AND(ISNUMBER(N108),ISNUMBER(N113)),VLOOKUP(ABS(N108-N113),'IMP Table'!$A$2:$C$26,3)*SIGN(N108-N113),"")</f>
        <v/>
      </c>
      <c r="U108">
        <f>IF(AND(ISNUMBER(N108),ISNUMBER(N114)),VLOOKUP(ABS(N108-N114),'IMP Table'!$A$2:$C$26,3)*SIGN(N108-N114),"")</f>
        <v/>
      </c>
      <c r="V108">
        <f>IF(AND(ISNUMBER(O108),ISNUMBER(O109)),VLOOKUP(ABS(O108-O109),'IMP Table'!$A$2:$C$26,3)*SIGN(O108-O109),"")</f>
        <v/>
      </c>
      <c r="W108">
        <f>IF(AND(ISNUMBER(O108),ISNUMBER(O110)),VLOOKUP(ABS(O108-O110),'IMP Table'!$A$2:$C$26,3)*SIGN(O108-O110),"")</f>
        <v/>
      </c>
      <c r="X108">
        <f>IF(AND(ISNUMBER(O108),ISNUMBER(O111)),VLOOKUP(ABS(O108-O111),'IMP Table'!$A$2:$C$26,3)*SIGN(O108-O111),"")</f>
        <v/>
      </c>
      <c r="Y108">
        <f>IF(AND(ISNUMBER(O108),ISNUMBER(O112)),VLOOKUP(ABS(O108-O112),'IMP Table'!$A$2:$C$26,3)*SIGN(O108-O112),"")</f>
        <v/>
      </c>
      <c r="Z108">
        <f>IF(AND(ISNUMBER(O108),ISNUMBER(O113)),VLOOKUP(ABS(O108-O113),'IMP Table'!$A$2:$C$26,3)*SIGN(O108-O113),"")</f>
        <v/>
      </c>
      <c r="AA108">
        <f>IF(AND(ISNUMBER(O108),ISNUMBER(O114)),VLOOKUP(ABS(O108-O114),'IMP Table'!$A$2:$C$26,3)*SIGN(O108-O114),"")</f>
        <v/>
      </c>
    </row>
    <row r="109">
      <c r="B109">
        <f>'By Round'!A58</f>
        <v/>
      </c>
      <c r="C109">
        <f>'By Round'!B62</f>
        <v/>
      </c>
      <c r="D109">
        <f>'By Round'!C62</f>
        <v/>
      </c>
      <c r="E109">
        <f>'By Round'!D62</f>
        <v/>
      </c>
      <c r="F109" s="10" t="inlineStr">
        <is>
          <t>EW</t>
        </is>
      </c>
      <c r="G109">
        <f>'By Round'!G63</f>
        <v/>
      </c>
      <c r="H109">
        <f>'By Round'!H63</f>
        <v/>
      </c>
      <c r="I109">
        <f>'By Round'!I63</f>
        <v/>
      </c>
      <c r="J109">
        <f>'By Round'!J63</f>
        <v/>
      </c>
      <c r="K109">
        <f>'By Round'!K63</f>
        <v/>
      </c>
      <c r="L109" s="11">
        <f>IFERROR(AVERAGE(P109:U109),"")</f>
        <v/>
      </c>
      <c r="M109" s="4">
        <f>IFERROR(AVERAGE(V109:AA109),"")</f>
        <v/>
      </c>
      <c r="N109">
        <f>IF(ISNUMBER(J109),J109,IF(ISNUMBER(K109),-K109,""))</f>
        <v/>
      </c>
      <c r="O109">
        <f>IF(ISNUMBER(K109),K109,IF(ISNUMBER(J109),-J109,""))</f>
        <v/>
      </c>
      <c r="P109">
        <f>IF(AND(ISNUMBER(N109),ISNUMBER(N108)),VLOOKUP(ABS(N109-N108),'IMP Table'!$A$2:$C$26,3)*SIGN(N109-N108),"")</f>
        <v/>
      </c>
      <c r="Q109">
        <f>IF(AND(ISNUMBER(N109),ISNUMBER(N110)),VLOOKUP(ABS(N109-N110),'IMP Table'!$A$2:$C$26,3)*SIGN(N109-N110),"")</f>
        <v/>
      </c>
      <c r="R109">
        <f>IF(AND(ISNUMBER(N109),ISNUMBER(N111)),VLOOKUP(ABS(N109-N111),'IMP Table'!$A$2:$C$26,3)*SIGN(N109-N111),"")</f>
        <v/>
      </c>
      <c r="S109">
        <f>IF(AND(ISNUMBER(N109),ISNUMBER(N112)),VLOOKUP(ABS(N109-N112),'IMP Table'!$A$2:$C$26,3)*SIGN(N109-N112),"")</f>
        <v/>
      </c>
      <c r="T109">
        <f>IF(AND(ISNUMBER(N109),ISNUMBER(N113)),VLOOKUP(ABS(N109-N113),'IMP Table'!$A$2:$C$26,3)*SIGN(N109-N113),"")</f>
        <v/>
      </c>
      <c r="U109">
        <f>IF(AND(ISNUMBER(N109),ISNUMBER(N114)),VLOOKUP(ABS(N109-N114),'IMP Table'!$A$2:$C$26,3)*SIGN(N109-N114),"")</f>
        <v/>
      </c>
      <c r="V109">
        <f>IF(AND(ISNUMBER(O109),ISNUMBER(O108)),VLOOKUP(ABS(O109-O108),'IMP Table'!$A$2:$C$26,3)*SIGN(O109-O108),"")</f>
        <v/>
      </c>
      <c r="W109">
        <f>IF(AND(ISNUMBER(O109),ISNUMBER(O110)),VLOOKUP(ABS(O109-O110),'IMP Table'!$A$2:$C$26,3)*SIGN(O109-O110),"")</f>
        <v/>
      </c>
      <c r="X109">
        <f>IF(AND(ISNUMBER(O109),ISNUMBER(O111)),VLOOKUP(ABS(O109-O111),'IMP Table'!$A$2:$C$26,3)*SIGN(O109-O111),"")</f>
        <v/>
      </c>
      <c r="Y109">
        <f>IF(AND(ISNUMBER(O109),ISNUMBER(O112)),VLOOKUP(ABS(O109-O112),'IMP Table'!$A$2:$C$26,3)*SIGN(O109-O112),"")</f>
        <v/>
      </c>
      <c r="Z109">
        <f>IF(AND(ISNUMBER(O109),ISNUMBER(O113)),VLOOKUP(ABS(O109-O113),'IMP Table'!$A$2:$C$26,3)*SIGN(O109-O113),"")</f>
        <v/>
      </c>
      <c r="AA109">
        <f>IF(AND(ISNUMBER(O109),ISNUMBER(O114)),VLOOKUP(ABS(O109-O114),'IMP Table'!$A$2:$C$26,3)*SIGN(O109-O114),"")</f>
        <v/>
      </c>
    </row>
    <row r="110">
      <c r="B110">
        <f>'By Round'!A72</f>
        <v/>
      </c>
      <c r="C110">
        <f>'By Round'!B74</f>
        <v/>
      </c>
      <c r="D110">
        <f>'By Round'!C74</f>
        <v/>
      </c>
      <c r="E110">
        <f>'By Round'!D74</f>
        <v/>
      </c>
      <c r="F110" s="10" t="inlineStr">
        <is>
          <t>EW</t>
        </is>
      </c>
      <c r="G110">
        <f>'By Round'!G75</f>
        <v/>
      </c>
      <c r="H110">
        <f>'By Round'!H75</f>
        <v/>
      </c>
      <c r="I110">
        <f>'By Round'!I75</f>
        <v/>
      </c>
      <c r="J110">
        <f>'By Round'!J75</f>
        <v/>
      </c>
      <c r="K110">
        <f>'By Round'!K75</f>
        <v/>
      </c>
      <c r="L110" s="11">
        <f>IFERROR(AVERAGE(P110:U110),"")</f>
        <v/>
      </c>
      <c r="M110" s="4">
        <f>IFERROR(AVERAGE(V110:AA110),"")</f>
        <v/>
      </c>
      <c r="N110">
        <f>IF(ISNUMBER(J110),J110,IF(ISNUMBER(K110),-K110,""))</f>
        <v/>
      </c>
      <c r="O110">
        <f>IF(ISNUMBER(K110),K110,IF(ISNUMBER(J110),-J110,""))</f>
        <v/>
      </c>
      <c r="P110">
        <f>IF(AND(ISNUMBER(N110),ISNUMBER(N108)),VLOOKUP(ABS(N110-N108),'IMP Table'!$A$2:$C$26,3)*SIGN(N110-N108),"")</f>
        <v/>
      </c>
      <c r="Q110">
        <f>IF(AND(ISNUMBER(N110),ISNUMBER(N109)),VLOOKUP(ABS(N110-N109),'IMP Table'!$A$2:$C$26,3)*SIGN(N110-N109),"")</f>
        <v/>
      </c>
      <c r="R110">
        <f>IF(AND(ISNUMBER(N110),ISNUMBER(N111)),VLOOKUP(ABS(N110-N111),'IMP Table'!$A$2:$C$26,3)*SIGN(N110-N111),"")</f>
        <v/>
      </c>
      <c r="S110">
        <f>IF(AND(ISNUMBER(N110),ISNUMBER(N112)),VLOOKUP(ABS(N110-N112),'IMP Table'!$A$2:$C$26,3)*SIGN(N110-N112),"")</f>
        <v/>
      </c>
      <c r="T110">
        <f>IF(AND(ISNUMBER(N110),ISNUMBER(N113)),VLOOKUP(ABS(N110-N113),'IMP Table'!$A$2:$C$26,3)*SIGN(N110-N113),"")</f>
        <v/>
      </c>
      <c r="U110">
        <f>IF(AND(ISNUMBER(N110),ISNUMBER(N114)),VLOOKUP(ABS(N110-N114),'IMP Table'!$A$2:$C$26,3)*SIGN(N110-N114),"")</f>
        <v/>
      </c>
      <c r="V110">
        <f>IF(AND(ISNUMBER(O110),ISNUMBER(O108)),VLOOKUP(ABS(O110-O108),'IMP Table'!$A$2:$C$26,3)*SIGN(O110-O108),"")</f>
        <v/>
      </c>
      <c r="W110">
        <f>IF(AND(ISNUMBER(O110),ISNUMBER(O109)),VLOOKUP(ABS(O110-O109),'IMP Table'!$A$2:$C$26,3)*SIGN(O110-O109),"")</f>
        <v/>
      </c>
      <c r="X110">
        <f>IF(AND(ISNUMBER(O110),ISNUMBER(O111)),VLOOKUP(ABS(O110-O111),'IMP Table'!$A$2:$C$26,3)*SIGN(O110-O111),"")</f>
        <v/>
      </c>
      <c r="Y110">
        <f>IF(AND(ISNUMBER(O110),ISNUMBER(O112)),VLOOKUP(ABS(O110-O112),'IMP Table'!$A$2:$C$26,3)*SIGN(O110-O112),"")</f>
        <v/>
      </c>
      <c r="Z110">
        <f>IF(AND(ISNUMBER(O110),ISNUMBER(O113)),VLOOKUP(ABS(O110-O113),'IMP Table'!$A$2:$C$26,3)*SIGN(O110-O113),"")</f>
        <v/>
      </c>
      <c r="AA110">
        <f>IF(AND(ISNUMBER(O110),ISNUMBER(O114)),VLOOKUP(ABS(O110-O114),'IMP Table'!$A$2:$C$26,3)*SIGN(O110-O114),"")</f>
        <v/>
      </c>
    </row>
    <row r="111">
      <c r="B111">
        <f>'By Round'!A100</f>
        <v/>
      </c>
      <c r="C111">
        <f>'By Round'!B100</f>
        <v/>
      </c>
      <c r="D111">
        <f>'By Round'!C100</f>
        <v/>
      </c>
      <c r="E111">
        <f>'By Round'!D100</f>
        <v/>
      </c>
      <c r="F111" s="10" t="inlineStr">
        <is>
          <t>EW</t>
        </is>
      </c>
      <c r="G111">
        <f>'By Round'!G101</f>
        <v/>
      </c>
      <c r="H111">
        <f>'By Round'!H101</f>
        <v/>
      </c>
      <c r="I111">
        <f>'By Round'!I101</f>
        <v/>
      </c>
      <c r="J111">
        <f>'By Round'!J101</f>
        <v/>
      </c>
      <c r="K111">
        <f>'By Round'!K101</f>
        <v/>
      </c>
      <c r="L111" s="11">
        <f>IFERROR(AVERAGE(P111:U111),"")</f>
        <v/>
      </c>
      <c r="M111" s="4">
        <f>IFERROR(AVERAGE(V111:AA111),"")</f>
        <v/>
      </c>
      <c r="N111">
        <f>IF(ISNUMBER(J111),J111,IF(ISNUMBER(K111),-K111,""))</f>
        <v/>
      </c>
      <c r="O111">
        <f>IF(ISNUMBER(K111),K111,IF(ISNUMBER(J111),-J111,""))</f>
        <v/>
      </c>
      <c r="P111">
        <f>IF(AND(ISNUMBER(N111),ISNUMBER(N108)),VLOOKUP(ABS(N111-N108),'IMP Table'!$A$2:$C$26,3)*SIGN(N111-N108),"")</f>
        <v/>
      </c>
      <c r="Q111">
        <f>IF(AND(ISNUMBER(N111),ISNUMBER(N109)),VLOOKUP(ABS(N111-N109),'IMP Table'!$A$2:$C$26,3)*SIGN(N111-N109),"")</f>
        <v/>
      </c>
      <c r="R111">
        <f>IF(AND(ISNUMBER(N111),ISNUMBER(N110)),VLOOKUP(ABS(N111-N110),'IMP Table'!$A$2:$C$26,3)*SIGN(N111-N110),"")</f>
        <v/>
      </c>
      <c r="S111">
        <f>IF(AND(ISNUMBER(N111),ISNUMBER(N112)),VLOOKUP(ABS(N111-N112),'IMP Table'!$A$2:$C$26,3)*SIGN(N111-N112),"")</f>
        <v/>
      </c>
      <c r="T111">
        <f>IF(AND(ISNUMBER(N111),ISNUMBER(N113)),VLOOKUP(ABS(N111-N113),'IMP Table'!$A$2:$C$26,3)*SIGN(N111-N113),"")</f>
        <v/>
      </c>
      <c r="U111">
        <f>IF(AND(ISNUMBER(N111),ISNUMBER(N114)),VLOOKUP(ABS(N111-N114),'IMP Table'!$A$2:$C$26,3)*SIGN(N111-N114),"")</f>
        <v/>
      </c>
      <c r="V111">
        <f>IF(AND(ISNUMBER(O111),ISNUMBER(O108)),VLOOKUP(ABS(O111-O108),'IMP Table'!$A$2:$C$26,3)*SIGN(O111-O108),"")</f>
        <v/>
      </c>
      <c r="W111">
        <f>IF(AND(ISNUMBER(O111),ISNUMBER(O109)),VLOOKUP(ABS(O111-O109),'IMP Table'!$A$2:$C$26,3)*SIGN(O111-O109),"")</f>
        <v/>
      </c>
      <c r="X111">
        <f>IF(AND(ISNUMBER(O111),ISNUMBER(O110)),VLOOKUP(ABS(O111-O110),'IMP Table'!$A$2:$C$26,3)*SIGN(O111-O110),"")</f>
        <v/>
      </c>
      <c r="Y111">
        <f>IF(AND(ISNUMBER(O111),ISNUMBER(O112)),VLOOKUP(ABS(O111-O112),'IMP Table'!$A$2:$C$26,3)*SIGN(O111-O112),"")</f>
        <v/>
      </c>
      <c r="Z111">
        <f>IF(AND(ISNUMBER(O111),ISNUMBER(O113)),VLOOKUP(ABS(O111-O113),'IMP Table'!$A$2:$C$26,3)*SIGN(O111-O113),"")</f>
        <v/>
      </c>
      <c r="AA111">
        <f>IF(AND(ISNUMBER(O111),ISNUMBER(O114)),VLOOKUP(ABS(O111-O114),'IMP Table'!$A$2:$C$26,3)*SIGN(O111-O114),"")</f>
        <v/>
      </c>
    </row>
    <row r="112">
      <c r="B112">
        <f>'By Round'!A128</f>
        <v/>
      </c>
      <c r="C112">
        <f>'By Round'!B140</f>
        <v/>
      </c>
      <c r="D112">
        <f>'By Round'!C140</f>
        <v/>
      </c>
      <c r="E112">
        <f>'By Round'!D140</f>
        <v/>
      </c>
      <c r="F112" s="10" t="inlineStr">
        <is>
          <t>EW</t>
        </is>
      </c>
      <c r="G112">
        <f>'By Round'!G141</f>
        <v/>
      </c>
      <c r="H112">
        <f>'By Round'!H141</f>
        <v/>
      </c>
      <c r="I112">
        <f>'By Round'!I141</f>
        <v/>
      </c>
      <c r="J112">
        <f>'By Round'!J141</f>
        <v/>
      </c>
      <c r="K112">
        <f>'By Round'!K141</f>
        <v/>
      </c>
      <c r="L112" s="11">
        <f>IFERROR(AVERAGE(P112:U112),"")</f>
        <v/>
      </c>
      <c r="M112" s="4">
        <f>IFERROR(AVERAGE(V112:AA112),"")</f>
        <v/>
      </c>
      <c r="N112">
        <f>IF(ISNUMBER(J112),J112,IF(ISNUMBER(K112),-K112,""))</f>
        <v/>
      </c>
      <c r="O112">
        <f>IF(ISNUMBER(K112),K112,IF(ISNUMBER(J112),-J112,""))</f>
        <v/>
      </c>
      <c r="P112">
        <f>IF(AND(ISNUMBER(N112),ISNUMBER(N108)),VLOOKUP(ABS(N112-N108),'IMP Table'!$A$2:$C$26,3)*SIGN(N112-N108),"")</f>
        <v/>
      </c>
      <c r="Q112">
        <f>IF(AND(ISNUMBER(N112),ISNUMBER(N109)),VLOOKUP(ABS(N112-N109),'IMP Table'!$A$2:$C$26,3)*SIGN(N112-N109),"")</f>
        <v/>
      </c>
      <c r="R112">
        <f>IF(AND(ISNUMBER(N112),ISNUMBER(N110)),VLOOKUP(ABS(N112-N110),'IMP Table'!$A$2:$C$26,3)*SIGN(N112-N110),"")</f>
        <v/>
      </c>
      <c r="S112">
        <f>IF(AND(ISNUMBER(N112),ISNUMBER(N111)),VLOOKUP(ABS(N112-N111),'IMP Table'!$A$2:$C$26,3)*SIGN(N112-N111),"")</f>
        <v/>
      </c>
      <c r="T112">
        <f>IF(AND(ISNUMBER(N112),ISNUMBER(N113)),VLOOKUP(ABS(N112-N113),'IMP Table'!$A$2:$C$26,3)*SIGN(N112-N113),"")</f>
        <v/>
      </c>
      <c r="U112">
        <f>IF(AND(ISNUMBER(N112),ISNUMBER(N114)),VLOOKUP(ABS(N112-N114),'IMP Table'!$A$2:$C$26,3)*SIGN(N112-N114),"")</f>
        <v/>
      </c>
      <c r="V112">
        <f>IF(AND(ISNUMBER(O112),ISNUMBER(O108)),VLOOKUP(ABS(O112-O108),'IMP Table'!$A$2:$C$26,3)*SIGN(O112-O108),"")</f>
        <v/>
      </c>
      <c r="W112">
        <f>IF(AND(ISNUMBER(O112),ISNUMBER(O109)),VLOOKUP(ABS(O112-O109),'IMP Table'!$A$2:$C$26,3)*SIGN(O112-O109),"")</f>
        <v/>
      </c>
      <c r="X112">
        <f>IF(AND(ISNUMBER(O112),ISNUMBER(O110)),VLOOKUP(ABS(O112-O110),'IMP Table'!$A$2:$C$26,3)*SIGN(O112-O110),"")</f>
        <v/>
      </c>
      <c r="Y112">
        <f>IF(AND(ISNUMBER(O112),ISNUMBER(O111)),VLOOKUP(ABS(O112-O111),'IMP Table'!$A$2:$C$26,3)*SIGN(O112-O111),"")</f>
        <v/>
      </c>
      <c r="Z112">
        <f>IF(AND(ISNUMBER(O112),ISNUMBER(O113)),VLOOKUP(ABS(O112-O113),'IMP Table'!$A$2:$C$26,3)*SIGN(O112-O113),"")</f>
        <v/>
      </c>
      <c r="AA112">
        <f>IF(AND(ISNUMBER(O112),ISNUMBER(O114)),VLOOKUP(ABS(O112-O114),'IMP Table'!$A$2:$C$26,3)*SIGN(O112-O114),"")</f>
        <v/>
      </c>
    </row>
    <row r="113">
      <c r="B113">
        <f>'By Round'!A142</f>
        <v/>
      </c>
      <c r="C113">
        <f>'By Round'!B152</f>
        <v/>
      </c>
      <c r="D113">
        <f>'By Round'!C152</f>
        <v/>
      </c>
      <c r="E113">
        <f>'By Round'!D152</f>
        <v/>
      </c>
      <c r="F113" s="10" t="inlineStr">
        <is>
          <t>EW</t>
        </is>
      </c>
      <c r="G113">
        <f>'By Round'!G153</f>
        <v/>
      </c>
      <c r="H113">
        <f>'By Round'!H153</f>
        <v/>
      </c>
      <c r="I113">
        <f>'By Round'!I153</f>
        <v/>
      </c>
      <c r="J113">
        <f>'By Round'!J153</f>
        <v/>
      </c>
      <c r="K113">
        <f>'By Round'!K153</f>
        <v/>
      </c>
      <c r="L113" s="11">
        <f>IFERROR(AVERAGE(P113:U113),"")</f>
        <v/>
      </c>
      <c r="M113" s="4">
        <f>IFERROR(AVERAGE(V113:AA113),"")</f>
        <v/>
      </c>
      <c r="N113">
        <f>IF(ISNUMBER(J113),J113,IF(ISNUMBER(K113),-K113,""))</f>
        <v/>
      </c>
      <c r="O113">
        <f>IF(ISNUMBER(K113),K113,IF(ISNUMBER(J113),-J113,""))</f>
        <v/>
      </c>
      <c r="P113">
        <f>IF(AND(ISNUMBER(N113),ISNUMBER(N108)),VLOOKUP(ABS(N113-N108),'IMP Table'!$A$2:$C$26,3)*SIGN(N113-N108),"")</f>
        <v/>
      </c>
      <c r="Q113">
        <f>IF(AND(ISNUMBER(N113),ISNUMBER(N109)),VLOOKUP(ABS(N113-N109),'IMP Table'!$A$2:$C$26,3)*SIGN(N113-N109),"")</f>
        <v/>
      </c>
      <c r="R113">
        <f>IF(AND(ISNUMBER(N113),ISNUMBER(N110)),VLOOKUP(ABS(N113-N110),'IMP Table'!$A$2:$C$26,3)*SIGN(N113-N110),"")</f>
        <v/>
      </c>
      <c r="S113">
        <f>IF(AND(ISNUMBER(N113),ISNUMBER(N111)),VLOOKUP(ABS(N113-N111),'IMP Table'!$A$2:$C$26,3)*SIGN(N113-N111),"")</f>
        <v/>
      </c>
      <c r="T113">
        <f>IF(AND(ISNUMBER(N113),ISNUMBER(N112)),VLOOKUP(ABS(N113-N112),'IMP Table'!$A$2:$C$26,3)*SIGN(N113-N112),"")</f>
        <v/>
      </c>
      <c r="U113">
        <f>IF(AND(ISNUMBER(N113),ISNUMBER(N114)),VLOOKUP(ABS(N113-N114),'IMP Table'!$A$2:$C$26,3)*SIGN(N113-N114),"")</f>
        <v/>
      </c>
      <c r="V113">
        <f>IF(AND(ISNUMBER(O113),ISNUMBER(O108)),VLOOKUP(ABS(O113-O108),'IMP Table'!$A$2:$C$26,3)*SIGN(O113-O108),"")</f>
        <v/>
      </c>
      <c r="W113">
        <f>IF(AND(ISNUMBER(O113),ISNUMBER(O109)),VLOOKUP(ABS(O113-O109),'IMP Table'!$A$2:$C$26,3)*SIGN(O113-O109),"")</f>
        <v/>
      </c>
      <c r="X113">
        <f>IF(AND(ISNUMBER(O113),ISNUMBER(O110)),VLOOKUP(ABS(O113-O110),'IMP Table'!$A$2:$C$26,3)*SIGN(O113-O110),"")</f>
        <v/>
      </c>
      <c r="Y113">
        <f>IF(AND(ISNUMBER(O113),ISNUMBER(O111)),VLOOKUP(ABS(O113-O111),'IMP Table'!$A$2:$C$26,3)*SIGN(O113-O111),"")</f>
        <v/>
      </c>
      <c r="Z113">
        <f>IF(AND(ISNUMBER(O113),ISNUMBER(O112)),VLOOKUP(ABS(O113-O112),'IMP Table'!$A$2:$C$26,3)*SIGN(O113-O112),"")</f>
        <v/>
      </c>
      <c r="AA113">
        <f>IF(AND(ISNUMBER(O113),ISNUMBER(O114)),VLOOKUP(ABS(O113-O114),'IMP Table'!$A$2:$C$26,3)*SIGN(O113-O114),"")</f>
        <v/>
      </c>
    </row>
    <row r="114">
      <c r="B114">
        <f>'By Round'!A156</f>
        <v/>
      </c>
      <c r="C114">
        <f>'By Round'!B164</f>
        <v/>
      </c>
      <c r="D114">
        <f>'By Round'!C164</f>
        <v/>
      </c>
      <c r="E114">
        <f>'By Round'!D164</f>
        <v/>
      </c>
      <c r="F114" s="10" t="inlineStr">
        <is>
          <t>EW</t>
        </is>
      </c>
      <c r="G114">
        <f>'By Round'!G165</f>
        <v/>
      </c>
      <c r="H114">
        <f>'By Round'!H165</f>
        <v/>
      </c>
      <c r="I114">
        <f>'By Round'!I165</f>
        <v/>
      </c>
      <c r="J114">
        <f>'By Round'!J165</f>
        <v/>
      </c>
      <c r="K114">
        <f>'By Round'!K165</f>
        <v/>
      </c>
      <c r="L114" s="11">
        <f>IFERROR(AVERAGE(P114:U114),"")</f>
        <v/>
      </c>
      <c r="M114" s="4">
        <f>IFERROR(AVERAGE(V114:AA114),"")</f>
        <v/>
      </c>
      <c r="N114">
        <f>IF(ISNUMBER(J114),J114,IF(ISNUMBER(K114),-K114,""))</f>
        <v/>
      </c>
      <c r="O114">
        <f>IF(ISNUMBER(K114),K114,IF(ISNUMBER(J114),-J114,""))</f>
        <v/>
      </c>
      <c r="P114">
        <f>IF(AND(ISNUMBER(N114),ISNUMBER(N108)),VLOOKUP(ABS(N114-N108),'IMP Table'!$A$2:$C$26,3)*SIGN(N114-N108),"")</f>
        <v/>
      </c>
      <c r="Q114">
        <f>IF(AND(ISNUMBER(N114),ISNUMBER(N109)),VLOOKUP(ABS(N114-N109),'IMP Table'!$A$2:$C$26,3)*SIGN(N114-N109),"")</f>
        <v/>
      </c>
      <c r="R114">
        <f>IF(AND(ISNUMBER(N114),ISNUMBER(N110)),VLOOKUP(ABS(N114-N110),'IMP Table'!$A$2:$C$26,3)*SIGN(N114-N110),"")</f>
        <v/>
      </c>
      <c r="S114">
        <f>IF(AND(ISNUMBER(N114),ISNUMBER(N111)),VLOOKUP(ABS(N114-N111),'IMP Table'!$A$2:$C$26,3)*SIGN(N114-N111),"")</f>
        <v/>
      </c>
      <c r="T114">
        <f>IF(AND(ISNUMBER(N114),ISNUMBER(N112)),VLOOKUP(ABS(N114-N112),'IMP Table'!$A$2:$C$26,3)*SIGN(N114-N112),"")</f>
        <v/>
      </c>
      <c r="U114">
        <f>IF(AND(ISNUMBER(N114),ISNUMBER(N113)),VLOOKUP(ABS(N114-N113),'IMP Table'!$A$2:$C$26,3)*SIGN(N114-N113),"")</f>
        <v/>
      </c>
      <c r="V114">
        <f>IF(AND(ISNUMBER(O114),ISNUMBER(O108)),VLOOKUP(ABS(O114-O108),'IMP Table'!$A$2:$C$26,3)*SIGN(O114-O108),"")</f>
        <v/>
      </c>
      <c r="W114">
        <f>IF(AND(ISNUMBER(O114),ISNUMBER(O109)),VLOOKUP(ABS(O114-O109),'IMP Table'!$A$2:$C$26,3)*SIGN(O114-O109),"")</f>
        <v/>
      </c>
      <c r="X114">
        <f>IF(AND(ISNUMBER(O114),ISNUMBER(O110)),VLOOKUP(ABS(O114-O110),'IMP Table'!$A$2:$C$26,3)*SIGN(O114-O110),"")</f>
        <v/>
      </c>
      <c r="Y114">
        <f>IF(AND(ISNUMBER(O114),ISNUMBER(O111)),VLOOKUP(ABS(O114-O111),'IMP Table'!$A$2:$C$26,3)*SIGN(O114-O111),"")</f>
        <v/>
      </c>
      <c r="Z114">
        <f>IF(AND(ISNUMBER(O114),ISNUMBER(O112)),VLOOKUP(ABS(O114-O112),'IMP Table'!$A$2:$C$26,3)*SIGN(O114-O112),"")</f>
        <v/>
      </c>
      <c r="AA114">
        <f>IF(AND(ISNUMBER(O114),ISNUMBER(O113)),VLOOKUP(ABS(O114-O113),'IMP Table'!$A$2:$C$26,3)*SIGN(O114-O113),"")</f>
        <v/>
      </c>
    </row>
    <row r="115">
      <c r="A115" t="n">
        <v>17</v>
      </c>
      <c r="B115">
        <f>'By Round'!A58</f>
        <v/>
      </c>
      <c r="C115">
        <f>'By Round'!B64</f>
        <v/>
      </c>
      <c r="D115">
        <f>'By Round'!C64</f>
        <v/>
      </c>
      <c r="E115">
        <f>'By Round'!D64</f>
        <v/>
      </c>
      <c r="F115" s="10" t="inlineStr">
        <is>
          <t>None</t>
        </is>
      </c>
      <c r="G115">
        <f>'By Round'!G64</f>
        <v/>
      </c>
      <c r="H115">
        <f>'By Round'!H64</f>
        <v/>
      </c>
      <c r="I115">
        <f>'By Round'!I64</f>
        <v/>
      </c>
      <c r="J115">
        <f>'By Round'!J64</f>
        <v/>
      </c>
      <c r="K115">
        <f>'By Round'!K64</f>
        <v/>
      </c>
      <c r="L115" s="11">
        <f>IFERROR(AVERAGE(P115:U115),"")</f>
        <v/>
      </c>
      <c r="M115" s="4">
        <f>IFERROR(AVERAGE(V115:AA115),"")</f>
        <v/>
      </c>
      <c r="N115">
        <f>IF(ISNUMBER(J115),J115,IF(ISNUMBER(K115),-K115,""))</f>
        <v/>
      </c>
      <c r="O115">
        <f>IF(ISNUMBER(K115),K115,IF(ISNUMBER(J115),-J115,""))</f>
        <v/>
      </c>
      <c r="P115">
        <f>IF(AND(ISNUMBER(N115),ISNUMBER(N116)),VLOOKUP(ABS(N115-N116),'IMP Table'!$A$2:$C$26,3)*SIGN(N115-N116),"")</f>
        <v/>
      </c>
      <c r="Q115">
        <f>IF(AND(ISNUMBER(N115),ISNUMBER(N117)),VLOOKUP(ABS(N115-N117),'IMP Table'!$A$2:$C$26,3)*SIGN(N115-N117),"")</f>
        <v/>
      </c>
      <c r="R115">
        <f>IF(AND(ISNUMBER(N115),ISNUMBER(N118)),VLOOKUP(ABS(N115-N118),'IMP Table'!$A$2:$C$26,3)*SIGN(N115-N118),"")</f>
        <v/>
      </c>
      <c r="S115">
        <f>IF(AND(ISNUMBER(N115),ISNUMBER(N119)),VLOOKUP(ABS(N115-N119),'IMP Table'!$A$2:$C$26,3)*SIGN(N115-N119),"")</f>
        <v/>
      </c>
      <c r="T115">
        <f>IF(AND(ISNUMBER(N115),ISNUMBER(N120)),VLOOKUP(ABS(N115-N120),'IMP Table'!$A$2:$C$26,3)*SIGN(N115-N120),"")</f>
        <v/>
      </c>
      <c r="U115">
        <f>IF(AND(ISNUMBER(N115),ISNUMBER(N121)),VLOOKUP(ABS(N115-N121),'IMP Table'!$A$2:$C$26,3)*SIGN(N115-N121),"")</f>
        <v/>
      </c>
      <c r="V115">
        <f>IF(AND(ISNUMBER(O115),ISNUMBER(O116)),VLOOKUP(ABS(O115-O116),'IMP Table'!$A$2:$C$26,3)*SIGN(O115-O116),"")</f>
        <v/>
      </c>
      <c r="W115">
        <f>IF(AND(ISNUMBER(O115),ISNUMBER(O117)),VLOOKUP(ABS(O115-O117),'IMP Table'!$A$2:$C$26,3)*SIGN(O115-O117),"")</f>
        <v/>
      </c>
      <c r="X115">
        <f>IF(AND(ISNUMBER(O115),ISNUMBER(O118)),VLOOKUP(ABS(O115-O118),'IMP Table'!$A$2:$C$26,3)*SIGN(O115-O118),"")</f>
        <v/>
      </c>
      <c r="Y115">
        <f>IF(AND(ISNUMBER(O115),ISNUMBER(O119)),VLOOKUP(ABS(O115-O119),'IMP Table'!$A$2:$C$26,3)*SIGN(O115-O119),"")</f>
        <v/>
      </c>
      <c r="Z115">
        <f>IF(AND(ISNUMBER(O115),ISNUMBER(O120)),VLOOKUP(ABS(O115-O120),'IMP Table'!$A$2:$C$26,3)*SIGN(O115-O120),"")</f>
        <v/>
      </c>
      <c r="AA115">
        <f>IF(AND(ISNUMBER(O115),ISNUMBER(O121)),VLOOKUP(ABS(O115-O121),'IMP Table'!$A$2:$C$26,3)*SIGN(O115-O121),"")</f>
        <v/>
      </c>
    </row>
    <row r="116">
      <c r="B116">
        <f>'By Round'!A72</f>
        <v/>
      </c>
      <c r="C116">
        <f>'By Round'!B76</f>
        <v/>
      </c>
      <c r="D116">
        <f>'By Round'!C76</f>
        <v/>
      </c>
      <c r="E116">
        <f>'By Round'!D76</f>
        <v/>
      </c>
      <c r="F116" s="10" t="inlineStr">
        <is>
          <t>None</t>
        </is>
      </c>
      <c r="G116">
        <f>'By Round'!G76</f>
        <v/>
      </c>
      <c r="H116">
        <f>'By Round'!H76</f>
        <v/>
      </c>
      <c r="I116">
        <f>'By Round'!I76</f>
        <v/>
      </c>
      <c r="J116">
        <f>'By Round'!J76</f>
        <v/>
      </c>
      <c r="K116">
        <f>'By Round'!K76</f>
        <v/>
      </c>
      <c r="L116" s="11">
        <f>IFERROR(AVERAGE(P116:U116),"")</f>
        <v/>
      </c>
      <c r="M116" s="4">
        <f>IFERROR(AVERAGE(V116:AA116),"")</f>
        <v/>
      </c>
      <c r="N116">
        <f>IF(ISNUMBER(J116),J116,IF(ISNUMBER(K116),-K116,""))</f>
        <v/>
      </c>
      <c r="O116">
        <f>IF(ISNUMBER(K116),K116,IF(ISNUMBER(J116),-J116,""))</f>
        <v/>
      </c>
      <c r="P116">
        <f>IF(AND(ISNUMBER(N116),ISNUMBER(N115)),VLOOKUP(ABS(N116-N115),'IMP Table'!$A$2:$C$26,3)*SIGN(N116-N115),"")</f>
        <v/>
      </c>
      <c r="Q116">
        <f>IF(AND(ISNUMBER(N116),ISNUMBER(N117)),VLOOKUP(ABS(N116-N117),'IMP Table'!$A$2:$C$26,3)*SIGN(N116-N117),"")</f>
        <v/>
      </c>
      <c r="R116">
        <f>IF(AND(ISNUMBER(N116),ISNUMBER(N118)),VLOOKUP(ABS(N116-N118),'IMP Table'!$A$2:$C$26,3)*SIGN(N116-N118),"")</f>
        <v/>
      </c>
      <c r="S116">
        <f>IF(AND(ISNUMBER(N116),ISNUMBER(N119)),VLOOKUP(ABS(N116-N119),'IMP Table'!$A$2:$C$26,3)*SIGN(N116-N119),"")</f>
        <v/>
      </c>
      <c r="T116">
        <f>IF(AND(ISNUMBER(N116),ISNUMBER(N120)),VLOOKUP(ABS(N116-N120),'IMP Table'!$A$2:$C$26,3)*SIGN(N116-N120),"")</f>
        <v/>
      </c>
      <c r="U116">
        <f>IF(AND(ISNUMBER(N116),ISNUMBER(N121)),VLOOKUP(ABS(N116-N121),'IMP Table'!$A$2:$C$26,3)*SIGN(N116-N121),"")</f>
        <v/>
      </c>
      <c r="V116">
        <f>IF(AND(ISNUMBER(O116),ISNUMBER(O115)),VLOOKUP(ABS(O116-O115),'IMP Table'!$A$2:$C$26,3)*SIGN(O116-O115),"")</f>
        <v/>
      </c>
      <c r="W116">
        <f>IF(AND(ISNUMBER(O116),ISNUMBER(O117)),VLOOKUP(ABS(O116-O117),'IMP Table'!$A$2:$C$26,3)*SIGN(O116-O117),"")</f>
        <v/>
      </c>
      <c r="X116">
        <f>IF(AND(ISNUMBER(O116),ISNUMBER(O118)),VLOOKUP(ABS(O116-O118),'IMP Table'!$A$2:$C$26,3)*SIGN(O116-O118),"")</f>
        <v/>
      </c>
      <c r="Y116">
        <f>IF(AND(ISNUMBER(O116),ISNUMBER(O119)),VLOOKUP(ABS(O116-O119),'IMP Table'!$A$2:$C$26,3)*SIGN(O116-O119),"")</f>
        <v/>
      </c>
      <c r="Z116">
        <f>IF(AND(ISNUMBER(O116),ISNUMBER(O120)),VLOOKUP(ABS(O116-O120),'IMP Table'!$A$2:$C$26,3)*SIGN(O116-O120),"")</f>
        <v/>
      </c>
      <c r="AA116">
        <f>IF(AND(ISNUMBER(O116),ISNUMBER(O121)),VLOOKUP(ABS(O116-O121),'IMP Table'!$A$2:$C$26,3)*SIGN(O116-O121),"")</f>
        <v/>
      </c>
    </row>
    <row r="117">
      <c r="B117">
        <f>'By Round'!A86</f>
        <v/>
      </c>
      <c r="C117">
        <f>'By Round'!B88</f>
        <v/>
      </c>
      <c r="D117">
        <f>'By Round'!C88</f>
        <v/>
      </c>
      <c r="E117">
        <f>'By Round'!D88</f>
        <v/>
      </c>
      <c r="F117" s="10" t="inlineStr">
        <is>
          <t>None</t>
        </is>
      </c>
      <c r="G117">
        <f>'By Round'!G88</f>
        <v/>
      </c>
      <c r="H117">
        <f>'By Round'!H88</f>
        <v/>
      </c>
      <c r="I117">
        <f>'By Round'!I88</f>
        <v/>
      </c>
      <c r="J117">
        <f>'By Round'!J88</f>
        <v/>
      </c>
      <c r="K117">
        <f>'By Round'!K88</f>
        <v/>
      </c>
      <c r="L117" s="11">
        <f>IFERROR(AVERAGE(P117:U117),"")</f>
        <v/>
      </c>
      <c r="M117" s="4">
        <f>IFERROR(AVERAGE(V117:AA117),"")</f>
        <v/>
      </c>
      <c r="N117">
        <f>IF(ISNUMBER(J117),J117,IF(ISNUMBER(K117),-K117,""))</f>
        <v/>
      </c>
      <c r="O117">
        <f>IF(ISNUMBER(K117),K117,IF(ISNUMBER(J117),-J117,""))</f>
        <v/>
      </c>
      <c r="P117">
        <f>IF(AND(ISNUMBER(N117),ISNUMBER(N115)),VLOOKUP(ABS(N117-N115),'IMP Table'!$A$2:$C$26,3)*SIGN(N117-N115),"")</f>
        <v/>
      </c>
      <c r="Q117">
        <f>IF(AND(ISNUMBER(N117),ISNUMBER(N116)),VLOOKUP(ABS(N117-N116),'IMP Table'!$A$2:$C$26,3)*SIGN(N117-N116),"")</f>
        <v/>
      </c>
      <c r="R117">
        <f>IF(AND(ISNUMBER(N117),ISNUMBER(N118)),VLOOKUP(ABS(N117-N118),'IMP Table'!$A$2:$C$26,3)*SIGN(N117-N118),"")</f>
        <v/>
      </c>
      <c r="S117">
        <f>IF(AND(ISNUMBER(N117),ISNUMBER(N119)),VLOOKUP(ABS(N117-N119),'IMP Table'!$A$2:$C$26,3)*SIGN(N117-N119),"")</f>
        <v/>
      </c>
      <c r="T117">
        <f>IF(AND(ISNUMBER(N117),ISNUMBER(N120)),VLOOKUP(ABS(N117-N120),'IMP Table'!$A$2:$C$26,3)*SIGN(N117-N120),"")</f>
        <v/>
      </c>
      <c r="U117">
        <f>IF(AND(ISNUMBER(N117),ISNUMBER(N121)),VLOOKUP(ABS(N117-N121),'IMP Table'!$A$2:$C$26,3)*SIGN(N117-N121),"")</f>
        <v/>
      </c>
      <c r="V117">
        <f>IF(AND(ISNUMBER(O117),ISNUMBER(O115)),VLOOKUP(ABS(O117-O115),'IMP Table'!$A$2:$C$26,3)*SIGN(O117-O115),"")</f>
        <v/>
      </c>
      <c r="W117">
        <f>IF(AND(ISNUMBER(O117),ISNUMBER(O116)),VLOOKUP(ABS(O117-O116),'IMP Table'!$A$2:$C$26,3)*SIGN(O117-O116),"")</f>
        <v/>
      </c>
      <c r="X117">
        <f>IF(AND(ISNUMBER(O117),ISNUMBER(O118)),VLOOKUP(ABS(O117-O118),'IMP Table'!$A$2:$C$26,3)*SIGN(O117-O118),"")</f>
        <v/>
      </c>
      <c r="Y117">
        <f>IF(AND(ISNUMBER(O117),ISNUMBER(O119)),VLOOKUP(ABS(O117-O119),'IMP Table'!$A$2:$C$26,3)*SIGN(O117-O119),"")</f>
        <v/>
      </c>
      <c r="Z117">
        <f>IF(AND(ISNUMBER(O117),ISNUMBER(O120)),VLOOKUP(ABS(O117-O120),'IMP Table'!$A$2:$C$26,3)*SIGN(O117-O120),"")</f>
        <v/>
      </c>
      <c r="AA117">
        <f>IF(AND(ISNUMBER(O117),ISNUMBER(O121)),VLOOKUP(ABS(O117-O121),'IMP Table'!$A$2:$C$26,3)*SIGN(O117-O121),"")</f>
        <v/>
      </c>
    </row>
    <row r="118">
      <c r="B118">
        <f>'By Round'!A114</f>
        <v/>
      </c>
      <c r="C118">
        <f>'By Round'!B114</f>
        <v/>
      </c>
      <c r="D118">
        <f>'By Round'!C114</f>
        <v/>
      </c>
      <c r="E118">
        <f>'By Round'!D114</f>
        <v/>
      </c>
      <c r="F118" s="10" t="inlineStr">
        <is>
          <t>None</t>
        </is>
      </c>
      <c r="G118">
        <f>'By Round'!G114</f>
        <v/>
      </c>
      <c r="H118">
        <f>'By Round'!H114</f>
        <v/>
      </c>
      <c r="I118">
        <f>'By Round'!I114</f>
        <v/>
      </c>
      <c r="J118">
        <f>'By Round'!J114</f>
        <v/>
      </c>
      <c r="K118">
        <f>'By Round'!K114</f>
        <v/>
      </c>
      <c r="L118" s="11">
        <f>IFERROR(AVERAGE(P118:U118),"")</f>
        <v/>
      </c>
      <c r="M118" s="4">
        <f>IFERROR(AVERAGE(V118:AA118),"")</f>
        <v/>
      </c>
      <c r="N118">
        <f>IF(ISNUMBER(J118),J118,IF(ISNUMBER(K118),-K118,""))</f>
        <v/>
      </c>
      <c r="O118">
        <f>IF(ISNUMBER(K118),K118,IF(ISNUMBER(J118),-J118,""))</f>
        <v/>
      </c>
      <c r="P118">
        <f>IF(AND(ISNUMBER(N118),ISNUMBER(N115)),VLOOKUP(ABS(N118-N115),'IMP Table'!$A$2:$C$26,3)*SIGN(N118-N115),"")</f>
        <v/>
      </c>
      <c r="Q118">
        <f>IF(AND(ISNUMBER(N118),ISNUMBER(N116)),VLOOKUP(ABS(N118-N116),'IMP Table'!$A$2:$C$26,3)*SIGN(N118-N116),"")</f>
        <v/>
      </c>
      <c r="R118">
        <f>IF(AND(ISNUMBER(N118),ISNUMBER(N117)),VLOOKUP(ABS(N118-N117),'IMP Table'!$A$2:$C$26,3)*SIGN(N118-N117),"")</f>
        <v/>
      </c>
      <c r="S118">
        <f>IF(AND(ISNUMBER(N118),ISNUMBER(N119)),VLOOKUP(ABS(N118-N119),'IMP Table'!$A$2:$C$26,3)*SIGN(N118-N119),"")</f>
        <v/>
      </c>
      <c r="T118">
        <f>IF(AND(ISNUMBER(N118),ISNUMBER(N120)),VLOOKUP(ABS(N118-N120),'IMP Table'!$A$2:$C$26,3)*SIGN(N118-N120),"")</f>
        <v/>
      </c>
      <c r="U118">
        <f>IF(AND(ISNUMBER(N118),ISNUMBER(N121)),VLOOKUP(ABS(N118-N121),'IMP Table'!$A$2:$C$26,3)*SIGN(N118-N121),"")</f>
        <v/>
      </c>
      <c r="V118">
        <f>IF(AND(ISNUMBER(O118),ISNUMBER(O115)),VLOOKUP(ABS(O118-O115),'IMP Table'!$A$2:$C$26,3)*SIGN(O118-O115),"")</f>
        <v/>
      </c>
      <c r="W118">
        <f>IF(AND(ISNUMBER(O118),ISNUMBER(O116)),VLOOKUP(ABS(O118-O116),'IMP Table'!$A$2:$C$26,3)*SIGN(O118-O116),"")</f>
        <v/>
      </c>
      <c r="X118">
        <f>IF(AND(ISNUMBER(O118),ISNUMBER(O117)),VLOOKUP(ABS(O118-O117),'IMP Table'!$A$2:$C$26,3)*SIGN(O118-O117),"")</f>
        <v/>
      </c>
      <c r="Y118">
        <f>IF(AND(ISNUMBER(O118),ISNUMBER(O119)),VLOOKUP(ABS(O118-O119),'IMP Table'!$A$2:$C$26,3)*SIGN(O118-O119),"")</f>
        <v/>
      </c>
      <c r="Z118">
        <f>IF(AND(ISNUMBER(O118),ISNUMBER(O120)),VLOOKUP(ABS(O118-O120),'IMP Table'!$A$2:$C$26,3)*SIGN(O118-O120),"")</f>
        <v/>
      </c>
      <c r="AA118">
        <f>IF(AND(ISNUMBER(O118),ISNUMBER(O121)),VLOOKUP(ABS(O118-O121),'IMP Table'!$A$2:$C$26,3)*SIGN(O118-O121),"")</f>
        <v/>
      </c>
    </row>
    <row r="119">
      <c r="B119">
        <f>'By Round'!A142</f>
        <v/>
      </c>
      <c r="C119">
        <f>'By Round'!B154</f>
        <v/>
      </c>
      <c r="D119">
        <f>'By Round'!C154</f>
        <v/>
      </c>
      <c r="E119">
        <f>'By Round'!D154</f>
        <v/>
      </c>
      <c r="F119" s="10" t="inlineStr">
        <is>
          <t>None</t>
        </is>
      </c>
      <c r="G119">
        <f>'By Round'!G154</f>
        <v/>
      </c>
      <c r="H119">
        <f>'By Round'!H154</f>
        <v/>
      </c>
      <c r="I119">
        <f>'By Round'!I154</f>
        <v/>
      </c>
      <c r="J119">
        <f>'By Round'!J154</f>
        <v/>
      </c>
      <c r="K119">
        <f>'By Round'!K154</f>
        <v/>
      </c>
      <c r="L119" s="11">
        <f>IFERROR(AVERAGE(P119:U119),"")</f>
        <v/>
      </c>
      <c r="M119" s="4">
        <f>IFERROR(AVERAGE(V119:AA119),"")</f>
        <v/>
      </c>
      <c r="N119">
        <f>IF(ISNUMBER(J119),J119,IF(ISNUMBER(K119),-K119,""))</f>
        <v/>
      </c>
      <c r="O119">
        <f>IF(ISNUMBER(K119),K119,IF(ISNUMBER(J119),-J119,""))</f>
        <v/>
      </c>
      <c r="P119">
        <f>IF(AND(ISNUMBER(N119),ISNUMBER(N115)),VLOOKUP(ABS(N119-N115),'IMP Table'!$A$2:$C$26,3)*SIGN(N119-N115),"")</f>
        <v/>
      </c>
      <c r="Q119">
        <f>IF(AND(ISNUMBER(N119),ISNUMBER(N116)),VLOOKUP(ABS(N119-N116),'IMP Table'!$A$2:$C$26,3)*SIGN(N119-N116),"")</f>
        <v/>
      </c>
      <c r="R119">
        <f>IF(AND(ISNUMBER(N119),ISNUMBER(N117)),VLOOKUP(ABS(N119-N117),'IMP Table'!$A$2:$C$26,3)*SIGN(N119-N117),"")</f>
        <v/>
      </c>
      <c r="S119">
        <f>IF(AND(ISNUMBER(N119),ISNUMBER(N118)),VLOOKUP(ABS(N119-N118),'IMP Table'!$A$2:$C$26,3)*SIGN(N119-N118),"")</f>
        <v/>
      </c>
      <c r="T119">
        <f>IF(AND(ISNUMBER(N119),ISNUMBER(N120)),VLOOKUP(ABS(N119-N120),'IMP Table'!$A$2:$C$26,3)*SIGN(N119-N120),"")</f>
        <v/>
      </c>
      <c r="U119">
        <f>IF(AND(ISNUMBER(N119),ISNUMBER(N121)),VLOOKUP(ABS(N119-N121),'IMP Table'!$A$2:$C$26,3)*SIGN(N119-N121),"")</f>
        <v/>
      </c>
      <c r="V119">
        <f>IF(AND(ISNUMBER(O119),ISNUMBER(O115)),VLOOKUP(ABS(O119-O115),'IMP Table'!$A$2:$C$26,3)*SIGN(O119-O115),"")</f>
        <v/>
      </c>
      <c r="W119">
        <f>IF(AND(ISNUMBER(O119),ISNUMBER(O116)),VLOOKUP(ABS(O119-O116),'IMP Table'!$A$2:$C$26,3)*SIGN(O119-O116),"")</f>
        <v/>
      </c>
      <c r="X119">
        <f>IF(AND(ISNUMBER(O119),ISNUMBER(O117)),VLOOKUP(ABS(O119-O117),'IMP Table'!$A$2:$C$26,3)*SIGN(O119-O117),"")</f>
        <v/>
      </c>
      <c r="Y119">
        <f>IF(AND(ISNUMBER(O119),ISNUMBER(O118)),VLOOKUP(ABS(O119-O118),'IMP Table'!$A$2:$C$26,3)*SIGN(O119-O118),"")</f>
        <v/>
      </c>
      <c r="Z119">
        <f>IF(AND(ISNUMBER(O119),ISNUMBER(O120)),VLOOKUP(ABS(O119-O120),'IMP Table'!$A$2:$C$26,3)*SIGN(O119-O120),"")</f>
        <v/>
      </c>
      <c r="AA119">
        <f>IF(AND(ISNUMBER(O119),ISNUMBER(O121)),VLOOKUP(ABS(O119-O121),'IMP Table'!$A$2:$C$26,3)*SIGN(O119-O121),"")</f>
        <v/>
      </c>
    </row>
    <row r="120">
      <c r="B120">
        <f>'By Round'!A156</f>
        <v/>
      </c>
      <c r="C120">
        <f>'By Round'!B166</f>
        <v/>
      </c>
      <c r="D120">
        <f>'By Round'!C166</f>
        <v/>
      </c>
      <c r="E120">
        <f>'By Round'!D166</f>
        <v/>
      </c>
      <c r="F120" s="10" t="inlineStr">
        <is>
          <t>None</t>
        </is>
      </c>
      <c r="G120">
        <f>'By Round'!G166</f>
        <v/>
      </c>
      <c r="H120">
        <f>'By Round'!H166</f>
        <v/>
      </c>
      <c r="I120">
        <f>'By Round'!I166</f>
        <v/>
      </c>
      <c r="J120">
        <f>'By Round'!J166</f>
        <v/>
      </c>
      <c r="K120">
        <f>'By Round'!K166</f>
        <v/>
      </c>
      <c r="L120" s="11">
        <f>IFERROR(AVERAGE(P120:U120),"")</f>
        <v/>
      </c>
      <c r="M120" s="4">
        <f>IFERROR(AVERAGE(V120:AA120),"")</f>
        <v/>
      </c>
      <c r="N120">
        <f>IF(ISNUMBER(J120),J120,IF(ISNUMBER(K120),-K120,""))</f>
        <v/>
      </c>
      <c r="O120">
        <f>IF(ISNUMBER(K120),K120,IF(ISNUMBER(J120),-J120,""))</f>
        <v/>
      </c>
      <c r="P120">
        <f>IF(AND(ISNUMBER(N120),ISNUMBER(N115)),VLOOKUP(ABS(N120-N115),'IMP Table'!$A$2:$C$26,3)*SIGN(N120-N115),"")</f>
        <v/>
      </c>
      <c r="Q120">
        <f>IF(AND(ISNUMBER(N120),ISNUMBER(N116)),VLOOKUP(ABS(N120-N116),'IMP Table'!$A$2:$C$26,3)*SIGN(N120-N116),"")</f>
        <v/>
      </c>
      <c r="R120">
        <f>IF(AND(ISNUMBER(N120),ISNUMBER(N117)),VLOOKUP(ABS(N120-N117),'IMP Table'!$A$2:$C$26,3)*SIGN(N120-N117),"")</f>
        <v/>
      </c>
      <c r="S120">
        <f>IF(AND(ISNUMBER(N120),ISNUMBER(N118)),VLOOKUP(ABS(N120-N118),'IMP Table'!$A$2:$C$26,3)*SIGN(N120-N118),"")</f>
        <v/>
      </c>
      <c r="T120">
        <f>IF(AND(ISNUMBER(N120),ISNUMBER(N119)),VLOOKUP(ABS(N120-N119),'IMP Table'!$A$2:$C$26,3)*SIGN(N120-N119),"")</f>
        <v/>
      </c>
      <c r="U120">
        <f>IF(AND(ISNUMBER(N120),ISNUMBER(N121)),VLOOKUP(ABS(N120-N121),'IMP Table'!$A$2:$C$26,3)*SIGN(N120-N121),"")</f>
        <v/>
      </c>
      <c r="V120">
        <f>IF(AND(ISNUMBER(O120),ISNUMBER(O115)),VLOOKUP(ABS(O120-O115),'IMP Table'!$A$2:$C$26,3)*SIGN(O120-O115),"")</f>
        <v/>
      </c>
      <c r="W120">
        <f>IF(AND(ISNUMBER(O120),ISNUMBER(O116)),VLOOKUP(ABS(O120-O116),'IMP Table'!$A$2:$C$26,3)*SIGN(O120-O116),"")</f>
        <v/>
      </c>
      <c r="X120">
        <f>IF(AND(ISNUMBER(O120),ISNUMBER(O117)),VLOOKUP(ABS(O120-O117),'IMP Table'!$A$2:$C$26,3)*SIGN(O120-O117),"")</f>
        <v/>
      </c>
      <c r="Y120">
        <f>IF(AND(ISNUMBER(O120),ISNUMBER(O118)),VLOOKUP(ABS(O120-O118),'IMP Table'!$A$2:$C$26,3)*SIGN(O120-O118),"")</f>
        <v/>
      </c>
      <c r="Z120">
        <f>IF(AND(ISNUMBER(O120),ISNUMBER(O119)),VLOOKUP(ABS(O120-O119),'IMP Table'!$A$2:$C$26,3)*SIGN(O120-O119),"")</f>
        <v/>
      </c>
      <c r="AA120">
        <f>IF(AND(ISNUMBER(O120),ISNUMBER(O121)),VLOOKUP(ABS(O120-O121),'IMP Table'!$A$2:$C$26,3)*SIGN(O120-O121),"")</f>
        <v/>
      </c>
    </row>
    <row r="121">
      <c r="B121">
        <f>'By Round'!A170</f>
        <v/>
      </c>
      <c r="C121">
        <f>'By Round'!B178</f>
        <v/>
      </c>
      <c r="D121">
        <f>'By Round'!C178</f>
        <v/>
      </c>
      <c r="E121">
        <f>'By Round'!D178</f>
        <v/>
      </c>
      <c r="F121" s="10" t="inlineStr">
        <is>
          <t>None</t>
        </is>
      </c>
      <c r="G121">
        <f>'By Round'!G178</f>
        <v/>
      </c>
      <c r="H121">
        <f>'By Round'!H178</f>
        <v/>
      </c>
      <c r="I121">
        <f>'By Round'!I178</f>
        <v/>
      </c>
      <c r="J121">
        <f>'By Round'!J178</f>
        <v/>
      </c>
      <c r="K121">
        <f>'By Round'!K178</f>
        <v/>
      </c>
      <c r="L121" s="11">
        <f>IFERROR(AVERAGE(P121:U121),"")</f>
        <v/>
      </c>
      <c r="M121" s="4">
        <f>IFERROR(AVERAGE(V121:AA121),"")</f>
        <v/>
      </c>
      <c r="N121">
        <f>IF(ISNUMBER(J121),J121,IF(ISNUMBER(K121),-K121,""))</f>
        <v/>
      </c>
      <c r="O121">
        <f>IF(ISNUMBER(K121),K121,IF(ISNUMBER(J121),-J121,""))</f>
        <v/>
      </c>
      <c r="P121">
        <f>IF(AND(ISNUMBER(N121),ISNUMBER(N115)),VLOOKUP(ABS(N121-N115),'IMP Table'!$A$2:$C$26,3)*SIGN(N121-N115),"")</f>
        <v/>
      </c>
      <c r="Q121">
        <f>IF(AND(ISNUMBER(N121),ISNUMBER(N116)),VLOOKUP(ABS(N121-N116),'IMP Table'!$A$2:$C$26,3)*SIGN(N121-N116),"")</f>
        <v/>
      </c>
      <c r="R121">
        <f>IF(AND(ISNUMBER(N121),ISNUMBER(N117)),VLOOKUP(ABS(N121-N117),'IMP Table'!$A$2:$C$26,3)*SIGN(N121-N117),"")</f>
        <v/>
      </c>
      <c r="S121">
        <f>IF(AND(ISNUMBER(N121),ISNUMBER(N118)),VLOOKUP(ABS(N121-N118),'IMP Table'!$A$2:$C$26,3)*SIGN(N121-N118),"")</f>
        <v/>
      </c>
      <c r="T121">
        <f>IF(AND(ISNUMBER(N121),ISNUMBER(N119)),VLOOKUP(ABS(N121-N119),'IMP Table'!$A$2:$C$26,3)*SIGN(N121-N119),"")</f>
        <v/>
      </c>
      <c r="U121">
        <f>IF(AND(ISNUMBER(N121),ISNUMBER(N120)),VLOOKUP(ABS(N121-N120),'IMP Table'!$A$2:$C$26,3)*SIGN(N121-N120),"")</f>
        <v/>
      </c>
      <c r="V121">
        <f>IF(AND(ISNUMBER(O121),ISNUMBER(O115)),VLOOKUP(ABS(O121-O115),'IMP Table'!$A$2:$C$26,3)*SIGN(O121-O115),"")</f>
        <v/>
      </c>
      <c r="W121">
        <f>IF(AND(ISNUMBER(O121),ISNUMBER(O116)),VLOOKUP(ABS(O121-O116),'IMP Table'!$A$2:$C$26,3)*SIGN(O121-O116),"")</f>
        <v/>
      </c>
      <c r="X121">
        <f>IF(AND(ISNUMBER(O121),ISNUMBER(O117)),VLOOKUP(ABS(O121-O117),'IMP Table'!$A$2:$C$26,3)*SIGN(O121-O117),"")</f>
        <v/>
      </c>
      <c r="Y121">
        <f>IF(AND(ISNUMBER(O121),ISNUMBER(O118)),VLOOKUP(ABS(O121-O118),'IMP Table'!$A$2:$C$26,3)*SIGN(O121-O118),"")</f>
        <v/>
      </c>
      <c r="Z121">
        <f>IF(AND(ISNUMBER(O121),ISNUMBER(O119)),VLOOKUP(ABS(O121-O119),'IMP Table'!$A$2:$C$26,3)*SIGN(O121-O119),"")</f>
        <v/>
      </c>
      <c r="AA121">
        <f>IF(AND(ISNUMBER(O121),ISNUMBER(O120)),VLOOKUP(ABS(O121-O120),'IMP Table'!$A$2:$C$26,3)*SIGN(O121-O120),"")</f>
        <v/>
      </c>
    </row>
    <row r="122">
      <c r="A122" t="n">
        <v>18</v>
      </c>
      <c r="B122">
        <f>'By Round'!A58</f>
        <v/>
      </c>
      <c r="C122">
        <f>'By Round'!B64</f>
        <v/>
      </c>
      <c r="D122">
        <f>'By Round'!C64</f>
        <v/>
      </c>
      <c r="E122">
        <f>'By Round'!D64</f>
        <v/>
      </c>
      <c r="F122" s="10" t="inlineStr">
        <is>
          <t>NS</t>
        </is>
      </c>
      <c r="G122">
        <f>'By Round'!G65</f>
        <v/>
      </c>
      <c r="H122">
        <f>'By Round'!H65</f>
        <v/>
      </c>
      <c r="I122">
        <f>'By Round'!I65</f>
        <v/>
      </c>
      <c r="J122">
        <f>'By Round'!J65</f>
        <v/>
      </c>
      <c r="K122">
        <f>'By Round'!K65</f>
        <v/>
      </c>
      <c r="L122" s="11">
        <f>IFERROR(AVERAGE(P122:U122),"")</f>
        <v/>
      </c>
      <c r="M122" s="4">
        <f>IFERROR(AVERAGE(V122:AA122),"")</f>
        <v/>
      </c>
      <c r="N122">
        <f>IF(ISNUMBER(J122),J122,IF(ISNUMBER(K122),-K122,""))</f>
        <v/>
      </c>
      <c r="O122">
        <f>IF(ISNUMBER(K122),K122,IF(ISNUMBER(J122),-J122,""))</f>
        <v/>
      </c>
      <c r="P122">
        <f>IF(AND(ISNUMBER(N122),ISNUMBER(N123)),VLOOKUP(ABS(N122-N123),'IMP Table'!$A$2:$C$26,3)*SIGN(N122-N123),"")</f>
        <v/>
      </c>
      <c r="Q122">
        <f>IF(AND(ISNUMBER(N122),ISNUMBER(N124)),VLOOKUP(ABS(N122-N124),'IMP Table'!$A$2:$C$26,3)*SIGN(N122-N124),"")</f>
        <v/>
      </c>
      <c r="R122">
        <f>IF(AND(ISNUMBER(N122),ISNUMBER(N125)),VLOOKUP(ABS(N122-N125),'IMP Table'!$A$2:$C$26,3)*SIGN(N122-N125),"")</f>
        <v/>
      </c>
      <c r="S122">
        <f>IF(AND(ISNUMBER(N122),ISNUMBER(N126)),VLOOKUP(ABS(N122-N126),'IMP Table'!$A$2:$C$26,3)*SIGN(N122-N126),"")</f>
        <v/>
      </c>
      <c r="T122">
        <f>IF(AND(ISNUMBER(N122),ISNUMBER(N127)),VLOOKUP(ABS(N122-N127),'IMP Table'!$A$2:$C$26,3)*SIGN(N122-N127),"")</f>
        <v/>
      </c>
      <c r="U122">
        <f>IF(AND(ISNUMBER(N122),ISNUMBER(N128)),VLOOKUP(ABS(N122-N128),'IMP Table'!$A$2:$C$26,3)*SIGN(N122-N128),"")</f>
        <v/>
      </c>
      <c r="V122">
        <f>IF(AND(ISNUMBER(O122),ISNUMBER(O123)),VLOOKUP(ABS(O122-O123),'IMP Table'!$A$2:$C$26,3)*SIGN(O122-O123),"")</f>
        <v/>
      </c>
      <c r="W122">
        <f>IF(AND(ISNUMBER(O122),ISNUMBER(O124)),VLOOKUP(ABS(O122-O124),'IMP Table'!$A$2:$C$26,3)*SIGN(O122-O124),"")</f>
        <v/>
      </c>
      <c r="X122">
        <f>IF(AND(ISNUMBER(O122),ISNUMBER(O125)),VLOOKUP(ABS(O122-O125),'IMP Table'!$A$2:$C$26,3)*SIGN(O122-O125),"")</f>
        <v/>
      </c>
      <c r="Y122">
        <f>IF(AND(ISNUMBER(O122),ISNUMBER(O126)),VLOOKUP(ABS(O122-O126),'IMP Table'!$A$2:$C$26,3)*SIGN(O122-O126),"")</f>
        <v/>
      </c>
      <c r="Z122">
        <f>IF(AND(ISNUMBER(O122),ISNUMBER(O127)),VLOOKUP(ABS(O122-O127),'IMP Table'!$A$2:$C$26,3)*SIGN(O122-O127),"")</f>
        <v/>
      </c>
      <c r="AA122">
        <f>IF(AND(ISNUMBER(O122),ISNUMBER(O128)),VLOOKUP(ABS(O122-O128),'IMP Table'!$A$2:$C$26,3)*SIGN(O122-O128),"")</f>
        <v/>
      </c>
    </row>
    <row r="123">
      <c r="B123">
        <f>'By Round'!A72</f>
        <v/>
      </c>
      <c r="C123">
        <f>'By Round'!B76</f>
        <v/>
      </c>
      <c r="D123">
        <f>'By Round'!C76</f>
        <v/>
      </c>
      <c r="E123">
        <f>'By Round'!D76</f>
        <v/>
      </c>
      <c r="F123" s="10" t="inlineStr">
        <is>
          <t>NS</t>
        </is>
      </c>
      <c r="G123">
        <f>'By Round'!G77</f>
        <v/>
      </c>
      <c r="H123">
        <f>'By Round'!H77</f>
        <v/>
      </c>
      <c r="I123">
        <f>'By Round'!I77</f>
        <v/>
      </c>
      <c r="J123">
        <f>'By Round'!J77</f>
        <v/>
      </c>
      <c r="K123">
        <f>'By Round'!K77</f>
        <v/>
      </c>
      <c r="L123" s="11">
        <f>IFERROR(AVERAGE(P123:U123),"")</f>
        <v/>
      </c>
      <c r="M123" s="4">
        <f>IFERROR(AVERAGE(V123:AA123),"")</f>
        <v/>
      </c>
      <c r="N123">
        <f>IF(ISNUMBER(J123),J123,IF(ISNUMBER(K123),-K123,""))</f>
        <v/>
      </c>
      <c r="O123">
        <f>IF(ISNUMBER(K123),K123,IF(ISNUMBER(J123),-J123,""))</f>
        <v/>
      </c>
      <c r="P123">
        <f>IF(AND(ISNUMBER(N123),ISNUMBER(N122)),VLOOKUP(ABS(N123-N122),'IMP Table'!$A$2:$C$26,3)*SIGN(N123-N122),"")</f>
        <v/>
      </c>
      <c r="Q123">
        <f>IF(AND(ISNUMBER(N123),ISNUMBER(N124)),VLOOKUP(ABS(N123-N124),'IMP Table'!$A$2:$C$26,3)*SIGN(N123-N124),"")</f>
        <v/>
      </c>
      <c r="R123">
        <f>IF(AND(ISNUMBER(N123),ISNUMBER(N125)),VLOOKUP(ABS(N123-N125),'IMP Table'!$A$2:$C$26,3)*SIGN(N123-N125),"")</f>
        <v/>
      </c>
      <c r="S123">
        <f>IF(AND(ISNUMBER(N123),ISNUMBER(N126)),VLOOKUP(ABS(N123-N126),'IMP Table'!$A$2:$C$26,3)*SIGN(N123-N126),"")</f>
        <v/>
      </c>
      <c r="T123">
        <f>IF(AND(ISNUMBER(N123),ISNUMBER(N127)),VLOOKUP(ABS(N123-N127),'IMP Table'!$A$2:$C$26,3)*SIGN(N123-N127),"")</f>
        <v/>
      </c>
      <c r="U123">
        <f>IF(AND(ISNUMBER(N123),ISNUMBER(N128)),VLOOKUP(ABS(N123-N128),'IMP Table'!$A$2:$C$26,3)*SIGN(N123-N128),"")</f>
        <v/>
      </c>
      <c r="V123">
        <f>IF(AND(ISNUMBER(O123),ISNUMBER(O122)),VLOOKUP(ABS(O123-O122),'IMP Table'!$A$2:$C$26,3)*SIGN(O123-O122),"")</f>
        <v/>
      </c>
      <c r="W123">
        <f>IF(AND(ISNUMBER(O123),ISNUMBER(O124)),VLOOKUP(ABS(O123-O124),'IMP Table'!$A$2:$C$26,3)*SIGN(O123-O124),"")</f>
        <v/>
      </c>
      <c r="X123">
        <f>IF(AND(ISNUMBER(O123),ISNUMBER(O125)),VLOOKUP(ABS(O123-O125),'IMP Table'!$A$2:$C$26,3)*SIGN(O123-O125),"")</f>
        <v/>
      </c>
      <c r="Y123">
        <f>IF(AND(ISNUMBER(O123),ISNUMBER(O126)),VLOOKUP(ABS(O123-O126),'IMP Table'!$A$2:$C$26,3)*SIGN(O123-O126),"")</f>
        <v/>
      </c>
      <c r="Z123">
        <f>IF(AND(ISNUMBER(O123),ISNUMBER(O127)),VLOOKUP(ABS(O123-O127),'IMP Table'!$A$2:$C$26,3)*SIGN(O123-O127),"")</f>
        <v/>
      </c>
      <c r="AA123">
        <f>IF(AND(ISNUMBER(O123),ISNUMBER(O128)),VLOOKUP(ABS(O123-O128),'IMP Table'!$A$2:$C$26,3)*SIGN(O123-O128),"")</f>
        <v/>
      </c>
    </row>
    <row r="124">
      <c r="B124">
        <f>'By Round'!A86</f>
        <v/>
      </c>
      <c r="C124">
        <f>'By Round'!B88</f>
        <v/>
      </c>
      <c r="D124">
        <f>'By Round'!C88</f>
        <v/>
      </c>
      <c r="E124">
        <f>'By Round'!D88</f>
        <v/>
      </c>
      <c r="F124" s="10" t="inlineStr">
        <is>
          <t>NS</t>
        </is>
      </c>
      <c r="G124">
        <f>'By Round'!G89</f>
        <v/>
      </c>
      <c r="H124">
        <f>'By Round'!H89</f>
        <v/>
      </c>
      <c r="I124">
        <f>'By Round'!I89</f>
        <v/>
      </c>
      <c r="J124">
        <f>'By Round'!J89</f>
        <v/>
      </c>
      <c r="K124">
        <f>'By Round'!K89</f>
        <v/>
      </c>
      <c r="L124" s="11">
        <f>IFERROR(AVERAGE(P124:U124),"")</f>
        <v/>
      </c>
      <c r="M124" s="4">
        <f>IFERROR(AVERAGE(V124:AA124),"")</f>
        <v/>
      </c>
      <c r="N124">
        <f>IF(ISNUMBER(J124),J124,IF(ISNUMBER(K124),-K124,""))</f>
        <v/>
      </c>
      <c r="O124">
        <f>IF(ISNUMBER(K124),K124,IF(ISNUMBER(J124),-J124,""))</f>
        <v/>
      </c>
      <c r="P124">
        <f>IF(AND(ISNUMBER(N124),ISNUMBER(N122)),VLOOKUP(ABS(N124-N122),'IMP Table'!$A$2:$C$26,3)*SIGN(N124-N122),"")</f>
        <v/>
      </c>
      <c r="Q124">
        <f>IF(AND(ISNUMBER(N124),ISNUMBER(N123)),VLOOKUP(ABS(N124-N123),'IMP Table'!$A$2:$C$26,3)*SIGN(N124-N123),"")</f>
        <v/>
      </c>
      <c r="R124">
        <f>IF(AND(ISNUMBER(N124),ISNUMBER(N125)),VLOOKUP(ABS(N124-N125),'IMP Table'!$A$2:$C$26,3)*SIGN(N124-N125),"")</f>
        <v/>
      </c>
      <c r="S124">
        <f>IF(AND(ISNUMBER(N124),ISNUMBER(N126)),VLOOKUP(ABS(N124-N126),'IMP Table'!$A$2:$C$26,3)*SIGN(N124-N126),"")</f>
        <v/>
      </c>
      <c r="T124">
        <f>IF(AND(ISNUMBER(N124),ISNUMBER(N127)),VLOOKUP(ABS(N124-N127),'IMP Table'!$A$2:$C$26,3)*SIGN(N124-N127),"")</f>
        <v/>
      </c>
      <c r="U124">
        <f>IF(AND(ISNUMBER(N124),ISNUMBER(N128)),VLOOKUP(ABS(N124-N128),'IMP Table'!$A$2:$C$26,3)*SIGN(N124-N128),"")</f>
        <v/>
      </c>
      <c r="V124">
        <f>IF(AND(ISNUMBER(O124),ISNUMBER(O122)),VLOOKUP(ABS(O124-O122),'IMP Table'!$A$2:$C$26,3)*SIGN(O124-O122),"")</f>
        <v/>
      </c>
      <c r="W124">
        <f>IF(AND(ISNUMBER(O124),ISNUMBER(O123)),VLOOKUP(ABS(O124-O123),'IMP Table'!$A$2:$C$26,3)*SIGN(O124-O123),"")</f>
        <v/>
      </c>
      <c r="X124">
        <f>IF(AND(ISNUMBER(O124),ISNUMBER(O125)),VLOOKUP(ABS(O124-O125),'IMP Table'!$A$2:$C$26,3)*SIGN(O124-O125),"")</f>
        <v/>
      </c>
      <c r="Y124">
        <f>IF(AND(ISNUMBER(O124),ISNUMBER(O126)),VLOOKUP(ABS(O124-O126),'IMP Table'!$A$2:$C$26,3)*SIGN(O124-O126),"")</f>
        <v/>
      </c>
      <c r="Z124">
        <f>IF(AND(ISNUMBER(O124),ISNUMBER(O127)),VLOOKUP(ABS(O124-O127),'IMP Table'!$A$2:$C$26,3)*SIGN(O124-O127),"")</f>
        <v/>
      </c>
      <c r="AA124">
        <f>IF(AND(ISNUMBER(O124),ISNUMBER(O128)),VLOOKUP(ABS(O124-O128),'IMP Table'!$A$2:$C$26,3)*SIGN(O124-O128),"")</f>
        <v/>
      </c>
    </row>
    <row r="125">
      <c r="B125">
        <f>'By Round'!A114</f>
        <v/>
      </c>
      <c r="C125">
        <f>'By Round'!B114</f>
        <v/>
      </c>
      <c r="D125">
        <f>'By Round'!C114</f>
        <v/>
      </c>
      <c r="E125">
        <f>'By Round'!D114</f>
        <v/>
      </c>
      <c r="F125" s="10" t="inlineStr">
        <is>
          <t>NS</t>
        </is>
      </c>
      <c r="G125">
        <f>'By Round'!G115</f>
        <v/>
      </c>
      <c r="H125">
        <f>'By Round'!H115</f>
        <v/>
      </c>
      <c r="I125">
        <f>'By Round'!I115</f>
        <v/>
      </c>
      <c r="J125">
        <f>'By Round'!J115</f>
        <v/>
      </c>
      <c r="K125">
        <f>'By Round'!K115</f>
        <v/>
      </c>
      <c r="L125" s="11">
        <f>IFERROR(AVERAGE(P125:U125),"")</f>
        <v/>
      </c>
      <c r="M125" s="4">
        <f>IFERROR(AVERAGE(V125:AA125),"")</f>
        <v/>
      </c>
      <c r="N125">
        <f>IF(ISNUMBER(J125),J125,IF(ISNUMBER(K125),-K125,""))</f>
        <v/>
      </c>
      <c r="O125">
        <f>IF(ISNUMBER(K125),K125,IF(ISNUMBER(J125),-J125,""))</f>
        <v/>
      </c>
      <c r="P125">
        <f>IF(AND(ISNUMBER(N125),ISNUMBER(N122)),VLOOKUP(ABS(N125-N122),'IMP Table'!$A$2:$C$26,3)*SIGN(N125-N122),"")</f>
        <v/>
      </c>
      <c r="Q125">
        <f>IF(AND(ISNUMBER(N125),ISNUMBER(N123)),VLOOKUP(ABS(N125-N123),'IMP Table'!$A$2:$C$26,3)*SIGN(N125-N123),"")</f>
        <v/>
      </c>
      <c r="R125">
        <f>IF(AND(ISNUMBER(N125),ISNUMBER(N124)),VLOOKUP(ABS(N125-N124),'IMP Table'!$A$2:$C$26,3)*SIGN(N125-N124),"")</f>
        <v/>
      </c>
      <c r="S125">
        <f>IF(AND(ISNUMBER(N125),ISNUMBER(N126)),VLOOKUP(ABS(N125-N126),'IMP Table'!$A$2:$C$26,3)*SIGN(N125-N126),"")</f>
        <v/>
      </c>
      <c r="T125">
        <f>IF(AND(ISNUMBER(N125),ISNUMBER(N127)),VLOOKUP(ABS(N125-N127),'IMP Table'!$A$2:$C$26,3)*SIGN(N125-N127),"")</f>
        <v/>
      </c>
      <c r="U125">
        <f>IF(AND(ISNUMBER(N125),ISNUMBER(N128)),VLOOKUP(ABS(N125-N128),'IMP Table'!$A$2:$C$26,3)*SIGN(N125-N128),"")</f>
        <v/>
      </c>
      <c r="V125">
        <f>IF(AND(ISNUMBER(O125),ISNUMBER(O122)),VLOOKUP(ABS(O125-O122),'IMP Table'!$A$2:$C$26,3)*SIGN(O125-O122),"")</f>
        <v/>
      </c>
      <c r="W125">
        <f>IF(AND(ISNUMBER(O125),ISNUMBER(O123)),VLOOKUP(ABS(O125-O123),'IMP Table'!$A$2:$C$26,3)*SIGN(O125-O123),"")</f>
        <v/>
      </c>
      <c r="X125">
        <f>IF(AND(ISNUMBER(O125),ISNUMBER(O124)),VLOOKUP(ABS(O125-O124),'IMP Table'!$A$2:$C$26,3)*SIGN(O125-O124),"")</f>
        <v/>
      </c>
      <c r="Y125">
        <f>IF(AND(ISNUMBER(O125),ISNUMBER(O126)),VLOOKUP(ABS(O125-O126),'IMP Table'!$A$2:$C$26,3)*SIGN(O125-O126),"")</f>
        <v/>
      </c>
      <c r="Z125">
        <f>IF(AND(ISNUMBER(O125),ISNUMBER(O127)),VLOOKUP(ABS(O125-O127),'IMP Table'!$A$2:$C$26,3)*SIGN(O125-O127),"")</f>
        <v/>
      </c>
      <c r="AA125">
        <f>IF(AND(ISNUMBER(O125),ISNUMBER(O128)),VLOOKUP(ABS(O125-O128),'IMP Table'!$A$2:$C$26,3)*SIGN(O125-O128),"")</f>
        <v/>
      </c>
    </row>
    <row r="126">
      <c r="B126">
        <f>'By Round'!A142</f>
        <v/>
      </c>
      <c r="C126">
        <f>'By Round'!B154</f>
        <v/>
      </c>
      <c r="D126">
        <f>'By Round'!C154</f>
        <v/>
      </c>
      <c r="E126">
        <f>'By Round'!D154</f>
        <v/>
      </c>
      <c r="F126" s="10" t="inlineStr">
        <is>
          <t>NS</t>
        </is>
      </c>
      <c r="G126">
        <f>'By Round'!G155</f>
        <v/>
      </c>
      <c r="H126">
        <f>'By Round'!H155</f>
        <v/>
      </c>
      <c r="I126">
        <f>'By Round'!I155</f>
        <v/>
      </c>
      <c r="J126">
        <f>'By Round'!J155</f>
        <v/>
      </c>
      <c r="K126">
        <f>'By Round'!K155</f>
        <v/>
      </c>
      <c r="L126" s="11">
        <f>IFERROR(AVERAGE(P126:U126),"")</f>
        <v/>
      </c>
      <c r="M126" s="4">
        <f>IFERROR(AVERAGE(V126:AA126),"")</f>
        <v/>
      </c>
      <c r="N126">
        <f>IF(ISNUMBER(J126),J126,IF(ISNUMBER(K126),-K126,""))</f>
        <v/>
      </c>
      <c r="O126">
        <f>IF(ISNUMBER(K126),K126,IF(ISNUMBER(J126),-J126,""))</f>
        <v/>
      </c>
      <c r="P126">
        <f>IF(AND(ISNUMBER(N126),ISNUMBER(N122)),VLOOKUP(ABS(N126-N122),'IMP Table'!$A$2:$C$26,3)*SIGN(N126-N122),"")</f>
        <v/>
      </c>
      <c r="Q126">
        <f>IF(AND(ISNUMBER(N126),ISNUMBER(N123)),VLOOKUP(ABS(N126-N123),'IMP Table'!$A$2:$C$26,3)*SIGN(N126-N123),"")</f>
        <v/>
      </c>
      <c r="R126">
        <f>IF(AND(ISNUMBER(N126),ISNUMBER(N124)),VLOOKUP(ABS(N126-N124),'IMP Table'!$A$2:$C$26,3)*SIGN(N126-N124),"")</f>
        <v/>
      </c>
      <c r="S126">
        <f>IF(AND(ISNUMBER(N126),ISNUMBER(N125)),VLOOKUP(ABS(N126-N125),'IMP Table'!$A$2:$C$26,3)*SIGN(N126-N125),"")</f>
        <v/>
      </c>
      <c r="T126">
        <f>IF(AND(ISNUMBER(N126),ISNUMBER(N127)),VLOOKUP(ABS(N126-N127),'IMP Table'!$A$2:$C$26,3)*SIGN(N126-N127),"")</f>
        <v/>
      </c>
      <c r="U126">
        <f>IF(AND(ISNUMBER(N126),ISNUMBER(N128)),VLOOKUP(ABS(N126-N128),'IMP Table'!$A$2:$C$26,3)*SIGN(N126-N128),"")</f>
        <v/>
      </c>
      <c r="V126">
        <f>IF(AND(ISNUMBER(O126),ISNUMBER(O122)),VLOOKUP(ABS(O126-O122),'IMP Table'!$A$2:$C$26,3)*SIGN(O126-O122),"")</f>
        <v/>
      </c>
      <c r="W126">
        <f>IF(AND(ISNUMBER(O126),ISNUMBER(O123)),VLOOKUP(ABS(O126-O123),'IMP Table'!$A$2:$C$26,3)*SIGN(O126-O123),"")</f>
        <v/>
      </c>
      <c r="X126">
        <f>IF(AND(ISNUMBER(O126),ISNUMBER(O124)),VLOOKUP(ABS(O126-O124),'IMP Table'!$A$2:$C$26,3)*SIGN(O126-O124),"")</f>
        <v/>
      </c>
      <c r="Y126">
        <f>IF(AND(ISNUMBER(O126),ISNUMBER(O125)),VLOOKUP(ABS(O126-O125),'IMP Table'!$A$2:$C$26,3)*SIGN(O126-O125),"")</f>
        <v/>
      </c>
      <c r="Z126">
        <f>IF(AND(ISNUMBER(O126),ISNUMBER(O127)),VLOOKUP(ABS(O126-O127),'IMP Table'!$A$2:$C$26,3)*SIGN(O126-O127),"")</f>
        <v/>
      </c>
      <c r="AA126">
        <f>IF(AND(ISNUMBER(O126),ISNUMBER(O128)),VLOOKUP(ABS(O126-O128),'IMP Table'!$A$2:$C$26,3)*SIGN(O126-O128),"")</f>
        <v/>
      </c>
    </row>
    <row r="127">
      <c r="B127">
        <f>'By Round'!A156</f>
        <v/>
      </c>
      <c r="C127">
        <f>'By Round'!B166</f>
        <v/>
      </c>
      <c r="D127">
        <f>'By Round'!C166</f>
        <v/>
      </c>
      <c r="E127">
        <f>'By Round'!D166</f>
        <v/>
      </c>
      <c r="F127" s="10" t="inlineStr">
        <is>
          <t>NS</t>
        </is>
      </c>
      <c r="G127">
        <f>'By Round'!G167</f>
        <v/>
      </c>
      <c r="H127">
        <f>'By Round'!H167</f>
        <v/>
      </c>
      <c r="I127">
        <f>'By Round'!I167</f>
        <v/>
      </c>
      <c r="J127">
        <f>'By Round'!J167</f>
        <v/>
      </c>
      <c r="K127">
        <f>'By Round'!K167</f>
        <v/>
      </c>
      <c r="L127" s="11">
        <f>IFERROR(AVERAGE(P127:U127),"")</f>
        <v/>
      </c>
      <c r="M127" s="4">
        <f>IFERROR(AVERAGE(V127:AA127),"")</f>
        <v/>
      </c>
      <c r="N127">
        <f>IF(ISNUMBER(J127),J127,IF(ISNUMBER(K127),-K127,""))</f>
        <v/>
      </c>
      <c r="O127">
        <f>IF(ISNUMBER(K127),K127,IF(ISNUMBER(J127),-J127,""))</f>
        <v/>
      </c>
      <c r="P127">
        <f>IF(AND(ISNUMBER(N127),ISNUMBER(N122)),VLOOKUP(ABS(N127-N122),'IMP Table'!$A$2:$C$26,3)*SIGN(N127-N122),"")</f>
        <v/>
      </c>
      <c r="Q127">
        <f>IF(AND(ISNUMBER(N127),ISNUMBER(N123)),VLOOKUP(ABS(N127-N123),'IMP Table'!$A$2:$C$26,3)*SIGN(N127-N123),"")</f>
        <v/>
      </c>
      <c r="R127">
        <f>IF(AND(ISNUMBER(N127),ISNUMBER(N124)),VLOOKUP(ABS(N127-N124),'IMP Table'!$A$2:$C$26,3)*SIGN(N127-N124),"")</f>
        <v/>
      </c>
      <c r="S127">
        <f>IF(AND(ISNUMBER(N127),ISNUMBER(N125)),VLOOKUP(ABS(N127-N125),'IMP Table'!$A$2:$C$26,3)*SIGN(N127-N125),"")</f>
        <v/>
      </c>
      <c r="T127">
        <f>IF(AND(ISNUMBER(N127),ISNUMBER(N126)),VLOOKUP(ABS(N127-N126),'IMP Table'!$A$2:$C$26,3)*SIGN(N127-N126),"")</f>
        <v/>
      </c>
      <c r="U127">
        <f>IF(AND(ISNUMBER(N127),ISNUMBER(N128)),VLOOKUP(ABS(N127-N128),'IMP Table'!$A$2:$C$26,3)*SIGN(N127-N128),"")</f>
        <v/>
      </c>
      <c r="V127">
        <f>IF(AND(ISNUMBER(O127),ISNUMBER(O122)),VLOOKUP(ABS(O127-O122),'IMP Table'!$A$2:$C$26,3)*SIGN(O127-O122),"")</f>
        <v/>
      </c>
      <c r="W127">
        <f>IF(AND(ISNUMBER(O127),ISNUMBER(O123)),VLOOKUP(ABS(O127-O123),'IMP Table'!$A$2:$C$26,3)*SIGN(O127-O123),"")</f>
        <v/>
      </c>
      <c r="X127">
        <f>IF(AND(ISNUMBER(O127),ISNUMBER(O124)),VLOOKUP(ABS(O127-O124),'IMP Table'!$A$2:$C$26,3)*SIGN(O127-O124),"")</f>
        <v/>
      </c>
      <c r="Y127">
        <f>IF(AND(ISNUMBER(O127),ISNUMBER(O125)),VLOOKUP(ABS(O127-O125),'IMP Table'!$A$2:$C$26,3)*SIGN(O127-O125),"")</f>
        <v/>
      </c>
      <c r="Z127">
        <f>IF(AND(ISNUMBER(O127),ISNUMBER(O126)),VLOOKUP(ABS(O127-O126),'IMP Table'!$A$2:$C$26,3)*SIGN(O127-O126),"")</f>
        <v/>
      </c>
      <c r="AA127">
        <f>IF(AND(ISNUMBER(O127),ISNUMBER(O128)),VLOOKUP(ABS(O127-O128),'IMP Table'!$A$2:$C$26,3)*SIGN(O127-O128),"")</f>
        <v/>
      </c>
    </row>
    <row r="128">
      <c r="B128">
        <f>'By Round'!A170</f>
        <v/>
      </c>
      <c r="C128">
        <f>'By Round'!B178</f>
        <v/>
      </c>
      <c r="D128">
        <f>'By Round'!C178</f>
        <v/>
      </c>
      <c r="E128">
        <f>'By Round'!D178</f>
        <v/>
      </c>
      <c r="F128" s="10" t="inlineStr">
        <is>
          <t>NS</t>
        </is>
      </c>
      <c r="G128">
        <f>'By Round'!G179</f>
        <v/>
      </c>
      <c r="H128">
        <f>'By Round'!H179</f>
        <v/>
      </c>
      <c r="I128">
        <f>'By Round'!I179</f>
        <v/>
      </c>
      <c r="J128">
        <f>'By Round'!J179</f>
        <v/>
      </c>
      <c r="K128">
        <f>'By Round'!K179</f>
        <v/>
      </c>
      <c r="L128" s="11">
        <f>IFERROR(AVERAGE(P128:U128),"")</f>
        <v/>
      </c>
      <c r="M128" s="4">
        <f>IFERROR(AVERAGE(V128:AA128),"")</f>
        <v/>
      </c>
      <c r="N128">
        <f>IF(ISNUMBER(J128),J128,IF(ISNUMBER(K128),-K128,""))</f>
        <v/>
      </c>
      <c r="O128">
        <f>IF(ISNUMBER(K128),K128,IF(ISNUMBER(J128),-J128,""))</f>
        <v/>
      </c>
      <c r="P128">
        <f>IF(AND(ISNUMBER(N128),ISNUMBER(N122)),VLOOKUP(ABS(N128-N122),'IMP Table'!$A$2:$C$26,3)*SIGN(N128-N122),"")</f>
        <v/>
      </c>
      <c r="Q128">
        <f>IF(AND(ISNUMBER(N128),ISNUMBER(N123)),VLOOKUP(ABS(N128-N123),'IMP Table'!$A$2:$C$26,3)*SIGN(N128-N123),"")</f>
        <v/>
      </c>
      <c r="R128">
        <f>IF(AND(ISNUMBER(N128),ISNUMBER(N124)),VLOOKUP(ABS(N128-N124),'IMP Table'!$A$2:$C$26,3)*SIGN(N128-N124),"")</f>
        <v/>
      </c>
      <c r="S128">
        <f>IF(AND(ISNUMBER(N128),ISNUMBER(N125)),VLOOKUP(ABS(N128-N125),'IMP Table'!$A$2:$C$26,3)*SIGN(N128-N125),"")</f>
        <v/>
      </c>
      <c r="T128">
        <f>IF(AND(ISNUMBER(N128),ISNUMBER(N126)),VLOOKUP(ABS(N128-N126),'IMP Table'!$A$2:$C$26,3)*SIGN(N128-N126),"")</f>
        <v/>
      </c>
      <c r="U128">
        <f>IF(AND(ISNUMBER(N128),ISNUMBER(N127)),VLOOKUP(ABS(N128-N127),'IMP Table'!$A$2:$C$26,3)*SIGN(N128-N127),"")</f>
        <v/>
      </c>
      <c r="V128">
        <f>IF(AND(ISNUMBER(O128),ISNUMBER(O122)),VLOOKUP(ABS(O128-O122),'IMP Table'!$A$2:$C$26,3)*SIGN(O128-O122),"")</f>
        <v/>
      </c>
      <c r="W128">
        <f>IF(AND(ISNUMBER(O128),ISNUMBER(O123)),VLOOKUP(ABS(O128-O123),'IMP Table'!$A$2:$C$26,3)*SIGN(O128-O123),"")</f>
        <v/>
      </c>
      <c r="X128">
        <f>IF(AND(ISNUMBER(O128),ISNUMBER(O124)),VLOOKUP(ABS(O128-O124),'IMP Table'!$A$2:$C$26,3)*SIGN(O128-O124),"")</f>
        <v/>
      </c>
      <c r="Y128">
        <f>IF(AND(ISNUMBER(O128),ISNUMBER(O125)),VLOOKUP(ABS(O128-O125),'IMP Table'!$A$2:$C$26,3)*SIGN(O128-O125),"")</f>
        <v/>
      </c>
      <c r="Z128">
        <f>IF(AND(ISNUMBER(O128),ISNUMBER(O126)),VLOOKUP(ABS(O128-O126),'IMP Table'!$A$2:$C$26,3)*SIGN(O128-O126),"")</f>
        <v/>
      </c>
      <c r="AA128">
        <f>IF(AND(ISNUMBER(O128),ISNUMBER(O127)),VLOOKUP(ABS(O128-O127),'IMP Table'!$A$2:$C$26,3)*SIGN(O128-O127),"")</f>
        <v/>
      </c>
    </row>
    <row r="129">
      <c r="A129" t="n">
        <v>19</v>
      </c>
      <c r="B129">
        <f>'By Round'!A2</f>
        <v/>
      </c>
      <c r="C129">
        <f>'By Round'!B10</f>
        <v/>
      </c>
      <c r="D129">
        <f>'By Round'!C10</f>
        <v/>
      </c>
      <c r="E129">
        <f>'By Round'!D10</f>
        <v/>
      </c>
      <c r="F129" s="10" t="inlineStr">
        <is>
          <t>EW</t>
        </is>
      </c>
      <c r="G129">
        <f>'By Round'!G10</f>
        <v/>
      </c>
      <c r="H129">
        <f>'By Round'!H10</f>
        <v/>
      </c>
      <c r="I129">
        <f>'By Round'!I10</f>
        <v/>
      </c>
      <c r="J129">
        <f>'By Round'!J10</f>
        <v/>
      </c>
      <c r="K129">
        <f>'By Round'!K10</f>
        <v/>
      </c>
      <c r="L129" s="11">
        <f>IFERROR(AVERAGE(P129:U129),"")</f>
        <v/>
      </c>
      <c r="M129" s="4">
        <f>IFERROR(AVERAGE(V129:AA129),"")</f>
        <v/>
      </c>
      <c r="N129">
        <f>IF(ISNUMBER(J129),J129,IF(ISNUMBER(K129),-K129,""))</f>
        <v/>
      </c>
      <c r="O129">
        <f>IF(ISNUMBER(K129),K129,IF(ISNUMBER(J129),-J129,""))</f>
        <v/>
      </c>
      <c r="P129">
        <f>IF(AND(ISNUMBER(N129),ISNUMBER(N130)),VLOOKUP(ABS(N129-N130),'IMP Table'!$A$2:$C$26,3)*SIGN(N129-N130),"")</f>
        <v/>
      </c>
      <c r="Q129">
        <f>IF(AND(ISNUMBER(N129),ISNUMBER(N131)),VLOOKUP(ABS(N129-N131),'IMP Table'!$A$2:$C$26,3)*SIGN(N129-N131),"")</f>
        <v/>
      </c>
      <c r="R129">
        <f>IF(AND(ISNUMBER(N129),ISNUMBER(N132)),VLOOKUP(ABS(N129-N132),'IMP Table'!$A$2:$C$26,3)*SIGN(N129-N132),"")</f>
        <v/>
      </c>
      <c r="S129">
        <f>IF(AND(ISNUMBER(N129),ISNUMBER(N133)),VLOOKUP(ABS(N129-N133),'IMP Table'!$A$2:$C$26,3)*SIGN(N129-N133),"")</f>
        <v/>
      </c>
      <c r="T129">
        <f>IF(AND(ISNUMBER(N129),ISNUMBER(N134)),VLOOKUP(ABS(N129-N134),'IMP Table'!$A$2:$C$26,3)*SIGN(N129-N134),"")</f>
        <v/>
      </c>
      <c r="U129">
        <f>IF(AND(ISNUMBER(N129),ISNUMBER(N135)),VLOOKUP(ABS(N129-N135),'IMP Table'!$A$2:$C$26,3)*SIGN(N129-N135),"")</f>
        <v/>
      </c>
      <c r="V129">
        <f>IF(AND(ISNUMBER(O129),ISNUMBER(O130)),VLOOKUP(ABS(O129-O130),'IMP Table'!$A$2:$C$26,3)*SIGN(O129-O130),"")</f>
        <v/>
      </c>
      <c r="W129">
        <f>IF(AND(ISNUMBER(O129),ISNUMBER(O131)),VLOOKUP(ABS(O129-O131),'IMP Table'!$A$2:$C$26,3)*SIGN(O129-O131),"")</f>
        <v/>
      </c>
      <c r="X129">
        <f>IF(AND(ISNUMBER(O129),ISNUMBER(O132)),VLOOKUP(ABS(O129-O132),'IMP Table'!$A$2:$C$26,3)*SIGN(O129-O132),"")</f>
        <v/>
      </c>
      <c r="Y129">
        <f>IF(AND(ISNUMBER(O129),ISNUMBER(O133)),VLOOKUP(ABS(O129-O133),'IMP Table'!$A$2:$C$26,3)*SIGN(O129-O133),"")</f>
        <v/>
      </c>
      <c r="Z129">
        <f>IF(AND(ISNUMBER(O129),ISNUMBER(O134)),VLOOKUP(ABS(O129-O134),'IMP Table'!$A$2:$C$26,3)*SIGN(O129-O134),"")</f>
        <v/>
      </c>
      <c r="AA129">
        <f>IF(AND(ISNUMBER(O129),ISNUMBER(O135)),VLOOKUP(ABS(O129-O135),'IMP Table'!$A$2:$C$26,3)*SIGN(O129-O135),"")</f>
        <v/>
      </c>
    </row>
    <row r="130">
      <c r="B130">
        <f>'By Round'!A72</f>
        <v/>
      </c>
      <c r="C130">
        <f>'By Round'!B78</f>
        <v/>
      </c>
      <c r="D130">
        <f>'By Round'!C78</f>
        <v/>
      </c>
      <c r="E130">
        <f>'By Round'!D78</f>
        <v/>
      </c>
      <c r="F130" s="10" t="inlineStr">
        <is>
          <t>EW</t>
        </is>
      </c>
      <c r="G130">
        <f>'By Round'!G78</f>
        <v/>
      </c>
      <c r="H130">
        <f>'By Round'!H78</f>
        <v/>
      </c>
      <c r="I130">
        <f>'By Round'!I78</f>
        <v/>
      </c>
      <c r="J130">
        <f>'By Round'!J78</f>
        <v/>
      </c>
      <c r="K130">
        <f>'By Round'!K78</f>
        <v/>
      </c>
      <c r="L130" s="11">
        <f>IFERROR(AVERAGE(P130:U130),"")</f>
        <v/>
      </c>
      <c r="M130" s="4">
        <f>IFERROR(AVERAGE(V130:AA130),"")</f>
        <v/>
      </c>
      <c r="N130">
        <f>IF(ISNUMBER(J130),J130,IF(ISNUMBER(K130),-K130,""))</f>
        <v/>
      </c>
      <c r="O130">
        <f>IF(ISNUMBER(K130),K130,IF(ISNUMBER(J130),-J130,""))</f>
        <v/>
      </c>
      <c r="P130">
        <f>IF(AND(ISNUMBER(N130),ISNUMBER(N129)),VLOOKUP(ABS(N130-N129),'IMP Table'!$A$2:$C$26,3)*SIGN(N130-N129),"")</f>
        <v/>
      </c>
      <c r="Q130">
        <f>IF(AND(ISNUMBER(N130),ISNUMBER(N131)),VLOOKUP(ABS(N130-N131),'IMP Table'!$A$2:$C$26,3)*SIGN(N130-N131),"")</f>
        <v/>
      </c>
      <c r="R130">
        <f>IF(AND(ISNUMBER(N130),ISNUMBER(N132)),VLOOKUP(ABS(N130-N132),'IMP Table'!$A$2:$C$26,3)*SIGN(N130-N132),"")</f>
        <v/>
      </c>
      <c r="S130">
        <f>IF(AND(ISNUMBER(N130),ISNUMBER(N133)),VLOOKUP(ABS(N130-N133),'IMP Table'!$A$2:$C$26,3)*SIGN(N130-N133),"")</f>
        <v/>
      </c>
      <c r="T130">
        <f>IF(AND(ISNUMBER(N130),ISNUMBER(N134)),VLOOKUP(ABS(N130-N134),'IMP Table'!$A$2:$C$26,3)*SIGN(N130-N134),"")</f>
        <v/>
      </c>
      <c r="U130">
        <f>IF(AND(ISNUMBER(N130),ISNUMBER(N135)),VLOOKUP(ABS(N130-N135),'IMP Table'!$A$2:$C$26,3)*SIGN(N130-N135),"")</f>
        <v/>
      </c>
      <c r="V130">
        <f>IF(AND(ISNUMBER(O130),ISNUMBER(O129)),VLOOKUP(ABS(O130-O129),'IMP Table'!$A$2:$C$26,3)*SIGN(O130-O129),"")</f>
        <v/>
      </c>
      <c r="W130">
        <f>IF(AND(ISNUMBER(O130),ISNUMBER(O131)),VLOOKUP(ABS(O130-O131),'IMP Table'!$A$2:$C$26,3)*SIGN(O130-O131),"")</f>
        <v/>
      </c>
      <c r="X130">
        <f>IF(AND(ISNUMBER(O130),ISNUMBER(O132)),VLOOKUP(ABS(O130-O132),'IMP Table'!$A$2:$C$26,3)*SIGN(O130-O132),"")</f>
        <v/>
      </c>
      <c r="Y130">
        <f>IF(AND(ISNUMBER(O130),ISNUMBER(O133)),VLOOKUP(ABS(O130-O133),'IMP Table'!$A$2:$C$26,3)*SIGN(O130-O133),"")</f>
        <v/>
      </c>
      <c r="Z130">
        <f>IF(AND(ISNUMBER(O130),ISNUMBER(O134)),VLOOKUP(ABS(O130-O134),'IMP Table'!$A$2:$C$26,3)*SIGN(O130-O134),"")</f>
        <v/>
      </c>
      <c r="AA130">
        <f>IF(AND(ISNUMBER(O130),ISNUMBER(O135)),VLOOKUP(ABS(O130-O135),'IMP Table'!$A$2:$C$26,3)*SIGN(O130-O135),"")</f>
        <v/>
      </c>
    </row>
    <row r="131">
      <c r="B131">
        <f>'By Round'!A86</f>
        <v/>
      </c>
      <c r="C131">
        <f>'By Round'!B90</f>
        <v/>
      </c>
      <c r="D131">
        <f>'By Round'!C90</f>
        <v/>
      </c>
      <c r="E131">
        <f>'By Round'!D90</f>
        <v/>
      </c>
      <c r="F131" s="10" t="inlineStr">
        <is>
          <t>EW</t>
        </is>
      </c>
      <c r="G131">
        <f>'By Round'!G90</f>
        <v/>
      </c>
      <c r="H131">
        <f>'By Round'!H90</f>
        <v/>
      </c>
      <c r="I131">
        <f>'By Round'!I90</f>
        <v/>
      </c>
      <c r="J131">
        <f>'By Round'!J90</f>
        <v/>
      </c>
      <c r="K131">
        <f>'By Round'!K90</f>
        <v/>
      </c>
      <c r="L131" s="11">
        <f>IFERROR(AVERAGE(P131:U131),"")</f>
        <v/>
      </c>
      <c r="M131" s="4">
        <f>IFERROR(AVERAGE(V131:AA131),"")</f>
        <v/>
      </c>
      <c r="N131">
        <f>IF(ISNUMBER(J131),J131,IF(ISNUMBER(K131),-K131,""))</f>
        <v/>
      </c>
      <c r="O131">
        <f>IF(ISNUMBER(K131),K131,IF(ISNUMBER(J131),-J131,""))</f>
        <v/>
      </c>
      <c r="P131">
        <f>IF(AND(ISNUMBER(N131),ISNUMBER(N129)),VLOOKUP(ABS(N131-N129),'IMP Table'!$A$2:$C$26,3)*SIGN(N131-N129),"")</f>
        <v/>
      </c>
      <c r="Q131">
        <f>IF(AND(ISNUMBER(N131),ISNUMBER(N130)),VLOOKUP(ABS(N131-N130),'IMP Table'!$A$2:$C$26,3)*SIGN(N131-N130),"")</f>
        <v/>
      </c>
      <c r="R131">
        <f>IF(AND(ISNUMBER(N131),ISNUMBER(N132)),VLOOKUP(ABS(N131-N132),'IMP Table'!$A$2:$C$26,3)*SIGN(N131-N132),"")</f>
        <v/>
      </c>
      <c r="S131">
        <f>IF(AND(ISNUMBER(N131),ISNUMBER(N133)),VLOOKUP(ABS(N131-N133),'IMP Table'!$A$2:$C$26,3)*SIGN(N131-N133),"")</f>
        <v/>
      </c>
      <c r="T131">
        <f>IF(AND(ISNUMBER(N131),ISNUMBER(N134)),VLOOKUP(ABS(N131-N134),'IMP Table'!$A$2:$C$26,3)*SIGN(N131-N134),"")</f>
        <v/>
      </c>
      <c r="U131">
        <f>IF(AND(ISNUMBER(N131),ISNUMBER(N135)),VLOOKUP(ABS(N131-N135),'IMP Table'!$A$2:$C$26,3)*SIGN(N131-N135),"")</f>
        <v/>
      </c>
      <c r="V131">
        <f>IF(AND(ISNUMBER(O131),ISNUMBER(O129)),VLOOKUP(ABS(O131-O129),'IMP Table'!$A$2:$C$26,3)*SIGN(O131-O129),"")</f>
        <v/>
      </c>
      <c r="W131">
        <f>IF(AND(ISNUMBER(O131),ISNUMBER(O130)),VLOOKUP(ABS(O131-O130),'IMP Table'!$A$2:$C$26,3)*SIGN(O131-O130),"")</f>
        <v/>
      </c>
      <c r="X131">
        <f>IF(AND(ISNUMBER(O131),ISNUMBER(O132)),VLOOKUP(ABS(O131-O132),'IMP Table'!$A$2:$C$26,3)*SIGN(O131-O132),"")</f>
        <v/>
      </c>
      <c r="Y131">
        <f>IF(AND(ISNUMBER(O131),ISNUMBER(O133)),VLOOKUP(ABS(O131-O133),'IMP Table'!$A$2:$C$26,3)*SIGN(O131-O133),"")</f>
        <v/>
      </c>
      <c r="Z131">
        <f>IF(AND(ISNUMBER(O131),ISNUMBER(O134)),VLOOKUP(ABS(O131-O134),'IMP Table'!$A$2:$C$26,3)*SIGN(O131-O134),"")</f>
        <v/>
      </c>
      <c r="AA131">
        <f>IF(AND(ISNUMBER(O131),ISNUMBER(O135)),VLOOKUP(ABS(O131-O135),'IMP Table'!$A$2:$C$26,3)*SIGN(O131-O135),"")</f>
        <v/>
      </c>
    </row>
    <row r="132">
      <c r="B132">
        <f>'By Round'!A100</f>
        <v/>
      </c>
      <c r="C132">
        <f>'By Round'!B102</f>
        <v/>
      </c>
      <c r="D132">
        <f>'By Round'!C102</f>
        <v/>
      </c>
      <c r="E132">
        <f>'By Round'!D102</f>
        <v/>
      </c>
      <c r="F132" s="10" t="inlineStr">
        <is>
          <t>EW</t>
        </is>
      </c>
      <c r="G132">
        <f>'By Round'!G102</f>
        <v/>
      </c>
      <c r="H132">
        <f>'By Round'!H102</f>
        <v/>
      </c>
      <c r="I132">
        <f>'By Round'!I102</f>
        <v/>
      </c>
      <c r="J132">
        <f>'By Round'!J102</f>
        <v/>
      </c>
      <c r="K132">
        <f>'By Round'!K102</f>
        <v/>
      </c>
      <c r="L132" s="11">
        <f>IFERROR(AVERAGE(P132:U132),"")</f>
        <v/>
      </c>
      <c r="M132" s="4">
        <f>IFERROR(AVERAGE(V132:AA132),"")</f>
        <v/>
      </c>
      <c r="N132">
        <f>IF(ISNUMBER(J132),J132,IF(ISNUMBER(K132),-K132,""))</f>
        <v/>
      </c>
      <c r="O132">
        <f>IF(ISNUMBER(K132),K132,IF(ISNUMBER(J132),-J132,""))</f>
        <v/>
      </c>
      <c r="P132">
        <f>IF(AND(ISNUMBER(N132),ISNUMBER(N129)),VLOOKUP(ABS(N132-N129),'IMP Table'!$A$2:$C$26,3)*SIGN(N132-N129),"")</f>
        <v/>
      </c>
      <c r="Q132">
        <f>IF(AND(ISNUMBER(N132),ISNUMBER(N130)),VLOOKUP(ABS(N132-N130),'IMP Table'!$A$2:$C$26,3)*SIGN(N132-N130),"")</f>
        <v/>
      </c>
      <c r="R132">
        <f>IF(AND(ISNUMBER(N132),ISNUMBER(N131)),VLOOKUP(ABS(N132-N131),'IMP Table'!$A$2:$C$26,3)*SIGN(N132-N131),"")</f>
        <v/>
      </c>
      <c r="S132">
        <f>IF(AND(ISNUMBER(N132),ISNUMBER(N133)),VLOOKUP(ABS(N132-N133),'IMP Table'!$A$2:$C$26,3)*SIGN(N132-N133),"")</f>
        <v/>
      </c>
      <c r="T132">
        <f>IF(AND(ISNUMBER(N132),ISNUMBER(N134)),VLOOKUP(ABS(N132-N134),'IMP Table'!$A$2:$C$26,3)*SIGN(N132-N134),"")</f>
        <v/>
      </c>
      <c r="U132">
        <f>IF(AND(ISNUMBER(N132),ISNUMBER(N135)),VLOOKUP(ABS(N132-N135),'IMP Table'!$A$2:$C$26,3)*SIGN(N132-N135),"")</f>
        <v/>
      </c>
      <c r="V132">
        <f>IF(AND(ISNUMBER(O132),ISNUMBER(O129)),VLOOKUP(ABS(O132-O129),'IMP Table'!$A$2:$C$26,3)*SIGN(O132-O129),"")</f>
        <v/>
      </c>
      <c r="W132">
        <f>IF(AND(ISNUMBER(O132),ISNUMBER(O130)),VLOOKUP(ABS(O132-O130),'IMP Table'!$A$2:$C$26,3)*SIGN(O132-O130),"")</f>
        <v/>
      </c>
      <c r="X132">
        <f>IF(AND(ISNUMBER(O132),ISNUMBER(O131)),VLOOKUP(ABS(O132-O131),'IMP Table'!$A$2:$C$26,3)*SIGN(O132-O131),"")</f>
        <v/>
      </c>
      <c r="Y132">
        <f>IF(AND(ISNUMBER(O132),ISNUMBER(O133)),VLOOKUP(ABS(O132-O133),'IMP Table'!$A$2:$C$26,3)*SIGN(O132-O133),"")</f>
        <v/>
      </c>
      <c r="Z132">
        <f>IF(AND(ISNUMBER(O132),ISNUMBER(O134)),VLOOKUP(ABS(O132-O134),'IMP Table'!$A$2:$C$26,3)*SIGN(O132-O134),"")</f>
        <v/>
      </c>
      <c r="AA132">
        <f>IF(AND(ISNUMBER(O132),ISNUMBER(O135)),VLOOKUP(ABS(O132-O135),'IMP Table'!$A$2:$C$26,3)*SIGN(O132-O135),"")</f>
        <v/>
      </c>
    </row>
    <row r="133">
      <c r="B133">
        <f>'By Round'!A128</f>
        <v/>
      </c>
      <c r="C133">
        <f>'By Round'!B128</f>
        <v/>
      </c>
      <c r="D133">
        <f>'By Round'!C128</f>
        <v/>
      </c>
      <c r="E133">
        <f>'By Round'!D128</f>
        <v/>
      </c>
      <c r="F133" s="10" t="inlineStr">
        <is>
          <t>EW</t>
        </is>
      </c>
      <c r="G133">
        <f>'By Round'!G128</f>
        <v/>
      </c>
      <c r="H133">
        <f>'By Round'!H128</f>
        <v/>
      </c>
      <c r="I133">
        <f>'By Round'!I128</f>
        <v/>
      </c>
      <c r="J133">
        <f>'By Round'!J128</f>
        <v/>
      </c>
      <c r="K133">
        <f>'By Round'!K128</f>
        <v/>
      </c>
      <c r="L133" s="11">
        <f>IFERROR(AVERAGE(P133:U133),"")</f>
        <v/>
      </c>
      <c r="M133" s="4">
        <f>IFERROR(AVERAGE(V133:AA133),"")</f>
        <v/>
      </c>
      <c r="N133">
        <f>IF(ISNUMBER(J133),J133,IF(ISNUMBER(K133),-K133,""))</f>
        <v/>
      </c>
      <c r="O133">
        <f>IF(ISNUMBER(K133),K133,IF(ISNUMBER(J133),-J133,""))</f>
        <v/>
      </c>
      <c r="P133">
        <f>IF(AND(ISNUMBER(N133),ISNUMBER(N129)),VLOOKUP(ABS(N133-N129),'IMP Table'!$A$2:$C$26,3)*SIGN(N133-N129),"")</f>
        <v/>
      </c>
      <c r="Q133">
        <f>IF(AND(ISNUMBER(N133),ISNUMBER(N130)),VLOOKUP(ABS(N133-N130),'IMP Table'!$A$2:$C$26,3)*SIGN(N133-N130),"")</f>
        <v/>
      </c>
      <c r="R133">
        <f>IF(AND(ISNUMBER(N133),ISNUMBER(N131)),VLOOKUP(ABS(N133-N131),'IMP Table'!$A$2:$C$26,3)*SIGN(N133-N131),"")</f>
        <v/>
      </c>
      <c r="S133">
        <f>IF(AND(ISNUMBER(N133),ISNUMBER(N132)),VLOOKUP(ABS(N133-N132),'IMP Table'!$A$2:$C$26,3)*SIGN(N133-N132),"")</f>
        <v/>
      </c>
      <c r="T133">
        <f>IF(AND(ISNUMBER(N133),ISNUMBER(N134)),VLOOKUP(ABS(N133-N134),'IMP Table'!$A$2:$C$26,3)*SIGN(N133-N134),"")</f>
        <v/>
      </c>
      <c r="U133">
        <f>IF(AND(ISNUMBER(N133),ISNUMBER(N135)),VLOOKUP(ABS(N133-N135),'IMP Table'!$A$2:$C$26,3)*SIGN(N133-N135),"")</f>
        <v/>
      </c>
      <c r="V133">
        <f>IF(AND(ISNUMBER(O133),ISNUMBER(O129)),VLOOKUP(ABS(O133-O129),'IMP Table'!$A$2:$C$26,3)*SIGN(O133-O129),"")</f>
        <v/>
      </c>
      <c r="W133">
        <f>IF(AND(ISNUMBER(O133),ISNUMBER(O130)),VLOOKUP(ABS(O133-O130),'IMP Table'!$A$2:$C$26,3)*SIGN(O133-O130),"")</f>
        <v/>
      </c>
      <c r="X133">
        <f>IF(AND(ISNUMBER(O133),ISNUMBER(O131)),VLOOKUP(ABS(O133-O131),'IMP Table'!$A$2:$C$26,3)*SIGN(O133-O131),"")</f>
        <v/>
      </c>
      <c r="Y133">
        <f>IF(AND(ISNUMBER(O133),ISNUMBER(O132)),VLOOKUP(ABS(O133-O132),'IMP Table'!$A$2:$C$26,3)*SIGN(O133-O132),"")</f>
        <v/>
      </c>
      <c r="Z133">
        <f>IF(AND(ISNUMBER(O133),ISNUMBER(O134)),VLOOKUP(ABS(O133-O134),'IMP Table'!$A$2:$C$26,3)*SIGN(O133-O134),"")</f>
        <v/>
      </c>
      <c r="AA133">
        <f>IF(AND(ISNUMBER(O133),ISNUMBER(O135)),VLOOKUP(ABS(O133-O135),'IMP Table'!$A$2:$C$26,3)*SIGN(O133-O135),"")</f>
        <v/>
      </c>
    </row>
    <row r="134">
      <c r="B134">
        <f>'By Round'!A156</f>
        <v/>
      </c>
      <c r="C134">
        <f>'By Round'!B168</f>
        <v/>
      </c>
      <c r="D134">
        <f>'By Round'!C168</f>
        <v/>
      </c>
      <c r="E134">
        <f>'By Round'!D168</f>
        <v/>
      </c>
      <c r="F134" s="10" t="inlineStr">
        <is>
          <t>EW</t>
        </is>
      </c>
      <c r="G134">
        <f>'By Round'!G168</f>
        <v/>
      </c>
      <c r="H134">
        <f>'By Round'!H168</f>
        <v/>
      </c>
      <c r="I134">
        <f>'By Round'!I168</f>
        <v/>
      </c>
      <c r="J134">
        <f>'By Round'!J168</f>
        <v/>
      </c>
      <c r="K134">
        <f>'By Round'!K168</f>
        <v/>
      </c>
      <c r="L134" s="11">
        <f>IFERROR(AVERAGE(P134:U134),"")</f>
        <v/>
      </c>
      <c r="M134" s="4">
        <f>IFERROR(AVERAGE(V134:AA134),"")</f>
        <v/>
      </c>
      <c r="N134">
        <f>IF(ISNUMBER(J134),J134,IF(ISNUMBER(K134),-K134,""))</f>
        <v/>
      </c>
      <c r="O134">
        <f>IF(ISNUMBER(K134),K134,IF(ISNUMBER(J134),-J134,""))</f>
        <v/>
      </c>
      <c r="P134">
        <f>IF(AND(ISNUMBER(N134),ISNUMBER(N129)),VLOOKUP(ABS(N134-N129),'IMP Table'!$A$2:$C$26,3)*SIGN(N134-N129),"")</f>
        <v/>
      </c>
      <c r="Q134">
        <f>IF(AND(ISNUMBER(N134),ISNUMBER(N130)),VLOOKUP(ABS(N134-N130),'IMP Table'!$A$2:$C$26,3)*SIGN(N134-N130),"")</f>
        <v/>
      </c>
      <c r="R134">
        <f>IF(AND(ISNUMBER(N134),ISNUMBER(N131)),VLOOKUP(ABS(N134-N131),'IMP Table'!$A$2:$C$26,3)*SIGN(N134-N131),"")</f>
        <v/>
      </c>
      <c r="S134">
        <f>IF(AND(ISNUMBER(N134),ISNUMBER(N132)),VLOOKUP(ABS(N134-N132),'IMP Table'!$A$2:$C$26,3)*SIGN(N134-N132),"")</f>
        <v/>
      </c>
      <c r="T134">
        <f>IF(AND(ISNUMBER(N134),ISNUMBER(N133)),VLOOKUP(ABS(N134-N133),'IMP Table'!$A$2:$C$26,3)*SIGN(N134-N133),"")</f>
        <v/>
      </c>
      <c r="U134">
        <f>IF(AND(ISNUMBER(N134),ISNUMBER(N135)),VLOOKUP(ABS(N134-N135),'IMP Table'!$A$2:$C$26,3)*SIGN(N134-N135),"")</f>
        <v/>
      </c>
      <c r="V134">
        <f>IF(AND(ISNUMBER(O134),ISNUMBER(O129)),VLOOKUP(ABS(O134-O129),'IMP Table'!$A$2:$C$26,3)*SIGN(O134-O129),"")</f>
        <v/>
      </c>
      <c r="W134">
        <f>IF(AND(ISNUMBER(O134),ISNUMBER(O130)),VLOOKUP(ABS(O134-O130),'IMP Table'!$A$2:$C$26,3)*SIGN(O134-O130),"")</f>
        <v/>
      </c>
      <c r="X134">
        <f>IF(AND(ISNUMBER(O134),ISNUMBER(O131)),VLOOKUP(ABS(O134-O131),'IMP Table'!$A$2:$C$26,3)*SIGN(O134-O131),"")</f>
        <v/>
      </c>
      <c r="Y134">
        <f>IF(AND(ISNUMBER(O134),ISNUMBER(O132)),VLOOKUP(ABS(O134-O132),'IMP Table'!$A$2:$C$26,3)*SIGN(O134-O132),"")</f>
        <v/>
      </c>
      <c r="Z134">
        <f>IF(AND(ISNUMBER(O134),ISNUMBER(O133)),VLOOKUP(ABS(O134-O133),'IMP Table'!$A$2:$C$26,3)*SIGN(O134-O133),"")</f>
        <v/>
      </c>
      <c r="AA134">
        <f>IF(AND(ISNUMBER(O134),ISNUMBER(O135)),VLOOKUP(ABS(O134-O135),'IMP Table'!$A$2:$C$26,3)*SIGN(O134-O135),"")</f>
        <v/>
      </c>
    </row>
    <row r="135">
      <c r="B135">
        <f>'By Round'!A170</f>
        <v/>
      </c>
      <c r="C135">
        <f>'By Round'!B180</f>
        <v/>
      </c>
      <c r="D135">
        <f>'By Round'!C180</f>
        <v/>
      </c>
      <c r="E135">
        <f>'By Round'!D180</f>
        <v/>
      </c>
      <c r="F135" s="10" t="inlineStr">
        <is>
          <t>EW</t>
        </is>
      </c>
      <c r="G135">
        <f>'By Round'!G180</f>
        <v/>
      </c>
      <c r="H135">
        <f>'By Round'!H180</f>
        <v/>
      </c>
      <c r="I135">
        <f>'By Round'!I180</f>
        <v/>
      </c>
      <c r="J135">
        <f>'By Round'!J180</f>
        <v/>
      </c>
      <c r="K135">
        <f>'By Round'!K180</f>
        <v/>
      </c>
      <c r="L135" s="11">
        <f>IFERROR(AVERAGE(P135:U135),"")</f>
        <v/>
      </c>
      <c r="M135" s="4">
        <f>IFERROR(AVERAGE(V135:AA135),"")</f>
        <v/>
      </c>
      <c r="N135">
        <f>IF(ISNUMBER(J135),J135,IF(ISNUMBER(K135),-K135,""))</f>
        <v/>
      </c>
      <c r="O135">
        <f>IF(ISNUMBER(K135),K135,IF(ISNUMBER(J135),-J135,""))</f>
        <v/>
      </c>
      <c r="P135">
        <f>IF(AND(ISNUMBER(N135),ISNUMBER(N129)),VLOOKUP(ABS(N135-N129),'IMP Table'!$A$2:$C$26,3)*SIGN(N135-N129),"")</f>
        <v/>
      </c>
      <c r="Q135">
        <f>IF(AND(ISNUMBER(N135),ISNUMBER(N130)),VLOOKUP(ABS(N135-N130),'IMP Table'!$A$2:$C$26,3)*SIGN(N135-N130),"")</f>
        <v/>
      </c>
      <c r="R135">
        <f>IF(AND(ISNUMBER(N135),ISNUMBER(N131)),VLOOKUP(ABS(N135-N131),'IMP Table'!$A$2:$C$26,3)*SIGN(N135-N131),"")</f>
        <v/>
      </c>
      <c r="S135">
        <f>IF(AND(ISNUMBER(N135),ISNUMBER(N132)),VLOOKUP(ABS(N135-N132),'IMP Table'!$A$2:$C$26,3)*SIGN(N135-N132),"")</f>
        <v/>
      </c>
      <c r="T135">
        <f>IF(AND(ISNUMBER(N135),ISNUMBER(N133)),VLOOKUP(ABS(N135-N133),'IMP Table'!$A$2:$C$26,3)*SIGN(N135-N133),"")</f>
        <v/>
      </c>
      <c r="U135">
        <f>IF(AND(ISNUMBER(N135),ISNUMBER(N134)),VLOOKUP(ABS(N135-N134),'IMP Table'!$A$2:$C$26,3)*SIGN(N135-N134),"")</f>
        <v/>
      </c>
      <c r="V135">
        <f>IF(AND(ISNUMBER(O135),ISNUMBER(O129)),VLOOKUP(ABS(O135-O129),'IMP Table'!$A$2:$C$26,3)*SIGN(O135-O129),"")</f>
        <v/>
      </c>
      <c r="W135">
        <f>IF(AND(ISNUMBER(O135),ISNUMBER(O130)),VLOOKUP(ABS(O135-O130),'IMP Table'!$A$2:$C$26,3)*SIGN(O135-O130),"")</f>
        <v/>
      </c>
      <c r="X135">
        <f>IF(AND(ISNUMBER(O135),ISNUMBER(O131)),VLOOKUP(ABS(O135-O131),'IMP Table'!$A$2:$C$26,3)*SIGN(O135-O131),"")</f>
        <v/>
      </c>
      <c r="Y135">
        <f>IF(AND(ISNUMBER(O135),ISNUMBER(O132)),VLOOKUP(ABS(O135-O132),'IMP Table'!$A$2:$C$26,3)*SIGN(O135-O132),"")</f>
        <v/>
      </c>
      <c r="Z135">
        <f>IF(AND(ISNUMBER(O135),ISNUMBER(O133)),VLOOKUP(ABS(O135-O133),'IMP Table'!$A$2:$C$26,3)*SIGN(O135-O133),"")</f>
        <v/>
      </c>
      <c r="AA135">
        <f>IF(AND(ISNUMBER(O135),ISNUMBER(O134)),VLOOKUP(ABS(O135-O134),'IMP Table'!$A$2:$C$26,3)*SIGN(O135-O134),"")</f>
        <v/>
      </c>
    </row>
    <row r="136">
      <c r="A136" t="n">
        <v>20</v>
      </c>
      <c r="B136">
        <f>'By Round'!A2</f>
        <v/>
      </c>
      <c r="C136">
        <f>'By Round'!B10</f>
        <v/>
      </c>
      <c r="D136">
        <f>'By Round'!C10</f>
        <v/>
      </c>
      <c r="E136">
        <f>'By Round'!D10</f>
        <v/>
      </c>
      <c r="F136" s="10" t="inlineStr">
        <is>
          <t>Both</t>
        </is>
      </c>
      <c r="G136">
        <f>'By Round'!G11</f>
        <v/>
      </c>
      <c r="H136">
        <f>'By Round'!H11</f>
        <v/>
      </c>
      <c r="I136">
        <f>'By Round'!I11</f>
        <v/>
      </c>
      <c r="J136">
        <f>'By Round'!J11</f>
        <v/>
      </c>
      <c r="K136">
        <f>'By Round'!K11</f>
        <v/>
      </c>
      <c r="L136" s="11">
        <f>IFERROR(AVERAGE(P136:U136),"")</f>
        <v/>
      </c>
      <c r="M136" s="4">
        <f>IFERROR(AVERAGE(V136:AA136),"")</f>
        <v/>
      </c>
      <c r="N136">
        <f>IF(ISNUMBER(J136),J136,IF(ISNUMBER(K136),-K136,""))</f>
        <v/>
      </c>
      <c r="O136">
        <f>IF(ISNUMBER(K136),K136,IF(ISNUMBER(J136),-J136,""))</f>
        <v/>
      </c>
      <c r="P136">
        <f>IF(AND(ISNUMBER(N136),ISNUMBER(N137)),VLOOKUP(ABS(N136-N137),'IMP Table'!$A$2:$C$26,3)*SIGN(N136-N137),"")</f>
        <v/>
      </c>
      <c r="Q136">
        <f>IF(AND(ISNUMBER(N136),ISNUMBER(N138)),VLOOKUP(ABS(N136-N138),'IMP Table'!$A$2:$C$26,3)*SIGN(N136-N138),"")</f>
        <v/>
      </c>
      <c r="R136">
        <f>IF(AND(ISNUMBER(N136),ISNUMBER(N139)),VLOOKUP(ABS(N136-N139),'IMP Table'!$A$2:$C$26,3)*SIGN(N136-N139),"")</f>
        <v/>
      </c>
      <c r="S136">
        <f>IF(AND(ISNUMBER(N136),ISNUMBER(N140)),VLOOKUP(ABS(N136-N140),'IMP Table'!$A$2:$C$26,3)*SIGN(N136-N140),"")</f>
        <v/>
      </c>
      <c r="T136">
        <f>IF(AND(ISNUMBER(N136),ISNUMBER(N141)),VLOOKUP(ABS(N136-N141),'IMP Table'!$A$2:$C$26,3)*SIGN(N136-N141),"")</f>
        <v/>
      </c>
      <c r="U136">
        <f>IF(AND(ISNUMBER(N136),ISNUMBER(N142)),VLOOKUP(ABS(N136-N142),'IMP Table'!$A$2:$C$26,3)*SIGN(N136-N142),"")</f>
        <v/>
      </c>
      <c r="V136">
        <f>IF(AND(ISNUMBER(O136),ISNUMBER(O137)),VLOOKUP(ABS(O136-O137),'IMP Table'!$A$2:$C$26,3)*SIGN(O136-O137),"")</f>
        <v/>
      </c>
      <c r="W136">
        <f>IF(AND(ISNUMBER(O136),ISNUMBER(O138)),VLOOKUP(ABS(O136-O138),'IMP Table'!$A$2:$C$26,3)*SIGN(O136-O138),"")</f>
        <v/>
      </c>
      <c r="X136">
        <f>IF(AND(ISNUMBER(O136),ISNUMBER(O139)),VLOOKUP(ABS(O136-O139),'IMP Table'!$A$2:$C$26,3)*SIGN(O136-O139),"")</f>
        <v/>
      </c>
      <c r="Y136">
        <f>IF(AND(ISNUMBER(O136),ISNUMBER(O140)),VLOOKUP(ABS(O136-O140),'IMP Table'!$A$2:$C$26,3)*SIGN(O136-O140),"")</f>
        <v/>
      </c>
      <c r="Z136">
        <f>IF(AND(ISNUMBER(O136),ISNUMBER(O141)),VLOOKUP(ABS(O136-O141),'IMP Table'!$A$2:$C$26,3)*SIGN(O136-O141),"")</f>
        <v/>
      </c>
      <c r="AA136">
        <f>IF(AND(ISNUMBER(O136),ISNUMBER(O142)),VLOOKUP(ABS(O136-O142),'IMP Table'!$A$2:$C$26,3)*SIGN(O136-O142),"")</f>
        <v/>
      </c>
    </row>
    <row r="137">
      <c r="B137">
        <f>'By Round'!A72</f>
        <v/>
      </c>
      <c r="C137">
        <f>'By Round'!B78</f>
        <v/>
      </c>
      <c r="D137">
        <f>'By Round'!C78</f>
        <v/>
      </c>
      <c r="E137">
        <f>'By Round'!D78</f>
        <v/>
      </c>
      <c r="F137" s="10" t="inlineStr">
        <is>
          <t>Both</t>
        </is>
      </c>
      <c r="G137">
        <f>'By Round'!G79</f>
        <v/>
      </c>
      <c r="H137">
        <f>'By Round'!H79</f>
        <v/>
      </c>
      <c r="I137">
        <f>'By Round'!I79</f>
        <v/>
      </c>
      <c r="J137">
        <f>'By Round'!J79</f>
        <v/>
      </c>
      <c r="K137">
        <f>'By Round'!K79</f>
        <v/>
      </c>
      <c r="L137" s="11">
        <f>IFERROR(AVERAGE(P137:U137),"")</f>
        <v/>
      </c>
      <c r="M137" s="4">
        <f>IFERROR(AVERAGE(V137:AA137),"")</f>
        <v/>
      </c>
      <c r="N137">
        <f>IF(ISNUMBER(J137),J137,IF(ISNUMBER(K137),-K137,""))</f>
        <v/>
      </c>
      <c r="O137">
        <f>IF(ISNUMBER(K137),K137,IF(ISNUMBER(J137),-J137,""))</f>
        <v/>
      </c>
      <c r="P137">
        <f>IF(AND(ISNUMBER(N137),ISNUMBER(N136)),VLOOKUP(ABS(N137-N136),'IMP Table'!$A$2:$C$26,3)*SIGN(N137-N136),"")</f>
        <v/>
      </c>
      <c r="Q137">
        <f>IF(AND(ISNUMBER(N137),ISNUMBER(N138)),VLOOKUP(ABS(N137-N138),'IMP Table'!$A$2:$C$26,3)*SIGN(N137-N138),"")</f>
        <v/>
      </c>
      <c r="R137">
        <f>IF(AND(ISNUMBER(N137),ISNUMBER(N139)),VLOOKUP(ABS(N137-N139),'IMP Table'!$A$2:$C$26,3)*SIGN(N137-N139),"")</f>
        <v/>
      </c>
      <c r="S137">
        <f>IF(AND(ISNUMBER(N137),ISNUMBER(N140)),VLOOKUP(ABS(N137-N140),'IMP Table'!$A$2:$C$26,3)*SIGN(N137-N140),"")</f>
        <v/>
      </c>
      <c r="T137">
        <f>IF(AND(ISNUMBER(N137),ISNUMBER(N141)),VLOOKUP(ABS(N137-N141),'IMP Table'!$A$2:$C$26,3)*SIGN(N137-N141),"")</f>
        <v/>
      </c>
      <c r="U137">
        <f>IF(AND(ISNUMBER(N137),ISNUMBER(N142)),VLOOKUP(ABS(N137-N142),'IMP Table'!$A$2:$C$26,3)*SIGN(N137-N142),"")</f>
        <v/>
      </c>
      <c r="V137">
        <f>IF(AND(ISNUMBER(O137),ISNUMBER(O136)),VLOOKUP(ABS(O137-O136),'IMP Table'!$A$2:$C$26,3)*SIGN(O137-O136),"")</f>
        <v/>
      </c>
      <c r="W137">
        <f>IF(AND(ISNUMBER(O137),ISNUMBER(O138)),VLOOKUP(ABS(O137-O138),'IMP Table'!$A$2:$C$26,3)*SIGN(O137-O138),"")</f>
        <v/>
      </c>
      <c r="X137">
        <f>IF(AND(ISNUMBER(O137),ISNUMBER(O139)),VLOOKUP(ABS(O137-O139),'IMP Table'!$A$2:$C$26,3)*SIGN(O137-O139),"")</f>
        <v/>
      </c>
      <c r="Y137">
        <f>IF(AND(ISNUMBER(O137),ISNUMBER(O140)),VLOOKUP(ABS(O137-O140),'IMP Table'!$A$2:$C$26,3)*SIGN(O137-O140),"")</f>
        <v/>
      </c>
      <c r="Z137">
        <f>IF(AND(ISNUMBER(O137),ISNUMBER(O141)),VLOOKUP(ABS(O137-O141),'IMP Table'!$A$2:$C$26,3)*SIGN(O137-O141),"")</f>
        <v/>
      </c>
      <c r="AA137">
        <f>IF(AND(ISNUMBER(O137),ISNUMBER(O142)),VLOOKUP(ABS(O137-O142),'IMP Table'!$A$2:$C$26,3)*SIGN(O137-O142),"")</f>
        <v/>
      </c>
    </row>
    <row r="138">
      <c r="B138">
        <f>'By Round'!A86</f>
        <v/>
      </c>
      <c r="C138">
        <f>'By Round'!B90</f>
        <v/>
      </c>
      <c r="D138">
        <f>'By Round'!C90</f>
        <v/>
      </c>
      <c r="E138">
        <f>'By Round'!D90</f>
        <v/>
      </c>
      <c r="F138" s="10" t="inlineStr">
        <is>
          <t>Both</t>
        </is>
      </c>
      <c r="G138">
        <f>'By Round'!G91</f>
        <v/>
      </c>
      <c r="H138">
        <f>'By Round'!H91</f>
        <v/>
      </c>
      <c r="I138">
        <f>'By Round'!I91</f>
        <v/>
      </c>
      <c r="J138">
        <f>'By Round'!J91</f>
        <v/>
      </c>
      <c r="K138">
        <f>'By Round'!K91</f>
        <v/>
      </c>
      <c r="L138" s="11">
        <f>IFERROR(AVERAGE(P138:U138),"")</f>
        <v/>
      </c>
      <c r="M138" s="4">
        <f>IFERROR(AVERAGE(V138:AA138),"")</f>
        <v/>
      </c>
      <c r="N138">
        <f>IF(ISNUMBER(J138),J138,IF(ISNUMBER(K138),-K138,""))</f>
        <v/>
      </c>
      <c r="O138">
        <f>IF(ISNUMBER(K138),K138,IF(ISNUMBER(J138),-J138,""))</f>
        <v/>
      </c>
      <c r="P138">
        <f>IF(AND(ISNUMBER(N138),ISNUMBER(N136)),VLOOKUP(ABS(N138-N136),'IMP Table'!$A$2:$C$26,3)*SIGN(N138-N136),"")</f>
        <v/>
      </c>
      <c r="Q138">
        <f>IF(AND(ISNUMBER(N138),ISNUMBER(N137)),VLOOKUP(ABS(N138-N137),'IMP Table'!$A$2:$C$26,3)*SIGN(N138-N137),"")</f>
        <v/>
      </c>
      <c r="R138">
        <f>IF(AND(ISNUMBER(N138),ISNUMBER(N139)),VLOOKUP(ABS(N138-N139),'IMP Table'!$A$2:$C$26,3)*SIGN(N138-N139),"")</f>
        <v/>
      </c>
      <c r="S138">
        <f>IF(AND(ISNUMBER(N138),ISNUMBER(N140)),VLOOKUP(ABS(N138-N140),'IMP Table'!$A$2:$C$26,3)*SIGN(N138-N140),"")</f>
        <v/>
      </c>
      <c r="T138">
        <f>IF(AND(ISNUMBER(N138),ISNUMBER(N141)),VLOOKUP(ABS(N138-N141),'IMP Table'!$A$2:$C$26,3)*SIGN(N138-N141),"")</f>
        <v/>
      </c>
      <c r="U138">
        <f>IF(AND(ISNUMBER(N138),ISNUMBER(N142)),VLOOKUP(ABS(N138-N142),'IMP Table'!$A$2:$C$26,3)*SIGN(N138-N142),"")</f>
        <v/>
      </c>
      <c r="V138">
        <f>IF(AND(ISNUMBER(O138),ISNUMBER(O136)),VLOOKUP(ABS(O138-O136),'IMP Table'!$A$2:$C$26,3)*SIGN(O138-O136),"")</f>
        <v/>
      </c>
      <c r="W138">
        <f>IF(AND(ISNUMBER(O138),ISNUMBER(O137)),VLOOKUP(ABS(O138-O137),'IMP Table'!$A$2:$C$26,3)*SIGN(O138-O137),"")</f>
        <v/>
      </c>
      <c r="X138">
        <f>IF(AND(ISNUMBER(O138),ISNUMBER(O139)),VLOOKUP(ABS(O138-O139),'IMP Table'!$A$2:$C$26,3)*SIGN(O138-O139),"")</f>
        <v/>
      </c>
      <c r="Y138">
        <f>IF(AND(ISNUMBER(O138),ISNUMBER(O140)),VLOOKUP(ABS(O138-O140),'IMP Table'!$A$2:$C$26,3)*SIGN(O138-O140),"")</f>
        <v/>
      </c>
      <c r="Z138">
        <f>IF(AND(ISNUMBER(O138),ISNUMBER(O141)),VLOOKUP(ABS(O138-O141),'IMP Table'!$A$2:$C$26,3)*SIGN(O138-O141),"")</f>
        <v/>
      </c>
      <c r="AA138">
        <f>IF(AND(ISNUMBER(O138),ISNUMBER(O142)),VLOOKUP(ABS(O138-O142),'IMP Table'!$A$2:$C$26,3)*SIGN(O138-O142),"")</f>
        <v/>
      </c>
    </row>
    <row r="139">
      <c r="B139">
        <f>'By Round'!A100</f>
        <v/>
      </c>
      <c r="C139">
        <f>'By Round'!B102</f>
        <v/>
      </c>
      <c r="D139">
        <f>'By Round'!C102</f>
        <v/>
      </c>
      <c r="E139">
        <f>'By Round'!D102</f>
        <v/>
      </c>
      <c r="F139" s="10" t="inlineStr">
        <is>
          <t>Both</t>
        </is>
      </c>
      <c r="G139">
        <f>'By Round'!G103</f>
        <v/>
      </c>
      <c r="H139">
        <f>'By Round'!H103</f>
        <v/>
      </c>
      <c r="I139">
        <f>'By Round'!I103</f>
        <v/>
      </c>
      <c r="J139">
        <f>'By Round'!J103</f>
        <v/>
      </c>
      <c r="K139">
        <f>'By Round'!K103</f>
        <v/>
      </c>
      <c r="L139" s="11">
        <f>IFERROR(AVERAGE(P139:U139),"")</f>
        <v/>
      </c>
      <c r="M139" s="4">
        <f>IFERROR(AVERAGE(V139:AA139),"")</f>
        <v/>
      </c>
      <c r="N139">
        <f>IF(ISNUMBER(J139),J139,IF(ISNUMBER(K139),-K139,""))</f>
        <v/>
      </c>
      <c r="O139">
        <f>IF(ISNUMBER(K139),K139,IF(ISNUMBER(J139),-J139,""))</f>
        <v/>
      </c>
      <c r="P139">
        <f>IF(AND(ISNUMBER(N139),ISNUMBER(N136)),VLOOKUP(ABS(N139-N136),'IMP Table'!$A$2:$C$26,3)*SIGN(N139-N136),"")</f>
        <v/>
      </c>
      <c r="Q139">
        <f>IF(AND(ISNUMBER(N139),ISNUMBER(N137)),VLOOKUP(ABS(N139-N137),'IMP Table'!$A$2:$C$26,3)*SIGN(N139-N137),"")</f>
        <v/>
      </c>
      <c r="R139">
        <f>IF(AND(ISNUMBER(N139),ISNUMBER(N138)),VLOOKUP(ABS(N139-N138),'IMP Table'!$A$2:$C$26,3)*SIGN(N139-N138),"")</f>
        <v/>
      </c>
      <c r="S139">
        <f>IF(AND(ISNUMBER(N139),ISNUMBER(N140)),VLOOKUP(ABS(N139-N140),'IMP Table'!$A$2:$C$26,3)*SIGN(N139-N140),"")</f>
        <v/>
      </c>
      <c r="T139">
        <f>IF(AND(ISNUMBER(N139),ISNUMBER(N141)),VLOOKUP(ABS(N139-N141),'IMP Table'!$A$2:$C$26,3)*SIGN(N139-N141),"")</f>
        <v/>
      </c>
      <c r="U139">
        <f>IF(AND(ISNUMBER(N139),ISNUMBER(N142)),VLOOKUP(ABS(N139-N142),'IMP Table'!$A$2:$C$26,3)*SIGN(N139-N142),"")</f>
        <v/>
      </c>
      <c r="V139">
        <f>IF(AND(ISNUMBER(O139),ISNUMBER(O136)),VLOOKUP(ABS(O139-O136),'IMP Table'!$A$2:$C$26,3)*SIGN(O139-O136),"")</f>
        <v/>
      </c>
      <c r="W139">
        <f>IF(AND(ISNUMBER(O139),ISNUMBER(O137)),VLOOKUP(ABS(O139-O137),'IMP Table'!$A$2:$C$26,3)*SIGN(O139-O137),"")</f>
        <v/>
      </c>
      <c r="X139">
        <f>IF(AND(ISNUMBER(O139),ISNUMBER(O138)),VLOOKUP(ABS(O139-O138),'IMP Table'!$A$2:$C$26,3)*SIGN(O139-O138),"")</f>
        <v/>
      </c>
      <c r="Y139">
        <f>IF(AND(ISNUMBER(O139),ISNUMBER(O140)),VLOOKUP(ABS(O139-O140),'IMP Table'!$A$2:$C$26,3)*SIGN(O139-O140),"")</f>
        <v/>
      </c>
      <c r="Z139">
        <f>IF(AND(ISNUMBER(O139),ISNUMBER(O141)),VLOOKUP(ABS(O139-O141),'IMP Table'!$A$2:$C$26,3)*SIGN(O139-O141),"")</f>
        <v/>
      </c>
      <c r="AA139">
        <f>IF(AND(ISNUMBER(O139),ISNUMBER(O142)),VLOOKUP(ABS(O139-O142),'IMP Table'!$A$2:$C$26,3)*SIGN(O139-O142),"")</f>
        <v/>
      </c>
    </row>
    <row r="140">
      <c r="B140">
        <f>'By Round'!A128</f>
        <v/>
      </c>
      <c r="C140">
        <f>'By Round'!B128</f>
        <v/>
      </c>
      <c r="D140">
        <f>'By Round'!C128</f>
        <v/>
      </c>
      <c r="E140">
        <f>'By Round'!D128</f>
        <v/>
      </c>
      <c r="F140" s="10" t="inlineStr">
        <is>
          <t>Both</t>
        </is>
      </c>
      <c r="G140">
        <f>'By Round'!G129</f>
        <v/>
      </c>
      <c r="H140">
        <f>'By Round'!H129</f>
        <v/>
      </c>
      <c r="I140">
        <f>'By Round'!I129</f>
        <v/>
      </c>
      <c r="J140">
        <f>'By Round'!J129</f>
        <v/>
      </c>
      <c r="K140">
        <f>'By Round'!K129</f>
        <v/>
      </c>
      <c r="L140" s="11">
        <f>IFERROR(AVERAGE(P140:U140),"")</f>
        <v/>
      </c>
      <c r="M140" s="4">
        <f>IFERROR(AVERAGE(V140:AA140),"")</f>
        <v/>
      </c>
      <c r="N140">
        <f>IF(ISNUMBER(J140),J140,IF(ISNUMBER(K140),-K140,""))</f>
        <v/>
      </c>
      <c r="O140">
        <f>IF(ISNUMBER(K140),K140,IF(ISNUMBER(J140),-J140,""))</f>
        <v/>
      </c>
      <c r="P140">
        <f>IF(AND(ISNUMBER(N140),ISNUMBER(N136)),VLOOKUP(ABS(N140-N136),'IMP Table'!$A$2:$C$26,3)*SIGN(N140-N136),"")</f>
        <v/>
      </c>
      <c r="Q140">
        <f>IF(AND(ISNUMBER(N140),ISNUMBER(N137)),VLOOKUP(ABS(N140-N137),'IMP Table'!$A$2:$C$26,3)*SIGN(N140-N137),"")</f>
        <v/>
      </c>
      <c r="R140">
        <f>IF(AND(ISNUMBER(N140),ISNUMBER(N138)),VLOOKUP(ABS(N140-N138),'IMP Table'!$A$2:$C$26,3)*SIGN(N140-N138),"")</f>
        <v/>
      </c>
      <c r="S140">
        <f>IF(AND(ISNUMBER(N140),ISNUMBER(N139)),VLOOKUP(ABS(N140-N139),'IMP Table'!$A$2:$C$26,3)*SIGN(N140-N139),"")</f>
        <v/>
      </c>
      <c r="T140">
        <f>IF(AND(ISNUMBER(N140),ISNUMBER(N141)),VLOOKUP(ABS(N140-N141),'IMP Table'!$A$2:$C$26,3)*SIGN(N140-N141),"")</f>
        <v/>
      </c>
      <c r="U140">
        <f>IF(AND(ISNUMBER(N140),ISNUMBER(N142)),VLOOKUP(ABS(N140-N142),'IMP Table'!$A$2:$C$26,3)*SIGN(N140-N142),"")</f>
        <v/>
      </c>
      <c r="V140">
        <f>IF(AND(ISNUMBER(O140),ISNUMBER(O136)),VLOOKUP(ABS(O140-O136),'IMP Table'!$A$2:$C$26,3)*SIGN(O140-O136),"")</f>
        <v/>
      </c>
      <c r="W140">
        <f>IF(AND(ISNUMBER(O140),ISNUMBER(O137)),VLOOKUP(ABS(O140-O137),'IMP Table'!$A$2:$C$26,3)*SIGN(O140-O137),"")</f>
        <v/>
      </c>
      <c r="X140">
        <f>IF(AND(ISNUMBER(O140),ISNUMBER(O138)),VLOOKUP(ABS(O140-O138),'IMP Table'!$A$2:$C$26,3)*SIGN(O140-O138),"")</f>
        <v/>
      </c>
      <c r="Y140">
        <f>IF(AND(ISNUMBER(O140),ISNUMBER(O139)),VLOOKUP(ABS(O140-O139),'IMP Table'!$A$2:$C$26,3)*SIGN(O140-O139),"")</f>
        <v/>
      </c>
      <c r="Z140">
        <f>IF(AND(ISNUMBER(O140),ISNUMBER(O141)),VLOOKUP(ABS(O140-O141),'IMP Table'!$A$2:$C$26,3)*SIGN(O140-O141),"")</f>
        <v/>
      </c>
      <c r="AA140">
        <f>IF(AND(ISNUMBER(O140),ISNUMBER(O142)),VLOOKUP(ABS(O140-O142),'IMP Table'!$A$2:$C$26,3)*SIGN(O140-O142),"")</f>
        <v/>
      </c>
    </row>
    <row r="141">
      <c r="B141">
        <f>'By Round'!A156</f>
        <v/>
      </c>
      <c r="C141">
        <f>'By Round'!B168</f>
        <v/>
      </c>
      <c r="D141">
        <f>'By Round'!C168</f>
        <v/>
      </c>
      <c r="E141">
        <f>'By Round'!D168</f>
        <v/>
      </c>
      <c r="F141" s="10" t="inlineStr">
        <is>
          <t>Both</t>
        </is>
      </c>
      <c r="G141">
        <f>'By Round'!G169</f>
        <v/>
      </c>
      <c r="H141">
        <f>'By Round'!H169</f>
        <v/>
      </c>
      <c r="I141">
        <f>'By Round'!I169</f>
        <v/>
      </c>
      <c r="J141">
        <f>'By Round'!J169</f>
        <v/>
      </c>
      <c r="K141">
        <f>'By Round'!K169</f>
        <v/>
      </c>
      <c r="L141" s="11">
        <f>IFERROR(AVERAGE(P141:U141),"")</f>
        <v/>
      </c>
      <c r="M141" s="4">
        <f>IFERROR(AVERAGE(V141:AA141),"")</f>
        <v/>
      </c>
      <c r="N141">
        <f>IF(ISNUMBER(J141),J141,IF(ISNUMBER(K141),-K141,""))</f>
        <v/>
      </c>
      <c r="O141">
        <f>IF(ISNUMBER(K141),K141,IF(ISNUMBER(J141),-J141,""))</f>
        <v/>
      </c>
      <c r="P141">
        <f>IF(AND(ISNUMBER(N141),ISNUMBER(N136)),VLOOKUP(ABS(N141-N136),'IMP Table'!$A$2:$C$26,3)*SIGN(N141-N136),"")</f>
        <v/>
      </c>
      <c r="Q141">
        <f>IF(AND(ISNUMBER(N141),ISNUMBER(N137)),VLOOKUP(ABS(N141-N137),'IMP Table'!$A$2:$C$26,3)*SIGN(N141-N137),"")</f>
        <v/>
      </c>
      <c r="R141">
        <f>IF(AND(ISNUMBER(N141),ISNUMBER(N138)),VLOOKUP(ABS(N141-N138),'IMP Table'!$A$2:$C$26,3)*SIGN(N141-N138),"")</f>
        <v/>
      </c>
      <c r="S141">
        <f>IF(AND(ISNUMBER(N141),ISNUMBER(N139)),VLOOKUP(ABS(N141-N139),'IMP Table'!$A$2:$C$26,3)*SIGN(N141-N139),"")</f>
        <v/>
      </c>
      <c r="T141">
        <f>IF(AND(ISNUMBER(N141),ISNUMBER(N140)),VLOOKUP(ABS(N141-N140),'IMP Table'!$A$2:$C$26,3)*SIGN(N141-N140),"")</f>
        <v/>
      </c>
      <c r="U141">
        <f>IF(AND(ISNUMBER(N141),ISNUMBER(N142)),VLOOKUP(ABS(N141-N142),'IMP Table'!$A$2:$C$26,3)*SIGN(N141-N142),"")</f>
        <v/>
      </c>
      <c r="V141">
        <f>IF(AND(ISNUMBER(O141),ISNUMBER(O136)),VLOOKUP(ABS(O141-O136),'IMP Table'!$A$2:$C$26,3)*SIGN(O141-O136),"")</f>
        <v/>
      </c>
      <c r="W141">
        <f>IF(AND(ISNUMBER(O141),ISNUMBER(O137)),VLOOKUP(ABS(O141-O137),'IMP Table'!$A$2:$C$26,3)*SIGN(O141-O137),"")</f>
        <v/>
      </c>
      <c r="X141">
        <f>IF(AND(ISNUMBER(O141),ISNUMBER(O138)),VLOOKUP(ABS(O141-O138),'IMP Table'!$A$2:$C$26,3)*SIGN(O141-O138),"")</f>
        <v/>
      </c>
      <c r="Y141">
        <f>IF(AND(ISNUMBER(O141),ISNUMBER(O139)),VLOOKUP(ABS(O141-O139),'IMP Table'!$A$2:$C$26,3)*SIGN(O141-O139),"")</f>
        <v/>
      </c>
      <c r="Z141">
        <f>IF(AND(ISNUMBER(O141),ISNUMBER(O140)),VLOOKUP(ABS(O141-O140),'IMP Table'!$A$2:$C$26,3)*SIGN(O141-O140),"")</f>
        <v/>
      </c>
      <c r="AA141">
        <f>IF(AND(ISNUMBER(O141),ISNUMBER(O142)),VLOOKUP(ABS(O141-O142),'IMP Table'!$A$2:$C$26,3)*SIGN(O141-O142),"")</f>
        <v/>
      </c>
    </row>
    <row r="142">
      <c r="B142">
        <f>'By Round'!A170</f>
        <v/>
      </c>
      <c r="C142">
        <f>'By Round'!B180</f>
        <v/>
      </c>
      <c r="D142">
        <f>'By Round'!C180</f>
        <v/>
      </c>
      <c r="E142">
        <f>'By Round'!D180</f>
        <v/>
      </c>
      <c r="F142" s="10" t="inlineStr">
        <is>
          <t>Both</t>
        </is>
      </c>
      <c r="G142">
        <f>'By Round'!G181</f>
        <v/>
      </c>
      <c r="H142">
        <f>'By Round'!H181</f>
        <v/>
      </c>
      <c r="I142">
        <f>'By Round'!I181</f>
        <v/>
      </c>
      <c r="J142">
        <f>'By Round'!J181</f>
        <v/>
      </c>
      <c r="K142">
        <f>'By Round'!K181</f>
        <v/>
      </c>
      <c r="L142" s="11">
        <f>IFERROR(AVERAGE(P142:U142),"")</f>
        <v/>
      </c>
      <c r="M142" s="4">
        <f>IFERROR(AVERAGE(V142:AA142),"")</f>
        <v/>
      </c>
      <c r="N142">
        <f>IF(ISNUMBER(J142),J142,IF(ISNUMBER(K142),-K142,""))</f>
        <v/>
      </c>
      <c r="O142">
        <f>IF(ISNUMBER(K142),K142,IF(ISNUMBER(J142),-J142,""))</f>
        <v/>
      </c>
      <c r="P142">
        <f>IF(AND(ISNUMBER(N142),ISNUMBER(N136)),VLOOKUP(ABS(N142-N136),'IMP Table'!$A$2:$C$26,3)*SIGN(N142-N136),"")</f>
        <v/>
      </c>
      <c r="Q142">
        <f>IF(AND(ISNUMBER(N142),ISNUMBER(N137)),VLOOKUP(ABS(N142-N137),'IMP Table'!$A$2:$C$26,3)*SIGN(N142-N137),"")</f>
        <v/>
      </c>
      <c r="R142">
        <f>IF(AND(ISNUMBER(N142),ISNUMBER(N138)),VLOOKUP(ABS(N142-N138),'IMP Table'!$A$2:$C$26,3)*SIGN(N142-N138),"")</f>
        <v/>
      </c>
      <c r="S142">
        <f>IF(AND(ISNUMBER(N142),ISNUMBER(N139)),VLOOKUP(ABS(N142-N139),'IMP Table'!$A$2:$C$26,3)*SIGN(N142-N139),"")</f>
        <v/>
      </c>
      <c r="T142">
        <f>IF(AND(ISNUMBER(N142),ISNUMBER(N140)),VLOOKUP(ABS(N142-N140),'IMP Table'!$A$2:$C$26,3)*SIGN(N142-N140),"")</f>
        <v/>
      </c>
      <c r="U142">
        <f>IF(AND(ISNUMBER(N142),ISNUMBER(N141)),VLOOKUP(ABS(N142-N141),'IMP Table'!$A$2:$C$26,3)*SIGN(N142-N141),"")</f>
        <v/>
      </c>
      <c r="V142">
        <f>IF(AND(ISNUMBER(O142),ISNUMBER(O136)),VLOOKUP(ABS(O142-O136),'IMP Table'!$A$2:$C$26,3)*SIGN(O142-O136),"")</f>
        <v/>
      </c>
      <c r="W142">
        <f>IF(AND(ISNUMBER(O142),ISNUMBER(O137)),VLOOKUP(ABS(O142-O137),'IMP Table'!$A$2:$C$26,3)*SIGN(O142-O137),"")</f>
        <v/>
      </c>
      <c r="X142">
        <f>IF(AND(ISNUMBER(O142),ISNUMBER(O138)),VLOOKUP(ABS(O142-O138),'IMP Table'!$A$2:$C$26,3)*SIGN(O142-O138),"")</f>
        <v/>
      </c>
      <c r="Y142">
        <f>IF(AND(ISNUMBER(O142),ISNUMBER(O139)),VLOOKUP(ABS(O142-O139),'IMP Table'!$A$2:$C$26,3)*SIGN(O142-O139),"")</f>
        <v/>
      </c>
      <c r="Z142">
        <f>IF(AND(ISNUMBER(O142),ISNUMBER(O140)),VLOOKUP(ABS(O142-O140),'IMP Table'!$A$2:$C$26,3)*SIGN(O142-O140),"")</f>
        <v/>
      </c>
      <c r="AA142">
        <f>IF(AND(ISNUMBER(O142),ISNUMBER(O141)),VLOOKUP(ABS(O142-O141),'IMP Table'!$A$2:$C$26,3)*SIGN(O142-O141),"")</f>
        <v/>
      </c>
    </row>
    <row r="143">
      <c r="A143" t="n">
        <v>21</v>
      </c>
      <c r="B143">
        <f>'By Round'!A2</f>
        <v/>
      </c>
      <c r="C143">
        <f>'By Round'!B12</f>
        <v/>
      </c>
      <c r="D143">
        <f>'By Round'!C12</f>
        <v/>
      </c>
      <c r="E143">
        <f>'By Round'!D12</f>
        <v/>
      </c>
      <c r="F143" s="10" t="inlineStr">
        <is>
          <t>NS</t>
        </is>
      </c>
      <c r="G143">
        <f>'By Round'!G12</f>
        <v/>
      </c>
      <c r="H143">
        <f>'By Round'!H12</f>
        <v/>
      </c>
      <c r="I143">
        <f>'By Round'!I12</f>
        <v/>
      </c>
      <c r="J143">
        <f>'By Round'!J12</f>
        <v/>
      </c>
      <c r="K143">
        <f>'By Round'!K12</f>
        <v/>
      </c>
      <c r="L143" s="11">
        <f>IFERROR(AVERAGE(P143:U143),"")</f>
        <v/>
      </c>
      <c r="M143" s="4">
        <f>IFERROR(AVERAGE(V143:AA143),"")</f>
        <v/>
      </c>
      <c r="N143">
        <f>IF(ISNUMBER(J143),J143,IF(ISNUMBER(K143),-K143,""))</f>
        <v/>
      </c>
      <c r="O143">
        <f>IF(ISNUMBER(K143),K143,IF(ISNUMBER(J143),-J143,""))</f>
        <v/>
      </c>
      <c r="P143">
        <f>IF(AND(ISNUMBER(N143),ISNUMBER(N144)),VLOOKUP(ABS(N143-N144),'IMP Table'!$A$2:$C$26,3)*SIGN(N143-N144),"")</f>
        <v/>
      </c>
      <c r="Q143">
        <f>IF(AND(ISNUMBER(N143),ISNUMBER(N145)),VLOOKUP(ABS(N143-N145),'IMP Table'!$A$2:$C$26,3)*SIGN(N143-N145),"")</f>
        <v/>
      </c>
      <c r="R143">
        <f>IF(AND(ISNUMBER(N143),ISNUMBER(N146)),VLOOKUP(ABS(N143-N146),'IMP Table'!$A$2:$C$26,3)*SIGN(N143-N146),"")</f>
        <v/>
      </c>
      <c r="S143">
        <f>IF(AND(ISNUMBER(N143),ISNUMBER(N147)),VLOOKUP(ABS(N143-N147),'IMP Table'!$A$2:$C$26,3)*SIGN(N143-N147),"")</f>
        <v/>
      </c>
      <c r="T143">
        <f>IF(AND(ISNUMBER(N143),ISNUMBER(N148)),VLOOKUP(ABS(N143-N148),'IMP Table'!$A$2:$C$26,3)*SIGN(N143-N148),"")</f>
        <v/>
      </c>
      <c r="U143">
        <f>IF(AND(ISNUMBER(N143),ISNUMBER(N149)),VLOOKUP(ABS(N143-N149),'IMP Table'!$A$2:$C$26,3)*SIGN(N143-N149),"")</f>
        <v/>
      </c>
      <c r="V143">
        <f>IF(AND(ISNUMBER(O143),ISNUMBER(O144)),VLOOKUP(ABS(O143-O144),'IMP Table'!$A$2:$C$26,3)*SIGN(O143-O144),"")</f>
        <v/>
      </c>
      <c r="W143">
        <f>IF(AND(ISNUMBER(O143),ISNUMBER(O145)),VLOOKUP(ABS(O143-O145),'IMP Table'!$A$2:$C$26,3)*SIGN(O143-O145),"")</f>
        <v/>
      </c>
      <c r="X143">
        <f>IF(AND(ISNUMBER(O143),ISNUMBER(O146)),VLOOKUP(ABS(O143-O146),'IMP Table'!$A$2:$C$26,3)*SIGN(O143-O146),"")</f>
        <v/>
      </c>
      <c r="Y143">
        <f>IF(AND(ISNUMBER(O143),ISNUMBER(O147)),VLOOKUP(ABS(O143-O147),'IMP Table'!$A$2:$C$26,3)*SIGN(O143-O147),"")</f>
        <v/>
      </c>
      <c r="Z143">
        <f>IF(AND(ISNUMBER(O143),ISNUMBER(O148)),VLOOKUP(ABS(O143-O148),'IMP Table'!$A$2:$C$26,3)*SIGN(O143-O148),"")</f>
        <v/>
      </c>
      <c r="AA143">
        <f>IF(AND(ISNUMBER(O143),ISNUMBER(O149)),VLOOKUP(ABS(O143-O149),'IMP Table'!$A$2:$C$26,3)*SIGN(O143-O149),"")</f>
        <v/>
      </c>
    </row>
    <row r="144">
      <c r="B144">
        <f>'By Round'!A16</f>
        <v/>
      </c>
      <c r="C144">
        <f>'By Round'!B24</f>
        <v/>
      </c>
      <c r="D144">
        <f>'By Round'!C24</f>
        <v/>
      </c>
      <c r="E144">
        <f>'By Round'!D24</f>
        <v/>
      </c>
      <c r="F144" s="10" t="inlineStr">
        <is>
          <t>NS</t>
        </is>
      </c>
      <c r="G144">
        <f>'By Round'!G24</f>
        <v/>
      </c>
      <c r="H144">
        <f>'By Round'!H24</f>
        <v/>
      </c>
      <c r="I144">
        <f>'By Round'!I24</f>
        <v/>
      </c>
      <c r="J144">
        <f>'By Round'!J24</f>
        <v/>
      </c>
      <c r="K144">
        <f>'By Round'!K24</f>
        <v/>
      </c>
      <c r="L144" s="11">
        <f>IFERROR(AVERAGE(P144:U144),"")</f>
        <v/>
      </c>
      <c r="M144" s="4">
        <f>IFERROR(AVERAGE(V144:AA144),"")</f>
        <v/>
      </c>
      <c r="N144">
        <f>IF(ISNUMBER(J144),J144,IF(ISNUMBER(K144),-K144,""))</f>
        <v/>
      </c>
      <c r="O144">
        <f>IF(ISNUMBER(K144),K144,IF(ISNUMBER(J144),-J144,""))</f>
        <v/>
      </c>
      <c r="P144">
        <f>IF(AND(ISNUMBER(N144),ISNUMBER(N143)),VLOOKUP(ABS(N144-N143),'IMP Table'!$A$2:$C$26,3)*SIGN(N144-N143),"")</f>
        <v/>
      </c>
      <c r="Q144">
        <f>IF(AND(ISNUMBER(N144),ISNUMBER(N145)),VLOOKUP(ABS(N144-N145),'IMP Table'!$A$2:$C$26,3)*SIGN(N144-N145),"")</f>
        <v/>
      </c>
      <c r="R144">
        <f>IF(AND(ISNUMBER(N144),ISNUMBER(N146)),VLOOKUP(ABS(N144-N146),'IMP Table'!$A$2:$C$26,3)*SIGN(N144-N146),"")</f>
        <v/>
      </c>
      <c r="S144">
        <f>IF(AND(ISNUMBER(N144),ISNUMBER(N147)),VLOOKUP(ABS(N144-N147),'IMP Table'!$A$2:$C$26,3)*SIGN(N144-N147),"")</f>
        <v/>
      </c>
      <c r="T144">
        <f>IF(AND(ISNUMBER(N144),ISNUMBER(N148)),VLOOKUP(ABS(N144-N148),'IMP Table'!$A$2:$C$26,3)*SIGN(N144-N148),"")</f>
        <v/>
      </c>
      <c r="U144">
        <f>IF(AND(ISNUMBER(N144),ISNUMBER(N149)),VLOOKUP(ABS(N144-N149),'IMP Table'!$A$2:$C$26,3)*SIGN(N144-N149),"")</f>
        <v/>
      </c>
      <c r="V144">
        <f>IF(AND(ISNUMBER(O144),ISNUMBER(O143)),VLOOKUP(ABS(O144-O143),'IMP Table'!$A$2:$C$26,3)*SIGN(O144-O143),"")</f>
        <v/>
      </c>
      <c r="W144">
        <f>IF(AND(ISNUMBER(O144),ISNUMBER(O145)),VLOOKUP(ABS(O144-O145),'IMP Table'!$A$2:$C$26,3)*SIGN(O144-O145),"")</f>
        <v/>
      </c>
      <c r="X144">
        <f>IF(AND(ISNUMBER(O144),ISNUMBER(O146)),VLOOKUP(ABS(O144-O146),'IMP Table'!$A$2:$C$26,3)*SIGN(O144-O146),"")</f>
        <v/>
      </c>
      <c r="Y144">
        <f>IF(AND(ISNUMBER(O144),ISNUMBER(O147)),VLOOKUP(ABS(O144-O147),'IMP Table'!$A$2:$C$26,3)*SIGN(O144-O147),"")</f>
        <v/>
      </c>
      <c r="Z144">
        <f>IF(AND(ISNUMBER(O144),ISNUMBER(O148)),VLOOKUP(ABS(O144-O148),'IMP Table'!$A$2:$C$26,3)*SIGN(O144-O148),"")</f>
        <v/>
      </c>
      <c r="AA144">
        <f>IF(AND(ISNUMBER(O144),ISNUMBER(O149)),VLOOKUP(ABS(O144-O149),'IMP Table'!$A$2:$C$26,3)*SIGN(O144-O149),"")</f>
        <v/>
      </c>
    </row>
    <row r="145">
      <c r="B145">
        <f>'By Round'!A86</f>
        <v/>
      </c>
      <c r="C145">
        <f>'By Round'!B92</f>
        <v/>
      </c>
      <c r="D145">
        <f>'By Round'!C92</f>
        <v/>
      </c>
      <c r="E145">
        <f>'By Round'!D92</f>
        <v/>
      </c>
      <c r="F145" s="10" t="inlineStr">
        <is>
          <t>NS</t>
        </is>
      </c>
      <c r="G145">
        <f>'By Round'!G92</f>
        <v/>
      </c>
      <c r="H145">
        <f>'By Round'!H92</f>
        <v/>
      </c>
      <c r="I145">
        <f>'By Round'!I92</f>
        <v/>
      </c>
      <c r="J145">
        <f>'By Round'!J92</f>
        <v/>
      </c>
      <c r="K145">
        <f>'By Round'!K92</f>
        <v/>
      </c>
      <c r="L145" s="11">
        <f>IFERROR(AVERAGE(P145:U145),"")</f>
        <v/>
      </c>
      <c r="M145" s="4">
        <f>IFERROR(AVERAGE(V145:AA145),"")</f>
        <v/>
      </c>
      <c r="N145">
        <f>IF(ISNUMBER(J145),J145,IF(ISNUMBER(K145),-K145,""))</f>
        <v/>
      </c>
      <c r="O145">
        <f>IF(ISNUMBER(K145),K145,IF(ISNUMBER(J145),-J145,""))</f>
        <v/>
      </c>
      <c r="P145">
        <f>IF(AND(ISNUMBER(N145),ISNUMBER(N143)),VLOOKUP(ABS(N145-N143),'IMP Table'!$A$2:$C$26,3)*SIGN(N145-N143),"")</f>
        <v/>
      </c>
      <c r="Q145">
        <f>IF(AND(ISNUMBER(N145),ISNUMBER(N144)),VLOOKUP(ABS(N145-N144),'IMP Table'!$A$2:$C$26,3)*SIGN(N145-N144),"")</f>
        <v/>
      </c>
      <c r="R145">
        <f>IF(AND(ISNUMBER(N145),ISNUMBER(N146)),VLOOKUP(ABS(N145-N146),'IMP Table'!$A$2:$C$26,3)*SIGN(N145-N146),"")</f>
        <v/>
      </c>
      <c r="S145">
        <f>IF(AND(ISNUMBER(N145),ISNUMBER(N147)),VLOOKUP(ABS(N145-N147),'IMP Table'!$A$2:$C$26,3)*SIGN(N145-N147),"")</f>
        <v/>
      </c>
      <c r="T145">
        <f>IF(AND(ISNUMBER(N145),ISNUMBER(N148)),VLOOKUP(ABS(N145-N148),'IMP Table'!$A$2:$C$26,3)*SIGN(N145-N148),"")</f>
        <v/>
      </c>
      <c r="U145">
        <f>IF(AND(ISNUMBER(N145),ISNUMBER(N149)),VLOOKUP(ABS(N145-N149),'IMP Table'!$A$2:$C$26,3)*SIGN(N145-N149),"")</f>
        <v/>
      </c>
      <c r="V145">
        <f>IF(AND(ISNUMBER(O145),ISNUMBER(O143)),VLOOKUP(ABS(O145-O143),'IMP Table'!$A$2:$C$26,3)*SIGN(O145-O143),"")</f>
        <v/>
      </c>
      <c r="W145">
        <f>IF(AND(ISNUMBER(O145),ISNUMBER(O144)),VLOOKUP(ABS(O145-O144),'IMP Table'!$A$2:$C$26,3)*SIGN(O145-O144),"")</f>
        <v/>
      </c>
      <c r="X145">
        <f>IF(AND(ISNUMBER(O145),ISNUMBER(O146)),VLOOKUP(ABS(O145-O146),'IMP Table'!$A$2:$C$26,3)*SIGN(O145-O146),"")</f>
        <v/>
      </c>
      <c r="Y145">
        <f>IF(AND(ISNUMBER(O145),ISNUMBER(O147)),VLOOKUP(ABS(O145-O147),'IMP Table'!$A$2:$C$26,3)*SIGN(O145-O147),"")</f>
        <v/>
      </c>
      <c r="Z145">
        <f>IF(AND(ISNUMBER(O145),ISNUMBER(O148)),VLOOKUP(ABS(O145-O148),'IMP Table'!$A$2:$C$26,3)*SIGN(O145-O148),"")</f>
        <v/>
      </c>
      <c r="AA145">
        <f>IF(AND(ISNUMBER(O145),ISNUMBER(O149)),VLOOKUP(ABS(O145-O149),'IMP Table'!$A$2:$C$26,3)*SIGN(O145-O149),"")</f>
        <v/>
      </c>
    </row>
    <row r="146">
      <c r="B146">
        <f>'By Round'!A100</f>
        <v/>
      </c>
      <c r="C146">
        <f>'By Round'!B104</f>
        <v/>
      </c>
      <c r="D146">
        <f>'By Round'!C104</f>
        <v/>
      </c>
      <c r="E146">
        <f>'By Round'!D104</f>
        <v/>
      </c>
      <c r="F146" s="10" t="inlineStr">
        <is>
          <t>NS</t>
        </is>
      </c>
      <c r="G146">
        <f>'By Round'!G104</f>
        <v/>
      </c>
      <c r="H146">
        <f>'By Round'!H104</f>
        <v/>
      </c>
      <c r="I146">
        <f>'By Round'!I104</f>
        <v/>
      </c>
      <c r="J146">
        <f>'By Round'!J104</f>
        <v/>
      </c>
      <c r="K146">
        <f>'By Round'!K104</f>
        <v/>
      </c>
      <c r="L146" s="11">
        <f>IFERROR(AVERAGE(P146:U146),"")</f>
        <v/>
      </c>
      <c r="M146" s="4">
        <f>IFERROR(AVERAGE(V146:AA146),"")</f>
        <v/>
      </c>
      <c r="N146">
        <f>IF(ISNUMBER(J146),J146,IF(ISNUMBER(K146),-K146,""))</f>
        <v/>
      </c>
      <c r="O146">
        <f>IF(ISNUMBER(K146),K146,IF(ISNUMBER(J146),-J146,""))</f>
        <v/>
      </c>
      <c r="P146">
        <f>IF(AND(ISNUMBER(N146),ISNUMBER(N143)),VLOOKUP(ABS(N146-N143),'IMP Table'!$A$2:$C$26,3)*SIGN(N146-N143),"")</f>
        <v/>
      </c>
      <c r="Q146">
        <f>IF(AND(ISNUMBER(N146),ISNUMBER(N144)),VLOOKUP(ABS(N146-N144),'IMP Table'!$A$2:$C$26,3)*SIGN(N146-N144),"")</f>
        <v/>
      </c>
      <c r="R146">
        <f>IF(AND(ISNUMBER(N146),ISNUMBER(N145)),VLOOKUP(ABS(N146-N145),'IMP Table'!$A$2:$C$26,3)*SIGN(N146-N145),"")</f>
        <v/>
      </c>
      <c r="S146">
        <f>IF(AND(ISNUMBER(N146),ISNUMBER(N147)),VLOOKUP(ABS(N146-N147),'IMP Table'!$A$2:$C$26,3)*SIGN(N146-N147),"")</f>
        <v/>
      </c>
      <c r="T146">
        <f>IF(AND(ISNUMBER(N146),ISNUMBER(N148)),VLOOKUP(ABS(N146-N148),'IMP Table'!$A$2:$C$26,3)*SIGN(N146-N148),"")</f>
        <v/>
      </c>
      <c r="U146">
        <f>IF(AND(ISNUMBER(N146),ISNUMBER(N149)),VLOOKUP(ABS(N146-N149),'IMP Table'!$A$2:$C$26,3)*SIGN(N146-N149),"")</f>
        <v/>
      </c>
      <c r="V146">
        <f>IF(AND(ISNUMBER(O146),ISNUMBER(O143)),VLOOKUP(ABS(O146-O143),'IMP Table'!$A$2:$C$26,3)*SIGN(O146-O143),"")</f>
        <v/>
      </c>
      <c r="W146">
        <f>IF(AND(ISNUMBER(O146),ISNUMBER(O144)),VLOOKUP(ABS(O146-O144),'IMP Table'!$A$2:$C$26,3)*SIGN(O146-O144),"")</f>
        <v/>
      </c>
      <c r="X146">
        <f>IF(AND(ISNUMBER(O146),ISNUMBER(O145)),VLOOKUP(ABS(O146-O145),'IMP Table'!$A$2:$C$26,3)*SIGN(O146-O145),"")</f>
        <v/>
      </c>
      <c r="Y146">
        <f>IF(AND(ISNUMBER(O146),ISNUMBER(O147)),VLOOKUP(ABS(O146-O147),'IMP Table'!$A$2:$C$26,3)*SIGN(O146-O147),"")</f>
        <v/>
      </c>
      <c r="Z146">
        <f>IF(AND(ISNUMBER(O146),ISNUMBER(O148)),VLOOKUP(ABS(O146-O148),'IMP Table'!$A$2:$C$26,3)*SIGN(O146-O148),"")</f>
        <v/>
      </c>
      <c r="AA146">
        <f>IF(AND(ISNUMBER(O146),ISNUMBER(O149)),VLOOKUP(ABS(O146-O149),'IMP Table'!$A$2:$C$26,3)*SIGN(O146-O149),"")</f>
        <v/>
      </c>
    </row>
    <row r="147">
      <c r="B147">
        <f>'By Round'!A114</f>
        <v/>
      </c>
      <c r="C147">
        <f>'By Round'!B116</f>
        <v/>
      </c>
      <c r="D147">
        <f>'By Round'!C116</f>
        <v/>
      </c>
      <c r="E147">
        <f>'By Round'!D116</f>
        <v/>
      </c>
      <c r="F147" s="10" t="inlineStr">
        <is>
          <t>NS</t>
        </is>
      </c>
      <c r="G147">
        <f>'By Round'!G116</f>
        <v/>
      </c>
      <c r="H147">
        <f>'By Round'!H116</f>
        <v/>
      </c>
      <c r="I147">
        <f>'By Round'!I116</f>
        <v/>
      </c>
      <c r="J147">
        <f>'By Round'!J116</f>
        <v/>
      </c>
      <c r="K147">
        <f>'By Round'!K116</f>
        <v/>
      </c>
      <c r="L147" s="11">
        <f>IFERROR(AVERAGE(P147:U147),"")</f>
        <v/>
      </c>
      <c r="M147" s="4">
        <f>IFERROR(AVERAGE(V147:AA147),"")</f>
        <v/>
      </c>
      <c r="N147">
        <f>IF(ISNUMBER(J147),J147,IF(ISNUMBER(K147),-K147,""))</f>
        <v/>
      </c>
      <c r="O147">
        <f>IF(ISNUMBER(K147),K147,IF(ISNUMBER(J147),-J147,""))</f>
        <v/>
      </c>
      <c r="P147">
        <f>IF(AND(ISNUMBER(N147),ISNUMBER(N143)),VLOOKUP(ABS(N147-N143),'IMP Table'!$A$2:$C$26,3)*SIGN(N147-N143),"")</f>
        <v/>
      </c>
      <c r="Q147">
        <f>IF(AND(ISNUMBER(N147),ISNUMBER(N144)),VLOOKUP(ABS(N147-N144),'IMP Table'!$A$2:$C$26,3)*SIGN(N147-N144),"")</f>
        <v/>
      </c>
      <c r="R147">
        <f>IF(AND(ISNUMBER(N147),ISNUMBER(N145)),VLOOKUP(ABS(N147-N145),'IMP Table'!$A$2:$C$26,3)*SIGN(N147-N145),"")</f>
        <v/>
      </c>
      <c r="S147">
        <f>IF(AND(ISNUMBER(N147),ISNUMBER(N146)),VLOOKUP(ABS(N147-N146),'IMP Table'!$A$2:$C$26,3)*SIGN(N147-N146),"")</f>
        <v/>
      </c>
      <c r="T147">
        <f>IF(AND(ISNUMBER(N147),ISNUMBER(N148)),VLOOKUP(ABS(N147-N148),'IMP Table'!$A$2:$C$26,3)*SIGN(N147-N148),"")</f>
        <v/>
      </c>
      <c r="U147">
        <f>IF(AND(ISNUMBER(N147),ISNUMBER(N149)),VLOOKUP(ABS(N147-N149),'IMP Table'!$A$2:$C$26,3)*SIGN(N147-N149),"")</f>
        <v/>
      </c>
      <c r="V147">
        <f>IF(AND(ISNUMBER(O147),ISNUMBER(O143)),VLOOKUP(ABS(O147-O143),'IMP Table'!$A$2:$C$26,3)*SIGN(O147-O143),"")</f>
        <v/>
      </c>
      <c r="W147">
        <f>IF(AND(ISNUMBER(O147),ISNUMBER(O144)),VLOOKUP(ABS(O147-O144),'IMP Table'!$A$2:$C$26,3)*SIGN(O147-O144),"")</f>
        <v/>
      </c>
      <c r="X147">
        <f>IF(AND(ISNUMBER(O147),ISNUMBER(O145)),VLOOKUP(ABS(O147-O145),'IMP Table'!$A$2:$C$26,3)*SIGN(O147-O145),"")</f>
        <v/>
      </c>
      <c r="Y147">
        <f>IF(AND(ISNUMBER(O147),ISNUMBER(O146)),VLOOKUP(ABS(O147-O146),'IMP Table'!$A$2:$C$26,3)*SIGN(O147-O146),"")</f>
        <v/>
      </c>
      <c r="Z147">
        <f>IF(AND(ISNUMBER(O147),ISNUMBER(O148)),VLOOKUP(ABS(O147-O148),'IMP Table'!$A$2:$C$26,3)*SIGN(O147-O148),"")</f>
        <v/>
      </c>
      <c r="AA147">
        <f>IF(AND(ISNUMBER(O147),ISNUMBER(O149)),VLOOKUP(ABS(O147-O149),'IMP Table'!$A$2:$C$26,3)*SIGN(O147-O149),"")</f>
        <v/>
      </c>
    </row>
    <row r="148">
      <c r="B148">
        <f>'By Round'!A142</f>
        <v/>
      </c>
      <c r="C148">
        <f>'By Round'!B142</f>
        <v/>
      </c>
      <c r="D148">
        <f>'By Round'!C142</f>
        <v/>
      </c>
      <c r="E148">
        <f>'By Round'!D142</f>
        <v/>
      </c>
      <c r="F148" s="10" t="inlineStr">
        <is>
          <t>NS</t>
        </is>
      </c>
      <c r="G148">
        <f>'By Round'!G142</f>
        <v/>
      </c>
      <c r="H148">
        <f>'By Round'!H142</f>
        <v/>
      </c>
      <c r="I148">
        <f>'By Round'!I142</f>
        <v/>
      </c>
      <c r="J148">
        <f>'By Round'!J142</f>
        <v/>
      </c>
      <c r="K148">
        <f>'By Round'!K142</f>
        <v/>
      </c>
      <c r="L148" s="11">
        <f>IFERROR(AVERAGE(P148:U148),"")</f>
        <v/>
      </c>
      <c r="M148" s="4">
        <f>IFERROR(AVERAGE(V148:AA148),"")</f>
        <v/>
      </c>
      <c r="N148">
        <f>IF(ISNUMBER(J148),J148,IF(ISNUMBER(K148),-K148,""))</f>
        <v/>
      </c>
      <c r="O148">
        <f>IF(ISNUMBER(K148),K148,IF(ISNUMBER(J148),-J148,""))</f>
        <v/>
      </c>
      <c r="P148">
        <f>IF(AND(ISNUMBER(N148),ISNUMBER(N143)),VLOOKUP(ABS(N148-N143),'IMP Table'!$A$2:$C$26,3)*SIGN(N148-N143),"")</f>
        <v/>
      </c>
      <c r="Q148">
        <f>IF(AND(ISNUMBER(N148),ISNUMBER(N144)),VLOOKUP(ABS(N148-N144),'IMP Table'!$A$2:$C$26,3)*SIGN(N148-N144),"")</f>
        <v/>
      </c>
      <c r="R148">
        <f>IF(AND(ISNUMBER(N148),ISNUMBER(N145)),VLOOKUP(ABS(N148-N145),'IMP Table'!$A$2:$C$26,3)*SIGN(N148-N145),"")</f>
        <v/>
      </c>
      <c r="S148">
        <f>IF(AND(ISNUMBER(N148),ISNUMBER(N146)),VLOOKUP(ABS(N148-N146),'IMP Table'!$A$2:$C$26,3)*SIGN(N148-N146),"")</f>
        <v/>
      </c>
      <c r="T148">
        <f>IF(AND(ISNUMBER(N148),ISNUMBER(N147)),VLOOKUP(ABS(N148-N147),'IMP Table'!$A$2:$C$26,3)*SIGN(N148-N147),"")</f>
        <v/>
      </c>
      <c r="U148">
        <f>IF(AND(ISNUMBER(N148),ISNUMBER(N149)),VLOOKUP(ABS(N148-N149),'IMP Table'!$A$2:$C$26,3)*SIGN(N148-N149),"")</f>
        <v/>
      </c>
      <c r="V148">
        <f>IF(AND(ISNUMBER(O148),ISNUMBER(O143)),VLOOKUP(ABS(O148-O143),'IMP Table'!$A$2:$C$26,3)*SIGN(O148-O143),"")</f>
        <v/>
      </c>
      <c r="W148">
        <f>IF(AND(ISNUMBER(O148),ISNUMBER(O144)),VLOOKUP(ABS(O148-O144),'IMP Table'!$A$2:$C$26,3)*SIGN(O148-O144),"")</f>
        <v/>
      </c>
      <c r="X148">
        <f>IF(AND(ISNUMBER(O148),ISNUMBER(O145)),VLOOKUP(ABS(O148-O145),'IMP Table'!$A$2:$C$26,3)*SIGN(O148-O145),"")</f>
        <v/>
      </c>
      <c r="Y148">
        <f>IF(AND(ISNUMBER(O148),ISNUMBER(O146)),VLOOKUP(ABS(O148-O146),'IMP Table'!$A$2:$C$26,3)*SIGN(O148-O146),"")</f>
        <v/>
      </c>
      <c r="Z148">
        <f>IF(AND(ISNUMBER(O148),ISNUMBER(O147)),VLOOKUP(ABS(O148-O147),'IMP Table'!$A$2:$C$26,3)*SIGN(O148-O147),"")</f>
        <v/>
      </c>
      <c r="AA148">
        <f>IF(AND(ISNUMBER(O148),ISNUMBER(O149)),VLOOKUP(ABS(O148-O149),'IMP Table'!$A$2:$C$26,3)*SIGN(O148-O149),"")</f>
        <v/>
      </c>
    </row>
    <row r="149">
      <c r="B149">
        <f>'By Round'!A170</f>
        <v/>
      </c>
      <c r="C149">
        <f>'By Round'!B182</f>
        <v/>
      </c>
      <c r="D149">
        <f>'By Round'!C182</f>
        <v/>
      </c>
      <c r="E149">
        <f>'By Round'!D182</f>
        <v/>
      </c>
      <c r="F149" s="10" t="inlineStr">
        <is>
          <t>NS</t>
        </is>
      </c>
      <c r="G149">
        <f>'By Round'!G182</f>
        <v/>
      </c>
      <c r="H149">
        <f>'By Round'!H182</f>
        <v/>
      </c>
      <c r="I149">
        <f>'By Round'!I182</f>
        <v/>
      </c>
      <c r="J149">
        <f>'By Round'!J182</f>
        <v/>
      </c>
      <c r="K149">
        <f>'By Round'!K182</f>
        <v/>
      </c>
      <c r="L149" s="11">
        <f>IFERROR(AVERAGE(P149:U149),"")</f>
        <v/>
      </c>
      <c r="M149" s="4">
        <f>IFERROR(AVERAGE(V149:AA149),"")</f>
        <v/>
      </c>
      <c r="N149">
        <f>IF(ISNUMBER(J149),J149,IF(ISNUMBER(K149),-K149,""))</f>
        <v/>
      </c>
      <c r="O149">
        <f>IF(ISNUMBER(K149),K149,IF(ISNUMBER(J149),-J149,""))</f>
        <v/>
      </c>
      <c r="P149">
        <f>IF(AND(ISNUMBER(N149),ISNUMBER(N143)),VLOOKUP(ABS(N149-N143),'IMP Table'!$A$2:$C$26,3)*SIGN(N149-N143),"")</f>
        <v/>
      </c>
      <c r="Q149">
        <f>IF(AND(ISNUMBER(N149),ISNUMBER(N144)),VLOOKUP(ABS(N149-N144),'IMP Table'!$A$2:$C$26,3)*SIGN(N149-N144),"")</f>
        <v/>
      </c>
      <c r="R149">
        <f>IF(AND(ISNUMBER(N149),ISNUMBER(N145)),VLOOKUP(ABS(N149-N145),'IMP Table'!$A$2:$C$26,3)*SIGN(N149-N145),"")</f>
        <v/>
      </c>
      <c r="S149">
        <f>IF(AND(ISNUMBER(N149),ISNUMBER(N146)),VLOOKUP(ABS(N149-N146),'IMP Table'!$A$2:$C$26,3)*SIGN(N149-N146),"")</f>
        <v/>
      </c>
      <c r="T149">
        <f>IF(AND(ISNUMBER(N149),ISNUMBER(N147)),VLOOKUP(ABS(N149-N147),'IMP Table'!$A$2:$C$26,3)*SIGN(N149-N147),"")</f>
        <v/>
      </c>
      <c r="U149">
        <f>IF(AND(ISNUMBER(N149),ISNUMBER(N148)),VLOOKUP(ABS(N149-N148),'IMP Table'!$A$2:$C$26,3)*SIGN(N149-N148),"")</f>
        <v/>
      </c>
      <c r="V149">
        <f>IF(AND(ISNUMBER(O149),ISNUMBER(O143)),VLOOKUP(ABS(O149-O143),'IMP Table'!$A$2:$C$26,3)*SIGN(O149-O143),"")</f>
        <v/>
      </c>
      <c r="W149">
        <f>IF(AND(ISNUMBER(O149),ISNUMBER(O144)),VLOOKUP(ABS(O149-O144),'IMP Table'!$A$2:$C$26,3)*SIGN(O149-O144),"")</f>
        <v/>
      </c>
      <c r="X149">
        <f>IF(AND(ISNUMBER(O149),ISNUMBER(O145)),VLOOKUP(ABS(O149-O145),'IMP Table'!$A$2:$C$26,3)*SIGN(O149-O145),"")</f>
        <v/>
      </c>
      <c r="Y149">
        <f>IF(AND(ISNUMBER(O149),ISNUMBER(O146)),VLOOKUP(ABS(O149-O146),'IMP Table'!$A$2:$C$26,3)*SIGN(O149-O146),"")</f>
        <v/>
      </c>
      <c r="Z149">
        <f>IF(AND(ISNUMBER(O149),ISNUMBER(O147)),VLOOKUP(ABS(O149-O147),'IMP Table'!$A$2:$C$26,3)*SIGN(O149-O147),"")</f>
        <v/>
      </c>
      <c r="AA149">
        <f>IF(AND(ISNUMBER(O149),ISNUMBER(O148)),VLOOKUP(ABS(O149-O148),'IMP Table'!$A$2:$C$26,3)*SIGN(O149-O148),"")</f>
        <v/>
      </c>
    </row>
    <row r="150">
      <c r="A150" t="n">
        <v>22</v>
      </c>
      <c r="B150">
        <f>'By Round'!A2</f>
        <v/>
      </c>
      <c r="C150">
        <f>'By Round'!B12</f>
        <v/>
      </c>
      <c r="D150">
        <f>'By Round'!C12</f>
        <v/>
      </c>
      <c r="E150">
        <f>'By Round'!D12</f>
        <v/>
      </c>
      <c r="F150" s="10" t="inlineStr">
        <is>
          <t>EW</t>
        </is>
      </c>
      <c r="G150">
        <f>'By Round'!G13</f>
        <v/>
      </c>
      <c r="H150">
        <f>'By Round'!H13</f>
        <v/>
      </c>
      <c r="I150">
        <f>'By Round'!I13</f>
        <v/>
      </c>
      <c r="J150">
        <f>'By Round'!J13</f>
        <v/>
      </c>
      <c r="K150">
        <f>'By Round'!K13</f>
        <v/>
      </c>
      <c r="L150" s="11">
        <f>IFERROR(AVERAGE(P150:U150),"")</f>
        <v/>
      </c>
      <c r="M150" s="4">
        <f>IFERROR(AVERAGE(V150:AA150),"")</f>
        <v/>
      </c>
      <c r="N150">
        <f>IF(ISNUMBER(J150),J150,IF(ISNUMBER(K150),-K150,""))</f>
        <v/>
      </c>
      <c r="O150">
        <f>IF(ISNUMBER(K150),K150,IF(ISNUMBER(J150),-J150,""))</f>
        <v/>
      </c>
      <c r="P150">
        <f>IF(AND(ISNUMBER(N150),ISNUMBER(N151)),VLOOKUP(ABS(N150-N151),'IMP Table'!$A$2:$C$26,3)*SIGN(N150-N151),"")</f>
        <v/>
      </c>
      <c r="Q150">
        <f>IF(AND(ISNUMBER(N150),ISNUMBER(N152)),VLOOKUP(ABS(N150-N152),'IMP Table'!$A$2:$C$26,3)*SIGN(N150-N152),"")</f>
        <v/>
      </c>
      <c r="R150">
        <f>IF(AND(ISNUMBER(N150),ISNUMBER(N153)),VLOOKUP(ABS(N150-N153),'IMP Table'!$A$2:$C$26,3)*SIGN(N150-N153),"")</f>
        <v/>
      </c>
      <c r="S150">
        <f>IF(AND(ISNUMBER(N150),ISNUMBER(N154)),VLOOKUP(ABS(N150-N154),'IMP Table'!$A$2:$C$26,3)*SIGN(N150-N154),"")</f>
        <v/>
      </c>
      <c r="T150">
        <f>IF(AND(ISNUMBER(N150),ISNUMBER(N155)),VLOOKUP(ABS(N150-N155),'IMP Table'!$A$2:$C$26,3)*SIGN(N150-N155),"")</f>
        <v/>
      </c>
      <c r="U150">
        <f>IF(AND(ISNUMBER(N150),ISNUMBER(N156)),VLOOKUP(ABS(N150-N156),'IMP Table'!$A$2:$C$26,3)*SIGN(N150-N156),"")</f>
        <v/>
      </c>
      <c r="V150">
        <f>IF(AND(ISNUMBER(O150),ISNUMBER(O151)),VLOOKUP(ABS(O150-O151),'IMP Table'!$A$2:$C$26,3)*SIGN(O150-O151),"")</f>
        <v/>
      </c>
      <c r="W150">
        <f>IF(AND(ISNUMBER(O150),ISNUMBER(O152)),VLOOKUP(ABS(O150-O152),'IMP Table'!$A$2:$C$26,3)*SIGN(O150-O152),"")</f>
        <v/>
      </c>
      <c r="X150">
        <f>IF(AND(ISNUMBER(O150),ISNUMBER(O153)),VLOOKUP(ABS(O150-O153),'IMP Table'!$A$2:$C$26,3)*SIGN(O150-O153),"")</f>
        <v/>
      </c>
      <c r="Y150">
        <f>IF(AND(ISNUMBER(O150),ISNUMBER(O154)),VLOOKUP(ABS(O150-O154),'IMP Table'!$A$2:$C$26,3)*SIGN(O150-O154),"")</f>
        <v/>
      </c>
      <c r="Z150">
        <f>IF(AND(ISNUMBER(O150),ISNUMBER(O155)),VLOOKUP(ABS(O150-O155),'IMP Table'!$A$2:$C$26,3)*SIGN(O150-O155),"")</f>
        <v/>
      </c>
      <c r="AA150">
        <f>IF(AND(ISNUMBER(O150),ISNUMBER(O156)),VLOOKUP(ABS(O150-O156),'IMP Table'!$A$2:$C$26,3)*SIGN(O150-O156),"")</f>
        <v/>
      </c>
    </row>
    <row r="151">
      <c r="B151">
        <f>'By Round'!A16</f>
        <v/>
      </c>
      <c r="C151">
        <f>'By Round'!B24</f>
        <v/>
      </c>
      <c r="D151">
        <f>'By Round'!C24</f>
        <v/>
      </c>
      <c r="E151">
        <f>'By Round'!D24</f>
        <v/>
      </c>
      <c r="F151" s="10" t="inlineStr">
        <is>
          <t>EW</t>
        </is>
      </c>
      <c r="G151">
        <f>'By Round'!G25</f>
        <v/>
      </c>
      <c r="H151">
        <f>'By Round'!H25</f>
        <v/>
      </c>
      <c r="I151">
        <f>'By Round'!I25</f>
        <v/>
      </c>
      <c r="J151">
        <f>'By Round'!J25</f>
        <v/>
      </c>
      <c r="K151">
        <f>'By Round'!K25</f>
        <v/>
      </c>
      <c r="L151" s="11">
        <f>IFERROR(AVERAGE(P151:U151),"")</f>
        <v/>
      </c>
      <c r="M151" s="4">
        <f>IFERROR(AVERAGE(V151:AA151),"")</f>
        <v/>
      </c>
      <c r="N151">
        <f>IF(ISNUMBER(J151),J151,IF(ISNUMBER(K151),-K151,""))</f>
        <v/>
      </c>
      <c r="O151">
        <f>IF(ISNUMBER(K151),K151,IF(ISNUMBER(J151),-J151,""))</f>
        <v/>
      </c>
      <c r="P151">
        <f>IF(AND(ISNUMBER(N151),ISNUMBER(N150)),VLOOKUP(ABS(N151-N150),'IMP Table'!$A$2:$C$26,3)*SIGN(N151-N150),"")</f>
        <v/>
      </c>
      <c r="Q151">
        <f>IF(AND(ISNUMBER(N151),ISNUMBER(N152)),VLOOKUP(ABS(N151-N152),'IMP Table'!$A$2:$C$26,3)*SIGN(N151-N152),"")</f>
        <v/>
      </c>
      <c r="R151">
        <f>IF(AND(ISNUMBER(N151),ISNUMBER(N153)),VLOOKUP(ABS(N151-N153),'IMP Table'!$A$2:$C$26,3)*SIGN(N151-N153),"")</f>
        <v/>
      </c>
      <c r="S151">
        <f>IF(AND(ISNUMBER(N151),ISNUMBER(N154)),VLOOKUP(ABS(N151-N154),'IMP Table'!$A$2:$C$26,3)*SIGN(N151-N154),"")</f>
        <v/>
      </c>
      <c r="T151">
        <f>IF(AND(ISNUMBER(N151),ISNUMBER(N155)),VLOOKUP(ABS(N151-N155),'IMP Table'!$A$2:$C$26,3)*SIGN(N151-N155),"")</f>
        <v/>
      </c>
      <c r="U151">
        <f>IF(AND(ISNUMBER(N151),ISNUMBER(N156)),VLOOKUP(ABS(N151-N156),'IMP Table'!$A$2:$C$26,3)*SIGN(N151-N156),"")</f>
        <v/>
      </c>
      <c r="V151">
        <f>IF(AND(ISNUMBER(O151),ISNUMBER(O150)),VLOOKUP(ABS(O151-O150),'IMP Table'!$A$2:$C$26,3)*SIGN(O151-O150),"")</f>
        <v/>
      </c>
      <c r="W151">
        <f>IF(AND(ISNUMBER(O151),ISNUMBER(O152)),VLOOKUP(ABS(O151-O152),'IMP Table'!$A$2:$C$26,3)*SIGN(O151-O152),"")</f>
        <v/>
      </c>
      <c r="X151">
        <f>IF(AND(ISNUMBER(O151),ISNUMBER(O153)),VLOOKUP(ABS(O151-O153),'IMP Table'!$A$2:$C$26,3)*SIGN(O151-O153),"")</f>
        <v/>
      </c>
      <c r="Y151">
        <f>IF(AND(ISNUMBER(O151),ISNUMBER(O154)),VLOOKUP(ABS(O151-O154),'IMP Table'!$A$2:$C$26,3)*SIGN(O151-O154),"")</f>
        <v/>
      </c>
      <c r="Z151">
        <f>IF(AND(ISNUMBER(O151),ISNUMBER(O155)),VLOOKUP(ABS(O151-O155),'IMP Table'!$A$2:$C$26,3)*SIGN(O151-O155),"")</f>
        <v/>
      </c>
      <c r="AA151">
        <f>IF(AND(ISNUMBER(O151),ISNUMBER(O156)),VLOOKUP(ABS(O151-O156),'IMP Table'!$A$2:$C$26,3)*SIGN(O151-O156),"")</f>
        <v/>
      </c>
    </row>
    <row r="152">
      <c r="B152">
        <f>'By Round'!A86</f>
        <v/>
      </c>
      <c r="C152">
        <f>'By Round'!B92</f>
        <v/>
      </c>
      <c r="D152">
        <f>'By Round'!C92</f>
        <v/>
      </c>
      <c r="E152">
        <f>'By Round'!D92</f>
        <v/>
      </c>
      <c r="F152" s="10" t="inlineStr">
        <is>
          <t>EW</t>
        </is>
      </c>
      <c r="G152">
        <f>'By Round'!G93</f>
        <v/>
      </c>
      <c r="H152">
        <f>'By Round'!H93</f>
        <v/>
      </c>
      <c r="I152">
        <f>'By Round'!I93</f>
        <v/>
      </c>
      <c r="J152">
        <f>'By Round'!J93</f>
        <v/>
      </c>
      <c r="K152">
        <f>'By Round'!K93</f>
        <v/>
      </c>
      <c r="L152" s="11">
        <f>IFERROR(AVERAGE(P152:U152),"")</f>
        <v/>
      </c>
      <c r="M152" s="4">
        <f>IFERROR(AVERAGE(V152:AA152),"")</f>
        <v/>
      </c>
      <c r="N152">
        <f>IF(ISNUMBER(J152),J152,IF(ISNUMBER(K152),-K152,""))</f>
        <v/>
      </c>
      <c r="O152">
        <f>IF(ISNUMBER(K152),K152,IF(ISNUMBER(J152),-J152,""))</f>
        <v/>
      </c>
      <c r="P152">
        <f>IF(AND(ISNUMBER(N152),ISNUMBER(N150)),VLOOKUP(ABS(N152-N150),'IMP Table'!$A$2:$C$26,3)*SIGN(N152-N150),"")</f>
        <v/>
      </c>
      <c r="Q152">
        <f>IF(AND(ISNUMBER(N152),ISNUMBER(N151)),VLOOKUP(ABS(N152-N151),'IMP Table'!$A$2:$C$26,3)*SIGN(N152-N151),"")</f>
        <v/>
      </c>
      <c r="R152">
        <f>IF(AND(ISNUMBER(N152),ISNUMBER(N153)),VLOOKUP(ABS(N152-N153),'IMP Table'!$A$2:$C$26,3)*SIGN(N152-N153),"")</f>
        <v/>
      </c>
      <c r="S152">
        <f>IF(AND(ISNUMBER(N152),ISNUMBER(N154)),VLOOKUP(ABS(N152-N154),'IMP Table'!$A$2:$C$26,3)*SIGN(N152-N154),"")</f>
        <v/>
      </c>
      <c r="T152">
        <f>IF(AND(ISNUMBER(N152),ISNUMBER(N155)),VLOOKUP(ABS(N152-N155),'IMP Table'!$A$2:$C$26,3)*SIGN(N152-N155),"")</f>
        <v/>
      </c>
      <c r="U152">
        <f>IF(AND(ISNUMBER(N152),ISNUMBER(N156)),VLOOKUP(ABS(N152-N156),'IMP Table'!$A$2:$C$26,3)*SIGN(N152-N156),"")</f>
        <v/>
      </c>
      <c r="V152">
        <f>IF(AND(ISNUMBER(O152),ISNUMBER(O150)),VLOOKUP(ABS(O152-O150),'IMP Table'!$A$2:$C$26,3)*SIGN(O152-O150),"")</f>
        <v/>
      </c>
      <c r="W152">
        <f>IF(AND(ISNUMBER(O152),ISNUMBER(O151)),VLOOKUP(ABS(O152-O151),'IMP Table'!$A$2:$C$26,3)*SIGN(O152-O151),"")</f>
        <v/>
      </c>
      <c r="X152">
        <f>IF(AND(ISNUMBER(O152),ISNUMBER(O153)),VLOOKUP(ABS(O152-O153),'IMP Table'!$A$2:$C$26,3)*SIGN(O152-O153),"")</f>
        <v/>
      </c>
      <c r="Y152">
        <f>IF(AND(ISNUMBER(O152),ISNUMBER(O154)),VLOOKUP(ABS(O152-O154),'IMP Table'!$A$2:$C$26,3)*SIGN(O152-O154),"")</f>
        <v/>
      </c>
      <c r="Z152">
        <f>IF(AND(ISNUMBER(O152),ISNUMBER(O155)),VLOOKUP(ABS(O152-O155),'IMP Table'!$A$2:$C$26,3)*SIGN(O152-O155),"")</f>
        <v/>
      </c>
      <c r="AA152">
        <f>IF(AND(ISNUMBER(O152),ISNUMBER(O156)),VLOOKUP(ABS(O152-O156),'IMP Table'!$A$2:$C$26,3)*SIGN(O152-O156),"")</f>
        <v/>
      </c>
    </row>
    <row r="153">
      <c r="B153">
        <f>'By Round'!A100</f>
        <v/>
      </c>
      <c r="C153">
        <f>'By Round'!B104</f>
        <v/>
      </c>
      <c r="D153">
        <f>'By Round'!C104</f>
        <v/>
      </c>
      <c r="E153">
        <f>'By Round'!D104</f>
        <v/>
      </c>
      <c r="F153" s="10" t="inlineStr">
        <is>
          <t>EW</t>
        </is>
      </c>
      <c r="G153">
        <f>'By Round'!G105</f>
        <v/>
      </c>
      <c r="H153">
        <f>'By Round'!H105</f>
        <v/>
      </c>
      <c r="I153">
        <f>'By Round'!I105</f>
        <v/>
      </c>
      <c r="J153">
        <f>'By Round'!J105</f>
        <v/>
      </c>
      <c r="K153">
        <f>'By Round'!K105</f>
        <v/>
      </c>
      <c r="L153" s="11">
        <f>IFERROR(AVERAGE(P153:U153),"")</f>
        <v/>
      </c>
      <c r="M153" s="4">
        <f>IFERROR(AVERAGE(V153:AA153),"")</f>
        <v/>
      </c>
      <c r="N153">
        <f>IF(ISNUMBER(J153),J153,IF(ISNUMBER(K153),-K153,""))</f>
        <v/>
      </c>
      <c r="O153">
        <f>IF(ISNUMBER(K153),K153,IF(ISNUMBER(J153),-J153,""))</f>
        <v/>
      </c>
      <c r="P153">
        <f>IF(AND(ISNUMBER(N153),ISNUMBER(N150)),VLOOKUP(ABS(N153-N150),'IMP Table'!$A$2:$C$26,3)*SIGN(N153-N150),"")</f>
        <v/>
      </c>
      <c r="Q153">
        <f>IF(AND(ISNUMBER(N153),ISNUMBER(N151)),VLOOKUP(ABS(N153-N151),'IMP Table'!$A$2:$C$26,3)*SIGN(N153-N151),"")</f>
        <v/>
      </c>
      <c r="R153">
        <f>IF(AND(ISNUMBER(N153),ISNUMBER(N152)),VLOOKUP(ABS(N153-N152),'IMP Table'!$A$2:$C$26,3)*SIGN(N153-N152),"")</f>
        <v/>
      </c>
      <c r="S153">
        <f>IF(AND(ISNUMBER(N153),ISNUMBER(N154)),VLOOKUP(ABS(N153-N154),'IMP Table'!$A$2:$C$26,3)*SIGN(N153-N154),"")</f>
        <v/>
      </c>
      <c r="T153">
        <f>IF(AND(ISNUMBER(N153),ISNUMBER(N155)),VLOOKUP(ABS(N153-N155),'IMP Table'!$A$2:$C$26,3)*SIGN(N153-N155),"")</f>
        <v/>
      </c>
      <c r="U153">
        <f>IF(AND(ISNUMBER(N153),ISNUMBER(N156)),VLOOKUP(ABS(N153-N156),'IMP Table'!$A$2:$C$26,3)*SIGN(N153-N156),"")</f>
        <v/>
      </c>
      <c r="V153">
        <f>IF(AND(ISNUMBER(O153),ISNUMBER(O150)),VLOOKUP(ABS(O153-O150),'IMP Table'!$A$2:$C$26,3)*SIGN(O153-O150),"")</f>
        <v/>
      </c>
      <c r="W153">
        <f>IF(AND(ISNUMBER(O153),ISNUMBER(O151)),VLOOKUP(ABS(O153-O151),'IMP Table'!$A$2:$C$26,3)*SIGN(O153-O151),"")</f>
        <v/>
      </c>
      <c r="X153">
        <f>IF(AND(ISNUMBER(O153),ISNUMBER(O152)),VLOOKUP(ABS(O153-O152),'IMP Table'!$A$2:$C$26,3)*SIGN(O153-O152),"")</f>
        <v/>
      </c>
      <c r="Y153">
        <f>IF(AND(ISNUMBER(O153),ISNUMBER(O154)),VLOOKUP(ABS(O153-O154),'IMP Table'!$A$2:$C$26,3)*SIGN(O153-O154),"")</f>
        <v/>
      </c>
      <c r="Z153">
        <f>IF(AND(ISNUMBER(O153),ISNUMBER(O155)),VLOOKUP(ABS(O153-O155),'IMP Table'!$A$2:$C$26,3)*SIGN(O153-O155),"")</f>
        <v/>
      </c>
      <c r="AA153">
        <f>IF(AND(ISNUMBER(O153),ISNUMBER(O156)),VLOOKUP(ABS(O153-O156),'IMP Table'!$A$2:$C$26,3)*SIGN(O153-O156),"")</f>
        <v/>
      </c>
    </row>
    <row r="154">
      <c r="B154">
        <f>'By Round'!A114</f>
        <v/>
      </c>
      <c r="C154">
        <f>'By Round'!B116</f>
        <v/>
      </c>
      <c r="D154">
        <f>'By Round'!C116</f>
        <v/>
      </c>
      <c r="E154">
        <f>'By Round'!D116</f>
        <v/>
      </c>
      <c r="F154" s="10" t="inlineStr">
        <is>
          <t>EW</t>
        </is>
      </c>
      <c r="G154">
        <f>'By Round'!G117</f>
        <v/>
      </c>
      <c r="H154">
        <f>'By Round'!H117</f>
        <v/>
      </c>
      <c r="I154">
        <f>'By Round'!I117</f>
        <v/>
      </c>
      <c r="J154">
        <f>'By Round'!J117</f>
        <v/>
      </c>
      <c r="K154">
        <f>'By Round'!K117</f>
        <v/>
      </c>
      <c r="L154" s="11">
        <f>IFERROR(AVERAGE(P154:U154),"")</f>
        <v/>
      </c>
      <c r="M154" s="4">
        <f>IFERROR(AVERAGE(V154:AA154),"")</f>
        <v/>
      </c>
      <c r="N154">
        <f>IF(ISNUMBER(J154),J154,IF(ISNUMBER(K154),-K154,""))</f>
        <v/>
      </c>
      <c r="O154">
        <f>IF(ISNUMBER(K154),K154,IF(ISNUMBER(J154),-J154,""))</f>
        <v/>
      </c>
      <c r="P154">
        <f>IF(AND(ISNUMBER(N154),ISNUMBER(N150)),VLOOKUP(ABS(N154-N150),'IMP Table'!$A$2:$C$26,3)*SIGN(N154-N150),"")</f>
        <v/>
      </c>
      <c r="Q154">
        <f>IF(AND(ISNUMBER(N154),ISNUMBER(N151)),VLOOKUP(ABS(N154-N151),'IMP Table'!$A$2:$C$26,3)*SIGN(N154-N151),"")</f>
        <v/>
      </c>
      <c r="R154">
        <f>IF(AND(ISNUMBER(N154),ISNUMBER(N152)),VLOOKUP(ABS(N154-N152),'IMP Table'!$A$2:$C$26,3)*SIGN(N154-N152),"")</f>
        <v/>
      </c>
      <c r="S154">
        <f>IF(AND(ISNUMBER(N154),ISNUMBER(N153)),VLOOKUP(ABS(N154-N153),'IMP Table'!$A$2:$C$26,3)*SIGN(N154-N153),"")</f>
        <v/>
      </c>
      <c r="T154">
        <f>IF(AND(ISNUMBER(N154),ISNUMBER(N155)),VLOOKUP(ABS(N154-N155),'IMP Table'!$A$2:$C$26,3)*SIGN(N154-N155),"")</f>
        <v/>
      </c>
      <c r="U154">
        <f>IF(AND(ISNUMBER(N154),ISNUMBER(N156)),VLOOKUP(ABS(N154-N156),'IMP Table'!$A$2:$C$26,3)*SIGN(N154-N156),"")</f>
        <v/>
      </c>
      <c r="V154">
        <f>IF(AND(ISNUMBER(O154),ISNUMBER(O150)),VLOOKUP(ABS(O154-O150),'IMP Table'!$A$2:$C$26,3)*SIGN(O154-O150),"")</f>
        <v/>
      </c>
      <c r="W154">
        <f>IF(AND(ISNUMBER(O154),ISNUMBER(O151)),VLOOKUP(ABS(O154-O151),'IMP Table'!$A$2:$C$26,3)*SIGN(O154-O151),"")</f>
        <v/>
      </c>
      <c r="X154">
        <f>IF(AND(ISNUMBER(O154),ISNUMBER(O152)),VLOOKUP(ABS(O154-O152),'IMP Table'!$A$2:$C$26,3)*SIGN(O154-O152),"")</f>
        <v/>
      </c>
      <c r="Y154">
        <f>IF(AND(ISNUMBER(O154),ISNUMBER(O153)),VLOOKUP(ABS(O154-O153),'IMP Table'!$A$2:$C$26,3)*SIGN(O154-O153),"")</f>
        <v/>
      </c>
      <c r="Z154">
        <f>IF(AND(ISNUMBER(O154),ISNUMBER(O155)),VLOOKUP(ABS(O154-O155),'IMP Table'!$A$2:$C$26,3)*SIGN(O154-O155),"")</f>
        <v/>
      </c>
      <c r="AA154">
        <f>IF(AND(ISNUMBER(O154),ISNUMBER(O156)),VLOOKUP(ABS(O154-O156),'IMP Table'!$A$2:$C$26,3)*SIGN(O154-O156),"")</f>
        <v/>
      </c>
    </row>
    <row r="155">
      <c r="B155">
        <f>'By Round'!A142</f>
        <v/>
      </c>
      <c r="C155">
        <f>'By Round'!B142</f>
        <v/>
      </c>
      <c r="D155">
        <f>'By Round'!C142</f>
        <v/>
      </c>
      <c r="E155">
        <f>'By Round'!D142</f>
        <v/>
      </c>
      <c r="F155" s="10" t="inlineStr">
        <is>
          <t>EW</t>
        </is>
      </c>
      <c r="G155">
        <f>'By Round'!G143</f>
        <v/>
      </c>
      <c r="H155">
        <f>'By Round'!H143</f>
        <v/>
      </c>
      <c r="I155">
        <f>'By Round'!I143</f>
        <v/>
      </c>
      <c r="J155">
        <f>'By Round'!J143</f>
        <v/>
      </c>
      <c r="K155">
        <f>'By Round'!K143</f>
        <v/>
      </c>
      <c r="L155" s="11">
        <f>IFERROR(AVERAGE(P155:U155),"")</f>
        <v/>
      </c>
      <c r="M155" s="4">
        <f>IFERROR(AVERAGE(V155:AA155),"")</f>
        <v/>
      </c>
      <c r="N155">
        <f>IF(ISNUMBER(J155),J155,IF(ISNUMBER(K155),-K155,""))</f>
        <v/>
      </c>
      <c r="O155">
        <f>IF(ISNUMBER(K155),K155,IF(ISNUMBER(J155),-J155,""))</f>
        <v/>
      </c>
      <c r="P155">
        <f>IF(AND(ISNUMBER(N155),ISNUMBER(N150)),VLOOKUP(ABS(N155-N150),'IMP Table'!$A$2:$C$26,3)*SIGN(N155-N150),"")</f>
        <v/>
      </c>
      <c r="Q155">
        <f>IF(AND(ISNUMBER(N155),ISNUMBER(N151)),VLOOKUP(ABS(N155-N151),'IMP Table'!$A$2:$C$26,3)*SIGN(N155-N151),"")</f>
        <v/>
      </c>
      <c r="R155">
        <f>IF(AND(ISNUMBER(N155),ISNUMBER(N152)),VLOOKUP(ABS(N155-N152),'IMP Table'!$A$2:$C$26,3)*SIGN(N155-N152),"")</f>
        <v/>
      </c>
      <c r="S155">
        <f>IF(AND(ISNUMBER(N155),ISNUMBER(N153)),VLOOKUP(ABS(N155-N153),'IMP Table'!$A$2:$C$26,3)*SIGN(N155-N153),"")</f>
        <v/>
      </c>
      <c r="T155">
        <f>IF(AND(ISNUMBER(N155),ISNUMBER(N154)),VLOOKUP(ABS(N155-N154),'IMP Table'!$A$2:$C$26,3)*SIGN(N155-N154),"")</f>
        <v/>
      </c>
      <c r="U155">
        <f>IF(AND(ISNUMBER(N155),ISNUMBER(N156)),VLOOKUP(ABS(N155-N156),'IMP Table'!$A$2:$C$26,3)*SIGN(N155-N156),"")</f>
        <v/>
      </c>
      <c r="V155">
        <f>IF(AND(ISNUMBER(O155),ISNUMBER(O150)),VLOOKUP(ABS(O155-O150),'IMP Table'!$A$2:$C$26,3)*SIGN(O155-O150),"")</f>
        <v/>
      </c>
      <c r="W155">
        <f>IF(AND(ISNUMBER(O155),ISNUMBER(O151)),VLOOKUP(ABS(O155-O151),'IMP Table'!$A$2:$C$26,3)*SIGN(O155-O151),"")</f>
        <v/>
      </c>
      <c r="X155">
        <f>IF(AND(ISNUMBER(O155),ISNUMBER(O152)),VLOOKUP(ABS(O155-O152),'IMP Table'!$A$2:$C$26,3)*SIGN(O155-O152),"")</f>
        <v/>
      </c>
      <c r="Y155">
        <f>IF(AND(ISNUMBER(O155),ISNUMBER(O153)),VLOOKUP(ABS(O155-O153),'IMP Table'!$A$2:$C$26,3)*SIGN(O155-O153),"")</f>
        <v/>
      </c>
      <c r="Z155">
        <f>IF(AND(ISNUMBER(O155),ISNUMBER(O154)),VLOOKUP(ABS(O155-O154),'IMP Table'!$A$2:$C$26,3)*SIGN(O155-O154),"")</f>
        <v/>
      </c>
      <c r="AA155">
        <f>IF(AND(ISNUMBER(O155),ISNUMBER(O156)),VLOOKUP(ABS(O155-O156),'IMP Table'!$A$2:$C$26,3)*SIGN(O155-O156),"")</f>
        <v/>
      </c>
    </row>
    <row r="156">
      <c r="B156">
        <f>'By Round'!A170</f>
        <v/>
      </c>
      <c r="C156">
        <f>'By Round'!B182</f>
        <v/>
      </c>
      <c r="D156">
        <f>'By Round'!C182</f>
        <v/>
      </c>
      <c r="E156">
        <f>'By Round'!D182</f>
        <v/>
      </c>
      <c r="F156" s="10" t="inlineStr">
        <is>
          <t>EW</t>
        </is>
      </c>
      <c r="G156">
        <f>'By Round'!G183</f>
        <v/>
      </c>
      <c r="H156">
        <f>'By Round'!H183</f>
        <v/>
      </c>
      <c r="I156">
        <f>'By Round'!I183</f>
        <v/>
      </c>
      <c r="J156">
        <f>'By Round'!J183</f>
        <v/>
      </c>
      <c r="K156">
        <f>'By Round'!K183</f>
        <v/>
      </c>
      <c r="L156" s="11">
        <f>IFERROR(AVERAGE(P156:U156),"")</f>
        <v/>
      </c>
      <c r="M156" s="4">
        <f>IFERROR(AVERAGE(V156:AA156),"")</f>
        <v/>
      </c>
      <c r="N156">
        <f>IF(ISNUMBER(J156),J156,IF(ISNUMBER(K156),-K156,""))</f>
        <v/>
      </c>
      <c r="O156">
        <f>IF(ISNUMBER(K156),K156,IF(ISNUMBER(J156),-J156,""))</f>
        <v/>
      </c>
      <c r="P156">
        <f>IF(AND(ISNUMBER(N156),ISNUMBER(N150)),VLOOKUP(ABS(N156-N150),'IMP Table'!$A$2:$C$26,3)*SIGN(N156-N150),"")</f>
        <v/>
      </c>
      <c r="Q156">
        <f>IF(AND(ISNUMBER(N156),ISNUMBER(N151)),VLOOKUP(ABS(N156-N151),'IMP Table'!$A$2:$C$26,3)*SIGN(N156-N151),"")</f>
        <v/>
      </c>
      <c r="R156">
        <f>IF(AND(ISNUMBER(N156),ISNUMBER(N152)),VLOOKUP(ABS(N156-N152),'IMP Table'!$A$2:$C$26,3)*SIGN(N156-N152),"")</f>
        <v/>
      </c>
      <c r="S156">
        <f>IF(AND(ISNUMBER(N156),ISNUMBER(N153)),VLOOKUP(ABS(N156-N153),'IMP Table'!$A$2:$C$26,3)*SIGN(N156-N153),"")</f>
        <v/>
      </c>
      <c r="T156">
        <f>IF(AND(ISNUMBER(N156),ISNUMBER(N154)),VLOOKUP(ABS(N156-N154),'IMP Table'!$A$2:$C$26,3)*SIGN(N156-N154),"")</f>
        <v/>
      </c>
      <c r="U156">
        <f>IF(AND(ISNUMBER(N156),ISNUMBER(N155)),VLOOKUP(ABS(N156-N155),'IMP Table'!$A$2:$C$26,3)*SIGN(N156-N155),"")</f>
        <v/>
      </c>
      <c r="V156">
        <f>IF(AND(ISNUMBER(O156),ISNUMBER(O150)),VLOOKUP(ABS(O156-O150),'IMP Table'!$A$2:$C$26,3)*SIGN(O156-O150),"")</f>
        <v/>
      </c>
      <c r="W156">
        <f>IF(AND(ISNUMBER(O156),ISNUMBER(O151)),VLOOKUP(ABS(O156-O151),'IMP Table'!$A$2:$C$26,3)*SIGN(O156-O151),"")</f>
        <v/>
      </c>
      <c r="X156">
        <f>IF(AND(ISNUMBER(O156),ISNUMBER(O152)),VLOOKUP(ABS(O156-O152),'IMP Table'!$A$2:$C$26,3)*SIGN(O156-O152),"")</f>
        <v/>
      </c>
      <c r="Y156">
        <f>IF(AND(ISNUMBER(O156),ISNUMBER(O153)),VLOOKUP(ABS(O156-O153),'IMP Table'!$A$2:$C$26,3)*SIGN(O156-O153),"")</f>
        <v/>
      </c>
      <c r="Z156">
        <f>IF(AND(ISNUMBER(O156),ISNUMBER(O154)),VLOOKUP(ABS(O156-O154),'IMP Table'!$A$2:$C$26,3)*SIGN(O156-O154),"")</f>
        <v/>
      </c>
      <c r="AA156">
        <f>IF(AND(ISNUMBER(O156),ISNUMBER(O155)),VLOOKUP(ABS(O156-O155),'IMP Table'!$A$2:$C$26,3)*SIGN(O156-O155),"")</f>
        <v/>
      </c>
    </row>
    <row r="157">
      <c r="A157" t="n">
        <v>23</v>
      </c>
      <c r="B157">
        <f>'By Round'!A2</f>
        <v/>
      </c>
      <c r="C157">
        <f>'By Round'!B14</f>
        <v/>
      </c>
      <c r="D157">
        <f>'By Round'!C14</f>
        <v/>
      </c>
      <c r="E157">
        <f>'By Round'!D14</f>
        <v/>
      </c>
      <c r="F157" s="10" t="inlineStr">
        <is>
          <t>Both</t>
        </is>
      </c>
      <c r="G157">
        <f>'By Round'!G14</f>
        <v/>
      </c>
      <c r="H157">
        <f>'By Round'!H14</f>
        <v/>
      </c>
      <c r="I157">
        <f>'By Round'!I14</f>
        <v/>
      </c>
      <c r="J157">
        <f>'By Round'!J14</f>
        <v/>
      </c>
      <c r="K157">
        <f>'By Round'!K14</f>
        <v/>
      </c>
      <c r="L157" s="11">
        <f>IFERROR(AVERAGE(P157:U157),"")</f>
        <v/>
      </c>
      <c r="M157" s="4">
        <f>IFERROR(AVERAGE(V157:AA157),"")</f>
        <v/>
      </c>
      <c r="N157">
        <f>IF(ISNUMBER(J157),J157,IF(ISNUMBER(K157),-K157,""))</f>
        <v/>
      </c>
      <c r="O157">
        <f>IF(ISNUMBER(K157),K157,IF(ISNUMBER(J157),-J157,""))</f>
        <v/>
      </c>
      <c r="P157">
        <f>IF(AND(ISNUMBER(N157),ISNUMBER(N158)),VLOOKUP(ABS(N157-N158),'IMP Table'!$A$2:$C$26,3)*SIGN(N157-N158),"")</f>
        <v/>
      </c>
      <c r="Q157">
        <f>IF(AND(ISNUMBER(N157),ISNUMBER(N159)),VLOOKUP(ABS(N157-N159),'IMP Table'!$A$2:$C$26,3)*SIGN(N157-N159),"")</f>
        <v/>
      </c>
      <c r="R157">
        <f>IF(AND(ISNUMBER(N157),ISNUMBER(N160)),VLOOKUP(ABS(N157-N160),'IMP Table'!$A$2:$C$26,3)*SIGN(N157-N160),"")</f>
        <v/>
      </c>
      <c r="S157">
        <f>IF(AND(ISNUMBER(N157),ISNUMBER(N161)),VLOOKUP(ABS(N157-N161),'IMP Table'!$A$2:$C$26,3)*SIGN(N157-N161),"")</f>
        <v/>
      </c>
      <c r="T157">
        <f>IF(AND(ISNUMBER(N157),ISNUMBER(N162)),VLOOKUP(ABS(N157-N162),'IMP Table'!$A$2:$C$26,3)*SIGN(N157-N162),"")</f>
        <v/>
      </c>
      <c r="U157">
        <f>IF(AND(ISNUMBER(N157),ISNUMBER(N163)),VLOOKUP(ABS(N157-N163),'IMP Table'!$A$2:$C$26,3)*SIGN(N157-N163),"")</f>
        <v/>
      </c>
      <c r="V157">
        <f>IF(AND(ISNUMBER(O157),ISNUMBER(O158)),VLOOKUP(ABS(O157-O158),'IMP Table'!$A$2:$C$26,3)*SIGN(O157-O158),"")</f>
        <v/>
      </c>
      <c r="W157">
        <f>IF(AND(ISNUMBER(O157),ISNUMBER(O159)),VLOOKUP(ABS(O157-O159),'IMP Table'!$A$2:$C$26,3)*SIGN(O157-O159),"")</f>
        <v/>
      </c>
      <c r="X157">
        <f>IF(AND(ISNUMBER(O157),ISNUMBER(O160)),VLOOKUP(ABS(O157-O160),'IMP Table'!$A$2:$C$26,3)*SIGN(O157-O160),"")</f>
        <v/>
      </c>
      <c r="Y157">
        <f>IF(AND(ISNUMBER(O157),ISNUMBER(O161)),VLOOKUP(ABS(O157-O161),'IMP Table'!$A$2:$C$26,3)*SIGN(O157-O161),"")</f>
        <v/>
      </c>
      <c r="Z157">
        <f>IF(AND(ISNUMBER(O157),ISNUMBER(O162)),VLOOKUP(ABS(O157-O162),'IMP Table'!$A$2:$C$26,3)*SIGN(O157-O162),"")</f>
        <v/>
      </c>
      <c r="AA157">
        <f>IF(AND(ISNUMBER(O157),ISNUMBER(O163)),VLOOKUP(ABS(O157-O163),'IMP Table'!$A$2:$C$26,3)*SIGN(O157-O163),"")</f>
        <v/>
      </c>
    </row>
    <row r="158">
      <c r="B158">
        <f>'By Round'!A16</f>
        <v/>
      </c>
      <c r="C158">
        <f>'By Round'!B26</f>
        <v/>
      </c>
      <c r="D158">
        <f>'By Round'!C26</f>
        <v/>
      </c>
      <c r="E158">
        <f>'By Round'!D26</f>
        <v/>
      </c>
      <c r="F158" s="10" t="inlineStr">
        <is>
          <t>Both</t>
        </is>
      </c>
      <c r="G158">
        <f>'By Round'!G26</f>
        <v/>
      </c>
      <c r="H158">
        <f>'By Round'!H26</f>
        <v/>
      </c>
      <c r="I158">
        <f>'By Round'!I26</f>
        <v/>
      </c>
      <c r="J158">
        <f>'By Round'!J26</f>
        <v/>
      </c>
      <c r="K158">
        <f>'By Round'!K26</f>
        <v/>
      </c>
      <c r="L158" s="11">
        <f>IFERROR(AVERAGE(P158:U158),"")</f>
        <v/>
      </c>
      <c r="M158" s="4">
        <f>IFERROR(AVERAGE(V158:AA158),"")</f>
        <v/>
      </c>
      <c r="N158">
        <f>IF(ISNUMBER(J158),J158,IF(ISNUMBER(K158),-K158,""))</f>
        <v/>
      </c>
      <c r="O158">
        <f>IF(ISNUMBER(K158),K158,IF(ISNUMBER(J158),-J158,""))</f>
        <v/>
      </c>
      <c r="P158">
        <f>IF(AND(ISNUMBER(N158),ISNUMBER(N157)),VLOOKUP(ABS(N158-N157),'IMP Table'!$A$2:$C$26,3)*SIGN(N158-N157),"")</f>
        <v/>
      </c>
      <c r="Q158">
        <f>IF(AND(ISNUMBER(N158),ISNUMBER(N159)),VLOOKUP(ABS(N158-N159),'IMP Table'!$A$2:$C$26,3)*SIGN(N158-N159),"")</f>
        <v/>
      </c>
      <c r="R158">
        <f>IF(AND(ISNUMBER(N158),ISNUMBER(N160)),VLOOKUP(ABS(N158-N160),'IMP Table'!$A$2:$C$26,3)*SIGN(N158-N160),"")</f>
        <v/>
      </c>
      <c r="S158">
        <f>IF(AND(ISNUMBER(N158),ISNUMBER(N161)),VLOOKUP(ABS(N158-N161),'IMP Table'!$A$2:$C$26,3)*SIGN(N158-N161),"")</f>
        <v/>
      </c>
      <c r="T158">
        <f>IF(AND(ISNUMBER(N158),ISNUMBER(N162)),VLOOKUP(ABS(N158-N162),'IMP Table'!$A$2:$C$26,3)*SIGN(N158-N162),"")</f>
        <v/>
      </c>
      <c r="U158">
        <f>IF(AND(ISNUMBER(N158),ISNUMBER(N163)),VLOOKUP(ABS(N158-N163),'IMP Table'!$A$2:$C$26,3)*SIGN(N158-N163),"")</f>
        <v/>
      </c>
      <c r="V158">
        <f>IF(AND(ISNUMBER(O158),ISNUMBER(O157)),VLOOKUP(ABS(O158-O157),'IMP Table'!$A$2:$C$26,3)*SIGN(O158-O157),"")</f>
        <v/>
      </c>
      <c r="W158">
        <f>IF(AND(ISNUMBER(O158),ISNUMBER(O159)),VLOOKUP(ABS(O158-O159),'IMP Table'!$A$2:$C$26,3)*SIGN(O158-O159),"")</f>
        <v/>
      </c>
      <c r="X158">
        <f>IF(AND(ISNUMBER(O158),ISNUMBER(O160)),VLOOKUP(ABS(O158-O160),'IMP Table'!$A$2:$C$26,3)*SIGN(O158-O160),"")</f>
        <v/>
      </c>
      <c r="Y158">
        <f>IF(AND(ISNUMBER(O158),ISNUMBER(O161)),VLOOKUP(ABS(O158-O161),'IMP Table'!$A$2:$C$26,3)*SIGN(O158-O161),"")</f>
        <v/>
      </c>
      <c r="Z158">
        <f>IF(AND(ISNUMBER(O158),ISNUMBER(O162)),VLOOKUP(ABS(O158-O162),'IMP Table'!$A$2:$C$26,3)*SIGN(O158-O162),"")</f>
        <v/>
      </c>
      <c r="AA158">
        <f>IF(AND(ISNUMBER(O158),ISNUMBER(O163)),VLOOKUP(ABS(O158-O163),'IMP Table'!$A$2:$C$26,3)*SIGN(O158-O163),"")</f>
        <v/>
      </c>
    </row>
    <row r="159">
      <c r="B159">
        <f>'By Round'!A30</f>
        <v/>
      </c>
      <c r="C159">
        <f>'By Round'!B38</f>
        <v/>
      </c>
      <c r="D159">
        <f>'By Round'!C38</f>
        <v/>
      </c>
      <c r="E159">
        <f>'By Round'!D38</f>
        <v/>
      </c>
      <c r="F159" s="10" t="inlineStr">
        <is>
          <t>Both</t>
        </is>
      </c>
      <c r="G159">
        <f>'By Round'!G38</f>
        <v/>
      </c>
      <c r="H159">
        <f>'By Round'!H38</f>
        <v/>
      </c>
      <c r="I159">
        <f>'By Round'!I38</f>
        <v/>
      </c>
      <c r="J159">
        <f>'By Round'!J38</f>
        <v/>
      </c>
      <c r="K159">
        <f>'By Round'!K38</f>
        <v/>
      </c>
      <c r="L159" s="11">
        <f>IFERROR(AVERAGE(P159:U159),"")</f>
        <v/>
      </c>
      <c r="M159" s="4">
        <f>IFERROR(AVERAGE(V159:AA159),"")</f>
        <v/>
      </c>
      <c r="N159">
        <f>IF(ISNUMBER(J159),J159,IF(ISNUMBER(K159),-K159,""))</f>
        <v/>
      </c>
      <c r="O159">
        <f>IF(ISNUMBER(K159),K159,IF(ISNUMBER(J159),-J159,""))</f>
        <v/>
      </c>
      <c r="P159">
        <f>IF(AND(ISNUMBER(N159),ISNUMBER(N157)),VLOOKUP(ABS(N159-N157),'IMP Table'!$A$2:$C$26,3)*SIGN(N159-N157),"")</f>
        <v/>
      </c>
      <c r="Q159">
        <f>IF(AND(ISNUMBER(N159),ISNUMBER(N158)),VLOOKUP(ABS(N159-N158),'IMP Table'!$A$2:$C$26,3)*SIGN(N159-N158),"")</f>
        <v/>
      </c>
      <c r="R159">
        <f>IF(AND(ISNUMBER(N159),ISNUMBER(N160)),VLOOKUP(ABS(N159-N160),'IMP Table'!$A$2:$C$26,3)*SIGN(N159-N160),"")</f>
        <v/>
      </c>
      <c r="S159">
        <f>IF(AND(ISNUMBER(N159),ISNUMBER(N161)),VLOOKUP(ABS(N159-N161),'IMP Table'!$A$2:$C$26,3)*SIGN(N159-N161),"")</f>
        <v/>
      </c>
      <c r="T159">
        <f>IF(AND(ISNUMBER(N159),ISNUMBER(N162)),VLOOKUP(ABS(N159-N162),'IMP Table'!$A$2:$C$26,3)*SIGN(N159-N162),"")</f>
        <v/>
      </c>
      <c r="U159">
        <f>IF(AND(ISNUMBER(N159),ISNUMBER(N163)),VLOOKUP(ABS(N159-N163),'IMP Table'!$A$2:$C$26,3)*SIGN(N159-N163),"")</f>
        <v/>
      </c>
      <c r="V159">
        <f>IF(AND(ISNUMBER(O159),ISNUMBER(O157)),VLOOKUP(ABS(O159-O157),'IMP Table'!$A$2:$C$26,3)*SIGN(O159-O157),"")</f>
        <v/>
      </c>
      <c r="W159">
        <f>IF(AND(ISNUMBER(O159),ISNUMBER(O158)),VLOOKUP(ABS(O159-O158),'IMP Table'!$A$2:$C$26,3)*SIGN(O159-O158),"")</f>
        <v/>
      </c>
      <c r="X159">
        <f>IF(AND(ISNUMBER(O159),ISNUMBER(O160)),VLOOKUP(ABS(O159-O160),'IMP Table'!$A$2:$C$26,3)*SIGN(O159-O160),"")</f>
        <v/>
      </c>
      <c r="Y159">
        <f>IF(AND(ISNUMBER(O159),ISNUMBER(O161)),VLOOKUP(ABS(O159-O161),'IMP Table'!$A$2:$C$26,3)*SIGN(O159-O161),"")</f>
        <v/>
      </c>
      <c r="Z159">
        <f>IF(AND(ISNUMBER(O159),ISNUMBER(O162)),VLOOKUP(ABS(O159-O162),'IMP Table'!$A$2:$C$26,3)*SIGN(O159-O162),"")</f>
        <v/>
      </c>
      <c r="AA159">
        <f>IF(AND(ISNUMBER(O159),ISNUMBER(O163)),VLOOKUP(ABS(O159-O163),'IMP Table'!$A$2:$C$26,3)*SIGN(O159-O163),"")</f>
        <v/>
      </c>
    </row>
    <row r="160">
      <c r="B160">
        <f>'By Round'!A100</f>
        <v/>
      </c>
      <c r="C160">
        <f>'By Round'!B106</f>
        <v/>
      </c>
      <c r="D160">
        <f>'By Round'!C106</f>
        <v/>
      </c>
      <c r="E160">
        <f>'By Round'!D106</f>
        <v/>
      </c>
      <c r="F160" s="10" t="inlineStr">
        <is>
          <t>Both</t>
        </is>
      </c>
      <c r="G160">
        <f>'By Round'!G106</f>
        <v/>
      </c>
      <c r="H160">
        <f>'By Round'!H106</f>
        <v/>
      </c>
      <c r="I160">
        <f>'By Round'!I106</f>
        <v/>
      </c>
      <c r="J160">
        <f>'By Round'!J106</f>
        <v/>
      </c>
      <c r="K160">
        <f>'By Round'!K106</f>
        <v/>
      </c>
      <c r="L160" s="11">
        <f>IFERROR(AVERAGE(P160:U160),"")</f>
        <v/>
      </c>
      <c r="M160" s="4">
        <f>IFERROR(AVERAGE(V160:AA160),"")</f>
        <v/>
      </c>
      <c r="N160">
        <f>IF(ISNUMBER(J160),J160,IF(ISNUMBER(K160),-K160,""))</f>
        <v/>
      </c>
      <c r="O160">
        <f>IF(ISNUMBER(K160),K160,IF(ISNUMBER(J160),-J160,""))</f>
        <v/>
      </c>
      <c r="P160">
        <f>IF(AND(ISNUMBER(N160),ISNUMBER(N157)),VLOOKUP(ABS(N160-N157),'IMP Table'!$A$2:$C$26,3)*SIGN(N160-N157),"")</f>
        <v/>
      </c>
      <c r="Q160">
        <f>IF(AND(ISNUMBER(N160),ISNUMBER(N158)),VLOOKUP(ABS(N160-N158),'IMP Table'!$A$2:$C$26,3)*SIGN(N160-N158),"")</f>
        <v/>
      </c>
      <c r="R160">
        <f>IF(AND(ISNUMBER(N160),ISNUMBER(N159)),VLOOKUP(ABS(N160-N159),'IMP Table'!$A$2:$C$26,3)*SIGN(N160-N159),"")</f>
        <v/>
      </c>
      <c r="S160">
        <f>IF(AND(ISNUMBER(N160),ISNUMBER(N161)),VLOOKUP(ABS(N160-N161),'IMP Table'!$A$2:$C$26,3)*SIGN(N160-N161),"")</f>
        <v/>
      </c>
      <c r="T160">
        <f>IF(AND(ISNUMBER(N160),ISNUMBER(N162)),VLOOKUP(ABS(N160-N162),'IMP Table'!$A$2:$C$26,3)*SIGN(N160-N162),"")</f>
        <v/>
      </c>
      <c r="U160">
        <f>IF(AND(ISNUMBER(N160),ISNUMBER(N163)),VLOOKUP(ABS(N160-N163),'IMP Table'!$A$2:$C$26,3)*SIGN(N160-N163),"")</f>
        <v/>
      </c>
      <c r="V160">
        <f>IF(AND(ISNUMBER(O160),ISNUMBER(O157)),VLOOKUP(ABS(O160-O157),'IMP Table'!$A$2:$C$26,3)*SIGN(O160-O157),"")</f>
        <v/>
      </c>
      <c r="W160">
        <f>IF(AND(ISNUMBER(O160),ISNUMBER(O158)),VLOOKUP(ABS(O160-O158),'IMP Table'!$A$2:$C$26,3)*SIGN(O160-O158),"")</f>
        <v/>
      </c>
      <c r="X160">
        <f>IF(AND(ISNUMBER(O160),ISNUMBER(O159)),VLOOKUP(ABS(O160-O159),'IMP Table'!$A$2:$C$26,3)*SIGN(O160-O159),"")</f>
        <v/>
      </c>
      <c r="Y160">
        <f>IF(AND(ISNUMBER(O160),ISNUMBER(O161)),VLOOKUP(ABS(O160-O161),'IMP Table'!$A$2:$C$26,3)*SIGN(O160-O161),"")</f>
        <v/>
      </c>
      <c r="Z160">
        <f>IF(AND(ISNUMBER(O160),ISNUMBER(O162)),VLOOKUP(ABS(O160-O162),'IMP Table'!$A$2:$C$26,3)*SIGN(O160-O162),"")</f>
        <v/>
      </c>
      <c r="AA160">
        <f>IF(AND(ISNUMBER(O160),ISNUMBER(O163)),VLOOKUP(ABS(O160-O163),'IMP Table'!$A$2:$C$26,3)*SIGN(O160-O163),"")</f>
        <v/>
      </c>
    </row>
    <row r="161">
      <c r="B161">
        <f>'By Round'!A114</f>
        <v/>
      </c>
      <c r="C161">
        <f>'By Round'!B118</f>
        <v/>
      </c>
      <c r="D161">
        <f>'By Round'!C118</f>
        <v/>
      </c>
      <c r="E161">
        <f>'By Round'!D118</f>
        <v/>
      </c>
      <c r="F161" s="10" t="inlineStr">
        <is>
          <t>Both</t>
        </is>
      </c>
      <c r="G161">
        <f>'By Round'!G118</f>
        <v/>
      </c>
      <c r="H161">
        <f>'By Round'!H118</f>
        <v/>
      </c>
      <c r="I161">
        <f>'By Round'!I118</f>
        <v/>
      </c>
      <c r="J161">
        <f>'By Round'!J118</f>
        <v/>
      </c>
      <c r="K161">
        <f>'By Round'!K118</f>
        <v/>
      </c>
      <c r="L161" s="11">
        <f>IFERROR(AVERAGE(P161:U161),"")</f>
        <v/>
      </c>
      <c r="M161" s="4">
        <f>IFERROR(AVERAGE(V161:AA161),"")</f>
        <v/>
      </c>
      <c r="N161">
        <f>IF(ISNUMBER(J161),J161,IF(ISNUMBER(K161),-K161,""))</f>
        <v/>
      </c>
      <c r="O161">
        <f>IF(ISNUMBER(K161),K161,IF(ISNUMBER(J161),-J161,""))</f>
        <v/>
      </c>
      <c r="P161">
        <f>IF(AND(ISNUMBER(N161),ISNUMBER(N157)),VLOOKUP(ABS(N161-N157),'IMP Table'!$A$2:$C$26,3)*SIGN(N161-N157),"")</f>
        <v/>
      </c>
      <c r="Q161">
        <f>IF(AND(ISNUMBER(N161),ISNUMBER(N158)),VLOOKUP(ABS(N161-N158),'IMP Table'!$A$2:$C$26,3)*SIGN(N161-N158),"")</f>
        <v/>
      </c>
      <c r="R161">
        <f>IF(AND(ISNUMBER(N161),ISNUMBER(N159)),VLOOKUP(ABS(N161-N159),'IMP Table'!$A$2:$C$26,3)*SIGN(N161-N159),"")</f>
        <v/>
      </c>
      <c r="S161">
        <f>IF(AND(ISNUMBER(N161),ISNUMBER(N160)),VLOOKUP(ABS(N161-N160),'IMP Table'!$A$2:$C$26,3)*SIGN(N161-N160),"")</f>
        <v/>
      </c>
      <c r="T161">
        <f>IF(AND(ISNUMBER(N161),ISNUMBER(N162)),VLOOKUP(ABS(N161-N162),'IMP Table'!$A$2:$C$26,3)*SIGN(N161-N162),"")</f>
        <v/>
      </c>
      <c r="U161">
        <f>IF(AND(ISNUMBER(N161),ISNUMBER(N163)),VLOOKUP(ABS(N161-N163),'IMP Table'!$A$2:$C$26,3)*SIGN(N161-N163),"")</f>
        <v/>
      </c>
      <c r="V161">
        <f>IF(AND(ISNUMBER(O161),ISNUMBER(O157)),VLOOKUP(ABS(O161-O157),'IMP Table'!$A$2:$C$26,3)*SIGN(O161-O157),"")</f>
        <v/>
      </c>
      <c r="W161">
        <f>IF(AND(ISNUMBER(O161),ISNUMBER(O158)),VLOOKUP(ABS(O161-O158),'IMP Table'!$A$2:$C$26,3)*SIGN(O161-O158),"")</f>
        <v/>
      </c>
      <c r="X161">
        <f>IF(AND(ISNUMBER(O161),ISNUMBER(O159)),VLOOKUP(ABS(O161-O159),'IMP Table'!$A$2:$C$26,3)*SIGN(O161-O159),"")</f>
        <v/>
      </c>
      <c r="Y161">
        <f>IF(AND(ISNUMBER(O161),ISNUMBER(O160)),VLOOKUP(ABS(O161-O160),'IMP Table'!$A$2:$C$26,3)*SIGN(O161-O160),"")</f>
        <v/>
      </c>
      <c r="Z161">
        <f>IF(AND(ISNUMBER(O161),ISNUMBER(O162)),VLOOKUP(ABS(O161-O162),'IMP Table'!$A$2:$C$26,3)*SIGN(O161-O162),"")</f>
        <v/>
      </c>
      <c r="AA161">
        <f>IF(AND(ISNUMBER(O161),ISNUMBER(O163)),VLOOKUP(ABS(O161-O163),'IMP Table'!$A$2:$C$26,3)*SIGN(O161-O163),"")</f>
        <v/>
      </c>
    </row>
    <row r="162">
      <c r="B162">
        <f>'By Round'!A128</f>
        <v/>
      </c>
      <c r="C162">
        <f>'By Round'!B130</f>
        <v/>
      </c>
      <c r="D162">
        <f>'By Round'!C130</f>
        <v/>
      </c>
      <c r="E162">
        <f>'By Round'!D130</f>
        <v/>
      </c>
      <c r="F162" s="10" t="inlineStr">
        <is>
          <t>Both</t>
        </is>
      </c>
      <c r="G162">
        <f>'By Round'!G130</f>
        <v/>
      </c>
      <c r="H162">
        <f>'By Round'!H130</f>
        <v/>
      </c>
      <c r="I162">
        <f>'By Round'!I130</f>
        <v/>
      </c>
      <c r="J162">
        <f>'By Round'!J130</f>
        <v/>
      </c>
      <c r="K162">
        <f>'By Round'!K130</f>
        <v/>
      </c>
      <c r="L162" s="11">
        <f>IFERROR(AVERAGE(P162:U162),"")</f>
        <v/>
      </c>
      <c r="M162" s="4">
        <f>IFERROR(AVERAGE(V162:AA162),"")</f>
        <v/>
      </c>
      <c r="N162">
        <f>IF(ISNUMBER(J162),J162,IF(ISNUMBER(K162),-K162,""))</f>
        <v/>
      </c>
      <c r="O162">
        <f>IF(ISNUMBER(K162),K162,IF(ISNUMBER(J162),-J162,""))</f>
        <v/>
      </c>
      <c r="P162">
        <f>IF(AND(ISNUMBER(N162),ISNUMBER(N157)),VLOOKUP(ABS(N162-N157),'IMP Table'!$A$2:$C$26,3)*SIGN(N162-N157),"")</f>
        <v/>
      </c>
      <c r="Q162">
        <f>IF(AND(ISNUMBER(N162),ISNUMBER(N158)),VLOOKUP(ABS(N162-N158),'IMP Table'!$A$2:$C$26,3)*SIGN(N162-N158),"")</f>
        <v/>
      </c>
      <c r="R162">
        <f>IF(AND(ISNUMBER(N162),ISNUMBER(N159)),VLOOKUP(ABS(N162-N159),'IMP Table'!$A$2:$C$26,3)*SIGN(N162-N159),"")</f>
        <v/>
      </c>
      <c r="S162">
        <f>IF(AND(ISNUMBER(N162),ISNUMBER(N160)),VLOOKUP(ABS(N162-N160),'IMP Table'!$A$2:$C$26,3)*SIGN(N162-N160),"")</f>
        <v/>
      </c>
      <c r="T162">
        <f>IF(AND(ISNUMBER(N162),ISNUMBER(N161)),VLOOKUP(ABS(N162-N161),'IMP Table'!$A$2:$C$26,3)*SIGN(N162-N161),"")</f>
        <v/>
      </c>
      <c r="U162">
        <f>IF(AND(ISNUMBER(N162),ISNUMBER(N163)),VLOOKUP(ABS(N162-N163),'IMP Table'!$A$2:$C$26,3)*SIGN(N162-N163),"")</f>
        <v/>
      </c>
      <c r="V162">
        <f>IF(AND(ISNUMBER(O162),ISNUMBER(O157)),VLOOKUP(ABS(O162-O157),'IMP Table'!$A$2:$C$26,3)*SIGN(O162-O157),"")</f>
        <v/>
      </c>
      <c r="W162">
        <f>IF(AND(ISNUMBER(O162),ISNUMBER(O158)),VLOOKUP(ABS(O162-O158),'IMP Table'!$A$2:$C$26,3)*SIGN(O162-O158),"")</f>
        <v/>
      </c>
      <c r="X162">
        <f>IF(AND(ISNUMBER(O162),ISNUMBER(O159)),VLOOKUP(ABS(O162-O159),'IMP Table'!$A$2:$C$26,3)*SIGN(O162-O159),"")</f>
        <v/>
      </c>
      <c r="Y162">
        <f>IF(AND(ISNUMBER(O162),ISNUMBER(O160)),VLOOKUP(ABS(O162-O160),'IMP Table'!$A$2:$C$26,3)*SIGN(O162-O160),"")</f>
        <v/>
      </c>
      <c r="Z162">
        <f>IF(AND(ISNUMBER(O162),ISNUMBER(O161)),VLOOKUP(ABS(O162-O161),'IMP Table'!$A$2:$C$26,3)*SIGN(O162-O161),"")</f>
        <v/>
      </c>
      <c r="AA162">
        <f>IF(AND(ISNUMBER(O162),ISNUMBER(O163)),VLOOKUP(ABS(O162-O163),'IMP Table'!$A$2:$C$26,3)*SIGN(O162-O163),"")</f>
        <v/>
      </c>
    </row>
    <row r="163">
      <c r="B163">
        <f>'By Round'!A156</f>
        <v/>
      </c>
      <c r="C163">
        <f>'By Round'!B156</f>
        <v/>
      </c>
      <c r="D163">
        <f>'By Round'!C156</f>
        <v/>
      </c>
      <c r="E163">
        <f>'By Round'!D156</f>
        <v/>
      </c>
      <c r="F163" s="10" t="inlineStr">
        <is>
          <t>Both</t>
        </is>
      </c>
      <c r="G163">
        <f>'By Round'!G156</f>
        <v/>
      </c>
      <c r="H163">
        <f>'By Round'!H156</f>
        <v/>
      </c>
      <c r="I163">
        <f>'By Round'!I156</f>
        <v/>
      </c>
      <c r="J163">
        <f>'By Round'!J156</f>
        <v/>
      </c>
      <c r="K163">
        <f>'By Round'!K156</f>
        <v/>
      </c>
      <c r="L163" s="11">
        <f>IFERROR(AVERAGE(P163:U163),"")</f>
        <v/>
      </c>
      <c r="M163" s="4">
        <f>IFERROR(AVERAGE(V163:AA163),"")</f>
        <v/>
      </c>
      <c r="N163">
        <f>IF(ISNUMBER(J163),J163,IF(ISNUMBER(K163),-K163,""))</f>
        <v/>
      </c>
      <c r="O163">
        <f>IF(ISNUMBER(K163),K163,IF(ISNUMBER(J163),-J163,""))</f>
        <v/>
      </c>
      <c r="P163">
        <f>IF(AND(ISNUMBER(N163),ISNUMBER(N157)),VLOOKUP(ABS(N163-N157),'IMP Table'!$A$2:$C$26,3)*SIGN(N163-N157),"")</f>
        <v/>
      </c>
      <c r="Q163">
        <f>IF(AND(ISNUMBER(N163),ISNUMBER(N158)),VLOOKUP(ABS(N163-N158),'IMP Table'!$A$2:$C$26,3)*SIGN(N163-N158),"")</f>
        <v/>
      </c>
      <c r="R163">
        <f>IF(AND(ISNUMBER(N163),ISNUMBER(N159)),VLOOKUP(ABS(N163-N159),'IMP Table'!$A$2:$C$26,3)*SIGN(N163-N159),"")</f>
        <v/>
      </c>
      <c r="S163">
        <f>IF(AND(ISNUMBER(N163),ISNUMBER(N160)),VLOOKUP(ABS(N163-N160),'IMP Table'!$A$2:$C$26,3)*SIGN(N163-N160),"")</f>
        <v/>
      </c>
      <c r="T163">
        <f>IF(AND(ISNUMBER(N163),ISNUMBER(N161)),VLOOKUP(ABS(N163-N161),'IMP Table'!$A$2:$C$26,3)*SIGN(N163-N161),"")</f>
        <v/>
      </c>
      <c r="U163">
        <f>IF(AND(ISNUMBER(N163),ISNUMBER(N162)),VLOOKUP(ABS(N163-N162),'IMP Table'!$A$2:$C$26,3)*SIGN(N163-N162),"")</f>
        <v/>
      </c>
      <c r="V163">
        <f>IF(AND(ISNUMBER(O163),ISNUMBER(O157)),VLOOKUP(ABS(O163-O157),'IMP Table'!$A$2:$C$26,3)*SIGN(O163-O157),"")</f>
        <v/>
      </c>
      <c r="W163">
        <f>IF(AND(ISNUMBER(O163),ISNUMBER(O158)),VLOOKUP(ABS(O163-O158),'IMP Table'!$A$2:$C$26,3)*SIGN(O163-O158),"")</f>
        <v/>
      </c>
      <c r="X163">
        <f>IF(AND(ISNUMBER(O163),ISNUMBER(O159)),VLOOKUP(ABS(O163-O159),'IMP Table'!$A$2:$C$26,3)*SIGN(O163-O159),"")</f>
        <v/>
      </c>
      <c r="Y163">
        <f>IF(AND(ISNUMBER(O163),ISNUMBER(O160)),VLOOKUP(ABS(O163-O160),'IMP Table'!$A$2:$C$26,3)*SIGN(O163-O160),"")</f>
        <v/>
      </c>
      <c r="Z163">
        <f>IF(AND(ISNUMBER(O163),ISNUMBER(O161)),VLOOKUP(ABS(O163-O161),'IMP Table'!$A$2:$C$26,3)*SIGN(O163-O161),"")</f>
        <v/>
      </c>
      <c r="AA163">
        <f>IF(AND(ISNUMBER(O163),ISNUMBER(O162)),VLOOKUP(ABS(O163-O162),'IMP Table'!$A$2:$C$26,3)*SIGN(O163-O162),"")</f>
        <v/>
      </c>
    </row>
    <row r="164">
      <c r="A164" t="n">
        <v>24</v>
      </c>
      <c r="B164">
        <f>'By Round'!A2</f>
        <v/>
      </c>
      <c r="C164">
        <f>'By Round'!B14</f>
        <v/>
      </c>
      <c r="D164">
        <f>'By Round'!C14</f>
        <v/>
      </c>
      <c r="E164">
        <f>'By Round'!D14</f>
        <v/>
      </c>
      <c r="F164" s="10" t="inlineStr">
        <is>
          <t>None</t>
        </is>
      </c>
      <c r="G164">
        <f>'By Round'!G15</f>
        <v/>
      </c>
      <c r="H164">
        <f>'By Round'!H15</f>
        <v/>
      </c>
      <c r="I164">
        <f>'By Round'!I15</f>
        <v/>
      </c>
      <c r="J164">
        <f>'By Round'!J15</f>
        <v/>
      </c>
      <c r="K164">
        <f>'By Round'!K15</f>
        <v/>
      </c>
      <c r="L164" s="11">
        <f>IFERROR(AVERAGE(P164:U164),"")</f>
        <v/>
      </c>
      <c r="M164" s="4">
        <f>IFERROR(AVERAGE(V164:AA164),"")</f>
        <v/>
      </c>
      <c r="N164">
        <f>IF(ISNUMBER(J164),J164,IF(ISNUMBER(K164),-K164,""))</f>
        <v/>
      </c>
      <c r="O164">
        <f>IF(ISNUMBER(K164),K164,IF(ISNUMBER(J164),-J164,""))</f>
        <v/>
      </c>
      <c r="P164">
        <f>IF(AND(ISNUMBER(N164),ISNUMBER(N165)),VLOOKUP(ABS(N164-N165),'IMP Table'!$A$2:$C$26,3)*SIGN(N164-N165),"")</f>
        <v/>
      </c>
      <c r="Q164">
        <f>IF(AND(ISNUMBER(N164),ISNUMBER(N166)),VLOOKUP(ABS(N164-N166),'IMP Table'!$A$2:$C$26,3)*SIGN(N164-N166),"")</f>
        <v/>
      </c>
      <c r="R164">
        <f>IF(AND(ISNUMBER(N164),ISNUMBER(N167)),VLOOKUP(ABS(N164-N167),'IMP Table'!$A$2:$C$26,3)*SIGN(N164-N167),"")</f>
        <v/>
      </c>
      <c r="S164">
        <f>IF(AND(ISNUMBER(N164),ISNUMBER(N168)),VLOOKUP(ABS(N164-N168),'IMP Table'!$A$2:$C$26,3)*SIGN(N164-N168),"")</f>
        <v/>
      </c>
      <c r="T164">
        <f>IF(AND(ISNUMBER(N164),ISNUMBER(N169)),VLOOKUP(ABS(N164-N169),'IMP Table'!$A$2:$C$26,3)*SIGN(N164-N169),"")</f>
        <v/>
      </c>
      <c r="U164">
        <f>IF(AND(ISNUMBER(N164),ISNUMBER(N170)),VLOOKUP(ABS(N164-N170),'IMP Table'!$A$2:$C$26,3)*SIGN(N164-N170),"")</f>
        <v/>
      </c>
      <c r="V164">
        <f>IF(AND(ISNUMBER(O164),ISNUMBER(O165)),VLOOKUP(ABS(O164-O165),'IMP Table'!$A$2:$C$26,3)*SIGN(O164-O165),"")</f>
        <v/>
      </c>
      <c r="W164">
        <f>IF(AND(ISNUMBER(O164),ISNUMBER(O166)),VLOOKUP(ABS(O164-O166),'IMP Table'!$A$2:$C$26,3)*SIGN(O164-O166),"")</f>
        <v/>
      </c>
      <c r="X164">
        <f>IF(AND(ISNUMBER(O164),ISNUMBER(O167)),VLOOKUP(ABS(O164-O167),'IMP Table'!$A$2:$C$26,3)*SIGN(O164-O167),"")</f>
        <v/>
      </c>
      <c r="Y164">
        <f>IF(AND(ISNUMBER(O164),ISNUMBER(O168)),VLOOKUP(ABS(O164-O168),'IMP Table'!$A$2:$C$26,3)*SIGN(O164-O168),"")</f>
        <v/>
      </c>
      <c r="Z164">
        <f>IF(AND(ISNUMBER(O164),ISNUMBER(O169)),VLOOKUP(ABS(O164-O169),'IMP Table'!$A$2:$C$26,3)*SIGN(O164-O169),"")</f>
        <v/>
      </c>
      <c r="AA164">
        <f>IF(AND(ISNUMBER(O164),ISNUMBER(O170)),VLOOKUP(ABS(O164-O170),'IMP Table'!$A$2:$C$26,3)*SIGN(O164-O170),"")</f>
        <v/>
      </c>
    </row>
    <row r="165">
      <c r="B165">
        <f>'By Round'!A16</f>
        <v/>
      </c>
      <c r="C165">
        <f>'By Round'!B26</f>
        <v/>
      </c>
      <c r="D165">
        <f>'By Round'!C26</f>
        <v/>
      </c>
      <c r="E165">
        <f>'By Round'!D26</f>
        <v/>
      </c>
      <c r="F165" s="10" t="inlineStr">
        <is>
          <t>None</t>
        </is>
      </c>
      <c r="G165">
        <f>'By Round'!G27</f>
        <v/>
      </c>
      <c r="H165">
        <f>'By Round'!H27</f>
        <v/>
      </c>
      <c r="I165">
        <f>'By Round'!I27</f>
        <v/>
      </c>
      <c r="J165">
        <f>'By Round'!J27</f>
        <v/>
      </c>
      <c r="K165">
        <f>'By Round'!K27</f>
        <v/>
      </c>
      <c r="L165" s="11">
        <f>IFERROR(AVERAGE(P165:U165),"")</f>
        <v/>
      </c>
      <c r="M165" s="4">
        <f>IFERROR(AVERAGE(V165:AA165),"")</f>
        <v/>
      </c>
      <c r="N165">
        <f>IF(ISNUMBER(J165),J165,IF(ISNUMBER(K165),-K165,""))</f>
        <v/>
      </c>
      <c r="O165">
        <f>IF(ISNUMBER(K165),K165,IF(ISNUMBER(J165),-J165,""))</f>
        <v/>
      </c>
      <c r="P165">
        <f>IF(AND(ISNUMBER(N165),ISNUMBER(N164)),VLOOKUP(ABS(N165-N164),'IMP Table'!$A$2:$C$26,3)*SIGN(N165-N164),"")</f>
        <v/>
      </c>
      <c r="Q165">
        <f>IF(AND(ISNUMBER(N165),ISNUMBER(N166)),VLOOKUP(ABS(N165-N166),'IMP Table'!$A$2:$C$26,3)*SIGN(N165-N166),"")</f>
        <v/>
      </c>
      <c r="R165">
        <f>IF(AND(ISNUMBER(N165),ISNUMBER(N167)),VLOOKUP(ABS(N165-N167),'IMP Table'!$A$2:$C$26,3)*SIGN(N165-N167),"")</f>
        <v/>
      </c>
      <c r="S165">
        <f>IF(AND(ISNUMBER(N165),ISNUMBER(N168)),VLOOKUP(ABS(N165-N168),'IMP Table'!$A$2:$C$26,3)*SIGN(N165-N168),"")</f>
        <v/>
      </c>
      <c r="T165">
        <f>IF(AND(ISNUMBER(N165),ISNUMBER(N169)),VLOOKUP(ABS(N165-N169),'IMP Table'!$A$2:$C$26,3)*SIGN(N165-N169),"")</f>
        <v/>
      </c>
      <c r="U165">
        <f>IF(AND(ISNUMBER(N165),ISNUMBER(N170)),VLOOKUP(ABS(N165-N170),'IMP Table'!$A$2:$C$26,3)*SIGN(N165-N170),"")</f>
        <v/>
      </c>
      <c r="V165">
        <f>IF(AND(ISNUMBER(O165),ISNUMBER(O164)),VLOOKUP(ABS(O165-O164),'IMP Table'!$A$2:$C$26,3)*SIGN(O165-O164),"")</f>
        <v/>
      </c>
      <c r="W165">
        <f>IF(AND(ISNUMBER(O165),ISNUMBER(O166)),VLOOKUP(ABS(O165-O166),'IMP Table'!$A$2:$C$26,3)*SIGN(O165-O166),"")</f>
        <v/>
      </c>
      <c r="X165">
        <f>IF(AND(ISNUMBER(O165),ISNUMBER(O167)),VLOOKUP(ABS(O165-O167),'IMP Table'!$A$2:$C$26,3)*SIGN(O165-O167),"")</f>
        <v/>
      </c>
      <c r="Y165">
        <f>IF(AND(ISNUMBER(O165),ISNUMBER(O168)),VLOOKUP(ABS(O165-O168),'IMP Table'!$A$2:$C$26,3)*SIGN(O165-O168),"")</f>
        <v/>
      </c>
      <c r="Z165">
        <f>IF(AND(ISNUMBER(O165),ISNUMBER(O169)),VLOOKUP(ABS(O165-O169),'IMP Table'!$A$2:$C$26,3)*SIGN(O165-O169),"")</f>
        <v/>
      </c>
      <c r="AA165">
        <f>IF(AND(ISNUMBER(O165),ISNUMBER(O170)),VLOOKUP(ABS(O165-O170),'IMP Table'!$A$2:$C$26,3)*SIGN(O165-O170),"")</f>
        <v/>
      </c>
    </row>
    <row r="166">
      <c r="B166">
        <f>'By Round'!A30</f>
        <v/>
      </c>
      <c r="C166">
        <f>'By Round'!B38</f>
        <v/>
      </c>
      <c r="D166">
        <f>'By Round'!C38</f>
        <v/>
      </c>
      <c r="E166">
        <f>'By Round'!D38</f>
        <v/>
      </c>
      <c r="F166" s="10" t="inlineStr">
        <is>
          <t>None</t>
        </is>
      </c>
      <c r="G166">
        <f>'By Round'!G39</f>
        <v/>
      </c>
      <c r="H166">
        <f>'By Round'!H39</f>
        <v/>
      </c>
      <c r="I166">
        <f>'By Round'!I39</f>
        <v/>
      </c>
      <c r="J166">
        <f>'By Round'!J39</f>
        <v/>
      </c>
      <c r="K166">
        <f>'By Round'!K39</f>
        <v/>
      </c>
      <c r="L166" s="11">
        <f>IFERROR(AVERAGE(P166:U166),"")</f>
        <v/>
      </c>
      <c r="M166" s="4">
        <f>IFERROR(AVERAGE(V166:AA166),"")</f>
        <v/>
      </c>
      <c r="N166">
        <f>IF(ISNUMBER(J166),J166,IF(ISNUMBER(K166),-K166,""))</f>
        <v/>
      </c>
      <c r="O166">
        <f>IF(ISNUMBER(K166),K166,IF(ISNUMBER(J166),-J166,""))</f>
        <v/>
      </c>
      <c r="P166">
        <f>IF(AND(ISNUMBER(N166),ISNUMBER(N164)),VLOOKUP(ABS(N166-N164),'IMP Table'!$A$2:$C$26,3)*SIGN(N166-N164),"")</f>
        <v/>
      </c>
      <c r="Q166">
        <f>IF(AND(ISNUMBER(N166),ISNUMBER(N165)),VLOOKUP(ABS(N166-N165),'IMP Table'!$A$2:$C$26,3)*SIGN(N166-N165),"")</f>
        <v/>
      </c>
      <c r="R166">
        <f>IF(AND(ISNUMBER(N166),ISNUMBER(N167)),VLOOKUP(ABS(N166-N167),'IMP Table'!$A$2:$C$26,3)*SIGN(N166-N167),"")</f>
        <v/>
      </c>
      <c r="S166">
        <f>IF(AND(ISNUMBER(N166),ISNUMBER(N168)),VLOOKUP(ABS(N166-N168),'IMP Table'!$A$2:$C$26,3)*SIGN(N166-N168),"")</f>
        <v/>
      </c>
      <c r="T166">
        <f>IF(AND(ISNUMBER(N166),ISNUMBER(N169)),VLOOKUP(ABS(N166-N169),'IMP Table'!$A$2:$C$26,3)*SIGN(N166-N169),"")</f>
        <v/>
      </c>
      <c r="U166">
        <f>IF(AND(ISNUMBER(N166),ISNUMBER(N170)),VLOOKUP(ABS(N166-N170),'IMP Table'!$A$2:$C$26,3)*SIGN(N166-N170),"")</f>
        <v/>
      </c>
      <c r="V166">
        <f>IF(AND(ISNUMBER(O166),ISNUMBER(O164)),VLOOKUP(ABS(O166-O164),'IMP Table'!$A$2:$C$26,3)*SIGN(O166-O164),"")</f>
        <v/>
      </c>
      <c r="W166">
        <f>IF(AND(ISNUMBER(O166),ISNUMBER(O165)),VLOOKUP(ABS(O166-O165),'IMP Table'!$A$2:$C$26,3)*SIGN(O166-O165),"")</f>
        <v/>
      </c>
      <c r="X166">
        <f>IF(AND(ISNUMBER(O166),ISNUMBER(O167)),VLOOKUP(ABS(O166-O167),'IMP Table'!$A$2:$C$26,3)*SIGN(O166-O167),"")</f>
        <v/>
      </c>
      <c r="Y166">
        <f>IF(AND(ISNUMBER(O166),ISNUMBER(O168)),VLOOKUP(ABS(O166-O168),'IMP Table'!$A$2:$C$26,3)*SIGN(O166-O168),"")</f>
        <v/>
      </c>
      <c r="Z166">
        <f>IF(AND(ISNUMBER(O166),ISNUMBER(O169)),VLOOKUP(ABS(O166-O169),'IMP Table'!$A$2:$C$26,3)*SIGN(O166-O169),"")</f>
        <v/>
      </c>
      <c r="AA166">
        <f>IF(AND(ISNUMBER(O166),ISNUMBER(O170)),VLOOKUP(ABS(O166-O170),'IMP Table'!$A$2:$C$26,3)*SIGN(O166-O170),"")</f>
        <v/>
      </c>
    </row>
    <row r="167">
      <c r="B167">
        <f>'By Round'!A100</f>
        <v/>
      </c>
      <c r="C167">
        <f>'By Round'!B106</f>
        <v/>
      </c>
      <c r="D167">
        <f>'By Round'!C106</f>
        <v/>
      </c>
      <c r="E167">
        <f>'By Round'!D106</f>
        <v/>
      </c>
      <c r="F167" s="10" t="inlineStr">
        <is>
          <t>None</t>
        </is>
      </c>
      <c r="G167">
        <f>'By Round'!G107</f>
        <v/>
      </c>
      <c r="H167">
        <f>'By Round'!H107</f>
        <v/>
      </c>
      <c r="I167">
        <f>'By Round'!I107</f>
        <v/>
      </c>
      <c r="J167">
        <f>'By Round'!J107</f>
        <v/>
      </c>
      <c r="K167">
        <f>'By Round'!K107</f>
        <v/>
      </c>
      <c r="L167" s="11">
        <f>IFERROR(AVERAGE(P167:U167),"")</f>
        <v/>
      </c>
      <c r="M167" s="4">
        <f>IFERROR(AVERAGE(V167:AA167),"")</f>
        <v/>
      </c>
      <c r="N167">
        <f>IF(ISNUMBER(J167),J167,IF(ISNUMBER(K167),-K167,""))</f>
        <v/>
      </c>
      <c r="O167">
        <f>IF(ISNUMBER(K167),K167,IF(ISNUMBER(J167),-J167,""))</f>
        <v/>
      </c>
      <c r="P167">
        <f>IF(AND(ISNUMBER(N167),ISNUMBER(N164)),VLOOKUP(ABS(N167-N164),'IMP Table'!$A$2:$C$26,3)*SIGN(N167-N164),"")</f>
        <v/>
      </c>
      <c r="Q167">
        <f>IF(AND(ISNUMBER(N167),ISNUMBER(N165)),VLOOKUP(ABS(N167-N165),'IMP Table'!$A$2:$C$26,3)*SIGN(N167-N165),"")</f>
        <v/>
      </c>
      <c r="R167">
        <f>IF(AND(ISNUMBER(N167),ISNUMBER(N166)),VLOOKUP(ABS(N167-N166),'IMP Table'!$A$2:$C$26,3)*SIGN(N167-N166),"")</f>
        <v/>
      </c>
      <c r="S167">
        <f>IF(AND(ISNUMBER(N167),ISNUMBER(N168)),VLOOKUP(ABS(N167-N168),'IMP Table'!$A$2:$C$26,3)*SIGN(N167-N168),"")</f>
        <v/>
      </c>
      <c r="T167">
        <f>IF(AND(ISNUMBER(N167),ISNUMBER(N169)),VLOOKUP(ABS(N167-N169),'IMP Table'!$A$2:$C$26,3)*SIGN(N167-N169),"")</f>
        <v/>
      </c>
      <c r="U167">
        <f>IF(AND(ISNUMBER(N167),ISNUMBER(N170)),VLOOKUP(ABS(N167-N170),'IMP Table'!$A$2:$C$26,3)*SIGN(N167-N170),"")</f>
        <v/>
      </c>
      <c r="V167">
        <f>IF(AND(ISNUMBER(O167),ISNUMBER(O164)),VLOOKUP(ABS(O167-O164),'IMP Table'!$A$2:$C$26,3)*SIGN(O167-O164),"")</f>
        <v/>
      </c>
      <c r="W167">
        <f>IF(AND(ISNUMBER(O167),ISNUMBER(O165)),VLOOKUP(ABS(O167-O165),'IMP Table'!$A$2:$C$26,3)*SIGN(O167-O165),"")</f>
        <v/>
      </c>
      <c r="X167">
        <f>IF(AND(ISNUMBER(O167),ISNUMBER(O166)),VLOOKUP(ABS(O167-O166),'IMP Table'!$A$2:$C$26,3)*SIGN(O167-O166),"")</f>
        <v/>
      </c>
      <c r="Y167">
        <f>IF(AND(ISNUMBER(O167),ISNUMBER(O168)),VLOOKUP(ABS(O167-O168),'IMP Table'!$A$2:$C$26,3)*SIGN(O167-O168),"")</f>
        <v/>
      </c>
      <c r="Z167">
        <f>IF(AND(ISNUMBER(O167),ISNUMBER(O169)),VLOOKUP(ABS(O167-O169),'IMP Table'!$A$2:$C$26,3)*SIGN(O167-O169),"")</f>
        <v/>
      </c>
      <c r="AA167">
        <f>IF(AND(ISNUMBER(O167),ISNUMBER(O170)),VLOOKUP(ABS(O167-O170),'IMP Table'!$A$2:$C$26,3)*SIGN(O167-O170),"")</f>
        <v/>
      </c>
    </row>
    <row r="168">
      <c r="B168">
        <f>'By Round'!A114</f>
        <v/>
      </c>
      <c r="C168">
        <f>'By Round'!B118</f>
        <v/>
      </c>
      <c r="D168">
        <f>'By Round'!C118</f>
        <v/>
      </c>
      <c r="E168">
        <f>'By Round'!D118</f>
        <v/>
      </c>
      <c r="F168" s="10" t="inlineStr">
        <is>
          <t>None</t>
        </is>
      </c>
      <c r="G168">
        <f>'By Round'!G119</f>
        <v/>
      </c>
      <c r="H168">
        <f>'By Round'!H119</f>
        <v/>
      </c>
      <c r="I168">
        <f>'By Round'!I119</f>
        <v/>
      </c>
      <c r="J168">
        <f>'By Round'!J119</f>
        <v/>
      </c>
      <c r="K168">
        <f>'By Round'!K119</f>
        <v/>
      </c>
      <c r="L168" s="11">
        <f>IFERROR(AVERAGE(P168:U168),"")</f>
        <v/>
      </c>
      <c r="M168" s="4">
        <f>IFERROR(AVERAGE(V168:AA168),"")</f>
        <v/>
      </c>
      <c r="N168">
        <f>IF(ISNUMBER(J168),J168,IF(ISNUMBER(K168),-K168,""))</f>
        <v/>
      </c>
      <c r="O168">
        <f>IF(ISNUMBER(K168),K168,IF(ISNUMBER(J168),-J168,""))</f>
        <v/>
      </c>
      <c r="P168">
        <f>IF(AND(ISNUMBER(N168),ISNUMBER(N164)),VLOOKUP(ABS(N168-N164),'IMP Table'!$A$2:$C$26,3)*SIGN(N168-N164),"")</f>
        <v/>
      </c>
      <c r="Q168">
        <f>IF(AND(ISNUMBER(N168),ISNUMBER(N165)),VLOOKUP(ABS(N168-N165),'IMP Table'!$A$2:$C$26,3)*SIGN(N168-N165),"")</f>
        <v/>
      </c>
      <c r="R168">
        <f>IF(AND(ISNUMBER(N168),ISNUMBER(N166)),VLOOKUP(ABS(N168-N166),'IMP Table'!$A$2:$C$26,3)*SIGN(N168-N166),"")</f>
        <v/>
      </c>
      <c r="S168">
        <f>IF(AND(ISNUMBER(N168),ISNUMBER(N167)),VLOOKUP(ABS(N168-N167),'IMP Table'!$A$2:$C$26,3)*SIGN(N168-N167),"")</f>
        <v/>
      </c>
      <c r="T168">
        <f>IF(AND(ISNUMBER(N168),ISNUMBER(N169)),VLOOKUP(ABS(N168-N169),'IMP Table'!$A$2:$C$26,3)*SIGN(N168-N169),"")</f>
        <v/>
      </c>
      <c r="U168">
        <f>IF(AND(ISNUMBER(N168),ISNUMBER(N170)),VLOOKUP(ABS(N168-N170),'IMP Table'!$A$2:$C$26,3)*SIGN(N168-N170),"")</f>
        <v/>
      </c>
      <c r="V168">
        <f>IF(AND(ISNUMBER(O168),ISNUMBER(O164)),VLOOKUP(ABS(O168-O164),'IMP Table'!$A$2:$C$26,3)*SIGN(O168-O164),"")</f>
        <v/>
      </c>
      <c r="W168">
        <f>IF(AND(ISNUMBER(O168),ISNUMBER(O165)),VLOOKUP(ABS(O168-O165),'IMP Table'!$A$2:$C$26,3)*SIGN(O168-O165),"")</f>
        <v/>
      </c>
      <c r="X168">
        <f>IF(AND(ISNUMBER(O168),ISNUMBER(O166)),VLOOKUP(ABS(O168-O166),'IMP Table'!$A$2:$C$26,3)*SIGN(O168-O166),"")</f>
        <v/>
      </c>
      <c r="Y168">
        <f>IF(AND(ISNUMBER(O168),ISNUMBER(O167)),VLOOKUP(ABS(O168-O167),'IMP Table'!$A$2:$C$26,3)*SIGN(O168-O167),"")</f>
        <v/>
      </c>
      <c r="Z168">
        <f>IF(AND(ISNUMBER(O168),ISNUMBER(O169)),VLOOKUP(ABS(O168-O169),'IMP Table'!$A$2:$C$26,3)*SIGN(O168-O169),"")</f>
        <v/>
      </c>
      <c r="AA168">
        <f>IF(AND(ISNUMBER(O168),ISNUMBER(O170)),VLOOKUP(ABS(O168-O170),'IMP Table'!$A$2:$C$26,3)*SIGN(O168-O170),"")</f>
        <v/>
      </c>
    </row>
    <row r="169">
      <c r="B169">
        <f>'By Round'!A128</f>
        <v/>
      </c>
      <c r="C169">
        <f>'By Round'!B130</f>
        <v/>
      </c>
      <c r="D169">
        <f>'By Round'!C130</f>
        <v/>
      </c>
      <c r="E169">
        <f>'By Round'!D130</f>
        <v/>
      </c>
      <c r="F169" s="10" t="inlineStr">
        <is>
          <t>None</t>
        </is>
      </c>
      <c r="G169">
        <f>'By Round'!G131</f>
        <v/>
      </c>
      <c r="H169">
        <f>'By Round'!H131</f>
        <v/>
      </c>
      <c r="I169">
        <f>'By Round'!I131</f>
        <v/>
      </c>
      <c r="J169">
        <f>'By Round'!J131</f>
        <v/>
      </c>
      <c r="K169">
        <f>'By Round'!K131</f>
        <v/>
      </c>
      <c r="L169" s="11">
        <f>IFERROR(AVERAGE(P169:U169),"")</f>
        <v/>
      </c>
      <c r="M169" s="4">
        <f>IFERROR(AVERAGE(V169:AA169),"")</f>
        <v/>
      </c>
      <c r="N169">
        <f>IF(ISNUMBER(J169),J169,IF(ISNUMBER(K169),-K169,""))</f>
        <v/>
      </c>
      <c r="O169">
        <f>IF(ISNUMBER(K169),K169,IF(ISNUMBER(J169),-J169,""))</f>
        <v/>
      </c>
      <c r="P169">
        <f>IF(AND(ISNUMBER(N169),ISNUMBER(N164)),VLOOKUP(ABS(N169-N164),'IMP Table'!$A$2:$C$26,3)*SIGN(N169-N164),"")</f>
        <v/>
      </c>
      <c r="Q169">
        <f>IF(AND(ISNUMBER(N169),ISNUMBER(N165)),VLOOKUP(ABS(N169-N165),'IMP Table'!$A$2:$C$26,3)*SIGN(N169-N165),"")</f>
        <v/>
      </c>
      <c r="R169">
        <f>IF(AND(ISNUMBER(N169),ISNUMBER(N166)),VLOOKUP(ABS(N169-N166),'IMP Table'!$A$2:$C$26,3)*SIGN(N169-N166),"")</f>
        <v/>
      </c>
      <c r="S169">
        <f>IF(AND(ISNUMBER(N169),ISNUMBER(N167)),VLOOKUP(ABS(N169-N167),'IMP Table'!$A$2:$C$26,3)*SIGN(N169-N167),"")</f>
        <v/>
      </c>
      <c r="T169">
        <f>IF(AND(ISNUMBER(N169),ISNUMBER(N168)),VLOOKUP(ABS(N169-N168),'IMP Table'!$A$2:$C$26,3)*SIGN(N169-N168),"")</f>
        <v/>
      </c>
      <c r="U169">
        <f>IF(AND(ISNUMBER(N169),ISNUMBER(N170)),VLOOKUP(ABS(N169-N170),'IMP Table'!$A$2:$C$26,3)*SIGN(N169-N170),"")</f>
        <v/>
      </c>
      <c r="V169">
        <f>IF(AND(ISNUMBER(O169),ISNUMBER(O164)),VLOOKUP(ABS(O169-O164),'IMP Table'!$A$2:$C$26,3)*SIGN(O169-O164),"")</f>
        <v/>
      </c>
      <c r="W169">
        <f>IF(AND(ISNUMBER(O169),ISNUMBER(O165)),VLOOKUP(ABS(O169-O165),'IMP Table'!$A$2:$C$26,3)*SIGN(O169-O165),"")</f>
        <v/>
      </c>
      <c r="X169">
        <f>IF(AND(ISNUMBER(O169),ISNUMBER(O166)),VLOOKUP(ABS(O169-O166),'IMP Table'!$A$2:$C$26,3)*SIGN(O169-O166),"")</f>
        <v/>
      </c>
      <c r="Y169">
        <f>IF(AND(ISNUMBER(O169),ISNUMBER(O167)),VLOOKUP(ABS(O169-O167),'IMP Table'!$A$2:$C$26,3)*SIGN(O169-O167),"")</f>
        <v/>
      </c>
      <c r="Z169">
        <f>IF(AND(ISNUMBER(O169),ISNUMBER(O168)),VLOOKUP(ABS(O169-O168),'IMP Table'!$A$2:$C$26,3)*SIGN(O169-O168),"")</f>
        <v/>
      </c>
      <c r="AA169">
        <f>IF(AND(ISNUMBER(O169),ISNUMBER(O170)),VLOOKUP(ABS(O169-O170),'IMP Table'!$A$2:$C$26,3)*SIGN(O169-O170),"")</f>
        <v/>
      </c>
    </row>
    <row r="170">
      <c r="B170">
        <f>'By Round'!A156</f>
        <v/>
      </c>
      <c r="C170">
        <f>'By Round'!B156</f>
        <v/>
      </c>
      <c r="D170">
        <f>'By Round'!C156</f>
        <v/>
      </c>
      <c r="E170">
        <f>'By Round'!D156</f>
        <v/>
      </c>
      <c r="F170" s="10" t="inlineStr">
        <is>
          <t>None</t>
        </is>
      </c>
      <c r="G170">
        <f>'By Round'!G157</f>
        <v/>
      </c>
      <c r="H170">
        <f>'By Round'!H157</f>
        <v/>
      </c>
      <c r="I170">
        <f>'By Round'!I157</f>
        <v/>
      </c>
      <c r="J170">
        <f>'By Round'!J157</f>
        <v/>
      </c>
      <c r="K170">
        <f>'By Round'!K157</f>
        <v/>
      </c>
      <c r="L170" s="11">
        <f>IFERROR(AVERAGE(P170:U170),"")</f>
        <v/>
      </c>
      <c r="M170" s="4">
        <f>IFERROR(AVERAGE(V170:AA170),"")</f>
        <v/>
      </c>
      <c r="N170">
        <f>IF(ISNUMBER(J170),J170,IF(ISNUMBER(K170),-K170,""))</f>
        <v/>
      </c>
      <c r="O170">
        <f>IF(ISNUMBER(K170),K170,IF(ISNUMBER(J170),-J170,""))</f>
        <v/>
      </c>
      <c r="P170">
        <f>IF(AND(ISNUMBER(N170),ISNUMBER(N164)),VLOOKUP(ABS(N170-N164),'IMP Table'!$A$2:$C$26,3)*SIGN(N170-N164),"")</f>
        <v/>
      </c>
      <c r="Q170">
        <f>IF(AND(ISNUMBER(N170),ISNUMBER(N165)),VLOOKUP(ABS(N170-N165),'IMP Table'!$A$2:$C$26,3)*SIGN(N170-N165),"")</f>
        <v/>
      </c>
      <c r="R170">
        <f>IF(AND(ISNUMBER(N170),ISNUMBER(N166)),VLOOKUP(ABS(N170-N166),'IMP Table'!$A$2:$C$26,3)*SIGN(N170-N166),"")</f>
        <v/>
      </c>
      <c r="S170">
        <f>IF(AND(ISNUMBER(N170),ISNUMBER(N167)),VLOOKUP(ABS(N170-N167),'IMP Table'!$A$2:$C$26,3)*SIGN(N170-N167),"")</f>
        <v/>
      </c>
      <c r="T170">
        <f>IF(AND(ISNUMBER(N170),ISNUMBER(N168)),VLOOKUP(ABS(N170-N168),'IMP Table'!$A$2:$C$26,3)*SIGN(N170-N168),"")</f>
        <v/>
      </c>
      <c r="U170">
        <f>IF(AND(ISNUMBER(N170),ISNUMBER(N169)),VLOOKUP(ABS(N170-N169),'IMP Table'!$A$2:$C$26,3)*SIGN(N170-N169),"")</f>
        <v/>
      </c>
      <c r="V170">
        <f>IF(AND(ISNUMBER(O170),ISNUMBER(O164)),VLOOKUP(ABS(O170-O164),'IMP Table'!$A$2:$C$26,3)*SIGN(O170-O164),"")</f>
        <v/>
      </c>
      <c r="W170">
        <f>IF(AND(ISNUMBER(O170),ISNUMBER(O165)),VLOOKUP(ABS(O170-O165),'IMP Table'!$A$2:$C$26,3)*SIGN(O170-O165),"")</f>
        <v/>
      </c>
      <c r="X170">
        <f>IF(AND(ISNUMBER(O170),ISNUMBER(O166)),VLOOKUP(ABS(O170-O166),'IMP Table'!$A$2:$C$26,3)*SIGN(O170-O166),"")</f>
        <v/>
      </c>
      <c r="Y170">
        <f>IF(AND(ISNUMBER(O170),ISNUMBER(O167)),VLOOKUP(ABS(O170-O167),'IMP Table'!$A$2:$C$26,3)*SIGN(O170-O167),"")</f>
        <v/>
      </c>
      <c r="Z170">
        <f>IF(AND(ISNUMBER(O170),ISNUMBER(O168)),VLOOKUP(ABS(O170-O168),'IMP Table'!$A$2:$C$26,3)*SIGN(O170-O168),"")</f>
        <v/>
      </c>
      <c r="AA170">
        <f>IF(AND(ISNUMBER(O170),ISNUMBER(O169)),VLOOKUP(ABS(O170-O169),'IMP Table'!$A$2:$C$26,3)*SIGN(O170-O169),"")</f>
        <v/>
      </c>
    </row>
    <row r="171">
      <c r="A171" t="n">
        <v>25</v>
      </c>
      <c r="B171">
        <f>'By Round'!A16</f>
        <v/>
      </c>
      <c r="C171">
        <f>'By Round'!B28</f>
        <v/>
      </c>
      <c r="D171">
        <f>'By Round'!C28</f>
        <v/>
      </c>
      <c r="E171">
        <f>'By Round'!D28</f>
        <v/>
      </c>
      <c r="F171" s="10" t="inlineStr">
        <is>
          <t>EW</t>
        </is>
      </c>
      <c r="G171">
        <f>'By Round'!G28</f>
        <v/>
      </c>
      <c r="H171">
        <f>'By Round'!H28</f>
        <v/>
      </c>
      <c r="I171">
        <f>'By Round'!I28</f>
        <v/>
      </c>
      <c r="J171">
        <f>'By Round'!J28</f>
        <v/>
      </c>
      <c r="K171">
        <f>'By Round'!K28</f>
        <v/>
      </c>
      <c r="L171" s="11">
        <f>IFERROR(AVERAGE(P171:U171),"")</f>
        <v/>
      </c>
      <c r="M171" s="4">
        <f>IFERROR(AVERAGE(V171:AA171),"")</f>
        <v/>
      </c>
      <c r="N171">
        <f>IF(ISNUMBER(J171),J171,IF(ISNUMBER(K171),-K171,""))</f>
        <v/>
      </c>
      <c r="O171">
        <f>IF(ISNUMBER(K171),K171,IF(ISNUMBER(J171),-J171,""))</f>
        <v/>
      </c>
      <c r="P171">
        <f>IF(AND(ISNUMBER(N171),ISNUMBER(N172)),VLOOKUP(ABS(N171-N172),'IMP Table'!$A$2:$C$26,3)*SIGN(N171-N172),"")</f>
        <v/>
      </c>
      <c r="Q171">
        <f>IF(AND(ISNUMBER(N171),ISNUMBER(N173)),VLOOKUP(ABS(N171-N173),'IMP Table'!$A$2:$C$26,3)*SIGN(N171-N173),"")</f>
        <v/>
      </c>
      <c r="R171">
        <f>IF(AND(ISNUMBER(N171),ISNUMBER(N174)),VLOOKUP(ABS(N171-N174),'IMP Table'!$A$2:$C$26,3)*SIGN(N171-N174),"")</f>
        <v/>
      </c>
      <c r="S171">
        <f>IF(AND(ISNUMBER(N171),ISNUMBER(N175)),VLOOKUP(ABS(N171-N175),'IMP Table'!$A$2:$C$26,3)*SIGN(N171-N175),"")</f>
        <v/>
      </c>
      <c r="T171">
        <f>IF(AND(ISNUMBER(N171),ISNUMBER(N176)),VLOOKUP(ABS(N171-N176),'IMP Table'!$A$2:$C$26,3)*SIGN(N171-N176),"")</f>
        <v/>
      </c>
      <c r="U171">
        <f>IF(AND(ISNUMBER(N171),ISNUMBER(N177)),VLOOKUP(ABS(N171-N177),'IMP Table'!$A$2:$C$26,3)*SIGN(N171-N177),"")</f>
        <v/>
      </c>
      <c r="V171">
        <f>IF(AND(ISNUMBER(O171),ISNUMBER(O172)),VLOOKUP(ABS(O171-O172),'IMP Table'!$A$2:$C$26,3)*SIGN(O171-O172),"")</f>
        <v/>
      </c>
      <c r="W171">
        <f>IF(AND(ISNUMBER(O171),ISNUMBER(O173)),VLOOKUP(ABS(O171-O173),'IMP Table'!$A$2:$C$26,3)*SIGN(O171-O173),"")</f>
        <v/>
      </c>
      <c r="X171">
        <f>IF(AND(ISNUMBER(O171),ISNUMBER(O174)),VLOOKUP(ABS(O171-O174),'IMP Table'!$A$2:$C$26,3)*SIGN(O171-O174),"")</f>
        <v/>
      </c>
      <c r="Y171">
        <f>IF(AND(ISNUMBER(O171),ISNUMBER(O175)),VLOOKUP(ABS(O171-O175),'IMP Table'!$A$2:$C$26,3)*SIGN(O171-O175),"")</f>
        <v/>
      </c>
      <c r="Z171">
        <f>IF(AND(ISNUMBER(O171),ISNUMBER(O176)),VLOOKUP(ABS(O171-O176),'IMP Table'!$A$2:$C$26,3)*SIGN(O171-O176),"")</f>
        <v/>
      </c>
      <c r="AA171">
        <f>IF(AND(ISNUMBER(O171),ISNUMBER(O177)),VLOOKUP(ABS(O171-O177),'IMP Table'!$A$2:$C$26,3)*SIGN(O171-O177),"")</f>
        <v/>
      </c>
    </row>
    <row r="172">
      <c r="B172">
        <f>'By Round'!A30</f>
        <v/>
      </c>
      <c r="C172">
        <f>'By Round'!B40</f>
        <v/>
      </c>
      <c r="D172">
        <f>'By Round'!C40</f>
        <v/>
      </c>
      <c r="E172">
        <f>'By Round'!D40</f>
        <v/>
      </c>
      <c r="F172" s="10" t="inlineStr">
        <is>
          <t>EW</t>
        </is>
      </c>
      <c r="G172">
        <f>'By Round'!G40</f>
        <v/>
      </c>
      <c r="H172">
        <f>'By Round'!H40</f>
        <v/>
      </c>
      <c r="I172">
        <f>'By Round'!I40</f>
        <v/>
      </c>
      <c r="J172">
        <f>'By Round'!J40</f>
        <v/>
      </c>
      <c r="K172">
        <f>'By Round'!K40</f>
        <v/>
      </c>
      <c r="L172" s="11">
        <f>IFERROR(AVERAGE(P172:U172),"")</f>
        <v/>
      </c>
      <c r="M172" s="4">
        <f>IFERROR(AVERAGE(V172:AA172),"")</f>
        <v/>
      </c>
      <c r="N172">
        <f>IF(ISNUMBER(J172),J172,IF(ISNUMBER(K172),-K172,""))</f>
        <v/>
      </c>
      <c r="O172">
        <f>IF(ISNUMBER(K172),K172,IF(ISNUMBER(J172),-J172,""))</f>
        <v/>
      </c>
      <c r="P172">
        <f>IF(AND(ISNUMBER(N172),ISNUMBER(N171)),VLOOKUP(ABS(N172-N171),'IMP Table'!$A$2:$C$26,3)*SIGN(N172-N171),"")</f>
        <v/>
      </c>
      <c r="Q172">
        <f>IF(AND(ISNUMBER(N172),ISNUMBER(N173)),VLOOKUP(ABS(N172-N173),'IMP Table'!$A$2:$C$26,3)*SIGN(N172-N173),"")</f>
        <v/>
      </c>
      <c r="R172">
        <f>IF(AND(ISNUMBER(N172),ISNUMBER(N174)),VLOOKUP(ABS(N172-N174),'IMP Table'!$A$2:$C$26,3)*SIGN(N172-N174),"")</f>
        <v/>
      </c>
      <c r="S172">
        <f>IF(AND(ISNUMBER(N172),ISNUMBER(N175)),VLOOKUP(ABS(N172-N175),'IMP Table'!$A$2:$C$26,3)*SIGN(N172-N175),"")</f>
        <v/>
      </c>
      <c r="T172">
        <f>IF(AND(ISNUMBER(N172),ISNUMBER(N176)),VLOOKUP(ABS(N172-N176),'IMP Table'!$A$2:$C$26,3)*SIGN(N172-N176),"")</f>
        <v/>
      </c>
      <c r="U172">
        <f>IF(AND(ISNUMBER(N172),ISNUMBER(N177)),VLOOKUP(ABS(N172-N177),'IMP Table'!$A$2:$C$26,3)*SIGN(N172-N177),"")</f>
        <v/>
      </c>
      <c r="V172">
        <f>IF(AND(ISNUMBER(O172),ISNUMBER(O171)),VLOOKUP(ABS(O172-O171),'IMP Table'!$A$2:$C$26,3)*SIGN(O172-O171),"")</f>
        <v/>
      </c>
      <c r="W172">
        <f>IF(AND(ISNUMBER(O172),ISNUMBER(O173)),VLOOKUP(ABS(O172-O173),'IMP Table'!$A$2:$C$26,3)*SIGN(O172-O173),"")</f>
        <v/>
      </c>
      <c r="X172">
        <f>IF(AND(ISNUMBER(O172),ISNUMBER(O174)),VLOOKUP(ABS(O172-O174),'IMP Table'!$A$2:$C$26,3)*SIGN(O172-O174),"")</f>
        <v/>
      </c>
      <c r="Y172">
        <f>IF(AND(ISNUMBER(O172),ISNUMBER(O175)),VLOOKUP(ABS(O172-O175),'IMP Table'!$A$2:$C$26,3)*SIGN(O172-O175),"")</f>
        <v/>
      </c>
      <c r="Z172">
        <f>IF(AND(ISNUMBER(O172),ISNUMBER(O176)),VLOOKUP(ABS(O172-O176),'IMP Table'!$A$2:$C$26,3)*SIGN(O172-O176),"")</f>
        <v/>
      </c>
      <c r="AA172">
        <f>IF(AND(ISNUMBER(O172),ISNUMBER(O177)),VLOOKUP(ABS(O172-O177),'IMP Table'!$A$2:$C$26,3)*SIGN(O172-O177),"")</f>
        <v/>
      </c>
    </row>
    <row r="173">
      <c r="B173">
        <f>'By Round'!A44</f>
        <v/>
      </c>
      <c r="C173">
        <f>'By Round'!B52</f>
        <v/>
      </c>
      <c r="D173">
        <f>'By Round'!C52</f>
        <v/>
      </c>
      <c r="E173">
        <f>'By Round'!D52</f>
        <v/>
      </c>
      <c r="F173" s="10" t="inlineStr">
        <is>
          <t>EW</t>
        </is>
      </c>
      <c r="G173">
        <f>'By Round'!G52</f>
        <v/>
      </c>
      <c r="H173">
        <f>'By Round'!H52</f>
        <v/>
      </c>
      <c r="I173">
        <f>'By Round'!I52</f>
        <v/>
      </c>
      <c r="J173">
        <f>'By Round'!J52</f>
        <v/>
      </c>
      <c r="K173">
        <f>'By Round'!K52</f>
        <v/>
      </c>
      <c r="L173" s="11">
        <f>IFERROR(AVERAGE(P173:U173),"")</f>
        <v/>
      </c>
      <c r="M173" s="4">
        <f>IFERROR(AVERAGE(V173:AA173),"")</f>
        <v/>
      </c>
      <c r="N173">
        <f>IF(ISNUMBER(J173),J173,IF(ISNUMBER(K173),-K173,""))</f>
        <v/>
      </c>
      <c r="O173">
        <f>IF(ISNUMBER(K173),K173,IF(ISNUMBER(J173),-J173,""))</f>
        <v/>
      </c>
      <c r="P173">
        <f>IF(AND(ISNUMBER(N173),ISNUMBER(N171)),VLOOKUP(ABS(N173-N171),'IMP Table'!$A$2:$C$26,3)*SIGN(N173-N171),"")</f>
        <v/>
      </c>
      <c r="Q173">
        <f>IF(AND(ISNUMBER(N173),ISNUMBER(N172)),VLOOKUP(ABS(N173-N172),'IMP Table'!$A$2:$C$26,3)*SIGN(N173-N172),"")</f>
        <v/>
      </c>
      <c r="R173">
        <f>IF(AND(ISNUMBER(N173),ISNUMBER(N174)),VLOOKUP(ABS(N173-N174),'IMP Table'!$A$2:$C$26,3)*SIGN(N173-N174),"")</f>
        <v/>
      </c>
      <c r="S173">
        <f>IF(AND(ISNUMBER(N173),ISNUMBER(N175)),VLOOKUP(ABS(N173-N175),'IMP Table'!$A$2:$C$26,3)*SIGN(N173-N175),"")</f>
        <v/>
      </c>
      <c r="T173">
        <f>IF(AND(ISNUMBER(N173),ISNUMBER(N176)),VLOOKUP(ABS(N173-N176),'IMP Table'!$A$2:$C$26,3)*SIGN(N173-N176),"")</f>
        <v/>
      </c>
      <c r="U173">
        <f>IF(AND(ISNUMBER(N173),ISNUMBER(N177)),VLOOKUP(ABS(N173-N177),'IMP Table'!$A$2:$C$26,3)*SIGN(N173-N177),"")</f>
        <v/>
      </c>
      <c r="V173">
        <f>IF(AND(ISNUMBER(O173),ISNUMBER(O171)),VLOOKUP(ABS(O173-O171),'IMP Table'!$A$2:$C$26,3)*SIGN(O173-O171),"")</f>
        <v/>
      </c>
      <c r="W173">
        <f>IF(AND(ISNUMBER(O173),ISNUMBER(O172)),VLOOKUP(ABS(O173-O172),'IMP Table'!$A$2:$C$26,3)*SIGN(O173-O172),"")</f>
        <v/>
      </c>
      <c r="X173">
        <f>IF(AND(ISNUMBER(O173),ISNUMBER(O174)),VLOOKUP(ABS(O173-O174),'IMP Table'!$A$2:$C$26,3)*SIGN(O173-O174),"")</f>
        <v/>
      </c>
      <c r="Y173">
        <f>IF(AND(ISNUMBER(O173),ISNUMBER(O175)),VLOOKUP(ABS(O173-O175),'IMP Table'!$A$2:$C$26,3)*SIGN(O173-O175),"")</f>
        <v/>
      </c>
      <c r="Z173">
        <f>IF(AND(ISNUMBER(O173),ISNUMBER(O176)),VLOOKUP(ABS(O173-O176),'IMP Table'!$A$2:$C$26,3)*SIGN(O173-O176),"")</f>
        <v/>
      </c>
      <c r="AA173">
        <f>IF(AND(ISNUMBER(O173),ISNUMBER(O177)),VLOOKUP(ABS(O173-O177),'IMP Table'!$A$2:$C$26,3)*SIGN(O173-O177),"")</f>
        <v/>
      </c>
    </row>
    <row r="174">
      <c r="B174">
        <f>'By Round'!A114</f>
        <v/>
      </c>
      <c r="C174">
        <f>'By Round'!B120</f>
        <v/>
      </c>
      <c r="D174">
        <f>'By Round'!C120</f>
        <v/>
      </c>
      <c r="E174">
        <f>'By Round'!D120</f>
        <v/>
      </c>
      <c r="F174" s="10" t="inlineStr">
        <is>
          <t>EW</t>
        </is>
      </c>
      <c r="G174">
        <f>'By Round'!G120</f>
        <v/>
      </c>
      <c r="H174">
        <f>'By Round'!H120</f>
        <v/>
      </c>
      <c r="I174">
        <f>'By Round'!I120</f>
        <v/>
      </c>
      <c r="J174">
        <f>'By Round'!J120</f>
        <v/>
      </c>
      <c r="K174">
        <f>'By Round'!K120</f>
        <v/>
      </c>
      <c r="L174" s="11">
        <f>IFERROR(AVERAGE(P174:U174),"")</f>
        <v/>
      </c>
      <c r="M174" s="4">
        <f>IFERROR(AVERAGE(V174:AA174),"")</f>
        <v/>
      </c>
      <c r="N174">
        <f>IF(ISNUMBER(J174),J174,IF(ISNUMBER(K174),-K174,""))</f>
        <v/>
      </c>
      <c r="O174">
        <f>IF(ISNUMBER(K174),K174,IF(ISNUMBER(J174),-J174,""))</f>
        <v/>
      </c>
      <c r="P174">
        <f>IF(AND(ISNUMBER(N174),ISNUMBER(N171)),VLOOKUP(ABS(N174-N171),'IMP Table'!$A$2:$C$26,3)*SIGN(N174-N171),"")</f>
        <v/>
      </c>
      <c r="Q174">
        <f>IF(AND(ISNUMBER(N174),ISNUMBER(N172)),VLOOKUP(ABS(N174-N172),'IMP Table'!$A$2:$C$26,3)*SIGN(N174-N172),"")</f>
        <v/>
      </c>
      <c r="R174">
        <f>IF(AND(ISNUMBER(N174),ISNUMBER(N173)),VLOOKUP(ABS(N174-N173),'IMP Table'!$A$2:$C$26,3)*SIGN(N174-N173),"")</f>
        <v/>
      </c>
      <c r="S174">
        <f>IF(AND(ISNUMBER(N174),ISNUMBER(N175)),VLOOKUP(ABS(N174-N175),'IMP Table'!$A$2:$C$26,3)*SIGN(N174-N175),"")</f>
        <v/>
      </c>
      <c r="T174">
        <f>IF(AND(ISNUMBER(N174),ISNUMBER(N176)),VLOOKUP(ABS(N174-N176),'IMP Table'!$A$2:$C$26,3)*SIGN(N174-N176),"")</f>
        <v/>
      </c>
      <c r="U174">
        <f>IF(AND(ISNUMBER(N174),ISNUMBER(N177)),VLOOKUP(ABS(N174-N177),'IMP Table'!$A$2:$C$26,3)*SIGN(N174-N177),"")</f>
        <v/>
      </c>
      <c r="V174">
        <f>IF(AND(ISNUMBER(O174),ISNUMBER(O171)),VLOOKUP(ABS(O174-O171),'IMP Table'!$A$2:$C$26,3)*SIGN(O174-O171),"")</f>
        <v/>
      </c>
      <c r="W174">
        <f>IF(AND(ISNUMBER(O174),ISNUMBER(O172)),VLOOKUP(ABS(O174-O172),'IMP Table'!$A$2:$C$26,3)*SIGN(O174-O172),"")</f>
        <v/>
      </c>
      <c r="X174">
        <f>IF(AND(ISNUMBER(O174),ISNUMBER(O173)),VLOOKUP(ABS(O174-O173),'IMP Table'!$A$2:$C$26,3)*SIGN(O174-O173),"")</f>
        <v/>
      </c>
      <c r="Y174">
        <f>IF(AND(ISNUMBER(O174),ISNUMBER(O175)),VLOOKUP(ABS(O174-O175),'IMP Table'!$A$2:$C$26,3)*SIGN(O174-O175),"")</f>
        <v/>
      </c>
      <c r="Z174">
        <f>IF(AND(ISNUMBER(O174),ISNUMBER(O176)),VLOOKUP(ABS(O174-O176),'IMP Table'!$A$2:$C$26,3)*SIGN(O174-O176),"")</f>
        <v/>
      </c>
      <c r="AA174">
        <f>IF(AND(ISNUMBER(O174),ISNUMBER(O177)),VLOOKUP(ABS(O174-O177),'IMP Table'!$A$2:$C$26,3)*SIGN(O174-O177),"")</f>
        <v/>
      </c>
    </row>
    <row r="175">
      <c r="B175">
        <f>'By Round'!A128</f>
        <v/>
      </c>
      <c r="C175">
        <f>'By Round'!B132</f>
        <v/>
      </c>
      <c r="D175">
        <f>'By Round'!C132</f>
        <v/>
      </c>
      <c r="E175">
        <f>'By Round'!D132</f>
        <v/>
      </c>
      <c r="F175" s="10" t="inlineStr">
        <is>
          <t>EW</t>
        </is>
      </c>
      <c r="G175">
        <f>'By Round'!G132</f>
        <v/>
      </c>
      <c r="H175">
        <f>'By Round'!H132</f>
        <v/>
      </c>
      <c r="I175">
        <f>'By Round'!I132</f>
        <v/>
      </c>
      <c r="J175">
        <f>'By Round'!J132</f>
        <v/>
      </c>
      <c r="K175">
        <f>'By Round'!K132</f>
        <v/>
      </c>
      <c r="L175" s="11">
        <f>IFERROR(AVERAGE(P175:U175),"")</f>
        <v/>
      </c>
      <c r="M175" s="4">
        <f>IFERROR(AVERAGE(V175:AA175),"")</f>
        <v/>
      </c>
      <c r="N175">
        <f>IF(ISNUMBER(J175),J175,IF(ISNUMBER(K175),-K175,""))</f>
        <v/>
      </c>
      <c r="O175">
        <f>IF(ISNUMBER(K175),K175,IF(ISNUMBER(J175),-J175,""))</f>
        <v/>
      </c>
      <c r="P175">
        <f>IF(AND(ISNUMBER(N175),ISNUMBER(N171)),VLOOKUP(ABS(N175-N171),'IMP Table'!$A$2:$C$26,3)*SIGN(N175-N171),"")</f>
        <v/>
      </c>
      <c r="Q175">
        <f>IF(AND(ISNUMBER(N175),ISNUMBER(N172)),VLOOKUP(ABS(N175-N172),'IMP Table'!$A$2:$C$26,3)*SIGN(N175-N172),"")</f>
        <v/>
      </c>
      <c r="R175">
        <f>IF(AND(ISNUMBER(N175),ISNUMBER(N173)),VLOOKUP(ABS(N175-N173),'IMP Table'!$A$2:$C$26,3)*SIGN(N175-N173),"")</f>
        <v/>
      </c>
      <c r="S175">
        <f>IF(AND(ISNUMBER(N175),ISNUMBER(N174)),VLOOKUP(ABS(N175-N174),'IMP Table'!$A$2:$C$26,3)*SIGN(N175-N174),"")</f>
        <v/>
      </c>
      <c r="T175">
        <f>IF(AND(ISNUMBER(N175),ISNUMBER(N176)),VLOOKUP(ABS(N175-N176),'IMP Table'!$A$2:$C$26,3)*SIGN(N175-N176),"")</f>
        <v/>
      </c>
      <c r="U175">
        <f>IF(AND(ISNUMBER(N175),ISNUMBER(N177)),VLOOKUP(ABS(N175-N177),'IMP Table'!$A$2:$C$26,3)*SIGN(N175-N177),"")</f>
        <v/>
      </c>
      <c r="V175">
        <f>IF(AND(ISNUMBER(O175),ISNUMBER(O171)),VLOOKUP(ABS(O175-O171),'IMP Table'!$A$2:$C$26,3)*SIGN(O175-O171),"")</f>
        <v/>
      </c>
      <c r="W175">
        <f>IF(AND(ISNUMBER(O175),ISNUMBER(O172)),VLOOKUP(ABS(O175-O172),'IMP Table'!$A$2:$C$26,3)*SIGN(O175-O172),"")</f>
        <v/>
      </c>
      <c r="X175">
        <f>IF(AND(ISNUMBER(O175),ISNUMBER(O173)),VLOOKUP(ABS(O175-O173),'IMP Table'!$A$2:$C$26,3)*SIGN(O175-O173),"")</f>
        <v/>
      </c>
      <c r="Y175">
        <f>IF(AND(ISNUMBER(O175),ISNUMBER(O174)),VLOOKUP(ABS(O175-O174),'IMP Table'!$A$2:$C$26,3)*SIGN(O175-O174),"")</f>
        <v/>
      </c>
      <c r="Z175">
        <f>IF(AND(ISNUMBER(O175),ISNUMBER(O176)),VLOOKUP(ABS(O175-O176),'IMP Table'!$A$2:$C$26,3)*SIGN(O175-O176),"")</f>
        <v/>
      </c>
      <c r="AA175">
        <f>IF(AND(ISNUMBER(O175),ISNUMBER(O177)),VLOOKUP(ABS(O175-O177),'IMP Table'!$A$2:$C$26,3)*SIGN(O175-O177),"")</f>
        <v/>
      </c>
    </row>
    <row r="176">
      <c r="B176">
        <f>'By Round'!A142</f>
        <v/>
      </c>
      <c r="C176">
        <f>'By Round'!B144</f>
        <v/>
      </c>
      <c r="D176">
        <f>'By Round'!C144</f>
        <v/>
      </c>
      <c r="E176">
        <f>'By Round'!D144</f>
        <v/>
      </c>
      <c r="F176" s="10" t="inlineStr">
        <is>
          <t>EW</t>
        </is>
      </c>
      <c r="G176">
        <f>'By Round'!G144</f>
        <v/>
      </c>
      <c r="H176">
        <f>'By Round'!H144</f>
        <v/>
      </c>
      <c r="I176">
        <f>'By Round'!I144</f>
        <v/>
      </c>
      <c r="J176">
        <f>'By Round'!J144</f>
        <v/>
      </c>
      <c r="K176">
        <f>'By Round'!K144</f>
        <v/>
      </c>
      <c r="L176" s="11">
        <f>IFERROR(AVERAGE(P176:U176),"")</f>
        <v/>
      </c>
      <c r="M176" s="4">
        <f>IFERROR(AVERAGE(V176:AA176),"")</f>
        <v/>
      </c>
      <c r="N176">
        <f>IF(ISNUMBER(J176),J176,IF(ISNUMBER(K176),-K176,""))</f>
        <v/>
      </c>
      <c r="O176">
        <f>IF(ISNUMBER(K176),K176,IF(ISNUMBER(J176),-J176,""))</f>
        <v/>
      </c>
      <c r="P176">
        <f>IF(AND(ISNUMBER(N176),ISNUMBER(N171)),VLOOKUP(ABS(N176-N171),'IMP Table'!$A$2:$C$26,3)*SIGN(N176-N171),"")</f>
        <v/>
      </c>
      <c r="Q176">
        <f>IF(AND(ISNUMBER(N176),ISNUMBER(N172)),VLOOKUP(ABS(N176-N172),'IMP Table'!$A$2:$C$26,3)*SIGN(N176-N172),"")</f>
        <v/>
      </c>
      <c r="R176">
        <f>IF(AND(ISNUMBER(N176),ISNUMBER(N173)),VLOOKUP(ABS(N176-N173),'IMP Table'!$A$2:$C$26,3)*SIGN(N176-N173),"")</f>
        <v/>
      </c>
      <c r="S176">
        <f>IF(AND(ISNUMBER(N176),ISNUMBER(N174)),VLOOKUP(ABS(N176-N174),'IMP Table'!$A$2:$C$26,3)*SIGN(N176-N174),"")</f>
        <v/>
      </c>
      <c r="T176">
        <f>IF(AND(ISNUMBER(N176),ISNUMBER(N175)),VLOOKUP(ABS(N176-N175),'IMP Table'!$A$2:$C$26,3)*SIGN(N176-N175),"")</f>
        <v/>
      </c>
      <c r="U176">
        <f>IF(AND(ISNUMBER(N176),ISNUMBER(N177)),VLOOKUP(ABS(N176-N177),'IMP Table'!$A$2:$C$26,3)*SIGN(N176-N177),"")</f>
        <v/>
      </c>
      <c r="V176">
        <f>IF(AND(ISNUMBER(O176),ISNUMBER(O171)),VLOOKUP(ABS(O176-O171),'IMP Table'!$A$2:$C$26,3)*SIGN(O176-O171),"")</f>
        <v/>
      </c>
      <c r="W176">
        <f>IF(AND(ISNUMBER(O176),ISNUMBER(O172)),VLOOKUP(ABS(O176-O172),'IMP Table'!$A$2:$C$26,3)*SIGN(O176-O172),"")</f>
        <v/>
      </c>
      <c r="X176">
        <f>IF(AND(ISNUMBER(O176),ISNUMBER(O173)),VLOOKUP(ABS(O176-O173),'IMP Table'!$A$2:$C$26,3)*SIGN(O176-O173),"")</f>
        <v/>
      </c>
      <c r="Y176">
        <f>IF(AND(ISNUMBER(O176),ISNUMBER(O174)),VLOOKUP(ABS(O176-O174),'IMP Table'!$A$2:$C$26,3)*SIGN(O176-O174),"")</f>
        <v/>
      </c>
      <c r="Z176">
        <f>IF(AND(ISNUMBER(O176),ISNUMBER(O175)),VLOOKUP(ABS(O176-O175),'IMP Table'!$A$2:$C$26,3)*SIGN(O176-O175),"")</f>
        <v/>
      </c>
      <c r="AA176">
        <f>IF(AND(ISNUMBER(O176),ISNUMBER(O177)),VLOOKUP(ABS(O176-O177),'IMP Table'!$A$2:$C$26,3)*SIGN(O176-O177),"")</f>
        <v/>
      </c>
    </row>
    <row r="177">
      <c r="B177">
        <f>'By Round'!A170</f>
        <v/>
      </c>
      <c r="C177">
        <f>'By Round'!B170</f>
        <v/>
      </c>
      <c r="D177">
        <f>'By Round'!C170</f>
        <v/>
      </c>
      <c r="E177">
        <f>'By Round'!D170</f>
        <v/>
      </c>
      <c r="F177" s="10" t="inlineStr">
        <is>
          <t>EW</t>
        </is>
      </c>
      <c r="G177">
        <f>'By Round'!G170</f>
        <v/>
      </c>
      <c r="H177">
        <f>'By Round'!H170</f>
        <v/>
      </c>
      <c r="I177">
        <f>'By Round'!I170</f>
        <v/>
      </c>
      <c r="J177">
        <f>'By Round'!J170</f>
        <v/>
      </c>
      <c r="K177">
        <f>'By Round'!K170</f>
        <v/>
      </c>
      <c r="L177" s="11">
        <f>IFERROR(AVERAGE(P177:U177),"")</f>
        <v/>
      </c>
      <c r="M177" s="4">
        <f>IFERROR(AVERAGE(V177:AA177),"")</f>
        <v/>
      </c>
      <c r="N177">
        <f>IF(ISNUMBER(J177),J177,IF(ISNUMBER(K177),-K177,""))</f>
        <v/>
      </c>
      <c r="O177">
        <f>IF(ISNUMBER(K177),K177,IF(ISNUMBER(J177),-J177,""))</f>
        <v/>
      </c>
      <c r="P177">
        <f>IF(AND(ISNUMBER(N177),ISNUMBER(N171)),VLOOKUP(ABS(N177-N171),'IMP Table'!$A$2:$C$26,3)*SIGN(N177-N171),"")</f>
        <v/>
      </c>
      <c r="Q177">
        <f>IF(AND(ISNUMBER(N177),ISNUMBER(N172)),VLOOKUP(ABS(N177-N172),'IMP Table'!$A$2:$C$26,3)*SIGN(N177-N172),"")</f>
        <v/>
      </c>
      <c r="R177">
        <f>IF(AND(ISNUMBER(N177),ISNUMBER(N173)),VLOOKUP(ABS(N177-N173),'IMP Table'!$A$2:$C$26,3)*SIGN(N177-N173),"")</f>
        <v/>
      </c>
      <c r="S177">
        <f>IF(AND(ISNUMBER(N177),ISNUMBER(N174)),VLOOKUP(ABS(N177-N174),'IMP Table'!$A$2:$C$26,3)*SIGN(N177-N174),"")</f>
        <v/>
      </c>
      <c r="T177">
        <f>IF(AND(ISNUMBER(N177),ISNUMBER(N175)),VLOOKUP(ABS(N177-N175),'IMP Table'!$A$2:$C$26,3)*SIGN(N177-N175),"")</f>
        <v/>
      </c>
      <c r="U177">
        <f>IF(AND(ISNUMBER(N177),ISNUMBER(N176)),VLOOKUP(ABS(N177-N176),'IMP Table'!$A$2:$C$26,3)*SIGN(N177-N176),"")</f>
        <v/>
      </c>
      <c r="V177">
        <f>IF(AND(ISNUMBER(O177),ISNUMBER(O171)),VLOOKUP(ABS(O177-O171),'IMP Table'!$A$2:$C$26,3)*SIGN(O177-O171),"")</f>
        <v/>
      </c>
      <c r="W177">
        <f>IF(AND(ISNUMBER(O177),ISNUMBER(O172)),VLOOKUP(ABS(O177-O172),'IMP Table'!$A$2:$C$26,3)*SIGN(O177-O172),"")</f>
        <v/>
      </c>
      <c r="X177">
        <f>IF(AND(ISNUMBER(O177),ISNUMBER(O173)),VLOOKUP(ABS(O177-O173),'IMP Table'!$A$2:$C$26,3)*SIGN(O177-O173),"")</f>
        <v/>
      </c>
      <c r="Y177">
        <f>IF(AND(ISNUMBER(O177),ISNUMBER(O174)),VLOOKUP(ABS(O177-O174),'IMP Table'!$A$2:$C$26,3)*SIGN(O177-O174),"")</f>
        <v/>
      </c>
      <c r="Z177">
        <f>IF(AND(ISNUMBER(O177),ISNUMBER(O175)),VLOOKUP(ABS(O177-O175),'IMP Table'!$A$2:$C$26,3)*SIGN(O177-O175),"")</f>
        <v/>
      </c>
      <c r="AA177">
        <f>IF(AND(ISNUMBER(O177),ISNUMBER(O176)),VLOOKUP(ABS(O177-O176),'IMP Table'!$A$2:$C$26,3)*SIGN(O177-O176),"")</f>
        <v/>
      </c>
    </row>
    <row r="178">
      <c r="A178" t="n">
        <v>26</v>
      </c>
      <c r="B178">
        <f>'By Round'!A16</f>
        <v/>
      </c>
      <c r="C178">
        <f>'By Round'!B28</f>
        <v/>
      </c>
      <c r="D178">
        <f>'By Round'!C28</f>
        <v/>
      </c>
      <c r="E178">
        <f>'By Round'!D28</f>
        <v/>
      </c>
      <c r="F178" s="10" t="inlineStr">
        <is>
          <t>Both</t>
        </is>
      </c>
      <c r="G178">
        <f>'By Round'!G29</f>
        <v/>
      </c>
      <c r="H178">
        <f>'By Round'!H29</f>
        <v/>
      </c>
      <c r="I178">
        <f>'By Round'!I29</f>
        <v/>
      </c>
      <c r="J178">
        <f>'By Round'!J29</f>
        <v/>
      </c>
      <c r="K178">
        <f>'By Round'!K29</f>
        <v/>
      </c>
      <c r="L178" s="11">
        <f>IFERROR(AVERAGE(P178:U178),"")</f>
        <v/>
      </c>
      <c r="M178" s="4">
        <f>IFERROR(AVERAGE(V178:AA178),"")</f>
        <v/>
      </c>
      <c r="N178">
        <f>IF(ISNUMBER(J178),J178,IF(ISNUMBER(K178),-K178,""))</f>
        <v/>
      </c>
      <c r="O178">
        <f>IF(ISNUMBER(K178),K178,IF(ISNUMBER(J178),-J178,""))</f>
        <v/>
      </c>
      <c r="P178">
        <f>IF(AND(ISNUMBER(N178),ISNUMBER(N179)),VLOOKUP(ABS(N178-N179),'IMP Table'!$A$2:$C$26,3)*SIGN(N178-N179),"")</f>
        <v/>
      </c>
      <c r="Q178">
        <f>IF(AND(ISNUMBER(N178),ISNUMBER(N180)),VLOOKUP(ABS(N178-N180),'IMP Table'!$A$2:$C$26,3)*SIGN(N178-N180),"")</f>
        <v/>
      </c>
      <c r="R178">
        <f>IF(AND(ISNUMBER(N178),ISNUMBER(N181)),VLOOKUP(ABS(N178-N181),'IMP Table'!$A$2:$C$26,3)*SIGN(N178-N181),"")</f>
        <v/>
      </c>
      <c r="S178">
        <f>IF(AND(ISNUMBER(N178),ISNUMBER(N182)),VLOOKUP(ABS(N178-N182),'IMP Table'!$A$2:$C$26,3)*SIGN(N178-N182),"")</f>
        <v/>
      </c>
      <c r="T178">
        <f>IF(AND(ISNUMBER(N178),ISNUMBER(N183)),VLOOKUP(ABS(N178-N183),'IMP Table'!$A$2:$C$26,3)*SIGN(N178-N183),"")</f>
        <v/>
      </c>
      <c r="U178">
        <f>IF(AND(ISNUMBER(N178),ISNUMBER(N184)),VLOOKUP(ABS(N178-N184),'IMP Table'!$A$2:$C$26,3)*SIGN(N178-N184),"")</f>
        <v/>
      </c>
      <c r="V178">
        <f>IF(AND(ISNUMBER(O178),ISNUMBER(O179)),VLOOKUP(ABS(O178-O179),'IMP Table'!$A$2:$C$26,3)*SIGN(O178-O179),"")</f>
        <v/>
      </c>
      <c r="W178">
        <f>IF(AND(ISNUMBER(O178),ISNUMBER(O180)),VLOOKUP(ABS(O178-O180),'IMP Table'!$A$2:$C$26,3)*SIGN(O178-O180),"")</f>
        <v/>
      </c>
      <c r="X178">
        <f>IF(AND(ISNUMBER(O178),ISNUMBER(O181)),VLOOKUP(ABS(O178-O181),'IMP Table'!$A$2:$C$26,3)*SIGN(O178-O181),"")</f>
        <v/>
      </c>
      <c r="Y178">
        <f>IF(AND(ISNUMBER(O178),ISNUMBER(O182)),VLOOKUP(ABS(O178-O182),'IMP Table'!$A$2:$C$26,3)*SIGN(O178-O182),"")</f>
        <v/>
      </c>
      <c r="Z178">
        <f>IF(AND(ISNUMBER(O178),ISNUMBER(O183)),VLOOKUP(ABS(O178-O183),'IMP Table'!$A$2:$C$26,3)*SIGN(O178-O183),"")</f>
        <v/>
      </c>
      <c r="AA178">
        <f>IF(AND(ISNUMBER(O178),ISNUMBER(O184)),VLOOKUP(ABS(O178-O184),'IMP Table'!$A$2:$C$26,3)*SIGN(O178-O184),"")</f>
        <v/>
      </c>
    </row>
    <row r="179">
      <c r="B179">
        <f>'By Round'!A30</f>
        <v/>
      </c>
      <c r="C179">
        <f>'By Round'!B40</f>
        <v/>
      </c>
      <c r="D179">
        <f>'By Round'!C40</f>
        <v/>
      </c>
      <c r="E179">
        <f>'By Round'!D40</f>
        <v/>
      </c>
      <c r="F179" s="10" t="inlineStr">
        <is>
          <t>Both</t>
        </is>
      </c>
      <c r="G179">
        <f>'By Round'!G41</f>
        <v/>
      </c>
      <c r="H179">
        <f>'By Round'!H41</f>
        <v/>
      </c>
      <c r="I179">
        <f>'By Round'!I41</f>
        <v/>
      </c>
      <c r="J179">
        <f>'By Round'!J41</f>
        <v/>
      </c>
      <c r="K179">
        <f>'By Round'!K41</f>
        <v/>
      </c>
      <c r="L179" s="11">
        <f>IFERROR(AVERAGE(P179:U179),"")</f>
        <v/>
      </c>
      <c r="M179" s="4">
        <f>IFERROR(AVERAGE(V179:AA179),"")</f>
        <v/>
      </c>
      <c r="N179">
        <f>IF(ISNUMBER(J179),J179,IF(ISNUMBER(K179),-K179,""))</f>
        <v/>
      </c>
      <c r="O179">
        <f>IF(ISNUMBER(K179),K179,IF(ISNUMBER(J179),-J179,""))</f>
        <v/>
      </c>
      <c r="P179">
        <f>IF(AND(ISNUMBER(N179),ISNUMBER(N178)),VLOOKUP(ABS(N179-N178),'IMP Table'!$A$2:$C$26,3)*SIGN(N179-N178),"")</f>
        <v/>
      </c>
      <c r="Q179">
        <f>IF(AND(ISNUMBER(N179),ISNUMBER(N180)),VLOOKUP(ABS(N179-N180),'IMP Table'!$A$2:$C$26,3)*SIGN(N179-N180),"")</f>
        <v/>
      </c>
      <c r="R179">
        <f>IF(AND(ISNUMBER(N179),ISNUMBER(N181)),VLOOKUP(ABS(N179-N181),'IMP Table'!$A$2:$C$26,3)*SIGN(N179-N181),"")</f>
        <v/>
      </c>
      <c r="S179">
        <f>IF(AND(ISNUMBER(N179),ISNUMBER(N182)),VLOOKUP(ABS(N179-N182),'IMP Table'!$A$2:$C$26,3)*SIGN(N179-N182),"")</f>
        <v/>
      </c>
      <c r="T179">
        <f>IF(AND(ISNUMBER(N179),ISNUMBER(N183)),VLOOKUP(ABS(N179-N183),'IMP Table'!$A$2:$C$26,3)*SIGN(N179-N183),"")</f>
        <v/>
      </c>
      <c r="U179">
        <f>IF(AND(ISNUMBER(N179),ISNUMBER(N184)),VLOOKUP(ABS(N179-N184),'IMP Table'!$A$2:$C$26,3)*SIGN(N179-N184),"")</f>
        <v/>
      </c>
      <c r="V179">
        <f>IF(AND(ISNUMBER(O179),ISNUMBER(O178)),VLOOKUP(ABS(O179-O178),'IMP Table'!$A$2:$C$26,3)*SIGN(O179-O178),"")</f>
        <v/>
      </c>
      <c r="W179">
        <f>IF(AND(ISNUMBER(O179),ISNUMBER(O180)),VLOOKUP(ABS(O179-O180),'IMP Table'!$A$2:$C$26,3)*SIGN(O179-O180),"")</f>
        <v/>
      </c>
      <c r="X179">
        <f>IF(AND(ISNUMBER(O179),ISNUMBER(O181)),VLOOKUP(ABS(O179-O181),'IMP Table'!$A$2:$C$26,3)*SIGN(O179-O181),"")</f>
        <v/>
      </c>
      <c r="Y179">
        <f>IF(AND(ISNUMBER(O179),ISNUMBER(O182)),VLOOKUP(ABS(O179-O182),'IMP Table'!$A$2:$C$26,3)*SIGN(O179-O182),"")</f>
        <v/>
      </c>
      <c r="Z179">
        <f>IF(AND(ISNUMBER(O179),ISNUMBER(O183)),VLOOKUP(ABS(O179-O183),'IMP Table'!$A$2:$C$26,3)*SIGN(O179-O183),"")</f>
        <v/>
      </c>
      <c r="AA179">
        <f>IF(AND(ISNUMBER(O179),ISNUMBER(O184)),VLOOKUP(ABS(O179-O184),'IMP Table'!$A$2:$C$26,3)*SIGN(O179-O184),"")</f>
        <v/>
      </c>
    </row>
    <row r="180">
      <c r="B180">
        <f>'By Round'!A44</f>
        <v/>
      </c>
      <c r="C180">
        <f>'By Round'!B52</f>
        <v/>
      </c>
      <c r="D180">
        <f>'By Round'!C52</f>
        <v/>
      </c>
      <c r="E180">
        <f>'By Round'!D52</f>
        <v/>
      </c>
      <c r="F180" s="10" t="inlineStr">
        <is>
          <t>Both</t>
        </is>
      </c>
      <c r="G180">
        <f>'By Round'!G53</f>
        <v/>
      </c>
      <c r="H180">
        <f>'By Round'!H53</f>
        <v/>
      </c>
      <c r="I180">
        <f>'By Round'!I53</f>
        <v/>
      </c>
      <c r="J180">
        <f>'By Round'!J53</f>
        <v/>
      </c>
      <c r="K180">
        <f>'By Round'!K53</f>
        <v/>
      </c>
      <c r="L180" s="11">
        <f>IFERROR(AVERAGE(P180:U180),"")</f>
        <v/>
      </c>
      <c r="M180" s="4">
        <f>IFERROR(AVERAGE(V180:AA180),"")</f>
        <v/>
      </c>
      <c r="N180">
        <f>IF(ISNUMBER(J180),J180,IF(ISNUMBER(K180),-K180,""))</f>
        <v/>
      </c>
      <c r="O180">
        <f>IF(ISNUMBER(K180),K180,IF(ISNUMBER(J180),-J180,""))</f>
        <v/>
      </c>
      <c r="P180">
        <f>IF(AND(ISNUMBER(N180),ISNUMBER(N178)),VLOOKUP(ABS(N180-N178),'IMP Table'!$A$2:$C$26,3)*SIGN(N180-N178),"")</f>
        <v/>
      </c>
      <c r="Q180">
        <f>IF(AND(ISNUMBER(N180),ISNUMBER(N179)),VLOOKUP(ABS(N180-N179),'IMP Table'!$A$2:$C$26,3)*SIGN(N180-N179),"")</f>
        <v/>
      </c>
      <c r="R180">
        <f>IF(AND(ISNUMBER(N180),ISNUMBER(N181)),VLOOKUP(ABS(N180-N181),'IMP Table'!$A$2:$C$26,3)*SIGN(N180-N181),"")</f>
        <v/>
      </c>
      <c r="S180">
        <f>IF(AND(ISNUMBER(N180),ISNUMBER(N182)),VLOOKUP(ABS(N180-N182),'IMP Table'!$A$2:$C$26,3)*SIGN(N180-N182),"")</f>
        <v/>
      </c>
      <c r="T180">
        <f>IF(AND(ISNUMBER(N180),ISNUMBER(N183)),VLOOKUP(ABS(N180-N183),'IMP Table'!$A$2:$C$26,3)*SIGN(N180-N183),"")</f>
        <v/>
      </c>
      <c r="U180">
        <f>IF(AND(ISNUMBER(N180),ISNUMBER(N184)),VLOOKUP(ABS(N180-N184),'IMP Table'!$A$2:$C$26,3)*SIGN(N180-N184),"")</f>
        <v/>
      </c>
      <c r="V180">
        <f>IF(AND(ISNUMBER(O180),ISNUMBER(O178)),VLOOKUP(ABS(O180-O178),'IMP Table'!$A$2:$C$26,3)*SIGN(O180-O178),"")</f>
        <v/>
      </c>
      <c r="W180">
        <f>IF(AND(ISNUMBER(O180),ISNUMBER(O179)),VLOOKUP(ABS(O180-O179),'IMP Table'!$A$2:$C$26,3)*SIGN(O180-O179),"")</f>
        <v/>
      </c>
      <c r="X180">
        <f>IF(AND(ISNUMBER(O180),ISNUMBER(O181)),VLOOKUP(ABS(O180-O181),'IMP Table'!$A$2:$C$26,3)*SIGN(O180-O181),"")</f>
        <v/>
      </c>
      <c r="Y180">
        <f>IF(AND(ISNUMBER(O180),ISNUMBER(O182)),VLOOKUP(ABS(O180-O182),'IMP Table'!$A$2:$C$26,3)*SIGN(O180-O182),"")</f>
        <v/>
      </c>
      <c r="Z180">
        <f>IF(AND(ISNUMBER(O180),ISNUMBER(O183)),VLOOKUP(ABS(O180-O183),'IMP Table'!$A$2:$C$26,3)*SIGN(O180-O183),"")</f>
        <v/>
      </c>
      <c r="AA180">
        <f>IF(AND(ISNUMBER(O180),ISNUMBER(O184)),VLOOKUP(ABS(O180-O184),'IMP Table'!$A$2:$C$26,3)*SIGN(O180-O184),"")</f>
        <v/>
      </c>
    </row>
    <row r="181">
      <c r="B181">
        <f>'By Round'!A114</f>
        <v/>
      </c>
      <c r="C181">
        <f>'By Round'!B120</f>
        <v/>
      </c>
      <c r="D181">
        <f>'By Round'!C120</f>
        <v/>
      </c>
      <c r="E181">
        <f>'By Round'!D120</f>
        <v/>
      </c>
      <c r="F181" s="10" t="inlineStr">
        <is>
          <t>Both</t>
        </is>
      </c>
      <c r="G181">
        <f>'By Round'!G121</f>
        <v/>
      </c>
      <c r="H181">
        <f>'By Round'!H121</f>
        <v/>
      </c>
      <c r="I181">
        <f>'By Round'!I121</f>
        <v/>
      </c>
      <c r="J181">
        <f>'By Round'!J121</f>
        <v/>
      </c>
      <c r="K181">
        <f>'By Round'!K121</f>
        <v/>
      </c>
      <c r="L181" s="11">
        <f>IFERROR(AVERAGE(P181:U181),"")</f>
        <v/>
      </c>
      <c r="M181" s="4">
        <f>IFERROR(AVERAGE(V181:AA181),"")</f>
        <v/>
      </c>
      <c r="N181">
        <f>IF(ISNUMBER(J181),J181,IF(ISNUMBER(K181),-K181,""))</f>
        <v/>
      </c>
      <c r="O181">
        <f>IF(ISNUMBER(K181),K181,IF(ISNUMBER(J181),-J181,""))</f>
        <v/>
      </c>
      <c r="P181">
        <f>IF(AND(ISNUMBER(N181),ISNUMBER(N178)),VLOOKUP(ABS(N181-N178),'IMP Table'!$A$2:$C$26,3)*SIGN(N181-N178),"")</f>
        <v/>
      </c>
      <c r="Q181">
        <f>IF(AND(ISNUMBER(N181),ISNUMBER(N179)),VLOOKUP(ABS(N181-N179),'IMP Table'!$A$2:$C$26,3)*SIGN(N181-N179),"")</f>
        <v/>
      </c>
      <c r="R181">
        <f>IF(AND(ISNUMBER(N181),ISNUMBER(N180)),VLOOKUP(ABS(N181-N180),'IMP Table'!$A$2:$C$26,3)*SIGN(N181-N180),"")</f>
        <v/>
      </c>
      <c r="S181">
        <f>IF(AND(ISNUMBER(N181),ISNUMBER(N182)),VLOOKUP(ABS(N181-N182),'IMP Table'!$A$2:$C$26,3)*SIGN(N181-N182),"")</f>
        <v/>
      </c>
      <c r="T181">
        <f>IF(AND(ISNUMBER(N181),ISNUMBER(N183)),VLOOKUP(ABS(N181-N183),'IMP Table'!$A$2:$C$26,3)*SIGN(N181-N183),"")</f>
        <v/>
      </c>
      <c r="U181">
        <f>IF(AND(ISNUMBER(N181),ISNUMBER(N184)),VLOOKUP(ABS(N181-N184),'IMP Table'!$A$2:$C$26,3)*SIGN(N181-N184),"")</f>
        <v/>
      </c>
      <c r="V181">
        <f>IF(AND(ISNUMBER(O181),ISNUMBER(O178)),VLOOKUP(ABS(O181-O178),'IMP Table'!$A$2:$C$26,3)*SIGN(O181-O178),"")</f>
        <v/>
      </c>
      <c r="W181">
        <f>IF(AND(ISNUMBER(O181),ISNUMBER(O179)),VLOOKUP(ABS(O181-O179),'IMP Table'!$A$2:$C$26,3)*SIGN(O181-O179),"")</f>
        <v/>
      </c>
      <c r="X181">
        <f>IF(AND(ISNUMBER(O181),ISNUMBER(O180)),VLOOKUP(ABS(O181-O180),'IMP Table'!$A$2:$C$26,3)*SIGN(O181-O180),"")</f>
        <v/>
      </c>
      <c r="Y181">
        <f>IF(AND(ISNUMBER(O181),ISNUMBER(O182)),VLOOKUP(ABS(O181-O182),'IMP Table'!$A$2:$C$26,3)*SIGN(O181-O182),"")</f>
        <v/>
      </c>
      <c r="Z181">
        <f>IF(AND(ISNUMBER(O181),ISNUMBER(O183)),VLOOKUP(ABS(O181-O183),'IMP Table'!$A$2:$C$26,3)*SIGN(O181-O183),"")</f>
        <v/>
      </c>
      <c r="AA181">
        <f>IF(AND(ISNUMBER(O181),ISNUMBER(O184)),VLOOKUP(ABS(O181-O184),'IMP Table'!$A$2:$C$26,3)*SIGN(O181-O184),"")</f>
        <v/>
      </c>
    </row>
    <row r="182">
      <c r="B182">
        <f>'By Round'!A128</f>
        <v/>
      </c>
      <c r="C182">
        <f>'By Round'!B132</f>
        <v/>
      </c>
      <c r="D182">
        <f>'By Round'!C132</f>
        <v/>
      </c>
      <c r="E182">
        <f>'By Round'!D132</f>
        <v/>
      </c>
      <c r="F182" s="10" t="inlineStr">
        <is>
          <t>Both</t>
        </is>
      </c>
      <c r="G182">
        <f>'By Round'!G133</f>
        <v/>
      </c>
      <c r="H182">
        <f>'By Round'!H133</f>
        <v/>
      </c>
      <c r="I182">
        <f>'By Round'!I133</f>
        <v/>
      </c>
      <c r="J182">
        <f>'By Round'!J133</f>
        <v/>
      </c>
      <c r="K182">
        <f>'By Round'!K133</f>
        <v/>
      </c>
      <c r="L182" s="11">
        <f>IFERROR(AVERAGE(P182:U182),"")</f>
        <v/>
      </c>
      <c r="M182" s="4">
        <f>IFERROR(AVERAGE(V182:AA182),"")</f>
        <v/>
      </c>
      <c r="N182">
        <f>IF(ISNUMBER(J182),J182,IF(ISNUMBER(K182),-K182,""))</f>
        <v/>
      </c>
      <c r="O182">
        <f>IF(ISNUMBER(K182),K182,IF(ISNUMBER(J182),-J182,""))</f>
        <v/>
      </c>
      <c r="P182">
        <f>IF(AND(ISNUMBER(N182),ISNUMBER(N178)),VLOOKUP(ABS(N182-N178),'IMP Table'!$A$2:$C$26,3)*SIGN(N182-N178),"")</f>
        <v/>
      </c>
      <c r="Q182">
        <f>IF(AND(ISNUMBER(N182),ISNUMBER(N179)),VLOOKUP(ABS(N182-N179),'IMP Table'!$A$2:$C$26,3)*SIGN(N182-N179),"")</f>
        <v/>
      </c>
      <c r="R182">
        <f>IF(AND(ISNUMBER(N182),ISNUMBER(N180)),VLOOKUP(ABS(N182-N180),'IMP Table'!$A$2:$C$26,3)*SIGN(N182-N180),"")</f>
        <v/>
      </c>
      <c r="S182">
        <f>IF(AND(ISNUMBER(N182),ISNUMBER(N181)),VLOOKUP(ABS(N182-N181),'IMP Table'!$A$2:$C$26,3)*SIGN(N182-N181),"")</f>
        <v/>
      </c>
      <c r="T182">
        <f>IF(AND(ISNUMBER(N182),ISNUMBER(N183)),VLOOKUP(ABS(N182-N183),'IMP Table'!$A$2:$C$26,3)*SIGN(N182-N183),"")</f>
        <v/>
      </c>
      <c r="U182">
        <f>IF(AND(ISNUMBER(N182),ISNUMBER(N184)),VLOOKUP(ABS(N182-N184),'IMP Table'!$A$2:$C$26,3)*SIGN(N182-N184),"")</f>
        <v/>
      </c>
      <c r="V182">
        <f>IF(AND(ISNUMBER(O182),ISNUMBER(O178)),VLOOKUP(ABS(O182-O178),'IMP Table'!$A$2:$C$26,3)*SIGN(O182-O178),"")</f>
        <v/>
      </c>
      <c r="W182">
        <f>IF(AND(ISNUMBER(O182),ISNUMBER(O179)),VLOOKUP(ABS(O182-O179),'IMP Table'!$A$2:$C$26,3)*SIGN(O182-O179),"")</f>
        <v/>
      </c>
      <c r="X182">
        <f>IF(AND(ISNUMBER(O182),ISNUMBER(O180)),VLOOKUP(ABS(O182-O180),'IMP Table'!$A$2:$C$26,3)*SIGN(O182-O180),"")</f>
        <v/>
      </c>
      <c r="Y182">
        <f>IF(AND(ISNUMBER(O182),ISNUMBER(O181)),VLOOKUP(ABS(O182-O181),'IMP Table'!$A$2:$C$26,3)*SIGN(O182-O181),"")</f>
        <v/>
      </c>
      <c r="Z182">
        <f>IF(AND(ISNUMBER(O182),ISNUMBER(O183)),VLOOKUP(ABS(O182-O183),'IMP Table'!$A$2:$C$26,3)*SIGN(O182-O183),"")</f>
        <v/>
      </c>
      <c r="AA182">
        <f>IF(AND(ISNUMBER(O182),ISNUMBER(O184)),VLOOKUP(ABS(O182-O184),'IMP Table'!$A$2:$C$26,3)*SIGN(O182-O184),"")</f>
        <v/>
      </c>
    </row>
    <row r="183">
      <c r="B183">
        <f>'By Round'!A142</f>
        <v/>
      </c>
      <c r="C183">
        <f>'By Round'!B144</f>
        <v/>
      </c>
      <c r="D183">
        <f>'By Round'!C144</f>
        <v/>
      </c>
      <c r="E183">
        <f>'By Round'!D144</f>
        <v/>
      </c>
      <c r="F183" s="10" t="inlineStr">
        <is>
          <t>Both</t>
        </is>
      </c>
      <c r="G183">
        <f>'By Round'!G145</f>
        <v/>
      </c>
      <c r="H183">
        <f>'By Round'!H145</f>
        <v/>
      </c>
      <c r="I183">
        <f>'By Round'!I145</f>
        <v/>
      </c>
      <c r="J183">
        <f>'By Round'!J145</f>
        <v/>
      </c>
      <c r="K183">
        <f>'By Round'!K145</f>
        <v/>
      </c>
      <c r="L183" s="11">
        <f>IFERROR(AVERAGE(P183:U183),"")</f>
        <v/>
      </c>
      <c r="M183" s="4">
        <f>IFERROR(AVERAGE(V183:AA183),"")</f>
        <v/>
      </c>
      <c r="N183">
        <f>IF(ISNUMBER(J183),J183,IF(ISNUMBER(K183),-K183,""))</f>
        <v/>
      </c>
      <c r="O183">
        <f>IF(ISNUMBER(K183),K183,IF(ISNUMBER(J183),-J183,""))</f>
        <v/>
      </c>
      <c r="P183">
        <f>IF(AND(ISNUMBER(N183),ISNUMBER(N178)),VLOOKUP(ABS(N183-N178),'IMP Table'!$A$2:$C$26,3)*SIGN(N183-N178),"")</f>
        <v/>
      </c>
      <c r="Q183">
        <f>IF(AND(ISNUMBER(N183),ISNUMBER(N179)),VLOOKUP(ABS(N183-N179),'IMP Table'!$A$2:$C$26,3)*SIGN(N183-N179),"")</f>
        <v/>
      </c>
      <c r="R183">
        <f>IF(AND(ISNUMBER(N183),ISNUMBER(N180)),VLOOKUP(ABS(N183-N180),'IMP Table'!$A$2:$C$26,3)*SIGN(N183-N180),"")</f>
        <v/>
      </c>
      <c r="S183">
        <f>IF(AND(ISNUMBER(N183),ISNUMBER(N181)),VLOOKUP(ABS(N183-N181),'IMP Table'!$A$2:$C$26,3)*SIGN(N183-N181),"")</f>
        <v/>
      </c>
      <c r="T183">
        <f>IF(AND(ISNUMBER(N183),ISNUMBER(N182)),VLOOKUP(ABS(N183-N182),'IMP Table'!$A$2:$C$26,3)*SIGN(N183-N182),"")</f>
        <v/>
      </c>
      <c r="U183">
        <f>IF(AND(ISNUMBER(N183),ISNUMBER(N184)),VLOOKUP(ABS(N183-N184),'IMP Table'!$A$2:$C$26,3)*SIGN(N183-N184),"")</f>
        <v/>
      </c>
      <c r="V183">
        <f>IF(AND(ISNUMBER(O183),ISNUMBER(O178)),VLOOKUP(ABS(O183-O178),'IMP Table'!$A$2:$C$26,3)*SIGN(O183-O178),"")</f>
        <v/>
      </c>
      <c r="W183">
        <f>IF(AND(ISNUMBER(O183),ISNUMBER(O179)),VLOOKUP(ABS(O183-O179),'IMP Table'!$A$2:$C$26,3)*SIGN(O183-O179),"")</f>
        <v/>
      </c>
      <c r="X183">
        <f>IF(AND(ISNUMBER(O183),ISNUMBER(O180)),VLOOKUP(ABS(O183-O180),'IMP Table'!$A$2:$C$26,3)*SIGN(O183-O180),"")</f>
        <v/>
      </c>
      <c r="Y183">
        <f>IF(AND(ISNUMBER(O183),ISNUMBER(O181)),VLOOKUP(ABS(O183-O181),'IMP Table'!$A$2:$C$26,3)*SIGN(O183-O181),"")</f>
        <v/>
      </c>
      <c r="Z183">
        <f>IF(AND(ISNUMBER(O183),ISNUMBER(O182)),VLOOKUP(ABS(O183-O182),'IMP Table'!$A$2:$C$26,3)*SIGN(O183-O182),"")</f>
        <v/>
      </c>
      <c r="AA183">
        <f>IF(AND(ISNUMBER(O183),ISNUMBER(O184)),VLOOKUP(ABS(O183-O184),'IMP Table'!$A$2:$C$26,3)*SIGN(O183-O184),"")</f>
        <v/>
      </c>
    </row>
    <row r="184">
      <c r="B184">
        <f>'By Round'!A170</f>
        <v/>
      </c>
      <c r="C184">
        <f>'By Round'!B170</f>
        <v/>
      </c>
      <c r="D184">
        <f>'By Round'!C170</f>
        <v/>
      </c>
      <c r="E184">
        <f>'By Round'!D170</f>
        <v/>
      </c>
      <c r="F184" s="10" t="inlineStr">
        <is>
          <t>Both</t>
        </is>
      </c>
      <c r="G184">
        <f>'By Round'!G171</f>
        <v/>
      </c>
      <c r="H184">
        <f>'By Round'!H171</f>
        <v/>
      </c>
      <c r="I184">
        <f>'By Round'!I171</f>
        <v/>
      </c>
      <c r="J184">
        <f>'By Round'!J171</f>
        <v/>
      </c>
      <c r="K184">
        <f>'By Round'!K171</f>
        <v/>
      </c>
      <c r="L184" s="11">
        <f>IFERROR(AVERAGE(P184:U184),"")</f>
        <v/>
      </c>
      <c r="M184" s="4">
        <f>IFERROR(AVERAGE(V184:AA184),"")</f>
        <v/>
      </c>
      <c r="N184">
        <f>IF(ISNUMBER(J184),J184,IF(ISNUMBER(K184),-K184,""))</f>
        <v/>
      </c>
      <c r="O184">
        <f>IF(ISNUMBER(K184),K184,IF(ISNUMBER(J184),-J184,""))</f>
        <v/>
      </c>
      <c r="P184">
        <f>IF(AND(ISNUMBER(N184),ISNUMBER(N178)),VLOOKUP(ABS(N184-N178),'IMP Table'!$A$2:$C$26,3)*SIGN(N184-N178),"")</f>
        <v/>
      </c>
      <c r="Q184">
        <f>IF(AND(ISNUMBER(N184),ISNUMBER(N179)),VLOOKUP(ABS(N184-N179),'IMP Table'!$A$2:$C$26,3)*SIGN(N184-N179),"")</f>
        <v/>
      </c>
      <c r="R184">
        <f>IF(AND(ISNUMBER(N184),ISNUMBER(N180)),VLOOKUP(ABS(N184-N180),'IMP Table'!$A$2:$C$26,3)*SIGN(N184-N180),"")</f>
        <v/>
      </c>
      <c r="S184">
        <f>IF(AND(ISNUMBER(N184),ISNUMBER(N181)),VLOOKUP(ABS(N184-N181),'IMP Table'!$A$2:$C$26,3)*SIGN(N184-N181),"")</f>
        <v/>
      </c>
      <c r="T184">
        <f>IF(AND(ISNUMBER(N184),ISNUMBER(N182)),VLOOKUP(ABS(N184-N182),'IMP Table'!$A$2:$C$26,3)*SIGN(N184-N182),"")</f>
        <v/>
      </c>
      <c r="U184">
        <f>IF(AND(ISNUMBER(N184),ISNUMBER(N183)),VLOOKUP(ABS(N184-N183),'IMP Table'!$A$2:$C$26,3)*SIGN(N184-N183),"")</f>
        <v/>
      </c>
      <c r="V184">
        <f>IF(AND(ISNUMBER(O184),ISNUMBER(O178)),VLOOKUP(ABS(O184-O178),'IMP Table'!$A$2:$C$26,3)*SIGN(O184-O178),"")</f>
        <v/>
      </c>
      <c r="W184">
        <f>IF(AND(ISNUMBER(O184),ISNUMBER(O179)),VLOOKUP(ABS(O184-O179),'IMP Table'!$A$2:$C$26,3)*SIGN(O184-O179),"")</f>
        <v/>
      </c>
      <c r="X184">
        <f>IF(AND(ISNUMBER(O184),ISNUMBER(O180)),VLOOKUP(ABS(O184-O180),'IMP Table'!$A$2:$C$26,3)*SIGN(O184-O180),"")</f>
        <v/>
      </c>
      <c r="Y184">
        <f>IF(AND(ISNUMBER(O184),ISNUMBER(O181)),VLOOKUP(ABS(O184-O181),'IMP Table'!$A$2:$C$26,3)*SIGN(O184-O181),"")</f>
        <v/>
      </c>
      <c r="Z184">
        <f>IF(AND(ISNUMBER(O184),ISNUMBER(O182)),VLOOKUP(ABS(O184-O182),'IMP Table'!$A$2:$C$26,3)*SIGN(O184-O182),"")</f>
        <v/>
      </c>
      <c r="AA184">
        <f>IF(AND(ISNUMBER(O184),ISNUMBER(O183)),VLOOKUP(ABS(O184-O183),'IMP Table'!$A$2:$C$26,3)*SIGN(O184-O183),"")</f>
        <v/>
      </c>
    </row>
  </sheetData>
  <mergeCells count="5">
    <mergeCell ref="N1:AA1"/>
    <mergeCell ref="P2:U2"/>
    <mergeCell ref="L1:M1"/>
    <mergeCell ref="J1:K1"/>
    <mergeCell ref="V2:A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5</v>
      </c>
      <c r="D4" s="12" t="n">
        <v>10</v>
      </c>
      <c r="E4" s="12" t="n">
        <v>5</v>
      </c>
      <c r="F4" s="13" t="inlineStr">
        <is>
          <t>None</t>
        </is>
      </c>
      <c r="G4" s="12" t="n"/>
      <c r="H4" s="12" t="n"/>
      <c r="I4" s="12" t="n"/>
      <c r="J4" s="12" t="n"/>
      <c r="K4" s="12" t="n"/>
    </row>
    <row r="5">
      <c r="E5" t="n">
        <v>6</v>
      </c>
      <c r="F5" s="10" t="inlineStr">
        <is>
          <t>NS</t>
        </is>
      </c>
    </row>
    <row r="6">
      <c r="B6" s="12" t="n">
        <v>3</v>
      </c>
      <c r="C6" s="12" t="n">
        <v>2</v>
      </c>
      <c r="D6" s="12" t="n">
        <v>3</v>
      </c>
      <c r="E6" s="12" t="n">
        <v>7</v>
      </c>
      <c r="F6" s="13" t="inlineStr">
        <is>
          <t>EW</t>
        </is>
      </c>
      <c r="G6" s="12" t="n"/>
      <c r="H6" s="12" t="n"/>
      <c r="I6" s="12" t="n"/>
      <c r="J6" s="12" t="n"/>
      <c r="K6" s="12" t="n"/>
    </row>
    <row r="7">
      <c r="E7" t="n">
        <v>8</v>
      </c>
      <c r="F7" s="10" t="inlineStr">
        <is>
          <t>Both</t>
        </is>
      </c>
    </row>
    <row r="8">
      <c r="B8" s="12" t="n">
        <v>4</v>
      </c>
      <c r="C8" s="12" t="n">
        <v>9</v>
      </c>
      <c r="D8" s="12" t="n">
        <v>11</v>
      </c>
      <c r="E8" s="12" t="n">
        <v>9</v>
      </c>
      <c r="F8" s="13" t="inlineStr">
        <is>
          <t>None</t>
        </is>
      </c>
      <c r="G8" s="12" t="n"/>
      <c r="H8" s="12" t="n"/>
      <c r="I8" s="12" t="n"/>
      <c r="J8" s="12" t="n"/>
      <c r="K8" s="12" t="n"/>
    </row>
    <row r="9">
      <c r="E9" t="n">
        <v>10</v>
      </c>
      <c r="F9" s="10" t="inlineStr">
        <is>
          <t>NS</t>
        </is>
      </c>
    </row>
    <row r="10">
      <c r="B10" s="12" t="n">
        <v>5</v>
      </c>
      <c r="C10" s="12" t="n">
        <v>6</v>
      </c>
      <c r="D10" s="12" t="n">
        <v>13</v>
      </c>
      <c r="E10" s="12" t="n">
        <v>19</v>
      </c>
      <c r="F10" s="13" t="inlineStr">
        <is>
          <t>EW</t>
        </is>
      </c>
      <c r="G10" s="12" t="n"/>
      <c r="H10" s="12" t="n"/>
      <c r="I10" s="12" t="n"/>
      <c r="J10" s="12" t="n"/>
      <c r="K10" s="12" t="n"/>
    </row>
    <row r="11">
      <c r="E11" t="n">
        <v>20</v>
      </c>
      <c r="F11" s="10" t="inlineStr">
        <is>
          <t>Both</t>
        </is>
      </c>
    </row>
    <row r="12">
      <c r="B12" s="12" t="n">
        <v>6</v>
      </c>
      <c r="C12" s="12" t="n">
        <v>8</v>
      </c>
      <c r="D12" s="12" t="n">
        <v>12</v>
      </c>
      <c r="E12" s="12" t="n">
        <v>21</v>
      </c>
      <c r="F12" s="13" t="inlineStr">
        <is>
          <t>None</t>
        </is>
      </c>
      <c r="G12" s="12" t="n"/>
      <c r="H12" s="12" t="n"/>
      <c r="I12" s="12" t="n"/>
      <c r="J12" s="12" t="n"/>
      <c r="K12" s="12" t="n"/>
    </row>
    <row r="13">
      <c r="E13" t="n">
        <v>22</v>
      </c>
      <c r="F13" s="10" t="inlineStr">
        <is>
          <t>NS</t>
        </is>
      </c>
    </row>
    <row r="14">
      <c r="B14" s="12" t="n">
        <v>7</v>
      </c>
      <c r="C14" s="12" t="n">
        <v>4</v>
      </c>
      <c r="D14" s="12" t="n">
        <v>7</v>
      </c>
      <c r="E14" s="12" t="n">
        <v>23</v>
      </c>
      <c r="F14" s="13" t="inlineStr">
        <is>
          <t>EW</t>
        </is>
      </c>
      <c r="G14" s="12" t="n"/>
      <c r="H14" s="12" t="n"/>
      <c r="I14" s="12" t="n"/>
      <c r="J14" s="12" t="n"/>
      <c r="K14" s="12" t="n"/>
    </row>
    <row r="15">
      <c r="E15" t="n">
        <v>24</v>
      </c>
      <c r="F15" s="10" t="inlineStr">
        <is>
          <t>Both</t>
        </is>
      </c>
    </row>
    <row r="16">
      <c r="A16" s="14" t="n">
        <v>2</v>
      </c>
      <c r="B16" s="14" t="n">
        <v>1</v>
      </c>
      <c r="C16" s="14" t="inlineStr">
        <is>
          <t>Sit-Out</t>
        </is>
      </c>
      <c r="D16" s="14" t="n">
        <v>2</v>
      </c>
      <c r="E16" s="14" t="n">
        <v>3</v>
      </c>
      <c r="F16" s="15" t="inlineStr">
        <is>
          <t>EW</t>
        </is>
      </c>
      <c r="G16" s="14" t="n"/>
      <c r="H16" s="14" t="n"/>
      <c r="I16" s="14" t="n"/>
      <c r="J16" s="14" t="n"/>
      <c r="K16" s="14" t="n"/>
    </row>
    <row r="17">
      <c r="E17" t="n">
        <v>4</v>
      </c>
      <c r="F17" s="10" t="inlineStr">
        <is>
          <t>Both</t>
        </is>
      </c>
    </row>
    <row r="18">
      <c r="B18" s="12" t="n">
        <v>2</v>
      </c>
      <c r="C18" s="12" t="n">
        <v>6</v>
      </c>
      <c r="D18" s="12" t="n">
        <v>11</v>
      </c>
      <c r="E18" s="12" t="n">
        <v>7</v>
      </c>
      <c r="F18" s="13" t="inlineStr">
        <is>
          <t>EW</t>
        </is>
      </c>
      <c r="G18" s="12" t="n"/>
      <c r="H18" s="12" t="n"/>
      <c r="I18" s="12" t="n"/>
      <c r="J18" s="12" t="n"/>
      <c r="K18" s="12" t="n"/>
    </row>
    <row r="19">
      <c r="E19" t="n">
        <v>8</v>
      </c>
      <c r="F19" s="10" t="inlineStr">
        <is>
          <t>Both</t>
        </is>
      </c>
    </row>
    <row r="20">
      <c r="B20" s="12" t="n">
        <v>3</v>
      </c>
      <c r="C20" s="12" t="n">
        <v>3</v>
      </c>
      <c r="D20" s="12" t="n">
        <v>4</v>
      </c>
      <c r="E20" s="12" t="n">
        <v>9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10</v>
      </c>
      <c r="F21" s="10" t="inlineStr">
        <is>
          <t>NS</t>
        </is>
      </c>
    </row>
    <row r="22">
      <c r="B22" s="12" t="n">
        <v>4</v>
      </c>
      <c r="C22" s="12" t="n">
        <v>10</v>
      </c>
      <c r="D22" s="12" t="n">
        <v>12</v>
      </c>
      <c r="E22" s="12" t="n">
        <v>11</v>
      </c>
      <c r="F22" s="13" t="inlineStr">
        <is>
          <t>EW</t>
        </is>
      </c>
      <c r="G22" s="12" t="n"/>
      <c r="H22" s="12" t="n"/>
      <c r="I22" s="12" t="n"/>
      <c r="J22" s="12" t="n"/>
      <c r="K22" s="12" t="n"/>
    </row>
    <row r="23">
      <c r="E23" t="n">
        <v>12</v>
      </c>
      <c r="F23" s="10" t="inlineStr">
        <is>
          <t>Both</t>
        </is>
      </c>
    </row>
    <row r="24">
      <c r="B24" s="12" t="n">
        <v>5</v>
      </c>
      <c r="C24" s="12" t="n">
        <v>7</v>
      </c>
      <c r="D24" s="12" t="n">
        <v>1</v>
      </c>
      <c r="E24" s="12" t="n">
        <v>21</v>
      </c>
      <c r="F24" s="13" t="inlineStr">
        <is>
          <t>None</t>
        </is>
      </c>
      <c r="G24" s="12" t="n"/>
      <c r="H24" s="12" t="n"/>
      <c r="I24" s="12" t="n"/>
      <c r="J24" s="12" t="n"/>
      <c r="K24" s="12" t="n"/>
    </row>
    <row r="25">
      <c r="E25" t="n">
        <v>22</v>
      </c>
      <c r="F25" s="10" t="inlineStr">
        <is>
          <t>NS</t>
        </is>
      </c>
    </row>
    <row r="26">
      <c r="B26" s="12" t="n">
        <v>6</v>
      </c>
      <c r="C26" s="12" t="n">
        <v>9</v>
      </c>
      <c r="D26" s="12" t="n">
        <v>13</v>
      </c>
      <c r="E26" s="12" t="n">
        <v>23</v>
      </c>
      <c r="F26" s="13" t="inlineStr">
        <is>
          <t>EW</t>
        </is>
      </c>
      <c r="G26" s="12" t="n"/>
      <c r="H26" s="12" t="n"/>
      <c r="I26" s="12" t="n"/>
      <c r="J26" s="12" t="n"/>
      <c r="K26" s="12" t="n"/>
    </row>
    <row r="27">
      <c r="E27" t="n">
        <v>24</v>
      </c>
      <c r="F27" s="10" t="inlineStr">
        <is>
          <t>Both</t>
        </is>
      </c>
    </row>
    <row r="28">
      <c r="B28" s="12" t="n">
        <v>7</v>
      </c>
      <c r="C28" s="12" t="n">
        <v>5</v>
      </c>
      <c r="D28" s="12" t="n">
        <v>8</v>
      </c>
      <c r="E28" s="12" t="n">
        <v>25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26</v>
      </c>
      <c r="F29" s="10" t="inlineStr">
        <is>
          <t>NS</t>
        </is>
      </c>
    </row>
    <row r="30">
      <c r="A30" s="14" t="n">
        <v>3</v>
      </c>
      <c r="B30" s="14" t="n">
        <v>1</v>
      </c>
      <c r="C30" s="14" t="inlineStr">
        <is>
          <t>Sit-Out</t>
        </is>
      </c>
      <c r="D30" s="14" t="n">
        <v>3</v>
      </c>
      <c r="E30" s="14" t="n">
        <v>5</v>
      </c>
      <c r="F30" s="15" t="inlineStr">
        <is>
          <t>None</t>
        </is>
      </c>
      <c r="G30" s="14" t="n"/>
      <c r="H30" s="14" t="n"/>
      <c r="I30" s="14" t="n"/>
      <c r="J30" s="14" t="n"/>
      <c r="K30" s="14" t="n"/>
    </row>
    <row r="31">
      <c r="E31" t="n">
        <v>6</v>
      </c>
      <c r="F31" s="10" t="inlineStr">
        <is>
          <t>NS</t>
        </is>
      </c>
    </row>
    <row r="32">
      <c r="B32" s="12" t="n">
        <v>2</v>
      </c>
      <c r="C32" s="12" t="n">
        <v>7</v>
      </c>
      <c r="D32" s="12" t="n">
        <v>12</v>
      </c>
      <c r="E32" s="12" t="n">
        <v>9</v>
      </c>
      <c r="F32" s="13" t="inlineStr">
        <is>
          <t>None</t>
        </is>
      </c>
      <c r="G32" s="12" t="n"/>
      <c r="H32" s="12" t="n"/>
      <c r="I32" s="12" t="n"/>
      <c r="J32" s="12" t="n"/>
      <c r="K32" s="12" t="n"/>
    </row>
    <row r="33">
      <c r="E33" t="n">
        <v>10</v>
      </c>
      <c r="F33" s="10" t="inlineStr">
        <is>
          <t>NS</t>
        </is>
      </c>
    </row>
    <row r="34">
      <c r="B34" s="12" t="n">
        <v>3</v>
      </c>
      <c r="C34" s="12" t="n">
        <v>4</v>
      </c>
      <c r="D34" s="12" t="n">
        <v>5</v>
      </c>
      <c r="E34" s="12" t="n">
        <v>11</v>
      </c>
      <c r="F34" s="13" t="inlineStr">
        <is>
          <t>EW</t>
        </is>
      </c>
      <c r="G34" s="12" t="n"/>
      <c r="H34" s="12" t="n"/>
      <c r="I34" s="12" t="n"/>
      <c r="J34" s="12" t="n"/>
      <c r="K34" s="12" t="n"/>
    </row>
    <row r="35">
      <c r="E35" t="n">
        <v>12</v>
      </c>
      <c r="F35" s="10" t="inlineStr">
        <is>
          <t>Both</t>
        </is>
      </c>
    </row>
    <row r="36">
      <c r="B36" s="12" t="n">
        <v>4</v>
      </c>
      <c r="C36" s="12" t="n">
        <v>11</v>
      </c>
      <c r="D36" s="12" t="n">
        <v>13</v>
      </c>
      <c r="E36" s="12" t="n">
        <v>13</v>
      </c>
      <c r="F36" s="13" t="inlineStr">
        <is>
          <t>None</t>
        </is>
      </c>
      <c r="G36" s="12" t="n"/>
      <c r="H36" s="12" t="n"/>
      <c r="I36" s="12" t="n"/>
      <c r="J36" s="12" t="n"/>
      <c r="K36" s="12" t="n"/>
    </row>
    <row r="37">
      <c r="E37" t="n">
        <v>14</v>
      </c>
      <c r="F37" s="10" t="inlineStr">
        <is>
          <t>NS</t>
        </is>
      </c>
    </row>
    <row r="38">
      <c r="B38" s="12" t="n">
        <v>5</v>
      </c>
      <c r="C38" s="12" t="n">
        <v>8</v>
      </c>
      <c r="D38" s="12" t="n">
        <v>2</v>
      </c>
      <c r="E38" s="12" t="n">
        <v>23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24</v>
      </c>
      <c r="F39" s="10" t="inlineStr">
        <is>
          <t>Both</t>
        </is>
      </c>
    </row>
    <row r="40">
      <c r="B40" s="12" t="n">
        <v>6</v>
      </c>
      <c r="C40" s="12" t="n">
        <v>10</v>
      </c>
      <c r="D40" s="12" t="n">
        <v>1</v>
      </c>
      <c r="E40" s="12" t="n">
        <v>25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26</v>
      </c>
      <c r="F41" s="10" t="inlineStr">
        <is>
          <t>NS</t>
        </is>
      </c>
    </row>
    <row r="42">
      <c r="B42" s="12" t="n">
        <v>7</v>
      </c>
      <c r="C42" s="12" t="n">
        <v>6</v>
      </c>
      <c r="D42" s="12" t="n">
        <v>9</v>
      </c>
      <c r="E42" s="12" t="n">
        <v>1</v>
      </c>
      <c r="F42" s="13" t="inlineStr">
        <is>
          <t>None</t>
        </is>
      </c>
      <c r="G42" s="12" t="n"/>
      <c r="H42" s="12" t="n"/>
      <c r="I42" s="12" t="n"/>
      <c r="J42" s="12" t="n"/>
      <c r="K42" s="12" t="n"/>
    </row>
    <row r="43">
      <c r="E43" t="n">
        <v>2</v>
      </c>
      <c r="F43" s="10" t="inlineStr">
        <is>
          <t>NS</t>
        </is>
      </c>
    </row>
    <row r="44">
      <c r="A44" s="14" t="n">
        <v>4</v>
      </c>
      <c r="B44" s="14" t="n">
        <v>1</v>
      </c>
      <c r="C44" s="14" t="inlineStr">
        <is>
          <t>Sit-Out</t>
        </is>
      </c>
      <c r="D44" s="14" t="n">
        <v>4</v>
      </c>
      <c r="E44" s="14" t="n">
        <v>7</v>
      </c>
      <c r="F44" s="15" t="inlineStr">
        <is>
          <t>EW</t>
        </is>
      </c>
      <c r="G44" s="14" t="n"/>
      <c r="H44" s="14" t="n"/>
      <c r="I44" s="14" t="n"/>
      <c r="J44" s="14" t="n"/>
      <c r="K44" s="14" t="n"/>
    </row>
    <row r="45">
      <c r="E45" t="n">
        <v>8</v>
      </c>
      <c r="F45" s="10" t="inlineStr">
        <is>
          <t>Both</t>
        </is>
      </c>
    </row>
    <row r="46">
      <c r="B46" s="12" t="n">
        <v>2</v>
      </c>
      <c r="C46" s="12" t="n">
        <v>8</v>
      </c>
      <c r="D46" s="12" t="n">
        <v>13</v>
      </c>
      <c r="E46" s="12" t="n">
        <v>11</v>
      </c>
      <c r="F46" s="13" t="inlineStr">
        <is>
          <t>EW</t>
        </is>
      </c>
      <c r="G46" s="12" t="n"/>
      <c r="H46" s="12" t="n"/>
      <c r="I46" s="12" t="n"/>
      <c r="J46" s="12" t="n"/>
      <c r="K46" s="12" t="n"/>
    </row>
    <row r="47">
      <c r="E47" t="n">
        <v>12</v>
      </c>
      <c r="F47" s="10" t="inlineStr">
        <is>
          <t>Both</t>
        </is>
      </c>
    </row>
    <row r="48">
      <c r="B48" s="12" t="n">
        <v>3</v>
      </c>
      <c r="C48" s="12" t="n">
        <v>5</v>
      </c>
      <c r="D48" s="12" t="n">
        <v>6</v>
      </c>
      <c r="E48" s="12" t="n">
        <v>13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14</v>
      </c>
      <c r="F49" s="10" t="inlineStr">
        <is>
          <t>NS</t>
        </is>
      </c>
    </row>
    <row r="50">
      <c r="B50" s="12" t="n">
        <v>4</v>
      </c>
      <c r="C50" s="12" t="n">
        <v>12</v>
      </c>
      <c r="D50" s="12" t="n">
        <v>1</v>
      </c>
      <c r="E50" s="12" t="n">
        <v>15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16</v>
      </c>
      <c r="F51" s="10" t="inlineStr">
        <is>
          <t>Both</t>
        </is>
      </c>
    </row>
    <row r="52">
      <c r="B52" s="12" t="n">
        <v>5</v>
      </c>
      <c r="C52" s="12" t="n">
        <v>9</v>
      </c>
      <c r="D52" s="12" t="n">
        <v>3</v>
      </c>
      <c r="E52" s="12" t="n">
        <v>25</v>
      </c>
      <c r="F52" s="13" t="inlineStr">
        <is>
          <t>None</t>
        </is>
      </c>
      <c r="G52" s="12" t="n"/>
      <c r="H52" s="12" t="n"/>
      <c r="I52" s="12" t="n"/>
      <c r="J52" s="12" t="n"/>
      <c r="K52" s="12" t="n"/>
    </row>
    <row r="53">
      <c r="E53" t="n">
        <v>26</v>
      </c>
      <c r="F53" s="10" t="inlineStr">
        <is>
          <t>NS</t>
        </is>
      </c>
    </row>
    <row r="54">
      <c r="B54" s="12" t="n">
        <v>6</v>
      </c>
      <c r="C54" s="12" t="n">
        <v>11</v>
      </c>
      <c r="D54" s="12" t="n">
        <v>2</v>
      </c>
      <c r="E54" s="12" t="n">
        <v>1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2</v>
      </c>
      <c r="F55" s="10" t="inlineStr">
        <is>
          <t>NS</t>
        </is>
      </c>
    </row>
    <row r="56">
      <c r="B56" s="12" t="n">
        <v>7</v>
      </c>
      <c r="C56" s="12" t="n">
        <v>7</v>
      </c>
      <c r="D56" s="12" t="n">
        <v>10</v>
      </c>
      <c r="E56" s="12" t="n">
        <v>3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4</v>
      </c>
      <c r="F57" s="10" t="inlineStr">
        <is>
          <t>Both</t>
        </is>
      </c>
    </row>
    <row r="58">
      <c r="A58" s="14" t="n">
        <v>5</v>
      </c>
      <c r="B58" s="14" t="n">
        <v>1</v>
      </c>
      <c r="C58" s="14" t="inlineStr">
        <is>
          <t>Sit-Out</t>
        </is>
      </c>
      <c r="D58" s="14" t="n">
        <v>5</v>
      </c>
      <c r="E58" s="14" t="n">
        <v>9</v>
      </c>
      <c r="F58" s="15" t="inlineStr">
        <is>
          <t>None</t>
        </is>
      </c>
      <c r="G58" s="14" t="n"/>
      <c r="H58" s="14" t="n"/>
      <c r="I58" s="14" t="n"/>
      <c r="J58" s="14" t="n"/>
      <c r="K58" s="14" t="n"/>
    </row>
    <row r="59">
      <c r="E59" t="n">
        <v>10</v>
      </c>
      <c r="F59" s="10" t="inlineStr">
        <is>
          <t>NS</t>
        </is>
      </c>
    </row>
    <row r="60">
      <c r="B60" s="12" t="n">
        <v>2</v>
      </c>
      <c r="C60" s="12" t="n">
        <v>9</v>
      </c>
      <c r="D60" s="12" t="n">
        <v>1</v>
      </c>
      <c r="E60" s="12" t="n">
        <v>13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14</v>
      </c>
      <c r="F61" s="10" t="inlineStr">
        <is>
          <t>NS</t>
        </is>
      </c>
    </row>
    <row r="62">
      <c r="B62" s="12" t="n">
        <v>3</v>
      </c>
      <c r="C62" s="12" t="n">
        <v>6</v>
      </c>
      <c r="D62" s="12" t="n">
        <v>7</v>
      </c>
      <c r="E62" s="12" t="n">
        <v>15</v>
      </c>
      <c r="F62" s="13" t="inlineStr">
        <is>
          <t>EW</t>
        </is>
      </c>
      <c r="G62" s="12" t="n"/>
      <c r="H62" s="12" t="n"/>
      <c r="I62" s="12" t="n"/>
      <c r="J62" s="12" t="n"/>
      <c r="K62" s="12" t="n"/>
    </row>
    <row r="63">
      <c r="E63" t="n">
        <v>16</v>
      </c>
      <c r="F63" s="10" t="inlineStr">
        <is>
          <t>Both</t>
        </is>
      </c>
    </row>
    <row r="64">
      <c r="B64" s="12" t="n">
        <v>4</v>
      </c>
      <c r="C64" s="12" t="n">
        <v>13</v>
      </c>
      <c r="D64" s="12" t="n">
        <v>2</v>
      </c>
      <c r="E64" s="12" t="n">
        <v>17</v>
      </c>
      <c r="F64" s="13" t="inlineStr">
        <is>
          <t>None</t>
        </is>
      </c>
      <c r="G64" s="12" t="n"/>
      <c r="H64" s="12" t="n"/>
      <c r="I64" s="12" t="n"/>
      <c r="J64" s="12" t="n"/>
      <c r="K64" s="12" t="n"/>
    </row>
    <row r="65">
      <c r="E65" t="n">
        <v>18</v>
      </c>
      <c r="F65" s="10" t="inlineStr">
        <is>
          <t>NS</t>
        </is>
      </c>
    </row>
    <row r="66">
      <c r="B66" s="12" t="n">
        <v>5</v>
      </c>
      <c r="C66" s="12" t="n">
        <v>10</v>
      </c>
      <c r="D66" s="12" t="n">
        <v>4</v>
      </c>
      <c r="E66" s="12" t="n">
        <v>1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2</v>
      </c>
      <c r="F67" s="10" t="inlineStr">
        <is>
          <t>NS</t>
        </is>
      </c>
    </row>
    <row r="68">
      <c r="B68" s="12" t="n">
        <v>6</v>
      </c>
      <c r="C68" s="12" t="n">
        <v>12</v>
      </c>
      <c r="D68" s="12" t="n">
        <v>3</v>
      </c>
      <c r="E68" s="12" t="n">
        <v>3</v>
      </c>
      <c r="F68" s="13" t="inlineStr">
        <is>
          <t>EW</t>
        </is>
      </c>
      <c r="G68" s="12" t="n"/>
      <c r="H68" s="12" t="n"/>
      <c r="I68" s="12" t="n"/>
      <c r="J68" s="12" t="n"/>
      <c r="K68" s="12" t="n"/>
    </row>
    <row r="69">
      <c r="E69" t="n">
        <v>4</v>
      </c>
      <c r="F69" s="10" t="inlineStr">
        <is>
          <t>Both</t>
        </is>
      </c>
    </row>
    <row r="70">
      <c r="B70" s="12" t="n">
        <v>7</v>
      </c>
      <c r="C70" s="12" t="n">
        <v>8</v>
      </c>
      <c r="D70" s="12" t="n">
        <v>11</v>
      </c>
      <c r="E70" s="12" t="n">
        <v>5</v>
      </c>
      <c r="F70" s="13" t="inlineStr">
        <is>
          <t>None</t>
        </is>
      </c>
      <c r="G70" s="12" t="n"/>
      <c r="H70" s="12" t="n"/>
      <c r="I70" s="12" t="n"/>
      <c r="J70" s="12" t="n"/>
      <c r="K70" s="12" t="n"/>
    </row>
    <row r="71">
      <c r="E71" t="n">
        <v>6</v>
      </c>
      <c r="F71" s="10" t="inlineStr">
        <is>
          <t>NS</t>
        </is>
      </c>
    </row>
    <row r="72">
      <c r="A72" s="14" t="n">
        <v>6</v>
      </c>
      <c r="B72" s="14" t="n">
        <v>1</v>
      </c>
      <c r="C72" s="14" t="inlineStr">
        <is>
          <t>Sit-Out</t>
        </is>
      </c>
      <c r="D72" s="14" t="n">
        <v>6</v>
      </c>
      <c r="E72" s="14" t="n">
        <v>11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12</v>
      </c>
      <c r="F73" s="10" t="inlineStr">
        <is>
          <t>Both</t>
        </is>
      </c>
    </row>
    <row r="74">
      <c r="B74" s="12" t="n">
        <v>2</v>
      </c>
      <c r="C74" s="12" t="n">
        <v>10</v>
      </c>
      <c r="D74" s="12" t="n">
        <v>2</v>
      </c>
      <c r="E74" s="12" t="n">
        <v>15</v>
      </c>
      <c r="F74" s="13" t="inlineStr">
        <is>
          <t>EW</t>
        </is>
      </c>
      <c r="G74" s="12" t="n"/>
      <c r="H74" s="12" t="n"/>
      <c r="I74" s="12" t="n"/>
      <c r="J74" s="12" t="n"/>
      <c r="K74" s="12" t="n"/>
    </row>
    <row r="75">
      <c r="E75" t="n">
        <v>16</v>
      </c>
      <c r="F75" s="10" t="inlineStr">
        <is>
          <t>Both</t>
        </is>
      </c>
    </row>
    <row r="76">
      <c r="B76" s="12" t="n">
        <v>3</v>
      </c>
      <c r="C76" s="12" t="n">
        <v>7</v>
      </c>
      <c r="D76" s="12" t="n">
        <v>8</v>
      </c>
      <c r="E76" s="12" t="n">
        <v>17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18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3</v>
      </c>
      <c r="E78" s="12" t="n">
        <v>19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20</v>
      </c>
      <c r="F79" s="10" t="inlineStr">
        <is>
          <t>Both</t>
        </is>
      </c>
    </row>
    <row r="80">
      <c r="B80" s="12" t="n">
        <v>5</v>
      </c>
      <c r="C80" s="12" t="n">
        <v>11</v>
      </c>
      <c r="D80" s="12" t="n">
        <v>5</v>
      </c>
      <c r="E80" s="12" t="n">
        <v>3</v>
      </c>
      <c r="F80" s="13" t="inlineStr">
        <is>
          <t>EW</t>
        </is>
      </c>
      <c r="G80" s="12" t="n"/>
      <c r="H80" s="12" t="n"/>
      <c r="I80" s="12" t="n"/>
      <c r="J80" s="12" t="n"/>
      <c r="K80" s="12" t="n"/>
    </row>
    <row r="81">
      <c r="E81" t="n">
        <v>4</v>
      </c>
      <c r="F81" s="10" t="inlineStr">
        <is>
          <t>Both</t>
        </is>
      </c>
    </row>
    <row r="82">
      <c r="B82" s="12" t="n">
        <v>6</v>
      </c>
      <c r="C82" s="12" t="n">
        <v>13</v>
      </c>
      <c r="D82" s="12" t="n">
        <v>4</v>
      </c>
      <c r="E82" s="12" t="n">
        <v>5</v>
      </c>
      <c r="F82" s="13" t="inlineStr">
        <is>
          <t>None</t>
        </is>
      </c>
      <c r="G82" s="12" t="n"/>
      <c r="H82" s="12" t="n"/>
      <c r="I82" s="12" t="n"/>
      <c r="J82" s="12" t="n"/>
      <c r="K82" s="12" t="n"/>
    </row>
    <row r="83">
      <c r="E83" t="n">
        <v>6</v>
      </c>
      <c r="F83" s="10" t="inlineStr">
        <is>
          <t>NS</t>
        </is>
      </c>
    </row>
    <row r="84">
      <c r="B84" s="12" t="n">
        <v>7</v>
      </c>
      <c r="C84" s="12" t="n">
        <v>9</v>
      </c>
      <c r="D84" s="12" t="n">
        <v>12</v>
      </c>
      <c r="E84" s="12" t="n">
        <v>7</v>
      </c>
      <c r="F84" s="13" t="inlineStr">
        <is>
          <t>EW</t>
        </is>
      </c>
      <c r="G84" s="12" t="n"/>
      <c r="H84" s="12" t="n"/>
      <c r="I84" s="12" t="n"/>
      <c r="J84" s="12" t="n"/>
      <c r="K84" s="12" t="n"/>
    </row>
    <row r="85">
      <c r="E85" t="n">
        <v>8</v>
      </c>
      <c r="F85" s="10" t="inlineStr">
        <is>
          <t>Both</t>
        </is>
      </c>
    </row>
    <row r="86">
      <c r="A86" s="14" t="n">
        <v>7</v>
      </c>
      <c r="B86" s="14" t="n">
        <v>1</v>
      </c>
      <c r="C86" s="14" t="inlineStr">
        <is>
          <t>Sit-Out</t>
        </is>
      </c>
      <c r="D86" s="14" t="n">
        <v>7</v>
      </c>
      <c r="E86" s="14" t="n">
        <v>13</v>
      </c>
      <c r="F86" s="15" t="inlineStr">
        <is>
          <t>None</t>
        </is>
      </c>
      <c r="G86" s="14" t="n"/>
      <c r="H86" s="14" t="n"/>
      <c r="I86" s="14" t="n"/>
      <c r="J86" s="14" t="n"/>
      <c r="K86" s="14" t="n"/>
    </row>
    <row r="87">
      <c r="E87" t="n">
        <v>14</v>
      </c>
      <c r="F87" s="10" t="inlineStr">
        <is>
          <t>NS</t>
        </is>
      </c>
    </row>
    <row r="88">
      <c r="B88" s="12" t="n">
        <v>2</v>
      </c>
      <c r="C88" s="12" t="n">
        <v>11</v>
      </c>
      <c r="D88" s="12" t="n">
        <v>3</v>
      </c>
      <c r="E88" s="12" t="n">
        <v>17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18</v>
      </c>
      <c r="F89" s="10" t="inlineStr">
        <is>
          <t>NS</t>
        </is>
      </c>
    </row>
    <row r="90">
      <c r="B90" s="12" t="n">
        <v>3</v>
      </c>
      <c r="C90" s="12" t="n">
        <v>8</v>
      </c>
      <c r="D90" s="12" t="n">
        <v>9</v>
      </c>
      <c r="E90" s="12" t="n">
        <v>19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20</v>
      </c>
      <c r="F91" s="10" t="inlineStr">
        <is>
          <t>Both</t>
        </is>
      </c>
    </row>
    <row r="92">
      <c r="B92" s="12" t="n">
        <v>4</v>
      </c>
      <c r="C92" s="12" t="n">
        <v>2</v>
      </c>
      <c r="D92" s="12" t="n">
        <v>4</v>
      </c>
      <c r="E92" s="12" t="n">
        <v>21</v>
      </c>
      <c r="F92" s="13" t="inlineStr">
        <is>
          <t>None</t>
        </is>
      </c>
      <c r="G92" s="12" t="n"/>
      <c r="H92" s="12" t="n"/>
      <c r="I92" s="12" t="n"/>
      <c r="J92" s="12" t="n"/>
      <c r="K92" s="12" t="n"/>
    </row>
    <row r="93">
      <c r="E93" t="n">
        <v>22</v>
      </c>
      <c r="F93" s="10" t="inlineStr">
        <is>
          <t>NS</t>
        </is>
      </c>
    </row>
    <row r="94">
      <c r="B94" s="12" t="n">
        <v>5</v>
      </c>
      <c r="C94" s="12" t="n">
        <v>12</v>
      </c>
      <c r="D94" s="12" t="n">
        <v>6</v>
      </c>
      <c r="E94" s="12" t="n">
        <v>5</v>
      </c>
      <c r="F94" s="13" t="inlineStr">
        <is>
          <t>None</t>
        </is>
      </c>
      <c r="G94" s="12" t="n"/>
      <c r="H94" s="12" t="n"/>
      <c r="I94" s="12" t="n"/>
      <c r="J94" s="12" t="n"/>
      <c r="K94" s="12" t="n"/>
    </row>
    <row r="95">
      <c r="E95" t="n">
        <v>6</v>
      </c>
      <c r="F95" s="10" t="inlineStr">
        <is>
          <t>NS</t>
        </is>
      </c>
    </row>
    <row r="96">
      <c r="B96" s="12" t="n">
        <v>6</v>
      </c>
      <c r="C96" s="12" t="n">
        <v>1</v>
      </c>
      <c r="D96" s="12" t="n">
        <v>5</v>
      </c>
      <c r="E96" s="12" t="n">
        <v>7</v>
      </c>
      <c r="F96" s="13" t="inlineStr">
        <is>
          <t>EW</t>
        </is>
      </c>
      <c r="G96" s="12" t="n"/>
      <c r="H96" s="12" t="n"/>
      <c r="I96" s="12" t="n"/>
      <c r="J96" s="12" t="n"/>
      <c r="K96" s="12" t="n"/>
    </row>
    <row r="97">
      <c r="E97" t="n">
        <v>8</v>
      </c>
      <c r="F97" s="10" t="inlineStr">
        <is>
          <t>Both</t>
        </is>
      </c>
    </row>
    <row r="98">
      <c r="B98" s="12" t="n">
        <v>7</v>
      </c>
      <c r="C98" s="12" t="n">
        <v>10</v>
      </c>
      <c r="D98" s="12" t="n">
        <v>13</v>
      </c>
      <c r="E98" s="12" t="n">
        <v>9</v>
      </c>
      <c r="F98" s="13" t="inlineStr">
        <is>
          <t>None</t>
        </is>
      </c>
      <c r="G98" s="12" t="n"/>
      <c r="H98" s="12" t="n"/>
      <c r="I98" s="12" t="n"/>
      <c r="J98" s="12" t="n"/>
      <c r="K98" s="12" t="n"/>
    </row>
    <row r="99">
      <c r="E99" t="n">
        <v>10</v>
      </c>
      <c r="F99" s="10" t="inlineStr">
        <is>
          <t>NS</t>
        </is>
      </c>
    </row>
    <row r="100">
      <c r="A100" s="14" t="n">
        <v>8</v>
      </c>
      <c r="B100" s="14" t="n">
        <v>1</v>
      </c>
      <c r="C100" s="14" t="inlineStr">
        <is>
          <t>Sit-Out</t>
        </is>
      </c>
      <c r="D100" s="14" t="n">
        <v>8</v>
      </c>
      <c r="E100" s="14" t="n">
        <v>15</v>
      </c>
      <c r="F100" s="15" t="inlineStr">
        <is>
          <t>EW</t>
        </is>
      </c>
      <c r="G100" s="14" t="n"/>
      <c r="H100" s="14" t="n"/>
      <c r="I100" s="14" t="n"/>
      <c r="J100" s="14" t="n"/>
      <c r="K100" s="14" t="n"/>
    </row>
    <row r="101">
      <c r="E101" t="n">
        <v>16</v>
      </c>
      <c r="F101" s="10" t="inlineStr">
        <is>
          <t>Both</t>
        </is>
      </c>
    </row>
    <row r="102">
      <c r="B102" s="12" t="n">
        <v>2</v>
      </c>
      <c r="C102" s="12" t="n">
        <v>12</v>
      </c>
      <c r="D102" s="12" t="n">
        <v>4</v>
      </c>
      <c r="E102" s="12" t="n">
        <v>19</v>
      </c>
      <c r="F102" s="13" t="inlineStr">
        <is>
          <t>EW</t>
        </is>
      </c>
      <c r="G102" s="12" t="n"/>
      <c r="H102" s="12" t="n"/>
      <c r="I102" s="12" t="n"/>
      <c r="J102" s="12" t="n"/>
      <c r="K102" s="12" t="n"/>
    </row>
    <row r="103">
      <c r="E103" t="n">
        <v>20</v>
      </c>
      <c r="F103" s="10" t="inlineStr">
        <is>
          <t>Both</t>
        </is>
      </c>
    </row>
    <row r="104">
      <c r="B104" s="12" t="n">
        <v>3</v>
      </c>
      <c r="C104" s="12" t="n">
        <v>9</v>
      </c>
      <c r="D104" s="12" t="n">
        <v>10</v>
      </c>
      <c r="E104" s="12" t="n">
        <v>21</v>
      </c>
      <c r="F104" s="13" t="inlineStr">
        <is>
          <t>None</t>
        </is>
      </c>
      <c r="G104" s="12" t="n"/>
      <c r="H104" s="12" t="n"/>
      <c r="I104" s="12" t="n"/>
      <c r="J104" s="12" t="n"/>
      <c r="K104" s="12" t="n"/>
    </row>
    <row r="105">
      <c r="E105" t="n">
        <v>22</v>
      </c>
      <c r="F105" s="10" t="inlineStr">
        <is>
          <t>NS</t>
        </is>
      </c>
    </row>
    <row r="106">
      <c r="B106" s="12" t="n">
        <v>4</v>
      </c>
      <c r="C106" s="12" t="n">
        <v>3</v>
      </c>
      <c r="D106" s="12" t="n">
        <v>5</v>
      </c>
      <c r="E106" s="12" t="n">
        <v>23</v>
      </c>
      <c r="F106" s="13" t="inlineStr">
        <is>
          <t>EW</t>
        </is>
      </c>
      <c r="G106" s="12" t="n"/>
      <c r="H106" s="12" t="n"/>
      <c r="I106" s="12" t="n"/>
      <c r="J106" s="12" t="n"/>
      <c r="K106" s="12" t="n"/>
    </row>
    <row r="107">
      <c r="E107" t="n">
        <v>24</v>
      </c>
      <c r="F107" s="10" t="inlineStr">
        <is>
          <t>Both</t>
        </is>
      </c>
    </row>
    <row r="108">
      <c r="B108" s="12" t="n">
        <v>5</v>
      </c>
      <c r="C108" s="12" t="n">
        <v>13</v>
      </c>
      <c r="D108" s="12" t="n">
        <v>7</v>
      </c>
      <c r="E108" s="12" t="n">
        <v>7</v>
      </c>
      <c r="F108" s="13" t="inlineStr">
        <is>
          <t>EW</t>
        </is>
      </c>
      <c r="G108" s="12" t="n"/>
      <c r="H108" s="12" t="n"/>
      <c r="I108" s="12" t="n"/>
      <c r="J108" s="12" t="n"/>
      <c r="K108" s="12" t="n"/>
    </row>
    <row r="109">
      <c r="E109" t="n">
        <v>8</v>
      </c>
      <c r="F109" s="10" t="inlineStr">
        <is>
          <t>Both</t>
        </is>
      </c>
    </row>
    <row r="110">
      <c r="B110" s="12" t="n">
        <v>6</v>
      </c>
      <c r="C110" s="12" t="n">
        <v>2</v>
      </c>
      <c r="D110" s="12" t="n">
        <v>6</v>
      </c>
      <c r="E110" s="12" t="n">
        <v>9</v>
      </c>
      <c r="F110" s="13" t="inlineStr">
        <is>
          <t>None</t>
        </is>
      </c>
      <c r="G110" s="12" t="n"/>
      <c r="H110" s="12" t="n"/>
      <c r="I110" s="12" t="n"/>
      <c r="J110" s="12" t="n"/>
      <c r="K110" s="12" t="n"/>
    </row>
    <row r="111">
      <c r="E111" t="n">
        <v>10</v>
      </c>
      <c r="F111" s="10" t="inlineStr">
        <is>
          <t>NS</t>
        </is>
      </c>
    </row>
    <row r="112">
      <c r="B112" s="12" t="n">
        <v>7</v>
      </c>
      <c r="C112" s="12" t="n">
        <v>11</v>
      </c>
      <c r="D112" s="12" t="n">
        <v>1</v>
      </c>
      <c r="E112" s="12" t="n">
        <v>11</v>
      </c>
      <c r="F112" s="13" t="inlineStr">
        <is>
          <t>EW</t>
        </is>
      </c>
      <c r="G112" s="12" t="n"/>
      <c r="H112" s="12" t="n"/>
      <c r="I112" s="12" t="n"/>
      <c r="J112" s="12" t="n"/>
      <c r="K112" s="12" t="n"/>
    </row>
    <row r="113">
      <c r="E113" t="n">
        <v>12</v>
      </c>
      <c r="F113" s="10" t="inlineStr">
        <is>
          <t>Both</t>
        </is>
      </c>
    </row>
    <row r="114">
      <c r="A114" s="14" t="n">
        <v>9</v>
      </c>
      <c r="B114" s="14" t="n">
        <v>1</v>
      </c>
      <c r="C114" s="14" t="inlineStr">
        <is>
          <t>Sit-Out</t>
        </is>
      </c>
      <c r="D114" s="14" t="n">
        <v>9</v>
      </c>
      <c r="E114" s="14" t="n">
        <v>17</v>
      </c>
      <c r="F114" s="15" t="inlineStr">
        <is>
          <t>None</t>
        </is>
      </c>
      <c r="G114" s="14" t="n"/>
      <c r="H114" s="14" t="n"/>
      <c r="I114" s="14" t="n"/>
      <c r="J114" s="14" t="n"/>
      <c r="K114" s="14" t="n"/>
    </row>
    <row r="115">
      <c r="E115" t="n">
        <v>18</v>
      </c>
      <c r="F115" s="10" t="inlineStr">
        <is>
          <t>NS</t>
        </is>
      </c>
    </row>
    <row r="116">
      <c r="B116" s="12" t="n">
        <v>2</v>
      </c>
      <c r="C116" s="12" t="n">
        <v>13</v>
      </c>
      <c r="D116" s="12" t="n">
        <v>5</v>
      </c>
      <c r="E116" s="12" t="n">
        <v>21</v>
      </c>
      <c r="F116" s="13" t="inlineStr">
        <is>
          <t>None</t>
        </is>
      </c>
      <c r="G116" s="12" t="n"/>
      <c r="H116" s="12" t="n"/>
      <c r="I116" s="12" t="n"/>
      <c r="J116" s="12" t="n"/>
      <c r="K116" s="12" t="n"/>
    </row>
    <row r="117">
      <c r="E117" t="n">
        <v>22</v>
      </c>
      <c r="F117" s="10" t="inlineStr">
        <is>
          <t>NS</t>
        </is>
      </c>
    </row>
    <row r="118">
      <c r="B118" s="12" t="n">
        <v>3</v>
      </c>
      <c r="C118" s="12" t="n">
        <v>10</v>
      </c>
      <c r="D118" s="12" t="n">
        <v>11</v>
      </c>
      <c r="E118" s="12" t="n">
        <v>23</v>
      </c>
      <c r="F118" s="13" t="inlineStr">
        <is>
          <t>EW</t>
        </is>
      </c>
      <c r="G118" s="12" t="n"/>
      <c r="H118" s="12" t="n"/>
      <c r="I118" s="12" t="n"/>
      <c r="J118" s="12" t="n"/>
      <c r="K118" s="12" t="n"/>
    </row>
    <row r="119">
      <c r="E119" t="n">
        <v>24</v>
      </c>
      <c r="F119" s="10" t="inlineStr">
        <is>
          <t>Both</t>
        </is>
      </c>
    </row>
    <row r="120">
      <c r="B120" s="12" t="n">
        <v>4</v>
      </c>
      <c r="C120" s="12" t="n">
        <v>4</v>
      </c>
      <c r="D120" s="12" t="n">
        <v>6</v>
      </c>
      <c r="E120" s="12" t="n">
        <v>25</v>
      </c>
      <c r="F120" s="13" t="inlineStr">
        <is>
          <t>None</t>
        </is>
      </c>
      <c r="G120" s="12" t="n"/>
      <c r="H120" s="12" t="n"/>
      <c r="I120" s="12" t="n"/>
      <c r="J120" s="12" t="n"/>
      <c r="K120" s="12" t="n"/>
    </row>
    <row r="121">
      <c r="E121" t="n">
        <v>26</v>
      </c>
      <c r="F121" s="10" t="inlineStr">
        <is>
          <t>NS</t>
        </is>
      </c>
    </row>
    <row r="122">
      <c r="B122" s="12" t="n">
        <v>5</v>
      </c>
      <c r="C122" s="12" t="n">
        <v>1</v>
      </c>
      <c r="D122" s="12" t="n">
        <v>8</v>
      </c>
      <c r="E122" s="12" t="n">
        <v>9</v>
      </c>
      <c r="F122" s="13" t="inlineStr">
        <is>
          <t>None</t>
        </is>
      </c>
      <c r="G122" s="12" t="n"/>
      <c r="H122" s="12" t="n"/>
      <c r="I122" s="12" t="n"/>
      <c r="J122" s="12" t="n"/>
      <c r="K122" s="12" t="n"/>
    </row>
    <row r="123">
      <c r="E123" t="n">
        <v>10</v>
      </c>
      <c r="F123" s="10" t="inlineStr">
        <is>
          <t>NS</t>
        </is>
      </c>
    </row>
    <row r="124">
      <c r="B124" s="12" t="n">
        <v>6</v>
      </c>
      <c r="C124" s="12" t="n">
        <v>3</v>
      </c>
      <c r="D124" s="12" t="n">
        <v>7</v>
      </c>
      <c r="E124" s="12" t="n">
        <v>11</v>
      </c>
      <c r="F124" s="13" t="inlineStr">
        <is>
          <t>EW</t>
        </is>
      </c>
      <c r="G124" s="12" t="n"/>
      <c r="H124" s="12" t="n"/>
      <c r="I124" s="12" t="n"/>
      <c r="J124" s="12" t="n"/>
      <c r="K124" s="12" t="n"/>
    </row>
    <row r="125">
      <c r="E125" t="n">
        <v>12</v>
      </c>
      <c r="F125" s="10" t="inlineStr">
        <is>
          <t>Both</t>
        </is>
      </c>
    </row>
    <row r="126">
      <c r="B126" s="12" t="n">
        <v>7</v>
      </c>
      <c r="C126" s="12" t="n">
        <v>12</v>
      </c>
      <c r="D126" s="12" t="n">
        <v>2</v>
      </c>
      <c r="E126" s="12" t="n">
        <v>13</v>
      </c>
      <c r="F126" s="13" t="inlineStr">
        <is>
          <t>None</t>
        </is>
      </c>
      <c r="G126" s="12" t="n"/>
      <c r="H126" s="12" t="n"/>
      <c r="I126" s="12" t="n"/>
      <c r="J126" s="12" t="n"/>
      <c r="K126" s="12" t="n"/>
    </row>
    <row r="127">
      <c r="E127" t="n">
        <v>14</v>
      </c>
      <c r="F127" s="10" t="inlineStr">
        <is>
          <t>NS</t>
        </is>
      </c>
    </row>
    <row r="128">
      <c r="A128" s="14" t="n">
        <v>10</v>
      </c>
      <c r="B128" s="14" t="n">
        <v>1</v>
      </c>
      <c r="C128" s="14" t="inlineStr">
        <is>
          <t>Sit-Out</t>
        </is>
      </c>
      <c r="D128" s="14" t="n">
        <v>10</v>
      </c>
      <c r="E128" s="14" t="n">
        <v>19</v>
      </c>
      <c r="F128" s="15" t="inlineStr">
        <is>
          <t>EW</t>
        </is>
      </c>
      <c r="G128" s="14" t="n"/>
      <c r="H128" s="14" t="n"/>
      <c r="I128" s="14" t="n"/>
      <c r="J128" s="14" t="n"/>
      <c r="K128" s="14" t="n"/>
    </row>
    <row r="129">
      <c r="E129" t="n">
        <v>20</v>
      </c>
      <c r="F129" s="10" t="inlineStr">
        <is>
          <t>Both</t>
        </is>
      </c>
    </row>
    <row r="130">
      <c r="B130" s="12" t="n">
        <v>2</v>
      </c>
      <c r="C130" s="12" t="n">
        <v>1</v>
      </c>
      <c r="D130" s="12" t="n">
        <v>6</v>
      </c>
      <c r="E130" s="12" t="n">
        <v>23</v>
      </c>
      <c r="F130" s="13" t="inlineStr">
        <is>
          <t>EW</t>
        </is>
      </c>
      <c r="G130" s="12" t="n"/>
      <c r="H130" s="12" t="n"/>
      <c r="I130" s="12" t="n"/>
      <c r="J130" s="12" t="n"/>
      <c r="K130" s="12" t="n"/>
    </row>
    <row r="131">
      <c r="E131" t="n">
        <v>24</v>
      </c>
      <c r="F131" s="10" t="inlineStr">
        <is>
          <t>Both</t>
        </is>
      </c>
    </row>
    <row r="132">
      <c r="B132" s="12" t="n">
        <v>3</v>
      </c>
      <c r="C132" s="12" t="n">
        <v>11</v>
      </c>
      <c r="D132" s="12" t="n">
        <v>12</v>
      </c>
      <c r="E132" s="12" t="n">
        <v>25</v>
      </c>
      <c r="F132" s="13" t="inlineStr">
        <is>
          <t>None</t>
        </is>
      </c>
      <c r="G132" s="12" t="n"/>
      <c r="H132" s="12" t="n"/>
      <c r="I132" s="12" t="n"/>
      <c r="J132" s="12" t="n"/>
      <c r="K132" s="12" t="n"/>
    </row>
    <row r="133">
      <c r="E133" t="n">
        <v>26</v>
      </c>
      <c r="F133" s="10" t="inlineStr">
        <is>
          <t>NS</t>
        </is>
      </c>
    </row>
    <row r="134">
      <c r="B134" s="12" t="n">
        <v>4</v>
      </c>
      <c r="C134" s="12" t="n">
        <v>5</v>
      </c>
      <c r="D134" s="12" t="n">
        <v>7</v>
      </c>
      <c r="E134" s="12" t="n">
        <v>1</v>
      </c>
      <c r="F134" s="13" t="inlineStr">
        <is>
          <t>None</t>
        </is>
      </c>
      <c r="G134" s="12" t="n"/>
      <c r="H134" s="12" t="n"/>
      <c r="I134" s="12" t="n"/>
      <c r="J134" s="12" t="n"/>
      <c r="K134" s="12" t="n"/>
    </row>
    <row r="135">
      <c r="E135" t="n">
        <v>2</v>
      </c>
      <c r="F135" s="10" t="inlineStr">
        <is>
          <t>NS</t>
        </is>
      </c>
    </row>
    <row r="136">
      <c r="B136" s="12" t="n">
        <v>5</v>
      </c>
      <c r="C136" s="12" t="n">
        <v>2</v>
      </c>
      <c r="D136" s="12" t="n">
        <v>9</v>
      </c>
      <c r="E136" s="12" t="n">
        <v>11</v>
      </c>
      <c r="F136" s="13" t="inlineStr">
        <is>
          <t>EW</t>
        </is>
      </c>
      <c r="G136" s="12" t="n"/>
      <c r="H136" s="12" t="n"/>
      <c r="I136" s="12" t="n"/>
      <c r="J136" s="12" t="n"/>
      <c r="K136" s="12" t="n"/>
    </row>
    <row r="137">
      <c r="E137" t="n">
        <v>12</v>
      </c>
      <c r="F137" s="10" t="inlineStr">
        <is>
          <t>Both</t>
        </is>
      </c>
    </row>
    <row r="138">
      <c r="B138" s="12" t="n">
        <v>6</v>
      </c>
      <c r="C138" s="12" t="n">
        <v>4</v>
      </c>
      <c r="D138" s="12" t="n">
        <v>8</v>
      </c>
      <c r="E138" s="12" t="n">
        <v>13</v>
      </c>
      <c r="F138" s="13" t="inlineStr">
        <is>
          <t>None</t>
        </is>
      </c>
      <c r="G138" s="12" t="n"/>
      <c r="H138" s="12" t="n"/>
      <c r="I138" s="12" t="n"/>
      <c r="J138" s="12" t="n"/>
      <c r="K138" s="12" t="n"/>
    </row>
    <row r="139">
      <c r="E139" t="n">
        <v>14</v>
      </c>
      <c r="F139" s="10" t="inlineStr">
        <is>
          <t>NS</t>
        </is>
      </c>
    </row>
    <row r="140">
      <c r="B140" s="12" t="n">
        <v>7</v>
      </c>
      <c r="C140" s="12" t="n">
        <v>13</v>
      </c>
      <c r="D140" s="12" t="n">
        <v>3</v>
      </c>
      <c r="E140" s="12" t="n">
        <v>15</v>
      </c>
      <c r="F140" s="13" t="inlineStr">
        <is>
          <t>EW</t>
        </is>
      </c>
      <c r="G140" s="12" t="n"/>
      <c r="H140" s="12" t="n"/>
      <c r="I140" s="12" t="n"/>
      <c r="J140" s="12" t="n"/>
      <c r="K140" s="12" t="n"/>
    </row>
    <row r="141">
      <c r="E141" t="n">
        <v>16</v>
      </c>
      <c r="F141" s="10" t="inlineStr">
        <is>
          <t>Both</t>
        </is>
      </c>
    </row>
    <row r="142">
      <c r="A142" s="14" t="n">
        <v>11</v>
      </c>
      <c r="B142" s="14" t="n">
        <v>1</v>
      </c>
      <c r="C142" s="14" t="inlineStr">
        <is>
          <t>Sit-Out</t>
        </is>
      </c>
      <c r="D142" s="14" t="n">
        <v>11</v>
      </c>
      <c r="E142" s="14" t="n">
        <v>21</v>
      </c>
      <c r="F142" s="15" t="inlineStr">
        <is>
          <t>None</t>
        </is>
      </c>
      <c r="G142" s="14" t="n"/>
      <c r="H142" s="14" t="n"/>
      <c r="I142" s="14" t="n"/>
      <c r="J142" s="14" t="n"/>
      <c r="K142" s="14" t="n"/>
    </row>
    <row r="143">
      <c r="E143" t="n">
        <v>22</v>
      </c>
      <c r="F143" s="10" t="inlineStr">
        <is>
          <t>NS</t>
        </is>
      </c>
    </row>
    <row r="144">
      <c r="B144" s="12" t="n">
        <v>2</v>
      </c>
      <c r="C144" s="12" t="n">
        <v>2</v>
      </c>
      <c r="D144" s="12" t="n">
        <v>7</v>
      </c>
      <c r="E144" s="12" t="n">
        <v>25</v>
      </c>
      <c r="F144" s="13" t="inlineStr">
        <is>
          <t>None</t>
        </is>
      </c>
      <c r="G144" s="12" t="n"/>
      <c r="H144" s="12" t="n"/>
      <c r="I144" s="12" t="n"/>
      <c r="J144" s="12" t="n"/>
      <c r="K144" s="12" t="n"/>
    </row>
    <row r="145">
      <c r="E145" t="n">
        <v>26</v>
      </c>
      <c r="F145" s="10" t="inlineStr">
        <is>
          <t>NS</t>
        </is>
      </c>
    </row>
    <row r="146">
      <c r="B146" s="12" t="n">
        <v>3</v>
      </c>
      <c r="C146" s="12" t="n">
        <v>12</v>
      </c>
      <c r="D146" s="12" t="n">
        <v>13</v>
      </c>
      <c r="E146" s="12" t="n">
        <v>1</v>
      </c>
      <c r="F146" s="13" t="inlineStr">
        <is>
          <t>None</t>
        </is>
      </c>
      <c r="G146" s="12" t="n"/>
      <c r="H146" s="12" t="n"/>
      <c r="I146" s="12" t="n"/>
      <c r="J146" s="12" t="n"/>
      <c r="K146" s="12" t="n"/>
    </row>
    <row r="147">
      <c r="E147" t="n">
        <v>2</v>
      </c>
      <c r="F147" s="10" t="inlineStr">
        <is>
          <t>NS</t>
        </is>
      </c>
    </row>
    <row r="148">
      <c r="B148" s="12" t="n">
        <v>4</v>
      </c>
      <c r="C148" s="12" t="n">
        <v>6</v>
      </c>
      <c r="D148" s="12" t="n">
        <v>8</v>
      </c>
      <c r="E148" s="12" t="n">
        <v>3</v>
      </c>
      <c r="F148" s="13" t="inlineStr">
        <is>
          <t>EW</t>
        </is>
      </c>
      <c r="G148" s="12" t="n"/>
      <c r="H148" s="12" t="n"/>
      <c r="I148" s="12" t="n"/>
      <c r="J148" s="12" t="n"/>
      <c r="K148" s="12" t="n"/>
    </row>
    <row r="149">
      <c r="E149" t="n">
        <v>4</v>
      </c>
      <c r="F149" s="10" t="inlineStr">
        <is>
          <t>Both</t>
        </is>
      </c>
    </row>
    <row r="150">
      <c r="B150" s="12" t="n">
        <v>5</v>
      </c>
      <c r="C150" s="12" t="n">
        <v>3</v>
      </c>
      <c r="D150" s="12" t="n">
        <v>10</v>
      </c>
      <c r="E150" s="12" t="n">
        <v>13</v>
      </c>
      <c r="F150" s="13" t="inlineStr">
        <is>
          <t>None</t>
        </is>
      </c>
      <c r="G150" s="12" t="n"/>
      <c r="H150" s="12" t="n"/>
      <c r="I150" s="12" t="n"/>
      <c r="J150" s="12" t="n"/>
      <c r="K150" s="12" t="n"/>
    </row>
    <row r="151">
      <c r="E151" t="n">
        <v>14</v>
      </c>
      <c r="F151" s="10" t="inlineStr">
        <is>
          <t>NS</t>
        </is>
      </c>
    </row>
    <row r="152">
      <c r="B152" s="12" t="n">
        <v>6</v>
      </c>
      <c r="C152" s="12" t="n">
        <v>5</v>
      </c>
      <c r="D152" s="12" t="n">
        <v>9</v>
      </c>
      <c r="E152" s="12" t="n">
        <v>15</v>
      </c>
      <c r="F152" s="13" t="inlineStr">
        <is>
          <t>EW</t>
        </is>
      </c>
      <c r="G152" s="12" t="n"/>
      <c r="H152" s="12" t="n"/>
      <c r="I152" s="12" t="n"/>
      <c r="J152" s="12" t="n"/>
      <c r="K152" s="12" t="n"/>
    </row>
    <row r="153">
      <c r="E153" t="n">
        <v>16</v>
      </c>
      <c r="F153" s="10" t="inlineStr">
        <is>
          <t>Both</t>
        </is>
      </c>
    </row>
    <row r="154">
      <c r="B154" s="12" t="n">
        <v>7</v>
      </c>
      <c r="C154" s="12" t="n">
        <v>1</v>
      </c>
      <c r="D154" s="12" t="n">
        <v>4</v>
      </c>
      <c r="E154" s="12" t="n">
        <v>17</v>
      </c>
      <c r="F154" s="13" t="inlineStr">
        <is>
          <t>None</t>
        </is>
      </c>
      <c r="G154" s="12" t="n"/>
      <c r="H154" s="12" t="n"/>
      <c r="I154" s="12" t="n"/>
      <c r="J154" s="12" t="n"/>
      <c r="K154" s="12" t="n"/>
    </row>
    <row r="155">
      <c r="E155" t="n">
        <v>18</v>
      </c>
      <c r="F155" s="10" t="inlineStr">
        <is>
          <t>NS</t>
        </is>
      </c>
    </row>
    <row r="156">
      <c r="A156" s="14" t="n">
        <v>12</v>
      </c>
      <c r="B156" s="14" t="n">
        <v>1</v>
      </c>
      <c r="C156" s="14" t="inlineStr">
        <is>
          <t>Sit-Out</t>
        </is>
      </c>
      <c r="D156" s="14" t="n">
        <v>12</v>
      </c>
      <c r="E156" s="14" t="n">
        <v>23</v>
      </c>
      <c r="F156" s="15" t="inlineStr">
        <is>
          <t>EW</t>
        </is>
      </c>
      <c r="G156" s="14" t="n"/>
      <c r="H156" s="14" t="n"/>
      <c r="I156" s="14" t="n"/>
      <c r="J156" s="14" t="n"/>
      <c r="K156" s="14" t="n"/>
    </row>
    <row r="157">
      <c r="E157" t="n">
        <v>24</v>
      </c>
      <c r="F157" s="10" t="inlineStr">
        <is>
          <t>Both</t>
        </is>
      </c>
    </row>
    <row r="158">
      <c r="B158" s="12" t="n">
        <v>2</v>
      </c>
      <c r="C158" s="12" t="n">
        <v>3</v>
      </c>
      <c r="D158" s="12" t="n">
        <v>8</v>
      </c>
      <c r="E158" s="12" t="n">
        <v>1</v>
      </c>
      <c r="F158" s="13" t="inlineStr">
        <is>
          <t>None</t>
        </is>
      </c>
      <c r="G158" s="12" t="n"/>
      <c r="H158" s="12" t="n"/>
      <c r="I158" s="12" t="n"/>
      <c r="J158" s="12" t="n"/>
      <c r="K158" s="12" t="n"/>
    </row>
    <row r="159">
      <c r="E159" t="n">
        <v>2</v>
      </c>
      <c r="F159" s="10" t="inlineStr">
        <is>
          <t>NS</t>
        </is>
      </c>
    </row>
    <row r="160">
      <c r="B160" s="12" t="n">
        <v>3</v>
      </c>
      <c r="C160" s="12" t="n">
        <v>13</v>
      </c>
      <c r="D160" s="12" t="n">
        <v>1</v>
      </c>
      <c r="E160" s="12" t="n">
        <v>3</v>
      </c>
      <c r="F160" s="13" t="inlineStr">
        <is>
          <t>EW</t>
        </is>
      </c>
      <c r="G160" s="12" t="n"/>
      <c r="H160" s="12" t="n"/>
      <c r="I160" s="12" t="n"/>
      <c r="J160" s="12" t="n"/>
      <c r="K160" s="12" t="n"/>
    </row>
    <row r="161">
      <c r="E161" t="n">
        <v>4</v>
      </c>
      <c r="F161" s="10" t="inlineStr">
        <is>
          <t>Both</t>
        </is>
      </c>
    </row>
    <row r="162">
      <c r="B162" s="12" t="n">
        <v>4</v>
      </c>
      <c r="C162" s="12" t="n">
        <v>7</v>
      </c>
      <c r="D162" s="12" t="n">
        <v>9</v>
      </c>
      <c r="E162" s="12" t="n">
        <v>5</v>
      </c>
      <c r="F162" s="13" t="inlineStr">
        <is>
          <t>None</t>
        </is>
      </c>
      <c r="G162" s="12" t="n"/>
      <c r="H162" s="12" t="n"/>
      <c r="I162" s="12" t="n"/>
      <c r="J162" s="12" t="n"/>
      <c r="K162" s="12" t="n"/>
    </row>
    <row r="163">
      <c r="E163" t="n">
        <v>6</v>
      </c>
      <c r="F163" s="10" t="inlineStr">
        <is>
          <t>NS</t>
        </is>
      </c>
    </row>
    <row r="164">
      <c r="B164" s="12" t="n">
        <v>5</v>
      </c>
      <c r="C164" s="12" t="n">
        <v>4</v>
      </c>
      <c r="D164" s="12" t="n">
        <v>11</v>
      </c>
      <c r="E164" s="12" t="n">
        <v>15</v>
      </c>
      <c r="F164" s="13" t="inlineStr">
        <is>
          <t>EW</t>
        </is>
      </c>
      <c r="G164" s="12" t="n"/>
      <c r="H164" s="12" t="n"/>
      <c r="I164" s="12" t="n"/>
      <c r="J164" s="12" t="n"/>
      <c r="K164" s="12" t="n"/>
    </row>
    <row r="165">
      <c r="E165" t="n">
        <v>16</v>
      </c>
      <c r="F165" s="10" t="inlineStr">
        <is>
          <t>Both</t>
        </is>
      </c>
    </row>
    <row r="166">
      <c r="B166" s="12" t="n">
        <v>6</v>
      </c>
      <c r="C166" s="12" t="n">
        <v>6</v>
      </c>
      <c r="D166" s="12" t="n">
        <v>10</v>
      </c>
      <c r="E166" s="12" t="n">
        <v>17</v>
      </c>
      <c r="F166" s="13" t="inlineStr">
        <is>
          <t>None</t>
        </is>
      </c>
      <c r="G166" s="12" t="n"/>
      <c r="H166" s="12" t="n"/>
      <c r="I166" s="12" t="n"/>
      <c r="J166" s="12" t="n"/>
      <c r="K166" s="12" t="n"/>
    </row>
    <row r="167">
      <c r="E167" t="n">
        <v>18</v>
      </c>
      <c r="F167" s="10" t="inlineStr">
        <is>
          <t>NS</t>
        </is>
      </c>
    </row>
    <row r="168">
      <c r="B168" s="12" t="n">
        <v>7</v>
      </c>
      <c r="C168" s="12" t="n">
        <v>2</v>
      </c>
      <c r="D168" s="12" t="n">
        <v>5</v>
      </c>
      <c r="E168" s="12" t="n">
        <v>19</v>
      </c>
      <c r="F168" s="13" t="inlineStr">
        <is>
          <t>EW</t>
        </is>
      </c>
      <c r="G168" s="12" t="n"/>
      <c r="H168" s="12" t="n"/>
      <c r="I168" s="12" t="n"/>
      <c r="J168" s="12" t="n"/>
      <c r="K168" s="12" t="n"/>
    </row>
    <row r="169">
      <c r="E169" t="n">
        <v>20</v>
      </c>
      <c r="F169" s="10" t="inlineStr">
        <is>
          <t>Both</t>
        </is>
      </c>
    </row>
    <row r="170">
      <c r="A170" s="14" t="n">
        <v>13</v>
      </c>
      <c r="B170" s="14" t="n">
        <v>1</v>
      </c>
      <c r="C170" s="14" t="inlineStr">
        <is>
          <t>Sit-Out</t>
        </is>
      </c>
      <c r="D170" s="14" t="n">
        <v>13</v>
      </c>
      <c r="E170" s="14" t="n">
        <v>25</v>
      </c>
      <c r="F170" s="15" t="inlineStr">
        <is>
          <t>None</t>
        </is>
      </c>
      <c r="G170" s="14" t="n"/>
      <c r="H170" s="14" t="n"/>
      <c r="I170" s="14" t="n"/>
      <c r="J170" s="14" t="n"/>
      <c r="K170" s="14" t="n"/>
    </row>
    <row r="171">
      <c r="E171" t="n">
        <v>26</v>
      </c>
      <c r="F171" s="10" t="inlineStr">
        <is>
          <t>NS</t>
        </is>
      </c>
    </row>
    <row r="172">
      <c r="B172" s="12" t="n">
        <v>2</v>
      </c>
      <c r="C172" s="12" t="n">
        <v>4</v>
      </c>
      <c r="D172" s="12" t="n">
        <v>9</v>
      </c>
      <c r="E172" s="12" t="n">
        <v>3</v>
      </c>
      <c r="F172" s="13" t="inlineStr">
        <is>
          <t>EW</t>
        </is>
      </c>
      <c r="G172" s="12" t="n"/>
      <c r="H172" s="12" t="n"/>
      <c r="I172" s="12" t="n"/>
      <c r="J172" s="12" t="n"/>
      <c r="K172" s="12" t="n"/>
    </row>
    <row r="173">
      <c r="E173" t="n">
        <v>4</v>
      </c>
      <c r="F173" s="10" t="inlineStr">
        <is>
          <t>Both</t>
        </is>
      </c>
    </row>
    <row r="174">
      <c r="B174" s="12" t="n">
        <v>3</v>
      </c>
      <c r="C174" s="12" t="n">
        <v>1</v>
      </c>
      <c r="D174" s="12" t="n">
        <v>2</v>
      </c>
      <c r="E174" s="12" t="n">
        <v>5</v>
      </c>
      <c r="F174" s="13" t="inlineStr">
        <is>
          <t>None</t>
        </is>
      </c>
      <c r="G174" s="12" t="n"/>
      <c r="H174" s="12" t="n"/>
      <c r="I174" s="12" t="n"/>
      <c r="J174" s="12" t="n"/>
      <c r="K174" s="12" t="n"/>
    </row>
    <row r="175">
      <c r="E175" t="n">
        <v>6</v>
      </c>
      <c r="F175" s="10" t="inlineStr">
        <is>
          <t>NS</t>
        </is>
      </c>
    </row>
    <row r="176">
      <c r="B176" s="12" t="n">
        <v>4</v>
      </c>
      <c r="C176" s="12" t="n">
        <v>8</v>
      </c>
      <c r="D176" s="12" t="n">
        <v>10</v>
      </c>
      <c r="E176" s="12" t="n">
        <v>7</v>
      </c>
      <c r="F176" s="13" t="inlineStr">
        <is>
          <t>EW</t>
        </is>
      </c>
      <c r="G176" s="12" t="n"/>
      <c r="H176" s="12" t="n"/>
      <c r="I176" s="12" t="n"/>
      <c r="J176" s="12" t="n"/>
      <c r="K176" s="12" t="n"/>
    </row>
    <row r="177">
      <c r="E177" t="n">
        <v>8</v>
      </c>
      <c r="F177" s="10" t="inlineStr">
        <is>
          <t>Both</t>
        </is>
      </c>
    </row>
    <row r="178">
      <c r="B178" s="12" t="n">
        <v>5</v>
      </c>
      <c r="C178" s="12" t="n">
        <v>5</v>
      </c>
      <c r="D178" s="12" t="n">
        <v>12</v>
      </c>
      <c r="E178" s="12" t="n">
        <v>17</v>
      </c>
      <c r="F178" s="13" t="inlineStr">
        <is>
          <t>None</t>
        </is>
      </c>
      <c r="G178" s="12" t="n"/>
      <c r="H178" s="12" t="n"/>
      <c r="I178" s="12" t="n"/>
      <c r="J178" s="12" t="n"/>
      <c r="K178" s="12" t="n"/>
    </row>
    <row r="179">
      <c r="E179" t="n">
        <v>18</v>
      </c>
      <c r="F179" s="10" t="inlineStr">
        <is>
          <t>NS</t>
        </is>
      </c>
    </row>
    <row r="180">
      <c r="B180" s="12" t="n">
        <v>6</v>
      </c>
      <c r="C180" s="12" t="n">
        <v>7</v>
      </c>
      <c r="D180" s="12" t="n">
        <v>11</v>
      </c>
      <c r="E180" s="12" t="n">
        <v>19</v>
      </c>
      <c r="F180" s="13" t="inlineStr">
        <is>
          <t>EW</t>
        </is>
      </c>
      <c r="G180" s="12" t="n"/>
      <c r="H180" s="12" t="n"/>
      <c r="I180" s="12" t="n"/>
      <c r="J180" s="12" t="n"/>
      <c r="K180" s="12" t="n"/>
    </row>
    <row r="181">
      <c r="E181" t="n">
        <v>20</v>
      </c>
      <c r="F181" s="10" t="inlineStr">
        <is>
          <t>Both</t>
        </is>
      </c>
    </row>
    <row r="182">
      <c r="B182" s="12" t="n">
        <v>7</v>
      </c>
      <c r="C182" s="12" t="n">
        <v>3</v>
      </c>
      <c r="D182" s="12" t="n">
        <v>6</v>
      </c>
      <c r="E182" s="12" t="n">
        <v>21</v>
      </c>
      <c r="F182" s="13" t="inlineStr">
        <is>
          <t>None</t>
        </is>
      </c>
      <c r="G182" s="12" t="n"/>
      <c r="H182" s="12" t="n"/>
      <c r="I182" s="12" t="n"/>
      <c r="J182" s="12" t="n"/>
      <c r="K182" s="12" t="n"/>
    </row>
    <row r="183">
      <c r="E183" t="n">
        <v>22</v>
      </c>
      <c r="F183" s="10" t="inlineStr">
        <is>
          <t>NS</t>
        </is>
      </c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  <row r="12">
      <c r="A12" s="17" t="n">
        <v>9</v>
      </c>
      <c r="B12" s="18" t="n"/>
      <c r="C12" s="18" t="n"/>
      <c r="D12" s="18" t="n"/>
      <c r="E12" s="18" t="n"/>
      <c r="F12" s="18" t="n"/>
    </row>
    <row r="13">
      <c r="A13" s="17" t="n">
        <v>10</v>
      </c>
      <c r="B13" s="18" t="n"/>
      <c r="C13" s="18" t="n"/>
      <c r="D13" s="18" t="n"/>
      <c r="E13" s="18" t="n"/>
      <c r="F13" s="18" t="n"/>
    </row>
    <row r="14">
      <c r="A14" s="17" t="n">
        <v>11</v>
      </c>
      <c r="B14" s="18" t="n"/>
      <c r="C14" s="18" t="n"/>
      <c r="D14" s="18" t="n"/>
      <c r="E14" s="18" t="n"/>
      <c r="F14" s="18" t="n"/>
    </row>
    <row r="15">
      <c r="A15" s="17" t="n">
        <v>12</v>
      </c>
      <c r="B15" s="18" t="n"/>
      <c r="C15" s="18" t="n"/>
      <c r="D15" s="18" t="n"/>
      <c r="E15" s="18" t="n"/>
      <c r="F15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2026-01-14T21:33:02Z</dcterms:created>
  <dcterms:modified xsi:type="dcterms:W3CDTF">2026-01-14T21:33:02Z</dcterms:modified>
</cp:coreProperties>
</file>