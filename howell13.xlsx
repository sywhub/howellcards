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55</t>
        </is>
      </c>
      <c r="C10" t="inlineStr">
        <is>
          <t>Name 18</t>
        </is>
      </c>
      <c r="D10" s="4">
        <f>SUMIF('By Board'!$D$3:$D$170,"=1",'By Board'!$N$3:$N$170)/24+SUMIF('By Board'!$E$3:$E$170,"=1",'By Board'!$O$3:$O$170)/24</f>
        <v/>
      </c>
      <c r="E10" s="5">
        <f>SUMIF('By Board'!$D$3:$D$170,"=1",'By Board'!$L$3:$L$170)+SUMIF('By Board'!$E$3:$E$170,"=1",'By Board'!$M$3:$M$170)</f>
        <v/>
      </c>
    </row>
    <row r="11">
      <c r="A11" s="2" t="n">
        <v>2</v>
      </c>
      <c r="B11" t="inlineStr">
        <is>
          <t>Name 52</t>
        </is>
      </c>
      <c r="C11" t="inlineStr">
        <is>
          <t>Name 74</t>
        </is>
      </c>
      <c r="D11" s="4">
        <f>SUMIF('By Board'!$D$3:$D$170,"=2",'By Board'!$N$3:$N$170)/24+SUMIF('By Board'!$E$3:$E$170,"=2",'By Board'!$O$3:$O$170)/24</f>
        <v/>
      </c>
      <c r="E11" s="5">
        <f>SUMIF('By Board'!$D$3:$D$170,"=2",'By Board'!$L$3:$L$170)+SUMIF('By Board'!$E$3:$E$170,"=2",'By Board'!$M$3:$M$170)</f>
        <v/>
      </c>
    </row>
    <row r="12">
      <c r="A12" s="2" t="n">
        <v>3</v>
      </c>
      <c r="B12" t="inlineStr">
        <is>
          <t>Name 17</t>
        </is>
      </c>
      <c r="C12" t="inlineStr">
        <is>
          <t>Name 33</t>
        </is>
      </c>
      <c r="D12" s="4">
        <f>SUMIF('By Board'!$D$3:$D$170,"=3",'By Board'!$N$3:$N$170)/24+SUMIF('By Board'!$E$3:$E$170,"=3",'By Board'!$O$3:$O$170)/24</f>
        <v/>
      </c>
      <c r="E12" s="5">
        <f>SUMIF('By Board'!$D$3:$D$170,"=3",'By Board'!$L$3:$L$170)+SUMIF('By Board'!$E$3:$E$170,"=3",'By Board'!$M$3:$M$170)</f>
        <v/>
      </c>
    </row>
    <row r="13">
      <c r="A13" s="2" t="n">
        <v>4</v>
      </c>
      <c r="B13" t="inlineStr">
        <is>
          <t>Name 57</t>
        </is>
      </c>
      <c r="C13" t="inlineStr">
        <is>
          <t>Name 82</t>
        </is>
      </c>
      <c r="D13" s="4">
        <f>SUMIF('By Board'!$D$3:$D$170,"=4",'By Board'!$N$3:$N$170)/24+SUMIF('By Board'!$E$3:$E$170,"=4",'By Board'!$O$3:$O$170)/24</f>
        <v/>
      </c>
      <c r="E13" s="5">
        <f>SUMIF('By Board'!$D$3:$D$170,"=4",'By Board'!$L$3:$L$170)+SUMIF('By Board'!$E$3:$E$170,"=4",'By Board'!$M$3:$M$170)</f>
        <v/>
      </c>
    </row>
    <row r="14">
      <c r="A14" s="2" t="n">
        <v>5</v>
      </c>
      <c r="B14" t="inlineStr">
        <is>
          <t>Name 62</t>
        </is>
      </c>
      <c r="C14" t="inlineStr">
        <is>
          <t>Name 78</t>
        </is>
      </c>
      <c r="D14" s="4">
        <f>SUMIF('By Board'!$D$3:$D$170,"=5",'By Board'!$N$3:$N$170)/24+SUMIF('By Board'!$E$3:$E$170,"=5",'By Board'!$O$3:$O$170)/24</f>
        <v/>
      </c>
      <c r="E14" s="5">
        <f>SUMIF('By Board'!$D$3:$D$170,"=5",'By Board'!$L$3:$L$170)+SUMIF('By Board'!$E$3:$E$170,"=5",'By Board'!$M$3:$M$170)</f>
        <v/>
      </c>
    </row>
    <row r="15">
      <c r="A15" s="2" t="n">
        <v>6</v>
      </c>
      <c r="B15" t="inlineStr">
        <is>
          <t>Name 34</t>
        </is>
      </c>
      <c r="C15" t="inlineStr">
        <is>
          <t>Name 81</t>
        </is>
      </c>
      <c r="D15" s="4">
        <f>SUMIF('By Board'!$D$3:$D$170,"=6",'By Board'!$N$3:$N$170)/24+SUMIF('By Board'!$E$3:$E$170,"=6",'By Board'!$O$3:$O$170)/24</f>
        <v/>
      </c>
      <c r="E15" s="5">
        <f>SUMIF('By Board'!$D$3:$D$170,"=6",'By Board'!$L$3:$L$170)+SUMIF('By Board'!$E$3:$E$170,"=6",'By Board'!$M$3:$M$170)</f>
        <v/>
      </c>
    </row>
    <row r="16">
      <c r="A16" s="2" t="n">
        <v>7</v>
      </c>
      <c r="B16" t="inlineStr">
        <is>
          <t>Name 64</t>
        </is>
      </c>
      <c r="C16" t="inlineStr">
        <is>
          <t>Name 87</t>
        </is>
      </c>
      <c r="D16" s="4">
        <f>SUMIF('By Board'!$D$3:$D$170,"=7",'By Board'!$N$3:$N$170)/24+SUMIF('By Board'!$E$3:$E$170,"=7",'By Board'!$O$3:$O$170)/24</f>
        <v/>
      </c>
      <c r="E16" s="5">
        <f>SUMIF('By Board'!$D$3:$D$170,"=7",'By Board'!$L$3:$L$170)+SUMIF('By Board'!$E$3:$E$170,"=7",'By Board'!$M$3:$M$170)</f>
        <v/>
      </c>
    </row>
    <row r="17">
      <c r="A17" s="2" t="n">
        <v>8</v>
      </c>
      <c r="B17" t="inlineStr">
        <is>
          <t>Name 20</t>
        </is>
      </c>
      <c r="C17" t="inlineStr">
        <is>
          <t>Name 39</t>
        </is>
      </c>
      <c r="D17" s="4">
        <f>SUMIF('By Board'!$D$3:$D$170,"=8",'By Board'!$N$3:$N$170)/24+SUMIF('By Board'!$E$3:$E$170,"=8",'By Board'!$O$3:$O$170)/24</f>
        <v/>
      </c>
      <c r="E17" s="5">
        <f>SUMIF('By Board'!$D$3:$D$170,"=8",'By Board'!$L$3:$L$170)+SUMIF('By Board'!$E$3:$E$170,"=8",'By Board'!$M$3:$M$170)</f>
        <v/>
      </c>
    </row>
    <row r="18">
      <c r="A18" s="2" t="n">
        <v>9</v>
      </c>
      <c r="B18" t="inlineStr">
        <is>
          <t>Name 41</t>
        </is>
      </c>
      <c r="C18" t="inlineStr">
        <is>
          <t>Name 60</t>
        </is>
      </c>
      <c r="D18" s="4">
        <f>SUMIF('By Board'!$D$3:$D$170,"=9",'By Board'!$N$3:$N$170)/24+SUMIF('By Board'!$E$3:$E$170,"=9",'By Board'!$O$3:$O$170)/24</f>
        <v/>
      </c>
      <c r="E18" s="5">
        <f>SUMIF('By Board'!$D$3:$D$170,"=9",'By Board'!$L$3:$L$170)+SUMIF('By Board'!$E$3:$E$170,"=9",'By Board'!$M$3:$M$170)</f>
        <v/>
      </c>
    </row>
    <row r="19">
      <c r="A19" s="2" t="n">
        <v>10</v>
      </c>
      <c r="B19" t="inlineStr">
        <is>
          <t>Name 11</t>
        </is>
      </c>
      <c r="C19" t="inlineStr">
        <is>
          <t>Name 83</t>
        </is>
      </c>
      <c r="D19" s="4">
        <f>SUMIF('By Board'!$D$3:$D$170,"=10",'By Board'!$N$3:$N$170)/24+SUMIF('By Board'!$E$3:$E$170,"=10",'By Board'!$O$3:$O$170)/24</f>
        <v/>
      </c>
      <c r="E19" s="5">
        <f>SUMIF('By Board'!$D$3:$D$170,"=10",'By Board'!$L$3:$L$170)+SUMIF('By Board'!$E$3:$E$170,"=10",'By Board'!$M$3:$M$170)</f>
        <v/>
      </c>
    </row>
    <row r="20">
      <c r="A20" s="2" t="n">
        <v>11</v>
      </c>
      <c r="B20" t="inlineStr">
        <is>
          <t>Name 43</t>
        </is>
      </c>
      <c r="C20" t="inlineStr">
        <is>
          <t>Name 30</t>
        </is>
      </c>
      <c r="D20" s="4">
        <f>SUMIF('By Board'!$D$3:$D$170,"=11",'By Board'!$N$3:$N$170)/24+SUMIF('By Board'!$E$3:$E$170,"=11",'By Board'!$O$3:$O$170)/24</f>
        <v/>
      </c>
      <c r="E20" s="5">
        <f>SUMIF('By Board'!$D$3:$D$170,"=11",'By Board'!$L$3:$L$170)+SUMIF('By Board'!$E$3:$E$170,"=11",'By Board'!$M$3:$M$170)</f>
        <v/>
      </c>
    </row>
    <row r="21">
      <c r="A21" s="2" t="n">
        <v>12</v>
      </c>
      <c r="B21" t="inlineStr">
        <is>
          <t>Name 15</t>
        </is>
      </c>
      <c r="C21" t="inlineStr">
        <is>
          <t>Name 30</t>
        </is>
      </c>
      <c r="D21" s="4">
        <f>SUMIF('By Board'!$D$3:$D$170,"=12",'By Board'!$N$3:$N$170)/24+SUMIF('By Board'!$E$3:$E$170,"=12",'By Board'!$O$3:$O$170)/24</f>
        <v/>
      </c>
      <c r="E21" s="5">
        <f>SUMIF('By Board'!$D$3:$D$170,"=12",'By Board'!$L$3:$L$170)+SUMIF('By Board'!$E$3:$E$170,"=12",'By Board'!$M$3:$M$170)</f>
        <v/>
      </c>
    </row>
    <row r="22">
      <c r="A22" s="2" t="n">
        <v>13</v>
      </c>
      <c r="B22" t="inlineStr">
        <is>
          <t>Name 26</t>
        </is>
      </c>
      <c r="C22" t="inlineStr">
        <is>
          <t>Name 20</t>
        </is>
      </c>
      <c r="D22" s="4">
        <f>SUMIF('By Board'!$D$3:$D$170,"=13",'By Board'!$N$3:$N$170)/24+SUMIF('By Board'!$E$3:$E$170,"=13",'By Board'!$O$3:$O$170)/24</f>
        <v/>
      </c>
      <c r="E22" s="5">
        <f>SUMIF('By Board'!$D$3:$D$170,"=13",'By Board'!$L$3:$L$170)+SUMIF('By Board'!$E$3:$E$170,"=13",'By Board'!$M$3:$M$170)</f>
        <v/>
      </c>
    </row>
    <row r="23">
      <c r="D23" s="6">
        <f>AVERAGE(D10:D22)</f>
        <v/>
      </c>
      <c r="E23" s="7">
        <f>SUM(E10:E22)</f>
        <v/>
      </c>
    </row>
    <row r="25">
      <c r="A25" t="inlineStr">
        <is>
          <t>To sort, remove single quote below</t>
        </is>
      </c>
    </row>
    <row r="26">
      <c r="A26" s="2" t="inlineStr">
        <is>
          <t>IMP Ranking</t>
        </is>
      </c>
    </row>
    <row r="27">
      <c r="A27" t="inlineStr">
        <is>
          <t>'=SORT(A10:E22,4,-1)</t>
        </is>
      </c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4">
      <c r="A44" s="2" t="inlineStr">
        <is>
          <t>MP Ranking</t>
        </is>
      </c>
    </row>
    <row r="45">
      <c r="A45" t="inlineStr">
        <is>
          <t>'=SORT(A10:E22,5,-1)</t>
        </is>
      </c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</sheetData>
  <mergeCells count="9">
    <mergeCell ref="A4:B4"/>
    <mergeCell ref="A26:E26"/>
    <mergeCell ref="A7:B7"/>
    <mergeCell ref="A2:E2"/>
    <mergeCell ref="A5:B5"/>
    <mergeCell ref="A9:C9"/>
    <mergeCell ref="A44:E44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AVERAGE(AF3:AK3)</f>
        <v/>
      </c>
      <c r="M3" s="13">
        <f>AVERAGE(AL3:AQ3)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 s="11">
        <f>'By Round'!A157</f>
        <v/>
      </c>
      <c r="C4" s="11">
        <f>'By Round'!B159</f>
        <v/>
      </c>
      <c r="D4" s="11">
        <f>'By Round'!C159</f>
        <v/>
      </c>
      <c r="E4" s="11">
        <f>'By Round'!D159</f>
        <v/>
      </c>
      <c r="F4" s="11">
        <f>IF(ISBLANK('By Round'!F159),"",'By Round'!F159)</f>
        <v/>
      </c>
      <c r="G4">
        <f>IF(ISBLANK('By Round'!G159),"",'By Round'!G159)</f>
        <v/>
      </c>
      <c r="H4">
        <f>IF(ISBLANK('By Round'!H159),"",'By Round'!H159)</f>
        <v/>
      </c>
      <c r="I4">
        <f>IF(ISBLANK('By Round'!I159),"",'By Round'!I159)</f>
        <v/>
      </c>
      <c r="J4">
        <f>IF(ISBLANK('By Round'!J159),"",'By Round'!J159)</f>
        <v/>
      </c>
      <c r="K4">
        <f>IF(ISBLANK('By Round'!K159),"",'By Round'!K159)</f>
        <v/>
      </c>
      <c r="L4" s="12">
        <f>AVERAGE(AF4:AK4)</f>
        <v/>
      </c>
      <c r="M4" s="13">
        <f>AVERAGE(AL4:AQ4)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 s="11">
        <f>'By Round'!A129</f>
        <v/>
      </c>
      <c r="C5" s="11">
        <f>'By Round'!B135</f>
        <v/>
      </c>
      <c r="D5" s="11">
        <f>'By Round'!C135</f>
        <v/>
      </c>
      <c r="E5" s="11">
        <f>'By Round'!D135</f>
        <v/>
      </c>
      <c r="F5" s="11">
        <f>IF(ISBLANK('By Round'!F135),"",'By Round'!F135)</f>
        <v/>
      </c>
      <c r="G5">
        <f>IF(ISBLANK('By Round'!G135),"",'By Round'!G135)</f>
        <v/>
      </c>
      <c r="H5">
        <f>IF(ISBLANK('By Round'!H135),"",'By Round'!H135)</f>
        <v/>
      </c>
      <c r="I5">
        <f>IF(ISBLANK('By Round'!I135),"",'By Round'!I135)</f>
        <v/>
      </c>
      <c r="J5">
        <f>IF(ISBLANK('By Round'!J135),"",'By Round'!J135)</f>
        <v/>
      </c>
      <c r="K5">
        <f>IF(ISBLANK('By Round'!K135),"",'By Round'!K135)</f>
        <v/>
      </c>
      <c r="L5" s="12">
        <f>AVERAGE(AF5:AK5)</f>
        <v/>
      </c>
      <c r="M5" s="13">
        <f>AVERAGE(AL5:AQ5)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 s="11">
        <f>'By Round'!A31</f>
        <v/>
      </c>
      <c r="C6" s="11">
        <f>'By Round'!B43</f>
        <v/>
      </c>
      <c r="D6" s="11">
        <f>'By Round'!C43</f>
        <v/>
      </c>
      <c r="E6" s="11">
        <f>'By Round'!D43</f>
        <v/>
      </c>
      <c r="F6" s="11">
        <f>IF(ISBLANK('By Round'!F43),"",'By Round'!F43)</f>
        <v/>
      </c>
      <c r="G6">
        <f>IF(ISBLANK('By Round'!G43),"",'By Round'!G43)</f>
        <v/>
      </c>
      <c r="H6">
        <f>IF(ISBLANK('By Round'!H43),"",'By Round'!H43)</f>
        <v/>
      </c>
      <c r="I6">
        <f>IF(ISBLANK('By Round'!I43),"",'By Round'!I43)</f>
        <v/>
      </c>
      <c r="J6">
        <f>IF(ISBLANK('By Round'!J43),"",'By Round'!J43)</f>
        <v/>
      </c>
      <c r="K6">
        <f>IF(ISBLANK('By Round'!K43),"",'By Round'!K43)</f>
        <v/>
      </c>
      <c r="L6" s="12">
        <f>AVERAGE(AF6:AK6)</f>
        <v/>
      </c>
      <c r="M6" s="13">
        <f>AVERAGE(AL6:AQ6)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 s="11">
        <f>'By Round'!A59</f>
        <v/>
      </c>
      <c r="C7" s="11">
        <f>'By Round'!B67</f>
        <v/>
      </c>
      <c r="D7" s="11">
        <f>'By Round'!C67</f>
        <v/>
      </c>
      <c r="E7" s="11">
        <f>'By Round'!D67</f>
        <v/>
      </c>
      <c r="F7" s="11">
        <f>IF(ISBLANK('By Round'!F67),"",'By Round'!F67)</f>
        <v/>
      </c>
      <c r="G7">
        <f>IF(ISBLANK('By Round'!G67),"",'By Round'!G67)</f>
        <v/>
      </c>
      <c r="H7">
        <f>IF(ISBLANK('By Round'!H67),"",'By Round'!H67)</f>
        <v/>
      </c>
      <c r="I7">
        <f>IF(ISBLANK('By Round'!I67),"",'By Round'!I67)</f>
        <v/>
      </c>
      <c r="J7">
        <f>IF(ISBLANK('By Round'!J67),"",'By Round'!J67)</f>
        <v/>
      </c>
      <c r="K7">
        <f>IF(ISBLANK('By Round'!K67),"",'By Round'!K67)</f>
        <v/>
      </c>
      <c r="L7" s="12">
        <f>AVERAGE(AF7:AK7)</f>
        <v/>
      </c>
      <c r="M7" s="13">
        <f>AVERAGE(AL7:AQ7)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 s="11">
        <f>'By Round'!A45</f>
        <v/>
      </c>
      <c r="C8" s="11">
        <f>'By Round'!B55</f>
        <v/>
      </c>
      <c r="D8" s="11">
        <f>'By Round'!C55</f>
        <v/>
      </c>
      <c r="E8" s="11">
        <f>'By Round'!D55</f>
        <v/>
      </c>
      <c r="F8" s="11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 s="12">
        <f>AVERAGE(AF8:AK8)</f>
        <v/>
      </c>
      <c r="M8" s="13">
        <f>AVERAGE(AL8:AQ8)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6">
        <f>'By Round'!A143</f>
        <v/>
      </c>
      <c r="C9" s="16">
        <f>'By Round'!B147</f>
        <v/>
      </c>
      <c r="D9" s="16">
        <f>'By Round'!C147</f>
        <v/>
      </c>
      <c r="E9" s="16">
        <f>'By Round'!D147</f>
        <v/>
      </c>
      <c r="F9" s="16">
        <f>IF(ISBLANK('By Round'!F147),"",'By Round'!F147)</f>
        <v/>
      </c>
      <c r="G9" s="15">
        <f>IF(ISBLANK('By Round'!G147),"",'By Round'!G147)</f>
        <v/>
      </c>
      <c r="H9" s="15">
        <f>IF(ISBLANK('By Round'!H147),"",'By Round'!H147)</f>
        <v/>
      </c>
      <c r="I9" s="15">
        <f>IF(ISBLANK('By Round'!I147),"",'By Round'!I147)</f>
        <v/>
      </c>
      <c r="J9" s="15">
        <f>IF(ISBLANK('By Round'!J147),"",'By Round'!J147)</f>
        <v/>
      </c>
      <c r="K9" s="15">
        <f>IF(ISBLANK('By Round'!K147),"",'By Round'!K147)</f>
        <v/>
      </c>
      <c r="L9" s="17">
        <f>AVERAGE(AF9:AK9)</f>
        <v/>
      </c>
      <c r="M9" s="18">
        <f>AVERAGE(AL9:AQ9)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s="11" t="n">
        <v>2</v>
      </c>
      <c r="B10" s="11">
        <f>'By Round'!A3</f>
        <v/>
      </c>
      <c r="C10" s="11">
        <f>'By Round'!B3</f>
        <v/>
      </c>
      <c r="D10" s="11">
        <f>'By Round'!C3</f>
        <v/>
      </c>
      <c r="E10" s="11">
        <f>'By Round'!D3</f>
        <v/>
      </c>
      <c r="F10" s="11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 s="12">
        <f>AVERAGE(AF10:AK10)</f>
        <v/>
      </c>
      <c r="M10" s="13">
        <f>AVERAGE(AL10:AQ10)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 s="11">
        <f>'By Round'!A157</f>
        <v/>
      </c>
      <c r="C11" s="11">
        <f>'By Round'!B159</f>
        <v/>
      </c>
      <c r="D11" s="11">
        <f>'By Round'!C159</f>
        <v/>
      </c>
      <c r="E11" s="11">
        <f>'By Round'!D159</f>
        <v/>
      </c>
      <c r="F11" s="11">
        <f>IF(ISBLANK('By Round'!F160),"",'By Round'!F160)</f>
        <v/>
      </c>
      <c r="G11">
        <f>IF(ISBLANK('By Round'!G160),"",'By Round'!G160)</f>
        <v/>
      </c>
      <c r="H11">
        <f>IF(ISBLANK('By Round'!H160),"",'By Round'!H160)</f>
        <v/>
      </c>
      <c r="I11">
        <f>IF(ISBLANK('By Round'!I160),"",'By Round'!I160)</f>
        <v/>
      </c>
      <c r="J11">
        <f>IF(ISBLANK('By Round'!J160),"",'By Round'!J160)</f>
        <v/>
      </c>
      <c r="K11">
        <f>IF(ISBLANK('By Round'!K160),"",'By Round'!K160)</f>
        <v/>
      </c>
      <c r="L11" s="12">
        <f>AVERAGE(AF11:AK11)</f>
        <v/>
      </c>
      <c r="M11" s="13">
        <f>AVERAGE(AL11:AQ11)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 s="11">
        <f>'By Round'!A129</f>
        <v/>
      </c>
      <c r="C12" s="11">
        <f>'By Round'!B135</f>
        <v/>
      </c>
      <c r="D12" s="11">
        <f>'By Round'!C135</f>
        <v/>
      </c>
      <c r="E12" s="11">
        <f>'By Round'!D135</f>
        <v/>
      </c>
      <c r="F12" s="11">
        <f>IF(ISBLANK('By Round'!F136),"",'By Round'!F136)</f>
        <v/>
      </c>
      <c r="G12">
        <f>IF(ISBLANK('By Round'!G136),"",'By Round'!G136)</f>
        <v/>
      </c>
      <c r="H12">
        <f>IF(ISBLANK('By Round'!H136),"",'By Round'!H136)</f>
        <v/>
      </c>
      <c r="I12">
        <f>IF(ISBLANK('By Round'!I136),"",'By Round'!I136)</f>
        <v/>
      </c>
      <c r="J12">
        <f>IF(ISBLANK('By Round'!J136),"",'By Round'!J136)</f>
        <v/>
      </c>
      <c r="K12">
        <f>IF(ISBLANK('By Round'!K136),"",'By Round'!K136)</f>
        <v/>
      </c>
      <c r="L12" s="12">
        <f>AVERAGE(AF12:AK12)</f>
        <v/>
      </c>
      <c r="M12" s="13">
        <f>AVERAGE(AL12:AQ12)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 s="11">
        <f>'By Round'!A31</f>
        <v/>
      </c>
      <c r="C13" s="11">
        <f>'By Round'!B43</f>
        <v/>
      </c>
      <c r="D13" s="11">
        <f>'By Round'!C43</f>
        <v/>
      </c>
      <c r="E13" s="11">
        <f>'By Round'!D43</f>
        <v/>
      </c>
      <c r="F13" s="11">
        <f>IF(ISBLANK('By Round'!F44),"",'By Round'!F44)</f>
        <v/>
      </c>
      <c r="G13">
        <f>IF(ISBLANK('By Round'!G44),"",'By Round'!G44)</f>
        <v/>
      </c>
      <c r="H13">
        <f>IF(ISBLANK('By Round'!H44),"",'By Round'!H44)</f>
        <v/>
      </c>
      <c r="I13">
        <f>IF(ISBLANK('By Round'!I44),"",'By Round'!I44)</f>
        <v/>
      </c>
      <c r="J13">
        <f>IF(ISBLANK('By Round'!J44),"",'By Round'!J44)</f>
        <v/>
      </c>
      <c r="K13">
        <f>IF(ISBLANK('By Round'!K44),"",'By Round'!K44)</f>
        <v/>
      </c>
      <c r="L13" s="12">
        <f>AVERAGE(AF13:AK13)</f>
        <v/>
      </c>
      <c r="M13" s="13">
        <f>AVERAGE(AL13:AQ13)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 s="11">
        <f>'By Round'!A59</f>
        <v/>
      </c>
      <c r="C14" s="11">
        <f>'By Round'!B67</f>
        <v/>
      </c>
      <c r="D14" s="11">
        <f>'By Round'!C67</f>
        <v/>
      </c>
      <c r="E14" s="11">
        <f>'By Round'!D67</f>
        <v/>
      </c>
      <c r="F14" s="11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 s="12">
        <f>AVERAGE(AF14:AK14)</f>
        <v/>
      </c>
      <c r="M14" s="13">
        <f>AVERAGE(AL14:AQ14)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 s="11">
        <f>'By Round'!A45</f>
        <v/>
      </c>
      <c r="C15" s="11">
        <f>'By Round'!B55</f>
        <v/>
      </c>
      <c r="D15" s="11">
        <f>'By Round'!C55</f>
        <v/>
      </c>
      <c r="E15" s="11">
        <f>'By Round'!D55</f>
        <v/>
      </c>
      <c r="F15" s="11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 s="12">
        <f>AVERAGE(AF15:AK15)</f>
        <v/>
      </c>
      <c r="M15" s="13">
        <f>AVERAGE(AL15:AQ15)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6">
        <f>'By Round'!A143</f>
        <v/>
      </c>
      <c r="C16" s="16">
        <f>'By Round'!B147</f>
        <v/>
      </c>
      <c r="D16" s="16">
        <f>'By Round'!C147</f>
        <v/>
      </c>
      <c r="E16" s="16">
        <f>'By Round'!D147</f>
        <v/>
      </c>
      <c r="F16" s="16">
        <f>IF(ISBLANK('By Round'!F148),"",'By Round'!F148)</f>
        <v/>
      </c>
      <c r="G16" s="15">
        <f>IF(ISBLANK('By Round'!G148),"",'By Round'!G148)</f>
        <v/>
      </c>
      <c r="H16" s="15">
        <f>IF(ISBLANK('By Round'!H148),"",'By Round'!H148)</f>
        <v/>
      </c>
      <c r="I16" s="15">
        <f>IF(ISBLANK('By Round'!I148),"",'By Round'!I148)</f>
        <v/>
      </c>
      <c r="J16" s="15">
        <f>IF(ISBLANK('By Round'!J148),"",'By Round'!J148)</f>
        <v/>
      </c>
      <c r="K16" s="15">
        <f>IF(ISBLANK('By Round'!K148),"",'By Round'!K148)</f>
        <v/>
      </c>
      <c r="L16" s="17">
        <f>AVERAGE(AF16:AK16)</f>
        <v/>
      </c>
      <c r="M16" s="18">
        <f>AVERAGE(AL16:AQ16)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s="11" t="n">
        <v>3</v>
      </c>
      <c r="B17" s="11">
        <f>'By Round'!A17</f>
        <v/>
      </c>
      <c r="C17" s="11">
        <f>'By Round'!B17</f>
        <v/>
      </c>
      <c r="D17" s="11">
        <f>'By Round'!C17</f>
        <v/>
      </c>
      <c r="E17" s="11">
        <f>'By Round'!D17</f>
        <v/>
      </c>
      <c r="F17" s="11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AVERAGE(AF17:AK17)</f>
        <v/>
      </c>
      <c r="M17" s="13">
        <f>AVERAGE(AL17:AQ17)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 s="11">
        <f>'By Round'!A171</f>
        <v/>
      </c>
      <c r="C18" s="11">
        <f>'By Round'!B173</f>
        <v/>
      </c>
      <c r="D18" s="11">
        <f>'By Round'!C173</f>
        <v/>
      </c>
      <c r="E18" s="11">
        <f>'By Round'!D173</f>
        <v/>
      </c>
      <c r="F18" s="11">
        <f>IF(ISBLANK('By Round'!F173),"",'By Round'!F173)</f>
        <v/>
      </c>
      <c r="G18">
        <f>IF(ISBLANK('By Round'!G173),"",'By Round'!G173)</f>
        <v/>
      </c>
      <c r="H18">
        <f>IF(ISBLANK('By Round'!H173),"",'By Round'!H173)</f>
        <v/>
      </c>
      <c r="I18">
        <f>IF(ISBLANK('By Round'!I173),"",'By Round'!I173)</f>
        <v/>
      </c>
      <c r="J18">
        <f>IF(ISBLANK('By Round'!J173),"",'By Round'!J173)</f>
        <v/>
      </c>
      <c r="K18">
        <f>IF(ISBLANK('By Round'!K173),"",'By Round'!K173)</f>
        <v/>
      </c>
      <c r="L18" s="12">
        <f>AVERAGE(AF18:AK18)</f>
        <v/>
      </c>
      <c r="M18" s="13">
        <f>AVERAGE(AL18:AQ18)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 s="11">
        <f>'By Round'!A143</f>
        <v/>
      </c>
      <c r="C19" s="11">
        <f>'By Round'!B149</f>
        <v/>
      </c>
      <c r="D19" s="11">
        <f>'By Round'!C149</f>
        <v/>
      </c>
      <c r="E19" s="11">
        <f>'By Round'!D149</f>
        <v/>
      </c>
      <c r="F19" s="11">
        <f>IF(ISBLANK('By Round'!F149),"",'By Round'!F149)</f>
        <v/>
      </c>
      <c r="G19">
        <f>IF(ISBLANK('By Round'!G149),"",'By Round'!G149)</f>
        <v/>
      </c>
      <c r="H19">
        <f>IF(ISBLANK('By Round'!H149),"",'By Round'!H149)</f>
        <v/>
      </c>
      <c r="I19">
        <f>IF(ISBLANK('By Round'!I149),"",'By Round'!I149)</f>
        <v/>
      </c>
      <c r="J19">
        <f>IF(ISBLANK('By Round'!J149),"",'By Round'!J149)</f>
        <v/>
      </c>
      <c r="K19">
        <f>IF(ISBLANK('By Round'!K149),"",'By Round'!K149)</f>
        <v/>
      </c>
      <c r="L19" s="12">
        <f>AVERAGE(AF19:AK19)</f>
        <v/>
      </c>
      <c r="M19" s="13">
        <f>AVERAGE(AL19:AQ19)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 s="11">
        <f>'By Round'!A45</f>
        <v/>
      </c>
      <c r="C20" s="11">
        <f>'By Round'!B57</f>
        <v/>
      </c>
      <c r="D20" s="11">
        <f>'By Round'!C57</f>
        <v/>
      </c>
      <c r="E20" s="11">
        <f>'By Round'!D57</f>
        <v/>
      </c>
      <c r="F20" s="11">
        <f>IF(ISBLANK('By Round'!F57),"",'By Round'!F57)</f>
        <v/>
      </c>
      <c r="G20">
        <f>IF(ISBLANK('By Round'!G57),"",'By Round'!G57)</f>
        <v/>
      </c>
      <c r="H20">
        <f>IF(ISBLANK('By Round'!H57),"",'By Round'!H57)</f>
        <v/>
      </c>
      <c r="I20">
        <f>IF(ISBLANK('By Round'!I57),"",'By Round'!I57)</f>
        <v/>
      </c>
      <c r="J20">
        <f>IF(ISBLANK('By Round'!J57),"",'By Round'!J57)</f>
        <v/>
      </c>
      <c r="K20">
        <f>IF(ISBLANK('By Round'!K57),"",'By Round'!K57)</f>
        <v/>
      </c>
      <c r="L20" s="12">
        <f>AVERAGE(AF20:AK20)</f>
        <v/>
      </c>
      <c r="M20" s="13">
        <f>AVERAGE(AL20:AQ20)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 s="11">
        <f>'By Round'!A73</f>
        <v/>
      </c>
      <c r="C21" s="11">
        <f>'By Round'!B81</f>
        <v/>
      </c>
      <c r="D21" s="11">
        <f>'By Round'!C81</f>
        <v/>
      </c>
      <c r="E21" s="11">
        <f>'By Round'!D81</f>
        <v/>
      </c>
      <c r="F21" s="11">
        <f>IF(ISBLANK('By Round'!F81),"",'By Round'!F81)</f>
        <v/>
      </c>
      <c r="G21">
        <f>IF(ISBLANK('By Round'!G81),"",'By Round'!G81)</f>
        <v/>
      </c>
      <c r="H21">
        <f>IF(ISBLANK('By Round'!H81),"",'By Round'!H81)</f>
        <v/>
      </c>
      <c r="I21">
        <f>IF(ISBLANK('By Round'!I81),"",'By Round'!I81)</f>
        <v/>
      </c>
      <c r="J21">
        <f>IF(ISBLANK('By Round'!J81),"",'By Round'!J81)</f>
        <v/>
      </c>
      <c r="K21">
        <f>IF(ISBLANK('By Round'!K81),"",'By Round'!K81)</f>
        <v/>
      </c>
      <c r="L21" s="12">
        <f>AVERAGE(AF21:AK21)</f>
        <v/>
      </c>
      <c r="M21" s="13">
        <f>AVERAGE(AL21:AQ21)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 s="11">
        <f>'By Round'!A59</f>
        <v/>
      </c>
      <c r="C22" s="11">
        <f>'By Round'!B69</f>
        <v/>
      </c>
      <c r="D22" s="11">
        <f>'By Round'!C69</f>
        <v/>
      </c>
      <c r="E22" s="11">
        <f>'By Round'!D69</f>
        <v/>
      </c>
      <c r="F22" s="11">
        <f>IF(ISBLANK('By Round'!F69),"",'By Round'!F69)</f>
        <v/>
      </c>
      <c r="G22">
        <f>IF(ISBLANK('By Round'!G69),"",'By Round'!G69)</f>
        <v/>
      </c>
      <c r="H22">
        <f>IF(ISBLANK('By Round'!H69),"",'By Round'!H69)</f>
        <v/>
      </c>
      <c r="I22">
        <f>IF(ISBLANK('By Round'!I69),"",'By Round'!I69)</f>
        <v/>
      </c>
      <c r="J22">
        <f>IF(ISBLANK('By Round'!J69),"",'By Round'!J69)</f>
        <v/>
      </c>
      <c r="K22">
        <f>IF(ISBLANK('By Round'!K69),"",'By Round'!K69)</f>
        <v/>
      </c>
      <c r="L22" s="12">
        <f>AVERAGE(AF22:AK22)</f>
        <v/>
      </c>
      <c r="M22" s="13">
        <f>AVERAGE(AL22:AQ22)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6">
        <f>'By Round'!A157</f>
        <v/>
      </c>
      <c r="C23" s="16">
        <f>'By Round'!B161</f>
        <v/>
      </c>
      <c r="D23" s="16">
        <f>'By Round'!C161</f>
        <v/>
      </c>
      <c r="E23" s="16">
        <f>'By Round'!D161</f>
        <v/>
      </c>
      <c r="F23" s="16">
        <f>IF(ISBLANK('By Round'!F161),"",'By Round'!F161)</f>
        <v/>
      </c>
      <c r="G23" s="15">
        <f>IF(ISBLANK('By Round'!G161),"",'By Round'!G161)</f>
        <v/>
      </c>
      <c r="H23" s="15">
        <f>IF(ISBLANK('By Round'!H161),"",'By Round'!H161)</f>
        <v/>
      </c>
      <c r="I23" s="15">
        <f>IF(ISBLANK('By Round'!I161),"",'By Round'!I161)</f>
        <v/>
      </c>
      <c r="J23" s="15">
        <f>IF(ISBLANK('By Round'!J161),"",'By Round'!J161)</f>
        <v/>
      </c>
      <c r="K23" s="15">
        <f>IF(ISBLANK('By Round'!K161),"",'By Round'!K161)</f>
        <v/>
      </c>
      <c r="L23" s="17">
        <f>AVERAGE(AF23:AK23)</f>
        <v/>
      </c>
      <c r="M23" s="18">
        <f>AVERAGE(AL23:AQ23)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s="11" t="n">
        <v>4</v>
      </c>
      <c r="B24" s="11">
        <f>'By Round'!A17</f>
        <v/>
      </c>
      <c r="C24" s="11">
        <f>'By Round'!B17</f>
        <v/>
      </c>
      <c r="D24" s="11">
        <f>'By Round'!C17</f>
        <v/>
      </c>
      <c r="E24" s="11">
        <f>'By Round'!D17</f>
        <v/>
      </c>
      <c r="F24" s="11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 s="12">
        <f>AVERAGE(AF24:AK24)</f>
        <v/>
      </c>
      <c r="M24" s="13">
        <f>AVERAGE(AL24:AQ24)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 s="11">
        <f>'By Round'!A171</f>
        <v/>
      </c>
      <c r="C25" s="11">
        <f>'By Round'!B173</f>
        <v/>
      </c>
      <c r="D25" s="11">
        <f>'By Round'!C173</f>
        <v/>
      </c>
      <c r="E25" s="11">
        <f>'By Round'!D173</f>
        <v/>
      </c>
      <c r="F25" s="11">
        <f>IF(ISBLANK('By Round'!F174),"",'By Round'!F174)</f>
        <v/>
      </c>
      <c r="G25">
        <f>IF(ISBLANK('By Round'!G174),"",'By Round'!G174)</f>
        <v/>
      </c>
      <c r="H25">
        <f>IF(ISBLANK('By Round'!H174),"",'By Round'!H174)</f>
        <v/>
      </c>
      <c r="I25">
        <f>IF(ISBLANK('By Round'!I174),"",'By Round'!I174)</f>
        <v/>
      </c>
      <c r="J25">
        <f>IF(ISBLANK('By Round'!J174),"",'By Round'!J174)</f>
        <v/>
      </c>
      <c r="K25">
        <f>IF(ISBLANK('By Round'!K174),"",'By Round'!K174)</f>
        <v/>
      </c>
      <c r="L25" s="12">
        <f>AVERAGE(AF25:AK25)</f>
        <v/>
      </c>
      <c r="M25" s="13">
        <f>AVERAGE(AL25:AQ25)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 s="11">
        <f>'By Round'!A143</f>
        <v/>
      </c>
      <c r="C26" s="11">
        <f>'By Round'!B149</f>
        <v/>
      </c>
      <c r="D26" s="11">
        <f>'By Round'!C149</f>
        <v/>
      </c>
      <c r="E26" s="11">
        <f>'By Round'!D149</f>
        <v/>
      </c>
      <c r="F26" s="11">
        <f>IF(ISBLANK('By Round'!F150),"",'By Round'!F150)</f>
        <v/>
      </c>
      <c r="G26">
        <f>IF(ISBLANK('By Round'!G150),"",'By Round'!G150)</f>
        <v/>
      </c>
      <c r="H26">
        <f>IF(ISBLANK('By Round'!H150),"",'By Round'!H150)</f>
        <v/>
      </c>
      <c r="I26">
        <f>IF(ISBLANK('By Round'!I150),"",'By Round'!I150)</f>
        <v/>
      </c>
      <c r="J26">
        <f>IF(ISBLANK('By Round'!J150),"",'By Round'!J150)</f>
        <v/>
      </c>
      <c r="K26">
        <f>IF(ISBLANK('By Round'!K150),"",'By Round'!K150)</f>
        <v/>
      </c>
      <c r="L26" s="12">
        <f>AVERAGE(AF26:AK26)</f>
        <v/>
      </c>
      <c r="M26" s="13">
        <f>AVERAGE(AL26:AQ26)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 s="11">
        <f>'By Round'!A45</f>
        <v/>
      </c>
      <c r="C27" s="11">
        <f>'By Round'!B57</f>
        <v/>
      </c>
      <c r="D27" s="11">
        <f>'By Round'!C57</f>
        <v/>
      </c>
      <c r="E27" s="11">
        <f>'By Round'!D57</f>
        <v/>
      </c>
      <c r="F27" s="11">
        <f>IF(ISBLANK('By Round'!F58),"",'By Round'!F58)</f>
        <v/>
      </c>
      <c r="G27">
        <f>IF(ISBLANK('By Round'!G58),"",'By Round'!G58)</f>
        <v/>
      </c>
      <c r="H27">
        <f>IF(ISBLANK('By Round'!H58),"",'By Round'!H58)</f>
        <v/>
      </c>
      <c r="I27">
        <f>IF(ISBLANK('By Round'!I58),"",'By Round'!I58)</f>
        <v/>
      </c>
      <c r="J27">
        <f>IF(ISBLANK('By Round'!J58),"",'By Round'!J58)</f>
        <v/>
      </c>
      <c r="K27">
        <f>IF(ISBLANK('By Round'!K58),"",'By Round'!K58)</f>
        <v/>
      </c>
      <c r="L27" s="12">
        <f>AVERAGE(AF27:AK27)</f>
        <v/>
      </c>
      <c r="M27" s="13">
        <f>AVERAGE(AL27:AQ27)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 s="11">
        <f>'By Round'!A73</f>
        <v/>
      </c>
      <c r="C28" s="11">
        <f>'By Round'!B81</f>
        <v/>
      </c>
      <c r="D28" s="11">
        <f>'By Round'!C81</f>
        <v/>
      </c>
      <c r="E28" s="11">
        <f>'By Round'!D81</f>
        <v/>
      </c>
      <c r="F28" s="11">
        <f>IF(ISBLANK('By Round'!F82),"",'By Round'!F82)</f>
        <v/>
      </c>
      <c r="G28">
        <f>IF(ISBLANK('By Round'!G82),"",'By Round'!G82)</f>
        <v/>
      </c>
      <c r="H28">
        <f>IF(ISBLANK('By Round'!H82),"",'By Round'!H82)</f>
        <v/>
      </c>
      <c r="I28">
        <f>IF(ISBLANK('By Round'!I82),"",'By Round'!I82)</f>
        <v/>
      </c>
      <c r="J28">
        <f>IF(ISBLANK('By Round'!J82),"",'By Round'!J82)</f>
        <v/>
      </c>
      <c r="K28">
        <f>IF(ISBLANK('By Round'!K82),"",'By Round'!K82)</f>
        <v/>
      </c>
      <c r="L28" s="12">
        <f>AVERAGE(AF28:AK28)</f>
        <v/>
      </c>
      <c r="M28" s="13">
        <f>AVERAGE(AL28:AQ28)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 s="11">
        <f>'By Round'!A59</f>
        <v/>
      </c>
      <c r="C29" s="11">
        <f>'By Round'!B69</f>
        <v/>
      </c>
      <c r="D29" s="11">
        <f>'By Round'!C69</f>
        <v/>
      </c>
      <c r="E29" s="11">
        <f>'By Round'!D69</f>
        <v/>
      </c>
      <c r="F29" s="11">
        <f>IF(ISBLANK('By Round'!F70),"",'By Round'!F70)</f>
        <v/>
      </c>
      <c r="G29">
        <f>IF(ISBLANK('By Round'!G70),"",'By Round'!G70)</f>
        <v/>
      </c>
      <c r="H29">
        <f>IF(ISBLANK('By Round'!H70),"",'By Round'!H70)</f>
        <v/>
      </c>
      <c r="I29">
        <f>IF(ISBLANK('By Round'!I70),"",'By Round'!I70)</f>
        <v/>
      </c>
      <c r="J29">
        <f>IF(ISBLANK('By Round'!J70),"",'By Round'!J70)</f>
        <v/>
      </c>
      <c r="K29">
        <f>IF(ISBLANK('By Round'!K70),"",'By Round'!K70)</f>
        <v/>
      </c>
      <c r="L29" s="12">
        <f>AVERAGE(AF29:AK29)</f>
        <v/>
      </c>
      <c r="M29" s="13">
        <f>AVERAGE(AL29:AQ29)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6">
        <f>'By Round'!A157</f>
        <v/>
      </c>
      <c r="C30" s="16">
        <f>'By Round'!B161</f>
        <v/>
      </c>
      <c r="D30" s="16">
        <f>'By Round'!C161</f>
        <v/>
      </c>
      <c r="E30" s="16">
        <f>'By Round'!D161</f>
        <v/>
      </c>
      <c r="F30" s="16">
        <f>IF(ISBLANK('By Round'!F162),"",'By Round'!F162)</f>
        <v/>
      </c>
      <c r="G30" s="15">
        <f>IF(ISBLANK('By Round'!G162),"",'By Round'!G162)</f>
        <v/>
      </c>
      <c r="H30" s="15">
        <f>IF(ISBLANK('By Round'!H162),"",'By Round'!H162)</f>
        <v/>
      </c>
      <c r="I30" s="15">
        <f>IF(ISBLANK('By Round'!I162),"",'By Round'!I162)</f>
        <v/>
      </c>
      <c r="J30" s="15">
        <f>IF(ISBLANK('By Round'!J162),"",'By Round'!J162)</f>
        <v/>
      </c>
      <c r="K30" s="15">
        <f>IF(ISBLANK('By Round'!K162),"",'By Round'!K162)</f>
        <v/>
      </c>
      <c r="L30" s="17">
        <f>AVERAGE(AF30:AK30)</f>
        <v/>
      </c>
      <c r="M30" s="18">
        <f>AVERAGE(AL30:AQ30)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s="11" t="n">
        <v>5</v>
      </c>
      <c r="B31" s="11">
        <f>'By Round'!A31</f>
        <v/>
      </c>
      <c r="C31" s="11">
        <f>'By Round'!B31</f>
        <v/>
      </c>
      <c r="D31" s="11">
        <f>'By Round'!C31</f>
        <v/>
      </c>
      <c r="E31" s="11">
        <f>'By Round'!D31</f>
        <v/>
      </c>
      <c r="F31" s="11">
        <f>IF(ISBLANK('By Round'!F31),"",'By Round'!F31)</f>
        <v/>
      </c>
      <c r="G31">
        <f>IF(ISBLANK('By Round'!G31),"",'By Round'!G31)</f>
        <v/>
      </c>
      <c r="H31">
        <f>IF(ISBLANK('By Round'!H31),"",'By Round'!H31)</f>
        <v/>
      </c>
      <c r="I31">
        <f>IF(ISBLANK('By Round'!I31),"",'By Round'!I31)</f>
        <v/>
      </c>
      <c r="J31">
        <f>IF(ISBLANK('By Round'!J31),"",'By Round'!J31)</f>
        <v/>
      </c>
      <c r="K31">
        <f>IF(ISBLANK('By Round'!K31),"",'By Round'!K31)</f>
        <v/>
      </c>
      <c r="L31" s="12">
        <f>AVERAGE(AF31:AK31)</f>
        <v/>
      </c>
      <c r="M31" s="13">
        <f>AVERAGE(AL31:AQ31)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 s="11">
        <f>'By Round'!A171</f>
        <v/>
      </c>
      <c r="C32" s="11">
        <f>'By Round'!B175</f>
        <v/>
      </c>
      <c r="D32" s="11">
        <f>'By Round'!C175</f>
        <v/>
      </c>
      <c r="E32" s="11">
        <f>'By Round'!D175</f>
        <v/>
      </c>
      <c r="F32" s="11">
        <f>IF(ISBLANK('By Round'!F175),"",'By Round'!F175)</f>
        <v/>
      </c>
      <c r="G32">
        <f>IF(ISBLANK('By Round'!G175),"",'By Round'!G175)</f>
        <v/>
      </c>
      <c r="H32">
        <f>IF(ISBLANK('By Round'!H175),"",'By Round'!H175)</f>
        <v/>
      </c>
      <c r="I32">
        <f>IF(ISBLANK('By Round'!I175),"",'By Round'!I175)</f>
        <v/>
      </c>
      <c r="J32">
        <f>IF(ISBLANK('By Round'!J175),"",'By Round'!J175)</f>
        <v/>
      </c>
      <c r="K32">
        <f>IF(ISBLANK('By Round'!K175),"",'By Round'!K175)</f>
        <v/>
      </c>
      <c r="L32" s="12">
        <f>AVERAGE(AF32:AK32)</f>
        <v/>
      </c>
      <c r="M32" s="13">
        <f>AVERAGE(AL32:AQ32)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 s="11">
        <f>'By Round'!A3</f>
        <v/>
      </c>
      <c r="C33" s="11">
        <f>'By Round'!B5</f>
        <v/>
      </c>
      <c r="D33" s="11">
        <f>'By Round'!C5</f>
        <v/>
      </c>
      <c r="E33" s="11">
        <f>'By Round'!D5</f>
        <v/>
      </c>
      <c r="F33" s="11">
        <f>IF(ISBLANK('By Round'!F5),"",'By Round'!F5)</f>
        <v/>
      </c>
      <c r="G33">
        <f>IF(ISBLANK('By Round'!G5),"",'By Round'!G5)</f>
        <v/>
      </c>
      <c r="H33">
        <f>IF(ISBLANK('By Round'!H5),"",'By Round'!H5)</f>
        <v/>
      </c>
      <c r="I33">
        <f>IF(ISBLANK('By Round'!I5),"",'By Round'!I5)</f>
        <v/>
      </c>
      <c r="J33">
        <f>IF(ISBLANK('By Round'!J5),"",'By Round'!J5)</f>
        <v/>
      </c>
      <c r="K33">
        <f>IF(ISBLANK('By Round'!K5),"",'By Round'!K5)</f>
        <v/>
      </c>
      <c r="L33" s="12">
        <f>AVERAGE(AF33:AK33)</f>
        <v/>
      </c>
      <c r="M33" s="13">
        <f>AVERAGE(AL33:AQ33)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 s="11">
        <f>'By Round'!A157</f>
        <v/>
      </c>
      <c r="C34" s="11">
        <f>'By Round'!B163</f>
        <v/>
      </c>
      <c r="D34" s="11">
        <f>'By Round'!C163</f>
        <v/>
      </c>
      <c r="E34" s="11">
        <f>'By Round'!D163</f>
        <v/>
      </c>
      <c r="F34" s="11">
        <f>IF(ISBLANK('By Round'!F163),"",'By Round'!F163)</f>
        <v/>
      </c>
      <c r="G34">
        <f>IF(ISBLANK('By Round'!G163),"",'By Round'!G163)</f>
        <v/>
      </c>
      <c r="H34">
        <f>IF(ISBLANK('By Round'!H163),"",'By Round'!H163)</f>
        <v/>
      </c>
      <c r="I34">
        <f>IF(ISBLANK('By Round'!I163),"",'By Round'!I163)</f>
        <v/>
      </c>
      <c r="J34">
        <f>IF(ISBLANK('By Round'!J163),"",'By Round'!J163)</f>
        <v/>
      </c>
      <c r="K34">
        <f>IF(ISBLANK('By Round'!K163),"",'By Round'!K163)</f>
        <v/>
      </c>
      <c r="L34" s="12">
        <f>AVERAGE(AF34:AK34)</f>
        <v/>
      </c>
      <c r="M34" s="13">
        <f>AVERAGE(AL34:AQ34)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 s="11">
        <f>'By Round'!A59</f>
        <v/>
      </c>
      <c r="C35" s="11">
        <f>'By Round'!B71</f>
        <v/>
      </c>
      <c r="D35" s="11">
        <f>'By Round'!C71</f>
        <v/>
      </c>
      <c r="E35" s="11">
        <f>'By Round'!D71</f>
        <v/>
      </c>
      <c r="F35" s="11">
        <f>IF(ISBLANK('By Round'!F71),"",'By Round'!F71)</f>
        <v/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AVERAGE(AF35:AK35)</f>
        <v/>
      </c>
      <c r="M35" s="13">
        <f>AVERAGE(AL35:AQ35)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 s="11">
        <f>'By Round'!A87</f>
        <v/>
      </c>
      <c r="C36" s="11">
        <f>'By Round'!B95</f>
        <v/>
      </c>
      <c r="D36" s="11">
        <f>'By Round'!C95</f>
        <v/>
      </c>
      <c r="E36" s="11">
        <f>'By Round'!D95</f>
        <v/>
      </c>
      <c r="F36" s="11">
        <f>IF(ISBLANK('By Round'!F95),"",'By Round'!F95)</f>
        <v/>
      </c>
      <c r="G36">
        <f>IF(ISBLANK('By Round'!G95),"",'By Round'!G95)</f>
        <v/>
      </c>
      <c r="H36">
        <f>IF(ISBLANK('By Round'!H95),"",'By Round'!H95)</f>
        <v/>
      </c>
      <c r="I36">
        <f>IF(ISBLANK('By Round'!I95),"",'By Round'!I95)</f>
        <v/>
      </c>
      <c r="J36">
        <f>IF(ISBLANK('By Round'!J95),"",'By Round'!J95)</f>
        <v/>
      </c>
      <c r="K36">
        <f>IF(ISBLANK('By Round'!K95),"",'By Round'!K95)</f>
        <v/>
      </c>
      <c r="L36" s="12">
        <f>AVERAGE(AF36:AK36)</f>
        <v/>
      </c>
      <c r="M36" s="13">
        <f>AVERAGE(AL36:AQ36)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6">
        <f>'By Round'!A73</f>
        <v/>
      </c>
      <c r="C37" s="16">
        <f>'By Round'!B83</f>
        <v/>
      </c>
      <c r="D37" s="16">
        <f>'By Round'!C83</f>
        <v/>
      </c>
      <c r="E37" s="16">
        <f>'By Round'!D83</f>
        <v/>
      </c>
      <c r="F37" s="16">
        <f>IF(ISBLANK('By Round'!F83),"",'By Round'!F83)</f>
        <v/>
      </c>
      <c r="G37" s="15">
        <f>IF(ISBLANK('By Round'!G83),"",'By Round'!G83)</f>
        <v/>
      </c>
      <c r="H37" s="15">
        <f>IF(ISBLANK('By Round'!H83),"",'By Round'!H83)</f>
        <v/>
      </c>
      <c r="I37" s="15">
        <f>IF(ISBLANK('By Round'!I83),"",'By Round'!I83)</f>
        <v/>
      </c>
      <c r="J37" s="15">
        <f>IF(ISBLANK('By Round'!J83),"",'By Round'!J83)</f>
        <v/>
      </c>
      <c r="K37" s="15">
        <f>IF(ISBLANK('By Round'!K83),"",'By Round'!K83)</f>
        <v/>
      </c>
      <c r="L37" s="17">
        <f>AVERAGE(AF37:AK37)</f>
        <v/>
      </c>
      <c r="M37" s="18">
        <f>AVERAGE(AL37:AQ37)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s="11" t="n">
        <v>6</v>
      </c>
      <c r="B38" s="11">
        <f>'By Round'!A31</f>
        <v/>
      </c>
      <c r="C38" s="11">
        <f>'By Round'!B31</f>
        <v/>
      </c>
      <c r="D38" s="11">
        <f>'By Round'!C31</f>
        <v/>
      </c>
      <c r="E38" s="11">
        <f>'By Round'!D31</f>
        <v/>
      </c>
      <c r="F38" s="11">
        <f>IF(ISBLANK('By Round'!F32),"",'By Round'!F32)</f>
        <v/>
      </c>
      <c r="G38">
        <f>IF(ISBLANK('By Round'!G32),"",'By Round'!G32)</f>
        <v/>
      </c>
      <c r="H38">
        <f>IF(ISBLANK('By Round'!H32),"",'By Round'!H32)</f>
        <v/>
      </c>
      <c r="I38">
        <f>IF(ISBLANK('By Round'!I32),"",'By Round'!I32)</f>
        <v/>
      </c>
      <c r="J38">
        <f>IF(ISBLANK('By Round'!J32),"",'By Round'!J32)</f>
        <v/>
      </c>
      <c r="K38">
        <f>IF(ISBLANK('By Round'!K32),"",'By Round'!K32)</f>
        <v/>
      </c>
      <c r="L38" s="12">
        <f>AVERAGE(AF38:AK38)</f>
        <v/>
      </c>
      <c r="M38" s="13">
        <f>AVERAGE(AL38:AQ38)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 s="11">
        <f>'By Round'!A171</f>
        <v/>
      </c>
      <c r="C39" s="11">
        <f>'By Round'!B175</f>
        <v/>
      </c>
      <c r="D39" s="11">
        <f>'By Round'!C175</f>
        <v/>
      </c>
      <c r="E39" s="11">
        <f>'By Round'!D175</f>
        <v/>
      </c>
      <c r="F39" s="11">
        <f>IF(ISBLANK('By Round'!F176),"",'By Round'!F176)</f>
        <v/>
      </c>
      <c r="G39">
        <f>IF(ISBLANK('By Round'!G176),"",'By Round'!G176)</f>
        <v/>
      </c>
      <c r="H39">
        <f>IF(ISBLANK('By Round'!H176),"",'By Round'!H176)</f>
        <v/>
      </c>
      <c r="I39">
        <f>IF(ISBLANK('By Round'!I176),"",'By Round'!I176)</f>
        <v/>
      </c>
      <c r="J39">
        <f>IF(ISBLANK('By Round'!J176),"",'By Round'!J176)</f>
        <v/>
      </c>
      <c r="K39">
        <f>IF(ISBLANK('By Round'!K176),"",'By Round'!K176)</f>
        <v/>
      </c>
      <c r="L39" s="12">
        <f>AVERAGE(AF39:AK39)</f>
        <v/>
      </c>
      <c r="M39" s="13">
        <f>AVERAGE(AL39:AQ39)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 s="11">
        <f>'By Round'!A3</f>
        <v/>
      </c>
      <c r="C40" s="11">
        <f>'By Round'!B5</f>
        <v/>
      </c>
      <c r="D40" s="11">
        <f>'By Round'!C5</f>
        <v/>
      </c>
      <c r="E40" s="11">
        <f>'By Round'!D5</f>
        <v/>
      </c>
      <c r="F40" s="11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 s="12">
        <f>AVERAGE(AF40:AK40)</f>
        <v/>
      </c>
      <c r="M40" s="13">
        <f>AVERAGE(AL40:AQ40)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 s="11">
        <f>'By Round'!A157</f>
        <v/>
      </c>
      <c r="C41" s="11">
        <f>'By Round'!B163</f>
        <v/>
      </c>
      <c r="D41" s="11">
        <f>'By Round'!C163</f>
        <v/>
      </c>
      <c r="E41" s="11">
        <f>'By Round'!D163</f>
        <v/>
      </c>
      <c r="F41" s="11">
        <f>IF(ISBLANK('By Round'!F164),"",'By Round'!F164)</f>
        <v/>
      </c>
      <c r="G41">
        <f>IF(ISBLANK('By Round'!G164),"",'By Round'!G164)</f>
        <v/>
      </c>
      <c r="H41">
        <f>IF(ISBLANK('By Round'!H164),"",'By Round'!H164)</f>
        <v/>
      </c>
      <c r="I41">
        <f>IF(ISBLANK('By Round'!I164),"",'By Round'!I164)</f>
        <v/>
      </c>
      <c r="J41">
        <f>IF(ISBLANK('By Round'!J164),"",'By Round'!J164)</f>
        <v/>
      </c>
      <c r="K41">
        <f>IF(ISBLANK('By Round'!K164),"",'By Round'!K164)</f>
        <v/>
      </c>
      <c r="L41" s="12">
        <f>AVERAGE(AF41:AK41)</f>
        <v/>
      </c>
      <c r="M41" s="13">
        <f>AVERAGE(AL41:AQ41)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 s="11">
        <f>'By Round'!A59</f>
        <v/>
      </c>
      <c r="C42" s="11">
        <f>'By Round'!B71</f>
        <v/>
      </c>
      <c r="D42" s="11">
        <f>'By Round'!C71</f>
        <v/>
      </c>
      <c r="E42" s="11">
        <f>'By Round'!D71</f>
        <v/>
      </c>
      <c r="F42" s="11">
        <f>IF(ISBLANK('By Round'!F72),"",'By Round'!F72)</f>
        <v/>
      </c>
      <c r="G42">
        <f>IF(ISBLANK('By Round'!G72),"",'By Round'!G72)</f>
        <v/>
      </c>
      <c r="H42">
        <f>IF(ISBLANK('By Round'!H72),"",'By Round'!H72)</f>
        <v/>
      </c>
      <c r="I42">
        <f>IF(ISBLANK('By Round'!I72),"",'By Round'!I72)</f>
        <v/>
      </c>
      <c r="J42">
        <f>IF(ISBLANK('By Round'!J72),"",'By Round'!J72)</f>
        <v/>
      </c>
      <c r="K42">
        <f>IF(ISBLANK('By Round'!K72),"",'By Round'!K72)</f>
        <v/>
      </c>
      <c r="L42" s="12">
        <f>AVERAGE(AF42:AK42)</f>
        <v/>
      </c>
      <c r="M42" s="13">
        <f>AVERAGE(AL42:AQ42)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 s="11">
        <f>'By Round'!A87</f>
        <v/>
      </c>
      <c r="C43" s="11">
        <f>'By Round'!B95</f>
        <v/>
      </c>
      <c r="D43" s="11">
        <f>'By Round'!C95</f>
        <v/>
      </c>
      <c r="E43" s="11">
        <f>'By Round'!D95</f>
        <v/>
      </c>
      <c r="F43" s="11">
        <f>IF(ISBLANK('By Round'!F96),"",'By Round'!F96)</f>
        <v/>
      </c>
      <c r="G43">
        <f>IF(ISBLANK('By Round'!G96),"",'By Round'!G96)</f>
        <v/>
      </c>
      <c r="H43">
        <f>IF(ISBLANK('By Round'!H96),"",'By Round'!H96)</f>
        <v/>
      </c>
      <c r="I43">
        <f>IF(ISBLANK('By Round'!I96),"",'By Round'!I96)</f>
        <v/>
      </c>
      <c r="J43">
        <f>IF(ISBLANK('By Round'!J96),"",'By Round'!J96)</f>
        <v/>
      </c>
      <c r="K43">
        <f>IF(ISBLANK('By Round'!K96),"",'By Round'!K96)</f>
        <v/>
      </c>
      <c r="L43" s="12">
        <f>AVERAGE(AF43:AK43)</f>
        <v/>
      </c>
      <c r="M43" s="13">
        <f>AVERAGE(AL43:AQ43)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6">
        <f>'By Round'!A73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Round'!F84),"",'By Round'!F84)</f>
        <v/>
      </c>
      <c r="G44" s="15">
        <f>IF(ISBLANK('By Round'!G84),"",'By Round'!G84)</f>
        <v/>
      </c>
      <c r="H44" s="15">
        <f>IF(ISBLANK('By Round'!H84),"",'By Round'!H84)</f>
        <v/>
      </c>
      <c r="I44" s="15">
        <f>IF(ISBLANK('By Round'!I84),"",'By Round'!I84)</f>
        <v/>
      </c>
      <c r="J44" s="15">
        <f>IF(ISBLANK('By Round'!J84),"",'By Round'!J84)</f>
        <v/>
      </c>
      <c r="K44" s="15">
        <f>IF(ISBLANK('By Round'!K84),"",'By Round'!K84)</f>
        <v/>
      </c>
      <c r="L44" s="17">
        <f>AVERAGE(AF44:AK44)</f>
        <v/>
      </c>
      <c r="M44" s="18">
        <f>AVERAGE(AL44:AQ44)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s="11" t="n">
        <v>7</v>
      </c>
      <c r="B45" s="11">
        <f>'By Round'!A45</f>
        <v/>
      </c>
      <c r="C45" s="11">
        <f>'By Round'!B45</f>
        <v/>
      </c>
      <c r="D45" s="11">
        <f>'By Round'!C45</f>
        <v/>
      </c>
      <c r="E45" s="11">
        <f>'By Round'!D45</f>
        <v/>
      </c>
      <c r="F45" s="11">
        <f>IF(ISBLANK('By Round'!F45),"",'By Round'!F45)</f>
        <v/>
      </c>
      <c r="G45">
        <f>IF(ISBLANK('By Round'!G45),"",'By Round'!G45)</f>
        <v/>
      </c>
      <c r="H45">
        <f>IF(ISBLANK('By Round'!H45),"",'By Round'!H45)</f>
        <v/>
      </c>
      <c r="I45">
        <f>IF(ISBLANK('By Round'!I45),"",'By Round'!I45)</f>
        <v/>
      </c>
      <c r="J45">
        <f>IF(ISBLANK('By Round'!J45),"",'By Round'!J45)</f>
        <v/>
      </c>
      <c r="K45">
        <f>IF(ISBLANK('By Round'!K45),"",'By Round'!K45)</f>
        <v/>
      </c>
      <c r="L45" s="12">
        <f>AVERAGE(AF45:AK45)</f>
        <v/>
      </c>
      <c r="M45" s="13">
        <f>AVERAGE(AL45:AQ45)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 s="11">
        <f>'By Round'!A87</f>
        <v/>
      </c>
      <c r="C46" s="11">
        <f>'By Round'!B97</f>
        <v/>
      </c>
      <c r="D46" s="11">
        <f>'By Round'!C97</f>
        <v/>
      </c>
      <c r="E46" s="11">
        <f>'By Round'!D97</f>
        <v/>
      </c>
      <c r="F46" s="11">
        <f>IF(ISBLANK('By Round'!F97),"",'By Round'!F97)</f>
        <v/>
      </c>
      <c r="G46">
        <f>IF(ISBLANK('By Round'!G97),"",'By Round'!G97)</f>
        <v/>
      </c>
      <c r="H46">
        <f>IF(ISBLANK('By Round'!H97),"",'By Round'!H97)</f>
        <v/>
      </c>
      <c r="I46">
        <f>IF(ISBLANK('By Round'!I97),"",'By Round'!I97)</f>
        <v/>
      </c>
      <c r="J46">
        <f>IF(ISBLANK('By Round'!J97),"",'By Round'!J97)</f>
        <v/>
      </c>
      <c r="K46">
        <f>IF(ISBLANK('By Round'!K97),"",'By Round'!K97)</f>
        <v/>
      </c>
      <c r="L46" s="12">
        <f>AVERAGE(AF46:AK46)</f>
        <v/>
      </c>
      <c r="M46" s="13">
        <f>AVERAGE(AL46:AQ46)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 s="11">
        <f>'By Round'!A3</f>
        <v/>
      </c>
      <c r="C47" s="11">
        <f>'By Round'!B7</f>
        <v/>
      </c>
      <c r="D47" s="11">
        <f>'By Round'!C7</f>
        <v/>
      </c>
      <c r="E47" s="11">
        <f>'By Round'!D7</f>
        <v/>
      </c>
      <c r="F47" s="11">
        <f>IF(ISBLANK('By Round'!F7),"",'By Round'!F7)</f>
        <v/>
      </c>
      <c r="G47">
        <f>IF(ISBLANK('By Round'!G7),"",'By Round'!G7)</f>
        <v/>
      </c>
      <c r="H47">
        <f>IF(ISBLANK('By Round'!H7),"",'By Round'!H7)</f>
        <v/>
      </c>
      <c r="I47">
        <f>IF(ISBLANK('By Round'!I7),"",'By Round'!I7)</f>
        <v/>
      </c>
      <c r="J47">
        <f>IF(ISBLANK('By Round'!J7),"",'By Round'!J7)</f>
        <v/>
      </c>
      <c r="K47">
        <f>IF(ISBLANK('By Round'!K7),"",'By Round'!K7)</f>
        <v/>
      </c>
      <c r="L47" s="12">
        <f>AVERAGE(AF47:AK47)</f>
        <v/>
      </c>
      <c r="M47" s="13">
        <f>AVERAGE(AL47:AQ47)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 s="11">
        <f>'By Round'!A17</f>
        <v/>
      </c>
      <c r="C48" s="11">
        <f>'By Round'!B19</f>
        <v/>
      </c>
      <c r="D48" s="11">
        <f>'By Round'!C19</f>
        <v/>
      </c>
      <c r="E48" s="11">
        <f>'By Round'!D19</f>
        <v/>
      </c>
      <c r="F48" s="11">
        <f>IF(ISBLANK('By Round'!F19),"",'By Round'!F19)</f>
        <v/>
      </c>
      <c r="G48">
        <f>IF(ISBLANK('By Round'!G19),"",'By Round'!G19)</f>
        <v/>
      </c>
      <c r="H48">
        <f>IF(ISBLANK('By Round'!H19),"",'By Round'!H19)</f>
        <v/>
      </c>
      <c r="I48">
        <f>IF(ISBLANK('By Round'!I19),"",'By Round'!I19)</f>
        <v/>
      </c>
      <c r="J48">
        <f>IF(ISBLANK('By Round'!J19),"",'By Round'!J19)</f>
        <v/>
      </c>
      <c r="K48">
        <f>IF(ISBLANK('By Round'!K19),"",'By Round'!K19)</f>
        <v/>
      </c>
      <c r="L48" s="12">
        <f>AVERAGE(AF48:AK48)</f>
        <v/>
      </c>
      <c r="M48" s="13">
        <f>AVERAGE(AL48:AQ48)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 s="11">
        <f>'By Round'!A171</f>
        <v/>
      </c>
      <c r="C49" s="11">
        <f>'By Round'!B177</f>
        <v/>
      </c>
      <c r="D49" s="11">
        <f>'By Round'!C177</f>
        <v/>
      </c>
      <c r="E49" s="11">
        <f>'By Round'!D177</f>
        <v/>
      </c>
      <c r="F49" s="11">
        <f>IF(ISBLANK('By Round'!F177),"",'By Round'!F177)</f>
        <v/>
      </c>
      <c r="G49">
        <f>IF(ISBLANK('By Round'!G177),"",'By Round'!G177)</f>
        <v/>
      </c>
      <c r="H49">
        <f>IF(ISBLANK('By Round'!H177),"",'By Round'!H177)</f>
        <v/>
      </c>
      <c r="I49">
        <f>IF(ISBLANK('By Round'!I177),"",'By Round'!I177)</f>
        <v/>
      </c>
      <c r="J49">
        <f>IF(ISBLANK('By Round'!J177),"",'By Round'!J177)</f>
        <v/>
      </c>
      <c r="K49">
        <f>IF(ISBLANK('By Round'!K177),"",'By Round'!K177)</f>
        <v/>
      </c>
      <c r="L49" s="12">
        <f>AVERAGE(AF49:AK49)</f>
        <v/>
      </c>
      <c r="M49" s="13">
        <f>AVERAGE(AL49:AQ49)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 s="11">
        <f>'By Round'!A73</f>
        <v/>
      </c>
      <c r="C50" s="11">
        <f>'By Round'!B85</f>
        <v/>
      </c>
      <c r="D50" s="11">
        <f>'By Round'!C85</f>
        <v/>
      </c>
      <c r="E50" s="11">
        <f>'By Round'!D85</f>
        <v/>
      </c>
      <c r="F50" s="11">
        <f>IF(ISBLANK('By Round'!F85),"",'By Round'!F85)</f>
        <v/>
      </c>
      <c r="G50">
        <f>IF(ISBLANK('By Round'!G85),"",'By Round'!G85)</f>
        <v/>
      </c>
      <c r="H50">
        <f>IF(ISBLANK('By Round'!H85),"",'By Round'!H85)</f>
        <v/>
      </c>
      <c r="I50">
        <f>IF(ISBLANK('By Round'!I85),"",'By Round'!I85)</f>
        <v/>
      </c>
      <c r="J50">
        <f>IF(ISBLANK('By Round'!J85),"",'By Round'!J85)</f>
        <v/>
      </c>
      <c r="K50">
        <f>IF(ISBLANK('By Round'!K85),"",'By Round'!K85)</f>
        <v/>
      </c>
      <c r="L50" s="12">
        <f>AVERAGE(AF50:AK50)</f>
        <v/>
      </c>
      <c r="M50" s="13">
        <f>AVERAGE(AL50:AQ50)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6">
        <f>'By Round'!A101</f>
        <v/>
      </c>
      <c r="C51" s="16">
        <f>'By Round'!B109</f>
        <v/>
      </c>
      <c r="D51" s="16">
        <f>'By Round'!C109</f>
        <v/>
      </c>
      <c r="E51" s="16">
        <f>'By Round'!D109</f>
        <v/>
      </c>
      <c r="F51" s="16">
        <f>IF(ISBLANK('By Round'!F109),"",'By Round'!F109)</f>
        <v/>
      </c>
      <c r="G51" s="15">
        <f>IF(ISBLANK('By Round'!G109),"",'By Round'!G109)</f>
        <v/>
      </c>
      <c r="H51" s="15">
        <f>IF(ISBLANK('By Round'!H109),"",'By Round'!H109)</f>
        <v/>
      </c>
      <c r="I51" s="15">
        <f>IF(ISBLANK('By Round'!I109),"",'By Round'!I109)</f>
        <v/>
      </c>
      <c r="J51" s="15">
        <f>IF(ISBLANK('By Round'!J109),"",'By Round'!J109)</f>
        <v/>
      </c>
      <c r="K51" s="15">
        <f>IF(ISBLANK('By Round'!K109),"",'By Round'!K109)</f>
        <v/>
      </c>
      <c r="L51" s="17">
        <f>AVERAGE(AF51:AK51)</f>
        <v/>
      </c>
      <c r="M51" s="18">
        <f>AVERAGE(AL51:AQ51)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s="11" t="n">
        <v>8</v>
      </c>
      <c r="B52" s="11">
        <f>'By Round'!A45</f>
        <v/>
      </c>
      <c r="C52" s="11">
        <f>'By Round'!B45</f>
        <v/>
      </c>
      <c r="D52" s="11">
        <f>'By Round'!C45</f>
        <v/>
      </c>
      <c r="E52" s="11">
        <f>'By Round'!D45</f>
        <v/>
      </c>
      <c r="F52" s="11">
        <f>IF(ISBLANK('By Round'!F46),"",'By Round'!F46)</f>
        <v/>
      </c>
      <c r="G52">
        <f>IF(ISBLANK('By Round'!G46),"",'By Round'!G46)</f>
        <v/>
      </c>
      <c r="H52">
        <f>IF(ISBLANK('By Round'!H46),"",'By Round'!H46)</f>
        <v/>
      </c>
      <c r="I52">
        <f>IF(ISBLANK('By Round'!I46),"",'By Round'!I46)</f>
        <v/>
      </c>
      <c r="J52">
        <f>IF(ISBLANK('By Round'!J46),"",'By Round'!J46)</f>
        <v/>
      </c>
      <c r="K52">
        <f>IF(ISBLANK('By Round'!K46),"",'By Round'!K46)</f>
        <v/>
      </c>
      <c r="L52" s="12">
        <f>AVERAGE(AF52:AK52)</f>
        <v/>
      </c>
      <c r="M52" s="13">
        <f>AVERAGE(AL52:AQ52)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 s="11">
        <f>'By Round'!A87</f>
        <v/>
      </c>
      <c r="C53" s="11">
        <f>'By Round'!B97</f>
        <v/>
      </c>
      <c r="D53" s="11">
        <f>'By Round'!C97</f>
        <v/>
      </c>
      <c r="E53" s="11">
        <f>'By Round'!D97</f>
        <v/>
      </c>
      <c r="F53" s="11">
        <f>IF(ISBLANK('By Round'!F98),"",'By Round'!F98)</f>
        <v/>
      </c>
      <c r="G53">
        <f>IF(ISBLANK('By Round'!G98),"",'By Round'!G98)</f>
        <v/>
      </c>
      <c r="H53">
        <f>IF(ISBLANK('By Round'!H98),"",'By Round'!H98)</f>
        <v/>
      </c>
      <c r="I53">
        <f>IF(ISBLANK('By Round'!I98),"",'By Round'!I98)</f>
        <v/>
      </c>
      <c r="J53">
        <f>IF(ISBLANK('By Round'!J98),"",'By Round'!J98)</f>
        <v/>
      </c>
      <c r="K53">
        <f>IF(ISBLANK('By Round'!K98),"",'By Round'!K98)</f>
        <v/>
      </c>
      <c r="L53" s="12">
        <f>AVERAGE(AF53:AK53)</f>
        <v/>
      </c>
      <c r="M53" s="13">
        <f>AVERAGE(AL53:AQ53)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 s="11">
        <f>'By Round'!A3</f>
        <v/>
      </c>
      <c r="C54" s="11">
        <f>'By Round'!B7</f>
        <v/>
      </c>
      <c r="D54" s="11">
        <f>'By Round'!C7</f>
        <v/>
      </c>
      <c r="E54" s="11">
        <f>'By Round'!D7</f>
        <v/>
      </c>
      <c r="F54" s="11">
        <f>IF(ISBLANK('By Round'!F8),"",'By Round'!F8)</f>
        <v/>
      </c>
      <c r="G54">
        <f>IF(ISBLANK('By Round'!G8),"",'By Round'!G8)</f>
        <v/>
      </c>
      <c r="H54">
        <f>IF(ISBLANK('By Round'!H8),"",'By Round'!H8)</f>
        <v/>
      </c>
      <c r="I54">
        <f>IF(ISBLANK('By Round'!I8),"",'By Round'!I8)</f>
        <v/>
      </c>
      <c r="J54">
        <f>IF(ISBLANK('By Round'!J8),"",'By Round'!J8)</f>
        <v/>
      </c>
      <c r="K54">
        <f>IF(ISBLANK('By Round'!K8),"",'By Round'!K8)</f>
        <v/>
      </c>
      <c r="L54" s="12">
        <f>AVERAGE(AF54:AK54)</f>
        <v/>
      </c>
      <c r="M54" s="13">
        <f>AVERAGE(AL54:AQ54)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 s="11">
        <f>'By Round'!A17</f>
        <v/>
      </c>
      <c r="C55" s="11">
        <f>'By Round'!B19</f>
        <v/>
      </c>
      <c r="D55" s="11">
        <f>'By Round'!C19</f>
        <v/>
      </c>
      <c r="E55" s="11">
        <f>'By Round'!D19</f>
        <v/>
      </c>
      <c r="F55" s="11">
        <f>IF(ISBLANK('By Round'!F20),"",'By Round'!F20)</f>
        <v/>
      </c>
      <c r="G55">
        <f>IF(ISBLANK('By Round'!G20),"",'By Round'!G20)</f>
        <v/>
      </c>
      <c r="H55">
        <f>IF(ISBLANK('By Round'!H20),"",'By Round'!H20)</f>
        <v/>
      </c>
      <c r="I55">
        <f>IF(ISBLANK('By Round'!I20),"",'By Round'!I20)</f>
        <v/>
      </c>
      <c r="J55">
        <f>IF(ISBLANK('By Round'!J20),"",'By Round'!J20)</f>
        <v/>
      </c>
      <c r="K55">
        <f>IF(ISBLANK('By Round'!K20),"",'By Round'!K20)</f>
        <v/>
      </c>
      <c r="L55" s="12">
        <f>AVERAGE(AF55:AK55)</f>
        <v/>
      </c>
      <c r="M55" s="13">
        <f>AVERAGE(AL55:AQ55)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 s="11">
        <f>'By Round'!A171</f>
        <v/>
      </c>
      <c r="C56" s="11">
        <f>'By Round'!B177</f>
        <v/>
      </c>
      <c r="D56" s="11">
        <f>'By Round'!C177</f>
        <v/>
      </c>
      <c r="E56" s="11">
        <f>'By Round'!D177</f>
        <v/>
      </c>
      <c r="F56" s="11">
        <f>IF(ISBLANK('By Round'!F178),"",'By Round'!F178)</f>
        <v/>
      </c>
      <c r="G56">
        <f>IF(ISBLANK('By Round'!G178),"",'By Round'!G178)</f>
        <v/>
      </c>
      <c r="H56">
        <f>IF(ISBLANK('By Round'!H178),"",'By Round'!H178)</f>
        <v/>
      </c>
      <c r="I56">
        <f>IF(ISBLANK('By Round'!I178),"",'By Round'!I178)</f>
        <v/>
      </c>
      <c r="J56">
        <f>IF(ISBLANK('By Round'!J178),"",'By Round'!J178)</f>
        <v/>
      </c>
      <c r="K56">
        <f>IF(ISBLANK('By Round'!K178),"",'By Round'!K178)</f>
        <v/>
      </c>
      <c r="L56" s="12">
        <f>AVERAGE(AF56:AK56)</f>
        <v/>
      </c>
      <c r="M56" s="13">
        <f>AVERAGE(AL56:AQ56)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 s="11">
        <f>'By Round'!A73</f>
        <v/>
      </c>
      <c r="C57" s="11">
        <f>'By Round'!B85</f>
        <v/>
      </c>
      <c r="D57" s="11">
        <f>'By Round'!C85</f>
        <v/>
      </c>
      <c r="E57" s="11">
        <f>'By Round'!D85</f>
        <v/>
      </c>
      <c r="F57" s="11">
        <f>IF(ISBLANK('By Round'!F86),"",'By Round'!F86)</f>
        <v/>
      </c>
      <c r="G57">
        <f>IF(ISBLANK('By Round'!G86),"",'By Round'!G86)</f>
        <v/>
      </c>
      <c r="H57">
        <f>IF(ISBLANK('By Round'!H86),"",'By Round'!H86)</f>
        <v/>
      </c>
      <c r="I57">
        <f>IF(ISBLANK('By Round'!I86),"",'By Round'!I86)</f>
        <v/>
      </c>
      <c r="J57">
        <f>IF(ISBLANK('By Round'!J86),"",'By Round'!J86)</f>
        <v/>
      </c>
      <c r="K57">
        <f>IF(ISBLANK('By Round'!K86),"",'By Round'!K86)</f>
        <v/>
      </c>
      <c r="L57" s="12">
        <f>AVERAGE(AF57:AK57)</f>
        <v/>
      </c>
      <c r="M57" s="13">
        <f>AVERAGE(AL57:AQ57)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6">
        <f>'By Round'!A101</f>
        <v/>
      </c>
      <c r="C58" s="16">
        <f>'By Round'!B109</f>
        <v/>
      </c>
      <c r="D58" s="16">
        <f>'By Round'!C109</f>
        <v/>
      </c>
      <c r="E58" s="16">
        <f>'By Round'!D109</f>
        <v/>
      </c>
      <c r="F58" s="16">
        <f>IF(ISBLANK('By Round'!F110),"",'By Round'!F110)</f>
        <v/>
      </c>
      <c r="G58" s="15">
        <f>IF(ISBLANK('By Round'!G110),"",'By Round'!G110)</f>
        <v/>
      </c>
      <c r="H58" s="15">
        <f>IF(ISBLANK('By Round'!H110),"",'By Round'!H110)</f>
        <v/>
      </c>
      <c r="I58" s="15">
        <f>IF(ISBLANK('By Round'!I110),"",'By Round'!I110)</f>
        <v/>
      </c>
      <c r="J58" s="15">
        <f>IF(ISBLANK('By Round'!J110),"",'By Round'!J110)</f>
        <v/>
      </c>
      <c r="K58" s="15">
        <f>IF(ISBLANK('By Round'!K110),"",'By Round'!K110)</f>
        <v/>
      </c>
      <c r="L58" s="17">
        <f>AVERAGE(AF58:AK58)</f>
        <v/>
      </c>
      <c r="M58" s="18">
        <f>AVERAGE(AL58:AQ58)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s="11" t="n">
        <v>9</v>
      </c>
      <c r="B59" s="11">
        <f>'By Round'!A59</f>
        <v/>
      </c>
      <c r="C59" s="11">
        <f>'By Round'!B59</f>
        <v/>
      </c>
      <c r="D59" s="11">
        <f>'By Round'!C59</f>
        <v/>
      </c>
      <c r="E59" s="11">
        <f>'By Round'!D59</f>
        <v/>
      </c>
      <c r="F59" s="11">
        <f>IF(ISBLANK('By Round'!F59),"",'By Round'!F59)</f>
        <v/>
      </c>
      <c r="G59">
        <f>IF(ISBLANK('By Round'!G59),"",'By Round'!G59)</f>
        <v/>
      </c>
      <c r="H59">
        <f>IF(ISBLANK('By Round'!H59),"",'By Round'!H59)</f>
        <v/>
      </c>
      <c r="I59">
        <f>IF(ISBLANK('By Round'!I59),"",'By Round'!I59)</f>
        <v/>
      </c>
      <c r="J59">
        <f>IF(ISBLANK('By Round'!J59),"",'By Round'!J59)</f>
        <v/>
      </c>
      <c r="K59">
        <f>IF(ISBLANK('By Round'!K59),"",'By Round'!K59)</f>
        <v/>
      </c>
      <c r="L59" s="12">
        <f>AVERAGE(AF59:AK59)</f>
        <v/>
      </c>
      <c r="M59" s="13">
        <f>AVERAGE(AL59:AQ59)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 s="11">
        <f>'By Round'!A115</f>
        <v/>
      </c>
      <c r="C60" s="11">
        <f>'By Round'!B123</f>
        <v/>
      </c>
      <c r="D60" s="11">
        <f>'By Round'!C123</f>
        <v/>
      </c>
      <c r="E60" s="11">
        <f>'By Round'!D123</f>
        <v/>
      </c>
      <c r="F60" s="11">
        <f>IF(ISBLANK('By Round'!F123),"",'By Round'!F123)</f>
        <v/>
      </c>
      <c r="G60">
        <f>IF(ISBLANK('By Round'!G123),"",'By Round'!G123)</f>
        <v/>
      </c>
      <c r="H60">
        <f>IF(ISBLANK('By Round'!H123),"",'By Round'!H123)</f>
        <v/>
      </c>
      <c r="I60">
        <f>IF(ISBLANK('By Round'!I123),"",'By Round'!I123)</f>
        <v/>
      </c>
      <c r="J60">
        <f>IF(ISBLANK('By Round'!J123),"",'By Round'!J123)</f>
        <v/>
      </c>
      <c r="K60">
        <f>IF(ISBLANK('By Round'!K123),"",'By Round'!K123)</f>
        <v/>
      </c>
      <c r="L60" s="12">
        <f>AVERAGE(AF60:AK60)</f>
        <v/>
      </c>
      <c r="M60" s="13">
        <f>AVERAGE(AL60:AQ60)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 s="11">
        <f>'By Round'!A101</f>
        <v/>
      </c>
      <c r="C61" s="11">
        <f>'By Round'!B111</f>
        <v/>
      </c>
      <c r="D61" s="11">
        <f>'By Round'!C111</f>
        <v/>
      </c>
      <c r="E61" s="11">
        <f>'By Round'!D111</f>
        <v/>
      </c>
      <c r="F61" s="11">
        <f>IF(ISBLANK('By Round'!F111),"",'By Round'!F111)</f>
        <v/>
      </c>
      <c r="G61">
        <f>IF(ISBLANK('By Round'!G111),"",'By Round'!G111)</f>
        <v/>
      </c>
      <c r="H61">
        <f>IF(ISBLANK('By Round'!H111),"",'By Round'!H111)</f>
        <v/>
      </c>
      <c r="I61">
        <f>IF(ISBLANK('By Round'!I111),"",'By Round'!I111)</f>
        <v/>
      </c>
      <c r="J61">
        <f>IF(ISBLANK('By Round'!J111),"",'By Round'!J111)</f>
        <v/>
      </c>
      <c r="K61">
        <f>IF(ISBLANK('By Round'!K111),"",'By Round'!K111)</f>
        <v/>
      </c>
      <c r="L61" s="12">
        <f>AVERAGE(AF61:AK61)</f>
        <v/>
      </c>
      <c r="M61" s="13">
        <f>AVERAGE(AL61:AQ61)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 s="11">
        <f>'By Round'!A17</f>
        <v/>
      </c>
      <c r="C62" s="11">
        <f>'By Round'!B21</f>
        <v/>
      </c>
      <c r="D62" s="11">
        <f>'By Round'!C21</f>
        <v/>
      </c>
      <c r="E62" s="11">
        <f>'By Round'!D21</f>
        <v/>
      </c>
      <c r="F62" s="11">
        <f>IF(ISBLANK('By Round'!F21),"",'By Round'!F21)</f>
        <v/>
      </c>
      <c r="G62">
        <f>IF(ISBLANK('By Round'!G21),"",'By Round'!G21)</f>
        <v/>
      </c>
      <c r="H62">
        <f>IF(ISBLANK('By Round'!H21),"",'By Round'!H21)</f>
        <v/>
      </c>
      <c r="I62">
        <f>IF(ISBLANK('By Round'!I21),"",'By Round'!I21)</f>
        <v/>
      </c>
      <c r="J62">
        <f>IF(ISBLANK('By Round'!J21),"",'By Round'!J21)</f>
        <v/>
      </c>
      <c r="K62">
        <f>IF(ISBLANK('By Round'!K21),"",'By Round'!K21)</f>
        <v/>
      </c>
      <c r="L62" s="12">
        <f>AVERAGE(AF62:AK62)</f>
        <v/>
      </c>
      <c r="M62" s="13">
        <f>AVERAGE(AL62:AQ62)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 s="11">
        <f>'By Round'!A31</f>
        <v/>
      </c>
      <c r="C63" s="11">
        <f>'By Round'!B33</f>
        <v/>
      </c>
      <c r="D63" s="11">
        <f>'By Round'!C33</f>
        <v/>
      </c>
      <c r="E63" s="11">
        <f>'By Round'!D33</f>
        <v/>
      </c>
      <c r="F63" s="11">
        <f>IF(ISBLANK('By Round'!F33),"",'By Round'!F33)</f>
        <v/>
      </c>
      <c r="G63">
        <f>IF(ISBLANK('By Round'!G33),"",'By Round'!G33)</f>
        <v/>
      </c>
      <c r="H63">
        <f>IF(ISBLANK('By Round'!H33),"",'By Round'!H33)</f>
        <v/>
      </c>
      <c r="I63">
        <f>IF(ISBLANK('By Round'!I33),"",'By Round'!I33)</f>
        <v/>
      </c>
      <c r="J63">
        <f>IF(ISBLANK('By Round'!J33),"",'By Round'!J33)</f>
        <v/>
      </c>
      <c r="K63">
        <f>IF(ISBLANK('By Round'!K33),"",'By Round'!K33)</f>
        <v/>
      </c>
      <c r="L63" s="12">
        <f>AVERAGE(AF63:AK63)</f>
        <v/>
      </c>
      <c r="M63" s="13">
        <f>AVERAGE(AL63:AQ63)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 s="11">
        <f>'By Round'!A3</f>
        <v/>
      </c>
      <c r="C64" s="11">
        <f>'By Round'!B9</f>
        <v/>
      </c>
      <c r="D64" s="11">
        <f>'By Round'!C9</f>
        <v/>
      </c>
      <c r="E64" s="11">
        <f>'By Round'!D9</f>
        <v/>
      </c>
      <c r="F64" s="11">
        <f>IF(ISBLANK('By Round'!F9),"",'By Round'!F9)</f>
        <v/>
      </c>
      <c r="G64">
        <f>IF(ISBLANK('By Round'!G9),"",'By Round'!G9)</f>
        <v/>
      </c>
      <c r="H64">
        <f>IF(ISBLANK('By Round'!H9),"",'By Round'!H9)</f>
        <v/>
      </c>
      <c r="I64">
        <f>IF(ISBLANK('By Round'!I9),"",'By Round'!I9)</f>
        <v/>
      </c>
      <c r="J64">
        <f>IF(ISBLANK('By Round'!J9),"",'By Round'!J9)</f>
        <v/>
      </c>
      <c r="K64">
        <f>IF(ISBLANK('By Round'!K9),"",'By Round'!K9)</f>
        <v/>
      </c>
      <c r="L64" s="12">
        <f>AVERAGE(AF64:AK64)</f>
        <v/>
      </c>
      <c r="M64" s="13">
        <f>AVERAGE(AL64:AQ64)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6">
        <f>'By Round'!A87</f>
        <v/>
      </c>
      <c r="C65" s="16">
        <f>'By Round'!B99</f>
        <v/>
      </c>
      <c r="D65" s="16">
        <f>'By Round'!C99</f>
        <v/>
      </c>
      <c r="E65" s="16">
        <f>'By Round'!D99</f>
        <v/>
      </c>
      <c r="F65" s="16">
        <f>IF(ISBLANK('By Round'!F99),"",'By Round'!F99)</f>
        <v/>
      </c>
      <c r="G65" s="15">
        <f>IF(ISBLANK('By Round'!G99),"",'By Round'!G99)</f>
        <v/>
      </c>
      <c r="H65" s="15">
        <f>IF(ISBLANK('By Round'!H99),"",'By Round'!H99)</f>
        <v/>
      </c>
      <c r="I65" s="15">
        <f>IF(ISBLANK('By Round'!I99),"",'By Round'!I99)</f>
        <v/>
      </c>
      <c r="J65" s="15">
        <f>IF(ISBLANK('By Round'!J99),"",'By Round'!J99)</f>
        <v/>
      </c>
      <c r="K65" s="15">
        <f>IF(ISBLANK('By Round'!K99),"",'By Round'!K99)</f>
        <v/>
      </c>
      <c r="L65" s="17">
        <f>AVERAGE(AF65:AK65)</f>
        <v/>
      </c>
      <c r="M65" s="18">
        <f>AVERAGE(AL65:AQ65)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s="11" t="n">
        <v>10</v>
      </c>
      <c r="B66" s="11">
        <f>'By Round'!A59</f>
        <v/>
      </c>
      <c r="C66" s="11">
        <f>'By Round'!B59</f>
        <v/>
      </c>
      <c r="D66" s="11">
        <f>'By Round'!C59</f>
        <v/>
      </c>
      <c r="E66" s="11">
        <f>'By Round'!D59</f>
        <v/>
      </c>
      <c r="F66" s="11">
        <f>IF(ISBLANK('By Round'!F60),"",'By Round'!F60)</f>
        <v/>
      </c>
      <c r="G66">
        <f>IF(ISBLANK('By Round'!G60),"",'By Round'!G60)</f>
        <v/>
      </c>
      <c r="H66">
        <f>IF(ISBLANK('By Round'!H60),"",'By Round'!H60)</f>
        <v/>
      </c>
      <c r="I66">
        <f>IF(ISBLANK('By Round'!I60),"",'By Round'!I60)</f>
        <v/>
      </c>
      <c r="J66">
        <f>IF(ISBLANK('By Round'!J60),"",'By Round'!J60)</f>
        <v/>
      </c>
      <c r="K66">
        <f>IF(ISBLANK('By Round'!K60),"",'By Round'!K60)</f>
        <v/>
      </c>
      <c r="L66" s="12">
        <f>AVERAGE(AF66:AK66)</f>
        <v/>
      </c>
      <c r="M66" s="13">
        <f>AVERAGE(AL66:AQ66)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 s="11">
        <f>'By Round'!A115</f>
        <v/>
      </c>
      <c r="C67" s="11">
        <f>'By Round'!B123</f>
        <v/>
      </c>
      <c r="D67" s="11">
        <f>'By Round'!C123</f>
        <v/>
      </c>
      <c r="E67" s="11">
        <f>'By Round'!D123</f>
        <v/>
      </c>
      <c r="F67" s="11">
        <f>IF(ISBLANK('By Round'!F124),"",'By Round'!F124)</f>
        <v/>
      </c>
      <c r="G67">
        <f>IF(ISBLANK('By Round'!G124),"",'By Round'!G124)</f>
        <v/>
      </c>
      <c r="H67">
        <f>IF(ISBLANK('By Round'!H124),"",'By Round'!H124)</f>
        <v/>
      </c>
      <c r="I67">
        <f>IF(ISBLANK('By Round'!I124),"",'By Round'!I124)</f>
        <v/>
      </c>
      <c r="J67">
        <f>IF(ISBLANK('By Round'!J124),"",'By Round'!J124)</f>
        <v/>
      </c>
      <c r="K67">
        <f>IF(ISBLANK('By Round'!K124),"",'By Round'!K124)</f>
        <v/>
      </c>
      <c r="L67" s="12">
        <f>AVERAGE(AF67:AK67)</f>
        <v/>
      </c>
      <c r="M67" s="13">
        <f>AVERAGE(AL67:AQ67)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 s="11">
        <f>'By Round'!A101</f>
        <v/>
      </c>
      <c r="C68" s="11">
        <f>'By Round'!B111</f>
        <v/>
      </c>
      <c r="D68" s="11">
        <f>'By Round'!C111</f>
        <v/>
      </c>
      <c r="E68" s="11">
        <f>'By Round'!D111</f>
        <v/>
      </c>
      <c r="F68" s="11">
        <f>IF(ISBLANK('By Round'!F112),"",'By Round'!F112)</f>
        <v/>
      </c>
      <c r="G68">
        <f>IF(ISBLANK('By Round'!G112),"",'By Round'!G112)</f>
        <v/>
      </c>
      <c r="H68">
        <f>IF(ISBLANK('By Round'!H112),"",'By Round'!H112)</f>
        <v/>
      </c>
      <c r="I68">
        <f>IF(ISBLANK('By Round'!I112),"",'By Round'!I112)</f>
        <v/>
      </c>
      <c r="J68">
        <f>IF(ISBLANK('By Round'!J112),"",'By Round'!J112)</f>
        <v/>
      </c>
      <c r="K68">
        <f>IF(ISBLANK('By Round'!K112),"",'By Round'!K112)</f>
        <v/>
      </c>
      <c r="L68" s="12">
        <f>AVERAGE(AF68:AK68)</f>
        <v/>
      </c>
      <c r="M68" s="13">
        <f>AVERAGE(AL68:AQ68)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 s="11">
        <f>'By Round'!A17</f>
        <v/>
      </c>
      <c r="C69" s="11">
        <f>'By Round'!B21</f>
        <v/>
      </c>
      <c r="D69" s="11">
        <f>'By Round'!C21</f>
        <v/>
      </c>
      <c r="E69" s="11">
        <f>'By Round'!D21</f>
        <v/>
      </c>
      <c r="F69" s="11">
        <f>IF(ISBLANK('By Round'!F22),"",'By Round'!F22)</f>
        <v/>
      </c>
      <c r="G69">
        <f>IF(ISBLANK('By Round'!G22),"",'By Round'!G22)</f>
        <v/>
      </c>
      <c r="H69">
        <f>IF(ISBLANK('By Round'!H22),"",'By Round'!H22)</f>
        <v/>
      </c>
      <c r="I69">
        <f>IF(ISBLANK('By Round'!I22),"",'By Round'!I22)</f>
        <v/>
      </c>
      <c r="J69">
        <f>IF(ISBLANK('By Round'!J22),"",'By Round'!J22)</f>
        <v/>
      </c>
      <c r="K69">
        <f>IF(ISBLANK('By Round'!K22),"",'By Round'!K22)</f>
        <v/>
      </c>
      <c r="L69" s="12">
        <f>AVERAGE(AF69:AK69)</f>
        <v/>
      </c>
      <c r="M69" s="13">
        <f>AVERAGE(AL69:AQ69)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 s="11">
        <f>'By Round'!A31</f>
        <v/>
      </c>
      <c r="C70" s="11">
        <f>'By Round'!B33</f>
        <v/>
      </c>
      <c r="D70" s="11">
        <f>'By Round'!C33</f>
        <v/>
      </c>
      <c r="E70" s="11">
        <f>'By Round'!D33</f>
        <v/>
      </c>
      <c r="F70" s="11">
        <f>IF(ISBLANK('By Round'!F34),"",'By Round'!F34)</f>
        <v/>
      </c>
      <c r="G70">
        <f>IF(ISBLANK('By Round'!G34),"",'By Round'!G34)</f>
        <v/>
      </c>
      <c r="H70">
        <f>IF(ISBLANK('By Round'!H34),"",'By Round'!H34)</f>
        <v/>
      </c>
      <c r="I70">
        <f>IF(ISBLANK('By Round'!I34),"",'By Round'!I34)</f>
        <v/>
      </c>
      <c r="J70">
        <f>IF(ISBLANK('By Round'!J34),"",'By Round'!J34)</f>
        <v/>
      </c>
      <c r="K70">
        <f>IF(ISBLANK('By Round'!K34),"",'By Round'!K34)</f>
        <v/>
      </c>
      <c r="L70" s="12">
        <f>AVERAGE(AF70:AK70)</f>
        <v/>
      </c>
      <c r="M70" s="13">
        <f>AVERAGE(AL70:AQ70)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 s="11">
        <f>'By Round'!A3</f>
        <v/>
      </c>
      <c r="C71" s="11">
        <f>'By Round'!B9</f>
        <v/>
      </c>
      <c r="D71" s="11">
        <f>'By Round'!C9</f>
        <v/>
      </c>
      <c r="E71" s="11">
        <f>'By Round'!D9</f>
        <v/>
      </c>
      <c r="F71" s="11">
        <f>IF(ISBLANK('By Round'!F10),"",'By Round'!F10)</f>
        <v/>
      </c>
      <c r="G71">
        <f>IF(ISBLANK('By Round'!G10),"",'By Round'!G10)</f>
        <v/>
      </c>
      <c r="H71">
        <f>IF(ISBLANK('By Round'!H10),"",'By Round'!H10)</f>
        <v/>
      </c>
      <c r="I71">
        <f>IF(ISBLANK('By Round'!I10),"",'By Round'!I10)</f>
        <v/>
      </c>
      <c r="J71">
        <f>IF(ISBLANK('By Round'!J10),"",'By Round'!J10)</f>
        <v/>
      </c>
      <c r="K71">
        <f>IF(ISBLANK('By Round'!K10),"",'By Round'!K10)</f>
        <v/>
      </c>
      <c r="L71" s="12">
        <f>AVERAGE(AF71:AK71)</f>
        <v/>
      </c>
      <c r="M71" s="13">
        <f>AVERAGE(AL71:AQ71)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6">
        <f>'By Round'!A87</f>
        <v/>
      </c>
      <c r="C72" s="16">
        <f>'By Round'!B99</f>
        <v/>
      </c>
      <c r="D72" s="16">
        <f>'By Round'!C99</f>
        <v/>
      </c>
      <c r="E72" s="16">
        <f>'By Round'!D99</f>
        <v/>
      </c>
      <c r="F72" s="16">
        <f>IF(ISBLANK('By Round'!F100),"",'By Round'!F100)</f>
        <v/>
      </c>
      <c r="G72" s="15">
        <f>IF(ISBLANK('By Round'!G100),"",'By Round'!G100)</f>
        <v/>
      </c>
      <c r="H72" s="15">
        <f>IF(ISBLANK('By Round'!H100),"",'By Round'!H100)</f>
        <v/>
      </c>
      <c r="I72" s="15">
        <f>IF(ISBLANK('By Round'!I100),"",'By Round'!I100)</f>
        <v/>
      </c>
      <c r="J72" s="15">
        <f>IF(ISBLANK('By Round'!J100),"",'By Round'!J100)</f>
        <v/>
      </c>
      <c r="K72" s="15">
        <f>IF(ISBLANK('By Round'!K100),"",'By Round'!K100)</f>
        <v/>
      </c>
      <c r="L72" s="17">
        <f>AVERAGE(AF72:AK72)</f>
        <v/>
      </c>
      <c r="M72" s="18">
        <f>AVERAGE(AL72:AQ72)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s="11" t="n">
        <v>11</v>
      </c>
      <c r="B73" s="11">
        <f>'By Round'!A73</f>
        <v/>
      </c>
      <c r="C73" s="11">
        <f>'By Round'!B73</f>
        <v/>
      </c>
      <c r="D73" s="11">
        <f>'By Round'!C73</f>
        <v/>
      </c>
      <c r="E73" s="11">
        <f>'By Round'!D73</f>
        <v/>
      </c>
      <c r="F73" s="11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 s="12">
        <f>AVERAGE(AF73:AK73)</f>
        <v/>
      </c>
      <c r="M73" s="13">
        <f>AVERAGE(AL73:AQ73)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 s="11">
        <f>'By Round'!A129</f>
        <v/>
      </c>
      <c r="C74" s="11">
        <f>'By Round'!B137</f>
        <v/>
      </c>
      <c r="D74" s="11">
        <f>'By Round'!C137</f>
        <v/>
      </c>
      <c r="E74" s="11">
        <f>'By Round'!D137</f>
        <v/>
      </c>
      <c r="F74" s="11">
        <f>IF(ISBLANK('By Round'!F137),"",'By Round'!F137)</f>
        <v/>
      </c>
      <c r="G74">
        <f>IF(ISBLANK('By Round'!G137),"",'By Round'!G137)</f>
        <v/>
      </c>
      <c r="H74">
        <f>IF(ISBLANK('By Round'!H137),"",'By Round'!H137)</f>
        <v/>
      </c>
      <c r="I74">
        <f>IF(ISBLANK('By Round'!I137),"",'By Round'!I137)</f>
        <v/>
      </c>
      <c r="J74">
        <f>IF(ISBLANK('By Round'!J137),"",'By Round'!J137)</f>
        <v/>
      </c>
      <c r="K74">
        <f>IF(ISBLANK('By Round'!K137),"",'By Round'!K137)</f>
        <v/>
      </c>
      <c r="L74" s="12">
        <f>AVERAGE(AF74:AK74)</f>
        <v/>
      </c>
      <c r="M74" s="13">
        <f>AVERAGE(AL74:AQ74)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 s="11">
        <f>'By Round'!A115</f>
        <v/>
      </c>
      <c r="C75" s="11">
        <f>'By Round'!B125</f>
        <v/>
      </c>
      <c r="D75" s="11">
        <f>'By Round'!C125</f>
        <v/>
      </c>
      <c r="E75" s="11">
        <f>'By Round'!D125</f>
        <v/>
      </c>
      <c r="F75" s="11">
        <f>IF(ISBLANK('By Round'!F125),"",'By Round'!F125)</f>
        <v/>
      </c>
      <c r="G75">
        <f>IF(ISBLANK('By Round'!G125),"",'By Round'!G125)</f>
        <v/>
      </c>
      <c r="H75">
        <f>IF(ISBLANK('By Round'!H125),"",'By Round'!H125)</f>
        <v/>
      </c>
      <c r="I75">
        <f>IF(ISBLANK('By Round'!I125),"",'By Round'!I125)</f>
        <v/>
      </c>
      <c r="J75">
        <f>IF(ISBLANK('By Round'!J125),"",'By Round'!J125)</f>
        <v/>
      </c>
      <c r="K75">
        <f>IF(ISBLANK('By Round'!K125),"",'By Round'!K125)</f>
        <v/>
      </c>
      <c r="L75" s="12">
        <f>AVERAGE(AF75:AK75)</f>
        <v/>
      </c>
      <c r="M75" s="13">
        <f>AVERAGE(AL75:AQ75)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 s="11">
        <f>'By Round'!A31</f>
        <v/>
      </c>
      <c r="C76" s="11">
        <f>'By Round'!B35</f>
        <v/>
      </c>
      <c r="D76" s="11">
        <f>'By Round'!C35</f>
        <v/>
      </c>
      <c r="E76" s="11">
        <f>'By Round'!D35</f>
        <v/>
      </c>
      <c r="F76" s="11">
        <f>IF(ISBLANK('By Round'!F35),"",'By Round'!F35)</f>
        <v/>
      </c>
      <c r="G76">
        <f>IF(ISBLANK('By Round'!G35),"",'By Round'!G35)</f>
        <v/>
      </c>
      <c r="H76">
        <f>IF(ISBLANK('By Round'!H35),"",'By Round'!H35)</f>
        <v/>
      </c>
      <c r="I76">
        <f>IF(ISBLANK('By Round'!I35),"",'By Round'!I35)</f>
        <v/>
      </c>
      <c r="J76">
        <f>IF(ISBLANK('By Round'!J35),"",'By Round'!J35)</f>
        <v/>
      </c>
      <c r="K76">
        <f>IF(ISBLANK('By Round'!K35),"",'By Round'!K35)</f>
        <v/>
      </c>
      <c r="L76" s="12">
        <f>AVERAGE(AF76:AK76)</f>
        <v/>
      </c>
      <c r="M76" s="13">
        <f>AVERAGE(AL76:AQ76)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 s="11">
        <f>'By Round'!A45</f>
        <v/>
      </c>
      <c r="C77" s="11">
        <f>'By Round'!B47</f>
        <v/>
      </c>
      <c r="D77" s="11">
        <f>'By Round'!C47</f>
        <v/>
      </c>
      <c r="E77" s="11">
        <f>'By Round'!D47</f>
        <v/>
      </c>
      <c r="F77" s="11">
        <f>IF(ISBLANK('By Round'!F47),"",'By Round'!F47)</f>
        <v/>
      </c>
      <c r="G77">
        <f>IF(ISBLANK('By Round'!G47),"",'By Round'!G47)</f>
        <v/>
      </c>
      <c r="H77">
        <f>IF(ISBLANK('By Round'!H47),"",'By Round'!H47)</f>
        <v/>
      </c>
      <c r="I77">
        <f>IF(ISBLANK('By Round'!I47),"",'By Round'!I47)</f>
        <v/>
      </c>
      <c r="J77">
        <f>IF(ISBLANK('By Round'!J47),"",'By Round'!J47)</f>
        <v/>
      </c>
      <c r="K77">
        <f>IF(ISBLANK('By Round'!K47),"",'By Round'!K47)</f>
        <v/>
      </c>
      <c r="L77" s="12">
        <f>AVERAGE(AF77:AK77)</f>
        <v/>
      </c>
      <c r="M77" s="13">
        <f>AVERAGE(AL77:AQ77)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 s="11">
        <f>'By Round'!A17</f>
        <v/>
      </c>
      <c r="C78" s="11">
        <f>'By Round'!B23</f>
        <v/>
      </c>
      <c r="D78" s="11">
        <f>'By Round'!C23</f>
        <v/>
      </c>
      <c r="E78" s="11">
        <f>'By Round'!D23</f>
        <v/>
      </c>
      <c r="F78" s="11">
        <f>IF(ISBLANK('By Round'!F23),"",'By Round'!F23)</f>
        <v/>
      </c>
      <c r="G78">
        <f>IF(ISBLANK('By Round'!G23),"",'By Round'!G23)</f>
        <v/>
      </c>
      <c r="H78">
        <f>IF(ISBLANK('By Round'!H23),"",'By Round'!H23)</f>
        <v/>
      </c>
      <c r="I78">
        <f>IF(ISBLANK('By Round'!I23),"",'By Round'!I23)</f>
        <v/>
      </c>
      <c r="J78">
        <f>IF(ISBLANK('By Round'!J23),"",'By Round'!J23)</f>
        <v/>
      </c>
      <c r="K78">
        <f>IF(ISBLANK('By Round'!K23),"",'By Round'!K23)</f>
        <v/>
      </c>
      <c r="L78" s="12">
        <f>AVERAGE(AF78:AK78)</f>
        <v/>
      </c>
      <c r="M78" s="13">
        <f>AVERAGE(AL78:AQ78)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6">
        <f>'By Round'!A101</f>
        <v/>
      </c>
      <c r="C79" s="16">
        <f>'By Round'!B113</f>
        <v/>
      </c>
      <c r="D79" s="16">
        <f>'By Round'!C113</f>
        <v/>
      </c>
      <c r="E79" s="16">
        <f>'By Round'!D113</f>
        <v/>
      </c>
      <c r="F79" s="16">
        <f>IF(ISBLANK('By Round'!F113),"",'By Round'!F113)</f>
        <v/>
      </c>
      <c r="G79" s="15">
        <f>IF(ISBLANK('By Round'!G113),"",'By Round'!G113)</f>
        <v/>
      </c>
      <c r="H79" s="15">
        <f>IF(ISBLANK('By Round'!H113),"",'By Round'!H113)</f>
        <v/>
      </c>
      <c r="I79" s="15">
        <f>IF(ISBLANK('By Round'!I113),"",'By Round'!I113)</f>
        <v/>
      </c>
      <c r="J79" s="15">
        <f>IF(ISBLANK('By Round'!J113),"",'By Round'!J113)</f>
        <v/>
      </c>
      <c r="K79" s="15">
        <f>IF(ISBLANK('By Round'!K113),"",'By Round'!K113)</f>
        <v/>
      </c>
      <c r="L79" s="17">
        <f>AVERAGE(AF79:AK79)</f>
        <v/>
      </c>
      <c r="M79" s="18">
        <f>AVERAGE(AL79:AQ79)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s="11" t="n">
        <v>12</v>
      </c>
      <c r="B80" s="11">
        <f>'By Round'!A73</f>
        <v/>
      </c>
      <c r="C80" s="11">
        <f>'By Round'!B73</f>
        <v/>
      </c>
      <c r="D80" s="11">
        <f>'By Round'!C73</f>
        <v/>
      </c>
      <c r="E80" s="11">
        <f>'By Round'!D73</f>
        <v/>
      </c>
      <c r="F80" s="11">
        <f>IF(ISBLANK('By Round'!F74),"",'By Round'!F74)</f>
        <v/>
      </c>
      <c r="G80">
        <f>IF(ISBLANK('By Round'!G74),"",'By Round'!G74)</f>
        <v/>
      </c>
      <c r="H80">
        <f>IF(ISBLANK('By Round'!H74),"",'By Round'!H74)</f>
        <v/>
      </c>
      <c r="I80">
        <f>IF(ISBLANK('By Round'!I74),"",'By Round'!I74)</f>
        <v/>
      </c>
      <c r="J80">
        <f>IF(ISBLANK('By Round'!J74),"",'By Round'!J74)</f>
        <v/>
      </c>
      <c r="K80">
        <f>IF(ISBLANK('By Round'!K74),"",'By Round'!K74)</f>
        <v/>
      </c>
      <c r="L80" s="12">
        <f>AVERAGE(AF80:AK80)</f>
        <v/>
      </c>
      <c r="M80" s="13">
        <f>AVERAGE(AL80:AQ80)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 s="11">
        <f>'By Round'!A129</f>
        <v/>
      </c>
      <c r="C81" s="11">
        <f>'By Round'!B137</f>
        <v/>
      </c>
      <c r="D81" s="11">
        <f>'By Round'!C137</f>
        <v/>
      </c>
      <c r="E81" s="11">
        <f>'By Round'!D137</f>
        <v/>
      </c>
      <c r="F81" s="11">
        <f>IF(ISBLANK('By Round'!F138),"",'By Round'!F138)</f>
        <v/>
      </c>
      <c r="G81">
        <f>IF(ISBLANK('By Round'!G138),"",'By Round'!G138)</f>
        <v/>
      </c>
      <c r="H81">
        <f>IF(ISBLANK('By Round'!H138),"",'By Round'!H138)</f>
        <v/>
      </c>
      <c r="I81">
        <f>IF(ISBLANK('By Round'!I138),"",'By Round'!I138)</f>
        <v/>
      </c>
      <c r="J81">
        <f>IF(ISBLANK('By Round'!J138),"",'By Round'!J138)</f>
        <v/>
      </c>
      <c r="K81">
        <f>IF(ISBLANK('By Round'!K138),"",'By Round'!K138)</f>
        <v/>
      </c>
      <c r="L81" s="12">
        <f>AVERAGE(AF81:AK81)</f>
        <v/>
      </c>
      <c r="M81" s="13">
        <f>AVERAGE(AL81:AQ81)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 s="11">
        <f>'By Round'!A115</f>
        <v/>
      </c>
      <c r="C82" s="11">
        <f>'By Round'!B125</f>
        <v/>
      </c>
      <c r="D82" s="11">
        <f>'By Round'!C125</f>
        <v/>
      </c>
      <c r="E82" s="11">
        <f>'By Round'!D125</f>
        <v/>
      </c>
      <c r="F82" s="11">
        <f>IF(ISBLANK('By Round'!F126),"",'By Round'!F126)</f>
        <v/>
      </c>
      <c r="G82">
        <f>IF(ISBLANK('By Round'!G126),"",'By Round'!G126)</f>
        <v/>
      </c>
      <c r="H82">
        <f>IF(ISBLANK('By Round'!H126),"",'By Round'!H126)</f>
        <v/>
      </c>
      <c r="I82">
        <f>IF(ISBLANK('By Round'!I126),"",'By Round'!I126)</f>
        <v/>
      </c>
      <c r="J82">
        <f>IF(ISBLANK('By Round'!J126),"",'By Round'!J126)</f>
        <v/>
      </c>
      <c r="K82">
        <f>IF(ISBLANK('By Round'!K126),"",'By Round'!K126)</f>
        <v/>
      </c>
      <c r="L82" s="12">
        <f>AVERAGE(AF82:AK82)</f>
        <v/>
      </c>
      <c r="M82" s="13">
        <f>AVERAGE(AL82:AQ82)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 s="11">
        <f>'By Round'!A31</f>
        <v/>
      </c>
      <c r="C83" s="11">
        <f>'By Round'!B35</f>
        <v/>
      </c>
      <c r="D83" s="11">
        <f>'By Round'!C35</f>
        <v/>
      </c>
      <c r="E83" s="11">
        <f>'By Round'!D35</f>
        <v/>
      </c>
      <c r="F83" s="11">
        <f>IF(ISBLANK('By Round'!F36),"",'By Round'!F36)</f>
        <v/>
      </c>
      <c r="G83">
        <f>IF(ISBLANK('By Round'!G36),"",'By Round'!G36)</f>
        <v/>
      </c>
      <c r="H83">
        <f>IF(ISBLANK('By Round'!H36),"",'By Round'!H36)</f>
        <v/>
      </c>
      <c r="I83">
        <f>IF(ISBLANK('By Round'!I36),"",'By Round'!I36)</f>
        <v/>
      </c>
      <c r="J83">
        <f>IF(ISBLANK('By Round'!J36),"",'By Round'!J36)</f>
        <v/>
      </c>
      <c r="K83">
        <f>IF(ISBLANK('By Round'!K36),"",'By Round'!K36)</f>
        <v/>
      </c>
      <c r="L83" s="12">
        <f>AVERAGE(AF83:AK83)</f>
        <v/>
      </c>
      <c r="M83" s="13">
        <f>AVERAGE(AL83:AQ83)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 s="11">
        <f>'By Round'!A45</f>
        <v/>
      </c>
      <c r="C84" s="11">
        <f>'By Round'!B47</f>
        <v/>
      </c>
      <c r="D84" s="11">
        <f>'By Round'!C47</f>
        <v/>
      </c>
      <c r="E84" s="11">
        <f>'By Round'!D47</f>
        <v/>
      </c>
      <c r="F84" s="11">
        <f>IF(ISBLANK('By Round'!F48),"",'By Round'!F48)</f>
        <v/>
      </c>
      <c r="G84">
        <f>IF(ISBLANK('By Round'!G48),"",'By Round'!G48)</f>
        <v/>
      </c>
      <c r="H84">
        <f>IF(ISBLANK('By Round'!H48),"",'By Round'!H48)</f>
        <v/>
      </c>
      <c r="I84">
        <f>IF(ISBLANK('By Round'!I48),"",'By Round'!I48)</f>
        <v/>
      </c>
      <c r="J84">
        <f>IF(ISBLANK('By Round'!J48),"",'By Round'!J48)</f>
        <v/>
      </c>
      <c r="K84">
        <f>IF(ISBLANK('By Round'!K48),"",'By Round'!K48)</f>
        <v/>
      </c>
      <c r="L84" s="12">
        <f>AVERAGE(AF84:AK84)</f>
        <v/>
      </c>
      <c r="M84" s="13">
        <f>AVERAGE(AL84:AQ84)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 s="11">
        <f>'By Round'!A17</f>
        <v/>
      </c>
      <c r="C85" s="11">
        <f>'By Round'!B23</f>
        <v/>
      </c>
      <c r="D85" s="11">
        <f>'By Round'!C23</f>
        <v/>
      </c>
      <c r="E85" s="11">
        <f>'By Round'!D23</f>
        <v/>
      </c>
      <c r="F85" s="11">
        <f>IF(ISBLANK('By Round'!F24),"",'By Round'!F24)</f>
        <v/>
      </c>
      <c r="G85">
        <f>IF(ISBLANK('By Round'!G24),"",'By Round'!G24)</f>
        <v/>
      </c>
      <c r="H85">
        <f>IF(ISBLANK('By Round'!H24),"",'By Round'!H24)</f>
        <v/>
      </c>
      <c r="I85">
        <f>IF(ISBLANK('By Round'!I24),"",'By Round'!I24)</f>
        <v/>
      </c>
      <c r="J85">
        <f>IF(ISBLANK('By Round'!J24),"",'By Round'!J24)</f>
        <v/>
      </c>
      <c r="K85">
        <f>IF(ISBLANK('By Round'!K24),"",'By Round'!K24)</f>
        <v/>
      </c>
      <c r="L85" s="12">
        <f>AVERAGE(AF85:AK85)</f>
        <v/>
      </c>
      <c r="M85" s="13">
        <f>AVERAGE(AL85:AQ85)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6">
        <f>'By Round'!A101</f>
        <v/>
      </c>
      <c r="C86" s="16">
        <f>'By Round'!B113</f>
        <v/>
      </c>
      <c r="D86" s="16">
        <f>'By Round'!C113</f>
        <v/>
      </c>
      <c r="E86" s="16">
        <f>'By Round'!D113</f>
        <v/>
      </c>
      <c r="F86" s="16">
        <f>IF(ISBLANK('By Round'!F114),"",'By Round'!F114)</f>
        <v/>
      </c>
      <c r="G86" s="15">
        <f>IF(ISBLANK('By Round'!G114),"",'By Round'!G114)</f>
        <v/>
      </c>
      <c r="H86" s="15">
        <f>IF(ISBLANK('By Round'!H114),"",'By Round'!H114)</f>
        <v/>
      </c>
      <c r="I86" s="15">
        <f>IF(ISBLANK('By Round'!I114),"",'By Round'!I114)</f>
        <v/>
      </c>
      <c r="J86" s="15">
        <f>IF(ISBLANK('By Round'!J114),"",'By Round'!J114)</f>
        <v/>
      </c>
      <c r="K86" s="15">
        <f>IF(ISBLANK('By Round'!K114),"",'By Round'!K114)</f>
        <v/>
      </c>
      <c r="L86" s="17">
        <f>AVERAGE(AF86:AK86)</f>
        <v/>
      </c>
      <c r="M86" s="18">
        <f>AVERAGE(AL86:AQ86)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s="11" t="n">
        <v>13</v>
      </c>
      <c r="B87" s="11">
        <f>'By Round'!A87</f>
        <v/>
      </c>
      <c r="C87" s="11">
        <f>'By Round'!B87</f>
        <v/>
      </c>
      <c r="D87" s="11">
        <f>'By Round'!C87</f>
        <v/>
      </c>
      <c r="E87" s="11">
        <f>'By Round'!D87</f>
        <v/>
      </c>
      <c r="F87" s="11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 s="12">
        <f>AVERAGE(AF87:AK87)</f>
        <v/>
      </c>
      <c r="M87" s="13">
        <f>AVERAGE(AL87:AQ87)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 s="11">
        <f>'By Round'!A143</f>
        <v/>
      </c>
      <c r="C88" s="11">
        <f>'By Round'!B151</f>
        <v/>
      </c>
      <c r="D88" s="11">
        <f>'By Round'!C151</f>
        <v/>
      </c>
      <c r="E88" s="11">
        <f>'By Round'!D151</f>
        <v/>
      </c>
      <c r="F88" s="11">
        <f>IF(ISBLANK('By Round'!F151),"",'By Round'!F151)</f>
        <v/>
      </c>
      <c r="G88">
        <f>IF(ISBLANK('By Round'!G151),"",'By Round'!G151)</f>
        <v/>
      </c>
      <c r="H88">
        <f>IF(ISBLANK('By Round'!H151),"",'By Round'!H151)</f>
        <v/>
      </c>
      <c r="I88">
        <f>IF(ISBLANK('By Round'!I151),"",'By Round'!I151)</f>
        <v/>
      </c>
      <c r="J88">
        <f>IF(ISBLANK('By Round'!J151),"",'By Round'!J151)</f>
        <v/>
      </c>
      <c r="K88">
        <f>IF(ISBLANK('By Round'!K151),"",'By Round'!K151)</f>
        <v/>
      </c>
      <c r="L88" s="12">
        <f>AVERAGE(AF88:AK88)</f>
        <v/>
      </c>
      <c r="M88" s="13">
        <f>AVERAGE(AL88:AQ88)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 s="11">
        <f>'By Round'!A129</f>
        <v/>
      </c>
      <c r="C89" s="11">
        <f>'By Round'!B139</f>
        <v/>
      </c>
      <c r="D89" s="11">
        <f>'By Round'!C139</f>
        <v/>
      </c>
      <c r="E89" s="11">
        <f>'By Round'!D139</f>
        <v/>
      </c>
      <c r="F89" s="11">
        <f>IF(ISBLANK('By Round'!F139),"",'By Round'!F139)</f>
        <v/>
      </c>
      <c r="G89">
        <f>IF(ISBLANK('By Round'!G139),"",'By Round'!G139)</f>
        <v/>
      </c>
      <c r="H89">
        <f>IF(ISBLANK('By Round'!H139),"",'By Round'!H139)</f>
        <v/>
      </c>
      <c r="I89">
        <f>IF(ISBLANK('By Round'!I139),"",'By Round'!I139)</f>
        <v/>
      </c>
      <c r="J89">
        <f>IF(ISBLANK('By Round'!J139),"",'By Round'!J139)</f>
        <v/>
      </c>
      <c r="K89">
        <f>IF(ISBLANK('By Round'!K139),"",'By Round'!K139)</f>
        <v/>
      </c>
      <c r="L89" s="12">
        <f>AVERAGE(AF89:AK89)</f>
        <v/>
      </c>
      <c r="M89" s="13">
        <f>AVERAGE(AL89:AQ89)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 s="11">
        <f>'By Round'!A45</f>
        <v/>
      </c>
      <c r="C90" s="11">
        <f>'By Round'!B49</f>
        <v/>
      </c>
      <c r="D90" s="11">
        <f>'By Round'!C49</f>
        <v/>
      </c>
      <c r="E90" s="11">
        <f>'By Round'!D49</f>
        <v/>
      </c>
      <c r="F90" s="11">
        <f>IF(ISBLANK('By Round'!F49),"",'By Round'!F49)</f>
        <v/>
      </c>
      <c r="G90">
        <f>IF(ISBLANK('By Round'!G49),"",'By Round'!G49)</f>
        <v/>
      </c>
      <c r="H90">
        <f>IF(ISBLANK('By Round'!H49),"",'By Round'!H49)</f>
        <v/>
      </c>
      <c r="I90">
        <f>IF(ISBLANK('By Round'!I49),"",'By Round'!I49)</f>
        <v/>
      </c>
      <c r="J90">
        <f>IF(ISBLANK('By Round'!J49),"",'By Round'!J49)</f>
        <v/>
      </c>
      <c r="K90">
        <f>IF(ISBLANK('By Round'!K49),"",'By Round'!K49)</f>
        <v/>
      </c>
      <c r="L90" s="12">
        <f>AVERAGE(AF90:AK90)</f>
        <v/>
      </c>
      <c r="M90" s="13">
        <f>AVERAGE(AL90:AQ90)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 s="11">
        <f>'By Round'!A59</f>
        <v/>
      </c>
      <c r="C91" s="11">
        <f>'By Round'!B61</f>
        <v/>
      </c>
      <c r="D91" s="11">
        <f>'By Round'!C61</f>
        <v/>
      </c>
      <c r="E91" s="11">
        <f>'By Round'!D61</f>
        <v/>
      </c>
      <c r="F91" s="11">
        <f>IF(ISBLANK('By Round'!F61),"",'By Round'!F61)</f>
        <v/>
      </c>
      <c r="G91">
        <f>IF(ISBLANK('By Round'!G61),"",'By Round'!G61)</f>
        <v/>
      </c>
      <c r="H91">
        <f>IF(ISBLANK('By Round'!H61),"",'By Round'!H61)</f>
        <v/>
      </c>
      <c r="I91">
        <f>IF(ISBLANK('By Round'!I61),"",'By Round'!I61)</f>
        <v/>
      </c>
      <c r="J91">
        <f>IF(ISBLANK('By Round'!J61),"",'By Round'!J61)</f>
        <v/>
      </c>
      <c r="K91">
        <f>IF(ISBLANK('By Round'!K61),"",'By Round'!K61)</f>
        <v/>
      </c>
      <c r="L91" s="12">
        <f>AVERAGE(AF91:AK91)</f>
        <v/>
      </c>
      <c r="M91" s="13">
        <f>AVERAGE(AL91:AQ91)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 s="11">
        <f>'By Round'!A31</f>
        <v/>
      </c>
      <c r="C92" s="11">
        <f>'By Round'!B37</f>
        <v/>
      </c>
      <c r="D92" s="11">
        <f>'By Round'!C37</f>
        <v/>
      </c>
      <c r="E92" s="11">
        <f>'By Round'!D37</f>
        <v/>
      </c>
      <c r="F92" s="11">
        <f>IF(ISBLANK('By Round'!F37),"",'By Round'!F37)</f>
        <v/>
      </c>
      <c r="G92">
        <f>IF(ISBLANK('By Round'!G37),"",'By Round'!G37)</f>
        <v/>
      </c>
      <c r="H92">
        <f>IF(ISBLANK('By Round'!H37),"",'By Round'!H37)</f>
        <v/>
      </c>
      <c r="I92">
        <f>IF(ISBLANK('By Round'!I37),"",'By Round'!I37)</f>
        <v/>
      </c>
      <c r="J92">
        <f>IF(ISBLANK('By Round'!J37),"",'By Round'!J37)</f>
        <v/>
      </c>
      <c r="K92">
        <f>IF(ISBLANK('By Round'!K37),"",'By Round'!K37)</f>
        <v/>
      </c>
      <c r="L92" s="12">
        <f>AVERAGE(AF92:AK92)</f>
        <v/>
      </c>
      <c r="M92" s="13">
        <f>AVERAGE(AL92:AQ92)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6">
        <f>'By Round'!A115</f>
        <v/>
      </c>
      <c r="C93" s="16">
        <f>'By Round'!B127</f>
        <v/>
      </c>
      <c r="D93" s="16">
        <f>'By Round'!C127</f>
        <v/>
      </c>
      <c r="E93" s="16">
        <f>'By Round'!D127</f>
        <v/>
      </c>
      <c r="F93" s="16">
        <f>IF(ISBLANK('By Round'!F127),"",'By Round'!F127)</f>
        <v/>
      </c>
      <c r="G93" s="15">
        <f>IF(ISBLANK('By Round'!G127),"",'By Round'!G127)</f>
        <v/>
      </c>
      <c r="H93" s="15">
        <f>IF(ISBLANK('By Round'!H127),"",'By Round'!H127)</f>
        <v/>
      </c>
      <c r="I93" s="15">
        <f>IF(ISBLANK('By Round'!I127),"",'By Round'!I127)</f>
        <v/>
      </c>
      <c r="J93" s="15">
        <f>IF(ISBLANK('By Round'!J127),"",'By Round'!J127)</f>
        <v/>
      </c>
      <c r="K93" s="15">
        <f>IF(ISBLANK('By Round'!K127),"",'By Round'!K127)</f>
        <v/>
      </c>
      <c r="L93" s="17">
        <f>AVERAGE(AF93:AK93)</f>
        <v/>
      </c>
      <c r="M93" s="18">
        <f>AVERAGE(AL93:AQ93)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s="11" t="n">
        <v>14</v>
      </c>
      <c r="B94" s="11">
        <f>'By Round'!A87</f>
        <v/>
      </c>
      <c r="C94" s="11">
        <f>'By Round'!B87</f>
        <v/>
      </c>
      <c r="D94" s="11">
        <f>'By Round'!C87</f>
        <v/>
      </c>
      <c r="E94" s="11">
        <f>'By Round'!D87</f>
        <v/>
      </c>
      <c r="F94" s="11">
        <f>IF(ISBLANK('By Round'!F88),"",'By Round'!F88)</f>
        <v/>
      </c>
      <c r="G94">
        <f>IF(ISBLANK('By Round'!G88),"",'By Round'!G88)</f>
        <v/>
      </c>
      <c r="H94">
        <f>IF(ISBLANK('By Round'!H88),"",'By Round'!H88)</f>
        <v/>
      </c>
      <c r="I94">
        <f>IF(ISBLANK('By Round'!I88),"",'By Round'!I88)</f>
        <v/>
      </c>
      <c r="J94">
        <f>IF(ISBLANK('By Round'!J88),"",'By Round'!J88)</f>
        <v/>
      </c>
      <c r="K94">
        <f>IF(ISBLANK('By Round'!K88),"",'By Round'!K88)</f>
        <v/>
      </c>
      <c r="L94" s="12">
        <f>AVERAGE(AF94:AK94)</f>
        <v/>
      </c>
      <c r="M94" s="13">
        <f>AVERAGE(AL94:AQ94)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 s="11">
        <f>'By Round'!A143</f>
        <v/>
      </c>
      <c r="C95" s="11">
        <f>'By Round'!B151</f>
        <v/>
      </c>
      <c r="D95" s="11">
        <f>'By Round'!C151</f>
        <v/>
      </c>
      <c r="E95" s="11">
        <f>'By Round'!D151</f>
        <v/>
      </c>
      <c r="F95" s="11">
        <f>IF(ISBLANK('By Round'!F152),"",'By Round'!F152)</f>
        <v/>
      </c>
      <c r="G95">
        <f>IF(ISBLANK('By Round'!G152),"",'By Round'!G152)</f>
        <v/>
      </c>
      <c r="H95">
        <f>IF(ISBLANK('By Round'!H152),"",'By Round'!H152)</f>
        <v/>
      </c>
      <c r="I95">
        <f>IF(ISBLANK('By Round'!I152),"",'By Round'!I152)</f>
        <v/>
      </c>
      <c r="J95">
        <f>IF(ISBLANK('By Round'!J152),"",'By Round'!J152)</f>
        <v/>
      </c>
      <c r="K95">
        <f>IF(ISBLANK('By Round'!K152),"",'By Round'!K152)</f>
        <v/>
      </c>
      <c r="L95" s="12">
        <f>AVERAGE(AF95:AK95)</f>
        <v/>
      </c>
      <c r="M95" s="13">
        <f>AVERAGE(AL95:AQ95)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 s="11">
        <f>'By Round'!A129</f>
        <v/>
      </c>
      <c r="C96" s="11">
        <f>'By Round'!B139</f>
        <v/>
      </c>
      <c r="D96" s="11">
        <f>'By Round'!C139</f>
        <v/>
      </c>
      <c r="E96" s="11">
        <f>'By Round'!D139</f>
        <v/>
      </c>
      <c r="F96" s="11">
        <f>IF(ISBLANK('By Round'!F140),"",'By Round'!F140)</f>
        <v/>
      </c>
      <c r="G96">
        <f>IF(ISBLANK('By Round'!G140),"",'By Round'!G140)</f>
        <v/>
      </c>
      <c r="H96">
        <f>IF(ISBLANK('By Round'!H140),"",'By Round'!H140)</f>
        <v/>
      </c>
      <c r="I96">
        <f>IF(ISBLANK('By Round'!I140),"",'By Round'!I140)</f>
        <v/>
      </c>
      <c r="J96">
        <f>IF(ISBLANK('By Round'!J140),"",'By Round'!J140)</f>
        <v/>
      </c>
      <c r="K96">
        <f>IF(ISBLANK('By Round'!K140),"",'By Round'!K140)</f>
        <v/>
      </c>
      <c r="L96" s="12">
        <f>AVERAGE(AF96:AK96)</f>
        <v/>
      </c>
      <c r="M96" s="13">
        <f>AVERAGE(AL96:AQ96)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 s="11">
        <f>'By Round'!A45</f>
        <v/>
      </c>
      <c r="C97" s="11">
        <f>'By Round'!B49</f>
        <v/>
      </c>
      <c r="D97" s="11">
        <f>'By Round'!C49</f>
        <v/>
      </c>
      <c r="E97" s="11">
        <f>'By Round'!D49</f>
        <v/>
      </c>
      <c r="F97" s="11">
        <f>IF(ISBLANK('By Round'!F50),"",'By Round'!F50)</f>
        <v/>
      </c>
      <c r="G97">
        <f>IF(ISBLANK('By Round'!G50),"",'By Round'!G50)</f>
        <v/>
      </c>
      <c r="H97">
        <f>IF(ISBLANK('By Round'!H50),"",'By Round'!H50)</f>
        <v/>
      </c>
      <c r="I97">
        <f>IF(ISBLANK('By Round'!I50),"",'By Round'!I50)</f>
        <v/>
      </c>
      <c r="J97">
        <f>IF(ISBLANK('By Round'!J50),"",'By Round'!J50)</f>
        <v/>
      </c>
      <c r="K97">
        <f>IF(ISBLANK('By Round'!K50),"",'By Round'!K50)</f>
        <v/>
      </c>
      <c r="L97" s="12">
        <f>AVERAGE(AF97:AK97)</f>
        <v/>
      </c>
      <c r="M97" s="13">
        <f>AVERAGE(AL97:AQ97)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 s="11">
        <f>'By Round'!A59</f>
        <v/>
      </c>
      <c r="C98" s="11">
        <f>'By Round'!B61</f>
        <v/>
      </c>
      <c r="D98" s="11">
        <f>'By Round'!C61</f>
        <v/>
      </c>
      <c r="E98" s="11">
        <f>'By Round'!D61</f>
        <v/>
      </c>
      <c r="F98" s="11">
        <f>IF(ISBLANK('By Round'!F62),"",'By Round'!F62)</f>
        <v/>
      </c>
      <c r="G98">
        <f>IF(ISBLANK('By Round'!G62),"",'By Round'!G62)</f>
        <v/>
      </c>
      <c r="H98">
        <f>IF(ISBLANK('By Round'!H62),"",'By Round'!H62)</f>
        <v/>
      </c>
      <c r="I98">
        <f>IF(ISBLANK('By Round'!I62),"",'By Round'!I62)</f>
        <v/>
      </c>
      <c r="J98">
        <f>IF(ISBLANK('By Round'!J62),"",'By Round'!J62)</f>
        <v/>
      </c>
      <c r="K98">
        <f>IF(ISBLANK('By Round'!K62),"",'By Round'!K62)</f>
        <v/>
      </c>
      <c r="L98" s="12">
        <f>AVERAGE(AF98:AK98)</f>
        <v/>
      </c>
      <c r="M98" s="13">
        <f>AVERAGE(AL98:AQ98)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 s="11">
        <f>'By Round'!A31</f>
        <v/>
      </c>
      <c r="C99" s="11">
        <f>'By Round'!B37</f>
        <v/>
      </c>
      <c r="D99" s="11">
        <f>'By Round'!C37</f>
        <v/>
      </c>
      <c r="E99" s="11">
        <f>'By Round'!D37</f>
        <v/>
      </c>
      <c r="F99" s="11">
        <f>IF(ISBLANK('By Round'!F38),"",'By Round'!F38)</f>
        <v/>
      </c>
      <c r="G99">
        <f>IF(ISBLANK('By Round'!G38),"",'By Round'!G38)</f>
        <v/>
      </c>
      <c r="H99">
        <f>IF(ISBLANK('By Round'!H38),"",'By Round'!H38)</f>
        <v/>
      </c>
      <c r="I99">
        <f>IF(ISBLANK('By Round'!I38),"",'By Round'!I38)</f>
        <v/>
      </c>
      <c r="J99">
        <f>IF(ISBLANK('By Round'!J38),"",'By Round'!J38)</f>
        <v/>
      </c>
      <c r="K99">
        <f>IF(ISBLANK('By Round'!K38),"",'By Round'!K38)</f>
        <v/>
      </c>
      <c r="L99" s="12">
        <f>AVERAGE(AF99:AK99)</f>
        <v/>
      </c>
      <c r="M99" s="13">
        <f>AVERAGE(AL99:AQ99)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6">
        <f>'By Round'!A115</f>
        <v/>
      </c>
      <c r="C100" s="16">
        <f>'By Round'!B127</f>
        <v/>
      </c>
      <c r="D100" s="16">
        <f>'By Round'!C127</f>
        <v/>
      </c>
      <c r="E100" s="16">
        <f>'By Round'!D127</f>
        <v/>
      </c>
      <c r="F100" s="16">
        <f>IF(ISBLANK('By Round'!F128),"",'By Round'!F128)</f>
        <v/>
      </c>
      <c r="G100" s="15">
        <f>IF(ISBLANK('By Round'!G128),"",'By Round'!G128)</f>
        <v/>
      </c>
      <c r="H100" s="15">
        <f>IF(ISBLANK('By Round'!H128),"",'By Round'!H128)</f>
        <v/>
      </c>
      <c r="I100" s="15">
        <f>IF(ISBLANK('By Round'!I128),"",'By Round'!I128)</f>
        <v/>
      </c>
      <c r="J100" s="15">
        <f>IF(ISBLANK('By Round'!J128),"",'By Round'!J128)</f>
        <v/>
      </c>
      <c r="K100" s="15">
        <f>IF(ISBLANK('By Round'!K128),"",'By Round'!K128)</f>
        <v/>
      </c>
      <c r="L100" s="17">
        <f>AVERAGE(AF100:AK100)</f>
        <v/>
      </c>
      <c r="M100" s="18">
        <f>AVERAGE(AL100:AQ100)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s="11" t="n">
        <v>15</v>
      </c>
      <c r="B101" s="11">
        <f>'By Round'!A101</f>
        <v/>
      </c>
      <c r="C101" s="11">
        <f>'By Round'!B101</f>
        <v/>
      </c>
      <c r="D101" s="11">
        <f>'By Round'!C101</f>
        <v/>
      </c>
      <c r="E101" s="11">
        <f>'By Round'!D101</f>
        <v/>
      </c>
      <c r="F101" s="11">
        <f>IF(ISBLANK('By Round'!F101),"",'By Round'!F101)</f>
        <v/>
      </c>
      <c r="G101">
        <f>IF(ISBLANK('By Round'!G101),"",'By Round'!G101)</f>
        <v/>
      </c>
      <c r="H101">
        <f>IF(ISBLANK('By Round'!H101),"",'By Round'!H101)</f>
        <v/>
      </c>
      <c r="I101">
        <f>IF(ISBLANK('By Round'!I101),"",'By Round'!I101)</f>
        <v/>
      </c>
      <c r="J101">
        <f>IF(ISBLANK('By Round'!J101),"",'By Round'!J101)</f>
        <v/>
      </c>
      <c r="K101">
        <f>IF(ISBLANK('By Round'!K101),"",'By Round'!K101)</f>
        <v/>
      </c>
      <c r="L101" s="12">
        <f>AVERAGE(AF101:AK101)</f>
        <v/>
      </c>
      <c r="M101" s="13">
        <f>AVERAGE(AL101:AQ101)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 s="11">
        <f>'By Round'!A157</f>
        <v/>
      </c>
      <c r="C102" s="11">
        <f>'By Round'!B165</f>
        <v/>
      </c>
      <c r="D102" s="11">
        <f>'By Round'!C165</f>
        <v/>
      </c>
      <c r="E102" s="11">
        <f>'By Round'!D165</f>
        <v/>
      </c>
      <c r="F102" s="11">
        <f>IF(ISBLANK('By Round'!F165),"",'By Round'!F165)</f>
        <v/>
      </c>
      <c r="G102">
        <f>IF(ISBLANK('By Round'!G165),"",'By Round'!G165)</f>
        <v/>
      </c>
      <c r="H102">
        <f>IF(ISBLANK('By Round'!H165),"",'By Round'!H165)</f>
        <v/>
      </c>
      <c r="I102">
        <f>IF(ISBLANK('By Round'!I165),"",'By Round'!I165)</f>
        <v/>
      </c>
      <c r="J102">
        <f>IF(ISBLANK('By Round'!J165),"",'By Round'!J165)</f>
        <v/>
      </c>
      <c r="K102">
        <f>IF(ISBLANK('By Round'!K165),"",'By Round'!K165)</f>
        <v/>
      </c>
      <c r="L102" s="12">
        <f>AVERAGE(AF102:AK102)</f>
        <v/>
      </c>
      <c r="M102" s="13">
        <f>AVERAGE(AL102:AQ102)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 s="11">
        <f>'By Round'!A143</f>
        <v/>
      </c>
      <c r="C103" s="11">
        <f>'By Round'!B153</f>
        <v/>
      </c>
      <c r="D103" s="11">
        <f>'By Round'!C153</f>
        <v/>
      </c>
      <c r="E103" s="11">
        <f>'By Round'!D153</f>
        <v/>
      </c>
      <c r="F103" s="11">
        <f>IF(ISBLANK('By Round'!F153),"",'By Round'!F153)</f>
        <v/>
      </c>
      <c r="G103">
        <f>IF(ISBLANK('By Round'!G153),"",'By Round'!G153)</f>
        <v/>
      </c>
      <c r="H103">
        <f>IF(ISBLANK('By Round'!H153),"",'By Round'!H153)</f>
        <v/>
      </c>
      <c r="I103">
        <f>IF(ISBLANK('By Round'!I153),"",'By Round'!I153)</f>
        <v/>
      </c>
      <c r="J103">
        <f>IF(ISBLANK('By Round'!J153),"",'By Round'!J153)</f>
        <v/>
      </c>
      <c r="K103">
        <f>IF(ISBLANK('By Round'!K153),"",'By Round'!K153)</f>
        <v/>
      </c>
      <c r="L103" s="12">
        <f>AVERAGE(AF103:AK103)</f>
        <v/>
      </c>
      <c r="M103" s="13">
        <f>AVERAGE(AL103:AQ103)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 s="11">
        <f>'By Round'!A59</f>
        <v/>
      </c>
      <c r="C104" s="11">
        <f>'By Round'!B63</f>
        <v/>
      </c>
      <c r="D104" s="11">
        <f>'By Round'!C63</f>
        <v/>
      </c>
      <c r="E104" s="11">
        <f>'By Round'!D63</f>
        <v/>
      </c>
      <c r="F104" s="11">
        <f>IF(ISBLANK('By Round'!F63),"",'By Round'!F63)</f>
        <v/>
      </c>
      <c r="G104">
        <f>IF(ISBLANK('By Round'!G63),"",'By Round'!G63)</f>
        <v/>
      </c>
      <c r="H104">
        <f>IF(ISBLANK('By Round'!H63),"",'By Round'!H63)</f>
        <v/>
      </c>
      <c r="I104">
        <f>IF(ISBLANK('By Round'!I63),"",'By Round'!I63)</f>
        <v/>
      </c>
      <c r="J104">
        <f>IF(ISBLANK('By Round'!J63),"",'By Round'!J63)</f>
        <v/>
      </c>
      <c r="K104">
        <f>IF(ISBLANK('By Round'!K63),"",'By Round'!K63)</f>
        <v/>
      </c>
      <c r="L104" s="12">
        <f>AVERAGE(AF104:AK104)</f>
        <v/>
      </c>
      <c r="M104" s="13">
        <f>AVERAGE(AL104:AQ104)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 s="11">
        <f>'By Round'!A73</f>
        <v/>
      </c>
      <c r="C105" s="11">
        <f>'By Round'!B75</f>
        <v/>
      </c>
      <c r="D105" s="11">
        <f>'By Round'!C75</f>
        <v/>
      </c>
      <c r="E105" s="11">
        <f>'By Round'!D75</f>
        <v/>
      </c>
      <c r="F105" s="11">
        <f>IF(ISBLANK('By Round'!F75),"",'By Round'!F75)</f>
        <v/>
      </c>
      <c r="G105">
        <f>IF(ISBLANK('By Round'!G75),"",'By Round'!G75)</f>
        <v/>
      </c>
      <c r="H105">
        <f>IF(ISBLANK('By Round'!H75),"",'By Round'!H75)</f>
        <v/>
      </c>
      <c r="I105">
        <f>IF(ISBLANK('By Round'!I75),"",'By Round'!I75)</f>
        <v/>
      </c>
      <c r="J105">
        <f>IF(ISBLANK('By Round'!J75),"",'By Round'!J75)</f>
        <v/>
      </c>
      <c r="K105">
        <f>IF(ISBLANK('By Round'!K75),"",'By Round'!K75)</f>
        <v/>
      </c>
      <c r="L105" s="12">
        <f>AVERAGE(AF105:AK105)</f>
        <v/>
      </c>
      <c r="M105" s="13">
        <f>AVERAGE(AL105:AQ105)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 s="11">
        <f>'By Round'!A45</f>
        <v/>
      </c>
      <c r="C106" s="11">
        <f>'By Round'!B51</f>
        <v/>
      </c>
      <c r="D106" s="11">
        <f>'By Round'!C51</f>
        <v/>
      </c>
      <c r="E106" s="11">
        <f>'By Round'!D51</f>
        <v/>
      </c>
      <c r="F106" s="11">
        <f>IF(ISBLANK('By Round'!F51),"",'By Round'!F51)</f>
        <v/>
      </c>
      <c r="G106">
        <f>IF(ISBLANK('By Round'!G51),"",'By Round'!G51)</f>
        <v/>
      </c>
      <c r="H106">
        <f>IF(ISBLANK('By Round'!H51),"",'By Round'!H51)</f>
        <v/>
      </c>
      <c r="I106">
        <f>IF(ISBLANK('By Round'!I51),"",'By Round'!I51)</f>
        <v/>
      </c>
      <c r="J106">
        <f>IF(ISBLANK('By Round'!J51),"",'By Round'!J51)</f>
        <v/>
      </c>
      <c r="K106">
        <f>IF(ISBLANK('By Round'!K51),"",'By Round'!K51)</f>
        <v/>
      </c>
      <c r="L106" s="12">
        <f>AVERAGE(AF106:AK106)</f>
        <v/>
      </c>
      <c r="M106" s="13">
        <f>AVERAGE(AL106:AQ106)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6">
        <f>'By Round'!A129</f>
        <v/>
      </c>
      <c r="C107" s="16">
        <f>'By Round'!B141</f>
        <v/>
      </c>
      <c r="D107" s="16">
        <f>'By Round'!C141</f>
        <v/>
      </c>
      <c r="E107" s="16">
        <f>'By Round'!D141</f>
        <v/>
      </c>
      <c r="F107" s="16">
        <f>IF(ISBLANK('By Round'!F141),"",'By Round'!F141)</f>
        <v/>
      </c>
      <c r="G107" s="15">
        <f>IF(ISBLANK('By Round'!G141),"",'By Round'!G141)</f>
        <v/>
      </c>
      <c r="H107" s="15">
        <f>IF(ISBLANK('By Round'!H141),"",'By Round'!H141)</f>
        <v/>
      </c>
      <c r="I107" s="15">
        <f>IF(ISBLANK('By Round'!I141),"",'By Round'!I141)</f>
        <v/>
      </c>
      <c r="J107" s="15">
        <f>IF(ISBLANK('By Round'!J141),"",'By Round'!J141)</f>
        <v/>
      </c>
      <c r="K107" s="15">
        <f>IF(ISBLANK('By Round'!K141),"",'By Round'!K141)</f>
        <v/>
      </c>
      <c r="L107" s="17">
        <f>AVERAGE(AF107:AK107)</f>
        <v/>
      </c>
      <c r="M107" s="18">
        <f>AVERAGE(AL107:AQ107)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s="11" t="n">
        <v>16</v>
      </c>
      <c r="B108" s="11">
        <f>'By Round'!A101</f>
        <v/>
      </c>
      <c r="C108" s="11">
        <f>'By Round'!B101</f>
        <v/>
      </c>
      <c r="D108" s="11">
        <f>'By Round'!C101</f>
        <v/>
      </c>
      <c r="E108" s="11">
        <f>'By Round'!D101</f>
        <v/>
      </c>
      <c r="F108" s="11">
        <f>IF(ISBLANK('By Round'!F102),"",'By Round'!F102)</f>
        <v/>
      </c>
      <c r="G108">
        <f>IF(ISBLANK('By Round'!G102),"",'By Round'!G102)</f>
        <v/>
      </c>
      <c r="H108">
        <f>IF(ISBLANK('By Round'!H102),"",'By Round'!H102)</f>
        <v/>
      </c>
      <c r="I108">
        <f>IF(ISBLANK('By Round'!I102),"",'By Round'!I102)</f>
        <v/>
      </c>
      <c r="J108">
        <f>IF(ISBLANK('By Round'!J102),"",'By Round'!J102)</f>
        <v/>
      </c>
      <c r="K108">
        <f>IF(ISBLANK('By Round'!K102),"",'By Round'!K102)</f>
        <v/>
      </c>
      <c r="L108" s="12">
        <f>AVERAGE(AF108:AK108)</f>
        <v/>
      </c>
      <c r="M108" s="13">
        <f>AVERAGE(AL108:AQ108)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 s="11">
        <f>'By Round'!A157</f>
        <v/>
      </c>
      <c r="C109" s="11">
        <f>'By Round'!B165</f>
        <v/>
      </c>
      <c r="D109" s="11">
        <f>'By Round'!C165</f>
        <v/>
      </c>
      <c r="E109" s="11">
        <f>'By Round'!D165</f>
        <v/>
      </c>
      <c r="F109" s="11">
        <f>IF(ISBLANK('By Round'!F166),"",'By Round'!F166)</f>
        <v/>
      </c>
      <c r="G109">
        <f>IF(ISBLANK('By Round'!G166),"",'By Round'!G166)</f>
        <v/>
      </c>
      <c r="H109">
        <f>IF(ISBLANK('By Round'!H166),"",'By Round'!H166)</f>
        <v/>
      </c>
      <c r="I109">
        <f>IF(ISBLANK('By Round'!I166),"",'By Round'!I166)</f>
        <v/>
      </c>
      <c r="J109">
        <f>IF(ISBLANK('By Round'!J166),"",'By Round'!J166)</f>
        <v/>
      </c>
      <c r="K109">
        <f>IF(ISBLANK('By Round'!K166),"",'By Round'!K166)</f>
        <v/>
      </c>
      <c r="L109" s="12">
        <f>AVERAGE(AF109:AK109)</f>
        <v/>
      </c>
      <c r="M109" s="13">
        <f>AVERAGE(AL109:AQ109)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 s="11">
        <f>'By Round'!A143</f>
        <v/>
      </c>
      <c r="C110" s="11">
        <f>'By Round'!B153</f>
        <v/>
      </c>
      <c r="D110" s="11">
        <f>'By Round'!C153</f>
        <v/>
      </c>
      <c r="E110" s="11">
        <f>'By Round'!D153</f>
        <v/>
      </c>
      <c r="F110" s="11">
        <f>IF(ISBLANK('By Round'!F154),"",'By Round'!F154)</f>
        <v/>
      </c>
      <c r="G110">
        <f>IF(ISBLANK('By Round'!G154),"",'By Round'!G154)</f>
        <v/>
      </c>
      <c r="H110">
        <f>IF(ISBLANK('By Round'!H154),"",'By Round'!H154)</f>
        <v/>
      </c>
      <c r="I110">
        <f>IF(ISBLANK('By Round'!I154),"",'By Round'!I154)</f>
        <v/>
      </c>
      <c r="J110">
        <f>IF(ISBLANK('By Round'!J154),"",'By Round'!J154)</f>
        <v/>
      </c>
      <c r="K110">
        <f>IF(ISBLANK('By Round'!K154),"",'By Round'!K154)</f>
        <v/>
      </c>
      <c r="L110" s="12">
        <f>AVERAGE(AF110:AK110)</f>
        <v/>
      </c>
      <c r="M110" s="13">
        <f>AVERAGE(AL110:AQ110)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 s="11">
        <f>'By Round'!A59</f>
        <v/>
      </c>
      <c r="C111" s="11">
        <f>'By Round'!B63</f>
        <v/>
      </c>
      <c r="D111" s="11">
        <f>'By Round'!C63</f>
        <v/>
      </c>
      <c r="E111" s="11">
        <f>'By Round'!D63</f>
        <v/>
      </c>
      <c r="F111" s="11">
        <f>IF(ISBLANK('By Round'!F64),"",'By Round'!F64)</f>
        <v/>
      </c>
      <c r="G111">
        <f>IF(ISBLANK('By Round'!G64),"",'By Round'!G64)</f>
        <v/>
      </c>
      <c r="H111">
        <f>IF(ISBLANK('By Round'!H64),"",'By Round'!H64)</f>
        <v/>
      </c>
      <c r="I111">
        <f>IF(ISBLANK('By Round'!I64),"",'By Round'!I64)</f>
        <v/>
      </c>
      <c r="J111">
        <f>IF(ISBLANK('By Round'!J64),"",'By Round'!J64)</f>
        <v/>
      </c>
      <c r="K111">
        <f>IF(ISBLANK('By Round'!K64),"",'By Round'!K64)</f>
        <v/>
      </c>
      <c r="L111" s="12">
        <f>AVERAGE(AF111:AK111)</f>
        <v/>
      </c>
      <c r="M111" s="13">
        <f>AVERAGE(AL111:AQ111)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 s="11">
        <f>'By Round'!A73</f>
        <v/>
      </c>
      <c r="C112" s="11">
        <f>'By Round'!B75</f>
        <v/>
      </c>
      <c r="D112" s="11">
        <f>'By Round'!C75</f>
        <v/>
      </c>
      <c r="E112" s="11">
        <f>'By Round'!D75</f>
        <v/>
      </c>
      <c r="F112" s="11">
        <f>IF(ISBLANK('By Round'!F76),"",'By Round'!F76)</f>
        <v/>
      </c>
      <c r="G112">
        <f>IF(ISBLANK('By Round'!G76),"",'By Round'!G76)</f>
        <v/>
      </c>
      <c r="H112">
        <f>IF(ISBLANK('By Round'!H76),"",'By Round'!H76)</f>
        <v/>
      </c>
      <c r="I112">
        <f>IF(ISBLANK('By Round'!I76),"",'By Round'!I76)</f>
        <v/>
      </c>
      <c r="J112">
        <f>IF(ISBLANK('By Round'!J76),"",'By Round'!J76)</f>
        <v/>
      </c>
      <c r="K112">
        <f>IF(ISBLANK('By Round'!K76),"",'By Round'!K76)</f>
        <v/>
      </c>
      <c r="L112" s="12">
        <f>AVERAGE(AF112:AK112)</f>
        <v/>
      </c>
      <c r="M112" s="13">
        <f>AVERAGE(AL112:AQ112)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 s="11">
        <f>'By Round'!A45</f>
        <v/>
      </c>
      <c r="C113" s="11">
        <f>'By Round'!B51</f>
        <v/>
      </c>
      <c r="D113" s="11">
        <f>'By Round'!C51</f>
        <v/>
      </c>
      <c r="E113" s="11">
        <f>'By Round'!D51</f>
        <v/>
      </c>
      <c r="F113" s="11">
        <f>IF(ISBLANK('By Round'!F52),"",'By Round'!F52)</f>
        <v/>
      </c>
      <c r="G113">
        <f>IF(ISBLANK('By Round'!G52),"",'By Round'!G52)</f>
        <v/>
      </c>
      <c r="H113">
        <f>IF(ISBLANK('By Round'!H52),"",'By Round'!H52)</f>
        <v/>
      </c>
      <c r="I113">
        <f>IF(ISBLANK('By Round'!I52),"",'By Round'!I52)</f>
        <v/>
      </c>
      <c r="J113">
        <f>IF(ISBLANK('By Round'!J52),"",'By Round'!J52)</f>
        <v/>
      </c>
      <c r="K113">
        <f>IF(ISBLANK('By Round'!K52),"",'By Round'!K52)</f>
        <v/>
      </c>
      <c r="L113" s="12">
        <f>AVERAGE(AF113:AK113)</f>
        <v/>
      </c>
      <c r="M113" s="13">
        <f>AVERAGE(AL113:AQ113)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6">
        <f>'By Round'!A129</f>
        <v/>
      </c>
      <c r="C114" s="16">
        <f>'By Round'!B141</f>
        <v/>
      </c>
      <c r="D114" s="16">
        <f>'By Round'!C141</f>
        <v/>
      </c>
      <c r="E114" s="16">
        <f>'By Round'!D141</f>
        <v/>
      </c>
      <c r="F114" s="16">
        <f>IF(ISBLANK('By Round'!F142),"",'By Round'!F142)</f>
        <v/>
      </c>
      <c r="G114" s="15">
        <f>IF(ISBLANK('By Round'!G142),"",'By Round'!G142)</f>
        <v/>
      </c>
      <c r="H114" s="15">
        <f>IF(ISBLANK('By Round'!H142),"",'By Round'!H142)</f>
        <v/>
      </c>
      <c r="I114" s="15">
        <f>IF(ISBLANK('By Round'!I142),"",'By Round'!I142)</f>
        <v/>
      </c>
      <c r="J114" s="15">
        <f>IF(ISBLANK('By Round'!J142),"",'By Round'!J142)</f>
        <v/>
      </c>
      <c r="K114" s="15">
        <f>IF(ISBLANK('By Round'!K142),"",'By Round'!K142)</f>
        <v/>
      </c>
      <c r="L114" s="17">
        <f>AVERAGE(AF114:AK114)</f>
        <v/>
      </c>
      <c r="M114" s="18">
        <f>AVERAGE(AL114:AQ114)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s="11" t="n">
        <v>17</v>
      </c>
      <c r="B115" s="11">
        <f>'By Round'!A115</f>
        <v/>
      </c>
      <c r="C115" s="11">
        <f>'By Round'!B115</f>
        <v/>
      </c>
      <c r="D115" s="11">
        <f>'By Round'!C115</f>
        <v/>
      </c>
      <c r="E115" s="11">
        <f>'By Round'!D115</f>
        <v/>
      </c>
      <c r="F115" s="11">
        <f>IF(ISBLANK('By Round'!F115),"",'By Round'!F115)</f>
        <v/>
      </c>
      <c r="G115">
        <f>IF(ISBLANK('By Round'!G115),"",'By Round'!G115)</f>
        <v/>
      </c>
      <c r="H115">
        <f>IF(ISBLANK('By Round'!H115),"",'By Round'!H115)</f>
        <v/>
      </c>
      <c r="I115">
        <f>IF(ISBLANK('By Round'!I115),"",'By Round'!I115)</f>
        <v/>
      </c>
      <c r="J115">
        <f>IF(ISBLANK('By Round'!J115),"",'By Round'!J115)</f>
        <v/>
      </c>
      <c r="K115">
        <f>IF(ISBLANK('By Round'!K115),"",'By Round'!K115)</f>
        <v/>
      </c>
      <c r="L115" s="12">
        <f>AVERAGE(AF115:AK115)</f>
        <v/>
      </c>
      <c r="M115" s="13">
        <f>AVERAGE(AL115:AQ115)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 s="11">
        <f>'By Round'!A143</f>
        <v/>
      </c>
      <c r="C116" s="11">
        <f>'By Round'!B155</f>
        <v/>
      </c>
      <c r="D116" s="11">
        <f>'By Round'!C155</f>
        <v/>
      </c>
      <c r="E116" s="11">
        <f>'By Round'!D155</f>
        <v/>
      </c>
      <c r="F116" s="11">
        <f>IF(ISBLANK('By Round'!F155),"",'By Round'!F155)</f>
        <v/>
      </c>
      <c r="G116">
        <f>IF(ISBLANK('By Round'!G155),"",'By Round'!G155)</f>
        <v/>
      </c>
      <c r="H116">
        <f>IF(ISBLANK('By Round'!H155),"",'By Round'!H155)</f>
        <v/>
      </c>
      <c r="I116">
        <f>IF(ISBLANK('By Round'!I155),"",'By Round'!I155)</f>
        <v/>
      </c>
      <c r="J116">
        <f>IF(ISBLANK('By Round'!J155),"",'By Round'!J155)</f>
        <v/>
      </c>
      <c r="K116">
        <f>IF(ISBLANK('By Round'!K155),"",'By Round'!K155)</f>
        <v/>
      </c>
      <c r="L116" s="12">
        <f>AVERAGE(AF116:AK116)</f>
        <v/>
      </c>
      <c r="M116" s="13">
        <f>AVERAGE(AL116:AQ116)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 s="11">
        <f>'By Round'!A171</f>
        <v/>
      </c>
      <c r="C117" s="11">
        <f>'By Round'!B179</f>
        <v/>
      </c>
      <c r="D117" s="11">
        <f>'By Round'!C179</f>
        <v/>
      </c>
      <c r="E117" s="11">
        <f>'By Round'!D179</f>
        <v/>
      </c>
      <c r="F117" s="11">
        <f>IF(ISBLANK('By Round'!F179),"",'By Round'!F179)</f>
        <v/>
      </c>
      <c r="G117">
        <f>IF(ISBLANK('By Round'!G179),"",'By Round'!G179)</f>
        <v/>
      </c>
      <c r="H117">
        <f>IF(ISBLANK('By Round'!H179),"",'By Round'!H179)</f>
        <v/>
      </c>
      <c r="I117">
        <f>IF(ISBLANK('By Round'!I179),"",'By Round'!I179)</f>
        <v/>
      </c>
      <c r="J117">
        <f>IF(ISBLANK('By Round'!J179),"",'By Round'!J179)</f>
        <v/>
      </c>
      <c r="K117">
        <f>IF(ISBLANK('By Round'!K179),"",'By Round'!K179)</f>
        <v/>
      </c>
      <c r="L117" s="12">
        <f>AVERAGE(AF117:AK117)</f>
        <v/>
      </c>
      <c r="M117" s="13">
        <f>AVERAGE(AL117:AQ117)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 s="11">
        <f>'By Round'!A157</f>
        <v/>
      </c>
      <c r="C118" s="11">
        <f>'By Round'!B167</f>
        <v/>
      </c>
      <c r="D118" s="11">
        <f>'By Round'!C167</f>
        <v/>
      </c>
      <c r="E118" s="11">
        <f>'By Round'!D167</f>
        <v/>
      </c>
      <c r="F118" s="11">
        <f>IF(ISBLANK('By Round'!F167),"",'By Round'!F167)</f>
        <v/>
      </c>
      <c r="G118">
        <f>IF(ISBLANK('By Round'!G167),"",'By Round'!G167)</f>
        <v/>
      </c>
      <c r="H118">
        <f>IF(ISBLANK('By Round'!H167),"",'By Round'!H167)</f>
        <v/>
      </c>
      <c r="I118">
        <f>IF(ISBLANK('By Round'!I167),"",'By Round'!I167)</f>
        <v/>
      </c>
      <c r="J118">
        <f>IF(ISBLANK('By Round'!J167),"",'By Round'!J167)</f>
        <v/>
      </c>
      <c r="K118">
        <f>IF(ISBLANK('By Round'!K167),"",'By Round'!K167)</f>
        <v/>
      </c>
      <c r="L118" s="12">
        <f>AVERAGE(AF118:AK118)</f>
        <v/>
      </c>
      <c r="M118" s="13">
        <f>AVERAGE(AL118:AQ118)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 s="11">
        <f>'By Round'!A73</f>
        <v/>
      </c>
      <c r="C119" s="11">
        <f>'By Round'!B77</f>
        <v/>
      </c>
      <c r="D119" s="11">
        <f>'By Round'!C77</f>
        <v/>
      </c>
      <c r="E119" s="11">
        <f>'By Round'!D77</f>
        <v/>
      </c>
      <c r="F119" s="11">
        <f>IF(ISBLANK('By Round'!F77),"",'By Round'!F77)</f>
        <v/>
      </c>
      <c r="G119">
        <f>IF(ISBLANK('By Round'!G77),"",'By Round'!G77)</f>
        <v/>
      </c>
      <c r="H119">
        <f>IF(ISBLANK('By Round'!H77),"",'By Round'!H77)</f>
        <v/>
      </c>
      <c r="I119">
        <f>IF(ISBLANK('By Round'!I77),"",'By Round'!I77)</f>
        <v/>
      </c>
      <c r="J119">
        <f>IF(ISBLANK('By Round'!J77),"",'By Round'!J77)</f>
        <v/>
      </c>
      <c r="K119">
        <f>IF(ISBLANK('By Round'!K77),"",'By Round'!K77)</f>
        <v/>
      </c>
      <c r="L119" s="12">
        <f>AVERAGE(AF119:AK119)</f>
        <v/>
      </c>
      <c r="M119" s="13">
        <f>AVERAGE(AL119:AQ119)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 s="11">
        <f>'By Round'!A87</f>
        <v/>
      </c>
      <c r="C120" s="11">
        <f>'By Round'!B89</f>
        <v/>
      </c>
      <c r="D120" s="11">
        <f>'By Round'!C89</f>
        <v/>
      </c>
      <c r="E120" s="11">
        <f>'By Round'!D89</f>
        <v/>
      </c>
      <c r="F120" s="11">
        <f>IF(ISBLANK('By Round'!F89),"",'By Round'!F89)</f>
        <v/>
      </c>
      <c r="G120">
        <f>IF(ISBLANK('By Round'!G89),"",'By Round'!G89)</f>
        <v/>
      </c>
      <c r="H120">
        <f>IF(ISBLANK('By Round'!H89),"",'By Round'!H89)</f>
        <v/>
      </c>
      <c r="I120">
        <f>IF(ISBLANK('By Round'!I89),"",'By Round'!I89)</f>
        <v/>
      </c>
      <c r="J120">
        <f>IF(ISBLANK('By Round'!J89),"",'By Round'!J89)</f>
        <v/>
      </c>
      <c r="K120">
        <f>IF(ISBLANK('By Round'!K89),"",'By Round'!K89)</f>
        <v/>
      </c>
      <c r="L120" s="12">
        <f>AVERAGE(AF120:AK120)</f>
        <v/>
      </c>
      <c r="M120" s="13">
        <f>AVERAGE(AL120:AQ120)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6">
        <f>'By Round'!A59</f>
        <v/>
      </c>
      <c r="C121" s="16">
        <f>'By Round'!B65</f>
        <v/>
      </c>
      <c r="D121" s="16">
        <f>'By Round'!C65</f>
        <v/>
      </c>
      <c r="E121" s="16">
        <f>'By Round'!D65</f>
        <v/>
      </c>
      <c r="F121" s="16">
        <f>IF(ISBLANK('By Round'!F65),"",'By Round'!F65)</f>
        <v/>
      </c>
      <c r="G121" s="15">
        <f>IF(ISBLANK('By Round'!G65),"",'By Round'!G65)</f>
        <v/>
      </c>
      <c r="H121" s="15">
        <f>IF(ISBLANK('By Round'!H65),"",'By Round'!H65)</f>
        <v/>
      </c>
      <c r="I121" s="15">
        <f>IF(ISBLANK('By Round'!I65),"",'By Round'!I65)</f>
        <v/>
      </c>
      <c r="J121" s="15">
        <f>IF(ISBLANK('By Round'!J65),"",'By Round'!J65)</f>
        <v/>
      </c>
      <c r="K121" s="15">
        <f>IF(ISBLANK('By Round'!K65),"",'By Round'!K65)</f>
        <v/>
      </c>
      <c r="L121" s="17">
        <f>AVERAGE(AF121:AK121)</f>
        <v/>
      </c>
      <c r="M121" s="18">
        <f>AVERAGE(AL121:AQ121)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s="11" t="n">
        <v>18</v>
      </c>
      <c r="B122" s="11">
        <f>'By Round'!A115</f>
        <v/>
      </c>
      <c r="C122" s="11">
        <f>'By Round'!B115</f>
        <v/>
      </c>
      <c r="D122" s="11">
        <f>'By Round'!C115</f>
        <v/>
      </c>
      <c r="E122" s="11">
        <f>'By Round'!D115</f>
        <v/>
      </c>
      <c r="F122" s="11">
        <f>IF(ISBLANK('By Round'!F116),"",'By Round'!F116)</f>
        <v/>
      </c>
      <c r="G122">
        <f>IF(ISBLANK('By Round'!G116),"",'By Round'!G116)</f>
        <v/>
      </c>
      <c r="H122">
        <f>IF(ISBLANK('By Round'!H116),"",'By Round'!H116)</f>
        <v/>
      </c>
      <c r="I122">
        <f>IF(ISBLANK('By Round'!I116),"",'By Round'!I116)</f>
        <v/>
      </c>
      <c r="J122">
        <f>IF(ISBLANK('By Round'!J116),"",'By Round'!J116)</f>
        <v/>
      </c>
      <c r="K122">
        <f>IF(ISBLANK('By Round'!K116),"",'By Round'!K116)</f>
        <v/>
      </c>
      <c r="L122" s="12">
        <f>AVERAGE(AF122:AK122)</f>
        <v/>
      </c>
      <c r="M122" s="13">
        <f>AVERAGE(AL122:AQ122)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 s="11">
        <f>'By Round'!A143</f>
        <v/>
      </c>
      <c r="C123" s="11">
        <f>'By Round'!B155</f>
        <v/>
      </c>
      <c r="D123" s="11">
        <f>'By Round'!C155</f>
        <v/>
      </c>
      <c r="E123" s="11">
        <f>'By Round'!D155</f>
        <v/>
      </c>
      <c r="F123" s="11">
        <f>IF(ISBLANK('By Round'!F156),"",'By Round'!F156)</f>
        <v/>
      </c>
      <c r="G123">
        <f>IF(ISBLANK('By Round'!G156),"",'By Round'!G156)</f>
        <v/>
      </c>
      <c r="H123">
        <f>IF(ISBLANK('By Round'!H156),"",'By Round'!H156)</f>
        <v/>
      </c>
      <c r="I123">
        <f>IF(ISBLANK('By Round'!I156),"",'By Round'!I156)</f>
        <v/>
      </c>
      <c r="J123">
        <f>IF(ISBLANK('By Round'!J156),"",'By Round'!J156)</f>
        <v/>
      </c>
      <c r="K123">
        <f>IF(ISBLANK('By Round'!K156),"",'By Round'!K156)</f>
        <v/>
      </c>
      <c r="L123" s="12">
        <f>AVERAGE(AF123:AK123)</f>
        <v/>
      </c>
      <c r="M123" s="13">
        <f>AVERAGE(AL123:AQ123)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 s="11">
        <f>'By Round'!A171</f>
        <v/>
      </c>
      <c r="C124" s="11">
        <f>'By Round'!B179</f>
        <v/>
      </c>
      <c r="D124" s="11">
        <f>'By Round'!C179</f>
        <v/>
      </c>
      <c r="E124" s="11">
        <f>'By Round'!D179</f>
        <v/>
      </c>
      <c r="F124" s="11">
        <f>IF(ISBLANK('By Round'!F180),"",'By Round'!F180)</f>
        <v/>
      </c>
      <c r="G124">
        <f>IF(ISBLANK('By Round'!G180),"",'By Round'!G180)</f>
        <v/>
      </c>
      <c r="H124">
        <f>IF(ISBLANK('By Round'!H180),"",'By Round'!H180)</f>
        <v/>
      </c>
      <c r="I124">
        <f>IF(ISBLANK('By Round'!I180),"",'By Round'!I180)</f>
        <v/>
      </c>
      <c r="J124">
        <f>IF(ISBLANK('By Round'!J180),"",'By Round'!J180)</f>
        <v/>
      </c>
      <c r="K124">
        <f>IF(ISBLANK('By Round'!K180),"",'By Round'!K180)</f>
        <v/>
      </c>
      <c r="L124" s="12">
        <f>AVERAGE(AF124:AK124)</f>
        <v/>
      </c>
      <c r="M124" s="13">
        <f>AVERAGE(AL124:AQ124)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 s="11">
        <f>'By Round'!A157</f>
        <v/>
      </c>
      <c r="C125" s="11">
        <f>'By Round'!B167</f>
        <v/>
      </c>
      <c r="D125" s="11">
        <f>'By Round'!C167</f>
        <v/>
      </c>
      <c r="E125" s="11">
        <f>'By Round'!D167</f>
        <v/>
      </c>
      <c r="F125" s="11">
        <f>IF(ISBLANK('By Round'!F168),"",'By Round'!F168)</f>
        <v/>
      </c>
      <c r="G125">
        <f>IF(ISBLANK('By Round'!G168),"",'By Round'!G168)</f>
        <v/>
      </c>
      <c r="H125">
        <f>IF(ISBLANK('By Round'!H168),"",'By Round'!H168)</f>
        <v/>
      </c>
      <c r="I125">
        <f>IF(ISBLANK('By Round'!I168),"",'By Round'!I168)</f>
        <v/>
      </c>
      <c r="J125">
        <f>IF(ISBLANK('By Round'!J168),"",'By Round'!J168)</f>
        <v/>
      </c>
      <c r="K125">
        <f>IF(ISBLANK('By Round'!K168),"",'By Round'!K168)</f>
        <v/>
      </c>
      <c r="L125" s="12">
        <f>AVERAGE(AF125:AK125)</f>
        <v/>
      </c>
      <c r="M125" s="13">
        <f>AVERAGE(AL125:AQ125)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 s="11">
        <f>'By Round'!A73</f>
        <v/>
      </c>
      <c r="C126" s="11">
        <f>'By Round'!B77</f>
        <v/>
      </c>
      <c r="D126" s="11">
        <f>'By Round'!C77</f>
        <v/>
      </c>
      <c r="E126" s="11">
        <f>'By Round'!D77</f>
        <v/>
      </c>
      <c r="F126" s="11">
        <f>IF(ISBLANK('By Round'!F78),"",'By Round'!F78)</f>
        <v/>
      </c>
      <c r="G126">
        <f>IF(ISBLANK('By Round'!G78),"",'By Round'!G78)</f>
        <v/>
      </c>
      <c r="H126">
        <f>IF(ISBLANK('By Round'!H78),"",'By Round'!H78)</f>
        <v/>
      </c>
      <c r="I126">
        <f>IF(ISBLANK('By Round'!I78),"",'By Round'!I78)</f>
        <v/>
      </c>
      <c r="J126">
        <f>IF(ISBLANK('By Round'!J78),"",'By Round'!J78)</f>
        <v/>
      </c>
      <c r="K126">
        <f>IF(ISBLANK('By Round'!K78),"",'By Round'!K78)</f>
        <v/>
      </c>
      <c r="L126" s="12">
        <f>AVERAGE(AF126:AK126)</f>
        <v/>
      </c>
      <c r="M126" s="13">
        <f>AVERAGE(AL126:AQ126)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 s="11">
        <f>'By Round'!A87</f>
        <v/>
      </c>
      <c r="C127" s="11">
        <f>'By Round'!B89</f>
        <v/>
      </c>
      <c r="D127" s="11">
        <f>'By Round'!C89</f>
        <v/>
      </c>
      <c r="E127" s="11">
        <f>'By Round'!D89</f>
        <v/>
      </c>
      <c r="F127" s="11">
        <f>IF(ISBLANK('By Round'!F90),"",'By Round'!F90)</f>
        <v/>
      </c>
      <c r="G127">
        <f>IF(ISBLANK('By Round'!G90),"",'By Round'!G90)</f>
        <v/>
      </c>
      <c r="H127">
        <f>IF(ISBLANK('By Round'!H90),"",'By Round'!H90)</f>
        <v/>
      </c>
      <c r="I127">
        <f>IF(ISBLANK('By Round'!I90),"",'By Round'!I90)</f>
        <v/>
      </c>
      <c r="J127">
        <f>IF(ISBLANK('By Round'!J90),"",'By Round'!J90)</f>
        <v/>
      </c>
      <c r="K127">
        <f>IF(ISBLANK('By Round'!K90),"",'By Round'!K90)</f>
        <v/>
      </c>
      <c r="L127" s="12">
        <f>AVERAGE(AF127:AK127)</f>
        <v/>
      </c>
      <c r="M127" s="13">
        <f>AVERAGE(AL127:AQ127)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6">
        <f>'By Round'!A59</f>
        <v/>
      </c>
      <c r="C128" s="16">
        <f>'By Round'!B65</f>
        <v/>
      </c>
      <c r="D128" s="16">
        <f>'By Round'!C65</f>
        <v/>
      </c>
      <c r="E128" s="16">
        <f>'By Round'!D65</f>
        <v/>
      </c>
      <c r="F128" s="16">
        <f>IF(ISBLANK('By Round'!F66),"",'By Round'!F66)</f>
        <v/>
      </c>
      <c r="G128" s="15">
        <f>IF(ISBLANK('By Round'!G66),"",'By Round'!G66)</f>
        <v/>
      </c>
      <c r="H128" s="15">
        <f>IF(ISBLANK('By Round'!H66),"",'By Round'!H66)</f>
        <v/>
      </c>
      <c r="I128" s="15">
        <f>IF(ISBLANK('By Round'!I66),"",'By Round'!I66)</f>
        <v/>
      </c>
      <c r="J128" s="15">
        <f>IF(ISBLANK('By Round'!J66),"",'By Round'!J66)</f>
        <v/>
      </c>
      <c r="K128" s="15">
        <f>IF(ISBLANK('By Round'!K66),"",'By Round'!K66)</f>
        <v/>
      </c>
      <c r="L128" s="17">
        <f>AVERAGE(AF128:AK128)</f>
        <v/>
      </c>
      <c r="M128" s="18">
        <f>AVERAGE(AL128:AQ128)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s="11" t="n">
        <v>19</v>
      </c>
      <c r="B129" s="11">
        <f>'By Round'!A129</f>
        <v/>
      </c>
      <c r="C129" s="11">
        <f>'By Round'!B129</f>
        <v/>
      </c>
      <c r="D129" s="11">
        <f>'By Round'!C129</f>
        <v/>
      </c>
      <c r="E129" s="11">
        <f>'By Round'!D129</f>
        <v/>
      </c>
      <c r="F129" s="11">
        <f>IF(ISBLANK('By Round'!F129),"",'By Round'!F129)</f>
        <v/>
      </c>
      <c r="G129">
        <f>IF(ISBLANK('By Round'!G129),"",'By Round'!G129)</f>
        <v/>
      </c>
      <c r="H129">
        <f>IF(ISBLANK('By Round'!H129),"",'By Round'!H129)</f>
        <v/>
      </c>
      <c r="I129">
        <f>IF(ISBLANK('By Round'!I129),"",'By Round'!I129)</f>
        <v/>
      </c>
      <c r="J129">
        <f>IF(ISBLANK('By Round'!J129),"",'By Round'!J129)</f>
        <v/>
      </c>
      <c r="K129">
        <f>IF(ISBLANK('By Round'!K129),"",'By Round'!K129)</f>
        <v/>
      </c>
      <c r="L129" s="12">
        <f>AVERAGE(AF129:AK129)</f>
        <v/>
      </c>
      <c r="M129" s="13">
        <f>AVERAGE(AL129:AQ129)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 s="11">
        <f>'By Round'!A73</f>
        <v/>
      </c>
      <c r="C130" s="11">
        <f>'By Round'!B79</f>
        <v/>
      </c>
      <c r="D130" s="11">
        <f>'By Round'!C79</f>
        <v/>
      </c>
      <c r="E130" s="11">
        <f>'By Round'!D79</f>
        <v/>
      </c>
      <c r="F130" s="11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AVERAGE(AF130:AK130)</f>
        <v/>
      </c>
      <c r="M130" s="13">
        <f>AVERAGE(AL130:AQ130)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 s="11">
        <f>'By Round'!A157</f>
        <v/>
      </c>
      <c r="C131" s="11">
        <f>'By Round'!B169</f>
        <v/>
      </c>
      <c r="D131" s="11">
        <f>'By Round'!C169</f>
        <v/>
      </c>
      <c r="E131" s="11">
        <f>'By Round'!D169</f>
        <v/>
      </c>
      <c r="F131" s="11">
        <f>IF(ISBLANK('By Round'!F169),"",'By Round'!F169)</f>
        <v/>
      </c>
      <c r="G131">
        <f>IF(ISBLANK('By Round'!G169),"",'By Round'!G169)</f>
        <v/>
      </c>
      <c r="H131">
        <f>IF(ISBLANK('By Round'!H169),"",'By Round'!H169)</f>
        <v/>
      </c>
      <c r="I131">
        <f>IF(ISBLANK('By Round'!I169),"",'By Round'!I169)</f>
        <v/>
      </c>
      <c r="J131">
        <f>IF(ISBLANK('By Round'!J169),"",'By Round'!J169)</f>
        <v/>
      </c>
      <c r="K131">
        <f>IF(ISBLANK('By Round'!K169),"",'By Round'!K169)</f>
        <v/>
      </c>
      <c r="L131" s="12">
        <f>AVERAGE(AF131:AK131)</f>
        <v/>
      </c>
      <c r="M131" s="13">
        <f>AVERAGE(AL131:AQ131)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 s="11">
        <f>'By Round'!A3</f>
        <v/>
      </c>
      <c r="C132" s="11">
        <f>'By Round'!B11</f>
        <v/>
      </c>
      <c r="D132" s="11">
        <f>'By Round'!C11</f>
        <v/>
      </c>
      <c r="E132" s="11">
        <f>'By Round'!D11</f>
        <v/>
      </c>
      <c r="F132" s="11">
        <f>IF(ISBLANK('By Round'!F11),"",'By Round'!F11)</f>
        <v/>
      </c>
      <c r="G132">
        <f>IF(ISBLANK('By Round'!G11),"",'By Round'!G11)</f>
        <v/>
      </c>
      <c r="H132">
        <f>IF(ISBLANK('By Round'!H11),"",'By Round'!H11)</f>
        <v/>
      </c>
      <c r="I132">
        <f>IF(ISBLANK('By Round'!I11),"",'By Round'!I11)</f>
        <v/>
      </c>
      <c r="J132">
        <f>IF(ISBLANK('By Round'!J11),"",'By Round'!J11)</f>
        <v/>
      </c>
      <c r="K132">
        <f>IF(ISBLANK('By Round'!K11),"",'By Round'!K11)</f>
        <v/>
      </c>
      <c r="L132" s="12">
        <f>AVERAGE(AF132:AK132)</f>
        <v/>
      </c>
      <c r="M132" s="13">
        <f>AVERAGE(AL132:AQ132)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 s="11">
        <f>'By Round'!A171</f>
        <v/>
      </c>
      <c r="C133" s="11">
        <f>'By Round'!B181</f>
        <v/>
      </c>
      <c r="D133" s="11">
        <f>'By Round'!C181</f>
        <v/>
      </c>
      <c r="E133" s="11">
        <f>'By Round'!D181</f>
        <v/>
      </c>
      <c r="F133" s="11">
        <f>IF(ISBLANK('By Round'!F181),"",'By Round'!F181)</f>
        <v/>
      </c>
      <c r="G133">
        <f>IF(ISBLANK('By Round'!G181),"",'By Round'!G181)</f>
        <v/>
      </c>
      <c r="H133">
        <f>IF(ISBLANK('By Round'!H181),"",'By Round'!H181)</f>
        <v/>
      </c>
      <c r="I133">
        <f>IF(ISBLANK('By Round'!I181),"",'By Round'!I181)</f>
        <v/>
      </c>
      <c r="J133">
        <f>IF(ISBLANK('By Round'!J181),"",'By Round'!J181)</f>
        <v/>
      </c>
      <c r="K133">
        <f>IF(ISBLANK('By Round'!K181),"",'By Round'!K181)</f>
        <v/>
      </c>
      <c r="L133" s="12">
        <f>AVERAGE(AF133:AK133)</f>
        <v/>
      </c>
      <c r="M133" s="13">
        <f>AVERAGE(AL133:AQ133)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 s="11">
        <f>'By Round'!A87</f>
        <v/>
      </c>
      <c r="C134" s="11">
        <f>'By Round'!B91</f>
        <v/>
      </c>
      <c r="D134" s="11">
        <f>'By Round'!C91</f>
        <v/>
      </c>
      <c r="E134" s="11">
        <f>'By Round'!D91</f>
        <v/>
      </c>
      <c r="F134" s="11">
        <f>IF(ISBLANK('By Round'!F91),"",'By Round'!F91)</f>
        <v/>
      </c>
      <c r="G134">
        <f>IF(ISBLANK('By Round'!G91),"",'By Round'!G91)</f>
        <v/>
      </c>
      <c r="H134">
        <f>IF(ISBLANK('By Round'!H91),"",'By Round'!H91)</f>
        <v/>
      </c>
      <c r="I134">
        <f>IF(ISBLANK('By Round'!I91),"",'By Round'!I91)</f>
        <v/>
      </c>
      <c r="J134">
        <f>IF(ISBLANK('By Round'!J91),"",'By Round'!J91)</f>
        <v/>
      </c>
      <c r="K134">
        <f>IF(ISBLANK('By Round'!K91),"",'By Round'!K91)</f>
        <v/>
      </c>
      <c r="L134" s="12">
        <f>AVERAGE(AF134:AK134)</f>
        <v/>
      </c>
      <c r="M134" s="13">
        <f>AVERAGE(AL134:AQ134)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6">
        <f>'By Round'!A101</f>
        <v/>
      </c>
      <c r="C135" s="16">
        <f>'By Round'!B103</f>
        <v/>
      </c>
      <c r="D135" s="16">
        <f>'By Round'!C103</f>
        <v/>
      </c>
      <c r="E135" s="16">
        <f>'By Round'!D103</f>
        <v/>
      </c>
      <c r="F135" s="16">
        <f>IF(ISBLANK('By Round'!F103),"",'By Round'!F103)</f>
        <v/>
      </c>
      <c r="G135" s="15">
        <f>IF(ISBLANK('By Round'!G103),"",'By Round'!G103)</f>
        <v/>
      </c>
      <c r="H135" s="15">
        <f>IF(ISBLANK('By Round'!H103),"",'By Round'!H103)</f>
        <v/>
      </c>
      <c r="I135" s="15">
        <f>IF(ISBLANK('By Round'!I103),"",'By Round'!I103)</f>
        <v/>
      </c>
      <c r="J135" s="15">
        <f>IF(ISBLANK('By Round'!J103),"",'By Round'!J103)</f>
        <v/>
      </c>
      <c r="K135" s="15">
        <f>IF(ISBLANK('By Round'!K103),"",'By Round'!K103)</f>
        <v/>
      </c>
      <c r="L135" s="17">
        <f>AVERAGE(AF135:AK135)</f>
        <v/>
      </c>
      <c r="M135" s="18">
        <f>AVERAGE(AL135:AQ135)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s="11" t="n">
        <v>20</v>
      </c>
      <c r="B136" s="11">
        <f>'By Round'!A129</f>
        <v/>
      </c>
      <c r="C136" s="11">
        <f>'By Round'!B129</f>
        <v/>
      </c>
      <c r="D136" s="11">
        <f>'By Round'!C129</f>
        <v/>
      </c>
      <c r="E136" s="11">
        <f>'By Round'!D129</f>
        <v/>
      </c>
      <c r="F136" s="11">
        <f>IF(ISBLANK('By Round'!F130),"",'By Round'!F130)</f>
        <v/>
      </c>
      <c r="G136">
        <f>IF(ISBLANK('By Round'!G130),"",'By Round'!G130)</f>
        <v/>
      </c>
      <c r="H136">
        <f>IF(ISBLANK('By Round'!H130),"",'By Round'!H130)</f>
        <v/>
      </c>
      <c r="I136">
        <f>IF(ISBLANK('By Round'!I130),"",'By Round'!I130)</f>
        <v/>
      </c>
      <c r="J136">
        <f>IF(ISBLANK('By Round'!J130),"",'By Round'!J130)</f>
        <v/>
      </c>
      <c r="K136">
        <f>IF(ISBLANK('By Round'!K130),"",'By Round'!K130)</f>
        <v/>
      </c>
      <c r="L136" s="12">
        <f>AVERAGE(AF136:AK136)</f>
        <v/>
      </c>
      <c r="M136" s="13">
        <f>AVERAGE(AL136:AQ136)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 s="11">
        <f>'By Round'!A73</f>
        <v/>
      </c>
      <c r="C137" s="11">
        <f>'By Round'!B79</f>
        <v/>
      </c>
      <c r="D137" s="11">
        <f>'By Round'!C79</f>
        <v/>
      </c>
      <c r="E137" s="11">
        <f>'By Round'!D79</f>
        <v/>
      </c>
      <c r="F137" s="11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 s="12">
        <f>AVERAGE(AF137:AK137)</f>
        <v/>
      </c>
      <c r="M137" s="13">
        <f>AVERAGE(AL137:AQ137)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 s="11">
        <f>'By Round'!A157</f>
        <v/>
      </c>
      <c r="C138" s="11">
        <f>'By Round'!B169</f>
        <v/>
      </c>
      <c r="D138" s="11">
        <f>'By Round'!C169</f>
        <v/>
      </c>
      <c r="E138" s="11">
        <f>'By Round'!D169</f>
        <v/>
      </c>
      <c r="F138" s="11">
        <f>IF(ISBLANK('By Round'!F170),"",'By Round'!F170)</f>
        <v/>
      </c>
      <c r="G138">
        <f>IF(ISBLANK('By Round'!G170),"",'By Round'!G170)</f>
        <v/>
      </c>
      <c r="H138">
        <f>IF(ISBLANK('By Round'!H170),"",'By Round'!H170)</f>
        <v/>
      </c>
      <c r="I138">
        <f>IF(ISBLANK('By Round'!I170),"",'By Round'!I170)</f>
        <v/>
      </c>
      <c r="J138">
        <f>IF(ISBLANK('By Round'!J170),"",'By Round'!J170)</f>
        <v/>
      </c>
      <c r="K138">
        <f>IF(ISBLANK('By Round'!K170),"",'By Round'!K170)</f>
        <v/>
      </c>
      <c r="L138" s="12">
        <f>AVERAGE(AF138:AK138)</f>
        <v/>
      </c>
      <c r="M138" s="13">
        <f>AVERAGE(AL138:AQ138)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 s="11">
        <f>'By Round'!A3</f>
        <v/>
      </c>
      <c r="C139" s="11">
        <f>'By Round'!B11</f>
        <v/>
      </c>
      <c r="D139" s="11">
        <f>'By Round'!C11</f>
        <v/>
      </c>
      <c r="E139" s="11">
        <f>'By Round'!D11</f>
        <v/>
      </c>
      <c r="F139" s="11">
        <f>IF(ISBLANK('By Round'!F12),"",'By Round'!F12)</f>
        <v/>
      </c>
      <c r="G139">
        <f>IF(ISBLANK('By Round'!G12),"",'By Round'!G12)</f>
        <v/>
      </c>
      <c r="H139">
        <f>IF(ISBLANK('By Round'!H12),"",'By Round'!H12)</f>
        <v/>
      </c>
      <c r="I139">
        <f>IF(ISBLANK('By Round'!I12),"",'By Round'!I12)</f>
        <v/>
      </c>
      <c r="J139">
        <f>IF(ISBLANK('By Round'!J12),"",'By Round'!J12)</f>
        <v/>
      </c>
      <c r="K139">
        <f>IF(ISBLANK('By Round'!K12),"",'By Round'!K12)</f>
        <v/>
      </c>
      <c r="L139" s="12">
        <f>AVERAGE(AF139:AK139)</f>
        <v/>
      </c>
      <c r="M139" s="13">
        <f>AVERAGE(AL139:AQ139)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 s="11">
        <f>'By Round'!A171</f>
        <v/>
      </c>
      <c r="C140" s="11">
        <f>'By Round'!B181</f>
        <v/>
      </c>
      <c r="D140" s="11">
        <f>'By Round'!C181</f>
        <v/>
      </c>
      <c r="E140" s="11">
        <f>'By Round'!D181</f>
        <v/>
      </c>
      <c r="F140" s="11">
        <f>IF(ISBLANK('By Round'!F182),"",'By Round'!F182)</f>
        <v/>
      </c>
      <c r="G140">
        <f>IF(ISBLANK('By Round'!G182),"",'By Round'!G182)</f>
        <v/>
      </c>
      <c r="H140">
        <f>IF(ISBLANK('By Round'!H182),"",'By Round'!H182)</f>
        <v/>
      </c>
      <c r="I140">
        <f>IF(ISBLANK('By Round'!I182),"",'By Round'!I182)</f>
        <v/>
      </c>
      <c r="J140">
        <f>IF(ISBLANK('By Round'!J182),"",'By Round'!J182)</f>
        <v/>
      </c>
      <c r="K140">
        <f>IF(ISBLANK('By Round'!K182),"",'By Round'!K182)</f>
        <v/>
      </c>
      <c r="L140" s="12">
        <f>AVERAGE(AF140:AK140)</f>
        <v/>
      </c>
      <c r="M140" s="13">
        <f>AVERAGE(AL140:AQ140)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 s="11">
        <f>'By Round'!A87</f>
        <v/>
      </c>
      <c r="C141" s="11">
        <f>'By Round'!B91</f>
        <v/>
      </c>
      <c r="D141" s="11">
        <f>'By Round'!C91</f>
        <v/>
      </c>
      <c r="E141" s="11">
        <f>'By Round'!D91</f>
        <v/>
      </c>
      <c r="F141" s="11">
        <f>IF(ISBLANK('By Round'!F92),"",'By Round'!F92)</f>
        <v/>
      </c>
      <c r="G141">
        <f>IF(ISBLANK('By Round'!G92),"",'By Round'!G92)</f>
        <v/>
      </c>
      <c r="H141">
        <f>IF(ISBLANK('By Round'!H92),"",'By Round'!H92)</f>
        <v/>
      </c>
      <c r="I141">
        <f>IF(ISBLANK('By Round'!I92),"",'By Round'!I92)</f>
        <v/>
      </c>
      <c r="J141">
        <f>IF(ISBLANK('By Round'!J92),"",'By Round'!J92)</f>
        <v/>
      </c>
      <c r="K141">
        <f>IF(ISBLANK('By Round'!K92),"",'By Round'!K92)</f>
        <v/>
      </c>
      <c r="L141" s="12">
        <f>AVERAGE(AF141:AK141)</f>
        <v/>
      </c>
      <c r="M141" s="13">
        <f>AVERAGE(AL141:AQ141)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6">
        <f>'By Round'!A101</f>
        <v/>
      </c>
      <c r="C142" s="16">
        <f>'By Round'!B103</f>
        <v/>
      </c>
      <c r="D142" s="16">
        <f>'By Round'!C103</f>
        <v/>
      </c>
      <c r="E142" s="16">
        <f>'By Round'!D103</f>
        <v/>
      </c>
      <c r="F142" s="16">
        <f>IF(ISBLANK('By Round'!F104),"",'By Round'!F104)</f>
        <v/>
      </c>
      <c r="G142" s="15">
        <f>IF(ISBLANK('By Round'!G104),"",'By Round'!G104)</f>
        <v/>
      </c>
      <c r="H142" s="15">
        <f>IF(ISBLANK('By Round'!H104),"",'By Round'!H104)</f>
        <v/>
      </c>
      <c r="I142" s="15">
        <f>IF(ISBLANK('By Round'!I104),"",'By Round'!I104)</f>
        <v/>
      </c>
      <c r="J142" s="15">
        <f>IF(ISBLANK('By Round'!J104),"",'By Round'!J104)</f>
        <v/>
      </c>
      <c r="K142" s="15">
        <f>IF(ISBLANK('By Round'!K104),"",'By Round'!K104)</f>
        <v/>
      </c>
      <c r="L142" s="17">
        <f>AVERAGE(AF142:AK142)</f>
        <v/>
      </c>
      <c r="M142" s="18">
        <f>AVERAGE(AL142:AQ142)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s="11" t="n">
        <v>21</v>
      </c>
      <c r="B143" s="11">
        <f>'By Round'!A143</f>
        <v/>
      </c>
      <c r="C143" s="11">
        <f>'By Round'!B143</f>
        <v/>
      </c>
      <c r="D143" s="11">
        <f>'By Round'!C143</f>
        <v/>
      </c>
      <c r="E143" s="11">
        <f>'By Round'!D143</f>
        <v/>
      </c>
      <c r="F143" s="11">
        <f>IF(ISBLANK('By Round'!F143),"",'By Round'!F143)</f>
        <v/>
      </c>
      <c r="G143">
        <f>IF(ISBLANK('By Round'!G143),"",'By Round'!G143)</f>
        <v/>
      </c>
      <c r="H143">
        <f>IF(ISBLANK('By Round'!H143),"",'By Round'!H143)</f>
        <v/>
      </c>
      <c r="I143">
        <f>IF(ISBLANK('By Round'!I143),"",'By Round'!I143)</f>
        <v/>
      </c>
      <c r="J143">
        <f>IF(ISBLANK('By Round'!J143),"",'By Round'!J143)</f>
        <v/>
      </c>
      <c r="K143">
        <f>IF(ISBLANK('By Round'!K143),"",'By Round'!K143)</f>
        <v/>
      </c>
      <c r="L143" s="12">
        <f>AVERAGE(AF143:AK143)</f>
        <v/>
      </c>
      <c r="M143" s="13">
        <f>AVERAGE(AL143:AQ143)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 s="11">
        <f>'By Round'!A87</f>
        <v/>
      </c>
      <c r="C144" s="11">
        <f>'By Round'!B93</f>
        <v/>
      </c>
      <c r="D144" s="11">
        <f>'By Round'!C93</f>
        <v/>
      </c>
      <c r="E144" s="11">
        <f>'By Round'!D93</f>
        <v/>
      </c>
      <c r="F144" s="11">
        <f>IF(ISBLANK('By Round'!F93),"",'By Round'!F93)</f>
        <v/>
      </c>
      <c r="G144">
        <f>IF(ISBLANK('By Round'!G93),"",'By Round'!G93)</f>
        <v/>
      </c>
      <c r="H144">
        <f>IF(ISBLANK('By Round'!H93),"",'By Round'!H93)</f>
        <v/>
      </c>
      <c r="I144">
        <f>IF(ISBLANK('By Round'!I93),"",'By Round'!I93)</f>
        <v/>
      </c>
      <c r="J144">
        <f>IF(ISBLANK('By Round'!J93),"",'By Round'!J93)</f>
        <v/>
      </c>
      <c r="K144">
        <f>IF(ISBLANK('By Round'!K93),"",'By Round'!K93)</f>
        <v/>
      </c>
      <c r="L144" s="12">
        <f>AVERAGE(AF144:AK144)</f>
        <v/>
      </c>
      <c r="M144" s="13">
        <f>AVERAGE(AL144:AQ144)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 s="11">
        <f>'By Round'!A171</f>
        <v/>
      </c>
      <c r="C145" s="11">
        <f>'By Round'!B183</f>
        <v/>
      </c>
      <c r="D145" s="11">
        <f>'By Round'!C183</f>
        <v/>
      </c>
      <c r="E145" s="11">
        <f>'By Round'!D183</f>
        <v/>
      </c>
      <c r="F145" s="11">
        <f>IF(ISBLANK('By Round'!F183),"",'By Round'!F183)</f>
        <v/>
      </c>
      <c r="G145">
        <f>IF(ISBLANK('By Round'!G183),"",'By Round'!G183)</f>
        <v/>
      </c>
      <c r="H145">
        <f>IF(ISBLANK('By Round'!H183),"",'By Round'!H183)</f>
        <v/>
      </c>
      <c r="I145">
        <f>IF(ISBLANK('By Round'!I183),"",'By Round'!I183)</f>
        <v/>
      </c>
      <c r="J145">
        <f>IF(ISBLANK('By Round'!J183),"",'By Round'!J183)</f>
        <v/>
      </c>
      <c r="K145">
        <f>IF(ISBLANK('By Round'!K183),"",'By Round'!K183)</f>
        <v/>
      </c>
      <c r="L145" s="12">
        <f>AVERAGE(AF145:AK145)</f>
        <v/>
      </c>
      <c r="M145" s="13">
        <f>AVERAGE(AL145:AQ145)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 s="11">
        <f>'By Round'!A17</f>
        <v/>
      </c>
      <c r="C146" s="11">
        <f>'By Round'!B25</f>
        <v/>
      </c>
      <c r="D146" s="11">
        <f>'By Round'!C25</f>
        <v/>
      </c>
      <c r="E146" s="11">
        <f>'By Round'!D25</f>
        <v/>
      </c>
      <c r="F146" s="11">
        <f>IF(ISBLANK('By Round'!F25),"",'By Round'!F25)</f>
        <v/>
      </c>
      <c r="G146">
        <f>IF(ISBLANK('By Round'!G25),"",'By Round'!G25)</f>
        <v/>
      </c>
      <c r="H146">
        <f>IF(ISBLANK('By Round'!H25),"",'By Round'!H25)</f>
        <v/>
      </c>
      <c r="I146">
        <f>IF(ISBLANK('By Round'!I25),"",'By Round'!I25)</f>
        <v/>
      </c>
      <c r="J146">
        <f>IF(ISBLANK('By Round'!J25),"",'By Round'!J25)</f>
        <v/>
      </c>
      <c r="K146">
        <f>IF(ISBLANK('By Round'!K25),"",'By Round'!K25)</f>
        <v/>
      </c>
      <c r="L146" s="12">
        <f>AVERAGE(AF146:AK146)</f>
        <v/>
      </c>
      <c r="M146" s="13">
        <f>AVERAGE(AL146:AQ146)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 s="11">
        <f>'By Round'!A3</f>
        <v/>
      </c>
      <c r="C147" s="11">
        <f>'By Round'!B13</f>
        <v/>
      </c>
      <c r="D147" s="11">
        <f>'By Round'!C13</f>
        <v/>
      </c>
      <c r="E147" s="11">
        <f>'By Round'!D13</f>
        <v/>
      </c>
      <c r="F147" s="11">
        <f>IF(ISBLANK('By Round'!F13),"",'By Round'!F13)</f>
        <v/>
      </c>
      <c r="G147">
        <f>IF(ISBLANK('By Round'!G13),"",'By Round'!G13)</f>
        <v/>
      </c>
      <c r="H147">
        <f>IF(ISBLANK('By Round'!H13),"",'By Round'!H13)</f>
        <v/>
      </c>
      <c r="I147">
        <f>IF(ISBLANK('By Round'!I13),"",'By Round'!I13)</f>
        <v/>
      </c>
      <c r="J147">
        <f>IF(ISBLANK('By Round'!J13),"",'By Round'!J13)</f>
        <v/>
      </c>
      <c r="K147">
        <f>IF(ISBLANK('By Round'!K13),"",'By Round'!K13)</f>
        <v/>
      </c>
      <c r="L147" s="12">
        <f>AVERAGE(AF147:AK147)</f>
        <v/>
      </c>
      <c r="M147" s="13">
        <f>AVERAGE(AL147:AQ147)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 s="11">
        <f>'By Round'!A101</f>
        <v/>
      </c>
      <c r="C148" s="11">
        <f>'By Round'!B105</f>
        <v/>
      </c>
      <c r="D148" s="11">
        <f>'By Round'!C105</f>
        <v/>
      </c>
      <c r="E148" s="11">
        <f>'By Round'!D105</f>
        <v/>
      </c>
      <c r="F148" s="11">
        <f>IF(ISBLANK('By Round'!F105),"",'By Round'!F105)</f>
        <v/>
      </c>
      <c r="G148">
        <f>IF(ISBLANK('By Round'!G105),"",'By Round'!G105)</f>
        <v/>
      </c>
      <c r="H148">
        <f>IF(ISBLANK('By Round'!H105),"",'By Round'!H105)</f>
        <v/>
      </c>
      <c r="I148">
        <f>IF(ISBLANK('By Round'!I105),"",'By Round'!I105)</f>
        <v/>
      </c>
      <c r="J148">
        <f>IF(ISBLANK('By Round'!J105),"",'By Round'!J105)</f>
        <v/>
      </c>
      <c r="K148">
        <f>IF(ISBLANK('By Round'!K105),"",'By Round'!K105)</f>
        <v/>
      </c>
      <c r="L148" s="12">
        <f>AVERAGE(AF148:AK148)</f>
        <v/>
      </c>
      <c r="M148" s="13">
        <f>AVERAGE(AL148:AQ148)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6">
        <f>'By Round'!A115</f>
        <v/>
      </c>
      <c r="C149" s="16">
        <f>'By Round'!B117</f>
        <v/>
      </c>
      <c r="D149" s="16">
        <f>'By Round'!C117</f>
        <v/>
      </c>
      <c r="E149" s="16">
        <f>'By Round'!D117</f>
        <v/>
      </c>
      <c r="F149" s="16">
        <f>IF(ISBLANK('By Round'!F117),"",'By Round'!F117)</f>
        <v/>
      </c>
      <c r="G149" s="15">
        <f>IF(ISBLANK('By Round'!G117),"",'By Round'!G117)</f>
        <v/>
      </c>
      <c r="H149" s="15">
        <f>IF(ISBLANK('By Round'!H117),"",'By Round'!H117)</f>
        <v/>
      </c>
      <c r="I149" s="15">
        <f>IF(ISBLANK('By Round'!I117),"",'By Round'!I117)</f>
        <v/>
      </c>
      <c r="J149" s="15">
        <f>IF(ISBLANK('By Round'!J117),"",'By Round'!J117)</f>
        <v/>
      </c>
      <c r="K149" s="15">
        <f>IF(ISBLANK('By Round'!K117),"",'By Round'!K117)</f>
        <v/>
      </c>
      <c r="L149" s="17">
        <f>AVERAGE(AF149:AK149)</f>
        <v/>
      </c>
      <c r="M149" s="18">
        <f>AVERAGE(AL149:AQ149)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s="11" t="n">
        <v>22</v>
      </c>
      <c r="B150" s="11">
        <f>'By Round'!A143</f>
        <v/>
      </c>
      <c r="C150" s="11">
        <f>'By Round'!B143</f>
        <v/>
      </c>
      <c r="D150" s="11">
        <f>'By Round'!C143</f>
        <v/>
      </c>
      <c r="E150" s="11">
        <f>'By Round'!D143</f>
        <v/>
      </c>
      <c r="F150" s="11">
        <f>IF(ISBLANK('By Round'!F144),"",'By Round'!F144)</f>
        <v/>
      </c>
      <c r="G150">
        <f>IF(ISBLANK('By Round'!G144),"",'By Round'!G144)</f>
        <v/>
      </c>
      <c r="H150">
        <f>IF(ISBLANK('By Round'!H144),"",'By Round'!H144)</f>
        <v/>
      </c>
      <c r="I150">
        <f>IF(ISBLANK('By Round'!I144),"",'By Round'!I144)</f>
        <v/>
      </c>
      <c r="J150">
        <f>IF(ISBLANK('By Round'!J144),"",'By Round'!J144)</f>
        <v/>
      </c>
      <c r="K150">
        <f>IF(ISBLANK('By Round'!K144),"",'By Round'!K144)</f>
        <v/>
      </c>
      <c r="L150" s="12">
        <f>AVERAGE(AF150:AK150)</f>
        <v/>
      </c>
      <c r="M150" s="13">
        <f>AVERAGE(AL150:AQ150)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 s="11">
        <f>'By Round'!A87</f>
        <v/>
      </c>
      <c r="C151" s="11">
        <f>'By Round'!B93</f>
        <v/>
      </c>
      <c r="D151" s="11">
        <f>'By Round'!C93</f>
        <v/>
      </c>
      <c r="E151" s="11">
        <f>'By Round'!D93</f>
        <v/>
      </c>
      <c r="F151" s="11">
        <f>IF(ISBLANK('By Round'!F94),"",'By Round'!F94)</f>
        <v/>
      </c>
      <c r="G151">
        <f>IF(ISBLANK('By Round'!G94),"",'By Round'!G94)</f>
        <v/>
      </c>
      <c r="H151">
        <f>IF(ISBLANK('By Round'!H94),"",'By Round'!H94)</f>
        <v/>
      </c>
      <c r="I151">
        <f>IF(ISBLANK('By Round'!I94),"",'By Round'!I94)</f>
        <v/>
      </c>
      <c r="J151">
        <f>IF(ISBLANK('By Round'!J94),"",'By Round'!J94)</f>
        <v/>
      </c>
      <c r="K151">
        <f>IF(ISBLANK('By Round'!K94),"",'By Round'!K94)</f>
        <v/>
      </c>
      <c r="L151" s="12">
        <f>AVERAGE(AF151:AK151)</f>
        <v/>
      </c>
      <c r="M151" s="13">
        <f>AVERAGE(AL151:AQ151)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 s="11">
        <f>'By Round'!A171</f>
        <v/>
      </c>
      <c r="C152" s="11">
        <f>'By Round'!B183</f>
        <v/>
      </c>
      <c r="D152" s="11">
        <f>'By Round'!C183</f>
        <v/>
      </c>
      <c r="E152" s="11">
        <f>'By Round'!D183</f>
        <v/>
      </c>
      <c r="F152" s="11">
        <f>IF(ISBLANK('By Round'!F184),"",'By Round'!F184)</f>
        <v/>
      </c>
      <c r="G152">
        <f>IF(ISBLANK('By Round'!G184),"",'By Round'!G184)</f>
        <v/>
      </c>
      <c r="H152">
        <f>IF(ISBLANK('By Round'!H184),"",'By Round'!H184)</f>
        <v/>
      </c>
      <c r="I152">
        <f>IF(ISBLANK('By Round'!I184),"",'By Round'!I184)</f>
        <v/>
      </c>
      <c r="J152">
        <f>IF(ISBLANK('By Round'!J184),"",'By Round'!J184)</f>
        <v/>
      </c>
      <c r="K152">
        <f>IF(ISBLANK('By Round'!K184),"",'By Round'!K184)</f>
        <v/>
      </c>
      <c r="L152" s="12">
        <f>AVERAGE(AF152:AK152)</f>
        <v/>
      </c>
      <c r="M152" s="13">
        <f>AVERAGE(AL152:AQ152)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 s="11">
        <f>'By Round'!A17</f>
        <v/>
      </c>
      <c r="C153" s="11">
        <f>'By Round'!B25</f>
        <v/>
      </c>
      <c r="D153" s="11">
        <f>'By Round'!C25</f>
        <v/>
      </c>
      <c r="E153" s="11">
        <f>'By Round'!D25</f>
        <v/>
      </c>
      <c r="F153" s="11">
        <f>IF(ISBLANK('By Round'!F26),"",'By Round'!F26)</f>
        <v/>
      </c>
      <c r="G153">
        <f>IF(ISBLANK('By Round'!G26),"",'By Round'!G26)</f>
        <v/>
      </c>
      <c r="H153">
        <f>IF(ISBLANK('By Round'!H26),"",'By Round'!H26)</f>
        <v/>
      </c>
      <c r="I153">
        <f>IF(ISBLANK('By Round'!I26),"",'By Round'!I26)</f>
        <v/>
      </c>
      <c r="J153">
        <f>IF(ISBLANK('By Round'!J26),"",'By Round'!J26)</f>
        <v/>
      </c>
      <c r="K153">
        <f>IF(ISBLANK('By Round'!K26),"",'By Round'!K26)</f>
        <v/>
      </c>
      <c r="L153" s="12">
        <f>AVERAGE(AF153:AK153)</f>
        <v/>
      </c>
      <c r="M153" s="13">
        <f>AVERAGE(AL153:AQ153)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 s="11">
        <f>'By Round'!A3</f>
        <v/>
      </c>
      <c r="C154" s="11">
        <f>'By Round'!B13</f>
        <v/>
      </c>
      <c r="D154" s="11">
        <f>'By Round'!C13</f>
        <v/>
      </c>
      <c r="E154" s="11">
        <f>'By Round'!D13</f>
        <v/>
      </c>
      <c r="F154" s="11">
        <f>IF(ISBLANK('By Round'!F14),"",'By Round'!F14)</f>
        <v/>
      </c>
      <c r="G154">
        <f>IF(ISBLANK('By Round'!G14),"",'By Round'!G14)</f>
        <v/>
      </c>
      <c r="H154">
        <f>IF(ISBLANK('By Round'!H14),"",'By Round'!H14)</f>
        <v/>
      </c>
      <c r="I154">
        <f>IF(ISBLANK('By Round'!I14),"",'By Round'!I14)</f>
        <v/>
      </c>
      <c r="J154">
        <f>IF(ISBLANK('By Round'!J14),"",'By Round'!J14)</f>
        <v/>
      </c>
      <c r="K154">
        <f>IF(ISBLANK('By Round'!K14),"",'By Round'!K14)</f>
        <v/>
      </c>
      <c r="L154" s="12">
        <f>AVERAGE(AF154:AK154)</f>
        <v/>
      </c>
      <c r="M154" s="13">
        <f>AVERAGE(AL154:AQ154)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 s="11">
        <f>'By Round'!A101</f>
        <v/>
      </c>
      <c r="C155" s="11">
        <f>'By Round'!B105</f>
        <v/>
      </c>
      <c r="D155" s="11">
        <f>'By Round'!C105</f>
        <v/>
      </c>
      <c r="E155" s="11">
        <f>'By Round'!D105</f>
        <v/>
      </c>
      <c r="F155" s="11">
        <f>IF(ISBLANK('By Round'!F106),"",'By Round'!F106)</f>
        <v/>
      </c>
      <c r="G155">
        <f>IF(ISBLANK('By Round'!G106),"",'By Round'!G106)</f>
        <v/>
      </c>
      <c r="H155">
        <f>IF(ISBLANK('By Round'!H106),"",'By Round'!H106)</f>
        <v/>
      </c>
      <c r="I155">
        <f>IF(ISBLANK('By Round'!I106),"",'By Round'!I106)</f>
        <v/>
      </c>
      <c r="J155">
        <f>IF(ISBLANK('By Round'!J106),"",'By Round'!J106)</f>
        <v/>
      </c>
      <c r="K155">
        <f>IF(ISBLANK('By Round'!K106),"",'By Round'!K106)</f>
        <v/>
      </c>
      <c r="L155" s="12">
        <f>AVERAGE(AF155:AK155)</f>
        <v/>
      </c>
      <c r="M155" s="13">
        <f>AVERAGE(AL155:AQ155)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6">
        <f>'By Round'!A115</f>
        <v/>
      </c>
      <c r="C156" s="16">
        <f>'By Round'!B117</f>
        <v/>
      </c>
      <c r="D156" s="16">
        <f>'By Round'!C117</f>
        <v/>
      </c>
      <c r="E156" s="16">
        <f>'By Round'!D117</f>
        <v/>
      </c>
      <c r="F156" s="16">
        <f>IF(ISBLANK('By Round'!F118),"",'By Round'!F118)</f>
        <v/>
      </c>
      <c r="G156" s="15">
        <f>IF(ISBLANK('By Round'!G118),"",'By Round'!G118)</f>
        <v/>
      </c>
      <c r="H156" s="15">
        <f>IF(ISBLANK('By Round'!H118),"",'By Round'!H118)</f>
        <v/>
      </c>
      <c r="I156" s="15">
        <f>IF(ISBLANK('By Round'!I118),"",'By Round'!I118)</f>
        <v/>
      </c>
      <c r="J156" s="15">
        <f>IF(ISBLANK('By Round'!J118),"",'By Round'!J118)</f>
        <v/>
      </c>
      <c r="K156" s="15">
        <f>IF(ISBLANK('By Round'!K118),"",'By Round'!K118)</f>
        <v/>
      </c>
      <c r="L156" s="17">
        <f>AVERAGE(AF156:AK156)</f>
        <v/>
      </c>
      <c r="M156" s="18">
        <f>AVERAGE(AL156:AQ156)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s="11" t="n">
        <v>23</v>
      </c>
      <c r="B157" s="11">
        <f>'By Round'!A157</f>
        <v/>
      </c>
      <c r="C157" s="11">
        <f>'By Round'!B157</f>
        <v/>
      </c>
      <c r="D157" s="11">
        <f>'By Round'!C157</f>
        <v/>
      </c>
      <c r="E157" s="11">
        <f>'By Round'!D157</f>
        <v/>
      </c>
      <c r="F157" s="11">
        <f>IF(ISBLANK('By Round'!F157),"",'By Round'!F157)</f>
        <v/>
      </c>
      <c r="G157">
        <f>IF(ISBLANK('By Round'!G157),"",'By Round'!G157)</f>
        <v/>
      </c>
      <c r="H157">
        <f>IF(ISBLANK('By Round'!H157),"",'By Round'!H157)</f>
        <v/>
      </c>
      <c r="I157">
        <f>IF(ISBLANK('By Round'!I157),"",'By Round'!I157)</f>
        <v/>
      </c>
      <c r="J157">
        <f>IF(ISBLANK('By Round'!J157),"",'By Round'!J157)</f>
        <v/>
      </c>
      <c r="K157">
        <f>IF(ISBLANK('By Round'!K157),"",'By Round'!K157)</f>
        <v/>
      </c>
      <c r="L157" s="12">
        <f>AVERAGE(AF157:AK157)</f>
        <v/>
      </c>
      <c r="M157" s="13">
        <f>AVERAGE(AL157:AQ157)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 s="11">
        <f>'By Round'!A129</f>
        <v/>
      </c>
      <c r="C158" s="11">
        <f>'By Round'!B131</f>
        <v/>
      </c>
      <c r="D158" s="11">
        <f>'By Round'!C131</f>
        <v/>
      </c>
      <c r="E158" s="11">
        <f>'By Round'!D131</f>
        <v/>
      </c>
      <c r="F158" s="11">
        <f>IF(ISBLANK('By Round'!F131),"",'By Round'!F131)</f>
        <v/>
      </c>
      <c r="G158">
        <f>IF(ISBLANK('By Round'!G131),"",'By Round'!G131)</f>
        <v/>
      </c>
      <c r="H158">
        <f>IF(ISBLANK('By Round'!H131),"",'By Round'!H131)</f>
        <v/>
      </c>
      <c r="I158">
        <f>IF(ISBLANK('By Round'!I131),"",'By Round'!I131)</f>
        <v/>
      </c>
      <c r="J158">
        <f>IF(ISBLANK('By Round'!J131),"",'By Round'!J131)</f>
        <v/>
      </c>
      <c r="K158">
        <f>IF(ISBLANK('By Round'!K131),"",'By Round'!K131)</f>
        <v/>
      </c>
      <c r="L158" s="12">
        <f>AVERAGE(AF158:AK158)</f>
        <v/>
      </c>
      <c r="M158" s="13">
        <f>AVERAGE(AL158:AQ158)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 s="11">
        <f>'By Round'!A101</f>
        <v/>
      </c>
      <c r="C159" s="11">
        <f>'By Round'!B107</f>
        <v/>
      </c>
      <c r="D159" s="11">
        <f>'By Round'!C107</f>
        <v/>
      </c>
      <c r="E159" s="11">
        <f>'By Round'!D107</f>
        <v/>
      </c>
      <c r="F159" s="11">
        <f>IF(ISBLANK('By Round'!F107),"",'By Round'!F107)</f>
        <v/>
      </c>
      <c r="G159">
        <f>IF(ISBLANK('By Round'!G107),"",'By Round'!G107)</f>
        <v/>
      </c>
      <c r="H159">
        <f>IF(ISBLANK('By Round'!H107),"",'By Round'!H107)</f>
        <v/>
      </c>
      <c r="I159">
        <f>IF(ISBLANK('By Round'!I107),"",'By Round'!I107)</f>
        <v/>
      </c>
      <c r="J159">
        <f>IF(ISBLANK('By Round'!J107),"",'By Round'!J107)</f>
        <v/>
      </c>
      <c r="K159">
        <f>IF(ISBLANK('By Round'!K107),"",'By Round'!K107)</f>
        <v/>
      </c>
      <c r="L159" s="12">
        <f>AVERAGE(AF159:AK159)</f>
        <v/>
      </c>
      <c r="M159" s="13">
        <f>AVERAGE(AL159:AQ159)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 s="11">
        <f>'By Round'!A3</f>
        <v/>
      </c>
      <c r="C160" s="11">
        <f>'By Round'!B15</f>
        <v/>
      </c>
      <c r="D160" s="11">
        <f>'By Round'!C15</f>
        <v/>
      </c>
      <c r="E160" s="11">
        <f>'By Round'!D15</f>
        <v/>
      </c>
      <c r="F160" s="11">
        <f>IF(ISBLANK('By Round'!F15),"",'By Round'!F15)</f>
        <v/>
      </c>
      <c r="G160">
        <f>IF(ISBLANK('By Round'!G15),"",'By Round'!G15)</f>
        <v/>
      </c>
      <c r="H160">
        <f>IF(ISBLANK('By Round'!H15),"",'By Round'!H15)</f>
        <v/>
      </c>
      <c r="I160">
        <f>IF(ISBLANK('By Round'!I15),"",'By Round'!I15)</f>
        <v/>
      </c>
      <c r="J160">
        <f>IF(ISBLANK('By Round'!J15),"",'By Round'!J15)</f>
        <v/>
      </c>
      <c r="K160">
        <f>IF(ISBLANK('By Round'!K15),"",'By Round'!K15)</f>
        <v/>
      </c>
      <c r="L160" s="12">
        <f>AVERAGE(AF160:AK160)</f>
        <v/>
      </c>
      <c r="M160" s="13">
        <f>AVERAGE(AL160:AQ160)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 s="11">
        <f>'By Round'!A31</f>
        <v/>
      </c>
      <c r="C161" s="11">
        <f>'By Round'!B39</f>
        <v/>
      </c>
      <c r="D161" s="11">
        <f>'By Round'!C39</f>
        <v/>
      </c>
      <c r="E161" s="11">
        <f>'By Round'!D39</f>
        <v/>
      </c>
      <c r="F161" s="11">
        <f>IF(ISBLANK('By Round'!F39),"",'By Round'!F39)</f>
        <v/>
      </c>
      <c r="G161">
        <f>IF(ISBLANK('By Round'!G39),"",'By Round'!G39)</f>
        <v/>
      </c>
      <c r="H161">
        <f>IF(ISBLANK('By Round'!H39),"",'By Round'!H39)</f>
        <v/>
      </c>
      <c r="I161">
        <f>IF(ISBLANK('By Round'!I39),"",'By Round'!I39)</f>
        <v/>
      </c>
      <c r="J161">
        <f>IF(ISBLANK('By Round'!J39),"",'By Round'!J39)</f>
        <v/>
      </c>
      <c r="K161">
        <f>IF(ISBLANK('By Round'!K39),"",'By Round'!K39)</f>
        <v/>
      </c>
      <c r="L161" s="12">
        <f>AVERAGE(AF161:AK161)</f>
        <v/>
      </c>
      <c r="M161" s="13">
        <f>AVERAGE(AL161:AQ161)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 s="11">
        <f>'By Round'!A17</f>
        <v/>
      </c>
      <c r="C162" s="11">
        <f>'By Round'!B27</f>
        <v/>
      </c>
      <c r="D162" s="11">
        <f>'By Round'!C27</f>
        <v/>
      </c>
      <c r="E162" s="11">
        <f>'By Round'!D27</f>
        <v/>
      </c>
      <c r="F162" s="11">
        <f>IF(ISBLANK('By Round'!F27),"",'By Round'!F27)</f>
        <v/>
      </c>
      <c r="G162">
        <f>IF(ISBLANK('By Round'!G27),"",'By Round'!G27)</f>
        <v/>
      </c>
      <c r="H162">
        <f>IF(ISBLANK('By Round'!H27),"",'By Round'!H27)</f>
        <v/>
      </c>
      <c r="I162">
        <f>IF(ISBLANK('By Round'!I27),"",'By Round'!I27)</f>
        <v/>
      </c>
      <c r="J162">
        <f>IF(ISBLANK('By Round'!J27),"",'By Round'!J27)</f>
        <v/>
      </c>
      <c r="K162">
        <f>IF(ISBLANK('By Round'!K27),"",'By Round'!K27)</f>
        <v/>
      </c>
      <c r="L162" s="12">
        <f>AVERAGE(AF162:AK162)</f>
        <v/>
      </c>
      <c r="M162" s="13">
        <f>AVERAGE(AL162:AQ162)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6">
        <f>'By Round'!A115</f>
        <v/>
      </c>
      <c r="C163" s="16">
        <f>'By Round'!B119</f>
        <v/>
      </c>
      <c r="D163" s="16">
        <f>'By Round'!C119</f>
        <v/>
      </c>
      <c r="E163" s="16">
        <f>'By Round'!D119</f>
        <v/>
      </c>
      <c r="F163" s="16">
        <f>IF(ISBLANK('By Round'!F119),"",'By Round'!F119)</f>
        <v/>
      </c>
      <c r="G163" s="15">
        <f>IF(ISBLANK('By Round'!G119),"",'By Round'!G119)</f>
        <v/>
      </c>
      <c r="H163" s="15">
        <f>IF(ISBLANK('By Round'!H119),"",'By Round'!H119)</f>
        <v/>
      </c>
      <c r="I163" s="15">
        <f>IF(ISBLANK('By Round'!I119),"",'By Round'!I119)</f>
        <v/>
      </c>
      <c r="J163" s="15">
        <f>IF(ISBLANK('By Round'!J119),"",'By Round'!J119)</f>
        <v/>
      </c>
      <c r="K163" s="15">
        <f>IF(ISBLANK('By Round'!K119),"",'By Round'!K119)</f>
        <v/>
      </c>
      <c r="L163" s="17">
        <f>AVERAGE(AF163:AK163)</f>
        <v/>
      </c>
      <c r="M163" s="18">
        <f>AVERAGE(AL163:AQ163)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s="11" t="n">
        <v>24</v>
      </c>
      <c r="B164" s="11">
        <f>'By Round'!A157</f>
        <v/>
      </c>
      <c r="C164" s="11">
        <f>'By Round'!B157</f>
        <v/>
      </c>
      <c r="D164" s="11">
        <f>'By Round'!C157</f>
        <v/>
      </c>
      <c r="E164" s="11">
        <f>'By Round'!D157</f>
        <v/>
      </c>
      <c r="F164" s="11">
        <f>IF(ISBLANK('By Round'!F158),"",'By Round'!F158)</f>
        <v/>
      </c>
      <c r="G164">
        <f>IF(ISBLANK('By Round'!G158),"",'By Round'!G158)</f>
        <v/>
      </c>
      <c r="H164">
        <f>IF(ISBLANK('By Round'!H158),"",'By Round'!H158)</f>
        <v/>
      </c>
      <c r="I164">
        <f>IF(ISBLANK('By Round'!I158),"",'By Round'!I158)</f>
        <v/>
      </c>
      <c r="J164">
        <f>IF(ISBLANK('By Round'!J158),"",'By Round'!J158)</f>
        <v/>
      </c>
      <c r="K164">
        <f>IF(ISBLANK('By Round'!K158),"",'By Round'!K158)</f>
        <v/>
      </c>
      <c r="L164" s="12">
        <f>AVERAGE(AF164:AK164)</f>
        <v/>
      </c>
      <c r="M164" s="13">
        <f>AVERAGE(AL164:AQ164)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 s="11">
        <f>'By Round'!A129</f>
        <v/>
      </c>
      <c r="C165" s="11">
        <f>'By Round'!B131</f>
        <v/>
      </c>
      <c r="D165" s="11">
        <f>'By Round'!C131</f>
        <v/>
      </c>
      <c r="E165" s="11">
        <f>'By Round'!D131</f>
        <v/>
      </c>
      <c r="F165" s="11">
        <f>IF(ISBLANK('By Round'!F132),"",'By Round'!F132)</f>
        <v/>
      </c>
      <c r="G165">
        <f>IF(ISBLANK('By Round'!G132),"",'By Round'!G132)</f>
        <v/>
      </c>
      <c r="H165">
        <f>IF(ISBLANK('By Round'!H132),"",'By Round'!H132)</f>
        <v/>
      </c>
      <c r="I165">
        <f>IF(ISBLANK('By Round'!I132),"",'By Round'!I132)</f>
        <v/>
      </c>
      <c r="J165">
        <f>IF(ISBLANK('By Round'!J132),"",'By Round'!J132)</f>
        <v/>
      </c>
      <c r="K165">
        <f>IF(ISBLANK('By Round'!K132),"",'By Round'!K132)</f>
        <v/>
      </c>
      <c r="L165" s="12">
        <f>AVERAGE(AF165:AK165)</f>
        <v/>
      </c>
      <c r="M165" s="13">
        <f>AVERAGE(AL165:AQ165)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 s="11">
        <f>'By Round'!A101</f>
        <v/>
      </c>
      <c r="C166" s="11">
        <f>'By Round'!B107</f>
        <v/>
      </c>
      <c r="D166" s="11">
        <f>'By Round'!C107</f>
        <v/>
      </c>
      <c r="E166" s="11">
        <f>'By Round'!D107</f>
        <v/>
      </c>
      <c r="F166" s="11">
        <f>IF(ISBLANK('By Round'!F108),"",'By Round'!F108)</f>
        <v/>
      </c>
      <c r="G166">
        <f>IF(ISBLANK('By Round'!G108),"",'By Round'!G108)</f>
        <v/>
      </c>
      <c r="H166">
        <f>IF(ISBLANK('By Round'!H108),"",'By Round'!H108)</f>
        <v/>
      </c>
      <c r="I166">
        <f>IF(ISBLANK('By Round'!I108),"",'By Round'!I108)</f>
        <v/>
      </c>
      <c r="J166">
        <f>IF(ISBLANK('By Round'!J108),"",'By Round'!J108)</f>
        <v/>
      </c>
      <c r="K166">
        <f>IF(ISBLANK('By Round'!K108),"",'By Round'!K108)</f>
        <v/>
      </c>
      <c r="L166" s="12">
        <f>AVERAGE(AF166:AK166)</f>
        <v/>
      </c>
      <c r="M166" s="13">
        <f>AVERAGE(AL166:AQ166)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 s="11">
        <f>'By Round'!A3</f>
        <v/>
      </c>
      <c r="C167" s="11">
        <f>'By Round'!B15</f>
        <v/>
      </c>
      <c r="D167" s="11">
        <f>'By Round'!C15</f>
        <v/>
      </c>
      <c r="E167" s="11">
        <f>'By Round'!D15</f>
        <v/>
      </c>
      <c r="F167" s="11">
        <f>IF(ISBLANK('By Round'!F16),"",'By Round'!F16)</f>
        <v/>
      </c>
      <c r="G167">
        <f>IF(ISBLANK('By Round'!G16),"",'By Round'!G16)</f>
        <v/>
      </c>
      <c r="H167">
        <f>IF(ISBLANK('By Round'!H16),"",'By Round'!H16)</f>
        <v/>
      </c>
      <c r="I167">
        <f>IF(ISBLANK('By Round'!I16),"",'By Round'!I16)</f>
        <v/>
      </c>
      <c r="J167">
        <f>IF(ISBLANK('By Round'!J16),"",'By Round'!J16)</f>
        <v/>
      </c>
      <c r="K167">
        <f>IF(ISBLANK('By Round'!K16),"",'By Round'!K16)</f>
        <v/>
      </c>
      <c r="L167" s="12">
        <f>AVERAGE(AF167:AK167)</f>
        <v/>
      </c>
      <c r="M167" s="13">
        <f>AVERAGE(AL167:AQ167)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 s="11">
        <f>'By Round'!A31</f>
        <v/>
      </c>
      <c r="C168" s="11">
        <f>'By Round'!B39</f>
        <v/>
      </c>
      <c r="D168" s="11">
        <f>'By Round'!C39</f>
        <v/>
      </c>
      <c r="E168" s="11">
        <f>'By Round'!D39</f>
        <v/>
      </c>
      <c r="F168" s="11">
        <f>IF(ISBLANK('By Round'!F40),"",'By Round'!F40)</f>
        <v/>
      </c>
      <c r="G168">
        <f>IF(ISBLANK('By Round'!G40),"",'By Round'!G40)</f>
        <v/>
      </c>
      <c r="H168">
        <f>IF(ISBLANK('By Round'!H40),"",'By Round'!H40)</f>
        <v/>
      </c>
      <c r="I168">
        <f>IF(ISBLANK('By Round'!I40),"",'By Round'!I40)</f>
        <v/>
      </c>
      <c r="J168">
        <f>IF(ISBLANK('By Round'!J40),"",'By Round'!J40)</f>
        <v/>
      </c>
      <c r="K168">
        <f>IF(ISBLANK('By Round'!K40),"",'By Round'!K40)</f>
        <v/>
      </c>
      <c r="L168" s="12">
        <f>AVERAGE(AF168:AK168)</f>
        <v/>
      </c>
      <c r="M168" s="13">
        <f>AVERAGE(AL168:AQ168)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 s="11">
        <f>'By Round'!A17</f>
        <v/>
      </c>
      <c r="C169" s="11">
        <f>'By Round'!B27</f>
        <v/>
      </c>
      <c r="D169" s="11">
        <f>'By Round'!C27</f>
        <v/>
      </c>
      <c r="E169" s="11">
        <f>'By Round'!D27</f>
        <v/>
      </c>
      <c r="F169" s="11">
        <f>IF(ISBLANK('By Round'!F28),"",'By Round'!F28)</f>
        <v/>
      </c>
      <c r="G169">
        <f>IF(ISBLANK('By Round'!G28),"",'By Round'!G28)</f>
        <v/>
      </c>
      <c r="H169">
        <f>IF(ISBLANK('By Round'!H28),"",'By Round'!H28)</f>
        <v/>
      </c>
      <c r="I169">
        <f>IF(ISBLANK('By Round'!I28),"",'By Round'!I28)</f>
        <v/>
      </c>
      <c r="J169">
        <f>IF(ISBLANK('By Round'!J28),"",'By Round'!J28)</f>
        <v/>
      </c>
      <c r="K169">
        <f>IF(ISBLANK('By Round'!K28),"",'By Round'!K28)</f>
        <v/>
      </c>
      <c r="L169" s="12">
        <f>AVERAGE(AF169:AK169)</f>
        <v/>
      </c>
      <c r="M169" s="13">
        <f>AVERAGE(AL169:AQ169)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6">
        <f>'By Round'!A115</f>
        <v/>
      </c>
      <c r="C170" s="16">
        <f>'By Round'!B119</f>
        <v/>
      </c>
      <c r="D170" s="16">
        <f>'By Round'!C119</f>
        <v/>
      </c>
      <c r="E170" s="16">
        <f>'By Round'!D119</f>
        <v/>
      </c>
      <c r="F170" s="16">
        <f>IF(ISBLANK('By Round'!F120),"",'By Round'!F120)</f>
        <v/>
      </c>
      <c r="G170" s="15">
        <f>IF(ISBLANK('By Round'!G120),"",'By Round'!G120)</f>
        <v/>
      </c>
      <c r="H170" s="15">
        <f>IF(ISBLANK('By Round'!H120),"",'By Round'!H120)</f>
        <v/>
      </c>
      <c r="I170" s="15">
        <f>IF(ISBLANK('By Round'!I120),"",'By Round'!I120)</f>
        <v/>
      </c>
      <c r="J170" s="15">
        <f>IF(ISBLANK('By Round'!J120),"",'By Round'!J120)</f>
        <v/>
      </c>
      <c r="K170" s="15">
        <f>IF(ISBLANK('By Round'!K120),"",'By Round'!K120)</f>
        <v/>
      </c>
      <c r="L170" s="17">
        <f>AVERAGE(AF170:AK170)</f>
        <v/>
      </c>
      <c r="M170" s="18">
        <f>AVERAGE(AL170:AQ170)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s="11" t="n">
        <v>25</v>
      </c>
      <c r="B171" s="11">
        <f>'By Round'!A171</f>
        <v/>
      </c>
      <c r="C171" s="11">
        <f>'By Round'!B171</f>
        <v/>
      </c>
      <c r="D171" s="11">
        <f>'By Round'!C171</f>
        <v/>
      </c>
      <c r="E171" s="11">
        <f>'By Round'!D171</f>
        <v/>
      </c>
      <c r="F171" s="11">
        <f>IF(ISBLANK('By Round'!F171),"",'By Round'!F171)</f>
        <v/>
      </c>
      <c r="G171">
        <f>IF(ISBLANK('By Round'!G171),"",'By Round'!G171)</f>
        <v/>
      </c>
      <c r="H171">
        <f>IF(ISBLANK('By Round'!H171),"",'By Round'!H171)</f>
        <v/>
      </c>
      <c r="I171">
        <f>IF(ISBLANK('By Round'!I171),"",'By Round'!I171)</f>
        <v/>
      </c>
      <c r="J171">
        <f>IF(ISBLANK('By Round'!J171),"",'By Round'!J171)</f>
        <v/>
      </c>
      <c r="K171">
        <f>IF(ISBLANK('By Round'!K171),"",'By Round'!K171)</f>
        <v/>
      </c>
      <c r="L171" s="12">
        <f>AVERAGE(AF171:AK171)</f>
        <v/>
      </c>
      <c r="M171" s="13">
        <f>AVERAGE(AL171:AQ171)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 s="11">
        <f>'By Round'!A143</f>
        <v/>
      </c>
      <c r="C172" s="11">
        <f>'By Round'!B145</f>
        <v/>
      </c>
      <c r="D172" s="11">
        <f>'By Round'!C145</f>
        <v/>
      </c>
      <c r="E172" s="11">
        <f>'By Round'!D145</f>
        <v/>
      </c>
      <c r="F172" s="11">
        <f>IF(ISBLANK('By Round'!F145),"",'By Round'!F145)</f>
        <v/>
      </c>
      <c r="G172">
        <f>IF(ISBLANK('By Round'!G145),"",'By Round'!G145)</f>
        <v/>
      </c>
      <c r="H172">
        <f>IF(ISBLANK('By Round'!H145),"",'By Round'!H145)</f>
        <v/>
      </c>
      <c r="I172">
        <f>IF(ISBLANK('By Round'!I145),"",'By Round'!I145)</f>
        <v/>
      </c>
      <c r="J172">
        <f>IF(ISBLANK('By Round'!J145),"",'By Round'!J145)</f>
        <v/>
      </c>
      <c r="K172">
        <f>IF(ISBLANK('By Round'!K145),"",'By Round'!K145)</f>
        <v/>
      </c>
      <c r="L172" s="12">
        <f>AVERAGE(AF172:AK172)</f>
        <v/>
      </c>
      <c r="M172" s="13">
        <f>AVERAGE(AL172:AQ172)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 s="11">
        <f>'By Round'!A115</f>
        <v/>
      </c>
      <c r="C173" s="11">
        <f>'By Round'!B121</f>
        <v/>
      </c>
      <c r="D173" s="11">
        <f>'By Round'!C121</f>
        <v/>
      </c>
      <c r="E173" s="11">
        <f>'By Round'!D121</f>
        <v/>
      </c>
      <c r="F173" s="11">
        <f>IF(ISBLANK('By Round'!F121),"",'By Round'!F121)</f>
        <v/>
      </c>
      <c r="G173">
        <f>IF(ISBLANK('By Round'!G121),"",'By Round'!G121)</f>
        <v/>
      </c>
      <c r="H173">
        <f>IF(ISBLANK('By Round'!H121),"",'By Round'!H121)</f>
        <v/>
      </c>
      <c r="I173">
        <f>IF(ISBLANK('By Round'!I121),"",'By Round'!I121)</f>
        <v/>
      </c>
      <c r="J173">
        <f>IF(ISBLANK('By Round'!J121),"",'By Round'!J121)</f>
        <v/>
      </c>
      <c r="K173">
        <f>IF(ISBLANK('By Round'!K121),"",'By Round'!K121)</f>
        <v/>
      </c>
      <c r="L173" s="12">
        <f>AVERAGE(AF173:AK173)</f>
        <v/>
      </c>
      <c r="M173" s="13">
        <f>AVERAGE(AL173:AQ173)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 s="11">
        <f>'By Round'!A17</f>
        <v/>
      </c>
      <c r="C174" s="11">
        <f>'By Round'!B29</f>
        <v/>
      </c>
      <c r="D174" s="11">
        <f>'By Round'!C29</f>
        <v/>
      </c>
      <c r="E174" s="11">
        <f>'By Round'!D29</f>
        <v/>
      </c>
      <c r="F174" s="11">
        <f>IF(ISBLANK('By Round'!F29),"",'By Round'!F29)</f>
        <v/>
      </c>
      <c r="G174">
        <f>IF(ISBLANK('By Round'!G29),"",'By Round'!G29)</f>
        <v/>
      </c>
      <c r="H174">
        <f>IF(ISBLANK('By Round'!H29),"",'By Round'!H29)</f>
        <v/>
      </c>
      <c r="I174">
        <f>IF(ISBLANK('By Round'!I29),"",'By Round'!I29)</f>
        <v/>
      </c>
      <c r="J174">
        <f>IF(ISBLANK('By Round'!J29),"",'By Round'!J29)</f>
        <v/>
      </c>
      <c r="K174">
        <f>IF(ISBLANK('By Round'!K29),"",'By Round'!K29)</f>
        <v/>
      </c>
      <c r="L174" s="12">
        <f>AVERAGE(AF174:AK174)</f>
        <v/>
      </c>
      <c r="M174" s="13">
        <f>AVERAGE(AL174:AQ174)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 s="11">
        <f>'By Round'!A45</f>
        <v/>
      </c>
      <c r="C175" s="11">
        <f>'By Round'!B53</f>
        <v/>
      </c>
      <c r="D175" s="11">
        <f>'By Round'!C53</f>
        <v/>
      </c>
      <c r="E175" s="11">
        <f>'By Round'!D53</f>
        <v/>
      </c>
      <c r="F175" s="11">
        <f>IF(ISBLANK('By Round'!F53),"",'By Round'!F53)</f>
        <v/>
      </c>
      <c r="G175">
        <f>IF(ISBLANK('By Round'!G53),"",'By Round'!G53)</f>
        <v/>
      </c>
      <c r="H175">
        <f>IF(ISBLANK('By Round'!H53),"",'By Round'!H53)</f>
        <v/>
      </c>
      <c r="I175">
        <f>IF(ISBLANK('By Round'!I53),"",'By Round'!I53)</f>
        <v/>
      </c>
      <c r="J175">
        <f>IF(ISBLANK('By Round'!J53),"",'By Round'!J53)</f>
        <v/>
      </c>
      <c r="K175">
        <f>IF(ISBLANK('By Round'!K53),"",'By Round'!K53)</f>
        <v/>
      </c>
      <c r="L175" s="12">
        <f>AVERAGE(AF175:AK175)</f>
        <v/>
      </c>
      <c r="M175" s="13">
        <f>AVERAGE(AL175:AQ175)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 s="11">
        <f>'By Round'!A31</f>
        <v/>
      </c>
      <c r="C176" s="11">
        <f>'By Round'!B41</f>
        <v/>
      </c>
      <c r="D176" s="11">
        <f>'By Round'!C41</f>
        <v/>
      </c>
      <c r="E176" s="11">
        <f>'By Round'!D41</f>
        <v/>
      </c>
      <c r="F176" s="11">
        <f>IF(ISBLANK('By Round'!F41),"",'By Round'!F41)</f>
        <v/>
      </c>
      <c r="G176">
        <f>IF(ISBLANK('By Round'!G41),"",'By Round'!G41)</f>
        <v/>
      </c>
      <c r="H176">
        <f>IF(ISBLANK('By Round'!H41),"",'By Round'!H41)</f>
        <v/>
      </c>
      <c r="I176">
        <f>IF(ISBLANK('By Round'!I41),"",'By Round'!I41)</f>
        <v/>
      </c>
      <c r="J176">
        <f>IF(ISBLANK('By Round'!J41),"",'By Round'!J41)</f>
        <v/>
      </c>
      <c r="K176">
        <f>IF(ISBLANK('By Round'!K41),"",'By Round'!K41)</f>
        <v/>
      </c>
      <c r="L176" s="12">
        <f>AVERAGE(AF176:AK176)</f>
        <v/>
      </c>
      <c r="M176" s="13">
        <f>AVERAGE(AL176:AQ176)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6">
        <f>'By Round'!A129</f>
        <v/>
      </c>
      <c r="C177" s="16">
        <f>'By Round'!B133</f>
        <v/>
      </c>
      <c r="D177" s="16">
        <f>'By Round'!C133</f>
        <v/>
      </c>
      <c r="E177" s="16">
        <f>'By Round'!D133</f>
        <v/>
      </c>
      <c r="F177" s="16">
        <f>IF(ISBLANK('By Round'!F133),"",'By Round'!F133)</f>
        <v/>
      </c>
      <c r="G177" s="15">
        <f>IF(ISBLANK('By Round'!G133),"",'By Round'!G133)</f>
        <v/>
      </c>
      <c r="H177" s="15">
        <f>IF(ISBLANK('By Round'!H133),"",'By Round'!H133)</f>
        <v/>
      </c>
      <c r="I177" s="15">
        <f>IF(ISBLANK('By Round'!I133),"",'By Round'!I133)</f>
        <v/>
      </c>
      <c r="J177" s="15">
        <f>IF(ISBLANK('By Round'!J133),"",'By Round'!J133)</f>
        <v/>
      </c>
      <c r="K177" s="15">
        <f>IF(ISBLANK('By Round'!K133),"",'By Round'!K133)</f>
        <v/>
      </c>
      <c r="L177" s="17">
        <f>AVERAGE(AF177:AK177)</f>
        <v/>
      </c>
      <c r="M177" s="18">
        <f>AVERAGE(AL177:AQ177)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s="11" t="n">
        <v>26</v>
      </c>
      <c r="B178" s="11">
        <f>'By Round'!A171</f>
        <v/>
      </c>
      <c r="C178" s="11">
        <f>'By Round'!B171</f>
        <v/>
      </c>
      <c r="D178" s="11">
        <f>'By Round'!C171</f>
        <v/>
      </c>
      <c r="E178" s="11">
        <f>'By Round'!D171</f>
        <v/>
      </c>
      <c r="F178" s="11">
        <f>IF(ISBLANK('By Round'!F172),"",'By Round'!F172)</f>
        <v/>
      </c>
      <c r="G178">
        <f>IF(ISBLANK('By Round'!G172),"",'By Round'!G172)</f>
        <v/>
      </c>
      <c r="H178">
        <f>IF(ISBLANK('By Round'!H172),"",'By Round'!H172)</f>
        <v/>
      </c>
      <c r="I178">
        <f>IF(ISBLANK('By Round'!I172),"",'By Round'!I172)</f>
        <v/>
      </c>
      <c r="J178">
        <f>IF(ISBLANK('By Round'!J172),"",'By Round'!J172)</f>
        <v/>
      </c>
      <c r="K178">
        <f>IF(ISBLANK('By Round'!K172),"",'By Round'!K172)</f>
        <v/>
      </c>
      <c r="L178" s="12">
        <f>AVERAGE(AF178:AK178)</f>
        <v/>
      </c>
      <c r="M178" s="13">
        <f>AVERAGE(AL178:AQ178)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 s="11">
        <f>'By Round'!A143</f>
        <v/>
      </c>
      <c r="C179" s="11">
        <f>'By Round'!B145</f>
        <v/>
      </c>
      <c r="D179" s="11">
        <f>'By Round'!C145</f>
        <v/>
      </c>
      <c r="E179" s="11">
        <f>'By Round'!D145</f>
        <v/>
      </c>
      <c r="F179" s="11">
        <f>IF(ISBLANK('By Round'!F146),"",'By Round'!F146)</f>
        <v/>
      </c>
      <c r="G179">
        <f>IF(ISBLANK('By Round'!G146),"",'By Round'!G146)</f>
        <v/>
      </c>
      <c r="H179">
        <f>IF(ISBLANK('By Round'!H146),"",'By Round'!H146)</f>
        <v/>
      </c>
      <c r="I179">
        <f>IF(ISBLANK('By Round'!I146),"",'By Round'!I146)</f>
        <v/>
      </c>
      <c r="J179">
        <f>IF(ISBLANK('By Round'!J146),"",'By Round'!J146)</f>
        <v/>
      </c>
      <c r="K179">
        <f>IF(ISBLANK('By Round'!K146),"",'By Round'!K146)</f>
        <v/>
      </c>
      <c r="L179" s="12">
        <f>AVERAGE(AF179:AK179)</f>
        <v/>
      </c>
      <c r="M179" s="13">
        <f>AVERAGE(AL179:AQ179)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 s="11">
        <f>'By Round'!A115</f>
        <v/>
      </c>
      <c r="C180" s="11">
        <f>'By Round'!B121</f>
        <v/>
      </c>
      <c r="D180" s="11">
        <f>'By Round'!C121</f>
        <v/>
      </c>
      <c r="E180" s="11">
        <f>'By Round'!D121</f>
        <v/>
      </c>
      <c r="F180" s="11">
        <f>IF(ISBLANK('By Round'!F122),"",'By Round'!F122)</f>
        <v/>
      </c>
      <c r="G180">
        <f>IF(ISBLANK('By Round'!G122),"",'By Round'!G122)</f>
        <v/>
      </c>
      <c r="H180">
        <f>IF(ISBLANK('By Round'!H122),"",'By Round'!H122)</f>
        <v/>
      </c>
      <c r="I180">
        <f>IF(ISBLANK('By Round'!I122),"",'By Round'!I122)</f>
        <v/>
      </c>
      <c r="J180">
        <f>IF(ISBLANK('By Round'!J122),"",'By Round'!J122)</f>
        <v/>
      </c>
      <c r="K180">
        <f>IF(ISBLANK('By Round'!K122),"",'By Round'!K122)</f>
        <v/>
      </c>
      <c r="L180" s="12">
        <f>AVERAGE(AF180:AK180)</f>
        <v/>
      </c>
      <c r="M180" s="13">
        <f>AVERAGE(AL180:AQ180)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 s="11">
        <f>'By Round'!A17</f>
        <v/>
      </c>
      <c r="C181" s="11">
        <f>'By Round'!B29</f>
        <v/>
      </c>
      <c r="D181" s="11">
        <f>'By Round'!C29</f>
        <v/>
      </c>
      <c r="E181" s="11">
        <f>'By Round'!D29</f>
        <v/>
      </c>
      <c r="F181" s="11">
        <f>IF(ISBLANK('By Round'!F30),"",'By Round'!F30)</f>
        <v/>
      </c>
      <c r="G181">
        <f>IF(ISBLANK('By Round'!G30),"",'By Round'!G30)</f>
        <v/>
      </c>
      <c r="H181">
        <f>IF(ISBLANK('By Round'!H30),"",'By Round'!H30)</f>
        <v/>
      </c>
      <c r="I181">
        <f>IF(ISBLANK('By Round'!I30),"",'By Round'!I30)</f>
        <v/>
      </c>
      <c r="J181">
        <f>IF(ISBLANK('By Round'!J30),"",'By Round'!J30)</f>
        <v/>
      </c>
      <c r="K181">
        <f>IF(ISBLANK('By Round'!K30),"",'By Round'!K30)</f>
        <v/>
      </c>
      <c r="L181" s="12">
        <f>AVERAGE(AF181:AK181)</f>
        <v/>
      </c>
      <c r="M181" s="13">
        <f>AVERAGE(AL181:AQ181)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 s="11">
        <f>'By Round'!A45</f>
        <v/>
      </c>
      <c r="C182" s="11">
        <f>'By Round'!B53</f>
        <v/>
      </c>
      <c r="D182" s="11">
        <f>'By Round'!C53</f>
        <v/>
      </c>
      <c r="E182" s="11">
        <f>'By Round'!D53</f>
        <v/>
      </c>
      <c r="F182" s="11">
        <f>IF(ISBLANK('By Round'!F54),"",'By Round'!F54)</f>
        <v/>
      </c>
      <c r="G182">
        <f>IF(ISBLANK('By Round'!G54),"",'By Round'!G54)</f>
        <v/>
      </c>
      <c r="H182">
        <f>IF(ISBLANK('By Round'!H54),"",'By Round'!H54)</f>
        <v/>
      </c>
      <c r="I182">
        <f>IF(ISBLANK('By Round'!I54),"",'By Round'!I54)</f>
        <v/>
      </c>
      <c r="J182">
        <f>IF(ISBLANK('By Round'!J54),"",'By Round'!J54)</f>
        <v/>
      </c>
      <c r="K182">
        <f>IF(ISBLANK('By Round'!K54),"",'By Round'!K54)</f>
        <v/>
      </c>
      <c r="L182" s="12">
        <f>AVERAGE(AF182:AK182)</f>
        <v/>
      </c>
      <c r="M182" s="13">
        <f>AVERAGE(AL182:AQ182)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 s="11">
        <f>'By Round'!A31</f>
        <v/>
      </c>
      <c r="C183" s="11">
        <f>'By Round'!B41</f>
        <v/>
      </c>
      <c r="D183" s="11">
        <f>'By Round'!C41</f>
        <v/>
      </c>
      <c r="E183" s="11">
        <f>'By Round'!D41</f>
        <v/>
      </c>
      <c r="F183" s="11">
        <f>IF(ISBLANK('By Round'!F42),"",'By Round'!F42)</f>
        <v/>
      </c>
      <c r="G183">
        <f>IF(ISBLANK('By Round'!G42),"",'By Round'!G42)</f>
        <v/>
      </c>
      <c r="H183">
        <f>IF(ISBLANK('By Round'!H42),"",'By Round'!H42)</f>
        <v/>
      </c>
      <c r="I183">
        <f>IF(ISBLANK('By Round'!I42),"",'By Round'!I42)</f>
        <v/>
      </c>
      <c r="J183">
        <f>IF(ISBLANK('By Round'!J42),"",'By Round'!J42)</f>
        <v/>
      </c>
      <c r="K183">
        <f>IF(ISBLANK('By Round'!K42),"",'By Round'!K42)</f>
        <v/>
      </c>
      <c r="L183" s="12">
        <f>AVERAGE(AF183:AK183)</f>
        <v/>
      </c>
      <c r="M183" s="13">
        <f>AVERAGE(AL183:AQ183)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6">
        <f>'By Round'!A129</f>
        <v/>
      </c>
      <c r="C184" s="16">
        <f>'By Round'!B133</f>
        <v/>
      </c>
      <c r="D184" s="16">
        <f>'By Round'!C133</f>
        <v/>
      </c>
      <c r="E184" s="16">
        <f>'By Round'!D133</f>
        <v/>
      </c>
      <c r="F184" s="16">
        <f>IF(ISBLANK('By Round'!F134),"",'By Round'!F134)</f>
        <v/>
      </c>
      <c r="G184" s="15">
        <f>IF(ISBLANK('By Round'!G134),"",'By Round'!G134)</f>
        <v/>
      </c>
      <c r="H184" s="15">
        <f>IF(ISBLANK('By Round'!H134),"",'By Round'!H134)</f>
        <v/>
      </c>
      <c r="I184" s="15">
        <f>IF(ISBLANK('By Round'!I134),"",'By Round'!I134)</f>
        <v/>
      </c>
      <c r="J184" s="15">
        <f>IF(ISBLANK('By Round'!J134),"",'By Round'!J134)</f>
        <v/>
      </c>
      <c r="K184" s="15">
        <f>IF(ISBLANK('By Round'!K134),"",'By Round'!K134)</f>
        <v/>
      </c>
      <c r="L184" s="17">
        <f>AVERAGE(AF184:AK184)</f>
        <v/>
      </c>
      <c r="M184" s="18">
        <f>AVERAGE(AL184:AQ184)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inlineStr">
        <is>
          <t>Sit-Out</t>
        </is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inlineStr">
        <is>
          <t>Sit-Out</t>
        </is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inlineStr">
        <is>
          <t>Sit-Out</t>
        </is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inlineStr">
        <is>
          <t>Sit-Out</t>
        </is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inlineStr">
        <is>
          <t>Sit-Out</t>
        </is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inlineStr">
        <is>
          <t>Sit-Out</t>
        </is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inlineStr">
        <is>
          <t>Sit-Out</t>
        </is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inlineStr">
        <is>
          <t>Sit-Out</t>
        </is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inlineStr">
        <is>
          <t>Sit-Out</t>
        </is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inlineStr">
        <is>
          <t>Sit-Out</t>
        </is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inlineStr">
        <is>
          <t>Sit-Out</t>
        </is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inlineStr">
        <is>
          <t>Sit-Out</t>
        </is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2026-02-12T16:45:43Z</dcterms:created>
  <dcterms:modified xsi:type="dcterms:W3CDTF">2026-02-12T16:45:43Z</dcterms:modified>
</cp:coreProperties>
</file>